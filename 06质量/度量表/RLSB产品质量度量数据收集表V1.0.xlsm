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0" yWindow="0" windowWidth="13545" windowHeight="12420" tabRatio="921" activeTab="1"/>
  </bookViews>
  <sheets>
    <sheet name="图表概览" sheetId="57" r:id="rId1"/>
    <sheet name="产品KPI" sheetId="5" r:id="rId2"/>
    <sheet name="度量指标" sheetId="42" r:id="rId3"/>
    <sheet name="基础度量项" sheetId="7" r:id="rId4"/>
    <sheet name="检查单明细" sheetId="38" r:id="rId5"/>
    <sheet name="配置审计明细" sheetId="58" r:id="rId6"/>
    <sheet name="缺陷明细" sheetId="13" r:id="rId7"/>
    <sheet name="需求明细_迭代1" sheetId="18" r:id="rId8"/>
    <sheet name="需求明细_迭代2" sheetId="43" r:id="rId9"/>
    <sheet name="需求明细_迭代3" sheetId="44" r:id="rId10"/>
    <sheet name="需求明细_迭代4" sheetId="45" r:id="rId11"/>
    <sheet name="需求明细_迭代5" sheetId="46" r:id="rId12"/>
    <sheet name="需求明细_迭代6" sheetId="47" r:id="rId13"/>
    <sheet name="需求明细_迭代7" sheetId="54" r:id="rId14"/>
    <sheet name="需求明细_迭代8" sheetId="55" r:id="rId15"/>
    <sheet name="需求明细_迭代9" sheetId="56" r:id="rId16"/>
    <sheet name="使用说明" sheetId="37" r:id="rId17"/>
  </sheets>
  <externalReferences>
    <externalReference r:id="rId18"/>
  </externalReferences>
  <definedNames>
    <definedName name="_xlnm._FilterDatabase" localSheetId="4" hidden="1">检查单明细!$A$2:$E$148</definedName>
    <definedName name="_xlnm._FilterDatabase" localSheetId="6" hidden="1">缺陷明细!$A$1:$AL$422</definedName>
  </definedNames>
  <calcPr calcId="145621"/>
</workbook>
</file>

<file path=xl/calcChain.xml><?xml version="1.0" encoding="utf-8"?>
<calcChain xmlns="http://schemas.openxmlformats.org/spreadsheetml/2006/main">
  <c r="AC51" i="45" l="1"/>
  <c r="AD51" i="45"/>
  <c r="AE51" i="45"/>
  <c r="AF51" i="45"/>
  <c r="AG51" i="45"/>
  <c r="AH51" i="45"/>
  <c r="AI51" i="45"/>
  <c r="AJ51" i="45"/>
  <c r="O51" i="45"/>
  <c r="P51" i="45"/>
  <c r="Q51" i="45"/>
  <c r="R51" i="45"/>
  <c r="S51" i="45"/>
  <c r="T51" i="45"/>
  <c r="U51" i="45"/>
  <c r="V51" i="45"/>
  <c r="W51" i="45"/>
  <c r="X51" i="45"/>
  <c r="Y51" i="45"/>
  <c r="Z51" i="45"/>
  <c r="AA51" i="45"/>
  <c r="AB51" i="45"/>
  <c r="N51" i="45"/>
  <c r="I51" i="45"/>
  <c r="J51" i="45"/>
  <c r="K51" i="45"/>
  <c r="H51" i="45"/>
  <c r="Q50" i="45"/>
  <c r="AB50" i="45"/>
  <c r="AA50" i="45"/>
  <c r="Z50" i="45"/>
  <c r="Y50" i="45"/>
  <c r="X50" i="45"/>
  <c r="W50" i="45"/>
  <c r="V50" i="45"/>
  <c r="U50" i="45"/>
  <c r="T50" i="45"/>
  <c r="S50" i="45"/>
  <c r="R50" i="45"/>
  <c r="P50" i="45"/>
  <c r="O50" i="45"/>
  <c r="N50" i="45"/>
  <c r="K50" i="45"/>
  <c r="J50" i="45"/>
  <c r="I50" i="45"/>
  <c r="H50" i="45"/>
  <c r="AB121" i="43" l="1"/>
  <c r="AA121" i="43"/>
  <c r="Z121" i="43"/>
  <c r="AJ121" i="43" s="1"/>
  <c r="Y121" i="43"/>
  <c r="AI121" i="43" s="1"/>
  <c r="X121" i="43"/>
  <c r="W121" i="43"/>
  <c r="V121" i="43"/>
  <c r="U121" i="43"/>
  <c r="T121" i="43"/>
  <c r="S121" i="43"/>
  <c r="R121" i="43"/>
  <c r="Q121" i="43"/>
  <c r="P121" i="43"/>
  <c r="O121" i="43"/>
  <c r="N121" i="43"/>
  <c r="K121" i="43"/>
  <c r="J121" i="43"/>
  <c r="I121" i="43"/>
  <c r="AD121" i="43" s="1"/>
  <c r="H121" i="43"/>
  <c r="AC121" i="43" s="1"/>
  <c r="AB120" i="43"/>
  <c r="AA120" i="43"/>
  <c r="Z120" i="43"/>
  <c r="AJ120" i="43" s="1"/>
  <c r="Y120" i="43"/>
  <c r="AI120" i="43" s="1"/>
  <c r="X120" i="43"/>
  <c r="W120" i="43"/>
  <c r="V120" i="43"/>
  <c r="U120" i="43"/>
  <c r="T120" i="43"/>
  <c r="S120" i="43"/>
  <c r="R120" i="43"/>
  <c r="Q120" i="43"/>
  <c r="P120" i="43"/>
  <c r="O120" i="43"/>
  <c r="N120" i="43"/>
  <c r="K120" i="43"/>
  <c r="J120" i="43"/>
  <c r="I120" i="43"/>
  <c r="H120" i="43"/>
  <c r="AB119" i="43"/>
  <c r="AA119" i="43"/>
  <c r="Z119" i="43"/>
  <c r="AJ119" i="43" s="1"/>
  <c r="Y119" i="43"/>
  <c r="AI119" i="43" s="1"/>
  <c r="X119" i="43"/>
  <c r="W119" i="43"/>
  <c r="V119" i="43"/>
  <c r="U119" i="43"/>
  <c r="T119" i="43"/>
  <c r="S119" i="43"/>
  <c r="R119" i="43"/>
  <c r="Q119" i="43"/>
  <c r="P119" i="43"/>
  <c r="O119" i="43"/>
  <c r="N119" i="43"/>
  <c r="K119" i="43"/>
  <c r="J119" i="43"/>
  <c r="I119" i="43"/>
  <c r="H119" i="43"/>
  <c r="AG119" i="43" s="1"/>
  <c r="AB118" i="43"/>
  <c r="AA118" i="43"/>
  <c r="Z118" i="43"/>
  <c r="AJ118" i="43" s="1"/>
  <c r="Y118" i="43"/>
  <c r="AI118" i="43" s="1"/>
  <c r="X118" i="43"/>
  <c r="W118" i="43"/>
  <c r="V118" i="43"/>
  <c r="U118" i="43"/>
  <c r="T118" i="43"/>
  <c r="S118" i="43"/>
  <c r="R118" i="43"/>
  <c r="Q118" i="43"/>
  <c r="P118" i="43"/>
  <c r="O118" i="43"/>
  <c r="N118" i="43"/>
  <c r="K118" i="43"/>
  <c r="J118" i="43"/>
  <c r="I118" i="43"/>
  <c r="AD118" i="43" s="1"/>
  <c r="H118" i="43"/>
  <c r="AE118" i="43" s="1"/>
  <c r="AB117" i="43"/>
  <c r="AA117" i="43"/>
  <c r="Z117" i="43"/>
  <c r="AJ117" i="43" s="1"/>
  <c r="Y117" i="43"/>
  <c r="AI117" i="43" s="1"/>
  <c r="X117" i="43"/>
  <c r="W117" i="43"/>
  <c r="V117" i="43"/>
  <c r="U117" i="43"/>
  <c r="T117" i="43"/>
  <c r="S117" i="43"/>
  <c r="R117" i="43"/>
  <c r="Q117" i="43"/>
  <c r="P117" i="43"/>
  <c r="O117" i="43"/>
  <c r="N117" i="43"/>
  <c r="K117" i="43"/>
  <c r="J117" i="43"/>
  <c r="I117" i="43"/>
  <c r="H117" i="43"/>
  <c r="AB116" i="43"/>
  <c r="AA116" i="43"/>
  <c r="Z116" i="43"/>
  <c r="AJ116" i="43" s="1"/>
  <c r="Y116" i="43"/>
  <c r="AI116" i="43" s="1"/>
  <c r="X116" i="43"/>
  <c r="W116" i="43"/>
  <c r="V116" i="43"/>
  <c r="U116" i="43"/>
  <c r="T116" i="43"/>
  <c r="S116" i="43"/>
  <c r="R116" i="43"/>
  <c r="Q116" i="43"/>
  <c r="P116" i="43"/>
  <c r="O116" i="43"/>
  <c r="N116" i="43"/>
  <c r="K116" i="43"/>
  <c r="J116" i="43"/>
  <c r="I116" i="43"/>
  <c r="AH116" i="43" s="1"/>
  <c r="H116" i="43"/>
  <c r="AC116" i="43" s="1"/>
  <c r="AB115" i="43"/>
  <c r="AA115" i="43"/>
  <c r="Z115" i="43"/>
  <c r="AJ115" i="43" s="1"/>
  <c r="Y115" i="43"/>
  <c r="AI115" i="43" s="1"/>
  <c r="X115" i="43"/>
  <c r="W115" i="43"/>
  <c r="V115" i="43"/>
  <c r="U115" i="43"/>
  <c r="T115" i="43"/>
  <c r="S115" i="43"/>
  <c r="R115" i="43"/>
  <c r="Q115" i="43"/>
  <c r="P115" i="43"/>
  <c r="O115" i="43"/>
  <c r="N115" i="43"/>
  <c r="K115" i="43"/>
  <c r="J115" i="43"/>
  <c r="I115" i="43"/>
  <c r="H115" i="43"/>
  <c r="AB114" i="43"/>
  <c r="AA114" i="43"/>
  <c r="Z114" i="43"/>
  <c r="AJ114" i="43" s="1"/>
  <c r="Y114" i="43"/>
  <c r="AI114" i="43" s="1"/>
  <c r="X114" i="43"/>
  <c r="W114" i="43"/>
  <c r="V114" i="43"/>
  <c r="U114" i="43"/>
  <c r="T114" i="43"/>
  <c r="S114" i="43"/>
  <c r="R114" i="43"/>
  <c r="Q114" i="43"/>
  <c r="P114" i="43"/>
  <c r="O114" i="43"/>
  <c r="N114" i="43"/>
  <c r="K114" i="43"/>
  <c r="J114" i="43"/>
  <c r="I114" i="43"/>
  <c r="H114" i="43"/>
  <c r="AB113" i="43"/>
  <c r="AA113" i="43"/>
  <c r="Z113" i="43"/>
  <c r="AJ113" i="43" s="1"/>
  <c r="Y113" i="43"/>
  <c r="AI113" i="43" s="1"/>
  <c r="X113" i="43"/>
  <c r="W113" i="43"/>
  <c r="V113" i="43"/>
  <c r="U113" i="43"/>
  <c r="T113" i="43"/>
  <c r="S113" i="43"/>
  <c r="R113" i="43"/>
  <c r="Q113" i="43"/>
  <c r="P113" i="43"/>
  <c r="O113" i="43"/>
  <c r="N113" i="43"/>
  <c r="K113" i="43"/>
  <c r="J113" i="43"/>
  <c r="I113" i="43"/>
  <c r="AD113" i="43" s="1"/>
  <c r="H113" i="43"/>
  <c r="AC113" i="43" s="1"/>
  <c r="AB112" i="43"/>
  <c r="AA112" i="43"/>
  <c r="Z112" i="43"/>
  <c r="AJ112" i="43" s="1"/>
  <c r="Y112" i="43"/>
  <c r="AI112" i="43" s="1"/>
  <c r="X112" i="43"/>
  <c r="W112" i="43"/>
  <c r="V112" i="43"/>
  <c r="U112" i="43"/>
  <c r="T112" i="43"/>
  <c r="S112" i="43"/>
  <c r="R112" i="43"/>
  <c r="Q112" i="43"/>
  <c r="P112" i="43"/>
  <c r="O112" i="43"/>
  <c r="N112" i="43"/>
  <c r="K112" i="43"/>
  <c r="J112" i="43"/>
  <c r="I112" i="43"/>
  <c r="H112" i="43"/>
  <c r="AB111" i="43"/>
  <c r="AA111" i="43"/>
  <c r="Z111" i="43"/>
  <c r="AJ111" i="43" s="1"/>
  <c r="Y111" i="43"/>
  <c r="AI111" i="43" s="1"/>
  <c r="X111" i="43"/>
  <c r="W111" i="43"/>
  <c r="V111" i="43"/>
  <c r="U111" i="43"/>
  <c r="T111" i="43"/>
  <c r="S111" i="43"/>
  <c r="R111" i="43"/>
  <c r="Q111" i="43"/>
  <c r="P111" i="43"/>
  <c r="O111" i="43"/>
  <c r="N111" i="43"/>
  <c r="K111" i="43"/>
  <c r="J111" i="43"/>
  <c r="I111" i="43"/>
  <c r="H111" i="43"/>
  <c r="AB110" i="43"/>
  <c r="AA110" i="43"/>
  <c r="Z110" i="43"/>
  <c r="AJ110" i="43" s="1"/>
  <c r="Y110" i="43"/>
  <c r="AI110" i="43" s="1"/>
  <c r="X110" i="43"/>
  <c r="W110" i="43"/>
  <c r="V110" i="43"/>
  <c r="U110" i="43"/>
  <c r="T110" i="43"/>
  <c r="S110" i="43"/>
  <c r="R110" i="43"/>
  <c r="Q110" i="43"/>
  <c r="P110" i="43"/>
  <c r="O110" i="43"/>
  <c r="N110" i="43"/>
  <c r="K110" i="43"/>
  <c r="J110" i="43"/>
  <c r="I110" i="43"/>
  <c r="AD110" i="43" s="1"/>
  <c r="H110" i="43"/>
  <c r="AB109" i="43"/>
  <c r="AA109" i="43"/>
  <c r="Z109" i="43"/>
  <c r="AJ109" i="43" s="1"/>
  <c r="Y109" i="43"/>
  <c r="AI109" i="43" s="1"/>
  <c r="X109" i="43"/>
  <c r="W109" i="43"/>
  <c r="V109" i="43"/>
  <c r="U109" i="43"/>
  <c r="T109" i="43"/>
  <c r="S109" i="43"/>
  <c r="R109" i="43"/>
  <c r="Q109" i="43"/>
  <c r="P109" i="43"/>
  <c r="O109" i="43"/>
  <c r="N109" i="43"/>
  <c r="K109" i="43"/>
  <c r="J109" i="43"/>
  <c r="I109" i="43"/>
  <c r="H109" i="43"/>
  <c r="AB108" i="43"/>
  <c r="AA108" i="43"/>
  <c r="Z108" i="43"/>
  <c r="AJ108" i="43" s="1"/>
  <c r="Y108" i="43"/>
  <c r="AI108" i="43" s="1"/>
  <c r="X108" i="43"/>
  <c r="W108" i="43"/>
  <c r="V108" i="43"/>
  <c r="U108" i="43"/>
  <c r="T108" i="43"/>
  <c r="S108" i="43"/>
  <c r="R108" i="43"/>
  <c r="Q108" i="43"/>
  <c r="P108" i="43"/>
  <c r="O108" i="43"/>
  <c r="N108" i="43"/>
  <c r="K108" i="43"/>
  <c r="J108" i="43"/>
  <c r="I108" i="43"/>
  <c r="H108" i="43"/>
  <c r="AC108" i="43" s="1"/>
  <c r="AB107" i="43"/>
  <c r="AA107" i="43"/>
  <c r="Z107" i="43"/>
  <c r="AJ107" i="43" s="1"/>
  <c r="Y107" i="43"/>
  <c r="AI107" i="43" s="1"/>
  <c r="X107" i="43"/>
  <c r="W107" i="43"/>
  <c r="V107" i="43"/>
  <c r="U107" i="43"/>
  <c r="T107" i="43"/>
  <c r="S107" i="43"/>
  <c r="R107" i="43"/>
  <c r="Q107" i="43"/>
  <c r="P107" i="43"/>
  <c r="O107" i="43"/>
  <c r="N107" i="43"/>
  <c r="K107" i="43"/>
  <c r="J107" i="43"/>
  <c r="I107" i="43"/>
  <c r="H107" i="43"/>
  <c r="AB106" i="43"/>
  <c r="AA106" i="43"/>
  <c r="Z106" i="43"/>
  <c r="AJ106" i="43" s="1"/>
  <c r="Y106" i="43"/>
  <c r="AI106" i="43" s="1"/>
  <c r="X106" i="43"/>
  <c r="W106" i="43"/>
  <c r="V106" i="43"/>
  <c r="U106" i="43"/>
  <c r="T106" i="43"/>
  <c r="S106" i="43"/>
  <c r="R106" i="43"/>
  <c r="Q106" i="43"/>
  <c r="P106" i="43"/>
  <c r="O106" i="43"/>
  <c r="N106" i="43"/>
  <c r="K106" i="43"/>
  <c r="J106" i="43"/>
  <c r="I106" i="43"/>
  <c r="H106" i="43"/>
  <c r="AB105" i="43"/>
  <c r="AA105" i="43"/>
  <c r="Z105" i="43"/>
  <c r="AJ105" i="43" s="1"/>
  <c r="Y105" i="43"/>
  <c r="AI105" i="43" s="1"/>
  <c r="X105" i="43"/>
  <c r="W105" i="43"/>
  <c r="V105" i="43"/>
  <c r="U105" i="43"/>
  <c r="T105" i="43"/>
  <c r="S105" i="43"/>
  <c r="R105" i="43"/>
  <c r="Q105" i="43"/>
  <c r="P105" i="43"/>
  <c r="O105" i="43"/>
  <c r="N105" i="43"/>
  <c r="K105" i="43"/>
  <c r="J105" i="43"/>
  <c r="I105" i="43"/>
  <c r="AD105" i="43" s="1"/>
  <c r="H105" i="43"/>
  <c r="AC105" i="43" s="1"/>
  <c r="AB104" i="43"/>
  <c r="AA104" i="43"/>
  <c r="Z104" i="43"/>
  <c r="AJ104" i="43" s="1"/>
  <c r="Y104" i="43"/>
  <c r="AI104" i="43" s="1"/>
  <c r="X104" i="43"/>
  <c r="W104" i="43"/>
  <c r="V104" i="43"/>
  <c r="U104" i="43"/>
  <c r="T104" i="43"/>
  <c r="S104" i="43"/>
  <c r="R104" i="43"/>
  <c r="Q104" i="43"/>
  <c r="P104" i="43"/>
  <c r="O104" i="43"/>
  <c r="N104" i="43"/>
  <c r="K104" i="43"/>
  <c r="J104" i="43"/>
  <c r="I104" i="43"/>
  <c r="H104" i="43"/>
  <c r="AB103" i="43"/>
  <c r="AA103" i="43"/>
  <c r="Z103" i="43"/>
  <c r="AJ103" i="43" s="1"/>
  <c r="Y103" i="43"/>
  <c r="AI103" i="43" s="1"/>
  <c r="X103" i="43"/>
  <c r="W103" i="43"/>
  <c r="V103" i="43"/>
  <c r="U103" i="43"/>
  <c r="T103" i="43"/>
  <c r="S103" i="43"/>
  <c r="R103" i="43"/>
  <c r="Q103" i="43"/>
  <c r="P103" i="43"/>
  <c r="O103" i="43"/>
  <c r="N103" i="43"/>
  <c r="K103" i="43"/>
  <c r="J103" i="43"/>
  <c r="I103" i="43"/>
  <c r="AD103" i="43" s="1"/>
  <c r="H103" i="43"/>
  <c r="AB102" i="43"/>
  <c r="AA102" i="43"/>
  <c r="Z102" i="43"/>
  <c r="AJ102" i="43" s="1"/>
  <c r="Y102" i="43"/>
  <c r="AI102" i="43" s="1"/>
  <c r="X102" i="43"/>
  <c r="W102" i="43"/>
  <c r="V102" i="43"/>
  <c r="U102" i="43"/>
  <c r="T102" i="43"/>
  <c r="S102" i="43"/>
  <c r="R102" i="43"/>
  <c r="Q102" i="43"/>
  <c r="P102" i="43"/>
  <c r="O102" i="43"/>
  <c r="N102" i="43"/>
  <c r="K102" i="43"/>
  <c r="J102" i="43"/>
  <c r="I102" i="43"/>
  <c r="H102" i="43"/>
  <c r="AB101" i="43"/>
  <c r="AA101" i="43"/>
  <c r="Z101" i="43"/>
  <c r="AJ101" i="43" s="1"/>
  <c r="Y101" i="43"/>
  <c r="AI101" i="43" s="1"/>
  <c r="X101" i="43"/>
  <c r="W101" i="43"/>
  <c r="V101" i="43"/>
  <c r="U101" i="43"/>
  <c r="T101" i="43"/>
  <c r="S101" i="43"/>
  <c r="R101" i="43"/>
  <c r="Q101" i="43"/>
  <c r="P101" i="43"/>
  <c r="O101" i="43"/>
  <c r="N101" i="43"/>
  <c r="K101" i="43"/>
  <c r="J101" i="43"/>
  <c r="I101" i="43"/>
  <c r="AD101" i="43" s="1"/>
  <c r="H101" i="43"/>
  <c r="AB100" i="43"/>
  <c r="AA100" i="43"/>
  <c r="Z100" i="43"/>
  <c r="AJ100" i="43" s="1"/>
  <c r="Y100" i="43"/>
  <c r="AI100" i="43" s="1"/>
  <c r="X100" i="43"/>
  <c r="W100" i="43"/>
  <c r="V100" i="43"/>
  <c r="U100" i="43"/>
  <c r="T100" i="43"/>
  <c r="S100" i="43"/>
  <c r="R100" i="43"/>
  <c r="Q100" i="43"/>
  <c r="P100" i="43"/>
  <c r="O100" i="43"/>
  <c r="N100" i="43"/>
  <c r="K100" i="43"/>
  <c r="J100" i="43"/>
  <c r="I100" i="43"/>
  <c r="H100" i="43"/>
  <c r="AB99" i="43"/>
  <c r="AA99" i="43"/>
  <c r="Z99" i="43"/>
  <c r="AJ99" i="43" s="1"/>
  <c r="Y99" i="43"/>
  <c r="AI99" i="43" s="1"/>
  <c r="X99" i="43"/>
  <c r="W99" i="43"/>
  <c r="V99" i="43"/>
  <c r="U99" i="43"/>
  <c r="T99" i="43"/>
  <c r="S99" i="43"/>
  <c r="R99" i="43"/>
  <c r="Q99" i="43"/>
  <c r="P99" i="43"/>
  <c r="O99" i="43"/>
  <c r="N99" i="43"/>
  <c r="K99" i="43"/>
  <c r="J99" i="43"/>
  <c r="I99" i="43"/>
  <c r="H99" i="43"/>
  <c r="AB98" i="43"/>
  <c r="AA98" i="43"/>
  <c r="Z98" i="43"/>
  <c r="AJ98" i="43" s="1"/>
  <c r="Y98" i="43"/>
  <c r="AI98" i="43" s="1"/>
  <c r="X98" i="43"/>
  <c r="W98" i="43"/>
  <c r="V98" i="43"/>
  <c r="U98" i="43"/>
  <c r="T98" i="43"/>
  <c r="S98" i="43"/>
  <c r="R98" i="43"/>
  <c r="Q98" i="43"/>
  <c r="P98" i="43"/>
  <c r="O98" i="43"/>
  <c r="N98" i="43"/>
  <c r="K98" i="43"/>
  <c r="J98" i="43"/>
  <c r="I98" i="43"/>
  <c r="H98" i="43"/>
  <c r="AB97" i="43"/>
  <c r="AA97" i="43"/>
  <c r="Z97" i="43"/>
  <c r="AJ97" i="43" s="1"/>
  <c r="Y97" i="43"/>
  <c r="AI97" i="43" s="1"/>
  <c r="X97" i="43"/>
  <c r="W97" i="43"/>
  <c r="V97" i="43"/>
  <c r="U97" i="43"/>
  <c r="T97" i="43"/>
  <c r="S97" i="43"/>
  <c r="R97" i="43"/>
  <c r="Q97" i="43"/>
  <c r="P97" i="43"/>
  <c r="O97" i="43"/>
  <c r="N97" i="43"/>
  <c r="K97" i="43"/>
  <c r="J97" i="43"/>
  <c r="I97" i="43"/>
  <c r="H97" i="43"/>
  <c r="AB96" i="43"/>
  <c r="AA96" i="43"/>
  <c r="Z96" i="43"/>
  <c r="AJ96" i="43" s="1"/>
  <c r="Y96" i="43"/>
  <c r="AI96" i="43" s="1"/>
  <c r="X96" i="43"/>
  <c r="W96" i="43"/>
  <c r="V96" i="43"/>
  <c r="U96" i="43"/>
  <c r="T96" i="43"/>
  <c r="S96" i="43"/>
  <c r="R96" i="43"/>
  <c r="Q96" i="43"/>
  <c r="P96" i="43"/>
  <c r="O96" i="43"/>
  <c r="N96" i="43"/>
  <c r="K96" i="43"/>
  <c r="J96" i="43"/>
  <c r="I96" i="43"/>
  <c r="H96" i="43"/>
  <c r="AB95" i="43"/>
  <c r="AA95" i="43"/>
  <c r="Z95" i="43"/>
  <c r="AJ95" i="43" s="1"/>
  <c r="Y95" i="43"/>
  <c r="AI95" i="43" s="1"/>
  <c r="X95" i="43"/>
  <c r="W95" i="43"/>
  <c r="V95" i="43"/>
  <c r="U95" i="43"/>
  <c r="T95" i="43"/>
  <c r="S95" i="43"/>
  <c r="R95" i="43"/>
  <c r="Q95" i="43"/>
  <c r="P95" i="43"/>
  <c r="O95" i="43"/>
  <c r="N95" i="43"/>
  <c r="K95" i="43"/>
  <c r="J95" i="43"/>
  <c r="I95" i="43"/>
  <c r="AD95" i="43" s="1"/>
  <c r="H95" i="43"/>
  <c r="AB94" i="43"/>
  <c r="AA94" i="43"/>
  <c r="Z94" i="43"/>
  <c r="AJ94" i="43" s="1"/>
  <c r="Y94" i="43"/>
  <c r="AI94" i="43" s="1"/>
  <c r="X94" i="43"/>
  <c r="W94" i="43"/>
  <c r="V94" i="43"/>
  <c r="U94" i="43"/>
  <c r="T94" i="43"/>
  <c r="S94" i="43"/>
  <c r="R94" i="43"/>
  <c r="Q94" i="43"/>
  <c r="P94" i="43"/>
  <c r="O94" i="43"/>
  <c r="N94" i="43"/>
  <c r="K94" i="43"/>
  <c r="J94" i="43"/>
  <c r="I94" i="43"/>
  <c r="H94" i="43"/>
  <c r="AB93" i="43"/>
  <c r="AA93" i="43"/>
  <c r="Z93" i="43"/>
  <c r="AJ93" i="43" s="1"/>
  <c r="Y93" i="43"/>
  <c r="AI93" i="43" s="1"/>
  <c r="X93" i="43"/>
  <c r="W93" i="43"/>
  <c r="V93" i="43"/>
  <c r="U93" i="43"/>
  <c r="T93" i="43"/>
  <c r="S93" i="43"/>
  <c r="R93" i="43"/>
  <c r="Q93" i="43"/>
  <c r="P93" i="43"/>
  <c r="O93" i="43"/>
  <c r="N93" i="43"/>
  <c r="K93" i="43"/>
  <c r="J93" i="43"/>
  <c r="I93" i="43"/>
  <c r="H93" i="43"/>
  <c r="AB92" i="43"/>
  <c r="AA92" i="43"/>
  <c r="Z92" i="43"/>
  <c r="AJ92" i="43" s="1"/>
  <c r="Y92" i="43"/>
  <c r="AI92" i="43" s="1"/>
  <c r="X92" i="43"/>
  <c r="W92" i="43"/>
  <c r="V92" i="43"/>
  <c r="U92" i="43"/>
  <c r="T92" i="43"/>
  <c r="S92" i="43"/>
  <c r="R92" i="43"/>
  <c r="Q92" i="43"/>
  <c r="P92" i="43"/>
  <c r="O92" i="43"/>
  <c r="N92" i="43"/>
  <c r="K92" i="43"/>
  <c r="J92" i="43"/>
  <c r="I92" i="43"/>
  <c r="H92" i="43"/>
  <c r="AB91" i="43"/>
  <c r="AA91" i="43"/>
  <c r="Z91" i="43"/>
  <c r="AJ91" i="43" s="1"/>
  <c r="Y91" i="43"/>
  <c r="AI91" i="43" s="1"/>
  <c r="X91" i="43"/>
  <c r="W91" i="43"/>
  <c r="V91" i="43"/>
  <c r="U91" i="43"/>
  <c r="T91" i="43"/>
  <c r="S91" i="43"/>
  <c r="R91" i="43"/>
  <c r="Q91" i="43"/>
  <c r="P91" i="43"/>
  <c r="O91" i="43"/>
  <c r="N91" i="43"/>
  <c r="K91" i="43"/>
  <c r="J91" i="43"/>
  <c r="I91" i="43"/>
  <c r="H91" i="43"/>
  <c r="AB90" i="43"/>
  <c r="AA90" i="43"/>
  <c r="Z90" i="43"/>
  <c r="AJ90" i="43" s="1"/>
  <c r="Y90" i="43"/>
  <c r="AI90" i="43" s="1"/>
  <c r="X90" i="43"/>
  <c r="W90" i="43"/>
  <c r="V90" i="43"/>
  <c r="U90" i="43"/>
  <c r="T90" i="43"/>
  <c r="S90" i="43"/>
  <c r="R90" i="43"/>
  <c r="Q90" i="43"/>
  <c r="P90" i="43"/>
  <c r="O90" i="43"/>
  <c r="N90" i="43"/>
  <c r="K90" i="43"/>
  <c r="J90" i="43"/>
  <c r="I90" i="43"/>
  <c r="AD90" i="43" s="1"/>
  <c r="H90" i="43"/>
  <c r="AB89" i="43"/>
  <c r="AA89" i="43"/>
  <c r="Z89" i="43"/>
  <c r="AJ89" i="43" s="1"/>
  <c r="Y89" i="43"/>
  <c r="AI89" i="43" s="1"/>
  <c r="X89" i="43"/>
  <c r="W89" i="43"/>
  <c r="V89" i="43"/>
  <c r="U89" i="43"/>
  <c r="T89" i="43"/>
  <c r="S89" i="43"/>
  <c r="R89" i="43"/>
  <c r="Q89" i="43"/>
  <c r="P89" i="43"/>
  <c r="O89" i="43"/>
  <c r="N89" i="43"/>
  <c r="K89" i="43"/>
  <c r="J89" i="43"/>
  <c r="I89" i="43"/>
  <c r="H89" i="43"/>
  <c r="AB88" i="43"/>
  <c r="AA88" i="43"/>
  <c r="Z88" i="43"/>
  <c r="AJ88" i="43" s="1"/>
  <c r="Y88" i="43"/>
  <c r="AI88" i="43" s="1"/>
  <c r="X88" i="43"/>
  <c r="W88" i="43"/>
  <c r="V88" i="43"/>
  <c r="U88" i="43"/>
  <c r="T88" i="43"/>
  <c r="S88" i="43"/>
  <c r="R88" i="43"/>
  <c r="Q88" i="43"/>
  <c r="P88" i="43"/>
  <c r="O88" i="43"/>
  <c r="N88" i="43"/>
  <c r="K88" i="43"/>
  <c r="J88" i="43"/>
  <c r="I88" i="43"/>
  <c r="H88" i="43"/>
  <c r="AB87" i="43"/>
  <c r="AA87" i="43"/>
  <c r="Z87" i="43"/>
  <c r="AJ87" i="43" s="1"/>
  <c r="Y87" i="43"/>
  <c r="AI87" i="43" s="1"/>
  <c r="X87" i="43"/>
  <c r="W87" i="43"/>
  <c r="V87" i="43"/>
  <c r="U87" i="43"/>
  <c r="T87" i="43"/>
  <c r="S87" i="43"/>
  <c r="R87" i="43"/>
  <c r="Q87" i="43"/>
  <c r="P87" i="43"/>
  <c r="O87" i="43"/>
  <c r="N87" i="43"/>
  <c r="K87" i="43"/>
  <c r="J87" i="43"/>
  <c r="I87" i="43"/>
  <c r="H87" i="43"/>
  <c r="AB86" i="43"/>
  <c r="AA86" i="43"/>
  <c r="Z86" i="43"/>
  <c r="AJ86" i="43" s="1"/>
  <c r="Y86" i="43"/>
  <c r="AI86" i="43" s="1"/>
  <c r="X86" i="43"/>
  <c r="W86" i="43"/>
  <c r="V86" i="43"/>
  <c r="U86" i="43"/>
  <c r="T86" i="43"/>
  <c r="S86" i="43"/>
  <c r="R86" i="43"/>
  <c r="Q86" i="43"/>
  <c r="P86" i="43"/>
  <c r="O86" i="43"/>
  <c r="N86" i="43"/>
  <c r="K86" i="43"/>
  <c r="J86" i="43"/>
  <c r="I86" i="43"/>
  <c r="H86" i="43"/>
  <c r="AB85" i="43"/>
  <c r="AA85" i="43"/>
  <c r="Z85" i="43"/>
  <c r="AJ85" i="43" s="1"/>
  <c r="Y85" i="43"/>
  <c r="AI85" i="43" s="1"/>
  <c r="X85" i="43"/>
  <c r="W85" i="43"/>
  <c r="V85" i="43"/>
  <c r="U85" i="43"/>
  <c r="T85" i="43"/>
  <c r="S85" i="43"/>
  <c r="R85" i="43"/>
  <c r="Q85" i="43"/>
  <c r="P85" i="43"/>
  <c r="O85" i="43"/>
  <c r="N85" i="43"/>
  <c r="K85" i="43"/>
  <c r="J85" i="43"/>
  <c r="I85" i="43"/>
  <c r="H85" i="43"/>
  <c r="AB84" i="43"/>
  <c r="AA84" i="43"/>
  <c r="Z84" i="43"/>
  <c r="AJ84" i="43" s="1"/>
  <c r="Y84" i="43"/>
  <c r="AI84" i="43" s="1"/>
  <c r="X84" i="43"/>
  <c r="W84" i="43"/>
  <c r="V84" i="43"/>
  <c r="U84" i="43"/>
  <c r="T84" i="43"/>
  <c r="S84" i="43"/>
  <c r="R84" i="43"/>
  <c r="Q84" i="43"/>
  <c r="P84" i="43"/>
  <c r="O84" i="43"/>
  <c r="N84" i="43"/>
  <c r="K84" i="43"/>
  <c r="J84" i="43"/>
  <c r="I84" i="43"/>
  <c r="H84" i="43"/>
  <c r="AB83" i="43"/>
  <c r="AA83" i="43"/>
  <c r="Z83" i="43"/>
  <c r="AJ83" i="43" s="1"/>
  <c r="Y83" i="43"/>
  <c r="AI83" i="43" s="1"/>
  <c r="X83" i="43"/>
  <c r="W83" i="43"/>
  <c r="V83" i="43"/>
  <c r="U83" i="43"/>
  <c r="T83" i="43"/>
  <c r="S83" i="43"/>
  <c r="R83" i="43"/>
  <c r="Q83" i="43"/>
  <c r="P83" i="43"/>
  <c r="O83" i="43"/>
  <c r="N83" i="43"/>
  <c r="K83" i="43"/>
  <c r="J83" i="43"/>
  <c r="I83" i="43"/>
  <c r="H83" i="43"/>
  <c r="AB82" i="43"/>
  <c r="AA82" i="43"/>
  <c r="Z82" i="43"/>
  <c r="AJ82" i="43" s="1"/>
  <c r="Y82" i="43"/>
  <c r="AI82" i="43" s="1"/>
  <c r="X82" i="43"/>
  <c r="W82" i="43"/>
  <c r="V82" i="43"/>
  <c r="U82" i="43"/>
  <c r="T82" i="43"/>
  <c r="S82" i="43"/>
  <c r="R82" i="43"/>
  <c r="Q82" i="43"/>
  <c r="P82" i="43"/>
  <c r="O82" i="43"/>
  <c r="N82" i="43"/>
  <c r="K82" i="43"/>
  <c r="J82" i="43"/>
  <c r="I82" i="43"/>
  <c r="AD82" i="43" s="1"/>
  <c r="H82" i="43"/>
  <c r="AB81" i="43"/>
  <c r="AA81" i="43"/>
  <c r="Z81" i="43"/>
  <c r="AJ81" i="43" s="1"/>
  <c r="Y81" i="43"/>
  <c r="AI81" i="43" s="1"/>
  <c r="X81" i="43"/>
  <c r="W81" i="43"/>
  <c r="V81" i="43"/>
  <c r="U81" i="43"/>
  <c r="T81" i="43"/>
  <c r="S81" i="43"/>
  <c r="R81" i="43"/>
  <c r="Q81" i="43"/>
  <c r="P81" i="43"/>
  <c r="O81" i="43"/>
  <c r="N81" i="43"/>
  <c r="K81" i="43"/>
  <c r="J81" i="43"/>
  <c r="I81" i="43"/>
  <c r="H81" i="43"/>
  <c r="AB80" i="43"/>
  <c r="AA80" i="43"/>
  <c r="Z80" i="43"/>
  <c r="AJ80" i="43" s="1"/>
  <c r="Y80" i="43"/>
  <c r="AI80" i="43" s="1"/>
  <c r="X80" i="43"/>
  <c r="W80" i="43"/>
  <c r="V80" i="43"/>
  <c r="U80" i="43"/>
  <c r="T80" i="43"/>
  <c r="S80" i="43"/>
  <c r="R80" i="43"/>
  <c r="Q80" i="43"/>
  <c r="P80" i="43"/>
  <c r="O80" i="43"/>
  <c r="N80" i="43"/>
  <c r="K80" i="43"/>
  <c r="J80" i="43"/>
  <c r="I80" i="43"/>
  <c r="H80" i="43"/>
  <c r="AB79" i="43"/>
  <c r="AA79" i="43"/>
  <c r="Z79" i="43"/>
  <c r="AJ79" i="43" s="1"/>
  <c r="Y79" i="43"/>
  <c r="AI79" i="43" s="1"/>
  <c r="X79" i="43"/>
  <c r="W79" i="43"/>
  <c r="V79" i="43"/>
  <c r="U79" i="43"/>
  <c r="T79" i="43"/>
  <c r="S79" i="43"/>
  <c r="R79" i="43"/>
  <c r="Q79" i="43"/>
  <c r="P79" i="43"/>
  <c r="O79" i="43"/>
  <c r="N79" i="43"/>
  <c r="K79" i="43"/>
  <c r="J79" i="43"/>
  <c r="I79" i="43"/>
  <c r="AD79" i="43" s="1"/>
  <c r="H79" i="43"/>
  <c r="AB78" i="43"/>
  <c r="AA78" i="43"/>
  <c r="Z78" i="43"/>
  <c r="AJ78" i="43" s="1"/>
  <c r="Y78" i="43"/>
  <c r="AI78" i="43" s="1"/>
  <c r="X78" i="43"/>
  <c r="W78" i="43"/>
  <c r="V78" i="43"/>
  <c r="U78" i="43"/>
  <c r="T78" i="43"/>
  <c r="S78" i="43"/>
  <c r="R78" i="43"/>
  <c r="Q78" i="43"/>
  <c r="P78" i="43"/>
  <c r="O78" i="43"/>
  <c r="N78" i="43"/>
  <c r="K78" i="43"/>
  <c r="J78" i="43"/>
  <c r="I78" i="43"/>
  <c r="H78" i="43"/>
  <c r="AB77" i="43"/>
  <c r="AA77" i="43"/>
  <c r="Z77" i="43"/>
  <c r="AJ77" i="43" s="1"/>
  <c r="Y77" i="43"/>
  <c r="AI77" i="43" s="1"/>
  <c r="X77" i="43"/>
  <c r="W77" i="43"/>
  <c r="V77" i="43"/>
  <c r="U77" i="43"/>
  <c r="T77" i="43"/>
  <c r="S77" i="43"/>
  <c r="R77" i="43"/>
  <c r="Q77" i="43"/>
  <c r="P77" i="43"/>
  <c r="O77" i="43"/>
  <c r="N77" i="43"/>
  <c r="K77" i="43"/>
  <c r="J77" i="43"/>
  <c r="I77" i="43"/>
  <c r="H77" i="43"/>
  <c r="AB76" i="43"/>
  <c r="AA76" i="43"/>
  <c r="Z76" i="43"/>
  <c r="AJ76" i="43" s="1"/>
  <c r="Y76" i="43"/>
  <c r="AI76" i="43" s="1"/>
  <c r="X76" i="43"/>
  <c r="W76" i="43"/>
  <c r="V76" i="43"/>
  <c r="U76" i="43"/>
  <c r="T76" i="43"/>
  <c r="S76" i="43"/>
  <c r="R76" i="43"/>
  <c r="Q76" i="43"/>
  <c r="P76" i="43"/>
  <c r="O76" i="43"/>
  <c r="N76" i="43"/>
  <c r="K76" i="43"/>
  <c r="J76" i="43"/>
  <c r="I76" i="43"/>
  <c r="H76" i="43"/>
  <c r="AB75" i="43"/>
  <c r="AA75" i="43"/>
  <c r="Z75" i="43"/>
  <c r="AJ75" i="43" s="1"/>
  <c r="Y75" i="43"/>
  <c r="AI75" i="43" s="1"/>
  <c r="X75" i="43"/>
  <c r="W75" i="43"/>
  <c r="V75" i="43"/>
  <c r="U75" i="43"/>
  <c r="T75" i="43"/>
  <c r="S75" i="43"/>
  <c r="R75" i="43"/>
  <c r="Q75" i="43"/>
  <c r="P75" i="43"/>
  <c r="O75" i="43"/>
  <c r="N75" i="43"/>
  <c r="K75" i="43"/>
  <c r="J75" i="43"/>
  <c r="I75" i="43"/>
  <c r="H75" i="43"/>
  <c r="AB74" i="43"/>
  <c r="AA74" i="43"/>
  <c r="Z74" i="43"/>
  <c r="AJ74" i="43" s="1"/>
  <c r="Y74" i="43"/>
  <c r="AI74" i="43" s="1"/>
  <c r="X74" i="43"/>
  <c r="W74" i="43"/>
  <c r="V74" i="43"/>
  <c r="U74" i="43"/>
  <c r="T74" i="43"/>
  <c r="S74" i="43"/>
  <c r="R74" i="43"/>
  <c r="Q74" i="43"/>
  <c r="P74" i="43"/>
  <c r="O74" i="43"/>
  <c r="N74" i="43"/>
  <c r="K74" i="43"/>
  <c r="J74" i="43"/>
  <c r="I74" i="43"/>
  <c r="H74" i="43"/>
  <c r="AB73" i="43"/>
  <c r="AA73" i="43"/>
  <c r="Z73" i="43"/>
  <c r="AJ73" i="43" s="1"/>
  <c r="Y73" i="43"/>
  <c r="AI73" i="43" s="1"/>
  <c r="X73" i="43"/>
  <c r="W73" i="43"/>
  <c r="V73" i="43"/>
  <c r="U73" i="43"/>
  <c r="T73" i="43"/>
  <c r="S73" i="43"/>
  <c r="R73" i="43"/>
  <c r="Q73" i="43"/>
  <c r="P73" i="43"/>
  <c r="O73" i="43"/>
  <c r="N73" i="43"/>
  <c r="K73" i="43"/>
  <c r="J73" i="43"/>
  <c r="I73" i="43"/>
  <c r="H73" i="43"/>
  <c r="AB72" i="43"/>
  <c r="AA72" i="43"/>
  <c r="Z72" i="43"/>
  <c r="AJ72" i="43" s="1"/>
  <c r="Y72" i="43"/>
  <c r="AI72" i="43" s="1"/>
  <c r="X72" i="43"/>
  <c r="W72" i="43"/>
  <c r="V72" i="43"/>
  <c r="U72" i="43"/>
  <c r="T72" i="43"/>
  <c r="S72" i="43"/>
  <c r="R72" i="43"/>
  <c r="Q72" i="43"/>
  <c r="P72" i="43"/>
  <c r="O72" i="43"/>
  <c r="N72" i="43"/>
  <c r="K72" i="43"/>
  <c r="J72" i="43"/>
  <c r="I72" i="43"/>
  <c r="H72" i="43"/>
  <c r="AB71" i="43"/>
  <c r="AA71" i="43"/>
  <c r="Z71" i="43"/>
  <c r="AJ71" i="43" s="1"/>
  <c r="Y71" i="43"/>
  <c r="AI71" i="43" s="1"/>
  <c r="X71" i="43"/>
  <c r="W71" i="43"/>
  <c r="V71" i="43"/>
  <c r="U71" i="43"/>
  <c r="T71" i="43"/>
  <c r="S71" i="43"/>
  <c r="R71" i="43"/>
  <c r="Q71" i="43"/>
  <c r="P71" i="43"/>
  <c r="O71" i="43"/>
  <c r="N71" i="43"/>
  <c r="K71" i="43"/>
  <c r="J71" i="43"/>
  <c r="I71" i="43"/>
  <c r="AD71" i="43" s="1"/>
  <c r="H71" i="43"/>
  <c r="AB70" i="43"/>
  <c r="AA70" i="43"/>
  <c r="Z70" i="43"/>
  <c r="AJ70" i="43" s="1"/>
  <c r="Y70" i="43"/>
  <c r="AI70" i="43" s="1"/>
  <c r="X70" i="43"/>
  <c r="W70" i="43"/>
  <c r="V70" i="43"/>
  <c r="U70" i="43"/>
  <c r="T70" i="43"/>
  <c r="S70" i="43"/>
  <c r="R70" i="43"/>
  <c r="Q70" i="43"/>
  <c r="P70" i="43"/>
  <c r="O70" i="43"/>
  <c r="N70" i="43"/>
  <c r="K70" i="43"/>
  <c r="J70" i="43"/>
  <c r="I70" i="43"/>
  <c r="H70" i="43"/>
  <c r="AB69" i="43"/>
  <c r="AA69" i="43"/>
  <c r="Z69" i="43"/>
  <c r="AJ69" i="43" s="1"/>
  <c r="Y69" i="43"/>
  <c r="AI69" i="43" s="1"/>
  <c r="X69" i="43"/>
  <c r="W69" i="43"/>
  <c r="V69" i="43"/>
  <c r="U69" i="43"/>
  <c r="T69" i="43"/>
  <c r="S69" i="43"/>
  <c r="R69" i="43"/>
  <c r="Q69" i="43"/>
  <c r="P69" i="43"/>
  <c r="O69" i="43"/>
  <c r="N69" i="43"/>
  <c r="K69" i="43"/>
  <c r="J69" i="43"/>
  <c r="I69" i="43"/>
  <c r="H69" i="43"/>
  <c r="AB68" i="43"/>
  <c r="AA68" i="43"/>
  <c r="Z68" i="43"/>
  <c r="AJ68" i="43" s="1"/>
  <c r="Y68" i="43"/>
  <c r="AI68" i="43" s="1"/>
  <c r="X68" i="43"/>
  <c r="W68" i="43"/>
  <c r="V68" i="43"/>
  <c r="U68" i="43"/>
  <c r="T68" i="43"/>
  <c r="S68" i="43"/>
  <c r="R68" i="43"/>
  <c r="Q68" i="43"/>
  <c r="P68" i="43"/>
  <c r="O68" i="43"/>
  <c r="N68" i="43"/>
  <c r="K68" i="43"/>
  <c r="J68" i="43"/>
  <c r="I68" i="43"/>
  <c r="H68" i="43"/>
  <c r="AC68" i="43" s="1"/>
  <c r="AB67" i="43"/>
  <c r="AA67" i="43"/>
  <c r="Z67" i="43"/>
  <c r="AJ67" i="43" s="1"/>
  <c r="Y67" i="43"/>
  <c r="AI67" i="43" s="1"/>
  <c r="X67" i="43"/>
  <c r="W67" i="43"/>
  <c r="V67" i="43"/>
  <c r="U67" i="43"/>
  <c r="T67" i="43"/>
  <c r="S67" i="43"/>
  <c r="R67" i="43"/>
  <c r="Q67" i="43"/>
  <c r="P67" i="43"/>
  <c r="O67" i="43"/>
  <c r="N67" i="43"/>
  <c r="K67" i="43"/>
  <c r="J67" i="43"/>
  <c r="I67" i="43"/>
  <c r="H67" i="43"/>
  <c r="AB66" i="43"/>
  <c r="AA66" i="43"/>
  <c r="Z66" i="43"/>
  <c r="AJ66" i="43" s="1"/>
  <c r="Y66" i="43"/>
  <c r="AI66" i="43" s="1"/>
  <c r="X66" i="43"/>
  <c r="W66" i="43"/>
  <c r="V66" i="43"/>
  <c r="U66" i="43"/>
  <c r="T66" i="43"/>
  <c r="S66" i="43"/>
  <c r="R66" i="43"/>
  <c r="Q66" i="43"/>
  <c r="P66" i="43"/>
  <c r="O66" i="43"/>
  <c r="N66" i="43"/>
  <c r="K66" i="43"/>
  <c r="J66" i="43"/>
  <c r="I66" i="43"/>
  <c r="H66" i="43"/>
  <c r="AB65" i="43"/>
  <c r="AA65" i="43"/>
  <c r="Z65" i="43"/>
  <c r="AJ65" i="43" s="1"/>
  <c r="Y65" i="43"/>
  <c r="AI65" i="43" s="1"/>
  <c r="X65" i="43"/>
  <c r="W65" i="43"/>
  <c r="V65" i="43"/>
  <c r="U65" i="43"/>
  <c r="T65" i="43"/>
  <c r="S65" i="43"/>
  <c r="R65" i="43"/>
  <c r="Q65" i="43"/>
  <c r="P65" i="43"/>
  <c r="O65" i="43"/>
  <c r="N65" i="43"/>
  <c r="K65" i="43"/>
  <c r="J65" i="43"/>
  <c r="I65" i="43"/>
  <c r="AD65" i="43" s="1"/>
  <c r="H65" i="43"/>
  <c r="AB64" i="43"/>
  <c r="AA64" i="43"/>
  <c r="Z64" i="43"/>
  <c r="AJ64" i="43" s="1"/>
  <c r="Y64" i="43"/>
  <c r="AI64" i="43" s="1"/>
  <c r="X64" i="43"/>
  <c r="W64" i="43"/>
  <c r="V64" i="43"/>
  <c r="U64" i="43"/>
  <c r="T64" i="43"/>
  <c r="S64" i="43"/>
  <c r="R64" i="43"/>
  <c r="Q64" i="43"/>
  <c r="P64" i="43"/>
  <c r="O64" i="43"/>
  <c r="N64" i="43"/>
  <c r="K64" i="43"/>
  <c r="J64" i="43"/>
  <c r="I64" i="43"/>
  <c r="H64" i="43"/>
  <c r="AC64" i="43" s="1"/>
  <c r="AB63" i="43"/>
  <c r="AA63" i="43"/>
  <c r="Z63" i="43"/>
  <c r="AJ63" i="43" s="1"/>
  <c r="Y63" i="43"/>
  <c r="AI63" i="43" s="1"/>
  <c r="X63" i="43"/>
  <c r="W63" i="43"/>
  <c r="V63" i="43"/>
  <c r="U63" i="43"/>
  <c r="T63" i="43"/>
  <c r="S63" i="43"/>
  <c r="R63" i="43"/>
  <c r="Q63" i="43"/>
  <c r="P63" i="43"/>
  <c r="O63" i="43"/>
  <c r="N63" i="43"/>
  <c r="K63" i="43"/>
  <c r="J63" i="43"/>
  <c r="I63" i="43"/>
  <c r="H63" i="43"/>
  <c r="AB62" i="43"/>
  <c r="AA62" i="43"/>
  <c r="Z62" i="43"/>
  <c r="AJ62" i="43" s="1"/>
  <c r="Y62" i="43"/>
  <c r="AI62" i="43" s="1"/>
  <c r="X62" i="43"/>
  <c r="W62" i="43"/>
  <c r="V62" i="43"/>
  <c r="U62" i="43"/>
  <c r="T62" i="43"/>
  <c r="S62" i="43"/>
  <c r="R62" i="43"/>
  <c r="Q62" i="43"/>
  <c r="P62" i="43"/>
  <c r="O62" i="43"/>
  <c r="N62" i="43"/>
  <c r="K62" i="43"/>
  <c r="J62" i="43"/>
  <c r="I62" i="43"/>
  <c r="H62" i="43"/>
  <c r="AB61" i="43"/>
  <c r="AA61" i="43"/>
  <c r="Z61" i="43"/>
  <c r="AJ61" i="43" s="1"/>
  <c r="Y61" i="43"/>
  <c r="AI61" i="43" s="1"/>
  <c r="X61" i="43"/>
  <c r="W61" i="43"/>
  <c r="V61" i="43"/>
  <c r="U61" i="43"/>
  <c r="T61" i="43"/>
  <c r="S61" i="43"/>
  <c r="R61" i="43"/>
  <c r="Q61" i="43"/>
  <c r="P61" i="43"/>
  <c r="O61" i="43"/>
  <c r="N61" i="43"/>
  <c r="K61" i="43"/>
  <c r="J61" i="43"/>
  <c r="I61" i="43"/>
  <c r="AD61" i="43" s="1"/>
  <c r="H61" i="43"/>
  <c r="AC61" i="43" s="1"/>
  <c r="AB60" i="43"/>
  <c r="AA60" i="43"/>
  <c r="Z60" i="43"/>
  <c r="AJ60" i="43" s="1"/>
  <c r="Y60" i="43"/>
  <c r="AI60" i="43" s="1"/>
  <c r="X60" i="43"/>
  <c r="W60" i="43"/>
  <c r="V60" i="43"/>
  <c r="U60" i="43"/>
  <c r="T60" i="43"/>
  <c r="S60" i="43"/>
  <c r="R60" i="43"/>
  <c r="Q60" i="43"/>
  <c r="P60" i="43"/>
  <c r="O60" i="43"/>
  <c r="N60" i="43"/>
  <c r="K60" i="43"/>
  <c r="J60" i="43"/>
  <c r="I60" i="43"/>
  <c r="H60" i="43"/>
  <c r="AC60" i="43" s="1"/>
  <c r="AB59" i="43"/>
  <c r="AA59" i="43"/>
  <c r="Z59" i="43"/>
  <c r="AJ59" i="43" s="1"/>
  <c r="Y59" i="43"/>
  <c r="AI59" i="43" s="1"/>
  <c r="X59" i="43"/>
  <c r="W59" i="43"/>
  <c r="V59" i="43"/>
  <c r="U59" i="43"/>
  <c r="T59" i="43"/>
  <c r="S59" i="43"/>
  <c r="R59" i="43"/>
  <c r="Q59" i="43"/>
  <c r="P59" i="43"/>
  <c r="O59" i="43"/>
  <c r="N59" i="43"/>
  <c r="K59" i="43"/>
  <c r="J59" i="43"/>
  <c r="I59" i="43"/>
  <c r="H59" i="43"/>
  <c r="AB58" i="43"/>
  <c r="AA58" i="43"/>
  <c r="Z58" i="43"/>
  <c r="AJ58" i="43" s="1"/>
  <c r="Y58" i="43"/>
  <c r="AI58" i="43" s="1"/>
  <c r="X58" i="43"/>
  <c r="W58" i="43"/>
  <c r="V58" i="43"/>
  <c r="U58" i="43"/>
  <c r="T58" i="43"/>
  <c r="S58" i="43"/>
  <c r="R58" i="43"/>
  <c r="Q58" i="43"/>
  <c r="P58" i="43"/>
  <c r="O58" i="43"/>
  <c r="N58" i="43"/>
  <c r="K58" i="43"/>
  <c r="J58" i="43"/>
  <c r="I58" i="43"/>
  <c r="AD58" i="43" s="1"/>
  <c r="H58" i="43"/>
  <c r="AC58" i="43" s="1"/>
  <c r="AB57" i="43"/>
  <c r="AA57" i="43"/>
  <c r="Z57" i="43"/>
  <c r="AJ57" i="43" s="1"/>
  <c r="Y57" i="43"/>
  <c r="AI57" i="43" s="1"/>
  <c r="X57" i="43"/>
  <c r="W57" i="43"/>
  <c r="V57" i="43"/>
  <c r="U57" i="43"/>
  <c r="T57" i="43"/>
  <c r="S57" i="43"/>
  <c r="R57" i="43"/>
  <c r="Q57" i="43"/>
  <c r="P57" i="43"/>
  <c r="O57" i="43"/>
  <c r="N57" i="43"/>
  <c r="K57" i="43"/>
  <c r="J57" i="43"/>
  <c r="I57" i="43"/>
  <c r="AD57" i="43" s="1"/>
  <c r="H57" i="43"/>
  <c r="AB56" i="43"/>
  <c r="AA56" i="43"/>
  <c r="Z56" i="43"/>
  <c r="AJ56" i="43" s="1"/>
  <c r="Y56" i="43"/>
  <c r="AI56" i="43" s="1"/>
  <c r="X56" i="43"/>
  <c r="W56" i="43"/>
  <c r="V56" i="43"/>
  <c r="U56" i="43"/>
  <c r="T56" i="43"/>
  <c r="S56" i="43"/>
  <c r="R56" i="43"/>
  <c r="Q56" i="43"/>
  <c r="P56" i="43"/>
  <c r="O56" i="43"/>
  <c r="N56" i="43"/>
  <c r="K56" i="43"/>
  <c r="J56" i="43"/>
  <c r="I56" i="43"/>
  <c r="H56" i="43"/>
  <c r="AC56" i="43" s="1"/>
  <c r="AB55" i="43"/>
  <c r="AA55" i="43"/>
  <c r="Z55" i="43"/>
  <c r="AJ55" i="43" s="1"/>
  <c r="Y55" i="43"/>
  <c r="AI55" i="43" s="1"/>
  <c r="X55" i="43"/>
  <c r="W55" i="43"/>
  <c r="V55" i="43"/>
  <c r="U55" i="43"/>
  <c r="T55" i="43"/>
  <c r="S55" i="43"/>
  <c r="R55" i="43"/>
  <c r="Q55" i="43"/>
  <c r="P55" i="43"/>
  <c r="O55" i="43"/>
  <c r="N55" i="43"/>
  <c r="K55" i="43"/>
  <c r="J55" i="43"/>
  <c r="I55" i="43"/>
  <c r="AD55" i="43" s="1"/>
  <c r="H55" i="43"/>
  <c r="AF115" i="43" l="1"/>
  <c r="AF76" i="43"/>
  <c r="AH72" i="43"/>
  <c r="AG75" i="43"/>
  <c r="AF87" i="43"/>
  <c r="AH119" i="43"/>
  <c r="AG74" i="43"/>
  <c r="AH111" i="43"/>
  <c r="AH75" i="43"/>
  <c r="AH91" i="43"/>
  <c r="AG94" i="43"/>
  <c r="AG66" i="43"/>
  <c r="AH114" i="43"/>
  <c r="AE61" i="43"/>
  <c r="AG93" i="43"/>
  <c r="AH106" i="43"/>
  <c r="AG109" i="43"/>
  <c r="AH69" i="43"/>
  <c r="AG80" i="43"/>
  <c r="AG88" i="43"/>
  <c r="AG104" i="43"/>
  <c r="AG57" i="43"/>
  <c r="AF81" i="43"/>
  <c r="AF89" i="43"/>
  <c r="AG100" i="43"/>
  <c r="AF60" i="43"/>
  <c r="AG84" i="43"/>
  <c r="AE98" i="43"/>
  <c r="AG114" i="43"/>
  <c r="AE69" i="43"/>
  <c r="AF79" i="43"/>
  <c r="AH67" i="43"/>
  <c r="AG99" i="43"/>
  <c r="AH83" i="43"/>
  <c r="AH56" i="43"/>
  <c r="AG81" i="43"/>
  <c r="AH94" i="43"/>
  <c r="AH102" i="43"/>
  <c r="AH73" i="43"/>
  <c r="AG76" i="43"/>
  <c r="AG55" i="43"/>
  <c r="AH57" i="43"/>
  <c r="AF71" i="43"/>
  <c r="AH74" i="43"/>
  <c r="AG77" i="43"/>
  <c r="AH86" i="43"/>
  <c r="AF95" i="43"/>
  <c r="AG59" i="43"/>
  <c r="AE63" i="43"/>
  <c r="AH77" i="43"/>
  <c r="AG82" i="43"/>
  <c r="AF84" i="43"/>
  <c r="AG91" i="43"/>
  <c r="AG101" i="43"/>
  <c r="AG106" i="43"/>
  <c r="AH108" i="43"/>
  <c r="AG111" i="43"/>
  <c r="AH66" i="43"/>
  <c r="AG68" i="43"/>
  <c r="AG73" i="43"/>
  <c r="AH80" i="43"/>
  <c r="AG85" i="43"/>
  <c r="AH99" i="43"/>
  <c r="AH104" i="43"/>
  <c r="AH109" i="43"/>
  <c r="AG112" i="43"/>
  <c r="AG117" i="43"/>
  <c r="AG62" i="43"/>
  <c r="AH78" i="43"/>
  <c r="AG83" i="43"/>
  <c r="AH85" i="43"/>
  <c r="AD87" i="43"/>
  <c r="AE90" i="43"/>
  <c r="AE95" i="43"/>
  <c r="AF97" i="43"/>
  <c r="AG102" i="43"/>
  <c r="AE107" i="43"/>
  <c r="AF112" i="43"/>
  <c r="AH117" i="43"/>
  <c r="AG120" i="43"/>
  <c r="AG92" i="43"/>
  <c r="AF107" i="43"/>
  <c r="AE110" i="43"/>
  <c r="AE115" i="43"/>
  <c r="AF120" i="43"/>
  <c r="AF58" i="43"/>
  <c r="AH55" i="43"/>
  <c r="AG58" i="43"/>
  <c r="AH59" i="43"/>
  <c r="AG61" i="43"/>
  <c r="AH62" i="43"/>
  <c r="AG64" i="43"/>
  <c r="AF65" i="43"/>
  <c r="AE68" i="43"/>
  <c r="AF73" i="43"/>
  <c r="AE74" i="43"/>
  <c r="AE82" i="43"/>
  <c r="AE105" i="43"/>
  <c r="AG107" i="43"/>
  <c r="AD108" i="43"/>
  <c r="AF110" i="43"/>
  <c r="AC111" i="43"/>
  <c r="AH112" i="43"/>
  <c r="AE113" i="43"/>
  <c r="AG115" i="43"/>
  <c r="AD116" i="43"/>
  <c r="AF118" i="43"/>
  <c r="AC119" i="43"/>
  <c r="AH120" i="43"/>
  <c r="AE121" i="43"/>
  <c r="AC55" i="43"/>
  <c r="AH58" i="43"/>
  <c r="AH61" i="43"/>
  <c r="AH64" i="43"/>
  <c r="AH65" i="43"/>
  <c r="AG67" i="43"/>
  <c r="AG70" i="43"/>
  <c r="AG78" i="43"/>
  <c r="AG86" i="43"/>
  <c r="AG96" i="43"/>
  <c r="AH97" i="43"/>
  <c r="AF105" i="43"/>
  <c r="AC106" i="43"/>
  <c r="AH107" i="43"/>
  <c r="AE108" i="43"/>
  <c r="AG110" i="43"/>
  <c r="AD111" i="43"/>
  <c r="AF113" i="43"/>
  <c r="AC114" i="43"/>
  <c r="AH115" i="43"/>
  <c r="AE116" i="43"/>
  <c r="AG118" i="43"/>
  <c r="AD119" i="43"/>
  <c r="AF121" i="43"/>
  <c r="AG69" i="43"/>
  <c r="AH70" i="43"/>
  <c r="AG72" i="43"/>
  <c r="AH81" i="43"/>
  <c r="AH89" i="43"/>
  <c r="AH93" i="43"/>
  <c r="AH96" i="43"/>
  <c r="AG98" i="43"/>
  <c r="AH101" i="43"/>
  <c r="AC104" i="43"/>
  <c r="AG105" i="43"/>
  <c r="AD106" i="43"/>
  <c r="AF108" i="43"/>
  <c r="AC109" i="43"/>
  <c r="AH110" i="43"/>
  <c r="AE111" i="43"/>
  <c r="AG113" i="43"/>
  <c r="AD114" i="43"/>
  <c r="AF116" i="43"/>
  <c r="AC117" i="43"/>
  <c r="AH118" i="43"/>
  <c r="AE119" i="43"/>
  <c r="AG121" i="43"/>
  <c r="AH88" i="43"/>
  <c r="AG90" i="43"/>
  <c r="AH98" i="43"/>
  <c r="AE103" i="43"/>
  <c r="AH105" i="43"/>
  <c r="AE106" i="43"/>
  <c r="AG108" i="43"/>
  <c r="AD109" i="43"/>
  <c r="AF111" i="43"/>
  <c r="AC112" i="43"/>
  <c r="AH113" i="43"/>
  <c r="AE114" i="43"/>
  <c r="AG116" i="43"/>
  <c r="AD117" i="43"/>
  <c r="AF119" i="43"/>
  <c r="AC120" i="43"/>
  <c r="AH121" i="43"/>
  <c r="AE55" i="43"/>
  <c r="AH63" i="43"/>
  <c r="AE77" i="43"/>
  <c r="AH82" i="43"/>
  <c r="AE85" i="43"/>
  <c r="AH90" i="43"/>
  <c r="AC93" i="43"/>
  <c r="AC96" i="43"/>
  <c r="AC101" i="43"/>
  <c r="AF106" i="43"/>
  <c r="AC107" i="43"/>
  <c r="AE109" i="43"/>
  <c r="AD112" i="43"/>
  <c r="AF114" i="43"/>
  <c r="AC115" i="43"/>
  <c r="AE117" i="43"/>
  <c r="AD120" i="43"/>
  <c r="AE58" i="43"/>
  <c r="AG65" i="43"/>
  <c r="AF66" i="43"/>
  <c r="AC66" i="43"/>
  <c r="AC69" i="43"/>
  <c r="AE71" i="43"/>
  <c r="AC72" i="43"/>
  <c r="AC77" i="43"/>
  <c r="AE79" i="43"/>
  <c r="AC80" i="43"/>
  <c r="AC85" i="43"/>
  <c r="AE87" i="43"/>
  <c r="AC88" i="43"/>
  <c r="AE92" i="43"/>
  <c r="AD93" i="43"/>
  <c r="AH95" i="43"/>
  <c r="AC98" i="43"/>
  <c r="AE100" i="43"/>
  <c r="AD107" i="43"/>
  <c r="AF109" i="43"/>
  <c r="AC110" i="43"/>
  <c r="AE112" i="43"/>
  <c r="AD115" i="43"/>
  <c r="AF117" i="43"/>
  <c r="AC118" i="43"/>
  <c r="AE120" i="43"/>
  <c r="AF55" i="43"/>
  <c r="AG56" i="43"/>
  <c r="AF57" i="43"/>
  <c r="AE60" i="43"/>
  <c r="AD63" i="43"/>
  <c r="AD66" i="43"/>
  <c r="AF68" i="43"/>
  <c r="AD69" i="43"/>
  <c r="AH71" i="43"/>
  <c r="AF74" i="43"/>
  <c r="AC74" i="43"/>
  <c r="AE76" i="43"/>
  <c r="AD77" i="43"/>
  <c r="AH79" i="43"/>
  <c r="AF82" i="43"/>
  <c r="AC82" i="43"/>
  <c r="AE84" i="43"/>
  <c r="AD85" i="43"/>
  <c r="AH87" i="43"/>
  <c r="AC90" i="43"/>
  <c r="AF92" i="43"/>
  <c r="AG97" i="43"/>
  <c r="AD98" i="43"/>
  <c r="AF100" i="43"/>
  <c r="AF103" i="43"/>
  <c r="AG60" i="43"/>
  <c r="AF63" i="43"/>
  <c r="AE66" i="43"/>
  <c r="AD74" i="43"/>
  <c r="AG89" i="43"/>
  <c r="AD56" i="43"/>
  <c r="AC59" i="43"/>
  <c r="AH60" i="43"/>
  <c r="AG63" i="43"/>
  <c r="AD64" i="43"/>
  <c r="AC67" i="43"/>
  <c r="AH68" i="43"/>
  <c r="AG71" i="43"/>
  <c r="AD72" i="43"/>
  <c r="AC75" i="43"/>
  <c r="AH76" i="43"/>
  <c r="AG79" i="43"/>
  <c r="AD80" i="43"/>
  <c r="AC83" i="43"/>
  <c r="AH84" i="43"/>
  <c r="AG87" i="43"/>
  <c r="AD88" i="43"/>
  <c r="AF90" i="43"/>
  <c r="AC91" i="43"/>
  <c r="AH92" i="43"/>
  <c r="AE93" i="43"/>
  <c r="AG95" i="43"/>
  <c r="AD96" i="43"/>
  <c r="AF98" i="43"/>
  <c r="AC99" i="43"/>
  <c r="AH100" i="43"/>
  <c r="AE101" i="43"/>
  <c r="AG103" i="43"/>
  <c r="AD104" i="43"/>
  <c r="AE56" i="43"/>
  <c r="AD59" i="43"/>
  <c r="AF61" i="43"/>
  <c r="AC62" i="43"/>
  <c r="AE64" i="43"/>
  <c r="AD67" i="43"/>
  <c r="AF69" i="43"/>
  <c r="AC70" i="43"/>
  <c r="AE72" i="43"/>
  <c r="AD75" i="43"/>
  <c r="AF77" i="43"/>
  <c r="AC78" i="43"/>
  <c r="AE80" i="43"/>
  <c r="AD83" i="43"/>
  <c r="AF85" i="43"/>
  <c r="AC86" i="43"/>
  <c r="AE88" i="43"/>
  <c r="AD91" i="43"/>
  <c r="AF93" i="43"/>
  <c r="AC94" i="43"/>
  <c r="AE96" i="43"/>
  <c r="AD99" i="43"/>
  <c r="AF101" i="43"/>
  <c r="AC102" i="43"/>
  <c r="AH103" i="43"/>
  <c r="AE104" i="43"/>
  <c r="AF56" i="43"/>
  <c r="AC57" i="43"/>
  <c r="AE59" i="43"/>
  <c r="AD62" i="43"/>
  <c r="AF64" i="43"/>
  <c r="AC65" i="43"/>
  <c r="AE67" i="43"/>
  <c r="AD70" i="43"/>
  <c r="AF72" i="43"/>
  <c r="AC73" i="43"/>
  <c r="AE75" i="43"/>
  <c r="AD78" i="43"/>
  <c r="AF80" i="43"/>
  <c r="AC81" i="43"/>
  <c r="AE83" i="43"/>
  <c r="AD86" i="43"/>
  <c r="AF88" i="43"/>
  <c r="AC89" i="43"/>
  <c r="AE91" i="43"/>
  <c r="AD94" i="43"/>
  <c r="AF96" i="43"/>
  <c r="AC97" i="43"/>
  <c r="AE99" i="43"/>
  <c r="AD102" i="43"/>
  <c r="AF104" i="43"/>
  <c r="AF59" i="43"/>
  <c r="AE62" i="43"/>
  <c r="AF67" i="43"/>
  <c r="AE70" i="43"/>
  <c r="AD73" i="43"/>
  <c r="AF75" i="43"/>
  <c r="AC76" i="43"/>
  <c r="AE78" i="43"/>
  <c r="AD81" i="43"/>
  <c r="AF83" i="43"/>
  <c r="AC84" i="43"/>
  <c r="AE86" i="43"/>
  <c r="AD89" i="43"/>
  <c r="AF91" i="43"/>
  <c r="AC92" i="43"/>
  <c r="AE94" i="43"/>
  <c r="AD97" i="43"/>
  <c r="AF99" i="43"/>
  <c r="AC100" i="43"/>
  <c r="AE102" i="43"/>
  <c r="AE57" i="43"/>
  <c r="AD60" i="43"/>
  <c r="AF62" i="43"/>
  <c r="AC63" i="43"/>
  <c r="AE65" i="43"/>
  <c r="AD68" i="43"/>
  <c r="AF70" i="43"/>
  <c r="AC71" i="43"/>
  <c r="AE73" i="43"/>
  <c r="AD76" i="43"/>
  <c r="AF78" i="43"/>
  <c r="AC79" i="43"/>
  <c r="AE81" i="43"/>
  <c r="AD84" i="43"/>
  <c r="AF86" i="43"/>
  <c r="AC87" i="43"/>
  <c r="AE89" i="43"/>
  <c r="AD92" i="43"/>
  <c r="AF94" i="43"/>
  <c r="AC95" i="43"/>
  <c r="AE97" i="43"/>
  <c r="AD100" i="43"/>
  <c r="AF102" i="43"/>
  <c r="AC103" i="43"/>
  <c r="AP6" i="7"/>
  <c r="AQ6" i="7"/>
  <c r="AP7" i="7"/>
  <c r="AQ7" i="7"/>
  <c r="AP8" i="7"/>
  <c r="AQ8" i="7"/>
  <c r="AP9" i="7"/>
  <c r="AQ9" i="7"/>
  <c r="AP10" i="7"/>
  <c r="AQ10" i="7"/>
  <c r="AP11" i="7"/>
  <c r="AQ11" i="7"/>
  <c r="AP12" i="7"/>
  <c r="AQ12" i="7"/>
  <c r="AP13" i="7"/>
  <c r="AQ13" i="7"/>
  <c r="AQ5" i="7"/>
  <c r="AP5" i="7"/>
  <c r="AC11" i="42" l="1"/>
  <c r="G11" i="5" s="1"/>
  <c r="M11" i="5" s="1"/>
  <c r="AC7" i="42"/>
  <c r="G7" i="5" s="1"/>
  <c r="M7" i="5" s="1"/>
  <c r="AC10" i="42"/>
  <c r="G10" i="5" s="1"/>
  <c r="M10" i="5" s="1"/>
  <c r="AC6" i="42"/>
  <c r="G6" i="5" s="1"/>
  <c r="M6" i="5" s="1"/>
  <c r="AC5" i="42"/>
  <c r="G5" i="5" s="1"/>
  <c r="M5" i="5" s="1"/>
  <c r="AC13" i="42"/>
  <c r="G13" i="5" s="1"/>
  <c r="M13" i="5" s="1"/>
  <c r="AC9" i="42"/>
  <c r="G9" i="5" s="1"/>
  <c r="M9" i="5" s="1"/>
  <c r="AC12" i="42"/>
  <c r="G12" i="5" s="1"/>
  <c r="M12" i="5" s="1"/>
  <c r="AC8" i="42"/>
  <c r="G8" i="5" s="1"/>
  <c r="M8" i="5" s="1"/>
  <c r="AB55" i="56"/>
  <c r="AA55" i="56"/>
  <c r="Z55" i="56"/>
  <c r="Y55" i="56"/>
  <c r="X55" i="56"/>
  <c r="W55" i="56"/>
  <c r="V55" i="56"/>
  <c r="U55" i="56"/>
  <c r="T55" i="56"/>
  <c r="S55" i="56"/>
  <c r="R55" i="56"/>
  <c r="Q55" i="56"/>
  <c r="P55" i="56"/>
  <c r="O55" i="56"/>
  <c r="N55" i="56"/>
  <c r="K55" i="56"/>
  <c r="J55" i="56"/>
  <c r="I55" i="56"/>
  <c r="H55" i="56"/>
  <c r="AB54" i="56"/>
  <c r="AA54" i="56"/>
  <c r="Z54" i="56"/>
  <c r="Y54" i="56"/>
  <c r="X54" i="56"/>
  <c r="W54" i="56"/>
  <c r="V54" i="56"/>
  <c r="U54" i="56"/>
  <c r="T54" i="56"/>
  <c r="S54" i="56"/>
  <c r="R54" i="56"/>
  <c r="Q54" i="56"/>
  <c r="P54" i="56"/>
  <c r="O54" i="56"/>
  <c r="N54" i="56"/>
  <c r="K54" i="56"/>
  <c r="J54" i="56"/>
  <c r="I54" i="56"/>
  <c r="H54" i="56"/>
  <c r="AB53" i="56"/>
  <c r="AA53" i="56"/>
  <c r="Z53" i="56"/>
  <c r="Y53" i="56"/>
  <c r="X53" i="56"/>
  <c r="W53" i="56"/>
  <c r="V53" i="56"/>
  <c r="U53" i="56"/>
  <c r="T53" i="56"/>
  <c r="S53" i="56"/>
  <c r="R53" i="56"/>
  <c r="Q53" i="56"/>
  <c r="P53" i="56"/>
  <c r="O53" i="56"/>
  <c r="N53" i="56"/>
  <c r="K53" i="56"/>
  <c r="J53" i="56"/>
  <c r="I53" i="56"/>
  <c r="H53" i="56"/>
  <c r="AB52" i="56"/>
  <c r="AA52" i="56"/>
  <c r="Z52" i="56"/>
  <c r="Y52" i="56"/>
  <c r="X52" i="56"/>
  <c r="W52" i="56"/>
  <c r="V52" i="56"/>
  <c r="U52" i="56"/>
  <c r="T52" i="56"/>
  <c r="S52" i="56"/>
  <c r="R52" i="56"/>
  <c r="Q52" i="56"/>
  <c r="P52" i="56"/>
  <c r="O52" i="56"/>
  <c r="N52" i="56"/>
  <c r="K52" i="56"/>
  <c r="J52" i="56"/>
  <c r="I52" i="56"/>
  <c r="H52" i="56"/>
  <c r="AB51" i="56"/>
  <c r="AA51" i="56"/>
  <c r="Z51" i="56"/>
  <c r="Y51" i="56"/>
  <c r="X51" i="56"/>
  <c r="W51" i="56"/>
  <c r="V51" i="56"/>
  <c r="U51" i="56"/>
  <c r="T51" i="56"/>
  <c r="S51" i="56"/>
  <c r="R51" i="56"/>
  <c r="Q51" i="56"/>
  <c r="P51" i="56"/>
  <c r="O51" i="56"/>
  <c r="N51" i="56"/>
  <c r="K51" i="56"/>
  <c r="J51" i="56"/>
  <c r="I51" i="56"/>
  <c r="H51" i="56"/>
  <c r="AB50" i="56"/>
  <c r="AA50" i="56"/>
  <c r="Z50" i="56"/>
  <c r="Y50" i="56"/>
  <c r="X50" i="56"/>
  <c r="W50" i="56"/>
  <c r="V50" i="56"/>
  <c r="U50" i="56"/>
  <c r="T50" i="56"/>
  <c r="S50" i="56"/>
  <c r="R50" i="56"/>
  <c r="Q50" i="56"/>
  <c r="P50" i="56"/>
  <c r="O50" i="56"/>
  <c r="N50" i="56"/>
  <c r="K50" i="56"/>
  <c r="J50" i="56"/>
  <c r="I50" i="56"/>
  <c r="H50" i="56"/>
  <c r="AB49" i="56"/>
  <c r="AA49" i="56"/>
  <c r="Z49" i="56"/>
  <c r="Y49" i="56"/>
  <c r="X49" i="56"/>
  <c r="W49" i="56"/>
  <c r="V49" i="56"/>
  <c r="U49" i="56"/>
  <c r="T49" i="56"/>
  <c r="S49" i="56"/>
  <c r="R49" i="56"/>
  <c r="Q49" i="56"/>
  <c r="P49" i="56"/>
  <c r="O49" i="56"/>
  <c r="N49" i="56"/>
  <c r="K49" i="56"/>
  <c r="J49" i="56"/>
  <c r="I49" i="56"/>
  <c r="H49" i="56"/>
  <c r="AB48" i="56"/>
  <c r="AA48" i="56"/>
  <c r="Z48" i="56"/>
  <c r="Y48" i="56"/>
  <c r="X48" i="56"/>
  <c r="W48" i="56"/>
  <c r="V48" i="56"/>
  <c r="U48" i="56"/>
  <c r="T48" i="56"/>
  <c r="S48" i="56"/>
  <c r="R48" i="56"/>
  <c r="Q48" i="56"/>
  <c r="P48" i="56"/>
  <c r="O48" i="56"/>
  <c r="N48" i="56"/>
  <c r="K48" i="56"/>
  <c r="J48" i="56"/>
  <c r="I48" i="56"/>
  <c r="H48" i="56"/>
  <c r="AB47" i="56"/>
  <c r="AA47" i="56"/>
  <c r="Z47" i="56"/>
  <c r="Y47" i="56"/>
  <c r="X47" i="56"/>
  <c r="W47" i="56"/>
  <c r="V47" i="56"/>
  <c r="U47" i="56"/>
  <c r="T47" i="56"/>
  <c r="S47" i="56"/>
  <c r="R47" i="56"/>
  <c r="Q47" i="56"/>
  <c r="P47" i="56"/>
  <c r="O47" i="56"/>
  <c r="N47" i="56"/>
  <c r="K47" i="56"/>
  <c r="J47" i="56"/>
  <c r="I47" i="56"/>
  <c r="H47" i="56"/>
  <c r="AB46" i="56"/>
  <c r="AA46" i="56"/>
  <c r="Z46" i="56"/>
  <c r="Y46" i="56"/>
  <c r="X46" i="56"/>
  <c r="W46" i="56"/>
  <c r="V46" i="56"/>
  <c r="U46" i="56"/>
  <c r="T46" i="56"/>
  <c r="S46" i="56"/>
  <c r="R46" i="56"/>
  <c r="Q46" i="56"/>
  <c r="P46" i="56"/>
  <c r="O46" i="56"/>
  <c r="N46" i="56"/>
  <c r="K46" i="56"/>
  <c r="J46" i="56"/>
  <c r="I46" i="56"/>
  <c r="H46" i="56"/>
  <c r="AB45" i="56"/>
  <c r="AA45" i="56"/>
  <c r="Z45" i="56"/>
  <c r="Y45" i="56"/>
  <c r="X45" i="56"/>
  <c r="W45" i="56"/>
  <c r="V45" i="56"/>
  <c r="U45" i="56"/>
  <c r="T45" i="56"/>
  <c r="S45" i="56"/>
  <c r="R45" i="56"/>
  <c r="Q45" i="56"/>
  <c r="P45" i="56"/>
  <c r="O45" i="56"/>
  <c r="N45" i="56"/>
  <c r="K45" i="56"/>
  <c r="J45" i="56"/>
  <c r="I45" i="56"/>
  <c r="H45" i="56"/>
  <c r="AB44" i="56"/>
  <c r="AA44" i="56"/>
  <c r="Z44" i="56"/>
  <c r="Y44" i="56"/>
  <c r="X44" i="56"/>
  <c r="W44" i="56"/>
  <c r="V44" i="56"/>
  <c r="U44" i="56"/>
  <c r="T44" i="56"/>
  <c r="S44" i="56"/>
  <c r="R44" i="56"/>
  <c r="Q44" i="56"/>
  <c r="P44" i="56"/>
  <c r="O44" i="56"/>
  <c r="N44" i="56"/>
  <c r="K44" i="56"/>
  <c r="J44" i="56"/>
  <c r="I44" i="56"/>
  <c r="H44" i="56"/>
  <c r="AB43" i="56"/>
  <c r="AA43" i="56"/>
  <c r="Z43" i="56"/>
  <c r="Y43" i="56"/>
  <c r="X43" i="56"/>
  <c r="W43" i="56"/>
  <c r="V43" i="56"/>
  <c r="U43" i="56"/>
  <c r="T43" i="56"/>
  <c r="S43" i="56"/>
  <c r="R43" i="56"/>
  <c r="Q43" i="56"/>
  <c r="P43" i="56"/>
  <c r="O43" i="56"/>
  <c r="N43" i="56"/>
  <c r="K43" i="56"/>
  <c r="J43" i="56"/>
  <c r="I43" i="56"/>
  <c r="H43" i="56"/>
  <c r="AB42" i="56"/>
  <c r="AA42" i="56"/>
  <c r="Z42" i="56"/>
  <c r="Y42" i="56"/>
  <c r="X42" i="56"/>
  <c r="W42" i="56"/>
  <c r="V42" i="56"/>
  <c r="U42" i="56"/>
  <c r="T42" i="56"/>
  <c r="S42" i="56"/>
  <c r="R42" i="56"/>
  <c r="Q42" i="56"/>
  <c r="P42" i="56"/>
  <c r="O42" i="56"/>
  <c r="N42" i="56"/>
  <c r="K42" i="56"/>
  <c r="J42" i="56"/>
  <c r="I42" i="56"/>
  <c r="H42" i="56"/>
  <c r="AB41" i="56"/>
  <c r="AA41" i="56"/>
  <c r="Z41" i="56"/>
  <c r="Y41" i="56"/>
  <c r="X41" i="56"/>
  <c r="W41" i="56"/>
  <c r="V41" i="56"/>
  <c r="U41" i="56"/>
  <c r="T41" i="56"/>
  <c r="S41" i="56"/>
  <c r="R41" i="56"/>
  <c r="Q41" i="56"/>
  <c r="P41" i="56"/>
  <c r="O41" i="56"/>
  <c r="N41" i="56"/>
  <c r="K41" i="56"/>
  <c r="J41" i="56"/>
  <c r="I41" i="56"/>
  <c r="H41" i="56"/>
  <c r="AB40" i="56"/>
  <c r="AA40" i="56"/>
  <c r="Z40" i="56"/>
  <c r="Y40" i="56"/>
  <c r="X40" i="56"/>
  <c r="W40" i="56"/>
  <c r="V40" i="56"/>
  <c r="U40" i="56"/>
  <c r="T40" i="56"/>
  <c r="S40" i="56"/>
  <c r="R40" i="56"/>
  <c r="Q40" i="56"/>
  <c r="P40" i="56"/>
  <c r="O40" i="56"/>
  <c r="N40" i="56"/>
  <c r="K40" i="56"/>
  <c r="J40" i="56"/>
  <c r="I40" i="56"/>
  <c r="H40" i="56"/>
  <c r="AB39" i="56"/>
  <c r="AA39" i="56"/>
  <c r="Z39" i="56"/>
  <c r="Y39" i="56"/>
  <c r="X39" i="56"/>
  <c r="W39" i="56"/>
  <c r="V39" i="56"/>
  <c r="U39" i="56"/>
  <c r="T39" i="56"/>
  <c r="S39" i="56"/>
  <c r="R39" i="56"/>
  <c r="Q39" i="56"/>
  <c r="P39" i="56"/>
  <c r="O39" i="56"/>
  <c r="N39" i="56"/>
  <c r="K39" i="56"/>
  <c r="J39" i="56"/>
  <c r="I39" i="56"/>
  <c r="H39" i="56"/>
  <c r="AB38" i="56"/>
  <c r="AA38" i="56"/>
  <c r="Z38" i="56"/>
  <c r="Y38" i="56"/>
  <c r="X38" i="56"/>
  <c r="W38" i="56"/>
  <c r="V38" i="56"/>
  <c r="U38" i="56"/>
  <c r="T38" i="56"/>
  <c r="S38" i="56"/>
  <c r="R38" i="56"/>
  <c r="Q38" i="56"/>
  <c r="P38" i="56"/>
  <c r="O38" i="56"/>
  <c r="N38" i="56"/>
  <c r="K38" i="56"/>
  <c r="J38" i="56"/>
  <c r="I38" i="56"/>
  <c r="H38" i="56"/>
  <c r="AB37" i="56"/>
  <c r="AA37" i="56"/>
  <c r="Z37" i="56"/>
  <c r="Y37" i="56"/>
  <c r="X37" i="56"/>
  <c r="W37" i="56"/>
  <c r="V37" i="56"/>
  <c r="U37" i="56"/>
  <c r="T37" i="56"/>
  <c r="S37" i="56"/>
  <c r="R37" i="56"/>
  <c r="Q37" i="56"/>
  <c r="P37" i="56"/>
  <c r="O37" i="56"/>
  <c r="N37" i="56"/>
  <c r="K37" i="56"/>
  <c r="J37" i="56"/>
  <c r="I37" i="56"/>
  <c r="H37" i="56"/>
  <c r="AB36" i="56"/>
  <c r="AA36" i="56"/>
  <c r="Z36" i="56"/>
  <c r="Y36" i="56"/>
  <c r="X36" i="56"/>
  <c r="W36" i="56"/>
  <c r="V36" i="56"/>
  <c r="U36" i="56"/>
  <c r="T36" i="56"/>
  <c r="S36" i="56"/>
  <c r="R36" i="56"/>
  <c r="Q36" i="56"/>
  <c r="P36" i="56"/>
  <c r="O36" i="56"/>
  <c r="N36" i="56"/>
  <c r="K36" i="56"/>
  <c r="J36" i="56"/>
  <c r="I36" i="56"/>
  <c r="H36" i="56"/>
  <c r="AB35" i="56"/>
  <c r="AA35" i="56"/>
  <c r="Z35" i="56"/>
  <c r="Y35" i="56"/>
  <c r="X35" i="56"/>
  <c r="W35" i="56"/>
  <c r="V35" i="56"/>
  <c r="U35" i="56"/>
  <c r="T35" i="56"/>
  <c r="S35" i="56"/>
  <c r="R35" i="56"/>
  <c r="Q35" i="56"/>
  <c r="P35" i="56"/>
  <c r="O35" i="56"/>
  <c r="N35" i="56"/>
  <c r="K35" i="56"/>
  <c r="J35" i="56"/>
  <c r="I35" i="56"/>
  <c r="H35" i="56"/>
  <c r="AB34" i="56"/>
  <c r="AA34" i="56"/>
  <c r="Z34" i="56"/>
  <c r="Y34" i="56"/>
  <c r="X34" i="56"/>
  <c r="W34" i="56"/>
  <c r="V34" i="56"/>
  <c r="U34" i="56"/>
  <c r="T34" i="56"/>
  <c r="S34" i="56"/>
  <c r="R34" i="56"/>
  <c r="Q34" i="56"/>
  <c r="P34" i="56"/>
  <c r="O34" i="56"/>
  <c r="N34" i="56"/>
  <c r="K34" i="56"/>
  <c r="J34" i="56"/>
  <c r="I34" i="56"/>
  <c r="H34" i="56"/>
  <c r="AB33" i="56"/>
  <c r="AA33" i="56"/>
  <c r="Z33" i="56"/>
  <c r="Y33" i="56"/>
  <c r="X33" i="56"/>
  <c r="W33" i="56"/>
  <c r="V33" i="56"/>
  <c r="U33" i="56"/>
  <c r="T33" i="56"/>
  <c r="S33" i="56"/>
  <c r="R33" i="56"/>
  <c r="Q33" i="56"/>
  <c r="P33" i="56"/>
  <c r="O33" i="56"/>
  <c r="N33" i="56"/>
  <c r="K33" i="56"/>
  <c r="J33" i="56"/>
  <c r="I33" i="56"/>
  <c r="H33" i="56"/>
  <c r="AB32" i="56"/>
  <c r="AA32" i="56"/>
  <c r="Z32" i="56"/>
  <c r="Y32" i="56"/>
  <c r="X32" i="56"/>
  <c r="W32" i="56"/>
  <c r="V32" i="56"/>
  <c r="U32" i="56"/>
  <c r="T32" i="56"/>
  <c r="S32" i="56"/>
  <c r="R32" i="56"/>
  <c r="Q32" i="56"/>
  <c r="P32" i="56"/>
  <c r="O32" i="56"/>
  <c r="N32" i="56"/>
  <c r="K32" i="56"/>
  <c r="J32" i="56"/>
  <c r="I32" i="56"/>
  <c r="H32" i="56"/>
  <c r="AB31" i="56"/>
  <c r="AA31" i="56"/>
  <c r="Z31" i="56"/>
  <c r="Y31" i="56"/>
  <c r="X31" i="56"/>
  <c r="W31" i="56"/>
  <c r="V31" i="56"/>
  <c r="U31" i="56"/>
  <c r="T31" i="56"/>
  <c r="S31" i="56"/>
  <c r="R31" i="56"/>
  <c r="Q31" i="56"/>
  <c r="P31" i="56"/>
  <c r="O31" i="56"/>
  <c r="N31" i="56"/>
  <c r="K31" i="56"/>
  <c r="J31" i="56"/>
  <c r="I31" i="56"/>
  <c r="H31" i="56"/>
  <c r="AB30" i="56"/>
  <c r="AA30" i="56"/>
  <c r="Z30" i="56"/>
  <c r="Y30" i="56"/>
  <c r="X30" i="56"/>
  <c r="W30" i="56"/>
  <c r="V30" i="56"/>
  <c r="U30" i="56"/>
  <c r="T30" i="56"/>
  <c r="S30" i="56"/>
  <c r="R30" i="56"/>
  <c r="Q30" i="56"/>
  <c r="P30" i="56"/>
  <c r="O30" i="56"/>
  <c r="N30" i="56"/>
  <c r="K30" i="56"/>
  <c r="J30" i="56"/>
  <c r="I30" i="56"/>
  <c r="H30" i="56"/>
  <c r="AB29" i="56"/>
  <c r="AA29" i="56"/>
  <c r="Z29" i="56"/>
  <c r="Y29" i="56"/>
  <c r="X29" i="56"/>
  <c r="W29" i="56"/>
  <c r="V29" i="56"/>
  <c r="U29" i="56"/>
  <c r="T29" i="56"/>
  <c r="S29" i="56"/>
  <c r="R29" i="56"/>
  <c r="Q29" i="56"/>
  <c r="P29" i="56"/>
  <c r="O29" i="56"/>
  <c r="N29" i="56"/>
  <c r="K29" i="56"/>
  <c r="J29" i="56"/>
  <c r="I29" i="56"/>
  <c r="H29" i="56"/>
  <c r="AB28" i="56"/>
  <c r="AA28" i="56"/>
  <c r="Z28" i="56"/>
  <c r="Y28" i="56"/>
  <c r="X28" i="56"/>
  <c r="W28" i="56"/>
  <c r="V28" i="56"/>
  <c r="U28" i="56"/>
  <c r="T28" i="56"/>
  <c r="S28" i="56"/>
  <c r="R28" i="56"/>
  <c r="Q28" i="56"/>
  <c r="P28" i="56"/>
  <c r="O28" i="56"/>
  <c r="N28" i="56"/>
  <c r="K28" i="56"/>
  <c r="J28" i="56"/>
  <c r="I28" i="56"/>
  <c r="H28" i="56"/>
  <c r="AB27" i="56"/>
  <c r="AA27" i="56"/>
  <c r="Z27" i="56"/>
  <c r="Y27" i="56"/>
  <c r="X27" i="56"/>
  <c r="W27" i="56"/>
  <c r="V27" i="56"/>
  <c r="U27" i="56"/>
  <c r="T27" i="56"/>
  <c r="S27" i="56"/>
  <c r="R27" i="56"/>
  <c r="Q27" i="56"/>
  <c r="P27" i="56"/>
  <c r="O27" i="56"/>
  <c r="N27" i="56"/>
  <c r="K27" i="56"/>
  <c r="J27" i="56"/>
  <c r="I27" i="56"/>
  <c r="H27" i="56"/>
  <c r="AB26" i="56"/>
  <c r="AA26" i="56"/>
  <c r="Z26" i="56"/>
  <c r="Y26" i="56"/>
  <c r="X26" i="56"/>
  <c r="W26" i="56"/>
  <c r="V26" i="56"/>
  <c r="U26" i="56"/>
  <c r="T26" i="56"/>
  <c r="S26" i="56"/>
  <c r="R26" i="56"/>
  <c r="Q26" i="56"/>
  <c r="P26" i="56"/>
  <c r="O26" i="56"/>
  <c r="N26" i="56"/>
  <c r="K26" i="56"/>
  <c r="J26" i="56"/>
  <c r="I26" i="56"/>
  <c r="H26" i="56"/>
  <c r="AB25" i="56"/>
  <c r="AA25" i="56"/>
  <c r="Z25" i="56"/>
  <c r="Y25" i="56"/>
  <c r="X25" i="56"/>
  <c r="W25" i="56"/>
  <c r="V25" i="56"/>
  <c r="U25" i="56"/>
  <c r="T25" i="56"/>
  <c r="S25" i="56"/>
  <c r="R25" i="56"/>
  <c r="Q25" i="56"/>
  <c r="P25" i="56"/>
  <c r="O25" i="56"/>
  <c r="N25" i="56"/>
  <c r="K25" i="56"/>
  <c r="J25" i="56"/>
  <c r="I25" i="56"/>
  <c r="H25" i="56"/>
  <c r="AB24" i="56"/>
  <c r="AA24" i="56"/>
  <c r="Z24" i="56"/>
  <c r="Y24" i="56"/>
  <c r="X24" i="56"/>
  <c r="W24" i="56"/>
  <c r="V24" i="56"/>
  <c r="U24" i="56"/>
  <c r="T24" i="56"/>
  <c r="S24" i="56"/>
  <c r="R24" i="56"/>
  <c r="Q24" i="56"/>
  <c r="P24" i="56"/>
  <c r="O24" i="56"/>
  <c r="N24" i="56"/>
  <c r="K24" i="56"/>
  <c r="J24" i="56"/>
  <c r="I24" i="56"/>
  <c r="H24" i="56"/>
  <c r="AB23" i="56"/>
  <c r="AA23" i="56"/>
  <c r="Z23" i="56"/>
  <c r="Y23" i="56"/>
  <c r="X23" i="56"/>
  <c r="W23" i="56"/>
  <c r="V23" i="56"/>
  <c r="U23" i="56"/>
  <c r="T23" i="56"/>
  <c r="S23" i="56"/>
  <c r="R23" i="56"/>
  <c r="Q23" i="56"/>
  <c r="P23" i="56"/>
  <c r="O23" i="56"/>
  <c r="N23" i="56"/>
  <c r="K23" i="56"/>
  <c r="J23" i="56"/>
  <c r="I23" i="56"/>
  <c r="H23" i="56"/>
  <c r="AB22" i="56"/>
  <c r="AA22" i="56"/>
  <c r="Z22" i="56"/>
  <c r="Y22" i="56"/>
  <c r="X22" i="56"/>
  <c r="W22" i="56"/>
  <c r="V22" i="56"/>
  <c r="U22" i="56"/>
  <c r="T22" i="56"/>
  <c r="S22" i="56"/>
  <c r="R22" i="56"/>
  <c r="Q22" i="56"/>
  <c r="P22" i="56"/>
  <c r="O22" i="56"/>
  <c r="N22" i="56"/>
  <c r="K22" i="56"/>
  <c r="J22" i="56"/>
  <c r="I22" i="56"/>
  <c r="H22" i="56"/>
  <c r="AB21" i="56"/>
  <c r="AA21" i="56"/>
  <c r="Z21" i="56"/>
  <c r="Y21" i="56"/>
  <c r="X21" i="56"/>
  <c r="W21" i="56"/>
  <c r="V21" i="56"/>
  <c r="U21" i="56"/>
  <c r="T21" i="56"/>
  <c r="S21" i="56"/>
  <c r="R21" i="56"/>
  <c r="Q21" i="56"/>
  <c r="P21" i="56"/>
  <c r="O21" i="56"/>
  <c r="N21" i="56"/>
  <c r="K21" i="56"/>
  <c r="J21" i="56"/>
  <c r="I21" i="56"/>
  <c r="H21" i="56"/>
  <c r="AB20" i="56"/>
  <c r="AA20" i="56"/>
  <c r="Z20" i="56"/>
  <c r="Y20" i="56"/>
  <c r="X20" i="56"/>
  <c r="W20" i="56"/>
  <c r="V20" i="56"/>
  <c r="U20" i="56"/>
  <c r="T20" i="56"/>
  <c r="S20" i="56"/>
  <c r="R20" i="56"/>
  <c r="Q20" i="56"/>
  <c r="P20" i="56"/>
  <c r="O20" i="56"/>
  <c r="N20" i="56"/>
  <c r="K20" i="56"/>
  <c r="J20" i="56"/>
  <c r="I20" i="56"/>
  <c r="H20" i="56"/>
  <c r="AB19" i="56"/>
  <c r="AA19" i="56"/>
  <c r="Z19" i="56"/>
  <c r="Y19" i="56"/>
  <c r="X19" i="56"/>
  <c r="W19" i="56"/>
  <c r="V19" i="56"/>
  <c r="U19" i="56"/>
  <c r="T19" i="56"/>
  <c r="S19" i="56"/>
  <c r="R19" i="56"/>
  <c r="Q19" i="56"/>
  <c r="P19" i="56"/>
  <c r="O19" i="56"/>
  <c r="N19" i="56"/>
  <c r="K19" i="56"/>
  <c r="J19" i="56"/>
  <c r="I19" i="56"/>
  <c r="H19" i="56"/>
  <c r="AB18" i="56"/>
  <c r="AA18" i="56"/>
  <c r="Z18" i="56"/>
  <c r="Y18" i="56"/>
  <c r="X18" i="56"/>
  <c r="W18" i="56"/>
  <c r="V18" i="56"/>
  <c r="U18" i="56"/>
  <c r="T18" i="56"/>
  <c r="S18" i="56"/>
  <c r="R18" i="56"/>
  <c r="Q18" i="56"/>
  <c r="P18" i="56"/>
  <c r="O18" i="56"/>
  <c r="N18" i="56"/>
  <c r="K18" i="56"/>
  <c r="J18" i="56"/>
  <c r="I18" i="56"/>
  <c r="H18" i="56"/>
  <c r="AB17" i="56"/>
  <c r="AA17" i="56"/>
  <c r="Z17" i="56"/>
  <c r="Y17" i="56"/>
  <c r="X17" i="56"/>
  <c r="W17" i="56"/>
  <c r="V17" i="56"/>
  <c r="U17" i="56"/>
  <c r="T17" i="56"/>
  <c r="S17" i="56"/>
  <c r="R17" i="56"/>
  <c r="Q17" i="56"/>
  <c r="P17" i="56"/>
  <c r="O17" i="56"/>
  <c r="N17" i="56"/>
  <c r="K17" i="56"/>
  <c r="J17" i="56"/>
  <c r="I17" i="56"/>
  <c r="H17" i="56"/>
  <c r="AB16" i="56"/>
  <c r="AA16" i="56"/>
  <c r="Z16" i="56"/>
  <c r="Y16" i="56"/>
  <c r="X16" i="56"/>
  <c r="W16" i="56"/>
  <c r="V16" i="56"/>
  <c r="U16" i="56"/>
  <c r="T16" i="56"/>
  <c r="S16" i="56"/>
  <c r="R16" i="56"/>
  <c r="Q16" i="56"/>
  <c r="P16" i="56"/>
  <c r="O16" i="56"/>
  <c r="N16" i="56"/>
  <c r="K16" i="56"/>
  <c r="J16" i="56"/>
  <c r="I16" i="56"/>
  <c r="H16" i="56"/>
  <c r="AB15" i="56"/>
  <c r="AA15" i="56"/>
  <c r="Z15" i="56"/>
  <c r="Y15" i="56"/>
  <c r="X15" i="56"/>
  <c r="W15" i="56"/>
  <c r="V15" i="56"/>
  <c r="U15" i="56"/>
  <c r="T15" i="56"/>
  <c r="S15" i="56"/>
  <c r="R15" i="56"/>
  <c r="Q15" i="56"/>
  <c r="P15" i="56"/>
  <c r="O15" i="56"/>
  <c r="N15" i="56"/>
  <c r="K15" i="56"/>
  <c r="J15" i="56"/>
  <c r="I15" i="56"/>
  <c r="H15" i="56"/>
  <c r="AB14" i="56"/>
  <c r="AA14" i="56"/>
  <c r="Z14" i="56"/>
  <c r="Y14" i="56"/>
  <c r="X14" i="56"/>
  <c r="W14" i="56"/>
  <c r="V14" i="56"/>
  <c r="U14" i="56"/>
  <c r="T14" i="56"/>
  <c r="S14" i="56"/>
  <c r="R14" i="56"/>
  <c r="Q14" i="56"/>
  <c r="P14" i="56"/>
  <c r="O14" i="56"/>
  <c r="N14" i="56"/>
  <c r="K14" i="56"/>
  <c r="J14" i="56"/>
  <c r="I14" i="56"/>
  <c r="H14" i="56"/>
  <c r="AB13" i="56"/>
  <c r="AA13" i="56"/>
  <c r="Z13" i="56"/>
  <c r="Y13" i="56"/>
  <c r="X13" i="56"/>
  <c r="W13" i="56"/>
  <c r="V13" i="56"/>
  <c r="U13" i="56"/>
  <c r="T13" i="56"/>
  <c r="S13" i="56"/>
  <c r="R13" i="56"/>
  <c r="Q13" i="56"/>
  <c r="P13" i="56"/>
  <c r="O13" i="56"/>
  <c r="N13" i="56"/>
  <c r="K13" i="56"/>
  <c r="J13" i="56"/>
  <c r="I13" i="56"/>
  <c r="H13" i="56"/>
  <c r="AB12" i="56"/>
  <c r="AA12" i="56"/>
  <c r="Z12" i="56"/>
  <c r="Y12" i="56"/>
  <c r="X12" i="56"/>
  <c r="W12" i="56"/>
  <c r="V12" i="56"/>
  <c r="U12" i="56"/>
  <c r="T12" i="56"/>
  <c r="S12" i="56"/>
  <c r="R12" i="56"/>
  <c r="Q12" i="56"/>
  <c r="P12" i="56"/>
  <c r="O12" i="56"/>
  <c r="N12" i="56"/>
  <c r="K12" i="56"/>
  <c r="J12" i="56"/>
  <c r="I12" i="56"/>
  <c r="H12" i="56"/>
  <c r="AB11" i="56"/>
  <c r="AA11" i="56"/>
  <c r="Z11" i="56"/>
  <c r="Y11" i="56"/>
  <c r="X11" i="56"/>
  <c r="W11" i="56"/>
  <c r="V11" i="56"/>
  <c r="U11" i="56"/>
  <c r="T11" i="56"/>
  <c r="S11" i="56"/>
  <c r="R11" i="56"/>
  <c r="Q11" i="56"/>
  <c r="P11" i="56"/>
  <c r="O11" i="56"/>
  <c r="N11" i="56"/>
  <c r="K11" i="56"/>
  <c r="J11" i="56"/>
  <c r="I11" i="56"/>
  <c r="H11" i="56"/>
  <c r="AB10" i="56"/>
  <c r="AA10" i="56"/>
  <c r="Z10" i="56"/>
  <c r="Y10" i="56"/>
  <c r="X10" i="56"/>
  <c r="W10" i="56"/>
  <c r="V10" i="56"/>
  <c r="U10" i="56"/>
  <c r="T10" i="56"/>
  <c r="S10" i="56"/>
  <c r="R10" i="56"/>
  <c r="Q10" i="56"/>
  <c r="P10" i="56"/>
  <c r="O10" i="56"/>
  <c r="N10" i="56"/>
  <c r="K10" i="56"/>
  <c r="J10" i="56"/>
  <c r="I10" i="56"/>
  <c r="H10" i="56"/>
  <c r="AB9" i="56"/>
  <c r="AA9" i="56"/>
  <c r="Z9" i="56"/>
  <c r="Y9" i="56"/>
  <c r="X9" i="56"/>
  <c r="W9" i="56"/>
  <c r="V9" i="56"/>
  <c r="U9" i="56"/>
  <c r="T9" i="56"/>
  <c r="S9" i="56"/>
  <c r="R9" i="56"/>
  <c r="Q9" i="56"/>
  <c r="P9" i="56"/>
  <c r="O9" i="56"/>
  <c r="N9" i="56"/>
  <c r="K9" i="56"/>
  <c r="J9" i="56"/>
  <c r="I9" i="56"/>
  <c r="H9" i="56"/>
  <c r="AB8" i="56"/>
  <c r="AA8" i="56"/>
  <c r="Z8" i="56"/>
  <c r="Y8" i="56"/>
  <c r="X8" i="56"/>
  <c r="W8" i="56"/>
  <c r="V8" i="56"/>
  <c r="U8" i="56"/>
  <c r="T8" i="56"/>
  <c r="S8" i="56"/>
  <c r="R8" i="56"/>
  <c r="Q8" i="56"/>
  <c r="P8" i="56"/>
  <c r="O8" i="56"/>
  <c r="N8" i="56"/>
  <c r="K8" i="56"/>
  <c r="J8" i="56"/>
  <c r="I8" i="56"/>
  <c r="H8" i="56"/>
  <c r="AB7" i="56"/>
  <c r="AA7" i="56"/>
  <c r="Z7" i="56"/>
  <c r="Y7" i="56"/>
  <c r="X7" i="56"/>
  <c r="W7" i="56"/>
  <c r="V7" i="56"/>
  <c r="U7" i="56"/>
  <c r="T7" i="56"/>
  <c r="S7" i="56"/>
  <c r="R7" i="56"/>
  <c r="Q7" i="56"/>
  <c r="P7" i="56"/>
  <c r="O7" i="56"/>
  <c r="N7" i="56"/>
  <c r="K7" i="56"/>
  <c r="J7" i="56"/>
  <c r="I7" i="56"/>
  <c r="H7" i="56"/>
  <c r="AB6" i="56"/>
  <c r="AA6" i="56"/>
  <c r="Z6" i="56"/>
  <c r="Y6" i="56"/>
  <c r="X6" i="56"/>
  <c r="W6" i="56"/>
  <c r="V6" i="56"/>
  <c r="U6" i="56"/>
  <c r="T6" i="56"/>
  <c r="S6" i="56"/>
  <c r="R6" i="56"/>
  <c r="Q6" i="56"/>
  <c r="P6" i="56"/>
  <c r="O6" i="56"/>
  <c r="N6" i="56"/>
  <c r="K6" i="56"/>
  <c r="J6" i="56"/>
  <c r="I6" i="56"/>
  <c r="H6" i="56"/>
  <c r="AB5" i="56"/>
  <c r="AA5" i="56"/>
  <c r="Z5" i="56"/>
  <c r="Y5" i="56"/>
  <c r="X5" i="56"/>
  <c r="W5" i="56"/>
  <c r="V5" i="56"/>
  <c r="U5" i="56"/>
  <c r="T5" i="56"/>
  <c r="S5" i="56"/>
  <c r="R5" i="56"/>
  <c r="Q5" i="56"/>
  <c r="P5" i="56"/>
  <c r="O5" i="56"/>
  <c r="N5" i="56"/>
  <c r="K5" i="56"/>
  <c r="J5" i="56"/>
  <c r="I5" i="56"/>
  <c r="H5" i="56"/>
  <c r="AB55" i="55"/>
  <c r="AA55" i="55"/>
  <c r="Z55" i="55"/>
  <c r="Y55" i="55"/>
  <c r="X55" i="55"/>
  <c r="W55" i="55"/>
  <c r="V55" i="55"/>
  <c r="U55" i="55"/>
  <c r="T55" i="55"/>
  <c r="S55" i="55"/>
  <c r="R55" i="55"/>
  <c r="Q55" i="55"/>
  <c r="P55" i="55"/>
  <c r="O55" i="55"/>
  <c r="N55" i="55"/>
  <c r="K55" i="55"/>
  <c r="J55" i="55"/>
  <c r="I55" i="55"/>
  <c r="H55" i="55"/>
  <c r="AB54" i="55"/>
  <c r="AA54" i="55"/>
  <c r="Z54" i="55"/>
  <c r="Y54" i="55"/>
  <c r="X54" i="55"/>
  <c r="W54" i="55"/>
  <c r="V54" i="55"/>
  <c r="U54" i="55"/>
  <c r="T54" i="55"/>
  <c r="S54" i="55"/>
  <c r="R54" i="55"/>
  <c r="Q54" i="55"/>
  <c r="P54" i="55"/>
  <c r="O54" i="55"/>
  <c r="N54" i="55"/>
  <c r="K54" i="55"/>
  <c r="J54" i="55"/>
  <c r="I54" i="55"/>
  <c r="H54" i="55"/>
  <c r="AB53" i="55"/>
  <c r="AA53" i="55"/>
  <c r="Z53" i="55"/>
  <c r="Y53" i="55"/>
  <c r="X53" i="55"/>
  <c r="W53" i="55"/>
  <c r="V53" i="55"/>
  <c r="U53" i="55"/>
  <c r="T53" i="55"/>
  <c r="S53" i="55"/>
  <c r="R53" i="55"/>
  <c r="Q53" i="55"/>
  <c r="P53" i="55"/>
  <c r="O53" i="55"/>
  <c r="N53" i="55"/>
  <c r="K53" i="55"/>
  <c r="J53" i="55"/>
  <c r="I53" i="55"/>
  <c r="H53" i="55"/>
  <c r="AB52" i="55"/>
  <c r="AA52" i="55"/>
  <c r="Z52" i="55"/>
  <c r="Y52" i="55"/>
  <c r="X52" i="55"/>
  <c r="W52" i="55"/>
  <c r="V52" i="55"/>
  <c r="U52" i="55"/>
  <c r="T52" i="55"/>
  <c r="S52" i="55"/>
  <c r="R52" i="55"/>
  <c r="Q52" i="55"/>
  <c r="P52" i="55"/>
  <c r="O52" i="55"/>
  <c r="N52" i="55"/>
  <c r="K52" i="55"/>
  <c r="J52" i="55"/>
  <c r="I52" i="55"/>
  <c r="H52" i="55"/>
  <c r="AB51" i="55"/>
  <c r="AA51" i="55"/>
  <c r="Z51" i="55"/>
  <c r="Y51" i="55"/>
  <c r="X51" i="55"/>
  <c r="W51" i="55"/>
  <c r="V51" i="55"/>
  <c r="U51" i="55"/>
  <c r="T51" i="55"/>
  <c r="S51" i="55"/>
  <c r="R51" i="55"/>
  <c r="Q51" i="55"/>
  <c r="P51" i="55"/>
  <c r="O51" i="55"/>
  <c r="N51" i="55"/>
  <c r="K51" i="55"/>
  <c r="J51" i="55"/>
  <c r="I51" i="55"/>
  <c r="H51" i="55"/>
  <c r="AB50" i="55"/>
  <c r="AA50" i="55"/>
  <c r="Z50" i="55"/>
  <c r="Y50" i="55"/>
  <c r="X50" i="55"/>
  <c r="W50" i="55"/>
  <c r="V50" i="55"/>
  <c r="U50" i="55"/>
  <c r="T50" i="55"/>
  <c r="S50" i="55"/>
  <c r="R50" i="55"/>
  <c r="Q50" i="55"/>
  <c r="P50" i="55"/>
  <c r="O50" i="55"/>
  <c r="N50" i="55"/>
  <c r="K50" i="55"/>
  <c r="J50" i="55"/>
  <c r="I50" i="55"/>
  <c r="H50" i="55"/>
  <c r="AB49" i="55"/>
  <c r="AA49" i="55"/>
  <c r="Z49" i="55"/>
  <c r="Y49" i="55"/>
  <c r="X49" i="55"/>
  <c r="W49" i="55"/>
  <c r="V49" i="55"/>
  <c r="U49" i="55"/>
  <c r="T49" i="55"/>
  <c r="S49" i="55"/>
  <c r="R49" i="55"/>
  <c r="Q49" i="55"/>
  <c r="P49" i="55"/>
  <c r="O49" i="55"/>
  <c r="N49" i="55"/>
  <c r="K49" i="55"/>
  <c r="J49" i="55"/>
  <c r="I49" i="55"/>
  <c r="H49" i="55"/>
  <c r="AB48" i="55"/>
  <c r="AA48" i="55"/>
  <c r="Z48" i="55"/>
  <c r="Y48" i="55"/>
  <c r="X48" i="55"/>
  <c r="W48" i="55"/>
  <c r="V48" i="55"/>
  <c r="U48" i="55"/>
  <c r="T48" i="55"/>
  <c r="S48" i="55"/>
  <c r="R48" i="55"/>
  <c r="Q48" i="55"/>
  <c r="P48" i="55"/>
  <c r="O48" i="55"/>
  <c r="N48" i="55"/>
  <c r="K48" i="55"/>
  <c r="J48" i="55"/>
  <c r="I48" i="55"/>
  <c r="H48" i="55"/>
  <c r="AB47" i="55"/>
  <c r="AA47" i="55"/>
  <c r="Z47" i="55"/>
  <c r="Y47" i="55"/>
  <c r="X47" i="55"/>
  <c r="W47" i="55"/>
  <c r="V47" i="55"/>
  <c r="U47" i="55"/>
  <c r="T47" i="55"/>
  <c r="S47" i="55"/>
  <c r="R47" i="55"/>
  <c r="Q47" i="55"/>
  <c r="P47" i="55"/>
  <c r="O47" i="55"/>
  <c r="N47" i="55"/>
  <c r="K47" i="55"/>
  <c r="J47" i="55"/>
  <c r="I47" i="55"/>
  <c r="H47" i="55"/>
  <c r="AB46" i="55"/>
  <c r="AA46" i="55"/>
  <c r="Z46" i="55"/>
  <c r="Y46" i="55"/>
  <c r="X46" i="55"/>
  <c r="W46" i="55"/>
  <c r="V46" i="55"/>
  <c r="U46" i="55"/>
  <c r="T46" i="55"/>
  <c r="S46" i="55"/>
  <c r="R46" i="55"/>
  <c r="Q46" i="55"/>
  <c r="P46" i="55"/>
  <c r="O46" i="55"/>
  <c r="N46" i="55"/>
  <c r="K46" i="55"/>
  <c r="J46" i="55"/>
  <c r="I46" i="55"/>
  <c r="H46" i="55"/>
  <c r="AB45" i="55"/>
  <c r="AA45" i="55"/>
  <c r="Z45" i="55"/>
  <c r="Y45" i="55"/>
  <c r="X45" i="55"/>
  <c r="W45" i="55"/>
  <c r="V45" i="55"/>
  <c r="U45" i="55"/>
  <c r="T45" i="55"/>
  <c r="S45" i="55"/>
  <c r="R45" i="55"/>
  <c r="Q45" i="55"/>
  <c r="P45" i="55"/>
  <c r="O45" i="55"/>
  <c r="N45" i="55"/>
  <c r="K45" i="55"/>
  <c r="J45" i="55"/>
  <c r="I45" i="55"/>
  <c r="H45" i="55"/>
  <c r="AB44" i="55"/>
  <c r="AA44" i="55"/>
  <c r="Z44" i="55"/>
  <c r="Y44" i="55"/>
  <c r="X44" i="55"/>
  <c r="W44" i="55"/>
  <c r="V44" i="55"/>
  <c r="U44" i="55"/>
  <c r="T44" i="55"/>
  <c r="S44" i="55"/>
  <c r="R44" i="55"/>
  <c r="Q44" i="55"/>
  <c r="P44" i="55"/>
  <c r="O44" i="55"/>
  <c r="N44" i="55"/>
  <c r="K44" i="55"/>
  <c r="J44" i="55"/>
  <c r="I44" i="55"/>
  <c r="H44" i="55"/>
  <c r="AB43" i="55"/>
  <c r="AA43" i="55"/>
  <c r="Z43" i="55"/>
  <c r="Y43" i="55"/>
  <c r="X43" i="55"/>
  <c r="W43" i="55"/>
  <c r="V43" i="55"/>
  <c r="U43" i="55"/>
  <c r="T43" i="55"/>
  <c r="S43" i="55"/>
  <c r="R43" i="55"/>
  <c r="Q43" i="55"/>
  <c r="P43" i="55"/>
  <c r="O43" i="55"/>
  <c r="N43" i="55"/>
  <c r="K43" i="55"/>
  <c r="J43" i="55"/>
  <c r="I43" i="55"/>
  <c r="H43" i="55"/>
  <c r="AB42" i="55"/>
  <c r="AA42" i="55"/>
  <c r="Z42" i="55"/>
  <c r="Y42" i="55"/>
  <c r="X42" i="55"/>
  <c r="W42" i="55"/>
  <c r="V42" i="55"/>
  <c r="U42" i="55"/>
  <c r="T42" i="55"/>
  <c r="S42" i="55"/>
  <c r="R42" i="55"/>
  <c r="Q42" i="55"/>
  <c r="P42" i="55"/>
  <c r="O42" i="55"/>
  <c r="N42" i="55"/>
  <c r="K42" i="55"/>
  <c r="J42" i="55"/>
  <c r="I42" i="55"/>
  <c r="H42" i="55"/>
  <c r="AB41" i="55"/>
  <c r="AA41" i="55"/>
  <c r="Z41" i="55"/>
  <c r="Y41" i="55"/>
  <c r="X41" i="55"/>
  <c r="W41" i="55"/>
  <c r="V41" i="55"/>
  <c r="U41" i="55"/>
  <c r="T41" i="55"/>
  <c r="S41" i="55"/>
  <c r="R41" i="55"/>
  <c r="Q41" i="55"/>
  <c r="P41" i="55"/>
  <c r="O41" i="55"/>
  <c r="N41" i="55"/>
  <c r="K41" i="55"/>
  <c r="J41" i="55"/>
  <c r="I41" i="55"/>
  <c r="H41" i="55"/>
  <c r="AB40" i="55"/>
  <c r="AA40" i="55"/>
  <c r="Z40" i="55"/>
  <c r="Y40" i="55"/>
  <c r="X40" i="55"/>
  <c r="W40" i="55"/>
  <c r="V40" i="55"/>
  <c r="U40" i="55"/>
  <c r="T40" i="55"/>
  <c r="S40" i="55"/>
  <c r="R40" i="55"/>
  <c r="Q40" i="55"/>
  <c r="P40" i="55"/>
  <c r="O40" i="55"/>
  <c r="N40" i="55"/>
  <c r="K40" i="55"/>
  <c r="J40" i="55"/>
  <c r="I40" i="55"/>
  <c r="H40" i="55"/>
  <c r="AB39" i="55"/>
  <c r="AA39" i="55"/>
  <c r="Z39" i="55"/>
  <c r="Y39" i="55"/>
  <c r="X39" i="55"/>
  <c r="W39" i="55"/>
  <c r="V39" i="55"/>
  <c r="U39" i="55"/>
  <c r="T39" i="55"/>
  <c r="S39" i="55"/>
  <c r="R39" i="55"/>
  <c r="Q39" i="55"/>
  <c r="P39" i="55"/>
  <c r="O39" i="55"/>
  <c r="N39" i="55"/>
  <c r="K39" i="55"/>
  <c r="J39" i="55"/>
  <c r="I39" i="55"/>
  <c r="H39" i="55"/>
  <c r="AB38" i="55"/>
  <c r="AA38" i="55"/>
  <c r="Z38" i="55"/>
  <c r="Y38" i="55"/>
  <c r="X38" i="55"/>
  <c r="W38" i="55"/>
  <c r="V38" i="55"/>
  <c r="U38" i="55"/>
  <c r="T38" i="55"/>
  <c r="S38" i="55"/>
  <c r="R38" i="55"/>
  <c r="Q38" i="55"/>
  <c r="P38" i="55"/>
  <c r="O38" i="55"/>
  <c r="N38" i="55"/>
  <c r="K38" i="55"/>
  <c r="J38" i="55"/>
  <c r="I38" i="55"/>
  <c r="H38" i="55"/>
  <c r="AB37" i="55"/>
  <c r="AA37" i="55"/>
  <c r="Z37" i="55"/>
  <c r="Y37" i="55"/>
  <c r="X37" i="55"/>
  <c r="W37" i="55"/>
  <c r="V37" i="55"/>
  <c r="U37" i="55"/>
  <c r="T37" i="55"/>
  <c r="S37" i="55"/>
  <c r="R37" i="55"/>
  <c r="Q37" i="55"/>
  <c r="P37" i="55"/>
  <c r="O37" i="55"/>
  <c r="N37" i="55"/>
  <c r="K37" i="55"/>
  <c r="J37" i="55"/>
  <c r="I37" i="55"/>
  <c r="H37" i="55"/>
  <c r="AB36" i="55"/>
  <c r="AA36" i="55"/>
  <c r="Z36" i="55"/>
  <c r="Y36" i="55"/>
  <c r="X36" i="55"/>
  <c r="W36" i="55"/>
  <c r="V36" i="55"/>
  <c r="U36" i="55"/>
  <c r="T36" i="55"/>
  <c r="S36" i="55"/>
  <c r="R36" i="55"/>
  <c r="Q36" i="55"/>
  <c r="P36" i="55"/>
  <c r="O36" i="55"/>
  <c r="N36" i="55"/>
  <c r="K36" i="55"/>
  <c r="J36" i="55"/>
  <c r="I36" i="55"/>
  <c r="H36" i="55"/>
  <c r="AB35" i="55"/>
  <c r="AA35" i="55"/>
  <c r="Z35" i="55"/>
  <c r="Y35" i="55"/>
  <c r="X35" i="55"/>
  <c r="W35" i="55"/>
  <c r="V35" i="55"/>
  <c r="U35" i="55"/>
  <c r="T35" i="55"/>
  <c r="S35" i="55"/>
  <c r="R35" i="55"/>
  <c r="Q35" i="55"/>
  <c r="P35" i="55"/>
  <c r="O35" i="55"/>
  <c r="N35" i="55"/>
  <c r="K35" i="55"/>
  <c r="J35" i="55"/>
  <c r="I35" i="55"/>
  <c r="H35" i="55"/>
  <c r="AB34" i="55"/>
  <c r="AA34" i="55"/>
  <c r="Z34" i="55"/>
  <c r="Y34" i="55"/>
  <c r="X34" i="55"/>
  <c r="W34" i="55"/>
  <c r="V34" i="55"/>
  <c r="U34" i="55"/>
  <c r="T34" i="55"/>
  <c r="S34" i="55"/>
  <c r="R34" i="55"/>
  <c r="Q34" i="55"/>
  <c r="P34" i="55"/>
  <c r="O34" i="55"/>
  <c r="N34" i="55"/>
  <c r="K34" i="55"/>
  <c r="J34" i="55"/>
  <c r="I34" i="55"/>
  <c r="H34" i="55"/>
  <c r="AB33" i="55"/>
  <c r="AA33" i="55"/>
  <c r="Z33" i="55"/>
  <c r="Y33" i="55"/>
  <c r="X33" i="55"/>
  <c r="W33" i="55"/>
  <c r="V33" i="55"/>
  <c r="U33" i="55"/>
  <c r="T33" i="55"/>
  <c r="S33" i="55"/>
  <c r="R33" i="55"/>
  <c r="Q33" i="55"/>
  <c r="P33" i="55"/>
  <c r="O33" i="55"/>
  <c r="N33" i="55"/>
  <c r="K33" i="55"/>
  <c r="J33" i="55"/>
  <c r="I33" i="55"/>
  <c r="H33" i="55"/>
  <c r="AB32" i="55"/>
  <c r="AA32" i="55"/>
  <c r="Z32" i="55"/>
  <c r="Y32" i="55"/>
  <c r="X32" i="55"/>
  <c r="W32" i="55"/>
  <c r="V32" i="55"/>
  <c r="U32" i="55"/>
  <c r="T32" i="55"/>
  <c r="S32" i="55"/>
  <c r="R32" i="55"/>
  <c r="Q32" i="55"/>
  <c r="P32" i="55"/>
  <c r="O32" i="55"/>
  <c r="N32" i="55"/>
  <c r="K32" i="55"/>
  <c r="J32" i="55"/>
  <c r="I32" i="55"/>
  <c r="H32" i="55"/>
  <c r="AB31" i="55"/>
  <c r="AA31" i="55"/>
  <c r="Z31" i="55"/>
  <c r="Y31" i="55"/>
  <c r="X31" i="55"/>
  <c r="W31" i="55"/>
  <c r="V31" i="55"/>
  <c r="U31" i="55"/>
  <c r="T31" i="55"/>
  <c r="S31" i="55"/>
  <c r="R31" i="55"/>
  <c r="Q31" i="55"/>
  <c r="P31" i="55"/>
  <c r="O31" i="55"/>
  <c r="N31" i="55"/>
  <c r="K31" i="55"/>
  <c r="J31" i="55"/>
  <c r="I31" i="55"/>
  <c r="H31" i="55"/>
  <c r="AB30" i="55"/>
  <c r="AA30" i="55"/>
  <c r="Z30" i="55"/>
  <c r="Y30" i="55"/>
  <c r="X30" i="55"/>
  <c r="W30" i="55"/>
  <c r="V30" i="55"/>
  <c r="U30" i="55"/>
  <c r="T30" i="55"/>
  <c r="S30" i="55"/>
  <c r="R30" i="55"/>
  <c r="Q30" i="55"/>
  <c r="P30" i="55"/>
  <c r="O30" i="55"/>
  <c r="N30" i="55"/>
  <c r="K30" i="55"/>
  <c r="J30" i="55"/>
  <c r="I30" i="55"/>
  <c r="H30" i="55"/>
  <c r="AB29" i="55"/>
  <c r="AA29" i="55"/>
  <c r="Z29" i="55"/>
  <c r="Y29" i="55"/>
  <c r="X29" i="55"/>
  <c r="W29" i="55"/>
  <c r="V29" i="55"/>
  <c r="U29" i="55"/>
  <c r="T29" i="55"/>
  <c r="S29" i="55"/>
  <c r="R29" i="55"/>
  <c r="Q29" i="55"/>
  <c r="P29" i="55"/>
  <c r="O29" i="55"/>
  <c r="N29" i="55"/>
  <c r="K29" i="55"/>
  <c r="J29" i="55"/>
  <c r="I29" i="55"/>
  <c r="H29" i="55"/>
  <c r="AB28" i="55"/>
  <c r="AA28" i="55"/>
  <c r="Z28" i="55"/>
  <c r="Y28" i="55"/>
  <c r="X28" i="55"/>
  <c r="W28" i="55"/>
  <c r="V28" i="55"/>
  <c r="U28" i="55"/>
  <c r="T28" i="55"/>
  <c r="S28" i="55"/>
  <c r="R28" i="55"/>
  <c r="Q28" i="55"/>
  <c r="P28" i="55"/>
  <c r="O28" i="55"/>
  <c r="N28" i="55"/>
  <c r="K28" i="55"/>
  <c r="J28" i="55"/>
  <c r="I28" i="55"/>
  <c r="H28" i="55"/>
  <c r="AB27" i="55"/>
  <c r="AA27" i="55"/>
  <c r="Z27" i="55"/>
  <c r="Y27" i="55"/>
  <c r="X27" i="55"/>
  <c r="W27" i="55"/>
  <c r="V27" i="55"/>
  <c r="U27" i="55"/>
  <c r="T27" i="55"/>
  <c r="S27" i="55"/>
  <c r="R27" i="55"/>
  <c r="Q27" i="55"/>
  <c r="P27" i="55"/>
  <c r="O27" i="55"/>
  <c r="N27" i="55"/>
  <c r="K27" i="55"/>
  <c r="J27" i="55"/>
  <c r="I27" i="55"/>
  <c r="H27" i="55"/>
  <c r="AB26" i="55"/>
  <c r="AA26" i="55"/>
  <c r="Z26" i="55"/>
  <c r="Y26" i="55"/>
  <c r="X26" i="55"/>
  <c r="W26" i="55"/>
  <c r="V26" i="55"/>
  <c r="U26" i="55"/>
  <c r="T26" i="55"/>
  <c r="S26" i="55"/>
  <c r="R26" i="55"/>
  <c r="Q26" i="55"/>
  <c r="P26" i="55"/>
  <c r="O26" i="55"/>
  <c r="N26" i="55"/>
  <c r="K26" i="55"/>
  <c r="J26" i="55"/>
  <c r="I26" i="55"/>
  <c r="H26" i="55"/>
  <c r="AB25" i="55"/>
  <c r="AA25" i="55"/>
  <c r="Z25" i="55"/>
  <c r="Y25" i="55"/>
  <c r="X25" i="55"/>
  <c r="W25" i="55"/>
  <c r="V25" i="55"/>
  <c r="U25" i="55"/>
  <c r="T25" i="55"/>
  <c r="S25" i="55"/>
  <c r="R25" i="55"/>
  <c r="Q25" i="55"/>
  <c r="P25" i="55"/>
  <c r="O25" i="55"/>
  <c r="N25" i="55"/>
  <c r="K25" i="55"/>
  <c r="J25" i="55"/>
  <c r="I25" i="55"/>
  <c r="H25" i="55"/>
  <c r="AB24" i="55"/>
  <c r="AA24" i="55"/>
  <c r="Z24" i="55"/>
  <c r="Y24" i="55"/>
  <c r="X24" i="55"/>
  <c r="W24" i="55"/>
  <c r="V24" i="55"/>
  <c r="U24" i="55"/>
  <c r="T24" i="55"/>
  <c r="S24" i="55"/>
  <c r="R24" i="55"/>
  <c r="Q24" i="55"/>
  <c r="P24" i="55"/>
  <c r="O24" i="55"/>
  <c r="N24" i="55"/>
  <c r="K24" i="55"/>
  <c r="J24" i="55"/>
  <c r="I24" i="55"/>
  <c r="H24" i="55"/>
  <c r="AB23" i="55"/>
  <c r="AA23" i="55"/>
  <c r="Z23" i="55"/>
  <c r="Y23" i="55"/>
  <c r="X23" i="55"/>
  <c r="W23" i="55"/>
  <c r="V23" i="55"/>
  <c r="U23" i="55"/>
  <c r="T23" i="55"/>
  <c r="S23" i="55"/>
  <c r="R23" i="55"/>
  <c r="Q23" i="55"/>
  <c r="P23" i="55"/>
  <c r="O23" i="55"/>
  <c r="N23" i="55"/>
  <c r="K23" i="55"/>
  <c r="J23" i="55"/>
  <c r="I23" i="55"/>
  <c r="H23" i="55"/>
  <c r="AB22" i="55"/>
  <c r="AA22" i="55"/>
  <c r="Z22" i="55"/>
  <c r="Y22" i="55"/>
  <c r="X22" i="55"/>
  <c r="W22" i="55"/>
  <c r="V22" i="55"/>
  <c r="U22" i="55"/>
  <c r="T22" i="55"/>
  <c r="S22" i="55"/>
  <c r="R22" i="55"/>
  <c r="Q22" i="55"/>
  <c r="P22" i="55"/>
  <c r="O22" i="55"/>
  <c r="N22" i="55"/>
  <c r="K22" i="55"/>
  <c r="J22" i="55"/>
  <c r="I22" i="55"/>
  <c r="H22" i="55"/>
  <c r="AB21" i="55"/>
  <c r="AA21" i="55"/>
  <c r="Z21" i="55"/>
  <c r="Y21" i="55"/>
  <c r="X21" i="55"/>
  <c r="W21" i="55"/>
  <c r="V21" i="55"/>
  <c r="U21" i="55"/>
  <c r="T21" i="55"/>
  <c r="S21" i="55"/>
  <c r="R21" i="55"/>
  <c r="Q21" i="55"/>
  <c r="P21" i="55"/>
  <c r="O21" i="55"/>
  <c r="N21" i="55"/>
  <c r="K21" i="55"/>
  <c r="J21" i="55"/>
  <c r="I21" i="55"/>
  <c r="H21" i="55"/>
  <c r="AB20" i="55"/>
  <c r="AA20" i="55"/>
  <c r="Z20" i="55"/>
  <c r="Y20" i="55"/>
  <c r="X20" i="55"/>
  <c r="W20" i="55"/>
  <c r="V20" i="55"/>
  <c r="U20" i="55"/>
  <c r="T20" i="55"/>
  <c r="S20" i="55"/>
  <c r="R20" i="55"/>
  <c r="Q20" i="55"/>
  <c r="P20" i="55"/>
  <c r="O20" i="55"/>
  <c r="N20" i="55"/>
  <c r="K20" i="55"/>
  <c r="J20" i="55"/>
  <c r="I20" i="55"/>
  <c r="H20" i="55"/>
  <c r="AB19" i="55"/>
  <c r="AA19" i="55"/>
  <c r="Z19" i="55"/>
  <c r="Y19" i="55"/>
  <c r="X19" i="55"/>
  <c r="W19" i="55"/>
  <c r="V19" i="55"/>
  <c r="U19" i="55"/>
  <c r="T19" i="55"/>
  <c r="S19" i="55"/>
  <c r="R19" i="55"/>
  <c r="Q19" i="55"/>
  <c r="P19" i="55"/>
  <c r="O19" i="55"/>
  <c r="N19" i="55"/>
  <c r="K19" i="55"/>
  <c r="J19" i="55"/>
  <c r="I19" i="55"/>
  <c r="H19" i="55"/>
  <c r="AB18" i="55"/>
  <c r="AA18" i="55"/>
  <c r="Z18" i="55"/>
  <c r="Y18" i="55"/>
  <c r="X18" i="55"/>
  <c r="W18" i="55"/>
  <c r="V18" i="55"/>
  <c r="U18" i="55"/>
  <c r="T18" i="55"/>
  <c r="S18" i="55"/>
  <c r="R18" i="55"/>
  <c r="Q18" i="55"/>
  <c r="P18" i="55"/>
  <c r="O18" i="55"/>
  <c r="N18" i="55"/>
  <c r="K18" i="55"/>
  <c r="J18" i="55"/>
  <c r="I18" i="55"/>
  <c r="H18" i="55"/>
  <c r="AB17" i="55"/>
  <c r="AA17" i="55"/>
  <c r="Z17" i="55"/>
  <c r="Y17" i="55"/>
  <c r="X17" i="55"/>
  <c r="W17" i="55"/>
  <c r="V17" i="55"/>
  <c r="U17" i="55"/>
  <c r="T17" i="55"/>
  <c r="S17" i="55"/>
  <c r="R17" i="55"/>
  <c r="Q17" i="55"/>
  <c r="P17" i="55"/>
  <c r="O17" i="55"/>
  <c r="N17" i="55"/>
  <c r="K17" i="55"/>
  <c r="J17" i="55"/>
  <c r="I17" i="55"/>
  <c r="H17" i="55"/>
  <c r="AB16" i="55"/>
  <c r="AA16" i="55"/>
  <c r="Z16" i="55"/>
  <c r="Y16" i="55"/>
  <c r="X16" i="55"/>
  <c r="W16" i="55"/>
  <c r="V16" i="55"/>
  <c r="U16" i="55"/>
  <c r="T16" i="55"/>
  <c r="S16" i="55"/>
  <c r="R16" i="55"/>
  <c r="Q16" i="55"/>
  <c r="P16" i="55"/>
  <c r="O16" i="55"/>
  <c r="N16" i="55"/>
  <c r="K16" i="55"/>
  <c r="J16" i="55"/>
  <c r="I16" i="55"/>
  <c r="H16" i="55"/>
  <c r="AB15" i="55"/>
  <c r="AA15" i="55"/>
  <c r="Z15" i="55"/>
  <c r="Y15" i="55"/>
  <c r="X15" i="55"/>
  <c r="W15" i="55"/>
  <c r="V15" i="55"/>
  <c r="U15" i="55"/>
  <c r="T15" i="55"/>
  <c r="S15" i="55"/>
  <c r="R15" i="55"/>
  <c r="Q15" i="55"/>
  <c r="P15" i="55"/>
  <c r="O15" i="55"/>
  <c r="N15" i="55"/>
  <c r="K15" i="55"/>
  <c r="J15" i="55"/>
  <c r="I15" i="55"/>
  <c r="H15" i="55"/>
  <c r="AB14" i="55"/>
  <c r="AA14" i="55"/>
  <c r="Z14" i="55"/>
  <c r="Y14" i="55"/>
  <c r="X14" i="55"/>
  <c r="W14" i="55"/>
  <c r="V14" i="55"/>
  <c r="U14" i="55"/>
  <c r="T14" i="55"/>
  <c r="S14" i="55"/>
  <c r="R14" i="55"/>
  <c r="Q14" i="55"/>
  <c r="P14" i="55"/>
  <c r="O14" i="55"/>
  <c r="N14" i="55"/>
  <c r="K14" i="55"/>
  <c r="J14" i="55"/>
  <c r="I14" i="55"/>
  <c r="H14" i="55"/>
  <c r="AB13" i="55"/>
  <c r="AA13" i="55"/>
  <c r="Z13" i="55"/>
  <c r="Y13" i="55"/>
  <c r="X13" i="55"/>
  <c r="W13" i="55"/>
  <c r="V13" i="55"/>
  <c r="U13" i="55"/>
  <c r="T13" i="55"/>
  <c r="S13" i="55"/>
  <c r="R13" i="55"/>
  <c r="Q13" i="55"/>
  <c r="P13" i="55"/>
  <c r="O13" i="55"/>
  <c r="N13" i="55"/>
  <c r="K13" i="55"/>
  <c r="J13" i="55"/>
  <c r="I13" i="55"/>
  <c r="H13" i="55"/>
  <c r="AB12" i="55"/>
  <c r="AA12" i="55"/>
  <c r="Z12" i="55"/>
  <c r="Y12" i="55"/>
  <c r="X12" i="55"/>
  <c r="W12" i="55"/>
  <c r="V12" i="55"/>
  <c r="U12" i="55"/>
  <c r="T12" i="55"/>
  <c r="S12" i="55"/>
  <c r="R12" i="55"/>
  <c r="Q12" i="55"/>
  <c r="P12" i="55"/>
  <c r="O12" i="55"/>
  <c r="N12" i="55"/>
  <c r="K12" i="55"/>
  <c r="J12" i="55"/>
  <c r="I12" i="55"/>
  <c r="H12" i="55"/>
  <c r="AB11" i="55"/>
  <c r="AA11" i="55"/>
  <c r="Z11" i="55"/>
  <c r="Y11" i="55"/>
  <c r="X11" i="55"/>
  <c r="W11" i="55"/>
  <c r="V11" i="55"/>
  <c r="U11" i="55"/>
  <c r="T11" i="55"/>
  <c r="S11" i="55"/>
  <c r="R11" i="55"/>
  <c r="Q11" i="55"/>
  <c r="P11" i="55"/>
  <c r="O11" i="55"/>
  <c r="N11" i="55"/>
  <c r="K11" i="55"/>
  <c r="J11" i="55"/>
  <c r="I11" i="55"/>
  <c r="H11" i="55"/>
  <c r="AB10" i="55"/>
  <c r="AA10" i="55"/>
  <c r="Z10" i="55"/>
  <c r="Y10" i="55"/>
  <c r="X10" i="55"/>
  <c r="W10" i="55"/>
  <c r="V10" i="55"/>
  <c r="U10" i="55"/>
  <c r="T10" i="55"/>
  <c r="S10" i="55"/>
  <c r="R10" i="55"/>
  <c r="Q10" i="55"/>
  <c r="P10" i="55"/>
  <c r="O10" i="55"/>
  <c r="N10" i="55"/>
  <c r="K10" i="55"/>
  <c r="J10" i="55"/>
  <c r="I10" i="55"/>
  <c r="H10" i="55"/>
  <c r="AB9" i="55"/>
  <c r="AA9" i="55"/>
  <c r="Z9" i="55"/>
  <c r="Y9" i="55"/>
  <c r="X9" i="55"/>
  <c r="W9" i="55"/>
  <c r="V9" i="55"/>
  <c r="U9" i="55"/>
  <c r="T9" i="55"/>
  <c r="S9" i="55"/>
  <c r="R9" i="55"/>
  <c r="Q9" i="55"/>
  <c r="P9" i="55"/>
  <c r="O9" i="55"/>
  <c r="N9" i="55"/>
  <c r="K9" i="55"/>
  <c r="J9" i="55"/>
  <c r="I9" i="55"/>
  <c r="H9" i="55"/>
  <c r="AB8" i="55"/>
  <c r="AA8" i="55"/>
  <c r="Z8" i="55"/>
  <c r="Y8" i="55"/>
  <c r="X8" i="55"/>
  <c r="W8" i="55"/>
  <c r="V8" i="55"/>
  <c r="U8" i="55"/>
  <c r="T8" i="55"/>
  <c r="S8" i="55"/>
  <c r="R8" i="55"/>
  <c r="Q8" i="55"/>
  <c r="P8" i="55"/>
  <c r="O8" i="55"/>
  <c r="N8" i="55"/>
  <c r="K8" i="55"/>
  <c r="J8" i="55"/>
  <c r="I8" i="55"/>
  <c r="H8" i="55"/>
  <c r="AB7" i="55"/>
  <c r="AA7" i="55"/>
  <c r="Z7" i="55"/>
  <c r="Y7" i="55"/>
  <c r="X7" i="55"/>
  <c r="W7" i="55"/>
  <c r="V7" i="55"/>
  <c r="U7" i="55"/>
  <c r="T7" i="55"/>
  <c r="S7" i="55"/>
  <c r="R7" i="55"/>
  <c r="Q7" i="55"/>
  <c r="P7" i="55"/>
  <c r="O7" i="55"/>
  <c r="N7" i="55"/>
  <c r="K7" i="55"/>
  <c r="J7" i="55"/>
  <c r="I7" i="55"/>
  <c r="H7" i="55"/>
  <c r="AB6" i="55"/>
  <c r="AA6" i="55"/>
  <c r="Z6" i="55"/>
  <c r="Y6" i="55"/>
  <c r="X6" i="55"/>
  <c r="W6" i="55"/>
  <c r="V6" i="55"/>
  <c r="U6" i="55"/>
  <c r="T6" i="55"/>
  <c r="S6" i="55"/>
  <c r="R6" i="55"/>
  <c r="Q6" i="55"/>
  <c r="P6" i="55"/>
  <c r="O6" i="55"/>
  <c r="N6" i="55"/>
  <c r="K6" i="55"/>
  <c r="J6" i="55"/>
  <c r="I6" i="55"/>
  <c r="H6" i="55"/>
  <c r="AB5" i="55"/>
  <c r="AA5" i="55"/>
  <c r="Z5" i="55"/>
  <c r="Y5" i="55"/>
  <c r="X5" i="55"/>
  <c r="W5" i="55"/>
  <c r="V5" i="55"/>
  <c r="U5" i="55"/>
  <c r="T5" i="55"/>
  <c r="S5" i="55"/>
  <c r="R5" i="55"/>
  <c r="Q5" i="55"/>
  <c r="P5" i="55"/>
  <c r="O5" i="55"/>
  <c r="N5" i="55"/>
  <c r="K5" i="55"/>
  <c r="J5" i="55"/>
  <c r="I5" i="55"/>
  <c r="H5" i="55"/>
  <c r="AB55" i="54"/>
  <c r="AA55" i="54"/>
  <c r="Z55" i="54"/>
  <c r="Y55" i="54"/>
  <c r="X55" i="54"/>
  <c r="W55" i="54"/>
  <c r="V55" i="54"/>
  <c r="U55" i="54"/>
  <c r="T55" i="54"/>
  <c r="S55" i="54"/>
  <c r="R55" i="54"/>
  <c r="Q55" i="54"/>
  <c r="P55" i="54"/>
  <c r="O55" i="54"/>
  <c r="N55" i="54"/>
  <c r="K55" i="54"/>
  <c r="J55" i="54"/>
  <c r="I55" i="54"/>
  <c r="H55" i="54"/>
  <c r="AB54" i="54"/>
  <c r="AA54" i="54"/>
  <c r="Z54" i="54"/>
  <c r="Y54" i="54"/>
  <c r="X54" i="54"/>
  <c r="W54" i="54"/>
  <c r="V54" i="54"/>
  <c r="U54" i="54"/>
  <c r="T54" i="54"/>
  <c r="S54" i="54"/>
  <c r="R54" i="54"/>
  <c r="Q54" i="54"/>
  <c r="P54" i="54"/>
  <c r="O54" i="54"/>
  <c r="N54" i="54"/>
  <c r="K54" i="54"/>
  <c r="J54" i="54"/>
  <c r="I54" i="54"/>
  <c r="H54" i="54"/>
  <c r="AB53" i="54"/>
  <c r="AA53" i="54"/>
  <c r="Z53" i="54"/>
  <c r="Y53" i="54"/>
  <c r="X53" i="54"/>
  <c r="W53" i="54"/>
  <c r="V53" i="54"/>
  <c r="U53" i="54"/>
  <c r="T53" i="54"/>
  <c r="S53" i="54"/>
  <c r="R53" i="54"/>
  <c r="Q53" i="54"/>
  <c r="P53" i="54"/>
  <c r="O53" i="54"/>
  <c r="N53" i="54"/>
  <c r="K53" i="54"/>
  <c r="J53" i="54"/>
  <c r="I53" i="54"/>
  <c r="H53" i="54"/>
  <c r="AB52" i="54"/>
  <c r="AA52" i="54"/>
  <c r="Z52" i="54"/>
  <c r="Y52" i="54"/>
  <c r="X52" i="54"/>
  <c r="W52" i="54"/>
  <c r="V52" i="54"/>
  <c r="U52" i="54"/>
  <c r="T52" i="54"/>
  <c r="S52" i="54"/>
  <c r="R52" i="54"/>
  <c r="Q52" i="54"/>
  <c r="P52" i="54"/>
  <c r="O52" i="54"/>
  <c r="N52" i="54"/>
  <c r="K52" i="54"/>
  <c r="J52" i="54"/>
  <c r="I52" i="54"/>
  <c r="H52" i="54"/>
  <c r="AB51" i="54"/>
  <c r="AA51" i="54"/>
  <c r="Z51" i="54"/>
  <c r="Y51" i="54"/>
  <c r="X51" i="54"/>
  <c r="W51" i="54"/>
  <c r="V51" i="54"/>
  <c r="U51" i="54"/>
  <c r="T51" i="54"/>
  <c r="S51" i="54"/>
  <c r="R51" i="54"/>
  <c r="Q51" i="54"/>
  <c r="P51" i="54"/>
  <c r="O51" i="54"/>
  <c r="N51" i="54"/>
  <c r="K51" i="54"/>
  <c r="J51" i="54"/>
  <c r="I51" i="54"/>
  <c r="H51" i="54"/>
  <c r="AB50" i="54"/>
  <c r="AA50" i="54"/>
  <c r="Z50" i="54"/>
  <c r="Y50" i="54"/>
  <c r="X50" i="54"/>
  <c r="W50" i="54"/>
  <c r="V50" i="54"/>
  <c r="U50" i="54"/>
  <c r="T50" i="54"/>
  <c r="S50" i="54"/>
  <c r="R50" i="54"/>
  <c r="Q50" i="54"/>
  <c r="P50" i="54"/>
  <c r="O50" i="54"/>
  <c r="N50" i="54"/>
  <c r="K50" i="54"/>
  <c r="J50" i="54"/>
  <c r="I50" i="54"/>
  <c r="H50" i="54"/>
  <c r="AB49" i="54"/>
  <c r="AA49" i="54"/>
  <c r="Z49" i="54"/>
  <c r="Y49" i="54"/>
  <c r="X49" i="54"/>
  <c r="W49" i="54"/>
  <c r="V49" i="54"/>
  <c r="U49" i="54"/>
  <c r="T49" i="54"/>
  <c r="S49" i="54"/>
  <c r="R49" i="54"/>
  <c r="Q49" i="54"/>
  <c r="P49" i="54"/>
  <c r="O49" i="54"/>
  <c r="N49" i="54"/>
  <c r="K49" i="54"/>
  <c r="J49" i="54"/>
  <c r="I49" i="54"/>
  <c r="H49" i="54"/>
  <c r="AB48" i="54"/>
  <c r="AA48" i="54"/>
  <c r="Z48" i="54"/>
  <c r="Y48" i="54"/>
  <c r="X48" i="54"/>
  <c r="W48" i="54"/>
  <c r="V48" i="54"/>
  <c r="U48" i="54"/>
  <c r="T48" i="54"/>
  <c r="S48" i="54"/>
  <c r="R48" i="54"/>
  <c r="Q48" i="54"/>
  <c r="P48" i="54"/>
  <c r="O48" i="54"/>
  <c r="N48" i="54"/>
  <c r="K48" i="54"/>
  <c r="J48" i="54"/>
  <c r="I48" i="54"/>
  <c r="H48" i="54"/>
  <c r="AB47" i="54"/>
  <c r="AA47" i="54"/>
  <c r="Z47" i="54"/>
  <c r="Y47" i="54"/>
  <c r="X47" i="54"/>
  <c r="W47" i="54"/>
  <c r="V47" i="54"/>
  <c r="U47" i="54"/>
  <c r="T47" i="54"/>
  <c r="S47" i="54"/>
  <c r="R47" i="54"/>
  <c r="Q47" i="54"/>
  <c r="P47" i="54"/>
  <c r="O47" i="54"/>
  <c r="N47" i="54"/>
  <c r="K47" i="54"/>
  <c r="J47" i="54"/>
  <c r="I47" i="54"/>
  <c r="H47" i="54"/>
  <c r="AB46" i="54"/>
  <c r="AA46" i="54"/>
  <c r="Z46" i="54"/>
  <c r="Y46" i="54"/>
  <c r="X46" i="54"/>
  <c r="W46" i="54"/>
  <c r="V46" i="54"/>
  <c r="U46" i="54"/>
  <c r="T46" i="54"/>
  <c r="S46" i="54"/>
  <c r="R46" i="54"/>
  <c r="Q46" i="54"/>
  <c r="P46" i="54"/>
  <c r="O46" i="54"/>
  <c r="N46" i="54"/>
  <c r="K46" i="54"/>
  <c r="J46" i="54"/>
  <c r="I46" i="54"/>
  <c r="H46" i="54"/>
  <c r="AB45" i="54"/>
  <c r="AA45" i="54"/>
  <c r="Z45" i="54"/>
  <c r="Y45" i="54"/>
  <c r="X45" i="54"/>
  <c r="W45" i="54"/>
  <c r="V45" i="54"/>
  <c r="U45" i="54"/>
  <c r="T45" i="54"/>
  <c r="S45" i="54"/>
  <c r="R45" i="54"/>
  <c r="Q45" i="54"/>
  <c r="P45" i="54"/>
  <c r="O45" i="54"/>
  <c r="N45" i="54"/>
  <c r="K45" i="54"/>
  <c r="J45" i="54"/>
  <c r="I45" i="54"/>
  <c r="H45" i="54"/>
  <c r="AB44" i="54"/>
  <c r="AA44" i="54"/>
  <c r="Z44" i="54"/>
  <c r="Y44" i="54"/>
  <c r="X44" i="54"/>
  <c r="W44" i="54"/>
  <c r="V44" i="54"/>
  <c r="U44" i="54"/>
  <c r="T44" i="54"/>
  <c r="S44" i="54"/>
  <c r="R44" i="54"/>
  <c r="Q44" i="54"/>
  <c r="P44" i="54"/>
  <c r="O44" i="54"/>
  <c r="N44" i="54"/>
  <c r="K44" i="54"/>
  <c r="J44" i="54"/>
  <c r="I44" i="54"/>
  <c r="H44" i="54"/>
  <c r="AB43" i="54"/>
  <c r="AA43" i="54"/>
  <c r="Z43" i="54"/>
  <c r="Y43" i="54"/>
  <c r="X43" i="54"/>
  <c r="W43" i="54"/>
  <c r="V43" i="54"/>
  <c r="U43" i="54"/>
  <c r="T43" i="54"/>
  <c r="S43" i="54"/>
  <c r="R43" i="54"/>
  <c r="Q43" i="54"/>
  <c r="P43" i="54"/>
  <c r="O43" i="54"/>
  <c r="N43" i="54"/>
  <c r="K43" i="54"/>
  <c r="J43" i="54"/>
  <c r="I43" i="54"/>
  <c r="H43" i="54"/>
  <c r="AB42" i="54"/>
  <c r="AA42" i="54"/>
  <c r="Z42" i="54"/>
  <c r="Y42" i="54"/>
  <c r="X42" i="54"/>
  <c r="W42" i="54"/>
  <c r="V42" i="54"/>
  <c r="U42" i="54"/>
  <c r="T42" i="54"/>
  <c r="S42" i="54"/>
  <c r="R42" i="54"/>
  <c r="Q42" i="54"/>
  <c r="P42" i="54"/>
  <c r="O42" i="54"/>
  <c r="N42" i="54"/>
  <c r="K42" i="54"/>
  <c r="J42" i="54"/>
  <c r="I42" i="54"/>
  <c r="H42" i="54"/>
  <c r="AB41" i="54"/>
  <c r="AA41" i="54"/>
  <c r="Z41" i="54"/>
  <c r="Y41" i="54"/>
  <c r="X41" i="54"/>
  <c r="W41" i="54"/>
  <c r="V41" i="54"/>
  <c r="U41" i="54"/>
  <c r="T41" i="54"/>
  <c r="S41" i="54"/>
  <c r="R41" i="54"/>
  <c r="Q41" i="54"/>
  <c r="P41" i="54"/>
  <c r="O41" i="54"/>
  <c r="N41" i="54"/>
  <c r="K41" i="54"/>
  <c r="J41" i="54"/>
  <c r="I41" i="54"/>
  <c r="H41" i="54"/>
  <c r="AB40" i="54"/>
  <c r="AA40" i="54"/>
  <c r="Z40" i="54"/>
  <c r="Y40" i="54"/>
  <c r="X40" i="54"/>
  <c r="W40" i="54"/>
  <c r="V40" i="54"/>
  <c r="U40" i="54"/>
  <c r="T40" i="54"/>
  <c r="S40" i="54"/>
  <c r="R40" i="54"/>
  <c r="Q40" i="54"/>
  <c r="P40" i="54"/>
  <c r="O40" i="54"/>
  <c r="N40" i="54"/>
  <c r="K40" i="54"/>
  <c r="J40" i="54"/>
  <c r="I40" i="54"/>
  <c r="H40" i="54"/>
  <c r="AB39" i="54"/>
  <c r="AA39" i="54"/>
  <c r="Z39" i="54"/>
  <c r="Y39" i="54"/>
  <c r="X39" i="54"/>
  <c r="W39" i="54"/>
  <c r="V39" i="54"/>
  <c r="U39" i="54"/>
  <c r="T39" i="54"/>
  <c r="S39" i="54"/>
  <c r="R39" i="54"/>
  <c r="Q39" i="54"/>
  <c r="P39" i="54"/>
  <c r="O39" i="54"/>
  <c r="N39" i="54"/>
  <c r="K39" i="54"/>
  <c r="J39" i="54"/>
  <c r="I39" i="54"/>
  <c r="H39" i="54"/>
  <c r="AB38" i="54"/>
  <c r="AA38" i="54"/>
  <c r="Z38" i="54"/>
  <c r="Y38" i="54"/>
  <c r="X38" i="54"/>
  <c r="W38" i="54"/>
  <c r="V38" i="54"/>
  <c r="U38" i="54"/>
  <c r="T38" i="54"/>
  <c r="S38" i="54"/>
  <c r="R38" i="54"/>
  <c r="Q38" i="54"/>
  <c r="P38" i="54"/>
  <c r="O38" i="54"/>
  <c r="N38" i="54"/>
  <c r="K38" i="54"/>
  <c r="J38" i="54"/>
  <c r="I38" i="54"/>
  <c r="H38" i="54"/>
  <c r="AB37" i="54"/>
  <c r="AA37" i="54"/>
  <c r="Z37" i="54"/>
  <c r="Y37" i="54"/>
  <c r="X37" i="54"/>
  <c r="W37" i="54"/>
  <c r="V37" i="54"/>
  <c r="U37" i="54"/>
  <c r="T37" i="54"/>
  <c r="S37" i="54"/>
  <c r="R37" i="54"/>
  <c r="Q37" i="54"/>
  <c r="P37" i="54"/>
  <c r="O37" i="54"/>
  <c r="N37" i="54"/>
  <c r="K37" i="54"/>
  <c r="J37" i="54"/>
  <c r="I37" i="54"/>
  <c r="H37" i="54"/>
  <c r="AB36" i="54"/>
  <c r="AA36" i="54"/>
  <c r="Z36" i="54"/>
  <c r="Y36" i="54"/>
  <c r="X36" i="54"/>
  <c r="W36" i="54"/>
  <c r="V36" i="54"/>
  <c r="U36" i="54"/>
  <c r="T36" i="54"/>
  <c r="S36" i="54"/>
  <c r="R36" i="54"/>
  <c r="Q36" i="54"/>
  <c r="P36" i="54"/>
  <c r="O36" i="54"/>
  <c r="N36" i="54"/>
  <c r="K36" i="54"/>
  <c r="J36" i="54"/>
  <c r="I36" i="54"/>
  <c r="H36" i="54"/>
  <c r="AB35" i="54"/>
  <c r="AA35" i="54"/>
  <c r="Z35" i="54"/>
  <c r="Y35" i="54"/>
  <c r="X35" i="54"/>
  <c r="W35" i="54"/>
  <c r="V35" i="54"/>
  <c r="U35" i="54"/>
  <c r="T35" i="54"/>
  <c r="S35" i="54"/>
  <c r="R35" i="54"/>
  <c r="Q35" i="54"/>
  <c r="P35" i="54"/>
  <c r="O35" i="54"/>
  <c r="N35" i="54"/>
  <c r="K35" i="54"/>
  <c r="J35" i="54"/>
  <c r="I35" i="54"/>
  <c r="H35" i="54"/>
  <c r="AB34" i="54"/>
  <c r="AA34" i="54"/>
  <c r="Z34" i="54"/>
  <c r="Y34" i="54"/>
  <c r="X34" i="54"/>
  <c r="W34" i="54"/>
  <c r="V34" i="54"/>
  <c r="U34" i="54"/>
  <c r="T34" i="54"/>
  <c r="S34" i="54"/>
  <c r="R34" i="54"/>
  <c r="Q34" i="54"/>
  <c r="P34" i="54"/>
  <c r="O34" i="54"/>
  <c r="N34" i="54"/>
  <c r="K34" i="54"/>
  <c r="J34" i="54"/>
  <c r="I34" i="54"/>
  <c r="H34" i="54"/>
  <c r="AB33" i="54"/>
  <c r="AA33" i="54"/>
  <c r="Z33" i="54"/>
  <c r="Y33" i="54"/>
  <c r="X33" i="54"/>
  <c r="W33" i="54"/>
  <c r="V33" i="54"/>
  <c r="U33" i="54"/>
  <c r="T33" i="54"/>
  <c r="S33" i="54"/>
  <c r="R33" i="54"/>
  <c r="Q33" i="54"/>
  <c r="P33" i="54"/>
  <c r="O33" i="54"/>
  <c r="N33" i="54"/>
  <c r="K33" i="54"/>
  <c r="J33" i="54"/>
  <c r="I33" i="54"/>
  <c r="H33" i="54"/>
  <c r="AB32" i="54"/>
  <c r="AA32" i="54"/>
  <c r="Z32" i="54"/>
  <c r="Y32" i="54"/>
  <c r="X32" i="54"/>
  <c r="W32" i="54"/>
  <c r="V32" i="54"/>
  <c r="U32" i="54"/>
  <c r="T32" i="54"/>
  <c r="S32" i="54"/>
  <c r="R32" i="54"/>
  <c r="Q32" i="54"/>
  <c r="P32" i="54"/>
  <c r="O32" i="54"/>
  <c r="N32" i="54"/>
  <c r="K32" i="54"/>
  <c r="J32" i="54"/>
  <c r="I32" i="54"/>
  <c r="H32" i="54"/>
  <c r="AB31" i="54"/>
  <c r="AA31" i="54"/>
  <c r="Z31" i="54"/>
  <c r="Y31" i="54"/>
  <c r="X31" i="54"/>
  <c r="W31" i="54"/>
  <c r="V31" i="54"/>
  <c r="U31" i="54"/>
  <c r="T31" i="54"/>
  <c r="S31" i="54"/>
  <c r="R31" i="54"/>
  <c r="Q31" i="54"/>
  <c r="P31" i="54"/>
  <c r="O31" i="54"/>
  <c r="N31" i="54"/>
  <c r="K31" i="54"/>
  <c r="J31" i="54"/>
  <c r="I31" i="54"/>
  <c r="H31" i="54"/>
  <c r="AB30" i="54"/>
  <c r="AA30" i="54"/>
  <c r="Z30" i="54"/>
  <c r="Y30" i="54"/>
  <c r="X30" i="54"/>
  <c r="W30" i="54"/>
  <c r="V30" i="54"/>
  <c r="U30" i="54"/>
  <c r="T30" i="54"/>
  <c r="S30" i="54"/>
  <c r="R30" i="54"/>
  <c r="Q30" i="54"/>
  <c r="P30" i="54"/>
  <c r="O30" i="54"/>
  <c r="N30" i="54"/>
  <c r="K30" i="54"/>
  <c r="J30" i="54"/>
  <c r="I30" i="54"/>
  <c r="H30" i="54"/>
  <c r="AB29" i="54"/>
  <c r="AA29" i="54"/>
  <c r="Z29" i="54"/>
  <c r="Y29" i="54"/>
  <c r="X29" i="54"/>
  <c r="W29" i="54"/>
  <c r="V29" i="54"/>
  <c r="U29" i="54"/>
  <c r="T29" i="54"/>
  <c r="S29" i="54"/>
  <c r="R29" i="54"/>
  <c r="Q29" i="54"/>
  <c r="P29" i="54"/>
  <c r="O29" i="54"/>
  <c r="N29" i="54"/>
  <c r="K29" i="54"/>
  <c r="J29" i="54"/>
  <c r="I29" i="54"/>
  <c r="H29" i="54"/>
  <c r="AB28" i="54"/>
  <c r="AA28" i="54"/>
  <c r="Z28" i="54"/>
  <c r="Y28" i="54"/>
  <c r="X28" i="54"/>
  <c r="W28" i="54"/>
  <c r="V28" i="54"/>
  <c r="U28" i="54"/>
  <c r="T28" i="54"/>
  <c r="S28" i="54"/>
  <c r="R28" i="54"/>
  <c r="Q28" i="54"/>
  <c r="P28" i="54"/>
  <c r="O28" i="54"/>
  <c r="N28" i="54"/>
  <c r="K28" i="54"/>
  <c r="J28" i="54"/>
  <c r="I28" i="54"/>
  <c r="H28" i="54"/>
  <c r="AB27" i="54"/>
  <c r="AA27" i="54"/>
  <c r="Z27" i="54"/>
  <c r="Y27" i="54"/>
  <c r="X27" i="54"/>
  <c r="W27" i="54"/>
  <c r="V27" i="54"/>
  <c r="U27" i="54"/>
  <c r="T27" i="54"/>
  <c r="S27" i="54"/>
  <c r="R27" i="54"/>
  <c r="Q27" i="54"/>
  <c r="P27" i="54"/>
  <c r="O27" i="54"/>
  <c r="N27" i="54"/>
  <c r="K27" i="54"/>
  <c r="J27" i="54"/>
  <c r="I27" i="54"/>
  <c r="H27" i="54"/>
  <c r="AB26" i="54"/>
  <c r="AA26" i="54"/>
  <c r="Z26" i="54"/>
  <c r="Y26" i="54"/>
  <c r="X26" i="54"/>
  <c r="W26" i="54"/>
  <c r="V26" i="54"/>
  <c r="U26" i="54"/>
  <c r="T26" i="54"/>
  <c r="S26" i="54"/>
  <c r="R26" i="54"/>
  <c r="Q26" i="54"/>
  <c r="P26" i="54"/>
  <c r="O26" i="54"/>
  <c r="N26" i="54"/>
  <c r="K26" i="54"/>
  <c r="J26" i="54"/>
  <c r="I26" i="54"/>
  <c r="H26" i="54"/>
  <c r="AB25" i="54"/>
  <c r="AA25" i="54"/>
  <c r="Z25" i="54"/>
  <c r="Y25" i="54"/>
  <c r="X25" i="54"/>
  <c r="W25" i="54"/>
  <c r="V25" i="54"/>
  <c r="U25" i="54"/>
  <c r="T25" i="54"/>
  <c r="S25" i="54"/>
  <c r="R25" i="54"/>
  <c r="Q25" i="54"/>
  <c r="P25" i="54"/>
  <c r="O25" i="54"/>
  <c r="N25" i="54"/>
  <c r="K25" i="54"/>
  <c r="J25" i="54"/>
  <c r="I25" i="54"/>
  <c r="H25" i="54"/>
  <c r="AB24" i="54"/>
  <c r="AA24" i="54"/>
  <c r="Z24" i="54"/>
  <c r="Y24" i="54"/>
  <c r="X24" i="54"/>
  <c r="W24" i="54"/>
  <c r="V24" i="54"/>
  <c r="U24" i="54"/>
  <c r="T24" i="54"/>
  <c r="S24" i="54"/>
  <c r="R24" i="54"/>
  <c r="Q24" i="54"/>
  <c r="P24" i="54"/>
  <c r="O24" i="54"/>
  <c r="N24" i="54"/>
  <c r="K24" i="54"/>
  <c r="J24" i="54"/>
  <c r="I24" i="54"/>
  <c r="H24" i="54"/>
  <c r="AB23" i="54"/>
  <c r="AA23" i="54"/>
  <c r="Z23" i="54"/>
  <c r="Y23" i="54"/>
  <c r="X23" i="54"/>
  <c r="W23" i="54"/>
  <c r="V23" i="54"/>
  <c r="U23" i="54"/>
  <c r="T23" i="54"/>
  <c r="S23" i="54"/>
  <c r="R23" i="54"/>
  <c r="Q23" i="54"/>
  <c r="P23" i="54"/>
  <c r="O23" i="54"/>
  <c r="N23" i="54"/>
  <c r="K23" i="54"/>
  <c r="J23" i="54"/>
  <c r="I23" i="54"/>
  <c r="H23" i="54"/>
  <c r="AB22" i="54"/>
  <c r="AA22" i="54"/>
  <c r="Z22" i="54"/>
  <c r="Y22" i="54"/>
  <c r="X22" i="54"/>
  <c r="W22" i="54"/>
  <c r="V22" i="54"/>
  <c r="U22" i="54"/>
  <c r="T22" i="54"/>
  <c r="S22" i="54"/>
  <c r="R22" i="54"/>
  <c r="Q22" i="54"/>
  <c r="P22" i="54"/>
  <c r="O22" i="54"/>
  <c r="N22" i="54"/>
  <c r="K22" i="54"/>
  <c r="J22" i="54"/>
  <c r="I22" i="54"/>
  <c r="H22" i="54"/>
  <c r="AB21" i="54"/>
  <c r="AA21" i="54"/>
  <c r="Z21" i="54"/>
  <c r="Y21" i="54"/>
  <c r="X21" i="54"/>
  <c r="W21" i="54"/>
  <c r="V21" i="54"/>
  <c r="U21" i="54"/>
  <c r="T21" i="54"/>
  <c r="S21" i="54"/>
  <c r="R21" i="54"/>
  <c r="Q21" i="54"/>
  <c r="P21" i="54"/>
  <c r="O21" i="54"/>
  <c r="N21" i="54"/>
  <c r="K21" i="54"/>
  <c r="J21" i="54"/>
  <c r="I21" i="54"/>
  <c r="H21" i="54"/>
  <c r="AB20" i="54"/>
  <c r="AA20" i="54"/>
  <c r="Z20" i="54"/>
  <c r="Y20" i="54"/>
  <c r="X20" i="54"/>
  <c r="W20" i="54"/>
  <c r="V20" i="54"/>
  <c r="U20" i="54"/>
  <c r="T20" i="54"/>
  <c r="S20" i="54"/>
  <c r="R20" i="54"/>
  <c r="Q20" i="54"/>
  <c r="P20" i="54"/>
  <c r="O20" i="54"/>
  <c r="N20" i="54"/>
  <c r="K20" i="54"/>
  <c r="J20" i="54"/>
  <c r="I20" i="54"/>
  <c r="H20" i="54"/>
  <c r="AB19" i="54"/>
  <c r="AA19" i="54"/>
  <c r="Z19" i="54"/>
  <c r="Y19" i="54"/>
  <c r="X19" i="54"/>
  <c r="W19" i="54"/>
  <c r="V19" i="54"/>
  <c r="U19" i="54"/>
  <c r="T19" i="54"/>
  <c r="S19" i="54"/>
  <c r="R19" i="54"/>
  <c r="Q19" i="54"/>
  <c r="P19" i="54"/>
  <c r="O19" i="54"/>
  <c r="N19" i="54"/>
  <c r="K19" i="54"/>
  <c r="J19" i="54"/>
  <c r="I19" i="54"/>
  <c r="H19" i="54"/>
  <c r="AB18" i="54"/>
  <c r="AA18" i="54"/>
  <c r="Z18" i="54"/>
  <c r="Y18" i="54"/>
  <c r="X18" i="54"/>
  <c r="W18" i="54"/>
  <c r="V18" i="54"/>
  <c r="U18" i="54"/>
  <c r="T18" i="54"/>
  <c r="S18" i="54"/>
  <c r="R18" i="54"/>
  <c r="Q18" i="54"/>
  <c r="P18" i="54"/>
  <c r="O18" i="54"/>
  <c r="N18" i="54"/>
  <c r="K18" i="54"/>
  <c r="J18" i="54"/>
  <c r="I18" i="54"/>
  <c r="H18" i="54"/>
  <c r="AB17" i="54"/>
  <c r="AA17" i="54"/>
  <c r="Z17" i="54"/>
  <c r="Y17" i="54"/>
  <c r="X17" i="54"/>
  <c r="W17" i="54"/>
  <c r="V17" i="54"/>
  <c r="U17" i="54"/>
  <c r="T17" i="54"/>
  <c r="S17" i="54"/>
  <c r="R17" i="54"/>
  <c r="Q17" i="54"/>
  <c r="P17" i="54"/>
  <c r="O17" i="54"/>
  <c r="N17" i="54"/>
  <c r="K17" i="54"/>
  <c r="J17" i="54"/>
  <c r="I17" i="54"/>
  <c r="H17" i="54"/>
  <c r="AB16" i="54"/>
  <c r="AA16" i="54"/>
  <c r="Z16" i="54"/>
  <c r="Y16" i="54"/>
  <c r="X16" i="54"/>
  <c r="W16" i="54"/>
  <c r="V16" i="54"/>
  <c r="U16" i="54"/>
  <c r="T16" i="54"/>
  <c r="S16" i="54"/>
  <c r="R16" i="54"/>
  <c r="Q16" i="54"/>
  <c r="P16" i="54"/>
  <c r="O16" i="54"/>
  <c r="N16" i="54"/>
  <c r="K16" i="54"/>
  <c r="J16" i="54"/>
  <c r="I16" i="54"/>
  <c r="H16" i="54"/>
  <c r="AB15" i="54"/>
  <c r="AA15" i="54"/>
  <c r="Z15" i="54"/>
  <c r="Y15" i="54"/>
  <c r="X15" i="54"/>
  <c r="W15" i="54"/>
  <c r="V15" i="54"/>
  <c r="U15" i="54"/>
  <c r="T15" i="54"/>
  <c r="S15" i="54"/>
  <c r="R15" i="54"/>
  <c r="Q15" i="54"/>
  <c r="P15" i="54"/>
  <c r="O15" i="54"/>
  <c r="N15" i="54"/>
  <c r="K15" i="54"/>
  <c r="J15" i="54"/>
  <c r="I15" i="54"/>
  <c r="H15" i="54"/>
  <c r="AB14" i="54"/>
  <c r="AA14" i="54"/>
  <c r="Z14" i="54"/>
  <c r="Y14" i="54"/>
  <c r="X14" i="54"/>
  <c r="W14" i="54"/>
  <c r="V14" i="54"/>
  <c r="U14" i="54"/>
  <c r="T14" i="54"/>
  <c r="S14" i="54"/>
  <c r="R14" i="54"/>
  <c r="Q14" i="54"/>
  <c r="P14" i="54"/>
  <c r="O14" i="54"/>
  <c r="N14" i="54"/>
  <c r="K14" i="54"/>
  <c r="J14" i="54"/>
  <c r="I14" i="54"/>
  <c r="H14" i="54"/>
  <c r="AB13" i="54"/>
  <c r="AA13" i="54"/>
  <c r="Z13" i="54"/>
  <c r="Y13" i="54"/>
  <c r="X13" i="54"/>
  <c r="W13" i="54"/>
  <c r="V13" i="54"/>
  <c r="U13" i="54"/>
  <c r="T13" i="54"/>
  <c r="S13" i="54"/>
  <c r="R13" i="54"/>
  <c r="Q13" i="54"/>
  <c r="P13" i="54"/>
  <c r="O13" i="54"/>
  <c r="N13" i="54"/>
  <c r="K13" i="54"/>
  <c r="J13" i="54"/>
  <c r="I13" i="54"/>
  <c r="H13" i="54"/>
  <c r="AB12" i="54"/>
  <c r="AA12" i="54"/>
  <c r="Z12" i="54"/>
  <c r="Y12" i="54"/>
  <c r="X12" i="54"/>
  <c r="W12" i="54"/>
  <c r="V12" i="54"/>
  <c r="U12" i="54"/>
  <c r="T12" i="54"/>
  <c r="S12" i="54"/>
  <c r="R12" i="54"/>
  <c r="Q12" i="54"/>
  <c r="P12" i="54"/>
  <c r="O12" i="54"/>
  <c r="N12" i="54"/>
  <c r="K12" i="54"/>
  <c r="J12" i="54"/>
  <c r="I12" i="54"/>
  <c r="H12" i="54"/>
  <c r="AB11" i="54"/>
  <c r="AA11" i="54"/>
  <c r="Z11" i="54"/>
  <c r="Y11" i="54"/>
  <c r="X11" i="54"/>
  <c r="W11" i="54"/>
  <c r="V11" i="54"/>
  <c r="U11" i="54"/>
  <c r="T11" i="54"/>
  <c r="S11" i="54"/>
  <c r="R11" i="54"/>
  <c r="Q11" i="54"/>
  <c r="P11" i="54"/>
  <c r="O11" i="54"/>
  <c r="N11" i="54"/>
  <c r="K11" i="54"/>
  <c r="J11" i="54"/>
  <c r="I11" i="54"/>
  <c r="H11" i="54"/>
  <c r="AB10" i="54"/>
  <c r="AA10" i="54"/>
  <c r="Z10" i="54"/>
  <c r="Y10" i="54"/>
  <c r="X10" i="54"/>
  <c r="W10" i="54"/>
  <c r="V10" i="54"/>
  <c r="U10" i="54"/>
  <c r="T10" i="54"/>
  <c r="S10" i="54"/>
  <c r="R10" i="54"/>
  <c r="Q10" i="54"/>
  <c r="P10" i="54"/>
  <c r="O10" i="54"/>
  <c r="N10" i="54"/>
  <c r="K10" i="54"/>
  <c r="J10" i="54"/>
  <c r="I10" i="54"/>
  <c r="H10" i="54"/>
  <c r="AB9" i="54"/>
  <c r="AA9" i="54"/>
  <c r="Z9" i="54"/>
  <c r="Y9" i="54"/>
  <c r="X9" i="54"/>
  <c r="W9" i="54"/>
  <c r="V9" i="54"/>
  <c r="U9" i="54"/>
  <c r="T9" i="54"/>
  <c r="S9" i="54"/>
  <c r="R9" i="54"/>
  <c r="Q9" i="54"/>
  <c r="P9" i="54"/>
  <c r="O9" i="54"/>
  <c r="N9" i="54"/>
  <c r="K9" i="54"/>
  <c r="J9" i="54"/>
  <c r="I9" i="54"/>
  <c r="H9" i="54"/>
  <c r="AB8" i="54"/>
  <c r="AA8" i="54"/>
  <c r="Z8" i="54"/>
  <c r="Y8" i="54"/>
  <c r="X8" i="54"/>
  <c r="W8" i="54"/>
  <c r="V8" i="54"/>
  <c r="U8" i="54"/>
  <c r="T8" i="54"/>
  <c r="S8" i="54"/>
  <c r="R8" i="54"/>
  <c r="Q8" i="54"/>
  <c r="P8" i="54"/>
  <c r="O8" i="54"/>
  <c r="N8" i="54"/>
  <c r="K8" i="54"/>
  <c r="J8" i="54"/>
  <c r="I8" i="54"/>
  <c r="H8" i="54"/>
  <c r="AB7" i="54"/>
  <c r="AA7" i="54"/>
  <c r="Z7" i="54"/>
  <c r="Y7" i="54"/>
  <c r="X7" i="54"/>
  <c r="W7" i="54"/>
  <c r="V7" i="54"/>
  <c r="U7" i="54"/>
  <c r="T7" i="54"/>
  <c r="S7" i="54"/>
  <c r="R7" i="54"/>
  <c r="Q7" i="54"/>
  <c r="P7" i="54"/>
  <c r="O7" i="54"/>
  <c r="N7" i="54"/>
  <c r="K7" i="54"/>
  <c r="J7" i="54"/>
  <c r="I7" i="54"/>
  <c r="H7" i="54"/>
  <c r="AB6" i="54"/>
  <c r="AA6" i="54"/>
  <c r="Z6" i="54"/>
  <c r="Y6" i="54"/>
  <c r="X6" i="54"/>
  <c r="W6" i="54"/>
  <c r="V6" i="54"/>
  <c r="U6" i="54"/>
  <c r="T6" i="54"/>
  <c r="S6" i="54"/>
  <c r="R6" i="54"/>
  <c r="Q6" i="54"/>
  <c r="P6" i="54"/>
  <c r="O6" i="54"/>
  <c r="N6" i="54"/>
  <c r="K6" i="54"/>
  <c r="J6" i="54"/>
  <c r="I6" i="54"/>
  <c r="H6" i="54"/>
  <c r="AB5" i="54"/>
  <c r="AA5" i="54"/>
  <c r="Z5" i="54"/>
  <c r="Y5" i="54"/>
  <c r="X5" i="54"/>
  <c r="W5" i="54"/>
  <c r="V5" i="54"/>
  <c r="U5" i="54"/>
  <c r="T5" i="54"/>
  <c r="S5" i="54"/>
  <c r="R5" i="54"/>
  <c r="Q5" i="54"/>
  <c r="P5" i="54"/>
  <c r="O5" i="54"/>
  <c r="N5" i="54"/>
  <c r="K5" i="54"/>
  <c r="J5" i="54"/>
  <c r="I5" i="54"/>
  <c r="H5" i="54"/>
  <c r="AB55" i="47"/>
  <c r="AA55" i="47"/>
  <c r="Z55" i="47"/>
  <c r="Y55" i="47"/>
  <c r="X55" i="47"/>
  <c r="W55" i="47"/>
  <c r="V55" i="47"/>
  <c r="U55" i="47"/>
  <c r="T55" i="47"/>
  <c r="S55" i="47"/>
  <c r="R55" i="47"/>
  <c r="Q55" i="47"/>
  <c r="P55" i="47"/>
  <c r="O55" i="47"/>
  <c r="N55" i="47"/>
  <c r="K55" i="47"/>
  <c r="J55" i="47"/>
  <c r="I55" i="47"/>
  <c r="H55" i="47"/>
  <c r="AB54" i="47"/>
  <c r="AA54" i="47"/>
  <c r="Z54" i="47"/>
  <c r="Y54" i="47"/>
  <c r="X54" i="47"/>
  <c r="W54" i="47"/>
  <c r="V54" i="47"/>
  <c r="U54" i="47"/>
  <c r="T54" i="47"/>
  <c r="S54" i="47"/>
  <c r="R54" i="47"/>
  <c r="Q54" i="47"/>
  <c r="P54" i="47"/>
  <c r="O54" i="47"/>
  <c r="N54" i="47"/>
  <c r="K54" i="47"/>
  <c r="J54" i="47"/>
  <c r="I54" i="47"/>
  <c r="H54" i="47"/>
  <c r="AB53" i="47"/>
  <c r="AA53" i="47"/>
  <c r="Z53" i="47"/>
  <c r="Y53" i="47"/>
  <c r="X53" i="47"/>
  <c r="W53" i="47"/>
  <c r="V53" i="47"/>
  <c r="U53" i="47"/>
  <c r="T53" i="47"/>
  <c r="S53" i="47"/>
  <c r="R53" i="47"/>
  <c r="Q53" i="47"/>
  <c r="P53" i="47"/>
  <c r="O53" i="47"/>
  <c r="N53" i="47"/>
  <c r="K53" i="47"/>
  <c r="J53" i="47"/>
  <c r="I53" i="47"/>
  <c r="H53" i="47"/>
  <c r="AB52" i="47"/>
  <c r="AA52" i="47"/>
  <c r="Z52" i="47"/>
  <c r="Y52" i="47"/>
  <c r="X52" i="47"/>
  <c r="W52" i="47"/>
  <c r="V52" i="47"/>
  <c r="U52" i="47"/>
  <c r="T52" i="47"/>
  <c r="S52" i="47"/>
  <c r="R52" i="47"/>
  <c r="Q52" i="47"/>
  <c r="P52" i="47"/>
  <c r="O52" i="47"/>
  <c r="N52" i="47"/>
  <c r="K52" i="47"/>
  <c r="J52" i="47"/>
  <c r="I52" i="47"/>
  <c r="H52" i="47"/>
  <c r="AB51" i="47"/>
  <c r="AA51" i="47"/>
  <c r="Z51" i="47"/>
  <c r="Y51" i="47"/>
  <c r="X51" i="47"/>
  <c r="W51" i="47"/>
  <c r="V51" i="47"/>
  <c r="U51" i="47"/>
  <c r="T51" i="47"/>
  <c r="S51" i="47"/>
  <c r="R51" i="47"/>
  <c r="Q51" i="47"/>
  <c r="P51" i="47"/>
  <c r="O51" i="47"/>
  <c r="N51" i="47"/>
  <c r="K51" i="47"/>
  <c r="J51" i="47"/>
  <c r="I51" i="47"/>
  <c r="H51" i="47"/>
  <c r="AB50" i="47"/>
  <c r="AA50" i="47"/>
  <c r="Z50" i="47"/>
  <c r="Y50" i="47"/>
  <c r="X50" i="47"/>
  <c r="W50" i="47"/>
  <c r="V50" i="47"/>
  <c r="U50" i="47"/>
  <c r="T50" i="47"/>
  <c r="S50" i="47"/>
  <c r="R50" i="47"/>
  <c r="Q50" i="47"/>
  <c r="P50" i="47"/>
  <c r="O50" i="47"/>
  <c r="N50" i="47"/>
  <c r="K50" i="47"/>
  <c r="J50" i="47"/>
  <c r="I50" i="47"/>
  <c r="H50" i="47"/>
  <c r="AB49" i="47"/>
  <c r="AA49" i="47"/>
  <c r="Z49" i="47"/>
  <c r="Y49" i="47"/>
  <c r="X49" i="47"/>
  <c r="W49" i="47"/>
  <c r="V49" i="47"/>
  <c r="U49" i="47"/>
  <c r="T49" i="47"/>
  <c r="S49" i="47"/>
  <c r="R49" i="47"/>
  <c r="Q49" i="47"/>
  <c r="P49" i="47"/>
  <c r="O49" i="47"/>
  <c r="N49" i="47"/>
  <c r="K49" i="47"/>
  <c r="J49" i="47"/>
  <c r="I49" i="47"/>
  <c r="H49" i="47"/>
  <c r="AB48" i="47"/>
  <c r="AA48" i="47"/>
  <c r="Z48" i="47"/>
  <c r="Y48" i="47"/>
  <c r="X48" i="47"/>
  <c r="W48" i="47"/>
  <c r="V48" i="47"/>
  <c r="U48" i="47"/>
  <c r="T48" i="47"/>
  <c r="S48" i="47"/>
  <c r="R48" i="47"/>
  <c r="Q48" i="47"/>
  <c r="P48" i="47"/>
  <c r="O48" i="47"/>
  <c r="N48" i="47"/>
  <c r="K48" i="47"/>
  <c r="J48" i="47"/>
  <c r="I48" i="47"/>
  <c r="H48" i="47"/>
  <c r="AB47" i="47"/>
  <c r="AA47" i="47"/>
  <c r="Z47" i="47"/>
  <c r="Y47" i="47"/>
  <c r="X47" i="47"/>
  <c r="W47" i="47"/>
  <c r="V47" i="47"/>
  <c r="U47" i="47"/>
  <c r="T47" i="47"/>
  <c r="S47" i="47"/>
  <c r="R47" i="47"/>
  <c r="Q47" i="47"/>
  <c r="P47" i="47"/>
  <c r="O47" i="47"/>
  <c r="N47" i="47"/>
  <c r="K47" i="47"/>
  <c r="J47" i="47"/>
  <c r="I47" i="47"/>
  <c r="H47" i="47"/>
  <c r="AB46" i="47"/>
  <c r="AA46" i="47"/>
  <c r="Z46" i="47"/>
  <c r="Y46" i="47"/>
  <c r="X46" i="47"/>
  <c r="W46" i="47"/>
  <c r="V46" i="47"/>
  <c r="U46" i="47"/>
  <c r="T46" i="47"/>
  <c r="S46" i="47"/>
  <c r="R46" i="47"/>
  <c r="Q46" i="47"/>
  <c r="P46" i="47"/>
  <c r="O46" i="47"/>
  <c r="N46" i="47"/>
  <c r="K46" i="47"/>
  <c r="J46" i="47"/>
  <c r="I46" i="47"/>
  <c r="H46" i="47"/>
  <c r="AB45" i="47"/>
  <c r="AA45" i="47"/>
  <c r="Z45" i="47"/>
  <c r="Y45" i="47"/>
  <c r="X45" i="47"/>
  <c r="W45" i="47"/>
  <c r="V45" i="47"/>
  <c r="U45" i="47"/>
  <c r="T45" i="47"/>
  <c r="S45" i="47"/>
  <c r="R45" i="47"/>
  <c r="Q45" i="47"/>
  <c r="P45" i="47"/>
  <c r="O45" i="47"/>
  <c r="N45" i="47"/>
  <c r="K45" i="47"/>
  <c r="J45" i="47"/>
  <c r="I45" i="47"/>
  <c r="H45" i="47"/>
  <c r="AB44" i="47"/>
  <c r="AA44" i="47"/>
  <c r="Z44" i="47"/>
  <c r="Y44" i="47"/>
  <c r="X44" i="47"/>
  <c r="W44" i="47"/>
  <c r="V44" i="47"/>
  <c r="U44" i="47"/>
  <c r="T44" i="47"/>
  <c r="S44" i="47"/>
  <c r="R44" i="47"/>
  <c r="Q44" i="47"/>
  <c r="P44" i="47"/>
  <c r="O44" i="47"/>
  <c r="N44" i="47"/>
  <c r="K44" i="47"/>
  <c r="J44" i="47"/>
  <c r="I44" i="47"/>
  <c r="H44" i="47"/>
  <c r="AB43" i="47"/>
  <c r="AA43" i="47"/>
  <c r="Z43" i="47"/>
  <c r="Y43" i="47"/>
  <c r="X43" i="47"/>
  <c r="W43" i="47"/>
  <c r="V43" i="47"/>
  <c r="U43" i="47"/>
  <c r="T43" i="47"/>
  <c r="S43" i="47"/>
  <c r="R43" i="47"/>
  <c r="Q43" i="47"/>
  <c r="P43" i="47"/>
  <c r="O43" i="47"/>
  <c r="N43" i="47"/>
  <c r="K43" i="47"/>
  <c r="J43" i="47"/>
  <c r="I43" i="47"/>
  <c r="H43" i="47"/>
  <c r="AB42" i="47"/>
  <c r="AA42" i="47"/>
  <c r="Z42" i="47"/>
  <c r="Y42" i="47"/>
  <c r="X42" i="47"/>
  <c r="W42" i="47"/>
  <c r="V42" i="47"/>
  <c r="U42" i="47"/>
  <c r="T42" i="47"/>
  <c r="S42" i="47"/>
  <c r="R42" i="47"/>
  <c r="Q42" i="47"/>
  <c r="P42" i="47"/>
  <c r="O42" i="47"/>
  <c r="N42" i="47"/>
  <c r="K42" i="47"/>
  <c r="J42" i="47"/>
  <c r="I42" i="47"/>
  <c r="H42" i="47"/>
  <c r="AB41" i="47"/>
  <c r="AA41" i="47"/>
  <c r="Z41" i="47"/>
  <c r="Y41" i="47"/>
  <c r="X41" i="47"/>
  <c r="W41" i="47"/>
  <c r="V41" i="47"/>
  <c r="U41" i="47"/>
  <c r="T41" i="47"/>
  <c r="S41" i="47"/>
  <c r="R41" i="47"/>
  <c r="Q41" i="47"/>
  <c r="P41" i="47"/>
  <c r="O41" i="47"/>
  <c r="N41" i="47"/>
  <c r="K41" i="47"/>
  <c r="J41" i="47"/>
  <c r="I41" i="47"/>
  <c r="H41" i="47"/>
  <c r="AB40" i="47"/>
  <c r="AA40" i="47"/>
  <c r="Z40" i="47"/>
  <c r="Y40" i="47"/>
  <c r="X40" i="47"/>
  <c r="W40" i="47"/>
  <c r="V40" i="47"/>
  <c r="U40" i="47"/>
  <c r="T40" i="47"/>
  <c r="S40" i="47"/>
  <c r="R40" i="47"/>
  <c r="Q40" i="47"/>
  <c r="P40" i="47"/>
  <c r="O40" i="47"/>
  <c r="N40" i="47"/>
  <c r="K40" i="47"/>
  <c r="J40" i="47"/>
  <c r="I40" i="47"/>
  <c r="H40" i="47"/>
  <c r="AB39" i="47"/>
  <c r="AA39" i="47"/>
  <c r="Z39" i="47"/>
  <c r="Y39" i="47"/>
  <c r="X39" i="47"/>
  <c r="W39" i="47"/>
  <c r="V39" i="47"/>
  <c r="U39" i="47"/>
  <c r="T39" i="47"/>
  <c r="S39" i="47"/>
  <c r="R39" i="47"/>
  <c r="Q39" i="47"/>
  <c r="P39" i="47"/>
  <c r="O39" i="47"/>
  <c r="N39" i="47"/>
  <c r="K39" i="47"/>
  <c r="J39" i="47"/>
  <c r="I39" i="47"/>
  <c r="H39" i="47"/>
  <c r="AB38" i="47"/>
  <c r="AA38" i="47"/>
  <c r="Z38" i="47"/>
  <c r="Y38" i="47"/>
  <c r="X38" i="47"/>
  <c r="W38" i="47"/>
  <c r="V38" i="47"/>
  <c r="U38" i="47"/>
  <c r="T38" i="47"/>
  <c r="S38" i="47"/>
  <c r="R38" i="47"/>
  <c r="Q38" i="47"/>
  <c r="P38" i="47"/>
  <c r="O38" i="47"/>
  <c r="N38" i="47"/>
  <c r="K38" i="47"/>
  <c r="J38" i="47"/>
  <c r="I38" i="47"/>
  <c r="H38" i="47"/>
  <c r="AB37" i="47"/>
  <c r="AA37" i="47"/>
  <c r="Z37" i="47"/>
  <c r="Y37" i="47"/>
  <c r="X37" i="47"/>
  <c r="W37" i="47"/>
  <c r="V37" i="47"/>
  <c r="U37" i="47"/>
  <c r="T37" i="47"/>
  <c r="S37" i="47"/>
  <c r="R37" i="47"/>
  <c r="Q37" i="47"/>
  <c r="P37" i="47"/>
  <c r="O37" i="47"/>
  <c r="N37" i="47"/>
  <c r="K37" i="47"/>
  <c r="J37" i="47"/>
  <c r="I37" i="47"/>
  <c r="H37" i="47"/>
  <c r="AB36" i="47"/>
  <c r="AA36" i="47"/>
  <c r="Z36" i="47"/>
  <c r="Y36" i="47"/>
  <c r="X36" i="47"/>
  <c r="W36" i="47"/>
  <c r="V36" i="47"/>
  <c r="U36" i="47"/>
  <c r="T36" i="47"/>
  <c r="S36" i="47"/>
  <c r="R36" i="47"/>
  <c r="Q36" i="47"/>
  <c r="P36" i="47"/>
  <c r="O36" i="47"/>
  <c r="N36" i="47"/>
  <c r="K36" i="47"/>
  <c r="J36" i="47"/>
  <c r="I36" i="47"/>
  <c r="H36" i="47"/>
  <c r="AB35" i="47"/>
  <c r="AA35" i="47"/>
  <c r="Z35" i="47"/>
  <c r="Y35" i="47"/>
  <c r="X35" i="47"/>
  <c r="W35" i="47"/>
  <c r="V35" i="47"/>
  <c r="U35" i="47"/>
  <c r="T35" i="47"/>
  <c r="S35" i="47"/>
  <c r="R35" i="47"/>
  <c r="Q35" i="47"/>
  <c r="P35" i="47"/>
  <c r="O35" i="47"/>
  <c r="N35" i="47"/>
  <c r="K35" i="47"/>
  <c r="J35" i="47"/>
  <c r="I35" i="47"/>
  <c r="H35" i="47"/>
  <c r="AB34" i="47"/>
  <c r="AA34" i="47"/>
  <c r="Z34" i="47"/>
  <c r="Y34" i="47"/>
  <c r="X34" i="47"/>
  <c r="W34" i="47"/>
  <c r="V34" i="47"/>
  <c r="U34" i="47"/>
  <c r="T34" i="47"/>
  <c r="S34" i="47"/>
  <c r="R34" i="47"/>
  <c r="Q34" i="47"/>
  <c r="P34" i="47"/>
  <c r="O34" i="47"/>
  <c r="N34" i="47"/>
  <c r="K34" i="47"/>
  <c r="J34" i="47"/>
  <c r="I34" i="47"/>
  <c r="H34" i="47"/>
  <c r="AB33" i="47"/>
  <c r="AA33" i="47"/>
  <c r="Z33" i="47"/>
  <c r="Y33" i="47"/>
  <c r="X33" i="47"/>
  <c r="W33" i="47"/>
  <c r="V33" i="47"/>
  <c r="U33" i="47"/>
  <c r="T33" i="47"/>
  <c r="S33" i="47"/>
  <c r="R33" i="47"/>
  <c r="Q33" i="47"/>
  <c r="P33" i="47"/>
  <c r="O33" i="47"/>
  <c r="N33" i="47"/>
  <c r="K33" i="47"/>
  <c r="J33" i="47"/>
  <c r="I33" i="47"/>
  <c r="H33" i="47"/>
  <c r="AB32" i="47"/>
  <c r="AA32" i="47"/>
  <c r="Z32" i="47"/>
  <c r="Y32" i="47"/>
  <c r="X32" i="47"/>
  <c r="W32" i="47"/>
  <c r="V32" i="47"/>
  <c r="U32" i="47"/>
  <c r="T32" i="47"/>
  <c r="S32" i="47"/>
  <c r="R32" i="47"/>
  <c r="Q32" i="47"/>
  <c r="P32" i="47"/>
  <c r="O32" i="47"/>
  <c r="N32" i="47"/>
  <c r="K32" i="47"/>
  <c r="J32" i="47"/>
  <c r="I32" i="47"/>
  <c r="H32" i="47"/>
  <c r="AB31" i="47"/>
  <c r="AA31" i="47"/>
  <c r="Z31" i="47"/>
  <c r="Y31" i="47"/>
  <c r="X31" i="47"/>
  <c r="W31" i="47"/>
  <c r="V31" i="47"/>
  <c r="U31" i="47"/>
  <c r="T31" i="47"/>
  <c r="S31" i="47"/>
  <c r="R31" i="47"/>
  <c r="Q31" i="47"/>
  <c r="P31" i="47"/>
  <c r="O31" i="47"/>
  <c r="N31" i="47"/>
  <c r="K31" i="47"/>
  <c r="J31" i="47"/>
  <c r="I31" i="47"/>
  <c r="H31" i="47"/>
  <c r="AB30" i="47"/>
  <c r="AA30" i="47"/>
  <c r="Z30" i="47"/>
  <c r="Y30" i="47"/>
  <c r="X30" i="47"/>
  <c r="W30" i="47"/>
  <c r="V30" i="47"/>
  <c r="U30" i="47"/>
  <c r="T30" i="47"/>
  <c r="S30" i="47"/>
  <c r="R30" i="47"/>
  <c r="Q30" i="47"/>
  <c r="P30" i="47"/>
  <c r="O30" i="47"/>
  <c r="N30" i="47"/>
  <c r="K30" i="47"/>
  <c r="J30" i="47"/>
  <c r="I30" i="47"/>
  <c r="H30" i="47"/>
  <c r="AB29" i="47"/>
  <c r="AA29" i="47"/>
  <c r="Z29" i="47"/>
  <c r="Y29" i="47"/>
  <c r="X29" i="47"/>
  <c r="W29" i="47"/>
  <c r="V29" i="47"/>
  <c r="U29" i="47"/>
  <c r="T29" i="47"/>
  <c r="S29" i="47"/>
  <c r="R29" i="47"/>
  <c r="Q29" i="47"/>
  <c r="P29" i="47"/>
  <c r="O29" i="47"/>
  <c r="N29" i="47"/>
  <c r="K29" i="47"/>
  <c r="J29" i="47"/>
  <c r="I29" i="47"/>
  <c r="H29" i="47"/>
  <c r="AB28" i="47"/>
  <c r="AA28" i="47"/>
  <c r="Z28" i="47"/>
  <c r="Y28" i="47"/>
  <c r="X28" i="47"/>
  <c r="W28" i="47"/>
  <c r="V28" i="47"/>
  <c r="U28" i="47"/>
  <c r="T28" i="47"/>
  <c r="S28" i="47"/>
  <c r="R28" i="47"/>
  <c r="Q28" i="47"/>
  <c r="P28" i="47"/>
  <c r="O28" i="47"/>
  <c r="N28" i="47"/>
  <c r="K28" i="47"/>
  <c r="J28" i="47"/>
  <c r="I28" i="47"/>
  <c r="H28" i="47"/>
  <c r="AB27" i="47"/>
  <c r="AA27" i="47"/>
  <c r="Z27" i="47"/>
  <c r="Y27" i="47"/>
  <c r="X27" i="47"/>
  <c r="W27" i="47"/>
  <c r="V27" i="47"/>
  <c r="U27" i="47"/>
  <c r="T27" i="47"/>
  <c r="S27" i="47"/>
  <c r="R27" i="47"/>
  <c r="Q27" i="47"/>
  <c r="P27" i="47"/>
  <c r="O27" i="47"/>
  <c r="N27" i="47"/>
  <c r="K27" i="47"/>
  <c r="J27" i="47"/>
  <c r="I27" i="47"/>
  <c r="H27" i="47"/>
  <c r="AB26" i="47"/>
  <c r="AA26" i="47"/>
  <c r="Z26" i="47"/>
  <c r="Y26" i="47"/>
  <c r="X26" i="47"/>
  <c r="W26" i="47"/>
  <c r="V26" i="47"/>
  <c r="U26" i="47"/>
  <c r="T26" i="47"/>
  <c r="S26" i="47"/>
  <c r="R26" i="47"/>
  <c r="Q26" i="47"/>
  <c r="P26" i="47"/>
  <c r="O26" i="47"/>
  <c r="N26" i="47"/>
  <c r="K26" i="47"/>
  <c r="J26" i="47"/>
  <c r="I26" i="47"/>
  <c r="H26" i="47"/>
  <c r="AB25" i="47"/>
  <c r="AA25" i="47"/>
  <c r="Z25" i="47"/>
  <c r="Y25" i="47"/>
  <c r="X25" i="47"/>
  <c r="W25" i="47"/>
  <c r="V25" i="47"/>
  <c r="U25" i="47"/>
  <c r="T25" i="47"/>
  <c r="S25" i="47"/>
  <c r="R25" i="47"/>
  <c r="Q25" i="47"/>
  <c r="P25" i="47"/>
  <c r="O25" i="47"/>
  <c r="N25" i="47"/>
  <c r="K25" i="47"/>
  <c r="J25" i="47"/>
  <c r="I25" i="47"/>
  <c r="H25" i="47"/>
  <c r="AB24" i="47"/>
  <c r="AA24" i="47"/>
  <c r="Z24" i="47"/>
  <c r="Y24" i="47"/>
  <c r="X24" i="47"/>
  <c r="W24" i="47"/>
  <c r="V24" i="47"/>
  <c r="U24" i="47"/>
  <c r="T24" i="47"/>
  <c r="S24" i="47"/>
  <c r="R24" i="47"/>
  <c r="Q24" i="47"/>
  <c r="P24" i="47"/>
  <c r="O24" i="47"/>
  <c r="N24" i="47"/>
  <c r="K24" i="47"/>
  <c r="J24" i="47"/>
  <c r="I24" i="47"/>
  <c r="H24" i="47"/>
  <c r="AB23" i="47"/>
  <c r="AA23" i="47"/>
  <c r="Z23" i="47"/>
  <c r="Y23" i="47"/>
  <c r="X23" i="47"/>
  <c r="W23" i="47"/>
  <c r="V23" i="47"/>
  <c r="U23" i="47"/>
  <c r="T23" i="47"/>
  <c r="S23" i="47"/>
  <c r="R23" i="47"/>
  <c r="Q23" i="47"/>
  <c r="P23" i="47"/>
  <c r="O23" i="47"/>
  <c r="N23" i="47"/>
  <c r="K23" i="47"/>
  <c r="J23" i="47"/>
  <c r="I23" i="47"/>
  <c r="H23" i="47"/>
  <c r="AB22" i="47"/>
  <c r="AA22" i="47"/>
  <c r="Z22" i="47"/>
  <c r="Y22" i="47"/>
  <c r="X22" i="47"/>
  <c r="W22" i="47"/>
  <c r="V22" i="47"/>
  <c r="U22" i="47"/>
  <c r="T22" i="47"/>
  <c r="S22" i="47"/>
  <c r="R22" i="47"/>
  <c r="Q22" i="47"/>
  <c r="P22" i="47"/>
  <c r="O22" i="47"/>
  <c r="N22" i="47"/>
  <c r="K22" i="47"/>
  <c r="J22" i="47"/>
  <c r="I22" i="47"/>
  <c r="H22" i="47"/>
  <c r="AB21" i="47"/>
  <c r="AA21" i="47"/>
  <c r="Z21" i="47"/>
  <c r="Y21" i="47"/>
  <c r="X21" i="47"/>
  <c r="W21" i="47"/>
  <c r="V21" i="47"/>
  <c r="U21" i="47"/>
  <c r="T21" i="47"/>
  <c r="S21" i="47"/>
  <c r="R21" i="47"/>
  <c r="Q21" i="47"/>
  <c r="P21" i="47"/>
  <c r="O21" i="47"/>
  <c r="N21" i="47"/>
  <c r="K21" i="47"/>
  <c r="J21" i="47"/>
  <c r="I21" i="47"/>
  <c r="H21" i="47"/>
  <c r="AB20" i="47"/>
  <c r="AA20" i="47"/>
  <c r="Z20" i="47"/>
  <c r="Y20" i="47"/>
  <c r="X20" i="47"/>
  <c r="W20" i="47"/>
  <c r="V20" i="47"/>
  <c r="U20" i="47"/>
  <c r="T20" i="47"/>
  <c r="S20" i="47"/>
  <c r="R20" i="47"/>
  <c r="Q20" i="47"/>
  <c r="P20" i="47"/>
  <c r="O20" i="47"/>
  <c r="N20" i="47"/>
  <c r="K20" i="47"/>
  <c r="J20" i="47"/>
  <c r="I20" i="47"/>
  <c r="H20" i="47"/>
  <c r="AB19" i="47"/>
  <c r="AA19" i="47"/>
  <c r="Z19" i="47"/>
  <c r="Y19" i="47"/>
  <c r="X19" i="47"/>
  <c r="W19" i="47"/>
  <c r="V19" i="47"/>
  <c r="U19" i="47"/>
  <c r="T19" i="47"/>
  <c r="S19" i="47"/>
  <c r="R19" i="47"/>
  <c r="Q19" i="47"/>
  <c r="P19" i="47"/>
  <c r="O19" i="47"/>
  <c r="N19" i="47"/>
  <c r="K19" i="47"/>
  <c r="J19" i="47"/>
  <c r="I19" i="47"/>
  <c r="H19" i="47"/>
  <c r="AB18" i="47"/>
  <c r="AA18" i="47"/>
  <c r="Z18" i="47"/>
  <c r="Y18" i="47"/>
  <c r="X18" i="47"/>
  <c r="W18" i="47"/>
  <c r="V18" i="47"/>
  <c r="U18" i="47"/>
  <c r="T18" i="47"/>
  <c r="S18" i="47"/>
  <c r="R18" i="47"/>
  <c r="Q18" i="47"/>
  <c r="P18" i="47"/>
  <c r="O18" i="47"/>
  <c r="N18" i="47"/>
  <c r="K18" i="47"/>
  <c r="J18" i="47"/>
  <c r="I18" i="47"/>
  <c r="H18" i="47"/>
  <c r="AB17" i="47"/>
  <c r="AA17" i="47"/>
  <c r="Z17" i="47"/>
  <c r="Y17" i="47"/>
  <c r="X17" i="47"/>
  <c r="W17" i="47"/>
  <c r="V17" i="47"/>
  <c r="U17" i="47"/>
  <c r="T17" i="47"/>
  <c r="S17" i="47"/>
  <c r="R17" i="47"/>
  <c r="Q17" i="47"/>
  <c r="P17" i="47"/>
  <c r="O17" i="47"/>
  <c r="N17" i="47"/>
  <c r="K17" i="47"/>
  <c r="J17" i="47"/>
  <c r="I17" i="47"/>
  <c r="H17" i="47"/>
  <c r="AB16" i="47"/>
  <c r="AA16" i="47"/>
  <c r="Z16" i="47"/>
  <c r="Y16" i="47"/>
  <c r="X16" i="47"/>
  <c r="W16" i="47"/>
  <c r="V16" i="47"/>
  <c r="U16" i="47"/>
  <c r="T16" i="47"/>
  <c r="S16" i="47"/>
  <c r="R16" i="47"/>
  <c r="Q16" i="47"/>
  <c r="P16" i="47"/>
  <c r="O16" i="47"/>
  <c r="N16" i="47"/>
  <c r="K16" i="47"/>
  <c r="J16" i="47"/>
  <c r="I16" i="47"/>
  <c r="H16" i="47"/>
  <c r="AB15" i="47"/>
  <c r="AA15" i="47"/>
  <c r="Z15" i="47"/>
  <c r="Y15" i="47"/>
  <c r="X15" i="47"/>
  <c r="W15" i="47"/>
  <c r="V15" i="47"/>
  <c r="U15" i="47"/>
  <c r="T15" i="47"/>
  <c r="S15" i="47"/>
  <c r="R15" i="47"/>
  <c r="Q15" i="47"/>
  <c r="P15" i="47"/>
  <c r="O15" i="47"/>
  <c r="N15" i="47"/>
  <c r="K15" i="47"/>
  <c r="J15" i="47"/>
  <c r="I15" i="47"/>
  <c r="H15" i="47"/>
  <c r="AB14" i="47"/>
  <c r="AA14" i="47"/>
  <c r="Z14" i="47"/>
  <c r="Y14" i="47"/>
  <c r="X14" i="47"/>
  <c r="W14" i="47"/>
  <c r="V14" i="47"/>
  <c r="U14" i="47"/>
  <c r="T14" i="47"/>
  <c r="S14" i="47"/>
  <c r="R14" i="47"/>
  <c r="Q14" i="47"/>
  <c r="P14" i="47"/>
  <c r="O14" i="47"/>
  <c r="N14" i="47"/>
  <c r="K14" i="47"/>
  <c r="J14" i="47"/>
  <c r="I14" i="47"/>
  <c r="H14" i="47"/>
  <c r="AB13" i="47"/>
  <c r="AA13" i="47"/>
  <c r="Z13" i="47"/>
  <c r="Y13" i="47"/>
  <c r="X13" i="47"/>
  <c r="W13" i="47"/>
  <c r="V13" i="47"/>
  <c r="U13" i="47"/>
  <c r="T13" i="47"/>
  <c r="S13" i="47"/>
  <c r="R13" i="47"/>
  <c r="Q13" i="47"/>
  <c r="P13" i="47"/>
  <c r="O13" i="47"/>
  <c r="N13" i="47"/>
  <c r="K13" i="47"/>
  <c r="J13" i="47"/>
  <c r="I13" i="47"/>
  <c r="H13" i="47"/>
  <c r="AB12" i="47"/>
  <c r="AA12" i="47"/>
  <c r="Z12" i="47"/>
  <c r="Y12" i="47"/>
  <c r="X12" i="47"/>
  <c r="W12" i="47"/>
  <c r="V12" i="47"/>
  <c r="U12" i="47"/>
  <c r="T12" i="47"/>
  <c r="S12" i="47"/>
  <c r="R12" i="47"/>
  <c r="Q12" i="47"/>
  <c r="P12" i="47"/>
  <c r="O12" i="47"/>
  <c r="N12" i="47"/>
  <c r="K12" i="47"/>
  <c r="J12" i="47"/>
  <c r="I12" i="47"/>
  <c r="H12" i="47"/>
  <c r="AB11" i="47"/>
  <c r="AA11" i="47"/>
  <c r="Z11" i="47"/>
  <c r="Y11" i="47"/>
  <c r="X11" i="47"/>
  <c r="W11" i="47"/>
  <c r="V11" i="47"/>
  <c r="U11" i="47"/>
  <c r="T11" i="47"/>
  <c r="S11" i="47"/>
  <c r="R11" i="47"/>
  <c r="Q11" i="47"/>
  <c r="P11" i="47"/>
  <c r="O11" i="47"/>
  <c r="N11" i="47"/>
  <c r="K11" i="47"/>
  <c r="J11" i="47"/>
  <c r="I11" i="47"/>
  <c r="H11" i="47"/>
  <c r="AB10" i="47"/>
  <c r="AA10" i="47"/>
  <c r="Z10" i="47"/>
  <c r="Y10" i="47"/>
  <c r="X10" i="47"/>
  <c r="W10" i="47"/>
  <c r="V10" i="47"/>
  <c r="U10" i="47"/>
  <c r="T10" i="47"/>
  <c r="S10" i="47"/>
  <c r="R10" i="47"/>
  <c r="Q10" i="47"/>
  <c r="P10" i="47"/>
  <c r="O10" i="47"/>
  <c r="N10" i="47"/>
  <c r="K10" i="47"/>
  <c r="J10" i="47"/>
  <c r="I10" i="47"/>
  <c r="H10" i="47"/>
  <c r="AB9" i="47"/>
  <c r="AA9" i="47"/>
  <c r="Z9" i="47"/>
  <c r="Y9" i="47"/>
  <c r="X9" i="47"/>
  <c r="W9" i="47"/>
  <c r="V9" i="47"/>
  <c r="U9" i="47"/>
  <c r="T9" i="47"/>
  <c r="S9" i="47"/>
  <c r="R9" i="47"/>
  <c r="Q9" i="47"/>
  <c r="P9" i="47"/>
  <c r="O9" i="47"/>
  <c r="N9" i="47"/>
  <c r="K9" i="47"/>
  <c r="J9" i="47"/>
  <c r="I9" i="47"/>
  <c r="H9" i="47"/>
  <c r="AB8" i="47"/>
  <c r="AA8" i="47"/>
  <c r="Z8" i="47"/>
  <c r="Y8" i="47"/>
  <c r="X8" i="47"/>
  <c r="W8" i="47"/>
  <c r="V8" i="47"/>
  <c r="U8" i="47"/>
  <c r="T8" i="47"/>
  <c r="S8" i="47"/>
  <c r="R8" i="47"/>
  <c r="Q8" i="47"/>
  <c r="P8" i="47"/>
  <c r="O8" i="47"/>
  <c r="N8" i="47"/>
  <c r="K8" i="47"/>
  <c r="J8" i="47"/>
  <c r="I8" i="47"/>
  <c r="H8" i="47"/>
  <c r="AB7" i="47"/>
  <c r="AA7" i="47"/>
  <c r="Z7" i="47"/>
  <c r="Y7" i="47"/>
  <c r="X7" i="47"/>
  <c r="W7" i="47"/>
  <c r="V7" i="47"/>
  <c r="U7" i="47"/>
  <c r="T7" i="47"/>
  <c r="S7" i="47"/>
  <c r="R7" i="47"/>
  <c r="Q7" i="47"/>
  <c r="P7" i="47"/>
  <c r="O7" i="47"/>
  <c r="N7" i="47"/>
  <c r="K7" i="47"/>
  <c r="J7" i="47"/>
  <c r="I7" i="47"/>
  <c r="H7" i="47"/>
  <c r="AB6" i="47"/>
  <c r="AA6" i="47"/>
  <c r="Z6" i="47"/>
  <c r="Y6" i="47"/>
  <c r="X6" i="47"/>
  <c r="W6" i="47"/>
  <c r="V6" i="47"/>
  <c r="U6" i="47"/>
  <c r="T6" i="47"/>
  <c r="S6" i="47"/>
  <c r="R6" i="47"/>
  <c r="Q6" i="47"/>
  <c r="P6" i="47"/>
  <c r="O6" i="47"/>
  <c r="N6" i="47"/>
  <c r="K6" i="47"/>
  <c r="J6" i="47"/>
  <c r="I6" i="47"/>
  <c r="H6" i="47"/>
  <c r="AB5" i="47"/>
  <c r="AA5" i="47"/>
  <c r="Z5" i="47"/>
  <c r="Y5" i="47"/>
  <c r="X5" i="47"/>
  <c r="W5" i="47"/>
  <c r="V5" i="47"/>
  <c r="U5" i="47"/>
  <c r="T5" i="47"/>
  <c r="S5" i="47"/>
  <c r="R5" i="47"/>
  <c r="Q5" i="47"/>
  <c r="P5" i="47"/>
  <c r="O5" i="47"/>
  <c r="N5" i="47"/>
  <c r="K5" i="47"/>
  <c r="J5" i="47"/>
  <c r="I5" i="47"/>
  <c r="H5" i="47"/>
  <c r="AB55" i="46"/>
  <c r="AA55" i="46"/>
  <c r="Z55" i="46"/>
  <c r="Y55" i="46"/>
  <c r="X55" i="46"/>
  <c r="W55" i="46"/>
  <c r="V55" i="46"/>
  <c r="U55" i="46"/>
  <c r="T55" i="46"/>
  <c r="S55" i="46"/>
  <c r="R55" i="46"/>
  <c r="Q55" i="46"/>
  <c r="P55" i="46"/>
  <c r="O55" i="46"/>
  <c r="N55" i="46"/>
  <c r="K55" i="46"/>
  <c r="J55" i="46"/>
  <c r="I55" i="46"/>
  <c r="H55" i="46"/>
  <c r="AB54" i="46"/>
  <c r="AA54" i="46"/>
  <c r="Z54" i="46"/>
  <c r="Y54" i="46"/>
  <c r="X54" i="46"/>
  <c r="W54" i="46"/>
  <c r="V54" i="46"/>
  <c r="U54" i="46"/>
  <c r="T54" i="46"/>
  <c r="S54" i="46"/>
  <c r="R54" i="46"/>
  <c r="Q54" i="46"/>
  <c r="P54" i="46"/>
  <c r="O54" i="46"/>
  <c r="N54" i="46"/>
  <c r="K54" i="46"/>
  <c r="J54" i="46"/>
  <c r="I54" i="46"/>
  <c r="H54" i="46"/>
  <c r="AB53" i="46"/>
  <c r="AA53" i="46"/>
  <c r="Z53" i="46"/>
  <c r="Y53" i="46"/>
  <c r="X53" i="46"/>
  <c r="W53" i="46"/>
  <c r="V53" i="46"/>
  <c r="U53" i="46"/>
  <c r="T53" i="46"/>
  <c r="S53" i="46"/>
  <c r="R53" i="46"/>
  <c r="Q53" i="46"/>
  <c r="P53" i="46"/>
  <c r="O53" i="46"/>
  <c r="N53" i="46"/>
  <c r="K53" i="46"/>
  <c r="J53" i="46"/>
  <c r="I53" i="46"/>
  <c r="H53" i="46"/>
  <c r="AB52" i="46"/>
  <c r="AA52" i="46"/>
  <c r="Z52" i="46"/>
  <c r="Y52" i="46"/>
  <c r="X52" i="46"/>
  <c r="W52" i="46"/>
  <c r="V52" i="46"/>
  <c r="U52" i="46"/>
  <c r="T52" i="46"/>
  <c r="S52" i="46"/>
  <c r="R52" i="46"/>
  <c r="Q52" i="46"/>
  <c r="P52" i="46"/>
  <c r="O52" i="46"/>
  <c r="N52" i="46"/>
  <c r="K52" i="46"/>
  <c r="J52" i="46"/>
  <c r="I52" i="46"/>
  <c r="H52" i="46"/>
  <c r="AB51" i="46"/>
  <c r="AA51" i="46"/>
  <c r="Z51" i="46"/>
  <c r="Y51" i="46"/>
  <c r="X51" i="46"/>
  <c r="W51" i="46"/>
  <c r="V51" i="46"/>
  <c r="U51" i="46"/>
  <c r="T51" i="46"/>
  <c r="S51" i="46"/>
  <c r="R51" i="46"/>
  <c r="Q51" i="46"/>
  <c r="P51" i="46"/>
  <c r="O51" i="46"/>
  <c r="N51" i="46"/>
  <c r="K51" i="46"/>
  <c r="J51" i="46"/>
  <c r="I51" i="46"/>
  <c r="H51" i="46"/>
  <c r="AB50" i="46"/>
  <c r="AA50" i="46"/>
  <c r="Z50" i="46"/>
  <c r="Y50" i="46"/>
  <c r="X50" i="46"/>
  <c r="W50" i="46"/>
  <c r="V50" i="46"/>
  <c r="U50" i="46"/>
  <c r="T50" i="46"/>
  <c r="S50" i="46"/>
  <c r="R50" i="46"/>
  <c r="Q50" i="46"/>
  <c r="P50" i="46"/>
  <c r="O50" i="46"/>
  <c r="N50" i="46"/>
  <c r="K50" i="46"/>
  <c r="J50" i="46"/>
  <c r="I50" i="46"/>
  <c r="H50" i="46"/>
  <c r="AB49" i="46"/>
  <c r="AA49" i="46"/>
  <c r="Z49" i="46"/>
  <c r="Y49" i="46"/>
  <c r="X49" i="46"/>
  <c r="W49" i="46"/>
  <c r="V49" i="46"/>
  <c r="U49" i="46"/>
  <c r="T49" i="46"/>
  <c r="S49" i="46"/>
  <c r="R49" i="46"/>
  <c r="Q49" i="46"/>
  <c r="P49" i="46"/>
  <c r="O49" i="46"/>
  <c r="N49" i="46"/>
  <c r="K49" i="46"/>
  <c r="J49" i="46"/>
  <c r="I49" i="46"/>
  <c r="H49" i="46"/>
  <c r="AB48" i="46"/>
  <c r="AA48" i="46"/>
  <c r="Z48" i="46"/>
  <c r="Y48" i="46"/>
  <c r="X48" i="46"/>
  <c r="W48" i="46"/>
  <c r="V48" i="46"/>
  <c r="U48" i="46"/>
  <c r="T48" i="46"/>
  <c r="S48" i="46"/>
  <c r="R48" i="46"/>
  <c r="Q48" i="46"/>
  <c r="P48" i="46"/>
  <c r="O48" i="46"/>
  <c r="N48" i="46"/>
  <c r="K48" i="46"/>
  <c r="J48" i="46"/>
  <c r="I48" i="46"/>
  <c r="H48" i="46"/>
  <c r="AB47" i="46"/>
  <c r="AA47" i="46"/>
  <c r="Z47" i="46"/>
  <c r="Y47" i="46"/>
  <c r="X47" i="46"/>
  <c r="W47" i="46"/>
  <c r="V47" i="46"/>
  <c r="U47" i="46"/>
  <c r="T47" i="46"/>
  <c r="S47" i="46"/>
  <c r="R47" i="46"/>
  <c r="Q47" i="46"/>
  <c r="P47" i="46"/>
  <c r="O47" i="46"/>
  <c r="N47" i="46"/>
  <c r="K47" i="46"/>
  <c r="J47" i="46"/>
  <c r="I47" i="46"/>
  <c r="H47" i="46"/>
  <c r="AB46" i="46"/>
  <c r="AA46" i="46"/>
  <c r="Z46" i="46"/>
  <c r="Y46" i="46"/>
  <c r="X46" i="46"/>
  <c r="W46" i="46"/>
  <c r="V46" i="46"/>
  <c r="U46" i="46"/>
  <c r="T46" i="46"/>
  <c r="S46" i="46"/>
  <c r="R46" i="46"/>
  <c r="Q46" i="46"/>
  <c r="P46" i="46"/>
  <c r="O46" i="46"/>
  <c r="N46" i="46"/>
  <c r="K46" i="46"/>
  <c r="J46" i="46"/>
  <c r="I46" i="46"/>
  <c r="H46" i="46"/>
  <c r="AB45" i="46"/>
  <c r="AA45" i="46"/>
  <c r="Z45" i="46"/>
  <c r="Y45" i="46"/>
  <c r="X45" i="46"/>
  <c r="W45" i="46"/>
  <c r="V45" i="46"/>
  <c r="U45" i="46"/>
  <c r="T45" i="46"/>
  <c r="S45" i="46"/>
  <c r="R45" i="46"/>
  <c r="Q45" i="46"/>
  <c r="P45" i="46"/>
  <c r="O45" i="46"/>
  <c r="N45" i="46"/>
  <c r="K45" i="46"/>
  <c r="J45" i="46"/>
  <c r="I45" i="46"/>
  <c r="H45" i="46"/>
  <c r="AB44" i="46"/>
  <c r="AA44" i="46"/>
  <c r="Z44" i="46"/>
  <c r="Y44" i="46"/>
  <c r="X44" i="46"/>
  <c r="W44" i="46"/>
  <c r="V44" i="46"/>
  <c r="U44" i="46"/>
  <c r="T44" i="46"/>
  <c r="S44" i="46"/>
  <c r="R44" i="46"/>
  <c r="Q44" i="46"/>
  <c r="P44" i="46"/>
  <c r="O44" i="46"/>
  <c r="N44" i="46"/>
  <c r="K44" i="46"/>
  <c r="J44" i="46"/>
  <c r="I44" i="46"/>
  <c r="H44" i="46"/>
  <c r="AB43" i="46"/>
  <c r="AA43" i="46"/>
  <c r="Z43" i="46"/>
  <c r="Y43" i="46"/>
  <c r="X43" i="46"/>
  <c r="W43" i="46"/>
  <c r="V43" i="46"/>
  <c r="U43" i="46"/>
  <c r="T43" i="46"/>
  <c r="S43" i="46"/>
  <c r="R43" i="46"/>
  <c r="Q43" i="46"/>
  <c r="P43" i="46"/>
  <c r="O43" i="46"/>
  <c r="N43" i="46"/>
  <c r="K43" i="46"/>
  <c r="J43" i="46"/>
  <c r="I43" i="46"/>
  <c r="H43" i="46"/>
  <c r="AB42" i="46"/>
  <c r="AA42" i="46"/>
  <c r="Z42" i="46"/>
  <c r="Y42" i="46"/>
  <c r="X42" i="46"/>
  <c r="W42" i="46"/>
  <c r="V42" i="46"/>
  <c r="U42" i="46"/>
  <c r="T42" i="46"/>
  <c r="S42" i="46"/>
  <c r="R42" i="46"/>
  <c r="Q42" i="46"/>
  <c r="P42" i="46"/>
  <c r="O42" i="46"/>
  <c r="N42" i="46"/>
  <c r="K42" i="46"/>
  <c r="J42" i="46"/>
  <c r="I42" i="46"/>
  <c r="H42" i="46"/>
  <c r="AB41" i="46"/>
  <c r="AA41" i="46"/>
  <c r="Z41" i="46"/>
  <c r="Y41" i="46"/>
  <c r="X41" i="46"/>
  <c r="W41" i="46"/>
  <c r="V41" i="46"/>
  <c r="U41" i="46"/>
  <c r="T41" i="46"/>
  <c r="S41" i="46"/>
  <c r="R41" i="46"/>
  <c r="Q41" i="46"/>
  <c r="P41" i="46"/>
  <c r="O41" i="46"/>
  <c r="N41" i="46"/>
  <c r="K41" i="46"/>
  <c r="J41" i="46"/>
  <c r="I41" i="46"/>
  <c r="H41" i="46"/>
  <c r="AB40" i="46"/>
  <c r="AA40" i="46"/>
  <c r="Z40" i="46"/>
  <c r="Y40" i="46"/>
  <c r="X40" i="46"/>
  <c r="W40" i="46"/>
  <c r="V40" i="46"/>
  <c r="U40" i="46"/>
  <c r="T40" i="46"/>
  <c r="S40" i="46"/>
  <c r="R40" i="46"/>
  <c r="Q40" i="46"/>
  <c r="P40" i="46"/>
  <c r="O40" i="46"/>
  <c r="N40" i="46"/>
  <c r="K40" i="46"/>
  <c r="J40" i="46"/>
  <c r="I40" i="46"/>
  <c r="H40" i="46"/>
  <c r="AB39" i="46"/>
  <c r="AA39" i="46"/>
  <c r="Z39" i="46"/>
  <c r="Y39" i="46"/>
  <c r="X39" i="46"/>
  <c r="W39" i="46"/>
  <c r="V39" i="46"/>
  <c r="U39" i="46"/>
  <c r="T39" i="46"/>
  <c r="S39" i="46"/>
  <c r="R39" i="46"/>
  <c r="Q39" i="46"/>
  <c r="P39" i="46"/>
  <c r="O39" i="46"/>
  <c r="N39" i="46"/>
  <c r="K39" i="46"/>
  <c r="J39" i="46"/>
  <c r="I39" i="46"/>
  <c r="H39" i="46"/>
  <c r="AB38" i="46"/>
  <c r="AA38" i="46"/>
  <c r="Z38" i="46"/>
  <c r="Y38" i="46"/>
  <c r="X38" i="46"/>
  <c r="W38" i="46"/>
  <c r="V38" i="46"/>
  <c r="U38" i="46"/>
  <c r="T38" i="46"/>
  <c r="S38" i="46"/>
  <c r="R38" i="46"/>
  <c r="Q38" i="46"/>
  <c r="P38" i="46"/>
  <c r="O38" i="46"/>
  <c r="N38" i="46"/>
  <c r="K38" i="46"/>
  <c r="J38" i="46"/>
  <c r="I38" i="46"/>
  <c r="H38" i="46"/>
  <c r="AB37" i="46"/>
  <c r="AA37" i="46"/>
  <c r="Z37" i="46"/>
  <c r="Y37" i="46"/>
  <c r="X37" i="46"/>
  <c r="W37" i="46"/>
  <c r="V37" i="46"/>
  <c r="U37" i="46"/>
  <c r="T37" i="46"/>
  <c r="S37" i="46"/>
  <c r="R37" i="46"/>
  <c r="Q37" i="46"/>
  <c r="P37" i="46"/>
  <c r="O37" i="46"/>
  <c r="N37" i="46"/>
  <c r="K37" i="46"/>
  <c r="J37" i="46"/>
  <c r="I37" i="46"/>
  <c r="H37" i="46"/>
  <c r="AB36" i="46"/>
  <c r="AA36" i="46"/>
  <c r="Z36" i="46"/>
  <c r="Y36" i="46"/>
  <c r="X36" i="46"/>
  <c r="W36" i="46"/>
  <c r="V36" i="46"/>
  <c r="U36" i="46"/>
  <c r="T36" i="46"/>
  <c r="S36" i="46"/>
  <c r="R36" i="46"/>
  <c r="Q36" i="46"/>
  <c r="P36" i="46"/>
  <c r="O36" i="46"/>
  <c r="N36" i="46"/>
  <c r="K36" i="46"/>
  <c r="J36" i="46"/>
  <c r="I36" i="46"/>
  <c r="H36" i="46"/>
  <c r="AB35" i="46"/>
  <c r="AA35" i="46"/>
  <c r="Z35" i="46"/>
  <c r="Y35" i="46"/>
  <c r="X35" i="46"/>
  <c r="W35" i="46"/>
  <c r="V35" i="46"/>
  <c r="U35" i="46"/>
  <c r="T35" i="46"/>
  <c r="S35" i="46"/>
  <c r="R35" i="46"/>
  <c r="Q35" i="46"/>
  <c r="P35" i="46"/>
  <c r="O35" i="46"/>
  <c r="N35" i="46"/>
  <c r="K35" i="46"/>
  <c r="J35" i="46"/>
  <c r="I35" i="46"/>
  <c r="H35" i="46"/>
  <c r="AB34" i="46"/>
  <c r="AA34" i="46"/>
  <c r="Z34" i="46"/>
  <c r="Y34" i="46"/>
  <c r="X34" i="46"/>
  <c r="W34" i="46"/>
  <c r="V34" i="46"/>
  <c r="U34" i="46"/>
  <c r="T34" i="46"/>
  <c r="S34" i="46"/>
  <c r="R34" i="46"/>
  <c r="Q34" i="46"/>
  <c r="P34" i="46"/>
  <c r="O34" i="46"/>
  <c r="N34" i="46"/>
  <c r="K34" i="46"/>
  <c r="J34" i="46"/>
  <c r="I34" i="46"/>
  <c r="H34" i="46"/>
  <c r="AB33" i="46"/>
  <c r="AA33" i="46"/>
  <c r="Z33" i="46"/>
  <c r="Y33" i="46"/>
  <c r="X33" i="46"/>
  <c r="W33" i="46"/>
  <c r="V33" i="46"/>
  <c r="U33" i="46"/>
  <c r="T33" i="46"/>
  <c r="S33" i="46"/>
  <c r="R33" i="46"/>
  <c r="Q33" i="46"/>
  <c r="P33" i="46"/>
  <c r="O33" i="46"/>
  <c r="N33" i="46"/>
  <c r="K33" i="46"/>
  <c r="J33" i="46"/>
  <c r="I33" i="46"/>
  <c r="H33" i="46"/>
  <c r="AB32" i="46"/>
  <c r="AA32" i="46"/>
  <c r="Z32" i="46"/>
  <c r="Y32" i="46"/>
  <c r="X32" i="46"/>
  <c r="W32" i="46"/>
  <c r="V32" i="46"/>
  <c r="U32" i="46"/>
  <c r="T32" i="46"/>
  <c r="S32" i="46"/>
  <c r="R32" i="46"/>
  <c r="Q32" i="46"/>
  <c r="P32" i="46"/>
  <c r="O32" i="46"/>
  <c r="N32" i="46"/>
  <c r="K32" i="46"/>
  <c r="J32" i="46"/>
  <c r="I32" i="46"/>
  <c r="H32" i="46"/>
  <c r="AB31" i="46"/>
  <c r="AA31" i="46"/>
  <c r="Z31" i="46"/>
  <c r="Y31" i="46"/>
  <c r="X31" i="46"/>
  <c r="W31" i="46"/>
  <c r="V31" i="46"/>
  <c r="U31" i="46"/>
  <c r="T31" i="46"/>
  <c r="S31" i="46"/>
  <c r="R31" i="46"/>
  <c r="Q31" i="46"/>
  <c r="P31" i="46"/>
  <c r="O31" i="46"/>
  <c r="N31" i="46"/>
  <c r="K31" i="46"/>
  <c r="J31" i="46"/>
  <c r="I31" i="46"/>
  <c r="H31" i="46"/>
  <c r="AB30" i="46"/>
  <c r="AA30" i="46"/>
  <c r="Z30" i="46"/>
  <c r="Y30" i="46"/>
  <c r="X30" i="46"/>
  <c r="W30" i="46"/>
  <c r="V30" i="46"/>
  <c r="U30" i="46"/>
  <c r="T30" i="46"/>
  <c r="S30" i="46"/>
  <c r="R30" i="46"/>
  <c r="Q30" i="46"/>
  <c r="P30" i="46"/>
  <c r="O30" i="46"/>
  <c r="N30" i="46"/>
  <c r="K30" i="46"/>
  <c r="J30" i="46"/>
  <c r="I30" i="46"/>
  <c r="H30" i="46"/>
  <c r="AB29" i="46"/>
  <c r="AA29" i="46"/>
  <c r="Z29" i="46"/>
  <c r="Y29" i="46"/>
  <c r="X29" i="46"/>
  <c r="W29" i="46"/>
  <c r="V29" i="46"/>
  <c r="U29" i="46"/>
  <c r="T29" i="46"/>
  <c r="S29" i="46"/>
  <c r="R29" i="46"/>
  <c r="Q29" i="46"/>
  <c r="P29" i="46"/>
  <c r="O29" i="46"/>
  <c r="N29" i="46"/>
  <c r="K29" i="46"/>
  <c r="J29" i="46"/>
  <c r="I29" i="46"/>
  <c r="H29" i="46"/>
  <c r="AB28" i="46"/>
  <c r="AA28" i="46"/>
  <c r="Z28" i="46"/>
  <c r="Y28" i="46"/>
  <c r="X28" i="46"/>
  <c r="W28" i="46"/>
  <c r="V28" i="46"/>
  <c r="U28" i="46"/>
  <c r="T28" i="46"/>
  <c r="S28" i="46"/>
  <c r="R28" i="46"/>
  <c r="Q28" i="46"/>
  <c r="P28" i="46"/>
  <c r="O28" i="46"/>
  <c r="N28" i="46"/>
  <c r="K28" i="46"/>
  <c r="J28" i="46"/>
  <c r="I28" i="46"/>
  <c r="H28" i="46"/>
  <c r="AB27" i="46"/>
  <c r="AA27" i="46"/>
  <c r="Z27" i="46"/>
  <c r="Y27" i="46"/>
  <c r="X27" i="46"/>
  <c r="W27" i="46"/>
  <c r="V27" i="46"/>
  <c r="U27" i="46"/>
  <c r="T27" i="46"/>
  <c r="S27" i="46"/>
  <c r="R27" i="46"/>
  <c r="Q27" i="46"/>
  <c r="P27" i="46"/>
  <c r="O27" i="46"/>
  <c r="N27" i="46"/>
  <c r="K27" i="46"/>
  <c r="J27" i="46"/>
  <c r="I27" i="46"/>
  <c r="H27" i="46"/>
  <c r="AB26" i="46"/>
  <c r="AA26" i="46"/>
  <c r="Z26" i="46"/>
  <c r="Y26" i="46"/>
  <c r="X26" i="46"/>
  <c r="W26" i="46"/>
  <c r="V26" i="46"/>
  <c r="U26" i="46"/>
  <c r="T26" i="46"/>
  <c r="S26" i="46"/>
  <c r="R26" i="46"/>
  <c r="Q26" i="46"/>
  <c r="P26" i="46"/>
  <c r="O26" i="46"/>
  <c r="N26" i="46"/>
  <c r="K26" i="46"/>
  <c r="J26" i="46"/>
  <c r="I26" i="46"/>
  <c r="H26" i="46"/>
  <c r="AB25" i="46"/>
  <c r="AA25" i="46"/>
  <c r="Z25" i="46"/>
  <c r="Y25" i="46"/>
  <c r="X25" i="46"/>
  <c r="W25" i="46"/>
  <c r="V25" i="46"/>
  <c r="U25" i="46"/>
  <c r="T25" i="46"/>
  <c r="S25" i="46"/>
  <c r="R25" i="46"/>
  <c r="Q25" i="46"/>
  <c r="P25" i="46"/>
  <c r="O25" i="46"/>
  <c r="N25" i="46"/>
  <c r="K25" i="46"/>
  <c r="J25" i="46"/>
  <c r="I25" i="46"/>
  <c r="H25" i="46"/>
  <c r="AB24" i="46"/>
  <c r="AA24" i="46"/>
  <c r="Z24" i="46"/>
  <c r="Y24" i="46"/>
  <c r="X24" i="46"/>
  <c r="W24" i="46"/>
  <c r="V24" i="46"/>
  <c r="U24" i="46"/>
  <c r="T24" i="46"/>
  <c r="S24" i="46"/>
  <c r="R24" i="46"/>
  <c r="Q24" i="46"/>
  <c r="P24" i="46"/>
  <c r="O24" i="46"/>
  <c r="N24" i="46"/>
  <c r="K24" i="46"/>
  <c r="J24" i="46"/>
  <c r="I24" i="46"/>
  <c r="H24" i="46"/>
  <c r="AB23" i="46"/>
  <c r="AA23" i="46"/>
  <c r="Z23" i="46"/>
  <c r="Y23" i="46"/>
  <c r="X23" i="46"/>
  <c r="W23" i="46"/>
  <c r="V23" i="46"/>
  <c r="U23" i="46"/>
  <c r="T23" i="46"/>
  <c r="S23" i="46"/>
  <c r="R23" i="46"/>
  <c r="Q23" i="46"/>
  <c r="P23" i="46"/>
  <c r="O23" i="46"/>
  <c r="N23" i="46"/>
  <c r="K23" i="46"/>
  <c r="J23" i="46"/>
  <c r="I23" i="46"/>
  <c r="H23" i="46"/>
  <c r="AB22" i="46"/>
  <c r="AA22" i="46"/>
  <c r="Z22" i="46"/>
  <c r="Y22" i="46"/>
  <c r="X22" i="46"/>
  <c r="W22" i="46"/>
  <c r="V22" i="46"/>
  <c r="U22" i="46"/>
  <c r="T22" i="46"/>
  <c r="S22" i="46"/>
  <c r="R22" i="46"/>
  <c r="Q22" i="46"/>
  <c r="P22" i="46"/>
  <c r="O22" i="46"/>
  <c r="N22" i="46"/>
  <c r="K22" i="46"/>
  <c r="J22" i="46"/>
  <c r="I22" i="46"/>
  <c r="H22" i="46"/>
  <c r="AB21" i="46"/>
  <c r="AA21" i="46"/>
  <c r="Z21" i="46"/>
  <c r="Y21" i="46"/>
  <c r="X21" i="46"/>
  <c r="W21" i="46"/>
  <c r="V21" i="46"/>
  <c r="U21" i="46"/>
  <c r="T21" i="46"/>
  <c r="S21" i="46"/>
  <c r="R21" i="46"/>
  <c r="Q21" i="46"/>
  <c r="P21" i="46"/>
  <c r="O21" i="46"/>
  <c r="N21" i="46"/>
  <c r="K21" i="46"/>
  <c r="J21" i="46"/>
  <c r="I21" i="46"/>
  <c r="H21" i="46"/>
  <c r="AB20" i="46"/>
  <c r="AA20" i="46"/>
  <c r="Z20" i="46"/>
  <c r="Y20" i="46"/>
  <c r="X20" i="46"/>
  <c r="W20" i="46"/>
  <c r="V20" i="46"/>
  <c r="U20" i="46"/>
  <c r="T20" i="46"/>
  <c r="S20" i="46"/>
  <c r="R20" i="46"/>
  <c r="Q20" i="46"/>
  <c r="P20" i="46"/>
  <c r="O20" i="46"/>
  <c r="N20" i="46"/>
  <c r="K20" i="46"/>
  <c r="J20" i="46"/>
  <c r="I20" i="46"/>
  <c r="H20" i="46"/>
  <c r="AB19" i="46"/>
  <c r="AA19" i="46"/>
  <c r="Z19" i="46"/>
  <c r="Y19" i="46"/>
  <c r="X19" i="46"/>
  <c r="W19" i="46"/>
  <c r="V19" i="46"/>
  <c r="U19" i="46"/>
  <c r="T19" i="46"/>
  <c r="S19" i="46"/>
  <c r="R19" i="46"/>
  <c r="Q19" i="46"/>
  <c r="P19" i="46"/>
  <c r="O19" i="46"/>
  <c r="N19" i="46"/>
  <c r="K19" i="46"/>
  <c r="J19" i="46"/>
  <c r="I19" i="46"/>
  <c r="H19" i="46"/>
  <c r="AB18" i="46"/>
  <c r="AA18" i="46"/>
  <c r="Z18" i="46"/>
  <c r="Y18" i="46"/>
  <c r="X18" i="46"/>
  <c r="W18" i="46"/>
  <c r="V18" i="46"/>
  <c r="U18" i="46"/>
  <c r="T18" i="46"/>
  <c r="S18" i="46"/>
  <c r="R18" i="46"/>
  <c r="Q18" i="46"/>
  <c r="P18" i="46"/>
  <c r="O18" i="46"/>
  <c r="N18" i="46"/>
  <c r="K18" i="46"/>
  <c r="J18" i="46"/>
  <c r="I18" i="46"/>
  <c r="H18" i="46"/>
  <c r="AB17" i="46"/>
  <c r="AA17" i="46"/>
  <c r="Z17" i="46"/>
  <c r="Y17" i="46"/>
  <c r="X17" i="46"/>
  <c r="W17" i="46"/>
  <c r="V17" i="46"/>
  <c r="U17" i="46"/>
  <c r="T17" i="46"/>
  <c r="S17" i="46"/>
  <c r="R17" i="46"/>
  <c r="Q17" i="46"/>
  <c r="P17" i="46"/>
  <c r="O17" i="46"/>
  <c r="N17" i="46"/>
  <c r="K17" i="46"/>
  <c r="J17" i="46"/>
  <c r="I17" i="46"/>
  <c r="H17" i="46"/>
  <c r="AB16" i="46"/>
  <c r="AA16" i="46"/>
  <c r="Z16" i="46"/>
  <c r="Y16" i="46"/>
  <c r="X16" i="46"/>
  <c r="W16" i="46"/>
  <c r="V16" i="46"/>
  <c r="U16" i="46"/>
  <c r="T16" i="46"/>
  <c r="S16" i="46"/>
  <c r="R16" i="46"/>
  <c r="Q16" i="46"/>
  <c r="P16" i="46"/>
  <c r="O16" i="46"/>
  <c r="N16" i="46"/>
  <c r="K16" i="46"/>
  <c r="J16" i="46"/>
  <c r="I16" i="46"/>
  <c r="H16" i="46"/>
  <c r="AB15" i="46"/>
  <c r="AA15" i="46"/>
  <c r="Z15" i="46"/>
  <c r="Y15" i="46"/>
  <c r="X15" i="46"/>
  <c r="W15" i="46"/>
  <c r="V15" i="46"/>
  <c r="U15" i="46"/>
  <c r="T15" i="46"/>
  <c r="S15" i="46"/>
  <c r="R15" i="46"/>
  <c r="Q15" i="46"/>
  <c r="P15" i="46"/>
  <c r="O15" i="46"/>
  <c r="N15" i="46"/>
  <c r="K15" i="46"/>
  <c r="J15" i="46"/>
  <c r="I15" i="46"/>
  <c r="H15" i="46"/>
  <c r="AB14" i="46"/>
  <c r="AA14" i="46"/>
  <c r="Z14" i="46"/>
  <c r="Y14" i="46"/>
  <c r="X14" i="46"/>
  <c r="W14" i="46"/>
  <c r="V14" i="46"/>
  <c r="U14" i="46"/>
  <c r="T14" i="46"/>
  <c r="S14" i="46"/>
  <c r="R14" i="46"/>
  <c r="Q14" i="46"/>
  <c r="P14" i="46"/>
  <c r="O14" i="46"/>
  <c r="N14" i="46"/>
  <c r="K14" i="46"/>
  <c r="J14" i="46"/>
  <c r="I14" i="46"/>
  <c r="H14" i="46"/>
  <c r="AB13" i="46"/>
  <c r="AA13" i="46"/>
  <c r="Z13" i="46"/>
  <c r="Y13" i="46"/>
  <c r="X13" i="46"/>
  <c r="W13" i="46"/>
  <c r="V13" i="46"/>
  <c r="U13" i="46"/>
  <c r="T13" i="46"/>
  <c r="S13" i="46"/>
  <c r="R13" i="46"/>
  <c r="Q13" i="46"/>
  <c r="P13" i="46"/>
  <c r="O13" i="46"/>
  <c r="N13" i="46"/>
  <c r="K13" i="46"/>
  <c r="J13" i="46"/>
  <c r="I13" i="46"/>
  <c r="H13" i="46"/>
  <c r="AB12" i="46"/>
  <c r="AA12" i="46"/>
  <c r="Z12" i="46"/>
  <c r="Y12" i="46"/>
  <c r="X12" i="46"/>
  <c r="W12" i="46"/>
  <c r="V12" i="46"/>
  <c r="U12" i="46"/>
  <c r="T12" i="46"/>
  <c r="S12" i="46"/>
  <c r="R12" i="46"/>
  <c r="Q12" i="46"/>
  <c r="P12" i="46"/>
  <c r="O12" i="46"/>
  <c r="N12" i="46"/>
  <c r="K12" i="46"/>
  <c r="J12" i="46"/>
  <c r="I12" i="46"/>
  <c r="H12" i="46"/>
  <c r="AB11" i="46"/>
  <c r="AA11" i="46"/>
  <c r="Z11" i="46"/>
  <c r="Y11" i="46"/>
  <c r="X11" i="46"/>
  <c r="W11" i="46"/>
  <c r="V11" i="46"/>
  <c r="U11" i="46"/>
  <c r="T11" i="46"/>
  <c r="S11" i="46"/>
  <c r="R11" i="46"/>
  <c r="Q11" i="46"/>
  <c r="P11" i="46"/>
  <c r="O11" i="46"/>
  <c r="N11" i="46"/>
  <c r="K11" i="46"/>
  <c r="J11" i="46"/>
  <c r="I11" i="46"/>
  <c r="H11" i="46"/>
  <c r="AB10" i="46"/>
  <c r="AA10" i="46"/>
  <c r="Z10" i="46"/>
  <c r="Y10" i="46"/>
  <c r="X10" i="46"/>
  <c r="W10" i="46"/>
  <c r="V10" i="46"/>
  <c r="U10" i="46"/>
  <c r="T10" i="46"/>
  <c r="S10" i="46"/>
  <c r="R10" i="46"/>
  <c r="Q10" i="46"/>
  <c r="P10" i="46"/>
  <c r="O10" i="46"/>
  <c r="N10" i="46"/>
  <c r="K10" i="46"/>
  <c r="J10" i="46"/>
  <c r="I10" i="46"/>
  <c r="H10" i="46"/>
  <c r="AB9" i="46"/>
  <c r="AA9" i="46"/>
  <c r="Z9" i="46"/>
  <c r="Y9" i="46"/>
  <c r="X9" i="46"/>
  <c r="W9" i="46"/>
  <c r="V9" i="46"/>
  <c r="U9" i="46"/>
  <c r="T9" i="46"/>
  <c r="S9" i="46"/>
  <c r="R9" i="46"/>
  <c r="Q9" i="46"/>
  <c r="P9" i="46"/>
  <c r="O9" i="46"/>
  <c r="N9" i="46"/>
  <c r="K9" i="46"/>
  <c r="J9" i="46"/>
  <c r="I9" i="46"/>
  <c r="H9" i="46"/>
  <c r="AB8" i="46"/>
  <c r="AA8" i="46"/>
  <c r="Z8" i="46"/>
  <c r="Y8" i="46"/>
  <c r="X8" i="46"/>
  <c r="W8" i="46"/>
  <c r="V8" i="46"/>
  <c r="U8" i="46"/>
  <c r="T8" i="46"/>
  <c r="S8" i="46"/>
  <c r="R8" i="46"/>
  <c r="Q8" i="46"/>
  <c r="P8" i="46"/>
  <c r="O8" i="46"/>
  <c r="N8" i="46"/>
  <c r="K8" i="46"/>
  <c r="J8" i="46"/>
  <c r="I8" i="46"/>
  <c r="H8" i="46"/>
  <c r="AB7" i="46"/>
  <c r="AA7" i="46"/>
  <c r="Z7" i="46"/>
  <c r="Y7" i="46"/>
  <c r="X7" i="46"/>
  <c r="W7" i="46"/>
  <c r="V7" i="46"/>
  <c r="U7" i="46"/>
  <c r="T7" i="46"/>
  <c r="S7" i="46"/>
  <c r="R7" i="46"/>
  <c r="Q7" i="46"/>
  <c r="P7" i="46"/>
  <c r="O7" i="46"/>
  <c r="N7" i="46"/>
  <c r="K7" i="46"/>
  <c r="J7" i="46"/>
  <c r="I7" i="46"/>
  <c r="H7" i="46"/>
  <c r="AB6" i="46"/>
  <c r="AA6" i="46"/>
  <c r="Z6" i="46"/>
  <c r="Y6" i="46"/>
  <c r="X6" i="46"/>
  <c r="W6" i="46"/>
  <c r="V6" i="46"/>
  <c r="U6" i="46"/>
  <c r="T6" i="46"/>
  <c r="S6" i="46"/>
  <c r="R6" i="46"/>
  <c r="Q6" i="46"/>
  <c r="P6" i="46"/>
  <c r="O6" i="46"/>
  <c r="N6" i="46"/>
  <c r="K6" i="46"/>
  <c r="J6" i="46"/>
  <c r="I6" i="46"/>
  <c r="H6" i="46"/>
  <c r="AB5" i="46"/>
  <c r="AA5" i="46"/>
  <c r="Z5" i="46"/>
  <c r="Y5" i="46"/>
  <c r="X5" i="46"/>
  <c r="W5" i="46"/>
  <c r="V5" i="46"/>
  <c r="U5" i="46"/>
  <c r="T5" i="46"/>
  <c r="S5" i="46"/>
  <c r="R5" i="46"/>
  <c r="Q5" i="46"/>
  <c r="P5" i="46"/>
  <c r="O5" i="46"/>
  <c r="N5" i="46"/>
  <c r="K5" i="46"/>
  <c r="J5" i="46"/>
  <c r="I5" i="46"/>
  <c r="H5" i="46"/>
  <c r="AB49" i="45"/>
  <c r="AA49" i="45"/>
  <c r="Z49" i="45"/>
  <c r="Y49" i="45"/>
  <c r="X49" i="45"/>
  <c r="W49" i="45"/>
  <c r="V49" i="45"/>
  <c r="U49" i="45"/>
  <c r="T49" i="45"/>
  <c r="S49" i="45"/>
  <c r="R49" i="45"/>
  <c r="Q49" i="45"/>
  <c r="P49" i="45"/>
  <c r="O49" i="45"/>
  <c r="N49" i="45"/>
  <c r="K49" i="45"/>
  <c r="J49" i="45"/>
  <c r="I49" i="45"/>
  <c r="H49" i="45"/>
  <c r="AB48" i="45"/>
  <c r="AA48" i="45"/>
  <c r="Z48" i="45"/>
  <c r="Y48" i="45"/>
  <c r="X48" i="45"/>
  <c r="W48" i="45"/>
  <c r="V48" i="45"/>
  <c r="U48" i="45"/>
  <c r="T48" i="45"/>
  <c r="S48" i="45"/>
  <c r="R48" i="45"/>
  <c r="Q48" i="45"/>
  <c r="P48" i="45"/>
  <c r="O48" i="45"/>
  <c r="N48" i="45"/>
  <c r="K48" i="45"/>
  <c r="J48" i="45"/>
  <c r="I48" i="45"/>
  <c r="H48" i="45"/>
  <c r="AB47" i="45"/>
  <c r="AA47" i="45"/>
  <c r="Z47" i="45"/>
  <c r="Y47" i="45"/>
  <c r="X47" i="45"/>
  <c r="W47" i="45"/>
  <c r="V47" i="45"/>
  <c r="U47" i="45"/>
  <c r="T47" i="45"/>
  <c r="S47" i="45"/>
  <c r="R47" i="45"/>
  <c r="Q47" i="45"/>
  <c r="P47" i="45"/>
  <c r="O47" i="45"/>
  <c r="N47" i="45"/>
  <c r="K47" i="45"/>
  <c r="J47" i="45"/>
  <c r="I47" i="45"/>
  <c r="H47" i="45"/>
  <c r="AB46" i="45"/>
  <c r="AA46" i="45"/>
  <c r="Z46" i="45"/>
  <c r="Y46" i="45"/>
  <c r="X46" i="45"/>
  <c r="W46" i="45"/>
  <c r="V46" i="45"/>
  <c r="U46" i="45"/>
  <c r="T46" i="45"/>
  <c r="S46" i="45"/>
  <c r="R46" i="45"/>
  <c r="Q46" i="45"/>
  <c r="P46" i="45"/>
  <c r="O46" i="45"/>
  <c r="N46" i="45"/>
  <c r="K46" i="45"/>
  <c r="J46" i="45"/>
  <c r="I46" i="45"/>
  <c r="H46" i="45"/>
  <c r="AB45" i="45"/>
  <c r="AA45" i="45"/>
  <c r="Z45" i="45"/>
  <c r="Y45" i="45"/>
  <c r="X45" i="45"/>
  <c r="W45" i="45"/>
  <c r="V45" i="45"/>
  <c r="U45" i="45"/>
  <c r="T45" i="45"/>
  <c r="S45" i="45"/>
  <c r="R45" i="45"/>
  <c r="Q45" i="45"/>
  <c r="P45" i="45"/>
  <c r="O45" i="45"/>
  <c r="N45" i="45"/>
  <c r="K45" i="45"/>
  <c r="J45" i="45"/>
  <c r="I45" i="45"/>
  <c r="H45" i="45"/>
  <c r="AB44" i="45"/>
  <c r="AA44" i="45"/>
  <c r="Z44" i="45"/>
  <c r="Y44" i="45"/>
  <c r="X44" i="45"/>
  <c r="W44" i="45"/>
  <c r="V44" i="45"/>
  <c r="U44" i="45"/>
  <c r="T44" i="45"/>
  <c r="S44" i="45"/>
  <c r="R44" i="45"/>
  <c r="Q44" i="45"/>
  <c r="P44" i="45"/>
  <c r="O44" i="45"/>
  <c r="N44" i="45"/>
  <c r="K44" i="45"/>
  <c r="J44" i="45"/>
  <c r="I44" i="45"/>
  <c r="H44" i="45"/>
  <c r="AB43" i="45"/>
  <c r="AA43" i="45"/>
  <c r="Z43" i="45"/>
  <c r="Y43" i="45"/>
  <c r="X43" i="45"/>
  <c r="W43" i="45"/>
  <c r="V43" i="45"/>
  <c r="U43" i="45"/>
  <c r="T43" i="45"/>
  <c r="S43" i="45"/>
  <c r="R43" i="45"/>
  <c r="Q43" i="45"/>
  <c r="P43" i="45"/>
  <c r="O43" i="45"/>
  <c r="N43" i="45"/>
  <c r="K43" i="45"/>
  <c r="J43" i="45"/>
  <c r="I43" i="45"/>
  <c r="H43" i="45"/>
  <c r="AB42" i="45"/>
  <c r="AA42" i="45"/>
  <c r="Z42" i="45"/>
  <c r="Y42" i="45"/>
  <c r="X42" i="45"/>
  <c r="W42" i="45"/>
  <c r="V42" i="45"/>
  <c r="U42" i="45"/>
  <c r="T42" i="45"/>
  <c r="S42" i="45"/>
  <c r="R42" i="45"/>
  <c r="Q42" i="45"/>
  <c r="P42" i="45"/>
  <c r="O42" i="45"/>
  <c r="N42" i="45"/>
  <c r="K42" i="45"/>
  <c r="J42" i="45"/>
  <c r="I42" i="45"/>
  <c r="H42" i="45"/>
  <c r="AB41" i="45"/>
  <c r="AA41" i="45"/>
  <c r="Z41" i="45"/>
  <c r="Y41" i="45"/>
  <c r="X41" i="45"/>
  <c r="W41" i="45"/>
  <c r="V41" i="45"/>
  <c r="U41" i="45"/>
  <c r="T41" i="45"/>
  <c r="S41" i="45"/>
  <c r="R41" i="45"/>
  <c r="Q41" i="45"/>
  <c r="P41" i="45"/>
  <c r="O41" i="45"/>
  <c r="N41" i="45"/>
  <c r="K41" i="45"/>
  <c r="J41" i="45"/>
  <c r="I41" i="45"/>
  <c r="H41" i="45"/>
  <c r="AB40" i="45"/>
  <c r="AA40" i="45"/>
  <c r="Z40" i="45"/>
  <c r="Y40" i="45"/>
  <c r="X40" i="45"/>
  <c r="W40" i="45"/>
  <c r="V40" i="45"/>
  <c r="U40" i="45"/>
  <c r="T40" i="45"/>
  <c r="S40" i="45"/>
  <c r="R40" i="45"/>
  <c r="Q40" i="45"/>
  <c r="P40" i="45"/>
  <c r="O40" i="45"/>
  <c r="N40" i="45"/>
  <c r="K40" i="45"/>
  <c r="J40" i="45"/>
  <c r="I40" i="45"/>
  <c r="H40" i="45"/>
  <c r="AB39" i="45"/>
  <c r="AA39" i="45"/>
  <c r="Z39" i="45"/>
  <c r="Y39" i="45"/>
  <c r="X39" i="45"/>
  <c r="W39" i="45"/>
  <c r="V39" i="45"/>
  <c r="U39" i="45"/>
  <c r="T39" i="45"/>
  <c r="S39" i="45"/>
  <c r="R39" i="45"/>
  <c r="Q39" i="45"/>
  <c r="P39" i="45"/>
  <c r="O39" i="45"/>
  <c r="N39" i="45"/>
  <c r="K39" i="45"/>
  <c r="J39" i="45"/>
  <c r="I39" i="45"/>
  <c r="H39" i="45"/>
  <c r="AB38" i="45"/>
  <c r="AA38" i="45"/>
  <c r="Z38" i="45"/>
  <c r="Y38" i="45"/>
  <c r="X38" i="45"/>
  <c r="W38" i="45"/>
  <c r="V38" i="45"/>
  <c r="U38" i="45"/>
  <c r="T38" i="45"/>
  <c r="S38" i="45"/>
  <c r="R38" i="45"/>
  <c r="Q38" i="45"/>
  <c r="P38" i="45"/>
  <c r="O38" i="45"/>
  <c r="N38" i="45"/>
  <c r="K38" i="45"/>
  <c r="J38" i="45"/>
  <c r="I38" i="45"/>
  <c r="H38" i="45"/>
  <c r="AB37" i="45"/>
  <c r="AA37" i="45"/>
  <c r="Z37" i="45"/>
  <c r="Y37" i="45"/>
  <c r="X37" i="45"/>
  <c r="W37" i="45"/>
  <c r="V37" i="45"/>
  <c r="U37" i="45"/>
  <c r="T37" i="45"/>
  <c r="S37" i="45"/>
  <c r="R37" i="45"/>
  <c r="Q37" i="45"/>
  <c r="P37" i="45"/>
  <c r="O37" i="45"/>
  <c r="N37" i="45"/>
  <c r="K37" i="45"/>
  <c r="J37" i="45"/>
  <c r="I37" i="45"/>
  <c r="H37" i="45"/>
  <c r="AB36" i="45"/>
  <c r="AA36" i="45"/>
  <c r="Z36" i="45"/>
  <c r="Y36" i="45"/>
  <c r="X36" i="45"/>
  <c r="W36" i="45"/>
  <c r="V36" i="45"/>
  <c r="U36" i="45"/>
  <c r="T36" i="45"/>
  <c r="S36" i="45"/>
  <c r="R36" i="45"/>
  <c r="Q36" i="45"/>
  <c r="P36" i="45"/>
  <c r="O36" i="45"/>
  <c r="N36" i="45"/>
  <c r="K36" i="45"/>
  <c r="J36" i="45"/>
  <c r="I36" i="45"/>
  <c r="H36" i="45"/>
  <c r="AB35" i="45"/>
  <c r="AA35" i="45"/>
  <c r="Z35" i="45"/>
  <c r="Y35" i="45"/>
  <c r="X35" i="45"/>
  <c r="W35" i="45"/>
  <c r="V35" i="45"/>
  <c r="U35" i="45"/>
  <c r="T35" i="45"/>
  <c r="S35" i="45"/>
  <c r="R35" i="45"/>
  <c r="Q35" i="45"/>
  <c r="P35" i="45"/>
  <c r="O35" i="45"/>
  <c r="N35" i="45"/>
  <c r="K35" i="45"/>
  <c r="J35" i="45"/>
  <c r="I35" i="45"/>
  <c r="H35" i="45"/>
  <c r="AB34" i="45"/>
  <c r="AA34" i="45"/>
  <c r="Z34" i="45"/>
  <c r="Y34" i="45"/>
  <c r="X34" i="45"/>
  <c r="W34" i="45"/>
  <c r="V34" i="45"/>
  <c r="U34" i="45"/>
  <c r="T34" i="45"/>
  <c r="S34" i="45"/>
  <c r="R34" i="45"/>
  <c r="Q34" i="45"/>
  <c r="P34" i="45"/>
  <c r="O34" i="45"/>
  <c r="N34" i="45"/>
  <c r="K34" i="45"/>
  <c r="J34" i="45"/>
  <c r="I34" i="45"/>
  <c r="H34" i="45"/>
  <c r="AB33" i="45"/>
  <c r="AA33" i="45"/>
  <c r="Z33" i="45"/>
  <c r="Y33" i="45"/>
  <c r="X33" i="45"/>
  <c r="W33" i="45"/>
  <c r="V33" i="45"/>
  <c r="U33" i="45"/>
  <c r="T33" i="45"/>
  <c r="S33" i="45"/>
  <c r="R33" i="45"/>
  <c r="Q33" i="45"/>
  <c r="P33" i="45"/>
  <c r="O33" i="45"/>
  <c r="N33" i="45"/>
  <c r="K33" i="45"/>
  <c r="J33" i="45"/>
  <c r="I33" i="45"/>
  <c r="H33" i="45"/>
  <c r="AB32" i="45"/>
  <c r="AA32" i="45"/>
  <c r="Z32" i="45"/>
  <c r="Y32" i="45"/>
  <c r="X32" i="45"/>
  <c r="W32" i="45"/>
  <c r="V32" i="45"/>
  <c r="U32" i="45"/>
  <c r="T32" i="45"/>
  <c r="S32" i="45"/>
  <c r="R32" i="45"/>
  <c r="Q32" i="45"/>
  <c r="P32" i="45"/>
  <c r="O32" i="45"/>
  <c r="N32" i="45"/>
  <c r="K32" i="45"/>
  <c r="J32" i="45"/>
  <c r="I32" i="45"/>
  <c r="H32" i="45"/>
  <c r="AB31" i="45"/>
  <c r="AA31" i="45"/>
  <c r="Z31" i="45"/>
  <c r="Y31" i="45"/>
  <c r="X31" i="45"/>
  <c r="W31" i="45"/>
  <c r="V31" i="45"/>
  <c r="U31" i="45"/>
  <c r="T31" i="45"/>
  <c r="S31" i="45"/>
  <c r="R31" i="45"/>
  <c r="Q31" i="45"/>
  <c r="P31" i="45"/>
  <c r="O31" i="45"/>
  <c r="N31" i="45"/>
  <c r="K31" i="45"/>
  <c r="J31" i="45"/>
  <c r="I31" i="45"/>
  <c r="H31" i="45"/>
  <c r="AB30" i="45"/>
  <c r="AA30" i="45"/>
  <c r="Z30" i="45"/>
  <c r="Y30" i="45"/>
  <c r="X30" i="45"/>
  <c r="W30" i="45"/>
  <c r="V30" i="45"/>
  <c r="U30" i="45"/>
  <c r="T30" i="45"/>
  <c r="S30" i="45"/>
  <c r="R30" i="45"/>
  <c r="Q30" i="45"/>
  <c r="P30" i="45"/>
  <c r="O30" i="45"/>
  <c r="N30" i="45"/>
  <c r="K30" i="45"/>
  <c r="J30" i="45"/>
  <c r="I30" i="45"/>
  <c r="H30" i="45"/>
  <c r="AB29" i="45"/>
  <c r="AA29" i="45"/>
  <c r="Z29" i="45"/>
  <c r="Y29" i="45"/>
  <c r="X29" i="45"/>
  <c r="W29" i="45"/>
  <c r="V29" i="45"/>
  <c r="U29" i="45"/>
  <c r="T29" i="45"/>
  <c r="S29" i="45"/>
  <c r="R29" i="45"/>
  <c r="Q29" i="45"/>
  <c r="P29" i="45"/>
  <c r="O29" i="45"/>
  <c r="N29" i="45"/>
  <c r="K29" i="45"/>
  <c r="J29" i="45"/>
  <c r="I29" i="45"/>
  <c r="H29" i="45"/>
  <c r="AB28" i="45"/>
  <c r="AA28" i="45"/>
  <c r="Z28" i="45"/>
  <c r="Y28" i="45"/>
  <c r="X28" i="45"/>
  <c r="W28" i="45"/>
  <c r="V28" i="45"/>
  <c r="U28" i="45"/>
  <c r="T28" i="45"/>
  <c r="S28" i="45"/>
  <c r="R28" i="45"/>
  <c r="Q28" i="45"/>
  <c r="P28" i="45"/>
  <c r="O28" i="45"/>
  <c r="N28" i="45"/>
  <c r="K28" i="45"/>
  <c r="J28" i="45"/>
  <c r="I28" i="45"/>
  <c r="H28" i="45"/>
  <c r="AB27" i="45"/>
  <c r="AA27" i="45"/>
  <c r="Z27" i="45"/>
  <c r="Y27" i="45"/>
  <c r="X27" i="45"/>
  <c r="W27" i="45"/>
  <c r="V27" i="45"/>
  <c r="U27" i="45"/>
  <c r="T27" i="45"/>
  <c r="S27" i="45"/>
  <c r="R27" i="45"/>
  <c r="Q27" i="45"/>
  <c r="P27" i="45"/>
  <c r="O27" i="45"/>
  <c r="N27" i="45"/>
  <c r="K27" i="45"/>
  <c r="J27" i="45"/>
  <c r="I27" i="45"/>
  <c r="H27" i="45"/>
  <c r="AB26" i="45"/>
  <c r="AA26" i="45"/>
  <c r="Z26" i="45"/>
  <c r="Y26" i="45"/>
  <c r="X26" i="45"/>
  <c r="W26" i="45"/>
  <c r="V26" i="45"/>
  <c r="U26" i="45"/>
  <c r="T26" i="45"/>
  <c r="S26" i="45"/>
  <c r="R26" i="45"/>
  <c r="Q26" i="45"/>
  <c r="P26" i="45"/>
  <c r="O26" i="45"/>
  <c r="N26" i="45"/>
  <c r="K26" i="45"/>
  <c r="J26" i="45"/>
  <c r="I26" i="45"/>
  <c r="H26" i="45"/>
  <c r="AB25" i="45"/>
  <c r="AA25" i="45"/>
  <c r="Z25" i="45"/>
  <c r="Y25" i="45"/>
  <c r="X25" i="45"/>
  <c r="W25" i="45"/>
  <c r="V25" i="45"/>
  <c r="U25" i="45"/>
  <c r="T25" i="45"/>
  <c r="S25" i="45"/>
  <c r="R25" i="45"/>
  <c r="Q25" i="45"/>
  <c r="P25" i="45"/>
  <c r="O25" i="45"/>
  <c r="N25" i="45"/>
  <c r="K25" i="45"/>
  <c r="J25" i="45"/>
  <c r="I25" i="45"/>
  <c r="H25" i="45"/>
  <c r="AB24" i="45"/>
  <c r="AA24" i="45"/>
  <c r="Z24" i="45"/>
  <c r="Y24" i="45"/>
  <c r="X24" i="45"/>
  <c r="W24" i="45"/>
  <c r="V24" i="45"/>
  <c r="U24" i="45"/>
  <c r="T24" i="45"/>
  <c r="S24" i="45"/>
  <c r="R24" i="45"/>
  <c r="Q24" i="45"/>
  <c r="P24" i="45"/>
  <c r="O24" i="45"/>
  <c r="N24" i="45"/>
  <c r="K24" i="45"/>
  <c r="J24" i="45"/>
  <c r="I24" i="45"/>
  <c r="H24" i="45"/>
  <c r="AB23" i="45"/>
  <c r="AA23" i="45"/>
  <c r="Z23" i="45"/>
  <c r="Y23" i="45"/>
  <c r="X23" i="45"/>
  <c r="W23" i="45"/>
  <c r="V23" i="45"/>
  <c r="U23" i="45"/>
  <c r="T23" i="45"/>
  <c r="S23" i="45"/>
  <c r="R23" i="45"/>
  <c r="Q23" i="45"/>
  <c r="P23" i="45"/>
  <c r="O23" i="45"/>
  <c r="N23" i="45"/>
  <c r="K23" i="45"/>
  <c r="J23" i="45"/>
  <c r="I23" i="45"/>
  <c r="H23" i="45"/>
  <c r="AB22" i="45"/>
  <c r="AA22" i="45"/>
  <c r="Z22" i="45"/>
  <c r="Y22" i="45"/>
  <c r="X22" i="45"/>
  <c r="W22" i="45"/>
  <c r="V22" i="45"/>
  <c r="U22" i="45"/>
  <c r="T22" i="45"/>
  <c r="S22" i="45"/>
  <c r="R22" i="45"/>
  <c r="Q22" i="45"/>
  <c r="P22" i="45"/>
  <c r="O22" i="45"/>
  <c r="N22" i="45"/>
  <c r="K22" i="45"/>
  <c r="J22" i="45"/>
  <c r="I22" i="45"/>
  <c r="H22" i="45"/>
  <c r="AB21" i="45"/>
  <c r="AA21" i="45"/>
  <c r="Z21" i="45"/>
  <c r="Y21" i="45"/>
  <c r="X21" i="45"/>
  <c r="W21" i="45"/>
  <c r="V21" i="45"/>
  <c r="U21" i="45"/>
  <c r="T21" i="45"/>
  <c r="S21" i="45"/>
  <c r="R21" i="45"/>
  <c r="Q21" i="45"/>
  <c r="P21" i="45"/>
  <c r="O21" i="45"/>
  <c r="N21" i="45"/>
  <c r="K21" i="45"/>
  <c r="J21" i="45"/>
  <c r="I21" i="45"/>
  <c r="H21" i="45"/>
  <c r="AB20" i="45"/>
  <c r="AA20" i="45"/>
  <c r="Z20" i="45"/>
  <c r="Y20" i="45"/>
  <c r="X20" i="45"/>
  <c r="W20" i="45"/>
  <c r="V20" i="45"/>
  <c r="U20" i="45"/>
  <c r="T20" i="45"/>
  <c r="S20" i="45"/>
  <c r="R20" i="45"/>
  <c r="Q20" i="45"/>
  <c r="P20" i="45"/>
  <c r="O20" i="45"/>
  <c r="N20" i="45"/>
  <c r="K20" i="45"/>
  <c r="J20" i="45"/>
  <c r="I20" i="45"/>
  <c r="H20" i="45"/>
  <c r="AB19" i="45"/>
  <c r="AA19" i="45"/>
  <c r="Z19" i="45"/>
  <c r="Y19" i="45"/>
  <c r="X19" i="45"/>
  <c r="W19" i="45"/>
  <c r="V19" i="45"/>
  <c r="U19" i="45"/>
  <c r="T19" i="45"/>
  <c r="S19" i="45"/>
  <c r="R19" i="45"/>
  <c r="Q19" i="45"/>
  <c r="P19" i="45"/>
  <c r="O19" i="45"/>
  <c r="N19" i="45"/>
  <c r="K19" i="45"/>
  <c r="J19" i="45"/>
  <c r="I19" i="45"/>
  <c r="H19" i="45"/>
  <c r="AB18" i="45"/>
  <c r="AA18" i="45"/>
  <c r="Z18" i="45"/>
  <c r="Y18" i="45"/>
  <c r="X18" i="45"/>
  <c r="W18" i="45"/>
  <c r="V18" i="45"/>
  <c r="U18" i="45"/>
  <c r="T18" i="45"/>
  <c r="S18" i="45"/>
  <c r="R18" i="45"/>
  <c r="Q18" i="45"/>
  <c r="P18" i="45"/>
  <c r="O18" i="45"/>
  <c r="N18" i="45"/>
  <c r="K18" i="45"/>
  <c r="J18" i="45"/>
  <c r="I18" i="45"/>
  <c r="H18" i="45"/>
  <c r="AB17" i="45"/>
  <c r="AA17" i="45"/>
  <c r="Z17" i="45"/>
  <c r="Y17" i="45"/>
  <c r="X17" i="45"/>
  <c r="W17" i="45"/>
  <c r="V17" i="45"/>
  <c r="U17" i="45"/>
  <c r="T17" i="45"/>
  <c r="S17" i="45"/>
  <c r="R17" i="45"/>
  <c r="Q17" i="45"/>
  <c r="P17" i="45"/>
  <c r="O17" i="45"/>
  <c r="N17" i="45"/>
  <c r="K17" i="45"/>
  <c r="J17" i="45"/>
  <c r="I17" i="45"/>
  <c r="H17" i="45"/>
  <c r="AB16" i="45"/>
  <c r="AA16" i="45"/>
  <c r="Z16" i="45"/>
  <c r="Y16" i="45"/>
  <c r="X16" i="45"/>
  <c r="W16" i="45"/>
  <c r="V16" i="45"/>
  <c r="U16" i="45"/>
  <c r="T16" i="45"/>
  <c r="S16" i="45"/>
  <c r="R16" i="45"/>
  <c r="Q16" i="45"/>
  <c r="P16" i="45"/>
  <c r="O16" i="45"/>
  <c r="N16" i="45"/>
  <c r="K16" i="45"/>
  <c r="J16" i="45"/>
  <c r="I16" i="45"/>
  <c r="H16" i="45"/>
  <c r="AB15" i="45"/>
  <c r="AA15" i="45"/>
  <c r="Z15" i="45"/>
  <c r="Y15" i="45"/>
  <c r="X15" i="45"/>
  <c r="W15" i="45"/>
  <c r="V15" i="45"/>
  <c r="U15" i="45"/>
  <c r="T15" i="45"/>
  <c r="S15" i="45"/>
  <c r="R15" i="45"/>
  <c r="Q15" i="45"/>
  <c r="P15" i="45"/>
  <c r="O15" i="45"/>
  <c r="N15" i="45"/>
  <c r="K15" i="45"/>
  <c r="J15" i="45"/>
  <c r="I15" i="45"/>
  <c r="H15" i="45"/>
  <c r="AB14" i="45"/>
  <c r="AA14" i="45"/>
  <c r="Z14" i="45"/>
  <c r="Y14" i="45"/>
  <c r="X14" i="45"/>
  <c r="W14" i="45"/>
  <c r="V14" i="45"/>
  <c r="U14" i="45"/>
  <c r="T14" i="45"/>
  <c r="S14" i="45"/>
  <c r="R14" i="45"/>
  <c r="Q14" i="45"/>
  <c r="P14" i="45"/>
  <c r="O14" i="45"/>
  <c r="N14" i="45"/>
  <c r="K14" i="45"/>
  <c r="J14" i="45"/>
  <c r="I14" i="45"/>
  <c r="H14" i="45"/>
  <c r="AB13" i="45"/>
  <c r="AA13" i="45"/>
  <c r="Z13" i="45"/>
  <c r="Y13" i="45"/>
  <c r="X13" i="45"/>
  <c r="W13" i="45"/>
  <c r="V13" i="45"/>
  <c r="U13" i="45"/>
  <c r="T13" i="45"/>
  <c r="S13" i="45"/>
  <c r="R13" i="45"/>
  <c r="Q13" i="45"/>
  <c r="P13" i="45"/>
  <c r="O13" i="45"/>
  <c r="N13" i="45"/>
  <c r="K13" i="45"/>
  <c r="J13" i="45"/>
  <c r="I13" i="45"/>
  <c r="H13" i="45"/>
  <c r="AB12" i="45"/>
  <c r="AA12" i="45"/>
  <c r="Z12" i="45"/>
  <c r="Y12" i="45"/>
  <c r="X12" i="45"/>
  <c r="W12" i="45"/>
  <c r="V12" i="45"/>
  <c r="U12" i="45"/>
  <c r="T12" i="45"/>
  <c r="S12" i="45"/>
  <c r="R12" i="45"/>
  <c r="Q12" i="45"/>
  <c r="P12" i="45"/>
  <c r="O12" i="45"/>
  <c r="N12" i="45"/>
  <c r="K12" i="45"/>
  <c r="J12" i="45"/>
  <c r="I12" i="45"/>
  <c r="H12" i="45"/>
  <c r="AB11" i="45"/>
  <c r="AA11" i="45"/>
  <c r="Z11" i="45"/>
  <c r="Y11" i="45"/>
  <c r="X11" i="45"/>
  <c r="W11" i="45"/>
  <c r="V11" i="45"/>
  <c r="U11" i="45"/>
  <c r="T11" i="45"/>
  <c r="S11" i="45"/>
  <c r="R11" i="45"/>
  <c r="Q11" i="45"/>
  <c r="P11" i="45"/>
  <c r="O11" i="45"/>
  <c r="N11" i="45"/>
  <c r="K11" i="45"/>
  <c r="J11" i="45"/>
  <c r="I11" i="45"/>
  <c r="H11" i="45"/>
  <c r="AB10" i="45"/>
  <c r="AA10" i="45"/>
  <c r="Z10" i="45"/>
  <c r="Y10" i="45"/>
  <c r="X10" i="45"/>
  <c r="W10" i="45"/>
  <c r="V10" i="45"/>
  <c r="U10" i="45"/>
  <c r="T10" i="45"/>
  <c r="S10" i="45"/>
  <c r="R10" i="45"/>
  <c r="Q10" i="45"/>
  <c r="P10" i="45"/>
  <c r="O10" i="45"/>
  <c r="N10" i="45"/>
  <c r="K10" i="45"/>
  <c r="J10" i="45"/>
  <c r="I10" i="45"/>
  <c r="H10" i="45"/>
  <c r="AB9" i="45"/>
  <c r="AA9" i="45"/>
  <c r="Z9" i="45"/>
  <c r="Y9" i="45"/>
  <c r="X9" i="45"/>
  <c r="W9" i="45"/>
  <c r="V9" i="45"/>
  <c r="U9" i="45"/>
  <c r="T9" i="45"/>
  <c r="S9" i="45"/>
  <c r="R9" i="45"/>
  <c r="Q9" i="45"/>
  <c r="P9" i="45"/>
  <c r="O9" i="45"/>
  <c r="N9" i="45"/>
  <c r="K9" i="45"/>
  <c r="J9" i="45"/>
  <c r="I9" i="45"/>
  <c r="H9" i="45"/>
  <c r="AB8" i="45"/>
  <c r="AA8" i="45"/>
  <c r="Z8" i="45"/>
  <c r="Y8" i="45"/>
  <c r="X8" i="45"/>
  <c r="W8" i="45"/>
  <c r="V8" i="45"/>
  <c r="U8" i="45"/>
  <c r="T8" i="45"/>
  <c r="S8" i="45"/>
  <c r="R8" i="45"/>
  <c r="Q8" i="45"/>
  <c r="P8" i="45"/>
  <c r="O8" i="45"/>
  <c r="N8" i="45"/>
  <c r="K8" i="45"/>
  <c r="J8" i="45"/>
  <c r="I8" i="45"/>
  <c r="H8" i="45"/>
  <c r="AB7" i="45"/>
  <c r="AA7" i="45"/>
  <c r="Z7" i="45"/>
  <c r="Y7" i="45"/>
  <c r="X7" i="45"/>
  <c r="W7" i="45"/>
  <c r="V7" i="45"/>
  <c r="U7" i="45"/>
  <c r="T7" i="45"/>
  <c r="S7" i="45"/>
  <c r="R7" i="45"/>
  <c r="Q7" i="45"/>
  <c r="P7" i="45"/>
  <c r="O7" i="45"/>
  <c r="N7" i="45"/>
  <c r="K7" i="45"/>
  <c r="J7" i="45"/>
  <c r="I7" i="45"/>
  <c r="H7" i="45"/>
  <c r="AB6" i="45"/>
  <c r="AA6" i="45"/>
  <c r="Z6" i="45"/>
  <c r="Y6" i="45"/>
  <c r="X6" i="45"/>
  <c r="W6" i="45"/>
  <c r="V6" i="45"/>
  <c r="U6" i="45"/>
  <c r="T6" i="45"/>
  <c r="S6" i="45"/>
  <c r="R6" i="45"/>
  <c r="Q6" i="45"/>
  <c r="P6" i="45"/>
  <c r="O6" i="45"/>
  <c r="N6" i="45"/>
  <c r="K6" i="45"/>
  <c r="J6" i="45"/>
  <c r="I6" i="45"/>
  <c r="H6" i="45"/>
  <c r="AB5" i="45"/>
  <c r="AA5" i="45"/>
  <c r="Z5" i="45"/>
  <c r="Y5" i="45"/>
  <c r="X5" i="45"/>
  <c r="W5" i="45"/>
  <c r="V5" i="45"/>
  <c r="U5" i="45"/>
  <c r="T5" i="45"/>
  <c r="S5" i="45"/>
  <c r="R5" i="45"/>
  <c r="Q5" i="45"/>
  <c r="P5" i="45"/>
  <c r="O5" i="45"/>
  <c r="N5" i="45"/>
  <c r="K5" i="45"/>
  <c r="J5" i="45"/>
  <c r="I5" i="45"/>
  <c r="H5" i="45"/>
  <c r="AB55" i="44"/>
  <c r="AA55" i="44"/>
  <c r="Z55" i="44"/>
  <c r="Y55" i="44"/>
  <c r="X55" i="44"/>
  <c r="W55" i="44"/>
  <c r="V55" i="44"/>
  <c r="U55" i="44"/>
  <c r="T55" i="44"/>
  <c r="S55" i="44"/>
  <c r="R55" i="44"/>
  <c r="Q55" i="44"/>
  <c r="P55" i="44"/>
  <c r="O55" i="44"/>
  <c r="N55" i="44"/>
  <c r="K55" i="44"/>
  <c r="J55" i="44"/>
  <c r="I55" i="44"/>
  <c r="H55" i="44"/>
  <c r="AB54" i="44"/>
  <c r="AA54" i="44"/>
  <c r="Z54" i="44"/>
  <c r="Y54" i="44"/>
  <c r="X54" i="44"/>
  <c r="W54" i="44"/>
  <c r="V54" i="44"/>
  <c r="U54" i="44"/>
  <c r="T54" i="44"/>
  <c r="S54" i="44"/>
  <c r="R54" i="44"/>
  <c r="Q54" i="44"/>
  <c r="P54" i="44"/>
  <c r="O54" i="44"/>
  <c r="N54" i="44"/>
  <c r="K54" i="44"/>
  <c r="J54" i="44"/>
  <c r="I54" i="44"/>
  <c r="H54" i="44"/>
  <c r="AB53" i="44"/>
  <c r="AA53" i="44"/>
  <c r="Z53" i="44"/>
  <c r="Y53" i="44"/>
  <c r="X53" i="44"/>
  <c r="W53" i="44"/>
  <c r="V53" i="44"/>
  <c r="U53" i="44"/>
  <c r="T53" i="44"/>
  <c r="S53" i="44"/>
  <c r="R53" i="44"/>
  <c r="Q53" i="44"/>
  <c r="P53" i="44"/>
  <c r="O53" i="44"/>
  <c r="N53" i="44"/>
  <c r="K53" i="44"/>
  <c r="J53" i="44"/>
  <c r="I53" i="44"/>
  <c r="H53" i="44"/>
  <c r="AB52" i="44"/>
  <c r="AA52" i="44"/>
  <c r="Z52" i="44"/>
  <c r="Y52" i="44"/>
  <c r="X52" i="44"/>
  <c r="W52" i="44"/>
  <c r="V52" i="44"/>
  <c r="U52" i="44"/>
  <c r="T52" i="44"/>
  <c r="S52" i="44"/>
  <c r="R52" i="44"/>
  <c r="Q52" i="44"/>
  <c r="P52" i="44"/>
  <c r="O52" i="44"/>
  <c r="N52" i="44"/>
  <c r="K52" i="44"/>
  <c r="J52" i="44"/>
  <c r="I52" i="44"/>
  <c r="H52" i="44"/>
  <c r="AB51" i="44"/>
  <c r="AA51" i="44"/>
  <c r="Z51" i="44"/>
  <c r="Y51" i="44"/>
  <c r="X51" i="44"/>
  <c r="W51" i="44"/>
  <c r="V51" i="44"/>
  <c r="U51" i="44"/>
  <c r="T51" i="44"/>
  <c r="S51" i="44"/>
  <c r="R51" i="44"/>
  <c r="Q51" i="44"/>
  <c r="P51" i="44"/>
  <c r="O51" i="44"/>
  <c r="N51" i="44"/>
  <c r="K51" i="44"/>
  <c r="J51" i="44"/>
  <c r="I51" i="44"/>
  <c r="H51" i="44"/>
  <c r="AB50" i="44"/>
  <c r="AA50" i="44"/>
  <c r="Z50" i="44"/>
  <c r="Y50" i="44"/>
  <c r="X50" i="44"/>
  <c r="W50" i="44"/>
  <c r="V50" i="44"/>
  <c r="U50" i="44"/>
  <c r="T50" i="44"/>
  <c r="S50" i="44"/>
  <c r="R50" i="44"/>
  <c r="Q50" i="44"/>
  <c r="P50" i="44"/>
  <c r="O50" i="44"/>
  <c r="N50" i="44"/>
  <c r="K50" i="44"/>
  <c r="J50" i="44"/>
  <c r="I50" i="44"/>
  <c r="H50" i="44"/>
  <c r="AB49" i="44"/>
  <c r="AA49" i="44"/>
  <c r="Z49" i="44"/>
  <c r="Y49" i="44"/>
  <c r="X49" i="44"/>
  <c r="W49" i="44"/>
  <c r="V49" i="44"/>
  <c r="U49" i="44"/>
  <c r="T49" i="44"/>
  <c r="S49" i="44"/>
  <c r="R49" i="44"/>
  <c r="Q49" i="44"/>
  <c r="P49" i="44"/>
  <c r="O49" i="44"/>
  <c r="N49" i="44"/>
  <c r="K49" i="44"/>
  <c r="J49" i="44"/>
  <c r="I49" i="44"/>
  <c r="H49" i="44"/>
  <c r="AB48" i="44"/>
  <c r="AA48" i="44"/>
  <c r="Z48" i="44"/>
  <c r="Y48" i="44"/>
  <c r="X48" i="44"/>
  <c r="W48" i="44"/>
  <c r="V48" i="44"/>
  <c r="U48" i="44"/>
  <c r="T48" i="44"/>
  <c r="S48" i="44"/>
  <c r="R48" i="44"/>
  <c r="Q48" i="44"/>
  <c r="P48" i="44"/>
  <c r="O48" i="44"/>
  <c r="N48" i="44"/>
  <c r="K48" i="44"/>
  <c r="J48" i="44"/>
  <c r="I48" i="44"/>
  <c r="H48" i="44"/>
  <c r="AB47" i="44"/>
  <c r="AA47" i="44"/>
  <c r="Z47" i="44"/>
  <c r="Y47" i="44"/>
  <c r="X47" i="44"/>
  <c r="W47" i="44"/>
  <c r="V47" i="44"/>
  <c r="U47" i="44"/>
  <c r="T47" i="44"/>
  <c r="S47" i="44"/>
  <c r="R47" i="44"/>
  <c r="Q47" i="44"/>
  <c r="P47" i="44"/>
  <c r="O47" i="44"/>
  <c r="N47" i="44"/>
  <c r="K47" i="44"/>
  <c r="J47" i="44"/>
  <c r="I47" i="44"/>
  <c r="H47" i="44"/>
  <c r="AB46" i="44"/>
  <c r="AA46" i="44"/>
  <c r="Z46" i="44"/>
  <c r="Y46" i="44"/>
  <c r="X46" i="44"/>
  <c r="W46" i="44"/>
  <c r="V46" i="44"/>
  <c r="U46" i="44"/>
  <c r="T46" i="44"/>
  <c r="S46" i="44"/>
  <c r="R46" i="44"/>
  <c r="Q46" i="44"/>
  <c r="P46" i="44"/>
  <c r="O46" i="44"/>
  <c r="N46" i="44"/>
  <c r="K46" i="44"/>
  <c r="J46" i="44"/>
  <c r="I46" i="44"/>
  <c r="H46" i="44"/>
  <c r="AB45" i="44"/>
  <c r="AA45" i="44"/>
  <c r="Z45" i="44"/>
  <c r="Y45" i="44"/>
  <c r="X45" i="44"/>
  <c r="W45" i="44"/>
  <c r="V45" i="44"/>
  <c r="U45" i="44"/>
  <c r="T45" i="44"/>
  <c r="S45" i="44"/>
  <c r="R45" i="44"/>
  <c r="Q45" i="44"/>
  <c r="P45" i="44"/>
  <c r="O45" i="44"/>
  <c r="N45" i="44"/>
  <c r="K45" i="44"/>
  <c r="J45" i="44"/>
  <c r="I45" i="44"/>
  <c r="H45" i="44"/>
  <c r="AB44" i="44"/>
  <c r="AA44" i="44"/>
  <c r="Z44" i="44"/>
  <c r="Y44" i="44"/>
  <c r="X44" i="44"/>
  <c r="W44" i="44"/>
  <c r="V44" i="44"/>
  <c r="U44" i="44"/>
  <c r="T44" i="44"/>
  <c r="S44" i="44"/>
  <c r="R44" i="44"/>
  <c r="Q44" i="44"/>
  <c r="P44" i="44"/>
  <c r="O44" i="44"/>
  <c r="N44" i="44"/>
  <c r="K44" i="44"/>
  <c r="J44" i="44"/>
  <c r="I44" i="44"/>
  <c r="H44" i="44"/>
  <c r="AB43" i="44"/>
  <c r="AA43" i="44"/>
  <c r="Z43" i="44"/>
  <c r="Y43" i="44"/>
  <c r="X43" i="44"/>
  <c r="W43" i="44"/>
  <c r="V43" i="44"/>
  <c r="U43" i="44"/>
  <c r="T43" i="44"/>
  <c r="S43" i="44"/>
  <c r="R43" i="44"/>
  <c r="Q43" i="44"/>
  <c r="P43" i="44"/>
  <c r="O43" i="44"/>
  <c r="N43" i="44"/>
  <c r="K43" i="44"/>
  <c r="J43" i="44"/>
  <c r="I43" i="44"/>
  <c r="H43" i="44"/>
  <c r="AB42" i="44"/>
  <c r="AA42" i="44"/>
  <c r="Z42" i="44"/>
  <c r="Y42" i="44"/>
  <c r="X42" i="44"/>
  <c r="W42" i="44"/>
  <c r="V42" i="44"/>
  <c r="U42" i="44"/>
  <c r="T42" i="44"/>
  <c r="S42" i="44"/>
  <c r="R42" i="44"/>
  <c r="Q42" i="44"/>
  <c r="P42" i="44"/>
  <c r="O42" i="44"/>
  <c r="N42" i="44"/>
  <c r="K42" i="44"/>
  <c r="J42" i="44"/>
  <c r="I42" i="44"/>
  <c r="H42" i="44"/>
  <c r="AB41" i="44"/>
  <c r="AA41" i="44"/>
  <c r="Z41" i="44"/>
  <c r="Y41" i="44"/>
  <c r="X41" i="44"/>
  <c r="W41" i="44"/>
  <c r="V41" i="44"/>
  <c r="U41" i="44"/>
  <c r="T41" i="44"/>
  <c r="S41" i="44"/>
  <c r="R41" i="44"/>
  <c r="Q41" i="44"/>
  <c r="P41" i="44"/>
  <c r="O41" i="44"/>
  <c r="N41" i="44"/>
  <c r="K41" i="44"/>
  <c r="J41" i="44"/>
  <c r="I41" i="44"/>
  <c r="H41" i="44"/>
  <c r="AB40" i="44"/>
  <c r="AA40" i="44"/>
  <c r="Z40" i="44"/>
  <c r="Y40" i="44"/>
  <c r="X40" i="44"/>
  <c r="W40" i="44"/>
  <c r="V40" i="44"/>
  <c r="U40" i="44"/>
  <c r="T40" i="44"/>
  <c r="S40" i="44"/>
  <c r="R40" i="44"/>
  <c r="Q40" i="44"/>
  <c r="P40" i="44"/>
  <c r="O40" i="44"/>
  <c r="N40" i="44"/>
  <c r="K40" i="44"/>
  <c r="J40" i="44"/>
  <c r="I40" i="44"/>
  <c r="H40" i="44"/>
  <c r="AB39" i="44"/>
  <c r="AA39" i="44"/>
  <c r="Z39" i="44"/>
  <c r="Y39" i="44"/>
  <c r="X39" i="44"/>
  <c r="W39" i="44"/>
  <c r="V39" i="44"/>
  <c r="U39" i="44"/>
  <c r="T39" i="44"/>
  <c r="S39" i="44"/>
  <c r="R39" i="44"/>
  <c r="Q39" i="44"/>
  <c r="P39" i="44"/>
  <c r="O39" i="44"/>
  <c r="N39" i="44"/>
  <c r="K39" i="44"/>
  <c r="J39" i="44"/>
  <c r="I39" i="44"/>
  <c r="H39" i="44"/>
  <c r="AB38" i="44"/>
  <c r="AA38" i="44"/>
  <c r="Z38" i="44"/>
  <c r="Y38" i="44"/>
  <c r="X38" i="44"/>
  <c r="W38" i="44"/>
  <c r="V38" i="44"/>
  <c r="U38" i="44"/>
  <c r="T38" i="44"/>
  <c r="S38" i="44"/>
  <c r="R38" i="44"/>
  <c r="Q38" i="44"/>
  <c r="P38" i="44"/>
  <c r="O38" i="44"/>
  <c r="N38" i="44"/>
  <c r="K38" i="44"/>
  <c r="J38" i="44"/>
  <c r="I38" i="44"/>
  <c r="H38" i="44"/>
  <c r="AB37" i="44"/>
  <c r="AA37" i="44"/>
  <c r="Z37" i="44"/>
  <c r="Y37" i="44"/>
  <c r="X37" i="44"/>
  <c r="W37" i="44"/>
  <c r="V37" i="44"/>
  <c r="U37" i="44"/>
  <c r="T37" i="44"/>
  <c r="S37" i="44"/>
  <c r="R37" i="44"/>
  <c r="Q37" i="44"/>
  <c r="P37" i="44"/>
  <c r="O37" i="44"/>
  <c r="N37" i="44"/>
  <c r="K37" i="44"/>
  <c r="J37" i="44"/>
  <c r="I37" i="44"/>
  <c r="H37" i="44"/>
  <c r="AB36" i="44"/>
  <c r="AA36" i="44"/>
  <c r="Z36" i="44"/>
  <c r="Y36" i="44"/>
  <c r="X36" i="44"/>
  <c r="W36" i="44"/>
  <c r="V36" i="44"/>
  <c r="U36" i="44"/>
  <c r="T36" i="44"/>
  <c r="S36" i="44"/>
  <c r="R36" i="44"/>
  <c r="Q36" i="44"/>
  <c r="P36" i="44"/>
  <c r="O36" i="44"/>
  <c r="N36" i="44"/>
  <c r="K36" i="44"/>
  <c r="J36" i="44"/>
  <c r="I36" i="44"/>
  <c r="H36" i="44"/>
  <c r="AB35" i="44"/>
  <c r="AA35" i="44"/>
  <c r="Z35" i="44"/>
  <c r="Y35" i="44"/>
  <c r="X35" i="44"/>
  <c r="W35" i="44"/>
  <c r="V35" i="44"/>
  <c r="U35" i="44"/>
  <c r="T35" i="44"/>
  <c r="S35" i="44"/>
  <c r="R35" i="44"/>
  <c r="Q35" i="44"/>
  <c r="P35" i="44"/>
  <c r="O35" i="44"/>
  <c r="N35" i="44"/>
  <c r="K35" i="44"/>
  <c r="J35" i="44"/>
  <c r="I35" i="44"/>
  <c r="H35" i="44"/>
  <c r="AB34" i="44"/>
  <c r="AA34" i="44"/>
  <c r="Z34" i="44"/>
  <c r="Y34" i="44"/>
  <c r="X34" i="44"/>
  <c r="W34" i="44"/>
  <c r="V34" i="44"/>
  <c r="U34" i="44"/>
  <c r="T34" i="44"/>
  <c r="S34" i="44"/>
  <c r="R34" i="44"/>
  <c r="Q34" i="44"/>
  <c r="P34" i="44"/>
  <c r="O34" i="44"/>
  <c r="N34" i="44"/>
  <c r="K34" i="44"/>
  <c r="J34" i="44"/>
  <c r="I34" i="44"/>
  <c r="H34" i="44"/>
  <c r="AB33" i="44"/>
  <c r="AA33" i="44"/>
  <c r="Z33" i="44"/>
  <c r="Y33" i="44"/>
  <c r="X33" i="44"/>
  <c r="W33" i="44"/>
  <c r="V33" i="44"/>
  <c r="U33" i="44"/>
  <c r="T33" i="44"/>
  <c r="S33" i="44"/>
  <c r="R33" i="44"/>
  <c r="Q33" i="44"/>
  <c r="P33" i="44"/>
  <c r="O33" i="44"/>
  <c r="N33" i="44"/>
  <c r="K33" i="44"/>
  <c r="J33" i="44"/>
  <c r="I33" i="44"/>
  <c r="H33" i="44"/>
  <c r="AB32" i="44"/>
  <c r="AA32" i="44"/>
  <c r="Z32" i="44"/>
  <c r="Y32" i="44"/>
  <c r="X32" i="44"/>
  <c r="W32" i="44"/>
  <c r="V32" i="44"/>
  <c r="U32" i="44"/>
  <c r="T32" i="44"/>
  <c r="S32" i="44"/>
  <c r="R32" i="44"/>
  <c r="Q32" i="44"/>
  <c r="P32" i="44"/>
  <c r="O32" i="44"/>
  <c r="N32" i="44"/>
  <c r="K32" i="44"/>
  <c r="J32" i="44"/>
  <c r="I32" i="44"/>
  <c r="H32" i="44"/>
  <c r="AB31" i="44"/>
  <c r="AA31" i="44"/>
  <c r="Z31" i="44"/>
  <c r="Y31" i="44"/>
  <c r="X31" i="44"/>
  <c r="W31" i="44"/>
  <c r="V31" i="44"/>
  <c r="U31" i="44"/>
  <c r="T31" i="44"/>
  <c r="S31" i="44"/>
  <c r="R31" i="44"/>
  <c r="Q31" i="44"/>
  <c r="P31" i="44"/>
  <c r="O31" i="44"/>
  <c r="N31" i="44"/>
  <c r="K31" i="44"/>
  <c r="J31" i="44"/>
  <c r="I31" i="44"/>
  <c r="H31" i="44"/>
  <c r="AB30" i="44"/>
  <c r="AA30" i="44"/>
  <c r="Z30" i="44"/>
  <c r="Y30" i="44"/>
  <c r="X30" i="44"/>
  <c r="W30" i="44"/>
  <c r="V30" i="44"/>
  <c r="U30" i="44"/>
  <c r="T30" i="44"/>
  <c r="S30" i="44"/>
  <c r="R30" i="44"/>
  <c r="Q30" i="44"/>
  <c r="P30" i="44"/>
  <c r="O30" i="44"/>
  <c r="N30" i="44"/>
  <c r="K30" i="44"/>
  <c r="J30" i="44"/>
  <c r="I30" i="44"/>
  <c r="H30" i="44"/>
  <c r="AB29" i="44"/>
  <c r="AA29" i="44"/>
  <c r="Z29" i="44"/>
  <c r="Y29" i="44"/>
  <c r="X29" i="44"/>
  <c r="W29" i="44"/>
  <c r="V29" i="44"/>
  <c r="U29" i="44"/>
  <c r="T29" i="44"/>
  <c r="S29" i="44"/>
  <c r="R29" i="44"/>
  <c r="Q29" i="44"/>
  <c r="P29" i="44"/>
  <c r="O29" i="44"/>
  <c r="N29" i="44"/>
  <c r="K29" i="44"/>
  <c r="J29" i="44"/>
  <c r="I29" i="44"/>
  <c r="H29" i="44"/>
  <c r="AB28" i="44"/>
  <c r="AA28" i="44"/>
  <c r="Z28" i="44"/>
  <c r="Y28" i="44"/>
  <c r="X28" i="44"/>
  <c r="W28" i="44"/>
  <c r="V28" i="44"/>
  <c r="U28" i="44"/>
  <c r="T28" i="44"/>
  <c r="S28" i="44"/>
  <c r="R28" i="44"/>
  <c r="Q28" i="44"/>
  <c r="P28" i="44"/>
  <c r="O28" i="44"/>
  <c r="N28" i="44"/>
  <c r="K28" i="44"/>
  <c r="J28" i="44"/>
  <c r="I28" i="44"/>
  <c r="H28" i="44"/>
  <c r="AB27" i="44"/>
  <c r="AA27" i="44"/>
  <c r="Z27" i="44"/>
  <c r="Y27" i="44"/>
  <c r="X27" i="44"/>
  <c r="W27" i="44"/>
  <c r="V27" i="44"/>
  <c r="U27" i="44"/>
  <c r="T27" i="44"/>
  <c r="S27" i="44"/>
  <c r="R27" i="44"/>
  <c r="Q27" i="44"/>
  <c r="P27" i="44"/>
  <c r="O27" i="44"/>
  <c r="N27" i="44"/>
  <c r="K27" i="44"/>
  <c r="J27" i="44"/>
  <c r="I27" i="44"/>
  <c r="H27" i="44"/>
  <c r="AB26" i="44"/>
  <c r="AA26" i="44"/>
  <c r="Z26" i="44"/>
  <c r="Y26" i="44"/>
  <c r="X26" i="44"/>
  <c r="W26" i="44"/>
  <c r="V26" i="44"/>
  <c r="U26" i="44"/>
  <c r="T26" i="44"/>
  <c r="S26" i="44"/>
  <c r="R26" i="44"/>
  <c r="Q26" i="44"/>
  <c r="P26" i="44"/>
  <c r="O26" i="44"/>
  <c r="N26" i="44"/>
  <c r="K26" i="44"/>
  <c r="J26" i="44"/>
  <c r="I26" i="44"/>
  <c r="H26" i="44"/>
  <c r="AB25" i="44"/>
  <c r="AA25" i="44"/>
  <c r="Z25" i="44"/>
  <c r="Y25" i="44"/>
  <c r="X25" i="44"/>
  <c r="W25" i="44"/>
  <c r="V25" i="44"/>
  <c r="U25" i="44"/>
  <c r="T25" i="44"/>
  <c r="S25" i="44"/>
  <c r="R25" i="44"/>
  <c r="Q25" i="44"/>
  <c r="P25" i="44"/>
  <c r="O25" i="44"/>
  <c r="N25" i="44"/>
  <c r="K25" i="44"/>
  <c r="J25" i="44"/>
  <c r="I25" i="44"/>
  <c r="H25" i="44"/>
  <c r="AB24" i="44"/>
  <c r="AA24" i="44"/>
  <c r="Z24" i="44"/>
  <c r="Y24" i="44"/>
  <c r="X24" i="44"/>
  <c r="W24" i="44"/>
  <c r="V24" i="44"/>
  <c r="U24" i="44"/>
  <c r="T24" i="44"/>
  <c r="S24" i="44"/>
  <c r="R24" i="44"/>
  <c r="Q24" i="44"/>
  <c r="P24" i="44"/>
  <c r="O24" i="44"/>
  <c r="N24" i="44"/>
  <c r="K24" i="44"/>
  <c r="J24" i="44"/>
  <c r="I24" i="44"/>
  <c r="H24" i="44"/>
  <c r="AB23" i="44"/>
  <c r="AA23" i="44"/>
  <c r="Z23" i="44"/>
  <c r="Y23" i="44"/>
  <c r="X23" i="44"/>
  <c r="W23" i="44"/>
  <c r="V23" i="44"/>
  <c r="U23" i="44"/>
  <c r="T23" i="44"/>
  <c r="S23" i="44"/>
  <c r="R23" i="44"/>
  <c r="Q23" i="44"/>
  <c r="P23" i="44"/>
  <c r="O23" i="44"/>
  <c r="N23" i="44"/>
  <c r="K23" i="44"/>
  <c r="J23" i="44"/>
  <c r="I23" i="44"/>
  <c r="H23" i="44"/>
  <c r="AB22" i="44"/>
  <c r="AA22" i="44"/>
  <c r="Z22" i="44"/>
  <c r="Y22" i="44"/>
  <c r="X22" i="44"/>
  <c r="W22" i="44"/>
  <c r="V22" i="44"/>
  <c r="U22" i="44"/>
  <c r="T22" i="44"/>
  <c r="S22" i="44"/>
  <c r="R22" i="44"/>
  <c r="Q22" i="44"/>
  <c r="P22" i="44"/>
  <c r="O22" i="44"/>
  <c r="N22" i="44"/>
  <c r="K22" i="44"/>
  <c r="J22" i="44"/>
  <c r="I22" i="44"/>
  <c r="H22" i="44"/>
  <c r="AB21" i="44"/>
  <c r="AA21" i="44"/>
  <c r="Z21" i="44"/>
  <c r="Y21" i="44"/>
  <c r="X21" i="44"/>
  <c r="W21" i="44"/>
  <c r="V21" i="44"/>
  <c r="U21" i="44"/>
  <c r="T21" i="44"/>
  <c r="S21" i="44"/>
  <c r="R21" i="44"/>
  <c r="Q21" i="44"/>
  <c r="P21" i="44"/>
  <c r="O21" i="44"/>
  <c r="N21" i="44"/>
  <c r="K21" i="44"/>
  <c r="J21" i="44"/>
  <c r="I21" i="44"/>
  <c r="H21" i="44"/>
  <c r="AB20" i="44"/>
  <c r="AA20" i="44"/>
  <c r="Z20" i="44"/>
  <c r="Y20" i="44"/>
  <c r="X20" i="44"/>
  <c r="W20" i="44"/>
  <c r="V20" i="44"/>
  <c r="U20" i="44"/>
  <c r="T20" i="44"/>
  <c r="S20" i="44"/>
  <c r="R20" i="44"/>
  <c r="Q20" i="44"/>
  <c r="P20" i="44"/>
  <c r="O20" i="44"/>
  <c r="N20" i="44"/>
  <c r="K20" i="44"/>
  <c r="J20" i="44"/>
  <c r="I20" i="44"/>
  <c r="H20" i="44"/>
  <c r="AB19" i="44"/>
  <c r="AA19" i="44"/>
  <c r="Z19" i="44"/>
  <c r="Y19" i="44"/>
  <c r="X19" i="44"/>
  <c r="W19" i="44"/>
  <c r="V19" i="44"/>
  <c r="U19" i="44"/>
  <c r="T19" i="44"/>
  <c r="S19" i="44"/>
  <c r="R19" i="44"/>
  <c r="Q19" i="44"/>
  <c r="P19" i="44"/>
  <c r="O19" i="44"/>
  <c r="N19" i="44"/>
  <c r="K19" i="44"/>
  <c r="J19" i="44"/>
  <c r="I19" i="44"/>
  <c r="H19" i="44"/>
  <c r="AB18" i="44"/>
  <c r="AA18" i="44"/>
  <c r="Z18" i="44"/>
  <c r="Y18" i="44"/>
  <c r="X18" i="44"/>
  <c r="W18" i="44"/>
  <c r="V18" i="44"/>
  <c r="U18" i="44"/>
  <c r="T18" i="44"/>
  <c r="S18" i="44"/>
  <c r="R18" i="44"/>
  <c r="Q18" i="44"/>
  <c r="P18" i="44"/>
  <c r="O18" i="44"/>
  <c r="N18" i="44"/>
  <c r="K18" i="44"/>
  <c r="J18" i="44"/>
  <c r="I18" i="44"/>
  <c r="H18" i="44"/>
  <c r="AB17" i="44"/>
  <c r="AA17" i="44"/>
  <c r="Z17" i="44"/>
  <c r="Y17" i="44"/>
  <c r="X17" i="44"/>
  <c r="W17" i="44"/>
  <c r="V17" i="44"/>
  <c r="U17" i="44"/>
  <c r="T17" i="44"/>
  <c r="S17" i="44"/>
  <c r="R17" i="44"/>
  <c r="Q17" i="44"/>
  <c r="P17" i="44"/>
  <c r="O17" i="44"/>
  <c r="N17" i="44"/>
  <c r="K17" i="44"/>
  <c r="J17" i="44"/>
  <c r="I17" i="44"/>
  <c r="H17" i="44"/>
  <c r="AB16" i="44"/>
  <c r="AA16" i="44"/>
  <c r="Z16" i="44"/>
  <c r="Y16" i="44"/>
  <c r="X16" i="44"/>
  <c r="W16" i="44"/>
  <c r="V16" i="44"/>
  <c r="U16" i="44"/>
  <c r="T16" i="44"/>
  <c r="S16" i="44"/>
  <c r="R16" i="44"/>
  <c r="Q16" i="44"/>
  <c r="P16" i="44"/>
  <c r="O16" i="44"/>
  <c r="N16" i="44"/>
  <c r="K16" i="44"/>
  <c r="J16" i="44"/>
  <c r="I16" i="44"/>
  <c r="H16" i="44"/>
  <c r="AB15" i="44"/>
  <c r="AA15" i="44"/>
  <c r="Z15" i="44"/>
  <c r="Y15" i="44"/>
  <c r="X15" i="44"/>
  <c r="W15" i="44"/>
  <c r="V15" i="44"/>
  <c r="U15" i="44"/>
  <c r="T15" i="44"/>
  <c r="S15" i="44"/>
  <c r="R15" i="44"/>
  <c r="Q15" i="44"/>
  <c r="P15" i="44"/>
  <c r="O15" i="44"/>
  <c r="N15" i="44"/>
  <c r="K15" i="44"/>
  <c r="J15" i="44"/>
  <c r="I15" i="44"/>
  <c r="H15" i="44"/>
  <c r="AB14" i="44"/>
  <c r="AA14" i="44"/>
  <c r="Z14" i="44"/>
  <c r="Y14" i="44"/>
  <c r="X14" i="44"/>
  <c r="W14" i="44"/>
  <c r="V14" i="44"/>
  <c r="U14" i="44"/>
  <c r="T14" i="44"/>
  <c r="S14" i="44"/>
  <c r="R14" i="44"/>
  <c r="Q14" i="44"/>
  <c r="P14" i="44"/>
  <c r="O14" i="44"/>
  <c r="N14" i="44"/>
  <c r="K14" i="44"/>
  <c r="J14" i="44"/>
  <c r="I14" i="44"/>
  <c r="H14" i="44"/>
  <c r="AB13" i="44"/>
  <c r="AA13" i="44"/>
  <c r="Z13" i="44"/>
  <c r="Y13" i="44"/>
  <c r="X13" i="44"/>
  <c r="W13" i="44"/>
  <c r="V13" i="44"/>
  <c r="U13" i="44"/>
  <c r="T13" i="44"/>
  <c r="S13" i="44"/>
  <c r="R13" i="44"/>
  <c r="Q13" i="44"/>
  <c r="P13" i="44"/>
  <c r="O13" i="44"/>
  <c r="N13" i="44"/>
  <c r="K13" i="44"/>
  <c r="J13" i="44"/>
  <c r="I13" i="44"/>
  <c r="H13" i="44"/>
  <c r="AB12" i="44"/>
  <c r="AA12" i="44"/>
  <c r="Z12" i="44"/>
  <c r="Y12" i="44"/>
  <c r="X12" i="44"/>
  <c r="W12" i="44"/>
  <c r="V12" i="44"/>
  <c r="U12" i="44"/>
  <c r="T12" i="44"/>
  <c r="S12" i="44"/>
  <c r="R12" i="44"/>
  <c r="Q12" i="44"/>
  <c r="P12" i="44"/>
  <c r="O12" i="44"/>
  <c r="N12" i="44"/>
  <c r="K12" i="44"/>
  <c r="J12" i="44"/>
  <c r="I12" i="44"/>
  <c r="H12" i="44"/>
  <c r="AB11" i="44"/>
  <c r="AA11" i="44"/>
  <c r="Z11" i="44"/>
  <c r="Y11" i="44"/>
  <c r="X11" i="44"/>
  <c r="W11" i="44"/>
  <c r="V11" i="44"/>
  <c r="U11" i="44"/>
  <c r="T11" i="44"/>
  <c r="S11" i="44"/>
  <c r="R11" i="44"/>
  <c r="Q11" i="44"/>
  <c r="P11" i="44"/>
  <c r="O11" i="44"/>
  <c r="N11" i="44"/>
  <c r="K11" i="44"/>
  <c r="J11" i="44"/>
  <c r="I11" i="44"/>
  <c r="H11" i="44"/>
  <c r="AB10" i="44"/>
  <c r="AA10" i="44"/>
  <c r="Z10" i="44"/>
  <c r="Y10" i="44"/>
  <c r="X10" i="44"/>
  <c r="W10" i="44"/>
  <c r="V10" i="44"/>
  <c r="U10" i="44"/>
  <c r="T10" i="44"/>
  <c r="S10" i="44"/>
  <c r="R10" i="44"/>
  <c r="Q10" i="44"/>
  <c r="P10" i="44"/>
  <c r="O10" i="44"/>
  <c r="N10" i="44"/>
  <c r="K10" i="44"/>
  <c r="J10" i="44"/>
  <c r="I10" i="44"/>
  <c r="H10" i="44"/>
  <c r="AB9" i="44"/>
  <c r="AA9" i="44"/>
  <c r="Z9" i="44"/>
  <c r="Y9" i="44"/>
  <c r="X9" i="44"/>
  <c r="W9" i="44"/>
  <c r="V9" i="44"/>
  <c r="U9" i="44"/>
  <c r="T9" i="44"/>
  <c r="S9" i="44"/>
  <c r="R9" i="44"/>
  <c r="Q9" i="44"/>
  <c r="P9" i="44"/>
  <c r="O9" i="44"/>
  <c r="N9" i="44"/>
  <c r="K9" i="44"/>
  <c r="J9" i="44"/>
  <c r="I9" i="44"/>
  <c r="H9" i="44"/>
  <c r="AB8" i="44"/>
  <c r="AA8" i="44"/>
  <c r="Z8" i="44"/>
  <c r="Y8" i="44"/>
  <c r="X8" i="44"/>
  <c r="W8" i="44"/>
  <c r="V8" i="44"/>
  <c r="U8" i="44"/>
  <c r="T8" i="44"/>
  <c r="S8" i="44"/>
  <c r="R8" i="44"/>
  <c r="Q8" i="44"/>
  <c r="P8" i="44"/>
  <c r="O8" i="44"/>
  <c r="N8" i="44"/>
  <c r="K8" i="44"/>
  <c r="J8" i="44"/>
  <c r="I8" i="44"/>
  <c r="H8" i="44"/>
  <c r="AB7" i="44"/>
  <c r="AA7" i="44"/>
  <c r="Z7" i="44"/>
  <c r="Y7" i="44"/>
  <c r="X7" i="44"/>
  <c r="W7" i="44"/>
  <c r="V7" i="44"/>
  <c r="U7" i="44"/>
  <c r="T7" i="44"/>
  <c r="S7" i="44"/>
  <c r="R7" i="44"/>
  <c r="Q7" i="44"/>
  <c r="P7" i="44"/>
  <c r="O7" i="44"/>
  <c r="N7" i="44"/>
  <c r="K7" i="44"/>
  <c r="J7" i="44"/>
  <c r="I7" i="44"/>
  <c r="H7" i="44"/>
  <c r="AB6" i="44"/>
  <c r="AA6" i="44"/>
  <c r="Z6" i="44"/>
  <c r="Y6" i="44"/>
  <c r="X6" i="44"/>
  <c r="W6" i="44"/>
  <c r="V6" i="44"/>
  <c r="U6" i="44"/>
  <c r="T6" i="44"/>
  <c r="S6" i="44"/>
  <c r="R6" i="44"/>
  <c r="Q6" i="44"/>
  <c r="P6" i="44"/>
  <c r="O6" i="44"/>
  <c r="N6" i="44"/>
  <c r="K6" i="44"/>
  <c r="J6" i="44"/>
  <c r="I6" i="44"/>
  <c r="H6" i="44"/>
  <c r="AB5" i="44"/>
  <c r="AA5" i="44"/>
  <c r="Z5" i="44"/>
  <c r="Y5" i="44"/>
  <c r="X5" i="44"/>
  <c r="W5" i="44"/>
  <c r="V5" i="44"/>
  <c r="U5" i="44"/>
  <c r="T5" i="44"/>
  <c r="S5" i="44"/>
  <c r="R5" i="44"/>
  <c r="Q5" i="44"/>
  <c r="P5" i="44"/>
  <c r="O5" i="44"/>
  <c r="N5" i="44"/>
  <c r="K5" i="44"/>
  <c r="J5" i="44"/>
  <c r="I5" i="44"/>
  <c r="H5" i="44"/>
  <c r="AB122" i="43"/>
  <c r="AA122" i="43"/>
  <c r="Z122" i="43"/>
  <c r="Y122" i="43"/>
  <c r="X122" i="43"/>
  <c r="W122" i="43"/>
  <c r="V122" i="43"/>
  <c r="U122" i="43"/>
  <c r="T122" i="43"/>
  <c r="S122" i="43"/>
  <c r="R122" i="43"/>
  <c r="Q122" i="43"/>
  <c r="P122" i="43"/>
  <c r="O122" i="43"/>
  <c r="N122" i="43"/>
  <c r="K122" i="43"/>
  <c r="J122" i="43"/>
  <c r="I122" i="43"/>
  <c r="H122" i="43"/>
  <c r="AB54" i="43"/>
  <c r="AA54" i="43"/>
  <c r="Z54" i="43"/>
  <c r="Y54" i="43"/>
  <c r="X54" i="43"/>
  <c r="W54" i="43"/>
  <c r="V54" i="43"/>
  <c r="U54" i="43"/>
  <c r="T54" i="43"/>
  <c r="S54" i="43"/>
  <c r="R54" i="43"/>
  <c r="Q54" i="43"/>
  <c r="P54" i="43"/>
  <c r="O54" i="43"/>
  <c r="N54" i="43"/>
  <c r="K54" i="43"/>
  <c r="J54" i="43"/>
  <c r="I54" i="43"/>
  <c r="H54" i="43"/>
  <c r="AB53" i="43"/>
  <c r="AA53" i="43"/>
  <c r="Z53" i="43"/>
  <c r="Y53" i="43"/>
  <c r="X53" i="43"/>
  <c r="W53" i="43"/>
  <c r="V53" i="43"/>
  <c r="U53" i="43"/>
  <c r="T53" i="43"/>
  <c r="S53" i="43"/>
  <c r="R53" i="43"/>
  <c r="Q53" i="43"/>
  <c r="P53" i="43"/>
  <c r="O53" i="43"/>
  <c r="N53" i="43"/>
  <c r="K53" i="43"/>
  <c r="J53" i="43"/>
  <c r="I53" i="43"/>
  <c r="H53" i="43"/>
  <c r="AB52" i="43"/>
  <c r="AA52" i="43"/>
  <c r="Z52" i="43"/>
  <c r="Y52" i="43"/>
  <c r="X52" i="43"/>
  <c r="W52" i="43"/>
  <c r="V52" i="43"/>
  <c r="U52" i="43"/>
  <c r="T52" i="43"/>
  <c r="S52" i="43"/>
  <c r="R52" i="43"/>
  <c r="Q52" i="43"/>
  <c r="P52" i="43"/>
  <c r="O52" i="43"/>
  <c r="N52" i="43"/>
  <c r="K52" i="43"/>
  <c r="J52" i="43"/>
  <c r="I52" i="43"/>
  <c r="H52" i="43"/>
  <c r="AB51" i="43"/>
  <c r="AA51" i="43"/>
  <c r="Z51" i="43"/>
  <c r="Y51" i="43"/>
  <c r="X51" i="43"/>
  <c r="W51" i="43"/>
  <c r="V51" i="43"/>
  <c r="U51" i="43"/>
  <c r="T51" i="43"/>
  <c r="S51" i="43"/>
  <c r="R51" i="43"/>
  <c r="Q51" i="43"/>
  <c r="P51" i="43"/>
  <c r="O51" i="43"/>
  <c r="N51" i="43"/>
  <c r="K51" i="43"/>
  <c r="J51" i="43"/>
  <c r="I51" i="43"/>
  <c r="H51" i="43"/>
  <c r="AB50" i="43"/>
  <c r="AA50" i="43"/>
  <c r="Z50" i="43"/>
  <c r="Y50" i="43"/>
  <c r="X50" i="43"/>
  <c r="W50" i="43"/>
  <c r="V50" i="43"/>
  <c r="U50" i="43"/>
  <c r="T50" i="43"/>
  <c r="S50" i="43"/>
  <c r="R50" i="43"/>
  <c r="Q50" i="43"/>
  <c r="P50" i="43"/>
  <c r="O50" i="43"/>
  <c r="N50" i="43"/>
  <c r="K50" i="43"/>
  <c r="J50" i="43"/>
  <c r="I50" i="43"/>
  <c r="H50" i="43"/>
  <c r="AB49" i="43"/>
  <c r="AA49" i="43"/>
  <c r="Z49" i="43"/>
  <c r="Y49" i="43"/>
  <c r="X49" i="43"/>
  <c r="W49" i="43"/>
  <c r="V49" i="43"/>
  <c r="U49" i="43"/>
  <c r="T49" i="43"/>
  <c r="S49" i="43"/>
  <c r="R49" i="43"/>
  <c r="Q49" i="43"/>
  <c r="P49" i="43"/>
  <c r="O49" i="43"/>
  <c r="N49" i="43"/>
  <c r="K49" i="43"/>
  <c r="J49" i="43"/>
  <c r="I49" i="43"/>
  <c r="H49" i="43"/>
  <c r="AB48" i="43"/>
  <c r="AA48" i="43"/>
  <c r="Z48" i="43"/>
  <c r="Y48" i="43"/>
  <c r="X48" i="43"/>
  <c r="W48" i="43"/>
  <c r="V48" i="43"/>
  <c r="U48" i="43"/>
  <c r="T48" i="43"/>
  <c r="S48" i="43"/>
  <c r="R48" i="43"/>
  <c r="Q48" i="43"/>
  <c r="P48" i="43"/>
  <c r="O48" i="43"/>
  <c r="N48" i="43"/>
  <c r="K48" i="43"/>
  <c r="J48" i="43"/>
  <c r="I48" i="43"/>
  <c r="H48" i="43"/>
  <c r="AB47" i="43"/>
  <c r="AA47" i="43"/>
  <c r="Z47" i="43"/>
  <c r="Y47" i="43"/>
  <c r="X47" i="43"/>
  <c r="W47" i="43"/>
  <c r="V47" i="43"/>
  <c r="U47" i="43"/>
  <c r="T47" i="43"/>
  <c r="S47" i="43"/>
  <c r="R47" i="43"/>
  <c r="Q47" i="43"/>
  <c r="P47" i="43"/>
  <c r="O47" i="43"/>
  <c r="N47" i="43"/>
  <c r="K47" i="43"/>
  <c r="J47" i="43"/>
  <c r="I47" i="43"/>
  <c r="H47" i="43"/>
  <c r="AB46" i="43"/>
  <c r="AA46" i="43"/>
  <c r="Z46" i="43"/>
  <c r="Y46" i="43"/>
  <c r="X46" i="43"/>
  <c r="W46" i="43"/>
  <c r="V46" i="43"/>
  <c r="U46" i="43"/>
  <c r="T46" i="43"/>
  <c r="S46" i="43"/>
  <c r="R46" i="43"/>
  <c r="Q46" i="43"/>
  <c r="P46" i="43"/>
  <c r="O46" i="43"/>
  <c r="N46" i="43"/>
  <c r="K46" i="43"/>
  <c r="J46" i="43"/>
  <c r="I46" i="43"/>
  <c r="H46" i="43"/>
  <c r="AB45" i="43"/>
  <c r="AA45" i="43"/>
  <c r="Z45" i="43"/>
  <c r="Y45" i="43"/>
  <c r="X45" i="43"/>
  <c r="W45" i="43"/>
  <c r="V45" i="43"/>
  <c r="U45" i="43"/>
  <c r="T45" i="43"/>
  <c r="S45" i="43"/>
  <c r="R45" i="43"/>
  <c r="Q45" i="43"/>
  <c r="P45" i="43"/>
  <c r="O45" i="43"/>
  <c r="N45" i="43"/>
  <c r="K45" i="43"/>
  <c r="J45" i="43"/>
  <c r="I45" i="43"/>
  <c r="H45" i="43"/>
  <c r="AB44" i="43"/>
  <c r="AA44" i="43"/>
  <c r="Z44" i="43"/>
  <c r="Y44" i="43"/>
  <c r="X44" i="43"/>
  <c r="W44" i="43"/>
  <c r="V44" i="43"/>
  <c r="U44" i="43"/>
  <c r="T44" i="43"/>
  <c r="S44" i="43"/>
  <c r="R44" i="43"/>
  <c r="Q44" i="43"/>
  <c r="P44" i="43"/>
  <c r="O44" i="43"/>
  <c r="N44" i="43"/>
  <c r="K44" i="43"/>
  <c r="J44" i="43"/>
  <c r="I44" i="43"/>
  <c r="H44" i="43"/>
  <c r="AB43" i="43"/>
  <c r="AA43" i="43"/>
  <c r="Z43" i="43"/>
  <c r="Y43" i="43"/>
  <c r="X43" i="43"/>
  <c r="W43" i="43"/>
  <c r="V43" i="43"/>
  <c r="U43" i="43"/>
  <c r="T43" i="43"/>
  <c r="S43" i="43"/>
  <c r="R43" i="43"/>
  <c r="Q43" i="43"/>
  <c r="P43" i="43"/>
  <c r="O43" i="43"/>
  <c r="N43" i="43"/>
  <c r="K43" i="43"/>
  <c r="J43" i="43"/>
  <c r="I43" i="43"/>
  <c r="H43" i="43"/>
  <c r="AB42" i="43"/>
  <c r="AA42" i="43"/>
  <c r="Z42" i="43"/>
  <c r="Y42" i="43"/>
  <c r="X42" i="43"/>
  <c r="W42" i="43"/>
  <c r="V42" i="43"/>
  <c r="U42" i="43"/>
  <c r="T42" i="43"/>
  <c r="S42" i="43"/>
  <c r="R42" i="43"/>
  <c r="Q42" i="43"/>
  <c r="P42" i="43"/>
  <c r="O42" i="43"/>
  <c r="N42" i="43"/>
  <c r="K42" i="43"/>
  <c r="J42" i="43"/>
  <c r="I42" i="43"/>
  <c r="H42" i="43"/>
  <c r="AB41" i="43"/>
  <c r="AA41" i="43"/>
  <c r="Z41" i="43"/>
  <c r="Y41" i="43"/>
  <c r="X41" i="43"/>
  <c r="W41" i="43"/>
  <c r="V41" i="43"/>
  <c r="U41" i="43"/>
  <c r="T41" i="43"/>
  <c r="S41" i="43"/>
  <c r="R41" i="43"/>
  <c r="Q41" i="43"/>
  <c r="P41" i="43"/>
  <c r="O41" i="43"/>
  <c r="N41" i="43"/>
  <c r="K41" i="43"/>
  <c r="J41" i="43"/>
  <c r="I41" i="43"/>
  <c r="H41" i="43"/>
  <c r="AB40" i="43"/>
  <c r="AA40" i="43"/>
  <c r="Z40" i="43"/>
  <c r="Y40" i="43"/>
  <c r="X40" i="43"/>
  <c r="W40" i="43"/>
  <c r="V40" i="43"/>
  <c r="U40" i="43"/>
  <c r="T40" i="43"/>
  <c r="S40" i="43"/>
  <c r="R40" i="43"/>
  <c r="Q40" i="43"/>
  <c r="P40" i="43"/>
  <c r="O40" i="43"/>
  <c r="N40" i="43"/>
  <c r="K40" i="43"/>
  <c r="J40" i="43"/>
  <c r="I40" i="43"/>
  <c r="H40" i="43"/>
  <c r="AB39" i="43"/>
  <c r="AA39" i="43"/>
  <c r="Z39" i="43"/>
  <c r="Y39" i="43"/>
  <c r="X39" i="43"/>
  <c r="W39" i="43"/>
  <c r="V39" i="43"/>
  <c r="U39" i="43"/>
  <c r="T39" i="43"/>
  <c r="S39" i="43"/>
  <c r="R39" i="43"/>
  <c r="Q39" i="43"/>
  <c r="P39" i="43"/>
  <c r="O39" i="43"/>
  <c r="N39" i="43"/>
  <c r="K39" i="43"/>
  <c r="J39" i="43"/>
  <c r="I39" i="43"/>
  <c r="H39" i="43"/>
  <c r="AB38" i="43"/>
  <c r="AA38" i="43"/>
  <c r="Z38" i="43"/>
  <c r="Y38" i="43"/>
  <c r="X38" i="43"/>
  <c r="W38" i="43"/>
  <c r="V38" i="43"/>
  <c r="U38" i="43"/>
  <c r="T38" i="43"/>
  <c r="S38" i="43"/>
  <c r="R38" i="43"/>
  <c r="Q38" i="43"/>
  <c r="P38" i="43"/>
  <c r="O38" i="43"/>
  <c r="N38" i="43"/>
  <c r="K38" i="43"/>
  <c r="J38" i="43"/>
  <c r="I38" i="43"/>
  <c r="H38" i="43"/>
  <c r="AB37" i="43"/>
  <c r="AA37" i="43"/>
  <c r="Z37" i="43"/>
  <c r="Y37" i="43"/>
  <c r="X37" i="43"/>
  <c r="W37" i="43"/>
  <c r="V37" i="43"/>
  <c r="U37" i="43"/>
  <c r="T37" i="43"/>
  <c r="S37" i="43"/>
  <c r="R37" i="43"/>
  <c r="Q37" i="43"/>
  <c r="P37" i="43"/>
  <c r="O37" i="43"/>
  <c r="N37" i="43"/>
  <c r="K37" i="43"/>
  <c r="J37" i="43"/>
  <c r="I37" i="43"/>
  <c r="H37" i="43"/>
  <c r="AB36" i="43"/>
  <c r="AA36" i="43"/>
  <c r="Z36" i="43"/>
  <c r="Y36" i="43"/>
  <c r="X36" i="43"/>
  <c r="W36" i="43"/>
  <c r="V36" i="43"/>
  <c r="U36" i="43"/>
  <c r="T36" i="43"/>
  <c r="S36" i="43"/>
  <c r="R36" i="43"/>
  <c r="Q36" i="43"/>
  <c r="P36" i="43"/>
  <c r="O36" i="43"/>
  <c r="N36" i="43"/>
  <c r="K36" i="43"/>
  <c r="J36" i="43"/>
  <c r="I36" i="43"/>
  <c r="H36" i="43"/>
  <c r="AB35" i="43"/>
  <c r="AA35" i="43"/>
  <c r="Z35" i="43"/>
  <c r="Y35" i="43"/>
  <c r="X35" i="43"/>
  <c r="W35" i="43"/>
  <c r="V35" i="43"/>
  <c r="U35" i="43"/>
  <c r="T35" i="43"/>
  <c r="S35" i="43"/>
  <c r="R35" i="43"/>
  <c r="Q35" i="43"/>
  <c r="P35" i="43"/>
  <c r="O35" i="43"/>
  <c r="N35" i="43"/>
  <c r="K35" i="43"/>
  <c r="J35" i="43"/>
  <c r="I35" i="43"/>
  <c r="H35" i="43"/>
  <c r="AB34" i="43"/>
  <c r="AA34" i="43"/>
  <c r="Z34" i="43"/>
  <c r="Y34" i="43"/>
  <c r="X34" i="43"/>
  <c r="W34" i="43"/>
  <c r="V34" i="43"/>
  <c r="U34" i="43"/>
  <c r="T34" i="43"/>
  <c r="S34" i="43"/>
  <c r="R34" i="43"/>
  <c r="Q34" i="43"/>
  <c r="P34" i="43"/>
  <c r="O34" i="43"/>
  <c r="N34" i="43"/>
  <c r="K34" i="43"/>
  <c r="J34" i="43"/>
  <c r="I34" i="43"/>
  <c r="H34" i="43"/>
  <c r="AB33" i="43"/>
  <c r="AA33" i="43"/>
  <c r="Z33" i="43"/>
  <c r="Y33" i="43"/>
  <c r="X33" i="43"/>
  <c r="W33" i="43"/>
  <c r="V33" i="43"/>
  <c r="U33" i="43"/>
  <c r="T33" i="43"/>
  <c r="S33" i="43"/>
  <c r="R33" i="43"/>
  <c r="Q33" i="43"/>
  <c r="P33" i="43"/>
  <c r="O33" i="43"/>
  <c r="N33" i="43"/>
  <c r="K33" i="43"/>
  <c r="J33" i="43"/>
  <c r="I33" i="43"/>
  <c r="H33" i="43"/>
  <c r="AB32" i="43"/>
  <c r="AA32" i="43"/>
  <c r="Z32" i="43"/>
  <c r="Y32" i="43"/>
  <c r="X32" i="43"/>
  <c r="W32" i="43"/>
  <c r="V32" i="43"/>
  <c r="U32" i="43"/>
  <c r="T32" i="43"/>
  <c r="S32" i="43"/>
  <c r="R32" i="43"/>
  <c r="Q32" i="43"/>
  <c r="P32" i="43"/>
  <c r="O32" i="43"/>
  <c r="N32" i="43"/>
  <c r="K32" i="43"/>
  <c r="J32" i="43"/>
  <c r="I32" i="43"/>
  <c r="H32" i="43"/>
  <c r="AB31" i="43"/>
  <c r="AA31" i="43"/>
  <c r="Z31" i="43"/>
  <c r="Y31" i="43"/>
  <c r="X31" i="43"/>
  <c r="W31" i="43"/>
  <c r="V31" i="43"/>
  <c r="U31" i="43"/>
  <c r="T31" i="43"/>
  <c r="S31" i="43"/>
  <c r="R31" i="43"/>
  <c r="Q31" i="43"/>
  <c r="P31" i="43"/>
  <c r="O31" i="43"/>
  <c r="N31" i="43"/>
  <c r="K31" i="43"/>
  <c r="J31" i="43"/>
  <c r="I31" i="43"/>
  <c r="H31" i="43"/>
  <c r="AB30" i="43"/>
  <c r="AA30" i="43"/>
  <c r="Z30" i="43"/>
  <c r="Y30" i="43"/>
  <c r="X30" i="43"/>
  <c r="W30" i="43"/>
  <c r="V30" i="43"/>
  <c r="U30" i="43"/>
  <c r="T30" i="43"/>
  <c r="S30" i="43"/>
  <c r="R30" i="43"/>
  <c r="Q30" i="43"/>
  <c r="P30" i="43"/>
  <c r="O30" i="43"/>
  <c r="N30" i="43"/>
  <c r="K30" i="43"/>
  <c r="J30" i="43"/>
  <c r="I30" i="43"/>
  <c r="H30" i="43"/>
  <c r="AB29" i="43"/>
  <c r="AA29" i="43"/>
  <c r="Z29" i="43"/>
  <c r="Y29" i="43"/>
  <c r="X29" i="43"/>
  <c r="W29" i="43"/>
  <c r="V29" i="43"/>
  <c r="U29" i="43"/>
  <c r="T29" i="43"/>
  <c r="S29" i="43"/>
  <c r="R29" i="43"/>
  <c r="Q29" i="43"/>
  <c r="P29" i="43"/>
  <c r="O29" i="43"/>
  <c r="N29" i="43"/>
  <c r="K29" i="43"/>
  <c r="J29" i="43"/>
  <c r="I29" i="43"/>
  <c r="H29" i="43"/>
  <c r="AB28" i="43"/>
  <c r="AA28" i="43"/>
  <c r="Z28" i="43"/>
  <c r="Y28" i="43"/>
  <c r="X28" i="43"/>
  <c r="W28" i="43"/>
  <c r="V28" i="43"/>
  <c r="U28" i="43"/>
  <c r="T28" i="43"/>
  <c r="S28" i="43"/>
  <c r="R28" i="43"/>
  <c r="Q28" i="43"/>
  <c r="P28" i="43"/>
  <c r="O28" i="43"/>
  <c r="N28" i="43"/>
  <c r="K28" i="43"/>
  <c r="J28" i="43"/>
  <c r="I28" i="43"/>
  <c r="H28" i="43"/>
  <c r="AB27" i="43"/>
  <c r="AA27" i="43"/>
  <c r="Z27" i="43"/>
  <c r="Y27" i="43"/>
  <c r="X27" i="43"/>
  <c r="W27" i="43"/>
  <c r="V27" i="43"/>
  <c r="U27" i="43"/>
  <c r="T27" i="43"/>
  <c r="S27" i="43"/>
  <c r="R27" i="43"/>
  <c r="Q27" i="43"/>
  <c r="P27" i="43"/>
  <c r="O27" i="43"/>
  <c r="N27" i="43"/>
  <c r="K27" i="43"/>
  <c r="J27" i="43"/>
  <c r="I27" i="43"/>
  <c r="H27" i="43"/>
  <c r="AB26" i="43"/>
  <c r="AA26" i="43"/>
  <c r="Z26" i="43"/>
  <c r="Y26" i="43"/>
  <c r="X26" i="43"/>
  <c r="W26" i="43"/>
  <c r="V26" i="43"/>
  <c r="U26" i="43"/>
  <c r="T26" i="43"/>
  <c r="S26" i="43"/>
  <c r="R26" i="43"/>
  <c r="Q26" i="43"/>
  <c r="P26" i="43"/>
  <c r="O26" i="43"/>
  <c r="N26" i="43"/>
  <c r="K26" i="43"/>
  <c r="J26" i="43"/>
  <c r="I26" i="43"/>
  <c r="H26" i="43"/>
  <c r="AB25" i="43"/>
  <c r="AA25" i="43"/>
  <c r="Z25" i="43"/>
  <c r="Y25" i="43"/>
  <c r="X25" i="43"/>
  <c r="W25" i="43"/>
  <c r="V25" i="43"/>
  <c r="U25" i="43"/>
  <c r="T25" i="43"/>
  <c r="S25" i="43"/>
  <c r="R25" i="43"/>
  <c r="Q25" i="43"/>
  <c r="P25" i="43"/>
  <c r="O25" i="43"/>
  <c r="N25" i="43"/>
  <c r="K25" i="43"/>
  <c r="J25" i="43"/>
  <c r="I25" i="43"/>
  <c r="H25" i="43"/>
  <c r="AB24" i="43"/>
  <c r="AA24" i="43"/>
  <c r="Z24" i="43"/>
  <c r="Y24" i="43"/>
  <c r="X24" i="43"/>
  <c r="W24" i="43"/>
  <c r="V24" i="43"/>
  <c r="U24" i="43"/>
  <c r="T24" i="43"/>
  <c r="S24" i="43"/>
  <c r="R24" i="43"/>
  <c r="Q24" i="43"/>
  <c r="P24" i="43"/>
  <c r="O24" i="43"/>
  <c r="N24" i="43"/>
  <c r="K24" i="43"/>
  <c r="J24" i="43"/>
  <c r="I24" i="43"/>
  <c r="H24" i="43"/>
  <c r="AB23" i="43"/>
  <c r="AA23" i="43"/>
  <c r="Z23" i="43"/>
  <c r="Y23" i="43"/>
  <c r="X23" i="43"/>
  <c r="W23" i="43"/>
  <c r="V23" i="43"/>
  <c r="U23" i="43"/>
  <c r="T23" i="43"/>
  <c r="S23" i="43"/>
  <c r="R23" i="43"/>
  <c r="Q23" i="43"/>
  <c r="P23" i="43"/>
  <c r="O23" i="43"/>
  <c r="N23" i="43"/>
  <c r="K23" i="43"/>
  <c r="J23" i="43"/>
  <c r="I23" i="43"/>
  <c r="H23" i="43"/>
  <c r="AB22" i="43"/>
  <c r="AA22" i="43"/>
  <c r="Z22" i="43"/>
  <c r="Y22" i="43"/>
  <c r="X22" i="43"/>
  <c r="W22" i="43"/>
  <c r="V22" i="43"/>
  <c r="U22" i="43"/>
  <c r="T22" i="43"/>
  <c r="S22" i="43"/>
  <c r="R22" i="43"/>
  <c r="Q22" i="43"/>
  <c r="P22" i="43"/>
  <c r="O22" i="43"/>
  <c r="N22" i="43"/>
  <c r="K22" i="43"/>
  <c r="J22" i="43"/>
  <c r="I22" i="43"/>
  <c r="H22" i="43"/>
  <c r="AB21" i="43"/>
  <c r="AA21" i="43"/>
  <c r="Z21" i="43"/>
  <c r="Y21" i="43"/>
  <c r="X21" i="43"/>
  <c r="W21" i="43"/>
  <c r="V21" i="43"/>
  <c r="U21" i="43"/>
  <c r="T21" i="43"/>
  <c r="S21" i="43"/>
  <c r="R21" i="43"/>
  <c r="Q21" i="43"/>
  <c r="P21" i="43"/>
  <c r="O21" i="43"/>
  <c r="N21" i="43"/>
  <c r="K21" i="43"/>
  <c r="J21" i="43"/>
  <c r="I21" i="43"/>
  <c r="H21" i="43"/>
  <c r="AB20" i="43"/>
  <c r="AA20" i="43"/>
  <c r="Z20" i="43"/>
  <c r="Y20" i="43"/>
  <c r="X20" i="43"/>
  <c r="W20" i="43"/>
  <c r="V20" i="43"/>
  <c r="U20" i="43"/>
  <c r="T20" i="43"/>
  <c r="S20" i="43"/>
  <c r="R20" i="43"/>
  <c r="Q20" i="43"/>
  <c r="P20" i="43"/>
  <c r="O20" i="43"/>
  <c r="N20" i="43"/>
  <c r="K20" i="43"/>
  <c r="J20" i="43"/>
  <c r="I20" i="43"/>
  <c r="H20" i="43"/>
  <c r="AB19" i="43"/>
  <c r="AA19" i="43"/>
  <c r="Z19" i="43"/>
  <c r="Y19" i="43"/>
  <c r="X19" i="43"/>
  <c r="W19" i="43"/>
  <c r="V19" i="43"/>
  <c r="U19" i="43"/>
  <c r="T19" i="43"/>
  <c r="S19" i="43"/>
  <c r="R19" i="43"/>
  <c r="Q19" i="43"/>
  <c r="P19" i="43"/>
  <c r="O19" i="43"/>
  <c r="N19" i="43"/>
  <c r="K19" i="43"/>
  <c r="J19" i="43"/>
  <c r="I19" i="43"/>
  <c r="H19" i="43"/>
  <c r="AB18" i="43"/>
  <c r="AA18" i="43"/>
  <c r="Z18" i="43"/>
  <c r="Y18" i="43"/>
  <c r="X18" i="43"/>
  <c r="W18" i="43"/>
  <c r="V18" i="43"/>
  <c r="U18" i="43"/>
  <c r="T18" i="43"/>
  <c r="S18" i="43"/>
  <c r="R18" i="43"/>
  <c r="Q18" i="43"/>
  <c r="P18" i="43"/>
  <c r="O18" i="43"/>
  <c r="N18" i="43"/>
  <c r="K18" i="43"/>
  <c r="J18" i="43"/>
  <c r="I18" i="43"/>
  <c r="H18" i="43"/>
  <c r="AB17" i="43"/>
  <c r="AA17" i="43"/>
  <c r="Z17" i="43"/>
  <c r="Y17" i="43"/>
  <c r="X17" i="43"/>
  <c r="W17" i="43"/>
  <c r="V17" i="43"/>
  <c r="U17" i="43"/>
  <c r="T17" i="43"/>
  <c r="S17" i="43"/>
  <c r="R17" i="43"/>
  <c r="Q17" i="43"/>
  <c r="P17" i="43"/>
  <c r="O17" i="43"/>
  <c r="N17" i="43"/>
  <c r="K17" i="43"/>
  <c r="J17" i="43"/>
  <c r="I17" i="43"/>
  <c r="H17" i="43"/>
  <c r="AB16" i="43"/>
  <c r="AA16" i="43"/>
  <c r="Z16" i="43"/>
  <c r="Y16" i="43"/>
  <c r="X16" i="43"/>
  <c r="W16" i="43"/>
  <c r="V16" i="43"/>
  <c r="U16" i="43"/>
  <c r="T16" i="43"/>
  <c r="S16" i="43"/>
  <c r="R16" i="43"/>
  <c r="Q16" i="43"/>
  <c r="P16" i="43"/>
  <c r="O16" i="43"/>
  <c r="N16" i="43"/>
  <c r="K16" i="43"/>
  <c r="J16" i="43"/>
  <c r="I16" i="43"/>
  <c r="H16" i="43"/>
  <c r="AB15" i="43"/>
  <c r="AA15" i="43"/>
  <c r="Z15" i="43"/>
  <c r="Y15" i="43"/>
  <c r="X15" i="43"/>
  <c r="W15" i="43"/>
  <c r="V15" i="43"/>
  <c r="U15" i="43"/>
  <c r="T15" i="43"/>
  <c r="S15" i="43"/>
  <c r="R15" i="43"/>
  <c r="Q15" i="43"/>
  <c r="P15" i="43"/>
  <c r="O15" i="43"/>
  <c r="N15" i="43"/>
  <c r="K15" i="43"/>
  <c r="J15" i="43"/>
  <c r="I15" i="43"/>
  <c r="H15" i="43"/>
  <c r="AB14" i="43"/>
  <c r="AA14" i="43"/>
  <c r="Z14" i="43"/>
  <c r="Y14" i="43"/>
  <c r="X14" i="43"/>
  <c r="W14" i="43"/>
  <c r="V14" i="43"/>
  <c r="U14" i="43"/>
  <c r="T14" i="43"/>
  <c r="S14" i="43"/>
  <c r="R14" i="43"/>
  <c r="Q14" i="43"/>
  <c r="P14" i="43"/>
  <c r="O14" i="43"/>
  <c r="N14" i="43"/>
  <c r="K14" i="43"/>
  <c r="J14" i="43"/>
  <c r="I14" i="43"/>
  <c r="H14" i="43"/>
  <c r="AB13" i="43"/>
  <c r="AA13" i="43"/>
  <c r="Z13" i="43"/>
  <c r="Y13" i="43"/>
  <c r="X13" i="43"/>
  <c r="W13" i="43"/>
  <c r="V13" i="43"/>
  <c r="U13" i="43"/>
  <c r="T13" i="43"/>
  <c r="S13" i="43"/>
  <c r="R13" i="43"/>
  <c r="Q13" i="43"/>
  <c r="P13" i="43"/>
  <c r="O13" i="43"/>
  <c r="N13" i="43"/>
  <c r="K13" i="43"/>
  <c r="J13" i="43"/>
  <c r="I13" i="43"/>
  <c r="H13" i="43"/>
  <c r="AB12" i="43"/>
  <c r="AA12" i="43"/>
  <c r="Z12" i="43"/>
  <c r="Y12" i="43"/>
  <c r="X12" i="43"/>
  <c r="W12" i="43"/>
  <c r="V12" i="43"/>
  <c r="U12" i="43"/>
  <c r="T12" i="43"/>
  <c r="S12" i="43"/>
  <c r="R12" i="43"/>
  <c r="Q12" i="43"/>
  <c r="P12" i="43"/>
  <c r="O12" i="43"/>
  <c r="N12" i="43"/>
  <c r="K12" i="43"/>
  <c r="J12" i="43"/>
  <c r="I12" i="43"/>
  <c r="H12" i="43"/>
  <c r="AB11" i="43"/>
  <c r="AA11" i="43"/>
  <c r="Z11" i="43"/>
  <c r="Y11" i="43"/>
  <c r="X11" i="43"/>
  <c r="W11" i="43"/>
  <c r="V11" i="43"/>
  <c r="U11" i="43"/>
  <c r="T11" i="43"/>
  <c r="S11" i="43"/>
  <c r="R11" i="43"/>
  <c r="Q11" i="43"/>
  <c r="P11" i="43"/>
  <c r="O11" i="43"/>
  <c r="N11" i="43"/>
  <c r="K11" i="43"/>
  <c r="J11" i="43"/>
  <c r="I11" i="43"/>
  <c r="H11" i="43"/>
  <c r="AB10" i="43"/>
  <c r="AA10" i="43"/>
  <c r="Z10" i="43"/>
  <c r="Y10" i="43"/>
  <c r="X10" i="43"/>
  <c r="W10" i="43"/>
  <c r="V10" i="43"/>
  <c r="U10" i="43"/>
  <c r="T10" i="43"/>
  <c r="S10" i="43"/>
  <c r="R10" i="43"/>
  <c r="Q10" i="43"/>
  <c r="P10" i="43"/>
  <c r="O10" i="43"/>
  <c r="N10" i="43"/>
  <c r="K10" i="43"/>
  <c r="J10" i="43"/>
  <c r="I10" i="43"/>
  <c r="H10" i="43"/>
  <c r="AB9" i="43"/>
  <c r="AA9" i="43"/>
  <c r="Z9" i="43"/>
  <c r="Y9" i="43"/>
  <c r="X9" i="43"/>
  <c r="W9" i="43"/>
  <c r="V9" i="43"/>
  <c r="U9" i="43"/>
  <c r="T9" i="43"/>
  <c r="S9" i="43"/>
  <c r="R9" i="43"/>
  <c r="Q9" i="43"/>
  <c r="P9" i="43"/>
  <c r="O9" i="43"/>
  <c r="N9" i="43"/>
  <c r="K9" i="43"/>
  <c r="J9" i="43"/>
  <c r="I9" i="43"/>
  <c r="H9" i="43"/>
  <c r="AB8" i="43"/>
  <c r="AA8" i="43"/>
  <c r="Z8" i="43"/>
  <c r="Y8" i="43"/>
  <c r="X8" i="43"/>
  <c r="W8" i="43"/>
  <c r="V8" i="43"/>
  <c r="U8" i="43"/>
  <c r="T8" i="43"/>
  <c r="S8" i="43"/>
  <c r="R8" i="43"/>
  <c r="Q8" i="43"/>
  <c r="P8" i="43"/>
  <c r="O8" i="43"/>
  <c r="N8" i="43"/>
  <c r="K8" i="43"/>
  <c r="J8" i="43"/>
  <c r="I8" i="43"/>
  <c r="H8" i="43"/>
  <c r="AB7" i="43"/>
  <c r="AA7" i="43"/>
  <c r="Z7" i="43"/>
  <c r="Y7" i="43"/>
  <c r="X7" i="43"/>
  <c r="W7" i="43"/>
  <c r="V7" i="43"/>
  <c r="U7" i="43"/>
  <c r="T7" i="43"/>
  <c r="S7" i="43"/>
  <c r="R7" i="43"/>
  <c r="Q7" i="43"/>
  <c r="P7" i="43"/>
  <c r="O7" i="43"/>
  <c r="N7" i="43"/>
  <c r="K7" i="43"/>
  <c r="J7" i="43"/>
  <c r="I7" i="43"/>
  <c r="H7" i="43"/>
  <c r="AB6" i="43"/>
  <c r="AA6" i="43"/>
  <c r="Z6" i="43"/>
  <c r="Y6" i="43"/>
  <c r="X6" i="43"/>
  <c r="W6" i="43"/>
  <c r="V6" i="43"/>
  <c r="U6" i="43"/>
  <c r="T6" i="43"/>
  <c r="S6" i="43"/>
  <c r="R6" i="43"/>
  <c r="Q6" i="43"/>
  <c r="P6" i="43"/>
  <c r="O6" i="43"/>
  <c r="N6" i="43"/>
  <c r="K6" i="43"/>
  <c r="J6" i="43"/>
  <c r="I6" i="43"/>
  <c r="H6" i="43"/>
  <c r="AB5" i="43"/>
  <c r="AA5" i="43"/>
  <c r="Z5" i="43"/>
  <c r="Y5" i="43"/>
  <c r="X5" i="43"/>
  <c r="W5" i="43"/>
  <c r="V5" i="43"/>
  <c r="U5" i="43"/>
  <c r="T5" i="43"/>
  <c r="S5" i="43"/>
  <c r="R5" i="43"/>
  <c r="Q5" i="43"/>
  <c r="P5" i="43"/>
  <c r="O5" i="43"/>
  <c r="N5" i="43"/>
  <c r="K5" i="43"/>
  <c r="J5" i="43"/>
  <c r="I5" i="43"/>
  <c r="H5" i="43"/>
  <c r="R5" i="18"/>
  <c r="R6" i="18"/>
  <c r="R7" i="18"/>
  <c r="R8" i="18"/>
  <c r="R9" i="18"/>
  <c r="R10" i="18"/>
  <c r="R11" i="18"/>
  <c r="R12" i="18"/>
  <c r="R13" i="18"/>
  <c r="R14" i="18"/>
  <c r="R15" i="18"/>
  <c r="R16" i="18"/>
  <c r="R17" i="18"/>
  <c r="R18" i="18"/>
  <c r="R19" i="18"/>
  <c r="R20" i="18"/>
  <c r="R21" i="18"/>
  <c r="R22" i="18"/>
  <c r="R23" i="18"/>
  <c r="R24" i="18"/>
  <c r="R25" i="18"/>
  <c r="R26" i="18"/>
  <c r="R27" i="18"/>
  <c r="R28" i="18"/>
  <c r="R29" i="18"/>
  <c r="R30" i="18"/>
  <c r="R31" i="18"/>
  <c r="R32" i="18"/>
  <c r="R33" i="18"/>
  <c r="R34" i="18"/>
  <c r="R35" i="18"/>
  <c r="R36" i="18"/>
  <c r="R37" i="18"/>
  <c r="R38" i="18"/>
  <c r="R39" i="18"/>
  <c r="R40" i="18"/>
  <c r="R41" i="18"/>
  <c r="R42" i="18"/>
  <c r="R43" i="18"/>
  <c r="R44" i="18"/>
  <c r="R45" i="18"/>
  <c r="R46" i="18"/>
  <c r="R47" i="18"/>
  <c r="R48" i="18"/>
  <c r="R49" i="18"/>
  <c r="R50" i="18"/>
  <c r="R51" i="18"/>
  <c r="R52" i="18"/>
  <c r="R53" i="18"/>
  <c r="R54" i="18"/>
  <c r="R55" i="18"/>
  <c r="I123" i="43" l="1"/>
  <c r="H123" i="43"/>
  <c r="J123" i="43"/>
  <c r="K123" i="43"/>
  <c r="L6" i="5"/>
  <c r="L7" i="5"/>
  <c r="L8" i="5"/>
  <c r="L9" i="5"/>
  <c r="L10" i="5"/>
  <c r="L11" i="5"/>
  <c r="L12" i="5"/>
  <c r="L13" i="5"/>
  <c r="L5" i="5"/>
  <c r="H6" i="18" l="1"/>
  <c r="I6" i="18"/>
  <c r="J6" i="18"/>
  <c r="K6" i="18"/>
  <c r="N6" i="18"/>
  <c r="O6" i="18"/>
  <c r="P6" i="18"/>
  <c r="Q6" i="18"/>
  <c r="S6" i="18"/>
  <c r="T6" i="18"/>
  <c r="U6" i="18"/>
  <c r="V6" i="18"/>
  <c r="W6" i="18"/>
  <c r="X6" i="18"/>
  <c r="Y6" i="18"/>
  <c r="Z6" i="18"/>
  <c r="AA6" i="18"/>
  <c r="AB6" i="18"/>
  <c r="H7" i="18"/>
  <c r="I7" i="18"/>
  <c r="J7" i="18"/>
  <c r="K7" i="18"/>
  <c r="N7" i="18"/>
  <c r="O7" i="18"/>
  <c r="P7" i="18"/>
  <c r="Q7" i="18"/>
  <c r="S7" i="18"/>
  <c r="T7" i="18"/>
  <c r="U7" i="18"/>
  <c r="V7" i="18"/>
  <c r="W7" i="18"/>
  <c r="X7" i="18"/>
  <c r="Y7" i="18"/>
  <c r="Z7" i="18"/>
  <c r="AA7" i="18"/>
  <c r="AB7" i="18"/>
  <c r="H8" i="18"/>
  <c r="I8" i="18"/>
  <c r="J8" i="18"/>
  <c r="K8" i="18"/>
  <c r="N8" i="18"/>
  <c r="O8" i="18"/>
  <c r="P8" i="18"/>
  <c r="Q8" i="18"/>
  <c r="S8" i="18"/>
  <c r="T8" i="18"/>
  <c r="U8" i="18"/>
  <c r="V8" i="18"/>
  <c r="W8" i="18"/>
  <c r="X8" i="18"/>
  <c r="Y8" i="18"/>
  <c r="Z8" i="18"/>
  <c r="AA8" i="18"/>
  <c r="AB8" i="18"/>
  <c r="H9" i="18"/>
  <c r="I9" i="18"/>
  <c r="J9" i="18"/>
  <c r="K9" i="18"/>
  <c r="N9" i="18"/>
  <c r="O9" i="18"/>
  <c r="P9" i="18"/>
  <c r="Q9" i="18"/>
  <c r="S9" i="18"/>
  <c r="T9" i="18"/>
  <c r="U9" i="18"/>
  <c r="V9" i="18"/>
  <c r="W9" i="18"/>
  <c r="X9" i="18"/>
  <c r="Y9" i="18"/>
  <c r="Z9" i="18"/>
  <c r="AA9" i="18"/>
  <c r="AB9" i="18"/>
  <c r="H10" i="18"/>
  <c r="I10" i="18"/>
  <c r="J10" i="18"/>
  <c r="K10" i="18"/>
  <c r="N10" i="18"/>
  <c r="O10" i="18"/>
  <c r="P10" i="18"/>
  <c r="Q10" i="18"/>
  <c r="S10" i="18"/>
  <c r="T10" i="18"/>
  <c r="U10" i="18"/>
  <c r="V10" i="18"/>
  <c r="W10" i="18"/>
  <c r="X10" i="18"/>
  <c r="Y10" i="18"/>
  <c r="Z10" i="18"/>
  <c r="AA10" i="18"/>
  <c r="AB10" i="18"/>
  <c r="H11" i="18"/>
  <c r="I11" i="18"/>
  <c r="J11" i="18"/>
  <c r="K11" i="18"/>
  <c r="N11" i="18"/>
  <c r="O11" i="18"/>
  <c r="P11" i="18"/>
  <c r="Q11" i="18"/>
  <c r="S11" i="18"/>
  <c r="T11" i="18"/>
  <c r="U11" i="18"/>
  <c r="V11" i="18"/>
  <c r="W11" i="18"/>
  <c r="X11" i="18"/>
  <c r="Y11" i="18"/>
  <c r="Z11" i="18"/>
  <c r="AA11" i="18"/>
  <c r="AB11" i="18"/>
  <c r="H12" i="18"/>
  <c r="I12" i="18"/>
  <c r="J12" i="18"/>
  <c r="K12" i="18"/>
  <c r="N12" i="18"/>
  <c r="O12" i="18"/>
  <c r="P12" i="18"/>
  <c r="Q12" i="18"/>
  <c r="S12" i="18"/>
  <c r="T12" i="18"/>
  <c r="U12" i="18"/>
  <c r="V12" i="18"/>
  <c r="W12" i="18"/>
  <c r="X12" i="18"/>
  <c r="Y12" i="18"/>
  <c r="Z12" i="18"/>
  <c r="AA12" i="18"/>
  <c r="AB12" i="18"/>
  <c r="H13" i="18"/>
  <c r="I13" i="18"/>
  <c r="J13" i="18"/>
  <c r="K13" i="18"/>
  <c r="N13" i="18"/>
  <c r="O13" i="18"/>
  <c r="P13" i="18"/>
  <c r="Q13" i="18"/>
  <c r="S13" i="18"/>
  <c r="T13" i="18"/>
  <c r="U13" i="18"/>
  <c r="V13" i="18"/>
  <c r="W13" i="18"/>
  <c r="X13" i="18"/>
  <c r="Y13" i="18"/>
  <c r="Z13" i="18"/>
  <c r="AA13" i="18"/>
  <c r="AB13" i="18"/>
  <c r="H14" i="18"/>
  <c r="I14" i="18"/>
  <c r="J14" i="18"/>
  <c r="K14" i="18"/>
  <c r="N14" i="18"/>
  <c r="O14" i="18"/>
  <c r="P14" i="18"/>
  <c r="Q14" i="18"/>
  <c r="S14" i="18"/>
  <c r="T14" i="18"/>
  <c r="U14" i="18"/>
  <c r="V14" i="18"/>
  <c r="W14" i="18"/>
  <c r="X14" i="18"/>
  <c r="Y14" i="18"/>
  <c r="Z14" i="18"/>
  <c r="AA14" i="18"/>
  <c r="AB14" i="18"/>
  <c r="H15" i="18"/>
  <c r="I15" i="18"/>
  <c r="J15" i="18"/>
  <c r="K15" i="18"/>
  <c r="N15" i="18"/>
  <c r="O15" i="18"/>
  <c r="P15" i="18"/>
  <c r="Q15" i="18"/>
  <c r="S15" i="18"/>
  <c r="T15" i="18"/>
  <c r="U15" i="18"/>
  <c r="V15" i="18"/>
  <c r="W15" i="18"/>
  <c r="X15" i="18"/>
  <c r="Y15" i="18"/>
  <c r="Z15" i="18"/>
  <c r="AA15" i="18"/>
  <c r="AB15" i="18"/>
  <c r="H16" i="18"/>
  <c r="I16" i="18"/>
  <c r="J16" i="18"/>
  <c r="K16" i="18"/>
  <c r="N16" i="18"/>
  <c r="O16" i="18"/>
  <c r="P16" i="18"/>
  <c r="Q16" i="18"/>
  <c r="S16" i="18"/>
  <c r="T16" i="18"/>
  <c r="U16" i="18"/>
  <c r="V16" i="18"/>
  <c r="W16" i="18"/>
  <c r="X16" i="18"/>
  <c r="Y16" i="18"/>
  <c r="Z16" i="18"/>
  <c r="AA16" i="18"/>
  <c r="AB16" i="18"/>
  <c r="H17" i="18"/>
  <c r="I17" i="18"/>
  <c r="J17" i="18"/>
  <c r="K17" i="18"/>
  <c r="N17" i="18"/>
  <c r="O17" i="18"/>
  <c r="P17" i="18"/>
  <c r="Q17" i="18"/>
  <c r="S17" i="18"/>
  <c r="T17" i="18"/>
  <c r="U17" i="18"/>
  <c r="V17" i="18"/>
  <c r="W17" i="18"/>
  <c r="X17" i="18"/>
  <c r="Y17" i="18"/>
  <c r="Z17" i="18"/>
  <c r="AA17" i="18"/>
  <c r="AB17" i="18"/>
  <c r="H18" i="18"/>
  <c r="I18" i="18"/>
  <c r="J18" i="18"/>
  <c r="K18" i="18"/>
  <c r="N18" i="18"/>
  <c r="O18" i="18"/>
  <c r="P18" i="18"/>
  <c r="Q18" i="18"/>
  <c r="S18" i="18"/>
  <c r="T18" i="18"/>
  <c r="U18" i="18"/>
  <c r="V18" i="18"/>
  <c r="W18" i="18"/>
  <c r="X18" i="18"/>
  <c r="Y18" i="18"/>
  <c r="Z18" i="18"/>
  <c r="AA18" i="18"/>
  <c r="AB18" i="18"/>
  <c r="H19" i="18"/>
  <c r="I19" i="18"/>
  <c r="J19" i="18"/>
  <c r="K19" i="18"/>
  <c r="N19" i="18"/>
  <c r="O19" i="18"/>
  <c r="P19" i="18"/>
  <c r="Q19" i="18"/>
  <c r="S19" i="18"/>
  <c r="T19" i="18"/>
  <c r="U19" i="18"/>
  <c r="V19" i="18"/>
  <c r="W19" i="18"/>
  <c r="X19" i="18"/>
  <c r="Y19" i="18"/>
  <c r="Z19" i="18"/>
  <c r="AA19" i="18"/>
  <c r="AB19" i="18"/>
  <c r="H20" i="18"/>
  <c r="I20" i="18"/>
  <c r="J20" i="18"/>
  <c r="K20" i="18"/>
  <c r="N20" i="18"/>
  <c r="O20" i="18"/>
  <c r="P20" i="18"/>
  <c r="Q20" i="18"/>
  <c r="S20" i="18"/>
  <c r="T20" i="18"/>
  <c r="U20" i="18"/>
  <c r="V20" i="18"/>
  <c r="W20" i="18"/>
  <c r="X20" i="18"/>
  <c r="Y20" i="18"/>
  <c r="Z20" i="18"/>
  <c r="AA20" i="18"/>
  <c r="AB20" i="18"/>
  <c r="H21" i="18"/>
  <c r="I21" i="18"/>
  <c r="J21" i="18"/>
  <c r="K21" i="18"/>
  <c r="N21" i="18"/>
  <c r="O21" i="18"/>
  <c r="P21" i="18"/>
  <c r="Q21" i="18"/>
  <c r="S21" i="18"/>
  <c r="T21" i="18"/>
  <c r="U21" i="18"/>
  <c r="V21" i="18"/>
  <c r="W21" i="18"/>
  <c r="X21" i="18"/>
  <c r="Y21" i="18"/>
  <c r="Z21" i="18"/>
  <c r="AA21" i="18"/>
  <c r="AB21" i="18"/>
  <c r="H22" i="18"/>
  <c r="I22" i="18"/>
  <c r="J22" i="18"/>
  <c r="K22" i="18"/>
  <c r="N22" i="18"/>
  <c r="O22" i="18"/>
  <c r="P22" i="18"/>
  <c r="Q22" i="18"/>
  <c r="S22" i="18"/>
  <c r="T22" i="18"/>
  <c r="U22" i="18"/>
  <c r="V22" i="18"/>
  <c r="W22" i="18"/>
  <c r="X22" i="18"/>
  <c r="Y22" i="18"/>
  <c r="Z22" i="18"/>
  <c r="AA22" i="18"/>
  <c r="AB22" i="18"/>
  <c r="H23" i="18"/>
  <c r="I23" i="18"/>
  <c r="J23" i="18"/>
  <c r="K23" i="18"/>
  <c r="N23" i="18"/>
  <c r="O23" i="18"/>
  <c r="P23" i="18"/>
  <c r="Q23" i="18"/>
  <c r="S23" i="18"/>
  <c r="T23" i="18"/>
  <c r="U23" i="18"/>
  <c r="V23" i="18"/>
  <c r="W23" i="18"/>
  <c r="X23" i="18"/>
  <c r="Y23" i="18"/>
  <c r="Z23" i="18"/>
  <c r="AA23" i="18"/>
  <c r="AB23" i="18"/>
  <c r="H24" i="18"/>
  <c r="I24" i="18"/>
  <c r="J24" i="18"/>
  <c r="K24" i="18"/>
  <c r="N24" i="18"/>
  <c r="O24" i="18"/>
  <c r="P24" i="18"/>
  <c r="Q24" i="18"/>
  <c r="S24" i="18"/>
  <c r="T24" i="18"/>
  <c r="U24" i="18"/>
  <c r="V24" i="18"/>
  <c r="W24" i="18"/>
  <c r="X24" i="18"/>
  <c r="Y24" i="18"/>
  <c r="Z24" i="18"/>
  <c r="AA24" i="18"/>
  <c r="AB24" i="18"/>
  <c r="H25" i="18"/>
  <c r="I25" i="18"/>
  <c r="J25" i="18"/>
  <c r="K25" i="18"/>
  <c r="N25" i="18"/>
  <c r="O25" i="18"/>
  <c r="P25" i="18"/>
  <c r="Q25" i="18"/>
  <c r="S25" i="18"/>
  <c r="T25" i="18"/>
  <c r="U25" i="18"/>
  <c r="V25" i="18"/>
  <c r="W25" i="18"/>
  <c r="X25" i="18"/>
  <c r="Y25" i="18"/>
  <c r="Z25" i="18"/>
  <c r="AA25" i="18"/>
  <c r="AB25" i="18"/>
  <c r="H26" i="18"/>
  <c r="I26" i="18"/>
  <c r="J26" i="18"/>
  <c r="K26" i="18"/>
  <c r="N26" i="18"/>
  <c r="O26" i="18"/>
  <c r="P26" i="18"/>
  <c r="Q26" i="18"/>
  <c r="S26" i="18"/>
  <c r="T26" i="18"/>
  <c r="U26" i="18"/>
  <c r="V26" i="18"/>
  <c r="W26" i="18"/>
  <c r="X26" i="18"/>
  <c r="Y26" i="18"/>
  <c r="Z26" i="18"/>
  <c r="AA26" i="18"/>
  <c r="AB26" i="18"/>
  <c r="H27" i="18"/>
  <c r="I27" i="18"/>
  <c r="J27" i="18"/>
  <c r="K27" i="18"/>
  <c r="N27" i="18"/>
  <c r="O27" i="18"/>
  <c r="P27" i="18"/>
  <c r="Q27" i="18"/>
  <c r="S27" i="18"/>
  <c r="T27" i="18"/>
  <c r="U27" i="18"/>
  <c r="V27" i="18"/>
  <c r="W27" i="18"/>
  <c r="X27" i="18"/>
  <c r="Y27" i="18"/>
  <c r="Z27" i="18"/>
  <c r="AA27" i="18"/>
  <c r="AB27" i="18"/>
  <c r="H28" i="18"/>
  <c r="I28" i="18"/>
  <c r="J28" i="18"/>
  <c r="K28" i="18"/>
  <c r="N28" i="18"/>
  <c r="O28" i="18"/>
  <c r="P28" i="18"/>
  <c r="Q28" i="18"/>
  <c r="S28" i="18"/>
  <c r="T28" i="18"/>
  <c r="U28" i="18"/>
  <c r="V28" i="18"/>
  <c r="W28" i="18"/>
  <c r="X28" i="18"/>
  <c r="Y28" i="18"/>
  <c r="Z28" i="18"/>
  <c r="AA28" i="18"/>
  <c r="AB28" i="18"/>
  <c r="H29" i="18"/>
  <c r="I29" i="18"/>
  <c r="J29" i="18"/>
  <c r="K29" i="18"/>
  <c r="N29" i="18"/>
  <c r="O29" i="18"/>
  <c r="P29" i="18"/>
  <c r="Q29" i="18"/>
  <c r="S29" i="18"/>
  <c r="T29" i="18"/>
  <c r="U29" i="18"/>
  <c r="V29" i="18"/>
  <c r="W29" i="18"/>
  <c r="X29" i="18"/>
  <c r="Y29" i="18"/>
  <c r="Z29" i="18"/>
  <c r="AA29" i="18"/>
  <c r="AB29" i="18"/>
  <c r="H30" i="18"/>
  <c r="I30" i="18"/>
  <c r="J30" i="18"/>
  <c r="K30" i="18"/>
  <c r="N30" i="18"/>
  <c r="O30" i="18"/>
  <c r="P30" i="18"/>
  <c r="Q30" i="18"/>
  <c r="S30" i="18"/>
  <c r="T30" i="18"/>
  <c r="U30" i="18"/>
  <c r="V30" i="18"/>
  <c r="W30" i="18"/>
  <c r="X30" i="18"/>
  <c r="Y30" i="18"/>
  <c r="Z30" i="18"/>
  <c r="AA30" i="18"/>
  <c r="AB30" i="18"/>
  <c r="H31" i="18"/>
  <c r="I31" i="18"/>
  <c r="J31" i="18"/>
  <c r="K31" i="18"/>
  <c r="N31" i="18"/>
  <c r="O31" i="18"/>
  <c r="P31" i="18"/>
  <c r="Q31" i="18"/>
  <c r="S31" i="18"/>
  <c r="T31" i="18"/>
  <c r="U31" i="18"/>
  <c r="V31" i="18"/>
  <c r="W31" i="18"/>
  <c r="X31" i="18"/>
  <c r="Y31" i="18"/>
  <c r="Z31" i="18"/>
  <c r="AA31" i="18"/>
  <c r="AB31" i="18"/>
  <c r="H32" i="18"/>
  <c r="I32" i="18"/>
  <c r="J32" i="18"/>
  <c r="K32" i="18"/>
  <c r="N32" i="18"/>
  <c r="O32" i="18"/>
  <c r="P32" i="18"/>
  <c r="Q32" i="18"/>
  <c r="S32" i="18"/>
  <c r="T32" i="18"/>
  <c r="U32" i="18"/>
  <c r="V32" i="18"/>
  <c r="W32" i="18"/>
  <c r="X32" i="18"/>
  <c r="Y32" i="18"/>
  <c r="Z32" i="18"/>
  <c r="AA32" i="18"/>
  <c r="AB32" i="18"/>
  <c r="H33" i="18"/>
  <c r="I33" i="18"/>
  <c r="J33" i="18"/>
  <c r="K33" i="18"/>
  <c r="N33" i="18"/>
  <c r="O33" i="18"/>
  <c r="P33" i="18"/>
  <c r="Q33" i="18"/>
  <c r="S33" i="18"/>
  <c r="T33" i="18"/>
  <c r="U33" i="18"/>
  <c r="V33" i="18"/>
  <c r="W33" i="18"/>
  <c r="X33" i="18"/>
  <c r="Y33" i="18"/>
  <c r="Z33" i="18"/>
  <c r="AA33" i="18"/>
  <c r="AB33" i="18"/>
  <c r="H34" i="18"/>
  <c r="I34" i="18"/>
  <c r="J34" i="18"/>
  <c r="K34" i="18"/>
  <c r="N34" i="18"/>
  <c r="O34" i="18"/>
  <c r="P34" i="18"/>
  <c r="Q34" i="18"/>
  <c r="S34" i="18"/>
  <c r="T34" i="18"/>
  <c r="U34" i="18"/>
  <c r="V34" i="18"/>
  <c r="W34" i="18"/>
  <c r="X34" i="18"/>
  <c r="Y34" i="18"/>
  <c r="Z34" i="18"/>
  <c r="AA34" i="18"/>
  <c r="AB34" i="18"/>
  <c r="H35" i="18"/>
  <c r="I35" i="18"/>
  <c r="J35" i="18"/>
  <c r="K35" i="18"/>
  <c r="N35" i="18"/>
  <c r="O35" i="18"/>
  <c r="P35" i="18"/>
  <c r="Q35" i="18"/>
  <c r="S35" i="18"/>
  <c r="T35" i="18"/>
  <c r="U35" i="18"/>
  <c r="V35" i="18"/>
  <c r="W35" i="18"/>
  <c r="X35" i="18"/>
  <c r="Y35" i="18"/>
  <c r="Z35" i="18"/>
  <c r="AA35" i="18"/>
  <c r="AB35" i="18"/>
  <c r="H36" i="18"/>
  <c r="I36" i="18"/>
  <c r="J36" i="18"/>
  <c r="K36" i="18"/>
  <c r="N36" i="18"/>
  <c r="O36" i="18"/>
  <c r="P36" i="18"/>
  <c r="Q36" i="18"/>
  <c r="S36" i="18"/>
  <c r="T36" i="18"/>
  <c r="U36" i="18"/>
  <c r="V36" i="18"/>
  <c r="W36" i="18"/>
  <c r="X36" i="18"/>
  <c r="Y36" i="18"/>
  <c r="Z36" i="18"/>
  <c r="AA36" i="18"/>
  <c r="AB36" i="18"/>
  <c r="H37" i="18"/>
  <c r="I37" i="18"/>
  <c r="J37" i="18"/>
  <c r="K37" i="18"/>
  <c r="N37" i="18"/>
  <c r="O37" i="18"/>
  <c r="P37" i="18"/>
  <c r="Q37" i="18"/>
  <c r="S37" i="18"/>
  <c r="T37" i="18"/>
  <c r="U37" i="18"/>
  <c r="V37" i="18"/>
  <c r="W37" i="18"/>
  <c r="X37" i="18"/>
  <c r="Y37" i="18"/>
  <c r="Z37" i="18"/>
  <c r="AA37" i="18"/>
  <c r="AB37" i="18"/>
  <c r="H38" i="18"/>
  <c r="I38" i="18"/>
  <c r="J38" i="18"/>
  <c r="K38" i="18"/>
  <c r="N38" i="18"/>
  <c r="O38" i="18"/>
  <c r="P38" i="18"/>
  <c r="Q38" i="18"/>
  <c r="S38" i="18"/>
  <c r="T38" i="18"/>
  <c r="U38" i="18"/>
  <c r="V38" i="18"/>
  <c r="W38" i="18"/>
  <c r="X38" i="18"/>
  <c r="Y38" i="18"/>
  <c r="Z38" i="18"/>
  <c r="AA38" i="18"/>
  <c r="AB38" i="18"/>
  <c r="H39" i="18"/>
  <c r="I39" i="18"/>
  <c r="J39" i="18"/>
  <c r="K39" i="18"/>
  <c r="N39" i="18"/>
  <c r="O39" i="18"/>
  <c r="P39" i="18"/>
  <c r="Q39" i="18"/>
  <c r="S39" i="18"/>
  <c r="T39" i="18"/>
  <c r="U39" i="18"/>
  <c r="V39" i="18"/>
  <c r="W39" i="18"/>
  <c r="X39" i="18"/>
  <c r="Y39" i="18"/>
  <c r="Z39" i="18"/>
  <c r="AA39" i="18"/>
  <c r="AB39" i="18"/>
  <c r="H40" i="18"/>
  <c r="I40" i="18"/>
  <c r="J40" i="18"/>
  <c r="K40" i="18"/>
  <c r="N40" i="18"/>
  <c r="O40" i="18"/>
  <c r="P40" i="18"/>
  <c r="Q40" i="18"/>
  <c r="S40" i="18"/>
  <c r="T40" i="18"/>
  <c r="U40" i="18"/>
  <c r="V40" i="18"/>
  <c r="W40" i="18"/>
  <c r="X40" i="18"/>
  <c r="Y40" i="18"/>
  <c r="Z40" i="18"/>
  <c r="AA40" i="18"/>
  <c r="AB40" i="18"/>
  <c r="H41" i="18"/>
  <c r="I41" i="18"/>
  <c r="J41" i="18"/>
  <c r="K41" i="18"/>
  <c r="N41" i="18"/>
  <c r="O41" i="18"/>
  <c r="P41" i="18"/>
  <c r="Q41" i="18"/>
  <c r="S41" i="18"/>
  <c r="T41" i="18"/>
  <c r="U41" i="18"/>
  <c r="V41" i="18"/>
  <c r="W41" i="18"/>
  <c r="X41" i="18"/>
  <c r="Y41" i="18"/>
  <c r="Z41" i="18"/>
  <c r="AA41" i="18"/>
  <c r="AB41" i="18"/>
  <c r="H42" i="18"/>
  <c r="I42" i="18"/>
  <c r="J42" i="18"/>
  <c r="K42" i="18"/>
  <c r="N42" i="18"/>
  <c r="O42" i="18"/>
  <c r="P42" i="18"/>
  <c r="Q42" i="18"/>
  <c r="S42" i="18"/>
  <c r="T42" i="18"/>
  <c r="U42" i="18"/>
  <c r="V42" i="18"/>
  <c r="W42" i="18"/>
  <c r="X42" i="18"/>
  <c r="Y42" i="18"/>
  <c r="Z42" i="18"/>
  <c r="AA42" i="18"/>
  <c r="AB42" i="18"/>
  <c r="H43" i="18"/>
  <c r="I43" i="18"/>
  <c r="J43" i="18"/>
  <c r="K43" i="18"/>
  <c r="N43" i="18"/>
  <c r="O43" i="18"/>
  <c r="P43" i="18"/>
  <c r="Q43" i="18"/>
  <c r="S43" i="18"/>
  <c r="T43" i="18"/>
  <c r="U43" i="18"/>
  <c r="V43" i="18"/>
  <c r="W43" i="18"/>
  <c r="X43" i="18"/>
  <c r="Y43" i="18"/>
  <c r="Z43" i="18"/>
  <c r="AA43" i="18"/>
  <c r="AB43" i="18"/>
  <c r="H44" i="18"/>
  <c r="I44" i="18"/>
  <c r="J44" i="18"/>
  <c r="K44" i="18"/>
  <c r="N44" i="18"/>
  <c r="O44" i="18"/>
  <c r="P44" i="18"/>
  <c r="Q44" i="18"/>
  <c r="S44" i="18"/>
  <c r="T44" i="18"/>
  <c r="U44" i="18"/>
  <c r="V44" i="18"/>
  <c r="W44" i="18"/>
  <c r="X44" i="18"/>
  <c r="Y44" i="18"/>
  <c r="Z44" i="18"/>
  <c r="AA44" i="18"/>
  <c r="AB44" i="18"/>
  <c r="H45" i="18"/>
  <c r="I45" i="18"/>
  <c r="J45" i="18"/>
  <c r="K45" i="18"/>
  <c r="N45" i="18"/>
  <c r="O45" i="18"/>
  <c r="P45" i="18"/>
  <c r="Q45" i="18"/>
  <c r="S45" i="18"/>
  <c r="T45" i="18"/>
  <c r="U45" i="18"/>
  <c r="V45" i="18"/>
  <c r="W45" i="18"/>
  <c r="X45" i="18"/>
  <c r="Y45" i="18"/>
  <c r="Z45" i="18"/>
  <c r="AA45" i="18"/>
  <c r="AB45" i="18"/>
  <c r="H46" i="18"/>
  <c r="I46" i="18"/>
  <c r="J46" i="18"/>
  <c r="K46" i="18"/>
  <c r="N46" i="18"/>
  <c r="O46" i="18"/>
  <c r="P46" i="18"/>
  <c r="Q46" i="18"/>
  <c r="S46" i="18"/>
  <c r="T46" i="18"/>
  <c r="U46" i="18"/>
  <c r="V46" i="18"/>
  <c r="W46" i="18"/>
  <c r="X46" i="18"/>
  <c r="Y46" i="18"/>
  <c r="Z46" i="18"/>
  <c r="AA46" i="18"/>
  <c r="AB46" i="18"/>
  <c r="H47" i="18"/>
  <c r="I47" i="18"/>
  <c r="J47" i="18"/>
  <c r="K47" i="18"/>
  <c r="N47" i="18"/>
  <c r="O47" i="18"/>
  <c r="P47" i="18"/>
  <c r="Q47" i="18"/>
  <c r="S47" i="18"/>
  <c r="T47" i="18"/>
  <c r="U47" i="18"/>
  <c r="V47" i="18"/>
  <c r="W47" i="18"/>
  <c r="X47" i="18"/>
  <c r="Y47" i="18"/>
  <c r="Z47" i="18"/>
  <c r="AA47" i="18"/>
  <c r="AB47" i="18"/>
  <c r="H48" i="18"/>
  <c r="I48" i="18"/>
  <c r="J48" i="18"/>
  <c r="K48" i="18"/>
  <c r="N48" i="18"/>
  <c r="O48" i="18"/>
  <c r="P48" i="18"/>
  <c r="Q48" i="18"/>
  <c r="S48" i="18"/>
  <c r="T48" i="18"/>
  <c r="U48" i="18"/>
  <c r="V48" i="18"/>
  <c r="W48" i="18"/>
  <c r="X48" i="18"/>
  <c r="Y48" i="18"/>
  <c r="Z48" i="18"/>
  <c r="AA48" i="18"/>
  <c r="AB48" i="18"/>
  <c r="H49" i="18"/>
  <c r="I49" i="18"/>
  <c r="J49" i="18"/>
  <c r="K49" i="18"/>
  <c r="N49" i="18"/>
  <c r="O49" i="18"/>
  <c r="P49" i="18"/>
  <c r="Q49" i="18"/>
  <c r="S49" i="18"/>
  <c r="T49" i="18"/>
  <c r="U49" i="18"/>
  <c r="V49" i="18"/>
  <c r="W49" i="18"/>
  <c r="X49" i="18"/>
  <c r="Y49" i="18"/>
  <c r="Z49" i="18"/>
  <c r="AA49" i="18"/>
  <c r="AB49" i="18"/>
  <c r="H50" i="18"/>
  <c r="I50" i="18"/>
  <c r="J50" i="18"/>
  <c r="K50" i="18"/>
  <c r="N50" i="18"/>
  <c r="O50" i="18"/>
  <c r="P50" i="18"/>
  <c r="Q50" i="18"/>
  <c r="S50" i="18"/>
  <c r="T50" i="18"/>
  <c r="U50" i="18"/>
  <c r="V50" i="18"/>
  <c r="W50" i="18"/>
  <c r="X50" i="18"/>
  <c r="Y50" i="18"/>
  <c r="Z50" i="18"/>
  <c r="AA50" i="18"/>
  <c r="AB50" i="18"/>
  <c r="H51" i="18"/>
  <c r="I51" i="18"/>
  <c r="J51" i="18"/>
  <c r="K51" i="18"/>
  <c r="N51" i="18"/>
  <c r="O51" i="18"/>
  <c r="P51" i="18"/>
  <c r="Q51" i="18"/>
  <c r="S51" i="18"/>
  <c r="T51" i="18"/>
  <c r="U51" i="18"/>
  <c r="V51" i="18"/>
  <c r="W51" i="18"/>
  <c r="X51" i="18"/>
  <c r="Y51" i="18"/>
  <c r="Z51" i="18"/>
  <c r="AA51" i="18"/>
  <c r="AB51" i="18"/>
  <c r="H52" i="18"/>
  <c r="I52" i="18"/>
  <c r="J52" i="18"/>
  <c r="K52" i="18"/>
  <c r="N52" i="18"/>
  <c r="O52" i="18"/>
  <c r="P52" i="18"/>
  <c r="Q52" i="18"/>
  <c r="S52" i="18"/>
  <c r="T52" i="18"/>
  <c r="U52" i="18"/>
  <c r="V52" i="18"/>
  <c r="W52" i="18"/>
  <c r="X52" i="18"/>
  <c r="Y52" i="18"/>
  <c r="Z52" i="18"/>
  <c r="AA52" i="18"/>
  <c r="AB52" i="18"/>
  <c r="H53" i="18"/>
  <c r="I53" i="18"/>
  <c r="J53" i="18"/>
  <c r="K53" i="18"/>
  <c r="N53" i="18"/>
  <c r="O53" i="18"/>
  <c r="P53" i="18"/>
  <c r="Q53" i="18"/>
  <c r="S53" i="18"/>
  <c r="T53" i="18"/>
  <c r="U53" i="18"/>
  <c r="V53" i="18"/>
  <c r="W53" i="18"/>
  <c r="X53" i="18"/>
  <c r="Y53" i="18"/>
  <c r="Z53" i="18"/>
  <c r="AA53" i="18"/>
  <c r="AB53" i="18"/>
  <c r="H54" i="18"/>
  <c r="I54" i="18"/>
  <c r="J54" i="18"/>
  <c r="K54" i="18"/>
  <c r="N54" i="18"/>
  <c r="O54" i="18"/>
  <c r="P54" i="18"/>
  <c r="Q54" i="18"/>
  <c r="S54" i="18"/>
  <c r="T54" i="18"/>
  <c r="U54" i="18"/>
  <c r="V54" i="18"/>
  <c r="W54" i="18"/>
  <c r="X54" i="18"/>
  <c r="Y54" i="18"/>
  <c r="Z54" i="18"/>
  <c r="AA54" i="18"/>
  <c r="AB54" i="18"/>
  <c r="H55" i="18"/>
  <c r="I55" i="18"/>
  <c r="J55" i="18"/>
  <c r="K55" i="18"/>
  <c r="N55" i="18"/>
  <c r="O55" i="18"/>
  <c r="P55" i="18"/>
  <c r="Q55" i="18"/>
  <c r="S55" i="18"/>
  <c r="T55" i="18"/>
  <c r="U55" i="18"/>
  <c r="V55" i="18"/>
  <c r="W55" i="18"/>
  <c r="X55" i="18"/>
  <c r="Y55" i="18"/>
  <c r="Z55" i="18"/>
  <c r="AA55" i="18"/>
  <c r="AB55" i="18"/>
  <c r="AA5" i="18"/>
  <c r="Y5" i="18"/>
  <c r="W5" i="18"/>
  <c r="U5" i="18"/>
  <c r="P5" i="18"/>
  <c r="S5" i="18"/>
  <c r="N5" i="18"/>
  <c r="J5" i="18"/>
  <c r="I5" i="18"/>
  <c r="K5" i="18"/>
  <c r="O5" i="18"/>
  <c r="H5" i="18"/>
  <c r="E56" i="56" l="1"/>
  <c r="M56" i="56" s="1"/>
  <c r="D56" i="56"/>
  <c r="AJ55" i="56"/>
  <c r="AI55" i="56"/>
  <c r="AD55" i="56"/>
  <c r="AJ54" i="56"/>
  <c r="AI54" i="56"/>
  <c r="AH54" i="56"/>
  <c r="AJ53" i="56"/>
  <c r="AI53" i="56"/>
  <c r="AD53" i="56"/>
  <c r="AC53" i="56"/>
  <c r="AJ52" i="56"/>
  <c r="AI52" i="56"/>
  <c r="AJ51" i="56"/>
  <c r="AI51" i="56"/>
  <c r="AC51" i="56"/>
  <c r="AJ50" i="56"/>
  <c r="AI50" i="56"/>
  <c r="AD50" i="56"/>
  <c r="AC50" i="56"/>
  <c r="AJ49" i="56"/>
  <c r="AI49" i="56"/>
  <c r="AF49" i="56"/>
  <c r="AJ48" i="56"/>
  <c r="AI48" i="56"/>
  <c r="AD48" i="56"/>
  <c r="AC48" i="56"/>
  <c r="AJ47" i="56"/>
  <c r="AI47" i="56"/>
  <c r="AD47" i="56"/>
  <c r="AJ46" i="56"/>
  <c r="AI46" i="56"/>
  <c r="AH46" i="56"/>
  <c r="AJ45" i="56"/>
  <c r="AI45" i="56"/>
  <c r="AD45" i="56"/>
  <c r="AC45" i="56"/>
  <c r="AJ44" i="56"/>
  <c r="AI44" i="56"/>
  <c r="AJ43" i="56"/>
  <c r="AI43" i="56"/>
  <c r="AH43" i="56"/>
  <c r="AC43" i="56"/>
  <c r="AJ42" i="56"/>
  <c r="AI42" i="56"/>
  <c r="AD42" i="56"/>
  <c r="AC42" i="56"/>
  <c r="AJ41" i="56"/>
  <c r="AI41" i="56"/>
  <c r="AF41" i="56"/>
  <c r="AG41" i="56"/>
  <c r="AJ40" i="56"/>
  <c r="AI40" i="56"/>
  <c r="AD40" i="56"/>
  <c r="AC40" i="56"/>
  <c r="AJ39" i="56"/>
  <c r="AI39" i="56"/>
  <c r="AD39" i="56"/>
  <c r="AJ38" i="56"/>
  <c r="AI38" i="56"/>
  <c r="AH38" i="56"/>
  <c r="AJ37" i="56"/>
  <c r="AI37" i="56"/>
  <c r="AD37" i="56"/>
  <c r="AC37" i="56"/>
  <c r="AJ36" i="56"/>
  <c r="AI36" i="56"/>
  <c r="AF36" i="56"/>
  <c r="AE36" i="56"/>
  <c r="AJ35" i="56"/>
  <c r="AI35" i="56"/>
  <c r="AC35" i="56"/>
  <c r="AJ34" i="56"/>
  <c r="AI34" i="56"/>
  <c r="AD34" i="56"/>
  <c r="AC34" i="56"/>
  <c r="AJ33" i="56"/>
  <c r="AI33" i="56"/>
  <c r="AF33" i="56"/>
  <c r="AG33" i="56"/>
  <c r="AJ32" i="56"/>
  <c r="AI32" i="56"/>
  <c r="AD32" i="56"/>
  <c r="AC32" i="56"/>
  <c r="AJ31" i="56"/>
  <c r="AI31" i="56"/>
  <c r="AD31" i="56"/>
  <c r="AJ30" i="56"/>
  <c r="AI30" i="56"/>
  <c r="AJ29" i="56"/>
  <c r="AI29" i="56"/>
  <c r="AD29" i="56"/>
  <c r="AC29" i="56"/>
  <c r="AJ28" i="56"/>
  <c r="AI28" i="56"/>
  <c r="AF28" i="56"/>
  <c r="AE28" i="56"/>
  <c r="AJ27" i="56"/>
  <c r="AI27" i="56"/>
  <c r="AC27" i="56"/>
  <c r="AJ26" i="56"/>
  <c r="AI26" i="56"/>
  <c r="AD26" i="56"/>
  <c r="AC26" i="56"/>
  <c r="AJ25" i="56"/>
  <c r="AI25" i="56"/>
  <c r="AF25" i="56"/>
  <c r="AJ24" i="56"/>
  <c r="AI24" i="56"/>
  <c r="AD24" i="56"/>
  <c r="AC24" i="56"/>
  <c r="AJ23" i="56"/>
  <c r="AI23" i="56"/>
  <c r="AD23" i="56"/>
  <c r="AG23" i="56"/>
  <c r="AJ22" i="56"/>
  <c r="AI22" i="56"/>
  <c r="AJ21" i="56"/>
  <c r="AI21" i="56"/>
  <c r="AD21" i="56"/>
  <c r="AC21" i="56"/>
  <c r="AJ20" i="56"/>
  <c r="AI20" i="56"/>
  <c r="AF20" i="56"/>
  <c r="AE20" i="56"/>
  <c r="AJ19" i="56"/>
  <c r="AI19" i="56"/>
  <c r="AC19" i="56"/>
  <c r="AJ18" i="56"/>
  <c r="AI18" i="56"/>
  <c r="AD18" i="56"/>
  <c r="AC18" i="56"/>
  <c r="AJ17" i="56"/>
  <c r="AI17" i="56"/>
  <c r="AF17" i="56"/>
  <c r="AJ16" i="56"/>
  <c r="AI16" i="56"/>
  <c r="AD16" i="56"/>
  <c r="AC16" i="56"/>
  <c r="AJ15" i="56"/>
  <c r="AI15" i="56"/>
  <c r="AD15" i="56"/>
  <c r="AG15" i="56"/>
  <c r="AJ14" i="56"/>
  <c r="AI14" i="56"/>
  <c r="AH14" i="56"/>
  <c r="AJ13" i="56"/>
  <c r="AI13" i="56"/>
  <c r="AD13" i="56"/>
  <c r="AC13" i="56"/>
  <c r="AJ12" i="56"/>
  <c r="AI12" i="56"/>
  <c r="AJ11" i="56"/>
  <c r="AI11" i="56"/>
  <c r="AC11" i="56"/>
  <c r="AJ10" i="56"/>
  <c r="AI10" i="56"/>
  <c r="AD10" i="56"/>
  <c r="AC10" i="56"/>
  <c r="AJ9" i="56"/>
  <c r="AI9" i="56"/>
  <c r="AJ8" i="56"/>
  <c r="AI8" i="56"/>
  <c r="AD8" i="56"/>
  <c r="AC8" i="56"/>
  <c r="AJ7" i="56"/>
  <c r="AI7" i="56"/>
  <c r="AE7" i="56"/>
  <c r="AD7" i="56"/>
  <c r="AJ6" i="56"/>
  <c r="AI6" i="56"/>
  <c r="AH6" i="56"/>
  <c r="AJ5" i="56"/>
  <c r="U56" i="56"/>
  <c r="R56" i="56"/>
  <c r="Q56" i="56"/>
  <c r="K56" i="56"/>
  <c r="AD5" i="56"/>
  <c r="AC5" i="56"/>
  <c r="E56" i="55"/>
  <c r="M56" i="55" s="1"/>
  <c r="D56" i="55"/>
  <c r="AJ55" i="55"/>
  <c r="AI55" i="55"/>
  <c r="AD55" i="55"/>
  <c r="AJ54" i="55"/>
  <c r="AI54" i="55"/>
  <c r="AH54" i="55"/>
  <c r="AJ53" i="55"/>
  <c r="AI53" i="55"/>
  <c r="AD53" i="55"/>
  <c r="AC53" i="55"/>
  <c r="AJ52" i="55"/>
  <c r="AI52" i="55"/>
  <c r="AE52" i="55"/>
  <c r="AJ51" i="55"/>
  <c r="AI51" i="55"/>
  <c r="AC51" i="55"/>
  <c r="AJ50" i="55"/>
  <c r="AI50" i="55"/>
  <c r="AD50" i="55"/>
  <c r="AC50" i="55"/>
  <c r="AJ49" i="55"/>
  <c r="AI49" i="55"/>
  <c r="AF49" i="55"/>
  <c r="AG49" i="55"/>
  <c r="AJ48" i="55"/>
  <c r="AI48" i="55"/>
  <c r="AD48" i="55"/>
  <c r="AC48" i="55"/>
  <c r="AJ47" i="55"/>
  <c r="AI47" i="55"/>
  <c r="AD47" i="55"/>
  <c r="AJ46" i="55"/>
  <c r="AI46" i="55"/>
  <c r="AJ45" i="55"/>
  <c r="AI45" i="55"/>
  <c r="AD45" i="55"/>
  <c r="AC45" i="55"/>
  <c r="AJ44" i="55"/>
  <c r="AI44" i="55"/>
  <c r="AE44" i="55"/>
  <c r="AJ43" i="55"/>
  <c r="AI43" i="55"/>
  <c r="AC43" i="55"/>
  <c r="AJ42" i="55"/>
  <c r="AI42" i="55"/>
  <c r="AD42" i="55"/>
  <c r="AC42" i="55"/>
  <c r="AJ41" i="55"/>
  <c r="AI41" i="55"/>
  <c r="AF41" i="55"/>
  <c r="AJ40" i="55"/>
  <c r="AI40" i="55"/>
  <c r="AD40" i="55"/>
  <c r="AC40" i="55"/>
  <c r="AJ39" i="55"/>
  <c r="AI39" i="55"/>
  <c r="AD39" i="55"/>
  <c r="AJ38" i="55"/>
  <c r="AI38" i="55"/>
  <c r="AH38" i="55"/>
  <c r="AJ37" i="55"/>
  <c r="AI37" i="55"/>
  <c r="AD37" i="55"/>
  <c r="AC37" i="55"/>
  <c r="AJ36" i="55"/>
  <c r="AI36" i="55"/>
  <c r="AJ35" i="55"/>
  <c r="AI35" i="55"/>
  <c r="AE35" i="55"/>
  <c r="AH35" i="55"/>
  <c r="AC35" i="55"/>
  <c r="AJ34" i="55"/>
  <c r="AI34" i="55"/>
  <c r="AD34" i="55"/>
  <c r="AC34" i="55"/>
  <c r="AJ33" i="55"/>
  <c r="AI33" i="55"/>
  <c r="AG33" i="55"/>
  <c r="AJ32" i="55"/>
  <c r="AI32" i="55"/>
  <c r="AD32" i="55"/>
  <c r="AC32" i="55"/>
  <c r="AJ31" i="55"/>
  <c r="AI31" i="55"/>
  <c r="AD31" i="55"/>
  <c r="AI30" i="55"/>
  <c r="AJ30" i="55"/>
  <c r="AH30" i="55"/>
  <c r="AJ29" i="55"/>
  <c r="AI29" i="55"/>
  <c r="AD29" i="55"/>
  <c r="AC29" i="55"/>
  <c r="AJ28" i="55"/>
  <c r="AI28" i="55"/>
  <c r="AF28" i="55"/>
  <c r="AJ27" i="55"/>
  <c r="AI27" i="55"/>
  <c r="AC27" i="55"/>
  <c r="AJ26" i="55"/>
  <c r="AI26" i="55"/>
  <c r="AD26" i="55"/>
  <c r="AC26" i="55"/>
  <c r="AJ25" i="55"/>
  <c r="AI25" i="55"/>
  <c r="AF25" i="55"/>
  <c r="AJ24" i="55"/>
  <c r="AI24" i="55"/>
  <c r="AD24" i="55"/>
  <c r="AC24" i="55"/>
  <c r="AJ23" i="55"/>
  <c r="AI23" i="55"/>
  <c r="AD23" i="55"/>
  <c r="AJ22" i="55"/>
  <c r="AI22" i="55"/>
  <c r="AD22" i="55"/>
  <c r="AJ21" i="55"/>
  <c r="AI21" i="55"/>
  <c r="AD21" i="55"/>
  <c r="AC21" i="55"/>
  <c r="AJ20" i="55"/>
  <c r="AI20" i="55"/>
  <c r="AJ19" i="55"/>
  <c r="AI19" i="55"/>
  <c r="AH19" i="55"/>
  <c r="AC19" i="55"/>
  <c r="AJ18" i="55"/>
  <c r="AI18" i="55"/>
  <c r="AD18" i="55"/>
  <c r="AC18" i="55"/>
  <c r="AJ17" i="55"/>
  <c r="AI17" i="55"/>
  <c r="AJ16" i="55"/>
  <c r="AI16" i="55"/>
  <c r="AD16" i="55"/>
  <c r="AC16" i="55"/>
  <c r="AJ15" i="55"/>
  <c r="AI15" i="55"/>
  <c r="AD15" i="55"/>
  <c r="AJ14" i="55"/>
  <c r="AI14" i="55"/>
  <c r="AJ13" i="55"/>
  <c r="AI13" i="55"/>
  <c r="AD13" i="55"/>
  <c r="AC13" i="55"/>
  <c r="AJ12" i="55"/>
  <c r="AI12" i="55"/>
  <c r="AF12" i="55"/>
  <c r="AJ11" i="55"/>
  <c r="AI11" i="55"/>
  <c r="AC11" i="55"/>
  <c r="AJ10" i="55"/>
  <c r="AI10" i="55"/>
  <c r="AD10" i="55"/>
  <c r="AC10" i="55"/>
  <c r="AJ9" i="55"/>
  <c r="AI9" i="55"/>
  <c r="AF9" i="55"/>
  <c r="AC9" i="55"/>
  <c r="AJ8" i="55"/>
  <c r="AI8" i="55"/>
  <c r="AD8" i="55"/>
  <c r="AC8" i="55"/>
  <c r="AI7" i="55"/>
  <c r="AJ7" i="55"/>
  <c r="AD7" i="55"/>
  <c r="AJ6" i="55"/>
  <c r="AI6" i="55"/>
  <c r="AD6" i="55"/>
  <c r="AB56" i="55"/>
  <c r="AJ5" i="55"/>
  <c r="W56" i="55"/>
  <c r="V56" i="55"/>
  <c r="T56" i="55"/>
  <c r="O56" i="55"/>
  <c r="N56" i="55"/>
  <c r="J56" i="55"/>
  <c r="AD5" i="55"/>
  <c r="AC5" i="55"/>
  <c r="E56" i="54"/>
  <c r="M56" i="54" s="1"/>
  <c r="D56" i="54"/>
  <c r="AJ55" i="54"/>
  <c r="AI55" i="54"/>
  <c r="AD55" i="54"/>
  <c r="AJ54" i="54"/>
  <c r="AI54" i="54"/>
  <c r="AJ53" i="54"/>
  <c r="AI53" i="54"/>
  <c r="AD53" i="54"/>
  <c r="AC53" i="54"/>
  <c r="AJ52" i="54"/>
  <c r="AI52" i="54"/>
  <c r="AE52" i="54"/>
  <c r="AJ51" i="54"/>
  <c r="AI51" i="54"/>
  <c r="AC51" i="54"/>
  <c r="AJ50" i="54"/>
  <c r="AI50" i="54"/>
  <c r="AD50" i="54"/>
  <c r="AC50" i="54"/>
  <c r="AJ49" i="54"/>
  <c r="AI49" i="54"/>
  <c r="AF49" i="54"/>
  <c r="AJ48" i="54"/>
  <c r="AI48" i="54"/>
  <c r="AD48" i="54"/>
  <c r="AC48" i="54"/>
  <c r="AJ47" i="54"/>
  <c r="AI47" i="54"/>
  <c r="AD47" i="54"/>
  <c r="AJ46" i="54"/>
  <c r="AI46" i="54"/>
  <c r="AJ45" i="54"/>
  <c r="AI45" i="54"/>
  <c r="AD45" i="54"/>
  <c r="AC45" i="54"/>
  <c r="AJ44" i="54"/>
  <c r="AI44" i="54"/>
  <c r="AF44" i="54"/>
  <c r="AE44" i="54"/>
  <c r="AJ43" i="54"/>
  <c r="AI43" i="54"/>
  <c r="AC43" i="54"/>
  <c r="AJ42" i="54"/>
  <c r="AI42" i="54"/>
  <c r="AD42" i="54"/>
  <c r="AC42" i="54"/>
  <c r="AJ41" i="54"/>
  <c r="AI41" i="54"/>
  <c r="AF41" i="54"/>
  <c r="AJ40" i="54"/>
  <c r="AI40" i="54"/>
  <c r="AD40" i="54"/>
  <c r="AC40" i="54"/>
  <c r="AJ39" i="54"/>
  <c r="AI39" i="54"/>
  <c r="AD39" i="54"/>
  <c r="AE39" i="54"/>
  <c r="AJ38" i="54"/>
  <c r="AI38" i="54"/>
  <c r="AJ37" i="54"/>
  <c r="AI37" i="54"/>
  <c r="AD37" i="54"/>
  <c r="AC37" i="54"/>
  <c r="AJ36" i="54"/>
  <c r="AI36" i="54"/>
  <c r="AF36" i="54"/>
  <c r="AE36" i="54"/>
  <c r="AJ35" i="54"/>
  <c r="AI35" i="54"/>
  <c r="AC35" i="54"/>
  <c r="AJ34" i="54"/>
  <c r="AI34" i="54"/>
  <c r="AD34" i="54"/>
  <c r="AC34" i="54"/>
  <c r="AJ33" i="54"/>
  <c r="AI33" i="54"/>
  <c r="AF33" i="54"/>
  <c r="AJ32" i="54"/>
  <c r="AI32" i="54"/>
  <c r="AD32" i="54"/>
  <c r="AC32" i="54"/>
  <c r="AJ31" i="54"/>
  <c r="AI31" i="54"/>
  <c r="AD31" i="54"/>
  <c r="AE31" i="54"/>
  <c r="AJ30" i="54"/>
  <c r="AI30" i="54"/>
  <c r="AJ29" i="54"/>
  <c r="AI29" i="54"/>
  <c r="AD29" i="54"/>
  <c r="AC29" i="54"/>
  <c r="AJ28" i="54"/>
  <c r="AI28" i="54"/>
  <c r="AF28" i="54"/>
  <c r="AE28" i="54"/>
  <c r="AJ27" i="54"/>
  <c r="AI27" i="54"/>
  <c r="AC27" i="54"/>
  <c r="AJ26" i="54"/>
  <c r="AI26" i="54"/>
  <c r="AD26" i="54"/>
  <c r="AC26" i="54"/>
  <c r="AJ25" i="54"/>
  <c r="AI25" i="54"/>
  <c r="AF25" i="54"/>
  <c r="AJ24" i="54"/>
  <c r="AI24" i="54"/>
  <c r="AD24" i="54"/>
  <c r="AC24" i="54"/>
  <c r="AJ23" i="54"/>
  <c r="AI23" i="54"/>
  <c r="AD23" i="54"/>
  <c r="AJ22" i="54"/>
  <c r="AI22" i="54"/>
  <c r="AJ21" i="54"/>
  <c r="AI21" i="54"/>
  <c r="AD21" i="54"/>
  <c r="AC21" i="54"/>
  <c r="AJ20" i="54"/>
  <c r="AI20" i="54"/>
  <c r="AF20" i="54"/>
  <c r="AE20" i="54"/>
  <c r="AJ19" i="54"/>
  <c r="AI19" i="54"/>
  <c r="AD19" i="54"/>
  <c r="AC19" i="54"/>
  <c r="AJ18" i="54"/>
  <c r="AI18" i="54"/>
  <c r="AD18" i="54"/>
  <c r="AC18" i="54"/>
  <c r="AJ17" i="54"/>
  <c r="AI17" i="54"/>
  <c r="AJ16" i="54"/>
  <c r="AI16" i="54"/>
  <c r="AD16" i="54"/>
  <c r="AC16" i="54"/>
  <c r="AJ15" i="54"/>
  <c r="AI15" i="54"/>
  <c r="AD15" i="54"/>
  <c r="AE15" i="54"/>
  <c r="AJ14" i="54"/>
  <c r="AI14" i="54"/>
  <c r="AC14" i="54"/>
  <c r="AJ13" i="54"/>
  <c r="AI13" i="54"/>
  <c r="AD13" i="54"/>
  <c r="AC13" i="54"/>
  <c r="AJ12" i="54"/>
  <c r="AI12" i="54"/>
  <c r="AF12" i="54"/>
  <c r="AJ11" i="54"/>
  <c r="AI11" i="54"/>
  <c r="AC11" i="54"/>
  <c r="AJ10" i="54"/>
  <c r="AI10" i="54"/>
  <c r="AD10" i="54"/>
  <c r="AC10" i="54"/>
  <c r="AJ9" i="54"/>
  <c r="AI9" i="54"/>
  <c r="AJ8" i="54"/>
  <c r="AI8" i="54"/>
  <c r="AD8" i="54"/>
  <c r="AC8" i="54"/>
  <c r="AJ7" i="54"/>
  <c r="AI7" i="54"/>
  <c r="AD7" i="54"/>
  <c r="AJ6" i="54"/>
  <c r="AI6" i="54"/>
  <c r="AE6" i="54"/>
  <c r="AC6" i="54"/>
  <c r="AJ5" i="54"/>
  <c r="AJ56" i="54" s="1"/>
  <c r="Y56" i="54"/>
  <c r="W56" i="54"/>
  <c r="S56" i="54"/>
  <c r="R56" i="54"/>
  <c r="Q56" i="54"/>
  <c r="AD5" i="54"/>
  <c r="AC5" i="54"/>
  <c r="E56" i="47"/>
  <c r="M56" i="47" s="1"/>
  <c r="D56" i="47"/>
  <c r="AJ55" i="47"/>
  <c r="AI55" i="47"/>
  <c r="AD55" i="47"/>
  <c r="AJ54" i="47"/>
  <c r="AI54" i="47"/>
  <c r="AJ53" i="47"/>
  <c r="AI53" i="47"/>
  <c r="AD53" i="47"/>
  <c r="AC53" i="47"/>
  <c r="AJ52" i="47"/>
  <c r="AI52" i="47"/>
  <c r="AE52" i="47"/>
  <c r="AJ51" i="47"/>
  <c r="AI51" i="47"/>
  <c r="AH51" i="47"/>
  <c r="AC51" i="47"/>
  <c r="AJ50" i="47"/>
  <c r="AI50" i="47"/>
  <c r="AD50" i="47"/>
  <c r="AC50" i="47"/>
  <c r="AJ49" i="47"/>
  <c r="AI49" i="47"/>
  <c r="AF49" i="47"/>
  <c r="AJ48" i="47"/>
  <c r="AI48" i="47"/>
  <c r="AD48" i="47"/>
  <c r="AC48" i="47"/>
  <c r="AJ47" i="47"/>
  <c r="AI47" i="47"/>
  <c r="AD47" i="47"/>
  <c r="AJ46" i="47"/>
  <c r="AI46" i="47"/>
  <c r="AJ45" i="47"/>
  <c r="AI45" i="47"/>
  <c r="AD45" i="47"/>
  <c r="AC45" i="47"/>
  <c r="AJ44" i="47"/>
  <c r="AI44" i="47"/>
  <c r="AF44" i="47"/>
  <c r="AE44" i="47"/>
  <c r="AJ43" i="47"/>
  <c r="AI43" i="47"/>
  <c r="AC43" i="47"/>
  <c r="AJ42" i="47"/>
  <c r="AI42" i="47"/>
  <c r="AD42" i="47"/>
  <c r="AC42" i="47"/>
  <c r="AJ41" i="47"/>
  <c r="AI41" i="47"/>
  <c r="AJ40" i="47"/>
  <c r="AI40" i="47"/>
  <c r="AD40" i="47"/>
  <c r="AC40" i="47"/>
  <c r="AJ39" i="47"/>
  <c r="AI39" i="47"/>
  <c r="AD39" i="47"/>
  <c r="AI38" i="47"/>
  <c r="AJ38" i="47"/>
  <c r="AJ37" i="47"/>
  <c r="AI37" i="47"/>
  <c r="AD37" i="47"/>
  <c r="AC37" i="47"/>
  <c r="AJ36" i="47"/>
  <c r="AI36" i="47"/>
  <c r="AE36" i="47"/>
  <c r="AJ35" i="47"/>
  <c r="AI35" i="47"/>
  <c r="AC35" i="47"/>
  <c r="AJ34" i="47"/>
  <c r="AI34" i="47"/>
  <c r="AD34" i="47"/>
  <c r="AC34" i="47"/>
  <c r="AJ33" i="47"/>
  <c r="AI33" i="47"/>
  <c r="AF33" i="47"/>
  <c r="AJ32" i="47"/>
  <c r="AI32" i="47"/>
  <c r="AD32" i="47"/>
  <c r="AC32" i="47"/>
  <c r="AJ31" i="47"/>
  <c r="AI31" i="47"/>
  <c r="AD31" i="47"/>
  <c r="AJ30" i="47"/>
  <c r="AI30" i="47"/>
  <c r="AH30" i="47"/>
  <c r="AJ29" i="47"/>
  <c r="AI29" i="47"/>
  <c r="AD29" i="47"/>
  <c r="AC29" i="47"/>
  <c r="AJ28" i="47"/>
  <c r="AI28" i="47"/>
  <c r="AJ27" i="47"/>
  <c r="AI27" i="47"/>
  <c r="AC27" i="47"/>
  <c r="AI26" i="47"/>
  <c r="AJ26" i="47"/>
  <c r="AD26" i="47"/>
  <c r="AC26" i="47"/>
  <c r="AJ25" i="47"/>
  <c r="AI25" i="47"/>
  <c r="AF25" i="47"/>
  <c r="AJ24" i="47"/>
  <c r="AI24" i="47"/>
  <c r="AD24" i="47"/>
  <c r="AC24" i="47"/>
  <c r="AJ23" i="47"/>
  <c r="AI23" i="47"/>
  <c r="AD23" i="47"/>
  <c r="AJ22" i="47"/>
  <c r="AI22" i="47"/>
  <c r="AE22" i="47"/>
  <c r="AJ21" i="47"/>
  <c r="AI21" i="47"/>
  <c r="AD21" i="47"/>
  <c r="AC21" i="47"/>
  <c r="AJ20" i="47"/>
  <c r="AI20" i="47"/>
  <c r="AC20" i="47"/>
  <c r="AJ19" i="47"/>
  <c r="AI19" i="47"/>
  <c r="AC19" i="47"/>
  <c r="AJ18" i="47"/>
  <c r="AI18" i="47"/>
  <c r="AD18" i="47"/>
  <c r="AC18" i="47"/>
  <c r="AJ17" i="47"/>
  <c r="AI17" i="47"/>
  <c r="AD17" i="47"/>
  <c r="AJ16" i="47"/>
  <c r="AI16" i="47"/>
  <c r="AG16" i="47"/>
  <c r="AD16" i="47"/>
  <c r="AC16" i="47"/>
  <c r="AJ15" i="47"/>
  <c r="AI15" i="47"/>
  <c r="AD15" i="47"/>
  <c r="AE15" i="47"/>
  <c r="AJ14" i="47"/>
  <c r="AI14" i="47"/>
  <c r="AH14" i="47"/>
  <c r="AJ13" i="47"/>
  <c r="AI13" i="47"/>
  <c r="AD13" i="47"/>
  <c r="AC13" i="47"/>
  <c r="AJ12" i="47"/>
  <c r="AI12" i="47"/>
  <c r="AE12" i="47"/>
  <c r="AJ11" i="47"/>
  <c r="AI11" i="47"/>
  <c r="AC11" i="47"/>
  <c r="AJ10" i="47"/>
  <c r="AI10" i="47"/>
  <c r="AD10" i="47"/>
  <c r="AC10" i="47"/>
  <c r="AJ9" i="47"/>
  <c r="AI9" i="47"/>
  <c r="AD9" i="47"/>
  <c r="AJ8" i="47"/>
  <c r="AI8" i="47"/>
  <c r="AD8" i="47"/>
  <c r="AC8" i="47"/>
  <c r="AJ7" i="47"/>
  <c r="AI7" i="47"/>
  <c r="AD7" i="47"/>
  <c r="AJ6" i="47"/>
  <c r="AI6" i="47"/>
  <c r="AA56" i="47"/>
  <c r="AJ5" i="47"/>
  <c r="Y56" i="47"/>
  <c r="Q56" i="47"/>
  <c r="P56" i="47"/>
  <c r="AD5" i="47"/>
  <c r="AC5" i="47"/>
  <c r="E56" i="46"/>
  <c r="M56" i="46" s="1"/>
  <c r="D56" i="46"/>
  <c r="AJ55" i="46"/>
  <c r="AI55" i="46"/>
  <c r="AD55" i="46"/>
  <c r="AJ54" i="46"/>
  <c r="AI54" i="46"/>
  <c r="AJ53" i="46"/>
  <c r="AI53" i="46"/>
  <c r="AD53" i="46"/>
  <c r="AC53" i="46"/>
  <c r="AJ52" i="46"/>
  <c r="AI52" i="46"/>
  <c r="AE52" i="46"/>
  <c r="AJ51" i="46"/>
  <c r="AI51" i="46"/>
  <c r="AC51" i="46"/>
  <c r="AJ50" i="46"/>
  <c r="AI50" i="46"/>
  <c r="AD50" i="46"/>
  <c r="AC50" i="46"/>
  <c r="AJ49" i="46"/>
  <c r="AI49" i="46"/>
  <c r="AF49" i="46"/>
  <c r="AJ48" i="46"/>
  <c r="AI48" i="46"/>
  <c r="AD48" i="46"/>
  <c r="AC48" i="46"/>
  <c r="AJ47" i="46"/>
  <c r="AI47" i="46"/>
  <c r="AD47" i="46"/>
  <c r="AE47" i="46"/>
  <c r="AJ46" i="46"/>
  <c r="AI46" i="46"/>
  <c r="AJ45" i="46"/>
  <c r="AI45" i="46"/>
  <c r="AD45" i="46"/>
  <c r="AC45" i="46"/>
  <c r="AJ44" i="46"/>
  <c r="AI44" i="46"/>
  <c r="AJ43" i="46"/>
  <c r="AI43" i="46"/>
  <c r="AC43" i="46"/>
  <c r="AJ42" i="46"/>
  <c r="AI42" i="46"/>
  <c r="AD42" i="46"/>
  <c r="AC42" i="46"/>
  <c r="AJ41" i="46"/>
  <c r="AI41" i="46"/>
  <c r="AF41" i="46"/>
  <c r="AJ40" i="46"/>
  <c r="AI40" i="46"/>
  <c r="AD40" i="46"/>
  <c r="AC40" i="46"/>
  <c r="AJ39" i="46"/>
  <c r="AI39" i="46"/>
  <c r="AD39" i="46"/>
  <c r="AE39" i="46"/>
  <c r="AJ38" i="46"/>
  <c r="AI38" i="46"/>
  <c r="AD38" i="46"/>
  <c r="AC38" i="46"/>
  <c r="AJ37" i="46"/>
  <c r="AI37" i="46"/>
  <c r="AD37" i="46"/>
  <c r="AC37" i="46"/>
  <c r="AJ36" i="46"/>
  <c r="AI36" i="46"/>
  <c r="AJ35" i="46"/>
  <c r="AI35" i="46"/>
  <c r="AH35" i="46"/>
  <c r="AC35" i="46"/>
  <c r="AJ34" i="46"/>
  <c r="AI34" i="46"/>
  <c r="AD34" i="46"/>
  <c r="AC34" i="46"/>
  <c r="AJ33" i="46"/>
  <c r="AI33" i="46"/>
  <c r="AF33" i="46"/>
  <c r="AC33" i="46"/>
  <c r="AJ32" i="46"/>
  <c r="AI32" i="46"/>
  <c r="AE32" i="46"/>
  <c r="AD32" i="46"/>
  <c r="AC32" i="46"/>
  <c r="AJ31" i="46"/>
  <c r="AI31" i="46"/>
  <c r="AD31" i="46"/>
  <c r="AI30" i="46"/>
  <c r="AJ30" i="46"/>
  <c r="AH30" i="46"/>
  <c r="AJ29" i="46"/>
  <c r="AI29" i="46"/>
  <c r="AD29" i="46"/>
  <c r="AC29" i="46"/>
  <c r="AJ28" i="46"/>
  <c r="AI28" i="46"/>
  <c r="AF28" i="46"/>
  <c r="AD27" i="46"/>
  <c r="AJ27" i="46"/>
  <c r="AI27" i="46"/>
  <c r="AC27" i="46"/>
  <c r="AJ26" i="46"/>
  <c r="AI26" i="46"/>
  <c r="AD26" i="46"/>
  <c r="AC26" i="46"/>
  <c r="AJ25" i="46"/>
  <c r="AI25" i="46"/>
  <c r="AJ24" i="46"/>
  <c r="AI24" i="46"/>
  <c r="AD24" i="46"/>
  <c r="AC24" i="46"/>
  <c r="AI23" i="46"/>
  <c r="AJ23" i="46"/>
  <c r="AD23" i="46"/>
  <c r="AJ22" i="46"/>
  <c r="AI22" i="46"/>
  <c r="AD22" i="46"/>
  <c r="AG22" i="46"/>
  <c r="AJ21" i="46"/>
  <c r="AI21" i="46"/>
  <c r="AD21" i="46"/>
  <c r="AC21" i="46"/>
  <c r="AJ20" i="46"/>
  <c r="AI20" i="46"/>
  <c r="AF20" i="46"/>
  <c r="AJ19" i="46"/>
  <c r="AI19" i="46"/>
  <c r="AH19" i="46"/>
  <c r="AC19" i="46"/>
  <c r="AJ18" i="46"/>
  <c r="AI18" i="46"/>
  <c r="AD18" i="46"/>
  <c r="AC18" i="46"/>
  <c r="AJ17" i="46"/>
  <c r="AI17" i="46"/>
  <c r="AF17" i="46"/>
  <c r="AC17" i="46"/>
  <c r="AJ16" i="46"/>
  <c r="AI16" i="46"/>
  <c r="AD16" i="46"/>
  <c r="AC16" i="46"/>
  <c r="AJ15" i="46"/>
  <c r="AI15" i="46"/>
  <c r="AD15" i="46"/>
  <c r="AE15" i="46"/>
  <c r="AJ14" i="46"/>
  <c r="AI14" i="46"/>
  <c r="AE14" i="46"/>
  <c r="AC14" i="46"/>
  <c r="AJ13" i="46"/>
  <c r="AI13" i="46"/>
  <c r="AD13" i="46"/>
  <c r="AC13" i="46"/>
  <c r="AJ12" i="46"/>
  <c r="AI12" i="46"/>
  <c r="AJ11" i="46"/>
  <c r="AI11" i="46"/>
  <c r="AD11" i="46"/>
  <c r="AC11" i="46"/>
  <c r="AJ10" i="46"/>
  <c r="AI10" i="46"/>
  <c r="AD10" i="46"/>
  <c r="AC10" i="46"/>
  <c r="AJ9" i="46"/>
  <c r="AI9" i="46"/>
  <c r="AF9" i="46"/>
  <c r="AJ8" i="46"/>
  <c r="AI8" i="46"/>
  <c r="AD8" i="46"/>
  <c r="AC8" i="46"/>
  <c r="AJ7" i="46"/>
  <c r="AI7" i="46"/>
  <c r="AD7" i="46"/>
  <c r="AJ6" i="46"/>
  <c r="AI6" i="46"/>
  <c r="AD6" i="46"/>
  <c r="AJ5" i="46"/>
  <c r="Y56" i="46"/>
  <c r="X56" i="46"/>
  <c r="W56" i="46"/>
  <c r="Q56" i="46"/>
  <c r="P56" i="46"/>
  <c r="O56" i="46"/>
  <c r="AD5" i="46"/>
  <c r="AC5" i="46"/>
  <c r="E51" i="45"/>
  <c r="M51" i="45" s="1"/>
  <c r="D51" i="45"/>
  <c r="AJ50" i="45"/>
  <c r="AI50" i="45"/>
  <c r="AD50" i="45"/>
  <c r="AC50" i="45"/>
  <c r="AJ49" i="45"/>
  <c r="AI49" i="45"/>
  <c r="AJ48" i="45"/>
  <c r="AI48" i="45"/>
  <c r="AD48" i="45"/>
  <c r="AC48" i="45"/>
  <c r="AJ47" i="45"/>
  <c r="AI47" i="45"/>
  <c r="AD47" i="45"/>
  <c r="AJ46" i="45"/>
  <c r="AI46" i="45"/>
  <c r="AH46" i="45"/>
  <c r="AJ45" i="45"/>
  <c r="AI45" i="45"/>
  <c r="AD45" i="45"/>
  <c r="AC45" i="45"/>
  <c r="AJ44" i="45"/>
  <c r="AI44" i="45"/>
  <c r="AJ43" i="45"/>
  <c r="AI43" i="45"/>
  <c r="AC43" i="45"/>
  <c r="AJ42" i="45"/>
  <c r="AI42" i="45"/>
  <c r="AD42" i="45"/>
  <c r="AC42" i="45"/>
  <c r="AJ41" i="45"/>
  <c r="AI41" i="45"/>
  <c r="AJ40" i="45"/>
  <c r="AI40" i="45"/>
  <c r="AD40" i="45"/>
  <c r="AC40" i="45"/>
  <c r="AJ39" i="45"/>
  <c r="AI39" i="45"/>
  <c r="AJ38" i="45"/>
  <c r="AI38" i="45"/>
  <c r="AH38" i="45"/>
  <c r="AJ37" i="45"/>
  <c r="AI37" i="45"/>
  <c r="AD37" i="45"/>
  <c r="AC37" i="45"/>
  <c r="AJ36" i="45"/>
  <c r="AI36" i="45"/>
  <c r="AJ35" i="45"/>
  <c r="AI35" i="45"/>
  <c r="AF35" i="45"/>
  <c r="AC35" i="45"/>
  <c r="AJ34" i="45"/>
  <c r="AI34" i="45"/>
  <c r="AD34" i="45"/>
  <c r="AC34" i="45"/>
  <c r="AJ33" i="45"/>
  <c r="AI33" i="45"/>
  <c r="AJ32" i="45"/>
  <c r="AI32" i="45"/>
  <c r="AD32" i="45"/>
  <c r="AC32" i="45"/>
  <c r="AJ31" i="45"/>
  <c r="AI31" i="45"/>
  <c r="AF31" i="45"/>
  <c r="AJ30" i="45"/>
  <c r="AI30" i="45"/>
  <c r="AC30" i="45"/>
  <c r="AJ29" i="45"/>
  <c r="AI29" i="45"/>
  <c r="AF29" i="45"/>
  <c r="AD29" i="45"/>
  <c r="AC29" i="45"/>
  <c r="AJ28" i="45"/>
  <c r="AI28" i="45"/>
  <c r="AJ27" i="45"/>
  <c r="AI27" i="45"/>
  <c r="AC27" i="45"/>
  <c r="AJ26" i="45"/>
  <c r="AI26" i="45"/>
  <c r="AD26" i="45"/>
  <c r="AJ25" i="45"/>
  <c r="AI25" i="45"/>
  <c r="AF25" i="45"/>
  <c r="AJ24" i="45"/>
  <c r="AI24" i="45"/>
  <c r="AD24" i="45"/>
  <c r="AC24" i="45"/>
  <c r="AJ23" i="45"/>
  <c r="AI23" i="45"/>
  <c r="AF23" i="45"/>
  <c r="AJ22" i="45"/>
  <c r="AI22" i="45"/>
  <c r="AC22" i="45"/>
  <c r="AJ21" i="45"/>
  <c r="AI21" i="45"/>
  <c r="AD21" i="45"/>
  <c r="AC21" i="45"/>
  <c r="AJ20" i="45"/>
  <c r="AI20" i="45"/>
  <c r="AJ19" i="45"/>
  <c r="AI19" i="45"/>
  <c r="AF19" i="45"/>
  <c r="AC19" i="45"/>
  <c r="AJ18" i="45"/>
  <c r="AI18" i="45"/>
  <c r="AD18" i="45"/>
  <c r="AC18" i="45"/>
  <c r="AJ17" i="45"/>
  <c r="AI17" i="45"/>
  <c r="AF17" i="45"/>
  <c r="AG17" i="45"/>
  <c r="AJ16" i="45"/>
  <c r="AI16" i="45"/>
  <c r="AD16" i="45"/>
  <c r="AC16" i="45"/>
  <c r="AJ15" i="45"/>
  <c r="AI15" i="45"/>
  <c r="AJ14" i="45"/>
  <c r="AI14" i="45"/>
  <c r="AJ13" i="45"/>
  <c r="AI13" i="45"/>
  <c r="AD13" i="45"/>
  <c r="AC13" i="45"/>
  <c r="AI12" i="45"/>
  <c r="AJ12" i="45"/>
  <c r="AF12" i="45"/>
  <c r="AJ11" i="45"/>
  <c r="AI11" i="45"/>
  <c r="AC11" i="45"/>
  <c r="AJ10" i="45"/>
  <c r="AI10" i="45"/>
  <c r="AD10" i="45"/>
  <c r="AE10" i="45"/>
  <c r="AJ9" i="45"/>
  <c r="AI9" i="45"/>
  <c r="AH9" i="45"/>
  <c r="AJ8" i="45"/>
  <c r="AI8" i="45"/>
  <c r="AD8" i="45"/>
  <c r="AC8" i="45"/>
  <c r="AD7" i="45"/>
  <c r="AJ7" i="45"/>
  <c r="AI7" i="45"/>
  <c r="AJ6" i="45"/>
  <c r="AI6" i="45"/>
  <c r="AE6" i="45"/>
  <c r="AJ5" i="45"/>
  <c r="AD5" i="45"/>
  <c r="AC5" i="45"/>
  <c r="E56" i="44"/>
  <c r="M56" i="44" s="1"/>
  <c r="D56" i="44"/>
  <c r="AJ55" i="44"/>
  <c r="AI55" i="44"/>
  <c r="AD55" i="44"/>
  <c r="AJ54" i="44"/>
  <c r="AI54" i="44"/>
  <c r="AH54" i="44"/>
  <c r="AJ53" i="44"/>
  <c r="AI53" i="44"/>
  <c r="AD53" i="44"/>
  <c r="AC53" i="44"/>
  <c r="AJ52" i="44"/>
  <c r="AI52" i="44"/>
  <c r="AE52" i="44"/>
  <c r="AJ51" i="44"/>
  <c r="AI51" i="44"/>
  <c r="AC51" i="44"/>
  <c r="AJ50" i="44"/>
  <c r="AI50" i="44"/>
  <c r="AD50" i="44"/>
  <c r="AC50" i="44"/>
  <c r="AJ49" i="44"/>
  <c r="AI49" i="44"/>
  <c r="AF49" i="44"/>
  <c r="AJ48" i="44"/>
  <c r="AI48" i="44"/>
  <c r="AD48" i="44"/>
  <c r="AC48" i="44"/>
  <c r="AJ47" i="44"/>
  <c r="AI47" i="44"/>
  <c r="AD47" i="44"/>
  <c r="AE47" i="44"/>
  <c r="AJ46" i="44"/>
  <c r="AI46" i="44"/>
  <c r="AJ45" i="44"/>
  <c r="AI45" i="44"/>
  <c r="AD45" i="44"/>
  <c r="AC45" i="44"/>
  <c r="AJ44" i="44"/>
  <c r="AI44" i="44"/>
  <c r="AF44" i="44"/>
  <c r="AJ43" i="44"/>
  <c r="AI43" i="44"/>
  <c r="AC43" i="44"/>
  <c r="AJ42" i="44"/>
  <c r="AI42" i="44"/>
  <c r="AD42" i="44"/>
  <c r="AC42" i="44"/>
  <c r="AJ41" i="44"/>
  <c r="AI41" i="44"/>
  <c r="AF41" i="44"/>
  <c r="AG41" i="44"/>
  <c r="AJ40" i="44"/>
  <c r="AI40" i="44"/>
  <c r="AD40" i="44"/>
  <c r="AC40" i="44"/>
  <c r="AJ39" i="44"/>
  <c r="AI39" i="44"/>
  <c r="AD39" i="44"/>
  <c r="AJ38" i="44"/>
  <c r="AI38" i="44"/>
  <c r="AH38" i="44"/>
  <c r="AJ37" i="44"/>
  <c r="AI37" i="44"/>
  <c r="AD37" i="44"/>
  <c r="AC37" i="44"/>
  <c r="AJ36" i="44"/>
  <c r="AI36" i="44"/>
  <c r="AE36" i="44"/>
  <c r="AJ35" i="44"/>
  <c r="AI35" i="44"/>
  <c r="AC35" i="44"/>
  <c r="AI34" i="44"/>
  <c r="AJ34" i="44"/>
  <c r="AD34" i="44"/>
  <c r="AC34" i="44"/>
  <c r="AJ33" i="44"/>
  <c r="AI33" i="44"/>
  <c r="AF33" i="44"/>
  <c r="AJ32" i="44"/>
  <c r="AI32" i="44"/>
  <c r="AD32" i="44"/>
  <c r="AC32" i="44"/>
  <c r="AJ31" i="44"/>
  <c r="AI31" i="44"/>
  <c r="AD31" i="44"/>
  <c r="AG31" i="44"/>
  <c r="AJ30" i="44"/>
  <c r="AI30" i="44"/>
  <c r="AJ29" i="44"/>
  <c r="AI29" i="44"/>
  <c r="AD29" i="44"/>
  <c r="AC29" i="44"/>
  <c r="AJ28" i="44"/>
  <c r="AI28" i="44"/>
  <c r="AJ27" i="44"/>
  <c r="AI27" i="44"/>
  <c r="AC27" i="44"/>
  <c r="AJ26" i="44"/>
  <c r="AI26" i="44"/>
  <c r="AD26" i="44"/>
  <c r="AC26" i="44"/>
  <c r="AJ25" i="44"/>
  <c r="AI25" i="44"/>
  <c r="AF25" i="44"/>
  <c r="AJ24" i="44"/>
  <c r="AI24" i="44"/>
  <c r="AD24" i="44"/>
  <c r="AC24" i="44"/>
  <c r="AJ23" i="44"/>
  <c r="AI23" i="44"/>
  <c r="AD23" i="44"/>
  <c r="AC23" i="44"/>
  <c r="AJ22" i="44"/>
  <c r="AI22" i="44"/>
  <c r="AJ21" i="44"/>
  <c r="AI21" i="44"/>
  <c r="AD21" i="44"/>
  <c r="AC21" i="44"/>
  <c r="AJ20" i="44"/>
  <c r="AI20" i="44"/>
  <c r="AF20" i="44"/>
  <c r="AJ19" i="44"/>
  <c r="AI19" i="44"/>
  <c r="AC19" i="44"/>
  <c r="AJ18" i="44"/>
  <c r="AI18" i="44"/>
  <c r="AD18" i="44"/>
  <c r="AC18" i="44"/>
  <c r="AJ17" i="44"/>
  <c r="AI17" i="44"/>
  <c r="AJ16" i="44"/>
  <c r="AI16" i="44"/>
  <c r="AF16" i="44"/>
  <c r="AC16" i="44"/>
  <c r="AJ15" i="44"/>
  <c r="AI15" i="44"/>
  <c r="AD15" i="44"/>
  <c r="AG15" i="44"/>
  <c r="AJ14" i="44"/>
  <c r="AI14" i="44"/>
  <c r="AJ13" i="44"/>
  <c r="AI13" i="44"/>
  <c r="AD13" i="44"/>
  <c r="AC13" i="44"/>
  <c r="AJ12" i="44"/>
  <c r="AI12" i="44"/>
  <c r="AH12" i="44"/>
  <c r="AJ11" i="44"/>
  <c r="AI11" i="44"/>
  <c r="AH11" i="44"/>
  <c r="AC11" i="44"/>
  <c r="AJ10" i="44"/>
  <c r="AI10" i="44"/>
  <c r="AD10" i="44"/>
  <c r="AC10" i="44"/>
  <c r="AJ9" i="44"/>
  <c r="AI9" i="44"/>
  <c r="AF9" i="44"/>
  <c r="AJ8" i="44"/>
  <c r="AI8" i="44"/>
  <c r="AD8" i="44"/>
  <c r="AC8" i="44"/>
  <c r="AJ7" i="44"/>
  <c r="AI7" i="44"/>
  <c r="AD7" i="44"/>
  <c r="AJ6" i="44"/>
  <c r="AI6" i="44"/>
  <c r="AH6" i="44"/>
  <c r="AG6" i="44"/>
  <c r="AJ5" i="44"/>
  <c r="Q56" i="44"/>
  <c r="K56" i="44"/>
  <c r="AD5" i="44"/>
  <c r="AC5" i="44"/>
  <c r="E123" i="43"/>
  <c r="D123" i="43"/>
  <c r="AJ122" i="43"/>
  <c r="AI122" i="43"/>
  <c r="AD122" i="43"/>
  <c r="AJ54" i="43"/>
  <c r="AI54" i="43"/>
  <c r="AH54" i="43"/>
  <c r="AJ53" i="43"/>
  <c r="AI53" i="43"/>
  <c r="AD53" i="43"/>
  <c r="AC53" i="43"/>
  <c r="AJ52" i="43"/>
  <c r="AI52" i="43"/>
  <c r="AJ51" i="43"/>
  <c r="AI51" i="43"/>
  <c r="AC51" i="43"/>
  <c r="AI50" i="43"/>
  <c r="AJ50" i="43"/>
  <c r="AD50" i="43"/>
  <c r="AC50" i="43"/>
  <c r="AJ49" i="43"/>
  <c r="AI49" i="43"/>
  <c r="AF49" i="43"/>
  <c r="AJ48" i="43"/>
  <c r="AI48" i="43"/>
  <c r="AD48" i="43"/>
  <c r="AC48" i="43"/>
  <c r="AJ47" i="43"/>
  <c r="AI47" i="43"/>
  <c r="AD47" i="43"/>
  <c r="AJ46" i="43"/>
  <c r="AI46" i="43"/>
  <c r="AH46" i="43"/>
  <c r="AJ45" i="43"/>
  <c r="AI45" i="43"/>
  <c r="AD45" i="43"/>
  <c r="AC45" i="43"/>
  <c r="AJ44" i="43"/>
  <c r="AI44" i="43"/>
  <c r="AJ43" i="43"/>
  <c r="AI43" i="43"/>
  <c r="AC43" i="43"/>
  <c r="AJ42" i="43"/>
  <c r="AI42" i="43"/>
  <c r="AD42" i="43"/>
  <c r="AC42" i="43"/>
  <c r="AJ41" i="43"/>
  <c r="AI41" i="43"/>
  <c r="AF41" i="43"/>
  <c r="AJ40" i="43"/>
  <c r="AI40" i="43"/>
  <c r="AD40" i="43"/>
  <c r="AC40" i="43"/>
  <c r="AJ39" i="43"/>
  <c r="AI39" i="43"/>
  <c r="AD39" i="43"/>
  <c r="AE39" i="43"/>
  <c r="AJ38" i="43"/>
  <c r="AI38" i="43"/>
  <c r="AJ37" i="43"/>
  <c r="AI37" i="43"/>
  <c r="AD37" i="43"/>
  <c r="AC37" i="43"/>
  <c r="AJ36" i="43"/>
  <c r="AI36" i="43"/>
  <c r="AF36" i="43"/>
  <c r="AE36" i="43"/>
  <c r="AJ35" i="43"/>
  <c r="AI35" i="43"/>
  <c r="AC35" i="43"/>
  <c r="AJ34" i="43"/>
  <c r="AI34" i="43"/>
  <c r="AD34" i="43"/>
  <c r="AC34" i="43"/>
  <c r="AJ33" i="43"/>
  <c r="AI33" i="43"/>
  <c r="AF33" i="43"/>
  <c r="AJ32" i="43"/>
  <c r="AI32" i="43"/>
  <c r="AD32" i="43"/>
  <c r="AC32" i="43"/>
  <c r="AJ31" i="43"/>
  <c r="AI31" i="43"/>
  <c r="AD31" i="43"/>
  <c r="AG31" i="43"/>
  <c r="AJ30" i="43"/>
  <c r="AI30" i="43"/>
  <c r="AJ29" i="43"/>
  <c r="AI29" i="43"/>
  <c r="AD29" i="43"/>
  <c r="AC29" i="43"/>
  <c r="AJ28" i="43"/>
  <c r="AI28" i="43"/>
  <c r="AJ27" i="43"/>
  <c r="AI27" i="43"/>
  <c r="AC27" i="43"/>
  <c r="AJ26" i="43"/>
  <c r="AI26" i="43"/>
  <c r="AD26" i="43"/>
  <c r="AC26" i="43"/>
  <c r="AJ25" i="43"/>
  <c r="AI25" i="43"/>
  <c r="AF25" i="43"/>
  <c r="AJ24" i="43"/>
  <c r="AI24" i="43"/>
  <c r="AD24" i="43"/>
  <c r="AC24" i="43"/>
  <c r="AJ23" i="43"/>
  <c r="AI23" i="43"/>
  <c r="AD23" i="43"/>
  <c r="AG23" i="43"/>
  <c r="AJ22" i="43"/>
  <c r="AI22" i="43"/>
  <c r="AJ21" i="43"/>
  <c r="AI21" i="43"/>
  <c r="AD21" i="43"/>
  <c r="AC21" i="43"/>
  <c r="AJ20" i="43"/>
  <c r="AI20" i="43"/>
  <c r="AF20" i="43"/>
  <c r="AE20" i="43"/>
  <c r="AJ19" i="43"/>
  <c r="AI19" i="43"/>
  <c r="AC19" i="43"/>
  <c r="AJ18" i="43"/>
  <c r="AI18" i="43"/>
  <c r="AD18" i="43"/>
  <c r="AC18" i="43"/>
  <c r="AJ17" i="43"/>
  <c r="AI17" i="43"/>
  <c r="AF17" i="43"/>
  <c r="AJ16" i="43"/>
  <c r="AI16" i="43"/>
  <c r="AD16" i="43"/>
  <c r="AC16" i="43"/>
  <c r="AJ15" i="43"/>
  <c r="AI15" i="43"/>
  <c r="AD15" i="43"/>
  <c r="AJ14" i="43"/>
  <c r="AI14" i="43"/>
  <c r="AJ13" i="43"/>
  <c r="AI13" i="43"/>
  <c r="AD13" i="43"/>
  <c r="AC13" i="43"/>
  <c r="AJ12" i="43"/>
  <c r="AI12" i="43"/>
  <c r="AF12" i="43"/>
  <c r="AE12" i="43"/>
  <c r="AJ11" i="43"/>
  <c r="AI11" i="43"/>
  <c r="AC11" i="43"/>
  <c r="AI10" i="43"/>
  <c r="AJ10" i="43"/>
  <c r="AD10" i="43"/>
  <c r="AC10" i="43"/>
  <c r="AJ9" i="43"/>
  <c r="AI9" i="43"/>
  <c r="AJ8" i="43"/>
  <c r="AI8" i="43"/>
  <c r="AD8" i="43"/>
  <c r="AC8" i="43"/>
  <c r="AJ7" i="43"/>
  <c r="AI7" i="43"/>
  <c r="AE7" i="43"/>
  <c r="AD7" i="43"/>
  <c r="AJ6" i="43"/>
  <c r="AI6" i="43"/>
  <c r="AH6" i="43"/>
  <c r="AJ5" i="43"/>
  <c r="AD5" i="43"/>
  <c r="AC5" i="43"/>
  <c r="F51" i="45" l="1"/>
  <c r="V123" i="43"/>
  <c r="AB123" i="43"/>
  <c r="N123" i="43"/>
  <c r="F123" i="43"/>
  <c r="W56" i="44"/>
  <c r="X56" i="44"/>
  <c r="N56" i="44"/>
  <c r="O56" i="44"/>
  <c r="P56" i="44"/>
  <c r="U56" i="44"/>
  <c r="V56" i="44"/>
  <c r="F56" i="47"/>
  <c r="S56" i="47"/>
  <c r="X56" i="47"/>
  <c r="AA56" i="54"/>
  <c r="O56" i="54"/>
  <c r="F56" i="54"/>
  <c r="F56" i="55"/>
  <c r="Y56" i="56"/>
  <c r="AJ56" i="56"/>
  <c r="O123" i="43"/>
  <c r="W123" i="43"/>
  <c r="AG9" i="43"/>
  <c r="AH11" i="43"/>
  <c r="AH19" i="43"/>
  <c r="AH27" i="43"/>
  <c r="AE15" i="44"/>
  <c r="AF21" i="45"/>
  <c r="AH43" i="45"/>
  <c r="AG46" i="45"/>
  <c r="AH14" i="46"/>
  <c r="AE38" i="46"/>
  <c r="AE43" i="46"/>
  <c r="AH46" i="46"/>
  <c r="AG49" i="46"/>
  <c r="AE51" i="46"/>
  <c r="AH54" i="46"/>
  <c r="AG17" i="47"/>
  <c r="AE31" i="56"/>
  <c r="AE52" i="56"/>
  <c r="AG17" i="43"/>
  <c r="AG25" i="43"/>
  <c r="AH30" i="43"/>
  <c r="AH38" i="43"/>
  <c r="AG41" i="43"/>
  <c r="AH43" i="43"/>
  <c r="AG46" i="43"/>
  <c r="AG7" i="44"/>
  <c r="AH6" i="45"/>
  <c r="AF15" i="45"/>
  <c r="AG20" i="45"/>
  <c r="AG41" i="45"/>
  <c r="AG49" i="45"/>
  <c r="G51" i="45"/>
  <c r="AF16" i="46"/>
  <c r="AE16" i="46"/>
  <c r="AH21" i="47"/>
  <c r="AF36" i="55"/>
  <c r="AE39" i="55"/>
  <c r="AF44" i="55"/>
  <c r="AF44" i="56"/>
  <c r="AE47" i="56"/>
  <c r="AH11" i="45"/>
  <c r="AH22" i="45"/>
  <c r="AF27" i="45"/>
  <c r="AF36" i="45"/>
  <c r="AF12" i="46"/>
  <c r="AG21" i="46"/>
  <c r="AF19" i="47"/>
  <c r="K56" i="54"/>
  <c r="U56" i="54"/>
  <c r="AH11" i="54"/>
  <c r="P56" i="55"/>
  <c r="X56" i="55"/>
  <c r="AH11" i="55"/>
  <c r="AG13" i="55"/>
  <c r="AG14" i="56"/>
  <c r="AJ123" i="43"/>
  <c r="AD56" i="46"/>
  <c r="S56" i="46"/>
  <c r="AA56" i="46"/>
  <c r="AH26" i="46"/>
  <c r="AG6" i="47"/>
  <c r="N56" i="54"/>
  <c r="V56" i="54"/>
  <c r="AH6" i="54"/>
  <c r="AG9" i="54"/>
  <c r="AH27" i="54"/>
  <c r="AG30" i="54"/>
  <c r="AH35" i="54"/>
  <c r="AG38" i="54"/>
  <c r="AE11" i="55"/>
  <c r="N56" i="56"/>
  <c r="V56" i="56"/>
  <c r="AA123" i="43"/>
  <c r="AF44" i="43"/>
  <c r="AE47" i="43"/>
  <c r="AE52" i="43"/>
  <c r="AC7" i="44"/>
  <c r="AE12" i="44"/>
  <c r="AG17" i="44"/>
  <c r="AG22" i="44"/>
  <c r="AH27" i="44"/>
  <c r="AG30" i="44"/>
  <c r="AD11" i="45"/>
  <c r="AG14" i="45"/>
  <c r="AG18" i="45"/>
  <c r="AG28" i="45"/>
  <c r="AF39" i="45"/>
  <c r="J56" i="46"/>
  <c r="T56" i="46"/>
  <c r="AB56" i="46"/>
  <c r="AE20" i="46"/>
  <c r="N56" i="47"/>
  <c r="V56" i="47"/>
  <c r="AH11" i="47"/>
  <c r="AG14" i="47"/>
  <c r="AE28" i="47"/>
  <c r="AF17" i="54"/>
  <c r="AH22" i="54"/>
  <c r="AG25" i="54"/>
  <c r="AH30" i="54"/>
  <c r="AH38" i="54"/>
  <c r="AH46" i="54"/>
  <c r="AG49" i="54"/>
  <c r="AH54" i="54"/>
  <c r="AH14" i="55"/>
  <c r="AG17" i="55"/>
  <c r="O56" i="56"/>
  <c r="W56" i="56"/>
  <c r="AF9" i="56"/>
  <c r="AE12" i="56"/>
  <c r="AG17" i="56"/>
  <c r="AH19" i="56"/>
  <c r="AE15" i="43"/>
  <c r="J56" i="44"/>
  <c r="T56" i="44"/>
  <c r="AB56" i="44"/>
  <c r="AH22" i="44"/>
  <c r="AH30" i="44"/>
  <c r="AG33" i="44"/>
  <c r="AH43" i="44"/>
  <c r="AG46" i="44"/>
  <c r="AH30" i="45"/>
  <c r="K56" i="46"/>
  <c r="U56" i="46"/>
  <c r="AG6" i="46"/>
  <c r="AH10" i="46"/>
  <c r="AG25" i="46"/>
  <c r="AG30" i="46"/>
  <c r="O56" i="47"/>
  <c r="W56" i="47"/>
  <c r="AE11" i="47"/>
  <c r="AH38" i="47"/>
  <c r="S56" i="55"/>
  <c r="AA56" i="55"/>
  <c r="AF17" i="55"/>
  <c r="AG25" i="56"/>
  <c r="AH27" i="56"/>
  <c r="AH35" i="56"/>
  <c r="AG38" i="56"/>
  <c r="AE15" i="55"/>
  <c r="AF20" i="55"/>
  <c r="AG38" i="55"/>
  <c r="F56" i="56"/>
  <c r="AC14" i="45"/>
  <c r="AG9" i="46"/>
  <c r="AE28" i="46"/>
  <c r="AH43" i="46"/>
  <c r="AG46" i="46"/>
  <c r="G56" i="46"/>
  <c r="AF12" i="47"/>
  <c r="AF41" i="47"/>
  <c r="AH46" i="47"/>
  <c r="AG49" i="47"/>
  <c r="AH54" i="47"/>
  <c r="G56" i="56"/>
  <c r="U123" i="43"/>
  <c r="AG6" i="43"/>
  <c r="AG15" i="43"/>
  <c r="AH22" i="43"/>
  <c r="AE31" i="43"/>
  <c r="AG22" i="43"/>
  <c r="AE122" i="43"/>
  <c r="AH14" i="43"/>
  <c r="AE23" i="43"/>
  <c r="AF28" i="43"/>
  <c r="AG33" i="43"/>
  <c r="AH35" i="43"/>
  <c r="AG38" i="43"/>
  <c r="AF52" i="43"/>
  <c r="Y123" i="43"/>
  <c r="AG7" i="43"/>
  <c r="AF9" i="43"/>
  <c r="AG14" i="43"/>
  <c r="AE28" i="43"/>
  <c r="X123" i="43"/>
  <c r="AG30" i="43"/>
  <c r="AE44" i="43"/>
  <c r="AG49" i="43"/>
  <c r="AH51" i="43"/>
  <c r="AG54" i="43"/>
  <c r="S56" i="44"/>
  <c r="R56" i="44"/>
  <c r="AJ56" i="44"/>
  <c r="AF12" i="44"/>
  <c r="AC15" i="44"/>
  <c r="AF17" i="44"/>
  <c r="AH19" i="44"/>
  <c r="AE28" i="44"/>
  <c r="AF52" i="44"/>
  <c r="Y56" i="44"/>
  <c r="AE13" i="44"/>
  <c r="AD16" i="44"/>
  <c r="AD20" i="44"/>
  <c r="AE23" i="44"/>
  <c r="AG25" i="44"/>
  <c r="AF36" i="44"/>
  <c r="AE39" i="44"/>
  <c r="AE44" i="44"/>
  <c r="AG49" i="44"/>
  <c r="AH51" i="44"/>
  <c r="AG54" i="44"/>
  <c r="AE31" i="44"/>
  <c r="AH46" i="44"/>
  <c r="AI5" i="44"/>
  <c r="AI56" i="44" s="1"/>
  <c r="AE5" i="44"/>
  <c r="AE7" i="44"/>
  <c r="AG9" i="44"/>
  <c r="AE11" i="44"/>
  <c r="AF7" i="44"/>
  <c r="AD12" i="44"/>
  <c r="AH14" i="44"/>
  <c r="AE20" i="44"/>
  <c r="AG38" i="44"/>
  <c r="AA56" i="44"/>
  <c r="AG14" i="44"/>
  <c r="AF28" i="44"/>
  <c r="AH35" i="44"/>
  <c r="AE55" i="44"/>
  <c r="AG9" i="45"/>
  <c r="AC10" i="45"/>
  <c r="AG12" i="45"/>
  <c r="AF13" i="45"/>
  <c r="AE23" i="45"/>
  <c r="AE24" i="45"/>
  <c r="AH27" i="45"/>
  <c r="AE31" i="45"/>
  <c r="AE32" i="45"/>
  <c r="AG36" i="45"/>
  <c r="AG38" i="45"/>
  <c r="AF5" i="45"/>
  <c r="AF7" i="45"/>
  <c r="AE15" i="45"/>
  <c r="AE16" i="45"/>
  <c r="AH19" i="45"/>
  <c r="AG22" i="45"/>
  <c r="AE26" i="45"/>
  <c r="AD27" i="45"/>
  <c r="AG30" i="45"/>
  <c r="AH35" i="45"/>
  <c r="AE7" i="45"/>
  <c r="AE8" i="45"/>
  <c r="AE18" i="45"/>
  <c r="AD19" i="45"/>
  <c r="AE34" i="45"/>
  <c r="AD35" i="45"/>
  <c r="AD39" i="45"/>
  <c r="AC6" i="45"/>
  <c r="AE20" i="45"/>
  <c r="AH23" i="45"/>
  <c r="AE28" i="45"/>
  <c r="AH31" i="45"/>
  <c r="AF44" i="45"/>
  <c r="AE47" i="45"/>
  <c r="AF9" i="45"/>
  <c r="AF11" i="45"/>
  <c r="AE12" i="45"/>
  <c r="AH14" i="45"/>
  <c r="AH15" i="45"/>
  <c r="AE22" i="45"/>
  <c r="AD23" i="45"/>
  <c r="AH25" i="45"/>
  <c r="AG26" i="45"/>
  <c r="AE30" i="45"/>
  <c r="AD31" i="45"/>
  <c r="AF33" i="45"/>
  <c r="AE36" i="45"/>
  <c r="AE39" i="45"/>
  <c r="AF41" i="45"/>
  <c r="AE44" i="45"/>
  <c r="AF49" i="45"/>
  <c r="AG6" i="45"/>
  <c r="AH7" i="45"/>
  <c r="AE14" i="45"/>
  <c r="AD15" i="45"/>
  <c r="AH17" i="45"/>
  <c r="AF20" i="45"/>
  <c r="AG25" i="45"/>
  <c r="AC26" i="45"/>
  <c r="AF28" i="45"/>
  <c r="AG33" i="45"/>
  <c r="AG34" i="45"/>
  <c r="AG10" i="45"/>
  <c r="N56" i="46"/>
  <c r="V56" i="46"/>
  <c r="AH6" i="46"/>
  <c r="AH11" i="46"/>
  <c r="AD19" i="46"/>
  <c r="AE27" i="46"/>
  <c r="AE31" i="46"/>
  <c r="AF32" i="46"/>
  <c r="AE36" i="46"/>
  <c r="AG38" i="46"/>
  <c r="AF44" i="46"/>
  <c r="AE44" i="46"/>
  <c r="AE46" i="46"/>
  <c r="AH51" i="46"/>
  <c r="AG54" i="46"/>
  <c r="AC22" i="46"/>
  <c r="AC25" i="46"/>
  <c r="AD30" i="46"/>
  <c r="AE35" i="46"/>
  <c r="AE7" i="46"/>
  <c r="AF8" i="46"/>
  <c r="AE12" i="46"/>
  <c r="AG14" i="46"/>
  <c r="AE22" i="46"/>
  <c r="AG24" i="46"/>
  <c r="AH27" i="46"/>
  <c r="AC30" i="46"/>
  <c r="AD35" i="46"/>
  <c r="AG41" i="46"/>
  <c r="AC56" i="46"/>
  <c r="R56" i="46"/>
  <c r="AE8" i="46"/>
  <c r="AG13" i="46"/>
  <c r="AG17" i="46"/>
  <c r="AH18" i="46"/>
  <c r="AH22" i="46"/>
  <c r="AF25" i="46"/>
  <c r="AE30" i="46"/>
  <c r="AE11" i="46"/>
  <c r="AE55" i="46"/>
  <c r="AF24" i="46"/>
  <c r="AF52" i="46"/>
  <c r="AC6" i="46"/>
  <c r="AE6" i="46"/>
  <c r="AC9" i="46"/>
  <c r="AD14" i="46"/>
  <c r="AE19" i="46"/>
  <c r="AE23" i="46"/>
  <c r="AE24" i="46"/>
  <c r="AG29" i="46"/>
  <c r="AG33" i="46"/>
  <c r="AH34" i="46"/>
  <c r="AF36" i="46"/>
  <c r="AH38" i="46"/>
  <c r="AE7" i="47"/>
  <c r="AG8" i="47"/>
  <c r="AE20" i="47"/>
  <c r="AG22" i="47"/>
  <c r="AF28" i="47"/>
  <c r="R56" i="47"/>
  <c r="AJ56" i="47"/>
  <c r="AE6" i="47"/>
  <c r="AG54" i="47"/>
  <c r="AF11" i="47"/>
  <c r="AH13" i="47"/>
  <c r="AE23" i="47"/>
  <c r="AG25" i="47"/>
  <c r="AH27" i="47"/>
  <c r="AG30" i="47"/>
  <c r="AE39" i="47"/>
  <c r="AG41" i="47"/>
  <c r="AH43" i="47"/>
  <c r="AG46" i="47"/>
  <c r="AH6" i="47"/>
  <c r="AE8" i="47"/>
  <c r="AF17" i="47"/>
  <c r="AH19" i="47"/>
  <c r="AF36" i="47"/>
  <c r="K56" i="47"/>
  <c r="AF9" i="47"/>
  <c r="AE55" i="47"/>
  <c r="U56" i="47"/>
  <c r="AH5" i="47"/>
  <c r="J56" i="47"/>
  <c r="T56" i="47"/>
  <c r="AB56" i="47"/>
  <c r="AG9" i="47"/>
  <c r="AC12" i="47"/>
  <c r="AE14" i="47"/>
  <c r="AF20" i="47"/>
  <c r="AH22" i="47"/>
  <c r="AE31" i="47"/>
  <c r="AG33" i="47"/>
  <c r="AH35" i="47"/>
  <c r="AG38" i="47"/>
  <c r="AE47" i="47"/>
  <c r="AF52" i="47"/>
  <c r="AC56" i="54"/>
  <c r="AE7" i="54"/>
  <c r="AE12" i="54"/>
  <c r="AG17" i="54"/>
  <c r="AG22" i="54"/>
  <c r="AE55" i="54"/>
  <c r="P56" i="54"/>
  <c r="X56" i="54"/>
  <c r="AF9" i="54"/>
  <c r="AD11" i="54"/>
  <c r="AH14" i="54"/>
  <c r="AH19" i="54"/>
  <c r="AE47" i="54"/>
  <c r="AF52" i="54"/>
  <c r="AG14" i="54"/>
  <c r="AG6" i="54"/>
  <c r="AE23" i="54"/>
  <c r="AG41" i="54"/>
  <c r="AH51" i="54"/>
  <c r="AG54" i="54"/>
  <c r="J56" i="54"/>
  <c r="T56" i="54"/>
  <c r="AB56" i="54"/>
  <c r="AC22" i="54"/>
  <c r="AD27" i="54"/>
  <c r="AG33" i="54"/>
  <c r="AH43" i="54"/>
  <c r="AG46" i="54"/>
  <c r="AD56" i="55"/>
  <c r="Q56" i="55"/>
  <c r="Y56" i="55"/>
  <c r="AF8" i="55"/>
  <c r="AH10" i="55"/>
  <c r="AD14" i="55"/>
  <c r="AF24" i="55"/>
  <c r="AH27" i="55"/>
  <c r="AH46" i="55"/>
  <c r="AH51" i="55"/>
  <c r="AG54" i="55"/>
  <c r="AH6" i="55"/>
  <c r="AE12" i="55"/>
  <c r="AG14" i="55"/>
  <c r="AC17" i="55"/>
  <c r="AE20" i="55"/>
  <c r="AH22" i="55"/>
  <c r="AE31" i="55"/>
  <c r="AF33" i="55"/>
  <c r="AE36" i="55"/>
  <c r="AG41" i="55"/>
  <c r="AH43" i="55"/>
  <c r="AG46" i="55"/>
  <c r="K56" i="55"/>
  <c r="U56" i="55"/>
  <c r="AG6" i="55"/>
  <c r="AE19" i="55"/>
  <c r="AG22" i="55"/>
  <c r="AE28" i="55"/>
  <c r="AE55" i="55"/>
  <c r="R56" i="55"/>
  <c r="AJ56" i="55"/>
  <c r="AE7" i="55"/>
  <c r="AG9" i="55"/>
  <c r="AF16" i="55"/>
  <c r="AE23" i="55"/>
  <c r="AG25" i="55"/>
  <c r="AE27" i="55"/>
  <c r="AG30" i="55"/>
  <c r="AE47" i="55"/>
  <c r="AF52" i="55"/>
  <c r="AG30" i="56"/>
  <c r="S56" i="56"/>
  <c r="AG7" i="56"/>
  <c r="AH11" i="56"/>
  <c r="P56" i="56"/>
  <c r="X56" i="56"/>
  <c r="AG9" i="56"/>
  <c r="AE15" i="56"/>
  <c r="AD17" i="56"/>
  <c r="AH22" i="56"/>
  <c r="AE44" i="56"/>
  <c r="AG49" i="56"/>
  <c r="AH51" i="56"/>
  <c r="AG54" i="56"/>
  <c r="AG22" i="56"/>
  <c r="AE39" i="56"/>
  <c r="AC12" i="56"/>
  <c r="AG46" i="56"/>
  <c r="AG6" i="56"/>
  <c r="J56" i="56"/>
  <c r="T56" i="56"/>
  <c r="AB56" i="56"/>
  <c r="AF12" i="56"/>
  <c r="AE23" i="56"/>
  <c r="AE55" i="56"/>
  <c r="AA56" i="56"/>
  <c r="AD9" i="56"/>
  <c r="AH30" i="56"/>
  <c r="AF52" i="56"/>
  <c r="AI5" i="56"/>
  <c r="AI56" i="56" s="1"/>
  <c r="AF6" i="56"/>
  <c r="AC7" i="56"/>
  <c r="AH8" i="56"/>
  <c r="AE9" i="56"/>
  <c r="AG11" i="56"/>
  <c r="AD12" i="56"/>
  <c r="AF14" i="56"/>
  <c r="AC15" i="56"/>
  <c r="AH16" i="56"/>
  <c r="AE17" i="56"/>
  <c r="AG19" i="56"/>
  <c r="AD20" i="56"/>
  <c r="AF22" i="56"/>
  <c r="AC23" i="56"/>
  <c r="AH24" i="56"/>
  <c r="AE25" i="56"/>
  <c r="AG27" i="56"/>
  <c r="AD28" i="56"/>
  <c r="AF30" i="56"/>
  <c r="AC31" i="56"/>
  <c r="AH32" i="56"/>
  <c r="AE33" i="56"/>
  <c r="AG35" i="56"/>
  <c r="AD36" i="56"/>
  <c r="AF38" i="56"/>
  <c r="AC39" i="56"/>
  <c r="AH40" i="56"/>
  <c r="AE41" i="56"/>
  <c r="AG43" i="56"/>
  <c r="AD44" i="56"/>
  <c r="AF46" i="56"/>
  <c r="AC47" i="56"/>
  <c r="AH48" i="56"/>
  <c r="AE49" i="56"/>
  <c r="AG51" i="56"/>
  <c r="AD52" i="56"/>
  <c r="AF54" i="56"/>
  <c r="AC55" i="56"/>
  <c r="L56" i="56"/>
  <c r="AE6" i="56"/>
  <c r="AG8" i="56"/>
  <c r="AF11" i="56"/>
  <c r="AH13" i="56"/>
  <c r="AE14" i="56"/>
  <c r="AG16" i="56"/>
  <c r="AF19" i="56"/>
  <c r="AC20" i="56"/>
  <c r="AH21" i="56"/>
  <c r="AE22" i="56"/>
  <c r="AG24" i="56"/>
  <c r="AD25" i="56"/>
  <c r="AF27" i="56"/>
  <c r="AC28" i="56"/>
  <c r="AH29" i="56"/>
  <c r="AE30" i="56"/>
  <c r="AG32" i="56"/>
  <c r="AD33" i="56"/>
  <c r="AF35" i="56"/>
  <c r="AC36" i="56"/>
  <c r="AH37" i="56"/>
  <c r="AE38" i="56"/>
  <c r="AG40" i="56"/>
  <c r="AD41" i="56"/>
  <c r="AF43" i="56"/>
  <c r="AC44" i="56"/>
  <c r="AH45" i="56"/>
  <c r="AE46" i="56"/>
  <c r="AG48" i="56"/>
  <c r="AD49" i="56"/>
  <c r="AF51" i="56"/>
  <c r="AC52" i="56"/>
  <c r="AH53" i="56"/>
  <c r="AE54" i="56"/>
  <c r="AG5" i="56"/>
  <c r="AD6" i="56"/>
  <c r="AD56" i="56" s="1"/>
  <c r="AF8" i="56"/>
  <c r="AC9" i="56"/>
  <c r="AH10" i="56"/>
  <c r="AE11" i="56"/>
  <c r="AG13" i="56"/>
  <c r="AD14" i="56"/>
  <c r="AF16" i="56"/>
  <c r="AC17" i="56"/>
  <c r="AH18" i="56"/>
  <c r="AE19" i="56"/>
  <c r="AG21" i="56"/>
  <c r="AD22" i="56"/>
  <c r="AF24" i="56"/>
  <c r="AC25" i="56"/>
  <c r="AH26" i="56"/>
  <c r="AE27" i="56"/>
  <c r="AG29" i="56"/>
  <c r="AD30" i="56"/>
  <c r="AF32" i="56"/>
  <c r="AC33" i="56"/>
  <c r="AH34" i="56"/>
  <c r="AE35" i="56"/>
  <c r="AG37" i="56"/>
  <c r="AD38" i="56"/>
  <c r="AF40" i="56"/>
  <c r="AC41" i="56"/>
  <c r="AH42" i="56"/>
  <c r="AE43" i="56"/>
  <c r="AG45" i="56"/>
  <c r="AD46" i="56"/>
  <c r="AF48" i="56"/>
  <c r="AC49" i="56"/>
  <c r="AH50" i="56"/>
  <c r="AE51" i="56"/>
  <c r="AG53" i="56"/>
  <c r="AD54" i="56"/>
  <c r="Z56" i="56"/>
  <c r="AH5" i="56"/>
  <c r="AF5" i="56"/>
  <c r="AC6" i="56"/>
  <c r="AC56" i="56" s="1"/>
  <c r="AH7" i="56"/>
  <c r="AE8" i="56"/>
  <c r="AG10" i="56"/>
  <c r="AD11" i="56"/>
  <c r="AF13" i="56"/>
  <c r="AC14" i="56"/>
  <c r="AH15" i="56"/>
  <c r="AE16" i="56"/>
  <c r="AG18" i="56"/>
  <c r="AD19" i="56"/>
  <c r="AF21" i="56"/>
  <c r="AC22" i="56"/>
  <c r="AH23" i="56"/>
  <c r="AE24" i="56"/>
  <c r="AG26" i="56"/>
  <c r="AD27" i="56"/>
  <c r="AF29" i="56"/>
  <c r="AC30" i="56"/>
  <c r="AH31" i="56"/>
  <c r="AE32" i="56"/>
  <c r="AG34" i="56"/>
  <c r="AD35" i="56"/>
  <c r="AF37" i="56"/>
  <c r="AC38" i="56"/>
  <c r="AH39" i="56"/>
  <c r="AE40" i="56"/>
  <c r="AG42" i="56"/>
  <c r="AD43" i="56"/>
  <c r="AF45" i="56"/>
  <c r="AC46" i="56"/>
  <c r="AH47" i="56"/>
  <c r="AE48" i="56"/>
  <c r="AG50" i="56"/>
  <c r="AD51" i="56"/>
  <c r="AF53" i="56"/>
  <c r="AC54" i="56"/>
  <c r="AH55" i="56"/>
  <c r="I56" i="56"/>
  <c r="AE5" i="56"/>
  <c r="AF10" i="56"/>
  <c r="AH12" i="56"/>
  <c r="AE13" i="56"/>
  <c r="AF18" i="56"/>
  <c r="AH20" i="56"/>
  <c r="AE21" i="56"/>
  <c r="AF26" i="56"/>
  <c r="AH28" i="56"/>
  <c r="AE29" i="56"/>
  <c r="AG31" i="56"/>
  <c r="AF34" i="56"/>
  <c r="AH36" i="56"/>
  <c r="AE37" i="56"/>
  <c r="AG39" i="56"/>
  <c r="AF42" i="56"/>
  <c r="AH44" i="56"/>
  <c r="AE45" i="56"/>
  <c r="AG47" i="56"/>
  <c r="AF50" i="56"/>
  <c r="AH52" i="56"/>
  <c r="AE53" i="56"/>
  <c r="AG55" i="56"/>
  <c r="H56" i="56"/>
  <c r="AF7" i="56"/>
  <c r="AH9" i="56"/>
  <c r="AE10" i="56"/>
  <c r="AG12" i="56"/>
  <c r="AF15" i="56"/>
  <c r="AH17" i="56"/>
  <c r="AE18" i="56"/>
  <c r="AG20" i="56"/>
  <c r="AF23" i="56"/>
  <c r="AH25" i="56"/>
  <c r="AE26" i="56"/>
  <c r="AG28" i="56"/>
  <c r="AF31" i="56"/>
  <c r="AH33" i="56"/>
  <c r="AE34" i="56"/>
  <c r="AG36" i="56"/>
  <c r="AF39" i="56"/>
  <c r="AH41" i="56"/>
  <c r="AE42" i="56"/>
  <c r="AG44" i="56"/>
  <c r="AF47" i="56"/>
  <c r="AH49" i="56"/>
  <c r="AE50" i="56"/>
  <c r="AG52" i="56"/>
  <c r="AF55" i="56"/>
  <c r="AI5" i="55"/>
  <c r="AI56" i="55" s="1"/>
  <c r="AF6" i="55"/>
  <c r="AC7" i="55"/>
  <c r="AH8" i="55"/>
  <c r="AE9" i="55"/>
  <c r="AG11" i="55"/>
  <c r="AD12" i="55"/>
  <c r="AF14" i="55"/>
  <c r="AC15" i="55"/>
  <c r="AH16" i="55"/>
  <c r="AE17" i="55"/>
  <c r="AG19" i="55"/>
  <c r="AD20" i="55"/>
  <c r="AF22" i="55"/>
  <c r="AC23" i="55"/>
  <c r="AH24" i="55"/>
  <c r="AE25" i="55"/>
  <c r="AG27" i="55"/>
  <c r="AD28" i="55"/>
  <c r="AF30" i="55"/>
  <c r="AC31" i="55"/>
  <c r="AH32" i="55"/>
  <c r="AE33" i="55"/>
  <c r="AG35" i="55"/>
  <c r="AD36" i="55"/>
  <c r="AF38" i="55"/>
  <c r="AC39" i="55"/>
  <c r="AH40" i="55"/>
  <c r="AE41" i="55"/>
  <c r="AG43" i="55"/>
  <c r="AD44" i="55"/>
  <c r="AF46" i="55"/>
  <c r="AC47" i="55"/>
  <c r="AH48" i="55"/>
  <c r="AE49" i="55"/>
  <c r="AG51" i="55"/>
  <c r="AD52" i="55"/>
  <c r="AF54" i="55"/>
  <c r="AC55" i="55"/>
  <c r="L56" i="55"/>
  <c r="AH5" i="55"/>
  <c r="AE6" i="55"/>
  <c r="AG8" i="55"/>
  <c r="AD9" i="55"/>
  <c r="AF11" i="55"/>
  <c r="AC12" i="55"/>
  <c r="AH13" i="55"/>
  <c r="AE14" i="55"/>
  <c r="AG16" i="55"/>
  <c r="AD17" i="55"/>
  <c r="AF19" i="55"/>
  <c r="AC20" i="55"/>
  <c r="AH21" i="55"/>
  <c r="AE22" i="55"/>
  <c r="AG24" i="55"/>
  <c r="AD25" i="55"/>
  <c r="AF27" i="55"/>
  <c r="AC28" i="55"/>
  <c r="AH29" i="55"/>
  <c r="AE30" i="55"/>
  <c r="AG32" i="55"/>
  <c r="AD33" i="55"/>
  <c r="AF35" i="55"/>
  <c r="AC36" i="55"/>
  <c r="AH37" i="55"/>
  <c r="AE38" i="55"/>
  <c r="AG40" i="55"/>
  <c r="AD41" i="55"/>
  <c r="AF43" i="55"/>
  <c r="AC44" i="55"/>
  <c r="AH45" i="55"/>
  <c r="AE46" i="55"/>
  <c r="AG48" i="55"/>
  <c r="AD49" i="55"/>
  <c r="AF51" i="55"/>
  <c r="AC52" i="55"/>
  <c r="AH53" i="55"/>
  <c r="AE54" i="55"/>
  <c r="AH18" i="55"/>
  <c r="AG21" i="55"/>
  <c r="AC25" i="55"/>
  <c r="AH26" i="55"/>
  <c r="AG29" i="55"/>
  <c r="AD30" i="55"/>
  <c r="AF32" i="55"/>
  <c r="AC33" i="55"/>
  <c r="AH34" i="55"/>
  <c r="AG37" i="55"/>
  <c r="AD38" i="55"/>
  <c r="AF40" i="55"/>
  <c r="AC41" i="55"/>
  <c r="AH42" i="55"/>
  <c r="AE43" i="55"/>
  <c r="AG45" i="55"/>
  <c r="AD46" i="55"/>
  <c r="AF48" i="55"/>
  <c r="AC49" i="55"/>
  <c r="AH50" i="55"/>
  <c r="AE51" i="55"/>
  <c r="AG53" i="55"/>
  <c r="AD54" i="55"/>
  <c r="Z56" i="55"/>
  <c r="AF5" i="55"/>
  <c r="AC6" i="55"/>
  <c r="AC56" i="55" s="1"/>
  <c r="AH7" i="55"/>
  <c r="AE8" i="55"/>
  <c r="AG10" i="55"/>
  <c r="AD11" i="55"/>
  <c r="AF13" i="55"/>
  <c r="AC14" i="55"/>
  <c r="AH15" i="55"/>
  <c r="AE16" i="55"/>
  <c r="AG18" i="55"/>
  <c r="AD19" i="55"/>
  <c r="AF21" i="55"/>
  <c r="AC22" i="55"/>
  <c r="AH23" i="55"/>
  <c r="AE24" i="55"/>
  <c r="AG26" i="55"/>
  <c r="AD27" i="55"/>
  <c r="AF29" i="55"/>
  <c r="AC30" i="55"/>
  <c r="AH31" i="55"/>
  <c r="AE32" i="55"/>
  <c r="AG34" i="55"/>
  <c r="AD35" i="55"/>
  <c r="AF37" i="55"/>
  <c r="AC38" i="55"/>
  <c r="AH39" i="55"/>
  <c r="AE40" i="55"/>
  <c r="AG42" i="55"/>
  <c r="AD43" i="55"/>
  <c r="AF45" i="55"/>
  <c r="AC46" i="55"/>
  <c r="AH47" i="55"/>
  <c r="AE48" i="55"/>
  <c r="AG50" i="55"/>
  <c r="AD51" i="55"/>
  <c r="AF53" i="55"/>
  <c r="AC54" i="55"/>
  <c r="AH55" i="55"/>
  <c r="I56" i="55"/>
  <c r="AE5" i="55"/>
  <c r="AG7" i="55"/>
  <c r="AF10" i="55"/>
  <c r="AH12" i="55"/>
  <c r="AE13" i="55"/>
  <c r="AG15" i="55"/>
  <c r="AF18" i="55"/>
  <c r="AH20" i="55"/>
  <c r="AE21" i="55"/>
  <c r="AG23" i="55"/>
  <c r="AF26" i="55"/>
  <c r="AH28" i="55"/>
  <c r="AE29" i="55"/>
  <c r="AG31" i="55"/>
  <c r="AF34" i="55"/>
  <c r="AH36" i="55"/>
  <c r="AE37" i="55"/>
  <c r="AG39" i="55"/>
  <c r="AF42" i="55"/>
  <c r="AH44" i="55"/>
  <c r="AE45" i="55"/>
  <c r="AG47" i="55"/>
  <c r="AF50" i="55"/>
  <c r="AH52" i="55"/>
  <c r="AE53" i="55"/>
  <c r="AG55" i="55"/>
  <c r="H56" i="55"/>
  <c r="AF7" i="55"/>
  <c r="AH9" i="55"/>
  <c r="AE10" i="55"/>
  <c r="AG12" i="55"/>
  <c r="AF15" i="55"/>
  <c r="AH17" i="55"/>
  <c r="AE18" i="55"/>
  <c r="AG20" i="55"/>
  <c r="AF23" i="55"/>
  <c r="AH25" i="55"/>
  <c r="AE26" i="55"/>
  <c r="AG28" i="55"/>
  <c r="AF31" i="55"/>
  <c r="AH33" i="55"/>
  <c r="AE34" i="55"/>
  <c r="AG36" i="55"/>
  <c r="AF39" i="55"/>
  <c r="AH41" i="55"/>
  <c r="AE42" i="55"/>
  <c r="AG44" i="55"/>
  <c r="AF47" i="55"/>
  <c r="AH49" i="55"/>
  <c r="AE50" i="55"/>
  <c r="AG52" i="55"/>
  <c r="AF55" i="55"/>
  <c r="G56" i="55"/>
  <c r="AG5" i="55"/>
  <c r="AI5" i="54"/>
  <c r="AI56" i="54" s="1"/>
  <c r="AF6" i="54"/>
  <c r="AC7" i="54"/>
  <c r="AH8" i="54"/>
  <c r="AE9" i="54"/>
  <c r="AG11" i="54"/>
  <c r="AD12" i="54"/>
  <c r="AF14" i="54"/>
  <c r="AC15" i="54"/>
  <c r="AH16" i="54"/>
  <c r="AE17" i="54"/>
  <c r="AG19" i="54"/>
  <c r="AD20" i="54"/>
  <c r="AF22" i="54"/>
  <c r="AC23" i="54"/>
  <c r="AH24" i="54"/>
  <c r="AE25" i="54"/>
  <c r="AG27" i="54"/>
  <c r="AD28" i="54"/>
  <c r="AF30" i="54"/>
  <c r="AC31" i="54"/>
  <c r="AH32" i="54"/>
  <c r="AE33" i="54"/>
  <c r="AG35" i="54"/>
  <c r="AD36" i="54"/>
  <c r="AF38" i="54"/>
  <c r="AC39" i="54"/>
  <c r="AH40" i="54"/>
  <c r="AE41" i="54"/>
  <c r="AG43" i="54"/>
  <c r="AD44" i="54"/>
  <c r="AF46" i="54"/>
  <c r="AC47" i="54"/>
  <c r="AH48" i="54"/>
  <c r="AE49" i="54"/>
  <c r="AG51" i="54"/>
  <c r="AD52" i="54"/>
  <c r="AF54" i="54"/>
  <c r="AC55" i="54"/>
  <c r="L56" i="54"/>
  <c r="AH5" i="54"/>
  <c r="AG8" i="54"/>
  <c r="AD9" i="54"/>
  <c r="AF11" i="54"/>
  <c r="AC12" i="54"/>
  <c r="AH13" i="54"/>
  <c r="AE14" i="54"/>
  <c r="AG16" i="54"/>
  <c r="AD17" i="54"/>
  <c r="AF19" i="54"/>
  <c r="AC20" i="54"/>
  <c r="AH21" i="54"/>
  <c r="AE22" i="54"/>
  <c r="AG24" i="54"/>
  <c r="AD25" i="54"/>
  <c r="AF27" i="54"/>
  <c r="AC28" i="54"/>
  <c r="AH29" i="54"/>
  <c r="AE30" i="54"/>
  <c r="AG32" i="54"/>
  <c r="AD33" i="54"/>
  <c r="AF35" i="54"/>
  <c r="AC36" i="54"/>
  <c r="AH37" i="54"/>
  <c r="AE38" i="54"/>
  <c r="AG40" i="54"/>
  <c r="AD41" i="54"/>
  <c r="AF43" i="54"/>
  <c r="AC44" i="54"/>
  <c r="AH45" i="54"/>
  <c r="AE46" i="54"/>
  <c r="AG48" i="54"/>
  <c r="AD49" i="54"/>
  <c r="AF51" i="54"/>
  <c r="AC52" i="54"/>
  <c r="AH53" i="54"/>
  <c r="AE54" i="54"/>
  <c r="AG5" i="54"/>
  <c r="AG56" i="54" s="1"/>
  <c r="AD6" i="54"/>
  <c r="AD56" i="54" s="1"/>
  <c r="AF8" i="54"/>
  <c r="AC9" i="54"/>
  <c r="AH10" i="54"/>
  <c r="AE11" i="54"/>
  <c r="AG13" i="54"/>
  <c r="AD14" i="54"/>
  <c r="AF16" i="54"/>
  <c r="AC17" i="54"/>
  <c r="AH18" i="54"/>
  <c r="AE19" i="54"/>
  <c r="AG21" i="54"/>
  <c r="AD22" i="54"/>
  <c r="AF24" i="54"/>
  <c r="AC25" i="54"/>
  <c r="AH26" i="54"/>
  <c r="AE27" i="54"/>
  <c r="AG29" i="54"/>
  <c r="AD30" i="54"/>
  <c r="AF32" i="54"/>
  <c r="AC33" i="54"/>
  <c r="AH34" i="54"/>
  <c r="AE35" i="54"/>
  <c r="AG37" i="54"/>
  <c r="AD38" i="54"/>
  <c r="AF40" i="54"/>
  <c r="AC41" i="54"/>
  <c r="AH42" i="54"/>
  <c r="AE43" i="54"/>
  <c r="AG45" i="54"/>
  <c r="AD46" i="54"/>
  <c r="AF48" i="54"/>
  <c r="AC49" i="54"/>
  <c r="AH50" i="54"/>
  <c r="AE51" i="54"/>
  <c r="AG53" i="54"/>
  <c r="AD54" i="54"/>
  <c r="Z56" i="54"/>
  <c r="AF5" i="54"/>
  <c r="AH7" i="54"/>
  <c r="AE8" i="54"/>
  <c r="AG10" i="54"/>
  <c r="AF13" i="54"/>
  <c r="AH15" i="54"/>
  <c r="AE16" i="54"/>
  <c r="AG18" i="54"/>
  <c r="AF21" i="54"/>
  <c r="AH23" i="54"/>
  <c r="AE24" i="54"/>
  <c r="AG26" i="54"/>
  <c r="AF29" i="54"/>
  <c r="AC30" i="54"/>
  <c r="AH31" i="54"/>
  <c r="AE32" i="54"/>
  <c r="AG34" i="54"/>
  <c r="AD35" i="54"/>
  <c r="AF37" i="54"/>
  <c r="AC38" i="54"/>
  <c r="AH39" i="54"/>
  <c r="AE40" i="54"/>
  <c r="AG42" i="54"/>
  <c r="AD43" i="54"/>
  <c r="AF45" i="54"/>
  <c r="AC46" i="54"/>
  <c r="AH47" i="54"/>
  <c r="AE48" i="54"/>
  <c r="AG50" i="54"/>
  <c r="AD51" i="54"/>
  <c r="AF53" i="54"/>
  <c r="AC54" i="54"/>
  <c r="AH55" i="54"/>
  <c r="I56" i="54"/>
  <c r="AE5" i="54"/>
  <c r="AE56" i="54" s="1"/>
  <c r="AG7" i="54"/>
  <c r="AF10" i="54"/>
  <c r="AH12" i="54"/>
  <c r="AE13" i="54"/>
  <c r="AG15" i="54"/>
  <c r="AF18" i="54"/>
  <c r="AH20" i="54"/>
  <c r="AE21" i="54"/>
  <c r="AG23" i="54"/>
  <c r="AF26" i="54"/>
  <c r="AH28" i="54"/>
  <c r="AE29" i="54"/>
  <c r="AG31" i="54"/>
  <c r="AF34" i="54"/>
  <c r="AH36" i="54"/>
  <c r="AE37" i="54"/>
  <c r="AG39" i="54"/>
  <c r="AF42" i="54"/>
  <c r="AH44" i="54"/>
  <c r="AE45" i="54"/>
  <c r="AG47" i="54"/>
  <c r="AF50" i="54"/>
  <c r="AH52" i="54"/>
  <c r="AE53" i="54"/>
  <c r="AG55" i="54"/>
  <c r="H56" i="54"/>
  <c r="AF7" i="54"/>
  <c r="AH9" i="54"/>
  <c r="AE10" i="54"/>
  <c r="AG12" i="54"/>
  <c r="AF15" i="54"/>
  <c r="AH17" i="54"/>
  <c r="AE18" i="54"/>
  <c r="AG20" i="54"/>
  <c r="AF23" i="54"/>
  <c r="AH25" i="54"/>
  <c r="AE26" i="54"/>
  <c r="AG28" i="54"/>
  <c r="AF31" i="54"/>
  <c r="AH33" i="54"/>
  <c r="AE34" i="54"/>
  <c r="AG36" i="54"/>
  <c r="AF39" i="54"/>
  <c r="AH41" i="54"/>
  <c r="AE42" i="54"/>
  <c r="AG44" i="54"/>
  <c r="AF47" i="54"/>
  <c r="AH49" i="54"/>
  <c r="AE50" i="54"/>
  <c r="AG52" i="54"/>
  <c r="AF55" i="54"/>
  <c r="G56" i="54"/>
  <c r="AI5" i="47"/>
  <c r="AI56" i="47" s="1"/>
  <c r="AF6" i="47"/>
  <c r="AC7" i="47"/>
  <c r="AH8" i="47"/>
  <c r="AH56" i="47" s="1"/>
  <c r="AE9" i="47"/>
  <c r="AG11" i="47"/>
  <c r="AD12" i="47"/>
  <c r="AF14" i="47"/>
  <c r="AC15" i="47"/>
  <c r="AH16" i="47"/>
  <c r="AE17" i="47"/>
  <c r="AG19" i="47"/>
  <c r="AD20" i="47"/>
  <c r="AF22" i="47"/>
  <c r="AC23" i="47"/>
  <c r="AH24" i="47"/>
  <c r="AE25" i="47"/>
  <c r="AG27" i="47"/>
  <c r="AD28" i="47"/>
  <c r="AF30" i="47"/>
  <c r="AC31" i="47"/>
  <c r="AH32" i="47"/>
  <c r="AE33" i="47"/>
  <c r="AG35" i="47"/>
  <c r="AD36" i="47"/>
  <c r="AF38" i="47"/>
  <c r="AC39" i="47"/>
  <c r="AH40" i="47"/>
  <c r="AE41" i="47"/>
  <c r="AG43" i="47"/>
  <c r="AD44" i="47"/>
  <c r="AF46" i="47"/>
  <c r="AC47" i="47"/>
  <c r="AH48" i="47"/>
  <c r="AE49" i="47"/>
  <c r="AG51" i="47"/>
  <c r="AD52" i="47"/>
  <c r="AF54" i="47"/>
  <c r="AC55" i="47"/>
  <c r="L56" i="47"/>
  <c r="AG24" i="47"/>
  <c r="AD25" i="47"/>
  <c r="AF27" i="47"/>
  <c r="AC28" i="47"/>
  <c r="AH29" i="47"/>
  <c r="AE30" i="47"/>
  <c r="AG32" i="47"/>
  <c r="AD33" i="47"/>
  <c r="AF35" i="47"/>
  <c r="AC36" i="47"/>
  <c r="AH37" i="47"/>
  <c r="AE38" i="47"/>
  <c r="AG40" i="47"/>
  <c r="AD41" i="47"/>
  <c r="AF43" i="47"/>
  <c r="AC44" i="47"/>
  <c r="AH45" i="47"/>
  <c r="AE46" i="47"/>
  <c r="AG48" i="47"/>
  <c r="AD49" i="47"/>
  <c r="AF51" i="47"/>
  <c r="AC52" i="47"/>
  <c r="AH53" i="47"/>
  <c r="AE54" i="47"/>
  <c r="AG5" i="47"/>
  <c r="AG56" i="47" s="1"/>
  <c r="AD6" i="47"/>
  <c r="AD56" i="47" s="1"/>
  <c r="AF8" i="47"/>
  <c r="AC9" i="47"/>
  <c r="AH10" i="47"/>
  <c r="AG13" i="47"/>
  <c r="AD14" i="47"/>
  <c r="AF16" i="47"/>
  <c r="AC17" i="47"/>
  <c r="AH18" i="47"/>
  <c r="AE19" i="47"/>
  <c r="AG21" i="47"/>
  <c r="AD22" i="47"/>
  <c r="AF24" i="47"/>
  <c r="AC25" i="47"/>
  <c r="AH26" i="47"/>
  <c r="AE27" i="47"/>
  <c r="AG29" i="47"/>
  <c r="AD30" i="47"/>
  <c r="AF32" i="47"/>
  <c r="AC33" i="47"/>
  <c r="AH34" i="47"/>
  <c r="AE35" i="47"/>
  <c r="AG37" i="47"/>
  <c r="AD38" i="47"/>
  <c r="AF40" i="47"/>
  <c r="AC41" i="47"/>
  <c r="AH42" i="47"/>
  <c r="AE43" i="47"/>
  <c r="AG45" i="47"/>
  <c r="AD46" i="47"/>
  <c r="AF48" i="47"/>
  <c r="AC49" i="47"/>
  <c r="AH50" i="47"/>
  <c r="AE51" i="47"/>
  <c r="AG53" i="47"/>
  <c r="AD54" i="47"/>
  <c r="Z56" i="47"/>
  <c r="AF5" i="47"/>
  <c r="AC6" i="47"/>
  <c r="AC56" i="47" s="1"/>
  <c r="AH7" i="47"/>
  <c r="AG10" i="47"/>
  <c r="AD11" i="47"/>
  <c r="AF13" i="47"/>
  <c r="AC14" i="47"/>
  <c r="AH15" i="47"/>
  <c r="AE16" i="47"/>
  <c r="AG18" i="47"/>
  <c r="AD19" i="47"/>
  <c r="AF21" i="47"/>
  <c r="AC22" i="47"/>
  <c r="AH23" i="47"/>
  <c r="AE24" i="47"/>
  <c r="AG26" i="47"/>
  <c r="AD27" i="47"/>
  <c r="AF29" i="47"/>
  <c r="AC30" i="47"/>
  <c r="AH31" i="47"/>
  <c r="AE32" i="47"/>
  <c r="AG34" i="47"/>
  <c r="AD35" i="47"/>
  <c r="AF37" i="47"/>
  <c r="AC38" i="47"/>
  <c r="AH39" i="47"/>
  <c r="AE40" i="47"/>
  <c r="AG42" i="47"/>
  <c r="AD43" i="47"/>
  <c r="AF45" i="47"/>
  <c r="AC46" i="47"/>
  <c r="AH47" i="47"/>
  <c r="AE48" i="47"/>
  <c r="AG50" i="47"/>
  <c r="AD51" i="47"/>
  <c r="AF53" i="47"/>
  <c r="AC54" i="47"/>
  <c r="AH55" i="47"/>
  <c r="I56" i="47"/>
  <c r="AE5" i="47"/>
  <c r="AE56" i="47" s="1"/>
  <c r="AG7" i="47"/>
  <c r="AF10" i="47"/>
  <c r="AH12" i="47"/>
  <c r="AE13" i="47"/>
  <c r="AG15" i="47"/>
  <c r="AF18" i="47"/>
  <c r="AH20" i="47"/>
  <c r="AE21" i="47"/>
  <c r="AG23" i="47"/>
  <c r="AF26" i="47"/>
  <c r="AH28" i="47"/>
  <c r="AE29" i="47"/>
  <c r="AG31" i="47"/>
  <c r="AF34" i="47"/>
  <c r="AH36" i="47"/>
  <c r="AE37" i="47"/>
  <c r="AG39" i="47"/>
  <c r="AF42" i="47"/>
  <c r="AH44" i="47"/>
  <c r="AE45" i="47"/>
  <c r="AG47" i="47"/>
  <c r="AF50" i="47"/>
  <c r="AH52" i="47"/>
  <c r="AE53" i="47"/>
  <c r="AG55" i="47"/>
  <c r="H56" i="47"/>
  <c r="AF7" i="47"/>
  <c r="AH9" i="47"/>
  <c r="AE10" i="47"/>
  <c r="AG12" i="47"/>
  <c r="AF15" i="47"/>
  <c r="AH17" i="47"/>
  <c r="AE18" i="47"/>
  <c r="AG20" i="47"/>
  <c r="AF23" i="47"/>
  <c r="AH25" i="47"/>
  <c r="AE26" i="47"/>
  <c r="AG28" i="47"/>
  <c r="AF31" i="47"/>
  <c r="AH33" i="47"/>
  <c r="AE34" i="47"/>
  <c r="AG36" i="47"/>
  <c r="AF39" i="47"/>
  <c r="AH41" i="47"/>
  <c r="AE42" i="47"/>
  <c r="AG44" i="47"/>
  <c r="AF47" i="47"/>
  <c r="AH49" i="47"/>
  <c r="AE50" i="47"/>
  <c r="AG52" i="47"/>
  <c r="AF55" i="47"/>
  <c r="G56" i="47"/>
  <c r="AJ56" i="46"/>
  <c r="AI5" i="46"/>
  <c r="AI56" i="46" s="1"/>
  <c r="AF6" i="46"/>
  <c r="AC7" i="46"/>
  <c r="AH8" i="46"/>
  <c r="AE9" i="46"/>
  <c r="AG11" i="46"/>
  <c r="AD12" i="46"/>
  <c r="AF14" i="46"/>
  <c r="AC15" i="46"/>
  <c r="AH16" i="46"/>
  <c r="AE17" i="46"/>
  <c r="AG19" i="46"/>
  <c r="AD20" i="46"/>
  <c r="AF22" i="46"/>
  <c r="AC23" i="46"/>
  <c r="AH24" i="46"/>
  <c r="AE25" i="46"/>
  <c r="AG27" i="46"/>
  <c r="AD28" i="46"/>
  <c r="AF30" i="46"/>
  <c r="AC31" i="46"/>
  <c r="AH32" i="46"/>
  <c r="AE33" i="46"/>
  <c r="AG35" i="46"/>
  <c r="AD36" i="46"/>
  <c r="AF38" i="46"/>
  <c r="AC39" i="46"/>
  <c r="AH40" i="46"/>
  <c r="AE41" i="46"/>
  <c r="AG43" i="46"/>
  <c r="AD44" i="46"/>
  <c r="AF46" i="46"/>
  <c r="AC47" i="46"/>
  <c r="AH48" i="46"/>
  <c r="AE49" i="46"/>
  <c r="AG51" i="46"/>
  <c r="AD52" i="46"/>
  <c r="AF54" i="46"/>
  <c r="AC55" i="46"/>
  <c r="L56" i="46"/>
  <c r="AH5" i="46"/>
  <c r="AH56" i="46" s="1"/>
  <c r="AG8" i="46"/>
  <c r="AD9" i="46"/>
  <c r="AF11" i="46"/>
  <c r="AC12" i="46"/>
  <c r="AH13" i="46"/>
  <c r="AG16" i="46"/>
  <c r="AD17" i="46"/>
  <c r="AF19" i="46"/>
  <c r="AC20" i="46"/>
  <c r="AH21" i="46"/>
  <c r="AD25" i="46"/>
  <c r="AF27" i="46"/>
  <c r="AC28" i="46"/>
  <c r="AH29" i="46"/>
  <c r="AG32" i="46"/>
  <c r="AD33" i="46"/>
  <c r="AF35" i="46"/>
  <c r="AC36" i="46"/>
  <c r="AH37" i="46"/>
  <c r="AG40" i="46"/>
  <c r="AD41" i="46"/>
  <c r="AF43" i="46"/>
  <c r="AC44" i="46"/>
  <c r="AH45" i="46"/>
  <c r="AG48" i="46"/>
  <c r="AD49" i="46"/>
  <c r="AF51" i="46"/>
  <c r="AC52" i="46"/>
  <c r="AH53" i="46"/>
  <c r="AE54" i="46"/>
  <c r="AG37" i="46"/>
  <c r="AF40" i="46"/>
  <c r="AC41" i="46"/>
  <c r="AH42" i="46"/>
  <c r="AG45" i="46"/>
  <c r="AD46" i="46"/>
  <c r="AF48" i="46"/>
  <c r="AC49" i="46"/>
  <c r="AH50" i="46"/>
  <c r="AG53" i="46"/>
  <c r="AD54" i="46"/>
  <c r="Z56" i="46"/>
  <c r="AF5" i="46"/>
  <c r="AH7" i="46"/>
  <c r="AG10" i="46"/>
  <c r="AF13" i="46"/>
  <c r="AH15" i="46"/>
  <c r="AG18" i="46"/>
  <c r="AF21" i="46"/>
  <c r="AH23" i="46"/>
  <c r="AG26" i="46"/>
  <c r="AF29" i="46"/>
  <c r="AH31" i="46"/>
  <c r="AG34" i="46"/>
  <c r="AF37" i="46"/>
  <c r="AH39" i="46"/>
  <c r="AE40" i="46"/>
  <c r="AG42" i="46"/>
  <c r="AD43" i="46"/>
  <c r="AF45" i="46"/>
  <c r="AC46" i="46"/>
  <c r="AH47" i="46"/>
  <c r="AE48" i="46"/>
  <c r="AG50" i="46"/>
  <c r="AD51" i="46"/>
  <c r="AF53" i="46"/>
  <c r="AC54" i="46"/>
  <c r="AH55" i="46"/>
  <c r="I56" i="46"/>
  <c r="AE5" i="46"/>
  <c r="AG7" i="46"/>
  <c r="AF10" i="46"/>
  <c r="AH12" i="46"/>
  <c r="AE13" i="46"/>
  <c r="AG15" i="46"/>
  <c r="AF18" i="46"/>
  <c r="AH20" i="46"/>
  <c r="AE21" i="46"/>
  <c r="AG23" i="46"/>
  <c r="AF26" i="46"/>
  <c r="AH28" i="46"/>
  <c r="AE29" i="46"/>
  <c r="AG31" i="46"/>
  <c r="AF34" i="46"/>
  <c r="AH36" i="46"/>
  <c r="AE37" i="46"/>
  <c r="AG39" i="46"/>
  <c r="AF42" i="46"/>
  <c r="AH44" i="46"/>
  <c r="AE45" i="46"/>
  <c r="AG47" i="46"/>
  <c r="AF50" i="46"/>
  <c r="AH52" i="46"/>
  <c r="AE53" i="46"/>
  <c r="AG55" i="46"/>
  <c r="H56" i="46"/>
  <c r="AF7" i="46"/>
  <c r="AH9" i="46"/>
  <c r="AE10" i="46"/>
  <c r="AG12" i="46"/>
  <c r="AF15" i="46"/>
  <c r="AH17" i="46"/>
  <c r="AE18" i="46"/>
  <c r="AG20" i="46"/>
  <c r="AF23" i="46"/>
  <c r="AH25" i="46"/>
  <c r="AE26" i="46"/>
  <c r="AG28" i="46"/>
  <c r="AF31" i="46"/>
  <c r="AH33" i="46"/>
  <c r="AE34" i="46"/>
  <c r="AG36" i="46"/>
  <c r="AF39" i="46"/>
  <c r="AH41" i="46"/>
  <c r="AE42" i="46"/>
  <c r="AG44" i="46"/>
  <c r="AF47" i="46"/>
  <c r="AH49" i="46"/>
  <c r="AE50" i="46"/>
  <c r="AG52" i="46"/>
  <c r="AF55" i="46"/>
  <c r="AG5" i="46"/>
  <c r="F56" i="46"/>
  <c r="AI5" i="45"/>
  <c r="AF6" i="45"/>
  <c r="AC7" i="45"/>
  <c r="AH8" i="45"/>
  <c r="AE9" i="45"/>
  <c r="AG11" i="45"/>
  <c r="AD12" i="45"/>
  <c r="AF14" i="45"/>
  <c r="AC15" i="45"/>
  <c r="AH16" i="45"/>
  <c r="AE17" i="45"/>
  <c r="AG19" i="45"/>
  <c r="AD20" i="45"/>
  <c r="AF22" i="45"/>
  <c r="AC23" i="45"/>
  <c r="AH24" i="45"/>
  <c r="AE25" i="45"/>
  <c r="AG27" i="45"/>
  <c r="AD28" i="45"/>
  <c r="AF30" i="45"/>
  <c r="AC31" i="45"/>
  <c r="AH32" i="45"/>
  <c r="AE33" i="45"/>
  <c r="AG35" i="45"/>
  <c r="AD36" i="45"/>
  <c r="AF38" i="45"/>
  <c r="AC39" i="45"/>
  <c r="AH40" i="45"/>
  <c r="AE41" i="45"/>
  <c r="AG43" i="45"/>
  <c r="AD44" i="45"/>
  <c r="AF46" i="45"/>
  <c r="AC47" i="45"/>
  <c r="AH48" i="45"/>
  <c r="AE49" i="45"/>
  <c r="L51" i="45"/>
  <c r="AH5" i="45"/>
  <c r="AG8" i="45"/>
  <c r="AD9" i="45"/>
  <c r="AC12" i="45"/>
  <c r="AH13" i="45"/>
  <c r="AG16" i="45"/>
  <c r="AD17" i="45"/>
  <c r="AC20" i="45"/>
  <c r="AH21" i="45"/>
  <c r="AG24" i="45"/>
  <c r="AD25" i="45"/>
  <c r="AC28" i="45"/>
  <c r="AH29" i="45"/>
  <c r="AG32" i="45"/>
  <c r="AD33" i="45"/>
  <c r="AC36" i="45"/>
  <c r="AH37" i="45"/>
  <c r="AE38" i="45"/>
  <c r="AG40" i="45"/>
  <c r="AD41" i="45"/>
  <c r="AF43" i="45"/>
  <c r="AC44" i="45"/>
  <c r="AH45" i="45"/>
  <c r="AE46" i="45"/>
  <c r="AG48" i="45"/>
  <c r="AD49" i="45"/>
  <c r="AG5" i="45"/>
  <c r="AD6" i="45"/>
  <c r="AF8" i="45"/>
  <c r="AC9" i="45"/>
  <c r="AH10" i="45"/>
  <c r="AE11" i="45"/>
  <c r="AG13" i="45"/>
  <c r="AD14" i="45"/>
  <c r="AF16" i="45"/>
  <c r="AC17" i="45"/>
  <c r="AH18" i="45"/>
  <c r="AE19" i="45"/>
  <c r="AG21" i="45"/>
  <c r="AD22" i="45"/>
  <c r="AF24" i="45"/>
  <c r="AC25" i="45"/>
  <c r="AH26" i="45"/>
  <c r="AE27" i="45"/>
  <c r="AG29" i="45"/>
  <c r="AD30" i="45"/>
  <c r="AF32" i="45"/>
  <c r="AC33" i="45"/>
  <c r="AH34" i="45"/>
  <c r="AE35" i="45"/>
  <c r="AG37" i="45"/>
  <c r="AD38" i="45"/>
  <c r="AF40" i="45"/>
  <c r="AC41" i="45"/>
  <c r="AH42" i="45"/>
  <c r="AE43" i="45"/>
  <c r="AG45" i="45"/>
  <c r="AD46" i="45"/>
  <c r="AF48" i="45"/>
  <c r="AC49" i="45"/>
  <c r="AH50" i="45"/>
  <c r="AF37" i="45"/>
  <c r="AC38" i="45"/>
  <c r="AH39" i="45"/>
  <c r="AE40" i="45"/>
  <c r="AG42" i="45"/>
  <c r="AD43" i="45"/>
  <c r="AF45" i="45"/>
  <c r="AC46" i="45"/>
  <c r="AH47" i="45"/>
  <c r="AE48" i="45"/>
  <c r="AG50" i="45"/>
  <c r="AE5" i="45"/>
  <c r="AG7" i="45"/>
  <c r="AF10" i="45"/>
  <c r="AH12" i="45"/>
  <c r="AE13" i="45"/>
  <c r="AG15" i="45"/>
  <c r="AF18" i="45"/>
  <c r="AH20" i="45"/>
  <c r="AE21" i="45"/>
  <c r="AG23" i="45"/>
  <c r="AF26" i="45"/>
  <c r="AH28" i="45"/>
  <c r="AE29" i="45"/>
  <c r="AG31" i="45"/>
  <c r="AF34" i="45"/>
  <c r="AH36" i="45"/>
  <c r="AE37" i="45"/>
  <c r="AG39" i="45"/>
  <c r="AF42" i="45"/>
  <c r="AH44" i="45"/>
  <c r="AE45" i="45"/>
  <c r="AG47" i="45"/>
  <c r="AF50" i="45"/>
  <c r="AH33" i="45"/>
  <c r="AH41" i="45"/>
  <c r="AE42" i="45"/>
  <c r="AG44" i="45"/>
  <c r="AF47" i="45"/>
  <c r="AH49" i="45"/>
  <c r="AE50" i="45"/>
  <c r="AF6" i="44"/>
  <c r="AH8" i="44"/>
  <c r="AE9" i="44"/>
  <c r="AG11" i="44"/>
  <c r="AF14" i="44"/>
  <c r="AH16" i="44"/>
  <c r="AE17" i="44"/>
  <c r="AG19" i="44"/>
  <c r="AF22" i="44"/>
  <c r="AH24" i="44"/>
  <c r="AE25" i="44"/>
  <c r="AG27" i="44"/>
  <c r="AD28" i="44"/>
  <c r="AF30" i="44"/>
  <c r="AC31" i="44"/>
  <c r="AH32" i="44"/>
  <c r="AE33" i="44"/>
  <c r="AG35" i="44"/>
  <c r="AD36" i="44"/>
  <c r="AF38" i="44"/>
  <c r="AC39" i="44"/>
  <c r="AH40" i="44"/>
  <c r="AE41" i="44"/>
  <c r="AG43" i="44"/>
  <c r="AD44" i="44"/>
  <c r="AF46" i="44"/>
  <c r="AC47" i="44"/>
  <c r="AH48" i="44"/>
  <c r="AE49" i="44"/>
  <c r="AG51" i="44"/>
  <c r="AD52" i="44"/>
  <c r="AF54" i="44"/>
  <c r="AC55" i="44"/>
  <c r="L56" i="44"/>
  <c r="AE6" i="44"/>
  <c r="AG8" i="44"/>
  <c r="AD9" i="44"/>
  <c r="AF11" i="44"/>
  <c r="AC12" i="44"/>
  <c r="AH13" i="44"/>
  <c r="AE14" i="44"/>
  <c r="AG16" i="44"/>
  <c r="AD17" i="44"/>
  <c r="AF19" i="44"/>
  <c r="AC20" i="44"/>
  <c r="AH21" i="44"/>
  <c r="AE22" i="44"/>
  <c r="AG24" i="44"/>
  <c r="AD25" i="44"/>
  <c r="AF27" i="44"/>
  <c r="AC28" i="44"/>
  <c r="AH29" i="44"/>
  <c r="AE30" i="44"/>
  <c r="AG32" i="44"/>
  <c r="AD33" i="44"/>
  <c r="AF35" i="44"/>
  <c r="AC36" i="44"/>
  <c r="AH37" i="44"/>
  <c r="AE38" i="44"/>
  <c r="AG40" i="44"/>
  <c r="AD41" i="44"/>
  <c r="AF43" i="44"/>
  <c r="AC44" i="44"/>
  <c r="AH45" i="44"/>
  <c r="AE46" i="44"/>
  <c r="AG48" i="44"/>
  <c r="AD49" i="44"/>
  <c r="AF51" i="44"/>
  <c r="AC52" i="44"/>
  <c r="AH53" i="44"/>
  <c r="AE54" i="44"/>
  <c r="AG5" i="44"/>
  <c r="AD6" i="44"/>
  <c r="AD56" i="44" s="1"/>
  <c r="AF8" i="44"/>
  <c r="AC9" i="44"/>
  <c r="AH10" i="44"/>
  <c r="AG13" i="44"/>
  <c r="AD14" i="44"/>
  <c r="AC17" i="44"/>
  <c r="AH18" i="44"/>
  <c r="AE19" i="44"/>
  <c r="AG21" i="44"/>
  <c r="AD22" i="44"/>
  <c r="AF24" i="44"/>
  <c r="AC25" i="44"/>
  <c r="AH26" i="44"/>
  <c r="AE27" i="44"/>
  <c r="AG29" i="44"/>
  <c r="AD30" i="44"/>
  <c r="AF32" i="44"/>
  <c r="AC33" i="44"/>
  <c r="AH34" i="44"/>
  <c r="AE35" i="44"/>
  <c r="AG37" i="44"/>
  <c r="AD38" i="44"/>
  <c r="AF40" i="44"/>
  <c r="AC41" i="44"/>
  <c r="AH42" i="44"/>
  <c r="AE43" i="44"/>
  <c r="AG45" i="44"/>
  <c r="AD46" i="44"/>
  <c r="AF48" i="44"/>
  <c r="AC49" i="44"/>
  <c r="AH50" i="44"/>
  <c r="AE51" i="44"/>
  <c r="AG53" i="44"/>
  <c r="AD54" i="44"/>
  <c r="Z56" i="44"/>
  <c r="AH5" i="44"/>
  <c r="AF5" i="44"/>
  <c r="AC6" i="44"/>
  <c r="AC56" i="44" s="1"/>
  <c r="AH7" i="44"/>
  <c r="AE8" i="44"/>
  <c r="AG10" i="44"/>
  <c r="AD11" i="44"/>
  <c r="AF13" i="44"/>
  <c r="AC14" i="44"/>
  <c r="AH15" i="44"/>
  <c r="AE16" i="44"/>
  <c r="AG18" i="44"/>
  <c r="AD19" i="44"/>
  <c r="AF21" i="44"/>
  <c r="AC22" i="44"/>
  <c r="AH23" i="44"/>
  <c r="AE24" i="44"/>
  <c r="AG26" i="44"/>
  <c r="AD27" i="44"/>
  <c r="AF29" i="44"/>
  <c r="AC30" i="44"/>
  <c r="AH31" i="44"/>
  <c r="AE32" i="44"/>
  <c r="AG34" i="44"/>
  <c r="AD35" i="44"/>
  <c r="AF37" i="44"/>
  <c r="AC38" i="44"/>
  <c r="AH39" i="44"/>
  <c r="AE40" i="44"/>
  <c r="AG42" i="44"/>
  <c r="AD43" i="44"/>
  <c r="AF45" i="44"/>
  <c r="AC46" i="44"/>
  <c r="AH47" i="44"/>
  <c r="AE48" i="44"/>
  <c r="AG50" i="44"/>
  <c r="AD51" i="44"/>
  <c r="AF53" i="44"/>
  <c r="AC54" i="44"/>
  <c r="AH55" i="44"/>
  <c r="I56" i="44"/>
  <c r="AF10" i="44"/>
  <c r="AF18" i="44"/>
  <c r="AH20" i="44"/>
  <c r="AE21" i="44"/>
  <c r="AG23" i="44"/>
  <c r="AF26" i="44"/>
  <c r="AH28" i="44"/>
  <c r="AE29" i="44"/>
  <c r="AF34" i="44"/>
  <c r="AH36" i="44"/>
  <c r="AE37" i="44"/>
  <c r="AG39" i="44"/>
  <c r="AF42" i="44"/>
  <c r="AH44" i="44"/>
  <c r="AE45" i="44"/>
  <c r="AG47" i="44"/>
  <c r="AF50" i="44"/>
  <c r="AH52" i="44"/>
  <c r="AE53" i="44"/>
  <c r="AG55" i="44"/>
  <c r="H56" i="44"/>
  <c r="AH9" i="44"/>
  <c r="AE10" i="44"/>
  <c r="AG12" i="44"/>
  <c r="AF15" i="44"/>
  <c r="AH17" i="44"/>
  <c r="AE18" i="44"/>
  <c r="AG20" i="44"/>
  <c r="AF23" i="44"/>
  <c r="AH25" i="44"/>
  <c r="AE26" i="44"/>
  <c r="AG28" i="44"/>
  <c r="AF31" i="44"/>
  <c r="AH33" i="44"/>
  <c r="AE34" i="44"/>
  <c r="AG36" i="44"/>
  <c r="AF39" i="44"/>
  <c r="AH41" i="44"/>
  <c r="AE42" i="44"/>
  <c r="AG44" i="44"/>
  <c r="AF47" i="44"/>
  <c r="AH49" i="44"/>
  <c r="AE50" i="44"/>
  <c r="AG52" i="44"/>
  <c r="AF55" i="44"/>
  <c r="G56" i="44"/>
  <c r="F56" i="44"/>
  <c r="AI5" i="43"/>
  <c r="AI123" i="43" s="1"/>
  <c r="AF6" i="43"/>
  <c r="AC7" i="43"/>
  <c r="AH8" i="43"/>
  <c r="AE9" i="43"/>
  <c r="AG11" i="43"/>
  <c r="AD12" i="43"/>
  <c r="AF14" i="43"/>
  <c r="AC15" i="43"/>
  <c r="AH16" i="43"/>
  <c r="AE17" i="43"/>
  <c r="AG19" i="43"/>
  <c r="AD20" i="43"/>
  <c r="AF22" i="43"/>
  <c r="AC23" i="43"/>
  <c r="AH24" i="43"/>
  <c r="AE25" i="43"/>
  <c r="AG27" i="43"/>
  <c r="AD28" i="43"/>
  <c r="AF30" i="43"/>
  <c r="AC31" i="43"/>
  <c r="AH32" i="43"/>
  <c r="AE33" i="43"/>
  <c r="AG35" i="43"/>
  <c r="AD36" i="43"/>
  <c r="AF38" i="43"/>
  <c r="AC39" i="43"/>
  <c r="AH40" i="43"/>
  <c r="AE41" i="43"/>
  <c r="AG43" i="43"/>
  <c r="AD44" i="43"/>
  <c r="AF46" i="43"/>
  <c r="AC47" i="43"/>
  <c r="AH48" i="43"/>
  <c r="AE49" i="43"/>
  <c r="AG51" i="43"/>
  <c r="AD52" i="43"/>
  <c r="AF54" i="43"/>
  <c r="AC122" i="43"/>
  <c r="AH5" i="43"/>
  <c r="AE6" i="43"/>
  <c r="AG8" i="43"/>
  <c r="AD9" i="43"/>
  <c r="AF11" i="43"/>
  <c r="AC12" i="43"/>
  <c r="AH13" i="43"/>
  <c r="AE14" i="43"/>
  <c r="AG16" i="43"/>
  <c r="AD17" i="43"/>
  <c r="AF19" i="43"/>
  <c r="AC20" i="43"/>
  <c r="AH21" i="43"/>
  <c r="AE22" i="43"/>
  <c r="AG24" i="43"/>
  <c r="AD25" i="43"/>
  <c r="AF27" i="43"/>
  <c r="AC28" i="43"/>
  <c r="AH29" i="43"/>
  <c r="AE30" i="43"/>
  <c r="AG32" i="43"/>
  <c r="AD33" i="43"/>
  <c r="AF35" i="43"/>
  <c r="AC36" i="43"/>
  <c r="AH37" i="43"/>
  <c r="AE38" i="43"/>
  <c r="AG40" i="43"/>
  <c r="AD41" i="43"/>
  <c r="AF43" i="43"/>
  <c r="AC44" i="43"/>
  <c r="AH45" i="43"/>
  <c r="AE46" i="43"/>
  <c r="AG48" i="43"/>
  <c r="AD49" i="43"/>
  <c r="AF51" i="43"/>
  <c r="AC52" i="43"/>
  <c r="AH53" i="43"/>
  <c r="AE54" i="43"/>
  <c r="AG5" i="43"/>
  <c r="AD6" i="43"/>
  <c r="AF8" i="43"/>
  <c r="AC9" i="43"/>
  <c r="AH10" i="43"/>
  <c r="AE11" i="43"/>
  <c r="AG13" i="43"/>
  <c r="AD14" i="43"/>
  <c r="AF16" i="43"/>
  <c r="AC17" i="43"/>
  <c r="AH18" i="43"/>
  <c r="AE19" i="43"/>
  <c r="AG21" i="43"/>
  <c r="AD22" i="43"/>
  <c r="AF24" i="43"/>
  <c r="AC25" i="43"/>
  <c r="AH26" i="43"/>
  <c r="AE27" i="43"/>
  <c r="AG29" i="43"/>
  <c r="AD30" i="43"/>
  <c r="AF32" i="43"/>
  <c r="AC33" i="43"/>
  <c r="AH34" i="43"/>
  <c r="AE35" i="43"/>
  <c r="AG37" i="43"/>
  <c r="AD38" i="43"/>
  <c r="AF40" i="43"/>
  <c r="AC41" i="43"/>
  <c r="AH42" i="43"/>
  <c r="AE43" i="43"/>
  <c r="AG45" i="43"/>
  <c r="AD46" i="43"/>
  <c r="AF48" i="43"/>
  <c r="AC49" i="43"/>
  <c r="AH50" i="43"/>
  <c r="AE51" i="43"/>
  <c r="AG53" i="43"/>
  <c r="AD54" i="43"/>
  <c r="Z123" i="43"/>
  <c r="AF5" i="43"/>
  <c r="AC6" i="43"/>
  <c r="AH7" i="43"/>
  <c r="AE8" i="43"/>
  <c r="AG10" i="43"/>
  <c r="AD11" i="43"/>
  <c r="AF13" i="43"/>
  <c r="AC14" i="43"/>
  <c r="AH15" i="43"/>
  <c r="AE16" i="43"/>
  <c r="AG18" i="43"/>
  <c r="AD19" i="43"/>
  <c r="AF21" i="43"/>
  <c r="AC22" i="43"/>
  <c r="AH23" i="43"/>
  <c r="AE24" i="43"/>
  <c r="AG26" i="43"/>
  <c r="AD27" i="43"/>
  <c r="AF29" i="43"/>
  <c r="AC30" i="43"/>
  <c r="AH31" i="43"/>
  <c r="AE32" i="43"/>
  <c r="AG34" i="43"/>
  <c r="AD35" i="43"/>
  <c r="AF37" i="43"/>
  <c r="AC38" i="43"/>
  <c r="AH39" i="43"/>
  <c r="AE40" i="43"/>
  <c r="AG42" i="43"/>
  <c r="AD43" i="43"/>
  <c r="AF45" i="43"/>
  <c r="AC46" i="43"/>
  <c r="AH47" i="43"/>
  <c r="AE48" i="43"/>
  <c r="AG50" i="43"/>
  <c r="AD51" i="43"/>
  <c r="AF53" i="43"/>
  <c r="AC54" i="43"/>
  <c r="AH122" i="43"/>
  <c r="AE5" i="43"/>
  <c r="AF10" i="43"/>
  <c r="AH12" i="43"/>
  <c r="AE13" i="43"/>
  <c r="AF18" i="43"/>
  <c r="AH20" i="43"/>
  <c r="AE21" i="43"/>
  <c r="AF26" i="43"/>
  <c r="AH28" i="43"/>
  <c r="AE29" i="43"/>
  <c r="AF34" i="43"/>
  <c r="AH36" i="43"/>
  <c r="AE37" i="43"/>
  <c r="AG39" i="43"/>
  <c r="AF42" i="43"/>
  <c r="AH44" i="43"/>
  <c r="AE45" i="43"/>
  <c r="AG47" i="43"/>
  <c r="AF50" i="43"/>
  <c r="AH52" i="43"/>
  <c r="AE53" i="43"/>
  <c r="AG122" i="43"/>
  <c r="AF7" i="43"/>
  <c r="AH9" i="43"/>
  <c r="AE10" i="43"/>
  <c r="AG12" i="43"/>
  <c r="AF15" i="43"/>
  <c r="AH17" i="43"/>
  <c r="AE18" i="43"/>
  <c r="AG20" i="43"/>
  <c r="AF23" i="43"/>
  <c r="AH25" i="43"/>
  <c r="AE26" i="43"/>
  <c r="AG28" i="43"/>
  <c r="AF31" i="43"/>
  <c r="AH33" i="43"/>
  <c r="AE34" i="43"/>
  <c r="AG36" i="43"/>
  <c r="AF39" i="43"/>
  <c r="AH41" i="43"/>
  <c r="AE42" i="43"/>
  <c r="AG44" i="43"/>
  <c r="AF47" i="43"/>
  <c r="AH49" i="43"/>
  <c r="AE50" i="43"/>
  <c r="AG52" i="43"/>
  <c r="AF122" i="43"/>
  <c r="G123" i="43"/>
  <c r="AN6" i="7"/>
  <c r="AO6" i="7"/>
  <c r="AN7" i="7"/>
  <c r="AO7" i="7"/>
  <c r="AN8" i="7"/>
  <c r="AO8" i="7"/>
  <c r="AN9" i="7"/>
  <c r="AO9" i="7"/>
  <c r="AN10" i="7"/>
  <c r="AO10" i="7"/>
  <c r="AN11" i="7"/>
  <c r="AO11" i="7"/>
  <c r="AN12" i="7"/>
  <c r="AO12" i="7"/>
  <c r="AN13" i="7"/>
  <c r="AO13" i="7"/>
  <c r="AO5" i="7"/>
  <c r="AN5" i="7"/>
  <c r="AB5" i="42" l="1"/>
  <c r="B5" i="5" s="1"/>
  <c r="H5" i="5" s="1"/>
  <c r="AD123" i="43"/>
  <c r="AC123" i="43"/>
  <c r="AE56" i="56"/>
  <c r="AH56" i="55"/>
  <c r="AE56" i="46"/>
  <c r="AF56" i="56"/>
  <c r="AE56" i="55"/>
  <c r="AF56" i="55"/>
  <c r="AG56" i="44"/>
  <c r="AG56" i="46"/>
  <c r="AH56" i="44"/>
  <c r="AE56" i="44"/>
  <c r="AF56" i="44"/>
  <c r="AF56" i="46"/>
  <c r="AH56" i="56"/>
  <c r="AG56" i="56"/>
  <c r="AG56" i="55"/>
  <c r="AH56" i="54"/>
  <c r="AF56" i="54"/>
  <c r="AF56" i="47"/>
  <c r="AG123" i="43"/>
  <c r="AH123" i="43"/>
  <c r="AE123" i="43"/>
  <c r="AF123" i="43"/>
  <c r="AB6" i="42" l="1"/>
  <c r="B6" i="5" s="1"/>
  <c r="AB7" i="42"/>
  <c r="B7" i="5" s="1"/>
  <c r="AB8" i="42"/>
  <c r="B8" i="5" s="1"/>
  <c r="AB9" i="42"/>
  <c r="B9" i="5" s="1"/>
  <c r="AB10" i="42"/>
  <c r="B10" i="5" s="1"/>
  <c r="AB11" i="42"/>
  <c r="B11" i="5" s="1"/>
  <c r="AB12" i="42"/>
  <c r="B12" i="5" s="1"/>
  <c r="AB13" i="42"/>
  <c r="B13" i="5" s="1"/>
  <c r="E6" i="7"/>
  <c r="E7" i="7"/>
  <c r="E8" i="7"/>
  <c r="E9" i="7"/>
  <c r="E13" i="7"/>
  <c r="E10" i="7"/>
  <c r="E11" i="7"/>
  <c r="E12" i="7"/>
  <c r="E56" i="18" l="1"/>
  <c r="D56" i="18"/>
  <c r="E5" i="7"/>
  <c r="F5" i="7"/>
  <c r="L56" i="18" l="1"/>
  <c r="M56" i="18"/>
  <c r="F56" i="18"/>
  <c r="G56" i="18"/>
  <c r="J56" i="18"/>
  <c r="H56" i="18"/>
  <c r="R56" i="18"/>
  <c r="S56" i="18"/>
  <c r="P56" i="18"/>
  <c r="Y56" i="18"/>
  <c r="AA56" i="18"/>
  <c r="U56" i="18"/>
  <c r="W56" i="18"/>
  <c r="N56" i="18"/>
  <c r="B5" i="42"/>
  <c r="C5" i="42" s="1"/>
  <c r="AB5" i="18" l="1"/>
  <c r="AB56" i="18" s="1"/>
  <c r="Z5" i="18"/>
  <c r="Z56" i="18" s="1"/>
  <c r="X5" i="18"/>
  <c r="X56" i="18" s="1"/>
  <c r="V5" i="18"/>
  <c r="V56" i="18" s="1"/>
  <c r="T5" i="18"/>
  <c r="T56" i="18" s="1"/>
  <c r="Q5" i="18"/>
  <c r="Q56" i="18" s="1"/>
  <c r="O56" i="18"/>
  <c r="K56" i="18"/>
  <c r="I56" i="18"/>
  <c r="J5" i="7"/>
  <c r="AJ55" i="18" l="1"/>
  <c r="AI55" i="18"/>
  <c r="AD55" i="18"/>
  <c r="AC55" i="18"/>
  <c r="AJ54" i="18"/>
  <c r="AI54" i="18"/>
  <c r="AF54" i="18"/>
  <c r="AJ53" i="18"/>
  <c r="AI53" i="18"/>
  <c r="AD53" i="18"/>
  <c r="AC53" i="18"/>
  <c r="AJ52" i="18"/>
  <c r="AI52" i="18"/>
  <c r="AD52" i="18"/>
  <c r="AJ51" i="18"/>
  <c r="AI51" i="18"/>
  <c r="AG51" i="18"/>
  <c r="AI50" i="18"/>
  <c r="AJ50" i="18"/>
  <c r="AD50" i="18"/>
  <c r="AC50" i="18"/>
  <c r="AJ49" i="18"/>
  <c r="AI49" i="18"/>
  <c r="AF49" i="18"/>
  <c r="AJ48" i="18"/>
  <c r="AI48" i="18"/>
  <c r="AG48" i="18"/>
  <c r="AH48" i="18"/>
  <c r="AC48" i="18"/>
  <c r="AJ47" i="18"/>
  <c r="AI47" i="18"/>
  <c r="AD47" i="18"/>
  <c r="AC47" i="18"/>
  <c r="AJ46" i="18"/>
  <c r="AI46" i="18"/>
  <c r="AE46" i="18"/>
  <c r="AF46" i="18"/>
  <c r="AJ45" i="18"/>
  <c r="AI45" i="18"/>
  <c r="AD45" i="18"/>
  <c r="AC45" i="18"/>
  <c r="AC44" i="18"/>
  <c r="AJ44" i="18"/>
  <c r="AI44" i="18"/>
  <c r="AD44" i="18"/>
  <c r="AJ43" i="18"/>
  <c r="AI43" i="18"/>
  <c r="AH43" i="18"/>
  <c r="AG43" i="18"/>
  <c r="AI42" i="18"/>
  <c r="AJ42" i="18"/>
  <c r="AD42" i="18"/>
  <c r="AC42" i="18"/>
  <c r="AJ41" i="18"/>
  <c r="AI41" i="18"/>
  <c r="AF41" i="18"/>
  <c r="AE41" i="18"/>
  <c r="AJ40" i="18"/>
  <c r="AI40" i="18"/>
  <c r="AC40" i="18"/>
  <c r="AJ39" i="18"/>
  <c r="AI39" i="18"/>
  <c r="AD39" i="18"/>
  <c r="AC39" i="18"/>
  <c r="AJ38" i="18"/>
  <c r="AI38" i="18"/>
  <c r="AF38" i="18"/>
  <c r="AJ37" i="18"/>
  <c r="AI37" i="18"/>
  <c r="AD37" i="18"/>
  <c r="AC37" i="18"/>
  <c r="AJ36" i="18"/>
  <c r="AI36" i="18"/>
  <c r="AD36" i="18"/>
  <c r="AJ35" i="18"/>
  <c r="AI35" i="18"/>
  <c r="AH35" i="18"/>
  <c r="AI34" i="18"/>
  <c r="AJ34" i="18"/>
  <c r="AD34" i="18"/>
  <c r="AC34" i="18"/>
  <c r="AJ33" i="18"/>
  <c r="AI33" i="18"/>
  <c r="AF33" i="18"/>
  <c r="AJ32" i="18"/>
  <c r="AI32" i="18"/>
  <c r="AH32" i="18"/>
  <c r="AC32" i="18"/>
  <c r="AI31" i="18"/>
  <c r="AJ31" i="18"/>
  <c r="AD31" i="18"/>
  <c r="AC31" i="18"/>
  <c r="AJ30" i="18"/>
  <c r="AI30" i="18"/>
  <c r="AE30" i="18"/>
  <c r="AJ29" i="18"/>
  <c r="AI29" i="18"/>
  <c r="AH29" i="18"/>
  <c r="AD29" i="18"/>
  <c r="AC29" i="18"/>
  <c r="AC28" i="18"/>
  <c r="AJ28" i="18"/>
  <c r="AI28" i="18"/>
  <c r="AD28" i="18"/>
  <c r="AJ27" i="18"/>
  <c r="AI27" i="18"/>
  <c r="AF27" i="18"/>
  <c r="AJ26" i="18"/>
  <c r="AI26" i="18"/>
  <c r="AD26" i="18"/>
  <c r="AC26" i="18"/>
  <c r="AJ25" i="18"/>
  <c r="AI25" i="18"/>
  <c r="AF25" i="18"/>
  <c r="AJ24" i="18"/>
  <c r="AI24" i="18"/>
  <c r="AG24" i="18"/>
  <c r="AC24" i="18"/>
  <c r="AJ23" i="18"/>
  <c r="AI23" i="18"/>
  <c r="AD23" i="18"/>
  <c r="AC23" i="18"/>
  <c r="AE22" i="18"/>
  <c r="AJ22" i="18"/>
  <c r="AI22" i="18"/>
  <c r="AJ21" i="18"/>
  <c r="AI21" i="18"/>
  <c r="AH21" i="18"/>
  <c r="AD21" i="18"/>
  <c r="AC21" i="18"/>
  <c r="AC20" i="18"/>
  <c r="AJ20" i="18"/>
  <c r="AI20" i="18"/>
  <c r="AD20" i="18"/>
  <c r="AE20" i="18"/>
  <c r="AJ19" i="18"/>
  <c r="AI19" i="18"/>
  <c r="AF19" i="18"/>
  <c r="AJ18" i="18"/>
  <c r="AI18" i="18"/>
  <c r="AD18" i="18"/>
  <c r="AC18" i="18"/>
  <c r="AD17" i="18"/>
  <c r="AJ17" i="18"/>
  <c r="AI17" i="18"/>
  <c r="AJ16" i="18"/>
  <c r="AI16" i="18"/>
  <c r="AG16" i="18"/>
  <c r="AC16" i="18"/>
  <c r="AJ15" i="18"/>
  <c r="AI15" i="18"/>
  <c r="AD15" i="18"/>
  <c r="AC15" i="18"/>
  <c r="AJ14" i="18"/>
  <c r="AI14" i="18"/>
  <c r="AF14" i="18"/>
  <c r="AG14" i="18"/>
  <c r="AJ13" i="18"/>
  <c r="AI13" i="18"/>
  <c r="AH13" i="18"/>
  <c r="AD13" i="18"/>
  <c r="AC13" i="18"/>
  <c r="AJ12" i="18"/>
  <c r="AI12" i="18"/>
  <c r="AD12" i="18"/>
  <c r="AE12" i="18"/>
  <c r="AJ11" i="18"/>
  <c r="AI11" i="18"/>
  <c r="AF11" i="18"/>
  <c r="AG11" i="18"/>
  <c r="AJ10" i="18"/>
  <c r="AI10" i="18"/>
  <c r="AD10" i="18"/>
  <c r="AC10" i="18"/>
  <c r="AD9" i="18"/>
  <c r="AJ9" i="18"/>
  <c r="AI9" i="18"/>
  <c r="AE9" i="18"/>
  <c r="AJ8" i="18"/>
  <c r="AI8" i="18"/>
  <c r="AH8" i="18"/>
  <c r="AC8" i="18"/>
  <c r="AJ7" i="18"/>
  <c r="AI7" i="18"/>
  <c r="AD7" i="18"/>
  <c r="AC7" i="18"/>
  <c r="AJ6" i="18"/>
  <c r="AJ56" i="18" s="1"/>
  <c r="AI6" i="18"/>
  <c r="AF6" i="18"/>
  <c r="AE6" i="18"/>
  <c r="AJ5" i="18"/>
  <c r="AI5" i="18"/>
  <c r="AD5" i="18"/>
  <c r="AC5" i="18"/>
  <c r="M5" i="7"/>
  <c r="O5" i="7"/>
  <c r="Y5" i="7"/>
  <c r="Z12" i="7"/>
  <c r="J12" i="7"/>
  <c r="W5" i="7"/>
  <c r="T12" i="7"/>
  <c r="H11" i="7"/>
  <c r="J13" i="7"/>
  <c r="N12" i="7"/>
  <c r="F12" i="7"/>
  <c r="W13" i="7"/>
  <c r="V12" i="7"/>
  <c r="X5" i="7"/>
  <c r="Q5" i="7"/>
  <c r="O13" i="7"/>
  <c r="G5" i="7"/>
  <c r="F11" i="7"/>
  <c r="V11" i="7"/>
  <c r="Q12" i="7"/>
  <c r="N11" i="7"/>
  <c r="M12" i="7"/>
  <c r="N5" i="7"/>
  <c r="P5" i="7"/>
  <c r="F13" i="7"/>
  <c r="S12" i="7"/>
  <c r="L12" i="7"/>
  <c r="Z11" i="7"/>
  <c r="W12" i="7"/>
  <c r="S13" i="7"/>
  <c r="U11" i="7"/>
  <c r="R11" i="7"/>
  <c r="K12" i="7"/>
  <c r="L13" i="7"/>
  <c r="M11" i="7"/>
  <c r="O12" i="7"/>
  <c r="Y12" i="7"/>
  <c r="L11" i="7"/>
  <c r="H5" i="7"/>
  <c r="R12" i="7"/>
  <c r="AI56" i="18" l="1"/>
  <c r="O12" i="42"/>
  <c r="N12" i="42"/>
  <c r="L11" i="42"/>
  <c r="R12" i="42"/>
  <c r="I11" i="42"/>
  <c r="H11" i="42"/>
  <c r="K11" i="42"/>
  <c r="I12" i="42"/>
  <c r="G12" i="42"/>
  <c r="M12" i="42"/>
  <c r="B12" i="42"/>
  <c r="C12" i="42" s="1"/>
  <c r="D11" i="42"/>
  <c r="B11" i="42"/>
  <c r="C11" i="42" s="1"/>
  <c r="B13" i="42"/>
  <c r="C13" i="42" s="1"/>
  <c r="E5" i="42"/>
  <c r="D5" i="42"/>
  <c r="F5" i="42"/>
  <c r="S5" i="42"/>
  <c r="R5" i="42"/>
  <c r="Q5" i="42"/>
  <c r="J5" i="42"/>
  <c r="I5" i="7"/>
  <c r="AA5" i="42" s="1"/>
  <c r="AG13" i="7"/>
  <c r="AE13" i="7"/>
  <c r="AH12" i="7"/>
  <c r="AF12" i="7"/>
  <c r="AJ12" i="7"/>
  <c r="AI12" i="7"/>
  <c r="AG12" i="7"/>
  <c r="AE12" i="7"/>
  <c r="AG8" i="18"/>
  <c r="AC12" i="18"/>
  <c r="AE14" i="18"/>
  <c r="AH24" i="18"/>
  <c r="AF30" i="18"/>
  <c r="AE36" i="18"/>
  <c r="AG38" i="18"/>
  <c r="AH16" i="18"/>
  <c r="AF22" i="18"/>
  <c r="AE28" i="18"/>
  <c r="AG30" i="18"/>
  <c r="AD33" i="18"/>
  <c r="AF35" i="18"/>
  <c r="AH37" i="18"/>
  <c r="AG40" i="18"/>
  <c r="AD41" i="18"/>
  <c r="AE44" i="18"/>
  <c r="AG46" i="18"/>
  <c r="AD49" i="18"/>
  <c r="AE52" i="18"/>
  <c r="AG22" i="18"/>
  <c r="AD25" i="18"/>
  <c r="AH45" i="18"/>
  <c r="AG54" i="18"/>
  <c r="AH51" i="18"/>
  <c r="AH27" i="18"/>
  <c r="AE33" i="18"/>
  <c r="AG35" i="18"/>
  <c r="AE49" i="18"/>
  <c r="AF17" i="18"/>
  <c r="AH19" i="18"/>
  <c r="AE25" i="18"/>
  <c r="AG27" i="18"/>
  <c r="AG32" i="18"/>
  <c r="AC36" i="18"/>
  <c r="AE38" i="18"/>
  <c r="AG6" i="18"/>
  <c r="AF9" i="18"/>
  <c r="AH11" i="18"/>
  <c r="AE17" i="18"/>
  <c r="AG19" i="18"/>
  <c r="AH40" i="18"/>
  <c r="AC52" i="18"/>
  <c r="AF43" i="18"/>
  <c r="AF51" i="18"/>
  <c r="AH53" i="18"/>
  <c r="AE54" i="18"/>
  <c r="AG5" i="18"/>
  <c r="AD6" i="18"/>
  <c r="AF8" i="18"/>
  <c r="AC9" i="18"/>
  <c r="AH10" i="18"/>
  <c r="AE11" i="18"/>
  <c r="AG13" i="18"/>
  <c r="AD14" i="18"/>
  <c r="AF16" i="18"/>
  <c r="AC17" i="18"/>
  <c r="AH18" i="18"/>
  <c r="AE19" i="18"/>
  <c r="AG21" i="18"/>
  <c r="AD22" i="18"/>
  <c r="AF24" i="18"/>
  <c r="AC25" i="18"/>
  <c r="AH26" i="18"/>
  <c r="AE27" i="18"/>
  <c r="AG29" i="18"/>
  <c r="AD30" i="18"/>
  <c r="AF32" i="18"/>
  <c r="AC33" i="18"/>
  <c r="AH34" i="18"/>
  <c r="AE35" i="18"/>
  <c r="AG37" i="18"/>
  <c r="AD38" i="18"/>
  <c r="AF40" i="18"/>
  <c r="AC41" i="18"/>
  <c r="AH42" i="18"/>
  <c r="AE43" i="18"/>
  <c r="AG45" i="18"/>
  <c r="AD46" i="18"/>
  <c r="AF48" i="18"/>
  <c r="AC49" i="18"/>
  <c r="AH50" i="18"/>
  <c r="AE51" i="18"/>
  <c r="AG53" i="18"/>
  <c r="AD54" i="18"/>
  <c r="AH5" i="18"/>
  <c r="AF5" i="18"/>
  <c r="AF56" i="18" s="1"/>
  <c r="AC6" i="18"/>
  <c r="AC56" i="18" s="1"/>
  <c r="AH7" i="18"/>
  <c r="AE8" i="18"/>
  <c r="AG10" i="18"/>
  <c r="AD11" i="18"/>
  <c r="AF13" i="18"/>
  <c r="AC14" i="18"/>
  <c r="AH15" i="18"/>
  <c r="AE16" i="18"/>
  <c r="AG18" i="18"/>
  <c r="AD19" i="18"/>
  <c r="AF21" i="18"/>
  <c r="AC22" i="18"/>
  <c r="AH23" i="18"/>
  <c r="AE24" i="18"/>
  <c r="AG26" i="18"/>
  <c r="AD27" i="18"/>
  <c r="AF29" i="18"/>
  <c r="AC30" i="18"/>
  <c r="AH31" i="18"/>
  <c r="AE32" i="18"/>
  <c r="AG34" i="18"/>
  <c r="AD35" i="18"/>
  <c r="AF37" i="18"/>
  <c r="AC38" i="18"/>
  <c r="AH39" i="18"/>
  <c r="AE40" i="18"/>
  <c r="AG42" i="18"/>
  <c r="AD43" i="18"/>
  <c r="AF45" i="18"/>
  <c r="AC46" i="18"/>
  <c r="AH47" i="18"/>
  <c r="AE48" i="18"/>
  <c r="AG50" i="18"/>
  <c r="AD51" i="18"/>
  <c r="AF53" i="18"/>
  <c r="AC54" i="18"/>
  <c r="AH55" i="18"/>
  <c r="AE5" i="18"/>
  <c r="AG7" i="18"/>
  <c r="AD8" i="18"/>
  <c r="AF10" i="18"/>
  <c r="AC11" i="18"/>
  <c r="AH12" i="18"/>
  <c r="AE13" i="18"/>
  <c r="AG15" i="18"/>
  <c r="AD16" i="18"/>
  <c r="AF18" i="18"/>
  <c r="AC19" i="18"/>
  <c r="AH20" i="18"/>
  <c r="AE21" i="18"/>
  <c r="AG23" i="18"/>
  <c r="AD24" i="18"/>
  <c r="AF26" i="18"/>
  <c r="AC27" i="18"/>
  <c r="AH28" i="18"/>
  <c r="AE29" i="18"/>
  <c r="AG31" i="18"/>
  <c r="AD32" i="18"/>
  <c r="AF34" i="18"/>
  <c r="AC35" i="18"/>
  <c r="AH36" i="18"/>
  <c r="AE37" i="18"/>
  <c r="AG39" i="18"/>
  <c r="AD40" i="18"/>
  <c r="AF42" i="18"/>
  <c r="AC43" i="18"/>
  <c r="AH44" i="18"/>
  <c r="AE45" i="18"/>
  <c r="AG47" i="18"/>
  <c r="AD48" i="18"/>
  <c r="AF50" i="18"/>
  <c r="AC51" i="18"/>
  <c r="AH52" i="18"/>
  <c r="AE53" i="18"/>
  <c r="AG55" i="18"/>
  <c r="AF7" i="18"/>
  <c r="AH9" i="18"/>
  <c r="AE10" i="18"/>
  <c r="AG12" i="18"/>
  <c r="AF15" i="18"/>
  <c r="AH17" i="18"/>
  <c r="AE18" i="18"/>
  <c r="AG20" i="18"/>
  <c r="AF23" i="18"/>
  <c r="AH25" i="18"/>
  <c r="AE26" i="18"/>
  <c r="AG28" i="18"/>
  <c r="AF31" i="18"/>
  <c r="AH33" i="18"/>
  <c r="AE34" i="18"/>
  <c r="AG36" i="18"/>
  <c r="AF39" i="18"/>
  <c r="AH41" i="18"/>
  <c r="AE42" i="18"/>
  <c r="AG44" i="18"/>
  <c r="AF47" i="18"/>
  <c r="AH49" i="18"/>
  <c r="AE50" i="18"/>
  <c r="AG52" i="18"/>
  <c r="AF55" i="18"/>
  <c r="AH6" i="18"/>
  <c r="AE7" i="18"/>
  <c r="AG9" i="18"/>
  <c r="AF12" i="18"/>
  <c r="AH14" i="18"/>
  <c r="AE15" i="18"/>
  <c r="AG17" i="18"/>
  <c r="AF20" i="18"/>
  <c r="AH22" i="18"/>
  <c r="AE23" i="18"/>
  <c r="AG25" i="18"/>
  <c r="AF28" i="18"/>
  <c r="AH30" i="18"/>
  <c r="AE31" i="18"/>
  <c r="AG33" i="18"/>
  <c r="AF36" i="18"/>
  <c r="AH38" i="18"/>
  <c r="AE39" i="18"/>
  <c r="AG41" i="18"/>
  <c r="AF44" i="18"/>
  <c r="AH46" i="18"/>
  <c r="AE47" i="18"/>
  <c r="AG49" i="18"/>
  <c r="AF52" i="18"/>
  <c r="AH54" i="18"/>
  <c r="AE55" i="18"/>
  <c r="AB5" i="7"/>
  <c r="G11" i="7"/>
  <c r="S5" i="7"/>
  <c r="N13" i="7"/>
  <c r="V13" i="7"/>
  <c r="X12" i="7"/>
  <c r="T11" i="7"/>
  <c r="O11" i="7"/>
  <c r="V5" i="7"/>
  <c r="P11" i="7"/>
  <c r="AC5" i="7"/>
  <c r="K11" i="7"/>
  <c r="K13" i="7"/>
  <c r="P13" i="7"/>
  <c r="U13" i="7"/>
  <c r="Y13" i="7"/>
  <c r="M13" i="7"/>
  <c r="R5" i="7"/>
  <c r="Q13" i="7"/>
  <c r="H12" i="7"/>
  <c r="H13" i="7"/>
  <c r="G13" i="7"/>
  <c r="X11" i="7"/>
  <c r="AA5" i="7"/>
  <c r="K5" i="7"/>
  <c r="U5" i="7"/>
  <c r="L5" i="7"/>
  <c r="X13" i="7"/>
  <c r="J11" i="7"/>
  <c r="S11" i="7"/>
  <c r="Z13" i="7"/>
  <c r="Q11" i="7"/>
  <c r="AD5" i="7"/>
  <c r="P12" i="7"/>
  <c r="Z5" i="7"/>
  <c r="U12" i="7"/>
  <c r="W11" i="7"/>
  <c r="G12" i="7"/>
  <c r="T5" i="7"/>
  <c r="T13" i="7"/>
  <c r="R13" i="7"/>
  <c r="Y11" i="7"/>
  <c r="C5" i="5" l="1"/>
  <c r="I5" i="5" s="1"/>
  <c r="AG56" i="18"/>
  <c r="AE56" i="18"/>
  <c r="AH56" i="18"/>
  <c r="AD56" i="18"/>
  <c r="G11" i="42"/>
  <c r="F12" i="42"/>
  <c r="H12" i="42"/>
  <c r="K12" i="42"/>
  <c r="Q12" i="42"/>
  <c r="J13" i="42"/>
  <c r="I13" i="42"/>
  <c r="S12" i="42"/>
  <c r="J11" i="42"/>
  <c r="R13" i="42"/>
  <c r="N13" i="42"/>
  <c r="K13" i="42"/>
  <c r="O13" i="42"/>
  <c r="M13" i="42"/>
  <c r="N11" i="42"/>
  <c r="S11" i="42"/>
  <c r="H13" i="42"/>
  <c r="F13" i="42"/>
  <c r="Q13" i="42"/>
  <c r="S13" i="42"/>
  <c r="L13" i="42"/>
  <c r="J12" i="42"/>
  <c r="F11" i="42"/>
  <c r="L12" i="42"/>
  <c r="O11" i="42"/>
  <c r="G13" i="42"/>
  <c r="M11" i="42"/>
  <c r="Q11" i="42"/>
  <c r="R11" i="42"/>
  <c r="E12" i="42"/>
  <c r="D12" i="42"/>
  <c r="E13" i="42"/>
  <c r="D13" i="42"/>
  <c r="E11" i="42"/>
  <c r="V5" i="42"/>
  <c r="U5" i="42"/>
  <c r="T5" i="42"/>
  <c r="O5" i="42"/>
  <c r="N5" i="42"/>
  <c r="M5" i="42"/>
  <c r="L5" i="42"/>
  <c r="K5" i="42"/>
  <c r="G5" i="42"/>
  <c r="H5" i="42"/>
  <c r="I5" i="42"/>
  <c r="I12" i="7"/>
  <c r="AA12" i="42" s="1"/>
  <c r="I13" i="7"/>
  <c r="AA13" i="42" s="1"/>
  <c r="I11" i="7"/>
  <c r="AA11" i="42" s="1"/>
  <c r="AJ11" i="7"/>
  <c r="AH11" i="7"/>
  <c r="AF11" i="7"/>
  <c r="AI13" i="7"/>
  <c r="AI11" i="7"/>
  <c r="AG11" i="7"/>
  <c r="AE11" i="7"/>
  <c r="AH13" i="7"/>
  <c r="AF13" i="7"/>
  <c r="AJ13" i="7"/>
  <c r="AL5" i="7"/>
  <c r="AJ5" i="7"/>
  <c r="AC13" i="7"/>
  <c r="AA13" i="7"/>
  <c r="AD11" i="7"/>
  <c r="AC12" i="7"/>
  <c r="AA12" i="7"/>
  <c r="AA11" i="7"/>
  <c r="AD12" i="7"/>
  <c r="AD13" i="7"/>
  <c r="AB13" i="7"/>
  <c r="AB11" i="7"/>
  <c r="AC11" i="7"/>
  <c r="AB12" i="7"/>
  <c r="C11" i="5" l="1"/>
  <c r="I11" i="5" s="1"/>
  <c r="C13" i="5"/>
  <c r="I13" i="5" s="1"/>
  <c r="C12" i="5"/>
  <c r="I12" i="5" s="1"/>
  <c r="V12" i="42"/>
  <c r="U13" i="42"/>
  <c r="V13" i="42"/>
  <c r="U11" i="42"/>
  <c r="T11" i="42"/>
  <c r="T13" i="42"/>
  <c r="V11" i="42"/>
  <c r="T12" i="42"/>
  <c r="U12" i="42"/>
  <c r="AL12" i="7"/>
  <c r="AL13" i="7"/>
  <c r="AK11" i="7"/>
  <c r="AK13" i="7"/>
  <c r="AL11" i="7"/>
  <c r="AK12" i="7"/>
  <c r="F10" i="7"/>
  <c r="F6" i="7"/>
  <c r="L7" i="7"/>
  <c r="F8" i="7"/>
  <c r="L8" i="7"/>
  <c r="F7" i="7"/>
  <c r="L6" i="7"/>
  <c r="F9" i="7"/>
  <c r="L10" i="7"/>
  <c r="L9" i="7"/>
  <c r="B9" i="42" l="1"/>
  <c r="C9" i="42" s="1"/>
  <c r="B8" i="42"/>
  <c r="C8" i="42" s="1"/>
  <c r="B7" i="42"/>
  <c r="C7" i="42" s="1"/>
  <c r="B6" i="42"/>
  <c r="C6" i="42" s="1"/>
  <c r="B10" i="42"/>
  <c r="C10" i="42" s="1"/>
  <c r="AM11" i="7"/>
  <c r="Z11" i="42" s="1"/>
  <c r="E11" i="5" s="1"/>
  <c r="AM13" i="7"/>
  <c r="Z13" i="42" s="1"/>
  <c r="E13" i="5" s="1"/>
  <c r="AM12" i="7"/>
  <c r="U9" i="7"/>
  <c r="H10" i="7"/>
  <c r="T7" i="7"/>
  <c r="X6" i="7"/>
  <c r="V10" i="7"/>
  <c r="V6" i="7"/>
  <c r="R8" i="7"/>
  <c r="N7" i="7"/>
  <c r="J9" i="7"/>
  <c r="W7" i="7"/>
  <c r="J8" i="7"/>
  <c r="Q10" i="7"/>
  <c r="N9" i="7"/>
  <c r="Y8" i="7"/>
  <c r="U8" i="7"/>
  <c r="U6" i="7"/>
  <c r="P10" i="7"/>
  <c r="Z8" i="7"/>
  <c r="T8" i="7"/>
  <c r="P9" i="7"/>
  <c r="R6" i="7"/>
  <c r="S8" i="7"/>
  <c r="X10" i="7"/>
  <c r="G7" i="7"/>
  <c r="N8" i="7"/>
  <c r="S7" i="7"/>
  <c r="H6" i="7"/>
  <c r="R10" i="7"/>
  <c r="J10" i="7"/>
  <c r="K6" i="7"/>
  <c r="Y9" i="7"/>
  <c r="T10" i="7"/>
  <c r="V9" i="7"/>
  <c r="P6" i="7"/>
  <c r="S6" i="7"/>
  <c r="M7" i="7"/>
  <c r="J7" i="7"/>
  <c r="M6" i="7"/>
  <c r="M8" i="7"/>
  <c r="Z9" i="7"/>
  <c r="Q8" i="7"/>
  <c r="S9" i="7"/>
  <c r="O6" i="7"/>
  <c r="K10" i="7"/>
  <c r="H9" i="7"/>
  <c r="N6" i="7"/>
  <c r="W8" i="7"/>
  <c r="S10" i="7"/>
  <c r="W10" i="7"/>
  <c r="O8" i="7"/>
  <c r="G10" i="7"/>
  <c r="H7" i="7"/>
  <c r="V7" i="7"/>
  <c r="N10" i="7"/>
  <c r="K8" i="7"/>
  <c r="U10" i="7"/>
  <c r="X9" i="7"/>
  <c r="O7" i="7"/>
  <c r="W6" i="7"/>
  <c r="Y6" i="7"/>
  <c r="M9" i="7"/>
  <c r="Z7" i="7"/>
  <c r="Y7" i="7"/>
  <c r="W9" i="7"/>
  <c r="R9" i="7"/>
  <c r="T6" i="7"/>
  <c r="J6" i="7"/>
  <c r="X8" i="7"/>
  <c r="V8" i="7"/>
  <c r="U7" i="7"/>
  <c r="R7" i="7"/>
  <c r="G6" i="7"/>
  <c r="H8" i="7"/>
  <c r="O10" i="7"/>
  <c r="G9" i="7"/>
  <c r="P7" i="7"/>
  <c r="T9" i="7"/>
  <c r="Y10" i="7"/>
  <c r="Q7" i="7"/>
  <c r="K9" i="7"/>
  <c r="K7" i="7"/>
  <c r="P8" i="7"/>
  <c r="Q9" i="7"/>
  <c r="O9" i="7"/>
  <c r="G8" i="7"/>
  <c r="Q6" i="7"/>
  <c r="Z10" i="7"/>
  <c r="X7" i="7"/>
  <c r="Z6" i="7"/>
  <c r="M10" i="7"/>
  <c r="M10" i="42" l="1"/>
  <c r="G7" i="42"/>
  <c r="F8" i="42"/>
  <c r="H7" i="42"/>
  <c r="L9" i="42"/>
  <c r="M8" i="42"/>
  <c r="J9" i="42"/>
  <c r="Q7" i="42"/>
  <c r="R8" i="42"/>
  <c r="M7" i="42"/>
  <c r="J6" i="42"/>
  <c r="I6" i="42"/>
  <c r="R9" i="42"/>
  <c r="S8" i="42"/>
  <c r="G8" i="42"/>
  <c r="H9" i="42"/>
  <c r="H8" i="42"/>
  <c r="I10" i="42"/>
  <c r="L6" i="42"/>
  <c r="Q9" i="42"/>
  <c r="Q6" i="42"/>
  <c r="H10" i="42"/>
  <c r="S10" i="42"/>
  <c r="R6" i="42"/>
  <c r="L10" i="42"/>
  <c r="L8" i="42"/>
  <c r="R7" i="42"/>
  <c r="S6" i="42"/>
  <c r="I8" i="42"/>
  <c r="F9" i="42"/>
  <c r="N9" i="42"/>
  <c r="K9" i="42"/>
  <c r="O9" i="42"/>
  <c r="H6" i="42"/>
  <c r="Q8" i="42"/>
  <c r="J8" i="42"/>
  <c r="G6" i="42"/>
  <c r="J10" i="42"/>
  <c r="M9" i="42"/>
  <c r="I7" i="42"/>
  <c r="F10" i="42"/>
  <c r="S9" i="42"/>
  <c r="K8" i="42"/>
  <c r="O8" i="42"/>
  <c r="N8" i="42"/>
  <c r="R10" i="42"/>
  <c r="J7" i="42"/>
  <c r="S7" i="42"/>
  <c r="L7" i="42"/>
  <c r="O6" i="42"/>
  <c r="K6" i="42"/>
  <c r="N6" i="42"/>
  <c r="K7" i="42"/>
  <c r="O7" i="42"/>
  <c r="N7" i="42"/>
  <c r="F6" i="42"/>
  <c r="K10" i="42"/>
  <c r="O10" i="42"/>
  <c r="N10" i="42"/>
  <c r="Q10" i="42"/>
  <c r="I9" i="42"/>
  <c r="G9" i="42"/>
  <c r="M6" i="42"/>
  <c r="G10" i="42"/>
  <c r="F7" i="42"/>
  <c r="P12" i="42"/>
  <c r="X12" i="42"/>
  <c r="Y12" i="42"/>
  <c r="D12" i="5" s="1"/>
  <c r="W12" i="42"/>
  <c r="P11" i="42"/>
  <c r="W11" i="42"/>
  <c r="X11" i="42"/>
  <c r="Y11" i="42"/>
  <c r="D11" i="5" s="1"/>
  <c r="P13" i="42"/>
  <c r="W13" i="42"/>
  <c r="X13" i="42"/>
  <c r="Y13" i="42"/>
  <c r="D13" i="5" s="1"/>
  <c r="Z12" i="42"/>
  <c r="E12" i="5" s="1"/>
  <c r="E7" i="42"/>
  <c r="D7" i="42"/>
  <c r="E9" i="42"/>
  <c r="D9" i="42"/>
  <c r="E8" i="42"/>
  <c r="D8" i="42"/>
  <c r="E10" i="42"/>
  <c r="D10" i="42"/>
  <c r="E6" i="42"/>
  <c r="D6" i="42"/>
  <c r="I7" i="7"/>
  <c r="AA7" i="42" s="1"/>
  <c r="I9" i="7"/>
  <c r="AA9" i="42" s="1"/>
  <c r="I8" i="7"/>
  <c r="AA8" i="42" s="1"/>
  <c r="I10" i="7"/>
  <c r="AA10" i="42" s="1"/>
  <c r="I6" i="7"/>
  <c r="AA6" i="42" s="1"/>
  <c r="AH7" i="7"/>
  <c r="AF7" i="7"/>
  <c r="AJ7" i="7"/>
  <c r="AI8" i="7"/>
  <c r="AG8" i="7"/>
  <c r="AE8" i="7"/>
  <c r="AJ8" i="7"/>
  <c r="AH8" i="7"/>
  <c r="AF8" i="7"/>
  <c r="AI9" i="7"/>
  <c r="AE9" i="7"/>
  <c r="AG9" i="7"/>
  <c r="AH6" i="7"/>
  <c r="AJ6" i="7"/>
  <c r="AF6" i="7"/>
  <c r="AI10" i="7"/>
  <c r="AG10" i="7"/>
  <c r="AE10" i="7"/>
  <c r="AE6" i="7"/>
  <c r="AG6" i="7"/>
  <c r="AI6" i="7"/>
  <c r="AH9" i="7"/>
  <c r="AJ9" i="7"/>
  <c r="AF9" i="7"/>
  <c r="AJ10" i="7"/>
  <c r="AH10" i="7"/>
  <c r="AF10" i="7"/>
  <c r="AI7" i="7"/>
  <c r="AG7" i="7"/>
  <c r="AE7" i="7"/>
  <c r="AA10" i="7"/>
  <c r="AB9" i="7"/>
  <c r="AD10" i="7"/>
  <c r="AC6" i="7"/>
  <c r="AA9" i="7"/>
  <c r="AC10" i="7"/>
  <c r="AC9" i="7"/>
  <c r="AB7" i="7"/>
  <c r="AB8" i="7"/>
  <c r="AD9" i="7"/>
  <c r="AC7" i="7"/>
  <c r="AA8" i="7"/>
  <c r="AC8" i="7"/>
  <c r="AB10" i="7"/>
  <c r="AA7" i="7"/>
  <c r="AD8" i="7"/>
  <c r="AB6" i="7"/>
  <c r="AD7" i="7"/>
  <c r="AA6" i="7"/>
  <c r="AD6" i="7"/>
  <c r="C7" i="5" l="1"/>
  <c r="I7" i="5" s="1"/>
  <c r="C6" i="5"/>
  <c r="I6" i="5" s="1"/>
  <c r="C10" i="5"/>
  <c r="I10" i="5" s="1"/>
  <c r="C8" i="5"/>
  <c r="I8" i="5" s="1"/>
  <c r="C9" i="5"/>
  <c r="I9" i="5" s="1"/>
  <c r="U8" i="42"/>
  <c r="U9" i="42"/>
  <c r="T7" i="42"/>
  <c r="T9" i="42"/>
  <c r="V9" i="42"/>
  <c r="V7" i="42"/>
  <c r="U10" i="42"/>
  <c r="V6" i="42"/>
  <c r="V8" i="42"/>
  <c r="V10" i="42"/>
  <c r="U6" i="42"/>
  <c r="U7" i="42"/>
  <c r="T6" i="42"/>
  <c r="T10" i="42"/>
  <c r="T8" i="42"/>
  <c r="AK7" i="7"/>
  <c r="AK9" i="7"/>
  <c r="AL9" i="7"/>
  <c r="AL7" i="7"/>
  <c r="AL6" i="7"/>
  <c r="AL8" i="7"/>
  <c r="AL10" i="7"/>
  <c r="AK6" i="7"/>
  <c r="AK10" i="7"/>
  <c r="AK8" i="7"/>
  <c r="AM6" i="7" l="1"/>
  <c r="AM10" i="7"/>
  <c r="AM7" i="7"/>
  <c r="Z7" i="42" s="1"/>
  <c r="E7" i="5" s="1"/>
  <c r="AM8" i="7"/>
  <c r="Z8" i="42" s="1"/>
  <c r="E8" i="5" s="1"/>
  <c r="AM9" i="7"/>
  <c r="Z9" i="42" s="1"/>
  <c r="E9" i="5" s="1"/>
  <c r="P6" i="42" l="1"/>
  <c r="Y6" i="42"/>
  <c r="X6" i="42"/>
  <c r="W6" i="42"/>
  <c r="P10" i="42"/>
  <c r="W10" i="42"/>
  <c r="Y10" i="42"/>
  <c r="X10" i="42"/>
  <c r="P7" i="42"/>
  <c r="X7" i="42"/>
  <c r="W7" i="42"/>
  <c r="Y7" i="42"/>
  <c r="P8" i="42"/>
  <c r="Y8" i="42"/>
  <c r="D8" i="5" s="1"/>
  <c r="W8" i="42"/>
  <c r="X8" i="42"/>
  <c r="Z6" i="42"/>
  <c r="Z10" i="42"/>
  <c r="P9" i="42"/>
  <c r="W9" i="42"/>
  <c r="X9" i="42"/>
  <c r="Y9" i="42"/>
  <c r="H9" i="5"/>
  <c r="H7" i="5"/>
  <c r="H12" i="5"/>
  <c r="H11" i="5"/>
  <c r="H13" i="5"/>
  <c r="J13" i="5"/>
  <c r="J12" i="5"/>
  <c r="J11" i="5"/>
  <c r="K7" i="5"/>
  <c r="K13" i="5"/>
  <c r="K11" i="5"/>
  <c r="K12" i="5"/>
  <c r="K9" i="5"/>
  <c r="N12" i="5" l="1"/>
  <c r="N11" i="5"/>
  <c r="N13" i="5"/>
  <c r="D7" i="5"/>
  <c r="J7" i="5" s="1"/>
  <c r="N7" i="5" s="1"/>
  <c r="E10" i="5"/>
  <c r="K10" i="5" s="1"/>
  <c r="D6" i="5"/>
  <c r="J6" i="5" s="1"/>
  <c r="E6" i="5"/>
  <c r="K6" i="5" s="1"/>
  <c r="D10" i="5"/>
  <c r="J10" i="5" s="1"/>
  <c r="D9" i="5"/>
  <c r="J9" i="5" s="1"/>
  <c r="N9" i="5" s="1"/>
  <c r="H10" i="5"/>
  <c r="H6" i="5"/>
  <c r="N6" i="5" l="1"/>
  <c r="N10" i="5"/>
  <c r="AE5" i="7"/>
  <c r="AG5" i="7"/>
  <c r="AI5" i="7"/>
  <c r="AF5" i="7"/>
  <c r="AH5" i="7"/>
  <c r="AK5" i="7"/>
  <c r="AM5" i="7" l="1"/>
  <c r="Y5" i="42" s="1"/>
  <c r="D5" i="5" s="1"/>
  <c r="Z5" i="42" l="1"/>
  <c r="E5" i="5" s="1"/>
  <c r="P5" i="42"/>
  <c r="W5" i="42"/>
  <c r="X5" i="42"/>
  <c r="K5" i="5" l="1"/>
  <c r="H8" i="5"/>
  <c r="J8" i="5"/>
  <c r="K8" i="5"/>
  <c r="J5" i="5"/>
  <c r="N5" i="5" l="1"/>
  <c r="N8" i="5"/>
</calcChain>
</file>

<file path=xl/comments1.xml><?xml version="1.0" encoding="utf-8"?>
<comments xmlns="http://schemas.openxmlformats.org/spreadsheetml/2006/main">
  <authors>
    <author>admin</author>
  </authors>
  <commentList>
    <comment ref="F3" authorId="0">
      <text>
        <r>
          <rPr>
            <b/>
            <sz val="9"/>
            <color indexed="81"/>
            <rFont val="宋体"/>
            <family val="3"/>
            <charset val="134"/>
          </rPr>
          <t>手工录入：禅道中冒烟测试提测的版本次数</t>
        </r>
      </text>
    </comment>
  </commentList>
</comments>
</file>

<file path=xl/comments2.xml><?xml version="1.0" encoding="utf-8"?>
<comments xmlns="http://schemas.openxmlformats.org/spreadsheetml/2006/main">
  <authors>
    <author>admin</author>
  </authors>
  <commentList>
    <comment ref="J1" authorId="0">
      <text>
        <r>
          <rPr>
            <b/>
            <sz val="9"/>
            <color indexed="81"/>
            <rFont val="宋体"/>
            <family val="3"/>
            <charset val="134"/>
          </rPr>
          <t>等于检出活动</t>
        </r>
        <r>
          <rPr>
            <sz val="9"/>
            <color indexed="81"/>
            <rFont val="Tahoma"/>
            <family val="2"/>
          </rPr>
          <t xml:space="preserve">
</t>
        </r>
      </text>
    </comment>
  </commentList>
</comments>
</file>

<file path=xl/comments3.xml><?xml version="1.0" encoding="utf-8"?>
<comments xmlns="http://schemas.openxmlformats.org/spreadsheetml/2006/main">
  <authors>
    <author>admin</author>
  </authors>
  <commentList>
    <comment ref="R3" authorId="0">
      <text>
        <r>
          <rPr>
            <b/>
            <sz val="9"/>
            <color indexed="81"/>
            <rFont val="宋体"/>
            <family val="3"/>
            <charset val="134"/>
          </rPr>
          <t>admin:</t>
        </r>
        <r>
          <rPr>
            <sz val="9"/>
            <color indexed="81"/>
            <rFont val="宋体"/>
            <family val="3"/>
            <charset val="134"/>
          </rPr>
          <t xml:space="preserve">
系统测试无效缺陷=丢弃+重复+设计如此</t>
        </r>
      </text>
    </comment>
    <comment ref="C4" authorId="0">
      <text>
        <r>
          <rPr>
            <b/>
            <sz val="9"/>
            <color indexed="81"/>
            <rFont val="宋体"/>
            <family val="3"/>
            <charset val="134"/>
          </rPr>
          <t>本轮迭代起止时间</t>
        </r>
      </text>
    </comment>
  </commentList>
</comments>
</file>

<file path=xl/comments4.xml><?xml version="1.0" encoding="utf-8"?>
<comments xmlns="http://schemas.openxmlformats.org/spreadsheetml/2006/main">
  <authors>
    <author>admin</author>
  </authors>
  <commentList>
    <comment ref="R3" authorId="0">
      <text>
        <r>
          <rPr>
            <b/>
            <sz val="9"/>
            <color indexed="81"/>
            <rFont val="宋体"/>
            <family val="3"/>
            <charset val="134"/>
          </rPr>
          <t>admin:</t>
        </r>
        <r>
          <rPr>
            <sz val="9"/>
            <color indexed="81"/>
            <rFont val="宋体"/>
            <family val="3"/>
            <charset val="134"/>
          </rPr>
          <t xml:space="preserve">
系统测试无效缺陷=丢弃+重复+设计如此</t>
        </r>
      </text>
    </comment>
    <comment ref="C4" authorId="0">
      <text>
        <r>
          <rPr>
            <b/>
            <sz val="9"/>
            <color indexed="81"/>
            <rFont val="宋体"/>
            <family val="3"/>
            <charset val="134"/>
          </rPr>
          <t>本轮迭代起止时间</t>
        </r>
      </text>
    </comment>
  </commentList>
</comments>
</file>

<file path=xl/comments5.xml><?xml version="1.0" encoding="utf-8"?>
<comments xmlns="http://schemas.openxmlformats.org/spreadsheetml/2006/main">
  <authors>
    <author>admin</author>
  </authors>
  <commentList>
    <comment ref="R3" authorId="0">
      <text>
        <r>
          <rPr>
            <b/>
            <sz val="9"/>
            <color indexed="81"/>
            <rFont val="宋体"/>
            <family val="3"/>
            <charset val="134"/>
          </rPr>
          <t>admin:</t>
        </r>
        <r>
          <rPr>
            <sz val="9"/>
            <color indexed="81"/>
            <rFont val="宋体"/>
            <family val="3"/>
            <charset val="134"/>
          </rPr>
          <t xml:space="preserve">
系统测试无效缺陷=丢弃+重复+设计如此</t>
        </r>
      </text>
    </comment>
    <comment ref="C4" authorId="0">
      <text>
        <r>
          <rPr>
            <b/>
            <sz val="9"/>
            <color indexed="81"/>
            <rFont val="宋体"/>
            <family val="3"/>
            <charset val="134"/>
          </rPr>
          <t>本轮迭代起止时间</t>
        </r>
      </text>
    </comment>
  </commentList>
</comments>
</file>

<file path=xl/comments6.xml><?xml version="1.0" encoding="utf-8"?>
<comments xmlns="http://schemas.openxmlformats.org/spreadsheetml/2006/main">
  <authors>
    <author>admin</author>
  </authors>
  <commentList>
    <comment ref="R3" authorId="0">
      <text>
        <r>
          <rPr>
            <b/>
            <sz val="9"/>
            <color indexed="81"/>
            <rFont val="宋体"/>
            <family val="3"/>
            <charset val="134"/>
          </rPr>
          <t>admin:</t>
        </r>
        <r>
          <rPr>
            <sz val="9"/>
            <color indexed="81"/>
            <rFont val="宋体"/>
            <family val="3"/>
            <charset val="134"/>
          </rPr>
          <t xml:space="preserve">
系统测试无效缺陷=丢弃+重复+设计如此</t>
        </r>
      </text>
    </comment>
    <comment ref="C4" authorId="0">
      <text>
        <r>
          <rPr>
            <b/>
            <sz val="9"/>
            <color indexed="81"/>
            <rFont val="宋体"/>
            <family val="3"/>
            <charset val="134"/>
          </rPr>
          <t>本轮迭代起止时间</t>
        </r>
      </text>
    </comment>
  </commentList>
</comments>
</file>

<file path=xl/comments7.xml><?xml version="1.0" encoding="utf-8"?>
<comments xmlns="http://schemas.openxmlformats.org/spreadsheetml/2006/main">
  <authors>
    <author>admin</author>
  </authors>
  <commentList>
    <comment ref="R3" authorId="0">
      <text>
        <r>
          <rPr>
            <b/>
            <sz val="9"/>
            <color indexed="81"/>
            <rFont val="宋体"/>
            <family val="3"/>
            <charset val="134"/>
          </rPr>
          <t>admin:</t>
        </r>
        <r>
          <rPr>
            <sz val="9"/>
            <color indexed="81"/>
            <rFont val="宋体"/>
            <family val="3"/>
            <charset val="134"/>
          </rPr>
          <t xml:space="preserve">
系统测试无效缺陷=丢弃+重复+设计如此</t>
        </r>
      </text>
    </comment>
    <comment ref="C4" authorId="0">
      <text>
        <r>
          <rPr>
            <b/>
            <sz val="9"/>
            <color indexed="81"/>
            <rFont val="宋体"/>
            <family val="3"/>
            <charset val="134"/>
          </rPr>
          <t>本轮迭代起止时间</t>
        </r>
      </text>
    </comment>
  </commentList>
</comments>
</file>

<file path=xl/comments8.xml><?xml version="1.0" encoding="utf-8"?>
<comments xmlns="http://schemas.openxmlformats.org/spreadsheetml/2006/main">
  <authors>
    <author>admin</author>
  </authors>
  <commentList>
    <comment ref="R3" authorId="0">
      <text>
        <r>
          <rPr>
            <b/>
            <sz val="9"/>
            <color indexed="81"/>
            <rFont val="宋体"/>
            <family val="3"/>
            <charset val="134"/>
          </rPr>
          <t>admin:</t>
        </r>
        <r>
          <rPr>
            <sz val="9"/>
            <color indexed="81"/>
            <rFont val="宋体"/>
            <family val="3"/>
            <charset val="134"/>
          </rPr>
          <t xml:space="preserve">
系统测试无效缺陷=丢弃+重复+设计如此</t>
        </r>
      </text>
    </comment>
    <comment ref="C4" authorId="0">
      <text>
        <r>
          <rPr>
            <b/>
            <sz val="9"/>
            <color indexed="81"/>
            <rFont val="宋体"/>
            <family val="3"/>
            <charset val="134"/>
          </rPr>
          <t>本轮迭代起止时间</t>
        </r>
      </text>
    </comment>
  </commentList>
</comments>
</file>

<file path=xl/comments9.xml><?xml version="1.0" encoding="utf-8"?>
<comments xmlns="http://schemas.openxmlformats.org/spreadsheetml/2006/main">
  <authors>
    <author>admin</author>
  </authors>
  <commentList>
    <comment ref="R3" authorId="0">
      <text>
        <r>
          <rPr>
            <b/>
            <sz val="9"/>
            <color indexed="81"/>
            <rFont val="宋体"/>
            <family val="3"/>
            <charset val="134"/>
          </rPr>
          <t>admin:</t>
        </r>
        <r>
          <rPr>
            <sz val="9"/>
            <color indexed="81"/>
            <rFont val="宋体"/>
            <family val="3"/>
            <charset val="134"/>
          </rPr>
          <t xml:space="preserve">
系统测试无效缺陷=丢弃+重复+设计如此</t>
        </r>
      </text>
    </comment>
    <comment ref="C4" authorId="0">
      <text>
        <r>
          <rPr>
            <b/>
            <sz val="9"/>
            <color indexed="81"/>
            <rFont val="宋体"/>
            <family val="3"/>
            <charset val="134"/>
          </rPr>
          <t>本轮迭代起止时间</t>
        </r>
      </text>
    </comment>
  </commentList>
</comments>
</file>

<file path=xl/comments10.xml><?xml version="1.0" encoding="utf-8"?>
<comments xmlns="http://schemas.openxmlformats.org/spreadsheetml/2006/main">
  <authors>
    <author>admin</author>
  </authors>
  <commentList>
    <comment ref="R3" authorId="0">
      <text>
        <r>
          <rPr>
            <b/>
            <sz val="9"/>
            <color indexed="81"/>
            <rFont val="宋体"/>
            <family val="3"/>
            <charset val="134"/>
          </rPr>
          <t>admin:</t>
        </r>
        <r>
          <rPr>
            <sz val="9"/>
            <color indexed="81"/>
            <rFont val="宋体"/>
            <family val="3"/>
            <charset val="134"/>
          </rPr>
          <t xml:space="preserve">
系统测试无效缺陷=丢弃+重复+设计如此</t>
        </r>
      </text>
    </comment>
    <comment ref="C4" authorId="0">
      <text>
        <r>
          <rPr>
            <b/>
            <sz val="9"/>
            <color indexed="81"/>
            <rFont val="宋体"/>
            <family val="3"/>
            <charset val="134"/>
          </rPr>
          <t>本轮迭代起止时间</t>
        </r>
      </text>
    </comment>
  </commentList>
</comments>
</file>

<file path=xl/comments11.xml><?xml version="1.0" encoding="utf-8"?>
<comments xmlns="http://schemas.openxmlformats.org/spreadsheetml/2006/main">
  <authors>
    <author>admin</author>
  </authors>
  <commentList>
    <comment ref="R3" authorId="0">
      <text>
        <r>
          <rPr>
            <b/>
            <sz val="9"/>
            <color indexed="81"/>
            <rFont val="宋体"/>
            <family val="3"/>
            <charset val="134"/>
          </rPr>
          <t>admin:</t>
        </r>
        <r>
          <rPr>
            <sz val="9"/>
            <color indexed="81"/>
            <rFont val="宋体"/>
            <family val="3"/>
            <charset val="134"/>
          </rPr>
          <t xml:space="preserve">
系统测试无效缺陷=丢弃+重复+设计如此</t>
        </r>
      </text>
    </comment>
    <comment ref="C4" authorId="0">
      <text>
        <r>
          <rPr>
            <b/>
            <sz val="9"/>
            <color indexed="81"/>
            <rFont val="宋体"/>
            <family val="3"/>
            <charset val="134"/>
          </rPr>
          <t>本轮迭代起止时间</t>
        </r>
      </text>
    </comment>
  </commentList>
</comments>
</file>

<file path=xl/sharedStrings.xml><?xml version="1.0" encoding="utf-8"?>
<sst xmlns="http://schemas.openxmlformats.org/spreadsheetml/2006/main" count="15582" uniqueCount="2135">
  <si>
    <t>系统测试</t>
  </si>
  <si>
    <t>指数</t>
  </si>
  <si>
    <t>综合</t>
  </si>
  <si>
    <t>过程检查</t>
  </si>
  <si>
    <t>备注</t>
  </si>
  <si>
    <t>M002</t>
  </si>
  <si>
    <t>M003</t>
  </si>
  <si>
    <t>M004</t>
  </si>
  <si>
    <t>M005</t>
  </si>
  <si>
    <t>M006</t>
  </si>
  <si>
    <t>M007</t>
  </si>
  <si>
    <t>M008</t>
  </si>
  <si>
    <t>M009</t>
  </si>
  <si>
    <t>M010</t>
  </si>
  <si>
    <t>M011</t>
  </si>
  <si>
    <t>M012</t>
  </si>
  <si>
    <t>M013</t>
  </si>
  <si>
    <t>M014</t>
  </si>
  <si>
    <t>M015</t>
  </si>
  <si>
    <t>M016</t>
  </si>
  <si>
    <t>M017</t>
  </si>
  <si>
    <t>M018</t>
  </si>
  <si>
    <t>M019</t>
  </si>
  <si>
    <t>M020</t>
  </si>
  <si>
    <t>M021</t>
  </si>
  <si>
    <t>M022</t>
  </si>
  <si>
    <t>M024</t>
  </si>
  <si>
    <t>M025</t>
  </si>
  <si>
    <t>M023</t>
  </si>
  <si>
    <t>M026</t>
  </si>
  <si>
    <t>M027</t>
  </si>
  <si>
    <t>M028</t>
  </si>
  <si>
    <t>M029</t>
  </si>
  <si>
    <t>M030</t>
  </si>
  <si>
    <t>系统测试检出缺陷数</t>
  </si>
  <si>
    <t>系统测试检出严重及致命缺陷数</t>
  </si>
  <si>
    <t>系统测试关闭缺陷数</t>
  </si>
  <si>
    <t>系统测试关闭严重及致命缺陷数</t>
  </si>
  <si>
    <t>开发评审检出缺陷数</t>
  </si>
  <si>
    <t>开发评审关闭缺陷数</t>
  </si>
  <si>
    <t>系统测试前检出缺陷数</t>
  </si>
  <si>
    <t>系统测试前关闭缺陷数</t>
  </si>
  <si>
    <t>过程</t>
  </si>
  <si>
    <t>附件</t>
  </si>
  <si>
    <t>验收测试</t>
  </si>
  <si>
    <t>系统测试案例评审检出缺陷数</t>
  </si>
  <si>
    <t>系统测试案例评审关闭缺陷数</t>
  </si>
  <si>
    <r>
      <rPr>
        <sz val="12"/>
        <rFont val="Arial"/>
        <family val="2"/>
      </rPr>
      <t xml:space="preserve"> </t>
    </r>
    <r>
      <rPr>
        <sz val="10"/>
        <color theme="1"/>
        <rFont val="Arial"/>
        <family val="2"/>
      </rPr>
      <t xml:space="preserve">     </t>
    </r>
    <r>
      <rPr>
        <sz val="12"/>
        <rFont val="Arial"/>
        <family val="2"/>
      </rPr>
      <t xml:space="preserve">      </t>
    </r>
    <r>
      <rPr>
        <b/>
        <sz val="18"/>
        <rFont val="Arial"/>
        <family val="2"/>
      </rPr>
      <t xml:space="preserve">                                </t>
    </r>
    <r>
      <rPr>
        <sz val="12"/>
        <rFont val="Arial"/>
        <family val="2"/>
      </rPr>
      <t xml:space="preserve"> </t>
    </r>
  </si>
  <si>
    <t>使用说明</t>
  </si>
  <si>
    <t>分类</t>
  </si>
  <si>
    <t>相关信息位置</t>
  </si>
  <si>
    <t>编制类型</t>
  </si>
  <si>
    <t>项目整体质量情况</t>
  </si>
  <si>
    <t>自动生成</t>
  </si>
  <si>
    <t>自动汇总表格，项目各指标实际数据汇总。</t>
  </si>
  <si>
    <t>基础数据明细</t>
  </si>
  <si>
    <t>参考信息</t>
  </si>
  <si>
    <t>版本信息</t>
  </si>
  <si>
    <r>
      <rPr>
        <u/>
        <sz val="10"/>
        <color theme="10"/>
        <rFont val="宋体"/>
        <family val="3"/>
        <charset val="134"/>
      </rPr>
      <t>版本信息</t>
    </r>
  </si>
  <si>
    <t>收集表版本变更记录。</t>
  </si>
  <si>
    <t>需求名称</t>
    <phoneticPr fontId="13" type="noConversion"/>
  </si>
  <si>
    <r>
      <t>Zen</t>
    </r>
    <r>
      <rPr>
        <sz val="10"/>
        <color theme="1"/>
        <rFont val="Arial"/>
        <family val="2"/>
      </rPr>
      <t>Tao</t>
    </r>
    <phoneticPr fontId="13" type="noConversion"/>
  </si>
  <si>
    <t>开发规模</t>
    <phoneticPr fontId="13" type="noConversion"/>
  </si>
  <si>
    <t>ZenTao</t>
    <phoneticPr fontId="13" type="noConversion"/>
  </si>
  <si>
    <t>运维测试</t>
    <phoneticPr fontId="13" type="noConversion"/>
  </si>
  <si>
    <t>运维测试检出缺陷数</t>
    <phoneticPr fontId="13" type="noConversion"/>
  </si>
  <si>
    <t>运维测试关闭缺陷数</t>
    <phoneticPr fontId="13" type="noConversion"/>
  </si>
  <si>
    <t>运维测试检出严重及致命缺陷数</t>
    <phoneticPr fontId="13" type="noConversion"/>
  </si>
  <si>
    <t>运维测试关闭严重及致命缺陷数</t>
    <phoneticPr fontId="13" type="noConversion"/>
  </si>
  <si>
    <t>Bug编号</t>
  </si>
  <si>
    <t>所属产品</t>
  </si>
  <si>
    <t>分支/平台</t>
  </si>
  <si>
    <t>所属模块</t>
  </si>
  <si>
    <t>所属项目</t>
  </si>
  <si>
    <t>相关需求</t>
  </si>
  <si>
    <t>相关任务</t>
  </si>
  <si>
    <t>Bug标题</t>
  </si>
  <si>
    <t>关键词</t>
  </si>
  <si>
    <t>严重程度</t>
  </si>
  <si>
    <t>优先级</t>
  </si>
  <si>
    <t>Bug类型</t>
  </si>
  <si>
    <t>操作系统</t>
  </si>
  <si>
    <t>浏览器</t>
  </si>
  <si>
    <t>重现步骤</t>
  </si>
  <si>
    <t>Bug状态</t>
  </si>
  <si>
    <t>激活次数</t>
  </si>
  <si>
    <t>是否确认</t>
  </si>
  <si>
    <t>抄送给</t>
  </si>
  <si>
    <t>由谁创建</t>
  </si>
  <si>
    <t>创建日期</t>
  </si>
  <si>
    <t>影响版本</t>
  </si>
  <si>
    <t>指派给</t>
  </si>
  <si>
    <t>指派日期</t>
  </si>
  <si>
    <t>解决者</t>
  </si>
  <si>
    <t>解决方案</t>
  </si>
  <si>
    <t>解决版本</t>
  </si>
  <si>
    <t>解决日期</t>
  </si>
  <si>
    <t>由谁关闭</t>
  </si>
  <si>
    <t>关闭日期</t>
  </si>
  <si>
    <t>重复ID</t>
  </si>
  <si>
    <t>相关Bug</t>
  </si>
  <si>
    <t>相关用例</t>
  </si>
  <si>
    <t>最后修改者</t>
  </si>
  <si>
    <t>修改日期</t>
  </si>
  <si>
    <t>需求级别</t>
    <phoneticPr fontId="13" type="noConversion"/>
  </si>
  <si>
    <t>评审检出缺陷数</t>
    <phoneticPr fontId="13" type="noConversion"/>
  </si>
  <si>
    <t>评审关闭缺陷数</t>
    <phoneticPr fontId="13" type="noConversion"/>
  </si>
  <si>
    <t>单元测试检出缺陷数</t>
    <phoneticPr fontId="13" type="noConversion"/>
  </si>
  <si>
    <t>单元测试关闭缺陷数</t>
    <phoneticPr fontId="13" type="noConversion"/>
  </si>
  <si>
    <t>动态人脸识别系统(#2)</t>
  </si>
  <si>
    <t>所有(#0)</t>
  </si>
  <si>
    <t>0</t>
  </si>
  <si>
    <t>严重（功能未实现、实现错误）</t>
  </si>
  <si>
    <t>立即修改</t>
  </si>
  <si>
    <t>代码错误</t>
  </si>
  <si>
    <t>激活</t>
  </si>
  <si>
    <t>未确认</t>
  </si>
  <si>
    <t>,</t>
  </si>
  <si>
    <t>赵肖玲</t>
  </si>
  <si>
    <t>主干(#trunk)</t>
  </si>
  <si>
    <t>0000-00-00</t>
  </si>
  <si>
    <t>桌面客户端(#6)</t>
  </si>
  <si>
    <t>一般</t>
  </si>
  <si>
    <t>焦聚静</t>
  </si>
  <si>
    <t>单元测试</t>
    <phoneticPr fontId="13" type="noConversion"/>
  </si>
  <si>
    <t>验收测试检出缺陷数</t>
    <phoneticPr fontId="13" type="noConversion"/>
  </si>
  <si>
    <t>验收测试关闭缺陷数</t>
    <phoneticPr fontId="13" type="noConversion"/>
  </si>
  <si>
    <t>验收测试关闭严重及致命缺陷数</t>
    <phoneticPr fontId="13" type="noConversion"/>
  </si>
  <si>
    <t>交付前检出缺陷数</t>
    <phoneticPr fontId="13" type="noConversion"/>
  </si>
  <si>
    <t>交付后关闭缺陷数</t>
    <phoneticPr fontId="13" type="noConversion"/>
  </si>
  <si>
    <t>交付前关闭缺陷数</t>
    <phoneticPr fontId="13" type="noConversion"/>
  </si>
  <si>
    <t>交付后检出缺陷数</t>
    <phoneticPr fontId="13" type="noConversion"/>
  </si>
  <si>
    <t>需求</t>
    <phoneticPr fontId="13" type="noConversion"/>
  </si>
  <si>
    <t>系统测试案例评审检出缺陷数</t>
    <phoneticPr fontId="13" type="noConversion"/>
  </si>
  <si>
    <t>系统测试案例评审关闭缺陷数</t>
    <phoneticPr fontId="13" type="noConversion"/>
  </si>
  <si>
    <t>验收测试</t>
    <phoneticPr fontId="13" type="noConversion"/>
  </si>
  <si>
    <t>评审检出缺陷密度</t>
    <phoneticPr fontId="13" type="noConversion"/>
  </si>
  <si>
    <t>单元测试检出缺陷数密度</t>
    <phoneticPr fontId="13" type="noConversion"/>
  </si>
  <si>
    <t>系统测试检出缺陷密度</t>
    <phoneticPr fontId="13" type="noConversion"/>
  </si>
  <si>
    <t>评审缺陷关闭率</t>
    <phoneticPr fontId="13" type="noConversion"/>
  </si>
  <si>
    <t>单元测试缺陷关闭率</t>
    <phoneticPr fontId="13" type="noConversion"/>
  </si>
  <si>
    <t>系统测试案例评审缺陷关闭率</t>
    <phoneticPr fontId="13" type="noConversion"/>
  </si>
  <si>
    <t>系统测试检出严重及致命缺陷占比</t>
    <phoneticPr fontId="13" type="noConversion"/>
  </si>
  <si>
    <t>系统测试缺陷关闭率</t>
    <phoneticPr fontId="13" type="noConversion"/>
  </si>
  <si>
    <t>验收测试检出缺陷密度</t>
    <phoneticPr fontId="13" type="noConversion"/>
  </si>
  <si>
    <t>验收测试检出严重及致命缺陷占比</t>
    <phoneticPr fontId="13" type="noConversion"/>
  </si>
  <si>
    <t>验收测试缺陷关闭率</t>
    <phoneticPr fontId="13" type="noConversion"/>
  </si>
  <si>
    <t>运维测试检出缺陷密度</t>
    <phoneticPr fontId="13" type="noConversion"/>
  </si>
  <si>
    <t>运维测试检出严重及致命缺陷占比</t>
    <phoneticPr fontId="13" type="noConversion"/>
  </si>
  <si>
    <t>运维测试缺陷关闭率</t>
    <phoneticPr fontId="13" type="noConversion"/>
  </si>
  <si>
    <t>开发评审检出缺陷占比</t>
    <phoneticPr fontId="13" type="noConversion"/>
  </si>
  <si>
    <t>系统测试前检出缺陷占比</t>
    <phoneticPr fontId="13" type="noConversion"/>
  </si>
  <si>
    <t>交付前检出缺陷占比</t>
    <phoneticPr fontId="13" type="noConversion"/>
  </si>
  <si>
    <t>交付后检出缺陷占比</t>
    <phoneticPr fontId="13" type="noConversion"/>
  </si>
  <si>
    <t>系统测试检出缺陷占比</t>
    <phoneticPr fontId="13" type="noConversion"/>
  </si>
  <si>
    <t>C001</t>
    <phoneticPr fontId="13" type="noConversion"/>
  </si>
  <si>
    <t>过程规范</t>
    <phoneticPr fontId="13" type="noConversion"/>
  </si>
  <si>
    <t>项目进度</t>
    <phoneticPr fontId="13" type="noConversion"/>
  </si>
  <si>
    <t>过程质量</t>
    <phoneticPr fontId="13" type="noConversion"/>
  </si>
  <si>
    <t>交付质量</t>
    <phoneticPr fontId="13" type="noConversion"/>
  </si>
  <si>
    <t>交付后缺陷占比</t>
    <phoneticPr fontId="13" type="noConversion"/>
  </si>
  <si>
    <t>过程符合度</t>
    <phoneticPr fontId="13" type="noConversion"/>
  </si>
  <si>
    <t>交付前缺陷占比</t>
    <phoneticPr fontId="13" type="noConversion"/>
  </si>
  <si>
    <t>过程检查项数</t>
    <phoneticPr fontId="13" type="noConversion"/>
  </si>
  <si>
    <t>过程检出的不符合项数</t>
    <phoneticPr fontId="13" type="noConversion"/>
  </si>
  <si>
    <t>项目进度</t>
    <phoneticPr fontId="13" type="noConversion"/>
  </si>
  <si>
    <t>I01</t>
    <phoneticPr fontId="13" type="noConversion"/>
  </si>
  <si>
    <t>I02</t>
    <phoneticPr fontId="13" type="noConversion"/>
  </si>
  <si>
    <t>I03</t>
    <phoneticPr fontId="13" type="noConversion"/>
  </si>
  <si>
    <t>I04</t>
    <phoneticPr fontId="13" type="noConversion"/>
  </si>
  <si>
    <t>总分</t>
    <phoneticPr fontId="13" type="noConversion"/>
  </si>
  <si>
    <t>手工导入</t>
    <phoneticPr fontId="13" type="noConversion"/>
  </si>
  <si>
    <r>
      <rPr>
        <sz val="10"/>
        <color theme="1"/>
        <rFont val="宋体"/>
        <family val="3"/>
        <charset val="134"/>
      </rPr>
      <t>说明</t>
    </r>
    <r>
      <rPr>
        <sz val="10"/>
        <color theme="1"/>
        <rFont val="Arial"/>
        <family val="2"/>
      </rPr>
      <t>1</t>
    </r>
    <r>
      <rPr>
        <sz val="10"/>
        <color theme="1"/>
        <rFont val="宋体"/>
        <family val="3"/>
        <charset val="134"/>
      </rPr>
      <t>：本度量表使用</t>
    </r>
    <phoneticPr fontId="13" type="noConversion"/>
  </si>
  <si>
    <r>
      <rPr>
        <u/>
        <sz val="10"/>
        <color theme="10"/>
        <rFont val="宋体"/>
        <family val="3"/>
        <charset val="134"/>
      </rPr>
      <t>项目</t>
    </r>
    <r>
      <rPr>
        <u/>
        <sz val="10"/>
        <color theme="10"/>
        <rFont val="Arial"/>
        <family val="2"/>
      </rPr>
      <t>KPI</t>
    </r>
    <phoneticPr fontId="13" type="noConversion"/>
  </si>
  <si>
    <r>
      <rPr>
        <sz val="10"/>
        <rFont val="宋体"/>
        <family val="3"/>
        <charset val="134"/>
      </rPr>
      <t>自动汇总表格，</t>
    </r>
    <r>
      <rPr>
        <sz val="10"/>
        <rFont val="宋体"/>
        <family val="3"/>
        <charset val="134"/>
      </rPr>
      <t>由项目各项指标实际数据核算项目评价得分。</t>
    </r>
    <phoneticPr fontId="13" type="noConversion"/>
  </si>
  <si>
    <t>度量指标</t>
    <phoneticPr fontId="13" type="noConversion"/>
  </si>
  <si>
    <t>基础度量项</t>
    <phoneticPr fontId="13" type="noConversion"/>
  </si>
  <si>
    <t>检查单明细</t>
    <phoneticPr fontId="13" type="noConversion"/>
  </si>
  <si>
    <t>手工导入</t>
    <phoneticPr fontId="13" type="noConversion"/>
  </si>
  <si>
    <t>缺陷明细</t>
    <phoneticPr fontId="13" type="noConversion"/>
  </si>
  <si>
    <t>迭代轮次</t>
    <phoneticPr fontId="13" type="noConversion"/>
  </si>
  <si>
    <r>
      <rPr>
        <sz val="10"/>
        <color theme="1"/>
        <rFont val="宋体"/>
        <family val="3"/>
        <charset val="134"/>
      </rPr>
      <t>迭代</t>
    </r>
    <r>
      <rPr>
        <sz val="10"/>
        <color theme="1"/>
        <rFont val="Arial"/>
        <family val="2"/>
      </rPr>
      <t>1</t>
    </r>
    <phoneticPr fontId="13" type="noConversion"/>
  </si>
  <si>
    <r>
      <rPr>
        <sz val="10"/>
        <color theme="1"/>
        <rFont val="宋体"/>
        <family val="3"/>
        <charset val="134"/>
      </rPr>
      <t>迭代</t>
    </r>
    <r>
      <rPr>
        <sz val="10"/>
        <color theme="1"/>
        <rFont val="Arial"/>
        <family val="2"/>
      </rPr>
      <t>2</t>
    </r>
    <r>
      <rPr>
        <sz val="11"/>
        <color theme="1"/>
        <rFont val="宋体"/>
        <family val="2"/>
        <charset val="134"/>
        <scheme val="minor"/>
      </rPr>
      <t/>
    </r>
  </si>
  <si>
    <r>
      <rPr>
        <sz val="10"/>
        <color theme="1"/>
        <rFont val="宋体"/>
        <family val="3"/>
        <charset val="134"/>
      </rPr>
      <t>迭代</t>
    </r>
    <r>
      <rPr>
        <sz val="10"/>
        <color theme="1"/>
        <rFont val="Arial"/>
        <family val="2"/>
      </rPr>
      <t>3</t>
    </r>
    <r>
      <rPr>
        <sz val="11"/>
        <color theme="1"/>
        <rFont val="宋体"/>
        <family val="2"/>
        <charset val="134"/>
        <scheme val="minor"/>
      </rPr>
      <t/>
    </r>
  </si>
  <si>
    <r>
      <rPr>
        <sz val="10"/>
        <color theme="1"/>
        <rFont val="宋体"/>
        <family val="3"/>
        <charset val="134"/>
      </rPr>
      <t>迭代</t>
    </r>
    <r>
      <rPr>
        <sz val="10"/>
        <color theme="1"/>
        <rFont val="Arial"/>
        <family val="2"/>
      </rPr>
      <t>4</t>
    </r>
    <r>
      <rPr>
        <sz val="11"/>
        <color theme="1"/>
        <rFont val="宋体"/>
        <family val="2"/>
        <charset val="134"/>
        <scheme val="minor"/>
      </rPr>
      <t/>
    </r>
  </si>
  <si>
    <r>
      <rPr>
        <sz val="10"/>
        <color theme="1"/>
        <rFont val="宋体"/>
        <family val="3"/>
        <charset val="134"/>
      </rPr>
      <t>迭代</t>
    </r>
    <r>
      <rPr>
        <sz val="10"/>
        <color theme="1"/>
        <rFont val="Arial"/>
        <family val="2"/>
      </rPr>
      <t>5</t>
    </r>
    <r>
      <rPr>
        <sz val="11"/>
        <color theme="1"/>
        <rFont val="宋体"/>
        <family val="2"/>
        <charset val="134"/>
        <scheme val="minor"/>
      </rPr>
      <t/>
    </r>
  </si>
  <si>
    <r>
      <rPr>
        <sz val="10"/>
        <color theme="1"/>
        <rFont val="宋体"/>
        <family val="3"/>
        <charset val="134"/>
      </rPr>
      <t>迭代</t>
    </r>
    <r>
      <rPr>
        <sz val="10"/>
        <color theme="1"/>
        <rFont val="Arial"/>
        <family val="2"/>
      </rPr>
      <t>6</t>
    </r>
    <r>
      <rPr>
        <sz val="11"/>
        <color theme="1"/>
        <rFont val="宋体"/>
        <family val="2"/>
        <charset val="134"/>
        <scheme val="minor"/>
      </rPr>
      <t/>
    </r>
  </si>
  <si>
    <r>
      <rPr>
        <sz val="10"/>
        <color theme="1"/>
        <rFont val="宋体"/>
        <family val="3"/>
        <charset val="134"/>
      </rPr>
      <t>迭代</t>
    </r>
    <r>
      <rPr>
        <sz val="10"/>
        <color theme="1"/>
        <rFont val="Arial"/>
        <family val="2"/>
      </rPr>
      <t>7</t>
    </r>
    <r>
      <rPr>
        <sz val="11"/>
        <color theme="1"/>
        <rFont val="宋体"/>
        <family val="2"/>
        <charset val="134"/>
        <scheme val="minor"/>
      </rPr>
      <t/>
    </r>
  </si>
  <si>
    <r>
      <rPr>
        <sz val="10"/>
        <color theme="1"/>
        <rFont val="宋体"/>
        <family val="3"/>
        <charset val="134"/>
      </rPr>
      <t>迭代</t>
    </r>
    <r>
      <rPr>
        <sz val="10"/>
        <color theme="1"/>
        <rFont val="Arial"/>
        <family val="2"/>
      </rPr>
      <t>8</t>
    </r>
    <r>
      <rPr>
        <sz val="11"/>
        <color theme="1"/>
        <rFont val="宋体"/>
        <family val="2"/>
        <charset val="134"/>
        <scheme val="minor"/>
      </rPr>
      <t/>
    </r>
  </si>
  <si>
    <r>
      <rPr>
        <sz val="10"/>
        <color theme="1"/>
        <rFont val="宋体"/>
        <family val="3"/>
        <charset val="134"/>
      </rPr>
      <t>迭代</t>
    </r>
    <r>
      <rPr>
        <sz val="10"/>
        <color theme="1"/>
        <rFont val="Arial"/>
        <family val="2"/>
      </rPr>
      <t>9</t>
    </r>
    <r>
      <rPr>
        <sz val="11"/>
        <color theme="1"/>
        <rFont val="宋体"/>
        <family val="2"/>
        <charset val="134"/>
        <scheme val="minor"/>
      </rPr>
      <t/>
    </r>
  </si>
  <si>
    <t>迭代轮次</t>
    <phoneticPr fontId="13" type="noConversion"/>
  </si>
  <si>
    <r>
      <rPr>
        <sz val="10"/>
        <rFont val="宋体"/>
        <family val="3"/>
        <charset val="134"/>
      </rPr>
      <t>每个迭代将检查单审计结果手工复制到本</t>
    </r>
    <r>
      <rPr>
        <sz val="10"/>
        <rFont val="Arial"/>
        <family val="2"/>
      </rPr>
      <t>sheet</t>
    </r>
    <r>
      <rPr>
        <sz val="10"/>
        <rFont val="宋体"/>
        <family val="3"/>
        <charset val="134"/>
      </rPr>
      <t>页。</t>
    </r>
    <phoneticPr fontId="13" type="noConversion"/>
  </si>
  <si>
    <r>
      <rPr>
        <sz val="10"/>
        <rFont val="宋体"/>
        <family val="3"/>
        <charset val="134"/>
      </rPr>
      <t>每个迭代从禅道导出缺陷清单，复制到本</t>
    </r>
    <r>
      <rPr>
        <sz val="10"/>
        <rFont val="Arial"/>
        <family val="2"/>
      </rPr>
      <t>sheet</t>
    </r>
    <r>
      <rPr>
        <sz val="10"/>
        <rFont val="宋体"/>
        <family val="3"/>
        <charset val="134"/>
      </rPr>
      <t>页。</t>
    </r>
    <phoneticPr fontId="13" type="noConversion"/>
  </si>
  <si>
    <r>
      <rPr>
        <sz val="10"/>
        <rFont val="宋体"/>
        <family val="3"/>
        <charset val="134"/>
      </rPr>
      <t xml:space="preserve">基础数据录入表格：
</t>
    </r>
    <r>
      <rPr>
        <sz val="10"/>
        <rFont val="Arial"/>
        <family val="2"/>
      </rPr>
      <t>1</t>
    </r>
    <r>
      <rPr>
        <sz val="10"/>
        <rFont val="宋体"/>
        <family val="3"/>
        <charset val="134"/>
      </rPr>
      <t>）每个迭代新增一个</t>
    </r>
    <r>
      <rPr>
        <sz val="10"/>
        <rFont val="Arial"/>
        <family val="2"/>
      </rPr>
      <t>“</t>
    </r>
    <r>
      <rPr>
        <sz val="10"/>
        <rFont val="宋体"/>
        <family val="3"/>
        <charset val="134"/>
      </rPr>
      <t>工作表</t>
    </r>
    <r>
      <rPr>
        <sz val="10"/>
        <rFont val="Arial"/>
        <family val="2"/>
      </rPr>
      <t>”</t>
    </r>
    <r>
      <rPr>
        <sz val="10"/>
        <rFont val="宋体"/>
        <family val="3"/>
        <charset val="134"/>
      </rPr>
      <t>（</t>
    </r>
    <r>
      <rPr>
        <sz val="10"/>
        <rFont val="Arial"/>
        <family val="2"/>
      </rPr>
      <t>sheet</t>
    </r>
    <r>
      <rPr>
        <sz val="10"/>
        <rFont val="宋体"/>
        <family val="3"/>
        <charset val="134"/>
      </rPr>
      <t>），以</t>
    </r>
    <r>
      <rPr>
        <sz val="10"/>
        <rFont val="Arial"/>
        <family val="2"/>
      </rPr>
      <t>“</t>
    </r>
    <r>
      <rPr>
        <sz val="10"/>
        <rFont val="宋体"/>
        <family val="3"/>
        <charset val="134"/>
      </rPr>
      <t>需求明细</t>
    </r>
    <r>
      <rPr>
        <sz val="10"/>
        <rFont val="Arial"/>
        <family val="2"/>
      </rPr>
      <t>_</t>
    </r>
    <r>
      <rPr>
        <sz val="10"/>
        <rFont val="宋体"/>
        <family val="3"/>
        <charset val="134"/>
      </rPr>
      <t>迭代</t>
    </r>
    <r>
      <rPr>
        <sz val="10"/>
        <rFont val="Arial"/>
        <family val="2"/>
      </rPr>
      <t>N”</t>
    </r>
    <r>
      <rPr>
        <sz val="10"/>
        <rFont val="宋体"/>
        <family val="3"/>
        <charset val="134"/>
      </rPr>
      <t>格式命名，例如</t>
    </r>
    <r>
      <rPr>
        <sz val="10"/>
        <rFont val="Arial"/>
        <family val="2"/>
      </rPr>
      <t>“</t>
    </r>
    <r>
      <rPr>
        <sz val="10"/>
        <rFont val="宋体"/>
        <family val="3"/>
        <charset val="134"/>
      </rPr>
      <t>需求明细</t>
    </r>
    <r>
      <rPr>
        <sz val="10"/>
        <rFont val="Arial"/>
        <family val="2"/>
      </rPr>
      <t>_</t>
    </r>
    <r>
      <rPr>
        <sz val="10"/>
        <rFont val="宋体"/>
        <family val="3"/>
        <charset val="134"/>
      </rPr>
      <t>迭代</t>
    </r>
    <r>
      <rPr>
        <sz val="10"/>
        <rFont val="Arial"/>
        <family val="2"/>
      </rPr>
      <t>1”</t>
    </r>
    <r>
      <rPr>
        <sz val="10"/>
        <rFont val="宋体"/>
        <family val="3"/>
        <charset val="134"/>
      </rPr>
      <t xml:space="preserve">。
</t>
    </r>
    <r>
      <rPr>
        <sz val="10"/>
        <rFont val="Arial"/>
        <family val="2"/>
      </rPr>
      <t>2</t>
    </r>
    <r>
      <rPr>
        <sz val="10"/>
        <rFont val="宋体"/>
        <family val="3"/>
        <charset val="134"/>
      </rPr>
      <t>）『需求明细</t>
    </r>
    <r>
      <rPr>
        <sz val="10"/>
        <rFont val="Arial"/>
        <family val="2"/>
      </rPr>
      <t>_</t>
    </r>
    <r>
      <rPr>
        <sz val="10"/>
        <rFont val="宋体"/>
        <family val="3"/>
        <charset val="134"/>
      </rPr>
      <t>迭代</t>
    </r>
    <r>
      <rPr>
        <sz val="10"/>
        <rFont val="Arial"/>
        <family val="2"/>
      </rPr>
      <t>N</t>
    </r>
    <r>
      <rPr>
        <sz val="10"/>
        <rFont val="宋体"/>
        <family val="3"/>
        <charset val="134"/>
      </rPr>
      <t xml:space="preserve">』表中以需求为单位，逐一记录本轮迭代需求的各项基础数据，是『基础度量项』表中数据的明细，须一致。
</t>
    </r>
    <r>
      <rPr>
        <sz val="10"/>
        <rFont val="Arial"/>
        <family val="2"/>
      </rPr>
      <t>2</t>
    </r>
    <r>
      <rPr>
        <sz val="10"/>
        <rFont val="宋体"/>
        <family val="3"/>
        <charset val="134"/>
      </rPr>
      <t>）『需求明细</t>
    </r>
    <r>
      <rPr>
        <sz val="10"/>
        <rFont val="Arial"/>
        <family val="2"/>
      </rPr>
      <t>_</t>
    </r>
    <r>
      <rPr>
        <sz val="10"/>
        <rFont val="宋体"/>
        <family val="3"/>
        <charset val="134"/>
      </rPr>
      <t>迭代</t>
    </r>
    <r>
      <rPr>
        <sz val="10"/>
        <rFont val="Arial"/>
        <family val="2"/>
      </rPr>
      <t>N</t>
    </r>
    <r>
      <rPr>
        <sz val="10"/>
        <rFont val="宋体"/>
        <family val="3"/>
        <charset val="134"/>
      </rPr>
      <t xml:space="preserve">』表中汇总数据可以自动同步到『基础度量项』表中。
</t>
    </r>
    <r>
      <rPr>
        <sz val="10"/>
        <rFont val="Arial"/>
        <family val="2"/>
      </rPr>
      <t>3</t>
    </r>
    <r>
      <rPr>
        <sz val="10"/>
        <rFont val="宋体"/>
        <family val="3"/>
        <charset val="134"/>
      </rPr>
      <t>）其中黄色、灰色区域为自动计算部分，无需填写。</t>
    </r>
    <phoneticPr fontId="13" type="noConversion"/>
  </si>
  <si>
    <r>
      <rPr>
        <sz val="10"/>
        <color theme="1"/>
        <rFont val="宋体"/>
        <family val="3"/>
        <charset val="134"/>
      </rPr>
      <t>说明</t>
    </r>
    <r>
      <rPr>
        <sz val="10"/>
        <color theme="1"/>
        <rFont val="Arial"/>
        <family val="2"/>
      </rPr>
      <t>2</t>
    </r>
    <r>
      <rPr>
        <sz val="10"/>
        <color theme="1"/>
        <rFont val="宋体"/>
        <family val="3"/>
        <charset val="134"/>
      </rPr>
      <t>：产品的数据收集按迭代轮次开展，每一个迭代的</t>
    </r>
    <r>
      <rPr>
        <sz val="10"/>
        <color theme="1"/>
        <rFont val="Arial"/>
        <family val="2"/>
      </rPr>
      <t>KPI</t>
    </r>
    <r>
      <rPr>
        <sz val="10"/>
        <color theme="1"/>
        <rFont val="宋体"/>
        <family val="3"/>
        <charset val="134"/>
      </rPr>
      <t>反映了本轮次迭代的质量情况</t>
    </r>
    <r>
      <rPr>
        <sz val="10"/>
        <color theme="1"/>
        <rFont val="宋体"/>
        <family val="3"/>
        <charset val="134"/>
      </rPr>
      <t>。</t>
    </r>
    <phoneticPr fontId="13" type="noConversion"/>
  </si>
  <si>
    <t>需求
ID</t>
    <phoneticPr fontId="13" type="noConversion"/>
  </si>
  <si>
    <t>是否交付</t>
    <phoneticPr fontId="13" type="noConversion"/>
  </si>
  <si>
    <t>开发规模
（人天）</t>
    <phoneticPr fontId="13" type="noConversion"/>
  </si>
  <si>
    <t>系统测试</t>
    <phoneticPr fontId="13" type="noConversion"/>
  </si>
  <si>
    <t>运维测试</t>
    <phoneticPr fontId="13" type="noConversion"/>
  </si>
  <si>
    <t>系统测试计划执行案例数</t>
    <phoneticPr fontId="13" type="noConversion"/>
  </si>
  <si>
    <t>系统测试实际执行案例数</t>
    <phoneticPr fontId="13" type="noConversion"/>
  </si>
  <si>
    <t>验收测试检出严重及致命缺陷数</t>
    <phoneticPr fontId="13" type="noConversion"/>
  </si>
  <si>
    <t>运维测试关闭缺陷数</t>
    <phoneticPr fontId="13" type="noConversion"/>
  </si>
  <si>
    <t>运维测试关闭严重及致命缺陷数</t>
    <phoneticPr fontId="13" type="noConversion"/>
  </si>
  <si>
    <t>交付后检出缺陷数</t>
    <phoneticPr fontId="13" type="noConversion"/>
  </si>
  <si>
    <t>迭代1</t>
    <phoneticPr fontId="13" type="noConversion"/>
  </si>
  <si>
    <t>迭代基本信息</t>
    <phoneticPr fontId="13" type="noConversion"/>
  </si>
  <si>
    <t>团队人数</t>
    <phoneticPr fontId="13" type="noConversion"/>
  </si>
  <si>
    <t>交付是否成功</t>
    <phoneticPr fontId="13" type="noConversion"/>
  </si>
  <si>
    <t>计划迭代规模（功能点）</t>
    <phoneticPr fontId="13" type="noConversion"/>
  </si>
  <si>
    <t>实际接收规模（功能点）</t>
    <phoneticPr fontId="13" type="noConversion"/>
  </si>
  <si>
    <t>M001</t>
    <phoneticPr fontId="13" type="noConversion"/>
  </si>
  <si>
    <t>M031</t>
  </si>
  <si>
    <t>M032</t>
  </si>
  <si>
    <t>M033</t>
  </si>
  <si>
    <t>M034</t>
  </si>
  <si>
    <t>M035</t>
  </si>
  <si>
    <t>M036</t>
  </si>
  <si>
    <t>M037</t>
  </si>
  <si>
    <t>M038</t>
  </si>
  <si>
    <t>20170401~20170415</t>
    <phoneticPr fontId="13" type="noConversion"/>
  </si>
  <si>
    <t>迭代实际完成时间</t>
    <phoneticPr fontId="13" type="noConversion"/>
  </si>
  <si>
    <t>合计</t>
    <phoneticPr fontId="13" type="noConversion"/>
  </si>
  <si>
    <t>开发阶段</t>
    <phoneticPr fontId="13" type="noConversion"/>
  </si>
  <si>
    <t>开发评审</t>
    <phoneticPr fontId="13" type="noConversion"/>
  </si>
  <si>
    <t>系统测试计划执行案例数</t>
    <phoneticPr fontId="13" type="noConversion"/>
  </si>
  <si>
    <t>系统测试实际执行案例数</t>
    <phoneticPr fontId="13" type="noConversion"/>
  </si>
  <si>
    <t>系统测试关闭缺陷数</t>
    <phoneticPr fontId="13" type="noConversion"/>
  </si>
  <si>
    <t>系统测试检出严重及致命缺陷数</t>
    <phoneticPr fontId="13" type="noConversion"/>
  </si>
  <si>
    <t>验收测试检出严重及致命缺陷数</t>
    <phoneticPr fontId="13" type="noConversion"/>
  </si>
  <si>
    <t>运维测试检出严重及致命缺陷数</t>
    <phoneticPr fontId="13" type="noConversion"/>
  </si>
  <si>
    <t>M039</t>
  </si>
  <si>
    <t>M040</t>
  </si>
  <si>
    <t>系统测试有效率</t>
    <phoneticPr fontId="13" type="noConversion"/>
  </si>
  <si>
    <t>系统测试缺陷检出率</t>
    <phoneticPr fontId="13" type="noConversion"/>
  </si>
  <si>
    <t>进度偏差率</t>
    <phoneticPr fontId="13" type="noConversion"/>
  </si>
  <si>
    <t>C002</t>
  </si>
  <si>
    <t>C003</t>
  </si>
  <si>
    <t>C004</t>
  </si>
  <si>
    <t>C005</t>
  </si>
  <si>
    <t>C006</t>
  </si>
  <si>
    <t>C007</t>
  </si>
  <si>
    <t>C008</t>
  </si>
  <si>
    <t>C009</t>
  </si>
  <si>
    <t>C010</t>
  </si>
  <si>
    <t>C011</t>
  </si>
  <si>
    <t>C012</t>
  </si>
  <si>
    <t>C013</t>
  </si>
  <si>
    <t>C014</t>
  </si>
  <si>
    <t>C015</t>
  </si>
  <si>
    <t>C016</t>
  </si>
  <si>
    <t>C017</t>
  </si>
  <si>
    <t>C018</t>
  </si>
  <si>
    <t>C019</t>
  </si>
  <si>
    <t>C020</t>
  </si>
  <si>
    <t>C021</t>
  </si>
  <si>
    <t>C022</t>
  </si>
  <si>
    <t>C023</t>
  </si>
  <si>
    <t>C024</t>
  </si>
  <si>
    <t>C025</t>
  </si>
  <si>
    <t>C026</t>
  </si>
  <si>
    <t>C027</t>
  </si>
  <si>
    <t>迭代9</t>
    <phoneticPr fontId="13" type="noConversion"/>
  </si>
  <si>
    <t>迭代6</t>
    <phoneticPr fontId="13" type="noConversion"/>
  </si>
  <si>
    <t>迭代5</t>
    <phoneticPr fontId="13" type="noConversion"/>
  </si>
  <si>
    <t>迭代4</t>
    <phoneticPr fontId="13" type="noConversion"/>
  </si>
  <si>
    <t>迭代3</t>
    <phoneticPr fontId="13" type="noConversion"/>
  </si>
  <si>
    <t>C027</t>
    <phoneticPr fontId="13" type="noConversion"/>
  </si>
  <si>
    <t>C026</t>
    <phoneticPr fontId="13" type="noConversion"/>
  </si>
  <si>
    <t>C024</t>
    <phoneticPr fontId="13" type="noConversion"/>
  </si>
  <si>
    <t>C025</t>
    <phoneticPr fontId="13" type="noConversion"/>
  </si>
  <si>
    <t>迭代周期（天）</t>
    <phoneticPr fontId="13" type="noConversion"/>
  </si>
  <si>
    <t xml:space="preserve">迭代交付率
</t>
    <phoneticPr fontId="13" type="noConversion"/>
  </si>
  <si>
    <t xml:space="preserve">有效实际投入工作量
</t>
    <phoneticPr fontId="13" type="noConversion"/>
  </si>
  <si>
    <t>白色单元格手工填写，其他自动汇总，自动根据各明细数据生成，用于各项指标值计算。</t>
    <phoneticPr fontId="13" type="noConversion"/>
  </si>
  <si>
    <t>产品缺陷总数</t>
    <phoneticPr fontId="13" type="noConversion"/>
  </si>
  <si>
    <t>若团队成员未全部参与每日站会，结果为N</t>
  </si>
  <si>
    <t>序号</t>
    <phoneticPr fontId="13" type="noConversion"/>
  </si>
  <si>
    <t>检查点和检查证据</t>
    <phoneticPr fontId="13" type="noConversion"/>
  </si>
  <si>
    <t>检查结果</t>
    <phoneticPr fontId="13" type="noConversion"/>
  </si>
  <si>
    <t>迭代8</t>
    <phoneticPr fontId="13" type="noConversion"/>
  </si>
  <si>
    <t>迭代7</t>
    <phoneticPr fontId="13" type="noConversion"/>
  </si>
  <si>
    <t>产品质量度量指标</t>
    <phoneticPr fontId="13" type="noConversion"/>
  </si>
  <si>
    <t>计划投入工作量（人时）</t>
    <phoneticPr fontId="13" type="noConversion"/>
  </si>
  <si>
    <t>实际花费工作量（人时）</t>
    <phoneticPr fontId="13" type="noConversion"/>
  </si>
  <si>
    <t>进度偏差(人时）</t>
    <phoneticPr fontId="13" type="noConversion"/>
  </si>
  <si>
    <t>生产率（功能点/人时）</t>
    <phoneticPr fontId="13" type="noConversion"/>
  </si>
  <si>
    <t>迭代轮次</t>
    <phoneticPr fontId="13" type="noConversion"/>
  </si>
  <si>
    <r>
      <rPr>
        <sz val="10"/>
        <rFont val="宋体"/>
        <family val="3"/>
        <charset val="134"/>
      </rPr>
      <t>需求明细</t>
    </r>
    <r>
      <rPr>
        <sz val="10"/>
        <rFont val="Arial"/>
        <family val="2"/>
      </rPr>
      <t>_</t>
    </r>
    <r>
      <rPr>
        <sz val="10"/>
        <rFont val="宋体"/>
        <family val="3"/>
        <charset val="134"/>
      </rPr>
      <t>迭代</t>
    </r>
    <r>
      <rPr>
        <sz val="10"/>
        <rFont val="Arial"/>
        <family val="2"/>
      </rPr>
      <t>N</t>
    </r>
    <phoneticPr fontId="13" type="noConversion"/>
  </si>
  <si>
    <t>冒烟测试
提测次数</t>
    <phoneticPr fontId="13" type="noConversion"/>
  </si>
  <si>
    <t>I05</t>
    <phoneticPr fontId="13" type="noConversion"/>
  </si>
  <si>
    <t>冒烟测试
版本质量</t>
    <phoneticPr fontId="13" type="noConversion"/>
  </si>
  <si>
    <t>系统测试无效缺陷数</t>
    <phoneticPr fontId="13" type="noConversion"/>
  </si>
  <si>
    <t>系统测试检出严重及致命缺陷数</t>
    <phoneticPr fontId="13" type="noConversion"/>
  </si>
  <si>
    <t>审计期次</t>
    <phoneticPr fontId="12" type="noConversion"/>
  </si>
  <si>
    <t>序号</t>
    <phoneticPr fontId="12" type="noConversion"/>
  </si>
  <si>
    <t>检查点</t>
    <phoneticPr fontId="12" type="noConversion"/>
  </si>
  <si>
    <t>审查结果</t>
    <phoneticPr fontId="12" type="noConversion"/>
  </si>
  <si>
    <r>
      <t>代码是否按时提交S</t>
    </r>
    <r>
      <rPr>
        <sz val="10"/>
        <rFont val="宋体"/>
        <family val="3"/>
        <charset val="134"/>
      </rPr>
      <t>VN？</t>
    </r>
    <phoneticPr fontId="12" type="noConversion"/>
  </si>
  <si>
    <t>代码大小写是否规范？</t>
    <phoneticPr fontId="12" type="noConversion"/>
  </si>
  <si>
    <t>文件命名是否规范？</t>
    <phoneticPr fontId="12" type="noConversion"/>
  </si>
  <si>
    <t>文件注释：每个文件头的注释是否包含了公司名称、版权说明、文件名、功能描述、创建标识、修改标识、修改描述等信息？</t>
    <phoneticPr fontId="12" type="noConversion"/>
  </si>
  <si>
    <t>代码外观检查：查看代码列宽、换行、缩进、空行、空格、括号的应用，是否符合编码规范</t>
    <phoneticPr fontId="12" type="noConversion"/>
  </si>
  <si>
    <t>程序注释检查：查看代码是否有注释，注释是否符合编码规范</t>
    <phoneticPr fontId="12" type="noConversion"/>
  </si>
  <si>
    <t>申明检查：查看代码是否有申明，申明是否符合编码规范</t>
    <phoneticPr fontId="12" type="noConversion"/>
  </si>
  <si>
    <t>命名规范检查，检查类、接口、属性、枚举、参数、方法、事件、常量、字段、集合、控件等的命名是否符合编码规范</t>
    <phoneticPr fontId="12" type="noConversion"/>
  </si>
  <si>
    <t>语句的检查：检查语句是否符合编码规范</t>
    <phoneticPr fontId="12" type="noConversion"/>
  </si>
  <si>
    <t>提测版本是否建立基线标记？</t>
    <phoneticPr fontId="12" type="noConversion"/>
  </si>
  <si>
    <t>基线标记是否符合命名规范？</t>
    <phoneticPr fontId="12" type="noConversion"/>
  </si>
  <si>
    <t>配置审计</t>
    <phoneticPr fontId="13" type="noConversion"/>
  </si>
  <si>
    <t>M041</t>
    <phoneticPr fontId="13" type="noConversion"/>
  </si>
  <si>
    <t>M042</t>
    <phoneticPr fontId="13" type="noConversion"/>
  </si>
  <si>
    <t>配置审计项数</t>
    <phoneticPr fontId="13" type="noConversion"/>
  </si>
  <si>
    <t>配置审计</t>
    <phoneticPr fontId="13" type="noConversion"/>
  </si>
  <si>
    <t>C028</t>
    <phoneticPr fontId="13" type="noConversion"/>
  </si>
  <si>
    <t>配置审计符合度</t>
    <phoneticPr fontId="13" type="noConversion"/>
  </si>
  <si>
    <t>C028</t>
    <phoneticPr fontId="13" type="noConversion"/>
  </si>
  <si>
    <t>配置审计符合度</t>
    <phoneticPr fontId="13" type="noConversion"/>
  </si>
  <si>
    <t>I06</t>
    <phoneticPr fontId="13" type="noConversion"/>
  </si>
  <si>
    <t>I07</t>
    <phoneticPr fontId="13" type="noConversion"/>
  </si>
  <si>
    <t>配置过程规范性</t>
    <phoneticPr fontId="13" type="noConversion"/>
  </si>
  <si>
    <t>配置审计不符合项数</t>
    <phoneticPr fontId="13" type="noConversion"/>
  </si>
  <si>
    <t>迭代1</t>
  </si>
  <si>
    <t>201705161~20170527</t>
  </si>
  <si>
    <t>比对方法-抓拍组合比对法</t>
  </si>
  <si>
    <t>一定要(最基本的、不能没有)</t>
  </si>
  <si>
    <t>告警提示信息</t>
  </si>
  <si>
    <t>比对告警提示交互操作-判决及推送</t>
  </si>
  <si>
    <t>场景视频回放服务</t>
  </si>
  <si>
    <t>应该要（重要的、应该有的）</t>
  </si>
  <si>
    <t>报警消息订阅与发布</t>
  </si>
  <si>
    <t>报警消息</t>
  </si>
  <si>
    <t>抓拍记录查询</t>
  </si>
  <si>
    <t>告警提示查询条件</t>
  </si>
  <si>
    <t>报警消息查询条件</t>
  </si>
  <si>
    <t>模板库比对（1:N）</t>
  </si>
  <si>
    <t>抓拍库比对</t>
  </si>
  <si>
    <t>返回比对结果</t>
  </si>
  <si>
    <t>场景图、场景视频存储200天</t>
  </si>
  <si>
    <t>迭代2</t>
  </si>
  <si>
    <t>20170607~20170627</t>
  </si>
  <si>
    <t>视频回放功能开发</t>
  </si>
  <si>
    <t>高</t>
  </si>
  <si>
    <t>否</t>
  </si>
  <si>
    <t>视频回放框架实体开发和接口开发</t>
  </si>
  <si>
    <t>是</t>
  </si>
  <si>
    <t>通道管理中通道名称新建和修改：通道名称不能为空，默认不用英文用中文，并且通道名称可以重复</t>
  </si>
  <si>
    <t>通道管理：通道支持模糊查询，如果查询多个通道默认选中第一个或者只返回第一个结果选中</t>
  </si>
  <si>
    <t>通道阈值字段修改为通道质量系数，暂时保留，范围：0~2，默认值为1</t>
  </si>
  <si>
    <t>通道校验</t>
  </si>
  <si>
    <t>通道管理：通道号添加通道不可以重复创建，需要校验，手动输入</t>
  </si>
  <si>
    <t>通道管理：视频预览中的通道预览上显示通道名称</t>
  </si>
  <si>
    <t>通道管理：右键删除必须有是否删除类似的有好提示信息,确认后才可以真正删除，避免误操作；</t>
  </si>
  <si>
    <t>抓拍记录：查询的起止时间精确到分钟</t>
  </si>
  <si>
    <t>抓拍记录：查询条件起始时间有默认值：今天、昨天、本周；有最大时间限制</t>
  </si>
  <si>
    <t>抓拍记录：抓拍列表显示信息通道名称，通道位置，抓拍时间</t>
  </si>
  <si>
    <t>抓拍记录：抓拍右键（查看视频，保存视频，保存图片）</t>
  </si>
  <si>
    <t>比对记录：查询的起止时间精确到分钟，分数保留小数点后两位</t>
  </si>
  <si>
    <t>比对记录：查询的分页重做，要显示总记录数，总页数，起始时间有默认值：今天、昨天、本周；有最大时间限制</t>
  </si>
  <si>
    <t>比对记录：TOP显示信息（分数，姓名，身份证，库名称）</t>
  </si>
  <si>
    <t>比对记录：支持身份证号，姓名模糊匹配查询，模板库精确匹配查询。</t>
  </si>
  <si>
    <t>比对记录：TOP右键（添加至此模版，删除记录）</t>
  </si>
  <si>
    <t>比对记录：查询分页以抓拍记录组织分页</t>
  </si>
  <si>
    <t>比对记录：抓拍信息显示（通道名称，通道位置，抓拍时间）</t>
  </si>
  <si>
    <t>比对记录：抓拍信息右键（查看视频，保存视频，保存图片）</t>
  </si>
  <si>
    <t>抓拍比对：通道右键改为打开/关闭通道，抓拍预览（有状态标识），视频预览。</t>
  </si>
  <si>
    <t>抓拍比对：分屏显示最多显示4屏，2屏时为左右分屏</t>
  </si>
  <si>
    <t>抓拍比对：识别结果变成告警提示，阈值去掉，一共显示多少条去掉</t>
  </si>
  <si>
    <t>抓拍比对：鼠标单击或者悬停抓拍预览照片上，可以暂停图片滚动预览和鼠标移走继续滚动预览</t>
  </si>
  <si>
    <t>界面统一中文、字体大小一致、布局规整统一;适用于所有界面</t>
  </si>
  <si>
    <t>导航调整：</t>
  </si>
  <si>
    <t>登录功能：可以做一个简单的实现</t>
  </si>
  <si>
    <t>利用负载均衡模拟部署并进行单元测试</t>
  </si>
  <si>
    <t>使用多线程处理订阅ActiveMq的抓拍数据</t>
  </si>
  <si>
    <t>中</t>
  </si>
  <si>
    <t>视频访问组件加入通道重连及掉线通知</t>
  </si>
  <si>
    <t>自测试 订阅ActiveMQ的抓拍数据使用多线程处理的实现。</t>
  </si>
  <si>
    <t>Bug-通道伪删除策略引起的缺陷-解决方案设计</t>
  </si>
  <si>
    <t>通道管理组件加入通道状态监控与异常通道处理</t>
  </si>
  <si>
    <t>负载均衡分配状况展示</t>
  </si>
  <si>
    <t>抓拍集群单元测试</t>
  </si>
  <si>
    <t>自测试 策略服务的计数算法</t>
  </si>
  <si>
    <t>视频通道号信息可获取，视频平台配置工具通道显示出访问通道号</t>
  </si>
  <si>
    <t>自测模板库比对</t>
  </si>
  <si>
    <t>抓拍集群集成测试</t>
  </si>
  <si>
    <t>开发抓拍库比对，查询特征值接口</t>
  </si>
  <si>
    <t>自测抓拍库比对，查询特征值接口</t>
  </si>
  <si>
    <t>抓拍集群bug修复</t>
  </si>
  <si>
    <t>视频平台CSS管理模块，实现基于mysql数据库版本的运行</t>
  </si>
  <si>
    <t>视频平台CSS存储模块，实现基于mysql数据库版本的运行</t>
  </si>
  <si>
    <t>Bug-通道伪删除策略引起的缺陷。</t>
  </si>
  <si>
    <t>视频平台实现mysql版本计划录像功能</t>
  </si>
  <si>
    <t>视频平台mysql版本实现计划录像回放</t>
  </si>
  <si>
    <t>通道伪删除与通道的订阅处理协调</t>
  </si>
  <si>
    <t>视频平台mysql版本，计划录像和录像回放功能单元测试</t>
  </si>
  <si>
    <t>【协调】需要比对服务提供删除模板库接口</t>
  </si>
  <si>
    <t>比对条件查询优化，根据分数和库id过滤无法返回结果</t>
  </si>
  <si>
    <t>【协调】需要比对服务提供1:1人脸比对接口</t>
  </si>
  <si>
    <t>告警提示实现设计</t>
  </si>
  <si>
    <t>完成告警提示所需接口的开发和自测</t>
  </si>
  <si>
    <t>增加通道号是否存在的接口</t>
  </si>
  <si>
    <t>抓拍记录和比对记录不存储场景图片</t>
  </si>
  <si>
    <t>抓拍记录和比对记录不存储场景图片实现设计</t>
  </si>
  <si>
    <t>通道管理测试</t>
  </si>
  <si>
    <t>抓拍记录测试</t>
  </si>
  <si>
    <t>比对记录测试</t>
  </si>
  <si>
    <t>抓拍比对测试</t>
  </si>
  <si>
    <t>PC界面测试：界面统一中文、字体大小一致、布局规整统一</t>
  </si>
  <si>
    <t>模板管理测试</t>
  </si>
  <si>
    <t>业务流测试E2E</t>
  </si>
  <si>
    <t>新产品V1.0第二次迭代版本整体功能回归测试</t>
  </si>
  <si>
    <t>模版管理：模板库列表展示字段顺序：序号，模板库名称，启用状态，数量，容量，备注，创建时间，模版库类型不显示都去掉</t>
  </si>
  <si>
    <t>模版管理：模板库查询ToolBar取消</t>
  </si>
  <si>
    <t>模版管理：目标人管理：必须有1张照片，必须设置主照片；只有1张照片时默认设置为主照片</t>
  </si>
  <si>
    <t>模版管理：目标人：右键增加新建功能</t>
  </si>
  <si>
    <t>模版管理：目标人增加和删除需要修改模版库中模版数量并且更新页面数据。</t>
  </si>
  <si>
    <t>模版管理：模版库新建过程，目标对象不可以做任何操作，要有好提示信息</t>
  </si>
  <si>
    <t>框架维护：告警实体接口修改增加字段</t>
  </si>
  <si>
    <t>比对信息增加通道位置字段 channel_area</t>
  </si>
  <si>
    <t>比对信息增加channel_area字段</t>
  </si>
  <si>
    <t>模版管理：开发一个模版管理的弹窗</t>
  </si>
  <si>
    <t>动态比对：原抓拍比对，界面整体布局，统一标准</t>
  </si>
  <si>
    <t>修改模板库列表的非焦点选中样式为突出选中</t>
  </si>
  <si>
    <t>告警提示：告警弹窗开发、页面布局</t>
  </si>
  <si>
    <t>动态比对：抓拍推送和告警提示推送调整</t>
  </si>
  <si>
    <t>接口开发：新增通道是否存在/ ChannelIsExist</t>
  </si>
  <si>
    <t>动态比对：告警提示选中去掉红圈，排除问题</t>
  </si>
  <si>
    <t>通道管理：界面整体布局，统一标准</t>
  </si>
  <si>
    <t>告警提示推送时增加4个字段。</t>
  </si>
  <si>
    <t>通道管理：伪删除的处理</t>
  </si>
  <si>
    <t>抓拍比对：抓拍模版创建</t>
  </si>
  <si>
    <t>告警查询结果增加4个字段，模板增加一个字段 ft_image_time，比对结果增加一个字段ft_image_time</t>
  </si>
  <si>
    <t>添加模板时，增加一个字段ft_image_time;  //模板照片采集的时间</t>
  </si>
  <si>
    <t>模版管理：模板增加 ft_image_time （模板照片采集的时间）</t>
  </si>
  <si>
    <t>优化Core核心业务和策略服务的部署文档</t>
  </si>
  <si>
    <t>告警报警：缺少字段：人脸对象性别、抓拍通道系数、告警提示命中次数，比对方法名</t>
  </si>
  <si>
    <t>动态比对：最新抓拍推送mq的字段</t>
  </si>
  <si>
    <t>比对记录：增加 通道位置 Channel_area , 人像图片采集时间 ft_image_time</t>
  </si>
  <si>
    <t>告警详细：场景图片新增接口查询，告警添加场景字段</t>
  </si>
  <si>
    <t>框架：修改时间戳转换</t>
  </si>
  <si>
    <t>提测策略服务计数法</t>
  </si>
  <si>
    <t>Core核心业务订阅到的抓拍场景图不再保存到数据中心</t>
  </si>
  <si>
    <t>抓拍记录：页面统一布局</t>
  </si>
  <si>
    <t>去除重复告警信息</t>
  </si>
  <si>
    <t>比对记录：整体页面布局调整</t>
  </si>
  <si>
    <t>抓拍记录：右键查看视频，保存视频</t>
  </si>
  <si>
    <t>比对记录：右键（查看视频，保存视频）</t>
  </si>
  <si>
    <t>模版管理：整体布局调整</t>
  </si>
  <si>
    <t>视频平台测试</t>
  </si>
  <si>
    <t>修改BUG列表</t>
  </si>
  <si>
    <t>模版管理：模版容量检验</t>
  </si>
  <si>
    <t>模板管理：页面整体布局</t>
  </si>
  <si>
    <t>模版管理：目标人编辑完善业务逻辑</t>
  </si>
  <si>
    <t>抓拍图人脸坐标标识</t>
  </si>
  <si>
    <t>页面统一布局：告警输出、报警输出、告警记录、报警记录</t>
  </si>
  <si>
    <t>通道查询：模糊查询，模糊定位，查询的全部展开，默认选择第一个</t>
  </si>
  <si>
    <t>告警去重</t>
  </si>
  <si>
    <t>模版管理：模版等比压缩（默认比例：112*126）</t>
  </si>
  <si>
    <t>在告警消息推送中，添加策略一的告警次数。</t>
  </si>
  <si>
    <t>保存告警信息时，添加库id、目标人名称、目标人证件号、命中次数、证件类型</t>
  </si>
  <si>
    <t>批量建库，导入模板</t>
  </si>
  <si>
    <t>迭代轮次</t>
    <phoneticPr fontId="13" type="noConversion"/>
  </si>
  <si>
    <t>迭代2</t>
    <phoneticPr fontId="13" type="noConversion"/>
  </si>
  <si>
    <t>183</t>
  </si>
  <si>
    <t>新产品V1.0版本(#3)</t>
  </si>
  <si>
    <t>资源管理—通道管理：对已添加的通道进行右键修改，编辑删除按钮都未生效</t>
  </si>
  <si>
    <t>[步骤]1.进入资源管理下的通道管理页面 2.右键点击已存在的通道  编辑删除按钮未生效（且字体不清晰）
[结果]
编辑删除按钮未生效
&lt;img alt="" src="data/upload/1/201704/2117505204688u0v.png" /&gt;
[期望]编辑删除按钮生效，且字体清晰</t>
  </si>
  <si>
    <t>已关闭</t>
  </si>
  <si>
    <t>已确认</t>
  </si>
  <si>
    <t>2017-04-21</t>
  </si>
  <si>
    <t>RLSB-CS-V0.1-20170420(#6)</t>
  </si>
  <si>
    <t>Closed</t>
  </si>
  <si>
    <t>2017-05-15</t>
  </si>
  <si>
    <t>莫斯棋</t>
  </si>
  <si>
    <t>丢弃</t>
  </si>
  <si>
    <t>2017-05-09</t>
  </si>
  <si>
    <t>184</t>
  </si>
  <si>
    <t>添加同级区域，客户端崩溃</t>
  </si>
  <si>
    <t>致命(程序崩溃、死机）</t>
  </si>
  <si>
    <t>[步骤]
右键选择添加同级区域
[结果]
弹出提示框，点击提示框确定按钮后，再点击其他区域，程序崩溃
&lt;img src="data/upload/1/201704/2117513408647avn.png" alt="" /&gt;
[期望]</t>
  </si>
  <si>
    <t>2017-06-14</t>
  </si>
  <si>
    <t>已解决</t>
  </si>
  <si>
    <t>陈灵艳</t>
  </si>
  <si>
    <t>185</t>
  </si>
  <si>
    <t>资源管理—通道管理—删除区域：添加多个子区域，然后删除子区域，崩溃</t>
  </si>
  <si>
    <t>[步骤]1.进入资源管理下的通道管理页面 2.点击子区域，对一个区域添加多个子区域  3.然后删除子区域
[结果]崩溃
&lt;img alt="" src="data/upload/1/201704/21180150052252ur.png" /&gt;
[期望]</t>
  </si>
  <si>
    <t>2017-06-12</t>
  </si>
  <si>
    <t>187</t>
  </si>
  <si>
    <t>资源管理—通道管理—添加区域：添加一个根区域之后，添加其同级区域</t>
  </si>
  <si>
    <t>[前置条件]
已有一个根区域[步骤]
1，选择区域“北京”，右键
2，添加同级区域
[结果]
系统报错后崩溃
报错截图：
&lt;img alt="24102958085915sq.png" src="data/upload/1/201704/24102958085915sq.png" /&gt;
崩溃截图：
&lt;img alt="2410314104598fa3.png" src="data/upload/1/201704/2410314104598fa3.png" /&gt;
[期望]
弹出合理化提示，只允许有一个根区域，或者，允许多个根区域并存</t>
  </si>
  <si>
    <t>王超颖</t>
  </si>
  <si>
    <t>2017-04-24</t>
  </si>
  <si>
    <t>2017-05-25</t>
  </si>
  <si>
    <t>资源管理—通道管理—添加区域：添加一个根区域之后，添加其同级区域(233)</t>
  </si>
  <si>
    <t>188</t>
  </si>
  <si>
    <t>资源管理—通道管理—添加区域：添加区域时，需要再次编辑才能修改区域名称</t>
  </si>
  <si>
    <t>[步骤]
1.通道列表中，右键添加区域
[结果]
New Node直接被保存，需要再次点击编辑，才能修改区域名称
[期望]
添加区域后，直接可以编辑区域名称</t>
  </si>
  <si>
    <t>陈灵艳,莫斯棋,</t>
  </si>
  <si>
    <t>梁先策</t>
  </si>
  <si>
    <t>2017-05-23</t>
  </si>
  <si>
    <t>资源管理—通道管理—添加区域：添加第一个区域(234)</t>
  </si>
  <si>
    <t>189</t>
  </si>
  <si>
    <t>资源管理—通道管理—添加区域：编辑区域名称后，提交保存操作不方便，需要点击Search才能保存。</t>
  </si>
  <si>
    <t>[步骤]
1.选择一个区域New Node，右键编辑
2.输入北京
3.点击界面其他区域，或者按键回车
[结果]
都不能提交保存，只有当点击search按钮时，才能提交保存
[期望]
提交保存易操作</t>
  </si>
  <si>
    <t>资源管理—通道管理—修改区域：右键编辑区域(236)</t>
  </si>
  <si>
    <t>190</t>
  </si>
  <si>
    <t>资源管理—通道管理—删除区域：删除一个根区域，需要点击search，右键菜单恢复为“添加区域”</t>
  </si>
  <si>
    <t>[步骤]
1.选择根区域，右键删除
2.删除后，查看右键菜单
[结果]
需要点击search，右键菜单才会恢复为“添加区域”
&lt;img src="data/upload/1/201704/2411393202462ih3.png" alt="2411393202462ih3.png" /&gt;
[期望]
右键菜单恢复为“添加区域”</t>
  </si>
  <si>
    <t>资源管理—通道管理—删除区域：删除一个根区域(235)</t>
  </si>
  <si>
    <t>191</t>
  </si>
  <si>
    <t>资源管理—通道管理—删除区域：删除一个包含通道的区域后，右侧通道没有自动刷新</t>
  </si>
  <si>
    <t>[步骤]
1.选择一个区域，有通道的，右键删除
2.验证区域被删除，验证该区域下的所有通道被删除，验证区域和通道列表均自动刷新
[结果]
删除后，右侧通道没有自动刷新
&lt;img src="data/upload/1/201704/2412054403804sqs.png" alt="2412054403804sqs.png" /&gt;
[期望]
右侧通道界面自动刷新</t>
  </si>
  <si>
    <t>资源管理—通道管理—删除区域：删除一个包含通道的区域(230)</t>
  </si>
  <si>
    <t>192</t>
  </si>
  <si>
    <t>资源管理—通道管理—修改区域：F2编辑区域</t>
  </si>
  <si>
    <t xml:space="preserve">[步骤]
1.选择一个区域，按键F2
2.选中区域变为可编辑，修改区域名称，点击其他区域提交保存
[结果]
客户端显示保存成功，修改后的数据未成功提交到数据库
&lt;img src="data/upload/1/201704/24123302051584ed.png" alt="24123302051584ed.png" /&gt;
[期望]
客户端与数据库均保存成功
</t>
  </si>
  <si>
    <t>1</t>
  </si>
  <si>
    <t>2017-06-13</t>
  </si>
  <si>
    <t>RLSB-CS-V0.1-20170515(#9)</t>
  </si>
  <si>
    <t>2017-06-01</t>
  </si>
  <si>
    <t>资源管理—通道管理—修改区域：F2编辑区域(237)</t>
  </si>
  <si>
    <t>193</t>
  </si>
  <si>
    <t>资源管理—通道管理—删除区域：添加一个区域，然后删除以后，点击右键添加子区域（同级区域     编辑等），崩溃</t>
  </si>
  <si>
    <t>[步骤]1.进入资源管理下的通道管理 2.添加一个区域，3，删除此区域 4.点击右键添加子区域等
[结果]
添加一个区域
&lt;img alt="" src="data/upload/1/201704/2414293409456bcf.png" /&gt;
删除区域
&lt;img alt="" src="data/upload/1/201704/2414294705856bcf.png" /&gt;
点击右键添加子区域
&lt;img alt="" src="data/upload/1/201704/2414300301191bc.png" /&gt;
[期望]删除区域以后应该刷新此页面，只剩之前未添加区域的时候的添加区域按钮</t>
  </si>
  <si>
    <t>194</t>
  </si>
  <si>
    <t>资源管理—通道管理—删除区域：添加多个区域，然后连续删除三个区域以后，再对其中一个区域编辑，崩溃</t>
  </si>
  <si>
    <t>[步骤]1.进入资源管理下的通道管理，2.添加多个区域 3.然后接连删除三个区域以后4.对其中一个区域右键编辑
[结果]
右键添加多个区域
&lt;img alt="" src="data/upload/1/201704/2414351309434cf2.png" /&gt;
接连删除三个区域
&lt;img alt="" src="data/upload/1/201704/24143529051090q1.png" /&gt;
对其中一个区域点击选中右键编辑
&lt;img alt="" src="data/upload/1/201704/2414361509129cf2.png" /&gt;
[期望]</t>
  </si>
  <si>
    <t>195</t>
  </si>
  <si>
    <t>资源管理—通道管理：选中任意通道或区域，最右边有个三角标识，左键点击，出现多个按钮</t>
  </si>
  <si>
    <t>[步骤]1.进入资源管理下的通道管理页面  2，选中任意通道或区域 3.右边有个三角标识  4.左键点击出现多个按钮
[结果]
点击左键会出现如下几个按钮，但点击均不生效
&lt;img alt="" src="data/upload/1/201704/2415003304333b81.png" /&gt;
[期望]个人认为没有必要，如果需要有，首先按钮要生效，其次通道不需要有</t>
  </si>
  <si>
    <t>196</t>
  </si>
  <si>
    <t>资源管理—通道管理—添加通道：人脸抓拍参数设置个默认值</t>
  </si>
  <si>
    <t>[步骤]1，进入资源管理下的通道管理 2.人脸抓拍参数设置个默认值
[结果]
&lt;img alt="" src="data/upload/1/201704/2415160702914bij.png" /&gt;
[期望]人脸抓拍参数设置个默认值方便使用</t>
  </si>
  <si>
    <t>197</t>
  </si>
  <si>
    <t>资源管理—通道管理—通道列表：不支持区域、通道的名称的模糊查询</t>
  </si>
  <si>
    <t>[步骤]
1. 有一个“我的”通道
2. 搜索框输入，“我的”，可以查出“我的”通道
3.搜索框输入，“我”
[结果]
查不到“我的”通道
&lt;img src="data/upload/1/201704/2415210506067t80.png" alt="2415210506067t80.png" /&gt;
[期望]
通道、区域名称应支持模糊查询</t>
  </si>
  <si>
    <t>韩强</t>
  </si>
  <si>
    <t>新产品1.0版本发布(#1)</t>
  </si>
  <si>
    <t>2017-05-08</t>
  </si>
  <si>
    <t>资源管理—通道管理—通道列表：搜索功能正常搜索(189)</t>
  </si>
  <si>
    <t>198</t>
  </si>
  <si>
    <t>资源管理—通道管理—修改通道：对已添加的通道进行修改。ip删除，状态应该更新为为红色</t>
  </si>
  <si>
    <t>[步骤]1.进入资源管理下的通道管理页面 2.点击修改通道 3.删除ip  4.状态显示为绿色，应该为红色
[结果]
&lt;img alt="" src="data/upload/1/201704/2415250408761b81.png" /&gt;
[期望]状态应该为红色</t>
  </si>
  <si>
    <t>2017-05-16</t>
  </si>
  <si>
    <t>199</t>
  </si>
  <si>
    <t>资源管理—通道管理—删除区域：删除一个包含通道的区域时，被删除通道的is_del没有被置为1</t>
  </si>
  <si>
    <t>[步骤]
1.选择一个包含通道A的区域，右键删除
2.去查channel表，查看被删除的通道A字段is_del
[结果]
is_del为0
[期望]
is_del为1
[注]
1.此问题只出现在删除区域时；
2.单独删除通道时，is_del被置为1</t>
  </si>
  <si>
    <t>李彦婵</t>
  </si>
  <si>
    <t>2017-04-26</t>
  </si>
  <si>
    <t>200</t>
  </si>
  <si>
    <t>通道信息：输入框长字符串问题</t>
  </si>
  <si>
    <t>[步骤]
1.在通道信息维护页面，对通道名称、备注、视频源IP、用户名、密码等进行超长字符串设置
[结果]
1.允许输入超长字符串；
2.页面展示不友好，建议显示不下的字符使用省略号
3.客户端无限制展示超长字符，数据库表字段有长度限制。保存超长字符时，若不重启客户端，超长字符可以展示；一旦重启，只保留数据库中限制了长度的串，例如：通道名称输入100个字符，保存显示成功；重启客户端后，通道名称只显示64个字符
&lt;img alt="2415592601721sr5.png" src="data/upload/1/201704/2415592601721sr5.png" /&gt;
[期望]</t>
  </si>
  <si>
    <t>延期处理</t>
  </si>
  <si>
    <t>对所有输入框进行长字符验证(239)</t>
  </si>
  <si>
    <t>201</t>
  </si>
  <si>
    <t>资源管理—通道管理：多个通道时候，建议自适应屏幕分辨率</t>
  </si>
  <si>
    <t>[步骤]1.进入资源管理下的通道管理 2.添加多个通道如下图
[结果]
&lt;img alt="" src="data/upload/1/201704/24162956057128ag.png" /&gt;
[期望]建议自适应屏幕</t>
  </si>
  <si>
    <t>202</t>
  </si>
  <si>
    <t>多个同名通道存在时，搜索只能定位到第一个</t>
  </si>
  <si>
    <t>[步骤]
1.添加多个通道“啊”，在不同层级的区域
2.搜索“啊”通道
[结果]
只能定位到第一个，后面的所有啊，都无法被查询到
如图：共有四个啊通道：
&lt;img src="data/upload/1/201704/24165143023393et.png" alt="24165143023393et.png" /&gt;
只有第一个能被定位到：
&lt;img src="data/upload/1/201704/2416505406423ih3.png" alt="2416505406423ih3.png" /&gt;
[期望]
能展示所有的“啊”通道</t>
  </si>
  <si>
    <t>203</t>
  </si>
  <si>
    <t>资源管理—通道管理—通道列表：先选中一个通道“通道1”，用不存在的字段搜索，如“劲松”，右侧通道视频列表不清空</t>
  </si>
  <si>
    <t>[步骤]
1.先选中一个“通道1”
2.搜索框中，输入“劲松”，点击search  （不存在名叫劲松的通道或区域）
[结果]
通道1仍存在在界面右侧的通道视频列表中
&lt;img src="data/upload/1/201704/2417172201953sr5.png" alt="2417172201953sr5.png" /&gt;
[期望]
验证右侧通道视频列表不展示任何通道</t>
  </si>
  <si>
    <t>资源管理—通道管理—通道列表：搜索功能不正常搜索(190)</t>
  </si>
  <si>
    <t>204</t>
  </si>
  <si>
    <t>资源管理—通道管理—图像源参数：摄像头方向未保存入库</t>
  </si>
  <si>
    <t>[步骤]
1.修改一通道的摄像头方向为东
2.关闭通道管理
3.再次打开通道，查看该摄像头方向
[结果]
摄像头方向为None，查库，channel_direct 为 0
&lt;img src="data/upload/1/201704/2514295708886uvu.png" alt="2514295708886uvu.png" /&gt;
[期望]
方向为东，数据入库</t>
  </si>
  <si>
    <t>2</t>
  </si>
  <si>
    <t>2017-04-25</t>
  </si>
  <si>
    <t>2017-07-11</t>
  </si>
  <si>
    <t>PRoduct-old_0630_Beta(#28)</t>
  </si>
  <si>
    <t>资源管理—通道管理—图像源参数：摄像头方向的修改保存(210)</t>
  </si>
  <si>
    <t>205</t>
  </si>
  <si>
    <t>资源管理—通道管理—通道列表：搜索框为空时，点击搜索，右侧应显示所有通道</t>
  </si>
  <si>
    <t>[步骤]
1.搜索框为空时，点击搜索
[结果]
右侧没有显示所有通道
[期望]
右侧应显示所有通道</t>
  </si>
  <si>
    <t>2017-07-14</t>
  </si>
  <si>
    <t>2017-05-05</t>
  </si>
  <si>
    <t>资源管理—通道管理—通道列表：搜索框为空，点击搜索(191)</t>
  </si>
  <si>
    <t>206</t>
  </si>
  <si>
    <t>资源管理—通道管理—通道显示：ping一些不能ping通的ip，状态都变绿</t>
  </si>
  <si>
    <t>[步骤]
1.添加通道，ip设为192.168.1.16
2.添加通道，ip设为125.154.1.1
3.添加通道，ip设为0.0.0.125
4.依次点击“更新编辑状态”
[结果]
1.2.3的通道状态都变绿
&lt;img src="data/upload/1/201704/2515293909758d0s.png" alt="2515293909758d0s.png" /&gt;
[期望]
1.2.3的通道状态不应变绿，IP实际上都是ping不通的：
C:\Users\admin&amp;gt;ping 192.168.1.16
正在 Ping 192.168.1.16 具有 32 字节的数据:
来自 192.168.1.156 的回复: 无法访问目标主机。
来自 192.168.1.1 的回复: 无法访问目标主机。
来自 192.168.1.1 的回复: 无法访问目标主机。
来自 192.168.1.1 的回复: 无法访问目标主机。
192.168.1.16 的 Ping 统计信息:
    数据包: 已发送 = 4，已接收 = 4，丢失 = 0 (0% 丢失)，
C:\Users\admin&amp;gt;ping 125.154.1.1
正在 Ping 125.154.1.1 具有 32 字节的数据:
请求超时。
请求超时。
请求超时。
请求超时。
125.154.1.1 的 Ping 统计信息:
    数据包: 已发送 = 4，已接收 = 0，丢失 = 4 (100% 丢失)，
C:\Users\admin&amp;gt;ping 0.0.0.125
正在 Ping 0.0.0.125 具有 32 字节的数据:
PING：传输失败。常见故障。
PING：传输失败。常见故障。
PING：传输失败。常见故障。
PING：传输失败。常见故障。
0.0.0.125 的 Ping 统计信息:
    数据包: 已发送 = 4，已接收 = 0，丢失 = 4 (100% 丢失)，</t>
  </si>
  <si>
    <t>2017-07-12</t>
  </si>
  <si>
    <t>资源管理—通道管理—通道显示：界面Ping按钮显示连接状态(200)</t>
  </si>
  <si>
    <t>207</t>
  </si>
  <si>
    <t>资源管理—通道管理—通道视频列表：没有显示通道所属区域</t>
  </si>
  <si>
    <t>[步骤]
1. 查看通道信息
[结果]
&lt;img src="data/upload/1/201704/25161919020345k6.png" alt="25161919020345k6.png" /&gt;
[期望]
&lt;img src="data/upload/1/201704/25161908063916dd.png" alt="25161908063916dd.png" /&gt;</t>
  </si>
  <si>
    <t>资源管理—通道管理—通道视频列表：验证通道信息展示(196)</t>
  </si>
  <si>
    <t>320</t>
  </si>
  <si>
    <t>动态人脸识别PC(#11)</t>
  </si>
  <si>
    <t>通道管理(#53)</t>
  </si>
  <si>
    <t>新产品V1.0版本第一次迭代(#11)</t>
  </si>
  <si>
    <t>资源管理—通道管理：区域的删除</t>
  </si>
  <si>
    <t>高度关注</t>
  </si>
  <si>
    <t>[步骤]1.资源管理下的通道管理，添加两个区域 ，区域下都有子区域和通道
          2.右键删除第二个区域
          3.删除成功 
          4.删除第一个区域
[结果]第一个区域不能直接删除，需要展开一下再次选中才可删除。
&lt;img alt="" src="data/upload/1/201705/1613542405278dmm.png" /&gt;
&lt;img alt="" src="data/upload/1/201705/1613544102351rvd.png" /&gt;
[期望]正常删除区域</t>
  </si>
  <si>
    <t>RLSB-CS-v0.2-20170515(#10)</t>
  </si>
  <si>
    <t>RLSB-CS-v0.2-20170605(#17)</t>
  </si>
  <si>
    <t>321</t>
  </si>
  <si>
    <t>资源管理—通道管理：新增通道，均不填写报错（未将对象引用设置到对象的实例）</t>
  </si>
  <si>
    <t>[步骤]1.点击资源管理下的通道管理
         2.添加区域
         3.给区域新增通道
         4.内容均不填写点击保存
[结果]
报错
&lt;img alt="" src="data/upload/1/201705/16140352054846c.png" /&gt;
[期望]正常添加通道，</t>
  </si>
  <si>
    <t>2017-05-27</t>
  </si>
  <si>
    <t>2017-05-19</t>
  </si>
  <si>
    <t>322</t>
  </si>
  <si>
    <t>动态比对(#52)</t>
  </si>
  <si>
    <t>资源管理—通道管理：通道新增以后，人脸比对下的抓拍比对应该实时更新。</t>
  </si>
  <si>
    <t>[步骤]1.点击资源管理下的通道管理
         2.新增区域和通道
[结果]
人脸比对下的抓拍比对应该实时更新，而不是需要重新打开抓拍比对才可以有新增的
&lt;img alt="" src="data/upload/1/201705/1614370105937ak4.png" /&gt;
&lt;img alt="" src="data/upload/1/201705/1614371204101ak4.png" /&gt;
[期望]通道管理新增区域和通道以后，人脸比对下的抓拍比对实时更新</t>
  </si>
  <si>
    <t>323</t>
  </si>
  <si>
    <t>资源管理—通道管理：添加一个通道，不填写通道号，然后直接点击区域，提示通道号为空，</t>
  </si>
  <si>
    <t>正常排队</t>
  </si>
  <si>
    <t>[步骤]1.点击资源管理下的通道管理
          2.在区域下添加一个通道号为空的通道
          3.点击该区域
[结果]
 直接点击区域，显示如下
&lt;img alt="" src="data/upload/1/201705/161514580759546c.png" /&gt;
先选择通道，再次点击区域，显示如下
&lt;img alt="" src="data/upload/1/201705/161516020534k4o.png" /&gt;
[期望]  不提示通道号为空，（ip也同理）</t>
  </si>
  <si>
    <t>2017-06-20</t>
  </si>
  <si>
    <t>327</t>
  </si>
  <si>
    <t>人脸比对——抓拍比对：所有识别结果都显示60分</t>
  </si>
  <si>
    <t>[步骤]
进入人脸比对界面，选择抓拍比对，有抓拍人脸和人脸模板
[结果]
所有识别结果都显示60分
&lt;img alt="1617262504351e0i.png" src="data/upload/1/201705/1617262504351e0i.png" /&gt;
[期望]
识别结果显示正确分数</t>
  </si>
  <si>
    <t>人脸比对——抓拍比对：识别结果页面核查(183)</t>
  </si>
  <si>
    <t>328</t>
  </si>
  <si>
    <t>人脸比对——抓拍比对：设置窗口布局为16，然后点击一个视频进行预览，设置窗口布局失效</t>
  </si>
  <si>
    <t>[步骤]
1.点击人脸比对下的抓拍比对按钮
2.点击设置窗口布局 设置为16
3.然后点击一个视频，右键 视频预览
[结果]
&lt;img alt="" src="data/upload/1/201705/1617524904284mmr.png" /&gt;
&lt;img alt="" src="data/upload/1/201705/1617532505509qc4.png" /&gt;
[期望] 窗口布局依然显示为16</t>
  </si>
  <si>
    <t>莫增文,</t>
  </si>
  <si>
    <t>刘宏亮</t>
  </si>
  <si>
    <t>设计如此</t>
  </si>
  <si>
    <t>329</t>
  </si>
  <si>
    <t>人脸比对——抓拍比对：点击是否抓拍，停止抓拍目前未生效</t>
  </si>
  <si>
    <t>[步骤]
1.点击人脸比对下的抓拍比对按钮
2.选择一个通道点击右键
3.点击是否抓拍按钮
[结果]
目前一直在抓拍，点击关闭没有用
[期望]按钮可以正常使用</t>
  </si>
  <si>
    <t>2017-05-24</t>
  </si>
  <si>
    <t>人脸比对——抓拍比对：右键抓拍，验证开启抓拍的通道向MQ推送抓拍照片(474)</t>
  </si>
  <si>
    <t>330</t>
  </si>
  <si>
    <t>资源管理—通道管理：通道号删除两位，应该不可以观看视频预览</t>
  </si>
  <si>
    <t>[步骤]
1.点击资源管理下的通道管理
2.点击已有的摄像头进行修改
3.默认的通道号52_#_51000003_1_101  删除后两位
[结果]
视频还可以正常预览
&lt;img alt="" src="data/upload/1/201705/1618080707567mrq.png" /&gt;
[期望]视频预览不可以观看</t>
  </si>
  <si>
    <t>外部原因</t>
  </si>
  <si>
    <t>2017-05-22</t>
  </si>
  <si>
    <t>高振东</t>
  </si>
  <si>
    <t>331</t>
  </si>
  <si>
    <t>模板库：编辑模板库的控件默认不是新建状态</t>
  </si>
  <si>
    <t>[前置条件]
登录成功[步骤]
1.打开模板管理页面；
2.检查编辑模板库区域；
[结果]
默认选择了第一个模板库；控件上回显了第一个模板库的信息。
&lt;img alt="17110827070155d.png" src="data/upload/1/201705/17110827070155d.png" /&gt;
[期望]
所有控件应该为新建状态；</t>
  </si>
  <si>
    <t>2017-05-17</t>
  </si>
  <si>
    <t>2017-07-20</t>
  </si>
  <si>
    <t>模板库：编辑模板库，验证默认为新建状态(372)</t>
  </si>
  <si>
    <t>332</t>
  </si>
  <si>
    <t>模板库：编辑模板库，点击新建，去掉弹窗，模板名称、备注置空</t>
  </si>
  <si>
    <t>[前置条件]
登录成功[步骤]
1.打开模板管理
2.点击新建
[结果]
直接弹出弹窗
&lt;img alt="17111445030339cu.png" src="data/upload/1/201705/17111445030339cu.png" /&gt;
[期望]
无弹窗
模板名称置空，备注置空</t>
  </si>
  <si>
    <t>模板库：编辑模板库，验证新建按钮功能(103)</t>
  </si>
  <si>
    <t>333</t>
  </si>
  <si>
    <t>模板库：新建的模板库显示数量为6919，实际为0</t>
  </si>
  <si>
    <t xml:space="preserve">[步骤]
1.打开模板管理
2.新建模板库
3.查看新建的模板库数量
[结果]
6919
&lt;img alt="1711221703559d39.png" src="data/upload/1/201705/1711221703559d39.png" /&gt;
[期望]
0
</t>
  </si>
  <si>
    <t>334</t>
  </si>
  <si>
    <t>模板库：修改备注后的模板库，按新备注查询不到</t>
  </si>
  <si>
    <t>[步骤]
1.打开模板管理
2.选中模板库“我是新建的”,其备注为“我是新建的”
3.修改其备注为“她”
4.查询条件中，备注输入“她”
5.点击查询
[结果]
查询不到；
按照修改前的“我是”查询，能查到
[期望]
修改后的备注能查询到</t>
  </si>
  <si>
    <t>335</t>
  </si>
  <si>
    <t>模板库：英文备注查询不到</t>
  </si>
  <si>
    <t>低优先级</t>
  </si>
  <si>
    <t>[步骤]
1.打开模板管理
2.选中模板库“测试英文备注”,其备注为“ENGLISH”
3.查询条件中，备注输入“ENGLISH”
5.点击查询
[结果]
查询不到；
[期望]
 英文备注查询不到</t>
  </si>
  <si>
    <t>336</t>
  </si>
  <si>
    <t>模板库：按创建时间的查询模板库的问题</t>
  </si>
  <si>
    <t>[前置条件]
有2017/5/16和2017/5/17两天创建的模板库
[步骤]
1. 打开模板管理
2. 截至时间选择2017/5/16
3.点击查询
4. 开始时间选择2017/5/17
5.点击查询
6.开始时间选择2017/5/16，截止时间选择2017/5/16
7.点击查询
[结果]
3.返回了所有模板库：2017/5/16和2017/5/17
&lt;img alt="1714233103001ui5.png" src="data/upload/1/201705/1714233103001ui5.png" /&gt;
5.返回了所有模板库：2017/5/16和2017/5/17
&lt;img alt="17143602076465d3.png" src="data/upload/1/201705/17143602076465d3.png" /&gt;
7.无结果返回
&lt;img alt="1714395502330ui5.png" src="data/upload/1/201705/1714395502330ui5.png" /&gt;
[期望]
3.返回2017/5/16及之前创建的模板库
5.返回2017/5/17及之后创建的模板库
7.应返回2017/5/16日创建的模板库</t>
  </si>
  <si>
    <t>模板库：模板库按创建时间查询(124)</t>
  </si>
  <si>
    <t>340</t>
  </si>
  <si>
    <t>模板管理：添加非人脸照片，显示添加成功，人脸对象列表刷新出现该人脸对象及其模板，切换到其他模板库再切回来，模板不再显示。</t>
  </si>
  <si>
    <t xml:space="preserve">[步骤]
1.在某人脸库下，新建人脸对象
2.浏览添加非人脸照片，设为主照片
3.保存
4.点击其他人脸库
5.再点击步骤1的人脸库，查看人脸对象的照片
[结果]
3.提示保存成功，人脸对象列表显示显示新建的人脸对象
&lt;img src="data/upload/1/201705/1811512108672ha2.png" alt="1811512108672ha2.png" /&gt;
5.照片不显示了
&lt;img src="data/upload/1/201705/1811514508367b9o.png" alt="1811514508367b9o.png" /&gt;
[期望]
3.提示照片检测不到人脸
</t>
  </si>
  <si>
    <t>2017-05-18</t>
  </si>
  <si>
    <t>2017-06-06</t>
  </si>
  <si>
    <t>人脸对象：新建人脸对象，浏览添加非人脸照片(138)</t>
  </si>
  <si>
    <t>341</t>
  </si>
  <si>
    <t>人脸对象：不选中对象时，右键应无删除菜单</t>
  </si>
  <si>
    <t>[步骤]
1.打开模板管理
2.不选择任何人脸对象，右键
[结果]
有删除菜单，且点击删除，提示删除成功
&lt;img src="data/upload/1/201705/1813325705957a2o.png" alt="1813325705957a2o.png" /&gt;
&lt;img src="data/upload/1/201705/1813330801970nga.png" alt="1813330801970nga.png" /&gt;
[期望]
验证无删除菜单</t>
  </si>
  <si>
    <t>人脸对象：验证不选中对象时，右键无删除菜单(533)</t>
  </si>
  <si>
    <t>342</t>
  </si>
  <si>
    <t>人脸比对——抓拍比对：两个摄像头进行视频观看按钮的操作，后一个点击视频预览导致前一个视频预览不能观看</t>
  </si>
  <si>
    <t>[步骤]
1.添加两个摄像头，一个正常使用（知春路），一个ip填写错误（大钟寺）
2.点击人脸比对下的抓拍比对
3.先点击ip错误的摄像头进行视频预览
4.然后点击ip正确的视频进行视频预览
[结果]
先点击ip正确的摄像头如下
&lt;img alt="" src="data/upload/1/201705/1815251207186p85.png" /&gt;
再次点击ip不正确的摄像头的视频预览
&lt;img alt="" src="data/upload/1/201705/1815260401745t2j.png" /&gt;
点击ip错误的摄像头，关闭视频预览，结果关闭了ip正确的摄像头
&lt;img alt="" src="data/upload/1/201705/1815274802791bfu.png" /&gt;
[期望] 视频预览按钮正常使用</t>
  </si>
  <si>
    <t>高振东,</t>
  </si>
  <si>
    <t>343</t>
  </si>
  <si>
    <t>模板库：模板库无数据时，点击删除按钮，多次提示</t>
  </si>
  <si>
    <t>[步骤]
1.点击模板管理页面
2.右键删除按钮
[结果]
&lt;img alt="" src="data/upload/1/201705/1815311409599rp8.png" /&gt;
&lt;img alt="" src="data/upload/1/201705/1815312404229bfu.png" /&gt;
[期望]只提示一次即可</t>
  </si>
  <si>
    <t>344</t>
  </si>
  <si>
    <t>人脸对象：添加人脸对象的时候，没有选中模板库，报错</t>
  </si>
  <si>
    <t>[步骤]
1.进入模板库页面
2.添加一个模板库
3.不选中模板库，直接点击右键添加人脸对象
[结果]
&lt;img alt="" src="data/upload/1/201705/1815372903520qt2.png" /&gt;
&lt;img alt="" src="data/upload/1/201705/18153737054712mv.png" /&gt;
[期望] 不选中模板库提示，或者直接默认选中模板库</t>
  </si>
  <si>
    <t>345</t>
  </si>
  <si>
    <t>人脸对象：选择其中一个为主模板，然后右键移除另外一个，主模板也被移除</t>
  </si>
  <si>
    <t>[步骤]
1.进入人脸对象页面
2.人脸对象添加两个模板
3.其中一个点击右键设为主模板
4.另外一个点击右键，删除模板
[结果]
&lt;img alt="" src="data/upload/1/201705/1815513508804bfu.png" /&gt;
&lt;img alt="" src="data/upload/1/201705/1815530201071k6j.png" /&gt;
&lt;img alt="" src="data/upload/1/201705/1815524803818qt2.png" /&gt;
[期望]  移除模板按钮，移除选中模板，主照片保留，除非移除的是主照片的模板，则主照片删除</t>
  </si>
  <si>
    <t>346</t>
  </si>
  <si>
    <t>人脸对象;点击右键移除模板未生效</t>
  </si>
  <si>
    <t>[步骤]
1.进入人脸对象页面
2.对人脸对象模板进行右键移除
3.此页面看起来删除   点击模板库进行刷新，发现没有删除
[结果]
&lt;img alt="" src="data/upload/1/201705/1815560804281mvk.png" /&gt;
&lt;img alt="" src="data/upload/1/201705/1815561901835t2j.png" /&gt;
&lt;img alt="" src="data/upload/1/201705/1815563207283jbf.png" /&gt;
[期望]  正常移除模板</t>
  </si>
  <si>
    <t>347</t>
  </si>
  <si>
    <t>人脸小不推送(人脸最小检测尺寸为0)</t>
  </si>
  <si>
    <t xml:space="preserve">[步骤]
1.通道参数中，人脸最小检测尺寸为0
[结果]
人脸照片小，不推送
抓拍服务器有画人脸框
[期望]
</t>
  </si>
  <si>
    <t>桑明礼</t>
  </si>
  <si>
    <t>348</t>
  </si>
  <si>
    <t>新增加的模板照片，没有加载，除非重启比对服务。</t>
  </si>
  <si>
    <t xml:space="preserve">
</t>
  </si>
  <si>
    <t>郝文峰</t>
  </si>
  <si>
    <t>349</t>
  </si>
  <si>
    <t>模板库容量大小客户端无配置</t>
  </si>
  <si>
    <t>没有模板库容量大小配置，新建模板库默认存成0，比对服务不会比对容量为0的库</t>
  </si>
  <si>
    <t>351</t>
  </si>
  <si>
    <t>订阅某通道，关闭抓拍比对页面，再次打开抓拍比对，订阅图标状态是未订阅状态。</t>
  </si>
  <si>
    <t>[步骤]
1.打开抓拍，打开订阅
2.关闭抓拍比对页面
3.打开抓拍比对页面
4.验证订阅图标
[结果]
未订阅
&lt;img src="data/upload/1/201705/1819360802103phn.png" alt="1819360802103phn.png" /&gt;
[期望]
已订阅状态</t>
  </si>
  <si>
    <t>苏晓伟,</t>
  </si>
  <si>
    <t>2017-06-29</t>
  </si>
  <si>
    <t>352</t>
  </si>
  <si>
    <t>请修改抓拍比对的通道右键菜单</t>
  </si>
  <si>
    <t>通道状态是已订阅，建议右键菜单变为取消订阅；通道状态是已开启抓拍，建议右键菜单变更为关闭抓拍
通道状态是未订阅，建议右键菜单变为开启订阅；通道状态是未开启抓拍，建议右键菜单变更为开启抓拍</t>
  </si>
  <si>
    <t>2017-07-03</t>
  </si>
  <si>
    <t>353</t>
  </si>
  <si>
    <t>抓拍记录按时间检索不对</t>
  </si>
  <si>
    <t>&lt;img src="data/upload/1/201705/18194525022077rb.png" alt="18194525022077rb.png" /&gt;</t>
  </si>
  <si>
    <t>2017-06-21</t>
  </si>
  <si>
    <t>2017-06-09</t>
  </si>
  <si>
    <t>354</t>
  </si>
  <si>
    <t>比对记录(#48)</t>
  </si>
  <si>
    <t>比对记录无比对结果，表fcmp_capture_alarm中有数据</t>
  </si>
  <si>
    <t xml:space="preserve">[步骤]
比对记录中查到过，似乎是重启客户端之后就查不到了
[结果]
&lt;img src="data/upload/1/201705/1820095708861h1g.png" alt="1820095708861h1g.png" /&gt;
&lt;img src="data/upload/1/201705/1820111401806gaa.png" alt="1820111401806gaa.png" /&gt;
</t>
  </si>
  <si>
    <t>355</t>
  </si>
  <si>
    <t>抓拍服务不起，在客户端打开抓拍、订阅，没有“不能启动抓拍订阅”的提示</t>
  </si>
  <si>
    <t>370</t>
  </si>
  <si>
    <t>抓拍比对：双击抓拍在照片，弹出添加模板，抓拍照片没有显示在添加模板窗口</t>
  </si>
  <si>
    <t>[步骤]
1.双击抓拍照片
[结果]
&lt;img alt="22141606074280vl.png" src="data/upload/1/201705/22141606074280vl.png" /&gt;
[期望]
选中抓拍照片显示在添加模板窗口</t>
  </si>
  <si>
    <t>372</t>
  </si>
  <si>
    <t>抓拍比对：添加模板窗口，类型为空，不能保存模板</t>
  </si>
  <si>
    <t>[步骤]
1.双击抓拍照片
[结果]
人员类型为空，且其为必填项，为空不能保存模板
&lt;img src="data/upload/1/201705/2214222304060217.png" alt="2214222304060217.png" /&gt;
[期望]
人员类型或者可选，或者不是必填项</t>
  </si>
  <si>
    <t>374</t>
  </si>
  <si>
    <t>抓拍比对：识别结果模块和场景留存窗口，模板照片显示的是抓拍照片</t>
  </si>
  <si>
    <t>[步骤]
1.开启抓拍、订阅
2.添加模板
3.查看识别结果
4.在识别结果中双击开启场景留存窗口
[结果]
3.识别结果模块
&lt;img alt="221453290527445b.png" src="data/upload/1/201705/221453290527445b.png" /&gt;
4.场景留存窗口：模板照片位置处，显示的是抓拍照片
&lt;img alt="2214454304576b7v.png" src="data/upload/1/201705/2214454304576b7v.png" /&gt;
[期望]
模板照片位置处，显示的是模板照片
&lt;img alt="2214483705853l62.png" src="data/upload/1/201705/2214483705853l62.png" /&gt;</t>
  </si>
  <si>
    <t>375</t>
  </si>
  <si>
    <t>抓拍比对：抓拍照片模块应显示通道名称</t>
  </si>
  <si>
    <t>[步骤]
1.开启抓拍、订阅
[结果]
&lt;img alt="2214503605941jdq.png" src="data/upload/1/201705/2214503605941jdq.png" /&gt;
[期望]
&lt;img alt="22144952099926mj.png" src="data/upload/1/201705/22144952099926mj.png" /&gt;</t>
  </si>
  <si>
    <t>377</t>
  </si>
  <si>
    <t>抓拍比对：场景留存窗口的，抓拍信息，模板信息有待完善</t>
  </si>
  <si>
    <t>[步骤]
[结果]
场景留存窗口的，抓拍信息，模板信息有待完善
&lt;img src="data/upload/1/201705/2215243107621s0v.png" alt="2215243107621s0v.png" /&gt;
[期望]</t>
  </si>
  <si>
    <t>378</t>
  </si>
  <si>
    <t>抓拍比对：识别结果模块，详细信息有待完善</t>
  </si>
  <si>
    <t>[步骤]
[结果]
识别结果模块，详细信息有待完善
&lt;img src="data/upload/1/201705/2215284307464768.png" alt="2215284307464768.png" /&gt;
[期望]</t>
  </si>
  <si>
    <t>RLSB-CS-V0.5-20170630-PC(#27)</t>
  </si>
  <si>
    <t>2017-07-10</t>
  </si>
  <si>
    <t>381</t>
  </si>
  <si>
    <t>抓拍记录：抓拍记录页面显示的抓拍通道名称，显示成了id</t>
  </si>
  <si>
    <t>[步骤]
1.点击抓拍记录按钮
2.查看页面抓拍通道的显示
[结果]
通道名称，时间也可以优化一下。
&lt;img alt="" src="data/upload/1/201705/221725360209b5p.png" /&gt;
[期望] 正确显示抓拍通道</t>
  </si>
  <si>
    <t>382</t>
  </si>
  <si>
    <t>抓拍记录：对抓拍记录的图片进行保存，保存失败</t>
  </si>
  <si>
    <t>[步骤]
1.点击抓拍记录
2.点击抓拍照片 右键
3.点击保存图片
[结果]
保存失败
&lt;img alt="" src="data/upload/1/201705/2217282709911209.png" /&gt;
[期望]保存成功</t>
  </si>
  <si>
    <t>384</t>
  </si>
  <si>
    <t>抓拍记录：抓拍记录页面，右键查看背景图，图片模糊</t>
  </si>
  <si>
    <t>[步骤]
1.点击抓拍记录
2.点击抓拍照片 右键
3.点击查看背景图
[结果]
&lt;img alt="" src="data/upload/1/201705/2217321504527r28.png" /&gt;
[期望]显示清晰</t>
  </si>
  <si>
    <t>386</t>
  </si>
  <si>
    <t>抓拍记录：抓拍记录页面，按区域查询，查询内容和没有查询条件一样（按通道查询一样）</t>
  </si>
  <si>
    <t>[步骤]
1.点击抓拍记录
2.点击选择按区域查询（选择没有抓拍的区域）
[结果]
第一次点击进来抓拍记录
&lt;img alt="" src="data/upload/1/201705/2217451404388p0p.png" /&gt;
选择没有抓拍的区域(此区域刚添加，没有抓拍记录)
&lt;img alt="" src="data/upload/1/201705/22174548075887r2.png" /&gt;
&lt;img alt="" src="data/upload/1/201705/2217321504527r28.png" /&gt;
[期望]正确显示按区域查询结果</t>
  </si>
  <si>
    <t>387</t>
  </si>
  <si>
    <t>抓拍比对：抓拍比对</t>
  </si>
  <si>
    <t>[步骤]
1.点击抓拍记录页面
2.点击抓拍照片，进行添加模板
3.均不填写，点击保存
[结果]
&lt;img alt="" src="data/upload/1/201705/2218173109749p20.png" /&gt;
[期望]把人员名称修改为姓名</t>
  </si>
  <si>
    <t>2017-05-26</t>
  </si>
  <si>
    <t>389</t>
  </si>
  <si>
    <t>抓拍记录:对抓拍记录的删除功能未实现</t>
  </si>
  <si>
    <t>[步骤]
1.点击抓拍记录按钮
2.选择任意一个抓拍记录    右键
[结果]
&lt;img alt="" src="data/upload/1/201705/221757430250928b.png" /&gt;
[期望]
&lt;img alt="" src="data/upload/1/201705/2217573508228n5m.png" /&gt;</t>
  </si>
  <si>
    <t>403</t>
  </si>
  <si>
    <t>通道管理：添加修改删除通道，显示数据提交失败</t>
  </si>
  <si>
    <t>其他</t>
  </si>
  <si>
    <t xml:space="preserve">日志请见附件
</t>
  </si>
  <si>
    <t>log4j</t>
  </si>
  <si>
    <t>414</t>
  </si>
  <si>
    <t>模板管理：右键点编辑，人脸对象编辑框显示不出来</t>
  </si>
  <si>
    <t>422</t>
  </si>
  <si>
    <t>比对记录：不添加主模板照片，比对记录查不出结果</t>
  </si>
  <si>
    <t>427</t>
  </si>
  <si>
    <t>抓拍比对：开启某通道，关闭抓拍比对页面，再次打开抓拍比对，抓拍状态是未开启状态。</t>
  </si>
  <si>
    <t>抓拍状态也未做持久化</t>
  </si>
  <si>
    <t>430</t>
  </si>
  <si>
    <t>抓拍比对：识别结果不显示</t>
  </si>
  <si>
    <t>RLSB-CS-V0.1-patch-20170524
[步骤]
1.添加通道，模板
2.开启抓拍，订阅
[结果]
抓拍比对页面上，识别结果不展示；比对记录能查到比对结果
&lt;img src="data/upload/1/201705/25110824064737vp.png" alt="25110824064737vp.png" /&gt;
[期望]</t>
  </si>
  <si>
    <t>core日志</t>
  </si>
  <si>
    <t>432</t>
  </si>
  <si>
    <t>模板管理：人脸对象，点击新建，人脸对象编辑框内容没有置空</t>
  </si>
  <si>
    <t xml:space="preserve">[步骤]
1.选中某人脸对象，右键编辑
2.点击新建
[结果]
人脸对象编辑框内，控件没有被置空
[期望]
人脸对象编辑框内，所有控件置为原始状态
</t>
  </si>
  <si>
    <t>433</t>
  </si>
  <si>
    <t>模板库：修改模板库状态为否，应停止对该模板库的比对</t>
  </si>
  <si>
    <t>[步骤]
1. 新建两个模板库A,B，均为启动状态
2.PC端修改模板库A的状态为未启用
[结果]
仍旧与A模板库的模板进行比对
[期望]
应停止对A模板库的模板的比对</t>
  </si>
  <si>
    <t>434</t>
  </si>
  <si>
    <t>模板库：模板库模板只增不减</t>
  </si>
  <si>
    <t>[步骤]
1.删除模板照片
2.查看模板库数量
[结果]
应减少
[期望]
模板库数量只增不减</t>
  </si>
  <si>
    <t>435</t>
  </si>
  <si>
    <t>模板管理：选中某人脸对象，右键编辑，应在目标对象编辑框内回显该人的基本信息和照片</t>
  </si>
  <si>
    <t>&lt;img src="data/upload/1/201705/2514081108343dak.png" alt="2514081108343dak.png" /&gt;</t>
  </si>
  <si>
    <t>436</t>
  </si>
  <si>
    <t>抓拍服务：修改通道名称后，抓拍服务的视频窗口起两个了两个新老名字的窗口</t>
  </si>
  <si>
    <t>[步骤]
1. 新建通道，命名为“通道”
2.修改通道名，该为“陈灵艳的通道”
3.登录服务器查看
[结果]
2个视频预览的窗口打开着，“通道”和“陈灵艳的通道”，uid相同
&lt;img src="data/upload/1/201705/2514122706484u4f.png" alt="2514122706484u4f.png" /&gt;
[期望]
只应有一个</t>
  </si>
  <si>
    <t>437</t>
  </si>
  <si>
    <t>模板管理：新建人脸对象，添加模板，不设置主照片，点保存，再编辑，设置主照片，保存失败</t>
  </si>
  <si>
    <t>[步骤]
1.新建人脸对象栗山千明，添加模板照片，不设主照片，点击保存
2.再编辑栗山千明
3.设置步骤1里的照片为主照片，点击保存
[结果]
提示保存失败
&lt;img alt="2514435901622tok.png" src="data/upload/1/201705/2514435901622tok.png" /&gt;
[期望]
保存成功
core日志截图：
&lt;img alt="2514520001835ebd.png" src="data/upload/1/201705/2514520001835ebd.png" /&gt;</t>
  </si>
  <si>
    <t>441</t>
  </si>
  <si>
    <t>模板管理：修改模板照片，失败</t>
  </si>
  <si>
    <t xml:space="preserve">[步骤]
1. 添加人员对象，南泰铉，添加他的照片，保存成功
2.编辑南泰铉，单击他的照片
3.弹出“选择模板照片”
4.选择一张姜育恒的照片，点击保存
[结果]
保存报错
&lt;img src="data/upload/1/201705/2516312505356164.png" alt="2516312505356164.png" /&gt;
[预期]
修改模板照片成功
[日志]
pc日志： 2017-05-25 16:30:38,334 比对服务修改模板失败！模板ID：0fb98cbd-9b6e-44a7-9ff8-c642a9a55393
&lt;img src="data/upload/1/201705/2516354801905031.png" alt="2516354801905031.png" /&gt;
core日志，请见附件
</t>
  </si>
  <si>
    <t>442</t>
  </si>
  <si>
    <t>模板管理：移除模板照片，提示失败，实际上删除成功，刷新页面可以看到移除了</t>
  </si>
  <si>
    <t>[步骤]
1. 添加人员对象，南泰铉，添加他的照片，保存成功
2.编辑南泰铉，右键单击他的照片
3.右键菜单选择移除模板
4.点击查询
[结果]
3.提示删除失败
&lt;img src="data/upload/1/201705/2517243406224164.png" alt="2517243406224164.png" /&gt;
4.点击查询后，南泰铉的模板照片已经被移除
&lt;img src="data/upload/1/201705/2517245504927bd0.png" alt="2517245504927bd0.png" /&gt;
[预期]
提示信息正确</t>
  </si>
  <si>
    <t>444</t>
  </si>
  <si>
    <t>比对记录：按分数查询失败</t>
  </si>
  <si>
    <t>[步骤]
设置分数为0.99，点击查询
[结果]
99分一下的比对记录都查出来了
&lt;img src="data/upload/1/201705/2518400602980d03.png" alt="2518400602980d03.png" /&gt;
[期望]
99分以上的比对记录查询出来</t>
  </si>
  <si>
    <t>445</t>
  </si>
  <si>
    <t>比对记录：按模板库查询失败</t>
  </si>
  <si>
    <t>[步骤]
设置模板库查询条件为“茶P”，点击查询
[结果]
除“茶P”库外的，其他库的比对记录都查出来了
&lt;img src="data/upload/1/201705/2518552708576ku4.png" alt="2518552708576ku4.png" /&gt;
茶P模板库只有三人：范冰冰，南泰铉，BUG345
&lt;img src="data/upload/1/201705/251855550903mto.png" alt="251855550903mto.png" /&gt;
[期望]
应该只查出"茶P"模板库的比对记录查询</t>
  </si>
  <si>
    <t>446</t>
  </si>
  <si>
    <t>比对记录：无法按时间查询，日期控件不能选择具体时间</t>
  </si>
  <si>
    <t>可以按日期查询，无法看时间查询，日期控件不能选择具体时间
&lt;img src="data/upload/1/201705/2519011006444okd.png" alt="2519011006444okd.png" /&gt;</t>
  </si>
  <si>
    <t>447</t>
  </si>
  <si>
    <t>比对记录：无抓拍场景图</t>
  </si>
  <si>
    <t>[步骤]
1.查看比对记录
[结果]
无场景图
&lt;img alt="2519065506368316.png" src="data/upload/1/201705/2519065506368316.png" /&gt;
[期望]
有场景图</t>
  </si>
  <si>
    <t>448</t>
  </si>
  <si>
    <t>比对记录：抓拍照片右键，点击保存照片，系统崩溃</t>
  </si>
  <si>
    <t>[步骤]
1.查看比对记录
2.选择抓拍照片，右键
3.点击保存图片
[结果]
&lt;img src="data/upload/1/201705/2519084609898kd0.png" alt="2519084609898kd0.png" /&gt;
&lt;img src="data/upload/1/201705/2519080907193031.png" alt="2519080907193031.png" /&gt;
[期望]</t>
  </si>
  <si>
    <t>449</t>
  </si>
  <si>
    <t>比对记录：数据库分页行数设置成100，显示50行，设置成200，显示101行。。。</t>
  </si>
  <si>
    <t>&lt;img src="data/upload/1/201705/2519133706959164.png" alt="2519133706959164.png" /&gt;</t>
  </si>
  <si>
    <t>450</t>
  </si>
  <si>
    <t>比对记录：TOP信息展示创建时间，现在为抓拍时间且不显示具体时间</t>
  </si>
  <si>
    <t>&lt;img src="data/upload/1/201705/2519160804455fr2.png" alt="2519160804455fr2.png" /&gt;</t>
  </si>
  <si>
    <t>2017-06-15</t>
  </si>
  <si>
    <t>莫增文</t>
  </si>
  <si>
    <t>458</t>
  </si>
  <si>
    <t>资源管理—通道管理—人脸抓拍参数设置：最小采集帧间距为空的修改与保存</t>
  </si>
  <si>
    <t xml:space="preserve">[步骤]
1. 进入通道管理，在最下方找到通道详细信息维护界面，在人脸抓拍参数设置中修改最小采集帧间距为空，点击保存
[结果]
1. 点击保存按钮后,系统直接自行管理通道详细信息页面,无任何提示信息;再次打开通道信息页面后最小采集帧间距仍保留为原值
[期望]
1. 提示保存失败，最小采集帧间距不能为空
</t>
  </si>
  <si>
    <t>2017-07-13</t>
  </si>
  <si>
    <t>苏晓伟</t>
  </si>
  <si>
    <t>RLSB-CS-V0.5-20170712-PC(#29)</t>
  </si>
  <si>
    <t>资源管理—通道管理—人脸抓拍参数设置：最小采集帧间距为空的修改与保存(227)</t>
  </si>
  <si>
    <t>529</t>
  </si>
  <si>
    <t>抓拍比对——添加模板：点击抓拍比对页面的抓拍图，进行添加模板操作，模板库不选择，点击保存，提示添加失败。</t>
  </si>
  <si>
    <t>[步骤]
1.点击抓拍比对按钮
2.点击下侧抓拍图
3.对其进行模板添加
4.输入名称，性别，点击保存按钮
选择了模板库，即可添加成功
[结果]
&lt;img alt="" src="data/upload/1/201706/1211495608980te1.png" /&gt;
[期望]
提示模板库未选择</t>
  </si>
  <si>
    <t>530</t>
  </si>
  <si>
    <t>DC(#103)</t>
  </si>
  <si>
    <t>报警窗口有记录，报警记录中查不到；告警记录也查不到</t>
  </si>
  <si>
    <t>[步骤]
1.告警输出页面，推送已确认的告警记录；
2.报警窗口，收到告警记录；
3.进入报警记录，查看
[结果]
报警记录中无结果
&lt;img alt="1212563204136153.png" src="data/upload/1/201706/1212563204136153.png" /&gt;
&lt;img alt="1212572801844nto.png" src="data/upload/1/201706/1212572801844nto.png" /&gt;
[期望]
报警记录中能查到记录</t>
  </si>
  <si>
    <t>531</t>
  </si>
  <si>
    <t>资源管理—通道管理：对已经添加的摄像头进行编辑，点击保存以后，界面显示多个此摄像头</t>
  </si>
  <si>
    <t>[步骤]
1.点击资源管理下的通道管理按钮
2.点击编辑已添加的摄像头
3.点击保存
[结果]
&lt;img alt="" src="data/upload/1/201706/1213394504954037.png" /&gt;
导致动态比对页面  
&lt;img alt="" src="data/upload/1/201706/121340380826c13.png" /&gt;
刷新此页面以后，显示正确
&lt;img alt="" src="data/upload/1/201706/121341120300037.png" /&gt;
[期望]</t>
  </si>
  <si>
    <t>2017-07-04</t>
  </si>
  <si>
    <t>RLSB-CS-Patch-V0.51-20170628(#26)</t>
  </si>
  <si>
    <t>532</t>
  </si>
  <si>
    <t>视频控件未注册的时候，点击摄像头等提示：摄像机无法链接，</t>
  </si>
  <si>
    <t>[步骤]
1.视频控件未注册
2.点击摄像头等提示摄像机无法链接
[结果]
[期望]
提示语优化</t>
  </si>
  <si>
    <t>2017-07-21</t>
  </si>
  <si>
    <t>533</t>
  </si>
  <si>
    <t>资源管理—通道管理：删除通道的提示语，</t>
  </si>
  <si>
    <t>[步骤]
1.点击资源管理下的通道管理按钮
2.点击删除通道
[结果]
&lt;img alt="" src="data/upload/1/201706/1213474502886lm3.png" /&gt;
[期望]
提示语优化</t>
  </si>
  <si>
    <t>534</t>
  </si>
  <si>
    <t>告警记录、报警记录：默认应显示所有区域、通道下的结果，请修改默认区域为空</t>
  </si>
  <si>
    <t xml:space="preserve">&lt;img alt="1217034503726j2n.png" src="data/upload/1/201706/1217034503726j2n.png" /&gt;
&lt;img alt="1217035906134juj.png" src="data/upload/1/201706/1217035906134juj.png" /&gt;
</t>
  </si>
  <si>
    <t>刘宏亮,</t>
  </si>
  <si>
    <t>2017-06-23</t>
  </si>
  <si>
    <t>535</t>
  </si>
  <si>
    <t>告警提示(#56)</t>
  </si>
  <si>
    <t>告警输出：订阅n个通道，告警记录展示n个相同的告警，更改一个状态，剩余其他状态都一起变更</t>
  </si>
  <si>
    <t>[步骤]
1.订阅通道1；
2.订阅通道2；
3.订阅通道3；
4.查看告警窗口
[结果]
订阅3个通道，告警记录展示3个相同的告警
更改一个状态，剩余其他状态都一起变更
&lt;img alt="12171403092127mu.png" src="data/upload/1/201706/12171403092127mu.png" /&gt;
[期望]</t>
  </si>
  <si>
    <t>RLSB-CS-Patch-V0.51-20170623(#21)</t>
  </si>
  <si>
    <t>2017-06-27</t>
  </si>
  <si>
    <t>536</t>
  </si>
  <si>
    <t>模板管理(#54)</t>
  </si>
  <si>
    <t>模板管理-界面模板库名称不一致</t>
  </si>
  <si>
    <t>Windows 7</t>
  </si>
  <si>
    <t>[步骤]
模板管理页面中模板库列表、模板库名称等名称要保持前后统一、且无错别字、保持一致
[结果]
界面上模板库列表和模板库编辑部分显示的名称不统一，有错别字；具体见附件
[期望]
界面上模板库列表和模板库编辑部分显示的名称显示一致</t>
  </si>
  <si>
    <t>2017-06-19</t>
  </si>
  <si>
    <t>模板管理</t>
  </si>
  <si>
    <t>537</t>
  </si>
  <si>
    <t>CORE(#101)</t>
  </si>
  <si>
    <t>新增模板库，比对服务未加载新模板库</t>
  </si>
  <si>
    <t>新增模板库：
&lt;img src="data/upload/1/201706/1218320306302u3o.png" alt="1218320306302u3o.png" /&gt;
比对服务中没有6：
&lt;img src="data/upload/1/201706/1218335702141mut.png" alt="1218335702141mut.png" /&gt;</t>
  </si>
  <si>
    <t>RLSB-CS-0.3-20170614(#18)</t>
  </si>
  <si>
    <t>538</t>
  </si>
  <si>
    <t>告警输出结果不正确</t>
  </si>
  <si>
    <t>[步骤]
通道管理中71通道质量系数设置为0.6
数据库阈值:60
查看告警输出记录结果
[结果]
告警记录中低于36%的都显示
[期望]
告警输出显示为满足36%以上的比对记录</t>
  </si>
  <si>
    <t>莫斯棋,</t>
  </si>
  <si>
    <t>2017-07-06</t>
  </si>
  <si>
    <t>通道系数</t>
  </si>
  <si>
    <t>539</t>
  </si>
  <si>
    <t>修改模板库状态，比对服务中比对的模板库未变更</t>
  </si>
  <si>
    <t>修改模板库状态为否，比对服务中应不在出现该模板库；
修改模板库状态为是，比对服务中应出现该模板库。</t>
  </si>
  <si>
    <t>540</t>
  </si>
  <si>
    <t>资源管理—通道管理：动态比对页面打开（且打开抓拍与订阅），打开通道管理页面，修改通道的通道号，然后点击动态比对页面通道显示有问题</t>
  </si>
  <si>
    <t>[步骤]
1.打开动态比对
2.打开抓拍与订阅
3.修改通道的通道号
4.点击动态比对页面的通道右键
[结果]
&lt;img alt="" src="data/upload/1/201706/1310023509772cp8.png" /&gt;
[期望]
正常显示抓拍与订阅</t>
  </si>
  <si>
    <t>541</t>
  </si>
  <si>
    <t>数据中心异常</t>
  </si>
  <si>
    <t>&lt;img src="data/upload/1/201706/13104144021443o8.png" alt="13104144021443o8.png" /&gt;</t>
  </si>
  <si>
    <t>2017-06-16</t>
  </si>
  <si>
    <t>datacenter</t>
  </si>
  <si>
    <t>542</t>
  </si>
  <si>
    <t>报警消息(#57)</t>
  </si>
  <si>
    <t>报警管理—告警记录、报警记录：点击打开告警记录，点击查询按钮，然后向下滑动查看数据，导致第一条数据，没有显示圆圈，如图</t>
  </si>
  <si>
    <t>[步骤]
1.点击报警管理下的告警记录
2.点击查询按钮
[结果]
&lt;img alt="" src="data/upload/1/201706/1311500201475phh.png" /&gt;
滑动鼠标查看下边的数据以后
&lt;img alt="" src="data/upload/1/201706/1311502401262m5p.png" /&gt;
[期望]</t>
  </si>
  <si>
    <t>无法重现</t>
  </si>
  <si>
    <t>543</t>
  </si>
  <si>
    <t>告警记录：已否决和已确认的告警，都显示为“未处理”</t>
  </si>
  <si>
    <t>&lt;img alt="13130711066062nt.png" src="data/upload/1/201706/13130711066062nt.png" /&gt;</t>
  </si>
  <si>
    <t>544</t>
  </si>
  <si>
    <t>报警管理—报警输出：点击打开告警输出，推送到报警输出，推送一次以后，点击订阅摄像头，再次推送收不到</t>
  </si>
  <si>
    <t>[步骤]
1.点击报警管理下的告警输出按钮
2.对摄像头进行订阅（取消订阅，方便操作）
3.点击告警输出，进行推送
4.报警输出收到推送
5.对摄像头进行订阅，
6.告警输出进行推送
[结果]
收不到推送
[期望]
正常收到推送</t>
  </si>
  <si>
    <t>545</t>
  </si>
  <si>
    <t>比对记录有记录，查询时出现无查询结果</t>
  </si>
  <si>
    <t>[步骤]
1、打开比对记录页面,区域、模板库、姓名等查询参数均为空，日期选择：2017/06/13 10：00 ~2017/06/13 12：00 （当前时钟时间为：2017/06/13 11：30 ），点击查询
2、比对记录查询有11：00之后的比对记录，见截图
3、修改查询时间为2017/06/13 11 ：00 ~2017/06/13 12：00 （当前时钟时间为：2017/06/13 11：30 ），在次查询
[结果]
第一次查询有结果，修改查询时间后再次查询无结果
客户端log如下:
2017-06-13 11:44:02,840 【Error】：查询比对记录信息异常！【FcmpCaptureAlarm】--&amp;gt;【函数名】：QueryCmpLogWithImg
System.OutOfMemoryException: Exception of type 'System.OutOfMemoryException' was thrown.
   at System.Text.StringBuilder.ToString()
   at System.IO.StringWriter.ToString()
   at Newtonsoft.Json.Linq.JToken.ToString(Formatting formatting, JsonConverter[] converters) in C:\Users\MOSIQI\Desktop\Newtonsoft.Json-master\Newtonsoft.Json-master\Src\Newtonsoft.Json\Linq\JToken.cs:line 443
   at Newtonsoft.Json.Linq.JToken.ToString() in C:\Users\MOSIQI\Desktop\Newtonsoft.Json-master\Newtonsoft.Json-master\Src\Newtonsoft.Json\Linq\JToken.cs:line 425
   at SING.Data.DAL.FcmpCaptureAlarm.QueryCmpLogWithImg(String json) in E:\C#代码\RLSB-CS\trunk\devel\code\Client\FaceSystem\FACE\SING.Data\DAL\FcmpCaptureAlarm.cs:line 381
[期望]</t>
  </si>
  <si>
    <t>朱隆基</t>
  </si>
  <si>
    <t>比对记录1</t>
  </si>
  <si>
    <t>546</t>
  </si>
  <si>
    <t>新产品V1.0 第三次迭代(#21)</t>
  </si>
  <si>
    <t>报警管理—报警输出：点击告警输出推送到报警输出，推送完一次以后，直接关闭报警输入界面，重新打开，再次推送，收到四张图</t>
  </si>
  <si>
    <t>[步骤]
1.点击报警管理，告警输出进行推送
2.报警输出页面打开接收推送
3.点击关闭报警输出页面重新打开接受推送
4.再次点击关闭报警输出页面重新打开接受推送（多次进行此操作，报警输出页面条数一直在增加。）
[结果]
推送一条显示四条
&lt;img alt="" src="data/upload/1/201706/1313595603205cqa.png" /&gt;
[期望]
正确接受推送正确显示</t>
  </si>
  <si>
    <t>RLSB-CS-V0.6-201707-PC(#31)</t>
  </si>
  <si>
    <t>2017-07-25</t>
  </si>
  <si>
    <t>宋宁</t>
  </si>
  <si>
    <t>547</t>
  </si>
  <si>
    <t>报警输出：先开启报警输出，收不到告警推送；除非重开报警输出</t>
  </si>
  <si>
    <t>[步骤]
1.开启，抓拍比对，告警输出，报警输出
2.订阅；
3.告警推送；
[结果]
先开启报警输出，收不到告警推送；除非重开报警输出
[期望]
报警窗口收到告警推送</t>
  </si>
  <si>
    <t>548</t>
  </si>
  <si>
    <t>资源管理—模板管理：点击新增对象，选择模板，然后点击切换模板，显示没有变化，点击移除模板，出现选择的模板</t>
  </si>
  <si>
    <t>[步骤]
1.点击资源管理下的模板管理
2.点击新增按钮
3.对对象添加模板
4.点击选择模板
5.再次点击切换模板（还是显示之前模板，点击移除模板，则显示后选择的模板）
[结果]
&lt;img alt="" src="data/upload/1/201706/1314394601489pvn.png" /&gt;
&lt;img alt="" src="data/upload/1/201706/1314400001248vn7.png" /&gt;
[期望]</t>
  </si>
  <si>
    <t>2017-06-26</t>
  </si>
  <si>
    <t>549</t>
  </si>
  <si>
    <t>动态比对-实时抓拍有丢帧现象</t>
  </si>
  <si>
    <t>[步骤]
1、打开动态比对页面，选择大钟寺通道2
2、打开抓拍、订阅、以及视频预览
[结果]
订阅抓拍有丢失现象
[期望]
订阅抓拍无丢失现象</t>
  </si>
  <si>
    <t>捕获1.JPG</t>
  </si>
  <si>
    <t>550</t>
  </si>
  <si>
    <t>修改通道的通道号，抓拍要么仍抓原来的，要么新旧都抓</t>
  </si>
  <si>
    <t>551</t>
  </si>
  <si>
    <t>告警输出与动态比对实时订阅时间不同步，有延迟</t>
  </si>
  <si>
    <t>[步骤]
1、打开动态比对页面，开始通道71的抓拍、订阅、预览
2、打开告警输出页面
[结果]
告警输出的信息与动态比对页面的实时订阅抓拍不同步，相差近1小时
[期望]
告警输出的信息与动态比对页面的实时订阅抓拍保持一致</t>
  </si>
  <si>
    <t>告警非实时1.JPG</t>
  </si>
  <si>
    <t>552</t>
  </si>
  <si>
    <t>报警记录与报警消息窗口中抓拍时间、相似度值显示不一致</t>
  </si>
  <si>
    <t>[步骤]
1、告警输出窗口中，选择确认为同一人的告警记录，设置为已确认，并进行推送
2、在的打开报警信息窗口中收到一条推送消息，同时打开报警记录页面进行查询
[结果]
两个页面显示的抓拍照片时间不一致，相似度保留的小数点位数不同
[期望]
两个页面显示的抓拍照片信息一致，相似度保留相同小数点</t>
  </si>
  <si>
    <t>报警记录</t>
  </si>
  <si>
    <t>553</t>
  </si>
  <si>
    <t>报警记录页面部分记录判决、推送无状态圈</t>
  </si>
  <si>
    <t>[步骤]
1、推送告警信息至报警窗口后，打开报警记录页面进行查询
[结果]
报警页面部分记录判决、推送无状态圈
[期望]
报警记录显示信息一致</t>
  </si>
  <si>
    <t>报警记录1</t>
  </si>
  <si>
    <t>554</t>
  </si>
  <si>
    <t>告警推送记录与报警消息窗口接收的记录不一致</t>
  </si>
  <si>
    <t>[步骤]
1、在告警信息窗口中选择两条记录分别进行确认、推送
2、查看报警信息接收窗口收到的两条记录
3、查看告警记录中已推送的告警记录
[结果]
告警记录中已推送的告警记录信息与报警信息窗口接收到的记录信息不一致
[期望]
告警记录中已推送的告警记录信息与报警信息窗口接收到的抓拍记录信息一致</t>
  </si>
  <si>
    <t>告警推送记录状态不正确</t>
  </si>
  <si>
    <t>555</t>
  </si>
  <si>
    <t>告警输出：抓拍照片为空</t>
  </si>
  <si>
    <t xml:space="preserve">
&lt;img src="data/upload/1/201706/1411384109859153.png" alt="1411384109859153.png" /&gt;</t>
  </si>
  <si>
    <t>556</t>
  </si>
  <si>
    <t>告警输出：有时通道名称未显示</t>
  </si>
  <si>
    <t>&lt;img src="data/upload/1/201706/141140590816m7j.png" alt="141140590816m7j.png" /&gt;</t>
  </si>
  <si>
    <t>557</t>
  </si>
  <si>
    <t>新产品V1.0第二次迭代(#18)</t>
  </si>
  <si>
    <t>资源管理—通道管理：通道管理添加区域，未添加摄像头，动态比对不显示区域</t>
  </si>
  <si>
    <t>[步骤]
1.点击资源管理下的通道管理
2.添加区域
3.点击动态比对
[结果]
区域管理
&lt;img alt="" src="data/upload/1/201706/1414444209220s9c.png" /&gt;
动态比对
&lt;img alt="" src="data/upload/1/201706/14144457080539c3.png" /&gt;
[期望]
动态比对正常显示区域</t>
  </si>
  <si>
    <t>RLSB-CS-0.4-20170616(#19)</t>
  </si>
  <si>
    <t>558</t>
  </si>
  <si>
    <t>资源管理—通道管理：删除区域，点击否，崩溃（删除通道同理）</t>
  </si>
  <si>
    <t>[步骤]
1.点击资源管理下的通道管理按钮
2.点击删除区域
3.点击否
[结果]
崩溃
&lt;img alt="" src="data/upload/1/201706/1415065407716645.png" /&gt;
&lt;img alt="" src="data/upload/1/201706/141507010492945t.png" /&gt;
[期望]
正常返回</t>
  </si>
  <si>
    <t>559</t>
  </si>
  <si>
    <t>资源管理—通道管理：点击添加通道，通道号重复，应该返回编辑页面</t>
  </si>
  <si>
    <t>[步骤]
1.点击资源管理下的通道管理按钮
2.点击对区域添加通道
3.通道号填写重复
4.提示通道号重复
5.点击确定
[结果]
&lt;img alt="" src="data/upload/1/201706/141512400909c3o.png" /&gt;
&lt;img alt="" src="data/upload/1/201706/1415130602163u64.png" /&gt;
[期望]</t>
  </si>
  <si>
    <t>560</t>
  </si>
  <si>
    <t>资源管理—通道管理： 通道管理的添加，必填项，提示了，但未填写保存成功（动态比对页面添加模板同理）</t>
  </si>
  <si>
    <t>[步骤]
1.点击资源管理下的通道管理
2.点击添加通道
3.必填项未填写
4.提示要填写   点击确定保存成功
[结果]
未填写必填项保存成功通道
[期望]
必填项不填写不能保存</t>
  </si>
  <si>
    <t>561</t>
  </si>
  <si>
    <t>资源管理-模板管理-新建模板时超过模板库容量时模板库数量还在增加</t>
  </si>
  <si>
    <t>[步骤]资源管理-模板管理-新建模板时超过模板库容量时模板库数量还在增加
&lt;img src="data/upload/1/201706/14160717022024n4.png" alt="" /&gt;
[结果]
[期望]新建模板时超过模板库容量时模板库数量不增加或者提示超过模板库容量不允许添加</t>
  </si>
  <si>
    <t>耿义龙</t>
  </si>
  <si>
    <t>562</t>
  </si>
  <si>
    <t>历史检索-比对记录查询出比对记录没有显示模板的创建时间</t>
  </si>
  <si>
    <t>界面优化</t>
  </si>
  <si>
    <t>[步骤]历史检索-比对记录查询出比对记录没有显示模板的创建时间
&lt;img src="data/upload/1/201706/1416144908766j58.png" alt="" /&gt;
[结果]
[期望]</t>
  </si>
  <si>
    <t>563</t>
  </si>
  <si>
    <t>修改有目标对象的模板库容量后,模板库数量归零</t>
  </si>
  <si>
    <t>[步骤]
1、模板管理创建模板库，容量保留默认值、状态为启用，点击保存
2、在添加的模板库中新建目标对象，分别添加3个目标对象，共4张照片
3、修改该模板库的容量为50，并保存
[结果]
修改成功后模板库中的数量由4变为0，实际目标对象仍存在
[期望]
修改模板库容留不影响已有目标对象以及数量</t>
  </si>
  <si>
    <t>RLSB-CS-0.5-20170621(#20)</t>
  </si>
  <si>
    <t>2017-06-22</t>
  </si>
  <si>
    <t>修改模板库容量后数量归零.JPG</t>
  </si>
  <si>
    <t>564</t>
  </si>
  <si>
    <t>动态对比新建模板不选择出生日期给出提示必须选择，再选择出生日期时直接弹出保存成功</t>
  </si>
  <si>
    <t>[步骤]
1、动态比对页面，选择任一抓拍照片，双击弹出模板创建页面
2、输入姓名、性别、其他字段保留空，点击保存；弹出提示信息：出生日期必须输入
3、点击确定按钮后，点击出生日期选择框
[结果]
弹出保存成功，查看模板库已存在当前添加的人脸对象
[期望]
点击确定后，仍处于编辑状态，可进行出生日期的设置等</t>
  </si>
  <si>
    <t>admin</t>
  </si>
  <si>
    <t>动态比对新建模板.JPG</t>
  </si>
  <si>
    <t>565</t>
  </si>
  <si>
    <t>core抛异常</t>
  </si>
  <si>
    <t>请见附件</t>
  </si>
  <si>
    <t>facecore-log4j</t>
  </si>
  <si>
    <t>566</t>
  </si>
  <si>
    <t>通道管理：必填项为空时，有提示，关闭提示，仍能保存通道</t>
  </si>
  <si>
    <t>&lt;img src="data/upload/1/201706/15181534068qhg.png" alt="15181534068qhg.png" /&gt;</t>
  </si>
  <si>
    <t>569</t>
  </si>
  <si>
    <t>人脸比对——动态比对：动态比对页面，下边的抓拍图与右侧的告警提示的抓拍图，看起来不一样</t>
  </si>
  <si>
    <t>[步骤]
[结果]
动态比对页面
&lt;img alt="" src="data/upload/1/201706/16135739067964ma.png" /&gt;
抓拍记录页面
&lt;img alt="" src="data/upload/1/201706/161357510313ck5.png" /&gt;
[期望]</t>
  </si>
  <si>
    <t>纪鹏宇</t>
  </si>
  <si>
    <t>2017-06-28</t>
  </si>
  <si>
    <t>578</t>
  </si>
  <si>
    <t>历史检索——比对记录：TOP信息显示正确性（分数、姓名、创建时间）</t>
  </si>
  <si>
    <t xml:space="preserve">[步骤]
1. 查询时间输入当天14：30~14：40，点击查询，查看比对记录top3信息的正确性
[结果]
1. 返回的查询结果中，同一个人连续5秒的抓拍照片比对结果中，有一秒的比对记录TOP3信息不正确
&lt;img alt="" src="data/upload/1/201706/1915180205642dl1.png" /&gt;
[期望]
1.同一个人多个次抓拍照片比对结果的TOP3 应一致
</t>
  </si>
  <si>
    <t>莫斯棋,莫增文,</t>
  </si>
  <si>
    <t>历史检索——比对记录：比对记录列表信息显示正确性(370)</t>
  </si>
  <si>
    <t>580</t>
  </si>
  <si>
    <t>历史检索——比对记录：比对记录页面查询条件两两结合等，如时间和姓名</t>
  </si>
  <si>
    <t>designchange</t>
  </si>
  <si>
    <t xml:space="preserve">[前置条件]
已登录[步骤]
1. 点击历史检索下的比对记录按钮
2. 查询条件进行修改：时间段相同，数据库行数100--〉200，点击查询
[结果]
1. 相同时间段，修改数据库行数100变更为200再查询时，无查询结果，客户端查询出现异常
Log异常内容：
2017-06-19 15:12:07,323 【Error】：查询比对记录信息异常！【FcmpCaptureAlarm】--&amp;gt;【函数名】：QueryCmpLogWithImg
Newtonsoft.Json.JsonReaderException: Unexpected character encountered while parsing value: E. Path '', line 0, position 0.
   at Newtonsoft.Json.JsonTextReader.ParseValue() in C:\Users\MOSIQI\Desktop\Newtonsoft.Json-master\Newtonsoft.Json-master\Src\Newtonsoft.Json\JsonTextReader.cs:line 1753
   at Newtonsoft.Json.JsonTextReader.Read() in C:\Users\MOSIQI\Desktop\Newtonsoft.Json-master\Newtonsoft.Json-master\Src\Newtonsoft.Json\JsonTextReader.cs:line 402
   at Newtonsoft.Json.JsonReader.ReadAndMoveToContent() in C:\Users\MOSIQI\Desktop\Newtonsoft.Json-master\Newtonsoft.Json-master\Src\Newtonsoft.Json\JsonReader.cs:line 1157
   at Newtonsoft.Json.Serialization.JsonSerializerInternalReader.ReadForType(JsonReader reader, JsonContract contract, Boolean hasConverter) in C:\Users\MOSIQI\Desktop\Newtonsoft.Json-master\Newtonsoft.Json-master\Src\Newtonsoft.Json\Serialization\JsonSerializerInternalReader.cs:line 2240
   at Newtonsoft.Json.Serialization.JsonSerializerInternalReader.Deserialize(JsonReader reader, Type objectType, Boolean checkAdditionalContent) in C:\Users\MOSIQI\Desktop\Newtonsoft.Json-master\Newtonsoft.Json-master\Src\Newtonsoft.Json\Serialization\JsonSerializerInternalReader.cs:line 196
   at Newtonsoft.Json.JsonSerializer.DeserializeInternal(JsonReader reader, Type objectType) in C:\Users\MOSIQI\Desktop\Newtonsoft.Json-master\Newtonsoft.Json-master\Src\Newtonsoft.Json\JsonSerializer.cs:line 874
   at Newtonsoft.Json.JsonSerializer.Deserialize(JsonReader reader, Type objectType) in C:\Users\MOSIQI\Desktop\Newtonsoft.Json-master\Newtonsoft.Json-master\Src\Newtonsoft.Json\JsonSerializer.cs:line 853
   at SING.Data.Help.Json.JsonHelper.DeserializeJsonToObject[T](String json) in E:\C#代码\RLSB-CS\trunk\devel\code\Client\FaceSystem\FACE\SING.Data\Help\Json\JsonHelper.cs:line 37
   at SING.Data.DAL.FcmpCaptureAlarm.QueryCmpLogWithImg(String json) in E:\C#代码\RLSB-CS\trunk\devel\code\Client\FaceSystem\FACE\SING.Data\DAL\FcmpCaptureAlarm.cs:line 431
2017-06-19 15:12:08,584 【Info】：告警信息UUID为空,抓拍ID:8F060BF824EF464FA1B0EFF964CD7B41,目标人ID:ab55a8fe-e08d-47a6-a798-350f97a4b09c--&amp;gt;【ViewModel】--&amp;gt;【函数名】: AsynHandleAlertInfo
2017-06-19 15:12:09,035 【Info】：告警信息UUID为空,抓拍ID:8F060BF824EF464FA1B0EFF964CD7B41,目标人ID:dccbb508-d114-471f-9058-a7974d00e6e7--&amp;gt;【ViewModel】--&amp;gt;【函数名】: AsynHandleAlertInfo
2017-06-19 15:12:09,747 【Info】：告警信息UUID为空,抓拍ID:AC1D06975A2E4553A8C4BE1AF296ED24,目标人ID:dccbb508-d114-471f-9058-a7974d00e6e7--&amp;gt;【ViewModel】--&amp;gt;【函数名】: AsynHandleAlertInfo
2017-06-19 15:12:10,505 【Info】：告警信息UUID为空,抓拍ID:A505A19F270A45B8971961018F0F6465,目标人ID:dccbb508-d114-471f-9058-a7974d00e6e7--&amp;gt;【ViewModel】--&amp;gt;【函数名】: AsynHandleAlertInfo
2017-06-19 15:12:28,817 【Error】：查询比对记录信息异常！【FcmpCaptureAlarm】--&amp;gt;【函数名】：QueryCmpLogWithImg
System.OutOfMemoryException: Exception of type 'System.OutOfMemoryException' was thrown.
   at System.Text.StringBuilder.ToString()
   at System.IO.StringWriter.ToString()
   at Newtonsoft.Json.Linq.JToken.ToString(Formatting formatting, JsonConverter[] converters) in C:\Users\MOSIQI\Desktop\Newtonsoft.Json-master\Newtonsoft.Json-master\Src\Newtonsoft.Json\Linq\JToken.cs:line 443
   at Newtonsoft.Json.Linq.JToken.ToString() in C:\Users\MOSIQI\Desktop\Newtonsoft.Json-master\Newtonsoft.Json-master\Src\Newtonsoft.Json\Linq\JToken.cs:line 425
   at SING.Data.DAL.FcmpCaptureAlarm.QueryCmpLogWithImg(String json) in E:\C#代码\RLSB-CS\trunk\devel\code\Client\FaceSystem\FACE\SING.Data\DAL\FcmpCaptureAlarm.cs:line 436
[期望]
1. 正确跳转比对记录页面
2. 正确查询出修改的查询条件下的内容
</t>
  </si>
  <si>
    <t>历史检索——比对记录：比对记录页面查询条件两两结合等，如时间和姓名(93)</t>
  </si>
  <si>
    <t>581</t>
  </si>
  <si>
    <t>告警记录查询不到结果</t>
  </si>
  <si>
    <t xml:space="preserve">pc客户端报http链接异常
2017-06-19 16:12:24,270 【Info】：HTTP连接失败！【Alert】--&amp;gt;【函数名】: QueryAlerts
2017-06-19 16:12:25,407 【Info】：HTTP连接失败！【Alert】--&amp;gt;【函数名】: QueryAlerts
2017-06-19 16:13:42,806 【Info】：告警信息UUID为空,抓拍ID:C5C3DF1957074BD893F3C5F1509DFCB7,目标人ID:dccbb508-d114-471f-9058-a7974d00e6e7--&amp;gt;【ViewModel】--&amp;gt;【函数名】: AsynHandleAlertInfo
2017-06-19 16:13:42,807 【Info】：告警信息UUID为空,抓拍ID:C5C3DF1957074BD893F3C5F1509DFCB7,目标人ID:dccbb508-d114-471f-9058-a7974d00e6e7--&amp;gt;【ViewModel】--&amp;gt;【函数名】: AsynHandleAlertInfo
2017-06-19 16:13:42,814 【Info】：告警信息UUID为空,抓拍ID:C5C3DF1957074BD893F3C5F1509DFCB7,目标人ID:dccbb508-d114-471f-9058-a7974d00e6e7--&amp;gt;【ViewModel】--&amp;gt;【函数名】: AsynHandleAlertInfo
2017-06-19 16:13:42,815 【Info】：告警信息UUID为空,抓拍ID:C5C3DF1957074BD893F3C5F1509DFCB7,目标人ID:dccbb508-d114-471f-9058-a7974d00e6e7--&amp;gt;【ViewModel】--&amp;gt;【函数名】: AsynHandleAlertInfo
2017-06-19 16:13:42,822 【Info】：告警信息UUID为空,抓拍ID:C5C3DF1957074BD893F3C5F1509DFCB7,目标人ID:dccbb508-d114-471f-9058-a7974d00e6e7--&amp;gt;【ViewModel】--&amp;gt;【函数名】: AsynHandleAlertInfo
2017-06-19 16:13:42,823 【Info】：告警信息UUID为空,抓拍ID:C5C3DF1957074BD893F3C5F1509DFCB7,目标人ID:dccbb508-d114-471f-9058-a7974d00e6e7--&amp;gt;【ViewModel】--&amp;gt;【函数名】: AsynHandleAlertInfo
2017-06-19 16:13:43,416 【Info】：告警信息UUID为空,抓拍ID:39D38E7DDA6344959C252B56A25B0748,目标人ID:dccbb508-d114-471f-9058-a7974d00e6e7--&amp;gt;【ViewModel】--&amp;gt;【函数名】: AsynHandleAlertInfo
2017-06-19 16:13:43,417 【Info】：告警信息UUID为空,抓拍ID:39D38E7DDA6344959C252B56A25B0748,目标人ID:dccbb508-d114-471f-9058-a7974d00e6e7--&amp;gt;【ViewModel】--&amp;gt;【函数名】: AsynHandleAlertInfo
2017-06-19 16:13:43,418 【Info】：告警信息UUID为空,抓拍ID:39D38E7DDA6344959C252B56A25B0748,目标人ID:dccbb508-d114-471f-9058-a7974d00e6e7--&amp;gt;【ViewModel】--&amp;gt;【函数名】: AsynHandleAlertInfo
2017-06-19 16:13:43,419 【Info】：告警信息UUID为空,抓拍ID:39D38E7DDA6344959C252B56A25B0748,目标人ID:dccbb508-d114-471f-9058-a7974d00e6e7--&amp;gt;【ViewModel】--&amp;gt;【函数名】: AsynHandleAlertInfo
2017-06-19 16:13:47,549 【Info】：告警信息UUID为空,抓拍ID:FFDEBC86B35740B287CD5C188A347BC9,目标人ID:dccbb508-d114-471f-9058-a7974d00e6e7--&amp;gt;【ViewModel】--&amp;gt;【函数名】: AsynHandleAlertInfo
2017-06-19 16:13:47,550 【Info】：告警信息UUID为空,抓拍ID:FFDEBC86B35740B287CD5C188A347BC9,目标人ID:dccbb508-d114-471f-9058-a7974d00e6e7--&amp;gt;【ViewModel】--&amp;gt;【函数名】: AsynHandleAlertInfo
2017-06-19 16:13:47,550 【Info】：告警信息UUID为空,抓拍ID:FFDEBC86B35740B287CD5C188A347BC9,目标人ID:dccbb508-d114-471f-9058-a7974d00e6e7--&amp;gt;【ViewModel】--&amp;gt;【函数名】: AsynHandleAlertInfo
core日志报：
  2017-06-1916:14:31 [pool-2-thread-1] DEBUG com.sxt.multithread.ThreadTask(line-494) 2883501  - 数据中心查询人脸对象异常。error:-1;message:sql: no rows in result set
</t>
  </si>
  <si>
    <t>data-center</t>
  </si>
  <si>
    <t>582</t>
  </si>
  <si>
    <t>抓拍记录(#47)</t>
  </si>
  <si>
    <t>同一抓拍在抓拍记录中显示的抓拍时间与告警消息中的抓拍时间不一致</t>
  </si>
  <si>
    <t>[步骤]
1、查看告警输出消息中某个抓拍时间的告警
2、查看抓拍记录中相同时间段内的抓拍信息
[结果]
相同抓拍时间内告警信息中抓拍信息与抓拍记录中的抓拍信息不一致
&lt;img src="data/upload/1/201706/1917215201973msl.png" alt="" /&gt;
[期望]
相同抓拍时间内告警信息中抓拍信息与抓拍记录中的抓拍信息一致</t>
  </si>
  <si>
    <t>刘宏亮,苏晓伟,</t>
  </si>
  <si>
    <t>583</t>
  </si>
  <si>
    <t>报警记录：报警输出中有报警，报警记录查不到</t>
  </si>
  <si>
    <t xml:space="preserve">&lt;img src="data/upload/1/201706/1919333302151mt1.png" alt="1919333302151mt1.png" /&gt;
&lt;img src="data/upload/1/201706/1919334701321nrp.png" alt="1919334701321nrp.png" /&gt;
&lt;img src="data/upload/1/201706/19193403044401oa.png" alt="19193403044401oa.png" /&gt;
</t>
  </si>
  <si>
    <t>584</t>
  </si>
  <si>
    <t>动态比对中通道模糊查询无效</t>
  </si>
  <si>
    <t xml:space="preserve">[步骤]
打开动态比对页面,在左侧通道查询输入框输入8,执行查询
[结果]
通道树形结构无反应，实际应该能展开两个区域通道：88、89
&lt;img src="data/upload/1/201706/201357020430227c.png" alt="" /&gt;
[期望]
能展开含"8" 所有通道，并将定为在第一个通道名称含“8”的通道上
</t>
  </si>
  <si>
    <t>585</t>
  </si>
  <si>
    <t>动态比对告警信息拖拉问题</t>
  </si>
  <si>
    <t>[步骤]
拖拉动态比对-告警信息框
[结果]
&lt;img src="data/upload/1/201706/2014361402922s6d.png" alt="" /&gt;&lt;img src="data/upload/1/201706/2014374503837s6d.png" alt="" /&gt;
[期望]
拖拉不影响照片显示效果，详细信息框拖拉后能够将信息显示完整</t>
  </si>
  <si>
    <t>586</t>
  </si>
  <si>
    <t>动态比对-告警提示栏-最新的告警提示信息是从下往上推，不符合行为习惯</t>
  </si>
  <si>
    <t>[步骤]
动态比对左侧的告警提示显示栏，查看最新的告警消息
[结果]
告警最新消息是从下往上推送，最新一条记录总是从最低端往上冒
&lt;img src="data/upload/1/201706/20145424083182n3.png" alt="" /&gt;
[期望]
最新的告警消息始终是置顶，从上往下推送</t>
  </si>
  <si>
    <t>587</t>
  </si>
  <si>
    <t>动态比对-抓拍预览关闭再打开无效后，重启抓拍服务不开启抓拍预览，但有抓拍数据</t>
  </si>
  <si>
    <t>[步骤]
1、动态比对-选择牡丹园下的88爱迪生通道，右键停止抓拍预览，抓拍数据停止
2、关闭动态比对页面，再重新打开动态比对页面，再次开启88爱迪生通道的抓拍预览，结果无抓拍数据；反复多次无效
3、重启抓拍服务，关闭动态比对页面再打开
[结果]
未进行抓拍预览，但有大量抓拍数据
&lt;img src="data/upload/1/201706/20154912053227c.png" alt="" /&gt;抓拍数据持续10多分钟后停止
&lt;img src="data/upload/1/201706/2015495603539fjs.png" alt="" /&gt;
[期望]
1、抓拍预览停止后，可正常开启
2、当停止抓拍预览，且重启抓拍服务后，再打开动态比对页面，通道应保持重启前的状态</t>
  </si>
  <si>
    <t>588</t>
  </si>
  <si>
    <t>比对记录：查询的分页重做，要显示总记录数，总页数，起始时间有默认值：今天、昨天、本周；有最大时间限制(428)</t>
  </si>
  <si>
    <t>比对记录查询-相同查询条件多次查询结果不一致</t>
  </si>
  <si>
    <t>见BUG</t>
  </si>
  <si>
    <t>[步骤]
比对记录页面，按姓名模糊查询，姓名输入L ，时间当天的默认时间值，点击查询
同样比对条件执行多次查询
[结果]
多次查询结果不一致，有时查询无结果；
输入L 查询结果&lt;img src="data/upload/1/201706/2114063901538sql.png" alt="" /&gt;输入LY查询结果
&lt;img src="data/upload/1/201706/2114083108447ssq.png" alt="" /&gt;查看图片CLY模板照片大小5.77兆
[期望]
能够查询到指定时间段内姓名含L的比对记录</t>
  </si>
  <si>
    <t>客户端日志0621</t>
  </si>
  <si>
    <t>589</t>
  </si>
  <si>
    <t>同时打开4个视频预览窗口，持续一段时间有3个视频预览窗口黑屏</t>
  </si>
  <si>
    <t>[步骤]
1、分别打开4个通道的视频预览，查看多通道视频预览状态
[结果]
其中一个视频预览画面一直静止不动，其他三个正常；
&lt;img alt="" src="data/upload/1/201706/2110511803432iss.png" /&gt;持续运行一段时间，有三个视频预览黑屏
[期望]
四个通道的视频预览窗口正常</t>
  </si>
  <si>
    <t>2017-07-24</t>
  </si>
  <si>
    <t>590</t>
  </si>
  <si>
    <t>同时开始三个抓拍预览，告警记录信息中告警记录数与告警输出窗口、动态对比报警信息显示记录数不一致</t>
  </si>
  <si>
    <t>[步骤]
1、同时开启三个通道的抓拍预览，查看动态比对页面的告警信息显示、告警输出窗口以及告警记录显示信息的一致性
[结果]
1、只有一个通道有抓拍、其他两个通道没有抓拍数据
2、一个通道抓拍下，三者显示的告警信息不一致一致：
告警记录查询结果：7条告警记录&lt;img src="data/upload/1/201706/211124010245079m.png" alt="" /&gt;
告警输出：14条告警输出
&lt;img src="data/upload/1/201706/2111263101275m9h.png" alt="" /&gt;问题可能情况：
三个通道的同一个抓拍处理均以一个通道记录
[期望]
三者显示的告警信息记录保持一致</t>
  </si>
  <si>
    <t>郝文峰,刘宏亮,莫增文,</t>
  </si>
  <si>
    <t>591</t>
  </si>
  <si>
    <t>通道管理-进入视频预览列表通道状态显示红色为连接不上但是下边的视频预览正常显示</t>
  </si>
  <si>
    <t>[步骤]进入视频预览列表通道状态显示红色为连接不上但是下边的视频预览正常显示
[结果]&lt;img src="data/upload/1/201706/21140046057285ia.png" alt="" /&gt;
[期望]通道状态应该为绿色连接状态</t>
  </si>
  <si>
    <t>592</t>
  </si>
  <si>
    <t>比对记录-按证件号模糊查询无效</t>
  </si>
  <si>
    <t>[步骤]
比对记录-区域、通道号、证件号输入132（模板中有对应的目标对象），查询时间今天，进行查询
[结果]
显示所有比对记录
&lt;img src="data/upload/1/201706/2114154902452mj9.png" alt="" /&gt;
[期望]
只返回该通道内身份证号含查询内容的比对记录</t>
  </si>
  <si>
    <t>593</t>
  </si>
  <si>
    <t>比对记录不显示证件号</t>
  </si>
  <si>
    <t>[步骤]
比对记录查询，查看TOP信息显示完整性
[结果]
比对记录查询结果中top信息证件号不显示
&lt;img src="data/upload/1/201706/21141908066059s7.png" alt="" /&gt;
[期望]
比对记录查询结果中top信息显示完整</t>
  </si>
  <si>
    <t>594</t>
  </si>
  <si>
    <t>通道管理-修改通道不填写视频参数然后点击别的通道后再点击该通道显示修改成功</t>
  </si>
  <si>
    <t>[步骤]修改通道不填写视频参数然后点击别的通道后再点击该通道显示修改成功&lt;img src="data/upload/1/201706/2114384707620h4r.png" alt="" /&gt;
[结果]
[期望]不允许ip为空  不允许修改</t>
  </si>
  <si>
    <t>2017-07-07</t>
  </si>
  <si>
    <t>595</t>
  </si>
  <si>
    <t>动态比对：双击抓拍照片打开的模板添加窗口的模板库信息与模板管理中的模板库信息不一致</t>
  </si>
  <si>
    <t>[步骤]
1、双击抓拍照片进行模板添加，弹出目标对象添加窗口
2、查看弹出窗口显示的模板库信息与模板管理中信息同步
[结果]
弹出的添加窗口的模板库信息与模板管理中的信息不一致
&lt;img src="data/upload/1/201706/2114531207258j9s.png" alt="" /&gt;
[期望]
弹出的添加窗口的模板库信息与模板管理中的信息同步</t>
  </si>
  <si>
    <t>596</t>
  </si>
  <si>
    <t>模板管理新增英文名称的照片模板查询时不展示</t>
  </si>
  <si>
    <t>[步骤]模板管理新增英文名称的照片模板查询时不展示
[结果]&lt;img src="data/upload/1/201706/21145549089089hm.png" alt="" /&gt;
&lt;img src="data/upload/1/201706/2114561209711hop.png" alt="" /&gt;
[期望]支持英文名字查询</t>
  </si>
  <si>
    <t>597</t>
  </si>
  <si>
    <t>资源管理- 模板管理：动态比对添加模板后，模板管理中的模板库数量不同步增加</t>
  </si>
  <si>
    <t>[步骤]
1、动态比对-抓拍照片双击添加模板，并保存
2、查看模板管理中对应模板库的信息是不增加
[结果]
添加的抓拍照片已经保存至模板库，但模板库数量不同步更新
&lt;img src="data/upload/1/201706/2114585508657j9s.png" alt="" /&gt;
[期望]
模板库的信息同步更新，包括模板数量、目标人脸对象信息</t>
  </si>
  <si>
    <t>598</t>
  </si>
  <si>
    <t>抓拍记录：抓拍记录信息中通道位置不显示</t>
  </si>
  <si>
    <t>[步骤]
1、抓拍记录查询，查看抓拍记录信息显示完整性
[结果]
抓拍记录不显示通道位置，实际通道有通道位置
&lt;img src="data/upload/1/201706/211514040304j9s.png" alt="" /&gt;
[期望]
抓拍记录信息显示完整</t>
  </si>
  <si>
    <t>599</t>
  </si>
  <si>
    <t>模板管理-身份证位数不足18位添加模板成功，建议位数不足不允许添加</t>
  </si>
  <si>
    <t>[步骤]身份证位数不足18位添加模板成功，建议位数不足不允许添加
[结果]&lt;img src="data/upload/1/201706/211517500298ho.png" alt="" /&gt;
[期望]只允许18位 身份证添加</t>
  </si>
  <si>
    <t>600</t>
  </si>
  <si>
    <t>模板管理-新建模板没选主照片添加成功，应该不允许添加</t>
  </si>
  <si>
    <t>[步骤]新建模板没选主照片添加成功
[结果]&lt;img src="data/upload/1/201706/21154407051008ho.png" alt="" /&gt;
[期望]应该不允许添加</t>
  </si>
  <si>
    <t>601</t>
  </si>
  <si>
    <t>抓拍记录通道位置信息没展示出来</t>
  </si>
  <si>
    <t>[步骤]抓拍记录通道位置信息没展示出来
[结果]&lt;img src="data/upload/1/201706/2116180004487pdq.png" alt="" /&gt;
[期望]显示通道位置信息</t>
  </si>
  <si>
    <t>602</t>
  </si>
  <si>
    <t>抓拍记录查询结果没有总页数</t>
  </si>
  <si>
    <t>[步骤]抓拍记录查询结果没有总页数
[结果]&lt;img src="data/upload/1/201706/2116384404997opd.png" alt="" /&gt;
[期望]查询记录有总页数</t>
  </si>
  <si>
    <t>603</t>
  </si>
  <si>
    <t>报警管理: 告警输出和报警输出显示的消息中证件号码不完整</t>
  </si>
  <si>
    <t>建议</t>
  </si>
  <si>
    <t>[步骤]
查看报警输出和告警输出窗口中显示的记录信息完整性
[结果]
&lt;img src="data/upload/1/201706/2117333504212kup.png" alt="" /&gt;
[期望]
信息显示不完整时可以有鼠标触发完整显示</t>
  </si>
  <si>
    <t>604</t>
  </si>
  <si>
    <t>报警管理: 双击告警输出信息窗口中的某一条告警消息,弹出的告警信息列表窗口始终处于首位高亮窗口 ,激活其他任何窗口都在此页面之后</t>
  </si>
  <si>
    <t>[步骤]
1、双击告警输出信息窗口中的某一条告警消息,弹出的告警信息列表窗口
2、切换其他应用窗口
[结果]
的告警信息列表窗口始终处于首位高亮窗口 ,激活其他任何应用红窗口都在此页面之后
&lt;img src="data/upload/1/201706/211740570284pol.png" alt="" /&gt;
[期望]
可以激活其他应用窗口且能处于首位高亮状态</t>
  </si>
  <si>
    <t>605</t>
  </si>
  <si>
    <t>报警管理：告警记录和报警记录信息中采集时间显示不完整</t>
  </si>
  <si>
    <t>[步骤]
1、查询告警记录
2、查看报警记录
[结果]
告警记录和报警记录中采集时间信息显示不完整
&lt;img src="data/upload/1/201706/2117440006279cmk.png" alt="" /&gt;
[期望]
信息显示完整</t>
  </si>
  <si>
    <t>606</t>
  </si>
  <si>
    <t>报警管理：告警列表窗口显示信息不完整</t>
  </si>
  <si>
    <t>[步骤]
1、双击告警窗口中选择任一告警消息记录，双击弹出告警列表窗口
2、查看告警列表窗口中显示信息的正确性、完整性
[结果]
1、性别：不显示
2、编号应为证件号
3、抓拍照片的通道地址无显示
4、告警时间：空
&lt;img src="data/upload/1/201706/21175142023802g3.png" alt="" /&gt;
[期望]
信息显示完整、准确</t>
  </si>
  <si>
    <t>607</t>
  </si>
  <si>
    <t>告警提示: 系统连续运行48小时，中途修改质量系数后告警提示出现相似度低于60%的告警</t>
  </si>
  <si>
    <t>[步骤]
1、系统连续运行30多小时后，修改通道的质量系数：1〉0.5 
2、继续运行，查看告警提示是否正确
[结果]
系统连续运行48小时后告警提示出现相似度低于60%的告警 :10%\30%
&lt;img src="data/upload/1/201706/22093240086444np.png" alt="" /&gt;
[期望]
质量系数变更后能正常生效</t>
  </si>
  <si>
    <t>2017-07-17</t>
  </si>
  <si>
    <t>609</t>
  </si>
  <si>
    <t>模板管理：模板库名字过长时，不换行；新建、编辑和保存按钮被隐藏</t>
  </si>
  <si>
    <t>[步骤]
模板库管理：新建模板库，库名称输入：104个汉字，容量输入550 ，备注内容同样104个汉字，点击保存
[结果]
1、保存成功，但容量仍是默认值
2、模板库编辑窗体显示的模板名称不换行，导致新建、编辑等按钮被隐藏
&lt;img src="data/upload/1/201706/2214503402900tsj.png" alt="" /&gt;
[期望]
模板库名称应该有长度限制，过长时应换行显示</t>
  </si>
  <si>
    <t>610</t>
  </si>
  <si>
    <t>资源管理-模板管理：添加目标对象问题</t>
  </si>
  <si>
    <t>[步骤]
1、资源管理-模板管理：新建目标对象
2、目标对象输入信息：全部输入（见截图）
[结果]
1、创建时间不自动生成
&lt;img src="data/upload/1/201706/221652430667107k.png" alt="" /&gt;
[期望]
目标对象创建时间可以自动生成</t>
  </si>
  <si>
    <t>611</t>
  </si>
  <si>
    <t>资源管理-模板管理： 创建模板库或者目标对象时，所有文本输入框在输入英文字母时，始终是大写</t>
  </si>
  <si>
    <t>[步骤]
资源管理-模板管理： 创建模板库或者目标对象时，所有文本输入框分别输入英文大、小写字母
[结果]
创建模板库或者目标对象时，所有文本输入框在输入英文字母时，无论输入大小写始终是大写
&lt;img src="data/upload/1/201706/2216565201413su4.png" alt="" /&gt;
[期望]
可以区分字母大小写</t>
  </si>
  <si>
    <t>612</t>
  </si>
  <si>
    <t>资源管理-模板管理：目标对象的出生日期建议只显示到年月日；年月日输入时无法双击直接获取提示日期</t>
  </si>
  <si>
    <t>[步骤]
资源管理-模板管理：添加目标对象，选择出生年月日
[结果]
1、出生日期需要选择有小时
2、双击提示的日期，无法直接获取
&lt;img src="data/upload/1/201706/2217222404223m07.png" alt="" /&gt;
[期望]
建议只显示到年月日
建议可以双击提示的日期直接获取输入</t>
  </si>
  <si>
    <t>613</t>
  </si>
  <si>
    <t>资源管理-模板管理：添加目标对象数量达到模板库容量上限后，重新修改模板库容量值，再次添加目标对象，保存失败</t>
  </si>
  <si>
    <t>[步骤]
1、资源管理-模板管理：添加目标对象数量达到模板库容量上限（10）后，重新修改模板库容量值-增加容量（15）
2、再次新建目标对象，保存时提示失败
3、点击确定按钮后，模板库数量为零，容量更新为修改值15
4、关闭模板管理页面再次打开，数量更新为11
5、查看数据库中模板库信息
[结果]
1、客户端提示保存失败，但数据库中模板数量增加
&lt;img src="data/upload/1/201706/2218001101693ets.png" alt="" /&gt;
&lt;img src="data/upload/1/201706/221758540459425j.png" alt="" /&gt;
&lt;img src="data/upload/1/201706/2218032808669jq0.png" alt="" /&gt;
[期望]</t>
  </si>
  <si>
    <t>614</t>
  </si>
  <si>
    <t>历史记录(#36)</t>
  </si>
  <si>
    <t>报警管理-报警记录-告警记录查询条件不展示通道</t>
  </si>
  <si>
    <t>[步骤]&lt;img src="data/upload/1/201706/22180602045195jn.png" alt="" /&gt;
[结果]
[期望]展示通道</t>
  </si>
  <si>
    <t>615</t>
  </si>
  <si>
    <t>报警管理-报警记录-报警记录查询条件不展示通道</t>
  </si>
  <si>
    <t>[步骤]&lt;img src="data/upload/1/201706/221807400120321q.png" alt="" /&gt;
[结果]
[期望]展示通道</t>
  </si>
  <si>
    <t>616</t>
  </si>
  <si>
    <t>报警管理-智能报警-报警输出不显示已经推送的告警信息</t>
  </si>
  <si>
    <t>[步骤]推送告警信息
&lt;img src="data/upload/1/201706/2218105107536o15.png" alt="" /&gt;
去报警输出查看推送的信息
&lt;img src="data/upload/1/201706/22181138072333ll.png" alt="" /&gt;
[结果]没查到报警信息
[期望]查到推送的报警信息</t>
  </si>
  <si>
    <t>617</t>
  </si>
  <si>
    <t>历史检索-抓拍记录查询</t>
  </si>
  <si>
    <t>[步骤]抓拍记录查询&lt;img src="data/upload/1/201706/2218275008787g3l.png" alt="" /&gt;
[结果]没显示通道位置
[期望]显示通道位置</t>
  </si>
  <si>
    <t>重复Bug</t>
  </si>
  <si>
    <t>抓拍记录：抓拍记录信息中通道位置不显示(598)</t>
  </si>
  <si>
    <t>618</t>
  </si>
  <si>
    <t>资源管理-模板管理: 目标对象中移出一个模板,保存成功后目标对象记录信息不实时更新</t>
  </si>
  <si>
    <t>[步骤]
1、 选择一条目标对象记录,进行编辑
2、选择最后一张模板右键移出，点击保存成功
[结果]
编辑窗口的模板已经移出，且模板库数量已减1，但目标对象记录中显示的模板没有更新，必须关闭模板管理窗体再次打开
&lt;img src="data/upload/1/201706/2309521509835r8a.png" alt="" /&gt;
[期望]
相关信息要保持同步</t>
  </si>
  <si>
    <t>619</t>
  </si>
  <si>
    <t>动态比对：运行一段时间动态比对页面中同一个通道出现两条记录</t>
  </si>
  <si>
    <t>[步骤]
1、通道管理增加两条通道
2、动态比对页面打开其中的一个通道、抓拍预览、视频预览
3、持续运行
[结果]
运行12小时后发现动态比对页面的通道出现一条重复记录，关闭动态比对页面再打开恢复正常&lt;img alt="" src="data/upload/1/201706/231037500210083e.png" /&gt;
[期望]
动态比对页面中通道数与通道管理中的通道数相同</t>
  </si>
  <si>
    <t>RLSB-CS-V0.6-201707-PC(#31)
RLSB-CS-0.5-20170621(#20)</t>
  </si>
  <si>
    <t>2017-07-19</t>
  </si>
  <si>
    <t>620</t>
  </si>
  <si>
    <t>模板管理-新建模板只要是从本地文件选择的图片新建成功后没有展示创建时间</t>
  </si>
  <si>
    <t>[步骤]模板管理-新建模板只要是从本地文件选择的图片新建成功后没有展示创建时间&lt;img src="data/upload/1/201706/2312015505601qdc.png" alt="" /&gt;
[结果]
[期望]显示创建时间</t>
  </si>
  <si>
    <t>621</t>
  </si>
  <si>
    <t>报警管理-智能报警-告警输出页面模板证件信息显示不全</t>
  </si>
  <si>
    <t>[步骤]报警管理-智能报警-告警输出页面模板证件信息显示不全
[结果]&lt;img src="data/upload/1/201706/23132816067533ud.png" alt="" /&gt;
[期望]显示完成证件信息</t>
  </si>
  <si>
    <t>622</t>
  </si>
  <si>
    <t>报警管理-报警记录-告警记录页面身份证号显示不全</t>
  </si>
  <si>
    <t>[步骤]告警记录查询
[结果]&lt;img src="data/upload/1/201706/2314060803262qdc.png" alt="" /&gt;
[期望]显示完整的身份证号码</t>
  </si>
  <si>
    <t>623</t>
  </si>
  <si>
    <t>报警管理-报警记录-报警记录查询页面不显示推送人相关信息</t>
  </si>
  <si>
    <t>[步骤]报警记录查询
[结果]&lt;img src="data/upload/1/201706/231409500528021q.png" alt="" /&gt;
[期望]显示推送人相关信息</t>
  </si>
  <si>
    <t>624</t>
  </si>
  <si>
    <t>报警管理-报警记录-报警记录查询不添加区域和通道查询不到信息</t>
  </si>
  <si>
    <t>[步骤]
[结果]&lt;img src="data/upload/1/201706/2314422709655lr3.png" alt="" /&gt;
[期望]默认查询出该时间段的信息</t>
  </si>
  <si>
    <t>625</t>
  </si>
  <si>
    <t>动态比对：告警信息命中次数统计有问题</t>
  </si>
  <si>
    <t>[步骤]
1、打开动态比对，启动抓拍
2、动态比对：告警信息命中次数统计
[结果]
&lt;img src="data/upload/1/201706/23142057063563f1.png" alt="" /&gt;第二个抓拍记录命中此目标对象
&lt;img src="data/upload/1/201706/2314224205612f83.png" alt="" /&gt;
[期望]</t>
  </si>
  <si>
    <t>626</t>
  </si>
  <si>
    <t>报警管理：告警输出窗口中选择一条告警信息确认并推送，报警输出窗口中出现多条记录</t>
  </si>
  <si>
    <t>[步骤]
1、报警管理：告警输出窗口中选择一条告警信息确认并推送
2、查看报警输出窗口收到的报警信息
[结果]
报警输出窗口中出现多条记录
&lt;img src="data/upload/1/201706/23145203096983en.png" alt="" /&gt;
[期望]
只有一条</t>
  </si>
  <si>
    <t>627</t>
  </si>
  <si>
    <t>动态比对：告警消息-双击告警信息，弹出告警列表窗口，点击推送无效</t>
  </si>
  <si>
    <t>[步骤]
1、动态比对：告警消息-双击告警信息，弹出告警列表窗口
2、点击窗口中的推送按钮
[结果]
推送无效
&lt;img src="data/upload/1/201706/2314540606435v3f.png" alt="" /&gt;
[期望]
可推送到报警输出窗口</t>
  </si>
  <si>
    <t>628</t>
  </si>
  <si>
    <t>告警管理：告警记录、报警记录信息中抓拍通道地址、身份证号显示不完整</t>
  </si>
  <si>
    <t>[步骤]
1、查看告警记录
2、查看报警记录
[结果]
告警记录中抓拍信息中的区域通道显示不完整、目标人信息证件号显示不完整
报警记录中抓拍信息中的区域通道显示不完整、目标人信息证件号显示不完整
&lt;img src="data/upload/1/201706/2315373007499nst.png" alt="" /&gt;
[期望]
信息显示不完整时换行或有鼠标事件能够看到完整信息
特别强调：请查看类似页面问题，一并修改完毕</t>
  </si>
  <si>
    <t>629</t>
  </si>
  <si>
    <t>通道管理：修改通道70的参数保存后，动态比对页面通道70丢失</t>
  </si>
  <si>
    <t>[步骤]
1、通道管理中双击通道70修改人脸对象参数，保存
2、查看动态比对通道
[结果]
动态比对页面大钟寺区域下的通道丢失，关闭动态比对再打开恢复&lt;img src="data/upload/1/201706/23160739081803en.png" alt="" /&gt;
[期望]
动态比对和通道管理保持一致</t>
  </si>
  <si>
    <t>630</t>
  </si>
  <si>
    <t>通道管理：新增区域和通道后，对应的抓拍记录、比对记录、告警记录、报警记录窗口中区域下拉列表框中的的记录不同步更新，必须关闭窗体再打开</t>
  </si>
  <si>
    <t>[步骤]
1、通道管理：新增区域和通道，保存成功
2、查看对应的抓拍记录、比对记录、告警记录、报警记录窗口中区域下拉列表和通道下拉列表，是否同步更新
[结果]
不同步更新
&lt;img src="data/upload/1/201706/2316354309729jr8.png" alt="" /&gt;
[期望]
对应的区域和通道信息都同步更新</t>
  </si>
  <si>
    <t>631</t>
  </si>
  <si>
    <t>动态比对：打开两个通道的抓拍预览后，动态比对的抓拍预览数量出现增多</t>
  </si>
  <si>
    <t>[步骤]
1、开启两个客户端，一个只订阅一个通道的抓拍的，另一个订阅两个通道的抓拍
2、查看两个客户端同一通道的抓拍预览是否一致
[结果]
同一个通道的抓拍预览在两个客户端不一致：两个通道的客户端数据比一个通道的客户端数据增倍
&lt;img src="data/upload/1/201706/2317302302510qcn.png" alt="" /&gt;
[期望]
抓拍数据一致</t>
  </si>
  <si>
    <t>2017-06-30</t>
  </si>
  <si>
    <t>632</t>
  </si>
  <si>
    <t>动态比对-告警提示-动态比对右边窗口告警提示比对出的照片模板有的不显示抓拍次数</t>
  </si>
  <si>
    <t>设计缺陷</t>
  </si>
  <si>
    <t>[步骤]人脸比对-动态比对右边窗口告警提示比对出的照片模板不显示抓拍次数
[结果]&lt;img src="data/upload/1/201706/2317354901560no7.png" alt="" /&gt;
[期望]显示次数</t>
  </si>
  <si>
    <t>刘宏亮,莫斯棋,</t>
  </si>
  <si>
    <t>633</t>
  </si>
  <si>
    <t>动态比对：视频预览窗口异常</t>
  </si>
  <si>
    <t>[步骤]
视频预览窗口出现异常
[结果]
&lt;img alt="" src="data/upload/1/201706/2317583302057ljr.png" /&gt;
[期望]
持续正常预览</t>
  </si>
  <si>
    <t>高振东,莫增文,</t>
  </si>
  <si>
    <t>634</t>
  </si>
  <si>
    <t>抓拍比对：区域、通道查询提交设置后，不能重置进行全区域或全通道查询</t>
  </si>
  <si>
    <t>[步骤]
1、抓拍比对页面选择按区域查询或通道查询后，查询条件可以重置
[结果]
区域、通道查询提交设置后，不能重置进行全区域或全通道查询
[期望]
能够快速重置，清空查询条件；比对记录查询可以，且上个版本抓拍记录也可以</t>
  </si>
  <si>
    <t>635</t>
  </si>
  <si>
    <t>历史检索-比对记录右键添加至此模板长时间没反应最后添加失败</t>
  </si>
  <si>
    <t>[步骤]历史检索-比对记录右键添加至此模板长时间没反应最后添加失败
[结果]&lt;img alt="" src="data/upload/1/201706/2318194309007no7.png" /&gt;
[期望]快速成功添加至此模板</t>
  </si>
  <si>
    <t>636</t>
  </si>
  <si>
    <t>连续运行3*24小时后,动态比对-通道右键选项不完整</t>
  </si>
  <si>
    <t xml:space="preserve">前提条件 连续运行3*24小时
[步骤]
1、查看动态比对是否正常
2、进行抓拍比对查询
3、进行比对记录查询
[结果]
动态比对-通道右键选项不完整&lt;img src="data/upload/1/201706/2611093406386d29.png" alt="" /&gt;
[期望]
动态比对正常 </t>
  </si>
  <si>
    <t>637</t>
  </si>
  <si>
    <t>比对记录：比对记录查询结果点击下一页时查询结果不翻页，而且始终在同一页查询记录累加显示</t>
  </si>
  <si>
    <t>[步骤]
比对记录查询结果，点击下一页
[结果]
比对记录查询结果点击下一页时查询结果不翻页，而且始终在同一页查询记录累加显示
&lt;img alt="" src="data/upload/1/201706/2615541303390imd.png" /&gt;
[期望]
期望翻页显示，并且记录序号连续</t>
  </si>
  <si>
    <t>638</t>
  </si>
  <si>
    <t>程序连续运行3*24小时后，视频预览窗口出现连接超时，视频预览无法正常预览</t>
  </si>
  <si>
    <t>[步骤]
1、查看动态识别窗口动态预览
[结果]
程序连续运行3*24小时后，视频预览窗口出现连接异常；关闭动态比对页面再次打开，选择原通道右键“视频预览 ”，提示连接过程中出现异常，超时
&lt;img alt="" src="data/upload/1/201706/2611250602512d29.png" /&gt;
[期望]
能正常打开视频预览</t>
  </si>
  <si>
    <t>639</t>
  </si>
  <si>
    <t>告警记录：通过时间段进行告警记录查询无结果</t>
  </si>
  <si>
    <t>[步骤]
1、告警记录：输入查询时间段：2017/06/25 11：24 ~2017/06/26 11：24,其他参数保留默认值：空，点击查询
[结果]
无查询记录；
保留查询时间段不便，选择查询区域和通道，再次查询，有查询结果
&lt;img src="data/upload/1/201706/2611342507736fim.png" alt="" /&gt;
特别提醒：关注报警记录类似问题
[期望]
可查询满足该时间段内所有告警记录</t>
  </si>
  <si>
    <t>640</t>
  </si>
  <si>
    <t>人脸比对——抓拍比对：视频预览随机测试2</t>
  </si>
  <si>
    <t xml:space="preserve">[前置条件]
没有打开视频预览的通道[步骤]
1. 选中某个通道，右键“视频预览”
2. 再次选中某个通道，右键“视频预览”
3. 点击 “窗口布局”，选择数值4
4. 将打开视频预览的两通道关闭视频预览
5. 选中关闭的通道，右键视频预览
[结果]
1. 关闭所有通道预览，再打开一个通道预览时仍是分四屏显示
[期望]
1. 打开 通道的视频预览
2. 两个视频分左右两屏显示
3. 视频预览多屏显示，原先打开的视频分别在第一位置和第二位置显示
4. 视频预览多屏显示但没有打开的视频预览
5. 视频预览变成一屏显示
</t>
  </si>
  <si>
    <t>人脸比对——抓拍比对：视频预览随机测试2(546)</t>
  </si>
  <si>
    <t>641</t>
  </si>
  <si>
    <t>资源管理—通道管理：通道状态显示不正确</t>
  </si>
  <si>
    <t xml:space="preserve">[步骤]
1. 点击资源管理下的通道管理页面
2. 查看通道状态与动态比对页面通道状态一致
[结果]
1. 通道状态显示不正确
&lt;img src="data/upload/1/201706/2611482105704mot.png" alt="" /&gt;
[期望]
1. 正确跳转通道管理页面
2. 通道状态与动态比对页面通道状态一致
</t>
  </si>
  <si>
    <t>资源管理—通道管理—修改通道：ping的是视频平台的所在的ip，(544)</t>
  </si>
  <si>
    <t>642</t>
  </si>
  <si>
    <t>告警提示：修改通道质量系数1~0.5~0.3后，动态比对页面策略二的告警输出信息无计数信息</t>
  </si>
  <si>
    <t xml:space="preserve">[步骤]
1、通道管理：修改指定通道的质量系数：由1~0.5（运行1小时）-0.3
2、查看动态比对-告警信息列表是否正确
[结果]
动态比对页面策略二的告警输出信息无计数信息
&lt;img src="data/upload/1/201706/2612120409030md2.png" alt="" /&gt;
[期望]
告警信息列表信息显示正确
</t>
  </si>
  <si>
    <t>643</t>
  </si>
  <si>
    <t>动态比对：打开第二个通道的抓拍预览后，告警信息列表出现该通道25号的告警信息</t>
  </si>
  <si>
    <t xml:space="preserve">前提条件：已有一条通道70的订阅了抓拍预览
[步骤]
1、  再打开通道71的抓拍预览
2、  查看动态比对页面的告警提示
[结果]
71通道出现6月25日晚8：05的告警提示
&lt;img src="data/upload/1/201706/2612141002522d29.png" alt="" /&gt;
&lt;img src="data/upload/1/201706/261216010323mot.png" alt="" /&gt;
[期望]
出现告警提示时间段为打开通道71开始以后的告警提示信息
</t>
  </si>
  <si>
    <t>RLSB-CS-V0.6-201707-PC(#31)
RLSB-CS-Patch-V0.51-20170623(#21)</t>
  </si>
  <si>
    <t>644</t>
  </si>
  <si>
    <t>告警消息推送至报警记录 后，再产生的抓拍记录只在动态比对告警信息列表中显示，但不再推送到告警输出窗口</t>
  </si>
  <si>
    <t>[步骤]
1、告警输出：选择相似度90%以上确认为同一人的告警信息，点击推送
2、查看报警输出窗口，获得已推送的告警信息
3、查看报警记录
4、查看新的抓拍满足告警条件是否再次推送
[结果]
已被推送的告警信息，后续在抓拍的目标满足告警条件，只在动态比对-告警信息列表中显示，但不再推送到告警输出窗口
&lt;img src="data/upload/1/201706/261351510640lt8.png" alt="" /&gt;
[期望]
应该有通过新的告警信息产生</t>
  </si>
  <si>
    <t>2017-07-18</t>
  </si>
  <si>
    <t>645</t>
  </si>
  <si>
    <t>资源管理-模板管理：人脸对象时间和性别组合查询不正确</t>
  </si>
  <si>
    <t>[步骤]
1、模板管理：查询人脸对象,创建时间输入2016/6/22 ~2016/6/22 性别：男 ，其他字段保留默认值，点击查询
[结果]
查询无结果，实际存在6/22创建的性别为男的模板
&lt;img src="data/upload/1/201706/2615085206835t3j.png" alt="" /&gt;
[期望]
可查询出满足条件的</t>
  </si>
  <si>
    <t>646</t>
  </si>
  <si>
    <t>比对记录查询界面有记录序号，告警记录和报警记录无</t>
  </si>
  <si>
    <t>[步骤]
1、比对记录、告警记录、报警记录界面显示布局一致
[结果]
比对记录查询结果有记录序号，告警记录和报警记录均无
&lt;img src="data/upload/1/201706/2615331903463j6o.png" alt="" /&gt;
[期望]
比对记录、告警记录、报警记录类似界面的查询结果展示一致</t>
  </si>
  <si>
    <t>647</t>
  </si>
  <si>
    <t>资源管理-模板管理：证件号模糊查询结果错误</t>
  </si>
  <si>
    <t>[步骤]
1、资源管理-模板管理：证件号输入41 ，其他字段保留默认值空进行查询
[结果]
1、输入41查询有2条记录
&lt;img src="data/upload/1/201706/2615501001052ott.png" alt="" /&gt;
[期望]
应该只显示第一条连续41的证件记录</t>
  </si>
  <si>
    <t>陈灵艳,</t>
  </si>
  <si>
    <t>648</t>
  </si>
  <si>
    <t>模板管理-目标对象管理，建议查询按钮锁定，不随筛选条件移动</t>
  </si>
  <si>
    <t>[步骤]
 模板管理-目标对象管理，筛选条件移动时，查询按钮随滚动条拖动而移动
[结果]
 查询条件太长，选择最后的字段作为查询条件后，需要拖动水平滚动条返回最前端点击查询按钮
[期望]
 模板管理-目标对象管理，建议查询按钮锁定，不随筛选条件移动</t>
  </si>
  <si>
    <t>649</t>
  </si>
  <si>
    <t>通道管理：区域初始页面通道详细字段后均有长短不一的文本框</t>
  </si>
  <si>
    <t>[步骤]
通道管理：点击区域名称，显示通道初始状态页面
[结果]
&lt;img src="data/upload/1/201706/261603020380mot.png" alt="" /&gt;
[期望]
期望显示字段后面不要带空的文本框</t>
  </si>
  <si>
    <t>650</t>
  </si>
  <si>
    <t>连续运行4*24小时后，系统只抓拍，不比对、不存储、不告警，抓拍记录、比对记录、告警输出、告警记录均只有27号8：03：47之前的记录</t>
  </si>
  <si>
    <t>[步骤]
连续运行4*24小时后，查看动态识别、抓拍记录、比对记录、告警输出、告警记录
[结果]
所有记录只有2017/6/27 8：03：47之前
&lt;img src="data/upload/1/201706/2709241609313ott.png" alt="" /&gt;
[期望]
系统运行正常，能够查询各类记录。</t>
  </si>
  <si>
    <t>郝文峰,莫增文,</t>
  </si>
  <si>
    <t>651</t>
  </si>
  <si>
    <t>报警管理:告警输出有多条记录,但告警记录查询只有3条记录</t>
  </si>
  <si>
    <t>[步骤]
1、查看告警输出、告警记录
[结果]
报警管理:告警输出有多条记录,但告警记录查询只有3条记录
&lt;img src="data/upload/1/201706/28135936088635a3.png" alt="" /&gt;
[期望]
告警输出记录数与告警记录查询结果一致</t>
  </si>
  <si>
    <t>652</t>
  </si>
  <si>
    <t>比对记录：姓名输入框默认为大写</t>
  </si>
  <si>
    <t>[步骤]
1、比对记录查询：姓名
[结果]
输入英文时，姓名输入框仍默认为大写字母
&lt;img src="data/upload/1/201706/2814032209309239.png" alt="" /&gt;
[期望]
能够区分大小写</t>
  </si>
  <si>
    <t>653</t>
  </si>
  <si>
    <t>模板管理：目标对象出生日期、创建时间格式输入问题</t>
  </si>
  <si>
    <t xml:space="preserve">[步骤]
模板管理：目标对象管理查询：出生日期及创建时间输入2017.02.03或20170203，查看是否容错
[结果]
1、出生日期及创建时间输入2017.02.03程序可默认转换为2017/02/03，输出20170203时提示error，但目标对象出生日期等的展示记录形式为20170203 14：00：00
&lt;img src="data/upload/1/201706/2814102903752m1e.png" alt="" /&gt;
[期望]
输入模式与记录展示格式一致 </t>
  </si>
  <si>
    <t>654</t>
  </si>
  <si>
    <t>历史检索——比对记录：模版库、区域、通道、姓名、性别、起始日期 时辰 、 截止日期 时辰 分、top值、分数、去重、标签、查询</t>
  </si>
  <si>
    <t xml:space="preserve">[步骤]
1. 点击历史检索下的比对记录按钮
2. 按分数为查询条件进行查询，其他参数均为默认值：空
[结果]
1. 按分数查询无结果，分数下来框数值均是整数，基本无法匹配到合适数值
[期望]
1. 正确跳转比对记录页面
2. 正确查询出结果
</t>
  </si>
  <si>
    <t>历史检索——比对记录：模版库、区域、通道、姓名、性别、起始日期 时辰 、 截止日期 时辰 分、top值、分数、去重、标签、查询(371)</t>
  </si>
  <si>
    <t>655</t>
  </si>
  <si>
    <t>模板管理：通过动态比对的抓拍照片直接新建目标对象成功会默认生成创建时间，但通过模板管理-目标对象管理创建时，不产生创建时间</t>
  </si>
  <si>
    <t>[步骤]
1、通过动态比对的抓拍照片快速创建模板，输入完整的参数信息
2、通过模板管理-目标对象管理创建模板，输入完整的参数信息
3、查看不同方式创建的目标对象
[结果]
模板管理：通过动态比对的抓拍照片直接新建目标对象成功会默认生成创建时间，但通过模板管理-目标对象管理创建时，不产生创建时间
[期望]
均能成功创建，且信息均显示完整</t>
  </si>
  <si>
    <t>656</t>
  </si>
  <si>
    <t>人脸比对——抓拍比对：添加非人脸照片</t>
  </si>
  <si>
    <t xml:space="preserve">[步骤]
1. 双击抓拍通道的抓拍照片
2. 直接点击“浏览”按钮（2.选中第一张照片再点击“浏览”按钮），选择一张非人脸照片
3. 点击“确定”按钮
[结果]
1. 提示保存成功（模板1添加失败）
&lt;img src="data/upload/1/201706/2816565808421fko.png" alt="" /&gt;
[期望]
1. 弹出添加模板框，双击选中的抓拍照片显示在第一位置
2. 非人脸照片显示在图片列表的第二位置（2. 顶替掉抓拍照片显示在第一位置）
3. 提示未检测到人脸，添加失败
</t>
  </si>
  <si>
    <t>人脸比对——抓拍比对：添加非人脸照片(517)</t>
  </si>
  <si>
    <t>657</t>
  </si>
  <si>
    <t>人脸比对——抓拍比对：添加本地图片时自动识别创建时间为图片采集时间</t>
  </si>
  <si>
    <t xml:space="preserve">[步骤]
1. 双击抓拍通道的抓拍照片 ，弹出目标对象创建窗口
2. 双击第二个图像位置，通过本地浏览选择一张照片添加
[结果]
图像采集时间为空，不自动识别别创建时间为图片采集时间
&lt;img src="data/upload/1/201706/281747150881815a.png" alt="" /&gt;
[期望]
1. 弹出添加模板框，双击的抓拍照片显示在第一位置
2. 可以添加，并自动获取照片创建时间为采集时间
</t>
  </si>
  <si>
    <t>人脸比对——抓拍比对：添加本地图片时自动识别创建时间为图片采集时间(516)</t>
  </si>
  <si>
    <t>658</t>
  </si>
  <si>
    <t>人脸比对——抓拍比对：验证抓拍照片模块，MQ推送，抓拍照片排列顺序</t>
  </si>
  <si>
    <t>[步骤]
1. 抓拍照片按抓拍时间倒序排列（后进的在第一行第一个）
[结果]
1. 新添加的目标对象即不再第一条也不是最后一条记录
&lt;img src="data/upload/1/201706/28183956079226fk.png" alt="" /&gt;
[期望]
后进的在第一行显示</t>
  </si>
  <si>
    <t>人脸比对——抓拍比对：验证抓拍照片模块，MQ推送，抓拍照片排列顺序(510)</t>
  </si>
  <si>
    <t>659</t>
  </si>
  <si>
    <t>环境部署完毕之后几个小时，重新登录客户端，界面不显示通道</t>
  </si>
  <si>
    <t>[步骤]正确部署环境，过几个小时重新登录客户端
[结果]客户端可以登录，但是动态比对界面没有通道（启动时登录客户端可以看到通道，视频预览、抓拍都可以正常运行）
[期望]在系统正常运行过程中，登录客户端可以正常查看到数据</t>
  </si>
  <si>
    <t>660</t>
  </si>
  <si>
    <t>动态识别—关闭通道，视频预览与抓拍依旧可以运行</t>
  </si>
  <si>
    <t>[步骤]打开客户端，进入动态识别，选中通道，点击关闭通道
[结果]通道关闭成功，但是抓拍与视频预览依旧可以运行
&lt;img src="data/upload/1/201706/2917052004777m5k.png" alt="" /&gt;
[期望]通道关闭之后，视频预览与视频抓拍不工作</t>
  </si>
  <si>
    <t>661</t>
  </si>
  <si>
    <t>模板管理：创建目标对象身份证号输入含字母X的18位身份证号：提示身份证号不合法；修改为不含字母的18位身份证号创建失败</t>
  </si>
  <si>
    <t>[步骤]
1、模板管理：新建目标对象，身份证号输入含字母X的18位，其中的出生日期与填写的出生日期保持一致，其他参数均规范填写，点击保存
[结果]
提示身份证号不合法
&lt;img src="data/upload/1/201706/29181238048219lm.png" alt="" /&gt;
在修改为不含字母的18位提示不合法，输入实际身份证号码保存失败
&lt;img src="data/upload/1/201706/291813520933829l.png" alt="" /&gt;
[期望]
1、能够处理含字母的身份证号
2、实际身份证号能够创建成功</t>
  </si>
  <si>
    <t>666</t>
  </si>
  <si>
    <t>模板管理：添加目标对象是出生日期与身份证号未作同步校验</t>
  </si>
  <si>
    <t>[步骤]
1、模板管理-目标对象管理，新建一个目标对象，输入姓名、性别、出生日期：输入错误的出生日期（与身份证号中出生日期不一致），身份类别：身份证，身份证号：输入准确的18位身份号，点击保存
[结果]
保存成功
&lt;img src="data/upload/1/201707/0314504701709urj.png" alt="" /&gt;
[期望]
提示出生日期输入错误或提示与身份证号不匹配</t>
  </si>
  <si>
    <t>667</t>
  </si>
  <si>
    <t>动态比对界面添加模板自动最小化</t>
  </si>
  <si>
    <t>[步骤]进入动态比对，双击下面的抓拍照片，正确添加各种必填信息，点击保存
[结果]保存成功，客户端自动最小化
[期望]保存成功之后，界面依旧恢复原来状态</t>
  </si>
  <si>
    <t>2017-07-05</t>
  </si>
  <si>
    <t>668</t>
  </si>
  <si>
    <t>客户端中模板数量与实际不符合</t>
  </si>
  <si>
    <t>[步骤]
1、进入模板管理，删除目标对象提示失败；
2、查看左边的模板库数量，然后与实际模板库中数量进行比对
[结果]数量不符合
&lt;img alt="" src="data/upload/1/201707/0315493904755hg6.png" /&gt;
[期望]模板库数量与实际相符</t>
  </si>
  <si>
    <t>669</t>
  </si>
  <si>
    <t>模板管理中，删除模板失败</t>
  </si>
  <si>
    <t>[步骤]进入模板管理，然后选中模板进行删除
[结果]删除失败
&lt;img src="data/upload/1/201707/0315572903034mlj.png" alt="" /&gt;
[期望]模板管理中能够正常删除模板</t>
  </si>
  <si>
    <t>670</t>
  </si>
  <si>
    <t>在抓拍通道添加模板时，模板库显示模板数量不正确（为0）</t>
  </si>
  <si>
    <t>[步骤]在动态识别界面，双击抓拍照片进行添加模板，查看添加界面
[结果]模板数量不正确
&lt;img src="data/upload/1/201707/03160050073suc.png" alt="" /&gt;
[期望]模板数量与实际情况符合</t>
  </si>
  <si>
    <t>671</t>
  </si>
  <si>
    <t>动态比对中，抓拍照片添加模板，显示添加成功，在模板管理中未能查询到该模板（创建不成功）</t>
  </si>
  <si>
    <t>[步骤]在动态识别界面，双击抓拍照片，填写正确信息进行模板添加
[结果]界面显示添加成功，但是模板管理中未能查询到该模板
[期望]添加成功模板之后再模板管理中可以查询到添加的模板</t>
  </si>
  <si>
    <t>674</t>
  </si>
  <si>
    <t>模板管理—删除模板不成功，但是照片被删除了</t>
  </si>
  <si>
    <t>[步骤]进入模板管理，选中一条模板进行删除
[结果]界面显示删除失败，但是模板照片被删除掉了
&lt;img src="data/upload/1/201707/0316385404828605.png" alt="" /&gt;
[期望]如果删除失败的话，建议不要删除任何数据</t>
  </si>
  <si>
    <t>675</t>
  </si>
  <si>
    <t>比对记录：不选中比对记录的情况下，右键保存图片，弹出保存图片弹窗，提示保存成功，但没有图片生成。</t>
  </si>
  <si>
    <t xml:space="preserve">[步骤]
1.查看比对记录
2.不要点击选中任何抓拍照片，直接右键，点击保存图片
3.
[结果]
弹出保存图片窗口，提示保存成功，但没有图片生成。
&lt;img src="data/upload/1/201707/0316365305032kf4.png" alt="0316365305032kf4.png" /&gt;
若先左键单击，选中某个抓拍照片，再保存图片，则可以正常保存。
</t>
  </si>
  <si>
    <t>676</t>
  </si>
  <si>
    <t>模板管理：变更目标管理对象的主模板后再添加本地照片时提示选择照片失败，确定后再添加时将主模板移除了</t>
  </si>
  <si>
    <t>[步骤]
1、模板管理：编辑已存在的一个目标对象，在第二张照片位置双击添加一张照片并设置为主模板
2、点击第一张原为主模板的照片，右键选择删除
3、点击第三张照片位置选择本地一张照片添加，提示选择照片失败
4、更换到第一张位置点击从本地选择一张照片添加
[结果]
照片添加后直接将主照片移除了
&lt;img src="data/upload/1/201707/0317483109945mes.png" alt="" /&gt;
[期望]
步骤3：可以选择本地照片
步骤4：再选择本地照片时不会移除主模板照片</t>
  </si>
  <si>
    <t>677</t>
  </si>
  <si>
    <t>动态比对：告警输出信息有重复报警输出</t>
  </si>
  <si>
    <t>[步骤]
动态比对：查看告警输出信息栏同一个模板满足告警策略的告警记录信息
[结果]
同一个模板满足告警策略的告警记录重复显示多条，未进行去重统计
&lt;img src="data/upload/1/201707/0317583009121fbd.png" alt="" /&gt;
[期望]
同一模板的告警结果应显示同一条</t>
  </si>
  <si>
    <t>678</t>
  </si>
  <si>
    <t>告警管理-告警输出：关闭告警详细信息页面后客户端自动最小化</t>
  </si>
  <si>
    <t>[步骤]
1、告警管理-告警输出：选择一条告警记录，点击详细信息
2、弹出告警信息详细页面，点击确认按钮后，直接关闭详细信息页面；
[结果]
确认后关闭页面，客户端直接最小化
[期望]
保持在告警输出窗口</t>
  </si>
  <si>
    <t>RLSB-CS-V0.6-201707-PC(#31)
RLSB-CS-V0.5-20170630-PC(#27)</t>
  </si>
  <si>
    <t>681</t>
  </si>
  <si>
    <t>建议动态比对中的告警提示目录栏界面不可拖动进行调换</t>
  </si>
  <si>
    <t>[步骤]进入动态比对，使用通道进行比对，出结果后对右侧的告警提示栏进行操作：选中最上方的目录栏，拖到另一目录栏进行调换
[结果]可以调换
&lt;img src="data/upload/1/201707/04105532062181st.png" alt="" /&gt;
会出现错觉，误将抓拍纪录与目标人混淆
[期望]目录栏不可进行调换</t>
  </si>
  <si>
    <t>690</t>
  </si>
  <si>
    <t>开启三个通道时，通道的抓拍同时开启，但是告警提示显示的抓拍时间不一样，时间为开启通道抓拍之前的时间</t>
  </si>
  <si>
    <t>[步骤]将动态比对中三个通道全部打开，告警提示出现抓拍记录有的通道会出现打开通道之前的抓拍记录
[结果]有的通道会出现打开通道之前的抓拍记录
&lt;img src="data/upload/1/201707/04141301077784jf.png" alt="" /&gt;
[期望]告警提示出现打开抓拍之后的记录</t>
  </si>
  <si>
    <t>701</t>
  </si>
  <si>
    <t>告警详细窗口点击确认并推送后，模板信息和抓拍信息消失</t>
  </si>
  <si>
    <t>[步骤]
1、打开告警输出页面，选择条告警信息，点击详细信息
2、弹出告警信息列表，点击确认按钮
3、点击推送按钮
[结果]
告警信息推送后，模板信息和抓拍信息消失
&lt;img src="data/upload/1/201707/04152516035842g9.png" alt="" /&gt;
[期望]
保持告警信息窗口正常展示</t>
  </si>
  <si>
    <t>702</t>
  </si>
  <si>
    <t>比对记录中，建议查询功能给出总的记录条数和页数</t>
  </si>
  <si>
    <t>[步骤]在比对记录中，输入关键字进行查询
[结果]可以查询到大量数据，但是无法快速找到需要记录
&lt;img src="data/upload/1/201707/0415383401876hg6.png" alt="" /&gt;
[期望]建议增加页面、条数、跳转等功能</t>
  </si>
  <si>
    <t>704</t>
  </si>
  <si>
    <t>告警管理：告警信息-15s视频回放弹出异常，确定后客户端退出</t>
  </si>
  <si>
    <t>[步骤]
1、选择告警输出详细，告警信息推送后，点击15s视频查看视频存储
[结果]
弹出异常信息，点击确定后客户端退出
&lt;img src="data/upload/1/201707/0415471406363dt.png" alt="" /&gt;[期望]
视频可正常回放</t>
  </si>
  <si>
    <t>705</t>
  </si>
  <si>
    <t>动态比对中，视频预览开启一段时间之后，界面不显示实时的视频预览</t>
  </si>
  <si>
    <t>[步骤]进入动态比对，打开1个、2个、3个抓拍通道分别进行视频预览
[结果]过段时间之后，视频预览均停止，重启客户端之后恢复正常
&lt;img alt="" src="data/upload/1/201707/041548510848094j.png" /&gt;
[期望]视频预览可以持续正常运行</t>
  </si>
  <si>
    <t>707</t>
  </si>
  <si>
    <t>报警管理：报警记录查询结果上下翻页后，查询结果有数据丢失</t>
  </si>
  <si>
    <t>[步骤]
1、报警管理：报警量记录，点击今天查询报警记录
2、查询结果上下翻页进行数据查看
[结果]
1、初始查询结果3页，点击下一页查看第三页有3条记录
&lt;img src="data/upload/1/201707/04173003024314he.png" alt="" /&gt;
2、点击上一页，再点击下一页，第三页只有1条记录
&lt;img src="data/upload/1/201707/0417302404956dtr.png" alt="" /&gt;
3、再重复步骤2，第三页无记录
&lt;img src="data/upload/1/201707/041730450483trk.png" alt="" /&gt;4、再上下翻页后，最后只剩1页记录
[期望]
上下翻页查看不影响总记录数</t>
  </si>
  <si>
    <t>708</t>
  </si>
  <si>
    <t>推送：选择一条记录推送，报警输出里面有两条记录</t>
  </si>
  <si>
    <t>[步骤]在告警输出中选择一条记录点击确认然后推送
[结果]报警输出中有两条记录
&lt;img src="data/upload/1/201707/04174240040136ml.png" alt="" /&gt;
[期望]实时推送正确的报警输出</t>
  </si>
  <si>
    <t>709</t>
  </si>
  <si>
    <t>动态识别中选中一个通道打开视频预览，界面布局自动跳转成双屏显示</t>
  </si>
  <si>
    <t>[步骤]在没有视频预览打开的情况下，窗口布局为1的情况下，选中某个通道打开视频预览
[结果]预览界面成为双屏显示
&lt;img src="data/upload/1/201707/0417465601689605.png" alt="" /&gt;
[期望]视频预览可以正常显示</t>
  </si>
  <si>
    <t>713</t>
  </si>
  <si>
    <t>在比对记录中点击查询，只可查询到进入界面默认的时间段的比对记录</t>
  </si>
  <si>
    <t>[步骤]点击历史检索进行比对、抓拍记录查询，然后多次点击查询
[结果]界面只显示当前的起始日期与截止日期（即进入此界面的默认时间内）的所有结果
&lt;img src="data/upload/1/201707/0418233005274qq6.png" alt="" /&gt;
[期望]查询（个人理解应当是自由比对记录起至当前电脑的时间）内的所有的比对记录，其原理与今天的原理一样，建议修改</t>
  </si>
  <si>
    <t>717</t>
  </si>
  <si>
    <t>动态比对：开启三个抓拍运行20分钟左右发现只剩下一个通道由抓拍，其他两个通道状态仍为抓拍预览状态但无抓拍数据</t>
  </si>
  <si>
    <t>[步骤]
1、开启两个客户端：1个启动3个抓拍、1个开启1个抓拍
2、运行20分钟左右
[结果]
三个抓拍发现只剩下一个通道由抓拍，其他两个通道状态仍为抓拍预览状态但无抓拍数据
&lt;img src="data/upload/1/201707/041909120126495g.png" alt="" /&gt;
[期望]
三个抓怕均正常有数据</t>
  </si>
  <si>
    <t>718</t>
  </si>
  <si>
    <t>模板库数量有的时候正确有的时候不正确</t>
  </si>
  <si>
    <t>[步骤]模板管理-模板库管理，查看模板容量与数量
[结果]模板数量有时候正确有时候不正确
&lt;img alt="" src="data/upload/1/201707/04191917092544jf.png" /&gt;
[期望]模板数量一致与库中的数量保持一致</t>
  </si>
  <si>
    <t>719</t>
  </si>
  <si>
    <t>通道管理中，修改完通道的配置之后，打开视频抓拍，本机的客户端下面的抓拍通道出现抓拍，但是别的客户端在没启用抓拍的情况下也会出现抓拍滚动</t>
  </si>
  <si>
    <t xml:space="preserve">
[步骤]在通道管理中，正确修改通道的配置，然后在动态比对中订阅并打开抓拍预览
[结果]本机的客户端下方出现抓拍滚动，但是别的机器上登录客户端，在没有启用抓拍预览的情况下，也会出现此通道的抓拍滚动
&lt;img alt="" src="data/upload/1/201707/0419320307722suc.png" /&gt;
这是本机的抓拍界面
&lt;img src="data/upload/1/201707/1016374706877hgl.png" alt="" /&gt;此为异地客户端的抓拍滚动
[期望]</t>
  </si>
  <si>
    <t>720</t>
  </si>
  <si>
    <t>通道管理：修改通道的人脸抓拍参数后，动态比对页面该通道多一条记录</t>
  </si>
  <si>
    <t>[步骤]
1、打开通道管理，编辑当前正在订阅的通道（测试通道），修改人脸抓拍参数-最小有效图像质量65-80
2、保存通道信息
[结果]
动态比对页面该通道多一条重复记录
&lt;img src="data/upload/1/201707/0509134503847ejt.png" alt="" /&gt;
[期望]
动态比对页面通道保持不变</t>
  </si>
  <si>
    <t>动态比对：运行一段时间动态比对页面中同一个通道出现两条记录(619)</t>
  </si>
  <si>
    <t>721</t>
  </si>
  <si>
    <t>动态比对：抓拍预览混乱</t>
  </si>
  <si>
    <t>前置条件：修改通道参数后关闭动态比对页面
[步骤]
1、关闭动态比对页面，再次打开后，所有通道 均不再有抓拍预览
2、再次打开测试通道的抓拍预览
[结果]
有两个通道的抓拍预览被打开：测试通道、牡丹园71通道
&lt;img src="data/upload/1/201707/05091716015563dt.png" alt="" /&gt;
[期望]
只有订阅了抓拍预览的通道有抓拍数据</t>
  </si>
  <si>
    <t>728</t>
  </si>
  <si>
    <t>连续运行24小时以上关闭客户端出现无法关闭现象</t>
  </si>
  <si>
    <t>[步骤]
1、客户端连续运行24小时以上，其间进行过视频预览、抓拍查询、比对查询、通道参数修改等
2、关闭客户端
[结果]
无法关闭客户端
[期望]
可以正常关闭</t>
  </si>
  <si>
    <t>徐辛</t>
  </si>
  <si>
    <t>731</t>
  </si>
  <si>
    <t>模板库内容显示不正确</t>
  </si>
  <si>
    <t>[步骤]
1、进入模板管理，在模板库列表中选中第一个模板库
2、再点击 第三个，右侧目标对象管理的详细内容仍为第一个模板库的内容
[结果]经过刷新之后，模板库内容与实际情况显示不符合
&lt;img alt="" src="data/upload/1/201707/05105605067626jt.png" /&gt;
[期望]模板库内容与实际情况相符</t>
  </si>
  <si>
    <t>734</t>
  </si>
  <si>
    <t>客户端在开启一段时间之后，视频预览正常运行，下方的通道不进行抓拍</t>
  </si>
  <si>
    <t>[步骤]进入客户端，选中一个通道，打开抓拍预览
[结果]过一段时间之后抓拍预览停止
&lt;img alt="" src="data/upload/1/201707/0511104909578qq6.png" /&gt;
[期望]抓拍预览在打开期间正常运行</t>
  </si>
  <si>
    <t>736</t>
  </si>
  <si>
    <t>客户端启动一段时间之后，视频预览出现问题</t>
  </si>
  <si>
    <t>[步骤]打开客户端，开启视频抓拍与预览
[结果]一段时间之后，视频预览出现问题
&lt;img alt="" src="data/upload/1/201707/05134937059311st.png" /&gt;
[期望]视频预览在一段时间之后可以正常运行</t>
  </si>
  <si>
    <t>738</t>
  </si>
  <si>
    <t>删除通道后，在抓拍记录里面依旧可以查询到该通道的抓拍</t>
  </si>
  <si>
    <t>[步骤]在通道管理中选中一个通道删除，然后在抓拍记录中进行查询
[结果]依旧在抓拍记录中可以查询到该通道的抓拍记录
强调:抓拍时间为删除该通道以后
&lt;img src="data/upload/1/201707/0514372009796594.png" alt="" /&gt;
[期望]删除通道之后不会出现该通道的抓拍记录</t>
  </si>
  <si>
    <t>750</t>
  </si>
  <si>
    <t>删除通道之后，在通道管理中添加相同通道号的通道，提示该通道号已存在</t>
  </si>
  <si>
    <t>[步骤]1、在通道管理中选中一条通道进行删除，系统提示删除通道成功
         2、在通道管理中添加通道，通道号为之前删除通道的通道号
[结果]系统提示通道号已存在，不能重复添加
&lt;img src="data/upload/1/201707/10180249019468f4.png" alt="" /&gt;
[期望]</t>
  </si>
  <si>
    <t>751</t>
  </si>
  <si>
    <t>导入模板工具(#102)</t>
  </si>
  <si>
    <t>导入模板工具测试——正常导入成功以后，客户端数量未增加，需重新打开模板管理页面才会正常显示</t>
  </si>
  <si>
    <t>[步骤]
1.前提客户端打开模板管理页面
2.正常使用工具导入模板
[结果]
导入成功以后，模板管理页面模板库数量未增加
[期望]
导入成功以后数量增加</t>
  </si>
  <si>
    <t>752</t>
  </si>
  <si>
    <t>导入模板工具测试——超过客户端容量，还可导入成功</t>
  </si>
  <si>
    <t>[步骤]
1.客户端设置容量
2.导入超过容量的模板
[结果]
导入成功
[期望]
不能超过客户端模板库容量</t>
  </si>
  <si>
    <t>753</t>
  </si>
  <si>
    <t>导入模板工具测试——工具暂停按钮点击以后，时间和速度未停止</t>
  </si>
  <si>
    <t>[步骤]
1.打开工具
2.正常导入模板
3.点击暂停按钮
[结果]
时间和速度未停止
[期望]
时间和速度也停止，</t>
  </si>
  <si>
    <t>754</t>
  </si>
  <si>
    <t>导入模板工具测试——导入成功一次以后，不能重新选择模板库继续导入</t>
  </si>
  <si>
    <t>[步骤]
1.打开导入工具，正常导入一次以后
[结果]
不能重新选择模板库，
[期望]
可以重新选择模板库进行导入</t>
  </si>
  <si>
    <t>郭潞</t>
  </si>
  <si>
    <t>755</t>
  </si>
  <si>
    <t>导入模板工具测试——导入文件夹有失败的数量显示，再次导入全部成功的，失败数量显示上次结果</t>
  </si>
  <si>
    <t>[步骤]
1.导入有失败数量的文件夹
2.再次导入全部成功的文件夹
[结果]
失败数量显示上次失败结果
[期望]
失败结果清空，重新计算</t>
  </si>
  <si>
    <t>756</t>
  </si>
  <si>
    <t>导入模板工具测试——打开工具，不能直接选择失败存放路径，需点击一下停止按钮</t>
  </si>
  <si>
    <t>[步骤]
1.打开导入工具
[结果]
不能直接选择失败存放路径
[期望]
可以直接选择失败存放路径</t>
  </si>
  <si>
    <t>757</t>
  </si>
  <si>
    <t>导入模板工具测试——导入失败的图片，被存入失败路径文件夹，同时被原文件夹删除</t>
  </si>
  <si>
    <t xml:space="preserve">[步骤]
1.打开工具
2.选择有失败的照片进行导入
[结果]
如果未选择失败路径，则图片丢失
选择失败路径，图片存入失败路径，同时被原文件夹删除
[期望]
存入失败路径，但不被原文件夹删除 </t>
  </si>
  <si>
    <t>758</t>
  </si>
  <si>
    <t>导入模板工具测试——GIF图片无法导入，且不计入失败。导致数量对不上</t>
  </si>
  <si>
    <t>[步骤]
1.打开导入工具
2.导入带有gif图片的文件夹
[结果]
gif图片无法导入，且不计入失败和总数，导致总数对不上
[期望]
gif无法导入正常，但希望计入失败和总数</t>
  </si>
  <si>
    <t>759</t>
  </si>
  <si>
    <t>导入模板工具测试——导入工具，导入的模板，不能修改图片</t>
  </si>
  <si>
    <t>[步骤]
1.工具导入模板
2.客户端进行模板照片的切换
[结果]
保存失败
[期望]
保存成功</t>
  </si>
  <si>
    <t>760</t>
  </si>
  <si>
    <t>告警输出里比对信息  点击详细信息有错误</t>
  </si>
  <si>
    <t>[步骤]
1.告警输出里的比对信息，首先点击【详细信息】，单击、双击没反应
         2. 双击其中一条比对信息的大框（这条信息会变蓝），会弹出确认、推送框，
         3.然后再点击其他比对信息的【详细信息】，还是会显示之前变蓝的这条信息。
[结果] 点击姓名：回顾   的照片详细信息，出来的是姓名：好好  的信息
&lt;img alt="file-read-997.png" src="{997.png}" /&gt;
[期望]  点击每条比对信息的【详细信息】应该出来对应的比对信息。</t>
  </si>
  <si>
    <t>捕获.PNG</t>
  </si>
  <si>
    <t>762</t>
  </si>
  <si>
    <t>人脸比对——动态比对：右侧告警提示点击查看，告警信息列表。通道列表重要等级，方向的显示，目标对象的性别</t>
  </si>
  <si>
    <t xml:space="preserve">[步骤]
1.点击人脸比对下的动态比对
2.点击右侧告警提示
[结果]
重要等级，方向等的显示，目标对象的性别
&lt;img alt="" src="{1003.png}" /&gt;
&lt;img src="{1009.png}" alt="file-read-1009.png" /&gt;
[期望]
</t>
  </si>
  <si>
    <t>763</t>
  </si>
  <si>
    <t>人脸比对——动态比对：对下方的抓拍照片添加模板，添加完成以后，编辑框不消失</t>
  </si>
  <si>
    <t>[步骤]
1.进入人脸比对下的动态比对页面
2.点击抓拍照片添加模板
3.提示添加成功
[结果]
编辑框还存在
[期望]
编辑框消失</t>
  </si>
  <si>
    <t>764</t>
  </si>
  <si>
    <t>报警管理—告警输出： 一个比对可以弹多个告警信息列表</t>
  </si>
  <si>
    <t>[步骤]
1.点击报警管理下的告警输出
2.点击任意一个告警
[结果]
每个告警可以弹出多个告警信息列表
&lt;img alt="" src="{1004.png}" /&gt;
[期望]
每个告警只能弹出一个告警信息列表</t>
  </si>
  <si>
    <t>765</t>
  </si>
  <si>
    <t>报警管理—告警记录：点击任意一个比对，弹出告警信息列表，再次点击其他的一个比对，信息覆盖之前比对的告警信息列表信息</t>
  </si>
  <si>
    <t>[步骤]
1.进入报警管理下的告警记录
2.点击比对弹出告警信息列表
3.再点另外比对，弹出告警信息列表
[结果]
点开一个比对
&lt;img alt="" src="{1006.png}" /&gt;
再次点开其它的不同人的
&lt;img alt="" src="{1007.png}" /&gt;
[期望]</t>
  </si>
  <si>
    <t>3</t>
  </si>
  <si>
    <t>766</t>
  </si>
  <si>
    <t>资源管理—模板管理：模板身份证号和出生日期提示不一致</t>
  </si>
  <si>
    <t>[步骤]
1.点击资源管理下的模板管理
2.修改模板
[结果]
&lt;img alt="" src="{1008.png}" /&gt;
[期望]</t>
  </si>
  <si>
    <t>767</t>
  </si>
  <si>
    <t>模板管理：目标对象年龄为空</t>
  </si>
  <si>
    <t>[步骤]
1.新建目标人，填写出生日期等必填项
2.保存后，查看列表
[结果]
年龄为空
&lt;img alt="file-read-1010.png" src="{1010.png}" /&gt;
[期望]
年龄正确显示</t>
  </si>
  <si>
    <t>768</t>
  </si>
  <si>
    <t>资源管理—模板管理：修改模板，选择人脸较小图片，提示失败，再次上传此图片，点击保存，界面显示错误</t>
  </si>
  <si>
    <t>[步骤]
1.进入资源管理下的模板管理页面
2.点击修改模板
3.选择一个人脸较小会添加失败的照片
4.点击保存提示失败
5.再次添加
[结果]
第一次添加，
&lt;img alt="" src="{1011.png}" /&gt;
第二次添加
&lt;img alt="" src="{1012.png}" /&gt;
需重新进入模板管理，才会显示之前正确的数据
[期望]</t>
  </si>
  <si>
    <t>资源管理—模板管理：添加人脸失败照片，身份证等数据被清除(772)</t>
  </si>
  <si>
    <t>769</t>
  </si>
  <si>
    <t>通道管理：不同视频平台下相同的通道号应能添加</t>
  </si>
  <si>
    <t>[步骤]
1.添加A通道，通道号为52_#_51000004_1_101，视频平台为192.168.1.216
2.添加B通道，通道号为52_#_51000004_1_101，视频平台为192.168.1.233
[结果]
客户端提示通道号已存在
[期望]
不同视频平台下相同的通道号应能添加</t>
  </si>
  <si>
    <t>770</t>
  </si>
  <si>
    <t>模板管理：模板添加问题</t>
  </si>
  <si>
    <t xml:space="preserve">[步骤]
1.新建目标对象，添加两张模板照片，设置第二张照片为主模板，保存
&lt;img alt="file-read-1020.png" src="{1020.png}" /&gt;
2.移除第一张模板照片，保存
&lt;img alt="file-read-1022.png" src="{1022.png}" /&gt;
3.点击第一张模板位，选择一张照片，第二个模板位置的主照片不见了
&lt;img alt="file-read-1024.png" src="{1024.png}" /&gt;
4.在第二、三、四模板位置添加一张照片，保存
&lt;img alt="file-read-1027.png" src="{1027.png}" /&gt;
5.切换到其他模板库，在切回来，查看 上面添加的 目标人，主模板为空
&lt;img alt="file-read-1028.png" src="{1028.png}" /&gt;
</t>
  </si>
  <si>
    <t>771</t>
  </si>
  <si>
    <t>资源管理—模板管理：添加无人脸照片，第一次直接消失不见，第二次保存失败，需重新启动模板管理才可看不到数据</t>
  </si>
  <si>
    <t>[步骤]
1.点击资源管理下的模板管理按钮
2.点击修改模板，添加无人脸照片
3.提示失败，再次添加无人脸照片
[结果]
第一次添加
&lt;img alt="" src="{1015.png}" /&gt;
&lt;img alt="" src="{1017.png}" /&gt;
第二次添加
&lt;img alt="" src="{1018.png}" /&gt;
[期望]</t>
  </si>
  <si>
    <t>772</t>
  </si>
  <si>
    <t>资源管理—模板管理：添加人脸失败照片，身份证等数据被清除</t>
  </si>
  <si>
    <t>[步骤]
1.点击资源管理下的模板管理
2.修改模板，添加人脸失败的照片
[结果]
=&lt;img alt="" src="{1025.png}" /&gt;
&lt;img alt="" src="{1023.png}" /&gt;
[期望]</t>
  </si>
  <si>
    <t>773</t>
  </si>
  <si>
    <t>比对记录: 上下翻页比对记录查询，同一页内容上下翻页后前后结果不一致</t>
  </si>
  <si>
    <t>[步骤]
1、比对记录：点击今天，查询当天的比对记录
2、选择下一页进行翻页查看
3、选择上一页查看
4、再下一页
[结果]
点击下一页后，在点击上一页后，显示的记录信息两次内容不一致
&lt;img alt="" src="{1029.png}" /&gt;
&lt;img alt="" src="{1030.png}" /&gt;
[期望]
多次上下翻页查询时，同一页的内容不受多次翻页影响，同一页的记录能够保持一致</t>
  </si>
  <si>
    <t>774</t>
  </si>
  <si>
    <t>删除通道后再添加，有抓拍，无比对。</t>
  </si>
  <si>
    <t>[步骤]
1.删除通道88
2.重新添加新通道88，通道号与步骤1的不变
[结果]
新通道88只有抓拍，没有比对；查看MQ，只有新通道的cap队列，没有alert队列，已删除通道的cap、alert队列计数仍在增长
[期望]
新增通道有抓拍、比对。</t>
  </si>
  <si>
    <t>775</t>
  </si>
  <si>
    <t>告警输出中的15s场景视频不能播放</t>
  </si>
  <si>
    <t>[步骤]
1.查看告警输出中的15s场景视频
2.查看告警记录中的场景视频
[结果]
1.告警输出中的15s场景视频不能播放
&lt;img alt="file-read-1031.png" src="{1031.png}" /&gt;
2.告警记录中的场景视频能播放
&lt;img alt="file-read-1032.png" src="{1032.png}" /&gt;
[期望]
15s场景视频不能播放</t>
  </si>
  <si>
    <t>776</t>
  </si>
  <si>
    <t>比对记录：按通道查询结果不对</t>
  </si>
  <si>
    <t>[步骤]
1.通道选“通道70_系数1”
2.查看比对记录返回结果
[结果]
所有通道都查出来了，没有按照通道筛选
&lt;img src="{1033.png}" alt="file-read-1033.png" /&gt;
[期望]
只查出“通道70_系数1”的结果</t>
  </si>
  <si>
    <t>777</t>
  </si>
  <si>
    <t>动态比对：修改通道A的质量系数，返回动态比对页面，出现两个通道A(页面刷新问题)</t>
  </si>
  <si>
    <t>[步骤]
1.打开动态比对，通道管理两个页面
2.修改通道A的质量系数
3.返回动态比对，查看通道A
[结果]
出现两个A通道
&lt;img src="{1035.png}" alt="file-read-1035.png" /&gt;
[期望]
页面正常刷新</t>
  </si>
  <si>
    <t>778</t>
  </si>
  <si>
    <t>报警记录——告警记录：告警记录页面，查询条件按已否决查询，查询不出来</t>
  </si>
  <si>
    <t xml:space="preserve">[步骤]
1.点击报警记录下的告警输出
2.对比对结果进行否决处理
3.进入告警记录页面，按已否决查询
[结果]
未查询出数据
&lt;img alt="" src="{1037.png}" /&gt;
&lt;img alt="" src="{1038.png}" /&gt;
[期望]
正常查询出结果
 </t>
  </si>
  <si>
    <t>779</t>
  </si>
  <si>
    <t>报警管理—告警记录：按已否决查询，点击查询按钮，显示正确，再次不稳定次数点击查询按钮，数据重复显示（请检查一下是否所有界面查询都这样）</t>
  </si>
  <si>
    <t>[步骤]
1.点击报警管理页面下的告警记录页面
2.按已否决查询 点击查询按钮正常
3.双击查询按钮
[结果]
点击查询按钮
&lt;img alt="" src="{1040.png}" /&gt;
再次不稳定次数点击查询按钮
&lt;img alt="" src="{1042.png}" /&gt;
[期望]</t>
  </si>
  <si>
    <t>780</t>
  </si>
  <si>
    <t>动态比对: 随着动态比对页面的缩小,通道搜索被掩盖</t>
  </si>
  <si>
    <t>[步骤]
1、打开动态比对页面、通道管理、报警记录、报警输出、告警输出等
2、拖动界面进行一屏多界面同时展示
[结果]
动态比对页面被拖动缩小后，通道搜索按钮被掩藏
&lt;img src="{1041.png}" alt="" /&gt;
[期望]
界面均正常展示</t>
  </si>
  <si>
    <t>781</t>
  </si>
  <si>
    <t>查看视频与抓拍场景不同步：视频内没有抓拍那一帧</t>
  </si>
  <si>
    <t>性能问题</t>
  </si>
  <si>
    <t xml:space="preserve">
视频结束在14：40：03，抓拍场景图14：41：51
&lt;img alt="file-read-1043.png" src="{1043.png}" /&gt;</t>
  </si>
  <si>
    <t>782</t>
  </si>
  <si>
    <t>请修改比对记录，查询条件的顺序</t>
  </si>
  <si>
    <t>请修改比对记录，查询条件的顺序：查询，今天，昨天，本周，区域，通道，起始时间，截止时间，模板库。。。。
&lt;img src="{1044.png}" alt="file-read-1044.png" /&gt;
&lt;img src="{1045.png}" alt="file-read-1045.png" /&gt;
&lt;img src="{1047.png}" alt="file-read-1047.png" /&gt;
&lt;img src="{1048.png}" alt="file-read-1048.png" /&gt;</t>
  </si>
  <si>
    <t>783</t>
  </si>
  <si>
    <t>动态比对：建议调整抓拍和模板位置，现在动态比对和告警信息列表是反的</t>
  </si>
  <si>
    <t xml:space="preserve">
&lt;img src="{1049.png}" alt="file-read-1049.png" /&gt;</t>
  </si>
  <si>
    <t>785</t>
  </si>
  <si>
    <t>core日志异常java.lang.NullPointerException</t>
  </si>
  <si>
    <t>core日志异常，客户端没有告警
2017-07-17 14:40:50 [com.sxt.core.dao.impl.StrategyExcuteImpl]-[ERROR] 保存告警信息异常！
java.lang.NullPointerException
 at com.sxt.core.dao.impl.StrategyExcuteImpl.strategyOne(StrategyExcuteImpl.java:87)
 at com.sxt.core.service.impl.StrategyServiceImpl.doStrategy(StrategyServiceImpl.java:56)
 at com.sxt.core.controller.StrategyController.doStrategy(StrategyController.java:136)
 at sun.reflect.GeneratedMethodAccessor129.invoke(Unknown Source)
 at sun.reflect.DelegatingMethodAccessorImpl.invoke(DelegatingMethodAccessorImpl.java:43)
 at java.lang.reflect.Method.invoke(Method.java:498)
 at org.springframework.web.method.support.InvocableHandlerMethod.invoke(InvocableHandlerMethod.java:214)
 at org.springframework.web.method.support.InvocableHandlerMethod.invokeForRequest(InvocableHandlerMethod.java:132)
 at org.springframework.web.servlet.mvc.method.annotation.ServletInvocableHandlerMethod.invokeAndHandle(ServletInvocableHandlerMethod.java:104)
 at org.springframework.web.servlet.mvc.method.annotation.RequestMappingHandlerAdapter.invokeHandleMethod(RequestMappingHandlerAdapter.java:748)
 at org.springframework.web.servlet.mvc.method.annotation.RequestMappingHandlerAdapter.handleInternal(RequestMappingHandlerAdapter.java:689)
 at org.springframework.web.servlet.mvc.method.AbstractHandlerMethodAdapter.handle(AbstractHandlerMethodAdapter.java:83)
 at org.springframework.web.servlet.DispatcherServlet.doDispatch(DispatcherServlet.java:945)
 at org.springframework.web.servlet.DispatcherServlet.doService(DispatcherServlet.java:876)
 at org.springframework.web.servlet.FrameworkServlet.processRequest(FrameworkServlet.java:931)
 at org.springframework.web.servlet.FrameworkServlet.doPost(FrameworkServlet.java:833)
 at javax.servlet.http.HttpServlet.service(HttpServlet.java:648)
 at org.springframework.web.servlet.FrameworkServlet.service(FrameworkServlet.java:807)
 at javax.servlet.http.HttpServlet.service(HttpServlet.java:729)
 at org.apache.catalina.core.ApplicationFilterChain.internalDoFilter(ApplicationFilterChain.java:291)
 at org.apache.catalina.core.ApplicationFilterChain.doFilter(ApplicationFilterChain.java:206)
 at org.apache.tomcat.websocket.server.WsFilter.doFilter(WsFilter.java:52)
 at org.apache.catalina.core.ApplicationFilterChain.internalDoFilter(ApplicationFilterChain.java:239)
 at org.apache.catalina.core.ApplicationFilterChain.doFilter(ApplicationFilterChain.java:206)
 at org.springframework.web.filter.CharacterEncodingFilter.doFilterInternal(CharacterEncodingFilter.java:88)
 at org.springframework.web.filter.OncePerRequestFilter.doFilter(OncePerRequestFilter.java:108)
 at org.apache.catalina.core.ApplicationFilterChain.internalDoFilter(ApplicationFilterChain.java:239)
 at org.apache.catalina.core.ApplicationFilterChain.doFilter(ApplicationFilterChain.java:206)
 at org.apache.catalina.core.StandardWrapperValve.invoke(StandardWrapperValve.java:219)
 at org.apache.catalina.core.StandardContextValve.invoke(StandardContextValve.java:106)
 at org.apache.catalina.authenticator.AuthenticatorBase.invoke(AuthenticatorBase.java:502)
 at org.apache.catalina.core.StandardHostValve.invoke(StandardHostValve.java:142)
 at org.apache.catalina.valves.ErrorReportValve.invoke(ErrorReportValve.java:79)
 at org.apache.catalina.valves.AbstractAccessLogValve.invoke(AbstractAccessLogValve.java:617)
 at org.apache.catalina.core.StandardEngineValve.invoke(StandardEngineValve.java:88)
 at org.apache.catalina.connector.CoyoteAdapter.service(CoyoteAdapter.java:518)
 at org.apache.coyote.http11.AbstractHttp11Processor.process(AbstractHttp11Processor.java:1091)
 at org.apache.coyote.AbstractProtocol$AbstractConnectionHandler.process(AbstractProtocol.java:668)
 at org.apache.tomcat.util.net.AprEndpoint$SocketProcessor.doRun(AprEndpoint.java:2463)
 at org.apache.tomcat.util.net.AprEndpoint$SocketProcessor.run(AprEndpoint.java:2452)
 at java.util.concurrent.ThreadPoolExecutor.runWorker(ThreadPoolExecutor.java:1142)
 at java.util.concurrent.ThreadPoolExecutor$Worker.run(ThreadPoolExecutor.java:617)
 at org.apache.tomcat.util.threads.TaskThread$WrappingRunnable.run(TaskThread.java:61)
 at java.lang.Thread.run(Thread</t>
  </si>
  <si>
    <t>796</t>
  </si>
  <si>
    <t>告警输出。报警输出 点击详细信息显示日期不一致</t>
  </si>
  <si>
    <t>[步骤]
     1.打开告警输出.点击详细信息
     2.打开告警输出
[结果]显示日期不一致
&lt;img alt="" src="{1069.png}" /&gt;
&lt;img alt="" src="{1070.png}" /&gt;
[期望]显示日期一致</t>
  </si>
  <si>
    <t>800</t>
  </si>
  <si>
    <t>通道管理界面在上下分屏显示时，查询按钮被覆盖</t>
  </si>
  <si>
    <t>Windows</t>
  </si>
  <si>
    <t>[步骤]
1、打开两个或两个以上界面，将通道管理界面调整到上下分屏显示
[结果]
通道管理界面查询按钮被覆盖
&lt;img alt="" src="{1081.png}" /&gt;
[期望]
正常显示</t>
  </si>
  <si>
    <t>QQ截图20170718141204</t>
  </si>
  <si>
    <t>801</t>
  </si>
  <si>
    <t>在告警界面未指定图片时，右键点击出现空的推送界面</t>
  </si>
  <si>
    <t>[步骤]
1、打开通道进行抓拍预览
2、待告警界面中有图片时，鼠标移到告警界面，连续右键点击
[结果]
出现没有图片的推送界面
&lt;img alt="" src="{1082.png}" /&gt;
[期望]
不出现推送界面</t>
  </si>
  <si>
    <t>QQ截图20170718141847</t>
  </si>
  <si>
    <t>804</t>
  </si>
  <si>
    <t>动态比对里抓拍的照片选中添加至模板，【保存成功】提示在后方</t>
  </si>
  <si>
    <t>[步骤]
  1.在动态比对里把抓拍到的照片选中添加至模板
  2.填写信息完成点击保存
[结果]
   保存成功提示信息在编辑模板照片的后方
[期望]
  应在编辑模板信息的前方显示</t>
  </si>
  <si>
    <t>810</t>
  </si>
  <si>
    <t>资源管理-通道管理：编辑通道后保存，不显示通道信息</t>
  </si>
  <si>
    <t>[步骤]
1、进入通道界面，进行编辑，编辑后保存
[结果]
保存后通道信息不显示，需点击其它控件后再选则编辑通道才显示通道信息
&lt;img alt="" src="{1087.jpg}" /&gt;
[期望]
保存后直接显示编辑后的通道信息</t>
  </si>
  <si>
    <t>811</t>
  </si>
  <si>
    <t>模板管理：目标对象页面刷新与分页问题若干</t>
  </si>
  <si>
    <t>1.新保存的目标，保存在当前页的最后一个位置，刷新后，变成第一个；
2.默认显示20个，但若一直新建，不刷新，新保存的目标，会一直显示在当前页面；
3.删除目标后，页面虽然刷新，但当前页现实数量为20-1，再删除一个，为20-2。。。若点击查询刷新页面，页面显示成20个目标对象；</t>
  </si>
  <si>
    <t>813</t>
  </si>
  <si>
    <t>“告警输出”和“告警提示”偶尔会有两种数据对不上的情况</t>
  </si>
  <si>
    <t>[步骤]
1.关注某通道，点击抓拍预览，关闭抓拍预览
2.比对“告警输出”和“告警提示”
[结果]
偶尔会有两种数据对不上的情况，如下图所示：
&lt;img alt="file-read-1092.png" src="{1092.png}" /&gt;
[期望]
二者数据应一样</t>
  </si>
  <si>
    <t>814</t>
  </si>
  <si>
    <t>视频平台登录接口，取消登录缺陷</t>
  </si>
  <si>
    <t>全部</t>
  </si>
  <si>
    <t>[步骤]
对统一ip,端口号，用户名密码进行分别登录返回句柄。
[结果]
程序对其中一个句柄进行取消登录，另一个登录下的视频浏览也中断。
[期望]
程序对其中一个句柄进行取消登录，另一个登录不受影响。
分析：
       两次登录返回了同一个句柄。如果sdk做了重复登录优化，应该增加登录引用计数。或者不做重复登录优化，返回不同句柄。</t>
  </si>
  <si>
    <t>815</t>
  </si>
  <si>
    <t>tab页拖动，隐藏后，不能再次打开</t>
  </si>
  <si>
    <t xml:space="preserve">[步骤]
1.拖动tab页
&lt;img src="{1095.png}" alt="file-read-1095.png" /&gt;
2.将其固定到右侧
&lt;img src="{1096.png}" alt="file-read-1096.png" /&gt;
3.点击小箭头，选择隐藏
&lt;img src="{1097.png}" alt="file-read-1097.png" /&gt;
4.告警窗口被隐藏后，再次点击菜单上的告警输出
&lt;img src="{1098.png}" alt="file-read-1098.png" /&gt;
[结果]
&lt;img src="{1099.png}" alt="file-read-1099.png" /&gt;
</t>
  </si>
  <si>
    <t>816</t>
  </si>
  <si>
    <t>tab页面拖拽造成客户端异常崩溃</t>
  </si>
  <si>
    <t xml:space="preserve">[步骤]
1.打开两个tab页，动态比对和告警输出，拖动其中的告警输出tab到如下图状态，此时鼠标不放开左键，键盘上alt+tab切换到其他程序
&lt;img src="{1101.png}" alt="file-read-1101.png" /&gt;
2.再次alt+tab切换回到客户端程序，鼠标左键点击告警标题框
[结果]
&lt;img src="{1100.png}" alt="file-read-1100.png" /&gt;
点重试，shell停止工作
&lt;img src="{1102.png}" alt="file-read-1102.png" /&gt;
</t>
  </si>
  <si>
    <t>819</t>
  </si>
  <si>
    <t>添加模板库名出现重复</t>
  </si>
  <si>
    <t>[步骤]
   1.  打开动态比对，模板管理
   2.  在动态比对里选中抓拍到的照片，编辑信息保存到模板库，保存完成
   3.  把模板管理关掉，再打开
[结果]  
   会出现重复两条模板库名
&lt;img alt="" src="{1105.png}" /&gt;
把动态比对和模板管理全关掉，再次打开
&lt;img alt="" src="{1106.png}" /&gt;
&lt;img alt="" src="{1107.png}" /&gt;
[期望]
    每次添加模板库名不能有重复</t>
  </si>
  <si>
    <t>820</t>
  </si>
  <si>
    <t>同一条告警在告警提示和告警输出，可以分别推送两次</t>
  </si>
  <si>
    <t xml:space="preserve">[步骤]
1.在动态比对，双击82.57的告警， 确认推送
&lt;img src="{1108.png}" alt="file-read-1108.png" /&gt;
2.在告警输出，其状态变为已确认，仍能再推
&lt;img src="{1110.png}" alt="file-read-1110.png" /&gt;
[结果]
&lt;img src="{1111.png}" alt="file-read-1111.png" /&gt;
[期望]
</t>
  </si>
  <si>
    <t>821</t>
  </si>
  <si>
    <t>动态比对-视频预览：开启后无法关闭</t>
  </si>
  <si>
    <t>[步骤]
1、进入动态比对界面，选择一个通道，右键点击打开视频预览
2、显示视频后，再次点击视频预览
[结果]
视频界面闪一下后，再次打开该通道视频
[期望]
打开视频时可关闭视频</t>
  </si>
  <si>
    <t>822</t>
  </si>
  <si>
    <t>比对服务(#34)</t>
  </si>
  <si>
    <t>历史检索--比对记录里输入区域通道信息点击今天，在重置选项点击今天显示为空</t>
  </si>
  <si>
    <t>[步骤]
     1.打开比对记录，选择区域，通道信息，点击今天
     2.在区域和通道中选择重置选项，点击今天
[结果]
     显示为空
[期望]
    显示今天的信息</t>
  </si>
  <si>
    <t>823</t>
  </si>
  <si>
    <t>资源管理--模板管理里添加模板库成功后显示信息是另一个模板库，点击新建模板库无反应</t>
  </si>
  <si>
    <t>[步骤]
     1.打开模板管理，添加模板库，点击保存
[结果] 
     保存成功以后，显示出另一个库【模板库新建】的信息，而且点击新建的模板库也刷新不到当前模板库
&lt;img alt="" src="{1126.png}" /&gt;
[期望]
  添加成功以后应该在当前模板库页面</t>
  </si>
  <si>
    <t>824</t>
  </si>
  <si>
    <t>告警记录中有超过90分的告警消息，动态比对和告警输出不展示</t>
  </si>
  <si>
    <t>&lt;img src="{1127.png}" alt="file-read-1127.png" /&gt;
&lt;img src="{1128.png}" alt="file-read-1128.png" /&gt;
&lt;img src="{1129.png}" alt="file-read-1129.png" /&gt;</t>
  </si>
  <si>
    <t>825</t>
  </si>
  <si>
    <t>告警记录，报警记录，比对记录里查询条件模板库没有及时更新</t>
  </si>
  <si>
    <t>[步骤]
     1.打开模板管理，在模板库里添加一个库，
     2.到告警记录查询条件【模板库】下没有即使更新
     3.报警记录，比对记录同上
     3.增，删，改都没有更新
[结果]
 1.  告警记录，报警记录，比对记录里的模板库都没有更新
  2. 要重新打开告警记录，才会有更新
[期望]
  跟模板管理里的同步更新</t>
  </si>
  <si>
    <t>产品立项</t>
  </si>
  <si>
    <t>若无产品规划书，结果为N</t>
  </si>
  <si>
    <t>NA</t>
  </si>
  <si>
    <t>若产品规划书要素填写不完整，结果为N
要素包含：需求人、产品需求描述、需求功能列表、需求确认、产品名称、规划人员、规划说明（尺寸、规则、修改建议等）</t>
  </si>
  <si>
    <t>若产品规划书未开展评审，结果为N</t>
  </si>
  <si>
    <t>若未进行立项申请及审批，结果为N</t>
  </si>
  <si>
    <t>产品启动</t>
  </si>
  <si>
    <t>若未开展产品启动会议，结果为N</t>
  </si>
  <si>
    <t>若未确定产品和团队章程，结果为N</t>
  </si>
  <si>
    <t>若未制定产品计划，结果为N</t>
  </si>
  <si>
    <t>若未建立产品需求待办列表，结果为N</t>
  </si>
  <si>
    <t>若未进行粗略估算，结果为N</t>
  </si>
  <si>
    <t>若未明确干系人角色卡，结果为N</t>
  </si>
  <si>
    <t>若无启动会会议纪要，结果为N</t>
  </si>
  <si>
    <t>若未进行过程裁剪，结果为N</t>
  </si>
  <si>
    <t>Y</t>
  </si>
  <si>
    <t>若过程裁剪不符合裁剪要求，结果为N</t>
  </si>
  <si>
    <t>产品收尾</t>
  </si>
  <si>
    <t>若产品发布后一周之内未开展产品总结会，结果为N</t>
  </si>
  <si>
    <t>若无产品总结表，结果为N</t>
  </si>
  <si>
    <t>若无产品发布通告，结果为N</t>
  </si>
  <si>
    <t>产品发布规划</t>
  </si>
  <si>
    <t>若未开展发布规划会议，结果为N</t>
  </si>
  <si>
    <t>若未分解用户故事，结果为N</t>
  </si>
  <si>
    <t>若未定义验收标准，结果为N</t>
  </si>
  <si>
    <t>N</t>
  </si>
  <si>
    <t>若未估算用户故事点数，结果为N</t>
  </si>
  <si>
    <t>若用户故事未排优先级，结果为N</t>
  </si>
  <si>
    <t>若未确定本次发布内的迭代次数，结果为N</t>
  </si>
  <si>
    <t>若未选择当前发布应完成的用户故事，结果为N</t>
  </si>
  <si>
    <t>若未进行风险管理，结果为N</t>
  </si>
  <si>
    <t>若发布会议未按时召开，结果为N</t>
  </si>
  <si>
    <t>若发布会议的参与角色不齐，结果为N</t>
  </si>
  <si>
    <t>若无发布会议纪要，结果为N</t>
  </si>
  <si>
    <t>迭代规划</t>
  </si>
  <si>
    <t>若未开展迭代计划会议，结果为N</t>
  </si>
  <si>
    <t>若未对迭代任务构建工作分解结构，结果为N</t>
  </si>
  <si>
    <t>若迭代计划中未包含评审任务，结果为N</t>
  </si>
  <si>
    <t>若未进行UI设计（需产出UI设计稿），结果为N</t>
  </si>
  <si>
    <t>若未进行系统设计（需产出系统设计文档），结果为N</t>
  </si>
  <si>
    <t>若未进行前端开发（需产出产品切片），结果为N</t>
  </si>
  <si>
    <t>若未进行后台及数据库开发（需产出开发文档），结果为N</t>
  </si>
  <si>
    <t>若未进行产品自测试（需产出测试方案），结果为N</t>
  </si>
  <si>
    <t>若未进行代码走查，结果为N</t>
  </si>
  <si>
    <t>若未在禅道中创建版本，结果为N</t>
  </si>
  <si>
    <t>若版本未关联需求，结果为N</t>
  </si>
  <si>
    <t>若版本的名称编号与本次基线名称不符，结果为N</t>
  </si>
  <si>
    <t>若提测申请单中版本与本次基线名称不符，结果为N</t>
  </si>
  <si>
    <t>若提测申请单中未说明本次测试目的、测试范围，结果为N</t>
  </si>
  <si>
    <t>若无系统测试案例，结果为N</t>
  </si>
  <si>
    <t>若无系统测试报告，结果为N</t>
  </si>
  <si>
    <t>若各阶段产出物要素填写不完整，结果为N
说明：各阶段产出物要求填写的要素需完整填写，不涉及的内容不能删除，建议填写“无”或“不涉及”</t>
  </si>
  <si>
    <t>若每日站会未准时开展，结果为N</t>
  </si>
  <si>
    <t>若看板上的任务与禅道中不一致，结果为N</t>
  </si>
  <si>
    <t>若每日站会时，未更新看板，结果为N</t>
  </si>
  <si>
    <t>若迭代结束后，未召开迭代审查与回顾会议，结果为N</t>
  </si>
  <si>
    <t>若无迭代审查与回顾会议纪要，结果为N</t>
  </si>
  <si>
    <t>若每轮迭代无改进行动计划，结果为N</t>
  </si>
  <si>
    <t>缺陷管理</t>
  </si>
  <si>
    <t>若禅道中未记录评审、自测试、代码走查、系统测试的缺陷，结果为N</t>
  </si>
  <si>
    <t>若未处理的缺陷，没有记录解决方案，结果为N</t>
  </si>
  <si>
    <r>
      <rPr>
        <sz val="10"/>
        <color theme="1"/>
        <rFont val="宋体"/>
        <family val="3"/>
        <charset val="134"/>
      </rPr>
      <t>迭代</t>
    </r>
    <r>
      <rPr>
        <sz val="10"/>
        <color theme="1"/>
        <rFont val="Arial"/>
        <family val="2"/>
      </rPr>
      <t>2</t>
    </r>
    <phoneticPr fontId="13" type="noConversion"/>
  </si>
  <si>
    <r>
      <rPr>
        <sz val="10"/>
        <color theme="1"/>
        <rFont val="宋体"/>
        <family val="3"/>
        <charset val="134"/>
      </rPr>
      <t>迭代</t>
    </r>
    <r>
      <rPr>
        <sz val="10"/>
        <color theme="1"/>
        <rFont val="Arial"/>
        <family val="2"/>
      </rPr>
      <t>3</t>
    </r>
    <phoneticPr fontId="13" type="noConversion"/>
  </si>
  <si>
    <t>NA</t>
    <phoneticPr fontId="13" type="noConversion"/>
  </si>
  <si>
    <t>20170724~20170930</t>
    <phoneticPr fontId="13" type="noConversion"/>
  </si>
  <si>
    <t>272</t>
  </si>
  <si>
    <t>255</t>
  </si>
  <si>
    <t>254</t>
  </si>
  <si>
    <t>253</t>
  </si>
  <si>
    <t>252</t>
  </si>
  <si>
    <t>251</t>
  </si>
  <si>
    <t>250</t>
  </si>
  <si>
    <t>249</t>
  </si>
  <si>
    <t>248</t>
  </si>
  <si>
    <t>247</t>
  </si>
  <si>
    <t>246</t>
  </si>
  <si>
    <t>245</t>
  </si>
  <si>
    <t>244</t>
  </si>
  <si>
    <t>243</t>
  </si>
  <si>
    <t>242</t>
  </si>
  <si>
    <t>241</t>
  </si>
  <si>
    <t>240</t>
  </si>
  <si>
    <t>239</t>
  </si>
  <si>
    <t>238</t>
  </si>
  <si>
    <t>237</t>
  </si>
  <si>
    <t>236</t>
  </si>
  <si>
    <t>235</t>
  </si>
  <si>
    <t>234</t>
  </si>
  <si>
    <t>233</t>
  </si>
  <si>
    <t>232</t>
  </si>
  <si>
    <t>231</t>
  </si>
  <si>
    <t>230</t>
  </si>
  <si>
    <t>229</t>
  </si>
  <si>
    <t>228</t>
  </si>
  <si>
    <t>227</t>
  </si>
  <si>
    <t>226</t>
  </si>
  <si>
    <t>186</t>
  </si>
  <si>
    <t>182</t>
  </si>
  <si>
    <t>181</t>
  </si>
  <si>
    <t>180</t>
  </si>
  <si>
    <t>179</t>
  </si>
  <si>
    <t>178</t>
  </si>
  <si>
    <t>143</t>
  </si>
  <si>
    <t>布控任务（规则）</t>
  </si>
  <si>
    <t>布控任务列表</t>
  </si>
  <si>
    <t>布控任务搜索</t>
  </si>
  <si>
    <t>布控任务开启/关闭</t>
  </si>
  <si>
    <t>新建布控任务</t>
  </si>
  <si>
    <t>修改布控任务</t>
  </si>
  <si>
    <t>删除布控任务</t>
  </si>
  <si>
    <t>布控任务-添加、删除布控目标库</t>
  </si>
  <si>
    <t>布控任务-添加、删除布控区域通道</t>
  </si>
  <si>
    <t>布控计划生效时段、状态变更</t>
  </si>
  <si>
    <t>比对策略列表</t>
  </si>
  <si>
    <t>新建比对策略</t>
  </si>
  <si>
    <t>修改比对策略</t>
  </si>
  <si>
    <t>搜索比对策略</t>
  </si>
  <si>
    <t>登录鉴权</t>
  </si>
  <si>
    <t>布控任务-列表（优先级1）</t>
  </si>
  <si>
    <t>布控任务-搜索</t>
  </si>
  <si>
    <t>布控任务-详情</t>
  </si>
  <si>
    <t>布控任务-统计</t>
  </si>
  <si>
    <t>布控任务-告警、报警订阅</t>
  </si>
  <si>
    <t>布控任务-任务修改、策略参数调整</t>
  </si>
  <si>
    <t>区域通道-列表</t>
  </si>
  <si>
    <t>区域通道-通道名称搜索</t>
  </si>
  <si>
    <t>区域通道-通道抓拍预览</t>
  </si>
  <si>
    <t>区域通道-通道视频预览</t>
  </si>
  <si>
    <t>区域通道-通道状态感知</t>
  </si>
  <si>
    <t>目标预警-今日预警统计</t>
  </si>
  <si>
    <t>目标预警-列表告警、报警</t>
  </si>
  <si>
    <t>目标预警-告警通知、更新</t>
  </si>
  <si>
    <t>目标预警-预警弹窗控制</t>
  </si>
  <si>
    <t>目标预警-目标比对</t>
  </si>
  <si>
    <t>比对详情页--功能入口</t>
  </si>
  <si>
    <t>比对详情页-详细信息</t>
  </si>
  <si>
    <t>比对图-目标人刷新</t>
  </si>
  <si>
    <t>比对图-目标比对操作</t>
  </si>
  <si>
    <t>场景图</t>
  </si>
  <si>
    <t>20s场景视频</t>
  </si>
  <si>
    <t>位置跟踪</t>
  </si>
  <si>
    <t>告警列表</t>
  </si>
  <si>
    <t>分状态显示告警</t>
  </si>
  <si>
    <t>日期、时段筛选</t>
  </si>
  <si>
    <t>高级筛选（搜索）</t>
  </si>
  <si>
    <t>告警分页</t>
  </si>
  <si>
    <t>告警详情页</t>
  </si>
  <si>
    <t>删除比对策略</t>
  </si>
  <si>
    <t>一定要</t>
  </si>
  <si>
    <t>可以要</t>
  </si>
  <si>
    <t>应该要</t>
  </si>
  <si>
    <t>迭代4</t>
    <phoneticPr fontId="13" type="noConversion"/>
  </si>
  <si>
    <t>1076</t>
  </si>
  <si>
    <t>目标库：编辑目标人信息不保存，列表中信息已经存在，需刷新后正常</t>
  </si>
  <si>
    <t>[步骤]
1.点击目标库
2.选择目标人点击编辑
3.
[结果]
点击编辑，进入编辑状态
&lt;img alt="" src="{1445.png}" /&gt;
编辑信息，列表中实时同步，不点保存列表中已经有信息显示，需刷新后正常
&lt;img alt="" src="{1446.png}" /&gt;
[期望]</t>
  </si>
  <si>
    <t>2017-08-28</t>
  </si>
  <si>
    <t>RLSB_V2.0_20170825(#38)</t>
  </si>
  <si>
    <t>薛保波</t>
  </si>
  <si>
    <t>1075</t>
  </si>
  <si>
    <t>资源管理—通道管理—通道列表：输入错误查询条件，界面未显示所有区域</t>
  </si>
  <si>
    <t>[步骤]
1.进入区域通道/通道管理/通道列表
2.在搜索框内输入不正确查询条件
[结果]
右侧界面没有显示所有区域
[期望]
右侧界面没有显示所有区域</t>
  </si>
  <si>
    <t>李菡</t>
  </si>
  <si>
    <t>RLSB_V2.0_20170824(#37)</t>
  </si>
  <si>
    <t>东升璐</t>
  </si>
  <si>
    <t>1074</t>
  </si>
  <si>
    <t>修改目标库信息，实现与文档不一致</t>
  </si>
  <si>
    <t>[步骤]
1、抓包获取客户端通信信息与文档比对
[结果]
1、数据包参数与文档不符
[期望]
1、实现与文档一致
&lt;img src="{1444.jpg}" alt="" /&gt;</t>
  </si>
  <si>
    <t>明星宇</t>
  </si>
  <si>
    <t>1073</t>
  </si>
  <si>
    <t>新增目标库，实现与文档不一致</t>
  </si>
  <si>
    <t xml:space="preserve">[步骤]
1、抓包获取客户端通信信息与文档比对
[结果]
1、数据包参数与文档不符
[期望]
1、实现与文档一致
&lt;img src="{1443.jpg}" alt="" /&gt;
</t>
  </si>
  <si>
    <t>1072</t>
  </si>
  <si>
    <t>布控/策略(#55)</t>
  </si>
  <si>
    <t>布控任务：点击编辑，添加目标人，通道保存，任务列表不显示</t>
  </si>
  <si>
    <t>[步骤]
1.点击布控任务
2.点击更多-编辑
3.添加目标人，添加通道信息
4.点击保存
[结果]
点击编辑，添加目标人，添加通道，新建的任务类型为区域监视，打开编辑显示的目标监视
&lt;img alt="" src="{1440.png}" /&gt;
点击保存，刷新后
&lt;img alt="" src="{1441.png}" /&gt;
点击查看
&lt;img alt="" src="{1442.png}" /&gt;
[期望]
编辑后的信息在列表中显示</t>
  </si>
  <si>
    <t>张孝文</t>
  </si>
  <si>
    <t>1071</t>
  </si>
  <si>
    <t>通道管理：修改通道名称等会造成cap_stat字段置为空，导致没有抓拍</t>
  </si>
  <si>
    <t>1070</t>
  </si>
  <si>
    <t>模板管理，打开模板管理目录时多发送一个目标人查询请求</t>
  </si>
  <si>
    <t>[步骤]
1、打开客户端首页，点击模板管理打开模板管理目录
[结果]
1、打开模板管理目录时多发送一次目标人查询请求（请求传入参数为null），返回异常
[期望]
1、正确发送请求
&lt;img src="{1438.jpg}" alt="" /&gt;
&lt;img src="{1439.jpg}" alt="" /&gt;</t>
  </si>
  <si>
    <t>1069</t>
  </si>
  <si>
    <t>资源管理——模板管理：目标对象管理，备注显示错误</t>
  </si>
  <si>
    <t>[前置条件]
登录成功[步骤]
1.进入目标库/目标对象管理
2.打开目标对象列表
[结果]
目标对象备注过长时，显示页面错误
&lt;img alt="" src="{1437.png}" /&gt;
[期望]
页面显示完全（字符中间可省略）</t>
  </si>
  <si>
    <t>资源管理——模板管理：核查人脸对象列表(134)</t>
  </si>
  <si>
    <t>1068</t>
  </si>
  <si>
    <t>布控任务：点击查看无效，点击布控任务A启动或关闭，再点击任何一条布控任务查看，显示都是布控任务A的信息</t>
  </si>
  <si>
    <t>[步骤]
1.点击布控任务
2.点击查看，没有弹窗
3.选中布控任务A，点击启动或关闭
4.在点击布控任务A、B、C的【查看】按钮
[结果]
弹出详细信息都是布控任务A的
[期望]</t>
  </si>
  <si>
    <t>1067</t>
  </si>
  <si>
    <t>目标库查询与统计，实现与文档不一致</t>
  </si>
  <si>
    <t xml:space="preserve">[步骤]
1、抓包获取客户端通信信息与文档比对
[结果]
1、数据包参数与文档不符
[期望]
1、实现与文档一致
&lt;img src="{1436.jpg}" alt="" /&gt;
</t>
  </si>
  <si>
    <t>1066</t>
  </si>
  <si>
    <t>布控任务：自定义的布控任务，时间段应展示开始、结束时间</t>
  </si>
  <si>
    <t>[结果]
&lt;img alt="file-read-1435.png" src="{1435.png}" /&gt;
[期望]
&lt;img alt="file-read-1434.png" src="{1434.png}" /&gt;</t>
  </si>
  <si>
    <t>1065</t>
  </si>
  <si>
    <t>布控任务：新布控任务名称与已删除的布控任务同名时，不能创建布控任务</t>
  </si>
  <si>
    <t>[步骤]
1.新建一个名叫“永久”的布控任务；
2.删除“永久”
3.新建“永久”
[结果]
core日志报空指针；前台页面没有展示新任务；数据库job表没有新任务；
[期望]
应允许新建名叫“永久”的布控任务</t>
  </si>
  <si>
    <t>1064</t>
  </si>
  <si>
    <t>告警提示：点击详细信息，报错，系统崩溃</t>
  </si>
  <si>
    <t>&lt;img src="{1432.png}" alt="file-read-1432.png" /&gt;
&lt;img src="{1433.png}" alt="file-read-1433.png" /&gt;</t>
  </si>
  <si>
    <t>1063</t>
  </si>
  <si>
    <t>布控任务：第一次打开布控任务页面，不要新建，直接点击操作项中的更多，点击编辑，客户端崩溃</t>
  </si>
  <si>
    <t>&lt;img alt="file-read-1430.png" src="{1430.png}" /&gt;
&lt;img alt="file-read-1431.png" src="{1431.png}" /&gt;</t>
  </si>
  <si>
    <t>1062</t>
  </si>
  <si>
    <t>首页(#122)</t>
  </si>
  <si>
    <t>首页-布控任务：点击布控中的布控任务告警数变为0</t>
  </si>
  <si>
    <t>[步骤]
1.点击首页
2.点击布控任务
3.点击布控中的任务
[结果]
点击布控任务，显示布控任务的告警数
&lt;img alt="" src="{1428.png}" /&gt;
在点击布控任务查看详细信息，告警为0
&lt;img alt="" src="{1429.png}" /&gt;
[期望]
点击布控任务查看详细信息，告警数正确</t>
  </si>
  <si>
    <t>主干(#trunk)
 RLSB_V2.0_20170824(#37)</t>
  </si>
  <si>
    <t>1061</t>
  </si>
  <si>
    <t>区域通道信息查询，实现与设计文档不符</t>
  </si>
  <si>
    <t>[步骤]
1、抓包获取客户端通信信息与文档比对
[结果]
1、数据包参数与文档不符
注：通道信息查询文档同样不符
[期望]
1、实现与文档一致
&lt;img src="{1427.jpg}" alt="" /&gt;</t>
  </si>
  <si>
    <t>1060</t>
  </si>
  <si>
    <t>用户登录认证，登录时密码不区分大小写</t>
  </si>
  <si>
    <t>接口错误</t>
  </si>
  <si>
    <t>[步骤]
1、调用用户登录认证接口，输入密码大小写与注册时不同的密码
URL：http://192.168.1.176:8080/facecore/sysUser/login
参数：{"ip":"192.168.1.176","username":"abcabcabc","password":"ABCABC_abc"}
[结果]
1、登录成功
[期望]
1、登录失败，返回响应错误数据
&lt;img src="{1426.jpg}" alt="" /&gt;</t>
  </si>
  <si>
    <t>1059</t>
  </si>
  <si>
    <t>删除相关接口，输入任意参数都返回成功</t>
  </si>
  <si>
    <t>[步骤]
1、调用删除通道 信息，输入已删除的通道的uuid
URL：http://192.168.1.176:8080/facecore/channel/delete
参数：["28d123116dd04a2c8a95d6af8115580b","28d123116dd04a2c8a95d6af8115580b"]
其它删除接口也如此
[结果]
1、返回删除成功，返回数据：{'error':0,'map':{},'message':'successful'}
[期望]
1、返回正确错误信息
&lt;img src="{1425.jpg}" alt="" /&gt;</t>
  </si>
  <si>
    <t>1058</t>
  </si>
  <si>
    <t>首页-视频预览：视频预览中左下角没有显示通道名称</t>
  </si>
  <si>
    <t>[步骤]
1.点击首页
2.点击区域通道里的通道
3.点击视频预览
[结果]
视频预览左下角没有通道名称
点击视频预览
&lt;img alt="" src="{1423.png}" /&gt;
[期望]
&lt;img alt="" src="{1424.png}" /&gt;</t>
  </si>
  <si>
    <t>2017-08-25</t>
  </si>
  <si>
    <t>1057</t>
  </si>
  <si>
    <t>布控任务：新建自定义，填写开始、结束时间，再次打开时，结束时间为空</t>
  </si>
  <si>
    <t xml:space="preserve">&lt;img alt="file-read-1422.png" src="{1422.png}" /&gt;
</t>
  </si>
  <si>
    <t>1056</t>
  </si>
  <si>
    <t>布控任务：新建布控任务添加目标人，弹出目标库列表默认有一条目标库</t>
  </si>
  <si>
    <t>[步骤]
1.点击布控任务
2.点击新建任务
3.点击添加目标人
[结果]
每次打开有一个默认的目标库
&lt;img alt="" src="{1421.png}" /&gt;
[期望]
没有默认的目标库</t>
  </si>
  <si>
    <t>1055</t>
  </si>
  <si>
    <t>模板管理：模板库点击新建，添加目标，其模板库id为0，模板库为0的目标对象并不能展示在客户端</t>
  </si>
  <si>
    <t>[步骤]
1.目标库
2.模板库编辑，点击新建
&lt;img src="{1418.png}" alt="file-read-1418.png" /&gt;
3.目标对象管理，右键，新建
&lt;img src="{1419.png}" alt="file-read-1419.png" /&gt;
5.输入有效的信息、添加照片，点击保存；
[结果]
保存后，该人模板库id存为0
&lt;img src="{1420.png}" alt="file-read-1420.png" /&gt;
然而并没有id为0的模板库，所以该人从客户端无法展示
[期望]
禁止新建模板库id为0的人员</t>
  </si>
  <si>
    <t>1054</t>
  </si>
  <si>
    <t>布控任务_任务概览：任务列表排序按如下条件自定义：类型、状态、创建时间，点击三角排序无效</t>
  </si>
  <si>
    <t>[步骤]
1.点击布控任务
2.验证点击布控状态，创建时间自定义顺序、倒叙排列
[结果]
         点击无反应
[期望]
点击可以自定义排序</t>
  </si>
  <si>
    <t>布控任务_任务概览：验证任务列表排序可按如下条件自定义：任务名称、类型、状态、布控人、创建时间(800)</t>
  </si>
  <si>
    <t>1053</t>
  </si>
  <si>
    <t>首页-中间布控任务：布控描述信息过长，展示不全</t>
  </si>
  <si>
    <t>[步骤]
1.点击首页
2.点击左方布控中的任务
3.验证中间布控任务展示详细信息，描述信息过长
[结果]
描述信息过长&lt;img alt="" src="{1412.png}" /&gt;
首页-中间布控任务展示不全
&lt;img alt="" src="{1413.png}" /&gt;
[期望]</t>
  </si>
  <si>
    <t>1052</t>
  </si>
  <si>
    <t>通道管理：删除区域后，其下所属通道没有被删除</t>
  </si>
  <si>
    <t>通道是逻辑删除，channel表中的is_deleted没有被置为1</t>
  </si>
  <si>
    <t>1051</t>
  </si>
  <si>
    <t>资源管理——模板管理：目标对象管理列表显示不全</t>
  </si>
  <si>
    <t xml:space="preserve">[前置条件]
正常登陆系统
[步骤]
1.进入目标库/模板管理
2.进入目标对象管理页面
3.查看目标对象列表
[结果]
列表上未显示年龄和创建时间
[期望]
列表上显示年龄和创建时间
</t>
  </si>
  <si>
    <t>1050</t>
  </si>
  <si>
    <t>首页_查询布控任务：点击搜索按钮，多出重复信息，在次点击，有多出一组重复信息</t>
  </si>
  <si>
    <t>[前置条件]
登陆客户端，有布控任务[步骤]
1.点击首页
2.点击区域通道
3.点击搜索，弹出搜索框
4.搜索框为空
[结果]
点击搜索前
&lt;img alt="" src="{1414.png}" /&gt;
点击搜索后
&lt;img alt="" src="{1415.png}" /&gt;
再次点击
&lt;img alt="" src="{1416.png}" /&gt;
[期望]
正常搜索</t>
  </si>
  <si>
    <t>首页_查询布控任务：搜索框保持为空，显示所有布控任务(821)</t>
  </si>
  <si>
    <t>1049</t>
  </si>
  <si>
    <t>布控任务：有列表数据时，列表刷新出来的速度较慢，会显示无关键字的页面</t>
  </si>
  <si>
    <t>&lt;img src="{1409.png}" alt="file-read-1409.png" /&gt;</t>
  </si>
  <si>
    <t>1048</t>
  </si>
  <si>
    <t>布控任务_新建任务：目标库，验证展示所有目标库，删除的目标库不在此处显示</t>
  </si>
  <si>
    <t>[步骤]
1.点击布控任务
2.点击新建任务
3.选择目标人
4.验证目标库列表
[结果]
&lt;img alt="" src="{1407.png}" /&gt;
已删除的目标库不应再此处显示
&lt;img alt="" src="{1408.png}" /&gt;
[期望]只显示未删除的</t>
  </si>
  <si>
    <t>布控任务_新建任务：目标库，验证展示所有目标库(832)</t>
  </si>
  <si>
    <t>1047</t>
  </si>
  <si>
    <t>模板库：编辑模板库，验证新建按钮功能，状态一项恢复为未使用</t>
  </si>
  <si>
    <t>[前置条件]
登录成功[步骤]
1.进入目标库/模板库编辑页面
2.在模板名称启用状态备注等输入正确数据
3.点击新建按钮
[结果]
启用状态一项应恢复为”是“
&lt;img alt="" src="{1406.png}" /&gt;
[期望]
启用状态一项应恢复为未使用</t>
  </si>
  <si>
    <t>1046</t>
  </si>
  <si>
    <t>布控任务_新建任务：任务名称、描述字段没有做字符长度校验</t>
  </si>
  <si>
    <t>风险</t>
  </si>
  <si>
    <t>[前置条件]
任务名称，输入框
长度校验：64字符
允许输入字符：中英文、数字
唯一校验
非空校验[步骤]
1.点击布控任务
2.点击新建任务
3.验证任务名称长度，特殊字符
4.验证任务描述长度，特殊字符
[结果]
3.任务名称输入64位字符保存失败，输入特殊字符保存成功
4.任务描述输入超过512位字符，保存成功
&lt;img alt="" src="{1405.png}" /&gt;
[期望]</t>
  </si>
  <si>
    <t>布控任务_新建任务：验证任务名称输入框(817)</t>
  </si>
  <si>
    <t>1045</t>
  </si>
  <si>
    <t>布控任务_新建任务：目标库，再次点开目标库弹窗，之前已选中的目标库应被勾选</t>
  </si>
  <si>
    <t>[步骤]
1.点击布控任务
2.点击新建任务
3.点击选择目标人
4.验证选择目标库点击保存
5.再次打开已选择的目标库已被勾选
[结果]
选择两个库
&lt;img alt="" src="{1403.png}" /&gt;
再次打开，默认第一个
&lt;img alt="" src="{1404.png}" /&gt;
[期望]
再次打开，已被选中的目标库被勾选</t>
  </si>
  <si>
    <t>布控任务_新建任务：目标库，再次点开目标库弹窗，验证之前已选中的目标库应被勾选(837)</t>
  </si>
  <si>
    <t>1043</t>
  </si>
  <si>
    <t>人脸对象：人脸对象按姓名模糊查询</t>
  </si>
  <si>
    <t>[前置条件]
登录成功，资源管理-&amp;gt;模板管理[步骤]
1.进入模板管理/目标对象管理
2.打开目标对象列表
3.按姓名进行查询
[结果]
查询失败
[期望]
查询成功</t>
  </si>
  <si>
    <t>2017-08-24</t>
  </si>
  <si>
    <t>人脸对象：人脸对象按姓名模糊查询(106)</t>
  </si>
  <si>
    <t>1042</t>
  </si>
  <si>
    <t>有抓拍数据，没有比对结果，fcmp_capture_alarm表为空</t>
  </si>
  <si>
    <t>face_template_db,有id为9的模板库；
模板库9里有目标对象和目标模板照片；
布控任务e2beb2a24c954c6c847933b1211cc9e8中包含通道 3397b85dd41e4ddfb23214fd794b525a、模板库9；
抓拍表face_capture有通道3397b85dd41e4ddfb23214fd794b525a的抓拍；
比对服务中，模板库9在比对；
fcmp_capture_alarm表为空</t>
  </si>
  <si>
    <t>1041</t>
  </si>
  <si>
    <t>人脸对象：新建人脸对象，浏览添加非人脸照片</t>
  </si>
  <si>
    <t>[步骤]
1.进入目标对象管理/新建目标对象
2.新建非人脸照片
[结果]
3.没有弹出提示--"检测不到人脸"
[期望]
新建非人脸照片时，弹出提示--"检测不到人脸"</t>
  </si>
  <si>
    <t>1040</t>
  </si>
  <si>
    <t>资源管理——模板管理：模板图片的移除</t>
  </si>
  <si>
    <t>[前置条件]
登录成功[步骤]
1.进入目标对象管理界面
2.进入目标对象编辑界面点击移除按钮
3.点击模板图片，点击鼠标右键，出现移除模板一项，点击移除模板
[结果]
两种操作均未实现模板照片移除
[期望]
两种操作均实现模板照片移除</t>
  </si>
  <si>
    <t>资源管理——模板管理：模板图片的移除(153)</t>
  </si>
  <si>
    <t>1039</t>
  </si>
  <si>
    <t>布控任务：布控任务页面点击翻页无效、统计条数不正确</t>
  </si>
  <si>
    <t>[步骤]
1.点击布控任务
2.验证翻页、统计条数
[结果]
点击翻页无效，统计数不正确
&lt;img alt="" src="{1401.png}" /&gt;
[期望]
正常翻页，统计条数正确</t>
  </si>
  <si>
    <t>1038</t>
  </si>
  <si>
    <t>告警订阅，输入uid、jobId后提示SQL语句错误</t>
  </si>
  <si>
    <t>[步骤]
1、调用告警订阅接口，输入uid、jobId参数
参数：{"uid":"227159349775419893c9ad3a95dfaf40","jobId":"e2beb2a24c954c6c847933b1211cc9e8"}
地址：http://192.168.1.176:8080/facecore/sysSubscribe/saveSec
[结果]
1、返回数据提示sql错误.
返回数据：{'error':100,'map':{},'message':'\n### Error querying database.  Cause: com.mysql.jdbc.exceptions.jdbc4.MySQLSyntaxErrorException: Unknown column \'sub_type\' in \'field list\'\n### The error may exist in file [/root/rlsb/apache-tomcat-8.0.23/webapps/facecore/WEB-INF/classes/com/sensing/core/bean/mapper/SysSubscribe.xml]\n### The error may involve defaultParameterMap\n### The error occurred while setting parameters\n### SQL: select       uuid,uid,job_id,state,sub_time,sub_type      from sys_subscribe    WHERE  uid = ?             and job_id = ?             and sub_type = ?\n### Cause: com.mysql.jdbc.exceptions.jdbc4.MySQLSyntaxErrorException: Unknown column \'sub_type\' in \'field list\'\n; bad SQL grammar []; nested exception is com.mysql.jdbc.exceptions.jdbc4.MySQLSyntaxErrorException: Unknown column \'sub_type\' in \'field list\''}
[期望]
告警订阅成功
&lt;img src="{1402.jpg}" alt="" /&gt;</t>
  </si>
  <si>
    <t>1037</t>
  </si>
  <si>
    <t>模板库：模板库列表页面非正常显示</t>
  </si>
  <si>
    <t>[前置条件]
登录成功[步骤]
1.进入模板管理
2.查看模板库列表
3.模板库列表创建时间栏显示不正常，（拉伸页面，滑动滚动条均显示错误）
[结果]
&lt;img alt="" src="{1400.png}" /&gt;
[期望]
模板库列表页面显示正常</t>
  </si>
  <si>
    <t>模板库：核查模板库列表的列名(374)</t>
  </si>
  <si>
    <t>1036</t>
  </si>
  <si>
    <t>首页-中间布控任务：验证详细信息：任务类型，布控计划，布控人，描述，布控区域，布控目标，布控库，比对策略，创建时间</t>
  </si>
  <si>
    <t>[前置条件]
登录客户端[步骤]
1.点击左方布控中的布控任务
2.中间布控任务展示详细信息
[结果]
该布控任务的信息
&lt;img alt="" src="{1398.png}" /&gt;
首页展示的信息
&lt;img alt="" src="{1399.png}" /&gt;
[期望]
正常展示</t>
  </si>
  <si>
    <t>首页-中间布控任务：验证详细信息：任务类型，布控计划，布控人，描述，布控区域，布控目标，布控库，比对策略，创建时间(803)</t>
  </si>
  <si>
    <t>1035</t>
  </si>
  <si>
    <t>人脸对象：对象按性别查询</t>
  </si>
  <si>
    <t>[步骤]
1.正常登录系统
2.进入目标对象管理
3.按性别进行查询
[结果]
查询失败
[期望]
按性别查询成功</t>
  </si>
  <si>
    <t>人脸对象：对象按性别查询(521)</t>
  </si>
  <si>
    <t>1034</t>
  </si>
  <si>
    <t>资源管理——模板管理：输入合法的人脸对象信息，验证该人脸对象新建成功</t>
  </si>
  <si>
    <t>[步骤]
1.正常登录系统
2.进入目标对象管理
3.填写相应信息，进行新建目标对象任务
[结果]
1.成功新建两个目标对象后，添加后续对象时，出现人员添加成功，但图像未正常显示。
2.继续添加对象，出现数据提交失败，如下图所示。
&lt;img alt="" src="{1397.png}" /&gt;
[期望]</t>
  </si>
  <si>
    <t>资源管理——模板管理：输入合法的人脸对象信息，验证该人脸对象新建成功(139)</t>
  </si>
  <si>
    <t>1033</t>
  </si>
  <si>
    <t>通道管理：修改通道名称失败</t>
  </si>
  <si>
    <t>[步骤]
1.修改通道名称；
2.点击保存；
[结果]
客户端报错数据提交失败；
core日志报错如下：
ERROR [http-nio-8080-exec-1] - org.springframework.dao.DataIntegrityViolationException: 
### Error updating database.  Cause: com.mysql.jdbc.exceptions.jdbc4.MySQLIntegrityConstraintViolationException: Column 'is_del' cannot be null
### The error may involve defaultParameterMap
### The error occurred while setting parameters
### SQL: update channel set channel_name=?,channel_description=?,channel_type=?,channel_addr=?,channel_port=?,channel_uid=?,channel_psw=?,channel_no=?,channel_guid=?,min_face_width=?,min_img_quality=?,min_cap_distance=?,max_save_distance=?,max_yaw=?,max_roll=?,max_pitch=?,channel_longitude=?,channel_latitude=?,channel_area=?,channel_direct=?,channel_threshold=?,cap_stat=?,is_del=?,last_timestamp=?,region_id=?,reserved=?,sdk_ver=?,important=?,channel_verid=?     where uuid=?
### Cause: com.mysql.jdbc.exceptions.jdbc4.MySQLIntegrityConstraintViolationException: Column 'is_del' cannot be null
; SQL []; Column 'is_del' cannot be null; nested exception is com.mysql.jdbc.exceptions.jdbc4.MySQLIntegrityConstraintViolationException: Column 'is_del' cannot be null
[期望]
能够修改通道</t>
  </si>
  <si>
    <t>1032</t>
  </si>
  <si>
    <t>布控任务：关闭中的布控任务，点击启动，刷新后为关闭状态</t>
  </si>
  <si>
    <t>[步骤]
1.点击布控任务
2.选中关闭中的布控任务
3.点击启动
4.点击刷新
[结果]
步骤 2
&lt;img alt="" src="{1393.png}" /&gt;
步骤 3
&lt;img alt="" src="{1394.png}" /&gt;
步骤 4 点击刷新后
&lt;img alt="" src="{1395.png}" /&gt;
[期望]
点击启动更新为启动状态，点击刷新启动状态不变</t>
  </si>
  <si>
    <t>文博,</t>
  </si>
  <si>
    <t>RLSB_V2.0_201708(#36)</t>
  </si>
  <si>
    <t>1031</t>
  </si>
  <si>
    <t>布控任务：验证新建布控任务选择永久布控不能保存，自定义保存成功但列表信息显示永久布控</t>
  </si>
  <si>
    <t>[步骤]
1.点击布控任务
2.点击新建布控任务
3.输入框正确填写，布控计划选择永久布控
4.输入框正确填写，布控计划选择自定义
[结果]
3.布控计划选择永久布控，保存不成功
&lt;img alt="" src="{1389.png}" /&gt;
&lt;img alt="" src="{1390.png}" /&gt;
4.布控计划选择自定义，保存成功但是显示永久布控
&lt;img alt="" src="{1391.png}" /&gt;
&lt;img alt="" src="{1392.png}" /&gt;
[期望]
永久布控可以正常保存，自定义保存成功，显示自定义时间</t>
  </si>
  <si>
    <t>1030</t>
  </si>
  <si>
    <t>人脸对象：对象按证件号模糊查询</t>
  </si>
  <si>
    <t>[步骤]
1.正常登陆系统
2.进入目标对象管理
3.按照证件号查询目标对象
[结果]
查询失败
[期望]
按照证件号查询目标对象查询成功</t>
  </si>
  <si>
    <t>人脸对象：对象按证件号模糊查询(524)</t>
  </si>
  <si>
    <t>1029</t>
  </si>
  <si>
    <t>首页-搜索：搜索框内输入长字符，遮盖了清除关键字按钮和提交搜索按钮，长度未做效验</t>
  </si>
  <si>
    <t>[步骤]
1.点击首页
2.点击搜索按钮
3.搜索框内输入过长字符
4.长度未做效验
[结果]
遮盖了清除关键字按钮和提交搜索按钮
&lt;img alt="" src="{1384.png}" /&gt;
[期望]</t>
  </si>
  <si>
    <t>1028</t>
  </si>
  <si>
    <t>布控任务：自定义的布控计划，开始、结束时间没有做非空校验</t>
  </si>
  <si>
    <t>2017-08-23</t>
  </si>
  <si>
    <t>1027</t>
  </si>
  <si>
    <t>布控任务：已选中目标库，没有回显到添加目标库窗口</t>
  </si>
  <si>
    <t xml:space="preserve">
&lt;img src="{1382.png}" alt="file-read-1382.png" /&gt;
</t>
  </si>
  <si>
    <t>1026</t>
  </si>
  <si>
    <t>布控任务：已选中通道，没有显示在添加区域通道的窗口</t>
  </si>
  <si>
    <t>代码改进</t>
  </si>
  <si>
    <t>[步骤]
1.新建布控任务；
2.选择某区域、通道；
3.点击确定；
4.再次点击添加通道；
[结果]
已选中通道，没有显示在添加区域通道的窗口
&lt;img src="{1381.png}" alt="file-read-1381.png" /&gt;
[期望]
已选中通道，应显示在添加区域通道的窗口</t>
  </si>
  <si>
    <t>1025</t>
  </si>
  <si>
    <t>布控任务：启动、关闭任务不需要二次提示</t>
  </si>
  <si>
    <t>&lt;img src="{1380.png}" alt="file-read-1380.png" /&gt;</t>
  </si>
  <si>
    <t>1024</t>
  </si>
  <si>
    <t>布控任务：永久布控的任务，启动后查看，布控计划变更为自定义</t>
  </si>
  <si>
    <t>&lt;img src="{1379.png}" alt="file-read-1379.png" /&gt;</t>
  </si>
  <si>
    <t>1023</t>
  </si>
  <si>
    <t>布控任务：更多菜单的启动、关闭布控任务不生效</t>
  </si>
  <si>
    <t>[步骤]
1.选中某布控中的任务，点击更多；
2.点击关闭；
3.验证任务状态；
4.选中某关闭的任务，点击更多；
5.点击启动；
6.验证任务状态；
[结果]
步骤3和6中的任务状态不变
注意：列表上边的启动、关闭功能是好的
[期望]
3.任务关闭；
6.任务启动</t>
  </si>
  <si>
    <t>1022</t>
  </si>
  <si>
    <t>建议：首页告警、报警订阅提示（√报警已订阅）</t>
  </si>
  <si>
    <t>[步骤]
1.点击首页
2.点击布控任务
3.点击告警、报警订阅
[结果]
订阅成功建议是（√）
&lt;img alt="" src="{1377.png}" /&gt;
[期望]</t>
  </si>
  <si>
    <t>1021</t>
  </si>
  <si>
    <t>布控任务：查看任务窗口弹出时，任务列表的类型不见了</t>
  </si>
  <si>
    <t>[步骤]
1.选中某任务，点击查看；
2.观察列表中该任务的类型；
[结果]
不见了
&lt;img src="{1378.png}" alt="file-read-1378.png" /&gt;
[期望]
正常显示</t>
  </si>
  <si>
    <t>1020</t>
  </si>
  <si>
    <t>新建目标对象，目标对象添加失败</t>
  </si>
  <si>
    <t>[步骤]
1.正常登陆系统
2.进入目标库
3.新建目标人
[结果]
目标人新建失败
[期望]
目标人添加成功</t>
  </si>
  <si>
    <t>1019</t>
  </si>
  <si>
    <t>布控任务：查看，目标人库信息未回显</t>
  </si>
  <si>
    <t xml:space="preserve">[步骤]
1.查看布控列表；
2.选中某一布控任务，点击查看；
3.验证查看窗口弹出；
4.验证信息回显正确
[结果]
目标
&lt;img src="{1376.png}" alt="file-read-1376.png" /&gt;
[期望]
</t>
  </si>
  <si>
    <t>1018</t>
  </si>
  <si>
    <t>首页-中间布控任务：点击修改，弹出修改窗口，无法修改</t>
  </si>
  <si>
    <t>[步骤]
1.点击首页
2.点击左方布控中的任务
3.点击中间布控任务的修改按钮
[结果]
1.弹出修改布控任务窗口，选项框为空，点击选择目标人、选择通道无反应
[期望]
正常修改，保存成功</t>
  </si>
  <si>
    <t>1017</t>
  </si>
  <si>
    <t>模板管理，添加模板库，没有同步更新</t>
  </si>
  <si>
    <t>[步骤]
1正常登陆系统
2.进入模板管理
3.新建模板，点击保存
[结果]
信息没有同步到模板库列表，重新启动客户端，打开模板列表，信息同步。
[期望]
新建模板库后，模板库列表同步更新</t>
  </si>
  <si>
    <t>文博</t>
  </si>
  <si>
    <t>1016</t>
  </si>
  <si>
    <t>通道管理：添加、修改通道，客户端显示成功，实际未入库</t>
  </si>
  <si>
    <t>1015</t>
  </si>
  <si>
    <t>后台日志报错：java.text.ParseException: Unparseable date: &amp;quot;2017-08-23&amp;quot;</t>
  </si>
  <si>
    <t>&lt;img alt="file-read-1375.png" src="{1375.png}" /&gt;</t>
  </si>
  <si>
    <t>1014</t>
  </si>
  <si>
    <t>布控任务：新建窗口，什么也不填写，点保存，窗口直接关闭，应提示，填写必填项</t>
  </si>
  <si>
    <t>必填项只有星号标记，在保存提交是，未做校验</t>
  </si>
  <si>
    <t>1013</t>
  </si>
  <si>
    <t>布控任务：启动布控任务后，通道数变为0</t>
  </si>
  <si>
    <t>[步骤]
1.启动一个关闭中的任务
&lt;img src="{1372.png}" alt="file-read-1372.png" /&gt;
[结果]
&lt;img src="{1374.png}" alt="file-read-1374.png" /&gt;
[期望]
通道数不变</t>
  </si>
  <si>
    <t>1012</t>
  </si>
  <si>
    <t>布控任务：删除后，刷新，布控任务仍在</t>
  </si>
  <si>
    <t>[步骤]
1.选择一个布控任务；
2.更多，删除
&lt;img alt="file-read-1368.png" src="{1368.png}" /&gt;
[结果]
&lt;img alt="file-read-1369.png" src="{1369.png}" /&gt;
刷新后，任务仍在
&lt;img alt="file-read-1370.png" src="{1370.png}" /&gt;
[期望]
选中任务被删除</t>
  </si>
  <si>
    <t>1011</t>
  </si>
  <si>
    <t>布控任务：修改永久布控的且已经启动的任务，客户端崩溃</t>
  </si>
  <si>
    <t>[步骤]
1.选择一个永久布控的且已经启动的任务，修改
2.修改名称
[结果]
客户端崩溃
&lt;img alt="file-read-1366.png" src="{1366.png}" /&gt;
&lt;img alt="file-read-1367.png" src="{1367.png}" /&gt;
[期望]
修改成功</t>
  </si>
  <si>
    <t>1010</t>
  </si>
  <si>
    <t>布控任务：永久布控任务，列表显示时间不正确</t>
  </si>
  <si>
    <t>&lt;img src="{1365.png}" alt="file-read-1365.png" /&gt;</t>
  </si>
  <si>
    <t>1009</t>
  </si>
  <si>
    <t>布控任务：新建默认状态为关闭</t>
  </si>
  <si>
    <t>&lt;img src="{1364.png}" alt="file-read-1364.png" /&gt;</t>
  </si>
  <si>
    <t>1005</t>
  </si>
  <si>
    <t>用户禁用，输入uuid后提示没有该用户</t>
  </si>
  <si>
    <t>[步骤]
1、调用用户禁用接口，输入存在用户的uuid
参数：["75f63d580d07477195efb96c73ebcc17"]
[结果]
1、返回数据：{'error':100,'map':{},'message':'不存在该用户！'}
[期望]
1、返回正确数据
&lt;img src="{1359.jpg}" alt="" /&gt;</t>
  </si>
  <si>
    <t>2017-08-22</t>
  </si>
  <si>
    <t>1004</t>
  </si>
  <si>
    <t>用户修改，提示business error</t>
  </si>
  <si>
    <t>[步骤]
1、调用用户修改接口，输入正确参数
参数：{"username":"1234","password":"1234","realname":"1234test","email":"123@example.com","mobile":"13812345678"}
[结果]
1、返回数据：{'error':100,'map':{},'message':'business error'}
[期望]
1、返回正确数据
&lt;img src="{1358.jpg}" alt="" /&gt;</t>
  </si>
  <si>
    <t>1003</t>
  </si>
  <si>
    <t>用户详情查询结果，输入uuid后提示uuid不能为空</t>
  </si>
  <si>
    <t>[步骤]
1、调用用户详情查询结果参数，输入正常参数
参数：{"f":{"uuid":"0ca4c2e45d524b44abf297574878217c"},"pageRows":"1","pageNo":"1","pageFlag":"pageFlag"}
[结果]
1、返回数据：{'error':100,'map':{},'message':'用户uuid不能为空！'}
[期望]
1、返回正确数据
&lt;img src="{1356.jpg}" alt="" /&gt;</t>
  </si>
  <si>
    <t>1002</t>
  </si>
  <si>
    <t>用户详情查询结果，文档输入参数有error、message</t>
  </si>
  <si>
    <t>[步骤]
1、查看用户详情查询结果接口文档
[结果]
1、输入参数中有error、message
[期望]
1、正确显示参数
&lt;img src="{1355.jpg}" alt="" /&gt;</t>
  </si>
  <si>
    <t>1001</t>
  </si>
  <si>
    <t>用户列表查询，输入username参数后返回数据错误</t>
  </si>
  <si>
    <t>[步骤]
1、调用用户列表查询接口，输入正确参数
参数：{"f":{"username":"abcabc","realname":"1234"},"pageRows":"1","pageNo":"1","pageFlag":""}
[结果]
1、返回数据：{'error':100,'map':{},'message':null}
[期望]
1、返回正确数据
&lt;img src="{1354.jpg}" alt="" /&gt;</t>
  </si>
  <si>
    <t>997</t>
  </si>
  <si>
    <t>用户登录，IP配置为错误地址仍可登录成功</t>
  </si>
  <si>
    <t>[步骤]
1、调用用户登录接口，IP配置为错误地址
参数：{"ip":"192.168.5291","username":"1234","password":"1234"}
[结果]
1、登录成功
[期望]
1、登录失败，返回正确的错误数据
&lt;img src="{1348.jpg}" alt="" /&gt;</t>
  </si>
  <si>
    <t>2017-08-21</t>
  </si>
  <si>
    <t>996</t>
  </si>
  <si>
    <t>用户登录，username、password错位存在时也可登录</t>
  </si>
  <si>
    <t>[步骤]
1、调用用户登录接口，输入一个username，另一个password
参数：{"ip":"192.168.1.129","username":"abcabcabc","password":"abcabc"}
真实username、password
&lt;img src="{1343.jpg}" alt="" /&gt;
[结果]
1、登录成功
[期望]
1、登录失败，并返回正确错误数据
&lt;img src="{1347.jpg}" alt="" /&gt;</t>
  </si>
  <si>
    <t>992</t>
  </si>
  <si>
    <t>新增用户，username、password参数没有限制长度</t>
  </si>
  <si>
    <t>[步骤]
1、调用新增用户接口，添加不符合规定长度的用户名、密码
参数：{"username":"1","password":"12345678901234567890","realname":"1234","email":"123@example.com","mobile":"13812345678"}
[结果]
1、新增成功
[期望]
1、新增失败，正确返回错误数据
&lt;img src="{1339.jpg}" alt="" /&gt;</t>
  </si>
  <si>
    <t>991</t>
  </si>
  <si>
    <t>用户新增，相同的username可重复增加</t>
  </si>
  <si>
    <t>[步骤]
1、调用新增用户接口，输入相同的username的参数
参数：{"username":"1234","password":"1234","realname":"1234","email":"123@example.com","mobile":"13812345678"}
[结果]
1、相同的username可不短重复添加
注：用此用户名登录时，返回数据：{'error':100,'map':{},'message':'nested exception is org.apache.ibatis.exceptions.TooManyResultsException: Expected one result (or null) to be returned by selectOne(), but found: 3'}
[期望]
1、相同的username不能再次添加
&lt;img src="{1338.jpg}" alt="" /&gt;</t>
  </si>
  <si>
    <t>990</t>
  </si>
  <si>
    <t>最近24小时统计，时间格式错误报错</t>
  </si>
  <si>
    <t>[步骤]
1、调用最近24小时统计接口，传入错误的时间参数
参数：{"startTime":"1990-09-09#00:00:00","endTime":"2017-09-09 00:00:00","jobId":"0112491defab43a7bd7bd02ef9bd923c"}
[结果]
1、接口报错
[期望]
1、返回正确的错误数据
&lt;img src="{1337.jpg}" alt="" /&gt;</t>
  </si>
  <si>
    <t>987</t>
  </si>
  <si>
    <t>告警场景图列表，输入alertUuid、fcmpFobjId后提示参数错误</t>
  </si>
  <si>
    <t>[步骤]
1、调用告警场景图列表接口，输入alertUuid、fcmpFobjId
参数：{"alertUuid":"100","fcmpFobjId":"300"}
[结果]
1、返回：{'error':1000,'map':{},'message':'非法请求参数!'}
[期望]
1、返回正确数据
&lt;img src="{1331.jpg}" alt="" /&gt;</t>
  </si>
  <si>
    <t>985</t>
  </si>
  <si>
    <t>重新复核告警，输入任意alertUuid返回错误数据</t>
  </si>
  <si>
    <t>[步骤]
1、调用重新复核告警接口，alertUuid输入任意值
[结果]
1、返回数据：{'error':0,'map':{},'message':null}
[期望]
1、返回正确数据
&lt;img src="{1329.jpg}" alt="" /&gt;</t>
  </si>
  <si>
    <t>984</t>
  </si>
  <si>
    <t>推送告警，输入任何参数都返回错误数据</t>
  </si>
  <si>
    <t>[步骤]
1、调用推送告警，输入任意数据
参数：{"userId":"227159349775419893c9ad3a95dfaf40","topCount":"10"}
[结果]
1、返回{'error':0,'map':{},'message':null}
[期望]
1、返回正常数据
&lt;img src="{1328.jpg}" alt="" /&gt;</t>
  </si>
  <si>
    <t>983</t>
  </si>
  <si>
    <t>部分接口返回message不一致</t>
  </si>
  <si>
    <t>[步骤]
1、调用不同接口
目标人查询：参数：{"pageRows": 1, "pageFlag": "", "pageNo": 1, "f": {"idType": "0", "sex":"0", "name": "name", "idNumb": "110222198707147777"}}
最新告警查询：参数：{"userId":"227159349775419893c9ad3a95dfaf40","topCount":"10"}
[结果]
1、返回message不一致，部分返回success（告警相关接口），部分返回successful（其它接口）
[期望]
1、返回数据一致
&lt;img src="{1326.jpg}" alt="" /&gt;&lt;img src="{1327.jpg}" alt="" /&gt;</t>
  </si>
  <si>
    <t>982</t>
  </si>
  <si>
    <t>最新告警查询，userId输入数据后都返回一样的结果</t>
  </si>
  <si>
    <t>[步骤]
1、调用最新告警查询接口，输入参数
参数：{"userId":"227159349775419893c9ad3a95dfaf40","topCount":"10"}
[结果]
1、userId输入任意参数都返回同样的结果
[期望]
1、正常返回查询数据
&lt;img src="{1324.jpg}" alt="" /&gt;</t>
  </si>
  <si>
    <t>975</t>
  </si>
  <si>
    <t>告警信息查询接口日期参数可为其它格式</t>
  </si>
  <si>
    <t>[步骤]
1、调用告警信息查询接口，startTime参数输入不符合规范格式数据
参数：{"f":{"name":"name","DBID":"21","channelIDs":"123","idType":"12","idNumber":"123","startTime":"1990#09#09 00:00:00","endTime":"2017-09-09 00:00:00"},"pageRows":"1","pageNo":"1","pageFlag":"123"}
[结果]
1、查询成功
[期望]
1、正确返回错误数据
&lt;img src="{1322.jpg}" alt="" /&gt;</t>
  </si>
  <si>
    <t>2017-08-18</t>
  </si>
  <si>
    <t>969</t>
  </si>
  <si>
    <t>告警详情查询接口始终返回error：0，message：null</t>
  </si>
  <si>
    <t>[步骤]
1、调用告警详情查询接口
参数：{"alertUuid":"100","fcmpFobjId":"300"}
[结果]
1、返回数据：
{'error':0,'map':{},'message':null}
[期望]
1、正确返回相应数据
&lt;img src="{1312.jpg}" alt="" /&gt;</t>
  </si>
  <si>
    <t>959</t>
  </si>
  <si>
    <t>比对策略修改，无法修改已有策略</t>
  </si>
  <si>
    <t>[步骤]
1、调用比对策略接口
参数：{"uuid":"123","name":"111","type":"1","memo":"123","mehtod":"1","m1Score":"80","m2Score":"70","m2Seconds":"1","m2Count":"1","modifyUid":"123"}
[结果]
1、修改已有策略失败，提示
{'error':1000,'map':{},'message':'策略名称校验失败，该名称已存在！'}
[期望]
1、可正常修改比对策略
&lt;img src="{1297.jpg}" alt="" /&gt;</t>
  </si>
  <si>
    <t>2017-08-17</t>
  </si>
  <si>
    <t>无标题</t>
  </si>
  <si>
    <t>958</t>
  </si>
  <si>
    <t>比对策略新增，method方法可输入超出范围数据</t>
  </si>
  <si>
    <t>[步骤]
1、调用比对策略新增接口，method方法输入小于1或大于5数据
参数：{"type":"1","name":"111","memo":"123","method":"0","m1Score":"80","m2Score":"70","m2Seconds":"3","m2Count":"3","addUid":"123"}
[结果]
1、接口添加成功
[期望]
1、接口添加失败，返回正确的错误信息
&lt;img src="{1296.jpg}" alt="" /&gt;</t>
  </si>
  <si>
    <t>946</t>
  </si>
  <si>
    <t>修改区域信息接口，id参数超过10位数字或为非数字字符时报错</t>
  </si>
  <si>
    <t>[步骤]
1、调用修改区域信息接口，id参数超过10位数字或为非数字字符时报错
参数：{"id":"12345678901","regionName":"123","regionDescription":"123","parentId":"1","regionLevel":"1","regionSort":"1"}
注：文档中没有规定id长度，显示为error提示信息
[结果]
1、报错，没有返回数据
[期望]
1、返回正确错误数据
&lt;img src="{1277.jpg}" alt="" /&gt;</t>
  </si>
  <si>
    <t>2017-08-16</t>
  </si>
  <si>
    <t>945</t>
  </si>
  <si>
    <t>新增区域信息，parentId参数为0或负值时，返回100</t>
  </si>
  <si>
    <t>[步骤]
1、调用新增区域信息接口，parentId参数设为0或负值
参数：{"regionName":"123","regionDescription":"123","parentId":"0","regionLevel":"1","regionSort":"1"}
[结果]
1、返回100
[期望]
1、正确返回错误数据
&lt;img src="{1275.jpg}" alt="" /&gt;</t>
  </si>
  <si>
    <t>944</t>
  </si>
  <si>
    <t>新建区域信息，接口调用regionName最大长度为16位，文档中为15位</t>
  </si>
  <si>
    <t>[步骤]
1、调用新建区域信息接口，regionName参数输入超过最大长度数据
[结果]
1、接口返回最大长度为16位，文档显示为15位
[期望]
1、接口与文档一致
&lt;img src="{1274.jpg}" alt="" /&gt;</t>
  </si>
  <si>
    <t>943</t>
  </si>
  <si>
    <t>区域查询，pageRows参数接口为负时，返回100</t>
  </si>
  <si>
    <t>[步骤]
1、调用区域查询接口，pageRows参数接口为负
参数：{"f":{"channelName":"123"},"pageRows":"-1","pageNo":"1","pageFlag":"pageFlag"}
[结果]
1、返回100
[期望]
1、正确返回错误数据
&lt;img src="{1273.jpg}" alt="" /&gt;</t>
  </si>
  <si>
    <t>941</t>
  </si>
  <si>
    <t>新增区域信息接口，只传输regionName、regionLevel参数时，返回100</t>
  </si>
  <si>
    <t>[步骤]
1、调用新增区域信息接口，只传输regionName、regionLevel参数
参数：{"regionName":"123","regionLevel":1}
[结果]
1、返回100
[期望]
1、正确返回数据
&lt;img src="{1271.jpg}" alt="" /&gt;</t>
  </si>
  <si>
    <t>939</t>
  </si>
  <si>
    <t>区域通道信息查询没有分页显示</t>
  </si>
  <si>
    <t>[步骤]
1、调用区域通道信息查询接口，pageFlag参数分别输入空和pageFlag
参数：{"f":{"regionLevel":"123"},"pageRows":1,"pageNo":1,"pageFlag":""}
[结果]
1、显示全部区域通道信息
[期望]
1、正确显示区域通道信息
&lt;img src="{1266.jpg}" alt="" /&gt;
&lt;img src="{1267.jpg}" alt="" /&gt;</t>
  </si>
  <si>
    <t>938</t>
  </si>
  <si>
    <t>区域通道查询接口文档中输入参数有error，message参数</t>
  </si>
  <si>
    <t>[步骤]
1、查看区域通道查询接口文档
[结果]
1、输入参数中有error、message参数
[期望]
1、文档正确显示
&lt;img src="{1265.jpg}" alt="" /&gt;</t>
  </si>
  <si>
    <t>937</t>
  </si>
  <si>
    <t>区域通道查询接口文档参数没有是否为必填项标识</t>
  </si>
  <si>
    <t>[步骤]
1、查看区域通道查询接口文档
[结果]
1、区域通道查询接口文档参数没有是否为必填项标识
[期望]
1、文档正确显示
&lt;img src="{1264.jpg}" alt="" /&gt;</t>
  </si>
  <si>
    <t>934</t>
  </si>
  <si>
    <t>修改通道信息文档中参数备注错误</t>
  </si>
  <si>
    <t>[步骤]
1、查看修改通道信息接口文档
[结果]
1、接口文档参数备注错误
[期望]
1、接口文档正确显示
&lt;img src="{1260.jpg}" alt="" /&gt;</t>
  </si>
  <si>
    <t>2017-08-15</t>
  </si>
  <si>
    <t>933</t>
  </si>
  <si>
    <t>新建目标人信息，birthDateStr参数可输入超出长度的数据</t>
  </si>
  <si>
    <t>[步骤]
1、调用新建目标人信息接口，birthDateStr参数输入超出长度的数据
参数：{"name":"test","sex":2,"ethnic":"123456789012345","idType":3,"idNumb":"41030519800209353X","sst":3,"remarks":"1234567890","birthDateStr":"1980-02-09-12345678901234567890","addr":"123","tags":"123","ftdbId":123,"mainFtid":"123"}
[结果]
1、可正常返回数据
[期望]
1、返回响应错误信息
&lt;img src="{1259.jpg}" alt="" /&gt;</t>
  </si>
  <si>
    <t>928</t>
  </si>
  <si>
    <t>调用新增通道信息接口，返回100</t>
  </si>
  <si>
    <t>[步骤]
1、调用新增通道信息接口
[结果]
1、返回错误码100，错误信息为空
[期望]
1、正确返回数据
&lt;img src="{1253.jpg}" alt="" /&gt;</t>
  </si>
  <si>
    <t>927</t>
  </si>
  <si>
    <t>目标人查询，pageFlag参数为空时不进行分页显示</t>
  </si>
  <si>
    <t>[步骤]
1、调用目标人查询接口，分别将pageFlag设为空和pageFlag
[结果]
1、pageFlag为空时不分页显示，pageFlag为pageFlag时分页显示
[期望]
1、pageFlag为空和pageFlag时都分页显示（文档定义）
&lt;img src="{1250.jpg}" alt="" /&gt;
&lt;img src="{1251.jpg}" alt="" /&gt;</t>
  </si>
  <si>
    <t>923</t>
  </si>
  <si>
    <t>通道信息查询接口文档有error、message参数</t>
  </si>
  <si>
    <t>[步骤]
1、查看通道信息查询接口文档
[结果]
1、文档参数定义错误，有error、message参数
[期望]
1、文档参数定义正确
&lt;img src="{1243.jpg}" alt="" /&gt;</t>
  </si>
  <si>
    <t>909</t>
  </si>
  <si>
    <t>任务新增接口布控计划开始日期参数为必填项</t>
  </si>
  <si>
    <t>[步骤]
1、查看任务新增接口文档
[结果]
1、布控计划开始日期时间为必填项
[期望]
1、接口文档正确
&lt;img src="{1227.jpg}" alt="" /&gt;
&lt;img src="{1228.jpg}" alt="" /&gt;</t>
  </si>
  <si>
    <t>2017-08-14</t>
  </si>
  <si>
    <t>908</t>
  </si>
  <si>
    <t>修改目标库信息返回错误，提示策略类型校验失败</t>
  </si>
  <si>
    <t>测试脚本</t>
  </si>
  <si>
    <t>[步骤]
1、调用修改目标库接口
[结果]
1、一直返回失败，提示策略类型校验失败
[期望]
1、接口可用，且提示信息正确
&lt;img src="{1226.jpg}" alt="" /&gt;</t>
  </si>
  <si>
    <t>900</t>
  </si>
  <si>
    <t>模板库查询接口无服务</t>
  </si>
  <si>
    <t>[步骤]
1、调用模板库查询接口
[结果]
1、提示错误链接
[期望]
1、接口正常
&lt;img src="{1213.jpg}" alt="" /&gt;</t>
  </si>
  <si>
    <t>893</t>
  </si>
  <si>
    <t>修改目标人信息，uuid错误时，错误码返回100</t>
  </si>
  <si>
    <t>[步骤]
1、调用修改目标人信息，uuid调用错误的数据
[结果]
1、错误码返回100，错误信息为null，错误代码表中无100信息
[期望]
1、正确返回错误信息
&lt;img src="{1201.jpg}" alt="" /&gt;</t>
  </si>
  <si>
    <t>892</t>
  </si>
  <si>
    <t>修改目标人信息性别参数sex为必填参数</t>
  </si>
  <si>
    <t xml:space="preserve">[步骤]
1、查看修改目标人信息接口文档
[结果]
1、性别参数sex文档显示为非必填参数，实际是必填参数
[期望]
1、文档数据正确
&lt;img src="{1200.jpg}" alt="" /&gt;
</t>
  </si>
  <si>
    <t>890</t>
  </si>
  <si>
    <t>修改目标人信息姓名参数name长度错误</t>
  </si>
  <si>
    <t>[步骤]
1、查看修改目标人信息接口文档
[结果]
1、接口文档中姓名参数name最大长度64位，但实际最大长度为60位
[期望]
1、文档数据正确
&lt;img src="{1198.jpg}" alt="" /&gt;</t>
  </si>
  <si>
    <t>886</t>
  </si>
  <si>
    <t>目标人查询没有证件号码参数idNumb时，无响应</t>
  </si>
  <si>
    <t>[步骤]
1、调用目标人查询接口，没有参数idNumb输入
[结果]
1、请求无响应
[期望]
1、返回响应错误数据
&lt;img src="{1191.jpg}" alt="" /&gt;</t>
  </si>
  <si>
    <t>885</t>
  </si>
  <si>
    <t>目标人查询每页条数可输入超出范围的参数</t>
  </si>
  <si>
    <t>[步骤]
1、调用目标人查询接口，每页条数参数pageRows输入超出范围的参数
[结果]
1、正常返回数据
[期望]
1、返回响应错误提示
&lt;img src="{1190.jpg}" alt="" /&gt;</t>
  </si>
  <si>
    <t>明星宇,</t>
  </si>
  <si>
    <t>883</t>
  </si>
  <si>
    <t>目标人查询接口，没有参数f输入时，请求无响应</t>
  </si>
  <si>
    <t>[步骤]
1、调用目标人查询接口，没有参数f输入
[结果]
1、请求无响应
[期望]
1、返回响应错误数据
&lt;img src="{1189.jpg}" alt="" /&gt;</t>
  </si>
  <si>
    <t>882</t>
  </si>
  <si>
    <t>目标人查询性别可输入超出范围的参数</t>
  </si>
  <si>
    <t xml:space="preserve">[步骤]
1、调用目标人查询接口，证件类型sex输入超出范围的参数
[结果]
1、正常返回数据
[期望]
1、提示相应错误
&lt;img src="{1188.jpg}" alt="" /&gt;
</t>
  </si>
  <si>
    <t>881</t>
  </si>
  <si>
    <t>目标人查询证件类型可输入超出范围的参数</t>
  </si>
  <si>
    <t>[步骤]
1、调用目标人查询接口，证件类型idType输入超出范围的参数
[结果]
1、正常返回数据
[期望]
1、提示相应错误
&lt;img src="{1187.jpg}" alt="" /&gt;</t>
  </si>
  <si>
    <t>880</t>
  </si>
  <si>
    <t>技术需求(#87)</t>
  </si>
  <si>
    <t>目标人查询文档没有参数是否为必填项说明</t>
  </si>
  <si>
    <t xml:space="preserve">[步骤]
1、查看目标人查询文档接口文档
[结果]
1、没有参数是否为必填项说明
[期望]
1、有参数是否为必填项说明
&lt;img src="{1186.jpg}" alt="" /&gt;
</t>
  </si>
  <si>
    <t>854</t>
  </si>
  <si>
    <t>仿真原型评审-场景图、视频：右上角文字布局调整</t>
  </si>
  <si>
    <t>评审</t>
  </si>
  <si>
    <t xml:space="preserve">场景图、视频：右上角文字布局调整
</t>
  </si>
  <si>
    <t>李东芳</t>
  </si>
  <si>
    <t>2017-08-10</t>
  </si>
  <si>
    <t>853</t>
  </si>
  <si>
    <t>仿真原型评审-表单和表单字段验证样式调整，确认后作为统一标准</t>
  </si>
  <si>
    <t xml:space="preserve">表单和表单字段验证样式调整，确认后作为统一标准
</t>
  </si>
  <si>
    <t>852</t>
  </si>
  <si>
    <t>仿真原型评审-表格样式调整，确认后作为统一标准</t>
  </si>
  <si>
    <t xml:space="preserve">表格样式调整，确认后作为统一标准
</t>
  </si>
  <si>
    <t>851</t>
  </si>
  <si>
    <t>仿真原型评审-告警提示、布控任务、比对策略：分页控件统一封装，每页由服务器查询所得</t>
  </si>
  <si>
    <t xml:space="preserve">告警提示、布控任务、比对策略：分页控件统一封装，每页由服务器查询所得
</t>
  </si>
  <si>
    <t>850</t>
  </si>
  <si>
    <t>仿真原型评审-告警提示、比对图：出现次数、相似度、状态突出显示</t>
  </si>
  <si>
    <t xml:space="preserve">告警提示、比对图：出现次数、相似度、状态突出显示
</t>
  </si>
  <si>
    <t>849</t>
  </si>
  <si>
    <t>仿真原型评审-布控任务、告警策略只有编辑状态，没有只读状态</t>
  </si>
  <si>
    <t xml:space="preserve">布控任务、告警策略只有编辑状态，没有只读状态
</t>
  </si>
  <si>
    <t>848</t>
  </si>
  <si>
    <t>仿真原型评审-布控任务：任务列表排序可按如下条件自定义：任务名称、类型、状态、布控人、创建时间，默认按任务创建时间倒序排列</t>
  </si>
  <si>
    <t xml:space="preserve">布控任务：任务列表排序可按如下条件自定义：任务名称、类型、状态、布控人、创建时间，默认按任务创建时间倒序排列
</t>
  </si>
  <si>
    <t>847</t>
  </si>
  <si>
    <t>仿真原型评审-布控任务：添加半选状态，为小黑块（如果控件可以支持）</t>
  </si>
  <si>
    <t xml:space="preserve">布控任务：添加半选状态，为小黑块（如果控件可以支持）
</t>
  </si>
  <si>
    <t>846</t>
  </si>
  <si>
    <t>仿真原型评审-布控任务：提示统一用“启动”，启动布控任务不应该有二次提示</t>
  </si>
  <si>
    <t xml:space="preserve">布控任务：提示统一用“启动”，启动布控任务不应该有二次提示
</t>
  </si>
  <si>
    <t>845</t>
  </si>
  <si>
    <t>仿真原型评审-布控任务：刷新按钮不会清空查询条件</t>
  </si>
  <si>
    <t xml:space="preserve">布控任务：刷新按钮不会清空查询条件
</t>
  </si>
  <si>
    <t>844</t>
  </si>
  <si>
    <t>仿真原型评审-告警提示：列表中目标人、发现区域、布控任务、状态四列的文字应支持选中拷贝</t>
  </si>
  <si>
    <t xml:space="preserve">告警提示：列表中目标人、发现区域、布控任务、状态四列的文字应支持选中拷贝
</t>
  </si>
  <si>
    <t>843</t>
  </si>
  <si>
    <t>仿真原型评审-布控任务：按创建时间倒叙排列，新增任务在第一条，新增任务后，页面刷新，修改仿真原型</t>
  </si>
  <si>
    <t xml:space="preserve">布控任务：按创建时间倒叙排列，新增任务在第一条，新增任务后，页面刷新，修改仿真原型
</t>
  </si>
  <si>
    <t>842</t>
  </si>
  <si>
    <t>仿真原型评审-告警提示：弹出告警框图片组按抓拍时间排序，目前仿真原型中所有图片均是已确认状态（标记为√），实际上应该只有第一张为已确认状态，其他应该为排除（标记为╳），追加的比对图没有标记，需要修改仿真原型</t>
  </si>
  <si>
    <t xml:space="preserve">告警提示：弹出告警框图片组按抓拍时间排序，目前仿真原型中所有图片均是已确认状态（标记为√），实际上应该只有第一张为已确认状态，其他应该为排除（标记为╳），追加的比对图没有标记，需要修改仿真原型
</t>
  </si>
  <si>
    <t>841</t>
  </si>
  <si>
    <t>仿真原型评审-告警提示：弹出告警框中文字对齐调整，右侧文字左对齐，左侧文字右对齐</t>
  </si>
  <si>
    <t xml:space="preserve">告警提示：弹出告警框中文字对齐调整，右侧文字左对齐，左侧文字右对齐
</t>
  </si>
  <si>
    <t>840</t>
  </si>
  <si>
    <t>仿真原型评审-告警提示：表格列宽调整，字体、样式调整</t>
  </si>
  <si>
    <t xml:space="preserve">告警提示：表格列宽调整，字体、样式调整
</t>
  </si>
  <si>
    <t>839</t>
  </si>
  <si>
    <t>仿真原型评审-告警提示：姓名太长后显示“...”，有鼠标提示</t>
  </si>
  <si>
    <t xml:space="preserve">告警提示：姓名太长后显示“...”，有鼠标提示
</t>
  </si>
  <si>
    <t>838</t>
  </si>
  <si>
    <t>仿真原型评审-告警提示：自定义筛选交互</t>
  </si>
  <si>
    <t xml:space="preserve">告警提示：自定义筛选交互
</t>
  </si>
  <si>
    <t>837</t>
  </si>
  <si>
    <t>仿真原型评审-比对图：参考原型，增加出现次数显示</t>
  </si>
  <si>
    <t xml:space="preserve">比对图：参考原型，增加出现次数显示
</t>
  </si>
  <si>
    <t>836</t>
  </si>
  <si>
    <t>仿真原型评审-比对图：上下翻页的文字按最新原型修改</t>
  </si>
  <si>
    <t xml:space="preserve">比对图：上下翻页的文字按最新原型修改
</t>
  </si>
  <si>
    <t>835</t>
  </si>
  <si>
    <t>仿真原型评审-首页：菜单栏去掉人像检索，换成系统管理</t>
  </si>
  <si>
    <t xml:space="preserve">首页：菜单栏去掉人像检索，换成系统管理
</t>
  </si>
  <si>
    <t>834</t>
  </si>
  <si>
    <t>项目进度</t>
  </si>
  <si>
    <t>风险识别</t>
  </si>
  <si>
    <t xml:space="preserve">
新产品2.0第一次迭代的进度目前稍有滞后：
1、建议通过赶工、并行工作等方式追赶进度；
2、关注延期对后续工作的影响</t>
  </si>
  <si>
    <t>陈灵艳,文博,</t>
  </si>
  <si>
    <r>
      <rPr>
        <sz val="10"/>
        <color theme="1"/>
        <rFont val="宋体"/>
        <family val="3"/>
        <charset val="134"/>
      </rPr>
      <t>迭代</t>
    </r>
    <r>
      <rPr>
        <sz val="10"/>
        <color theme="1"/>
        <rFont val="Arial"/>
        <family val="2"/>
      </rPr>
      <t>4</t>
    </r>
    <phoneticPr fontId="13" type="noConversion"/>
  </si>
  <si>
    <t>截止日期</t>
    <phoneticPr fontId="13" type="noConversion"/>
  </si>
  <si>
    <t>布控任务测试</t>
    <phoneticPr fontId="13" type="noConversion"/>
  </si>
  <si>
    <r>
      <rPr>
        <sz val="10"/>
        <color theme="1"/>
        <rFont val="宋体"/>
        <family val="3"/>
        <charset val="134"/>
      </rPr>
      <t>布控任务</t>
    </r>
    <r>
      <rPr>
        <sz val="10"/>
        <color theme="1"/>
        <rFont val="Arial"/>
        <family val="2"/>
      </rPr>
      <t>-</t>
    </r>
    <r>
      <rPr>
        <sz val="10"/>
        <color theme="1"/>
        <rFont val="宋体"/>
        <family val="3"/>
        <charset val="134"/>
      </rPr>
      <t>详情</t>
    </r>
    <phoneticPr fontId="13" type="noConversion"/>
  </si>
  <si>
    <t>严重</t>
  </si>
  <si>
    <t>致命</t>
  </si>
  <si>
    <r>
      <rPr>
        <sz val="10"/>
        <color theme="1"/>
        <rFont val="宋体"/>
        <family val="3"/>
        <charset val="134"/>
      </rPr>
      <t>新产品</t>
    </r>
    <r>
      <rPr>
        <sz val="10"/>
        <color theme="1"/>
        <rFont val="Arial"/>
        <family val="2"/>
      </rPr>
      <t xml:space="preserve">2.0 </t>
    </r>
    <r>
      <rPr>
        <sz val="10"/>
        <color theme="1"/>
        <rFont val="宋体"/>
        <family val="3"/>
        <charset val="134"/>
      </rPr>
      <t>第一次迭代</t>
    </r>
    <phoneticPr fontId="13" type="noConversion"/>
  </si>
  <si>
    <t>系统测试</t>
    <phoneticPr fontId="13" type="noConversion"/>
  </si>
  <si>
    <t>所属项目</t>
    <phoneticPr fontId="13" type="noConversion"/>
  </si>
  <si>
    <t>Y</t>
    <phoneticPr fontId="13" type="noConversion"/>
  </si>
  <si>
    <t>迭代4</t>
    <phoneticPr fontId="13" type="noConversion"/>
  </si>
  <si>
    <t>备注</t>
    <phoneticPr fontId="12" type="noConversion"/>
  </si>
  <si>
    <t>第一周</t>
    <phoneticPr fontId="12" type="noConversion"/>
  </si>
  <si>
    <t>第二周</t>
    <phoneticPr fontId="12" type="noConversion"/>
  </si>
  <si>
    <t>第三周</t>
    <phoneticPr fontId="12" type="noConversion"/>
  </si>
  <si>
    <t>第四周</t>
    <phoneticPr fontId="1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</si>
</sst>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76" formatCode="_(* #,##0.00_);_(* \(#,##0.00\);_(* &quot;-&quot;??_);_(@_)"/>
    <numFmt numFmtId="177" formatCode="[$-F800]dddd\,\ mmmm\ dd\,\ yyyy"/>
    <numFmt numFmtId="178" formatCode="0.00_ "/>
    <numFmt numFmtId="179" formatCode="0.00_);[Red]\(0.00\)"/>
  </numFmts>
  <fonts count="55">
    <font>
      <sz val="10"/>
      <color theme="1"/>
      <name val="Arial"/>
      <charset val="134"/>
    </font>
    <font>
      <sz val="11"/>
      <color theme="1"/>
      <name val="宋体"/>
      <family val="2"/>
      <charset val="134"/>
      <scheme val="minor"/>
    </font>
    <font>
      <sz val="10"/>
      <name val="Arial"/>
      <family val="2"/>
    </font>
    <font>
      <sz val="12"/>
      <name val="Arial"/>
      <family val="2"/>
    </font>
    <font>
      <sz val="10"/>
      <name val="宋体"/>
      <family val="3"/>
      <charset val="134"/>
    </font>
    <font>
      <sz val="10"/>
      <color rgb="FFFF00FF"/>
      <name val="Arial"/>
      <family val="2"/>
    </font>
    <font>
      <b/>
      <sz val="10"/>
      <name val="Arial"/>
      <family val="2"/>
    </font>
    <font>
      <b/>
      <sz val="10"/>
      <name val="宋体"/>
      <family val="3"/>
      <charset val="134"/>
    </font>
    <font>
      <sz val="10"/>
      <color theme="1"/>
      <name val="宋体"/>
      <family val="3"/>
      <charset val="134"/>
    </font>
    <font>
      <u/>
      <sz val="10"/>
      <color theme="10"/>
      <name val="宋体"/>
      <family val="3"/>
      <charset val="134"/>
    </font>
    <font>
      <u/>
      <sz val="10"/>
      <color theme="10"/>
      <name val="Arial"/>
      <family val="2"/>
    </font>
    <font>
      <b/>
      <sz val="10"/>
      <color theme="1"/>
      <name val="宋体"/>
      <family val="3"/>
      <charset val="134"/>
    </font>
    <font>
      <sz val="9"/>
      <name val="宋体"/>
      <family val="3"/>
      <charset val="134"/>
    </font>
    <font>
      <sz val="9"/>
      <name val="Arial"/>
      <family val="2"/>
    </font>
    <font>
      <b/>
      <sz val="10"/>
      <color theme="1"/>
      <name val="Arial"/>
      <family val="2"/>
    </font>
    <font>
      <b/>
      <sz val="9"/>
      <name val="宋体"/>
      <family val="3"/>
      <charset val="134"/>
    </font>
    <font>
      <b/>
      <sz val="9"/>
      <color theme="1"/>
      <name val="宋体"/>
      <family val="3"/>
      <charset val="134"/>
    </font>
    <font>
      <sz val="11"/>
      <color theme="1"/>
      <name val="宋体"/>
      <family val="3"/>
      <charset val="134"/>
      <scheme val="minor"/>
    </font>
    <font>
      <sz val="11"/>
      <color indexed="8"/>
      <name val="宋体"/>
      <family val="3"/>
      <charset val="134"/>
    </font>
    <font>
      <sz val="12"/>
      <name val="????"/>
      <family val="1"/>
    </font>
    <font>
      <b/>
      <sz val="13"/>
      <color indexed="56"/>
      <name val="宋体"/>
      <family val="3"/>
      <charset val="134"/>
    </font>
    <font>
      <sz val="11"/>
      <color indexed="9"/>
      <name val="宋体"/>
      <family val="3"/>
      <charset val="134"/>
    </font>
    <font>
      <b/>
      <sz val="18"/>
      <color indexed="56"/>
      <name val="宋体"/>
      <family val="3"/>
      <charset val="134"/>
    </font>
    <font>
      <sz val="12"/>
      <name val="宋体"/>
      <family val="3"/>
      <charset val="134"/>
    </font>
    <font>
      <b/>
      <sz val="11"/>
      <color indexed="56"/>
      <name val="宋体"/>
      <family val="3"/>
      <charset val="134"/>
    </font>
    <font>
      <b/>
      <sz val="15"/>
      <color indexed="56"/>
      <name val="宋体"/>
      <family val="3"/>
      <charset val="134"/>
    </font>
    <font>
      <sz val="10"/>
      <color indexed="8"/>
      <name val="Arial"/>
      <family val="2"/>
    </font>
    <font>
      <sz val="11"/>
      <color indexed="20"/>
      <name val="宋体"/>
      <family val="3"/>
      <charset val="134"/>
    </font>
    <font>
      <sz val="10"/>
      <color theme="1"/>
      <name val="Arial"/>
      <family val="2"/>
    </font>
    <font>
      <i/>
      <sz val="11"/>
      <color indexed="23"/>
      <name val="宋体"/>
      <family val="3"/>
      <charset val="134"/>
    </font>
    <font>
      <b/>
      <sz val="11"/>
      <color indexed="12"/>
      <name val="Arial"/>
      <family val="2"/>
    </font>
    <font>
      <sz val="11"/>
      <color rgb="FF9C0006"/>
      <name val="宋体"/>
      <family val="3"/>
      <charset val="134"/>
      <scheme val="minor"/>
    </font>
    <font>
      <b/>
      <sz val="11"/>
      <color indexed="9"/>
      <name val="宋体"/>
      <family val="3"/>
      <charset val="134"/>
    </font>
    <font>
      <sz val="11"/>
      <color indexed="62"/>
      <name val="宋体"/>
      <family val="3"/>
      <charset val="134"/>
    </font>
    <font>
      <b/>
      <sz val="11"/>
      <color indexed="8"/>
      <name val="宋体"/>
      <family val="3"/>
      <charset val="134"/>
    </font>
    <font>
      <sz val="11"/>
      <color indexed="52"/>
      <name val="宋体"/>
      <family val="3"/>
      <charset val="134"/>
    </font>
    <font>
      <u/>
      <sz val="12"/>
      <color indexed="12"/>
      <name val="宋体"/>
      <family val="3"/>
      <charset val="134"/>
    </font>
    <font>
      <b/>
      <sz val="11"/>
      <color indexed="63"/>
      <name val="宋体"/>
      <family val="3"/>
      <charset val="134"/>
    </font>
    <font>
      <sz val="11"/>
      <color indexed="10"/>
      <name val="宋体"/>
      <family val="3"/>
      <charset val="134"/>
    </font>
    <font>
      <u/>
      <sz val="12"/>
      <color theme="10"/>
      <name val="宋体"/>
      <family val="3"/>
      <charset val="134"/>
    </font>
    <font>
      <sz val="11"/>
      <color indexed="60"/>
      <name val="宋体"/>
      <family val="3"/>
      <charset val="134"/>
    </font>
    <font>
      <u/>
      <sz val="10"/>
      <color indexed="12"/>
      <name val="Arial"/>
      <family val="2"/>
    </font>
    <font>
      <sz val="11"/>
      <color rgb="FF006100"/>
      <name val="宋体"/>
      <family val="3"/>
      <charset val="134"/>
      <scheme val="minor"/>
    </font>
    <font>
      <b/>
      <sz val="11"/>
      <color indexed="52"/>
      <name val="宋体"/>
      <family val="3"/>
      <charset val="134"/>
    </font>
    <font>
      <u/>
      <sz val="12.65"/>
      <color theme="10"/>
      <name val="宋体"/>
      <family val="3"/>
      <charset val="134"/>
    </font>
    <font>
      <u/>
      <sz val="11"/>
      <color theme="10"/>
      <name val="宋体"/>
      <family val="3"/>
      <charset val="134"/>
    </font>
    <font>
      <sz val="11"/>
      <color indexed="17"/>
      <name val="宋体"/>
      <family val="3"/>
      <charset val="134"/>
    </font>
    <font>
      <b/>
      <sz val="18"/>
      <name val="Arial"/>
      <family val="2"/>
    </font>
    <font>
      <sz val="9"/>
      <color indexed="81"/>
      <name val="Tahoma"/>
      <family val="2"/>
    </font>
    <font>
      <b/>
      <sz val="9"/>
      <color indexed="81"/>
      <name val="宋体"/>
      <family val="3"/>
      <charset val="134"/>
    </font>
    <font>
      <b/>
      <sz val="10"/>
      <color theme="0"/>
      <name val="宋体"/>
      <family val="3"/>
      <charset val="134"/>
    </font>
    <font>
      <sz val="9"/>
      <color indexed="8"/>
      <name val="Calibri"/>
      <family val="2"/>
    </font>
    <font>
      <sz val="9"/>
      <color theme="1"/>
      <name val="微软雅黑"/>
      <family val="2"/>
      <charset val="134"/>
    </font>
    <font>
      <sz val="9"/>
      <color indexed="81"/>
      <name val="宋体"/>
      <family val="3"/>
      <charset val="134"/>
    </font>
    <font>
      <sz val="11"/>
      <color indexed="8"/>
      <name val="Calibri"/>
      <family val="2"/>
    </font>
  </fonts>
  <fills count="39">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theme="0" tint="-0.249977111117893"/>
        <bgColor indexed="64"/>
      </patternFill>
    </fill>
    <fill>
      <patternFill patternType="solid">
        <fgColor rgb="FFC6EFCE"/>
        <bgColor indexed="64"/>
      </patternFill>
    </fill>
    <fill>
      <patternFill patternType="solid">
        <fgColor theme="4" tint="0.79985961485641044"/>
        <bgColor indexed="64"/>
      </patternFill>
    </fill>
    <fill>
      <patternFill patternType="solid">
        <fgColor theme="0"/>
        <bgColor indexed="64"/>
      </patternFill>
    </fill>
    <fill>
      <patternFill patternType="solid">
        <fgColor rgb="FFCC00FF"/>
        <bgColor indexed="64"/>
      </patternFill>
    </fill>
    <fill>
      <patternFill patternType="solid">
        <fgColor theme="9" tint="0.59999389629810485"/>
        <bgColor indexed="64"/>
      </patternFill>
    </fill>
    <fill>
      <patternFill patternType="solid">
        <fgColor rgb="FFFFFF99"/>
        <bgColor indexed="64"/>
      </patternFill>
    </fill>
    <fill>
      <patternFill patternType="solid">
        <fgColor rgb="FFFFCCFF"/>
        <bgColor indexed="64"/>
      </patternFill>
    </fill>
    <fill>
      <patternFill patternType="solid">
        <fgColor theme="5" tint="0.79985961485641044"/>
        <bgColor indexed="64"/>
      </patternFill>
    </fill>
    <fill>
      <patternFill patternType="solid">
        <fgColor theme="9" tint="0.39985351115451523"/>
        <bgColor indexed="64"/>
      </patternFill>
    </fill>
    <fill>
      <patternFill patternType="solid">
        <fgColor indexed="31"/>
        <bgColor indexed="64"/>
      </patternFill>
    </fill>
    <fill>
      <patternFill patternType="solid">
        <fgColor indexed="46"/>
        <bgColor indexed="64"/>
      </patternFill>
    </fill>
    <fill>
      <patternFill patternType="solid">
        <fgColor indexed="52"/>
        <bgColor indexed="64"/>
      </patternFill>
    </fill>
    <fill>
      <patternFill patternType="solid">
        <fgColor indexed="51"/>
        <bgColor indexed="64"/>
      </patternFill>
    </fill>
    <fill>
      <patternFill patternType="solid">
        <fgColor indexed="29"/>
        <bgColor indexed="64"/>
      </patternFill>
    </fill>
    <fill>
      <patternFill patternType="solid">
        <fgColor indexed="57"/>
        <bgColor indexed="64"/>
      </patternFill>
    </fill>
    <fill>
      <patternFill patternType="solid">
        <fgColor indexed="49"/>
        <bgColor indexed="64"/>
      </patternFill>
    </fill>
    <fill>
      <patternFill patternType="solid">
        <fgColor indexed="42"/>
        <bgColor indexed="64"/>
      </patternFill>
    </fill>
    <fill>
      <patternFill patternType="solid">
        <fgColor indexed="36"/>
        <bgColor indexed="64"/>
      </patternFill>
    </fill>
    <fill>
      <patternFill patternType="solid">
        <fgColor indexed="44"/>
        <bgColor indexed="64"/>
      </patternFill>
    </fill>
    <fill>
      <patternFill patternType="solid">
        <fgColor indexed="11"/>
        <bgColor indexed="64"/>
      </patternFill>
    </fill>
    <fill>
      <patternFill patternType="solid">
        <fgColor indexed="10"/>
        <bgColor indexed="64"/>
      </patternFill>
    </fill>
    <fill>
      <patternFill patternType="solid">
        <fgColor indexed="45"/>
        <bgColor indexed="64"/>
      </patternFill>
    </fill>
    <fill>
      <patternFill patternType="solid">
        <fgColor indexed="27"/>
        <bgColor indexed="64"/>
      </patternFill>
    </fill>
    <fill>
      <patternFill patternType="solid">
        <fgColor indexed="26"/>
        <bgColor indexed="64"/>
      </patternFill>
    </fill>
    <fill>
      <patternFill patternType="solid">
        <fgColor indexed="30"/>
        <bgColor indexed="64"/>
      </patternFill>
    </fill>
    <fill>
      <patternFill patternType="solid">
        <fgColor indexed="47"/>
        <bgColor indexed="64"/>
      </patternFill>
    </fill>
    <fill>
      <patternFill patternType="solid">
        <fgColor rgb="FFFFC7CE"/>
        <bgColor indexed="64"/>
      </patternFill>
    </fill>
    <fill>
      <patternFill patternType="solid">
        <fgColor indexed="53"/>
        <bgColor indexed="64"/>
      </patternFill>
    </fill>
    <fill>
      <patternFill patternType="solid">
        <fgColor indexed="62"/>
        <bgColor indexed="64"/>
      </patternFill>
    </fill>
    <fill>
      <patternFill patternType="solid">
        <fgColor indexed="22"/>
        <bgColor indexed="64"/>
      </patternFill>
    </fill>
    <fill>
      <patternFill patternType="solid">
        <fgColor indexed="43"/>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9" tint="0.79998168889431442"/>
        <bgColor indexed="64"/>
      </patternFill>
    </fill>
  </fills>
  <borders count="10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style="thin">
        <color auto="1"/>
      </left>
      <right/>
      <top style="thin">
        <color auto="1"/>
      </top>
      <bottom style="thin">
        <color auto="1"/>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theme="0"/>
      </left>
      <right style="thin">
        <color theme="0"/>
      </right>
      <top/>
      <bottom style="thin">
        <color theme="0"/>
      </bottom>
      <diagonal/>
    </border>
    <border>
      <left/>
      <right style="thin">
        <color auto="1"/>
      </right>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top style="medium">
        <color auto="1"/>
      </top>
      <bottom style="thin">
        <color auto="1"/>
      </bottom>
      <diagonal/>
    </border>
    <border>
      <left style="thin">
        <color auto="1"/>
      </left>
      <right style="thin">
        <color auto="1"/>
      </right>
      <top style="thin">
        <color auto="1"/>
      </top>
      <bottom style="medium">
        <color auto="1"/>
      </bottom>
      <diagonal/>
    </border>
    <border>
      <left/>
      <right style="thin">
        <color auto="1"/>
      </right>
      <top style="medium">
        <color auto="1"/>
      </top>
      <bottom style="thin">
        <color auto="1"/>
      </bottom>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left style="thin">
        <color auto="1"/>
      </left>
      <right/>
      <top style="medium">
        <color auto="1"/>
      </top>
      <bottom/>
      <diagonal/>
    </border>
    <border>
      <left/>
      <right style="thin">
        <color auto="1"/>
      </right>
      <top style="thin">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thin">
        <color auto="1"/>
      </left>
      <right/>
      <top style="medium">
        <color auto="1"/>
      </top>
      <bottom style="medium">
        <color auto="1"/>
      </bottom>
      <diagonal/>
    </border>
    <border>
      <left/>
      <right style="medium">
        <color auto="1"/>
      </right>
      <top style="thin">
        <color auto="1"/>
      </top>
      <bottom style="thin">
        <color auto="1"/>
      </bottom>
      <diagonal/>
    </border>
    <border>
      <left/>
      <right style="thin">
        <color auto="1"/>
      </right>
      <top style="thin">
        <color auto="1"/>
      </top>
      <bottom/>
      <diagonal/>
    </border>
    <border>
      <left/>
      <right style="medium">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top/>
      <bottom style="medium">
        <color auto="1"/>
      </bottom>
      <diagonal/>
    </border>
    <border>
      <left style="thin">
        <color auto="1"/>
      </left>
      <right style="thin">
        <color auto="1"/>
      </right>
      <top/>
      <bottom style="medium">
        <color auto="1"/>
      </bottom>
      <diagonal/>
    </border>
    <border>
      <left/>
      <right style="medium">
        <color auto="1"/>
      </right>
      <top/>
      <bottom style="medium">
        <color auto="1"/>
      </bottom>
      <diagonal/>
    </border>
    <border>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top/>
      <bottom style="thin">
        <color auto="1"/>
      </bottom>
      <diagonal/>
    </border>
    <border>
      <left style="thin">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right style="medium">
        <color auto="1"/>
      </right>
      <top/>
      <bottom style="thin">
        <color auto="1"/>
      </bottom>
      <diagonal/>
    </border>
    <border>
      <left/>
      <right/>
      <top/>
      <bottom style="thick">
        <color indexed="22"/>
      </bottom>
      <diagonal/>
    </border>
    <border>
      <left/>
      <right/>
      <top/>
      <bottom style="medium">
        <color indexed="30"/>
      </bottom>
      <diagonal/>
    </border>
    <border>
      <left/>
      <right/>
      <top/>
      <bottom style="thick">
        <color indexed="62"/>
      </bottom>
      <diagonal/>
    </border>
    <border>
      <left style="thin">
        <color indexed="22"/>
      </left>
      <right style="thin">
        <color indexed="22"/>
      </right>
      <top style="thin">
        <color indexed="22"/>
      </top>
      <bottom style="thin">
        <color indexed="22"/>
      </bottom>
      <diagonal/>
    </border>
    <border>
      <left style="double">
        <color indexed="63"/>
      </left>
      <right style="double">
        <color indexed="63"/>
      </right>
      <top style="double">
        <color indexed="63"/>
      </top>
      <bottom style="double">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style="medium">
        <color auto="1"/>
      </right>
      <top style="medium">
        <color auto="1"/>
      </top>
      <bottom/>
      <diagonal/>
    </border>
    <border>
      <left style="thin">
        <color indexed="64"/>
      </left>
      <right style="medium">
        <color indexed="64"/>
      </right>
      <top style="thin">
        <color indexed="64"/>
      </top>
      <bottom style="medium">
        <color indexed="64"/>
      </bottom>
      <diagonal/>
    </border>
    <border>
      <left style="medium">
        <color auto="1"/>
      </left>
      <right/>
      <top style="thin">
        <color auto="1"/>
      </top>
      <bottom/>
      <diagonal/>
    </border>
    <border>
      <left style="medium">
        <color auto="1"/>
      </left>
      <right/>
      <top style="thin">
        <color auto="1"/>
      </top>
      <bottom style="medium">
        <color auto="1"/>
      </bottom>
      <diagonal/>
    </border>
    <border>
      <left style="medium">
        <color auto="1"/>
      </left>
      <right style="thin">
        <color auto="1"/>
      </right>
      <top style="thin">
        <color auto="1"/>
      </top>
      <bottom style="medium">
        <color auto="1"/>
      </bottom>
      <diagonal/>
    </border>
    <border>
      <left/>
      <right style="thin">
        <color auto="1"/>
      </right>
      <top/>
      <bottom style="medium">
        <color auto="1"/>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right/>
      <top style="thin">
        <color auto="1"/>
      </top>
      <bottom style="thin">
        <color auto="1"/>
      </bottom>
      <diagonal/>
    </border>
    <border>
      <left/>
      <right/>
      <top style="thin">
        <color auto="1"/>
      </top>
      <bottom/>
      <diagonal/>
    </border>
    <border>
      <left style="medium">
        <color indexed="64"/>
      </left>
      <right style="medium">
        <color auto="1"/>
      </right>
      <top/>
      <bottom style="medium">
        <color indexed="64"/>
      </bottom>
      <diagonal/>
    </border>
    <border>
      <left style="medium">
        <color auto="1"/>
      </left>
      <right style="thin">
        <color auto="1"/>
      </right>
      <top style="thin">
        <color auto="1"/>
      </top>
      <bottom style="medium">
        <color indexed="64"/>
      </bottom>
      <diagonal/>
    </border>
    <border>
      <left style="thin">
        <color auto="1"/>
      </left>
      <right/>
      <top/>
      <bottom style="medium">
        <color indexed="64"/>
      </bottom>
      <diagonal/>
    </border>
    <border>
      <left style="medium">
        <color indexed="64"/>
      </left>
      <right style="medium">
        <color indexed="64"/>
      </right>
      <top style="thin">
        <color auto="1"/>
      </top>
      <bottom style="medium">
        <color indexed="64"/>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medium">
        <color indexed="64"/>
      </bottom>
      <diagonal/>
    </border>
    <border>
      <left/>
      <right style="thin">
        <color auto="1"/>
      </right>
      <top/>
      <bottom style="medium">
        <color indexed="64"/>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thin">
        <color auto="1"/>
      </right>
      <top style="medium">
        <color auto="1"/>
      </top>
      <bottom/>
      <diagonal/>
    </border>
    <border>
      <left/>
      <right style="thin">
        <color auto="1"/>
      </right>
      <top style="medium">
        <color auto="1"/>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auto="1"/>
      </left>
      <right/>
      <top style="thin">
        <color auto="1"/>
      </top>
      <bottom style="medium">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thin">
        <color auto="1"/>
      </left>
      <right style="thin">
        <color auto="1"/>
      </right>
      <top style="thin">
        <color auto="1"/>
      </top>
      <bottom style="medium">
        <color indexed="64"/>
      </bottom>
      <diagonal/>
    </border>
    <border>
      <left style="thin">
        <color auto="1"/>
      </left>
      <right/>
      <top/>
      <bottom/>
      <diagonal/>
    </border>
    <border>
      <left style="thin">
        <color indexed="8"/>
      </left>
      <right style="thin">
        <color indexed="8"/>
      </right>
      <top style="thin">
        <color indexed="8"/>
      </top>
      <bottom/>
      <diagonal/>
    </border>
    <border>
      <left style="thin">
        <color rgb="FF888888"/>
      </left>
      <right/>
      <top style="thin">
        <color rgb="FF888888"/>
      </top>
      <bottom/>
      <diagonal/>
    </border>
    <border>
      <left style="thin">
        <color rgb="FF888888"/>
      </left>
      <right style="thin">
        <color rgb="FF888888"/>
      </right>
      <top style="thin">
        <color rgb="FF888888"/>
      </top>
      <bottom/>
      <diagonal/>
    </border>
  </borders>
  <cellStyleXfs count="48931">
    <xf numFmtId="0" fontId="0"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8" fillId="14"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1" fillId="20" borderId="0" applyNumberFormat="0" applyBorder="0" applyAlignment="0" applyProtection="0">
      <alignment vertical="center"/>
    </xf>
    <xf numFmtId="177" fontId="17" fillId="0" borderId="0">
      <alignment vertical="center"/>
    </xf>
    <xf numFmtId="177" fontId="17" fillId="0" borderId="0">
      <alignment vertical="center"/>
    </xf>
    <xf numFmtId="0" fontId="18" fillId="21" borderId="0" applyNumberFormat="0" applyBorder="0" applyAlignment="0" applyProtection="0">
      <alignment vertical="center"/>
    </xf>
    <xf numFmtId="177" fontId="17" fillId="0" borderId="0">
      <alignment vertical="center"/>
    </xf>
    <xf numFmtId="177" fontId="17" fillId="0" borderId="0">
      <alignment vertical="center"/>
    </xf>
    <xf numFmtId="0" fontId="18" fillId="23"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2" fillId="0"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22" fillId="0" borderId="0" applyNumberFormat="0" applyFill="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2" fillId="0" borderId="0" applyNumberFormat="0" applyFill="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8" fillId="14" borderId="0" applyNumberFormat="0" applyBorder="0" applyAlignment="0" applyProtection="0">
      <alignment vertical="center"/>
    </xf>
    <xf numFmtId="177" fontId="17" fillId="0" borderId="0">
      <alignment vertical="center"/>
    </xf>
    <xf numFmtId="177" fontId="17" fillId="0" borderId="0">
      <alignment vertical="center"/>
    </xf>
    <xf numFmtId="0" fontId="10" fillId="0" borderId="0" applyNumberFormat="0" applyFill="0" applyBorder="0" applyAlignment="0" applyProtection="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1" fillId="22"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21" fillId="18"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21" fillId="18"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4" fillId="0" borderId="0" applyNumberFormat="0" applyFill="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1" fillId="18"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1" fillId="18"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27"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21" fillId="18"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2" fillId="0" borderId="0" applyNumberFormat="0" applyFill="0" applyBorder="0" applyAlignment="0" applyProtection="0">
      <alignment vertical="center"/>
    </xf>
    <xf numFmtId="0" fontId="18" fillId="14" borderId="0" applyNumberFormat="0" applyBorder="0" applyAlignment="0" applyProtection="0">
      <alignment vertical="center"/>
    </xf>
    <xf numFmtId="177" fontId="17" fillId="0" borderId="0">
      <alignment vertical="center"/>
    </xf>
    <xf numFmtId="177" fontId="17" fillId="0" borderId="0">
      <alignment vertical="center"/>
    </xf>
    <xf numFmtId="177" fontId="20" fillId="0" borderId="57" applyNumberFormat="0" applyFill="0" applyAlignment="0" applyProtection="0">
      <alignment vertical="center"/>
    </xf>
    <xf numFmtId="0" fontId="18" fillId="0" borderId="0">
      <alignment vertical="center"/>
    </xf>
    <xf numFmtId="0" fontId="18" fillId="0" borderId="0">
      <alignment vertical="center"/>
    </xf>
    <xf numFmtId="0" fontId="23" fillId="0" borderId="0"/>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9"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5" fillId="0" borderId="59" applyNumberFormat="0" applyFill="0" applyAlignment="0" applyProtection="0">
      <alignment vertical="center"/>
    </xf>
    <xf numFmtId="0" fontId="17" fillId="0" borderId="0">
      <alignment vertical="center"/>
    </xf>
    <xf numFmtId="177" fontId="17" fillId="0" borderId="0">
      <alignment vertical="center"/>
    </xf>
    <xf numFmtId="177" fontId="24" fillId="0" borderId="58" applyNumberFormat="0" applyFill="0" applyAlignment="0" applyProtection="0">
      <alignment vertical="center"/>
    </xf>
    <xf numFmtId="177" fontId="18" fillId="15" borderId="0" applyNumberFormat="0" applyBorder="0" applyAlignment="0" applyProtection="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23" fillId="0" borderId="0"/>
    <xf numFmtId="177" fontId="17" fillId="0" borderId="0">
      <alignment vertical="center"/>
    </xf>
    <xf numFmtId="0" fontId="18" fillId="15"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177" fontId="17" fillId="0" borderId="0">
      <alignment vertical="center"/>
    </xf>
    <xf numFmtId="0" fontId="20" fillId="0" borderId="57" applyNumberFormat="0" applyAlignment="0" applyProtection="0">
      <alignment vertical="center"/>
    </xf>
    <xf numFmtId="177" fontId="17" fillId="0" borderId="0">
      <alignment vertical="center"/>
    </xf>
    <xf numFmtId="177" fontId="21" fillId="22"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177" fontId="18" fillId="18" borderId="0" applyNumberFormat="0" applyBorder="0" applyAlignment="0" applyProtection="0">
      <alignment vertical="center"/>
    </xf>
    <xf numFmtId="177" fontId="17" fillId="0" borderId="0">
      <alignment vertical="center"/>
    </xf>
    <xf numFmtId="177" fontId="17" fillId="0" borderId="0">
      <alignment vertical="center"/>
    </xf>
    <xf numFmtId="177" fontId="18" fillId="14"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8" fillId="21"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0" fontId="18" fillId="15"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22" fillId="0" borderId="0" applyNumberFormat="0" applyFill="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8" fillId="26" borderId="0" applyNumberFormat="0" applyBorder="0" applyAlignment="0" applyProtection="0">
      <alignment vertical="center"/>
    </xf>
    <xf numFmtId="177" fontId="17" fillId="0" borderId="0">
      <alignment vertical="center"/>
    </xf>
    <xf numFmtId="177" fontId="17" fillId="0" borderId="0">
      <alignment vertical="center"/>
    </xf>
    <xf numFmtId="0" fontId="22" fillId="0" borderId="0" applyNumberFormat="0" applyFill="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1" fillId="18" borderId="0" applyNumberFormat="0" applyBorder="0" applyAlignment="0" applyProtection="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24" fillId="0" borderId="58" applyNumberFormat="0" applyFill="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22" fillId="0"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14"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22" fillId="0" borderId="0" applyNumberFormat="0" applyBorder="0" applyAlignment="0" applyProtection="0">
      <alignment vertical="center"/>
    </xf>
    <xf numFmtId="177" fontId="17" fillId="0" borderId="0">
      <alignment vertical="center"/>
    </xf>
    <xf numFmtId="0" fontId="22" fillId="0" borderId="0" applyNumberFormat="0" applyFill="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21" fillId="20"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17" fillId="0" borderId="0">
      <alignment vertical="center"/>
    </xf>
    <xf numFmtId="177" fontId="18" fillId="18" borderId="0" applyNumberFormat="0" applyBorder="0" applyAlignment="0" applyProtection="0">
      <alignment vertical="center"/>
    </xf>
    <xf numFmtId="177" fontId="17" fillId="0" borderId="0">
      <alignment vertical="center"/>
    </xf>
    <xf numFmtId="177" fontId="17" fillId="0" borderId="0">
      <alignment vertical="center"/>
    </xf>
    <xf numFmtId="0" fontId="18" fillId="14" borderId="0" applyNumberFormat="0" applyBorder="0" applyAlignment="0" applyProtection="0">
      <alignment vertical="center"/>
    </xf>
    <xf numFmtId="177" fontId="17" fillId="0" borderId="0">
      <alignment vertical="center"/>
    </xf>
    <xf numFmtId="0" fontId="22" fillId="0" borderId="0" applyNumberFormat="0" applyBorder="0" applyAlignment="0" applyProtection="0">
      <alignment vertical="center"/>
    </xf>
    <xf numFmtId="0" fontId="28" fillId="0" borderId="0"/>
    <xf numFmtId="0" fontId="21" fillId="20" borderId="0" applyNumberFormat="0" applyBorder="0" applyAlignment="0" applyProtection="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0" fillId="0" borderId="57" applyNumberFormat="0" applyFill="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0" fontId="20" fillId="0" borderId="57" applyNumberFormat="0" applyFill="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9" fillId="0" borderId="0"/>
    <xf numFmtId="177" fontId="17" fillId="0" borderId="0">
      <alignment vertical="center"/>
    </xf>
    <xf numFmtId="0" fontId="17" fillId="0" borderId="0">
      <alignment vertical="center"/>
    </xf>
    <xf numFmtId="177" fontId="17" fillId="0" borderId="0">
      <alignment vertical="center"/>
    </xf>
    <xf numFmtId="0" fontId="20" fillId="0" borderId="57" applyNumberFormat="0" applyFill="0" applyAlignment="0" applyProtection="0">
      <alignment vertical="center"/>
    </xf>
    <xf numFmtId="177" fontId="17" fillId="0" borderId="0">
      <alignment vertical="center"/>
    </xf>
    <xf numFmtId="177" fontId="17" fillId="0" borderId="0">
      <alignment vertical="center"/>
    </xf>
    <xf numFmtId="0" fontId="19" fillId="0" borderId="0"/>
    <xf numFmtId="177" fontId="19" fillId="0" borderId="0"/>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8" fillId="14" borderId="0" applyNumberFormat="0" applyBorder="0" applyAlignment="0" applyProtection="0">
      <alignment vertical="center"/>
    </xf>
    <xf numFmtId="177" fontId="17" fillId="0" borderId="0">
      <alignment vertical="center"/>
    </xf>
    <xf numFmtId="177" fontId="17" fillId="0" borderId="0">
      <alignment vertical="center"/>
    </xf>
    <xf numFmtId="0" fontId="18" fillId="0" borderId="0">
      <alignment vertical="center"/>
    </xf>
    <xf numFmtId="177" fontId="18" fillId="18" borderId="0" applyNumberFormat="0" applyBorder="0" applyAlignment="0" applyProtection="0">
      <alignment vertical="center"/>
    </xf>
    <xf numFmtId="177" fontId="17" fillId="0" borderId="0">
      <alignment vertical="center"/>
    </xf>
    <xf numFmtId="177" fontId="17" fillId="0" borderId="0">
      <alignment vertical="center"/>
    </xf>
    <xf numFmtId="0" fontId="18" fillId="14" borderId="0" applyNumberFormat="0" applyBorder="0" applyAlignment="0" applyProtection="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18" borderId="0" applyNumberFormat="0" applyBorder="0" applyAlignment="0" applyProtection="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8" fillId="14" borderId="0" applyNumberFormat="0" applyBorder="0" applyAlignment="0" applyProtection="0">
      <alignment vertical="center"/>
    </xf>
    <xf numFmtId="177" fontId="17" fillId="0" borderId="0">
      <alignment vertical="center"/>
    </xf>
    <xf numFmtId="0" fontId="23" fillId="0" borderId="0">
      <alignment vertical="center"/>
    </xf>
    <xf numFmtId="177" fontId="17" fillId="0" borderId="0">
      <alignment vertical="center"/>
    </xf>
    <xf numFmtId="177" fontId="17" fillId="0" borderId="0">
      <alignment vertical="center"/>
    </xf>
    <xf numFmtId="0" fontId="18" fillId="14"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1" fillId="16" borderId="0" applyNumberFormat="0" applyBorder="0" applyAlignment="0" applyProtection="0">
      <alignment vertical="center"/>
    </xf>
    <xf numFmtId="177" fontId="17" fillId="0" borderId="0">
      <alignment vertical="center"/>
    </xf>
    <xf numFmtId="177" fontId="17" fillId="0" borderId="0">
      <alignment vertical="center"/>
    </xf>
    <xf numFmtId="0" fontId="18" fillId="18"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14" borderId="0" applyNumberFormat="0" applyBorder="0" applyAlignment="0" applyProtection="0">
      <alignment vertical="center"/>
    </xf>
    <xf numFmtId="0" fontId="21" fillId="16"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8" fillId="14"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14"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14"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8" fillId="26" borderId="0" applyNumberFormat="0" applyBorder="0" applyAlignment="0" applyProtection="0">
      <alignment vertical="center"/>
    </xf>
    <xf numFmtId="177" fontId="17" fillId="0" borderId="0">
      <alignment vertical="center"/>
    </xf>
    <xf numFmtId="177" fontId="18" fillId="26" borderId="0" applyNumberFormat="0" applyBorder="0" applyAlignment="0" applyProtection="0">
      <alignment vertical="center"/>
    </xf>
    <xf numFmtId="177" fontId="17" fillId="0" borderId="0">
      <alignment vertical="center"/>
    </xf>
    <xf numFmtId="0" fontId="18" fillId="0" borderId="0">
      <alignment vertical="center"/>
    </xf>
    <xf numFmtId="0" fontId="18" fillId="26" borderId="0" applyNumberFormat="0" applyBorder="0" applyAlignment="0" applyProtection="0">
      <alignment vertical="center"/>
    </xf>
    <xf numFmtId="0" fontId="18" fillId="26" borderId="0" applyNumberFormat="0" applyBorder="0" applyAlignment="0" applyProtection="0">
      <alignment vertical="center"/>
    </xf>
    <xf numFmtId="177" fontId="17" fillId="0" borderId="0">
      <alignment vertical="center"/>
    </xf>
    <xf numFmtId="177" fontId="18" fillId="26" borderId="0" applyNumberFormat="0" applyBorder="0" applyAlignment="0" applyProtection="0">
      <alignment vertical="center"/>
    </xf>
    <xf numFmtId="177" fontId="17" fillId="0" borderId="0">
      <alignment vertical="center"/>
    </xf>
    <xf numFmtId="0" fontId="18" fillId="0" borderId="0">
      <alignment vertical="center"/>
    </xf>
    <xf numFmtId="0" fontId="21" fillId="29" borderId="0" applyNumberFormat="0" applyBorder="0" applyAlignment="0" applyProtection="0">
      <alignment vertical="center"/>
    </xf>
    <xf numFmtId="177" fontId="17" fillId="0" borderId="0">
      <alignment vertical="center"/>
    </xf>
    <xf numFmtId="0" fontId="18" fillId="26" borderId="0" applyNumberFormat="0" applyBorder="0" applyAlignment="0" applyProtection="0">
      <alignment vertical="center"/>
    </xf>
    <xf numFmtId="177" fontId="17" fillId="0" borderId="0">
      <alignment vertical="center"/>
    </xf>
    <xf numFmtId="0" fontId="18" fillId="26" borderId="0" applyNumberFormat="0" applyBorder="0" applyAlignment="0" applyProtection="0">
      <alignment vertical="center"/>
    </xf>
    <xf numFmtId="177" fontId="17" fillId="0" borderId="0">
      <alignment vertical="center"/>
    </xf>
    <xf numFmtId="177" fontId="17" fillId="0" borderId="0">
      <alignment vertical="center"/>
    </xf>
    <xf numFmtId="0" fontId="18" fillId="26" borderId="0" applyNumberFormat="0" applyBorder="0" applyAlignment="0" applyProtection="0">
      <alignment vertical="center"/>
    </xf>
    <xf numFmtId="177" fontId="17" fillId="0" borderId="0">
      <alignment vertical="center"/>
    </xf>
    <xf numFmtId="177" fontId="17" fillId="0" borderId="0">
      <alignment vertical="center"/>
    </xf>
    <xf numFmtId="0" fontId="18" fillId="0" borderId="0">
      <alignment vertical="center"/>
    </xf>
    <xf numFmtId="0" fontId="21" fillId="18" borderId="0" applyNumberFormat="0" applyBorder="0" applyAlignment="0" applyProtection="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8" fillId="26"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8" fillId="26" borderId="0" applyNumberFormat="0" applyBorder="0" applyAlignment="0" applyProtection="0">
      <alignment vertical="center"/>
    </xf>
    <xf numFmtId="0" fontId="18" fillId="23"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8" fillId="26" borderId="0" applyNumberFormat="0" applyBorder="0" applyAlignment="0" applyProtection="0">
      <alignment vertical="center"/>
    </xf>
    <xf numFmtId="0" fontId="21" fillId="24" borderId="0" applyNumberFormat="0" applyBorder="0" applyAlignment="0" applyProtection="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26" borderId="0" applyNumberFormat="0" applyBorder="0" applyAlignment="0" applyProtection="0">
      <alignment vertical="center"/>
    </xf>
    <xf numFmtId="177" fontId="17" fillId="0" borderId="0">
      <alignment vertical="center"/>
    </xf>
    <xf numFmtId="0" fontId="21" fillId="24" borderId="0" applyNumberFormat="0" applyBorder="0" applyAlignment="0" applyProtection="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26"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0" fontId="17" fillId="0" borderId="0">
      <alignment vertical="center"/>
    </xf>
    <xf numFmtId="177" fontId="18" fillId="21" borderId="0" applyNumberFormat="0" applyBorder="0" applyAlignment="0" applyProtection="0">
      <alignment vertical="center"/>
    </xf>
    <xf numFmtId="0" fontId="17" fillId="0" borderId="0">
      <alignment vertical="center"/>
    </xf>
    <xf numFmtId="177" fontId="18" fillId="21" borderId="0" applyNumberFormat="0" applyBorder="0" applyAlignment="0" applyProtection="0">
      <alignment vertical="center"/>
    </xf>
    <xf numFmtId="177" fontId="17" fillId="0" borderId="0">
      <alignment vertical="center"/>
    </xf>
    <xf numFmtId="0" fontId="25" fillId="0" borderId="59" applyNumberFormat="0" applyFill="0" applyAlignment="0" applyProtection="0">
      <alignment vertical="center"/>
    </xf>
    <xf numFmtId="0" fontId="17" fillId="0" borderId="0">
      <alignment vertical="center"/>
    </xf>
    <xf numFmtId="0" fontId="18" fillId="21" borderId="0" applyNumberFormat="0" applyBorder="0" applyAlignment="0" applyProtection="0">
      <alignment vertical="center"/>
    </xf>
    <xf numFmtId="177" fontId="17" fillId="0" borderId="0">
      <alignment vertical="center"/>
    </xf>
    <xf numFmtId="0" fontId="25" fillId="0" borderId="59" applyNumberFormat="0" applyFill="0" applyAlignment="0" applyProtection="0">
      <alignment vertical="center"/>
    </xf>
    <xf numFmtId="0" fontId="17" fillId="0" borderId="0">
      <alignment vertical="center"/>
    </xf>
    <xf numFmtId="0" fontId="18" fillId="21" borderId="0" applyNumberFormat="0" applyBorder="0" applyAlignment="0" applyProtection="0">
      <alignment vertical="center"/>
    </xf>
    <xf numFmtId="0" fontId="17" fillId="0" borderId="0">
      <alignment vertical="center"/>
    </xf>
    <xf numFmtId="177" fontId="17" fillId="0" borderId="0">
      <alignment vertical="center"/>
    </xf>
    <xf numFmtId="177" fontId="18" fillId="21" borderId="0" applyNumberFormat="0" applyBorder="0" applyAlignment="0" applyProtection="0">
      <alignment vertical="center"/>
    </xf>
    <xf numFmtId="0" fontId="17" fillId="0" borderId="0">
      <alignment vertical="center"/>
    </xf>
    <xf numFmtId="177" fontId="17" fillId="0" borderId="0">
      <alignment vertical="center"/>
    </xf>
    <xf numFmtId="0" fontId="18" fillId="21" borderId="0" applyNumberFormat="0" applyBorder="0" applyAlignment="0" applyProtection="0">
      <alignment vertical="center"/>
    </xf>
    <xf numFmtId="177" fontId="17" fillId="0" borderId="0">
      <alignment vertical="center"/>
    </xf>
    <xf numFmtId="0" fontId="17" fillId="0" borderId="0">
      <alignment vertical="center"/>
    </xf>
    <xf numFmtId="0" fontId="18" fillId="27" borderId="0" applyNumberFormat="0" applyBorder="0" applyAlignment="0" applyProtection="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8" fillId="21" borderId="0" applyNumberFormat="0" applyBorder="0" applyAlignment="0" applyProtection="0">
      <alignment vertical="center"/>
    </xf>
    <xf numFmtId="177" fontId="17" fillId="0" borderId="0">
      <alignment vertical="center"/>
    </xf>
    <xf numFmtId="0" fontId="18" fillId="21"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21"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8" fillId="21" borderId="0" applyNumberFormat="0" applyBorder="0" applyAlignment="0" applyProtection="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8" fillId="21" borderId="0" applyNumberFormat="0" applyBorder="0" applyAlignment="0" applyProtection="0">
      <alignment vertical="center"/>
    </xf>
    <xf numFmtId="177" fontId="21" fillId="29" borderId="0" applyNumberFormat="0" applyBorder="0" applyAlignment="0" applyProtection="0">
      <alignment vertical="center"/>
    </xf>
    <xf numFmtId="0" fontId="23" fillId="0" borderId="0">
      <alignment vertical="center"/>
    </xf>
    <xf numFmtId="177" fontId="17" fillId="0" borderId="0">
      <alignment vertical="center"/>
    </xf>
    <xf numFmtId="0" fontId="18" fillId="21"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8" fillId="15" borderId="0" applyNumberFormat="0" applyBorder="0" applyAlignment="0" applyProtection="0">
      <alignment vertical="center"/>
    </xf>
    <xf numFmtId="177" fontId="18" fillId="15" borderId="0" applyNumberFormat="0" applyBorder="0" applyAlignment="0" applyProtection="0">
      <alignment vertical="center"/>
    </xf>
    <xf numFmtId="0" fontId="17" fillId="0" borderId="0">
      <alignment vertical="center"/>
    </xf>
    <xf numFmtId="177" fontId="23" fillId="0" borderId="0"/>
    <xf numFmtId="0" fontId="20" fillId="0" borderId="57" applyNumberFormat="0" applyFill="0" applyAlignment="0" applyProtection="0">
      <alignment vertical="center"/>
    </xf>
    <xf numFmtId="177" fontId="17" fillId="0" borderId="0">
      <alignment vertical="center"/>
    </xf>
    <xf numFmtId="0" fontId="17" fillId="0" borderId="0">
      <alignment vertical="center"/>
    </xf>
    <xf numFmtId="0" fontId="18" fillId="15"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8" fillId="15" borderId="0" applyNumberFormat="0" applyBorder="0" applyAlignment="0" applyProtection="0">
      <alignment vertical="center"/>
    </xf>
    <xf numFmtId="177" fontId="17" fillId="0" borderId="0">
      <alignment vertical="center"/>
    </xf>
    <xf numFmtId="177" fontId="17" fillId="0" borderId="0">
      <alignment vertical="center"/>
    </xf>
    <xf numFmtId="0" fontId="21" fillId="24" borderId="0" applyNumberFormat="0" applyBorder="0" applyAlignment="0" applyProtection="0">
      <alignment vertical="center"/>
    </xf>
    <xf numFmtId="177" fontId="17" fillId="0" borderId="0">
      <alignment vertical="center"/>
    </xf>
    <xf numFmtId="177" fontId="18" fillId="15" borderId="0" applyNumberFormat="0" applyBorder="0" applyAlignment="0" applyProtection="0">
      <alignment vertical="center"/>
    </xf>
    <xf numFmtId="0" fontId="21" fillId="29"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8" fillId="15"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1" fillId="29"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8" fillId="15" borderId="0" applyNumberFormat="0" applyBorder="0" applyAlignment="0" applyProtection="0">
      <alignment vertical="center"/>
    </xf>
    <xf numFmtId="177" fontId="17" fillId="0" borderId="0">
      <alignment vertical="center"/>
    </xf>
    <xf numFmtId="0" fontId="18" fillId="15" borderId="0" applyNumberFormat="0" applyBorder="0" applyAlignment="0" applyProtection="0">
      <alignment vertical="center"/>
    </xf>
    <xf numFmtId="0" fontId="17" fillId="0" borderId="0">
      <alignment vertical="center"/>
    </xf>
    <xf numFmtId="177" fontId="17" fillId="0" borderId="0">
      <alignment vertical="center"/>
    </xf>
    <xf numFmtId="0" fontId="18" fillId="15"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24"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8" fillId="15" borderId="0" applyNumberFormat="0" applyBorder="0" applyAlignment="0" applyProtection="0">
      <alignment vertical="center"/>
    </xf>
    <xf numFmtId="177" fontId="17" fillId="0" borderId="0">
      <alignment vertical="center"/>
    </xf>
    <xf numFmtId="0" fontId="17" fillId="0" borderId="0">
      <alignment vertical="center"/>
    </xf>
    <xf numFmtId="177" fontId="17" fillId="0" borderId="0">
      <alignment vertical="center"/>
    </xf>
    <xf numFmtId="0" fontId="18" fillId="15" borderId="0" applyNumberFormat="0" applyBorder="0" applyAlignment="0" applyProtection="0">
      <alignment vertical="center"/>
    </xf>
    <xf numFmtId="177" fontId="17" fillId="0" borderId="0">
      <alignment vertical="center"/>
    </xf>
    <xf numFmtId="0" fontId="18" fillId="15"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8" fillId="15" borderId="0" applyNumberFormat="0" applyBorder="0" applyAlignment="0" applyProtection="0">
      <alignment vertical="center"/>
    </xf>
    <xf numFmtId="177" fontId="21" fillId="18"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8" fillId="15" borderId="0" applyNumberFormat="0" applyBorder="0" applyAlignment="0" applyProtection="0">
      <alignment vertical="center"/>
    </xf>
    <xf numFmtId="177" fontId="18" fillId="27" borderId="0" applyNumberFormat="0" applyBorder="0" applyAlignment="0" applyProtection="0">
      <alignment vertical="center"/>
    </xf>
    <xf numFmtId="177" fontId="17" fillId="0" borderId="0">
      <alignment vertical="center"/>
    </xf>
    <xf numFmtId="0" fontId="17" fillId="0" borderId="0">
      <alignment vertical="center"/>
    </xf>
    <xf numFmtId="177" fontId="18" fillId="27"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8" fillId="27" borderId="0" applyNumberFormat="0" applyBorder="0" applyAlignment="0" applyProtection="0">
      <alignment vertical="center"/>
    </xf>
    <xf numFmtId="0" fontId="17" fillId="0" borderId="0">
      <alignment vertical="center"/>
    </xf>
    <xf numFmtId="0" fontId="18" fillId="27" borderId="0" applyNumberFormat="0" applyBorder="0" applyAlignment="0" applyProtection="0">
      <alignment vertical="center"/>
    </xf>
    <xf numFmtId="177" fontId="17" fillId="0" borderId="0">
      <alignment vertical="center"/>
    </xf>
    <xf numFmtId="0" fontId="23" fillId="0" borderId="0"/>
    <xf numFmtId="177" fontId="17" fillId="0" borderId="0">
      <alignment vertical="center"/>
    </xf>
    <xf numFmtId="177" fontId="18" fillId="27" borderId="0" applyNumberFormat="0" applyBorder="0" applyAlignment="0" applyProtection="0">
      <alignment vertical="center"/>
    </xf>
    <xf numFmtId="177" fontId="17" fillId="0" borderId="0">
      <alignment vertical="center"/>
    </xf>
    <xf numFmtId="177" fontId="17" fillId="0" borderId="0">
      <alignment vertical="center"/>
    </xf>
    <xf numFmtId="0" fontId="18" fillId="27"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0" fontId="18" fillId="27" borderId="0" applyNumberFormat="0" applyBorder="0" applyAlignment="0" applyProtection="0">
      <alignment vertical="center"/>
    </xf>
    <xf numFmtId="0" fontId="18" fillId="30" borderId="0" applyNumberFormat="0" applyBorder="0" applyAlignment="0" applyProtection="0">
      <alignment vertical="center"/>
    </xf>
    <xf numFmtId="177" fontId="17" fillId="0" borderId="0">
      <alignment vertical="center"/>
    </xf>
    <xf numFmtId="0" fontId="18" fillId="27" borderId="0" applyNumberFormat="0" applyBorder="0" applyAlignment="0" applyProtection="0">
      <alignment vertical="center"/>
    </xf>
    <xf numFmtId="177" fontId="17" fillId="0" borderId="0">
      <alignment vertical="center"/>
    </xf>
    <xf numFmtId="0" fontId="18" fillId="27" borderId="0" applyNumberFormat="0" applyBorder="0" applyAlignment="0" applyProtection="0">
      <alignment vertical="center"/>
    </xf>
    <xf numFmtId="177" fontId="17" fillId="0" borderId="0">
      <alignment vertical="center"/>
    </xf>
    <xf numFmtId="0" fontId="18" fillId="27" borderId="0" applyNumberFormat="0" applyBorder="0" applyAlignment="0" applyProtection="0">
      <alignment vertical="center"/>
    </xf>
    <xf numFmtId="177" fontId="17" fillId="0" borderId="0">
      <alignment vertical="center"/>
    </xf>
    <xf numFmtId="177" fontId="17" fillId="0" borderId="0">
      <alignment vertical="center"/>
    </xf>
    <xf numFmtId="0" fontId="18" fillId="27" borderId="0" applyNumberFormat="0" applyBorder="0" applyAlignment="0" applyProtection="0">
      <alignment vertical="center"/>
    </xf>
    <xf numFmtId="177" fontId="21" fillId="24"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8" fillId="27"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24" fillId="0" borderId="0" applyNumberFormat="0" applyBorder="0" applyAlignment="0" applyProtection="0">
      <alignment vertical="center"/>
    </xf>
    <xf numFmtId="0" fontId="21" fillId="16"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8" fillId="30" borderId="0" applyNumberFormat="0" applyBorder="0" applyAlignment="0" applyProtection="0">
      <alignment vertical="center"/>
    </xf>
    <xf numFmtId="0" fontId="18" fillId="15" borderId="0" applyNumberFormat="0" applyBorder="0" applyAlignment="0" applyProtection="0">
      <alignment vertical="center"/>
    </xf>
    <xf numFmtId="177" fontId="17" fillId="0" borderId="0">
      <alignment vertical="center"/>
    </xf>
    <xf numFmtId="177" fontId="18" fillId="30" borderId="0" applyNumberFormat="0" applyBorder="0" applyAlignment="0" applyProtection="0">
      <alignment vertical="center"/>
    </xf>
    <xf numFmtId="177" fontId="17" fillId="0" borderId="0">
      <alignment vertical="center"/>
    </xf>
    <xf numFmtId="0" fontId="18" fillId="30" borderId="0" applyNumberFormat="0" applyBorder="0" applyAlignment="0" applyProtection="0">
      <alignment vertical="center"/>
    </xf>
    <xf numFmtId="0" fontId="17" fillId="0" borderId="0">
      <alignment vertical="center"/>
    </xf>
    <xf numFmtId="177" fontId="17" fillId="0" borderId="0">
      <alignment vertical="center"/>
    </xf>
    <xf numFmtId="177" fontId="17" fillId="0" borderId="0">
      <alignment vertical="center"/>
    </xf>
    <xf numFmtId="0" fontId="18" fillId="30" borderId="0" applyNumberFormat="0" applyBorder="0" applyAlignment="0" applyProtection="0">
      <alignment vertical="center"/>
    </xf>
    <xf numFmtId="177" fontId="17" fillId="0" borderId="0">
      <alignment vertical="center"/>
    </xf>
    <xf numFmtId="0" fontId="23" fillId="0" borderId="0"/>
    <xf numFmtId="177" fontId="17" fillId="0" borderId="0">
      <alignment vertical="center"/>
    </xf>
    <xf numFmtId="177" fontId="18" fillId="30"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8" fillId="30"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30"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18" fillId="30"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30" borderId="0" applyNumberFormat="0" applyBorder="0" applyAlignment="0" applyProtection="0">
      <alignment vertical="center"/>
    </xf>
    <xf numFmtId="0" fontId="18" fillId="30" borderId="0" applyNumberFormat="0" applyBorder="0" applyAlignment="0" applyProtection="0">
      <alignment vertical="center"/>
    </xf>
    <xf numFmtId="0" fontId="18" fillId="30" borderId="0" applyNumberFormat="0" applyBorder="0" applyAlignment="0" applyProtection="0">
      <alignment vertical="center"/>
    </xf>
    <xf numFmtId="177" fontId="17" fillId="0" borderId="0">
      <alignment vertical="center"/>
    </xf>
    <xf numFmtId="177" fontId="17" fillId="0" borderId="0">
      <alignment vertical="center"/>
    </xf>
    <xf numFmtId="0" fontId="24" fillId="0" borderId="0" applyNumberFormat="0" applyBorder="0" applyAlignment="0" applyProtection="0">
      <alignment vertical="center"/>
    </xf>
    <xf numFmtId="0" fontId="21" fillId="16"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30" borderId="0" applyNumberFormat="0" applyBorder="0" applyAlignment="0" applyProtection="0">
      <alignment vertical="center"/>
    </xf>
    <xf numFmtId="177" fontId="17" fillId="0" borderId="0">
      <alignment vertical="center"/>
    </xf>
    <xf numFmtId="177" fontId="17" fillId="0" borderId="0">
      <alignment vertical="center"/>
    </xf>
    <xf numFmtId="177" fontId="21" fillId="22"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8" fillId="30" borderId="0" applyNumberFormat="0" applyBorder="0" applyAlignment="0" applyProtection="0">
      <alignment vertical="center"/>
    </xf>
    <xf numFmtId="177" fontId="17" fillId="0" borderId="0">
      <alignment vertical="center"/>
    </xf>
    <xf numFmtId="177" fontId="18" fillId="23"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8" fillId="17" borderId="0" applyNumberFormat="0" applyBorder="0" applyAlignment="0" applyProtection="0">
      <alignment vertical="center"/>
    </xf>
    <xf numFmtId="177" fontId="17" fillId="0" borderId="0">
      <alignment vertical="center"/>
    </xf>
    <xf numFmtId="177" fontId="17" fillId="0" borderId="0">
      <alignment vertical="center"/>
    </xf>
    <xf numFmtId="177" fontId="18" fillId="23" borderId="0" applyNumberFormat="0" applyBorder="0" applyAlignment="0" applyProtection="0">
      <alignment vertical="center"/>
    </xf>
    <xf numFmtId="0" fontId="18" fillId="23" borderId="0" applyNumberFormat="0" applyBorder="0" applyAlignment="0" applyProtection="0">
      <alignment vertical="center"/>
    </xf>
    <xf numFmtId="177" fontId="17" fillId="0" borderId="0">
      <alignment vertical="center"/>
    </xf>
    <xf numFmtId="177" fontId="17" fillId="0" borderId="0">
      <alignment vertical="center"/>
    </xf>
    <xf numFmtId="0" fontId="17" fillId="0" borderId="0">
      <alignment vertical="center"/>
    </xf>
    <xf numFmtId="0" fontId="18" fillId="23" borderId="0" applyNumberFormat="0" applyBorder="0" applyAlignment="0" applyProtection="0">
      <alignment vertical="center"/>
    </xf>
    <xf numFmtId="177" fontId="18" fillId="23" borderId="0" applyNumberFormat="0" applyBorder="0" applyAlignment="0" applyProtection="0">
      <alignment vertical="center"/>
    </xf>
    <xf numFmtId="0" fontId="18" fillId="23" borderId="0" applyNumberFormat="0" applyBorder="0" applyAlignment="0" applyProtection="0">
      <alignment vertical="center"/>
    </xf>
    <xf numFmtId="177" fontId="17" fillId="0" borderId="0">
      <alignment vertical="center"/>
    </xf>
    <xf numFmtId="0" fontId="18" fillId="23" borderId="0" applyNumberFormat="0" applyBorder="0" applyAlignment="0" applyProtection="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23" borderId="0" applyNumberFormat="0" applyBorder="0" applyAlignment="0" applyProtection="0">
      <alignment vertical="center"/>
    </xf>
    <xf numFmtId="177" fontId="17" fillId="0" borderId="0">
      <alignment vertical="center"/>
    </xf>
    <xf numFmtId="0" fontId="20" fillId="0" borderId="57" applyNumberFormat="0" applyFill="0" applyAlignment="0" applyProtection="0">
      <alignment vertical="center"/>
    </xf>
    <xf numFmtId="0" fontId="23" fillId="0" borderId="0">
      <alignment vertical="center"/>
    </xf>
    <xf numFmtId="0" fontId="18" fillId="23"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20" fillId="0" borderId="57" applyNumberFormat="0" applyFill="0" applyAlignment="0" applyProtection="0">
      <alignment vertical="center"/>
    </xf>
    <xf numFmtId="0" fontId="18" fillId="23" borderId="0" applyNumberFormat="0" applyBorder="0" applyAlignment="0" applyProtection="0">
      <alignment vertical="center"/>
    </xf>
    <xf numFmtId="177" fontId="17" fillId="0" borderId="0">
      <alignment vertical="center"/>
    </xf>
    <xf numFmtId="177" fontId="17" fillId="0" borderId="0">
      <alignment vertical="center"/>
    </xf>
    <xf numFmtId="0" fontId="18" fillId="23"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23"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8" fillId="18" borderId="0" applyNumberFormat="0" applyBorder="0" applyAlignment="0" applyProtection="0">
      <alignment vertical="center"/>
    </xf>
    <xf numFmtId="177" fontId="17" fillId="0" borderId="0">
      <alignment vertical="center"/>
    </xf>
    <xf numFmtId="177" fontId="17" fillId="0" borderId="0">
      <alignment vertical="center"/>
    </xf>
    <xf numFmtId="177" fontId="21" fillId="20"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8" fillId="18" borderId="0" applyNumberFormat="0" applyBorder="0" applyAlignment="0" applyProtection="0">
      <alignment vertical="center"/>
    </xf>
    <xf numFmtId="0" fontId="18" fillId="0" borderId="0">
      <alignment vertical="center"/>
    </xf>
    <xf numFmtId="177" fontId="17" fillId="0" borderId="0">
      <alignment vertical="center"/>
    </xf>
    <xf numFmtId="177" fontId="17" fillId="0" borderId="0">
      <alignment vertical="center"/>
    </xf>
    <xf numFmtId="0" fontId="18" fillId="18" borderId="0" applyNumberFormat="0" applyBorder="0" applyAlignment="0" applyProtection="0">
      <alignment vertical="center"/>
    </xf>
    <xf numFmtId="0" fontId="18" fillId="0" borderId="0">
      <alignment vertical="center"/>
    </xf>
    <xf numFmtId="177" fontId="17" fillId="0" borderId="0">
      <alignment vertical="center"/>
    </xf>
    <xf numFmtId="177" fontId="21" fillId="16"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18" borderId="0" applyNumberFormat="0" applyBorder="0" applyAlignment="0" applyProtection="0">
      <alignment vertical="center"/>
    </xf>
    <xf numFmtId="177" fontId="17" fillId="0" borderId="0">
      <alignment vertical="center"/>
    </xf>
    <xf numFmtId="0" fontId="18" fillId="0" borderId="0">
      <alignment vertical="center"/>
    </xf>
    <xf numFmtId="177" fontId="17" fillId="0" borderId="0">
      <alignment vertical="center"/>
    </xf>
    <xf numFmtId="0" fontId="18" fillId="18"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18" borderId="0" applyNumberFormat="0" applyBorder="0" applyAlignment="0" applyProtection="0">
      <alignment vertical="center"/>
    </xf>
    <xf numFmtId="177" fontId="17" fillId="0" borderId="0">
      <alignment vertical="center"/>
    </xf>
    <xf numFmtId="0" fontId="18" fillId="18" borderId="0" applyNumberFormat="0" applyBorder="0" applyAlignment="0" applyProtection="0">
      <alignment vertical="center"/>
    </xf>
    <xf numFmtId="177" fontId="17" fillId="0" borderId="0">
      <alignment vertical="center"/>
    </xf>
    <xf numFmtId="177" fontId="17" fillId="0" borderId="0">
      <alignment vertical="center"/>
    </xf>
    <xf numFmtId="0" fontId="17" fillId="0" borderId="0">
      <alignment vertical="center"/>
    </xf>
    <xf numFmtId="0" fontId="23" fillId="0" borderId="0"/>
    <xf numFmtId="177" fontId="17" fillId="0" borderId="0">
      <alignment vertical="center"/>
    </xf>
    <xf numFmtId="177" fontId="17" fillId="0" borderId="0">
      <alignment vertical="center"/>
    </xf>
    <xf numFmtId="0" fontId="18" fillId="18" borderId="0" applyNumberFormat="0" applyBorder="0" applyAlignment="0" applyProtection="0">
      <alignment vertical="center"/>
    </xf>
    <xf numFmtId="177" fontId="17" fillId="0" borderId="0">
      <alignment vertical="center"/>
    </xf>
    <xf numFmtId="177" fontId="17" fillId="0" borderId="0">
      <alignment vertical="center"/>
    </xf>
    <xf numFmtId="0" fontId="17" fillId="0" borderId="0">
      <alignment vertical="center"/>
    </xf>
    <xf numFmtId="0" fontId="23" fillId="0" borderId="0"/>
    <xf numFmtId="177" fontId="17" fillId="0" borderId="0">
      <alignment vertical="center"/>
    </xf>
    <xf numFmtId="0" fontId="18" fillId="18" borderId="0" applyNumberFormat="0" applyBorder="0" applyAlignment="0" applyProtection="0">
      <alignment vertical="center"/>
    </xf>
    <xf numFmtId="177" fontId="17" fillId="0" borderId="0">
      <alignment vertical="center"/>
    </xf>
    <xf numFmtId="0" fontId="17" fillId="0" borderId="0">
      <alignment vertical="center"/>
    </xf>
    <xf numFmtId="177" fontId="18" fillId="24" borderId="0" applyNumberFormat="0" applyBorder="0" applyAlignment="0" applyProtection="0">
      <alignment vertical="center"/>
    </xf>
    <xf numFmtId="177" fontId="18" fillId="24" borderId="0" applyNumberFormat="0" applyBorder="0" applyAlignment="0" applyProtection="0">
      <alignment vertical="center"/>
    </xf>
    <xf numFmtId="0" fontId="18" fillId="0" borderId="0">
      <alignment vertical="center"/>
    </xf>
    <xf numFmtId="0" fontId="18" fillId="0" borderId="0">
      <alignment vertical="center"/>
    </xf>
    <xf numFmtId="0" fontId="18" fillId="24" borderId="0" applyNumberFormat="0" applyBorder="0" applyAlignment="0" applyProtection="0">
      <alignment vertical="center"/>
    </xf>
    <xf numFmtId="177" fontId="17" fillId="0" borderId="0">
      <alignment vertical="center"/>
    </xf>
    <xf numFmtId="177" fontId="17" fillId="0" borderId="0">
      <alignment vertical="center"/>
    </xf>
    <xf numFmtId="0" fontId="18" fillId="24" borderId="0" applyNumberFormat="0" applyBorder="0" applyAlignment="0" applyProtection="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24" borderId="0" applyNumberFormat="0" applyBorder="0" applyAlignment="0" applyProtection="0">
      <alignment vertical="center"/>
    </xf>
    <xf numFmtId="0" fontId="18" fillId="24" borderId="0" applyNumberFormat="0" applyBorder="0" applyAlignment="0" applyProtection="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0" fontId="18" fillId="24" borderId="0" applyNumberFormat="0" applyBorder="0" applyAlignment="0" applyProtection="0">
      <alignment vertical="center"/>
    </xf>
    <xf numFmtId="177" fontId="18" fillId="24" borderId="0" applyNumberFormat="0" applyBorder="0" applyAlignment="0" applyProtection="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4" fillId="0" borderId="58" applyNumberFormat="0" applyFill="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24" borderId="0" applyNumberFormat="0" applyBorder="0" applyAlignment="0" applyProtection="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5" fillId="0" borderId="59" applyNumberFormat="0" applyFill="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24" borderId="0" applyNumberFormat="0" applyBorder="0" applyAlignment="0" applyProtection="0">
      <alignment vertical="center"/>
    </xf>
    <xf numFmtId="0" fontId="18" fillId="24" borderId="0" applyNumberFormat="0" applyBorder="0" applyAlignment="0" applyProtection="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24" borderId="0" applyNumberFormat="0" applyBorder="0" applyAlignment="0" applyProtection="0">
      <alignment vertical="center"/>
    </xf>
    <xf numFmtId="177" fontId="17" fillId="0" borderId="0">
      <alignment vertical="center"/>
    </xf>
    <xf numFmtId="0" fontId="18" fillId="24" borderId="0" applyNumberFormat="0" applyBorder="0" applyAlignment="0" applyProtection="0">
      <alignment vertical="center"/>
    </xf>
    <xf numFmtId="0" fontId="24" fillId="0" borderId="0" applyNumberFormat="0" applyFill="0" applyBorder="0" applyAlignment="0" applyProtection="0">
      <alignment vertical="center"/>
    </xf>
    <xf numFmtId="177" fontId="18" fillId="15" borderId="0" applyNumberFormat="0" applyBorder="0" applyAlignment="0" applyProtection="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17" fillId="0" borderId="0">
      <alignment vertical="center"/>
    </xf>
    <xf numFmtId="0" fontId="18" fillId="15" borderId="0" applyNumberFormat="0" applyBorder="0" applyAlignment="0" applyProtection="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0" fontId="17" fillId="0" borderId="0">
      <alignment vertical="center"/>
    </xf>
    <xf numFmtId="0" fontId="18" fillId="15" borderId="0" applyNumberFormat="0" applyBorder="0" applyAlignment="0" applyProtection="0">
      <alignment vertical="center"/>
    </xf>
    <xf numFmtId="177" fontId="18" fillId="15" borderId="0" applyNumberFormat="0" applyBorder="0" applyAlignment="0" applyProtection="0">
      <alignment vertical="center"/>
    </xf>
    <xf numFmtId="0" fontId="18" fillId="15"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0" fontId="18" fillId="15" borderId="0" applyNumberFormat="0" applyBorder="0" applyAlignment="0" applyProtection="0">
      <alignment vertical="center"/>
    </xf>
    <xf numFmtId="0" fontId="18" fillId="15"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15" borderId="0" applyNumberFormat="0" applyBorder="0" applyAlignment="0" applyProtection="0">
      <alignment vertical="center"/>
    </xf>
    <xf numFmtId="177" fontId="17" fillId="0" borderId="0">
      <alignment vertical="center"/>
    </xf>
    <xf numFmtId="177" fontId="17" fillId="0" borderId="0">
      <alignment vertical="center"/>
    </xf>
    <xf numFmtId="0" fontId="18" fillId="15" borderId="0" applyNumberFormat="0" applyBorder="0" applyAlignment="0" applyProtection="0">
      <alignment vertical="center"/>
    </xf>
    <xf numFmtId="177" fontId="17" fillId="0" borderId="0">
      <alignment vertical="center"/>
    </xf>
    <xf numFmtId="0" fontId="18" fillId="15" borderId="0" applyNumberFormat="0" applyBorder="0" applyAlignment="0" applyProtection="0">
      <alignment vertical="center"/>
    </xf>
    <xf numFmtId="177" fontId="17" fillId="0" borderId="0">
      <alignment vertical="center"/>
    </xf>
    <xf numFmtId="177" fontId="17" fillId="0" borderId="0">
      <alignment vertical="center"/>
    </xf>
    <xf numFmtId="177" fontId="18" fillId="23" borderId="0" applyNumberFormat="0" applyBorder="0" applyAlignment="0" applyProtection="0">
      <alignment vertical="center"/>
    </xf>
    <xf numFmtId="177" fontId="17" fillId="0" borderId="0">
      <alignment vertical="center"/>
    </xf>
    <xf numFmtId="0" fontId="21" fillId="22" borderId="0" applyNumberFormat="0" applyBorder="0" applyAlignment="0" applyProtection="0">
      <alignment vertical="center"/>
    </xf>
    <xf numFmtId="177" fontId="17" fillId="0" borderId="0">
      <alignment vertical="center"/>
    </xf>
    <xf numFmtId="177" fontId="17" fillId="0" borderId="0">
      <alignment vertical="center"/>
    </xf>
    <xf numFmtId="177" fontId="18" fillId="23" borderId="0" applyNumberFormat="0" applyBorder="0" applyAlignment="0" applyProtection="0">
      <alignment vertical="center"/>
    </xf>
    <xf numFmtId="177" fontId="17" fillId="0" borderId="0">
      <alignment vertical="center"/>
    </xf>
    <xf numFmtId="177" fontId="17" fillId="0" borderId="0">
      <alignment vertical="center"/>
    </xf>
    <xf numFmtId="0" fontId="18" fillId="23" borderId="0" applyNumberFormat="0" applyBorder="0" applyAlignment="0" applyProtection="0">
      <alignment vertical="center"/>
    </xf>
    <xf numFmtId="177" fontId="17" fillId="0" borderId="0">
      <alignment vertical="center"/>
    </xf>
    <xf numFmtId="0" fontId="17" fillId="0" borderId="0">
      <alignment vertical="center"/>
    </xf>
    <xf numFmtId="177" fontId="17" fillId="0" borderId="0">
      <alignment vertical="center"/>
    </xf>
    <xf numFmtId="0" fontId="18" fillId="23" borderId="0" applyNumberFormat="0" applyBorder="0" applyAlignment="0" applyProtection="0">
      <alignment vertical="center"/>
    </xf>
    <xf numFmtId="177" fontId="17" fillId="0" borderId="0">
      <alignment vertical="center"/>
    </xf>
    <xf numFmtId="0" fontId="21" fillId="22"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8" fillId="23"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0" fontId="18" fillId="23" borderId="0" applyNumberFormat="0" applyBorder="0" applyAlignment="0" applyProtection="0">
      <alignment vertical="center"/>
    </xf>
    <xf numFmtId="0" fontId="21" fillId="29" borderId="0" applyNumberFormat="0" applyBorder="0" applyAlignment="0" applyProtection="0">
      <alignment vertical="center"/>
    </xf>
    <xf numFmtId="0" fontId="18" fillId="23"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23"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8" fillId="23" borderId="0" applyNumberFormat="0" applyBorder="0" applyAlignment="0" applyProtection="0">
      <alignment vertical="center"/>
    </xf>
    <xf numFmtId="177" fontId="17" fillId="0" borderId="0">
      <alignment vertical="center"/>
    </xf>
    <xf numFmtId="0" fontId="18" fillId="0" borderId="0">
      <alignment vertical="center"/>
    </xf>
    <xf numFmtId="0" fontId="18" fillId="23"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23" borderId="0" applyNumberFormat="0" applyBorder="0" applyAlignment="0" applyProtection="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31" fillId="31"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23" borderId="0" applyNumberFormat="0" applyBorder="0" applyAlignment="0" applyProtection="0">
      <alignment vertical="center"/>
    </xf>
    <xf numFmtId="177" fontId="17" fillId="0" borderId="0">
      <alignment vertical="center"/>
    </xf>
    <xf numFmtId="0" fontId="18" fillId="23"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23" borderId="0" applyNumberFormat="0" applyBorder="0" applyAlignment="0" applyProtection="0">
      <alignment vertical="center"/>
    </xf>
    <xf numFmtId="0" fontId="17" fillId="0" borderId="0">
      <alignment vertical="center"/>
    </xf>
    <xf numFmtId="0" fontId="20" fillId="0" borderId="57" applyNumberFormat="0" applyFill="0" applyAlignment="0" applyProtection="0">
      <alignment vertical="center"/>
    </xf>
    <xf numFmtId="177" fontId="17" fillId="0" borderId="0">
      <alignment vertical="center"/>
    </xf>
    <xf numFmtId="177" fontId="18" fillId="17" borderId="0" applyNumberFormat="0" applyBorder="0" applyAlignment="0" applyProtection="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177" fontId="18" fillId="17" borderId="0" applyNumberFormat="0" applyBorder="0" applyAlignment="0" applyProtection="0">
      <alignment vertical="center"/>
    </xf>
    <xf numFmtId="177" fontId="17" fillId="0" borderId="0">
      <alignment vertical="center"/>
    </xf>
    <xf numFmtId="177" fontId="17" fillId="0" borderId="0">
      <alignment vertical="center"/>
    </xf>
    <xf numFmtId="0" fontId="18" fillId="17" borderId="0" applyNumberFormat="0" applyBorder="0" applyAlignment="0" applyProtection="0">
      <alignment vertical="center"/>
    </xf>
    <xf numFmtId="177" fontId="17" fillId="0" borderId="0">
      <alignment vertical="center"/>
    </xf>
    <xf numFmtId="177" fontId="18" fillId="17"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17" borderId="0" applyNumberFormat="0" applyBorder="0" applyAlignment="0" applyProtection="0">
      <alignment vertical="center"/>
    </xf>
    <xf numFmtId="177" fontId="17" fillId="0" borderId="0">
      <alignment vertical="center"/>
    </xf>
    <xf numFmtId="177" fontId="17" fillId="0" borderId="0">
      <alignment vertical="center"/>
    </xf>
    <xf numFmtId="0" fontId="18" fillId="17"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8" fillId="17" borderId="0" applyNumberFormat="0" applyBorder="0" applyAlignment="0" applyProtection="0">
      <alignment vertical="center"/>
    </xf>
    <xf numFmtId="177" fontId="17" fillId="0" borderId="0">
      <alignment vertical="center"/>
    </xf>
    <xf numFmtId="0" fontId="18" fillId="17" borderId="0" applyNumberFormat="0" applyBorder="0" applyAlignment="0" applyProtection="0">
      <alignment vertical="center"/>
    </xf>
    <xf numFmtId="0" fontId="18" fillId="17"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17" borderId="0" applyNumberFormat="0" applyBorder="0" applyAlignment="0" applyProtection="0">
      <alignment vertical="center"/>
    </xf>
    <xf numFmtId="0" fontId="18" fillId="17" borderId="0" applyNumberFormat="0" applyBorder="0" applyAlignment="0" applyProtection="0">
      <alignment vertical="center"/>
    </xf>
    <xf numFmtId="177" fontId="17" fillId="0" borderId="0">
      <alignment vertical="center"/>
    </xf>
    <xf numFmtId="0" fontId="20" fillId="0" borderId="57" applyNumberFormat="0" applyFill="0" applyAlignment="0" applyProtection="0">
      <alignment vertical="center"/>
    </xf>
    <xf numFmtId="177" fontId="17" fillId="0" borderId="0">
      <alignment vertical="center"/>
    </xf>
    <xf numFmtId="177" fontId="17" fillId="0" borderId="0">
      <alignment vertical="center"/>
    </xf>
    <xf numFmtId="0" fontId="18" fillId="17" borderId="0" applyNumberFormat="0" applyBorder="0" applyAlignment="0" applyProtection="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0" fontId="20" fillId="0" borderId="57" applyNumberFormat="0" applyAlignment="0" applyProtection="0">
      <alignment vertical="center"/>
    </xf>
    <xf numFmtId="177" fontId="17" fillId="0" borderId="0">
      <alignment vertical="center"/>
    </xf>
    <xf numFmtId="177" fontId="17" fillId="0" borderId="0">
      <alignment vertical="center"/>
    </xf>
    <xf numFmtId="177" fontId="21" fillId="22"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17" borderId="0" applyNumberFormat="0" applyBorder="0" applyAlignment="0" applyProtection="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177" fontId="21" fillId="29" borderId="0" applyNumberFormat="0" applyBorder="0" applyAlignment="0" applyProtection="0">
      <alignment vertical="center"/>
    </xf>
    <xf numFmtId="0" fontId="17" fillId="0" borderId="0">
      <alignment vertical="center"/>
    </xf>
    <xf numFmtId="0" fontId="24" fillId="0" borderId="58" applyNumberFormat="0" applyFill="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21" fillId="29" borderId="0" applyNumberFormat="0" applyBorder="0" applyAlignment="0" applyProtection="0">
      <alignment vertical="center"/>
    </xf>
    <xf numFmtId="177" fontId="17" fillId="0" borderId="0">
      <alignment vertical="center"/>
    </xf>
    <xf numFmtId="0" fontId="17" fillId="0" borderId="0">
      <alignment vertical="center"/>
    </xf>
    <xf numFmtId="177" fontId="17" fillId="0" borderId="0">
      <alignment vertical="center"/>
    </xf>
    <xf numFmtId="0" fontId="24" fillId="0" borderId="58" applyNumberFormat="0" applyFill="0" applyAlignment="0" applyProtection="0">
      <alignment vertical="center"/>
    </xf>
    <xf numFmtId="0" fontId="21" fillId="29"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4" fillId="0" borderId="58" applyNumberFormat="0" applyAlignment="0" applyProtection="0">
      <alignment vertical="center"/>
    </xf>
    <xf numFmtId="177" fontId="17" fillId="0" borderId="0">
      <alignment vertical="center"/>
    </xf>
    <xf numFmtId="177" fontId="21" fillId="20"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1" fillId="29"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1" fillId="29" borderId="0" applyNumberFormat="0" applyBorder="0" applyAlignment="0" applyProtection="0">
      <alignment vertical="center"/>
    </xf>
    <xf numFmtId="0" fontId="21" fillId="29"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21" fillId="18"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1" fillId="18"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1" fillId="18"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25" fillId="0" borderId="59" applyNumberFormat="0" applyAlignment="0" applyProtection="0">
      <alignment vertical="center"/>
    </xf>
    <xf numFmtId="0" fontId="17" fillId="0" borderId="0">
      <alignment vertical="center"/>
    </xf>
    <xf numFmtId="177" fontId="17" fillId="0" borderId="0">
      <alignment vertical="center"/>
    </xf>
    <xf numFmtId="177" fontId="21" fillId="24"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1" fillId="24" borderId="0" applyNumberFormat="0" applyBorder="0" applyAlignment="0" applyProtection="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25" fillId="0" borderId="59" applyNumberFormat="0" applyAlignment="0" applyProtection="0">
      <alignment vertical="center"/>
    </xf>
    <xf numFmtId="0" fontId="17" fillId="0" borderId="0">
      <alignment vertical="center"/>
    </xf>
    <xf numFmtId="0" fontId="17" fillId="0" borderId="0">
      <alignment vertical="center"/>
    </xf>
    <xf numFmtId="177" fontId="17" fillId="0" borderId="0">
      <alignment vertical="center"/>
    </xf>
    <xf numFmtId="177" fontId="21" fillId="24"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5" fillId="0" borderId="59" applyNumberFormat="0" applyAlignment="0" applyProtection="0">
      <alignment vertical="center"/>
    </xf>
    <xf numFmtId="0" fontId="17" fillId="0" borderId="0">
      <alignment vertical="center"/>
    </xf>
    <xf numFmtId="0" fontId="21" fillId="24" borderId="0" applyNumberFormat="0" applyBorder="0" applyAlignment="0" applyProtection="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25" fillId="0" borderId="59" applyNumberFormat="0" applyAlignment="0" applyProtection="0">
      <alignment vertical="center"/>
    </xf>
    <xf numFmtId="0" fontId="17" fillId="0" borderId="0">
      <alignment vertical="center"/>
    </xf>
    <xf numFmtId="0" fontId="21" fillId="24" borderId="0" applyNumberFormat="0" applyBorder="0" applyAlignment="0" applyProtection="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1" fillId="24" borderId="0" applyNumberFormat="0" applyBorder="0" applyAlignment="0" applyProtection="0">
      <alignment vertical="center"/>
    </xf>
    <xf numFmtId="177" fontId="17" fillId="0" borderId="0">
      <alignment vertical="center"/>
    </xf>
    <xf numFmtId="0" fontId="21" fillId="24"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5" fillId="0" borderId="59" applyNumberFormat="0" applyFill="0" applyAlignment="0" applyProtection="0">
      <alignment vertical="center"/>
    </xf>
    <xf numFmtId="177" fontId="17" fillId="0" borderId="0">
      <alignment vertical="center"/>
    </xf>
    <xf numFmtId="0" fontId="21" fillId="22" borderId="0" applyNumberFormat="0" applyBorder="0" applyAlignment="0" applyProtection="0">
      <alignment vertical="center"/>
    </xf>
    <xf numFmtId="177" fontId="17" fillId="0" borderId="0">
      <alignment vertical="center"/>
    </xf>
    <xf numFmtId="177" fontId="17" fillId="0" borderId="0">
      <alignment vertical="center"/>
    </xf>
    <xf numFmtId="177" fontId="25" fillId="0" borderId="59" applyNumberFormat="0" applyFill="0" applyAlignment="0" applyProtection="0">
      <alignment vertical="center"/>
    </xf>
    <xf numFmtId="177" fontId="17" fillId="0" borderId="0">
      <alignment vertical="center"/>
    </xf>
    <xf numFmtId="0" fontId="21" fillId="22" borderId="0" applyNumberFormat="0" applyBorder="0" applyAlignment="0" applyProtection="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1" fillId="22" borderId="0" applyNumberFormat="0" applyBorder="0" applyAlignment="0" applyProtection="0">
      <alignment vertical="center"/>
    </xf>
    <xf numFmtId="177" fontId="17" fillId="0" borderId="0">
      <alignment vertical="center"/>
    </xf>
    <xf numFmtId="177" fontId="17" fillId="0" borderId="0">
      <alignment vertical="center"/>
    </xf>
    <xf numFmtId="0" fontId="20" fillId="0" borderId="57" applyNumberFormat="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21" fillId="22"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0" fontId="20" fillId="0" borderId="57" applyNumberFormat="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1" fillId="22" borderId="0" applyNumberFormat="0" applyBorder="0" applyAlignment="0" applyProtection="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177" fontId="24" fillId="0" borderId="58" applyNumberFormat="0" applyFill="0" applyAlignment="0" applyProtection="0">
      <alignment vertical="center"/>
    </xf>
    <xf numFmtId="0" fontId="17" fillId="0" borderId="0">
      <alignment vertical="center"/>
    </xf>
    <xf numFmtId="0" fontId="21" fillId="20" borderId="0" applyNumberFormat="0" applyBorder="0" applyAlignment="0" applyProtection="0">
      <alignment vertical="center"/>
    </xf>
    <xf numFmtId="177" fontId="17" fillId="0" borderId="0">
      <alignment vertical="center"/>
    </xf>
    <xf numFmtId="177" fontId="17" fillId="0" borderId="0">
      <alignment vertical="center"/>
    </xf>
    <xf numFmtId="0" fontId="24" fillId="0" borderId="58" applyNumberFormat="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21" fillId="20" borderId="0" applyNumberFormat="0" applyBorder="0" applyAlignment="0" applyProtection="0">
      <alignment vertical="center"/>
    </xf>
    <xf numFmtId="0" fontId="24" fillId="0" borderId="58" applyNumberFormat="0" applyAlignment="0" applyProtection="0">
      <alignment vertical="center"/>
    </xf>
    <xf numFmtId="177" fontId="17" fillId="0" borderId="0">
      <alignment vertical="center"/>
    </xf>
    <xf numFmtId="177" fontId="17" fillId="0" borderId="0">
      <alignment vertical="center"/>
    </xf>
    <xf numFmtId="0" fontId="21" fillId="20" borderId="0" applyNumberFormat="0" applyBorder="0" applyAlignment="0" applyProtection="0">
      <alignment vertical="center"/>
    </xf>
    <xf numFmtId="0" fontId="24" fillId="0" borderId="58" applyNumberFormat="0" applyAlignment="0" applyProtection="0">
      <alignment vertical="center"/>
    </xf>
    <xf numFmtId="177" fontId="17" fillId="0" borderId="0">
      <alignment vertical="center"/>
    </xf>
    <xf numFmtId="177" fontId="24" fillId="0" borderId="0" applyNumberFormat="0" applyFill="0" applyBorder="0" applyAlignment="0" applyProtection="0">
      <alignment vertical="center"/>
    </xf>
    <xf numFmtId="0" fontId="21" fillId="20" borderId="0" applyNumberFormat="0" applyBorder="0" applyAlignment="0" applyProtection="0">
      <alignment vertical="center"/>
    </xf>
    <xf numFmtId="177" fontId="17" fillId="0" borderId="0">
      <alignment vertical="center"/>
    </xf>
    <xf numFmtId="0" fontId="21" fillId="20" borderId="0" applyNumberFormat="0" applyBorder="0" applyAlignment="0" applyProtection="0">
      <alignment vertical="center"/>
    </xf>
    <xf numFmtId="177" fontId="17" fillId="0" borderId="0">
      <alignment vertical="center"/>
    </xf>
    <xf numFmtId="177" fontId="17" fillId="0" borderId="0">
      <alignment vertical="center"/>
    </xf>
    <xf numFmtId="0" fontId="21" fillId="20"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4" fillId="0" borderId="0" applyNumberFormat="0" applyBorder="0" applyAlignment="0" applyProtection="0">
      <alignment vertical="center"/>
    </xf>
    <xf numFmtId="177" fontId="17" fillId="0" borderId="0">
      <alignment vertical="center"/>
    </xf>
    <xf numFmtId="177" fontId="17" fillId="0" borderId="0">
      <alignment vertical="center"/>
    </xf>
    <xf numFmtId="177" fontId="21" fillId="16"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21" fillId="16" borderId="0" applyNumberFormat="0" applyBorder="0" applyAlignment="0" applyProtection="0">
      <alignment vertical="center"/>
    </xf>
    <xf numFmtId="0" fontId="18" fillId="0" borderId="0">
      <alignment vertical="center"/>
    </xf>
    <xf numFmtId="0" fontId="18" fillId="0" borderId="0">
      <alignment vertical="center"/>
    </xf>
    <xf numFmtId="0" fontId="21" fillId="16"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24" fillId="0" borderId="0" applyNumberFormat="0" applyBorder="0" applyAlignment="0" applyProtection="0">
      <alignment vertical="center"/>
    </xf>
    <xf numFmtId="177" fontId="17" fillId="0" borderId="0">
      <alignment vertical="center"/>
    </xf>
    <xf numFmtId="177" fontId="21" fillId="16" borderId="0" applyNumberFormat="0" applyBorder="0" applyAlignment="0" applyProtection="0">
      <alignment vertical="center"/>
    </xf>
    <xf numFmtId="177" fontId="17" fillId="0" borderId="0">
      <alignment vertical="center"/>
    </xf>
    <xf numFmtId="0" fontId="18" fillId="0" borderId="0">
      <alignment vertical="center"/>
    </xf>
    <xf numFmtId="177" fontId="17" fillId="0" borderId="0">
      <alignment vertical="center"/>
    </xf>
    <xf numFmtId="0" fontId="21" fillId="16"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1" fillId="16" borderId="0" applyNumberFormat="0" applyBorder="0" applyAlignment="0" applyProtection="0">
      <alignment vertical="center"/>
    </xf>
    <xf numFmtId="0" fontId="30" fillId="0" borderId="0">
      <alignment horizontal="left" vertical="center" indent="1"/>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23" fillId="0" borderId="0">
      <alignment vertical="center"/>
    </xf>
    <xf numFmtId="0" fontId="17" fillId="0" borderId="0">
      <alignment vertical="center"/>
    </xf>
    <xf numFmtId="0" fontId="23" fillId="0" borderId="0"/>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20" fillId="0" borderId="57" applyNumberFormat="0" applyFill="0" applyAlignment="0" applyProtection="0">
      <alignment vertical="center"/>
    </xf>
    <xf numFmtId="0" fontId="18" fillId="0" borderId="0">
      <alignment vertical="center"/>
    </xf>
    <xf numFmtId="0" fontId="23"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0" fontId="28" fillId="0" borderId="0"/>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0"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26"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0" fontId="23" fillId="0" borderId="0">
      <alignment vertical="center"/>
    </xf>
    <xf numFmtId="0" fontId="23" fillId="0" borderId="0">
      <alignment vertical="center"/>
    </xf>
    <xf numFmtId="177" fontId="17" fillId="0" borderId="0">
      <alignment vertical="center"/>
    </xf>
    <xf numFmtId="0" fontId="18" fillId="0" borderId="0">
      <alignment vertical="center"/>
    </xf>
    <xf numFmtId="0" fontId="23" fillId="0" borderId="0">
      <alignment vertical="center"/>
    </xf>
    <xf numFmtId="0" fontId="23" fillId="0" borderId="0">
      <alignment vertical="center"/>
    </xf>
    <xf numFmtId="0" fontId="18" fillId="0" borderId="0">
      <alignment vertical="center"/>
    </xf>
    <xf numFmtId="177" fontId="17" fillId="0" borderId="0">
      <alignment vertical="center"/>
    </xf>
    <xf numFmtId="0" fontId="23" fillId="0" borderId="0">
      <alignment vertical="center"/>
    </xf>
    <xf numFmtId="0" fontId="23" fillId="0" borderId="0">
      <alignment vertical="center"/>
    </xf>
    <xf numFmtId="0" fontId="18" fillId="0" borderId="0">
      <alignment vertical="center"/>
    </xf>
    <xf numFmtId="0" fontId="23" fillId="0" borderId="0">
      <alignment vertical="center"/>
    </xf>
    <xf numFmtId="0" fontId="23" fillId="0" borderId="0">
      <alignment vertical="center"/>
    </xf>
    <xf numFmtId="0" fontId="18"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0" fontId="23" fillId="0" borderId="0"/>
    <xf numFmtId="0" fontId="23" fillId="0" borderId="0"/>
    <xf numFmtId="0" fontId="23" fillId="0" borderId="0"/>
    <xf numFmtId="177" fontId="17" fillId="0" borderId="0">
      <alignment vertical="center"/>
    </xf>
    <xf numFmtId="177" fontId="17" fillId="0" borderId="0">
      <alignment vertical="center"/>
    </xf>
    <xf numFmtId="0" fontId="23"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0" fontId="23" fillId="0" borderId="0"/>
    <xf numFmtId="177" fontId="17" fillId="0" borderId="0">
      <alignment vertical="center"/>
    </xf>
    <xf numFmtId="177" fontId="17" fillId="0" borderId="0">
      <alignment vertical="center"/>
    </xf>
    <xf numFmtId="0" fontId="23" fillId="0" borderId="0">
      <alignment vertical="center"/>
    </xf>
    <xf numFmtId="0" fontId="18"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0" fontId="17" fillId="0" borderId="0">
      <alignment vertical="center"/>
    </xf>
    <xf numFmtId="0" fontId="23"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0" fontId="27" fillId="26" borderId="0" applyNumberFormat="0" applyBorder="0" applyAlignment="0" applyProtection="0">
      <alignment vertical="center"/>
    </xf>
    <xf numFmtId="177" fontId="17" fillId="0" borderId="0">
      <alignment vertical="center"/>
    </xf>
    <xf numFmtId="177" fontId="17" fillId="0" borderId="0">
      <alignment vertical="center"/>
    </xf>
    <xf numFmtId="9" fontId="2" fillId="0" borderId="0" applyFill="0" applyBorder="0" applyAlignment="0" applyProtection="0"/>
    <xf numFmtId="177" fontId="17" fillId="0" borderId="0">
      <alignment vertical="center"/>
    </xf>
    <xf numFmtId="177" fontId="17" fillId="0" borderId="0">
      <alignment vertical="center"/>
    </xf>
    <xf numFmtId="177" fontId="17" fillId="0" borderId="0">
      <alignment vertical="center"/>
    </xf>
    <xf numFmtId="9" fontId="17" fillId="0" borderId="0" applyFont="0" applyFill="0" applyBorder="0" applyAlignment="0" applyProtection="0">
      <alignment vertical="center"/>
    </xf>
    <xf numFmtId="177" fontId="17" fillId="0" borderId="0">
      <alignment vertical="center"/>
    </xf>
    <xf numFmtId="177" fontId="25" fillId="0" borderId="59" applyNumberFormat="0" applyFill="0" applyAlignment="0" applyProtection="0">
      <alignment vertical="center"/>
    </xf>
    <xf numFmtId="177" fontId="17" fillId="0" borderId="0">
      <alignment vertical="center"/>
    </xf>
    <xf numFmtId="0" fontId="25" fillId="0" borderId="59" applyNumberFormat="0" applyFill="0" applyAlignment="0" applyProtection="0">
      <alignment vertical="center"/>
    </xf>
    <xf numFmtId="177" fontId="17" fillId="0" borderId="0">
      <alignment vertical="center"/>
    </xf>
    <xf numFmtId="0" fontId="25" fillId="0" borderId="59" applyNumberFormat="0" applyFill="0" applyAlignment="0" applyProtection="0">
      <alignment vertical="center"/>
    </xf>
    <xf numFmtId="177" fontId="17" fillId="0" borderId="0">
      <alignment vertical="center"/>
    </xf>
    <xf numFmtId="0" fontId="25" fillId="0" borderId="59" applyNumberFormat="0" applyFill="0" applyAlignment="0" applyProtection="0">
      <alignment vertical="center"/>
    </xf>
    <xf numFmtId="177" fontId="17" fillId="0" borderId="0">
      <alignment vertical="center"/>
    </xf>
    <xf numFmtId="0" fontId="25" fillId="0" borderId="59" applyNumberFormat="0" applyFill="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20" fillId="0" borderId="57" applyNumberFormat="0" applyFill="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4" fillId="0" borderId="58" applyNumberFormat="0" applyFill="0" applyAlignment="0" applyProtection="0">
      <alignment vertical="center"/>
    </xf>
    <xf numFmtId="177" fontId="17" fillId="0" borderId="0">
      <alignment vertical="center"/>
    </xf>
    <xf numFmtId="0" fontId="17" fillId="0" borderId="0">
      <alignment vertical="center"/>
    </xf>
    <xf numFmtId="177" fontId="24" fillId="0" borderId="58" applyNumberFormat="0" applyFill="0" applyAlignment="0" applyProtection="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4" fillId="0" borderId="58" applyNumberFormat="0" applyFill="0" applyAlignment="0" applyProtection="0">
      <alignment vertical="center"/>
    </xf>
    <xf numFmtId="177" fontId="17" fillId="0" borderId="0">
      <alignment vertical="center"/>
    </xf>
    <xf numFmtId="177" fontId="17" fillId="0" borderId="0">
      <alignment vertical="center"/>
    </xf>
    <xf numFmtId="177" fontId="24" fillId="0" borderId="58" applyNumberFormat="0" applyFill="0" applyAlignment="0" applyProtection="0">
      <alignment vertical="center"/>
    </xf>
    <xf numFmtId="177" fontId="17" fillId="0" borderId="0">
      <alignment vertical="center"/>
    </xf>
    <xf numFmtId="177" fontId="17" fillId="0" borderId="0">
      <alignment vertical="center"/>
    </xf>
    <xf numFmtId="177" fontId="24" fillId="0" borderId="58" applyNumberFormat="0" applyFill="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24" fillId="0" borderId="58" applyNumberFormat="0" applyFill="0" applyAlignment="0" applyProtection="0">
      <alignment vertical="center"/>
    </xf>
    <xf numFmtId="177" fontId="17" fillId="0" borderId="0">
      <alignment vertical="center"/>
    </xf>
    <xf numFmtId="177" fontId="17" fillId="0" borderId="0">
      <alignment vertical="center"/>
    </xf>
    <xf numFmtId="0" fontId="24" fillId="0" borderId="58" applyNumberFormat="0" applyFill="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4" fillId="0" borderId="58" applyNumberFormat="0" applyFill="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4" fillId="0" borderId="58" applyNumberFormat="0" applyFill="0" applyAlignment="0" applyProtection="0">
      <alignment vertical="center"/>
    </xf>
    <xf numFmtId="0" fontId="24" fillId="0" borderId="58" applyNumberFormat="0" applyFill="0" applyAlignment="0" applyProtection="0">
      <alignment vertical="center"/>
    </xf>
    <xf numFmtId="0" fontId="17" fillId="0" borderId="0">
      <alignment vertical="center"/>
    </xf>
    <xf numFmtId="177" fontId="24" fillId="0" borderId="58" applyNumberFormat="0" applyFill="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4" fillId="0" borderId="58" applyNumberFormat="0" applyFill="0" applyAlignment="0" applyProtection="0">
      <alignment vertical="center"/>
    </xf>
    <xf numFmtId="177" fontId="17" fillId="0" borderId="0">
      <alignment vertical="center"/>
    </xf>
    <xf numFmtId="0" fontId="24" fillId="0" borderId="58" applyNumberFormat="0" applyFill="0" applyAlignment="0" applyProtection="0">
      <alignment vertical="center"/>
    </xf>
    <xf numFmtId="177" fontId="17" fillId="0" borderId="0">
      <alignment vertical="center"/>
    </xf>
    <xf numFmtId="0" fontId="17" fillId="0" borderId="0">
      <alignment vertical="center"/>
    </xf>
    <xf numFmtId="0" fontId="24" fillId="0" borderId="58" applyNumberFormat="0" applyFill="0" applyAlignment="0" applyProtection="0">
      <alignment vertical="center"/>
    </xf>
    <xf numFmtId="0" fontId="17" fillId="0" borderId="0">
      <alignment vertical="center"/>
    </xf>
    <xf numFmtId="177" fontId="24" fillId="0" borderId="0" applyNumberFormat="0" applyFill="0" applyBorder="0" applyAlignment="0" applyProtection="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4" fillId="0" borderId="0" applyNumberFormat="0" applyFill="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4" fillId="0" borderId="0" applyNumberFormat="0" applyFill="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22" fillId="0" borderId="0" applyNumberFormat="0" applyFill="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24" fillId="0" borderId="0" applyNumberFormat="0" applyFill="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24" fillId="0" borderId="0" applyNumberFormat="0" applyFill="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24" fillId="0" borderId="0" applyNumberFormat="0" applyFill="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177" fontId="22" fillId="0" borderId="0" applyNumberFormat="0" applyFill="0" applyBorder="0" applyAlignment="0" applyProtection="0">
      <alignment vertical="center"/>
    </xf>
    <xf numFmtId="0" fontId="17" fillId="0" borderId="0">
      <alignment vertical="center"/>
    </xf>
    <xf numFmtId="0" fontId="22" fillId="0" borderId="0" applyNumberFormat="0" applyFill="0" applyBorder="0" applyAlignment="0" applyProtection="0">
      <alignment vertical="center"/>
    </xf>
    <xf numFmtId="177"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177" fontId="17" fillId="0" borderId="0">
      <alignment vertical="center"/>
    </xf>
    <xf numFmtId="0" fontId="17" fillId="0" borderId="0">
      <alignment vertical="center"/>
    </xf>
    <xf numFmtId="0" fontId="23" fillId="0" borderId="0"/>
    <xf numFmtId="0" fontId="22" fillId="0" borderId="0" applyNumberFormat="0" applyFill="0" applyBorder="0" applyAlignment="0" applyProtection="0">
      <alignment vertical="center"/>
    </xf>
    <xf numFmtId="0" fontId="17" fillId="0" borderId="0">
      <alignment vertical="center"/>
    </xf>
    <xf numFmtId="177" fontId="27" fillId="26" borderId="0" applyNumberFormat="0" applyBorder="0" applyAlignment="0" applyProtection="0">
      <alignment vertical="center"/>
    </xf>
    <xf numFmtId="177" fontId="27" fillId="26" borderId="0" applyNumberFormat="0" applyBorder="0" applyAlignment="0" applyProtection="0">
      <alignment vertical="center"/>
    </xf>
    <xf numFmtId="177" fontId="17" fillId="0" borderId="0">
      <alignment vertical="center"/>
    </xf>
    <xf numFmtId="0" fontId="27" fillId="26"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27" fillId="26" borderId="0" applyNumberFormat="0" applyBorder="0" applyAlignment="0" applyProtection="0">
      <alignment vertical="center"/>
    </xf>
    <xf numFmtId="177" fontId="17" fillId="0" borderId="0">
      <alignment vertical="center"/>
    </xf>
    <xf numFmtId="0" fontId="27" fillId="26"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7" fillId="26"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26"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7" fillId="26" borderId="0" applyNumberFormat="0" applyBorder="0" applyAlignment="0" applyProtection="0">
      <alignment vertical="center"/>
    </xf>
    <xf numFmtId="177" fontId="17" fillId="0" borderId="0">
      <alignment vertical="center"/>
    </xf>
    <xf numFmtId="177" fontId="17" fillId="0" borderId="0">
      <alignment vertical="center"/>
    </xf>
    <xf numFmtId="0" fontId="27" fillId="26" borderId="0" applyNumberFormat="0" applyBorder="0" applyAlignment="0" applyProtection="0">
      <alignment vertical="center"/>
    </xf>
    <xf numFmtId="177" fontId="17" fillId="0" borderId="0">
      <alignment vertical="center"/>
    </xf>
    <xf numFmtId="177" fontId="17" fillId="0" borderId="0">
      <alignment vertical="center"/>
    </xf>
    <xf numFmtId="177" fontId="27" fillId="26" borderId="0" applyNumberFormat="0" applyBorder="0" applyAlignment="0" applyProtection="0">
      <alignment vertical="center"/>
    </xf>
    <xf numFmtId="177" fontId="17" fillId="0" borderId="0">
      <alignment vertical="center"/>
    </xf>
    <xf numFmtId="177" fontId="17" fillId="0" borderId="0">
      <alignment vertical="center"/>
    </xf>
    <xf numFmtId="0" fontId="27" fillId="26" borderId="0" applyNumberFormat="0" applyBorder="0" applyAlignment="0" applyProtection="0">
      <alignment vertical="center"/>
    </xf>
    <xf numFmtId="177" fontId="17" fillId="0" borderId="0">
      <alignment vertical="center"/>
    </xf>
    <xf numFmtId="177" fontId="17" fillId="0" borderId="0">
      <alignment vertical="center"/>
    </xf>
    <xf numFmtId="0" fontId="31" fillId="31" borderId="0" applyNumberFormat="0" applyBorder="0" applyAlignment="0" applyProtection="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0" fontId="23" fillId="0" borderId="0"/>
    <xf numFmtId="177" fontId="17" fillId="0" borderId="0">
      <alignment vertical="center"/>
    </xf>
    <xf numFmtId="0" fontId="23"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0" fontId="23" fillId="0" borderId="0">
      <alignment vertical="center"/>
    </xf>
    <xf numFmtId="177" fontId="17" fillId="0" borderId="0">
      <alignment vertical="center"/>
    </xf>
    <xf numFmtId="0" fontId="17" fillId="0" borderId="0">
      <alignment vertical="center"/>
    </xf>
    <xf numFmtId="0" fontId="23" fillId="0" borderId="0">
      <alignment vertical="center"/>
    </xf>
    <xf numFmtId="177" fontId="17" fillId="0" borderId="0">
      <alignment vertical="center"/>
    </xf>
    <xf numFmtId="177" fontId="17" fillId="0" borderId="0">
      <alignment vertical="center"/>
    </xf>
    <xf numFmtId="0" fontId="17"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23"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23" fillId="0" borderId="0"/>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0"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0" fontId="17"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23" fillId="0" borderId="0"/>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8" fillId="0" borderId="0">
      <alignment vertical="center"/>
    </xf>
    <xf numFmtId="0" fontId="17" fillId="0" borderId="0">
      <alignment vertical="center"/>
    </xf>
    <xf numFmtId="0" fontId="18"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23"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18" fillId="0" borderId="0">
      <alignment vertical="center"/>
    </xf>
    <xf numFmtId="0" fontId="17" fillId="0" borderId="0">
      <alignment vertical="center"/>
    </xf>
    <xf numFmtId="177" fontId="17" fillId="0" borderId="0">
      <alignment vertical="center"/>
    </xf>
    <xf numFmtId="0" fontId="18" fillId="0" borderId="0">
      <alignment vertical="center"/>
    </xf>
    <xf numFmtId="0" fontId="23" fillId="0" borderId="0">
      <alignment vertical="center"/>
    </xf>
    <xf numFmtId="0" fontId="18" fillId="0" borderId="0">
      <alignment vertical="center"/>
    </xf>
    <xf numFmtId="0" fontId="18" fillId="0" borderId="0">
      <alignment vertical="center"/>
    </xf>
    <xf numFmtId="0" fontId="17" fillId="0" borderId="0">
      <alignment vertical="center"/>
    </xf>
    <xf numFmtId="0" fontId="23" fillId="0" borderId="0">
      <alignment vertical="center"/>
    </xf>
    <xf numFmtId="0" fontId="23"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23" fillId="0" borderId="0">
      <alignment vertical="center"/>
    </xf>
    <xf numFmtId="0" fontId="17" fillId="0" borderId="0">
      <alignment vertical="center"/>
    </xf>
    <xf numFmtId="177" fontId="17" fillId="0" borderId="0">
      <alignment vertical="center"/>
    </xf>
    <xf numFmtId="177" fontId="17" fillId="0" borderId="0">
      <alignment vertical="center"/>
    </xf>
    <xf numFmtId="0" fontId="18"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8" fillId="0" borderId="0">
      <alignment vertical="center"/>
    </xf>
    <xf numFmtId="0" fontId="18"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xf numFmtId="177" fontId="17" fillId="0" borderId="0">
      <alignment vertical="center"/>
    </xf>
    <xf numFmtId="0" fontId="23"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2" fillId="0" borderId="0" applyProtection="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0"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3" fillId="0" borderId="0"/>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3" fillId="0" borderId="0"/>
    <xf numFmtId="0" fontId="23" fillId="0" borderId="0">
      <alignment vertical="center"/>
    </xf>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0"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3" fillId="0" borderId="0"/>
    <xf numFmtId="177" fontId="17" fillId="0" borderId="0">
      <alignment vertical="center"/>
    </xf>
    <xf numFmtId="0" fontId="23" fillId="0" borderId="0">
      <alignment vertical="center"/>
    </xf>
    <xf numFmtId="177" fontId="23" fillId="0" borderId="0"/>
    <xf numFmtId="177" fontId="17" fillId="0" borderId="0">
      <alignment vertical="center"/>
    </xf>
    <xf numFmtId="0" fontId="18"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8"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7" fillId="0" borderId="0">
      <alignment vertical="center"/>
    </xf>
    <xf numFmtId="0" fontId="26" fillId="0" borderId="0">
      <alignment vertical="center"/>
    </xf>
    <xf numFmtId="0" fontId="26" fillId="0" borderId="0">
      <alignment vertical="center"/>
    </xf>
    <xf numFmtId="0" fontId="18" fillId="0" borderId="0">
      <alignment vertical="center"/>
    </xf>
    <xf numFmtId="0" fontId="26"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2" fillId="0" borderId="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26" fillId="0" borderId="0">
      <alignment vertical="center"/>
    </xf>
    <xf numFmtId="177" fontId="17" fillId="0" borderId="0">
      <alignment vertical="center"/>
    </xf>
    <xf numFmtId="0" fontId="26"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8" fillId="0" borderId="0"/>
    <xf numFmtId="177" fontId="17" fillId="0" borderId="0">
      <alignment vertical="center"/>
    </xf>
    <xf numFmtId="0" fontId="28" fillId="0" borderId="0"/>
    <xf numFmtId="177" fontId="17" fillId="0" borderId="0">
      <alignment vertical="center"/>
    </xf>
    <xf numFmtId="177" fontId="17" fillId="0" borderId="0">
      <alignment vertical="center"/>
    </xf>
    <xf numFmtId="0" fontId="28" fillId="0" borderId="0"/>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 fillId="0" borderId="0"/>
    <xf numFmtId="0" fontId="17" fillId="0" borderId="0">
      <alignment vertical="center"/>
    </xf>
    <xf numFmtId="177" fontId="17" fillId="0" borderId="0">
      <alignment vertical="center"/>
    </xf>
    <xf numFmtId="0" fontId="2"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3" fillId="0" borderId="0"/>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0" fontId="23"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23" fillId="0" borderId="0"/>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3" fillId="0" borderId="0"/>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3" fillId="0" borderId="0"/>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23" fillId="0" borderId="0"/>
    <xf numFmtId="0" fontId="17" fillId="0" borderId="0">
      <alignment vertical="center"/>
    </xf>
    <xf numFmtId="0" fontId="23" fillId="0" borderId="0"/>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23" fillId="0" borderId="0"/>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33" fillId="30" borderId="62" applyNumberFormat="0" applyAlignment="0" applyProtection="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23"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3" fillId="0" borderId="0"/>
    <xf numFmtId="177" fontId="17" fillId="0" borderId="0">
      <alignment vertical="center"/>
    </xf>
    <xf numFmtId="177" fontId="17" fillId="0" borderId="0">
      <alignment vertical="center"/>
    </xf>
    <xf numFmtId="177" fontId="17" fillId="0" borderId="0">
      <alignment vertical="center"/>
    </xf>
    <xf numFmtId="0" fontId="2" fillId="0" borderId="0">
      <alignment vertical="center"/>
    </xf>
    <xf numFmtId="177" fontId="17" fillId="0" borderId="0">
      <alignment vertical="center"/>
    </xf>
    <xf numFmtId="177" fontId="17" fillId="0" borderId="0">
      <alignment vertical="center"/>
    </xf>
    <xf numFmtId="0" fontId="2"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1" fillId="32"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1" fillId="32"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35" fillId="0" borderId="64" applyNumberFormat="0" applyFill="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9" fillId="0" borderId="0"/>
    <xf numFmtId="177" fontId="17" fillId="0" borderId="0">
      <alignment vertical="center"/>
    </xf>
    <xf numFmtId="177" fontId="17" fillId="0" borderId="0">
      <alignment vertical="center"/>
    </xf>
    <xf numFmtId="0" fontId="19"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37" fillId="34" borderId="65" applyNumberFormat="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38" fillId="0" borderId="0" applyNumberFormat="0" applyFill="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33" fillId="30" borderId="62" applyNumberFormat="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177"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0" fontId="18"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0" fontId="18"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1" fillId="25"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32" fillId="3" borderId="61" applyNumberFormat="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0" fontId="18" fillId="0" borderId="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23" fillId="28" borderId="60" applyNumberFormat="0" applyFont="0" applyAlignment="0" applyProtection="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0" fontId="18" fillId="0" borderId="0">
      <alignment vertical="center"/>
    </xf>
    <xf numFmtId="0" fontId="18" fillId="0" borderId="0">
      <alignment vertical="center"/>
    </xf>
    <xf numFmtId="177" fontId="17" fillId="0" borderId="0">
      <alignment vertical="center"/>
    </xf>
    <xf numFmtId="0" fontId="18" fillId="0" borderId="0">
      <alignment vertical="center"/>
    </xf>
    <xf numFmtId="0" fontId="17"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177" fontId="17"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0" fontId="23" fillId="0" borderId="0"/>
    <xf numFmtId="177" fontId="17" fillId="0" borderId="0">
      <alignment vertical="center"/>
    </xf>
    <xf numFmtId="0" fontId="23"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0" fontId="23" fillId="0" borderId="0"/>
    <xf numFmtId="177" fontId="17" fillId="0" borderId="0">
      <alignment vertical="center"/>
    </xf>
    <xf numFmtId="0" fontId="18"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42" fillId="5"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1" fillId="32" borderId="0" applyNumberFormat="0" applyBorder="0" applyAlignment="0" applyProtection="0">
      <alignment vertical="center"/>
    </xf>
    <xf numFmtId="177" fontId="17" fillId="0" borderId="0">
      <alignment vertical="center"/>
    </xf>
    <xf numFmtId="177" fontId="17" fillId="0" borderId="0">
      <alignment vertical="center"/>
    </xf>
    <xf numFmtId="0" fontId="21" fillId="32"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0" fontId="23" fillId="0" borderId="0"/>
    <xf numFmtId="0" fontId="23"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3" fillId="28" borderId="60" applyNumberFormat="0" applyFont="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23" fillId="0" borderId="0"/>
    <xf numFmtId="0" fontId="18" fillId="0" borderId="0">
      <alignment vertical="center"/>
    </xf>
    <xf numFmtId="0" fontId="17" fillId="0" borderId="0">
      <alignment vertical="center"/>
    </xf>
    <xf numFmtId="177" fontId="17" fillId="0" borderId="0">
      <alignment vertical="center"/>
    </xf>
    <xf numFmtId="0" fontId="18"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28" borderId="60" applyNumberFormat="0" applyFont="0" applyAlignment="0" applyProtection="0">
      <alignment vertical="center"/>
    </xf>
    <xf numFmtId="177" fontId="17" fillId="0" borderId="0">
      <alignment vertical="center"/>
    </xf>
    <xf numFmtId="177" fontId="17" fillId="0" borderId="0">
      <alignment vertical="center"/>
    </xf>
    <xf numFmtId="0" fontId="23" fillId="28" borderId="60" applyNumberFormat="0" applyFont="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xf numFmtId="0" fontId="17"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1" fillId="25"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1" fillId="19"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3" fillId="28" borderId="60" applyNumberFormat="0" applyFont="0" applyAlignment="0" applyProtection="0">
      <alignment vertical="center"/>
    </xf>
    <xf numFmtId="177" fontId="17" fillId="0" borderId="0">
      <alignment vertical="center"/>
    </xf>
    <xf numFmtId="0" fontId="23" fillId="28" borderId="60" applyNumberFormat="0" applyFont="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32" fillId="3" borderId="61" applyNumberFormat="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9" fillId="0" borderId="0" applyNumberFormat="0" applyFill="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7" fillId="0" borderId="0"/>
    <xf numFmtId="0" fontId="23" fillId="0" borderId="0">
      <alignment vertical="center"/>
    </xf>
    <xf numFmtId="0" fontId="17" fillId="0" borderId="0"/>
    <xf numFmtId="0" fontId="17" fillId="0" borderId="0">
      <alignment vertical="center"/>
    </xf>
    <xf numFmtId="0" fontId="23" fillId="0" borderId="0"/>
    <xf numFmtId="0" fontId="23" fillId="0" borderId="0"/>
    <xf numFmtId="177" fontId="23" fillId="0" borderId="0"/>
    <xf numFmtId="0" fontId="17" fillId="0" borderId="0">
      <alignment vertical="center"/>
    </xf>
    <xf numFmtId="0" fontId="23" fillId="0" borderId="0"/>
    <xf numFmtId="0" fontId="23" fillId="0" borderId="0"/>
    <xf numFmtId="177" fontId="23" fillId="0" borderId="0"/>
    <xf numFmtId="0" fontId="18" fillId="0" borderId="0">
      <alignment vertical="center"/>
    </xf>
    <xf numFmtId="0" fontId="17" fillId="0" borderId="0">
      <alignment vertical="center"/>
    </xf>
    <xf numFmtId="0" fontId="17" fillId="0" borderId="0">
      <alignment vertical="center"/>
    </xf>
    <xf numFmtId="0" fontId="17" fillId="0" borderId="0">
      <alignment vertical="center"/>
    </xf>
    <xf numFmtId="177" fontId="23" fillId="0" borderId="0"/>
    <xf numFmtId="0" fontId="18" fillId="0" borderId="0">
      <alignment vertical="center"/>
    </xf>
    <xf numFmtId="0" fontId="17" fillId="0" borderId="0">
      <alignment vertical="center"/>
    </xf>
    <xf numFmtId="0" fontId="18" fillId="0" borderId="0">
      <alignment vertical="center"/>
    </xf>
    <xf numFmtId="0" fontId="17" fillId="0" borderId="0"/>
    <xf numFmtId="177" fontId="23" fillId="0" borderId="0"/>
    <xf numFmtId="0" fontId="18" fillId="0" borderId="0">
      <alignment vertical="center"/>
    </xf>
    <xf numFmtId="0" fontId="18" fillId="0" borderId="0">
      <alignment vertical="center"/>
    </xf>
    <xf numFmtId="0" fontId="23" fillId="0" borderId="0"/>
    <xf numFmtId="0" fontId="23" fillId="0" borderId="0"/>
    <xf numFmtId="177" fontId="23" fillId="0" borderId="0"/>
    <xf numFmtId="0" fontId="23" fillId="0" borderId="0">
      <alignment vertical="center"/>
    </xf>
    <xf numFmtId="0" fontId="17" fillId="0" borderId="0">
      <alignment vertical="center"/>
    </xf>
    <xf numFmtId="0" fontId="17" fillId="0" borderId="0">
      <alignment vertical="center"/>
    </xf>
    <xf numFmtId="0" fontId="23" fillId="0" borderId="0">
      <alignment vertical="center"/>
    </xf>
    <xf numFmtId="0" fontId="23"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0" fontId="23" fillId="0" borderId="0"/>
    <xf numFmtId="177" fontId="17" fillId="0" borderId="0">
      <alignment vertical="center"/>
    </xf>
    <xf numFmtId="0" fontId="23" fillId="0" borderId="0">
      <alignment vertical="center"/>
    </xf>
    <xf numFmtId="0" fontId="17" fillId="0" borderId="0">
      <alignment vertical="center"/>
    </xf>
    <xf numFmtId="177" fontId="17" fillId="0" borderId="0">
      <alignment vertical="center"/>
    </xf>
    <xf numFmtId="177" fontId="17" fillId="0" borderId="0">
      <alignment vertical="center"/>
    </xf>
    <xf numFmtId="0" fontId="18"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7" fillId="0" borderId="0">
      <alignment vertical="center"/>
    </xf>
    <xf numFmtId="177" fontId="17" fillId="0" borderId="0">
      <alignment vertical="center"/>
    </xf>
    <xf numFmtId="0" fontId="18" fillId="0" borderId="0">
      <alignment vertical="center"/>
    </xf>
    <xf numFmtId="0" fontId="17" fillId="0" borderId="0">
      <alignment vertical="center"/>
    </xf>
    <xf numFmtId="0" fontId="17" fillId="0" borderId="0">
      <alignment vertical="center"/>
    </xf>
    <xf numFmtId="0" fontId="23" fillId="0" borderId="0"/>
    <xf numFmtId="0" fontId="18" fillId="0" borderId="0">
      <alignment vertical="center"/>
    </xf>
    <xf numFmtId="0" fontId="18" fillId="0" borderId="0">
      <alignment vertical="center"/>
    </xf>
    <xf numFmtId="0" fontId="23" fillId="0" borderId="0"/>
    <xf numFmtId="0" fontId="18" fillId="0" borderId="0">
      <alignment vertical="center"/>
    </xf>
    <xf numFmtId="0" fontId="18" fillId="0" borderId="0">
      <alignment vertical="center"/>
    </xf>
    <xf numFmtId="177" fontId="17" fillId="0" borderId="0">
      <alignment vertical="center"/>
    </xf>
    <xf numFmtId="0" fontId="23" fillId="0" borderId="0">
      <alignment vertical="center"/>
    </xf>
    <xf numFmtId="0" fontId="17" fillId="0" borderId="0">
      <alignment vertical="center"/>
    </xf>
    <xf numFmtId="0" fontId="23" fillId="0" borderId="0">
      <alignment vertical="center"/>
    </xf>
    <xf numFmtId="0" fontId="23" fillId="0" borderId="0">
      <alignment vertical="center"/>
    </xf>
    <xf numFmtId="0" fontId="17"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 fillId="0" borderId="0"/>
    <xf numFmtId="0" fontId="23" fillId="0" borderId="0"/>
    <xf numFmtId="0" fontId="41" fillId="0" borderId="0" applyNumberFormat="0" applyFill="0" applyBorder="0" applyAlignment="0" applyProtection="0">
      <alignment vertical="top"/>
      <protection locked="0"/>
    </xf>
    <xf numFmtId="177" fontId="36" fillId="0" borderId="0" applyNumberFormat="0" applyFill="0" applyBorder="0" applyAlignment="0" applyProtection="0">
      <alignment vertical="top"/>
      <protection locked="0"/>
    </xf>
    <xf numFmtId="177" fontId="36" fillId="0" borderId="0" applyNumberFormat="0" applyFill="0" applyBorder="0" applyAlignment="0" applyProtection="0">
      <alignment vertical="top"/>
      <protection locked="0"/>
    </xf>
    <xf numFmtId="177" fontId="36" fillId="0" borderId="0" applyNumberFormat="0" applyFill="0" applyBorder="0" applyAlignment="0" applyProtection="0">
      <alignment vertical="top"/>
      <protection locked="0"/>
    </xf>
    <xf numFmtId="177" fontId="39" fillId="0" borderId="0" applyNumberFormat="0" applyFill="0" applyBorder="0" applyAlignment="0" applyProtection="0">
      <alignment vertical="top"/>
      <protection locked="0"/>
    </xf>
    <xf numFmtId="0" fontId="36" fillId="0" borderId="0" applyNumberFormat="0" applyFill="0" applyBorder="0" applyAlignment="0" applyProtection="0">
      <alignment vertical="top"/>
      <protection locked="0"/>
    </xf>
    <xf numFmtId="0" fontId="36" fillId="0" borderId="0" applyNumberFormat="0" applyFill="0" applyBorder="0" applyAlignment="0" applyProtection="0">
      <alignment vertical="top"/>
      <protection locked="0"/>
    </xf>
    <xf numFmtId="177" fontId="36" fillId="0" borderId="0" applyNumberFormat="0" applyFill="0" applyBorder="0" applyAlignment="0" applyProtection="0">
      <alignment vertical="top"/>
      <protection locked="0"/>
    </xf>
    <xf numFmtId="0" fontId="41" fillId="0" borderId="0" applyNumberFormat="0" applyBorder="0" applyAlignment="0" applyProtection="0">
      <alignment vertical="top"/>
      <protection locked="0"/>
    </xf>
    <xf numFmtId="177" fontId="39" fillId="0" borderId="0" applyNumberFormat="0" applyFill="0" applyBorder="0" applyAlignment="0" applyProtection="0">
      <alignment vertical="top"/>
      <protection locked="0"/>
    </xf>
    <xf numFmtId="0" fontId="36" fillId="0" borderId="0" applyNumberFormat="0" applyFill="0" applyBorder="0" applyAlignment="0" applyProtection="0">
      <alignment vertical="top"/>
      <protection locked="0"/>
    </xf>
    <xf numFmtId="0" fontId="36" fillId="0" borderId="0" applyNumberFormat="0" applyFill="0" applyBorder="0" applyAlignment="0" applyProtection="0">
      <alignment vertical="top"/>
      <protection locked="0"/>
    </xf>
    <xf numFmtId="0" fontId="41" fillId="0" borderId="0" applyNumberFormat="0" applyBorder="0" applyAlignment="0" applyProtection="0">
      <alignment vertical="center"/>
    </xf>
    <xf numFmtId="177" fontId="39" fillId="0" borderId="0" applyNumberFormat="0" applyFill="0" applyBorder="0" applyAlignment="0" applyProtection="0">
      <alignment vertical="top"/>
      <protection locked="0"/>
    </xf>
    <xf numFmtId="177" fontId="39" fillId="0" borderId="0" applyNumberFormat="0" applyFill="0" applyBorder="0" applyAlignment="0" applyProtection="0">
      <alignment vertical="top"/>
      <protection locked="0"/>
    </xf>
    <xf numFmtId="177" fontId="44" fillId="0" borderId="0" applyNumberFormat="0" applyFill="0" applyBorder="0" applyAlignment="0" applyProtection="0">
      <alignment vertical="top"/>
      <protection locked="0"/>
    </xf>
    <xf numFmtId="177" fontId="45" fillId="0" borderId="0" applyNumberFormat="0" applyFill="0" applyBorder="0" applyAlignment="0" applyProtection="0">
      <alignment vertical="top"/>
      <protection locked="0"/>
    </xf>
    <xf numFmtId="177" fontId="46" fillId="21" borderId="0" applyNumberFormat="0" applyBorder="0" applyAlignment="0" applyProtection="0">
      <alignment vertical="center"/>
    </xf>
    <xf numFmtId="177" fontId="46" fillId="21" borderId="0" applyNumberFormat="0" applyBorder="0" applyAlignment="0" applyProtection="0">
      <alignment vertical="center"/>
    </xf>
    <xf numFmtId="0" fontId="46" fillId="21" borderId="0" applyNumberFormat="0" applyBorder="0" applyAlignment="0" applyProtection="0">
      <alignment vertical="center"/>
    </xf>
    <xf numFmtId="0" fontId="46" fillId="21" borderId="0" applyNumberFormat="0" applyBorder="0" applyAlignment="0" applyProtection="0">
      <alignment vertical="center"/>
    </xf>
    <xf numFmtId="0" fontId="46" fillId="21" borderId="0" applyNumberFormat="0" applyBorder="0" applyAlignment="0" applyProtection="0">
      <alignment vertical="center"/>
    </xf>
    <xf numFmtId="0" fontId="46" fillId="21" borderId="0" applyNumberFormat="0" applyBorder="0" applyAlignment="0" applyProtection="0">
      <alignment vertical="center"/>
    </xf>
    <xf numFmtId="177" fontId="46" fillId="21" borderId="0" applyNumberFormat="0" applyBorder="0" applyAlignment="0" applyProtection="0">
      <alignment vertical="center"/>
    </xf>
    <xf numFmtId="0" fontId="46" fillId="21" borderId="0" applyNumberFormat="0" applyBorder="0" applyAlignment="0" applyProtection="0">
      <alignment vertical="center"/>
    </xf>
    <xf numFmtId="0" fontId="46" fillId="21" borderId="0" applyNumberFormat="0" applyBorder="0" applyAlignment="0" applyProtection="0">
      <alignment vertical="center"/>
    </xf>
    <xf numFmtId="0" fontId="46" fillId="21" borderId="0" applyNumberFormat="0" applyBorder="0" applyAlignment="0" applyProtection="0">
      <alignment vertical="center"/>
    </xf>
    <xf numFmtId="0" fontId="46" fillId="21" borderId="0" applyNumberFormat="0" applyBorder="0" applyAlignment="0" applyProtection="0">
      <alignment vertical="center"/>
    </xf>
    <xf numFmtId="0" fontId="42" fillId="5" borderId="0" applyNumberFormat="0" applyBorder="0" applyAlignment="0" applyProtection="0">
      <alignment vertical="center"/>
    </xf>
    <xf numFmtId="177" fontId="34" fillId="0" borderId="63" applyNumberFormat="0" applyFill="0" applyAlignment="0" applyProtection="0">
      <alignment vertical="center"/>
    </xf>
    <xf numFmtId="177" fontId="34" fillId="0" borderId="63" applyNumberFormat="0" applyFill="0" applyAlignment="0" applyProtection="0">
      <alignment vertical="center"/>
    </xf>
    <xf numFmtId="0" fontId="34" fillId="0" borderId="63" applyNumberFormat="0" applyFill="0" applyAlignment="0" applyProtection="0">
      <alignment vertical="center"/>
    </xf>
    <xf numFmtId="0" fontId="34" fillId="0" borderId="63" applyNumberFormat="0" applyFill="0" applyAlignment="0" applyProtection="0">
      <alignment vertical="center"/>
    </xf>
    <xf numFmtId="0" fontId="34" fillId="0" borderId="63" applyNumberFormat="0" applyFill="0" applyAlignment="0" applyProtection="0">
      <alignment vertical="center"/>
    </xf>
    <xf numFmtId="0" fontId="34" fillId="0" borderId="63" applyNumberFormat="0" applyFill="0" applyAlignment="0" applyProtection="0">
      <alignment vertical="center"/>
    </xf>
    <xf numFmtId="177" fontId="34" fillId="0" borderId="63" applyNumberFormat="0" applyFill="0" applyAlignment="0" applyProtection="0">
      <alignment vertical="center"/>
    </xf>
    <xf numFmtId="0" fontId="34" fillId="0" borderId="63" applyNumberFormat="0" applyFill="0" applyAlignment="0" applyProtection="0">
      <alignment vertical="center"/>
    </xf>
    <xf numFmtId="0" fontId="34" fillId="0" borderId="63" applyNumberFormat="0" applyFill="0" applyAlignment="0" applyProtection="0">
      <alignment vertical="center"/>
    </xf>
    <xf numFmtId="0" fontId="34" fillId="0" borderId="63" applyNumberFormat="0" applyAlignment="0" applyProtection="0">
      <alignment vertical="center"/>
    </xf>
    <xf numFmtId="0" fontId="34" fillId="0" borderId="63" applyNumberFormat="0" applyAlignment="0" applyProtection="0">
      <alignment vertical="center"/>
    </xf>
    <xf numFmtId="0" fontId="34" fillId="0" borderId="63" applyNumberFormat="0" applyAlignment="0" applyProtection="0">
      <alignment vertical="center"/>
    </xf>
    <xf numFmtId="0" fontId="34" fillId="0" borderId="63" applyNumberFormat="0" applyAlignment="0" applyProtection="0">
      <alignment vertical="center"/>
    </xf>
    <xf numFmtId="0" fontId="34" fillId="0" borderId="63" applyNumberFormat="0" applyFill="0" applyAlignment="0" applyProtection="0">
      <alignment vertical="center"/>
    </xf>
    <xf numFmtId="0" fontId="34" fillId="0" borderId="63" applyNumberFormat="0" applyFill="0" applyAlignment="0" applyProtection="0">
      <alignment vertical="center"/>
    </xf>
    <xf numFmtId="177" fontId="43" fillId="34" borderId="62" applyNumberFormat="0" applyAlignment="0" applyProtection="0">
      <alignment vertical="center"/>
    </xf>
    <xf numFmtId="177" fontId="43" fillId="34" borderId="62" applyNumberFormat="0" applyAlignment="0" applyProtection="0">
      <alignment vertical="center"/>
    </xf>
    <xf numFmtId="0" fontId="43" fillId="34" borderId="62" applyNumberFormat="0" applyAlignment="0" applyProtection="0">
      <alignment vertical="center"/>
    </xf>
    <xf numFmtId="0" fontId="43" fillId="34" borderId="62" applyNumberFormat="0" applyAlignment="0" applyProtection="0">
      <alignment vertical="center"/>
    </xf>
    <xf numFmtId="0" fontId="43" fillId="34" borderId="62" applyNumberFormat="0" applyAlignment="0" applyProtection="0">
      <alignment vertical="center"/>
    </xf>
    <xf numFmtId="0" fontId="43" fillId="34" borderId="62" applyNumberFormat="0" applyAlignment="0" applyProtection="0">
      <alignment vertical="center"/>
    </xf>
    <xf numFmtId="177" fontId="43" fillId="34" borderId="62" applyNumberFormat="0" applyAlignment="0" applyProtection="0">
      <alignment vertical="center"/>
    </xf>
    <xf numFmtId="0" fontId="43" fillId="34" borderId="62" applyNumberFormat="0" applyAlignment="0" applyProtection="0">
      <alignment vertical="center"/>
    </xf>
    <xf numFmtId="0" fontId="43" fillId="34" borderId="62" applyNumberFormat="0" applyAlignment="0" applyProtection="0">
      <alignment vertical="center"/>
    </xf>
    <xf numFmtId="0" fontId="43" fillId="34" borderId="62" applyNumberFormat="0" applyAlignment="0" applyProtection="0">
      <alignment vertical="center"/>
    </xf>
    <xf numFmtId="0" fontId="43" fillId="34" borderId="62" applyNumberFormat="0" applyAlignment="0" applyProtection="0">
      <alignment vertical="center"/>
    </xf>
    <xf numFmtId="0" fontId="43" fillId="34" borderId="62" applyNumberFormat="0" applyAlignment="0" applyProtection="0">
      <alignment vertical="center"/>
    </xf>
    <xf numFmtId="0" fontId="43" fillId="34" borderId="62" applyNumberFormat="0" applyAlignment="0" applyProtection="0">
      <alignment vertical="center"/>
    </xf>
    <xf numFmtId="177" fontId="32" fillId="3" borderId="61" applyNumberFormat="0" applyAlignment="0" applyProtection="0">
      <alignment vertical="center"/>
    </xf>
    <xf numFmtId="177" fontId="32" fillId="3" borderId="61" applyNumberFormat="0" applyAlignment="0" applyProtection="0">
      <alignment vertical="center"/>
    </xf>
    <xf numFmtId="0" fontId="32" fillId="3" borderId="61" applyNumberFormat="0" applyAlignment="0" applyProtection="0">
      <alignment vertical="center"/>
    </xf>
    <xf numFmtId="0" fontId="32" fillId="3" borderId="61" applyNumberFormat="0" applyAlignment="0" applyProtection="0">
      <alignment vertical="center"/>
    </xf>
    <xf numFmtId="0" fontId="32" fillId="3" borderId="61" applyNumberFormat="0" applyAlignment="0" applyProtection="0">
      <alignment vertical="center"/>
    </xf>
    <xf numFmtId="177" fontId="32" fillId="3" borderId="61" applyNumberFormat="0" applyAlignment="0" applyProtection="0">
      <alignment vertical="center"/>
    </xf>
    <xf numFmtId="0" fontId="32" fillId="3" borderId="61" applyNumberFormat="0" applyAlignment="0" applyProtection="0">
      <alignment vertical="center"/>
    </xf>
    <xf numFmtId="0" fontId="32" fillId="3" borderId="61" applyNumberFormat="0" applyAlignment="0" applyProtection="0">
      <alignment vertical="center"/>
    </xf>
    <xf numFmtId="0" fontId="32" fillId="3" borderId="61" applyNumberFormat="0" applyAlignment="0" applyProtection="0">
      <alignment vertical="center"/>
    </xf>
    <xf numFmtId="177" fontId="29" fillId="0" borderId="0" applyNumberFormat="0" applyFill="0" applyBorder="0" applyAlignment="0" applyProtection="0">
      <alignment vertical="center"/>
    </xf>
    <xf numFmtId="177"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177"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Border="0" applyAlignment="0" applyProtection="0">
      <alignment vertical="center"/>
    </xf>
    <xf numFmtId="0" fontId="29" fillId="0" borderId="0" applyNumberFormat="0" applyBorder="0" applyAlignment="0" applyProtection="0">
      <alignment vertical="center"/>
    </xf>
    <xf numFmtId="0" fontId="29" fillId="0" borderId="0" applyNumberFormat="0" applyBorder="0" applyAlignment="0" applyProtection="0">
      <alignment vertical="center"/>
    </xf>
    <xf numFmtId="0" fontId="29" fillId="0" borderId="0" applyNumberFormat="0" applyBorder="0" applyAlignment="0" applyProtection="0">
      <alignment vertical="center"/>
    </xf>
    <xf numFmtId="0" fontId="29" fillId="0" borderId="0" applyNumberFormat="0" applyFill="0" applyBorder="0" applyAlignment="0" applyProtection="0">
      <alignment vertical="center"/>
    </xf>
    <xf numFmtId="177" fontId="38" fillId="0" borderId="0" applyNumberFormat="0" applyFill="0" applyBorder="0" applyAlignment="0" applyProtection="0">
      <alignment vertical="center"/>
    </xf>
    <xf numFmtId="177"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177"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Border="0" applyAlignment="0" applyProtection="0">
      <alignment vertical="center"/>
    </xf>
    <xf numFmtId="0" fontId="38" fillId="0" borderId="0" applyNumberFormat="0" applyBorder="0" applyAlignment="0" applyProtection="0">
      <alignment vertical="center"/>
    </xf>
    <xf numFmtId="0" fontId="38" fillId="0" borderId="0" applyNumberFormat="0" applyBorder="0" applyAlignment="0" applyProtection="0">
      <alignment vertical="center"/>
    </xf>
    <xf numFmtId="0" fontId="38" fillId="0" borderId="0" applyNumberFormat="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177" fontId="35" fillId="0" borderId="64" applyNumberFormat="0" applyFill="0" applyAlignment="0" applyProtection="0">
      <alignment vertical="center"/>
    </xf>
    <xf numFmtId="177" fontId="35" fillId="0" borderId="64" applyNumberFormat="0" applyFill="0" applyAlignment="0" applyProtection="0">
      <alignment vertical="center"/>
    </xf>
    <xf numFmtId="0" fontId="35" fillId="0" borderId="64" applyNumberFormat="0" applyFill="0" applyAlignment="0" applyProtection="0">
      <alignment vertical="center"/>
    </xf>
    <xf numFmtId="0" fontId="35" fillId="0" borderId="64" applyNumberFormat="0" applyFill="0" applyAlignment="0" applyProtection="0">
      <alignment vertical="center"/>
    </xf>
    <xf numFmtId="0" fontId="35" fillId="0" borderId="64" applyNumberFormat="0" applyFill="0" applyAlignment="0" applyProtection="0">
      <alignment vertical="center"/>
    </xf>
    <xf numFmtId="0" fontId="35" fillId="0" borderId="64" applyNumberFormat="0" applyFill="0" applyAlignment="0" applyProtection="0">
      <alignment vertical="center"/>
    </xf>
    <xf numFmtId="177" fontId="35" fillId="0" borderId="64" applyNumberFormat="0" applyFill="0" applyAlignment="0" applyProtection="0">
      <alignment vertical="center"/>
    </xf>
    <xf numFmtId="0" fontId="35" fillId="0" borderId="64" applyNumberFormat="0" applyFill="0" applyAlignment="0" applyProtection="0">
      <alignment vertical="center"/>
    </xf>
    <xf numFmtId="0" fontId="35" fillId="0" borderId="64" applyNumberFormat="0" applyFill="0" applyAlignment="0" applyProtection="0">
      <alignment vertical="center"/>
    </xf>
    <xf numFmtId="0" fontId="35" fillId="0" borderId="64" applyNumberFormat="0" applyAlignment="0" applyProtection="0">
      <alignment vertical="center"/>
    </xf>
    <xf numFmtId="0" fontId="35" fillId="0" borderId="64" applyNumberFormat="0" applyAlignment="0" applyProtection="0">
      <alignment vertical="center"/>
    </xf>
    <xf numFmtId="0" fontId="35" fillId="0" borderId="64" applyNumberFormat="0" applyAlignment="0" applyProtection="0">
      <alignment vertical="center"/>
    </xf>
    <xf numFmtId="0" fontId="35" fillId="0" borderId="64" applyNumberFormat="0" applyAlignment="0" applyProtection="0">
      <alignment vertical="center"/>
    </xf>
    <xf numFmtId="0" fontId="35" fillId="0" borderId="64" applyNumberFormat="0" applyFill="0" applyAlignment="0" applyProtection="0">
      <alignment vertical="center"/>
    </xf>
    <xf numFmtId="176" fontId="18" fillId="0" borderId="0" applyFont="0" applyBorder="0" applyAlignment="0" applyProtection="0">
      <alignment vertical="center"/>
    </xf>
    <xf numFmtId="177" fontId="21" fillId="33" borderId="0" applyNumberFormat="0" applyBorder="0" applyAlignment="0" applyProtection="0">
      <alignment vertical="center"/>
    </xf>
    <xf numFmtId="177" fontId="21" fillId="33" borderId="0" applyNumberFormat="0" applyBorder="0" applyAlignment="0" applyProtection="0">
      <alignment vertical="center"/>
    </xf>
    <xf numFmtId="0" fontId="21" fillId="33" borderId="0" applyNumberFormat="0" applyBorder="0" applyAlignment="0" applyProtection="0">
      <alignment vertical="center"/>
    </xf>
    <xf numFmtId="0" fontId="21" fillId="33" borderId="0" applyNumberFormat="0" applyBorder="0" applyAlignment="0" applyProtection="0">
      <alignment vertical="center"/>
    </xf>
    <xf numFmtId="0" fontId="21" fillId="33" borderId="0" applyNumberFormat="0" applyBorder="0" applyAlignment="0" applyProtection="0">
      <alignment vertical="center"/>
    </xf>
    <xf numFmtId="0" fontId="21" fillId="33" borderId="0" applyNumberFormat="0" applyBorder="0" applyAlignment="0" applyProtection="0">
      <alignment vertical="center"/>
    </xf>
    <xf numFmtId="177" fontId="21" fillId="33" borderId="0" applyNumberFormat="0" applyBorder="0" applyAlignment="0" applyProtection="0">
      <alignment vertical="center"/>
    </xf>
    <xf numFmtId="0" fontId="21" fillId="33" borderId="0" applyNumberFormat="0" applyBorder="0" applyAlignment="0" applyProtection="0">
      <alignment vertical="center"/>
    </xf>
    <xf numFmtId="0" fontId="21" fillId="33" borderId="0" applyNumberFormat="0" applyBorder="0" applyAlignment="0" applyProtection="0">
      <alignment vertical="center"/>
    </xf>
    <xf numFmtId="0" fontId="21" fillId="33" borderId="0" applyNumberFormat="0" applyBorder="0" applyAlignment="0" applyProtection="0">
      <alignment vertical="center"/>
    </xf>
    <xf numFmtId="0" fontId="21" fillId="33" borderId="0" applyNumberFormat="0" applyBorder="0" applyAlignment="0" applyProtection="0">
      <alignment vertical="center"/>
    </xf>
    <xf numFmtId="177" fontId="21" fillId="25" borderId="0" applyNumberFormat="0" applyBorder="0" applyAlignment="0" applyProtection="0">
      <alignment vertical="center"/>
    </xf>
    <xf numFmtId="0" fontId="21" fillId="25" borderId="0" applyNumberFormat="0" applyBorder="0" applyAlignment="0" applyProtection="0">
      <alignment vertical="center"/>
    </xf>
    <xf numFmtId="0" fontId="21" fillId="25" borderId="0" applyNumberFormat="0" applyBorder="0" applyAlignment="0" applyProtection="0">
      <alignment vertical="center"/>
    </xf>
    <xf numFmtId="0" fontId="21" fillId="25" borderId="0" applyNumberFormat="0" applyBorder="0" applyAlignment="0" applyProtection="0">
      <alignment vertical="center"/>
    </xf>
    <xf numFmtId="177" fontId="21" fillId="25" borderId="0" applyNumberFormat="0" applyBorder="0" applyAlignment="0" applyProtection="0">
      <alignment vertical="center"/>
    </xf>
    <xf numFmtId="0" fontId="21" fillId="25" borderId="0" applyNumberFormat="0" applyBorder="0" applyAlignment="0" applyProtection="0">
      <alignment vertical="center"/>
    </xf>
    <xf numFmtId="0" fontId="21" fillId="25" borderId="0" applyNumberFormat="0" applyBorder="0" applyAlignment="0" applyProtection="0">
      <alignment vertical="center"/>
    </xf>
    <xf numFmtId="0" fontId="21" fillId="25" borderId="0" applyNumberFormat="0" applyBorder="0" applyAlignment="0" applyProtection="0">
      <alignment vertical="center"/>
    </xf>
    <xf numFmtId="0" fontId="21" fillId="25" borderId="0" applyNumberFormat="0" applyBorder="0" applyAlignment="0" applyProtection="0">
      <alignment vertical="center"/>
    </xf>
    <xf numFmtId="177" fontId="21" fillId="19" borderId="0" applyNumberFormat="0" applyBorder="0" applyAlignment="0" applyProtection="0">
      <alignment vertical="center"/>
    </xf>
    <xf numFmtId="177" fontId="21" fillId="19" borderId="0" applyNumberFormat="0" applyBorder="0" applyAlignment="0" applyProtection="0">
      <alignment vertical="center"/>
    </xf>
    <xf numFmtId="0" fontId="21" fillId="19" borderId="0" applyNumberFormat="0" applyBorder="0" applyAlignment="0" applyProtection="0">
      <alignment vertical="center"/>
    </xf>
    <xf numFmtId="0" fontId="21" fillId="19" borderId="0" applyNumberFormat="0" applyBorder="0" applyAlignment="0" applyProtection="0">
      <alignment vertical="center"/>
    </xf>
    <xf numFmtId="0" fontId="21" fillId="19" borderId="0" applyNumberFormat="0" applyBorder="0" applyAlignment="0" applyProtection="0">
      <alignment vertical="center"/>
    </xf>
    <xf numFmtId="177" fontId="21" fillId="19" borderId="0" applyNumberFormat="0" applyBorder="0" applyAlignment="0" applyProtection="0">
      <alignment vertical="center"/>
    </xf>
    <xf numFmtId="0" fontId="21" fillId="19" borderId="0" applyNumberFormat="0" applyBorder="0" applyAlignment="0" applyProtection="0">
      <alignment vertical="center"/>
    </xf>
    <xf numFmtId="0" fontId="21" fillId="19" borderId="0" applyNumberFormat="0" applyBorder="0" applyAlignment="0" applyProtection="0">
      <alignment vertical="center"/>
    </xf>
    <xf numFmtId="0" fontId="21" fillId="19" borderId="0" applyNumberFormat="0" applyBorder="0" applyAlignment="0" applyProtection="0">
      <alignment vertical="center"/>
    </xf>
    <xf numFmtId="0" fontId="21" fillId="19" borderId="0" applyNumberFormat="0" applyBorder="0" applyAlignment="0" applyProtection="0">
      <alignment vertical="center"/>
    </xf>
    <xf numFmtId="177" fontId="21" fillId="22" borderId="0" applyNumberFormat="0" applyBorder="0" applyAlignment="0" applyProtection="0">
      <alignment vertical="center"/>
    </xf>
    <xf numFmtId="177" fontId="21" fillId="22" borderId="0" applyNumberFormat="0" applyBorder="0" applyAlignment="0" applyProtection="0">
      <alignment vertical="center"/>
    </xf>
    <xf numFmtId="0" fontId="21" fillId="22" borderId="0" applyNumberFormat="0" applyBorder="0" applyAlignment="0" applyProtection="0">
      <alignment vertical="center"/>
    </xf>
    <xf numFmtId="0" fontId="21" fillId="22" borderId="0" applyNumberFormat="0" applyBorder="0" applyAlignment="0" applyProtection="0">
      <alignment vertical="center"/>
    </xf>
    <xf numFmtId="0" fontId="21" fillId="22" borderId="0" applyNumberFormat="0" applyBorder="0" applyAlignment="0" applyProtection="0">
      <alignment vertical="center"/>
    </xf>
    <xf numFmtId="0" fontId="21" fillId="22" borderId="0" applyNumberFormat="0" applyBorder="0" applyAlignment="0" applyProtection="0">
      <alignment vertical="center"/>
    </xf>
    <xf numFmtId="177" fontId="21" fillId="22" borderId="0" applyNumberFormat="0" applyBorder="0" applyAlignment="0" applyProtection="0">
      <alignment vertical="center"/>
    </xf>
    <xf numFmtId="0" fontId="21" fillId="22" borderId="0" applyNumberFormat="0" applyBorder="0" applyAlignment="0" applyProtection="0">
      <alignment vertical="center"/>
    </xf>
    <xf numFmtId="0" fontId="21" fillId="22" borderId="0" applyNumberFormat="0" applyBorder="0" applyAlignment="0" applyProtection="0">
      <alignment vertical="center"/>
    </xf>
    <xf numFmtId="0" fontId="21" fillId="22" borderId="0" applyNumberFormat="0" applyBorder="0" applyAlignment="0" applyProtection="0">
      <alignment vertical="center"/>
    </xf>
    <xf numFmtId="0" fontId="21" fillId="22" borderId="0" applyNumberFormat="0" applyBorder="0" applyAlignment="0" applyProtection="0">
      <alignment vertical="center"/>
    </xf>
    <xf numFmtId="177" fontId="21" fillId="20" borderId="0" applyNumberFormat="0" applyBorder="0" applyAlignment="0" applyProtection="0">
      <alignment vertical="center"/>
    </xf>
    <xf numFmtId="177" fontId="21" fillId="20" borderId="0" applyNumberFormat="0" applyBorder="0" applyAlignment="0" applyProtection="0">
      <alignment vertical="center"/>
    </xf>
    <xf numFmtId="0" fontId="21" fillId="20" borderId="0" applyNumberFormat="0" applyBorder="0" applyAlignment="0" applyProtection="0">
      <alignment vertical="center"/>
    </xf>
    <xf numFmtId="0" fontId="21" fillId="20" borderId="0" applyNumberFormat="0" applyBorder="0" applyAlignment="0" applyProtection="0">
      <alignment vertical="center"/>
    </xf>
    <xf numFmtId="0" fontId="21" fillId="20" borderId="0" applyNumberFormat="0" applyBorder="0" applyAlignment="0" applyProtection="0">
      <alignment vertical="center"/>
    </xf>
    <xf numFmtId="0" fontId="21" fillId="20" borderId="0" applyNumberFormat="0" applyBorder="0" applyAlignment="0" applyProtection="0">
      <alignment vertical="center"/>
    </xf>
    <xf numFmtId="177" fontId="21" fillId="20" borderId="0" applyNumberFormat="0" applyBorder="0" applyAlignment="0" applyProtection="0">
      <alignment vertical="center"/>
    </xf>
    <xf numFmtId="0" fontId="21" fillId="20" borderId="0" applyNumberFormat="0" applyBorder="0" applyAlignment="0" applyProtection="0">
      <alignment vertical="center"/>
    </xf>
    <xf numFmtId="0" fontId="21" fillId="20" borderId="0" applyNumberFormat="0" applyBorder="0" applyAlignment="0" applyProtection="0">
      <alignment vertical="center"/>
    </xf>
    <xf numFmtId="0" fontId="21" fillId="20" borderId="0" applyNumberFormat="0" applyBorder="0" applyAlignment="0" applyProtection="0">
      <alignment vertical="center"/>
    </xf>
    <xf numFmtId="0" fontId="21" fillId="20" borderId="0" applyNumberFormat="0" applyBorder="0" applyAlignment="0" applyProtection="0">
      <alignment vertical="center"/>
    </xf>
    <xf numFmtId="0" fontId="21" fillId="32" borderId="0" applyNumberFormat="0" applyBorder="0" applyAlignment="0" applyProtection="0">
      <alignment vertical="center"/>
    </xf>
    <xf numFmtId="0" fontId="21" fillId="32" borderId="0" applyNumberFormat="0" applyBorder="0" applyAlignment="0" applyProtection="0">
      <alignment vertical="center"/>
    </xf>
    <xf numFmtId="0" fontId="21" fillId="32" borderId="0" applyNumberFormat="0" applyBorder="0" applyAlignment="0" applyProtection="0">
      <alignment vertical="center"/>
    </xf>
    <xf numFmtId="0" fontId="21" fillId="32" borderId="0" applyNumberFormat="0" applyBorder="0" applyAlignment="0" applyProtection="0">
      <alignment vertical="center"/>
    </xf>
    <xf numFmtId="177" fontId="21" fillId="32" borderId="0" applyNumberFormat="0" applyBorder="0" applyAlignment="0" applyProtection="0">
      <alignment vertical="center"/>
    </xf>
    <xf numFmtId="0" fontId="21" fillId="32" borderId="0" applyNumberFormat="0" applyBorder="0" applyAlignment="0" applyProtection="0">
      <alignment vertical="center"/>
    </xf>
    <xf numFmtId="0" fontId="21" fillId="32" borderId="0" applyNumberFormat="0" applyBorder="0" applyAlignment="0" applyProtection="0">
      <alignment vertical="center"/>
    </xf>
    <xf numFmtId="177" fontId="40" fillId="35" borderId="0" applyNumberFormat="0" applyBorder="0" applyAlignment="0" applyProtection="0">
      <alignment vertical="center"/>
    </xf>
    <xf numFmtId="177" fontId="40" fillId="35" borderId="0" applyNumberFormat="0" applyBorder="0" applyAlignment="0" applyProtection="0">
      <alignment vertical="center"/>
    </xf>
    <xf numFmtId="0" fontId="40" fillId="35" borderId="0" applyNumberFormat="0" applyBorder="0" applyAlignment="0" applyProtection="0">
      <alignment vertical="center"/>
    </xf>
    <xf numFmtId="0" fontId="40" fillId="35" borderId="0" applyNumberFormat="0" applyBorder="0" applyAlignment="0" applyProtection="0">
      <alignment vertical="center"/>
    </xf>
    <xf numFmtId="0" fontId="40" fillId="35" borderId="0" applyNumberFormat="0" applyBorder="0" applyAlignment="0" applyProtection="0">
      <alignment vertical="center"/>
    </xf>
    <xf numFmtId="0" fontId="40" fillId="35" borderId="0" applyNumberFormat="0" applyBorder="0" applyAlignment="0" applyProtection="0">
      <alignment vertical="center"/>
    </xf>
    <xf numFmtId="177" fontId="40" fillId="35" borderId="0" applyNumberFormat="0" applyBorder="0" applyAlignment="0" applyProtection="0">
      <alignment vertical="center"/>
    </xf>
    <xf numFmtId="0" fontId="40" fillId="35" borderId="0" applyNumberFormat="0" applyBorder="0" applyAlignment="0" applyProtection="0">
      <alignment vertical="center"/>
    </xf>
    <xf numFmtId="0" fontId="40" fillId="35" borderId="0" applyNumberFormat="0" applyBorder="0" applyAlignment="0" applyProtection="0">
      <alignment vertical="center"/>
    </xf>
    <xf numFmtId="0" fontId="40" fillId="35" borderId="0" applyNumberFormat="0" applyBorder="0" applyAlignment="0" applyProtection="0">
      <alignment vertical="center"/>
    </xf>
    <xf numFmtId="0" fontId="40" fillId="35" borderId="0" applyNumberFormat="0" applyBorder="0" applyAlignment="0" applyProtection="0">
      <alignment vertical="center"/>
    </xf>
    <xf numFmtId="177" fontId="37" fillId="34" borderId="65" applyNumberFormat="0" applyAlignment="0" applyProtection="0">
      <alignment vertical="center"/>
    </xf>
    <xf numFmtId="177" fontId="37" fillId="34" borderId="65" applyNumberFormat="0" applyAlignment="0" applyProtection="0">
      <alignment vertical="center"/>
    </xf>
    <xf numFmtId="0" fontId="37" fillId="34" borderId="65" applyNumberFormat="0" applyAlignment="0" applyProtection="0">
      <alignment vertical="center"/>
    </xf>
    <xf numFmtId="0" fontId="37" fillId="34" borderId="65" applyNumberFormat="0" applyAlignment="0" applyProtection="0">
      <alignment vertical="center"/>
    </xf>
    <xf numFmtId="0" fontId="37" fillId="34" borderId="65" applyNumberFormat="0" applyAlignment="0" applyProtection="0">
      <alignment vertical="center"/>
    </xf>
    <xf numFmtId="177" fontId="37" fillId="34" borderId="65" applyNumberFormat="0" applyAlignment="0" applyProtection="0">
      <alignment vertical="center"/>
    </xf>
    <xf numFmtId="0" fontId="37" fillId="34" borderId="65" applyNumberFormat="0" applyAlignment="0" applyProtection="0">
      <alignment vertical="center"/>
    </xf>
    <xf numFmtId="0" fontId="37" fillId="34" borderId="65" applyNumberFormat="0" applyAlignment="0" applyProtection="0">
      <alignment vertical="center"/>
    </xf>
    <xf numFmtId="0" fontId="37" fillId="34" borderId="65" applyNumberFormat="0" applyAlignment="0" applyProtection="0">
      <alignment vertical="center"/>
    </xf>
    <xf numFmtId="0" fontId="37" fillId="34" borderId="65" applyNumberFormat="0" applyAlignment="0" applyProtection="0">
      <alignment vertical="center"/>
    </xf>
    <xf numFmtId="0" fontId="37" fillId="34" borderId="65" applyNumberFormat="0" applyAlignment="0" applyProtection="0">
      <alignment vertical="center"/>
    </xf>
    <xf numFmtId="0" fontId="37" fillId="34" borderId="65" applyNumberFormat="0" applyAlignment="0" applyProtection="0">
      <alignment vertical="center"/>
    </xf>
    <xf numFmtId="177" fontId="33" fillId="30" borderId="62" applyNumberFormat="0" applyAlignment="0" applyProtection="0">
      <alignment vertical="center"/>
    </xf>
    <xf numFmtId="177" fontId="33" fillId="30" borderId="62" applyNumberFormat="0" applyAlignment="0" applyProtection="0">
      <alignment vertical="center"/>
    </xf>
    <xf numFmtId="0" fontId="33" fillId="30" borderId="62" applyNumberFormat="0" applyAlignment="0" applyProtection="0">
      <alignment vertical="center"/>
    </xf>
    <xf numFmtId="0" fontId="33" fillId="30" borderId="62" applyNumberFormat="0" applyAlignment="0" applyProtection="0">
      <alignment vertical="center"/>
    </xf>
    <xf numFmtId="0" fontId="33" fillId="30" borderId="62" applyNumberFormat="0" applyAlignment="0" applyProtection="0">
      <alignment vertical="center"/>
    </xf>
    <xf numFmtId="177" fontId="33" fillId="30" borderId="62" applyNumberFormat="0" applyAlignment="0" applyProtection="0">
      <alignment vertical="center"/>
    </xf>
    <xf numFmtId="0" fontId="33" fillId="30" borderId="62" applyNumberFormat="0" applyAlignment="0" applyProtection="0">
      <alignment vertical="center"/>
    </xf>
    <xf numFmtId="0" fontId="33" fillId="30" borderId="62" applyNumberFormat="0" applyAlignment="0" applyProtection="0">
      <alignment vertical="center"/>
    </xf>
    <xf numFmtId="0" fontId="33" fillId="30" borderId="62" applyNumberFormat="0" applyAlignment="0" applyProtection="0">
      <alignment vertical="center"/>
    </xf>
    <xf numFmtId="0" fontId="33" fillId="30" borderId="62" applyNumberFormat="0" applyAlignment="0" applyProtection="0">
      <alignment vertical="center"/>
    </xf>
    <xf numFmtId="0" fontId="33" fillId="30" borderId="62" applyNumberFormat="0" applyAlignment="0" applyProtection="0">
      <alignment vertical="center"/>
    </xf>
    <xf numFmtId="177" fontId="19" fillId="0" borderId="0"/>
    <xf numFmtId="0" fontId="19" fillId="0" borderId="0"/>
    <xf numFmtId="0" fontId="23" fillId="28" borderId="60" applyNumberFormat="0" applyFont="0" applyAlignment="0" applyProtection="0">
      <alignment vertical="center"/>
    </xf>
    <xf numFmtId="0" fontId="23" fillId="28" borderId="60" applyNumberFormat="0" applyFont="0" applyAlignment="0" applyProtection="0">
      <alignment vertical="center"/>
    </xf>
    <xf numFmtId="0" fontId="23" fillId="28" borderId="60" applyNumberFormat="0" applyFont="0" applyAlignment="0" applyProtection="0">
      <alignment vertical="center"/>
    </xf>
    <xf numFmtId="177" fontId="23" fillId="28" borderId="60" applyNumberFormat="0" applyFont="0" applyAlignment="0" applyProtection="0">
      <alignment vertical="center"/>
    </xf>
    <xf numFmtId="0" fontId="23" fillId="28" borderId="60" applyNumberFormat="0" applyFont="0" applyAlignment="0" applyProtection="0">
      <alignment vertical="center"/>
    </xf>
    <xf numFmtId="0" fontId="23" fillId="28" borderId="60" applyNumberFormat="0" applyFont="0" applyAlignment="0" applyProtection="0">
      <alignment vertical="center"/>
    </xf>
    <xf numFmtId="0" fontId="23" fillId="28" borderId="60" applyNumberFormat="0" applyFont="0" applyAlignment="0" applyProtection="0">
      <alignment vertical="center"/>
    </xf>
    <xf numFmtId="0" fontId="23" fillId="0" borderId="0">
      <alignment vertical="center"/>
    </xf>
    <xf numFmtId="0" fontId="54" fillId="0" borderId="0" applyFill="0" applyProtection="0"/>
  </cellStyleXfs>
  <cellXfs count="435">
    <xf numFmtId="0" fontId="0" fillId="0" borderId="0" xfId="0"/>
    <xf numFmtId="0" fontId="0" fillId="0" borderId="5" xfId="2273" applyFont="1" applyBorder="1" applyAlignment="1">
      <alignment vertical="center"/>
    </xf>
    <xf numFmtId="0" fontId="3" fillId="2" borderId="5" xfId="15636" applyFont="1" applyFill="1" applyBorder="1" applyAlignment="1"/>
    <xf numFmtId="0" fontId="3" fillId="2" borderId="5" xfId="15636" applyFont="1" applyFill="1" applyBorder="1" applyAlignment="1">
      <alignment horizontal="center" vertical="center"/>
    </xf>
    <xf numFmtId="14" fontId="3" fillId="2" borderId="5" xfId="15636" applyNumberFormat="1" applyFont="1" applyFill="1" applyBorder="1" applyAlignment="1"/>
    <xf numFmtId="0" fontId="2" fillId="2" borderId="5" xfId="48716" applyFont="1" applyFill="1" applyBorder="1"/>
    <xf numFmtId="0" fontId="2" fillId="2" borderId="5" xfId="48716" applyFont="1" applyFill="1" applyBorder="1" applyAlignment="1">
      <alignment horizontal="center" vertical="center"/>
    </xf>
    <xf numFmtId="0" fontId="3" fillId="2" borderId="5" xfId="15636" applyFont="1" applyFill="1" applyBorder="1"/>
    <xf numFmtId="0" fontId="2" fillId="2" borderId="6" xfId="48716" applyFont="1" applyFill="1" applyBorder="1" applyAlignment="1">
      <alignment horizontal="center"/>
    </xf>
    <xf numFmtId="0" fontId="2" fillId="2" borderId="6" xfId="48716" applyFont="1" applyFill="1" applyBorder="1" applyAlignment="1">
      <alignment horizontal="center" vertical="center"/>
    </xf>
    <xf numFmtId="0" fontId="2" fillId="2" borderId="6" xfId="48716" applyFont="1" applyFill="1" applyBorder="1"/>
    <xf numFmtId="0" fontId="2" fillId="2" borderId="7" xfId="48716" applyFont="1" applyFill="1" applyBorder="1" applyAlignment="1">
      <alignment vertical="center"/>
    </xf>
    <xf numFmtId="0" fontId="6" fillId="4" borderId="1" xfId="48716" applyFont="1" applyFill="1" applyBorder="1" applyAlignment="1">
      <alignment horizontal="center" vertical="center" wrapText="1"/>
    </xf>
    <xf numFmtId="0" fontId="7" fillId="4" borderId="1" xfId="48716" applyFont="1" applyFill="1" applyBorder="1" applyAlignment="1">
      <alignment horizontal="center" vertical="center" wrapText="1"/>
    </xf>
    <xf numFmtId="0" fontId="2" fillId="2" borderId="8" xfId="48716" applyFont="1" applyFill="1" applyBorder="1" applyAlignment="1">
      <alignment vertical="center"/>
    </xf>
    <xf numFmtId="0" fontId="2" fillId="2" borderId="7" xfId="48716" applyFont="1" applyFill="1" applyBorder="1"/>
    <xf numFmtId="14" fontId="4" fillId="2" borderId="1" xfId="48717" applyNumberFormat="1" applyFont="1" applyFill="1" applyBorder="1" applyAlignment="1">
      <alignment horizontal="left" vertical="top" wrapText="1"/>
    </xf>
    <xf numFmtId="0" fontId="2" fillId="2" borderId="1" xfId="48716" applyFont="1" applyFill="1" applyBorder="1" applyAlignment="1">
      <alignment horizontal="center" vertical="center"/>
    </xf>
    <xf numFmtId="0" fontId="2" fillId="2" borderId="8" xfId="48716" applyFont="1" applyFill="1" applyBorder="1"/>
    <xf numFmtId="0" fontId="10" fillId="0" borderId="1" xfId="70" applyBorder="1" applyAlignment="1">
      <alignment horizontal="center" vertical="center"/>
    </xf>
    <xf numFmtId="14" fontId="2" fillId="2" borderId="1" xfId="48717" applyNumberFormat="1" applyFont="1" applyFill="1" applyBorder="1" applyAlignment="1">
      <alignment horizontal="left" vertical="top" wrapText="1"/>
    </xf>
    <xf numFmtId="0" fontId="4" fillId="2" borderId="1" xfId="48716" applyFont="1" applyFill="1" applyBorder="1" applyAlignment="1">
      <alignment horizontal="center" vertical="center"/>
    </xf>
    <xf numFmtId="0" fontId="10" fillId="2" borderId="1" xfId="70" applyFill="1" applyBorder="1" applyAlignment="1">
      <alignment horizontal="center" vertical="center" wrapText="1"/>
    </xf>
    <xf numFmtId="0" fontId="9" fillId="2" borderId="1" xfId="70" applyFont="1" applyFill="1" applyBorder="1" applyAlignment="1">
      <alignment horizontal="center" vertical="center" wrapText="1"/>
    </xf>
    <xf numFmtId="0" fontId="2" fillId="2" borderId="1" xfId="70" applyFont="1" applyFill="1" applyBorder="1" applyAlignment="1">
      <alignment horizontal="center" vertical="center" wrapText="1"/>
    </xf>
    <xf numFmtId="0" fontId="0" fillId="0" borderId="7" xfId="0" applyFont="1" applyBorder="1"/>
    <xf numFmtId="0" fontId="0" fillId="0" borderId="8" xfId="0" applyFont="1" applyBorder="1"/>
    <xf numFmtId="0" fontId="0" fillId="0" borderId="11" xfId="0" applyFont="1" applyBorder="1"/>
    <xf numFmtId="0" fontId="0" fillId="0" borderId="11" xfId="0" applyFont="1" applyBorder="1" applyAlignment="1">
      <alignment horizontal="center" vertical="center"/>
    </xf>
    <xf numFmtId="0" fontId="0" fillId="0" borderId="0" xfId="0" applyAlignment="1">
      <alignment horizontal="center" vertical="center" wrapText="1"/>
    </xf>
    <xf numFmtId="0" fontId="0" fillId="0" borderId="0" xfId="0" applyAlignment="1">
      <alignment horizontal="center" vertical="top"/>
    </xf>
    <xf numFmtId="0" fontId="4" fillId="11" borderId="24" xfId="0" applyFont="1" applyFill="1" applyBorder="1" applyAlignment="1">
      <alignment horizontal="center" vertical="top" wrapText="1"/>
    </xf>
    <xf numFmtId="0" fontId="4" fillId="11" borderId="25" xfId="0" applyFont="1" applyFill="1" applyBorder="1" applyAlignment="1">
      <alignment horizontal="center" vertical="top" wrapText="1"/>
    </xf>
    <xf numFmtId="0" fontId="4" fillId="11" borderId="23" xfId="0" applyFont="1" applyFill="1" applyBorder="1" applyAlignment="1">
      <alignment horizontal="center" vertical="top" wrapText="1"/>
    </xf>
    <xf numFmtId="0" fontId="4" fillId="11" borderId="44" xfId="0" applyFont="1" applyFill="1" applyBorder="1" applyAlignment="1">
      <alignment horizontal="center" vertical="top" wrapText="1"/>
    </xf>
    <xf numFmtId="0" fontId="4" fillId="11" borderId="32" xfId="0" applyFont="1" applyFill="1" applyBorder="1" applyAlignment="1">
      <alignment horizontal="center" vertical="top" wrapText="1"/>
    </xf>
    <xf numFmtId="0" fontId="4" fillId="11" borderId="34" xfId="0" applyFont="1" applyFill="1" applyBorder="1" applyAlignment="1">
      <alignment horizontal="center" vertical="top" wrapText="1"/>
    </xf>
    <xf numFmtId="0" fontId="0" fillId="0" borderId="0" xfId="0" applyAlignment="1">
      <alignment horizontal="center" vertical="center"/>
    </xf>
    <xf numFmtId="0" fontId="0" fillId="0" borderId="0" xfId="0" applyAlignment="1">
      <alignment horizontal="center"/>
    </xf>
    <xf numFmtId="0" fontId="2" fillId="0" borderId="32" xfId="0" applyFont="1" applyBorder="1" applyAlignment="1">
      <alignment vertical="top" wrapText="1"/>
    </xf>
    <xf numFmtId="0" fontId="4" fillId="0" borderId="19" xfId="0" applyFont="1" applyBorder="1" applyAlignment="1">
      <alignment vertical="top" wrapText="1"/>
    </xf>
    <xf numFmtId="0" fontId="6" fillId="13" borderId="0" xfId="0" applyNumberFormat="1" applyFont="1" applyFill="1" applyAlignment="1">
      <alignment horizontal="center" vertical="center"/>
    </xf>
    <xf numFmtId="0" fontId="2" fillId="13" borderId="0" xfId="0" applyNumberFormat="1" applyFont="1" applyFill="1" applyAlignment="1">
      <alignment horizontal="center" vertical="center"/>
    </xf>
    <xf numFmtId="0" fontId="2" fillId="0" borderId="0" xfId="0" applyFont="1"/>
    <xf numFmtId="0" fontId="2" fillId="0" borderId="0" xfId="0" applyFont="1" applyAlignment="1">
      <alignment horizontal="center"/>
    </xf>
    <xf numFmtId="0" fontId="5" fillId="0" borderId="0" xfId="0" applyFont="1"/>
    <xf numFmtId="0" fontId="13" fillId="0" borderId="26" xfId="0" applyFont="1" applyBorder="1" applyAlignment="1">
      <alignment horizontal="center"/>
    </xf>
    <xf numFmtId="0" fontId="4" fillId="0" borderId="32" xfId="0" applyFont="1" applyBorder="1" applyAlignment="1">
      <alignment vertical="top" wrapText="1"/>
    </xf>
    <xf numFmtId="0" fontId="13" fillId="0" borderId="37" xfId="0" applyFont="1" applyBorder="1" applyAlignment="1">
      <alignment horizontal="center"/>
    </xf>
    <xf numFmtId="0" fontId="4" fillId="0" borderId="35" xfId="0" applyFont="1" applyBorder="1" applyAlignment="1">
      <alignment vertical="top" wrapText="1"/>
    </xf>
    <xf numFmtId="1" fontId="2" fillId="10" borderId="10" xfId="0" applyNumberFormat="1" applyFont="1" applyFill="1" applyBorder="1" applyAlignment="1">
      <alignment horizontal="center" vertical="center"/>
    </xf>
    <xf numFmtId="0" fontId="2" fillId="0" borderId="49" xfId="0" applyFont="1" applyBorder="1" applyAlignment="1">
      <alignment horizontal="left" wrapText="1"/>
    </xf>
    <xf numFmtId="0" fontId="2" fillId="0" borderId="0" xfId="0" applyNumberFormat="1" applyFont="1" applyAlignment="1">
      <alignment wrapText="1"/>
    </xf>
    <xf numFmtId="0" fontId="4" fillId="0" borderId="32" xfId="0" applyFont="1" applyFill="1" applyBorder="1" applyAlignment="1">
      <alignment horizontal="center" vertical="top" wrapText="1"/>
    </xf>
    <xf numFmtId="0" fontId="2" fillId="37" borderId="0" xfId="0" applyNumberFormat="1" applyFont="1" applyFill="1" applyAlignment="1">
      <alignment horizontal="center" vertical="center"/>
    </xf>
    <xf numFmtId="0" fontId="2" fillId="2" borderId="1" xfId="48716" applyFont="1" applyFill="1" applyBorder="1" applyAlignment="1">
      <alignment horizontal="center" vertical="center" wrapText="1"/>
    </xf>
    <xf numFmtId="0" fontId="0" fillId="38" borderId="0" xfId="0" applyFill="1" applyAlignment="1">
      <alignment horizontal="center"/>
    </xf>
    <xf numFmtId="0" fontId="0" fillId="0" borderId="28" xfId="0" applyFill="1" applyBorder="1" applyAlignment="1">
      <alignment horizontal="center" vertical="top" wrapText="1"/>
    </xf>
    <xf numFmtId="0" fontId="0" fillId="0" borderId="26" xfId="0" applyFill="1" applyBorder="1" applyAlignment="1">
      <alignment horizontal="left" vertical="top" wrapText="1"/>
    </xf>
    <xf numFmtId="14" fontId="0" fillId="0" borderId="26" xfId="0" applyNumberFormat="1" applyFill="1" applyBorder="1" applyAlignment="1">
      <alignment horizontal="left" vertical="top" wrapText="1"/>
    </xf>
    <xf numFmtId="1" fontId="0" fillId="10" borderId="10" xfId="0" applyNumberFormat="1" applyFill="1" applyBorder="1" applyAlignment="1">
      <alignment horizontal="center" vertical="top"/>
    </xf>
    <xf numFmtId="1" fontId="0" fillId="10" borderId="53" xfId="0" applyNumberFormat="1" applyFill="1" applyBorder="1" applyAlignment="1">
      <alignment horizontal="center" vertical="top"/>
    </xf>
    <xf numFmtId="0" fontId="0" fillId="8" borderId="23" xfId="0" applyFont="1" applyFill="1" applyBorder="1" applyAlignment="1">
      <alignment horizontal="center" vertical="top" wrapText="1"/>
    </xf>
    <xf numFmtId="0" fontId="0" fillId="8" borderId="24" xfId="0" applyFont="1" applyFill="1" applyBorder="1" applyAlignment="1">
      <alignment horizontal="center" vertical="top" wrapText="1"/>
    </xf>
    <xf numFmtId="0" fontId="0" fillId="8" borderId="25" xfId="0" applyFont="1" applyFill="1" applyBorder="1" applyAlignment="1">
      <alignment horizontal="center" vertical="top" wrapText="1"/>
    </xf>
    <xf numFmtId="1" fontId="2" fillId="10" borderId="1" xfId="0" applyNumberFormat="1" applyFont="1" applyFill="1" applyBorder="1" applyAlignment="1">
      <alignment horizontal="center" vertical="center"/>
    </xf>
    <xf numFmtId="0" fontId="0" fillId="0" borderId="0" xfId="0" applyAlignment="1">
      <alignment vertical="center" wrapText="1"/>
    </xf>
    <xf numFmtId="0" fontId="28" fillId="7" borderId="32" xfId="0" applyFont="1" applyFill="1" applyBorder="1" applyAlignment="1">
      <alignment vertical="top" wrapText="1"/>
    </xf>
    <xf numFmtId="1" fontId="0" fillId="10" borderId="12" xfId="0" applyNumberFormat="1" applyFill="1" applyBorder="1" applyAlignment="1">
      <alignment horizontal="center" vertical="top"/>
    </xf>
    <xf numFmtId="0" fontId="0" fillId="8" borderId="44" xfId="0" applyFont="1" applyFill="1" applyBorder="1" applyAlignment="1">
      <alignment horizontal="center" vertical="top" wrapText="1"/>
    </xf>
    <xf numFmtId="0" fontId="0" fillId="6" borderId="54" xfId="0" applyNumberFormat="1" applyFill="1" applyBorder="1" applyAlignment="1">
      <alignment horizontal="center" vertical="top"/>
    </xf>
    <xf numFmtId="0" fontId="0" fillId="6" borderId="10" xfId="0" applyNumberFormat="1" applyFill="1" applyBorder="1" applyAlignment="1">
      <alignment horizontal="center" vertical="top"/>
    </xf>
    <xf numFmtId="1" fontId="0" fillId="6" borderId="10" xfId="0" applyNumberFormat="1" applyFill="1" applyBorder="1" applyAlignment="1">
      <alignment horizontal="center" vertical="top"/>
    </xf>
    <xf numFmtId="1" fontId="0" fillId="6" borderId="53" xfId="0" applyNumberFormat="1" applyFill="1" applyBorder="1" applyAlignment="1">
      <alignment horizontal="center" vertical="top"/>
    </xf>
    <xf numFmtId="0" fontId="0" fillId="6" borderId="54" xfId="0" applyFill="1" applyBorder="1" applyAlignment="1">
      <alignment horizontal="center" vertical="top"/>
    </xf>
    <xf numFmtId="0" fontId="0" fillId="6" borderId="10" xfId="0" applyFill="1" applyBorder="1" applyAlignment="1">
      <alignment horizontal="center" vertical="top"/>
    </xf>
    <xf numFmtId="0" fontId="0" fillId="6" borderId="53" xfId="0" applyFill="1" applyBorder="1" applyAlignment="1">
      <alignment horizontal="center" vertical="top"/>
    </xf>
    <xf numFmtId="0" fontId="0" fillId="8" borderId="13" xfId="0" applyFont="1" applyFill="1" applyBorder="1" applyAlignment="1">
      <alignment horizontal="center" vertical="top" wrapText="1"/>
    </xf>
    <xf numFmtId="0" fontId="0" fillId="0" borderId="52" xfId="0" applyFill="1" applyBorder="1" applyAlignment="1">
      <alignment horizontal="center" vertical="top" wrapText="1"/>
    </xf>
    <xf numFmtId="0" fontId="0" fillId="0" borderId="54" xfId="0" applyFill="1" applyBorder="1" applyAlignment="1">
      <alignment horizontal="left" vertical="top" wrapText="1"/>
    </xf>
    <xf numFmtId="14" fontId="50" fillId="8" borderId="23" xfId="70" applyNumberFormat="1" applyFont="1" applyFill="1" applyBorder="1" applyAlignment="1">
      <alignment horizontal="center" vertical="center" wrapText="1"/>
    </xf>
    <xf numFmtId="14" fontId="9" fillId="8" borderId="25" xfId="70" applyNumberFormat="1" applyFont="1" applyFill="1" applyBorder="1" applyAlignment="1">
      <alignment horizontal="center" vertical="center" wrapText="1"/>
    </xf>
    <xf numFmtId="0" fontId="8" fillId="0" borderId="55" xfId="0" applyFont="1" applyFill="1" applyBorder="1" applyAlignment="1">
      <alignment horizontal="center" vertical="top" wrapText="1"/>
    </xf>
    <xf numFmtId="0" fontId="8" fillId="0" borderId="4" xfId="0" applyFont="1" applyFill="1" applyBorder="1" applyAlignment="1">
      <alignment horizontal="center" vertical="top" wrapText="1"/>
    </xf>
    <xf numFmtId="0" fontId="0" fillId="0" borderId="4" xfId="0" applyFill="1" applyBorder="1" applyAlignment="1">
      <alignment horizontal="center" vertical="top" wrapText="1"/>
    </xf>
    <xf numFmtId="0" fontId="0" fillId="0" borderId="34" xfId="0" applyFill="1" applyBorder="1" applyAlignment="1">
      <alignment horizontal="center" vertical="top" wrapText="1"/>
    </xf>
    <xf numFmtId="0" fontId="8" fillId="7" borderId="32" xfId="0" applyFont="1" applyFill="1" applyBorder="1" applyAlignment="1">
      <alignment vertical="top" wrapText="1"/>
    </xf>
    <xf numFmtId="0" fontId="28" fillId="0" borderId="0" xfId="0" applyFont="1"/>
    <xf numFmtId="9" fontId="2" fillId="37" borderId="0" xfId="0" applyNumberFormat="1" applyFont="1" applyFill="1" applyAlignment="1">
      <alignment horizontal="center" vertical="center"/>
    </xf>
    <xf numFmtId="179" fontId="2" fillId="36" borderId="15" xfId="0" applyNumberFormat="1" applyFont="1" applyFill="1" applyBorder="1" applyAlignment="1">
      <alignment horizontal="center" vertical="center"/>
    </xf>
    <xf numFmtId="179" fontId="2" fillId="36" borderId="18" xfId="0" applyNumberFormat="1" applyFont="1" applyFill="1" applyBorder="1" applyAlignment="1">
      <alignment horizontal="center" vertical="center"/>
    </xf>
    <xf numFmtId="178" fontId="2" fillId="37" borderId="0" xfId="0" applyNumberFormat="1" applyFont="1" applyFill="1" applyAlignment="1">
      <alignment horizontal="center" vertical="center"/>
    </xf>
    <xf numFmtId="0" fontId="11" fillId="6" borderId="20" xfId="0" applyFont="1" applyFill="1" applyBorder="1" applyAlignment="1">
      <alignment horizontal="center" vertical="center" wrapText="1"/>
    </xf>
    <xf numFmtId="0" fontId="11" fillId="6" borderId="2" xfId="0" applyFont="1" applyFill="1" applyBorder="1" applyAlignment="1">
      <alignment horizontal="center" vertical="center" wrapText="1"/>
    </xf>
    <xf numFmtId="178" fontId="2" fillId="13" borderId="0" xfId="0" applyNumberFormat="1" applyFont="1" applyFill="1" applyAlignment="1">
      <alignment horizontal="center" vertical="center"/>
    </xf>
    <xf numFmtId="0" fontId="28" fillId="0" borderId="0" xfId="0" applyFont="1" applyAlignment="1">
      <alignment horizontal="center"/>
    </xf>
    <xf numFmtId="0" fontId="50" fillId="8" borderId="13" xfId="0" applyNumberFormat="1" applyFont="1" applyFill="1" applyBorder="1" applyAlignment="1">
      <alignment horizontal="center" vertical="center" wrapText="1"/>
    </xf>
    <xf numFmtId="179" fontId="2" fillId="36" borderId="33" xfId="0" applyNumberFormat="1" applyFont="1" applyFill="1" applyBorder="1" applyAlignment="1">
      <alignment horizontal="center" vertical="center"/>
    </xf>
    <xf numFmtId="10" fontId="28" fillId="6" borderId="18" xfId="0" applyNumberFormat="1" applyFont="1" applyFill="1" applyBorder="1" applyAlignment="1">
      <alignment horizontal="center" vertical="center"/>
    </xf>
    <xf numFmtId="0" fontId="4" fillId="11" borderId="70" xfId="0" applyFont="1" applyFill="1" applyBorder="1" applyAlignment="1">
      <alignment horizontal="center" vertical="top" wrapText="1"/>
    </xf>
    <xf numFmtId="14" fontId="9" fillId="8" borderId="23" xfId="70" applyNumberFormat="1" applyFont="1" applyFill="1" applyBorder="1" applyAlignment="1">
      <alignment horizontal="center" vertical="center" wrapText="1"/>
    </xf>
    <xf numFmtId="0" fontId="0" fillId="8" borderId="14" xfId="0" applyFont="1" applyFill="1" applyBorder="1" applyAlignment="1">
      <alignment horizontal="center" vertical="top" wrapText="1"/>
    </xf>
    <xf numFmtId="0" fontId="0" fillId="0" borderId="70" xfId="0" applyFill="1" applyBorder="1" applyAlignment="1">
      <alignment horizontal="left" vertical="top" wrapText="1"/>
    </xf>
    <xf numFmtId="0" fontId="28" fillId="0" borderId="17" xfId="0" applyFont="1" applyBorder="1" applyAlignment="1">
      <alignment horizontal="center"/>
    </xf>
    <xf numFmtId="0" fontId="28" fillId="0" borderId="28" xfId="0" applyFont="1" applyBorder="1" applyAlignment="1">
      <alignment horizontal="center"/>
    </xf>
    <xf numFmtId="0" fontId="28" fillId="0" borderId="69" xfId="0" applyFont="1" applyBorder="1" applyAlignment="1">
      <alignment horizontal="center"/>
    </xf>
    <xf numFmtId="0" fontId="4" fillId="0" borderId="70" xfId="0" applyFont="1" applyBorder="1" applyAlignment="1">
      <alignment vertical="top" wrapText="1"/>
    </xf>
    <xf numFmtId="0" fontId="4" fillId="0" borderId="34" xfId="0" applyFont="1" applyBorder="1" applyAlignment="1">
      <alignment vertical="top" wrapText="1"/>
    </xf>
    <xf numFmtId="1" fontId="2" fillId="36" borderId="1" xfId="0" applyNumberFormat="1" applyFont="1" applyFill="1" applyBorder="1" applyAlignment="1">
      <alignment horizontal="center" vertical="center"/>
    </xf>
    <xf numFmtId="1" fontId="2" fillId="36" borderId="26" xfId="0" applyNumberFormat="1" applyFont="1" applyFill="1" applyBorder="1" applyAlignment="1">
      <alignment horizontal="center" vertical="center"/>
    </xf>
    <xf numFmtId="1" fontId="2" fillId="36" borderId="70" xfId="0" applyNumberFormat="1" applyFont="1" applyFill="1" applyBorder="1" applyAlignment="1">
      <alignment horizontal="center" vertical="center"/>
    </xf>
    <xf numFmtId="1" fontId="2" fillId="36" borderId="4" xfId="0" applyNumberFormat="1" applyFont="1" applyFill="1" applyBorder="1" applyAlignment="1">
      <alignment horizontal="center" vertical="center"/>
    </xf>
    <xf numFmtId="1" fontId="2" fillId="36" borderId="34" xfId="0" applyNumberFormat="1" applyFont="1" applyFill="1" applyBorder="1" applyAlignment="1">
      <alignment horizontal="center" vertical="center"/>
    </xf>
    <xf numFmtId="1" fontId="2" fillId="36" borderId="32" xfId="0" applyNumberFormat="1" applyFont="1" applyFill="1" applyBorder="1" applyAlignment="1">
      <alignment horizontal="center" vertical="center"/>
    </xf>
    <xf numFmtId="1" fontId="2" fillId="36" borderId="54" xfId="0" applyNumberFormat="1" applyFont="1" applyFill="1" applyBorder="1" applyAlignment="1">
      <alignment horizontal="center" vertical="center"/>
    </xf>
    <xf numFmtId="1" fontId="2" fillId="36" borderId="55" xfId="0" applyNumberFormat="1" applyFont="1" applyFill="1" applyBorder="1" applyAlignment="1">
      <alignment horizontal="center" vertical="center"/>
    </xf>
    <xf numFmtId="1" fontId="2" fillId="36" borderId="10" xfId="0" applyNumberFormat="1" applyFont="1" applyFill="1" applyBorder="1" applyAlignment="1">
      <alignment horizontal="center" vertical="center"/>
    </xf>
    <xf numFmtId="14" fontId="8" fillId="7" borderId="32" xfId="0" applyNumberFormat="1" applyFont="1" applyFill="1" applyBorder="1" applyAlignment="1">
      <alignment vertical="top" wrapText="1"/>
    </xf>
    <xf numFmtId="0" fontId="4" fillId="0" borderId="34" xfId="0" applyFont="1" applyFill="1" applyBorder="1" applyAlignment="1">
      <alignment vertical="top" wrapText="1"/>
    </xf>
    <xf numFmtId="0" fontId="2" fillId="0" borderId="26" xfId="0" applyFont="1" applyBorder="1" applyAlignment="1">
      <alignment horizontal="center" vertical="center" wrapText="1"/>
    </xf>
    <xf numFmtId="0" fontId="2" fillId="0" borderId="1" xfId="0" applyFont="1" applyBorder="1" applyAlignment="1">
      <alignment horizontal="center" vertical="center" wrapText="1"/>
    </xf>
    <xf numFmtId="0" fontId="2" fillId="0" borderId="4" xfId="0" applyFont="1" applyBorder="1" applyAlignment="1">
      <alignment horizontal="center" vertical="center" wrapText="1"/>
    </xf>
    <xf numFmtId="0" fontId="2" fillId="0" borderId="27" xfId="0" applyFont="1" applyBorder="1" applyAlignment="1">
      <alignment horizontal="center" vertical="center" wrapText="1"/>
    </xf>
    <xf numFmtId="0" fontId="2" fillId="0" borderId="37" xfId="0" applyFont="1" applyBorder="1" applyAlignment="1">
      <alignment horizontal="center" vertical="center" wrapText="1"/>
    </xf>
    <xf numFmtId="0" fontId="28" fillId="0" borderId="54" xfId="0" applyFont="1" applyBorder="1" applyAlignment="1">
      <alignment horizontal="center" vertical="center"/>
    </xf>
    <xf numFmtId="0" fontId="28" fillId="0" borderId="10" xfId="0" applyFont="1" applyBorder="1" applyAlignment="1">
      <alignment horizontal="center" vertical="center"/>
    </xf>
    <xf numFmtId="0" fontId="28" fillId="0" borderId="26" xfId="0" applyFont="1" applyBorder="1" applyAlignment="1">
      <alignment horizontal="center" vertical="center"/>
    </xf>
    <xf numFmtId="0" fontId="28" fillId="0" borderId="1" xfId="0" applyFont="1" applyBorder="1" applyAlignment="1">
      <alignment horizontal="center" vertical="center"/>
    </xf>
    <xf numFmtId="0" fontId="28" fillId="0" borderId="70" xfId="0" applyFont="1" applyBorder="1" applyAlignment="1">
      <alignment horizontal="center" vertical="center"/>
    </xf>
    <xf numFmtId="0" fontId="28" fillId="0" borderId="32" xfId="0" applyFont="1" applyBorder="1" applyAlignment="1">
      <alignment horizontal="center" vertical="center"/>
    </xf>
    <xf numFmtId="0" fontId="4" fillId="8" borderId="40" xfId="70" applyNumberFormat="1" applyFont="1" applyFill="1" applyBorder="1" applyAlignment="1">
      <alignment horizontal="center" vertical="center" wrapText="1"/>
    </xf>
    <xf numFmtId="0" fontId="28" fillId="7" borderId="55" xfId="0" applyFont="1" applyFill="1" applyBorder="1" applyAlignment="1">
      <alignment horizontal="center" vertical="center"/>
    </xf>
    <xf numFmtId="0" fontId="28" fillId="7" borderId="4" xfId="0" applyFont="1" applyFill="1" applyBorder="1" applyAlignment="1">
      <alignment horizontal="center" vertical="center"/>
    </xf>
    <xf numFmtId="0" fontId="28" fillId="7" borderId="34" xfId="0" applyFont="1" applyFill="1" applyBorder="1" applyAlignment="1">
      <alignment horizontal="center" vertical="center"/>
    </xf>
    <xf numFmtId="14" fontId="50" fillId="8" borderId="14" xfId="70" applyNumberFormat="1" applyFont="1" applyFill="1" applyBorder="1" applyAlignment="1">
      <alignment horizontal="center" vertical="center" wrapText="1"/>
    </xf>
    <xf numFmtId="0" fontId="14" fillId="10" borderId="0" xfId="0" applyFont="1" applyFill="1" applyBorder="1" applyAlignment="1">
      <alignment horizontal="center" vertical="center" wrapText="1"/>
    </xf>
    <xf numFmtId="0" fontId="0" fillId="0" borderId="0" xfId="0" applyBorder="1" applyAlignment="1">
      <alignment horizontal="center"/>
    </xf>
    <xf numFmtId="0" fontId="0" fillId="0" borderId="0" xfId="0" applyBorder="1"/>
    <xf numFmtId="0" fontId="14" fillId="11" borderId="30" xfId="0" applyFont="1" applyFill="1" applyBorder="1" applyAlignment="1">
      <alignment horizontal="center" vertical="center"/>
    </xf>
    <xf numFmtId="0" fontId="14" fillId="11" borderId="66" xfId="0" applyFont="1" applyFill="1" applyBorder="1" applyAlignment="1">
      <alignment horizontal="center" vertical="center"/>
    </xf>
    <xf numFmtId="0" fontId="0" fillId="0" borderId="69" xfId="0" applyFill="1" applyBorder="1" applyAlignment="1">
      <alignment horizontal="center" vertical="top" wrapText="1"/>
    </xf>
    <xf numFmtId="1" fontId="0" fillId="10" borderId="72" xfId="0" applyNumberFormat="1" applyFill="1" applyBorder="1" applyAlignment="1">
      <alignment horizontal="center" vertical="top"/>
    </xf>
    <xf numFmtId="0" fontId="14" fillId="8" borderId="66" xfId="0" applyFont="1" applyFill="1" applyBorder="1" applyAlignment="1">
      <alignment horizontal="center" vertical="center"/>
    </xf>
    <xf numFmtId="0" fontId="0" fillId="0" borderId="39" xfId="0" applyBorder="1" applyAlignment="1">
      <alignment horizontal="left" vertical="top" wrapText="1"/>
    </xf>
    <xf numFmtId="0" fontId="0" fillId="0" borderId="49" xfId="0" applyBorder="1" applyAlignment="1">
      <alignment horizontal="left" vertical="top" wrapText="1"/>
    </xf>
    <xf numFmtId="0" fontId="0" fillId="0" borderId="50" xfId="0" applyBorder="1" applyAlignment="1">
      <alignment horizontal="left" vertical="top" wrapText="1"/>
    </xf>
    <xf numFmtId="0" fontId="11" fillId="7" borderId="0" xfId="0" applyFont="1" applyFill="1" applyBorder="1" applyAlignment="1">
      <alignment horizontal="center" vertical="center" wrapText="1"/>
    </xf>
    <xf numFmtId="0" fontId="14" fillId="7" borderId="0" xfId="0" applyFont="1" applyFill="1" applyBorder="1" applyAlignment="1">
      <alignment horizontal="center" vertical="center" wrapText="1"/>
    </xf>
    <xf numFmtId="0" fontId="0" fillId="0" borderId="66" xfId="0" applyBorder="1"/>
    <xf numFmtId="0" fontId="8" fillId="0" borderId="45" xfId="0" applyFont="1" applyFill="1" applyBorder="1" applyAlignment="1">
      <alignment horizontal="center" vertical="top" wrapText="1"/>
    </xf>
    <xf numFmtId="1" fontId="0" fillId="10" borderId="71" xfId="0" applyNumberFormat="1" applyFill="1" applyBorder="1" applyAlignment="1">
      <alignment horizontal="center" vertical="top"/>
    </xf>
    <xf numFmtId="1" fontId="0" fillId="10" borderId="46" xfId="0" applyNumberFormat="1" applyFill="1" applyBorder="1" applyAlignment="1">
      <alignment horizontal="center" vertical="top"/>
    </xf>
    <xf numFmtId="0" fontId="28" fillId="0" borderId="54" xfId="0" applyFont="1" applyFill="1" applyBorder="1" applyAlignment="1">
      <alignment horizontal="center" vertical="top" wrapText="1"/>
    </xf>
    <xf numFmtId="0" fontId="28" fillId="0" borderId="53" xfId="0" applyFont="1" applyFill="1" applyBorder="1" applyAlignment="1">
      <alignment horizontal="center" vertical="top" wrapText="1"/>
    </xf>
    <xf numFmtId="0" fontId="28" fillId="6" borderId="10" xfId="0" applyNumberFormat="1" applyFont="1" applyFill="1" applyBorder="1" applyAlignment="1">
      <alignment horizontal="center" vertical="top"/>
    </xf>
    <xf numFmtId="0" fontId="28" fillId="6" borderId="53" xfId="0" applyNumberFormat="1" applyFont="1" applyFill="1" applyBorder="1" applyAlignment="1">
      <alignment horizontal="center" vertical="top"/>
    </xf>
    <xf numFmtId="1" fontId="28" fillId="0" borderId="54" xfId="0" applyNumberFormat="1" applyFont="1" applyFill="1" applyBorder="1" applyAlignment="1">
      <alignment horizontal="center" vertical="top"/>
    </xf>
    <xf numFmtId="1" fontId="28" fillId="0" borderId="12" xfId="0" applyNumberFormat="1" applyFont="1" applyFill="1" applyBorder="1" applyAlignment="1">
      <alignment horizontal="center" vertical="top"/>
    </xf>
    <xf numFmtId="0" fontId="28" fillId="0" borderId="26" xfId="0" applyFont="1" applyFill="1" applyBorder="1" applyAlignment="1">
      <alignment horizontal="center" vertical="top" wrapText="1"/>
    </xf>
    <xf numFmtId="0" fontId="28" fillId="0" borderId="27" xfId="0" applyFont="1" applyFill="1" applyBorder="1" applyAlignment="1">
      <alignment horizontal="center" vertical="top" wrapText="1"/>
    </xf>
    <xf numFmtId="14" fontId="28" fillId="0" borderId="26" xfId="0" applyNumberFormat="1" applyFont="1" applyFill="1" applyBorder="1" applyAlignment="1">
      <alignment horizontal="center" vertical="top" wrapText="1"/>
    </xf>
    <xf numFmtId="14" fontId="28" fillId="0" borderId="27" xfId="0" applyNumberFormat="1" applyFont="1" applyFill="1" applyBorder="1" applyAlignment="1">
      <alignment horizontal="center" vertical="top" wrapText="1"/>
    </xf>
    <xf numFmtId="0" fontId="28" fillId="0" borderId="70" xfId="0" applyFont="1" applyFill="1" applyBorder="1" applyAlignment="1">
      <alignment horizontal="center" vertical="top" wrapText="1"/>
    </xf>
    <xf numFmtId="0" fontId="28" fillId="0" borderId="19" xfId="0" applyFont="1" applyFill="1" applyBorder="1" applyAlignment="1">
      <alignment horizontal="center" vertical="top" wrapText="1"/>
    </xf>
    <xf numFmtId="0" fontId="2" fillId="0" borderId="56" xfId="0" applyFont="1" applyBorder="1" applyAlignment="1">
      <alignment horizontal="left" wrapText="1"/>
    </xf>
    <xf numFmtId="0" fontId="2" fillId="0" borderId="41" xfId="0" applyFont="1" applyBorder="1" applyAlignment="1">
      <alignment horizontal="left" wrapText="1"/>
    </xf>
    <xf numFmtId="1" fontId="2" fillId="10" borderId="32" xfId="0" applyNumberFormat="1" applyFont="1" applyFill="1" applyBorder="1" applyAlignment="1">
      <alignment horizontal="center" vertical="center"/>
    </xf>
    <xf numFmtId="1" fontId="2" fillId="6" borderId="53" xfId="0" applyNumberFormat="1" applyFont="1" applyFill="1" applyBorder="1" applyAlignment="1">
      <alignment horizontal="center" vertical="center"/>
    </xf>
    <xf numFmtId="14" fontId="8" fillId="7" borderId="35" xfId="0" applyNumberFormat="1" applyFont="1" applyFill="1" applyBorder="1" applyAlignment="1">
      <alignment vertical="top" wrapText="1"/>
    </xf>
    <xf numFmtId="1" fontId="2" fillId="36" borderId="12" xfId="0" applyNumberFormat="1" applyFont="1" applyFill="1" applyBorder="1" applyAlignment="1">
      <alignment horizontal="center" vertical="center"/>
    </xf>
    <xf numFmtId="1" fontId="2" fillId="36" borderId="37" xfId="0" applyNumberFormat="1" applyFont="1" applyFill="1" applyBorder="1" applyAlignment="1">
      <alignment horizontal="center" vertical="center"/>
    </xf>
    <xf numFmtId="1" fontId="2" fillId="36" borderId="35" xfId="0" applyNumberFormat="1" applyFont="1" applyFill="1" applyBorder="1" applyAlignment="1">
      <alignment horizontal="center" vertical="center"/>
    </xf>
    <xf numFmtId="1" fontId="2" fillId="36" borderId="53" xfId="0" applyNumberFormat="1" applyFont="1" applyFill="1" applyBorder="1" applyAlignment="1">
      <alignment horizontal="center" vertical="center"/>
    </xf>
    <xf numFmtId="1" fontId="2" fillId="36" borderId="27" xfId="0" applyNumberFormat="1" applyFont="1" applyFill="1" applyBorder="1" applyAlignment="1">
      <alignment horizontal="center" vertical="center"/>
    </xf>
    <xf numFmtId="1" fontId="2" fillId="36" borderId="19" xfId="0" applyNumberFormat="1" applyFont="1" applyFill="1" applyBorder="1" applyAlignment="1">
      <alignment horizontal="center" vertical="center"/>
    </xf>
    <xf numFmtId="1" fontId="2" fillId="10" borderId="55" xfId="0" applyNumberFormat="1" applyFont="1" applyFill="1" applyBorder="1" applyAlignment="1">
      <alignment horizontal="center" vertical="center"/>
    </xf>
    <xf numFmtId="1" fontId="2" fillId="10" borderId="4" xfId="0" applyNumberFormat="1" applyFont="1" applyFill="1" applyBorder="1" applyAlignment="1">
      <alignment horizontal="center" vertical="center"/>
    </xf>
    <xf numFmtId="1" fontId="2" fillId="10" borderId="34" xfId="0" applyNumberFormat="1" applyFont="1" applyFill="1" applyBorder="1" applyAlignment="1">
      <alignment horizontal="center" vertical="center"/>
    </xf>
    <xf numFmtId="0" fontId="28" fillId="7" borderId="19" xfId="0" applyFont="1" applyFill="1" applyBorder="1" applyAlignment="1">
      <alignment vertical="top" wrapText="1"/>
    </xf>
    <xf numFmtId="0" fontId="2" fillId="0" borderId="35" xfId="0" applyFont="1" applyBorder="1" applyAlignment="1">
      <alignment vertical="top" wrapText="1"/>
    </xf>
    <xf numFmtId="1" fontId="2" fillId="10" borderId="12" xfId="0" applyNumberFormat="1" applyFont="1" applyFill="1" applyBorder="1" applyAlignment="1">
      <alignment horizontal="center" vertical="center"/>
    </xf>
    <xf numFmtId="1" fontId="2" fillId="10" borderId="37" xfId="0" applyNumberFormat="1" applyFont="1" applyFill="1" applyBorder="1" applyAlignment="1">
      <alignment horizontal="center" vertical="center"/>
    </xf>
    <xf numFmtId="1" fontId="2" fillId="10" borderId="35" xfId="0" applyNumberFormat="1" applyFont="1" applyFill="1" applyBorder="1" applyAlignment="1">
      <alignment horizontal="center" vertical="center"/>
    </xf>
    <xf numFmtId="1" fontId="2" fillId="6" borderId="54" xfId="0" applyNumberFormat="1" applyFont="1" applyFill="1" applyBorder="1" applyAlignment="1">
      <alignment horizontal="center" vertical="center"/>
    </xf>
    <xf numFmtId="0" fontId="7" fillId="13" borderId="0" xfId="0" applyNumberFormat="1" applyFont="1" applyFill="1" applyAlignment="1">
      <alignment horizontal="center" vertical="center"/>
    </xf>
    <xf numFmtId="1" fontId="2" fillId="37" borderId="0" xfId="0" applyNumberFormat="1" applyFont="1" applyFill="1" applyAlignment="1">
      <alignment horizontal="center" vertical="center"/>
    </xf>
    <xf numFmtId="0" fontId="4" fillId="0" borderId="20" xfId="0" applyFont="1" applyBorder="1" applyAlignment="1">
      <alignment vertical="top" wrapText="1"/>
    </xf>
    <xf numFmtId="0" fontId="4" fillId="0" borderId="21" xfId="0" applyFont="1" applyBorder="1" applyAlignment="1">
      <alignment vertical="top" wrapText="1"/>
    </xf>
    <xf numFmtId="0" fontId="4" fillId="0" borderId="42" xfId="0" applyFont="1" applyBorder="1" applyAlignment="1">
      <alignment vertical="top" wrapText="1"/>
    </xf>
    <xf numFmtId="0" fontId="4" fillId="0" borderId="3" xfId="0" applyFont="1" applyBorder="1" applyAlignment="1">
      <alignment vertical="top" wrapText="1"/>
    </xf>
    <xf numFmtId="0" fontId="8" fillId="7" borderId="2" xfId="0" applyFont="1" applyFill="1" applyBorder="1" applyAlignment="1">
      <alignment vertical="top" wrapText="1"/>
    </xf>
    <xf numFmtId="0" fontId="8" fillId="7" borderId="42" xfId="0" applyFont="1" applyFill="1" applyBorder="1" applyAlignment="1">
      <alignment vertical="top" wrapText="1"/>
    </xf>
    <xf numFmtId="0" fontId="4" fillId="0" borderId="2" xfId="0" applyFont="1" applyBorder="1" applyAlignment="1">
      <alignment vertical="top" wrapText="1"/>
    </xf>
    <xf numFmtId="0" fontId="4" fillId="0" borderId="2" xfId="0" applyFont="1" applyFill="1" applyBorder="1" applyAlignment="1">
      <alignment horizontal="center" vertical="top" wrapText="1"/>
    </xf>
    <xf numFmtId="179" fontId="2" fillId="36" borderId="26" xfId="0" applyNumberFormat="1" applyFont="1" applyFill="1" applyBorder="1" applyAlignment="1">
      <alignment horizontal="center" vertical="center"/>
    </xf>
    <xf numFmtId="179" fontId="2" fillId="36" borderId="37" xfId="0" applyNumberFormat="1" applyFont="1" applyFill="1" applyBorder="1" applyAlignment="1">
      <alignment horizontal="center" vertical="center"/>
    </xf>
    <xf numFmtId="179" fontId="2" fillId="36" borderId="1" xfId="0" applyNumberFormat="1" applyFont="1" applyFill="1" applyBorder="1" applyAlignment="1">
      <alignment horizontal="center" vertical="center"/>
    </xf>
    <xf numFmtId="179" fontId="2" fillId="36" borderId="70" xfId="0" applyNumberFormat="1" applyFont="1" applyFill="1" applyBorder="1" applyAlignment="1">
      <alignment horizontal="center" vertical="center"/>
    </xf>
    <xf numFmtId="179" fontId="2" fillId="36" borderId="35" xfId="0" applyNumberFormat="1" applyFont="1" applyFill="1" applyBorder="1" applyAlignment="1">
      <alignment horizontal="center" vertical="center"/>
    </xf>
    <xf numFmtId="179" fontId="2" fillId="36" borderId="32" xfId="0" applyNumberFormat="1" applyFont="1" applyFill="1" applyBorder="1" applyAlignment="1">
      <alignment horizontal="center" vertical="center"/>
    </xf>
    <xf numFmtId="0" fontId="4" fillId="0" borderId="32" xfId="0" applyFont="1" applyBorder="1" applyAlignment="1">
      <alignment horizontal="center" vertical="top" wrapText="1"/>
    </xf>
    <xf numFmtId="0" fontId="4" fillId="0" borderId="19" xfId="0" applyFont="1" applyBorder="1" applyAlignment="1">
      <alignment horizontal="center" vertical="top" wrapText="1"/>
    </xf>
    <xf numFmtId="0" fontId="13" fillId="0" borderId="41" xfId="0" applyFont="1" applyBorder="1" applyAlignment="1">
      <alignment horizontal="center"/>
    </xf>
    <xf numFmtId="0" fontId="13" fillId="0" borderId="74" xfId="0" applyFont="1" applyBorder="1" applyAlignment="1">
      <alignment horizontal="center"/>
    </xf>
    <xf numFmtId="0" fontId="7" fillId="0" borderId="39" xfId="0" applyFont="1" applyBorder="1" applyAlignment="1">
      <alignment horizontal="center" vertical="center" wrapText="1"/>
    </xf>
    <xf numFmtId="0" fontId="13" fillId="0" borderId="49" xfId="0" applyFont="1" applyBorder="1" applyAlignment="1">
      <alignment horizontal="center"/>
    </xf>
    <xf numFmtId="0" fontId="8" fillId="7" borderId="75" xfId="0" applyFont="1" applyFill="1" applyBorder="1" applyAlignment="1">
      <alignment vertical="top" wrapText="1"/>
    </xf>
    <xf numFmtId="0" fontId="4" fillId="0" borderId="21" xfId="0" applyFont="1" applyFill="1" applyBorder="1" applyAlignment="1">
      <alignment horizontal="center" vertical="top" wrapText="1"/>
    </xf>
    <xf numFmtId="0" fontId="28" fillId="0" borderId="17" xfId="0" applyFont="1" applyBorder="1" applyAlignment="1">
      <alignment horizontal="center" vertical="center"/>
    </xf>
    <xf numFmtId="0" fontId="28" fillId="0" borderId="28" xfId="0" applyFont="1" applyBorder="1" applyAlignment="1">
      <alignment horizontal="center" vertical="center"/>
    </xf>
    <xf numFmtId="0" fontId="28" fillId="0" borderId="69" xfId="0" applyFont="1" applyBorder="1" applyAlignment="1">
      <alignment horizontal="center" vertical="center"/>
    </xf>
    <xf numFmtId="10" fontId="28" fillId="6" borderId="15" xfId="0" applyNumberFormat="1" applyFont="1" applyFill="1" applyBorder="1" applyAlignment="1">
      <alignment horizontal="center" vertical="center"/>
    </xf>
    <xf numFmtId="0" fontId="28" fillId="36" borderId="18" xfId="0" applyFont="1" applyFill="1" applyBorder="1" applyAlignment="1">
      <alignment horizontal="center"/>
    </xf>
    <xf numFmtId="0" fontId="28" fillId="36" borderId="10" xfId="0" applyFont="1" applyFill="1" applyBorder="1" applyAlignment="1">
      <alignment horizontal="center"/>
    </xf>
    <xf numFmtId="0" fontId="28" fillId="36" borderId="46" xfId="0" applyFont="1" applyFill="1" applyBorder="1" applyAlignment="1">
      <alignment horizontal="center"/>
    </xf>
    <xf numFmtId="10" fontId="28" fillId="0" borderId="15" xfId="0" applyNumberFormat="1" applyFont="1" applyBorder="1" applyAlignment="1">
      <alignment horizontal="center"/>
    </xf>
    <xf numFmtId="10" fontId="28" fillId="0" borderId="54" xfId="0" applyNumberFormat="1" applyFont="1" applyBorder="1" applyAlignment="1">
      <alignment horizontal="center"/>
    </xf>
    <xf numFmtId="10" fontId="28" fillId="0" borderId="73" xfId="0" applyNumberFormat="1" applyFont="1" applyBorder="1" applyAlignment="1">
      <alignment horizontal="center"/>
    </xf>
    <xf numFmtId="10" fontId="28" fillId="0" borderId="18" xfId="0" applyNumberFormat="1" applyFont="1" applyBorder="1" applyAlignment="1">
      <alignment horizontal="center"/>
    </xf>
    <xf numFmtId="10" fontId="28" fillId="0" borderId="31" xfId="0" applyNumberFormat="1" applyFont="1" applyBorder="1" applyAlignment="1">
      <alignment horizontal="center"/>
    </xf>
    <xf numFmtId="10" fontId="28" fillId="0" borderId="10" xfId="0" applyNumberFormat="1" applyFont="1" applyBorder="1" applyAlignment="1">
      <alignment horizontal="center"/>
    </xf>
    <xf numFmtId="10" fontId="28" fillId="0" borderId="55" xfId="0" applyNumberFormat="1" applyFont="1" applyBorder="1" applyAlignment="1">
      <alignment horizontal="center"/>
    </xf>
    <xf numFmtId="10" fontId="28" fillId="0" borderId="46" xfId="0" applyNumberFormat="1" applyFont="1" applyBorder="1" applyAlignment="1">
      <alignment horizontal="center"/>
    </xf>
    <xf numFmtId="10" fontId="28" fillId="0" borderId="45" xfId="0" applyNumberFormat="1" applyFont="1" applyBorder="1" applyAlignment="1">
      <alignment horizontal="center"/>
    </xf>
    <xf numFmtId="10" fontId="2" fillId="36" borderId="31" xfId="0" applyNumberFormat="1" applyFont="1" applyFill="1" applyBorder="1" applyAlignment="1">
      <alignment horizontal="center" vertical="center"/>
    </xf>
    <xf numFmtId="10" fontId="2" fillId="36" borderId="4" xfId="0" applyNumberFormat="1" applyFont="1" applyFill="1" applyBorder="1" applyAlignment="1">
      <alignment horizontal="center" vertical="center"/>
    </xf>
    <xf numFmtId="10" fontId="2" fillId="36" borderId="34" xfId="0" applyNumberFormat="1" applyFont="1" applyFill="1" applyBorder="1" applyAlignment="1">
      <alignment horizontal="center" vertical="center"/>
    </xf>
    <xf numFmtId="10" fontId="2" fillId="36" borderId="16" xfId="0" applyNumberFormat="1" applyFont="1" applyFill="1" applyBorder="1" applyAlignment="1">
      <alignment horizontal="center" vertical="center"/>
    </xf>
    <xf numFmtId="10" fontId="2" fillId="36" borderId="33" xfId="0" applyNumberFormat="1" applyFont="1" applyFill="1" applyBorder="1" applyAlignment="1">
      <alignment horizontal="center" vertical="center"/>
    </xf>
    <xf numFmtId="10" fontId="2" fillId="36" borderId="27" xfId="0" applyNumberFormat="1" applyFont="1" applyFill="1" applyBorder="1" applyAlignment="1">
      <alignment horizontal="center" vertical="center"/>
    </xf>
    <xf numFmtId="10" fontId="2" fillId="36" borderId="37" xfId="0" applyNumberFormat="1" applyFont="1" applyFill="1" applyBorder="1" applyAlignment="1">
      <alignment horizontal="center" vertical="center"/>
    </xf>
    <xf numFmtId="10" fontId="2" fillId="36" borderId="19" xfId="0" applyNumberFormat="1" applyFont="1" applyFill="1" applyBorder="1" applyAlignment="1">
      <alignment horizontal="center" vertical="center"/>
    </xf>
    <xf numFmtId="10" fontId="2" fillId="36" borderId="35" xfId="0" applyNumberFormat="1" applyFont="1" applyFill="1" applyBorder="1" applyAlignment="1">
      <alignment horizontal="center" vertical="center"/>
    </xf>
    <xf numFmtId="10" fontId="2" fillId="36" borderId="18" xfId="0" applyNumberFormat="1" applyFont="1" applyFill="1" applyBorder="1" applyAlignment="1">
      <alignment horizontal="center" vertical="center"/>
    </xf>
    <xf numFmtId="10" fontId="2" fillId="36" borderId="1" xfId="0" applyNumberFormat="1" applyFont="1" applyFill="1" applyBorder="1" applyAlignment="1">
      <alignment horizontal="center" vertical="center"/>
    </xf>
    <xf numFmtId="10" fontId="2" fillId="36" borderId="32" xfId="0" applyNumberFormat="1" applyFont="1" applyFill="1" applyBorder="1" applyAlignment="1">
      <alignment horizontal="center" vertical="center"/>
    </xf>
    <xf numFmtId="10" fontId="2" fillId="10" borderId="15" xfId="0" applyNumberFormat="1" applyFont="1" applyFill="1" applyBorder="1" applyAlignment="1">
      <alignment horizontal="center" vertical="center"/>
    </xf>
    <xf numFmtId="10" fontId="2" fillId="10" borderId="18" xfId="0" applyNumberFormat="1" applyFont="1" applyFill="1" applyBorder="1" applyAlignment="1">
      <alignment horizontal="center" vertical="center"/>
    </xf>
    <xf numFmtId="10" fontId="2" fillId="10" borderId="16" xfId="0" applyNumberFormat="1" applyFont="1" applyFill="1" applyBorder="1" applyAlignment="1">
      <alignment horizontal="center" vertical="center"/>
    </xf>
    <xf numFmtId="10" fontId="2" fillId="36" borderId="39" xfId="0" applyNumberFormat="1" applyFont="1" applyFill="1" applyBorder="1" applyAlignment="1">
      <alignment horizontal="center" vertical="center"/>
    </xf>
    <xf numFmtId="10" fontId="2" fillId="6" borderId="39" xfId="0" applyNumberFormat="1" applyFont="1" applyFill="1" applyBorder="1" applyAlignment="1">
      <alignment horizontal="center" vertical="center"/>
    </xf>
    <xf numFmtId="10" fontId="2" fillId="10" borderId="26" xfId="0" applyNumberFormat="1" applyFont="1" applyFill="1" applyBorder="1" applyAlignment="1">
      <alignment horizontal="center" vertical="center"/>
    </xf>
    <xf numFmtId="10" fontId="2" fillId="10" borderId="1" xfId="0" applyNumberFormat="1" applyFont="1" applyFill="1" applyBorder="1" applyAlignment="1">
      <alignment horizontal="center" vertical="center"/>
    </xf>
    <xf numFmtId="10" fontId="2" fillId="10" borderId="27" xfId="0" applyNumberFormat="1" applyFont="1" applyFill="1" applyBorder="1" applyAlignment="1">
      <alignment horizontal="center" vertical="center"/>
    </xf>
    <xf numFmtId="10" fontId="2" fillId="36" borderId="51" xfId="0" applyNumberFormat="1" applyFont="1" applyFill="1" applyBorder="1" applyAlignment="1">
      <alignment horizontal="center" vertical="center"/>
    </xf>
    <xf numFmtId="10" fontId="2" fillId="6" borderId="49" xfId="0" applyNumberFormat="1" applyFont="1" applyFill="1" applyBorder="1" applyAlignment="1">
      <alignment horizontal="center" vertical="center"/>
    </xf>
    <xf numFmtId="10" fontId="2" fillId="10" borderId="70" xfId="0" applyNumberFormat="1" applyFont="1" applyFill="1" applyBorder="1" applyAlignment="1">
      <alignment horizontal="center" vertical="center"/>
    </xf>
    <xf numFmtId="10" fontId="2" fillId="10" borderId="32" xfId="0" applyNumberFormat="1" applyFont="1" applyFill="1" applyBorder="1" applyAlignment="1">
      <alignment horizontal="center" vertical="center"/>
    </xf>
    <xf numFmtId="10" fontId="2" fillId="10" borderId="19" xfId="0" applyNumberFormat="1" applyFont="1" applyFill="1" applyBorder="1" applyAlignment="1">
      <alignment horizontal="center" vertical="center"/>
    </xf>
    <xf numFmtId="10" fontId="2" fillId="36" borderId="76" xfId="0" applyNumberFormat="1" applyFont="1" applyFill="1" applyBorder="1" applyAlignment="1">
      <alignment horizontal="center" vertical="center"/>
    </xf>
    <xf numFmtId="10" fontId="2" fillId="6" borderId="50" xfId="0" applyNumberFormat="1" applyFont="1" applyFill="1" applyBorder="1" applyAlignment="1">
      <alignment horizontal="center" vertical="center"/>
    </xf>
    <xf numFmtId="0" fontId="15" fillId="12" borderId="1" xfId="0" applyFont="1" applyFill="1" applyBorder="1" applyAlignment="1">
      <alignment horizontal="center" vertical="center" wrapText="1"/>
    </xf>
    <xf numFmtId="0" fontId="14" fillId="12" borderId="1" xfId="0" applyFont="1" applyFill="1" applyBorder="1" applyAlignment="1">
      <alignment horizontal="center" vertical="center"/>
    </xf>
    <xf numFmtId="14" fontId="11" fillId="12" borderId="1" xfId="0" applyNumberFormat="1" applyFont="1" applyFill="1" applyBorder="1" applyAlignment="1">
      <alignment horizontal="center" vertical="center"/>
    </xf>
    <xf numFmtId="0" fontId="11" fillId="12" borderId="1" xfId="0" applyFont="1" applyFill="1" applyBorder="1" applyAlignment="1">
      <alignment horizontal="center" vertical="center"/>
    </xf>
    <xf numFmtId="1" fontId="2" fillId="6" borderId="15" xfId="0" applyNumberFormat="1" applyFont="1" applyFill="1" applyBorder="1" applyAlignment="1">
      <alignment horizontal="center" vertical="center"/>
    </xf>
    <xf numFmtId="1" fontId="2" fillId="6" borderId="16" xfId="0" applyNumberFormat="1" applyFont="1" applyFill="1" applyBorder="1" applyAlignment="1">
      <alignment horizontal="center" vertical="center"/>
    </xf>
    <xf numFmtId="1" fontId="2" fillId="6" borderId="73" xfId="0" applyNumberFormat="1" applyFont="1" applyFill="1" applyBorder="1" applyAlignment="1">
      <alignment horizontal="center" vertical="center"/>
    </xf>
    <xf numFmtId="1" fontId="2" fillId="6" borderId="72" xfId="0" applyNumberFormat="1" applyFont="1" applyFill="1" applyBorder="1" applyAlignment="1">
      <alignment horizontal="center" vertical="center"/>
    </xf>
    <xf numFmtId="0" fontId="28" fillId="6" borderId="0" xfId="0" applyFont="1" applyFill="1" applyBorder="1" applyAlignment="1">
      <alignment vertical="center"/>
    </xf>
    <xf numFmtId="0" fontId="0" fillId="6" borderId="0" xfId="0" applyFill="1" applyBorder="1" applyAlignment="1">
      <alignment horizontal="center" vertical="center"/>
    </xf>
    <xf numFmtId="14" fontId="8" fillId="6" borderId="77" xfId="0" applyNumberFormat="1" applyFont="1" applyFill="1" applyBorder="1" applyAlignment="1">
      <alignment vertical="top" wrapText="1"/>
    </xf>
    <xf numFmtId="14" fontId="8" fillId="6" borderId="67" xfId="0" applyNumberFormat="1" applyFont="1" applyFill="1" applyBorder="1" applyAlignment="1">
      <alignment vertical="top" wrapText="1"/>
    </xf>
    <xf numFmtId="0" fontId="2" fillId="0" borderId="39" xfId="0" applyFont="1" applyBorder="1" applyAlignment="1">
      <alignment horizontal="left" wrapText="1"/>
    </xf>
    <xf numFmtId="0" fontId="2" fillId="0" borderId="79" xfId="0" applyFont="1" applyBorder="1" applyAlignment="1">
      <alignment horizontal="left" wrapText="1"/>
    </xf>
    <xf numFmtId="0" fontId="7" fillId="0" borderId="80" xfId="0" applyFont="1" applyBorder="1" applyAlignment="1">
      <alignment vertical="center" wrapText="1"/>
    </xf>
    <xf numFmtId="0" fontId="7" fillId="0" borderId="81" xfId="0" applyFont="1" applyBorder="1" applyAlignment="1">
      <alignment vertical="center" wrapText="1"/>
    </xf>
    <xf numFmtId="0" fontId="7" fillId="0" borderId="76" xfId="0" applyFont="1" applyBorder="1" applyAlignment="1">
      <alignment vertical="center" wrapText="1"/>
    </xf>
    <xf numFmtId="0" fontId="4" fillId="0" borderId="35" xfId="0" applyFont="1" applyBorder="1" applyAlignment="1">
      <alignment horizontal="center" vertical="top" wrapText="1"/>
    </xf>
    <xf numFmtId="0" fontId="28" fillId="0" borderId="52" xfId="0" applyFont="1" applyBorder="1" applyAlignment="1">
      <alignment horizontal="center"/>
    </xf>
    <xf numFmtId="0" fontId="52" fillId="7" borderId="0" xfId="0" applyFont="1" applyFill="1"/>
    <xf numFmtId="0" fontId="28" fillId="6" borderId="15" xfId="0" applyNumberFormat="1" applyFont="1" applyFill="1" applyBorder="1" applyAlignment="1">
      <alignment horizontal="center" vertical="top"/>
    </xf>
    <xf numFmtId="0" fontId="28" fillId="6" borderId="18" xfId="0" applyNumberFormat="1" applyFont="1" applyFill="1" applyBorder="1" applyAlignment="1">
      <alignment horizontal="center" vertical="top"/>
    </xf>
    <xf numFmtId="0" fontId="28" fillId="6" borderId="16" xfId="0" applyNumberFormat="1" applyFont="1" applyFill="1" applyBorder="1" applyAlignment="1">
      <alignment horizontal="center" vertical="top"/>
    </xf>
    <xf numFmtId="1" fontId="0" fillId="6" borderId="18" xfId="0" applyNumberFormat="1" applyFill="1" applyBorder="1" applyAlignment="1">
      <alignment horizontal="center" vertical="top"/>
    </xf>
    <xf numFmtId="1" fontId="0" fillId="6" borderId="16" xfId="0" applyNumberFormat="1" applyFill="1" applyBorder="1" applyAlignment="1">
      <alignment horizontal="center" vertical="top"/>
    </xf>
    <xf numFmtId="0" fontId="0" fillId="6" borderId="15" xfId="0" applyFill="1" applyBorder="1" applyAlignment="1">
      <alignment horizontal="center" vertical="top"/>
    </xf>
    <xf numFmtId="0" fontId="0" fillId="6" borderId="18" xfId="0" applyFill="1" applyBorder="1" applyAlignment="1">
      <alignment horizontal="center" vertical="top"/>
    </xf>
    <xf numFmtId="0" fontId="0" fillId="6" borderId="16" xfId="0" applyFill="1" applyBorder="1" applyAlignment="1">
      <alignment horizontal="center" vertical="top"/>
    </xf>
    <xf numFmtId="0" fontId="0" fillId="6" borderId="15" xfId="0" applyNumberFormat="1" applyFill="1" applyBorder="1" applyAlignment="1">
      <alignment horizontal="center" vertical="top"/>
    </xf>
    <xf numFmtId="0" fontId="0" fillId="6" borderId="18" xfId="0" applyNumberFormat="1" applyFill="1" applyBorder="1" applyAlignment="1">
      <alignment horizontal="center" vertical="top"/>
    </xf>
    <xf numFmtId="0" fontId="28" fillId="6" borderId="26" xfId="0" applyNumberFormat="1" applyFont="1" applyFill="1" applyBorder="1" applyAlignment="1">
      <alignment horizontal="center" vertical="top"/>
    </xf>
    <xf numFmtId="0" fontId="28" fillId="6" borderId="77" xfId="0" applyNumberFormat="1" applyFont="1" applyFill="1" applyBorder="1" applyAlignment="1">
      <alignment horizontal="center" vertical="top"/>
    </xf>
    <xf numFmtId="0" fontId="28" fillId="6" borderId="82" xfId="0" applyNumberFormat="1" applyFont="1" applyFill="1" applyBorder="1" applyAlignment="1">
      <alignment horizontal="center" vertical="top"/>
    </xf>
    <xf numFmtId="0" fontId="28" fillId="6" borderId="72" xfId="0" applyNumberFormat="1" applyFont="1" applyFill="1" applyBorder="1" applyAlignment="1">
      <alignment horizontal="center" vertical="top"/>
    </xf>
    <xf numFmtId="1" fontId="28" fillId="0" borderId="73" xfId="0" applyNumberFormat="1" applyFont="1" applyFill="1" applyBorder="1" applyAlignment="1">
      <alignment horizontal="center" vertical="top"/>
    </xf>
    <xf numFmtId="1" fontId="28" fillId="0" borderId="83" xfId="0" applyNumberFormat="1" applyFont="1" applyFill="1" applyBorder="1" applyAlignment="1">
      <alignment horizontal="center" vertical="top"/>
    </xf>
    <xf numFmtId="1" fontId="0" fillId="6" borderId="82" xfId="0" applyNumberFormat="1" applyFill="1" applyBorder="1" applyAlignment="1">
      <alignment horizontal="center" vertical="top"/>
    </xf>
    <xf numFmtId="1" fontId="0" fillId="6" borderId="72" xfId="0" applyNumberFormat="1" applyFill="1" applyBorder="1" applyAlignment="1">
      <alignment horizontal="center" vertical="top"/>
    </xf>
    <xf numFmtId="0" fontId="0" fillId="6" borderId="73" xfId="0" applyFill="1" applyBorder="1" applyAlignment="1">
      <alignment horizontal="center" vertical="top"/>
    </xf>
    <xf numFmtId="0" fontId="0" fillId="6" borderId="82" xfId="0" applyFill="1" applyBorder="1" applyAlignment="1">
      <alignment horizontal="center" vertical="top"/>
    </xf>
    <xf numFmtId="0" fontId="0" fillId="6" borderId="72" xfId="0" applyFill="1" applyBorder="1" applyAlignment="1">
      <alignment horizontal="center" vertical="top"/>
    </xf>
    <xf numFmtId="0" fontId="0" fillId="6" borderId="73" xfId="0" applyNumberFormat="1" applyFill="1" applyBorder="1" applyAlignment="1">
      <alignment horizontal="center" vertical="top"/>
    </xf>
    <xf numFmtId="0" fontId="0" fillId="6" borderId="82" xfId="0" applyNumberFormat="1" applyFill="1" applyBorder="1" applyAlignment="1">
      <alignment horizontal="center" vertical="top"/>
    </xf>
    <xf numFmtId="0" fontId="4" fillId="0" borderId="50" xfId="0" applyFont="1" applyFill="1" applyBorder="1" applyAlignment="1">
      <alignment horizontal="left" vertical="top" wrapText="1"/>
    </xf>
    <xf numFmtId="0" fontId="11" fillId="6" borderId="3" xfId="0" applyFont="1" applyFill="1" applyBorder="1" applyAlignment="1">
      <alignment horizontal="center" vertical="center" wrapText="1"/>
    </xf>
    <xf numFmtId="1" fontId="0" fillId="6" borderId="1" xfId="0" applyNumberFormat="1" applyFill="1" applyBorder="1" applyAlignment="1">
      <alignment horizontal="center" vertical="top"/>
    </xf>
    <xf numFmtId="1" fontId="0" fillId="6" borderId="32" xfId="0" applyNumberFormat="1" applyFill="1" applyBorder="1" applyAlignment="1">
      <alignment horizontal="center" vertical="top"/>
    </xf>
    <xf numFmtId="0" fontId="0" fillId="8" borderId="40" xfId="0" applyFont="1" applyFill="1" applyBorder="1" applyAlignment="1">
      <alignment horizontal="center" vertical="top" wrapText="1"/>
    </xf>
    <xf numFmtId="0" fontId="4" fillId="11" borderId="86" xfId="0" applyFont="1" applyFill="1" applyBorder="1" applyAlignment="1">
      <alignment horizontal="center" vertical="top" wrapText="1"/>
    </xf>
    <xf numFmtId="0" fontId="4" fillId="11" borderId="87" xfId="0" applyFont="1" applyFill="1" applyBorder="1" applyAlignment="1">
      <alignment horizontal="center" vertical="top" wrapText="1"/>
    </xf>
    <xf numFmtId="0" fontId="4" fillId="11" borderId="84" xfId="0" applyFont="1" applyFill="1" applyBorder="1" applyAlignment="1">
      <alignment horizontal="center" vertical="top" wrapText="1"/>
    </xf>
    <xf numFmtId="0" fontId="4" fillId="11" borderId="85" xfId="0" applyFont="1" applyFill="1" applyBorder="1" applyAlignment="1">
      <alignment horizontal="center" vertical="top" wrapText="1"/>
    </xf>
    <xf numFmtId="0" fontId="7" fillId="34" borderId="88" xfId="0" applyFont="1" applyFill="1" applyBorder="1" applyAlignment="1">
      <alignment horizontal="center" vertical="center" wrapText="1"/>
    </xf>
    <xf numFmtId="0" fontId="7" fillId="34" borderId="88" xfId="0" applyFont="1" applyFill="1" applyBorder="1" applyAlignment="1">
      <alignment horizontal="center" vertical="center"/>
    </xf>
    <xf numFmtId="0" fontId="4" fillId="0" borderId="88" xfId="48929" applyFont="1" applyFill="1" applyBorder="1" applyAlignment="1">
      <alignment horizontal="center" vertical="center" wrapText="1"/>
    </xf>
    <xf numFmtId="0" fontId="4" fillId="0" borderId="88" xfId="48929" applyFont="1" applyFill="1" applyBorder="1" applyAlignment="1">
      <alignment horizontal="left" vertical="center" wrapText="1"/>
    </xf>
    <xf numFmtId="0" fontId="4" fillId="0" borderId="88" xfId="0" applyFont="1" applyFill="1" applyBorder="1" applyAlignment="1">
      <alignment horizontal="center" vertical="center"/>
    </xf>
    <xf numFmtId="0" fontId="4" fillId="0" borderId="88" xfId="48929" applyFont="1" applyFill="1" applyBorder="1" applyAlignment="1">
      <alignment vertical="center" wrapText="1"/>
    </xf>
    <xf numFmtId="0" fontId="4" fillId="0" borderId="91" xfId="0" applyFont="1" applyBorder="1" applyAlignment="1">
      <alignment vertical="top" wrapText="1"/>
    </xf>
    <xf numFmtId="0" fontId="4" fillId="0" borderId="67" xfId="0" applyFont="1" applyBorder="1" applyAlignment="1">
      <alignment vertical="top" wrapText="1"/>
    </xf>
    <xf numFmtId="0" fontId="4" fillId="0" borderId="92" xfId="0" applyFont="1" applyBorder="1" applyAlignment="1">
      <alignment vertical="top" wrapText="1"/>
    </xf>
    <xf numFmtId="1" fontId="2" fillId="6" borderId="31" xfId="0" applyNumberFormat="1" applyFont="1" applyFill="1" applyBorder="1" applyAlignment="1">
      <alignment horizontal="center" vertical="center"/>
    </xf>
    <xf numFmtId="1" fontId="2" fillId="6" borderId="55" xfId="0" applyNumberFormat="1" applyFont="1" applyFill="1" applyBorder="1" applyAlignment="1">
      <alignment horizontal="center" vertical="center"/>
    </xf>
    <xf numFmtId="1" fontId="2" fillId="6" borderId="78" xfId="0" applyNumberFormat="1" applyFont="1" applyFill="1" applyBorder="1" applyAlignment="1">
      <alignment horizontal="center" vertical="center"/>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0" fontId="6" fillId="0" borderId="17" xfId="0" applyFont="1" applyBorder="1" applyAlignment="1">
      <alignment horizontal="center" vertical="center" wrapText="1"/>
    </xf>
    <xf numFmtId="0" fontId="13" fillId="0" borderId="95" xfId="0" applyFont="1" applyBorder="1" applyAlignment="1">
      <alignment horizontal="center"/>
    </xf>
    <xf numFmtId="0" fontId="4" fillId="0" borderId="96" xfId="0" applyFont="1" applyBorder="1" applyAlignment="1">
      <alignment vertical="top" wrapText="1"/>
    </xf>
    <xf numFmtId="10" fontId="2" fillId="6" borderId="51" xfId="0" applyNumberFormat="1" applyFont="1" applyFill="1" applyBorder="1" applyAlignment="1">
      <alignment horizontal="center" vertical="center"/>
    </xf>
    <xf numFmtId="0" fontId="13" fillId="0" borderId="93" xfId="0" applyFont="1" applyBorder="1" applyAlignment="1">
      <alignment horizontal="center"/>
    </xf>
    <xf numFmtId="0" fontId="4" fillId="0" borderId="94" xfId="0" applyFont="1" applyBorder="1" applyAlignment="1">
      <alignment vertical="top" wrapText="1"/>
    </xf>
    <xf numFmtId="10" fontId="2" fillId="6" borderId="76" xfId="0" applyNumberFormat="1" applyFont="1" applyFill="1" applyBorder="1" applyAlignment="1">
      <alignment horizontal="center" vertical="center"/>
    </xf>
    <xf numFmtId="0" fontId="11" fillId="6" borderId="88" xfId="0" applyFont="1" applyFill="1" applyBorder="1" applyAlignment="1">
      <alignment horizontal="center" vertical="center" wrapText="1"/>
    </xf>
    <xf numFmtId="0" fontId="28" fillId="0" borderId="88" xfId="0" applyNumberFormat="1" applyFont="1" applyFill="1" applyBorder="1" applyAlignment="1">
      <alignment horizontal="center" vertical="center"/>
    </xf>
    <xf numFmtId="10" fontId="28" fillId="6" borderId="88" xfId="0" applyNumberFormat="1" applyFont="1" applyFill="1" applyBorder="1" applyAlignment="1">
      <alignment horizontal="center" vertical="center"/>
    </xf>
    <xf numFmtId="0" fontId="28" fillId="0" borderId="18" xfId="0" applyNumberFormat="1" applyFont="1" applyFill="1" applyBorder="1" applyAlignment="1">
      <alignment horizontal="center" vertical="center"/>
    </xf>
    <xf numFmtId="10" fontId="28" fillId="6" borderId="89" xfId="0" applyNumberFormat="1" applyFont="1" applyFill="1" applyBorder="1" applyAlignment="1">
      <alignment horizontal="center" vertical="center"/>
    </xf>
    <xf numFmtId="10" fontId="28" fillId="6" borderId="91" xfId="0" applyNumberFormat="1" applyFont="1" applyFill="1" applyBorder="1" applyAlignment="1">
      <alignment horizontal="center" vertical="center"/>
    </xf>
    <xf numFmtId="10" fontId="28" fillId="6" borderId="97" xfId="0" applyNumberFormat="1" applyFont="1" applyFill="1" applyBorder="1" applyAlignment="1">
      <alignment horizontal="center" vertical="center"/>
    </xf>
    <xf numFmtId="0" fontId="28" fillId="0" borderId="97" xfId="0" applyNumberFormat="1" applyFont="1" applyFill="1" applyBorder="1" applyAlignment="1">
      <alignment horizontal="center" vertical="center"/>
    </xf>
    <xf numFmtId="0" fontId="28" fillId="36" borderId="31" xfId="0" applyNumberFormat="1" applyFont="1" applyFill="1" applyBorder="1" applyAlignment="1">
      <alignment horizontal="center" vertical="center"/>
    </xf>
    <xf numFmtId="0" fontId="28" fillId="36" borderId="4" xfId="0" applyNumberFormat="1" applyFont="1" applyFill="1" applyBorder="1" applyAlignment="1">
      <alignment horizontal="center" vertical="center"/>
    </xf>
    <xf numFmtId="0" fontId="28" fillId="36" borderId="92" xfId="0" applyNumberFormat="1" applyFont="1" applyFill="1" applyBorder="1" applyAlignment="1">
      <alignment horizontal="center" vertical="center"/>
    </xf>
    <xf numFmtId="0" fontId="11" fillId="6" borderId="4" xfId="0" applyFont="1" applyFill="1" applyBorder="1" applyAlignment="1">
      <alignment horizontal="center" vertical="center" wrapText="1"/>
    </xf>
    <xf numFmtId="0" fontId="12" fillId="38" borderId="99" xfId="0" applyFont="1" applyFill="1" applyBorder="1" applyAlignment="1">
      <alignment horizontal="center" vertical="center" wrapText="1"/>
    </xf>
    <xf numFmtId="0" fontId="14" fillId="38" borderId="100" xfId="0" applyFont="1" applyFill="1" applyBorder="1" applyAlignment="1">
      <alignment horizontal="center" vertical="center"/>
    </xf>
    <xf numFmtId="14" fontId="14" fillId="38" borderId="100" xfId="0" applyNumberFormat="1" applyFont="1" applyFill="1" applyBorder="1" applyAlignment="1">
      <alignment horizontal="center" vertical="center"/>
    </xf>
    <xf numFmtId="0" fontId="15" fillId="38" borderId="99" xfId="0" applyFont="1" applyFill="1" applyBorder="1" applyAlignment="1">
      <alignment horizontal="center" vertical="center"/>
    </xf>
    <xf numFmtId="14" fontId="14" fillId="10" borderId="100" xfId="0" applyNumberFormat="1" applyFont="1" applyFill="1" applyBorder="1" applyAlignment="1">
      <alignment horizontal="center" vertical="center"/>
    </xf>
    <xf numFmtId="0" fontId="14" fillId="38" borderId="101" xfId="0" applyFont="1" applyFill="1" applyBorder="1" applyAlignment="1">
      <alignment horizontal="center" vertical="center"/>
    </xf>
    <xf numFmtId="0" fontId="11" fillId="38" borderId="99" xfId="0" applyFont="1" applyFill="1" applyBorder="1" applyAlignment="1">
      <alignment horizontal="center" vertical="center"/>
    </xf>
    <xf numFmtId="0" fontId="11" fillId="38" borderId="101" xfId="0" applyFont="1" applyFill="1" applyBorder="1" applyAlignment="1">
      <alignment horizontal="center" vertical="center"/>
    </xf>
    <xf numFmtId="0" fontId="8" fillId="0" borderId="0" xfId="0" applyFont="1" applyFill="1" applyBorder="1" applyAlignment="1">
      <alignment horizontal="center"/>
    </xf>
    <xf numFmtId="0" fontId="51" fillId="0" borderId="0" xfId="1967" applyFont="1" applyFill="1" applyBorder="1" applyAlignment="1" applyProtection="1">
      <alignment vertical="center" wrapText="1"/>
    </xf>
    <xf numFmtId="0" fontId="51" fillId="0" borderId="0" xfId="1967" applyFont="1" applyFill="1" applyBorder="1" applyAlignment="1" applyProtection="1">
      <alignment horizontal="center" vertical="center"/>
    </xf>
    <xf numFmtId="49" fontId="51" fillId="0" borderId="0" xfId="1967" applyNumberFormat="1" applyFont="1" applyFill="1" applyBorder="1" applyAlignment="1" applyProtection="1">
      <alignment vertical="center" wrapText="1"/>
    </xf>
    <xf numFmtId="0" fontId="0" fillId="0" borderId="0" xfId="0" applyFill="1" applyBorder="1"/>
    <xf numFmtId="0" fontId="51" fillId="0" borderId="0" xfId="0" applyFont="1" applyFill="1" applyBorder="1" applyAlignment="1" applyProtection="1">
      <alignment vertical="center" wrapText="1"/>
    </xf>
    <xf numFmtId="0" fontId="51" fillId="0" borderId="0" xfId="0" applyFont="1" applyFill="1" applyBorder="1" applyAlignment="1" applyProtection="1">
      <alignment horizontal="center" vertical="center"/>
    </xf>
    <xf numFmtId="49" fontId="51" fillId="0" borderId="0" xfId="0" applyNumberFormat="1" applyFont="1" applyFill="1" applyBorder="1" applyAlignment="1" applyProtection="1">
      <alignment vertical="center" wrapText="1"/>
    </xf>
    <xf numFmtId="0" fontId="8" fillId="0" borderId="0" xfId="0" applyFont="1" applyAlignment="1">
      <alignment horizontal="center" vertical="center"/>
    </xf>
    <xf numFmtId="0" fontId="28" fillId="0" borderId="0" xfId="0" applyFont="1" applyAlignment="1">
      <alignment horizontal="center" vertical="center"/>
    </xf>
    <xf numFmtId="0" fontId="0" fillId="0" borderId="0" xfId="0" applyFill="1"/>
    <xf numFmtId="0" fontId="14" fillId="9" borderId="26" xfId="0" applyFont="1" applyFill="1" applyBorder="1" applyAlignment="1">
      <alignment horizontal="center" vertical="center" wrapText="1"/>
    </xf>
    <xf numFmtId="0" fontId="14" fillId="9" borderId="1" xfId="0" applyFont="1" applyFill="1" applyBorder="1" applyAlignment="1">
      <alignment horizontal="center" vertical="center" wrapText="1"/>
    </xf>
    <xf numFmtId="0" fontId="14" fillId="9" borderId="27" xfId="0" applyFont="1" applyFill="1" applyBorder="1" applyAlignment="1">
      <alignment horizontal="center" vertical="center" wrapText="1"/>
    </xf>
    <xf numFmtId="2" fontId="28" fillId="10" borderId="26" xfId="0" applyNumberFormat="1" applyFont="1" applyFill="1" applyBorder="1" applyAlignment="1">
      <alignment horizontal="center" vertical="center"/>
    </xf>
    <xf numFmtId="2" fontId="28" fillId="10" borderId="1" xfId="0" applyNumberFormat="1" applyFont="1" applyFill="1" applyBorder="1" applyAlignment="1">
      <alignment horizontal="center" vertical="center"/>
    </xf>
    <xf numFmtId="2" fontId="28" fillId="10" borderId="27" xfId="0" applyNumberFormat="1" applyFont="1" applyFill="1" applyBorder="1" applyAlignment="1">
      <alignment horizontal="center" vertical="center"/>
    </xf>
    <xf numFmtId="2" fontId="28" fillId="10" borderId="77" xfId="0" applyNumberFormat="1" applyFont="1" applyFill="1" applyBorder="1" applyAlignment="1">
      <alignment horizontal="center" vertical="center"/>
    </xf>
    <xf numFmtId="2" fontId="28" fillId="10" borderId="32" xfId="0" applyNumberFormat="1" applyFont="1" applyFill="1" applyBorder="1" applyAlignment="1">
      <alignment horizontal="center" vertical="center"/>
    </xf>
    <xf numFmtId="2" fontId="28" fillId="10" borderId="19" xfId="0" applyNumberFormat="1" applyFont="1" applyFill="1" applyBorder="1" applyAlignment="1">
      <alignment horizontal="center" vertical="center"/>
    </xf>
    <xf numFmtId="2" fontId="28" fillId="10" borderId="54" xfId="0" applyNumberFormat="1" applyFont="1" applyFill="1" applyBorder="1" applyAlignment="1">
      <alignment horizontal="center" vertical="center"/>
    </xf>
    <xf numFmtId="2" fontId="28" fillId="10" borderId="10" xfId="0" applyNumberFormat="1" applyFont="1" applyFill="1" applyBorder="1" applyAlignment="1">
      <alignment horizontal="center" vertical="center"/>
    </xf>
    <xf numFmtId="2" fontId="28" fillId="10" borderId="53" xfId="0" applyNumberFormat="1" applyFont="1" applyFill="1" applyBorder="1" applyAlignment="1">
      <alignment horizontal="center" vertical="center"/>
    </xf>
    <xf numFmtId="0" fontId="11" fillId="6" borderId="77" xfId="0" applyFont="1" applyFill="1" applyBorder="1" applyAlignment="1">
      <alignment horizontal="center" vertical="center" wrapText="1"/>
    </xf>
    <xf numFmtId="0" fontId="11" fillId="6" borderId="32" xfId="0" applyFont="1" applyFill="1" applyBorder="1" applyAlignment="1">
      <alignment horizontal="center" vertical="center" wrapText="1"/>
    </xf>
    <xf numFmtId="0" fontId="11" fillId="6" borderId="19" xfId="0" applyFont="1" applyFill="1" applyBorder="1" applyAlignment="1">
      <alignment horizontal="center" vertical="center" wrapText="1"/>
    </xf>
    <xf numFmtId="14" fontId="11" fillId="38" borderId="100" xfId="0" applyNumberFormat="1" applyFont="1" applyFill="1" applyBorder="1" applyAlignment="1">
      <alignment horizontal="center" vertical="center"/>
    </xf>
    <xf numFmtId="0" fontId="8" fillId="0" borderId="0" xfId="0" applyFont="1"/>
    <xf numFmtId="0" fontId="28" fillId="0" borderId="26" xfId="0" applyFont="1" applyFill="1" applyBorder="1" applyAlignment="1">
      <alignment horizontal="left" vertical="top" wrapText="1"/>
    </xf>
    <xf numFmtId="1" fontId="14" fillId="10" borderId="0" xfId="0" applyNumberFormat="1" applyFont="1" applyFill="1" applyBorder="1" applyAlignment="1">
      <alignment horizontal="center" vertical="center" wrapText="1"/>
    </xf>
    <xf numFmtId="0" fontId="8" fillId="0" borderId="28" xfId="0" applyFont="1" applyFill="1" applyBorder="1" applyAlignment="1">
      <alignment horizontal="center" vertical="top" wrapText="1"/>
    </xf>
    <xf numFmtId="0" fontId="11" fillId="6" borderId="17" xfId="0" applyFont="1" applyFill="1" applyBorder="1" applyAlignment="1">
      <alignment horizontal="center" vertical="center" wrapText="1"/>
    </xf>
    <xf numFmtId="0" fontId="14" fillId="6" borderId="28" xfId="0" applyFont="1" applyFill="1" applyBorder="1" applyAlignment="1">
      <alignment horizontal="center" vertical="center" wrapText="1"/>
    </xf>
    <xf numFmtId="0" fontId="14" fillId="6" borderId="68" xfId="0" applyFont="1" applyFill="1" applyBorder="1" applyAlignment="1">
      <alignment horizontal="center" vertical="center" wrapText="1"/>
    </xf>
    <xf numFmtId="0" fontId="11" fillId="0" borderId="15" xfId="0" applyFont="1" applyFill="1" applyBorder="1" applyAlignment="1">
      <alignment horizontal="center" vertical="center"/>
    </xf>
    <xf numFmtId="0" fontId="11" fillId="0" borderId="18" xfId="0" applyFont="1" applyFill="1" applyBorder="1" applyAlignment="1">
      <alignment horizontal="center" vertical="center"/>
    </xf>
    <xf numFmtId="0" fontId="11" fillId="0" borderId="16" xfId="0" applyFont="1" applyFill="1" applyBorder="1" applyAlignment="1">
      <alignment horizontal="center" vertical="center"/>
    </xf>
    <xf numFmtId="0" fontId="11" fillId="6" borderId="3" xfId="0" applyFont="1" applyFill="1" applyBorder="1" applyAlignment="1">
      <alignment horizontal="center" vertical="center" wrapText="1"/>
    </xf>
    <xf numFmtId="0" fontId="11" fillId="6" borderId="98" xfId="0" applyFont="1" applyFill="1" applyBorder="1" applyAlignment="1">
      <alignment horizontal="center" vertical="center" wrapText="1"/>
    </xf>
    <xf numFmtId="0" fontId="11" fillId="0" borderId="17" xfId="0" applyFont="1" applyBorder="1" applyAlignment="1">
      <alignment horizontal="center" vertical="center"/>
    </xf>
    <xf numFmtId="0" fontId="11" fillId="0" borderId="38" xfId="0" applyFont="1" applyBorder="1" applyAlignment="1">
      <alignment horizontal="center" vertical="center"/>
    </xf>
    <xf numFmtId="0" fontId="7" fillId="0" borderId="33" xfId="0" applyFont="1" applyBorder="1" applyAlignment="1">
      <alignment horizontal="center" vertical="center" wrapText="1"/>
    </xf>
    <xf numFmtId="0" fontId="7" fillId="0" borderId="18" xfId="0" applyFont="1" applyBorder="1" applyAlignment="1">
      <alignment horizontal="center" vertical="center" wrapText="1"/>
    </xf>
    <xf numFmtId="0" fontId="7" fillId="0" borderId="16" xfId="0" applyFont="1" applyBorder="1" applyAlignment="1">
      <alignment horizontal="center" vertical="center" wrapText="1"/>
    </xf>
    <xf numFmtId="0" fontId="7" fillId="0" borderId="15" xfId="0" applyFont="1" applyBorder="1" applyAlignment="1">
      <alignment horizontal="center" vertical="center" wrapText="1"/>
    </xf>
    <xf numFmtId="0" fontId="6" fillId="0" borderId="18" xfId="0" applyFont="1" applyBorder="1" applyAlignment="1">
      <alignment horizontal="center" vertical="center" wrapText="1"/>
    </xf>
    <xf numFmtId="0" fontId="6" fillId="0" borderId="16" xfId="0" applyFont="1" applyBorder="1" applyAlignment="1">
      <alignment horizontal="center" vertical="center" wrapText="1"/>
    </xf>
    <xf numFmtId="0" fontId="2" fillId="0" borderId="66" xfId="0" applyFont="1" applyBorder="1" applyAlignment="1">
      <alignment horizontal="center" vertical="center" wrapText="1"/>
    </xf>
    <xf numFmtId="0" fontId="2" fillId="0" borderId="48" xfId="0" applyFont="1" applyBorder="1" applyAlignment="1">
      <alignment horizontal="center" vertical="center" wrapText="1"/>
    </xf>
    <xf numFmtId="0" fontId="2" fillId="0" borderId="47" xfId="0" applyFont="1" applyBorder="1" applyAlignment="1">
      <alignment horizontal="center" vertical="center" wrapText="1"/>
    </xf>
    <xf numFmtId="0" fontId="7" fillId="0" borderId="38" xfId="0" applyFont="1" applyBorder="1" applyAlignment="1">
      <alignment horizontal="center" vertical="center" wrapText="1"/>
    </xf>
    <xf numFmtId="0" fontId="6" fillId="0" borderId="31"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29" xfId="0" applyFont="1" applyBorder="1" applyAlignment="1">
      <alignment horizontal="center" vertical="center" wrapText="1"/>
    </xf>
    <xf numFmtId="0" fontId="7" fillId="0" borderId="22" xfId="0" applyFont="1" applyBorder="1" applyAlignment="1">
      <alignment horizontal="center" vertical="center" wrapText="1"/>
    </xf>
    <xf numFmtId="0" fontId="6" fillId="0" borderId="15" xfId="0" applyFont="1" applyBorder="1" applyAlignment="1">
      <alignment horizontal="center" vertical="center" wrapText="1"/>
    </xf>
    <xf numFmtId="0" fontId="0" fillId="0" borderId="75" xfId="0" applyBorder="1" applyAlignment="1">
      <alignment horizontal="center" vertical="center"/>
    </xf>
    <xf numFmtId="0" fontId="0" fillId="0" borderId="0" xfId="0" applyAlignment="1">
      <alignment horizontal="center" vertical="center"/>
    </xf>
    <xf numFmtId="0" fontId="14" fillId="11" borderId="14" xfId="0" applyFont="1" applyFill="1" applyBorder="1" applyAlignment="1">
      <alignment horizontal="center" vertical="center"/>
    </xf>
    <xf numFmtId="14" fontId="11" fillId="6" borderId="15" xfId="0" applyNumberFormat="1" applyFont="1" applyFill="1" applyBorder="1" applyAlignment="1">
      <alignment horizontal="center" vertical="center" wrapText="1"/>
    </xf>
    <xf numFmtId="14" fontId="11" fillId="6" borderId="16" xfId="0" applyNumberFormat="1" applyFont="1" applyFill="1" applyBorder="1" applyAlignment="1">
      <alignment horizontal="center" vertical="center" wrapText="1"/>
    </xf>
    <xf numFmtId="14" fontId="11" fillId="6" borderId="36" xfId="0" applyNumberFormat="1" applyFont="1" applyFill="1" applyBorder="1" applyAlignment="1">
      <alignment horizontal="center" vertical="center" wrapText="1"/>
    </xf>
    <xf numFmtId="14" fontId="11" fillId="6" borderId="78" xfId="0" applyNumberFormat="1" applyFont="1" applyFill="1" applyBorder="1" applyAlignment="1">
      <alignment horizontal="center" vertical="center" wrapText="1"/>
    </xf>
    <xf numFmtId="14" fontId="11" fillId="6" borderId="77" xfId="0" applyNumberFormat="1" applyFont="1" applyFill="1" applyBorder="1" applyAlignment="1">
      <alignment horizontal="center" vertical="center" wrapText="1"/>
    </xf>
    <xf numFmtId="0" fontId="15" fillId="11" borderId="17" xfId="0" applyFont="1" applyFill="1" applyBorder="1" applyAlignment="1">
      <alignment horizontal="center" vertical="center" wrapText="1"/>
    </xf>
    <xf numFmtId="0" fontId="15" fillId="11" borderId="38" xfId="0" applyFont="1" applyFill="1" applyBorder="1" applyAlignment="1">
      <alignment horizontal="center" vertical="center" wrapText="1"/>
    </xf>
    <xf numFmtId="0" fontId="16" fillId="11" borderId="29" xfId="0" applyFont="1" applyFill="1" applyBorder="1" applyAlignment="1">
      <alignment horizontal="center" vertical="center" wrapText="1"/>
    </xf>
    <xf numFmtId="0" fontId="16" fillId="11" borderId="30" xfId="0" applyFont="1" applyFill="1" applyBorder="1" applyAlignment="1">
      <alignment horizontal="center" vertical="center" wrapText="1"/>
    </xf>
    <xf numFmtId="0" fontId="16" fillId="11" borderId="66" xfId="0" applyFont="1" applyFill="1" applyBorder="1" applyAlignment="1">
      <alignment horizontal="center" vertical="center" wrapText="1"/>
    </xf>
    <xf numFmtId="0" fontId="11" fillId="0" borderId="66" xfId="0" applyFont="1" applyBorder="1" applyAlignment="1">
      <alignment horizontal="center" vertical="center"/>
    </xf>
    <xf numFmtId="0" fontId="11" fillId="0" borderId="47" xfId="0" applyFont="1" applyBorder="1" applyAlignment="1">
      <alignment horizontal="center" vertical="center"/>
    </xf>
    <xf numFmtId="0" fontId="7" fillId="11" borderId="17" xfId="0" applyFont="1" applyFill="1" applyBorder="1" applyAlignment="1">
      <alignment horizontal="center" vertical="center" wrapText="1"/>
    </xf>
    <xf numFmtId="0" fontId="7" fillId="11" borderId="38" xfId="0" applyFont="1" applyFill="1" applyBorder="1" applyAlignment="1">
      <alignment horizontal="center" vertical="center" wrapText="1"/>
    </xf>
    <xf numFmtId="0" fontId="11" fillId="9" borderId="22" xfId="0" applyFont="1" applyFill="1" applyBorder="1" applyAlignment="1">
      <alignment horizontal="center" vertical="center" wrapText="1"/>
    </xf>
    <xf numFmtId="0" fontId="11" fillId="9" borderId="0" xfId="0" applyFont="1" applyFill="1" applyBorder="1" applyAlignment="1">
      <alignment horizontal="center" vertical="center" wrapText="1"/>
    </xf>
    <xf numFmtId="49" fontId="11" fillId="6" borderId="17" xfId="0" applyNumberFormat="1" applyFont="1" applyFill="1" applyBorder="1" applyAlignment="1">
      <alignment horizontal="center" vertical="center" wrapText="1"/>
    </xf>
    <xf numFmtId="49" fontId="11" fillId="6" borderId="69" xfId="0" applyNumberFormat="1" applyFont="1" applyFill="1" applyBorder="1" applyAlignment="1">
      <alignment horizontal="center" vertical="center" wrapText="1"/>
    </xf>
    <xf numFmtId="14" fontId="11" fillId="6" borderId="31" xfId="0" applyNumberFormat="1" applyFont="1" applyFill="1" applyBorder="1" applyAlignment="1">
      <alignment horizontal="center" vertical="center" wrapText="1"/>
    </xf>
    <xf numFmtId="14" fontId="11" fillId="6" borderId="34" xfId="0" applyNumberFormat="1" applyFont="1" applyFill="1" applyBorder="1" applyAlignment="1">
      <alignment horizontal="center" vertical="center" wrapText="1"/>
    </xf>
    <xf numFmtId="0" fontId="16" fillId="11" borderId="14" xfId="0" applyFont="1" applyFill="1" applyBorder="1" applyAlignment="1">
      <alignment horizontal="center" vertical="center" wrapText="1"/>
    </xf>
    <xf numFmtId="0" fontId="11" fillId="11" borderId="13" xfId="0" applyFont="1" applyFill="1" applyBorder="1" applyAlignment="1">
      <alignment horizontal="center" vertical="center" wrapText="1"/>
    </xf>
    <xf numFmtId="0" fontId="11" fillId="11" borderId="14" xfId="0" applyFont="1" applyFill="1" applyBorder="1" applyAlignment="1">
      <alignment horizontal="center" vertical="center" wrapText="1"/>
    </xf>
    <xf numFmtId="0" fontId="11" fillId="11" borderId="43" xfId="0" applyFont="1" applyFill="1" applyBorder="1" applyAlignment="1">
      <alignment horizontal="center" vertical="center" wrapText="1"/>
    </xf>
    <xf numFmtId="0" fontId="0" fillId="0" borderId="2" xfId="0" applyFont="1" applyBorder="1" applyAlignment="1">
      <alignment horizontal="center" vertical="center" wrapText="1"/>
    </xf>
    <xf numFmtId="0" fontId="0" fillId="0" borderId="9" xfId="0" applyFont="1" applyBorder="1" applyAlignment="1">
      <alignment horizontal="center" vertical="center" wrapText="1"/>
    </xf>
    <xf numFmtId="0" fontId="0" fillId="0" borderId="10" xfId="0" applyFont="1" applyBorder="1" applyAlignment="1">
      <alignment horizontal="center" vertical="center" wrapText="1"/>
    </xf>
    <xf numFmtId="0" fontId="2" fillId="2" borderId="2" xfId="48716" applyFont="1" applyFill="1" applyBorder="1" applyAlignment="1">
      <alignment horizontal="center" vertical="center" wrapText="1"/>
    </xf>
    <xf numFmtId="0" fontId="2" fillId="2" borderId="9" xfId="48716" applyFont="1" applyFill="1" applyBorder="1" applyAlignment="1">
      <alignment horizontal="center" vertical="center" wrapText="1"/>
    </xf>
    <xf numFmtId="0" fontId="2" fillId="2" borderId="10" xfId="48716" applyFont="1" applyFill="1" applyBorder="1" applyAlignment="1">
      <alignment horizontal="center" vertical="center" wrapText="1"/>
    </xf>
    <xf numFmtId="0" fontId="8" fillId="0" borderId="88" xfId="0" applyFont="1" applyBorder="1"/>
    <xf numFmtId="10" fontId="28" fillId="36" borderId="4" xfId="0" applyNumberFormat="1" applyFont="1" applyFill="1" applyBorder="1" applyAlignment="1">
      <alignment horizontal="center" vertical="center"/>
    </xf>
  </cellXfs>
  <cellStyles count="48931">
    <cellStyle name="0,0_x000d__x000a_NA_x000d__x000a_" xfId="151"/>
    <cellStyle name="0,0_x000d__x000a_NA_x000d__x000a_ 2" xfId="371"/>
    <cellStyle name="0,0_x000d__x000a_NA_x000d__x000a_ 2 2" xfId="182"/>
    <cellStyle name="0,0_x000d__x000a_NA_x000d__x000a_ 3" xfId="382"/>
    <cellStyle name="0,0_x000d__x000a_NA_x000d__x000a_ 4" xfId="389"/>
    <cellStyle name="0,0_x000d__x000a_NA_x000d__x000a_ 5" xfId="390"/>
    <cellStyle name="0,0_x000d__x000a_NA_x000d__x000a_ 6" xfId="391"/>
    <cellStyle name="20% - 强调文字颜色 1 2" xfId="6"/>
    <cellStyle name="20% - 强调文字颜色 1 2 2" xfId="395"/>
    <cellStyle name="20% - 强调文字颜色 1 2 2 2" xfId="67"/>
    <cellStyle name="20% - 强调文字颜色 1 2 2 3" xfId="171"/>
    <cellStyle name="20% - 强调文字颜色 1 2 3" xfId="252"/>
    <cellStyle name="20% - 强调文字颜色 1 2 3 2" xfId="351"/>
    <cellStyle name="20% - 强调文字颜色 1 2 3 3" xfId="402"/>
    <cellStyle name="20% - 强调文字颜色 1 2 4" xfId="418"/>
    <cellStyle name="20% - 强调文字颜色 1 2 4 2" xfId="325"/>
    <cellStyle name="20% - 强调文字颜色 1 2 4_副本EBMP-信息科技部应用开发项目程序投产需求清单-20130425-01" xfId="423"/>
    <cellStyle name="20% - 强调文字颜色 1 2 5" xfId="440"/>
    <cellStyle name="20% - 强调文字颜色 1 2 6" xfId="445"/>
    <cellStyle name="20% - 强调文字颜色 1 3" xfId="451"/>
    <cellStyle name="20% - 强调文字颜色 1 4" xfId="457"/>
    <cellStyle name="20% - 强调文字颜色 2 2" xfId="465"/>
    <cellStyle name="20% - 强调文字颜色 2 2 2" xfId="467"/>
    <cellStyle name="20% - 强调文字颜色 2 2 2 2" xfId="470"/>
    <cellStyle name="20% - 强调文字颜色 2 2 2 3" xfId="471"/>
    <cellStyle name="20% - 强调文字颜色 2 2 3" xfId="473"/>
    <cellStyle name="20% - 强调文字颜色 2 2 3 2" xfId="478"/>
    <cellStyle name="20% - 强调文字颜色 2 2 3 3" xfId="480"/>
    <cellStyle name="20% - 强调文字颜色 2 2 4" xfId="483"/>
    <cellStyle name="20% - 强调文字颜色 2 2 4 2" xfId="492"/>
    <cellStyle name="20% - 强调文字颜色 2 2 4_副本EBMP-信息科技部应用开发项目程序投产需求清单-20130425-01" xfId="297"/>
    <cellStyle name="20% - 强调文字颜色 2 2 5" xfId="496"/>
    <cellStyle name="20% - 强调文字颜色 2 2 6" xfId="501"/>
    <cellStyle name="20% - 强调文字颜色 2 3" xfId="519"/>
    <cellStyle name="20% - 强调文字颜色 2 4" xfId="528"/>
    <cellStyle name="20% - 强调文字颜色 3 2" xfId="540"/>
    <cellStyle name="20% - 强调文字颜色 3 2 2" xfId="542"/>
    <cellStyle name="20% - 强调文字颜色 3 2 2 2" xfId="546"/>
    <cellStyle name="20% - 强调文字颜色 3 2 2 3" xfId="550"/>
    <cellStyle name="20% - 强调文字颜色 3 2 3" xfId="553"/>
    <cellStyle name="20% - 强调文字颜色 3 2 3 2" xfId="556"/>
    <cellStyle name="20% - 强调文字颜色 3 2 3 3" xfId="24"/>
    <cellStyle name="20% - 强调文字颜色 3 2 4" xfId="564"/>
    <cellStyle name="20% - 强调文字颜色 3 2 4 2" xfId="566"/>
    <cellStyle name="20% - 强调文字颜色 3 2 4_副本EBMP-信息科技部应用开发项目程序投产需求清单-20130425-01" xfId="575"/>
    <cellStyle name="20% - 强调文字颜色 3 2 5" xfId="581"/>
    <cellStyle name="20% - 强调文字颜色 3 2 6" xfId="586"/>
    <cellStyle name="20% - 强调文字颜色 3 3" xfId="265"/>
    <cellStyle name="20% - 强调文字颜色 3 4" xfId="590"/>
    <cellStyle name="20% - 强调文字颜色 4 2" xfId="599"/>
    <cellStyle name="20% - 强调文字颜色 4 2 2" xfId="600"/>
    <cellStyle name="20% - 强调文字颜色 4 2 2 2" xfId="606"/>
    <cellStyle name="20% - 强调文字颜色 4 2 2 3" xfId="612"/>
    <cellStyle name="20% - 强调文字颜色 4 2 3" xfId="617"/>
    <cellStyle name="20% - 强调文字颜色 4 2 3 2" xfId="626"/>
    <cellStyle name="20% - 强调文字颜色 4 2 3 3" xfId="642"/>
    <cellStyle name="20% - 强调文字颜色 4 2 4" xfId="644"/>
    <cellStyle name="20% - 强调文字颜色 4 2 4 2" xfId="647"/>
    <cellStyle name="20% - 强调文字颜色 4 2 4_副本EBMP-信息科技部应用开发项目程序投产需求清单-20130425-01" xfId="656"/>
    <cellStyle name="20% - 强调文字颜色 4 2 5" xfId="660"/>
    <cellStyle name="20% - 强调文字颜色 4 2 6" xfId="662"/>
    <cellStyle name="20% - 强调文字颜色 4 3" xfId="666"/>
    <cellStyle name="20% - 强调文字颜色 4 4" xfId="671"/>
    <cellStyle name="20% - 强调文字颜色 5 2" xfId="672"/>
    <cellStyle name="20% - 强调文字颜色 5 2 2" xfId="675"/>
    <cellStyle name="20% - 强调文字颜色 5 2 2 2" xfId="681"/>
    <cellStyle name="20% - 强调文字颜色 5 2 2 3" xfId="683"/>
    <cellStyle name="20% - 强调文字颜色 5 2 3" xfId="687"/>
    <cellStyle name="20% - 强调文字颜色 5 2 3 2" xfId="690"/>
    <cellStyle name="20% - 强调文字颜色 5 2 3 3" xfId="157"/>
    <cellStyle name="20% - 强调文字颜色 5 2 4" xfId="697"/>
    <cellStyle name="20% - 强调文字颜色 5 2 4 2" xfId="700"/>
    <cellStyle name="20% - 强调文字颜色 5 2 4_副本EBMP-信息科技部应用开发项目程序投产需求清单-20130425-01" xfId="559"/>
    <cellStyle name="20% - 强调文字颜色 5 2 5" xfId="702"/>
    <cellStyle name="20% - 强调文字颜色 5 2 6" xfId="704"/>
    <cellStyle name="20% - 强调文字颜色 5 3" xfId="707"/>
    <cellStyle name="20% - 强调文字颜色 5 4" xfId="712"/>
    <cellStyle name="20% - 强调文字颜色 6 2" xfId="722"/>
    <cellStyle name="20% - 强调文字颜色 6 2 2" xfId="725"/>
    <cellStyle name="20% - 强调文字颜色 6 2 2 2" xfId="727"/>
    <cellStyle name="20% - 强调文字颜色 6 2 2 3" xfId="731"/>
    <cellStyle name="20% - 强调文字颜色 6 2 3" xfId="735"/>
    <cellStyle name="20% - 强调文字颜色 6 2 3 2" xfId="739"/>
    <cellStyle name="20% - 强调文字颜色 6 2 3 3" xfId="748"/>
    <cellStyle name="20% - 强调文字颜色 6 2 4" xfId="753"/>
    <cellStyle name="20% - 强调文字颜色 6 2 4 2" xfId="759"/>
    <cellStyle name="20% - 强调文字颜色 6 2 4_副本EBMP-信息科技部应用开发项目程序投产需求清单-20130425-01" xfId="760"/>
    <cellStyle name="20% - 强调文字颜色 6 2 5" xfId="698"/>
    <cellStyle name="20% - 强调文字颜色 6 2 6" xfId="761"/>
    <cellStyle name="20% - 强调文字颜色 6 3" xfId="770"/>
    <cellStyle name="20% - 强调文字颜色 6 4" xfId="777"/>
    <cellStyle name="40% - 强调文字颜色 1 2" xfId="779"/>
    <cellStyle name="40% - 强调文字颜色 1 2 2" xfId="793"/>
    <cellStyle name="40% - 强调文字颜色 1 2 2 2" xfId="794"/>
    <cellStyle name="40% - 强调文字颜色 1 2 2 3" xfId="798"/>
    <cellStyle name="40% - 强调文字颜色 1 2 3" xfId="799"/>
    <cellStyle name="40% - 强调文字颜色 1 2 3 2" xfId="497"/>
    <cellStyle name="40% - 强调文字颜色 1 2 3 3" xfId="800"/>
    <cellStyle name="40% - 强调文字颜色 1 2 4" xfId="802"/>
    <cellStyle name="40% - 强调文字颜色 1 2 4 2" xfId="27"/>
    <cellStyle name="40% - 强调文字颜色 1 2 4_副本EBMP-信息科技部应用开发项目程序投产需求清单-20130425-01" xfId="810"/>
    <cellStyle name="40% - 强调文字颜色 1 2 5" xfId="814"/>
    <cellStyle name="40% - 强调文字颜色 1 2 6" xfId="819"/>
    <cellStyle name="40% - 强调文字颜色 1 3" xfId="822"/>
    <cellStyle name="40% - 强调文字颜色 1 4" xfId="827"/>
    <cellStyle name="40% - 强调文字颜色 2 2" xfId="249"/>
    <cellStyle name="40% - 强调文字颜色 2 2 2" xfId="348"/>
    <cellStyle name="40% - 强调文字颜色 2 2 2 2" xfId="833"/>
    <cellStyle name="40% - 强调文字颜色 2 2 2 3" xfId="844"/>
    <cellStyle name="40% - 强调文字颜色 2 2 3" xfId="399"/>
    <cellStyle name="40% - 强调文字颜色 2 2 3 2" xfId="848"/>
    <cellStyle name="40% - 强调文字颜色 2 2 3 3" xfId="857"/>
    <cellStyle name="40% - 强调文字颜色 2 2 4" xfId="861"/>
    <cellStyle name="40% - 强调文字颜色 2 2 4 2" xfId="866"/>
    <cellStyle name="40% - 强调文字颜色 2 2 4_副本EBMP-信息科技部应用开发项目程序投产需求清单-20130425-01" xfId="868"/>
    <cellStyle name="40% - 强调文字颜色 2 2 5" xfId="875"/>
    <cellStyle name="40% - 强调文字颜色 2 2 6" xfId="881"/>
    <cellStyle name="40% - 强调文字颜色 2 3" xfId="412"/>
    <cellStyle name="40% - 强调文字颜色 2 4" xfId="435"/>
    <cellStyle name="40% - 强调文字颜色 3 2" xfId="884"/>
    <cellStyle name="40% - 强调文字颜色 3 2 2" xfId="885"/>
    <cellStyle name="40% - 强调文字颜色 3 2 2 2" xfId="897"/>
    <cellStyle name="40% - 强调文字颜色 3 2 2 3" xfId="903"/>
    <cellStyle name="40% - 强调文字颜色 3 2 3" xfId="904"/>
    <cellStyle name="40% - 强调文字颜色 3 2 3 2" xfId="652"/>
    <cellStyle name="40% - 强调文字颜色 3 2 3 3" xfId="917"/>
    <cellStyle name="40% - 强调文字颜色 3 2 4" xfId="891"/>
    <cellStyle name="40% - 强调文字颜色 3 2 4 2" xfId="930"/>
    <cellStyle name="40% - 强调文字颜色 3 2 4_副本EBMP-信息科技部应用开发项目程序投产需求清单-20130425-01" xfId="888"/>
    <cellStyle name="40% - 强调文字颜色 3 2 5" xfId="898"/>
    <cellStyle name="40% - 强调文字颜色 3 2 6" xfId="931"/>
    <cellStyle name="40% - 强调文字颜色 3 3" xfId="937"/>
    <cellStyle name="40% - 强调文字颜色 3 4" xfId="939"/>
    <cellStyle name="40% - 强调文字颜色 4 2" xfId="191"/>
    <cellStyle name="40% - 强调文字颜色 4 2 2" xfId="941"/>
    <cellStyle name="40% - 强调文字颜色 4 2 2 2" xfId="951"/>
    <cellStyle name="40% - 强调文字颜色 4 2 2 3" xfId="959"/>
    <cellStyle name="40% - 强调文字颜色 4 2 3" xfId="960"/>
    <cellStyle name="40% - 强调文字颜色 4 2 3 2" xfId="282"/>
    <cellStyle name="40% - 强调文字颜色 4 2 3 3" xfId="217"/>
    <cellStyle name="40% - 强调文字颜色 4 2 4" xfId="961"/>
    <cellStyle name="40% - 强调文字颜色 4 2 4 2" xfId="971"/>
    <cellStyle name="40% - 强调文字颜色 4 2 4_副本EBMP-信息科技部应用开发项目程序投产需求清单-20130425-01" xfId="972"/>
    <cellStyle name="40% - 强调文字颜色 4 2 5" xfId="977"/>
    <cellStyle name="40% - 强调文字颜色 4 2 6" xfId="980"/>
    <cellStyle name="40% - 强调文字颜色 4 3" xfId="982"/>
    <cellStyle name="40% - 强调文字颜色 4 4" xfId="723"/>
    <cellStyle name="40% - 强调文字颜色 5 2" xfId="985"/>
    <cellStyle name="40% - 强调文字颜色 5 2 2" xfId="990"/>
    <cellStyle name="40% - 强调文字颜色 5 2 2 2" xfId="993"/>
    <cellStyle name="40% - 强调文字颜色 5 2 2 3" xfId="997"/>
    <cellStyle name="40% - 强调文字颜色 5 2 3" xfId="1006"/>
    <cellStyle name="40% - 强调文字颜色 5 2 3 2" xfId="1015"/>
    <cellStyle name="40% - 强调文字颜色 5 2 3 3" xfId="1017"/>
    <cellStyle name="40% - 强调文字颜色 5 2 4" xfId="1034"/>
    <cellStyle name="40% - 强调文字颜色 5 2 4 2" xfId="1042"/>
    <cellStyle name="40% - 强调文字颜色 5 2 4_副本EBMP-信息科技部应用开发项目程序投产需求清单-20130425-01" xfId="1045"/>
    <cellStyle name="40% - 强调文字颜色 5 2 5" xfId="1053"/>
    <cellStyle name="40% - 强调文字颜色 5 2 6" xfId="1064"/>
    <cellStyle name="40% - 强调文字颜色 5 3" xfId="1066"/>
    <cellStyle name="40% - 强调文字颜色 5 4" xfId="1072"/>
    <cellStyle name="40% - 强调文字颜色 6 2" xfId="1076"/>
    <cellStyle name="40% - 强调文字颜色 6 2 2" xfId="1082"/>
    <cellStyle name="40% - 强调文字颜色 6 2 2 2" xfId="1085"/>
    <cellStyle name="40% - 强调文字颜色 6 2 2 3" xfId="790"/>
    <cellStyle name="40% - 强调文字颜色 6 2 3" xfId="1087"/>
    <cellStyle name="40% - 强调文字颜色 6 2 3 2" xfId="1092"/>
    <cellStyle name="40% - 强调文字颜色 6 2 3 3" xfId="1095"/>
    <cellStyle name="40% - 强调文字颜色 6 2 4" xfId="1099"/>
    <cellStyle name="40% - 强调文字颜色 6 2 4 2" xfId="1101"/>
    <cellStyle name="40% - 强调文字颜色 6 2 4_副本EBMP-信息科技部应用开发项目程序投产需求清单-20130425-01" xfId="1102"/>
    <cellStyle name="40% - 强调文字颜色 6 2 5" xfId="1107"/>
    <cellStyle name="40% - 强调文字颜色 6 2 6" xfId="1108"/>
    <cellStyle name="40% - 强调文字颜色 6 3" xfId="1113"/>
    <cellStyle name="40% - 强调文字颜色 6 4" xfId="1127"/>
    <cellStyle name="60% - 强调文字颜色 1 2" xfId="587"/>
    <cellStyle name="60% - 强调文字颜色 1 2 2" xfId="1134"/>
    <cellStyle name="60% - 强调文字颜色 1 2 2 2" xfId="1140"/>
    <cellStyle name="60% - 强调文字颜色 1 2 2 3" xfId="1145"/>
    <cellStyle name="60% - 强调文字颜色 1 2 2 4" xfId="1161"/>
    <cellStyle name="60% - 强调文字颜色 1 2 2_副本EBMP-信息科技部应用开发项目程序投产需求清单-20130425-01" xfId="1016"/>
    <cellStyle name="60% - 强调文字颜色 1 2 3" xfId="1167"/>
    <cellStyle name="60% - 强调文字颜色 1 2 4" xfId="618"/>
    <cellStyle name="60% - 强调文字颜色 1 2 5" xfId="636"/>
    <cellStyle name="60% - 强调文字颜色 1 3" xfId="1168"/>
    <cellStyle name="60% - 强调文字颜色 1 4" xfId="476"/>
    <cellStyle name="60% - 强调文字颜色 2 2" xfId="667"/>
    <cellStyle name="60% - 强调文字颜色 2 2 2" xfId="120"/>
    <cellStyle name="60% - 强调文字颜色 2 2 2 2" xfId="141"/>
    <cellStyle name="60% - 强调文字颜色 2 2 2 3" xfId="161"/>
    <cellStyle name="60% - 强调文字颜色 2 2 2 4" xfId="104"/>
    <cellStyle name="60% - 强调文字颜色 2 2 2_副本EBMP-信息科技部应用开发项目程序投产需求清单-20130425-01" xfId="305"/>
    <cellStyle name="60% - 强调文字颜色 2 2 3" xfId="1172"/>
    <cellStyle name="60% - 强调文字颜色 2 2 4" xfId="1179"/>
    <cellStyle name="60% - 强调文字颜色 2 2 5" xfId="1187"/>
    <cellStyle name="60% - 强调文字颜色 2 3" xfId="90"/>
    <cellStyle name="60% - 强调文字颜色 2 4" xfId="487"/>
    <cellStyle name="60% - 强调文字颜色 3 2" xfId="708"/>
    <cellStyle name="60% - 强调文字颜色 3 2 2" xfId="1197"/>
    <cellStyle name="60% - 强调文字颜色 3 2 2 2" xfId="502"/>
    <cellStyle name="60% - 强调文字颜色 3 2 2 3" xfId="521"/>
    <cellStyle name="60% - 强调文字颜色 3 2 2 4" xfId="1202"/>
    <cellStyle name="60% - 强调文字颜色 3 2 2_副本EBMP-信息科技部应用开发项目程序投产需求清单-20130425-01" xfId="615"/>
    <cellStyle name="60% - 强调文字颜色 3 2 3" xfId="1218"/>
    <cellStyle name="60% - 强调文字颜色 3 2 4" xfId="1226"/>
    <cellStyle name="60% - 强调文字颜色 3 2 5" xfId="1239"/>
    <cellStyle name="60% - 强调文字颜色 3 3" xfId="1246"/>
    <cellStyle name="60% - 强调文字颜色 3 4" xfId="1248"/>
    <cellStyle name="60% - 强调文字颜色 4 2" xfId="773"/>
    <cellStyle name="60% - 强调文字颜色 4 2 2" xfId="1122"/>
    <cellStyle name="60% - 强调文字颜色 4 2 2 2" xfId="76"/>
    <cellStyle name="60% - 强调文字颜色 4 2 2 3" xfId="1259"/>
    <cellStyle name="60% - 强调文字颜色 4 2 2 4" xfId="1264"/>
    <cellStyle name="60% - 强调文字颜色 4 2 2_副本EBMP-信息科技部应用开发项目程序投产需求清单-20130425-01" xfId="1275"/>
    <cellStyle name="60% - 强调文字颜色 4 2 3" xfId="226"/>
    <cellStyle name="60% - 强调文字颜色 4 2 4" xfId="1282"/>
    <cellStyle name="60% - 强调文字颜色 4 2 5" xfId="1294"/>
    <cellStyle name="60% - 强调文字颜色 4 3" xfId="987"/>
    <cellStyle name="60% - 强调文字颜色 4 4" xfId="999"/>
    <cellStyle name="60% - 强调文字颜色 5 2" xfId="836"/>
    <cellStyle name="60% - 强调文字颜色 5 2 2" xfId="1153"/>
    <cellStyle name="60% - 强调文字颜色 5 2 2 2" xfId="338"/>
    <cellStyle name="60% - 强调文字颜色 5 2 2 3" xfId="355"/>
    <cellStyle name="60% - 强调文字颜色 5 2 2 4" xfId="1302"/>
    <cellStyle name="60% - 强调文字颜色 5 2 2_副本EBMP-信息科技部应用开发项目程序投产需求清单-20130425-01" xfId="21"/>
    <cellStyle name="60% - 强调文字颜色 5 2 3" xfId="1317"/>
    <cellStyle name="60% - 强调文字颜色 5 2 4" xfId="1321"/>
    <cellStyle name="60% - 强调文字颜色 5 2 5" xfId="1325"/>
    <cellStyle name="60% - 强调文字颜色 5 3" xfId="1327"/>
    <cellStyle name="60% - 强调文字颜色 5 4" xfId="1330"/>
    <cellStyle name="60% - 强调文字颜色 6 2" xfId="851"/>
    <cellStyle name="60% - 强调文字颜色 6 2 2" xfId="1349"/>
    <cellStyle name="60% - 强调文字颜色 6 2 2 2" xfId="432"/>
    <cellStyle name="60% - 强调文字颜色 6 2 2 3" xfId="441"/>
    <cellStyle name="60% - 强调文字颜色 6 2 2 4" xfId="1355"/>
    <cellStyle name="60% - 强调文字颜色 6 2 2_副本EBMP-信息科技部应用开发项目程序投产需求清单-20130425-01" xfId="1358"/>
    <cellStyle name="60% - 强调文字颜色 6 2 3" xfId="1364"/>
    <cellStyle name="60% - 强调文字颜色 6 2 4" xfId="717"/>
    <cellStyle name="60% - 强调文字颜色 6 2 5" xfId="765"/>
    <cellStyle name="60% - 强调文字颜色 6 3" xfId="1368"/>
    <cellStyle name="60% - 强调文字颜色 6 4" xfId="1375"/>
    <cellStyle name="ContentsHyperlink" xfId="1376"/>
    <cellStyle name="Normal 10" xfId="1381"/>
    <cellStyle name="Normal 11" xfId="1390"/>
    <cellStyle name="Normal 12" xfId="1398"/>
    <cellStyle name="Normal 13" xfId="179"/>
    <cellStyle name="Normal 14" xfId="1406"/>
    <cellStyle name="Normal 15" xfId="1079"/>
    <cellStyle name="Normal 16" xfId="1116"/>
    <cellStyle name="Normal 17" xfId="1130"/>
    <cellStyle name="Normal 18" xfId="230"/>
    <cellStyle name="Normal 19" xfId="1286"/>
    <cellStyle name="Normal 2" xfId="1417"/>
    <cellStyle name="Normal 2 2" xfId="1419"/>
    <cellStyle name="Normal 2 2 2" xfId="1425"/>
    <cellStyle name="Normal 2 3" xfId="1429"/>
    <cellStyle name="Normal 2 4" xfId="1435"/>
    <cellStyle name="Normal 20" xfId="1080"/>
    <cellStyle name="Normal 21" xfId="1117"/>
    <cellStyle name="Normal 22" xfId="1131"/>
    <cellStyle name="Normal 23" xfId="231"/>
    <cellStyle name="Normal 24" xfId="1287"/>
    <cellStyle name="Normal 25" xfId="1297"/>
    <cellStyle name="Normal 26" xfId="1356"/>
    <cellStyle name="Normal 27" xfId="886"/>
    <cellStyle name="Normal 28" xfId="905"/>
    <cellStyle name="Normal 29" xfId="893"/>
    <cellStyle name="Normal 3" xfId="1439"/>
    <cellStyle name="Normal 30" xfId="1298"/>
    <cellStyle name="Normal 31" xfId="1357"/>
    <cellStyle name="Normal 32" xfId="887"/>
    <cellStyle name="Normal 33" xfId="906"/>
    <cellStyle name="Normal 34" xfId="894"/>
    <cellStyle name="Normal 35" xfId="901"/>
    <cellStyle name="Normal 36" xfId="933"/>
    <cellStyle name="Normal 37" xfId="469"/>
    <cellStyle name="Normal 38" xfId="475"/>
    <cellStyle name="Normal 39" xfId="486"/>
    <cellStyle name="Normal 4" xfId="1442"/>
    <cellStyle name="Normal 40" xfId="902"/>
    <cellStyle name="Normal 5" xfId="1446"/>
    <cellStyle name="Normal 6" xfId="1449"/>
    <cellStyle name="Normal 7" xfId="845"/>
    <cellStyle name="Normal 8" xfId="849"/>
    <cellStyle name="Normal 9" xfId="1366"/>
    <cellStyle name="s]_x000d__x000a_load=_x000d__x000a_run=_x000d__x000a_NullPort=None_x000d__x000a_device=HP LaserJet 4 Plus,HPPCL5MS,LPT1:_x000d__x000a__x000d__x000a_[Desktop]_x000d__x000a_Wallpaper=(无)_x000d__x000a_TileWallpaper=0_x000d_" xfId="1451"/>
    <cellStyle name="s]_x000d__x000a_load=_x000d__x000a_run=_x000d__x000a_NullPort=None_x000d__x000a_device=HP LaserJet 4 Plus,HPPCL5MS,LPT1:_x000d__x000a__x000d__x000a_[Desktop]_x000d__x000a_Wallpaper=(无)_x000d__x000a_TileWallpaper=0_x000d_ 2" xfId="1455"/>
    <cellStyle name="s]_x000d__x000a_load=_x000d__x000a_run=_x000d__x000a_NullPort=None_x000d__x000a_device=HP LaserJet 4 Plus,HPPCL5MS,LPT1:_x000d__x000a__x000d__x000a_[Desktop]_x000d__x000a_Wallpaper=(无)_x000d__x000a_TileWallpaper=0_x000d_ 2 2" xfId="1384"/>
    <cellStyle name="s]_x000d__x000a_load=_x000d__x000a_run=_x000d__x000a_NullPort=None_x000d__x000a_device=HP LaserJet 4 Plus,HPPCL5MS,LPT1:_x000d__x000a__x000d__x000a_[Desktop]_x000d__x000a_Wallpaper=(无)_x000d__x000a_TileWallpaper=0_x000d_ 2 2 2" xfId="1456"/>
    <cellStyle name="s]_x000d__x000a_load=_x000d__x000a_run=_x000d__x000a_NullPort=None_x000d__x000a_device=HP LaserJet 4 Plus,HPPCL5MS,LPT1:_x000d__x000a__x000d__x000a_[Desktop]_x000d__x000a_Wallpaper=(无)_x000d__x000a_TileWallpaper=0_x000d_ 2 2 2 2" xfId="685"/>
    <cellStyle name="s]_x000d__x000a_load=_x000d__x000a_run=_x000d__x000a_NullPort=None_x000d__x000a_device=HP LaserJet 4 Plus,HPPCL5MS,LPT1:_x000d__x000a__x000d__x000a_[Desktop]_x000d__x000a_Wallpaper=(无)_x000d__x000a_TileWallpaper=0_x000d_ 2 2 2 3" xfId="695"/>
    <cellStyle name="s]_x000d__x000a_load=_x000d__x000a_run=_x000d__x000a_NullPort=None_x000d__x000a_device=HP LaserJet 4 Plus,HPPCL5MS,LPT1:_x000d__x000a__x000d__x000a_[Desktop]_x000d__x000a_Wallpaper=(无)_x000d__x000a_TileWallpaper=0_x000d_ 2 2 3" xfId="1457"/>
    <cellStyle name="s]_x000d__x000a_load=_x000d__x000a_run=_x000d__x000a_NullPort=None_x000d__x000a_device=HP LaserJet 4 Plus,HPPCL5MS,LPT1:_x000d__x000a__x000d__x000a_[Desktop]_x000d__x000a_Wallpaper=(无)_x000d__x000a_TileWallpaper=0_x000d_ 2 2 3 2" xfId="130"/>
    <cellStyle name="s]_x000d__x000a_load=_x000d__x000a_run=_x000d__x000a_NullPort=None_x000d__x000a_device=HP LaserJet 4 Plus,HPPCL5MS,LPT1:_x000d__x000a__x000d__x000a_[Desktop]_x000d__x000a_Wallpaper=(无)_x000d__x000a_TileWallpaper=0_x000d_ 2 2 3 3" xfId="140"/>
    <cellStyle name="s]_x000d__x000a_load=_x000d__x000a_run=_x000d__x000a_NullPort=None_x000d__x000a_device=HP LaserJet 4 Plus,HPPCL5MS,LPT1:_x000d__x000a__x000d__x000a_[Desktop]_x000d__x000a_Wallpaper=(无)_x000d__x000a_TileWallpaper=0_x000d_ 2 2 4" xfId="1423"/>
    <cellStyle name="s]_x000d__x000a_load=_x000d__x000a_run=_x000d__x000a_NullPort=None_x000d__x000a_device=HP LaserJet 4 Plus,HPPCL5MS,LPT1:_x000d__x000a__x000d__x000a_[Desktop]_x000d__x000a_Wallpaper=(无)_x000d__x000a_TileWallpaper=0_x000d_ 2 2 5" xfId="1460"/>
    <cellStyle name="s]_x000d__x000a_load=_x000d__x000a_run=_x000d__x000a_NullPort=None_x000d__x000a_device=HP LaserJet 4 Plus,HPPCL5MS,LPT1:_x000d__x000a__x000d__x000a_[Desktop]_x000d__x000a_Wallpaper=(无)_x000d__x000a_TileWallpaper=0_x000d_ 2 2_Sheet2" xfId="1468"/>
    <cellStyle name="s]_x000d__x000a_load=_x000d__x000a_run=_x000d__x000a_NullPort=None_x000d__x000a_device=HP LaserJet 4 Plus,HPPCL5MS,LPT1:_x000d__x000a__x000d__x000a_[Desktop]_x000d__x000a_Wallpaper=(无)_x000d__x000a_TileWallpaper=0_x000d_ 2 3" xfId="1395"/>
    <cellStyle name="s]_x000d__x000a_load=_x000d__x000a_run=_x000d__x000a_NullPort=None_x000d__x000a_device=HP LaserJet 4 Plus,HPPCL5MS,LPT1:_x000d__x000a__x000d__x000a_[Desktop]_x000d__x000a_Wallpaper=(无)_x000d__x000a_TileWallpaper=0_x000d_ 2 3 2" xfId="1476"/>
    <cellStyle name="s]_x000d__x000a_load=_x000d__x000a_run=_x000d__x000a_NullPort=None_x000d__x000a_device=HP LaserJet 4 Plus,HPPCL5MS,LPT1:_x000d__x000a__x000d__x000a_[Desktop]_x000d__x000a_Wallpaper=(无)_x000d__x000a_TileWallpaper=0_x000d_ 2 3 2 2" xfId="733"/>
    <cellStyle name="s]_x000d__x000a_load=_x000d__x000a_run=_x000d__x000a_NullPort=None_x000d__x000a_device=HP LaserJet 4 Plus,HPPCL5MS,LPT1:_x000d__x000a__x000d__x000a_[Desktop]_x000d__x000a_Wallpaper=(无)_x000d__x000a_TileWallpaper=0_x000d_ 2 3 2 3" xfId="752"/>
    <cellStyle name="s]_x000d__x000a_load=_x000d__x000a_run=_x000d__x000a_NullPort=None_x000d__x000a_device=HP LaserJet 4 Plus,HPPCL5MS,LPT1:_x000d__x000a__x000d__x000a_[Desktop]_x000d__x000a_Wallpaper=(无)_x000d__x000a_TileWallpaper=0_x000d_ 2 3 3" xfId="1481"/>
    <cellStyle name="s]_x000d__x000a_load=_x000d__x000a_run=_x000d__x000a_NullPort=None_x000d__x000a_device=HP LaserJet 4 Plus,HPPCL5MS,LPT1:_x000d__x000a__x000d__x000a_[Desktop]_x000d__x000a_Wallpaper=(无)_x000d__x000a_TileWallpaper=0_x000d_ 2 3 3 2" xfId="1485"/>
    <cellStyle name="s]_x000d__x000a_load=_x000d__x000a_run=_x000d__x000a_NullPort=None_x000d__x000a_device=HP LaserJet 4 Plus,HPPCL5MS,LPT1:_x000d__x000a__x000d__x000a_[Desktop]_x000d__x000a_Wallpaper=(无)_x000d__x000a_TileWallpaper=0_x000d_ 2 3 3 3" xfId="1492"/>
    <cellStyle name="s]_x000d__x000a_load=_x000d__x000a_run=_x000d__x000a_NullPort=None_x000d__x000a_device=HP LaserJet 4 Plus,HPPCL5MS,LPT1:_x000d__x000a__x000d__x000a_[Desktop]_x000d__x000a_Wallpaper=(无)_x000d__x000a_TileWallpaper=0_x000d_ 2 3 4" xfId="1501"/>
    <cellStyle name="s]_x000d__x000a_load=_x000d__x000a_run=_x000d__x000a_NullPort=None_x000d__x000a_device=HP LaserJet 4 Plus,HPPCL5MS,LPT1:_x000d__x000a__x000d__x000a_[Desktop]_x000d__x000a_Wallpaper=(无)_x000d__x000a_TileWallpaper=0_x000d_ 2 3 5" xfId="949"/>
    <cellStyle name="s]_x000d__x000a_load=_x000d__x000a_run=_x000d__x000a_NullPort=None_x000d__x000a_device=HP LaserJet 4 Plus,HPPCL5MS,LPT1:_x000d__x000a__x000d__x000a_[Desktop]_x000d__x000a_Wallpaper=(无)_x000d__x000a_TileWallpaper=0_x000d_ 2 4" xfId="177"/>
    <cellStyle name="s]_x000d__x000a_load=_x000d__x000a_run=_x000d__x000a_NullPort=None_x000d__x000a_device=HP LaserJet 4 Plus,HPPCL5MS,LPT1:_x000d__x000a__x000d__x000a_[Desktop]_x000d__x000a_Wallpaper=(无)_x000d__x000a_TileWallpaper=0_x000d_ 2 4 2" xfId="813"/>
    <cellStyle name="s]_x000d__x000a_load=_x000d__x000a_run=_x000d__x000a_NullPort=None_x000d__x000a_device=HP LaserJet 4 Plus,HPPCL5MS,LPT1:_x000d__x000a__x000d__x000a_[Desktop]_x000d__x000a_Wallpaper=(无)_x000d__x000a_TileWallpaper=0_x000d_ 2 4_Sheet2" xfId="1503"/>
    <cellStyle name="s]_x000d__x000a_load=_x000d__x000a_run=_x000d__x000a_NullPort=None_x000d__x000a_device=HP LaserJet 4 Plus,HPPCL5MS,LPT1:_x000d__x000a__x000d__x000a_[Desktop]_x000d__x000a_Wallpaper=(无)_x000d__x000a_TileWallpaper=0_x000d_ 2 5" xfId="1403"/>
    <cellStyle name="s]_x000d__x000a_load=_x000d__x000a_run=_x000d__x000a_NullPort=None_x000d__x000a_device=HP LaserJet 4 Plus,HPPCL5MS,LPT1:_x000d__x000a__x000d__x000a_[Desktop]_x000d__x000a_Wallpaper=(无)_x000d__x000a_TileWallpaper=0_x000d_ 3" xfId="1505"/>
    <cellStyle name="s]_x000d__x000a_load=_x000d__x000a_run=_x000d__x000a_NullPort=None_x000d__x000a_device=HP LaserJet 4 Plus,HPPCL5MS,LPT1:_x000d__x000a__x000d__x000a_[Desktop]_x000d__x000a_Wallpaper=(无)_x000d__x000a_TileWallpaper=0_x000d_ 4" xfId="1510"/>
    <cellStyle name="百分比 2" xfId="1515"/>
    <cellStyle name="百分比 3" xfId="1519"/>
    <cellStyle name="标题 1 2" xfId="1521"/>
    <cellStyle name="标题 1 2 2" xfId="1257"/>
    <cellStyle name="标题 1 2 2 2" xfId="1523"/>
    <cellStyle name="标题 1 2 2 3" xfId="1525"/>
    <cellStyle name="标题 1 2 2 4" xfId="187"/>
    <cellStyle name="标题 1 2 2_副本EBMP-信息科技部应用开发项目程序投产需求清单-20130425-01" xfId="924"/>
    <cellStyle name="标题 1 2 3" xfId="1262"/>
    <cellStyle name="标题 1 2 4" xfId="544"/>
    <cellStyle name="标题 1 2 5" xfId="548"/>
    <cellStyle name="标题 1 2 6" xfId="1194"/>
    <cellStyle name="标题 1 2 7" xfId="1214"/>
    <cellStyle name="标题 1 2 8" xfId="1224"/>
    <cellStyle name="标题 1 2 9" xfId="1237"/>
    <cellStyle name="标题 1 3" xfId="1527"/>
    <cellStyle name="标题 1 4" xfId="1529"/>
    <cellStyle name="标题 2 2" xfId="361"/>
    <cellStyle name="标题 2 2 2" xfId="174"/>
    <cellStyle name="标题 2 2 2 2" xfId="812"/>
    <cellStyle name="标题 2 2 2 3" xfId="818"/>
    <cellStyle name="标题 2 2 2 4" xfId="1533"/>
    <cellStyle name="标题 2 2 2_副本EBMP-信息科技部应用开发项目程序投产需求清单-20130425-01" xfId="603"/>
    <cellStyle name="标题 2 2 3" xfId="1401"/>
    <cellStyle name="标题 2 2 4" xfId="1074"/>
    <cellStyle name="标题 2 2 5" xfId="1110"/>
    <cellStyle name="标题 2 2 6" xfId="1119"/>
    <cellStyle name="标题 2 2 7" xfId="224"/>
    <cellStyle name="标题 2 2 8" xfId="1278"/>
    <cellStyle name="标题 2 2 9" xfId="1288"/>
    <cellStyle name="标题 2 3" xfId="373"/>
    <cellStyle name="标题 2 4" xfId="386"/>
    <cellStyle name="标题 3 2" xfId="1538"/>
    <cellStyle name="标题 3 2 2" xfId="1541"/>
    <cellStyle name="标题 3 2 2 2" xfId="1548"/>
    <cellStyle name="标题 3 2 2 2 2" xfId="911"/>
    <cellStyle name="标题 3 2 2 2 2 2" xfId="1551"/>
    <cellStyle name="标题 3 2 2 2 2 2 2" xfId="1300"/>
    <cellStyle name="标题 3 2 2 2 2 2 2 2" xfId="1554"/>
    <cellStyle name="标题 3 2 2 2 3" xfId="1558"/>
    <cellStyle name="标题 3 2 2 2 4" xfId="1561"/>
    <cellStyle name="标题 3 2 2 3" xfId="1571"/>
    <cellStyle name="标题 3 2 2 4" xfId="1579"/>
    <cellStyle name="标题 3 2 2_副本EBMP-信息科技部应用开发项目程序投产需求清单-20130425-01" xfId="1580"/>
    <cellStyle name="标题 3 2 3" xfId="1582"/>
    <cellStyle name="标题 3 2 3 2" xfId="1590"/>
    <cellStyle name="标题 3 2 3 2 2" xfId="314"/>
    <cellStyle name="标题 3 2 3 2 2 2" xfId="190"/>
    <cellStyle name="标题 3 2 4" xfId="1136"/>
    <cellStyle name="标题 3 2 5" xfId="1144"/>
    <cellStyle name="标题 3 2 6" xfId="1151"/>
    <cellStyle name="标题 3 2 7" xfId="1305"/>
    <cellStyle name="标题 3 2 8" xfId="1318"/>
    <cellStyle name="标题 3 2 9" xfId="1322"/>
    <cellStyle name="标题 3 3" xfId="1592"/>
    <cellStyle name="标题 3 4" xfId="1595"/>
    <cellStyle name="标题 4 2" xfId="1324"/>
    <cellStyle name="标题 4 2 2" xfId="1597"/>
    <cellStyle name="标题 4 2 2 2" xfId="1604"/>
    <cellStyle name="标题 4 2 2 3" xfId="1612"/>
    <cellStyle name="标题 4 2 2 4" xfId="115"/>
    <cellStyle name="标题 4 2 2_副本EBMP-信息科技部应用开发项目程序投产需求清单-20130425-01" xfId="1624"/>
    <cellStyle name="标题 4 2 3" xfId="1630"/>
    <cellStyle name="标题 4 2 4" xfId="1638"/>
    <cellStyle name="标题 4 2 5" xfId="1647"/>
    <cellStyle name="标题 4 2 6" xfId="1346"/>
    <cellStyle name="标题 4 2 7" xfId="1362"/>
    <cellStyle name="标题 4 2 8" xfId="716"/>
    <cellStyle name="标题 4 2 9" xfId="764"/>
    <cellStyle name="标题 4 3" xfId="1648"/>
    <cellStyle name="标题 4 4" xfId="940"/>
    <cellStyle name="标题 5" xfId="63"/>
    <cellStyle name="标题 5 2" xfId="1649"/>
    <cellStyle name="标题 5 2 2" xfId="1651"/>
    <cellStyle name="标题 5 2 3" xfId="1620"/>
    <cellStyle name="标题 5 2 4" xfId="58"/>
    <cellStyle name="标题 5 2_副本EBMP-信息科技部应用开发项目程序投产需求清单-20130425-01" xfId="331"/>
    <cellStyle name="标题 5 3" xfId="1652"/>
    <cellStyle name="标题 5 4" xfId="286"/>
    <cellStyle name="标题 5 5" xfId="300"/>
    <cellStyle name="标题 5 6" xfId="40"/>
    <cellStyle name="标题 5 7" xfId="318"/>
    <cellStyle name="标题 5 8" xfId="329"/>
    <cellStyle name="标题 5 9" xfId="353"/>
    <cellStyle name="标题 6" xfId="170"/>
    <cellStyle name="标题 7" xfId="1653"/>
    <cellStyle name="标题 8" xfId="1657"/>
    <cellStyle name="差 2" xfId="1659"/>
    <cellStyle name="差 2 2" xfId="1660"/>
    <cellStyle name="差 2 2 2" xfId="1666"/>
    <cellStyle name="差 2 2 3" xfId="1673"/>
    <cellStyle name="差 2 2 4" xfId="1688"/>
    <cellStyle name="差 2 2_副本EBMP-信息科技部应用开发项目程序投产需求清单-20130425-01" xfId="1691"/>
    <cellStyle name="差 2 3" xfId="1694"/>
    <cellStyle name="差 2 4" xfId="1662"/>
    <cellStyle name="差 2 5" xfId="1668"/>
    <cellStyle name="差 3" xfId="1697"/>
    <cellStyle name="差 4" xfId="1512"/>
    <cellStyle name="差_Sheet2" xfId="1059"/>
    <cellStyle name="差_过程问题再现统计表" xfId="1700"/>
    <cellStyle name="常规" xfId="0" builtinId="0"/>
    <cellStyle name="常规 10" xfId="1701"/>
    <cellStyle name="常规 10 2" xfId="1656"/>
    <cellStyle name="常规 10 2 2" xfId="1706"/>
    <cellStyle name="常规 10 2_Sheet2" xfId="1707"/>
    <cellStyle name="常规 10 3" xfId="1708"/>
    <cellStyle name="常规 10 3 2" xfId="1710"/>
    <cellStyle name="常规 10 3_Sheet2" xfId="221"/>
    <cellStyle name="常规 10 4" xfId="1712"/>
    <cellStyle name="常规 100" xfId="1715"/>
    <cellStyle name="常规 101" xfId="420"/>
    <cellStyle name="常规 102" xfId="1717"/>
    <cellStyle name="常规 103" xfId="1720"/>
    <cellStyle name="常规 104" xfId="1724"/>
    <cellStyle name="常规 105" xfId="1474"/>
    <cellStyle name="常规 106" xfId="1479"/>
    <cellStyle name="常规 107" xfId="1495"/>
    <cellStyle name="常规 108" xfId="944"/>
    <cellStyle name="常规 109" xfId="954"/>
    <cellStyle name="常规 11" xfId="1731"/>
    <cellStyle name="常规 11 2" xfId="872"/>
    <cellStyle name="常规 11 2 2" xfId="1733"/>
    <cellStyle name="常规 11 2 2 2" xfId="1736"/>
    <cellStyle name="常规 11 2 2_Sheet2" xfId="1211"/>
    <cellStyle name="常规 11 2 3" xfId="1265"/>
    <cellStyle name="常规 11 2 4" xfId="804"/>
    <cellStyle name="常规 11 2_Sheet2" xfId="918"/>
    <cellStyle name="常规 11 3" xfId="879"/>
    <cellStyle name="常规 11 3 2" xfId="1738"/>
    <cellStyle name="常规 11 3_Sheet2" xfId="291"/>
    <cellStyle name="常规 11 4" xfId="392"/>
    <cellStyle name="常规 11 5" xfId="247"/>
    <cellStyle name="常规 11 6" xfId="405"/>
    <cellStyle name="常规 11_Sheet2" xfId="1742"/>
    <cellStyle name="常规 110" xfId="1475"/>
    <cellStyle name="常规 111" xfId="1480"/>
    <cellStyle name="常规 112" xfId="1496"/>
    <cellStyle name="常规 113" xfId="945"/>
    <cellStyle name="常规 114" xfId="955"/>
    <cellStyle name="常规 115" xfId="1413"/>
    <cellStyle name="常规 116" xfId="1437"/>
    <cellStyle name="常规 117" xfId="1441"/>
    <cellStyle name="常规 118" xfId="1445"/>
    <cellStyle name="常规 119" xfId="1448"/>
    <cellStyle name="常规 12" xfId="1744"/>
    <cellStyle name="常规 12 2" xfId="1747"/>
    <cellStyle name="常规 12 2 2" xfId="101"/>
    <cellStyle name="常规 12 2_Sheet2" xfId="1354"/>
    <cellStyle name="常规 12 3" xfId="1750"/>
    <cellStyle name="常规 12 4" xfId="1757"/>
    <cellStyle name="常规 12 5" xfId="883"/>
    <cellStyle name="常规 12_Sheet2" xfId="1758"/>
    <cellStyle name="常规 120" xfId="1412"/>
    <cellStyle name="常规 121" xfId="1436"/>
    <cellStyle name="常规 122" xfId="1440"/>
    <cellStyle name="常规 123" xfId="1444"/>
    <cellStyle name="常规 124" xfId="1447"/>
    <cellStyle name="常规 125" xfId="1763"/>
    <cellStyle name="常规 126" xfId="1768"/>
    <cellStyle name="常规 127" xfId="1774"/>
    <cellStyle name="常规 128" xfId="1778"/>
    <cellStyle name="常规 129" xfId="1782"/>
    <cellStyle name="常规 13" xfId="1787"/>
    <cellStyle name="常规 13 2" xfId="1683"/>
    <cellStyle name="常规 13 2 2" xfId="1790"/>
    <cellStyle name="常规 13 2_Sheet2" xfId="1794"/>
    <cellStyle name="常规 13 3" xfId="1802"/>
    <cellStyle name="常规 13 4" xfId="1809"/>
    <cellStyle name="常规 13 5" xfId="192"/>
    <cellStyle name="常规 13_Sheet2" xfId="1813"/>
    <cellStyle name="常规 130" xfId="1762"/>
    <cellStyle name="常规 131" xfId="1767"/>
    <cellStyle name="常规 132" xfId="1773"/>
    <cellStyle name="常规 133" xfId="1777"/>
    <cellStyle name="常规 134" xfId="1781"/>
    <cellStyle name="常规 135" xfId="1815"/>
    <cellStyle name="常规 136" xfId="1819"/>
    <cellStyle name="常规 137" xfId="1821"/>
    <cellStyle name="常规 138" xfId="1823"/>
    <cellStyle name="常规 139" xfId="48930"/>
    <cellStyle name="常规 14" xfId="1828"/>
    <cellStyle name="常规 14 2" xfId="1832"/>
    <cellStyle name="常规 14 2 2" xfId="1834"/>
    <cellStyle name="常规 14 2_Sheet2" xfId="1836"/>
    <cellStyle name="常规 14 3" xfId="1843"/>
    <cellStyle name="常规 14 3 2" xfId="1844"/>
    <cellStyle name="常规 14 3_Sheet2" xfId="1847"/>
    <cellStyle name="常规 14 4" xfId="1848"/>
    <cellStyle name="常规 14 4 2" xfId="1849"/>
    <cellStyle name="常规 14 4_Sheet2" xfId="1850"/>
    <cellStyle name="常规 14 5" xfId="1851"/>
    <cellStyle name="常规 14 6" xfId="1852"/>
    <cellStyle name="常规 14 7" xfId="1853"/>
    <cellStyle name="常规 14_Sheet2" xfId="1854"/>
    <cellStyle name="常规 15" xfId="1870"/>
    <cellStyle name="常规 15 2" xfId="1394"/>
    <cellStyle name="常规 15 3" xfId="176"/>
    <cellStyle name="常规 15 4" xfId="1402"/>
    <cellStyle name="常规 15 5" xfId="1871"/>
    <cellStyle name="常规 15_Sheet2" xfId="1875"/>
    <cellStyle name="常规 16" xfId="1881"/>
    <cellStyle name="常规 16 2" xfId="1882"/>
    <cellStyle name="常规 16 2 2" xfId="1658"/>
    <cellStyle name="常规 16 2_Sheet2" xfId="1885"/>
    <cellStyle name="常规 16 3" xfId="1886"/>
    <cellStyle name="常规 16 4" xfId="1887"/>
    <cellStyle name="常规 16 5" xfId="1888"/>
    <cellStyle name="常规 16 6" xfId="1889"/>
    <cellStyle name="常规 16 7" xfId="1890"/>
    <cellStyle name="常规 16_Sheet2" xfId="1900"/>
    <cellStyle name="常规 17" xfId="1909"/>
    <cellStyle name="常规 17 2" xfId="1911"/>
    <cellStyle name="常规 17 2 2" xfId="1912"/>
    <cellStyle name="常规 17 2_Sheet2" xfId="1915"/>
    <cellStyle name="常规 17 3" xfId="1917"/>
    <cellStyle name="常规 17 4" xfId="1919"/>
    <cellStyle name="常规 17 5" xfId="1922"/>
    <cellStyle name="常规 17_Sheet2" xfId="1924"/>
    <cellStyle name="常规 18" xfId="1928"/>
    <cellStyle name="常规 18 2" xfId="1931"/>
    <cellStyle name="常规 18 3" xfId="1936"/>
    <cellStyle name="常规 18_Sheet2" xfId="1943"/>
    <cellStyle name="常规 19" xfId="1950"/>
    <cellStyle name="常规 19 2" xfId="1955"/>
    <cellStyle name="常规 19 3" xfId="1962"/>
    <cellStyle name="常规 19_Sheet2" xfId="1964"/>
    <cellStyle name="常规 2" xfId="1967"/>
    <cellStyle name="常规 2 2" xfId="1975"/>
    <cellStyle name="常规 2 2 2" xfId="1979"/>
    <cellStyle name="常规 2 2 2 2" xfId="1988"/>
    <cellStyle name="常规 2 2 2 2 2" xfId="1997"/>
    <cellStyle name="常规 2 2 2 2 3" xfId="2004"/>
    <cellStyle name="常规 2 2 2 2 4" xfId="2011"/>
    <cellStyle name="常规 2 2 2 3" xfId="2021"/>
    <cellStyle name="常规 2 2 2 3 2" xfId="2029"/>
    <cellStyle name="常规 2 2 2 3 2 2" xfId="2034"/>
    <cellStyle name="常规 2 2 2 3 2_Sheet2" xfId="2040"/>
    <cellStyle name="常规 2 2 2 3 3" xfId="2047"/>
    <cellStyle name="常规 2 2 2 4" xfId="281"/>
    <cellStyle name="常规 2 2 2 5" xfId="215"/>
    <cellStyle name="常规 2 2 2 6" xfId="306"/>
    <cellStyle name="常规 2 2 3" xfId="2056"/>
    <cellStyle name="常规 2 2 3 2" xfId="2067"/>
    <cellStyle name="常规 2 2 3 2 2" xfId="2076"/>
    <cellStyle name="常规 2 2 3 2 3" xfId="2083"/>
    <cellStyle name="常规 2 2 3 3" xfId="2096"/>
    <cellStyle name="常规 2 2 3 3 2" xfId="2098"/>
    <cellStyle name="常规 2 2 3 4" xfId="970"/>
    <cellStyle name="常规 2 2 3 5" xfId="2105"/>
    <cellStyle name="常规 2 2 3 6" xfId="2106"/>
    <cellStyle name="常规 2 2 3_Sheet2" xfId="2109"/>
    <cellStyle name="常规 2 2 4" xfId="2113"/>
    <cellStyle name="常规 2 2 4 2" xfId="2124"/>
    <cellStyle name="常规 2 2 4_副本EBMP-信息科技部应用开发项目程序投产需求清单-20130425-01" xfId="2128"/>
    <cellStyle name="常规 2 2 5" xfId="2133"/>
    <cellStyle name="常规 2 2 6" xfId="2151"/>
    <cellStyle name="常规 2 2 7" xfId="2156"/>
    <cellStyle name="常规 2 2 8" xfId="2158"/>
    <cellStyle name="常规 2 3" xfId="2159"/>
    <cellStyle name="常规 2 3 10" xfId="2161"/>
    <cellStyle name="常规 2 3 2" xfId="2163"/>
    <cellStyle name="常规 2 3 2 2" xfId="2170"/>
    <cellStyle name="常规 2 3 2_Sheet2" xfId="354"/>
    <cellStyle name="常规 2 3 3" xfId="2175"/>
    <cellStyle name="常规 2 3 4" xfId="2180"/>
    <cellStyle name="常规 2 3 5" xfId="2189"/>
    <cellStyle name="常规 2 3 6" xfId="2195"/>
    <cellStyle name="常规 2 3 7" xfId="2198"/>
    <cellStyle name="常规 2 3 8" xfId="2199"/>
    <cellStyle name="常规 2 3 9" xfId="2200"/>
    <cellStyle name="常规 2 3_Sheet2" xfId="2201"/>
    <cellStyle name="常规 2 4" xfId="2204"/>
    <cellStyle name="常规 2 4 2" xfId="2207"/>
    <cellStyle name="常规 2 4 3" xfId="2214"/>
    <cellStyle name="常规 2 4_Sheet2" xfId="2216"/>
    <cellStyle name="常规 2 5" xfId="2219"/>
    <cellStyle name="常规 2 6" xfId="2223"/>
    <cellStyle name="常规 2 7" xfId="2227"/>
    <cellStyle name="常规 2 8" xfId="2232"/>
    <cellStyle name="常规 2 9" xfId="2234"/>
    <cellStyle name="常规 2_Sheet2" xfId="2237"/>
    <cellStyle name="常规 20" xfId="1869"/>
    <cellStyle name="常规 20 2" xfId="1393"/>
    <cellStyle name="常规 20 3" xfId="175"/>
    <cellStyle name="常规 20_Sheet2" xfId="1874"/>
    <cellStyle name="常规 21" xfId="1880"/>
    <cellStyle name="常规 22" xfId="1908"/>
    <cellStyle name="常规 23" xfId="1927"/>
    <cellStyle name="常规 24" xfId="1949"/>
    <cellStyle name="常规 25" xfId="2241"/>
    <cellStyle name="常规 26" xfId="2245"/>
    <cellStyle name="常规 27" xfId="2249"/>
    <cellStyle name="常规 28" xfId="2255"/>
    <cellStyle name="常规 29" xfId="2262"/>
    <cellStyle name="常规 3" xfId="2273"/>
    <cellStyle name="常规 3 10" xfId="2274"/>
    <cellStyle name="常规 3 11" xfId="2276"/>
    <cellStyle name="常规 3 2" xfId="2282"/>
    <cellStyle name="常规 3 2 10" xfId="2285"/>
    <cellStyle name="常规 3 2 10 2" xfId="2288"/>
    <cellStyle name="常规 3 2 10 2 2" xfId="2292"/>
    <cellStyle name="常规 3 2 10 2 3" xfId="2299"/>
    <cellStyle name="常规 3 2 10 2_Sheet2" xfId="2300"/>
    <cellStyle name="常规 3 2 10 3" xfId="2304"/>
    <cellStyle name="常规 3 2 10 3 2" xfId="2311"/>
    <cellStyle name="常规 3 2 10 3_Sheet2" xfId="2315"/>
    <cellStyle name="常规 3 2 10 4" xfId="2318"/>
    <cellStyle name="常规 3 2 10 5" xfId="2330"/>
    <cellStyle name="常规 3 2 10_Sheet2" xfId="2331"/>
    <cellStyle name="常规 3 2 11" xfId="2335"/>
    <cellStyle name="常规 3 2 11 2" xfId="2343"/>
    <cellStyle name="常规 3 2 11 2 2" xfId="2349"/>
    <cellStyle name="常规 3 2 11 2 3" xfId="2354"/>
    <cellStyle name="常规 3 2 11 2_Sheet2" xfId="2358"/>
    <cellStyle name="常规 3 2 11 3" xfId="2362"/>
    <cellStyle name="常规 3 2 11 3 2" xfId="2368"/>
    <cellStyle name="常规 3 2 11 3_Sheet2" xfId="2369"/>
    <cellStyle name="常规 3 2 11 4" xfId="2375"/>
    <cellStyle name="常规 3 2 11 5" xfId="2381"/>
    <cellStyle name="常规 3 2 11_Sheet2" xfId="2382"/>
    <cellStyle name="常规 3 2 12" xfId="1195"/>
    <cellStyle name="常规 3 2 12 2" xfId="503"/>
    <cellStyle name="常规 3 2 12 2 2" xfId="2384"/>
    <cellStyle name="常规 3 2 12 2 3" xfId="2390"/>
    <cellStyle name="常规 3 2 12 2_Sheet2" xfId="2395"/>
    <cellStyle name="常规 3 2 12 3" xfId="522"/>
    <cellStyle name="常规 3 2 12 3 2" xfId="2400"/>
    <cellStyle name="常规 3 2 12 3_Sheet2" xfId="2401"/>
    <cellStyle name="常规 3 2 12 4" xfId="1203"/>
    <cellStyle name="常规 3 2 12 5" xfId="2403"/>
    <cellStyle name="常规 3 2 12_Sheet2" xfId="2404"/>
    <cellStyle name="常规 3 2 13" xfId="1216"/>
    <cellStyle name="常规 3 2 13 2" xfId="1937"/>
    <cellStyle name="常规 3 2 13 2 2" xfId="2408"/>
    <cellStyle name="常规 3 2 13 2 3" xfId="1301"/>
    <cellStyle name="常规 3 2 13 2_Sheet2" xfId="2409"/>
    <cellStyle name="常规 3 2 13 3" xfId="2411"/>
    <cellStyle name="常规 3 2 13 3 2" xfId="2418"/>
    <cellStyle name="常规 3 2 13 3_Sheet2" xfId="2420"/>
    <cellStyle name="常规 3 2 13 4" xfId="2422"/>
    <cellStyle name="常规 3 2 13 5" xfId="2424"/>
    <cellStyle name="常规 3 2 13_Sheet2" xfId="1073"/>
    <cellStyle name="常规 3 2 14" xfId="1227"/>
    <cellStyle name="常规 3 2 14 2" xfId="2425"/>
    <cellStyle name="常规 3 2 14 2 2" xfId="2428"/>
    <cellStyle name="常规 3 2 14 2 3" xfId="2430"/>
    <cellStyle name="常规 3 2 14 2_Sheet2" xfId="2431"/>
    <cellStyle name="常规 3 2 14 3" xfId="2434"/>
    <cellStyle name="常规 3 2 14 3 2" xfId="2441"/>
    <cellStyle name="常规 3 2 14 3_Sheet2" xfId="2449"/>
    <cellStyle name="常规 3 2 14 4" xfId="2451"/>
    <cellStyle name="常规 3 2 14 5" xfId="2453"/>
    <cellStyle name="常规 3 2 14_Sheet2" xfId="2455"/>
    <cellStyle name="常规 3 2 15" xfId="1241"/>
    <cellStyle name="常规 3 2 15 2" xfId="2456"/>
    <cellStyle name="常规 3 2 15 2 2" xfId="2458"/>
    <cellStyle name="常规 3 2 15 2 3" xfId="2461"/>
    <cellStyle name="常规 3 2 15 2_Sheet2" xfId="2463"/>
    <cellStyle name="常规 3 2 15 3" xfId="2464"/>
    <cellStyle name="常规 3 2 15 3 2" xfId="2466"/>
    <cellStyle name="常规 3 2 15 3_Sheet2" xfId="2470"/>
    <cellStyle name="常规 3 2 15 4" xfId="2471"/>
    <cellStyle name="常规 3 2 15 5" xfId="2473"/>
    <cellStyle name="常规 3 2 15_Sheet2" xfId="2475"/>
    <cellStyle name="常规 3 2 16" xfId="2477"/>
    <cellStyle name="常规 3 2 16 2" xfId="2481"/>
    <cellStyle name="常规 3 2 16 2 2" xfId="2485"/>
    <cellStyle name="常规 3 2 16 2 3" xfId="2487"/>
    <cellStyle name="常规 3 2 16 2_Sheet2" xfId="2491"/>
    <cellStyle name="常规 3 2 16 3" xfId="2496"/>
    <cellStyle name="常规 3 2 16 3 2" xfId="2499"/>
    <cellStyle name="常规 3 2 16 3_Sheet2" xfId="2501"/>
    <cellStyle name="常规 3 2 16 4" xfId="2507"/>
    <cellStyle name="常规 3 2 16 5" xfId="2511"/>
    <cellStyle name="常规 3 2 16_Sheet2" xfId="2512"/>
    <cellStyle name="常规 3 2 17" xfId="347"/>
    <cellStyle name="常规 3 2 17 2" xfId="832"/>
    <cellStyle name="常规 3 2 17 3" xfId="843"/>
    <cellStyle name="常规 3 2 17_Sheet2" xfId="2517"/>
    <cellStyle name="常规 3 2 18" xfId="398"/>
    <cellStyle name="常规 3 2 19" xfId="859"/>
    <cellStyle name="常规 3 2 2" xfId="602"/>
    <cellStyle name="常规 3 2 2 10" xfId="1192"/>
    <cellStyle name="常规 3 2 2 10 2" xfId="2519"/>
    <cellStyle name="常规 3 2 2 10 2 2" xfId="2520"/>
    <cellStyle name="常规 3 2 2 10 2 3" xfId="2521"/>
    <cellStyle name="常规 3 2 2 10 2_Sheet2" xfId="2527"/>
    <cellStyle name="常规 3 2 2 10 3" xfId="2529"/>
    <cellStyle name="常规 3 2 2 10 3 2" xfId="2531"/>
    <cellStyle name="常规 3 2 2 10 3_Sheet2" xfId="2537"/>
    <cellStyle name="常规 3 2 2 10 4" xfId="2538"/>
    <cellStyle name="常规 3 2 2 10 5" xfId="2540"/>
    <cellStyle name="常规 3 2 2 10_Sheet2" xfId="2551"/>
    <cellStyle name="常规 3 2 2 11" xfId="1215"/>
    <cellStyle name="常规 3 2 2 11 2" xfId="2560"/>
    <cellStyle name="常规 3 2 2 11 2 2" xfId="2563"/>
    <cellStyle name="常规 3 2 2 11 2 3" xfId="2564"/>
    <cellStyle name="常规 3 2 2 11 2_Sheet2" xfId="2571"/>
    <cellStyle name="常规 3 2 2 11 3" xfId="2578"/>
    <cellStyle name="常规 3 2 2 11 3 2" xfId="2579"/>
    <cellStyle name="常规 3 2 2 11 3_Sheet2" xfId="2582"/>
    <cellStyle name="常规 3 2 2 11 4" xfId="2585"/>
    <cellStyle name="常规 3 2 2 11 5" xfId="2586"/>
    <cellStyle name="常规 3 2 2 11_Sheet2" xfId="2591"/>
    <cellStyle name="常规 3 2 2 12" xfId="1225"/>
    <cellStyle name="常规 3 2 2 12 2" xfId="2599"/>
    <cellStyle name="常规 3 2 2 12 2 2" xfId="2600"/>
    <cellStyle name="常规 3 2 2 12 2 3" xfId="2602"/>
    <cellStyle name="常规 3 2 2 12 2_Sheet2" xfId="1978"/>
    <cellStyle name="常规 3 2 2 12 3" xfId="2603"/>
    <cellStyle name="常规 3 2 2 12 3 2" xfId="1820"/>
    <cellStyle name="常规 3 2 2 12 3_Sheet2" xfId="2611"/>
    <cellStyle name="常规 3 2 2 12 4" xfId="2612"/>
    <cellStyle name="常规 3 2 2 12 5" xfId="2613"/>
    <cellStyle name="常规 3 2 2 12_Sheet2" xfId="2615"/>
    <cellStyle name="常规 3 2 2 13" xfId="1238"/>
    <cellStyle name="常规 3 2 2 13 2" xfId="2617"/>
    <cellStyle name="常规 3 2 2 13 2 2" xfId="2620"/>
    <cellStyle name="常规 3 2 2 13 2 3" xfId="2621"/>
    <cellStyle name="常规 3 2 2 13 2_Sheet2" xfId="83"/>
    <cellStyle name="常规 3 2 2 13 3" xfId="2623"/>
    <cellStyle name="常规 3 2 2 13 3 2" xfId="2624"/>
    <cellStyle name="常规 3 2 2 13 3_Sheet2" xfId="2625"/>
    <cellStyle name="常规 3 2 2 13 4" xfId="2627"/>
    <cellStyle name="常规 3 2 2 13 5" xfId="2628"/>
    <cellStyle name="常规 3 2 2 13_Sheet2" xfId="2212"/>
    <cellStyle name="常规 3 2 2 14" xfId="2632"/>
    <cellStyle name="常规 3 2 2 14 2" xfId="2635"/>
    <cellStyle name="常规 3 2 2 14 2 2" xfId="2638"/>
    <cellStyle name="常规 3 2 2 14 2 3" xfId="2642"/>
    <cellStyle name="常规 3 2 2 14 2_Sheet2" xfId="658"/>
    <cellStyle name="常规 3 2 2 14 3" xfId="2645"/>
    <cellStyle name="常规 3 2 2 14 3 2" xfId="2648"/>
    <cellStyle name="常规 3 2 2 14 3_Sheet2" xfId="2650"/>
    <cellStyle name="常规 3 2 2 14 4" xfId="2653"/>
    <cellStyle name="常规 3 2 2 14 5" xfId="2659"/>
    <cellStyle name="常规 3 2 2 14_Sheet2" xfId="2661"/>
    <cellStyle name="常规 3 2 2 15" xfId="2662"/>
    <cellStyle name="常规 3 2 2 15 2" xfId="2666"/>
    <cellStyle name="常规 3 2 2 15 3" xfId="2673"/>
    <cellStyle name="常规 3 2 2 15_Sheet2" xfId="598"/>
    <cellStyle name="常规 3 2 2 16" xfId="1845"/>
    <cellStyle name="常规 3 2 2 16 2" xfId="2675"/>
    <cellStyle name="常规 3 2 2 16 3" xfId="2679"/>
    <cellStyle name="常规 3 2 2 16_Sheet2" xfId="2686"/>
    <cellStyle name="常规 3 2 2 17" xfId="2688"/>
    <cellStyle name="常规 3 2 2 18" xfId="871"/>
    <cellStyle name="常规 3 2 2 19" xfId="878"/>
    <cellStyle name="常规 3 2 2 2" xfId="2694"/>
    <cellStyle name="常规 3 2 2 2 10" xfId="2695"/>
    <cellStyle name="常规 3 2 2 2 10 2" xfId="2696"/>
    <cellStyle name="常规 3 2 2 2 10 2 2" xfId="2698"/>
    <cellStyle name="常规 3 2 2 2 10 2 3" xfId="2699"/>
    <cellStyle name="常规 3 2 2 2 10 2_Sheet2" xfId="2701"/>
    <cellStyle name="常规 3 2 2 2 10 3" xfId="2702"/>
    <cellStyle name="常规 3 2 2 2 10 3 2" xfId="2707"/>
    <cellStyle name="常规 3 2 2 2 10 3_Sheet2" xfId="2190"/>
    <cellStyle name="常规 3 2 2 2 10 4" xfId="2709"/>
    <cellStyle name="常规 3 2 2 2 10 5" xfId="2711"/>
    <cellStyle name="常规 3 2 2 2 10_Sheet2" xfId="415"/>
    <cellStyle name="常规 3 2 2 2 11" xfId="2713"/>
    <cellStyle name="常规 3 2 2 2 11 2" xfId="2715"/>
    <cellStyle name="常规 3 2 2 2 11 2 2" xfId="2716"/>
    <cellStyle name="常规 3 2 2 2 11 2 3" xfId="2717"/>
    <cellStyle name="常规 3 2 2 2 11 2_Sheet2" xfId="2719"/>
    <cellStyle name="常规 3 2 2 2 11 3" xfId="2723"/>
    <cellStyle name="常规 3 2 2 2 11 3 2" xfId="2726"/>
    <cellStyle name="常规 3 2 2 2 11 3_Sheet2" xfId="2727"/>
    <cellStyle name="常规 3 2 2 2 11 4" xfId="2730"/>
    <cellStyle name="常规 3 2 2 2 11 5" xfId="2731"/>
    <cellStyle name="常规 3 2 2 2 11_Sheet2" xfId="2734"/>
    <cellStyle name="常规 3 2 2 2 12" xfId="2737"/>
    <cellStyle name="常规 3 2 2 2 12 2" xfId="2739"/>
    <cellStyle name="常规 3 2 2 2 12 3" xfId="2742"/>
    <cellStyle name="常规 3 2 2 2 12_Sheet2" xfId="2745"/>
    <cellStyle name="常规 3 2 2 2 13" xfId="2749"/>
    <cellStyle name="常规 3 2 2 2 13 2" xfId="2751"/>
    <cellStyle name="常规 3 2 2 2 13 3" xfId="2753"/>
    <cellStyle name="常规 3 2 2 2 13_Sheet2" xfId="2755"/>
    <cellStyle name="常规 3 2 2 2 14" xfId="2759"/>
    <cellStyle name="常规 3 2 2 2 15" xfId="2765"/>
    <cellStyle name="常规 3 2 2 2 16" xfId="2770"/>
    <cellStyle name="常规 3 2 2 2 2" xfId="2773"/>
    <cellStyle name="常规 3 2 2 2 2 2" xfId="2775"/>
    <cellStyle name="常规 3 2 2 2 2 2 2" xfId="2776"/>
    <cellStyle name="常规 3 2 2 2 2 2 3" xfId="682"/>
    <cellStyle name="常规 3 2 2 2 2 2_Sheet2" xfId="2781"/>
    <cellStyle name="常规 3 2 2 2 2 3" xfId="2783"/>
    <cellStyle name="常规 3 2 2 2 2 3 2" xfId="2785"/>
    <cellStyle name="常规 3 2 2 2 2 3_Sheet2" xfId="2670"/>
    <cellStyle name="常规 3 2 2 2 2 4" xfId="2788"/>
    <cellStyle name="常规 3 2 2 2 2 5" xfId="2796"/>
    <cellStyle name="常规 3 2 2 2 2_Sheet2" xfId="2798"/>
    <cellStyle name="常规 3 2 2 2 3" xfId="2800"/>
    <cellStyle name="常规 3 2 2 2 3 2" xfId="2802"/>
    <cellStyle name="常规 3 2 2 2 3 2 2" xfId="2803"/>
    <cellStyle name="常规 3 2 2 2 3 2 3" xfId="2805"/>
    <cellStyle name="常规 3 2 2 2 3 2_Sheet2" xfId="2812"/>
    <cellStyle name="常规 3 2 2 2 3 3" xfId="2815"/>
    <cellStyle name="常规 3 2 2 2 3 3 2" xfId="2818"/>
    <cellStyle name="常规 3 2 2 2 3 3_Sheet2" xfId="2819"/>
    <cellStyle name="常规 3 2 2 2 3 4" xfId="2822"/>
    <cellStyle name="常规 3 2 2 2 3 5" xfId="2831"/>
    <cellStyle name="常规 3 2 2 2 3_Sheet2" xfId="2836"/>
    <cellStyle name="常规 3 2 2 2 4" xfId="2398"/>
    <cellStyle name="常规 3 2 2 2 4 2" xfId="295"/>
    <cellStyle name="常规 3 2 2 2 4 2 2" xfId="2838"/>
    <cellStyle name="常规 3 2 2 2 4 2 3" xfId="2840"/>
    <cellStyle name="常规 3 2 2 2 4 2_Sheet2" xfId="2844"/>
    <cellStyle name="常规 3 2 2 2 4 3" xfId="2847"/>
    <cellStyle name="常规 3 2 2 2 4 3 2" xfId="2852"/>
    <cellStyle name="常规 3 2 2 2 4 3_Sheet2" xfId="2857"/>
    <cellStyle name="常规 3 2 2 2 4 4" xfId="2860"/>
    <cellStyle name="常规 3 2 2 2 4 5" xfId="2868"/>
    <cellStyle name="常规 3 2 2 2 4_Sheet2" xfId="2872"/>
    <cellStyle name="常规 3 2 2 2 5" xfId="2876"/>
    <cellStyle name="常规 3 2 2 2 5 2" xfId="2879"/>
    <cellStyle name="常规 3 2 2 2 5 2 2" xfId="2883"/>
    <cellStyle name="常规 3 2 2 2 5 2 3" xfId="2886"/>
    <cellStyle name="常规 3 2 2 2 5 2_Sheet2" xfId="238"/>
    <cellStyle name="常规 3 2 2 2 5 3" xfId="2893"/>
    <cellStyle name="常规 3 2 2 2 5 3 2" xfId="2897"/>
    <cellStyle name="常规 3 2 2 2 5 3_Sheet2" xfId="2898"/>
    <cellStyle name="常规 3 2 2 2 5 4" xfId="2902"/>
    <cellStyle name="常规 3 2 2 2 5 5" xfId="2905"/>
    <cellStyle name="常规 3 2 2 2 5_Sheet2" xfId="2907"/>
    <cellStyle name="常规 3 2 2 2 6" xfId="2909"/>
    <cellStyle name="常规 3 2 2 2 6 2" xfId="2913"/>
    <cellStyle name="常规 3 2 2 2 6 2 2" xfId="2915"/>
    <cellStyle name="常规 3 2 2 2 6 2 3" xfId="2917"/>
    <cellStyle name="常规 3 2 2 2 6 2_Sheet2" xfId="294"/>
    <cellStyle name="常规 3 2 2 2 6 3" xfId="2921"/>
    <cellStyle name="常规 3 2 2 2 6 3 2" xfId="2925"/>
    <cellStyle name="常规 3 2 2 2 6 3_Sheet2" xfId="2928"/>
    <cellStyle name="常规 3 2 2 2 6 4" xfId="2932"/>
    <cellStyle name="常规 3 2 2 2 6 5" xfId="2936"/>
    <cellStyle name="常规 3 2 2 2 6_Sheet2" xfId="2937"/>
    <cellStyle name="常规 3 2 2 2 7" xfId="2938"/>
    <cellStyle name="常规 3 2 2 2 7 2" xfId="2940"/>
    <cellStyle name="常规 3 2 2 2 7 2 2" xfId="2943"/>
    <cellStyle name="常规 3 2 2 2 7 2 3" xfId="2946"/>
    <cellStyle name="常规 3 2 2 2 7 2_Sheet2" xfId="2950"/>
    <cellStyle name="常规 3 2 2 2 7 3" xfId="2348"/>
    <cellStyle name="常规 3 2 2 2 7 3 2" xfId="2955"/>
    <cellStyle name="常规 3 2 2 2 7 3_Sheet2" xfId="2960"/>
    <cellStyle name="常规 3 2 2 2 7 4" xfId="2353"/>
    <cellStyle name="常规 3 2 2 2 7 5" xfId="2963"/>
    <cellStyle name="常规 3 2 2 2 7_Sheet2" xfId="2971"/>
    <cellStyle name="常规 3 2 2 2 8" xfId="2972"/>
    <cellStyle name="常规 3 2 2 2 8 2" xfId="2974"/>
    <cellStyle name="常规 3 2 2 2 8 2 2" xfId="384"/>
    <cellStyle name="常规 3 2 2 2 8 2 3" xfId="2976"/>
    <cellStyle name="常规 3 2 2 2 8 2_Sheet2" xfId="2977"/>
    <cellStyle name="常规 3 2 2 2 8 3" xfId="2365"/>
    <cellStyle name="常规 3 2 2 2 8 3 2" xfId="1594"/>
    <cellStyle name="常规 3 2 2 2 8 3_Sheet2" xfId="674"/>
    <cellStyle name="常规 3 2 2 2 8 4" xfId="2980"/>
    <cellStyle name="常规 3 2 2 2 8 5" xfId="2983"/>
    <cellStyle name="常规 3 2 2 2 8_Sheet2" xfId="2985"/>
    <cellStyle name="常规 3 2 2 2 9" xfId="2986"/>
    <cellStyle name="常规 3 2 2 2 9 2" xfId="2988"/>
    <cellStyle name="常规 3 2 2 2 9 2 2" xfId="2990"/>
    <cellStyle name="常规 3 2 2 2 9 2 3" xfId="2993"/>
    <cellStyle name="常规 3 2 2 2 9 2_Sheet2" xfId="2994"/>
    <cellStyle name="常规 3 2 2 2 9 3" xfId="2998"/>
    <cellStyle name="常规 3 2 2 2 9 3 2" xfId="3001"/>
    <cellStyle name="常规 3 2 2 2 9 3_Sheet2" xfId="3003"/>
    <cellStyle name="常规 3 2 2 2 9 4" xfId="3007"/>
    <cellStyle name="常规 3 2 2 2 9 5" xfId="3010"/>
    <cellStyle name="常规 3 2 2 2 9_Sheet2" xfId="3011"/>
    <cellStyle name="常规 3 2 2 2_Sheet2" xfId="3012"/>
    <cellStyle name="常规 3 2 2 3" xfId="3020"/>
    <cellStyle name="常规 3 2 2 3 10" xfId="3021"/>
    <cellStyle name="常规 3 2 2 3 10 2" xfId="3023"/>
    <cellStyle name="常规 3 2 2 3 10 3" xfId="3025"/>
    <cellStyle name="常规 3 2 2 3 10_Sheet2" xfId="2407"/>
    <cellStyle name="常规 3 2 2 3 11" xfId="3027"/>
    <cellStyle name="常规 3 2 2 3 11 2" xfId="3036"/>
    <cellStyle name="常规 3 2 2 3 11_Sheet2" xfId="3041"/>
    <cellStyle name="常规 3 2 2 3 12" xfId="3043"/>
    <cellStyle name="常规 3 2 2 3 13" xfId="3045"/>
    <cellStyle name="常规 3 2 2 3 14" xfId="3046"/>
    <cellStyle name="常规 3 2 2 3 2" xfId="3048"/>
    <cellStyle name="常规 3 2 2 3 2 2" xfId="2126"/>
    <cellStyle name="常规 3 2 2 3 2 2 2" xfId="3050"/>
    <cellStyle name="常规 3 2 2 3 2 2 3" xfId="728"/>
    <cellStyle name="常规 3 2 2 3 2 2_Sheet2" xfId="3051"/>
    <cellStyle name="常规 3 2 2 3 2 3" xfId="3053"/>
    <cellStyle name="常规 3 2 2 3 2 3 2" xfId="2569"/>
    <cellStyle name="常规 3 2 2 3 2 3_Sheet2" xfId="3056"/>
    <cellStyle name="常规 3 2 2 3 2 4" xfId="3059"/>
    <cellStyle name="常规 3 2 2 3 2 5" xfId="3064"/>
    <cellStyle name="常规 3 2 2 3 2_Sheet2" xfId="3066"/>
    <cellStyle name="常规 3 2 2 3 3" xfId="3070"/>
    <cellStyle name="常规 3 2 2 3 3 2" xfId="3072"/>
    <cellStyle name="常规 3 2 2 3 3 2 2" xfId="1766"/>
    <cellStyle name="常规 3 2 2 3 3 2 3" xfId="1771"/>
    <cellStyle name="常规 3 2 2 3 3 2_Sheet2" xfId="3073"/>
    <cellStyle name="常规 3 2 2 3 3 3" xfId="3074"/>
    <cellStyle name="常规 3 2 2 3 3 3 2" xfId="3082"/>
    <cellStyle name="常规 3 2 2 3 3 3_Sheet2" xfId="3086"/>
    <cellStyle name="常规 3 2 2 3 3 4" xfId="3090"/>
    <cellStyle name="常规 3 2 2 3 3 5" xfId="3101"/>
    <cellStyle name="常规 3 2 2 3 3_Sheet2" xfId="1311"/>
    <cellStyle name="常规 3 2 2 3 4" xfId="3108"/>
    <cellStyle name="常规 3 2 2 3 4 2" xfId="3110"/>
    <cellStyle name="常规 3 2 2 3 4 2 2" xfId="3115"/>
    <cellStyle name="常规 3 2 2 3 4 2 3" xfId="89"/>
    <cellStyle name="常规 3 2 2 3 4 2_Sheet2" xfId="3120"/>
    <cellStyle name="常规 3 2 2 3 4 3" xfId="3121"/>
    <cellStyle name="常规 3 2 2 3 4 3 2" xfId="3128"/>
    <cellStyle name="常规 3 2 2 3 4 3_Sheet2" xfId="3134"/>
    <cellStyle name="常规 3 2 2 3 4 4" xfId="3135"/>
    <cellStyle name="常规 3 2 2 3 4 5" xfId="3144"/>
    <cellStyle name="常规 3 2 2 3 4_Sheet2" xfId="680"/>
    <cellStyle name="常规 3 2 2 3 5" xfId="3151"/>
    <cellStyle name="常规 3 2 2 3 5 2" xfId="3154"/>
    <cellStyle name="常规 3 2 2 3 5 2 2" xfId="3158"/>
    <cellStyle name="常规 3 2 2 3 5 2 3" xfId="3161"/>
    <cellStyle name="常规 3 2 2 3 5 2_Sheet2" xfId="3162"/>
    <cellStyle name="常规 3 2 2 3 5 3" xfId="3167"/>
    <cellStyle name="常规 3 2 2 3 5 3 2" xfId="3176"/>
    <cellStyle name="常规 3 2 2 3 5 3_Sheet2" xfId="3183"/>
    <cellStyle name="常规 3 2 2 3 5 4" xfId="3190"/>
    <cellStyle name="常规 3 2 2 3 5 5" xfId="3196"/>
    <cellStyle name="常规 3 2 2 3 5_Sheet2" xfId="3198"/>
    <cellStyle name="常规 3 2 2 3 6" xfId="3200"/>
    <cellStyle name="常规 3 2 2 3 6 2" xfId="3201"/>
    <cellStyle name="常规 3 2 2 3 6 2 2" xfId="3203"/>
    <cellStyle name="常规 3 2 2 3 6 2 3" xfId="3204"/>
    <cellStyle name="常规 3 2 2 3 6 2_Sheet2" xfId="2197"/>
    <cellStyle name="常规 3 2 2 3 6 3" xfId="3206"/>
    <cellStyle name="常规 3 2 2 3 6 3 2" xfId="2539"/>
    <cellStyle name="常规 3 2 2 3 6 3_Sheet2" xfId="3210"/>
    <cellStyle name="常规 3 2 2 3 6 4" xfId="3178"/>
    <cellStyle name="常规 3 2 2 3 6 5" xfId="3212"/>
    <cellStyle name="常规 3 2 2 3 6_Sheet2" xfId="3213"/>
    <cellStyle name="常规 3 2 2 3 7" xfId="2474"/>
    <cellStyle name="常规 3 2 2 3 7 2" xfId="3214"/>
    <cellStyle name="常规 3 2 2 3 7 2 2" xfId="3217"/>
    <cellStyle name="常规 3 2 2 3 7 2 3" xfId="3218"/>
    <cellStyle name="常规 3 2 2 3 7 2_Sheet2" xfId="3220"/>
    <cellStyle name="常规 3 2 2 3 7 3" xfId="2386"/>
    <cellStyle name="常规 3 2 2 3 7 3 2" xfId="3221"/>
    <cellStyle name="常规 3 2 2 3 7 3_Sheet2" xfId="3228"/>
    <cellStyle name="常规 3 2 2 3 7 4" xfId="2389"/>
    <cellStyle name="常规 3 2 2 3 7 5" xfId="2432"/>
    <cellStyle name="常规 3 2 2 3 7_Sheet2" xfId="3229"/>
    <cellStyle name="常规 3 2 2 3 8" xfId="3230"/>
    <cellStyle name="常规 3 2 2 3 8 2" xfId="2799"/>
    <cellStyle name="常规 3 2 2 3 8 2 2" xfId="2801"/>
    <cellStyle name="常规 3 2 2 3 8 2 3" xfId="2813"/>
    <cellStyle name="常规 3 2 2 3 8 2_Sheet2" xfId="2833"/>
    <cellStyle name="常规 3 2 2 3 8 3" xfId="2397"/>
    <cellStyle name="常规 3 2 2 3 8 3 2" xfId="293"/>
    <cellStyle name="常规 3 2 2 3 8 3_Sheet2" xfId="2870"/>
    <cellStyle name="常规 3 2 2 3 8 4" xfId="2874"/>
    <cellStyle name="常规 3 2 2 3 8 5" xfId="2908"/>
    <cellStyle name="常规 3 2 2 3 8_Sheet2" xfId="3232"/>
    <cellStyle name="常规 3 2 2 3 9" xfId="3234"/>
    <cellStyle name="常规 3 2 2 3 9 2" xfId="3069"/>
    <cellStyle name="常规 3 2 2 3 9 2 2" xfId="3071"/>
    <cellStyle name="常规 3 2 2 3 9 2 3" xfId="3076"/>
    <cellStyle name="常规 3 2 2 3 9 2_Sheet2" xfId="1315"/>
    <cellStyle name="常规 3 2 2 3 9 3" xfId="3106"/>
    <cellStyle name="常规 3 2 2 3 9 3 2" xfId="3109"/>
    <cellStyle name="常规 3 2 2 3 9 3_Sheet2" xfId="679"/>
    <cellStyle name="常规 3 2 2 3 9 4" xfId="3150"/>
    <cellStyle name="常规 3 2 2 3 9 5" xfId="3199"/>
    <cellStyle name="常规 3 2 2 3 9_Sheet2" xfId="1711"/>
    <cellStyle name="常规 3 2 2 3_Sheet2" xfId="3236"/>
    <cellStyle name="常规 3 2 2 4" xfId="1014"/>
    <cellStyle name="常规 3 2 2 4 2" xfId="3239"/>
    <cellStyle name="常规 3 2 2 4 2 2" xfId="1743"/>
    <cellStyle name="常规 3 2 2 4 2 3" xfId="1786"/>
    <cellStyle name="常规 3 2 2 4 2_Sheet2" xfId="3244"/>
    <cellStyle name="常规 3 2 2 4 3" xfId="1540"/>
    <cellStyle name="常规 3 2 2 4 3 2" xfId="1543"/>
    <cellStyle name="常规 3 2 2 4 3_Sheet2" xfId="3248"/>
    <cellStyle name="常规 3 2 2 4 4" xfId="1581"/>
    <cellStyle name="常规 3 2 2 4 5" xfId="1135"/>
    <cellStyle name="常规 3 2 2 4 6" xfId="1142"/>
    <cellStyle name="常规 3 2 2 4_Sheet2" xfId="3250"/>
    <cellStyle name="常规 3 2 2 5" xfId="1024"/>
    <cellStyle name="常规 3 2 2 5 2" xfId="3252"/>
    <cellStyle name="常规 3 2 2 5 2 2" xfId="3254"/>
    <cellStyle name="常规 3 2 2 5 2 3" xfId="3258"/>
    <cellStyle name="常规 3 2 2 5 2_Sheet2" xfId="3259"/>
    <cellStyle name="常规 3 2 2 5 3" xfId="3261"/>
    <cellStyle name="常规 3 2 2 5 3 2" xfId="3263"/>
    <cellStyle name="常规 3 2 2 5 3_Sheet2" xfId="3265"/>
    <cellStyle name="常规 3 2 2 5 4" xfId="3267"/>
    <cellStyle name="常规 3 2 2 5 5" xfId="3269"/>
    <cellStyle name="常规 3 2 2 5_Sheet2" xfId="3270"/>
    <cellStyle name="常规 3 2 2 6" xfId="3277"/>
    <cellStyle name="常规 3 2 2 6 2" xfId="3282"/>
    <cellStyle name="常规 3 2 2 6 2 2" xfId="3285"/>
    <cellStyle name="常规 3 2 2 6 2 3" xfId="3290"/>
    <cellStyle name="常规 3 2 2 6 2_Sheet2" xfId="3292"/>
    <cellStyle name="常规 3 2 2 6 3" xfId="3295"/>
    <cellStyle name="常规 3 2 2 6 3 2" xfId="958"/>
    <cellStyle name="常规 3 2 2 6 3_Sheet2" xfId="3300"/>
    <cellStyle name="常规 3 2 2 6 4" xfId="3305"/>
    <cellStyle name="常规 3 2 2 6 5" xfId="3311"/>
    <cellStyle name="常规 3 2 2 6_Sheet2" xfId="3315"/>
    <cellStyle name="常规 3 2 2 7" xfId="3319"/>
    <cellStyle name="常规 3 2 2 7 2" xfId="3322"/>
    <cellStyle name="常规 3 2 2 7 2 2" xfId="3325"/>
    <cellStyle name="常规 3 2 2 7 2 3" xfId="3330"/>
    <cellStyle name="常规 3 2 2 7 2_Sheet2" xfId="3331"/>
    <cellStyle name="常规 3 2 2 7 3" xfId="3333"/>
    <cellStyle name="常规 3 2 2 7 3 2" xfId="3334"/>
    <cellStyle name="常规 3 2 2 7 3_Sheet2" xfId="3337"/>
    <cellStyle name="常规 3 2 2 7 4" xfId="3341"/>
    <cellStyle name="常规 3 2 2 7 5" xfId="3344"/>
    <cellStyle name="常规 3 2 2 7_Sheet2" xfId="3348"/>
    <cellStyle name="常规 3 2 2 8" xfId="3352"/>
    <cellStyle name="常规 3 2 2 8 2" xfId="3354"/>
    <cellStyle name="常规 3 2 2 8 2 2" xfId="3356"/>
    <cellStyle name="常规 3 2 2 8 2 3" xfId="3361"/>
    <cellStyle name="常规 3 2 2 8 2_Sheet2" xfId="3365"/>
    <cellStyle name="常规 3 2 2 8 3" xfId="3366"/>
    <cellStyle name="常规 3 2 2 8 3 2" xfId="3367"/>
    <cellStyle name="常规 3 2 2 8 3_Sheet2" xfId="3369"/>
    <cellStyle name="常规 3 2 2 8 4" xfId="3370"/>
    <cellStyle name="常规 3 2 2 8 5" xfId="1972"/>
    <cellStyle name="常规 3 2 2 8_Sheet2" xfId="3372"/>
    <cellStyle name="常规 3 2 2 9" xfId="3375"/>
    <cellStyle name="常规 3 2 2 9 2" xfId="3377"/>
    <cellStyle name="常规 3 2 2 9 2 2" xfId="3380"/>
    <cellStyle name="常规 3 2 2 9 2 3" xfId="3386"/>
    <cellStyle name="常规 3 2 2 9 2_Sheet2" xfId="3388"/>
    <cellStyle name="常规 3 2 2 9 3" xfId="3389"/>
    <cellStyle name="常规 3 2 2 9 3 2" xfId="3393"/>
    <cellStyle name="常规 3 2 2 9 3_Sheet2" xfId="3402"/>
    <cellStyle name="常规 3 2 2 9 4" xfId="1054"/>
    <cellStyle name="常规 3 2 2 9 5" xfId="2278"/>
    <cellStyle name="常规 3 2 2 9_Sheet2" xfId="3406"/>
    <cellStyle name="常规 3 2 2_Sheet2" xfId="3410"/>
    <cellStyle name="常规 3 2 20" xfId="1240"/>
    <cellStyle name="常规 3 2 21" xfId="2476"/>
    <cellStyle name="常规 3 2 22" xfId="346"/>
    <cellStyle name="常规 3 2 3" xfId="3417"/>
    <cellStyle name="常规 3 2 3 10" xfId="3418"/>
    <cellStyle name="常规 3 2 3 10 2" xfId="489"/>
    <cellStyle name="常规 3 2 3 10 2 2" xfId="2830"/>
    <cellStyle name="常规 3 2 3 10 2 3" xfId="3424"/>
    <cellStyle name="常规 3 2 3 10 2_Sheet2" xfId="3428"/>
    <cellStyle name="常规 3 2 3 10 3" xfId="3432"/>
    <cellStyle name="常规 3 2 3 10 3 2" xfId="2867"/>
    <cellStyle name="常规 3 2 3 10 3_Sheet2" xfId="3444"/>
    <cellStyle name="常规 3 2 3 10 4" xfId="3448"/>
    <cellStyle name="常规 3 2 3 10 5" xfId="3453"/>
    <cellStyle name="常规 3 2 3 10_Sheet2" xfId="1798"/>
    <cellStyle name="常规 3 2 3 11" xfId="3457"/>
    <cellStyle name="常规 3 2 3 11 2" xfId="1253"/>
    <cellStyle name="常规 3 2 3 11 2 2" xfId="3105"/>
    <cellStyle name="常规 3 2 3 11 2 3" xfId="3469"/>
    <cellStyle name="常规 3 2 3 11 2_Sheet2" xfId="3473"/>
    <cellStyle name="常规 3 2 3 11 3" xfId="3400"/>
    <cellStyle name="常规 3 2 3 11 3 2" xfId="3149"/>
    <cellStyle name="常规 3 2 3 11 3_Sheet2" xfId="3478"/>
    <cellStyle name="常规 3 2 3 11 4" xfId="3486"/>
    <cellStyle name="常规 3 2 3 11 5" xfId="3490"/>
    <cellStyle name="常规 3 2 3 11_Sheet2" xfId="3495"/>
    <cellStyle name="常规 3 2 3 12" xfId="3501"/>
    <cellStyle name="常规 3 2 3 12 2" xfId="1004"/>
    <cellStyle name="常规 3 2 3 12 3" xfId="3508"/>
    <cellStyle name="常规 3 2 3 12_Sheet2" xfId="3510"/>
    <cellStyle name="常规 3 2 3 13" xfId="3514"/>
    <cellStyle name="常规 3 2 3 13 2" xfId="1338"/>
    <cellStyle name="常规 3 2 3 13 3" xfId="3515"/>
    <cellStyle name="常规 3 2 3 13_Sheet2" xfId="3519"/>
    <cellStyle name="常规 3 2 3 14" xfId="3524"/>
    <cellStyle name="常规 3 2 3 15" xfId="3531"/>
    <cellStyle name="常规 3 2 3 16" xfId="3535"/>
    <cellStyle name="常规 3 2 3 2" xfId="3543"/>
    <cellStyle name="常规 3 2 3 2 2" xfId="3549"/>
    <cellStyle name="常规 3 2 3 2 2 2" xfId="3554"/>
    <cellStyle name="常规 3 2 3 2 2 3" xfId="3477"/>
    <cellStyle name="常规 3 2 3 2 2_Sheet2" xfId="3555"/>
    <cellStyle name="常规 3 2 3 2 3" xfId="3557"/>
    <cellStyle name="常规 3 2 3 2 3 2" xfId="3558"/>
    <cellStyle name="常规 3 2 3 2 3_Sheet2" xfId="3560"/>
    <cellStyle name="常规 3 2 3 2 4" xfId="2417"/>
    <cellStyle name="常规 3 2 3 2 5" xfId="3566"/>
    <cellStyle name="常规 3 2 3 2 6" xfId="3569"/>
    <cellStyle name="常规 3 2 3 2_Sheet2" xfId="3576"/>
    <cellStyle name="常规 3 2 3 3" xfId="3581"/>
    <cellStyle name="常规 3 2 3 3 2" xfId="3582"/>
    <cellStyle name="常规 3 2 3 3 2 2" xfId="3585"/>
    <cellStyle name="常规 3 2 3 3 2 3" xfId="3589"/>
    <cellStyle name="常规 3 2 3 3 2_Sheet2" xfId="2264"/>
    <cellStyle name="常规 3 2 3 3 3" xfId="3590"/>
    <cellStyle name="常规 3 2 3 3 3 2" xfId="3593"/>
    <cellStyle name="常规 3 2 3 3 3_Sheet2" xfId="3594"/>
    <cellStyle name="常规 3 2 3 3 4" xfId="3600"/>
    <cellStyle name="常规 3 2 3 3 5" xfId="3607"/>
    <cellStyle name="常规 3 2 3 3 6" xfId="3614"/>
    <cellStyle name="常规 3 2 3 3_Sheet2" xfId="3618"/>
    <cellStyle name="常规 3 2 3 4" xfId="1041"/>
    <cellStyle name="常规 3 2 3 4 2" xfId="3619"/>
    <cellStyle name="常规 3 2 3 4 2 2" xfId="3622"/>
    <cellStyle name="常规 3 2 3 4 2 3" xfId="3631"/>
    <cellStyle name="常规 3 2 3 4 2_Sheet2" xfId="3634"/>
    <cellStyle name="常规 3 2 3 4 3" xfId="1596"/>
    <cellStyle name="常规 3 2 3 4 3 2" xfId="1600"/>
    <cellStyle name="常规 3 2 3 4 3_Sheet2" xfId="3635"/>
    <cellStyle name="常规 3 2 3 4 4" xfId="1629"/>
    <cellStyle name="常规 3 2 3 4 5" xfId="1637"/>
    <cellStyle name="常规 3 2 3 4_Sheet2" xfId="3637"/>
    <cellStyle name="常规 3 2 3 5" xfId="3640"/>
    <cellStyle name="常规 3 2 3 5 2" xfId="1424"/>
    <cellStyle name="常规 3 2 3 5 2 2" xfId="3645"/>
    <cellStyle name="常规 3 2 3 5 2 3" xfId="3653"/>
    <cellStyle name="常规 3 2 3 5 2_Sheet2" xfId="3654"/>
    <cellStyle name="常规 3 2 3 5 3" xfId="1461"/>
    <cellStyle name="常规 3 2 3 5 3 2" xfId="3659"/>
    <cellStyle name="常规 3 2 3 5 3_Sheet2" xfId="3661"/>
    <cellStyle name="常规 3 2 3 5 4" xfId="3667"/>
    <cellStyle name="常规 3 2 3 5 5" xfId="3679"/>
    <cellStyle name="常规 3 2 3 5_Sheet2" xfId="3682"/>
    <cellStyle name="常规 3 2 3 6" xfId="3686"/>
    <cellStyle name="常规 3 2 3 6 2" xfId="1502"/>
    <cellStyle name="常规 3 2 3 6 2 2" xfId="3695"/>
    <cellStyle name="常规 3 2 3 6 2 3" xfId="3703"/>
    <cellStyle name="常规 3 2 3 6 2_Sheet2" xfId="3706"/>
    <cellStyle name="常规 3 2 3 6 3" xfId="950"/>
    <cellStyle name="常规 3 2 3 6 3 2" xfId="995"/>
    <cellStyle name="常规 3 2 3 6 3_Sheet2" xfId="1655"/>
    <cellStyle name="常规 3 2 3 6 4" xfId="3714"/>
    <cellStyle name="常规 3 2 3 6 5" xfId="3721"/>
    <cellStyle name="常规 3 2 3 6_Sheet2" xfId="3724"/>
    <cellStyle name="常规 3 2 3 7" xfId="3728"/>
    <cellStyle name="常规 3 2 3 7 2" xfId="3732"/>
    <cellStyle name="常规 3 2 3 7 2 2" xfId="3733"/>
    <cellStyle name="常规 3 2 3 7 2 3" xfId="3737"/>
    <cellStyle name="常规 3 2 3 7 2_Sheet2" xfId="3738"/>
    <cellStyle name="常规 3 2 3 7 3" xfId="3739"/>
    <cellStyle name="常规 3 2 3 7 3 2" xfId="3741"/>
    <cellStyle name="常规 3 2 3 7 3_Sheet2" xfId="3745"/>
    <cellStyle name="常规 3 2 3 7 4" xfId="3754"/>
    <cellStyle name="常规 3 2 3 7 5" xfId="3761"/>
    <cellStyle name="常规 3 2 3 7_Sheet2" xfId="3762"/>
    <cellStyle name="常规 3 2 3 8" xfId="3766"/>
    <cellStyle name="常规 3 2 3 8 2" xfId="3767"/>
    <cellStyle name="常规 3 2 3 8 2 2" xfId="3742"/>
    <cellStyle name="常规 3 2 3 8 2 3" xfId="3771"/>
    <cellStyle name="常规 3 2 3 8 2_Sheet2" xfId="3776"/>
    <cellStyle name="常规 3 2 3 8 3" xfId="3777"/>
    <cellStyle name="常规 3 2 3 8 3 2" xfId="3778"/>
    <cellStyle name="常规 3 2 3 8 3_Sheet2" xfId="3782"/>
    <cellStyle name="常规 3 2 3 8 4" xfId="3785"/>
    <cellStyle name="常规 3 2 3 8 5" xfId="3787"/>
    <cellStyle name="常规 3 2 3 8_Sheet2" xfId="3793"/>
    <cellStyle name="常规 3 2 3 9" xfId="3796"/>
    <cellStyle name="常规 3 2 3 9 2" xfId="3798"/>
    <cellStyle name="常规 3 2 3 9 2 2" xfId="3801"/>
    <cellStyle name="常规 3 2 3 9 2 3" xfId="3804"/>
    <cellStyle name="常规 3 2 3 9 2_Sheet2" xfId="3810"/>
    <cellStyle name="常规 3 2 3 9 3" xfId="3811"/>
    <cellStyle name="常规 3 2 3 9 3 2" xfId="1923"/>
    <cellStyle name="常规 3 2 3 9 3_Sheet2" xfId="3812"/>
    <cellStyle name="常规 3 2 3 9 4" xfId="3815"/>
    <cellStyle name="常规 3 2 3 9 5" xfId="3817"/>
    <cellStyle name="常规 3 2 3 9_Sheet2" xfId="357"/>
    <cellStyle name="常规 3 2 3_Sheet2" xfId="3821"/>
    <cellStyle name="常规 3 2 4" xfId="3826"/>
    <cellStyle name="常规 3 2 4 10" xfId="3828"/>
    <cellStyle name="常规 3 2 4 10 2" xfId="1058"/>
    <cellStyle name="常规 3 2 4 10 2 2" xfId="558"/>
    <cellStyle name="常规 3 2 4 10 2 3" xfId="3833"/>
    <cellStyle name="常规 3 2 4 10 2_Sheet2" xfId="3836"/>
    <cellStyle name="常规 3 2 4 10 3" xfId="2277"/>
    <cellStyle name="常规 3 2 4 10 3 2" xfId="601"/>
    <cellStyle name="常规 3 2 4 10 3_Sheet2" xfId="212"/>
    <cellStyle name="常规 3 2 4 10 4" xfId="3839"/>
    <cellStyle name="常规 3 2 4 10 5" xfId="3841"/>
    <cellStyle name="常规 3 2 4 10_Sheet2" xfId="3848"/>
    <cellStyle name="常规 3 2 4 11" xfId="3851"/>
    <cellStyle name="常规 3 2 4 11 2" xfId="3853"/>
    <cellStyle name="常规 3 2 4 11 3" xfId="2601"/>
    <cellStyle name="常规 3 2 4 11_Sheet2" xfId="3157"/>
    <cellStyle name="常规 3 2 4 12" xfId="3856"/>
    <cellStyle name="常规 3 2 4 12 2" xfId="1817"/>
    <cellStyle name="常规 3 2 4 12_Sheet2" xfId="1816"/>
    <cellStyle name="常规 3 2 4 13" xfId="3859"/>
    <cellStyle name="常规 3 2 4 14" xfId="3860"/>
    <cellStyle name="常规 3 2 4 15" xfId="3861"/>
    <cellStyle name="常规 3 2 4 2" xfId="3864"/>
    <cellStyle name="常规 3 2 4 2 2" xfId="3865"/>
    <cellStyle name="常规 3 2 4 2 2 2" xfId="3866"/>
    <cellStyle name="常规 3 2 4 2 2 3" xfId="3869"/>
    <cellStyle name="常规 3 2 4 2 2_Sheet2" xfId="3873"/>
    <cellStyle name="常规 3 2 4 2 3" xfId="3876"/>
    <cellStyle name="常规 3 2 4 2 3 2" xfId="3877"/>
    <cellStyle name="常规 3 2 4 2 3_Sheet2" xfId="3880"/>
    <cellStyle name="常规 3 2 4 2 4" xfId="2437"/>
    <cellStyle name="常规 3 2 4 2 5" xfId="3883"/>
    <cellStyle name="常规 3 2 4 2 6" xfId="3889"/>
    <cellStyle name="常规 3 2 4 2_Sheet2" xfId="2658"/>
    <cellStyle name="常规 3 2 4 3" xfId="3892"/>
    <cellStyle name="常规 3 2 4 3 2" xfId="3893"/>
    <cellStyle name="常规 3 2 4 3 2 2" xfId="3895"/>
    <cellStyle name="常规 3 2 4 3 2 3" xfId="2038"/>
    <cellStyle name="常规 3 2 4 3 2_Sheet2" xfId="3896"/>
    <cellStyle name="常规 3 2 4 3 3" xfId="3897"/>
    <cellStyle name="常规 3 2 4 3 3 2" xfId="3899"/>
    <cellStyle name="常规 3 2 4 3 3_Sheet2" xfId="3900"/>
    <cellStyle name="常规 3 2 4 3 4" xfId="2809"/>
    <cellStyle name="常规 3 2 4 3 5" xfId="3908"/>
    <cellStyle name="常规 3 2 4 3_Sheet2" xfId="3912"/>
    <cellStyle name="常规 3 2 4 4" xfId="3913"/>
    <cellStyle name="常规 3 2 4 4 2" xfId="3914"/>
    <cellStyle name="常规 3 2 4 4 2 2" xfId="2132"/>
    <cellStyle name="常规 3 2 4 4 2 3" xfId="2147"/>
    <cellStyle name="常规 3 2 4 4 2_Sheet2" xfId="3394"/>
    <cellStyle name="常规 3 2 4 4 3" xfId="1650"/>
    <cellStyle name="常规 3 2 4 4 3 2" xfId="2185"/>
    <cellStyle name="常规 3 2 4 4 3_Sheet2" xfId="1234"/>
    <cellStyle name="常规 3 2 4 4 4" xfId="1617"/>
    <cellStyle name="常规 3 2 4 4 5" xfId="56"/>
    <cellStyle name="常规 3 2 4 4_Sheet2" xfId="2298"/>
    <cellStyle name="常规 3 2 4 5" xfId="3916"/>
    <cellStyle name="常规 3 2 4 5 2" xfId="12"/>
    <cellStyle name="常规 3 2 4 5 2 2" xfId="539"/>
    <cellStyle name="常规 3 2 4 5 2 3" xfId="264"/>
    <cellStyle name="常规 3 2 4 5 2_Sheet2" xfId="1682"/>
    <cellStyle name="常规 3 2 4 5 3" xfId="312"/>
    <cellStyle name="常规 3 2 4 5 3 2" xfId="594"/>
    <cellStyle name="常规 3 2 4 5 3_Sheet2" xfId="3919"/>
    <cellStyle name="常规 3 2 4 5 4" xfId="269"/>
    <cellStyle name="常规 3 2 4 5 5" xfId="202"/>
    <cellStyle name="常规 3 2 4 5_Sheet2" xfId="3923"/>
    <cellStyle name="常规 3 2 4 6" xfId="3926"/>
    <cellStyle name="常规 3 2 4 6 2" xfId="3931"/>
    <cellStyle name="常规 3 2 4 6 2 2" xfId="1719"/>
    <cellStyle name="常规 3 2 4 6 2 3" xfId="1723"/>
    <cellStyle name="常规 3 2 4 6 2_Sheet2" xfId="3932"/>
    <cellStyle name="常规 3 2 4 6 3" xfId="3936"/>
    <cellStyle name="常规 3 2 4 6 3 2" xfId="788"/>
    <cellStyle name="常规 3 2 4 6 3_Sheet2" xfId="2008"/>
    <cellStyle name="常规 3 2 4 6 4" xfId="3938"/>
    <cellStyle name="常规 3 2 4 6 5" xfId="3943"/>
    <cellStyle name="常规 3 2 4 6_Sheet2" xfId="3944"/>
    <cellStyle name="常规 3 2 4 7" xfId="3947"/>
    <cellStyle name="常规 3 2 4 7 2" xfId="3024"/>
    <cellStyle name="常规 3 2 4 7 2 2" xfId="3948"/>
    <cellStyle name="常规 3 2 4 7 2 3" xfId="3951"/>
    <cellStyle name="常规 3 2 4 7 2_Sheet2" xfId="335"/>
    <cellStyle name="常规 3 2 4 7 3" xfId="3953"/>
    <cellStyle name="常规 3 2 4 7 3 2" xfId="3954"/>
    <cellStyle name="常规 3 2 4 7 3_Sheet2" xfId="3956"/>
    <cellStyle name="常规 3 2 4 7 4" xfId="3957"/>
    <cellStyle name="常规 3 2 4 7 5" xfId="3960"/>
    <cellStyle name="常规 3 2 4 7_Sheet2" xfId="36"/>
    <cellStyle name="常规 3 2 4 8" xfId="3964"/>
    <cellStyle name="常规 3 2 4 8 2" xfId="3968"/>
    <cellStyle name="常规 3 2 4 8 2 2" xfId="3969"/>
    <cellStyle name="常规 3 2 4 8 2 3" xfId="3974"/>
    <cellStyle name="常规 3 2 4 8 2_Sheet2" xfId="3975"/>
    <cellStyle name="常规 3 2 4 8 3" xfId="3981"/>
    <cellStyle name="常规 3 2 4 8 3 2" xfId="3983"/>
    <cellStyle name="常规 3 2 4 8 3_Sheet2" xfId="3988"/>
    <cellStyle name="常规 3 2 4 8 4" xfId="3989"/>
    <cellStyle name="常规 3 2 4 8 5" xfId="3990"/>
    <cellStyle name="常规 3 2 4 8_Sheet2" xfId="797"/>
    <cellStyle name="常规 3 2 4 9" xfId="3994"/>
    <cellStyle name="常规 3 2 4 9 2" xfId="3998"/>
    <cellStyle name="常规 3 2 4 9 2 2" xfId="4001"/>
    <cellStyle name="常规 3 2 4 9 2 3" xfId="4004"/>
    <cellStyle name="常规 3 2 4 9 2_Sheet2" xfId="4007"/>
    <cellStyle name="常规 3 2 4 9 3" xfId="188"/>
    <cellStyle name="常规 3 2 4 9 3 2" xfId="4008"/>
    <cellStyle name="常规 3 2 4 9 3_Sheet2" xfId="4011"/>
    <cellStyle name="常规 3 2 4 9 4" xfId="4012"/>
    <cellStyle name="常规 3 2 4 9 5" xfId="4014"/>
    <cellStyle name="常规 3 2 4 9_Sheet2" xfId="785"/>
    <cellStyle name="常规 3 2 4_Sheet2" xfId="4019"/>
    <cellStyle name="常规 3 2 5" xfId="537"/>
    <cellStyle name="常规 3 2 5 2" xfId="541"/>
    <cellStyle name="常规 3 2 5 2 2" xfId="545"/>
    <cellStyle name="常规 3 2 5 2 3" xfId="549"/>
    <cellStyle name="常规 3 2 5 2_Sheet2" xfId="4021"/>
    <cellStyle name="常规 3 2 5 3" xfId="551"/>
    <cellStyle name="常规 3 2 5 3 2" xfId="554"/>
    <cellStyle name="常规 3 2 5 3_Sheet2" xfId="4023"/>
    <cellStyle name="常规 3 2 5 4" xfId="561"/>
    <cellStyle name="常规 3 2 5 5" xfId="579"/>
    <cellStyle name="常规 3 2 5 6" xfId="584"/>
    <cellStyle name="常规 3 2 5_Sheet2" xfId="2631"/>
    <cellStyle name="常规 3 2 6" xfId="259"/>
    <cellStyle name="常规 3 2 6 2" xfId="4025"/>
    <cellStyle name="常规 3 2 6 2 2" xfId="2588"/>
    <cellStyle name="常规 3 2 6 2 3" xfId="4027"/>
    <cellStyle name="常规 3 2 6 2_Sheet2" xfId="4028"/>
    <cellStyle name="常规 3 2 6 3" xfId="4030"/>
    <cellStyle name="常规 3 2 6 3 2" xfId="4031"/>
    <cellStyle name="常规 3 2 6 3_Sheet2" xfId="4038"/>
    <cellStyle name="常规 3 2 6 4" xfId="605"/>
    <cellStyle name="常规 3 2 6 5" xfId="611"/>
    <cellStyle name="常规 3 2 6 6" xfId="4039"/>
    <cellStyle name="常规 3 2 6_Sheet2" xfId="4045"/>
    <cellStyle name="常规 3 2 7" xfId="588"/>
    <cellStyle name="常规 3 2 7 2" xfId="4047"/>
    <cellStyle name="常规 3 2 7 2 2" xfId="3921"/>
    <cellStyle name="常规 3 2 7 2 3" xfId="4050"/>
    <cellStyle name="常规 3 2 7 2_Sheet2" xfId="1759"/>
    <cellStyle name="常规 3 2 7 3" xfId="4052"/>
    <cellStyle name="常规 3 2 7 3 2" xfId="4054"/>
    <cellStyle name="常规 3 2 7 3_Sheet2" xfId="4056"/>
    <cellStyle name="常规 3 2 7 4" xfId="624"/>
    <cellStyle name="常规 3 2 7 5" xfId="640"/>
    <cellStyle name="常规 3 2 7 6" xfId="4058"/>
    <cellStyle name="常规 3 2 7_Sheet2" xfId="4059"/>
    <cellStyle name="常规 3 2 8" xfId="4061"/>
    <cellStyle name="常规 3 2 8 2" xfId="4063"/>
    <cellStyle name="常规 3 2 8 2 2" xfId="4064"/>
    <cellStyle name="常规 3 2 8 2 3" xfId="4071"/>
    <cellStyle name="常规 3 2 8 2_Sheet2" xfId="4074"/>
    <cellStyle name="常规 3 2 8 3" xfId="3878"/>
    <cellStyle name="常规 3 2 8 3 2" xfId="4075"/>
    <cellStyle name="常规 3 2 8 3_Sheet2" xfId="4078"/>
    <cellStyle name="常规 3 2 8 4" xfId="645"/>
    <cellStyle name="常规 3 2 8 5" xfId="4080"/>
    <cellStyle name="常规 3 2 8 6" xfId="4082"/>
    <cellStyle name="常规 3 2 8_Sheet2" xfId="4083"/>
    <cellStyle name="常规 3 2 9" xfId="4084"/>
    <cellStyle name="常规 3 2 9 2" xfId="4035"/>
    <cellStyle name="常规 3 2 9 2 2" xfId="4086"/>
    <cellStyle name="常规 3 2 9 2 3" xfId="2445"/>
    <cellStyle name="常规 3 2 9 2_Sheet2" xfId="4091"/>
    <cellStyle name="常规 3 2 9 3" xfId="4093"/>
    <cellStyle name="常规 3 2 9 3 2" xfId="4095"/>
    <cellStyle name="常规 3 2 9 3_Sheet2" xfId="4097"/>
    <cellStyle name="常规 3 2 9 4" xfId="4100"/>
    <cellStyle name="常规 3 2 9 5" xfId="4101"/>
    <cellStyle name="常规 3 2 9_Sheet2" xfId="4103"/>
    <cellStyle name="常规 3 2_Sheet2" xfId="208"/>
    <cellStyle name="常规 3 3" xfId="3838"/>
    <cellStyle name="常规 3 3 2" xfId="4104"/>
    <cellStyle name="常规 3 3 3" xfId="4109"/>
    <cellStyle name="常规 3 3 4" xfId="4112"/>
    <cellStyle name="常规 3 3_Sheet2" xfId="4113"/>
    <cellStyle name="常规 3 4" xfId="3840"/>
    <cellStyle name="常规 3 4 2" xfId="4120"/>
    <cellStyle name="常规 3 4_Sheet2" xfId="4124"/>
    <cellStyle name="常规 3 5" xfId="4127"/>
    <cellStyle name="常规 3 6" xfId="4132"/>
    <cellStyle name="常规 3 7" xfId="4138"/>
    <cellStyle name="常规 3 8" xfId="4142"/>
    <cellStyle name="常规 3 9" xfId="4145"/>
    <cellStyle name="常规 3_Sheet2" xfId="4146"/>
    <cellStyle name="常规 30" xfId="2240"/>
    <cellStyle name="常规 31" xfId="2244"/>
    <cellStyle name="常规 32" xfId="2248"/>
    <cellStyle name="常规 33" xfId="2254"/>
    <cellStyle name="常规 34" xfId="2261"/>
    <cellStyle name="常规 35" xfId="4153"/>
    <cellStyle name="常规 36" xfId="4155"/>
    <cellStyle name="常规 37" xfId="4157"/>
    <cellStyle name="常规 38" xfId="4163"/>
    <cellStyle name="常规 39" xfId="32"/>
    <cellStyle name="常规 4" xfId="2598"/>
    <cellStyle name="常规 4 10" xfId="4165"/>
    <cellStyle name="常规 4 11" xfId="4166"/>
    <cellStyle name="常规 4 11 10" xfId="4167"/>
    <cellStyle name="常规 4 11 10 2" xfId="4168"/>
    <cellStyle name="常规 4 11 10 2 2" xfId="4170"/>
    <cellStyle name="常规 4 11 10 3" xfId="4173"/>
    <cellStyle name="常规 4 11 10 4" xfId="4175"/>
    <cellStyle name="常规 4 11 11" xfId="4178"/>
    <cellStyle name="常规 4 11 11 2" xfId="4180"/>
    <cellStyle name="常规 4 11 12" xfId="4182"/>
    <cellStyle name="常规 4 11 13" xfId="4187"/>
    <cellStyle name="常规 4 11 2" xfId="2410"/>
    <cellStyle name="常规 4 11 2 10" xfId="4194"/>
    <cellStyle name="常规 4 11 2 10 2" xfId="4197"/>
    <cellStyle name="常规 4 11 2 11" xfId="3694"/>
    <cellStyle name="常规 4 11 2 12" xfId="3699"/>
    <cellStyle name="常规 4 11 2 2" xfId="2415"/>
    <cellStyle name="常规 4 11 2 2 10" xfId="4207"/>
    <cellStyle name="常规 4 11 2 2 11" xfId="2952"/>
    <cellStyle name="常规 4 11 2 2 2" xfId="4209"/>
    <cellStyle name="常规 4 11 2 2 2 2" xfId="4210"/>
    <cellStyle name="常规 4 11 2 2 2 2 2" xfId="1793"/>
    <cellStyle name="常规 4 11 2 2 2 2 2 2" xfId="4211"/>
    <cellStyle name="常规 4 11 2 2 2 2 2 2 2" xfId="4116"/>
    <cellStyle name="常规 4 11 2 2 2 2 2 2 2 2" xfId="4213"/>
    <cellStyle name="常规 4 11 2 2 2 2 2 2 2 2 2" xfId="4214"/>
    <cellStyle name="常规 4 11 2 2 2 2 2 2 2 2 2 2" xfId="1404"/>
    <cellStyle name="常规 4 11 2 2 2 2 2 2 2 2 3" xfId="3237"/>
    <cellStyle name="常规 4 11 2 2 2 2 2 2 2 2 4" xfId="1539"/>
    <cellStyle name="常规 4 11 2 2 2 2 2 2 2 3" xfId="4216"/>
    <cellStyle name="常规 4 11 2 2 2 2 2 2 2 3 2" xfId="4217"/>
    <cellStyle name="常规 4 11 2 2 2 2 2 2 2 4" xfId="4222"/>
    <cellStyle name="常规 4 11 2 2 2 2 2 2 2 5" xfId="3412"/>
    <cellStyle name="常规 4 11 2 2 2 2 2 2 3" xfId="4226"/>
    <cellStyle name="常规 4 11 2 2 2 2 2 2 3 2" xfId="4232"/>
    <cellStyle name="常规 4 11 2 2 2 2 2 2 3 2 2" xfId="4234"/>
    <cellStyle name="常规 4 11 2 2 2 2 2 2 3 3" xfId="4238"/>
    <cellStyle name="常规 4 11 2 2 2 2 2 2 3 4" xfId="4240"/>
    <cellStyle name="常规 4 11 2 2 2 2 2 2 4" xfId="4245"/>
    <cellStyle name="常规 4 11 2 2 2 2 2 2 4 2" xfId="4250"/>
    <cellStyle name="常规 4 11 2 2 2 2 2 2 5" xfId="4255"/>
    <cellStyle name="常规 4 11 2 2 2 2 2 2 6" xfId="4256"/>
    <cellStyle name="常规 4 11 2 2 2 2 2 3" xfId="4260"/>
    <cellStyle name="常规 4 11 2 2 2 2 2 3 2" xfId="4264"/>
    <cellStyle name="常规 4 11 2 2 2 2 2 3 2 2" xfId="4267"/>
    <cellStyle name="常规 4 11 2 2 2 2 2 3 2 2 2" xfId="4271"/>
    <cellStyle name="常规 4 11 2 2 2 2 2 3 2 3" xfId="4274"/>
    <cellStyle name="常规 4 11 2 2 2 2 2 3 2 4" xfId="4278"/>
    <cellStyle name="常规 4 11 2 2 2 2 2 3 3" xfId="4280"/>
    <cellStyle name="常规 4 11 2 2 2 2 2 3 3 2" xfId="4284"/>
    <cellStyle name="常规 4 11 2 2 2 2 2 3 4" xfId="4291"/>
    <cellStyle name="常规 4 11 2 2 2 2 2 3 5" xfId="4294"/>
    <cellStyle name="常规 4 11 2 2 2 2 2 4" xfId="4300"/>
    <cellStyle name="常规 4 11 2 2 2 2 2 4 2" xfId="4307"/>
    <cellStyle name="常规 4 11 2 2 2 2 2 4 2 2" xfId="4313"/>
    <cellStyle name="常规 4 11 2 2 2 2 2 4 3" xfId="4319"/>
    <cellStyle name="常规 4 11 2 2 2 2 2 4 4" xfId="4321"/>
    <cellStyle name="常规 4 11 2 2 2 2 2 5" xfId="4330"/>
    <cellStyle name="常规 4 11 2 2 2 2 2 5 2" xfId="4337"/>
    <cellStyle name="常规 4 11 2 2 2 2 2 6" xfId="3436"/>
    <cellStyle name="常规 4 11 2 2 2 2 2 7" xfId="4345"/>
    <cellStyle name="常规 4 11 2 2 2 2 3" xfId="4347"/>
    <cellStyle name="常规 4 11 2 2 2 2 3 2" xfId="2984"/>
    <cellStyle name="常规 4 11 2 2 2 2 3 2 2" xfId="4351"/>
    <cellStyle name="常规 4 11 2 2 2 2 3 2 2 2" xfId="4353"/>
    <cellStyle name="常规 4 11 2 2 2 2 3 2 2 2 2" xfId="4355"/>
    <cellStyle name="常规 4 11 2 2 2 2 3 2 2 3" xfId="4356"/>
    <cellStyle name="常规 4 11 2 2 2 2 3 2 2 4" xfId="4357"/>
    <cellStyle name="常规 4 11 2 2 2 2 3 2 3" xfId="4361"/>
    <cellStyle name="常规 4 11 2 2 2 2 3 2 3 2" xfId="4365"/>
    <cellStyle name="常规 4 11 2 2 2 2 3 2 4" xfId="4204"/>
    <cellStyle name="常规 4 11 2 2 2 2 3 2 5" xfId="2948"/>
    <cellStyle name="常规 4 11 2 2 2 2 3 3" xfId="4366"/>
    <cellStyle name="常规 4 11 2 2 2 2 3 3 2" xfId="4369"/>
    <cellStyle name="常规 4 11 2 2 2 2 3 3 2 2" xfId="4371"/>
    <cellStyle name="常规 4 11 2 2 2 2 3 3 3" xfId="4149"/>
    <cellStyle name="常规 4 11 2 2 2 2 3 3 4" xfId="4373"/>
    <cellStyle name="常规 4 11 2 2 2 2 3 4" xfId="4379"/>
    <cellStyle name="常规 4 11 2 2 2 2 3 4 2" xfId="4383"/>
    <cellStyle name="常规 4 11 2 2 2 2 3 5" xfId="4389"/>
    <cellStyle name="常规 4 11 2 2 2 2 3 6" xfId="4396"/>
    <cellStyle name="常规 4 11 2 2 2 2 4" xfId="4401"/>
    <cellStyle name="常规 4 11 2 2 2 2 4 2" xfId="4410"/>
    <cellStyle name="常规 4 11 2 2 2 2 4 2 2" xfId="4420"/>
    <cellStyle name="常规 4 11 2 2 2 2 4 2 2 2" xfId="1906"/>
    <cellStyle name="常规 4 11 2 2 2 2 4 2 3" xfId="4425"/>
    <cellStyle name="常规 4 11 2 2 2 2 4 2 4" xfId="4426"/>
    <cellStyle name="常规 4 11 2 2 2 2 4 3" xfId="4437"/>
    <cellStyle name="常规 4 11 2 2 2 2 4 3 2" xfId="2610"/>
    <cellStyle name="常规 4 11 2 2 2 2 4 4" xfId="424"/>
    <cellStyle name="常规 4 11 2 2 2 2 4 5" xfId="4445"/>
    <cellStyle name="常规 4 11 2 2 2 2 5" xfId="4450"/>
    <cellStyle name="常规 4 11 2 2 2 2 5 2" xfId="1185"/>
    <cellStyle name="常规 4 11 2 2 2 2 5 2 2" xfId="4454"/>
    <cellStyle name="常规 4 11 2 2 2 2 5 3" xfId="1190"/>
    <cellStyle name="常规 4 11 2 2 2 2 5 4" xfId="4458"/>
    <cellStyle name="常规 4 11 2 2 2 2 6" xfId="4411"/>
    <cellStyle name="常规 4 11 2 2 2 2 6 2" xfId="4417"/>
    <cellStyle name="常规 4 11 2 2 2 2 7" xfId="4438"/>
    <cellStyle name="常规 4 11 2 2 2 2 8" xfId="425"/>
    <cellStyle name="常规 4 11 2 2 2 3" xfId="4459"/>
    <cellStyle name="常规 4 11 2 2 2 3 2" xfId="4460"/>
    <cellStyle name="常规 4 11 2 2 2 3 2 2" xfId="4461"/>
    <cellStyle name="常规 4 11 2 2 2 3 2 2 2" xfId="4464"/>
    <cellStyle name="常规 4 11 2 2 2 3 2 2 2 2" xfId="4466"/>
    <cellStyle name="常规 4 11 2 2 2 3 2 2 2 2 2" xfId="4468"/>
    <cellStyle name="常规 4 11 2 2 2 3 2 2 2 3" xfId="4469"/>
    <cellStyle name="常规 4 11 2 2 2 3 2 2 2 4" xfId="2956"/>
    <cellStyle name="常规 4 11 2 2 2 3 2 2 3" xfId="4472"/>
    <cellStyle name="常规 4 11 2 2 2 3 2 2 3 2" xfId="1292"/>
    <cellStyle name="常规 4 11 2 2 2 3 2 2 4" xfId="4476"/>
    <cellStyle name="常规 4 11 2 2 2 3 2 2 5" xfId="4478"/>
    <cellStyle name="常规 4 11 2 2 2 3 2 3" xfId="1"/>
    <cellStyle name="常规 4 11 2 2 2 3 2 3 2" xfId="169"/>
    <cellStyle name="常规 4 11 2 2 2 3 2 3 2 2" xfId="1536"/>
    <cellStyle name="常规 4 11 2 2 2 3 2 3 3" xfId="112"/>
    <cellStyle name="常规 4 11 2 2 2 3 2 3 4" xfId="62"/>
    <cellStyle name="常规 4 11 2 2 2 3 2 4" xfId="4484"/>
    <cellStyle name="常规 4 11 2 2 2 3 2 4 2" xfId="4490"/>
    <cellStyle name="常规 4 11 2 2 2 3 2 5" xfId="4496"/>
    <cellStyle name="常规 4 11 2 2 2 3 2 6" xfId="4504"/>
    <cellStyle name="常规 4 11 2 2 2 3 3" xfId="4506"/>
    <cellStyle name="常规 4 11 2 2 2 3 3 2" xfId="4508"/>
    <cellStyle name="常规 4 11 2 2 2 3 3 2 2" xfId="4514"/>
    <cellStyle name="常规 4 11 2 2 2 3 3 2 2 2" xfId="4515"/>
    <cellStyle name="常规 4 11 2 2 2 3 3 2 3" xfId="2777"/>
    <cellStyle name="常规 4 11 2 2 2 3 3 2 4" xfId="4516"/>
    <cellStyle name="常规 4 11 2 2 2 3 3 3" xfId="4518"/>
    <cellStyle name="常规 4 11 2 2 2 3 3 3 2" xfId="4520"/>
    <cellStyle name="常规 4 11 2 2 2 3 3 4" xfId="4525"/>
    <cellStyle name="常规 4 11 2 2 2 3 3 5" xfId="4528"/>
    <cellStyle name="常规 4 11 2 2 2 3 4" xfId="125"/>
    <cellStyle name="常规 4 11 2 2 2 3 4 2" xfId="149"/>
    <cellStyle name="常规 4 11 2 2 2 3 4 2 2" xfId="368"/>
    <cellStyle name="常规 4 11 2 2 2 3 4 3" xfId="164"/>
    <cellStyle name="常规 4 11 2 2 2 3 4 4" xfId="109"/>
    <cellStyle name="常规 4 11 2 2 2 3 5" xfId="1176"/>
    <cellStyle name="常规 4 11 2 2 2 3 5 2" xfId="1230"/>
    <cellStyle name="常规 4 11 2 2 2 3 6" xfId="1186"/>
    <cellStyle name="常规 4 11 2 2 2 3 7" xfId="1191"/>
    <cellStyle name="常规 4 11 2 2 2 4" xfId="4532"/>
    <cellStyle name="常规 4 11 2 2 2 4 2" xfId="2782"/>
    <cellStyle name="常规 4 11 2 2 2 4 2 2" xfId="2784"/>
    <cellStyle name="常规 4 11 2 2 2 4 2 2 2" xfId="4535"/>
    <cellStyle name="常规 4 11 2 2 2 4 2 2 2 2" xfId="4536"/>
    <cellStyle name="常规 4 11 2 2 2 4 2 2 3" xfId="4538"/>
    <cellStyle name="常规 4 11 2 2 2 4 2 2 4" xfId="4540"/>
    <cellStyle name="常规 4 11 2 2 2 4 2 3" xfId="688"/>
    <cellStyle name="常规 4 11 2 2 2 4 2 3 2" xfId="4545"/>
    <cellStyle name="常规 4 11 2 2 2 4 2 4" xfId="156"/>
    <cellStyle name="常规 4 11 2 2 2 4 2 5" xfId="4548"/>
    <cellStyle name="常规 4 11 2 2 2 4 3" xfId="2787"/>
    <cellStyle name="常规 4 11 2 2 2 4 3 2" xfId="4550"/>
    <cellStyle name="常规 4 11 2 2 2 4 3 2 2" xfId="4551"/>
    <cellStyle name="常规 4 11 2 2 2 4 3 3" xfId="699"/>
    <cellStyle name="常规 4 11 2 2 2 4 3 4" xfId="4553"/>
    <cellStyle name="常规 4 11 2 2 2 4 4" xfId="2795"/>
    <cellStyle name="常规 4 11 2 2 2 4 4 2" xfId="4558"/>
    <cellStyle name="常规 4 11 2 2 2 4 5" xfId="4564"/>
    <cellStyle name="常规 4 11 2 2 2 4 6" xfId="4421"/>
    <cellStyle name="常规 4 11 2 2 2 5" xfId="4565"/>
    <cellStyle name="常规 4 11 2 2 2 5 2" xfId="2814"/>
    <cellStyle name="常规 4 11 2 2 2 5 2 2" xfId="2816"/>
    <cellStyle name="常规 4 11 2 2 2 5 2 2 2" xfId="4566"/>
    <cellStyle name="常规 4 11 2 2 2 5 2 3" xfId="4568"/>
    <cellStyle name="常规 4 11 2 2 2 5 2 4" xfId="4573"/>
    <cellStyle name="常规 4 11 2 2 2 5 3" xfId="2821"/>
    <cellStyle name="常规 4 11 2 2 2 5 3 2" xfId="4575"/>
    <cellStyle name="常规 4 11 2 2 2 5 4" xfId="2827"/>
    <cellStyle name="常规 4 11 2 2 2 5 5" xfId="3422"/>
    <cellStyle name="常规 4 11 2 2 2 6" xfId="4577"/>
    <cellStyle name="常规 4 11 2 2 2 6 2" xfId="2846"/>
    <cellStyle name="常规 4 11 2 2 2 6 2 2" xfId="2849"/>
    <cellStyle name="常规 4 11 2 2 2 6 3" xfId="2859"/>
    <cellStyle name="常规 4 11 2 2 2 6 4" xfId="2863"/>
    <cellStyle name="常规 4 11 2 2 2 7" xfId="4580"/>
    <cellStyle name="常规 4 11 2 2 2 7 2" xfId="2889"/>
    <cellStyle name="常规 4 11 2 2 2 8" xfId="4584"/>
    <cellStyle name="常规 4 11 2 2 2 9" xfId="2342"/>
    <cellStyle name="常规 4 11 2 2 3" xfId="4588"/>
    <cellStyle name="常规 4 11 2 2 3 2" xfId="4589"/>
    <cellStyle name="常规 4 11 2 2 3 2 2" xfId="1695"/>
    <cellStyle name="常规 4 11 2 2 3 2 2 2" xfId="4590"/>
    <cellStyle name="常规 4 11 2 2 3 2 2 2 2" xfId="4593"/>
    <cellStyle name="常规 4 11 2 2 3 2 2 2 2 2" xfId="4596"/>
    <cellStyle name="常规 4 11 2 2 3 2 2 2 2 2 2" xfId="4600"/>
    <cellStyle name="常规 4 11 2 2 3 2 2 2 2 2 2 2" xfId="4606"/>
    <cellStyle name="常规 4 11 2 2 3 2 2 2 2 2 3" xfId="4611"/>
    <cellStyle name="常规 4 11 2 2 3 2 2 2 2 2 4" xfId="4617"/>
    <cellStyle name="常规 4 11 2 2 3 2 2 2 2 3" xfId="4619"/>
    <cellStyle name="常规 4 11 2 2 3 2 2 2 2 3 2" xfId="3225"/>
    <cellStyle name="常规 4 11 2 2 3 2 2 2 2 4" xfId="4622"/>
    <cellStyle name="常规 4 11 2 2 3 2 2 2 2 5" xfId="4625"/>
    <cellStyle name="常规 4 11 2 2 3 2 2 2 3" xfId="921"/>
    <cellStyle name="常规 4 11 2 2 3 2 2 2 3 2" xfId="4626"/>
    <cellStyle name="常规 4 11 2 2 3 2 2 2 3 2 2" xfId="4631"/>
    <cellStyle name="常规 4 11 2 2 3 2 2 2 3 3" xfId="4632"/>
    <cellStyle name="常规 4 11 2 2 3 2 2 2 3 4" xfId="4633"/>
    <cellStyle name="常规 4 11 2 2 3 2 2 2 4" xfId="4638"/>
    <cellStyle name="常规 4 11 2 2 3 2 2 2 4 2" xfId="4639"/>
    <cellStyle name="常规 4 11 2 2 3 2 2 2 5" xfId="4640"/>
    <cellStyle name="常规 4 11 2 2 3 2 2 2 6" xfId="4641"/>
    <cellStyle name="常规 4 11 2 2 3 2 2 3" xfId="4642"/>
    <cellStyle name="常规 4 11 2 2 3 2 2 3 2" xfId="4648"/>
    <cellStyle name="常规 4 11 2 2 3 2 2 3 2 2" xfId="4649"/>
    <cellStyle name="常规 4 11 2 2 3 2 2 3 2 2 2" xfId="2758"/>
    <cellStyle name="常规 4 11 2 2 3 2 2 3 2 3" xfId="4268"/>
    <cellStyle name="常规 4 11 2 2 3 2 2 3 2 4" xfId="4650"/>
    <cellStyle name="常规 4 11 2 2 3 2 2 3 3" xfId="4653"/>
    <cellStyle name="常规 4 11 2 2 3 2 2 3 3 2" xfId="4655"/>
    <cellStyle name="常规 4 11 2 2 3 2 2 3 4" xfId="4657"/>
    <cellStyle name="常规 4 11 2 2 3 2 2 3 5" xfId="4659"/>
    <cellStyle name="常规 4 11 2 2 3 2 2 4" xfId="4667"/>
    <cellStyle name="常规 4 11 2 2 3 2 2 4 2" xfId="4676"/>
    <cellStyle name="常规 4 11 2 2 3 2 2 4 2 2" xfId="4678"/>
    <cellStyle name="常规 4 11 2 2 3 2 2 4 3" xfId="4682"/>
    <cellStyle name="常规 4 11 2 2 3 2 2 4 4" xfId="4687"/>
    <cellStyle name="常规 4 11 2 2 3 2 2 5" xfId="4695"/>
    <cellStyle name="常规 4 11 2 2 3 2 2 5 2" xfId="4700"/>
    <cellStyle name="常规 4 11 2 2 3 2 2 6" xfId="4709"/>
    <cellStyle name="常规 4 11 2 2 3 2 2 7" xfId="4713"/>
    <cellStyle name="常规 4 11 2 2 3 2 3" xfId="1511"/>
    <cellStyle name="常规 4 11 2 2 3 2 3 2" xfId="4715"/>
    <cellStyle name="常规 4 11 2 2 3 2 3 2 2" xfId="4720"/>
    <cellStyle name="常规 4 11 2 2 3 2 3 2 2 2" xfId="4220"/>
    <cellStyle name="常规 4 11 2 2 3 2 3 2 2 2 2" xfId="4721"/>
    <cellStyle name="常规 4 11 2 2 3 2 3 2 2 3" xfId="3409"/>
    <cellStyle name="常规 4 11 2 2 3 2 3 2 2 4" xfId="4724"/>
    <cellStyle name="常规 4 11 2 2 3 2 3 2 3" xfId="3241"/>
    <cellStyle name="常规 4 11 2 2 3 2 3 2 3 2" xfId="4239"/>
    <cellStyle name="常规 4 11 2 2 3 2 3 2 4" xfId="4726"/>
    <cellStyle name="常规 4 11 2 2 3 2 3 2 5" xfId="4727"/>
    <cellStyle name="常规 4 11 2 2 3 2 3 3" xfId="4729"/>
    <cellStyle name="常规 4 11 2 2 3 2 3 3 2" xfId="4732"/>
    <cellStyle name="常规 4 11 2 2 3 2 3 3 2 2" xfId="4276"/>
    <cellStyle name="常规 4 11 2 2 3 2 3 3 3" xfId="4734"/>
    <cellStyle name="常规 4 11 2 2 3 2 3 3 4" xfId="4736"/>
    <cellStyle name="常规 4 11 2 2 3 2 3 4" xfId="4743"/>
    <cellStyle name="常规 4 11 2 2 3 2 3 4 2" xfId="4745"/>
    <cellStyle name="常规 4 11 2 2 3 2 3 5" xfId="4751"/>
    <cellStyle name="常规 4 11 2 2 3 2 3 6" xfId="4754"/>
    <cellStyle name="常规 4 11 2 2 3 2 4" xfId="4759"/>
    <cellStyle name="常规 4 11 2 2 3 2 4 2" xfId="4766"/>
    <cellStyle name="常规 4 11 2 2 3 2 4 2 2" xfId="4771"/>
    <cellStyle name="常规 4 11 2 2 3 2 4 2 2 2" xfId="4359"/>
    <cellStyle name="常规 4 11 2 2 3 2 4 2 3" xfId="4773"/>
    <cellStyle name="常规 4 11 2 2 3 2 4 2 4" xfId="4775"/>
    <cellStyle name="常规 4 11 2 2 3 2 4 3" xfId="4781"/>
    <cellStyle name="常规 4 11 2 2 3 2 4 3 2" xfId="4784"/>
    <cellStyle name="常规 4 11 2 2 3 2 4 4" xfId="4793"/>
    <cellStyle name="常规 4 11 2 2 3 2 4 5" xfId="4801"/>
    <cellStyle name="常规 4 11 2 2 3 2 5" xfId="4805"/>
    <cellStyle name="常规 4 11 2 2 3 2 5 2" xfId="4811"/>
    <cellStyle name="常规 4 11 2 2 3 2 5 2 2" xfId="4814"/>
    <cellStyle name="常规 4 11 2 2 3 2 5 3" xfId="4818"/>
    <cellStyle name="常规 4 11 2 2 3 2 5 4" xfId="4822"/>
    <cellStyle name="常规 4 11 2 2 3 2 6" xfId="150"/>
    <cellStyle name="常规 4 11 2 2 3 2 6 2" xfId="370"/>
    <cellStyle name="常规 4 11 2 2 3 2 7" xfId="165"/>
    <cellStyle name="常规 4 11 2 2 3 2 8" xfId="110"/>
    <cellStyle name="常规 4 11 2 2 3 3" xfId="4823"/>
    <cellStyle name="常规 4 11 2 2 3 3 2" xfId="2283"/>
    <cellStyle name="常规 4 11 2 2 3 3 2 2" xfId="2287"/>
    <cellStyle name="常规 4 11 2 2 3 3 2 2 2" xfId="2291"/>
    <cellStyle name="常规 4 11 2 2 3 3 2 2 2 2" xfId="4824"/>
    <cellStyle name="常规 4 11 2 2 3 3 2 2 2 2 2" xfId="4826"/>
    <cellStyle name="常规 4 11 2 2 3 3 2 2 2 3" xfId="4828"/>
    <cellStyle name="常规 4 11 2 2 3 3 2 2 2 4" xfId="4829"/>
    <cellStyle name="常规 4 11 2 2 3 3 2 2 3" xfId="2296"/>
    <cellStyle name="常规 4 11 2 2 3 3 2 2 3 2" xfId="4831"/>
    <cellStyle name="常规 4 11 2 2 3 3 2 2 4" xfId="4833"/>
    <cellStyle name="常规 4 11 2 2 3 3 2 2 5" xfId="4835"/>
    <cellStyle name="常规 4 11 2 2 3 3 2 3" xfId="2302"/>
    <cellStyle name="常规 4 11 2 2 3 3 2 3 2" xfId="2307"/>
    <cellStyle name="常规 4 11 2 2 3 3 2 3 2 2" xfId="4836"/>
    <cellStyle name="常规 4 11 2 2 3 3 2 3 3" xfId="4839"/>
    <cellStyle name="常规 4 11 2 2 3 3 2 3 4" xfId="4841"/>
    <cellStyle name="常规 4 11 2 2 3 3 2 4" xfId="2323"/>
    <cellStyle name="常规 4 11 2 2 3 3 2 4 2" xfId="4844"/>
    <cellStyle name="常规 4 11 2 2 3 3 2 5" xfId="2327"/>
    <cellStyle name="常规 4 11 2 2 3 3 2 6" xfId="4847"/>
    <cellStyle name="常规 4 11 2 2 3 3 3" xfId="2333"/>
    <cellStyle name="常规 4 11 2 2 3 3 3 2" xfId="2339"/>
    <cellStyle name="常规 4 11 2 2 3 3 3 2 2" xfId="2346"/>
    <cellStyle name="常规 4 11 2 2 3 3 3 2 2 2" xfId="2953"/>
    <cellStyle name="常规 4 11 2 2 3 3 3 2 3" xfId="2351"/>
    <cellStyle name="常规 4 11 2 2 3 3 3 2 4" xfId="2961"/>
    <cellStyle name="常规 4 11 2 2 3 3 3 3" xfId="2360"/>
    <cellStyle name="常规 4 11 2 2 3 3 3 3 2" xfId="2363"/>
    <cellStyle name="常规 4 11 2 2 3 3 3 4" xfId="2373"/>
    <cellStyle name="常规 4 11 2 2 3 3 3 5" xfId="2379"/>
    <cellStyle name="常规 4 11 2 2 3 3 4" xfId="1201"/>
    <cellStyle name="常规 4 11 2 2 3 3 4 2" xfId="508"/>
    <cellStyle name="常规 4 11 2 2 3 3 4 2 2" xfId="2388"/>
    <cellStyle name="常规 4 11 2 2 3 3 4 3" xfId="526"/>
    <cellStyle name="常规 4 11 2 2 3 3 4 4" xfId="1209"/>
    <cellStyle name="常规 4 11 2 2 3 3 5" xfId="1221"/>
    <cellStyle name="常规 4 11 2 2 3 3 5 2" xfId="1941"/>
    <cellStyle name="常规 4 11 2 2 3 3 6" xfId="1231"/>
    <cellStyle name="常规 4 11 2 2 3 3 7" xfId="1245"/>
    <cellStyle name="常规 4 11 2 2 3 4" xfId="4848"/>
    <cellStyle name="常规 4 11 2 2 3 4 2" xfId="3052"/>
    <cellStyle name="常规 4 11 2 2 3 4 2 2" xfId="2567"/>
    <cellStyle name="常规 4 11 2 2 3 4 2 2 2" xfId="4852"/>
    <cellStyle name="常规 4 11 2 2 3 4 2 2 2 2" xfId="4853"/>
    <cellStyle name="常规 4 11 2 2 3 4 2 2 3" xfId="4855"/>
    <cellStyle name="常规 4 11 2 2 3 4 2 2 4" xfId="4857"/>
    <cellStyle name="常规 4 11 2 2 3 4 2 3" xfId="738"/>
    <cellStyle name="常规 4 11 2 2 3 4 2 3 2" xfId="4859"/>
    <cellStyle name="常规 4 11 2 2 3 4 2 4" xfId="747"/>
    <cellStyle name="常规 4 11 2 2 3 4 2 5" xfId="3846"/>
    <cellStyle name="常规 4 11 2 2 3 4 3" xfId="3058"/>
    <cellStyle name="常规 4 11 2 2 3 4 3 2" xfId="4863"/>
    <cellStyle name="常规 4 11 2 2 3 4 3 2 2" xfId="4867"/>
    <cellStyle name="常规 4 11 2 2 3 4 3 3" xfId="758"/>
    <cellStyle name="常规 4 11 2 2 3 4 3 4" xfId="4871"/>
    <cellStyle name="常规 4 11 2 2 3 4 4" xfId="3063"/>
    <cellStyle name="常规 4 11 2 2 3 4 4 2" xfId="4878"/>
    <cellStyle name="常规 4 11 2 2 3 4 5" xfId="4077"/>
    <cellStyle name="常规 4 11 2 2 3 4 6" xfId="4455"/>
    <cellStyle name="常规 4 11 2 2 3 5" xfId="4880"/>
    <cellStyle name="常规 4 11 2 2 3 5 2" xfId="3077"/>
    <cellStyle name="常规 4 11 2 2 3 5 2 2" xfId="3084"/>
    <cellStyle name="常规 4 11 2 2 3 5 2 2 2" xfId="4883"/>
    <cellStyle name="常规 4 11 2 2 3 5 2 3" xfId="4889"/>
    <cellStyle name="常规 4 11 2 2 3 5 2 4" xfId="4896"/>
    <cellStyle name="常规 4 11 2 2 3 5 3" xfId="3092"/>
    <cellStyle name="常规 4 11 2 2 3 5 3 2" xfId="4902"/>
    <cellStyle name="常规 4 11 2 2 3 5 4" xfId="3103"/>
    <cellStyle name="常规 4 11 2 2 3 5 5" xfId="3467"/>
    <cellStyle name="常规 4 11 2 2 3 6" xfId="4905"/>
    <cellStyle name="常规 4 11 2 2 3 6 2" xfId="3125"/>
    <cellStyle name="常规 4 11 2 2 3 6 2 2" xfId="3131"/>
    <cellStyle name="常规 4 11 2 2 3 6 3" xfId="3138"/>
    <cellStyle name="常规 4 11 2 2 3 6 4" xfId="3147"/>
    <cellStyle name="常规 4 11 2 2 3 7" xfId="4911"/>
    <cellStyle name="常规 4 11 2 2 3 7 2" xfId="3172"/>
    <cellStyle name="常规 4 11 2 2 3 8" xfId="4917"/>
    <cellStyle name="常规 4 11 2 2 3 9" xfId="512"/>
    <cellStyle name="常规 4 11 2 2 4" xfId="4918"/>
    <cellStyle name="常规 4 11 2 2 4 2" xfId="339"/>
    <cellStyle name="常规 4 11 2 2 4 2 2" xfId="983"/>
    <cellStyle name="常规 4 11 2 2 4 2 2 2" xfId="989"/>
    <cellStyle name="常规 4 11 2 2 4 2 2 2 2" xfId="992"/>
    <cellStyle name="常规 4 11 2 2 4 2 2 2 2 2" xfId="4919"/>
    <cellStyle name="常规 4 11 2 2 4 2 2 2 2 2 2" xfId="4920"/>
    <cellStyle name="常规 4 11 2 2 4 2 2 2 2 3" xfId="172"/>
    <cellStyle name="常规 4 11 2 2 4 2 2 2 2 4" xfId="1399"/>
    <cellStyle name="常规 4 11 2 2 4 2 2 2 3" xfId="994"/>
    <cellStyle name="常规 4 11 2 2 4 2 2 2 3 2" xfId="4921"/>
    <cellStyle name="常规 4 11 2 2 4 2 2 2 4" xfId="4922"/>
    <cellStyle name="常规 4 11 2 2 4 2 2 2 5" xfId="4924"/>
    <cellStyle name="常规 4 11 2 2 4 2 2 3" xfId="1005"/>
    <cellStyle name="常规 4 11 2 2 4 2 2 3 2" xfId="1012"/>
    <cellStyle name="常规 4 11 2 2 4 2 2 3 2 2" xfId="3238"/>
    <cellStyle name="常规 4 11 2 2 4 2 2 3 3" xfId="1021"/>
    <cellStyle name="常规 4 11 2 2 4 2 2 3 4" xfId="3275"/>
    <cellStyle name="常规 4 11 2 2 4 2 2 4" xfId="1033"/>
    <cellStyle name="常规 4 11 2 2 4 2 2 4 2" xfId="1036"/>
    <cellStyle name="常规 4 11 2 2 4 2 2 5" xfId="1050"/>
    <cellStyle name="常规 4 11 2 2 4 2 2 6" xfId="1062"/>
    <cellStyle name="常规 4 11 2 2 4 2 3" xfId="1065"/>
    <cellStyle name="常规 4 11 2 2 4 2 3 2" xfId="4926"/>
    <cellStyle name="常规 4 11 2 2 4 2 3 2 2" xfId="4928"/>
    <cellStyle name="常规 4 11 2 2 4 2 3 2 2 2" xfId="4621"/>
    <cellStyle name="常规 4 11 2 2 4 2 3 2 3" xfId="3740"/>
    <cellStyle name="常规 4 11 2 2 4 2 3 2 4" xfId="4931"/>
    <cellStyle name="常规 4 11 2 2 4 2 3 3" xfId="4934"/>
    <cellStyle name="常规 4 11 2 2 4 2 3 3 2" xfId="4936"/>
    <cellStyle name="常规 4 11 2 2 4 2 3 4" xfId="4941"/>
    <cellStyle name="常规 4 11 2 2 4 2 3 5" xfId="4945"/>
    <cellStyle name="常规 4 11 2 2 4 2 4" xfId="1071"/>
    <cellStyle name="常规 4 11 2 2 4 2 4 2" xfId="4953"/>
    <cellStyle name="常规 4 11 2 2 4 2 4 2 2" xfId="4958"/>
    <cellStyle name="常规 4 11 2 2 4 2 4 3" xfId="4964"/>
    <cellStyle name="常规 4 11 2 2 4 2 4 4" xfId="4973"/>
    <cellStyle name="常规 4 11 2 2 4 2 5" xfId="4977"/>
    <cellStyle name="常规 4 11 2 2 4 2 5 2" xfId="4983"/>
    <cellStyle name="常规 4 11 2 2 4 2 6" xfId="4559"/>
    <cellStyle name="常规 4 11 2 2 4 2 7" xfId="4988"/>
    <cellStyle name="常规 4 11 2 2 4 3" xfId="356"/>
    <cellStyle name="常规 4 11 2 2 4 3 2" xfId="1075"/>
    <cellStyle name="常规 4 11 2 2 4 3 2 2" xfId="1081"/>
    <cellStyle name="常规 4 11 2 2 4 3 2 2 2" xfId="1083"/>
    <cellStyle name="常规 4 11 2 2 4 3 2 2 2 2" xfId="4989"/>
    <cellStyle name="常规 4 11 2 2 4 3 2 2 3" xfId="784"/>
    <cellStyle name="常规 4 11 2 2 4 3 2 2 4" xfId="4991"/>
    <cellStyle name="常规 4 11 2 2 4 3 2 3" xfId="1086"/>
    <cellStyle name="常规 4 11 2 2 4 3 2 3 2" xfId="1089"/>
    <cellStyle name="常规 4 11 2 2 4 3 2 4" xfId="1098"/>
    <cellStyle name="常规 4 11 2 2 4 3 2 5" xfId="1105"/>
    <cellStyle name="常规 4 11 2 2 4 3 3" xfId="1112"/>
    <cellStyle name="常规 4 11 2 2 4 3 3 2" xfId="4993"/>
    <cellStyle name="常规 4 11 2 2 4 3 3 2 2" xfId="4994"/>
    <cellStyle name="常规 4 11 2 2 4 3 3 3" xfId="4996"/>
    <cellStyle name="常规 4 11 2 2 4 3 3 4" xfId="4999"/>
    <cellStyle name="常规 4 11 2 2 4 3 4" xfId="1124"/>
    <cellStyle name="常规 4 11 2 2 4 3 4 2" xfId="80"/>
    <cellStyle name="常规 4 11 2 2 4 3 5" xfId="228"/>
    <cellStyle name="常规 4 11 2 2 4 3 6" xfId="1284"/>
    <cellStyle name="常规 4 11 2 2 4 4" xfId="5000"/>
    <cellStyle name="常规 4 11 2 2 4 4 2" xfId="1785"/>
    <cellStyle name="常规 4 11 2 2 4 4 2 2" xfId="1678"/>
    <cellStyle name="常规 4 11 2 2 4 4 2 2 2" xfId="1789"/>
    <cellStyle name="常规 4 11 2 2 4 4 2 3" xfId="1801"/>
    <cellStyle name="常规 4 11 2 2 4 4 2 4" xfId="1808"/>
    <cellStyle name="常规 4 11 2 2 4 4 3" xfId="1827"/>
    <cellStyle name="常规 4 11 2 2 4 4 3 2" xfId="1831"/>
    <cellStyle name="常规 4 11 2 2 4 4 4" xfId="1866"/>
    <cellStyle name="常规 4 11 2 2 4 4 5" xfId="1877"/>
    <cellStyle name="常规 4 11 2 2 4 5" xfId="5002"/>
    <cellStyle name="常规 4 11 2 2 4 5 2" xfId="1564"/>
    <cellStyle name="常规 4 11 2 2 4 5 2 2" xfId="4637"/>
    <cellStyle name="常规 4 11 2 2 4 5 3" xfId="1574"/>
    <cellStyle name="常规 4 11 2 2 4 5 4" xfId="5011"/>
    <cellStyle name="常规 4 11 2 2 4 6" xfId="5017"/>
    <cellStyle name="常规 4 11 2 2 4 6 2" xfId="5022"/>
    <cellStyle name="常规 4 11 2 2 4 7" xfId="5028"/>
    <cellStyle name="常规 4 11 2 2 4 8" xfId="5032"/>
    <cellStyle name="常规 4 11 2 2 5" xfId="2027"/>
    <cellStyle name="常规 4 11 2 2 5 2" xfId="2032"/>
    <cellStyle name="常规 4 11 2 2 5 2 2" xfId="5033"/>
    <cellStyle name="常规 4 11 2 2 5 2 2 2" xfId="5034"/>
    <cellStyle name="常规 4 11 2 2 5 2 2 2 2" xfId="4746"/>
    <cellStyle name="常规 4 11 2 2 5 2 2 2 2 2" xfId="5035"/>
    <cellStyle name="常规 4 11 2 2 5 2 2 2 3" xfId="4752"/>
    <cellStyle name="常规 4 11 2 2 5 2 2 2 4" xfId="5036"/>
    <cellStyle name="常规 4 11 2 2 5 2 2 3" xfId="5037"/>
    <cellStyle name="常规 4 11 2 2 5 2 2 3 2" xfId="4797"/>
    <cellStyle name="常规 4 11 2 2 5 2 2 4" xfId="5039"/>
    <cellStyle name="常规 4 11 2 2 5 2 2 5" xfId="5042"/>
    <cellStyle name="常规 4 11 2 2 5 2 3" xfId="5043"/>
    <cellStyle name="常规 4 11 2 2 5 2 3 2" xfId="5046"/>
    <cellStyle name="常规 4 11 2 2 5 2 3 2 2" xfId="2376"/>
    <cellStyle name="常规 4 11 2 2 5 2 3 3" xfId="5049"/>
    <cellStyle name="常规 4 11 2 2 5 2 3 4" xfId="5053"/>
    <cellStyle name="常规 4 11 2 2 5 2 4" xfId="5058"/>
    <cellStyle name="常规 4 11 2 2 5 2 4 2" xfId="5065"/>
    <cellStyle name="常规 4 11 2 2 5 2 5" xfId="5072"/>
    <cellStyle name="常规 4 11 2 2 5 2 6" xfId="5082"/>
    <cellStyle name="常规 4 11 2 2 5 3" xfId="5086"/>
    <cellStyle name="常规 4 11 2 2 5 3 2" xfId="5087"/>
    <cellStyle name="常规 4 11 2 2 5 3 2 2" xfId="5088"/>
    <cellStyle name="常规 4 11 2 2 5 3 2 2 2" xfId="4943"/>
    <cellStyle name="常规 4 11 2 2 5 3 2 3" xfId="5089"/>
    <cellStyle name="常规 4 11 2 2 5 3 2 4" xfId="5092"/>
    <cellStyle name="常规 4 11 2 2 5 3 3" xfId="5093"/>
    <cellStyle name="常规 4 11 2 2 5 3 3 2" xfId="5095"/>
    <cellStyle name="常规 4 11 2 2 5 3 4" xfId="1155"/>
    <cellStyle name="常规 4 11 2 2 5 3 5" xfId="1312"/>
    <cellStyle name="常规 4 11 2 2 5 4" xfId="3584"/>
    <cellStyle name="常规 4 11 2 2 5 4 2" xfId="3257"/>
    <cellStyle name="常规 4 11 2 2 5 4 2 2" xfId="5099"/>
    <cellStyle name="常规 4 11 2 2 5 4 3" xfId="5107"/>
    <cellStyle name="常规 4 11 2 2 5 4 4" xfId="5110"/>
    <cellStyle name="常规 4 11 2 2 5 5" xfId="3587"/>
    <cellStyle name="常规 4 11 2 2 5 5 2" xfId="5114"/>
    <cellStyle name="常规 4 11 2 2 5 6" xfId="3617"/>
    <cellStyle name="常规 4 11 2 2 5 7" xfId="5120"/>
    <cellStyle name="常规 4 11 2 2 6" xfId="2045"/>
    <cellStyle name="常规 4 11 2 2 6 2" xfId="5121"/>
    <cellStyle name="常规 4 11 2 2 6 2 2" xfId="5122"/>
    <cellStyle name="常规 4 11 2 2 6 2 2 2" xfId="5123"/>
    <cellStyle name="常规 4 11 2 2 6 2 2 2 2" xfId="5125"/>
    <cellStyle name="常规 4 11 2 2 6 2 2 3" xfId="5126"/>
    <cellStyle name="常规 4 11 2 2 6 2 2 4" xfId="69"/>
    <cellStyle name="常规 4 11 2 2 6 2 3" xfId="5127"/>
    <cellStyle name="常规 4 11 2 2 6 2 3 2" xfId="1411"/>
    <cellStyle name="常规 4 11 2 2 6 2 4" xfId="5130"/>
    <cellStyle name="常规 4 11 2 2 6 2 5" xfId="5134"/>
    <cellStyle name="常规 4 11 2 2 6 3" xfId="5135"/>
    <cellStyle name="常规 4 11 2 2 6 3 2" xfId="5137"/>
    <cellStyle name="常规 4 11 2 2 6 3 2 2" xfId="5138"/>
    <cellStyle name="常规 4 11 2 2 6 3 3" xfId="5140"/>
    <cellStyle name="常规 4 11 2 2 6 3 4" xfId="1347"/>
    <cellStyle name="常规 4 11 2 2 6 4" xfId="3592"/>
    <cellStyle name="常规 4 11 2 2 6 4 2" xfId="3289"/>
    <cellStyle name="常规 4 11 2 2 6 5" xfId="5146"/>
    <cellStyle name="常规 4 11 2 2 6 6" xfId="5152"/>
    <cellStyle name="常规 4 11 2 2 7" xfId="5153"/>
    <cellStyle name="常规 4 11 2 2 7 2" xfId="5155"/>
    <cellStyle name="常规 4 11 2 2 7 2 2" xfId="5157"/>
    <cellStyle name="常规 4 11 2 2 7 2 2 2" xfId="1279"/>
    <cellStyle name="常规 4 11 2 2 7 2 3" xfId="3820"/>
    <cellStyle name="常规 4 11 2 2 7 2 4" xfId="5159"/>
    <cellStyle name="常规 4 11 2 2 7 3" xfId="5161"/>
    <cellStyle name="常规 4 11 2 2 7 3 2" xfId="60"/>
    <cellStyle name="常规 4 11 2 2 7 4" xfId="5165"/>
    <cellStyle name="常规 4 11 2 2 7 5" xfId="5173"/>
    <cellStyle name="常规 4 11 2 2 8" xfId="5174"/>
    <cellStyle name="常规 4 11 2 2 8 2" xfId="3493"/>
    <cellStyle name="常规 4 11 2 2 8 2 2" xfId="5182"/>
    <cellStyle name="常规 4 11 2 2 8 3" xfId="5188"/>
    <cellStyle name="常规 4 11 2 2 8 4" xfId="5189"/>
    <cellStyle name="常规 4 11 2 2 9" xfId="5198"/>
    <cellStyle name="常规 4 11 2 2 9 2" xfId="5204"/>
    <cellStyle name="常规 4 11 2 3" xfId="3565"/>
    <cellStyle name="常规 4 11 2 3 2" xfId="5205"/>
    <cellStyle name="常规 4 11 2 3 2 2" xfId="5206"/>
    <cellStyle name="常规 4 11 2 3 2 2 2" xfId="5207"/>
    <cellStyle name="常规 4 11 2 3 2 2 2 2" xfId="2991"/>
    <cellStyle name="常规 4 11 2 3 2 2 2 2 2" xfId="5217"/>
    <cellStyle name="常规 4 11 2 3 2 2 2 2 2 2" xfId="5223"/>
    <cellStyle name="常规 4 11 2 3 2 2 2 2 2 2 2" xfId="5225"/>
    <cellStyle name="常规 4 11 2 3 2 2 2 2 2 3" xfId="5227"/>
    <cellStyle name="常规 4 11 2 3 2 2 2 2 2 4" xfId="5230"/>
    <cellStyle name="常规 4 11 2 3 2 2 2 2 3" xfId="5235"/>
    <cellStyle name="常规 4 11 2 3 2 2 2 2 3 2" xfId="5236"/>
    <cellStyle name="常规 4 11 2 3 2 2 2 2 4" xfId="5242"/>
    <cellStyle name="常规 4 11 2 3 2 2 2 2 5" xfId="5244"/>
    <cellStyle name="常规 4 11 2 3 2 2 2 3" xfId="5245"/>
    <cellStyle name="常规 4 11 2 3 2 2 2 3 2" xfId="5250"/>
    <cellStyle name="常规 4 11 2 3 2 2 2 3 2 2" xfId="5251"/>
    <cellStyle name="常规 4 11 2 3 2 2 2 3 3" xfId="5255"/>
    <cellStyle name="常规 4 11 2 3 2 2 2 3 4" xfId="5257"/>
    <cellStyle name="常规 4 11 2 3 2 2 2 4" xfId="5262"/>
    <cellStyle name="常规 4 11 2 3 2 2 2 4 2" xfId="5269"/>
    <cellStyle name="常规 4 11 2 3 2 2 2 5" xfId="5274"/>
    <cellStyle name="常规 4 11 2 3 2 2 2 6" xfId="5281"/>
    <cellStyle name="常规 4 11 2 3 2 2 3" xfId="5283"/>
    <cellStyle name="常规 4 11 2 3 2 2 3 2" xfId="5285"/>
    <cellStyle name="常规 4 11 2 3 2 2 3 2 2" xfId="5290"/>
    <cellStyle name="常规 4 11 2 3 2 2 3 2 2 2" xfId="5292"/>
    <cellStyle name="常规 4 11 2 3 2 2 3 2 3" xfId="5297"/>
    <cellStyle name="常规 4 11 2 3 2 2 3 2 4" xfId="574"/>
    <cellStyle name="常规 4 11 2 3 2 2 3 3" xfId="5299"/>
    <cellStyle name="常规 4 11 2 3 2 2 3 3 2" xfId="5303"/>
    <cellStyle name="常规 4 11 2 3 2 2 3 4" xfId="5306"/>
    <cellStyle name="常规 4 11 2 3 2 2 3 5" xfId="3314"/>
    <cellStyle name="常规 4 11 2 3 2 2 4" xfId="5309"/>
    <cellStyle name="常规 4 11 2 3 2 2 4 2" xfId="5315"/>
    <cellStyle name="常规 4 11 2 3 2 2 4 2 2" xfId="5321"/>
    <cellStyle name="常规 4 11 2 3 2 2 4 3" xfId="5327"/>
    <cellStyle name="常规 4 11 2 3 2 2 4 4" xfId="5333"/>
    <cellStyle name="常规 4 11 2 3 2 2 5" xfId="5336"/>
    <cellStyle name="常规 4 11 2 3 2 2 5 2" xfId="5343"/>
    <cellStyle name="常规 4 11 2 3 2 2 6" xfId="4767"/>
    <cellStyle name="常规 4 11 2 3 2 2 7" xfId="4782"/>
    <cellStyle name="常规 4 11 2 3 2 3" xfId="5345"/>
    <cellStyle name="常规 4 11 2 3 2 3 2" xfId="5346"/>
    <cellStyle name="常规 4 11 2 3 2 3 2 2" xfId="816"/>
    <cellStyle name="常规 4 11 2 3 2 3 2 2 2" xfId="4244"/>
    <cellStyle name="常规 4 11 2 3 2 3 2 2 2 2" xfId="4249"/>
    <cellStyle name="常规 4 11 2 3 2 3 2 2 3" xfId="4252"/>
    <cellStyle name="常规 4 11 2 3 2 3 2 2 4" xfId="4258"/>
    <cellStyle name="常规 4 11 2 3 2 3 2 3" xfId="1531"/>
    <cellStyle name="常规 4 11 2 3 2 3 2 3 2" xfId="4289"/>
    <cellStyle name="常规 4 11 2 3 2 3 2 4" xfId="5350"/>
    <cellStyle name="常规 4 11 2 3 2 3 2 5" xfId="5354"/>
    <cellStyle name="常规 4 11 2 3 2 3 3" xfId="5356"/>
    <cellStyle name="常规 4 11 2 3 2 3 3 2" xfId="5359"/>
    <cellStyle name="常规 4 11 2 3 2 3 3 2 2" xfId="4203"/>
    <cellStyle name="常规 4 11 2 3 2 3 3 3" xfId="3089"/>
    <cellStyle name="常规 4 11 2 3 2 3 3 4" xfId="5365"/>
    <cellStyle name="常规 4 11 2 3 2 3 4" xfId="5369"/>
    <cellStyle name="常规 4 11 2 3 2 3 4 2" xfId="5376"/>
    <cellStyle name="常规 4 11 2 3 2 3 5" xfId="5381"/>
    <cellStyle name="常规 4 11 2 3 2 3 6" xfId="4812"/>
    <cellStyle name="常规 4 11 2 3 2 4" xfId="5382"/>
    <cellStyle name="常规 4 11 2 3 2 4 2" xfId="3475"/>
    <cellStyle name="常规 4 11 2 3 2 4 2 2" xfId="5386"/>
    <cellStyle name="常规 4 11 2 3 2 4 2 2 2" xfId="4475"/>
    <cellStyle name="常规 4 11 2 3 2 4 2 3" xfId="5388"/>
    <cellStyle name="常规 4 11 2 3 2 4 2 4" xfId="5392"/>
    <cellStyle name="常规 4 11 2 3 2 4 3" xfId="5394"/>
    <cellStyle name="常规 4 11 2 3 2 4 3 2" xfId="5397"/>
    <cellStyle name="常规 4 11 2 3 2 4 4" xfId="1898"/>
    <cellStyle name="常规 4 11 2 3 2 4 5" xfId="5402"/>
    <cellStyle name="常规 4 11 2 3 2 5" xfId="5404"/>
    <cellStyle name="常规 4 11 2 3 2 5 2" xfId="5405"/>
    <cellStyle name="常规 4 11 2 3 2 5 2 2" xfId="5406"/>
    <cellStyle name="常规 4 11 2 3 2 5 3" xfId="5408"/>
    <cellStyle name="常规 4 11 2 3 2 5 4" xfId="1993"/>
    <cellStyle name="常规 4 11 2 3 2 6" xfId="5410"/>
    <cellStyle name="常规 4 11 2 3 2 6 2" xfId="4587"/>
    <cellStyle name="常规 4 11 2 3 2 7" xfId="5413"/>
    <cellStyle name="常规 4 11 2 3 2 8" xfId="5417"/>
    <cellStyle name="常规 4 11 2 3 3" xfId="5418"/>
    <cellStyle name="常规 4 11 2 3 3 2" xfId="5419"/>
    <cellStyle name="常规 4 11 2 3 3 2 2" xfId="4879"/>
    <cellStyle name="常规 4 11 2 3 3 2 2 2" xfId="3075"/>
    <cellStyle name="常规 4 11 2 3 3 2 2 2 2" xfId="3083"/>
    <cellStyle name="常规 4 11 2 3 3 2 2 2 2 2" xfId="4881"/>
    <cellStyle name="常规 4 11 2 3 3 2 2 2 3" xfId="4888"/>
    <cellStyle name="常规 4 11 2 3 3 2 2 2 4" xfId="4891"/>
    <cellStyle name="常规 4 11 2 3 3 2 2 3" xfId="3091"/>
    <cellStyle name="常规 4 11 2 3 3 2 2 3 2" xfId="4899"/>
    <cellStyle name="常规 4 11 2 3 3 2 2 4" xfId="3102"/>
    <cellStyle name="常规 4 11 2 3 3 2 2 5" xfId="3466"/>
    <cellStyle name="常规 4 11 2 3 3 2 3" xfId="4903"/>
    <cellStyle name="常规 4 11 2 3 3 2 3 2" xfId="3123"/>
    <cellStyle name="常规 4 11 2 3 3 2 3 2 2" xfId="3130"/>
    <cellStyle name="常规 4 11 2 3 3 2 3 3" xfId="3137"/>
    <cellStyle name="常规 4 11 2 3 3 2 3 4" xfId="3146"/>
    <cellStyle name="常规 4 11 2 3 3 2 4" xfId="4908"/>
    <cellStyle name="常规 4 11 2 3 3 2 4 2" xfId="3169"/>
    <cellStyle name="常规 4 11 2 3 3 2 5" xfId="4914"/>
    <cellStyle name="常规 4 11 2 3 3 2 6" xfId="509"/>
    <cellStyle name="常规 4 11 2 3 3 3" xfId="5420"/>
    <cellStyle name="常规 4 11 2 3 3 3 2" xfId="5001"/>
    <cellStyle name="常规 4 11 2 3 3 3 2 2" xfId="1562"/>
    <cellStyle name="常规 4 11 2 3 3 3 2 2 2" xfId="4635"/>
    <cellStyle name="常规 4 11 2 3 3 3 2 3" xfId="1572"/>
    <cellStyle name="常规 4 11 2 3 3 3 2 4" xfId="5009"/>
    <cellStyle name="常规 4 11 2 3 3 3 3" xfId="5015"/>
    <cellStyle name="常规 4 11 2 3 3 3 3 2" xfId="5020"/>
    <cellStyle name="常规 4 11 2 3 3 3 4" xfId="5026"/>
    <cellStyle name="常规 4 11 2 3 3 3 5" xfId="5031"/>
    <cellStyle name="常规 4 11 2 3 3 4" xfId="5421"/>
    <cellStyle name="常规 4 11 2 3 3 4 2" xfId="3586"/>
    <cellStyle name="常规 4 11 2 3 3 4 2 2" xfId="5112"/>
    <cellStyle name="常规 4 11 2 3 3 4 3" xfId="3616"/>
    <cellStyle name="常规 4 11 2 3 3 4 4" xfId="5118"/>
    <cellStyle name="常规 4 11 2 3 3 5" xfId="5425"/>
    <cellStyle name="常规 4 11 2 3 3 5 2" xfId="5144"/>
    <cellStyle name="常规 4 11 2 3 3 6" xfId="5430"/>
    <cellStyle name="常规 4 11 2 3 3 7" xfId="5438"/>
    <cellStyle name="常规 4 11 2 3 4" xfId="5440"/>
    <cellStyle name="常规 4 11 2 3 4 2" xfId="5442"/>
    <cellStyle name="常规 4 11 2 3 4 2 2" xfId="5424"/>
    <cellStyle name="常规 4 11 2 3 4 2 2 2" xfId="5143"/>
    <cellStyle name="常规 4 11 2 3 4 2 2 2 2" xfId="5447"/>
    <cellStyle name="常规 4 11 2 3 4 2 2 3" xfId="5150"/>
    <cellStyle name="常规 4 11 2 3 4 2 2 4" xfId="2080"/>
    <cellStyle name="常规 4 11 2 3 4 2 3" xfId="5428"/>
    <cellStyle name="常规 4 11 2 3 4 2 3 2" xfId="5172"/>
    <cellStyle name="常规 4 11 2 3 4 2 4" xfId="5436"/>
    <cellStyle name="常规 4 11 2 3 4 2 5" xfId="5453"/>
    <cellStyle name="常规 4 11 2 3 4 3" xfId="5456"/>
    <cellStyle name="常规 4 11 2 3 4 3 2" xfId="5463"/>
    <cellStyle name="常规 4 11 2 3 4 3 2 2" xfId="1607"/>
    <cellStyle name="常规 4 11 2 3 4 3 3" xfId="5470"/>
    <cellStyle name="常规 4 11 2 3 4 3 4" xfId="5475"/>
    <cellStyle name="常规 4 11 2 3 4 4" xfId="5479"/>
    <cellStyle name="常规 4 11 2 3 4 4 2" xfId="3629"/>
    <cellStyle name="常规 4 11 2 3 4 5" xfId="5459"/>
    <cellStyle name="常规 4 11 2 3 4 6" xfId="5466"/>
    <cellStyle name="常规 4 11 2 3 5" xfId="5481"/>
    <cellStyle name="常规 4 11 2 3 5 2" xfId="5484"/>
    <cellStyle name="常规 4 11 2 3 5 2 2" xfId="694"/>
    <cellStyle name="常规 4 11 2 3 5 2 2 2" xfId="5488"/>
    <cellStyle name="常规 4 11 2 3 5 2 3" xfId="5492"/>
    <cellStyle name="常规 4 11 2 3 5 2 4" xfId="5498"/>
    <cellStyle name="常规 4 11 2 3 5 3" xfId="5501"/>
    <cellStyle name="常规 4 11 2 3 5 3 2" xfId="136"/>
    <cellStyle name="常规 4 11 2 3 5 4" xfId="3621"/>
    <cellStyle name="常规 4 11 2 3 5 5" xfId="3624"/>
    <cellStyle name="常规 4 11 2 3 6" xfId="5503"/>
    <cellStyle name="常规 4 11 2 3 6 2" xfId="5505"/>
    <cellStyle name="常规 4 11 2 3 6 2 2" xfId="751"/>
    <cellStyle name="常规 4 11 2 3 6 3" xfId="5507"/>
    <cellStyle name="常规 4 11 2 3 6 4" xfId="1599"/>
    <cellStyle name="常规 4 11 2 3 7" xfId="5509"/>
    <cellStyle name="常规 4 11 2 3 7 2" xfId="5514"/>
    <cellStyle name="常规 4 11 2 3 8" xfId="5516"/>
    <cellStyle name="常规 4 11 2 3 9" xfId="5520"/>
    <cellStyle name="常规 4 11 2 4" xfId="3568"/>
    <cellStyle name="常规 4 11 2 4 2" xfId="5521"/>
    <cellStyle name="常规 4 11 2 4 2 2" xfId="5524"/>
    <cellStyle name="常规 4 11 2 4 2 2 2" xfId="5525"/>
    <cellStyle name="常规 4 11 2 4 2 2 2 2" xfId="5528"/>
    <cellStyle name="常规 4 11 2 4 2 2 2 2 2" xfId="5532"/>
    <cellStyle name="常规 4 11 2 4 2 2 2 2 2 2" xfId="5534"/>
    <cellStyle name="常规 4 11 2 4 2 2 2 2 2 2 2" xfId="5536"/>
    <cellStyle name="常规 4 11 2 4 2 2 2 2 2 3" xfId="2031"/>
    <cellStyle name="常规 4 11 2 4 2 2 2 2 2 4" xfId="5085"/>
    <cellStyle name="常规 4 11 2 4 2 2 2 2 3" xfId="4171"/>
    <cellStyle name="常规 4 11 2 4 2 2 2 2 3 2" xfId="5538"/>
    <cellStyle name="常规 4 11 2 4 2 2 2 2 4" xfId="3382"/>
    <cellStyle name="常规 4 11 2 4 2 2 2 2 5" xfId="3385"/>
    <cellStyle name="常规 4 11 2 4 2 2 2 3" xfId="5540"/>
    <cellStyle name="常规 4 11 2 4 2 2 2 3 2" xfId="5542"/>
    <cellStyle name="常规 4 11 2 4 2 2 2 3 2 2" xfId="5545"/>
    <cellStyle name="常规 4 11 2 4 2 2 2 3 3" xfId="5547"/>
    <cellStyle name="常规 4 11 2 4 2 2 2 3 4" xfId="3392"/>
    <cellStyle name="常规 4 11 2 4 2 2 2 4" xfId="5552"/>
    <cellStyle name="常规 4 11 2 4 2 2 2 4 2" xfId="5557"/>
    <cellStyle name="常规 4 11 2 4 2 2 2 5" xfId="2559"/>
    <cellStyle name="常规 4 11 2 4 2 2 2 6" xfId="2577"/>
    <cellStyle name="常规 4 11 2 4 2 2 3" xfId="5558"/>
    <cellStyle name="常规 4 11 2 4 2 2 3 2" xfId="5561"/>
    <cellStyle name="常规 4 11 2 4 2 2 3 2 2" xfId="3342"/>
    <cellStyle name="常规 4 11 2 4 2 2 3 2 2 2" xfId="5562"/>
    <cellStyle name="常规 4 11 2 4 2 2 3 2 3" xfId="5566"/>
    <cellStyle name="常规 4 11 2 4 2 2 3 2 4" xfId="5567"/>
    <cellStyle name="常规 4 11 2 4 2 2 3 3" xfId="1969"/>
    <cellStyle name="常规 4 11 2 4 2 2 3 3 2" xfId="1970"/>
    <cellStyle name="常规 4 11 2 4 2 2 3 4" xfId="2272"/>
    <cellStyle name="常规 4 11 2 4 2 2 3 5" xfId="2597"/>
    <cellStyle name="常规 4 11 2 4 2 2 4" xfId="5572"/>
    <cellStyle name="常规 4 11 2 4 2 2 4 2" xfId="5581"/>
    <cellStyle name="常规 4 11 2 4 2 2 4 2 2" xfId="3760"/>
    <cellStyle name="常规 4 11 2 4 2 2 4 3" xfId="5589"/>
    <cellStyle name="常规 4 11 2 4 2 2 4 4" xfId="5593"/>
    <cellStyle name="常规 4 11 2 4 2 2 5" xfId="5598"/>
    <cellStyle name="常规 4 11 2 4 2 2 5 2" xfId="5604"/>
    <cellStyle name="常规 4 11 2 4 2 2 6" xfId="4954"/>
    <cellStyle name="常规 4 11 2 4 2 2 7" xfId="4965"/>
    <cellStyle name="常规 4 11 2 4 2 3" xfId="5606"/>
    <cellStyle name="常规 4 11 2 4 2 3 2" xfId="342"/>
    <cellStyle name="常规 4 11 2 4 2 3 2 2" xfId="5612"/>
    <cellStyle name="常规 4 11 2 4 2 3 2 2 2" xfId="5237"/>
    <cellStyle name="常规 4 11 2 4 2 3 2 2 2 2" xfId="5614"/>
    <cellStyle name="常规 4 11 2 4 2 3 2 2 3" xfId="5243"/>
    <cellStyle name="常规 4 11 2 4 2 3 2 2 4" xfId="3800"/>
    <cellStyle name="常规 4 11 2 4 2 3 2 3" xfId="5617"/>
    <cellStyle name="常规 4 11 2 4 2 3 2 3 2" xfId="5256"/>
    <cellStyle name="常规 4 11 2 4 2 3 2 4" xfId="5622"/>
    <cellStyle name="常规 4 11 2 4 2 3 2 5" xfId="5628"/>
    <cellStyle name="常规 4 11 2 4 2 3 3" xfId="5630"/>
    <cellStyle name="常规 4 11 2 4 2 3 3 2" xfId="5632"/>
    <cellStyle name="常规 4 11 2 4 2 3 3 2 2" xfId="569"/>
    <cellStyle name="常规 4 11 2 4 2 3 3 3" xfId="5633"/>
    <cellStyle name="常规 4 11 2 4 2 3 3 4" xfId="5635"/>
    <cellStyle name="常规 4 11 2 4 2 3 4" xfId="5641"/>
    <cellStyle name="常规 4 11 2 4 2 3 4 2" xfId="5647"/>
    <cellStyle name="常规 4 11 2 4 2 3 5" xfId="5652"/>
    <cellStyle name="常规 4 11 2 4 2 3 6" xfId="4984"/>
    <cellStyle name="常规 4 11 2 4 2 4" xfId="5654"/>
    <cellStyle name="常规 4 11 2 4 2 4 2" xfId="3867"/>
    <cellStyle name="常规 4 11 2 4 2 4 2 2" xfId="5655"/>
    <cellStyle name="常规 4 11 2 4 2 4 2 2 2" xfId="4257"/>
    <cellStyle name="常规 4 11 2 4 2 4 2 3" xfId="5656"/>
    <cellStyle name="常规 4 11 2 4 2 4 2 4" xfId="65"/>
    <cellStyle name="常规 4 11 2 4 2 4 3" xfId="5659"/>
    <cellStyle name="常规 4 11 2 4 2 4 3 2" xfId="5660"/>
    <cellStyle name="常规 4 11 2 4 2 4 4" xfId="5666"/>
    <cellStyle name="常规 4 11 2 4 2 4 5" xfId="5668"/>
    <cellStyle name="常规 4 11 2 4 2 5" xfId="5673"/>
    <cellStyle name="常规 4 11 2 4 2 5 2" xfId="5674"/>
    <cellStyle name="常规 4 11 2 4 2 5 2 2" xfId="5677"/>
    <cellStyle name="常规 4 11 2 4 2 5 3" xfId="5678"/>
    <cellStyle name="常规 4 11 2 4 2 5 4" xfId="5679"/>
    <cellStyle name="常规 4 11 2 4 2 6" xfId="5683"/>
    <cellStyle name="常规 4 11 2 4 2 6 2" xfId="5686"/>
    <cellStyle name="常规 4 11 2 4 2 7" xfId="5688"/>
    <cellStyle name="常规 4 11 2 4 2 8" xfId="5692"/>
    <cellStyle name="常规 4 11 2 4 3" xfId="5698"/>
    <cellStyle name="常规 4 11 2 4 3 2" xfId="5700"/>
    <cellStyle name="常规 4 11 2 4 3 2 2" xfId="5703"/>
    <cellStyle name="常规 4 11 2 4 3 2 2 2" xfId="5706"/>
    <cellStyle name="常规 4 11 2 4 3 2 2 2 2" xfId="4569"/>
    <cellStyle name="常规 4 11 2 4 3 2 2 2 2 2" xfId="5707"/>
    <cellStyle name="常规 4 11 2 4 3 2 2 2 3" xfId="5708"/>
    <cellStyle name="常规 4 11 2 4 3 2 2 2 4" xfId="5709"/>
    <cellStyle name="常规 4 11 2 4 3 2 2 3" xfId="5712"/>
    <cellStyle name="常规 4 11 2 4 3 2 2 3 2" xfId="5717"/>
    <cellStyle name="常规 4 11 2 4 3 2 2 4" xfId="5725"/>
    <cellStyle name="常规 4 11 2 4 3 2 2 5" xfId="5731"/>
    <cellStyle name="常规 4 11 2 4 3 2 3" xfId="5734"/>
    <cellStyle name="常规 4 11 2 4 3 2 3 2" xfId="5735"/>
    <cellStyle name="常规 4 11 2 4 3 2 3 2 2" xfId="5736"/>
    <cellStyle name="常规 4 11 2 4 3 2 3 3" xfId="5739"/>
    <cellStyle name="常规 4 11 2 4 3 2 3 4" xfId="5744"/>
    <cellStyle name="常规 4 11 2 4 3 2 4" xfId="5752"/>
    <cellStyle name="常规 4 11 2 4 3 2 4 2" xfId="5759"/>
    <cellStyle name="常规 4 11 2 4 3 2 5" xfId="5764"/>
    <cellStyle name="常规 4 11 2 4 3 2 6" xfId="81"/>
    <cellStyle name="常规 4 11 2 4 3 3" xfId="4005"/>
    <cellStyle name="常规 4 11 2 4 3 3 2" xfId="5766"/>
    <cellStyle name="常规 4 11 2 4 3 3 2 2" xfId="5767"/>
    <cellStyle name="常规 4 11 2 4 3 3 2 2 2" xfId="4890"/>
    <cellStyle name="常规 4 11 2 4 3 3 2 3" xfId="5769"/>
    <cellStyle name="常规 4 11 2 4 3 3 2 4" xfId="5775"/>
    <cellStyle name="常规 4 11 2 4 3 3 3" xfId="5778"/>
    <cellStyle name="常规 4 11 2 4 3 3 3 2" xfId="5779"/>
    <cellStyle name="常规 4 11 2 4 3 3 4" xfId="5783"/>
    <cellStyle name="常规 4 11 2 4 3 3 5" xfId="5784"/>
    <cellStyle name="常规 4 11 2 4 3 4" xfId="684"/>
    <cellStyle name="常规 4 11 2 4 3 4 2" xfId="2036"/>
    <cellStyle name="常规 4 11 2 4 3 4 2 2" xfId="5785"/>
    <cellStyle name="常规 4 11 2 4 3 4 3" xfId="5786"/>
    <cellStyle name="常规 4 11 2 4 3 4 4" xfId="5787"/>
    <cellStyle name="常规 4 11 2 4 3 5" xfId="691"/>
    <cellStyle name="常规 4 11 2 4 3 5 2" xfId="5485"/>
    <cellStyle name="常规 4 11 2 4 3 6" xfId="5489"/>
    <cellStyle name="常规 4 11 2 4 3 7" xfId="5495"/>
    <cellStyle name="常规 4 11 2 4 4" xfId="73"/>
    <cellStyle name="常规 4 11 2 4 4 2" xfId="1514"/>
    <cellStyle name="常规 4 11 2 4 4 2 2" xfId="5791"/>
    <cellStyle name="常规 4 11 2 4 4 2 2 2" xfId="5797"/>
    <cellStyle name="常规 4 11 2 4 4 2 2 2 2" xfId="5803"/>
    <cellStyle name="常规 4 11 2 4 4 2 2 3" xfId="5809"/>
    <cellStyle name="常规 4 11 2 4 4 2 2 4" xfId="3553"/>
    <cellStyle name="常规 4 11 2 4 4 2 3" xfId="2959"/>
    <cellStyle name="常规 4 11 2 4 4 2 3 2" xfId="5814"/>
    <cellStyle name="常规 4 11 2 4 4 2 4" xfId="5824"/>
    <cellStyle name="常规 4 11 2 4 4 2 5" xfId="1383"/>
    <cellStyle name="常规 4 11 2 4 4 3" xfId="1518"/>
    <cellStyle name="常规 4 11 2 4 4 3 2" xfId="3525"/>
    <cellStyle name="常规 4 11 2 4 4 3 2 2" xfId="1373"/>
    <cellStyle name="常规 4 11 2 4 4 3 3" xfId="3532"/>
    <cellStyle name="常规 4 11 2 4 4 3 4" xfId="3536"/>
    <cellStyle name="常规 4 11 2 4 4 4" xfId="129"/>
    <cellStyle name="常规 4 11 2 4 4 4 2" xfId="2145"/>
    <cellStyle name="常规 4 11 2 4 4 5" xfId="133"/>
    <cellStyle name="常规 4 11 2 4 4 6" xfId="3119"/>
    <cellStyle name="常规 4 11 2 4 5" xfId="5827"/>
    <cellStyle name="常规 4 11 2 4 5 2" xfId="5829"/>
    <cellStyle name="常规 4 11 2 4 5 2 2" xfId="448"/>
    <cellStyle name="常规 4 11 2 4 5 2 2 2" xfId="5833"/>
    <cellStyle name="常规 4 11 2 4 5 2 3" xfId="455"/>
    <cellStyle name="常规 4 11 2 4 5 2 4" xfId="4673"/>
    <cellStyle name="常规 4 11 2 4 5 3" xfId="5835"/>
    <cellStyle name="常规 4 11 2 4 5 3 2" xfId="518"/>
    <cellStyle name="常规 4 11 2 4 5 4" xfId="3643"/>
    <cellStyle name="常规 4 11 2 4 5 5" xfId="3648"/>
    <cellStyle name="常规 4 11 2 4 6" xfId="5837"/>
    <cellStyle name="常规 4 11 2 4 6 2" xfId="26"/>
    <cellStyle name="常规 4 11 2 4 6 2 2" xfId="2230"/>
    <cellStyle name="常规 4 11 2 4 6 3" xfId="5839"/>
    <cellStyle name="常规 4 11 2 4 6 4" xfId="3657"/>
    <cellStyle name="常规 4 11 2 4 7" xfId="5841"/>
    <cellStyle name="常规 4 11 2 4 7 2" xfId="5845"/>
    <cellStyle name="常规 4 11 2 4 8" xfId="5847"/>
    <cellStyle name="常规 4 11 2 4 9" xfId="5850"/>
    <cellStyle name="常规 4 11 2 5" xfId="5851"/>
    <cellStyle name="常规 4 11 2 5 2" xfId="5852"/>
    <cellStyle name="常规 4 11 2 5 2 2" xfId="5853"/>
    <cellStyle name="常规 4 11 2 5 2 2 2" xfId="5856"/>
    <cellStyle name="常规 4 11 2 5 2 2 2 2" xfId="5858"/>
    <cellStyle name="常规 4 11 2 5 2 2 2 2 2" xfId="5863"/>
    <cellStyle name="常规 4 11 2 5 2 2 2 2 2 2" xfId="5864"/>
    <cellStyle name="常规 4 11 2 5 2 2 2 2 3" xfId="5523"/>
    <cellStyle name="常规 4 11 2 5 2 2 2 2 4" xfId="5605"/>
    <cellStyle name="常规 4 11 2 5 2 2 2 3" xfId="5869"/>
    <cellStyle name="常规 4 11 2 5 2 2 2 3 2" xfId="2525"/>
    <cellStyle name="常规 4 11 2 5 2 2 2 4" xfId="5873"/>
    <cellStyle name="常规 4 11 2 5 2 2 2 5" xfId="5556"/>
    <cellStyle name="常规 4 11 2 5 2 2 3" xfId="5874"/>
    <cellStyle name="常规 4 11 2 5 2 2 3 2" xfId="5875"/>
    <cellStyle name="常规 4 11 2 5 2 2 3 2 2" xfId="5879"/>
    <cellStyle name="常规 4 11 2 5 2 2 3 3" xfId="5881"/>
    <cellStyle name="常规 4 11 2 5 2 2 3 4" xfId="2927"/>
    <cellStyle name="常规 4 11 2 5 2 2 4" xfId="5886"/>
    <cellStyle name="常规 4 11 2 5 2 2 4 2" xfId="5893"/>
    <cellStyle name="常规 4 11 2 5 2 2 5" xfId="5901"/>
    <cellStyle name="常规 4 11 2 5 2 2 6" xfId="5066"/>
    <cellStyle name="常规 4 11 2 5 2 3" xfId="5902"/>
    <cellStyle name="常规 4 11 2 5 2 3 2" xfId="3376"/>
    <cellStyle name="常规 4 11 2 5 2 3 2 2" xfId="3378"/>
    <cellStyle name="常规 4 11 2 5 2 3 2 2 2" xfId="3381"/>
    <cellStyle name="常规 4 11 2 5 2 3 2 3" xfId="3391"/>
    <cellStyle name="常规 4 11 2 5 2 3 2 4" xfId="1056"/>
    <cellStyle name="常规 4 11 2 5 2 3 3" xfId="5906"/>
    <cellStyle name="常规 4 11 2 5 2 3 3 2" xfId="5907"/>
    <cellStyle name="常规 4 11 2 5 2 3 4" xfId="5911"/>
    <cellStyle name="常规 4 11 2 5 2 3 5" xfId="5914"/>
    <cellStyle name="常规 4 11 2 5 2 4" xfId="5915"/>
    <cellStyle name="常规 4 11 2 5 2 4 2" xfId="3797"/>
    <cellStyle name="常规 4 11 2 5 2 4 2 2" xfId="3799"/>
    <cellStyle name="常规 4 11 2 5 2 4 3" xfId="5916"/>
    <cellStyle name="常规 4 11 2 5 2 4 4" xfId="5917"/>
    <cellStyle name="常规 4 11 2 5 2 5" xfId="5919"/>
    <cellStyle name="常规 4 11 2 5 2 5 2" xfId="3995"/>
    <cellStyle name="常规 4 11 2 5 2 6" xfId="5920"/>
    <cellStyle name="常规 4 11 2 5 2 7" xfId="158"/>
    <cellStyle name="常规 4 11 2 5 3" xfId="4865"/>
    <cellStyle name="常规 4 11 2 5 3 2" xfId="5921"/>
    <cellStyle name="常规 4 11 2 5 3 2 2" xfId="5923"/>
    <cellStyle name="常规 4 11 2 5 3 2 2 2" xfId="5924"/>
    <cellStyle name="常规 4 11 2 5 3 2 2 2 2" xfId="5926"/>
    <cellStyle name="常规 4 11 2 5 3 2 2 3" xfId="5266"/>
    <cellStyle name="常规 4 11 2 5 3 2 2 4" xfId="3574"/>
    <cellStyle name="常规 4 11 2 5 3 2 3" xfId="5929"/>
    <cellStyle name="常规 4 11 2 5 3 2 3 2" xfId="246"/>
    <cellStyle name="常规 4 11 2 5 3 2 4" xfId="5934"/>
    <cellStyle name="常规 4 11 2 5 3 2 5" xfId="5935"/>
    <cellStyle name="常规 4 11 2 5 3 3" xfId="5936"/>
    <cellStyle name="常规 4 11 2 5 3 3 2" xfId="5939"/>
    <cellStyle name="常规 4 11 2 5 3 3 2 2" xfId="5940"/>
    <cellStyle name="常规 4 11 2 5 3 3 3" xfId="5941"/>
    <cellStyle name="常规 4 11 2 5 3 3 4" xfId="5942"/>
    <cellStyle name="常规 4 11 2 5 3 4" xfId="732"/>
    <cellStyle name="常规 4 11 2 5 3 4 2" xfId="5944"/>
    <cellStyle name="常规 4 11 2 5 3 5" xfId="749"/>
    <cellStyle name="常规 4 11 2 5 3 6" xfId="5945"/>
    <cellStyle name="常规 4 11 2 5 4" xfId="4598"/>
    <cellStyle name="常规 4 11 2 5 4 2" xfId="4602"/>
    <cellStyle name="常规 4 11 2 5 4 2 2" xfId="5949"/>
    <cellStyle name="常规 4 11 2 5 4 2 2 2" xfId="4317"/>
    <cellStyle name="常规 4 11 2 5 4 2 3" xfId="5951"/>
    <cellStyle name="常规 4 11 2 5 4 2 4" xfId="5956"/>
    <cellStyle name="常规 4 11 2 5 4 3" xfId="5958"/>
    <cellStyle name="常规 4 11 2 5 4 3 2" xfId="5960"/>
    <cellStyle name="常规 4 11 2 5 4 4" xfId="1484"/>
    <cellStyle name="常规 4 11 2 5 4 5" xfId="1488"/>
    <cellStyle name="常规 4 11 2 5 5" xfId="4608"/>
    <cellStyle name="常规 4 11 2 5 5 2" xfId="3346"/>
    <cellStyle name="常规 4 11 2 5 5 2 2" xfId="5962"/>
    <cellStyle name="常规 4 11 2 5 5 3" xfId="4189"/>
    <cellStyle name="常规 4 11 2 5 5 4" xfId="3689"/>
    <cellStyle name="常规 4 11 2 5 6" xfId="4613"/>
    <cellStyle name="常规 4 11 2 5 6 2" xfId="5964"/>
    <cellStyle name="常规 4 11 2 5 7" xfId="5968"/>
    <cellStyle name="常规 4 11 2 5 8" xfId="5973"/>
    <cellStyle name="常规 4 11 2 6" xfId="5974"/>
    <cellStyle name="常规 4 11 2 6 2" xfId="5975"/>
    <cellStyle name="常规 4 11 2 6 2 2" xfId="5980"/>
    <cellStyle name="常规 4 11 2 6 2 2 2" xfId="5983"/>
    <cellStyle name="常规 4 11 2 6 2 2 2 2" xfId="5071"/>
    <cellStyle name="常规 4 11 2 6 2 2 2 2 2" xfId="5987"/>
    <cellStyle name="常规 4 11 2 6 2 2 2 3" xfId="5080"/>
    <cellStyle name="常规 4 11 2 6 2 2 2 4" xfId="5990"/>
    <cellStyle name="常规 4 11 2 6 2 2 3" xfId="5994"/>
    <cellStyle name="常规 4 11 2 6 2 2 3 2" xfId="1310"/>
    <cellStyle name="常规 4 11 2 6 2 2 4" xfId="6002"/>
    <cellStyle name="常规 4 11 2 6 2 2 5" xfId="6008"/>
    <cellStyle name="常规 4 11 2 6 2 3" xfId="6009"/>
    <cellStyle name="常规 4 11 2 6 2 3 2" xfId="6012"/>
    <cellStyle name="常规 4 11 2 6 2 3 2 2" xfId="5133"/>
    <cellStyle name="常规 4 11 2 6 2 3 3" xfId="6016"/>
    <cellStyle name="常规 4 11 2 6 2 3 4" xfId="5860"/>
    <cellStyle name="常规 4 11 2 6 2 4" xfId="6017"/>
    <cellStyle name="常规 4 11 2 6 2 4 2" xfId="6019"/>
    <cellStyle name="常规 4 11 2 6 2 5" xfId="6021"/>
    <cellStyle name="常规 4 11 2 6 2 6" xfId="6022"/>
    <cellStyle name="常规 4 11 2 6 3" xfId="6023"/>
    <cellStyle name="常规 4 11 2 6 3 2" xfId="3363"/>
    <cellStyle name="常规 4 11 2 6 3 2 2" xfId="6026"/>
    <cellStyle name="常规 4 11 2 6 3 2 2 2" xfId="6029"/>
    <cellStyle name="常规 4 11 2 6 3 2 3" xfId="6034"/>
    <cellStyle name="常规 4 11 2 6 3 2 4" xfId="3871"/>
    <cellStyle name="常规 4 11 2 6 3 3" xfId="6037"/>
    <cellStyle name="常规 4 11 2 6 3 3 2" xfId="6040"/>
    <cellStyle name="常规 4 11 2 6 3 4" xfId="6042"/>
    <cellStyle name="常规 4 11 2 6 3 5" xfId="6043"/>
    <cellStyle name="常规 4 11 2 6 4" xfId="3223"/>
    <cellStyle name="常规 4 11 2 6 4 2" xfId="6046"/>
    <cellStyle name="常规 4 11 2 6 4 2 2" xfId="6050"/>
    <cellStyle name="常规 4 11 2 6 4 3" xfId="6053"/>
    <cellStyle name="常规 4 11 2 6 4 4" xfId="3405"/>
    <cellStyle name="常规 4 11 2 6 5" xfId="6056"/>
    <cellStyle name="常规 4 11 2 6 5 2" xfId="6059"/>
    <cellStyle name="常规 4 11 2 6 6" xfId="6062"/>
    <cellStyle name="常规 4 11 2 6 7" xfId="6065"/>
    <cellStyle name="常规 4 11 2 7" xfId="2515"/>
    <cellStyle name="常规 4 11 2 7 2" xfId="6070"/>
    <cellStyle name="常规 4 11 2 7 2 2" xfId="6071"/>
    <cellStyle name="常规 4 11 2 7 2 2 2" xfId="6074"/>
    <cellStyle name="常规 4 11 2 7 2 2 2 2" xfId="6076"/>
    <cellStyle name="常规 4 11 2 7 2 2 3" xfId="6084"/>
    <cellStyle name="常规 4 11 2 7 2 2 4" xfId="6086"/>
    <cellStyle name="常规 4 11 2 7 2 3" xfId="5527"/>
    <cellStyle name="常规 4 11 2 7 2 3 2" xfId="5531"/>
    <cellStyle name="常规 4 11 2 7 2 4" xfId="5539"/>
    <cellStyle name="常规 4 11 2 7 2 5" xfId="5551"/>
    <cellStyle name="常规 4 11 2 7 3" xfId="6087"/>
    <cellStyle name="常规 4 11 2 7 3 2" xfId="6088"/>
    <cellStyle name="常规 4 11 2 7 3 2 2" xfId="3309"/>
    <cellStyle name="常规 4 11 2 7 3 3" xfId="5560"/>
    <cellStyle name="常规 4 11 2 7 3 4" xfId="1968"/>
    <cellStyle name="常规 4 11 2 7 4" xfId="6090"/>
    <cellStyle name="常规 4 11 2 7 4 2" xfId="6096"/>
    <cellStyle name="常规 4 11 2 7 5" xfId="2492"/>
    <cellStyle name="常规 4 11 2 7 6" xfId="6101"/>
    <cellStyle name="常规 4 11 2 8" xfId="6102"/>
    <cellStyle name="常规 4 11 2 8 2" xfId="4624"/>
    <cellStyle name="常规 4 11 2 8 2 2" xfId="6105"/>
    <cellStyle name="常规 4 11 2 8 2 2 2" xfId="6106"/>
    <cellStyle name="常规 4 11 2 8 2 3" xfId="5611"/>
    <cellStyle name="常规 4 11 2 8 2 4" xfId="5616"/>
    <cellStyle name="常规 4 11 2 8 3" xfId="6108"/>
    <cellStyle name="常规 4 11 2 8 3 2" xfId="6110"/>
    <cellStyle name="常规 4 11 2 8 4" xfId="6104"/>
    <cellStyle name="常规 4 11 2 8 5" xfId="5609"/>
    <cellStyle name="常规 4 11 2 9" xfId="6112"/>
    <cellStyle name="常规 4 11 2 9 2" xfId="6113"/>
    <cellStyle name="常规 4 11 2 9 2 2" xfId="6116"/>
    <cellStyle name="常规 4 11 2 9 3" xfId="6117"/>
    <cellStyle name="常规 4 11 2 9 4" xfId="6109"/>
    <cellStyle name="常规 4 11 3" xfId="2421"/>
    <cellStyle name="常规 4 11 3 10" xfId="560"/>
    <cellStyle name="常规 4 11 3 11" xfId="577"/>
    <cellStyle name="常规 4 11 3 2" xfId="3599"/>
    <cellStyle name="常规 4 11 3 2 2" xfId="5163"/>
    <cellStyle name="常规 4 11 3 2 2 2" xfId="3329"/>
    <cellStyle name="常规 4 11 3 2 2 2 2" xfId="715"/>
    <cellStyle name="常规 4 11 3 2 2 2 2 2" xfId="6120"/>
    <cellStyle name="常规 4 11 3 2 2 2 2 2 2" xfId="6124"/>
    <cellStyle name="常规 4 11 3 2 2 2 2 2 2 2" xfId="6128"/>
    <cellStyle name="常规 4 11 3 2 2 2 2 2 2 2 2" xfId="6131"/>
    <cellStyle name="常规 4 11 3 2 2 2 2 2 2 3" xfId="6133"/>
    <cellStyle name="常规 4 11 3 2 2 2 2 2 2 4" xfId="6135"/>
    <cellStyle name="常规 4 11 3 2 2 2 2 2 3" xfId="5795"/>
    <cellStyle name="常规 4 11 3 2 2 2 2 2 3 2" xfId="5799"/>
    <cellStyle name="常规 4 11 3 2 2 2 2 2 4" xfId="5807"/>
    <cellStyle name="常规 4 11 3 2 2 2 2 2 5" xfId="3548"/>
    <cellStyle name="常规 4 11 3 2 2 2 2 3" xfId="6137"/>
    <cellStyle name="常规 4 11 3 2 2 2 2 3 2" xfId="6140"/>
    <cellStyle name="常规 4 11 3 2 2 2 2 3 2 2" xfId="4531"/>
    <cellStyle name="常规 4 11 3 2 2 2 2 3 3" xfId="5811"/>
    <cellStyle name="常规 4 11 3 2 2 2 2 3 4" xfId="6145"/>
    <cellStyle name="常规 4 11 3 2 2 2 2 4" xfId="6150"/>
    <cellStyle name="常规 4 11 3 2 2 2 2 4 2" xfId="6158"/>
    <cellStyle name="常规 4 11 3 2 2 2 2 5" xfId="6165"/>
    <cellStyle name="常规 4 11 3 2 2 2 2 6" xfId="6170"/>
    <cellStyle name="常规 4 11 3 2 2 2 3" xfId="763"/>
    <cellStyle name="常规 4 11 3 2 2 2 3 2" xfId="6176"/>
    <cellStyle name="常规 4 11 3 2 2 2 3 2 2" xfId="1370"/>
    <cellStyle name="常规 4 11 3 2 2 2 3 2 2 2" xfId="6179"/>
    <cellStyle name="常规 4 11 3 2 2 2 3 2 3" xfId="1371"/>
    <cellStyle name="常规 4 11 3 2 2 2 3 2 4" xfId="3775"/>
    <cellStyle name="常规 4 11 3 2 2 2 3 3" xfId="6181"/>
    <cellStyle name="常规 4 11 3 2 2 2 3 3 2" xfId="1884"/>
    <cellStyle name="常规 4 11 3 2 2 2 3 4" xfId="6186"/>
    <cellStyle name="常规 4 11 3 2 2 2 3 5" xfId="5676"/>
    <cellStyle name="常规 4 11 3 2 2 2 4" xfId="6190"/>
    <cellStyle name="常规 4 11 3 2 2 2 4 2" xfId="6197"/>
    <cellStyle name="常规 4 11 3 2 2 2 4 2 2" xfId="6205"/>
    <cellStyle name="常规 4 11 3 2 2 2 4 3" xfId="236"/>
    <cellStyle name="常规 4 11 3 2 2 2 4 4" xfId="6212"/>
    <cellStyle name="常规 4 11 3 2 2 2 5" xfId="6215"/>
    <cellStyle name="常规 4 11 3 2 2 2 5 2" xfId="6219"/>
    <cellStyle name="常规 4 11 3 2 2 2 6" xfId="5316"/>
    <cellStyle name="常规 4 11 3 2 2 2 7" xfId="5328"/>
    <cellStyle name="常规 4 11 3 2 2 3" xfId="6223"/>
    <cellStyle name="常规 4 11 3 2 2 3 2" xfId="6225"/>
    <cellStyle name="常规 4 11 3 2 2 3 2 2" xfId="6230"/>
    <cellStyle name="常规 4 11 3 2 2 3 2 2 2" xfId="6232"/>
    <cellStyle name="常规 4 11 3 2 2 3 2 2 2 2" xfId="6235"/>
    <cellStyle name="常规 4 11 3 2 2 3 2 2 3" xfId="5830"/>
    <cellStyle name="常规 4 11 3 2 2 3 2 2 4" xfId="6239"/>
    <cellStyle name="常规 4 11 3 2 2 3 2 3" xfId="6241"/>
    <cellStyle name="常规 4 11 3 2 2 3 2 3 2" xfId="6244"/>
    <cellStyle name="常规 4 11 3 2 2 3 2 4" xfId="6249"/>
    <cellStyle name="常规 4 11 3 2 2 3 2 5" xfId="6252"/>
    <cellStyle name="常规 4 11 3 2 2 3 3" xfId="6256"/>
    <cellStyle name="常规 4 11 3 2 2 3 3 2" xfId="6258"/>
    <cellStyle name="常规 4 11 3 2 2 3 3 2 2" xfId="2256"/>
    <cellStyle name="常规 4 11 3 2 2 3 3 3" xfId="6261"/>
    <cellStyle name="常规 4 11 3 2 2 3 3 4" xfId="5220"/>
    <cellStyle name="常规 4 11 3 2 2 3 4" xfId="6267"/>
    <cellStyle name="常规 4 11 3 2 2 3 4 2" xfId="1162"/>
    <cellStyle name="常规 4 11 3 2 2 3 5" xfId="6273"/>
    <cellStyle name="常规 4 11 3 2 2 3 6" xfId="5344"/>
    <cellStyle name="常规 4 11 3 2 2 4" xfId="6274"/>
    <cellStyle name="常规 4 11 3 2 2 4 2" xfId="6276"/>
    <cellStyle name="常规 4 11 3 2 2 4 2 2" xfId="638"/>
    <cellStyle name="常规 4 11 3 2 2 4 2 2 2" xfId="6277"/>
    <cellStyle name="常规 4 11 3 2 2 4 2 3" xfId="4057"/>
    <cellStyle name="常规 4 11 3 2 2 4 2 4" xfId="6281"/>
    <cellStyle name="常规 4 11 3 2 2 4 3" xfId="6284"/>
    <cellStyle name="常规 4 11 3 2 2 4 3 2" xfId="4079"/>
    <cellStyle name="常规 4 11 3 2 2 4 4" xfId="6290"/>
    <cellStyle name="常规 4 11 3 2 2 4 5" xfId="6291"/>
    <cellStyle name="常规 4 11 3 2 2 5" xfId="6292"/>
    <cellStyle name="常规 4 11 3 2 2 5 2" xfId="6295"/>
    <cellStyle name="常规 4 11 3 2 2 5 2 2" xfId="6298"/>
    <cellStyle name="常规 4 11 3 2 2 5 3" xfId="6300"/>
    <cellStyle name="常规 4 11 3 2 2 5 4" xfId="6302"/>
    <cellStyle name="常规 4 11 3 2 2 6" xfId="6305"/>
    <cellStyle name="常规 4 11 3 2 2 6 2" xfId="6308"/>
    <cellStyle name="常规 4 11 3 2 2 7" xfId="6312"/>
    <cellStyle name="常规 4 11 3 2 2 8" xfId="6316"/>
    <cellStyle name="常规 4 11 3 2 3" xfId="5168"/>
    <cellStyle name="常规 4 11 3 2 3 2" xfId="6318"/>
    <cellStyle name="常规 4 11 3 2 3 2 2" xfId="6320"/>
    <cellStyle name="常规 4 11 3 2 3 2 2 2" xfId="4297"/>
    <cellStyle name="常规 4 11 3 2 3 2 2 2 2" xfId="4303"/>
    <cellStyle name="常规 4 11 3 2 3 2 2 2 2 2" xfId="4311"/>
    <cellStyle name="常规 4 11 3 2 3 2 2 2 3" xfId="4315"/>
    <cellStyle name="常规 4 11 3 2 3 2 2 2 4" xfId="4323"/>
    <cellStyle name="常规 4 11 3 2 3 2 2 3" xfId="4326"/>
    <cellStyle name="常规 4 11 3 2 3 2 2 3 2" xfId="4333"/>
    <cellStyle name="常规 4 11 3 2 3 2 2 4" xfId="3440"/>
    <cellStyle name="常规 4 11 3 2 3 2 2 5" xfId="4342"/>
    <cellStyle name="常规 4 11 3 2 3 2 3" xfId="6322"/>
    <cellStyle name="常规 4 11 3 2 3 2 3 2" xfId="4376"/>
    <cellStyle name="常规 4 11 3 2 3 2 3 2 2" xfId="4381"/>
    <cellStyle name="常规 4 11 3 2 3 2 3 3" xfId="4385"/>
    <cellStyle name="常规 4 11 3 2 3 2 3 4" xfId="4393"/>
    <cellStyle name="常规 4 11 3 2 3 2 4" xfId="6326"/>
    <cellStyle name="常规 4 11 3 2 3 2 4 2" xfId="427"/>
    <cellStyle name="常规 4 11 3 2 3 2 5" xfId="6329"/>
    <cellStyle name="常规 4 11 3 2 3 2 6" xfId="5377"/>
    <cellStyle name="常规 4 11 3 2 3 3" xfId="4122"/>
    <cellStyle name="常规 4 11 3 2 3 3 2" xfId="6331"/>
    <cellStyle name="常规 4 11 3 2 3 3 2 2" xfId="4481"/>
    <cellStyle name="常规 4 11 3 2 3 3 2 2 2" xfId="4486"/>
    <cellStyle name="常规 4 11 3 2 3 3 2 3" xfId="4492"/>
    <cellStyle name="常规 4 11 3 2 3 3 2 4" xfId="4500"/>
    <cellStyle name="常规 4 11 3 2 3 3 3" xfId="6333"/>
    <cellStyle name="常规 4 11 3 2 3 3 3 2" xfId="4521"/>
    <cellStyle name="常规 4 11 3 2 3 3 4" xfId="6337"/>
    <cellStyle name="常规 4 11 3 2 3 3 5" xfId="6338"/>
    <cellStyle name="常规 4 11 3 2 3 4" xfId="6340"/>
    <cellStyle name="常规 4 11 3 2 3 4 2" xfId="6341"/>
    <cellStyle name="常规 4 11 3 2 3 4 2 2" xfId="153"/>
    <cellStyle name="常规 4 11 3 2 3 4 3" xfId="6342"/>
    <cellStyle name="常规 4 11 3 2 3 4 4" xfId="6343"/>
    <cellStyle name="常规 4 11 3 2 3 5" xfId="5702"/>
    <cellStyle name="常规 4 11 3 2 3 5 2" xfId="5705"/>
    <cellStyle name="常规 4 11 3 2 3 6" xfId="5733"/>
    <cellStyle name="常规 4 11 3 2 3 7" xfId="5750"/>
    <cellStyle name="常规 4 11 3 2 4" xfId="6345"/>
    <cellStyle name="常规 4 11 3 2 4 2" xfId="6347"/>
    <cellStyle name="常规 4 11 3 2 4 2 2" xfId="2764"/>
    <cellStyle name="常规 4 11 3 2 4 2 2 2" xfId="4663"/>
    <cellStyle name="常规 4 11 3 2 4 2 2 2 2" xfId="4671"/>
    <cellStyle name="常规 4 11 3 2 4 2 2 3" xfId="4689"/>
    <cellStyle name="常规 4 11 3 2 4 2 2 4" xfId="4705"/>
    <cellStyle name="常规 4 11 3 2 4 2 3" xfId="2769"/>
    <cellStyle name="常规 4 11 3 2 4 2 3 2" xfId="4738"/>
    <cellStyle name="常规 4 11 3 2 4 2 4" xfId="6356"/>
    <cellStyle name="常规 4 11 3 2 4 2 5" xfId="6359"/>
    <cellStyle name="常规 4 11 3 2 4 3" xfId="6361"/>
    <cellStyle name="常规 4 11 3 2 4 3 2" xfId="6368"/>
    <cellStyle name="常规 4 11 3 2 4 3 2 2" xfId="2317"/>
    <cellStyle name="常规 4 11 3 2 4 3 3" xfId="6375"/>
    <cellStyle name="常规 4 11 3 2 4 3 4" xfId="6378"/>
    <cellStyle name="常规 4 11 3 2 4 4" xfId="6380"/>
    <cellStyle name="常规 4 11 3 2 4 4 2" xfId="6388"/>
    <cellStyle name="常规 4 11 3 2 4 5" xfId="5765"/>
    <cellStyle name="常规 4 11 3 2 4 6" xfId="5776"/>
    <cellStyle name="常规 4 11 3 2 5" xfId="2097"/>
    <cellStyle name="常规 4 11 3 2 5 2" xfId="6390"/>
    <cellStyle name="常规 4 11 3 2 5 2 2" xfId="6394"/>
    <cellStyle name="常规 4 11 3 2 5 2 2 2" xfId="1027"/>
    <cellStyle name="常规 4 11 3 2 5 2 3" xfId="6399"/>
    <cellStyle name="常规 4 11 3 2 5 2 4" xfId="929"/>
    <cellStyle name="常规 4 11 3 2 5 3" xfId="6402"/>
    <cellStyle name="常规 4 11 3 2 5 3 2" xfId="6404"/>
    <cellStyle name="常规 4 11 3 2 5 4" xfId="3894"/>
    <cellStyle name="常规 4 11 3 2 5 5" xfId="2035"/>
    <cellStyle name="常规 4 11 3 2 6" xfId="6405"/>
    <cellStyle name="常规 4 11 3 2 6 2" xfId="6407"/>
    <cellStyle name="常规 4 11 3 2 6 2 2" xfId="6408"/>
    <cellStyle name="常规 4 11 3 2 6 3" xfId="6411"/>
    <cellStyle name="常规 4 11 3 2 6 4" xfId="3898"/>
    <cellStyle name="常规 4 11 3 2 7" xfId="2480"/>
    <cellStyle name="常规 4 11 3 2 7 2" xfId="2483"/>
    <cellStyle name="常规 4 11 3 2 8" xfId="2494"/>
    <cellStyle name="常规 4 11 3 2 9" xfId="2505"/>
    <cellStyle name="常规 4 11 3 3" xfId="3606"/>
    <cellStyle name="常规 4 11 3 3 2" xfId="5195"/>
    <cellStyle name="常规 4 11 3 3 2 2" xfId="3360"/>
    <cellStyle name="常规 4 11 3 3 2 2 2" xfId="2581"/>
    <cellStyle name="常规 4 11 3 3 2 2 2 2" xfId="6412"/>
    <cellStyle name="常规 4 11 3 3 2 2 2 2 2" xfId="5711"/>
    <cellStyle name="常规 4 11 3 3 2 2 2 2 2 2" xfId="5714"/>
    <cellStyle name="常规 4 11 3 3 2 2 2 2 2 2 2" xfId="1730"/>
    <cellStyle name="常规 4 11 3 3 2 2 2 2 2 3" xfId="6415"/>
    <cellStyle name="常规 4 11 3 3 2 2 2 2 2 4" xfId="6417"/>
    <cellStyle name="常规 4 11 3 3 2 2 2 2 3" xfId="5722"/>
    <cellStyle name="常规 4 11 3 3 2 2 2 2 3 2" xfId="6418"/>
    <cellStyle name="常规 4 11 3 3 2 2 2 2 4" xfId="5728"/>
    <cellStyle name="常规 4 11 3 3 2 2 2 2 5" xfId="6419"/>
    <cellStyle name="常规 4 11 3 3 2 2 2 3" xfId="6420"/>
    <cellStyle name="常规 4 11 3 3 2 2 2 3 2" xfId="5738"/>
    <cellStyle name="常规 4 11 3 3 2 2 2 3 2 2" xfId="6421"/>
    <cellStyle name="常规 4 11 3 3 2 2 2 3 3" xfId="5740"/>
    <cellStyle name="常规 4 11 3 3 2 2 2 3 4" xfId="6423"/>
    <cellStyle name="常规 4 11 3 3 2 2 2 4" xfId="3035"/>
    <cellStyle name="常规 4 11 3 3 2 2 2 4 2" xfId="6426"/>
    <cellStyle name="常规 4 11 3 3 2 2 2 5" xfId="3967"/>
    <cellStyle name="常规 4 11 3 3 2 2 2 6" xfId="3979"/>
    <cellStyle name="常规 4 11 3 3 2 2 3" xfId="6427"/>
    <cellStyle name="常规 4 11 3 3 2 2 3 2" xfId="6428"/>
    <cellStyle name="常规 4 11 3 3 2 2 3 2 2" xfId="5768"/>
    <cellStyle name="常规 4 11 3 3 2 2 3 2 2 2" xfId="6429"/>
    <cellStyle name="常规 4 11 3 3 2 2 3 2 3" xfId="5771"/>
    <cellStyle name="常规 4 11 3 3 2 2 3 2 4" xfId="6430"/>
    <cellStyle name="常规 4 11 3 3 2 2 3 3" xfId="6431"/>
    <cellStyle name="常规 4 11 3 3 2 2 3 3 2" xfId="6433"/>
    <cellStyle name="常规 4 11 3 3 2 2 3 4" xfId="6436"/>
    <cellStyle name="常规 4 11 3 3 2 2 3 5" xfId="3997"/>
    <cellStyle name="常规 4 11 3 3 2 2 4" xfId="6439"/>
    <cellStyle name="常规 4 11 3 3 2 2 4 2" xfId="6445"/>
    <cellStyle name="常规 4 11 3 3 2 2 4 2 2" xfId="6447"/>
    <cellStyle name="常规 4 11 3 3 2 2 4 3" xfId="6449"/>
    <cellStyle name="常规 4 11 3 3 2 2 4 4" xfId="6451"/>
    <cellStyle name="常规 4 11 3 3 2 2 5" xfId="3155"/>
    <cellStyle name="常规 4 11 3 3 2 2 5 2" xfId="3159"/>
    <cellStyle name="常规 4 11 3 3 2 2 6" xfId="3170"/>
    <cellStyle name="常规 4 11 3 3 2 2 7" xfId="3191"/>
    <cellStyle name="常规 4 11 3 3 2 3" xfId="6453"/>
    <cellStyle name="常规 4 11 3 3 2 3 2" xfId="6454"/>
    <cellStyle name="常规 4 11 3 3 2 3 2 2" xfId="6455"/>
    <cellStyle name="常规 4 11 3 3 2 3 2 2 2" xfId="5804"/>
    <cellStyle name="常规 4 11 3 3 2 3 2 2 2 2" xfId="6456"/>
    <cellStyle name="常规 4 11 3 3 2 3 2 2 3" xfId="3544"/>
    <cellStyle name="常规 4 11 3 3 2 3 2 2 4" xfId="3556"/>
    <cellStyle name="常规 4 11 3 3 2 3 2 3" xfId="6457"/>
    <cellStyle name="常规 4 11 3 3 2 3 2 3 2" xfId="6141"/>
    <cellStyle name="常规 4 11 3 3 2 3 2 4" xfId="4230"/>
    <cellStyle name="常规 4 11 3 3 2 3 2 5" xfId="4237"/>
    <cellStyle name="常规 4 11 3 3 2 3 3" xfId="6459"/>
    <cellStyle name="常规 4 11 3 3 2 3 3 2" xfId="6460"/>
    <cellStyle name="常规 4 11 3 3 2 3 3 2 2" xfId="3772"/>
    <cellStyle name="常规 4 11 3 3 2 3 3 3" xfId="2871"/>
    <cellStyle name="常规 4 11 3 3 2 3 3 4" xfId="4248"/>
    <cellStyle name="常规 4 11 3 3 2 3 4" xfId="6464"/>
    <cellStyle name="常规 4 11 3 3 2 3 4 2" xfId="6465"/>
    <cellStyle name="常规 4 11 3 3 2 3 5" xfId="3202"/>
    <cellStyle name="常规 4 11 3 3 2 3 6" xfId="3207"/>
    <cellStyle name="常规 4 11 3 3 2 4" xfId="6467"/>
    <cellStyle name="常规 4 11 3 3 2 4 2" xfId="6468"/>
    <cellStyle name="常规 4 11 3 3 2 4 2 2" xfId="2301"/>
    <cellStyle name="常规 4 11 3 3 2 4 2 2 2" xfId="6236"/>
    <cellStyle name="常规 4 11 3 3 2 4 2 3" xfId="6469"/>
    <cellStyle name="常规 4 11 3 3 2 4 2 4" xfId="4282"/>
    <cellStyle name="常规 4 11 3 3 2 4 3" xfId="6470"/>
    <cellStyle name="常规 4 11 3 3 2 4 3 2" xfId="6471"/>
    <cellStyle name="常规 4 11 3 3 2 4 4" xfId="6472"/>
    <cellStyle name="常规 4 11 3 3 2 4 5" xfId="3215"/>
    <cellStyle name="常规 4 11 3 3 2 5" xfId="6474"/>
    <cellStyle name="常规 4 11 3 3 2 5 2" xfId="6475"/>
    <cellStyle name="常规 4 11 3 3 2 5 2 2" xfId="6478"/>
    <cellStyle name="常规 4 11 3 3 2 5 3" xfId="6479"/>
    <cellStyle name="常规 4 11 3 3 2 5 4" xfId="2771"/>
    <cellStyle name="常规 4 11 3 3 2 6" xfId="6481"/>
    <cellStyle name="常规 4 11 3 3 2 6 2" xfId="46"/>
    <cellStyle name="常规 4 11 3 3 2 7" xfId="244"/>
    <cellStyle name="常规 4 11 3 3 2 8" xfId="4090"/>
    <cellStyle name="常规 4 11 3 3 3" xfId="6491"/>
    <cellStyle name="常规 4 11 3 3 3 2" xfId="6494"/>
    <cellStyle name="常规 4 11 3 3 3 2 2" xfId="6497"/>
    <cellStyle name="常规 4 11 3 3 3 2 2 2" xfId="5261"/>
    <cellStyle name="常规 4 11 3 3 3 2 2 2 2" xfId="5264"/>
    <cellStyle name="常规 4 11 3 3 3 2 2 2 2 2" xfId="6499"/>
    <cellStyle name="常规 4 11 3 3 3 2 2 2 3" xfId="3570"/>
    <cellStyle name="常规 4 11 3 3 3 2 2 2 4" xfId="6500"/>
    <cellStyle name="常规 4 11 3 3 3 2 2 3" xfId="5271"/>
    <cellStyle name="常规 4 11 3 3 3 2 2 3 2" xfId="403"/>
    <cellStyle name="常规 4 11 3 3 3 2 2 4" xfId="5278"/>
    <cellStyle name="常规 4 11 3 3 3 2 2 5" xfId="6501"/>
    <cellStyle name="常规 4 11 3 3 3 2 3" xfId="6504"/>
    <cellStyle name="常规 4 11 3 3 3 2 3 2" xfId="5304"/>
    <cellStyle name="常规 4 11 3 3 3 2 3 2 2" xfId="6505"/>
    <cellStyle name="常规 4 11 3 3 3 2 3 3" xfId="3312"/>
    <cellStyle name="常规 4 11 3 3 3 2 3 4" xfId="6506"/>
    <cellStyle name="常规 4 11 3 3 3 2 4" xfId="6511"/>
    <cellStyle name="常规 4 11 3 3 3 2 4 2" xfId="5329"/>
    <cellStyle name="常规 4 11 3 3 3 2 5" xfId="6512"/>
    <cellStyle name="常规 4 11 3 3 3 2 6" xfId="6514"/>
    <cellStyle name="常规 4 11 3 3 3 3" xfId="6516"/>
    <cellStyle name="常规 4 11 3 3 3 3 2" xfId="6518"/>
    <cellStyle name="常规 4 11 3 3 3 3 2 2" xfId="5347"/>
    <cellStyle name="常规 4 11 3 3 3 3 2 2 2" xfId="4322"/>
    <cellStyle name="常规 4 11 3 3 3 3 2 3" xfId="5351"/>
    <cellStyle name="常规 4 11 3 3 3 3 2 4" xfId="4363"/>
    <cellStyle name="常规 4 11 3 3 3 3 3" xfId="6520"/>
    <cellStyle name="常规 4 11 3 3 3 3 3 2" xfId="5360"/>
    <cellStyle name="常规 4 11 3 3 3 3 4" xfId="6521"/>
    <cellStyle name="常规 4 11 3 3 3 3 5" xfId="6522"/>
    <cellStyle name="常规 4 11 3 3 3 4" xfId="6524"/>
    <cellStyle name="常规 4 11 3 3 3 4 2" xfId="6527"/>
    <cellStyle name="常规 4 11 3 3 3 4 2 2" xfId="5389"/>
    <cellStyle name="常规 4 11 3 3 3 4 3" xfId="3790"/>
    <cellStyle name="常规 4 11 3 3 3 4 4" xfId="6528"/>
    <cellStyle name="常规 4 11 3 3 3 5" xfId="5789"/>
    <cellStyle name="常规 4 11 3 3 3 5 2" xfId="5793"/>
    <cellStyle name="常规 4 11 3 3 3 6" xfId="2957"/>
    <cellStyle name="常规 4 11 3 3 3 7" xfId="5822"/>
    <cellStyle name="常规 4 11 3 3 4" xfId="6537"/>
    <cellStyle name="常规 4 11 3 3 4 2" xfId="3456"/>
    <cellStyle name="常规 4 11 3 3 4 2 2" xfId="1252"/>
    <cellStyle name="常规 4 11 3 3 4 2 2 2" xfId="3099"/>
    <cellStyle name="常规 4 11 3 3 4 2 2 2 2" xfId="6540"/>
    <cellStyle name="常规 4 11 3 3 4 2 2 3" xfId="3461"/>
    <cellStyle name="常规 4 11 3 3 4 2 2 4" xfId="6546"/>
    <cellStyle name="常规 4 11 3 3 4 2 3" xfId="3398"/>
    <cellStyle name="常规 4 11 3 3 4 2 3 2" xfId="3142"/>
    <cellStyle name="常规 4 11 3 3 4 2 4" xfId="3485"/>
    <cellStyle name="常规 4 11 3 3 4 2 5" xfId="3489"/>
    <cellStyle name="常规 4 11 3 3 4 3" xfId="3499"/>
    <cellStyle name="常规 4 11 3 3 4 3 2" xfId="1003"/>
    <cellStyle name="常规 4 11 3 3 4 3 2 2" xfId="5006"/>
    <cellStyle name="常规 4 11 3 3 4 3 3" xfId="3507"/>
    <cellStyle name="常规 4 11 3 3 4 3 4" xfId="6549"/>
    <cellStyle name="常规 4 11 3 3 4 4" xfId="3513"/>
    <cellStyle name="常规 4 11 3 3 4 4 2" xfId="1337"/>
    <cellStyle name="常规 4 11 3 3 4 5" xfId="3522"/>
    <cellStyle name="常规 4 11 3 3 4 6" xfId="3529"/>
    <cellStyle name="常规 4 11 3 3 5" xfId="6553"/>
    <cellStyle name="常规 4 11 3 3 5 2" xfId="2053"/>
    <cellStyle name="常规 4 11 3 3 5 2 2" xfId="2065"/>
    <cellStyle name="常规 4 11 3 3 5 2 2 2" xfId="2074"/>
    <cellStyle name="常规 4 11 3 3 5 2 3" xfId="2094"/>
    <cellStyle name="常规 4 11 3 3 5 2 4" xfId="967"/>
    <cellStyle name="常规 4 11 3 3 5 3" xfId="2111"/>
    <cellStyle name="常规 4 11 3 3 5 3 2" xfId="2122"/>
    <cellStyle name="常规 4 11 3 3 5 4" xfId="2131"/>
    <cellStyle name="常规 4 11 3 3 5 5" xfId="2140"/>
    <cellStyle name="常规 4 11 3 3 6" xfId="6556"/>
    <cellStyle name="常规 4 11 3 3 6 2" xfId="2173"/>
    <cellStyle name="常规 4 11 3 3 6 2 2" xfId="6562"/>
    <cellStyle name="常规 4 11 3 3 6 3" xfId="2178"/>
    <cellStyle name="常规 4 11 3 3 6 4" xfId="2184"/>
    <cellStyle name="常规 4 11 3 3 7" xfId="830"/>
    <cellStyle name="常规 4 11 3 3 7 2" xfId="2211"/>
    <cellStyle name="常规 4 11 3 3 8" xfId="841"/>
    <cellStyle name="常规 4 11 3 3 9" xfId="6568"/>
    <cellStyle name="常规 4 11 3 4" xfId="3613"/>
    <cellStyle name="常规 4 11 3 4 2" xfId="6579"/>
    <cellStyle name="常规 4 11 3 4 2 2" xfId="3384"/>
    <cellStyle name="常规 4 11 3 4 2 2 2" xfId="3917"/>
    <cellStyle name="常规 4 11 3 4 2 2 2 2" xfId="1212"/>
    <cellStyle name="常规 4 11 3 4 2 2 2 2 2" xfId="2556"/>
    <cellStyle name="常规 4 11 3 4 2 2 2 2 2 2" xfId="2562"/>
    <cellStyle name="常规 4 11 3 4 2 2 2 2 3" xfId="2574"/>
    <cellStyle name="常规 4 11 3 4 2 2 2 2 4" xfId="2584"/>
    <cellStyle name="常规 4 11 3 4 2 2 2 3" xfId="1222"/>
    <cellStyle name="常规 4 11 3 4 2 2 2 3 2" xfId="2595"/>
    <cellStyle name="常规 4 11 3 4 2 2 2 4" xfId="1235"/>
    <cellStyle name="常规 4 11 3 4 2 2 2 5" xfId="2630"/>
    <cellStyle name="常规 4 11 3 4 2 2 3" xfId="3491"/>
    <cellStyle name="常规 4 11 3 4 2 2 3 2" xfId="5176"/>
    <cellStyle name="常规 4 11 3 4 2 2 3 2 2" xfId="5625"/>
    <cellStyle name="常规 4 11 3 4 2 2 3 3" xfId="6580"/>
    <cellStyle name="常规 4 11 3 4 2 2 3 4" xfId="6584"/>
    <cellStyle name="常规 4 11 3 4 2 2 4" xfId="5186"/>
    <cellStyle name="常规 4 11 3 4 2 2 4 2" xfId="6585"/>
    <cellStyle name="常规 4 11 3 4 2 2 5" xfId="5191"/>
    <cellStyle name="常规 4 11 3 4 2 2 6" xfId="6488"/>
    <cellStyle name="常规 4 11 3 4 2 3" xfId="6591"/>
    <cellStyle name="常规 4 11 3 4 2 3 2" xfId="6592"/>
    <cellStyle name="常规 4 11 3 4 2 3 2 2" xfId="222"/>
    <cellStyle name="常规 4 11 3 4 2 3 2 2 2" xfId="5727"/>
    <cellStyle name="常规 4 11 3 4 2 3 2 3" xfId="1276"/>
    <cellStyle name="常规 4 11 3 4 2 3 2 4" xfId="1291"/>
    <cellStyle name="常规 4 11 3 4 2 3 3" xfId="5199"/>
    <cellStyle name="常规 4 11 3 4 2 3 3 2" xfId="6593"/>
    <cellStyle name="常规 4 11 3 4 2 3 4" xfId="6597"/>
    <cellStyle name="常规 4 11 3 4 2 3 5" xfId="6573"/>
    <cellStyle name="常规 4 11 3 4 2 4" xfId="6598"/>
    <cellStyle name="常规 4 11 3 4 2 4 2" xfId="6599"/>
    <cellStyle name="常规 4 11 3 4 2 4 2 2" xfId="1303"/>
    <cellStyle name="常规 4 11 3 4 2 4 3" xfId="6600"/>
    <cellStyle name="常规 4 11 3 4 2 4 4" xfId="6601"/>
    <cellStyle name="常规 4 11 3 4 2 5" xfId="6603"/>
    <cellStyle name="常规 4 11 3 4 2 5 2" xfId="6604"/>
    <cellStyle name="常规 4 11 3 4 2 6" xfId="6605"/>
    <cellStyle name="常规 4 11 3 4 2 7" xfId="4645"/>
    <cellStyle name="常规 4 11 3 4 3" xfId="6611"/>
    <cellStyle name="常规 4 11 3 4 3 2" xfId="6613"/>
    <cellStyle name="常规 4 11 3 4 3 2 2" xfId="6615"/>
    <cellStyle name="常规 4 11 3 4 3 2 2 2" xfId="5549"/>
    <cellStyle name="常规 4 11 3 4 3 2 2 2 2" xfId="5553"/>
    <cellStyle name="常规 4 11 3 4 3 2 2 3" xfId="2553"/>
    <cellStyle name="常规 4 11 3 4 3 2 2 4" xfId="2572"/>
    <cellStyle name="常规 4 11 3 4 3 2 3" xfId="6617"/>
    <cellStyle name="常规 4 11 3 4 3 2 3 2" xfId="2265"/>
    <cellStyle name="常规 4 11 3 4 3 2 4" xfId="6618"/>
    <cellStyle name="常规 4 11 3 4 3 2 5" xfId="6623"/>
    <cellStyle name="常规 4 11 3 4 3 3" xfId="6625"/>
    <cellStyle name="常规 4 11 3 4 3 3 2" xfId="6627"/>
    <cellStyle name="常规 4 11 3 4 3 3 2 2" xfId="5619"/>
    <cellStyle name="常规 4 11 3 4 3 3 3" xfId="6628"/>
    <cellStyle name="常规 4 11 3 4 3 3 4" xfId="6629"/>
    <cellStyle name="常规 4 11 3 4 3 4" xfId="2"/>
    <cellStyle name="常规 4 11 3 4 3 4 2" xfId="393"/>
    <cellStyle name="常规 4 11 3 4 3 5" xfId="446"/>
    <cellStyle name="常规 4 11 3 4 3 6" xfId="453"/>
    <cellStyle name="常规 4 11 3 4 4" xfId="6632"/>
    <cellStyle name="常规 4 11 3 4 4 2" xfId="3834"/>
    <cellStyle name="常规 4 11 3 4 4 2 2" xfId="6636"/>
    <cellStyle name="常规 4 11 3 4 4 2 2 2" xfId="5718"/>
    <cellStyle name="常规 4 11 3 4 4 2 3" xfId="6639"/>
    <cellStyle name="常规 4 11 3 4 4 2 4" xfId="6642"/>
    <cellStyle name="常规 4 11 3 4 4 3" xfId="6644"/>
    <cellStyle name="常规 4 11 3 4 4 3 2" xfId="6647"/>
    <cellStyle name="常规 4 11 3 4 4 4" xfId="462"/>
    <cellStyle name="常规 4 11 3 4 4 5" xfId="516"/>
    <cellStyle name="常规 4 11 3 4 5" xfId="6650"/>
    <cellStyle name="常规 4 11 3 4 5 2" xfId="3414"/>
    <cellStyle name="常规 4 11 3 4 5 2 2" xfId="3540"/>
    <cellStyle name="常规 4 11 3 4 5 3" xfId="3823"/>
    <cellStyle name="常规 4 11 3 4 5 4" xfId="532"/>
    <cellStyle name="常规 4 11 3 4 6" xfId="6652"/>
    <cellStyle name="常规 4 11 3 4 6 2" xfId="4106"/>
    <cellStyle name="常规 4 11 3 4 7" xfId="847"/>
    <cellStyle name="常规 4 11 3 4 8" xfId="855"/>
    <cellStyle name="常规 4 11 3 5" xfId="6658"/>
    <cellStyle name="常规 4 11 3 5 2" xfId="6664"/>
    <cellStyle name="常规 4 11 3 5 2 2" xfId="6666"/>
    <cellStyle name="常规 4 11 3 5 2 2 2" xfId="4026"/>
    <cellStyle name="常规 4 11 3 5 2 2 2 2" xfId="6667"/>
    <cellStyle name="常规 4 11 3 5 2 2 2 2 2" xfId="2629"/>
    <cellStyle name="常规 4 11 3 5 2 2 2 3" xfId="6670"/>
    <cellStyle name="常规 4 11 3 5 2 2 2 4" xfId="6673"/>
    <cellStyle name="常规 4 11 3 5 2 2 3" xfId="2497"/>
    <cellStyle name="常规 4 11 3 5 2 2 3 2" xfId="6674"/>
    <cellStyle name="常规 4 11 3 5 2 2 4" xfId="6678"/>
    <cellStyle name="常规 4 11 3 5 2 2 5" xfId="6687"/>
    <cellStyle name="常规 4 11 3 5 2 3" xfId="6688"/>
    <cellStyle name="常规 4 11 3 5 2 3 2" xfId="6689"/>
    <cellStyle name="常规 4 11 3 5 2 3 2 2" xfId="6690"/>
    <cellStyle name="常规 4 11 3 5 2 3 3" xfId="6693"/>
    <cellStyle name="常规 4 11 3 5 2 3 4" xfId="6695"/>
    <cellStyle name="常规 4 11 3 5 2 4" xfId="6696"/>
    <cellStyle name="常规 4 11 3 5 2 4 2" xfId="6697"/>
    <cellStyle name="常规 4 11 3 5 2 5" xfId="6698"/>
    <cellStyle name="常规 4 11 3 5 2 6" xfId="6699"/>
    <cellStyle name="常规 4 11 3 5 3" xfId="6700"/>
    <cellStyle name="常规 4 11 3 5 3 2" xfId="2218"/>
    <cellStyle name="常规 4 11 3 5 3 2 2" xfId="4049"/>
    <cellStyle name="常规 4 11 3 5 3 2 2 2" xfId="5870"/>
    <cellStyle name="常规 4 11 3 5 3 2 3" xfId="6702"/>
    <cellStyle name="常规 4 11 3 5 3 2 4" xfId="6703"/>
    <cellStyle name="常规 4 11 3 5 3 3" xfId="2220"/>
    <cellStyle name="常规 4 11 3 5 3 3 2" xfId="3830"/>
    <cellStyle name="常规 4 11 3 5 3 4" xfId="2224"/>
    <cellStyle name="常规 4 11 3 5 3 5" xfId="2228"/>
    <cellStyle name="常规 4 11 3 5 4" xfId="4628"/>
    <cellStyle name="常规 4 11 3 5 4 2" xfId="4126"/>
    <cellStyle name="常规 4 11 3 5 4 2 2" xfId="4068"/>
    <cellStyle name="常规 4 11 3 5 4 3" xfId="4130"/>
    <cellStyle name="常规 4 11 3 5 4 4" xfId="4136"/>
    <cellStyle name="常规 4 11 3 5 5" xfId="6705"/>
    <cellStyle name="常规 4 11 3 5 5 2" xfId="1714"/>
    <cellStyle name="常规 4 11 3 5 6" xfId="6707"/>
    <cellStyle name="常规 4 11 3 5 7" xfId="865"/>
    <cellStyle name="常规 4 11 3 6" xfId="6712"/>
    <cellStyle name="常规 4 11 3 6 2" xfId="6715"/>
    <cellStyle name="常规 4 11 3 6 2 2" xfId="6717"/>
    <cellStyle name="常规 4 11 3 6 2 2 2" xfId="6718"/>
    <cellStyle name="常规 4 11 3 6 2 2 2 2" xfId="6719"/>
    <cellStyle name="常规 4 11 3 6 2 2 3" xfId="6723"/>
    <cellStyle name="常规 4 11 3 6 2 2 4" xfId="6724"/>
    <cellStyle name="常规 4 11 3 6 2 3" xfId="6294"/>
    <cellStyle name="常规 4 11 3 6 2 3 2" xfId="6296"/>
    <cellStyle name="常规 4 11 3 6 2 4" xfId="6299"/>
    <cellStyle name="常规 4 11 3 6 2 5" xfId="6301"/>
    <cellStyle name="常规 4 11 3 6 3" xfId="6725"/>
    <cellStyle name="常规 4 11 3 6 3 2" xfId="6727"/>
    <cellStyle name="常规 4 11 3 6 3 2 2" xfId="6728"/>
    <cellStyle name="常规 4 11 3 6 3 3" xfId="6306"/>
    <cellStyle name="常规 4 11 3 6 3 4" xfId="6730"/>
    <cellStyle name="常规 4 11 3 6 4" xfId="6732"/>
    <cellStyle name="常规 4 11 3 6 4 2" xfId="6734"/>
    <cellStyle name="常规 4 11 3 6 5" xfId="6737"/>
    <cellStyle name="常规 4 11 3 6 6" xfId="6740"/>
    <cellStyle name="常规 4 11 3 7" xfId="6742"/>
    <cellStyle name="常规 4 11 3 7 2" xfId="6745"/>
    <cellStyle name="常规 4 11 3 7 2 2" xfId="676"/>
    <cellStyle name="常规 4 11 3 7 2 2 2" xfId="6746"/>
    <cellStyle name="常规 4 11 3 7 2 3" xfId="5704"/>
    <cellStyle name="常规 4 11 3 7 2 4" xfId="5710"/>
    <cellStyle name="常规 4 11 3 7 3" xfId="6747"/>
    <cellStyle name="常规 4 11 3 7 3 2" xfId="6748"/>
    <cellStyle name="常规 4 11 3 7 4" xfId="6750"/>
    <cellStyle name="常规 4 11 3 7 5" xfId="6754"/>
    <cellStyle name="常规 4 11 3 8" xfId="6755"/>
    <cellStyle name="常规 4 11 3 8 2" xfId="6756"/>
    <cellStyle name="常规 4 11 3 8 2 2" xfId="6760"/>
    <cellStyle name="常规 4 11 3 8 3" xfId="6761"/>
    <cellStyle name="常规 4 11 3 8 4" xfId="6115"/>
    <cellStyle name="常规 4 11 3 9" xfId="6762"/>
    <cellStyle name="常规 4 11 3 9 2" xfId="6766"/>
    <cellStyle name="常规 4 11 4" xfId="2423"/>
    <cellStyle name="常规 4 11 4 2" xfId="1628"/>
    <cellStyle name="常规 4 11 4 2 2" xfId="3517"/>
    <cellStyle name="常规 4 11 4 2 2 2" xfId="3735"/>
    <cellStyle name="常规 4 11 4 2 2 2 2" xfId="6767"/>
    <cellStyle name="常规 4 11 4 2 2 2 2 2" xfId="3601"/>
    <cellStyle name="常规 4 11 4 2 2 2 2 2 2" xfId="5190"/>
    <cellStyle name="常规 4 11 4 2 2 2 2 2 2 2" xfId="3357"/>
    <cellStyle name="常规 4 11 4 2 2 2 2 2 3" xfId="6485"/>
    <cellStyle name="常规 4 11 4 2 2 2 2 2 4" xfId="6533"/>
    <cellStyle name="常规 4 11 4 2 2 2 2 3" xfId="3608"/>
    <cellStyle name="常规 4 11 4 2 2 2 2 3 2" xfId="6572"/>
    <cellStyle name="常规 4 11 4 2 2 2 2 4" xfId="6661"/>
    <cellStyle name="常规 4 11 4 2 2 2 2 5" xfId="6714"/>
    <cellStyle name="常规 4 11 4 2 2 2 3" xfId="6768"/>
    <cellStyle name="常规 4 11 4 2 2 2 3 2" xfId="1635"/>
    <cellStyle name="常规 4 11 4 2 2 2 3 2 2" xfId="6622"/>
    <cellStyle name="常规 4 11 4 2 2 2 3 3" xfId="1644"/>
    <cellStyle name="常规 4 11 4 2 2 2 3 4" xfId="1344"/>
    <cellStyle name="常规 4 11 4 2 2 2 4" xfId="6773"/>
    <cellStyle name="常规 4 11 4 2 2 2 4 2" xfId="3677"/>
    <cellStyle name="常规 4 11 4 2 2 2 5" xfId="6094"/>
    <cellStyle name="常规 4 11 4 2 2 2 6" xfId="5583"/>
    <cellStyle name="常规 4 11 4 2 2 3" xfId="6775"/>
    <cellStyle name="常规 4 11 4 2 2 3 2" xfId="6776"/>
    <cellStyle name="常规 4 11 4 2 2 3 2 2" xfId="3907"/>
    <cellStyle name="常规 4 11 4 2 2 3 2 2 2" xfId="6685"/>
    <cellStyle name="常规 4 11 4 2 2 3 2 3" xfId="6783"/>
    <cellStyle name="常规 4 11 4 2 2 3 2 4" xfId="6789"/>
    <cellStyle name="常规 4 11 4 2 2 3 3" xfId="6793"/>
    <cellStyle name="常规 4 11 4 2 2 3 3 2" xfId="54"/>
    <cellStyle name="常规 4 11 4 2 2 3 4" xfId="6798"/>
    <cellStyle name="常规 4 11 4 2 2 3 5" xfId="6803"/>
    <cellStyle name="常规 4 11 4 2 2 4" xfId="6804"/>
    <cellStyle name="常规 4 11 4 2 2 4 2" xfId="6805"/>
    <cellStyle name="常规 4 11 4 2 2 4 2 2" xfId="6806"/>
    <cellStyle name="常规 4 11 4 2 2 4 3" xfId="6808"/>
    <cellStyle name="常规 4 11 4 2 2 4 4" xfId="6813"/>
    <cellStyle name="常规 4 11 4 2 2 5" xfId="6814"/>
    <cellStyle name="常规 4 11 4 2 2 5 2" xfId="6815"/>
    <cellStyle name="常规 4 11 4 2 2 6" xfId="6817"/>
    <cellStyle name="常规 4 11 4 2 2 7" xfId="6820"/>
    <cellStyle name="常规 4 11 4 2 3" xfId="6821"/>
    <cellStyle name="常规 4 11 4 2 3 2" xfId="4930"/>
    <cellStyle name="常规 4 11 4 2 3 2 2" xfId="6824"/>
    <cellStyle name="常规 4 11 4 2 3 2 2 2" xfId="6147"/>
    <cellStyle name="常规 4 11 4 2 3 2 2 2 2" xfId="6154"/>
    <cellStyle name="常规 4 11 4 2 3 2 2 3" xfId="6160"/>
    <cellStyle name="常规 4 11 4 2 3 2 2 4" xfId="6173"/>
    <cellStyle name="常规 4 11 4 2 3 2 3" xfId="6825"/>
    <cellStyle name="常规 4 11 4 2 3 2 3 2" xfId="6183"/>
    <cellStyle name="常规 4 11 4 2 3 2 4" xfId="6826"/>
    <cellStyle name="常规 4 11 4 2 3 2 5" xfId="6107"/>
    <cellStyle name="常规 4 11 4 2 3 3" xfId="6828"/>
    <cellStyle name="常规 4 11 4 2 3 3 2" xfId="6829"/>
    <cellStyle name="常规 4 11 4 2 3 3 2 2" xfId="6245"/>
    <cellStyle name="常规 4 11 4 2 3 3 3" xfId="5210"/>
    <cellStyle name="常规 4 11 4 2 3 3 4" xfId="5231"/>
    <cellStyle name="常规 4 11 4 2 3 4" xfId="6831"/>
    <cellStyle name="常规 4 11 4 2 3 4 2" xfId="6832"/>
    <cellStyle name="常规 4 11 4 2 3 5" xfId="5922"/>
    <cellStyle name="常规 4 11 4 2 3 6" xfId="5927"/>
    <cellStyle name="常规 4 11 4 2 4" xfId="6833"/>
    <cellStyle name="常规 4 11 4 2 4 2" xfId="6837"/>
    <cellStyle name="常规 4 11 4 2 4 2 2" xfId="19"/>
    <cellStyle name="常规 4 11 4 2 4 2 2 2" xfId="3437"/>
    <cellStyle name="常规 4 11 4 2 4 2 3" xfId="6842"/>
    <cellStyle name="常规 4 11 4 2 4 2 4" xfId="6846"/>
    <cellStyle name="常规 4 11 4 2 4 3" xfId="6850"/>
    <cellStyle name="常规 4 11 4 2 4 3 2" xfId="6855"/>
    <cellStyle name="常规 4 11 4 2 4 4" xfId="6858"/>
    <cellStyle name="常规 4 11 4 2 4 5" xfId="5938"/>
    <cellStyle name="常规 4 11 4 2 5" xfId="6859"/>
    <cellStyle name="常规 4 11 4 2 5 2" xfId="6864"/>
    <cellStyle name="常规 4 11 4 2 5 2 2" xfId="6872"/>
    <cellStyle name="常规 4 11 4 2 5 3" xfId="6875"/>
    <cellStyle name="常规 4 11 4 2 5 4" xfId="6878"/>
    <cellStyle name="常规 4 11 4 2 6" xfId="6879"/>
    <cellStyle name="常规 4 11 4 2 6 2" xfId="6881"/>
    <cellStyle name="常规 4 11 4 2 7" xfId="6882"/>
    <cellStyle name="常规 4 11 4 2 8" xfId="6883"/>
    <cellStyle name="常规 4 11 4 3" xfId="1634"/>
    <cellStyle name="常规 4 11 4 3 2" xfId="6621"/>
    <cellStyle name="常规 4 11 4 3 2 2" xfId="3769"/>
    <cellStyle name="常规 4 11 4 3 2 2 2" xfId="4013"/>
    <cellStyle name="常规 4 11 4 3 2 2 2 2" xfId="6884"/>
    <cellStyle name="常规 4 11 4 3 2 2 2 2 2" xfId="3189"/>
    <cellStyle name="常规 4 11 4 3 2 2 2 3" xfId="6885"/>
    <cellStyle name="常规 4 11 4 3 2 2 2 4" xfId="6892"/>
    <cellStyle name="常规 4 11 4 3 2 2 3" xfId="6893"/>
    <cellStyle name="常规 4 11 4 3 2 2 3 2" xfId="6894"/>
    <cellStyle name="常规 4 11 4 3 2 2 4" xfId="6895"/>
    <cellStyle name="常规 4 11 4 3 2 2 5" xfId="6896"/>
    <cellStyle name="常规 4 11 4 3 2 3" xfId="2633"/>
    <cellStyle name="常规 4 11 4 3 2 3 2" xfId="2636"/>
    <cellStyle name="常规 4 11 4 3 2 3 2 2" xfId="6897"/>
    <cellStyle name="常规 4 11 4 3 2 3 3" xfId="2640"/>
    <cellStyle name="常规 4 11 4 3 2 3 4" xfId="6899"/>
    <cellStyle name="常规 4 11 4 3 2 4" xfId="2643"/>
    <cellStyle name="常规 4 11 4 3 2 4 2" xfId="2646"/>
    <cellStyle name="常规 4 11 4 3 2 5" xfId="2652"/>
    <cellStyle name="常规 4 11 4 3 2 6" xfId="2655"/>
    <cellStyle name="常规 4 11 4 3 3" xfId="1690"/>
    <cellStyle name="常规 4 11 4 3 3 2" xfId="6902"/>
    <cellStyle name="常规 4 11 4 3 3 2 2" xfId="3026"/>
    <cellStyle name="常规 4 11 4 3 3 2 2 2" xfId="3031"/>
    <cellStyle name="常规 4 11 4 3 3 2 3" xfId="3042"/>
    <cellStyle name="常规 4 11 4 3 3 2 4" xfId="3044"/>
    <cellStyle name="常规 4 11 4 3 3 3" xfId="2664"/>
    <cellStyle name="常规 4 11 4 3 3 3 2" xfId="4223"/>
    <cellStyle name="常规 4 11 4 3 3 4" xfId="2667"/>
    <cellStyle name="常规 4 11 4 3 3 5" xfId="5947"/>
    <cellStyle name="常规 4 11 4 3 4" xfId="6905"/>
    <cellStyle name="常规 4 11 4 3 4 2" xfId="6910"/>
    <cellStyle name="常规 4 11 4 3 4 2 2" xfId="632"/>
    <cellStyle name="常规 4 11 4 3 4 3" xfId="2677"/>
    <cellStyle name="常规 4 11 4 3 4 4" xfId="2682"/>
    <cellStyle name="常规 4 11 4 3 5" xfId="6913"/>
    <cellStyle name="常规 4 11 4 3 5 2" xfId="6916"/>
    <cellStyle name="常规 4 11 4 3 6" xfId="6918"/>
    <cellStyle name="常规 4 11 4 3 7" xfId="6920"/>
    <cellStyle name="常规 4 11 4 4" xfId="1643"/>
    <cellStyle name="常规 4 11 4 4 2" xfId="6923"/>
    <cellStyle name="常规 4 11 4 4 2 2" xfId="3802"/>
    <cellStyle name="常规 4 11 4 4 2 2 2" xfId="6924"/>
    <cellStyle name="常规 4 11 4 4 2 2 2 2" xfId="6925"/>
    <cellStyle name="常规 4 11 4 4 2 2 3" xfId="6926"/>
    <cellStyle name="常规 4 11 4 4 2 2 4" xfId="6927"/>
    <cellStyle name="常规 4 11 4 4 2 3" xfId="6928"/>
    <cellStyle name="常规 4 11 4 4 2 3 2" xfId="6929"/>
    <cellStyle name="常规 4 11 4 4 2 4" xfId="6930"/>
    <cellStyle name="常规 4 11 4 4 2 5" xfId="6933"/>
    <cellStyle name="常规 4 11 4 4 3" xfId="6934"/>
    <cellStyle name="常规 4 11 4 4 3 2" xfId="6937"/>
    <cellStyle name="常规 4 11 4 4 3 2 2" xfId="6938"/>
    <cellStyle name="常规 4 11 4 4 3 3" xfId="6940"/>
    <cellStyle name="常规 4 11 4 4 3 4" xfId="6941"/>
    <cellStyle name="常规 4 11 4 4 4" xfId="6943"/>
    <cellStyle name="常规 4 11 4 4 4 2" xfId="6946"/>
    <cellStyle name="常规 4 11 4 4 5" xfId="6948"/>
    <cellStyle name="常规 4 11 4 4 6" xfId="3633"/>
    <cellStyle name="常规 4 11 4 5" xfId="1342"/>
    <cellStyle name="常规 4 11 4 5 2" xfId="436"/>
    <cellStyle name="常规 4 11 4 5 2 2" xfId="6949"/>
    <cellStyle name="常规 4 11 4 5 2 2 2" xfId="6950"/>
    <cellStyle name="常规 4 11 4 5 2 3" xfId="1963"/>
    <cellStyle name="常规 4 11 4 5 2 4" xfId="6951"/>
    <cellStyle name="常规 4 11 4 5 3" xfId="442"/>
    <cellStyle name="常规 4 11 4 5 3 2" xfId="6952"/>
    <cellStyle name="常规 4 11 4 5 4" xfId="1352"/>
    <cellStyle name="常规 4 11 4 5 5" xfId="6955"/>
    <cellStyle name="常规 4 11 4 6" xfId="1360"/>
    <cellStyle name="常规 4 11 4 6 2" xfId="6956"/>
    <cellStyle name="常规 4 11 4 6 2 2" xfId="3722"/>
    <cellStyle name="常规 4 11 4 6 3" xfId="6957"/>
    <cellStyle name="常规 4 11 4 6 4" xfId="6960"/>
    <cellStyle name="常规 4 11 4 7" xfId="713"/>
    <cellStyle name="常规 4 11 4 7 2" xfId="6118"/>
    <cellStyle name="常规 4 11 4 8" xfId="762"/>
    <cellStyle name="常规 4 11 4 9" xfId="6188"/>
    <cellStyle name="常规 4 11 5" xfId="6961"/>
    <cellStyle name="常规 4 11 5 2" xfId="3665"/>
    <cellStyle name="常规 4 11 5 2 2" xfId="6962"/>
    <cellStyle name="常规 4 11 5 2 2 2" xfId="3949"/>
    <cellStyle name="常规 4 11 5 2 2 2 2" xfId="6964"/>
    <cellStyle name="常规 4 11 5 2 2 2 2 2" xfId="6966"/>
    <cellStyle name="常规 4 11 5 2 2 2 2 2 2" xfId="5670"/>
    <cellStyle name="常规 4 11 5 2 2 2 2 2 2 2" xfId="6970"/>
    <cellStyle name="常规 4 11 5 2 2 2 2 2 3" xfId="808"/>
    <cellStyle name="常规 4 11 5 2 2 2 2 2 4" xfId="6972"/>
    <cellStyle name="常规 4 11 5 2 2 2 2 3" xfId="6974"/>
    <cellStyle name="常规 4 11 5 2 2 2 2 3 2" xfId="6980"/>
    <cellStyle name="常规 4 11 5 2 2 2 2 4" xfId="6984"/>
    <cellStyle name="常规 4 11 5 2 2 2 2 5" xfId="6987"/>
    <cellStyle name="常规 4 11 5 2 2 2 3" xfId="3049"/>
    <cellStyle name="常规 4 11 5 2 2 2 3 2" xfId="6988"/>
    <cellStyle name="常规 4 11 5 2 2 2 3 2 2" xfId="6991"/>
    <cellStyle name="常规 4 11 5 2 2 2 3 3" xfId="6992"/>
    <cellStyle name="常规 4 11 5 2 2 2 3 4" xfId="6995"/>
    <cellStyle name="常规 4 11 5 2 2 2 4" xfId="726"/>
    <cellStyle name="常规 4 11 5 2 2 2 4 2" xfId="1506"/>
    <cellStyle name="常规 4 11 5 2 2 2 5" xfId="730"/>
    <cellStyle name="常规 4 11 5 2 2 2 6" xfId="5895"/>
    <cellStyle name="常规 4 11 5 2 2 3" xfId="6996"/>
    <cellStyle name="常规 4 11 5 2 2 3 2" xfId="6997"/>
    <cellStyle name="常规 4 11 5 2 2 3 2 2" xfId="6998"/>
    <cellStyle name="常规 4 11 5 2 2 3 2 2 2" xfId="7002"/>
    <cellStyle name="常规 4 11 5 2 2 3 2 3" xfId="7003"/>
    <cellStyle name="常规 4 11 5 2 2 3 2 4" xfId="7007"/>
    <cellStyle name="常规 4 11 5 2 2 3 3" xfId="2566"/>
    <cellStyle name="常规 4 11 5 2 2 3 3 2" xfId="4849"/>
    <cellStyle name="常规 4 11 5 2 2 3 4" xfId="737"/>
    <cellStyle name="常规 4 11 5 2 2 3 5" xfId="742"/>
    <cellStyle name="常规 4 11 5 2 2 4" xfId="7008"/>
    <cellStyle name="常规 4 11 5 2 2 4 2" xfId="5414"/>
    <cellStyle name="常规 4 11 5 2 2 4 2 2" xfId="5693"/>
    <cellStyle name="常规 4 11 5 2 2 4 3" xfId="4860"/>
    <cellStyle name="常规 4 11 5 2 2 4 4" xfId="755"/>
    <cellStyle name="常规 4 11 5 2 2 5" xfId="7009"/>
    <cellStyle name="常规 4 11 5 2 2 5 2" xfId="5450"/>
    <cellStyle name="常规 4 11 5 2 2 6" xfId="7010"/>
    <cellStyle name="常规 4 11 5 2 2 7" xfId="7013"/>
    <cellStyle name="常规 4 11 5 2 3" xfId="7014"/>
    <cellStyle name="常规 4 11 5 2 3 2" xfId="7016"/>
    <cellStyle name="常规 4 11 5 2 3 2 2" xfId="1760"/>
    <cellStyle name="常规 4 11 5 2 3 2 2 2" xfId="6655"/>
    <cellStyle name="常规 4 11 5 2 3 2 2 2 2" xfId="6665"/>
    <cellStyle name="常规 4 11 5 2 3 2 2 3" xfId="6710"/>
    <cellStyle name="常规 4 11 5 2 3 2 2 4" xfId="6744"/>
    <cellStyle name="常规 4 11 5 2 3 2 3" xfId="1764"/>
    <cellStyle name="常规 4 11 5 2 3 2 3 2" xfId="1339"/>
    <cellStyle name="常规 4 11 5 2 3 2 4" xfId="1769"/>
    <cellStyle name="常规 4 11 5 2 3 2 5" xfId="1776"/>
    <cellStyle name="常规 4 11 5 2 3 3" xfId="7017"/>
    <cellStyle name="常规 4 11 5 2 3 3 2" xfId="7018"/>
    <cellStyle name="常规 4 11 5 2 3 3 2 2" xfId="6784"/>
    <cellStyle name="常规 4 11 5 2 3 3 3" xfId="3078"/>
    <cellStyle name="常规 4 11 5 2 3 3 4" xfId="4885"/>
    <cellStyle name="常规 4 11 5 2 3 4" xfId="7019"/>
    <cellStyle name="常规 4 11 5 2 3 4 2" xfId="5689"/>
    <cellStyle name="常规 4 11 5 2 3 5" xfId="6024"/>
    <cellStyle name="常规 4 11 5 2 3 6" xfId="6031"/>
    <cellStyle name="常规 4 11 5 2 4" xfId="7020"/>
    <cellStyle name="常规 4 11 5 2 4 2" xfId="7021"/>
    <cellStyle name="常规 4 11 5 2 4 2 2" xfId="7023"/>
    <cellStyle name="常规 4 11 5 2 4 2 2 2" xfId="6166"/>
    <cellStyle name="常规 4 11 5 2 4 2 3" xfId="3112"/>
    <cellStyle name="常规 4 11 5 2 4 2 4" xfId="86"/>
    <cellStyle name="常规 4 11 5 2 4 3" xfId="7024"/>
    <cellStyle name="常规 4 11 5 2 4 3 2" xfId="7026"/>
    <cellStyle name="常规 4 11 5 2 4 4" xfId="7027"/>
    <cellStyle name="常规 4 11 5 2 4 5" xfId="6038"/>
    <cellStyle name="常规 4 11 5 2 5" xfId="7028"/>
    <cellStyle name="常规 4 11 5 2 5 2" xfId="7029"/>
    <cellStyle name="常规 4 11 5 2 5 2 2" xfId="7033"/>
    <cellStyle name="常规 4 11 5 2 5 3" xfId="7035"/>
    <cellStyle name="常规 4 11 5 2 5 4" xfId="2855"/>
    <cellStyle name="常规 4 11 5 2 6" xfId="7036"/>
    <cellStyle name="常规 4 11 5 2 6 2" xfId="7037"/>
    <cellStyle name="常规 4 11 5 2 7" xfId="7038"/>
    <cellStyle name="常规 4 11 5 2 8" xfId="7039"/>
    <cellStyle name="常规 4 11 5 3" xfId="3672"/>
    <cellStyle name="常规 4 11 5 3 2" xfId="7042"/>
    <cellStyle name="常规 4 11 5 3 2 2" xfId="3972"/>
    <cellStyle name="常规 4 11 5 3 2 2 2" xfId="7045"/>
    <cellStyle name="常规 4 11 5 3 2 2 2 2" xfId="7046"/>
    <cellStyle name="常规 4 11 5 3 2 2 2 2 2" xfId="379"/>
    <cellStyle name="常规 4 11 5 3 2 2 2 3" xfId="7049"/>
    <cellStyle name="常规 4 11 5 3 2 2 2 4" xfId="7053"/>
    <cellStyle name="常规 4 11 5 3 2 2 3" xfId="1746"/>
    <cellStyle name="常规 4 11 5 3 2 2 3 2" xfId="97"/>
    <cellStyle name="常规 4 11 5 3 2 2 4" xfId="1749"/>
    <cellStyle name="常规 4 11 5 3 2 2 5" xfId="1756"/>
    <cellStyle name="常规 4 11 5 3 2 3" xfId="7054"/>
    <cellStyle name="常规 4 11 5 3 2 3 2" xfId="1670"/>
    <cellStyle name="常规 4 11 5 3 2 3 2 2" xfId="7055"/>
    <cellStyle name="常规 4 11 5 3 2 3 3" xfId="1676"/>
    <cellStyle name="常规 4 11 5 3 2 3 4" xfId="1799"/>
    <cellStyle name="常规 4 11 5 3 2 4" xfId="7058"/>
    <cellStyle name="常规 4 11 5 3 2 4 2" xfId="4087"/>
    <cellStyle name="常规 4 11 5 3 2 5" xfId="1453"/>
    <cellStyle name="常规 4 11 5 3 2 6" xfId="1504"/>
    <cellStyle name="常规 4 11 5 3 3" xfId="7060"/>
    <cellStyle name="常规 4 11 5 3 3 2" xfId="7061"/>
    <cellStyle name="常规 4 11 5 3 3 2 2" xfId="653"/>
    <cellStyle name="常规 4 11 5 3 3 2 2 2" xfId="6886"/>
    <cellStyle name="常规 4 11 5 3 3 2 3" xfId="908"/>
    <cellStyle name="常规 4 11 5 3 3 2 4" xfId="1556"/>
    <cellStyle name="常规 4 11 5 3 3 3" xfId="7062"/>
    <cellStyle name="常规 4 11 5 3 3 3 2" xfId="919"/>
    <cellStyle name="常规 4 11 5 3 3 4" xfId="7063"/>
    <cellStyle name="常规 4 11 5 3 3 5" xfId="6047"/>
    <cellStyle name="常规 4 11 5 3 4" xfId="7066"/>
    <cellStyle name="常规 4 11 5 3 4 2" xfId="7068"/>
    <cellStyle name="常规 4 11 5 3 4 2 2" xfId="39"/>
    <cellStyle name="常规 4 11 5 3 4 3" xfId="7070"/>
    <cellStyle name="常规 4 11 5 3 4 4" xfId="7073"/>
    <cellStyle name="常规 4 11 5 3 5" xfId="7075"/>
    <cellStyle name="常规 4 11 5 3 5 2" xfId="7077"/>
    <cellStyle name="常规 4 11 5 3 6" xfId="7079"/>
    <cellStyle name="常规 4 11 5 3 7" xfId="7081"/>
    <cellStyle name="常规 4 11 5 4" xfId="7084"/>
    <cellStyle name="常规 4 11 5 4 2" xfId="7090"/>
    <cellStyle name="常规 4 11 5 4 2 2" xfId="4002"/>
    <cellStyle name="常规 4 11 5 4 2 2 2" xfId="7093"/>
    <cellStyle name="常规 4 11 5 4 2 2 2 2" xfId="820"/>
    <cellStyle name="常规 4 11 5 4 2 2 3" xfId="7100"/>
    <cellStyle name="常规 4 11 5 4 2 2 4" xfId="7107"/>
    <cellStyle name="常规 4 11 5 4 2 3" xfId="7108"/>
    <cellStyle name="常规 4 11 5 4 2 3 2" xfId="2545"/>
    <cellStyle name="常规 4 11 5 4 2 4" xfId="7109"/>
    <cellStyle name="常规 4 11 5 4 2 5" xfId="7111"/>
    <cellStyle name="常规 4 11 5 4 3" xfId="2744"/>
    <cellStyle name="常规 4 11 5 4 3 2" xfId="7112"/>
    <cellStyle name="常规 4 11 5 4 3 2 2" xfId="7113"/>
    <cellStyle name="常规 4 11 5 4 3 3" xfId="7114"/>
    <cellStyle name="常规 4 11 5 4 3 4" xfId="7116"/>
    <cellStyle name="常规 4 11 5 4 4" xfId="7119"/>
    <cellStyle name="常规 4 11 5 4 4 2" xfId="7121"/>
    <cellStyle name="常规 4 11 5 4 5" xfId="7123"/>
    <cellStyle name="常规 4 11 5 4 6" xfId="7125"/>
    <cellStyle name="常规 4 11 5 5" xfId="7128"/>
    <cellStyle name="常规 4 11 5 5 2" xfId="493"/>
    <cellStyle name="常规 4 11 5 5 2 2" xfId="7131"/>
    <cellStyle name="常规 4 11 5 5 2 2 2" xfId="6973"/>
    <cellStyle name="常规 4 11 5 5 2 3" xfId="7132"/>
    <cellStyle name="常规 4 11 5 5 2 4" xfId="7133"/>
    <cellStyle name="常规 4 11 5 5 3" xfId="498"/>
    <cellStyle name="常规 4 11 5 5 3 2" xfId="7134"/>
    <cellStyle name="常规 4 11 5 5 4" xfId="7137"/>
    <cellStyle name="常规 4 11 5 5 5" xfId="7140"/>
    <cellStyle name="常规 4 11 5 6" xfId="7142"/>
    <cellStyle name="常规 4 11 5 6 2" xfId="4161"/>
    <cellStyle name="常规 4 11 5 6 2 2" xfId="7144"/>
    <cellStyle name="常规 4 11 5 6 3" xfId="30"/>
    <cellStyle name="常规 4 11 5 6 4" xfId="7150"/>
    <cellStyle name="常规 4 11 5 7" xfId="6224"/>
    <cellStyle name="常规 4 11 5 7 2" xfId="6227"/>
    <cellStyle name="常规 4 11 5 8" xfId="6254"/>
    <cellStyle name="常规 4 11 5 9" xfId="6263"/>
    <cellStyle name="常规 4 11 6" xfId="7154"/>
    <cellStyle name="常规 4 11 6 2" xfId="3712"/>
    <cellStyle name="常规 4 11 6 2 2" xfId="1018"/>
    <cellStyle name="常规 4 11 6 2 2 2" xfId="3251"/>
    <cellStyle name="常规 4 11 6 2 2 2 2" xfId="3253"/>
    <cellStyle name="常规 4 11 6 2 2 2 2 2" xfId="7094"/>
    <cellStyle name="常规 4 11 6 2 2 2 2 2 2" xfId="408"/>
    <cellStyle name="常规 4 11 6 2 2 2 2 3" xfId="7101"/>
    <cellStyle name="常规 4 11 6 2 2 2 2 4" xfId="7156"/>
    <cellStyle name="常规 4 11 6 2 2 2 3" xfId="3255"/>
    <cellStyle name="常规 4 11 6 2 2 2 3 2" xfId="5096"/>
    <cellStyle name="常规 4 11 6 2 2 2 4" xfId="5105"/>
    <cellStyle name="常规 4 11 6 2 2 2 5" xfId="5108"/>
    <cellStyle name="常规 4 11 6 2 2 3" xfId="3260"/>
    <cellStyle name="常规 4 11 6 2 2 3 2" xfId="3262"/>
    <cellStyle name="常规 4 11 6 2 2 3 2 2" xfId="7157"/>
    <cellStyle name="常规 4 11 6 2 2 3 3" xfId="5111"/>
    <cellStyle name="常规 4 11 6 2 2 3 4" xfId="7162"/>
    <cellStyle name="常规 4 11 6 2 2 4" xfId="3266"/>
    <cellStyle name="常规 4 11 6 2 2 4 2" xfId="3451"/>
    <cellStyle name="常规 4 11 6 2 2 5" xfId="3268"/>
    <cellStyle name="常规 4 11 6 2 2 6" xfId="7163"/>
    <cellStyle name="常规 4 11 6 2 3" xfId="3272"/>
    <cellStyle name="常规 4 11 6 2 3 2" xfId="3280"/>
    <cellStyle name="常规 4 11 6 2 3 2 2" xfId="3284"/>
    <cellStyle name="常规 4 11 6 2 3 2 2 2" xfId="6981"/>
    <cellStyle name="常规 4 11 6 2 3 2 3" xfId="3286"/>
    <cellStyle name="常规 4 11 6 2 3 2 4" xfId="7164"/>
    <cellStyle name="常规 4 11 6 2 3 3" xfId="3294"/>
    <cellStyle name="常规 4 11 6 2 3 3 2" xfId="957"/>
    <cellStyle name="常规 4 11 6 2 3 4" xfId="3304"/>
    <cellStyle name="常规 4 11 6 2 3 5" xfId="3308"/>
    <cellStyle name="常规 4 11 6 2 4" xfId="3317"/>
    <cellStyle name="常规 4 11 6 2 4 2" xfId="3321"/>
    <cellStyle name="常规 4 11 6 2 4 2 2" xfId="3324"/>
    <cellStyle name="常规 4 11 6 2 4 3" xfId="3332"/>
    <cellStyle name="常规 4 11 6 2 4 4" xfId="3340"/>
    <cellStyle name="常规 4 11 6 2 5" xfId="3350"/>
    <cellStyle name="常规 4 11 6 2 5 2" xfId="3353"/>
    <cellStyle name="常规 4 11 6 2 6" xfId="3374"/>
    <cellStyle name="常规 4 11 6 2 7" xfId="5904"/>
    <cellStyle name="常规 4 11 6 3" xfId="3717"/>
    <cellStyle name="常规 4 11 6 3 2" xfId="3639"/>
    <cellStyle name="常规 4 11 6 3 2 2" xfId="1422"/>
    <cellStyle name="常规 4 11 6 3 2 2 2" xfId="3644"/>
    <cellStyle name="常规 4 11 6 3 2 2 2 2" xfId="253"/>
    <cellStyle name="常规 4 11 6 3 2 2 3" xfId="3649"/>
    <cellStyle name="常规 4 11 6 3 2 2 4" xfId="7166"/>
    <cellStyle name="常规 4 11 6 3 2 3" xfId="1459"/>
    <cellStyle name="常规 4 11 6 3 2 3 2" xfId="3658"/>
    <cellStyle name="常规 4 11 6 3 2 4" xfId="3663"/>
    <cellStyle name="常规 4 11 6 3 2 5" xfId="3678"/>
    <cellStyle name="常规 4 11 6 3 3" xfId="3684"/>
    <cellStyle name="常规 4 11 6 3 3 2" xfId="1500"/>
    <cellStyle name="常规 4 11 6 3 3 2 2" xfId="3690"/>
    <cellStyle name="常规 4 11 6 3 3 3" xfId="948"/>
    <cellStyle name="常规 4 11 6 3 3 4" xfId="3710"/>
    <cellStyle name="常规 4 11 6 3 4" xfId="3727"/>
    <cellStyle name="常规 4 11 6 3 4 2" xfId="3731"/>
    <cellStyle name="常规 4 11 6 3 5" xfId="3765"/>
    <cellStyle name="常规 4 11 6 3 6" xfId="3795"/>
    <cellStyle name="常规 4 11 6 4" xfId="7168"/>
    <cellStyle name="常规 4 11 6 4 2" xfId="3915"/>
    <cellStyle name="常规 4 11 6 4 2 2" xfId="10"/>
    <cellStyle name="常规 4 11 6 4 2 2 2" xfId="533"/>
    <cellStyle name="常规 4 11 6 4 2 3" xfId="309"/>
    <cellStyle name="常规 4 11 6 4 2 4" xfId="268"/>
    <cellStyle name="常规 4 11 6 4 3" xfId="3925"/>
    <cellStyle name="常规 4 11 6 4 3 2" xfId="3929"/>
    <cellStyle name="常规 4 11 6 4 4" xfId="3946"/>
    <cellStyle name="常规 4 11 6 4 5" xfId="3963"/>
    <cellStyle name="常规 4 11 6 5" xfId="7170"/>
    <cellStyle name="常规 4 11 6 5 2" xfId="576"/>
    <cellStyle name="常规 4 11 6 5 2 2" xfId="7173"/>
    <cellStyle name="常规 4 11 6 5 3" xfId="582"/>
    <cellStyle name="常规 4 11 6 5 4" xfId="7176"/>
    <cellStyle name="常规 4 11 6 6" xfId="7177"/>
    <cellStyle name="常规 4 11 6 6 2" xfId="608"/>
    <cellStyle name="常规 4 11 6 7" xfId="6275"/>
    <cellStyle name="常规 4 11 6 8" xfId="6282"/>
    <cellStyle name="常规 4 11 7" xfId="7183"/>
    <cellStyle name="常规 4 11 7 2" xfId="3753"/>
    <cellStyle name="常规 4 11 7 2 2" xfId="7186"/>
    <cellStyle name="常规 4 11 7 2 2 2" xfId="7189"/>
    <cellStyle name="常规 4 11 7 2 2 2 2" xfId="1835"/>
    <cellStyle name="常规 4 11 7 2 2 2 2 2" xfId="1751"/>
    <cellStyle name="常规 4 11 7 2 2 2 3" xfId="7190"/>
    <cellStyle name="常规 4 11 7 2 2 2 4" xfId="7191"/>
    <cellStyle name="常规 4 11 7 2 2 3" xfId="6765"/>
    <cellStyle name="常规 4 11 7 2 2 3 2" xfId="7192"/>
    <cellStyle name="常规 4 11 7 2 2 4" xfId="7194"/>
    <cellStyle name="常规 4 11 7 2 2 5" xfId="7195"/>
    <cellStyle name="常规 4 11 7 2 3" xfId="6835"/>
    <cellStyle name="常规 4 11 7 2 3 2" xfId="17"/>
    <cellStyle name="常规 4 11 7 2 3 2 2" xfId="3433"/>
    <cellStyle name="常规 4 11 7 2 3 3" xfId="6840"/>
    <cellStyle name="常规 4 11 7 2 3 4" xfId="6843"/>
    <cellStyle name="常规 4 11 7 2 4" xfId="6848"/>
    <cellStyle name="常规 4 11 7 2 4 2" xfId="6853"/>
    <cellStyle name="常规 4 11 7 2 5" xfId="6857"/>
    <cellStyle name="常规 4 11 7 2 6" xfId="5937"/>
    <cellStyle name="常规 4 11 7 3" xfId="3757"/>
    <cellStyle name="常规 4 11 7 3 2" xfId="7197"/>
    <cellStyle name="常规 4 11 7 3 2 2" xfId="7205"/>
    <cellStyle name="常规 4 11 7 3 2 2 2" xfId="7208"/>
    <cellStyle name="常规 4 11 7 3 2 3" xfId="6194"/>
    <cellStyle name="常规 4 11 7 3 2 4" xfId="233"/>
    <cellStyle name="常规 4 11 7 3 3" xfId="6862"/>
    <cellStyle name="常规 4 11 7 3 3 2" xfId="6870"/>
    <cellStyle name="常规 4 11 7 3 4" xfId="6874"/>
    <cellStyle name="常规 4 11 7 3 5" xfId="6877"/>
    <cellStyle name="常规 4 11 7 4" xfId="7213"/>
    <cellStyle name="常规 4 11 7 4 2" xfId="7215"/>
    <cellStyle name="常规 4 11 7 4 2 2" xfId="1149"/>
    <cellStyle name="常规 4 11 7 4 3" xfId="6880"/>
    <cellStyle name="常规 4 11 7 4 4" xfId="1703"/>
    <cellStyle name="常规 4 11 7 5" xfId="7216"/>
    <cellStyle name="常规 4 11 7 5 2" xfId="657"/>
    <cellStyle name="常规 4 11 7 6" xfId="6716"/>
    <cellStyle name="常规 4 11 7 7" xfId="6293"/>
    <cellStyle name="常规 4 11 8" xfId="3299"/>
    <cellStyle name="常规 4 11 8 2" xfId="3784"/>
    <cellStyle name="常规 4 11 8 2 2" xfId="7217"/>
    <cellStyle name="常规 4 11 8 2 2 2" xfId="7219"/>
    <cellStyle name="常规 4 11 8 2 2 2 2" xfId="7223"/>
    <cellStyle name="常规 4 11 8 2 2 3" xfId="7226"/>
    <cellStyle name="常规 4 11 8 2 2 4" xfId="7228"/>
    <cellStyle name="常规 4 11 8 2 3" xfId="6907"/>
    <cellStyle name="常规 4 11 8 2 3 2" xfId="629"/>
    <cellStyle name="常规 4 11 8 2 4" xfId="2674"/>
    <cellStyle name="常规 4 11 8 2 5" xfId="2678"/>
    <cellStyle name="常规 4 11 8 3" xfId="3786"/>
    <cellStyle name="常规 4 11 8 3 2" xfId="3934"/>
    <cellStyle name="常规 4 11 8 3 2 2" xfId="4439"/>
    <cellStyle name="常规 4 11 8 3 3" xfId="6914"/>
    <cellStyle name="常规 4 11 8 3 4" xfId="7230"/>
    <cellStyle name="常规 4 11 8 4" xfId="3065"/>
    <cellStyle name="常规 4 11 8 4 2" xfId="7231"/>
    <cellStyle name="常规 4 11 8 5" xfId="7232"/>
    <cellStyle name="常规 4 11 8 6" xfId="6726"/>
    <cellStyle name="常规 4 11 9" xfId="7235"/>
    <cellStyle name="常规 4 11 9 2" xfId="3814"/>
    <cellStyle name="常规 4 11 9 2 2" xfId="7236"/>
    <cellStyle name="常规 4 11 9 2 2 2" xfId="7238"/>
    <cellStyle name="常规 4 11 9 2 3" xfId="6944"/>
    <cellStyle name="常规 4 11 9 2 4" xfId="7239"/>
    <cellStyle name="常规 4 11 9 3" xfId="3816"/>
    <cellStyle name="常规 4 11 9 3 2" xfId="7240"/>
    <cellStyle name="常规 4 11 9 4" xfId="7241"/>
    <cellStyle name="常规 4 11 9 5" xfId="7242"/>
    <cellStyle name="常规 4 12" xfId="95"/>
    <cellStyle name="常规 4 12 10" xfId="7245"/>
    <cellStyle name="常规 4 12 10 2" xfId="7248"/>
    <cellStyle name="常规 4 12 11" xfId="7250"/>
    <cellStyle name="常规 4 12 12" xfId="5976"/>
    <cellStyle name="常规 4 12 2" xfId="2433"/>
    <cellStyle name="常规 4 12 2 10" xfId="7252"/>
    <cellStyle name="常规 4 12 2 11" xfId="7255"/>
    <cellStyle name="常规 4 12 2 2" xfId="2436"/>
    <cellStyle name="常规 4 12 2 2 2" xfId="7258"/>
    <cellStyle name="常规 4 12 2 2 2 2" xfId="6253"/>
    <cellStyle name="常规 4 12 2 2 2 2 2" xfId="7261"/>
    <cellStyle name="常规 4 12 2 2 2 2 2 2" xfId="7268"/>
    <cellStyle name="常规 4 12 2 2 2 2 2 2 2" xfId="1899"/>
    <cellStyle name="常规 4 12 2 2 2 2 2 2 2 2" xfId="7274"/>
    <cellStyle name="常规 4 12 2 2 2 2 2 2 2 2 2" xfId="387"/>
    <cellStyle name="常规 4 12 2 2 2 2 2 2 2 3" xfId="7277"/>
    <cellStyle name="常规 4 12 2 2 2 2 2 2 2 4" xfId="7278"/>
    <cellStyle name="常规 4 12 2 2 2 2 2 2 3" xfId="5403"/>
    <cellStyle name="常规 4 12 2 2 2 2 2 2 3 2" xfId="7279"/>
    <cellStyle name="常规 4 12 2 2 2 2 2 2 4" xfId="367"/>
    <cellStyle name="常规 4 12 2 2 2 2 2 2 5" xfId="375"/>
    <cellStyle name="常规 4 12 2 2 2 2 2 3" xfId="1987"/>
    <cellStyle name="常规 4 12 2 2 2 2 2 3 2" xfId="1995"/>
    <cellStyle name="常规 4 12 2 2 2 2 2 3 2 2" xfId="7282"/>
    <cellStyle name="常规 4 12 2 2 2 2 2 3 3" xfId="1999"/>
    <cellStyle name="常规 4 12 2 2 2 2 2 3 4" xfId="2007"/>
    <cellStyle name="常规 4 12 2 2 2 2 2 4" xfId="2020"/>
    <cellStyle name="常规 4 12 2 2 2 2 2 4 2" xfId="2026"/>
    <cellStyle name="常规 4 12 2 2 2 2 2 5" xfId="280"/>
    <cellStyle name="常规 4 12 2 2 2 2 2 6" xfId="210"/>
    <cellStyle name="常规 4 12 2 2 2 2 3" xfId="7284"/>
    <cellStyle name="常规 4 12 2 2 2 2 3 2" xfId="7291"/>
    <cellStyle name="常规 4 12 2 2 2 2 3 2 2" xfId="5119"/>
    <cellStyle name="常规 4 12 2 2 2 2 3 2 2 2" xfId="7294"/>
    <cellStyle name="常规 4 12 2 2 2 2 3 2 3" xfId="7295"/>
    <cellStyle name="常规 4 12 2 2 2 2 3 2 4" xfId="2427"/>
    <cellStyle name="常规 4 12 2 2 2 2 3 3" xfId="2062"/>
    <cellStyle name="常规 4 12 2 2 2 2 3 3 2" xfId="2069"/>
    <cellStyle name="常规 4 12 2 2 2 2 3 4" xfId="2091"/>
    <cellStyle name="常规 4 12 2 2 2 2 3 5" xfId="964"/>
    <cellStyle name="常规 4 12 2 2 2 2 4" xfId="7299"/>
    <cellStyle name="常规 4 12 2 2 2 2 4 2" xfId="7310"/>
    <cellStyle name="常规 4 12 2 2 2 2 4 2 2" xfId="7315"/>
    <cellStyle name="常规 4 12 2 2 2 2 4 3" xfId="2119"/>
    <cellStyle name="常规 4 12 2 2 2 2 4 4" xfId="7319"/>
    <cellStyle name="常规 4 12 2 2 2 2 5" xfId="7201"/>
    <cellStyle name="常规 4 12 2 2 2 2 5 2" xfId="7210"/>
    <cellStyle name="常规 4 12 2 2 2 2 6" xfId="6200"/>
    <cellStyle name="常规 4 12 2 2 2 2 7" xfId="237"/>
    <cellStyle name="常规 4 12 2 2 2 3" xfId="7321"/>
    <cellStyle name="常规 4 12 2 2 2 3 2" xfId="7324"/>
    <cellStyle name="常规 4 12 2 2 2 3 2 2" xfId="7331"/>
    <cellStyle name="常规 4 12 2 2 2 3 2 2 2" xfId="5667"/>
    <cellStyle name="常规 4 12 2 2 2 3 2 2 2 2" xfId="7332"/>
    <cellStyle name="常规 4 12 2 2 2 3 2 2 3" xfId="5669"/>
    <cellStyle name="常规 4 12 2 2 2 3 2 2 4" xfId="807"/>
    <cellStyle name="常规 4 12 2 2 2 3 2 3" xfId="2169"/>
    <cellStyle name="常规 4 12 2 2 2 3 2 3 2" xfId="5681"/>
    <cellStyle name="常规 4 12 2 2 2 3 2 4" xfId="7340"/>
    <cellStyle name="常规 4 12 2 2 2 3 2 5" xfId="7344"/>
    <cellStyle name="常规 4 12 2 2 2 3 3" xfId="7347"/>
    <cellStyle name="常规 4 12 2 2 2 3 3 2" xfId="7353"/>
    <cellStyle name="常规 4 12 2 2 2 3 3 2 2" xfId="5788"/>
    <cellStyle name="常规 4 12 2 2 2 3 3 3" xfId="6559"/>
    <cellStyle name="常规 4 12 2 2 2 3 3 4" xfId="7355"/>
    <cellStyle name="常规 4 12 2 2 2 3 4" xfId="7360"/>
    <cellStyle name="常规 4 12 2 2 2 3 4 2" xfId="7364"/>
    <cellStyle name="常规 4 12 2 2 2 3 5" xfId="6866"/>
    <cellStyle name="常规 4 12 2 2 2 3 6" xfId="6220"/>
    <cellStyle name="常规 4 12 2 2 2 4" xfId="4055"/>
    <cellStyle name="常规 4 12 2 2 2 4 2" xfId="7366"/>
    <cellStyle name="常规 4 12 2 2 2 4 2 2" xfId="7371"/>
    <cellStyle name="常规 4 12 2 2 2 4 2 2 2" xfId="5918"/>
    <cellStyle name="常规 4 12 2 2 2 4 2 3" xfId="7375"/>
    <cellStyle name="常规 4 12 2 2 2 4 2 4" xfId="7377"/>
    <cellStyle name="常规 4 12 2 2 2 4 3" xfId="7380"/>
    <cellStyle name="常规 4 12 2 2 2 4 3 2" xfId="7382"/>
    <cellStyle name="常规 4 12 2 2 2 4 4" xfId="7385"/>
    <cellStyle name="常规 4 12 2 2 2 4 5" xfId="7388"/>
    <cellStyle name="常规 4 12 2 2 2 5" xfId="7389"/>
    <cellStyle name="常规 4 12 2 2 2 5 2" xfId="4102"/>
    <cellStyle name="常规 4 12 2 2 2 5 2 2" xfId="5867"/>
    <cellStyle name="常规 4 12 2 2 2 5 3" xfId="7390"/>
    <cellStyle name="常规 4 12 2 2 2 5 4" xfId="7220"/>
    <cellStyle name="常规 4 12 2 2 2 6" xfId="7392"/>
    <cellStyle name="常规 4 12 2 2 2 6 2" xfId="7394"/>
    <cellStyle name="常规 4 12 2 2 2 7" xfId="7397"/>
    <cellStyle name="常规 4 12 2 2 2 8" xfId="1585"/>
    <cellStyle name="常规 4 12 2 2 3" xfId="5685"/>
    <cellStyle name="常规 4 12 2 2 3 2" xfId="5226"/>
    <cellStyle name="常规 4 12 2 2 3 2 2" xfId="7399"/>
    <cellStyle name="常规 4 12 2 2 3 2 2 2" xfId="7407"/>
    <cellStyle name="常规 4 12 2 2 3 2 2 2 2" xfId="6473"/>
    <cellStyle name="常规 4 12 2 2 3 2 2 2 2 2" xfId="7408"/>
    <cellStyle name="常规 4 12 2 2 3 2 2 2 3" xfId="3216"/>
    <cellStyle name="常规 4 12 2 2 3 2 2 2 4" xfId="2387"/>
    <cellStyle name="常规 4 12 2 2 3 2 2 3" xfId="2693"/>
    <cellStyle name="常规 4 12 2 2 3 2 2 3 2" xfId="2772"/>
    <cellStyle name="常规 4 12 2 2 3 2 2 4" xfId="3018"/>
    <cellStyle name="常规 4 12 2 2 3 2 2 5" xfId="1009"/>
    <cellStyle name="常规 4 12 2 2 3 2 3" xfId="7411"/>
    <cellStyle name="常规 4 12 2 2 3 2 3 2" xfId="7415"/>
    <cellStyle name="常规 4 12 2 2 3 2 3 2 2" xfId="6529"/>
    <cellStyle name="常规 4 12 2 2 3 2 3 3" xfId="3537"/>
    <cellStyle name="常规 4 12 2 2 3 2 3 4" xfId="3578"/>
    <cellStyle name="常规 4 12 2 2 3 2 4" xfId="1141"/>
    <cellStyle name="常规 4 12 2 2 3 2 4 2" xfId="7418"/>
    <cellStyle name="常规 4 12 2 2 3 2 5" xfId="1146"/>
    <cellStyle name="常规 4 12 2 2 3 2 6" xfId="1163"/>
    <cellStyle name="常规 4 12 2 2 3 3" xfId="5228"/>
    <cellStyle name="常规 4 12 2 2 3 3 2" xfId="7420"/>
    <cellStyle name="常规 4 12 2 2 3 3 2 2" xfId="1465"/>
    <cellStyle name="常规 4 12 2 2 3 3 2 2 2" xfId="6602"/>
    <cellStyle name="常规 4 12 2 2 3 3 2 3" xfId="7421"/>
    <cellStyle name="常规 4 12 2 2 3 3 2 4" xfId="7425"/>
    <cellStyle name="常规 4 12 2 2 3 3 3" xfId="7428"/>
    <cellStyle name="常规 4 12 2 2 3 3 3 2" xfId="1810"/>
    <cellStyle name="常规 4 12 2 2 3 3 4" xfId="2534"/>
    <cellStyle name="常规 4 12 2 2 3 3 5" xfId="1699"/>
    <cellStyle name="常规 4 12 2 2 3 4" xfId="7429"/>
    <cellStyle name="常规 4 12 2 2 3 4 2" xfId="7430"/>
    <cellStyle name="常规 4 12 2 2 3 4 2 2" xfId="3471"/>
    <cellStyle name="常规 4 12 2 2 3 4 3" xfId="7431"/>
    <cellStyle name="常规 4 12 2 2 3 4 4" xfId="7433"/>
    <cellStyle name="常规 4 12 2 2 3 5" xfId="6495"/>
    <cellStyle name="常规 4 12 2 2 3 5 2" xfId="5258"/>
    <cellStyle name="常规 4 12 2 2 3 6" xfId="6503"/>
    <cellStyle name="常规 4 12 2 2 3 7" xfId="6509"/>
    <cellStyle name="常规 4 12 2 2 4" xfId="4022"/>
    <cellStyle name="常规 4 12 2 2 4 2" xfId="7434"/>
    <cellStyle name="常规 4 12 2 2 4 2 2" xfId="7436"/>
    <cellStyle name="常规 4 12 2 2 4 2 2 2" xfId="7437"/>
    <cellStyle name="常规 4 12 2 2 4 2 2 2 2" xfId="7439"/>
    <cellStyle name="常规 4 12 2 2 4 2 2 3" xfId="7441"/>
    <cellStyle name="常规 4 12 2 2 4 2 2 4" xfId="117"/>
    <cellStyle name="常规 4 12 2 2 4 2 3" xfId="4032"/>
    <cellStyle name="常规 4 12 2 2 4 2 3 2" xfId="4085"/>
    <cellStyle name="常规 4 12 2 2 4 2 4" xfId="4092"/>
    <cellStyle name="常规 4 12 2 2 4 2 5" xfId="4098"/>
    <cellStyle name="常规 4 12 2 2 4 3" xfId="7443"/>
    <cellStyle name="常规 4 12 2 2 4 3 2" xfId="7444"/>
    <cellStyle name="常规 4 12 2 2 4 3 2 2" xfId="7445"/>
    <cellStyle name="常规 4 12 2 2 4 3 3" xfId="7446"/>
    <cellStyle name="常规 4 12 2 2 4 3 4" xfId="7447"/>
    <cellStyle name="常规 4 12 2 2 4 4" xfId="7448"/>
    <cellStyle name="常规 4 12 2 2 4 4 2" xfId="7450"/>
    <cellStyle name="常规 4 12 2 2 4 5" xfId="6517"/>
    <cellStyle name="常规 4 12 2 2 4 6" xfId="6519"/>
    <cellStyle name="常规 4 12 2 2 5" xfId="7452"/>
    <cellStyle name="常规 4 12 2 2 5 2" xfId="7453"/>
    <cellStyle name="常规 4 12 2 2 5 2 2" xfId="7454"/>
    <cellStyle name="常规 4 12 2 2 5 2 2 2" xfId="7456"/>
    <cellStyle name="常规 4 12 2 2 5 2 3" xfId="7457"/>
    <cellStyle name="常规 4 12 2 2 5 2 4" xfId="7458"/>
    <cellStyle name="常规 4 12 2 2 5 3" xfId="7463"/>
    <cellStyle name="常规 4 12 2 2 5 3 2" xfId="7465"/>
    <cellStyle name="常规 4 12 2 2 5 4" xfId="7467"/>
    <cellStyle name="常规 4 12 2 2 5 5" xfId="6526"/>
    <cellStyle name="常规 4 12 2 2 6" xfId="7469"/>
    <cellStyle name="常规 4 12 2 2 6 2" xfId="3132"/>
    <cellStyle name="常规 4 12 2 2 6 2 2" xfId="7470"/>
    <cellStyle name="常规 4 12 2 2 6 3" xfId="7472"/>
    <cellStyle name="常规 4 12 2 2 6 4" xfId="6122"/>
    <cellStyle name="常规 4 12 2 2 7" xfId="7473"/>
    <cellStyle name="常规 4 12 2 2 7 2" xfId="7474"/>
    <cellStyle name="常规 4 12 2 2 8" xfId="7476"/>
    <cellStyle name="常规 4 12 2 2 9" xfId="7479"/>
    <cellStyle name="常规 4 12 2 3" xfId="3882"/>
    <cellStyle name="常规 4 12 2 3 2" xfId="7481"/>
    <cellStyle name="常规 4 12 2 3 2 2" xfId="7482"/>
    <cellStyle name="常规 4 12 2 3 2 2 2" xfId="4399"/>
    <cellStyle name="常规 4 12 2 3 2 2 2 2" xfId="4406"/>
    <cellStyle name="常规 4 12 2 3 2 2 2 2 2" xfId="4414"/>
    <cellStyle name="常规 4 12 2 3 2 2 2 2 2 2" xfId="1904"/>
    <cellStyle name="常规 4 12 2 3 2 2 2 2 2 2 2" xfId="1910"/>
    <cellStyle name="常规 4 12 2 3 2 2 2 2 2 3" xfId="1925"/>
    <cellStyle name="常规 4 12 2 3 2 2 2 2 2 4" xfId="1946"/>
    <cellStyle name="常规 4 12 2 3 2 2 2 2 3" xfId="4422"/>
    <cellStyle name="常规 4 12 2 3 2 2 2 2 3 2" xfId="7484"/>
    <cellStyle name="常规 4 12 2 3 2 2 2 2 4" xfId="4428"/>
    <cellStyle name="常规 4 12 2 3 2 2 2 2 5" xfId="7485"/>
    <cellStyle name="常规 4 12 2 3 2 2 2 3" xfId="4433"/>
    <cellStyle name="常规 4 12 2 3 2 2 2 3 2" xfId="2605"/>
    <cellStyle name="常规 4 12 2 3 2 2 2 3 2 2" xfId="7487"/>
    <cellStyle name="常规 4 12 2 3 2 2 2 3 3" xfId="7489"/>
    <cellStyle name="常规 4 12 2 3 2 2 2 3 4" xfId="7491"/>
    <cellStyle name="常规 4 12 2 3 2 2 2 4" xfId="429"/>
    <cellStyle name="常规 4 12 2 3 2 2 2 4 2" xfId="7493"/>
    <cellStyle name="常规 4 12 2 3 2 2 2 5" xfId="4442"/>
    <cellStyle name="常规 4 12 2 3 2 2 2 6" xfId="7498"/>
    <cellStyle name="常规 4 12 2 3 2 2 3" xfId="4448"/>
    <cellStyle name="常规 4 12 2 3 2 2 3 2" xfId="1180"/>
    <cellStyle name="常规 4 12 2 3 2 2 3 2 2" xfId="4451"/>
    <cellStyle name="常规 4 12 2 3 2 2 3 2 2 2" xfId="7499"/>
    <cellStyle name="常规 4 12 2 3 2 2 3 2 3" xfId="1735"/>
    <cellStyle name="常规 4 12 2 3 2 2 3 2 4" xfId="7500"/>
    <cellStyle name="常规 4 12 2 3 2 2 3 3" xfId="1188"/>
    <cellStyle name="常规 4 12 2 3 2 2 3 3 2" xfId="6542"/>
    <cellStyle name="常规 4 12 2 3 2 2 3 4" xfId="4456"/>
    <cellStyle name="常规 4 12 2 3 2 2 3 5" xfId="792"/>
    <cellStyle name="常规 4 12 2 3 2 2 4" xfId="4407"/>
    <cellStyle name="常规 4 12 2 3 2 2 4 2" xfId="4415"/>
    <cellStyle name="常规 4 12 2 3 2 2 4 2 2" xfId="1905"/>
    <cellStyle name="常规 4 12 2 3 2 2 4 3" xfId="4423"/>
    <cellStyle name="常规 4 12 2 3 2 2 4 4" xfId="4429"/>
    <cellStyle name="常规 4 12 2 3 2 2 5" xfId="4434"/>
    <cellStyle name="常规 4 12 2 3 2 2 5 2" xfId="2606"/>
    <cellStyle name="常规 4 12 2 3 2 2 6" xfId="431"/>
    <cellStyle name="常规 4 12 2 3 2 2 7" xfId="4443"/>
    <cellStyle name="常规 4 12 2 3 2 3" xfId="668"/>
    <cellStyle name="常规 4 12 2 3 2 3 2" xfId="121"/>
    <cellStyle name="常规 4 12 2 3 2 3 2 2" xfId="144"/>
    <cellStyle name="常规 4 12 2 3 2 3 2 2 2" xfId="364"/>
    <cellStyle name="常规 4 12 2 3 2 3 2 2 2 2" xfId="181"/>
    <cellStyle name="常规 4 12 2 3 2 3 2 2 3" xfId="374"/>
    <cellStyle name="常规 4 12 2 3 2 3 2 2 4" xfId="388"/>
    <cellStyle name="常规 4 12 2 3 2 3 2 3" xfId="162"/>
    <cellStyle name="常规 4 12 2 3 2 3 2 3 2" xfId="2005"/>
    <cellStyle name="常规 4 12 2 3 2 3 2 4" xfId="106"/>
    <cellStyle name="常规 4 12 2 3 2 3 2 5" xfId="7503"/>
    <cellStyle name="常规 4 12 2 3 2 3 3" xfId="1173"/>
    <cellStyle name="常规 4 12 2 3 2 3 3 2" xfId="1228"/>
    <cellStyle name="常规 4 12 2 3 2 3 3 2 2" xfId="2426"/>
    <cellStyle name="常规 4 12 2 3 2 3 3 3" xfId="1242"/>
    <cellStyle name="常规 4 12 2 3 2 3 3 4" xfId="2479"/>
    <cellStyle name="常规 4 12 2 3 2 3 4" xfId="1181"/>
    <cellStyle name="常规 4 12 2 3 2 3 4 2" xfId="4452"/>
    <cellStyle name="常规 4 12 2 3 2 3 5" xfId="1189"/>
    <cellStyle name="常规 4 12 2 3 2 3 6" xfId="4457"/>
    <cellStyle name="常规 4 12 2 3 2 4" xfId="91"/>
    <cellStyle name="常规 4 12 2 3 2 4 2" xfId="2791"/>
    <cellStyle name="常规 4 12 2 3 2 4 2 2" xfId="4554"/>
    <cellStyle name="常规 4 12 2 3 2 4 2 2 2" xfId="805"/>
    <cellStyle name="常规 4 12 2 3 2 4 2 3" xfId="4985"/>
    <cellStyle name="常规 4 12 2 3 2 4 2 4" xfId="7505"/>
    <cellStyle name="常规 4 12 2 3 2 4 3" xfId="4561"/>
    <cellStyle name="常规 4 12 2 3 2 4 3 2" xfId="1280"/>
    <cellStyle name="常规 4 12 2 3 2 4 4" xfId="4416"/>
    <cellStyle name="常规 4 12 2 3 2 4 5" xfId="4424"/>
    <cellStyle name="常规 4 12 2 3 2 5" xfId="488"/>
    <cellStyle name="常规 4 12 2 3 2 5 2" xfId="2826"/>
    <cellStyle name="常规 4 12 2 3 2 5 2 2" xfId="5075"/>
    <cellStyle name="常规 4 12 2 3 2 5 3" xfId="3421"/>
    <cellStyle name="常规 4 12 2 3 2 5 4" xfId="2607"/>
    <cellStyle name="常规 4 12 2 3 2 6" xfId="3430"/>
    <cellStyle name="常规 4 12 2 3 2 6 2" xfId="2862"/>
    <cellStyle name="常规 4 12 2 3 2 7" xfId="3446"/>
    <cellStyle name="常规 4 12 2 3 2 8" xfId="3450"/>
    <cellStyle name="常规 4 12 2 3 3" xfId="7507"/>
    <cellStyle name="常规 4 12 2 3 3 2" xfId="7508"/>
    <cellStyle name="常规 4 12 2 3 3 2 2" xfId="4757"/>
    <cellStyle name="常规 4 12 2 3 3 2 2 2" xfId="4761"/>
    <cellStyle name="常规 4 12 2 3 3 2 2 2 2" xfId="4768"/>
    <cellStyle name="常规 4 12 2 3 3 2 2 2 2 2" xfId="4358"/>
    <cellStyle name="常规 4 12 2 3 3 2 2 2 3" xfId="4772"/>
    <cellStyle name="常规 4 12 2 3 3 2 2 2 4" xfId="4774"/>
    <cellStyle name="常规 4 12 2 3 3 2 2 3" xfId="4777"/>
    <cellStyle name="常规 4 12 2 3 3 2 2 3 2" xfId="4783"/>
    <cellStyle name="常规 4 12 2 3 3 2 2 4" xfId="4788"/>
    <cellStyle name="常规 4 12 2 3 3 2 2 5" xfId="4795"/>
    <cellStyle name="常规 4 12 2 3 3 2 3" xfId="4803"/>
    <cellStyle name="常规 4 12 2 3 3 2 3 2" xfId="4806"/>
    <cellStyle name="常规 4 12 2 3 3 2 3 2 2" xfId="4813"/>
    <cellStyle name="常规 4 12 2 3 3 2 3 3" xfId="4815"/>
    <cellStyle name="常规 4 12 2 3 3 2 3 4" xfId="4819"/>
    <cellStyle name="常规 4 12 2 3 3 2 4" xfId="145"/>
    <cellStyle name="常规 4 12 2 3 3 2 4 2" xfId="365"/>
    <cellStyle name="常规 4 12 2 3 3 2 5" xfId="163"/>
    <cellStyle name="常规 4 12 2 3 3 2 6" xfId="107"/>
    <cellStyle name="常规 4 12 2 3 3 3" xfId="709"/>
    <cellStyle name="常规 4 12 2 3 3 3 2" xfId="1198"/>
    <cellStyle name="常规 4 12 2 3 3 3 2 2" xfId="504"/>
    <cellStyle name="常规 4 12 2 3 3 3 2 2 2" xfId="2385"/>
    <cellStyle name="常规 4 12 2 3 3 3 2 3" xfId="523"/>
    <cellStyle name="常规 4 12 2 3 3 3 2 4" xfId="1205"/>
    <cellStyle name="常规 4 12 2 3 3 3 3" xfId="1219"/>
    <cellStyle name="常规 4 12 2 3 3 3 3 2" xfId="1938"/>
    <cellStyle name="常规 4 12 2 3 3 3 4" xfId="1229"/>
    <cellStyle name="常规 4 12 2 3 3 3 5" xfId="1243"/>
    <cellStyle name="常规 4 12 2 3 3 4" xfId="1247"/>
    <cellStyle name="常规 4 12 2 3 3 4 2" xfId="3061"/>
    <cellStyle name="常规 4 12 2 3 3 4 2 2" xfId="4872"/>
    <cellStyle name="常规 4 12 2 3 3 4 3" xfId="4076"/>
    <cellStyle name="常规 4 12 2 3 3 4 4" xfId="4453"/>
    <cellStyle name="常规 4 12 2 3 3 5" xfId="1249"/>
    <cellStyle name="常规 4 12 2 3 3 5 2" xfId="3094"/>
    <cellStyle name="常规 4 12 2 3 3 6" xfId="3395"/>
    <cellStyle name="常规 4 12 2 3 3 7" xfId="3480"/>
    <cellStyle name="常规 4 12 2 3 4" xfId="7510"/>
    <cellStyle name="常规 4 12 2 3 4 2" xfId="7512"/>
    <cellStyle name="常规 4 12 2 3 4 2 2" xfId="1069"/>
    <cellStyle name="常规 4 12 2 3 4 2 2 2" xfId="4949"/>
    <cellStyle name="常规 4 12 2 3 4 2 2 2 2" xfId="4957"/>
    <cellStyle name="常规 4 12 2 3 4 2 2 3" xfId="4961"/>
    <cellStyle name="常规 4 12 2 3 4 2 2 4" xfId="4969"/>
    <cellStyle name="常规 4 12 2 3 4 2 3" xfId="4976"/>
    <cellStyle name="常规 4 12 2 3 4 2 3 2" xfId="4980"/>
    <cellStyle name="常规 4 12 2 3 4 2 4" xfId="4556"/>
    <cellStyle name="常规 4 12 2 3 4 2 5" xfId="4987"/>
    <cellStyle name="常规 4 12 2 3 4 3" xfId="774"/>
    <cellStyle name="常规 4 12 2 3 4 3 2" xfId="1123"/>
    <cellStyle name="常规 4 12 2 3 4 3 2 2" xfId="77"/>
    <cellStyle name="常规 4 12 2 3 4 3 3" xfId="227"/>
    <cellStyle name="常规 4 12 2 3 4 3 4" xfId="1283"/>
    <cellStyle name="常规 4 12 2 3 4 4" xfId="988"/>
    <cellStyle name="常规 4 12 2 3 4 4 2" xfId="1862"/>
    <cellStyle name="常规 4 12 2 3 4 5" xfId="1000"/>
    <cellStyle name="常规 4 12 2 3 4 6" xfId="3504"/>
    <cellStyle name="常规 4 12 2 3 5" xfId="7514"/>
    <cellStyle name="常规 4 12 2 3 5 2" xfId="7516"/>
    <cellStyle name="常规 4 12 2 3 5 2 2" xfId="5056"/>
    <cellStyle name="常规 4 12 2 3 5 2 2 2" xfId="5062"/>
    <cellStyle name="常规 4 12 2 3 5 2 3" xfId="5068"/>
    <cellStyle name="常规 4 12 2 3 5 2 4" xfId="5073"/>
    <cellStyle name="常规 4 12 2 3 5 3" xfId="837"/>
    <cellStyle name="常规 4 12 2 3 5 3 2" xfId="1154"/>
    <cellStyle name="常规 4 12 2 3 5 4" xfId="1328"/>
    <cellStyle name="常规 4 12 2 3 5 5" xfId="1331"/>
    <cellStyle name="常规 4 12 2 3 6" xfId="7518"/>
    <cellStyle name="常规 4 12 2 3 6 2" xfId="7520"/>
    <cellStyle name="常规 4 12 2 3 6 2 2" xfId="5129"/>
    <cellStyle name="常规 4 12 2 3 6 3" xfId="852"/>
    <cellStyle name="常规 4 12 2 3 6 4" xfId="1369"/>
    <cellStyle name="常规 4 12 2 3 7" xfId="7522"/>
    <cellStyle name="常规 4 12 2 3 7 2" xfId="7523"/>
    <cellStyle name="常规 4 12 2 3 8" xfId="7528"/>
    <cellStyle name="常规 4 12 2 3 9" xfId="5385"/>
    <cellStyle name="常规 4 12 2 4" xfId="3887"/>
    <cellStyle name="常规 4 12 2 4 2" xfId="7529"/>
    <cellStyle name="常规 4 12 2 4 2 2" xfId="7531"/>
    <cellStyle name="常规 4 12 2 4 2 2 2" xfId="5307"/>
    <cellStyle name="常规 4 12 2 4 2 2 2 2" xfId="5310"/>
    <cellStyle name="常规 4 12 2 4 2 2 2 2 2" xfId="5317"/>
    <cellStyle name="常规 4 12 2 4 2 2 2 2 2 2" xfId="7532"/>
    <cellStyle name="常规 4 12 2 4 2 2 2 2 3" xfId="7534"/>
    <cellStyle name="常规 4 12 2 4 2 2 2 2 4" xfId="7535"/>
    <cellStyle name="常规 4 12 2 4 2 2 2 3" xfId="5322"/>
    <cellStyle name="常规 4 12 2 4 2 2 2 3 2" xfId="7536"/>
    <cellStyle name="常规 4 12 2 4 2 2 2 4" xfId="5330"/>
    <cellStyle name="常规 4 12 2 4 2 2 2 5" xfId="7538"/>
    <cellStyle name="常规 4 12 2 4 2 2 3" xfId="5334"/>
    <cellStyle name="常规 4 12 2 4 2 2 3 2" xfId="5337"/>
    <cellStyle name="常规 4 12 2 4 2 2 3 2 2" xfId="7539"/>
    <cellStyle name="常规 4 12 2 4 2 2 3 3" xfId="7540"/>
    <cellStyle name="常规 4 12 2 4 2 2 3 4" xfId="7541"/>
    <cellStyle name="常规 4 12 2 4 2 2 4" xfId="4762"/>
    <cellStyle name="常规 4 12 2 4 2 2 4 2" xfId="4769"/>
    <cellStyle name="常规 4 12 2 4 2 2 5" xfId="4778"/>
    <cellStyle name="常规 4 12 2 4 2 2 6" xfId="4789"/>
    <cellStyle name="常规 4 12 2 4 2 3" xfId="7542"/>
    <cellStyle name="常规 4 12 2 4 2 3 2" xfId="5366"/>
    <cellStyle name="常规 4 12 2 4 2 3 2 2" xfId="5370"/>
    <cellStyle name="常规 4 12 2 4 2 3 2 2 2" xfId="4427"/>
    <cellStyle name="常规 4 12 2 4 2 3 2 3" xfId="7544"/>
    <cellStyle name="常规 4 12 2 4 2 3 2 4" xfId="2393"/>
    <cellStyle name="常规 4 12 2 4 2 3 3" xfId="5378"/>
    <cellStyle name="常规 4 12 2 4 2 3 3 2" xfId="7545"/>
    <cellStyle name="常规 4 12 2 4 2 3 4" xfId="4807"/>
    <cellStyle name="常规 4 12 2 4 2 3 5" xfId="4816"/>
    <cellStyle name="常规 4 12 2 4 2 4" xfId="7264"/>
    <cellStyle name="常规 4 12 2 4 2 4 2" xfId="1893"/>
    <cellStyle name="常规 4 12 2 4 2 4 2 2" xfId="7269"/>
    <cellStyle name="常规 4 12 2 4 2 4 3" xfId="5400"/>
    <cellStyle name="常规 4 12 2 4 2 4 4" xfId="366"/>
    <cellStyle name="常规 4 12 2 4 2 5" xfId="1982"/>
    <cellStyle name="常规 4 12 2 4 2 5 2" xfId="1992"/>
    <cellStyle name="常规 4 12 2 4 2 6" xfId="2015"/>
    <cellStyle name="常规 4 12 2 4 2 7" xfId="277"/>
    <cellStyle name="常规 4 12 2 4 3" xfId="7547"/>
    <cellStyle name="常规 4 12 2 4 3 2" xfId="7548"/>
    <cellStyle name="常规 4 12 2 4 3 2 2" xfId="4906"/>
    <cellStyle name="常规 4 12 2 4 3 2 2 2" xfId="3163"/>
    <cellStyle name="常规 4 12 2 4 3 2 2 2 2" xfId="3175"/>
    <cellStyle name="常规 4 12 2 4 3 2 2 3" xfId="3185"/>
    <cellStyle name="常规 4 12 2 4 3 2 2 4" xfId="3193"/>
    <cellStyle name="常规 4 12 2 4 3 2 3" xfId="4912"/>
    <cellStyle name="常规 4 12 2 4 3 2 3 2" xfId="3205"/>
    <cellStyle name="常规 4 12 2 4 3 2 4" xfId="505"/>
    <cellStyle name="常规 4 12 2 4 3 2 5" xfId="524"/>
    <cellStyle name="常规 4 12 2 4 3 3" xfId="7549"/>
    <cellStyle name="常规 4 12 2 4 3 3 2" xfId="5023"/>
    <cellStyle name="常规 4 12 2 4 3 3 2 2" xfId="6513"/>
    <cellStyle name="常规 4 12 2 4 3 3 3" xfId="5029"/>
    <cellStyle name="常规 4 12 2 4 3 3 4" xfId="1939"/>
    <cellStyle name="常规 4 12 2 4 3 4" xfId="7287"/>
    <cellStyle name="常规 4 12 2 4 3 4 2" xfId="5117"/>
    <cellStyle name="常规 4 12 2 4 3 5" xfId="2059"/>
    <cellStyle name="常规 4 12 2 4 3 6" xfId="2089"/>
    <cellStyle name="常规 4 12 2 4 4" xfId="7551"/>
    <cellStyle name="常规 4 12 2 4 4 2" xfId="7553"/>
    <cellStyle name="常规 4 12 2 4 4 2 2" xfId="5432"/>
    <cellStyle name="常规 4 12 2 4 4 2 2 2" xfId="6484"/>
    <cellStyle name="常规 4 12 2 4 4 2 3" xfId="5449"/>
    <cellStyle name="常规 4 12 2 4 4 2 4" xfId="4874"/>
    <cellStyle name="常规 4 12 2 4 4 3" xfId="7555"/>
    <cellStyle name="常规 4 12 2 4 4 3 2" xfId="5472"/>
    <cellStyle name="常规 4 12 2 4 4 4" xfId="7304"/>
    <cellStyle name="常规 4 12 2 4 4 5" xfId="2116"/>
    <cellStyle name="常规 4 12 2 4 5" xfId="7557"/>
    <cellStyle name="常规 4 12 2 4 5 2" xfId="7559"/>
    <cellStyle name="常规 4 12 2 4 5 2 2" xfId="5494"/>
    <cellStyle name="常规 4 12 2 4 5 3" xfId="7561"/>
    <cellStyle name="常规 4 12 2 4 5 4" xfId="7209"/>
    <cellStyle name="常规 4 12 2 4 6" xfId="7563"/>
    <cellStyle name="常规 4 12 2 4 6 2" xfId="7565"/>
    <cellStyle name="常规 4 12 2 4 7" xfId="7567"/>
    <cellStyle name="常规 4 12 2 4 8" xfId="7569"/>
    <cellStyle name="常规 4 12 2 5" xfId="7570"/>
    <cellStyle name="常规 4 12 2 5 2" xfId="2735"/>
    <cellStyle name="常规 4 12 2 5 2 2" xfId="2738"/>
    <cellStyle name="常规 4 12 2 5 2 2 2" xfId="5570"/>
    <cellStyle name="常规 4 12 2 5 2 2 2 2" xfId="5578"/>
    <cellStyle name="常规 4 12 2 5 2 2 2 2 2" xfId="3759"/>
    <cellStyle name="常规 4 12 2 5 2 2 2 3" xfId="5587"/>
    <cellStyle name="常规 4 12 2 5 2 2 2 4" xfId="5592"/>
    <cellStyle name="常规 4 12 2 5 2 2 3" xfId="5596"/>
    <cellStyle name="常规 4 12 2 5 2 2 3 2" xfId="5602"/>
    <cellStyle name="常规 4 12 2 5 2 2 4" xfId="4950"/>
    <cellStyle name="常规 4 12 2 5 2 2 5" xfId="4962"/>
    <cellStyle name="常规 4 12 2 5 2 3" xfId="2740"/>
    <cellStyle name="常规 4 12 2 5 2 3 2" xfId="5638"/>
    <cellStyle name="常规 4 12 2 5 2 3 2 2" xfId="5646"/>
    <cellStyle name="常规 4 12 2 5 2 3 3" xfId="5650"/>
    <cellStyle name="常规 4 12 2 5 2 3 4" xfId="4981"/>
    <cellStyle name="常规 4 12 2 5 2 4" xfId="7327"/>
    <cellStyle name="常规 4 12 2 5 2 4 2" xfId="5665"/>
    <cellStyle name="常规 4 12 2 5 2 5" xfId="2166"/>
    <cellStyle name="常规 4 12 2 5 2 6" xfId="7337"/>
    <cellStyle name="常规 4 12 2 5 3" xfId="2747"/>
    <cellStyle name="常规 4 12 2 5 3 2" xfId="2750"/>
    <cellStyle name="常规 4 12 2 5 3 2 2" xfId="5747"/>
    <cellStyle name="常规 4 12 2 5 3 2 2 2" xfId="5758"/>
    <cellStyle name="常规 4 12 2 5 3 2 3" xfId="5762"/>
    <cellStyle name="常规 4 12 2 5 3 2 4" xfId="78"/>
    <cellStyle name="常规 4 12 2 5 3 3" xfId="2752"/>
    <cellStyle name="常规 4 12 2 5 3 3 2" xfId="5782"/>
    <cellStyle name="常规 4 12 2 5 3 4" xfId="7350"/>
    <cellStyle name="常规 4 12 2 5 3 5" xfId="6557"/>
    <cellStyle name="常规 4 12 2 5 4" xfId="2757"/>
    <cellStyle name="常规 4 12 2 5 4 2" xfId="1663"/>
    <cellStyle name="常规 4 12 2 5 4 2 2" xfId="5819"/>
    <cellStyle name="常规 4 12 2 5 4 3" xfId="1669"/>
    <cellStyle name="常规 4 12 2 5 4 4" xfId="7363"/>
    <cellStyle name="常规 4 12 2 5 5" xfId="2761"/>
    <cellStyle name="常规 4 12 2 5 5 2" xfId="4661"/>
    <cellStyle name="常规 4 12 2 5 6" xfId="2767"/>
    <cellStyle name="常规 4 12 2 5 7" xfId="6352"/>
    <cellStyle name="常规 4 12 2 6" xfId="7571"/>
    <cellStyle name="常规 4 12 2 6 2" xfId="3054"/>
    <cellStyle name="常规 4 12 2 6 2 2" xfId="7572"/>
    <cellStyle name="常规 4 12 2 6 2 2 2" xfId="5884"/>
    <cellStyle name="常规 4 12 2 6 2 2 2 2" xfId="5891"/>
    <cellStyle name="常规 4 12 2 6 2 2 3" xfId="5899"/>
    <cellStyle name="常规 4 12 2 6 2 2 4" xfId="5063"/>
    <cellStyle name="常规 4 12 2 6 2 3" xfId="7573"/>
    <cellStyle name="常规 4 12 2 6 2 3 2" xfId="5910"/>
    <cellStyle name="常规 4 12 2 6 2 4" xfId="7369"/>
    <cellStyle name="常规 4 12 2 6 2 5" xfId="7373"/>
    <cellStyle name="常规 4 12 2 6 3" xfId="7574"/>
    <cellStyle name="常规 4 12 2 6 3 2" xfId="2215"/>
    <cellStyle name="常规 4 12 2 6 3 2 2" xfId="5932"/>
    <cellStyle name="常规 4 12 2 6 3 3" xfId="7575"/>
    <cellStyle name="常规 4 12 2 6 3 4" xfId="7381"/>
    <cellStyle name="常规 4 12 2 6 4" xfId="7579"/>
    <cellStyle name="常规 4 12 2 6 4 2" xfId="7582"/>
    <cellStyle name="常规 4 12 2 6 5" xfId="6366"/>
    <cellStyle name="常规 4 12 2 6 6" xfId="6373"/>
    <cellStyle name="常规 4 12 2 7" xfId="7586"/>
    <cellStyle name="常规 4 12 2 7 2" xfId="7587"/>
    <cellStyle name="常规 4 12 2 7 2 2" xfId="7588"/>
    <cellStyle name="常规 4 12 2 7 2 2 2" xfId="5996"/>
    <cellStyle name="常规 4 12 2 7 2 3" xfId="5857"/>
    <cellStyle name="常规 4 12 2 7 2 4" xfId="5866"/>
    <cellStyle name="常规 4 12 2 7 3" xfId="2355"/>
    <cellStyle name="常规 4 12 2 7 3 2" xfId="7589"/>
    <cellStyle name="常规 4 12 2 7 4" xfId="7593"/>
    <cellStyle name="常规 4 12 2 7 5" xfId="6385"/>
    <cellStyle name="常规 4 12 2 8" xfId="7594"/>
    <cellStyle name="常规 4 12 2 8 2" xfId="7595"/>
    <cellStyle name="常规 4 12 2 8 2 2" xfId="7596"/>
    <cellStyle name="常规 4 12 2 8 3" xfId="7597"/>
    <cellStyle name="常规 4 12 2 8 4" xfId="6759"/>
    <cellStyle name="常规 4 12 2 9" xfId="3987"/>
    <cellStyle name="常规 4 12 2 9 2" xfId="7599"/>
    <cellStyle name="常规 4 12 3" xfId="2450"/>
    <cellStyle name="常规 4 12 3 2" xfId="2808"/>
    <cellStyle name="常规 4 12 3 2 2" xfId="7602"/>
    <cellStyle name="常规 4 12 3 2 2 2" xfId="3235"/>
    <cellStyle name="常规 4 12 3 2 2 2 2" xfId="7603"/>
    <cellStyle name="常规 4 12 3 2 2 2 2 2" xfId="7607"/>
    <cellStyle name="常规 4 12 3 2 2 2 2 2 2" xfId="7611"/>
    <cellStyle name="常规 4 12 3 2 2 2 2 2 2 2" xfId="7615"/>
    <cellStyle name="常规 4 12 3 2 2 2 2 2 3" xfId="7616"/>
    <cellStyle name="常规 4 12 3 2 2 2 2 2 4" xfId="330"/>
    <cellStyle name="常规 4 12 3 2 2 2 2 3" xfId="650"/>
    <cellStyle name="常规 4 12 3 2 2 2 2 3 2" xfId="7617"/>
    <cellStyle name="常规 4 12 3 2 2 2 2 4" xfId="915"/>
    <cellStyle name="常规 4 12 3 2 2 2 2 5" xfId="7619"/>
    <cellStyle name="常规 4 12 3 2 2 2 3" xfId="7620"/>
    <cellStyle name="常规 4 12 3 2 2 2 3 2" xfId="6396"/>
    <cellStyle name="常规 4 12 3 2 2 2 3 2 2" xfId="4938"/>
    <cellStyle name="常规 4 12 3 2 2 2 3 3" xfId="926"/>
    <cellStyle name="常规 4 12 3 2 2 2 3 4" xfId="6077"/>
    <cellStyle name="常规 4 12 3 2 2 2 4" xfId="7621"/>
    <cellStyle name="常规 4 12 3 2 2 2 4 2" xfId="3705"/>
    <cellStyle name="常规 4 12 3 2 2 2 5" xfId="2797"/>
    <cellStyle name="常规 4 12 3 2 2 2 6" xfId="6446"/>
    <cellStyle name="常规 4 12 3 2 2 3" xfId="7622"/>
    <cellStyle name="常规 4 12 3 2 2 3 2" xfId="7623"/>
    <cellStyle name="常规 4 12 3 2 2 3 2 2" xfId="302"/>
    <cellStyle name="常规 4 12 3 2 2 3 2 2 2" xfId="248"/>
    <cellStyle name="常规 4 12 3 2 2 3 2 3" xfId="42"/>
    <cellStyle name="常规 4 12 3 2 2 3 2 4" xfId="322"/>
    <cellStyle name="常规 4 12 3 2 2 3 3" xfId="7625"/>
    <cellStyle name="常规 4 12 3 2 2 3 3 2" xfId="7628"/>
    <cellStyle name="常规 4 12 3 2 2 3 4" xfId="7631"/>
    <cellStyle name="常规 4 12 3 2 2 3 5" xfId="7031"/>
    <cellStyle name="常规 4 12 3 2 2 4" xfId="7632"/>
    <cellStyle name="常规 4 12 3 2 2 4 2" xfId="7633"/>
    <cellStyle name="常规 4 12 3 2 2 4 2 2" xfId="7635"/>
    <cellStyle name="常规 4 12 3 2 2 4 3" xfId="7638"/>
    <cellStyle name="常规 4 12 3 2 2 4 4" xfId="7640"/>
    <cellStyle name="常规 4 12 3 2 2 5" xfId="7641"/>
    <cellStyle name="常规 4 12 3 2 2 5 2" xfId="6020"/>
    <cellStyle name="常规 4 12 3 2 2 6" xfId="5511"/>
    <cellStyle name="常规 4 12 3 2 2 7" xfId="1625"/>
    <cellStyle name="常规 4 12 3 2 3" xfId="7643"/>
    <cellStyle name="常规 4 12 3 2 3 2" xfId="7645"/>
    <cellStyle name="常规 4 12 3 2 3 2 2" xfId="7647"/>
    <cellStyle name="常规 4 12 3 2 3 2 2 2" xfId="2013"/>
    <cellStyle name="常规 4 12 3 2 3 2 2 2 2" xfId="2024"/>
    <cellStyle name="常规 4 12 3 2 3 2 2 3" xfId="275"/>
    <cellStyle name="常规 4 12 3 2 3 2 2 4" xfId="214"/>
    <cellStyle name="常规 4 12 3 2 3 2 3" xfId="7648"/>
    <cellStyle name="常规 4 12 3 2 3 2 3 2" xfId="2087"/>
    <cellStyle name="常规 4 12 3 2 3 2 4" xfId="7649"/>
    <cellStyle name="常规 4 12 3 2 3 2 5" xfId="7650"/>
    <cellStyle name="常规 4 12 3 2 3 3" xfId="7652"/>
    <cellStyle name="常规 4 12 3 2 3 3 2" xfId="7653"/>
    <cellStyle name="常规 4 12 3 2 3 3 2 2" xfId="7335"/>
    <cellStyle name="常规 4 12 3 2 3 3 3" xfId="7655"/>
    <cellStyle name="常规 4 12 3 2 3 3 4" xfId="7656"/>
    <cellStyle name="常规 4 12 3 2 3 4" xfId="7658"/>
    <cellStyle name="常规 4 12 3 2 3 4 2" xfId="7659"/>
    <cellStyle name="常规 4 12 3 2 3 5" xfId="6614"/>
    <cellStyle name="常规 4 12 3 2 3 6" xfId="6616"/>
    <cellStyle name="常规 4 12 3 2 4" xfId="7660"/>
    <cellStyle name="常规 4 12 3 2 4 2" xfId="7662"/>
    <cellStyle name="常规 4 12 3 2 4 2 2" xfId="5966"/>
    <cellStyle name="常规 4 12 3 2 4 2 2 2" xfId="3015"/>
    <cellStyle name="常规 4 12 3 2 4 2 3" xfId="5970"/>
    <cellStyle name="常规 4 12 3 2 4 2 4" xfId="7665"/>
    <cellStyle name="常规 4 12 3 2 4 3" xfId="7667"/>
    <cellStyle name="常规 4 12 3 2 4 3 2" xfId="6064"/>
    <cellStyle name="常规 4 12 3 2 4 4" xfId="7668"/>
    <cellStyle name="常规 4 12 3 2 4 5" xfId="6626"/>
    <cellStyle name="常规 4 12 3 2 5" xfId="7670"/>
    <cellStyle name="常规 4 12 3 2 5 2" xfId="860"/>
    <cellStyle name="常规 4 12 3 2 5 2 2" xfId="863"/>
    <cellStyle name="常规 4 12 3 2 5 3" xfId="874"/>
    <cellStyle name="常规 4 12 3 2 5 4" xfId="880"/>
    <cellStyle name="常规 4 12 3 2 6" xfId="7671"/>
    <cellStyle name="常规 4 12 3 2 6 2" xfId="7672"/>
    <cellStyle name="常规 4 12 3 2 7" xfId="7673"/>
    <cellStyle name="常规 4 12 3 2 8" xfId="7674"/>
    <cellStyle name="常规 4 12 3 3" xfId="3906"/>
    <cellStyle name="常规 4 12 3 3 2" xfId="6683"/>
    <cellStyle name="常规 4 12 3 3 2 2" xfId="7676"/>
    <cellStyle name="常规 4 12 3 3 2 2 2" xfId="6187"/>
    <cellStyle name="常规 4 12 3 3 2 2 2 2" xfId="6195"/>
    <cellStyle name="常规 4 12 3 3 2 2 2 2 2" xfId="6202"/>
    <cellStyle name="常规 4 12 3 3 2 2 2 3" xfId="234"/>
    <cellStyle name="常规 4 12 3 3 2 2 2 4" xfId="6206"/>
    <cellStyle name="常规 4 12 3 3 2 2 3" xfId="6213"/>
    <cellStyle name="常规 4 12 3 3 2 2 3 2" xfId="6217"/>
    <cellStyle name="常规 4 12 3 3 2 2 4" xfId="5311"/>
    <cellStyle name="常规 4 12 3 3 2 2 5" xfId="5323"/>
    <cellStyle name="常规 4 12 3 3 2 3" xfId="7677"/>
    <cellStyle name="常规 4 12 3 3 2 3 2" xfId="6262"/>
    <cellStyle name="常规 4 12 3 3 2 3 2 2" xfId="1158"/>
    <cellStyle name="常规 4 12 3 3 2 3 3" xfId="6269"/>
    <cellStyle name="常规 4 12 3 3 2 3 4" xfId="5338"/>
    <cellStyle name="常规 4 12 3 3 2 4" xfId="7678"/>
    <cellStyle name="常规 4 12 3 3 2 4 2" xfId="6285"/>
    <cellStyle name="常规 4 12 3 3 2 5" xfId="7679"/>
    <cellStyle name="常规 4 12 3 3 2 6" xfId="5842"/>
    <cellStyle name="常规 4 12 3 3 3" xfId="7681"/>
    <cellStyle name="常规 4 12 3 3 3 2" xfId="7684"/>
    <cellStyle name="常规 4 12 3 3 3 2 2" xfId="6323"/>
    <cellStyle name="常规 4 12 3 3 3 2 2 2" xfId="426"/>
    <cellStyle name="常规 4 12 3 3 3 2 3" xfId="6327"/>
    <cellStyle name="常规 4 12 3 3 3 2 4" xfId="5371"/>
    <cellStyle name="常规 4 12 3 3 3 3" xfId="7686"/>
    <cellStyle name="常规 4 12 3 3 3 3 2" xfId="6334"/>
    <cellStyle name="常规 4 12 3 3 3 4" xfId="3245"/>
    <cellStyle name="常规 4 12 3 3 3 5" xfId="6633"/>
    <cellStyle name="常规 4 12 3 3 4" xfId="7689"/>
    <cellStyle name="常规 4 12 3 3 4 2" xfId="7692"/>
    <cellStyle name="常规 4 12 3 3 4 2 2" xfId="6350"/>
    <cellStyle name="常规 4 12 3 3 4 3" xfId="7694"/>
    <cellStyle name="常规 4 12 3 3 4 4" xfId="7697"/>
    <cellStyle name="常规 4 12 3 3 5" xfId="7700"/>
    <cellStyle name="常规 4 12 3 3 5 2" xfId="890"/>
    <cellStyle name="常规 4 12 3 3 6" xfId="3336"/>
    <cellStyle name="常规 4 12 3 3 7" xfId="896"/>
    <cellStyle name="常规 4 12 3 4" xfId="6782"/>
    <cellStyle name="常规 4 12 3 4 2" xfId="7703"/>
    <cellStyle name="常规 4 12 3 4 2 2" xfId="7705"/>
    <cellStyle name="常规 4 12 3 4 2 2 2" xfId="6437"/>
    <cellStyle name="常规 4 12 3 4 2 2 2 2" xfId="6443"/>
    <cellStyle name="常规 4 12 3 4 2 2 3" xfId="3152"/>
    <cellStyle name="常规 4 12 3 4 2 2 4" xfId="3164"/>
    <cellStyle name="常规 4 12 3 4 2 3" xfId="7707"/>
    <cellStyle name="常规 4 12 3 4 2 3 2" xfId="6461"/>
    <cellStyle name="常规 4 12 3 4 2 4" xfId="7402"/>
    <cellStyle name="常规 4 12 3 4 2 5" xfId="2689"/>
    <cellStyle name="常规 4 12 3 4 3" xfId="7708"/>
    <cellStyle name="常规 4 12 3 4 3 2" xfId="7710"/>
    <cellStyle name="常规 4 12 3 4 3 2 2" xfId="6507"/>
    <cellStyle name="常规 4 12 3 4 3 3" xfId="7711"/>
    <cellStyle name="常规 4 12 3 4 3 4" xfId="7412"/>
    <cellStyle name="常规 4 12 3 4 4" xfId="7713"/>
    <cellStyle name="常规 4 12 3 4 4 2" xfId="1740"/>
    <cellStyle name="常规 4 12 3 4 5" xfId="7715"/>
    <cellStyle name="常规 4 12 3 4 6" xfId="7605"/>
    <cellStyle name="常规 4 12 3 5" xfId="6787"/>
    <cellStyle name="常规 4 12 3 5 2" xfId="7716"/>
    <cellStyle name="常规 4 12 3 5 2 2" xfId="7717"/>
    <cellStyle name="常规 4 12 3 5 2 2 2" xfId="5184"/>
    <cellStyle name="常规 4 12 3 5 2 3" xfId="7718"/>
    <cellStyle name="常规 4 12 3 5 2 4" xfId="1462"/>
    <cellStyle name="常规 4 12 3 5 3" xfId="7719"/>
    <cellStyle name="常规 4 12 3 5 3 2" xfId="7720"/>
    <cellStyle name="常规 4 12 3 5 4" xfId="7722"/>
    <cellStyle name="常规 4 12 3 5 5" xfId="6392"/>
    <cellStyle name="常规 4 12 3 6" xfId="7724"/>
    <cellStyle name="常规 4 12 3 6 2" xfId="7725"/>
    <cellStyle name="常规 4 12 3 6 2 2" xfId="7726"/>
    <cellStyle name="常规 4 12 3 6 3" xfId="7727"/>
    <cellStyle name="常规 4 12 3 6 4" xfId="7731"/>
    <cellStyle name="常规 4 12 3 7" xfId="7732"/>
    <cellStyle name="常规 4 12 3 7 2" xfId="4018"/>
    <cellStyle name="常规 4 12 3 8" xfId="7733"/>
    <cellStyle name="常规 4 12 3 9" xfId="7735"/>
    <cellStyle name="常规 4 12 4" xfId="2452"/>
    <cellStyle name="常规 4 12 4 2" xfId="1616"/>
    <cellStyle name="常规 4 12 4 2 2" xfId="7737"/>
    <cellStyle name="常规 4 12 4 2 2 2" xfId="7739"/>
    <cellStyle name="常规 4 12 4 2 2 2 2" xfId="2314"/>
    <cellStyle name="常规 4 12 4 2 2 2 2 2" xfId="856"/>
    <cellStyle name="常规 4 12 4 2 2 2 2 2 2" xfId="7741"/>
    <cellStyle name="常规 4 12 4 2 2 2 2 2 2 2" xfId="7743"/>
    <cellStyle name="常规 4 12 4 2 2 2 2 2 3" xfId="7745"/>
    <cellStyle name="常规 4 12 4 2 2 2 2 2 4" xfId="719"/>
    <cellStyle name="常规 4 12 4 2 2 2 2 3" xfId="7748"/>
    <cellStyle name="常规 4 12 4 2 2 2 2 3 2" xfId="7753"/>
    <cellStyle name="常规 4 12 4 2 2 2 2 4" xfId="7755"/>
    <cellStyle name="常规 4 12 4 2 2 2 2 5" xfId="7758"/>
    <cellStyle name="常规 4 12 4 2 2 2 3" xfId="7762"/>
    <cellStyle name="常规 4 12 4 2 2 2 3 2" xfId="7766"/>
    <cellStyle name="常规 4 12 4 2 2 2 3 2 2" xfId="7769"/>
    <cellStyle name="常规 4 12 4 2 2 2 3 3" xfId="7771"/>
    <cellStyle name="常规 4 12 4 2 2 2 3 4" xfId="7773"/>
    <cellStyle name="常规 4 12 4 2 2 2 4" xfId="7780"/>
    <cellStyle name="常规 4 12 4 2 2 2 4 2" xfId="1272"/>
    <cellStyle name="常规 4 12 4 2 2 2 5" xfId="2970"/>
    <cellStyle name="常规 4 12 4 2 2 2 6" xfId="6590"/>
    <cellStyle name="常规 4 12 4 2 2 3" xfId="7782"/>
    <cellStyle name="常规 4 12 4 2 2 3 2" xfId="7783"/>
    <cellStyle name="常规 4 12 4 2 2 3 2 2" xfId="7785"/>
    <cellStyle name="常规 4 12 4 2 2 3 2 2 2" xfId="7787"/>
    <cellStyle name="常规 4 12 4 2 2 3 2 3" xfId="7788"/>
    <cellStyle name="常规 4 12 4 2 2 3 2 4" xfId="7790"/>
    <cellStyle name="常规 4 12 4 2 2 3 3" xfId="7793"/>
    <cellStyle name="常规 4 12 4 2 2 3 3 2" xfId="7794"/>
    <cellStyle name="常规 4 12 4 2 2 3 4" xfId="7798"/>
    <cellStyle name="常规 4 12 4 2 2 3 5" xfId="3355"/>
    <cellStyle name="常规 4 12 4 2 2 4" xfId="7799"/>
    <cellStyle name="常规 4 12 4 2 2 4 2" xfId="7800"/>
    <cellStyle name="常规 4 12 4 2 2 4 2 2" xfId="1385"/>
    <cellStyle name="常规 4 12 4 2 2 4 3" xfId="7801"/>
    <cellStyle name="常规 4 12 4 2 2 4 4" xfId="7802"/>
    <cellStyle name="常规 4 12 4 2 2 5" xfId="2206"/>
    <cellStyle name="常规 4 12 4 2 2 5 2" xfId="7372"/>
    <cellStyle name="常规 4 12 4 2 2 6" xfId="2208"/>
    <cellStyle name="常规 4 12 4 2 2 7" xfId="7805"/>
    <cellStyle name="常规 4 12 4 2 3" xfId="7806"/>
    <cellStyle name="常规 4 12 4 2 3 2" xfId="7808"/>
    <cellStyle name="常规 4 12 4 2 3 2 2" xfId="7809"/>
    <cellStyle name="常规 4 12 4 2 3 2 2 2" xfId="913"/>
    <cellStyle name="常规 4 12 4 2 3 2 2 2 2" xfId="7811"/>
    <cellStyle name="常规 4 12 4 2 3 2 2 3" xfId="7618"/>
    <cellStyle name="常规 4 12 4 2 3 2 2 4" xfId="7813"/>
    <cellStyle name="常规 4 12 4 2 3 2 3" xfId="6073"/>
    <cellStyle name="常规 4 12 4 2 3 2 3 2" xfId="6075"/>
    <cellStyle name="常规 4 12 4 2 3 2 4" xfId="6081"/>
    <cellStyle name="常规 4 12 4 2 3 2 5" xfId="6085"/>
    <cellStyle name="常规 4 12 4 2 3 3" xfId="7814"/>
    <cellStyle name="常规 4 12 4 2 3 3 2" xfId="7815"/>
    <cellStyle name="常规 4 12 4 2 3 3 2 2" xfId="319"/>
    <cellStyle name="常规 4 12 4 2 3 3 3" xfId="5529"/>
    <cellStyle name="常规 4 12 4 2 3 3 4" xfId="4169"/>
    <cellStyle name="常规 4 12 4 2 3 4" xfId="3920"/>
    <cellStyle name="常规 4 12 4 2 3 4 2" xfId="7816"/>
    <cellStyle name="常规 4 12 4 2 3 5" xfId="4048"/>
    <cellStyle name="常规 4 12 4 2 3 6" xfId="6701"/>
    <cellStyle name="常规 4 12 4 2 4" xfId="7817"/>
    <cellStyle name="常规 4 12 4 2 4 2" xfId="7818"/>
    <cellStyle name="常规 4 12 4 2 4 2 2" xfId="3302"/>
    <cellStyle name="常规 4 12 4 2 4 2 2 2" xfId="205"/>
    <cellStyle name="常规 4 12 4 2 4 2 3" xfId="3307"/>
    <cellStyle name="常规 4 12 4 2 4 2 4" xfId="7822"/>
    <cellStyle name="常规 4 12 4 2 4 3" xfId="7823"/>
    <cellStyle name="常规 4 12 4 2 4 3 2" xfId="3339"/>
    <cellStyle name="常规 4 12 4 2 4 4" xfId="4053"/>
    <cellStyle name="常规 4 12 4 2 4 5" xfId="3829"/>
    <cellStyle name="常规 4 12 4 2 5" xfId="7824"/>
    <cellStyle name="常规 4 12 4 2 5 2" xfId="7151"/>
    <cellStyle name="常规 4 12 4 2 5 2 2" xfId="3708"/>
    <cellStyle name="常规 4 12 4 2 5 3" xfId="7178"/>
    <cellStyle name="常规 4 12 4 2 5 4" xfId="3296"/>
    <cellStyle name="常规 4 12 4 2 6" xfId="7825"/>
    <cellStyle name="常规 4 12 4 2 6 2" xfId="7826"/>
    <cellStyle name="常规 4 12 4 2 7" xfId="1951"/>
    <cellStyle name="常规 4 12 4 2 8" xfId="1956"/>
    <cellStyle name="常规 4 12 4 3" xfId="52"/>
    <cellStyle name="常规 4 12 4 3 2" xfId="7828"/>
    <cellStyle name="常规 4 12 4 3 2 2" xfId="7829"/>
    <cellStyle name="常规 4 12 4 3 2 2 2" xfId="6771"/>
    <cellStyle name="常规 4 12 4 3 2 2 2 2" xfId="3675"/>
    <cellStyle name="常规 4 12 4 3 2 2 2 2 2" xfId="7044"/>
    <cellStyle name="常规 4 12 4 3 2 2 2 3" xfId="7087"/>
    <cellStyle name="常规 4 12 4 3 2 2 2 4" xfId="7130"/>
    <cellStyle name="常规 4 12 4 3 2 2 3" xfId="6093"/>
    <cellStyle name="常规 4 12 4 3 2 2 3 2" xfId="3720"/>
    <cellStyle name="常规 4 12 4 3 2 2 4" xfId="5579"/>
    <cellStyle name="常规 4 12 4 3 2 2 5" xfId="5588"/>
    <cellStyle name="常规 4 12 4 3 2 3" xfId="7830"/>
    <cellStyle name="常规 4 12 4 3 2 3 2" xfId="6796"/>
    <cellStyle name="常规 4 12 4 3 2 3 2 2" xfId="200"/>
    <cellStyle name="常规 4 12 4 3 2 3 3" xfId="6801"/>
    <cellStyle name="常规 4 12 4 3 2 3 4" xfId="5603"/>
    <cellStyle name="常规 4 12 4 3 2 4" xfId="7831"/>
    <cellStyle name="常规 4 12 4 3 2 4 2" xfId="6812"/>
    <cellStyle name="常规 4 12 4 3 2 5" xfId="4119"/>
    <cellStyle name="常规 4 12 4 3 2 6" xfId="35"/>
    <cellStyle name="常规 4 12 4 3 3" xfId="7832"/>
    <cellStyle name="常规 4 12 4 3 3 2" xfId="7833"/>
    <cellStyle name="常规 4 12 4 3 3 2 2" xfId="7836"/>
    <cellStyle name="常规 4 12 4 3 3 2 2 2" xfId="6211"/>
    <cellStyle name="常规 4 12 4 3 3 2 3" xfId="7839"/>
    <cellStyle name="常规 4 12 4 3 3 2 4" xfId="5645"/>
    <cellStyle name="常规 4 12 4 3 3 3" xfId="7840"/>
    <cellStyle name="常规 4 12 4 3 3 3 2" xfId="7843"/>
    <cellStyle name="常规 4 12 4 3 3 4" xfId="7844"/>
    <cellStyle name="常规 4 12 4 3 3 5" xfId="7845"/>
    <cellStyle name="常规 4 12 4 3 4" xfId="7847"/>
    <cellStyle name="常规 4 12 4 3 4 2" xfId="7849"/>
    <cellStyle name="常规 4 12 4 3 4 2 2" xfId="7854"/>
    <cellStyle name="常规 4 12 4 3 4 3" xfId="7856"/>
    <cellStyle name="常规 4 12 4 3 4 4" xfId="7860"/>
    <cellStyle name="常规 4 12 4 3 5" xfId="7862"/>
    <cellStyle name="常规 4 12 4 3 5 2" xfId="7864"/>
    <cellStyle name="常规 4 12 4 3 6" xfId="7866"/>
    <cellStyle name="常规 4 12 4 3 7" xfId="7868"/>
    <cellStyle name="常规 4 12 4 4" xfId="7870"/>
    <cellStyle name="常规 4 12 4 4 2" xfId="7871"/>
    <cellStyle name="常规 4 12 4 4 2 2" xfId="7872"/>
    <cellStyle name="常规 4 12 4 4 2 2 2" xfId="7876"/>
    <cellStyle name="常规 4 12 4 4 2 2 2 2" xfId="7883"/>
    <cellStyle name="常规 4 12 4 4 2 2 3" xfId="7887"/>
    <cellStyle name="常规 4 12 4 4 2 2 4" xfId="5757"/>
    <cellStyle name="常规 4 12 4 4 2 3" xfId="7888"/>
    <cellStyle name="常规 4 12 4 4 2 3 2" xfId="7892"/>
    <cellStyle name="常规 4 12 4 4 2 4" xfId="7893"/>
    <cellStyle name="常规 4 12 4 4 2 5" xfId="7895"/>
    <cellStyle name="常规 4 12 4 4 3" xfId="7896"/>
    <cellStyle name="常规 4 12 4 4 3 2" xfId="7897"/>
    <cellStyle name="常规 4 12 4 4 3 2 2" xfId="7901"/>
    <cellStyle name="常规 4 12 4 4 3 3" xfId="7902"/>
    <cellStyle name="常规 4 12 4 4 3 4" xfId="7903"/>
    <cellStyle name="常规 4 12 4 4 4" xfId="7905"/>
    <cellStyle name="常规 4 12 4 4 4 2" xfId="7907"/>
    <cellStyle name="常规 4 12 4 4 5" xfId="7909"/>
    <cellStyle name="常规 4 12 4 4 6" xfId="7911"/>
    <cellStyle name="常规 4 12 4 5" xfId="7913"/>
    <cellStyle name="常规 4 12 4 5 2" xfId="7914"/>
    <cellStyle name="常规 4 12 4 5 2 2" xfId="7915"/>
    <cellStyle name="常规 4 12 4 5 2 2 2" xfId="7919"/>
    <cellStyle name="常规 4 12 4 5 2 3" xfId="7921"/>
    <cellStyle name="常规 4 12 4 5 2 4" xfId="7923"/>
    <cellStyle name="常规 4 12 4 5 3" xfId="7924"/>
    <cellStyle name="常规 4 12 4 5 3 2" xfId="7925"/>
    <cellStyle name="常规 4 12 4 5 4" xfId="7928"/>
    <cellStyle name="常规 4 12 4 5 5" xfId="7931"/>
    <cellStyle name="常规 4 12 4 6" xfId="7932"/>
    <cellStyle name="常规 4 12 4 6 2" xfId="7933"/>
    <cellStyle name="常规 4 12 4 6 2 2" xfId="7934"/>
    <cellStyle name="常规 4 12 4 6 3" xfId="7935"/>
    <cellStyle name="常规 4 12 4 6 4" xfId="4043"/>
    <cellStyle name="常规 4 12 4 7" xfId="7936"/>
    <cellStyle name="常规 4 12 4 7 2" xfId="7937"/>
    <cellStyle name="常规 4 12 4 8" xfId="7938"/>
    <cellStyle name="常规 4 12 4 9" xfId="7940"/>
    <cellStyle name="常规 4 12 5" xfId="7941"/>
    <cellStyle name="常规 4 12 5 2" xfId="7943"/>
    <cellStyle name="常规 4 12 5 2 2" xfId="7945"/>
    <cellStyle name="常规 4 12 5 2 2 2" xfId="7946"/>
    <cellStyle name="常规 4 12 5 2 2 2 2" xfId="7947"/>
    <cellStyle name="常规 4 12 5 2 2 2 2 2" xfId="7951"/>
    <cellStyle name="常规 4 12 5 2 2 2 2 2 2" xfId="7952"/>
    <cellStyle name="常规 4 12 5 2 2 2 2 3" xfId="7953"/>
    <cellStyle name="常规 4 12 5 2 2 2 2 4" xfId="7954"/>
    <cellStyle name="常规 4 12 5 2 2 2 3" xfId="7955"/>
    <cellStyle name="常规 4 12 5 2 2 2 3 2" xfId="7956"/>
    <cellStyle name="常规 4 12 5 2 2 2 4" xfId="7960"/>
    <cellStyle name="常规 4 12 5 2 2 2 5" xfId="7963"/>
    <cellStyle name="常规 4 12 5 2 2 3" xfId="7964"/>
    <cellStyle name="常规 4 12 5 2 2 3 2" xfId="7965"/>
    <cellStyle name="常规 4 12 5 2 2 3 2 2" xfId="7966"/>
    <cellStyle name="常规 4 12 5 2 2 3 3" xfId="7967"/>
    <cellStyle name="常规 4 12 5 2 2 3 4" xfId="7971"/>
    <cellStyle name="常规 4 12 5 2 2 4" xfId="7972"/>
    <cellStyle name="常规 4 12 5 2 2 4 2" xfId="7973"/>
    <cellStyle name="常规 4 12 5 2 2 5" xfId="7974"/>
    <cellStyle name="常规 4 12 5 2 2 6" xfId="7975"/>
    <cellStyle name="常规 4 12 5 2 3" xfId="7976"/>
    <cellStyle name="常规 4 12 5 2 3 2" xfId="7978"/>
    <cellStyle name="常规 4 12 5 2 3 2 2" xfId="7979"/>
    <cellStyle name="常规 4 12 5 2 3 2 2 2" xfId="7980"/>
    <cellStyle name="常规 4 12 5 2 3 2 3" xfId="7981"/>
    <cellStyle name="常规 4 12 5 2 3 2 4" xfId="7984"/>
    <cellStyle name="常规 4 12 5 2 3 3" xfId="7985"/>
    <cellStyle name="常规 4 12 5 2 3 3 2" xfId="7986"/>
    <cellStyle name="常规 4 12 5 2 3 4" xfId="7987"/>
    <cellStyle name="常规 4 12 5 2 3 5" xfId="7988"/>
    <cellStyle name="常规 4 12 5 2 4" xfId="7989"/>
    <cellStyle name="常规 4 12 5 2 4 2" xfId="7990"/>
    <cellStyle name="常规 4 12 5 2 4 2 2" xfId="7992"/>
    <cellStyle name="常规 4 12 5 2 4 3" xfId="7993"/>
    <cellStyle name="常规 4 12 5 2 4 4" xfId="7994"/>
    <cellStyle name="常规 4 12 5 2 5" xfId="7995"/>
    <cellStyle name="常规 4 12 5 2 5 2" xfId="7996"/>
    <cellStyle name="常规 4 12 5 2 6" xfId="7997"/>
    <cellStyle name="常规 4 12 5 2 7" xfId="7998"/>
    <cellStyle name="常规 4 12 5 3" xfId="197"/>
    <cellStyle name="常规 4 12 5 3 2" xfId="8000"/>
    <cellStyle name="常规 4 12 5 3 2 2" xfId="8001"/>
    <cellStyle name="常规 4 12 5 3 2 2 2" xfId="8004"/>
    <cellStyle name="常规 4 12 5 3 2 2 2 2" xfId="8006"/>
    <cellStyle name="常规 4 12 5 3 2 2 3" xfId="8009"/>
    <cellStyle name="常规 4 12 5 3 2 2 4" xfId="5890"/>
    <cellStyle name="常规 4 12 5 3 2 3" xfId="8010"/>
    <cellStyle name="常规 4 12 5 3 2 3 2" xfId="8013"/>
    <cellStyle name="常规 4 12 5 3 2 4" xfId="8016"/>
    <cellStyle name="常规 4 12 5 3 2 5" xfId="8019"/>
    <cellStyle name="常规 4 12 5 3 3" xfId="8020"/>
    <cellStyle name="常规 4 12 5 3 3 2" xfId="8021"/>
    <cellStyle name="常规 4 12 5 3 3 2 2" xfId="8024"/>
    <cellStyle name="常规 4 12 5 3 3 3" xfId="8025"/>
    <cellStyle name="常规 4 12 5 3 3 4" xfId="8028"/>
    <cellStyle name="常规 4 12 5 3 4" xfId="8030"/>
    <cellStyle name="常规 4 12 5 3 4 2" xfId="8032"/>
    <cellStyle name="常规 4 12 5 3 5" xfId="8034"/>
    <cellStyle name="常规 4 12 5 3 6" xfId="8036"/>
    <cellStyle name="常规 4 12 5 4" xfId="8038"/>
    <cellStyle name="常规 4 12 5 4 2" xfId="8039"/>
    <cellStyle name="常规 4 12 5 4 2 2" xfId="8040"/>
    <cellStyle name="常规 4 12 5 4 2 2 2" xfId="8044"/>
    <cellStyle name="常规 4 12 5 4 2 3" xfId="8045"/>
    <cellStyle name="常规 4 12 5 4 2 4" xfId="8048"/>
    <cellStyle name="常规 4 12 5 4 3" xfId="8049"/>
    <cellStyle name="常规 4 12 5 4 3 2" xfId="8050"/>
    <cellStyle name="常规 4 12 5 4 4" xfId="8052"/>
    <cellStyle name="常规 4 12 5 4 5" xfId="8054"/>
    <cellStyle name="常规 4 12 5 5" xfId="8056"/>
    <cellStyle name="常规 4 12 5 5 2" xfId="8058"/>
    <cellStyle name="常规 4 12 5 5 2 2" xfId="8060"/>
    <cellStyle name="常规 4 12 5 5 3" xfId="8062"/>
    <cellStyle name="常规 4 12 5 5 4" xfId="8066"/>
    <cellStyle name="常规 4 12 5 6" xfId="8067"/>
    <cellStyle name="常规 4 12 5 6 2" xfId="8069"/>
    <cellStyle name="常规 4 12 5 7" xfId="8071"/>
    <cellStyle name="常规 4 12 5 8" xfId="8072"/>
    <cellStyle name="常规 4 12 6" xfId="8073"/>
    <cellStyle name="常规 4 12 6 2" xfId="8074"/>
    <cellStyle name="常规 4 12 6 2 2" xfId="1094"/>
    <cellStyle name="常规 4 12 6 2 2 2" xfId="8076"/>
    <cellStyle name="常规 4 12 6 2 2 2 2" xfId="8077"/>
    <cellStyle name="常规 4 12 6 2 2 2 2 2" xfId="8078"/>
    <cellStyle name="常规 4 12 6 2 2 2 3" xfId="8080"/>
    <cellStyle name="常规 4 12 6 2 2 2 4" xfId="8082"/>
    <cellStyle name="常规 4 12 6 2 2 3" xfId="8084"/>
    <cellStyle name="常规 4 12 6 2 2 3 2" xfId="8085"/>
    <cellStyle name="常规 4 12 6 2 2 4" xfId="8086"/>
    <cellStyle name="常规 4 12 6 2 2 5" xfId="8087"/>
    <cellStyle name="常规 4 12 6 2 3" xfId="8090"/>
    <cellStyle name="常规 4 12 6 2 3 2" xfId="8094"/>
    <cellStyle name="常规 4 12 6 2 3 2 2" xfId="8095"/>
    <cellStyle name="常规 4 12 6 2 3 3" xfId="8097"/>
    <cellStyle name="常规 4 12 6 2 3 4" xfId="8098"/>
    <cellStyle name="常规 4 12 6 2 4" xfId="8101"/>
    <cellStyle name="常规 4 12 6 2 4 2" xfId="8102"/>
    <cellStyle name="常规 4 12 6 2 5" xfId="8105"/>
    <cellStyle name="常规 4 12 6 2 6" xfId="8106"/>
    <cellStyle name="常规 4 12 6 3" xfId="8108"/>
    <cellStyle name="常规 4 12 6 3 2" xfId="8110"/>
    <cellStyle name="常规 4 12 6 3 2 2" xfId="8112"/>
    <cellStyle name="常规 4 12 6 3 2 2 2" xfId="8116"/>
    <cellStyle name="常规 4 12 6 3 2 3" xfId="8118"/>
    <cellStyle name="常规 4 12 6 3 2 4" xfId="8122"/>
    <cellStyle name="常规 4 12 6 3 3" xfId="8125"/>
    <cellStyle name="常规 4 12 6 3 3 2" xfId="8127"/>
    <cellStyle name="常规 4 12 6 3 4" xfId="8130"/>
    <cellStyle name="常规 4 12 6 3 5" xfId="8132"/>
    <cellStyle name="常规 4 12 6 4" xfId="8134"/>
    <cellStyle name="常规 4 12 6 4 2" xfId="8136"/>
    <cellStyle name="常规 4 12 6 4 2 2" xfId="8139"/>
    <cellStyle name="常规 4 12 6 4 3" xfId="8142"/>
    <cellStyle name="常规 4 12 6 4 4" xfId="8145"/>
    <cellStyle name="常规 4 12 6 5" xfId="8147"/>
    <cellStyle name="常规 4 12 6 5 2" xfId="8149"/>
    <cellStyle name="常规 4 12 6 6" xfId="8151"/>
    <cellStyle name="常规 4 12 6 7" xfId="8153"/>
    <cellStyle name="常规 4 12 7" xfId="8156"/>
    <cellStyle name="常规 4 12 7 2" xfId="8159"/>
    <cellStyle name="常规 4 12 7 2 2" xfId="8161"/>
    <cellStyle name="常规 4 12 7 2 2 2" xfId="8163"/>
    <cellStyle name="常规 4 12 7 2 2 2 2" xfId="8167"/>
    <cellStyle name="常规 4 12 7 2 2 3" xfId="8169"/>
    <cellStyle name="常规 4 12 7 2 2 4" xfId="8173"/>
    <cellStyle name="常规 4 12 7 2 3" xfId="8176"/>
    <cellStyle name="常规 4 12 7 2 3 2" xfId="8178"/>
    <cellStyle name="常规 4 12 7 2 4" xfId="8180"/>
    <cellStyle name="常规 4 12 7 2 5" xfId="8182"/>
    <cellStyle name="常规 4 12 7 3" xfId="8184"/>
    <cellStyle name="常规 4 12 7 3 2" xfId="8187"/>
    <cellStyle name="常规 4 12 7 3 2 2" xfId="8190"/>
    <cellStyle name="常规 4 12 7 3 3" xfId="8192"/>
    <cellStyle name="常规 4 12 7 3 4" xfId="8195"/>
    <cellStyle name="常规 4 12 7 4" xfId="8196"/>
    <cellStyle name="常规 4 12 7 4 2" xfId="8198"/>
    <cellStyle name="常规 4 12 7 5" xfId="8201"/>
    <cellStyle name="常规 4 12 7 6" xfId="678"/>
    <cellStyle name="常规 4 12 8" xfId="8203"/>
    <cellStyle name="常规 4 12 8 2" xfId="8205"/>
    <cellStyle name="常规 4 12 8 2 2" xfId="8206"/>
    <cellStyle name="常规 4 12 8 2 2 2" xfId="8208"/>
    <cellStyle name="常规 4 12 8 2 3" xfId="8209"/>
    <cellStyle name="常规 4 12 8 2 4" xfId="8210"/>
    <cellStyle name="常规 4 12 8 3" xfId="8211"/>
    <cellStyle name="常规 4 12 8 3 2" xfId="8212"/>
    <cellStyle name="常规 4 12 8 4" xfId="8213"/>
    <cellStyle name="常规 4 12 8 5" xfId="8215"/>
    <cellStyle name="常规 4 12 9" xfId="8217"/>
    <cellStyle name="常规 4 12 9 2" xfId="8218"/>
    <cellStyle name="常规 4 12 9 2 2" xfId="8219"/>
    <cellStyle name="常规 4 12 9 3" xfId="8220"/>
    <cellStyle name="常规 4 12 9 4" xfId="8221"/>
    <cellStyle name="常规 4 13" xfId="8223"/>
    <cellStyle name="常规 4 13 10" xfId="8225"/>
    <cellStyle name="常规 4 13 11" xfId="8227"/>
    <cellStyle name="常规 4 13 2" xfId="8228"/>
    <cellStyle name="常规 4 13 2 2" xfId="8230"/>
    <cellStyle name="常规 4 13 2 2 2" xfId="8232"/>
    <cellStyle name="常规 4 13 2 2 2 2" xfId="4235"/>
    <cellStyle name="常规 4 13 2 2 2 2 2" xfId="8233"/>
    <cellStyle name="常规 4 13 2 2 2 2 2 2" xfId="128"/>
    <cellStyle name="常规 4 13 2 2 2 2 2 2 2" xfId="2144"/>
    <cellStyle name="常规 4 13 2 2 2 2 2 2 2 2" xfId="8235"/>
    <cellStyle name="常规 4 13 2 2 2 2 2 2 3" xfId="8238"/>
    <cellStyle name="常规 4 13 2 2 2 2 2 2 4" xfId="8239"/>
    <cellStyle name="常规 4 13 2 2 2 2 2 3" xfId="132"/>
    <cellStyle name="常规 4 13 2 2 2 2 2 3 2" xfId="8242"/>
    <cellStyle name="常规 4 13 2 2 2 2 2 4" xfId="3118"/>
    <cellStyle name="常规 4 13 2 2 2 2 2 5" xfId="8243"/>
    <cellStyle name="常规 4 13 2 2 2 2 3" xfId="1421"/>
    <cellStyle name="常规 4 13 2 2 2 2 3 2" xfId="3642"/>
    <cellStyle name="常规 4 13 2 2 2 2 3 2 2" xfId="256"/>
    <cellStyle name="常规 4 13 2 2 2 2 3 3" xfId="3647"/>
    <cellStyle name="常规 4 13 2 2 2 2 3 4" xfId="7165"/>
    <cellStyle name="常规 4 13 2 2 2 2 4" xfId="1458"/>
    <cellStyle name="常规 4 13 2 2 2 2 4 2" xfId="3656"/>
    <cellStyle name="常规 4 13 2 2 2 2 5" xfId="3662"/>
    <cellStyle name="常规 4 13 2 2 2 2 6" xfId="3676"/>
    <cellStyle name="常规 4 13 2 2 2 3" xfId="8244"/>
    <cellStyle name="常规 4 13 2 2 2 3 2" xfId="8245"/>
    <cellStyle name="常规 4 13 2 2 2 3 2 2" xfId="1483"/>
    <cellStyle name="常规 4 13 2 2 2 3 2 2 2" xfId="8249"/>
    <cellStyle name="常规 4 13 2 2 2 3 2 3" xfId="1487"/>
    <cellStyle name="常规 4 13 2 2 2 3 2 4" xfId="8251"/>
    <cellStyle name="常规 4 13 2 2 2 3 3" xfId="1499"/>
    <cellStyle name="常规 4 13 2 2 2 3 3 2" xfId="3688"/>
    <cellStyle name="常规 4 13 2 2 2 3 4" xfId="947"/>
    <cellStyle name="常规 4 13 2 2 2 3 5" xfId="3709"/>
    <cellStyle name="常规 4 13 2 2 2 4" xfId="8252"/>
    <cellStyle name="常规 4 13 2 2 2 4 2" xfId="8253"/>
    <cellStyle name="常规 4 13 2 2 2 4 2 2" xfId="3404"/>
    <cellStyle name="常规 4 13 2 2 2 4 3" xfId="3730"/>
    <cellStyle name="常规 4 13 2 2 2 4 4" xfId="8255"/>
    <cellStyle name="常规 4 13 2 2 2 5" xfId="8256"/>
    <cellStyle name="常规 4 13 2 2 2 5 2" xfId="8257"/>
    <cellStyle name="常规 4 13 2 2 2 6" xfId="8259"/>
    <cellStyle name="常规 4 13 2 2 2 7" xfId="8262"/>
    <cellStyle name="常规 4 13 2 2 3" xfId="8263"/>
    <cellStyle name="常规 4 13 2 2 3 2" xfId="8266"/>
    <cellStyle name="常规 4 13 2 2 3 2 2" xfId="8268"/>
    <cellStyle name="常规 4 13 2 2 3 2 2 2" xfId="461"/>
    <cellStyle name="常规 4 13 2 2 3 2 2 2 2" xfId="8273"/>
    <cellStyle name="常规 4 13 2 2 3 2 2 3" xfId="515"/>
    <cellStyle name="常规 4 13 2 2 3 2 2 4" xfId="8278"/>
    <cellStyle name="常规 4 13 2 2 3 2 3" xfId="9"/>
    <cellStyle name="常规 4 13 2 2 3 2 3 2" xfId="531"/>
    <cellStyle name="常规 4 13 2 2 3 2 4" xfId="308"/>
    <cellStyle name="常规 4 13 2 2 3 2 5" xfId="267"/>
    <cellStyle name="常规 4 13 2 2 3 3" xfId="8281"/>
    <cellStyle name="常规 4 13 2 2 3 3 2" xfId="8283"/>
    <cellStyle name="常规 4 13 2 2 3 3 2 2" xfId="4135"/>
    <cellStyle name="常规 4 13 2 2 3 3 3" xfId="3928"/>
    <cellStyle name="常规 4 13 2 2 3 3 4" xfId="8286"/>
    <cellStyle name="常规 4 13 2 2 3 4" xfId="8288"/>
    <cellStyle name="常规 4 13 2 2 3 4 2" xfId="8290"/>
    <cellStyle name="常规 4 13 2 2 3 5" xfId="8293"/>
    <cellStyle name="常规 4 13 2 2 3 6" xfId="8295"/>
    <cellStyle name="常规 4 13 2 2 4" xfId="8296"/>
    <cellStyle name="常规 4 13 2 2 4 2" xfId="8298"/>
    <cellStyle name="常规 4 13 2 2 4 2 2" xfId="8300"/>
    <cellStyle name="常规 4 13 2 2 4 2 2 2" xfId="8303"/>
    <cellStyle name="常规 4 13 2 2 4 2 3" xfId="7172"/>
    <cellStyle name="常规 4 13 2 2 4 2 4" xfId="8305"/>
    <cellStyle name="常规 4 13 2 2 4 3" xfId="8307"/>
    <cellStyle name="常规 4 13 2 2 4 3 2" xfId="8309"/>
    <cellStyle name="常规 4 13 2 2 4 4" xfId="4115"/>
    <cellStyle name="常规 4 13 2 2 4 5" xfId="4225"/>
    <cellStyle name="常规 4 13 2 2 5" xfId="8311"/>
    <cellStyle name="常规 4 13 2 2 5 2" xfId="8314"/>
    <cellStyle name="常规 4 13 2 2 5 2 2" xfId="8317"/>
    <cellStyle name="常规 4 13 2 2 5 3" xfId="8321"/>
    <cellStyle name="常规 4 13 2 2 5 4" xfId="4263"/>
    <cellStyle name="常规 4 13 2 2 6" xfId="8324"/>
    <cellStyle name="常规 4 13 2 2 6 2" xfId="8328"/>
    <cellStyle name="常规 4 13 2 2 7" xfId="8331"/>
    <cellStyle name="常规 4 13 2 2 8" xfId="8334"/>
    <cellStyle name="常规 4 13 2 3" xfId="8336"/>
    <cellStyle name="常规 4 13 2 3 2" xfId="8337"/>
    <cellStyle name="常规 4 13 2 3 2 2" xfId="8338"/>
    <cellStyle name="常规 4 13 2 3 2 2 2" xfId="8341"/>
    <cellStyle name="常规 4 13 2 3 2 2 2 2" xfId="7303"/>
    <cellStyle name="常规 4 13 2 3 2 2 2 2 2" xfId="8345"/>
    <cellStyle name="常规 4 13 2 3 2 2 2 3" xfId="2115"/>
    <cellStyle name="常规 4 13 2 3 2 2 2 4" xfId="8348"/>
    <cellStyle name="常规 4 13 2 3 2 2 3" xfId="7204"/>
    <cellStyle name="常规 4 13 2 3 2 2 3 2" xfId="7207"/>
    <cellStyle name="常规 4 13 2 3 2 2 4" xfId="6193"/>
    <cellStyle name="常规 4 13 2 3 2 2 5" xfId="232"/>
    <cellStyle name="常规 4 13 2 3 2 3" xfId="8349"/>
    <cellStyle name="常规 4 13 2 3 2 3 2" xfId="8352"/>
    <cellStyle name="常规 4 13 2 3 2 3 2 2" xfId="7362"/>
    <cellStyle name="常规 4 13 2 3 2 3 3" xfId="6869"/>
    <cellStyle name="常规 4 13 2 3 2 3 4" xfId="6216"/>
    <cellStyle name="常规 4 13 2 3 2 4" xfId="8353"/>
    <cellStyle name="常规 4 13 2 3 2 4 2" xfId="8356"/>
    <cellStyle name="常规 4 13 2 3 2 5" xfId="7218"/>
    <cellStyle name="常规 4 13 2 3 2 6" xfId="7225"/>
    <cellStyle name="常规 4 13 2 3 3" xfId="8357"/>
    <cellStyle name="常规 4 13 2 3 3 2" xfId="8359"/>
    <cellStyle name="常规 4 13 2 3 3 2 2" xfId="8363"/>
    <cellStyle name="常规 4 13 2 3 3 2 2 2" xfId="8366"/>
    <cellStyle name="常规 4 13 2 3 3 2 3" xfId="1148"/>
    <cellStyle name="常规 4 13 2 3 3 2 4" xfId="1157"/>
    <cellStyle name="常规 4 13 2 3 3 3" xfId="8368"/>
    <cellStyle name="常规 4 13 2 3 3 3 2" xfId="8370"/>
    <cellStyle name="常规 4 13 2 3 3 4" xfId="8372"/>
    <cellStyle name="常规 4 13 2 3 3 5" xfId="628"/>
    <cellStyle name="常规 4 13 2 3 4" xfId="8374"/>
    <cellStyle name="常规 4 13 2 3 4 2" xfId="8377"/>
    <cellStyle name="常规 4 13 2 3 4 2 2" xfId="8380"/>
    <cellStyle name="常规 4 13 2 3 4 3" xfId="8383"/>
    <cellStyle name="常规 4 13 2 3 4 4" xfId="4350"/>
    <cellStyle name="常规 4 13 2 3 5" xfId="8386"/>
    <cellStyle name="常规 4 13 2 3 5 2" xfId="8390"/>
    <cellStyle name="常规 4 13 2 3 6" xfId="8394"/>
    <cellStyle name="常规 4 13 2 3 7" xfId="8399"/>
    <cellStyle name="常规 4 13 2 4" xfId="8400"/>
    <cellStyle name="常规 4 13 2 4 2" xfId="8401"/>
    <cellStyle name="常规 4 13 2 4 2 2" xfId="4400"/>
    <cellStyle name="常规 4 13 2 4 2 2 2" xfId="4409"/>
    <cellStyle name="常规 4 13 2 4 2 2 2 2" xfId="4419"/>
    <cellStyle name="常规 4 13 2 4 2 2 3" xfId="4436"/>
    <cellStyle name="常规 4 13 2 4 2 2 4" xfId="422"/>
    <cellStyle name="常规 4 13 2 4 2 3" xfId="4449"/>
    <cellStyle name="常规 4 13 2 4 2 3 2" xfId="1182"/>
    <cellStyle name="常规 4 13 2 4 2 4" xfId="4408"/>
    <cellStyle name="常规 4 13 2 4 2 5" xfId="4435"/>
    <cellStyle name="常规 4 13 2 4 3" xfId="8403"/>
    <cellStyle name="常规 4 13 2 4 3 2" xfId="124"/>
    <cellStyle name="常规 4 13 2 4 3 2 2" xfId="148"/>
    <cellStyle name="常规 4 13 2 4 3 3" xfId="1175"/>
    <cellStyle name="常规 4 13 2 4 3 4" xfId="1184"/>
    <cellStyle name="常规 4 13 2 4 4" xfId="8406"/>
    <cellStyle name="常规 4 13 2 4 4 2" xfId="2794"/>
    <cellStyle name="常规 4 13 2 4 5" xfId="8410"/>
    <cellStyle name="常规 4 13 2 4 6" xfId="8414"/>
    <cellStyle name="常规 4 13 2 5" xfId="8415"/>
    <cellStyle name="常规 4 13 2 5 2" xfId="8416"/>
    <cellStyle name="常规 4 13 2 5 2 2" xfId="4758"/>
    <cellStyle name="常规 4 13 2 5 2 2 2" xfId="4764"/>
    <cellStyle name="常规 4 13 2 5 2 3" xfId="4804"/>
    <cellStyle name="常规 4 13 2 5 2 4" xfId="147"/>
    <cellStyle name="常规 4 13 2 5 3" xfId="8418"/>
    <cellStyle name="常规 4 13 2 5 3 2" xfId="1200"/>
    <cellStyle name="常规 4 13 2 5 4" xfId="8420"/>
    <cellStyle name="常规 4 13 2 5 5" xfId="8423"/>
    <cellStyle name="常规 4 13 2 6" xfId="8424"/>
    <cellStyle name="常规 4 13 2 6 2" xfId="8425"/>
    <cellStyle name="常规 4 13 2 6 2 2" xfId="1070"/>
    <cellStyle name="常规 4 13 2 6 3" xfId="8426"/>
    <cellStyle name="常规 4 13 2 6 4" xfId="8430"/>
    <cellStyle name="常规 4 13 2 7" xfId="8431"/>
    <cellStyle name="常规 4 13 2 7 2" xfId="8433"/>
    <cellStyle name="常规 4 13 2 8" xfId="8434"/>
    <cellStyle name="常规 4 13 2 9" xfId="8436"/>
    <cellStyle name="常规 4 13 3" xfId="8437"/>
    <cellStyle name="常规 4 13 3 2" xfId="8440"/>
    <cellStyle name="常规 4 13 3 2 2" xfId="8441"/>
    <cellStyle name="常规 4 13 3 2 2 2" xfId="8442"/>
    <cellStyle name="常规 4 13 3 2 2 2 2" xfId="8443"/>
    <cellStyle name="常规 4 13 3 2 2 2 2 2" xfId="8445"/>
    <cellStyle name="常规 4 13 3 2 2 2 2 2 2" xfId="8448"/>
    <cellStyle name="常规 4 13 3 2 2 2 2 2 2 2" xfId="8449"/>
    <cellStyle name="常规 4 13 3 2 2 2 2 2 3" xfId="8450"/>
    <cellStyle name="常规 4 13 3 2 2 2 2 2 4" xfId="8451"/>
    <cellStyle name="常规 4 13 3 2 2 2 2 3" xfId="8453"/>
    <cellStyle name="常规 4 13 3 2 2 2 2 3 2" xfId="8456"/>
    <cellStyle name="常规 4 13 3 2 2 2 2 4" xfId="1314"/>
    <cellStyle name="常规 4 13 3 2 2 2 2 5" xfId="8458"/>
    <cellStyle name="常规 4 13 3 2 2 2 3" xfId="8111"/>
    <cellStyle name="常规 4 13 3 2 2 2 3 2" xfId="8114"/>
    <cellStyle name="常规 4 13 3 2 2 2 3 2 2" xfId="8460"/>
    <cellStyle name="常规 4 13 3 2 2 2 3 3" xfId="8461"/>
    <cellStyle name="常规 4 13 3 2 2 2 3 4" xfId="8463"/>
    <cellStyle name="常规 4 13 3 2 2 2 4" xfId="8117"/>
    <cellStyle name="常规 4 13 3 2 2 2 4 2" xfId="8464"/>
    <cellStyle name="常规 4 13 3 2 2 2 5" xfId="8121"/>
    <cellStyle name="常规 4 13 3 2 2 2 6" xfId="8465"/>
    <cellStyle name="常规 4 13 3 2 2 3" xfId="8466"/>
    <cellStyle name="常规 4 13 3 2 2 3 2" xfId="8467"/>
    <cellStyle name="常规 4 13 3 2 2 3 2 2" xfId="8469"/>
    <cellStyle name="常规 4 13 3 2 2 3 2 2 2" xfId="8471"/>
    <cellStyle name="常规 4 13 3 2 2 3 2 3" xfId="8472"/>
    <cellStyle name="常规 4 13 3 2 2 3 2 4" xfId="8475"/>
    <cellStyle name="常规 4 13 3 2 2 3 3" xfId="8126"/>
    <cellStyle name="常规 4 13 3 2 2 3 3 2" xfId="8476"/>
    <cellStyle name="常规 4 13 3 2 2 3 4" xfId="8477"/>
    <cellStyle name="常规 4 13 3 2 2 3 5" xfId="8478"/>
    <cellStyle name="常规 4 13 3 2 2 4" xfId="8479"/>
    <cellStyle name="常规 4 13 3 2 2 4 2" xfId="8480"/>
    <cellStyle name="常规 4 13 3 2 2 4 2 2" xfId="8481"/>
    <cellStyle name="常规 4 13 3 2 2 4 3" xfId="8483"/>
    <cellStyle name="常规 4 13 3 2 2 4 4" xfId="8484"/>
    <cellStyle name="常规 4 13 3 2 2 5" xfId="8485"/>
    <cellStyle name="常规 4 13 3 2 2 5 2" xfId="8486"/>
    <cellStyle name="常规 4 13 3 2 2 6" xfId="8487"/>
    <cellStyle name="常规 4 13 3 2 2 7" xfId="8491"/>
    <cellStyle name="常规 4 13 3 2 3" xfId="8492"/>
    <cellStyle name="常规 4 13 3 2 3 2" xfId="8495"/>
    <cellStyle name="常规 4 13 3 2 3 2 2" xfId="8497"/>
    <cellStyle name="常规 4 13 3 2 3 2 2 2" xfId="8501"/>
    <cellStyle name="常规 4 13 3 2 3 2 2 2 2" xfId="8504"/>
    <cellStyle name="常规 4 13 3 2 3 2 2 3" xfId="8510"/>
    <cellStyle name="常规 4 13 3 2 3 2 2 4" xfId="8516"/>
    <cellStyle name="常规 4 13 3 2 3 2 3" xfId="8138"/>
    <cellStyle name="常规 4 13 3 2 3 2 3 2" xfId="8518"/>
    <cellStyle name="常规 4 13 3 2 3 2 4" xfId="8522"/>
    <cellStyle name="常规 4 13 3 2 3 2 5" xfId="8524"/>
    <cellStyle name="常规 4 13 3 2 3 3" xfId="8526"/>
    <cellStyle name="常规 4 13 3 2 3 3 2" xfId="8528"/>
    <cellStyle name="常规 4 13 3 2 3 3 2 2" xfId="8530"/>
    <cellStyle name="常规 4 13 3 2 3 3 3" xfId="8534"/>
    <cellStyle name="常规 4 13 3 2 3 3 4" xfId="8536"/>
    <cellStyle name="常规 4 13 3 2 3 4" xfId="8538"/>
    <cellStyle name="常规 4 13 3 2 3 4 2" xfId="8540"/>
    <cellStyle name="常规 4 13 3 2 3 5" xfId="8542"/>
    <cellStyle name="常规 4 13 3 2 3 6" xfId="8544"/>
    <cellStyle name="常规 4 13 3 2 4" xfId="8546"/>
    <cellStyle name="常规 4 13 3 2 4 2" xfId="8548"/>
    <cellStyle name="常规 4 13 3 2 4 2 2" xfId="8551"/>
    <cellStyle name="常规 4 13 3 2 4 2 2 2" xfId="8553"/>
    <cellStyle name="常规 4 13 3 2 4 2 3" xfId="8563"/>
    <cellStyle name="常规 4 13 3 2 4 2 4" xfId="8566"/>
    <cellStyle name="常规 4 13 3 2 4 3" xfId="8568"/>
    <cellStyle name="常规 4 13 3 2 4 3 2" xfId="8571"/>
    <cellStyle name="常规 4 13 3 2 4 4" xfId="4463"/>
    <cellStyle name="常规 4 13 3 2 4 5" xfId="4471"/>
    <cellStyle name="常规 4 13 3 2 5" xfId="8573"/>
    <cellStyle name="常规 4 13 3 2 5 2" xfId="8576"/>
    <cellStyle name="常规 4 13 3 2 5 2 2" xfId="8580"/>
    <cellStyle name="常规 4 13 3 2 5 3" xfId="8583"/>
    <cellStyle name="常规 4 13 3 2 5 4" xfId="168"/>
    <cellStyle name="常规 4 13 3 2 6" xfId="8586"/>
    <cellStyle name="常规 4 13 3 2 6 2" xfId="8591"/>
    <cellStyle name="常规 4 13 3 2 7" xfId="8594"/>
    <cellStyle name="常规 4 13 3 2 8" xfId="8598"/>
    <cellStyle name="常规 4 13 3 3" xfId="8603"/>
    <cellStyle name="常规 4 13 3 3 2" xfId="8605"/>
    <cellStyle name="常规 4 13 3 3 2 2" xfId="8606"/>
    <cellStyle name="常规 4 13 3 3 2 2 2" xfId="8607"/>
    <cellStyle name="常规 4 13 3 3 2 2 2 2" xfId="8608"/>
    <cellStyle name="常规 4 13 3 3 2 2 2 2 2" xfId="8612"/>
    <cellStyle name="常规 4 13 3 3 2 2 2 3" xfId="8614"/>
    <cellStyle name="常规 4 13 3 3 2 2 2 4" xfId="8615"/>
    <cellStyle name="常规 4 13 3 3 2 2 3" xfId="8189"/>
    <cellStyle name="常规 4 13 3 3 2 2 3 2" xfId="8617"/>
    <cellStyle name="常规 4 13 3 3 2 2 4" xfId="6441"/>
    <cellStyle name="常规 4 13 3 3 2 2 5" xfId="8620"/>
    <cellStyle name="常规 4 13 3 3 2 3" xfId="8621"/>
    <cellStyle name="常规 4 13 3 3 2 3 2" xfId="8622"/>
    <cellStyle name="常规 4 13 3 3 2 3 2 2" xfId="8623"/>
    <cellStyle name="常规 4 13 3 3 2 3 3" xfId="8625"/>
    <cellStyle name="常规 4 13 3 3 2 3 4" xfId="8628"/>
    <cellStyle name="常规 4 13 3 3 2 4" xfId="8629"/>
    <cellStyle name="常规 4 13 3 3 2 4 2" xfId="8630"/>
    <cellStyle name="常规 4 13 3 3 2 5" xfId="7237"/>
    <cellStyle name="常规 4 13 3 3 2 6" xfId="8631"/>
    <cellStyle name="常规 4 13 3 3 3" xfId="8632"/>
    <cellStyle name="常规 4 13 3 3 3 2" xfId="8634"/>
    <cellStyle name="常规 4 13 3 3 3 2 2" xfId="8636"/>
    <cellStyle name="常规 4 13 3 3 3 2 2 2" xfId="7318"/>
    <cellStyle name="常规 4 13 3 3 3 2 3" xfId="8639"/>
    <cellStyle name="常规 4 13 3 3 3 2 4" xfId="8643"/>
    <cellStyle name="常规 4 13 3 3 3 3" xfId="8645"/>
    <cellStyle name="常规 4 13 3 3 3 3 2" xfId="8647"/>
    <cellStyle name="常规 4 13 3 3 3 4" xfId="8649"/>
    <cellStyle name="常规 4 13 3 3 3 5" xfId="8651"/>
    <cellStyle name="常规 4 13 3 3 4" xfId="2835"/>
    <cellStyle name="常规 4 13 3 3 4 2" xfId="8655"/>
    <cellStyle name="常规 4 13 3 3 4 2 2" xfId="8660"/>
    <cellStyle name="常规 4 13 3 3 4 3" xfId="8664"/>
    <cellStyle name="常规 4 13 3 3 4 4" xfId="4513"/>
    <cellStyle name="常规 4 13 3 3 5" xfId="8668"/>
    <cellStyle name="常规 4 13 3 3 5 2" xfId="8673"/>
    <cellStyle name="常规 4 13 3 3 6" xfId="8678"/>
    <cellStyle name="常规 4 13 3 3 7" xfId="8683"/>
    <cellStyle name="常规 4 13 3 4" xfId="8685"/>
    <cellStyle name="常规 4 13 3 4 2" xfId="8686"/>
    <cellStyle name="常规 4 13 3 4 2 2" xfId="5308"/>
    <cellStyle name="常规 4 13 3 4 2 2 2" xfId="5313"/>
    <cellStyle name="常规 4 13 3 4 2 2 2 2" xfId="5318"/>
    <cellStyle name="常规 4 13 3 4 2 2 3" xfId="5325"/>
    <cellStyle name="常规 4 13 3 4 2 2 4" xfId="5331"/>
    <cellStyle name="常规 4 13 3 4 2 3" xfId="5335"/>
    <cellStyle name="常规 4 13 3 4 2 3 2" xfId="5341"/>
    <cellStyle name="常规 4 13 3 4 2 4" xfId="4763"/>
    <cellStyle name="常规 4 13 3 4 2 5" xfId="4779"/>
    <cellStyle name="常规 4 13 3 4 3" xfId="8689"/>
    <cellStyle name="常规 4 13 3 4 3 2" xfId="5368"/>
    <cellStyle name="常规 4 13 3 4 3 2 2" xfId="5374"/>
    <cellStyle name="常规 4 13 3 4 3 3" xfId="5380"/>
    <cellStyle name="常规 4 13 3 4 3 4" xfId="4809"/>
    <cellStyle name="常规 4 13 3 4 4" xfId="7267"/>
    <cellStyle name="常规 4 13 3 4 4 2" xfId="1897"/>
    <cellStyle name="常规 4 13 3 4 5" xfId="1986"/>
    <cellStyle name="常规 4 13 3 4 6" xfId="2019"/>
    <cellStyle name="常规 4 13 3 5" xfId="8691"/>
    <cellStyle name="常规 4 13 3 5 2" xfId="8692"/>
    <cellStyle name="常规 4 13 3 5 2 2" xfId="4907"/>
    <cellStyle name="常规 4 13 3 5 2 2 2" xfId="3166"/>
    <cellStyle name="常规 4 13 3 5 2 3" xfId="4913"/>
    <cellStyle name="常规 4 13 3 5 2 4" xfId="506"/>
    <cellStyle name="常规 4 13 3 5 3" xfId="8693"/>
    <cellStyle name="常规 4 13 3 5 3 2" xfId="5025"/>
    <cellStyle name="常规 4 13 3 5 4" xfId="7290"/>
    <cellStyle name="常规 4 13 3 5 5" xfId="2061"/>
    <cellStyle name="常规 4 13 3 6" xfId="8694"/>
    <cellStyle name="常规 4 13 3 6 2" xfId="8695"/>
    <cellStyle name="常规 4 13 3 6 2 2" xfId="5433"/>
    <cellStyle name="常规 4 13 3 6 3" xfId="8696"/>
    <cellStyle name="常规 4 13 3 6 4" xfId="7309"/>
    <cellStyle name="常规 4 13 3 7" xfId="8699"/>
    <cellStyle name="常规 4 13 3 7 2" xfId="8701"/>
    <cellStyle name="常规 4 13 3 8" xfId="8702"/>
    <cellStyle name="常规 4 13 3 9" xfId="8704"/>
    <cellStyle name="常规 4 13 4" xfId="8705"/>
    <cellStyle name="常规 4 13 4 2" xfId="8707"/>
    <cellStyle name="常规 4 13 4 2 2" xfId="8708"/>
    <cellStyle name="常规 4 13 4 2 2 2" xfId="8709"/>
    <cellStyle name="常规 4 13 4 2 2 2 2" xfId="8711"/>
    <cellStyle name="常规 4 13 4 2 2 2 2 2" xfId="8713"/>
    <cellStyle name="常规 4 13 4 2 2 2 2 2 2" xfId="8717"/>
    <cellStyle name="常规 4 13 4 2 2 2 2 3" xfId="8719"/>
    <cellStyle name="常规 4 13 4 2 2 2 2 4" xfId="8721"/>
    <cellStyle name="常规 4 13 4 2 2 2 3" xfId="8725"/>
    <cellStyle name="常规 4 13 4 2 2 2 3 2" xfId="8728"/>
    <cellStyle name="常规 4 13 4 2 2 2 4" xfId="8733"/>
    <cellStyle name="常规 4 13 4 2 2 2 5" xfId="8738"/>
    <cellStyle name="常规 4 13 4 2 2 3" xfId="8741"/>
    <cellStyle name="常规 4 13 4 2 2 3 2" xfId="8745"/>
    <cellStyle name="常规 4 13 4 2 2 3 2 2" xfId="8747"/>
    <cellStyle name="常规 4 13 4 2 2 3 3" xfId="8750"/>
    <cellStyle name="常规 4 13 4 2 2 3 4" xfId="8754"/>
    <cellStyle name="常规 4 13 4 2 2 4" xfId="8757"/>
    <cellStyle name="常规 4 13 4 2 2 4 2" xfId="8759"/>
    <cellStyle name="常规 4 13 4 2 2 5" xfId="8762"/>
    <cellStyle name="常规 4 13 4 2 2 6" xfId="8763"/>
    <cellStyle name="常规 4 13 4 2 3" xfId="8764"/>
    <cellStyle name="常规 4 13 4 2 3 2" xfId="8766"/>
    <cellStyle name="常规 4 13 4 2 3 2 2" xfId="5993"/>
    <cellStyle name="常规 4 13 4 2 3 2 2 2" xfId="1308"/>
    <cellStyle name="常规 4 13 4 2 3 2 3" xfId="6001"/>
    <cellStyle name="常规 4 13 4 2 3 2 4" xfId="6007"/>
    <cellStyle name="常规 4 13 4 2 3 3" xfId="8770"/>
    <cellStyle name="常规 4 13 4 2 3 3 2" xfId="6015"/>
    <cellStyle name="常规 4 13 4 2 3 4" xfId="8772"/>
    <cellStyle name="常规 4 13 4 2 3 5" xfId="8775"/>
    <cellStyle name="常规 4 13 4 2 4" xfId="8777"/>
    <cellStyle name="常规 4 13 4 2 4 2" xfId="8779"/>
    <cellStyle name="常规 4 13 4 2 4 2 2" xfId="6036"/>
    <cellStyle name="常规 4 13 4 2 4 3" xfId="8781"/>
    <cellStyle name="常规 4 13 4 2 4 4" xfId="4534"/>
    <cellStyle name="常规 4 13 4 2 5" xfId="8783"/>
    <cellStyle name="常规 4 13 4 2 5 2" xfId="8786"/>
    <cellStyle name="常规 4 13 4 2 6" xfId="8789"/>
    <cellStyle name="常规 4 13 4 2 7" xfId="8791"/>
    <cellStyle name="常规 4 13 4 3" xfId="8793"/>
    <cellStyle name="常规 4 13 4 3 2" xfId="8794"/>
    <cellStyle name="常规 4 13 4 3 2 2" xfId="8795"/>
    <cellStyle name="常规 4 13 4 3 2 2 2" xfId="8796"/>
    <cellStyle name="常规 4 13 4 3 2 2 2 2" xfId="1273"/>
    <cellStyle name="常规 4 13 4 3 2 2 3" xfId="8797"/>
    <cellStyle name="常规 4 13 4 3 2 2 4" xfId="8800"/>
    <cellStyle name="常规 4 13 4 3 2 3" xfId="8803"/>
    <cellStyle name="常规 4 13 4 3 2 3 2" xfId="8804"/>
    <cellStyle name="常规 4 13 4 3 2 4" xfId="8805"/>
    <cellStyle name="常规 4 13 4 3 2 5" xfId="8806"/>
    <cellStyle name="常规 4 13 4 3 3" xfId="8807"/>
    <cellStyle name="常规 4 13 4 3 3 2" xfId="8809"/>
    <cellStyle name="常规 4 13 4 3 3 2 2" xfId="6083"/>
    <cellStyle name="常规 4 13 4 3 3 3" xfId="8811"/>
    <cellStyle name="常规 4 13 4 3 3 4" xfId="8813"/>
    <cellStyle name="常规 4 13 4 3 4" xfId="8816"/>
    <cellStyle name="常规 4 13 4 3 4 2" xfId="8820"/>
    <cellStyle name="常规 4 13 4 3 5" xfId="8824"/>
    <cellStyle name="常规 4 13 4 3 6" xfId="8828"/>
    <cellStyle name="常规 4 13 4 4" xfId="8829"/>
    <cellStyle name="常规 4 13 4 4 2" xfId="8830"/>
    <cellStyle name="常规 4 13 4 4 2 2" xfId="5571"/>
    <cellStyle name="常规 4 13 4 4 2 2 2" xfId="5580"/>
    <cellStyle name="常规 4 13 4 4 2 3" xfId="5597"/>
    <cellStyle name="常规 4 13 4 4 2 4" xfId="4951"/>
    <cellStyle name="常规 4 13 4 4 3" xfId="8831"/>
    <cellStyle name="常规 4 13 4 4 3 2" xfId="5640"/>
    <cellStyle name="常规 4 13 4 4 4" xfId="7330"/>
    <cellStyle name="常规 4 13 4 4 5" xfId="2168"/>
    <cellStyle name="常规 4 13 4 5" xfId="8832"/>
    <cellStyle name="常规 4 13 4 5 2" xfId="8833"/>
    <cellStyle name="常规 4 13 4 5 2 2" xfId="5751"/>
    <cellStyle name="常规 4 13 4 5 3" xfId="8834"/>
    <cellStyle name="常规 4 13 4 5 4" xfId="7352"/>
    <cellStyle name="常规 4 13 4 6" xfId="8835"/>
    <cellStyle name="常规 4 13 4 6 2" xfId="8836"/>
    <cellStyle name="常规 4 13 4 7" xfId="8837"/>
    <cellStyle name="常规 4 13 4 8" xfId="8838"/>
    <cellStyle name="常规 4 13 5" xfId="8839"/>
    <cellStyle name="常规 4 13 5 2" xfId="8840"/>
    <cellStyle name="常规 4 13 5 2 2" xfId="8841"/>
    <cellStyle name="常规 4 13 5 2 2 2" xfId="8842"/>
    <cellStyle name="常规 4 13 5 2 2 2 2" xfId="8843"/>
    <cellStyle name="常规 4 13 5 2 2 2 2 2" xfId="8846"/>
    <cellStyle name="常规 4 13 5 2 2 2 3" xfId="8849"/>
    <cellStyle name="常规 4 13 5 2 2 2 4" xfId="8850"/>
    <cellStyle name="常规 4 13 5 2 2 3" xfId="8852"/>
    <cellStyle name="常规 4 13 5 2 2 3 2" xfId="8854"/>
    <cellStyle name="常规 4 13 5 2 2 4" xfId="8856"/>
    <cellStyle name="常规 4 13 5 2 2 5" xfId="8858"/>
    <cellStyle name="常规 4 13 5 2 3" xfId="8859"/>
    <cellStyle name="常规 4 13 5 2 3 2" xfId="8861"/>
    <cellStyle name="常规 4 13 5 2 3 2 2" xfId="6722"/>
    <cellStyle name="常规 4 13 5 2 3 3" xfId="8864"/>
    <cellStyle name="常规 4 13 5 2 3 4" xfId="8868"/>
    <cellStyle name="常规 4 13 5 2 4" xfId="8869"/>
    <cellStyle name="常规 4 13 5 2 4 2" xfId="8871"/>
    <cellStyle name="常规 4 13 5 2 5" xfId="8873"/>
    <cellStyle name="常规 4 13 5 2 6" xfId="8875"/>
    <cellStyle name="常规 4 13 5 3" xfId="8877"/>
    <cellStyle name="常规 4 13 5 3 2" xfId="8878"/>
    <cellStyle name="常规 4 13 5 3 2 2" xfId="8879"/>
    <cellStyle name="常规 4 13 5 3 2 2 2" xfId="8880"/>
    <cellStyle name="常规 4 13 5 3 2 3" xfId="8882"/>
    <cellStyle name="常规 4 13 5 3 2 4" xfId="8886"/>
    <cellStyle name="常规 4 13 5 3 3" xfId="8887"/>
    <cellStyle name="常规 4 13 5 3 3 2" xfId="8889"/>
    <cellStyle name="常规 4 13 5 3 4" xfId="8892"/>
    <cellStyle name="常规 4 13 5 3 5" xfId="8894"/>
    <cellStyle name="常规 4 13 5 4" xfId="8895"/>
    <cellStyle name="常规 4 13 5 4 2" xfId="8896"/>
    <cellStyle name="常规 4 13 5 4 2 2" xfId="5885"/>
    <cellStyle name="常规 4 13 5 4 3" xfId="8897"/>
    <cellStyle name="常规 4 13 5 4 4" xfId="7370"/>
    <cellStyle name="常规 4 13 5 5" xfId="8898"/>
    <cellStyle name="常规 4 13 5 5 2" xfId="8899"/>
    <cellStyle name="常规 4 13 5 6" xfId="8900"/>
    <cellStyle name="常规 4 13 5 7" xfId="8901"/>
    <cellStyle name="常规 4 13 6" xfId="8902"/>
    <cellStyle name="常规 4 13 6 2" xfId="8903"/>
    <cellStyle name="常规 4 13 6 2 2" xfId="8904"/>
    <cellStyle name="常规 4 13 6 2 2 2" xfId="1934"/>
    <cellStyle name="常规 4 13 6 2 2 2 2" xfId="8907"/>
    <cellStyle name="常规 4 13 6 2 2 3" xfId="8911"/>
    <cellStyle name="常规 4 13 6 2 2 4" xfId="8915"/>
    <cellStyle name="常规 4 13 6 2 3" xfId="8917"/>
    <cellStyle name="常规 4 13 6 2 3 2" xfId="1960"/>
    <cellStyle name="常规 4 13 6 2 4" xfId="8918"/>
    <cellStyle name="常规 4 13 6 2 5" xfId="8920"/>
    <cellStyle name="常规 4 13 6 3" xfId="8921"/>
    <cellStyle name="常规 4 13 6 3 2" xfId="8922"/>
    <cellStyle name="常规 4 13 6 3 2 2" xfId="8724"/>
    <cellStyle name="常规 4 13 6 3 3" xfId="8923"/>
    <cellStyle name="常规 4 13 6 3 4" xfId="8924"/>
    <cellStyle name="常规 4 13 6 4" xfId="8925"/>
    <cellStyle name="常规 4 13 6 4 2" xfId="8926"/>
    <cellStyle name="常规 4 13 6 5" xfId="2357"/>
    <cellStyle name="常规 4 13 6 6" xfId="8928"/>
    <cellStyle name="常规 4 13 7" xfId="8930"/>
    <cellStyle name="常规 4 13 7 2" xfId="3408"/>
    <cellStyle name="常规 4 13 7 2 2" xfId="8931"/>
    <cellStyle name="常规 4 13 7 2 2 2" xfId="8932"/>
    <cellStyle name="常规 4 13 7 2 3" xfId="8933"/>
    <cellStyle name="常规 4 13 7 2 4" xfId="8934"/>
    <cellStyle name="常规 4 13 7 3" xfId="4723"/>
    <cellStyle name="常规 4 13 7 3 2" xfId="8935"/>
    <cellStyle name="常规 4 13 7 4" xfId="8936"/>
    <cellStyle name="常规 4 13 7 5" xfId="8938"/>
    <cellStyle name="常规 4 13 8" xfId="8939"/>
    <cellStyle name="常规 4 13 8 2" xfId="8940"/>
    <cellStyle name="常规 4 13 8 2 2" xfId="8941"/>
    <cellStyle name="常规 4 13 8 3" xfId="8942"/>
    <cellStyle name="常规 4 13 8 4" xfId="8943"/>
    <cellStyle name="常规 4 13 9" xfId="8944"/>
    <cellStyle name="常规 4 13 9 2" xfId="8945"/>
    <cellStyle name="常规 4 14" xfId="8946"/>
    <cellStyle name="常规 4 14 10" xfId="8948"/>
    <cellStyle name="常规 4 14 2" xfId="2493"/>
    <cellStyle name="常规 4 14 2 2" xfId="8951"/>
    <cellStyle name="常规 4 14 2 2 2" xfId="8956"/>
    <cellStyle name="常规 4 14 2 2 2 2" xfId="8957"/>
    <cellStyle name="常规 4 14 2 2 2 2 2" xfId="8960"/>
    <cellStyle name="常规 4 14 2 2 2 2 2 2" xfId="8964"/>
    <cellStyle name="常规 4 14 2 2 2 2 2 2 2" xfId="8966"/>
    <cellStyle name="常规 4 14 2 2 2 2 2 2 2 2" xfId="6971"/>
    <cellStyle name="常规 4 14 2 2 2 2 2 2 3" xfId="8968"/>
    <cellStyle name="常规 4 14 2 2 2 2 2 2 4" xfId="8969"/>
    <cellStyle name="常规 4 14 2 2 2 2 2 3" xfId="8970"/>
    <cellStyle name="常规 4 14 2 2 2 2 2 3 2" xfId="8972"/>
    <cellStyle name="常规 4 14 2 2 2 2 2 4" xfId="8973"/>
    <cellStyle name="常规 4 14 2 2 2 2 2 5" xfId="8974"/>
    <cellStyle name="常规 4 14 2 2 2 2 3" xfId="8977"/>
    <cellStyle name="常规 4 14 2 2 2 2 3 2" xfId="8978"/>
    <cellStyle name="常规 4 14 2 2 2 2 3 2 2" xfId="8979"/>
    <cellStyle name="常规 4 14 2 2 2 2 3 3" xfId="8980"/>
    <cellStyle name="常规 4 14 2 2 2 2 3 4" xfId="8981"/>
    <cellStyle name="常规 4 14 2 2 2 2 4" xfId="8986"/>
    <cellStyle name="常规 4 14 2 2 2 2 4 2" xfId="8989"/>
    <cellStyle name="常规 4 14 2 2 2 2 5" xfId="8992"/>
    <cellStyle name="常规 4 14 2 2 2 2 6" xfId="1509"/>
    <cellStyle name="常规 4 14 2 2 2 3" xfId="8993"/>
    <cellStyle name="常规 4 14 2 2 2 3 2" xfId="8996"/>
    <cellStyle name="常规 4 14 2 2 2 3 2 2" xfId="8997"/>
    <cellStyle name="常规 4 14 2 2 2 3 2 2 2" xfId="9000"/>
    <cellStyle name="常规 4 14 2 2 2 3 2 3" xfId="9002"/>
    <cellStyle name="常规 4 14 2 2 2 3 2 4" xfId="9005"/>
    <cellStyle name="常规 4 14 2 2 2 3 3" xfId="9011"/>
    <cellStyle name="常规 4 14 2 2 2 3 3 2" xfId="9012"/>
    <cellStyle name="常规 4 14 2 2 2 3 4" xfId="9015"/>
    <cellStyle name="常规 4 14 2 2 2 3 5" xfId="9016"/>
    <cellStyle name="常规 4 14 2 2 2 4" xfId="9017"/>
    <cellStyle name="常规 4 14 2 2 2 4 2" xfId="9021"/>
    <cellStyle name="常规 4 14 2 2 2 4 2 2" xfId="9024"/>
    <cellStyle name="常规 4 14 2 2 2 4 3" xfId="9029"/>
    <cellStyle name="常规 4 14 2 2 2 4 4" xfId="9032"/>
    <cellStyle name="常规 4 14 2 2 2 5" xfId="9036"/>
    <cellStyle name="常规 4 14 2 2 2 5 2" xfId="9038"/>
    <cellStyle name="常规 4 14 2 2 2 6" xfId="9039"/>
    <cellStyle name="常规 4 14 2 2 2 7" xfId="9042"/>
    <cellStyle name="常规 4 14 2 2 3" xfId="9046"/>
    <cellStyle name="常规 4 14 2 2 3 2" xfId="9048"/>
    <cellStyle name="常规 4 14 2 2 3 2 2" xfId="9052"/>
    <cellStyle name="常规 4 14 2 2 3 2 2 2" xfId="2550"/>
    <cellStyle name="常规 4 14 2 2 3 2 2 2 2" xfId="5041"/>
    <cellStyle name="常规 4 14 2 2 3 2 2 3" xfId="9055"/>
    <cellStyle name="常规 4 14 2 2 3 2 2 4" xfId="9057"/>
    <cellStyle name="常规 4 14 2 2 3 2 3" xfId="9060"/>
    <cellStyle name="常规 4 14 2 2 3 2 3 2" xfId="9063"/>
    <cellStyle name="常规 4 14 2 2 3 2 4" xfId="9068"/>
    <cellStyle name="常规 4 14 2 2 3 2 5" xfId="974"/>
    <cellStyle name="常规 4 14 2 2 3 3" xfId="9070"/>
    <cellStyle name="常规 4 14 2 2 3 3 2" xfId="9073"/>
    <cellStyle name="常规 4 14 2 2 3 3 2 2" xfId="9076"/>
    <cellStyle name="常规 4 14 2 2 3 3 3" xfId="9078"/>
    <cellStyle name="常规 4 14 2 2 3 3 4" xfId="9079"/>
    <cellStyle name="常规 4 14 2 2 3 4" xfId="9081"/>
    <cellStyle name="常规 4 14 2 2 3 4 2" xfId="9085"/>
    <cellStyle name="常规 4 14 2 2 3 5" xfId="655"/>
    <cellStyle name="常规 4 14 2 2 3 6" xfId="9086"/>
    <cellStyle name="常规 4 14 2 2 4" xfId="9087"/>
    <cellStyle name="常规 4 14 2 2 4 2" xfId="9089"/>
    <cellStyle name="常规 4 14 2 2 4 2 2" xfId="9093"/>
    <cellStyle name="常规 4 14 2 2 4 2 2 2" xfId="9098"/>
    <cellStyle name="常规 4 14 2 2 4 2 3" xfId="9100"/>
    <cellStyle name="常规 4 14 2 2 4 2 4" xfId="9101"/>
    <cellStyle name="常规 4 14 2 2 4 3" xfId="9103"/>
    <cellStyle name="常规 4 14 2 2 4 3 2" xfId="9105"/>
    <cellStyle name="常规 4 14 2 2 4 4" xfId="4592"/>
    <cellStyle name="常规 4 14 2 2 4 5" xfId="920"/>
    <cellStyle name="常规 4 14 2 2 5" xfId="9107"/>
    <cellStyle name="常规 4 14 2 2 5 2" xfId="9110"/>
    <cellStyle name="常规 4 14 2 2 5 2 2" xfId="9114"/>
    <cellStyle name="常规 4 14 2 2 5 3" xfId="9117"/>
    <cellStyle name="常规 4 14 2 2 5 4" xfId="4647"/>
    <cellStyle name="常规 4 14 2 2 6" xfId="9120"/>
    <cellStyle name="常规 4 14 2 2 6 2" xfId="9123"/>
    <cellStyle name="常规 4 14 2 2 7" xfId="9126"/>
    <cellStyle name="常规 4 14 2 2 8" xfId="9129"/>
    <cellStyle name="常规 4 14 2 3" xfId="9130"/>
    <cellStyle name="常规 4 14 2 3 2" xfId="9132"/>
    <cellStyle name="常规 4 14 2 3 2 2" xfId="9133"/>
    <cellStyle name="常规 4 14 2 3 2 2 2" xfId="9136"/>
    <cellStyle name="常规 4 14 2 3 2 2 2 2" xfId="9139"/>
    <cellStyle name="常规 4 14 2 3 2 2 2 2 2" xfId="9141"/>
    <cellStyle name="常规 4 14 2 3 2 2 2 3" xfId="9142"/>
    <cellStyle name="常规 4 14 2 3 2 2 2 4" xfId="9143"/>
    <cellStyle name="常规 4 14 2 3 2 2 3" xfId="3666"/>
    <cellStyle name="常规 4 14 2 3 2 2 3 2" xfId="6963"/>
    <cellStyle name="常规 4 14 2 3 2 2 4" xfId="3673"/>
    <cellStyle name="常规 4 14 2 3 2 2 5" xfId="7085"/>
    <cellStyle name="常规 4 14 2 3 2 3" xfId="9145"/>
    <cellStyle name="常规 4 14 2 3 2 3 2" xfId="9147"/>
    <cellStyle name="常规 4 14 2 3 2 3 2 2" xfId="996"/>
    <cellStyle name="常规 4 14 2 3 2 3 3" xfId="3713"/>
    <cellStyle name="常规 4 14 2 3 2 3 4" xfId="3718"/>
    <cellStyle name="常规 4 14 2 3 2 4" xfId="9148"/>
    <cellStyle name="常规 4 14 2 3 2 4 2" xfId="9151"/>
    <cellStyle name="常规 4 14 2 3 2 5" xfId="8207"/>
    <cellStyle name="常规 4 14 2 3 2 6" xfId="9152"/>
    <cellStyle name="常规 4 14 2 3 3" xfId="9153"/>
    <cellStyle name="常规 4 14 2 3 3 2" xfId="9155"/>
    <cellStyle name="常规 4 14 2 3 3 2 2" xfId="9159"/>
    <cellStyle name="常规 4 14 2 3 3 2 2 2" xfId="597"/>
    <cellStyle name="常规 4 14 2 3 3 2 3" xfId="7944"/>
    <cellStyle name="常规 4 14 2 3 3 2 4" xfId="198"/>
    <cellStyle name="常规 4 14 2 3 3 3" xfId="9161"/>
    <cellStyle name="常规 4 14 2 3 3 3 2" xfId="9165"/>
    <cellStyle name="常规 4 14 2 3 3 4" xfId="9167"/>
    <cellStyle name="常规 4 14 2 3 3 5" xfId="9168"/>
    <cellStyle name="常规 4 14 2 3 4" xfId="9171"/>
    <cellStyle name="常规 4 14 2 3 4 2" xfId="9175"/>
    <cellStyle name="常规 4 14 2 3 4 2 2" xfId="9179"/>
    <cellStyle name="常规 4 14 2 3 4 3" xfId="9183"/>
    <cellStyle name="常规 4 14 2 3 4 4" xfId="4718"/>
    <cellStyle name="常规 4 14 2 3 5" xfId="9187"/>
    <cellStyle name="常规 4 14 2 3 5 2" xfId="9191"/>
    <cellStyle name="常规 4 14 2 3 6" xfId="9196"/>
    <cellStyle name="常规 4 14 2 3 7" xfId="9201"/>
    <cellStyle name="常规 4 14 2 4" xfId="6684"/>
    <cellStyle name="常规 4 14 2 4 2" xfId="9202"/>
    <cellStyle name="常规 4 14 2 4 2 2" xfId="6189"/>
    <cellStyle name="常规 4 14 2 4 2 2 2" xfId="6199"/>
    <cellStyle name="常规 4 14 2 4 2 2 2 2" xfId="6203"/>
    <cellStyle name="常规 4 14 2 4 2 2 3" xfId="235"/>
    <cellStyle name="常规 4 14 2 4 2 2 4" xfId="6209"/>
    <cellStyle name="常规 4 14 2 4 2 3" xfId="6214"/>
    <cellStyle name="常规 4 14 2 4 2 3 2" xfId="6218"/>
    <cellStyle name="常规 4 14 2 4 2 4" xfId="5312"/>
    <cellStyle name="常规 4 14 2 4 2 5" xfId="5324"/>
    <cellStyle name="常规 4 14 2 4 3" xfId="9205"/>
    <cellStyle name="常规 4 14 2 4 3 2" xfId="6266"/>
    <cellStyle name="常规 4 14 2 4 3 2 2" xfId="1160"/>
    <cellStyle name="常规 4 14 2 4 3 3" xfId="6272"/>
    <cellStyle name="常规 4 14 2 4 3 4" xfId="5340"/>
    <cellStyle name="常规 4 14 2 4 4" xfId="9209"/>
    <cellStyle name="常规 4 14 2 4 4 2" xfId="6289"/>
    <cellStyle name="常规 4 14 2 4 5" xfId="9214"/>
    <cellStyle name="常规 4 14 2 4 6" xfId="9219"/>
    <cellStyle name="常规 4 14 2 5" xfId="9220"/>
    <cellStyle name="常规 4 14 2 5 2" xfId="9221"/>
    <cellStyle name="常规 4 14 2 5 2 2" xfId="6324"/>
    <cellStyle name="常规 4 14 2 5 2 2 2" xfId="430"/>
    <cellStyle name="常规 4 14 2 5 2 3" xfId="6328"/>
    <cellStyle name="常规 4 14 2 5 2 4" xfId="5373"/>
    <cellStyle name="常规 4 14 2 5 3" xfId="9223"/>
    <cellStyle name="常规 4 14 2 5 3 2" xfId="6336"/>
    <cellStyle name="常规 4 14 2 5 4" xfId="9227"/>
    <cellStyle name="常规 4 14 2 5 5" xfId="9231"/>
    <cellStyle name="常规 4 14 2 6" xfId="9233"/>
    <cellStyle name="常规 4 14 2 6 2" xfId="9235"/>
    <cellStyle name="常规 4 14 2 6 2 2" xfId="6355"/>
    <cellStyle name="常规 4 14 2 6 3" xfId="9238"/>
    <cellStyle name="常规 4 14 2 6 4" xfId="9244"/>
    <cellStyle name="常规 4 14 2 7" xfId="9246"/>
    <cellStyle name="常规 4 14 2 7 2" xfId="9249"/>
    <cellStyle name="常规 4 14 2 8" xfId="9251"/>
    <cellStyle name="常规 4 14 2 9" xfId="9254"/>
    <cellStyle name="常规 4 14 3" xfId="2504"/>
    <cellStyle name="常规 4 14 3 2" xfId="9258"/>
    <cellStyle name="常规 4 14 3 2 2" xfId="9261"/>
    <cellStyle name="常规 4 14 3 2 2 2" xfId="9262"/>
    <cellStyle name="常规 4 14 3 2 2 2 2" xfId="9263"/>
    <cellStyle name="常规 4 14 3 2 2 2 2 2" xfId="736"/>
    <cellStyle name="常规 4 14 3 2 2 2 2 2 2" xfId="9264"/>
    <cellStyle name="常规 4 14 3 2 2 2 2 3" xfId="741"/>
    <cellStyle name="常规 4 14 3 2 2 2 2 4" xfId="9266"/>
    <cellStyle name="常规 4 14 3 2 2 2 3" xfId="9267"/>
    <cellStyle name="常规 4 14 3 2 2 2 3 2" xfId="754"/>
    <cellStyle name="常规 4 14 3 2 2 2 4" xfId="9270"/>
    <cellStyle name="常规 4 14 3 2 2 2 5" xfId="9272"/>
    <cellStyle name="常规 4 14 3 2 2 3" xfId="9273"/>
    <cellStyle name="常规 4 14 3 2 2 3 2" xfId="9274"/>
    <cellStyle name="常规 4 14 3 2 2 3 2 2" xfId="4884"/>
    <cellStyle name="常规 4 14 3 2 2 3 3" xfId="9275"/>
    <cellStyle name="常规 4 14 3 2 2 3 4" xfId="9277"/>
    <cellStyle name="常规 4 14 3 2 2 4" xfId="9278"/>
    <cellStyle name="常规 4 14 3 2 2 4 2" xfId="9280"/>
    <cellStyle name="常规 4 14 3 2 2 5" xfId="9281"/>
    <cellStyle name="常规 4 14 3 2 2 6" xfId="9282"/>
    <cellStyle name="常规 4 14 3 2 3" xfId="9283"/>
    <cellStyle name="常规 4 14 3 2 3 2" xfId="9285"/>
    <cellStyle name="常规 4 14 3 2 3 2 2" xfId="9287"/>
    <cellStyle name="常规 4 14 3 2 3 2 2 2" xfId="1796"/>
    <cellStyle name="常规 4 14 3 2 3 2 3" xfId="7455"/>
    <cellStyle name="常规 4 14 3 2 3 2 4" xfId="9289"/>
    <cellStyle name="常规 4 14 3 2 3 3" xfId="9291"/>
    <cellStyle name="常规 4 14 3 2 3 3 2" xfId="9292"/>
    <cellStyle name="常规 4 14 3 2 3 4" xfId="9294"/>
    <cellStyle name="常规 4 14 3 2 3 5" xfId="9296"/>
    <cellStyle name="常规 4 14 3 2 4" xfId="9297"/>
    <cellStyle name="常规 4 14 3 2 4 2" xfId="9299"/>
    <cellStyle name="常规 4 14 3 2 4 2 2" xfId="9301"/>
    <cellStyle name="常规 4 14 3 2 4 3" xfId="9303"/>
    <cellStyle name="常规 4 14 3 2 4 4" xfId="2290"/>
    <cellStyle name="常规 4 14 3 2 5" xfId="9305"/>
    <cellStyle name="常规 4 14 3 2 5 2" xfId="9307"/>
    <cellStyle name="常规 4 14 3 2 6" xfId="9310"/>
    <cellStyle name="常规 4 14 3 2 7" xfId="9312"/>
    <cellStyle name="常规 4 14 3 3" xfId="9313"/>
    <cellStyle name="常规 4 14 3 3 2" xfId="9319"/>
    <cellStyle name="常规 4 14 3 3 2 2" xfId="9321"/>
    <cellStyle name="常规 4 14 3 3 2 2 2" xfId="9323"/>
    <cellStyle name="常规 4 14 3 3 2 2 2 2" xfId="7161"/>
    <cellStyle name="常规 4 14 3 3 2 2 3" xfId="9325"/>
    <cellStyle name="常规 4 14 3 3 2 2 4" xfId="7881"/>
    <cellStyle name="常规 4 14 3 3 2 3" xfId="2878"/>
    <cellStyle name="常规 4 14 3 3 2 3 2" xfId="2881"/>
    <cellStyle name="常规 4 14 3 3 2 4" xfId="2892"/>
    <cellStyle name="常规 4 14 3 3 2 5" xfId="2901"/>
    <cellStyle name="常规 4 14 3 3 3" xfId="9326"/>
    <cellStyle name="常规 4 14 3 3 3 2" xfId="9329"/>
    <cellStyle name="常规 4 14 3 3 3 2 2" xfId="9331"/>
    <cellStyle name="常规 4 14 3 3 3 3" xfId="2912"/>
    <cellStyle name="常规 4 14 3 3 3 4" xfId="2920"/>
    <cellStyle name="常规 4 14 3 3 4" xfId="9334"/>
    <cellStyle name="常规 4 14 3 3 4 2" xfId="9338"/>
    <cellStyle name="常规 4 14 3 3 5" xfId="9342"/>
    <cellStyle name="常规 4 14 3 3 6" xfId="9346"/>
    <cellStyle name="常规 4 14 3 4" xfId="9349"/>
    <cellStyle name="常规 4 14 3 4 2" xfId="9350"/>
    <cellStyle name="常规 4 14 3 4 2 2" xfId="6438"/>
    <cellStyle name="常规 4 14 3 4 2 2 2" xfId="6444"/>
    <cellStyle name="常规 4 14 3 4 2 3" xfId="3153"/>
    <cellStyle name="常规 4 14 3 4 2 4" xfId="3165"/>
    <cellStyle name="常规 4 14 3 4 3" xfId="9352"/>
    <cellStyle name="常规 4 14 3 4 3 2" xfId="6463"/>
    <cellStyle name="常规 4 14 3 4 4" xfId="7406"/>
    <cellStyle name="常规 4 14 3 4 5" xfId="2692"/>
    <cellStyle name="常规 4 14 3 5" xfId="9354"/>
    <cellStyle name="常规 4 14 3 5 2" xfId="9355"/>
    <cellStyle name="常规 4 14 3 5 2 2" xfId="6510"/>
    <cellStyle name="常规 4 14 3 5 3" xfId="9357"/>
    <cellStyle name="常规 4 14 3 5 4" xfId="7414"/>
    <cellStyle name="常规 4 14 3 6" xfId="9360"/>
    <cellStyle name="常规 4 14 3 6 2" xfId="9363"/>
    <cellStyle name="常规 4 14 3 7" xfId="9366"/>
    <cellStyle name="常规 4 14 3 8" xfId="7609"/>
    <cellStyle name="常规 4 14 4" xfId="9368"/>
    <cellStyle name="常规 4 14 4 2" xfId="9371"/>
    <cellStyle name="常规 4 14 4 2 2" xfId="9372"/>
    <cellStyle name="常规 4 14 4 2 2 2" xfId="9373"/>
    <cellStyle name="常规 4 14 4 2 2 2 2" xfId="9376"/>
    <cellStyle name="常规 4 14 4 2 2 2 2 2" xfId="7970"/>
    <cellStyle name="常规 4 14 4 2 2 2 3" xfId="9379"/>
    <cellStyle name="常规 4 14 4 2 2 2 4" xfId="9381"/>
    <cellStyle name="常规 4 14 4 2 2 3" xfId="9382"/>
    <cellStyle name="常规 4 14 4 2 2 3 2" xfId="9385"/>
    <cellStyle name="常规 4 14 4 2 2 4" xfId="9386"/>
    <cellStyle name="常规 4 14 4 2 2 5" xfId="9387"/>
    <cellStyle name="常规 4 14 4 2 3" xfId="9388"/>
    <cellStyle name="常规 4 14 4 2 3 2" xfId="9390"/>
    <cellStyle name="常规 4 14 4 2 3 2 2" xfId="5898"/>
    <cellStyle name="常规 4 14 4 2 3 3" xfId="9392"/>
    <cellStyle name="常规 4 14 4 2 3 4" xfId="9393"/>
    <cellStyle name="常规 4 14 4 2 4" xfId="9394"/>
    <cellStyle name="常规 4 14 4 2 4 2" xfId="9395"/>
    <cellStyle name="常规 4 14 4 2 5" xfId="9397"/>
    <cellStyle name="常规 4 14 4 2 6" xfId="9399"/>
    <cellStyle name="常规 4 14 4 3" xfId="9402"/>
    <cellStyle name="常规 4 14 4 3 2" xfId="9403"/>
    <cellStyle name="常规 4 14 4 3 2 2" xfId="9404"/>
    <cellStyle name="常规 4 14 4 3 2 2 2" xfId="9408"/>
    <cellStyle name="常规 4 14 4 3 2 3" xfId="9409"/>
    <cellStyle name="常规 4 14 4 3 2 4" xfId="9411"/>
    <cellStyle name="常规 4 14 4 3 3" xfId="9412"/>
    <cellStyle name="常规 4 14 4 3 3 2" xfId="9413"/>
    <cellStyle name="常规 4 14 4 3 4" xfId="9416"/>
    <cellStyle name="常规 4 14 4 3 5" xfId="9418"/>
    <cellStyle name="常规 4 14 4 4" xfId="9421"/>
    <cellStyle name="常规 4 14 4 4 2" xfId="9422"/>
    <cellStyle name="常规 4 14 4 4 2 2" xfId="5185"/>
    <cellStyle name="常规 4 14 4 4 3" xfId="9424"/>
    <cellStyle name="常规 4 14 4 4 4" xfId="1464"/>
    <cellStyle name="常规 4 14 4 5" xfId="9425"/>
    <cellStyle name="常规 4 14 4 5 2" xfId="9426"/>
    <cellStyle name="常规 4 14 4 6" xfId="9429"/>
    <cellStyle name="常规 4 14 4 7" xfId="9432"/>
    <cellStyle name="常规 4 14 5" xfId="9434"/>
    <cellStyle name="常规 4 14 5 2" xfId="9436"/>
    <cellStyle name="常规 4 14 5 2 2" xfId="9437"/>
    <cellStyle name="常规 4 14 5 2 2 2" xfId="9438"/>
    <cellStyle name="常规 4 14 5 2 2 2 2" xfId="9440"/>
    <cellStyle name="常规 4 14 5 2 2 3" xfId="9443"/>
    <cellStyle name="常规 4 14 5 2 2 4" xfId="9446"/>
    <cellStyle name="常规 4 14 5 2 3" xfId="9447"/>
    <cellStyle name="常规 4 14 5 2 3 2" xfId="9449"/>
    <cellStyle name="常规 4 14 5 2 4" xfId="9450"/>
    <cellStyle name="常规 4 14 5 2 5" xfId="9452"/>
    <cellStyle name="常规 4 14 5 3" xfId="9453"/>
    <cellStyle name="常规 4 14 5 3 2" xfId="9454"/>
    <cellStyle name="常规 4 14 5 3 2 2" xfId="9455"/>
    <cellStyle name="常规 4 14 5 3 3" xfId="9456"/>
    <cellStyle name="常规 4 14 5 3 4" xfId="9457"/>
    <cellStyle name="常规 4 14 5 4" xfId="9458"/>
    <cellStyle name="常规 4 14 5 4 2" xfId="9459"/>
    <cellStyle name="常规 4 14 5 5" xfId="9460"/>
    <cellStyle name="常规 4 14 5 6" xfId="9463"/>
    <cellStyle name="常规 4 14 6" xfId="9465"/>
    <cellStyle name="常规 4 14 6 2" xfId="9467"/>
    <cellStyle name="常规 4 14 6 2 2" xfId="9468"/>
    <cellStyle name="常规 4 14 6 2 2 2" xfId="9469"/>
    <cellStyle name="常规 4 14 6 2 3" xfId="9470"/>
    <cellStyle name="常规 4 14 6 2 4" xfId="9471"/>
    <cellStyle name="常规 4 14 6 3" xfId="9472"/>
    <cellStyle name="常规 4 14 6 3 2" xfId="9473"/>
    <cellStyle name="常规 4 14 6 4" xfId="9474"/>
    <cellStyle name="常规 4 14 6 5" xfId="9476"/>
    <cellStyle name="常规 4 14 7" xfId="4310"/>
    <cellStyle name="常规 4 14 7 2" xfId="9477"/>
    <cellStyle name="常规 4 14 7 2 2" xfId="9478"/>
    <cellStyle name="常规 4 14 7 3" xfId="9479"/>
    <cellStyle name="常规 4 14 7 4" xfId="9480"/>
    <cellStyle name="常规 4 14 8" xfId="9482"/>
    <cellStyle name="常规 4 14 8 2" xfId="9484"/>
    <cellStyle name="常规 4 14 9" xfId="9486"/>
    <cellStyle name="常规 4 15" xfId="9487"/>
    <cellStyle name="常规 4 15 2" xfId="838"/>
    <cellStyle name="常规 4 15 2 2" xfId="9490"/>
    <cellStyle name="常规 4 15 2 2 2" xfId="9491"/>
    <cellStyle name="常规 4 15 2 2 2 2" xfId="9492"/>
    <cellStyle name="常规 4 15 2 2 2 2 2" xfId="2651"/>
    <cellStyle name="常规 4 15 2 2 2 2 2 2" xfId="9494"/>
    <cellStyle name="常规 4 15 2 2 2 2 3" xfId="2654"/>
    <cellStyle name="常规 4 15 2 2 2 2 4" xfId="9497"/>
    <cellStyle name="常规 4 15 2 2 2 3" xfId="9498"/>
    <cellStyle name="常规 4 15 2 2 2 3 2" xfId="5946"/>
    <cellStyle name="常规 4 15 2 2 2 4" xfId="9499"/>
    <cellStyle name="常规 4 15 2 2 2 5" xfId="9501"/>
    <cellStyle name="常规 4 15 2 2 3" xfId="9502"/>
    <cellStyle name="常规 4 15 2 2 3 2" xfId="9504"/>
    <cellStyle name="常规 4 15 2 2 3 2 2" xfId="6932"/>
    <cellStyle name="常规 4 15 2 2 3 3" xfId="9506"/>
    <cellStyle name="常规 4 15 2 2 3 4" xfId="9508"/>
    <cellStyle name="常规 4 15 2 2 4" xfId="9509"/>
    <cellStyle name="常规 4 15 2 2 4 2" xfId="9511"/>
    <cellStyle name="常规 4 15 2 2 5" xfId="9514"/>
    <cellStyle name="常规 4 15 2 2 6" xfId="9518"/>
    <cellStyle name="常规 4 15 2 3" xfId="9519"/>
    <cellStyle name="常规 4 15 2 3 2" xfId="9520"/>
    <cellStyle name="常规 4 15 2 3 2 2" xfId="9521"/>
    <cellStyle name="常规 4 15 2 3 2 2 2" xfId="1452"/>
    <cellStyle name="常规 4 15 2 3 2 3" xfId="9522"/>
    <cellStyle name="常规 4 15 2 3 2 4" xfId="9523"/>
    <cellStyle name="常规 4 15 2 3 3" xfId="9524"/>
    <cellStyle name="常规 4 15 2 3 3 2" xfId="9526"/>
    <cellStyle name="常规 4 15 2 3 4" xfId="9528"/>
    <cellStyle name="常规 4 15 2 3 5" xfId="9532"/>
    <cellStyle name="常规 4 15 2 4" xfId="9533"/>
    <cellStyle name="常规 4 15 2 4 2" xfId="9534"/>
    <cellStyle name="常规 4 15 2 4 2 2" xfId="6772"/>
    <cellStyle name="常规 4 15 2 4 3" xfId="9536"/>
    <cellStyle name="常规 4 15 2 4 4" xfId="9539"/>
    <cellStyle name="常规 4 15 2 5" xfId="9540"/>
    <cellStyle name="常规 4 15 2 5 2" xfId="9541"/>
    <cellStyle name="常规 4 15 2 6" xfId="9543"/>
    <cellStyle name="常规 4 15 2 7" xfId="9545"/>
    <cellStyle name="常规 4 15 3" xfId="6567"/>
    <cellStyle name="常规 4 15 3 2" xfId="9547"/>
    <cellStyle name="常规 4 15 3 2 2" xfId="9549"/>
    <cellStyle name="常规 4 15 3 2 2 2" xfId="9551"/>
    <cellStyle name="常规 4 15 3 2 2 2 2" xfId="4118"/>
    <cellStyle name="常规 4 15 3 2 2 3" xfId="9552"/>
    <cellStyle name="常规 4 15 3 2 2 4" xfId="9553"/>
    <cellStyle name="常规 4 15 3 2 3" xfId="9555"/>
    <cellStyle name="常规 4 15 3 2 3 2" xfId="9557"/>
    <cellStyle name="常规 4 15 3 2 4" xfId="9559"/>
    <cellStyle name="常规 4 15 3 2 5" xfId="9562"/>
    <cellStyle name="常规 4 15 3 3" xfId="9565"/>
    <cellStyle name="常规 4 15 3 3 2" xfId="9567"/>
    <cellStyle name="常规 4 15 3 3 2 2" xfId="9568"/>
    <cellStyle name="常规 4 15 3 3 3" xfId="9570"/>
    <cellStyle name="常规 4 15 3 3 4" xfId="9572"/>
    <cellStyle name="常规 4 15 3 4" xfId="9573"/>
    <cellStyle name="常规 4 15 3 4 2" xfId="9575"/>
    <cellStyle name="常规 4 15 3 5" xfId="9576"/>
    <cellStyle name="常规 4 15 3 6" xfId="9579"/>
    <cellStyle name="常规 4 15 4" xfId="9581"/>
    <cellStyle name="常规 4 15 4 2" xfId="9583"/>
    <cellStyle name="常规 4 15 4 2 2" xfId="9585"/>
    <cellStyle name="常规 4 15 4 2 2 2" xfId="9586"/>
    <cellStyle name="常规 4 15 4 2 3" xfId="9588"/>
    <cellStyle name="常规 4 15 4 2 4" xfId="9589"/>
    <cellStyle name="常规 4 15 4 3" xfId="9590"/>
    <cellStyle name="常规 4 15 4 3 2" xfId="9592"/>
    <cellStyle name="常规 4 15 4 4" xfId="9593"/>
    <cellStyle name="常规 4 15 4 5" xfId="9594"/>
    <cellStyle name="常规 4 15 5" xfId="9595"/>
    <cellStyle name="常规 4 15 5 2" xfId="9596"/>
    <cellStyle name="常规 4 15 5 2 2" xfId="9598"/>
    <cellStyle name="常规 4 15 5 3" xfId="9599"/>
    <cellStyle name="常规 4 15 5 4" xfId="9600"/>
    <cellStyle name="常规 4 15 6" xfId="9602"/>
    <cellStyle name="常规 4 15 6 2" xfId="9603"/>
    <cellStyle name="常规 4 15 7" xfId="9604"/>
    <cellStyle name="常规 4 15 8" xfId="9605"/>
    <cellStyle name="常规 4 16" xfId="2312"/>
    <cellStyle name="常规 4 16 2" xfId="854"/>
    <cellStyle name="常规 4 16 2 2" xfId="7740"/>
    <cellStyle name="常规 4 16 2 2 2" xfId="7742"/>
    <cellStyle name="常规 4 16 2 2 2 2" xfId="9606"/>
    <cellStyle name="常规 4 16 2 2 2 2 2" xfId="9609"/>
    <cellStyle name="常规 4 16 2 2 2 3" xfId="9610"/>
    <cellStyle name="常规 4 16 2 2 2 4" xfId="9611"/>
    <cellStyle name="常规 4 16 2 2 3" xfId="9612"/>
    <cellStyle name="常规 4 16 2 2 3 2" xfId="9614"/>
    <cellStyle name="常规 4 16 2 2 4" xfId="9615"/>
    <cellStyle name="常规 4 16 2 2 5" xfId="9618"/>
    <cellStyle name="常规 4 16 2 3" xfId="7744"/>
    <cellStyle name="常规 4 16 2 3 2" xfId="9619"/>
    <cellStyle name="常规 4 16 2 3 2 2" xfId="9620"/>
    <cellStyle name="常规 4 16 2 3 3" xfId="9621"/>
    <cellStyle name="常规 4 16 2 3 4" xfId="9623"/>
    <cellStyle name="常规 4 16 2 4" xfId="718"/>
    <cellStyle name="常规 4 16 2 4 2" xfId="9624"/>
    <cellStyle name="常规 4 16 2 5" xfId="9625"/>
    <cellStyle name="常规 4 16 2 6" xfId="9627"/>
    <cellStyle name="常规 4 16 3" xfId="7747"/>
    <cellStyle name="常规 4 16 3 2" xfId="7749"/>
    <cellStyle name="常规 4 16 3 2 2" xfId="9629"/>
    <cellStyle name="常规 4 16 3 2 2 2" xfId="9632"/>
    <cellStyle name="常规 4 16 3 2 3" xfId="9634"/>
    <cellStyle name="常规 4 16 3 2 4" xfId="9636"/>
    <cellStyle name="常规 4 16 3 3" xfId="9637"/>
    <cellStyle name="常规 4 16 3 3 2" xfId="9641"/>
    <cellStyle name="常规 4 16 3 4" xfId="9642"/>
    <cellStyle name="常规 4 16 3 5" xfId="9643"/>
    <cellStyle name="常规 4 16 4" xfId="7754"/>
    <cellStyle name="常规 4 16 4 2" xfId="9644"/>
    <cellStyle name="常规 4 16 4 2 2" xfId="9646"/>
    <cellStyle name="常规 4 16 4 3" xfId="9647"/>
    <cellStyle name="常规 4 16 4 4" xfId="9648"/>
    <cellStyle name="常规 4 16 5" xfId="7757"/>
    <cellStyle name="常规 4 16 5 2" xfId="9652"/>
    <cellStyle name="常规 4 16 6" xfId="9653"/>
    <cellStyle name="常规 4 16 7" xfId="9654"/>
    <cellStyle name="常规 4 17" xfId="7759"/>
    <cellStyle name="常规 4 17 2" xfId="7763"/>
    <cellStyle name="常规 4 17 2 2" xfId="7768"/>
    <cellStyle name="常规 4 17 2 2 2" xfId="9655"/>
    <cellStyle name="常规 4 17 2 2 2 2" xfId="9656"/>
    <cellStyle name="常规 4 17 2 2 3" xfId="9658"/>
    <cellStyle name="常规 4 17 2 2 4" xfId="9660"/>
    <cellStyle name="常规 4 17 2 3" xfId="9663"/>
    <cellStyle name="常规 4 17 2 3 2" xfId="9664"/>
    <cellStyle name="常规 4 17 2 4" xfId="9665"/>
    <cellStyle name="常规 4 17 2 5" xfId="9666"/>
    <cellStyle name="常规 4 17 3" xfId="7770"/>
    <cellStyle name="常规 4 17 3 2" xfId="9668"/>
    <cellStyle name="常规 4 17 3 2 2" xfId="9670"/>
    <cellStyle name="常规 4 17 3 3" xfId="9672"/>
    <cellStyle name="常规 4 17 3 4" xfId="9674"/>
    <cellStyle name="常规 4 17 4" xfId="7772"/>
    <cellStyle name="常规 4 17 4 2" xfId="2514"/>
    <cellStyle name="常规 4 17 5" xfId="9675"/>
    <cellStyle name="常规 4 17 6" xfId="9676"/>
    <cellStyle name="常规 4 18" xfId="7774"/>
    <cellStyle name="常规 4 18 2" xfId="1270"/>
    <cellStyle name="常规 4 18 2 2" xfId="9679"/>
    <cellStyle name="常规 4 18 2 2 2" xfId="9680"/>
    <cellStyle name="常规 4 18 2 3" xfId="9681"/>
    <cellStyle name="常规 4 18 2 4" xfId="9682"/>
    <cellStyle name="常规 4 18 3" xfId="9683"/>
    <cellStyle name="常规 4 18 3 2" xfId="9684"/>
    <cellStyle name="常规 4 18 4" xfId="9685"/>
    <cellStyle name="常规 4 18 5" xfId="9686"/>
    <cellStyle name="常规 4 19" xfId="2964"/>
    <cellStyle name="常规 4 19 2" xfId="9688"/>
    <cellStyle name="常规 4 19 2 2" xfId="9693"/>
    <cellStyle name="常规 4 19 3" xfId="9695"/>
    <cellStyle name="常规 4 19 4" xfId="9697"/>
    <cellStyle name="常规 4 2" xfId="9698"/>
    <cellStyle name="常规 4 2 10" xfId="9699"/>
    <cellStyle name="常规 4 2 10 10" xfId="9701"/>
    <cellStyle name="常规 4 2 10 10 2" xfId="9702"/>
    <cellStyle name="常规 4 2 10 10 2 2" xfId="9703"/>
    <cellStyle name="常规 4 2 10 10 3" xfId="9704"/>
    <cellStyle name="常规 4 2 10 10 4" xfId="9705"/>
    <cellStyle name="常规 4 2 10 11" xfId="9706"/>
    <cellStyle name="常规 4 2 10 11 2" xfId="9707"/>
    <cellStyle name="常规 4 2 10 12" xfId="9708"/>
    <cellStyle name="常规 4 2 10 13" xfId="9709"/>
    <cellStyle name="常规 4 2 10 2" xfId="9710"/>
    <cellStyle name="常规 4 2 10 2 10" xfId="9711"/>
    <cellStyle name="常规 4 2 10 2 10 2" xfId="9714"/>
    <cellStyle name="常规 4 2 10 2 11" xfId="9717"/>
    <cellStyle name="常规 4 2 10 2 12" xfId="9719"/>
    <cellStyle name="常规 4 2 10 2 2" xfId="9657"/>
    <cellStyle name="常规 4 2 10 2 2 10" xfId="9722"/>
    <cellStyle name="常规 4 2 10 2 2 11" xfId="9724"/>
    <cellStyle name="常规 4 2 10 2 2 2" xfId="9726"/>
    <cellStyle name="常规 4 2 10 2 2 2 2" xfId="9731"/>
    <cellStyle name="常规 4 2 10 2 2 2 2 2" xfId="9732"/>
    <cellStyle name="常规 4 2 10 2 2 2 2 2 2" xfId="9736"/>
    <cellStyle name="常规 4 2 10 2 2 2 2 2 2 2" xfId="9738"/>
    <cellStyle name="常规 4 2 10 2 2 2 2 2 2 2 2" xfId="9739"/>
    <cellStyle name="常规 4 2 10 2 2 2 2 2 2 2 2 2" xfId="9740"/>
    <cellStyle name="常规 4 2 10 2 2 2 2 2 2 2 2 2 2" xfId="6401"/>
    <cellStyle name="常规 4 2 10 2 2 2 2 2 2 2 2 3" xfId="9742"/>
    <cellStyle name="常规 4 2 10 2 2 2 2 2 2 2 2 4" xfId="9743"/>
    <cellStyle name="常规 4 2 10 2 2 2 2 2 2 2 3" xfId="9744"/>
    <cellStyle name="常规 4 2 10 2 2 2 2 2 2 2 3 2" xfId="9745"/>
    <cellStyle name="常规 4 2 10 2 2 2 2 2 2 2 4" xfId="9747"/>
    <cellStyle name="常规 4 2 10 2 2 2 2 2 2 2 5" xfId="9748"/>
    <cellStyle name="常规 4 2 10 2 2 2 2 2 2 3" xfId="9749"/>
    <cellStyle name="常规 4 2 10 2 2 2 2 2 2 3 2" xfId="9750"/>
    <cellStyle name="常规 4 2 10 2 2 2 2 2 2 3 2 2" xfId="9751"/>
    <cellStyle name="常规 4 2 10 2 2 2 2 2 2 3 3" xfId="9752"/>
    <cellStyle name="常规 4 2 10 2 2 2 2 2 2 3 4" xfId="9753"/>
    <cellStyle name="常规 4 2 10 2 2 2 2 2 2 4" xfId="82"/>
    <cellStyle name="常规 4 2 10 2 2 2 2 2 2 4 2" xfId="9755"/>
    <cellStyle name="常规 4 2 10 2 2 2 2 2 2 5" xfId="9756"/>
    <cellStyle name="常规 4 2 10 2 2 2 2 2 2 6" xfId="9759"/>
    <cellStyle name="常规 4 2 10 2 2 2 2 2 3" xfId="9760"/>
    <cellStyle name="常规 4 2 10 2 2 2 2 2 3 2" xfId="9762"/>
    <cellStyle name="常规 4 2 10 2 2 2 2 2 3 2 2" xfId="9764"/>
    <cellStyle name="常规 4 2 10 2 2 2 2 2 3 2 2 2" xfId="9766"/>
    <cellStyle name="常规 4 2 10 2 2 2 2 2 3 2 3" xfId="9768"/>
    <cellStyle name="常规 4 2 10 2 2 2 2 2 3 2 4" xfId="9770"/>
    <cellStyle name="常规 4 2 10 2 2 2 2 2 3 3" xfId="9772"/>
    <cellStyle name="常规 4 2 10 2 2 2 2 2 3 3 2" xfId="9777"/>
    <cellStyle name="常规 4 2 10 2 2 2 2 2 3 4" xfId="9779"/>
    <cellStyle name="常规 4 2 10 2 2 2 2 2 3 5" xfId="9782"/>
    <cellStyle name="常规 4 2 10 2 2 2 2 2 4" xfId="9784"/>
    <cellStyle name="常规 4 2 10 2 2 2 2 2 4 2" xfId="9785"/>
    <cellStyle name="常规 4 2 10 2 2 2 2 2 4 2 2" xfId="9787"/>
    <cellStyle name="常规 4 2 10 2 2 2 2 2 4 3" xfId="9790"/>
    <cellStyle name="常规 4 2 10 2 2 2 2 2 4 4" xfId="9794"/>
    <cellStyle name="常规 4 2 10 2 2 2 2 2 5" xfId="9798"/>
    <cellStyle name="常规 4 2 10 2 2 2 2 2 5 2" xfId="9799"/>
    <cellStyle name="常规 4 2 10 2 2 2 2 2 6" xfId="9805"/>
    <cellStyle name="常规 4 2 10 2 2 2 2 2 7" xfId="9807"/>
    <cellStyle name="常规 4 2 10 2 2 2 2 3" xfId="9808"/>
    <cellStyle name="常规 4 2 10 2 2 2 2 3 2" xfId="9809"/>
    <cellStyle name="常规 4 2 10 2 2 2 2 3 2 2" xfId="9811"/>
    <cellStyle name="常规 4 2 10 2 2 2 2 3 2 2 2" xfId="9812"/>
    <cellStyle name="常规 4 2 10 2 2 2 2 3 2 2 2 2" xfId="9814"/>
    <cellStyle name="常规 4 2 10 2 2 2 2 3 2 2 3" xfId="4233"/>
    <cellStyle name="常规 4 2 10 2 2 2 2 3 2 2 4" xfId="9816"/>
    <cellStyle name="常规 4 2 10 2 2 2 2 3 2 3" xfId="9817"/>
    <cellStyle name="常规 4 2 10 2 2 2 2 3 2 3 2" xfId="9818"/>
    <cellStyle name="常规 4 2 10 2 2 2 2 3 2 4" xfId="9819"/>
    <cellStyle name="常规 4 2 10 2 2 2 2 3 2 5" xfId="9820"/>
    <cellStyle name="常规 4 2 10 2 2 2 2 3 3" xfId="9821"/>
    <cellStyle name="常规 4 2 10 2 2 2 2 3 3 2" xfId="9822"/>
    <cellStyle name="常规 4 2 10 2 2 2 2 3 3 2 2" xfId="9824"/>
    <cellStyle name="常规 4 2 10 2 2 2 2 3 3 3" xfId="9827"/>
    <cellStyle name="常规 4 2 10 2 2 2 2 3 3 4" xfId="9829"/>
    <cellStyle name="常规 4 2 10 2 2 2 2 3 4" xfId="9832"/>
    <cellStyle name="常规 4 2 10 2 2 2 2 3 4 2" xfId="9833"/>
    <cellStyle name="常规 4 2 10 2 2 2 2 3 5" xfId="9836"/>
    <cellStyle name="常规 4 2 10 2 2 2 2 3 6" xfId="9839"/>
    <cellStyle name="常规 4 2 10 2 2 2 2 4" xfId="2763"/>
    <cellStyle name="常规 4 2 10 2 2 2 2 4 2" xfId="4665"/>
    <cellStyle name="常规 4 2 10 2 2 2 2 4 2 2" xfId="4670"/>
    <cellStyle name="常规 4 2 10 2 2 2 2 4 2 2 2" xfId="9840"/>
    <cellStyle name="常规 4 2 10 2 2 2 2 4 2 3" xfId="9841"/>
    <cellStyle name="常规 4 2 10 2 2 2 2 4 2 4" xfId="9843"/>
    <cellStyle name="常规 4 2 10 2 2 2 2 4 3" xfId="4691"/>
    <cellStyle name="常规 4 2 10 2 2 2 2 4 3 2" xfId="9844"/>
    <cellStyle name="常规 4 2 10 2 2 2 2 4 4" xfId="4704"/>
    <cellStyle name="常规 4 2 10 2 2 2 2 4 5" xfId="9848"/>
    <cellStyle name="常规 4 2 10 2 2 2 2 5" xfId="2768"/>
    <cellStyle name="常规 4 2 10 2 2 2 2 5 2" xfId="4740"/>
    <cellStyle name="常规 4 2 10 2 2 2 2 5 2 2" xfId="9849"/>
    <cellStyle name="常规 4 2 10 2 2 2 2 5 3" xfId="9853"/>
    <cellStyle name="常规 4 2 10 2 2 2 2 5 4" xfId="9855"/>
    <cellStyle name="常规 4 2 10 2 2 2 2 6" xfId="6354"/>
    <cellStyle name="常规 4 2 10 2 2 2 2 6 2" xfId="4787"/>
    <cellStyle name="常规 4 2 10 2 2 2 2 7" xfId="6358"/>
    <cellStyle name="常规 4 2 10 2 2 2 2 8" xfId="7276"/>
    <cellStyle name="常规 4 2 10 2 2 2 3" xfId="9859"/>
    <cellStyle name="常规 4 2 10 2 2 2 3 2" xfId="9860"/>
    <cellStyle name="常规 4 2 10 2 2 2 3 2 2" xfId="9861"/>
    <cellStyle name="常规 4 2 10 2 2 2 3 2 2 2" xfId="9863"/>
    <cellStyle name="常规 4 2 10 2 2 2 3 2 2 2 2" xfId="9864"/>
    <cellStyle name="常规 4 2 10 2 2 2 3 2 2 2 2 2" xfId="9865"/>
    <cellStyle name="常规 4 2 10 2 2 2 3 2 2 2 3" xfId="9866"/>
    <cellStyle name="常规 4 2 10 2 2 2 3 2 2 2 4" xfId="9867"/>
    <cellStyle name="常规 4 2 10 2 2 2 3 2 2 3" xfId="9869"/>
    <cellStyle name="常规 4 2 10 2 2 2 3 2 2 3 2" xfId="9871"/>
    <cellStyle name="常规 4 2 10 2 2 2 3 2 2 4" xfId="9873"/>
    <cellStyle name="常规 4 2 10 2 2 2 3 2 2 5" xfId="9875"/>
    <cellStyle name="常规 4 2 10 2 2 2 3 2 3" xfId="9876"/>
    <cellStyle name="常规 4 2 10 2 2 2 3 2 3 2" xfId="9877"/>
    <cellStyle name="常规 4 2 10 2 2 2 3 2 3 2 2" xfId="9878"/>
    <cellStyle name="常规 4 2 10 2 2 2 3 2 3 3" xfId="9880"/>
    <cellStyle name="常规 4 2 10 2 2 2 3 2 3 4" xfId="9881"/>
    <cellStyle name="常规 4 2 10 2 2 2 3 2 4" xfId="9882"/>
    <cellStyle name="常规 4 2 10 2 2 2 3 2 4 2" xfId="9883"/>
    <cellStyle name="常规 4 2 10 2 2 2 3 2 5" xfId="9885"/>
    <cellStyle name="常规 4 2 10 2 2 2 3 2 6" xfId="9886"/>
    <cellStyle name="常规 4 2 10 2 2 2 3 3" xfId="9887"/>
    <cellStyle name="常规 4 2 10 2 2 2 3 3 2" xfId="9888"/>
    <cellStyle name="常规 4 2 10 2 2 2 3 3 2 2" xfId="9889"/>
    <cellStyle name="常规 4 2 10 2 2 2 3 3 2 2 2" xfId="9890"/>
    <cellStyle name="常规 4 2 10 2 2 2 3 3 2 3" xfId="9891"/>
    <cellStyle name="常规 4 2 10 2 2 2 3 3 2 4" xfId="9892"/>
    <cellStyle name="常规 4 2 10 2 2 2 3 3 3" xfId="9893"/>
    <cellStyle name="常规 4 2 10 2 2 2 3 3 3 2" xfId="9894"/>
    <cellStyle name="常规 4 2 10 2 2 2 3 3 4" xfId="9895"/>
    <cellStyle name="常规 4 2 10 2 2 2 3 3 5" xfId="9896"/>
    <cellStyle name="常规 4 2 10 2 2 2 3 4" xfId="6367"/>
    <cellStyle name="常规 4 2 10 2 2 2 3 4 2" xfId="2320"/>
    <cellStyle name="常规 4 2 10 2 2 2 3 4 2 2" xfId="9899"/>
    <cellStyle name="常规 4 2 10 2 2 2 3 4 3" xfId="2329"/>
    <cellStyle name="常规 4 2 10 2 2 2 3 4 4" xfId="9901"/>
    <cellStyle name="常规 4 2 10 2 2 2 3 5" xfId="6374"/>
    <cellStyle name="常规 4 2 10 2 2 2 3 5 2" xfId="2374"/>
    <cellStyle name="常规 4 2 10 2 2 2 3 6" xfId="6377"/>
    <cellStyle name="常规 4 2 10 2 2 2 3 7" xfId="9902"/>
    <cellStyle name="常规 4 2 10 2 2 2 4" xfId="9906"/>
    <cellStyle name="常规 4 2 10 2 2 2 4 2" xfId="9908"/>
    <cellStyle name="常规 4 2 10 2 2 2 4 2 2" xfId="9910"/>
    <cellStyle name="常规 4 2 10 2 2 2 4 2 2 2" xfId="3875"/>
    <cellStyle name="常规 4 2 10 2 2 2 4 2 2 2 2" xfId="9912"/>
    <cellStyle name="常规 4 2 10 2 2 2 4 2 2 3" xfId="9913"/>
    <cellStyle name="常规 4 2 10 2 2 2 4 2 2 4" xfId="9916"/>
    <cellStyle name="常规 4 2 10 2 2 2 4 2 3" xfId="9918"/>
    <cellStyle name="常规 4 2 10 2 2 2 4 2 3 2" xfId="9919"/>
    <cellStyle name="常规 4 2 10 2 2 2 4 2 4" xfId="9921"/>
    <cellStyle name="常规 4 2 10 2 2 2 4 2 5" xfId="9922"/>
    <cellStyle name="常规 4 2 10 2 2 2 4 3" xfId="9924"/>
    <cellStyle name="常规 4 2 10 2 2 2 4 3 2" xfId="9927"/>
    <cellStyle name="常规 4 2 10 2 2 2 4 3 2 2" xfId="9928"/>
    <cellStyle name="常规 4 2 10 2 2 2 4 3 3" xfId="9929"/>
    <cellStyle name="常规 4 2 10 2 2 2 4 3 4" xfId="9932"/>
    <cellStyle name="常规 4 2 10 2 2 2 4 4" xfId="6387"/>
    <cellStyle name="常规 4 2 10 2 2 2 4 4 2" xfId="9933"/>
    <cellStyle name="常规 4 2 10 2 2 2 4 5" xfId="9935"/>
    <cellStyle name="常规 4 2 10 2 2 2 4 6" xfId="9936"/>
    <cellStyle name="常规 4 2 10 2 2 2 5" xfId="9938"/>
    <cellStyle name="常规 4 2 10 2 2 2 5 2" xfId="9940"/>
    <cellStyle name="常规 4 2 10 2 2 2 5 2 2" xfId="9942"/>
    <cellStyle name="常规 4 2 10 2 2 2 5 2 2 2" xfId="9943"/>
    <cellStyle name="常规 4 2 10 2 2 2 5 2 3" xfId="9944"/>
    <cellStyle name="常规 4 2 10 2 2 2 5 2 4" xfId="9945"/>
    <cellStyle name="常规 4 2 10 2 2 2 5 3" xfId="9947"/>
    <cellStyle name="常规 4 2 10 2 2 2 5 3 2" xfId="9948"/>
    <cellStyle name="常规 4 2 10 2 2 2 5 4" xfId="9950"/>
    <cellStyle name="常规 4 2 10 2 2 2 5 5" xfId="9951"/>
    <cellStyle name="常规 4 2 10 2 2 2 6" xfId="9953"/>
    <cellStyle name="常规 4 2 10 2 2 2 6 2" xfId="8261"/>
    <cellStyle name="常规 4 2 10 2 2 2 6 2 2" xfId="9954"/>
    <cellStyle name="常规 4 2 10 2 2 2 6 3" xfId="9955"/>
    <cellStyle name="常规 4 2 10 2 2 2 6 4" xfId="9956"/>
    <cellStyle name="常规 4 2 10 2 2 2 7" xfId="9958"/>
    <cellStyle name="常规 4 2 10 2 2 2 7 2" xfId="9959"/>
    <cellStyle name="常规 4 2 10 2 2 2 8" xfId="9961"/>
    <cellStyle name="常规 4 2 10 2 2 2 9" xfId="9963"/>
    <cellStyle name="常规 4 2 10 2 2 3" xfId="9964"/>
    <cellStyle name="常规 4 2 10 2 2 3 2" xfId="9968"/>
    <cellStyle name="常规 4 2 10 2 2 3 2 2" xfId="9969"/>
    <cellStyle name="常规 4 2 10 2 2 3 2 2 2" xfId="9970"/>
    <cellStyle name="常规 4 2 10 2 2 3 2 2 2 2" xfId="9971"/>
    <cellStyle name="常规 4 2 10 2 2 3 2 2 2 2 2" xfId="9973"/>
    <cellStyle name="常规 4 2 10 2 2 3 2 2 2 2 2 2" xfId="9975"/>
    <cellStyle name="常规 4 2 10 2 2 3 2 2 2 2 2 2 2" xfId="9976"/>
    <cellStyle name="常规 4 2 10 2 2 3 2 2 2 2 2 3" xfId="9979"/>
    <cellStyle name="常规 4 2 10 2 2 3 2 2 2 2 2 4" xfId="9980"/>
    <cellStyle name="常规 4 2 10 2 2 3 2 2 2 2 3" xfId="2616"/>
    <cellStyle name="常规 4 2 10 2 2 3 2 2 2 2 3 2" xfId="2619"/>
    <cellStyle name="常规 4 2 10 2 2 3 2 2 2 2 4" xfId="2622"/>
    <cellStyle name="常规 4 2 10 2 2 3 2 2 2 2 5" xfId="2626"/>
    <cellStyle name="常规 4 2 10 2 2 3 2 2 2 3" xfId="9981"/>
    <cellStyle name="常规 4 2 10 2 2 3 2 2 2 3 2" xfId="9982"/>
    <cellStyle name="常规 4 2 10 2 2 3 2 2 2 3 2 2" xfId="9984"/>
    <cellStyle name="常规 4 2 10 2 2 3 2 2 2 3 3" xfId="2634"/>
    <cellStyle name="常规 4 2 10 2 2 3 2 2 2 3 4" xfId="2644"/>
    <cellStyle name="常规 4 2 10 2 2 3 2 2 2 4" xfId="9986"/>
    <cellStyle name="常规 4 2 10 2 2 3 2 2 2 4 2" xfId="9988"/>
    <cellStyle name="常规 4 2 10 2 2 3 2 2 2 5" xfId="9991"/>
    <cellStyle name="常规 4 2 10 2 2 3 2 2 2 6" xfId="9993"/>
    <cellStyle name="常规 4 2 10 2 2 3 2 2 3" xfId="9994"/>
    <cellStyle name="常规 4 2 10 2 2 3 2 2 3 2" xfId="9995"/>
    <cellStyle name="常规 4 2 10 2 2 3 2 2 3 2 2" xfId="9996"/>
    <cellStyle name="常规 4 2 10 2 2 3 2 2 3 2 2 2" xfId="9998"/>
    <cellStyle name="常规 4 2 10 2 2 3 2 2 3 2 3" xfId="9999"/>
    <cellStyle name="常规 4 2 10 2 2 3 2 2 3 2 4" xfId="10000"/>
    <cellStyle name="常规 4 2 10 2 2 3 2 2 3 3" xfId="10001"/>
    <cellStyle name="常规 4 2 10 2 2 3 2 2 3 3 2" xfId="10002"/>
    <cellStyle name="常规 4 2 10 2 2 3 2 2 3 4" xfId="10004"/>
    <cellStyle name="常规 4 2 10 2 2 3 2 2 3 5" xfId="10006"/>
    <cellStyle name="常规 4 2 10 2 2 3 2 2 4" xfId="10007"/>
    <cellStyle name="常规 4 2 10 2 2 3 2 2 4 2" xfId="10009"/>
    <cellStyle name="常规 4 2 10 2 2 3 2 2 4 2 2" xfId="10011"/>
    <cellStyle name="常规 4 2 10 2 2 3 2 2 4 3" xfId="10013"/>
    <cellStyle name="常规 4 2 10 2 2 3 2 2 4 4" xfId="10016"/>
    <cellStyle name="常规 4 2 10 2 2 3 2 2 5" xfId="10019"/>
    <cellStyle name="常规 4 2 10 2 2 3 2 2 5 2" xfId="10021"/>
    <cellStyle name="常规 4 2 10 2 2 3 2 2 6" xfId="10022"/>
    <cellStyle name="常规 4 2 10 2 2 3 2 2 7" xfId="10023"/>
    <cellStyle name="常规 4 2 10 2 2 3 2 3" xfId="10024"/>
    <cellStyle name="常规 4 2 10 2 2 3 2 3 2" xfId="10025"/>
    <cellStyle name="常规 4 2 10 2 2 3 2 3 2 2" xfId="10026"/>
    <cellStyle name="常规 4 2 10 2 2 3 2 3 2 2 2" xfId="10027"/>
    <cellStyle name="常规 4 2 10 2 2 3 2 3 2 2 2 2" xfId="10029"/>
    <cellStyle name="常规 4 2 10 2 2 3 2 3 2 2 3" xfId="10030"/>
    <cellStyle name="常规 4 2 10 2 2 3 2 3 2 2 4" xfId="10031"/>
    <cellStyle name="常规 4 2 10 2 2 3 2 3 2 3" xfId="10032"/>
    <cellStyle name="常规 4 2 10 2 2 3 2 3 2 3 2" xfId="10033"/>
    <cellStyle name="常规 4 2 10 2 2 3 2 3 2 4" xfId="10035"/>
    <cellStyle name="常规 4 2 10 2 2 3 2 3 2 5" xfId="10037"/>
    <cellStyle name="常规 4 2 10 2 2 3 2 3 3" xfId="10038"/>
    <cellStyle name="常规 4 2 10 2 2 3 2 3 3 2" xfId="10039"/>
    <cellStyle name="常规 4 2 10 2 2 3 2 3 3 2 2" xfId="10040"/>
    <cellStyle name="常规 4 2 10 2 2 3 2 3 3 3" xfId="10041"/>
    <cellStyle name="常规 4 2 10 2 2 3 2 3 3 4" xfId="10042"/>
    <cellStyle name="常规 4 2 10 2 2 3 2 3 4" xfId="10045"/>
    <cellStyle name="常规 4 2 10 2 2 3 2 3 4 2" xfId="485"/>
    <cellStyle name="常规 4 2 10 2 2 3 2 3 5" xfId="10046"/>
    <cellStyle name="常规 4 2 10 2 2 3 2 3 6" xfId="10049"/>
    <cellStyle name="常规 4 2 10 2 2 3 2 4" xfId="6393"/>
    <cellStyle name="常规 4 2 10 2 2 3 2 4 2" xfId="1030"/>
    <cellStyle name="常规 4 2 10 2 2 3 2 4 2 2" xfId="10051"/>
    <cellStyle name="常规 4 2 10 2 2 3 2 4 2 2 2" xfId="10052"/>
    <cellStyle name="常规 4 2 10 2 2 3 2 4 2 3" xfId="10053"/>
    <cellStyle name="常规 4 2 10 2 2 3 2 4 2 4" xfId="10055"/>
    <cellStyle name="常规 4 2 10 2 2 3 2 4 3" xfId="10059"/>
    <cellStyle name="常规 4 2 10 2 2 3 2 4 3 2" xfId="10060"/>
    <cellStyle name="常规 4 2 10 2 2 3 2 4 4" xfId="10061"/>
    <cellStyle name="常规 4 2 10 2 2 3 2 4 5" xfId="10062"/>
    <cellStyle name="常规 4 2 10 2 2 3 2 5" xfId="6398"/>
    <cellStyle name="常规 4 2 10 2 2 3 2 5 2" xfId="10064"/>
    <cellStyle name="常规 4 2 10 2 2 3 2 5 2 2" xfId="10065"/>
    <cellStyle name="常规 4 2 10 2 2 3 2 5 3" xfId="10067"/>
    <cellStyle name="常规 4 2 10 2 2 3 2 5 4" xfId="10069"/>
    <cellStyle name="常规 4 2 10 2 2 3 2 6" xfId="928"/>
    <cellStyle name="常规 4 2 10 2 2 3 2 6 2" xfId="4968"/>
    <cellStyle name="常规 4 2 10 2 2 3 2 7" xfId="10070"/>
    <cellStyle name="常规 4 2 10 2 2 3 2 8" xfId="7281"/>
    <cellStyle name="常规 4 2 10 2 2 3 3" xfId="10072"/>
    <cellStyle name="常规 4 2 10 2 2 3 3 2" xfId="10073"/>
    <cellStyle name="常规 4 2 10 2 2 3 3 2 2" xfId="10076"/>
    <cellStyle name="常规 4 2 10 2 2 3 3 2 2 2" xfId="10077"/>
    <cellStyle name="常规 4 2 10 2 2 3 3 2 2 2 2" xfId="10078"/>
    <cellStyle name="常规 4 2 10 2 2 3 3 2 2 2 2 2" xfId="10080"/>
    <cellStyle name="常规 4 2 10 2 2 3 3 2 2 2 3" xfId="10081"/>
    <cellStyle name="常规 4 2 10 2 2 3 3 2 2 2 4" xfId="10082"/>
    <cellStyle name="常规 4 2 10 2 2 3 3 2 2 3" xfId="10083"/>
    <cellStyle name="常规 4 2 10 2 2 3 3 2 2 3 2" xfId="10084"/>
    <cellStyle name="常规 4 2 10 2 2 3 3 2 2 4" xfId="10086"/>
    <cellStyle name="常规 4 2 10 2 2 3 3 2 2 5" xfId="10088"/>
    <cellStyle name="常规 4 2 10 2 2 3 3 2 3" xfId="10089"/>
    <cellStyle name="常规 4 2 10 2 2 3 3 2 3 2" xfId="10090"/>
    <cellStyle name="常规 4 2 10 2 2 3 3 2 3 2 2" xfId="10091"/>
    <cellStyle name="常规 4 2 10 2 2 3 3 2 3 3" xfId="10092"/>
    <cellStyle name="常规 4 2 10 2 2 3 3 2 3 4" xfId="10094"/>
    <cellStyle name="常规 4 2 10 2 2 3 3 2 4" xfId="10095"/>
    <cellStyle name="常规 4 2 10 2 2 3 3 2 4 2" xfId="10097"/>
    <cellStyle name="常规 4 2 10 2 2 3 3 2 5" xfId="10098"/>
    <cellStyle name="常规 4 2 10 2 2 3 3 2 6" xfId="10100"/>
    <cellStyle name="常规 4 2 10 2 2 3 3 3" xfId="10101"/>
    <cellStyle name="常规 4 2 10 2 2 3 3 3 2" xfId="10102"/>
    <cellStyle name="常规 4 2 10 2 2 3 3 3 2 2" xfId="10104"/>
    <cellStyle name="常规 4 2 10 2 2 3 3 3 2 2 2" xfId="10106"/>
    <cellStyle name="常规 4 2 10 2 2 3 3 3 2 3" xfId="721"/>
    <cellStyle name="常规 4 2 10 2 2 3 3 3 2 4" xfId="768"/>
    <cellStyle name="常规 4 2 10 2 2 3 3 3 3" xfId="10107"/>
    <cellStyle name="常规 4 2 10 2 2 3 3 3 3 2" xfId="10108"/>
    <cellStyle name="常规 4 2 10 2 2 3 3 3 4" xfId="10109"/>
    <cellStyle name="常规 4 2 10 2 2 3 3 3 5" xfId="10110"/>
    <cellStyle name="常规 4 2 10 2 2 3 3 4" xfId="6403"/>
    <cellStyle name="常规 4 2 10 2 2 3 3 4 2" xfId="10112"/>
    <cellStyle name="常规 4 2 10 2 2 3 3 4 2 2" xfId="10115"/>
    <cellStyle name="常规 4 2 10 2 2 3 3 4 3" xfId="10117"/>
    <cellStyle name="常规 4 2 10 2 2 3 3 4 4" xfId="10118"/>
    <cellStyle name="常规 4 2 10 2 2 3 3 5" xfId="10119"/>
    <cellStyle name="常规 4 2 10 2 2 3 3 5 2" xfId="10120"/>
    <cellStyle name="常规 4 2 10 2 2 3 3 6" xfId="10121"/>
    <cellStyle name="常规 4 2 10 2 2 3 3 7" xfId="3231"/>
    <cellStyle name="常规 4 2 10 2 2 3 4" xfId="10127"/>
    <cellStyle name="常规 4 2 10 2 2 3 4 2" xfId="10129"/>
    <cellStyle name="常规 4 2 10 2 2 3 4 2 2" xfId="10134"/>
    <cellStyle name="常规 4 2 10 2 2 3 4 2 2 2" xfId="10135"/>
    <cellStyle name="常规 4 2 10 2 2 3 4 2 2 2 2" xfId="10136"/>
    <cellStyle name="常规 4 2 10 2 2 3 4 2 2 3" xfId="10138"/>
    <cellStyle name="常规 4 2 10 2 2 3 4 2 2 4" xfId="10141"/>
    <cellStyle name="常规 4 2 10 2 2 3 4 2 3" xfId="10143"/>
    <cellStyle name="常规 4 2 10 2 2 3 4 2 3 2" xfId="10144"/>
    <cellStyle name="常规 4 2 10 2 2 3 4 2 4" xfId="404"/>
    <cellStyle name="常规 4 2 10 2 2 3 4 2 5" xfId="10145"/>
    <cellStyle name="常规 4 2 10 2 2 3 4 3" xfId="10147"/>
    <cellStyle name="常规 4 2 10 2 2 3 4 3 2" xfId="10149"/>
    <cellStyle name="常规 4 2 10 2 2 3 4 3 2 2" xfId="10150"/>
    <cellStyle name="常规 4 2 10 2 2 3 4 3 3" xfId="10151"/>
    <cellStyle name="常规 4 2 10 2 2 3 4 3 4" xfId="10152"/>
    <cellStyle name="常规 4 2 10 2 2 3 4 4" xfId="10154"/>
    <cellStyle name="常规 4 2 10 2 2 3 4 4 2" xfId="10157"/>
    <cellStyle name="常规 4 2 10 2 2 3 4 5" xfId="10159"/>
    <cellStyle name="常规 4 2 10 2 2 3 4 6" xfId="10160"/>
    <cellStyle name="常规 4 2 10 2 2 3 5" xfId="10162"/>
    <cellStyle name="常规 4 2 10 2 2 3 5 2" xfId="10164"/>
    <cellStyle name="常规 4 2 10 2 2 3 5 2 2" xfId="10167"/>
    <cellStyle name="常规 4 2 10 2 2 3 5 2 2 2" xfId="10169"/>
    <cellStyle name="常规 4 2 10 2 2 3 5 2 3" xfId="10171"/>
    <cellStyle name="常规 4 2 10 2 2 3 5 2 4" xfId="10173"/>
    <cellStyle name="常规 4 2 10 2 2 3 5 3" xfId="10174"/>
    <cellStyle name="常规 4 2 10 2 2 3 5 3 2" xfId="1560"/>
    <cellStyle name="常规 4 2 10 2 2 3 5 4" xfId="10175"/>
    <cellStyle name="常规 4 2 10 2 2 3 5 5" xfId="10176"/>
    <cellStyle name="常规 4 2 10 2 2 3 6" xfId="10178"/>
    <cellStyle name="常规 4 2 10 2 2 3 6 2" xfId="7227"/>
    <cellStyle name="常规 4 2 10 2 2 3 6 2 2" xfId="10180"/>
    <cellStyle name="常规 4 2 10 2 2 3 6 3" xfId="10181"/>
    <cellStyle name="常规 4 2 10 2 2 3 6 4" xfId="10182"/>
    <cellStyle name="常规 4 2 10 2 2 3 7" xfId="10185"/>
    <cellStyle name="常规 4 2 10 2 2 3 7 2" xfId="10186"/>
    <cellStyle name="常规 4 2 10 2 2 3 8" xfId="10189"/>
    <cellStyle name="常规 4 2 10 2 2 3 9" xfId="10192"/>
    <cellStyle name="常规 4 2 10 2 2 4" xfId="10193"/>
    <cellStyle name="常规 4 2 10 2 2 4 2" xfId="10194"/>
    <cellStyle name="常规 4 2 10 2 2 4 2 2" xfId="10195"/>
    <cellStyle name="常规 4 2 10 2 2 4 2 2 2" xfId="10196"/>
    <cellStyle name="常规 4 2 10 2 2 4 2 2 2 2" xfId="10197"/>
    <cellStyle name="常规 4 2 10 2 2 4 2 2 2 2 2" xfId="10198"/>
    <cellStyle name="常规 4 2 10 2 2 4 2 2 2 2 2 2" xfId="10199"/>
    <cellStyle name="常规 4 2 10 2 2 4 2 2 2 2 3" xfId="10202"/>
    <cellStyle name="常规 4 2 10 2 2 4 2 2 2 2 4" xfId="10203"/>
    <cellStyle name="常规 4 2 10 2 2 4 2 2 2 3" xfId="10204"/>
    <cellStyle name="常规 4 2 10 2 2 4 2 2 2 3 2" xfId="10205"/>
    <cellStyle name="常规 4 2 10 2 2 4 2 2 2 4" xfId="9826"/>
    <cellStyle name="常规 4 2 10 2 2 4 2 2 2 5" xfId="10207"/>
    <cellStyle name="常规 4 2 10 2 2 4 2 2 3" xfId="10208"/>
    <cellStyle name="常规 4 2 10 2 2 4 2 2 3 2" xfId="10209"/>
    <cellStyle name="常规 4 2 10 2 2 4 2 2 3 2 2" xfId="10210"/>
    <cellStyle name="常规 4 2 10 2 2 4 2 2 3 3" xfId="10211"/>
    <cellStyle name="常规 4 2 10 2 2 4 2 2 3 4" xfId="284"/>
    <cellStyle name="常规 4 2 10 2 2 4 2 2 4" xfId="10212"/>
    <cellStyle name="常规 4 2 10 2 2 4 2 2 4 2" xfId="10213"/>
    <cellStyle name="常规 4 2 10 2 2 4 2 2 5" xfId="10215"/>
    <cellStyle name="常规 4 2 10 2 2 4 2 2 6" xfId="10217"/>
    <cellStyle name="常规 4 2 10 2 2 4 2 3" xfId="10219"/>
    <cellStyle name="常规 4 2 10 2 2 4 2 3 2" xfId="10221"/>
    <cellStyle name="常规 4 2 10 2 2 4 2 3 2 2" xfId="10223"/>
    <cellStyle name="常规 4 2 10 2 2 4 2 3 2 2 2" xfId="10225"/>
    <cellStyle name="常规 4 2 10 2 2 4 2 3 2 3" xfId="10227"/>
    <cellStyle name="常规 4 2 10 2 2 4 2 3 2 4" xfId="10230"/>
    <cellStyle name="常规 4 2 10 2 2 4 2 3 3" xfId="10233"/>
    <cellStyle name="常规 4 2 10 2 2 4 2 3 3 2" xfId="10237"/>
    <cellStyle name="常规 4 2 10 2 2 4 2 3 4" xfId="10240"/>
    <cellStyle name="常规 4 2 10 2 2 4 2 3 5" xfId="10244"/>
    <cellStyle name="常规 4 2 10 2 2 4 2 4" xfId="6410"/>
    <cellStyle name="常规 4 2 10 2 2 4 2 4 2" xfId="10247"/>
    <cellStyle name="常规 4 2 10 2 2 4 2 4 2 2" xfId="10249"/>
    <cellStyle name="常规 4 2 10 2 2 4 2 4 3" xfId="10252"/>
    <cellStyle name="常规 4 2 10 2 2 4 2 4 4" xfId="10255"/>
    <cellStyle name="常规 4 2 10 2 2 4 2 5" xfId="10257"/>
    <cellStyle name="常规 4 2 10 2 2 4 2 5 2" xfId="10259"/>
    <cellStyle name="常规 4 2 10 2 2 4 2 6" xfId="10261"/>
    <cellStyle name="常规 4 2 10 2 2 4 2 7" xfId="10264"/>
    <cellStyle name="常规 4 2 10 2 2 4 3" xfId="10265"/>
    <cellStyle name="常规 4 2 10 2 2 4 3 2" xfId="10266"/>
    <cellStyle name="常规 4 2 10 2 2 4 3 2 2" xfId="10267"/>
    <cellStyle name="常规 4 2 10 2 2 4 3 2 2 2" xfId="10268"/>
    <cellStyle name="常规 4 2 10 2 2 4 3 2 2 2 2" xfId="10269"/>
    <cellStyle name="常规 4 2 10 2 2 4 3 2 2 3" xfId="5224"/>
    <cellStyle name="常规 4 2 10 2 2 4 3 2 2 4" xfId="10271"/>
    <cellStyle name="常规 4 2 10 2 2 4 3 2 3" xfId="10272"/>
    <cellStyle name="常规 4 2 10 2 2 4 3 2 3 2" xfId="10273"/>
    <cellStyle name="常规 4 2 10 2 2 4 3 2 4" xfId="10274"/>
    <cellStyle name="常规 4 2 10 2 2 4 3 2 5" xfId="10276"/>
    <cellStyle name="常规 4 2 10 2 2 4 3 3" xfId="10278"/>
    <cellStyle name="常规 4 2 10 2 2 4 3 3 2" xfId="10280"/>
    <cellStyle name="常规 4 2 10 2 2 4 3 3 2 2" xfId="10282"/>
    <cellStyle name="常规 4 2 10 2 2 4 3 3 3" xfId="10285"/>
    <cellStyle name="常规 4 2 10 2 2 4 3 3 4" xfId="10288"/>
    <cellStyle name="常规 4 2 10 2 2 4 3 4" xfId="10290"/>
    <cellStyle name="常规 4 2 10 2 2 4 3 4 2" xfId="10292"/>
    <cellStyle name="常规 4 2 10 2 2 4 3 5" xfId="10294"/>
    <cellStyle name="常规 4 2 10 2 2 4 3 6" xfId="10296"/>
    <cellStyle name="常规 4 2 10 2 2 4 4" xfId="10298"/>
    <cellStyle name="常规 4 2 10 2 2 4 4 2" xfId="4329"/>
    <cellStyle name="常规 4 2 10 2 2 4 4 2 2" xfId="4336"/>
    <cellStyle name="常规 4 2 10 2 2 4 4 2 2 2" xfId="10299"/>
    <cellStyle name="常规 4 2 10 2 2 4 4 2 3" xfId="10301"/>
    <cellStyle name="常规 4 2 10 2 2 4 4 2 4" xfId="10302"/>
    <cellStyle name="常规 4 2 10 2 2 4 4 3" xfId="3435"/>
    <cellStyle name="常规 4 2 10 2 2 4 4 3 2" xfId="10305"/>
    <cellStyle name="常规 4 2 10 2 2 4 4 4" xfId="4344"/>
    <cellStyle name="常规 4 2 10 2 2 4 4 5" xfId="10308"/>
    <cellStyle name="常规 4 2 10 2 2 4 5" xfId="10310"/>
    <cellStyle name="常规 4 2 10 2 2 4 5 2" xfId="4388"/>
    <cellStyle name="常规 4 2 10 2 2 4 5 2 2" xfId="10313"/>
    <cellStyle name="常规 4 2 10 2 2 4 5 3" xfId="4395"/>
    <cellStyle name="常规 4 2 10 2 2 4 5 4" xfId="10314"/>
    <cellStyle name="常规 4 2 10 2 2 4 6" xfId="10316"/>
    <cellStyle name="常规 4 2 10 2 2 4 6 2" xfId="4444"/>
    <cellStyle name="常规 4 2 10 2 2 4 7" xfId="10317"/>
    <cellStyle name="常规 4 2 10 2 2 4 8" xfId="10319"/>
    <cellStyle name="常规 4 2 10 2 2 5" xfId="10320"/>
    <cellStyle name="常规 4 2 10 2 2 5 2" xfId="10321"/>
    <cellStyle name="常规 4 2 10 2 2 5 2 2" xfId="10322"/>
    <cellStyle name="常规 4 2 10 2 2 5 2 2 2" xfId="10323"/>
    <cellStyle name="常规 4 2 10 2 2 5 2 2 2 2" xfId="10325"/>
    <cellStyle name="常规 4 2 10 2 2 5 2 2 2 2 2" xfId="10326"/>
    <cellStyle name="常规 4 2 10 2 2 5 2 2 2 3" xfId="10327"/>
    <cellStyle name="常规 4 2 10 2 2 5 2 2 2 4" xfId="10328"/>
    <cellStyle name="常规 4 2 10 2 2 5 2 2 3" xfId="10329"/>
    <cellStyle name="常规 4 2 10 2 2 5 2 2 3 2" xfId="10330"/>
    <cellStyle name="常规 4 2 10 2 2 5 2 2 4" xfId="10331"/>
    <cellStyle name="常规 4 2 10 2 2 5 2 2 5" xfId="10332"/>
    <cellStyle name="常规 4 2 10 2 2 5 2 3" xfId="10334"/>
    <cellStyle name="常规 4 2 10 2 2 5 2 3 2" xfId="10336"/>
    <cellStyle name="常规 4 2 10 2 2 5 2 3 2 2" xfId="10338"/>
    <cellStyle name="常规 4 2 10 2 2 5 2 3 3" xfId="10340"/>
    <cellStyle name="常规 4 2 10 2 2 5 2 3 4" xfId="10342"/>
    <cellStyle name="常规 4 2 10 2 2 5 2 4" xfId="10344"/>
    <cellStyle name="常规 4 2 10 2 2 5 2 4 2" xfId="10346"/>
    <cellStyle name="常规 4 2 10 2 2 5 2 5" xfId="10348"/>
    <cellStyle name="常规 4 2 10 2 2 5 2 6" xfId="10350"/>
    <cellStyle name="常规 4 2 10 2 2 5 3" xfId="10351"/>
    <cellStyle name="常规 4 2 10 2 2 5 3 2" xfId="10352"/>
    <cellStyle name="常规 4 2 10 2 2 5 3 2 2" xfId="10353"/>
    <cellStyle name="常规 4 2 10 2 2 5 3 2 2 2" xfId="10354"/>
    <cellStyle name="常规 4 2 10 2 2 5 3 2 3" xfId="10355"/>
    <cellStyle name="常规 4 2 10 2 2 5 3 2 4" xfId="10356"/>
    <cellStyle name="常规 4 2 10 2 2 5 3 3" xfId="10358"/>
    <cellStyle name="常规 4 2 10 2 2 5 3 3 2" xfId="10360"/>
    <cellStyle name="常规 4 2 10 2 2 5 3 4" xfId="10362"/>
    <cellStyle name="常规 4 2 10 2 2 5 3 5" xfId="10364"/>
    <cellStyle name="常规 4 2 10 2 2 5 4" xfId="10366"/>
    <cellStyle name="常规 4 2 10 2 2 5 4 2" xfId="4494"/>
    <cellStyle name="常规 4 2 10 2 2 5 4 2 2" xfId="10368"/>
    <cellStyle name="常规 4 2 10 2 2 5 4 3" xfId="4502"/>
    <cellStyle name="常规 4 2 10 2 2 5 4 4" xfId="10369"/>
    <cellStyle name="常规 4 2 10 2 2 5 5" xfId="10370"/>
    <cellStyle name="常规 4 2 10 2 2 5 5 2" xfId="4526"/>
    <cellStyle name="常规 4 2 10 2 2 5 6" xfId="10371"/>
    <cellStyle name="常规 4 2 10 2 2 5 7" xfId="10373"/>
    <cellStyle name="常规 4 2 10 2 2 6" xfId="10374"/>
    <cellStyle name="常规 4 2 10 2 2 6 2" xfId="10375"/>
    <cellStyle name="常规 4 2 10 2 2 6 2 2" xfId="10377"/>
    <cellStyle name="常规 4 2 10 2 2 6 2 2 2" xfId="10379"/>
    <cellStyle name="常规 4 2 10 2 2 6 2 2 2 2" xfId="10381"/>
    <cellStyle name="常规 4 2 10 2 2 6 2 2 3" xfId="10382"/>
    <cellStyle name="常规 4 2 10 2 2 6 2 2 4" xfId="10385"/>
    <cellStyle name="常规 4 2 10 2 2 6 2 3" xfId="10386"/>
    <cellStyle name="常规 4 2 10 2 2 6 2 3 2" xfId="10390"/>
    <cellStyle name="常规 4 2 10 2 2 6 2 4" xfId="8952"/>
    <cellStyle name="常规 4 2 10 2 2 6 2 5" xfId="9043"/>
    <cellStyle name="常规 4 2 10 2 2 6 3" xfId="10393"/>
    <cellStyle name="常规 4 2 10 2 2 6 3 2" xfId="10395"/>
    <cellStyle name="常规 4 2 10 2 2 6 3 2 2" xfId="10397"/>
    <cellStyle name="常规 4 2 10 2 2 6 3 3" xfId="10398"/>
    <cellStyle name="常规 4 2 10 2 2 6 3 4" xfId="9131"/>
    <cellStyle name="常规 4 2 10 2 2 6 4" xfId="10401"/>
    <cellStyle name="常规 4 2 10 2 2 6 4 2" xfId="4546"/>
    <cellStyle name="常规 4 2 10 2 2 6 5" xfId="10403"/>
    <cellStyle name="常规 4 2 10 2 2 6 6" xfId="10405"/>
    <cellStyle name="常规 4 2 10 2 2 7" xfId="10406"/>
    <cellStyle name="常规 4 2 10 2 2 7 2" xfId="10407"/>
    <cellStyle name="常规 4 2 10 2 2 7 2 2" xfId="10409"/>
    <cellStyle name="常规 4 2 10 2 2 7 2 2 2" xfId="10411"/>
    <cellStyle name="常规 4 2 10 2 2 7 2 3" xfId="10412"/>
    <cellStyle name="常规 4 2 10 2 2 7 2 4" xfId="9260"/>
    <cellStyle name="常规 4 2 10 2 2 7 3" xfId="10415"/>
    <cellStyle name="常规 4 2 10 2 2 7 3 2" xfId="10417"/>
    <cellStyle name="常规 4 2 10 2 2 7 4" xfId="10418"/>
    <cellStyle name="常规 4 2 10 2 2 7 5" xfId="10421"/>
    <cellStyle name="常规 4 2 10 2 2 8" xfId="10422"/>
    <cellStyle name="常规 4 2 10 2 2 8 2" xfId="10423"/>
    <cellStyle name="常规 4 2 10 2 2 8 2 2" xfId="10425"/>
    <cellStyle name="常规 4 2 10 2 2 8 3" xfId="10426"/>
    <cellStyle name="常规 4 2 10 2 2 8 4" xfId="10428"/>
    <cellStyle name="常规 4 2 10 2 2 9" xfId="10429"/>
    <cellStyle name="常规 4 2 10 2 2 9 2" xfId="10431"/>
    <cellStyle name="常规 4 2 10 2 3" xfId="9659"/>
    <cellStyle name="常规 4 2 10 2 3 2" xfId="10433"/>
    <cellStyle name="常规 4 2 10 2 3 2 2" xfId="10436"/>
    <cellStyle name="常规 4 2 10 2 3 2 2 2" xfId="10437"/>
    <cellStyle name="常规 4 2 10 2 3 2 2 2 2" xfId="10439"/>
    <cellStyle name="常规 4 2 10 2 3 2 2 2 2 2" xfId="10441"/>
    <cellStyle name="常规 4 2 10 2 3 2 2 2 2 2 2" xfId="10443"/>
    <cellStyle name="常规 4 2 10 2 3 2 2 2 2 2 2 2" xfId="10444"/>
    <cellStyle name="常规 4 2 10 2 3 2 2 2 2 2 3" xfId="10446"/>
    <cellStyle name="常规 4 2 10 2 3 2 2 2 2 2 4" xfId="10449"/>
    <cellStyle name="常规 4 2 10 2 3 2 2 2 2 3" xfId="10451"/>
    <cellStyle name="常规 4 2 10 2 3 2 2 2 2 3 2" xfId="10452"/>
    <cellStyle name="常规 4 2 10 2 3 2 2 2 2 4" xfId="10454"/>
    <cellStyle name="常规 4 2 10 2 3 2 2 2 2 5" xfId="10455"/>
    <cellStyle name="常规 4 2 10 2 3 2 2 2 3" xfId="10457"/>
    <cellStyle name="常规 4 2 10 2 3 2 2 2 3 2" xfId="10460"/>
    <cellStyle name="常规 4 2 10 2 3 2 2 2 3 2 2" xfId="10462"/>
    <cellStyle name="常规 4 2 10 2 3 2 2 2 3 3" xfId="10464"/>
    <cellStyle name="常规 4 2 10 2 3 2 2 2 3 4" xfId="10465"/>
    <cellStyle name="常规 4 2 10 2 3 2 2 2 4" xfId="1233"/>
    <cellStyle name="常规 4 2 10 2 3 2 2 2 4 2" xfId="10467"/>
    <cellStyle name="常规 4 2 10 2 3 2 2 2 5" xfId="10469"/>
    <cellStyle name="常规 4 2 10 2 3 2 2 2 6" xfId="10470"/>
    <cellStyle name="常规 4 2 10 2 3 2 2 3" xfId="10471"/>
    <cellStyle name="常规 4 2 10 2 3 2 2 3 2" xfId="10474"/>
    <cellStyle name="常规 4 2 10 2 3 2 2 3 2 2" xfId="10476"/>
    <cellStyle name="常规 4 2 10 2 3 2 2 3 2 2 2" xfId="10478"/>
    <cellStyle name="常规 4 2 10 2 3 2 2 3 2 3" xfId="10480"/>
    <cellStyle name="常规 4 2 10 2 3 2 2 3 2 4" xfId="10482"/>
    <cellStyle name="常规 4 2 10 2 3 2 2 3 3" xfId="10485"/>
    <cellStyle name="常规 4 2 10 2 3 2 2 3 3 2" xfId="10487"/>
    <cellStyle name="常规 4 2 10 2 3 2 2 3 4" xfId="10489"/>
    <cellStyle name="常规 4 2 10 2 3 2 2 3 5" xfId="1737"/>
    <cellStyle name="常规 4 2 10 2 3 2 2 4" xfId="1251"/>
    <cellStyle name="常规 4 2 10 2 3 2 2 4 2" xfId="3098"/>
    <cellStyle name="常规 4 2 10 2 3 2 2 4 2 2" xfId="6539"/>
    <cellStyle name="常规 4 2 10 2 3 2 2 4 3" xfId="3460"/>
    <cellStyle name="常规 4 2 10 2 3 2 2 4 4" xfId="6545"/>
    <cellStyle name="常规 4 2 10 2 3 2 2 5" xfId="3397"/>
    <cellStyle name="常规 4 2 10 2 3 2 2 5 2" xfId="3141"/>
    <cellStyle name="常规 4 2 10 2 3 2 2 6" xfId="3484"/>
    <cellStyle name="常规 4 2 10 2 3 2 2 7" xfId="3488"/>
    <cellStyle name="常规 4 2 10 2 3 2 3" xfId="10491"/>
    <cellStyle name="常规 4 2 10 2 3 2 3 2" xfId="10492"/>
    <cellStyle name="常规 4 2 10 2 3 2 3 2 2" xfId="1126"/>
    <cellStyle name="常规 4 2 10 2 3 2 3 2 2 2" xfId="10495"/>
    <cellStyle name="常规 4 2 10 2 3 2 3 2 2 2 2" xfId="10496"/>
    <cellStyle name="常规 4 2 10 2 3 2 3 2 2 3" xfId="10497"/>
    <cellStyle name="常规 4 2 10 2 3 2 3 2 2 4" xfId="10498"/>
    <cellStyle name="常规 4 2 10 2 3 2 3 2 3" xfId="10500"/>
    <cellStyle name="常规 4 2 10 2 3 2 3 2 3 2" xfId="10502"/>
    <cellStyle name="常规 4 2 10 2 3 2 3 2 4" xfId="10504"/>
    <cellStyle name="常规 4 2 10 2 3 2 3 2 5" xfId="10505"/>
    <cellStyle name="常规 4 2 10 2 3 2 3 3" xfId="10506"/>
    <cellStyle name="常规 4 2 10 2 3 2 3 3 2" xfId="1868"/>
    <cellStyle name="常规 4 2 10 2 3 2 3 3 2 2" xfId="1392"/>
    <cellStyle name="常规 4 2 10 2 3 2 3 3 3" xfId="1879"/>
    <cellStyle name="常规 4 2 10 2 3 2 3 3 4" xfId="1907"/>
    <cellStyle name="常规 4 2 10 2 3 2 3 4" xfId="1002"/>
    <cellStyle name="常规 4 2 10 2 3 2 3 4 2" xfId="5005"/>
    <cellStyle name="常规 4 2 10 2 3 2 3 5" xfId="3506"/>
    <cellStyle name="常规 4 2 10 2 3 2 3 6" xfId="6548"/>
    <cellStyle name="常规 4 2 10 2 3 2 4" xfId="10508"/>
    <cellStyle name="常规 4 2 10 2 3 2 4 2" xfId="10511"/>
    <cellStyle name="常规 4 2 10 2 3 2 4 2 2" xfId="10515"/>
    <cellStyle name="常规 4 2 10 2 3 2 4 2 2 2" xfId="333"/>
    <cellStyle name="常规 4 2 10 2 3 2 4 2 3" xfId="10518"/>
    <cellStyle name="常规 4 2 10 2 3 2 4 2 4" xfId="10520"/>
    <cellStyle name="常规 4 2 10 2 3 2 4 3" xfId="10523"/>
    <cellStyle name="常规 4 2 10 2 3 2 4 3 2" xfId="10526"/>
    <cellStyle name="常规 4 2 10 2 3 2 4 4" xfId="1333"/>
    <cellStyle name="常规 4 2 10 2 3 2 4 5" xfId="10528"/>
    <cellStyle name="常规 4 2 10 2 3 2 5" xfId="10533"/>
    <cellStyle name="常规 4 2 10 2 3 2 5 2" xfId="10537"/>
    <cellStyle name="常规 4 2 10 2 3 2 5 2 2" xfId="10542"/>
    <cellStyle name="常规 4 2 10 2 3 2 5 3" xfId="10545"/>
    <cellStyle name="常规 4 2 10 2 3 2 5 4" xfId="10548"/>
    <cellStyle name="常规 4 2 10 2 3 2 6" xfId="10554"/>
    <cellStyle name="常规 4 2 10 2 3 2 6 2" xfId="8488"/>
    <cellStyle name="常规 4 2 10 2 3 2 7" xfId="10559"/>
    <cellStyle name="常规 4 2 10 2 3 2 8" xfId="3037"/>
    <cellStyle name="常规 4 2 10 2 3 3" xfId="10562"/>
    <cellStyle name="常规 4 2 10 2 3 3 2" xfId="10563"/>
    <cellStyle name="常规 4 2 10 2 3 3 2 2" xfId="10564"/>
    <cellStyle name="常规 4 2 10 2 3 3 2 2 2" xfId="10565"/>
    <cellStyle name="常规 4 2 10 2 3 3 2 2 2 2" xfId="10567"/>
    <cellStyle name="常规 4 2 10 2 3 3 2 2 2 2 2" xfId="10569"/>
    <cellStyle name="常规 4 2 10 2 3 3 2 2 2 3" xfId="10571"/>
    <cellStyle name="常规 4 2 10 2 3 3 2 2 2 4" xfId="10573"/>
    <cellStyle name="常规 4 2 10 2 3 3 2 2 3" xfId="10574"/>
    <cellStyle name="常规 4 2 10 2 3 3 2 2 3 2" xfId="10578"/>
    <cellStyle name="常规 4 2 10 2 3 3 2 2 4" xfId="10458"/>
    <cellStyle name="常规 4 2 10 2 3 3 2 2 5" xfId="10463"/>
    <cellStyle name="常规 4 2 10 2 3 3 2 3" xfId="10579"/>
    <cellStyle name="常规 4 2 10 2 3 3 2 3 2" xfId="10580"/>
    <cellStyle name="常规 4 2 10 2 3 3 2 3 2 2" xfId="10582"/>
    <cellStyle name="常规 4 2 10 2 3 3 2 3 3" xfId="10583"/>
    <cellStyle name="常规 4 2 10 2 3 3 2 3 4" xfId="10466"/>
    <cellStyle name="常规 4 2 10 2 3 3 2 4" xfId="2064"/>
    <cellStyle name="常规 4 2 10 2 3 3 2 4 2" xfId="2073"/>
    <cellStyle name="常规 4 2 10 2 3 3 2 5" xfId="2093"/>
    <cellStyle name="常规 4 2 10 2 3 3 2 6" xfId="966"/>
    <cellStyle name="常规 4 2 10 2 3 3 3" xfId="10584"/>
    <cellStyle name="常规 4 2 10 2 3 3 3 2" xfId="10585"/>
    <cellStyle name="常规 4 2 10 2 3 3 3 2 2" xfId="10586"/>
    <cellStyle name="常规 4 2 10 2 3 3 3 2 2 2" xfId="10587"/>
    <cellStyle name="常规 4 2 10 2 3 3 3 2 3" xfId="10588"/>
    <cellStyle name="常规 4 2 10 2 3 3 3 2 4" xfId="10486"/>
    <cellStyle name="常规 4 2 10 2 3 3 3 3" xfId="10589"/>
    <cellStyle name="常规 4 2 10 2 3 3 3 3 2" xfId="10590"/>
    <cellStyle name="常规 4 2 10 2 3 3 3 4" xfId="2121"/>
    <cellStyle name="常规 4 2 10 2 3 3 3 5" xfId="10592"/>
    <cellStyle name="常规 4 2 10 2 3 3 4" xfId="10594"/>
    <cellStyle name="常规 4 2 10 2 3 3 4 2" xfId="10597"/>
    <cellStyle name="常规 4 2 10 2 3 3 4 2 2" xfId="10600"/>
    <cellStyle name="常规 4 2 10 2 3 3 4 3" xfId="10602"/>
    <cellStyle name="常规 4 2 10 2 3 3 4 4" xfId="10604"/>
    <cellStyle name="常规 4 2 10 2 3 3 5" xfId="10609"/>
    <cellStyle name="常规 4 2 10 2 3 3 5 2" xfId="10612"/>
    <cellStyle name="常规 4 2 10 2 3 3 6" xfId="10616"/>
    <cellStyle name="常规 4 2 10 2 3 3 7" xfId="10619"/>
    <cellStyle name="常规 4 2 10 2 3 4" xfId="5124"/>
    <cellStyle name="常规 4 2 10 2 3 4 2" xfId="2419"/>
    <cellStyle name="常规 4 2 10 2 3 4 2 2" xfId="10622"/>
    <cellStyle name="常规 4 2 10 2 3 4 2 2 2" xfId="10623"/>
    <cellStyle name="常规 4 2 10 2 3 4 2 2 2 2" xfId="10624"/>
    <cellStyle name="常规 4 2 10 2 3 4 2 2 3" xfId="10625"/>
    <cellStyle name="常规 4 2 10 2 3 4 2 2 4" xfId="10501"/>
    <cellStyle name="常规 4 2 10 2 3 4 2 3" xfId="10627"/>
    <cellStyle name="常规 4 2 10 2 3 4 2 3 2" xfId="10629"/>
    <cellStyle name="常规 4 2 10 2 3 4 2 4" xfId="6564"/>
    <cellStyle name="常规 4 2 10 2 3 4 2 5" xfId="10633"/>
    <cellStyle name="常规 4 2 10 2 3 4 3" xfId="10634"/>
    <cellStyle name="常规 4 2 10 2 3 4 3 2" xfId="10635"/>
    <cellStyle name="常规 4 2 10 2 3 4 3 2 2" xfId="10636"/>
    <cellStyle name="常规 4 2 10 2 3 4 3 3" xfId="10638"/>
    <cellStyle name="常规 4 2 10 2 3 4 3 4" xfId="10642"/>
    <cellStyle name="常规 4 2 10 2 3 4 4" xfId="10644"/>
    <cellStyle name="常规 4 2 10 2 3 4 4 2" xfId="4692"/>
    <cellStyle name="常规 4 2 10 2 3 4 5" xfId="10646"/>
    <cellStyle name="常规 4 2 10 2 3 4 6" xfId="10649"/>
    <cellStyle name="常规 4 2 10 2 3 5" xfId="10652"/>
    <cellStyle name="常规 4 2 10 2 3 5 2" xfId="10653"/>
    <cellStyle name="常规 4 2 10 2 3 5 2 2" xfId="10654"/>
    <cellStyle name="常规 4 2 10 2 3 5 2 2 2" xfId="10655"/>
    <cellStyle name="常规 4 2 10 2 3 5 2 3" xfId="10657"/>
    <cellStyle name="常规 4 2 10 2 3 5 2 4" xfId="10660"/>
    <cellStyle name="常规 4 2 10 2 3 5 3" xfId="10661"/>
    <cellStyle name="常规 4 2 10 2 3 5 3 2" xfId="10662"/>
    <cellStyle name="常规 4 2 10 2 3 5 4" xfId="10663"/>
    <cellStyle name="常规 4 2 10 2 3 5 5" xfId="10665"/>
    <cellStyle name="常规 4 2 10 2 3 6" xfId="10668"/>
    <cellStyle name="常规 4 2 10 2 3 6 2" xfId="10670"/>
    <cellStyle name="常规 4 2 10 2 3 6 2 2" xfId="10673"/>
    <cellStyle name="常规 4 2 10 2 3 6 3" xfId="10676"/>
    <cellStyle name="常规 4 2 10 2 3 6 4" xfId="10679"/>
    <cellStyle name="常规 4 2 10 2 3 7" xfId="10683"/>
    <cellStyle name="常规 4 2 10 2 3 7 2" xfId="10685"/>
    <cellStyle name="常规 4 2 10 2 3 8" xfId="10687"/>
    <cellStyle name="常规 4 2 10 2 3 9" xfId="10689"/>
    <cellStyle name="常规 4 2 10 2 4" xfId="10693"/>
    <cellStyle name="常规 4 2 10 2 4 2" xfId="10697"/>
    <cellStyle name="常规 4 2 10 2 4 2 2" xfId="10700"/>
    <cellStyle name="常规 4 2 10 2 4 2 2 2" xfId="10701"/>
    <cellStyle name="常规 4 2 10 2 4 2 2 2 2" xfId="10702"/>
    <cellStyle name="常规 4 2 10 2 4 2 2 2 2 2" xfId="10703"/>
    <cellStyle name="常规 4 2 10 2 4 2 2 2 2 2 2" xfId="10706"/>
    <cellStyle name="常规 4 2 10 2 4 2 2 2 2 2 2 2" xfId="10710"/>
    <cellStyle name="常规 4 2 10 2 4 2 2 2 2 2 3" xfId="10713"/>
    <cellStyle name="常规 4 2 10 2 4 2 2 2 2 2 4" xfId="10716"/>
    <cellStyle name="常规 4 2 10 2 4 2 2 2 2 3" xfId="10717"/>
    <cellStyle name="常规 4 2 10 2 4 2 2 2 2 3 2" xfId="10720"/>
    <cellStyle name="常规 4 2 10 2 4 2 2 2 2 4" xfId="10721"/>
    <cellStyle name="常规 4 2 10 2 4 2 2 2 2 5" xfId="10722"/>
    <cellStyle name="常规 4 2 10 2 4 2 2 2 3" xfId="10723"/>
    <cellStyle name="常规 4 2 10 2 4 2 2 2 3 2" xfId="10724"/>
    <cellStyle name="常规 4 2 10 2 4 2 2 2 3 2 2" xfId="10730"/>
    <cellStyle name="常规 4 2 10 2 4 2 2 2 3 3" xfId="10732"/>
    <cellStyle name="常规 4 2 10 2 4 2 2 2 3 4" xfId="10733"/>
    <cellStyle name="常规 4 2 10 2 4 2 2 2 4" xfId="10734"/>
    <cellStyle name="常规 4 2 10 2 4 2 2 2 4 2" xfId="10738"/>
    <cellStyle name="常规 4 2 10 2 4 2 2 2 5" xfId="10739"/>
    <cellStyle name="常规 4 2 10 2 4 2 2 2 6" xfId="10740"/>
    <cellStyle name="常规 4 2 10 2 4 2 2 3" xfId="10741"/>
    <cellStyle name="常规 4 2 10 2 4 2 2 3 2" xfId="10742"/>
    <cellStyle name="常规 4 2 10 2 4 2 2 3 2 2" xfId="10743"/>
    <cellStyle name="常规 4 2 10 2 4 2 2 3 2 2 2" xfId="10746"/>
    <cellStyle name="常规 4 2 10 2 4 2 2 3 2 3" xfId="10747"/>
    <cellStyle name="常规 4 2 10 2 4 2 2 3 2 4" xfId="10748"/>
    <cellStyle name="常规 4 2 10 2 4 2 2 3 3" xfId="10749"/>
    <cellStyle name="常规 4 2 10 2 4 2 2 3 3 2" xfId="10752"/>
    <cellStyle name="常规 4 2 10 2 4 2 2 3 4" xfId="10753"/>
    <cellStyle name="常规 4 2 10 2 4 2 2 3 5" xfId="10754"/>
    <cellStyle name="常规 4 2 10 2 4 2 2 4" xfId="6635"/>
    <cellStyle name="常规 4 2 10 2 4 2 2 4 2" xfId="5721"/>
    <cellStyle name="常规 4 2 10 2 4 2 2 4 2 2" xfId="10756"/>
    <cellStyle name="常规 4 2 10 2 4 2 2 4 3" xfId="10760"/>
    <cellStyle name="常规 4 2 10 2 4 2 2 4 4" xfId="10764"/>
    <cellStyle name="常规 4 2 10 2 4 2 2 5" xfId="6638"/>
    <cellStyle name="常规 4 2 10 2 4 2 2 5 2" xfId="10768"/>
    <cellStyle name="常规 4 2 10 2 4 2 2 6" xfId="6641"/>
    <cellStyle name="常规 4 2 10 2 4 2 2 7" xfId="10770"/>
    <cellStyle name="常规 4 2 10 2 4 2 3" xfId="10771"/>
    <cellStyle name="常规 4 2 10 2 4 2 3 2" xfId="10772"/>
    <cellStyle name="常规 4 2 10 2 4 2 3 2 2" xfId="10773"/>
    <cellStyle name="常规 4 2 10 2 4 2 3 2 2 2" xfId="10774"/>
    <cellStyle name="常规 4 2 10 2 4 2 3 2 2 2 2" xfId="3107"/>
    <cellStyle name="常规 4 2 10 2 4 2 3 2 2 3" xfId="10775"/>
    <cellStyle name="常规 4 2 10 2 4 2 3 2 2 4" xfId="10776"/>
    <cellStyle name="常规 4 2 10 2 4 2 3 2 3" xfId="10777"/>
    <cellStyle name="常规 4 2 10 2 4 2 3 2 3 2" xfId="10780"/>
    <cellStyle name="常规 4 2 10 2 4 2 3 2 4" xfId="10781"/>
    <cellStyle name="常规 4 2 10 2 4 2 3 2 5" xfId="10782"/>
    <cellStyle name="常规 4 2 10 2 4 2 3 3" xfId="10783"/>
    <cellStyle name="常规 4 2 10 2 4 2 3 3 2" xfId="10784"/>
    <cellStyle name="常规 4 2 10 2 4 2 3 3 2 2" xfId="10785"/>
    <cellStyle name="常规 4 2 10 2 4 2 3 3 3" xfId="10786"/>
    <cellStyle name="常规 4 2 10 2 4 2 3 3 4" xfId="10787"/>
    <cellStyle name="常规 4 2 10 2 4 2 3 4" xfId="6646"/>
    <cellStyle name="常规 4 2 10 2 4 2 3 4 2" xfId="10789"/>
    <cellStyle name="常规 4 2 10 2 4 2 3 5" xfId="10791"/>
    <cellStyle name="常规 4 2 10 2 4 2 3 6" xfId="10793"/>
    <cellStyle name="常规 4 2 10 2 4 2 4" xfId="10795"/>
    <cellStyle name="常规 4 2 10 2 4 2 4 2" xfId="10798"/>
    <cellStyle name="常规 4 2 10 2 4 2 4 2 2" xfId="10800"/>
    <cellStyle name="常规 4 2 10 2 4 2 4 2 2 2" xfId="9757"/>
    <cellStyle name="常规 4 2 10 2 4 2 4 2 3" xfId="10803"/>
    <cellStyle name="常规 4 2 10 2 4 2 4 2 4" xfId="10806"/>
    <cellStyle name="常规 4 2 10 2 4 2 4 3" xfId="10808"/>
    <cellStyle name="常规 4 2 10 2 4 2 4 3 2" xfId="10810"/>
    <cellStyle name="常规 4 2 10 2 4 2 4 4" xfId="8269"/>
    <cellStyle name="常规 4 2 10 2 4 2 4 5" xfId="10813"/>
    <cellStyle name="常规 4 2 10 2 4 2 5" xfId="10816"/>
    <cellStyle name="常规 4 2 10 2 4 2 5 2" xfId="2250"/>
    <cellStyle name="常规 4 2 10 2 4 2 5 2 2" xfId="10819"/>
    <cellStyle name="常规 4 2 10 2 4 2 5 3" xfId="2257"/>
    <cellStyle name="常规 4 2 10 2 4 2 5 4" xfId="4150"/>
    <cellStyle name="常规 4 2 10 2 4 2 6" xfId="10824"/>
    <cellStyle name="常规 4 2 10 2 4 2 6 2" xfId="10827"/>
    <cellStyle name="常规 4 2 10 2 4 2 7" xfId="10830"/>
    <cellStyle name="常规 4 2 10 2 4 2 8" xfId="10833"/>
    <cellStyle name="常规 4 2 10 2 4 3" xfId="10839"/>
    <cellStyle name="常规 4 2 10 2 4 3 2" xfId="10840"/>
    <cellStyle name="常规 4 2 10 2 4 3 2 2" xfId="10842"/>
    <cellStyle name="常规 4 2 10 2 4 3 2 2 2" xfId="10844"/>
    <cellStyle name="常规 4 2 10 2 4 3 2 2 2 2" xfId="10847"/>
    <cellStyle name="常规 4 2 10 2 4 3 2 2 2 2 2" xfId="10850"/>
    <cellStyle name="常规 4 2 10 2 4 3 2 2 2 3" xfId="10853"/>
    <cellStyle name="常规 4 2 10 2 4 3 2 2 2 4" xfId="10854"/>
    <cellStyle name="常规 4 2 10 2 4 3 2 2 3" xfId="10859"/>
    <cellStyle name="常规 4 2 10 2 4 3 2 2 3 2" xfId="10863"/>
    <cellStyle name="常规 4 2 10 2 4 3 2 2 4" xfId="10577"/>
    <cellStyle name="常规 4 2 10 2 4 3 2 2 5" xfId="10865"/>
    <cellStyle name="常规 4 2 10 2 4 3 2 3" xfId="10866"/>
    <cellStyle name="常规 4 2 10 2 4 3 2 3 2" xfId="10867"/>
    <cellStyle name="常规 4 2 10 2 4 3 2 3 2 2" xfId="10869"/>
    <cellStyle name="常规 4 2 10 2 4 3 2 3 3" xfId="10870"/>
    <cellStyle name="常规 4 2 10 2 4 3 2 3 4" xfId="10461"/>
    <cellStyle name="常规 4 2 10 2 4 3 2 4" xfId="3539"/>
    <cellStyle name="常规 4 2 10 2 4 3 2 4 2" xfId="10872"/>
    <cellStyle name="常规 4 2 10 2 4 3 2 5" xfId="10874"/>
    <cellStyle name="常规 4 2 10 2 4 3 2 6" xfId="10876"/>
    <cellStyle name="常规 4 2 10 2 4 3 3" xfId="10877"/>
    <cellStyle name="常规 4 2 10 2 4 3 3 2" xfId="10879"/>
    <cellStyle name="常规 4 2 10 2 4 3 3 2 2" xfId="10881"/>
    <cellStyle name="常规 4 2 10 2 4 3 3 2 2 2" xfId="10884"/>
    <cellStyle name="常规 4 2 10 2 4 3 3 2 3" xfId="10886"/>
    <cellStyle name="常规 4 2 10 2 4 3 3 2 4" xfId="10888"/>
    <cellStyle name="常规 4 2 10 2 4 3 3 3" xfId="10889"/>
    <cellStyle name="常规 4 2 10 2 4 3 3 3 2" xfId="10890"/>
    <cellStyle name="常规 4 2 10 2 4 3 3 4" xfId="10892"/>
    <cellStyle name="常规 4 2 10 2 4 3 3 5" xfId="10893"/>
    <cellStyle name="常规 4 2 10 2 4 3 4" xfId="10895"/>
    <cellStyle name="常规 4 2 10 2 4 3 4 2" xfId="10897"/>
    <cellStyle name="常规 4 2 10 2 4 3 4 2 2" xfId="10900"/>
    <cellStyle name="常规 4 2 10 2 4 3 4 3" xfId="10903"/>
    <cellStyle name="常规 4 2 10 2 4 3 4 4" xfId="10905"/>
    <cellStyle name="常规 4 2 10 2 4 3 5" xfId="3779"/>
    <cellStyle name="常规 4 2 10 2 4 3 5 2" xfId="10908"/>
    <cellStyle name="常规 4 2 10 2 4 3 6" xfId="10911"/>
    <cellStyle name="常规 4 2 10 2 4 3 7" xfId="10914"/>
    <cellStyle name="常规 4 2 10 2 4 4" xfId="10919"/>
    <cellStyle name="常规 4 2 10 2 4 4 2" xfId="10920"/>
    <cellStyle name="常规 4 2 10 2 4 4 2 2" xfId="10922"/>
    <cellStyle name="常规 4 2 10 2 4 4 2 2 2" xfId="10923"/>
    <cellStyle name="常规 4 2 10 2 4 4 2 2 2 2" xfId="10925"/>
    <cellStyle name="常规 4 2 10 2 4 4 2 2 3" xfId="10926"/>
    <cellStyle name="常规 4 2 10 2 4 4 2 2 4" xfId="10927"/>
    <cellStyle name="常规 4 2 10 2 4 4 2 3" xfId="1814"/>
    <cellStyle name="常规 4 2 10 2 4 4 2 3 2" xfId="414"/>
    <cellStyle name="常规 4 2 10 2 4 4 2 4" xfId="10930"/>
    <cellStyle name="常规 4 2 10 2 4 4 2 5" xfId="10932"/>
    <cellStyle name="常规 4 2 10 2 4 4 3" xfId="10933"/>
    <cellStyle name="常规 4 2 10 2 4 4 3 2" xfId="10935"/>
    <cellStyle name="常规 4 2 10 2 4 4 3 2 2" xfId="10936"/>
    <cellStyle name="常规 4 2 10 2 4 4 3 3" xfId="10940"/>
    <cellStyle name="常规 4 2 10 2 4 4 3 4" xfId="10942"/>
    <cellStyle name="常规 4 2 10 2 4 4 4" xfId="10943"/>
    <cellStyle name="常规 4 2 10 2 4 4 4 2" xfId="1046"/>
    <cellStyle name="常规 4 2 10 2 4 4 5" xfId="10946"/>
    <cellStyle name="常规 4 2 10 2 4 4 6" xfId="10950"/>
    <cellStyle name="常规 4 2 10 2 4 5" xfId="10953"/>
    <cellStyle name="常规 4 2 10 2 4 5 2" xfId="10955"/>
    <cellStyle name="常规 4 2 10 2 4 5 2 2" xfId="10956"/>
    <cellStyle name="常规 4 2 10 2 4 5 2 2 2" xfId="10957"/>
    <cellStyle name="常规 4 2 10 2 4 5 2 3" xfId="10959"/>
    <cellStyle name="常规 4 2 10 2 4 5 2 4" xfId="10960"/>
    <cellStyle name="常规 4 2 10 2 4 5 3" xfId="10961"/>
    <cellStyle name="常规 4 2 10 2 4 5 3 2" xfId="10962"/>
    <cellStyle name="常规 4 2 10 2 4 5 4" xfId="10963"/>
    <cellStyle name="常规 4 2 10 2 4 5 5" xfId="10966"/>
    <cellStyle name="常规 4 2 10 2 4 6" xfId="10967"/>
    <cellStyle name="常规 4 2 10 2 4 6 2" xfId="10969"/>
    <cellStyle name="常规 4 2 10 2 4 6 2 2" xfId="10972"/>
    <cellStyle name="常规 4 2 10 2 4 6 3" xfId="10973"/>
    <cellStyle name="常规 4 2 10 2 4 6 4" xfId="10977"/>
    <cellStyle name="常规 4 2 10 2 4 7" xfId="10978"/>
    <cellStyle name="常规 4 2 10 2 4 7 2" xfId="10979"/>
    <cellStyle name="常规 4 2 10 2 4 8" xfId="10981"/>
    <cellStyle name="常规 4 2 10 2 4 9" xfId="10983"/>
    <cellStyle name="常规 4 2 10 2 5" xfId="10989"/>
    <cellStyle name="常规 4 2 10 2 5 2" xfId="10996"/>
    <cellStyle name="常规 4 2 10 2 5 2 2" xfId="10998"/>
    <cellStyle name="常规 4 2 10 2 5 2 2 2" xfId="11000"/>
    <cellStyle name="常规 4 2 10 2 5 2 2 2 2" xfId="11002"/>
    <cellStyle name="常规 4 2 10 2 5 2 2 2 2 2" xfId="11004"/>
    <cellStyle name="常规 4 2 10 2 5 2 2 2 2 2 2" xfId="11007"/>
    <cellStyle name="常规 4 2 10 2 5 2 2 2 2 3" xfId="11009"/>
    <cellStyle name="常规 4 2 10 2 5 2 2 2 2 4" xfId="11011"/>
    <cellStyle name="常规 4 2 10 2 5 2 2 2 3" xfId="11013"/>
    <cellStyle name="常规 4 2 10 2 5 2 2 2 3 2" xfId="11015"/>
    <cellStyle name="常规 4 2 10 2 5 2 2 2 4" xfId="11017"/>
    <cellStyle name="常规 4 2 10 2 5 2 2 2 5" xfId="11019"/>
    <cellStyle name="常规 4 2 10 2 5 2 2 3" xfId="11021"/>
    <cellStyle name="常规 4 2 10 2 5 2 2 3 2" xfId="11023"/>
    <cellStyle name="常规 4 2 10 2 5 2 2 3 2 2" xfId="11025"/>
    <cellStyle name="常规 4 2 10 2 5 2 2 3 3" xfId="11027"/>
    <cellStyle name="常规 4 2 10 2 5 2 2 3 4" xfId="11029"/>
    <cellStyle name="常规 4 2 10 2 5 2 2 4" xfId="4067"/>
    <cellStyle name="常规 4 2 10 2 5 2 2 4 2" xfId="11032"/>
    <cellStyle name="常规 4 2 10 2 5 2 2 5" xfId="11035"/>
    <cellStyle name="常规 4 2 10 2 5 2 2 6" xfId="11038"/>
    <cellStyle name="常规 4 2 10 2 5 2 3" xfId="11041"/>
    <cellStyle name="常规 4 2 10 2 5 2 3 2" xfId="11043"/>
    <cellStyle name="常规 4 2 10 2 5 2 3 2 2" xfId="11045"/>
    <cellStyle name="常规 4 2 10 2 5 2 3 2 2 2" xfId="11047"/>
    <cellStyle name="常规 4 2 10 2 5 2 3 2 3" xfId="11049"/>
    <cellStyle name="常规 4 2 10 2 5 2 3 2 4" xfId="11051"/>
    <cellStyle name="常规 4 2 10 2 5 2 3 3" xfId="11053"/>
    <cellStyle name="常规 4 2 10 2 5 2 3 3 2" xfId="11055"/>
    <cellStyle name="常规 4 2 10 2 5 2 3 4" xfId="11058"/>
    <cellStyle name="常规 4 2 10 2 5 2 3 5" xfId="11061"/>
    <cellStyle name="常规 4 2 10 2 5 2 4" xfId="11064"/>
    <cellStyle name="常规 4 2 10 2 5 2 4 2" xfId="11067"/>
    <cellStyle name="常规 4 2 10 2 5 2 4 2 2" xfId="11070"/>
    <cellStyle name="常规 4 2 10 2 5 2 4 3" xfId="11073"/>
    <cellStyle name="常规 4 2 10 2 5 2 4 4" xfId="11076"/>
    <cellStyle name="常规 4 2 10 2 5 2 5" xfId="11079"/>
    <cellStyle name="常规 4 2 10 2 5 2 5 2" xfId="11083"/>
    <cellStyle name="常规 4 2 10 2 5 2 6" xfId="11088"/>
    <cellStyle name="常规 4 2 10 2 5 2 7" xfId="11092"/>
    <cellStyle name="常规 4 2 10 2 5 3" xfId="11096"/>
    <cellStyle name="常规 4 2 10 2 5 3 2" xfId="11100"/>
    <cellStyle name="常规 4 2 10 2 5 3 2 2" xfId="11102"/>
    <cellStyle name="常规 4 2 10 2 5 3 2 2 2" xfId="11104"/>
    <cellStyle name="常规 4 2 10 2 5 3 2 2 2 2" xfId="11106"/>
    <cellStyle name="常规 4 2 10 2 5 3 2 2 3" xfId="11108"/>
    <cellStyle name="常规 4 2 10 2 5 3 2 2 4" xfId="11110"/>
    <cellStyle name="常规 4 2 10 2 5 3 2 3" xfId="11112"/>
    <cellStyle name="常规 4 2 10 2 5 3 2 3 2" xfId="11114"/>
    <cellStyle name="常规 4 2 10 2 5 3 2 4" xfId="11117"/>
    <cellStyle name="常规 4 2 10 2 5 3 2 5" xfId="11119"/>
    <cellStyle name="常规 4 2 10 2 5 3 3" xfId="11121"/>
    <cellStyle name="常规 4 2 10 2 5 3 3 2" xfId="11123"/>
    <cellStyle name="常规 4 2 10 2 5 3 3 2 2" xfId="11125"/>
    <cellStyle name="常规 4 2 10 2 5 3 3 3" xfId="11127"/>
    <cellStyle name="常规 4 2 10 2 5 3 3 4" xfId="11129"/>
    <cellStyle name="常规 4 2 10 2 5 3 4" xfId="11131"/>
    <cellStyle name="常规 4 2 10 2 5 3 4 2" xfId="11134"/>
    <cellStyle name="常规 4 2 10 2 5 3 5" xfId="11137"/>
    <cellStyle name="常规 4 2 10 2 5 3 6" xfId="11141"/>
    <cellStyle name="常规 4 2 10 2 5 4" xfId="11145"/>
    <cellStyle name="常规 4 2 10 2 5 4 2" xfId="11147"/>
    <cellStyle name="常规 4 2 10 2 5 4 2 2" xfId="11149"/>
    <cellStyle name="常规 4 2 10 2 5 4 2 2 2" xfId="11152"/>
    <cellStyle name="常规 4 2 10 2 5 4 2 3" xfId="11155"/>
    <cellStyle name="常规 4 2 10 2 5 4 2 4" xfId="11157"/>
    <cellStyle name="常规 4 2 10 2 5 4 3" xfId="11159"/>
    <cellStyle name="常规 4 2 10 2 5 4 3 2" xfId="11161"/>
    <cellStyle name="常规 4 2 10 2 5 4 4" xfId="2547"/>
    <cellStyle name="常规 4 2 10 2 5 4 5" xfId="9054"/>
    <cellStyle name="常规 4 2 10 2 5 5" xfId="11164"/>
    <cellStyle name="常规 4 2 10 2 5 5 2" xfId="11166"/>
    <cellStyle name="常规 4 2 10 2 5 5 2 2" xfId="11168"/>
    <cellStyle name="常规 4 2 10 2 5 5 3" xfId="11170"/>
    <cellStyle name="常规 4 2 10 2 5 5 4" xfId="9062"/>
    <cellStyle name="常规 4 2 10 2 5 6" xfId="11172"/>
    <cellStyle name="常规 4 2 10 2 5 6 2" xfId="11174"/>
    <cellStyle name="常规 4 2 10 2 5 7" xfId="11177"/>
    <cellStyle name="常规 4 2 10 2 5 8" xfId="7950"/>
    <cellStyle name="常规 4 2 10 2 6" xfId="6891"/>
    <cellStyle name="常规 4 2 10 2 6 2" xfId="11181"/>
    <cellStyle name="常规 4 2 10 2 6 2 2" xfId="11184"/>
    <cellStyle name="常规 4 2 10 2 6 2 2 2" xfId="11186"/>
    <cellStyle name="常规 4 2 10 2 6 2 2 2 2" xfId="11189"/>
    <cellStyle name="常规 4 2 10 2 6 2 2 2 2 2" xfId="11191"/>
    <cellStyle name="常规 4 2 10 2 6 2 2 2 3" xfId="11193"/>
    <cellStyle name="常规 4 2 10 2 6 2 2 2 4" xfId="11195"/>
    <cellStyle name="常规 4 2 10 2 6 2 2 3" xfId="11198"/>
    <cellStyle name="常规 4 2 10 2 6 2 2 3 2" xfId="11201"/>
    <cellStyle name="常规 4 2 10 2 6 2 2 4" xfId="11205"/>
    <cellStyle name="常规 4 2 10 2 6 2 2 5" xfId="11207"/>
    <cellStyle name="常规 4 2 10 2 6 2 3" xfId="11211"/>
    <cellStyle name="常规 4 2 10 2 6 2 3 2" xfId="11213"/>
    <cellStyle name="常规 4 2 10 2 6 2 3 2 2" xfId="11215"/>
    <cellStyle name="常规 4 2 10 2 6 2 3 3" xfId="11218"/>
    <cellStyle name="常规 4 2 10 2 6 2 3 4" xfId="11220"/>
    <cellStyle name="常规 4 2 10 2 6 2 4" xfId="11222"/>
    <cellStyle name="常规 4 2 10 2 6 2 4 2" xfId="11225"/>
    <cellStyle name="常规 4 2 10 2 6 2 5" xfId="11228"/>
    <cellStyle name="常规 4 2 10 2 6 2 6" xfId="11232"/>
    <cellStyle name="常规 4 2 10 2 6 3" xfId="11235"/>
    <cellStyle name="常规 4 2 10 2 6 3 2" xfId="11237"/>
    <cellStyle name="常规 4 2 10 2 6 3 2 2" xfId="11239"/>
    <cellStyle name="常规 4 2 10 2 6 3 2 2 2" xfId="11241"/>
    <cellStyle name="常规 4 2 10 2 6 3 2 3" xfId="11244"/>
    <cellStyle name="常规 4 2 10 2 6 3 2 4" xfId="11247"/>
    <cellStyle name="常规 4 2 10 2 6 3 3" xfId="11249"/>
    <cellStyle name="常规 4 2 10 2 6 3 3 2" xfId="11251"/>
    <cellStyle name="常规 4 2 10 2 6 3 4" xfId="11253"/>
    <cellStyle name="常规 4 2 10 2 6 3 5" xfId="11256"/>
    <cellStyle name="常规 4 2 10 2 6 4" xfId="11258"/>
    <cellStyle name="常规 4 2 10 2 6 4 2" xfId="11260"/>
    <cellStyle name="常规 4 2 10 2 6 4 2 2" xfId="11262"/>
    <cellStyle name="常规 4 2 10 2 6 4 3" xfId="11264"/>
    <cellStyle name="常规 4 2 10 2 6 4 4" xfId="9075"/>
    <cellStyle name="常规 4 2 10 2 6 5" xfId="11266"/>
    <cellStyle name="常规 4 2 10 2 6 5 2" xfId="11268"/>
    <cellStyle name="常规 4 2 10 2 6 6" xfId="11270"/>
    <cellStyle name="常规 4 2 10 2 6 7" xfId="11272"/>
    <cellStyle name="常规 4 2 10 2 7" xfId="11276"/>
    <cellStyle name="常规 4 2 10 2 7 2" xfId="11278"/>
    <cellStyle name="常规 4 2 10 2 7 2 2" xfId="11281"/>
    <cellStyle name="常规 4 2 10 2 7 2 2 2" xfId="11283"/>
    <cellStyle name="常规 4 2 10 2 7 2 2 2 2" xfId="11287"/>
    <cellStyle name="常规 4 2 10 2 7 2 2 3" xfId="11290"/>
    <cellStyle name="常规 4 2 10 2 7 2 2 4" xfId="11292"/>
    <cellStyle name="常规 4 2 10 2 7 2 3" xfId="11294"/>
    <cellStyle name="常规 4 2 10 2 7 2 3 2" xfId="11297"/>
    <cellStyle name="常规 4 2 10 2 7 2 4" xfId="11299"/>
    <cellStyle name="常规 4 2 10 2 7 2 5" xfId="11302"/>
    <cellStyle name="常规 4 2 10 2 7 3" xfId="11304"/>
    <cellStyle name="常规 4 2 10 2 7 3 2" xfId="11306"/>
    <cellStyle name="常规 4 2 10 2 7 3 2 2" xfId="11308"/>
    <cellStyle name="常规 4 2 10 2 7 3 3" xfId="11310"/>
    <cellStyle name="常规 4 2 10 2 7 3 4" xfId="11313"/>
    <cellStyle name="常规 4 2 10 2 7 4" xfId="11316"/>
    <cellStyle name="常规 4 2 10 2 7 4 2" xfId="11318"/>
    <cellStyle name="常规 4 2 10 2 7 5" xfId="11320"/>
    <cellStyle name="常规 4 2 10 2 7 6" xfId="11322"/>
    <cellStyle name="常规 4 2 10 2 8" xfId="11324"/>
    <cellStyle name="常规 4 2 10 2 8 2" xfId="11326"/>
    <cellStyle name="常规 4 2 10 2 8 2 2" xfId="11328"/>
    <cellStyle name="常规 4 2 10 2 8 2 2 2" xfId="11331"/>
    <cellStyle name="常规 4 2 10 2 8 2 3" xfId="11333"/>
    <cellStyle name="常规 4 2 10 2 8 2 4" xfId="11335"/>
    <cellStyle name="常规 4 2 10 2 8 3" xfId="11337"/>
    <cellStyle name="常规 4 2 10 2 8 3 2" xfId="11339"/>
    <cellStyle name="常规 4 2 10 2 8 4" xfId="11341"/>
    <cellStyle name="常规 4 2 10 2 8 5" xfId="11344"/>
    <cellStyle name="常规 4 2 10 2 9" xfId="11346"/>
    <cellStyle name="常规 4 2 10 2 9 2" xfId="11348"/>
    <cellStyle name="常规 4 2 10 2 9 2 2" xfId="11351"/>
    <cellStyle name="常规 4 2 10 2 9 3" xfId="11353"/>
    <cellStyle name="常规 4 2 10 2 9 4" xfId="11355"/>
    <cellStyle name="常规 4 2 10 3" xfId="11356"/>
    <cellStyle name="常规 4 2 10 3 10" xfId="11358"/>
    <cellStyle name="常规 4 2 10 3 11" xfId="11361"/>
    <cellStyle name="常规 4 2 10 3 2" xfId="11362"/>
    <cellStyle name="常规 4 2 10 3 2 2" xfId="11363"/>
    <cellStyle name="常规 4 2 10 3 2 2 2" xfId="11366"/>
    <cellStyle name="常规 4 2 10 3 2 2 2 2" xfId="11367"/>
    <cellStyle name="常规 4 2 10 3 2 2 2 2 2" xfId="10218"/>
    <cellStyle name="常规 4 2 10 3 2 2 2 2 2 2" xfId="10220"/>
    <cellStyle name="常规 4 2 10 3 2 2 2 2 2 2 2" xfId="10222"/>
    <cellStyle name="常规 4 2 10 3 2 2 2 2 2 2 2 2" xfId="10224"/>
    <cellStyle name="常规 4 2 10 3 2 2 2 2 2 2 3" xfId="10226"/>
    <cellStyle name="常规 4 2 10 3 2 2 2 2 2 2 4" xfId="10228"/>
    <cellStyle name="常规 4 2 10 3 2 2 2 2 2 3" xfId="10232"/>
    <cellStyle name="常规 4 2 10 3 2 2 2 2 2 3 2" xfId="10236"/>
    <cellStyle name="常规 4 2 10 3 2 2 2 2 2 4" xfId="10239"/>
    <cellStyle name="常规 4 2 10 3 2 2 2 2 2 5" xfId="10243"/>
    <cellStyle name="常规 4 2 10 3 2 2 2 2 3" xfId="6409"/>
    <cellStyle name="常规 4 2 10 3 2 2 2 2 3 2" xfId="10246"/>
    <cellStyle name="常规 4 2 10 3 2 2 2 2 3 2 2" xfId="10248"/>
    <cellStyle name="常规 4 2 10 3 2 2 2 2 3 3" xfId="10251"/>
    <cellStyle name="常规 4 2 10 3 2 2 2 2 3 4" xfId="10254"/>
    <cellStyle name="常规 4 2 10 3 2 2 2 2 4" xfId="10256"/>
    <cellStyle name="常规 4 2 10 3 2 2 2 2 4 2" xfId="10258"/>
    <cellStyle name="常规 4 2 10 3 2 2 2 2 5" xfId="10260"/>
    <cellStyle name="常规 4 2 10 3 2 2 2 2 6" xfId="10263"/>
    <cellStyle name="常规 4 2 10 3 2 2 2 3" xfId="11368"/>
    <cellStyle name="常规 4 2 10 3 2 2 2 3 2" xfId="10277"/>
    <cellStyle name="常规 4 2 10 3 2 2 2 3 2 2" xfId="10279"/>
    <cellStyle name="常规 4 2 10 3 2 2 2 3 2 2 2" xfId="10281"/>
    <cellStyle name="常规 4 2 10 3 2 2 2 3 2 3" xfId="10284"/>
    <cellStyle name="常规 4 2 10 3 2 2 2 3 2 4" xfId="10287"/>
    <cellStyle name="常规 4 2 10 3 2 2 2 3 3" xfId="10289"/>
    <cellStyle name="常规 4 2 10 3 2 2 2 3 3 2" xfId="10291"/>
    <cellStyle name="常规 4 2 10 3 2 2 2 3 4" xfId="10293"/>
    <cellStyle name="常规 4 2 10 3 2 2 2 3 5" xfId="10295"/>
    <cellStyle name="常规 4 2 10 3 2 2 2 4" xfId="18"/>
    <cellStyle name="常规 4 2 10 3 2 2 2 4 2" xfId="3434"/>
    <cellStyle name="常规 4 2 10 3 2 2 2 4 2 2" xfId="10304"/>
    <cellStyle name="常规 4 2 10 3 2 2 2 4 3" xfId="4343"/>
    <cellStyle name="常规 4 2 10 3 2 2 2 4 4" xfId="10307"/>
    <cellStyle name="常规 4 2 10 3 2 2 2 5" xfId="6841"/>
    <cellStyle name="常规 4 2 10 3 2 2 2 5 2" xfId="4394"/>
    <cellStyle name="常规 4 2 10 3 2 2 2 6" xfId="6845"/>
    <cellStyle name="常规 4 2 10 3 2 2 2 7" xfId="11370"/>
    <cellStyle name="常规 4 2 10 3 2 2 3" xfId="11372"/>
    <cellStyle name="常规 4 2 10 3 2 2 3 2" xfId="11373"/>
    <cellStyle name="常规 4 2 10 3 2 2 3 2 2" xfId="10333"/>
    <cellStyle name="常规 4 2 10 3 2 2 3 2 2 2" xfId="10335"/>
    <cellStyle name="常规 4 2 10 3 2 2 3 2 2 2 2" xfId="10337"/>
    <cellStyle name="常规 4 2 10 3 2 2 3 2 2 3" xfId="10339"/>
    <cellStyle name="常规 4 2 10 3 2 2 3 2 2 4" xfId="10341"/>
    <cellStyle name="常规 4 2 10 3 2 2 3 2 3" xfId="10343"/>
    <cellStyle name="常规 4 2 10 3 2 2 3 2 3 2" xfId="10345"/>
    <cellStyle name="常规 4 2 10 3 2 2 3 2 4" xfId="10347"/>
    <cellStyle name="常规 4 2 10 3 2 2 3 2 5" xfId="10349"/>
    <cellStyle name="常规 4 2 10 3 2 2 3 3" xfId="11374"/>
    <cellStyle name="常规 4 2 10 3 2 2 3 3 2" xfId="10357"/>
    <cellStyle name="常规 4 2 10 3 2 2 3 3 2 2" xfId="10359"/>
    <cellStyle name="常规 4 2 10 3 2 2 3 3 3" xfId="10361"/>
    <cellStyle name="常规 4 2 10 3 2 2 3 3 4" xfId="10363"/>
    <cellStyle name="常规 4 2 10 3 2 2 3 4" xfId="6854"/>
    <cellStyle name="常规 4 2 10 3 2 2 3 4 2" xfId="4501"/>
    <cellStyle name="常规 4 2 10 3 2 2 3 5" xfId="11375"/>
    <cellStyle name="常规 4 2 10 3 2 2 3 6" xfId="11377"/>
    <cellStyle name="常规 4 2 10 3 2 2 4" xfId="11379"/>
    <cellStyle name="常规 4 2 10 3 2 2 4 2" xfId="11381"/>
    <cellStyle name="常规 4 2 10 3 2 2 4 2 2" xfId="10389"/>
    <cellStyle name="常规 4 2 10 3 2 2 4 2 2 2" xfId="10392"/>
    <cellStyle name="常规 4 2 10 3 2 2 4 2 3" xfId="8955"/>
    <cellStyle name="常规 4 2 10 3 2 2 4 2 4" xfId="9045"/>
    <cellStyle name="常规 4 2 10 3 2 2 4 3" xfId="11383"/>
    <cellStyle name="常规 4 2 10 3 2 2 4 3 2" xfId="10400"/>
    <cellStyle name="常规 4 2 10 3 2 2 4 4" xfId="11385"/>
    <cellStyle name="常规 4 2 10 3 2 2 4 5" xfId="11387"/>
    <cellStyle name="常规 4 2 10 3 2 2 5" xfId="11389"/>
    <cellStyle name="常规 4 2 10 3 2 2 5 2" xfId="11391"/>
    <cellStyle name="常规 4 2 10 3 2 2 5 2 2" xfId="10414"/>
    <cellStyle name="常规 4 2 10 3 2 2 5 3" xfId="11393"/>
    <cellStyle name="常规 4 2 10 3 2 2 5 4" xfId="11395"/>
    <cellStyle name="常规 4 2 10 3 2 2 6" xfId="11397"/>
    <cellStyle name="常规 4 2 10 3 2 2 6 2" xfId="9041"/>
    <cellStyle name="常规 4 2 10 3 2 2 7" xfId="11399"/>
    <cellStyle name="常规 4 2 10 3 2 2 8" xfId="11401"/>
    <cellStyle name="常规 4 2 10 3 2 3" xfId="11402"/>
    <cellStyle name="常规 4 2 10 3 2 3 2" xfId="11403"/>
    <cellStyle name="常规 4 2 10 3 2 3 2 2" xfId="11404"/>
    <cellStyle name="常规 4 2 10 3 2 3 2 2 2" xfId="10626"/>
    <cellStyle name="常规 4 2 10 3 2 3 2 2 2 2" xfId="10628"/>
    <cellStyle name="常规 4 2 10 3 2 3 2 2 2 2 2" xfId="11405"/>
    <cellStyle name="常规 4 2 10 3 2 3 2 2 2 3" xfId="11406"/>
    <cellStyle name="常规 4 2 10 3 2 3 2 2 2 4" xfId="11407"/>
    <cellStyle name="常规 4 2 10 3 2 3 2 2 3" xfId="6563"/>
    <cellStyle name="常规 4 2 10 3 2 3 2 2 3 2" xfId="11410"/>
    <cellStyle name="常规 4 2 10 3 2 3 2 2 4" xfId="10632"/>
    <cellStyle name="常规 4 2 10 3 2 3 2 2 5" xfId="7614"/>
    <cellStyle name="常规 4 2 10 3 2 3 2 3" xfId="11411"/>
    <cellStyle name="常规 4 2 10 3 2 3 2 3 2" xfId="10637"/>
    <cellStyle name="常规 4 2 10 3 2 3 2 3 2 2" xfId="11412"/>
    <cellStyle name="常规 4 2 10 3 2 3 2 3 3" xfId="10641"/>
    <cellStyle name="常规 4 2 10 3 2 3 2 3 4" xfId="2236"/>
    <cellStyle name="常规 4 2 10 3 2 3 2 4" xfId="6871"/>
    <cellStyle name="常规 4 2 10 3 2 3 2 4 2" xfId="4708"/>
    <cellStyle name="常规 4 2 10 3 2 3 2 5" xfId="11413"/>
    <cellStyle name="常规 4 2 10 3 2 3 2 6" xfId="11415"/>
    <cellStyle name="常规 4 2 10 3 2 3 3" xfId="11416"/>
    <cellStyle name="常规 4 2 10 3 2 3 3 2" xfId="11417"/>
    <cellStyle name="常规 4 2 10 3 2 3 3 2 2" xfId="10656"/>
    <cellStyle name="常规 4 2 10 3 2 3 3 2 2 2" xfId="11418"/>
    <cellStyle name="常规 4 2 10 3 2 3 3 2 3" xfId="10659"/>
    <cellStyle name="常规 4 2 10 3 2 3 3 2 4" xfId="11419"/>
    <cellStyle name="常规 4 2 10 3 2 3 3 3" xfId="11420"/>
    <cellStyle name="常规 4 2 10 3 2 3 3 3 2" xfId="11421"/>
    <cellStyle name="常规 4 2 10 3 2 3 3 4" xfId="11422"/>
    <cellStyle name="常规 4 2 10 3 2 3 3 5" xfId="11423"/>
    <cellStyle name="常规 4 2 10 3 2 3 4" xfId="11425"/>
    <cellStyle name="常规 4 2 10 3 2 3 4 2" xfId="11427"/>
    <cellStyle name="常规 4 2 10 3 2 3 4 2 2" xfId="11430"/>
    <cellStyle name="常规 4 2 10 3 2 3 4 3" xfId="11432"/>
    <cellStyle name="常规 4 2 10 3 2 3 4 4" xfId="11434"/>
    <cellStyle name="常规 4 2 10 3 2 3 5" xfId="11436"/>
    <cellStyle name="常规 4 2 10 3 2 3 5 2" xfId="11438"/>
    <cellStyle name="常规 4 2 10 3 2 3 6" xfId="11441"/>
    <cellStyle name="常规 4 2 10 3 2 3 7" xfId="11444"/>
    <cellStyle name="常规 4 2 10 3 2 4" xfId="11447"/>
    <cellStyle name="常规 4 2 10 3 2 4 2" xfId="11448"/>
    <cellStyle name="常规 4 2 10 3 2 4 2 2" xfId="11449"/>
    <cellStyle name="常规 4 2 10 3 2 4 2 2 2" xfId="1812"/>
    <cellStyle name="常规 4 2 10 3 2 4 2 2 2 2" xfId="413"/>
    <cellStyle name="常规 4 2 10 3 2 4 2 2 3" xfId="10929"/>
    <cellStyle name="常规 4 2 10 3 2 4 2 2 4" xfId="10931"/>
    <cellStyle name="常规 4 2 10 3 2 4 2 3" xfId="2536"/>
    <cellStyle name="常规 4 2 10 3 2 4 2 3 2" xfId="10939"/>
    <cellStyle name="常规 4 2 10 3 2 4 2 4" xfId="11451"/>
    <cellStyle name="常规 4 2 10 3 2 4 2 5" xfId="4010"/>
    <cellStyle name="常规 4 2 10 3 2 4 3" xfId="11452"/>
    <cellStyle name="常规 4 2 10 3 2 4 3 2" xfId="11453"/>
    <cellStyle name="常规 4 2 10 3 2 4 3 2 2" xfId="10958"/>
    <cellStyle name="常规 4 2 10 3 2 4 3 3" xfId="11456"/>
    <cellStyle name="常规 4 2 10 3 2 4 3 4" xfId="11459"/>
    <cellStyle name="常规 4 2 10 3 2 4 4" xfId="11461"/>
    <cellStyle name="常规 4 2 10 3 2 4 4 2" xfId="5273"/>
    <cellStyle name="常规 4 2 10 3 2 4 5" xfId="11463"/>
    <cellStyle name="常规 4 2 10 3 2 4 6" xfId="11465"/>
    <cellStyle name="常规 4 2 10 3 2 5" xfId="11466"/>
    <cellStyle name="常规 4 2 10 3 2 5 2" xfId="11467"/>
    <cellStyle name="常规 4 2 10 3 2 5 2 2" xfId="11468"/>
    <cellStyle name="常规 4 2 10 3 2 5 2 2 2" xfId="11153"/>
    <cellStyle name="常规 4 2 10 3 2 5 2 3" xfId="11470"/>
    <cellStyle name="常规 4 2 10 3 2 5 2 4" xfId="11472"/>
    <cellStyle name="常规 4 2 10 3 2 5 3" xfId="11473"/>
    <cellStyle name="常规 4 2 10 3 2 5 3 2" xfId="11474"/>
    <cellStyle name="常规 4 2 10 3 2 5 4" xfId="11476"/>
    <cellStyle name="常规 4 2 10 3 2 5 5" xfId="11477"/>
    <cellStyle name="常规 4 2 10 3 2 6" xfId="11478"/>
    <cellStyle name="常规 4 2 10 3 2 6 2" xfId="11479"/>
    <cellStyle name="常规 4 2 10 3 2 6 2 2" xfId="11481"/>
    <cellStyle name="常规 4 2 10 3 2 6 3" xfId="11483"/>
    <cellStyle name="常规 4 2 10 3 2 6 4" xfId="11485"/>
    <cellStyle name="常规 4 2 10 3 2 7" xfId="11489"/>
    <cellStyle name="常规 4 2 10 3 2 7 2" xfId="11491"/>
    <cellStyle name="常规 4 2 10 3 2 8" xfId="11494"/>
    <cellStyle name="常规 4 2 10 3 2 9" xfId="11496"/>
    <cellStyle name="常规 4 2 10 3 3" xfId="11497"/>
    <cellStyle name="常规 4 2 10 3 3 2" xfId="11498"/>
    <cellStyle name="常规 4 2 10 3 3 2 2" xfId="11499"/>
    <cellStyle name="常规 4 2 10 3 3 2 2 2" xfId="11500"/>
    <cellStyle name="常规 4 2 10 3 3 2 2 2 2" xfId="2535"/>
    <cellStyle name="常规 4 2 10 3 3 2 2 2 2 2" xfId="10938"/>
    <cellStyle name="常规 4 2 10 3 3 2 2 2 2 2 2" xfId="11501"/>
    <cellStyle name="常规 4 2 10 3 3 2 2 2 2 2 2 2" xfId="11503"/>
    <cellStyle name="常规 4 2 10 3 3 2 2 2 2 2 3" xfId="11504"/>
    <cellStyle name="常规 4 2 10 3 3 2 2 2 2 2 4" xfId="11505"/>
    <cellStyle name="常规 4 2 10 3 3 2 2 2 2 3" xfId="10941"/>
    <cellStyle name="常规 4 2 10 3 3 2 2 2 2 3 2" xfId="11506"/>
    <cellStyle name="常规 4 2 10 3 3 2 2 2 2 4" xfId="11507"/>
    <cellStyle name="常规 4 2 10 3 3 2 2 2 2 5" xfId="11508"/>
    <cellStyle name="常规 4 2 10 3 3 2 2 2 3" xfId="11450"/>
    <cellStyle name="常规 4 2 10 3 3 2 2 2 3 2" xfId="1061"/>
    <cellStyle name="常规 4 2 10 3 3 2 2 2 3 2 2" xfId="11509"/>
    <cellStyle name="常规 4 2 10 3 3 2 2 2 3 3" xfId="11511"/>
    <cellStyle name="常规 4 2 10 3 3 2 2 2 3 4" xfId="11512"/>
    <cellStyle name="常规 4 2 10 3 3 2 2 2 4" xfId="4009"/>
    <cellStyle name="常规 4 2 10 3 3 2 2 2 4 2" xfId="11514"/>
    <cellStyle name="常规 4 2 10 3 3 2 2 2 5" xfId="11516"/>
    <cellStyle name="常规 4 2 10 3 3 2 2 2 6" xfId="11518"/>
    <cellStyle name="常规 4 2 10 3 3 2 2 3" xfId="11519"/>
    <cellStyle name="常规 4 2 10 3 3 2 2 3 2" xfId="11455"/>
    <cellStyle name="常规 4 2 10 3 3 2 2 3 2 2" xfId="11520"/>
    <cellStyle name="常规 4 2 10 3 3 2 2 3 2 2 2" xfId="11521"/>
    <cellStyle name="常规 4 2 10 3 3 2 2 3 2 3" xfId="11522"/>
    <cellStyle name="常规 4 2 10 3 3 2 2 3 2 4" xfId="11523"/>
    <cellStyle name="常规 4 2 10 3 3 2 2 3 3" xfId="11458"/>
    <cellStyle name="常规 4 2 10 3 3 2 2 3 3 2" xfId="11525"/>
    <cellStyle name="常规 4 2 10 3 3 2 2 3 4" xfId="11526"/>
    <cellStyle name="常规 4 2 10 3 3 2 2 3 5" xfId="11527"/>
    <cellStyle name="常规 4 2 10 3 3 2 2 4" xfId="631"/>
    <cellStyle name="常规 4 2 10 3 3 2 2 4 2" xfId="5280"/>
    <cellStyle name="常规 4 2 10 3 3 2 2 4 2 2" xfId="11528"/>
    <cellStyle name="常规 4 2 10 3 3 2 2 4 3" xfId="11532"/>
    <cellStyle name="常规 4 2 10 3 3 2 2 4 4" xfId="11535"/>
    <cellStyle name="常规 4 2 10 3 3 2 2 5" xfId="11537"/>
    <cellStyle name="常规 4 2 10 3 3 2 2 5 2" xfId="11539"/>
    <cellStyle name="常规 4 2 10 3 3 2 2 6" xfId="11543"/>
    <cellStyle name="常规 4 2 10 3 3 2 2 7" xfId="11545"/>
    <cellStyle name="常规 4 2 10 3 3 2 3" xfId="11546"/>
    <cellStyle name="常规 4 2 10 3 3 2 3 2" xfId="11547"/>
    <cellStyle name="常规 4 2 10 3 3 2 3 2 2" xfId="11469"/>
    <cellStyle name="常规 4 2 10 3 3 2 3 2 2 2" xfId="11548"/>
    <cellStyle name="常规 4 2 10 3 3 2 3 2 2 2 2" xfId="11549"/>
    <cellStyle name="常规 4 2 10 3 3 2 3 2 2 3" xfId="11550"/>
    <cellStyle name="常规 4 2 10 3 3 2 3 2 2 4" xfId="11551"/>
    <cellStyle name="常规 4 2 10 3 3 2 3 2 3" xfId="11471"/>
    <cellStyle name="常规 4 2 10 3 3 2 3 2 3 2" xfId="11553"/>
    <cellStyle name="常规 4 2 10 3 3 2 3 2 4" xfId="11554"/>
    <cellStyle name="常规 4 2 10 3 3 2 3 2 5" xfId="11555"/>
    <cellStyle name="常规 4 2 10 3 3 2 3 3" xfId="11556"/>
    <cellStyle name="常规 4 2 10 3 3 2 3 3 2" xfId="11557"/>
    <cellStyle name="常规 4 2 10 3 3 2 3 3 2 2" xfId="11558"/>
    <cellStyle name="常规 4 2 10 3 3 2 3 3 3" xfId="11559"/>
    <cellStyle name="常规 4 2 10 3 3 2 3 3 4" xfId="11560"/>
    <cellStyle name="常规 4 2 10 3 3 2 3 4" xfId="11562"/>
    <cellStyle name="常规 4 2 10 3 3 2 3 4 2" xfId="11564"/>
    <cellStyle name="常规 4 2 10 3 3 2 3 5" xfId="11566"/>
    <cellStyle name="常规 4 2 10 3 3 2 3 6" xfId="11568"/>
    <cellStyle name="常规 4 2 10 3 3 2 4" xfId="11570"/>
    <cellStyle name="常规 4 2 10 3 3 2 4 2" xfId="11573"/>
    <cellStyle name="常规 4 2 10 3 3 2 4 2 2" xfId="11576"/>
    <cellStyle name="常规 4 2 10 3 3 2 4 2 2 2" xfId="11578"/>
    <cellStyle name="常规 4 2 10 3 3 2 4 2 3" xfId="11580"/>
    <cellStyle name="常规 4 2 10 3 3 2 4 2 4" xfId="11583"/>
    <cellStyle name="常规 4 2 10 3 3 2 4 3" xfId="11586"/>
    <cellStyle name="常规 4 2 10 3 3 2 4 3 2" xfId="11588"/>
    <cellStyle name="常规 4 2 10 3 3 2 4 4" xfId="11591"/>
    <cellStyle name="常规 4 2 10 3 3 2 4 5" xfId="11595"/>
    <cellStyle name="常规 4 2 10 3 3 2 5" xfId="11598"/>
    <cellStyle name="常规 4 2 10 3 3 2 5 2" xfId="11603"/>
    <cellStyle name="常规 4 2 10 3 3 2 5 2 2" xfId="11607"/>
    <cellStyle name="常规 4 2 10 3 3 2 5 3" xfId="11611"/>
    <cellStyle name="常规 4 2 10 3 3 2 5 4" xfId="11615"/>
    <cellStyle name="常规 4 2 10 3 3 2 6" xfId="11620"/>
    <cellStyle name="常规 4 2 10 3 3 2 6 2" xfId="11624"/>
    <cellStyle name="常规 4 2 10 3 3 2 7" xfId="11629"/>
    <cellStyle name="常规 4 2 10 3 3 2 8" xfId="11633"/>
    <cellStyle name="常规 4 2 10 3 3 3" xfId="11639"/>
    <cellStyle name="常规 4 2 10 3 3 3 2" xfId="11641"/>
    <cellStyle name="常规 4 2 10 3 3 3 2 2" xfId="11642"/>
    <cellStyle name="常规 4 2 10 3 3 3 2 2 2" xfId="11644"/>
    <cellStyle name="常规 4 2 10 3 3 3 2 2 2 2" xfId="11649"/>
    <cellStyle name="常规 4 2 10 3 3 3 2 2 2 2 2" xfId="11653"/>
    <cellStyle name="常规 4 2 10 3 3 3 2 2 2 3" xfId="11657"/>
    <cellStyle name="常规 4 2 10 3 3 3 2 2 2 4" xfId="11661"/>
    <cellStyle name="常规 4 2 10 3 3 3 2 2 3" xfId="11664"/>
    <cellStyle name="常规 4 2 10 3 3 3 2 2 3 2" xfId="11668"/>
    <cellStyle name="常规 4 2 10 3 3 3 2 2 4" xfId="10726"/>
    <cellStyle name="常规 4 2 10 3 3 3 2 2 5" xfId="10731"/>
    <cellStyle name="常规 4 2 10 3 3 3 2 3" xfId="11669"/>
    <cellStyle name="常规 4 2 10 3 3 3 2 3 2" xfId="11672"/>
    <cellStyle name="常规 4 2 10 3 3 3 2 3 2 2" xfId="11676"/>
    <cellStyle name="常规 4 2 10 3 3 3 2 3 3" xfId="11679"/>
    <cellStyle name="常规 4 2 10 3 3 3 2 3 4" xfId="10737"/>
    <cellStyle name="常规 4 2 10 3 3 3 2 4" xfId="11681"/>
    <cellStyle name="常规 4 2 10 3 3 3 2 4 2" xfId="11685"/>
    <cellStyle name="常规 4 2 10 3 3 3 2 5" xfId="11687"/>
    <cellStyle name="常规 4 2 10 3 3 3 2 6" xfId="11689"/>
    <cellStyle name="常规 4 2 10 3 3 3 3" xfId="11691"/>
    <cellStyle name="常规 4 2 10 3 3 3 3 2" xfId="11693"/>
    <cellStyle name="常规 4 2 10 3 3 3 3 2 2" xfId="11696"/>
    <cellStyle name="常规 4 2 10 3 3 3 3 2 2 2" xfId="9796"/>
    <cellStyle name="常规 4 2 10 3 3 3 3 2 3" xfId="11699"/>
    <cellStyle name="常规 4 2 10 3 3 3 3 2 4" xfId="10751"/>
    <cellStyle name="常规 4 2 10 3 3 3 3 3" xfId="11701"/>
    <cellStyle name="常规 4 2 10 3 3 3 3 3 2" xfId="11704"/>
    <cellStyle name="常规 4 2 10 3 3 3 3 4" xfId="11707"/>
    <cellStyle name="常规 4 2 10 3 3 3 3 5" xfId="11709"/>
    <cellStyle name="常规 4 2 10 3 3 3 4" xfId="11712"/>
    <cellStyle name="常规 4 2 10 3 3 3 4 2" xfId="11716"/>
    <cellStyle name="常规 4 2 10 3 3 3 4 2 2" xfId="11720"/>
    <cellStyle name="常规 4 2 10 3 3 3 4 3" xfId="11723"/>
    <cellStyle name="常规 4 2 10 3 3 3 4 4" xfId="11726"/>
    <cellStyle name="常规 4 2 10 3 3 3 5" xfId="11729"/>
    <cellStyle name="常规 4 2 10 3 3 3 5 2" xfId="11734"/>
    <cellStyle name="常规 4 2 10 3 3 3 6" xfId="11741"/>
    <cellStyle name="常规 4 2 10 3 3 3 7" xfId="11747"/>
    <cellStyle name="常规 4 2 10 3 3 4" xfId="11753"/>
    <cellStyle name="常规 4 2 10 3 3 4 2" xfId="11754"/>
    <cellStyle name="常规 4 2 10 3 3 4 2 2" xfId="11755"/>
    <cellStyle name="常规 4 2 10 3 3 4 2 2 2" xfId="1945"/>
    <cellStyle name="常规 4 2 10 3 3 4 2 2 2 2" xfId="2406"/>
    <cellStyle name="常规 4 2 10 3 3 4 2 2 3" xfId="11758"/>
    <cellStyle name="常规 4 2 10 3 3 4 2 2 4" xfId="10779"/>
    <cellStyle name="常规 4 2 10 3 3 4 2 3" xfId="11643"/>
    <cellStyle name="常规 4 2 10 3 3 4 2 3 2" xfId="11645"/>
    <cellStyle name="常规 4 2 10 3 3 4 2 4" xfId="11663"/>
    <cellStyle name="常规 4 2 10 3 3 4 2 5" xfId="10725"/>
    <cellStyle name="常规 4 2 10 3 3 4 3" xfId="11760"/>
    <cellStyle name="常规 4 2 10 3 3 4 3 2" xfId="11762"/>
    <cellStyle name="常规 4 2 10 3 3 4 3 2 2" xfId="11765"/>
    <cellStyle name="常规 4 2 10 3 3 4 3 3" xfId="11671"/>
    <cellStyle name="常规 4 2 10 3 3 4 3 4" xfId="11678"/>
    <cellStyle name="常规 4 2 10 3 3 4 4" xfId="11768"/>
    <cellStyle name="常规 4 2 10 3 3 4 4 2" xfId="3463"/>
    <cellStyle name="常规 4 2 10 3 3 4 5" xfId="11770"/>
    <cellStyle name="常规 4 2 10 3 3 4 6" xfId="11776"/>
    <cellStyle name="常规 4 2 10 3 3 5" xfId="11782"/>
    <cellStyle name="常规 4 2 10 3 3 5 2" xfId="11783"/>
    <cellStyle name="常规 4 2 10 3 3 5 2 2" xfId="11784"/>
    <cellStyle name="常规 4 2 10 3 3 5 2 2 2" xfId="9781"/>
    <cellStyle name="常规 4 2 10 3 3 5 2 3" xfId="11695"/>
    <cellStyle name="常规 4 2 10 3 3 5 2 4" xfId="11698"/>
    <cellStyle name="常规 4 2 10 3 3 5 3" xfId="11786"/>
    <cellStyle name="常规 4 2 10 3 3 5 3 2" xfId="11788"/>
    <cellStyle name="常规 4 2 10 3 3 5 4" xfId="11790"/>
    <cellStyle name="常规 4 2 10 3 3 5 5" xfId="11794"/>
    <cellStyle name="常规 4 2 10 3 3 6" xfId="11795"/>
    <cellStyle name="常规 4 2 10 3 3 6 2" xfId="11797"/>
    <cellStyle name="常规 4 2 10 3 3 6 2 2" xfId="11800"/>
    <cellStyle name="常规 4 2 10 3 3 6 3" xfId="11802"/>
    <cellStyle name="常规 4 2 10 3 3 6 4" xfId="11807"/>
    <cellStyle name="常规 4 2 10 3 3 7" xfId="11809"/>
    <cellStyle name="常规 4 2 10 3 3 7 2" xfId="11810"/>
    <cellStyle name="常规 4 2 10 3 3 8" xfId="11812"/>
    <cellStyle name="常规 4 2 10 3 3 9" xfId="11814"/>
    <cellStyle name="常规 4 2 10 3 4" xfId="11818"/>
    <cellStyle name="常规 4 2 10 3 4 2" xfId="11821"/>
    <cellStyle name="常规 4 2 10 3 4 2 2" xfId="11822"/>
    <cellStyle name="常规 4 2 10 3 4 2 2 2" xfId="11823"/>
    <cellStyle name="常规 4 2 10 3 4 2 2 2 2" xfId="11825"/>
    <cellStyle name="常规 4 2 10 3 4 2 2 2 2 2" xfId="9838"/>
    <cellStyle name="常规 4 2 10 3 4 2 2 2 2 2 2" xfId="11828"/>
    <cellStyle name="常规 4 2 10 3 4 2 2 2 2 3" xfId="11830"/>
    <cellStyle name="常规 4 2 10 3 4 2 2 2 2 4" xfId="11832"/>
    <cellStyle name="常规 4 2 10 3 4 2 2 2 3" xfId="11834"/>
    <cellStyle name="常规 4 2 10 3 4 2 2 2 3 2" xfId="11836"/>
    <cellStyle name="常规 4 2 10 3 4 2 2 2 4" xfId="11837"/>
    <cellStyle name="常规 4 2 10 3 4 2 2 2 5" xfId="11838"/>
    <cellStyle name="常规 4 2 10 3 4 2 2 3" xfId="11839"/>
    <cellStyle name="常规 4 2 10 3 4 2 2 3 2" xfId="11840"/>
    <cellStyle name="常规 4 2 10 3 4 2 2 3 2 2" xfId="11842"/>
    <cellStyle name="常规 4 2 10 3 4 2 2 3 3" xfId="11843"/>
    <cellStyle name="常规 4 2 10 3 4 2 2 3 4" xfId="11844"/>
    <cellStyle name="常规 4 2 10 3 4 2 2 4" xfId="11846"/>
    <cellStyle name="常规 4 2 10 3 4 2 2 4 2" xfId="2576"/>
    <cellStyle name="常规 4 2 10 3 4 2 2 5" xfId="11848"/>
    <cellStyle name="常规 4 2 10 3 4 2 2 6" xfId="11850"/>
    <cellStyle name="常规 4 2 10 3 4 2 3" xfId="11851"/>
    <cellStyle name="常规 4 2 10 3 4 2 3 2" xfId="11852"/>
    <cellStyle name="常规 4 2 10 3 4 2 3 2 2" xfId="11853"/>
    <cellStyle name="常规 4 2 10 3 4 2 3 2 2 2" xfId="10048"/>
    <cellStyle name="常规 4 2 10 3 4 2 3 2 3" xfId="11854"/>
    <cellStyle name="常规 4 2 10 3 4 2 3 2 4" xfId="11855"/>
    <cellStyle name="常规 4 2 10 3 4 2 3 3" xfId="11856"/>
    <cellStyle name="常规 4 2 10 3 4 2 3 3 2" xfId="11858"/>
    <cellStyle name="常规 4 2 10 3 4 2 3 4" xfId="2780"/>
    <cellStyle name="常规 4 2 10 3 4 2 3 5" xfId="11859"/>
    <cellStyle name="常规 4 2 10 3 4 2 4" xfId="11861"/>
    <cellStyle name="常规 4 2 10 3 4 2 4 2" xfId="11864"/>
    <cellStyle name="常规 4 2 10 3 4 2 4 2 2" xfId="11866"/>
    <cellStyle name="常规 4 2 10 3 4 2 4 3" xfId="11868"/>
    <cellStyle name="常规 4 2 10 3 4 2 4 4" xfId="11870"/>
    <cellStyle name="常规 4 2 10 3 4 2 5" xfId="11873"/>
    <cellStyle name="常规 4 2 10 3 4 2 5 2" xfId="11877"/>
    <cellStyle name="常规 4 2 10 3 4 2 6" xfId="11882"/>
    <cellStyle name="常规 4 2 10 3 4 2 7" xfId="11886"/>
    <cellStyle name="常规 4 2 10 3 4 3" xfId="11893"/>
    <cellStyle name="常规 4 2 10 3 4 3 2" xfId="11895"/>
    <cellStyle name="常规 4 2 10 3 4 3 2 2" xfId="11897"/>
    <cellStyle name="常规 4 2 10 3 4 3 2 2 2" xfId="11899"/>
    <cellStyle name="常规 4 2 10 3 4 3 2 2 2 2" xfId="11902"/>
    <cellStyle name="常规 4 2 10 3 4 3 2 2 3" xfId="11904"/>
    <cellStyle name="常规 4 2 10 3 4 3 2 2 4" xfId="10862"/>
    <cellStyle name="常规 4 2 10 3 4 3 2 3" xfId="11906"/>
    <cellStyle name="常规 4 2 10 3 4 3 2 3 2" xfId="11908"/>
    <cellStyle name="常规 4 2 10 3 4 3 2 4" xfId="11911"/>
    <cellStyle name="常规 4 2 10 3 4 3 2 5" xfId="11914"/>
    <cellStyle name="常规 4 2 10 3 4 3 3" xfId="11916"/>
    <cellStyle name="常规 4 2 10 3 4 3 3 2" xfId="11919"/>
    <cellStyle name="常规 4 2 10 3 4 3 3 2 2" xfId="11922"/>
    <cellStyle name="常规 4 2 10 3 4 3 3 3" xfId="11925"/>
    <cellStyle name="常规 4 2 10 3 4 3 3 4" xfId="11928"/>
    <cellStyle name="常规 4 2 10 3 4 3 4" xfId="11931"/>
    <cellStyle name="常规 4 2 10 3 4 3 4 2" xfId="2001"/>
    <cellStyle name="常规 4 2 10 3 4 3 5" xfId="11933"/>
    <cellStyle name="常规 4 2 10 3 4 3 6" xfId="11941"/>
    <cellStyle name="常规 4 2 10 3 4 4" xfId="11944"/>
    <cellStyle name="常规 4 2 10 3 4 4 2" xfId="11945"/>
    <cellStyle name="常规 4 2 10 3 4 4 2 2" xfId="11947"/>
    <cellStyle name="常规 4 2 10 3 4 4 2 2 2" xfId="11949"/>
    <cellStyle name="常规 4 2 10 3 4 4 2 3" xfId="1944"/>
    <cellStyle name="常规 4 2 10 3 4 4 2 4" xfId="11757"/>
    <cellStyle name="常规 4 2 10 3 4 4 3" xfId="11951"/>
    <cellStyle name="常规 4 2 10 3 4 4 3 2" xfId="11955"/>
    <cellStyle name="常规 4 2 10 3 4 4 4" xfId="11957"/>
    <cellStyle name="常规 4 2 10 3 4 4 5" xfId="11962"/>
    <cellStyle name="常规 4 2 10 3 4 5" xfId="11964"/>
    <cellStyle name="常规 4 2 10 3 4 5 2" xfId="11965"/>
    <cellStyle name="常规 4 2 10 3 4 5 2 2" xfId="11967"/>
    <cellStyle name="常规 4 2 10 3 4 5 3" xfId="11969"/>
    <cellStyle name="常规 4 2 10 3 4 5 4" xfId="11971"/>
    <cellStyle name="常规 4 2 10 3 4 6" xfId="11972"/>
    <cellStyle name="常规 4 2 10 3 4 6 2" xfId="11973"/>
    <cellStyle name="常规 4 2 10 3 4 7" xfId="11975"/>
    <cellStyle name="常规 4 2 10 3 4 8" xfId="11976"/>
    <cellStyle name="常规 4 2 10 3 5" xfId="11980"/>
    <cellStyle name="常规 4 2 10 3 5 2" xfId="11983"/>
    <cellStyle name="常规 4 2 10 3 5 2 2" xfId="11986"/>
    <cellStyle name="常规 4 2 10 3 5 2 2 2" xfId="11988"/>
    <cellStyle name="常规 4 2 10 3 5 2 2 2 2" xfId="11991"/>
    <cellStyle name="常规 4 2 10 3 5 2 2 2 2 2" xfId="11994"/>
    <cellStyle name="常规 4 2 10 3 5 2 2 2 3" xfId="11997"/>
    <cellStyle name="常规 4 2 10 3 5 2 2 2 4" xfId="11999"/>
    <cellStyle name="常规 4 2 10 3 5 2 2 3" xfId="12001"/>
    <cellStyle name="常规 4 2 10 3 5 2 2 3 2" xfId="12004"/>
    <cellStyle name="常规 4 2 10 3 5 2 2 4" xfId="12008"/>
    <cellStyle name="常规 4 2 10 3 5 2 2 5" xfId="12011"/>
    <cellStyle name="常规 4 2 10 3 5 2 3" xfId="12014"/>
    <cellStyle name="常规 4 2 10 3 5 2 3 2" xfId="12016"/>
    <cellStyle name="常规 4 2 10 3 5 2 3 2 2" xfId="12018"/>
    <cellStyle name="常规 4 2 10 3 5 2 3 3" xfId="12020"/>
    <cellStyle name="常规 4 2 10 3 5 2 3 4" xfId="12022"/>
    <cellStyle name="常规 4 2 10 3 5 2 4" xfId="12025"/>
    <cellStyle name="常规 4 2 10 3 5 2 4 2" xfId="12028"/>
    <cellStyle name="常规 4 2 10 3 5 2 5" xfId="12031"/>
    <cellStyle name="常规 4 2 10 3 5 2 6" xfId="12038"/>
    <cellStyle name="常规 4 2 10 3 5 3" xfId="12042"/>
    <cellStyle name="常规 4 2 10 3 5 3 2" xfId="12044"/>
    <cellStyle name="常规 4 2 10 3 5 3 2 2" xfId="12047"/>
    <cellStyle name="常规 4 2 10 3 5 3 2 2 2" xfId="12050"/>
    <cellStyle name="常规 4 2 10 3 5 3 2 3" xfId="12053"/>
    <cellStyle name="常规 4 2 10 3 5 3 2 4" xfId="12056"/>
    <cellStyle name="常规 4 2 10 3 5 3 3" xfId="12059"/>
    <cellStyle name="常规 4 2 10 3 5 3 3 2" xfId="12064"/>
    <cellStyle name="常规 4 2 10 3 5 3 4" xfId="12067"/>
    <cellStyle name="常规 4 2 10 3 5 3 5" xfId="12072"/>
    <cellStyle name="常规 4 2 10 3 5 4" xfId="12074"/>
    <cellStyle name="常规 4 2 10 3 5 4 2" xfId="12076"/>
    <cellStyle name="常规 4 2 10 3 5 4 2 2" xfId="9775"/>
    <cellStyle name="常规 4 2 10 3 5 4 3" xfId="12079"/>
    <cellStyle name="常规 4 2 10 3 5 4 4" xfId="9097"/>
    <cellStyle name="常规 4 2 10 3 5 5" xfId="12081"/>
    <cellStyle name="常规 4 2 10 3 5 5 2" xfId="12083"/>
    <cellStyle name="常规 4 2 10 3 5 6" xfId="12085"/>
    <cellStyle name="常规 4 2 10 3 5 7" xfId="12087"/>
    <cellStyle name="常规 4 2 10 3 6" xfId="12092"/>
    <cellStyle name="常规 4 2 10 3 6 2" xfId="12095"/>
    <cellStyle name="常规 4 2 10 3 6 2 2" xfId="12097"/>
    <cellStyle name="常规 4 2 10 3 6 2 2 2" xfId="12101"/>
    <cellStyle name="常规 4 2 10 3 6 2 2 2 2" xfId="12104"/>
    <cellStyle name="常规 4 2 10 3 6 2 2 3" xfId="12108"/>
    <cellStyle name="常规 4 2 10 3 6 2 2 4" xfId="12113"/>
    <cellStyle name="常规 4 2 10 3 6 2 3" xfId="12117"/>
    <cellStyle name="常规 4 2 10 3 6 2 3 2" xfId="12120"/>
    <cellStyle name="常规 4 2 10 3 6 2 4" xfId="12123"/>
    <cellStyle name="常规 4 2 10 3 6 2 5" xfId="12127"/>
    <cellStyle name="常规 4 2 10 3 6 3" xfId="12133"/>
    <cellStyle name="常规 4 2 10 3 6 3 2" xfId="12135"/>
    <cellStyle name="常规 4 2 10 3 6 3 2 2" xfId="12138"/>
    <cellStyle name="常规 4 2 10 3 6 3 3" xfId="12141"/>
    <cellStyle name="常规 4 2 10 3 6 3 4" xfId="12145"/>
    <cellStyle name="常规 4 2 10 3 6 4" xfId="12151"/>
    <cellStyle name="常规 4 2 10 3 6 4 2" xfId="12153"/>
    <cellStyle name="常规 4 2 10 3 6 5" xfId="12158"/>
    <cellStyle name="常规 4 2 10 3 6 6" xfId="12161"/>
    <cellStyle name="常规 4 2 10 3 7" xfId="12164"/>
    <cellStyle name="常规 4 2 10 3 7 2" xfId="12167"/>
    <cellStyle name="常规 4 2 10 3 7 2 2" xfId="12169"/>
    <cellStyle name="常规 4 2 10 3 7 2 2 2" xfId="12173"/>
    <cellStyle name="常规 4 2 10 3 7 2 3" xfId="12177"/>
    <cellStyle name="常规 4 2 10 3 7 2 4" xfId="12181"/>
    <cellStyle name="常规 4 2 10 3 7 3" xfId="12186"/>
    <cellStyle name="常规 4 2 10 3 7 3 2" xfId="12188"/>
    <cellStyle name="常规 4 2 10 3 7 4" xfId="12192"/>
    <cellStyle name="常规 4 2 10 3 7 5" xfId="12195"/>
    <cellStyle name="常规 4 2 10 3 8" xfId="12198"/>
    <cellStyle name="常规 4 2 10 3 8 2" xfId="12200"/>
    <cellStyle name="常规 4 2 10 3 8 2 2" xfId="12202"/>
    <cellStyle name="常规 4 2 10 3 8 3" xfId="12205"/>
    <cellStyle name="常规 4 2 10 3 8 4" xfId="12208"/>
    <cellStyle name="常规 4 2 10 3 9" xfId="12212"/>
    <cellStyle name="常规 4 2 10 3 9 2" xfId="12214"/>
    <cellStyle name="常规 4 2 10 4" xfId="9320"/>
    <cellStyle name="常规 4 2 10 4 2" xfId="9322"/>
    <cellStyle name="常规 4 2 10 4 2 2" xfId="7160"/>
    <cellStyle name="常规 4 2 10 4 2 2 2" xfId="12215"/>
    <cellStyle name="常规 4 2 10 4 2 2 2 2" xfId="12216"/>
    <cellStyle name="常规 4 2 10 4 2 2 2 2 2" xfId="12219"/>
    <cellStyle name="常规 4 2 10 4 2 2 2 2 2 2" xfId="12221"/>
    <cellStyle name="常规 4 2 10 4 2 2 2 2 2 2 2" xfId="12222"/>
    <cellStyle name="常规 4 2 10 4 2 2 2 2 2 3" xfId="8971"/>
    <cellStyle name="常规 4 2 10 4 2 2 2 2 2 4" xfId="12223"/>
    <cellStyle name="常规 4 2 10 4 2 2 2 2 3" xfId="12225"/>
    <cellStyle name="常规 4 2 10 4 2 2 2 2 3 2" xfId="12226"/>
    <cellStyle name="常规 4 2 10 4 2 2 2 2 4" xfId="12228"/>
    <cellStyle name="常规 4 2 10 4 2 2 2 2 5" xfId="12229"/>
    <cellStyle name="常规 4 2 10 4 2 2 2 3" xfId="12230"/>
    <cellStyle name="常规 4 2 10 4 2 2 2 3 2" xfId="12232"/>
    <cellStyle name="常规 4 2 10 4 2 2 2 3 2 2" xfId="12233"/>
    <cellStyle name="常规 4 2 10 4 2 2 2 3 3" xfId="12235"/>
    <cellStyle name="常规 4 2 10 4 2 2 2 3 4" xfId="12236"/>
    <cellStyle name="常规 4 2 10 4 2 2 2 4" xfId="7022"/>
    <cellStyle name="常规 4 2 10 4 2 2 2 4 2" xfId="6169"/>
    <cellStyle name="常规 4 2 10 4 2 2 2 5" xfId="3111"/>
    <cellStyle name="常规 4 2 10 4 2 2 2 6" xfId="85"/>
    <cellStyle name="常规 4 2 10 4 2 2 3" xfId="12237"/>
    <cellStyle name="常规 4 2 10 4 2 2 3 2" xfId="12239"/>
    <cellStyle name="常规 4 2 10 4 2 2 3 2 2" xfId="12241"/>
    <cellStyle name="常规 4 2 10 4 2 2 3 2 2 2" xfId="12243"/>
    <cellStyle name="常规 4 2 10 4 2 2 3 2 3" xfId="12244"/>
    <cellStyle name="常规 4 2 10 4 2 2 3 2 4" xfId="12248"/>
    <cellStyle name="常规 4 2 10 4 2 2 3 3" xfId="12251"/>
    <cellStyle name="常规 4 2 10 4 2 2 3 3 2" xfId="12252"/>
    <cellStyle name="常规 4 2 10 4 2 2 3 4" xfId="7025"/>
    <cellStyle name="常规 4 2 10 4 2 2 3 5" xfId="12253"/>
    <cellStyle name="常规 4 2 10 4 2 2 4" xfId="12255"/>
    <cellStyle name="常规 4 2 10 4 2 2 4 2" xfId="12257"/>
    <cellStyle name="常规 4 2 10 4 2 2 4 2 2" xfId="12259"/>
    <cellStyle name="常规 4 2 10 4 2 2 4 3" xfId="160"/>
    <cellStyle name="常规 4 2 10 4 2 2 4 4" xfId="103"/>
    <cellStyle name="常规 4 2 10 4 2 2 5" xfId="12262"/>
    <cellStyle name="常规 4 2 10 4 2 2 5 2" xfId="12267"/>
    <cellStyle name="常规 4 2 10 4 2 2 6" xfId="12270"/>
    <cellStyle name="常规 4 2 10 4 2 2 7" xfId="12273"/>
    <cellStyle name="常规 4 2 10 4 2 3" xfId="12274"/>
    <cellStyle name="常规 4 2 10 4 2 3 2" xfId="12275"/>
    <cellStyle name="常规 4 2 10 4 2 3 2 2" xfId="12276"/>
    <cellStyle name="常规 4 2 10 4 2 3 2 2 2" xfId="12278"/>
    <cellStyle name="常规 4 2 10 4 2 3 2 2 2 2" xfId="5052"/>
    <cellStyle name="常规 4 2 10 4 2 3 2 2 3" xfId="12281"/>
    <cellStyle name="常规 4 2 10 4 2 3 2 2 4" xfId="12283"/>
    <cellStyle name="常规 4 2 10 4 2 3 2 3" xfId="12284"/>
    <cellStyle name="常规 4 2 10 4 2 3 2 3 2" xfId="12286"/>
    <cellStyle name="常规 4 2 10 4 2 3 2 4" xfId="7032"/>
    <cellStyle name="常规 4 2 10 4 2 3 2 5" xfId="11329"/>
    <cellStyle name="常规 4 2 10 4 2 3 3" xfId="12287"/>
    <cellStyle name="常规 4 2 10 4 2 3 3 2" xfId="12288"/>
    <cellStyle name="常规 4 2 10 4 2 3 3 2 2" xfId="12290"/>
    <cellStyle name="常规 4 2 10 4 2 3 3 3" xfId="12291"/>
    <cellStyle name="常规 4 2 10 4 2 3 3 4" xfId="12292"/>
    <cellStyle name="常规 4 2 10 4 2 3 4" xfId="12295"/>
    <cellStyle name="常规 4 2 10 4 2 3 4 2" xfId="12297"/>
    <cellStyle name="常规 4 2 10 4 2 3 5" xfId="12300"/>
    <cellStyle name="常规 4 2 10 4 2 3 6" xfId="12303"/>
    <cellStyle name="常规 4 2 10 4 2 4" xfId="12304"/>
    <cellStyle name="常规 4 2 10 4 2 4 2" xfId="12305"/>
    <cellStyle name="常规 4 2 10 4 2 4 2 2" xfId="12306"/>
    <cellStyle name="常规 4 2 10 4 2 4 2 2 2" xfId="9804"/>
    <cellStyle name="常规 4 2 10 4 2 4 2 3" xfId="11824"/>
    <cellStyle name="常规 4 2 10 4 2 4 2 4" xfId="11833"/>
    <cellStyle name="常规 4 2 10 4 2 4 3" xfId="12307"/>
    <cellStyle name="常规 4 2 10 4 2 4 3 2" xfId="12308"/>
    <cellStyle name="常规 4 2 10 4 2 4 4" xfId="12310"/>
    <cellStyle name="常规 4 2 10 4 2 4 5" xfId="12312"/>
    <cellStyle name="常规 4 2 10 4 2 5" xfId="12313"/>
    <cellStyle name="常规 4 2 10 4 2 5 2" xfId="12314"/>
    <cellStyle name="常规 4 2 10 4 2 5 2 2" xfId="12316"/>
    <cellStyle name="常规 4 2 10 4 2 5 3" xfId="12317"/>
    <cellStyle name="常规 4 2 10 4 2 5 4" xfId="5180"/>
    <cellStyle name="常规 4 2 10 4 2 6" xfId="12319"/>
    <cellStyle name="常规 4 2 10 4 2 6 2" xfId="12320"/>
    <cellStyle name="常规 4 2 10 4 2 7" xfId="12323"/>
    <cellStyle name="常规 4 2 10 4 2 8" xfId="12325"/>
    <cellStyle name="常规 4 2 10 4 3" xfId="9324"/>
    <cellStyle name="常规 4 2 10 4 3 2" xfId="12326"/>
    <cellStyle name="常规 4 2 10 4 3 2 2" xfId="12327"/>
    <cellStyle name="常规 4 2 10 4 3 2 2 2" xfId="285"/>
    <cellStyle name="常规 4 2 10 4 3 2 2 2 2" xfId="12329"/>
    <cellStyle name="常规 4 2 10 4 3 2 2 2 2 2" xfId="12330"/>
    <cellStyle name="常规 4 2 10 4 3 2 2 2 3" xfId="12333"/>
    <cellStyle name="常规 4 2 10 4 3 2 2 2 4" xfId="12334"/>
    <cellStyle name="常规 4 2 10 4 3 2 2 3" xfId="299"/>
    <cellStyle name="常规 4 2 10 4 3 2 2 3 2" xfId="12335"/>
    <cellStyle name="常规 4 2 10 4 3 2 2 4" xfId="38"/>
    <cellStyle name="常规 4 2 10 4 3 2 2 5" xfId="317"/>
    <cellStyle name="常规 4 2 10 4 3 2 3" xfId="12336"/>
    <cellStyle name="常规 4 2 10 4 3 2 3 2" xfId="12337"/>
    <cellStyle name="常规 4 2 10 4 3 2 3 2 2" xfId="12338"/>
    <cellStyle name="常规 4 2 10 4 3 2 3 3" xfId="12339"/>
    <cellStyle name="常规 4 2 10 4 3 2 3 4" xfId="3243"/>
    <cellStyle name="常规 4 2 10 4 3 2 4" xfId="12341"/>
    <cellStyle name="常规 4 2 10 4 3 2 4 2" xfId="12344"/>
    <cellStyle name="常规 4 2 10 4 3 2 5" xfId="12347"/>
    <cellStyle name="常规 4 2 10 4 3 2 6" xfId="12353"/>
    <cellStyle name="常规 4 2 10 4 3 3" xfId="12359"/>
    <cellStyle name="常规 4 2 10 4 3 3 2" xfId="12360"/>
    <cellStyle name="常规 4 2 10 4 3 3 2 2" xfId="12361"/>
    <cellStyle name="常规 4 2 10 4 3 3 2 2 2" xfId="12362"/>
    <cellStyle name="常规 4 2 10 4 3 3 2 3" xfId="12363"/>
    <cellStyle name="常规 4 2 10 4 3 3 2 4" xfId="12365"/>
    <cellStyle name="常规 4 2 10 4 3 3 3" xfId="12366"/>
    <cellStyle name="常规 4 2 10 4 3 3 3 2" xfId="12367"/>
    <cellStyle name="常规 4 2 10 4 3 3 4" xfId="12369"/>
    <cellStyle name="常规 4 2 10 4 3 3 5" xfId="12371"/>
    <cellStyle name="常规 4 2 10 4 3 4" xfId="12376"/>
    <cellStyle name="常规 4 2 10 4 3 4 2" xfId="12377"/>
    <cellStyle name="常规 4 2 10 4 3 4 2 2" xfId="12378"/>
    <cellStyle name="常规 4 2 10 4 3 4 3" xfId="12379"/>
    <cellStyle name="常规 4 2 10 4 3 4 4" xfId="12380"/>
    <cellStyle name="常规 4 2 10 4 3 5" xfId="12382"/>
    <cellStyle name="常规 4 2 10 4 3 5 2" xfId="12383"/>
    <cellStyle name="常规 4 2 10 4 3 6" xfId="12384"/>
    <cellStyle name="常规 4 2 10 4 3 7" xfId="12386"/>
    <cellStyle name="常规 4 2 10 4 4" xfId="7879"/>
    <cellStyle name="常规 4 2 10 4 4 2" xfId="12387"/>
    <cellStyle name="常规 4 2 10 4 4 2 2" xfId="12388"/>
    <cellStyle name="常规 4 2 10 4 4 2 2 2" xfId="12389"/>
    <cellStyle name="常规 4 2 10 4 4 2 2 2 2" xfId="12391"/>
    <cellStyle name="常规 4 2 10 4 4 2 2 3" xfId="12392"/>
    <cellStyle name="常规 4 2 10 4 4 2 2 4" xfId="12394"/>
    <cellStyle name="常规 4 2 10 4 4 2 3" xfId="12395"/>
    <cellStyle name="常规 4 2 10 4 4 2 3 2" xfId="12396"/>
    <cellStyle name="常规 4 2 10 4 4 2 4" xfId="12398"/>
    <cellStyle name="常规 4 2 10 4 4 2 5" xfId="12400"/>
    <cellStyle name="常规 4 2 10 4 4 3" xfId="12406"/>
    <cellStyle name="常规 4 2 10 4 4 3 2" xfId="12407"/>
    <cellStyle name="常规 4 2 10 4 4 3 2 2" xfId="12408"/>
    <cellStyle name="常规 4 2 10 4 4 3 3" xfId="12409"/>
    <cellStyle name="常规 4 2 10 4 4 3 4" xfId="12410"/>
    <cellStyle name="常规 4 2 10 4 4 4" xfId="12412"/>
    <cellStyle name="常规 4 2 10 4 4 4 2" xfId="12413"/>
    <cellStyle name="常规 4 2 10 4 4 5" xfId="12414"/>
    <cellStyle name="常规 4 2 10 4 4 6" xfId="12415"/>
    <cellStyle name="常规 4 2 10 4 5" xfId="12417"/>
    <cellStyle name="常规 4 2 10 4 5 2" xfId="12419"/>
    <cellStyle name="常规 4 2 10 4 5 2 2" xfId="12421"/>
    <cellStyle name="常规 4 2 10 4 5 2 2 2" xfId="12423"/>
    <cellStyle name="常规 4 2 10 4 5 2 3" xfId="12425"/>
    <cellStyle name="常规 4 2 10 4 5 2 4" xfId="12427"/>
    <cellStyle name="常规 4 2 10 4 5 3" xfId="12430"/>
    <cellStyle name="常规 4 2 10 4 5 3 2" xfId="12432"/>
    <cellStyle name="常规 4 2 10 4 5 4" xfId="12434"/>
    <cellStyle name="常规 4 2 10 4 5 5" xfId="12436"/>
    <cellStyle name="常规 4 2 10 4 6" xfId="12440"/>
    <cellStyle name="常规 4 2 10 4 6 2" xfId="12443"/>
    <cellStyle name="常规 4 2 10 4 6 2 2" xfId="12445"/>
    <cellStyle name="常规 4 2 10 4 6 3" xfId="12448"/>
    <cellStyle name="常规 4 2 10 4 6 4" xfId="12451"/>
    <cellStyle name="常规 4 2 10 4 7" xfId="12455"/>
    <cellStyle name="常规 4 2 10 4 7 2" xfId="12459"/>
    <cellStyle name="常规 4 2 10 4 8" xfId="12462"/>
    <cellStyle name="常规 4 2 10 4 9" xfId="12465"/>
    <cellStyle name="常规 4 2 10 5" xfId="2877"/>
    <cellStyle name="常规 4 2 10 5 2" xfId="2880"/>
    <cellStyle name="常规 4 2 10 5 2 2" xfId="12466"/>
    <cellStyle name="常规 4 2 10 5 2 2 2" xfId="12467"/>
    <cellStyle name="常规 4 2 10 5 2 2 2 2" xfId="12468"/>
    <cellStyle name="常规 4 2 10 5 2 2 2 2 2" xfId="12471"/>
    <cellStyle name="常规 4 2 10 5 2 2 2 2 2 2" xfId="12472"/>
    <cellStyle name="常规 4 2 10 5 2 2 2 2 2 2 2" xfId="12473"/>
    <cellStyle name="常规 4 2 10 5 2 2 2 2 2 3" xfId="12475"/>
    <cellStyle name="常规 4 2 10 5 2 2 2 2 2 4" xfId="12477"/>
    <cellStyle name="常规 4 2 10 5 2 2 2 2 3" xfId="12480"/>
    <cellStyle name="常规 4 2 10 5 2 2 2 2 3 2" xfId="12483"/>
    <cellStyle name="常规 4 2 10 5 2 2 2 2 4" xfId="12485"/>
    <cellStyle name="常规 4 2 10 5 2 2 2 2 5" xfId="2843"/>
    <cellStyle name="常规 4 2 10 5 2 2 2 3" xfId="12486"/>
    <cellStyle name="常规 4 2 10 5 2 2 2 3 2" xfId="2516"/>
    <cellStyle name="常规 4 2 10 5 2 2 2 3 2 2" xfId="12487"/>
    <cellStyle name="常规 4 2 10 5 2 2 2 3 3" xfId="12489"/>
    <cellStyle name="常规 4 2 10 5 2 2 2 3 4" xfId="12490"/>
    <cellStyle name="常规 4 2 10 5 2 2 2 4" xfId="3323"/>
    <cellStyle name="常规 4 2 10 5 2 2 2 4 2" xfId="12492"/>
    <cellStyle name="常规 4 2 10 5 2 2 2 5" xfId="12493"/>
    <cellStyle name="常规 4 2 10 5 2 2 2 6" xfId="12495"/>
    <cellStyle name="常规 4 2 10 5 2 2 3" xfId="12496"/>
    <cellStyle name="常规 4 2 10 5 2 2 3 2" xfId="12497"/>
    <cellStyle name="常规 4 2 10 5 2 2 3 2 2" xfId="12498"/>
    <cellStyle name="常规 4 2 10 5 2 2 3 2 2 2" xfId="8133"/>
    <cellStyle name="常规 4 2 10 5 2 2 3 2 3" xfId="12500"/>
    <cellStyle name="常规 4 2 10 5 2 2 3 2 4" xfId="12501"/>
    <cellStyle name="常规 4 2 10 5 2 2 3 3" xfId="12502"/>
    <cellStyle name="常规 4 2 10 5 2 2 3 3 2" xfId="12503"/>
    <cellStyle name="常规 4 2 10 5 2 2 3 4" xfId="12504"/>
    <cellStyle name="常规 4 2 10 5 2 2 3 5" xfId="12505"/>
    <cellStyle name="常规 4 2 10 5 2 2 4" xfId="12507"/>
    <cellStyle name="常规 4 2 10 5 2 2 4 2" xfId="12509"/>
    <cellStyle name="常规 4 2 10 5 2 2 4 2 2" xfId="7451"/>
    <cellStyle name="常规 4 2 10 5 2 2 4 3" xfId="12510"/>
    <cellStyle name="常规 4 2 10 5 2 2 4 4" xfId="12511"/>
    <cellStyle name="常规 4 2 10 5 2 2 5" xfId="12514"/>
    <cellStyle name="常规 4 2 10 5 2 2 5 2" xfId="12516"/>
    <cellStyle name="常规 4 2 10 5 2 2 6" xfId="12519"/>
    <cellStyle name="常规 4 2 10 5 2 2 7" xfId="12521"/>
    <cellStyle name="常规 4 2 10 5 2 3" xfId="12523"/>
    <cellStyle name="常规 4 2 10 5 2 3 2" xfId="12525"/>
    <cellStyle name="常规 4 2 10 5 2 3 2 2" xfId="12527"/>
    <cellStyle name="常规 4 2 10 5 2 3 2 2 2" xfId="12529"/>
    <cellStyle name="常规 4 2 10 5 2 3 2 2 2 2" xfId="12530"/>
    <cellStyle name="常规 4 2 10 5 2 3 2 2 3" xfId="12532"/>
    <cellStyle name="常规 4 2 10 5 2 3 2 2 4" xfId="12534"/>
    <cellStyle name="常规 4 2 10 5 2 3 2 3" xfId="12536"/>
    <cellStyle name="常规 4 2 10 5 2 3 2 3 2" xfId="12537"/>
    <cellStyle name="常规 4 2 10 5 2 3 2 4" xfId="12539"/>
    <cellStyle name="常规 4 2 10 5 2 3 2 5" xfId="12540"/>
    <cellStyle name="常规 4 2 10 5 2 3 3" xfId="12543"/>
    <cellStyle name="常规 4 2 10 5 2 3 3 2" xfId="12546"/>
    <cellStyle name="常规 4 2 10 5 2 3 3 2 2" xfId="12548"/>
    <cellStyle name="常规 4 2 10 5 2 3 3 3" xfId="12550"/>
    <cellStyle name="常规 4 2 10 5 2 3 3 4" xfId="12553"/>
    <cellStyle name="常规 4 2 10 5 2 3 4" xfId="12557"/>
    <cellStyle name="常规 4 2 10 5 2 3 4 2" xfId="12559"/>
    <cellStyle name="常规 4 2 10 5 2 3 5" xfId="12563"/>
    <cellStyle name="常规 4 2 10 5 2 3 6" xfId="12566"/>
    <cellStyle name="常规 4 2 10 5 2 4" xfId="12569"/>
    <cellStyle name="常规 4 2 10 5 2 4 2" xfId="12571"/>
    <cellStyle name="常规 4 2 10 5 2 4 2 2" xfId="12573"/>
    <cellStyle name="常规 4 2 10 5 2 4 2 2 2" xfId="10262"/>
    <cellStyle name="常规 4 2 10 5 2 4 2 3" xfId="11989"/>
    <cellStyle name="常规 4 2 10 5 2 4 2 4" xfId="11995"/>
    <cellStyle name="常规 4 2 10 5 2 4 3" xfId="12576"/>
    <cellStyle name="常规 4 2 10 5 2 4 3 2" xfId="12578"/>
    <cellStyle name="常规 4 2 10 5 2 4 4" xfId="12581"/>
    <cellStyle name="常规 4 2 10 5 2 4 5" xfId="2558"/>
    <cellStyle name="常规 4 2 10 5 2 5" xfId="12583"/>
    <cellStyle name="常规 4 2 10 5 2 5 2" xfId="12585"/>
    <cellStyle name="常规 4 2 10 5 2 5 2 2" xfId="3343"/>
    <cellStyle name="常规 4 2 10 5 2 5 3" xfId="12586"/>
    <cellStyle name="常规 4 2 10 5 2 5 4" xfId="12590"/>
    <cellStyle name="常规 4 2 10 5 2 6" xfId="12595"/>
    <cellStyle name="常规 4 2 10 5 2 6 2" xfId="12596"/>
    <cellStyle name="常规 4 2 10 5 2 7" xfId="12600"/>
    <cellStyle name="常规 4 2 10 5 2 8" xfId="12605"/>
    <cellStyle name="常规 4 2 10 5 3" xfId="2884"/>
    <cellStyle name="常规 4 2 10 5 3 2" xfId="12606"/>
    <cellStyle name="常规 4 2 10 5 3 2 2" xfId="6055"/>
    <cellStyle name="常规 4 2 10 5 3 2 2 2" xfId="6058"/>
    <cellStyle name="常规 4 2 10 5 3 2 2 2 2" xfId="2721"/>
    <cellStyle name="常规 4 2 10 5 3 2 2 2 2 2" xfId="12607"/>
    <cellStyle name="常规 4 2 10 5 3 2 2 2 3" xfId="12611"/>
    <cellStyle name="常规 4 2 10 5 3 2 2 2 4" xfId="12612"/>
    <cellStyle name="常规 4 2 10 5 3 2 2 3" xfId="12613"/>
    <cellStyle name="常规 4 2 10 5 3 2 2 3 2" xfId="12614"/>
    <cellStyle name="常规 4 2 10 5 3 2 2 4" xfId="12616"/>
    <cellStyle name="常规 4 2 10 5 3 2 2 5" xfId="12617"/>
    <cellStyle name="常规 4 2 10 5 3 2 3" xfId="6061"/>
    <cellStyle name="常规 4 2 10 5 3 2 3 2" xfId="12618"/>
    <cellStyle name="常规 4 2 10 5 3 2 3 2 2" xfId="12619"/>
    <cellStyle name="常规 4 2 10 5 3 2 3 3" xfId="12620"/>
    <cellStyle name="常规 4 2 10 5 3 2 3 4" xfId="12621"/>
    <cellStyle name="常规 4 2 10 5 3 2 4" xfId="6067"/>
    <cellStyle name="常规 4 2 10 5 3 2 4 2" xfId="12622"/>
    <cellStyle name="常规 4 2 10 5 3 2 5" xfId="12624"/>
    <cellStyle name="常规 4 2 10 5 3 2 6" xfId="12633"/>
    <cellStyle name="常规 4 2 10 5 3 3" xfId="12636"/>
    <cellStyle name="常规 4 2 10 5 3 3 2" xfId="2490"/>
    <cellStyle name="常规 4 2 10 5 3 3 2 2" xfId="12638"/>
    <cellStyle name="常规 4 2 10 5 3 3 2 2 2" xfId="12639"/>
    <cellStyle name="常规 4 2 10 5 3 3 2 3" xfId="12640"/>
    <cellStyle name="常规 4 2 10 5 3 3 2 4" xfId="12641"/>
    <cellStyle name="常规 4 2 10 5 3 3 3" xfId="6100"/>
    <cellStyle name="常规 4 2 10 5 3 3 3 2" xfId="12644"/>
    <cellStyle name="常规 4 2 10 5 3 3 4" xfId="12646"/>
    <cellStyle name="常规 4 2 10 5 3 3 5" xfId="12653"/>
    <cellStyle name="常规 4 2 10 5 3 4" xfId="12655"/>
    <cellStyle name="常规 4 2 10 5 3 4 2" xfId="5608"/>
    <cellStyle name="常规 4 2 10 5 3 4 2 2" xfId="12656"/>
    <cellStyle name="常规 4 2 10 5 3 4 3" xfId="12658"/>
    <cellStyle name="常规 4 2 10 5 3 4 4" xfId="12660"/>
    <cellStyle name="常规 4 2 10 5 3 5" xfId="12662"/>
    <cellStyle name="常规 4 2 10 5 3 5 2" xfId="12663"/>
    <cellStyle name="常规 4 2 10 5 3 6" xfId="12665"/>
    <cellStyle name="常规 4 2 10 5 3 7" xfId="12668"/>
    <cellStyle name="常规 4 2 10 5 4" xfId="12669"/>
    <cellStyle name="常规 4 2 10 5 4 2" xfId="12671"/>
    <cellStyle name="常规 4 2 10 5 4 2 2" xfId="6736"/>
    <cellStyle name="常规 4 2 10 5 4 2 2 2" xfId="12673"/>
    <cellStyle name="常规 4 2 10 5 4 2 2 2 2" xfId="11245"/>
    <cellStyle name="常规 4 2 10 5 4 2 2 3" xfId="12674"/>
    <cellStyle name="常规 4 2 10 5 4 2 2 4" xfId="12675"/>
    <cellStyle name="常规 4 2 10 5 4 2 3" xfId="6739"/>
    <cellStyle name="常规 4 2 10 5 4 2 3 2" xfId="12676"/>
    <cellStyle name="常规 4 2 10 5 4 2 4" xfId="12677"/>
    <cellStyle name="常规 4 2 10 5 4 2 5" xfId="1271"/>
    <cellStyle name="常规 4 2 10 5 4 3" xfId="12681"/>
    <cellStyle name="常规 4 2 10 5 4 3 2" xfId="6753"/>
    <cellStyle name="常规 4 2 10 5 4 3 2 2" xfId="12682"/>
    <cellStyle name="常规 4 2 10 5 4 3 3" xfId="8166"/>
    <cellStyle name="常规 4 2 10 5 4 3 4" xfId="12684"/>
    <cellStyle name="常规 4 2 10 5 4 4" xfId="12686"/>
    <cellStyle name="常规 4 2 10 5 4 4 2" xfId="12687"/>
    <cellStyle name="常规 4 2 10 5 4 5" xfId="12689"/>
    <cellStyle name="常规 4 2 10 5 4 6" xfId="12690"/>
    <cellStyle name="常规 4 2 10 5 5" xfId="12692"/>
    <cellStyle name="常规 4 2 10 5 5 2" xfId="12694"/>
    <cellStyle name="常规 4 2 10 5 5 2 2" xfId="12698"/>
    <cellStyle name="常规 4 2 10 5 5 2 2 2" xfId="12700"/>
    <cellStyle name="常规 4 2 10 5 5 2 3" xfId="12704"/>
    <cellStyle name="常规 4 2 10 5 5 2 4" xfId="12706"/>
    <cellStyle name="常规 4 2 10 5 5 3" xfId="12709"/>
    <cellStyle name="常规 4 2 10 5 5 3 2" xfId="12711"/>
    <cellStyle name="常规 4 2 10 5 5 4" xfId="12713"/>
    <cellStyle name="常规 4 2 10 5 5 5" xfId="12716"/>
    <cellStyle name="常规 4 2 10 5 6" xfId="12720"/>
    <cellStyle name="常规 4 2 10 5 6 2" xfId="12722"/>
    <cellStyle name="常规 4 2 10 5 6 2 2" xfId="12724"/>
    <cellStyle name="常规 4 2 10 5 6 3" xfId="12729"/>
    <cellStyle name="常规 4 2 10 5 6 4" xfId="12732"/>
    <cellStyle name="常规 4 2 10 5 7" xfId="12734"/>
    <cellStyle name="常规 4 2 10 5 7 2" xfId="12737"/>
    <cellStyle name="常规 4 2 10 5 8" xfId="12739"/>
    <cellStyle name="常规 4 2 10 5 9" xfId="12742"/>
    <cellStyle name="常规 4 2 10 6" xfId="2891"/>
    <cellStyle name="常规 4 2 10 6 2" xfId="2895"/>
    <cellStyle name="常规 4 2 10 6 2 2" xfId="12744"/>
    <cellStyle name="常规 4 2 10 6 2 2 2" xfId="12747"/>
    <cellStyle name="常规 4 2 10 6 2 2 2 2" xfId="12751"/>
    <cellStyle name="常规 4 2 10 6 2 2 2 2 2" xfId="12755"/>
    <cellStyle name="常规 4 2 10 6 2 2 2 2 2 2" xfId="12756"/>
    <cellStyle name="常规 4 2 10 6 2 2 2 2 3" xfId="12758"/>
    <cellStyle name="常规 4 2 10 6 2 2 2 2 4" xfId="12759"/>
    <cellStyle name="常规 4 2 10 6 2 2 2 3" xfId="12762"/>
    <cellStyle name="常规 4 2 10 6 2 2 2 3 2" xfId="12763"/>
    <cellStyle name="常规 4 2 10 6 2 2 2 4" xfId="12765"/>
    <cellStyle name="常规 4 2 10 6 2 2 2 5" xfId="12766"/>
    <cellStyle name="常规 4 2 10 6 2 2 3" xfId="12769"/>
    <cellStyle name="常规 4 2 10 6 2 2 3 2" xfId="12772"/>
    <cellStyle name="常规 4 2 10 6 2 2 3 2 2" xfId="12773"/>
    <cellStyle name="常规 4 2 10 6 2 2 3 3" xfId="12774"/>
    <cellStyle name="常规 4 2 10 6 2 2 3 4" xfId="12775"/>
    <cellStyle name="常规 4 2 10 6 2 2 4" xfId="12779"/>
    <cellStyle name="常规 4 2 10 6 2 2 4 2" xfId="12780"/>
    <cellStyle name="常规 4 2 10 6 2 2 5" xfId="12783"/>
    <cellStyle name="常规 4 2 10 6 2 2 6" xfId="12785"/>
    <cellStyle name="常规 4 2 10 6 2 3" xfId="12787"/>
    <cellStyle name="常规 4 2 10 6 2 3 2" xfId="12791"/>
    <cellStyle name="常规 4 2 10 6 2 3 2 2" xfId="12795"/>
    <cellStyle name="常规 4 2 10 6 2 3 2 2 2" xfId="12796"/>
    <cellStyle name="常规 4 2 10 6 2 3 2 3" xfId="12799"/>
    <cellStyle name="常规 4 2 10 6 2 3 2 4" xfId="12801"/>
    <cellStyle name="常规 4 2 10 6 2 3 3" xfId="12806"/>
    <cellStyle name="常规 4 2 10 6 2 3 3 2" xfId="12809"/>
    <cellStyle name="常规 4 2 10 6 2 3 4" xfId="12813"/>
    <cellStyle name="常规 4 2 10 6 2 3 5" xfId="12816"/>
    <cellStyle name="常规 4 2 10 6 2 4" xfId="12818"/>
    <cellStyle name="常规 4 2 10 6 2 4 2" xfId="12821"/>
    <cellStyle name="常规 4 2 10 6 2 4 2 2" xfId="12823"/>
    <cellStyle name="常规 4 2 10 6 2 4 3" xfId="12826"/>
    <cellStyle name="常规 4 2 10 6 2 4 4" xfId="12828"/>
    <cellStyle name="常规 4 2 10 6 2 5" xfId="12830"/>
    <cellStyle name="常规 4 2 10 6 2 5 2" xfId="12832"/>
    <cellStyle name="常规 4 2 10 6 2 6" xfId="12834"/>
    <cellStyle name="常规 4 2 10 6 2 7" xfId="12837"/>
    <cellStyle name="常规 4 2 10 6 3" xfId="12840"/>
    <cellStyle name="常规 4 2 10 6 3 2" xfId="12842"/>
    <cellStyle name="常规 4 2 10 6 3 2 2" xfId="6365"/>
    <cellStyle name="常规 4 2 10 6 3 2 2 2" xfId="12846"/>
    <cellStyle name="常规 4 2 10 6 3 2 2 2 2" xfId="12847"/>
    <cellStyle name="常规 4 2 10 6 3 2 2 3" xfId="12848"/>
    <cellStyle name="常规 4 2 10 6 3 2 2 4" xfId="12849"/>
    <cellStyle name="常规 4 2 10 6 3 2 3" xfId="6372"/>
    <cellStyle name="常规 4 2 10 6 3 2 3 2" xfId="12850"/>
    <cellStyle name="常规 4 2 10 6 3 2 4" xfId="12852"/>
    <cellStyle name="常规 4 2 10 6 3 2 5" xfId="12858"/>
    <cellStyle name="常规 4 2 10 6 3 3" xfId="12860"/>
    <cellStyle name="常规 4 2 10 6 3 3 2" xfId="6384"/>
    <cellStyle name="常规 4 2 10 6 3 3 2 2" xfId="12861"/>
    <cellStyle name="常规 4 2 10 6 3 3 3" xfId="12865"/>
    <cellStyle name="常规 4 2 10 6 3 3 4" xfId="12867"/>
    <cellStyle name="常规 4 2 10 6 3 4" xfId="12869"/>
    <cellStyle name="常规 4 2 10 6 3 4 2" xfId="12870"/>
    <cellStyle name="常规 4 2 10 6 3 5" xfId="12872"/>
    <cellStyle name="常规 4 2 10 6 3 6" xfId="12873"/>
    <cellStyle name="常规 4 2 10 6 4" xfId="12876"/>
    <cellStyle name="常规 4 2 10 6 4 2" xfId="12877"/>
    <cellStyle name="常规 4 2 10 6 4 2 2" xfId="12880"/>
    <cellStyle name="常规 4 2 10 6 4 2 2 2" xfId="12882"/>
    <cellStyle name="常规 4 2 10 6 4 2 3" xfId="8611"/>
    <cellStyle name="常规 4 2 10 6 4 2 4" xfId="8613"/>
    <cellStyle name="常规 4 2 10 6 4 3" xfId="12885"/>
    <cellStyle name="常规 4 2 10 6 4 3 2" xfId="12886"/>
    <cellStyle name="常规 4 2 10 6 4 4" xfId="12887"/>
    <cellStyle name="常规 4 2 10 6 4 5" xfId="12888"/>
    <cellStyle name="常规 4 2 10 6 5" xfId="12891"/>
    <cellStyle name="常规 4 2 10 6 5 2" xfId="12893"/>
    <cellStyle name="常规 4 2 10 6 5 2 2" xfId="12895"/>
    <cellStyle name="常规 4 2 10 6 5 3" xfId="12897"/>
    <cellStyle name="常规 4 2 10 6 5 4" xfId="12899"/>
    <cellStyle name="常规 4 2 10 6 6" xfId="12901"/>
    <cellStyle name="常规 4 2 10 6 6 2" xfId="12903"/>
    <cellStyle name="常规 4 2 10 6 7" xfId="12905"/>
    <cellStyle name="常规 4 2 10 6 8" xfId="12907"/>
    <cellStyle name="常规 4 2 10 7" xfId="2900"/>
    <cellStyle name="常规 4 2 10 7 2" xfId="12910"/>
    <cellStyle name="常规 4 2 10 7 2 2" xfId="12912"/>
    <cellStyle name="常规 4 2 10 7 2 2 2" xfId="12917"/>
    <cellStyle name="常规 4 2 10 7 2 2 2 2" xfId="12922"/>
    <cellStyle name="常规 4 2 10 7 2 2 2 2 2" xfId="12924"/>
    <cellStyle name="常规 4 2 10 7 2 2 2 3" xfId="12925"/>
    <cellStyle name="常规 4 2 10 7 2 2 2 4" xfId="4364"/>
    <cellStyle name="常规 4 2 10 7 2 2 3" xfId="12930"/>
    <cellStyle name="常规 4 2 10 7 2 2 3 2" xfId="12931"/>
    <cellStyle name="常规 4 2 10 7 2 2 4" xfId="12936"/>
    <cellStyle name="常规 4 2 10 7 2 2 5" xfId="12939"/>
    <cellStyle name="常规 4 2 10 7 2 3" xfId="12942"/>
    <cellStyle name="常规 4 2 10 7 2 3 2" xfId="12948"/>
    <cellStyle name="常规 4 2 10 7 2 3 2 2" xfId="12950"/>
    <cellStyle name="常规 4 2 10 7 2 3 3" xfId="12954"/>
    <cellStyle name="常规 4 2 10 7 2 3 4" xfId="12957"/>
    <cellStyle name="常规 4 2 10 7 2 4" xfId="12960"/>
    <cellStyle name="常规 4 2 10 7 2 4 2" xfId="5794"/>
    <cellStyle name="常规 4 2 10 7 2 5" xfId="12964"/>
    <cellStyle name="常规 4 2 10 7 2 6" xfId="12966"/>
    <cellStyle name="常规 4 2 10 7 3" xfId="12968"/>
    <cellStyle name="常规 4 2 10 7 3 2" xfId="12970"/>
    <cellStyle name="常规 4 2 10 7 3 2 2" xfId="12974"/>
    <cellStyle name="常规 4 2 10 7 3 2 2 2" xfId="5013"/>
    <cellStyle name="常规 4 2 10 7 3 2 3" xfId="12979"/>
    <cellStyle name="常规 4 2 10 7 3 2 4" xfId="12983"/>
    <cellStyle name="常规 4 2 10 7 3 3" xfId="12986"/>
    <cellStyle name="常规 4 2 10 7 3 3 2" xfId="12988"/>
    <cellStyle name="常规 4 2 10 7 3 4" xfId="12990"/>
    <cellStyle name="常规 4 2 10 7 3 5" xfId="12993"/>
    <cellStyle name="常规 4 2 10 7 4" xfId="12994"/>
    <cellStyle name="常规 4 2 10 7 4 2" xfId="12996"/>
    <cellStyle name="常规 4 2 10 7 4 2 2" xfId="2118"/>
    <cellStyle name="常规 4 2 10 7 4 3" xfId="12998"/>
    <cellStyle name="常规 4 2 10 7 4 4" xfId="13000"/>
    <cellStyle name="常规 4 2 10 7 5" xfId="13002"/>
    <cellStyle name="常规 4 2 10 7 5 2" xfId="13005"/>
    <cellStyle name="常规 4 2 10 7 6" xfId="13007"/>
    <cellStyle name="常规 4 2 10 7 7" xfId="10075"/>
    <cellStyle name="常规 4 2 10 8" xfId="2904"/>
    <cellStyle name="常规 4 2 10 8 2" xfId="13008"/>
    <cellStyle name="常规 4 2 10 8 2 2" xfId="13011"/>
    <cellStyle name="常规 4 2 10 8 2 2 2" xfId="13017"/>
    <cellStyle name="常规 4 2 10 8 2 2 2 2" xfId="13018"/>
    <cellStyle name="常规 4 2 10 8 2 2 3" xfId="13022"/>
    <cellStyle name="常规 4 2 10 8 2 2 4" xfId="13024"/>
    <cellStyle name="常规 4 2 10 8 2 3" xfId="7"/>
    <cellStyle name="常规 4 2 10 8 2 3 2" xfId="396"/>
    <cellStyle name="常规 4 2 10 8 2 4" xfId="452"/>
    <cellStyle name="常规 4 2 10 8 2 5" xfId="458"/>
    <cellStyle name="常规 4 2 10 8 3" xfId="13025"/>
    <cellStyle name="常规 4 2 10 8 3 2" xfId="13028"/>
    <cellStyle name="常规 4 2 10 8 3 2 2" xfId="13030"/>
    <cellStyle name="常规 4 2 10 8 3 3" xfId="466"/>
    <cellStyle name="常规 4 2 10 8 3 4" xfId="520"/>
    <cellStyle name="常规 4 2 10 8 4" xfId="13031"/>
    <cellStyle name="常规 4 2 10 8 4 2" xfId="13033"/>
    <cellStyle name="常规 4 2 10 8 5" xfId="13035"/>
    <cellStyle name="常规 4 2 10 8 6" xfId="13037"/>
    <cellStyle name="常规 4 2 10 9" xfId="13042"/>
    <cellStyle name="常规 4 2 10 9 2" xfId="13046"/>
    <cellStyle name="常规 4 2 10 9 2 2" xfId="13051"/>
    <cellStyle name="常规 4 2 10 9 2 2 2" xfId="13056"/>
    <cellStyle name="常规 4 2 10 9 2 3" xfId="13063"/>
    <cellStyle name="常规 4 2 10 9 2 4" xfId="13070"/>
    <cellStyle name="常规 4 2 10 9 3" xfId="13073"/>
    <cellStyle name="常规 4 2 10 9 3 2" xfId="13077"/>
    <cellStyle name="常规 4 2 10 9 4" xfId="13079"/>
    <cellStyle name="常规 4 2 10 9 5" xfId="13082"/>
    <cellStyle name="常规 4 2 11" xfId="13083"/>
    <cellStyle name="常规 4 2 11 10" xfId="12171"/>
    <cellStyle name="常规 4 2 11 10 2" xfId="12175"/>
    <cellStyle name="常规 4 2 11 11" xfId="12179"/>
    <cellStyle name="常规 4 2 11 12" xfId="12184"/>
    <cellStyle name="常规 4 2 11 2" xfId="13084"/>
    <cellStyle name="常规 4 2 11 2 10" xfId="13087"/>
    <cellStyle name="常规 4 2 11 2 11" xfId="13091"/>
    <cellStyle name="常规 4 2 11 2 2" xfId="13093"/>
    <cellStyle name="常规 4 2 11 2 2 2" xfId="5151"/>
    <cellStyle name="常规 4 2 11 2 2 2 2" xfId="13095"/>
    <cellStyle name="常规 4 2 11 2 2 2 2 2" xfId="13096"/>
    <cellStyle name="常规 4 2 11 2 2 2 2 2 2" xfId="13098"/>
    <cellStyle name="常规 4 2 11 2 2 2 2 2 2 2" xfId="13100"/>
    <cellStyle name="常规 4 2 11 2 2 2 2 2 2 2 2" xfId="13102"/>
    <cellStyle name="常规 4 2 11 2 2 2 2 2 2 2 2 2" xfId="13103"/>
    <cellStyle name="常规 4 2 11 2 2 2 2 2 2 2 3" xfId="13104"/>
    <cellStyle name="常规 4 2 11 2 2 2 2 2 2 2 4" xfId="13105"/>
    <cellStyle name="常规 4 2 11 2 2 2 2 2 2 3" xfId="13108"/>
    <cellStyle name="常规 4 2 11 2 2 2 2 2 2 3 2" xfId="13110"/>
    <cellStyle name="常规 4 2 11 2 2 2 2 2 2 4" xfId="9900"/>
    <cellStyle name="常规 4 2 11 2 2 2 2 2 2 5" xfId="13112"/>
    <cellStyle name="常规 4 2 11 2 2 2 2 2 3" xfId="4190"/>
    <cellStyle name="常规 4 2 11 2 2 2 2 2 3 2" xfId="4195"/>
    <cellStyle name="常规 4 2 11 2 2 2 2 2 3 2 2" xfId="13113"/>
    <cellStyle name="常规 4 2 11 2 2 2 2 2 3 3" xfId="1256"/>
    <cellStyle name="常规 4 2 11 2 2 2 2 2 3 4" xfId="1261"/>
    <cellStyle name="常规 4 2 11 2 2 2 2 2 4" xfId="3691"/>
    <cellStyle name="常规 4 2 11 2 2 2 2 2 4 2" xfId="13115"/>
    <cellStyle name="常规 4 2 11 2 2 2 2 2 5" xfId="3696"/>
    <cellStyle name="常规 4 2 11 2 2 2 2 2 6" xfId="13117"/>
    <cellStyle name="常规 4 2 11 2 2 2 2 3" xfId="13118"/>
    <cellStyle name="常规 4 2 11 2 2 2 2 3 2" xfId="13120"/>
    <cellStyle name="常规 4 2 11 2 2 2 2 3 2 2" xfId="13122"/>
    <cellStyle name="常规 4 2 11 2 2 2 2 3 2 2 2" xfId="2842"/>
    <cellStyle name="常规 4 2 11 2 2 2 2 3 2 3" xfId="13125"/>
    <cellStyle name="常规 4 2 11 2 2 2 2 3 2 4" xfId="13127"/>
    <cellStyle name="常规 4 2 11 2 2 2 2 3 3" xfId="13128"/>
    <cellStyle name="常规 4 2 11 2 2 2 2 3 3 2" xfId="13132"/>
    <cellStyle name="常规 4 2 11 2 2 2 2 3 4" xfId="13133"/>
    <cellStyle name="常规 4 2 11 2 2 2 2 3 5" xfId="13134"/>
    <cellStyle name="常规 4 2 11 2 2 2 2 4" xfId="5965"/>
    <cellStyle name="常规 4 2 11 2 2 2 2 4 2" xfId="3013"/>
    <cellStyle name="常规 4 2 11 2 2 2 2 4 2 2" xfId="13136"/>
    <cellStyle name="常规 4 2 11 2 2 2 2 4 3" xfId="13137"/>
    <cellStyle name="常规 4 2 11 2 2 2 2 4 4" xfId="13139"/>
    <cellStyle name="常规 4 2 11 2 2 2 2 5" xfId="5969"/>
    <cellStyle name="常规 4 2 11 2 2 2 2 5 2" xfId="13140"/>
    <cellStyle name="常规 4 2 11 2 2 2 2 6" xfId="7664"/>
    <cellStyle name="常规 4 2 11 2 2 2 2 7" xfId="13142"/>
    <cellStyle name="常规 4 2 11 2 2 2 3" xfId="13144"/>
    <cellStyle name="常规 4 2 11 2 2 2 3 2" xfId="13145"/>
    <cellStyle name="常规 4 2 11 2 2 2 3 2 2" xfId="13147"/>
    <cellStyle name="常规 4 2 11 2 2 2 3 2 2 2" xfId="13149"/>
    <cellStyle name="常规 4 2 11 2 2 2 3 2 2 2 2" xfId="3291"/>
    <cellStyle name="常规 4 2 11 2 2 2 3 2 2 3" xfId="13150"/>
    <cellStyle name="常规 4 2 11 2 2 2 3 2 2 4" xfId="13155"/>
    <cellStyle name="常规 4 2 11 2 2 2 3 2 3" xfId="13156"/>
    <cellStyle name="常规 4 2 11 2 2 2 3 2 3 2" xfId="13161"/>
    <cellStyle name="常规 4 2 11 2 2 2 3 2 4" xfId="13164"/>
    <cellStyle name="常规 4 2 11 2 2 2 3 2 5" xfId="13167"/>
    <cellStyle name="常规 4 2 11 2 2 2 3 3" xfId="13168"/>
    <cellStyle name="常规 4 2 11 2 2 2 3 3 2" xfId="13169"/>
    <cellStyle name="常规 4 2 11 2 2 2 3 3 2 2" xfId="13171"/>
    <cellStyle name="常规 4 2 11 2 2 2 3 3 3" xfId="13172"/>
    <cellStyle name="常规 4 2 11 2 2 2 3 3 4" xfId="13175"/>
    <cellStyle name="常规 4 2 11 2 2 2 3 4" xfId="6063"/>
    <cellStyle name="常规 4 2 11 2 2 2 3 4 2" xfId="13176"/>
    <cellStyle name="常规 4 2 11 2 2 2 3 5" xfId="13177"/>
    <cellStyle name="常规 4 2 11 2 2 2 3 6" xfId="13179"/>
    <cellStyle name="常规 4 2 11 2 2 2 4" xfId="13182"/>
    <cellStyle name="常规 4 2 11 2 2 2 4 2" xfId="13184"/>
    <cellStyle name="常规 4 2 11 2 2 2 4 2 2" xfId="13186"/>
    <cellStyle name="常规 4 2 11 2 2 2 4 2 2 2" xfId="3942"/>
    <cellStyle name="常规 4 2 11 2 2 2 4 2 3" xfId="13190"/>
    <cellStyle name="常规 4 2 11 2 2 2 4 2 4" xfId="3749"/>
    <cellStyle name="常规 4 2 11 2 2 2 4 3" xfId="13192"/>
    <cellStyle name="常规 4 2 11 2 2 2 4 3 2" xfId="13194"/>
    <cellStyle name="常规 4 2 11 2 2 2 4 4" xfId="13196"/>
    <cellStyle name="常规 4 2 11 2 2 2 4 5" xfId="13198"/>
    <cellStyle name="常规 4 2 11 2 2 2 5" xfId="13200"/>
    <cellStyle name="常规 4 2 11 2 2 2 5 2" xfId="13202"/>
    <cellStyle name="常规 4 2 11 2 2 2 5 2 2" xfId="13204"/>
    <cellStyle name="常规 4 2 11 2 2 2 5 3" xfId="13206"/>
    <cellStyle name="常规 4 2 11 2 2 2 5 4" xfId="13208"/>
    <cellStyle name="常规 4 2 11 2 2 2 6" xfId="13210"/>
    <cellStyle name="常规 4 2 11 2 2 2 6 2" xfId="13212"/>
    <cellStyle name="常规 4 2 11 2 2 2 7" xfId="13214"/>
    <cellStyle name="常规 4 2 11 2 2 2 8" xfId="13216"/>
    <cellStyle name="常规 4 2 11 2 2 3" xfId="13217"/>
    <cellStyle name="常规 4 2 11 2 2 3 2" xfId="13218"/>
    <cellStyle name="常规 4 2 11 2 2 3 2 2" xfId="13220"/>
    <cellStyle name="常规 4 2 11 2 2 3 2 2 2" xfId="13222"/>
    <cellStyle name="常规 4 2 11 2 2 3 2 2 2 2" xfId="2448"/>
    <cellStyle name="常规 4 2 11 2 2 3 2 2 2 2 2" xfId="13224"/>
    <cellStyle name="常规 4 2 11 2 2 3 2 2 2 3" xfId="13227"/>
    <cellStyle name="常规 4 2 11 2 2 3 2 2 2 4" xfId="10116"/>
    <cellStyle name="常规 4 2 11 2 2 3 2 2 3" xfId="13228"/>
    <cellStyle name="常规 4 2 11 2 2 3 2 2 3 2" xfId="13232"/>
    <cellStyle name="常规 4 2 11 2 2 3 2 2 4" xfId="13233"/>
    <cellStyle name="常规 4 2 11 2 2 3 2 2 5" xfId="13234"/>
    <cellStyle name="常规 4 2 11 2 2 3 2 3" xfId="13236"/>
    <cellStyle name="常规 4 2 11 2 2 3 2 3 2" xfId="13237"/>
    <cellStyle name="常规 4 2 11 2 2 3 2 3 2 2" xfId="13240"/>
    <cellStyle name="常规 4 2 11 2 2 3 2 3 3" xfId="13241"/>
    <cellStyle name="常规 4 2 11 2 2 3 2 3 4" xfId="13243"/>
    <cellStyle name="常规 4 2 11 2 2 3 2 4" xfId="862"/>
    <cellStyle name="常规 4 2 11 2 2 3 2 4 2" xfId="13244"/>
    <cellStyle name="常规 4 2 11 2 2 3 2 5" xfId="13245"/>
    <cellStyle name="常规 4 2 11 2 2 3 2 6" xfId="13248"/>
    <cellStyle name="常规 4 2 11 2 2 3 3" xfId="13249"/>
    <cellStyle name="常规 4 2 11 2 2 3 3 2" xfId="13251"/>
    <cellStyle name="常规 4 2 11 2 2 3 3 2 2" xfId="13252"/>
    <cellStyle name="常规 4 2 11 2 2 3 3 2 2 2" xfId="13254"/>
    <cellStyle name="常规 4 2 11 2 2 3 3 2 3" xfId="13255"/>
    <cellStyle name="常规 4 2 11 2 2 3 3 2 4" xfId="13258"/>
    <cellStyle name="常规 4 2 11 2 2 3 3 3" xfId="13259"/>
    <cellStyle name="常规 4 2 11 2 2 3 3 3 2" xfId="13260"/>
    <cellStyle name="常规 4 2 11 2 2 3 3 4" xfId="13261"/>
    <cellStyle name="常规 4 2 11 2 2 3 3 5" xfId="13262"/>
    <cellStyle name="常规 4 2 11 2 2 3 4" xfId="13264"/>
    <cellStyle name="常规 4 2 11 2 2 3 4 2" xfId="13269"/>
    <cellStyle name="常规 4 2 11 2 2 3 4 2 2" xfId="13274"/>
    <cellStyle name="常规 4 2 11 2 2 3 4 3" xfId="13278"/>
    <cellStyle name="常规 4 2 11 2 2 3 4 4" xfId="13282"/>
    <cellStyle name="常规 4 2 11 2 2 3 5" xfId="13284"/>
    <cellStyle name="常规 4 2 11 2 2 3 5 2" xfId="13288"/>
    <cellStyle name="常规 4 2 11 2 2 3 6" xfId="13290"/>
    <cellStyle name="常规 4 2 11 2 2 3 7" xfId="13293"/>
    <cellStyle name="常规 4 2 11 2 2 4" xfId="13294"/>
    <cellStyle name="常规 4 2 11 2 2 4 2" xfId="13295"/>
    <cellStyle name="常规 4 2 11 2 2 4 2 2" xfId="13297"/>
    <cellStyle name="常规 4 2 11 2 2 4 2 2 2" xfId="13298"/>
    <cellStyle name="常规 4 2 11 2 2 4 2 2 2 2" xfId="13301"/>
    <cellStyle name="常规 4 2 11 2 2 4 2 2 3" xfId="8965"/>
    <cellStyle name="常规 4 2 11 2 2 4 2 2 4" xfId="8967"/>
    <cellStyle name="常规 4 2 11 2 2 4 2 3" xfId="12218"/>
    <cellStyle name="常规 4 2 11 2 2 4 2 3 2" xfId="12220"/>
    <cellStyle name="常规 4 2 11 2 2 4 2 4" xfId="12224"/>
    <cellStyle name="常规 4 2 11 2 2 4 2 5" xfId="12227"/>
    <cellStyle name="常规 4 2 11 2 2 4 3" xfId="13302"/>
    <cellStyle name="常规 4 2 11 2 2 4 3 2" xfId="13304"/>
    <cellStyle name="常规 4 2 11 2 2 4 3 2 2" xfId="13305"/>
    <cellStyle name="常规 4 2 11 2 2 4 3 3" xfId="12231"/>
    <cellStyle name="常规 4 2 11 2 2 4 3 4" xfId="12234"/>
    <cellStyle name="常规 4 2 11 2 2 4 4" xfId="13307"/>
    <cellStyle name="常规 4 2 11 2 2 4 4 2" xfId="6164"/>
    <cellStyle name="常规 4 2 11 2 2 4 5" xfId="13309"/>
    <cellStyle name="常规 4 2 11 2 2 4 6" xfId="13311"/>
    <cellStyle name="常规 4 2 11 2 2 5" xfId="13312"/>
    <cellStyle name="常规 4 2 11 2 2 5 2" xfId="13313"/>
    <cellStyle name="常规 4 2 11 2 2 5 2 2" xfId="13315"/>
    <cellStyle name="常规 4 2 11 2 2 5 2 2 2" xfId="13317"/>
    <cellStyle name="常规 4 2 11 2 2 5 2 3" xfId="12240"/>
    <cellStyle name="常规 4 2 11 2 2 5 2 4" xfId="12246"/>
    <cellStyle name="常规 4 2 11 2 2 5 3" xfId="13318"/>
    <cellStyle name="常规 4 2 11 2 2 5 3 2" xfId="13319"/>
    <cellStyle name="常规 4 2 11 2 2 5 4" xfId="7257"/>
    <cellStyle name="常规 4 2 11 2 2 5 5" xfId="5684"/>
    <cellStyle name="常规 4 2 11 2 2 6" xfId="13320"/>
    <cellStyle name="常规 4 2 11 2 2 6 2" xfId="13321"/>
    <cellStyle name="常规 4 2 11 2 2 6 2 2" xfId="13322"/>
    <cellStyle name="常规 4 2 11 2 2 6 3" xfId="13323"/>
    <cellStyle name="常规 4 2 11 2 2 6 4" xfId="7480"/>
    <cellStyle name="常规 4 2 11 2 2 7" xfId="13324"/>
    <cellStyle name="常规 4 2 11 2 2 7 2" xfId="13325"/>
    <cellStyle name="常规 4 2 11 2 2 8" xfId="13326"/>
    <cellStyle name="常规 4 2 11 2 2 9" xfId="13327"/>
    <cellStyle name="常规 4 2 11 2 3" xfId="13328"/>
    <cellStyle name="常规 4 2 11 2 3 2" xfId="13329"/>
    <cellStyle name="常规 4 2 11 2 3 2 2" xfId="13330"/>
    <cellStyle name="常规 4 2 11 2 3 2 2 2" xfId="13331"/>
    <cellStyle name="常规 4 2 11 2 3 2 2 2 2" xfId="4666"/>
    <cellStyle name="常规 4 2 11 2 3 2 2 2 2 2" xfId="4675"/>
    <cellStyle name="常规 4 2 11 2 3 2 2 2 2 2 2" xfId="4677"/>
    <cellStyle name="常规 4 2 11 2 3 2 2 2 2 2 2 2" xfId="13332"/>
    <cellStyle name="常规 4 2 11 2 3 2 2 2 2 2 3" xfId="13334"/>
    <cellStyle name="常规 4 2 11 2 3 2 2 2 2 2 4" xfId="13335"/>
    <cellStyle name="常规 4 2 11 2 3 2 2 2 2 3" xfId="4681"/>
    <cellStyle name="常规 4 2 11 2 3 2 2 2 2 3 2" xfId="13338"/>
    <cellStyle name="常规 4 2 11 2 3 2 2 2 2 4" xfId="4686"/>
    <cellStyle name="常规 4 2 11 2 3 2 2 2 2 5" xfId="13341"/>
    <cellStyle name="常规 4 2 11 2 3 2 2 2 3" xfId="4694"/>
    <cellStyle name="常规 4 2 11 2 3 2 2 2 3 2" xfId="4699"/>
    <cellStyle name="常规 4 2 11 2 3 2 2 2 3 2 2" xfId="13342"/>
    <cellStyle name="常规 4 2 11 2 3 2 2 2 3 3" xfId="13344"/>
    <cellStyle name="常规 4 2 11 2 3 2 2 2 3 4" xfId="13346"/>
    <cellStyle name="常规 4 2 11 2 3 2 2 2 4" xfId="4707"/>
    <cellStyle name="常规 4 2 11 2 3 2 2 2 4 2" xfId="13347"/>
    <cellStyle name="常规 4 2 11 2 3 2 2 2 5" xfId="4712"/>
    <cellStyle name="常规 4 2 11 2 3 2 2 2 6" xfId="13349"/>
    <cellStyle name="常规 4 2 11 2 3 2 2 3" xfId="13350"/>
    <cellStyle name="常规 4 2 11 2 3 2 2 3 2" xfId="4741"/>
    <cellStyle name="常规 4 2 11 2 3 2 2 3 2 2" xfId="4744"/>
    <cellStyle name="常规 4 2 11 2 3 2 2 3 2 2 2" xfId="9485"/>
    <cellStyle name="常规 4 2 11 2 3 2 2 3 2 3" xfId="13352"/>
    <cellStyle name="常规 4 2 11 2 3 2 2 3 2 4" xfId="13354"/>
    <cellStyle name="常规 4 2 11 2 3 2 2 3 3" xfId="4749"/>
    <cellStyle name="常规 4 2 11 2 3 2 2 3 3 2" xfId="13356"/>
    <cellStyle name="常规 4 2 11 2 3 2 2 3 4" xfId="4753"/>
    <cellStyle name="常规 4 2 11 2 3 2 2 3 5" xfId="13358"/>
    <cellStyle name="常规 4 2 11 2 3 2 2 4" xfId="6349"/>
    <cellStyle name="常规 4 2 11 2 3 2 2 4 2" xfId="4791"/>
    <cellStyle name="常规 4 2 11 2 3 2 2 4 2 2" xfId="13361"/>
    <cellStyle name="常规 4 2 11 2 3 2 2 4 3" xfId="4800"/>
    <cellStyle name="常规 4 2 11 2 3 2 2 4 4" xfId="13364"/>
    <cellStyle name="常规 4 2 11 2 3 2 2 5" xfId="13366"/>
    <cellStyle name="常规 4 2 11 2 3 2 2 5 2" xfId="4821"/>
    <cellStyle name="常规 4 2 11 2 3 2 2 6" xfId="7273"/>
    <cellStyle name="常规 4 2 11 2 3 2 2 7" xfId="13369"/>
    <cellStyle name="常规 4 2 11 2 3 2 3" xfId="13370"/>
    <cellStyle name="常规 4 2 11 2 3 2 3 2" xfId="13371"/>
    <cellStyle name="常规 4 2 11 2 3 2 3 2 2" xfId="2321"/>
    <cellStyle name="常规 4 2 11 2 3 2 3 2 2 2" xfId="4842"/>
    <cellStyle name="常规 4 2 11 2 3 2 3 2 2 2 2" xfId="13372"/>
    <cellStyle name="常规 4 2 11 2 3 2 3 2 2 3" xfId="13374"/>
    <cellStyle name="常规 4 2 11 2 3 2 3 2 2 4" xfId="13376"/>
    <cellStyle name="常规 4 2 11 2 3 2 3 2 3" xfId="2325"/>
    <cellStyle name="常规 4 2 11 2 3 2 3 2 3 2" xfId="13377"/>
    <cellStyle name="常规 4 2 11 2 3 2 3 2 4" xfId="4845"/>
    <cellStyle name="常规 4 2 11 2 3 2 3 2 5" xfId="13378"/>
    <cellStyle name="常规 4 2 11 2 3 2 3 3" xfId="13379"/>
    <cellStyle name="常规 4 2 11 2 3 2 3 3 2" xfId="2370"/>
    <cellStyle name="常规 4 2 11 2 3 2 3 3 2 2" xfId="2997"/>
    <cellStyle name="常规 4 2 11 2 3 2 3 3 3" xfId="2377"/>
    <cellStyle name="常规 4 2 11 2 3 2 3 3 4" xfId="13380"/>
    <cellStyle name="常规 4 2 11 2 3 2 3 4" xfId="13382"/>
    <cellStyle name="常规 4 2 11 2 3 2 3 4 2" xfId="1207"/>
    <cellStyle name="常规 4 2 11 2 3 2 3 5" xfId="13384"/>
    <cellStyle name="常规 4 2 11 2 3 2 3 6" xfId="13386"/>
    <cellStyle name="常规 4 2 11 2 3 2 4" xfId="13388"/>
    <cellStyle name="常规 4 2 11 2 3 2 4 2" xfId="13393"/>
    <cellStyle name="常规 4 2 11 2 3 2 4 2 2" xfId="744"/>
    <cellStyle name="常规 4 2 11 2 3 2 4 2 2 2" xfId="13396"/>
    <cellStyle name="常规 4 2 11 2 3 2 4 2 3" xfId="3843"/>
    <cellStyle name="常规 4 2 11 2 3 2 4 2 4" xfId="13398"/>
    <cellStyle name="常规 4 2 11 2 3 2 4 3" xfId="13403"/>
    <cellStyle name="常规 4 2 11 2 3 2 4 3 2" xfId="4868"/>
    <cellStyle name="常规 4 2 11 2 3 2 4 4" xfId="13407"/>
    <cellStyle name="常规 4 2 11 2 3 2 4 5" xfId="13411"/>
    <cellStyle name="常规 4 2 11 2 3 2 5" xfId="13415"/>
    <cellStyle name="常规 4 2 11 2 3 2 5 2" xfId="13422"/>
    <cellStyle name="常规 4 2 11 2 3 2 5 2 2" xfId="4892"/>
    <cellStyle name="常规 4 2 11 2 3 2 5 3" xfId="13426"/>
    <cellStyle name="常规 4 2 11 2 3 2 5 4" xfId="13429"/>
    <cellStyle name="常规 4 2 11 2 3 2 6" xfId="13434"/>
    <cellStyle name="常规 4 2 11 2 3 2 6 2" xfId="13437"/>
    <cellStyle name="常规 4 2 11 2 3 2 7" xfId="13442"/>
    <cellStyle name="常规 4 2 11 2 3 2 8" xfId="13446"/>
    <cellStyle name="常规 4 2 11 2 3 3" xfId="13448"/>
    <cellStyle name="常规 4 2 11 2 3 3 2" xfId="13449"/>
    <cellStyle name="常规 4 2 11 2 3 3 2 2" xfId="13451"/>
    <cellStyle name="常规 4 2 11 2 3 3 2 2 2" xfId="1032"/>
    <cellStyle name="常规 4 2 11 2 3 3 2 2 2 2" xfId="1038"/>
    <cellStyle name="常规 4 2 11 2 3 3 2 2 2 2 2" xfId="9815"/>
    <cellStyle name="常规 4 2 11 2 3 3 2 2 2 3" xfId="13453"/>
    <cellStyle name="常规 4 2 11 2 3 3 2 2 2 4" xfId="13455"/>
    <cellStyle name="常规 4 2 11 2 3 3 2 2 3" xfId="1049"/>
    <cellStyle name="常规 4 2 11 2 3 3 2 2 3 2" xfId="13457"/>
    <cellStyle name="常规 4 2 11 2 3 3 2 2 4" xfId="1060"/>
    <cellStyle name="常规 4 2 11 2 3 3 2 2 5" xfId="11510"/>
    <cellStyle name="常规 4 2 11 2 3 3 2 3" xfId="13459"/>
    <cellStyle name="常规 4 2 11 2 3 3 2 3 2" xfId="4939"/>
    <cellStyle name="常规 4 2 11 2 3 3 2 3 2 2" xfId="13460"/>
    <cellStyle name="常规 4 2 11 2 3 3 2 3 3" xfId="4944"/>
    <cellStyle name="常规 4 2 11 2 3 3 2 3 4" xfId="11513"/>
    <cellStyle name="常规 4 2 11 2 3 3 2 4" xfId="13462"/>
    <cellStyle name="常规 4 2 11 2 3 3 2 4 2" xfId="4972"/>
    <cellStyle name="常规 4 2 11 2 3 3 2 5" xfId="13464"/>
    <cellStyle name="常规 4 2 11 2 3 3 2 6" xfId="13466"/>
    <cellStyle name="常规 4 2 11 2 3 3 3" xfId="13467"/>
    <cellStyle name="常规 4 2 11 2 3 3 3 2" xfId="13469"/>
    <cellStyle name="常规 4 2 11 2 3 3 3 2 2" xfId="1096"/>
    <cellStyle name="常规 4 2 11 2 3 3 3 2 2 2" xfId="13470"/>
    <cellStyle name="常规 4 2 11 2 3 3 3 2 3" xfId="1103"/>
    <cellStyle name="常规 4 2 11 2 3 3 3 2 4" xfId="11524"/>
    <cellStyle name="常规 4 2 11 2 3 3 3 3" xfId="13471"/>
    <cellStyle name="常规 4 2 11 2 3 3 3 3 2" xfId="4997"/>
    <cellStyle name="常规 4 2 11 2 3 3 3 4" xfId="13473"/>
    <cellStyle name="常规 4 2 11 2 3 3 3 5" xfId="13474"/>
    <cellStyle name="常规 4 2 11 2 3 3 4" xfId="13476"/>
    <cellStyle name="常规 4 2 11 2 3 3 4 2" xfId="13484"/>
    <cellStyle name="常规 4 2 11 2 3 3 4 2 2" xfId="1804"/>
    <cellStyle name="常规 4 2 11 2 3 3 4 3" xfId="13487"/>
    <cellStyle name="常规 4 2 11 2 3 3 4 4" xfId="13490"/>
    <cellStyle name="常规 4 2 11 2 3 3 5" xfId="2042"/>
    <cellStyle name="常规 4 2 11 2 3 3 5 2" xfId="13493"/>
    <cellStyle name="常规 4 2 11 2 3 3 6" xfId="13498"/>
    <cellStyle name="常规 4 2 11 2 3 3 7" xfId="13500"/>
    <cellStyle name="常规 4 2 11 2 3 4" xfId="13502"/>
    <cellStyle name="常规 4 2 11 2 3 4 2" xfId="13503"/>
    <cellStyle name="常规 4 2 11 2 3 4 2 2" xfId="13505"/>
    <cellStyle name="常规 4 2 11 2 3 4 2 2 2" xfId="5038"/>
    <cellStyle name="常规 4 2 11 2 3 4 2 2 2 2" xfId="13507"/>
    <cellStyle name="常规 4 2 11 2 3 4 2 2 3" xfId="5040"/>
    <cellStyle name="常规 4 2 11 2 3 4 2 2 4" xfId="11552"/>
    <cellStyle name="常规 4 2 11 2 3 4 2 3" xfId="12277"/>
    <cellStyle name="常规 4 2 11 2 3 4 2 3 2" xfId="5050"/>
    <cellStyle name="常规 4 2 11 2 3 4 2 4" xfId="12280"/>
    <cellStyle name="常规 4 2 11 2 3 4 2 5" xfId="12282"/>
    <cellStyle name="常规 4 2 11 2 3 4 3" xfId="13508"/>
    <cellStyle name="常规 4 2 11 2 3 4 3 2" xfId="13509"/>
    <cellStyle name="常规 4 2 11 2 3 4 3 2 2" xfId="5090"/>
    <cellStyle name="常规 4 2 11 2 3 4 3 3" xfId="12285"/>
    <cellStyle name="常规 4 2 11 2 3 4 3 4" xfId="13510"/>
    <cellStyle name="常规 4 2 11 2 3 4 4" xfId="13512"/>
    <cellStyle name="常规 4 2 11 2 3 4 4 2" xfId="4338"/>
    <cellStyle name="常规 4 2 11 2 3 4 5" xfId="13514"/>
    <cellStyle name="常规 4 2 11 2 3 4 6" xfId="13516"/>
    <cellStyle name="常规 4 2 11 2 3 5" xfId="13518"/>
    <cellStyle name="常规 4 2 11 2 3 5 2" xfId="13519"/>
    <cellStyle name="常规 4 2 11 2 3 5 2 2" xfId="13520"/>
    <cellStyle name="常规 4 2 11 2 3 5 2 2 2" xfId="68"/>
    <cellStyle name="常规 4 2 11 2 3 5 2 3" xfId="12289"/>
    <cellStyle name="常规 4 2 11 2 3 5 2 4" xfId="13522"/>
    <cellStyle name="常规 4 2 11 2 3 5 3" xfId="13523"/>
    <cellStyle name="常规 4 2 11 2 3 5 3 2" xfId="13524"/>
    <cellStyle name="常规 4 2 11 2 3 5 4" xfId="7600"/>
    <cellStyle name="常规 4 2 11 2 3 5 5" xfId="7642"/>
    <cellStyle name="常规 4 2 11 2 3 6" xfId="13525"/>
    <cellStyle name="常规 4 2 11 2 3 6 2" xfId="13527"/>
    <cellStyle name="常规 4 2 11 2 3 6 2 2" xfId="13528"/>
    <cellStyle name="常规 4 2 11 2 3 6 3" xfId="13529"/>
    <cellStyle name="常规 4 2 11 2 3 6 4" xfId="6682"/>
    <cellStyle name="常规 4 2 11 2 3 7" xfId="13530"/>
    <cellStyle name="常规 4 2 11 2 3 7 2" xfId="13533"/>
    <cellStyle name="常规 4 2 11 2 3 8" xfId="13534"/>
    <cellStyle name="常规 4 2 11 2 3 9" xfId="13536"/>
    <cellStyle name="常规 4 2 11 2 4" xfId="13540"/>
    <cellStyle name="常规 4 2 11 2 4 2" xfId="6532"/>
    <cellStyle name="常规 4 2 11 2 4 2 2" xfId="13541"/>
    <cellStyle name="常规 4 2 11 2 4 2 2 2" xfId="13542"/>
    <cellStyle name="常规 4 2 11 2 4 2 2 2 2" xfId="3100"/>
    <cellStyle name="常规 4 2 11 2 4 2 2 2 2 2" xfId="13544"/>
    <cellStyle name="常规 4 2 11 2 4 2 2 2 2 2 2" xfId="13545"/>
    <cellStyle name="常规 4 2 11 2 4 2 2 2 2 3" xfId="13547"/>
    <cellStyle name="常规 4 2 11 2 4 2 2 2 2 4" xfId="13548"/>
    <cellStyle name="常规 4 2 11 2 4 2 2 2 3" xfId="3465"/>
    <cellStyle name="常规 4 2 11 2 4 2 2 2 3 2" xfId="13551"/>
    <cellStyle name="常规 4 2 11 2 4 2 2 2 4" xfId="11684"/>
    <cellStyle name="常规 4 2 11 2 4 2 2 2 5" xfId="13553"/>
    <cellStyle name="常规 4 2 11 2 4 2 2 3" xfId="13554"/>
    <cellStyle name="常规 4 2 11 2 4 2 2 3 2" xfId="3143"/>
    <cellStyle name="常规 4 2 11 2 4 2 2 3 2 2" xfId="13555"/>
    <cellStyle name="常规 4 2 11 2 4 2 2 3 3" xfId="13558"/>
    <cellStyle name="常规 4 2 11 2 4 2 2 3 4" xfId="13560"/>
    <cellStyle name="常规 4 2 11 2 4 2 2 4" xfId="13562"/>
    <cellStyle name="常规 4 2 11 2 4 2 2 4 2" xfId="3195"/>
    <cellStyle name="常规 4 2 11 2 4 2 2 5" xfId="13564"/>
    <cellStyle name="常规 4 2 11 2 4 2 2 6" xfId="13566"/>
    <cellStyle name="常规 4 2 11 2 4 2 3" xfId="13567"/>
    <cellStyle name="常规 4 2 11 2 4 2 3 2" xfId="13568"/>
    <cellStyle name="常规 4 2 11 2 4 2 3 2 2" xfId="5007"/>
    <cellStyle name="常规 4 2 11 2 4 2 3 2 2 2" xfId="9842"/>
    <cellStyle name="常规 4 2 11 2 4 2 3 2 3" xfId="13570"/>
    <cellStyle name="常规 4 2 11 2 4 2 3 2 4" xfId="13573"/>
    <cellStyle name="常规 4 2 11 2 4 2 3 3" xfId="13574"/>
    <cellStyle name="常规 4 2 11 2 4 2 3 3 2" xfId="13575"/>
    <cellStyle name="常规 4 2 11 2 4 2 3 4" xfId="13577"/>
    <cellStyle name="常规 4 2 11 2 4 2 3 5" xfId="13578"/>
    <cellStyle name="常规 4 2 11 2 4 2 4" xfId="13581"/>
    <cellStyle name="常规 4 2 11 2 4 2 4 2" xfId="13586"/>
    <cellStyle name="常规 4 2 11 2 4 2 4 2 2" xfId="13588"/>
    <cellStyle name="常规 4 2 11 2 4 2 4 3" xfId="13592"/>
    <cellStyle name="常规 4 2 11 2 4 2 4 4" xfId="13594"/>
    <cellStyle name="常规 4 2 11 2 4 2 5" xfId="13598"/>
    <cellStyle name="常规 4 2 11 2 4 2 5 2" xfId="13604"/>
    <cellStyle name="常规 4 2 11 2 4 2 6" xfId="13609"/>
    <cellStyle name="常规 4 2 11 2 4 2 7" xfId="13614"/>
    <cellStyle name="常规 4 2 11 2 4 3" xfId="13618"/>
    <cellStyle name="常规 4 2 11 2 4 3 2" xfId="2054"/>
    <cellStyle name="常规 4 2 11 2 4 3 2 2" xfId="2066"/>
    <cellStyle name="常规 4 2 11 2 4 3 2 2 2" xfId="2078"/>
    <cellStyle name="常规 4 2 11 2 4 3 2 2 2 2" xfId="13620"/>
    <cellStyle name="常规 4 2 11 2 4 3 2 2 3" xfId="2085"/>
    <cellStyle name="常规 4 2 11 2 4 3 2 2 4" xfId="11667"/>
    <cellStyle name="常规 4 2 11 2 4 3 2 3" xfId="2095"/>
    <cellStyle name="常规 4 2 11 2 4 3 2 3 2" xfId="2102"/>
    <cellStyle name="常规 4 2 11 2 4 3 2 4" xfId="969"/>
    <cellStyle name="常规 4 2 11 2 4 3 2 5" xfId="2104"/>
    <cellStyle name="常规 4 2 11 2 4 3 3" xfId="2112"/>
    <cellStyle name="常规 4 2 11 2 4 3 3 2" xfId="2123"/>
    <cellStyle name="常规 4 2 11 2 4 3 3 2 2" xfId="13623"/>
    <cellStyle name="常规 4 2 11 2 4 3 3 3" xfId="13624"/>
    <cellStyle name="常规 4 2 11 2 4 3 3 4" xfId="13625"/>
    <cellStyle name="常规 4 2 11 2 4 3 4" xfId="2135"/>
    <cellStyle name="常规 4 2 11 2 4 3 4 2" xfId="13628"/>
    <cellStyle name="常规 4 2 11 2 4 3 5" xfId="2149"/>
    <cellStyle name="常规 4 2 11 2 4 3 6" xfId="2152"/>
    <cellStyle name="常规 4 2 11 2 4 4" xfId="13631"/>
    <cellStyle name="常规 4 2 11 2 4 4 2" xfId="2174"/>
    <cellStyle name="常规 4 2 11 2 4 4 2 2" xfId="9797"/>
    <cellStyle name="常规 4 2 11 2 4 4 2 2 2" xfId="9802"/>
    <cellStyle name="常规 4 2 11 2 4 4 2 3" xfId="9803"/>
    <cellStyle name="常规 4 2 11 2 4 4 2 4" xfId="9806"/>
    <cellStyle name="常规 4 2 11 2 4 4 3" xfId="2179"/>
    <cellStyle name="常规 4 2 11 2 4 4 3 2" xfId="9835"/>
    <cellStyle name="常规 4 2 11 2 4 4 4" xfId="2186"/>
    <cellStyle name="常规 4 2 11 2 4 4 5" xfId="2194"/>
    <cellStyle name="常规 4 2 11 2 4 5" xfId="13632"/>
    <cellStyle name="常规 4 2 11 2 4 5 2" xfId="2213"/>
    <cellStyle name="常规 4 2 11 2 4 5 2 2" xfId="9884"/>
    <cellStyle name="常规 4 2 11 2 4 5 3" xfId="13633"/>
    <cellStyle name="常规 4 2 11 2 4 5 4" xfId="7736"/>
    <cellStyle name="常规 4 2 11 2 4 6" xfId="13634"/>
    <cellStyle name="常规 4 2 11 2 4 6 2" xfId="13635"/>
    <cellStyle name="常规 4 2 11 2 4 7" xfId="13636"/>
    <cellStyle name="常规 4 2 11 2 4 8" xfId="13637"/>
    <cellStyle name="常规 4 2 11 2 5" xfId="13641"/>
    <cellStyle name="常规 4 2 11 2 5 2" xfId="13644"/>
    <cellStyle name="常规 4 2 11 2 5 2 2" xfId="13646"/>
    <cellStyle name="常规 4 2 11 2 5 2 2 2" xfId="13648"/>
    <cellStyle name="常规 4 2 11 2 5 2 2 2 2" xfId="5724"/>
    <cellStyle name="常规 4 2 11 2 5 2 2 2 2 2" xfId="13651"/>
    <cellStyle name="常规 4 2 11 2 5 2 2 2 3" xfId="5730"/>
    <cellStyle name="常规 4 2 11 2 5 2 2 2 4" xfId="13654"/>
    <cellStyle name="常规 4 2 11 2 5 2 2 3" xfId="13656"/>
    <cellStyle name="常规 4 2 11 2 5 2 2 3 2" xfId="5743"/>
    <cellStyle name="常规 4 2 11 2 5 2 2 4" xfId="13660"/>
    <cellStyle name="常规 4 2 11 2 5 2 2 5" xfId="13662"/>
    <cellStyle name="常规 4 2 11 2 5 2 3" xfId="13664"/>
    <cellStyle name="常规 4 2 11 2 5 2 3 2" xfId="13666"/>
    <cellStyle name="常规 4 2 11 2 5 2 3 2 2" xfId="5773"/>
    <cellStyle name="常规 4 2 11 2 5 2 3 3" xfId="13668"/>
    <cellStyle name="常规 4 2 11 2 5 2 3 4" xfId="13670"/>
    <cellStyle name="常规 4 2 11 2 5 2 4" xfId="13673"/>
    <cellStyle name="常规 4 2 11 2 5 2 4 2" xfId="13678"/>
    <cellStyle name="常规 4 2 11 2 5 2 5" xfId="13683"/>
    <cellStyle name="常规 4 2 11 2 5 2 6" xfId="8554"/>
    <cellStyle name="常规 4 2 11 2 5 3" xfId="13686"/>
    <cellStyle name="常规 4 2 11 2 5 3 2" xfId="3416"/>
    <cellStyle name="常规 4 2 11 2 5 3 2 2" xfId="3542"/>
    <cellStyle name="常规 4 2 11 2 5 3 2 2 2" xfId="3552"/>
    <cellStyle name="常规 4 2 11 2 5 3 2 3" xfId="3580"/>
    <cellStyle name="常规 4 2 11 2 5 3 2 4" xfId="1040"/>
    <cellStyle name="常规 4 2 11 2 5 3 3" xfId="3825"/>
    <cellStyle name="常规 4 2 11 2 5 3 3 2" xfId="3863"/>
    <cellStyle name="常规 4 2 11 2 5 3 4" xfId="535"/>
    <cellStyle name="常规 4 2 11 2 5 3 5" xfId="258"/>
    <cellStyle name="常规 4 2 11 2 5 4" xfId="13688"/>
    <cellStyle name="常规 4 2 11 2 5 4 2" xfId="4108"/>
    <cellStyle name="常规 4 2 11 2 5 4 2 2" xfId="10018"/>
    <cellStyle name="常规 4 2 11 2 5 4 3" xfId="4111"/>
    <cellStyle name="常规 4 2 11 2 5 4 4" xfId="596"/>
    <cellStyle name="常规 4 2 11 2 5 5" xfId="13690"/>
    <cellStyle name="常规 4 2 11 2 5 5 2" xfId="13692"/>
    <cellStyle name="常规 4 2 11 2 5 6" xfId="13694"/>
    <cellStyle name="常规 4 2 11 2 5 7" xfId="13696"/>
    <cellStyle name="常规 4 2 11 2 6" xfId="13700"/>
    <cellStyle name="常规 4 2 11 2 6 2" xfId="13702"/>
    <cellStyle name="常规 4 2 11 2 6 2 2" xfId="13704"/>
    <cellStyle name="常规 4 2 11 2 6 2 2 2" xfId="4070"/>
    <cellStyle name="常规 4 2 11 2 6 2 2 2 2" xfId="3572"/>
    <cellStyle name="常规 4 2 11 2 6 2 2 3" xfId="13707"/>
    <cellStyle name="常规 4 2 11 2 6 2 2 4" xfId="13709"/>
    <cellStyle name="常规 4 2 11 2 6 2 3" xfId="13711"/>
    <cellStyle name="常规 4 2 11 2 6 2 3 2" xfId="13713"/>
    <cellStyle name="常规 4 2 11 2 6 2 4" xfId="13715"/>
    <cellStyle name="常规 4 2 11 2 6 2 5" xfId="13720"/>
    <cellStyle name="常规 4 2 11 2 6 3" xfId="13722"/>
    <cellStyle name="常规 4 2 11 2 6 3 2" xfId="13725"/>
    <cellStyle name="常规 4 2 11 2 6 3 2 2" xfId="2444"/>
    <cellStyle name="常规 4 2 11 2 6 3 3" xfId="13728"/>
    <cellStyle name="常规 4 2 11 2 6 3 4" xfId="13731"/>
    <cellStyle name="常规 4 2 11 2 6 4" xfId="13733"/>
    <cellStyle name="常规 4 2 11 2 6 4 2" xfId="13736"/>
    <cellStyle name="常规 4 2 11 2 6 5" xfId="13738"/>
    <cellStyle name="常规 4 2 11 2 6 6" xfId="13740"/>
    <cellStyle name="常规 4 2 11 2 7" xfId="13742"/>
    <cellStyle name="常规 4 2 11 2 7 2" xfId="13744"/>
    <cellStyle name="常规 4 2 11 2 7 2 2" xfId="13747"/>
    <cellStyle name="常规 4 2 11 2 7 2 2 2" xfId="219"/>
    <cellStyle name="常规 4 2 11 2 7 2 3" xfId="13749"/>
    <cellStyle name="常规 4 2 11 2 7 2 4" xfId="13751"/>
    <cellStyle name="常规 4 2 11 2 7 3" xfId="13753"/>
    <cellStyle name="常规 4 2 11 2 7 3 2" xfId="13756"/>
    <cellStyle name="常规 4 2 11 2 7 4" xfId="13758"/>
    <cellStyle name="常规 4 2 11 2 7 5" xfId="13760"/>
    <cellStyle name="常规 4 2 11 2 8" xfId="13762"/>
    <cellStyle name="常规 4 2 11 2 8 2" xfId="13764"/>
    <cellStyle name="常规 4 2 11 2 8 2 2" xfId="13766"/>
    <cellStyle name="常规 4 2 11 2 8 3" xfId="13768"/>
    <cellStyle name="常规 4 2 11 2 8 4" xfId="13770"/>
    <cellStyle name="常规 4 2 11 2 9" xfId="13772"/>
    <cellStyle name="常规 4 2 11 2 9 2" xfId="13774"/>
    <cellStyle name="常规 4 2 11 3" xfId="13776"/>
    <cellStyle name="常规 4 2 11 3 2" xfId="13778"/>
    <cellStyle name="常规 4 2 11 3 2 2" xfId="13779"/>
    <cellStyle name="常规 4 2 11 3 2 2 2" xfId="13780"/>
    <cellStyle name="常规 4 2 11 3 2 2 2 2" xfId="13781"/>
    <cellStyle name="常规 4 2 11 3 2 2 2 2 2" xfId="8597"/>
    <cellStyle name="常规 4 2 11 3 2 2 2 2 2 2" xfId="13784"/>
    <cellStyle name="常规 4 2 11 3 2 2 2 2 2 2 2" xfId="7468"/>
    <cellStyle name="常规 4 2 11 3 2 2 2 2 2 3" xfId="13785"/>
    <cellStyle name="常规 4 2 11 3 2 2 2 2 2 4" xfId="13786"/>
    <cellStyle name="常规 4 2 11 3 2 2 2 2 3" xfId="13789"/>
    <cellStyle name="常规 4 2 11 3 2 2 2 2 3 2" xfId="13792"/>
    <cellStyle name="常规 4 2 11 3 2 2 2 2 4" xfId="13795"/>
    <cellStyle name="常规 4 2 11 3 2 2 2 2 5" xfId="13797"/>
    <cellStyle name="常规 4 2 11 3 2 2 2 3" xfId="13798"/>
    <cellStyle name="常规 4 2 11 3 2 2 2 3 2" xfId="13801"/>
    <cellStyle name="常规 4 2 11 3 2 2 2 3 2 2" xfId="13803"/>
    <cellStyle name="常规 4 2 11 3 2 2 2 3 3" xfId="13808"/>
    <cellStyle name="常规 4 2 11 3 2 2 2 3 4" xfId="11285"/>
    <cellStyle name="常规 4 2 11 3 2 2 2 4" xfId="3301"/>
    <cellStyle name="常规 4 2 11 3 2 2 2 4 2" xfId="207"/>
    <cellStyle name="常规 4 2 11 3 2 2 2 5" xfId="3306"/>
    <cellStyle name="常规 4 2 11 3 2 2 2 6" xfId="7821"/>
    <cellStyle name="常规 4 2 11 3 2 2 3" xfId="13809"/>
    <cellStyle name="常规 4 2 11 3 2 2 3 2" xfId="13810"/>
    <cellStyle name="常规 4 2 11 3 2 2 3 2 2" xfId="13812"/>
    <cellStyle name="常规 4 2 11 3 2 2 3 2 2 2" xfId="13813"/>
    <cellStyle name="常规 4 2 11 3 2 2 3 2 3" xfId="3328"/>
    <cellStyle name="常规 4 2 11 3 2 2 3 2 4" xfId="6222"/>
    <cellStyle name="常规 4 2 11 3 2 2 3 3" xfId="13814"/>
    <cellStyle name="常规 4 2 11 3 2 2 3 3 2" xfId="13817"/>
    <cellStyle name="常规 4 2 11 3 2 2 3 4" xfId="3338"/>
    <cellStyle name="常规 4 2 11 3 2 2 3 5" xfId="13818"/>
    <cellStyle name="常规 4 2 11 3 2 2 4" xfId="13820"/>
    <cellStyle name="常规 4 2 11 3 2 2 4 2" xfId="13822"/>
    <cellStyle name="常规 4 2 11 3 2 2 4 2 2" xfId="13825"/>
    <cellStyle name="常规 4 2 11 3 2 2 4 3" xfId="13827"/>
    <cellStyle name="常规 4 2 11 3 2 2 4 4" xfId="13829"/>
    <cellStyle name="常规 4 2 11 3 2 2 5" xfId="13832"/>
    <cellStyle name="常规 4 2 11 3 2 2 5 2" xfId="13834"/>
    <cellStyle name="常规 4 2 11 3 2 2 6" xfId="13836"/>
    <cellStyle name="常规 4 2 11 3 2 2 7" xfId="13839"/>
    <cellStyle name="常规 4 2 11 3 2 3" xfId="13840"/>
    <cellStyle name="常规 4 2 11 3 2 3 2" xfId="13841"/>
    <cellStyle name="常规 4 2 11 3 2 3 2 2" xfId="13842"/>
    <cellStyle name="常规 4 2 11 3 2 3 2 2 2" xfId="13844"/>
    <cellStyle name="常规 4 2 11 3 2 3 2 2 2 2" xfId="13847"/>
    <cellStyle name="常规 4 2 11 3 2 3 2 2 3" xfId="13849"/>
    <cellStyle name="常规 4 2 11 3 2 3 2 2 4" xfId="13850"/>
    <cellStyle name="常规 4 2 11 3 2 3 2 3" xfId="13851"/>
    <cellStyle name="常规 4 2 11 3 2 3 2 3 2" xfId="13853"/>
    <cellStyle name="常规 4 2 11 3 2 3 2 4" xfId="3707"/>
    <cellStyle name="常规 4 2 11 3 2 3 2 5" xfId="13854"/>
    <cellStyle name="常规 4 2 11 3 2 3 3" xfId="13856"/>
    <cellStyle name="常规 4 2 11 3 2 3 3 2" xfId="13857"/>
    <cellStyle name="常规 4 2 11 3 2 3 3 2 2" xfId="13858"/>
    <cellStyle name="常规 4 2 11 3 2 3 3 3" xfId="13859"/>
    <cellStyle name="常规 4 2 11 3 2 3 3 4" xfId="13860"/>
    <cellStyle name="常规 4 2 11 3 2 3 4" xfId="13862"/>
    <cellStyle name="常规 4 2 11 3 2 3 4 2" xfId="13867"/>
    <cellStyle name="常规 4 2 11 3 2 3 5" xfId="13870"/>
    <cellStyle name="常规 4 2 11 3 2 3 6" xfId="13873"/>
    <cellStyle name="常规 4 2 11 3 2 4" xfId="13874"/>
    <cellStyle name="常规 4 2 11 3 2 4 2" xfId="13875"/>
    <cellStyle name="常规 4 2 11 3 2 4 2 2" xfId="13876"/>
    <cellStyle name="常规 4 2 11 3 2 4 2 2 2" xfId="13879"/>
    <cellStyle name="常规 4 2 11 3 2 4 2 3" xfId="12328"/>
    <cellStyle name="常规 4 2 11 3 2 4 2 4" xfId="12332"/>
    <cellStyle name="常规 4 2 11 3 2 4 3" xfId="13880"/>
    <cellStyle name="常规 4 2 11 3 2 4 3 2" xfId="13881"/>
    <cellStyle name="常规 4 2 11 3 2 4 4" xfId="13883"/>
    <cellStyle name="常规 4 2 11 3 2 4 5" xfId="13885"/>
    <cellStyle name="常规 4 2 11 3 2 5" xfId="13886"/>
    <cellStyle name="常规 4 2 11 3 2 5 2" xfId="13887"/>
    <cellStyle name="常规 4 2 11 3 2 5 2 2" xfId="13888"/>
    <cellStyle name="常规 4 2 11 3 2 5 3" xfId="13889"/>
    <cellStyle name="常规 4 2 11 3 2 5 4" xfId="8231"/>
    <cellStyle name="常规 4 2 11 3 2 6" xfId="13890"/>
    <cellStyle name="常规 4 2 11 3 2 6 2" xfId="13891"/>
    <cellStyle name="常规 4 2 11 3 2 7" xfId="13893"/>
    <cellStyle name="常规 4 2 11 3 2 8" xfId="13894"/>
    <cellStyle name="常规 4 2 11 3 3" xfId="13895"/>
    <cellStyle name="常规 4 2 11 3 3 2" xfId="13896"/>
    <cellStyle name="常规 4 2 11 3 3 2 2" xfId="13898"/>
    <cellStyle name="常规 4 2 11 3 3 2 2 2" xfId="13901"/>
    <cellStyle name="常规 4 2 11 3 3 2 2 2 2" xfId="3442"/>
    <cellStyle name="常规 4 2 11 3 3 2 2 2 2 2" xfId="13904"/>
    <cellStyle name="常规 4 2 11 3 3 2 2 2 3" xfId="4340"/>
    <cellStyle name="常规 4 2 11 3 3 2 2 2 4" xfId="13906"/>
    <cellStyle name="常规 4 2 11 3 3 2 2 3" xfId="13909"/>
    <cellStyle name="常规 4 2 11 3 3 2 2 3 2" xfId="4390"/>
    <cellStyle name="常规 4 2 11 3 3 2 2 4" xfId="7851"/>
    <cellStyle name="常规 4 2 11 3 3 2 2 5" xfId="13911"/>
    <cellStyle name="常规 4 2 11 3 3 2 3" xfId="13915"/>
    <cellStyle name="常规 4 2 11 3 3 2 3 2" xfId="13918"/>
    <cellStyle name="常规 4 2 11 3 3 2 3 2 2" xfId="4497"/>
    <cellStyle name="常规 4 2 11 3 3 2 3 3" xfId="13920"/>
    <cellStyle name="常规 4 2 11 3 3 2 3 4" xfId="13922"/>
    <cellStyle name="常规 4 2 11 3 3 2 4" xfId="13927"/>
    <cellStyle name="常规 4 2 11 3 3 2 4 2" xfId="13933"/>
    <cellStyle name="常规 4 2 11 3 3 2 5" xfId="13939"/>
    <cellStyle name="常规 4 2 11 3 3 2 6" xfId="13947"/>
    <cellStyle name="常规 4 2 11 3 3 3" xfId="13952"/>
    <cellStyle name="常规 4 2 11 3 3 3 2" xfId="13954"/>
    <cellStyle name="常规 4 2 11 3 3 3 2 2" xfId="13958"/>
    <cellStyle name="常规 4 2 11 3 3 3 2 2 2" xfId="4702"/>
    <cellStyle name="常规 4 2 11 3 3 3 2 3" xfId="13960"/>
    <cellStyle name="常规 4 2 11 3 3 3 2 4" xfId="13962"/>
    <cellStyle name="常规 4 2 11 3 3 3 3" xfId="13966"/>
    <cellStyle name="常规 4 2 11 3 3 3 3 2" xfId="13968"/>
    <cellStyle name="常规 4 2 11 3 3 3 4" xfId="13973"/>
    <cellStyle name="常规 4 2 11 3 3 3 5" xfId="13978"/>
    <cellStyle name="常规 4 2 11 3 3 4" xfId="13982"/>
    <cellStyle name="常规 4 2 11 3 3 4 2" xfId="13983"/>
    <cellStyle name="常规 4 2 11 3 3 4 2 2" xfId="13985"/>
    <cellStyle name="常规 4 2 11 3 3 4 3" xfId="1704"/>
    <cellStyle name="常规 4 2 11 3 3 4 4" xfId="13987"/>
    <cellStyle name="常规 4 2 11 3 3 5" xfId="13990"/>
    <cellStyle name="常规 4 2 11 3 3 5 2" xfId="13991"/>
    <cellStyle name="常规 4 2 11 3 3 6" xfId="13993"/>
    <cellStyle name="常规 4 2 11 3 3 7" xfId="13994"/>
    <cellStyle name="常规 4 2 11 3 4" xfId="13997"/>
    <cellStyle name="常规 4 2 11 3 4 2" xfId="13998"/>
    <cellStyle name="常规 4 2 11 3 4 2 2" xfId="14001"/>
    <cellStyle name="常规 4 2 11 3 4 2 2 2" xfId="14005"/>
    <cellStyle name="常规 4 2 11 3 4 2 2 2 2" xfId="5276"/>
    <cellStyle name="常规 4 2 11 3 4 2 2 3" xfId="14008"/>
    <cellStyle name="常规 4 2 11 3 4 2 2 4" xfId="14011"/>
    <cellStyle name="常规 4 2 11 3 4 2 3" xfId="14015"/>
    <cellStyle name="常规 4 2 11 3 4 2 3 2" xfId="14018"/>
    <cellStyle name="常规 4 2 11 3 4 2 4" xfId="14022"/>
    <cellStyle name="常规 4 2 11 3 4 2 5" xfId="14026"/>
    <cellStyle name="常规 4 2 11 3 4 3" xfId="14031"/>
    <cellStyle name="常规 4 2 11 3 4 3 2" xfId="14033"/>
    <cellStyle name="常规 4 2 11 3 4 3 2 2" xfId="14037"/>
    <cellStyle name="常规 4 2 11 3 4 3 3" xfId="14040"/>
    <cellStyle name="常规 4 2 11 3 4 3 4" xfId="14042"/>
    <cellStyle name="常规 4 2 11 3 4 4" xfId="14045"/>
    <cellStyle name="常规 4 2 11 3 4 4 2" xfId="14046"/>
    <cellStyle name="常规 4 2 11 3 4 5" xfId="14048"/>
    <cellStyle name="常规 4 2 11 3 4 6" xfId="14049"/>
    <cellStyle name="常规 4 2 11 3 5" xfId="14051"/>
    <cellStyle name="常规 4 2 11 3 5 2" xfId="14053"/>
    <cellStyle name="常规 4 2 11 3 5 2 2" xfId="14056"/>
    <cellStyle name="常规 4 2 11 3 5 2 2 2" xfId="14060"/>
    <cellStyle name="常规 4 2 11 3 5 2 3" xfId="14063"/>
    <cellStyle name="常规 4 2 11 3 5 2 4" xfId="14066"/>
    <cellStyle name="常规 4 2 11 3 5 3" xfId="14070"/>
    <cellStyle name="常规 4 2 11 3 5 3 2" xfId="14072"/>
    <cellStyle name="常规 4 2 11 3 5 4" xfId="14074"/>
    <cellStyle name="常规 4 2 11 3 5 5" xfId="14076"/>
    <cellStyle name="常规 4 2 11 3 6" xfId="14079"/>
    <cellStyle name="常规 4 2 11 3 6 2" xfId="14082"/>
    <cellStyle name="常规 4 2 11 3 6 2 2" xfId="14084"/>
    <cellStyle name="常规 4 2 11 3 6 3" xfId="14088"/>
    <cellStyle name="常规 4 2 11 3 6 4" xfId="14091"/>
    <cellStyle name="常规 4 2 11 3 7" xfId="14094"/>
    <cellStyle name="常规 4 2 11 3 7 2" xfId="14096"/>
    <cellStyle name="常规 4 2 11 3 8" xfId="14100"/>
    <cellStyle name="常规 4 2 11 3 9" xfId="14103"/>
    <cellStyle name="常规 4 2 11 4" xfId="9328"/>
    <cellStyle name="常规 4 2 11 4 2" xfId="9330"/>
    <cellStyle name="常规 4 2 11 4 2 2" xfId="14104"/>
    <cellStyle name="常规 4 2 11 4 2 2 2" xfId="14105"/>
    <cellStyle name="常规 4 2 11 4 2 2 2 2" xfId="14106"/>
    <cellStyle name="常规 4 2 11 4 2 2 2 2 2" xfId="14108"/>
    <cellStyle name="常规 4 2 11 4 2 2 2 2 2 2" xfId="14110"/>
    <cellStyle name="常规 4 2 11 4 2 2 2 2 2 2 2" xfId="8776"/>
    <cellStyle name="常规 4 2 11 4 2 2 2 2 2 3" xfId="14112"/>
    <cellStyle name="常规 4 2 11 4 2 2 2 2 2 4" xfId="7323"/>
    <cellStyle name="常规 4 2 11 4 2 2 2 2 3" xfId="6127"/>
    <cellStyle name="常规 4 2 11 4 2 2 2 2 3 2" xfId="6130"/>
    <cellStyle name="常规 4 2 11 4 2 2 2 2 4" xfId="6132"/>
    <cellStyle name="常规 4 2 11 4 2 2 2 2 5" xfId="6134"/>
    <cellStyle name="常规 4 2 11 4 2 2 2 3" xfId="14115"/>
    <cellStyle name="常规 4 2 11 4 2 2 2 3 2" xfId="14116"/>
    <cellStyle name="常规 4 2 11 4 2 2 2 3 2 2" xfId="14117"/>
    <cellStyle name="常规 4 2 11 4 2 2 2 3 3" xfId="5798"/>
    <cellStyle name="常规 4 2 11 4 2 2 2 3 4" xfId="14118"/>
    <cellStyle name="常规 4 2 11 4 2 2 2 4" xfId="7991"/>
    <cellStyle name="常规 4 2 11 4 2 2 2 4 2" xfId="14119"/>
    <cellStyle name="常规 4 2 11 4 2 2 2 5" xfId="14120"/>
    <cellStyle name="常规 4 2 11 4 2 2 2 6" xfId="14121"/>
    <cellStyle name="常规 4 2 11 4 2 2 3" xfId="14122"/>
    <cellStyle name="常规 4 2 11 4 2 2 3 2" xfId="14123"/>
    <cellStyle name="常规 4 2 11 4 2 2 3 2 2" xfId="14125"/>
    <cellStyle name="常规 4 2 11 4 2 2 3 2 2 2" xfId="14128"/>
    <cellStyle name="常规 4 2 11 4 2 2 3 2 3" xfId="4530"/>
    <cellStyle name="常规 4 2 11 4 2 2 3 2 4" xfId="14131"/>
    <cellStyle name="常规 4 2 11 4 2 2 3 3" xfId="14132"/>
    <cellStyle name="常规 4 2 11 4 2 2 3 3 2" xfId="14134"/>
    <cellStyle name="常规 4 2 11 4 2 2 3 4" xfId="14135"/>
    <cellStyle name="常规 4 2 11 4 2 2 3 5" xfId="14136"/>
    <cellStyle name="常规 4 2 11 4 2 2 4" xfId="14139"/>
    <cellStyle name="常规 4 2 11 4 2 2 4 2" xfId="14142"/>
    <cellStyle name="常规 4 2 11 4 2 2 4 2 2" xfId="14143"/>
    <cellStyle name="常规 4 2 11 4 2 2 4 3" xfId="14144"/>
    <cellStyle name="常规 4 2 11 4 2 2 4 4" xfId="14145"/>
    <cellStyle name="常规 4 2 11 4 2 2 5" xfId="14149"/>
    <cellStyle name="常规 4 2 11 4 2 2 5 2" xfId="14152"/>
    <cellStyle name="常规 4 2 11 4 2 2 6" xfId="14157"/>
    <cellStyle name="常规 4 2 11 4 2 2 7" xfId="5862"/>
    <cellStyle name="常规 4 2 11 4 2 3" xfId="14158"/>
    <cellStyle name="常规 4 2 11 4 2 3 2" xfId="14159"/>
    <cellStyle name="常规 4 2 11 4 2 3 2 2" xfId="14160"/>
    <cellStyle name="常规 4 2 11 4 2 3 2 2 2" xfId="14162"/>
    <cellStyle name="常规 4 2 11 4 2 3 2 2 2 2" xfId="14163"/>
    <cellStyle name="常规 4 2 11 4 2 3 2 2 3" xfId="6178"/>
    <cellStyle name="常规 4 2 11 4 2 3 2 2 4" xfId="14164"/>
    <cellStyle name="常规 4 2 11 4 2 3 2 3" xfId="14165"/>
    <cellStyle name="常规 4 2 11 4 2 3 2 3 2" xfId="14166"/>
    <cellStyle name="常规 4 2 11 4 2 3 2 4" xfId="14167"/>
    <cellStyle name="常规 4 2 11 4 2 3 2 5" xfId="14168"/>
    <cellStyle name="常规 4 2 11 4 2 3 3" xfId="14169"/>
    <cellStyle name="常规 4 2 11 4 2 3 3 2" xfId="14170"/>
    <cellStyle name="常规 4 2 11 4 2 3 3 2 2" xfId="14171"/>
    <cellStyle name="常规 4 2 11 4 2 3 3 3" xfId="14172"/>
    <cellStyle name="常规 4 2 11 4 2 3 3 4" xfId="14173"/>
    <cellStyle name="常规 4 2 11 4 2 3 4" xfId="14177"/>
    <cellStyle name="常规 4 2 11 4 2 3 4 2" xfId="14179"/>
    <cellStyle name="常规 4 2 11 4 2 3 5" xfId="14182"/>
    <cellStyle name="常规 4 2 11 4 2 3 6" xfId="14185"/>
    <cellStyle name="常规 4 2 11 4 2 4" xfId="14186"/>
    <cellStyle name="常规 4 2 11 4 2 4 2" xfId="14187"/>
    <cellStyle name="常规 4 2 11 4 2 4 2 2" xfId="14188"/>
    <cellStyle name="常规 4 2 11 4 2 4 2 2 2" xfId="13116"/>
    <cellStyle name="常规 4 2 11 4 2 4 2 3" xfId="12390"/>
    <cellStyle name="常规 4 2 11 4 2 4 2 4" xfId="14189"/>
    <cellStyle name="常规 4 2 11 4 2 4 3" xfId="14190"/>
    <cellStyle name="常规 4 2 11 4 2 4 3 2" xfId="14191"/>
    <cellStyle name="常规 4 2 11 4 2 4 4" xfId="14192"/>
    <cellStyle name="常规 4 2 11 4 2 4 5" xfId="14195"/>
    <cellStyle name="常规 4 2 11 4 2 5" xfId="10376"/>
    <cellStyle name="常规 4 2 11 4 2 5 2" xfId="10378"/>
    <cellStyle name="常规 4 2 11 4 2 5 2 2" xfId="10380"/>
    <cellStyle name="常规 4 2 11 4 2 5 3" xfId="10387"/>
    <cellStyle name="常规 4 2 11 4 2 5 4" xfId="8953"/>
    <cellStyle name="常规 4 2 11 4 2 6" xfId="10394"/>
    <cellStyle name="常规 4 2 11 4 2 6 2" xfId="10396"/>
    <cellStyle name="常规 4 2 11 4 2 7" xfId="10402"/>
    <cellStyle name="常规 4 2 11 4 2 8" xfId="10404"/>
    <cellStyle name="常规 4 2 11 4 3" xfId="14196"/>
    <cellStyle name="常规 4 2 11 4 3 2" xfId="14197"/>
    <cellStyle name="常规 4 2 11 4 3 2 2" xfId="14199"/>
    <cellStyle name="常规 4 2 11 4 3 2 2 2" xfId="14202"/>
    <cellStyle name="常规 4 2 11 4 3 2 2 2 2" xfId="6171"/>
    <cellStyle name="常规 4 2 11 4 3 2 2 2 2 2" xfId="14205"/>
    <cellStyle name="常规 4 2 11 4 3 2 2 2 3" xfId="6234"/>
    <cellStyle name="常规 4 2 11 4 3 2 2 2 4" xfId="14206"/>
    <cellStyle name="常规 4 2 11 4 3 2 2 3" xfId="14207"/>
    <cellStyle name="常规 4 2 11 4 3 2 2 3 2" xfId="14209"/>
    <cellStyle name="常规 4 2 11 4 3 2 2 4" xfId="14210"/>
    <cellStyle name="常规 4 2 11 4 3 2 2 5" xfId="14213"/>
    <cellStyle name="常规 4 2 11 4 3 2 3" xfId="14215"/>
    <cellStyle name="常规 4 2 11 4 3 2 3 2" xfId="14217"/>
    <cellStyle name="常规 4 2 11 4 3 2 3 2 2" xfId="14219"/>
    <cellStyle name="常规 4 2 11 4 3 2 3 3" xfId="14220"/>
    <cellStyle name="常规 4 2 11 4 3 2 3 4" xfId="3387"/>
    <cellStyle name="常规 4 2 11 4 3 2 4" xfId="14224"/>
    <cellStyle name="常规 4 2 11 4 3 2 4 2" xfId="14232"/>
    <cellStyle name="常规 4 2 11 4 3 2 5" xfId="14239"/>
    <cellStyle name="常规 4 2 11 4 3 2 6" xfId="14245"/>
    <cellStyle name="常规 4 2 11 4 3 3" xfId="14247"/>
    <cellStyle name="常规 4 2 11 4 3 3 2" xfId="14249"/>
    <cellStyle name="常规 4 2 11 4 3 3 2 2" xfId="14251"/>
    <cellStyle name="常规 4 2 11 4 3 3 2 2 2" xfId="10306"/>
    <cellStyle name="常规 4 2 11 4 3 3 2 3" xfId="14253"/>
    <cellStyle name="常规 4 2 11 4 3 3 2 4" xfId="14254"/>
    <cellStyle name="常规 4 2 11 4 3 3 3" xfId="14256"/>
    <cellStyle name="常规 4 2 11 4 3 3 3 2" xfId="14258"/>
    <cellStyle name="常规 4 2 11 4 3 3 4" xfId="14260"/>
    <cellStyle name="常规 4 2 11 4 3 3 5" xfId="14267"/>
    <cellStyle name="常规 4 2 11 4 3 4" xfId="14268"/>
    <cellStyle name="常规 4 2 11 4 3 4 2" xfId="14269"/>
    <cellStyle name="常规 4 2 11 4 3 4 2 2" xfId="14271"/>
    <cellStyle name="常规 4 2 11 4 3 4 3" xfId="14272"/>
    <cellStyle name="常规 4 2 11 4 3 4 4" xfId="14275"/>
    <cellStyle name="常规 4 2 11 4 3 5" xfId="10408"/>
    <cellStyle name="常规 4 2 11 4 3 5 2" xfId="10410"/>
    <cellStyle name="常规 4 2 11 4 3 6" xfId="10416"/>
    <cellStyle name="常规 4 2 11 4 3 7" xfId="10419"/>
    <cellStyle name="常规 4 2 11 4 4" xfId="14276"/>
    <cellStyle name="常规 4 2 11 4 4 2" xfId="9712"/>
    <cellStyle name="常规 4 2 11 4 4 2 2" xfId="9715"/>
    <cellStyle name="常规 4 2 11 4 4 2 2 2" xfId="14278"/>
    <cellStyle name="常规 4 2 11 4 4 2 2 2 2" xfId="14282"/>
    <cellStyle name="常规 4 2 11 4 4 2 2 3" xfId="14284"/>
    <cellStyle name="常规 4 2 11 4 4 2 2 4" xfId="14286"/>
    <cellStyle name="常规 4 2 11 4 4 2 3" xfId="9019"/>
    <cellStyle name="常规 4 2 11 4 4 2 3 2" xfId="9023"/>
    <cellStyle name="常规 4 2 11 4 4 2 4" xfId="9026"/>
    <cellStyle name="常规 4 2 11 4 4 2 5" xfId="9035"/>
    <cellStyle name="常规 4 2 11 4 4 3" xfId="9718"/>
    <cellStyle name="常规 4 2 11 4 4 3 2" xfId="14287"/>
    <cellStyle name="常规 4 2 11 4 4 3 2 2" xfId="14289"/>
    <cellStyle name="常规 4 2 11 4 4 3 3" xfId="9037"/>
    <cellStyle name="常规 4 2 11 4 4 3 4" xfId="14292"/>
    <cellStyle name="常规 4 2 11 4 4 4" xfId="9720"/>
    <cellStyle name="常规 4 2 11 4 4 4 2" xfId="14293"/>
    <cellStyle name="常规 4 2 11 4 4 5" xfId="10424"/>
    <cellStyle name="常规 4 2 11 4 4 6" xfId="10427"/>
    <cellStyle name="常规 4 2 11 4 5" xfId="14295"/>
    <cellStyle name="常规 4 2 11 4 5 2" xfId="14297"/>
    <cellStyle name="常规 4 2 11 4 5 2 2" xfId="14299"/>
    <cellStyle name="常规 4 2 11 4 5 2 2 2" xfId="11314"/>
    <cellStyle name="常规 4 2 11 4 5 2 3" xfId="9083"/>
    <cellStyle name="常规 4 2 11 4 5 2 4" xfId="14304"/>
    <cellStyle name="常规 4 2 11 4 5 3" xfId="14306"/>
    <cellStyle name="常规 4 2 11 4 5 3 2" xfId="14308"/>
    <cellStyle name="常规 4 2 11 4 5 4" xfId="14310"/>
    <cellStyle name="常规 4 2 11 4 5 5" xfId="10432"/>
    <cellStyle name="常规 4 2 11 4 6" xfId="14314"/>
    <cellStyle name="常规 4 2 11 4 6 2" xfId="14316"/>
    <cellStyle name="常规 4 2 11 4 6 2 2" xfId="14318"/>
    <cellStyle name="常规 4 2 11 4 6 3" xfId="14321"/>
    <cellStyle name="常规 4 2 11 4 6 4" xfId="14324"/>
    <cellStyle name="常规 4 2 11 4 7" xfId="14326"/>
    <cellStyle name="常规 4 2 11 4 7 2" xfId="14329"/>
    <cellStyle name="常规 4 2 11 4 8" xfId="14332"/>
    <cellStyle name="常规 4 2 11 4 9" xfId="14335"/>
    <cellStyle name="常规 4 2 11 5" xfId="2911"/>
    <cellStyle name="常规 4 2 11 5 2" xfId="2914"/>
    <cellStyle name="常规 4 2 11 5 2 2" xfId="14336"/>
    <cellStyle name="常规 4 2 11 5 2 2 2" xfId="14337"/>
    <cellStyle name="常规 4 2 11 5 2 2 2 2" xfId="14338"/>
    <cellStyle name="常规 4 2 11 5 2 2 2 2 2" xfId="9464"/>
    <cellStyle name="常规 4 2 11 5 2 2 2 2 2 2" xfId="9466"/>
    <cellStyle name="常规 4 2 11 5 2 2 2 2 3" xfId="4309"/>
    <cellStyle name="常规 4 2 11 5 2 2 2 2 4" xfId="9481"/>
    <cellStyle name="常规 4 2 11 5 2 2 2 3" xfId="14339"/>
    <cellStyle name="常规 4 2 11 5 2 2 2 3 2" xfId="9601"/>
    <cellStyle name="常规 4 2 11 5 2 2 2 4" xfId="14340"/>
    <cellStyle name="常规 4 2 11 5 2 2 2 5" xfId="14341"/>
    <cellStyle name="常规 4 2 11 5 2 2 3" xfId="14342"/>
    <cellStyle name="常规 4 2 11 5 2 2 3 2" xfId="14343"/>
    <cellStyle name="常规 4 2 11 5 2 2 3 2 2" xfId="14344"/>
    <cellStyle name="常规 4 2 11 5 2 2 3 3" xfId="14345"/>
    <cellStyle name="常规 4 2 11 5 2 2 3 4" xfId="14346"/>
    <cellStyle name="常规 4 2 11 5 2 2 4" xfId="14349"/>
    <cellStyle name="常规 4 2 11 5 2 2 4 2" xfId="14350"/>
    <cellStyle name="常规 4 2 11 5 2 2 5" xfId="14352"/>
    <cellStyle name="常规 4 2 11 5 2 2 6" xfId="14354"/>
    <cellStyle name="常规 4 2 11 5 2 3" xfId="14356"/>
    <cellStyle name="常规 4 2 11 5 2 3 2" xfId="14359"/>
    <cellStyle name="常规 4 2 11 5 2 3 2 2" xfId="14362"/>
    <cellStyle name="常规 4 2 11 5 2 3 2 2 2" xfId="14364"/>
    <cellStyle name="常规 4 2 11 5 2 3 2 3" xfId="14366"/>
    <cellStyle name="常规 4 2 11 5 2 3 2 4" xfId="14368"/>
    <cellStyle name="常规 4 2 11 5 2 3 3" xfId="14371"/>
    <cellStyle name="常规 4 2 11 5 2 3 3 2" xfId="14374"/>
    <cellStyle name="常规 4 2 11 5 2 3 4" xfId="14377"/>
    <cellStyle name="常规 4 2 11 5 2 3 5" xfId="14381"/>
    <cellStyle name="常规 4 2 11 5 2 4" xfId="14383"/>
    <cellStyle name="常规 4 2 11 5 2 4 2" xfId="14387"/>
    <cellStyle name="常规 4 2 11 5 2 4 2 2" xfId="14389"/>
    <cellStyle name="常规 4 2 11 5 2 4 3" xfId="14392"/>
    <cellStyle name="常规 4 2 11 5 2 4 4" xfId="14394"/>
    <cellStyle name="常规 4 2 11 5 2 5" xfId="10671"/>
    <cellStyle name="常规 4 2 11 5 2 5 2" xfId="10674"/>
    <cellStyle name="常规 4 2 11 5 2 6" xfId="10677"/>
    <cellStyle name="常规 4 2 11 5 2 7" xfId="10680"/>
    <cellStyle name="常规 4 2 11 5 3" xfId="2916"/>
    <cellStyle name="常规 4 2 11 5 3 2" xfId="14396"/>
    <cellStyle name="常规 4 2 11 5 3 2 2" xfId="14398"/>
    <cellStyle name="常规 4 2 11 5 3 2 2 2" xfId="14400"/>
    <cellStyle name="常规 4 2 11 5 3 2 2 2 2" xfId="6743"/>
    <cellStyle name="常规 4 2 11 5 3 2 2 3" xfId="14401"/>
    <cellStyle name="常规 4 2 11 5 3 2 2 4" xfId="14402"/>
    <cellStyle name="常规 4 2 11 5 3 2 3" xfId="14404"/>
    <cellStyle name="常规 4 2 11 5 3 2 3 2" xfId="14406"/>
    <cellStyle name="常规 4 2 11 5 3 2 4" xfId="14408"/>
    <cellStyle name="常规 4 2 11 5 3 2 5" xfId="14417"/>
    <cellStyle name="常规 4 2 11 5 3 3" xfId="14420"/>
    <cellStyle name="常规 4 2 11 5 3 3 2" xfId="14423"/>
    <cellStyle name="常规 4 2 11 5 3 3 2 2" xfId="14425"/>
    <cellStyle name="常规 4 2 11 5 3 3 3" xfId="14427"/>
    <cellStyle name="常规 4 2 11 5 3 3 4" xfId="14430"/>
    <cellStyle name="常规 4 2 11 5 3 4" xfId="14432"/>
    <cellStyle name="常规 4 2 11 5 3 4 2" xfId="14434"/>
    <cellStyle name="常规 4 2 11 5 3 5" xfId="10686"/>
    <cellStyle name="常规 4 2 11 5 3 6" xfId="14435"/>
    <cellStyle name="常规 4 2 11 5 4" xfId="14436"/>
    <cellStyle name="常规 4 2 11 5 4 2" xfId="14437"/>
    <cellStyle name="常规 4 2 11 5 4 2 2" xfId="14438"/>
    <cellStyle name="常规 4 2 11 5 4 2 2 2" xfId="14441"/>
    <cellStyle name="常规 4 2 11 5 4 2 3" xfId="9149"/>
    <cellStyle name="常规 4 2 11 5 4 2 4" xfId="3752"/>
    <cellStyle name="常规 4 2 11 5 4 3" xfId="14443"/>
    <cellStyle name="常规 4 2 11 5 4 3 2" xfId="14445"/>
    <cellStyle name="常规 4 2 11 5 4 4" xfId="14446"/>
    <cellStyle name="常规 4 2 11 5 4 5" xfId="14447"/>
    <cellStyle name="常规 4 2 11 5 5" xfId="14450"/>
    <cellStyle name="常规 4 2 11 5 5 2" xfId="14453"/>
    <cellStyle name="常规 4 2 11 5 5 2 2" xfId="14456"/>
    <cellStyle name="常规 4 2 11 5 5 3" xfId="14459"/>
    <cellStyle name="常规 4 2 11 5 5 4" xfId="14462"/>
    <cellStyle name="常规 4 2 11 5 6" xfId="14466"/>
    <cellStyle name="常规 4 2 11 5 6 2" xfId="14469"/>
    <cellStyle name="常规 4 2 11 5 7" xfId="14475"/>
    <cellStyle name="常规 4 2 11 5 8" xfId="14479"/>
    <cellStyle name="常规 4 2 11 6" xfId="2919"/>
    <cellStyle name="常规 4 2 11 6 2" xfId="2924"/>
    <cellStyle name="常规 4 2 11 6 2 2" xfId="14480"/>
    <cellStyle name="常规 4 2 11 6 2 2 2" xfId="14485"/>
    <cellStyle name="常规 4 2 11 6 2 2 2 2" xfId="14489"/>
    <cellStyle name="常规 4 2 11 6 2 2 2 2 2" xfId="14491"/>
    <cellStyle name="常规 4 2 11 6 2 2 2 3" xfId="14493"/>
    <cellStyle name="常规 4 2 11 6 2 2 2 4" xfId="14497"/>
    <cellStyle name="常规 4 2 11 6 2 2 3" xfId="5216"/>
    <cellStyle name="常规 4 2 11 6 2 2 3 2" xfId="5222"/>
    <cellStyle name="常规 4 2 11 6 2 2 4" xfId="5234"/>
    <cellStyle name="常规 4 2 11 6 2 2 5" xfId="5241"/>
    <cellStyle name="常规 4 2 11 6 2 3" xfId="14499"/>
    <cellStyle name="常规 4 2 11 6 2 3 2" xfId="14506"/>
    <cellStyle name="常规 4 2 11 6 2 3 2 2" xfId="14509"/>
    <cellStyle name="常规 4 2 11 6 2 3 3" xfId="5249"/>
    <cellStyle name="常规 4 2 11 6 2 3 4" xfId="5254"/>
    <cellStyle name="常规 4 2 11 6 2 4" xfId="14511"/>
    <cellStyle name="常规 4 2 11 6 2 4 2" xfId="14514"/>
    <cellStyle name="常规 4 2 11 6 2 5" xfId="10970"/>
    <cellStyle name="常规 4 2 11 6 2 6" xfId="10974"/>
    <cellStyle name="常规 4 2 11 6 3" xfId="14517"/>
    <cellStyle name="常规 4 2 11 6 3 2" xfId="14518"/>
    <cellStyle name="常规 4 2 11 6 3 2 2" xfId="14523"/>
    <cellStyle name="常规 4 2 11 6 3 2 2 2" xfId="14526"/>
    <cellStyle name="常规 4 2 11 6 3 2 3" xfId="5288"/>
    <cellStyle name="常规 4 2 11 6 3 2 4" xfId="5295"/>
    <cellStyle name="常规 4 2 11 6 3 3" xfId="14528"/>
    <cellStyle name="常规 4 2 11 6 3 3 2" xfId="14531"/>
    <cellStyle name="常规 4 2 11 6 3 4" xfId="14532"/>
    <cellStyle name="常规 4 2 11 6 3 5" xfId="10980"/>
    <cellStyle name="常规 4 2 11 6 4" xfId="14533"/>
    <cellStyle name="常规 4 2 11 6 4 2" xfId="14534"/>
    <cellStyle name="常规 4 2 11 6 4 2 2" xfId="7387"/>
    <cellStyle name="常规 4 2 11 6 4 3" xfId="14535"/>
    <cellStyle name="常规 4 2 11 6 4 4" xfId="14536"/>
    <cellStyle name="常规 4 2 11 6 5" xfId="14540"/>
    <cellStyle name="常规 4 2 11 6 5 2" xfId="14544"/>
    <cellStyle name="常规 4 2 11 6 6" xfId="14549"/>
    <cellStyle name="常规 4 2 11 6 7" xfId="14553"/>
    <cellStyle name="常规 4 2 11 7" xfId="2931"/>
    <cellStyle name="常规 4 2 11 7 2" xfId="14555"/>
    <cellStyle name="常规 4 2 11 7 2 2" xfId="14557"/>
    <cellStyle name="常规 4 2 11 7 2 2 2" xfId="14563"/>
    <cellStyle name="常规 4 2 11 7 2 2 2 2" xfId="14565"/>
    <cellStyle name="常规 4 2 11 7 2 2 3" xfId="4243"/>
    <cellStyle name="常规 4 2 11 7 2 2 4" xfId="4254"/>
    <cellStyle name="常规 4 2 11 7 2 3" xfId="2671"/>
    <cellStyle name="常规 4 2 11 7 2 3 2" xfId="14569"/>
    <cellStyle name="常规 4 2 11 7 2 4" xfId="14572"/>
    <cellStyle name="常规 4 2 11 7 2 5" xfId="11175"/>
    <cellStyle name="常规 4 2 11 7 3" xfId="14573"/>
    <cellStyle name="常规 4 2 11 7 3 2" xfId="14575"/>
    <cellStyle name="常规 4 2 11 7 3 2 2" xfId="14577"/>
    <cellStyle name="常规 4 2 11 7 3 3" xfId="14579"/>
    <cellStyle name="常规 4 2 11 7 3 4" xfId="14580"/>
    <cellStyle name="常规 4 2 11 7 4" xfId="14581"/>
    <cellStyle name="常规 4 2 11 7 4 2" xfId="14583"/>
    <cellStyle name="常规 4 2 11 7 5" xfId="14587"/>
    <cellStyle name="常规 4 2 11 7 6" xfId="14591"/>
    <cellStyle name="常规 4 2 11 8" xfId="2935"/>
    <cellStyle name="常规 4 2 11 8 2" xfId="14592"/>
    <cellStyle name="常规 4 2 11 8 2 2" xfId="14594"/>
    <cellStyle name="常规 4 2 11 8 2 2 2" xfId="14598"/>
    <cellStyle name="常规 4 2 11 8 2 3" xfId="14601"/>
    <cellStyle name="常规 4 2 11 8 2 4" xfId="14604"/>
    <cellStyle name="常规 4 2 11 8 3" xfId="14605"/>
    <cellStyle name="常规 4 2 11 8 3 2" xfId="14607"/>
    <cellStyle name="常规 4 2 11 8 4" xfId="14608"/>
    <cellStyle name="常规 4 2 11 8 5" xfId="14612"/>
    <cellStyle name="常规 4 2 11 9" xfId="14617"/>
    <cellStyle name="常规 4 2 11 9 2" xfId="14621"/>
    <cellStyle name="常规 4 2 11 9 2 2" xfId="14626"/>
    <cellStyle name="常规 4 2 11 9 3" xfId="1665"/>
    <cellStyle name="常规 4 2 11 9 4" xfId="1672"/>
    <cellStyle name="常规 4 2 12" xfId="14627"/>
    <cellStyle name="常规 4 2 12 10" xfId="14629"/>
    <cellStyle name="常规 4 2 12 11" xfId="14631"/>
    <cellStyle name="常规 4 2 12 2" xfId="14632"/>
    <cellStyle name="常规 4 2 12 2 2" xfId="14633"/>
    <cellStyle name="常规 4 2 12 2 2 2" xfId="14634"/>
    <cellStyle name="常规 4 2 12 2 2 2 2" xfId="14635"/>
    <cellStyle name="常规 4 2 12 2 2 2 2 2" xfId="14637"/>
    <cellStyle name="常规 4 2 12 2 2 2 2 2 2" xfId="14639"/>
    <cellStyle name="常规 4 2 12 2 2 2 2 2 2 2" xfId="14641"/>
    <cellStyle name="常规 4 2 12 2 2 2 2 2 2 2 2" xfId="14642"/>
    <cellStyle name="常规 4 2 12 2 2 2 2 2 2 3" xfId="14643"/>
    <cellStyle name="常规 4 2 12 2 2 2 2 2 2 4" xfId="14644"/>
    <cellStyle name="常规 4 2 12 2 2 2 2 2 3" xfId="14647"/>
    <cellStyle name="常规 4 2 12 2 2 2 2 2 3 2" xfId="14648"/>
    <cellStyle name="常规 4 2 12 2 2 2 2 2 4" xfId="14650"/>
    <cellStyle name="常规 4 2 12 2 2 2 2 2 5" xfId="14651"/>
    <cellStyle name="常规 4 2 12 2 2 2 2 3" xfId="14652"/>
    <cellStyle name="常规 4 2 12 2 2 2 2 3 2" xfId="14654"/>
    <cellStyle name="常规 4 2 12 2 2 2 2 3 2 2" xfId="14655"/>
    <cellStyle name="常规 4 2 12 2 2 2 2 3 3" xfId="14657"/>
    <cellStyle name="常规 4 2 12 2 2 2 2 3 4" xfId="14658"/>
    <cellStyle name="常规 4 2 12 2 2 2 2 4" xfId="8550"/>
    <cellStyle name="常规 4 2 12 2 2 2 2 4 2" xfId="8558"/>
    <cellStyle name="常规 4 2 12 2 2 2 2 5" xfId="8562"/>
    <cellStyle name="常规 4 2 12 2 2 2 2 6" xfId="8565"/>
    <cellStyle name="常规 4 2 12 2 2 2 3" xfId="14659"/>
    <cellStyle name="常规 4 2 12 2 2 2 3 2" xfId="14660"/>
    <cellStyle name="常规 4 2 12 2 2 2 3 2 2" xfId="14662"/>
    <cellStyle name="常规 4 2 12 2 2 2 3 2 2 2" xfId="14663"/>
    <cellStyle name="常规 4 2 12 2 2 2 3 2 3" xfId="14665"/>
    <cellStyle name="常规 4 2 12 2 2 2 3 2 4" xfId="14666"/>
    <cellStyle name="常规 4 2 12 2 2 2 3 3" xfId="14667"/>
    <cellStyle name="常规 4 2 12 2 2 2 3 3 2" xfId="14668"/>
    <cellStyle name="常规 4 2 12 2 2 2 3 4" xfId="8570"/>
    <cellStyle name="常规 4 2 12 2 2 2 3 5" xfId="14669"/>
    <cellStyle name="常规 4 2 12 2 2 2 4" xfId="14671"/>
    <cellStyle name="常规 4 2 12 2 2 2 4 2" xfId="14673"/>
    <cellStyle name="常规 4 2 12 2 2 2 4 2 2" xfId="14675"/>
    <cellStyle name="常规 4 2 12 2 2 2 4 3" xfId="14677"/>
    <cellStyle name="常规 4 2 12 2 2 2 4 4" xfId="4467"/>
    <cellStyle name="常规 4 2 12 2 2 2 5" xfId="14679"/>
    <cellStyle name="常规 4 2 12 2 2 2 5 2" xfId="14681"/>
    <cellStyle name="常规 4 2 12 2 2 2 6" xfId="14683"/>
    <cellStyle name="常规 4 2 12 2 2 2 7" xfId="14685"/>
    <cellStyle name="常规 4 2 12 2 2 3" xfId="14687"/>
    <cellStyle name="常规 4 2 12 2 2 3 2" xfId="14688"/>
    <cellStyle name="常规 4 2 12 2 2 3 2 2" xfId="14689"/>
    <cellStyle name="常规 4 2 12 2 2 3 2 2 2" xfId="14691"/>
    <cellStyle name="常规 4 2 12 2 2 3 2 2 2 2" xfId="14693"/>
    <cellStyle name="常规 4 2 12 2 2 3 2 2 3" xfId="14695"/>
    <cellStyle name="常规 4 2 12 2 2 3 2 2 4" xfId="14697"/>
    <cellStyle name="常规 4 2 12 2 2 3 2 3" xfId="14698"/>
    <cellStyle name="常规 4 2 12 2 2 3 2 3 2" xfId="14700"/>
    <cellStyle name="常规 4 2 12 2 2 3 2 4" xfId="8579"/>
    <cellStyle name="常规 4 2 12 2 2 3 2 5" xfId="14703"/>
    <cellStyle name="常规 4 2 12 2 2 3 3" xfId="14704"/>
    <cellStyle name="常规 4 2 12 2 2 3 3 2" xfId="14705"/>
    <cellStyle name="常规 4 2 12 2 2 3 3 2 2" xfId="14707"/>
    <cellStyle name="常规 4 2 12 2 2 3 3 3" xfId="14708"/>
    <cellStyle name="常规 4 2 12 2 2 3 3 4" xfId="14710"/>
    <cellStyle name="常规 4 2 12 2 2 3 4" xfId="14712"/>
    <cellStyle name="常规 4 2 12 2 2 3 4 2" xfId="14716"/>
    <cellStyle name="常规 4 2 12 2 2 3 5" xfId="14718"/>
    <cellStyle name="常规 4 2 12 2 2 3 6" xfId="14721"/>
    <cellStyle name="常规 4 2 12 2 2 4" xfId="14723"/>
    <cellStyle name="常规 4 2 12 2 2 4 2" xfId="14724"/>
    <cellStyle name="常规 4 2 12 2 2 4 2 2" xfId="14725"/>
    <cellStyle name="常规 4 2 12 2 2 4 2 2 2" xfId="973"/>
    <cellStyle name="常规 4 2 12 2 2 4 2 3" xfId="12470"/>
    <cellStyle name="常规 4 2 12 2 2 4 2 4" xfId="12479"/>
    <cellStyle name="常规 4 2 12 2 2 4 3" xfId="14726"/>
    <cellStyle name="常规 4 2 12 2 2 4 3 2" xfId="14727"/>
    <cellStyle name="常规 4 2 12 2 2 4 4" xfId="14729"/>
    <cellStyle name="常规 4 2 12 2 2 4 5" xfId="14730"/>
    <cellStyle name="常规 4 2 12 2 2 5" xfId="14731"/>
    <cellStyle name="常规 4 2 12 2 2 5 2" xfId="14732"/>
    <cellStyle name="常规 4 2 12 2 2 5 2 2" xfId="14734"/>
    <cellStyle name="常规 4 2 12 2 2 5 3" xfId="14735"/>
    <cellStyle name="常规 4 2 12 2 2 5 4" xfId="14736"/>
    <cellStyle name="常规 4 2 12 2 2 6" xfId="14738"/>
    <cellStyle name="常规 4 2 12 2 2 6 2" xfId="14739"/>
    <cellStyle name="常规 4 2 12 2 2 7" xfId="14740"/>
    <cellStyle name="常规 4 2 12 2 2 8" xfId="14741"/>
    <cellStyle name="常规 4 2 12 2 3" xfId="14742"/>
    <cellStyle name="常规 4 2 12 2 3 2" xfId="14743"/>
    <cellStyle name="常规 4 2 12 2 3 2 2" xfId="14744"/>
    <cellStyle name="常规 4 2 12 2 3 2 2 2" xfId="14746"/>
    <cellStyle name="常规 4 2 12 2 3 2 2 2 2" xfId="3017"/>
    <cellStyle name="常规 4 2 12 2 3 2 2 2 2 2" xfId="14747"/>
    <cellStyle name="常规 4 2 12 2 3 2 2 2 3" xfId="1008"/>
    <cellStyle name="常规 4 2 12 2 3 2 2 2 4" xfId="14749"/>
    <cellStyle name="常规 4 2 12 2 3 2 2 3" xfId="14750"/>
    <cellStyle name="常规 4 2 12 2 3 2 2 3 2" xfId="3577"/>
    <cellStyle name="常规 4 2 12 2 3 2 2 4" xfId="8659"/>
    <cellStyle name="常规 4 2 12 2 3 2 2 5" xfId="14752"/>
    <cellStyle name="常规 4 2 12 2 3 2 3" xfId="14753"/>
    <cellStyle name="常规 4 2 12 2 3 2 3 2" xfId="14754"/>
    <cellStyle name="常规 4 2 12 2 3 2 3 2 2" xfId="7423"/>
    <cellStyle name="常规 4 2 12 2 3 2 3 3" xfId="14755"/>
    <cellStyle name="常规 4 2 12 2 3 2 3 4" xfId="14756"/>
    <cellStyle name="常规 4 2 12 2 3 2 4" xfId="14758"/>
    <cellStyle name="常规 4 2 12 2 3 2 4 2" xfId="14763"/>
    <cellStyle name="常规 4 2 12 2 3 2 5" xfId="13014"/>
    <cellStyle name="常规 4 2 12 2 3 2 6" xfId="13020"/>
    <cellStyle name="常规 4 2 12 2 3 3" xfId="14766"/>
    <cellStyle name="常规 4 2 12 2 3 3 2" xfId="14768"/>
    <cellStyle name="常规 4 2 12 2 3 3 2 2" xfId="14770"/>
    <cellStyle name="常规 4 2 12 2 3 3 2 2 2" xfId="116"/>
    <cellStyle name="常规 4 2 12 2 3 3 2 3" xfId="14771"/>
    <cellStyle name="常规 4 2 12 2 3 3 2 4" xfId="14773"/>
    <cellStyle name="常规 4 2 12 2 3 3 3" xfId="14775"/>
    <cellStyle name="常规 4 2 12 2 3 3 3 2" xfId="14776"/>
    <cellStyle name="常规 4 2 12 2 3 3 4" xfId="14778"/>
    <cellStyle name="常规 4 2 12 2 3 3 5" xfId="394"/>
    <cellStyle name="常规 4 2 12 2 3 4" xfId="14781"/>
    <cellStyle name="常规 4 2 12 2 3 4 2" xfId="14783"/>
    <cellStyle name="常规 4 2 12 2 3 4 2 2" xfId="14784"/>
    <cellStyle name="常规 4 2 12 2 3 4 3" xfId="14786"/>
    <cellStyle name="常规 4 2 12 2 3 4 4" xfId="6233"/>
    <cellStyle name="常规 4 2 12 2 3 5" xfId="14788"/>
    <cellStyle name="常规 4 2 12 2 3 5 2" xfId="14790"/>
    <cellStyle name="常规 4 2 12 2 3 6" xfId="14792"/>
    <cellStyle name="常规 4 2 12 2 3 7" xfId="14795"/>
    <cellStyle name="常规 4 2 12 2 4" xfId="14798"/>
    <cellStyle name="常规 4 2 12 2 4 2" xfId="9232"/>
    <cellStyle name="常规 4 2 12 2 4 2 2" xfId="9234"/>
    <cellStyle name="常规 4 2 12 2 4 2 2 2" xfId="6353"/>
    <cellStyle name="常规 4 2 12 2 4 2 2 2 2" xfId="4785"/>
    <cellStyle name="常规 4 2 12 2 4 2 2 3" xfId="6357"/>
    <cellStyle name="常规 4 2 12 2 4 2 2 4" xfId="7275"/>
    <cellStyle name="常规 4 2 12 2 4 2 3" xfId="9236"/>
    <cellStyle name="常规 4 2 12 2 4 2 3 2" xfId="6376"/>
    <cellStyle name="常规 4 2 12 2 4 2 4" xfId="9241"/>
    <cellStyle name="常规 4 2 12 2 4 2 5" xfId="13029"/>
    <cellStyle name="常规 4 2 12 2 4 3" xfId="9245"/>
    <cellStyle name="常规 4 2 12 2 4 3 2" xfId="9248"/>
    <cellStyle name="常规 4 2 12 2 4 3 2 2" xfId="927"/>
    <cellStyle name="常规 4 2 12 2 4 3 3" xfId="14800"/>
    <cellStyle name="常规 4 2 12 2 4 3 4" xfId="14801"/>
    <cellStyle name="常规 4 2 12 2 4 4" xfId="9250"/>
    <cellStyle name="常规 4 2 12 2 4 4 2" xfId="14802"/>
    <cellStyle name="常规 4 2 12 2 4 5" xfId="9253"/>
    <cellStyle name="常规 4 2 12 2 4 6" xfId="14804"/>
    <cellStyle name="常规 4 2 12 2 5" xfId="14806"/>
    <cellStyle name="常规 4 2 12 2 5 2" xfId="9359"/>
    <cellStyle name="常规 4 2 12 2 5 2 2" xfId="9362"/>
    <cellStyle name="常规 4 2 12 2 5 2 2 2" xfId="3483"/>
    <cellStyle name="常规 4 2 12 2 5 2 3" xfId="14808"/>
    <cellStyle name="常规 4 2 12 2 5 2 4" xfId="7417"/>
    <cellStyle name="常规 4 2 12 2 5 3" xfId="9365"/>
    <cellStyle name="常规 4 2 12 2 5 3 2" xfId="14810"/>
    <cellStyle name="常规 4 2 12 2 5 4" xfId="7608"/>
    <cellStyle name="常规 4 2 12 2 5 5" xfId="651"/>
    <cellStyle name="常规 4 2 12 2 6" xfId="14812"/>
    <cellStyle name="常规 4 2 12 2 6 2" xfId="9428"/>
    <cellStyle name="常规 4 2 12 2 6 2 2" xfId="14814"/>
    <cellStyle name="常规 4 2 12 2 6 3" xfId="9431"/>
    <cellStyle name="常规 4 2 12 2 6 4" xfId="6397"/>
    <cellStyle name="常规 4 2 12 2 7" xfId="14816"/>
    <cellStyle name="常规 4 2 12 2 7 2" xfId="9462"/>
    <cellStyle name="常规 4 2 12 2 8" xfId="7188"/>
    <cellStyle name="常规 4 2 12 2 9" xfId="6764"/>
    <cellStyle name="常规 4 2 12 3" xfId="14818"/>
    <cellStyle name="常规 4 2 12 3 2" xfId="14819"/>
    <cellStyle name="常规 4 2 12 3 2 2" xfId="14821"/>
    <cellStyle name="常规 4 2 12 3 2 2 2" xfId="14823"/>
    <cellStyle name="常规 4 2 12 3 2 2 2 2" xfId="14826"/>
    <cellStyle name="常规 4 2 12 3 2 2 2 2 2" xfId="5691"/>
    <cellStyle name="常规 4 2 12 3 2 2 2 2 2 2" xfId="14829"/>
    <cellStyle name="常规 4 2 12 3 2 2 2 2 2 2 2" xfId="14831"/>
    <cellStyle name="常规 4 2 12 3 2 2 2 2 2 3" xfId="14832"/>
    <cellStyle name="常规 4 2 12 3 2 2 2 2 2 4" xfId="14834"/>
    <cellStyle name="常规 4 2 12 3 2 2 2 2 3" xfId="9730"/>
    <cellStyle name="常规 4 2 12 3 2 2 2 2 3 2" xfId="9735"/>
    <cellStyle name="常规 4 2 12 3 2 2 2 2 4" xfId="9858"/>
    <cellStyle name="常规 4 2 12 3 2 2 2 2 5" xfId="9905"/>
    <cellStyle name="常规 4 2 12 3 2 2 2 3" xfId="6027"/>
    <cellStyle name="常规 4 2 12 3 2 2 2 3 2" xfId="6030"/>
    <cellStyle name="常规 4 2 12 3 2 2 2 3 2 2" xfId="14835"/>
    <cellStyle name="常规 4 2 12 3 2 2 2 3 3" xfId="9967"/>
    <cellStyle name="常规 4 2 12 3 2 2 2 3 4" xfId="10071"/>
    <cellStyle name="常规 4 2 12 3 2 2 2 4" xfId="6035"/>
    <cellStyle name="常规 4 2 12 3 2 2 2 4 2" xfId="14836"/>
    <cellStyle name="常规 4 2 12 3 2 2 2 5" xfId="3872"/>
    <cellStyle name="常规 4 2 12 3 2 2 2 6" xfId="14837"/>
    <cellStyle name="常规 4 2 12 3 2 2 3" xfId="14839"/>
    <cellStyle name="常规 4 2 12 3 2 2 3 2" xfId="14841"/>
    <cellStyle name="常规 4 2 12 3 2 2 3 2 2" xfId="14843"/>
    <cellStyle name="常规 4 2 12 3 2 2 3 2 2 2" xfId="14844"/>
    <cellStyle name="常规 4 2 12 3 2 2 3 2 3" xfId="10435"/>
    <cellStyle name="常规 4 2 12 3 2 2 3 2 4" xfId="10490"/>
    <cellStyle name="常规 4 2 12 3 2 2 3 3" xfId="6041"/>
    <cellStyle name="常规 4 2 12 3 2 2 3 3 2" xfId="14845"/>
    <cellStyle name="常规 4 2 12 3 2 2 3 4" xfId="14847"/>
    <cellStyle name="常规 4 2 12 3 2 2 3 5" xfId="14848"/>
    <cellStyle name="常规 4 2 12 3 2 2 4" xfId="14851"/>
    <cellStyle name="常规 4 2 12 3 2 2 4 2" xfId="14854"/>
    <cellStyle name="常规 4 2 12 3 2 2 4 2 2" xfId="14855"/>
    <cellStyle name="常规 4 2 12 3 2 2 4 3" xfId="14856"/>
    <cellStyle name="常规 4 2 12 3 2 2 4 4" xfId="4537"/>
    <cellStyle name="常规 4 2 12 3 2 2 5" xfId="14859"/>
    <cellStyle name="常规 4 2 12 3 2 2 5 2" xfId="14860"/>
    <cellStyle name="常规 4 2 12 3 2 2 6" xfId="14863"/>
    <cellStyle name="常规 4 2 12 3 2 2 7" xfId="14864"/>
    <cellStyle name="常规 4 2 12 3 2 3" xfId="14867"/>
    <cellStyle name="常规 4 2 12 3 2 3 2" xfId="14869"/>
    <cellStyle name="常规 4 2 12 3 2 3 2 2" xfId="14871"/>
    <cellStyle name="常规 4 2 12 3 2 3 2 2 2" xfId="14873"/>
    <cellStyle name="常规 4 2 12 3 2 3 2 2 2 2" xfId="14874"/>
    <cellStyle name="常规 4 2 12 3 2 3 2 2 3" xfId="11365"/>
    <cellStyle name="常规 4 2 12 3 2 3 2 2 4" xfId="11371"/>
    <cellStyle name="常规 4 2 12 3 2 3 2 3" xfId="6051"/>
    <cellStyle name="常规 4 2 12 3 2 3 2 3 2" xfId="14875"/>
    <cellStyle name="常规 4 2 12 3 2 3 2 4" xfId="14879"/>
    <cellStyle name="常规 4 2 12 3 2 3 2 5" xfId="14882"/>
    <cellStyle name="常规 4 2 12 3 2 3 3" xfId="14884"/>
    <cellStyle name="常规 4 2 12 3 2 3 3 2" xfId="14886"/>
    <cellStyle name="常规 4 2 12 3 2 3 3 2 2" xfId="14887"/>
    <cellStyle name="常规 4 2 12 3 2 3 3 3" xfId="14888"/>
    <cellStyle name="常规 4 2 12 3 2 3 3 4" xfId="7247"/>
    <cellStyle name="常规 4 2 12 3 2 3 4" xfId="14891"/>
    <cellStyle name="常规 4 2 12 3 2 3 4 2" xfId="14892"/>
    <cellStyle name="常规 4 2 12 3 2 3 5" xfId="14895"/>
    <cellStyle name="常规 4 2 12 3 2 3 6" xfId="14898"/>
    <cellStyle name="常规 4 2 12 3 2 4" xfId="14901"/>
    <cellStyle name="常规 4 2 12 3 2 4 2" xfId="14903"/>
    <cellStyle name="常规 4 2 12 3 2 4 2 2" xfId="14905"/>
    <cellStyle name="常规 4 2 12 3 2 4 2 2 2" xfId="14906"/>
    <cellStyle name="常规 4 2 12 3 2 4 2 3" xfId="2720"/>
    <cellStyle name="常规 4 2 12 3 2 4 2 4" xfId="12610"/>
    <cellStyle name="常规 4 2 12 3 2 4 3" xfId="14908"/>
    <cellStyle name="常规 4 2 12 3 2 4 3 2" xfId="14909"/>
    <cellStyle name="常规 4 2 12 3 2 4 4" xfId="14911"/>
    <cellStyle name="常规 4 2 12 3 2 4 5" xfId="14913"/>
    <cellStyle name="常规 4 2 12 3 2 5" xfId="14915"/>
    <cellStyle name="常规 4 2 12 3 2 5 2" xfId="14917"/>
    <cellStyle name="常规 4 2 12 3 2 5 2 2" xfId="14918"/>
    <cellStyle name="常规 4 2 12 3 2 5 3" xfId="14919"/>
    <cellStyle name="常规 4 2 12 3 2 5 4" xfId="14920"/>
    <cellStyle name="常规 4 2 12 3 2 6" xfId="14923"/>
    <cellStyle name="常规 4 2 12 3 2 6 2" xfId="14926"/>
    <cellStyle name="常规 4 2 12 3 2 7" xfId="14930"/>
    <cellStyle name="常规 4 2 12 3 2 8" xfId="14932"/>
    <cellStyle name="常规 4 2 12 3 3" xfId="14933"/>
    <cellStyle name="常规 4 2 12 3 3 2" xfId="14934"/>
    <cellStyle name="常规 4 2 12 3 3 2 2" xfId="14935"/>
    <cellStyle name="常规 4 2 12 3 3 2 2 2" xfId="14936"/>
    <cellStyle name="常规 4 2 12 3 3 2 2 2 2" xfId="211"/>
    <cellStyle name="常规 4 2 12 3 3 2 2 2 2 2" xfId="14937"/>
    <cellStyle name="常规 4 2 12 3 3 2 2 2 3" xfId="13094"/>
    <cellStyle name="常规 4 2 12 3 3 2 2 2 4" xfId="13143"/>
    <cellStyle name="常规 4 2 12 3 3 2 2 3" xfId="3310"/>
    <cellStyle name="常规 4 2 12 3 3 2 2 3 2" xfId="14938"/>
    <cellStyle name="常规 4 2 12 3 3 2 2 4" xfId="14939"/>
    <cellStyle name="常规 4 2 12 3 3 2 2 5" xfId="14940"/>
    <cellStyle name="常规 4 2 12 3 3 2 3" xfId="14941"/>
    <cellStyle name="常规 4 2 12 3 3 2 3 2" xfId="14942"/>
    <cellStyle name="常规 4 2 12 3 3 2 3 2 2" xfId="14943"/>
    <cellStyle name="常规 4 2 12 3 3 2 3 3" xfId="14944"/>
    <cellStyle name="常规 4 2 12 3 3 2 3 4" xfId="14945"/>
    <cellStyle name="常规 4 2 12 3 3 2 4" xfId="14947"/>
    <cellStyle name="常规 4 2 12 3 3 2 4 2" xfId="14951"/>
    <cellStyle name="常规 4 2 12 3 3 2 5" xfId="13055"/>
    <cellStyle name="常规 4 2 12 3 3 2 6" xfId="14953"/>
    <cellStyle name="常规 4 2 12 3 3 3" xfId="14954"/>
    <cellStyle name="常规 4 2 12 3 3 3 2" xfId="14956"/>
    <cellStyle name="常规 4 2 12 3 3 3 2 2" xfId="14957"/>
    <cellStyle name="常规 4 2 12 3 3 3 2 2 2" xfId="13138"/>
    <cellStyle name="常规 4 2 12 3 3 3 2 3" xfId="14958"/>
    <cellStyle name="常规 4 2 12 3 3 3 2 4" xfId="14961"/>
    <cellStyle name="常规 4 2 12 3 3 3 3" xfId="14963"/>
    <cellStyle name="常规 4 2 12 3 3 3 3 2" xfId="14966"/>
    <cellStyle name="常规 4 2 12 3 3 3 4" xfId="14967"/>
    <cellStyle name="常规 4 2 12 3 3 3 5" xfId="14970"/>
    <cellStyle name="常规 4 2 12 3 3 4" xfId="14972"/>
    <cellStyle name="常规 4 2 12 3 3 4 2" xfId="14973"/>
    <cellStyle name="常规 4 2 12 3 3 4 2 2" xfId="14974"/>
    <cellStyle name="常规 4 2 12 3 3 4 3" xfId="14975"/>
    <cellStyle name="常规 4 2 12 3 3 4 4" xfId="6278"/>
    <cellStyle name="常规 4 2 12 3 3 5" xfId="14977"/>
    <cellStyle name="常规 4 2 12 3 3 5 2" xfId="14979"/>
    <cellStyle name="常规 4 2 12 3 3 6" xfId="14982"/>
    <cellStyle name="常规 4 2 12 3 3 7" xfId="14985"/>
    <cellStyle name="常规 4 2 12 3 4" xfId="14986"/>
    <cellStyle name="常规 4 2 12 3 4 2" xfId="9542"/>
    <cellStyle name="常规 4 2 12 3 4 2 2" xfId="14987"/>
    <cellStyle name="常规 4 2 12 3 4 2 2 2" xfId="6844"/>
    <cellStyle name="常规 4 2 12 3 4 2 2 2 2" xfId="14988"/>
    <cellStyle name="常规 4 2 12 3 4 2 2 3" xfId="11369"/>
    <cellStyle name="常规 4 2 12 3 4 2 2 4" xfId="7333"/>
    <cellStyle name="常规 4 2 12 3 4 2 3" xfId="14989"/>
    <cellStyle name="常规 4 2 12 3 4 2 3 2" xfId="11376"/>
    <cellStyle name="常规 4 2 12 3 4 2 4" xfId="14990"/>
    <cellStyle name="常规 4 2 12 3 4 2 5" xfId="14993"/>
    <cellStyle name="常规 4 2 12 3 4 3" xfId="9544"/>
    <cellStyle name="常规 4 2 12 3 4 3 2" xfId="14994"/>
    <cellStyle name="常规 4 2 12 3 4 3 2 2" xfId="11414"/>
    <cellStyle name="常规 4 2 12 3 4 3 3" xfId="14995"/>
    <cellStyle name="常规 4 2 12 3 4 3 4" xfId="14996"/>
    <cellStyle name="常规 4 2 12 3 4 4" xfId="14997"/>
    <cellStyle name="常规 4 2 12 3 4 4 2" xfId="14998"/>
    <cellStyle name="常规 4 2 12 3 4 5" xfId="15000"/>
    <cellStyle name="常规 4 2 12 3 4 6" xfId="15002"/>
    <cellStyle name="常规 4 2 12 3 5" xfId="15004"/>
    <cellStyle name="常规 4 2 12 3 5 2" xfId="9578"/>
    <cellStyle name="常规 4 2 12 3 5 2 2" xfId="15006"/>
    <cellStyle name="常规 4 2 12 3 5 2 2 2" xfId="11542"/>
    <cellStyle name="常规 4 2 12 3 5 2 3" xfId="15008"/>
    <cellStyle name="常规 4 2 12 3 5 2 4" xfId="15010"/>
    <cellStyle name="常规 4 2 12 3 5 3" xfId="15012"/>
    <cellStyle name="常规 4 2 12 3 5 3 2" xfId="15014"/>
    <cellStyle name="常规 4 2 12 3 5 4" xfId="303"/>
    <cellStyle name="常规 4 2 12 3 5 5" xfId="43"/>
    <cellStyle name="常规 4 2 12 3 6" xfId="15017"/>
    <cellStyle name="常规 4 2 12 3 6 2" xfId="15019"/>
    <cellStyle name="常规 4 2 12 3 6 2 2" xfId="15021"/>
    <cellStyle name="常规 4 2 12 3 6 3" xfId="15024"/>
    <cellStyle name="常规 4 2 12 3 6 4" xfId="7629"/>
    <cellStyle name="常规 4 2 12 3 7" xfId="15026"/>
    <cellStyle name="常规 4 2 12 3 7 2" xfId="15028"/>
    <cellStyle name="常规 4 2 12 3 8" xfId="16"/>
    <cellStyle name="常规 4 2 12 3 9" xfId="6839"/>
    <cellStyle name="常规 4 2 12 4" xfId="9337"/>
    <cellStyle name="常规 4 2 12 4 2" xfId="15029"/>
    <cellStyle name="常规 4 2 12 4 2 2" xfId="15031"/>
    <cellStyle name="常规 4 2 12 4 2 2 2" xfId="15033"/>
    <cellStyle name="常规 4 2 12 4 2 2 2 2" xfId="15034"/>
    <cellStyle name="常规 4 2 12 4 2 2 2 2 2" xfId="15035"/>
    <cellStyle name="常规 4 2 12 4 2 2 2 2 2 2" xfId="15036"/>
    <cellStyle name="常规 4 2 12 4 2 2 2 2 3" xfId="5713"/>
    <cellStyle name="常规 4 2 12 4 2 2 2 2 4" xfId="6413"/>
    <cellStyle name="常规 4 2 12 4 2 2 2 3" xfId="6729"/>
    <cellStyle name="常规 4 2 12 4 2 2 2 3 2" xfId="15037"/>
    <cellStyle name="常规 4 2 12 4 2 2 2 4" xfId="15038"/>
    <cellStyle name="常规 4 2 12 4 2 2 2 5" xfId="15039"/>
    <cellStyle name="常规 4 2 12 4 2 2 3" xfId="15041"/>
    <cellStyle name="常规 4 2 12 4 2 2 3 2" xfId="15042"/>
    <cellStyle name="常规 4 2 12 4 2 2 3 2 2" xfId="15043"/>
    <cellStyle name="常规 4 2 12 4 2 2 3 3" xfId="15044"/>
    <cellStyle name="常规 4 2 12 4 2 2 3 4" xfId="15045"/>
    <cellStyle name="常规 4 2 12 4 2 2 4" xfId="15048"/>
    <cellStyle name="常规 4 2 12 4 2 2 4 2" xfId="15049"/>
    <cellStyle name="常规 4 2 12 4 2 2 5" xfId="15051"/>
    <cellStyle name="常规 4 2 12 4 2 2 6" xfId="15053"/>
    <cellStyle name="常规 4 2 12 4 2 3" xfId="15054"/>
    <cellStyle name="常规 4 2 12 4 2 3 2" xfId="15055"/>
    <cellStyle name="常规 4 2 12 4 2 3 2 2" xfId="11196"/>
    <cellStyle name="常规 4 2 12 4 2 3 2 2 2" xfId="11199"/>
    <cellStyle name="常规 4 2 12 4 2 3 2 3" xfId="11203"/>
    <cellStyle name="常规 4 2 12 4 2 3 2 4" xfId="11209"/>
    <cellStyle name="常规 4 2 12 4 2 3 3" xfId="15056"/>
    <cellStyle name="常规 4 2 12 4 2 3 3 2" xfId="11216"/>
    <cellStyle name="常规 4 2 12 4 2 3 4" xfId="15057"/>
    <cellStyle name="常规 4 2 12 4 2 3 5" xfId="15060"/>
    <cellStyle name="常规 4 2 12 4 2 4" xfId="15061"/>
    <cellStyle name="常规 4 2 12 4 2 4 2" xfId="15062"/>
    <cellStyle name="常规 4 2 12 4 2 4 2 2" xfId="11242"/>
    <cellStyle name="常规 4 2 12 4 2 4 3" xfId="15063"/>
    <cellStyle name="常规 4 2 12 4 2 4 4" xfId="15064"/>
    <cellStyle name="常规 4 2 12 4 2 5" xfId="11480"/>
    <cellStyle name="常规 4 2 12 4 2 5 2" xfId="11482"/>
    <cellStyle name="常规 4 2 12 4 2 6" xfId="11484"/>
    <cellStyle name="常规 4 2 12 4 2 7" xfId="11486"/>
    <cellStyle name="常规 4 2 12 4 3" xfId="15065"/>
    <cellStyle name="常规 4 2 12 4 3 2" xfId="15067"/>
    <cellStyle name="常规 4 2 12 4 3 2 2" xfId="15068"/>
    <cellStyle name="常规 4 2 12 4 3 2 2 2" xfId="15069"/>
    <cellStyle name="常规 4 2 12 4 3 2 2 2 2" xfId="7812"/>
    <cellStyle name="常规 4 2 12 4 3 2 2 3" xfId="15070"/>
    <cellStyle name="常规 4 2 12 4 3 2 2 4" xfId="15071"/>
    <cellStyle name="常规 4 2 12 4 3 2 3" xfId="15072"/>
    <cellStyle name="常规 4 2 12 4 3 2 3 2" xfId="15073"/>
    <cellStyle name="常规 4 2 12 4 3 2 4" xfId="15075"/>
    <cellStyle name="常规 4 2 12 4 3 2 5" xfId="15080"/>
    <cellStyle name="常规 4 2 12 4 3 3" xfId="15081"/>
    <cellStyle name="常规 4 2 12 4 3 3 2" xfId="3219"/>
    <cellStyle name="常规 4 2 12 4 3 3 2 2" xfId="11288"/>
    <cellStyle name="常规 4 2 12 4 3 3 3" xfId="15082"/>
    <cellStyle name="常规 4 2 12 4 3 3 4" xfId="15084"/>
    <cellStyle name="常规 4 2 12 4 3 4" xfId="15085"/>
    <cellStyle name="常规 4 2 12 4 3 4 2" xfId="15086"/>
    <cellStyle name="常规 4 2 12 4 3 5" xfId="11492"/>
    <cellStyle name="常规 4 2 12 4 3 6" xfId="15087"/>
    <cellStyle name="常规 4 2 12 4 4" xfId="15088"/>
    <cellStyle name="常规 4 2 12 4 4 2" xfId="9626"/>
    <cellStyle name="常规 4 2 12 4 4 2 2" xfId="15089"/>
    <cellStyle name="常规 4 2 12 4 4 2 2 2" xfId="84"/>
    <cellStyle name="常规 4 2 12 4 4 2 3" xfId="9279"/>
    <cellStyle name="常规 4 2 12 4 4 2 4" xfId="15092"/>
    <cellStyle name="常规 4 2 12 4 4 3" xfId="15093"/>
    <cellStyle name="常规 4 2 12 4 4 3 2" xfId="15094"/>
    <cellStyle name="常规 4 2 12 4 4 4" xfId="15095"/>
    <cellStyle name="常规 4 2 12 4 4 5" xfId="15096"/>
    <cellStyle name="常规 4 2 12 4 5" xfId="15098"/>
    <cellStyle name="常规 4 2 12 4 5 2" xfId="15100"/>
    <cellStyle name="常规 4 2 12 4 5 2 2" xfId="15102"/>
    <cellStyle name="常规 4 2 12 4 5 3" xfId="15104"/>
    <cellStyle name="常规 4 2 12 4 5 4" xfId="7636"/>
    <cellStyle name="常规 4 2 12 4 6" xfId="15106"/>
    <cellStyle name="常规 4 2 12 4 6 2" xfId="15108"/>
    <cellStyle name="常规 4 2 12 4 7" xfId="15110"/>
    <cellStyle name="常规 4 2 12 4 8" xfId="6852"/>
    <cellStyle name="常规 4 2 12 5" xfId="2939"/>
    <cellStyle name="常规 4 2 12 5 2" xfId="2941"/>
    <cellStyle name="常规 4 2 12 5 2 2" xfId="15111"/>
    <cellStyle name="常规 4 2 12 5 2 2 2" xfId="15112"/>
    <cellStyle name="常规 4 2 12 5 2 2 2 2" xfId="15113"/>
    <cellStyle name="常规 4 2 12 5 2 2 2 2 2" xfId="15116"/>
    <cellStyle name="常规 4 2 12 5 2 2 2 3" xfId="15117"/>
    <cellStyle name="常规 4 2 12 5 2 2 2 4" xfId="15119"/>
    <cellStyle name="常规 4 2 12 5 2 2 3" xfId="2817"/>
    <cellStyle name="常规 4 2 12 5 2 2 3 2" xfId="15120"/>
    <cellStyle name="常规 4 2 12 5 2 2 4" xfId="15121"/>
    <cellStyle name="常规 4 2 12 5 2 2 5" xfId="15123"/>
    <cellStyle name="常规 4 2 12 5 2 3" xfId="15125"/>
    <cellStyle name="常规 4 2 12 5 2 3 2" xfId="15128"/>
    <cellStyle name="常规 4 2 12 5 2 3 2 2" xfId="12111"/>
    <cellStyle name="常规 4 2 12 5 2 3 3" xfId="15130"/>
    <cellStyle name="常规 4 2 12 5 2 3 4" xfId="15132"/>
    <cellStyle name="常规 4 2 12 5 2 4" xfId="15134"/>
    <cellStyle name="常规 4 2 12 5 2 4 2" xfId="15136"/>
    <cellStyle name="常规 4 2 12 5 2 5" xfId="11798"/>
    <cellStyle name="常规 4 2 12 5 2 6" xfId="11803"/>
    <cellStyle name="常规 4 2 12 5 3" xfId="2944"/>
    <cellStyle name="常规 4 2 12 5 3 2" xfId="15137"/>
    <cellStyle name="常规 4 2 12 5 3 2 2" xfId="15138"/>
    <cellStyle name="常规 4 2 12 5 3 2 2 2" xfId="15139"/>
    <cellStyle name="常规 4 2 12 5 3 2 3" xfId="2850"/>
    <cellStyle name="常规 4 2 12 5 3 2 4" xfId="15141"/>
    <cellStyle name="常规 4 2 12 5 3 3" xfId="15143"/>
    <cellStyle name="常规 4 2 12 5 3 3 2" xfId="15145"/>
    <cellStyle name="常规 4 2 12 5 3 4" xfId="15146"/>
    <cellStyle name="常规 4 2 12 5 3 5" xfId="11811"/>
    <cellStyle name="常规 4 2 12 5 4" xfId="15147"/>
    <cellStyle name="常规 4 2 12 5 4 2" xfId="15148"/>
    <cellStyle name="常规 4 2 12 5 4 2 2" xfId="15149"/>
    <cellStyle name="常规 4 2 12 5 4 3" xfId="15150"/>
    <cellStyle name="常规 4 2 12 5 4 4" xfId="15151"/>
    <cellStyle name="常规 4 2 12 5 5" xfId="15154"/>
    <cellStyle name="常规 4 2 12 5 5 2" xfId="15157"/>
    <cellStyle name="常规 4 2 12 5 6" xfId="15161"/>
    <cellStyle name="常规 4 2 12 5 7" xfId="15164"/>
    <cellStyle name="常规 4 2 12 6" xfId="2347"/>
    <cellStyle name="常规 4 2 12 6 2" xfId="2954"/>
    <cellStyle name="常规 4 2 12 6 2 2" xfId="15165"/>
    <cellStyle name="常规 4 2 12 6 2 2 2" xfId="15168"/>
    <cellStyle name="常规 4 2 12 6 2 2 2 2" xfId="15170"/>
    <cellStyle name="常规 4 2 12 6 2 2 3" xfId="3081"/>
    <cellStyle name="常规 4 2 12 6 2 2 4" xfId="4887"/>
    <cellStyle name="常规 4 2 12 6 2 3" xfId="15172"/>
    <cellStyle name="常规 4 2 12 6 2 3 2" xfId="15176"/>
    <cellStyle name="常规 4 2 12 6 2 4" xfId="15177"/>
    <cellStyle name="常规 4 2 12 6 2 5" xfId="11974"/>
    <cellStyle name="常规 4 2 12 6 3" xfId="4060"/>
    <cellStyle name="常规 4 2 12 6 3 2" xfId="15178"/>
    <cellStyle name="常规 4 2 12 6 3 2 2" xfId="15181"/>
    <cellStyle name="常规 4 2 12 6 3 3" xfId="15182"/>
    <cellStyle name="常规 4 2 12 6 3 4" xfId="15183"/>
    <cellStyle name="常规 4 2 12 6 4" xfId="15184"/>
    <cellStyle name="常规 4 2 12 6 4 2" xfId="15185"/>
    <cellStyle name="常规 4 2 12 6 5" xfId="15189"/>
    <cellStyle name="常规 4 2 12 6 6" xfId="15192"/>
    <cellStyle name="常规 4 2 12 7" xfId="2352"/>
    <cellStyle name="常规 4 2 12 7 2" xfId="15193"/>
    <cellStyle name="常规 4 2 12 7 2 2" xfId="15195"/>
    <cellStyle name="常规 4 2 12 7 2 2 2" xfId="15198"/>
    <cellStyle name="常规 4 2 12 7 2 3" xfId="15200"/>
    <cellStyle name="常规 4 2 12 7 2 4" xfId="15201"/>
    <cellStyle name="常规 4 2 12 7 3" xfId="15202"/>
    <cellStyle name="常规 4 2 12 7 3 2" xfId="15205"/>
    <cellStyle name="常规 4 2 12 7 4" xfId="15206"/>
    <cellStyle name="常规 4 2 12 7 5" xfId="15210"/>
    <cellStyle name="常规 4 2 12 8" xfId="2962"/>
    <cellStyle name="常规 4 2 12 8 2" xfId="15211"/>
    <cellStyle name="常规 4 2 12 8 2 2" xfId="15213"/>
    <cellStyle name="常规 4 2 12 8 3" xfId="15215"/>
    <cellStyle name="常规 4 2 12 8 4" xfId="15216"/>
    <cellStyle name="常规 4 2 12 9" xfId="15218"/>
    <cellStyle name="常规 4 2 12 9 2" xfId="15220"/>
    <cellStyle name="常规 4 2 13" xfId="15221"/>
    <cellStyle name="常规 4 2 13 10" xfId="15222"/>
    <cellStyle name="常规 4 2 13 2" xfId="15223"/>
    <cellStyle name="常规 4 2 13 2 2" xfId="15224"/>
    <cellStyle name="常规 4 2 13 2 2 2" xfId="15227"/>
    <cellStyle name="常规 4 2 13 2 2 2 2" xfId="15231"/>
    <cellStyle name="常规 4 2 13 2 2 2 2 2" xfId="15233"/>
    <cellStyle name="常规 4 2 13 2 2 2 2 2 2" xfId="15235"/>
    <cellStyle name="常规 4 2 13 2 2 2 2 2 2 2" xfId="15237"/>
    <cellStyle name="常规 4 2 13 2 2 2 2 2 2 2 2" xfId="15239"/>
    <cellStyle name="常规 4 2 13 2 2 2 2 2 2 3" xfId="15242"/>
    <cellStyle name="常规 4 2 13 2 2 2 2 2 2 4" xfId="15244"/>
    <cellStyle name="常规 4 2 13 2 2 2 2 2 3" xfId="15247"/>
    <cellStyle name="常规 4 2 13 2 2 2 2 2 3 2" xfId="15250"/>
    <cellStyle name="常规 4 2 13 2 2 2 2 2 4" xfId="15254"/>
    <cellStyle name="常规 4 2 13 2 2 2 2 2 5" xfId="15259"/>
    <cellStyle name="常规 4 2 13 2 2 2 2 3" xfId="15260"/>
    <cellStyle name="常规 4 2 13 2 2 2 2 3 2" xfId="7106"/>
    <cellStyle name="常规 4 2 13 2 2 2 2 3 2 2" xfId="936"/>
    <cellStyle name="常规 4 2 13 2 2 2 2 3 3" xfId="15264"/>
    <cellStyle name="常规 4 2 13 2 2 2 2 3 4" xfId="15267"/>
    <cellStyle name="常规 4 2 13 2 2 2 2 4" xfId="9300"/>
    <cellStyle name="常规 4 2 13 2 2 2 2 4 2" xfId="15270"/>
    <cellStyle name="常规 4 2 13 2 2 2 2 5" xfId="15271"/>
    <cellStyle name="常规 4 2 13 2 2 2 2 6" xfId="15272"/>
    <cellStyle name="常规 4 2 13 2 2 2 3" xfId="15273"/>
    <cellStyle name="常规 4 2 13 2 2 2 3 2" xfId="15274"/>
    <cellStyle name="常规 4 2 13 2 2 2 3 2 2" xfId="15276"/>
    <cellStyle name="常规 4 2 13 2 2 2 3 2 2 2" xfId="15279"/>
    <cellStyle name="常规 4 2 13 2 2 2 3 2 3" xfId="15282"/>
    <cellStyle name="常规 4 2 13 2 2 2 3 2 4" xfId="15284"/>
    <cellStyle name="常规 4 2 13 2 2 2 3 3" xfId="15285"/>
    <cellStyle name="常规 4 2 13 2 2 2 3 3 2" xfId="15287"/>
    <cellStyle name="常规 4 2 13 2 2 2 3 4" xfId="15288"/>
    <cellStyle name="常规 4 2 13 2 2 2 3 5" xfId="15289"/>
    <cellStyle name="常规 4 2 13 2 2 2 4" xfId="15291"/>
    <cellStyle name="常规 4 2 13 2 2 2 4 2" xfId="15293"/>
    <cellStyle name="常规 4 2 13 2 2 2 4 2 2" xfId="15295"/>
    <cellStyle name="常规 4 2 13 2 2 2 4 3" xfId="15296"/>
    <cellStyle name="常规 4 2 13 2 2 2 4 4" xfId="4825"/>
    <cellStyle name="常规 4 2 13 2 2 2 5" xfId="15298"/>
    <cellStyle name="常规 4 2 13 2 2 2 5 2" xfId="15299"/>
    <cellStyle name="常规 4 2 13 2 2 2 6" xfId="15301"/>
    <cellStyle name="常规 4 2 13 2 2 2 7" xfId="15302"/>
    <cellStyle name="常规 4 2 13 2 2 3" xfId="15304"/>
    <cellStyle name="常规 4 2 13 2 2 3 2" xfId="15305"/>
    <cellStyle name="常规 4 2 13 2 2 3 2 2" xfId="15306"/>
    <cellStyle name="常规 4 2 13 2 2 3 2 2 2" xfId="15307"/>
    <cellStyle name="常规 4 2 13 2 2 3 2 2 2 2" xfId="15309"/>
    <cellStyle name="常规 4 2 13 2 2 3 2 2 3" xfId="15311"/>
    <cellStyle name="常规 4 2 13 2 2 3 2 2 4" xfId="15312"/>
    <cellStyle name="常规 4 2 13 2 2 3 2 3" xfId="15314"/>
    <cellStyle name="常规 4 2 13 2 2 3 2 3 2" xfId="15318"/>
    <cellStyle name="常规 4 2 13 2 2 3 2 4" xfId="15322"/>
    <cellStyle name="常规 4 2 13 2 2 3 2 5" xfId="15324"/>
    <cellStyle name="常规 4 2 13 2 2 3 3" xfId="15325"/>
    <cellStyle name="常规 4 2 13 2 2 3 3 2" xfId="15326"/>
    <cellStyle name="常规 4 2 13 2 2 3 3 2 2" xfId="15327"/>
    <cellStyle name="常规 4 2 13 2 2 3 3 3" xfId="15329"/>
    <cellStyle name="常规 4 2 13 2 2 3 3 4" xfId="15330"/>
    <cellStyle name="常规 4 2 13 2 2 3 4" xfId="15333"/>
    <cellStyle name="常规 4 2 13 2 2 3 4 2" xfId="15337"/>
    <cellStyle name="常规 4 2 13 2 2 3 5" xfId="15339"/>
    <cellStyle name="常规 4 2 13 2 2 3 6" xfId="15341"/>
    <cellStyle name="常规 4 2 13 2 2 4" xfId="15342"/>
    <cellStyle name="常规 4 2 13 2 2 4 2" xfId="15343"/>
    <cellStyle name="常规 4 2 13 2 2 4 2 2" xfId="15344"/>
    <cellStyle name="常规 4 2 13 2 2 4 2 2 2" xfId="15346"/>
    <cellStyle name="常规 4 2 13 2 2 4 2 3" xfId="12754"/>
    <cellStyle name="常规 4 2 13 2 2 4 2 4" xfId="12757"/>
    <cellStyle name="常规 4 2 13 2 2 4 3" xfId="15347"/>
    <cellStyle name="常规 4 2 13 2 2 4 3 2" xfId="15348"/>
    <cellStyle name="常规 4 2 13 2 2 4 4" xfId="15349"/>
    <cellStyle name="常规 4 2 13 2 2 4 5" xfId="2754"/>
    <cellStyle name="常规 4 2 13 2 2 5" xfId="15350"/>
    <cellStyle name="常规 4 2 13 2 2 5 2" xfId="15351"/>
    <cellStyle name="常规 4 2 13 2 2 5 2 2" xfId="15352"/>
    <cellStyle name="常规 4 2 13 2 2 5 3" xfId="15353"/>
    <cellStyle name="常规 4 2 13 2 2 5 4" xfId="15354"/>
    <cellStyle name="常规 4 2 13 2 2 6" xfId="15355"/>
    <cellStyle name="常规 4 2 13 2 2 6 2" xfId="15356"/>
    <cellStyle name="常规 4 2 13 2 2 7" xfId="5136"/>
    <cellStyle name="常规 4 2 13 2 2 8" xfId="5139"/>
    <cellStyle name="常规 4 2 13 2 3" xfId="15357"/>
    <cellStyle name="常规 4 2 13 2 3 2" xfId="15361"/>
    <cellStyle name="常规 4 2 13 2 3 2 2" xfId="15362"/>
    <cellStyle name="常规 4 2 13 2 3 2 2 2" xfId="15363"/>
    <cellStyle name="常规 4 2 13 2 3 2 2 2 2" xfId="8277"/>
    <cellStyle name="常规 4 2 13 2 3 2 2 2 2 2" xfId="15364"/>
    <cellStyle name="常规 4 2 13 2 3 2 2 2 3" xfId="15366"/>
    <cellStyle name="常规 4 2 13 2 3 2 2 2 4" xfId="15369"/>
    <cellStyle name="常规 4 2 13 2 3 2 2 3" xfId="15370"/>
    <cellStyle name="常规 4 2 13 2 3 2 2 3 2" xfId="15371"/>
    <cellStyle name="常规 4 2 13 2 3 2 2 4" xfId="15030"/>
    <cellStyle name="常规 4 2 13 2 3 2 2 5" xfId="15066"/>
    <cellStyle name="常规 4 2 13 2 3 2 3" xfId="15373"/>
    <cellStyle name="常规 4 2 13 2 3 2 3 2" xfId="15374"/>
    <cellStyle name="常规 4 2 13 2 3 2 3 2 2" xfId="15375"/>
    <cellStyle name="常规 4 2 13 2 3 2 3 3" xfId="15376"/>
    <cellStyle name="常规 4 2 13 2 3 2 3 4" xfId="2942"/>
    <cellStyle name="常规 4 2 13 2 3 2 4" xfId="15378"/>
    <cellStyle name="常规 4 2 13 2 3 2 4 2" xfId="15382"/>
    <cellStyle name="常规 4 2 13 2 3 2 5" xfId="14596"/>
    <cellStyle name="常规 4 2 13 2 3 2 6" xfId="4473"/>
    <cellStyle name="常规 4 2 13 2 3 3" xfId="15385"/>
    <cellStyle name="常规 4 2 13 2 3 3 2" xfId="15388"/>
    <cellStyle name="常规 4 2 13 2 3 3 2 2" xfId="15391"/>
    <cellStyle name="常规 4 2 13 2 3 3 2 2 2" xfId="15393"/>
    <cellStyle name="常规 4 2 13 2 3 3 2 3" xfId="15394"/>
    <cellStyle name="常规 4 2 13 2 3 3 2 4" xfId="15399"/>
    <cellStyle name="常规 4 2 13 2 3 3 3" xfId="15403"/>
    <cellStyle name="常规 4 2 13 2 3 3 3 2" xfId="15405"/>
    <cellStyle name="常规 4 2 13 2 3 3 4" xfId="15408"/>
    <cellStyle name="常规 4 2 13 2 3 3 5" xfId="15413"/>
    <cellStyle name="常规 4 2 13 2 3 4" xfId="15414"/>
    <cellStyle name="常规 4 2 13 2 3 4 2" xfId="15418"/>
    <cellStyle name="常规 4 2 13 2 3 4 2 2" xfId="15420"/>
    <cellStyle name="常规 4 2 13 2 3 4 3" xfId="15423"/>
    <cellStyle name="常规 4 2 13 2 3 4 4" xfId="4487"/>
    <cellStyle name="常规 4 2 13 2 3 5" xfId="15425"/>
    <cellStyle name="常规 4 2 13 2 3 5 2" xfId="4186"/>
    <cellStyle name="常规 4 2 13 2 3 6" xfId="15427"/>
    <cellStyle name="常规 4 2 13 2 3 7" xfId="3288"/>
    <cellStyle name="常规 4 2 13 2 4" xfId="15428"/>
    <cellStyle name="常规 4 2 13 2 4 2" xfId="15434"/>
    <cellStyle name="常规 4 2 13 2 4 2 2" xfId="15435"/>
    <cellStyle name="常规 4 2 13 2 4 2 2 2" xfId="7663"/>
    <cellStyle name="常规 4 2 13 2 4 2 2 2 2" xfId="15436"/>
    <cellStyle name="常规 4 2 13 2 4 2 2 3" xfId="13141"/>
    <cellStyle name="常规 4 2 13 2 4 2 2 4" xfId="7409"/>
    <cellStyle name="常规 4 2 13 2 4 2 3" xfId="15437"/>
    <cellStyle name="常规 4 2 13 2 4 2 3 2" xfId="13178"/>
    <cellStyle name="常规 4 2 13 2 4 2 4" xfId="15438"/>
    <cellStyle name="常规 4 2 13 2 4 2 5" xfId="15440"/>
    <cellStyle name="常规 4 2 13 2 4 3" xfId="15441"/>
    <cellStyle name="常规 4 2 13 2 4 3 2" xfId="15444"/>
    <cellStyle name="常规 4 2 13 2 4 3 2 2" xfId="13247"/>
    <cellStyle name="常规 4 2 13 2 4 3 3" xfId="15447"/>
    <cellStyle name="常规 4 2 13 2 4 3 4" xfId="15449"/>
    <cellStyle name="常规 4 2 13 2 4 4" xfId="15450"/>
    <cellStyle name="常规 4 2 13 2 4 4 2" xfId="15452"/>
    <cellStyle name="常规 4 2 13 2 4 5" xfId="15454"/>
    <cellStyle name="常规 4 2 13 2 4 6" xfId="15456"/>
    <cellStyle name="常规 4 2 13 2 5" xfId="15459"/>
    <cellStyle name="常规 4 2 13 2 5 2" xfId="7263"/>
    <cellStyle name="常规 4 2 13 2 5 2 2" xfId="1892"/>
    <cellStyle name="常规 4 2 13 2 5 2 2 2" xfId="7272"/>
    <cellStyle name="常规 4 2 13 2 5 2 3" xfId="5399"/>
    <cellStyle name="常规 4 2 13 2 5 2 4" xfId="363"/>
    <cellStyle name="常规 4 2 13 2 5 3" xfId="1981"/>
    <cellStyle name="常规 4 2 13 2 5 3 2" xfId="1991"/>
    <cellStyle name="常规 4 2 13 2 5 4" xfId="2014"/>
    <cellStyle name="常规 4 2 13 2 5 5" xfId="276"/>
    <cellStyle name="常规 4 2 13 2 6" xfId="15462"/>
    <cellStyle name="常规 4 2 13 2 6 2" xfId="7286"/>
    <cellStyle name="常规 4 2 13 2 6 2 2" xfId="5116"/>
    <cellStyle name="常规 4 2 13 2 6 3" xfId="2058"/>
    <cellStyle name="常规 4 2 13 2 6 4" xfId="2088"/>
    <cellStyle name="常规 4 2 13 2 7" xfId="8340"/>
    <cellStyle name="常规 4 2 13 2 7 2" xfId="7302"/>
    <cellStyle name="常规 4 2 13 2 8" xfId="7203"/>
    <cellStyle name="常规 4 2 13 2 9" xfId="6192"/>
    <cellStyle name="常规 4 2 13 3" xfId="15463"/>
    <cellStyle name="常规 4 2 13 3 2" xfId="15464"/>
    <cellStyle name="常规 4 2 13 3 2 2" xfId="15468"/>
    <cellStyle name="常规 4 2 13 3 2 2 2" xfId="15471"/>
    <cellStyle name="常规 4 2 13 3 2 2 2 2" xfId="15474"/>
    <cellStyle name="常规 4 2 13 3 2 2 2 2 2" xfId="15477"/>
    <cellStyle name="常规 4 2 13 3 2 2 2 2 2 2" xfId="15478"/>
    <cellStyle name="常规 4 2 13 3 2 2 2 2 3" xfId="15479"/>
    <cellStyle name="常规 4 2 13 3 2 2 2 2 4" xfId="15480"/>
    <cellStyle name="常规 4 2 13 3 2 2 2 3" xfId="5933"/>
    <cellStyle name="常规 4 2 13 3 2 2 2 3 2" xfId="15481"/>
    <cellStyle name="常规 4 2 13 3 2 2 2 4" xfId="15483"/>
    <cellStyle name="常规 4 2 13 3 2 2 2 5" xfId="337"/>
    <cellStyle name="常规 4 2 13 3 2 2 3" xfId="15485"/>
    <cellStyle name="常规 4 2 13 3 2 2 3 2" xfId="15487"/>
    <cellStyle name="常规 4 2 13 3 2 2 3 2 2" xfId="15488"/>
    <cellStyle name="常规 4 2 13 3 2 2 3 3" xfId="15489"/>
    <cellStyle name="常规 4 2 13 3 2 2 3 4" xfId="15490"/>
    <cellStyle name="常规 4 2 13 3 2 2 4" xfId="15493"/>
    <cellStyle name="常规 4 2 13 3 2 2 4 2" xfId="15494"/>
    <cellStyle name="常规 4 2 13 3 2 2 5" xfId="15497"/>
    <cellStyle name="常规 4 2 13 3 2 2 6" xfId="15498"/>
    <cellStyle name="常规 4 2 13 3 2 3" xfId="15499"/>
    <cellStyle name="常规 4 2 13 3 2 3 2" xfId="15501"/>
    <cellStyle name="常规 4 2 13 3 2 3 2 2" xfId="15504"/>
    <cellStyle name="常规 4 2 13 3 2 3 2 2 2" xfId="15505"/>
    <cellStyle name="常规 4 2 13 3 2 3 2 3" xfId="15508"/>
    <cellStyle name="常规 4 2 13 3 2 3 2 4" xfId="15509"/>
    <cellStyle name="常规 4 2 13 3 2 3 3" xfId="15511"/>
    <cellStyle name="常规 4 2 13 3 2 3 3 2" xfId="15512"/>
    <cellStyle name="常规 4 2 13 3 2 3 4" xfId="15514"/>
    <cellStyle name="常规 4 2 13 3 2 3 5" xfId="15517"/>
    <cellStyle name="常规 4 2 13 3 2 4" xfId="15518"/>
    <cellStyle name="常规 4 2 13 3 2 4 2" xfId="15520"/>
    <cellStyle name="常规 4 2 13 3 2 4 2 2" xfId="15521"/>
    <cellStyle name="常规 4 2 13 3 2 4 3" xfId="15523"/>
    <cellStyle name="常规 4 2 13 3 2 4 4" xfId="15524"/>
    <cellStyle name="常规 4 2 13 3 2 5" xfId="15525"/>
    <cellStyle name="常规 4 2 13 3 2 5 2" xfId="15527"/>
    <cellStyle name="常规 4 2 13 3 2 6" xfId="15528"/>
    <cellStyle name="常规 4 2 13 3 2 7" xfId="59"/>
    <cellStyle name="常规 4 2 13 3 3" xfId="15529"/>
    <cellStyle name="常规 4 2 13 3 3 2" xfId="15532"/>
    <cellStyle name="常规 4 2 13 3 3 2 2" xfId="15534"/>
    <cellStyle name="常规 4 2 13 3 3 2 2 2" xfId="15536"/>
    <cellStyle name="常规 4 2 13 3 3 2 2 2 2" xfId="8513"/>
    <cellStyle name="常规 4 2 13 3 3 2 2 3" xfId="15538"/>
    <cellStyle name="常规 4 2 13 3 3 2 2 4" xfId="15540"/>
    <cellStyle name="常规 4 2 13 3 3 2 3" xfId="15543"/>
    <cellStyle name="常规 4 2 13 3 3 2 3 2" xfId="15545"/>
    <cellStyle name="常规 4 2 13 3 3 2 4" xfId="15547"/>
    <cellStyle name="常规 4 2 13 3 3 2 5" xfId="15551"/>
    <cellStyle name="常规 4 2 13 3 3 3" xfId="15553"/>
    <cellStyle name="常规 4 2 13 3 3 3 2" xfId="3807"/>
    <cellStyle name="常规 4 2 13 3 3 3 2 2" xfId="15555"/>
    <cellStyle name="常规 4 2 13 3 3 3 3" xfId="15558"/>
    <cellStyle name="常规 4 2 13 3 3 3 4" xfId="15562"/>
    <cellStyle name="常规 4 2 13 3 3 4" xfId="15564"/>
    <cellStyle name="常规 4 2 13 3 3 4 2" xfId="15566"/>
    <cellStyle name="常规 4 2 13 3 3 5" xfId="15569"/>
    <cellStyle name="常规 4 2 13 3 3 6" xfId="15571"/>
    <cellStyle name="常规 4 2 13 3 4" xfId="15573"/>
    <cellStyle name="常规 4 2 13 3 4 2" xfId="15574"/>
    <cellStyle name="常规 4 2 13 3 4 2 2" xfId="15576"/>
    <cellStyle name="常规 4 2 13 3 4 2 2 2" xfId="7820"/>
    <cellStyle name="常规 4 2 13 3 4 2 3" xfId="15579"/>
    <cellStyle name="常规 4 2 13 3 4 2 4" xfId="15581"/>
    <cellStyle name="常规 4 2 13 3 4 3" xfId="15582"/>
    <cellStyle name="常规 4 2 13 3 4 3 2" xfId="15585"/>
    <cellStyle name="常规 4 2 13 3 4 4" xfId="15586"/>
    <cellStyle name="常规 4 2 13 3 4 5" xfId="15588"/>
    <cellStyle name="常规 4 2 13 3 5" xfId="15590"/>
    <cellStyle name="常规 4 2 13 3 5 2" xfId="7326"/>
    <cellStyle name="常规 4 2 13 3 5 2 2" xfId="5663"/>
    <cellStyle name="常规 4 2 13 3 5 3" xfId="2165"/>
    <cellStyle name="常规 4 2 13 3 5 4" xfId="7336"/>
    <cellStyle name="常规 4 2 13 3 6" xfId="15592"/>
    <cellStyle name="常规 4 2 13 3 6 2" xfId="7349"/>
    <cellStyle name="常规 4 2 13 3 7" xfId="8351"/>
    <cellStyle name="常规 4 2 13 3 8" xfId="6868"/>
    <cellStyle name="常规 4 2 13 4" xfId="15594"/>
    <cellStyle name="常规 4 2 13 4 2" xfId="15400"/>
    <cellStyle name="常规 4 2 13 4 2 2" xfId="15595"/>
    <cellStyle name="常规 4 2 13 4 2 2 2" xfId="15597"/>
    <cellStyle name="常规 4 2 13 4 2 2 2 2" xfId="15598"/>
    <cellStyle name="常规 4 2 13 4 2 2 2 2 2" xfId="2926"/>
    <cellStyle name="常规 4 2 13 4 2 2 2 3" xfId="15599"/>
    <cellStyle name="常规 4 2 13 4 2 2 2 4" xfId="15601"/>
    <cellStyle name="常规 4 2 13 4 2 2 3" xfId="15603"/>
    <cellStyle name="常规 4 2 13 4 2 2 3 2" xfId="15604"/>
    <cellStyle name="常规 4 2 13 4 2 2 4" xfId="15605"/>
    <cellStyle name="常规 4 2 13 4 2 2 5" xfId="15607"/>
    <cellStyle name="常规 4 2 13 4 2 3" xfId="15608"/>
    <cellStyle name="常规 4 2 13 4 2 3 2" xfId="15610"/>
    <cellStyle name="常规 4 2 13 4 2 3 2 2" xfId="13705"/>
    <cellStyle name="常规 4 2 13 4 2 3 3" xfId="15611"/>
    <cellStyle name="常规 4 2 13 4 2 3 4" xfId="15612"/>
    <cellStyle name="常规 4 2 13 4 2 4" xfId="15613"/>
    <cellStyle name="常规 4 2 13 4 2 4 2" xfId="15614"/>
    <cellStyle name="常规 4 2 13 4 2 5" xfId="12321"/>
    <cellStyle name="常规 4 2 13 4 2 6" xfId="15615"/>
    <cellStyle name="常规 4 2 13 4 3" xfId="15617"/>
    <cellStyle name="常规 4 2 13 4 3 2" xfId="15618"/>
    <cellStyle name="常规 4 2 13 4 3 2 2" xfId="15620"/>
    <cellStyle name="常规 4 2 13 4 3 2 2 2" xfId="15622"/>
    <cellStyle name="常规 4 2 13 4 3 2 3" xfId="15624"/>
    <cellStyle name="常规 4 2 13 4 3 2 4" xfId="15627"/>
    <cellStyle name="常规 4 2 13 4 3 3" xfId="15628"/>
    <cellStyle name="常规 4 2 13 4 3 3 2" xfId="15632"/>
    <cellStyle name="常规 4 2 13 4 3 4" xfId="15633"/>
    <cellStyle name="常规 4 2 13 4 3 5" xfId="15635"/>
    <cellStyle name="常规 4 2 13 4 4" xfId="15637"/>
    <cellStyle name="常规 4 2 13 4 4 2" xfId="15638"/>
    <cellStyle name="常规 4 2 13 4 4 2 2" xfId="15640"/>
    <cellStyle name="常规 4 2 13 4 4 3" xfId="15642"/>
    <cellStyle name="常规 4 2 13 4 4 4" xfId="15643"/>
    <cellStyle name="常规 4 2 13 4 5" xfId="15645"/>
    <cellStyle name="常规 4 2 13 4 5 2" xfId="7368"/>
    <cellStyle name="常规 4 2 13 4 6" xfId="15647"/>
    <cellStyle name="常规 4 2 13 4 7" xfId="8355"/>
    <cellStyle name="常规 4 2 13 5" xfId="2973"/>
    <cellStyle name="常规 4 2 13 5 2" xfId="383"/>
    <cellStyle name="常规 4 2 13 5 2 2" xfId="15648"/>
    <cellStyle name="常规 4 2 13 5 2 2 2" xfId="15651"/>
    <cellStyle name="常规 4 2 13 5 2 2 2 2" xfId="15653"/>
    <cellStyle name="常规 4 2 13 5 2 2 3" xfId="15657"/>
    <cellStyle name="常规 4 2 13 5 2 2 4" xfId="15660"/>
    <cellStyle name="常规 4 2 13 5 2 3" xfId="15662"/>
    <cellStyle name="常规 4 2 13 5 2 3 2" xfId="15667"/>
    <cellStyle name="常规 4 2 13 5 2 4" xfId="15668"/>
    <cellStyle name="常规 4 2 13 5 2 5" xfId="15669"/>
    <cellStyle name="常规 4 2 13 5 3" xfId="2975"/>
    <cellStyle name="常规 4 2 13 5 3 2" xfId="15670"/>
    <cellStyle name="常规 4 2 13 5 3 2 2" xfId="15673"/>
    <cellStyle name="常规 4 2 13 5 3 3" xfId="15674"/>
    <cellStyle name="常规 4 2 13 5 3 4" xfId="15675"/>
    <cellStyle name="常规 4 2 13 5 4" xfId="15677"/>
    <cellStyle name="常规 4 2 13 5 4 2" xfId="15678"/>
    <cellStyle name="常规 4 2 13 5 5" xfId="15681"/>
    <cellStyle name="常规 4 2 13 5 6" xfId="15684"/>
    <cellStyle name="常规 4 2 13 6" xfId="2364"/>
    <cellStyle name="常规 4 2 13 6 2" xfId="1593"/>
    <cellStyle name="常规 4 2 13 6 2 2" xfId="15685"/>
    <cellStyle name="常规 4 2 13 6 2 2 2" xfId="15690"/>
    <cellStyle name="常规 4 2 13 6 2 3" xfId="15691"/>
    <cellStyle name="常规 4 2 13 6 2 4" xfId="15692"/>
    <cellStyle name="常规 4 2 13 6 3" xfId="15693"/>
    <cellStyle name="常规 4 2 13 6 3 2" xfId="15694"/>
    <cellStyle name="常规 4 2 13 6 4" xfId="15695"/>
    <cellStyle name="常规 4 2 13 6 5" xfId="15699"/>
    <cellStyle name="常规 4 2 13 7" xfId="2979"/>
    <cellStyle name="常规 4 2 13 7 2" xfId="15701"/>
    <cellStyle name="常规 4 2 13 7 2 2" xfId="15703"/>
    <cellStyle name="常规 4 2 13 7 3" xfId="15704"/>
    <cellStyle name="常规 4 2 13 7 4" xfId="3249"/>
    <cellStyle name="常规 4 2 13 8" xfId="2982"/>
    <cellStyle name="常规 4 2 13 8 2" xfId="15705"/>
    <cellStyle name="常规 4 2 13 9" xfId="15708"/>
    <cellStyle name="常规 4 2 14" xfId="15709"/>
    <cellStyle name="常规 4 2 14 2" xfId="15711"/>
    <cellStyle name="常规 4 2 14 2 2" xfId="15712"/>
    <cellStyle name="常规 4 2 14 2 2 2" xfId="15716"/>
    <cellStyle name="常规 4 2 14 2 2 2 2" xfId="15717"/>
    <cellStyle name="常规 4 2 14 2 2 2 2 2" xfId="7920"/>
    <cellStyle name="常规 4 2 14 2 2 2 2 2 2" xfId="15718"/>
    <cellStyle name="常规 4 2 14 2 2 2 2 3" xfId="7922"/>
    <cellStyle name="常规 4 2 14 2 2 2 2 4" xfId="15719"/>
    <cellStyle name="常规 4 2 14 2 2 2 3" xfId="15720"/>
    <cellStyle name="常规 4 2 14 2 2 2 3 2" xfId="15721"/>
    <cellStyle name="常规 4 2 14 2 2 2 4" xfId="15722"/>
    <cellStyle name="常规 4 2 14 2 2 2 5" xfId="15723"/>
    <cellStyle name="常规 4 2 14 2 2 3" xfId="15724"/>
    <cellStyle name="常规 4 2 14 2 2 3 2" xfId="15725"/>
    <cellStyle name="常规 4 2 14 2 2 3 2 2" xfId="15726"/>
    <cellStyle name="常规 4 2 14 2 2 3 3" xfId="15727"/>
    <cellStyle name="常规 4 2 14 2 2 3 4" xfId="15728"/>
    <cellStyle name="常规 4 2 14 2 2 4" xfId="15729"/>
    <cellStyle name="常规 4 2 14 2 2 4 2" xfId="15730"/>
    <cellStyle name="常规 4 2 14 2 2 5" xfId="15731"/>
    <cellStyle name="常规 4 2 14 2 2 6" xfId="15732"/>
    <cellStyle name="常规 4 2 14 2 3" xfId="15733"/>
    <cellStyle name="常规 4 2 14 2 3 2" xfId="15736"/>
    <cellStyle name="常规 4 2 14 2 3 2 2" xfId="15737"/>
    <cellStyle name="常规 4 2 14 2 3 2 2 2" xfId="15739"/>
    <cellStyle name="常规 4 2 14 2 3 2 3" xfId="15741"/>
    <cellStyle name="常规 4 2 14 2 3 2 4" xfId="2293"/>
    <cellStyle name="常规 4 2 14 2 3 3" xfId="15742"/>
    <cellStyle name="常规 4 2 14 2 3 3 2" xfId="15745"/>
    <cellStyle name="常规 4 2 14 2 3 4" xfId="13097"/>
    <cellStyle name="常规 4 2 14 2 3 5" xfId="4192"/>
    <cellStyle name="常规 4 2 14 2 4" xfId="15747"/>
    <cellStyle name="常规 4 2 14 2 4 2" xfId="15748"/>
    <cellStyle name="常规 4 2 14 2 4 2 2" xfId="15749"/>
    <cellStyle name="常规 4 2 14 2 4 3" xfId="15750"/>
    <cellStyle name="常规 4 2 14 2 4 4" xfId="13119"/>
    <cellStyle name="常规 4 2 14 2 5" xfId="15752"/>
    <cellStyle name="常规 4 2 14 2 5 2" xfId="7401"/>
    <cellStyle name="常规 4 2 14 2 6" xfId="15754"/>
    <cellStyle name="常规 4 2 14 2 7" xfId="8362"/>
    <cellStyle name="常规 4 2 14 3" xfId="15756"/>
    <cellStyle name="常规 4 2 14 3 2" xfId="15758"/>
    <cellStyle name="常规 4 2 14 3 2 2" xfId="15759"/>
    <cellStyle name="常规 4 2 14 3 2 2 2" xfId="15760"/>
    <cellStyle name="常规 4 2 14 3 2 2 2 2" xfId="5763"/>
    <cellStyle name="常规 4 2 14 3 2 2 3" xfId="15761"/>
    <cellStyle name="常规 4 2 14 3 2 2 4" xfId="15762"/>
    <cellStyle name="常规 4 2 14 3 2 3" xfId="1450"/>
    <cellStyle name="常规 4 2 14 3 2 3 2" xfId="1454"/>
    <cellStyle name="常规 4 2 14 3 2 4" xfId="15763"/>
    <cellStyle name="常规 4 2 14 3 2 5" xfId="15764"/>
    <cellStyle name="常规 4 2 14 3 3" xfId="15765"/>
    <cellStyle name="常规 4 2 14 3 3 2" xfId="15766"/>
    <cellStyle name="常规 4 2 14 3 3 2 2" xfId="15767"/>
    <cellStyle name="常规 4 2 14 3 3 3" xfId="15769"/>
    <cellStyle name="常规 4 2 14 3 3 4" xfId="13146"/>
    <cellStyle name="常规 4 2 14 3 4" xfId="15770"/>
    <cellStyle name="常规 4 2 14 3 4 2" xfId="15771"/>
    <cellStyle name="常规 4 2 14 3 5" xfId="15773"/>
    <cellStyle name="常规 4 2 14 3 6" xfId="15775"/>
    <cellStyle name="常规 4 2 14 4" xfId="15776"/>
    <cellStyle name="常规 4 2 14 4 2" xfId="15777"/>
    <cellStyle name="常规 4 2 14 4 2 2" xfId="15778"/>
    <cellStyle name="常规 4 2 14 4 2 2 2" xfId="1636"/>
    <cellStyle name="常规 4 2 14 4 2 3" xfId="15779"/>
    <cellStyle name="常规 4 2 14 4 2 4" xfId="15780"/>
    <cellStyle name="常规 4 2 14 4 3" xfId="15781"/>
    <cellStyle name="常规 4 2 14 4 3 2" xfId="15782"/>
    <cellStyle name="常规 4 2 14 4 4" xfId="15783"/>
    <cellStyle name="常规 4 2 14 4 5" xfId="15785"/>
    <cellStyle name="常规 4 2 14 5" xfId="2987"/>
    <cellStyle name="常规 4 2 14 5 2" xfId="2989"/>
    <cellStyle name="常规 4 2 14 5 2 2" xfId="15786"/>
    <cellStyle name="常规 4 2 14 5 3" xfId="2992"/>
    <cellStyle name="常规 4 2 14 5 4" xfId="15787"/>
    <cellStyle name="常规 4 2 14 6" xfId="2996"/>
    <cellStyle name="常规 4 2 14 6 2" xfId="3000"/>
    <cellStyle name="常规 4 2 14 7" xfId="3006"/>
    <cellStyle name="常规 4 2 14 8" xfId="3009"/>
    <cellStyle name="常规 4 2 15" xfId="15790"/>
    <cellStyle name="常规 4 2 15 2" xfId="15795"/>
    <cellStyle name="常规 4 2 15 2 2" xfId="15799"/>
    <cellStyle name="常规 4 2 15 2 2 2" xfId="15800"/>
    <cellStyle name="常规 4 2 15 2 2 2 2" xfId="15802"/>
    <cellStyle name="常规 4 2 15 2 2 2 2 2" xfId="7422"/>
    <cellStyle name="常规 4 2 15 2 2 2 3" xfId="15804"/>
    <cellStyle name="常规 4 2 15 2 2 2 4" xfId="15805"/>
    <cellStyle name="常规 4 2 15 2 2 3" xfId="15806"/>
    <cellStyle name="常规 4 2 15 2 2 3 2" xfId="15808"/>
    <cellStyle name="常规 4 2 15 2 2 4" xfId="15810"/>
    <cellStyle name="常规 4 2 15 2 2 5" xfId="15811"/>
    <cellStyle name="常规 4 2 15 2 3" xfId="15812"/>
    <cellStyle name="常规 4 2 15 2 3 2" xfId="15813"/>
    <cellStyle name="常规 4 2 15 2 3 2 2" xfId="15815"/>
    <cellStyle name="常规 4 2 15 2 3 3" xfId="15817"/>
    <cellStyle name="常规 4 2 15 2 3 4" xfId="13221"/>
    <cellStyle name="常规 4 2 15 2 4" xfId="15818"/>
    <cellStyle name="常规 4 2 15 2 4 2" xfId="15819"/>
    <cellStyle name="常规 4 2 15 2 5" xfId="15821"/>
    <cellStyle name="常规 4 2 15 2 6" xfId="4037"/>
    <cellStyle name="常规 4 2 15 3" xfId="15824"/>
    <cellStyle name="常规 4 2 15 3 2" xfId="15825"/>
    <cellStyle name="常规 4 2 15 3 2 2" xfId="15826"/>
    <cellStyle name="常规 4 2 15 3 2 2 2" xfId="15828"/>
    <cellStyle name="常规 4 2 15 3 2 3" xfId="15829"/>
    <cellStyle name="常规 4 2 15 3 2 4" xfId="15830"/>
    <cellStyle name="常规 4 2 15 3 3" xfId="15831"/>
    <cellStyle name="常规 4 2 15 3 3 2" xfId="15832"/>
    <cellStyle name="常规 4 2 15 3 4" xfId="15833"/>
    <cellStyle name="常规 4 2 15 3 5" xfId="15835"/>
    <cellStyle name="常规 4 2 15 4" xfId="15839"/>
    <cellStyle name="常规 4 2 15 4 2" xfId="15843"/>
    <cellStyle name="常规 4 2 15 4 2 2" xfId="15847"/>
    <cellStyle name="常规 4 2 15 4 3" xfId="15850"/>
    <cellStyle name="常规 4 2 15 4 4" xfId="15853"/>
    <cellStyle name="常规 4 2 15 5" xfId="15855"/>
    <cellStyle name="常规 4 2 15 5 2" xfId="15858"/>
    <cellStyle name="常规 4 2 15 6" xfId="15861"/>
    <cellStyle name="常规 4 2 15 7" xfId="15863"/>
    <cellStyle name="常规 4 2 16" xfId="15866"/>
    <cellStyle name="常规 4 2 16 2" xfId="15870"/>
    <cellStyle name="常规 4 2 16 2 2" xfId="15871"/>
    <cellStyle name="常规 4 2 16 2 2 2" xfId="15872"/>
    <cellStyle name="常规 4 2 16 2 2 2 2" xfId="15874"/>
    <cellStyle name="常规 4 2 16 2 2 3" xfId="15875"/>
    <cellStyle name="常规 4 2 16 2 2 4" xfId="15877"/>
    <cellStyle name="常规 4 2 16 2 3" xfId="15878"/>
    <cellStyle name="常规 4 2 16 2 3 2" xfId="15879"/>
    <cellStyle name="常规 4 2 16 2 4" xfId="15880"/>
    <cellStyle name="常规 4 2 16 2 5" xfId="15883"/>
    <cellStyle name="常规 4 2 16 3" xfId="15884"/>
    <cellStyle name="常规 4 2 16 3 2" xfId="15885"/>
    <cellStyle name="常规 4 2 16 3 2 2" xfId="15886"/>
    <cellStyle name="常规 4 2 16 3 3" xfId="15887"/>
    <cellStyle name="常规 4 2 16 3 4" xfId="15888"/>
    <cellStyle name="常规 4 2 16 4" xfId="15890"/>
    <cellStyle name="常规 4 2 16 4 2" xfId="15893"/>
    <cellStyle name="常规 4 2 16 5" xfId="15895"/>
    <cellStyle name="常规 4 2 16 6" xfId="15897"/>
    <cellStyle name="常规 4 2 17" xfId="15900"/>
    <cellStyle name="常规 4 2 17 2" xfId="15903"/>
    <cellStyle name="常规 4 2 17 2 2" xfId="15904"/>
    <cellStyle name="常规 4 2 17 2 2 2" xfId="15905"/>
    <cellStyle name="常规 4 2 17 2 3" xfId="15906"/>
    <cellStyle name="常规 4 2 17 2 4" xfId="15907"/>
    <cellStyle name="常规 4 2 17 3" xfId="15909"/>
    <cellStyle name="常规 4 2 17 3 2" xfId="14737"/>
    <cellStyle name="常规 4 2 17 4" xfId="15911"/>
    <cellStyle name="常规 4 2 17 5" xfId="15913"/>
    <cellStyle name="常规 4 2 18" xfId="15916"/>
    <cellStyle name="常规 4 2 18 2" xfId="15919"/>
    <cellStyle name="常规 4 2 18 2 2" xfId="15921"/>
    <cellStyle name="常规 4 2 18 3" xfId="15923"/>
    <cellStyle name="常规 4 2 18 4" xfId="15926"/>
    <cellStyle name="常规 4 2 19" xfId="15927"/>
    <cellStyle name="常规 4 2 19 2" xfId="15930"/>
    <cellStyle name="常规 4 2 2" xfId="15931"/>
    <cellStyle name="常规 4 2 2 10" xfId="15932"/>
    <cellStyle name="常规 4 2 2 10 10" xfId="15934"/>
    <cellStyle name="常规 4 2 2 10 11" xfId="5855"/>
    <cellStyle name="常规 4 2 2 10 2" xfId="15935"/>
    <cellStyle name="常规 4 2 2 10 2 2" xfId="15936"/>
    <cellStyle name="常规 4 2 2 10 2 2 2" xfId="5439"/>
    <cellStyle name="常规 4 2 2 10 2 2 2 2" xfId="5441"/>
    <cellStyle name="常规 4 2 2 10 2 2 2 2 2" xfId="5423"/>
    <cellStyle name="常规 4 2 2 10 2 2 2 2 2 2" xfId="5142"/>
    <cellStyle name="常规 4 2 2 10 2 2 2 2 2 2 2" xfId="5446"/>
    <cellStyle name="常规 4 2 2 10 2 2 2 2 2 2 2 2" xfId="15940"/>
    <cellStyle name="常规 4 2 2 10 2 2 2 2 2 2 3" xfId="15942"/>
    <cellStyle name="常规 4 2 2 10 2 2 2 2 2 2 4" xfId="15944"/>
    <cellStyle name="常规 4 2 2 10 2 2 2 2 2 3" xfId="5148"/>
    <cellStyle name="常规 4 2 2 10 2 2 2 2 2 3 2" xfId="15949"/>
    <cellStyle name="常规 4 2 2 10 2 2 2 2 2 4" xfId="2077"/>
    <cellStyle name="常规 4 2 2 10 2 2 2 2 2 5" xfId="2084"/>
    <cellStyle name="常规 4 2 2 10 2 2 2 2 3" xfId="5427"/>
    <cellStyle name="常规 4 2 2 10 2 2 2 2 3 2" xfId="5170"/>
    <cellStyle name="常规 4 2 2 10 2 2 2 2 3 2 2" xfId="15951"/>
    <cellStyle name="常规 4 2 2 10 2 2 2 2 3 3" xfId="15952"/>
    <cellStyle name="常规 4 2 2 10 2 2 2 2 3 4" xfId="2099"/>
    <cellStyle name="常规 4 2 2 10 2 2 2 2 4" xfId="5435"/>
    <cellStyle name="常规 4 2 2 10 2 2 2 2 4 2" xfId="6487"/>
    <cellStyle name="常规 4 2 2 10 2 2 2 2 5" xfId="5452"/>
    <cellStyle name="常规 4 2 2 10 2 2 2 2 6" xfId="4876"/>
    <cellStyle name="常规 4 2 2 10 2 2 2 3" xfId="5455"/>
    <cellStyle name="常规 4 2 2 10 2 2 2 3 2" xfId="5462"/>
    <cellStyle name="常规 4 2 2 10 2 2 2 3 2 2" xfId="1606"/>
    <cellStyle name="常规 4 2 2 10 2 2 2 3 2 2 2" xfId="15957"/>
    <cellStyle name="常规 4 2 2 10 2 2 2 3 2 3" xfId="15959"/>
    <cellStyle name="常规 4 2 2 10 2 2 2 3 2 4" xfId="13622"/>
    <cellStyle name="常规 4 2 2 10 2 2 2 3 3" xfId="5468"/>
    <cellStyle name="常规 4 2 2 10 2 2 2 3 3 2" xfId="15961"/>
    <cellStyle name="常规 4 2 2 10 2 2 2 3 4" xfId="5474"/>
    <cellStyle name="常规 4 2 2 10 2 2 2 3 5" xfId="3681"/>
    <cellStyle name="常规 4 2 2 10 2 2 2 4" xfId="5478"/>
    <cellStyle name="常规 4 2 2 10 2 2 2 4 2" xfId="3628"/>
    <cellStyle name="常规 4 2 2 10 2 2 2 4 2 2" xfId="15965"/>
    <cellStyle name="常规 4 2 2 10 2 2 2 4 3" xfId="15969"/>
    <cellStyle name="常规 4 2 2 10 2 2 2 4 4" xfId="7314"/>
    <cellStyle name="常规 4 2 2 10 2 2 2 5" xfId="5458"/>
    <cellStyle name="常规 4 2 2 10 2 2 2 5 2" xfId="15973"/>
    <cellStyle name="常规 4 2 2 10 2 2 2 6" xfId="5465"/>
    <cellStyle name="常规 4 2 2 10 2 2 2 7" xfId="15975"/>
    <cellStyle name="常规 4 2 2 10 2 2 3" xfId="5480"/>
    <cellStyle name="常规 4 2 2 10 2 2 3 2" xfId="5483"/>
    <cellStyle name="常规 4 2 2 10 2 2 3 2 2" xfId="693"/>
    <cellStyle name="常规 4 2 2 10 2 2 3 2 2 2" xfId="5487"/>
    <cellStyle name="常规 4 2 2 10 2 2 3 2 2 2 2" xfId="15978"/>
    <cellStyle name="常规 4 2 2 10 2 2 3 2 2 3" xfId="15980"/>
    <cellStyle name="常规 4 2 2 10 2 2 3 2 2 4" xfId="9801"/>
    <cellStyle name="常规 4 2 2 10 2 2 3 2 3" xfId="5491"/>
    <cellStyle name="常规 4 2 2 10 2 2 3 2 3 2" xfId="15981"/>
    <cellStyle name="常规 4 2 2 10 2 2 3 2 4" xfId="5497"/>
    <cellStyle name="常规 4 2 2 10 2 2 3 2 5" xfId="15985"/>
    <cellStyle name="常规 4 2 2 10 2 2 3 3" xfId="5500"/>
    <cellStyle name="常规 4 2 2 10 2 2 3 3 2" xfId="135"/>
    <cellStyle name="常规 4 2 2 10 2 2 3 3 2 2" xfId="15987"/>
    <cellStyle name="常规 4 2 2 10 2 2 3 3 3" xfId="15989"/>
    <cellStyle name="常规 4 2 2 10 2 2 3 3 4" xfId="15991"/>
    <cellStyle name="常规 4 2 2 10 2 2 3 4" xfId="3620"/>
    <cellStyle name="常规 4 2 2 10 2 2 3 4 2" xfId="15995"/>
    <cellStyle name="常规 4 2 2 10 2 2 3 5" xfId="3623"/>
    <cellStyle name="常规 4 2 2 10 2 2 3 6" xfId="15997"/>
    <cellStyle name="常规 4 2 2 10 2 2 4" xfId="5502"/>
    <cellStyle name="常规 4 2 2 10 2 2 4 2" xfId="5504"/>
    <cellStyle name="常规 4 2 2 10 2 2 4 2 2" xfId="750"/>
    <cellStyle name="常规 4 2 2 10 2 2 4 2 2 2" xfId="15998"/>
    <cellStyle name="常规 4 2 2 10 2 2 4 2 3" xfId="15999"/>
    <cellStyle name="常规 4 2 2 10 2 2 4 2 4" xfId="16000"/>
    <cellStyle name="常规 4 2 2 10 2 2 4 3" xfId="5506"/>
    <cellStyle name="常规 4 2 2 10 2 2 4 3 2" xfId="16001"/>
    <cellStyle name="常规 4 2 2 10 2 2 4 4" xfId="1598"/>
    <cellStyle name="常规 4 2 2 10 2 2 4 5" xfId="16002"/>
    <cellStyle name="常规 4 2 2 10 2 2 5" xfId="5508"/>
    <cellStyle name="常规 4 2 2 10 2 2 5 2" xfId="5513"/>
    <cellStyle name="常规 4 2 2 10 2 2 5 2 2" xfId="16005"/>
    <cellStyle name="常规 4 2 2 10 2 2 5 3" xfId="16007"/>
    <cellStyle name="常规 4 2 2 10 2 2 5 4" xfId="16008"/>
    <cellStyle name="常规 4 2 2 10 2 2 6" xfId="5515"/>
    <cellStyle name="常规 4 2 2 10 2 2 6 2" xfId="16010"/>
    <cellStyle name="常规 4 2 2 10 2 2 7" xfId="5519"/>
    <cellStyle name="常规 4 2 2 10 2 2 8" xfId="16012"/>
    <cellStyle name="常规 4 2 2 10 2 3" xfId="16013"/>
    <cellStyle name="常规 4 2 2 10 2 3 2" xfId="71"/>
    <cellStyle name="常规 4 2 2 10 2 3 2 2" xfId="1513"/>
    <cellStyle name="常规 4 2 2 10 2 3 2 2 2" xfId="5790"/>
    <cellStyle name="常规 4 2 2 10 2 3 2 2 2 2" xfId="5796"/>
    <cellStyle name="常规 4 2 2 10 2 3 2 2 2 2 2" xfId="5801"/>
    <cellStyle name="常规 4 2 2 10 2 3 2 2 2 3" xfId="5808"/>
    <cellStyle name="常规 4 2 2 10 2 3 2 2 2 4" xfId="3550"/>
    <cellStyle name="常规 4 2 2 10 2 3 2 2 3" xfId="2958"/>
    <cellStyle name="常规 4 2 2 10 2 3 2 2 3 2" xfId="5813"/>
    <cellStyle name="常规 4 2 2 10 2 3 2 2 4" xfId="5823"/>
    <cellStyle name="常规 4 2 2 10 2 3 2 2 5" xfId="1382"/>
    <cellStyle name="常规 4 2 2 10 2 3 2 3" xfId="1517"/>
    <cellStyle name="常规 4 2 2 10 2 3 2 3 2" xfId="3523"/>
    <cellStyle name="常规 4 2 2 10 2 3 2 3 2 2" xfId="1372"/>
    <cellStyle name="常规 4 2 2 10 2 3 2 3 3" xfId="3530"/>
    <cellStyle name="常规 4 2 2 10 2 3 2 3 4" xfId="3533"/>
    <cellStyle name="常规 4 2 2 10 2 3 2 4" xfId="127"/>
    <cellStyle name="常规 4 2 2 10 2 3 2 4 2" xfId="2143"/>
    <cellStyle name="常规 4 2 2 10 2 3 2 5" xfId="131"/>
    <cellStyle name="常规 4 2 2 10 2 3 2 6" xfId="3117"/>
    <cellStyle name="常规 4 2 2 10 2 3 3" xfId="5825"/>
    <cellStyle name="常规 4 2 2 10 2 3 3 2" xfId="5828"/>
    <cellStyle name="常规 4 2 2 10 2 3 3 2 2" xfId="447"/>
    <cellStyle name="常规 4 2 2 10 2 3 3 2 2 2" xfId="5832"/>
    <cellStyle name="常规 4 2 2 10 2 3 3 2 3" xfId="454"/>
    <cellStyle name="常规 4 2 2 10 2 3 3 2 4" xfId="4672"/>
    <cellStyle name="常规 4 2 2 10 2 3 3 3" xfId="5834"/>
    <cellStyle name="常规 4 2 2 10 2 3 3 3 2" xfId="517"/>
    <cellStyle name="常规 4 2 2 10 2 3 3 4" xfId="3641"/>
    <cellStyle name="常规 4 2 2 10 2 3 3 5" xfId="3646"/>
    <cellStyle name="常规 4 2 2 10 2 3 4" xfId="5836"/>
    <cellStyle name="常规 4 2 2 10 2 3 4 2" xfId="25"/>
    <cellStyle name="常规 4 2 2 10 2 3 4 2 2" xfId="2229"/>
    <cellStyle name="常规 4 2 2 10 2 3 4 3" xfId="5838"/>
    <cellStyle name="常规 4 2 2 10 2 3 4 4" xfId="3655"/>
    <cellStyle name="常规 4 2 2 10 2 3 5" xfId="5840"/>
    <cellStyle name="常规 4 2 2 10 2 3 5 2" xfId="5844"/>
    <cellStyle name="常规 4 2 2 10 2 3 6" xfId="5846"/>
    <cellStyle name="常规 4 2 2 10 2 3 7" xfId="5849"/>
    <cellStyle name="常规 4 2 2 10 2 4" xfId="16014"/>
    <cellStyle name="常规 4 2 2 10 2 4 2" xfId="4597"/>
    <cellStyle name="常规 4 2 2 10 2 4 2 2" xfId="4601"/>
    <cellStyle name="常规 4 2 2 10 2 4 2 2 2" xfId="5948"/>
    <cellStyle name="常规 4 2 2 10 2 4 2 2 2 2" xfId="4316"/>
    <cellStyle name="常规 4 2 2 10 2 4 2 2 3" xfId="5950"/>
    <cellStyle name="常规 4 2 2 10 2 4 2 2 4" xfId="5955"/>
    <cellStyle name="常规 4 2 2 10 2 4 2 3" xfId="5957"/>
    <cellStyle name="常规 4 2 2 10 2 4 2 3 2" xfId="5959"/>
    <cellStyle name="常规 4 2 2 10 2 4 2 4" xfId="1482"/>
    <cellStyle name="常规 4 2 2 10 2 4 2 5" xfId="1486"/>
    <cellStyle name="常规 4 2 2 10 2 4 3" xfId="4607"/>
    <cellStyle name="常规 4 2 2 10 2 4 3 2" xfId="3345"/>
    <cellStyle name="常规 4 2 2 10 2 4 3 2 2" xfId="5961"/>
    <cellStyle name="常规 4 2 2 10 2 4 3 3" xfId="4188"/>
    <cellStyle name="常规 4 2 2 10 2 4 3 4" xfId="3687"/>
    <cellStyle name="常规 4 2 2 10 2 4 4" xfId="4612"/>
    <cellStyle name="常规 4 2 2 10 2 4 4 2" xfId="5963"/>
    <cellStyle name="常规 4 2 2 10 2 4 5" xfId="5967"/>
    <cellStyle name="常规 4 2 2 10 2 4 6" xfId="5972"/>
    <cellStyle name="常规 4 2 2 10 2 5" xfId="16015"/>
    <cellStyle name="常规 4 2 2 10 2 5 2" xfId="3222"/>
    <cellStyle name="常规 4 2 2 10 2 5 2 2" xfId="6045"/>
    <cellStyle name="常规 4 2 2 10 2 5 2 2 2" xfId="6049"/>
    <cellStyle name="常规 4 2 2 10 2 5 2 3" xfId="6052"/>
    <cellStyle name="常规 4 2 2 10 2 5 2 4" xfId="3403"/>
    <cellStyle name="常规 4 2 2 10 2 5 3" xfId="6054"/>
    <cellStyle name="常规 4 2 2 10 2 5 3 2" xfId="6057"/>
    <cellStyle name="常规 4 2 2 10 2 5 4" xfId="6060"/>
    <cellStyle name="常规 4 2 2 10 2 5 5" xfId="6069"/>
    <cellStyle name="常规 4 2 2 10 2 6" xfId="16016"/>
    <cellStyle name="常规 4 2 2 10 2 6 2" xfId="6089"/>
    <cellStyle name="常规 4 2 2 10 2 6 2 2" xfId="6095"/>
    <cellStyle name="常规 4 2 2 10 2 6 3" xfId="2489"/>
    <cellStyle name="常规 4 2 2 10 2 6 4" xfId="6099"/>
    <cellStyle name="常规 4 2 2 10 2 7" xfId="16017"/>
    <cellStyle name="常规 4 2 2 10 2 7 2" xfId="6103"/>
    <cellStyle name="常规 4 2 2 10 2 8" xfId="16018"/>
    <cellStyle name="常规 4 2 2 10 2 9" xfId="16019"/>
    <cellStyle name="常规 4 2 2 10 3" xfId="2637"/>
    <cellStyle name="常规 4 2 2 10 3 2" xfId="6898"/>
    <cellStyle name="常规 4 2 2 10 3 2 2" xfId="6536"/>
    <cellStyle name="常规 4 2 2 10 3 2 2 2" xfId="3455"/>
    <cellStyle name="常规 4 2 2 10 3 2 2 2 2" xfId="1250"/>
    <cellStyle name="常规 4 2 2 10 3 2 2 2 2 2" xfId="3095"/>
    <cellStyle name="常规 4 2 2 10 3 2 2 2 2 2 2" xfId="6538"/>
    <cellStyle name="常规 4 2 2 10 3 2 2 2 2 2 2 2" xfId="16020"/>
    <cellStyle name="常规 4 2 2 10 3 2 2 2 2 2 3" xfId="16021"/>
    <cellStyle name="常规 4 2 2 10 3 2 2 2 2 2 4" xfId="16022"/>
    <cellStyle name="常规 4 2 2 10 3 2 2 2 2 3" xfId="3458"/>
    <cellStyle name="常规 4 2 2 10 3 2 2 2 2 3 2" xfId="16024"/>
    <cellStyle name="常规 4 2 2 10 3 2 2 2 2 4" xfId="6544"/>
    <cellStyle name="常规 4 2 2 10 3 2 2 2 2 5" xfId="16026"/>
    <cellStyle name="常规 4 2 2 10 3 2 2 2 3" xfId="3396"/>
    <cellStyle name="常规 4 2 2 10 3 2 2 2 3 2" xfId="3139"/>
    <cellStyle name="常规 4 2 2 10 3 2 2 2 3 2 2" xfId="16028"/>
    <cellStyle name="常规 4 2 2 10 3 2 2 2 3 3" xfId="16029"/>
    <cellStyle name="常规 4 2 2 10 3 2 2 2 3 4" xfId="16032"/>
    <cellStyle name="常规 4 2 2 10 3 2 2 2 4" xfId="3481"/>
    <cellStyle name="常规 4 2 2 10 3 2 2 2 4 2" xfId="3192"/>
    <cellStyle name="常规 4 2 2 10 3 2 2 2 5" xfId="3487"/>
    <cellStyle name="常规 4 2 2 10 3 2 2 2 6" xfId="7292"/>
    <cellStyle name="常规 4 2 2 10 3 2 2 3" xfId="3498"/>
    <cellStyle name="常规 4 2 2 10 3 2 2 3 2" xfId="1001"/>
    <cellStyle name="常规 4 2 2 10 3 2 2 3 2 2" xfId="5003"/>
    <cellStyle name="常规 4 2 2 10 3 2 2 3 2 2 2" xfId="4684"/>
    <cellStyle name="常规 4 2 2 10 3 2 2 3 2 3" xfId="16034"/>
    <cellStyle name="常规 4 2 2 10 3 2 2 3 2 4" xfId="16036"/>
    <cellStyle name="常规 4 2 2 10 3 2 2 3 3" xfId="3505"/>
    <cellStyle name="常规 4 2 2 10 3 2 2 3 3 2" xfId="16037"/>
    <cellStyle name="常规 4 2 2 10 3 2 2 3 4" xfId="6547"/>
    <cellStyle name="常规 4 2 2 10 3 2 2 3 5" xfId="16038"/>
    <cellStyle name="常规 4 2 2 10 3 2 2 4" xfId="3512"/>
    <cellStyle name="常规 4 2 2 10 3 2 2 4 2" xfId="1336"/>
    <cellStyle name="常规 4 2 2 10 3 2 2 4 2 2" xfId="16041"/>
    <cellStyle name="常规 4 2 2 10 3 2 2 4 3" xfId="10531"/>
    <cellStyle name="常规 4 2 2 10 3 2 2 4 4" xfId="16044"/>
    <cellStyle name="常规 4 2 2 10 3 2 2 5" xfId="3521"/>
    <cellStyle name="常规 4 2 2 10 3 2 2 5 2" xfId="10552"/>
    <cellStyle name="常规 4 2 2 10 3 2 2 6" xfId="3528"/>
    <cellStyle name="常规 4 2 2 10 3 2 2 7" xfId="16048"/>
    <cellStyle name="常规 4 2 2 10 3 2 3" xfId="6552"/>
    <cellStyle name="常规 4 2 2 10 3 2 3 2" xfId="2052"/>
    <cellStyle name="常规 4 2 2 10 3 2 3 2 2" xfId="2063"/>
    <cellStyle name="常规 4 2 2 10 3 2 3 2 2 2" xfId="2070"/>
    <cellStyle name="常规 4 2 2 10 3 2 3 2 2 2 2" xfId="16049"/>
    <cellStyle name="常规 4 2 2 10 3 2 3 2 2 3" xfId="16051"/>
    <cellStyle name="常规 4 2 2 10 3 2 3 2 2 4" xfId="16053"/>
    <cellStyle name="常规 4 2 2 10 3 2 3 2 3" xfId="2092"/>
    <cellStyle name="常规 4 2 2 10 3 2 3 2 3 2" xfId="16055"/>
    <cellStyle name="常规 4 2 2 10 3 2 3 2 4" xfId="965"/>
    <cellStyle name="常规 4 2 2 10 3 2 3 2 5" xfId="16056"/>
    <cellStyle name="常规 4 2 2 10 3 2 3 3" xfId="2110"/>
    <cellStyle name="常规 4 2 2 10 3 2 3 3 2" xfId="2120"/>
    <cellStyle name="常规 4 2 2 10 3 2 3 3 2 2" xfId="16057"/>
    <cellStyle name="常规 4 2 2 10 3 2 3 3 3" xfId="10591"/>
    <cellStyle name="常规 4 2 2 10 3 2 3 3 4" xfId="16058"/>
    <cellStyle name="常规 4 2 2 10 3 2 3 4" xfId="2130"/>
    <cellStyle name="常规 4 2 2 10 3 2 3 4 2" xfId="10607"/>
    <cellStyle name="常规 4 2 2 10 3 2 3 5" xfId="2139"/>
    <cellStyle name="常规 4 2 2 10 3 2 3 6" xfId="16061"/>
    <cellStyle name="常规 4 2 2 10 3 2 4" xfId="6555"/>
    <cellStyle name="常规 4 2 2 10 3 2 4 2" xfId="2172"/>
    <cellStyle name="常规 4 2 2 10 3 2 4 2 2" xfId="6561"/>
    <cellStyle name="常规 4 2 2 10 3 2 4 2 2 2" xfId="11409"/>
    <cellStyle name="常规 4 2 2 10 3 2 4 2 3" xfId="10631"/>
    <cellStyle name="常规 4 2 2 10 3 2 4 2 4" xfId="7613"/>
    <cellStyle name="常规 4 2 2 10 3 2 4 3" xfId="2177"/>
    <cellStyle name="常规 4 2 2 10 3 2 4 3 2" xfId="10640"/>
    <cellStyle name="常规 4 2 2 10 3 2 4 4" xfId="2183"/>
    <cellStyle name="常规 4 2 2 10 3 2 4 5" xfId="16063"/>
    <cellStyle name="常规 4 2 2 10 3 2 5" xfId="829"/>
    <cellStyle name="常规 4 2 2 10 3 2 5 2" xfId="2210"/>
    <cellStyle name="常规 4 2 2 10 3 2 5 2 2" xfId="10658"/>
    <cellStyle name="常规 4 2 2 10 3 2 5 3" xfId="16064"/>
    <cellStyle name="常规 4 2 2 10 3 2 5 4" xfId="16065"/>
    <cellStyle name="常规 4 2 2 10 3 2 6" xfId="840"/>
    <cellStyle name="常规 4 2 2 10 3 2 6 2" xfId="9489"/>
    <cellStyle name="常规 4 2 2 10 3 2 7" xfId="6566"/>
    <cellStyle name="常规 4 2 2 10 3 2 8" xfId="9580"/>
    <cellStyle name="常规 4 2 2 10 3 3" xfId="13316"/>
    <cellStyle name="常规 4 2 2 10 3 3 2" xfId="6631"/>
    <cellStyle name="常规 4 2 2 10 3 3 2 2" xfId="3832"/>
    <cellStyle name="常规 4 2 2 10 3 3 2 2 2" xfId="6634"/>
    <cellStyle name="常规 4 2 2 10 3 3 2 2 2 2" xfId="5720"/>
    <cellStyle name="常规 4 2 2 10 3 3 2 2 2 2 2" xfId="10755"/>
    <cellStyle name="常规 4 2 2 10 3 3 2 2 2 3" xfId="10759"/>
    <cellStyle name="常规 4 2 2 10 3 3 2 2 2 4" xfId="10763"/>
    <cellStyle name="常规 4 2 2 10 3 3 2 2 3" xfId="6637"/>
    <cellStyle name="常规 4 2 2 10 3 3 2 2 3 2" xfId="10767"/>
    <cellStyle name="常规 4 2 2 10 3 3 2 2 4" xfId="6640"/>
    <cellStyle name="常规 4 2 2 10 3 3 2 2 5" xfId="10769"/>
    <cellStyle name="常规 4 2 2 10 3 3 2 3" xfId="6643"/>
    <cellStyle name="常规 4 2 2 10 3 3 2 3 2" xfId="6645"/>
    <cellStyle name="常规 4 2 2 10 3 3 2 3 2 2" xfId="10788"/>
    <cellStyle name="常规 4 2 2 10 3 3 2 3 3" xfId="10790"/>
    <cellStyle name="常规 4 2 2 10 3 3 2 3 4" xfId="10792"/>
    <cellStyle name="常规 4 2 2 10 3 3 2 4" xfId="460"/>
    <cellStyle name="常规 4 2 2 10 3 3 2 4 2" xfId="8272"/>
    <cellStyle name="常规 4 2 2 10 3 3 2 5" xfId="514"/>
    <cellStyle name="常规 4 2 2 10 3 3 2 6" xfId="8276"/>
    <cellStyle name="常规 4 2 2 10 3 3 3" xfId="6649"/>
    <cellStyle name="常规 4 2 2 10 3 3 3 2" xfId="3413"/>
    <cellStyle name="常规 4 2 2 10 3 3 3 2 2" xfId="3538"/>
    <cellStyle name="常规 4 2 2 10 3 3 3 2 2 2" xfId="10871"/>
    <cellStyle name="常规 4 2 2 10 3 3 3 2 3" xfId="10873"/>
    <cellStyle name="常规 4 2 2 10 3 3 3 2 4" xfId="10875"/>
    <cellStyle name="常规 4 2 2 10 3 3 3 3" xfId="3822"/>
    <cellStyle name="常规 4 2 2 10 3 3 3 3 2" xfId="10891"/>
    <cellStyle name="常规 4 2 2 10 3 3 3 4" xfId="530"/>
    <cellStyle name="常规 4 2 2 10 3 3 3 5" xfId="16066"/>
    <cellStyle name="常规 4 2 2 10 3 3 4" xfId="6651"/>
    <cellStyle name="常规 4 2 2 10 3 3 4 2" xfId="4105"/>
    <cellStyle name="常规 4 2 2 10 3 3 4 2 2" xfId="10928"/>
    <cellStyle name="常规 4 2 2 10 3 3 4 3" xfId="16067"/>
    <cellStyle name="常规 4 2 2 10 3 3 4 4" xfId="16068"/>
    <cellStyle name="常规 4 2 2 10 3 3 5" xfId="846"/>
    <cellStyle name="常规 4 2 2 10 3 3 5 2" xfId="16069"/>
    <cellStyle name="常规 4 2 2 10 3 3 6" xfId="853"/>
    <cellStyle name="常规 4 2 2 10 3 3 7" xfId="7746"/>
    <cellStyle name="常规 4 2 2 10 3 4" xfId="8999"/>
    <cellStyle name="常规 4 2 2 10 3 4 2" xfId="4627"/>
    <cellStyle name="常规 4 2 2 10 3 4 2 2" xfId="4125"/>
    <cellStyle name="常规 4 2 2 10 3 4 2 2 2" xfId="4065"/>
    <cellStyle name="常规 4 2 2 10 3 4 2 2 2 2" xfId="11030"/>
    <cellStyle name="常规 4 2 2 10 3 4 2 2 3" xfId="11033"/>
    <cellStyle name="常规 4 2 2 10 3 4 2 2 4" xfId="11036"/>
    <cellStyle name="常规 4 2 2 10 3 4 2 3" xfId="4129"/>
    <cellStyle name="常规 4 2 2 10 3 4 2 3 2" xfId="11056"/>
    <cellStyle name="常规 4 2 2 10 3 4 2 4" xfId="4134"/>
    <cellStyle name="常规 4 2 2 10 3 4 2 5" xfId="16070"/>
    <cellStyle name="常规 4 2 2 10 3 4 3" xfId="6704"/>
    <cellStyle name="常规 4 2 2 10 3 4 3 2" xfId="1713"/>
    <cellStyle name="常规 4 2 2 10 3 4 3 2 2" xfId="11115"/>
    <cellStyle name="常规 4 2 2 10 3 4 3 3" xfId="16071"/>
    <cellStyle name="常规 4 2 2 10 3 4 3 4" xfId="16072"/>
    <cellStyle name="常规 4 2 2 10 3 4 4" xfId="6706"/>
    <cellStyle name="常规 4 2 2 10 3 4 4 2" xfId="16073"/>
    <cellStyle name="常规 4 2 2 10 3 4 5" xfId="864"/>
    <cellStyle name="常规 4 2 2 10 3 4 6" xfId="7765"/>
    <cellStyle name="常规 4 2 2 10 3 5" xfId="16074"/>
    <cellStyle name="常规 4 2 2 10 3 5 2" xfId="6731"/>
    <cellStyle name="常规 4 2 2 10 3 5 2 2" xfId="6733"/>
    <cellStyle name="常规 4 2 2 10 3 5 2 2 2" xfId="11202"/>
    <cellStyle name="常规 4 2 2 10 3 5 2 3" xfId="16075"/>
    <cellStyle name="常规 4 2 2 10 3 5 2 4" xfId="16076"/>
    <cellStyle name="常规 4 2 2 10 3 5 3" xfId="6735"/>
    <cellStyle name="常规 4 2 2 10 3 5 3 2" xfId="12672"/>
    <cellStyle name="常规 4 2 2 10 3 5 4" xfId="6738"/>
    <cellStyle name="常规 4 2 2 10 3 5 5" xfId="12679"/>
    <cellStyle name="常规 4 2 2 10 3 6" xfId="16077"/>
    <cellStyle name="常规 4 2 2 10 3 6 2" xfId="6749"/>
    <cellStyle name="常规 4 2 2 10 3 6 2 2" xfId="16078"/>
    <cellStyle name="常规 4 2 2 10 3 6 3" xfId="6752"/>
    <cellStyle name="常规 4 2 2 10 3 6 4" xfId="8165"/>
    <cellStyle name="常规 4 2 2 10 3 7" xfId="16079"/>
    <cellStyle name="常规 4 2 2 10 3 7 2" xfId="6114"/>
    <cellStyle name="常规 4 2 2 10 3 8" xfId="16080"/>
    <cellStyle name="常规 4 2 2 10 3 9" xfId="16081"/>
    <cellStyle name="常规 4 2 2 10 4" xfId="2641"/>
    <cellStyle name="常规 4 2 2 10 4 2" xfId="16082"/>
    <cellStyle name="常规 4 2 2 10 4 2 2" xfId="6904"/>
    <cellStyle name="常规 4 2 2 10 4 2 2 2" xfId="6909"/>
    <cellStyle name="常规 4 2 2 10 4 2 2 2 2" xfId="630"/>
    <cellStyle name="常规 4 2 2 10 4 2 2 2 2 2" xfId="5279"/>
    <cellStyle name="常规 4 2 2 10 4 2 2 2 2 2 2" xfId="11530"/>
    <cellStyle name="常规 4 2 2 10 4 2 2 2 2 3" xfId="11531"/>
    <cellStyle name="常规 4 2 2 10 4 2 2 2 2 4" xfId="11534"/>
    <cellStyle name="常规 4 2 2 10 4 2 2 2 3" xfId="11536"/>
    <cellStyle name="常规 4 2 2 10 4 2 2 2 3 2" xfId="11538"/>
    <cellStyle name="常规 4 2 2 10 4 2 2 2 4" xfId="11540"/>
    <cellStyle name="常规 4 2 2 10 4 2 2 2 5" xfId="11544"/>
    <cellStyle name="常规 4 2 2 10 4 2 2 3" xfId="2676"/>
    <cellStyle name="常规 4 2 2 10 4 2 2 3 2" xfId="11561"/>
    <cellStyle name="常规 4 2 2 10 4 2 2 3 2 2" xfId="11563"/>
    <cellStyle name="常规 4 2 2 10 4 2 2 3 3" xfId="11565"/>
    <cellStyle name="常规 4 2 2 10 4 2 2 3 4" xfId="11567"/>
    <cellStyle name="常规 4 2 2 10 4 2 2 4" xfId="2681"/>
    <cellStyle name="常规 4 2 2 10 4 2 2 4 2" xfId="11594"/>
    <cellStyle name="常规 4 2 2 10 4 2 2 5" xfId="16085"/>
    <cellStyle name="常规 4 2 2 10 4 2 2 6" xfId="16090"/>
    <cellStyle name="常规 4 2 2 10 4 2 3" xfId="6912"/>
    <cellStyle name="常规 4 2 2 10 4 2 3 2" xfId="6915"/>
    <cellStyle name="常规 4 2 2 10 4 2 3 2 2" xfId="11680"/>
    <cellStyle name="常规 4 2 2 10 4 2 3 2 2 2" xfId="11682"/>
    <cellStyle name="常规 4 2 2 10 4 2 3 2 3" xfId="11686"/>
    <cellStyle name="常规 4 2 2 10 4 2 3 2 4" xfId="11688"/>
    <cellStyle name="常规 4 2 2 10 4 2 3 3" xfId="16091"/>
    <cellStyle name="常规 4 2 2 10 4 2 3 3 2" xfId="11706"/>
    <cellStyle name="常规 4 2 2 10 4 2 3 4" xfId="16093"/>
    <cellStyle name="常规 4 2 2 10 4 2 3 5" xfId="16094"/>
    <cellStyle name="常规 4 2 2 10 4 2 4" xfId="6917"/>
    <cellStyle name="常规 4 2 2 10 4 2 4 2" xfId="16095"/>
    <cellStyle name="常规 4 2 2 10 4 2 4 2 2" xfId="11662"/>
    <cellStyle name="常规 4 2 2 10 4 2 4 3" xfId="16096"/>
    <cellStyle name="常规 4 2 2 10 4 2 4 4" xfId="16097"/>
    <cellStyle name="常规 4 2 2 10 4 2 5" xfId="6919"/>
    <cellStyle name="常规 4 2 2 10 4 2 5 2" xfId="703"/>
    <cellStyle name="常规 4 2 2 10 4 2 6" xfId="16098"/>
    <cellStyle name="常规 4 2 2 10 4 2 7" xfId="16099"/>
    <cellStyle name="常规 4 2 2 10 4 3" xfId="12242"/>
    <cellStyle name="常规 4 2 2 10 4 3 2" xfId="6942"/>
    <cellStyle name="常规 4 2 2 10 4 3 2 2" xfId="6945"/>
    <cellStyle name="常规 4 2 2 10 4 3 2 2 2" xfId="11845"/>
    <cellStyle name="常规 4 2 2 10 4 3 2 2 2 2" xfId="2575"/>
    <cellStyle name="常规 4 2 2 10 4 3 2 2 3" xfId="11847"/>
    <cellStyle name="常规 4 2 2 10 4 3 2 2 4" xfId="11849"/>
    <cellStyle name="常规 4 2 2 10 4 3 2 3" xfId="16100"/>
    <cellStyle name="常规 4 2 2 10 4 3 2 3 2" xfId="2779"/>
    <cellStyle name="常规 4 2 2 10 4 3 2 4" xfId="8302"/>
    <cellStyle name="常规 4 2 2 10 4 3 2 5" xfId="16101"/>
    <cellStyle name="常规 4 2 2 10 4 3 3" xfId="6947"/>
    <cellStyle name="常规 4 2 2 10 4 3 3 2" xfId="16102"/>
    <cellStyle name="常规 4 2 2 10 4 3 3 2 2" xfId="11910"/>
    <cellStyle name="常规 4 2 2 10 4 3 3 3" xfId="16103"/>
    <cellStyle name="常规 4 2 2 10 4 3 3 4" xfId="16104"/>
    <cellStyle name="常规 4 2 2 10 4 3 4" xfId="3632"/>
    <cellStyle name="常规 4 2 2 10 4 3 4 2" xfId="16105"/>
    <cellStyle name="常规 4 2 2 10 4 3 5" xfId="16106"/>
    <cellStyle name="常规 4 2 2 10 4 3 6" xfId="7784"/>
    <cellStyle name="常规 4 2 2 10 4 4" xfId="16108"/>
    <cellStyle name="常规 4 2 2 10 4 4 2" xfId="1351"/>
    <cellStyle name="常规 4 2 2 10 4 4 2 2" xfId="16110"/>
    <cellStyle name="常规 4 2 2 10 4 4 2 2 2" xfId="12006"/>
    <cellStyle name="常规 4 2 2 10 4 4 2 3" xfId="16112"/>
    <cellStyle name="常规 4 2 2 10 4 4 2 4" xfId="16114"/>
    <cellStyle name="常规 4 2 2 10 4 4 3" xfId="6954"/>
    <cellStyle name="常规 4 2 2 10 4 4 3 2" xfId="16116"/>
    <cellStyle name="常规 4 2 2 10 4 4 4" xfId="16118"/>
    <cellStyle name="常规 4 2 2 10 4 4 5" xfId="16120"/>
    <cellStyle name="常规 4 2 2 10 4 5" xfId="16122"/>
    <cellStyle name="常规 4 2 2 10 4 5 2" xfId="6959"/>
    <cellStyle name="常规 4 2 2 10 4 5 2 2" xfId="16124"/>
    <cellStyle name="常规 4 2 2 10 4 5 3" xfId="12696"/>
    <cellStyle name="常规 4 2 2 10 4 5 4" xfId="12702"/>
    <cellStyle name="常规 4 2 2 10 4 6" xfId="16126"/>
    <cellStyle name="常规 4 2 2 10 4 6 2" xfId="16128"/>
    <cellStyle name="常规 4 2 2 10 4 7" xfId="16130"/>
    <cellStyle name="常规 4 2 2 10 4 8" xfId="16133"/>
    <cellStyle name="常规 4 2 2 10 5" xfId="6900"/>
    <cellStyle name="常规 4 2 2 10 5 2" xfId="16134"/>
    <cellStyle name="常规 4 2 2 10 5 2 2" xfId="7064"/>
    <cellStyle name="常规 4 2 2 10 5 2 2 2" xfId="7067"/>
    <cellStyle name="常规 4 2 2 10 5 2 2 2 2" xfId="37"/>
    <cellStyle name="常规 4 2 2 10 5 2 2 2 2 2" xfId="3978"/>
    <cellStyle name="常规 4 2 2 10 5 2 2 2 3" xfId="316"/>
    <cellStyle name="常规 4 2 2 10 5 2 2 2 4" xfId="328"/>
    <cellStyle name="常规 4 2 2 10 5 2 2 3" xfId="7069"/>
    <cellStyle name="常规 4 2 2 10 5 2 2 3 2" xfId="3242"/>
    <cellStyle name="常规 4 2 2 10 5 2 2 4" xfId="7072"/>
    <cellStyle name="常规 4 2 2 10 5 2 2 5" xfId="16135"/>
    <cellStyle name="常规 4 2 2 10 5 2 3" xfId="7074"/>
    <cellStyle name="常规 4 2 2 10 5 2 3 2" xfId="7076"/>
    <cellStyle name="常规 4 2 2 10 5 2 3 2 2" xfId="12364"/>
    <cellStyle name="常规 4 2 2 10 5 2 3 3" xfId="16137"/>
    <cellStyle name="常规 4 2 2 10 5 2 3 4" xfId="16139"/>
    <cellStyle name="常规 4 2 2 10 5 2 4" xfId="7078"/>
    <cellStyle name="常规 4 2 2 10 5 2 4 2" xfId="16140"/>
    <cellStyle name="常规 4 2 2 10 5 2 5" xfId="7080"/>
    <cellStyle name="常规 4 2 2 10 5 2 6" xfId="16141"/>
    <cellStyle name="常规 4 2 2 10 5 3" xfId="16143"/>
    <cellStyle name="常规 4 2 2 10 5 3 2" xfId="7118"/>
    <cellStyle name="常规 4 2 2 10 5 3 2 2" xfId="7120"/>
    <cellStyle name="常规 4 2 2 10 5 3 2 2 2" xfId="12393"/>
    <cellStyle name="常规 4 2 2 10 5 3 2 3" xfId="16145"/>
    <cellStyle name="常规 4 2 2 10 5 3 2 4" xfId="16147"/>
    <cellStyle name="常规 4 2 2 10 5 3 3" xfId="7122"/>
    <cellStyle name="常规 4 2 2 10 5 3 3 2" xfId="16148"/>
    <cellStyle name="常规 4 2 2 10 5 3 4" xfId="7124"/>
    <cellStyle name="常规 4 2 2 10 5 3 5" xfId="16149"/>
    <cellStyle name="常规 4 2 2 10 5 4" xfId="16151"/>
    <cellStyle name="常规 4 2 2 10 5 4 2" xfId="7136"/>
    <cellStyle name="常规 4 2 2 10 5 4 2 2" xfId="16154"/>
    <cellStyle name="常规 4 2 2 10 5 4 3" xfId="7139"/>
    <cellStyle name="常规 4 2 2 10 5 4 4" xfId="16156"/>
    <cellStyle name="常规 4 2 2 10 5 5" xfId="16160"/>
    <cellStyle name="常规 4 2 2 10 5 5 2" xfId="7146"/>
    <cellStyle name="常规 4 2 2 10 5 6" xfId="14484"/>
    <cellStyle name="常规 4 2 2 10 5 7" xfId="5215"/>
    <cellStyle name="常规 4 2 2 10 6" xfId="16161"/>
    <cellStyle name="常规 4 2 2 10 6 2" xfId="16162"/>
    <cellStyle name="常规 4 2 2 10 6 2 2" xfId="3726"/>
    <cellStyle name="常规 4 2 2 10 6 2 2 2" xfId="3729"/>
    <cellStyle name="常规 4 2 2 10 6 2 2 2 2" xfId="12615"/>
    <cellStyle name="常规 4 2 2 10 6 2 2 3" xfId="8254"/>
    <cellStyle name="常规 4 2 2 10 6 2 2 4" xfId="16163"/>
    <cellStyle name="常规 4 2 2 10 6 2 3" xfId="3764"/>
    <cellStyle name="常规 4 2 2 10 6 2 3 2" xfId="16164"/>
    <cellStyle name="常规 4 2 2 10 6 2 4" xfId="3794"/>
    <cellStyle name="常规 4 2 2 10 6 2 5" xfId="16165"/>
    <cellStyle name="常规 4 2 2 10 6 3" xfId="16166"/>
    <cellStyle name="常规 4 2 2 10 6 3 2" xfId="3945"/>
    <cellStyle name="常规 4 2 2 10 6 3 2 2" xfId="16167"/>
    <cellStyle name="常规 4 2 2 10 6 3 3" xfId="3962"/>
    <cellStyle name="常规 4 2 2 10 6 3 4" xfId="16170"/>
    <cellStyle name="常规 4 2 2 10 6 4" xfId="16172"/>
    <cellStyle name="常规 4 2 2 10 6 4 2" xfId="7175"/>
    <cellStyle name="常规 4 2 2 10 6 5" xfId="16177"/>
    <cellStyle name="常规 4 2 2 10 6 6" xfId="14505"/>
    <cellStyle name="常规 4 2 2 10 7" xfId="16179"/>
    <cellStyle name="常规 4 2 2 10 7 2" xfId="16180"/>
    <cellStyle name="常规 4 2 2 10 7 2 2" xfId="6873"/>
    <cellStyle name="常规 4 2 2 10 7 2 2 2" xfId="16181"/>
    <cellStyle name="常规 4 2 2 10 7 2 3" xfId="6876"/>
    <cellStyle name="常规 4 2 2 10 7 2 4" xfId="16182"/>
    <cellStyle name="常规 4 2 2 10 7 3" xfId="1654"/>
    <cellStyle name="常规 4 2 2 10 7 3 2" xfId="1702"/>
    <cellStyle name="常规 4 2 2 10 7 4" xfId="16184"/>
    <cellStyle name="常规 4 2 2 10 7 5" xfId="16189"/>
    <cellStyle name="常规 4 2 2 10 8" xfId="16190"/>
    <cellStyle name="常规 4 2 2 10 8 2" xfId="2687"/>
    <cellStyle name="常规 4 2 2 10 8 2 2" xfId="7229"/>
    <cellStyle name="常规 4 2 2 10 8 3" xfId="870"/>
    <cellStyle name="常规 4 2 2 10 8 4" xfId="877"/>
    <cellStyle name="常规 4 2 2 10 9" xfId="16191"/>
    <cellStyle name="常规 4 2 2 10 9 2" xfId="16192"/>
    <cellStyle name="常规 4 2 2 11" xfId="16193"/>
    <cellStyle name="常规 4 2 2 11 10" xfId="16194"/>
    <cellStyle name="常规 4 2 2 11 2" xfId="16195"/>
    <cellStyle name="常规 4 2 2 11 2 2" xfId="16196"/>
    <cellStyle name="常规 4 2 2 11 2 2 2" xfId="7509"/>
    <cellStyle name="常规 4 2 2 11 2 2 2 2" xfId="7511"/>
    <cellStyle name="常规 4 2 2 11 2 2 2 2 2" xfId="1068"/>
    <cellStyle name="常规 4 2 2 11 2 2 2 2 2 2" xfId="4948"/>
    <cellStyle name="常规 4 2 2 11 2 2 2 2 2 2 2" xfId="4956"/>
    <cellStyle name="常规 4 2 2 11 2 2 2 2 2 2 2 2" xfId="4722"/>
    <cellStyle name="常规 4 2 2 11 2 2 2 2 2 2 3" xfId="16197"/>
    <cellStyle name="常规 4 2 2 11 2 2 2 2 2 2 4" xfId="16199"/>
    <cellStyle name="常规 4 2 2 11 2 2 2 2 2 3" xfId="4960"/>
    <cellStyle name="常规 4 2 2 11 2 2 2 2 2 3 2" xfId="16200"/>
    <cellStyle name="常规 4 2 2 11 2 2 2 2 2 4" xfId="4966"/>
    <cellStyle name="常规 4 2 2 11 2 2 2 2 2 5" xfId="16201"/>
    <cellStyle name="常规 4 2 2 11 2 2 2 2 3" xfId="4975"/>
    <cellStyle name="常规 4 2 2 11 2 2 2 2 3 2" xfId="4979"/>
    <cellStyle name="常规 4 2 2 11 2 2 2 2 3 2 2" xfId="16203"/>
    <cellStyle name="常规 4 2 2 11 2 2 2 2 3 3" xfId="16204"/>
    <cellStyle name="常规 4 2 2 11 2 2 2 2 3 4" xfId="16206"/>
    <cellStyle name="常规 4 2 2 11 2 2 2 2 4" xfId="4555"/>
    <cellStyle name="常规 4 2 2 11 2 2 2 2 4 2" xfId="806"/>
    <cellStyle name="常规 4 2 2 11 2 2 2 2 5" xfId="4986"/>
    <cellStyle name="常规 4 2 2 11 2 2 2 2 6" xfId="7506"/>
    <cellStyle name="常规 4 2 2 11 2 2 2 3" xfId="772"/>
    <cellStyle name="常规 4 2 2 11 2 2 2 3 2" xfId="1121"/>
    <cellStyle name="常规 4 2 2 11 2 2 2 3 2 2" xfId="75"/>
    <cellStyle name="常规 4 2 2 11 2 2 2 3 2 2 2" xfId="16208"/>
    <cellStyle name="常规 4 2 2 11 2 2 2 3 2 3" xfId="1258"/>
    <cellStyle name="常规 4 2 2 11 2 2 2 3 2 4" xfId="1263"/>
    <cellStyle name="常规 4 2 2 11 2 2 2 3 3" xfId="225"/>
    <cellStyle name="常规 4 2 2 11 2 2 2 3 3 2" xfId="16209"/>
    <cellStyle name="常规 4 2 2 11 2 2 2 3 4" xfId="1281"/>
    <cellStyle name="常规 4 2 2 11 2 2 2 3 5" xfId="1293"/>
    <cellStyle name="常规 4 2 2 11 2 2 2 4" xfId="986"/>
    <cellStyle name="常规 4 2 2 11 2 2 2 4 2" xfId="1861"/>
    <cellStyle name="常规 4 2 2 11 2 2 2 4 2 2" xfId="16213"/>
    <cellStyle name="常规 4 2 2 11 2 2 2 4 3" xfId="16216"/>
    <cellStyle name="常规 4 2 2 11 2 2 2 4 4" xfId="1903"/>
    <cellStyle name="常规 4 2 2 11 2 2 2 5" xfId="998"/>
    <cellStyle name="常规 4 2 2 11 2 2 2 5 2" xfId="16221"/>
    <cellStyle name="常规 4 2 2 11 2 2 2 6" xfId="3503"/>
    <cellStyle name="常规 4 2 2 11 2 2 2 7" xfId="16223"/>
    <cellStyle name="常规 4 2 2 11 2 2 3" xfId="7513"/>
    <cellStyle name="常规 4 2 2 11 2 2 3 2" xfId="7515"/>
    <cellStyle name="常规 4 2 2 11 2 2 3 2 2" xfId="5055"/>
    <cellStyle name="常规 4 2 2 11 2 2 3 2 2 2" xfId="5060"/>
    <cellStyle name="常规 4 2 2 11 2 2 3 2 2 2 2" xfId="16224"/>
    <cellStyle name="常规 4 2 2 11 2 2 3 2 2 3" xfId="16225"/>
    <cellStyle name="常规 4 2 2 11 2 2 3 2 2 4" xfId="16226"/>
    <cellStyle name="常规 4 2 2 11 2 2 3 2 3" xfId="5067"/>
    <cellStyle name="常规 4 2 2 11 2 2 3 2 3 2" xfId="16227"/>
    <cellStyle name="常规 4 2 2 11 2 2 3 2 4" xfId="5076"/>
    <cellStyle name="常规 4 2 2 11 2 2 3 2 5" xfId="16229"/>
    <cellStyle name="常规 4 2 2 11 2 2 3 3" xfId="835"/>
    <cellStyle name="常规 4 2 2 11 2 2 3 3 2" xfId="1152"/>
    <cellStyle name="常规 4 2 2 11 2 2 3 3 2 2" xfId="336"/>
    <cellStyle name="常规 4 2 2 11 2 2 3 3 3" xfId="1316"/>
    <cellStyle name="常规 4 2 2 11 2 2 3 3 4" xfId="1320"/>
    <cellStyle name="常规 4 2 2 11 2 2 3 4" xfId="1326"/>
    <cellStyle name="常规 4 2 2 11 2 2 3 4 2" xfId="16233"/>
    <cellStyle name="常规 4 2 2 11 2 2 3 5" xfId="1329"/>
    <cellStyle name="常规 4 2 2 11 2 2 3 6" xfId="16235"/>
    <cellStyle name="常规 4 2 2 11 2 2 4" xfId="7517"/>
    <cellStyle name="常规 4 2 2 11 2 2 4 2" xfId="7519"/>
    <cellStyle name="常规 4 2 2 11 2 2 4 2 2" xfId="5128"/>
    <cellStyle name="常规 4 2 2 11 2 2 4 2 2 2" xfId="16237"/>
    <cellStyle name="常规 4 2 2 11 2 2 4 2 3" xfId="16238"/>
    <cellStyle name="常规 4 2 2 11 2 2 4 2 4" xfId="16240"/>
    <cellStyle name="常规 4 2 2 11 2 2 4 3" xfId="850"/>
    <cellStyle name="常规 4 2 2 11 2 2 4 3 2" xfId="1348"/>
    <cellStyle name="常规 4 2 2 11 2 2 4 4" xfId="1367"/>
    <cellStyle name="常规 4 2 2 11 2 2 4 5" xfId="1374"/>
    <cellStyle name="常规 4 2 2 11 2 2 5" xfId="7521"/>
    <cellStyle name="常规 4 2 2 11 2 2 5 2" xfId="7526"/>
    <cellStyle name="常规 4 2 2 11 2 2 5 2 2" xfId="16243"/>
    <cellStyle name="常规 4 2 2 11 2 2 5 3" xfId="16246"/>
    <cellStyle name="常规 4 2 2 11 2 2 5 4" xfId="16249"/>
    <cellStyle name="常规 4 2 2 11 2 2 6" xfId="7527"/>
    <cellStyle name="常规 4 2 2 11 2 2 6 2" xfId="16253"/>
    <cellStyle name="常规 4 2 2 11 2 2 7" xfId="5384"/>
    <cellStyle name="常规 4 2 2 11 2 2 8" xfId="16254"/>
    <cellStyle name="常规 4 2 2 11 2 3" xfId="16255"/>
    <cellStyle name="常规 4 2 2 11 2 3 2" xfId="7550"/>
    <cellStyle name="常规 4 2 2 11 2 3 2 2" xfId="7552"/>
    <cellStyle name="常规 4 2 2 11 2 3 2 2 2" xfId="5431"/>
    <cellStyle name="常规 4 2 2 11 2 3 2 2 2 2" xfId="6483"/>
    <cellStyle name="常规 4 2 2 11 2 3 2 2 2 2 2" xfId="16256"/>
    <cellStyle name="常规 4 2 2 11 2 3 2 2 2 3" xfId="16258"/>
    <cellStyle name="常规 4 2 2 11 2 3 2 2 2 4" xfId="16259"/>
    <cellStyle name="常规 4 2 2 11 2 3 2 2 3" xfId="5448"/>
    <cellStyle name="常规 4 2 2 11 2 3 2 2 3 2" xfId="16261"/>
    <cellStyle name="常规 4 2 2 11 2 3 2 2 4" xfId="4873"/>
    <cellStyle name="常规 4 2 2 11 2 3 2 2 5" xfId="16262"/>
    <cellStyle name="常规 4 2 2 11 2 3 2 3" xfId="7554"/>
    <cellStyle name="常规 4 2 2 11 2 3 2 3 2" xfId="5471"/>
    <cellStyle name="常规 4 2 2 11 2 3 2 3 2 2" xfId="16263"/>
    <cellStyle name="常规 4 2 2 11 2 3 2 3 3" xfId="16264"/>
    <cellStyle name="常规 4 2 2 11 2 3 2 3 4" xfId="16265"/>
    <cellStyle name="常规 4 2 2 11 2 3 2 4" xfId="7300"/>
    <cellStyle name="常规 4 2 2 11 2 3 2 4 2" xfId="8344"/>
    <cellStyle name="常规 4 2 2 11 2 3 2 5" xfId="2114"/>
    <cellStyle name="常规 4 2 2 11 2 3 2 6" xfId="8347"/>
    <cellStyle name="常规 4 2 2 11 2 3 3" xfId="7556"/>
    <cellStyle name="常规 4 2 2 11 2 3 3 2" xfId="7558"/>
    <cellStyle name="常规 4 2 2 11 2 3 3 2 2" xfId="5493"/>
    <cellStyle name="常规 4 2 2 11 2 3 3 2 2 2" xfId="16267"/>
    <cellStyle name="常规 4 2 2 11 2 3 3 2 3" xfId="16268"/>
    <cellStyle name="常规 4 2 2 11 2 3 3 2 4" xfId="16270"/>
    <cellStyle name="常规 4 2 2 11 2 3 3 3" xfId="7560"/>
    <cellStyle name="常规 4 2 2 11 2 3 3 3 2" xfId="16271"/>
    <cellStyle name="常规 4 2 2 11 2 3 3 4" xfId="7206"/>
    <cellStyle name="常规 4 2 2 11 2 3 3 5" xfId="16272"/>
    <cellStyle name="常规 4 2 2 11 2 3 4" xfId="7562"/>
    <cellStyle name="常规 4 2 2 11 2 3 4 2" xfId="7564"/>
    <cellStyle name="常规 4 2 2 11 2 3 4 2 2" xfId="16273"/>
    <cellStyle name="常规 4 2 2 11 2 3 4 3" xfId="16274"/>
    <cellStyle name="常规 4 2 2 11 2 3 4 4" xfId="6201"/>
    <cellStyle name="常规 4 2 2 11 2 3 5" xfId="7566"/>
    <cellStyle name="常规 4 2 2 11 2 3 5 2" xfId="16277"/>
    <cellStyle name="常规 4 2 2 11 2 3 6" xfId="7568"/>
    <cellStyle name="常规 4 2 2 11 2 3 7" xfId="16278"/>
    <cellStyle name="常规 4 2 2 11 2 4" xfId="16279"/>
    <cellStyle name="常规 4 2 2 11 2 4 2" xfId="2756"/>
    <cellStyle name="常规 4 2 2 11 2 4 2 2" xfId="1661"/>
    <cellStyle name="常规 4 2 2 11 2 4 2 2 2" xfId="5818"/>
    <cellStyle name="常规 4 2 2 11 2 4 2 2 2 2" xfId="16280"/>
    <cellStyle name="常规 4 2 2 11 2 4 2 2 3" xfId="16283"/>
    <cellStyle name="常规 4 2 2 11 2 4 2 2 4" xfId="16212"/>
    <cellStyle name="常规 4 2 2 11 2 4 2 3" xfId="1667"/>
    <cellStyle name="常规 4 2 2 11 2 4 2 3 2" xfId="16284"/>
    <cellStyle name="常规 4 2 2 11 2 4 2 4" xfId="7361"/>
    <cellStyle name="常规 4 2 2 11 2 4 2 5" xfId="16285"/>
    <cellStyle name="常规 4 2 2 11 2 4 3" xfId="2760"/>
    <cellStyle name="常规 4 2 2 11 2 4 3 2" xfId="4660"/>
    <cellStyle name="常规 4 2 2 11 2 4 3 2 2" xfId="16286"/>
    <cellStyle name="常规 4 2 2 11 2 4 3 3" xfId="16287"/>
    <cellStyle name="常规 4 2 2 11 2 4 3 4" xfId="16288"/>
    <cellStyle name="常规 4 2 2 11 2 4 4" xfId="2766"/>
    <cellStyle name="常规 4 2 2 11 2 4 4 2" xfId="16289"/>
    <cellStyle name="常规 4 2 2 11 2 4 5" xfId="6351"/>
    <cellStyle name="常规 4 2 2 11 2 4 6" xfId="16291"/>
    <cellStyle name="常规 4 2 2 11 2 5" xfId="16292"/>
    <cellStyle name="常规 4 2 2 11 2 5 2" xfId="7576"/>
    <cellStyle name="常规 4 2 2 11 2 5 2 2" xfId="7580"/>
    <cellStyle name="常规 4 2 2 11 2 5 2 2 2" xfId="15507"/>
    <cellStyle name="常规 4 2 2 11 2 5 2 3" xfId="16297"/>
    <cellStyle name="常规 4 2 2 11 2 5 2 4" xfId="16299"/>
    <cellStyle name="常规 4 2 2 11 2 5 3" xfId="6362"/>
    <cellStyle name="常规 4 2 2 11 2 5 3 2" xfId="12845"/>
    <cellStyle name="常规 4 2 2 11 2 5 4" xfId="6369"/>
    <cellStyle name="常规 4 2 2 11 2 5 5" xfId="12854"/>
    <cellStyle name="常规 4 2 2 11 2 6" xfId="16300"/>
    <cellStyle name="常规 4 2 2 11 2 6 2" xfId="7590"/>
    <cellStyle name="常规 4 2 2 11 2 6 2 2" xfId="16305"/>
    <cellStyle name="常规 4 2 2 11 2 6 3" xfId="6383"/>
    <cellStyle name="常规 4 2 2 11 2 6 4" xfId="12864"/>
    <cellStyle name="常规 4 2 2 11 2 7" xfId="16306"/>
    <cellStyle name="常规 4 2 2 11 2 7 2" xfId="6758"/>
    <cellStyle name="常规 4 2 2 11 2 8" xfId="16309"/>
    <cellStyle name="常规 4 2 2 11 2 9" xfId="16315"/>
    <cellStyle name="常规 4 2 2 11 3" xfId="2647"/>
    <cellStyle name="常规 4 2 2 11 3 2" xfId="2462"/>
    <cellStyle name="常规 4 2 2 11 3 2 2" xfId="7688"/>
    <cellStyle name="常规 4 2 2 11 3 2 2 2" xfId="7691"/>
    <cellStyle name="常规 4 2 2 11 3 2 2 2 2" xfId="6348"/>
    <cellStyle name="常规 4 2 2 11 3 2 2 2 2 2" xfId="4790"/>
    <cellStyle name="常规 4 2 2 11 3 2 2 2 2 2 2" xfId="13359"/>
    <cellStyle name="常规 4 2 2 11 3 2 2 2 2 3" xfId="4799"/>
    <cellStyle name="常规 4 2 2 11 3 2 2 2 2 4" xfId="13363"/>
    <cellStyle name="常规 4 2 2 11 3 2 2 2 3" xfId="13365"/>
    <cellStyle name="常规 4 2 2 11 3 2 2 2 3 2" xfId="4820"/>
    <cellStyle name="常规 4 2 2 11 3 2 2 2 4" xfId="7270"/>
    <cellStyle name="常规 4 2 2 11 3 2 2 2 5" xfId="13368"/>
    <cellStyle name="常规 4 2 2 11 3 2 2 3" xfId="7693"/>
    <cellStyle name="常规 4 2 2 11 3 2 2 3 2" xfId="13381"/>
    <cellStyle name="常规 4 2 2 11 3 2 2 3 2 2" xfId="1206"/>
    <cellStyle name="常规 4 2 2 11 3 2 2 3 3" xfId="13383"/>
    <cellStyle name="常规 4 2 2 11 3 2 2 3 4" xfId="13385"/>
    <cellStyle name="常规 4 2 2 11 3 2 2 4" xfId="7696"/>
    <cellStyle name="常规 4 2 2 11 3 2 2 4 2" xfId="13410"/>
    <cellStyle name="常规 4 2 2 11 3 2 2 5" xfId="16317"/>
    <cellStyle name="常规 4 2 2 11 3 2 2 6" xfId="16320"/>
    <cellStyle name="常规 4 2 2 11 3 2 3" xfId="7699"/>
    <cellStyle name="常规 4 2 2 11 3 2 3 2" xfId="889"/>
    <cellStyle name="常规 4 2 2 11 3 2 3 2 2" xfId="13461"/>
    <cellStyle name="常规 4 2 2 11 3 2 3 2 2 2" xfId="4971"/>
    <cellStyle name="常规 4 2 2 11 3 2 3 2 3" xfId="13463"/>
    <cellStyle name="常规 4 2 2 11 3 2 3 2 4" xfId="13465"/>
    <cellStyle name="常规 4 2 2 11 3 2 3 3" xfId="16321"/>
    <cellStyle name="常规 4 2 2 11 3 2 3 3 2" xfId="13472"/>
    <cellStyle name="常规 4 2 2 11 3 2 3 4" xfId="16323"/>
    <cellStyle name="常规 4 2 2 11 3 2 3 5" xfId="16324"/>
    <cellStyle name="常规 4 2 2 11 3 2 4" xfId="3335"/>
    <cellStyle name="常规 4 2 2 11 3 2 4 2" xfId="16325"/>
    <cellStyle name="常规 4 2 2 11 3 2 4 2 2" xfId="12279"/>
    <cellStyle name="常规 4 2 2 11 3 2 4 3" xfId="16326"/>
    <cellStyle name="常规 4 2 2 11 3 2 4 4" xfId="16327"/>
    <cellStyle name="常规 4 2 2 11 3 2 5" xfId="895"/>
    <cellStyle name="常规 4 2 2 11 3 2 5 2" xfId="16330"/>
    <cellStyle name="常规 4 2 2 11 3 2 6" xfId="16331"/>
    <cellStyle name="常规 4 2 2 11 3 2 7" xfId="16332"/>
    <cellStyle name="常规 4 2 2 11 3 3" xfId="16333"/>
    <cellStyle name="常规 4 2 2 11 3 3 2" xfId="7712"/>
    <cellStyle name="常规 4 2 2 11 3 3 2 2" xfId="1739"/>
    <cellStyle name="常规 4 2 2 11 3 3 2 2 2" xfId="13561"/>
    <cellStyle name="常规 4 2 2 11 3 3 2 2 2 2" xfId="3194"/>
    <cellStyle name="常规 4 2 2 11 3 3 2 2 3" xfId="13563"/>
    <cellStyle name="常规 4 2 2 11 3 3 2 2 4" xfId="13565"/>
    <cellStyle name="常规 4 2 2 11 3 3 2 3" xfId="16334"/>
    <cellStyle name="常规 4 2 2 11 3 3 2 3 2" xfId="13576"/>
    <cellStyle name="常规 4 2 2 11 3 3 2 4" xfId="8365"/>
    <cellStyle name="常规 4 2 2 11 3 3 2 5" xfId="16335"/>
    <cellStyle name="常规 4 2 2 11 3 3 3" xfId="7714"/>
    <cellStyle name="常规 4 2 2 11 3 3 3 2" xfId="16336"/>
    <cellStyle name="常规 4 2 2 11 3 3 3 2 2" xfId="968"/>
    <cellStyle name="常规 4 2 2 11 3 3 3 3" xfId="16337"/>
    <cellStyle name="常规 4 2 2 11 3 3 3 4" xfId="16338"/>
    <cellStyle name="常规 4 2 2 11 3 3 4" xfId="7604"/>
    <cellStyle name="常规 4 2 2 11 3 3 4 2" xfId="16339"/>
    <cellStyle name="常规 4 2 2 11 3 3 5" xfId="16340"/>
    <cellStyle name="常规 4 2 2 11 3 3 6" xfId="912"/>
    <cellStyle name="常规 4 2 2 11 3 4" xfId="16341"/>
    <cellStyle name="常规 4 2 2 11 3 4 2" xfId="7721"/>
    <cellStyle name="常规 4 2 2 11 3 4 2 2" xfId="16342"/>
    <cellStyle name="常规 4 2 2 11 3 4 2 2 2" xfId="13658"/>
    <cellStyle name="常规 4 2 2 11 3 4 2 3" xfId="16343"/>
    <cellStyle name="常规 4 2 2 11 3 4 2 4" xfId="16344"/>
    <cellStyle name="常规 4 2 2 11 3 4 3" xfId="6391"/>
    <cellStyle name="常规 4 2 2 11 3 4 3 2" xfId="16345"/>
    <cellStyle name="常规 4 2 2 11 3 4 4" xfId="16346"/>
    <cellStyle name="常规 4 2 2 11 3 4 5" xfId="16347"/>
    <cellStyle name="常规 4 2 2 11 3 5" xfId="16348"/>
    <cellStyle name="常规 4 2 2 11 3 5 2" xfId="7728"/>
    <cellStyle name="常规 4 2 2 11 3 5 2 2" xfId="16354"/>
    <cellStyle name="常规 4 2 2 11 3 5 3" xfId="12879"/>
    <cellStyle name="常规 4 2 2 11 3 5 4" xfId="8610"/>
    <cellStyle name="常规 4 2 2 11 3 6" xfId="16355"/>
    <cellStyle name="常规 4 2 2 11 3 6 2" xfId="16359"/>
    <cellStyle name="常规 4 2 2 11 3 7" xfId="16360"/>
    <cellStyle name="常规 4 2 2 11 3 8" xfId="16364"/>
    <cellStyle name="常规 4 2 2 11 4" xfId="16365"/>
    <cellStyle name="常规 4 2 2 11 4 2" xfId="16366"/>
    <cellStyle name="常规 4 2 2 11 4 2 2" xfId="7846"/>
    <cellStyle name="常规 4 2 2 11 4 2 2 2" xfId="7848"/>
    <cellStyle name="常规 4 2 2 11 4 2 2 2 2" xfId="7853"/>
    <cellStyle name="常规 4 2 2 11 4 2 2 2 2 2" xfId="7496"/>
    <cellStyle name="常规 4 2 2 11 4 2 2 2 3" xfId="13913"/>
    <cellStyle name="常规 4 2 2 11 4 2 2 2 4" xfId="16367"/>
    <cellStyle name="常规 4 2 2 11 4 2 2 3" xfId="7855"/>
    <cellStyle name="常规 4 2 2 11 4 2 2 3 2" xfId="13924"/>
    <cellStyle name="常规 4 2 2 11 4 2 2 4" xfId="7859"/>
    <cellStyle name="常规 4 2 2 11 4 2 2 5" xfId="16368"/>
    <cellStyle name="常规 4 2 2 11 4 2 3" xfId="7861"/>
    <cellStyle name="常规 4 2 2 11 4 2 3 2" xfId="7863"/>
    <cellStyle name="常规 4 2 2 11 4 2 3 2 2" xfId="13964"/>
    <cellStyle name="常规 4 2 2 11 4 2 3 3" xfId="16369"/>
    <cellStyle name="常规 4 2 2 11 4 2 3 4" xfId="16370"/>
    <cellStyle name="常规 4 2 2 11 4 2 4" xfId="7865"/>
    <cellStyle name="常规 4 2 2 11 4 2 4 2" xfId="16371"/>
    <cellStyle name="常规 4 2 2 11 4 2 5" xfId="7867"/>
    <cellStyle name="常规 4 2 2 11 4 2 6" xfId="16372"/>
    <cellStyle name="常规 4 2 2 11 4 3" xfId="16373"/>
    <cellStyle name="常规 4 2 2 11 4 3 2" xfId="7904"/>
    <cellStyle name="常规 4 2 2 11 4 3 2 2" xfId="7906"/>
    <cellStyle name="常规 4 2 2 11 4 3 2 2 2" xfId="14013"/>
    <cellStyle name="常规 4 2 2 11 4 3 2 3" xfId="16374"/>
    <cellStyle name="常规 4 2 2 11 4 3 2 4" xfId="16376"/>
    <cellStyle name="常规 4 2 2 11 4 3 3" xfId="7908"/>
    <cellStyle name="常规 4 2 2 11 4 3 3 2" xfId="16377"/>
    <cellStyle name="常规 4 2 2 11 4 3 4" xfId="7910"/>
    <cellStyle name="常规 4 2 2 11 4 3 5" xfId="16378"/>
    <cellStyle name="常规 4 2 2 11 4 4" xfId="16380"/>
    <cellStyle name="常规 4 2 2 11 4 4 2" xfId="7927"/>
    <cellStyle name="常规 4 2 2 11 4 4 2 2" xfId="16383"/>
    <cellStyle name="常规 4 2 2 11 4 4 3" xfId="7930"/>
    <cellStyle name="常规 4 2 2 11 4 4 4" xfId="16385"/>
    <cellStyle name="常规 4 2 2 11 4 5" xfId="16386"/>
    <cellStyle name="常规 4 2 2 11 4 5 2" xfId="4042"/>
    <cellStyle name="常规 4 2 2 11 4 6" xfId="16392"/>
    <cellStyle name="常规 4 2 2 11 4 7" xfId="16395"/>
    <cellStyle name="常规 4 2 2 11 5" xfId="7438"/>
    <cellStyle name="常规 4 2 2 11 5 2" xfId="16396"/>
    <cellStyle name="常规 4 2 2 11 5 2 2" xfId="8029"/>
    <cellStyle name="常规 4 2 2 11 5 2 2 2" xfId="8031"/>
    <cellStyle name="常规 4 2 2 11 5 2 2 2 2" xfId="14212"/>
    <cellStyle name="常规 4 2 2 11 5 2 2 3" xfId="16397"/>
    <cellStyle name="常规 4 2 2 11 5 2 2 4" xfId="16398"/>
    <cellStyle name="常规 4 2 2 11 5 2 3" xfId="8033"/>
    <cellStyle name="常规 4 2 2 11 5 2 3 2" xfId="16399"/>
    <cellStyle name="常规 4 2 2 11 5 2 4" xfId="8035"/>
    <cellStyle name="常规 4 2 2 11 5 2 5" xfId="16400"/>
    <cellStyle name="常规 4 2 2 11 5 3" xfId="16401"/>
    <cellStyle name="常规 4 2 2 11 5 3 2" xfId="8051"/>
    <cellStyle name="常规 4 2 2 11 5 3 2 2" xfId="16402"/>
    <cellStyle name="常规 4 2 2 11 5 3 3" xfId="8053"/>
    <cellStyle name="常规 4 2 2 11 5 3 4" xfId="16403"/>
    <cellStyle name="常规 4 2 2 11 5 4" xfId="16405"/>
    <cellStyle name="常规 4 2 2 11 5 4 2" xfId="8065"/>
    <cellStyle name="常规 4 2 2 11 5 5" xfId="16410"/>
    <cellStyle name="常规 4 2 2 11 5 6" xfId="14522"/>
    <cellStyle name="常规 4 2 2 11 6" xfId="16411"/>
    <cellStyle name="常规 4 2 2 11 6 2" xfId="16412"/>
    <cellStyle name="常规 4 2 2 11 6 2 2" xfId="8129"/>
    <cellStyle name="常规 4 2 2 11 6 2 2 2" xfId="8482"/>
    <cellStyle name="常规 4 2 2 11 6 2 3" xfId="8131"/>
    <cellStyle name="常规 4 2 2 11 6 2 4" xfId="16413"/>
    <cellStyle name="常规 4 2 2 11 6 3" xfId="16414"/>
    <cellStyle name="常规 4 2 2 11 6 3 2" xfId="8143"/>
    <cellStyle name="常规 4 2 2 11 6 4" xfId="16416"/>
    <cellStyle name="常规 4 2 2 11 6 5" xfId="16420"/>
    <cellStyle name="常规 4 2 2 11 7" xfId="16421"/>
    <cellStyle name="常规 4 2 2 11 7 2" xfId="16422"/>
    <cellStyle name="常规 4 2 2 11 7 2 2" xfId="8194"/>
    <cellStyle name="常规 4 2 2 11 7 3" xfId="16423"/>
    <cellStyle name="常规 4 2 2 11 7 4" xfId="16424"/>
    <cellStyle name="常规 4 2 2 11 8" xfId="16425"/>
    <cellStyle name="常规 4 2 2 11 8 2" xfId="16426"/>
    <cellStyle name="常规 4 2 2 11 9" xfId="16427"/>
    <cellStyle name="常规 4 2 2 12" xfId="16428"/>
    <cellStyle name="常规 4 2 2 12 2" xfId="16429"/>
    <cellStyle name="常规 4 2 2 12 2 2" xfId="16430"/>
    <cellStyle name="常规 4 2 2 12 2 2 2" xfId="8373"/>
    <cellStyle name="常规 4 2 2 12 2 2 2 2" xfId="8376"/>
    <cellStyle name="常规 4 2 2 12 2 2 2 2 2" xfId="8379"/>
    <cellStyle name="常规 4 2 2 12 2 2 2 2 2 2" xfId="16375"/>
    <cellStyle name="常规 4 2 2 12 2 2 2 2 3" xfId="16431"/>
    <cellStyle name="常规 4 2 2 12 2 2 2 2 4" xfId="16432"/>
    <cellStyle name="常规 4 2 2 12 2 2 2 3" xfId="8382"/>
    <cellStyle name="常规 4 2 2 12 2 2 2 3 2" xfId="16433"/>
    <cellStyle name="常规 4 2 2 12 2 2 2 4" xfId="4349"/>
    <cellStyle name="常规 4 2 2 12 2 2 2 5" xfId="4360"/>
    <cellStyle name="常规 4 2 2 12 2 2 3" xfId="8385"/>
    <cellStyle name="常规 4 2 2 12 2 2 3 2" xfId="8389"/>
    <cellStyle name="常规 4 2 2 12 2 2 3 2 2" xfId="16437"/>
    <cellStyle name="常规 4 2 2 12 2 2 3 3" xfId="16440"/>
    <cellStyle name="常规 4 2 2 12 2 2 3 4" xfId="4368"/>
    <cellStyle name="常规 4 2 2 12 2 2 4" xfId="8393"/>
    <cellStyle name="常规 4 2 2 12 2 2 4 2" xfId="16443"/>
    <cellStyle name="常规 4 2 2 12 2 2 5" xfId="8398"/>
    <cellStyle name="常规 4 2 2 12 2 2 6" xfId="16447"/>
    <cellStyle name="常规 4 2 2 12 2 3" xfId="16449"/>
    <cellStyle name="常规 4 2 2 12 2 3 2" xfId="8405"/>
    <cellStyle name="常规 4 2 2 12 2 3 2 2" xfId="2793"/>
    <cellStyle name="常规 4 2 2 12 2 3 2 2 2" xfId="4557"/>
    <cellStyle name="常规 4 2 2 12 2 3 2 3" xfId="4563"/>
    <cellStyle name="常规 4 2 2 12 2 3 2 4" xfId="4418"/>
    <cellStyle name="常规 4 2 2 12 2 3 3" xfId="8409"/>
    <cellStyle name="常规 4 2 2 12 2 3 3 2" xfId="2829"/>
    <cellStyle name="常规 4 2 2 12 2 3 4" xfId="8413"/>
    <cellStyle name="常规 4 2 2 12 2 3 5" xfId="16452"/>
    <cellStyle name="常规 4 2 2 12 2 4" xfId="16453"/>
    <cellStyle name="常规 4 2 2 12 2 4 2" xfId="8419"/>
    <cellStyle name="常规 4 2 2 12 2 4 2 2" xfId="3062"/>
    <cellStyle name="常规 4 2 2 12 2 4 3" xfId="8422"/>
    <cellStyle name="常规 4 2 2 12 2 4 4" xfId="16455"/>
    <cellStyle name="常规 4 2 2 12 2 5" xfId="16456"/>
    <cellStyle name="常规 4 2 2 12 2 5 2" xfId="8427"/>
    <cellStyle name="常规 4 2 2 12 2 6" xfId="16459"/>
    <cellStyle name="常规 4 2 2 12 2 7" xfId="6174"/>
    <cellStyle name="常规 4 2 2 12 3" xfId="9493"/>
    <cellStyle name="常规 4 2 2 12 3 2" xfId="16464"/>
    <cellStyle name="常规 4 2 2 12 3 2 2" xfId="2834"/>
    <cellStyle name="常规 4 2 2 12 3 2 2 2" xfId="8654"/>
    <cellStyle name="常规 4 2 2 12 3 2 2 2 2" xfId="8658"/>
    <cellStyle name="常规 4 2 2 12 3 2 2 3" xfId="8663"/>
    <cellStyle name="常规 4 2 2 12 3 2 2 4" xfId="4512"/>
    <cellStyle name="常规 4 2 2 12 3 2 3" xfId="8667"/>
    <cellStyle name="常规 4 2 2 12 3 2 3 2" xfId="8672"/>
    <cellStyle name="常规 4 2 2 12 3 2 4" xfId="8677"/>
    <cellStyle name="常规 4 2 2 12 3 2 5" xfId="8682"/>
    <cellStyle name="常规 4 2 2 12 3 3" xfId="7260"/>
    <cellStyle name="常规 4 2 2 12 3 3 2" xfId="7266"/>
    <cellStyle name="常规 4 2 2 12 3 3 2 2" xfId="1896"/>
    <cellStyle name="常规 4 2 2 12 3 3 3" xfId="1985"/>
    <cellStyle name="常规 4 2 2 12 3 3 4" xfId="2018"/>
    <cellStyle name="常规 4 2 2 12 3 4" xfId="7283"/>
    <cellStyle name="常规 4 2 2 12 3 4 2" xfId="7289"/>
    <cellStyle name="常规 4 2 2 12 3 5" xfId="7296"/>
    <cellStyle name="常规 4 2 2 12 3 6" xfId="7198"/>
    <cellStyle name="常规 4 2 2 12 4" xfId="16465"/>
    <cellStyle name="常规 4 2 2 12 4 2" xfId="14114"/>
    <cellStyle name="常规 4 2 2 12 4 2 2" xfId="8815"/>
    <cellStyle name="常规 4 2 2 12 4 2 2 2" xfId="8819"/>
    <cellStyle name="常规 4 2 2 12 4 2 3" xfId="8823"/>
    <cellStyle name="常规 4 2 2 12 4 2 4" xfId="8827"/>
    <cellStyle name="常规 4 2 2 12 4 3" xfId="7322"/>
    <cellStyle name="常规 4 2 2 12 4 3 2" xfId="7329"/>
    <cellStyle name="常规 4 2 2 12 4 4" xfId="7346"/>
    <cellStyle name="常规 4 2 2 12 4 5" xfId="7356"/>
    <cellStyle name="常规 4 2 2 12 5" xfId="16466"/>
    <cellStyle name="常规 4 2 2 12 5 2" xfId="16467"/>
    <cellStyle name="常规 4 2 2 12 5 2 2" xfId="8891"/>
    <cellStyle name="常规 4 2 2 12 5 3" xfId="7365"/>
    <cellStyle name="常规 4 2 2 12 5 4" xfId="7379"/>
    <cellStyle name="常规 4 2 2 12 6" xfId="16468"/>
    <cellStyle name="常规 4 2 2 12 6 2" xfId="16470"/>
    <cellStyle name="常规 4 2 2 12 7" xfId="16471"/>
    <cellStyle name="常规 4 2 2 12 8" xfId="16472"/>
    <cellStyle name="常规 4 2 2 13" xfId="16473"/>
    <cellStyle name="常规 4 2 2 13 2" xfId="16474"/>
    <cellStyle name="常规 4 2 2 13 2 2" xfId="16475"/>
    <cellStyle name="常规 4 2 2 13 2 2 2" xfId="9170"/>
    <cellStyle name="常规 4 2 2 13 2 2 2 2" xfId="9174"/>
    <cellStyle name="常规 4 2 2 13 2 2 2 2 2" xfId="9178"/>
    <cellStyle name="常规 4 2 2 13 2 2 2 3" xfId="9182"/>
    <cellStyle name="常规 4 2 2 13 2 2 2 4" xfId="4717"/>
    <cellStyle name="常规 4 2 2 13 2 2 3" xfId="9186"/>
    <cellStyle name="常规 4 2 2 13 2 2 3 2" xfId="9190"/>
    <cellStyle name="常规 4 2 2 13 2 2 4" xfId="9195"/>
    <cellStyle name="常规 4 2 2 13 2 2 5" xfId="9200"/>
    <cellStyle name="常规 4 2 2 13 2 3" xfId="16476"/>
    <cellStyle name="常规 4 2 2 13 2 3 2" xfId="9207"/>
    <cellStyle name="常规 4 2 2 13 2 3 2 2" xfId="6287"/>
    <cellStyle name="常规 4 2 2 13 2 3 3" xfId="9212"/>
    <cellStyle name="常规 4 2 2 13 2 3 4" xfId="9217"/>
    <cellStyle name="常规 4 2 2 13 2 4" xfId="16477"/>
    <cellStyle name="常规 4 2 2 13 2 4 2" xfId="9225"/>
    <cellStyle name="常规 4 2 2 13 2 5" xfId="16478"/>
    <cellStyle name="常规 4 2 2 13 2 6" xfId="16481"/>
    <cellStyle name="常规 4 2 2 13 3" xfId="16484"/>
    <cellStyle name="常规 4 2 2 13 3 2" xfId="16486"/>
    <cellStyle name="常规 4 2 2 13 3 2 2" xfId="9333"/>
    <cellStyle name="常规 4 2 2 13 3 2 2 2" xfId="9336"/>
    <cellStyle name="常规 4 2 2 13 3 2 3" xfId="9341"/>
    <cellStyle name="常规 4 2 2 13 3 2 4" xfId="9345"/>
    <cellStyle name="常规 4 2 2 13 3 3" xfId="7398"/>
    <cellStyle name="常规 4 2 2 13 3 3 2" xfId="7404"/>
    <cellStyle name="常规 4 2 2 13 3 4" xfId="7410"/>
    <cellStyle name="常规 4 2 2 13 3 5" xfId="1137"/>
    <cellStyle name="常规 4 2 2 13 4" xfId="16487"/>
    <cellStyle name="常规 4 2 2 13 4 2" xfId="16488"/>
    <cellStyle name="常规 4 2 2 13 4 2 2" xfId="9415"/>
    <cellStyle name="常规 4 2 2 13 4 3" xfId="7419"/>
    <cellStyle name="常规 4 2 2 13 4 4" xfId="7427"/>
    <cellStyle name="常规 4 2 2 13 5" xfId="16489"/>
    <cellStyle name="常规 4 2 2 13 5 2" xfId="16490"/>
    <cellStyle name="常规 4 2 2 13 6" xfId="16491"/>
    <cellStyle name="常规 4 2 2 13 7" xfId="16492"/>
    <cellStyle name="常规 4 2 2 14" xfId="16493"/>
    <cellStyle name="常规 4 2 2 14 2" xfId="16494"/>
    <cellStyle name="常规 4 2 2 14 2 2" xfId="16495"/>
    <cellStyle name="常规 4 2 2 14 2 2 2" xfId="9527"/>
    <cellStyle name="常规 4 2 2 14 2 2 2 2" xfId="16497"/>
    <cellStyle name="常规 4 2 2 14 2 2 3" xfId="9531"/>
    <cellStyle name="常规 4 2 2 14 2 2 4" xfId="16500"/>
    <cellStyle name="常规 4 2 2 14 2 3" xfId="16502"/>
    <cellStyle name="常规 4 2 2 14 2 3 2" xfId="9537"/>
    <cellStyle name="常规 4 2 2 14 2 4" xfId="16503"/>
    <cellStyle name="常规 4 2 2 14 2 5" xfId="16504"/>
    <cellStyle name="常规 4 2 2 14 3" xfId="16508"/>
    <cellStyle name="常规 4 2 2 14 3 2" xfId="16509"/>
    <cellStyle name="常规 4 2 2 14 3 2 2" xfId="9571"/>
    <cellStyle name="常规 4 2 2 14 3 3" xfId="7435"/>
    <cellStyle name="常规 4 2 2 14 3 4" xfId="4034"/>
    <cellStyle name="常规 4 2 2 14 4" xfId="16510"/>
    <cellStyle name="常规 4 2 2 14 4 2" xfId="16511"/>
    <cellStyle name="常规 4 2 2 14 5" xfId="16513"/>
    <cellStyle name="常规 4 2 2 14 6" xfId="16514"/>
    <cellStyle name="常规 4 2 2 15" xfId="16515"/>
    <cellStyle name="常规 4 2 2 15 2" xfId="16517"/>
    <cellStyle name="常规 4 2 2 15 2 2" xfId="16518"/>
    <cellStyle name="常规 4 2 2 15 2 2 2" xfId="9622"/>
    <cellStyle name="常规 4 2 2 15 2 3" xfId="16519"/>
    <cellStyle name="常规 4 2 2 15 2 4" xfId="16522"/>
    <cellStyle name="常规 4 2 2 15 3" xfId="16523"/>
    <cellStyle name="常规 4 2 2 15 3 2" xfId="16524"/>
    <cellStyle name="常规 4 2 2 15 4" xfId="16525"/>
    <cellStyle name="常规 4 2 2 15 5" xfId="16526"/>
    <cellStyle name="常规 4 2 2 16" xfId="16528"/>
    <cellStyle name="常规 4 2 2 16 2" xfId="16529"/>
    <cellStyle name="常规 4 2 2 16 2 2" xfId="16530"/>
    <cellStyle name="常规 4 2 2 16 3" xfId="16531"/>
    <cellStyle name="常规 4 2 2 16 4" xfId="16532"/>
    <cellStyle name="常规 4 2 2 17" xfId="16534"/>
    <cellStyle name="常规 4 2 2 17 2" xfId="16538"/>
    <cellStyle name="常规 4 2 2 18" xfId="16540"/>
    <cellStyle name="常规 4 2 2 19" xfId="16544"/>
    <cellStyle name="常规 4 2 2 2" xfId="16545"/>
    <cellStyle name="常规 4 2 2 2 2" xfId="16546"/>
    <cellStyle name="常规 4 2 2 2 2 2" xfId="16547"/>
    <cellStyle name="常规 4 2 2 2 2 2 2" xfId="16548"/>
    <cellStyle name="常规 4 2 2 2 2 2 3" xfId="16549"/>
    <cellStyle name="常规 4 2 2 2 2 3" xfId="16550"/>
    <cellStyle name="常规 4 2 2 2 2 3 2" xfId="16551"/>
    <cellStyle name="常规 4 2 2 2 2 3 3" xfId="16552"/>
    <cellStyle name="常规 4 2 2 2 2 4" xfId="16553"/>
    <cellStyle name="常规 4 2 2 2 2 5" xfId="16554"/>
    <cellStyle name="常规 4 2 2 2 2 6" xfId="13970"/>
    <cellStyle name="常规 4 2 2 2 3" xfId="16556"/>
    <cellStyle name="常规 4 2 2 2 3 2" xfId="16558"/>
    <cellStyle name="常规 4 2 2 2 3 3" xfId="16561"/>
    <cellStyle name="常规 4 2 2 2 4" xfId="16563"/>
    <cellStyle name="常规 4 2 2 2 4 2" xfId="16565"/>
    <cellStyle name="常规 4 2 2 2 4 3" xfId="16567"/>
    <cellStyle name="常规 4 2 2 2 5" xfId="16569"/>
    <cellStyle name="常规 4 2 2 2 6" xfId="16571"/>
    <cellStyle name="常规 4 2 2 2 7" xfId="15204"/>
    <cellStyle name="常规 4 2 2 20" xfId="16516"/>
    <cellStyle name="常规 4 2 2 3" xfId="16572"/>
    <cellStyle name="常规 4 2 2 3 2" xfId="16576"/>
    <cellStyle name="常规 4 2 2 3 2 2" xfId="16578"/>
    <cellStyle name="常规 4 2 2 3 2 3" xfId="16579"/>
    <cellStyle name="常规 4 2 2 3 3" xfId="9692"/>
    <cellStyle name="常规 4 2 2 3 3 2" xfId="16581"/>
    <cellStyle name="常规 4 2 2 3 3 3" xfId="5260"/>
    <cellStyle name="常规 4 2 2 3 4" xfId="16583"/>
    <cellStyle name="常规 4 2 2 3 5" xfId="16585"/>
    <cellStyle name="常规 4 2 2 3 6" xfId="16587"/>
    <cellStyle name="常规 4 2 2 4" xfId="16588"/>
    <cellStyle name="常规 4 2 2 4 2" xfId="16590"/>
    <cellStyle name="常规 4 2 2 4 3" xfId="16592"/>
    <cellStyle name="常规 4 2 2 4 4" xfId="16594"/>
    <cellStyle name="常规 4 2 2 5" xfId="16595"/>
    <cellStyle name="常规 4 2 2 5 2" xfId="16596"/>
    <cellStyle name="常规 4 2 2 5 3" xfId="16598"/>
    <cellStyle name="常规 4 2 2 6" xfId="16600"/>
    <cellStyle name="常规 4 2 2 6 2" xfId="16603"/>
    <cellStyle name="常规 4 2 2 6 3" xfId="16605"/>
    <cellStyle name="常规 4 2 2 7" xfId="16607"/>
    <cellStyle name="常规 4 2 2 8" xfId="16610"/>
    <cellStyle name="常规 4 2 2 8 10" xfId="16612"/>
    <cellStyle name="常规 4 2 2 8 10 2" xfId="16613"/>
    <cellStyle name="常规 4 2 2 8 10 2 2" xfId="16614"/>
    <cellStyle name="常规 4 2 2 8 10 3" xfId="16615"/>
    <cellStyle name="常规 4 2 2 8 10 4" xfId="16616"/>
    <cellStyle name="常规 4 2 2 8 11" xfId="16620"/>
    <cellStyle name="常规 4 2 2 8 11 2" xfId="16622"/>
    <cellStyle name="常规 4 2 2 8 12" xfId="16624"/>
    <cellStyle name="常规 4 2 2 8 13" xfId="16626"/>
    <cellStyle name="常规 4 2 2 8 2" xfId="16629"/>
    <cellStyle name="常规 4 2 2 8 2 10" xfId="16630"/>
    <cellStyle name="常规 4 2 2 8 2 10 2" xfId="16633"/>
    <cellStyle name="常规 4 2 2 8 2 11" xfId="16635"/>
    <cellStyle name="常规 4 2 2 8 2 12" xfId="16638"/>
    <cellStyle name="常规 4 2 2 8 2 2" xfId="16642"/>
    <cellStyle name="常规 4 2 2 8 2 2 10" xfId="16646"/>
    <cellStyle name="常规 4 2 2 8 2 2 11" xfId="16650"/>
    <cellStyle name="常规 4 2 2 8 2 2 2" xfId="16651"/>
    <cellStyle name="常规 4 2 2 8 2 2 2 2" xfId="16652"/>
    <cellStyle name="常规 4 2 2 8 2 2 2 2 2" xfId="16655"/>
    <cellStyle name="常规 4 2 2 8 2 2 2 2 2 2" xfId="4246"/>
    <cellStyle name="常规 4 2 2 8 2 2 2 2 2 2 2" xfId="16656"/>
    <cellStyle name="常规 4 2 2 8 2 2 2 2 2 2 2 2" xfId="3511"/>
    <cellStyle name="常规 4 2 2 8 2 2 2 2 2 2 2 2 2" xfId="1335"/>
    <cellStyle name="常规 4 2 2 8 2 2 2 2 2 2 2 2 2 2" xfId="16040"/>
    <cellStyle name="常规 4 2 2 8 2 2 2 2 2 2 2 2 3" xfId="10530"/>
    <cellStyle name="常规 4 2 2 8 2 2 2 2 2 2 2 2 4" xfId="16043"/>
    <cellStyle name="常规 4 2 2 8 2 2 2 2 2 2 2 3" xfId="3520"/>
    <cellStyle name="常规 4 2 2 8 2 2 2 2 2 2 2 3 2" xfId="10551"/>
    <cellStyle name="常规 4 2 2 8 2 2 2 2 2 2 2 4" xfId="3526"/>
    <cellStyle name="常规 4 2 2 8 2 2 2 2 2 2 2 5" xfId="16045"/>
    <cellStyle name="常规 4 2 2 8 2 2 2 2 2 2 3" xfId="16657"/>
    <cellStyle name="常规 4 2 2 8 2 2 2 2 2 2 3 2" xfId="2129"/>
    <cellStyle name="常规 4 2 2 8 2 2 2 2 2 2 3 2 2" xfId="10606"/>
    <cellStyle name="常规 4 2 2 8 2 2 2 2 2 2 3 3" xfId="2138"/>
    <cellStyle name="常规 4 2 2 8 2 2 2 2 2 2 3 4" xfId="16059"/>
    <cellStyle name="常规 4 2 2 8 2 2 2 2 2 2 4" xfId="16658"/>
    <cellStyle name="常规 4 2 2 8 2 2 2 2 2 2 4 2" xfId="2182"/>
    <cellStyle name="常规 4 2 2 8 2 2 2 2 2 2 5" xfId="16659"/>
    <cellStyle name="常规 4 2 2 8 2 2 2 2 2 2 6" xfId="55"/>
    <cellStyle name="常规 4 2 2 8 2 2 2 2 2 3" xfId="8265"/>
    <cellStyle name="常规 4 2 2 8 2 2 2 2 2 3 2" xfId="8267"/>
    <cellStyle name="常规 4 2 2 8 2 2 2 2 2 3 2 2" xfId="459"/>
    <cellStyle name="常规 4 2 2 8 2 2 2 2 2 3 2 2 2" xfId="8271"/>
    <cellStyle name="常规 4 2 2 8 2 2 2 2 2 3 2 3" xfId="513"/>
    <cellStyle name="常规 4 2 2 8 2 2 2 2 2 3 2 4" xfId="8274"/>
    <cellStyle name="常规 4 2 2 8 2 2 2 2 2 3 3" xfId="8"/>
    <cellStyle name="常规 4 2 2 8 2 2 2 2 2 3 3 2" xfId="529"/>
    <cellStyle name="常规 4 2 2 8 2 2 2 2 2 3 4" xfId="307"/>
    <cellStyle name="常规 4 2 2 8 2 2 2 2 2 3 5" xfId="266"/>
    <cellStyle name="常规 4 2 2 8 2 2 2 2 2 4" xfId="8280"/>
    <cellStyle name="常规 4 2 2 8 2 2 2 2 2 4 2" xfId="8282"/>
    <cellStyle name="常规 4 2 2 8 2 2 2 2 2 4 2 2" xfId="4133"/>
    <cellStyle name="常规 4 2 2 8 2 2 2 2 2 4 3" xfId="3927"/>
    <cellStyle name="常规 4 2 2 8 2 2 2 2 2 4 4" xfId="8285"/>
    <cellStyle name="常规 4 2 2 8 2 2 2 2 2 5" xfId="8287"/>
    <cellStyle name="常规 4 2 2 8 2 2 2 2 2 5 2" xfId="8289"/>
    <cellStyle name="常规 4 2 2 8 2 2 2 2 2 6" xfId="8292"/>
    <cellStyle name="常规 4 2 2 8 2 2 2 2 2 7" xfId="8294"/>
    <cellStyle name="常规 4 2 2 8 2 2 2 2 3" xfId="16662"/>
    <cellStyle name="常规 4 2 2 8 2 2 2 2 3 2" xfId="16663"/>
    <cellStyle name="常规 4 2 2 8 2 2 2 2 3 2 2" xfId="16664"/>
    <cellStyle name="常规 4 2 2 8 2 2 2 2 3 2 2 2" xfId="2680"/>
    <cellStyle name="常规 4 2 2 8 2 2 2 2 3 2 2 2 2" xfId="11593"/>
    <cellStyle name="常规 4 2 2 8 2 2 2 2 3 2 2 3" xfId="16084"/>
    <cellStyle name="常规 4 2 2 8 2 2 2 2 3 2 2 4" xfId="16088"/>
    <cellStyle name="常规 4 2 2 8 2 2 2 2 3 2 3" xfId="16665"/>
    <cellStyle name="常规 4 2 2 8 2 2 2 2 3 2 3 2" xfId="16092"/>
    <cellStyle name="常规 4 2 2 8 2 2 2 2 3 2 4" xfId="16666"/>
    <cellStyle name="常规 4 2 2 8 2 2 2 2 3 2 5" xfId="16667"/>
    <cellStyle name="常规 4 2 2 8 2 2 2 2 3 3" xfId="8297"/>
    <cellStyle name="常规 4 2 2 8 2 2 2 2 3 3 2" xfId="8299"/>
    <cellStyle name="常规 4 2 2 8 2 2 2 2 3 3 2 2" xfId="8301"/>
    <cellStyle name="常规 4 2 2 8 2 2 2 2 3 3 3" xfId="7171"/>
    <cellStyle name="常规 4 2 2 8 2 2 2 2 3 3 4" xfId="8304"/>
    <cellStyle name="常规 4 2 2 8 2 2 2 2 3 4" xfId="8306"/>
    <cellStyle name="常规 4 2 2 8 2 2 2 2 3 4 2" xfId="8308"/>
    <cellStyle name="常规 4 2 2 8 2 2 2 2 3 5" xfId="4114"/>
    <cellStyle name="常规 4 2 2 8 2 2 2 2 3 6" xfId="4224"/>
    <cellStyle name="常规 4 2 2 8 2 2 2 2 4" xfId="16668"/>
    <cellStyle name="常规 4 2 2 8 2 2 2 2 4 2" xfId="16669"/>
    <cellStyle name="常规 4 2 2 8 2 2 2 2 4 2 2" xfId="16670"/>
    <cellStyle name="常规 4 2 2 8 2 2 2 2 4 2 2 2" xfId="7071"/>
    <cellStyle name="常规 4 2 2 8 2 2 2 2 4 2 3" xfId="16672"/>
    <cellStyle name="常规 4 2 2 8 2 2 2 2 4 2 4" xfId="16676"/>
    <cellStyle name="常规 4 2 2 8 2 2 2 2 4 3" xfId="8313"/>
    <cellStyle name="常规 4 2 2 8 2 2 2 2 4 3 2" xfId="8316"/>
    <cellStyle name="常规 4 2 2 8 2 2 2 2 4 4" xfId="8320"/>
    <cellStyle name="常规 4 2 2 8 2 2 2 2 4 5" xfId="4262"/>
    <cellStyle name="常规 4 2 2 8 2 2 2 2 5" xfId="16677"/>
    <cellStyle name="常规 4 2 2 8 2 2 2 2 5 2" xfId="16678"/>
    <cellStyle name="常规 4 2 2 8 2 2 2 2 5 2 2" xfId="16679"/>
    <cellStyle name="常规 4 2 2 8 2 2 2 2 5 3" xfId="8327"/>
    <cellStyle name="常规 4 2 2 8 2 2 2 2 5 4" xfId="16682"/>
    <cellStyle name="常规 4 2 2 8 2 2 2 2 6" xfId="16683"/>
    <cellStyle name="常规 4 2 2 8 2 2 2 2 6 2" xfId="16685"/>
    <cellStyle name="常规 4 2 2 8 2 2 2 2 7" xfId="16686"/>
    <cellStyle name="常规 4 2 2 8 2 2 2 2 8" xfId="16687"/>
    <cellStyle name="常规 4 2 2 8 2 2 2 3" xfId="16688"/>
    <cellStyle name="常规 4 2 2 8 2 2 2 3 2" xfId="16689"/>
    <cellStyle name="常规 4 2 2 8 2 2 2 3 2 2" xfId="16690"/>
    <cellStyle name="常规 4 2 2 8 2 2 2 3 2 2 2" xfId="16691"/>
    <cellStyle name="常规 4 2 2 8 2 2 2 3 2 2 2 2" xfId="7695"/>
    <cellStyle name="常规 4 2 2 8 2 2 2 3 2 2 2 2 2" xfId="13409"/>
    <cellStyle name="常规 4 2 2 8 2 2 2 3 2 2 2 3" xfId="16316"/>
    <cellStyle name="常规 4 2 2 8 2 2 2 3 2 2 2 4" xfId="16318"/>
    <cellStyle name="常规 4 2 2 8 2 2 2 3 2 2 3" xfId="16692"/>
    <cellStyle name="常规 4 2 2 8 2 2 2 3 2 2 3 2" xfId="16322"/>
    <cellStyle name="常规 4 2 2 8 2 2 2 3 2 2 4" xfId="16693"/>
    <cellStyle name="常规 4 2 2 8 2 2 2 3 2 2 5" xfId="16694"/>
    <cellStyle name="常规 4 2 2 8 2 2 2 3 2 3" xfId="8358"/>
    <cellStyle name="常规 4 2 2 8 2 2 2 3 2 3 2" xfId="8360"/>
    <cellStyle name="常规 4 2 2 8 2 2 2 3 2 3 2 2" xfId="8364"/>
    <cellStyle name="常规 4 2 2 8 2 2 2 3 2 3 3" xfId="1147"/>
    <cellStyle name="常规 4 2 2 8 2 2 2 3 2 3 4" xfId="1156"/>
    <cellStyle name="常规 4 2 2 8 2 2 2 3 2 4" xfId="8367"/>
    <cellStyle name="常规 4 2 2 8 2 2 2 3 2 4 2" xfId="8369"/>
    <cellStyle name="常规 4 2 2 8 2 2 2 3 2 5" xfId="8371"/>
    <cellStyle name="常规 4 2 2 8 2 2 2 3 2 6" xfId="627"/>
    <cellStyle name="常规 4 2 2 8 2 2 2 3 3" xfId="16695"/>
    <cellStyle name="常规 4 2 2 8 2 2 2 3 3 2" xfId="16696"/>
    <cellStyle name="常规 4 2 2 8 2 2 2 3 3 2 2" xfId="16697"/>
    <cellStyle name="常规 4 2 2 8 2 2 2 3 3 2 2 2" xfId="7858"/>
    <cellStyle name="常规 4 2 2 8 2 2 2 3 3 2 3" xfId="16698"/>
    <cellStyle name="常规 4 2 2 8 2 2 2 3 3 2 4" xfId="16699"/>
    <cellStyle name="常规 4 2 2 8 2 2 2 3 3 3" xfId="8375"/>
    <cellStyle name="常规 4 2 2 8 2 2 2 3 3 3 2" xfId="8378"/>
    <cellStyle name="常规 4 2 2 8 2 2 2 3 3 4" xfId="8381"/>
    <cellStyle name="常规 4 2 2 8 2 2 2 3 3 5" xfId="4348"/>
    <cellStyle name="常规 4 2 2 8 2 2 2 3 4" xfId="16700"/>
    <cellStyle name="常规 4 2 2 8 2 2 2 3 4 2" xfId="16701"/>
    <cellStyle name="常规 4 2 2 8 2 2 2 3 4 2 2" xfId="16702"/>
    <cellStyle name="常规 4 2 2 8 2 2 2 3 4 3" xfId="8388"/>
    <cellStyle name="常规 4 2 2 8 2 2 2 3 4 4" xfId="16439"/>
    <cellStyle name="常规 4 2 2 8 2 2 2 3 5" xfId="16704"/>
    <cellStyle name="常规 4 2 2 8 2 2 2 3 5 2" xfId="16705"/>
    <cellStyle name="常规 4 2 2 8 2 2 2 3 6" xfId="16707"/>
    <cellStyle name="常规 4 2 2 8 2 2 2 3 7" xfId="16709"/>
    <cellStyle name="常规 4 2 2 8 2 2 2 4" xfId="16710"/>
    <cellStyle name="常规 4 2 2 8 2 2 2 4 2" xfId="16711"/>
    <cellStyle name="常规 4 2 2 8 2 2 2 4 2 2" xfId="4505"/>
    <cellStyle name="常规 4 2 2 8 2 2 2 4 2 2 2" xfId="4507"/>
    <cellStyle name="常规 4 2 2 8 2 2 2 4 2 2 2 2" xfId="4510"/>
    <cellStyle name="常规 4 2 2 8 2 2 2 4 2 2 3" xfId="4517"/>
    <cellStyle name="常规 4 2 2 8 2 2 2 4 2 2 4" xfId="4523"/>
    <cellStyle name="常规 4 2 2 8 2 2 2 4 2 3" xfId="123"/>
    <cellStyle name="常规 4 2 2 8 2 2 2 4 2 3 2" xfId="146"/>
    <cellStyle name="常规 4 2 2 8 2 2 2 4 2 4" xfId="1174"/>
    <cellStyle name="常规 4 2 2 8 2 2 2 4 2 5" xfId="1183"/>
    <cellStyle name="常规 4 2 2 8 2 2 2 4 3" xfId="16713"/>
    <cellStyle name="常规 4 2 2 8 2 2 2 4 3 2" xfId="2786"/>
    <cellStyle name="常规 4 2 2 8 2 2 2 4 3 2 2" xfId="4549"/>
    <cellStyle name="常规 4 2 2 8 2 2 2 4 3 3" xfId="2792"/>
    <cellStyle name="常规 4 2 2 8 2 2 2 4 3 4" xfId="4562"/>
    <cellStyle name="常规 4 2 2 8 2 2 2 4 4" xfId="16716"/>
    <cellStyle name="常规 4 2 2 8 2 2 2 4 4 2" xfId="2820"/>
    <cellStyle name="常规 4 2 2 8 2 2 2 4 5" xfId="16717"/>
    <cellStyle name="常规 4 2 2 8 2 2 2 4 6" xfId="16719"/>
    <cellStyle name="常规 4 2 2 8 2 2 2 5" xfId="16720"/>
    <cellStyle name="常规 4 2 2 8 2 2 2 5 2" xfId="16721"/>
    <cellStyle name="常规 4 2 2 8 2 2 2 5 2 2" xfId="2332"/>
    <cellStyle name="常规 4 2 2 8 2 2 2 5 2 2 2" xfId="2337"/>
    <cellStyle name="常规 4 2 2 8 2 2 2 5 2 3" xfId="1199"/>
    <cellStyle name="常规 4 2 2 8 2 2 2 5 2 4" xfId="1220"/>
    <cellStyle name="常规 4 2 2 8 2 2 2 5 3" xfId="16722"/>
    <cellStyle name="常规 4 2 2 8 2 2 2 5 3 2" xfId="3057"/>
    <cellStyle name="常规 4 2 2 8 2 2 2 5 4" xfId="16723"/>
    <cellStyle name="常规 4 2 2 8 2 2 2 5 5" xfId="16724"/>
    <cellStyle name="常规 4 2 2 8 2 2 2 6" xfId="16725"/>
    <cellStyle name="常规 4 2 2 8 2 2 2 6 2" xfId="16726"/>
    <cellStyle name="常规 4 2 2 8 2 2 2 6 2 2" xfId="1111"/>
    <cellStyle name="常规 4 2 2 8 2 2 2 6 3" xfId="16727"/>
    <cellStyle name="常规 4 2 2 8 2 2 2 6 4" xfId="16728"/>
    <cellStyle name="常规 4 2 2 8 2 2 2 7" xfId="16729"/>
    <cellStyle name="常规 4 2 2 8 2 2 2 7 2" xfId="16730"/>
    <cellStyle name="常规 4 2 2 8 2 2 2 8" xfId="16731"/>
    <cellStyle name="常规 4 2 2 8 2 2 2 9" xfId="16733"/>
    <cellStyle name="常规 4 2 2 8 2 2 3" xfId="16734"/>
    <cellStyle name="常规 4 2 2 8 2 2 3 2" xfId="16735"/>
    <cellStyle name="常规 4 2 2 8 2 2 3 2 2" xfId="4205"/>
    <cellStyle name="常规 4 2 2 8 2 2 3 2 2 2" xfId="16736"/>
    <cellStyle name="常规 4 2 2 8 2 2 3 2 2 2 2" xfId="16738"/>
    <cellStyle name="常规 4 2 2 8 2 2 3 2 2 2 2 2" xfId="16742"/>
    <cellStyle name="常规 4 2 2 8 2 2 3 2 2 2 2 2 2" xfId="16745"/>
    <cellStyle name="常规 4 2 2 8 2 2 3 2 2 2 2 2 2 2" xfId="16747"/>
    <cellStyle name="常规 4 2 2 8 2 2 3 2 2 2 2 2 3" xfId="16749"/>
    <cellStyle name="常规 4 2 2 8 2 2 3 2 2 2 2 2 4" xfId="16751"/>
    <cellStyle name="常规 4 2 2 8 2 2 3 2 2 2 2 3" xfId="16755"/>
    <cellStyle name="常规 4 2 2 8 2 2 3 2 2 2 2 3 2" xfId="1693"/>
    <cellStyle name="常规 4 2 2 8 2 2 3 2 2 2 2 4" xfId="16758"/>
    <cellStyle name="常规 4 2 2 8 2 2 3 2 2 2 2 5" xfId="16760"/>
    <cellStyle name="常规 4 2 2 8 2 2 3 2 2 2 3" xfId="16761"/>
    <cellStyle name="常规 4 2 2 8 2 2 3 2 2 2 3 2" xfId="16763"/>
    <cellStyle name="常规 4 2 2 8 2 2 3 2 2 2 3 2 2" xfId="16765"/>
    <cellStyle name="常规 4 2 2 8 2 2 3 2 2 2 3 3" xfId="16767"/>
    <cellStyle name="常规 4 2 2 8 2 2 3 2 2 2 3 4" xfId="16769"/>
    <cellStyle name="常规 4 2 2 8 2 2 3 2 2 2 4" xfId="16770"/>
    <cellStyle name="常规 4 2 2 8 2 2 3 2 2 2 4 2" xfId="16772"/>
    <cellStyle name="常规 4 2 2 8 2 2 3 2 2 2 5" xfId="16773"/>
    <cellStyle name="常规 4 2 2 8 2 2 3 2 2 2 6" xfId="16083"/>
    <cellStyle name="常规 4 2 2 8 2 2 3 2 2 3" xfId="8494"/>
    <cellStyle name="常规 4 2 2 8 2 2 3 2 2 3 2" xfId="8496"/>
    <cellStyle name="常规 4 2 2 8 2 2 3 2 2 3 2 2" xfId="8503"/>
    <cellStyle name="常规 4 2 2 8 2 2 3 2 2 3 2 2 2" xfId="8506"/>
    <cellStyle name="常规 4 2 2 8 2 2 3 2 2 3 2 3" xfId="8512"/>
    <cellStyle name="常规 4 2 2 8 2 2 3 2 2 3 2 4" xfId="8515"/>
    <cellStyle name="常规 4 2 2 8 2 2 3 2 2 3 3" xfId="8137"/>
    <cellStyle name="常规 4 2 2 8 2 2 3 2 2 3 3 2" xfId="8520"/>
    <cellStyle name="常规 4 2 2 8 2 2 3 2 2 3 4" xfId="8521"/>
    <cellStyle name="常规 4 2 2 8 2 2 3 2 2 3 5" xfId="8523"/>
    <cellStyle name="常规 4 2 2 8 2 2 3 2 2 4" xfId="8525"/>
    <cellStyle name="常规 4 2 2 8 2 2 3 2 2 4 2" xfId="8527"/>
    <cellStyle name="常规 4 2 2 8 2 2 3 2 2 4 2 2" xfId="8532"/>
    <cellStyle name="常规 4 2 2 8 2 2 3 2 2 4 3" xfId="8533"/>
    <cellStyle name="常规 4 2 2 8 2 2 3 2 2 4 4" xfId="8535"/>
    <cellStyle name="常规 4 2 2 8 2 2 3 2 2 5" xfId="8537"/>
    <cellStyle name="常规 4 2 2 8 2 2 3 2 2 5 2" xfId="8539"/>
    <cellStyle name="常规 4 2 2 8 2 2 3 2 2 6" xfId="8541"/>
    <cellStyle name="常规 4 2 2 8 2 2 3 2 2 7" xfId="8543"/>
    <cellStyle name="常规 4 2 2 8 2 2 3 2 3" xfId="2949"/>
    <cellStyle name="常规 4 2 2 8 2 2 3 2 3 2" xfId="16774"/>
    <cellStyle name="常规 4 2 2 8 2 2 3 2 3 2 2" xfId="16775"/>
    <cellStyle name="常规 4 2 2 8 2 2 3 2 3 2 2 2" xfId="13612"/>
    <cellStyle name="常规 4 2 2 8 2 2 3 2 3 2 2 2 2" xfId="16777"/>
    <cellStyle name="常规 4 2 2 8 2 2 3 2 3 2 2 3" xfId="13617"/>
    <cellStyle name="常规 4 2 2 8 2 2 3 2 3 2 2 4" xfId="16780"/>
    <cellStyle name="常规 4 2 2 8 2 2 3 2 3 2 3" xfId="16781"/>
    <cellStyle name="常规 4 2 2 8 2 2 3 2 3 2 3 2" xfId="2155"/>
    <cellStyle name="常规 4 2 2 8 2 2 3 2 3 2 4" xfId="16782"/>
    <cellStyle name="常规 4 2 2 8 2 2 3 2 3 2 5" xfId="16783"/>
    <cellStyle name="常规 4 2 2 8 2 2 3 2 3 3" xfId="8547"/>
    <cellStyle name="常规 4 2 2 8 2 2 3 2 3 3 2" xfId="8549"/>
    <cellStyle name="常规 4 2 2 8 2 2 3 2 3 3 2 2" xfId="8557"/>
    <cellStyle name="常规 4 2 2 8 2 2 3 2 3 3 3" xfId="8561"/>
    <cellStyle name="常规 4 2 2 8 2 2 3 2 3 3 4" xfId="8564"/>
    <cellStyle name="常规 4 2 2 8 2 2 3 2 3 4" xfId="8567"/>
    <cellStyle name="常规 4 2 2 8 2 2 3 2 3 4 2" xfId="8569"/>
    <cellStyle name="常规 4 2 2 8 2 2 3 2 3 5" xfId="4462"/>
    <cellStyle name="常规 4 2 2 8 2 2 3 2 3 6" xfId="4470"/>
    <cellStyle name="常规 4 2 2 8 2 2 3 2 4" xfId="16784"/>
    <cellStyle name="常规 4 2 2 8 2 2 3 2 4 2" xfId="16785"/>
    <cellStyle name="常规 4 2 2 8 2 2 3 2 4 2 2" xfId="16786"/>
    <cellStyle name="常规 4 2 2 8 2 2 3 2 4 2 2 2" xfId="16791"/>
    <cellStyle name="常规 4 2 2 8 2 2 3 2 4 2 3" xfId="16793"/>
    <cellStyle name="常规 4 2 2 8 2 2 3 2 4 2 4" xfId="16796"/>
    <cellStyle name="常规 4 2 2 8 2 2 3 2 4 3" xfId="8575"/>
    <cellStyle name="常规 4 2 2 8 2 2 3 2 4 3 2" xfId="8578"/>
    <cellStyle name="常规 4 2 2 8 2 2 3 2 4 4" xfId="8582"/>
    <cellStyle name="常规 4 2 2 8 2 2 3 2 4 5" xfId="167"/>
    <cellStyle name="常规 4 2 2 8 2 2 3 2 5" xfId="16797"/>
    <cellStyle name="常规 4 2 2 8 2 2 3 2 5 2" xfId="16798"/>
    <cellStyle name="常规 4 2 2 8 2 2 3 2 5 2 2" xfId="16800"/>
    <cellStyle name="常规 4 2 2 8 2 2 3 2 5 3" xfId="8589"/>
    <cellStyle name="常规 4 2 2 8 2 2 3 2 5 4" xfId="16802"/>
    <cellStyle name="常规 4 2 2 8 2 2 3 2 6" xfId="16803"/>
    <cellStyle name="常规 4 2 2 8 2 2 3 2 6 2" xfId="16805"/>
    <cellStyle name="常规 4 2 2 8 2 2 3 2 7" xfId="16807"/>
    <cellStyle name="常规 4 2 2 8 2 2 3 2 8" xfId="16808"/>
    <cellStyle name="常规 4 2 2 8 2 2 3 3" xfId="16809"/>
    <cellStyle name="常规 4 2 2 8 2 2 3 3 2" xfId="16810"/>
    <cellStyle name="常规 4 2 2 8 2 2 3 3 2 2" xfId="16811"/>
    <cellStyle name="常规 4 2 2 8 2 2 3 3 2 2 2" xfId="16813"/>
    <cellStyle name="常规 4 2 2 8 2 2 3 3 2 2 2 2" xfId="12978"/>
    <cellStyle name="常规 4 2 2 8 2 2 3 3 2 2 2 2 2" xfId="16814"/>
    <cellStyle name="常规 4 2 2 8 2 2 3 3 2 2 2 3" xfId="12982"/>
    <cellStyle name="常规 4 2 2 8 2 2 3 3 2 2 2 4" xfId="16816"/>
    <cellStyle name="常规 4 2 2 8 2 2 3 3 2 2 3" xfId="16818"/>
    <cellStyle name="常规 4 2 2 8 2 2 3 3 2 2 3 2" xfId="16820"/>
    <cellStyle name="常规 4 2 2 8 2 2 3 3 2 2 4" xfId="16823"/>
    <cellStyle name="常规 4 2 2 8 2 2 3 3 2 2 5" xfId="16827"/>
    <cellStyle name="常规 4 2 2 8 2 2 3 3 2 3" xfId="8633"/>
    <cellStyle name="常规 4 2 2 8 2 2 3 3 2 3 2" xfId="8635"/>
    <cellStyle name="常规 4 2 2 8 2 2 3 3 2 3 2 2" xfId="7316"/>
    <cellStyle name="常规 4 2 2 8 2 2 3 3 2 3 3" xfId="8638"/>
    <cellStyle name="常规 4 2 2 8 2 2 3 3 2 3 4" xfId="8642"/>
    <cellStyle name="常规 4 2 2 8 2 2 3 3 2 4" xfId="8644"/>
    <cellStyle name="常规 4 2 2 8 2 2 3 3 2 4 2" xfId="8646"/>
    <cellStyle name="常规 4 2 2 8 2 2 3 3 2 5" xfId="8648"/>
    <cellStyle name="常规 4 2 2 8 2 2 3 3 2 6" xfId="8650"/>
    <cellStyle name="常规 4 2 2 8 2 2 3 3 3" xfId="16828"/>
    <cellStyle name="常规 4 2 2 8 2 2 3 3 3 2" xfId="16829"/>
    <cellStyle name="常规 4 2 2 8 2 2 3 3 3 2 2" xfId="16830"/>
    <cellStyle name="常规 4 2 2 8 2 2 3 3 3 2 2 2" xfId="16832"/>
    <cellStyle name="常规 4 2 2 8 2 2 3 3 3 2 3" xfId="16834"/>
    <cellStyle name="常规 4 2 2 8 2 2 3 3 3 2 4" xfId="16837"/>
    <cellStyle name="常规 4 2 2 8 2 2 3 3 3 3" xfId="8652"/>
    <cellStyle name="常规 4 2 2 8 2 2 3 3 3 3 2" xfId="8656"/>
    <cellStyle name="常规 4 2 2 8 2 2 3 3 3 4" xfId="8661"/>
    <cellStyle name="常规 4 2 2 8 2 2 3 3 3 5" xfId="4509"/>
    <cellStyle name="常规 4 2 2 8 2 2 3 3 4" xfId="16838"/>
    <cellStyle name="常规 4 2 2 8 2 2 3 3 4 2" xfId="16839"/>
    <cellStyle name="常规 4 2 2 8 2 2 3 3 4 2 2" xfId="16840"/>
    <cellStyle name="常规 4 2 2 8 2 2 3 3 4 3" xfId="8670"/>
    <cellStyle name="常规 4 2 2 8 2 2 3 3 4 4" xfId="16843"/>
    <cellStyle name="常规 4 2 2 8 2 2 3 3 5" xfId="16844"/>
    <cellStyle name="常规 4 2 2 8 2 2 3 3 5 2" xfId="16845"/>
    <cellStyle name="常规 4 2 2 8 2 2 3 3 6" xfId="16848"/>
    <cellStyle name="常规 4 2 2 8 2 2 3 3 7" xfId="16850"/>
    <cellStyle name="常规 4 2 2 8 2 2 3 4" xfId="16851"/>
    <cellStyle name="常规 4 2 2 8 2 2 3 4 2" xfId="16853"/>
    <cellStyle name="常规 4 2 2 8 2 2 3 4 2 2" xfId="5355"/>
    <cellStyle name="常规 4 2 2 8 2 2 3 4 2 2 2" xfId="5357"/>
    <cellStyle name="常规 4 2 2 8 2 2 3 4 2 2 2 2" xfId="4201"/>
    <cellStyle name="常规 4 2 2 8 2 2 3 4 2 2 3" xfId="3085"/>
    <cellStyle name="常规 4 2 2 8 2 2 3 4 2 2 4" xfId="5361"/>
    <cellStyle name="常规 4 2 2 8 2 2 3 4 2 3" xfId="5367"/>
    <cellStyle name="常规 4 2 2 8 2 2 3 4 2 3 2" xfId="5372"/>
    <cellStyle name="常规 4 2 2 8 2 2 3 4 2 4" xfId="5379"/>
    <cellStyle name="常规 4 2 2 8 2 2 3 4 2 5" xfId="4808"/>
    <cellStyle name="常规 4 2 2 8 2 2 3 4 3" xfId="16855"/>
    <cellStyle name="常规 4 2 2 8 2 2 3 4 3 2" xfId="5393"/>
    <cellStyle name="常规 4 2 2 8 2 2 3 4 3 2 2" xfId="5395"/>
    <cellStyle name="常规 4 2 2 8 2 2 3 4 3 3" xfId="1894"/>
    <cellStyle name="常规 4 2 2 8 2 2 3 4 3 4" xfId="5401"/>
    <cellStyle name="常规 4 2 2 8 2 2 3 4 4" xfId="16856"/>
    <cellStyle name="常规 4 2 2 8 2 2 3 4 4 2" xfId="5407"/>
    <cellStyle name="常规 4 2 2 8 2 2 3 4 5" xfId="16857"/>
    <cellStyle name="常规 4 2 2 8 2 2 3 4 6" xfId="16859"/>
    <cellStyle name="常规 4 2 2 8 2 2 3 5" xfId="16860"/>
    <cellStyle name="常规 4 2 2 8 2 2 3 5 2" xfId="16861"/>
    <cellStyle name="常规 4 2 2 8 2 2 3 5 2 2" xfId="5014"/>
    <cellStyle name="常规 4 2 2 8 2 2 3 5 2 2 2" xfId="5018"/>
    <cellStyle name="常规 4 2 2 8 2 2 3 5 2 3" xfId="5024"/>
    <cellStyle name="常规 4 2 2 8 2 2 3 5 2 4" xfId="5030"/>
    <cellStyle name="常规 4 2 2 8 2 2 3 5 3" xfId="16862"/>
    <cellStyle name="常规 4 2 2 8 2 2 3 5 3 2" xfId="3615"/>
    <cellStyle name="常规 4 2 2 8 2 2 3 5 4" xfId="16863"/>
    <cellStyle name="常规 4 2 2 8 2 2 3 5 5" xfId="16864"/>
    <cellStyle name="常规 4 2 2 8 2 2 3 6" xfId="16865"/>
    <cellStyle name="常规 4 2 2 8 2 2 3 6 2" xfId="16866"/>
    <cellStyle name="常规 4 2 2 8 2 2 3 6 2 2" xfId="5469"/>
    <cellStyle name="常规 4 2 2 8 2 2 3 6 3" xfId="16867"/>
    <cellStyle name="常规 4 2 2 8 2 2 3 6 4" xfId="16868"/>
    <cellStyle name="常规 4 2 2 8 2 2 3 7" xfId="16869"/>
    <cellStyle name="常规 4 2 2 8 2 2 3 7 2" xfId="16870"/>
    <cellStyle name="常规 4 2 2 8 2 2 3 8" xfId="16871"/>
    <cellStyle name="常规 4 2 2 8 2 2 3 9" xfId="16872"/>
    <cellStyle name="常规 4 2 2 8 2 2 4" xfId="16873"/>
    <cellStyle name="常规 4 2 2 8 2 2 4 2" xfId="16874"/>
    <cellStyle name="常规 4 2 2 8 2 2 4 2 2" xfId="16875"/>
    <cellStyle name="常规 4 2 2 8 2 2 4 2 2 2" xfId="16876"/>
    <cellStyle name="常规 4 2 2 8 2 2 4 2 2 2 2" xfId="16878"/>
    <cellStyle name="常规 4 2 2 8 2 2 4 2 2 2 2 2" xfId="16880"/>
    <cellStyle name="常规 4 2 2 8 2 2 4 2 2 2 2 2 2" xfId="16882"/>
    <cellStyle name="常规 4 2 2 8 2 2 4 2 2 2 2 3" xfId="16884"/>
    <cellStyle name="常规 4 2 2 8 2 2 4 2 2 2 2 4" xfId="16885"/>
    <cellStyle name="常规 4 2 2 8 2 2 4 2 2 2 3" xfId="16886"/>
    <cellStyle name="常规 4 2 2 8 2 2 4 2 2 2 3 2" xfId="16887"/>
    <cellStyle name="常规 4 2 2 8 2 2 4 2 2 2 4" xfId="16890"/>
    <cellStyle name="常规 4 2 2 8 2 2 4 2 2 2 5" xfId="1409"/>
    <cellStyle name="常规 4 2 2 8 2 2 4 2 2 3" xfId="8765"/>
    <cellStyle name="常规 4 2 2 8 2 2 4 2 2 3 2" xfId="5992"/>
    <cellStyle name="常规 4 2 2 8 2 2 4 2 2 3 2 2" xfId="1307"/>
    <cellStyle name="常规 4 2 2 8 2 2 4 2 2 3 3" xfId="6000"/>
    <cellStyle name="常规 4 2 2 8 2 2 4 2 2 3 4" xfId="6006"/>
    <cellStyle name="常规 4 2 2 8 2 2 4 2 2 4" xfId="8769"/>
    <cellStyle name="常规 4 2 2 8 2 2 4 2 2 4 2" xfId="6014"/>
    <cellStyle name="常规 4 2 2 8 2 2 4 2 2 5" xfId="8771"/>
    <cellStyle name="常规 4 2 2 8 2 2 4 2 2 6" xfId="8774"/>
    <cellStyle name="常规 4 2 2 8 2 2 4 2 3" xfId="16891"/>
    <cellStyle name="常规 4 2 2 8 2 2 4 2 3 2" xfId="16892"/>
    <cellStyle name="常规 4 2 2 8 2 2 4 2 3 2 2" xfId="16893"/>
    <cellStyle name="常规 4 2 2 8 2 2 4 2 3 2 2 2" xfId="16894"/>
    <cellStyle name="常规 4 2 2 8 2 2 4 2 3 2 3" xfId="16895"/>
    <cellStyle name="常规 4 2 2 8 2 2 4 2 3 2 4" xfId="16898"/>
    <cellStyle name="常规 4 2 2 8 2 2 4 2 3 3" xfId="8778"/>
    <cellStyle name="常规 4 2 2 8 2 2 4 2 3 3 2" xfId="6033"/>
    <cellStyle name="常规 4 2 2 8 2 2 4 2 3 4" xfId="8780"/>
    <cellStyle name="常规 4 2 2 8 2 2 4 2 3 5" xfId="4533"/>
    <cellStyle name="常规 4 2 2 8 2 2 4 2 4" xfId="16899"/>
    <cellStyle name="常规 4 2 2 8 2 2 4 2 4 2" xfId="16900"/>
    <cellStyle name="常规 4 2 2 8 2 2 4 2 4 2 2" xfId="16901"/>
    <cellStyle name="常规 4 2 2 8 2 2 4 2 4 3" xfId="8785"/>
    <cellStyle name="常规 4 2 2 8 2 2 4 2 4 4" xfId="16904"/>
    <cellStyle name="常规 4 2 2 8 2 2 4 2 5" xfId="16905"/>
    <cellStyle name="常规 4 2 2 8 2 2 4 2 5 2" xfId="16906"/>
    <cellStyle name="常规 4 2 2 8 2 2 4 2 6" xfId="16908"/>
    <cellStyle name="常规 4 2 2 8 2 2 4 2 7" xfId="16909"/>
    <cellStyle name="常规 4 2 2 8 2 2 4 3" xfId="16910"/>
    <cellStyle name="常规 4 2 2 8 2 2 4 3 2" xfId="16911"/>
    <cellStyle name="常规 4 2 2 8 2 2 4 3 2 2" xfId="16912"/>
    <cellStyle name="常规 4 2 2 8 2 2 4 3 2 2 2" xfId="16913"/>
    <cellStyle name="常规 4 2 2 8 2 2 4 3 2 2 2 2" xfId="16914"/>
    <cellStyle name="常规 4 2 2 8 2 2 4 3 2 2 3" xfId="3660"/>
    <cellStyle name="常规 4 2 2 8 2 2 4 3 2 2 4" xfId="16917"/>
    <cellStyle name="常规 4 2 2 8 2 2 4 3 2 3" xfId="8808"/>
    <cellStyle name="常规 4 2 2 8 2 2 4 3 2 3 2" xfId="6082"/>
    <cellStyle name="常规 4 2 2 8 2 2 4 3 2 4" xfId="8810"/>
    <cellStyle name="常规 4 2 2 8 2 2 4 3 2 5" xfId="8812"/>
    <cellStyle name="常规 4 2 2 8 2 2 4 3 3" xfId="16918"/>
    <cellStyle name="常规 4 2 2 8 2 2 4 3 3 2" xfId="16919"/>
    <cellStyle name="常规 4 2 2 8 2 2 4 3 3 2 2" xfId="16920"/>
    <cellStyle name="常规 4 2 2 8 2 2 4 3 3 3" xfId="8817"/>
    <cellStyle name="常规 4 2 2 8 2 2 4 3 3 4" xfId="16921"/>
    <cellStyle name="常规 4 2 2 8 2 2 4 3 4" xfId="16924"/>
    <cellStyle name="常规 4 2 2 8 2 2 4 3 4 2" xfId="16927"/>
    <cellStyle name="常规 4 2 2 8 2 2 4 3 5" xfId="16930"/>
    <cellStyle name="常规 4 2 2 8 2 2 4 3 6" xfId="16934"/>
    <cellStyle name="常规 4 2 2 8 2 2 4 4" xfId="10846"/>
    <cellStyle name="常规 4 2 2 8 2 2 4 4 2" xfId="10849"/>
    <cellStyle name="常规 4 2 2 8 2 2 4 4 2 2" xfId="5629"/>
    <cellStyle name="常规 4 2 2 8 2 2 4 4 2 2 2" xfId="5631"/>
    <cellStyle name="常规 4 2 2 8 2 2 4 4 2 3" xfId="5639"/>
    <cellStyle name="常规 4 2 2 8 2 2 4 4 2 4" xfId="5651"/>
    <cellStyle name="常规 4 2 2 8 2 2 4 4 3" xfId="16935"/>
    <cellStyle name="常规 4 2 2 8 2 2 4 4 3 2" xfId="5658"/>
    <cellStyle name="常规 4 2 2 8 2 2 4 4 4" xfId="16938"/>
    <cellStyle name="常规 4 2 2 8 2 2 4 4 5" xfId="16939"/>
    <cellStyle name="常规 4 2 2 8 2 2 4 5" xfId="10852"/>
    <cellStyle name="常规 4 2 2 8 2 2 4 5 2" xfId="16940"/>
    <cellStyle name="常规 4 2 2 8 2 2 4 5 2 2" xfId="5777"/>
    <cellStyle name="常规 4 2 2 8 2 2 4 5 3" xfId="16941"/>
    <cellStyle name="常规 4 2 2 8 2 2 4 5 4" xfId="16942"/>
    <cellStyle name="常规 4 2 2 8 2 2 4 6" xfId="10857"/>
    <cellStyle name="常规 4 2 2 8 2 2 4 6 2" xfId="16944"/>
    <cellStyle name="常规 4 2 2 8 2 2 4 7" xfId="16946"/>
    <cellStyle name="常规 4 2 2 8 2 2 4 8" xfId="16948"/>
    <cellStyle name="常规 4 2 2 8 2 2 5" xfId="11896"/>
    <cellStyle name="常规 4 2 2 8 2 2 5 2" xfId="11898"/>
    <cellStyle name="常规 4 2 2 8 2 2 5 2 2" xfId="11900"/>
    <cellStyle name="常规 4 2 2 8 2 2 5 2 2 2" xfId="16949"/>
    <cellStyle name="常规 4 2 2 8 2 2 5 2 2 2 2" xfId="16950"/>
    <cellStyle name="常规 4 2 2 8 2 2 5 2 2 2 2 2" xfId="16955"/>
    <cellStyle name="常规 4 2 2 8 2 2 5 2 2 2 3" xfId="16956"/>
    <cellStyle name="常规 4 2 2 8 2 2 5 2 2 2 4" xfId="16957"/>
    <cellStyle name="常规 4 2 2 8 2 2 5 2 2 3" xfId="8860"/>
    <cellStyle name="常规 4 2 2 8 2 2 5 2 2 3 2" xfId="6721"/>
    <cellStyle name="常规 4 2 2 8 2 2 5 2 2 4" xfId="8862"/>
    <cellStyle name="常规 4 2 2 8 2 2 5 2 2 5" xfId="8865"/>
    <cellStyle name="常规 4 2 2 8 2 2 5 2 3" xfId="16958"/>
    <cellStyle name="常规 4 2 2 8 2 2 5 2 3 2" xfId="16959"/>
    <cellStyle name="常规 4 2 2 8 2 2 5 2 3 2 2" xfId="16960"/>
    <cellStyle name="常规 4 2 2 8 2 2 5 2 3 3" xfId="8870"/>
    <cellStyle name="常规 4 2 2 8 2 2 5 2 3 4" xfId="16961"/>
    <cellStyle name="常规 4 2 2 8 2 2 5 2 4" xfId="16963"/>
    <cellStyle name="常规 4 2 2 8 2 2 5 2 4 2" xfId="16964"/>
    <cellStyle name="常规 4 2 2 8 2 2 5 2 5" xfId="16965"/>
    <cellStyle name="常规 4 2 2 8 2 2 5 2 6" xfId="16967"/>
    <cellStyle name="常规 4 2 2 8 2 2 5 3" xfId="11903"/>
    <cellStyle name="常规 4 2 2 8 2 2 5 3 2" xfId="16968"/>
    <cellStyle name="常规 4 2 2 8 2 2 5 3 2 2" xfId="16969"/>
    <cellStyle name="常规 4 2 2 8 2 2 5 3 2 2 2" xfId="16970"/>
    <cellStyle name="常规 4 2 2 8 2 2 5 3 2 3" xfId="8888"/>
    <cellStyle name="常规 4 2 2 8 2 2 5 3 2 4" xfId="16971"/>
    <cellStyle name="常规 4 2 2 8 2 2 5 3 3" xfId="16973"/>
    <cellStyle name="常规 4 2 2 8 2 2 5 3 3 2" xfId="16974"/>
    <cellStyle name="常规 4 2 2 8 2 2 5 3 4" xfId="16977"/>
    <cellStyle name="常规 4 2 2 8 2 2 5 3 5" xfId="16978"/>
    <cellStyle name="常规 4 2 2 8 2 2 5 4" xfId="10861"/>
    <cellStyle name="常规 4 2 2 8 2 2 5 4 2" xfId="16979"/>
    <cellStyle name="常规 4 2 2 8 2 2 5 4 2 2" xfId="5905"/>
    <cellStyle name="常规 4 2 2 8 2 2 5 4 3" xfId="16980"/>
    <cellStyle name="常规 4 2 2 8 2 2 5 4 4" xfId="16981"/>
    <cellStyle name="常规 4 2 2 8 2 2 5 5" xfId="16982"/>
    <cellStyle name="常规 4 2 2 8 2 2 5 5 2" xfId="16983"/>
    <cellStyle name="常规 4 2 2 8 2 2 5 6" xfId="16985"/>
    <cellStyle name="常规 4 2 2 8 2 2 5 7" xfId="16986"/>
    <cellStyle name="常规 4 2 2 8 2 2 6" xfId="11905"/>
    <cellStyle name="常规 4 2 2 8 2 2 6 2" xfId="11907"/>
    <cellStyle name="常规 4 2 2 8 2 2 6 2 2" xfId="1947"/>
    <cellStyle name="常规 4 2 2 8 2 2 6 2 2 2" xfId="1953"/>
    <cellStyle name="常规 4 2 2 8 2 2 6 2 2 2 2" xfId="16988"/>
    <cellStyle name="常规 4 2 2 8 2 2 6 2 2 3" xfId="1959"/>
    <cellStyle name="常规 4 2 2 8 2 2 6 2 2 4" xfId="16989"/>
    <cellStyle name="常规 4 2 2 8 2 2 6 2 3" xfId="2238"/>
    <cellStyle name="常规 4 2 2 8 2 2 6 2 3 2" xfId="16994"/>
    <cellStyle name="常规 4 2 2 8 2 2 6 2 4" xfId="2242"/>
    <cellStyle name="常规 4 2 2 8 2 2 6 2 5" xfId="2246"/>
    <cellStyle name="常规 4 2 2 8 2 2 6 3" xfId="16995"/>
    <cellStyle name="常规 4 2 2 8 2 2 6 3 2" xfId="8740"/>
    <cellStyle name="常规 4 2 2 8 2 2 6 3 2 2" xfId="8744"/>
    <cellStyle name="常规 4 2 2 8 2 2 6 3 3" xfId="8756"/>
    <cellStyle name="常规 4 2 2 8 2 2 6 3 4" xfId="8761"/>
    <cellStyle name="常规 4 2 2 8 2 2 6 4" xfId="16996"/>
    <cellStyle name="常规 4 2 2 8 2 2 6 4 2" xfId="8768"/>
    <cellStyle name="常规 4 2 2 8 2 2 6 5" xfId="16997"/>
    <cellStyle name="常规 4 2 2 8 2 2 6 6" xfId="16999"/>
    <cellStyle name="常规 4 2 2 8 2 2 7" xfId="11909"/>
    <cellStyle name="常规 4 2 2 8 2 2 7 2" xfId="13652"/>
    <cellStyle name="常规 4 2 2 8 2 2 7 2 2" xfId="17000"/>
    <cellStyle name="常规 4 2 2 8 2 2 7 2 2 2" xfId="17001"/>
    <cellStyle name="常规 4 2 2 8 2 2 7 2 3" xfId="17002"/>
    <cellStyle name="常规 4 2 2 8 2 2 7 2 4" xfId="17003"/>
    <cellStyle name="常规 4 2 2 8 2 2 7 3" xfId="17004"/>
    <cellStyle name="常规 4 2 2 8 2 2 7 3 2" xfId="8802"/>
    <cellStyle name="常规 4 2 2 8 2 2 7 4" xfId="17005"/>
    <cellStyle name="常规 4 2 2 8 2 2 7 5" xfId="17006"/>
    <cellStyle name="常规 4 2 2 8 2 2 8" xfId="11913"/>
    <cellStyle name="常规 4 2 2 8 2 2 8 2" xfId="17007"/>
    <cellStyle name="常规 4 2 2 8 2 2 8 2 2" xfId="17008"/>
    <cellStyle name="常规 4 2 2 8 2 2 8 3" xfId="17009"/>
    <cellStyle name="常规 4 2 2 8 2 2 8 4" xfId="17010"/>
    <cellStyle name="常规 4 2 2 8 2 2 9" xfId="17011"/>
    <cellStyle name="常规 4 2 2 8 2 2 9 2" xfId="17012"/>
    <cellStyle name="常规 4 2 2 8 2 3" xfId="17013"/>
    <cellStyle name="常规 4 2 2 8 2 3 2" xfId="3476"/>
    <cellStyle name="常规 4 2 2 8 2 3 2 2" xfId="17015"/>
    <cellStyle name="常规 4 2 2 8 2 3 2 2 2" xfId="17016"/>
    <cellStyle name="常规 4 2 2 8 2 3 2 2 2 2" xfId="17017"/>
    <cellStyle name="常规 4 2 2 8 2 3 2 2 2 2 2" xfId="17020"/>
    <cellStyle name="常规 4 2 2 8 2 3 2 2 2 2 2 2" xfId="10945"/>
    <cellStyle name="常规 4 2 2 8 2 3 2 2 2 2 2 2 2" xfId="1048"/>
    <cellStyle name="常规 4 2 2 8 2 3 2 2 2 2 2 3" xfId="10949"/>
    <cellStyle name="常规 4 2 2 8 2 3 2 2 2 2 2 4" xfId="10952"/>
    <cellStyle name="常规 4 2 2 8 2 3 2 2 2 2 3" xfId="17023"/>
    <cellStyle name="常规 4 2 2 8 2 3 2 2 2 2 3 2" xfId="10965"/>
    <cellStyle name="常规 4 2 2 8 2 3 2 2 2 2 4" xfId="17024"/>
    <cellStyle name="常规 4 2 2 8 2 3 2 2 2 2 5" xfId="17028"/>
    <cellStyle name="常规 4 2 2 8 2 3 2 2 2 3" xfId="9047"/>
    <cellStyle name="常规 4 2 2 8 2 3 2 2 2 3 2" xfId="9051"/>
    <cellStyle name="常规 4 2 2 8 2 3 2 2 2 3 2 2" xfId="2549"/>
    <cellStyle name="常规 4 2 2 8 2 3 2 2 2 3 3" xfId="9059"/>
    <cellStyle name="常规 4 2 2 8 2 3 2 2 2 3 4" xfId="9064"/>
    <cellStyle name="常规 4 2 2 8 2 3 2 2 2 4" xfId="9069"/>
    <cellStyle name="常规 4 2 2 8 2 3 2 2 2 4 2" xfId="9072"/>
    <cellStyle name="常规 4 2 2 8 2 3 2 2 2 5" xfId="9080"/>
    <cellStyle name="常规 4 2 2 8 2 3 2 2 2 6" xfId="654"/>
    <cellStyle name="常规 4 2 2 8 2 3 2 2 3" xfId="17032"/>
    <cellStyle name="常规 4 2 2 8 2 3 2 2 3 2" xfId="17033"/>
    <cellStyle name="常规 4 2 2 8 2 3 2 2 3 2 2" xfId="17036"/>
    <cellStyle name="常规 4 2 2 8 2 3 2 2 3 2 2 2" xfId="11959"/>
    <cellStyle name="常规 4 2 2 8 2 3 2 2 3 2 3" xfId="17039"/>
    <cellStyle name="常规 4 2 2 8 2 3 2 2 3 2 4" xfId="17040"/>
    <cellStyle name="常规 4 2 2 8 2 3 2 2 3 3" xfId="9088"/>
    <cellStyle name="常规 4 2 2 8 2 3 2 2 3 3 2" xfId="9092"/>
    <cellStyle name="常规 4 2 2 8 2 3 2 2 3 4" xfId="9102"/>
    <cellStyle name="常规 4 2 2 8 2 3 2 2 3 5" xfId="4591"/>
    <cellStyle name="常规 4 2 2 8 2 3 2 2 4" xfId="17044"/>
    <cellStyle name="常规 4 2 2 8 2 3 2 2 4 2" xfId="17045"/>
    <cellStyle name="常规 4 2 2 8 2 3 2 2 4 2 2" xfId="17048"/>
    <cellStyle name="常规 4 2 2 8 2 3 2 2 4 3" xfId="9109"/>
    <cellStyle name="常规 4 2 2 8 2 3 2 2 4 4" xfId="9116"/>
    <cellStyle name="常规 4 2 2 8 2 3 2 2 5" xfId="17049"/>
    <cellStyle name="常规 4 2 2 8 2 3 2 2 5 2" xfId="17051"/>
    <cellStyle name="常规 4 2 2 8 2 3 2 2 6" xfId="17052"/>
    <cellStyle name="常规 4 2 2 8 2 3 2 2 7" xfId="17053"/>
    <cellStyle name="常规 4 2 2 8 2 3 2 3" xfId="17054"/>
    <cellStyle name="常规 4 2 2 8 2 3 2 3 2" xfId="17055"/>
    <cellStyle name="常规 4 2 2 8 2 3 2 3 2 2" xfId="17056"/>
    <cellStyle name="常规 4 2 2 8 2 3 2 3 2 2 2" xfId="17059"/>
    <cellStyle name="常规 4 2 2 8 2 3 2 3 2 2 2 2" xfId="2188"/>
    <cellStyle name="常规 4 2 2 8 2 3 2 3 2 2 3" xfId="1615"/>
    <cellStyle name="常规 4 2 2 8 2 3 2 3 2 2 4" xfId="47"/>
    <cellStyle name="常规 4 2 2 8 2 3 2 3 2 3" xfId="9154"/>
    <cellStyle name="常规 4 2 2 8 2 3 2 3 2 3 2" xfId="9158"/>
    <cellStyle name="常规 4 2 2 8 2 3 2 3 2 4" xfId="9160"/>
    <cellStyle name="常规 4 2 2 8 2 3 2 3 2 5" xfId="9166"/>
    <cellStyle name="常规 4 2 2 8 2 3 2 3 3" xfId="17060"/>
    <cellStyle name="常规 4 2 2 8 2 3 2 3 3 2" xfId="17061"/>
    <cellStyle name="常规 4 2 2 8 2 3 2 3 3 2 2" xfId="17064"/>
    <cellStyle name="常规 4 2 2 8 2 3 2 3 3 3" xfId="9172"/>
    <cellStyle name="常规 4 2 2 8 2 3 2 3 3 4" xfId="9180"/>
    <cellStyle name="常规 4 2 2 8 2 3 2 3 4" xfId="17065"/>
    <cellStyle name="常规 4 2 2 8 2 3 2 3 4 2" xfId="17066"/>
    <cellStyle name="常规 4 2 2 8 2 3 2 3 5" xfId="17067"/>
    <cellStyle name="常规 4 2 2 8 2 3 2 3 6" xfId="17069"/>
    <cellStyle name="常规 4 2 2 8 2 3 2 4" xfId="17070"/>
    <cellStyle name="常规 4 2 2 8 2 3 2 4 2" xfId="17071"/>
    <cellStyle name="常规 4 2 2 8 2 3 2 4 2 2" xfId="6255"/>
    <cellStyle name="常规 4 2 2 8 2 3 2 4 2 2 2" xfId="6260"/>
    <cellStyle name="常规 4 2 2 8 2 3 2 4 2 3" xfId="6264"/>
    <cellStyle name="常规 4 2 2 8 2 3 2 4 2 4" xfId="6270"/>
    <cellStyle name="常规 4 2 2 8 2 3 2 4 3" xfId="17072"/>
    <cellStyle name="常规 4 2 2 8 2 3 2 4 3 2" xfId="6283"/>
    <cellStyle name="常规 4 2 2 8 2 3 2 4 4" xfId="17073"/>
    <cellStyle name="常规 4 2 2 8 2 3 2 4 5" xfId="17075"/>
    <cellStyle name="常规 4 2 2 8 2 3 2 5" xfId="17076"/>
    <cellStyle name="常规 4 2 2 8 2 3 2 5 2" xfId="17077"/>
    <cellStyle name="常规 4 2 2 8 2 3 2 5 2 2" xfId="6332"/>
    <cellStyle name="常规 4 2 2 8 2 3 2 5 3" xfId="17078"/>
    <cellStyle name="常规 4 2 2 8 2 3 2 5 4" xfId="17079"/>
    <cellStyle name="常规 4 2 2 8 2 3 2 6" xfId="17080"/>
    <cellStyle name="常规 4 2 2 8 2 3 2 6 2" xfId="17081"/>
    <cellStyle name="常规 4 2 2 8 2 3 2 7" xfId="17082"/>
    <cellStyle name="常规 4 2 2 8 2 3 2 8" xfId="17083"/>
    <cellStyle name="常规 4 2 2 8 2 3 3" xfId="17084"/>
    <cellStyle name="常规 4 2 2 8 2 3 3 2" xfId="17085"/>
    <cellStyle name="常规 4 2 2 8 2 3 3 2 2" xfId="17086"/>
    <cellStyle name="常规 4 2 2 8 2 3 3 2 2 2" xfId="17087"/>
    <cellStyle name="常规 4 2 2 8 2 3 3 2 2 2 2" xfId="17089"/>
    <cellStyle name="常规 4 2 2 8 2 3 3 2 2 2 2 2" xfId="17091"/>
    <cellStyle name="常规 4 2 2 8 2 3 3 2 2 2 3" xfId="17092"/>
    <cellStyle name="常规 4 2 2 8 2 3 3 2 2 2 4" xfId="17093"/>
    <cellStyle name="常规 4 2 2 8 2 3 3 2 2 3" xfId="9284"/>
    <cellStyle name="常规 4 2 2 8 2 3 3 2 2 3 2" xfId="9286"/>
    <cellStyle name="常规 4 2 2 8 2 3 3 2 2 4" xfId="9290"/>
    <cellStyle name="常规 4 2 2 8 2 3 3 2 2 5" xfId="9293"/>
    <cellStyle name="常规 4 2 2 8 2 3 3 2 3" xfId="17096"/>
    <cellStyle name="常规 4 2 2 8 2 3 3 2 3 2" xfId="17097"/>
    <cellStyle name="常规 4 2 2 8 2 3 3 2 3 2 2" xfId="17098"/>
    <cellStyle name="常规 4 2 2 8 2 3 3 2 3 3" xfId="9298"/>
    <cellStyle name="常规 4 2 2 8 2 3 3 2 3 4" xfId="9302"/>
    <cellStyle name="常规 4 2 2 8 2 3 3 2 4" xfId="17099"/>
    <cellStyle name="常规 4 2 2 8 2 3 3 2 4 2" xfId="17100"/>
    <cellStyle name="常规 4 2 2 8 2 3 3 2 5" xfId="17101"/>
    <cellStyle name="常规 4 2 2 8 2 3 3 2 6" xfId="17102"/>
    <cellStyle name="常规 4 2 2 8 2 3 3 3" xfId="17103"/>
    <cellStyle name="常规 4 2 2 8 2 3 3 3 2" xfId="17104"/>
    <cellStyle name="常规 4 2 2 8 2 3 3 3 2 2" xfId="13775"/>
    <cellStyle name="常规 4 2 2 8 2 3 3 3 2 2 2" xfId="13777"/>
    <cellStyle name="常规 4 2 2 8 2 3 3 3 2 3" xfId="9327"/>
    <cellStyle name="常规 4 2 2 8 2 3 3 3 2 4" xfId="2910"/>
    <cellStyle name="常规 4 2 2 8 2 3 3 3 3" xfId="17105"/>
    <cellStyle name="常规 4 2 2 8 2 3 3 3 3 2" xfId="14817"/>
    <cellStyle name="常规 4 2 2 8 2 3 3 3 4" xfId="17106"/>
    <cellStyle name="常规 4 2 2 8 2 3 3 3 5" xfId="17107"/>
    <cellStyle name="常规 4 2 2 8 2 3 3 4" xfId="17108"/>
    <cellStyle name="常规 4 2 2 8 2 3 3 4 2" xfId="17109"/>
    <cellStyle name="常规 4 2 2 8 2 3 3 4 2 2" xfId="6458"/>
    <cellStyle name="常规 4 2 2 8 2 3 3 4 3" xfId="17110"/>
    <cellStyle name="常规 4 2 2 8 2 3 3 4 4" xfId="17111"/>
    <cellStyle name="常规 4 2 2 8 2 3 3 5" xfId="17112"/>
    <cellStyle name="常规 4 2 2 8 2 3 3 5 2" xfId="17113"/>
    <cellStyle name="常规 4 2 2 8 2 3 3 6" xfId="17114"/>
    <cellStyle name="常规 4 2 2 8 2 3 3 7" xfId="17115"/>
    <cellStyle name="常规 4 2 2 8 2 3 4" xfId="17116"/>
    <cellStyle name="常规 4 2 2 8 2 3 4 2" xfId="17117"/>
    <cellStyle name="常规 4 2 2 8 2 3 4 2 2" xfId="17118"/>
    <cellStyle name="常规 4 2 2 8 2 3 4 2 2 2" xfId="17119"/>
    <cellStyle name="常规 4 2 2 8 2 3 4 2 2 2 2" xfId="17122"/>
    <cellStyle name="常规 4 2 2 8 2 3 4 2 2 3" xfId="9389"/>
    <cellStyle name="常规 4 2 2 8 2 3 4 2 2 4" xfId="9391"/>
    <cellStyle name="常规 4 2 2 8 2 3 4 2 3" xfId="17123"/>
    <cellStyle name="常规 4 2 2 8 2 3 4 2 3 2" xfId="17124"/>
    <cellStyle name="常规 4 2 2 8 2 3 4 2 4" xfId="17125"/>
    <cellStyle name="常规 4 2 2 8 2 3 4 2 5" xfId="17126"/>
    <cellStyle name="常规 4 2 2 8 2 3 4 3" xfId="17127"/>
    <cellStyle name="常规 4 2 2 8 2 3 4 3 2" xfId="17128"/>
    <cellStyle name="常规 4 2 2 8 2 3 4 3 2 2" xfId="17129"/>
    <cellStyle name="常规 4 2 2 8 2 3 4 3 3" xfId="17130"/>
    <cellStyle name="常规 4 2 2 8 2 3 4 3 4" xfId="17133"/>
    <cellStyle name="常规 4 2 2 8 2 3 4 4" xfId="10868"/>
    <cellStyle name="常规 4 2 2 8 2 3 4 4 2" xfId="17134"/>
    <cellStyle name="常规 4 2 2 8 2 3 4 5" xfId="17135"/>
    <cellStyle name="常规 4 2 2 8 2 3 4 6" xfId="17137"/>
    <cellStyle name="常规 4 2 2 8 2 3 5" xfId="11918"/>
    <cellStyle name="常规 4 2 2 8 2 3 5 2" xfId="11921"/>
    <cellStyle name="常规 4 2 2 8 2 3 5 2 2" xfId="17139"/>
    <cellStyle name="常规 4 2 2 8 2 3 5 2 2 2" xfId="17141"/>
    <cellStyle name="常规 4 2 2 8 2 3 5 2 3" xfId="17143"/>
    <cellStyle name="常规 4 2 2 8 2 3 5 2 4" xfId="17145"/>
    <cellStyle name="常规 4 2 2 8 2 3 5 3" xfId="17147"/>
    <cellStyle name="常规 4 2 2 8 2 3 5 3 2" xfId="17149"/>
    <cellStyle name="常规 4 2 2 8 2 3 5 4" xfId="17151"/>
    <cellStyle name="常规 4 2 2 8 2 3 5 5" xfId="1856"/>
    <cellStyle name="常规 4 2 2 8 2 3 6" xfId="11924"/>
    <cellStyle name="常规 4 2 2 8 2 3 6 2" xfId="17153"/>
    <cellStyle name="常规 4 2 2 8 2 3 6 2 2" xfId="17155"/>
    <cellStyle name="常规 4 2 2 8 2 3 6 3" xfId="17157"/>
    <cellStyle name="常规 4 2 2 8 2 3 6 4" xfId="17159"/>
    <cellStyle name="常规 4 2 2 8 2 3 7" xfId="11927"/>
    <cellStyle name="常规 4 2 2 8 2 3 7 2" xfId="16618"/>
    <cellStyle name="常规 4 2 2 8 2 3 8" xfId="17161"/>
    <cellStyle name="常规 4 2 2 8 2 3 9" xfId="17163"/>
    <cellStyle name="常规 4 2 2 8 2 4" xfId="17164"/>
    <cellStyle name="常规 4 2 2 8 2 4 2" xfId="17165"/>
    <cellStyle name="常规 4 2 2 8 2 4 2 2" xfId="15656"/>
    <cellStyle name="常规 4 2 2 8 2 4 2 2 2" xfId="17166"/>
    <cellStyle name="常规 4 2 2 8 2 4 2 2 2 2" xfId="17167"/>
    <cellStyle name="常规 4 2 2 8 2 4 2 2 2 2 2" xfId="17168"/>
    <cellStyle name="常规 4 2 2 8 2 4 2 2 2 2 2 2" xfId="17169"/>
    <cellStyle name="常规 4 2 2 8 2 4 2 2 2 2 2 2 2" xfId="17173"/>
    <cellStyle name="常规 4 2 2 8 2 4 2 2 2 2 2 3" xfId="17174"/>
    <cellStyle name="常规 4 2 2 8 2 4 2 2 2 2 2 4" xfId="17175"/>
    <cellStyle name="常规 4 2 2 8 2 4 2 2 2 2 3" xfId="17176"/>
    <cellStyle name="常规 4 2 2 8 2 4 2 2 2 2 3 2" xfId="17177"/>
    <cellStyle name="常规 4 2 2 8 2 4 2 2 2 2 4" xfId="17178"/>
    <cellStyle name="常规 4 2 2 8 2 4 2 2 2 2 5" xfId="17182"/>
    <cellStyle name="常规 4 2 2 8 2 4 2 2 2 3" xfId="9503"/>
    <cellStyle name="常规 4 2 2 8 2 4 2 2 2 3 2" xfId="6931"/>
    <cellStyle name="常规 4 2 2 8 2 4 2 2 2 3 2 2" xfId="17183"/>
    <cellStyle name="常规 4 2 2 8 2 4 2 2 2 3 3" xfId="17184"/>
    <cellStyle name="常规 4 2 2 8 2 4 2 2 2 3 4" xfId="17186"/>
    <cellStyle name="常规 4 2 2 8 2 4 2 2 2 4" xfId="9505"/>
    <cellStyle name="常规 4 2 2 8 2 4 2 2 2 4 2" xfId="17187"/>
    <cellStyle name="常规 4 2 2 8 2 4 2 2 2 5" xfId="9507"/>
    <cellStyle name="常规 4 2 2 8 2 4 2 2 2 6" xfId="17188"/>
    <cellStyle name="常规 4 2 2 8 2 4 2 2 3" xfId="17189"/>
    <cellStyle name="常规 4 2 2 8 2 4 2 2 3 2" xfId="17190"/>
    <cellStyle name="常规 4 2 2 8 2 4 2 2 3 2 2" xfId="17191"/>
    <cellStyle name="常规 4 2 2 8 2 4 2 2 3 2 2 2" xfId="17192"/>
    <cellStyle name="常规 4 2 2 8 2 4 2 2 3 2 3" xfId="17193"/>
    <cellStyle name="常规 4 2 2 8 2 4 2 2 3 2 4" xfId="17195"/>
    <cellStyle name="常规 4 2 2 8 2 4 2 2 3 3" xfId="9510"/>
    <cellStyle name="常规 4 2 2 8 2 4 2 2 3 3 2" xfId="17196"/>
    <cellStyle name="常规 4 2 2 8 2 4 2 2 3 4" xfId="17197"/>
    <cellStyle name="常规 4 2 2 8 2 4 2 2 3 5" xfId="991"/>
    <cellStyle name="常规 4 2 2 8 2 4 2 2 4" xfId="17198"/>
    <cellStyle name="常规 4 2 2 8 2 4 2 2 4 2" xfId="17200"/>
    <cellStyle name="常规 4 2 2 8 2 4 2 2 4 2 2" xfId="17202"/>
    <cellStyle name="常规 4 2 2 8 2 4 2 2 4 3" xfId="17206"/>
    <cellStyle name="常规 4 2 2 8 2 4 2 2 4 4" xfId="17210"/>
    <cellStyle name="常规 4 2 2 8 2 4 2 2 5" xfId="17211"/>
    <cellStyle name="常规 4 2 2 8 2 4 2 2 5 2" xfId="17212"/>
    <cellStyle name="常规 4 2 2 8 2 4 2 2 6" xfId="17213"/>
    <cellStyle name="常规 4 2 2 8 2 4 2 2 7" xfId="17214"/>
    <cellStyle name="常规 4 2 2 8 2 4 2 3" xfId="15659"/>
    <cellStyle name="常规 4 2 2 8 2 4 2 3 2" xfId="17215"/>
    <cellStyle name="常规 4 2 2 8 2 4 2 3 2 2" xfId="17216"/>
    <cellStyle name="常规 4 2 2 8 2 4 2 3 2 2 2" xfId="17217"/>
    <cellStyle name="常规 4 2 2 8 2 4 2 3 2 2 2 2" xfId="17218"/>
    <cellStyle name="常规 4 2 2 8 2 4 2 3 2 2 3" xfId="17219"/>
    <cellStyle name="常规 4 2 2 8 2 4 2 3 2 2 4" xfId="17221"/>
    <cellStyle name="常规 4 2 2 8 2 4 2 3 2 3" xfId="9525"/>
    <cellStyle name="常规 4 2 2 8 2 4 2 3 2 3 2" xfId="7110"/>
    <cellStyle name="常规 4 2 2 8 2 4 2 3 2 4" xfId="17222"/>
    <cellStyle name="常规 4 2 2 8 2 4 2 3 2 5" xfId="17223"/>
    <cellStyle name="常规 4 2 2 8 2 4 2 3 3" xfId="17224"/>
    <cellStyle name="常规 4 2 2 8 2 4 2 3 3 2" xfId="17225"/>
    <cellStyle name="常规 4 2 2 8 2 4 2 3 3 2 2" xfId="17226"/>
    <cellStyle name="常规 4 2 2 8 2 4 2 3 3 3" xfId="16496"/>
    <cellStyle name="常规 4 2 2 8 2 4 2 3 3 4" xfId="17227"/>
    <cellStyle name="常规 4 2 2 8 2 4 2 3 4" xfId="17228"/>
    <cellStyle name="常规 4 2 2 8 2 4 2 3 4 2" xfId="17229"/>
    <cellStyle name="常规 4 2 2 8 2 4 2 3 5" xfId="17230"/>
    <cellStyle name="常规 4 2 2 8 2 4 2 3 6" xfId="17232"/>
    <cellStyle name="常规 4 2 2 8 2 4 2 4" xfId="17233"/>
    <cellStyle name="常规 4 2 2 8 2 4 2 4 2" xfId="17234"/>
    <cellStyle name="常规 4 2 2 8 2 4 2 4 2 2" xfId="6792"/>
    <cellStyle name="常规 4 2 2 8 2 4 2 4 2 2 2" xfId="53"/>
    <cellStyle name="常规 4 2 2 8 2 4 2 4 2 3" xfId="6797"/>
    <cellStyle name="常规 4 2 2 8 2 4 2 4 2 4" xfId="6802"/>
    <cellStyle name="常规 4 2 2 8 2 4 2 4 3" xfId="17235"/>
    <cellStyle name="常规 4 2 2 8 2 4 2 4 3 2" xfId="6807"/>
    <cellStyle name="常规 4 2 2 8 2 4 2 4 4" xfId="17236"/>
    <cellStyle name="常规 4 2 2 8 2 4 2 4 5" xfId="17237"/>
    <cellStyle name="常规 4 2 2 8 2 4 2 5" xfId="17238"/>
    <cellStyle name="常规 4 2 2 8 2 4 2 5 2" xfId="17239"/>
    <cellStyle name="常规 4 2 2 8 2 4 2 5 2 2" xfId="5209"/>
    <cellStyle name="常规 4 2 2 8 2 4 2 5 3" xfId="17240"/>
    <cellStyle name="常规 4 2 2 8 2 4 2 5 4" xfId="17241"/>
    <cellStyle name="常规 4 2 2 8 2 4 2 6" xfId="17242"/>
    <cellStyle name="常规 4 2 2 8 2 4 2 6 2" xfId="17243"/>
    <cellStyle name="常规 4 2 2 8 2 4 2 7" xfId="17244"/>
    <cellStyle name="常规 4 2 2 8 2 4 2 8" xfId="17245"/>
    <cellStyle name="常规 4 2 2 8 2 4 3" xfId="17246"/>
    <cellStyle name="常规 4 2 2 8 2 4 3 2" xfId="17251"/>
    <cellStyle name="常规 4 2 2 8 2 4 3 2 2" xfId="17252"/>
    <cellStyle name="常规 4 2 2 8 2 4 3 2 2 2" xfId="17253"/>
    <cellStyle name="常规 4 2 2 8 2 4 3 2 2 2 2" xfId="17254"/>
    <cellStyle name="常规 4 2 2 8 2 4 3 2 2 2 2 2" xfId="17258"/>
    <cellStyle name="常规 4 2 2 8 2 4 3 2 2 2 3" xfId="13238"/>
    <cellStyle name="常规 4 2 2 8 2 4 3 2 2 2 4" xfId="13242"/>
    <cellStyle name="常规 4 2 2 8 2 4 3 2 2 3" xfId="9556"/>
    <cellStyle name="常规 4 2 2 8 2 4 3 2 2 3 2" xfId="7894"/>
    <cellStyle name="常规 4 2 2 8 2 4 3 2 2 4" xfId="17259"/>
    <cellStyle name="常规 4 2 2 8 2 4 3 2 2 5" xfId="17260"/>
    <cellStyle name="常规 4 2 2 8 2 4 3 2 3" xfId="17261"/>
    <cellStyle name="常规 4 2 2 8 2 4 3 2 3 2" xfId="17262"/>
    <cellStyle name="常规 4 2 2 8 2 4 3 2 3 2 2" xfId="17263"/>
    <cellStyle name="常规 4 2 2 8 2 4 3 2 3 3" xfId="17264"/>
    <cellStyle name="常规 4 2 2 8 2 4 3 2 3 4" xfId="17265"/>
    <cellStyle name="常规 4 2 2 8 2 4 3 2 4" xfId="17266"/>
    <cellStyle name="常规 4 2 2 8 2 4 3 2 4 2" xfId="17267"/>
    <cellStyle name="常规 4 2 2 8 2 4 3 2 5" xfId="17268"/>
    <cellStyle name="常规 4 2 2 8 2 4 3 2 6" xfId="17269"/>
    <cellStyle name="常规 4 2 2 8 2 4 3 3" xfId="17273"/>
    <cellStyle name="常规 4 2 2 8 2 4 3 3 2" xfId="17274"/>
    <cellStyle name="常规 4 2 2 8 2 4 3 3 2 2" xfId="17275"/>
    <cellStyle name="常规 4 2 2 8 2 4 3 3 2 2 2" xfId="17276"/>
    <cellStyle name="常规 4 2 2 8 2 4 3 3 2 3" xfId="17277"/>
    <cellStyle name="常规 4 2 2 8 2 4 3 3 2 4" xfId="17278"/>
    <cellStyle name="常规 4 2 2 8 2 4 3 3 3" xfId="17279"/>
    <cellStyle name="常规 4 2 2 8 2 4 3 3 3 2" xfId="17280"/>
    <cellStyle name="常规 4 2 2 8 2 4 3 3 4" xfId="17281"/>
    <cellStyle name="常规 4 2 2 8 2 4 3 3 5" xfId="17282"/>
    <cellStyle name="常规 4 2 2 8 2 4 3 4" xfId="17283"/>
    <cellStyle name="常规 4 2 2 8 2 4 3 4 2" xfId="17284"/>
    <cellStyle name="常规 4 2 2 8 2 4 3 4 2 2" xfId="2639"/>
    <cellStyle name="常规 4 2 2 8 2 4 3 4 3" xfId="17285"/>
    <cellStyle name="常规 4 2 2 8 2 4 3 4 4" xfId="17286"/>
    <cellStyle name="常规 4 2 2 8 2 4 3 5" xfId="17287"/>
    <cellStyle name="常规 4 2 2 8 2 4 3 5 2" xfId="17288"/>
    <cellStyle name="常规 4 2 2 8 2 4 3 6" xfId="17289"/>
    <cellStyle name="常规 4 2 2 8 2 4 3 7" xfId="17290"/>
    <cellStyle name="常规 4 2 2 8 2 4 4" xfId="1996"/>
    <cellStyle name="常规 4 2 2 8 2 4 4 2" xfId="17294"/>
    <cellStyle name="常规 4 2 2 8 2 4 4 2 2" xfId="17295"/>
    <cellStyle name="常规 4 2 2 8 2 4 4 2 2 2" xfId="17296"/>
    <cellStyle name="常规 4 2 2 8 2 4 4 2 2 2 2" xfId="4932"/>
    <cellStyle name="常规 4 2 2 8 2 4 4 2 2 3" xfId="17297"/>
    <cellStyle name="常规 4 2 2 8 2 4 4 2 2 4" xfId="17300"/>
    <cellStyle name="常规 4 2 2 8 2 4 4 2 3" xfId="17301"/>
    <cellStyle name="常规 4 2 2 8 2 4 4 2 3 2" xfId="17302"/>
    <cellStyle name="常规 4 2 2 8 2 4 4 2 4" xfId="17303"/>
    <cellStyle name="常规 4 2 2 8 2 4 4 2 5" xfId="17304"/>
    <cellStyle name="常规 4 2 2 8 2 4 4 3" xfId="17305"/>
    <cellStyle name="常规 4 2 2 8 2 4 4 3 2" xfId="17306"/>
    <cellStyle name="常规 4 2 2 8 2 4 4 3 2 2" xfId="17307"/>
    <cellStyle name="常规 4 2 2 8 2 4 4 3 3" xfId="17308"/>
    <cellStyle name="常规 4 2 2 8 2 4 4 3 4" xfId="17309"/>
    <cellStyle name="常规 4 2 2 8 2 4 4 4" xfId="17310"/>
    <cellStyle name="常规 4 2 2 8 2 4 4 4 2" xfId="17311"/>
    <cellStyle name="常规 4 2 2 8 2 4 4 5" xfId="17312"/>
    <cellStyle name="常规 4 2 2 8 2 4 4 6" xfId="17314"/>
    <cellStyle name="常规 4 2 2 8 2 4 5" xfId="2003"/>
    <cellStyle name="常规 4 2 2 8 2 4 5 2" xfId="17316"/>
    <cellStyle name="常规 4 2 2 8 2 4 5 2 2" xfId="17318"/>
    <cellStyle name="常规 4 2 2 8 2 4 5 2 2 2" xfId="17320"/>
    <cellStyle name="常规 4 2 2 8 2 4 5 2 3" xfId="17322"/>
    <cellStyle name="常规 4 2 2 8 2 4 5 2 4" xfId="17324"/>
    <cellStyle name="常规 4 2 2 8 2 4 5 3" xfId="17326"/>
    <cellStyle name="常规 4 2 2 8 2 4 5 3 2" xfId="17330"/>
    <cellStyle name="常规 4 2 2 8 2 4 5 4" xfId="17332"/>
    <cellStyle name="常规 4 2 2 8 2 4 5 5" xfId="17334"/>
    <cellStyle name="常规 4 2 2 8 2 4 6" xfId="2010"/>
    <cellStyle name="常规 4 2 2 8 2 4 6 2" xfId="17336"/>
    <cellStyle name="常规 4 2 2 8 2 4 6 2 2" xfId="1920"/>
    <cellStyle name="常规 4 2 2 8 2 4 6 3" xfId="17338"/>
    <cellStyle name="常规 4 2 2 8 2 4 6 4" xfId="17340"/>
    <cellStyle name="常规 4 2 2 8 2 4 7" xfId="2108"/>
    <cellStyle name="常规 4 2 2 8 2 4 7 2" xfId="17342"/>
    <cellStyle name="常规 4 2 2 8 2 4 8" xfId="17344"/>
    <cellStyle name="常规 4 2 2 8 2 4 9" xfId="17346"/>
    <cellStyle name="常规 4 2 2 8 2 5" xfId="17347"/>
    <cellStyle name="常规 4 2 2 8 2 5 2" xfId="17348"/>
    <cellStyle name="常规 4 2 2 8 2 5 2 2" xfId="17350"/>
    <cellStyle name="常规 4 2 2 8 2 5 2 2 2" xfId="17351"/>
    <cellStyle name="常规 4 2 2 8 2 5 2 2 2 2" xfId="17352"/>
    <cellStyle name="常规 4 2 2 8 2 5 2 2 2 2 2" xfId="17354"/>
    <cellStyle name="常规 4 2 2 8 2 5 2 2 2 2 2 2" xfId="17356"/>
    <cellStyle name="常规 4 2 2 8 2 5 2 2 2 2 3" xfId="17358"/>
    <cellStyle name="常规 4 2 2 8 2 5 2 2 2 2 4" xfId="17360"/>
    <cellStyle name="常规 4 2 2 8 2 5 2 2 2 3" xfId="9613"/>
    <cellStyle name="常规 4 2 2 8 2 5 2 2 2 3 2" xfId="14646"/>
    <cellStyle name="常规 4 2 2 8 2 5 2 2 2 4" xfId="17361"/>
    <cellStyle name="常规 4 2 2 8 2 5 2 2 2 5" xfId="17362"/>
    <cellStyle name="常规 4 2 2 8 2 5 2 2 3" xfId="17363"/>
    <cellStyle name="常规 4 2 2 8 2 5 2 2 3 2" xfId="17364"/>
    <cellStyle name="常规 4 2 2 8 2 5 2 2 3 2 2" xfId="17366"/>
    <cellStyle name="常规 4 2 2 8 2 5 2 2 3 3" xfId="17367"/>
    <cellStyle name="常规 4 2 2 8 2 5 2 2 3 4" xfId="17368"/>
    <cellStyle name="常规 4 2 2 8 2 5 2 2 4" xfId="17369"/>
    <cellStyle name="常规 4 2 2 8 2 5 2 2 4 2" xfId="17370"/>
    <cellStyle name="常规 4 2 2 8 2 5 2 2 5" xfId="17371"/>
    <cellStyle name="常规 4 2 2 8 2 5 2 2 6" xfId="17372"/>
    <cellStyle name="常规 4 2 2 8 2 5 2 3" xfId="17375"/>
    <cellStyle name="常规 4 2 2 8 2 5 2 3 2" xfId="17377"/>
    <cellStyle name="常规 4 2 2 8 2 5 2 3 2 2" xfId="17378"/>
    <cellStyle name="常规 4 2 2 8 2 5 2 3 2 2 2" xfId="17381"/>
    <cellStyle name="常规 4 2 2 8 2 5 2 3 2 3" xfId="17382"/>
    <cellStyle name="常规 4 2 2 8 2 5 2 3 2 4" xfId="17383"/>
    <cellStyle name="常规 4 2 2 8 2 5 2 3 3" xfId="17384"/>
    <cellStyle name="常规 4 2 2 8 2 5 2 3 3 2" xfId="17385"/>
    <cellStyle name="常规 4 2 2 8 2 5 2 3 4" xfId="17386"/>
    <cellStyle name="常规 4 2 2 8 2 5 2 3 5" xfId="17387"/>
    <cellStyle name="常规 4 2 2 8 2 5 2 4" xfId="17389"/>
    <cellStyle name="常规 4 2 2 8 2 5 2 4 2" xfId="17390"/>
    <cellStyle name="常规 4 2 2 8 2 5 2 4 2 2" xfId="2565"/>
    <cellStyle name="常规 4 2 2 8 2 5 2 4 3" xfId="17391"/>
    <cellStyle name="常规 4 2 2 8 2 5 2 4 4" xfId="17392"/>
    <cellStyle name="常规 4 2 2 8 2 5 2 5" xfId="17395"/>
    <cellStyle name="常规 4 2 2 8 2 5 2 5 2" xfId="17396"/>
    <cellStyle name="常规 4 2 2 8 2 5 2 6" xfId="17397"/>
    <cellStyle name="常规 4 2 2 8 2 5 2 7" xfId="17398"/>
    <cellStyle name="常规 4 2 2 8 2 5 3" xfId="17399"/>
    <cellStyle name="常规 4 2 2 8 2 5 3 2" xfId="17401"/>
    <cellStyle name="常规 4 2 2 8 2 5 3 2 2" xfId="17409"/>
    <cellStyle name="常规 4 2 2 8 2 5 3 2 2 2" xfId="17411"/>
    <cellStyle name="常规 4 2 2 8 2 5 3 2 2 2 2" xfId="17414"/>
    <cellStyle name="常规 4 2 2 8 2 5 3 2 2 3" xfId="17416"/>
    <cellStyle name="常规 4 2 2 8 2 5 3 2 2 4" xfId="17418"/>
    <cellStyle name="常规 4 2 2 8 2 5 3 2 3" xfId="17420"/>
    <cellStyle name="常规 4 2 2 8 2 5 3 2 3 2" xfId="17422"/>
    <cellStyle name="常规 4 2 2 8 2 5 3 2 4" xfId="17424"/>
    <cellStyle name="常规 4 2 2 8 2 5 3 2 5" xfId="17426"/>
    <cellStyle name="常规 4 2 2 8 2 5 3 3" xfId="17428"/>
    <cellStyle name="常规 4 2 2 8 2 5 3 3 2" xfId="1078"/>
    <cellStyle name="常规 4 2 2 8 2 5 3 3 2 2" xfId="17430"/>
    <cellStyle name="常规 4 2 2 8 2 5 3 3 3" xfId="1115"/>
    <cellStyle name="常规 4 2 2 8 2 5 3 3 4" xfId="1129"/>
    <cellStyle name="常规 4 2 2 8 2 5 3 4" xfId="17433"/>
    <cellStyle name="常规 4 2 2 8 2 5 3 4 2" xfId="17435"/>
    <cellStyle name="常规 4 2 2 8 2 5 3 5" xfId="17436"/>
    <cellStyle name="常规 4 2 2 8 2 5 3 6" xfId="17437"/>
    <cellStyle name="常规 4 2 2 8 2 5 4" xfId="2028"/>
    <cellStyle name="常规 4 2 2 8 2 5 4 2" xfId="2033"/>
    <cellStyle name="常规 4 2 2 8 2 5 4 2 2" xfId="17440"/>
    <cellStyle name="常规 4 2 2 8 2 5 4 2 2 2" xfId="17443"/>
    <cellStyle name="常规 4 2 2 8 2 5 4 2 3" xfId="17446"/>
    <cellStyle name="常规 4 2 2 8 2 5 4 2 4" xfId="17449"/>
    <cellStyle name="常规 4 2 2 8 2 5 4 3" xfId="17450"/>
    <cellStyle name="常规 4 2 2 8 2 5 4 3 2" xfId="17453"/>
    <cellStyle name="常规 4 2 2 8 2 5 4 4" xfId="17454"/>
    <cellStyle name="常规 4 2 2 8 2 5 4 5" xfId="17455"/>
    <cellStyle name="常规 4 2 2 8 2 5 5" xfId="2049"/>
    <cellStyle name="常规 4 2 2 8 2 5 5 2" xfId="16543"/>
    <cellStyle name="常规 4 2 2 8 2 5 5 2 2" xfId="17458"/>
    <cellStyle name="常规 4 2 2 8 2 5 5 3" xfId="17461"/>
    <cellStyle name="常规 4 2 2 8 2 5 5 4" xfId="17464"/>
    <cellStyle name="常规 4 2 2 8 2 5 6" xfId="10705"/>
    <cellStyle name="常规 4 2 2 8 2 5 6 2" xfId="10709"/>
    <cellStyle name="常规 4 2 2 8 2 5 7" xfId="10712"/>
    <cellStyle name="常规 4 2 2 8 2 5 8" xfId="10715"/>
    <cellStyle name="常规 4 2 2 8 2 6" xfId="17465"/>
    <cellStyle name="常规 4 2 2 8 2 6 2" xfId="9410"/>
    <cellStyle name="常规 4 2 2 8 2 6 2 2" xfId="17468"/>
    <cellStyle name="常规 4 2 2 8 2 6 2 2 2" xfId="17469"/>
    <cellStyle name="常规 4 2 2 8 2 6 2 2 2 2" xfId="17470"/>
    <cellStyle name="常规 4 2 2 8 2 6 2 2 2 2 2" xfId="17472"/>
    <cellStyle name="常规 4 2 2 8 2 6 2 2 2 3" xfId="9727"/>
    <cellStyle name="常规 4 2 2 8 2 6 2 2 2 4" xfId="9965"/>
    <cellStyle name="常规 4 2 2 8 2 6 2 2 3" xfId="17473"/>
    <cellStyle name="常规 4 2 2 8 2 6 2 2 3 2" xfId="17475"/>
    <cellStyle name="常规 4 2 2 8 2 6 2 2 4" xfId="17476"/>
    <cellStyle name="常规 4 2 2 8 2 6 2 2 5" xfId="17477"/>
    <cellStyle name="常规 4 2 2 8 2 6 2 3" xfId="17479"/>
    <cellStyle name="常规 4 2 2 8 2 6 2 3 2" xfId="17480"/>
    <cellStyle name="常规 4 2 2 8 2 6 2 3 2 2" xfId="17481"/>
    <cellStyle name="常规 4 2 2 8 2 6 2 3 3" xfId="17482"/>
    <cellStyle name="常规 4 2 2 8 2 6 2 3 4" xfId="17483"/>
    <cellStyle name="常规 4 2 2 8 2 6 2 4" xfId="17484"/>
    <cellStyle name="常规 4 2 2 8 2 6 2 4 2" xfId="17485"/>
    <cellStyle name="常规 4 2 2 8 2 6 2 5" xfId="17486"/>
    <cellStyle name="常规 4 2 2 8 2 6 2 6" xfId="17487"/>
    <cellStyle name="常规 4 2 2 8 2 6 3" xfId="17488"/>
    <cellStyle name="常规 4 2 2 8 2 6 3 2" xfId="17489"/>
    <cellStyle name="常规 4 2 2 8 2 6 3 2 2" xfId="17490"/>
    <cellStyle name="常规 4 2 2 8 2 6 3 2 2 2" xfId="5145"/>
    <cellStyle name="常规 4 2 2 8 2 6 3 2 3" xfId="17491"/>
    <cellStyle name="常规 4 2 2 8 2 6 3 2 4" xfId="17492"/>
    <cellStyle name="常规 4 2 2 8 2 6 3 3" xfId="17493"/>
    <cellStyle name="常规 4 2 2 8 2 6 3 3 2" xfId="17494"/>
    <cellStyle name="常规 4 2 2 8 2 6 3 4" xfId="17495"/>
    <cellStyle name="常规 4 2 2 8 2 6 3 5" xfId="17496"/>
    <cellStyle name="常规 4 2 2 8 2 6 4" xfId="17497"/>
    <cellStyle name="常规 4 2 2 8 2 6 4 2" xfId="17498"/>
    <cellStyle name="常规 4 2 2 8 2 6 4 2 2" xfId="17499"/>
    <cellStyle name="常规 4 2 2 8 2 6 4 3" xfId="17500"/>
    <cellStyle name="常规 4 2 2 8 2 6 4 4" xfId="17501"/>
    <cellStyle name="常规 4 2 2 8 2 6 5" xfId="17505"/>
    <cellStyle name="常规 4 2 2 8 2 6 5 2" xfId="17508"/>
    <cellStyle name="常规 4 2 2 8 2 6 6" xfId="10719"/>
    <cellStyle name="常规 4 2 2 8 2 6 7" xfId="17510"/>
    <cellStyle name="常规 4 2 2 8 2 7" xfId="17511"/>
    <cellStyle name="常规 4 2 2 8 2 7 2" xfId="17512"/>
    <cellStyle name="常规 4 2 2 8 2 7 2 2" xfId="17513"/>
    <cellStyle name="常规 4 2 2 8 2 7 2 2 2" xfId="17514"/>
    <cellStyle name="常规 4 2 2 8 2 7 2 2 2 2" xfId="17516"/>
    <cellStyle name="常规 4 2 2 8 2 7 2 2 3" xfId="17517"/>
    <cellStyle name="常规 4 2 2 8 2 7 2 2 4" xfId="17518"/>
    <cellStyle name="常规 4 2 2 8 2 7 2 3" xfId="17519"/>
    <cellStyle name="常规 4 2 2 8 2 7 2 3 2" xfId="17520"/>
    <cellStyle name="常规 4 2 2 8 2 7 2 4" xfId="17521"/>
    <cellStyle name="常规 4 2 2 8 2 7 2 5" xfId="17524"/>
    <cellStyle name="常规 4 2 2 8 2 7 3" xfId="17528"/>
    <cellStyle name="常规 4 2 2 8 2 7 3 2" xfId="17529"/>
    <cellStyle name="常规 4 2 2 8 2 7 3 2 2" xfId="17530"/>
    <cellStyle name="常规 4 2 2 8 2 7 3 3" xfId="17531"/>
    <cellStyle name="常规 4 2 2 8 2 7 3 4" xfId="17532"/>
    <cellStyle name="常规 4 2 2 8 2 7 4" xfId="17533"/>
    <cellStyle name="常规 4 2 2 8 2 7 4 2" xfId="17534"/>
    <cellStyle name="常规 4 2 2 8 2 7 5" xfId="17536"/>
    <cellStyle name="常规 4 2 2 8 2 7 6" xfId="17538"/>
    <cellStyle name="常规 4 2 2 8 2 8" xfId="4861"/>
    <cellStyle name="常规 4 2 2 8 2 8 2" xfId="4866"/>
    <cellStyle name="常规 4 2 2 8 2 8 2 2" xfId="17539"/>
    <cellStyle name="常规 4 2 2 8 2 8 2 2 2" xfId="17541"/>
    <cellStyle name="常规 4 2 2 8 2 8 2 3" xfId="17542"/>
    <cellStyle name="常规 4 2 2 8 2 8 2 4" xfId="17543"/>
    <cellStyle name="常规 4 2 2 8 2 8 3" xfId="17544"/>
    <cellStyle name="常规 4 2 2 8 2 8 3 2" xfId="17545"/>
    <cellStyle name="常规 4 2 2 8 2 8 4" xfId="17546"/>
    <cellStyle name="常规 4 2 2 8 2 8 5" xfId="17548"/>
    <cellStyle name="常规 4 2 2 8 2 9" xfId="756"/>
    <cellStyle name="常规 4 2 2 8 2 9 2" xfId="17549"/>
    <cellStyle name="常规 4 2 2 8 2 9 2 2" xfId="17550"/>
    <cellStyle name="常规 4 2 2 8 2 9 3" xfId="17551"/>
    <cellStyle name="常规 4 2 2 8 2 9 4" xfId="17554"/>
    <cellStyle name="常规 4 2 2 8 3" xfId="17557"/>
    <cellStyle name="常规 4 2 2 8 3 10" xfId="17558"/>
    <cellStyle name="常规 4 2 2 8 3 11" xfId="17559"/>
    <cellStyle name="常规 4 2 2 8 3 2" xfId="17561"/>
    <cellStyle name="常规 4 2 2 8 3 2 2" xfId="17562"/>
    <cellStyle name="常规 4 2 2 8 3 2 2 2" xfId="17563"/>
    <cellStyle name="常规 4 2 2 8 3 2 2 2 2" xfId="9001"/>
    <cellStyle name="常规 4 2 2 8 3 2 2 2 2 2" xfId="16107"/>
    <cellStyle name="常规 4 2 2 8 3 2 2 2 2 2 2" xfId="1350"/>
    <cellStyle name="常规 4 2 2 8 3 2 2 2 2 2 2 2" xfId="16109"/>
    <cellStyle name="常规 4 2 2 8 3 2 2 2 2 2 2 2 2" xfId="12005"/>
    <cellStyle name="常规 4 2 2 8 3 2 2 2 2 2 2 3" xfId="16111"/>
    <cellStyle name="常规 4 2 2 8 3 2 2 2 2 2 2 4" xfId="16113"/>
    <cellStyle name="常规 4 2 2 8 3 2 2 2 2 2 3" xfId="6953"/>
    <cellStyle name="常规 4 2 2 8 3 2 2 2 2 2 3 2" xfId="16115"/>
    <cellStyle name="常规 4 2 2 8 3 2 2 2 2 2 4" xfId="16117"/>
    <cellStyle name="常规 4 2 2 8 3 2 2 2 2 2 5" xfId="16119"/>
    <cellStyle name="常规 4 2 2 8 3 2 2 2 2 3" xfId="16121"/>
    <cellStyle name="常规 4 2 2 8 3 2 2 2 2 3 2" xfId="6958"/>
    <cellStyle name="常规 4 2 2 8 3 2 2 2 2 3 2 2" xfId="16123"/>
    <cellStyle name="常规 4 2 2 8 3 2 2 2 2 3 3" xfId="12695"/>
    <cellStyle name="常规 4 2 2 8 3 2 2 2 2 3 4" xfId="12701"/>
    <cellStyle name="常规 4 2 2 8 3 2 2 2 2 4" xfId="16125"/>
    <cellStyle name="常规 4 2 2 8 3 2 2 2 2 4 2" xfId="16127"/>
    <cellStyle name="常规 4 2 2 8 3 2 2 2 2 5" xfId="16129"/>
    <cellStyle name="常规 4 2 2 8 3 2 2 2 2 6" xfId="16132"/>
    <cellStyle name="常规 4 2 2 8 3 2 2 2 3" xfId="9003"/>
    <cellStyle name="常规 4 2 2 8 3 2 2 2 3 2" xfId="16150"/>
    <cellStyle name="常规 4 2 2 8 3 2 2 2 3 2 2" xfId="7135"/>
    <cellStyle name="常规 4 2 2 8 3 2 2 2 3 2 2 2" xfId="16153"/>
    <cellStyle name="常规 4 2 2 8 3 2 2 2 3 2 3" xfId="7138"/>
    <cellStyle name="常规 4 2 2 8 3 2 2 2 3 2 4" xfId="16155"/>
    <cellStyle name="常规 4 2 2 8 3 2 2 2 3 3" xfId="16159"/>
    <cellStyle name="常规 4 2 2 8 3 2 2 2 3 3 2" xfId="7149"/>
    <cellStyle name="常规 4 2 2 8 3 2 2 2 3 4" xfId="14483"/>
    <cellStyle name="常规 4 2 2 8 3 2 2 2 3 5" xfId="5214"/>
    <cellStyle name="常规 4 2 2 8 3 2 2 2 4" xfId="17564"/>
    <cellStyle name="常规 4 2 2 8 3 2 2 2 4 2" xfId="16171"/>
    <cellStyle name="常规 4 2 2 8 3 2 2 2 4 2 2" xfId="7174"/>
    <cellStyle name="常规 4 2 2 8 3 2 2 2 4 3" xfId="16176"/>
    <cellStyle name="常规 4 2 2 8 3 2 2 2 4 4" xfId="14504"/>
    <cellStyle name="常规 4 2 2 8 3 2 2 2 5" xfId="17565"/>
    <cellStyle name="常规 4 2 2 8 3 2 2 2 5 2" xfId="16183"/>
    <cellStyle name="常规 4 2 2 8 3 2 2 2 6" xfId="17566"/>
    <cellStyle name="常规 4 2 2 8 3 2 2 2 7" xfId="17567"/>
    <cellStyle name="常规 4 2 2 8 3 2 2 3" xfId="17568"/>
    <cellStyle name="常规 4 2 2 8 3 2 2 3 2" xfId="17569"/>
    <cellStyle name="常规 4 2 2 8 3 2 2 3 2 2" xfId="16379"/>
    <cellStyle name="常规 4 2 2 8 3 2 2 3 2 2 2" xfId="7926"/>
    <cellStyle name="常规 4 2 2 8 3 2 2 3 2 2 2 2" xfId="16382"/>
    <cellStyle name="常规 4 2 2 8 3 2 2 3 2 2 3" xfId="7929"/>
    <cellStyle name="常规 4 2 2 8 3 2 2 3 2 2 4" xfId="16384"/>
    <cellStyle name="常规 4 2 2 8 3 2 2 3 2 3" xfId="16389"/>
    <cellStyle name="常规 4 2 2 8 3 2 2 3 2 3 2" xfId="4041"/>
    <cellStyle name="常规 4 2 2 8 3 2 2 3 2 4" xfId="16391"/>
    <cellStyle name="常规 4 2 2 8 3 2 2 3 2 5" xfId="16394"/>
    <cellStyle name="常规 4 2 2 8 3 2 2 3 3" xfId="17570"/>
    <cellStyle name="常规 4 2 2 8 3 2 2 3 3 2" xfId="16404"/>
    <cellStyle name="常规 4 2 2 8 3 2 2 3 3 2 2" xfId="8064"/>
    <cellStyle name="常规 4 2 2 8 3 2 2 3 3 3" xfId="16409"/>
    <cellStyle name="常规 4 2 2 8 3 2 2 3 3 4" xfId="14521"/>
    <cellStyle name="常规 4 2 2 8 3 2 2 3 4" xfId="17571"/>
    <cellStyle name="常规 4 2 2 8 3 2 2 3 4 2" xfId="16415"/>
    <cellStyle name="常规 4 2 2 8 3 2 2 3 5" xfId="17572"/>
    <cellStyle name="常规 4 2 2 8 3 2 2 3 6" xfId="17574"/>
    <cellStyle name="常规 4 2 2 8 3 2 2 4" xfId="17575"/>
    <cellStyle name="常规 4 2 2 8 3 2 2 4 2" xfId="17576"/>
    <cellStyle name="常规 4 2 2 8 3 2 2 4 2 2" xfId="7345"/>
    <cellStyle name="常规 4 2 2 8 3 2 2 4 2 2 2" xfId="7351"/>
    <cellStyle name="常规 4 2 2 8 3 2 2 4 2 3" xfId="7359"/>
    <cellStyle name="常规 4 2 2 8 3 2 2 4 2 4" xfId="6865"/>
    <cellStyle name="常规 4 2 2 8 3 2 2 4 3" xfId="17577"/>
    <cellStyle name="常规 4 2 2 8 3 2 2 4 3 2" xfId="7378"/>
    <cellStyle name="常规 4 2 2 8 3 2 2 4 4" xfId="17578"/>
    <cellStyle name="常规 4 2 2 8 3 2 2 4 5" xfId="17579"/>
    <cellStyle name="常规 4 2 2 8 3 2 2 5" xfId="17580"/>
    <cellStyle name="常规 4 2 2 8 3 2 2 5 2" xfId="17581"/>
    <cellStyle name="常规 4 2 2 8 3 2 2 5 2 2" xfId="7426"/>
    <cellStyle name="常规 4 2 2 8 3 2 2 5 3" xfId="17582"/>
    <cellStyle name="常规 4 2 2 8 3 2 2 5 4" xfId="17583"/>
    <cellStyle name="常规 4 2 2 8 3 2 2 6" xfId="17584"/>
    <cellStyle name="常规 4 2 2 8 3 2 2 6 2" xfId="17586"/>
    <cellStyle name="常规 4 2 2 8 3 2 2 7" xfId="17587"/>
    <cellStyle name="常规 4 2 2 8 3 2 2 8" xfId="17589"/>
    <cellStyle name="常规 4 2 2 8 3 2 3" xfId="17590"/>
    <cellStyle name="常规 4 2 2 8 3 2 3 2" xfId="17591"/>
    <cellStyle name="常规 4 2 2 8 3 2 3 2 2" xfId="17592"/>
    <cellStyle name="常规 4 2 2 8 3 2 3 2 2 2" xfId="17595"/>
    <cellStyle name="常规 4 2 2 8 3 2 3 2 2 2 2" xfId="17598"/>
    <cellStyle name="常规 4 2 2 8 3 2 3 2 2 2 2 2" xfId="13718"/>
    <cellStyle name="常规 4 2 2 8 3 2 3 2 2 2 3" xfId="17600"/>
    <cellStyle name="常规 4 2 2 8 3 2 3 2 2 2 4" xfId="9164"/>
    <cellStyle name="常规 4 2 2 8 3 2 3 2 2 3" xfId="17603"/>
    <cellStyle name="常规 4 2 2 8 3 2 3 2 2 3 2" xfId="17605"/>
    <cellStyle name="常规 4 2 2 8 3 2 3 2 2 4" xfId="17609"/>
    <cellStyle name="常规 4 2 2 8 3 2 3 2 2 5" xfId="17612"/>
    <cellStyle name="常规 4 2 2 8 3 2 3 2 3" xfId="17613"/>
    <cellStyle name="常规 4 2 2 8 3 2 3 2 3 2" xfId="17616"/>
    <cellStyle name="常规 4 2 2 8 3 2 3 2 3 2 2" xfId="17618"/>
    <cellStyle name="常规 4 2 2 8 3 2 3 2 3 3" xfId="17623"/>
    <cellStyle name="常规 4 2 2 8 3 2 3 2 3 4" xfId="14562"/>
    <cellStyle name="常规 4 2 2 8 3 2 3 2 4" xfId="17624"/>
    <cellStyle name="常规 4 2 2 8 3 2 3 2 4 2" xfId="17629"/>
    <cellStyle name="常规 4 2 2 8 3 2 3 2 5" xfId="17630"/>
    <cellStyle name="常规 4 2 2 8 3 2 3 2 6" xfId="17631"/>
    <cellStyle name="常规 4 2 2 8 3 2 3 3" xfId="17632"/>
    <cellStyle name="常规 4 2 2 8 3 2 3 3 2" xfId="17633"/>
    <cellStyle name="常规 4 2 2 8 3 2 3 3 2 2" xfId="1166"/>
    <cellStyle name="常规 4 2 2 8 3 2 3 3 2 2 2" xfId="2533"/>
    <cellStyle name="常规 4 2 2 8 3 2 3 3 2 3" xfId="623"/>
    <cellStyle name="常规 4 2 2 8 3 2 3 3 2 4" xfId="635"/>
    <cellStyle name="常规 4 2 2 8 3 2 3 3 3" xfId="17636"/>
    <cellStyle name="常规 4 2 2 8 3 2 3 3 3 2" xfId="17640"/>
    <cellStyle name="常规 4 2 2 8 3 2 3 3 4" xfId="17641"/>
    <cellStyle name="常规 4 2 2 8 3 2 3 3 5" xfId="17642"/>
    <cellStyle name="常规 4 2 2 8 3 2 3 4" xfId="17643"/>
    <cellStyle name="常规 4 2 2 8 3 2 3 4 2" xfId="17644"/>
    <cellStyle name="常规 4 2 2 8 3 2 3 4 2 2" xfId="1171"/>
    <cellStyle name="常规 4 2 2 8 3 2 3 4 3" xfId="17645"/>
    <cellStyle name="常规 4 2 2 8 3 2 3 4 4" xfId="17646"/>
    <cellStyle name="常规 4 2 2 8 3 2 3 5" xfId="17647"/>
    <cellStyle name="常规 4 2 2 8 3 2 3 5 2" xfId="17648"/>
    <cellStyle name="常规 4 2 2 8 3 2 3 6" xfId="17649"/>
    <cellStyle name="常规 4 2 2 8 3 2 3 7" xfId="17650"/>
    <cellStyle name="常规 4 2 2 8 3 2 4" xfId="17651"/>
    <cellStyle name="常规 4 2 2 8 3 2 4 2" xfId="17652"/>
    <cellStyle name="常规 4 2 2 8 3 2 4 2 2" xfId="17653"/>
    <cellStyle name="常规 4 2 2 8 3 2 4 2 2 2" xfId="17654"/>
    <cellStyle name="常规 4 2 2 8 3 2 4 2 2 2 2" xfId="17655"/>
    <cellStyle name="常规 4 2 2 8 3 2 4 2 2 3" xfId="17656"/>
    <cellStyle name="常规 4 2 2 8 3 2 4 2 2 4" xfId="17658"/>
    <cellStyle name="常规 4 2 2 8 3 2 4 2 3" xfId="17659"/>
    <cellStyle name="常规 4 2 2 8 3 2 4 2 3 2" xfId="15372"/>
    <cellStyle name="常规 4 2 2 8 3 2 4 2 4" xfId="17660"/>
    <cellStyle name="常规 4 2 2 8 3 2 4 2 5" xfId="17661"/>
    <cellStyle name="常规 4 2 2 8 3 2 4 3" xfId="17662"/>
    <cellStyle name="常规 4 2 2 8 3 2 4 3 2" xfId="17663"/>
    <cellStyle name="常规 4 2 2 8 3 2 4 3 2 2" xfId="17664"/>
    <cellStyle name="常规 4 2 2 8 3 2 4 3 3" xfId="17665"/>
    <cellStyle name="常规 4 2 2 8 3 2 4 3 4" xfId="17668"/>
    <cellStyle name="常规 4 2 2 8 3 2 4 4" xfId="10883"/>
    <cellStyle name="常规 4 2 2 8 3 2 4 4 2" xfId="17669"/>
    <cellStyle name="常规 4 2 2 8 3 2 4 5" xfId="17670"/>
    <cellStyle name="常规 4 2 2 8 3 2 4 6" xfId="17672"/>
    <cellStyle name="常规 4 2 2 8 3 2 5" xfId="11946"/>
    <cellStyle name="常规 4 2 2 8 3 2 5 2" xfId="11948"/>
    <cellStyle name="常规 4 2 2 8 3 2 5 2 2" xfId="17673"/>
    <cellStyle name="常规 4 2 2 8 3 2 5 2 2 2" xfId="17676"/>
    <cellStyle name="常规 4 2 2 8 3 2 5 2 3" xfId="17677"/>
    <cellStyle name="常规 4 2 2 8 3 2 5 2 4" xfId="17678"/>
    <cellStyle name="常规 4 2 2 8 3 2 5 3" xfId="17679"/>
    <cellStyle name="常规 4 2 2 8 3 2 5 3 2" xfId="17680"/>
    <cellStyle name="常规 4 2 2 8 3 2 5 4" xfId="17681"/>
    <cellStyle name="常规 4 2 2 8 3 2 5 5" xfId="17682"/>
    <cellStyle name="常规 4 2 2 8 3 2 6" xfId="1942"/>
    <cellStyle name="常规 4 2 2 8 3 2 6 2" xfId="2405"/>
    <cellStyle name="常规 4 2 2 8 3 2 6 2 2" xfId="17683"/>
    <cellStyle name="常规 4 2 2 8 3 2 6 3" xfId="17684"/>
    <cellStyle name="常规 4 2 2 8 3 2 6 4" xfId="17685"/>
    <cellStyle name="常规 4 2 2 8 3 2 7" xfId="11756"/>
    <cellStyle name="常规 4 2 2 8 3 2 7 2" xfId="2416"/>
    <cellStyle name="常规 4 2 2 8 3 2 8" xfId="10778"/>
    <cellStyle name="常规 4 2 2 8 3 2 9" xfId="17686"/>
    <cellStyle name="常规 4 2 2 8 3 3" xfId="17687"/>
    <cellStyle name="常规 4 2 2 8 3 3 2" xfId="3588"/>
    <cellStyle name="常规 4 2 2 8 3 3 2 2" xfId="17689"/>
    <cellStyle name="常规 4 2 2 8 3 3 2 2 2" xfId="17690"/>
    <cellStyle name="常规 4 2 2 8 3 3 2 2 2 2" xfId="17691"/>
    <cellStyle name="常规 4 2 2 8 3 3 2 2 2 2 2" xfId="12149"/>
    <cellStyle name="常规 4 2 2 8 3 3 2 2 2 2 2 2" xfId="12155"/>
    <cellStyle name="常规 4 2 2 8 3 3 2 2 2 2 2 2 2" xfId="9879"/>
    <cellStyle name="常规 4 2 2 8 3 3 2 2 2 2 2 3" xfId="17696"/>
    <cellStyle name="常规 4 2 2 8 3 3 2 2 2 2 2 4" xfId="17699"/>
    <cellStyle name="常规 4 2 2 8 3 3 2 2 2 2 3" xfId="12156"/>
    <cellStyle name="常规 4 2 2 8 3 3 2 2 2 2 3 2" xfId="17700"/>
    <cellStyle name="常规 4 2 2 8 3 3 2 2 2 2 4" xfId="12159"/>
    <cellStyle name="常规 4 2 2 8 3 3 2 2 2 2 5" xfId="17701"/>
    <cellStyle name="常规 4 2 2 8 3 3 2 2 2 3" xfId="17702"/>
    <cellStyle name="常规 4 2 2 8 3 3 2 2 2 3 2" xfId="12190"/>
    <cellStyle name="常规 4 2 2 8 3 3 2 2 2 3 2 2" xfId="17703"/>
    <cellStyle name="常规 4 2 2 8 3 3 2 2 2 3 3" xfId="12193"/>
    <cellStyle name="常规 4 2 2 8 3 3 2 2 2 3 4" xfId="17704"/>
    <cellStyle name="常规 4 2 2 8 3 3 2 2 2 4" xfId="17705"/>
    <cellStyle name="常规 4 2 2 8 3 3 2 2 2 4 2" xfId="12206"/>
    <cellStyle name="常规 4 2 2 8 3 3 2 2 2 5" xfId="1765"/>
    <cellStyle name="常规 4 2 2 8 3 3 2 2 2 6" xfId="1770"/>
    <cellStyle name="常规 4 2 2 8 3 3 2 2 3" xfId="17706"/>
    <cellStyle name="常规 4 2 2 8 3 3 2 2 3 2" xfId="17707"/>
    <cellStyle name="常规 4 2 2 8 3 3 2 2 3 2 2" xfId="12449"/>
    <cellStyle name="常规 4 2 2 8 3 3 2 2 3 2 2 2" xfId="17708"/>
    <cellStyle name="常规 4 2 2 8 3 3 2 2 3 2 3" xfId="17709"/>
    <cellStyle name="常规 4 2 2 8 3 3 2 2 3 2 4" xfId="17710"/>
    <cellStyle name="常规 4 2 2 8 3 3 2 2 3 3" xfId="17713"/>
    <cellStyle name="常规 4 2 2 8 3 3 2 2 3 3 2" xfId="17716"/>
    <cellStyle name="常规 4 2 2 8 3 3 2 2 3 4" xfId="15167"/>
    <cellStyle name="常规 4 2 2 8 3 3 2 2 3 5" xfId="3080"/>
    <cellStyle name="常规 4 2 2 8 3 3 2 2 4" xfId="17717"/>
    <cellStyle name="常规 4 2 2 8 3 3 2 2 4 2" xfId="17718"/>
    <cellStyle name="常规 4 2 2 8 3 3 2 2 4 2 2" xfId="12730"/>
    <cellStyle name="常规 4 2 2 8 3 3 2 2 4 3" xfId="17721"/>
    <cellStyle name="常规 4 2 2 8 3 3 2 2 4 4" xfId="15175"/>
    <cellStyle name="常规 4 2 2 8 3 3 2 2 5" xfId="17722"/>
    <cellStyle name="常规 4 2 2 8 3 3 2 2 5 2" xfId="17723"/>
    <cellStyle name="常规 4 2 2 8 3 3 2 2 6" xfId="17724"/>
    <cellStyle name="常规 4 2 2 8 3 3 2 2 7" xfId="17725"/>
    <cellStyle name="常规 4 2 2 8 3 3 2 3" xfId="17726"/>
    <cellStyle name="常规 4 2 2 8 3 3 2 3 2" xfId="17727"/>
    <cellStyle name="常规 4 2 2 8 3 3 2 3 2 2" xfId="17729"/>
    <cellStyle name="常规 4 2 2 8 3 3 2 3 2 2 2" xfId="14089"/>
    <cellStyle name="常规 4 2 2 8 3 3 2 3 2 2 2 2" xfId="17730"/>
    <cellStyle name="常规 4 2 2 8 3 3 2 3 2 2 3" xfId="17731"/>
    <cellStyle name="常规 4 2 2 8 3 3 2 3 2 2 4" xfId="17732"/>
    <cellStyle name="常规 4 2 2 8 3 3 2 3 2 3" xfId="17733"/>
    <cellStyle name="常规 4 2 2 8 3 3 2 3 2 3 2" xfId="17734"/>
    <cellStyle name="常规 4 2 2 8 3 3 2 3 2 4" xfId="17735"/>
    <cellStyle name="常规 4 2 2 8 3 3 2 3 2 5" xfId="3113"/>
    <cellStyle name="常规 4 2 2 8 3 3 2 3 3" xfId="17736"/>
    <cellStyle name="常规 4 2 2 8 3 3 2 3 3 2" xfId="17737"/>
    <cellStyle name="常规 4 2 2 8 3 3 2 3 3 2 2" xfId="14322"/>
    <cellStyle name="常规 4 2 2 8 3 3 2 3 3 3" xfId="17739"/>
    <cellStyle name="常规 4 2 2 8 3 3 2 3 3 4" xfId="15180"/>
    <cellStyle name="常规 4 2 2 8 3 3 2 3 4" xfId="17740"/>
    <cellStyle name="常规 4 2 2 8 3 3 2 3 4 2" xfId="17741"/>
    <cellStyle name="常规 4 2 2 8 3 3 2 3 5" xfId="17742"/>
    <cellStyle name="常规 4 2 2 8 3 3 2 3 6" xfId="17744"/>
    <cellStyle name="常规 4 2 2 8 3 3 2 4" xfId="17745"/>
    <cellStyle name="常规 4 2 2 8 3 3 2 4 2" xfId="17746"/>
    <cellStyle name="常规 4 2 2 8 3 3 2 4 2 2" xfId="7624"/>
    <cellStyle name="常规 4 2 2 8 3 3 2 4 2 2 2" xfId="7626"/>
    <cellStyle name="常规 4 2 2 8 3 3 2 4 2 3" xfId="7630"/>
    <cellStyle name="常规 4 2 2 8 3 3 2 4 2 4" xfId="7030"/>
    <cellStyle name="常规 4 2 2 8 3 3 2 4 3" xfId="17747"/>
    <cellStyle name="常规 4 2 2 8 3 3 2 4 3 2" xfId="7637"/>
    <cellStyle name="常规 4 2 2 8 3 3 2 4 4" xfId="17748"/>
    <cellStyle name="常规 4 2 2 8 3 3 2 4 5" xfId="17749"/>
    <cellStyle name="常规 4 2 2 8 3 3 2 5" xfId="17750"/>
    <cellStyle name="常规 4 2 2 8 3 3 2 5 2" xfId="17751"/>
    <cellStyle name="常规 4 2 2 8 3 3 2 5 2 2" xfId="7654"/>
    <cellStyle name="常规 4 2 2 8 3 3 2 5 3" xfId="17752"/>
    <cellStyle name="常规 4 2 2 8 3 3 2 5 4" xfId="17753"/>
    <cellStyle name="常规 4 2 2 8 3 3 2 6" xfId="17754"/>
    <cellStyle name="常规 4 2 2 8 3 3 2 6 2" xfId="17755"/>
    <cellStyle name="常规 4 2 2 8 3 3 2 7" xfId="17756"/>
    <cellStyle name="常规 4 2 2 8 3 3 2 8" xfId="17758"/>
    <cellStyle name="常规 4 2 2 8 3 3 3" xfId="17759"/>
    <cellStyle name="常规 4 2 2 8 3 3 3 2" xfId="17760"/>
    <cellStyle name="常规 4 2 2 8 3 3 3 2 2" xfId="17761"/>
    <cellStyle name="常规 4 2 2 8 3 3 3 2 2 2" xfId="17762"/>
    <cellStyle name="常规 4 2 2 8 3 3 3 2 2 2 2" xfId="7115"/>
    <cellStyle name="常规 4 2 2 8 3 3 3 2 2 2 2 2" xfId="2297"/>
    <cellStyle name="常规 4 2 2 8 3 3 3 2 2 2 3" xfId="7117"/>
    <cellStyle name="常规 4 2 2 8 3 3 3 2 2 2 4" xfId="17763"/>
    <cellStyle name="常规 4 2 2 8 3 3 3 2 2 3" xfId="17764"/>
    <cellStyle name="常规 4 2 2 8 3 3 3 2 2 3 2" xfId="16144"/>
    <cellStyle name="常规 4 2 2 8 3 3 3 2 2 4" xfId="17766"/>
    <cellStyle name="常规 4 2 2 8 3 3 3 2 2 5" xfId="17767"/>
    <cellStyle name="常规 4 2 2 8 3 3 3 2 3" xfId="17768"/>
    <cellStyle name="常规 4 2 2 8 3 3 3 2 3 2" xfId="17769"/>
    <cellStyle name="常规 4 2 2 8 3 3 3 2 3 2 2" xfId="17770"/>
    <cellStyle name="常规 4 2 2 8 3 3 3 2 3 3" xfId="17772"/>
    <cellStyle name="常规 4 2 2 8 3 3 3 2 3 4" xfId="15197"/>
    <cellStyle name="常规 4 2 2 8 3 3 3 2 4" xfId="17773"/>
    <cellStyle name="常规 4 2 2 8 3 3 3 2 4 2" xfId="17776"/>
    <cellStyle name="常规 4 2 2 8 3 3 3 2 5" xfId="17777"/>
    <cellStyle name="常规 4 2 2 8 3 3 3 2 6" xfId="17778"/>
    <cellStyle name="常规 4 2 2 8 3 3 3 3" xfId="17779"/>
    <cellStyle name="常规 4 2 2 8 3 3 3 3 2" xfId="17780"/>
    <cellStyle name="常规 4 2 2 8 3 3 3 3 2 2" xfId="17781"/>
    <cellStyle name="常规 4 2 2 8 3 3 3 3 2 2 2" xfId="8284"/>
    <cellStyle name="常规 4 2 2 8 3 3 3 3 2 3" xfId="17782"/>
    <cellStyle name="常规 4 2 2 8 3 3 3 3 2 4" xfId="17783"/>
    <cellStyle name="常规 4 2 2 8 3 3 3 3 3" xfId="17784"/>
    <cellStyle name="常规 4 2 2 8 3 3 3 3 3 2" xfId="17785"/>
    <cellStyle name="常规 4 2 2 8 3 3 3 3 4" xfId="17786"/>
    <cellStyle name="常规 4 2 2 8 3 3 3 3 5" xfId="17787"/>
    <cellStyle name="常规 4 2 2 8 3 3 3 4" xfId="17788"/>
    <cellStyle name="常规 4 2 2 8 3 3 3 4 2" xfId="17789"/>
    <cellStyle name="常规 4 2 2 8 3 3 3 4 2 2" xfId="6268"/>
    <cellStyle name="常规 4 2 2 8 3 3 3 4 3" xfId="17790"/>
    <cellStyle name="常规 4 2 2 8 3 3 3 4 4" xfId="17791"/>
    <cellStyle name="常规 4 2 2 8 3 3 3 5" xfId="17792"/>
    <cellStyle name="常规 4 2 2 8 3 3 3 5 2" xfId="17793"/>
    <cellStyle name="常规 4 2 2 8 3 3 3 6" xfId="17794"/>
    <cellStyle name="常规 4 2 2 8 3 3 3 7" xfId="17795"/>
    <cellStyle name="常规 4 2 2 8 3 3 4" xfId="17796"/>
    <cellStyle name="常规 4 2 2 8 3 3 4 2" xfId="17797"/>
    <cellStyle name="常规 4 2 2 8 3 3 4 2 2" xfId="10447"/>
    <cellStyle name="常规 4 2 2 8 3 3 4 2 2 2" xfId="17798"/>
    <cellStyle name="常规 4 2 2 8 3 3 4 2 2 2 2" xfId="17799"/>
    <cellStyle name="常规 4 2 2 8 3 3 4 2 2 3" xfId="17800"/>
    <cellStyle name="常规 4 2 2 8 3 3 4 2 2 4" xfId="17801"/>
    <cellStyle name="常规 4 2 2 8 3 3 4 2 3" xfId="17802"/>
    <cellStyle name="常规 4 2 2 8 3 3 4 2 3 2" xfId="15740"/>
    <cellStyle name="常规 4 2 2 8 3 3 4 2 4" xfId="17804"/>
    <cellStyle name="常规 4 2 2 8 3 3 4 2 5" xfId="17806"/>
    <cellStyle name="常规 4 2 2 8 3 3 4 3" xfId="17807"/>
    <cellStyle name="常规 4 2 2 8 3 3 4 3 2" xfId="17808"/>
    <cellStyle name="常规 4 2 2 8 3 3 4 3 2 2" xfId="17809"/>
    <cellStyle name="常规 4 2 2 8 3 3 4 3 3" xfId="17810"/>
    <cellStyle name="常规 4 2 2 8 3 3 4 3 4" xfId="17812"/>
    <cellStyle name="常规 4 2 2 8 3 3 4 4" xfId="17813"/>
    <cellStyle name="常规 4 2 2 8 3 3 4 4 2" xfId="17814"/>
    <cellStyle name="常规 4 2 2 8 3 3 4 5" xfId="17815"/>
    <cellStyle name="常规 4 2 2 8 3 3 4 6" xfId="17816"/>
    <cellStyle name="常规 4 2 2 8 3 3 5" xfId="11954"/>
    <cellStyle name="常规 4 2 2 8 3 3 5 2" xfId="17819"/>
    <cellStyle name="常规 4 2 2 8 3 3 5 2 2" xfId="17822"/>
    <cellStyle name="常规 4 2 2 8 3 3 5 2 2 2" xfId="17826"/>
    <cellStyle name="常规 4 2 2 8 3 3 5 2 3" xfId="1916"/>
    <cellStyle name="常规 4 2 2 8 3 3 5 2 4" xfId="17830"/>
    <cellStyle name="常规 4 2 2 8 3 3 5 3" xfId="17833"/>
    <cellStyle name="常规 4 2 2 8 3 3 5 3 2" xfId="17836"/>
    <cellStyle name="常规 4 2 2 8 3 3 5 4" xfId="17839"/>
    <cellStyle name="常规 4 2 2 8 3 3 5 5" xfId="17842"/>
    <cellStyle name="常规 4 2 2 8 3 3 6" xfId="11648"/>
    <cellStyle name="常规 4 2 2 8 3 3 6 2" xfId="11652"/>
    <cellStyle name="常规 4 2 2 8 3 3 6 2 2" xfId="17845"/>
    <cellStyle name="常规 4 2 2 8 3 3 6 3" xfId="17848"/>
    <cellStyle name="常规 4 2 2 8 3 3 6 4" xfId="17851"/>
    <cellStyle name="常规 4 2 2 8 3 3 7" xfId="11656"/>
    <cellStyle name="常规 4 2 2 8 3 3 7 2" xfId="2440"/>
    <cellStyle name="常规 4 2 2 8 3 3 8" xfId="11660"/>
    <cellStyle name="常规 4 2 2 8 3 3 9" xfId="17854"/>
    <cellStyle name="常规 4 2 2 8 3 4" xfId="5422"/>
    <cellStyle name="常规 4 2 2 8 3 4 2" xfId="5141"/>
    <cellStyle name="常规 4 2 2 8 3 4 2 2" xfId="5444"/>
    <cellStyle name="常规 4 2 2 8 3 4 2 2 2" xfId="15939"/>
    <cellStyle name="常规 4 2 2 8 3 4 2 2 2 2" xfId="17856"/>
    <cellStyle name="常规 4 2 2 8 3 4 2 2 2 2 2" xfId="17858"/>
    <cellStyle name="常规 4 2 2 8 3 4 2 2 2 2 2 2" xfId="17863"/>
    <cellStyle name="常规 4 2 2 8 3 4 2 2 2 2 3" xfId="17865"/>
    <cellStyle name="常规 4 2 2 8 3 4 2 2 2 2 4" xfId="17867"/>
    <cellStyle name="常规 4 2 2 8 3 4 2 2 2 3" xfId="17870"/>
    <cellStyle name="常规 4 2 2 8 3 4 2 2 2 3 2" xfId="12035"/>
    <cellStyle name="常规 4 2 2 8 3 4 2 2 2 4" xfId="17873"/>
    <cellStyle name="常规 4 2 2 8 3 4 2 2 2 5" xfId="17876"/>
    <cellStyle name="常规 4 2 2 8 3 4 2 2 3" xfId="17879"/>
    <cellStyle name="常规 4 2 2 8 3 4 2 2 3 2" xfId="17882"/>
    <cellStyle name="常规 4 2 2 8 3 4 2 2 3 2 2" xfId="17884"/>
    <cellStyle name="常规 4 2 2 8 3 4 2 2 3 3" xfId="17888"/>
    <cellStyle name="常规 4 2 2 8 3 4 2 2 3 4" xfId="15689"/>
    <cellStyle name="常规 4 2 2 8 3 4 2 2 4" xfId="17891"/>
    <cellStyle name="常规 4 2 2 8 3 4 2 2 4 2" xfId="17893"/>
    <cellStyle name="常规 4 2 2 8 3 4 2 2 5" xfId="17896"/>
    <cellStyle name="常规 4 2 2 8 3 4 2 2 6" xfId="17898"/>
    <cellStyle name="常规 4 2 2 8 3 4 2 3" xfId="15941"/>
    <cellStyle name="常规 4 2 2 8 3 4 2 3 2" xfId="17900"/>
    <cellStyle name="常规 4 2 2 8 3 4 2 3 2 2" xfId="17902"/>
    <cellStyle name="常规 4 2 2 8 3 4 2 3 2 2 2" xfId="17904"/>
    <cellStyle name="常规 4 2 2 8 3 4 2 3 2 3" xfId="17908"/>
    <cellStyle name="常规 4 2 2 8 3 4 2 3 2 4" xfId="17912"/>
    <cellStyle name="常规 4 2 2 8 3 4 2 3 3" xfId="17915"/>
    <cellStyle name="常规 4 2 2 8 3 4 2 3 3 2" xfId="17917"/>
    <cellStyle name="常规 4 2 2 8 3 4 2 3 4" xfId="17920"/>
    <cellStyle name="常规 4 2 2 8 3 4 2 3 5" xfId="17923"/>
    <cellStyle name="常规 4 2 2 8 3 4 2 4" xfId="15943"/>
    <cellStyle name="常规 4 2 2 8 3 4 2 4 2" xfId="17925"/>
    <cellStyle name="常规 4 2 2 8 3 4 2 4 2 2" xfId="7792"/>
    <cellStyle name="常规 4 2 2 8 3 4 2 4 3" xfId="17927"/>
    <cellStyle name="常规 4 2 2 8 3 4 2 4 4" xfId="17930"/>
    <cellStyle name="常规 4 2 2 8 3 4 2 5" xfId="17931"/>
    <cellStyle name="常规 4 2 2 8 3 4 2 5 2" xfId="17933"/>
    <cellStyle name="常规 4 2 2 8 3 4 2 6" xfId="17934"/>
    <cellStyle name="常规 4 2 2 8 3 4 2 7" xfId="17935"/>
    <cellStyle name="常规 4 2 2 8 3 4 3" xfId="5147"/>
    <cellStyle name="常规 4 2 2 8 3 4 3 2" xfId="15948"/>
    <cellStyle name="常规 4 2 2 8 3 4 3 2 2" xfId="4610"/>
    <cellStyle name="常规 4 2 2 8 3 4 3 2 2 2" xfId="17939"/>
    <cellStyle name="常规 4 2 2 8 3 4 3 2 2 2 2" xfId="17941"/>
    <cellStyle name="常规 4 2 2 8 3 4 3 2 2 3" xfId="17945"/>
    <cellStyle name="常规 4 2 2 8 3 4 3 2 2 4" xfId="17949"/>
    <cellStyle name="常规 4 2 2 8 3 4 3 2 3" xfId="4616"/>
    <cellStyle name="常规 4 2 2 8 3 4 3 2 3 2" xfId="17952"/>
    <cellStyle name="常规 4 2 2 8 3 4 3 2 4" xfId="17954"/>
    <cellStyle name="常规 4 2 2 8 3 4 3 2 5" xfId="17955"/>
    <cellStyle name="常规 4 2 2 8 3 4 3 3" xfId="17957"/>
    <cellStyle name="常规 4 2 2 8 3 4 3 3 2" xfId="17959"/>
    <cellStyle name="常规 4 2 2 8 3 4 3 3 2 2" xfId="17962"/>
    <cellStyle name="常规 4 2 2 8 3 4 3 3 3" xfId="17964"/>
    <cellStyle name="常规 4 2 2 8 3 4 3 3 4" xfId="17966"/>
    <cellStyle name="常规 4 2 2 8 3 4 3 4" xfId="17967"/>
    <cellStyle name="常规 4 2 2 8 3 4 3 4 2" xfId="17969"/>
    <cellStyle name="常规 4 2 2 8 3 4 3 5" xfId="17970"/>
    <cellStyle name="常规 4 2 2 8 3 4 3 6" xfId="17971"/>
    <cellStyle name="常规 4 2 2 8 3 4 4" xfId="2075"/>
    <cellStyle name="常规 4 2 2 8 3 4 4 2" xfId="13619"/>
    <cellStyle name="常规 4 2 2 8 3 4 4 2 2" xfId="17974"/>
    <cellStyle name="常规 4 2 2 8 3 4 4 2 2 2" xfId="17977"/>
    <cellStyle name="常规 4 2 2 8 3 4 4 2 3" xfId="17980"/>
    <cellStyle name="常规 4 2 2 8 3 4 4 2 4" xfId="17982"/>
    <cellStyle name="常规 4 2 2 8 3 4 4 3" xfId="17983"/>
    <cellStyle name="常规 4 2 2 8 3 4 4 3 2" xfId="17986"/>
    <cellStyle name="常规 4 2 2 8 3 4 4 4" xfId="17987"/>
    <cellStyle name="常规 4 2 2 8 3 4 4 5" xfId="17988"/>
    <cellStyle name="常规 4 2 2 8 3 4 5" xfId="2082"/>
    <cellStyle name="常规 4 2 2 8 3 4 5 2" xfId="17990"/>
    <cellStyle name="常规 4 2 2 8 3 4 5 2 2" xfId="17992"/>
    <cellStyle name="常规 4 2 2 8 3 4 5 3" xfId="17994"/>
    <cellStyle name="常规 4 2 2 8 3 4 5 4" xfId="17996"/>
    <cellStyle name="常规 4 2 2 8 3 4 6" xfId="11666"/>
    <cellStyle name="常规 4 2 2 8 3 4 6 2" xfId="17998"/>
    <cellStyle name="常规 4 2 2 8 3 4 7" xfId="18000"/>
    <cellStyle name="常规 4 2 2 8 3 4 8" xfId="18002"/>
    <cellStyle name="常规 4 2 2 8 3 5" xfId="5426"/>
    <cellStyle name="常规 4 2 2 8 3 5 2" xfId="5169"/>
    <cellStyle name="常规 4 2 2 8 3 5 2 2" xfId="15950"/>
    <cellStyle name="常规 4 2 2 8 3 5 2 2 2" xfId="18003"/>
    <cellStyle name="常规 4 2 2 8 3 5 2 2 2 2" xfId="18004"/>
    <cellStyle name="常规 4 2 2 8 3 5 2 2 2 2 2" xfId="18005"/>
    <cellStyle name="常规 4 2 2 8 3 5 2 2 2 3" xfId="18007"/>
    <cellStyle name="常规 4 2 2 8 3 5 2 2 2 4" xfId="18009"/>
    <cellStyle name="常规 4 2 2 8 3 5 2 2 3" xfId="18011"/>
    <cellStyle name="常规 4 2 2 8 3 5 2 2 3 2" xfId="18012"/>
    <cellStyle name="常规 4 2 2 8 3 5 2 2 4" xfId="18013"/>
    <cellStyle name="常规 4 2 2 8 3 5 2 2 5" xfId="18014"/>
    <cellStyle name="常规 4 2 2 8 3 5 2 3" xfId="18016"/>
    <cellStyle name="常规 4 2 2 8 3 5 2 3 2" xfId="18017"/>
    <cellStyle name="常规 4 2 2 8 3 5 2 3 2 2" xfId="18018"/>
    <cellStyle name="常规 4 2 2 8 3 5 2 3 3" xfId="18019"/>
    <cellStyle name="常规 4 2 2 8 3 5 2 3 4" xfId="18021"/>
    <cellStyle name="常规 4 2 2 8 3 5 2 4" xfId="18022"/>
    <cellStyle name="常规 4 2 2 8 3 5 2 4 2" xfId="18023"/>
    <cellStyle name="常规 4 2 2 8 3 5 2 5" xfId="18024"/>
    <cellStyle name="常规 4 2 2 8 3 5 2 6" xfId="18025"/>
    <cellStyle name="常规 4 2 2 8 3 5 3" xfId="15954"/>
    <cellStyle name="常规 4 2 2 8 3 5 3 2" xfId="18027"/>
    <cellStyle name="常规 4 2 2 8 3 5 3 2 2" xfId="18029"/>
    <cellStyle name="常规 4 2 2 8 3 5 3 2 2 2" xfId="18032"/>
    <cellStyle name="常规 4 2 2 8 3 5 3 2 3" xfId="18033"/>
    <cellStyle name="常规 4 2 2 8 3 5 3 2 4" xfId="18034"/>
    <cellStyle name="常规 4 2 2 8 3 5 3 3" xfId="18036"/>
    <cellStyle name="常规 4 2 2 8 3 5 3 3 2" xfId="18037"/>
    <cellStyle name="常规 4 2 2 8 3 5 3 4" xfId="18039"/>
    <cellStyle name="常规 4 2 2 8 3 5 3 5" xfId="18040"/>
    <cellStyle name="常规 4 2 2 8 3 5 4" xfId="2101"/>
    <cellStyle name="常规 4 2 2 8 3 5 4 2" xfId="18042"/>
    <cellStyle name="常规 4 2 2 8 3 5 4 2 2" xfId="18044"/>
    <cellStyle name="常规 4 2 2 8 3 5 4 3" xfId="18045"/>
    <cellStyle name="常规 4 2 2 8 3 5 4 4" xfId="18046"/>
    <cellStyle name="常规 4 2 2 8 3 5 5" xfId="18049"/>
    <cellStyle name="常规 4 2 2 8 3 5 5 2" xfId="18052"/>
    <cellStyle name="常规 4 2 2 8 3 5 6" xfId="10729"/>
    <cellStyle name="常规 4 2 2 8 3 5 7" xfId="18054"/>
    <cellStyle name="常规 4 2 2 8 3 6" xfId="5434"/>
    <cellStyle name="常规 4 2 2 8 3 6 2" xfId="6486"/>
    <cellStyle name="常规 4 2 2 8 3 6 2 2" xfId="18055"/>
    <cellStyle name="常规 4 2 2 8 3 6 2 2 2" xfId="18057"/>
    <cellStyle name="常规 4 2 2 8 3 6 2 2 2 2" xfId="18060"/>
    <cellStyle name="常规 4 2 2 8 3 6 2 2 3" xfId="18062"/>
    <cellStyle name="常规 4 2 2 8 3 6 2 2 4" xfId="18064"/>
    <cellStyle name="常规 4 2 2 8 3 6 2 3" xfId="18065"/>
    <cellStyle name="常规 4 2 2 8 3 6 2 3 2" xfId="18068"/>
    <cellStyle name="常规 4 2 2 8 3 6 2 4" xfId="18069"/>
    <cellStyle name="常规 4 2 2 8 3 6 2 5" xfId="18070"/>
    <cellStyle name="常规 4 2 2 8 3 6 3" xfId="18072"/>
    <cellStyle name="常规 4 2 2 8 3 6 3 2" xfId="18074"/>
    <cellStyle name="常规 4 2 2 8 3 6 3 2 2" xfId="18076"/>
    <cellStyle name="常规 4 2 2 8 3 6 3 3" xfId="18077"/>
    <cellStyle name="常规 4 2 2 8 3 6 3 4" xfId="18078"/>
    <cellStyle name="常规 4 2 2 8 3 6 4" xfId="18080"/>
    <cellStyle name="常规 4 2 2 8 3 6 4 2" xfId="18081"/>
    <cellStyle name="常规 4 2 2 8 3 6 5" xfId="18085"/>
    <cellStyle name="常规 4 2 2 8 3 6 6" xfId="18087"/>
    <cellStyle name="常规 4 2 2 8 3 7" xfId="5451"/>
    <cellStyle name="常规 4 2 2 8 3 7 2" xfId="18088"/>
    <cellStyle name="常规 4 2 2 8 3 7 2 2" xfId="18089"/>
    <cellStyle name="常规 4 2 2 8 3 7 2 2 2" xfId="18091"/>
    <cellStyle name="常规 4 2 2 8 3 7 2 3" xfId="18092"/>
    <cellStyle name="常规 4 2 2 8 3 7 2 4" xfId="17050"/>
    <cellStyle name="常规 4 2 2 8 3 7 3" xfId="18094"/>
    <cellStyle name="常规 4 2 2 8 3 7 3 2" xfId="18095"/>
    <cellStyle name="常规 4 2 2 8 3 7 4" xfId="18096"/>
    <cellStyle name="常规 4 2 2 8 3 7 5" xfId="18098"/>
    <cellStyle name="常规 4 2 2 8 3 8" xfId="4875"/>
    <cellStyle name="常规 4 2 2 8 3 8 2" xfId="18099"/>
    <cellStyle name="常规 4 2 2 8 3 8 2 2" xfId="18100"/>
    <cellStyle name="常规 4 2 2 8 3 8 3" xfId="18101"/>
    <cellStyle name="常规 4 2 2 8 3 8 4" xfId="18102"/>
    <cellStyle name="常规 4 2 2 8 3 9" xfId="18103"/>
    <cellStyle name="常规 4 2 2 8 3 9 2" xfId="18104"/>
    <cellStyle name="常规 4 2 2 8 4" xfId="18106"/>
    <cellStyle name="常规 4 2 2 8 4 2" xfId="18107"/>
    <cellStyle name="常规 4 2 2 8 4 2 2" xfId="18108"/>
    <cellStyle name="常规 4 2 2 8 4 2 2 2" xfId="18110"/>
    <cellStyle name="常规 4 2 2 8 4 2 2 2 2" xfId="18111"/>
    <cellStyle name="常规 4 2 2 8 4 2 2 2 2 2" xfId="18113"/>
    <cellStyle name="常规 4 2 2 8 4 2 2 2 2 2 2" xfId="18114"/>
    <cellStyle name="常规 4 2 2 8 4 2 2 2 2 2 2 2" xfId="18116"/>
    <cellStyle name="常规 4 2 2 8 4 2 2 2 2 2 3" xfId="18117"/>
    <cellStyle name="常规 4 2 2 8 4 2 2 2 2 2 4" xfId="18118"/>
    <cellStyle name="常规 4 2 2 8 4 2 2 2 2 3" xfId="18120"/>
    <cellStyle name="常规 4 2 2 8 4 2 2 2 2 3 2" xfId="18121"/>
    <cellStyle name="常规 4 2 2 8 4 2 2 2 2 4" xfId="18122"/>
    <cellStyle name="常规 4 2 2 8 4 2 2 2 2 5" xfId="18123"/>
    <cellStyle name="常规 4 2 2 8 4 2 2 2 3" xfId="18124"/>
    <cellStyle name="常规 4 2 2 8 4 2 2 2 3 2" xfId="18126"/>
    <cellStyle name="常规 4 2 2 8 4 2 2 2 3 2 2" xfId="18127"/>
    <cellStyle name="常规 4 2 2 8 4 2 2 2 3 3" xfId="18128"/>
    <cellStyle name="常规 4 2 2 8 4 2 2 2 3 4" xfId="18129"/>
    <cellStyle name="常规 4 2 2 8 4 2 2 2 4" xfId="18130"/>
    <cellStyle name="常规 4 2 2 8 4 2 2 2 4 2" xfId="18131"/>
    <cellStyle name="常规 4 2 2 8 4 2 2 2 5" xfId="18132"/>
    <cellStyle name="常规 4 2 2 8 4 2 2 2 6" xfId="18133"/>
    <cellStyle name="常规 4 2 2 8 4 2 2 3" xfId="18135"/>
    <cellStyle name="常规 4 2 2 8 4 2 2 3 2" xfId="3271"/>
    <cellStyle name="常规 4 2 2 8 4 2 2 3 2 2" xfId="3279"/>
    <cellStyle name="常规 4 2 2 8 4 2 2 3 2 2 2" xfId="3283"/>
    <cellStyle name="常规 4 2 2 8 4 2 2 3 2 3" xfId="3293"/>
    <cellStyle name="常规 4 2 2 8 4 2 2 3 2 4" xfId="3303"/>
    <cellStyle name="常规 4 2 2 8 4 2 2 3 3" xfId="3316"/>
    <cellStyle name="常规 4 2 2 8 4 2 2 3 3 2" xfId="3320"/>
    <cellStyle name="常规 4 2 2 8 4 2 2 3 4" xfId="3349"/>
    <cellStyle name="常规 4 2 2 8 4 2 2 3 5" xfId="3373"/>
    <cellStyle name="常规 4 2 2 8 4 2 2 4" xfId="18136"/>
    <cellStyle name="常规 4 2 2 8 4 2 2 4 2" xfId="3683"/>
    <cellStyle name="常规 4 2 2 8 4 2 2 4 2 2" xfId="1498"/>
    <cellStyle name="常规 4 2 2 8 4 2 2 4 3" xfId="3725"/>
    <cellStyle name="常规 4 2 2 8 4 2 2 4 4" xfId="3763"/>
    <cellStyle name="常规 4 2 2 8 4 2 2 5" xfId="3264"/>
    <cellStyle name="常规 4 2 2 8 4 2 2 5 2" xfId="3924"/>
    <cellStyle name="常规 4 2 2 8 4 2 2 6" xfId="18139"/>
    <cellStyle name="常规 4 2 2 8 4 2 2 7" xfId="18140"/>
    <cellStyle name="常规 4 2 2 8 4 2 3" xfId="18141"/>
    <cellStyle name="常规 4 2 2 8 4 2 3 2" xfId="18142"/>
    <cellStyle name="常规 4 2 2 8 4 2 3 2 2" xfId="18144"/>
    <cellStyle name="常规 4 2 2 8 4 2 3 2 2 2" xfId="14098"/>
    <cellStyle name="常规 4 2 2 8 4 2 3 2 2 2 2" xfId="18145"/>
    <cellStyle name="常规 4 2 2 8 4 2 3 2 2 3" xfId="14101"/>
    <cellStyle name="常规 4 2 2 8 4 2 3 2 2 4" xfId="18147"/>
    <cellStyle name="常规 4 2 2 8 4 2 3 2 3" xfId="18148"/>
    <cellStyle name="常规 4 2 2 8 4 2 3 2 3 2" xfId="14330"/>
    <cellStyle name="常规 4 2 2 8 4 2 3 2 4" xfId="18149"/>
    <cellStyle name="常规 4 2 2 8 4 2 3 2 5" xfId="17540"/>
    <cellStyle name="常规 4 2 2 8 4 2 3 3" xfId="18150"/>
    <cellStyle name="常规 4 2 2 8 4 2 3 3 2" xfId="6834"/>
    <cellStyle name="常规 4 2 2 8 4 2 3 3 2 2" xfId="14"/>
    <cellStyle name="常规 4 2 2 8 4 2 3 3 3" xfId="6847"/>
    <cellStyle name="常规 4 2 2 8 4 2 3 3 4" xfId="6856"/>
    <cellStyle name="常规 4 2 2 8 4 2 3 4" xfId="18151"/>
    <cellStyle name="常规 4 2 2 8 4 2 3 4 2" xfId="6860"/>
    <cellStyle name="常规 4 2 2 8 4 2 3 5" xfId="18152"/>
    <cellStyle name="常规 4 2 2 8 4 2 3 6" xfId="18153"/>
    <cellStyle name="常规 4 2 2 8 4 2 4" xfId="18154"/>
    <cellStyle name="常规 4 2 2 8 4 2 4 2" xfId="9985"/>
    <cellStyle name="常规 4 2 2 8 4 2 4 2 2" xfId="9987"/>
    <cellStyle name="常规 4 2 2 8 4 2 4 2 2 2" xfId="8291"/>
    <cellStyle name="常规 4 2 2 8 4 2 4 2 3" xfId="2665"/>
    <cellStyle name="常规 4 2 2 8 4 2 4 2 4" xfId="2672"/>
    <cellStyle name="常规 4 2 2 8 4 2 4 3" xfId="9990"/>
    <cellStyle name="常规 4 2 2 8 4 2 4 3 2" xfId="6906"/>
    <cellStyle name="常规 4 2 2 8 4 2 4 4" xfId="9992"/>
    <cellStyle name="常规 4 2 2 8 4 2 4 5" xfId="18155"/>
    <cellStyle name="常规 4 2 2 8 4 2 5" xfId="11966"/>
    <cellStyle name="常规 4 2 2 8 4 2 5 2" xfId="10003"/>
    <cellStyle name="常规 4 2 2 8 4 2 5 2 2" xfId="18156"/>
    <cellStyle name="常规 4 2 2 8 4 2 5 3" xfId="10005"/>
    <cellStyle name="常规 4 2 2 8 4 2 5 4" xfId="18157"/>
    <cellStyle name="常规 4 2 2 8 4 2 6" xfId="11763"/>
    <cellStyle name="常规 4 2 2 8 4 2 6 2" xfId="10014"/>
    <cellStyle name="常规 4 2 2 8 4 2 7" xfId="18158"/>
    <cellStyle name="常规 4 2 2 8 4 2 8" xfId="18160"/>
    <cellStyle name="常规 4 2 2 8 4 3" xfId="18162"/>
    <cellStyle name="常规 4 2 2 8 4 3 2" xfId="3630"/>
    <cellStyle name="常规 4 2 2 8 4 3 2 2" xfId="18163"/>
    <cellStyle name="常规 4 2 2 8 4 3 2 2 2" xfId="18165"/>
    <cellStyle name="常规 4 2 2 8 4 3 2 2 2 2" xfId="18168"/>
    <cellStyle name="常规 4 2 2 8 4 3 2 2 2 2 2" xfId="18169"/>
    <cellStyle name="常规 4 2 2 8 4 3 2 2 2 3" xfId="18171"/>
    <cellStyle name="常规 4 2 2 8 4 3 2 2 2 4" xfId="18172"/>
    <cellStyle name="常规 4 2 2 8 4 3 2 2 3" xfId="18174"/>
    <cellStyle name="常规 4 2 2 8 4 3 2 2 3 2" xfId="18175"/>
    <cellStyle name="常规 4 2 2 8 4 3 2 2 4" xfId="18177"/>
    <cellStyle name="常规 4 2 2 8 4 3 2 2 5" xfId="18180"/>
    <cellStyle name="常规 4 2 2 8 4 3 2 3" xfId="18181"/>
    <cellStyle name="常规 4 2 2 8 4 3 2 3 2" xfId="8089"/>
    <cellStyle name="常规 4 2 2 8 4 3 2 3 2 2" xfId="8093"/>
    <cellStyle name="常规 4 2 2 8 4 3 2 3 3" xfId="8100"/>
    <cellStyle name="常规 4 2 2 8 4 3 2 3 4" xfId="8104"/>
    <cellStyle name="常规 4 2 2 8 4 3 2 4" xfId="18182"/>
    <cellStyle name="常规 4 2 2 8 4 3 2 4 2" xfId="8124"/>
    <cellStyle name="常规 4 2 2 8 4 3 2 5" xfId="18183"/>
    <cellStyle name="常规 4 2 2 8 4 3 2 6" xfId="18184"/>
    <cellStyle name="常规 4 2 2 8 4 3 3" xfId="18185"/>
    <cellStyle name="常规 4 2 2 8 4 3 3 2" xfId="18186"/>
    <cellStyle name="常规 4 2 2 8 4 3 3 2 2" xfId="18187"/>
    <cellStyle name="常规 4 2 2 8 4 3 3 2 2 2" xfId="1761"/>
    <cellStyle name="常规 4 2 2 8 4 3 3 2 3" xfId="18188"/>
    <cellStyle name="常规 4 2 2 8 4 3 3 2 4" xfId="18189"/>
    <cellStyle name="常规 4 2 2 8 4 3 3 3" xfId="18190"/>
    <cellStyle name="常规 4 2 2 8 4 3 3 3 2" xfId="8175"/>
    <cellStyle name="常规 4 2 2 8 4 3 3 4" xfId="18191"/>
    <cellStyle name="常规 4 2 2 8 4 3 3 5" xfId="18192"/>
    <cellStyle name="常规 4 2 2 8 4 3 4" xfId="18193"/>
    <cellStyle name="常规 4 2 2 8 4 3 4 2" xfId="10034"/>
    <cellStyle name="常规 4 2 2 8 4 3 4 2 2" xfId="18194"/>
    <cellStyle name="常规 4 2 2 8 4 3 4 3" xfId="10036"/>
    <cellStyle name="常规 4 2 2 8 4 3 4 4" xfId="18195"/>
    <cellStyle name="常规 4 2 2 8 4 3 5" xfId="18197"/>
    <cellStyle name="常规 4 2 2 8 4 3 5 2" xfId="10044"/>
    <cellStyle name="常规 4 2 2 8 4 3 6" xfId="11674"/>
    <cellStyle name="常规 4 2 2 8 4 3 7" xfId="18199"/>
    <cellStyle name="常规 4 2 2 8 4 4" xfId="5461"/>
    <cellStyle name="常规 4 2 2 8 4 4 2" xfId="1605"/>
    <cellStyle name="常规 4 2 2 8 4 4 2 2" xfId="15956"/>
    <cellStyle name="常规 4 2 2 8 4 4 2 2 2" xfId="18201"/>
    <cellStyle name="常规 4 2 2 8 4 4 2 2 2 2" xfId="18204"/>
    <cellStyle name="常规 4 2 2 8 4 4 2 2 3" xfId="18206"/>
    <cellStyle name="常规 4 2 2 8 4 4 2 2 4" xfId="18207"/>
    <cellStyle name="常规 4 2 2 8 4 4 2 3" xfId="18208"/>
    <cellStyle name="常规 4 2 2 8 4 4 2 3 2" xfId="8916"/>
    <cellStyle name="常规 4 2 2 8 4 4 2 4" xfId="18209"/>
    <cellStyle name="常规 4 2 2 8 4 4 2 5" xfId="18210"/>
    <cellStyle name="常规 4 2 2 8 4 4 3" xfId="15958"/>
    <cellStyle name="常规 4 2 2 8 4 4 3 2" xfId="18211"/>
    <cellStyle name="常规 4 2 2 8 4 4 3 2 2" xfId="18212"/>
    <cellStyle name="常规 4 2 2 8 4 4 3 3" xfId="18213"/>
    <cellStyle name="常规 4 2 2 8 4 4 3 4" xfId="18215"/>
    <cellStyle name="常规 4 2 2 8 4 4 4" xfId="13621"/>
    <cellStyle name="常规 4 2 2 8 4 4 4 2" xfId="10054"/>
    <cellStyle name="常规 4 2 2 8 4 4 5" xfId="18217"/>
    <cellStyle name="常规 4 2 2 8 4 4 6" xfId="18219"/>
    <cellStyle name="常规 4 2 2 8 4 5" xfId="5467"/>
    <cellStyle name="常规 4 2 2 8 4 5 2" xfId="15960"/>
    <cellStyle name="常规 4 2 2 8 4 5 2 2" xfId="18221"/>
    <cellStyle name="常规 4 2 2 8 4 5 2 2 2" xfId="18222"/>
    <cellStyle name="常规 4 2 2 8 4 5 2 3" xfId="18223"/>
    <cellStyle name="常规 4 2 2 8 4 5 2 4" xfId="18224"/>
    <cellStyle name="常规 4 2 2 8 4 5 3" xfId="18226"/>
    <cellStyle name="常规 4 2 2 8 4 5 3 2" xfId="18228"/>
    <cellStyle name="常规 4 2 2 8 4 5 4" xfId="18230"/>
    <cellStyle name="常规 4 2 2 8 4 5 5" xfId="18233"/>
    <cellStyle name="常规 4 2 2 8 4 6" xfId="5473"/>
    <cellStyle name="常规 4 2 2 8 4 6 2" xfId="18234"/>
    <cellStyle name="常规 4 2 2 8 4 6 2 2" xfId="16198"/>
    <cellStyle name="常规 4 2 2 8 4 6 3" xfId="18236"/>
    <cellStyle name="常规 4 2 2 8 4 6 4" xfId="18237"/>
    <cellStyle name="常规 4 2 2 8 4 7" xfId="3680"/>
    <cellStyle name="常规 4 2 2 8 4 7 2" xfId="18238"/>
    <cellStyle name="常规 4 2 2 8 4 8" xfId="18239"/>
    <cellStyle name="常规 4 2 2 8 4 9" xfId="18240"/>
    <cellStyle name="常规 4 2 2 8 5" xfId="18241"/>
    <cellStyle name="常规 4 2 2 8 5 2" xfId="18244"/>
    <cellStyle name="常规 4 2 2 8 5 2 2" xfId="137"/>
    <cellStyle name="常规 4 2 2 8 5 2 2 2" xfId="2191"/>
    <cellStyle name="常规 4 2 2 8 5 2 2 2 2" xfId="18247"/>
    <cellStyle name="常规 4 2 2 8 5 2 2 2 2 2" xfId="18250"/>
    <cellStyle name="常规 4 2 2 8 5 2 2 2 2 2 2" xfId="18251"/>
    <cellStyle name="常规 4 2 2 8 5 2 2 2 2 2 2 2" xfId="10420"/>
    <cellStyle name="常规 4 2 2 8 5 2 2 2 2 2 3" xfId="18252"/>
    <cellStyle name="常规 4 2 2 8 5 2 2 2 2 2 4" xfId="18253"/>
    <cellStyle name="常规 4 2 2 8 5 2 2 2 2 3" xfId="18254"/>
    <cellStyle name="常规 4 2 2 8 5 2 2 2 2 3 2" xfId="18256"/>
    <cellStyle name="常规 4 2 2 8 5 2 2 2 2 4" xfId="18258"/>
    <cellStyle name="常规 4 2 2 8 5 2 2 2 2 5" xfId="18259"/>
    <cellStyle name="常规 4 2 2 8 5 2 2 2 3" xfId="18261"/>
    <cellStyle name="常规 4 2 2 8 5 2 2 2 3 2" xfId="14138"/>
    <cellStyle name="常规 4 2 2 8 5 2 2 2 3 2 2" xfId="14141"/>
    <cellStyle name="常规 4 2 2 8 5 2 2 2 3 3" xfId="14148"/>
    <cellStyle name="常规 4 2 2 8 5 2 2 2 3 4" xfId="14155"/>
    <cellStyle name="常规 4 2 2 8 5 2 2 2 4" xfId="2590"/>
    <cellStyle name="常规 4 2 2 8 5 2 2 2 4 2" xfId="14176"/>
    <cellStyle name="常规 4 2 2 8 5 2 2 2 5" xfId="18263"/>
    <cellStyle name="常规 4 2 2 8 5 2 2 2 6" xfId="8950"/>
    <cellStyle name="常规 4 2 2 8 5 2 2 3" xfId="18264"/>
    <cellStyle name="常规 4 2 2 8 5 2 2 3 2" xfId="18267"/>
    <cellStyle name="常规 4 2 2 8 5 2 2 3 2 2" xfId="18271"/>
    <cellStyle name="常规 4 2 2 8 5 2 2 3 2 2 2" xfId="18274"/>
    <cellStyle name="常规 4 2 2 8 5 2 2 3 2 3" xfId="18281"/>
    <cellStyle name="常规 4 2 2 8 5 2 2 3 2 4" xfId="18286"/>
    <cellStyle name="常规 4 2 2 8 5 2 2 3 3" xfId="18290"/>
    <cellStyle name="常规 4 2 2 8 5 2 2 3 3 2" xfId="14228"/>
    <cellStyle name="常规 4 2 2 8 5 2 2 3 4" xfId="18294"/>
    <cellStyle name="常规 4 2 2 8 5 2 2 3 5" xfId="18298"/>
    <cellStyle name="常规 4 2 2 8 5 2 2 4" xfId="18299"/>
    <cellStyle name="常规 4 2 2 8 5 2 2 4 2" xfId="18305"/>
    <cellStyle name="常规 4 2 2 8 5 2 2 4 2 2" xfId="9010"/>
    <cellStyle name="常规 4 2 2 8 5 2 2 4 3" xfId="18311"/>
    <cellStyle name="常规 4 2 2 8 5 2 2 4 4" xfId="18316"/>
    <cellStyle name="常规 4 2 2 8 5 2 2 5" xfId="18318"/>
    <cellStyle name="常规 4 2 2 8 5 2 2 5 2" xfId="18320"/>
    <cellStyle name="常规 4 2 2 8 5 2 2 6" xfId="18322"/>
    <cellStyle name="常规 4 2 2 8 5 2 2 7" xfId="18324"/>
    <cellStyle name="常规 4 2 2 8 5 2 3" xfId="18325"/>
    <cellStyle name="常规 4 2 2 8 5 2 3 2" xfId="18328"/>
    <cellStyle name="常规 4 2 2 8 5 2 3 2 2" xfId="18331"/>
    <cellStyle name="常规 4 2 2 8 5 2 3 2 2 2" xfId="18332"/>
    <cellStyle name="常规 4 2 2 8 5 2 3 2 2 2 2" xfId="916"/>
    <cellStyle name="常规 4 2 2 8 5 2 3 2 2 3" xfId="18333"/>
    <cellStyle name="常规 4 2 2 8 5 2 3 2 2 4" xfId="18335"/>
    <cellStyle name="常规 4 2 2 8 5 2 3 2 3" xfId="18337"/>
    <cellStyle name="常规 4 2 2 8 5 2 3 2 3 2" xfId="14348"/>
    <cellStyle name="常规 4 2 2 8 5 2 3 2 4" xfId="18339"/>
    <cellStyle name="常规 4 2 2 8 5 2 3 2 5" xfId="18341"/>
    <cellStyle name="常规 4 2 2 8 5 2 3 3" xfId="18342"/>
    <cellStyle name="常规 4 2 2 8 5 2 3 3 2" xfId="18343"/>
    <cellStyle name="常规 4 2 2 8 5 2 3 3 2 2" xfId="18347"/>
    <cellStyle name="常规 4 2 2 8 5 2 3 3 3" xfId="18351"/>
    <cellStyle name="常规 4 2 2 8 5 2 3 3 4" xfId="18355"/>
    <cellStyle name="常规 4 2 2 8 5 2 3 4" xfId="18358"/>
    <cellStyle name="常规 4 2 2 8 5 2 3 4 2" xfId="7153"/>
    <cellStyle name="常规 4 2 2 8 5 2 3 5" xfId="18360"/>
    <cellStyle name="常规 4 2 2 8 5 2 3 6" xfId="18362"/>
    <cellStyle name="常规 4 2 2 8 5 2 4" xfId="18363"/>
    <cellStyle name="常规 4 2 2 8 5 2 4 2" xfId="10085"/>
    <cellStyle name="常规 4 2 2 8 5 2 4 2 2" xfId="18367"/>
    <cellStyle name="常规 4 2 2 8 5 2 4 2 2 2" xfId="16131"/>
    <cellStyle name="常规 4 2 2 8 5 2 4 2 3" xfId="18369"/>
    <cellStyle name="常规 4 2 2 8 5 2 4 2 4" xfId="18370"/>
    <cellStyle name="常规 4 2 2 8 5 2 4 3" xfId="10087"/>
    <cellStyle name="常规 4 2 2 8 5 2 4 3 2" xfId="18371"/>
    <cellStyle name="常规 4 2 2 8 5 2 4 4" xfId="18373"/>
    <cellStyle name="常规 4 2 2 8 5 2 4 5" xfId="18374"/>
    <cellStyle name="常规 4 2 2 8 5 2 5" xfId="18375"/>
    <cellStyle name="常规 4 2 2 8 5 2 5 2" xfId="10093"/>
    <cellStyle name="常规 4 2 2 8 5 2 5 2 2" xfId="18378"/>
    <cellStyle name="常规 4 2 2 8 5 2 5 3" xfId="18380"/>
    <cellStyle name="常规 4 2 2 8 5 2 5 4" xfId="18381"/>
    <cellStyle name="常规 4 2 2 8 5 2 6" xfId="13549"/>
    <cellStyle name="常规 4 2 2 8 5 2 6 2" xfId="18382"/>
    <cellStyle name="常规 4 2 2 8 5 2 7" xfId="18384"/>
    <cellStyle name="常规 4 2 2 8 5 2 8" xfId="18386"/>
    <cellStyle name="常规 4 2 2 8 5 3" xfId="18388"/>
    <cellStyle name="常规 4 2 2 8 5 3 2" xfId="3650"/>
    <cellStyle name="常规 4 2 2 8 5 3 2 2" xfId="663"/>
    <cellStyle name="常规 4 2 2 8 5 3 2 2 2" xfId="18392"/>
    <cellStyle name="常规 4 2 2 8 5 3 2 2 2 2" xfId="18393"/>
    <cellStyle name="常规 4 2 2 8 5 3 2 2 2 2 2" xfId="18394"/>
    <cellStyle name="常规 4 2 2 8 5 3 2 2 2 3" xfId="18395"/>
    <cellStyle name="常规 4 2 2 8 5 3 2 2 2 4" xfId="18396"/>
    <cellStyle name="常规 4 2 2 8 5 3 2 2 3" xfId="18399"/>
    <cellStyle name="常规 4 2 2 8 5 3 2 2 3 2" xfId="15047"/>
    <cellStyle name="常规 4 2 2 8 5 3 2 2 4" xfId="18401"/>
    <cellStyle name="常规 4 2 2 8 5 3 2 2 5" xfId="18403"/>
    <cellStyle name="常规 4 2 2 8 5 3 2 3" xfId="669"/>
    <cellStyle name="常规 4 2 2 8 5 3 2 3 2" xfId="18405"/>
    <cellStyle name="常规 4 2 2 8 5 3 2 3 2 2" xfId="18407"/>
    <cellStyle name="常规 4 2 2 8 5 3 2 3 3" xfId="18412"/>
    <cellStyle name="常规 4 2 2 8 5 3 2 3 4" xfId="18414"/>
    <cellStyle name="常规 4 2 2 8 5 3 2 4" xfId="18416"/>
    <cellStyle name="常规 4 2 2 8 5 3 2 4 2" xfId="16521"/>
    <cellStyle name="常规 4 2 2 8 5 3 2 5" xfId="18419"/>
    <cellStyle name="常规 4 2 2 8 5 3 2 6" xfId="18421"/>
    <cellStyle name="常规 4 2 2 8 5 3 3" xfId="18422"/>
    <cellStyle name="常规 4 2 2 8 5 3 3 2" xfId="705"/>
    <cellStyle name="常规 4 2 2 8 5 3 3 2 2" xfId="18425"/>
    <cellStyle name="常规 4 2 2 8 5 3 3 2 2 2" xfId="2804"/>
    <cellStyle name="常规 4 2 2 8 5 3 3 2 3" xfId="18427"/>
    <cellStyle name="常规 4 2 2 8 5 3 3 2 4" xfId="18428"/>
    <cellStyle name="常规 4 2 2 8 5 3 3 3" xfId="710"/>
    <cellStyle name="常规 4 2 2 8 5 3 3 3 2" xfId="18429"/>
    <cellStyle name="常规 4 2 2 8 5 3 3 4" xfId="18431"/>
    <cellStyle name="常规 4 2 2 8 5 3 3 5" xfId="18432"/>
    <cellStyle name="常规 4 2 2 8 5 3 4" xfId="18433"/>
    <cellStyle name="常规 4 2 2 8 5 3 4 2" xfId="766"/>
    <cellStyle name="常规 4 2 2 8 5 3 4 2 2" xfId="18437"/>
    <cellStyle name="常规 4 2 2 8 5 3 4 3" xfId="775"/>
    <cellStyle name="常规 4 2 2 8 5 3 4 4" xfId="18438"/>
    <cellStyle name="常规 4 2 2 8 5 3 5" xfId="18440"/>
    <cellStyle name="常规 4 2 2 8 5 3 5 2" xfId="18442"/>
    <cellStyle name="常规 4 2 2 8 5 3 6" xfId="18444"/>
    <cellStyle name="常规 4 2 2 8 5 3 7" xfId="18447"/>
    <cellStyle name="常规 4 2 2 8 5 4" xfId="3625"/>
    <cellStyle name="常规 4 2 2 8 5 4 2" xfId="15962"/>
    <cellStyle name="常规 4 2 2 8 5 4 2 2" xfId="18449"/>
    <cellStyle name="常规 4 2 2 8 5 4 2 2 2" xfId="18450"/>
    <cellStyle name="常规 4 2 2 8 5 4 2 2 2 2" xfId="18452"/>
    <cellStyle name="常规 4 2 2 8 5 4 2 2 3" xfId="18454"/>
    <cellStyle name="常规 4 2 2 8 5 4 2 2 4" xfId="18455"/>
    <cellStyle name="常规 4 2 2 8 5 4 2 3" xfId="18456"/>
    <cellStyle name="常规 4 2 2 8 5 4 2 3 2" xfId="18457"/>
    <cellStyle name="常规 4 2 2 8 5 4 2 4" xfId="18459"/>
    <cellStyle name="常规 4 2 2 8 5 4 2 5" xfId="18460"/>
    <cellStyle name="常规 4 2 2 8 5 4 3" xfId="18461"/>
    <cellStyle name="常规 4 2 2 8 5 4 3 2" xfId="18463"/>
    <cellStyle name="常规 4 2 2 8 5 4 3 2 2" xfId="18464"/>
    <cellStyle name="常规 4 2 2 8 5 4 3 3" xfId="18466"/>
    <cellStyle name="常规 4 2 2 8 5 4 3 4" xfId="18467"/>
    <cellStyle name="常规 4 2 2 8 5 4 4" xfId="18468"/>
    <cellStyle name="常规 4 2 2 8 5 4 4 2" xfId="18470"/>
    <cellStyle name="常规 4 2 2 8 5 4 5" xfId="18472"/>
    <cellStyle name="常规 4 2 2 8 5 4 6" xfId="18474"/>
    <cellStyle name="常规 4 2 2 8 5 5" xfId="15966"/>
    <cellStyle name="常规 4 2 2 8 5 5 2" xfId="18476"/>
    <cellStyle name="常规 4 2 2 8 5 5 2 2" xfId="18477"/>
    <cellStyle name="常规 4 2 2 8 5 5 2 2 2" xfId="18478"/>
    <cellStyle name="常规 4 2 2 8 5 5 2 3" xfId="18479"/>
    <cellStyle name="常规 4 2 2 8 5 5 2 4" xfId="18480"/>
    <cellStyle name="常规 4 2 2 8 5 5 3" xfId="18482"/>
    <cellStyle name="常规 4 2 2 8 5 5 3 2" xfId="18484"/>
    <cellStyle name="常规 4 2 2 8 5 5 4" xfId="18485"/>
    <cellStyle name="常规 4 2 2 8 5 5 5" xfId="18487"/>
    <cellStyle name="常规 4 2 2 8 5 6" xfId="7311"/>
    <cellStyle name="常规 4 2 2 8 5 6 2" xfId="18488"/>
    <cellStyle name="常规 4 2 2 8 5 6 2 2" xfId="18489"/>
    <cellStyle name="常规 4 2 2 8 5 6 3" xfId="18491"/>
    <cellStyle name="常规 4 2 2 8 5 6 4" xfId="18493"/>
    <cellStyle name="常规 4 2 2 8 5 7" xfId="18494"/>
    <cellStyle name="常规 4 2 2 8 5 7 2" xfId="18495"/>
    <cellStyle name="常规 4 2 2 8 5 8" xfId="18496"/>
    <cellStyle name="常规 4 2 2 8 5 9" xfId="18497"/>
    <cellStyle name="常规 4 2 2 8 6" xfId="18498"/>
    <cellStyle name="常规 4 2 2 8 6 2" xfId="18501"/>
    <cellStyle name="常规 4 2 2 8 6 2 2" xfId="1489"/>
    <cellStyle name="常规 4 2 2 8 6 2 2 2" xfId="18504"/>
    <cellStyle name="常规 4 2 2 8 6 2 2 2 2" xfId="18508"/>
    <cellStyle name="常规 4 2 2 8 6 2 2 2 2 2" xfId="18509"/>
    <cellStyle name="常规 4 2 2 8 6 2 2 2 2 2 2" xfId="18511"/>
    <cellStyle name="常规 4 2 2 8 6 2 2 2 2 3" xfId="18512"/>
    <cellStyle name="常规 4 2 2 8 6 2 2 2 2 4" xfId="18514"/>
    <cellStyle name="常规 4 2 2 8 6 2 2 2 3" xfId="18515"/>
    <cellStyle name="常规 4 2 2 8 6 2 2 2 3 2" xfId="18516"/>
    <cellStyle name="常规 4 2 2 8 6 2 2 2 4" xfId="2685"/>
    <cellStyle name="常规 4 2 2 8 6 2 2 2 5" xfId="18519"/>
    <cellStyle name="常规 4 2 2 8 6 2 2 3" xfId="18520"/>
    <cellStyle name="常规 4 2 2 8 6 2 2 3 2" xfId="18522"/>
    <cellStyle name="常规 4 2 2 8 6 2 2 3 2 2" xfId="5928"/>
    <cellStyle name="常规 4 2 2 8 6 2 2 3 3" xfId="18525"/>
    <cellStyle name="常规 4 2 2 8 6 2 2 3 4" xfId="18529"/>
    <cellStyle name="常规 4 2 2 8 6 2 2 4" xfId="18531"/>
    <cellStyle name="常规 4 2 2 8 6 2 2 4 2" xfId="18533"/>
    <cellStyle name="常规 4 2 2 8 6 2 2 5" xfId="18535"/>
    <cellStyle name="常规 4 2 2 8 6 2 2 6" xfId="18537"/>
    <cellStyle name="常规 4 2 2 8 6 2 3" xfId="18538"/>
    <cellStyle name="常规 4 2 2 8 6 2 3 2" xfId="18541"/>
    <cellStyle name="常规 4 2 2 8 6 2 3 2 2" xfId="18543"/>
    <cellStyle name="常规 4 2 2 8 6 2 3 2 2 2" xfId="18544"/>
    <cellStyle name="常规 4 2 2 8 6 2 3 2 3" xfId="18545"/>
    <cellStyle name="常规 4 2 2 8 6 2 3 2 4" xfId="18548"/>
    <cellStyle name="常规 4 2 2 8 6 2 3 3" xfId="18549"/>
    <cellStyle name="常规 4 2 2 8 6 2 3 3 2" xfId="18550"/>
    <cellStyle name="常规 4 2 2 8 6 2 3 4" xfId="18552"/>
    <cellStyle name="常规 4 2 2 8 6 2 3 5" xfId="2906"/>
    <cellStyle name="常规 4 2 2 8 6 2 4" xfId="18553"/>
    <cellStyle name="常规 4 2 2 8 6 2 4 2" xfId="10140"/>
    <cellStyle name="常规 4 2 2 8 6 2 4 2 2" xfId="18559"/>
    <cellStyle name="常规 4 2 2 8 6 2 4 3" xfId="18561"/>
    <cellStyle name="常规 4 2 2 8 6 2 4 4" xfId="18563"/>
    <cellStyle name="常规 4 2 2 8 6 2 5" xfId="18565"/>
    <cellStyle name="常规 4 2 2 8 6 2 5 2" xfId="18567"/>
    <cellStyle name="常规 4 2 2 8 6 2 6" xfId="18568"/>
    <cellStyle name="常规 4 2 2 8 6 2 7" xfId="18571"/>
    <cellStyle name="常规 4 2 2 8 6 3" xfId="18574"/>
    <cellStyle name="常规 4 2 2 8 6 3 2" xfId="3700"/>
    <cellStyle name="常规 4 2 2 8 6 3 2 2" xfId="18577"/>
    <cellStyle name="常规 4 2 2 8 6 3 2 2 2" xfId="2495"/>
    <cellStyle name="常规 4 2 2 8 6 3 2 2 2 2" xfId="2498"/>
    <cellStyle name="常规 4 2 2 8 6 3 2 2 3" xfId="2506"/>
    <cellStyle name="常规 4 2 2 8 6 3 2 2 4" xfId="2510"/>
    <cellStyle name="常规 4 2 2 8 6 3 2 3" xfId="18578"/>
    <cellStyle name="常规 4 2 2 8 6 3 2 3 2" xfId="842"/>
    <cellStyle name="常规 4 2 2 8 6 3 2 4" xfId="18580"/>
    <cellStyle name="常规 4 2 2 8 6 3 2 5" xfId="18581"/>
    <cellStyle name="常规 4 2 2 8 6 3 3" xfId="18582"/>
    <cellStyle name="常规 4 2 2 8 6 3 3 2" xfId="18583"/>
    <cellStyle name="常规 4 2 2 8 6 3 3 2 2" xfId="18584"/>
    <cellStyle name="常规 4 2 2 8 6 3 3 3" xfId="18585"/>
    <cellStyle name="常规 4 2 2 8 6 3 3 4" xfId="18586"/>
    <cellStyle name="常规 4 2 2 8 6 3 4" xfId="18588"/>
    <cellStyle name="常规 4 2 2 8 6 3 4 2" xfId="18590"/>
    <cellStyle name="常规 4 2 2 8 6 3 5" xfId="18593"/>
    <cellStyle name="常规 4 2 2 8 6 3 6" xfId="18595"/>
    <cellStyle name="常规 4 2 2 8 6 4" xfId="15970"/>
    <cellStyle name="常规 4 2 2 8 6 4 2" xfId="18598"/>
    <cellStyle name="常规 4 2 2 8 6 4 2 2" xfId="18600"/>
    <cellStyle name="常规 4 2 2 8 6 4 2 2 2" xfId="18601"/>
    <cellStyle name="常规 4 2 2 8 6 4 2 3" xfId="18602"/>
    <cellStyle name="常规 4 2 2 8 6 4 2 4" xfId="18603"/>
    <cellStyle name="常规 4 2 2 8 6 4 3" xfId="18604"/>
    <cellStyle name="常规 4 2 2 8 6 4 3 2" xfId="18607"/>
    <cellStyle name="常规 4 2 2 8 6 4 4" xfId="18609"/>
    <cellStyle name="常规 4 2 2 8 6 4 5" xfId="18611"/>
    <cellStyle name="常规 4 2 2 8 6 5" xfId="18612"/>
    <cellStyle name="常规 4 2 2 8 6 5 2" xfId="18615"/>
    <cellStyle name="常规 4 2 2 8 6 5 2 2" xfId="18616"/>
    <cellStyle name="常规 4 2 2 8 6 5 3" xfId="18617"/>
    <cellStyle name="常规 4 2 2 8 6 5 4" xfId="18618"/>
    <cellStyle name="常规 4 2 2 8 6 6" xfId="18619"/>
    <cellStyle name="常规 4 2 2 8 6 6 2" xfId="18620"/>
    <cellStyle name="常规 4 2 2 8 6 7" xfId="18621"/>
    <cellStyle name="常规 4 2 2 8 6 8" xfId="18623"/>
    <cellStyle name="常规 4 2 2 8 7" xfId="18624"/>
    <cellStyle name="常规 4 2 2 8 7 2" xfId="1621"/>
    <cellStyle name="常规 4 2 2 8 7 2 2" xfId="18628"/>
    <cellStyle name="常规 4 2 2 8 7 2 2 2" xfId="18632"/>
    <cellStyle name="常规 4 2 2 8 7 2 2 2 2" xfId="18634"/>
    <cellStyle name="常规 4 2 2 8 7 2 2 2 2 2" xfId="18636"/>
    <cellStyle name="常规 4 2 2 8 7 2 2 2 3" xfId="18638"/>
    <cellStyle name="常规 4 2 2 8 7 2 2 2 4" xfId="18642"/>
    <cellStyle name="常规 4 2 2 8 7 2 2 3" xfId="18644"/>
    <cellStyle name="常规 4 2 2 8 7 2 2 3 2" xfId="18646"/>
    <cellStyle name="常规 4 2 2 8 7 2 2 4" xfId="18650"/>
    <cellStyle name="常规 4 2 2 8 7 2 2 5" xfId="18653"/>
    <cellStyle name="常规 4 2 2 8 7 2 3" xfId="18654"/>
    <cellStyle name="常规 4 2 2 8 7 2 3 2" xfId="18656"/>
    <cellStyle name="常规 4 2 2 8 7 2 3 2 2" xfId="18658"/>
    <cellStyle name="常规 4 2 2 8 7 2 3 3" xfId="18660"/>
    <cellStyle name="常规 4 2 2 8 7 2 3 4" xfId="18663"/>
    <cellStyle name="常规 4 2 2 8 7 2 4" xfId="18665"/>
    <cellStyle name="常规 4 2 2 8 7 2 4 2" xfId="18668"/>
    <cellStyle name="常规 4 2 2 8 7 2 5" xfId="18671"/>
    <cellStyle name="常规 4 2 2 8 7 2 6" xfId="18673"/>
    <cellStyle name="常规 4 2 2 8 7 3" xfId="18677"/>
    <cellStyle name="常规 4 2 2 8 7 3 2" xfId="3736"/>
    <cellStyle name="常规 4 2 2 8 7 3 2 2" xfId="18681"/>
    <cellStyle name="常规 4 2 2 8 7 3 2 2 2" xfId="18683"/>
    <cellStyle name="常规 4 2 2 8 7 3 2 3" xfId="18685"/>
    <cellStyle name="常规 4 2 2 8 7 3 2 4" xfId="18688"/>
    <cellStyle name="常规 4 2 2 8 7 3 3" xfId="18689"/>
    <cellStyle name="常规 4 2 2 8 7 3 3 2" xfId="18691"/>
    <cellStyle name="常规 4 2 2 8 7 3 4" xfId="18693"/>
    <cellStyle name="常规 4 2 2 8 7 3 5" xfId="18695"/>
    <cellStyle name="常规 4 2 2 8 7 4" xfId="18696"/>
    <cellStyle name="常规 4 2 2 8 7 4 2" xfId="18699"/>
    <cellStyle name="常规 4 2 2 8 7 4 2 2" xfId="18701"/>
    <cellStyle name="常规 4 2 2 8 7 4 3" xfId="18702"/>
    <cellStyle name="常规 4 2 2 8 7 4 4" xfId="18703"/>
    <cellStyle name="常规 4 2 2 8 7 5" xfId="18704"/>
    <cellStyle name="常规 4 2 2 8 7 5 2" xfId="18705"/>
    <cellStyle name="常规 4 2 2 8 7 6" xfId="18706"/>
    <cellStyle name="常规 4 2 2 8 7 7" xfId="18707"/>
    <cellStyle name="常规 4 2 2 8 8" xfId="18708"/>
    <cellStyle name="常规 4 2 2 8 8 2" xfId="18711"/>
    <cellStyle name="常规 4 2 2 8 8 2 2" xfId="18714"/>
    <cellStyle name="常规 4 2 2 8 8 2 2 2" xfId="18716"/>
    <cellStyle name="常规 4 2 2 8 8 2 2 2 2" xfId="18718"/>
    <cellStyle name="常规 4 2 2 8 8 2 2 3" xfId="18720"/>
    <cellStyle name="常规 4 2 2 8 8 2 2 4" xfId="18722"/>
    <cellStyle name="常规 4 2 2 8 8 2 3" xfId="18723"/>
    <cellStyle name="常规 4 2 2 8 8 2 3 2" xfId="18725"/>
    <cellStyle name="常规 4 2 2 8 8 2 4" xfId="18728"/>
    <cellStyle name="常规 4 2 2 8 8 2 5" xfId="18729"/>
    <cellStyle name="常规 4 2 2 8 8 3" xfId="18730"/>
    <cellStyle name="常规 4 2 2 8 8 3 2" xfId="3770"/>
    <cellStyle name="常规 4 2 2 8 8 3 2 2" xfId="18732"/>
    <cellStyle name="常规 4 2 2 8 8 3 3" xfId="18733"/>
    <cellStyle name="常规 4 2 2 8 8 3 4" xfId="18734"/>
    <cellStyle name="常规 4 2 2 8 8 4" xfId="18735"/>
    <cellStyle name="常规 4 2 2 8 8 4 2" xfId="18737"/>
    <cellStyle name="常规 4 2 2 8 8 5" xfId="18738"/>
    <cellStyle name="常规 4 2 2 8 8 6" xfId="18740"/>
    <cellStyle name="常规 4 2 2 8 9" xfId="18741"/>
    <cellStyle name="常规 4 2 2 8 9 2" xfId="18746"/>
    <cellStyle name="常规 4 2 2 8 9 2 2" xfId="18748"/>
    <cellStyle name="常规 4 2 2 8 9 2 2 2" xfId="18750"/>
    <cellStyle name="常规 4 2 2 8 9 2 3" xfId="18751"/>
    <cellStyle name="常规 4 2 2 8 9 2 4" xfId="18752"/>
    <cellStyle name="常规 4 2 2 8 9 3" xfId="18754"/>
    <cellStyle name="常规 4 2 2 8 9 3 2" xfId="3803"/>
    <cellStyle name="常规 4 2 2 8 9 4" xfId="18756"/>
    <cellStyle name="常规 4 2 2 8 9 5" xfId="18757"/>
    <cellStyle name="常规 4 2 2 9" xfId="6011"/>
    <cellStyle name="常规 4 2 2 9 10" xfId="18759"/>
    <cellStyle name="常规 4 2 2 9 10 2" xfId="18761"/>
    <cellStyle name="常规 4 2 2 9 11" xfId="18763"/>
    <cellStyle name="常规 4 2 2 9 12" xfId="13160"/>
    <cellStyle name="常规 4 2 2 9 2" xfId="5132"/>
    <cellStyle name="常规 4 2 2 9 2 10" xfId="18765"/>
    <cellStyle name="常规 4 2 2 9 2 11" xfId="18767"/>
    <cellStyle name="常规 4 2 2 9 2 2" xfId="18768"/>
    <cellStyle name="常规 4 2 2 9 2 2 2" xfId="18769"/>
    <cellStyle name="常规 4 2 2 9 2 2 2 2" xfId="5610"/>
    <cellStyle name="常规 4 2 2 9 2 2 2 2 2" xfId="18770"/>
    <cellStyle name="常规 4 2 2 9 2 2 2 2 2 2" xfId="18772"/>
    <cellStyle name="常规 4 2 2 9 2 2 2 2 2 2 2" xfId="18773"/>
    <cellStyle name="常规 4 2 2 9 2 2 2 2 2 2 2 2" xfId="8015"/>
    <cellStyle name="常规 4 2 2 9 2 2 2 2 2 2 2 2 2" xfId="18777"/>
    <cellStyle name="常规 4 2 2 9 2 2 2 2 2 2 2 3" xfId="8018"/>
    <cellStyle name="常规 4 2 2 9 2 2 2 2 2 2 2 4" xfId="18779"/>
    <cellStyle name="常规 4 2 2 9 2 2 2 2 2 2 3" xfId="18780"/>
    <cellStyle name="常规 4 2 2 9 2 2 2 2 2 2 3 2" xfId="8027"/>
    <cellStyle name="常规 4 2 2 9 2 2 2 2 2 2 4" xfId="16703"/>
    <cellStyle name="常规 4 2 2 9 2 2 2 2 2 2 5" xfId="18782"/>
    <cellStyle name="常规 4 2 2 9 2 2 2 2 2 3" xfId="18784"/>
    <cellStyle name="常规 4 2 2 9 2 2 2 2 2 3 2" xfId="15881"/>
    <cellStyle name="常规 4 2 2 9 2 2 2 2 2 3 2 2" xfId="8047"/>
    <cellStyle name="常规 4 2 2 9 2 2 2 2 2 3 3" xfId="18785"/>
    <cellStyle name="常规 4 2 2 9 2 2 2 2 2 3 4" xfId="16436"/>
    <cellStyle name="常规 4 2 2 9 2 2 2 2 2 4" xfId="18786"/>
    <cellStyle name="常规 4 2 2 9 2 2 2 2 2 4 2" xfId="18787"/>
    <cellStyle name="常规 4 2 2 9 2 2 2 2 2 5" xfId="18791"/>
    <cellStyle name="常规 4 2 2 9 2 2 2 2 2 6" xfId="12949"/>
    <cellStyle name="常规 4 2 2 9 2 2 2 2 3" xfId="18792"/>
    <cellStyle name="常规 4 2 2 9 2 2 2 2 3 2" xfId="18793"/>
    <cellStyle name="常规 4 2 2 9 2 2 2 2 3 2 2" xfId="18794"/>
    <cellStyle name="常规 4 2 2 9 2 2 2 2 3 2 2 2" xfId="8120"/>
    <cellStyle name="常规 4 2 2 9 2 2 2 2 3 2 3" xfId="18795"/>
    <cellStyle name="常规 4 2 2 9 2 2 2 2 3 2 4" xfId="18796"/>
    <cellStyle name="常规 4 2 2 9 2 2 2 2 3 3" xfId="3133"/>
    <cellStyle name="常规 4 2 2 9 2 2 2 2 3 3 2" xfId="18797"/>
    <cellStyle name="常规 4 2 2 9 2 2 2 2 3 4" xfId="18798"/>
    <cellStyle name="常规 4 2 2 9 2 2 2 2 3 5" xfId="6126"/>
    <cellStyle name="常规 4 2 2 9 2 2 2 2 4" xfId="18799"/>
    <cellStyle name="常规 4 2 2 9 2 2 2 2 4 2" xfId="18800"/>
    <cellStyle name="常规 4 2 2 9 2 2 2 2 4 2 2" xfId="18803"/>
    <cellStyle name="常规 4 2 2 9 2 2 2 2 4 3" xfId="18805"/>
    <cellStyle name="常规 4 2 2 9 2 2 2 2 4 4" xfId="18807"/>
    <cellStyle name="常规 4 2 2 9 2 2 2 2 5" xfId="18808"/>
    <cellStyle name="常规 4 2 2 9 2 2 2 2 5 2" xfId="18810"/>
    <cellStyle name="常规 4 2 2 9 2 2 2 2 6" xfId="18811"/>
    <cellStyle name="常规 4 2 2 9 2 2 2 2 7" xfId="18813"/>
    <cellStyle name="常规 4 2 2 9 2 2 2 3" xfId="5615"/>
    <cellStyle name="常规 4 2 2 9 2 2 2 3 2" xfId="18816"/>
    <cellStyle name="常规 4 2 2 9 2 2 2 3 2 2" xfId="18817"/>
    <cellStyle name="常规 4 2 2 9 2 2 2 3 2 2 2" xfId="18818"/>
    <cellStyle name="常规 4 2 2 9 2 2 2 3 2 2 2 2" xfId="8885"/>
    <cellStyle name="常规 4 2 2 9 2 2 2 3 2 2 3" xfId="18819"/>
    <cellStyle name="常规 4 2 2 9 2 2 2 3 2 2 4" xfId="4574"/>
    <cellStyle name="常规 4 2 2 9 2 2 2 3 2 3" xfId="8432"/>
    <cellStyle name="常规 4 2 2 9 2 2 2 3 2 3 2" xfId="5057"/>
    <cellStyle name="常规 4 2 2 9 2 2 2 3 2 4" xfId="18820"/>
    <cellStyle name="常规 4 2 2 9 2 2 2 3 2 5" xfId="18823"/>
    <cellStyle name="常规 4 2 2 9 2 2 2 3 3" xfId="18824"/>
    <cellStyle name="常规 4 2 2 9 2 2 2 3 3 2" xfId="18825"/>
    <cellStyle name="常规 4 2 2 9 2 2 2 3 3 2 2" xfId="18826"/>
    <cellStyle name="常规 4 2 2 9 2 2 2 3 3 3" xfId="18827"/>
    <cellStyle name="常规 4 2 2 9 2 2 2 3 3 4" xfId="18828"/>
    <cellStyle name="常规 4 2 2 9 2 2 2 3 4" xfId="18829"/>
    <cellStyle name="常规 4 2 2 9 2 2 2 3 4 2" xfId="18830"/>
    <cellStyle name="常规 4 2 2 9 2 2 2 3 5" xfId="18831"/>
    <cellStyle name="常规 4 2 2 9 2 2 2 3 6" xfId="18832"/>
    <cellStyle name="常规 4 2 2 9 2 2 2 4" xfId="18835"/>
    <cellStyle name="常规 4 2 2 9 2 2 2 4 2" xfId="18836"/>
    <cellStyle name="常规 4 2 2 9 2 2 2 4 2 2" xfId="18837"/>
    <cellStyle name="常规 4 2 2 9 2 2 2 4 2 2 2" xfId="18839"/>
    <cellStyle name="常规 4 2 2 9 2 2 2 4 2 3" xfId="8700"/>
    <cellStyle name="常规 4 2 2 9 2 2 2 4 2 4" xfId="18840"/>
    <cellStyle name="常规 4 2 2 9 2 2 2 4 3" xfId="18841"/>
    <cellStyle name="常规 4 2 2 9 2 2 2 4 3 2" xfId="18842"/>
    <cellStyle name="常规 4 2 2 9 2 2 2 4 4" xfId="18843"/>
    <cellStyle name="常规 4 2 2 9 2 2 2 4 5" xfId="18844"/>
    <cellStyle name="常规 4 2 2 9 2 2 2 5" xfId="18845"/>
    <cellStyle name="常规 4 2 2 9 2 2 2 5 2" xfId="18846"/>
    <cellStyle name="常规 4 2 2 9 2 2 2 5 2 2" xfId="18847"/>
    <cellStyle name="常规 4 2 2 9 2 2 2 5 3" xfId="18848"/>
    <cellStyle name="常规 4 2 2 9 2 2 2 5 4" xfId="18850"/>
    <cellStyle name="常规 4 2 2 9 2 2 2 6" xfId="18851"/>
    <cellStyle name="常规 4 2 2 9 2 2 2 6 2" xfId="18852"/>
    <cellStyle name="常规 4 2 2 9 2 2 2 7" xfId="18853"/>
    <cellStyle name="常规 4 2 2 9 2 2 2 8" xfId="11182"/>
    <cellStyle name="常规 4 2 2 9 2 2 3" xfId="18854"/>
    <cellStyle name="常规 4 2 2 9 2 2 3 2" xfId="18855"/>
    <cellStyle name="常规 4 2 2 9 2 2 3 2 2" xfId="18856"/>
    <cellStyle name="常规 4 2 2 9 2 2 3 2 2 2" xfId="18858"/>
    <cellStyle name="常规 4 2 2 9 2 2 3 2 2 2 2" xfId="18860"/>
    <cellStyle name="常规 4 2 2 9 2 2 3 2 2 2 2 2" xfId="18864"/>
    <cellStyle name="常规 4 2 2 9 2 2 3 2 2 2 3" xfId="18865"/>
    <cellStyle name="常规 4 2 2 9 2 2 3 2 2 2 4" xfId="16841"/>
    <cellStyle name="常规 4 2 2 9 2 2 3 2 2 3" xfId="14767"/>
    <cellStyle name="常规 4 2 2 9 2 2 3 2 2 3 2" xfId="14769"/>
    <cellStyle name="常规 4 2 2 9 2 2 3 2 2 4" xfId="14774"/>
    <cellStyle name="常规 4 2 2 9 2 2 3 2 2 5" xfId="14780"/>
    <cellStyle name="常规 4 2 2 9 2 2 3 2 3" xfId="18866"/>
    <cellStyle name="常规 4 2 2 9 2 2 3 2 3 2" xfId="18867"/>
    <cellStyle name="常规 4 2 2 9 2 2 3 2 3 2 2" xfId="18868"/>
    <cellStyle name="常规 4 2 2 9 2 2 3 2 3 3" xfId="14782"/>
    <cellStyle name="常规 4 2 2 9 2 2 3 2 3 4" xfId="14785"/>
    <cellStyle name="常规 4 2 2 9 2 2 3 2 4" xfId="18869"/>
    <cellStyle name="常规 4 2 2 9 2 2 3 2 4 2" xfId="18870"/>
    <cellStyle name="常规 4 2 2 9 2 2 3 2 5" xfId="18871"/>
    <cellStyle name="常规 4 2 2 9 2 2 3 2 6" xfId="18872"/>
    <cellStyle name="常规 4 2 2 9 2 2 3 3" xfId="18874"/>
    <cellStyle name="常规 4 2 2 9 2 2 3 3 2" xfId="18875"/>
    <cellStyle name="常规 4 2 2 9 2 2 3 3 2 2" xfId="18876"/>
    <cellStyle name="常规 4 2 2 9 2 2 3 3 2 2 2" xfId="18877"/>
    <cellStyle name="常规 4 2 2 9 2 2 3 3 2 3" xfId="9247"/>
    <cellStyle name="常规 4 2 2 9 2 2 3 3 2 4" xfId="14799"/>
    <cellStyle name="常规 4 2 2 9 2 2 3 3 3" xfId="18878"/>
    <cellStyle name="常规 4 2 2 9 2 2 3 3 3 2" xfId="18879"/>
    <cellStyle name="常规 4 2 2 9 2 2 3 3 4" xfId="18880"/>
    <cellStyle name="常规 4 2 2 9 2 2 3 3 5" xfId="18881"/>
    <cellStyle name="常规 4 2 2 9 2 2 3 4" xfId="18882"/>
    <cellStyle name="常规 4 2 2 9 2 2 3 4 2" xfId="18883"/>
    <cellStyle name="常规 4 2 2 9 2 2 3 4 2 2" xfId="18884"/>
    <cellStyle name="常规 4 2 2 9 2 2 3 4 3" xfId="18885"/>
    <cellStyle name="常规 4 2 2 9 2 2 3 4 4" xfId="18886"/>
    <cellStyle name="常规 4 2 2 9 2 2 3 5" xfId="18887"/>
    <cellStyle name="常规 4 2 2 9 2 2 3 5 2" xfId="18888"/>
    <cellStyle name="常规 4 2 2 9 2 2 3 6" xfId="18889"/>
    <cellStyle name="常规 4 2 2 9 2 2 3 7" xfId="18890"/>
    <cellStyle name="常规 4 2 2 9 2 2 4" xfId="18891"/>
    <cellStyle name="常规 4 2 2 9 2 2 4 2" xfId="18892"/>
    <cellStyle name="常规 4 2 2 9 2 2 4 2 2" xfId="18893"/>
    <cellStyle name="常规 4 2 2 9 2 2 4 2 2 2" xfId="18894"/>
    <cellStyle name="常规 4 2 2 9 2 2 4 2 2 2 2" xfId="18895"/>
    <cellStyle name="常规 4 2 2 9 2 2 4 2 2 3" xfId="14955"/>
    <cellStyle name="常规 4 2 2 9 2 2 4 2 2 4" xfId="14962"/>
    <cellStyle name="常规 4 2 2 9 2 2 4 2 3" xfId="18896"/>
    <cellStyle name="常规 4 2 2 9 2 2 4 2 3 2" xfId="18897"/>
    <cellStyle name="常规 4 2 2 9 2 2 4 2 4" xfId="18898"/>
    <cellStyle name="常规 4 2 2 9 2 2 4 2 5" xfId="3723"/>
    <cellStyle name="常规 4 2 2 9 2 2 4 3" xfId="18899"/>
    <cellStyle name="常规 4 2 2 9 2 2 4 3 2" xfId="18900"/>
    <cellStyle name="常规 4 2 2 9 2 2 4 3 2 2" xfId="18901"/>
    <cellStyle name="常规 4 2 2 9 2 2 4 3 3" xfId="18902"/>
    <cellStyle name="常规 4 2 2 9 2 2 4 3 4" xfId="18904"/>
    <cellStyle name="常规 4 2 2 9 2 2 4 4" xfId="10924"/>
    <cellStyle name="常规 4 2 2 9 2 2 4 4 2" xfId="18905"/>
    <cellStyle name="常规 4 2 2 9 2 2 4 5" xfId="18906"/>
    <cellStyle name="常规 4 2 2 9 2 2 4 6" xfId="18908"/>
    <cellStyle name="常规 4 2 2 9 2 2 5" xfId="12045"/>
    <cellStyle name="常规 4 2 2 9 2 2 5 2" xfId="12048"/>
    <cellStyle name="常规 4 2 2 9 2 2 5 2 2" xfId="18909"/>
    <cellStyle name="常规 4 2 2 9 2 2 5 2 2 2" xfId="18910"/>
    <cellStyle name="常规 4 2 2 9 2 2 5 2 3" xfId="18911"/>
    <cellStyle name="常规 4 2 2 9 2 2 5 2 4" xfId="18912"/>
    <cellStyle name="常规 4 2 2 9 2 2 5 3" xfId="18913"/>
    <cellStyle name="常规 4 2 2 9 2 2 5 3 2" xfId="18914"/>
    <cellStyle name="常规 4 2 2 9 2 2 5 4" xfId="18915"/>
    <cellStyle name="常规 4 2 2 9 2 2 5 5" xfId="18916"/>
    <cellStyle name="常规 4 2 2 9 2 2 6" xfId="12051"/>
    <cellStyle name="常规 4 2 2 9 2 2 6 2" xfId="18918"/>
    <cellStyle name="常规 4 2 2 9 2 2 6 2 2" xfId="18920"/>
    <cellStyle name="常规 4 2 2 9 2 2 6 3" xfId="18922"/>
    <cellStyle name="常规 4 2 2 9 2 2 6 4" xfId="18924"/>
    <cellStyle name="常规 4 2 2 9 2 2 7" xfId="12054"/>
    <cellStyle name="常规 4 2 2 9 2 2 7 2" xfId="18926"/>
    <cellStyle name="常规 4 2 2 9 2 2 8" xfId="18927"/>
    <cellStyle name="常规 4 2 2 9 2 2 9" xfId="18928"/>
    <cellStyle name="常规 4 2 2 9 2 3" xfId="18929"/>
    <cellStyle name="常规 4 2 2 9 2 3 2" xfId="3868"/>
    <cellStyle name="常规 4 2 2 9 2 3 2 2" xfId="18930"/>
    <cellStyle name="常规 4 2 2 9 2 3 2 2 2" xfId="18931"/>
    <cellStyle name="常规 4 2 2 9 2 3 2 2 2 2" xfId="18936"/>
    <cellStyle name="常规 4 2 2 9 2 3 2 2 2 2 2" xfId="18310"/>
    <cellStyle name="常规 4 2 2 9 2 3 2 2 2 2 2 2" xfId="9028"/>
    <cellStyle name="常规 4 2 2 9 2 3 2 2 2 2 2 2 2" xfId="18938"/>
    <cellStyle name="常规 4 2 2 9 2 3 2 2 2 2 2 3" xfId="9034"/>
    <cellStyle name="常规 4 2 2 9 2 3 2 2 2 2 2 4" xfId="18941"/>
    <cellStyle name="常规 4 2 2 9 2 3 2 2 2 2 3" xfId="18315"/>
    <cellStyle name="常规 4 2 2 9 2 3 2 2 2 2 3 2" xfId="14291"/>
    <cellStyle name="常规 4 2 2 9 2 3 2 2 2 2 4" xfId="18944"/>
    <cellStyle name="常规 4 2 2 9 2 3 2 2 2 2 5" xfId="9370"/>
    <cellStyle name="常规 4 2 2 9 2 3 2 2 2 3" xfId="18949"/>
    <cellStyle name="常规 4 2 2 9 2 3 2 2 2 3 2" xfId="18952"/>
    <cellStyle name="常规 4 2 2 9 2 3 2 2 2 3 2 2" xfId="14302"/>
    <cellStyle name="常规 4 2 2 9 2 3 2 2 2 3 3" xfId="18955"/>
    <cellStyle name="常规 4 2 2 9 2 3 2 2 2 3 4" xfId="18958"/>
    <cellStyle name="常规 4 2 2 9 2 3 2 2 2 4" xfId="17628"/>
    <cellStyle name="常规 4 2 2 9 2 3 2 2 2 4 2" xfId="18960"/>
    <cellStyle name="常规 4 2 2 9 2 3 2 2 2 5" xfId="18966"/>
    <cellStyle name="常规 4 2 2 9 2 3 2 2 2 6" xfId="14570"/>
    <cellStyle name="常规 4 2 2 9 2 3 2 2 3" xfId="18967"/>
    <cellStyle name="常规 4 2 2 9 2 3 2 2 3 2" xfId="18972"/>
    <cellStyle name="常规 4 2 2 9 2 3 2 2 3 2 2" xfId="7182"/>
    <cellStyle name="常规 4 2 2 9 2 3 2 2 3 2 2 2" xfId="3751"/>
    <cellStyle name="常规 4 2 2 9 2 3 2 2 3 2 3" xfId="3298"/>
    <cellStyle name="常规 4 2 2 9 2 3 2 2 3 2 4" xfId="7234"/>
    <cellStyle name="常规 4 2 2 9 2 3 2 2 3 3" xfId="18977"/>
    <cellStyle name="常规 4 2 2 9 2 3 2 2 3 3 2" xfId="8155"/>
    <cellStyle name="常规 4 2 2 9 2 3 2 2 3 4" xfId="18981"/>
    <cellStyle name="常规 4 2 2 9 2 3 2 2 3 5" xfId="4305"/>
    <cellStyle name="常规 4 2 2 9 2 3 2 2 4" xfId="18982"/>
    <cellStyle name="常规 4 2 2 9 2 3 2 2 4 2" xfId="18987"/>
    <cellStyle name="常规 4 2 2 9 2 3 2 2 4 2 2" xfId="18989"/>
    <cellStyle name="常规 4 2 2 9 2 3 2 2 4 3" xfId="18994"/>
    <cellStyle name="常规 4 2 2 9 2 3 2 2 4 4" xfId="18997"/>
    <cellStyle name="常规 4 2 2 9 2 3 2 2 5" xfId="18998"/>
    <cellStyle name="常规 4 2 2 9 2 3 2 2 5 2" xfId="19000"/>
    <cellStyle name="常规 4 2 2 9 2 3 2 2 6" xfId="19001"/>
    <cellStyle name="常规 4 2 2 9 2 3 2 2 7" xfId="19003"/>
    <cellStyle name="常规 4 2 2 9 2 3 2 3" xfId="19007"/>
    <cellStyle name="常规 4 2 2 9 2 3 2 3 2" xfId="19008"/>
    <cellStyle name="常规 4 2 2 9 2 3 2 3 2 2" xfId="19012"/>
    <cellStyle name="常规 4 2 2 9 2 3 2 3 2 2 2" xfId="19014"/>
    <cellStyle name="常规 4 2 2 9 2 3 2 3 2 2 2 2" xfId="15091"/>
    <cellStyle name="常规 4 2 2 9 2 3 2 3 2 2 3" xfId="19016"/>
    <cellStyle name="常规 4 2 2 9 2 3 2 3 2 2 4" xfId="19018"/>
    <cellStyle name="常规 4 2 2 9 2 3 2 3 2 3" xfId="19023"/>
    <cellStyle name="常规 4 2 2 9 2 3 2 3 2 3 2" xfId="7460"/>
    <cellStyle name="常规 4 2 2 9 2 3 2 3 2 4" xfId="19025"/>
    <cellStyle name="常规 4 2 2 9 2 3 2 3 2 5" xfId="19029"/>
    <cellStyle name="常规 4 2 2 9 2 3 2 3 3" xfId="19030"/>
    <cellStyle name="常规 4 2 2 9 2 3 2 3 3 2" xfId="19034"/>
    <cellStyle name="常规 4 2 2 9 2 3 2 3 3 2 2" xfId="19036"/>
    <cellStyle name="常规 4 2 2 9 2 3 2 3 3 3" xfId="19039"/>
    <cellStyle name="常规 4 2 2 9 2 3 2 3 3 4" xfId="19041"/>
    <cellStyle name="常规 4 2 2 9 2 3 2 3 4" xfId="19042"/>
    <cellStyle name="常规 4 2 2 9 2 3 2 3 4 2" xfId="19044"/>
    <cellStyle name="常规 4 2 2 9 2 3 2 3 5" xfId="19045"/>
    <cellStyle name="常规 4 2 2 9 2 3 2 3 6" xfId="19046"/>
    <cellStyle name="常规 4 2 2 9 2 3 2 4" xfId="19048"/>
    <cellStyle name="常规 4 2 2 9 2 3 2 4 2" xfId="19049"/>
    <cellStyle name="常规 4 2 2 9 2 3 2 4 2 2" xfId="19053"/>
    <cellStyle name="常规 4 2 2 9 2 3 2 4 2 2 2" xfId="19055"/>
    <cellStyle name="常规 4 2 2 9 2 3 2 4 2 3" xfId="2825"/>
    <cellStyle name="常规 4 2 2 9 2 3 2 4 2 4" xfId="3420"/>
    <cellStyle name="常规 4 2 2 9 2 3 2 4 3" xfId="19056"/>
    <cellStyle name="常规 4 2 2 9 2 3 2 4 3 2" xfId="19058"/>
    <cellStyle name="常规 4 2 2 9 2 3 2 4 4" xfId="19059"/>
    <cellStyle name="常规 4 2 2 9 2 3 2 4 5" xfId="19060"/>
    <cellStyle name="常规 4 2 2 9 2 3 2 5" xfId="19061"/>
    <cellStyle name="常规 4 2 2 9 2 3 2 5 2" xfId="19062"/>
    <cellStyle name="常规 4 2 2 9 2 3 2 5 2 2" xfId="19064"/>
    <cellStyle name="常规 4 2 2 9 2 3 2 5 3" xfId="19065"/>
    <cellStyle name="常规 4 2 2 9 2 3 2 5 4" xfId="19066"/>
    <cellStyle name="常规 4 2 2 9 2 3 2 6" xfId="19067"/>
    <cellStyle name="常规 4 2 2 9 2 3 2 6 2" xfId="19068"/>
    <cellStyle name="常规 4 2 2 9 2 3 2 7" xfId="19069"/>
    <cellStyle name="常规 4 2 2 9 2 3 2 8" xfId="11279"/>
    <cellStyle name="常规 4 2 2 9 2 3 3" xfId="19070"/>
    <cellStyle name="常规 4 2 2 9 2 3 3 2" xfId="19071"/>
    <cellStyle name="常规 4 2 2 9 2 3 3 2 2" xfId="19072"/>
    <cellStyle name="常规 4 2 2 9 2 3 3 2 2 2" xfId="19074"/>
    <cellStyle name="常规 4 2 2 9 2 3 3 2 2 2 2" xfId="19076"/>
    <cellStyle name="常规 4 2 2 9 2 3 3 2 2 2 2 2" xfId="16087"/>
    <cellStyle name="常规 4 2 2 9 2 3 3 2 2 2 3" xfId="19079"/>
    <cellStyle name="常规 4 2 2 9 2 3 3 2 2 2 4" xfId="15467"/>
    <cellStyle name="常规 4 2 2 9 2 3 3 2 2 3" xfId="15387"/>
    <cellStyle name="常规 4 2 2 9 2 3 3 2 2 3 2" xfId="15390"/>
    <cellStyle name="常规 4 2 2 9 2 3 3 2 2 4" xfId="15402"/>
    <cellStyle name="常规 4 2 2 9 2 3 3 2 2 5" xfId="15410"/>
    <cellStyle name="常规 4 2 2 9 2 3 3 2 3" xfId="19080"/>
    <cellStyle name="常规 4 2 2 9 2 3 3 2 3 2" xfId="19083"/>
    <cellStyle name="常规 4 2 2 9 2 3 3 2 3 2 2" xfId="19085"/>
    <cellStyle name="常规 4 2 2 9 2 3 3 2 3 3" xfId="15417"/>
    <cellStyle name="常规 4 2 2 9 2 3 3 2 3 4" xfId="15422"/>
    <cellStyle name="常规 4 2 2 9 2 3 3 2 4" xfId="19086"/>
    <cellStyle name="常规 4 2 2 9 2 3 3 2 4 2" xfId="4183"/>
    <cellStyle name="常规 4 2 2 9 2 3 3 2 5" xfId="19087"/>
    <cellStyle name="常规 4 2 2 9 2 3 3 2 6" xfId="19088"/>
    <cellStyle name="常规 4 2 2 9 2 3 3 3" xfId="19090"/>
    <cellStyle name="常规 4 2 2 9 2 3 3 3 2" xfId="19091"/>
    <cellStyle name="常规 4 2 2 9 2 3 3 3 2 2" xfId="19093"/>
    <cellStyle name="常规 4 2 2 9 2 3 3 3 2 2 2" xfId="19095"/>
    <cellStyle name="常规 4 2 2 9 2 3 3 3 2 3" xfId="15443"/>
    <cellStyle name="常规 4 2 2 9 2 3 3 3 2 4" xfId="15446"/>
    <cellStyle name="常规 4 2 2 9 2 3 3 3 3" xfId="19096"/>
    <cellStyle name="常规 4 2 2 9 2 3 3 3 3 2" xfId="19098"/>
    <cellStyle name="常规 4 2 2 9 2 3 3 3 4" xfId="19099"/>
    <cellStyle name="常规 4 2 2 9 2 3 3 3 5" xfId="19100"/>
    <cellStyle name="常规 4 2 2 9 2 3 3 4" xfId="19101"/>
    <cellStyle name="常规 4 2 2 9 2 3 3 4 2" xfId="19102"/>
    <cellStyle name="常规 4 2 2 9 2 3 3 4 2 2" xfId="19104"/>
    <cellStyle name="常规 4 2 2 9 2 3 3 4 3" xfId="19105"/>
    <cellStyle name="常规 4 2 2 9 2 3 3 4 4" xfId="19106"/>
    <cellStyle name="常规 4 2 2 9 2 3 3 5" xfId="19107"/>
    <cellStyle name="常规 4 2 2 9 2 3 3 5 2" xfId="19108"/>
    <cellStyle name="常规 4 2 2 9 2 3 3 6" xfId="19109"/>
    <cellStyle name="常规 4 2 2 9 2 3 3 7" xfId="19110"/>
    <cellStyle name="常规 4 2 2 9 2 3 4" xfId="19111"/>
    <cellStyle name="常规 4 2 2 9 2 3 4 2" xfId="19112"/>
    <cellStyle name="常规 4 2 2 9 2 3 4 2 2" xfId="19114"/>
    <cellStyle name="常规 4 2 2 9 2 3 4 2 2 2" xfId="19118"/>
    <cellStyle name="常规 4 2 2 9 2 3 4 2 2 2 2" xfId="19121"/>
    <cellStyle name="常规 4 2 2 9 2 3 4 2 2 3" xfId="3809"/>
    <cellStyle name="常规 4 2 2 9 2 3 4 2 2 4" xfId="15560"/>
    <cellStyle name="常规 4 2 2 9 2 3 4 2 3" xfId="19123"/>
    <cellStyle name="常规 4 2 2 9 2 3 4 2 3 2" xfId="19126"/>
    <cellStyle name="常规 4 2 2 9 2 3 4 2 4" xfId="19128"/>
    <cellStyle name="常规 4 2 2 9 2 3 4 2 5" xfId="19129"/>
    <cellStyle name="常规 4 2 2 9 2 3 4 3" xfId="19130"/>
    <cellStyle name="常规 4 2 2 9 2 3 4 3 2" xfId="19132"/>
    <cellStyle name="常规 4 2 2 9 2 3 4 3 2 2" xfId="19136"/>
    <cellStyle name="常规 4 2 2 9 2 3 4 3 3" xfId="19138"/>
    <cellStyle name="常规 4 2 2 9 2 3 4 3 4" xfId="19141"/>
    <cellStyle name="常规 4 2 2 9 2 3 4 4" xfId="19142"/>
    <cellStyle name="常规 4 2 2 9 2 3 4 4 2" xfId="19144"/>
    <cellStyle name="常规 4 2 2 9 2 3 4 5" xfId="19147"/>
    <cellStyle name="常规 4 2 2 9 2 3 4 6" xfId="19148"/>
    <cellStyle name="常规 4 2 2 9 2 3 5" xfId="12062"/>
    <cellStyle name="常规 4 2 2 9 2 3 5 2" xfId="19150"/>
    <cellStyle name="常规 4 2 2 9 2 3 5 2 2" xfId="19153"/>
    <cellStyle name="常规 4 2 2 9 2 3 5 2 2 2" xfId="19158"/>
    <cellStyle name="常规 4 2 2 9 2 3 5 2 3" xfId="19161"/>
    <cellStyle name="常规 4 2 2 9 2 3 5 2 4" xfId="19164"/>
    <cellStyle name="常规 4 2 2 9 2 3 5 3" xfId="19166"/>
    <cellStyle name="常规 4 2 2 9 2 3 5 3 2" xfId="19169"/>
    <cellStyle name="常规 4 2 2 9 2 3 5 4" xfId="19171"/>
    <cellStyle name="常规 4 2 2 9 2 3 5 5" xfId="1966"/>
    <cellStyle name="常规 4 2 2 9 2 3 6" xfId="19174"/>
    <cellStyle name="常规 4 2 2 9 2 3 6 2" xfId="19178"/>
    <cellStyle name="常规 4 2 2 9 2 3 6 2 2" xfId="19184"/>
    <cellStyle name="常规 4 2 2 9 2 3 6 3" xfId="19188"/>
    <cellStyle name="常规 4 2 2 9 2 3 6 4" xfId="19192"/>
    <cellStyle name="常规 4 2 2 9 2 3 7" xfId="19194"/>
    <cellStyle name="常规 4 2 2 9 2 3 7 2" xfId="19198"/>
    <cellStyle name="常规 4 2 2 9 2 3 8" xfId="19200"/>
    <cellStyle name="常规 4 2 2 9 2 3 9" xfId="19202"/>
    <cellStyle name="常规 4 2 2 9 2 4" xfId="19203"/>
    <cellStyle name="常规 4 2 2 9 2 4 2" xfId="19204"/>
    <cellStyle name="常规 4 2 2 9 2 4 2 2" xfId="19206"/>
    <cellStyle name="常规 4 2 2 9 2 4 2 2 2" xfId="19207"/>
    <cellStyle name="常规 4 2 2 9 2 4 2 2 2 2" xfId="19209"/>
    <cellStyle name="常规 4 2 2 9 2 4 2 2 2 2 2" xfId="19212"/>
    <cellStyle name="常规 4 2 2 9 2 4 2 2 2 2 2 2" xfId="19215"/>
    <cellStyle name="常规 4 2 2 9 2 4 2 2 2 2 3" xfId="19218"/>
    <cellStyle name="常规 4 2 2 9 2 4 2 2 2 2 4" xfId="19221"/>
    <cellStyle name="常规 4 2 2 9 2 4 2 2 2 3" xfId="19223"/>
    <cellStyle name="常规 4 2 2 9 2 4 2 2 2 3 2" xfId="19226"/>
    <cellStyle name="常规 4 2 2 9 2 4 2 2 2 4" xfId="17775"/>
    <cellStyle name="常规 4 2 2 9 2 4 2 2 2 5" xfId="19230"/>
    <cellStyle name="常规 4 2 2 9 2 4 2 2 3" xfId="19231"/>
    <cellStyle name="常规 4 2 2 9 2 4 2 2 3 2" xfId="19234"/>
    <cellStyle name="常规 4 2 2 9 2 4 2 2 3 2 2" xfId="19237"/>
    <cellStyle name="常规 4 2 2 9 2 4 2 2 3 3" xfId="19240"/>
    <cellStyle name="常规 4 2 2 9 2 4 2 2 3 4" xfId="19242"/>
    <cellStyle name="常规 4 2 2 9 2 4 2 2 4" xfId="19243"/>
    <cellStyle name="常规 4 2 2 9 2 4 2 2 4 2" xfId="19245"/>
    <cellStyle name="常规 4 2 2 9 2 4 2 2 5" xfId="11"/>
    <cellStyle name="常规 4 2 2 9 2 4 2 2 6" xfId="310"/>
    <cellStyle name="常规 4 2 2 9 2 4 2 3" xfId="19246"/>
    <cellStyle name="常规 4 2 2 9 2 4 2 3 2" xfId="19247"/>
    <cellStyle name="常规 4 2 2 9 2 4 2 3 2 2" xfId="16637"/>
    <cellStyle name="常规 4 2 2 9 2 4 2 3 2 2 2" xfId="16675"/>
    <cellStyle name="常规 4 2 2 9 2 4 2 3 2 3" xfId="16640"/>
    <cellStyle name="常规 4 2 2 9 2 4 2 3 2 4" xfId="19249"/>
    <cellStyle name="常规 4 2 2 9 2 4 2 3 3" xfId="19250"/>
    <cellStyle name="常规 4 2 2 9 2 4 2 3 3 2" xfId="2226"/>
    <cellStyle name="常规 4 2 2 9 2 4 2 3 4" xfId="19251"/>
    <cellStyle name="常规 4 2 2 9 2 4 2 3 5" xfId="3930"/>
    <cellStyle name="常规 4 2 2 9 2 4 2 4" xfId="19252"/>
    <cellStyle name="常规 4 2 2 9 2 4 2 4 2" xfId="19253"/>
    <cellStyle name="常规 4 2 2 9 2 4 2 4 2 2" xfId="19255"/>
    <cellStyle name="常规 4 2 2 9 2 4 2 4 3" xfId="19256"/>
    <cellStyle name="常规 4 2 2 9 2 4 2 4 4" xfId="3022"/>
    <cellStyle name="常规 4 2 2 9 2 4 2 5" xfId="19257"/>
    <cellStyle name="常规 4 2 2 9 2 4 2 5 2" xfId="19258"/>
    <cellStyle name="常规 4 2 2 9 2 4 2 6" xfId="19259"/>
    <cellStyle name="常规 4 2 2 9 2 4 2 7" xfId="19260"/>
    <cellStyle name="常规 4 2 2 9 2 4 3" xfId="19261"/>
    <cellStyle name="常规 4 2 2 9 2 4 3 2" xfId="19264"/>
    <cellStyle name="常规 4 2 2 9 2 4 3 2 2" xfId="19265"/>
    <cellStyle name="常规 4 2 2 9 2 4 3 2 2 2" xfId="18815"/>
    <cellStyle name="常规 4 2 2 9 2 4 3 2 2 2 2" xfId="19268"/>
    <cellStyle name="常规 4 2 2 9 2 4 3 2 2 3" xfId="15744"/>
    <cellStyle name="常规 4 2 2 9 2 4 3 2 2 4" xfId="19271"/>
    <cellStyle name="常规 4 2 2 9 2 4 3 2 3" xfId="19272"/>
    <cellStyle name="常规 4 2 2 9 2 4 3 2 3 2" xfId="19274"/>
    <cellStyle name="常规 4 2 2 9 2 4 3 2 4" xfId="19275"/>
    <cellStyle name="常规 4 2 2 9 2 4 3 2 5" xfId="19277"/>
    <cellStyle name="常规 4 2 2 9 2 4 3 3" xfId="19278"/>
    <cellStyle name="常规 4 2 2 9 2 4 3 3 2" xfId="19279"/>
    <cellStyle name="常规 4 2 2 9 2 4 3 3 2 2" xfId="19281"/>
    <cellStyle name="常规 4 2 2 9 2 4 3 3 3" xfId="19282"/>
    <cellStyle name="常规 4 2 2 9 2 4 3 3 4" xfId="19283"/>
    <cellStyle name="常规 4 2 2 9 2 4 3 4" xfId="19284"/>
    <cellStyle name="常规 4 2 2 9 2 4 3 4 2" xfId="19285"/>
    <cellStyle name="常规 4 2 2 9 2 4 3 5" xfId="19286"/>
    <cellStyle name="常规 4 2 2 9 2 4 3 6" xfId="19287"/>
    <cellStyle name="常规 4 2 2 9 2 4 4" xfId="19288"/>
    <cellStyle name="常规 4 2 2 9 2 4 4 2" xfId="19289"/>
    <cellStyle name="常规 4 2 2 9 2 4 4 2 2" xfId="19291"/>
    <cellStyle name="常规 4 2 2 9 2 4 4 2 2 2" xfId="19006"/>
    <cellStyle name="常规 4 2 2 9 2 4 4 2 3" xfId="19293"/>
    <cellStyle name="常规 4 2 2 9 2 4 4 2 4" xfId="19295"/>
    <cellStyle name="常规 4 2 2 9 2 4 4 3" xfId="19296"/>
    <cellStyle name="常规 4 2 2 9 2 4 4 3 2" xfId="19298"/>
    <cellStyle name="常规 4 2 2 9 2 4 4 4" xfId="19299"/>
    <cellStyle name="常规 4 2 2 9 2 4 4 5" xfId="19300"/>
    <cellStyle name="常规 4 2 2 9 2 4 5" xfId="19302"/>
    <cellStyle name="常规 4 2 2 9 2 4 5 2" xfId="19304"/>
    <cellStyle name="常规 4 2 2 9 2 4 5 2 2" xfId="19309"/>
    <cellStyle name="常规 4 2 2 9 2 4 5 3" xfId="19311"/>
    <cellStyle name="常规 4 2 2 9 2 4 5 4" xfId="19313"/>
    <cellStyle name="常规 4 2 2 9 2 4 6" xfId="19315"/>
    <cellStyle name="常规 4 2 2 9 2 4 6 2" xfId="1434"/>
    <cellStyle name="常规 4 2 2 9 2 4 7" xfId="19317"/>
    <cellStyle name="常规 4 2 2 9 2 4 8" xfId="19319"/>
    <cellStyle name="常规 4 2 2 9 2 5" xfId="19320"/>
    <cellStyle name="常规 4 2 2 9 2 5 2" xfId="19322"/>
    <cellStyle name="常规 4 2 2 9 2 5 2 2" xfId="19325"/>
    <cellStyle name="常规 4 2 2 9 2 5 2 2 2" xfId="19326"/>
    <cellStyle name="常规 4 2 2 9 2 5 2 2 2 2" xfId="19331"/>
    <cellStyle name="常规 4 2 2 9 2 5 2 2 2 2 2" xfId="19337"/>
    <cellStyle name="常规 4 2 2 9 2 5 2 2 2 3" xfId="19342"/>
    <cellStyle name="常规 4 2 2 9 2 5 2 2 2 4" xfId="19346"/>
    <cellStyle name="常规 4 2 2 9 2 5 2 2 3" xfId="19347"/>
    <cellStyle name="常规 4 2 2 9 2 5 2 2 3 2" xfId="19351"/>
    <cellStyle name="常规 4 2 2 9 2 5 2 2 4" xfId="19352"/>
    <cellStyle name="常规 4 2 2 9 2 5 2 2 5" xfId="19353"/>
    <cellStyle name="常规 4 2 2 9 2 5 2 3" xfId="19355"/>
    <cellStyle name="常规 4 2 2 9 2 5 2 3 2" xfId="19356"/>
    <cellStyle name="常规 4 2 2 9 2 5 2 3 2 2" xfId="1471"/>
    <cellStyle name="常规 4 2 2 9 2 5 2 3 3" xfId="19357"/>
    <cellStyle name="常规 4 2 2 9 2 5 2 3 4" xfId="19358"/>
    <cellStyle name="常规 4 2 2 9 2 5 2 4" xfId="19359"/>
    <cellStyle name="常规 4 2 2 9 2 5 2 4 2" xfId="19361"/>
    <cellStyle name="常规 4 2 2 9 2 5 2 5" xfId="19362"/>
    <cellStyle name="常规 4 2 2 9 2 5 2 6" xfId="19363"/>
    <cellStyle name="常规 4 2 2 9 2 5 3" xfId="19365"/>
    <cellStyle name="常规 4 2 2 9 2 5 3 2" xfId="19371"/>
    <cellStyle name="常规 4 2 2 9 2 5 3 2 2" xfId="19372"/>
    <cellStyle name="常规 4 2 2 9 2 5 3 2 2 2" xfId="19377"/>
    <cellStyle name="常规 4 2 2 9 2 5 3 2 3" xfId="19378"/>
    <cellStyle name="常规 4 2 2 9 2 5 3 2 4" xfId="19379"/>
    <cellStyle name="常规 4 2 2 9 2 5 3 3" xfId="19380"/>
    <cellStyle name="常规 4 2 2 9 2 5 3 3 2" xfId="19381"/>
    <cellStyle name="常规 4 2 2 9 2 5 3 4" xfId="19382"/>
    <cellStyle name="常规 4 2 2 9 2 5 3 5" xfId="19383"/>
    <cellStyle name="常规 4 2 2 9 2 5 4" xfId="19387"/>
    <cellStyle name="常规 4 2 2 9 2 5 4 2" xfId="19388"/>
    <cellStyle name="常规 4 2 2 9 2 5 4 2 2" xfId="19390"/>
    <cellStyle name="常规 4 2 2 9 2 5 4 3" xfId="19391"/>
    <cellStyle name="常规 4 2 2 9 2 5 4 4" xfId="19392"/>
    <cellStyle name="常规 4 2 2 9 2 5 5" xfId="19396"/>
    <cellStyle name="常规 4 2 2 9 2 5 5 2" xfId="19399"/>
    <cellStyle name="常规 4 2 2 9 2 5 6" xfId="10745"/>
    <cellStyle name="常规 4 2 2 9 2 5 7" xfId="19401"/>
    <cellStyle name="常规 4 2 2 9 2 6" xfId="18838"/>
    <cellStyle name="常规 4 2 2 9 2 6 2" xfId="19403"/>
    <cellStyle name="常规 4 2 2 9 2 6 2 2" xfId="19404"/>
    <cellStyle name="常规 4 2 2 9 2 6 2 2 2" xfId="19405"/>
    <cellStyle name="常规 4 2 2 9 2 6 2 2 2 2" xfId="19410"/>
    <cellStyle name="常规 4 2 2 9 2 6 2 2 3" xfId="19411"/>
    <cellStyle name="常规 4 2 2 9 2 6 2 2 4" xfId="19412"/>
    <cellStyle name="常规 4 2 2 9 2 6 2 3" xfId="19413"/>
    <cellStyle name="常规 4 2 2 9 2 6 2 3 2" xfId="19414"/>
    <cellStyle name="常规 4 2 2 9 2 6 2 4" xfId="19415"/>
    <cellStyle name="常规 4 2 2 9 2 6 2 5" xfId="19416"/>
    <cellStyle name="常规 4 2 2 9 2 6 3" xfId="19420"/>
    <cellStyle name="常规 4 2 2 9 2 6 3 2" xfId="19421"/>
    <cellStyle name="常规 4 2 2 9 2 6 3 2 2" xfId="19422"/>
    <cellStyle name="常规 4 2 2 9 2 6 3 3" xfId="19423"/>
    <cellStyle name="常规 4 2 2 9 2 6 3 4" xfId="19424"/>
    <cellStyle name="常规 4 2 2 9 2 6 4" xfId="19425"/>
    <cellStyle name="常规 4 2 2 9 2 6 4 2" xfId="19426"/>
    <cellStyle name="常规 4 2 2 9 2 6 5" xfId="19428"/>
    <cellStyle name="常规 4 2 2 9 2 6 6" xfId="19430"/>
    <cellStyle name="常规 4 2 2 9 2 7" xfId="19431"/>
    <cellStyle name="常规 4 2 2 9 2 7 2" xfId="19433"/>
    <cellStyle name="常规 4 2 2 9 2 7 2 2" xfId="19434"/>
    <cellStyle name="常规 4 2 2 9 2 7 2 2 2" xfId="19435"/>
    <cellStyle name="常规 4 2 2 9 2 7 2 3" xfId="19436"/>
    <cellStyle name="常规 4 2 2 9 2 7 2 4" xfId="19437"/>
    <cellStyle name="常规 4 2 2 9 2 7 3" xfId="19438"/>
    <cellStyle name="常规 4 2 2 9 2 7 3 2" xfId="19439"/>
    <cellStyle name="常规 4 2 2 9 2 7 4" xfId="19440"/>
    <cellStyle name="常规 4 2 2 9 2 7 5" xfId="19442"/>
    <cellStyle name="常规 4 2 2 9 2 8" xfId="4900"/>
    <cellStyle name="常规 4 2 2 9 2 8 2" xfId="19443"/>
    <cellStyle name="常规 4 2 2 9 2 8 2 2" xfId="19445"/>
    <cellStyle name="常规 4 2 2 9 2 8 3" xfId="19446"/>
    <cellStyle name="常规 4 2 2 9 2 8 4" xfId="19447"/>
    <cellStyle name="常规 4 2 2 9 2 9" xfId="19448"/>
    <cellStyle name="常规 4 2 2 9 2 9 2" xfId="19449"/>
    <cellStyle name="常规 4 2 2 9 3" xfId="19450"/>
    <cellStyle name="常规 4 2 2 9 3 2" xfId="4006"/>
    <cellStyle name="常规 4 2 2 9 3 2 2" xfId="19451"/>
    <cellStyle name="常规 4 2 2 9 3 2 2 2" xfId="19452"/>
    <cellStyle name="常规 4 2 2 9 3 2 2 2 2" xfId="19453"/>
    <cellStyle name="常规 4 2 2 9 3 2 2 2 2 2" xfId="8146"/>
    <cellStyle name="常规 4 2 2 9 3 2 2 2 2 2 2" xfId="8148"/>
    <cellStyle name="常规 4 2 2 9 3 2 2 2 2 2 2 2" xfId="8560"/>
    <cellStyle name="常规 4 2 2 9 3 2 2 2 2 2 3" xfId="19454"/>
    <cellStyle name="常规 4 2 2 9 3 2 2 2 2 2 4" xfId="19455"/>
    <cellStyle name="常规 4 2 2 9 3 2 2 2 2 3" xfId="8150"/>
    <cellStyle name="常规 4 2 2 9 3 2 2 2 2 3 2" xfId="19457"/>
    <cellStyle name="常规 4 2 2 9 3 2 2 2 2 4" xfId="8152"/>
    <cellStyle name="常规 4 2 2 9 3 2 2 2 2 5" xfId="19458"/>
    <cellStyle name="常规 4 2 2 9 3 2 2 2 3" xfId="19462"/>
    <cellStyle name="常规 4 2 2 9 3 2 2 2 3 2" xfId="8200"/>
    <cellStyle name="常规 4 2 2 9 3 2 2 2 3 2 2" xfId="19464"/>
    <cellStyle name="常规 4 2 2 9 3 2 2 2 3 3" xfId="677"/>
    <cellStyle name="常规 4 2 2 9 3 2 2 2 3 4" xfId="17515"/>
    <cellStyle name="常规 4 2 2 9 3 2 2 2 4" xfId="19466"/>
    <cellStyle name="常规 4 2 2 9 3 2 2 2 4 2" xfId="8214"/>
    <cellStyle name="常规 4 2 2 9 3 2 2 2 5" xfId="19468"/>
    <cellStyle name="常规 4 2 2 9 3 2 2 2 6" xfId="19470"/>
    <cellStyle name="常规 4 2 2 9 3 2 2 3" xfId="19474"/>
    <cellStyle name="常规 4 2 2 9 3 2 2 3 2" xfId="19475"/>
    <cellStyle name="常规 4 2 2 9 3 2 2 3 2 2" xfId="2356"/>
    <cellStyle name="常规 4 2 2 9 3 2 2 3 2 2 2" xfId="19476"/>
    <cellStyle name="常规 4 2 2 9 3 2 2 3 2 3" xfId="8927"/>
    <cellStyle name="常规 4 2 2 9 3 2 2 3 2 4" xfId="19477"/>
    <cellStyle name="常规 4 2 2 9 3 2 2 3 3" xfId="19479"/>
    <cellStyle name="常规 4 2 2 9 3 2 2 3 3 2" xfId="8937"/>
    <cellStyle name="常规 4 2 2 9 3 2 2 3 4" xfId="19480"/>
    <cellStyle name="常规 4 2 2 9 3 2 2 3 5" xfId="19481"/>
    <cellStyle name="常规 4 2 2 9 3 2 2 4" xfId="19482"/>
    <cellStyle name="常规 4 2 2 9 3 2 2 4 2" xfId="19483"/>
    <cellStyle name="常规 4 2 2 9 3 2 2 4 2 2" xfId="9475"/>
    <cellStyle name="常规 4 2 2 9 3 2 2 4 3" xfId="19484"/>
    <cellStyle name="常规 4 2 2 9 3 2 2 4 4" xfId="19485"/>
    <cellStyle name="常规 4 2 2 9 3 2 2 5" xfId="19486"/>
    <cellStyle name="常规 4 2 2 9 3 2 2 5 2" xfId="19487"/>
    <cellStyle name="常规 4 2 2 9 3 2 2 6" xfId="19488"/>
    <cellStyle name="常规 4 2 2 9 3 2 2 7" xfId="19490"/>
    <cellStyle name="常规 4 2 2 9 3 2 3" xfId="19491"/>
    <cellStyle name="常规 4 2 2 9 3 2 3 2" xfId="19492"/>
    <cellStyle name="常规 4 2 2 9 3 2 3 2 2" xfId="19493"/>
    <cellStyle name="常规 4 2 2 9 3 2 3 2 2 2" xfId="7462"/>
    <cellStyle name="常规 4 2 2 9 3 2 3 2 2 2 2" xfId="7464"/>
    <cellStyle name="常规 4 2 2 9 3 2 3 2 2 3" xfId="7466"/>
    <cellStyle name="常规 4 2 2 9 3 2 3 2 2 4" xfId="6525"/>
    <cellStyle name="常规 4 2 2 9 3 2 3 2 3" xfId="19495"/>
    <cellStyle name="常规 4 2 2 9 3 2 3 2 3 2" xfId="7471"/>
    <cellStyle name="常规 4 2 2 9 3 2 3 2 4" xfId="19496"/>
    <cellStyle name="常规 4 2 2 9 3 2 3 2 5" xfId="19497"/>
    <cellStyle name="常规 4 2 2 9 3 2 3 3" xfId="19498"/>
    <cellStyle name="常规 4 2 2 9 3 2 3 3 2" xfId="340"/>
    <cellStyle name="常规 4 2 2 9 3 2 3 3 2 2" xfId="834"/>
    <cellStyle name="常规 4 2 2 9 3 2 3 3 3" xfId="358"/>
    <cellStyle name="常规 4 2 2 9 3 2 3 3 4" xfId="19499"/>
    <cellStyle name="常规 4 2 2 9 3 2 3 4" xfId="19500"/>
    <cellStyle name="常规 4 2 2 9 3 2 3 4 2" xfId="19501"/>
    <cellStyle name="常规 4 2 2 9 3 2 3 5" xfId="19502"/>
    <cellStyle name="常规 4 2 2 9 3 2 3 6" xfId="19503"/>
    <cellStyle name="常规 4 2 2 9 3 2 4" xfId="9763"/>
    <cellStyle name="常规 4 2 2 9 3 2 4 2" xfId="9765"/>
    <cellStyle name="常规 4 2 2 9 3 2 4 2 2" xfId="9767"/>
    <cellStyle name="常规 4 2 2 9 3 2 4 2 2 2" xfId="873"/>
    <cellStyle name="常规 4 2 2 9 3 2 4 2 3" xfId="19504"/>
    <cellStyle name="常规 4 2 2 9 3 2 4 2 4" xfId="19505"/>
    <cellStyle name="常规 4 2 2 9 3 2 4 3" xfId="9769"/>
    <cellStyle name="常规 4 2 2 9 3 2 4 3 2" xfId="19506"/>
    <cellStyle name="常规 4 2 2 9 3 2 4 4" xfId="9771"/>
    <cellStyle name="常规 4 2 2 9 3 2 4 5" xfId="19507"/>
    <cellStyle name="常规 4 2 2 9 3 2 5" xfId="9773"/>
    <cellStyle name="常规 4 2 2 9 3 2 5 2" xfId="9778"/>
    <cellStyle name="常规 4 2 2 9 3 2 5 2 2" xfId="19508"/>
    <cellStyle name="常规 4 2 2 9 3 2 5 3" xfId="19509"/>
    <cellStyle name="常规 4 2 2 9 3 2 5 4" xfId="19510"/>
    <cellStyle name="常规 4 2 2 9 3 2 6" xfId="9780"/>
    <cellStyle name="常规 4 2 2 9 3 2 6 2" xfId="19512"/>
    <cellStyle name="常规 4 2 2 9 3 2 7" xfId="9783"/>
    <cellStyle name="常规 4 2 2 9 3 2 8" xfId="19513"/>
    <cellStyle name="常规 4 2 2 9 3 3" xfId="19514"/>
    <cellStyle name="常规 4 2 2 9 3 3 2" xfId="2037"/>
    <cellStyle name="常规 4 2 2 9 3 3 2 2" xfId="19515"/>
    <cellStyle name="常规 4 2 2 9 3 3 2 2 2" xfId="19517"/>
    <cellStyle name="常规 4 2 2 9 3 3 2 2 2 2" xfId="14464"/>
    <cellStyle name="常规 4 2 2 9 3 3 2 2 2 2 2" xfId="14471"/>
    <cellStyle name="常规 4 2 2 9 3 3 2 2 2 3" xfId="14473"/>
    <cellStyle name="常规 4 2 2 9 3 3 2 2 2 4" xfId="14477"/>
    <cellStyle name="常规 4 2 2 9 3 3 2 2 3" xfId="19520"/>
    <cellStyle name="常规 4 2 2 9 3 3 2 2 3 2" xfId="14547"/>
    <cellStyle name="常规 4 2 2 9 3 3 2 2 4" xfId="19521"/>
    <cellStyle name="常规 4 2 2 9 3 3 2 2 5" xfId="19522"/>
    <cellStyle name="常规 4 2 2 9 3 3 2 3" xfId="19523"/>
    <cellStyle name="常规 4 2 2 9 3 3 2 3 2" xfId="19525"/>
    <cellStyle name="常规 4 2 2 9 3 3 2 3 2 2" xfId="15159"/>
    <cellStyle name="常规 4 2 2 9 3 3 2 3 3" xfId="19526"/>
    <cellStyle name="常规 4 2 2 9 3 3 2 3 4" xfId="19527"/>
    <cellStyle name="常规 4 2 2 9 3 3 2 4" xfId="19528"/>
    <cellStyle name="常规 4 2 2 9 3 3 2 4 2" xfId="19529"/>
    <cellStyle name="常规 4 2 2 9 3 3 2 5" xfId="19530"/>
    <cellStyle name="常规 4 2 2 9 3 3 2 6" xfId="19531"/>
    <cellStyle name="常规 4 2 2 9 3 3 3" xfId="19532"/>
    <cellStyle name="常规 4 2 2 9 3 3 3 2" xfId="19533"/>
    <cellStyle name="常规 4 2 2 9 3 3 3 2 2" xfId="19535"/>
    <cellStyle name="常规 4 2 2 9 3 3 3 2 2 2" xfId="8319"/>
    <cellStyle name="常规 4 2 2 9 3 3 3 2 3" xfId="19536"/>
    <cellStyle name="常规 4 2 2 9 3 3 3 2 4" xfId="19537"/>
    <cellStyle name="常规 4 2 2 9 3 3 3 3" xfId="19538"/>
    <cellStyle name="常规 4 2 2 9 3 3 3 3 2" xfId="19539"/>
    <cellStyle name="常规 4 2 2 9 3 3 3 4" xfId="19540"/>
    <cellStyle name="常规 4 2 2 9 3 3 3 5" xfId="19541"/>
    <cellStyle name="常规 4 2 2 9 3 3 4" xfId="9786"/>
    <cellStyle name="常规 4 2 2 9 3 3 4 2" xfId="9788"/>
    <cellStyle name="常规 4 2 2 9 3 3 4 2 2" xfId="19542"/>
    <cellStyle name="常规 4 2 2 9 3 3 4 3" xfId="19543"/>
    <cellStyle name="常规 4 2 2 9 3 3 4 4" xfId="11502"/>
    <cellStyle name="常规 4 2 2 9 3 3 5" xfId="9791"/>
    <cellStyle name="常规 4 2 2 9 3 3 5 2" xfId="19546"/>
    <cellStyle name="常规 4 2 2 9 3 3 6" xfId="9795"/>
    <cellStyle name="常规 4 2 2 9 3 3 7" xfId="19549"/>
    <cellStyle name="常规 4 2 2 9 3 4" xfId="692"/>
    <cellStyle name="常规 4 2 2 9 3 4 2" xfId="5486"/>
    <cellStyle name="常规 4 2 2 9 3 4 2 2" xfId="15977"/>
    <cellStyle name="常规 4 2 2 9 3 4 2 2 2" xfId="19551"/>
    <cellStyle name="常规 4 2 2 9 3 4 2 2 2 2" xfId="19553"/>
    <cellStyle name="常规 4 2 2 9 3 4 2 2 3" xfId="19555"/>
    <cellStyle name="常规 4 2 2 9 3 4 2 2 4" xfId="19556"/>
    <cellStyle name="常规 4 2 2 9 3 4 2 3" xfId="19558"/>
    <cellStyle name="常规 4 2 2 9 3 4 2 3 2" xfId="19559"/>
    <cellStyle name="常规 4 2 2 9 3 4 2 4" xfId="19560"/>
    <cellStyle name="常规 4 2 2 9 3 4 2 5" xfId="19561"/>
    <cellStyle name="常规 4 2 2 9 3 4 3" xfId="15979"/>
    <cellStyle name="常规 4 2 2 9 3 4 3 2" xfId="19562"/>
    <cellStyle name="常规 4 2 2 9 3 4 3 2 2" xfId="19563"/>
    <cellStyle name="常规 4 2 2 9 3 4 3 3" xfId="19564"/>
    <cellStyle name="常规 4 2 2 9 3 4 3 4" xfId="19565"/>
    <cellStyle name="常规 4 2 2 9 3 4 4" xfId="9800"/>
    <cellStyle name="常规 4 2 2 9 3 4 4 2" xfId="801"/>
    <cellStyle name="常规 4 2 2 9 3 4 5" xfId="19567"/>
    <cellStyle name="常规 4 2 2 9 3 4 6" xfId="19570"/>
    <cellStyle name="常规 4 2 2 9 3 5" xfId="5490"/>
    <cellStyle name="常规 4 2 2 9 3 5 2" xfId="15983"/>
    <cellStyle name="常规 4 2 2 9 3 5 2 2" xfId="19571"/>
    <cellStyle name="常规 4 2 2 9 3 5 2 2 2" xfId="19572"/>
    <cellStyle name="常规 4 2 2 9 3 5 2 3" xfId="19573"/>
    <cellStyle name="常规 4 2 2 9 3 5 2 4" xfId="19574"/>
    <cellStyle name="常规 4 2 2 9 3 5 3" xfId="19579"/>
    <cellStyle name="常规 4 2 2 9 3 5 3 2" xfId="19581"/>
    <cellStyle name="常规 4 2 2 9 3 5 4" xfId="19583"/>
    <cellStyle name="常规 4 2 2 9 3 5 5" xfId="19586"/>
    <cellStyle name="常规 4 2 2 9 3 6" xfId="5496"/>
    <cellStyle name="常规 4 2 2 9 3 6 2" xfId="19587"/>
    <cellStyle name="常规 4 2 2 9 3 6 2 2" xfId="19588"/>
    <cellStyle name="常规 4 2 2 9 3 6 3" xfId="19590"/>
    <cellStyle name="常规 4 2 2 9 3 6 4" xfId="19591"/>
    <cellStyle name="常规 4 2 2 9 3 7" xfId="15984"/>
    <cellStyle name="常规 4 2 2 9 3 7 2" xfId="19593"/>
    <cellStyle name="常规 4 2 2 9 3 8" xfId="19595"/>
    <cellStyle name="常规 4 2 2 9 3 9" xfId="19596"/>
    <cellStyle name="常规 4 2 2 9 4" xfId="19597"/>
    <cellStyle name="常规 4 2 2 9 4 2" xfId="19598"/>
    <cellStyle name="常规 4 2 2 9 4 2 2" xfId="19599"/>
    <cellStyle name="常规 4 2 2 9 4 2 2 2" xfId="19600"/>
    <cellStyle name="常规 4 2 2 9 4 2 2 2 2" xfId="12522"/>
    <cellStyle name="常规 4 2 2 9 4 2 2 2 2 2" xfId="12524"/>
    <cellStyle name="常规 4 2 2 9 4 2 2 2 2 2 2" xfId="12526"/>
    <cellStyle name="常规 4 2 2 9 4 2 2 2 2 2 2 2" xfId="12528"/>
    <cellStyle name="常规 4 2 2 9 4 2 2 2 2 2 3" xfId="12535"/>
    <cellStyle name="常规 4 2 2 9 4 2 2 2 2 2 4" xfId="12538"/>
    <cellStyle name="常规 4 2 2 9 4 2 2 2 2 3" xfId="12542"/>
    <cellStyle name="常规 4 2 2 9 4 2 2 2 2 3 2" xfId="12545"/>
    <cellStyle name="常规 4 2 2 9 4 2 2 2 2 4" xfId="12556"/>
    <cellStyle name="常规 4 2 2 9 4 2 2 2 2 5" xfId="12562"/>
    <cellStyle name="常规 4 2 2 9 4 2 2 2 3" xfId="12568"/>
    <cellStyle name="常规 4 2 2 9 4 2 2 2 3 2" xfId="12570"/>
    <cellStyle name="常规 4 2 2 9 4 2 2 2 3 2 2" xfId="12572"/>
    <cellStyle name="常规 4 2 2 9 4 2 2 2 3 3" xfId="12575"/>
    <cellStyle name="常规 4 2 2 9 4 2 2 2 3 4" xfId="12580"/>
    <cellStyle name="常规 4 2 2 9 4 2 2 2 4" xfId="12582"/>
    <cellStyle name="常规 4 2 2 9 4 2 2 2 4 2" xfId="12584"/>
    <cellStyle name="常规 4 2 2 9 4 2 2 2 5" xfId="12594"/>
    <cellStyle name="常规 4 2 2 9 4 2 2 2 6" xfId="12598"/>
    <cellStyle name="常规 4 2 2 9 4 2 2 3" xfId="19601"/>
    <cellStyle name="常规 4 2 2 9 4 2 2 3 2" xfId="12635"/>
    <cellStyle name="常规 4 2 2 9 4 2 2 3 2 2" xfId="2488"/>
    <cellStyle name="常规 4 2 2 9 4 2 2 3 2 2 2" xfId="12637"/>
    <cellStyle name="常规 4 2 2 9 4 2 2 3 2 3" xfId="6098"/>
    <cellStyle name="常规 4 2 2 9 4 2 2 3 2 4" xfId="12648"/>
    <cellStyle name="常规 4 2 2 9 4 2 2 3 3" xfId="12654"/>
    <cellStyle name="常规 4 2 2 9 4 2 2 3 3 2" xfId="5607"/>
    <cellStyle name="常规 4 2 2 9 4 2 2 3 4" xfId="12661"/>
    <cellStyle name="常规 4 2 2 9 4 2 2 3 5" xfId="12664"/>
    <cellStyle name="常规 4 2 2 9 4 2 2 4" xfId="19603"/>
    <cellStyle name="常规 4 2 2 9 4 2 2 4 2" xfId="12680"/>
    <cellStyle name="常规 4 2 2 9 4 2 2 4 2 2" xfId="6751"/>
    <cellStyle name="常规 4 2 2 9 4 2 2 4 3" xfId="12685"/>
    <cellStyle name="常规 4 2 2 9 4 2 2 4 4" xfId="12688"/>
    <cellStyle name="常规 4 2 2 9 4 2 2 5" xfId="19604"/>
    <cellStyle name="常规 4 2 2 9 4 2 2 5 2" xfId="12707"/>
    <cellStyle name="常规 4 2 2 9 4 2 2 6" xfId="19605"/>
    <cellStyle name="常规 4 2 2 9 4 2 2 7" xfId="19607"/>
    <cellStyle name="常规 4 2 2 9 4 2 3" xfId="19608"/>
    <cellStyle name="常规 4 2 2 9 4 2 3 2" xfId="19609"/>
    <cellStyle name="常规 4 2 2 9 4 2 3 2 2" xfId="12786"/>
    <cellStyle name="常规 4 2 2 9 4 2 3 2 2 2" xfId="12789"/>
    <cellStyle name="常规 4 2 2 9 4 2 3 2 2 2 2" xfId="12793"/>
    <cellStyle name="常规 4 2 2 9 4 2 3 2 2 3" xfId="12804"/>
    <cellStyle name="常规 4 2 2 9 4 2 3 2 2 4" xfId="12811"/>
    <cellStyle name="常规 4 2 2 9 4 2 3 2 3" xfId="12817"/>
    <cellStyle name="常规 4 2 2 9 4 2 3 2 3 2" xfId="12819"/>
    <cellStyle name="常规 4 2 2 9 4 2 3 2 4" xfId="12829"/>
    <cellStyle name="常规 4 2 2 9 4 2 3 2 5" xfId="12833"/>
    <cellStyle name="常规 4 2 2 9 4 2 3 3" xfId="19610"/>
    <cellStyle name="常规 4 2 2 9 4 2 3 3 2" xfId="12859"/>
    <cellStyle name="常规 4 2 2 9 4 2 3 3 2 2" xfId="6381"/>
    <cellStyle name="常规 4 2 2 9 4 2 3 3 3" xfId="12868"/>
    <cellStyle name="常规 4 2 2 9 4 2 3 3 4" xfId="12871"/>
    <cellStyle name="常规 4 2 2 9 4 2 3 4" xfId="19611"/>
    <cellStyle name="常规 4 2 2 9 4 2 3 4 2" xfId="12884"/>
    <cellStyle name="常规 4 2 2 9 4 2 3 5" xfId="19612"/>
    <cellStyle name="常规 4 2 2 9 4 2 3 6" xfId="19613"/>
    <cellStyle name="常规 4 2 2 9 4 2 4" xfId="9823"/>
    <cellStyle name="常规 4 2 2 9 4 2 4 2" xfId="9825"/>
    <cellStyle name="常规 4 2 2 9 4 2 4 2 2" xfId="12941"/>
    <cellStyle name="常规 4 2 2 9 4 2 4 2 2 2" xfId="12946"/>
    <cellStyle name="常规 4 2 2 9 4 2 4 2 3" xfId="12959"/>
    <cellStyle name="常规 4 2 2 9 4 2 4 2 4" xfId="12962"/>
    <cellStyle name="常规 4 2 2 9 4 2 4 3" xfId="10206"/>
    <cellStyle name="常规 4 2 2 9 4 2 4 3 2" xfId="12985"/>
    <cellStyle name="常规 4 2 2 9 4 2 4 4" xfId="19614"/>
    <cellStyle name="常规 4 2 2 9 4 2 4 5" xfId="19615"/>
    <cellStyle name="常规 4 2 2 9 4 2 5" xfId="9828"/>
    <cellStyle name="常规 4 2 2 9 4 2 5 2" xfId="283"/>
    <cellStyle name="常规 4 2 2 9 4 2 5 2 2" xfId="4"/>
    <cellStyle name="常规 4 2 2 9 4 2 5 3" xfId="298"/>
    <cellStyle name="常规 4 2 2 9 4 2 5 4" xfId="13"/>
    <cellStyle name="常规 4 2 2 9 4 2 6" xfId="9830"/>
    <cellStyle name="常规 4 2 2 9 4 2 6 2" xfId="19617"/>
    <cellStyle name="常规 4 2 2 9 4 2 7" xfId="19619"/>
    <cellStyle name="常规 4 2 2 9 4 2 8" xfId="19621"/>
    <cellStyle name="常规 4 2 2 9 4 3" xfId="19623"/>
    <cellStyle name="常规 4 2 2 9 4 3 2" xfId="2146"/>
    <cellStyle name="常规 4 2 2 9 4 3 2 2" xfId="19624"/>
    <cellStyle name="常规 4 2 2 9 4 3 2 2 2" xfId="14355"/>
    <cellStyle name="常规 4 2 2 9 4 3 2 2 2 2" xfId="14358"/>
    <cellStyle name="常规 4 2 2 9 4 3 2 2 2 2 2" xfId="14361"/>
    <cellStyle name="常规 4 2 2 9 4 3 2 2 2 3" xfId="14370"/>
    <cellStyle name="常规 4 2 2 9 4 3 2 2 2 4" xfId="14376"/>
    <cellStyle name="常规 4 2 2 9 4 3 2 2 3" xfId="14382"/>
    <cellStyle name="常规 4 2 2 9 4 3 2 2 3 2" xfId="14386"/>
    <cellStyle name="常规 4 2 2 9 4 3 2 2 4" xfId="10669"/>
    <cellStyle name="常规 4 2 2 9 4 3 2 2 5" xfId="10675"/>
    <cellStyle name="常规 4 2 2 9 4 3 2 3" xfId="19625"/>
    <cellStyle name="常规 4 2 2 9 4 3 2 3 2" xfId="14418"/>
    <cellStyle name="常规 4 2 2 9 4 3 2 3 2 2" xfId="14422"/>
    <cellStyle name="常规 4 2 2 9 4 3 2 3 3" xfId="14431"/>
    <cellStyle name="常规 4 2 2 9 4 3 2 3 4" xfId="10684"/>
    <cellStyle name="常规 4 2 2 9 4 3 2 4" xfId="19626"/>
    <cellStyle name="常规 4 2 2 9 4 3 2 4 2" xfId="14442"/>
    <cellStyle name="常规 4 2 2 9 4 3 2 5" xfId="19627"/>
    <cellStyle name="常规 4 2 2 9 4 3 2 6" xfId="19628"/>
    <cellStyle name="常规 4 2 2 9 4 3 3" xfId="19629"/>
    <cellStyle name="常规 4 2 2 9 4 3 3 2" xfId="19630"/>
    <cellStyle name="常规 4 2 2 9 4 3 3 2 2" xfId="14498"/>
    <cellStyle name="常规 4 2 2 9 4 3 3 2 2 2" xfId="14502"/>
    <cellStyle name="常规 4 2 2 9 4 3 3 2 3" xfId="14510"/>
    <cellStyle name="常规 4 2 2 9 4 3 3 2 4" xfId="10968"/>
    <cellStyle name="常规 4 2 2 9 4 3 3 3" xfId="19631"/>
    <cellStyle name="常规 4 2 2 9 4 3 3 3 2" xfId="14527"/>
    <cellStyle name="常规 4 2 2 9 4 3 3 4" xfId="19632"/>
    <cellStyle name="常规 4 2 2 9 4 3 3 5" xfId="19633"/>
    <cellStyle name="常规 4 2 2 9 4 3 4" xfId="9834"/>
    <cellStyle name="常规 4 2 2 9 4 3 4 2" xfId="10229"/>
    <cellStyle name="常规 4 2 2 9 4 3 4 2 2" xfId="2669"/>
    <cellStyle name="常规 4 2 2 9 4 3 4 3" xfId="19634"/>
    <cellStyle name="常规 4 2 2 9 4 3 4 4" xfId="19635"/>
    <cellStyle name="常规 4 2 2 9 4 3 5" xfId="19637"/>
    <cellStyle name="常规 4 2 2 9 4 3 5 2" xfId="19640"/>
    <cellStyle name="常规 4 2 2 9 4 3 6" xfId="19642"/>
    <cellStyle name="常规 4 2 2 9 4 3 7" xfId="19646"/>
    <cellStyle name="常规 4 2 2 9 4 4" xfId="134"/>
    <cellStyle name="常规 4 2 2 9 4 4 2" xfId="15986"/>
    <cellStyle name="常规 4 2 2 9 4 4 2 2" xfId="19649"/>
    <cellStyle name="常规 4 2 2 9 4 4 2 2 2" xfId="15124"/>
    <cellStyle name="常规 4 2 2 9 4 4 2 2 2 2" xfId="15127"/>
    <cellStyle name="常规 4 2 2 9 4 4 2 2 3" xfId="15133"/>
    <cellStyle name="常规 4 2 2 9 4 4 2 2 4" xfId="11796"/>
    <cellStyle name="常规 4 2 2 9 4 4 2 3" xfId="19650"/>
    <cellStyle name="常规 4 2 2 9 4 4 2 3 2" xfId="15142"/>
    <cellStyle name="常规 4 2 2 9 4 4 2 4" xfId="19651"/>
    <cellStyle name="常规 4 2 2 9 4 4 2 5" xfId="19652"/>
    <cellStyle name="常规 4 2 2 9 4 4 3" xfId="2196"/>
    <cellStyle name="常规 4 2 2 9 4 4 3 2" xfId="19653"/>
    <cellStyle name="常规 4 2 2 9 4 4 3 2 2" xfId="15171"/>
    <cellStyle name="常规 4 2 2 9 4 4 3 3" xfId="19654"/>
    <cellStyle name="常规 4 2 2 9 4 4 3 4" xfId="19655"/>
    <cellStyle name="常规 4 2 2 9 4 4 4" xfId="19656"/>
    <cellStyle name="常规 4 2 2 9 4 4 4 2" xfId="19657"/>
    <cellStyle name="常规 4 2 2 9 4 4 5" xfId="19659"/>
    <cellStyle name="常规 4 2 2 9 4 4 6" xfId="19661"/>
    <cellStyle name="常规 4 2 2 9 4 5" xfId="15988"/>
    <cellStyle name="常规 4 2 2 9 4 5 2" xfId="19664"/>
    <cellStyle name="常规 4 2 2 9 4 5 2 2" xfId="19665"/>
    <cellStyle name="常规 4 2 2 9 4 5 2 2 2" xfId="15661"/>
    <cellStyle name="常规 4 2 2 9 4 5 2 3" xfId="19666"/>
    <cellStyle name="常规 4 2 2 9 4 5 2 4" xfId="19667"/>
    <cellStyle name="常规 4 2 2 9 4 5 3" xfId="19669"/>
    <cellStyle name="常规 4 2 2 9 4 5 3 2" xfId="19670"/>
    <cellStyle name="常规 4 2 2 9 4 5 4" xfId="11826"/>
    <cellStyle name="常规 4 2 2 9 4 5 5" xfId="19672"/>
    <cellStyle name="常规 4 2 2 9 4 6" xfId="15990"/>
    <cellStyle name="常规 4 2 2 9 4 6 2" xfId="19673"/>
    <cellStyle name="常规 4 2 2 9 4 6 2 2" xfId="19674"/>
    <cellStyle name="常规 4 2 2 9 4 6 3" xfId="19675"/>
    <cellStyle name="常规 4 2 2 9 4 6 4" xfId="19676"/>
    <cellStyle name="常规 4 2 2 9 4 7" xfId="19677"/>
    <cellStyle name="常规 4 2 2 9 4 7 2" xfId="19678"/>
    <cellStyle name="常规 4 2 2 9 4 8" xfId="19679"/>
    <cellStyle name="常规 4 2 2 9 4 9" xfId="19680"/>
    <cellStyle name="常规 4 2 2 9 5" xfId="19681"/>
    <cellStyle name="常规 4 2 2 9 5 2" xfId="19684"/>
    <cellStyle name="常规 4 2 2 9 5 2 2" xfId="19687"/>
    <cellStyle name="常规 4 2 2 9 5 2 2 2" xfId="19691"/>
    <cellStyle name="常规 4 2 2 9 5 2 2 2 2" xfId="19694"/>
    <cellStyle name="常规 4 2 2 9 5 2 2 2 2 2" xfId="19695"/>
    <cellStyle name="常规 4 2 2 9 5 2 2 2 2 2 2" xfId="19696"/>
    <cellStyle name="常规 4 2 2 9 5 2 2 2 2 3" xfId="19699"/>
    <cellStyle name="常规 4 2 2 9 5 2 2 2 2 4" xfId="19702"/>
    <cellStyle name="常规 4 2 2 9 5 2 2 2 3" xfId="19703"/>
    <cellStyle name="常规 4 2 2 9 5 2 2 2 3 2" xfId="19704"/>
    <cellStyle name="常规 4 2 2 9 5 2 2 2 4" xfId="3494"/>
    <cellStyle name="常规 4 2 2 9 5 2 2 2 5" xfId="19705"/>
    <cellStyle name="常规 4 2 2 9 5 2 2 3" xfId="19707"/>
    <cellStyle name="常规 4 2 2 9 5 2 2 3 2" xfId="19709"/>
    <cellStyle name="常规 4 2 2 9 5 2 2 3 2 2" xfId="19711"/>
    <cellStyle name="常规 4 2 2 9 5 2 2 3 3" xfId="19714"/>
    <cellStyle name="常规 4 2 2 9 5 2 2 3 4" xfId="19717"/>
    <cellStyle name="常规 4 2 2 9 5 2 2 4" xfId="19720"/>
    <cellStyle name="常规 4 2 2 9 5 2 2 4 2" xfId="19723"/>
    <cellStyle name="常规 4 2 2 9 5 2 2 5" xfId="4162"/>
    <cellStyle name="常规 4 2 2 9 5 2 2 6" xfId="31"/>
    <cellStyle name="常规 4 2 2 9 5 2 3" xfId="19724"/>
    <cellStyle name="常规 4 2 2 9 5 2 3 2" xfId="19728"/>
    <cellStyle name="常规 4 2 2 9 5 2 3 2 2" xfId="19729"/>
    <cellStyle name="常规 4 2 2 9 5 2 3 2 2 2" xfId="19730"/>
    <cellStyle name="常规 4 2 2 9 5 2 3 2 3" xfId="19731"/>
    <cellStyle name="常规 4 2 2 9 5 2 3 2 4" xfId="19732"/>
    <cellStyle name="常规 4 2 2 9 5 2 3 3" xfId="19734"/>
    <cellStyle name="常规 4 2 2 9 5 2 3 3 2" xfId="19736"/>
    <cellStyle name="常规 4 2 2 9 5 2 3 4" xfId="19739"/>
    <cellStyle name="常规 4 2 2 9 5 2 3 5" xfId="6228"/>
    <cellStyle name="常规 4 2 2 9 5 2 4" xfId="9845"/>
    <cellStyle name="常规 4 2 2 9 5 2 4 2" xfId="10270"/>
    <cellStyle name="常规 4 2 2 9 5 2 4 2 2" xfId="3247"/>
    <cellStyle name="常规 4 2 2 9 5 2 4 3" xfId="19741"/>
    <cellStyle name="常规 4 2 2 9 5 2 4 4" xfId="19743"/>
    <cellStyle name="常规 4 2 2 9 5 2 5" xfId="19744"/>
    <cellStyle name="常规 4 2 2 9 5 2 5 2" xfId="19745"/>
    <cellStyle name="常规 4 2 2 9 5 2 6" xfId="19746"/>
    <cellStyle name="常规 4 2 2 9 5 2 7" xfId="19748"/>
    <cellStyle name="常规 4 2 2 9 5 3" xfId="19750"/>
    <cellStyle name="常规 4 2 2 9 5 3 2" xfId="260"/>
    <cellStyle name="常规 4 2 2 9 5 3 2 2" xfId="19753"/>
    <cellStyle name="常规 4 2 2 9 5 3 2 2 2" xfId="19754"/>
    <cellStyle name="常规 4 2 2 9 5 3 2 2 2 2" xfId="19756"/>
    <cellStyle name="常规 4 2 2 9 5 3 2 2 3" xfId="19757"/>
    <cellStyle name="常规 4 2 2 9 5 3 2 2 4" xfId="13526"/>
    <cellStyle name="常规 4 2 2 9 5 3 2 3" xfId="19759"/>
    <cellStyle name="常规 4 2 2 9 5 3 2 3 2" xfId="19761"/>
    <cellStyle name="常规 4 2 2 9 5 3 2 4" xfId="19764"/>
    <cellStyle name="常规 4 2 2 9 5 3 2 5" xfId="609"/>
    <cellStyle name="常规 4 2 2 9 5 3 3" xfId="19765"/>
    <cellStyle name="常规 4 2 2 9 5 3 3 2" xfId="19766"/>
    <cellStyle name="常规 4 2 2 9 5 3 3 2 2" xfId="3922"/>
    <cellStyle name="常规 4 2 2 9 5 3 3 3" xfId="19768"/>
    <cellStyle name="常规 4 2 2 9 5 3 3 4" xfId="19770"/>
    <cellStyle name="常规 4 2 2 9 5 3 4" xfId="19771"/>
    <cellStyle name="常规 4 2 2 9 5 3 4 2" xfId="19772"/>
    <cellStyle name="常规 4 2 2 9 5 3 5" xfId="19774"/>
    <cellStyle name="常规 4 2 2 9 5 3 6" xfId="19776"/>
    <cellStyle name="常规 4 2 2 9 5 4" xfId="15992"/>
    <cellStyle name="常规 4 2 2 9 5 4 2" xfId="19782"/>
    <cellStyle name="常规 4 2 2 9 5 4 2 2" xfId="19783"/>
    <cellStyle name="常规 4 2 2 9 5 4 2 2 2" xfId="19784"/>
    <cellStyle name="常规 4 2 2 9 5 4 2 3" xfId="19786"/>
    <cellStyle name="常规 4 2 2 9 5 4 2 4" xfId="19788"/>
    <cellStyle name="常规 4 2 2 9 5 4 3" xfId="19790"/>
    <cellStyle name="常规 4 2 2 9 5 4 3 2" xfId="19792"/>
    <cellStyle name="常规 4 2 2 9 5 4 4" xfId="19793"/>
    <cellStyle name="常规 4 2 2 9 5 4 5" xfId="19795"/>
    <cellStyle name="常规 4 2 2 9 5 5" xfId="19796"/>
    <cellStyle name="常规 4 2 2 9 5 5 2" xfId="19799"/>
    <cellStyle name="常规 4 2 2 9 5 5 2 2" xfId="19800"/>
    <cellStyle name="常规 4 2 2 9 5 5 3" xfId="19801"/>
    <cellStyle name="常规 4 2 2 9 5 5 4" xfId="19802"/>
    <cellStyle name="常规 4 2 2 9 5 6" xfId="19803"/>
    <cellStyle name="常规 4 2 2 9 5 6 2" xfId="19804"/>
    <cellStyle name="常规 4 2 2 9 5 7" xfId="9911"/>
    <cellStyle name="常规 4 2 2 9 5 8" xfId="19805"/>
    <cellStyle name="常规 4 2 2 9 6" xfId="19806"/>
    <cellStyle name="常规 4 2 2 9 6 2" xfId="19809"/>
    <cellStyle name="常规 4 2 2 9 6 2 2" xfId="4139"/>
    <cellStyle name="常规 4 2 2 9 6 2 2 2" xfId="19813"/>
    <cellStyle name="常规 4 2 2 9 6 2 2 2 2" xfId="19814"/>
    <cellStyle name="常规 4 2 2 9 6 2 2 2 2 2" xfId="11440"/>
    <cellStyle name="常规 4 2 2 9 6 2 2 2 3" xfId="18809"/>
    <cellStyle name="常规 4 2 2 9 6 2 2 2 4" xfId="19817"/>
    <cellStyle name="常规 4 2 2 9 6 2 2 3" xfId="19819"/>
    <cellStyle name="常规 4 2 2 9 6 2 2 3 2" xfId="19822"/>
    <cellStyle name="常规 4 2 2 9 6 2 2 4" xfId="19825"/>
    <cellStyle name="常规 4 2 2 9 6 2 2 5" xfId="8070"/>
    <cellStyle name="常规 4 2 2 9 6 2 3" xfId="4144"/>
    <cellStyle name="常规 4 2 2 9 6 2 3 2" xfId="19826"/>
    <cellStyle name="常规 4 2 2 9 6 2 3 2 2" xfId="19827"/>
    <cellStyle name="常规 4 2 2 9 6 2 3 3" xfId="19829"/>
    <cellStyle name="常规 4 2 2 9 6 2 3 4" xfId="19831"/>
    <cellStyle name="常规 4 2 2 9 6 2 4" xfId="19833"/>
    <cellStyle name="常规 4 2 2 9 6 2 4 2" xfId="19835"/>
    <cellStyle name="常规 4 2 2 9 6 2 5" xfId="19837"/>
    <cellStyle name="常规 4 2 2 9 6 2 6" xfId="19838"/>
    <cellStyle name="常规 4 2 2 9 6 3" xfId="19841"/>
    <cellStyle name="常规 4 2 2 9 6 3 2" xfId="1722"/>
    <cellStyle name="常规 4 2 2 9 6 3 2 2" xfId="19845"/>
    <cellStyle name="常规 4 2 2 9 6 3 2 2 2" xfId="19847"/>
    <cellStyle name="常规 4 2 2 9 6 3 2 3" xfId="19850"/>
    <cellStyle name="常规 4 2 2 9 6 3 2 4" xfId="19852"/>
    <cellStyle name="常规 4 2 2 9 6 3 3" xfId="1726"/>
    <cellStyle name="常规 4 2 2 9 6 3 3 2" xfId="19854"/>
    <cellStyle name="常规 4 2 2 9 6 3 4" xfId="1473"/>
    <cellStyle name="常规 4 2 2 9 6 3 5" xfId="1478"/>
    <cellStyle name="常规 4 2 2 9 6 4" xfId="19855"/>
    <cellStyle name="常规 4 2 2 9 6 4 2" xfId="19859"/>
    <cellStyle name="常规 4 2 2 9 6 4 2 2" xfId="19861"/>
    <cellStyle name="常规 4 2 2 9 6 4 3" xfId="19863"/>
    <cellStyle name="常规 4 2 2 9 6 4 4" xfId="19864"/>
    <cellStyle name="常规 4 2 2 9 6 5" xfId="19865"/>
    <cellStyle name="常规 4 2 2 9 6 5 2" xfId="19866"/>
    <cellStyle name="常规 4 2 2 9 6 6" xfId="19867"/>
    <cellStyle name="常规 4 2 2 9 6 7" xfId="19868"/>
    <cellStyle name="常规 4 2 2 9 7" xfId="19869"/>
    <cellStyle name="常规 4 2 2 9 7 2" xfId="19872"/>
    <cellStyle name="常规 4 2 2 9 7 2 2" xfId="19876"/>
    <cellStyle name="常规 4 2 2 9 7 2 2 2" xfId="19877"/>
    <cellStyle name="常规 4 2 2 9 7 2 2 2 2" xfId="19882"/>
    <cellStyle name="常规 4 2 2 9 7 2 2 3" xfId="19887"/>
    <cellStyle name="常规 4 2 2 9 7 2 2 4" xfId="19893"/>
    <cellStyle name="常规 4 2 2 9 7 2 3" xfId="19897"/>
    <cellStyle name="常规 4 2 2 9 7 2 3 2" xfId="19898"/>
    <cellStyle name="常规 4 2 2 9 7 2 4" xfId="19903"/>
    <cellStyle name="常规 4 2 2 9 7 2 5" xfId="19904"/>
    <cellStyle name="常规 4 2 2 9 7 3" xfId="19905"/>
    <cellStyle name="常规 4 2 2 9 7 3 2" xfId="3950"/>
    <cellStyle name="常规 4 2 2 9 7 3 2 2" xfId="19906"/>
    <cellStyle name="常规 4 2 2 9 7 3 3" xfId="19909"/>
    <cellStyle name="常规 4 2 2 9 7 3 4" xfId="19910"/>
    <cellStyle name="常规 4 2 2 9 7 4" xfId="19911"/>
    <cellStyle name="常规 4 2 2 9 7 4 2" xfId="19912"/>
    <cellStyle name="常规 4 2 2 9 7 5" xfId="19913"/>
    <cellStyle name="常规 4 2 2 9 7 6" xfId="19915"/>
    <cellStyle name="常规 4 2 2 9 8" xfId="19916"/>
    <cellStyle name="常规 4 2 2 9 8 2" xfId="19920"/>
    <cellStyle name="常规 4 2 2 9 8 2 2" xfId="19921"/>
    <cellStyle name="常规 4 2 2 9 8 2 2 2" xfId="19922"/>
    <cellStyle name="常规 4 2 2 9 8 2 3" xfId="19925"/>
    <cellStyle name="常规 4 2 2 9 8 2 4" xfId="19926"/>
    <cellStyle name="常规 4 2 2 9 8 3" xfId="19927"/>
    <cellStyle name="常规 4 2 2 9 8 3 2" xfId="3973"/>
    <cellStyle name="常规 4 2 2 9 8 4" xfId="19928"/>
    <cellStyle name="常规 4 2 2 9 8 5" xfId="19930"/>
    <cellStyle name="常规 4 2 2 9 9" xfId="19931"/>
    <cellStyle name="常规 4 2 2 9 9 2" xfId="19936"/>
    <cellStyle name="常规 4 2 2 9 9 2 2" xfId="19938"/>
    <cellStyle name="常规 4 2 2 9 9 3" xfId="19939"/>
    <cellStyle name="常规 4 2 2 9 9 4" xfId="2746"/>
    <cellStyle name="常规 4 2 20" xfId="15791"/>
    <cellStyle name="常规 4 2 21" xfId="15867"/>
    <cellStyle name="常规 4 2 22" xfId="15901"/>
    <cellStyle name="常规 4 2 23" xfId="15917"/>
    <cellStyle name="常规 4 2 24" xfId="15928"/>
    <cellStyle name="常规 4 2 25" xfId="9870"/>
    <cellStyle name="常规 4 2 3" xfId="13723"/>
    <cellStyle name="常规 4 2 3 2" xfId="2442"/>
    <cellStyle name="常规 4 2 3 2 2" xfId="19940"/>
    <cellStyle name="常规 4 2 3 2 2 2" xfId="19941"/>
    <cellStyle name="常规 4 2 3 2 2 2 2" xfId="19944"/>
    <cellStyle name="常规 4 2 3 2 2 2 3" xfId="19945"/>
    <cellStyle name="常规 4 2 3 2 2 3" xfId="19946"/>
    <cellStyle name="常规 4 2 3 2 2 3 2" xfId="19947"/>
    <cellStyle name="常规 4 2 3 2 2 3 3" xfId="19948"/>
    <cellStyle name="常规 4 2 3 2 2 4" xfId="19949"/>
    <cellStyle name="常规 4 2 3 2 2 5" xfId="19950"/>
    <cellStyle name="常规 4 2 3 2 2 6" xfId="19951"/>
    <cellStyle name="常规 4 2 3 2 3" xfId="19953"/>
    <cellStyle name="常规 4 2 3 2 3 2" xfId="19955"/>
    <cellStyle name="常规 4 2 3 2 3 3" xfId="19957"/>
    <cellStyle name="常规 4 2 3 2 4" xfId="19959"/>
    <cellStyle name="常规 4 2 3 2 4 2" xfId="19961"/>
    <cellStyle name="常规 4 2 3 2 4 3" xfId="19962"/>
    <cellStyle name="常规 4 2 3 2 5" xfId="19964"/>
    <cellStyle name="常规 4 2 3 2 6" xfId="19966"/>
    <cellStyle name="常规 4 2 3 2 7" xfId="19967"/>
    <cellStyle name="常规 4 2 3 3" xfId="19968"/>
    <cellStyle name="常规 4 2 3 3 2" xfId="19970"/>
    <cellStyle name="常规 4 2 3 3 2 2" xfId="19971"/>
    <cellStyle name="常规 4 2 3 3 2 3" xfId="10472"/>
    <cellStyle name="常规 4 2 3 3 3" xfId="19973"/>
    <cellStyle name="常规 4 2 3 3 3 2" xfId="19975"/>
    <cellStyle name="常规 4 2 3 3 3 3" xfId="3096"/>
    <cellStyle name="常规 4 2 3 3 4" xfId="19977"/>
    <cellStyle name="常规 4 2 3 3 5" xfId="19979"/>
    <cellStyle name="常规 4 2 3 3 6" xfId="19980"/>
    <cellStyle name="常规 4 2 3 4" xfId="19981"/>
    <cellStyle name="常规 4 2 3 4 2" xfId="19982"/>
    <cellStyle name="常规 4 2 3 4 3" xfId="1044"/>
    <cellStyle name="常规 4 2 3 4 4" xfId="19983"/>
    <cellStyle name="常规 4 2 3 5" xfId="19984"/>
    <cellStyle name="常规 4 2 3 5 2" xfId="19985"/>
    <cellStyle name="常规 4 2 3 5 3" xfId="19986"/>
    <cellStyle name="常规 4 2 3 6" xfId="19988"/>
    <cellStyle name="常规 4 2 3 6 2" xfId="19990"/>
    <cellStyle name="常规 4 2 3 6 3" xfId="19993"/>
    <cellStyle name="常规 4 2 3 7" xfId="19994"/>
    <cellStyle name="常规 4 2 3 8" xfId="19996"/>
    <cellStyle name="常规 4 2 4" xfId="13726"/>
    <cellStyle name="常规 4 2 4 2" xfId="19998"/>
    <cellStyle name="常规 4 2 4 2 2" xfId="20000"/>
    <cellStyle name="常规 4 2 4 2 2 2" xfId="17313"/>
    <cellStyle name="常规 4 2 4 2 2 3" xfId="20001"/>
    <cellStyle name="常规 4 2 4 2 3" xfId="20004"/>
    <cellStyle name="常规 4 2 4 2 3 2" xfId="20006"/>
    <cellStyle name="常规 4 2 4 2 3 3" xfId="20009"/>
    <cellStyle name="常规 4 2 4 2 4" xfId="20016"/>
    <cellStyle name="常规 4 2 4 2 5" xfId="20021"/>
    <cellStyle name="常规 4 2 4 2 6" xfId="20026"/>
    <cellStyle name="常规 4 2 4 3" xfId="20029"/>
    <cellStyle name="常规 4 2 4 3 2" xfId="20030"/>
    <cellStyle name="常规 4 2 4 3 3" xfId="20033"/>
    <cellStyle name="常规 4 2 4 4" xfId="20036"/>
    <cellStyle name="常规 4 2 4 4 2" xfId="20037"/>
    <cellStyle name="常规 4 2 4 4 3" xfId="20039"/>
    <cellStyle name="常规 4 2 4 5" xfId="20040"/>
    <cellStyle name="常规 4 2 4 6" xfId="20041"/>
    <cellStyle name="常规 4 2 4 7" xfId="20042"/>
    <cellStyle name="常规 4 2 5" xfId="13729"/>
    <cellStyle name="常规 4 2 5 2" xfId="20044"/>
    <cellStyle name="常规 4 2 5 2 2" xfId="20045"/>
    <cellStyle name="常规 4 2 5 2 3" xfId="20048"/>
    <cellStyle name="常规 4 2 5 3" xfId="20051"/>
    <cellStyle name="常规 4 2 5 3 2" xfId="20052"/>
    <cellStyle name="常规 4 2 5 3 3" xfId="20054"/>
    <cellStyle name="常规 4 2 5 4" xfId="20055"/>
    <cellStyle name="常规 4 2 5 5" xfId="20057"/>
    <cellStyle name="常规 4 2 5 6" xfId="20058"/>
    <cellStyle name="常规 4 2 6" xfId="20059"/>
    <cellStyle name="常规 4 2 6 2" xfId="20062"/>
    <cellStyle name="常规 4 2 6 3" xfId="20064"/>
    <cellStyle name="常规 4 2 6 4" xfId="20065"/>
    <cellStyle name="常规 4 2 7" xfId="20066"/>
    <cellStyle name="常规 4 2 7 2" xfId="20068"/>
    <cellStyle name="常规 4 2 7 3" xfId="20070"/>
    <cellStyle name="常规 4 2 8" xfId="20071"/>
    <cellStyle name="常规 4 2 8 2" xfId="20072"/>
    <cellStyle name="常规 4 2 8 3" xfId="19943"/>
    <cellStyle name="常规 4 2 9" xfId="20073"/>
    <cellStyle name="常规 4 20" xfId="9488"/>
    <cellStyle name="常规 4 20 2" xfId="839"/>
    <cellStyle name="常规 4 21" xfId="2313"/>
    <cellStyle name="常规 4 22" xfId="7760"/>
    <cellStyle name="常规 4 23" xfId="7775"/>
    <cellStyle name="常规 4 24" xfId="2965"/>
    <cellStyle name="常规 4 3" xfId="20074"/>
    <cellStyle name="常规 4 3 10" xfId="2171"/>
    <cellStyle name="常规 4 3 10 10" xfId="20075"/>
    <cellStyle name="常规 4 3 10 11" xfId="20076"/>
    <cellStyle name="常规 4 3 10 2" xfId="6560"/>
    <cellStyle name="常规 4 3 10 2 2" xfId="11408"/>
    <cellStyle name="常规 4 3 10 2 2 2" xfId="20077"/>
    <cellStyle name="常规 4 3 10 2 2 2 2" xfId="17803"/>
    <cellStyle name="常规 4 3 10 2 2 2 2 2" xfId="19270"/>
    <cellStyle name="常规 4 3 10 2 2 2 2 2 2" xfId="20080"/>
    <cellStyle name="常规 4 3 10 2 2 2 2 2 2 2" xfId="17878"/>
    <cellStyle name="常规 4 3 10 2 2 2 2 2 2 2 2" xfId="17881"/>
    <cellStyle name="常规 4 3 10 2 2 2 2 2 2 3" xfId="17890"/>
    <cellStyle name="常规 4 3 10 2 2 2 2 2 2 4" xfId="17895"/>
    <cellStyle name="常规 4 3 10 2 2 2 2 2 3" xfId="20081"/>
    <cellStyle name="常规 4 3 10 2 2 2 2 2 3 2" xfId="17914"/>
    <cellStyle name="常规 4 3 10 2 2 2 2 2 4" xfId="20082"/>
    <cellStyle name="常规 4 3 10 2 2 2 2 2 5" xfId="20083"/>
    <cellStyle name="常规 4 3 10 2 2 2 2 3" xfId="2308"/>
    <cellStyle name="常规 4 3 10 2 2 2 2 3 2" xfId="20084"/>
    <cellStyle name="常规 4 3 10 2 2 2 2 3 2 2" xfId="4615"/>
    <cellStyle name="常规 4 3 10 2 2 2 2 3 3" xfId="20085"/>
    <cellStyle name="常规 4 3 10 2 2 2 2 3 4" xfId="20086"/>
    <cellStyle name="常规 4 3 10 2 2 2 2 4" xfId="20089"/>
    <cellStyle name="常规 4 3 10 2 2 2 2 4 2" xfId="20090"/>
    <cellStyle name="常规 4 3 10 2 2 2 2 5" xfId="20091"/>
    <cellStyle name="常规 4 3 10 2 2 2 2 6" xfId="20092"/>
    <cellStyle name="常规 4 3 10 2 2 2 3" xfId="17805"/>
    <cellStyle name="常规 4 3 10 2 2 2 3 2" xfId="13107"/>
    <cellStyle name="常规 4 3 10 2 2 2 3 2 2" xfId="13109"/>
    <cellStyle name="常规 4 3 10 2 2 2 3 2 2 2" xfId="18010"/>
    <cellStyle name="常规 4 3 10 2 2 2 3 2 3" xfId="20093"/>
    <cellStyle name="常规 4 3 10 2 2 2 3 2 4" xfId="20094"/>
    <cellStyle name="常规 4 3 10 2 2 2 3 3" xfId="9898"/>
    <cellStyle name="常规 4 3 10 2 2 2 3 3 2" xfId="20095"/>
    <cellStyle name="常规 4 3 10 2 2 2 3 4" xfId="13111"/>
    <cellStyle name="常规 4 3 10 2 2 2 3 5" xfId="20096"/>
    <cellStyle name="常规 4 3 10 2 2 2 4" xfId="1520"/>
    <cellStyle name="常规 4 3 10 2 2 2 4 2" xfId="1255"/>
    <cellStyle name="常规 4 3 10 2 2 2 4 2 2" xfId="1522"/>
    <cellStyle name="常规 4 3 10 2 2 2 4 3" xfId="1260"/>
    <cellStyle name="常规 4 3 10 2 2 2 4 4" xfId="543"/>
    <cellStyle name="常规 4 3 10 2 2 2 5" xfId="1526"/>
    <cellStyle name="常规 4 3 10 2 2 2 5 2" xfId="20097"/>
    <cellStyle name="常规 4 3 10 2 2 2 6" xfId="1528"/>
    <cellStyle name="常规 4 3 10 2 2 2 7" xfId="20098"/>
    <cellStyle name="常规 4 3 10 2 2 3" xfId="20100"/>
    <cellStyle name="常规 4 3 10 2 2 3 2" xfId="17811"/>
    <cellStyle name="常规 4 3 10 2 2 3 2 2" xfId="20102"/>
    <cellStyle name="常规 4 3 10 2 2 3 2 2 2" xfId="20104"/>
    <cellStyle name="常规 4 3 10 2 2 3 2 2 2 2" xfId="18205"/>
    <cellStyle name="常规 4 3 10 2 2 3 2 2 3" xfId="20105"/>
    <cellStyle name="常规 4 3 10 2 2 3 2 2 4" xfId="16469"/>
    <cellStyle name="常规 4 3 10 2 2 3 2 3" xfId="2367"/>
    <cellStyle name="常规 4 3 10 2 2 3 2 3 2" xfId="20106"/>
    <cellStyle name="常规 4 3 10 2 2 3 2 4" xfId="20107"/>
    <cellStyle name="常规 4 3 10 2 2 3 2 5" xfId="20108"/>
    <cellStyle name="常规 4 3 10 2 2 3 3" xfId="20109"/>
    <cellStyle name="常规 4 3 10 2 2 3 3 2" xfId="13124"/>
    <cellStyle name="常规 4 3 10 2 2 3 3 2 2" xfId="20110"/>
    <cellStyle name="常规 4 3 10 2 2 3 3 3" xfId="13126"/>
    <cellStyle name="常规 4 3 10 2 2 3 3 4" xfId="20111"/>
    <cellStyle name="常规 4 3 10 2 2 3 4" xfId="360"/>
    <cellStyle name="常规 4 3 10 2 2 3 4 2" xfId="173"/>
    <cellStyle name="常规 4 3 10 2 2 3 5" xfId="372"/>
    <cellStyle name="常规 4 3 10 2 2 3 6" xfId="385"/>
    <cellStyle name="常规 4 3 10 2 2 4" xfId="20112"/>
    <cellStyle name="常规 4 3 10 2 2 4 2" xfId="20113"/>
    <cellStyle name="常规 4 3 10 2 2 4 2 2" xfId="20115"/>
    <cellStyle name="常规 4 3 10 2 2 4 2 2 2" xfId="20117"/>
    <cellStyle name="常规 4 3 10 2 2 4 2 3" xfId="2399"/>
    <cellStyle name="常规 4 3 10 2 2 4 2 4" xfId="20118"/>
    <cellStyle name="常规 4 3 10 2 2 4 3" xfId="20119"/>
    <cellStyle name="常规 4 3 10 2 2 4 3 2" xfId="20120"/>
    <cellStyle name="常规 4 3 10 2 2 4 4" xfId="1537"/>
    <cellStyle name="常规 4 3 10 2 2 4 5" xfId="1591"/>
    <cellStyle name="常规 4 3 10 2 2 5" xfId="20121"/>
    <cellStyle name="常规 4 3 10 2 2 5 2" xfId="20122"/>
    <cellStyle name="常规 4 3 10 2 2 5 2 2" xfId="20123"/>
    <cellStyle name="常规 4 3 10 2 2 5 3" xfId="20124"/>
    <cellStyle name="常规 4 3 10 2 2 5 4" xfId="1323"/>
    <cellStyle name="常规 4 3 10 2 2 6" xfId="20125"/>
    <cellStyle name="常规 4 3 10 2 2 6 2" xfId="20126"/>
    <cellStyle name="常规 4 3 10 2 2 7" xfId="20127"/>
    <cellStyle name="常规 4 3 10 2 2 8" xfId="20128"/>
    <cellStyle name="常规 4 3 10 2 3" xfId="20129"/>
    <cellStyle name="常规 4 3 10 2 3 2" xfId="20130"/>
    <cellStyle name="常规 4 3 10 2 3 2 2" xfId="17829"/>
    <cellStyle name="常规 4 3 10 2 3 2 2 2" xfId="20134"/>
    <cellStyle name="常规 4 3 10 2 3 2 2 2 2" xfId="20136"/>
    <cellStyle name="常规 4 3 10 2 3 2 2 2 2 2" xfId="19554"/>
    <cellStyle name="常规 4 3 10 2 3 2 2 2 3" xfId="20137"/>
    <cellStyle name="常规 4 3 10 2 3 2 2 2 4" xfId="20138"/>
    <cellStyle name="常规 4 3 10 2 3 2 2 3" xfId="20141"/>
    <cellStyle name="常规 4 3 10 2 3 2 2 3 2" xfId="20142"/>
    <cellStyle name="常规 4 3 10 2 3 2 2 4" xfId="20144"/>
    <cellStyle name="常规 4 3 10 2 3 2 2 5" xfId="20146"/>
    <cellStyle name="常规 4 3 10 2 3 2 3" xfId="20150"/>
    <cellStyle name="常规 4 3 10 2 3 2 3 2" xfId="13153"/>
    <cellStyle name="常规 4 3 10 2 3 2 3 2 2" xfId="20151"/>
    <cellStyle name="常规 4 3 10 2 3 2 3 3" xfId="13154"/>
    <cellStyle name="常规 4 3 10 2 3 2 3 4" xfId="20152"/>
    <cellStyle name="常规 4 3 10 2 3 2 4" xfId="17860"/>
    <cellStyle name="常规 4 3 10 2 3 2 4 2" xfId="20154"/>
    <cellStyle name="常规 4 3 10 2 3 2 5" xfId="20156"/>
    <cellStyle name="常规 4 3 10 2 3 2 6" xfId="20157"/>
    <cellStyle name="常规 4 3 10 2 3 3" xfId="20158"/>
    <cellStyle name="常规 4 3 10 2 3 3 2" xfId="20161"/>
    <cellStyle name="常规 4 3 10 2 3 3 2 2" xfId="20164"/>
    <cellStyle name="常规 4 3 10 2 3 3 2 2 2" xfId="5978"/>
    <cellStyle name="常规 4 3 10 2 3 3 2 3" xfId="20165"/>
    <cellStyle name="常规 4 3 10 2 3 3 2 4" xfId="3226"/>
    <cellStyle name="常规 4 3 10 2 3 3 3" xfId="20168"/>
    <cellStyle name="常规 4 3 10 2 3 3 3 2" xfId="20169"/>
    <cellStyle name="常规 4 3 10 2 3 3 4" xfId="20171"/>
    <cellStyle name="常规 4 3 10 2 3 3 5" xfId="20172"/>
    <cellStyle name="常规 4 3 10 2 3 4" xfId="20173"/>
    <cellStyle name="常规 4 3 10 2 3 4 2" xfId="20176"/>
    <cellStyle name="常规 4 3 10 2 3 4 2 2" xfId="20177"/>
    <cellStyle name="常规 4 3 10 2 3 4 3" xfId="20179"/>
    <cellStyle name="常规 4 3 10 2 3 4 4" xfId="20180"/>
    <cellStyle name="常规 4 3 10 2 3 5" xfId="20181"/>
    <cellStyle name="常规 4 3 10 2 3 5 2" xfId="20183"/>
    <cellStyle name="常规 4 3 10 2 3 6" xfId="20184"/>
    <cellStyle name="常规 4 3 10 2 3 7" xfId="20185"/>
    <cellStyle name="常规 4 3 10 2 4" xfId="20186"/>
    <cellStyle name="常规 4 3 10 2 4 2" xfId="20187"/>
    <cellStyle name="常规 4 3 10 2 4 2 2" xfId="20190"/>
    <cellStyle name="常规 4 3 10 2 4 2 2 2" xfId="20194"/>
    <cellStyle name="常规 4 3 10 2 4 2 2 2 2" xfId="20196"/>
    <cellStyle name="常规 4 3 10 2 4 2 2 3" xfId="20198"/>
    <cellStyle name="常规 4 3 10 2 4 2 2 4" xfId="20199"/>
    <cellStyle name="常规 4 3 10 2 4 2 3" xfId="20203"/>
    <cellStyle name="常规 4 3 10 2 4 2 3 2" xfId="20204"/>
    <cellStyle name="常规 4 3 10 2 4 2 4" xfId="20208"/>
    <cellStyle name="常规 4 3 10 2 4 2 5" xfId="20209"/>
    <cellStyle name="常规 4 3 10 2 4 3" xfId="20210"/>
    <cellStyle name="常规 4 3 10 2 4 3 2" xfId="20213"/>
    <cellStyle name="常规 4 3 10 2 4 3 2 2" xfId="20214"/>
    <cellStyle name="常规 4 3 10 2 4 3 3" xfId="20216"/>
    <cellStyle name="常规 4 3 10 2 4 3 4" xfId="20217"/>
    <cellStyle name="常规 4 3 10 2 4 4" xfId="20219"/>
    <cellStyle name="常规 4 3 10 2 4 4 2" xfId="20224"/>
    <cellStyle name="常规 4 3 10 2 4 5" xfId="20227"/>
    <cellStyle name="常规 4 3 10 2 4 6" xfId="20230"/>
    <cellStyle name="常规 4 3 10 2 5" xfId="20235"/>
    <cellStyle name="常规 4 3 10 2 5 2" xfId="20237"/>
    <cellStyle name="常规 4 3 10 2 5 2 2" xfId="19368"/>
    <cellStyle name="常规 4 3 10 2 5 2 2 2" xfId="19370"/>
    <cellStyle name="常规 4 3 10 2 5 2 3" xfId="19386"/>
    <cellStyle name="常规 4 3 10 2 5 2 4" xfId="19395"/>
    <cellStyle name="常规 4 3 10 2 5 3" xfId="20239"/>
    <cellStyle name="常规 4 3 10 2 5 3 2" xfId="19419"/>
    <cellStyle name="常规 4 3 10 2 5 4" xfId="20242"/>
    <cellStyle name="常规 4 3 10 2 5 5" xfId="20245"/>
    <cellStyle name="常规 4 3 10 2 6" xfId="17329"/>
    <cellStyle name="常规 4 3 10 2 6 2" xfId="20248"/>
    <cellStyle name="常规 4 3 10 2 6 2 2" xfId="19578"/>
    <cellStyle name="常规 4 3 10 2 6 3" xfId="20251"/>
    <cellStyle name="常规 4 3 10 2 6 4" xfId="20254"/>
    <cellStyle name="常规 4 3 10 2 7" xfId="20257"/>
    <cellStyle name="常规 4 3 10 2 7 2" xfId="20260"/>
    <cellStyle name="常规 4 3 10 2 8" xfId="20263"/>
    <cellStyle name="常规 4 3 10 2 9" xfId="20266"/>
    <cellStyle name="常规 4 3 10 3" xfId="10630"/>
    <cellStyle name="常规 4 3 10 3 2" xfId="20268"/>
    <cellStyle name="常规 4 3 10 3 2 2" xfId="20269"/>
    <cellStyle name="常规 4 3 10 3 2 2 2" xfId="17981"/>
    <cellStyle name="常规 4 3 10 3 2 2 2 2" xfId="20272"/>
    <cellStyle name="常规 4 3 10 3 2 2 2 2 2" xfId="20274"/>
    <cellStyle name="常规 4 3 10 3 2 2 2 2 2 2" xfId="20275"/>
    <cellStyle name="常规 4 3 10 3 2 2 2 2 2 2 2" xfId="20278"/>
    <cellStyle name="常规 4 3 10 3 2 2 2 2 2 3" xfId="19360"/>
    <cellStyle name="常规 4 3 10 3 2 2 2 2 2 4" xfId="20279"/>
    <cellStyle name="常规 4 3 10 3 2 2 2 2 3" xfId="20280"/>
    <cellStyle name="常规 4 3 10 3 2 2 2 2 3 2" xfId="20281"/>
    <cellStyle name="常规 4 3 10 3 2 2 2 2 4" xfId="20282"/>
    <cellStyle name="常规 4 3 10 3 2 2 2 2 5" xfId="20283"/>
    <cellStyle name="常规 4 3 10 3 2 2 2 3" xfId="20285"/>
    <cellStyle name="常规 4 3 10 3 2 2 2 3 2" xfId="4020"/>
    <cellStyle name="常规 4 3 10 3 2 2 2 3 2 2" xfId="20286"/>
    <cellStyle name="常规 4 3 10 3 2 2 2 3 3" xfId="20287"/>
    <cellStyle name="常规 4 3 10 3 2 2 2 3 4" xfId="20288"/>
    <cellStyle name="常规 4 3 10 3 2 2 2 4" xfId="20290"/>
    <cellStyle name="常规 4 3 10 3 2 2 2 4 2" xfId="20291"/>
    <cellStyle name="常规 4 3 10 3 2 2 2 5" xfId="18462"/>
    <cellStyle name="常规 4 3 10 3 2 2 2 6" xfId="18465"/>
    <cellStyle name="常规 4 3 10 3 2 2 3" xfId="20292"/>
    <cellStyle name="常规 4 3 10 3 2 2 3 2" xfId="13226"/>
    <cellStyle name="常规 4 3 10 3 2 2 3 2 2" xfId="20293"/>
    <cellStyle name="常规 4 3 10 3 2 2 3 2 2 2" xfId="20294"/>
    <cellStyle name="常规 4 3 10 3 2 2 3 2 3" xfId="20295"/>
    <cellStyle name="常规 4 3 10 3 2 2 3 2 4" xfId="20296"/>
    <cellStyle name="常规 4 3 10 3 2 2 3 3" xfId="10114"/>
    <cellStyle name="常规 4 3 10 3 2 2 3 3 2" xfId="20297"/>
    <cellStyle name="常规 4 3 10 3 2 2 3 4" xfId="20298"/>
    <cellStyle name="常规 4 3 10 3 2 2 3 5" xfId="18469"/>
    <cellStyle name="常规 4 3 10 3 2 2 4" xfId="20299"/>
    <cellStyle name="常规 4 3 10 3 2 2 4 2" xfId="20301"/>
    <cellStyle name="常规 4 3 10 3 2 2 4 2 2" xfId="20302"/>
    <cellStyle name="常规 4 3 10 3 2 2 4 3" xfId="20303"/>
    <cellStyle name="常规 4 3 10 3 2 2 4 4" xfId="20304"/>
    <cellStyle name="常规 4 3 10 3 2 2 5" xfId="20305"/>
    <cellStyle name="常规 4 3 10 3 2 2 5 2" xfId="20306"/>
    <cellStyle name="常规 4 3 10 3 2 2 6" xfId="20309"/>
    <cellStyle name="常规 4 3 10 3 2 2 7" xfId="20310"/>
    <cellStyle name="常规 4 3 10 3 2 3" xfId="20312"/>
    <cellStyle name="常规 4 3 10 3 2 3 2" xfId="20314"/>
    <cellStyle name="常规 4 3 10 3 2 3 2 2" xfId="20316"/>
    <cellStyle name="常规 4 3 10 3 2 3 2 2 2" xfId="20317"/>
    <cellStyle name="常规 4 3 10 3 2 3 2 2 2 2" xfId="20318"/>
    <cellStyle name="常规 4 3 10 3 2 3 2 2 3" xfId="20319"/>
    <cellStyle name="常规 4 3 10 3 2 3 2 2 4" xfId="34"/>
    <cellStyle name="常规 4 3 10 3 2 3 2 3" xfId="20321"/>
    <cellStyle name="常规 4 3 10 3 2 3 2 3 2" xfId="20322"/>
    <cellStyle name="常规 4 3 10 3 2 3 2 4" xfId="3813"/>
    <cellStyle name="常规 4 3 10 3 2 3 2 5" xfId="18483"/>
    <cellStyle name="常规 4 3 10 3 2 3 3" xfId="20323"/>
    <cellStyle name="常规 4 3 10 3 2 3 3 2" xfId="20325"/>
    <cellStyle name="常规 4 3 10 3 2 3 3 2 2" xfId="20326"/>
    <cellStyle name="常规 4 3 10 3 2 3 3 3" xfId="20327"/>
    <cellStyle name="常规 4 3 10 3 2 3 3 4" xfId="20328"/>
    <cellStyle name="常规 4 3 10 3 2 3 4" xfId="20329"/>
    <cellStyle name="常规 4 3 10 3 2 3 4 2" xfId="20330"/>
    <cellStyle name="常规 4 3 10 3 2 3 5" xfId="20331"/>
    <cellStyle name="常规 4 3 10 3 2 3 6" xfId="20332"/>
    <cellStyle name="常规 4 3 10 3 2 4" xfId="20334"/>
    <cellStyle name="常规 4 3 10 3 2 4 2" xfId="20335"/>
    <cellStyle name="常规 4 3 10 3 2 4 2 2" xfId="20337"/>
    <cellStyle name="常规 4 3 10 3 2 4 2 2 2" xfId="15676"/>
    <cellStyle name="常规 4 3 10 3 2 4 2 3" xfId="20338"/>
    <cellStyle name="常规 4 3 10 3 2 4 2 4" xfId="20339"/>
    <cellStyle name="常规 4 3 10 3 2 4 3" xfId="20340"/>
    <cellStyle name="常规 4 3 10 3 2 4 3 2" xfId="20341"/>
    <cellStyle name="常规 4 3 10 3 2 4 4" xfId="20342"/>
    <cellStyle name="常规 4 3 10 3 2 4 5" xfId="20343"/>
    <cellStyle name="常规 4 3 10 3 2 5" xfId="20345"/>
    <cellStyle name="常规 4 3 10 3 2 5 2" xfId="20346"/>
    <cellStyle name="常规 4 3 10 3 2 5 2 2" xfId="16715"/>
    <cellStyle name="常规 4 3 10 3 2 5 3" xfId="20347"/>
    <cellStyle name="常规 4 3 10 3 2 5 4" xfId="20348"/>
    <cellStyle name="常规 4 3 10 3 2 6" xfId="20349"/>
    <cellStyle name="常规 4 3 10 3 2 6 2" xfId="20350"/>
    <cellStyle name="常规 4 3 10 3 2 7" xfId="10008"/>
    <cellStyle name="常规 4 3 10 3 2 8" xfId="10012"/>
    <cellStyle name="常规 4 3 10 3 3" xfId="20351"/>
    <cellStyle name="常规 4 3 10 3 3 2" xfId="20353"/>
    <cellStyle name="常规 4 3 10 3 3 2 2" xfId="20355"/>
    <cellStyle name="常规 4 3 10 3 3 2 2 2" xfId="20357"/>
    <cellStyle name="常规 4 3 10 3 3 2 2 2 2" xfId="20358"/>
    <cellStyle name="常规 4 3 10 3 3 2 2 2 2 2" xfId="17074"/>
    <cellStyle name="常规 4 3 10 3 3 2 2 2 3" xfId="20359"/>
    <cellStyle name="常规 4 3 10 3 3 2 2 2 4" xfId="20360"/>
    <cellStyle name="常规 4 3 10 3 3 2 2 3" xfId="20361"/>
    <cellStyle name="常规 4 3 10 3 3 2 2 3 2" xfId="20366"/>
    <cellStyle name="常规 4 3 10 3 3 2 2 4" xfId="20367"/>
    <cellStyle name="常规 4 3 10 3 3 2 2 5" xfId="18606"/>
    <cellStyle name="常规 4 3 10 3 3 2 3" xfId="20371"/>
    <cellStyle name="常规 4 3 10 3 3 2 3 2" xfId="20373"/>
    <cellStyle name="常规 4 3 10 3 3 2 3 2 2" xfId="20374"/>
    <cellStyle name="常规 4 3 10 3 3 2 3 3" xfId="20376"/>
    <cellStyle name="常规 4 3 10 3 3 2 3 4" xfId="20377"/>
    <cellStyle name="常规 4 3 10 3 3 2 4" xfId="20378"/>
    <cellStyle name="常规 4 3 10 3 3 2 4 2" xfId="20379"/>
    <cellStyle name="常规 4 3 10 3 3 2 5" xfId="20380"/>
    <cellStyle name="常规 4 3 10 3 3 2 6" xfId="20381"/>
    <cellStyle name="常规 4 3 10 3 3 3" xfId="20382"/>
    <cellStyle name="常规 4 3 10 3 3 3 2" xfId="20384"/>
    <cellStyle name="常规 4 3 10 3 3 3 2 2" xfId="20386"/>
    <cellStyle name="常规 4 3 10 3 3 3 2 2 2" xfId="20387"/>
    <cellStyle name="常规 4 3 10 3 3 3 2 3" xfId="20389"/>
    <cellStyle name="常规 4 3 10 3 3 3 2 4" xfId="20390"/>
    <cellStyle name="常规 4 3 10 3 3 3 3" xfId="20391"/>
    <cellStyle name="常规 4 3 10 3 3 3 3 2" xfId="20392"/>
    <cellStyle name="常规 4 3 10 3 3 3 4" xfId="20393"/>
    <cellStyle name="常规 4 3 10 3 3 3 5" xfId="20394"/>
    <cellStyle name="常规 4 3 10 3 3 4" xfId="20395"/>
    <cellStyle name="常规 4 3 10 3 3 4 2" xfId="20396"/>
    <cellStyle name="常规 4 3 10 3 3 4 2 2" xfId="20397"/>
    <cellStyle name="常规 4 3 10 3 3 4 3" xfId="20398"/>
    <cellStyle name="常规 4 3 10 3 3 4 4" xfId="20399"/>
    <cellStyle name="常规 4 3 10 3 3 5" xfId="5831"/>
    <cellStyle name="常规 4 3 10 3 3 5 2" xfId="20400"/>
    <cellStyle name="常规 4 3 10 3 3 6" xfId="20401"/>
    <cellStyle name="常规 4 3 10 3 3 7" xfId="10020"/>
    <cellStyle name="常规 4 3 10 3 4" xfId="20402"/>
    <cellStyle name="常规 4 3 10 3 4 2" xfId="20403"/>
    <cellStyle name="常规 4 3 10 3 4 2 2" xfId="20405"/>
    <cellStyle name="常规 4 3 10 3 4 2 2 2" xfId="20407"/>
    <cellStyle name="常规 4 3 10 3 4 2 2 2 2" xfId="20408"/>
    <cellStyle name="常规 4 3 10 3 4 2 2 3" xfId="20410"/>
    <cellStyle name="常规 4 3 10 3 4 2 2 4" xfId="20412"/>
    <cellStyle name="常规 4 3 10 3 4 2 3" xfId="20414"/>
    <cellStyle name="常规 4 3 10 3 4 2 3 2" xfId="20415"/>
    <cellStyle name="常规 4 3 10 3 4 2 4" xfId="20416"/>
    <cellStyle name="常规 4 3 10 3 4 2 5" xfId="20417"/>
    <cellStyle name="常规 4 3 10 3 4 3" xfId="20418"/>
    <cellStyle name="常规 4 3 10 3 4 3 2" xfId="20419"/>
    <cellStyle name="常规 4 3 10 3 4 3 2 2" xfId="20420"/>
    <cellStyle name="常规 4 3 10 3 4 3 3" xfId="20421"/>
    <cellStyle name="常规 4 3 10 3 4 3 4" xfId="20423"/>
    <cellStyle name="常规 4 3 10 3 4 4" xfId="20425"/>
    <cellStyle name="常规 4 3 10 3 4 4 2" xfId="20427"/>
    <cellStyle name="常规 4 3 10 3 4 5" xfId="20428"/>
    <cellStyle name="常规 4 3 10 3 4 6" xfId="20431"/>
    <cellStyle name="常规 4 3 10 3 5" xfId="18203"/>
    <cellStyle name="常规 4 3 10 3 5 2" xfId="20433"/>
    <cellStyle name="常规 4 3 10 3 5 2 2" xfId="20435"/>
    <cellStyle name="常规 4 3 10 3 5 2 2 2" xfId="20437"/>
    <cellStyle name="常规 4 3 10 3 5 2 3" xfId="20438"/>
    <cellStyle name="常规 4 3 10 3 5 2 4" xfId="20440"/>
    <cellStyle name="常规 4 3 10 3 5 3" xfId="20442"/>
    <cellStyle name="常规 4 3 10 3 5 3 2" xfId="20443"/>
    <cellStyle name="常规 4 3 10 3 5 4" xfId="20445"/>
    <cellStyle name="常规 4 3 10 3 5 5" xfId="20446"/>
    <cellStyle name="常规 4 3 10 3 6" xfId="20449"/>
    <cellStyle name="常规 4 3 10 3 6 2" xfId="20452"/>
    <cellStyle name="常规 4 3 10 3 6 2 2" xfId="20454"/>
    <cellStyle name="常规 4 3 10 3 6 3" xfId="20456"/>
    <cellStyle name="常规 4 3 10 3 6 4" xfId="20459"/>
    <cellStyle name="常规 4 3 10 3 7" xfId="20462"/>
    <cellStyle name="常规 4 3 10 3 7 2" xfId="20464"/>
    <cellStyle name="常规 4 3 10 3 8" xfId="20467"/>
    <cellStyle name="常规 4 3 10 3 9" xfId="20469"/>
    <cellStyle name="常规 4 3 10 4" xfId="7612"/>
    <cellStyle name="常规 4 3 10 4 2" xfId="20470"/>
    <cellStyle name="常规 4 3 10 4 2 2" xfId="892"/>
    <cellStyle name="常规 4 3 10 4 2 2 2" xfId="20471"/>
    <cellStyle name="常规 4 3 10 4 2 2 2 2" xfId="20474"/>
    <cellStyle name="常规 4 3 10 4 2 2 2 2 2" xfId="20475"/>
    <cellStyle name="常规 4 3 10 4 2 2 2 2 2 2" xfId="20476"/>
    <cellStyle name="常规 4 3 10 4 2 2 2 2 3" xfId="20479"/>
    <cellStyle name="常规 4 3 10 4 2 2 2 2 4" xfId="14035"/>
    <cellStyle name="常规 4 3 10 4 2 2 2 3" xfId="20480"/>
    <cellStyle name="常规 4 3 10 4 2 2 2 3 2" xfId="20481"/>
    <cellStyle name="常规 4 3 10 4 2 2 2 4" xfId="20482"/>
    <cellStyle name="常规 4 3 10 4 2 2 2 5" xfId="19791"/>
    <cellStyle name="常规 4 3 10 4 2 2 3" xfId="20483"/>
    <cellStyle name="常规 4 3 10 4 2 2 3 2" xfId="20484"/>
    <cellStyle name="常规 4 3 10 4 2 2 3 2 2" xfId="20485"/>
    <cellStyle name="常规 4 3 10 4 2 2 3 3" xfId="20486"/>
    <cellStyle name="常规 4 3 10 4 2 2 3 4" xfId="20487"/>
    <cellStyle name="常规 4 3 10 4 2 2 4" xfId="20488"/>
    <cellStyle name="常规 4 3 10 4 2 2 4 2" xfId="20489"/>
    <cellStyle name="常规 4 3 10 4 2 2 5" xfId="20490"/>
    <cellStyle name="常规 4 3 10 4 2 2 6" xfId="20491"/>
    <cellStyle name="常规 4 3 10 4 2 3" xfId="900"/>
    <cellStyle name="常规 4 3 10 4 2 3 2" xfId="20492"/>
    <cellStyle name="常规 4 3 10 4 2 3 2 2" xfId="20493"/>
    <cellStyle name="常规 4 3 10 4 2 3 2 2 2" xfId="20494"/>
    <cellStyle name="常规 4 3 10 4 2 3 2 3" xfId="20495"/>
    <cellStyle name="常规 4 3 10 4 2 3 2 4" xfId="20496"/>
    <cellStyle name="常规 4 3 10 4 2 3 3" xfId="20497"/>
    <cellStyle name="常规 4 3 10 4 2 3 3 2" xfId="20498"/>
    <cellStyle name="常规 4 3 10 4 2 3 4" xfId="20500"/>
    <cellStyle name="常规 4 3 10 4 2 3 5" xfId="20501"/>
    <cellStyle name="常规 4 3 10 4 2 4" xfId="932"/>
    <cellStyle name="常规 4 3 10 4 2 4 2" xfId="20502"/>
    <cellStyle name="常规 4 3 10 4 2 4 2 2" xfId="20503"/>
    <cellStyle name="常规 4 3 10 4 2 4 3" xfId="20504"/>
    <cellStyle name="常规 4 3 10 4 2 4 4" xfId="20506"/>
    <cellStyle name="常规 4 3 10 4 2 5" xfId="468"/>
    <cellStyle name="常规 4 3 10 4 2 5 2" xfId="20507"/>
    <cellStyle name="常规 4 3 10 4 2 6" xfId="474"/>
    <cellStyle name="常规 4 3 10 4 2 7" xfId="484"/>
    <cellStyle name="常规 4 3 10 4 3" xfId="20508"/>
    <cellStyle name="常规 4 3 10 4 3 2" xfId="20509"/>
    <cellStyle name="常规 4 3 10 4 3 2 2" xfId="20511"/>
    <cellStyle name="常规 4 3 10 4 3 2 2 2" xfId="20512"/>
    <cellStyle name="常规 4 3 10 4 3 2 2 2 2" xfId="20513"/>
    <cellStyle name="常规 4 3 10 4 3 2 2 3" xfId="20515"/>
    <cellStyle name="常规 4 3 10 4 3 2 2 4" xfId="20516"/>
    <cellStyle name="常规 4 3 10 4 3 2 3" xfId="5533"/>
    <cellStyle name="常规 4 3 10 4 3 2 3 2" xfId="5535"/>
    <cellStyle name="常规 4 3 10 4 3 2 4" xfId="2030"/>
    <cellStyle name="常规 4 3 10 4 3 2 5" xfId="5084"/>
    <cellStyle name="常规 4 3 10 4 3 3" xfId="20517"/>
    <cellStyle name="常规 4 3 10 4 3 3 2" xfId="20518"/>
    <cellStyle name="常规 4 3 10 4 3 3 2 2" xfId="20519"/>
    <cellStyle name="常规 4 3 10 4 3 3 3" xfId="5537"/>
    <cellStyle name="常规 4 3 10 4 3 3 4" xfId="20520"/>
    <cellStyle name="常规 4 3 10 4 3 4" xfId="20521"/>
    <cellStyle name="常规 4 3 10 4 3 4 2" xfId="20522"/>
    <cellStyle name="常规 4 3 10 4 3 5" xfId="20523"/>
    <cellStyle name="常规 4 3 10 4 3 6" xfId="20524"/>
    <cellStyle name="常规 4 3 10 4 4" xfId="20525"/>
    <cellStyle name="常规 4 3 10 4 4 2" xfId="20526"/>
    <cellStyle name="常规 4 3 10 4 4 2 2" xfId="20528"/>
    <cellStyle name="常规 4 3 10 4 4 2 2 2" xfId="20531"/>
    <cellStyle name="常规 4 3 10 4 4 2 3" xfId="5544"/>
    <cellStyle name="常规 4 3 10 4 4 2 4" xfId="20533"/>
    <cellStyle name="常规 4 3 10 4 4 3" xfId="20534"/>
    <cellStyle name="常规 4 3 10 4 4 3 2" xfId="20536"/>
    <cellStyle name="常规 4 3 10 4 4 4" xfId="20537"/>
    <cellStyle name="常规 4 3 10 4 4 5" xfId="20538"/>
    <cellStyle name="常规 4 3 10 4 5" xfId="20540"/>
    <cellStyle name="常规 4 3 10 4 5 2" xfId="20542"/>
    <cellStyle name="常规 4 3 10 4 5 2 2" xfId="20544"/>
    <cellStyle name="常规 4 3 10 4 5 3" xfId="20545"/>
    <cellStyle name="常规 4 3 10 4 5 4" xfId="20546"/>
    <cellStyle name="常规 4 3 10 4 6" xfId="20549"/>
    <cellStyle name="常规 4 3 10 4 6 2" xfId="20552"/>
    <cellStyle name="常规 4 3 10 4 7" xfId="20555"/>
    <cellStyle name="常规 4 3 10 4 8" xfId="5802"/>
    <cellStyle name="常规 4 3 10 5" xfId="20556"/>
    <cellStyle name="常规 4 3 10 5 2" xfId="20557"/>
    <cellStyle name="常规 4 3 10 5 2 2" xfId="20558"/>
    <cellStyle name="常规 4 3 10 5 2 2 2" xfId="20559"/>
    <cellStyle name="常规 4 3 10 5 2 2 2 2" xfId="6551"/>
    <cellStyle name="常规 4 3 10 5 2 2 2 2 2" xfId="2051"/>
    <cellStyle name="常规 4 3 10 5 2 2 2 3" xfId="6554"/>
    <cellStyle name="常规 4 3 10 5 2 2 2 4" xfId="828"/>
    <cellStyle name="常规 4 3 10 5 2 2 3" xfId="20560"/>
    <cellStyle name="常规 4 3 10 5 2 2 3 2" xfId="6648"/>
    <cellStyle name="常规 4 3 10 5 2 2 4" xfId="20561"/>
    <cellStyle name="常规 4 3 10 5 2 2 5" xfId="12670"/>
    <cellStyle name="常规 4 3 10 5 2 3" xfId="20563"/>
    <cellStyle name="常规 4 3 10 5 2 3 2" xfId="20567"/>
    <cellStyle name="常规 4 3 10 5 2 3 2 2" xfId="6911"/>
    <cellStyle name="常规 4 3 10 5 2 3 3" xfId="20568"/>
    <cellStyle name="常规 4 3 10 5 2 3 4" xfId="20569"/>
    <cellStyle name="常规 4 3 10 5 2 4" xfId="20571"/>
    <cellStyle name="常规 4 3 10 5 2 4 2" xfId="20572"/>
    <cellStyle name="常规 4 3 10 5 2 5" xfId="20574"/>
    <cellStyle name="常规 4 3 10 5 2 6" xfId="20575"/>
    <cellStyle name="常规 4 3 10 5 3" xfId="20576"/>
    <cellStyle name="常规 4 3 10 5 3 2" xfId="20577"/>
    <cellStyle name="常规 4 3 10 5 3 2 2" xfId="20579"/>
    <cellStyle name="常规 4 3 10 5 3 2 2 2" xfId="7698"/>
    <cellStyle name="常规 4 3 10 5 3 2 3" xfId="5564"/>
    <cellStyle name="常规 4 3 10 5 3 2 4" xfId="20580"/>
    <cellStyle name="常规 4 3 10 5 3 3" xfId="20584"/>
    <cellStyle name="常规 4 3 10 5 3 3 2" xfId="20585"/>
    <cellStyle name="常规 4 3 10 5 3 4" xfId="20587"/>
    <cellStyle name="常规 4 3 10 5 3 5" xfId="20588"/>
    <cellStyle name="常规 4 3 10 5 4" xfId="20589"/>
    <cellStyle name="常规 4 3 10 5 4 2" xfId="20590"/>
    <cellStyle name="常规 4 3 10 5 4 2 2" xfId="20592"/>
    <cellStyle name="常规 4 3 10 5 4 3" xfId="20593"/>
    <cellStyle name="常规 4 3 10 5 4 4" xfId="20594"/>
    <cellStyle name="常规 4 3 10 5 5" xfId="20596"/>
    <cellStyle name="常规 4 3 10 5 5 2" xfId="12009"/>
    <cellStyle name="常规 4 3 10 5 6" xfId="20599"/>
    <cellStyle name="常规 4 3 10 5 7" xfId="20601"/>
    <cellStyle name="常规 4 3 10 6" xfId="20602"/>
    <cellStyle name="常规 4 3 10 6 2" xfId="20603"/>
    <cellStyle name="常规 4 3 10 6 2 2" xfId="20604"/>
    <cellStyle name="常规 4 3 10 6 2 2 2" xfId="20606"/>
    <cellStyle name="常规 4 3 10 6 2 2 2 2" xfId="20610"/>
    <cellStyle name="常规 4 3 10 6 2 2 3" xfId="20611"/>
    <cellStyle name="常规 4 3 10 6 2 2 4" xfId="20612"/>
    <cellStyle name="常规 4 3 10 6 2 3" xfId="20614"/>
    <cellStyle name="常规 4 3 10 6 2 3 2" xfId="20618"/>
    <cellStyle name="常规 4 3 10 6 2 4" xfId="20619"/>
    <cellStyle name="常规 4 3 10 6 2 5" xfId="20620"/>
    <cellStyle name="常规 4 3 10 6 3" xfId="20621"/>
    <cellStyle name="常规 4 3 10 6 3 2" xfId="20622"/>
    <cellStyle name="常规 4 3 10 6 3 2 2" xfId="20624"/>
    <cellStyle name="常规 4 3 10 6 3 3" xfId="20625"/>
    <cellStyle name="常规 4 3 10 6 3 4" xfId="20626"/>
    <cellStyle name="常规 4 3 10 6 4" xfId="20627"/>
    <cellStyle name="常规 4 3 10 6 4 2" xfId="20628"/>
    <cellStyle name="常规 4 3 10 6 5" xfId="20629"/>
    <cellStyle name="常规 4 3 10 6 6" xfId="20631"/>
    <cellStyle name="常规 4 3 10 7" xfId="20632"/>
    <cellStyle name="常规 4 3 10 7 2" xfId="20633"/>
    <cellStyle name="常规 4 3 10 7 2 2" xfId="20634"/>
    <cellStyle name="常规 4 3 10 7 2 2 2" xfId="9662"/>
    <cellStyle name="常规 4 3 10 7 2 3" xfId="20635"/>
    <cellStyle name="常规 4 3 10 7 2 4" xfId="20636"/>
    <cellStyle name="常规 4 3 10 7 3" xfId="20637"/>
    <cellStyle name="常规 4 3 10 7 3 2" xfId="20638"/>
    <cellStyle name="常规 4 3 10 7 4" xfId="10802"/>
    <cellStyle name="常规 4 3 10 7 5" xfId="10805"/>
    <cellStyle name="常规 4 3 10 8" xfId="20639"/>
    <cellStyle name="常规 4 3 10 8 2" xfId="20640"/>
    <cellStyle name="常规 4 3 10 8 2 2" xfId="20641"/>
    <cellStyle name="常规 4 3 10 8 3" xfId="20642"/>
    <cellStyle name="常规 4 3 10 8 4" xfId="10812"/>
    <cellStyle name="常规 4 3 10 9" xfId="20644"/>
    <cellStyle name="常规 4 3 10 9 2" xfId="20645"/>
    <cellStyle name="常规 4 3 11" xfId="2176"/>
    <cellStyle name="常规 4 3 11 10" xfId="20649"/>
    <cellStyle name="常规 4 3 11 2" xfId="10639"/>
    <cellStyle name="常规 4 3 11 2 2" xfId="20650"/>
    <cellStyle name="常规 4 3 11 2 2 2" xfId="20651"/>
    <cellStyle name="常规 4 3 11 2 2 2 2" xfId="20652"/>
    <cellStyle name="常规 4 3 11 2 2 2 2 2" xfId="4652"/>
    <cellStyle name="常规 4 3 11 2 2 2 2 2 2" xfId="4654"/>
    <cellStyle name="常规 4 3 11 2 2 2 2 2 2 2" xfId="20653"/>
    <cellStyle name="常规 4 3 11 2 2 2 2 2 2 2 2" xfId="19919"/>
    <cellStyle name="常规 4 3 11 2 2 2 2 2 2 3" xfId="18043"/>
    <cellStyle name="常规 4 3 11 2 2 2 2 2 2 4" xfId="20654"/>
    <cellStyle name="常规 4 3 11 2 2 2 2 2 3" xfId="20655"/>
    <cellStyle name="常规 4 3 11 2 2 2 2 2 3 2" xfId="20656"/>
    <cellStyle name="常规 4 3 11 2 2 2 2 2 4" xfId="20657"/>
    <cellStyle name="常规 4 3 11 2 2 2 2 2 5" xfId="20658"/>
    <cellStyle name="常规 4 3 11 2 2 2 2 3" xfId="4656"/>
    <cellStyle name="常规 4 3 11 2 2 2 2 3 2" xfId="20659"/>
    <cellStyle name="常规 4 3 11 2 2 2 2 3 2 2" xfId="20660"/>
    <cellStyle name="常规 4 3 11 2 2 2 2 3 3" xfId="20661"/>
    <cellStyle name="常规 4 3 11 2 2 2 2 3 4" xfId="20662"/>
    <cellStyle name="常规 4 3 11 2 2 2 2 4" xfId="4658"/>
    <cellStyle name="常规 4 3 11 2 2 2 2 4 2" xfId="20663"/>
    <cellStyle name="常规 4 3 11 2 2 2 2 5" xfId="20664"/>
    <cellStyle name="常规 4 3 11 2 2 2 2 6" xfId="20665"/>
    <cellStyle name="常规 4 3 11 2 2 2 3" xfId="20666"/>
    <cellStyle name="常规 4 3 11 2 2 2 3 2" xfId="4679"/>
    <cellStyle name="常规 4 3 11 2 2 2 3 2 2" xfId="13336"/>
    <cellStyle name="常规 4 3 11 2 2 2 3 2 2 2" xfId="20669"/>
    <cellStyle name="常规 4 3 11 2 2 2 3 2 3" xfId="20670"/>
    <cellStyle name="常规 4 3 11 2 2 2 3 2 4" xfId="20671"/>
    <cellStyle name="常规 4 3 11 2 2 2 3 3" xfId="4683"/>
    <cellStyle name="常规 4 3 11 2 2 2 3 3 2" xfId="20672"/>
    <cellStyle name="常规 4 3 11 2 2 2 3 4" xfId="13339"/>
    <cellStyle name="常规 4 3 11 2 2 2 3 5" xfId="20673"/>
    <cellStyle name="常规 4 3 11 2 2 2 4" xfId="20674"/>
    <cellStyle name="常规 4 3 11 2 2 2 4 2" xfId="13343"/>
    <cellStyle name="常规 4 3 11 2 2 2 4 2 2" xfId="20675"/>
    <cellStyle name="常规 4 3 11 2 2 2 4 3" xfId="13345"/>
    <cellStyle name="常规 4 3 11 2 2 2 4 4" xfId="20676"/>
    <cellStyle name="常规 4 3 11 2 2 2 5" xfId="20677"/>
    <cellStyle name="常规 4 3 11 2 2 2 5 2" xfId="20678"/>
    <cellStyle name="常规 4 3 11 2 2 2 6" xfId="20679"/>
    <cellStyle name="常规 4 3 11 2 2 2 7" xfId="20680"/>
    <cellStyle name="常规 4 3 11 2 2 3" xfId="20681"/>
    <cellStyle name="常规 4 3 11 2 2 3 2" xfId="20682"/>
    <cellStyle name="常规 4 3 11 2 2 3 2 2" xfId="4733"/>
    <cellStyle name="常规 4 3 11 2 2 3 2 2 2" xfId="20683"/>
    <cellStyle name="常规 4 3 11 2 2 3 2 2 2 2" xfId="20684"/>
    <cellStyle name="常规 4 3 11 2 2 3 2 2 3" xfId="9483"/>
    <cellStyle name="常规 4 3 11 2 2 3 2 2 4" xfId="20685"/>
    <cellStyle name="常规 4 3 11 2 2 3 2 3" xfId="4735"/>
    <cellStyle name="常规 4 3 11 2 2 3 2 3 2" xfId="20686"/>
    <cellStyle name="常规 4 3 11 2 2 3 2 4" xfId="20687"/>
    <cellStyle name="常规 4 3 11 2 2 3 2 5" xfId="20688"/>
    <cellStyle name="常规 4 3 11 2 2 3 3" xfId="20689"/>
    <cellStyle name="常规 4 3 11 2 2 3 3 2" xfId="13351"/>
    <cellStyle name="常规 4 3 11 2 2 3 3 2 2" xfId="20690"/>
    <cellStyle name="常规 4 3 11 2 2 3 3 3" xfId="13353"/>
    <cellStyle name="常规 4 3 11 2 2 3 3 4" xfId="20691"/>
    <cellStyle name="常规 4 3 11 2 2 3 4" xfId="20692"/>
    <cellStyle name="常规 4 3 11 2 2 3 4 2" xfId="20694"/>
    <cellStyle name="常规 4 3 11 2 2 3 5" xfId="20695"/>
    <cellStyle name="常规 4 3 11 2 2 3 6" xfId="5979"/>
    <cellStyle name="常规 4 3 11 2 2 4" xfId="20696"/>
    <cellStyle name="常规 4 3 11 2 2 4 2" xfId="20697"/>
    <cellStyle name="常规 4 3 11 2 2 4 2 2" xfId="20698"/>
    <cellStyle name="常规 4 3 11 2 2 4 2 2 2" xfId="20699"/>
    <cellStyle name="常规 4 3 11 2 2 4 2 3" xfId="20700"/>
    <cellStyle name="常规 4 3 11 2 2 4 2 4" xfId="20701"/>
    <cellStyle name="常规 4 3 11 2 2 4 3" xfId="20702"/>
    <cellStyle name="常规 4 3 11 2 2 4 3 2" xfId="20704"/>
    <cellStyle name="常规 4 3 11 2 2 4 4" xfId="20705"/>
    <cellStyle name="常规 4 3 11 2 2 4 5" xfId="20706"/>
    <cellStyle name="常规 4 3 11 2 2 5" xfId="20707"/>
    <cellStyle name="常规 4 3 11 2 2 5 2" xfId="20710"/>
    <cellStyle name="常规 4 3 11 2 2 5 2 2" xfId="20711"/>
    <cellStyle name="常规 4 3 11 2 2 5 3" xfId="20716"/>
    <cellStyle name="常规 4 3 11 2 2 5 4" xfId="20718"/>
    <cellStyle name="常规 4 3 11 2 2 6" xfId="20719"/>
    <cellStyle name="常规 4 3 11 2 2 6 2" xfId="20720"/>
    <cellStyle name="常规 4 3 11 2 2 7" xfId="20721"/>
    <cellStyle name="常规 4 3 11 2 2 8" xfId="20722"/>
    <cellStyle name="常规 4 3 11 2 3" xfId="20723"/>
    <cellStyle name="常规 4 3 11 2 3 2" xfId="20724"/>
    <cellStyle name="常规 4 3 11 2 3 2 2" xfId="20726"/>
    <cellStyle name="常规 4 3 11 2 3 2 2 2" xfId="4838"/>
    <cellStyle name="常规 4 3 11 2 3 2 2 2 2" xfId="20727"/>
    <cellStyle name="常规 4 3 11 2 3 2 2 2 2 2" xfId="20728"/>
    <cellStyle name="常规 4 3 11 2 3 2 2 2 3" xfId="20729"/>
    <cellStyle name="常规 4 3 11 2 3 2 2 2 4" xfId="20730"/>
    <cellStyle name="常规 4 3 11 2 3 2 2 3" xfId="4840"/>
    <cellStyle name="常规 4 3 11 2 3 2 2 3 2" xfId="20731"/>
    <cellStyle name="常规 4 3 11 2 3 2 2 4" xfId="20732"/>
    <cellStyle name="常规 4 3 11 2 3 2 2 5" xfId="20735"/>
    <cellStyle name="常规 4 3 11 2 3 2 3" xfId="20737"/>
    <cellStyle name="常规 4 3 11 2 3 2 3 2" xfId="13373"/>
    <cellStyle name="常规 4 3 11 2 3 2 3 2 2" xfId="20738"/>
    <cellStyle name="常规 4 3 11 2 3 2 3 3" xfId="13375"/>
    <cellStyle name="常规 4 3 11 2 3 2 3 4" xfId="20739"/>
    <cellStyle name="常规 4 3 11 2 3 2 4" xfId="20741"/>
    <cellStyle name="常规 4 3 11 2 3 2 4 2" xfId="20742"/>
    <cellStyle name="常规 4 3 11 2 3 2 5" xfId="20743"/>
    <cellStyle name="常规 4 3 11 2 3 2 6" xfId="20744"/>
    <cellStyle name="常规 4 3 11 2 3 3" xfId="20745"/>
    <cellStyle name="常规 4 3 11 2 3 3 2" xfId="20747"/>
    <cellStyle name="常规 4 3 11 2 3 3 2 2" xfId="2978"/>
    <cellStyle name="常规 4 3 11 2 3 3 2 2 2" xfId="15700"/>
    <cellStyle name="常规 4 3 11 2 3 3 2 3" xfId="2981"/>
    <cellStyle name="常规 4 3 11 2 3 3 2 4" xfId="15707"/>
    <cellStyle name="常规 4 3 11 2 3 3 3" xfId="20749"/>
    <cellStyle name="常规 4 3 11 2 3 3 3 2" xfId="3004"/>
    <cellStyle name="常规 4 3 11 2 3 3 4" xfId="20750"/>
    <cellStyle name="常规 4 3 11 2 3 3 5" xfId="20751"/>
    <cellStyle name="常规 4 3 11 2 3 4" xfId="20752"/>
    <cellStyle name="常规 4 3 11 2 3 4 2" xfId="20754"/>
    <cellStyle name="常规 4 3 11 2 3 4 2 2" xfId="2873"/>
    <cellStyle name="常规 4 3 11 2 3 4 3" xfId="20755"/>
    <cellStyle name="常规 4 3 11 2 3 4 4" xfId="20756"/>
    <cellStyle name="常规 4 3 11 2 3 5" xfId="20757"/>
    <cellStyle name="常规 4 3 11 2 3 5 2" xfId="20758"/>
    <cellStyle name="常规 4 3 11 2 3 6" xfId="20759"/>
    <cellStyle name="常规 4 3 11 2 3 7" xfId="20760"/>
    <cellStyle name="常规 4 3 11 2 4" xfId="1929"/>
    <cellStyle name="常规 4 3 11 2 4 2" xfId="20761"/>
    <cellStyle name="常规 4 3 11 2 4 2 2" xfId="20764"/>
    <cellStyle name="常规 4 3 11 2 4 2 2 2" xfId="20766"/>
    <cellStyle name="常规 4 3 11 2 4 2 2 2 2" xfId="20768"/>
    <cellStyle name="常规 4 3 11 2 4 2 2 3" xfId="20770"/>
    <cellStyle name="常规 4 3 11 2 4 2 2 4" xfId="20772"/>
    <cellStyle name="常规 4 3 11 2 4 2 3" xfId="20775"/>
    <cellStyle name="常规 4 3 11 2 4 2 3 2" xfId="20776"/>
    <cellStyle name="常规 4 3 11 2 4 2 4" xfId="20777"/>
    <cellStyle name="常规 4 3 11 2 4 2 5" xfId="20778"/>
    <cellStyle name="常规 4 3 11 2 4 3" xfId="20779"/>
    <cellStyle name="常规 4 3 11 2 4 3 2" xfId="20783"/>
    <cellStyle name="常规 4 3 11 2 4 3 2 2" xfId="17552"/>
    <cellStyle name="常规 4 3 11 2 4 3 3" xfId="20784"/>
    <cellStyle name="常规 4 3 11 2 4 3 4" xfId="20785"/>
    <cellStyle name="常规 4 3 11 2 4 4" xfId="20788"/>
    <cellStyle name="常规 4 3 11 2 4 4 2" xfId="20791"/>
    <cellStyle name="常规 4 3 11 2 4 5" xfId="20792"/>
    <cellStyle name="常规 4 3 11 2 4 6" xfId="20794"/>
    <cellStyle name="常规 4 3 11 2 5" xfId="1933"/>
    <cellStyle name="常规 4 3 11 2 5 2" xfId="8906"/>
    <cellStyle name="常规 4 3 11 2 5 2 2" xfId="20233"/>
    <cellStyle name="常规 4 3 11 2 5 2 2 2" xfId="20796"/>
    <cellStyle name="常规 4 3 11 2 5 2 3" xfId="20797"/>
    <cellStyle name="常规 4 3 11 2 5 2 4" xfId="20798"/>
    <cellStyle name="常规 4 3 11 2 5 3" xfId="20800"/>
    <cellStyle name="常规 4 3 11 2 5 3 2" xfId="20801"/>
    <cellStyle name="常规 4 3 11 2 5 4" xfId="20803"/>
    <cellStyle name="常规 4 3 11 2 5 5" xfId="20804"/>
    <cellStyle name="常规 4 3 11 2 6" xfId="8910"/>
    <cellStyle name="常规 4 3 11 2 6 2" xfId="20807"/>
    <cellStyle name="常规 4 3 11 2 6 2 2" xfId="20430"/>
    <cellStyle name="常规 4 3 11 2 6 3" xfId="20809"/>
    <cellStyle name="常规 4 3 11 2 6 4" xfId="20811"/>
    <cellStyle name="常规 4 3 11 2 7" xfId="8914"/>
    <cellStyle name="常规 4 3 11 2 7 2" xfId="20813"/>
    <cellStyle name="常规 4 3 11 2 8" xfId="20816"/>
    <cellStyle name="常规 4 3 11 2 9" xfId="20819"/>
    <cellStyle name="常规 4 3 11 3" xfId="2235"/>
    <cellStyle name="常规 4 3 11 3 2" xfId="20820"/>
    <cellStyle name="常规 4 3 11 3 2 2" xfId="20821"/>
    <cellStyle name="常规 4 3 11 3 2 2 2" xfId="20822"/>
    <cellStyle name="常规 4 3 11 3 2 2 2 2" xfId="1023"/>
    <cellStyle name="常规 4 3 11 3 2 2 2 2 2" xfId="20823"/>
    <cellStyle name="常规 4 3 11 3 2 2 2 2 2 2" xfId="20825"/>
    <cellStyle name="常规 4 3 11 3 2 2 2 2 3" xfId="20826"/>
    <cellStyle name="常规 4 3 11 3 2 2 2 2 4" xfId="20827"/>
    <cellStyle name="常规 4 3 11 3 2 2 2 3" xfId="3274"/>
    <cellStyle name="常规 4 3 11 3 2 2 2 3 2" xfId="20828"/>
    <cellStyle name="常规 4 3 11 3 2 2 2 4" xfId="20830"/>
    <cellStyle name="常规 4 3 11 3 2 2 2 5" xfId="20831"/>
    <cellStyle name="常规 4 3 11 3 2 2 3" xfId="20832"/>
    <cellStyle name="常规 4 3 11 3 2 2 3 2" xfId="13452"/>
    <cellStyle name="常规 4 3 11 3 2 2 3 2 2" xfId="20833"/>
    <cellStyle name="常规 4 3 11 3 2 2 3 3" xfId="13454"/>
    <cellStyle name="常规 4 3 11 3 2 2 3 4" xfId="20834"/>
    <cellStyle name="常规 4 3 11 3 2 2 4" xfId="20835"/>
    <cellStyle name="常规 4 3 11 3 2 2 4 2" xfId="20836"/>
    <cellStyle name="常规 4 3 11 3 2 2 5" xfId="20837"/>
    <cellStyle name="常规 4 3 11 3 2 2 6" xfId="20838"/>
    <cellStyle name="常规 4 3 11 3 2 3" xfId="20840"/>
    <cellStyle name="常规 4 3 11 3 2 3 2" xfId="20841"/>
    <cellStyle name="常规 4 3 11 3 2 3 2 2" xfId="20842"/>
    <cellStyle name="常规 4 3 11 3 2 3 2 2 2" xfId="20843"/>
    <cellStyle name="常规 4 3 11 3 2 3 2 3" xfId="20844"/>
    <cellStyle name="常规 4 3 11 3 2 3 2 4" xfId="20845"/>
    <cellStyle name="常规 4 3 11 3 2 3 3" xfId="20846"/>
    <cellStyle name="常规 4 3 11 3 2 3 3 2" xfId="20847"/>
    <cellStyle name="常规 4 3 11 3 2 3 4" xfId="20848"/>
    <cellStyle name="常规 4 3 11 3 2 3 5" xfId="20849"/>
    <cellStyle name="常规 4 3 11 3 2 4" xfId="20850"/>
    <cellStyle name="常规 4 3 11 3 2 4 2" xfId="20851"/>
    <cellStyle name="常规 4 3 11 3 2 4 2 2" xfId="20852"/>
    <cellStyle name="常规 4 3 11 3 2 4 3" xfId="20853"/>
    <cellStyle name="常规 4 3 11 3 2 4 4" xfId="3068"/>
    <cellStyle name="常规 4 3 11 3 2 5" xfId="20854"/>
    <cellStyle name="常规 4 3 11 3 2 5 2" xfId="20855"/>
    <cellStyle name="常规 4 3 11 3 2 6" xfId="20856"/>
    <cellStyle name="常规 4 3 11 3 2 7" xfId="10096"/>
    <cellStyle name="常规 4 3 11 3 3" xfId="20857"/>
    <cellStyle name="常规 4 3 11 3 3 2" xfId="20858"/>
    <cellStyle name="常规 4 3 11 3 3 2 2" xfId="20860"/>
    <cellStyle name="常规 4 3 11 3 3 2 2 2" xfId="20861"/>
    <cellStyle name="常规 4 3 11 3 3 2 2 2 2" xfId="20862"/>
    <cellStyle name="常规 4 3 11 3 3 2 2 3" xfId="20864"/>
    <cellStyle name="常规 4 3 11 3 3 2 2 4" xfId="20865"/>
    <cellStyle name="常规 4 3 11 3 3 2 3" xfId="20867"/>
    <cellStyle name="常规 4 3 11 3 3 2 3 2" xfId="20868"/>
    <cellStyle name="常规 4 3 11 3 3 2 4" xfId="20869"/>
    <cellStyle name="常规 4 3 11 3 3 2 5" xfId="20870"/>
    <cellStyle name="常规 4 3 11 3 3 3" xfId="20871"/>
    <cellStyle name="常规 4 3 11 3 3 3 2" xfId="20873"/>
    <cellStyle name="常规 4 3 11 3 3 3 2 2" xfId="20874"/>
    <cellStyle name="常规 4 3 11 3 3 3 3" xfId="20875"/>
    <cellStyle name="常规 4 3 11 3 3 3 4" xfId="20876"/>
    <cellStyle name="常规 4 3 11 3 3 4" xfId="20877"/>
    <cellStyle name="常规 4 3 11 3 3 4 2" xfId="20878"/>
    <cellStyle name="常规 4 3 11 3 3 5" xfId="20879"/>
    <cellStyle name="常规 4 3 11 3 3 6" xfId="20880"/>
    <cellStyle name="常规 4 3 11 3 4" xfId="1952"/>
    <cellStyle name="常规 4 3 11 3 4 2" xfId="16987"/>
    <cellStyle name="常规 4 3 11 3 4 2 2" xfId="20883"/>
    <cellStyle name="常规 4 3 11 3 4 2 2 2" xfId="20884"/>
    <cellStyle name="常规 4 3 11 3 4 2 3" xfId="20885"/>
    <cellStyle name="常规 4 3 11 3 4 2 4" xfId="20886"/>
    <cellStyle name="常规 4 3 11 3 4 3" xfId="20887"/>
    <cellStyle name="常规 4 3 11 3 4 3 2" xfId="20888"/>
    <cellStyle name="常规 4 3 11 3 4 4" xfId="20889"/>
    <cellStyle name="常规 4 3 11 3 4 5" xfId="20890"/>
    <cellStyle name="常规 4 3 11 3 5" xfId="1958"/>
    <cellStyle name="常规 4 3 11 3 5 2" xfId="20892"/>
    <cellStyle name="常规 4 3 11 3 5 2 2" xfId="20793"/>
    <cellStyle name="常规 4 3 11 3 5 3" xfId="20893"/>
    <cellStyle name="常规 4 3 11 3 5 4" xfId="20894"/>
    <cellStyle name="常规 4 3 11 3 6" xfId="16992"/>
    <cellStyle name="常规 4 3 11 3 6 2" xfId="20896"/>
    <cellStyle name="常规 4 3 11 3 7" xfId="20899"/>
    <cellStyle name="常规 4 3 11 3 8" xfId="20902"/>
    <cellStyle name="常规 4 3 11 4" xfId="20903"/>
    <cellStyle name="常规 4 3 11 4 2" xfId="20904"/>
    <cellStyle name="常规 4 3 11 4 2 2" xfId="20905"/>
    <cellStyle name="常规 4 3 11 4 2 2 2" xfId="20906"/>
    <cellStyle name="常规 4 3 11 4 2 2 2 2" xfId="20908"/>
    <cellStyle name="常规 4 3 11 4 2 2 2 2 2" xfId="20910"/>
    <cellStyle name="常规 4 3 11 4 2 2 2 3" xfId="20911"/>
    <cellStyle name="常规 4 3 11 4 2 2 2 4" xfId="20912"/>
    <cellStyle name="常规 4 3 11 4 2 2 3" xfId="20913"/>
    <cellStyle name="常规 4 3 11 4 2 2 3 2" xfId="20914"/>
    <cellStyle name="常规 4 3 11 4 2 2 4" xfId="20915"/>
    <cellStyle name="常规 4 3 11 4 2 2 5" xfId="20916"/>
    <cellStyle name="常规 4 3 11 4 2 3" xfId="20917"/>
    <cellStyle name="常规 4 3 11 4 2 3 2" xfId="20918"/>
    <cellStyle name="常规 4 3 11 4 2 3 2 2" xfId="20919"/>
    <cellStyle name="常规 4 3 11 4 2 3 3" xfId="20920"/>
    <cellStyle name="常规 4 3 11 4 2 3 4" xfId="20921"/>
    <cellStyle name="常规 4 3 11 4 2 4" xfId="20922"/>
    <cellStyle name="常规 4 3 11 4 2 4 2" xfId="20923"/>
    <cellStyle name="常规 4 3 11 4 2 5" xfId="20924"/>
    <cellStyle name="常规 4 3 11 4 2 6" xfId="20925"/>
    <cellStyle name="常规 4 3 11 4 3" xfId="20926"/>
    <cellStyle name="常规 4 3 11 4 3 2" xfId="20927"/>
    <cellStyle name="常规 4 3 11 4 3 2 2" xfId="20929"/>
    <cellStyle name="常规 4 3 11 4 3 2 2 2" xfId="20931"/>
    <cellStyle name="常规 4 3 11 4 3 2 3" xfId="5613"/>
    <cellStyle name="常规 4 3 11 4 3 2 4" xfId="20932"/>
    <cellStyle name="常规 4 3 11 4 3 3" xfId="20933"/>
    <cellStyle name="常规 4 3 11 4 3 3 2" xfId="20934"/>
    <cellStyle name="常规 4 3 11 4 3 4" xfId="20935"/>
    <cellStyle name="常规 4 3 11 4 3 5" xfId="20936"/>
    <cellStyle name="常规 4 3 11 4 4" xfId="16993"/>
    <cellStyle name="常规 4 3 11 4 4 2" xfId="20937"/>
    <cellStyle name="常规 4 3 11 4 4 2 2" xfId="20940"/>
    <cellStyle name="常规 4 3 11 4 4 3" xfId="20941"/>
    <cellStyle name="常规 4 3 11 4 4 4" xfId="20942"/>
    <cellStyle name="常规 4 3 11 4 5" xfId="20944"/>
    <cellStyle name="常规 4 3 11 4 5 2" xfId="15118"/>
    <cellStyle name="常规 4 3 11 4 6" xfId="20946"/>
    <cellStyle name="常规 4 3 11 4 7" xfId="20947"/>
    <cellStyle name="常规 4 3 11 5" xfId="20948"/>
    <cellStyle name="常规 4 3 11 5 2" xfId="20949"/>
    <cellStyle name="常规 4 3 11 5 2 2" xfId="20950"/>
    <cellStyle name="常规 4 3 11 5 2 2 2" xfId="20951"/>
    <cellStyle name="常规 4 3 11 5 2 2 2 2" xfId="10954"/>
    <cellStyle name="常规 4 3 11 5 2 2 3" xfId="20953"/>
    <cellStyle name="常规 4 3 11 5 2 2 4" xfId="20955"/>
    <cellStyle name="常规 4 3 11 5 2 3" xfId="20957"/>
    <cellStyle name="常规 4 3 11 5 2 3 2" xfId="20959"/>
    <cellStyle name="常规 4 3 11 5 2 4" xfId="20961"/>
    <cellStyle name="常规 4 3 11 5 2 5" xfId="20963"/>
    <cellStyle name="常规 4 3 11 5 3" xfId="304"/>
    <cellStyle name="常规 4 3 11 5 3 2" xfId="20964"/>
    <cellStyle name="常规 4 3 11 5 3 2 2" xfId="20965"/>
    <cellStyle name="常规 4 3 11 5 3 3" xfId="20967"/>
    <cellStyle name="常规 4 3 11 5 3 4" xfId="20968"/>
    <cellStyle name="常规 4 3 11 5 4" xfId="20969"/>
    <cellStyle name="常规 4 3 11 5 4 2" xfId="20971"/>
    <cellStyle name="常规 4 3 11 5 5" xfId="20974"/>
    <cellStyle name="常规 4 3 11 5 6" xfId="20978"/>
    <cellStyle name="常规 4 3 11 6" xfId="20979"/>
    <cellStyle name="常规 4 3 11 6 2" xfId="20980"/>
    <cellStyle name="常规 4 3 11 6 2 2" xfId="20981"/>
    <cellStyle name="常规 4 3 11 6 2 2 2" xfId="20982"/>
    <cellStyle name="常规 4 3 11 6 2 3" xfId="20984"/>
    <cellStyle name="常规 4 3 11 6 2 4" xfId="20985"/>
    <cellStyle name="常规 4 3 11 6 3" xfId="20986"/>
    <cellStyle name="常规 4 3 11 6 3 2" xfId="20987"/>
    <cellStyle name="常规 4 3 11 6 4" xfId="20988"/>
    <cellStyle name="常规 4 3 11 6 5" xfId="20989"/>
    <cellStyle name="常规 4 3 11 7" xfId="20990"/>
    <cellStyle name="常规 4 3 11 7 2" xfId="20991"/>
    <cellStyle name="常规 4 3 11 7 2 2" xfId="20992"/>
    <cellStyle name="常规 4 3 11 7 3" xfId="20993"/>
    <cellStyle name="常规 4 3 11 7 4" xfId="10822"/>
    <cellStyle name="常规 4 3 11 8" xfId="20994"/>
    <cellStyle name="常规 4 3 11 8 2" xfId="20995"/>
    <cellStyle name="常规 4 3 11 9" xfId="20996"/>
    <cellStyle name="常规 4 3 12" xfId="2181"/>
    <cellStyle name="常规 4 3 12 2" xfId="4711"/>
    <cellStyle name="常规 4 3 12 2 2" xfId="20998"/>
    <cellStyle name="常规 4 3 12 2 2 2" xfId="20999"/>
    <cellStyle name="常规 4 3 12 2 2 2 2" xfId="21000"/>
    <cellStyle name="常规 4 3 12 2 2 2 2 2" xfId="21002"/>
    <cellStyle name="常规 4 3 12 2 2 2 2 2 2" xfId="21003"/>
    <cellStyle name="常规 4 3 12 2 2 2 2 3" xfId="21004"/>
    <cellStyle name="常规 4 3 12 2 2 2 2 4" xfId="21005"/>
    <cellStyle name="常规 4 3 12 2 2 2 3" xfId="21006"/>
    <cellStyle name="常规 4 3 12 2 2 2 3 2" xfId="13546"/>
    <cellStyle name="常规 4 3 12 2 2 2 4" xfId="7786"/>
    <cellStyle name="常规 4 3 12 2 2 2 5" xfId="21007"/>
    <cellStyle name="常规 4 3 12 2 2 3" xfId="21008"/>
    <cellStyle name="常规 4 3 12 2 2 3 2" xfId="21011"/>
    <cellStyle name="常规 4 3 12 2 2 3 2 2" xfId="21013"/>
    <cellStyle name="常规 4 3 12 2 2 3 3" xfId="21014"/>
    <cellStyle name="常规 4 3 12 2 2 3 4" xfId="21020"/>
    <cellStyle name="常规 4 3 12 2 2 4" xfId="21021"/>
    <cellStyle name="常规 4 3 12 2 2 4 2" xfId="21024"/>
    <cellStyle name="常规 4 3 12 2 2 5" xfId="21026"/>
    <cellStyle name="常规 4 3 12 2 2 6" xfId="15115"/>
    <cellStyle name="常规 4 3 12 2 3" xfId="21027"/>
    <cellStyle name="常规 4 3 12 2 3 2" xfId="21028"/>
    <cellStyle name="常规 4 3 12 2 3 2 2" xfId="21030"/>
    <cellStyle name="常规 4 3 12 2 3 2 2 2" xfId="21031"/>
    <cellStyle name="常规 4 3 12 2 3 2 3" xfId="21033"/>
    <cellStyle name="常规 4 3 12 2 3 2 4" xfId="21034"/>
    <cellStyle name="常规 4 3 12 2 3 3" xfId="21035"/>
    <cellStyle name="常规 4 3 12 2 3 3 2" xfId="21039"/>
    <cellStyle name="常规 4 3 12 2 3 4" xfId="21040"/>
    <cellStyle name="常规 4 3 12 2 3 5" xfId="21042"/>
    <cellStyle name="常规 4 3 12 2 4" xfId="8710"/>
    <cellStyle name="常规 4 3 12 2 4 2" xfId="8712"/>
    <cellStyle name="常规 4 3 12 2 4 2 2" xfId="8716"/>
    <cellStyle name="常规 4 3 12 2 4 3" xfId="8718"/>
    <cellStyle name="常规 4 3 12 2 4 4" xfId="8720"/>
    <cellStyle name="常规 4 3 12 2 5" xfId="8723"/>
    <cellStyle name="常规 4 3 12 2 5 2" xfId="8727"/>
    <cellStyle name="常规 4 3 12 2 6" xfId="8732"/>
    <cellStyle name="常规 4 3 12 2 7" xfId="8737"/>
    <cellStyle name="常规 4 3 12 3" xfId="13348"/>
    <cellStyle name="常规 4 3 12 3 2" xfId="21043"/>
    <cellStyle name="常规 4 3 12 3 2 2" xfId="21044"/>
    <cellStyle name="常规 4 3 12 3 2 2 2" xfId="21045"/>
    <cellStyle name="常规 4 3 12 3 2 2 2 2" xfId="17956"/>
    <cellStyle name="常规 4 3 12 3 2 2 3" xfId="21046"/>
    <cellStyle name="常规 4 3 12 3 2 2 4" xfId="21047"/>
    <cellStyle name="常规 4 3 12 3 2 3" xfId="21048"/>
    <cellStyle name="常规 4 3 12 3 2 3 2" xfId="21051"/>
    <cellStyle name="常规 4 3 12 3 2 4" xfId="21052"/>
    <cellStyle name="常规 4 3 12 3 2 5" xfId="21055"/>
    <cellStyle name="常规 4 3 12 3 3" xfId="21056"/>
    <cellStyle name="常规 4 3 12 3 3 2" xfId="21057"/>
    <cellStyle name="常规 4 3 12 3 3 2 2" xfId="21059"/>
    <cellStyle name="常规 4 3 12 3 3 3" xfId="21060"/>
    <cellStyle name="常规 4 3 12 3 3 4" xfId="21061"/>
    <cellStyle name="常规 4 3 12 3 4" xfId="8742"/>
    <cellStyle name="常规 4 3 12 3 4 2" xfId="8746"/>
    <cellStyle name="常规 4 3 12 3 5" xfId="8749"/>
    <cellStyle name="常规 4 3 12 3 6" xfId="8753"/>
    <cellStyle name="常规 4 3 12 4" xfId="21062"/>
    <cellStyle name="常规 4 3 12 4 2" xfId="21063"/>
    <cellStyle name="常规 4 3 12 4 2 2" xfId="21064"/>
    <cellStyle name="常规 4 3 12 4 2 2 2" xfId="21066"/>
    <cellStyle name="常规 4 3 12 4 2 3" xfId="21068"/>
    <cellStyle name="常规 4 3 12 4 2 4" xfId="21070"/>
    <cellStyle name="常规 4 3 12 4 3" xfId="21071"/>
    <cellStyle name="常规 4 3 12 4 3 2" xfId="21072"/>
    <cellStyle name="常规 4 3 12 4 4" xfId="8758"/>
    <cellStyle name="常规 4 3 12 4 5" xfId="21073"/>
    <cellStyle name="常规 4 3 12 5" xfId="21074"/>
    <cellStyle name="常规 4 3 12 5 2" xfId="21075"/>
    <cellStyle name="常规 4 3 12 5 2 2" xfId="21076"/>
    <cellStyle name="常规 4 3 12 5 3" xfId="21077"/>
    <cellStyle name="常规 4 3 12 5 4" xfId="21078"/>
    <cellStyle name="常规 4 3 12 6" xfId="21079"/>
    <cellStyle name="常规 4 3 12 6 2" xfId="1365"/>
    <cellStyle name="常规 4 3 12 7" xfId="21081"/>
    <cellStyle name="常规 4 3 12 8" xfId="21082"/>
    <cellStyle name="常规 4 3 13" xfId="16062"/>
    <cellStyle name="常规 4 3 13 2" xfId="13357"/>
    <cellStyle name="常规 4 3 13 2 2" xfId="21083"/>
    <cellStyle name="常规 4 3 13 2 2 2" xfId="21086"/>
    <cellStyle name="常规 4 3 13 2 2 2 2" xfId="21088"/>
    <cellStyle name="常规 4 3 13 2 2 2 2 2" xfId="21090"/>
    <cellStyle name="常规 4 3 13 2 2 2 3" xfId="21091"/>
    <cellStyle name="常规 4 3 13 2 2 2 4" xfId="21092"/>
    <cellStyle name="常规 4 3 13 2 2 3" xfId="21094"/>
    <cellStyle name="常规 4 3 13 2 2 3 2" xfId="21096"/>
    <cellStyle name="常规 4 3 13 2 2 4" xfId="21098"/>
    <cellStyle name="常规 4 3 13 2 2 5" xfId="21100"/>
    <cellStyle name="常规 4 3 13 2 3" xfId="5981"/>
    <cellStyle name="常规 4 3 13 2 3 2" xfId="5070"/>
    <cellStyle name="常规 4 3 13 2 3 2 2" xfId="5985"/>
    <cellStyle name="常规 4 3 13 2 3 3" xfId="5078"/>
    <cellStyle name="常规 4 3 13 2 3 4" xfId="5988"/>
    <cellStyle name="常规 4 3 13 2 4" xfId="5991"/>
    <cellStyle name="常规 4 3 13 2 4 2" xfId="1306"/>
    <cellStyle name="常规 4 3 13 2 5" xfId="5999"/>
    <cellStyle name="常规 4 3 13 2 6" xfId="6005"/>
    <cellStyle name="常规 4 3 13 3" xfId="21101"/>
    <cellStyle name="常规 4 3 13 3 2" xfId="16608"/>
    <cellStyle name="常规 4 3 13 3 2 2" xfId="16628"/>
    <cellStyle name="常规 4 3 13 3 2 2 2" xfId="16641"/>
    <cellStyle name="常规 4 3 13 3 2 3" xfId="17556"/>
    <cellStyle name="常规 4 3 13 3 2 4" xfId="18105"/>
    <cellStyle name="常规 4 3 13 3 3" xfId="6010"/>
    <cellStyle name="常规 4 3 13 3 3 2" xfId="5131"/>
    <cellStyle name="常规 4 3 13 3 4" xfId="6013"/>
    <cellStyle name="常规 4 3 13 3 5" xfId="5859"/>
    <cellStyle name="常规 4 3 13 4" xfId="21102"/>
    <cellStyle name="常规 4 3 13 4 2" xfId="19995"/>
    <cellStyle name="常规 4 3 13 4 2 2" xfId="21103"/>
    <cellStyle name="常规 4 3 13 4 3" xfId="6018"/>
    <cellStyle name="常规 4 3 13 4 4" xfId="21104"/>
    <cellStyle name="常规 4 3 13 5" xfId="21105"/>
    <cellStyle name="常规 4 3 13 5 2" xfId="21106"/>
    <cellStyle name="常规 4 3 13 6" xfId="21108"/>
    <cellStyle name="常规 4 3 13 7" xfId="21109"/>
    <cellStyle name="常规 4 3 14" xfId="14820"/>
    <cellStyle name="常规 4 3 14 2" xfId="14822"/>
    <cellStyle name="常规 4 3 14 2 2" xfId="14824"/>
    <cellStyle name="常规 4 3 14 2 2 2" xfId="5690"/>
    <cellStyle name="常规 4 3 14 2 2 2 2" xfId="14827"/>
    <cellStyle name="常规 4 3 14 2 2 3" xfId="9728"/>
    <cellStyle name="常规 4 3 14 2 2 4" xfId="9856"/>
    <cellStyle name="常规 4 3 14 2 3" xfId="6025"/>
    <cellStyle name="常规 4 3 14 2 3 2" xfId="6028"/>
    <cellStyle name="常规 4 3 14 2 4" xfId="6032"/>
    <cellStyle name="常规 4 3 14 2 5" xfId="3870"/>
    <cellStyle name="常规 4 3 14 3" xfId="14838"/>
    <cellStyle name="常规 4 3 14 3 2" xfId="14840"/>
    <cellStyle name="常规 4 3 14 3 2 2" xfId="14842"/>
    <cellStyle name="常规 4 3 14 3 3" xfId="6039"/>
    <cellStyle name="常规 4 3 14 3 4" xfId="14846"/>
    <cellStyle name="常规 4 3 14 4" xfId="14850"/>
    <cellStyle name="常规 4 3 14 4 2" xfId="14853"/>
    <cellStyle name="常规 4 3 14 5" xfId="14858"/>
    <cellStyle name="常规 4 3 14 6" xfId="14862"/>
    <cellStyle name="常规 4 3 15" xfId="14865"/>
    <cellStyle name="常规 4 3 15 2" xfId="14868"/>
    <cellStyle name="常规 4 3 15 2 2" xfId="14870"/>
    <cellStyle name="常规 4 3 15 2 2 2" xfId="14872"/>
    <cellStyle name="常规 4 3 15 2 3" xfId="6048"/>
    <cellStyle name="常规 4 3 15 2 4" xfId="14878"/>
    <cellStyle name="常规 4 3 15 3" xfId="14883"/>
    <cellStyle name="常规 4 3 15 3 2" xfId="14885"/>
    <cellStyle name="常规 4 3 15 4" xfId="14890"/>
    <cellStyle name="常规 4 3 15 5" xfId="14894"/>
    <cellStyle name="常规 4 3 16" xfId="14899"/>
    <cellStyle name="常规 4 3 16 2" xfId="14902"/>
    <cellStyle name="常规 4 3 16 2 2" xfId="14904"/>
    <cellStyle name="常规 4 3 16 3" xfId="14907"/>
    <cellStyle name="常规 4 3 16 4" xfId="14910"/>
    <cellStyle name="常规 4 3 17" xfId="14914"/>
    <cellStyle name="常规 4 3 17 2" xfId="14916"/>
    <cellStyle name="常规 4 3 18" xfId="14921"/>
    <cellStyle name="常规 4 3 19" xfId="14928"/>
    <cellStyle name="常规 4 3 2" xfId="21110"/>
    <cellStyle name="常规 4 3 2 2" xfId="21111"/>
    <cellStyle name="常规 4 3 2 2 2" xfId="21112"/>
    <cellStyle name="常规 4 3 2 2 2 2" xfId="21113"/>
    <cellStyle name="常规 4 3 2 2 2 3" xfId="21115"/>
    <cellStyle name="常规 4 3 2 2 3" xfId="21118"/>
    <cellStyle name="常规 4 3 2 2 3 2" xfId="21121"/>
    <cellStyle name="常规 4 3 2 2 3 3" xfId="21124"/>
    <cellStyle name="常规 4 3 2 2 4" xfId="21126"/>
    <cellStyle name="常规 4 3 2 2 5" xfId="21128"/>
    <cellStyle name="常规 4 3 2 2 6" xfId="21130"/>
    <cellStyle name="常规 4 3 2 3" xfId="21131"/>
    <cellStyle name="常规 4 3 2 3 2" xfId="21132"/>
    <cellStyle name="常规 4 3 2 3 3" xfId="21134"/>
    <cellStyle name="常规 4 3 2 4" xfId="21135"/>
    <cellStyle name="常规 4 3 2 4 2" xfId="21136"/>
    <cellStyle name="常规 4 3 2 4 3" xfId="21138"/>
    <cellStyle name="常规 4 3 2 5" xfId="21139"/>
    <cellStyle name="常规 4 3 2 6" xfId="21141"/>
    <cellStyle name="常规 4 3 2 7" xfId="21142"/>
    <cellStyle name="常规 4 3 20" xfId="14866"/>
    <cellStyle name="常规 4 3 21" xfId="14900"/>
    <cellStyle name="常规 4 3 3" xfId="13734"/>
    <cellStyle name="常规 4 3 3 2" xfId="10214"/>
    <cellStyle name="常规 4 3 3 2 2" xfId="21143"/>
    <cellStyle name="常规 4 3 3 2 3" xfId="21145"/>
    <cellStyle name="常规 4 3 3 3" xfId="10216"/>
    <cellStyle name="常规 4 3 3 3 2" xfId="21146"/>
    <cellStyle name="常规 4 3 3 3 3" xfId="21148"/>
    <cellStyle name="常规 4 3 3 4" xfId="21150"/>
    <cellStyle name="常规 4 3 3 5" xfId="21151"/>
    <cellStyle name="常规 4 3 3 6" xfId="21152"/>
    <cellStyle name="常规 4 3 4" xfId="1084"/>
    <cellStyle name="常规 4 3 4 2" xfId="10242"/>
    <cellStyle name="常规 4 3 4 3" xfId="21155"/>
    <cellStyle name="常规 4 3 4 4" xfId="21156"/>
    <cellStyle name="常规 4 3 5" xfId="789"/>
    <cellStyle name="常规 4 3 5 2" xfId="21158"/>
    <cellStyle name="常规 4 3 5 3" xfId="21159"/>
    <cellStyle name="常规 4 3 6" xfId="18164"/>
    <cellStyle name="常规 4 3 6 2" xfId="18167"/>
    <cellStyle name="常规 4 3 6 3" xfId="18170"/>
    <cellStyle name="常规 4 3 7" xfId="18173"/>
    <cellStyle name="常规 4 3 8" xfId="18176"/>
    <cellStyle name="常规 4 3 8 10" xfId="21162"/>
    <cellStyle name="常规 4 3 8 10 2" xfId="21168"/>
    <cellStyle name="常规 4 3 8 10 2 2" xfId="21172"/>
    <cellStyle name="常规 4 3 8 10 3" xfId="21178"/>
    <cellStyle name="常规 4 3 8 10 4" xfId="21181"/>
    <cellStyle name="常规 4 3 8 11" xfId="21184"/>
    <cellStyle name="常规 4 3 8 11 2" xfId="21186"/>
    <cellStyle name="常规 4 3 8 12" xfId="21189"/>
    <cellStyle name="常规 4 3 8 13" xfId="21191"/>
    <cellStyle name="常规 4 3 8 2" xfId="21193"/>
    <cellStyle name="常规 4 3 8 2 10" xfId="21194"/>
    <cellStyle name="常规 4 3 8 2 10 2" xfId="21196"/>
    <cellStyle name="常规 4 3 8 2 11" xfId="21197"/>
    <cellStyle name="常规 4 3 8 2 12" xfId="21202"/>
    <cellStyle name="常规 4 3 8 2 2" xfId="21203"/>
    <cellStyle name="常规 4 3 8 2 2 10" xfId="12552"/>
    <cellStyle name="常规 4 3 8 2 2 11" xfId="21205"/>
    <cellStyle name="常规 4 3 8 2 2 2" xfId="6414"/>
    <cellStyle name="常规 4 3 8 2 2 2 2" xfId="21208"/>
    <cellStyle name="常规 4 3 8 2 2 2 2 2" xfId="15209"/>
    <cellStyle name="常规 4 3 8 2 2 2 2 2 2" xfId="21211"/>
    <cellStyle name="常规 4 3 8 2 2 2 2 2 2 2" xfId="21213"/>
    <cellStyle name="常规 4 3 8 2 2 2 2 2 2 2 2" xfId="2700"/>
    <cellStyle name="常规 4 3 8 2 2 2 2 2 2 2 2 2" xfId="21215"/>
    <cellStyle name="常规 4 3 8 2 2 2 2 2 2 2 2 2 2" xfId="21216"/>
    <cellStyle name="常规 4 3 8 2 2 2 2 2 2 2 2 3" xfId="21219"/>
    <cellStyle name="常规 4 3 8 2 2 2 2 2 2 2 2 4" xfId="21220"/>
    <cellStyle name="常规 4 3 8 2 2 2 2 2 2 2 3" xfId="21221"/>
    <cellStyle name="常规 4 3 8 2 2 2 2 2 2 2 3 2" xfId="21223"/>
    <cellStyle name="常规 4 3 8 2 2 2 2 2 2 2 4" xfId="21224"/>
    <cellStyle name="常规 4 3 8 2 2 2 2 2 2 2 5" xfId="21226"/>
    <cellStyle name="常规 4 3 8 2 2 2 2 2 2 3" xfId="21227"/>
    <cellStyle name="常规 4 3 8 2 2 2 2 2 2 3 2" xfId="21229"/>
    <cellStyle name="常规 4 3 8 2 2 2 2 2 2 3 2 2" xfId="14156"/>
    <cellStyle name="常规 4 3 8 2 2 2 2 2 2 3 3" xfId="21231"/>
    <cellStyle name="常规 4 3 8 2 2 2 2 2 2 3 4" xfId="21232"/>
    <cellStyle name="常规 4 3 8 2 2 2 2 2 2 4" xfId="21233"/>
    <cellStyle name="常规 4 3 8 2 2 2 2 2 2 4 2" xfId="21234"/>
    <cellStyle name="常规 4 3 8 2 2 2 2 2 2 5" xfId="16799"/>
    <cellStyle name="常规 4 3 8 2 2 2 2 2 2 6" xfId="8590"/>
    <cellStyle name="常规 4 3 8 2 2 2 2 2 3" xfId="21236"/>
    <cellStyle name="常规 4 3 8 2 2 2 2 2 3 2" xfId="21237"/>
    <cellStyle name="常规 4 3 8 2 2 2 2 2 3 2 2" xfId="2718"/>
    <cellStyle name="常规 4 3 8 2 2 2 2 2 3 2 2 2" xfId="21239"/>
    <cellStyle name="常规 4 3 8 2 2 2 2 2 3 2 3" xfId="21240"/>
    <cellStyle name="常规 4 3 8 2 2 2 2 2 3 2 4" xfId="21241"/>
    <cellStyle name="常规 4 3 8 2 2 2 2 2 3 3" xfId="21242"/>
    <cellStyle name="常规 4 3 8 2 2 2 2 2 3 3 2" xfId="21244"/>
    <cellStyle name="常规 4 3 8 2 2 2 2 2 3 4" xfId="21246"/>
    <cellStyle name="常规 4 3 8 2 2 2 2 2 3 5" xfId="16806"/>
    <cellStyle name="常规 4 3 8 2 2 2 2 2 4" xfId="18631"/>
    <cellStyle name="常规 4 3 8 2 2 2 2 2 4 2" xfId="18633"/>
    <cellStyle name="常规 4 3 8 2 2 2 2 2 4 2 2" xfId="18635"/>
    <cellStyle name="常规 4 3 8 2 2 2 2 2 4 3" xfId="18637"/>
    <cellStyle name="常规 4 3 8 2 2 2 2 2 4 4" xfId="18641"/>
    <cellStyle name="常规 4 3 8 2 2 2 2 2 5" xfId="18643"/>
    <cellStyle name="常规 4 3 8 2 2 2 2 2 5 2" xfId="18645"/>
    <cellStyle name="常规 4 3 8 2 2 2 2 2 6" xfId="18649"/>
    <cellStyle name="常规 4 3 8 2 2 2 2 2 7" xfId="18652"/>
    <cellStyle name="常规 4 3 8 2 2 2 2 3" xfId="21248"/>
    <cellStyle name="常规 4 3 8 2 2 2 2 3 2" xfId="21250"/>
    <cellStyle name="常规 4 3 8 2 2 2 2 3 2 2" xfId="21251"/>
    <cellStyle name="常规 4 3 8 2 2 2 2 3 2 2 2" xfId="21252"/>
    <cellStyle name="常规 4 3 8 2 2 2 2 3 2 2 2 2" xfId="21254"/>
    <cellStyle name="常规 4 3 8 2 2 2 2 3 2 2 3" xfId="21255"/>
    <cellStyle name="常规 4 3 8 2 2 2 2 3 2 2 4" xfId="21257"/>
    <cellStyle name="常规 4 3 8 2 2 2 2 3 2 3" xfId="21258"/>
    <cellStyle name="常规 4 3 8 2 2 2 2 3 2 3 2" xfId="21259"/>
    <cellStyle name="常规 4 3 8 2 2 2 2 3 2 4" xfId="21260"/>
    <cellStyle name="常规 4 3 8 2 2 2 2 3 2 5" xfId="16846"/>
    <cellStyle name="常规 4 3 8 2 2 2 2 3 3" xfId="21261"/>
    <cellStyle name="常规 4 3 8 2 2 2 2 3 3 2" xfId="21262"/>
    <cellStyle name="常规 4 3 8 2 2 2 2 3 3 2 2" xfId="21263"/>
    <cellStyle name="常规 4 3 8 2 2 2 2 3 3 3" xfId="21264"/>
    <cellStyle name="常规 4 3 8 2 2 2 2 3 3 4" xfId="21266"/>
    <cellStyle name="常规 4 3 8 2 2 2 2 3 4" xfId="18655"/>
    <cellStyle name="常规 4 3 8 2 2 2 2 3 4 2" xfId="18657"/>
    <cellStyle name="常规 4 3 8 2 2 2 2 3 5" xfId="18659"/>
    <cellStyle name="常规 4 3 8 2 2 2 2 3 6" xfId="18662"/>
    <cellStyle name="常规 4 3 8 2 2 2 2 4" xfId="10166"/>
    <cellStyle name="常规 4 3 8 2 2 2 2 4 2" xfId="10168"/>
    <cellStyle name="常规 4 3 8 2 2 2 2 4 2 2" xfId="21267"/>
    <cellStyle name="常规 4 3 8 2 2 2 2 4 2 2 2" xfId="21268"/>
    <cellStyle name="常规 4 3 8 2 2 2 2 4 2 3" xfId="21269"/>
    <cellStyle name="常规 4 3 8 2 2 2 2 4 2 4" xfId="4586"/>
    <cellStyle name="常规 4 3 8 2 2 2 2 4 3" xfId="21270"/>
    <cellStyle name="常规 4 3 8 2 2 2 2 4 3 2" xfId="21271"/>
    <cellStyle name="常规 4 3 8 2 2 2 2 4 4" xfId="18667"/>
    <cellStyle name="常规 4 3 8 2 2 2 2 4 5" xfId="21272"/>
    <cellStyle name="常规 4 3 8 2 2 2 2 5" xfId="10170"/>
    <cellStyle name="常规 4 3 8 2 2 2 2 5 2" xfId="21273"/>
    <cellStyle name="常规 4 3 8 2 2 2 2 5 2 2" xfId="21274"/>
    <cellStyle name="常规 4 3 8 2 2 2 2 5 3" xfId="21275"/>
    <cellStyle name="常规 4 3 8 2 2 2 2 5 4" xfId="21277"/>
    <cellStyle name="常规 4 3 8 2 2 2 2 6" xfId="10172"/>
    <cellStyle name="常规 4 3 8 2 2 2 2 6 2" xfId="18627"/>
    <cellStyle name="常规 4 3 8 2 2 2 2 7" xfId="21278"/>
    <cellStyle name="常规 4 3 8 2 2 2 2 8" xfId="21279"/>
    <cellStyle name="常规 4 3 8 2 2 2 3" xfId="1546"/>
    <cellStyle name="常规 4 3 8 2 2 2 3 2" xfId="910"/>
    <cellStyle name="常规 4 3 8 2 2 2 3 2 2" xfId="1550"/>
    <cellStyle name="常规 4 3 8 2 2 2 3 2 2 2" xfId="1299"/>
    <cellStyle name="常规 4 3 8 2 2 2 3 2 2 2 2" xfId="1553"/>
    <cellStyle name="常规 4 3 8 2 2 2 3 2 2 2 2 2" xfId="21281"/>
    <cellStyle name="常规 4 3 8 2 2 2 3 2 2 2 3" xfId="21284"/>
    <cellStyle name="常规 4 3 8 2 2 2 3 2 2 2 4" xfId="21287"/>
    <cellStyle name="常规 4 3 8 2 2 2 3 2 2 3" xfId="21288"/>
    <cellStyle name="常规 4 3 8 2 2 2 3 2 2 3 2" xfId="21290"/>
    <cellStyle name="常规 4 3 8 2 2 2 3 2 2 4" xfId="21291"/>
    <cellStyle name="常规 4 3 8 2 2 2 3 2 2 5" xfId="16907"/>
    <cellStyle name="常规 4 3 8 2 2 2 3 2 3" xfId="21292"/>
    <cellStyle name="常规 4 3 8 2 2 2 3 2 3 2" xfId="21293"/>
    <cellStyle name="常规 4 3 8 2 2 2 3 2 3 2 2" xfId="21296"/>
    <cellStyle name="常规 4 3 8 2 2 2 3 2 3 3" xfId="21297"/>
    <cellStyle name="常规 4 3 8 2 2 2 3 2 3 4" xfId="21299"/>
    <cellStyle name="常规 4 3 8 2 2 2 3 2 4" xfId="18680"/>
    <cellStyle name="常规 4 3 8 2 2 2 3 2 4 2" xfId="18682"/>
    <cellStyle name="常规 4 3 8 2 2 2 3 2 5" xfId="18684"/>
    <cellStyle name="常规 4 3 8 2 2 2 3 2 6" xfId="18687"/>
    <cellStyle name="常规 4 3 8 2 2 2 3 3" xfId="1557"/>
    <cellStyle name="常规 4 3 8 2 2 2 3 3 2" xfId="21300"/>
    <cellStyle name="常规 4 3 8 2 2 2 3 3 2 2" xfId="2429"/>
    <cellStyle name="常规 4 3 8 2 2 2 3 3 2 2 2" xfId="21301"/>
    <cellStyle name="常规 4 3 8 2 2 2 3 3 2 3" xfId="21302"/>
    <cellStyle name="常规 4 3 8 2 2 2 3 3 2 4" xfId="21303"/>
    <cellStyle name="常规 4 3 8 2 2 2 3 3 3" xfId="21304"/>
    <cellStyle name="常规 4 3 8 2 2 2 3 3 3 2" xfId="21305"/>
    <cellStyle name="常规 4 3 8 2 2 2 3 3 4" xfId="18690"/>
    <cellStyle name="常规 4 3 8 2 2 2 3 3 5" xfId="21306"/>
    <cellStyle name="常规 4 3 8 2 2 2 3 4" xfId="1559"/>
    <cellStyle name="常规 4 3 8 2 2 2 3 4 2" xfId="21309"/>
    <cellStyle name="常规 4 3 8 2 2 2 3 4 2 2" xfId="2459"/>
    <cellStyle name="常规 4 3 8 2 2 2 3 4 3" xfId="21311"/>
    <cellStyle name="常规 4 3 8 2 2 2 3 4 4" xfId="21313"/>
    <cellStyle name="常规 4 3 8 2 2 2 3 5" xfId="21314"/>
    <cellStyle name="常规 4 3 8 2 2 2 3 5 2" xfId="21315"/>
    <cellStyle name="常规 4 3 8 2 2 2 3 6" xfId="21316"/>
    <cellStyle name="常规 4 3 8 2 2 2 3 7" xfId="21317"/>
    <cellStyle name="常规 4 3 8 2 2 2 4" xfId="1568"/>
    <cellStyle name="常规 4 3 8 2 2 2 4 2" xfId="21320"/>
    <cellStyle name="常规 4 3 8 2 2 2 4 2 2" xfId="21323"/>
    <cellStyle name="常规 4 3 8 2 2 2 4 2 2 2" xfId="21325"/>
    <cellStyle name="常规 4 3 8 2 2 2 4 2 2 2 2" xfId="21326"/>
    <cellStyle name="常规 4 3 8 2 2 2 4 2 2 3" xfId="21327"/>
    <cellStyle name="常规 4 3 8 2 2 2 4 2 2 4" xfId="21328"/>
    <cellStyle name="常规 4 3 8 2 2 2 4 2 3" xfId="21329"/>
    <cellStyle name="常规 4 3 8 2 2 2 4 2 3 2" xfId="21330"/>
    <cellStyle name="常规 4 3 8 2 2 2 4 2 4" xfId="18700"/>
    <cellStyle name="常规 4 3 8 2 2 2 4 2 5" xfId="21331"/>
    <cellStyle name="常规 4 3 8 2 2 2 4 3" xfId="21333"/>
    <cellStyle name="常规 4 3 8 2 2 2 4 3 2" xfId="20411"/>
    <cellStyle name="常规 4 3 8 2 2 2 4 3 2 2" xfId="21336"/>
    <cellStyle name="常规 4 3 8 2 2 2 4 3 3" xfId="20413"/>
    <cellStyle name="常规 4 3 8 2 2 2 4 3 4" xfId="21337"/>
    <cellStyle name="常规 4 3 8 2 2 2 4 4" xfId="21339"/>
    <cellStyle name="常规 4 3 8 2 2 2 4 4 2" xfId="21342"/>
    <cellStyle name="常规 4 3 8 2 2 2 4 5" xfId="21344"/>
    <cellStyle name="常规 4 3 8 2 2 2 4 6" xfId="21345"/>
    <cellStyle name="常规 4 3 8 2 2 2 5" xfId="1577"/>
    <cellStyle name="常规 4 3 8 2 2 2 5 2" xfId="21347"/>
    <cellStyle name="常规 4 3 8 2 2 2 5 2 2" xfId="21349"/>
    <cellStyle name="常规 4 3 8 2 2 2 5 2 2 2" xfId="21350"/>
    <cellStyle name="常规 4 3 8 2 2 2 5 2 3" xfId="21351"/>
    <cellStyle name="常规 4 3 8 2 2 2 5 2 4" xfId="20"/>
    <cellStyle name="常规 4 3 8 2 2 2 5 3" xfId="21353"/>
    <cellStyle name="常规 4 3 8 2 2 2 5 3 2" xfId="21354"/>
    <cellStyle name="常规 4 3 8 2 2 2 5 4" xfId="21355"/>
    <cellStyle name="常规 4 3 8 2 2 2 5 5" xfId="21356"/>
    <cellStyle name="常规 4 3 8 2 2 2 6" xfId="16219"/>
    <cellStyle name="常规 4 3 8 2 2 2 6 2" xfId="21357"/>
    <cellStyle name="常规 4 3 8 2 2 2 6 2 2" xfId="21358"/>
    <cellStyle name="常规 4 3 8 2 2 2 6 3" xfId="21359"/>
    <cellStyle name="常规 4 3 8 2 2 2 6 4" xfId="21360"/>
    <cellStyle name="常规 4 3 8 2 2 2 7" xfId="21362"/>
    <cellStyle name="常规 4 3 8 2 2 2 7 2" xfId="21364"/>
    <cellStyle name="常规 4 3 8 2 2 2 8" xfId="7483"/>
    <cellStyle name="常规 4 3 8 2 2 2 9" xfId="21365"/>
    <cellStyle name="常规 4 3 8 2 2 3" xfId="6416"/>
    <cellStyle name="常规 4 3 8 2 2 3 2" xfId="21368"/>
    <cellStyle name="常规 4 3 8 2 2 3 2 2" xfId="21370"/>
    <cellStyle name="常规 4 3 8 2 2 3 2 2 2" xfId="21372"/>
    <cellStyle name="常规 4 3 8 2 2 3 2 2 2 2" xfId="21373"/>
    <cellStyle name="常规 4 3 8 2 2 3 2 2 2 2 2" xfId="21375"/>
    <cellStyle name="常规 4 3 8 2 2 3 2 2 2 2 2 2" xfId="21377"/>
    <cellStyle name="常规 4 3 8 2 2 3 2 2 2 2 2 2 2" xfId="21380"/>
    <cellStyle name="常规 4 3 8 2 2 3 2 2 2 2 2 3" xfId="21382"/>
    <cellStyle name="常规 4 3 8 2 2 3 2 2 2 2 2 4" xfId="21385"/>
    <cellStyle name="常规 4 3 8 2 2 3 2 2 2 2 3" xfId="7525"/>
    <cellStyle name="常规 4 3 8 2 2 3 2 2 2 2 3 2" xfId="16242"/>
    <cellStyle name="常规 4 3 8 2 2 3 2 2 2 2 4" xfId="16245"/>
    <cellStyle name="常规 4 3 8 2 2 3 2 2 2 2 5" xfId="16248"/>
    <cellStyle name="常规 4 3 8 2 2 3 2 2 2 3" xfId="21386"/>
    <cellStyle name="常规 4 3 8 2 2 3 2 2 2 3 2" xfId="21389"/>
    <cellStyle name="常规 4 3 8 2 2 3 2 2 2 3 2 2" xfId="21391"/>
    <cellStyle name="常规 4 3 8 2 2 3 2 2 2 3 3" xfId="16252"/>
    <cellStyle name="常规 4 3 8 2 2 3 2 2 2 3 4" xfId="21393"/>
    <cellStyle name="常规 4 3 8 2 2 3 2 2 2 4" xfId="21394"/>
    <cellStyle name="常规 4 3 8 2 2 3 2 2 2 4 2" xfId="21396"/>
    <cellStyle name="常规 4 3 8 2 2 3 2 2 2 5" xfId="21397"/>
    <cellStyle name="常规 4 3 8 2 2 3 2 2 2 6" xfId="21399"/>
    <cellStyle name="常规 4 3 8 2 2 3 2 2 3" xfId="21400"/>
    <cellStyle name="常规 4 3 8 2 2 3 2 2 3 2" xfId="21401"/>
    <cellStyle name="常规 4 3 8 2 2 3 2 2 3 2 2" xfId="21403"/>
    <cellStyle name="常规 4 3 8 2 2 3 2 2 3 2 2 2" xfId="21405"/>
    <cellStyle name="常规 4 3 8 2 2 3 2 2 3 2 3" xfId="16276"/>
    <cellStyle name="常规 4 3 8 2 2 3 2 2 3 2 4" xfId="21407"/>
    <cellStyle name="常规 4 3 8 2 2 3 2 2 3 3" xfId="21408"/>
    <cellStyle name="常规 4 3 8 2 2 3 2 2 3 3 2" xfId="21410"/>
    <cellStyle name="常规 4 3 8 2 2 3 2 2 3 4" xfId="21413"/>
    <cellStyle name="常规 4 3 8 2 2 3 2 2 3 5" xfId="21416"/>
    <cellStyle name="常规 4 3 8 2 2 3 2 2 4" xfId="18715"/>
    <cellStyle name="常规 4 3 8 2 2 3 2 2 4 2" xfId="18717"/>
    <cellStyle name="常规 4 3 8 2 2 3 2 2 4 2 2" xfId="21418"/>
    <cellStyle name="常规 4 3 8 2 2 3 2 2 4 3" xfId="21419"/>
    <cellStyle name="常规 4 3 8 2 2 3 2 2 4 4" xfId="21422"/>
    <cellStyle name="常规 4 3 8 2 2 3 2 2 5" xfId="18719"/>
    <cellStyle name="常规 4 3 8 2 2 3 2 2 5 2" xfId="21423"/>
    <cellStyle name="常规 4 3 8 2 2 3 2 2 6" xfId="18721"/>
    <cellStyle name="常规 4 3 8 2 2 3 2 2 7" xfId="13745"/>
    <cellStyle name="常规 4 3 8 2 2 3 2 3" xfId="21424"/>
    <cellStyle name="常规 4 3 8 2 2 3 2 3 2" xfId="21425"/>
    <cellStyle name="常规 4 3 8 2 2 3 2 3 2 2" xfId="21426"/>
    <cellStyle name="常规 4 3 8 2 2 3 2 3 2 2 2" xfId="21428"/>
    <cellStyle name="常规 4 3 8 2 2 3 2 3 2 2 2 2" xfId="21430"/>
    <cellStyle name="常规 4 3 8 2 2 3 2 3 2 2 3" xfId="16329"/>
    <cellStyle name="常规 4 3 8 2 2 3 2 3 2 2 4" xfId="21432"/>
    <cellStyle name="常规 4 3 8 2 2 3 2 3 2 3" xfId="21433"/>
    <cellStyle name="常规 4 3 8 2 2 3 2 3 2 3 2" xfId="21435"/>
    <cellStyle name="常规 4 3 8 2 2 3 2 3 2 4" xfId="15710"/>
    <cellStyle name="常规 4 3 8 2 2 3 2 3 2 5" xfId="15755"/>
    <cellStyle name="常规 4 3 8 2 2 3 2 3 3" xfId="21436"/>
    <cellStyle name="常规 4 3 8 2 2 3 2 3 3 2" xfId="21437"/>
    <cellStyle name="常规 4 3 8 2 2 3 2 3 3 2 2" xfId="21439"/>
    <cellStyle name="常规 4 3 8 2 2 3 2 3 3 3" xfId="21440"/>
    <cellStyle name="常规 4 3 8 2 2 3 2 3 3 4" xfId="15794"/>
    <cellStyle name="常规 4 3 8 2 2 3 2 3 4" xfId="18724"/>
    <cellStyle name="常规 4 3 8 2 2 3 2 3 4 2" xfId="21441"/>
    <cellStyle name="常规 4 3 8 2 2 3 2 3 5" xfId="21442"/>
    <cellStyle name="常规 4 3 8 2 2 3 2 3 6" xfId="21444"/>
    <cellStyle name="常规 4 3 8 2 2 3 2 4" xfId="10179"/>
    <cellStyle name="常规 4 3 8 2 2 3 2 4 2" xfId="21445"/>
    <cellStyle name="常规 4 3 8 2 2 3 2 4 2 2" xfId="21447"/>
    <cellStyle name="常规 4 3 8 2 2 3 2 4 2 2 2" xfId="21450"/>
    <cellStyle name="常规 4 3 8 2 2 3 2 4 2 3" xfId="21452"/>
    <cellStyle name="常规 4 3 8 2 2 3 2 4 2 4" xfId="45"/>
    <cellStyle name="常规 4 3 8 2 2 3 2 4 3" xfId="21453"/>
    <cellStyle name="常规 4 3 8 2 2 3 2 4 3 2" xfId="21455"/>
    <cellStyle name="常规 4 3 8 2 2 3 2 4 4" xfId="21456"/>
    <cellStyle name="常规 4 3 8 2 2 3 2 4 5" xfId="21457"/>
    <cellStyle name="常规 4 3 8 2 2 3 2 5" xfId="21458"/>
    <cellStyle name="常规 4 3 8 2 2 3 2 5 2" xfId="21460"/>
    <cellStyle name="常规 4 3 8 2 2 3 2 5 2 2" xfId="21463"/>
    <cellStyle name="常规 4 3 8 2 2 3 2 5 3" xfId="21465"/>
    <cellStyle name="常规 4 3 8 2 2 3 2 5 4" xfId="21467"/>
    <cellStyle name="常规 4 3 8 2 2 3 2 6" xfId="21468"/>
    <cellStyle name="常规 4 3 8 2 2 3 2 6 2" xfId="10557"/>
    <cellStyle name="常规 4 3 8 2 2 3 2 7" xfId="21469"/>
    <cellStyle name="常规 4 3 8 2 2 3 2 8" xfId="21470"/>
    <cellStyle name="常规 4 3 8 2 2 3 3" xfId="1588"/>
    <cellStyle name="常规 4 3 8 2 2 3 3 2" xfId="313"/>
    <cellStyle name="常规 4 3 8 2 2 3 3 2 2" xfId="189"/>
    <cellStyle name="常规 4 3 8 2 2 3 3 2 2 2" xfId="16706"/>
    <cellStyle name="常规 4 3 8 2 2 3 3 2 2 2 2" xfId="21472"/>
    <cellStyle name="常规 4 3 8 2 2 3 3 2 2 2 2 2" xfId="21475"/>
    <cellStyle name="常规 4 3 8 2 2 3 3 2 2 2 3" xfId="21478"/>
    <cellStyle name="常规 4 3 8 2 2 3 3 2 2 2 4" xfId="21482"/>
    <cellStyle name="常规 4 3 8 2 2 3 3 2 2 3" xfId="16708"/>
    <cellStyle name="常规 4 3 8 2 2 3 3 2 2 3 2" xfId="21485"/>
    <cellStyle name="常规 4 3 8 2 2 3 3 2 2 4" xfId="21486"/>
    <cellStyle name="常规 4 3 8 2 2 3 3 2 2 5" xfId="21487"/>
    <cellStyle name="常规 4 3 8 2 2 3 3 2 3" xfId="21488"/>
    <cellStyle name="常规 4 3 8 2 2 3 3 2 3 2" xfId="16718"/>
    <cellStyle name="常规 4 3 8 2 2 3 3 2 3 2 2" xfId="21490"/>
    <cellStyle name="常规 4 3 8 2 2 3 3 2 3 3" xfId="21491"/>
    <cellStyle name="常规 4 3 8 2 2 3 3 2 3 4" xfId="21494"/>
    <cellStyle name="常规 4 3 8 2 2 3 3 2 4" xfId="18731"/>
    <cellStyle name="常规 4 3 8 2 2 3 3 2 4 2" xfId="21495"/>
    <cellStyle name="常规 4 3 8 2 2 3 3 2 5" xfId="21496"/>
    <cellStyle name="常规 4 3 8 2 2 3 3 2 6" xfId="21497"/>
    <cellStyle name="常规 4 3 8 2 2 3 3 3" xfId="21498"/>
    <cellStyle name="常规 4 3 8 2 2 3 3 3 2" xfId="21499"/>
    <cellStyle name="常规 4 3 8 2 2 3 3 3 2 2" xfId="16847"/>
    <cellStyle name="常规 4 3 8 2 2 3 3 3 2 2 2" xfId="21501"/>
    <cellStyle name="常规 4 3 8 2 2 3 3 3 2 3" xfId="16849"/>
    <cellStyle name="常规 4 3 8 2 2 3 3 3 2 4" xfId="21502"/>
    <cellStyle name="常规 4 3 8 2 2 3 3 3 3" xfId="21503"/>
    <cellStyle name="常规 4 3 8 2 2 3 3 3 3 2" xfId="16858"/>
    <cellStyle name="常规 4 3 8 2 2 3 3 3 4" xfId="21504"/>
    <cellStyle name="常规 4 3 8 2 2 3 3 3 5" xfId="21505"/>
    <cellStyle name="常规 4 3 8 2 2 3 3 4" xfId="21506"/>
    <cellStyle name="常规 4 3 8 2 2 3 3 4 2" xfId="21507"/>
    <cellStyle name="常规 4 3 8 2 2 3 3 4 2 2" xfId="16932"/>
    <cellStyle name="常规 4 3 8 2 2 3 3 4 3" xfId="21508"/>
    <cellStyle name="常规 4 3 8 2 2 3 3 4 4" xfId="21509"/>
    <cellStyle name="常规 4 3 8 2 2 3 3 5" xfId="21510"/>
    <cellStyle name="常规 4 3 8 2 2 3 3 5 2" xfId="21512"/>
    <cellStyle name="常规 4 3 8 2 2 3 3 6" xfId="21513"/>
    <cellStyle name="常规 4 3 8 2 2 3 3 7" xfId="21514"/>
    <cellStyle name="常规 4 3 8 2 2 3 4" xfId="21517"/>
    <cellStyle name="常规 4 3 8 2 2 3 4 2" xfId="21521"/>
    <cellStyle name="常规 4 3 8 2 2 3 4 2 2" xfId="21523"/>
    <cellStyle name="常规 4 3 8 2 2 3 4 2 2 2" xfId="17068"/>
    <cellStyle name="常规 4 3 8 2 2 3 4 2 2 2 2" xfId="21526"/>
    <cellStyle name="常规 4 3 8 2 2 3 4 2 2 3" xfId="21527"/>
    <cellStyle name="常规 4 3 8 2 2 3 4 2 2 4" xfId="21528"/>
    <cellStyle name="常规 4 3 8 2 2 3 4 2 3" xfId="21529"/>
    <cellStyle name="常规 4 3 8 2 2 3 4 2 3 2" xfId="21530"/>
    <cellStyle name="常规 4 3 8 2 2 3 4 2 4" xfId="21531"/>
    <cellStyle name="常规 4 3 8 2 2 3 4 2 5" xfId="21532"/>
    <cellStyle name="常规 4 3 8 2 2 3 4 3" xfId="21534"/>
    <cellStyle name="常规 4 3 8 2 2 3 4 3 2" xfId="21535"/>
    <cellStyle name="常规 4 3 8 2 2 3 4 3 2 2" xfId="21536"/>
    <cellStyle name="常规 4 3 8 2 2 3 4 3 3" xfId="21537"/>
    <cellStyle name="常规 4 3 8 2 2 3 4 3 4" xfId="21538"/>
    <cellStyle name="常规 4 3 8 2 2 3 4 4" xfId="21539"/>
    <cellStyle name="常规 4 3 8 2 2 3 4 4 2" xfId="21540"/>
    <cellStyle name="常规 4 3 8 2 2 3 4 5" xfId="21541"/>
    <cellStyle name="常规 4 3 8 2 2 3 4 6" xfId="21542"/>
    <cellStyle name="常规 4 3 8 2 2 3 5" xfId="21544"/>
    <cellStyle name="常规 4 3 8 2 2 3 5 2" xfId="21546"/>
    <cellStyle name="常规 4 3 8 2 2 3 5 2 2" xfId="21547"/>
    <cellStyle name="常规 4 3 8 2 2 3 5 2 2 2" xfId="17231"/>
    <cellStyle name="常规 4 3 8 2 2 3 5 2 3" xfId="21548"/>
    <cellStyle name="常规 4 3 8 2 2 3 5 2 4" xfId="21549"/>
    <cellStyle name="常规 4 3 8 2 2 3 5 3" xfId="21550"/>
    <cellStyle name="常规 4 3 8 2 2 3 5 3 2" xfId="21551"/>
    <cellStyle name="常规 4 3 8 2 2 3 5 4" xfId="21552"/>
    <cellStyle name="常规 4 3 8 2 2 3 5 5" xfId="21553"/>
    <cellStyle name="常规 4 3 8 2 2 3 6" xfId="21555"/>
    <cellStyle name="常规 4 3 8 2 2 3 6 2" xfId="21557"/>
    <cellStyle name="常规 4 3 8 2 2 3 6 2 2" xfId="21558"/>
    <cellStyle name="常规 4 3 8 2 2 3 6 3" xfId="21559"/>
    <cellStyle name="常规 4 3 8 2 2 3 6 4" xfId="21561"/>
    <cellStyle name="常规 4 3 8 2 2 3 7" xfId="21562"/>
    <cellStyle name="常规 4 3 8 2 2 3 7 2" xfId="21563"/>
    <cellStyle name="常规 4 3 8 2 2 3 8" xfId="21564"/>
    <cellStyle name="常规 4 3 8 2 2 3 9" xfId="18542"/>
    <cellStyle name="常规 4 3 8 2 2 4" xfId="21565"/>
    <cellStyle name="常规 4 3 8 2 2 4 2" xfId="21567"/>
    <cellStyle name="常规 4 3 8 2 2 4 2 2" xfId="21568"/>
    <cellStyle name="常规 4 3 8 2 2 4 2 2 2" xfId="21569"/>
    <cellStyle name="常规 4 3 8 2 2 4 2 2 2 2" xfId="21570"/>
    <cellStyle name="常规 4 3 8 2 2 4 2 2 2 2 2" xfId="21572"/>
    <cellStyle name="常规 4 3 8 2 2 4 2 2 2 2 2 2" xfId="21574"/>
    <cellStyle name="常规 4 3 8 2 2 4 2 2 2 2 3" xfId="21576"/>
    <cellStyle name="常规 4 3 8 2 2 4 2 2 2 2 4" xfId="21578"/>
    <cellStyle name="常规 4 3 8 2 2 4 2 2 2 3" xfId="21579"/>
    <cellStyle name="常规 4 3 8 2 2 4 2 2 2 3 2" xfId="21581"/>
    <cellStyle name="常规 4 3 8 2 2 4 2 2 2 4" xfId="21582"/>
    <cellStyle name="常规 4 3 8 2 2 4 2 2 2 5" xfId="21583"/>
    <cellStyle name="常规 4 3 8 2 2 4 2 2 3" xfId="21584"/>
    <cellStyle name="常规 4 3 8 2 2 4 2 2 3 2" xfId="21585"/>
    <cellStyle name="常规 4 3 8 2 2 4 2 2 3 2 2" xfId="21587"/>
    <cellStyle name="常规 4 3 8 2 2 4 2 2 3 3" xfId="21588"/>
    <cellStyle name="常规 4 3 8 2 2 4 2 2 3 4" xfId="21591"/>
    <cellStyle name="常规 4 3 8 2 2 4 2 2 4" xfId="18749"/>
    <cellStyle name="常规 4 3 8 2 2 4 2 2 4 2" xfId="21592"/>
    <cellStyle name="常规 4 3 8 2 2 4 2 2 5" xfId="21593"/>
    <cellStyle name="常规 4 3 8 2 2 4 2 2 6" xfId="21596"/>
    <cellStyle name="常规 4 3 8 2 2 4 2 3" xfId="21597"/>
    <cellStyle name="常规 4 3 8 2 2 4 2 3 2" xfId="21598"/>
    <cellStyle name="常规 4 3 8 2 2 4 2 3 2 2" xfId="21599"/>
    <cellStyle name="常规 4 3 8 2 2 4 2 3 2 2 2" xfId="21601"/>
    <cellStyle name="常规 4 3 8 2 2 4 2 3 2 3" xfId="21602"/>
    <cellStyle name="常规 4 3 8 2 2 4 2 3 2 4" xfId="21603"/>
    <cellStyle name="常规 4 3 8 2 2 4 2 3 3" xfId="21604"/>
    <cellStyle name="常规 4 3 8 2 2 4 2 3 3 2" xfId="21605"/>
    <cellStyle name="常规 4 3 8 2 2 4 2 3 4" xfId="21606"/>
    <cellStyle name="常规 4 3 8 2 2 4 2 3 5" xfId="21607"/>
    <cellStyle name="常规 4 3 8 2 2 4 2 4" xfId="21608"/>
    <cellStyle name="常规 4 3 8 2 2 4 2 4 2" xfId="21609"/>
    <cellStyle name="常规 4 3 8 2 2 4 2 4 2 2" xfId="21611"/>
    <cellStyle name="常规 4 3 8 2 2 4 2 4 3" xfId="21612"/>
    <cellStyle name="常规 4 3 8 2 2 4 2 4 4" xfId="21613"/>
    <cellStyle name="常规 4 3 8 2 2 4 2 5" xfId="21614"/>
    <cellStyle name="常规 4 3 8 2 2 4 2 5 2" xfId="21616"/>
    <cellStyle name="常规 4 3 8 2 2 4 2 6" xfId="21617"/>
    <cellStyle name="常规 4 3 8 2 2 4 2 7" xfId="19820"/>
    <cellStyle name="常规 4 3 8 2 2 4 3" xfId="21619"/>
    <cellStyle name="常规 4 3 8 2 2 4 3 2" xfId="21620"/>
    <cellStyle name="常规 4 3 8 2 2 4 3 2 2" xfId="21621"/>
    <cellStyle name="常规 4 3 8 2 2 4 3 2 2 2" xfId="17573"/>
    <cellStyle name="常规 4 3 8 2 2 4 3 2 2 2 2" xfId="21623"/>
    <cellStyle name="常规 4 3 8 2 2 4 3 2 2 3" xfId="21624"/>
    <cellStyle name="常规 4 3 8 2 2 4 3 2 2 4" xfId="21625"/>
    <cellStyle name="常规 4 3 8 2 2 4 3 2 3" xfId="21626"/>
    <cellStyle name="常规 4 3 8 2 2 4 3 2 3 2" xfId="21627"/>
    <cellStyle name="常规 4 3 8 2 2 4 3 2 4" xfId="21628"/>
    <cellStyle name="常规 4 3 8 2 2 4 3 2 5" xfId="21629"/>
    <cellStyle name="常规 4 3 8 2 2 4 3 3" xfId="21630"/>
    <cellStyle name="常规 4 3 8 2 2 4 3 3 2" xfId="21631"/>
    <cellStyle name="常规 4 3 8 2 2 4 3 3 2 2" xfId="21632"/>
    <cellStyle name="常规 4 3 8 2 2 4 3 3 3" xfId="21633"/>
    <cellStyle name="常规 4 3 8 2 2 4 3 3 4" xfId="21634"/>
    <cellStyle name="常规 4 3 8 2 2 4 3 4" xfId="21635"/>
    <cellStyle name="常规 4 3 8 2 2 4 3 4 2" xfId="21636"/>
    <cellStyle name="常规 4 3 8 2 2 4 3 5" xfId="21637"/>
    <cellStyle name="常规 4 3 8 2 2 4 3 6" xfId="21638"/>
    <cellStyle name="常规 4 3 8 2 2 4 4" xfId="21640"/>
    <cellStyle name="常规 4 3 8 2 2 4 4 2" xfId="21642"/>
    <cellStyle name="常规 4 3 8 2 2 4 4 2 2" xfId="21643"/>
    <cellStyle name="常规 4 3 8 2 2 4 4 2 2 2" xfId="17743"/>
    <cellStyle name="常规 4 3 8 2 2 4 4 2 3" xfId="21644"/>
    <cellStyle name="常规 4 3 8 2 2 4 4 2 4" xfId="21645"/>
    <cellStyle name="常规 4 3 8 2 2 4 4 3" xfId="21646"/>
    <cellStyle name="常规 4 3 8 2 2 4 4 3 2" xfId="21647"/>
    <cellStyle name="常规 4 3 8 2 2 4 4 4" xfId="126"/>
    <cellStyle name="常规 4 3 8 2 2 4 4 5" xfId="21648"/>
    <cellStyle name="常规 4 3 8 2 2 4 5" xfId="21649"/>
    <cellStyle name="常规 4 3 8 2 2 4 5 2" xfId="21650"/>
    <cellStyle name="常规 4 3 8 2 2 4 5 2 2" xfId="21651"/>
    <cellStyle name="常规 4 3 8 2 2 4 5 3" xfId="21652"/>
    <cellStyle name="常规 4 3 8 2 2 4 5 4" xfId="21653"/>
    <cellStyle name="常规 4 3 8 2 2 4 6" xfId="21654"/>
    <cellStyle name="常规 4 3 8 2 2 4 6 2" xfId="21655"/>
    <cellStyle name="常规 4 3 8 2 2 4 7" xfId="21656"/>
    <cellStyle name="常规 4 3 8 2 2 4 8" xfId="21658"/>
    <cellStyle name="常规 4 3 8 2 2 5" xfId="21660"/>
    <cellStyle name="常规 4 3 8 2 2 5 2" xfId="12935"/>
    <cellStyle name="常规 4 3 8 2 2 5 2 2" xfId="21661"/>
    <cellStyle name="常规 4 3 8 2 2 5 2 2 2" xfId="21662"/>
    <cellStyle name="常规 4 3 8 2 2 5 2 2 2 2" xfId="21663"/>
    <cellStyle name="常规 4 3 8 2 2 5 2 2 2 2 2" xfId="21665"/>
    <cellStyle name="常规 4 3 8 2 2 5 2 2 2 3" xfId="21666"/>
    <cellStyle name="常规 4 3 8 2 2 5 2 2 2 4" xfId="21667"/>
    <cellStyle name="常规 4 3 8 2 2 5 2 2 3" xfId="21668"/>
    <cellStyle name="常规 4 3 8 2 2 5 2 2 3 2" xfId="21669"/>
    <cellStyle name="常规 4 3 8 2 2 5 2 2 4" xfId="21670"/>
    <cellStyle name="常规 4 3 8 2 2 5 2 2 5" xfId="21671"/>
    <cellStyle name="常规 4 3 8 2 2 5 2 3" xfId="21672"/>
    <cellStyle name="常规 4 3 8 2 2 5 2 3 2" xfId="21673"/>
    <cellStyle name="常规 4 3 8 2 2 5 2 3 2 2" xfId="21674"/>
    <cellStyle name="常规 4 3 8 2 2 5 2 3 3" xfId="21675"/>
    <cellStyle name="常规 4 3 8 2 2 5 2 3 4" xfId="21676"/>
    <cellStyle name="常规 4 3 8 2 2 5 2 4" xfId="21677"/>
    <cellStyle name="常规 4 3 8 2 2 5 2 4 2" xfId="21678"/>
    <cellStyle name="常规 4 3 8 2 2 5 2 5" xfId="21679"/>
    <cellStyle name="常规 4 3 8 2 2 5 2 6" xfId="21680"/>
    <cellStyle name="常规 4 3 8 2 2 5 3" xfId="12938"/>
    <cellStyle name="常规 4 3 8 2 2 5 3 2" xfId="21681"/>
    <cellStyle name="常规 4 3 8 2 2 5 3 2 2" xfId="21682"/>
    <cellStyle name="常规 4 3 8 2 2 5 3 2 2 2" xfId="5903"/>
    <cellStyle name="常规 4 3 8 2 2 5 3 2 3" xfId="21683"/>
    <cellStyle name="常规 4 3 8 2 2 5 3 2 4" xfId="21684"/>
    <cellStyle name="常规 4 3 8 2 2 5 3 3" xfId="21685"/>
    <cellStyle name="常规 4 3 8 2 2 5 3 3 2" xfId="21686"/>
    <cellStyle name="常规 4 3 8 2 2 5 3 4" xfId="21687"/>
    <cellStyle name="常规 4 3 8 2 2 5 3 5" xfId="21688"/>
    <cellStyle name="常规 4 3 8 2 2 5 4" xfId="21689"/>
    <cellStyle name="常规 4 3 8 2 2 5 4 2" xfId="21690"/>
    <cellStyle name="常规 4 3 8 2 2 5 4 2 2" xfId="21691"/>
    <cellStyle name="常规 4 3 8 2 2 5 4 3" xfId="21692"/>
    <cellStyle name="常规 4 3 8 2 2 5 4 4" xfId="21693"/>
    <cellStyle name="常规 4 3 8 2 2 5 5" xfId="21694"/>
    <cellStyle name="常规 4 3 8 2 2 5 5 2" xfId="21695"/>
    <cellStyle name="常规 4 3 8 2 2 5 6" xfId="21696"/>
    <cellStyle name="常规 4 3 8 2 2 5 7" xfId="21697"/>
    <cellStyle name="常规 4 3 8 2 2 6" xfId="21698"/>
    <cellStyle name="常规 4 3 8 2 2 6 2" xfId="12955"/>
    <cellStyle name="常规 4 3 8 2 2 6 2 2" xfId="21699"/>
    <cellStyle name="常规 4 3 8 2 2 6 2 2 2" xfId="5196"/>
    <cellStyle name="常规 4 3 8 2 2 6 2 2 2 2" xfId="5200"/>
    <cellStyle name="常规 4 3 8 2 2 6 2 2 3" xfId="21701"/>
    <cellStyle name="常规 4 3 8 2 2 6 2 2 4" xfId="21703"/>
    <cellStyle name="常规 4 3 8 2 2 6 2 3" xfId="21705"/>
    <cellStyle name="常规 4 3 8 2 2 6 2 3 2" xfId="5517"/>
    <cellStyle name="常规 4 3 8 2 2 6 2 4" xfId="21707"/>
    <cellStyle name="常规 4 3 8 2 2 6 2 5" xfId="21709"/>
    <cellStyle name="常规 4 3 8 2 2 6 3" xfId="21711"/>
    <cellStyle name="常规 4 3 8 2 2 6 3 2" xfId="21713"/>
    <cellStyle name="常规 4 3 8 2 2 6 3 2 2" xfId="2502"/>
    <cellStyle name="常规 4 3 8 2 2 6 3 3" xfId="21715"/>
    <cellStyle name="常规 4 3 8 2 2 6 3 4" xfId="21717"/>
    <cellStyle name="常规 4 3 8 2 2 6 4" xfId="21719"/>
    <cellStyle name="常规 4 3 8 2 2 6 4 2" xfId="21721"/>
    <cellStyle name="常规 4 3 8 2 2 6 5" xfId="21724"/>
    <cellStyle name="常规 4 3 8 2 2 6 6" xfId="21726"/>
    <cellStyle name="常规 4 3 8 2 2 7" xfId="21728"/>
    <cellStyle name="常规 4 3 8 2 2 7 2" xfId="3546"/>
    <cellStyle name="常规 4 3 8 2 2 7 2 2" xfId="21730"/>
    <cellStyle name="常规 4 3 8 2 2 7 2 2 2" xfId="7477"/>
    <cellStyle name="常规 4 3 8 2 2 7 2 3" xfId="21732"/>
    <cellStyle name="常规 4 3 8 2 2 7 2 4" xfId="21734"/>
    <cellStyle name="常规 4 3 8 2 2 7 3" xfId="21737"/>
    <cellStyle name="常规 4 3 8 2 2 7 3 2" xfId="21739"/>
    <cellStyle name="常规 4 3 8 2 2 7 4" xfId="2413"/>
    <cellStyle name="常规 4 3 8 2 2 7 5" xfId="3563"/>
    <cellStyle name="常规 4 3 8 2 2 8" xfId="21742"/>
    <cellStyle name="常规 4 3 8 2 2 8 2" xfId="21744"/>
    <cellStyle name="常规 4 3 8 2 2 8 2 2" xfId="21747"/>
    <cellStyle name="常规 4 3 8 2 2 8 3" xfId="21752"/>
    <cellStyle name="常规 4 3 8 2 2 8 4" xfId="3596"/>
    <cellStyle name="常规 4 3 8 2 2 9" xfId="20605"/>
    <cellStyle name="常规 4 3 8 2 2 9 2" xfId="20607"/>
    <cellStyle name="常规 4 3 8 2 3" xfId="21755"/>
    <cellStyle name="常规 4 3 8 2 3 2" xfId="21756"/>
    <cellStyle name="常规 4 3 8 2 3 2 2" xfId="8397"/>
    <cellStyle name="常规 4 3 8 2 3 2 2 2" xfId="21479"/>
    <cellStyle name="常规 4 3 8 2 3 2 2 2 2" xfId="21761"/>
    <cellStyle name="常规 4 3 8 2 3 2 2 2 2 2" xfId="21765"/>
    <cellStyle name="常规 4 3 8 2 3 2 2 2 2 2 2" xfId="18352"/>
    <cellStyle name="常规 4 3 8 2 3 2 2 2 2 2 2 2" xfId="14411"/>
    <cellStyle name="常规 4 3 8 2 3 2 2 2 2 2 3" xfId="18356"/>
    <cellStyle name="常规 4 3 8 2 3 2 2 2 2 2 4" xfId="21768"/>
    <cellStyle name="常规 4 3 8 2 3 2 2 2 2 3" xfId="18971"/>
    <cellStyle name="常规 4 3 8 2 3 2 2 2 2 3 2" xfId="7181"/>
    <cellStyle name="常规 4 3 8 2 3 2 2 2 2 4" xfId="18976"/>
    <cellStyle name="常规 4 3 8 2 3 2 2 2 2 5" xfId="18980"/>
    <cellStyle name="常规 4 3 8 2 3 2 2 2 3" xfId="21771"/>
    <cellStyle name="常规 4 3 8 2 3 2 2 2 3 2" xfId="21775"/>
    <cellStyle name="常规 4 3 8 2 3 2 2 2 3 2 2" xfId="21778"/>
    <cellStyle name="常规 4 3 8 2 3 2 2 2 3 3" xfId="18986"/>
    <cellStyle name="常规 4 3 8 2 3 2 2 2 3 4" xfId="18993"/>
    <cellStyle name="常规 4 3 8 2 3 2 2 2 4" xfId="19880"/>
    <cellStyle name="常规 4 3 8 2 3 2 2 2 4 2" xfId="19885"/>
    <cellStyle name="常规 4 3 8 2 3 2 2 2 5" xfId="19890"/>
    <cellStyle name="常规 4 3 8 2 3 2 2 2 6" xfId="19896"/>
    <cellStyle name="常规 4 3 8 2 3 2 2 3" xfId="21483"/>
    <cellStyle name="常规 4 3 8 2 3 2 2 3 2" xfId="21781"/>
    <cellStyle name="常规 4 3 8 2 3 2 2 3 2 2" xfId="21785"/>
    <cellStyle name="常规 4 3 8 2 3 2 2 3 2 2 2" xfId="21787"/>
    <cellStyle name="常规 4 3 8 2 3 2 2 3 2 3" xfId="19033"/>
    <cellStyle name="常规 4 3 8 2 3 2 2 3 2 4" xfId="19038"/>
    <cellStyle name="常规 4 3 8 2 3 2 2 3 3" xfId="21790"/>
    <cellStyle name="常规 4 3 8 2 3 2 2 3 3 2" xfId="21793"/>
    <cellStyle name="常规 4 3 8 2 3 2 2 3 4" xfId="19901"/>
    <cellStyle name="常规 4 3 8 2 3 2 2 3 5" xfId="21797"/>
    <cellStyle name="常规 4 3 8 2 3 2 2 4" xfId="10312"/>
    <cellStyle name="常规 4 3 8 2 3 2 2 4 2" xfId="21800"/>
    <cellStyle name="常规 4 3 8 2 3 2 2 4 2 2" xfId="21804"/>
    <cellStyle name="常规 4 3 8 2 3 2 2 4 3" xfId="21807"/>
    <cellStyle name="常规 4 3 8 2 3 2 2 4 4" xfId="21810"/>
    <cellStyle name="常规 4 3 8 2 3 2 2 5" xfId="21811"/>
    <cellStyle name="常规 4 3 8 2 3 2 2 5 2" xfId="21814"/>
    <cellStyle name="常规 4 3 8 2 3 2 2 6" xfId="21815"/>
    <cellStyle name="常规 4 3 8 2 3 2 2 7" xfId="21817"/>
    <cellStyle name="常规 4 3 8 2 3 2 3" xfId="16446"/>
    <cellStyle name="常规 4 3 8 2 3 2 3 2" xfId="21820"/>
    <cellStyle name="常规 4 3 8 2 3 2 3 2 2" xfId="21822"/>
    <cellStyle name="常规 4 3 8 2 3 2 3 2 2 2" xfId="21824"/>
    <cellStyle name="常规 4 3 8 2 3 2 3 2 2 2 2" xfId="21826"/>
    <cellStyle name="常规 4 3 8 2 3 2 3 2 2 3" xfId="19082"/>
    <cellStyle name="常规 4 3 8 2 3 2 3 2 2 4" xfId="15416"/>
    <cellStyle name="常规 4 3 8 2 3 2 3 2 3" xfId="21828"/>
    <cellStyle name="常规 4 3 8 2 3 2 3 2 3 2" xfId="4177"/>
    <cellStyle name="常规 4 3 8 2 3 2 3 2 4" xfId="19908"/>
    <cellStyle name="常规 4 3 8 2 3 2 3 2 5" xfId="21832"/>
    <cellStyle name="常规 4 3 8 2 3 2 3 3" xfId="2614"/>
    <cellStyle name="常规 4 3 8 2 3 2 3 3 2" xfId="21834"/>
    <cellStyle name="常规 4 3 8 2 3 2 3 3 2 2" xfId="21836"/>
    <cellStyle name="常规 4 3 8 2 3 2 3 3 3" xfId="21838"/>
    <cellStyle name="常规 4 3 8 2 3 2 3 3 4" xfId="21840"/>
    <cellStyle name="常规 4 3 8 2 3 2 3 4" xfId="21841"/>
    <cellStyle name="常规 4 3 8 2 3 2 3 4 2" xfId="21843"/>
    <cellStyle name="常规 4 3 8 2 3 2 3 5" xfId="21844"/>
    <cellStyle name="常规 4 3 8 2 3 2 3 6" xfId="16737"/>
    <cellStyle name="常规 4 3 8 2 3 2 4" xfId="21847"/>
    <cellStyle name="常规 4 3 8 2 3 2 4 2" xfId="21850"/>
    <cellStyle name="常规 4 3 8 2 3 2 4 2 2" xfId="21855"/>
    <cellStyle name="常规 4 3 8 2 3 2 4 2 2 2" xfId="21858"/>
    <cellStyle name="常规 4 3 8 2 3 2 4 2 3" xfId="21861"/>
    <cellStyle name="常规 4 3 8 2 3 2 4 2 4" xfId="21864"/>
    <cellStyle name="常规 4 3 8 2 3 2 4 3" xfId="21866"/>
    <cellStyle name="常规 4 3 8 2 3 2 4 3 2" xfId="21869"/>
    <cellStyle name="常规 4 3 8 2 3 2 4 4" xfId="21870"/>
    <cellStyle name="常规 4 3 8 2 3 2 4 5" xfId="21871"/>
    <cellStyle name="常规 4 3 8 2 3 2 5" xfId="21874"/>
    <cellStyle name="常规 4 3 8 2 3 2 5 2" xfId="21876"/>
    <cellStyle name="常规 4 3 8 2 3 2 5 2 2" xfId="21879"/>
    <cellStyle name="常规 4 3 8 2 3 2 5 3" xfId="21880"/>
    <cellStyle name="常规 4 3 8 2 3 2 5 4" xfId="21881"/>
    <cellStyle name="常规 4 3 8 2 3 2 6" xfId="21883"/>
    <cellStyle name="常规 4 3 8 2 3 2 6 2" xfId="21885"/>
    <cellStyle name="常规 4 3 8 2 3 2 7" xfId="21886"/>
    <cellStyle name="常规 4 3 8 2 3 2 8" xfId="21887"/>
    <cellStyle name="常规 4 3 8 2 3 3" xfId="21888"/>
    <cellStyle name="常规 4 3 8 2 3 3 2" xfId="16451"/>
    <cellStyle name="常规 4 3 8 2 3 3 2 2" xfId="21891"/>
    <cellStyle name="常规 4 3 8 2 3 3 2 2 2" xfId="21893"/>
    <cellStyle name="常规 4 3 8 2 3 3 2 2 2 2" xfId="21895"/>
    <cellStyle name="常规 4 3 8 2 3 3 2 2 2 2 2" xfId="21898"/>
    <cellStyle name="常规 4 3 8 2 3 3 2 2 2 3" xfId="19233"/>
    <cellStyle name="常规 4 3 8 2 3 3 2 2 2 4" xfId="19239"/>
    <cellStyle name="常规 4 3 8 2 3 3 2 2 3" xfId="21900"/>
    <cellStyle name="常规 4 3 8 2 3 3 2 2 3 2" xfId="21902"/>
    <cellStyle name="常规 4 3 8 2 3 3 2 2 4" xfId="19924"/>
    <cellStyle name="常规 4 3 8 2 3 3 2 2 5" xfId="21906"/>
    <cellStyle name="常规 4 3 8 2 3 3 2 3" xfId="21907"/>
    <cellStyle name="常规 4 3 8 2 3 3 2 3 2" xfId="21909"/>
    <cellStyle name="常规 4 3 8 2 3 3 2 3 2 2" xfId="2222"/>
    <cellStyle name="常规 4 3 8 2 3 3 2 3 3" xfId="21911"/>
    <cellStyle name="常规 4 3 8 2 3 3 2 3 4" xfId="21913"/>
    <cellStyle name="常规 4 3 8 2 3 3 2 4" xfId="21914"/>
    <cellStyle name="常规 4 3 8 2 3 3 2 4 2" xfId="21916"/>
    <cellStyle name="常规 4 3 8 2 3 3 2 5" xfId="21917"/>
    <cellStyle name="常规 4 3 8 2 3 3 2 6" xfId="21918"/>
    <cellStyle name="常规 4 3 8 2 3 3 3" xfId="21920"/>
    <cellStyle name="常规 4 3 8 2 3 3 3 2" xfId="21921"/>
    <cellStyle name="常规 4 3 8 2 3 3 3 2 2" xfId="21923"/>
    <cellStyle name="常规 4 3 8 2 3 3 3 2 2 2" xfId="18834"/>
    <cellStyle name="常规 4 3 8 2 3 3 3 2 3" xfId="21925"/>
    <cellStyle name="常规 4 3 8 2 3 3 3 2 4" xfId="21927"/>
    <cellStyle name="常规 4 3 8 2 3 3 3 3" xfId="21928"/>
    <cellStyle name="常规 4 3 8 2 3 3 3 3 2" xfId="21930"/>
    <cellStyle name="常规 4 3 8 2 3 3 3 4" xfId="21931"/>
    <cellStyle name="常规 4 3 8 2 3 3 3 5" xfId="21932"/>
    <cellStyle name="常规 4 3 8 2 3 3 4" xfId="21935"/>
    <cellStyle name="常规 4 3 8 2 3 3 4 2" xfId="21937"/>
    <cellStyle name="常规 4 3 8 2 3 3 4 2 2" xfId="21939"/>
    <cellStyle name="常规 4 3 8 2 3 3 4 3" xfId="21940"/>
    <cellStyle name="常规 4 3 8 2 3 3 4 4" xfId="14636"/>
    <cellStyle name="常规 4 3 8 2 3 3 5" xfId="21941"/>
    <cellStyle name="常规 4 3 8 2 3 3 5 2" xfId="21942"/>
    <cellStyle name="常规 4 3 8 2 3 3 6" xfId="21943"/>
    <cellStyle name="常规 4 3 8 2 3 3 7" xfId="21944"/>
    <cellStyle name="常规 4 3 8 2 3 4" xfId="1741"/>
    <cellStyle name="常规 4 3 8 2 3 4 2" xfId="21946"/>
    <cellStyle name="常规 4 3 8 2 3 4 2 2" xfId="21947"/>
    <cellStyle name="常规 4 3 8 2 3 4 2 2 2" xfId="21951"/>
    <cellStyle name="常规 4 3 8 2 3 4 2 2 2 2" xfId="21956"/>
    <cellStyle name="常规 4 3 8 2 3 4 2 2 3" xfId="21961"/>
    <cellStyle name="常规 4 3 8 2 3 4 2 2 4" xfId="21966"/>
    <cellStyle name="常规 4 3 8 2 3 4 2 3" xfId="21968"/>
    <cellStyle name="常规 4 3 8 2 3 4 2 3 2" xfId="21972"/>
    <cellStyle name="常规 4 3 8 2 3 4 2 4" xfId="21974"/>
    <cellStyle name="常规 4 3 8 2 3 4 2 5" xfId="21976"/>
    <cellStyle name="常规 4 3 8 2 3 4 3" xfId="21978"/>
    <cellStyle name="常规 4 3 8 2 3 4 3 2" xfId="21979"/>
    <cellStyle name="常规 4 3 8 2 3 4 3 2 2" xfId="21983"/>
    <cellStyle name="常规 4 3 8 2 3 4 3 3" xfId="21985"/>
    <cellStyle name="常规 4 3 8 2 3 4 3 4" xfId="21986"/>
    <cellStyle name="常规 4 3 8 2 3 4 4" xfId="21987"/>
    <cellStyle name="常规 4 3 8 2 3 4 4 2" xfId="21988"/>
    <cellStyle name="常规 4 3 8 2 3 4 5" xfId="21989"/>
    <cellStyle name="常规 4 3 8 2 3 4 6" xfId="21990"/>
    <cellStyle name="常规 4 3 8 2 3 5" xfId="21992"/>
    <cellStyle name="常规 4 3 8 2 3 5 2" xfId="12981"/>
    <cellStyle name="常规 4 3 8 2 3 5 2 2" xfId="21993"/>
    <cellStyle name="常规 4 3 8 2 3 5 2 2 2" xfId="21997"/>
    <cellStyle name="常规 4 3 8 2 3 5 2 3" xfId="21999"/>
    <cellStyle name="常规 4 3 8 2 3 5 2 4" xfId="22000"/>
    <cellStyle name="常规 4 3 8 2 3 5 3" xfId="16815"/>
    <cellStyle name="常规 4 3 8 2 3 5 3 2" xfId="22001"/>
    <cellStyle name="常规 4 3 8 2 3 5 4" xfId="22002"/>
    <cellStyle name="常规 4 3 8 2 3 5 5" xfId="22003"/>
    <cellStyle name="常规 4 3 8 2 3 6" xfId="22004"/>
    <cellStyle name="常规 4 3 8 2 3 6 2" xfId="22005"/>
    <cellStyle name="常规 4 3 8 2 3 6 2 2" xfId="22007"/>
    <cellStyle name="常规 4 3 8 2 3 6 3" xfId="22009"/>
    <cellStyle name="常规 4 3 8 2 3 6 4" xfId="22011"/>
    <cellStyle name="常规 4 3 8 2 3 7" xfId="22015"/>
    <cellStyle name="常规 4 3 8 2 3 7 2" xfId="22017"/>
    <cellStyle name="常规 4 3 8 2 3 8" xfId="22023"/>
    <cellStyle name="常规 4 3 8 2 3 9" xfId="20617"/>
    <cellStyle name="常规 4 3 8 2 4" xfId="22024"/>
    <cellStyle name="常规 4 3 8 2 4 2" xfId="22025"/>
    <cellStyle name="常规 4 3 8 2 4 2 2" xfId="8680"/>
    <cellStyle name="常规 4 3 8 2 4 2 2 2" xfId="22028"/>
    <cellStyle name="常规 4 3 8 2 4 2 2 2 2" xfId="22030"/>
    <cellStyle name="常规 4 3 8 2 4 2 2 2 2 2" xfId="14538"/>
    <cellStyle name="常规 4 3 8 2 4 2 2 2 2 2 2" xfId="14542"/>
    <cellStyle name="常规 4 3 8 2 4 2 2 2 2 2 2 2" xfId="22032"/>
    <cellStyle name="常规 4 3 8 2 4 2 2 2 2 2 3" xfId="22034"/>
    <cellStyle name="常规 4 3 8 2 4 2 2 2 2 2 4" xfId="22036"/>
    <cellStyle name="常规 4 3 8 2 4 2 2 2 2 3" xfId="14546"/>
    <cellStyle name="常规 4 3 8 2 4 2 2 2 2 3 2" xfId="22038"/>
    <cellStyle name="常规 4 3 8 2 4 2 2 2 2 4" xfId="14551"/>
    <cellStyle name="常规 4 3 8 2 4 2 2 2 2 5" xfId="22040"/>
    <cellStyle name="常规 4 3 8 2 4 2 2 2 3" xfId="1728"/>
    <cellStyle name="常规 4 3 8 2 4 2 2 2 3 2" xfId="14585"/>
    <cellStyle name="常规 4 3 8 2 4 2 2 2 3 2 2" xfId="22042"/>
    <cellStyle name="常规 4 3 8 2 4 2 2 2 3 3" xfId="14589"/>
    <cellStyle name="常规 4 3 8 2 4 2 2 2 3 4" xfId="10133"/>
    <cellStyle name="常规 4 3 8 2 4 2 2 2 4" xfId="22044"/>
    <cellStyle name="常规 4 3 8 2 4 2 2 2 4 2" xfId="14610"/>
    <cellStyle name="常规 4 3 8 2 4 2 2 2 5" xfId="22049"/>
    <cellStyle name="常规 4 3 8 2 4 2 2 2 6" xfId="22053"/>
    <cellStyle name="常规 4 3 8 2 4 2 2 3" xfId="22054"/>
    <cellStyle name="常规 4 3 8 2 4 2 2 3 2" xfId="22056"/>
    <cellStyle name="常规 4 3 8 2 4 2 2 3 2 2" xfId="15187"/>
    <cellStyle name="常规 4 3 8 2 4 2 2 3 2 2 2" xfId="22058"/>
    <cellStyle name="常规 4 3 8 2 4 2 2 3 2 3" xfId="15191"/>
    <cellStyle name="常规 4 3 8 2 4 2 2 3 2 4" xfId="22060"/>
    <cellStyle name="常规 4 3 8 2 4 2 2 3 3" xfId="21207"/>
    <cellStyle name="常规 4 3 8 2 4 2 2 3 3 2" xfId="15208"/>
    <cellStyle name="常规 4 3 8 2 4 2 2 3 4" xfId="1545"/>
    <cellStyle name="常规 4 3 8 2 4 2 2 3 5" xfId="1570"/>
    <cellStyle name="常规 4 3 8 2 4 2 2 4" xfId="22061"/>
    <cellStyle name="常规 4 3 8 2 4 2 2 4 2" xfId="22063"/>
    <cellStyle name="常规 4 3 8 2 4 2 2 4 2 2" xfId="15697"/>
    <cellStyle name="常规 4 3 8 2 4 2 2 4 3" xfId="21367"/>
    <cellStyle name="常规 4 3 8 2 4 2 2 4 4" xfId="1587"/>
    <cellStyle name="常规 4 3 8 2 4 2 2 5" xfId="22064"/>
    <cellStyle name="常规 4 3 8 2 4 2 2 5 2" xfId="22066"/>
    <cellStyle name="常规 4 3 8 2 4 2 2 6" xfId="22067"/>
    <cellStyle name="常规 4 3 8 2 4 2 2 7" xfId="22069"/>
    <cellStyle name="常规 4 3 8 2 4 2 3" xfId="13800"/>
    <cellStyle name="常规 4 3 8 2 4 2 3 2" xfId="13802"/>
    <cellStyle name="常规 4 3 8 2 4 2 3 2 2" xfId="8323"/>
    <cellStyle name="常规 4 3 8 2 4 2 3 2 2 2" xfId="8326"/>
    <cellStyle name="常规 4 3 8 2 4 2 3 2 2 2 2" xfId="22071"/>
    <cellStyle name="常规 4 3 8 2 4 2 3 2 2 3" xfId="16681"/>
    <cellStyle name="常规 4 3 8 2 4 2 3 2 2 4" xfId="4308"/>
    <cellStyle name="常规 4 3 8 2 4 2 3 2 3" xfId="8330"/>
    <cellStyle name="常规 4 3 8 2 4 2 3 2 3 2" xfId="22074"/>
    <cellStyle name="常规 4 3 8 2 4 2 3 2 4" xfId="8333"/>
    <cellStyle name="常规 4 3 8 2 4 2 3 2 5" xfId="22078"/>
    <cellStyle name="常规 4 3 8 2 4 2 3 3" xfId="22079"/>
    <cellStyle name="常规 4 3 8 2 4 2 3 3 2" xfId="8392"/>
    <cellStyle name="常规 4 3 8 2 4 2 3 3 2 2" xfId="16442"/>
    <cellStyle name="常规 4 3 8 2 4 2 3 3 3" xfId="8396"/>
    <cellStyle name="常规 4 3 8 2 4 2 3 3 4" xfId="16445"/>
    <cellStyle name="常规 4 3 8 2 4 2 3 4" xfId="22080"/>
    <cellStyle name="常规 4 3 8 2 4 2 3 4 2" xfId="8412"/>
    <cellStyle name="常规 4 3 8 2 4 2 3 5" xfId="22081"/>
    <cellStyle name="常规 4 3 8 2 4 2 3 6" xfId="16812"/>
    <cellStyle name="常规 4 3 8 2 4 2 4" xfId="13806"/>
    <cellStyle name="常规 4 3 8 2 4 2 4 2" xfId="22083"/>
    <cellStyle name="常规 4 3 8 2 4 2 4 2 2" xfId="8585"/>
    <cellStyle name="常规 4 3 8 2 4 2 4 2 2 2" xfId="8588"/>
    <cellStyle name="常规 4 3 8 2 4 2 4 2 3" xfId="8593"/>
    <cellStyle name="常规 4 3 8 2 4 2 4 2 4" xfId="8596"/>
    <cellStyle name="常规 4 3 8 2 4 2 4 3" xfId="22084"/>
    <cellStyle name="常规 4 3 8 2 4 2 4 3 2" xfId="8675"/>
    <cellStyle name="常规 4 3 8 2 4 2 4 4" xfId="22085"/>
    <cellStyle name="常规 4 3 8 2 4 2 4 5" xfId="22086"/>
    <cellStyle name="常规 4 3 8 2 4 2 5" xfId="11284"/>
    <cellStyle name="常规 4 3 8 2 4 2 5 2" xfId="22087"/>
    <cellStyle name="常规 4 3 8 2 4 2 5 2 2" xfId="8788"/>
    <cellStyle name="常规 4 3 8 2 4 2 5 3" xfId="22088"/>
    <cellStyle name="常规 4 3 8 2 4 2 5 4" xfId="22090"/>
    <cellStyle name="常规 4 3 8 2 4 2 6" xfId="22091"/>
    <cellStyle name="常规 4 3 8 2 4 2 6 2" xfId="22092"/>
    <cellStyle name="常规 4 3 8 2 4 2 7" xfId="22093"/>
    <cellStyle name="常规 4 3 8 2 4 2 8" xfId="22094"/>
    <cellStyle name="常规 4 3 8 2 4 3" xfId="22095"/>
    <cellStyle name="常规 4 3 8 2 4 3 2" xfId="279"/>
    <cellStyle name="常规 4 3 8 2 4 3 2 2" xfId="22096"/>
    <cellStyle name="常规 4 3 8 2 4 3 2 2 2" xfId="22098"/>
    <cellStyle name="常规 4 3 8 2 4 3 2 2 2 2" xfId="17523"/>
    <cellStyle name="常规 4 3 8 2 4 3 2 2 2 2 2" xfId="22101"/>
    <cellStyle name="常规 4 3 8 2 4 3 2 2 2 3" xfId="22103"/>
    <cellStyle name="常规 4 3 8 2 4 3 2 2 2 4" xfId="22105"/>
    <cellStyle name="常规 4 3 8 2 4 3 2 2 3" xfId="22107"/>
    <cellStyle name="常规 4 3 8 2 4 3 2 2 3 2" xfId="22109"/>
    <cellStyle name="常规 4 3 8 2 4 3 2 2 4" xfId="22111"/>
    <cellStyle name="常规 4 3 8 2 4 3 2 2 5" xfId="22115"/>
    <cellStyle name="常规 4 3 8 2 4 3 2 3" xfId="22116"/>
    <cellStyle name="常规 4 3 8 2 4 3 2 3 2" xfId="22118"/>
    <cellStyle name="常规 4 3 8 2 4 3 2 3 2 2" xfId="22120"/>
    <cellStyle name="常规 4 3 8 2 4 3 2 3 3" xfId="22123"/>
    <cellStyle name="常规 4 3 8 2 4 3 2 3 4" xfId="1603"/>
    <cellStyle name="常规 4 3 8 2 4 3 2 4" xfId="22124"/>
    <cellStyle name="常规 4 3 8 2 4 3 2 4 2" xfId="22126"/>
    <cellStyle name="常规 4 3 8 2 4 3 2 5" xfId="22127"/>
    <cellStyle name="常规 4 3 8 2 4 3 2 6" xfId="22128"/>
    <cellStyle name="常规 4 3 8 2 4 3 3" xfId="206"/>
    <cellStyle name="常规 4 3 8 2 4 3 3 2" xfId="22129"/>
    <cellStyle name="常规 4 3 8 2 4 3 3 2 2" xfId="9119"/>
    <cellStyle name="常规 4 3 8 2 4 3 3 2 2 2" xfId="9122"/>
    <cellStyle name="常规 4 3 8 2 4 3 3 2 3" xfId="9125"/>
    <cellStyle name="常规 4 3 8 2 4 3 3 2 4" xfId="9128"/>
    <cellStyle name="常规 4 3 8 2 4 3 3 3" xfId="22130"/>
    <cellStyle name="常规 4 3 8 2 4 3 3 3 2" xfId="9193"/>
    <cellStyle name="常规 4 3 8 2 4 3 3 4" xfId="22131"/>
    <cellStyle name="常规 4 3 8 2 4 3 3 5" xfId="22132"/>
    <cellStyle name="常规 4 3 8 2 4 3 4" xfId="22133"/>
    <cellStyle name="常规 4 3 8 2 4 3 4 2" xfId="22134"/>
    <cellStyle name="常规 4 3 8 2 4 3 4 2 2" xfId="9309"/>
    <cellStyle name="常规 4 3 8 2 4 3 4 3" xfId="22135"/>
    <cellStyle name="常规 4 3 8 2 4 3 4 4" xfId="14745"/>
    <cellStyle name="常规 4 3 8 2 4 3 5" xfId="22136"/>
    <cellStyle name="常规 4 3 8 2 4 3 5 2" xfId="22137"/>
    <cellStyle name="常规 4 3 8 2 4 3 6" xfId="22138"/>
    <cellStyle name="常规 4 3 8 2 4 3 7" xfId="22139"/>
    <cellStyle name="常规 4 3 8 2 4 4" xfId="22140"/>
    <cellStyle name="常规 4 3 8 2 4 4 2" xfId="963"/>
    <cellStyle name="常规 4 3 8 2 4 4 2 2" xfId="22141"/>
    <cellStyle name="常规 4 3 8 2 4 4 2 2 2" xfId="22143"/>
    <cellStyle name="常规 4 3 8 2 4 4 2 2 2 2" xfId="22146"/>
    <cellStyle name="常规 4 3 8 2 4 4 2 2 3" xfId="22149"/>
    <cellStyle name="常规 4 3 8 2 4 4 2 2 4" xfId="22152"/>
    <cellStyle name="常规 4 3 8 2 4 4 2 3" xfId="22154"/>
    <cellStyle name="常规 4 3 8 2 4 4 2 3 2" xfId="22156"/>
    <cellStyle name="常规 4 3 8 2 4 4 2 4" xfId="22158"/>
    <cellStyle name="常规 4 3 8 2 4 4 2 5" xfId="22160"/>
    <cellStyle name="常规 4 3 8 2 4 4 3" xfId="22161"/>
    <cellStyle name="常规 4 3 8 2 4 4 3 2" xfId="22162"/>
    <cellStyle name="常规 4 3 8 2 4 4 3 2 2" xfId="9516"/>
    <cellStyle name="常规 4 3 8 2 4 4 3 3" xfId="22163"/>
    <cellStyle name="常规 4 3 8 2 4 4 3 4" xfId="18859"/>
    <cellStyle name="常规 4 3 8 2 4 4 4" xfId="22164"/>
    <cellStyle name="常规 4 3 8 2 4 4 4 2" xfId="22165"/>
    <cellStyle name="常规 4 3 8 2 4 4 5" xfId="22166"/>
    <cellStyle name="常规 4 3 8 2 4 4 6" xfId="22167"/>
    <cellStyle name="常规 4 3 8 2 4 5" xfId="22168"/>
    <cellStyle name="常规 4 3 8 2 4 5 2" xfId="22169"/>
    <cellStyle name="常规 4 3 8 2 4 5 2 2" xfId="18739"/>
    <cellStyle name="常规 4 3 8 2 4 5 2 2 2" xfId="22171"/>
    <cellStyle name="常规 4 3 8 2 4 5 2 3" xfId="22173"/>
    <cellStyle name="常规 4 3 8 2 4 5 2 4" xfId="22174"/>
    <cellStyle name="常规 4 3 8 2 4 5 3" xfId="22175"/>
    <cellStyle name="常规 4 3 8 2 4 5 3 2" xfId="22176"/>
    <cellStyle name="常规 4 3 8 2 4 5 4" xfId="22177"/>
    <cellStyle name="常规 4 3 8 2 4 5 5" xfId="22178"/>
    <cellStyle name="常规 4 3 8 2 4 6" xfId="22179"/>
    <cellStyle name="常规 4 3 8 2 4 6 2" xfId="22180"/>
    <cellStyle name="常规 4 3 8 2 4 6 2 2" xfId="22182"/>
    <cellStyle name="常规 4 3 8 2 4 6 3" xfId="22184"/>
    <cellStyle name="常规 4 3 8 2 4 6 4" xfId="22186"/>
    <cellStyle name="常规 4 3 8 2 4 7" xfId="22190"/>
    <cellStyle name="常规 4 3 8 2 4 7 2" xfId="22191"/>
    <cellStyle name="常规 4 3 8 2 4 8" xfId="22193"/>
    <cellStyle name="常规 4 3 8 2 4 9" xfId="22194"/>
    <cellStyle name="常规 4 3 8 2 5" xfId="22195"/>
    <cellStyle name="常规 4 3 8 2 5 2" xfId="22196"/>
    <cellStyle name="常规 4 3 8 2 5 2 2" xfId="22198"/>
    <cellStyle name="常规 4 3 8 2 5 2 2 2" xfId="22199"/>
    <cellStyle name="常规 4 3 8 2 5 2 2 2 2" xfId="22201"/>
    <cellStyle name="常规 4 3 8 2 5 2 2 2 2 2" xfId="22203"/>
    <cellStyle name="常规 4 3 8 2 5 2 2 2 2 2 2" xfId="22205"/>
    <cellStyle name="常规 4 3 8 2 5 2 2 2 2 3" xfId="14385"/>
    <cellStyle name="常规 4 3 8 2 5 2 2 2 2 4" xfId="14391"/>
    <cellStyle name="常规 4 3 8 2 5 2 2 2 3" xfId="22207"/>
    <cellStyle name="常规 4 3 8 2 5 2 2 2 3 2" xfId="22209"/>
    <cellStyle name="常规 4 3 8 2 5 2 2 2 4" xfId="22211"/>
    <cellStyle name="常规 4 3 8 2 5 2 2 2 5" xfId="13395"/>
    <cellStyle name="常规 4 3 8 2 5 2 2 3" xfId="22212"/>
    <cellStyle name="常规 4 3 8 2 5 2 2 3 2" xfId="22215"/>
    <cellStyle name="常规 4 3 8 2 5 2 2 3 2 2" xfId="22217"/>
    <cellStyle name="常规 4 3 8 2 5 2 2 3 3" xfId="22221"/>
    <cellStyle name="常规 4 3 8 2 5 2 2 3 4" xfId="22224"/>
    <cellStyle name="常规 4 3 8 2 5 2 2 4" xfId="22225"/>
    <cellStyle name="常规 4 3 8 2 5 2 2 4 2" xfId="22228"/>
    <cellStyle name="常规 4 3 8 2 5 2 2 5" xfId="22229"/>
    <cellStyle name="常规 4 3 8 2 5 2 2 6" xfId="815"/>
    <cellStyle name="常规 4 3 8 2 5 2 3" xfId="13816"/>
    <cellStyle name="常规 4 3 8 2 5 2 3 2" xfId="22230"/>
    <cellStyle name="常规 4 3 8 2 5 2 3 2 2" xfId="22234"/>
    <cellStyle name="常规 4 3 8 2 5 2 3 2 2 2" xfId="16188"/>
    <cellStyle name="常规 4 3 8 2 5 2 3 2 3" xfId="22238"/>
    <cellStyle name="常规 4 3 8 2 5 2 3 2 4" xfId="1842"/>
    <cellStyle name="常规 4 3 8 2 5 2 3 3" xfId="22239"/>
    <cellStyle name="常规 4 3 8 2 5 2 3 3 2" xfId="22244"/>
    <cellStyle name="常规 4 3 8 2 5 2 3 4" xfId="22245"/>
    <cellStyle name="常规 4 3 8 2 5 2 3 5" xfId="22246"/>
    <cellStyle name="常规 4 3 8 2 5 2 4" xfId="6317"/>
    <cellStyle name="常规 4 3 8 2 5 2 4 2" xfId="6319"/>
    <cellStyle name="常规 4 3 8 2 5 2 4 2 2" xfId="4299"/>
    <cellStyle name="常规 4 3 8 2 5 2 4 3" xfId="6321"/>
    <cellStyle name="常规 4 3 8 2 5 2 4 4" xfId="6325"/>
    <cellStyle name="常规 4 3 8 2 5 2 5" xfId="4121"/>
    <cellStyle name="常规 4 3 8 2 5 2 5 2" xfId="6330"/>
    <cellStyle name="常规 4 3 8 2 5 2 6" xfId="6339"/>
    <cellStyle name="常规 4 3 8 2 5 2 7" xfId="5701"/>
    <cellStyle name="常规 4 3 8 2 5 3" xfId="22247"/>
    <cellStyle name="常规 4 3 8 2 5 3 2" xfId="7342"/>
    <cellStyle name="常规 4 3 8 2 5 3 2 2" xfId="22248"/>
    <cellStyle name="常规 4 3 8 2 5 3 2 2 2" xfId="22250"/>
    <cellStyle name="常规 4 3 8 2 5 3 2 2 2 2" xfId="22252"/>
    <cellStyle name="常规 4 3 8 2 5 3 2 2 3" xfId="22254"/>
    <cellStyle name="常规 4 3 8 2 5 3 2 2 4" xfId="22256"/>
    <cellStyle name="常规 4 3 8 2 5 3 2 3" xfId="22257"/>
    <cellStyle name="常规 4 3 8 2 5 3 2 3 2" xfId="22259"/>
    <cellStyle name="常规 4 3 8 2 5 3 2 4" xfId="22260"/>
    <cellStyle name="常规 4 3 8 2 5 3 2 5" xfId="22261"/>
    <cellStyle name="常规 4 3 8 2 5 3 3" xfId="22262"/>
    <cellStyle name="常规 4 3 8 2 5 3 3 2" xfId="14833"/>
    <cellStyle name="常规 4 3 8 2 5 3 3 2 2" xfId="22266"/>
    <cellStyle name="常规 4 3 8 2 5 3 3 3" xfId="22267"/>
    <cellStyle name="常规 4 3 8 2 5 3 3 4" xfId="22268"/>
    <cellStyle name="常规 4 3 8 2 5 3 4" xfId="6346"/>
    <cellStyle name="常规 4 3 8 2 5 3 4 2" xfId="2762"/>
    <cellStyle name="常规 4 3 8 2 5 3 5" xfId="6360"/>
    <cellStyle name="常规 4 3 8 2 5 3 6" xfId="6379"/>
    <cellStyle name="常规 4 3 8 2 5 4" xfId="22269"/>
    <cellStyle name="常规 4 3 8 2 5 4 2" xfId="22270"/>
    <cellStyle name="常规 4 3 8 2 5 4 2 2" xfId="22271"/>
    <cellStyle name="常规 4 3 8 2 5 4 2 2 2" xfId="22274"/>
    <cellStyle name="常规 4 3 8 2 5 4 2 3" xfId="22276"/>
    <cellStyle name="常规 4 3 8 2 5 4 2 4" xfId="22277"/>
    <cellStyle name="常规 4 3 8 2 5 4 3" xfId="22278"/>
    <cellStyle name="常规 4 3 8 2 5 4 3 2" xfId="22279"/>
    <cellStyle name="常规 4 3 8 2 5 4 4" xfId="6389"/>
    <cellStyle name="常规 4 3 8 2 5 4 5" xfId="6400"/>
    <cellStyle name="常规 4 3 8 2 5 5" xfId="22280"/>
    <cellStyle name="常规 4 3 8 2 5 5 2" xfId="22281"/>
    <cellStyle name="常规 4 3 8 2 5 5 2 2" xfId="22282"/>
    <cellStyle name="常规 4 3 8 2 5 5 3" xfId="22283"/>
    <cellStyle name="常规 4 3 8 2 5 5 4" xfId="6406"/>
    <cellStyle name="常规 4 3 8 2 5 6" xfId="22284"/>
    <cellStyle name="常规 4 3 8 2 5 6 2" xfId="22285"/>
    <cellStyle name="常规 4 3 8 2 5 7" xfId="22287"/>
    <cellStyle name="常规 4 3 8 2 5 8" xfId="22288"/>
    <cellStyle name="常规 4 3 8 2 6" xfId="22289"/>
    <cellStyle name="常规 4 3 8 2 6 2" xfId="22290"/>
    <cellStyle name="常规 4 3 8 2 6 2 2" xfId="22292"/>
    <cellStyle name="常规 4 3 8 2 6 2 2 2" xfId="22293"/>
    <cellStyle name="常规 4 3 8 2 6 2 2 2 2" xfId="22295"/>
    <cellStyle name="常规 4 3 8 2 6 2 2 2 2 2" xfId="22297"/>
    <cellStyle name="常规 4 3 8 2 6 2 2 2 3" xfId="22299"/>
    <cellStyle name="常规 4 3 8 2 6 2 2 2 4" xfId="22301"/>
    <cellStyle name="常规 4 3 8 2 6 2 2 3" xfId="22302"/>
    <cellStyle name="常规 4 3 8 2 6 2 2 3 2" xfId="22304"/>
    <cellStyle name="常规 4 3 8 2 6 2 2 4" xfId="22305"/>
    <cellStyle name="常规 4 3 8 2 6 2 2 5" xfId="1542"/>
    <cellStyle name="常规 4 3 8 2 6 2 3" xfId="22306"/>
    <cellStyle name="常规 4 3 8 2 6 2 3 2" xfId="22307"/>
    <cellStyle name="常规 4 3 8 2 6 2 3 2 2" xfId="16560"/>
    <cellStyle name="常规 4 3 8 2 6 2 3 3" xfId="22308"/>
    <cellStyle name="常规 4 3 8 2 6 2 3 4" xfId="22309"/>
    <cellStyle name="常规 4 3 8 2 6 2 4" xfId="6493"/>
    <cellStyle name="常规 4 3 8 2 6 2 4 2" xfId="6496"/>
    <cellStyle name="常规 4 3 8 2 6 2 5" xfId="6515"/>
    <cellStyle name="常规 4 3 8 2 6 2 6" xfId="6523"/>
    <cellStyle name="常规 4 3 8 2 6 3" xfId="22310"/>
    <cellStyle name="常规 4 3 8 2 6 3 2" xfId="22311"/>
    <cellStyle name="常规 4 3 8 2 6 3 2 2" xfId="22312"/>
    <cellStyle name="常规 4 3 8 2 6 3 2 2 2" xfId="22314"/>
    <cellStyle name="常规 4 3 8 2 6 3 2 3" xfId="22315"/>
    <cellStyle name="常规 4 3 8 2 6 3 2 4" xfId="22316"/>
    <cellStyle name="常规 4 3 8 2 6 3 3" xfId="22317"/>
    <cellStyle name="常规 4 3 8 2 6 3 3 2" xfId="22318"/>
    <cellStyle name="常规 4 3 8 2 6 3 4" xfId="3454"/>
    <cellStyle name="常规 4 3 8 2 6 3 5" xfId="3497"/>
    <cellStyle name="常规 4 3 8 2 6 4" xfId="22319"/>
    <cellStyle name="常规 4 3 8 2 6 4 2" xfId="22320"/>
    <cellStyle name="常规 4 3 8 2 6 4 2 2" xfId="22321"/>
    <cellStyle name="常规 4 3 8 2 6 4 3" xfId="22322"/>
    <cellStyle name="常规 4 3 8 2 6 4 4" xfId="2050"/>
    <cellStyle name="常规 4 3 8 2 6 5" xfId="22323"/>
    <cellStyle name="常规 4 3 8 2 6 5 2" xfId="22324"/>
    <cellStyle name="常规 4 3 8 2 6 6" xfId="22325"/>
    <cellStyle name="常规 4 3 8 2 6 7" xfId="22326"/>
    <cellStyle name="常规 4 3 8 2 7" xfId="22327"/>
    <cellStyle name="常规 4 3 8 2 7 2" xfId="22328"/>
    <cellStyle name="常规 4 3 8 2 7 2 2" xfId="22329"/>
    <cellStyle name="常规 4 3 8 2 7 2 2 2" xfId="22330"/>
    <cellStyle name="常规 4 3 8 2 7 2 2 2 2" xfId="22333"/>
    <cellStyle name="常规 4 3 8 2 7 2 2 3" xfId="22334"/>
    <cellStyle name="常规 4 3 8 2 7 2 2 4" xfId="22335"/>
    <cellStyle name="常规 4 3 8 2 7 2 3" xfId="22336"/>
    <cellStyle name="常规 4 3 8 2 7 2 3 2" xfId="22337"/>
    <cellStyle name="常规 4 3 8 2 7 2 4" xfId="6612"/>
    <cellStyle name="常规 4 3 8 2 7 2 5" xfId="6624"/>
    <cellStyle name="常规 4 3 8 2 7 3" xfId="22338"/>
    <cellStyle name="常规 4 3 8 2 7 3 2" xfId="22339"/>
    <cellStyle name="常规 4 3 8 2 7 3 2 2" xfId="22340"/>
    <cellStyle name="常规 4 3 8 2 7 3 3" xfId="557"/>
    <cellStyle name="常规 4 3 8 2 7 3 4" xfId="3831"/>
    <cellStyle name="常规 4 3 8 2 7 4" xfId="22341"/>
    <cellStyle name="常规 4 3 8 2 7 4 2" xfId="22342"/>
    <cellStyle name="常规 4 3 8 2 7 5" xfId="22343"/>
    <cellStyle name="常规 4 3 8 2 7 6" xfId="22344"/>
    <cellStyle name="常规 4 3 8 2 8" xfId="22345"/>
    <cellStyle name="常规 4 3 8 2 8 2" xfId="22346"/>
    <cellStyle name="常规 4 3 8 2 8 2 2" xfId="22347"/>
    <cellStyle name="常规 4 3 8 2 8 2 2 2" xfId="22349"/>
    <cellStyle name="常规 4 3 8 2 8 2 3" xfId="22350"/>
    <cellStyle name="常规 4 3 8 2 8 2 4" xfId="2217"/>
    <cellStyle name="常规 4 3 8 2 8 3" xfId="22351"/>
    <cellStyle name="常规 4 3 8 2 8 3 2" xfId="22352"/>
    <cellStyle name="常规 4 3 8 2 8 4" xfId="22354"/>
    <cellStyle name="常规 4 3 8 2 8 5" xfId="22355"/>
    <cellStyle name="常规 4 3 8 2 9" xfId="22356"/>
    <cellStyle name="常规 4 3 8 2 9 2" xfId="22357"/>
    <cellStyle name="常规 4 3 8 2 9 2 2" xfId="3067"/>
    <cellStyle name="常规 4 3 8 2 9 3" xfId="22358"/>
    <cellStyle name="常规 4 3 8 2 9 4" xfId="22359"/>
    <cellStyle name="常规 4 3 8 3" xfId="22362"/>
    <cellStyle name="常规 4 3 8 3 10" xfId="22363"/>
    <cellStyle name="常规 4 3 8 3 11" xfId="22364"/>
    <cellStyle name="常规 4 3 8 3 2" xfId="22366"/>
    <cellStyle name="常规 4 3 8 3 2 2" xfId="22367"/>
    <cellStyle name="常规 4 3 8 3 2 2 2" xfId="22122"/>
    <cellStyle name="常规 4 3 8 3 2 2 2 2" xfId="22369"/>
    <cellStyle name="常规 4 3 8 3 2 2 2 2 2" xfId="22372"/>
    <cellStyle name="常规 4 3 8 3 2 2 2 2 2 2" xfId="22373"/>
    <cellStyle name="常规 4 3 8 3 2 2 2 2 2 2 2" xfId="22374"/>
    <cellStyle name="常规 4 3 8 3 2 2 2 2 2 2 2 2" xfId="22375"/>
    <cellStyle name="常规 4 3 8 3 2 2 2 2 2 2 3" xfId="22376"/>
    <cellStyle name="常规 4 3 8 3 2 2 2 2 2 2 4" xfId="22377"/>
    <cellStyle name="常规 4 3 8 3 2 2 2 2 2 3" xfId="22378"/>
    <cellStyle name="常规 4 3 8 3 2 2 2 2 2 3 2" xfId="13837"/>
    <cellStyle name="常规 4 3 8 3 2 2 2 2 2 4" xfId="19846"/>
    <cellStyle name="常规 4 3 8 3 2 2 2 2 2 5" xfId="22379"/>
    <cellStyle name="常规 4 3 8 3 2 2 2 2 3" xfId="22382"/>
    <cellStyle name="常规 4 3 8 3 2 2 2 2 3 2" xfId="21975"/>
    <cellStyle name="常规 4 3 8 3 2 2 2 2 3 2 2" xfId="22385"/>
    <cellStyle name="常规 4 3 8 3 2 2 2 2 3 3" xfId="22389"/>
    <cellStyle name="常规 4 3 8 3 2 2 2 2 3 4" xfId="22391"/>
    <cellStyle name="常规 4 3 8 3 2 2 2 2 4" xfId="22392"/>
    <cellStyle name="常规 4 3 8 3 2 2 2 2 4 2" xfId="22393"/>
    <cellStyle name="常规 4 3 8 3 2 2 2 2 5" xfId="22394"/>
    <cellStyle name="常规 4 3 8 3 2 2 2 2 6" xfId="22396"/>
    <cellStyle name="常规 4 3 8 3 2 2 2 3" xfId="22397"/>
    <cellStyle name="常规 4 3 8 3 2 2 2 3 2" xfId="2705"/>
    <cellStyle name="常规 4 3 8 3 2 2 2 3 2 2" xfId="2706"/>
    <cellStyle name="常规 4 3 8 3 2 2 2 3 2 2 2" xfId="18257"/>
    <cellStyle name="常规 4 3 8 3 2 2 2 3 2 3" xfId="21228"/>
    <cellStyle name="常规 4 3 8 3 2 2 2 3 2 4" xfId="21230"/>
    <cellStyle name="常规 4 3 8 3 2 2 2 3 3" xfId="2708"/>
    <cellStyle name="常规 4 3 8 3 2 2 2 3 3 2" xfId="22399"/>
    <cellStyle name="常规 4 3 8 3 2 2 2 3 4" xfId="2710"/>
    <cellStyle name="常规 4 3 8 3 2 2 2 3 5" xfId="12469"/>
    <cellStyle name="常规 4 3 8 3 2 2 2 4" xfId="22402"/>
    <cellStyle name="常规 4 3 8 3 2 2 2 4 2" xfId="2722"/>
    <cellStyle name="常规 4 3 8 3 2 2 2 4 2 2" xfId="2725"/>
    <cellStyle name="常规 4 3 8 3 2 2 2 4 3" xfId="2729"/>
    <cellStyle name="常规 4 3 8 3 2 2 2 4 4" xfId="2733"/>
    <cellStyle name="常规 4 3 8 3 2 2 2 5" xfId="22403"/>
    <cellStyle name="常规 4 3 8 3 2 2 2 5 2" xfId="2741"/>
    <cellStyle name="常规 4 3 8 3 2 2 2 6" xfId="22405"/>
    <cellStyle name="常规 4 3 8 3 2 2 2 7" xfId="22406"/>
    <cellStyle name="常规 4 3 8 3 2 2 3" xfId="1602"/>
    <cellStyle name="常规 4 3 8 3 2 2 3 2" xfId="22407"/>
    <cellStyle name="常规 4 3 8 3 2 2 3 2 2" xfId="22410"/>
    <cellStyle name="常规 4 3 8 3 2 2 3 2 2 2" xfId="22411"/>
    <cellStyle name="常规 4 3 8 3 2 2 3 2 2 2 2" xfId="21107"/>
    <cellStyle name="常规 4 3 8 3 2 2 3 2 2 3" xfId="22412"/>
    <cellStyle name="常规 4 3 8 3 2 2 3 2 2 4" xfId="22414"/>
    <cellStyle name="常规 4 3 8 3 2 2 3 2 3" xfId="22415"/>
    <cellStyle name="常规 4 3 8 3 2 2 3 2 3 2" xfId="22159"/>
    <cellStyle name="常规 4 3 8 3 2 2 3 2 4" xfId="22416"/>
    <cellStyle name="常规 4 3 8 3 2 2 3 2 5" xfId="22417"/>
    <cellStyle name="常规 4 3 8 3 2 2 3 3" xfId="22418"/>
    <cellStyle name="常规 4 3 8 3 2 2 3 3 2" xfId="22419"/>
    <cellStyle name="常规 4 3 8 3 2 2 3 3 2 2" xfId="22420"/>
    <cellStyle name="常规 4 3 8 3 2 2 3 3 3" xfId="22421"/>
    <cellStyle name="常规 4 3 8 3 2 2 3 3 4" xfId="22422"/>
    <cellStyle name="常规 4 3 8 3 2 2 3 4" xfId="22423"/>
    <cellStyle name="常规 4 3 8 3 2 2 3 4 2" xfId="22424"/>
    <cellStyle name="常规 4 3 8 3 2 2 3 5" xfId="22425"/>
    <cellStyle name="常规 4 3 8 3 2 2 3 6" xfId="22426"/>
    <cellStyle name="常规 4 3 8 3 2 2 4" xfId="1610"/>
    <cellStyle name="常规 4 3 8 3 2 2 4 2" xfId="22427"/>
    <cellStyle name="常规 4 3 8 3 2 2 4 2 2" xfId="22429"/>
    <cellStyle name="常规 4 3 8 3 2 2 4 2 2 2" xfId="22430"/>
    <cellStyle name="常规 4 3 8 3 2 2 4 2 3" xfId="22431"/>
    <cellStyle name="常规 4 3 8 3 2 2 4 2 4" xfId="22432"/>
    <cellStyle name="常规 4 3 8 3 2 2 4 3" xfId="22434"/>
    <cellStyle name="常规 4 3 8 3 2 2 4 3 2" xfId="22435"/>
    <cellStyle name="常规 4 3 8 3 2 2 4 4" xfId="15933"/>
    <cellStyle name="常规 4 3 8 3 2 2 4 5" xfId="5854"/>
    <cellStyle name="常规 4 3 8 3 2 2 5" xfId="113"/>
    <cellStyle name="常规 4 3 8 3 2 2 5 2" xfId="3276"/>
    <cellStyle name="常规 4 3 8 3 2 2 5 2 2" xfId="3281"/>
    <cellStyle name="常规 4 3 8 3 2 2 5 3" xfId="3318"/>
    <cellStyle name="常规 4 3 8 3 2 2 5 4" xfId="3351"/>
    <cellStyle name="常规 4 3 8 3 2 2 6" xfId="22436"/>
    <cellStyle name="常规 4 3 8 3 2 2 6 2" xfId="3685"/>
    <cellStyle name="常规 4 3 8 3 2 2 7" xfId="22438"/>
    <cellStyle name="常规 4 3 8 3 2 2 8" xfId="22439"/>
    <cellStyle name="常规 4 3 8 3 2 3" xfId="22441"/>
    <cellStyle name="常规 4 3 8 3 2 3 2" xfId="22444"/>
    <cellStyle name="常规 4 3 8 3 2 3 2 2" xfId="22445"/>
    <cellStyle name="常规 4 3 8 3 2 3 2 2 2" xfId="20715"/>
    <cellStyle name="常规 4 3 8 3 2 3 2 2 2 2" xfId="22446"/>
    <cellStyle name="常规 4 3 8 3 2 3 2 2 2 2 2" xfId="22447"/>
    <cellStyle name="常规 4 3 8 3 2 3 2 2 2 3" xfId="22448"/>
    <cellStyle name="常规 4 3 8 3 2 3 2 2 2 4" xfId="22450"/>
    <cellStyle name="常规 4 3 8 3 2 3 2 2 3" xfId="20717"/>
    <cellStyle name="常规 4 3 8 3 2 3 2 2 3 2" xfId="22452"/>
    <cellStyle name="常规 4 3 8 3 2 3 2 2 4" xfId="22453"/>
    <cellStyle name="常规 4 3 8 3 2 3 2 2 5" xfId="6044"/>
    <cellStyle name="常规 4 3 8 3 2 3 2 3" xfId="22454"/>
    <cellStyle name="常规 4 3 8 3 2 3 2 3 2" xfId="22455"/>
    <cellStyle name="常规 4 3 8 3 2 3 2 3 2 2" xfId="22456"/>
    <cellStyle name="常规 4 3 8 3 2 3 2 3 3" xfId="22457"/>
    <cellStyle name="常规 4 3 8 3 2 3 2 3 4" xfId="22458"/>
    <cellStyle name="常规 4 3 8 3 2 3 2 4" xfId="22459"/>
    <cellStyle name="常规 4 3 8 3 2 3 2 4 2" xfId="22461"/>
    <cellStyle name="常规 4 3 8 3 2 3 2 5" xfId="22462"/>
    <cellStyle name="常规 4 3 8 3 2 3 2 6" xfId="22463"/>
    <cellStyle name="常规 4 3 8 3 2 3 3" xfId="22465"/>
    <cellStyle name="常规 4 3 8 3 2 3 3 2" xfId="22466"/>
    <cellStyle name="常规 4 3 8 3 2 3 3 2 2" xfId="22467"/>
    <cellStyle name="常规 4 3 8 3 2 3 3 2 2 2" xfId="22468"/>
    <cellStyle name="常规 4 3 8 3 2 3 3 2 3" xfId="22469"/>
    <cellStyle name="常规 4 3 8 3 2 3 3 2 4" xfId="22470"/>
    <cellStyle name="常规 4 3 8 3 2 3 3 3" xfId="22471"/>
    <cellStyle name="常规 4 3 8 3 2 3 3 3 2" xfId="22472"/>
    <cellStyle name="常规 4 3 8 3 2 3 3 4" xfId="22473"/>
    <cellStyle name="常规 4 3 8 3 2 3 3 5" xfId="22474"/>
    <cellStyle name="常规 4 3 8 3 2 3 4" xfId="16743"/>
    <cellStyle name="常规 4 3 8 3 2 3 4 2" xfId="16746"/>
    <cellStyle name="常规 4 3 8 3 2 3 4 2 2" xfId="22475"/>
    <cellStyle name="常规 4 3 8 3 2 3 4 3" xfId="22476"/>
    <cellStyle name="常规 4 3 8 3 2 3 4 4" xfId="22477"/>
    <cellStyle name="常规 4 3 8 3 2 3 5" xfId="16748"/>
    <cellStyle name="常规 4 3 8 3 2 3 5 2" xfId="22478"/>
    <cellStyle name="常规 4 3 8 3 2 3 6" xfId="16750"/>
    <cellStyle name="常规 4 3 8 3 2 3 7" xfId="22479"/>
    <cellStyle name="常规 4 3 8 3 2 4" xfId="22481"/>
    <cellStyle name="常规 4 3 8 3 2 4 2" xfId="22484"/>
    <cellStyle name="常规 4 3 8 3 2 4 2 2" xfId="22485"/>
    <cellStyle name="常规 4 3 8 3 2 4 2 2 2" xfId="22486"/>
    <cellStyle name="常规 4 3 8 3 2 4 2 2 2 2" xfId="18849"/>
    <cellStyle name="常规 4 3 8 3 2 4 2 2 3" xfId="22487"/>
    <cellStyle name="常规 4 3 8 3 2 4 2 2 4" xfId="22488"/>
    <cellStyle name="常规 4 3 8 3 2 4 2 3" xfId="22489"/>
    <cellStyle name="常规 4 3 8 3 2 4 2 3 2" xfId="22490"/>
    <cellStyle name="常规 4 3 8 3 2 4 2 4" xfId="22491"/>
    <cellStyle name="常规 4 3 8 3 2 4 2 5" xfId="22492"/>
    <cellStyle name="常规 4 3 8 3 2 4 3" xfId="22493"/>
    <cellStyle name="常规 4 3 8 3 2 4 3 2" xfId="22494"/>
    <cellStyle name="常规 4 3 8 3 2 4 3 2 2" xfId="22495"/>
    <cellStyle name="常规 4 3 8 3 2 4 3 3" xfId="22496"/>
    <cellStyle name="常规 4 3 8 3 2 4 3 4" xfId="22497"/>
    <cellStyle name="常规 4 3 8 3 2 4 4" xfId="1692"/>
    <cellStyle name="常规 4 3 8 3 2 4 4 2" xfId="22498"/>
    <cellStyle name="常规 4 3 8 3 2 4 5" xfId="22499"/>
    <cellStyle name="常规 4 3 8 3 2 4 6" xfId="22500"/>
    <cellStyle name="常规 4 3 8 3 2 5" xfId="22502"/>
    <cellStyle name="常规 4 3 8 3 2 5 2" xfId="13023"/>
    <cellStyle name="常规 4 3 8 3 2 5 2 2" xfId="22503"/>
    <cellStyle name="常规 4 3 8 3 2 5 2 2 2" xfId="22504"/>
    <cellStyle name="常规 4 3 8 3 2 5 2 3" xfId="22505"/>
    <cellStyle name="常规 4 3 8 3 2 5 2 4" xfId="22506"/>
    <cellStyle name="常规 4 3 8 3 2 5 3" xfId="22507"/>
    <cellStyle name="常规 4 3 8 3 2 5 3 2" xfId="22509"/>
    <cellStyle name="常规 4 3 8 3 2 5 4" xfId="22511"/>
    <cellStyle name="常规 4 3 8 3 2 5 5" xfId="22514"/>
    <cellStyle name="常规 4 3 8 3 2 6" xfId="22516"/>
    <cellStyle name="常规 4 3 8 3 2 6 2" xfId="416"/>
    <cellStyle name="常规 4 3 8 3 2 6 2 2" xfId="323"/>
    <cellStyle name="常规 4 3 8 3 2 6 3" xfId="437"/>
    <cellStyle name="常规 4 3 8 3 2 6 4" xfId="443"/>
    <cellStyle name="常规 4 3 8 3 2 7" xfId="22517"/>
    <cellStyle name="常规 4 3 8 3 2 7 2" xfId="22519"/>
    <cellStyle name="常规 4 3 8 3 2 8" xfId="22524"/>
    <cellStyle name="常规 4 3 8 3 2 9" xfId="20623"/>
    <cellStyle name="常规 4 3 8 3 3" xfId="22525"/>
    <cellStyle name="常规 4 3 8 3 3 2" xfId="22526"/>
    <cellStyle name="常规 4 3 8 3 3 2 2" xfId="9198"/>
    <cellStyle name="常规 4 3 8 3 3 2 2 2" xfId="22529"/>
    <cellStyle name="常规 4 3 8 3 3 2 2 2 2" xfId="22533"/>
    <cellStyle name="常规 4 3 8 3 3 2 2 2 2 2" xfId="22535"/>
    <cellStyle name="常规 4 3 8 3 3 2 2 2 2 2 2" xfId="22537"/>
    <cellStyle name="常规 4 3 8 3 3 2 2 2 2 2 2 2" xfId="22540"/>
    <cellStyle name="常规 4 3 8 3 3 2 2 2 2 2 3" xfId="22543"/>
    <cellStyle name="常规 4 3 8 3 3 2 2 2 2 2 4" xfId="22547"/>
    <cellStyle name="常规 4 3 8 3 3 2 2 2 2 3" xfId="22549"/>
    <cellStyle name="常规 4 3 8 3 3 2 2 2 2 3 2" xfId="22551"/>
    <cellStyle name="常规 4 3 8 3 3 2 2 2 2 4" xfId="22553"/>
    <cellStyle name="常规 4 3 8 3 3 2 2 2 2 5" xfId="22555"/>
    <cellStyle name="常规 4 3 8 3 3 2 2 2 3" xfId="9651"/>
    <cellStyle name="常规 4 3 8 3 3 2 2 2 3 2" xfId="22558"/>
    <cellStyle name="常规 4 3 8 3 3 2 2 2 3 2 2" xfId="22562"/>
    <cellStyle name="常规 4 3 8 3 3 2 2 2 3 3" xfId="22564"/>
    <cellStyle name="常规 4 3 8 3 3 2 2 2 3 4" xfId="22567"/>
    <cellStyle name="常规 4 3 8 3 3 2 2 2 4" xfId="22569"/>
    <cellStyle name="常规 4 3 8 3 3 2 2 2 4 2" xfId="22571"/>
    <cellStyle name="常规 4 3 8 3 3 2 2 2 5" xfId="22575"/>
    <cellStyle name="常规 4 3 8 3 3 2 2 2 6" xfId="22579"/>
    <cellStyle name="常规 4 3 8 3 3 2 2 3" xfId="22582"/>
    <cellStyle name="常规 4 3 8 3 3 2 2 3 2" xfId="22585"/>
    <cellStyle name="常规 4 3 8 3 3 2 2 3 2 2" xfId="22587"/>
    <cellStyle name="常规 4 3 8 3 3 2 2 3 2 2 2" xfId="19701"/>
    <cellStyle name="常规 4 3 8 3 3 2 2 3 2 3" xfId="21388"/>
    <cellStyle name="常规 4 3 8 3 3 2 2 3 2 4" xfId="16251"/>
    <cellStyle name="常规 4 3 8 3 3 2 2 3 3" xfId="22589"/>
    <cellStyle name="常规 4 3 8 3 3 2 2 3 3 2" xfId="9725"/>
    <cellStyle name="常规 4 3 8 3 3 2 2 3 4" xfId="22591"/>
    <cellStyle name="常规 4 3 8 3 3 2 2 3 5" xfId="12752"/>
    <cellStyle name="常规 4 3 8 3 3 2 2 4" xfId="13355"/>
    <cellStyle name="常规 4 3 8 3 3 2 2 4 2" xfId="22593"/>
    <cellStyle name="常规 4 3 8 3 3 2 2 4 2 2" xfId="22595"/>
    <cellStyle name="常规 4 3 8 3 3 2 2 4 3" xfId="22597"/>
    <cellStyle name="常规 4 3 8 3 3 2 2 4 4" xfId="22599"/>
    <cellStyle name="常规 4 3 8 3 3 2 2 5" xfId="20693"/>
    <cellStyle name="常规 4 3 8 3 3 2 2 5 2" xfId="22601"/>
    <cellStyle name="常规 4 3 8 3 3 2 2 6" xfId="22602"/>
    <cellStyle name="常规 4 3 8 3 3 2 2 7" xfId="22603"/>
    <cellStyle name="常规 4 3 8 3 3 2 3" xfId="22605"/>
    <cellStyle name="常规 4 3 8 3 3 2 3 2" xfId="22608"/>
    <cellStyle name="常规 4 3 8 3 3 2 3 2 2" xfId="22612"/>
    <cellStyle name="常规 4 3 8 3 3 2 3 2 2 2" xfId="2684"/>
    <cellStyle name="常规 4 3 8 3 3 2 3 2 2 2 2" xfId="22614"/>
    <cellStyle name="常规 4 3 8 3 3 2 3 2 2 3" xfId="18518"/>
    <cellStyle name="常规 4 3 8 3 3 2 3 2 2 4" xfId="22616"/>
    <cellStyle name="常规 4 3 8 3 3 2 3 2 3" xfId="22618"/>
    <cellStyle name="常规 4 3 8 3 3 2 3 2 3 2" xfId="18528"/>
    <cellStyle name="常规 4 3 8 3 3 2 3 2 4" xfId="22620"/>
    <cellStyle name="常规 4 3 8 3 3 2 3 2 5" xfId="22624"/>
    <cellStyle name="常规 4 3 8 3 3 2 3 3" xfId="22625"/>
    <cellStyle name="常规 4 3 8 3 3 2 3 3 2" xfId="22627"/>
    <cellStyle name="常规 4 3 8 3 3 2 3 3 2 2" xfId="18547"/>
    <cellStyle name="常规 4 3 8 3 3 2 3 3 3" xfId="22629"/>
    <cellStyle name="常规 4 3 8 3 3 2 3 3 4" xfId="22631"/>
    <cellStyle name="常规 4 3 8 3 3 2 3 4" xfId="22632"/>
    <cellStyle name="常规 4 3 8 3 3 2 3 4 2" xfId="22634"/>
    <cellStyle name="常规 4 3 8 3 3 2 3 5" xfId="22635"/>
    <cellStyle name="常规 4 3 8 3 3 2 3 6" xfId="16877"/>
    <cellStyle name="常规 4 3 8 3 3 2 4" xfId="22636"/>
    <cellStyle name="常规 4 3 8 3 3 2 4 2" xfId="22638"/>
    <cellStyle name="常规 4 3 8 3 3 2 4 2 2" xfId="22640"/>
    <cellStyle name="常规 4 3 8 3 3 2 4 2 2 2" xfId="2509"/>
    <cellStyle name="常规 4 3 8 3 3 2 4 2 3" xfId="22642"/>
    <cellStyle name="常规 4 3 8 3 3 2 4 2 4" xfId="22644"/>
    <cellStyle name="常规 4 3 8 3 3 2 4 3" xfId="22645"/>
    <cellStyle name="常规 4 3 8 3 3 2 4 3 2" xfId="22647"/>
    <cellStyle name="常规 4 3 8 3 3 2 4 4" xfId="21084"/>
    <cellStyle name="常规 4 3 8 3 3 2 4 5" xfId="5982"/>
    <cellStyle name="常规 4 3 8 3 3 2 5" xfId="22648"/>
    <cellStyle name="常规 4 3 8 3 3 2 5 2" xfId="16599"/>
    <cellStyle name="常规 4 3 8 3 3 2 5 2 2" xfId="16602"/>
    <cellStyle name="常规 4 3 8 3 3 2 5 3" xfId="16606"/>
    <cellStyle name="常规 4 3 8 3 3 2 5 4" xfId="16609"/>
    <cellStyle name="常规 4 3 8 3 3 2 6" xfId="22649"/>
    <cellStyle name="常规 4 3 8 3 3 2 6 2" xfId="19987"/>
    <cellStyle name="常规 4 3 8 3 3 2 7" xfId="22650"/>
    <cellStyle name="常规 4 3 8 3 3 2 8" xfId="22651"/>
    <cellStyle name="常规 4 3 8 3 3 3" xfId="9631"/>
    <cellStyle name="常规 4 3 8 3 3 3 2" xfId="22653"/>
    <cellStyle name="常规 4 3 8 3 3 3 2 2" xfId="22657"/>
    <cellStyle name="常规 4 3 8 3 3 3 2 2 2" xfId="22660"/>
    <cellStyle name="常规 4 3 8 3 3 3 2 2 2 2" xfId="22662"/>
    <cellStyle name="常规 4 3 8 3 3 3 2 2 2 2 2" xfId="10188"/>
    <cellStyle name="常规 4 3 8 3 3 3 2 2 2 3" xfId="22664"/>
    <cellStyle name="常规 4 3 8 3 3 3 2 2 2 4" xfId="22667"/>
    <cellStyle name="常规 4 3 8 3 3 3 2 2 3" xfId="22669"/>
    <cellStyle name="常规 4 3 8 3 3 3 2 2 3 2" xfId="22672"/>
    <cellStyle name="常规 4 3 8 3 3 3 2 2 4" xfId="22674"/>
    <cellStyle name="常规 4 3 8 3 3 3 2 2 5" xfId="7585"/>
    <cellStyle name="常规 4 3 8 3 3 3 2 3" xfId="22676"/>
    <cellStyle name="常规 4 3 8 3 3 3 2 3 2" xfId="22679"/>
    <cellStyle name="常规 4 3 8 3 3 3 2 3 2 2" xfId="22681"/>
    <cellStyle name="常规 4 3 8 3 3 3 2 3 3" xfId="22683"/>
    <cellStyle name="常规 4 3 8 3 3 3 2 3 4" xfId="22685"/>
    <cellStyle name="常规 4 3 8 3 3 3 2 4" xfId="22687"/>
    <cellStyle name="常规 4 3 8 3 3 3 2 4 2" xfId="4583"/>
    <cellStyle name="常规 4 3 8 3 3 3 2 5" xfId="22689"/>
    <cellStyle name="常规 4 3 8 3 3 3 2 6" xfId="22690"/>
    <cellStyle name="常规 4 3 8 3 3 3 3" xfId="22691"/>
    <cellStyle name="常规 4 3 8 3 3 3 3 2" xfId="22692"/>
    <cellStyle name="常规 4 3 8 3 3 3 3 2 2" xfId="22694"/>
    <cellStyle name="常规 4 3 8 3 3 3 3 2 2 2" xfId="18640"/>
    <cellStyle name="常规 4 3 8 3 3 3 3 2 3" xfId="22696"/>
    <cellStyle name="常规 4 3 8 3 3 3 3 2 4" xfId="22698"/>
    <cellStyle name="常规 4 3 8 3 3 3 3 3" xfId="22700"/>
    <cellStyle name="常规 4 3 8 3 3 3 3 3 2" xfId="22702"/>
    <cellStyle name="常规 4 3 8 3 3 3 3 4" xfId="22703"/>
    <cellStyle name="常规 4 3 8 3 3 3 3 5" xfId="22704"/>
    <cellStyle name="常规 4 3 8 3 3 3 4" xfId="16764"/>
    <cellStyle name="常规 4 3 8 3 3 3 4 2" xfId="22705"/>
    <cellStyle name="常规 4 3 8 3 3 3 4 2 2" xfId="22707"/>
    <cellStyle name="常规 4 3 8 3 3 3 4 3" xfId="22708"/>
    <cellStyle name="常规 4 3 8 3 3 3 4 4" xfId="14825"/>
    <cellStyle name="常规 4 3 8 3 3 3 5" xfId="22709"/>
    <cellStyle name="常规 4 3 8 3 3 3 5 2" xfId="21140"/>
    <cellStyle name="常规 4 3 8 3 3 3 6" xfId="22710"/>
    <cellStyle name="常规 4 3 8 3 3 3 7" xfId="22711"/>
    <cellStyle name="常规 4 3 8 3 3 4" xfId="22712"/>
    <cellStyle name="常规 4 3 8 3 3 4 2" xfId="22713"/>
    <cellStyle name="常规 4 3 8 3 3 4 2 2" xfId="22714"/>
    <cellStyle name="常规 4 3 8 3 3 4 2 2 2" xfId="22716"/>
    <cellStyle name="常规 4 3 8 3 3 4 2 2 2 2" xfId="22719"/>
    <cellStyle name="常规 4 3 8 3 3 4 2 2 3" xfId="22722"/>
    <cellStyle name="常规 4 3 8 3 3 4 2 2 4" xfId="22725"/>
    <cellStyle name="常规 4 3 8 3 3 4 2 3" xfId="22727"/>
    <cellStyle name="常规 4 3 8 3 3 4 2 3 2" xfId="22729"/>
    <cellStyle name="常规 4 3 8 3 3 4 2 4" xfId="22731"/>
    <cellStyle name="常规 4 3 8 3 3 4 2 5" xfId="22451"/>
    <cellStyle name="常规 4 3 8 3 3 4 3" xfId="22732"/>
    <cellStyle name="常规 4 3 8 3 3 4 3 2" xfId="22733"/>
    <cellStyle name="常规 4 3 8 3 3 4 3 2 2" xfId="22735"/>
    <cellStyle name="常规 4 3 8 3 3 4 3 3" xfId="22737"/>
    <cellStyle name="常规 4 3 8 3 3 4 3 4" xfId="22738"/>
    <cellStyle name="常规 4 3 8 3 3 4 4" xfId="22739"/>
    <cellStyle name="常规 4 3 8 3 3 4 4 2" xfId="22740"/>
    <cellStyle name="常规 4 3 8 3 3 4 5" xfId="22741"/>
    <cellStyle name="常规 4 3 8 3 3 4 6" xfId="22742"/>
    <cellStyle name="常规 4 3 8 3 3 5" xfId="22743"/>
    <cellStyle name="常规 4 3 8 3 3 5 2" xfId="22744"/>
    <cellStyle name="常规 4 3 8 3 3 5 2 2" xfId="22746"/>
    <cellStyle name="常规 4 3 8 3 3 5 2 2 2" xfId="22748"/>
    <cellStyle name="常规 4 3 8 3 3 5 2 3" xfId="22750"/>
    <cellStyle name="常规 4 3 8 3 3 5 2 4" xfId="22751"/>
    <cellStyle name="常规 4 3 8 3 3 5 3" xfId="22752"/>
    <cellStyle name="常规 4 3 8 3 3 5 3 2" xfId="22754"/>
    <cellStyle name="常规 4 3 8 3 3 5 4" xfId="22755"/>
    <cellStyle name="常规 4 3 8 3 3 5 5" xfId="22756"/>
    <cellStyle name="常规 4 3 8 3 3 6" xfId="22757"/>
    <cellStyle name="常规 4 3 8 3 3 6 2" xfId="481"/>
    <cellStyle name="常规 4 3 8 3 3 6 2 2" xfId="490"/>
    <cellStyle name="常规 4 3 8 3 3 6 3" xfId="494"/>
    <cellStyle name="常规 4 3 8 3 3 6 4" xfId="499"/>
    <cellStyle name="常规 4 3 8 3 3 7" xfId="22760"/>
    <cellStyle name="常规 4 3 8 3 3 7 2" xfId="22761"/>
    <cellStyle name="常规 4 3 8 3 3 8" xfId="22763"/>
    <cellStyle name="常规 4 3 8 3 3 9" xfId="22764"/>
    <cellStyle name="常规 4 3 8 3 4" xfId="17408"/>
    <cellStyle name="常规 4 3 8 3 4 2" xfId="17410"/>
    <cellStyle name="常规 4 3 8 3 4 2 2" xfId="17413"/>
    <cellStyle name="常规 4 3 8 3 4 2 2 2" xfId="15838"/>
    <cellStyle name="常规 4 3 8 3 4 2 2 2 2" xfId="15842"/>
    <cellStyle name="常规 4 3 8 3 4 2 2 2 2 2" xfId="15846"/>
    <cellStyle name="常规 4 3 8 3 4 2 2 2 2 2 2" xfId="22766"/>
    <cellStyle name="常规 4 3 8 3 4 2 2 2 2 3" xfId="22768"/>
    <cellStyle name="常规 4 3 8 3 4 2 2 2 2 4" xfId="22772"/>
    <cellStyle name="常规 4 3 8 3 4 2 2 2 3" xfId="15849"/>
    <cellStyle name="常规 4 3 8 3 4 2 2 2 3 2" xfId="22774"/>
    <cellStyle name="常规 4 3 8 3 4 2 2 2 4" xfId="15852"/>
    <cellStyle name="常规 4 3 8 3 4 2 2 2 5" xfId="22779"/>
    <cellStyle name="常规 4 3 8 3 4 2 2 3" xfId="15854"/>
    <cellStyle name="常规 4 3 8 3 4 2 2 3 2" xfId="15857"/>
    <cellStyle name="常规 4 3 8 3 4 2 2 3 2 2" xfId="22781"/>
    <cellStyle name="常规 4 3 8 3 4 2 2 3 3" xfId="22783"/>
    <cellStyle name="常规 4 3 8 3 4 2 2 3 4" xfId="22785"/>
    <cellStyle name="常规 4 3 8 3 4 2 2 4" xfId="15859"/>
    <cellStyle name="常规 4 3 8 3 4 2 2 4 2" xfId="22787"/>
    <cellStyle name="常规 4 3 8 3 4 2 2 5" xfId="15862"/>
    <cellStyle name="常规 4 3 8 3 4 2 2 6" xfId="22788"/>
    <cellStyle name="常规 4 3 8 3 4 2 3" xfId="13852"/>
    <cellStyle name="常规 4 3 8 3 4 2 3 2" xfId="15889"/>
    <cellStyle name="常规 4 3 8 3 4 2 3 2 2" xfId="15892"/>
    <cellStyle name="常规 4 3 8 3 4 2 3 2 2 2" xfId="19816"/>
    <cellStyle name="常规 4 3 8 3 4 2 3 2 3" xfId="22790"/>
    <cellStyle name="常规 4 3 8 3 4 2 3 2 4" xfId="22792"/>
    <cellStyle name="常规 4 3 8 3 4 2 3 3" xfId="15894"/>
    <cellStyle name="常规 4 3 8 3 4 2 3 3 2" xfId="22794"/>
    <cellStyle name="常规 4 3 8 3 4 2 3 4" xfId="15896"/>
    <cellStyle name="常规 4 3 8 3 4 2 3 5" xfId="22795"/>
    <cellStyle name="常规 4 3 8 3 4 2 4" xfId="22796"/>
    <cellStyle name="常规 4 3 8 3 4 2 4 2" xfId="15910"/>
    <cellStyle name="常规 4 3 8 3 4 2 4 2 2" xfId="14793"/>
    <cellStyle name="常规 4 3 8 3 4 2 4 3" xfId="15912"/>
    <cellStyle name="常规 4 3 8 3 4 2 4 4" xfId="22797"/>
    <cellStyle name="常规 4 3 8 3 4 2 5" xfId="22798"/>
    <cellStyle name="常规 4 3 8 3 4 2 5 2" xfId="15925"/>
    <cellStyle name="常规 4 3 8 3 4 2 6" xfId="22799"/>
    <cellStyle name="常规 4 3 8 3 4 2 7" xfId="22800"/>
    <cellStyle name="常规 4 3 8 3 4 3" xfId="17415"/>
    <cellStyle name="常规 4 3 8 3 4 3 2" xfId="1007"/>
    <cellStyle name="常规 4 3 8 3 4 3 2 2" xfId="22801"/>
    <cellStyle name="常规 4 3 8 3 4 3 2 2 2" xfId="22803"/>
    <cellStyle name="常规 4 3 8 3 4 3 2 2 2 2" xfId="22805"/>
    <cellStyle name="常规 4 3 8 3 4 3 2 2 3" xfId="1784"/>
    <cellStyle name="常规 4 3 8 3 4 3 2 2 4" xfId="1826"/>
    <cellStyle name="常规 4 3 8 3 4 3 2 3" xfId="22806"/>
    <cellStyle name="常规 4 3 8 3 4 3 2 3 2" xfId="22808"/>
    <cellStyle name="常规 4 3 8 3 4 3 2 4" xfId="22809"/>
    <cellStyle name="常规 4 3 8 3 4 3 2 5" xfId="22810"/>
    <cellStyle name="常规 4 3 8 3 4 3 3" xfId="14748"/>
    <cellStyle name="常规 4 3 8 3 4 3 3 2" xfId="22811"/>
    <cellStyle name="常规 4 3 8 3 4 3 3 2 2" xfId="22813"/>
    <cellStyle name="常规 4 3 8 3 4 3 3 3" xfId="22814"/>
    <cellStyle name="常规 4 3 8 3 4 3 3 4" xfId="22815"/>
    <cellStyle name="常规 4 3 8 3 4 3 4" xfId="22816"/>
    <cellStyle name="常规 4 3 8 3 4 3 4 2" xfId="22817"/>
    <cellStyle name="常规 4 3 8 3 4 3 5" xfId="22818"/>
    <cellStyle name="常规 4 3 8 3 4 3 6" xfId="22819"/>
    <cellStyle name="常规 4 3 8 3 4 4" xfId="17417"/>
    <cellStyle name="常规 4 3 8 3 4 4 2" xfId="22820"/>
    <cellStyle name="常规 4 3 8 3 4 4 2 2" xfId="22821"/>
    <cellStyle name="常规 4 3 8 3 4 4 2 2 2" xfId="18390"/>
    <cellStyle name="常规 4 3 8 3 4 4 2 3" xfId="22822"/>
    <cellStyle name="常规 4 3 8 3 4 4 2 4" xfId="22823"/>
    <cellStyle name="常规 4 3 8 3 4 4 3" xfId="22824"/>
    <cellStyle name="常规 4 3 8 3 4 4 3 2" xfId="22825"/>
    <cellStyle name="常规 4 3 8 3 4 4 4" xfId="22826"/>
    <cellStyle name="常规 4 3 8 3 4 4 5" xfId="22827"/>
    <cellStyle name="常规 4 3 8 3 4 5" xfId="22828"/>
    <cellStyle name="常规 4 3 8 3 4 5 2" xfId="22829"/>
    <cellStyle name="常规 4 3 8 3 4 5 2 2" xfId="22830"/>
    <cellStyle name="常规 4 3 8 3 4 5 3" xfId="22831"/>
    <cellStyle name="常规 4 3 8 3 4 5 4" xfId="22832"/>
    <cellStyle name="常规 4 3 8 3 4 6" xfId="22834"/>
    <cellStyle name="常规 4 3 8 3 4 6 2" xfId="562"/>
    <cellStyle name="常规 4 3 8 3 4 7" xfId="22835"/>
    <cellStyle name="常规 4 3 8 3 4 8" xfId="22836"/>
    <cellStyle name="常规 4 3 8 3 5" xfId="17419"/>
    <cellStyle name="常规 4 3 8 3 5 2" xfId="17421"/>
    <cellStyle name="常规 4 3 8 3 5 2 2" xfId="22837"/>
    <cellStyle name="常规 4 3 8 3 5 2 2 2" xfId="22838"/>
    <cellStyle name="常规 4 3 8 3 5 2 2 2 2" xfId="22840"/>
    <cellStyle name="常规 4 3 8 3 5 2 2 2 2 2" xfId="22842"/>
    <cellStyle name="常规 4 3 8 3 5 2 2 2 3" xfId="22844"/>
    <cellStyle name="常规 4 3 8 3 5 2 2 2 4" xfId="22846"/>
    <cellStyle name="常规 4 3 8 3 5 2 2 3" xfId="22847"/>
    <cellStyle name="常规 4 3 8 3 5 2 2 3 2" xfId="22849"/>
    <cellStyle name="常规 4 3 8 3 5 2 2 4" xfId="22850"/>
    <cellStyle name="常规 4 3 8 3 5 2 2 5" xfId="22851"/>
    <cellStyle name="常规 4 3 8 3 5 2 3" xfId="22852"/>
    <cellStyle name="常规 4 3 8 3 5 2 3 2" xfId="22853"/>
    <cellStyle name="常规 4 3 8 3 5 2 3 2 2" xfId="22855"/>
    <cellStyle name="常规 4 3 8 3 5 2 3 3" xfId="22856"/>
    <cellStyle name="常规 4 3 8 3 5 2 3 4" xfId="22857"/>
    <cellStyle name="常规 4 3 8 3 5 2 4" xfId="4929"/>
    <cellStyle name="常规 4 3 8 3 5 2 4 2" xfId="6822"/>
    <cellStyle name="常规 4 3 8 3 5 2 5" xfId="6827"/>
    <cellStyle name="常规 4 3 8 3 5 2 6" xfId="6830"/>
    <cellStyle name="常规 4 3 8 3 5 3" xfId="22858"/>
    <cellStyle name="常规 4 3 8 3 5 3 2" xfId="22859"/>
    <cellStyle name="常规 4 3 8 3 5 3 2 2" xfId="22860"/>
    <cellStyle name="常规 4 3 8 3 5 3 2 2 2" xfId="9925"/>
    <cellStyle name="常规 4 3 8 3 5 3 2 3" xfId="22861"/>
    <cellStyle name="常规 4 3 8 3 5 3 2 4" xfId="22862"/>
    <cellStyle name="常规 4 3 8 3 5 3 3" xfId="22863"/>
    <cellStyle name="常规 4 3 8 3 5 3 3 2" xfId="22864"/>
    <cellStyle name="常规 4 3 8 3 5 3 4" xfId="6836"/>
    <cellStyle name="常规 4 3 8 3 5 3 5" xfId="6849"/>
    <cellStyle name="常规 4 3 8 3 5 4" xfId="22865"/>
    <cellStyle name="常规 4 3 8 3 5 4 2" xfId="22866"/>
    <cellStyle name="常规 4 3 8 3 5 4 2 2" xfId="22867"/>
    <cellStyle name="常规 4 3 8 3 5 4 3" xfId="22868"/>
    <cellStyle name="常规 4 3 8 3 5 4 4" xfId="6863"/>
    <cellStyle name="常规 4 3 8 3 5 5" xfId="4942"/>
    <cellStyle name="常规 4 3 8 3 5 5 2" xfId="22869"/>
    <cellStyle name="常规 4 3 8 3 5 6" xfId="22870"/>
    <cellStyle name="常规 4 3 8 3 5 7" xfId="22871"/>
    <cellStyle name="常规 4 3 8 3 6" xfId="17423"/>
    <cellStyle name="常规 4 3 8 3 6 2" xfId="22872"/>
    <cellStyle name="常规 4 3 8 3 6 2 2" xfId="22873"/>
    <cellStyle name="常规 4 3 8 3 6 2 2 2" xfId="22874"/>
    <cellStyle name="常规 4 3 8 3 6 2 2 2 2" xfId="22876"/>
    <cellStyle name="常规 4 3 8 3 6 2 2 3" xfId="22877"/>
    <cellStyle name="常规 4 3 8 3 6 2 2 4" xfId="22878"/>
    <cellStyle name="常规 4 3 8 3 6 2 3" xfId="22879"/>
    <cellStyle name="常规 4 3 8 3 6 2 3 2" xfId="22880"/>
    <cellStyle name="常规 4 3 8 3 6 2 4" xfId="6901"/>
    <cellStyle name="常规 4 3 8 3 6 2 5" xfId="2663"/>
    <cellStyle name="常规 4 3 8 3 6 3" xfId="22883"/>
    <cellStyle name="常规 4 3 8 3 6 3 2" xfId="22885"/>
    <cellStyle name="常规 4 3 8 3 6 3 2 2" xfId="22886"/>
    <cellStyle name="常规 4 3 8 3 6 3 3" xfId="22887"/>
    <cellStyle name="常规 4 3 8 3 6 3 4" xfId="6908"/>
    <cellStyle name="常规 4 3 8 3 6 4" xfId="22889"/>
    <cellStyle name="常规 4 3 8 3 6 4 2" xfId="22890"/>
    <cellStyle name="常规 4 3 8 3 6 5" xfId="22892"/>
    <cellStyle name="常规 4 3 8 3 6 6" xfId="20930"/>
    <cellStyle name="常规 4 3 8 3 7" xfId="17425"/>
    <cellStyle name="常规 4 3 8 3 7 2" xfId="22893"/>
    <cellStyle name="常规 4 3 8 3 7 2 2" xfId="22894"/>
    <cellStyle name="常规 4 3 8 3 7 2 2 2" xfId="22895"/>
    <cellStyle name="常规 4 3 8 3 7 2 3" xfId="22897"/>
    <cellStyle name="常规 4 3 8 3 7 2 4" xfId="6936"/>
    <cellStyle name="常规 4 3 8 3 7 3" xfId="22899"/>
    <cellStyle name="常规 4 3 8 3 7 3 2" xfId="22900"/>
    <cellStyle name="常规 4 3 8 3 7 4" xfId="22901"/>
    <cellStyle name="常规 4 3 8 3 7 5" xfId="22902"/>
    <cellStyle name="常规 4 3 8 3 8" xfId="22903"/>
    <cellStyle name="常规 4 3 8 3 8 2" xfId="811"/>
    <cellStyle name="常规 4 3 8 3 8 2 2" xfId="3636"/>
    <cellStyle name="常规 4 3 8 3 8 3" xfId="22906"/>
    <cellStyle name="常规 4 3 8 3 8 4" xfId="22908"/>
    <cellStyle name="常规 4 3 8 3 9" xfId="22910"/>
    <cellStyle name="常规 4 3 8 3 9 2" xfId="22914"/>
    <cellStyle name="常规 4 3 8 4" xfId="22916"/>
    <cellStyle name="常规 4 3 8 4 2" xfId="178"/>
    <cellStyle name="常规 4 3 8 4 2 2" xfId="22917"/>
    <cellStyle name="常规 4 3 8 4 2 2 2" xfId="22921"/>
    <cellStyle name="常规 4 3 8 4 2 2 2 2" xfId="22924"/>
    <cellStyle name="常规 4 3 8 4 2 2 2 2 2" xfId="18303"/>
    <cellStyle name="常规 4 3 8 4 2 2 2 2 2 2" xfId="18304"/>
    <cellStyle name="常规 4 3 8 4 2 2 2 2 2 2 2" xfId="9007"/>
    <cellStyle name="常规 4 3 8 4 2 2 2 2 2 3" xfId="18308"/>
    <cellStyle name="常规 4 3 8 4 2 2 2 2 2 4" xfId="18313"/>
    <cellStyle name="常规 4 3 8 4 2 2 2 2 3" xfId="18317"/>
    <cellStyle name="常规 4 3 8 4 2 2 2 2 3 2" xfId="18319"/>
    <cellStyle name="常规 4 3 8 4 2 2 2 2 4" xfId="18321"/>
    <cellStyle name="常规 4 3 8 4 2 2 2 2 5" xfId="18323"/>
    <cellStyle name="常规 4 3 8 4 2 2 2 3" xfId="22925"/>
    <cellStyle name="常规 4 3 8 4 2 2 2 3 2" xfId="18357"/>
    <cellStyle name="常规 4 3 8 4 2 2 2 3 2 2" xfId="7152"/>
    <cellStyle name="常规 4 3 8 4 2 2 2 3 3" xfId="18359"/>
    <cellStyle name="常规 4 3 8 4 2 2 2 3 4" xfId="18361"/>
    <cellStyle name="常规 4 3 8 4 2 2 2 4" xfId="22926"/>
    <cellStyle name="常规 4 3 8 4 2 2 2 4 2" xfId="18372"/>
    <cellStyle name="常规 4 3 8 4 2 2 2 5" xfId="22927"/>
    <cellStyle name="常规 4 3 8 4 2 2 2 6" xfId="22928"/>
    <cellStyle name="常规 4 3 8 4 2 2 3" xfId="22931"/>
    <cellStyle name="常规 4 3 8 4 2 2 3 2" xfId="22932"/>
    <cellStyle name="常规 4 3 8 4 2 2 3 2 2" xfId="18415"/>
    <cellStyle name="常规 4 3 8 4 2 2 3 2 2 2" xfId="16520"/>
    <cellStyle name="常规 4 3 8 4 2 2 3 2 3" xfId="18418"/>
    <cellStyle name="常规 4 3 8 4 2 2 3 2 4" xfId="18420"/>
    <cellStyle name="常规 4 3 8 4 2 2 3 3" xfId="22933"/>
    <cellStyle name="常规 4 3 8 4 2 2 3 3 2" xfId="18430"/>
    <cellStyle name="常规 4 3 8 4 2 2 3 4" xfId="22934"/>
    <cellStyle name="常规 4 3 8 4 2 2 3 5" xfId="22935"/>
    <cellStyle name="常规 4 3 8 4 2 2 4" xfId="22939"/>
    <cellStyle name="常规 4 3 8 4 2 2 4 2" xfId="22942"/>
    <cellStyle name="常规 4 3 8 4 2 2 4 2 2" xfId="18458"/>
    <cellStyle name="常规 4 3 8 4 2 2 4 3" xfId="22943"/>
    <cellStyle name="常规 4 3 8 4 2 2 4 4" xfId="22945"/>
    <cellStyle name="常规 4 3 8 4 2 2 5" xfId="22946"/>
    <cellStyle name="常规 4 3 8 4 2 2 5 2" xfId="3911"/>
    <cellStyle name="常规 4 3 8 4 2 2 6" xfId="22947"/>
    <cellStyle name="常规 4 3 8 4 2 2 7" xfId="22948"/>
    <cellStyle name="常规 4 3 8 4 2 3" xfId="22950"/>
    <cellStyle name="常规 4 3 8 4 2 3 2" xfId="22953"/>
    <cellStyle name="常规 4 3 8 4 2 3 2 2" xfId="22954"/>
    <cellStyle name="常规 4 3 8 4 2 3 2 2 2" xfId="18530"/>
    <cellStyle name="常规 4 3 8 4 2 3 2 2 2 2" xfId="18532"/>
    <cellStyle name="常规 4 3 8 4 2 3 2 2 3" xfId="18534"/>
    <cellStyle name="常规 4 3 8 4 2 3 2 2 4" xfId="18536"/>
    <cellStyle name="常规 4 3 8 4 2 3 2 3" xfId="22955"/>
    <cellStyle name="常规 4 3 8 4 2 3 2 3 2" xfId="18551"/>
    <cellStyle name="常规 4 3 8 4 2 3 2 4" xfId="22956"/>
    <cellStyle name="常规 4 3 8 4 2 3 2 5" xfId="22348"/>
    <cellStyle name="常规 4 3 8 4 2 3 3" xfId="22959"/>
    <cellStyle name="常规 4 3 8 4 2 3 3 2" xfId="22960"/>
    <cellStyle name="常规 4 3 8 4 2 3 3 2 2" xfId="18579"/>
    <cellStyle name="常规 4 3 8 4 2 3 3 3" xfId="22961"/>
    <cellStyle name="常规 4 3 8 4 2 3 3 4" xfId="22962"/>
    <cellStyle name="常规 4 3 8 4 2 3 4" xfId="8505"/>
    <cellStyle name="常规 4 3 8 4 2 3 4 2" xfId="22963"/>
    <cellStyle name="常规 4 3 8 4 2 3 5" xfId="22965"/>
    <cellStyle name="常规 4 3 8 4 2 3 6" xfId="22967"/>
    <cellStyle name="常规 4 3 8 4 2 4" xfId="22968"/>
    <cellStyle name="常规 4 3 8 4 2 4 2" xfId="22971"/>
    <cellStyle name="常规 4 3 8 4 2 4 2 2" xfId="22973"/>
    <cellStyle name="常规 4 3 8 4 2 4 2 2 2" xfId="18648"/>
    <cellStyle name="常规 4 3 8 4 2 4 2 3" xfId="22975"/>
    <cellStyle name="常规 4 3 8 4 2 4 2 4" xfId="22976"/>
    <cellStyle name="常规 4 3 8 4 2 4 3" xfId="22977"/>
    <cellStyle name="常规 4 3 8 4 2 4 3 2" xfId="22979"/>
    <cellStyle name="常规 4 3 8 4 2 4 4" xfId="22980"/>
    <cellStyle name="常规 4 3 8 4 2 4 5" xfId="22982"/>
    <cellStyle name="常规 4 3 8 4 2 5" xfId="22983"/>
    <cellStyle name="常规 4 3 8 4 2 5 2" xfId="22984"/>
    <cellStyle name="常规 4 3 8 4 2 5 2 2" xfId="1818"/>
    <cellStyle name="常规 4 3 8 4 2 5 3" xfId="22986"/>
    <cellStyle name="常规 4 3 8 4 2 5 4" xfId="22989"/>
    <cellStyle name="常规 4 3 8 4 2 6" xfId="22990"/>
    <cellStyle name="常规 4 3 8 4 2 6 2" xfId="22991"/>
    <cellStyle name="常规 4 3 8 4 2 7" xfId="22995"/>
    <cellStyle name="常规 4 3 8 4 2 8" xfId="22997"/>
    <cellStyle name="常规 4 3 8 4 3" xfId="1405"/>
    <cellStyle name="常规 4 3 8 4 3 2" xfId="22998"/>
    <cellStyle name="常规 4 3 8 4 3 2 2" xfId="23001"/>
    <cellStyle name="常规 4 3 8 4 3 2 2 2" xfId="23004"/>
    <cellStyle name="常规 4 3 8 4 3 2 2 2 2" xfId="19719"/>
    <cellStyle name="常规 4 3 8 4 3 2 2 2 2 2" xfId="19722"/>
    <cellStyle name="常规 4 3 8 4 3 2 2 2 3" xfId="4160"/>
    <cellStyle name="常规 4 3 8 4 3 2 2 2 4" xfId="29"/>
    <cellStyle name="常规 4 3 8 4 3 2 2 3" xfId="23006"/>
    <cellStyle name="常规 4 3 8 4 3 2 2 3 2" xfId="19738"/>
    <cellStyle name="常规 4 3 8 4 3 2 2 4" xfId="23007"/>
    <cellStyle name="常规 4 3 8 4 3 2 2 5" xfId="23008"/>
    <cellStyle name="常规 4 3 8 4 3 2 3" xfId="23011"/>
    <cellStyle name="常规 4 3 8 4 3 2 3 2" xfId="23013"/>
    <cellStyle name="常规 4 3 8 4 3 2 3 2 2" xfId="19763"/>
    <cellStyle name="常规 4 3 8 4 3 2 3 3" xfId="23014"/>
    <cellStyle name="常规 4 3 8 4 3 2 3 4" xfId="23015"/>
    <cellStyle name="常规 4 3 8 4 3 2 4" xfId="23016"/>
    <cellStyle name="常规 4 3 8 4 3 2 4 2" xfId="23017"/>
    <cellStyle name="常规 4 3 8 4 3 2 5" xfId="23018"/>
    <cellStyle name="常规 4 3 8 4 3 2 6" xfId="23019"/>
    <cellStyle name="常规 4 3 8 4 3 3" xfId="23020"/>
    <cellStyle name="常规 4 3 8 4 3 3 2" xfId="23023"/>
    <cellStyle name="常规 4 3 8 4 3 3 2 2" xfId="23025"/>
    <cellStyle name="常规 4 3 8 4 3 3 2 2 2" xfId="19824"/>
    <cellStyle name="常规 4 3 8 4 3 3 2 3" xfId="23026"/>
    <cellStyle name="常规 4 3 8 4 3 3 2 4" xfId="23027"/>
    <cellStyle name="常规 4 3 8 4 3 3 3" xfId="23028"/>
    <cellStyle name="常规 4 3 8 4 3 3 3 2" xfId="673"/>
    <cellStyle name="常规 4 3 8 4 3 3 4" xfId="23029"/>
    <cellStyle name="常规 4 3 8 4 3 3 5" xfId="23030"/>
    <cellStyle name="常规 4 3 8 4 3 4" xfId="23031"/>
    <cellStyle name="常规 4 3 8 4 3 4 2" xfId="23032"/>
    <cellStyle name="常规 4 3 8 4 3 4 2 2" xfId="23033"/>
    <cellStyle name="常规 4 3 8 4 3 4 3" xfId="23034"/>
    <cellStyle name="常规 4 3 8 4 3 4 4" xfId="23035"/>
    <cellStyle name="常规 4 3 8 4 3 5" xfId="23036"/>
    <cellStyle name="常规 4 3 8 4 3 5 2" xfId="23037"/>
    <cellStyle name="常规 4 3 8 4 3 6" xfId="23039"/>
    <cellStyle name="常规 4 3 8 4 3 7" xfId="23040"/>
    <cellStyle name="常规 4 3 8 4 4" xfId="1077"/>
    <cellStyle name="常规 4 3 8 4 4 2" xfId="17429"/>
    <cellStyle name="常规 4 3 8 4 4 2 2" xfId="23043"/>
    <cellStyle name="常规 4 3 8 4 4 2 2 2" xfId="23045"/>
    <cellStyle name="常规 4 3 8 4 4 2 2 2 2" xfId="23047"/>
    <cellStyle name="常规 4 3 8 4 4 2 2 3" xfId="23048"/>
    <cellStyle name="常规 4 3 8 4 4 2 2 4" xfId="23049"/>
    <cellStyle name="常规 4 3 8 4 4 2 3" xfId="12331"/>
    <cellStyle name="常规 4 3 8 4 4 2 3 2" xfId="23050"/>
    <cellStyle name="常规 4 3 8 4 4 2 4" xfId="23051"/>
    <cellStyle name="常规 4 3 8 4 4 2 5" xfId="23052"/>
    <cellStyle name="常规 4 3 8 4 4 3" xfId="17090"/>
    <cellStyle name="常规 4 3 8 4 4 3 2" xfId="23053"/>
    <cellStyle name="常规 4 3 8 4 4 3 2 2" xfId="16512"/>
    <cellStyle name="常规 4 3 8 4 4 3 3" xfId="23054"/>
    <cellStyle name="常规 4 3 8 4 4 3 4" xfId="23055"/>
    <cellStyle name="常规 4 3 8 4 4 4" xfId="23056"/>
    <cellStyle name="常规 4 3 8 4 4 4 2" xfId="23057"/>
    <cellStyle name="常规 4 3 8 4 4 5" xfId="23058"/>
    <cellStyle name="常规 4 3 8 4 4 6" xfId="23059"/>
    <cellStyle name="常规 4 3 8 4 5" xfId="1114"/>
    <cellStyle name="常规 4 3 8 4 5 2" xfId="23060"/>
    <cellStyle name="常规 4 3 8 4 5 2 2" xfId="23061"/>
    <cellStyle name="常规 4 3 8 4 5 2 2 2" xfId="23062"/>
    <cellStyle name="常规 4 3 8 4 5 2 3" xfId="23063"/>
    <cellStyle name="常规 4 3 8 4 5 2 4" xfId="7015"/>
    <cellStyle name="常规 4 3 8 4 5 3" xfId="23064"/>
    <cellStyle name="常规 4 3 8 4 5 3 2" xfId="23065"/>
    <cellStyle name="常规 4 3 8 4 5 4" xfId="23066"/>
    <cellStyle name="常规 4 3 8 4 5 5" xfId="23067"/>
    <cellStyle name="常规 4 3 8 4 6" xfId="1128"/>
    <cellStyle name="常规 4 3 8 4 6 2" xfId="23068"/>
    <cellStyle name="常规 4 3 8 4 6 2 2" xfId="23070"/>
    <cellStyle name="常规 4 3 8 4 6 3" xfId="23072"/>
    <cellStyle name="常规 4 3 8 4 6 4" xfId="23073"/>
    <cellStyle name="常规 4 3 8 4 7" xfId="229"/>
    <cellStyle name="常规 4 3 8 4 7 2" xfId="23074"/>
    <cellStyle name="常规 4 3 8 4 8" xfId="1285"/>
    <cellStyle name="常规 4 3 8 4 9" xfId="1296"/>
    <cellStyle name="常规 4 3 8 5" xfId="5716"/>
    <cellStyle name="常规 4 3 8 5 2" xfId="23075"/>
    <cellStyle name="常规 4 3 8 5 2 2" xfId="23076"/>
    <cellStyle name="常规 4 3 8 5 2 2 2" xfId="23079"/>
    <cellStyle name="常规 4 3 8 5 2 2 2 2" xfId="23081"/>
    <cellStyle name="常规 4 3 8 5 2 2 2 2 2" xfId="23083"/>
    <cellStyle name="常规 4 3 8 5 2 2 2 2 2 2" xfId="23084"/>
    <cellStyle name="常规 4 3 8 5 2 2 2 2 2 2 2" xfId="23085"/>
    <cellStyle name="常规 4 3 8 5 2 2 2 2 2 3" xfId="14470"/>
    <cellStyle name="常规 4 3 8 5 2 2 2 2 2 4" xfId="23088"/>
    <cellStyle name="常规 4 3 8 5 2 2 2 2 3" xfId="23090"/>
    <cellStyle name="常规 4 3 8 5 2 2 2 2 3 2" xfId="23092"/>
    <cellStyle name="常规 4 3 8 5 2 2 2 2 4" xfId="23093"/>
    <cellStyle name="常规 4 3 8 5 2 2 2 2 5" xfId="23094"/>
    <cellStyle name="常规 4 3 8 5 2 2 2 3" xfId="23097"/>
    <cellStyle name="常规 4 3 8 5 2 2 2 3 2" xfId="23098"/>
    <cellStyle name="常规 4 3 8 5 2 2 2 3 2 2" xfId="23099"/>
    <cellStyle name="常规 4 3 8 5 2 2 2 3 3" xfId="23100"/>
    <cellStyle name="常规 4 3 8 5 2 2 2 3 4" xfId="23101"/>
    <cellStyle name="常规 4 3 8 5 2 2 2 4" xfId="23102"/>
    <cellStyle name="常规 4 3 8 5 2 2 2 4 2" xfId="23103"/>
    <cellStyle name="常规 4 3 8 5 2 2 2 5" xfId="23104"/>
    <cellStyle name="常规 4 3 8 5 2 2 2 6" xfId="20352"/>
    <cellStyle name="常规 4 3 8 5 2 2 3" xfId="23107"/>
    <cellStyle name="常规 4 3 8 5 2 2 3 2" xfId="23109"/>
    <cellStyle name="常规 4 3 8 5 2 2 3 2 2" xfId="23111"/>
    <cellStyle name="常规 4 3 8 5 2 2 3 2 2 2" xfId="23112"/>
    <cellStyle name="常规 4 3 8 5 2 2 3 2 3" xfId="23114"/>
    <cellStyle name="常规 4 3 8 5 2 2 3 2 4" xfId="23116"/>
    <cellStyle name="常规 4 3 8 5 2 2 3 3" xfId="23118"/>
    <cellStyle name="常规 4 3 8 5 2 2 3 3 2" xfId="23119"/>
    <cellStyle name="常规 4 3 8 5 2 2 3 4" xfId="23120"/>
    <cellStyle name="常规 4 3 8 5 2 2 3 5" xfId="23121"/>
    <cellStyle name="常规 4 3 8 5 2 2 4" xfId="23124"/>
    <cellStyle name="常规 4 3 8 5 2 2 4 2" xfId="23125"/>
    <cellStyle name="常规 4 3 8 5 2 2 4 2 2" xfId="23126"/>
    <cellStyle name="常规 4 3 8 5 2 2 4 3" xfId="23127"/>
    <cellStyle name="常规 4 3 8 5 2 2 4 4" xfId="23128"/>
    <cellStyle name="常规 4 3 8 5 2 2 5" xfId="23129"/>
    <cellStyle name="常规 4 3 8 5 2 2 5 2" xfId="796"/>
    <cellStyle name="常规 4 3 8 5 2 2 6" xfId="23131"/>
    <cellStyle name="常规 4 3 8 5 2 2 7" xfId="20767"/>
    <cellStyle name="常规 4 3 8 5 2 3" xfId="23132"/>
    <cellStyle name="常规 4 3 8 5 2 3 2" xfId="23135"/>
    <cellStyle name="常规 4 3 8 5 2 3 2 2" xfId="23138"/>
    <cellStyle name="常规 4 3 8 5 2 3 2 2 2" xfId="23139"/>
    <cellStyle name="常规 4 3 8 5 2 3 2 2 2 2" xfId="23140"/>
    <cellStyle name="常规 4 3 8 5 2 3 2 2 3" xfId="23141"/>
    <cellStyle name="常规 4 3 8 5 2 3 2 2 4" xfId="23142"/>
    <cellStyle name="常规 4 3 8 5 2 3 2 3" xfId="23143"/>
    <cellStyle name="常规 4 3 8 5 2 3 2 3 2" xfId="23144"/>
    <cellStyle name="常规 4 3 8 5 2 3 2 4" xfId="23145"/>
    <cellStyle name="常规 4 3 8 5 2 3 2 5" xfId="23146"/>
    <cellStyle name="常规 4 3 8 5 2 3 3" xfId="23147"/>
    <cellStyle name="常规 4 3 8 5 2 3 3 2" xfId="23150"/>
    <cellStyle name="常规 4 3 8 5 2 3 3 2 2" xfId="23152"/>
    <cellStyle name="常规 4 3 8 5 2 3 3 3" xfId="23153"/>
    <cellStyle name="常规 4 3 8 5 2 3 3 4" xfId="23154"/>
    <cellStyle name="常规 4 3 8 5 2 3 4" xfId="23155"/>
    <cellStyle name="常规 4 3 8 5 2 3 4 2" xfId="23157"/>
    <cellStyle name="常规 4 3 8 5 2 3 5" xfId="23158"/>
    <cellStyle name="常规 4 3 8 5 2 3 6" xfId="23160"/>
    <cellStyle name="常规 4 3 8 5 2 4" xfId="23161"/>
    <cellStyle name="常规 4 3 8 5 2 4 2" xfId="23163"/>
    <cellStyle name="常规 4 3 8 5 2 4 2 2" xfId="23165"/>
    <cellStyle name="常规 4 3 8 5 2 4 2 2 2" xfId="22395"/>
    <cellStyle name="常规 4 3 8 5 2 4 2 3" xfId="23167"/>
    <cellStyle name="常规 4 3 8 5 2 4 2 4" xfId="23168"/>
    <cellStyle name="常规 4 3 8 5 2 4 3" xfId="23169"/>
    <cellStyle name="常规 4 3 8 5 2 4 3 2" xfId="23171"/>
    <cellStyle name="常规 4 3 8 5 2 4 4" xfId="23172"/>
    <cellStyle name="常规 4 3 8 5 2 4 5" xfId="23173"/>
    <cellStyle name="常规 4 3 8 5 2 5" xfId="245"/>
    <cellStyle name="常规 4 3 8 5 2 5 2" xfId="23175"/>
    <cellStyle name="常规 4 3 8 5 2 5 2 2" xfId="23177"/>
    <cellStyle name="常规 4 3 8 5 2 5 3" xfId="23179"/>
    <cellStyle name="常规 4 3 8 5 2 5 4" xfId="23180"/>
    <cellStyle name="常规 4 3 8 5 2 6" xfId="23181"/>
    <cellStyle name="常规 4 3 8 5 2 6 2" xfId="23182"/>
    <cellStyle name="常规 4 3 8 5 2 7" xfId="23185"/>
    <cellStyle name="常规 4 3 8 5 2 8" xfId="23187"/>
    <cellStyle name="常规 4 3 8 5 3" xfId="23188"/>
    <cellStyle name="常规 4 3 8 5 3 2" xfId="1745"/>
    <cellStyle name="常规 4 3 8 5 3 2 2" xfId="100"/>
    <cellStyle name="常规 4 3 8 5 3 2 2 2" xfId="23190"/>
    <cellStyle name="常规 4 3 8 5 3 2 2 2 2" xfId="23192"/>
    <cellStyle name="常规 4 3 8 5 3 2 2 2 2 2" xfId="23194"/>
    <cellStyle name="常规 4 3 8 5 3 2 2 2 3" xfId="12457"/>
    <cellStyle name="常规 4 3 8 5 3 2 2 2 4" xfId="23196"/>
    <cellStyle name="常规 4 3 8 5 3 2 2 3" xfId="23197"/>
    <cellStyle name="常规 4 3 8 5 3 2 2 3 2" xfId="23199"/>
    <cellStyle name="常规 4 3 8 5 3 2 2 4" xfId="23200"/>
    <cellStyle name="常规 4 3 8 5 3 2 2 5" xfId="23201"/>
    <cellStyle name="常规 4 3 8 5 3 2 3" xfId="23203"/>
    <cellStyle name="常规 4 3 8 5 3 2 3 2" xfId="23204"/>
    <cellStyle name="常规 4 3 8 5 3 2 3 2 2" xfId="23206"/>
    <cellStyle name="常规 4 3 8 5 3 2 3 3" xfId="23208"/>
    <cellStyle name="常规 4 3 8 5 3 2 3 4" xfId="23209"/>
    <cellStyle name="常规 4 3 8 5 3 2 4" xfId="23210"/>
    <cellStyle name="常规 4 3 8 5 3 2 4 2" xfId="23211"/>
    <cellStyle name="常规 4 3 8 5 3 2 5" xfId="23212"/>
    <cellStyle name="常规 4 3 8 5 3 2 6" xfId="23213"/>
    <cellStyle name="常规 4 3 8 5 3 3" xfId="1748"/>
    <cellStyle name="常规 4 3 8 5 3 3 2" xfId="23215"/>
    <cellStyle name="常规 4 3 8 5 3 3 2 2" xfId="23216"/>
    <cellStyle name="常规 4 3 8 5 3 3 2 2 2" xfId="23218"/>
    <cellStyle name="常规 4 3 8 5 3 3 2 3" xfId="23219"/>
    <cellStyle name="常规 4 3 8 5 3 3 2 4" xfId="23220"/>
    <cellStyle name="常规 4 3 8 5 3 3 3" xfId="23221"/>
    <cellStyle name="常规 4 3 8 5 3 3 3 2" xfId="23089"/>
    <cellStyle name="常规 4 3 8 5 3 3 4" xfId="23223"/>
    <cellStyle name="常规 4 3 8 5 3 3 5" xfId="23224"/>
    <cellStyle name="常规 4 3 8 5 3 4" xfId="1755"/>
    <cellStyle name="常规 4 3 8 5 3 4 2" xfId="23225"/>
    <cellStyle name="常规 4 3 8 5 3 4 2 2" xfId="23226"/>
    <cellStyle name="常规 4 3 8 5 3 4 3" xfId="23227"/>
    <cellStyle name="常规 4 3 8 5 3 4 4" xfId="23228"/>
    <cellStyle name="常规 4 3 8 5 3 5" xfId="23229"/>
    <cellStyle name="常规 4 3 8 5 3 5 2" xfId="23231"/>
    <cellStyle name="常规 4 3 8 5 3 6" xfId="23232"/>
    <cellStyle name="常规 4 3 8 5 3 7" xfId="23233"/>
    <cellStyle name="常规 4 3 8 5 4" xfId="17434"/>
    <cellStyle name="常规 4 3 8 5 4 2" xfId="1675"/>
    <cellStyle name="常规 4 3 8 5 4 2 2" xfId="23236"/>
    <cellStyle name="常规 4 3 8 5 4 2 2 2" xfId="23237"/>
    <cellStyle name="常规 4 3 8 5 4 2 2 2 2" xfId="23239"/>
    <cellStyle name="常规 4 3 8 5 4 2 2 3" xfId="23240"/>
    <cellStyle name="常规 4 3 8 5 4 2 2 4" xfId="23241"/>
    <cellStyle name="常规 4 3 8 5 4 2 3" xfId="23242"/>
    <cellStyle name="常规 4 3 8 5 4 2 3 2" xfId="23243"/>
    <cellStyle name="常规 4 3 8 5 4 2 4" xfId="18112"/>
    <cellStyle name="常规 4 3 8 5 4 2 5" xfId="18119"/>
    <cellStyle name="常规 4 3 8 5 4 3" xfId="1797"/>
    <cellStyle name="常规 4 3 8 5 4 3 2" xfId="23244"/>
    <cellStyle name="常规 4 3 8 5 4 3 2 2" xfId="23245"/>
    <cellStyle name="常规 4 3 8 5 4 3 3" xfId="23246"/>
    <cellStyle name="常规 4 3 8 5 4 3 4" xfId="18125"/>
    <cellStyle name="常规 4 3 8 5 4 4" xfId="23248"/>
    <cellStyle name="常规 4 3 8 5 4 4 2" xfId="23249"/>
    <cellStyle name="常规 4 3 8 5 4 5" xfId="23250"/>
    <cellStyle name="常规 4 3 8 5 4 6" xfId="23251"/>
    <cellStyle name="常规 4 3 8 5 5" xfId="23252"/>
    <cellStyle name="常规 4 3 8 5 5 2" xfId="23253"/>
    <cellStyle name="常规 4 3 8 5 5 2 2" xfId="23254"/>
    <cellStyle name="常规 4 3 8 5 5 2 2 2" xfId="23255"/>
    <cellStyle name="常规 4 3 8 5 5 2 3" xfId="23256"/>
    <cellStyle name="常规 4 3 8 5 5 2 4" xfId="3278"/>
    <cellStyle name="常规 4 3 8 5 5 3" xfId="23257"/>
    <cellStyle name="常规 4 3 8 5 5 3 2" xfId="23258"/>
    <cellStyle name="常规 4 3 8 5 5 4" xfId="23259"/>
    <cellStyle name="常规 4 3 8 5 5 5" xfId="23260"/>
    <cellStyle name="常规 4 3 8 5 6" xfId="23261"/>
    <cellStyle name="常规 4 3 8 5 6 2" xfId="23262"/>
    <cellStyle name="常规 4 3 8 5 6 2 2" xfId="23264"/>
    <cellStyle name="常规 4 3 8 5 6 3" xfId="23265"/>
    <cellStyle name="常规 4 3 8 5 6 4" xfId="23266"/>
    <cellStyle name="常规 4 3 8 5 7" xfId="23267"/>
    <cellStyle name="常规 4 3 8 5 7 2" xfId="23268"/>
    <cellStyle name="常规 4 3 8 5 8" xfId="23269"/>
    <cellStyle name="常规 4 3 8 5 9" xfId="23136"/>
    <cellStyle name="常规 4 3 8 6" xfId="21089"/>
    <cellStyle name="常规 4 3 8 6 2" xfId="23270"/>
    <cellStyle name="常规 4 3 8 6 2 2" xfId="23271"/>
    <cellStyle name="常规 4 3 8 6 2 2 2" xfId="23275"/>
    <cellStyle name="常规 4 3 8 6 2 2 2 2" xfId="23276"/>
    <cellStyle name="常规 4 3 8 6 2 2 2 2 2" xfId="17588"/>
    <cellStyle name="常规 4 3 8 6 2 2 2 2 2 2" xfId="23277"/>
    <cellStyle name="常规 4 3 8 6 2 2 2 2 3" xfId="23278"/>
    <cellStyle name="常规 4 3 8 6 2 2 2 2 4" xfId="23281"/>
    <cellStyle name="常规 4 3 8 6 2 2 2 3" xfId="23282"/>
    <cellStyle name="常规 4 3 8 6 2 2 2 3 2" xfId="23283"/>
    <cellStyle name="常规 4 3 8 6 2 2 2 4" xfId="23284"/>
    <cellStyle name="常规 4 3 8 6 2 2 2 5" xfId="23285"/>
    <cellStyle name="常规 4 3 8 6 2 2 3" xfId="23288"/>
    <cellStyle name="常规 4 3 8 6 2 2 3 2" xfId="23289"/>
    <cellStyle name="常规 4 3 8 6 2 2 3 2 2" xfId="17757"/>
    <cellStyle name="常规 4 3 8 6 2 2 3 3" xfId="23290"/>
    <cellStyle name="常规 4 3 8 6 2 2 3 4" xfId="23291"/>
    <cellStyle name="常规 4 3 8 6 2 2 4" xfId="23292"/>
    <cellStyle name="常规 4 3 8 6 2 2 4 2" xfId="23293"/>
    <cellStyle name="常规 4 3 8 6 2 2 5" xfId="23295"/>
    <cellStyle name="常规 4 3 8 6 2 2 6" xfId="23297"/>
    <cellStyle name="常规 4 3 8 6 2 3" xfId="23298"/>
    <cellStyle name="常规 4 3 8 6 2 3 2" xfId="23302"/>
    <cellStyle name="常规 4 3 8 6 2 3 2 2" xfId="23304"/>
    <cellStyle name="常规 4 3 8 6 2 3 2 2 2" xfId="23305"/>
    <cellStyle name="常规 4 3 8 6 2 3 2 3" xfId="23306"/>
    <cellStyle name="常规 4 3 8 6 2 3 2 4" xfId="23307"/>
    <cellStyle name="常规 4 3 8 6 2 3 3" xfId="23309"/>
    <cellStyle name="常规 4 3 8 6 2 3 3 2" xfId="23311"/>
    <cellStyle name="常规 4 3 8 6 2 3 4" xfId="23313"/>
    <cellStyle name="常规 4 3 8 6 2 3 5" xfId="23315"/>
    <cellStyle name="常规 4 3 8 6 2 4" xfId="23316"/>
    <cellStyle name="常规 4 3 8 6 2 4 2" xfId="23318"/>
    <cellStyle name="常规 4 3 8 6 2 4 2 2" xfId="23319"/>
    <cellStyle name="常规 4 3 8 6 2 4 3" xfId="23321"/>
    <cellStyle name="常规 4 3 8 6 2 4 4" xfId="23322"/>
    <cellStyle name="常规 4 3 8 6 2 5" xfId="23323"/>
    <cellStyle name="常规 4 3 8 6 2 5 2" xfId="23326"/>
    <cellStyle name="常规 4 3 8 6 2 6" xfId="23327"/>
    <cellStyle name="常规 4 3 8 6 2 7" xfId="23328"/>
    <cellStyle name="常规 4 3 8 6 3" xfId="23329"/>
    <cellStyle name="常规 4 3 8 6 3 2" xfId="907"/>
    <cellStyle name="常规 4 3 8 6 3 2 2" xfId="12090"/>
    <cellStyle name="常规 4 3 8 6 3 2 2 2" xfId="12093"/>
    <cellStyle name="常规 4 3 8 6 3 2 2 2 2" xfId="12099"/>
    <cellStyle name="常规 4 3 8 6 3 2 2 3" xfId="12131"/>
    <cellStyle name="常规 4 3 8 6 3 2 2 4" xfId="12148"/>
    <cellStyle name="常规 4 3 8 6 3 2 3" xfId="12162"/>
    <cellStyle name="常规 4 3 8 6 3 2 3 2" xfId="12165"/>
    <cellStyle name="常规 4 3 8 6 3 2 4" xfId="12196"/>
    <cellStyle name="常规 4 3 8 6 3 2 5" xfId="12210"/>
    <cellStyle name="常规 4 3 8 6 3 3" xfId="1555"/>
    <cellStyle name="常规 4 3 8 6 3 3 2" xfId="12438"/>
    <cellStyle name="常规 4 3 8 6 3 3 2 2" xfId="12441"/>
    <cellStyle name="常规 4 3 8 6 3 3 3" xfId="12453"/>
    <cellStyle name="常规 4 3 8 6 3 3 4" xfId="12460"/>
    <cellStyle name="常规 4 3 8 6 3 4" xfId="23330"/>
    <cellStyle name="常规 4 3 8 6 3 4 2" xfId="12718"/>
    <cellStyle name="常规 4 3 8 6 3 5" xfId="23331"/>
    <cellStyle name="常规 4 3 8 6 3 6" xfId="23332"/>
    <cellStyle name="常规 4 3 8 6 4" xfId="23333"/>
    <cellStyle name="常规 4 3 8 6 4 2" xfId="23334"/>
    <cellStyle name="常规 4 3 8 6 4 2 2" xfId="14077"/>
    <cellStyle name="常规 4 3 8 6 4 2 2 2" xfId="14080"/>
    <cellStyle name="常规 4 3 8 6 4 2 3" xfId="14092"/>
    <cellStyle name="常规 4 3 8 6 4 2 4" xfId="14097"/>
    <cellStyle name="常规 4 3 8 6 4 3" xfId="23335"/>
    <cellStyle name="常规 4 3 8 6 4 3 2" xfId="14312"/>
    <cellStyle name="常规 4 3 8 6 4 4" xfId="19516"/>
    <cellStyle name="常规 4 3 8 6 4 5" xfId="19519"/>
    <cellStyle name="常规 4 3 8 6 5" xfId="23336"/>
    <cellStyle name="常规 4 3 8 6 5 2" xfId="23337"/>
    <cellStyle name="常规 4 3 8 6 5 2 2" xfId="15015"/>
    <cellStyle name="常规 4 3 8 6 5 3" xfId="23338"/>
    <cellStyle name="常规 4 3 8 6 5 4" xfId="19524"/>
    <cellStyle name="常规 4 3 8 6 6" xfId="23339"/>
    <cellStyle name="常规 4 3 8 6 6 2" xfId="23340"/>
    <cellStyle name="常规 4 3 8 6 7" xfId="23341"/>
    <cellStyle name="常规 4 3 8 6 8" xfId="23343"/>
    <cellStyle name="常规 4 3 8 7" xfId="23344"/>
    <cellStyle name="常规 4 3 8 7 2" xfId="23345"/>
    <cellStyle name="常规 4 3 8 7 2 2" xfId="23346"/>
    <cellStyle name="常规 4 3 8 7 2 2 2" xfId="23350"/>
    <cellStyle name="常规 4 3 8 7 2 2 2 2" xfId="22896"/>
    <cellStyle name="常规 4 3 8 7 2 2 2 2 2" xfId="23351"/>
    <cellStyle name="常规 4 3 8 7 2 2 2 3" xfId="6935"/>
    <cellStyle name="常规 4 3 8 7 2 2 2 4" xfId="6939"/>
    <cellStyle name="常规 4 3 8 7 2 2 3" xfId="23353"/>
    <cellStyle name="常规 4 3 8 7 2 2 3 2" xfId="23354"/>
    <cellStyle name="常规 4 3 8 7 2 2 4" xfId="9974"/>
    <cellStyle name="常规 4 3 8 7 2 2 5" xfId="9978"/>
    <cellStyle name="常规 4 3 8 7 2 3" xfId="23355"/>
    <cellStyle name="常规 4 3 8 7 2 3 2" xfId="23358"/>
    <cellStyle name="常规 4 3 8 7 2 3 2 2" xfId="23359"/>
    <cellStyle name="常规 4 3 8 7 2 3 3" xfId="23361"/>
    <cellStyle name="常规 4 3 8 7 2 3 4" xfId="2618"/>
    <cellStyle name="常规 4 3 8 7 2 4" xfId="23362"/>
    <cellStyle name="常规 4 3 8 7 2 4 2" xfId="23364"/>
    <cellStyle name="常规 4 3 8 7 2 5" xfId="23365"/>
    <cellStyle name="常规 4 3 8 7 2 6" xfId="23366"/>
    <cellStyle name="常规 4 3 8 7 3" xfId="23367"/>
    <cellStyle name="常规 4 3 8 7 3 2" xfId="315"/>
    <cellStyle name="常规 4 3 8 7 3 2 2" xfId="23368"/>
    <cellStyle name="常规 4 3 8 7 3 2 2 2" xfId="23369"/>
    <cellStyle name="常规 4 3 8 7 3 2 3" xfId="23370"/>
    <cellStyle name="常规 4 3 8 7 3 2 4" xfId="9983"/>
    <cellStyle name="常规 4 3 8 7 3 3" xfId="327"/>
    <cellStyle name="常规 4 3 8 7 3 3 2" xfId="23372"/>
    <cellStyle name="常规 4 3 8 7 3 4" xfId="352"/>
    <cellStyle name="常规 4 3 8 7 3 5" xfId="23373"/>
    <cellStyle name="常规 4 3 8 7 4" xfId="23374"/>
    <cellStyle name="常规 4 3 8 7 4 2" xfId="23375"/>
    <cellStyle name="常规 4 3 8 7 4 2 2" xfId="8279"/>
    <cellStyle name="常规 4 3 8 7 4 3" xfId="23376"/>
    <cellStyle name="常规 4 3 8 7 4 4" xfId="19534"/>
    <cellStyle name="常规 4 3 8 7 5" xfId="23377"/>
    <cellStyle name="常规 4 3 8 7 5 2" xfId="23378"/>
    <cellStyle name="常规 4 3 8 7 6" xfId="23379"/>
    <cellStyle name="常规 4 3 8 7 7" xfId="23380"/>
    <cellStyle name="常规 4 3 8 8" xfId="23381"/>
    <cellStyle name="常规 4 3 8 8 2" xfId="23382"/>
    <cellStyle name="常规 4 3 8 8 2 2" xfId="23383"/>
    <cellStyle name="常规 4 3 8 8 2 2 2" xfId="23385"/>
    <cellStyle name="常规 4 3 8 8 2 2 2 2" xfId="23386"/>
    <cellStyle name="常规 4 3 8 8 2 2 3" xfId="23388"/>
    <cellStyle name="常规 4 3 8 8 2 2 4" xfId="9997"/>
    <cellStyle name="常规 4 3 8 8 2 3" xfId="23389"/>
    <cellStyle name="常规 4 3 8 8 2 3 2" xfId="23391"/>
    <cellStyle name="常规 4 3 8 8 2 4" xfId="23392"/>
    <cellStyle name="常规 4 3 8 8 2 5" xfId="23393"/>
    <cellStyle name="常规 4 3 8 8 3" xfId="11349"/>
    <cellStyle name="常规 4 3 8 8 3 2" xfId="23394"/>
    <cellStyle name="常规 4 3 8 8 3 2 2" xfId="23395"/>
    <cellStyle name="常规 4 3 8 8 3 3" xfId="23396"/>
    <cellStyle name="常规 4 3 8 8 3 4" xfId="23397"/>
    <cellStyle name="常规 4 3 8 8 4" xfId="10566"/>
    <cellStyle name="常规 4 3 8 8 4 2" xfId="10568"/>
    <cellStyle name="常规 4 3 8 8 5" xfId="10570"/>
    <cellStyle name="常规 4 3 8 8 6" xfId="10572"/>
    <cellStyle name="常规 4 3 8 9" xfId="10841"/>
    <cellStyle name="常规 4 3 8 9 2" xfId="10843"/>
    <cellStyle name="常规 4 3 8 9 2 2" xfId="10845"/>
    <cellStyle name="常规 4 3 8 9 2 2 2" xfId="10848"/>
    <cellStyle name="常规 4 3 8 9 2 3" xfId="10851"/>
    <cellStyle name="常规 4 3 8 9 2 4" xfId="10856"/>
    <cellStyle name="常规 4 3 8 9 3" xfId="10858"/>
    <cellStyle name="常规 4 3 8 9 3 2" xfId="10860"/>
    <cellStyle name="常规 4 3 8 9 4" xfId="10576"/>
    <cellStyle name="常规 4 3 8 9 5" xfId="10864"/>
    <cellStyle name="常规 4 3 9" xfId="18179"/>
    <cellStyle name="常规 4 3 9 10" xfId="22964"/>
    <cellStyle name="常规 4 3 9 10 2" xfId="23398"/>
    <cellStyle name="常规 4 3 9 11" xfId="22966"/>
    <cellStyle name="常规 4 3 9 12" xfId="23399"/>
    <cellStyle name="常规 4 3 9 2" xfId="23400"/>
    <cellStyle name="常规 4 3 9 2 10" xfId="23401"/>
    <cellStyle name="常规 4 3 9 2 11" xfId="23403"/>
    <cellStyle name="常规 4 3 9 2 2" xfId="23404"/>
    <cellStyle name="常规 4 3 9 2 2 2" xfId="23405"/>
    <cellStyle name="常规 4 3 9 2 2 2 2" xfId="22220"/>
    <cellStyle name="常规 4 3 9 2 2 2 2 2" xfId="23407"/>
    <cellStyle name="常规 4 3 9 2 2 2 2 2 2" xfId="23409"/>
    <cellStyle name="常规 4 3 9 2 2 2 2 2 2 2" xfId="23410"/>
    <cellStyle name="常规 4 3 9 2 2 2 2 2 2 2 2" xfId="23411"/>
    <cellStyle name="常规 4 3 9 2 2 2 2 2 2 2 2 2" xfId="23412"/>
    <cellStyle name="常规 4 3 9 2 2 2 2 2 2 2 3" xfId="23415"/>
    <cellStyle name="常规 4 3 9 2 2 2 2 2 2 2 4" xfId="23419"/>
    <cellStyle name="常规 4 3 9 2 2 2 2 2 2 3" xfId="2457"/>
    <cellStyle name="常规 4 3 9 2 2 2 2 2 2 3 2" xfId="23420"/>
    <cellStyle name="常规 4 3 9 2 2 2 2 2 2 4" xfId="2460"/>
    <cellStyle name="常规 4 3 9 2 2 2 2 2 2 5" xfId="23421"/>
    <cellStyle name="常规 4 3 9 2 2 2 2 2 3" xfId="23422"/>
    <cellStyle name="常规 4 3 9 2 2 2 2 2 3 2" xfId="23423"/>
    <cellStyle name="常规 4 3 9 2 2 2 2 2 3 2 2" xfId="23424"/>
    <cellStyle name="常规 4 3 9 2 2 2 2 2 3 3" xfId="2465"/>
    <cellStyle name="常规 4 3 9 2 2 2 2 2 3 4" xfId="23425"/>
    <cellStyle name="常规 4 3 9 2 2 2 2 2 4" xfId="23426"/>
    <cellStyle name="常规 4 3 9 2 2 2 2 2 4 2" xfId="23427"/>
    <cellStyle name="常规 4 3 9 2 2 2 2 2 5" xfId="23428"/>
    <cellStyle name="常规 4 3 9 2 2 2 2 2 6" xfId="23430"/>
    <cellStyle name="常规 4 3 9 2 2 2 2 3" xfId="23431"/>
    <cellStyle name="常规 4 3 9 2 2 2 2 3 2" xfId="23432"/>
    <cellStyle name="常规 4 3 9 2 2 2 2 3 2 2" xfId="23433"/>
    <cellStyle name="常规 4 3 9 2 2 2 2 3 2 2 2" xfId="23434"/>
    <cellStyle name="常规 4 3 9 2 2 2 2 3 2 3" xfId="2484"/>
    <cellStyle name="常规 4 3 9 2 2 2 2 3 2 4" xfId="2486"/>
    <cellStyle name="常规 4 3 9 2 2 2 2 3 3" xfId="23435"/>
    <cellStyle name="常规 4 3 9 2 2 2 2 3 3 2" xfId="23436"/>
    <cellStyle name="常规 4 3 9 2 2 2 2 3 4" xfId="23437"/>
    <cellStyle name="常规 4 3 9 2 2 2 2 3 5" xfId="23438"/>
    <cellStyle name="常规 4 3 9 2 2 2 2 4" xfId="23439"/>
    <cellStyle name="常规 4 3 9 2 2 2 2 4 2" xfId="23440"/>
    <cellStyle name="常规 4 3 9 2 2 2 2 4 2 2" xfId="2205"/>
    <cellStyle name="常规 4 3 9 2 2 2 2 4 3" xfId="23441"/>
    <cellStyle name="常规 4 3 9 2 2 2 2 4 4" xfId="23442"/>
    <cellStyle name="常规 4 3 9 2 2 2 2 5" xfId="9548"/>
    <cellStyle name="常规 4 3 9 2 2 2 2 5 2" xfId="9550"/>
    <cellStyle name="常规 4 3 9 2 2 2 2 6" xfId="9554"/>
    <cellStyle name="常规 4 3 9 2 2 2 2 7" xfId="9558"/>
    <cellStyle name="常规 4 3 9 2 2 2 3" xfId="22223"/>
    <cellStyle name="常规 4 3 9 2 2 2 3 2" xfId="23443"/>
    <cellStyle name="常规 4 3 9 2 2 2 3 2 2" xfId="23444"/>
    <cellStyle name="常规 4 3 9 2 2 2 3 2 2 2" xfId="578"/>
    <cellStyle name="常规 4 3 9 2 2 2 3 2 2 2 2" xfId="19276"/>
    <cellStyle name="常规 4 3 9 2 2 2 3 2 2 3" xfId="583"/>
    <cellStyle name="常规 4 3 9 2 2 2 3 2 2 4" xfId="23445"/>
    <cellStyle name="常规 4 3 9 2 2 2 3 2 3" xfId="23446"/>
    <cellStyle name="常规 4 3 9 2 2 2 3 2 3 2" xfId="610"/>
    <cellStyle name="常规 4 3 9 2 2 2 3 2 4" xfId="23447"/>
    <cellStyle name="常规 4 3 9 2 2 2 3 2 5" xfId="23448"/>
    <cellStyle name="常规 4 3 9 2 2 2 3 3" xfId="23449"/>
    <cellStyle name="常规 4 3 9 2 2 2 3 3 2" xfId="23450"/>
    <cellStyle name="常规 4 3 9 2 2 2 3 3 2 2" xfId="23451"/>
    <cellStyle name="常规 4 3 9 2 2 2 3 3 3" xfId="23452"/>
    <cellStyle name="常规 4 3 9 2 2 2 3 3 4" xfId="23453"/>
    <cellStyle name="常规 4 3 9 2 2 2 3 4" xfId="23454"/>
    <cellStyle name="常规 4 3 9 2 2 2 3 4 2" xfId="23455"/>
    <cellStyle name="常规 4 3 9 2 2 2 3 5" xfId="9566"/>
    <cellStyle name="常规 4 3 9 2 2 2 3 6" xfId="9569"/>
    <cellStyle name="常规 4 3 9 2 2 2 4" xfId="13423"/>
    <cellStyle name="常规 4 3 9 2 2 2 4 2" xfId="4893"/>
    <cellStyle name="常规 4 3 9 2 2 2 4 2 2" xfId="23456"/>
    <cellStyle name="常规 4 3 9 2 2 2 4 2 2 2" xfId="20056"/>
    <cellStyle name="常规 4 3 9 2 2 2 4 2 3" xfId="23457"/>
    <cellStyle name="常规 4 3 9 2 2 2 4 2 4" xfId="23458"/>
    <cellStyle name="常规 4 3 9 2 2 2 4 3" xfId="23459"/>
    <cellStyle name="常规 4 3 9 2 2 2 4 3 2" xfId="23460"/>
    <cellStyle name="常规 4 3 9 2 2 2 4 4" xfId="23461"/>
    <cellStyle name="常规 4 3 9 2 2 2 4 5" xfId="9574"/>
    <cellStyle name="常规 4 3 9 2 2 2 5" xfId="13427"/>
    <cellStyle name="常规 4 3 9 2 2 2 5 2" xfId="23462"/>
    <cellStyle name="常规 4 3 9 2 2 2 5 2 2" xfId="23463"/>
    <cellStyle name="常规 4 3 9 2 2 2 5 3" xfId="23464"/>
    <cellStyle name="常规 4 3 9 2 2 2 5 4" xfId="23465"/>
    <cellStyle name="常规 4 3 9 2 2 2 6" xfId="13430"/>
    <cellStyle name="常规 4 3 9 2 2 2 6 2" xfId="23466"/>
    <cellStyle name="常规 4 3 9 2 2 2 7" xfId="23467"/>
    <cellStyle name="常规 4 3 9 2 2 2 8" xfId="23468"/>
    <cellStyle name="常规 4 3 9 2 2 3" xfId="23469"/>
    <cellStyle name="常规 4 3 9 2 2 3 2" xfId="23472"/>
    <cellStyle name="常规 4 3 9 2 2 3 2 2" xfId="23473"/>
    <cellStyle name="常规 4 3 9 2 2 3 2 2 2" xfId="23474"/>
    <cellStyle name="常规 4 3 9 2 2 3 2 2 2 2" xfId="16923"/>
    <cellStyle name="常规 4 3 9 2 2 3 2 2 2 2 2" xfId="16926"/>
    <cellStyle name="常规 4 3 9 2 2 3 2 2 2 3" xfId="16929"/>
    <cellStyle name="常规 4 3 9 2 2 3 2 2 2 4" xfId="16933"/>
    <cellStyle name="常规 4 3 9 2 2 3 2 2 3" xfId="10010"/>
    <cellStyle name="常规 4 3 9 2 2 3 2 2 3 2" xfId="16937"/>
    <cellStyle name="常规 4 3 9 2 2 3 2 2 4" xfId="23475"/>
    <cellStyle name="常规 4 3 9 2 2 3 2 2 5" xfId="23476"/>
    <cellStyle name="常规 4 3 9 2 2 3 2 3" xfId="23477"/>
    <cellStyle name="常规 4 3 9 2 2 3 2 3 2" xfId="23478"/>
    <cellStyle name="常规 4 3 9 2 2 3 2 3 2 2" xfId="16976"/>
    <cellStyle name="常规 4 3 9 2 2 3 2 3 3" xfId="23479"/>
    <cellStyle name="常规 4 3 9 2 2 3 2 3 4" xfId="23480"/>
    <cellStyle name="常规 4 3 9 2 2 3 2 4" xfId="23481"/>
    <cellStyle name="常规 4 3 9 2 2 3 2 4 2" xfId="23482"/>
    <cellStyle name="常规 4 3 9 2 2 3 2 5" xfId="9584"/>
    <cellStyle name="常规 4 3 9 2 2 3 2 6" xfId="9587"/>
    <cellStyle name="常规 4 3 9 2 2 3 3" xfId="23484"/>
    <cellStyle name="常规 4 3 9 2 2 3 3 2" xfId="23485"/>
    <cellStyle name="常规 4 3 9 2 2 3 3 2 2" xfId="23486"/>
    <cellStyle name="常规 4 3 9 2 2 3 3 2 2 2" xfId="17132"/>
    <cellStyle name="常规 4 3 9 2 2 3 3 2 3" xfId="23487"/>
    <cellStyle name="常规 4 3 9 2 2 3 3 2 4" xfId="23488"/>
    <cellStyle name="常规 4 3 9 2 2 3 3 3" xfId="23489"/>
    <cellStyle name="常规 4 3 9 2 2 3 3 3 2" xfId="23490"/>
    <cellStyle name="常规 4 3 9 2 2 3 3 4" xfId="23491"/>
    <cellStyle name="常规 4 3 9 2 2 3 3 5" xfId="9591"/>
    <cellStyle name="常规 4 3 9 2 2 3 4" xfId="13438"/>
    <cellStyle name="常规 4 3 9 2 2 3 4 2" xfId="23492"/>
    <cellStyle name="常规 4 3 9 2 2 3 4 2 2" xfId="23493"/>
    <cellStyle name="常规 4 3 9 2 2 3 4 3" xfId="23494"/>
    <cellStyle name="常规 4 3 9 2 2 3 4 4" xfId="23495"/>
    <cellStyle name="常规 4 3 9 2 2 3 5" xfId="23496"/>
    <cellStyle name="常规 4 3 9 2 2 3 5 2" xfId="23497"/>
    <cellStyle name="常规 4 3 9 2 2 3 6" xfId="23498"/>
    <cellStyle name="常规 4 3 9 2 2 3 7" xfId="23499"/>
    <cellStyle name="常规 4 3 9 2 2 4" xfId="18379"/>
    <cellStyle name="常规 4 3 9 2 2 4 2" xfId="23501"/>
    <cellStyle name="常规 4 3 9 2 2 4 2 2" xfId="23502"/>
    <cellStyle name="常规 4 3 9 2 2 4 2 2 2" xfId="23503"/>
    <cellStyle name="常规 4 3 9 2 2 4 2 2 2 2" xfId="17667"/>
    <cellStyle name="常规 4 3 9 2 2 4 2 2 3" xfId="23504"/>
    <cellStyle name="常规 4 3 9 2 2 4 2 2 4" xfId="23505"/>
    <cellStyle name="常规 4 3 9 2 2 4 2 3" xfId="23506"/>
    <cellStyle name="常规 4 3 9 2 2 4 2 3 2" xfId="23508"/>
    <cellStyle name="常规 4 3 9 2 2 4 2 4" xfId="23509"/>
    <cellStyle name="常规 4 3 9 2 2 4 2 5" xfId="9597"/>
    <cellStyle name="常规 4 3 9 2 2 4 3" xfId="23510"/>
    <cellStyle name="常规 4 3 9 2 2 4 3 2" xfId="23511"/>
    <cellStyle name="常规 4 3 9 2 2 4 3 2 2" xfId="20099"/>
    <cellStyle name="常规 4 3 9 2 2 4 3 3" xfId="23512"/>
    <cellStyle name="常规 4 3 9 2 2 4 3 4" xfId="23513"/>
    <cellStyle name="常规 4 3 9 2 2 4 4" xfId="23514"/>
    <cellStyle name="常规 4 3 9 2 2 4 4 2" xfId="23516"/>
    <cellStyle name="常规 4 3 9 2 2 4 5" xfId="23517"/>
    <cellStyle name="常规 4 3 9 2 2 4 6" xfId="19937"/>
    <cellStyle name="常规 4 3 9 2 2 5" xfId="23518"/>
    <cellStyle name="常规 4 3 9 2 2 5 2" xfId="4253"/>
    <cellStyle name="常规 4 3 9 2 2 5 2 2" xfId="23519"/>
    <cellStyle name="常规 4 3 9 2 2 5 2 2 2" xfId="23520"/>
    <cellStyle name="常规 4 3 9 2 2 5 2 3" xfId="23521"/>
    <cellStyle name="常规 4 3 9 2 2 5 2 4" xfId="23522"/>
    <cellStyle name="常规 4 3 9 2 2 5 3" xfId="4259"/>
    <cellStyle name="常规 4 3 9 2 2 5 3 2" xfId="23523"/>
    <cellStyle name="常规 4 3 9 2 2 5 4" xfId="23525"/>
    <cellStyle name="常规 4 3 9 2 2 5 5" xfId="4000"/>
    <cellStyle name="常规 4 3 9 2 2 6" xfId="23526"/>
    <cellStyle name="常规 4 3 9 2 2 6 2" xfId="23528"/>
    <cellStyle name="常规 4 3 9 2 2 6 2 2" xfId="23530"/>
    <cellStyle name="常规 4 3 9 2 2 6 3" xfId="23532"/>
    <cellStyle name="常规 4 3 9 2 2 6 4" xfId="23536"/>
    <cellStyle name="常规 4 3 9 2 2 7" xfId="23537"/>
    <cellStyle name="常规 4 3 9 2 2 7 2" xfId="23540"/>
    <cellStyle name="常规 4 3 9 2 2 8" xfId="7767"/>
    <cellStyle name="常规 4 3 9 2 2 9" xfId="9661"/>
    <cellStyle name="常规 4 3 9 2 3" xfId="23541"/>
    <cellStyle name="常规 4 3 9 2 3 2" xfId="23542"/>
    <cellStyle name="常规 4 3 9 2 3 2 2" xfId="23546"/>
    <cellStyle name="常规 4 3 9 2 3 2 2 2" xfId="23548"/>
    <cellStyle name="常规 4 3 9 2 3 2 2 2 2" xfId="23549"/>
    <cellStyle name="常规 4 3 9 2 3 2 2 2 2 2" xfId="23550"/>
    <cellStyle name="常规 4 3 9 2 3 2 2 2 2 2 2" xfId="23551"/>
    <cellStyle name="常规 4 3 9 2 3 2 2 2 2 2 2 2" xfId="23552"/>
    <cellStyle name="常规 4 3 9 2 3 2 2 2 2 2 3" xfId="23554"/>
    <cellStyle name="常规 4 3 9 2 3 2 2 2 2 2 4" xfId="23558"/>
    <cellStyle name="常规 4 3 9 2 3 2 2 2 2 3" xfId="23559"/>
    <cellStyle name="常规 4 3 9 2 3 2 2 2 2 3 2" xfId="23560"/>
    <cellStyle name="常规 4 3 9 2 3 2 2 2 2 4" xfId="23562"/>
    <cellStyle name="常规 4 3 9 2 3 2 2 2 2 5" xfId="23564"/>
    <cellStyle name="常规 4 3 9 2 3 2 2 2 3" xfId="23565"/>
    <cellStyle name="常规 4 3 9 2 3 2 2 2 3 2" xfId="23566"/>
    <cellStyle name="常规 4 3 9 2 3 2 2 2 3 2 2" xfId="23567"/>
    <cellStyle name="常规 4 3 9 2 3 2 2 2 3 3" xfId="21294"/>
    <cellStyle name="常规 4 3 9 2 3 2 2 2 3 4" xfId="23569"/>
    <cellStyle name="常规 4 3 9 2 3 2 2 2 4" xfId="22460"/>
    <cellStyle name="常规 4 3 9 2 3 2 2 2 4 2" xfId="23571"/>
    <cellStyle name="常规 4 3 9 2 3 2 2 2 5" xfId="23572"/>
    <cellStyle name="常规 4 3 9 2 3 2 2 2 6" xfId="23573"/>
    <cellStyle name="常规 4 3 9 2 3 2 2 3" xfId="23575"/>
    <cellStyle name="常规 4 3 9 2 3 2 2 3 2" xfId="23576"/>
    <cellStyle name="常规 4 3 9 2 3 2 2 3 2 2" xfId="23577"/>
    <cellStyle name="常规 4 3 9 2 3 2 2 3 2 2 2" xfId="23578"/>
    <cellStyle name="常规 4 3 9 2 3 2 2 3 2 3" xfId="23579"/>
    <cellStyle name="常规 4 3 9 2 3 2 2 3 2 4" xfId="23581"/>
    <cellStyle name="常规 4 3 9 2 3 2 2 3 3" xfId="23582"/>
    <cellStyle name="常规 4 3 9 2 3 2 2 3 3 2" xfId="23583"/>
    <cellStyle name="常规 4 3 9 2 3 2 2 3 4" xfId="23584"/>
    <cellStyle name="常规 4 3 9 2 3 2 2 3 5" xfId="23585"/>
    <cellStyle name="常规 4 3 9 2 3 2 2 4" xfId="23586"/>
    <cellStyle name="常规 4 3 9 2 3 2 2 4 2" xfId="22440"/>
    <cellStyle name="常规 4 3 9 2 3 2 2 4 2 2" xfId="22443"/>
    <cellStyle name="常规 4 3 9 2 3 2 2 4 3" xfId="22480"/>
    <cellStyle name="常规 4 3 9 2 3 2 2 4 4" xfId="22501"/>
    <cellStyle name="常规 4 3 9 2 3 2 2 5" xfId="9628"/>
    <cellStyle name="常规 4 3 9 2 3 2 2 5 2" xfId="9630"/>
    <cellStyle name="常规 4 3 9 2 3 2 2 6" xfId="9633"/>
    <cellStyle name="常规 4 3 9 2 3 2 2 7" xfId="9635"/>
    <cellStyle name="常规 4 3 9 2 3 2 3" xfId="23591"/>
    <cellStyle name="常规 4 3 9 2 3 2 3 2" xfId="23594"/>
    <cellStyle name="常规 4 3 9 2 3 2 3 2 2" xfId="23595"/>
    <cellStyle name="常规 4 3 9 2 3 2 3 2 2 2" xfId="23596"/>
    <cellStyle name="常规 4 3 9 2 3 2 3 2 2 2 2" xfId="23597"/>
    <cellStyle name="常规 4 3 9 2 3 2 3 2 2 3" xfId="23598"/>
    <cellStyle name="常规 4 3 9 2 3 2 3 2 2 4" xfId="23600"/>
    <cellStyle name="常规 4 3 9 2 3 2 3 2 3" xfId="23601"/>
    <cellStyle name="常规 4 3 9 2 3 2 3 2 3 2" xfId="23602"/>
    <cellStyle name="常规 4 3 9 2 3 2 3 2 4" xfId="23603"/>
    <cellStyle name="常规 4 3 9 2 3 2 3 2 5" xfId="23604"/>
    <cellStyle name="常规 4 3 9 2 3 2 3 3" xfId="3509"/>
    <cellStyle name="常规 4 3 9 2 3 2 3 3 2" xfId="23605"/>
    <cellStyle name="常规 4 3 9 2 3 2 3 3 2 2" xfId="21080"/>
    <cellStyle name="常规 4 3 9 2 3 2 3 3 3" xfId="23606"/>
    <cellStyle name="常规 4 3 9 2 3 2 3 3 4" xfId="23607"/>
    <cellStyle name="常规 4 3 9 2 3 2 3 4" xfId="23608"/>
    <cellStyle name="常规 4 3 9 2 3 2 3 4 2" xfId="22949"/>
    <cellStyle name="常规 4 3 9 2 3 2 3 5" xfId="9640"/>
    <cellStyle name="常规 4 3 9 2 3 2 3 6" xfId="17088"/>
    <cellStyle name="常规 4 3 9 2 3 2 4" xfId="13494"/>
    <cellStyle name="常规 4 3 9 2 3 2 4 2" xfId="23609"/>
    <cellStyle name="常规 4 3 9 2 3 2 4 2 2" xfId="23610"/>
    <cellStyle name="常规 4 3 9 2 3 2 4 2 2 2" xfId="23612"/>
    <cellStyle name="常规 4 3 9 2 3 2 4 2 3" xfId="23613"/>
    <cellStyle name="常规 4 3 9 2 3 2 4 2 4" xfId="23614"/>
    <cellStyle name="常规 4 3 9 2 3 2 4 3" xfId="23615"/>
    <cellStyle name="常规 4 3 9 2 3 2 4 3 2" xfId="23616"/>
    <cellStyle name="常规 4 3 9 2 3 2 4 4" xfId="23617"/>
    <cellStyle name="常规 4 3 9 2 3 2 4 5" xfId="23618"/>
    <cellStyle name="常规 4 3 9 2 3 2 5" xfId="23620"/>
    <cellStyle name="常规 4 3 9 2 3 2 5 2" xfId="23621"/>
    <cellStyle name="常规 4 3 9 2 3 2 5 2 2" xfId="23622"/>
    <cellStyle name="常规 4 3 9 2 3 2 5 3" xfId="23623"/>
    <cellStyle name="常规 4 3 9 2 3 2 5 4" xfId="23624"/>
    <cellStyle name="常规 4 3 9 2 3 2 6" xfId="23625"/>
    <cellStyle name="常规 4 3 9 2 3 2 6 2" xfId="23626"/>
    <cellStyle name="常规 4 3 9 2 3 2 7" xfId="23627"/>
    <cellStyle name="常规 4 3 9 2 3 2 8" xfId="23628"/>
    <cellStyle name="常规 4 3 9 2 3 3" xfId="23629"/>
    <cellStyle name="常规 4 3 9 2 3 3 2" xfId="23633"/>
    <cellStyle name="常规 4 3 9 2 3 3 2 2" xfId="23636"/>
    <cellStyle name="常规 4 3 9 2 3 3 2 2 2" xfId="23637"/>
    <cellStyle name="常规 4 3 9 2 3 3 2 2 2 2" xfId="18903"/>
    <cellStyle name="常规 4 3 9 2 3 3 2 2 2 2 2" xfId="21256"/>
    <cellStyle name="常规 4 3 9 2 3 3 2 2 2 3" xfId="23638"/>
    <cellStyle name="常规 4 3 9 2 3 3 2 2 2 4" xfId="23640"/>
    <cellStyle name="常规 4 3 9 2 3 3 2 2 3" xfId="23641"/>
    <cellStyle name="常规 4 3 9 2 3 3 2 2 3 2" xfId="23642"/>
    <cellStyle name="常规 4 3 9 2 3 3 2 2 4" xfId="23643"/>
    <cellStyle name="常规 4 3 9 2 3 3 2 2 5" xfId="23644"/>
    <cellStyle name="常规 4 3 9 2 3 3 2 3" xfId="23645"/>
    <cellStyle name="常规 4 3 9 2 3 3 2 3 2" xfId="23646"/>
    <cellStyle name="常规 4 3 9 2 3 3 2 3 2 2" xfId="23647"/>
    <cellStyle name="常规 4 3 9 2 3 3 2 3 3" xfId="23648"/>
    <cellStyle name="常规 4 3 9 2 3 3 2 3 4" xfId="23649"/>
    <cellStyle name="常规 4 3 9 2 3 3 2 4" xfId="23650"/>
    <cellStyle name="常规 4 3 9 2 3 3 2 4 2" xfId="23652"/>
    <cellStyle name="常规 4 3 9 2 3 3 2 5" xfId="9645"/>
    <cellStyle name="常规 4 3 9 2 3 3 2 6" xfId="23653"/>
    <cellStyle name="常规 4 3 9 2 3 3 3" xfId="23656"/>
    <cellStyle name="常规 4 3 9 2 3 3 3 2" xfId="23657"/>
    <cellStyle name="常规 4 3 9 2 3 3 3 2 2" xfId="23658"/>
    <cellStyle name="常规 4 3 9 2 3 3 3 2 2 2" xfId="19140"/>
    <cellStyle name="常规 4 3 9 2 3 3 3 2 3" xfId="23659"/>
    <cellStyle name="常规 4 3 9 2 3 3 3 2 4" xfId="23660"/>
    <cellStyle name="常规 4 3 9 2 3 3 3 3" xfId="23661"/>
    <cellStyle name="常规 4 3 9 2 3 3 3 3 2" xfId="23662"/>
    <cellStyle name="常规 4 3 9 2 3 3 3 4" xfId="23663"/>
    <cellStyle name="常规 4 3 9 2 3 3 3 5" xfId="23664"/>
    <cellStyle name="常规 4 3 9 2 3 3 4" xfId="23666"/>
    <cellStyle name="常规 4 3 9 2 3 3 4 2" xfId="23667"/>
    <cellStyle name="常规 4 3 9 2 3 3 4 2 2" xfId="23668"/>
    <cellStyle name="常规 4 3 9 2 3 3 4 3" xfId="23669"/>
    <cellStyle name="常规 4 3 9 2 3 3 4 4" xfId="15232"/>
    <cellStyle name="常规 4 3 9 2 3 3 5" xfId="23670"/>
    <cellStyle name="常规 4 3 9 2 3 3 5 2" xfId="23671"/>
    <cellStyle name="常规 4 3 9 2 3 3 6" xfId="23672"/>
    <cellStyle name="常规 4 3 9 2 3 3 7" xfId="23673"/>
    <cellStyle name="常规 4 3 9 2 3 4" xfId="23674"/>
    <cellStyle name="常规 4 3 9 2 3 4 2" xfId="23676"/>
    <cellStyle name="常规 4 3 9 2 3 4 2 2" xfId="23677"/>
    <cellStyle name="常规 4 3 9 2 3 4 2 2 2" xfId="23678"/>
    <cellStyle name="常规 4 3 9 2 3 4 2 2 2 2" xfId="23679"/>
    <cellStyle name="常规 4 3 9 2 3 4 2 2 3" xfId="23680"/>
    <cellStyle name="常规 4 3 9 2 3 4 2 2 4" xfId="23681"/>
    <cellStyle name="常规 4 3 9 2 3 4 2 3" xfId="23682"/>
    <cellStyle name="常规 4 3 9 2 3 4 2 3 2" xfId="23683"/>
    <cellStyle name="常规 4 3 9 2 3 4 2 4" xfId="23684"/>
    <cellStyle name="常规 4 3 9 2 3 4 2 5" xfId="22557"/>
    <cellStyle name="常规 4 3 9 2 3 4 3" xfId="23686"/>
    <cellStyle name="常规 4 3 9 2 3 4 3 2" xfId="23687"/>
    <cellStyle name="常规 4 3 9 2 3 4 3 2 2" xfId="23689"/>
    <cellStyle name="常规 4 3 9 2 3 4 3 3" xfId="23690"/>
    <cellStyle name="常规 4 3 9 2 3 4 3 4" xfId="23692"/>
    <cellStyle name="常规 4 3 9 2 3 4 4" xfId="23693"/>
    <cellStyle name="常规 4 3 9 2 3 4 4 2" xfId="23696"/>
    <cellStyle name="常规 4 3 9 2 3 4 5" xfId="23697"/>
    <cellStyle name="常规 4 3 9 2 3 4 6" xfId="23698"/>
    <cellStyle name="常规 4 3 9 2 3 5" xfId="23700"/>
    <cellStyle name="常规 4 3 9 2 3 5 2" xfId="23702"/>
    <cellStyle name="常规 4 3 9 2 3 5 2 2" xfId="23703"/>
    <cellStyle name="常规 4 3 9 2 3 5 2 2 2" xfId="23704"/>
    <cellStyle name="常规 4 3 9 2 3 5 2 3" xfId="23705"/>
    <cellStyle name="常规 4 3 9 2 3 5 2 4" xfId="9721"/>
    <cellStyle name="常规 4 3 9 2 3 5 3" xfId="23706"/>
    <cellStyle name="常规 4 3 9 2 3 5 3 2" xfId="23707"/>
    <cellStyle name="常规 4 3 9 2 3 5 4" xfId="23709"/>
    <cellStyle name="常规 4 3 9 2 3 5 5" xfId="23710"/>
    <cellStyle name="常规 4 3 9 2 3 6" xfId="23712"/>
    <cellStyle name="常规 4 3 9 2 3 6 2" xfId="23714"/>
    <cellStyle name="常规 4 3 9 2 3 6 2 2" xfId="23716"/>
    <cellStyle name="常规 4 3 9 2 3 6 3" xfId="23718"/>
    <cellStyle name="常规 4 3 9 2 3 6 4" xfId="23720"/>
    <cellStyle name="常规 4 3 9 2 3 7" xfId="23724"/>
    <cellStyle name="常规 4 3 9 2 3 7 2" xfId="23726"/>
    <cellStyle name="常规 4 3 9 2 3 8" xfId="9667"/>
    <cellStyle name="常规 4 3 9 2 3 9" xfId="9671"/>
    <cellStyle name="常规 4 3 9 2 4" xfId="23727"/>
    <cellStyle name="常规 4 3 9 2 4 2" xfId="23728"/>
    <cellStyle name="常规 4 3 9 2 4 2 2" xfId="4387"/>
    <cellStyle name="常规 4 3 9 2 4 2 2 2" xfId="23731"/>
    <cellStyle name="常规 4 3 9 2 4 2 2 2 2" xfId="4576"/>
    <cellStyle name="常规 4 3 9 2 4 2 2 2 2 2" xfId="2845"/>
    <cellStyle name="常规 4 3 9 2 4 2 2 2 2 2 2" xfId="2848"/>
    <cellStyle name="常规 4 3 9 2 4 2 2 2 2 3" xfId="2858"/>
    <cellStyle name="常规 4 3 9 2 4 2 2 2 2 4" xfId="2865"/>
    <cellStyle name="常规 4 3 9 2 4 2 2 2 3" xfId="4579"/>
    <cellStyle name="常规 4 3 9 2 4 2 2 2 3 2" xfId="2888"/>
    <cellStyle name="常规 4 3 9 2 4 2 2 2 4" xfId="4582"/>
    <cellStyle name="常规 4 3 9 2 4 2 2 2 5" xfId="2341"/>
    <cellStyle name="常规 4 3 9 2 4 2 2 3" xfId="23732"/>
    <cellStyle name="常规 4 3 9 2 4 2 2 3 2" xfId="4904"/>
    <cellStyle name="常规 4 3 9 2 4 2 2 3 2 2" xfId="3124"/>
    <cellStyle name="常规 4 3 9 2 4 2 2 3 3" xfId="4910"/>
    <cellStyle name="常规 4 3 9 2 4 2 2 3 4" xfId="4916"/>
    <cellStyle name="常规 4 3 9 2 4 2 2 4" xfId="23733"/>
    <cellStyle name="常规 4 3 9 2 4 2 2 4 2" xfId="5016"/>
    <cellStyle name="常规 4 3 9 2 4 2 2 5" xfId="9669"/>
    <cellStyle name="常规 4 3 9 2 4 2 2 6" xfId="13092"/>
    <cellStyle name="常规 4 3 9 2 4 2 3" xfId="4392"/>
    <cellStyle name="常规 4 3 9 2 4 2 3 2" xfId="23734"/>
    <cellStyle name="常规 4 3 9 2 4 2 3 2 2" xfId="5409"/>
    <cellStyle name="常规 4 3 9 2 4 2 3 2 2 2" xfId="4585"/>
    <cellStyle name="常规 4 3 9 2 4 2 3 2 3" xfId="5412"/>
    <cellStyle name="常规 4 3 9 2 4 2 3 2 4" xfId="5416"/>
    <cellStyle name="常规 4 3 9 2 4 2 3 3" xfId="23735"/>
    <cellStyle name="常规 4 3 9 2 4 2 3 3 2" xfId="5429"/>
    <cellStyle name="常规 4 3 9 2 4 2 3 4" xfId="23736"/>
    <cellStyle name="常规 4 3 9 2 4 2 3 5" xfId="23737"/>
    <cellStyle name="常规 4 3 9 2 4 2 4" xfId="18764"/>
    <cellStyle name="常规 4 3 9 2 4 2 4 2" xfId="23738"/>
    <cellStyle name="常规 4 3 9 2 4 2 4 2 2" xfId="5682"/>
    <cellStyle name="常规 4 3 9 2 4 2 4 3" xfId="23739"/>
    <cellStyle name="常规 4 3 9 2 4 2 4 4" xfId="23740"/>
    <cellStyle name="常规 4 3 9 2 4 2 5" xfId="18766"/>
    <cellStyle name="常规 4 3 9 2 4 2 5 2" xfId="23741"/>
    <cellStyle name="常规 4 3 9 2 4 2 6" xfId="23743"/>
    <cellStyle name="常规 4 3 9 2 4 2 7" xfId="3918"/>
    <cellStyle name="常规 4 3 9 2 4 3" xfId="23744"/>
    <cellStyle name="常规 4 3 9 2 4 3 2" xfId="4441"/>
    <cellStyle name="常规 4 3 9 2 4 3 2 2" xfId="23745"/>
    <cellStyle name="常规 4 3 9 2 4 3 2 2 2" xfId="6304"/>
    <cellStyle name="常规 4 3 9 2 4 3 2 2 2 2" xfId="6307"/>
    <cellStyle name="常规 4 3 9 2 4 3 2 2 3" xfId="6311"/>
    <cellStyle name="常规 4 3 9 2 4 3 2 2 4" xfId="6315"/>
    <cellStyle name="常规 4 3 9 2 4 3 2 3" xfId="23746"/>
    <cellStyle name="常规 4 3 9 2 4 3 2 3 2" xfId="5732"/>
    <cellStyle name="常规 4 3 9 2 4 3 2 4" xfId="23747"/>
    <cellStyle name="常规 4 3 9 2 4 3 2 5" xfId="23748"/>
    <cellStyle name="常规 4 3 9 2 4 3 3" xfId="7495"/>
    <cellStyle name="常规 4 3 9 2 4 3 3 2" xfId="23749"/>
    <cellStyle name="常规 4 3 9 2 4 3 3 2 2" xfId="6480"/>
    <cellStyle name="常规 4 3 9 2 4 3 3 3" xfId="23750"/>
    <cellStyle name="常规 4 3 9 2 4 3 3 4" xfId="23751"/>
    <cellStyle name="常规 4 3 9 2 4 3 4" xfId="23752"/>
    <cellStyle name="常规 4 3 9 2 4 3 4 2" xfId="23753"/>
    <cellStyle name="常规 4 3 9 2 4 3 5" xfId="23754"/>
    <cellStyle name="常规 4 3 9 2 4 3 6" xfId="23755"/>
    <cellStyle name="常规 4 3 9 2 4 4" xfId="23756"/>
    <cellStyle name="常规 4 3 9 2 4 4 2" xfId="791"/>
    <cellStyle name="常规 4 3 9 2 4 4 2 2" xfId="23757"/>
    <cellStyle name="常规 4 3 9 2 4 4 2 2 2" xfId="6816"/>
    <cellStyle name="常规 4 3 9 2 4 4 2 3" xfId="18521"/>
    <cellStyle name="常规 4 3 9 2 4 4 2 4" xfId="18524"/>
    <cellStyle name="常规 4 3 9 2 4 4 3" xfId="23758"/>
    <cellStyle name="常规 4 3 9 2 4 4 3 2" xfId="23759"/>
    <cellStyle name="常规 4 3 9 2 4 4 4" xfId="23760"/>
    <cellStyle name="常规 4 3 9 2 4 4 5" xfId="23761"/>
    <cellStyle name="常规 4 3 9 2 4 5" xfId="23763"/>
    <cellStyle name="常规 4 3 9 2 4 5 2" xfId="7486"/>
    <cellStyle name="常规 4 3 9 2 4 5 2 2" xfId="21657"/>
    <cellStyle name="常规 4 3 9 2 4 5 3" xfId="23764"/>
    <cellStyle name="常规 4 3 9 2 4 5 4" xfId="23765"/>
    <cellStyle name="常规 4 3 9 2 4 6" xfId="23766"/>
    <cellStyle name="常规 4 3 9 2 4 6 2" xfId="23768"/>
    <cellStyle name="常规 4 3 9 2 4 7" xfId="23769"/>
    <cellStyle name="常规 4 3 9 2 4 8" xfId="2513"/>
    <cellStyle name="常规 4 3 9 2 5" xfId="23770"/>
    <cellStyle name="常规 4 3 9 2 5 2" xfId="23771"/>
    <cellStyle name="常规 4 3 9 2 5 2 2" xfId="23772"/>
    <cellStyle name="常规 4 3 9 2 5 2 2 2" xfId="23773"/>
    <cellStyle name="常规 4 3 9 2 5 2 2 2 2" xfId="7391"/>
    <cellStyle name="常规 4 3 9 2 5 2 2 2 2 2" xfId="7393"/>
    <cellStyle name="常规 4 3 9 2 5 2 2 2 3" xfId="7396"/>
    <cellStyle name="常规 4 3 9 2 5 2 2 2 4" xfId="1584"/>
    <cellStyle name="常规 4 3 9 2 5 2 2 3" xfId="23774"/>
    <cellStyle name="常规 4 3 9 2 5 2 2 3 2" xfId="6502"/>
    <cellStyle name="常规 4 3 9 2 5 2 2 4" xfId="23775"/>
    <cellStyle name="常规 4 3 9 2 5 2 2 5" xfId="23776"/>
    <cellStyle name="常规 4 3 9 2 5 2 3" xfId="23777"/>
    <cellStyle name="常规 4 3 9 2 5 2 3 2" xfId="23778"/>
    <cellStyle name="常规 4 3 9 2 5 2 3 2 2" xfId="3429"/>
    <cellStyle name="常规 4 3 9 2 5 2 3 3" xfId="23779"/>
    <cellStyle name="常规 4 3 9 2 5 2 3 4" xfId="23780"/>
    <cellStyle name="常规 4 3 9 2 5 2 4" xfId="7644"/>
    <cellStyle name="常规 4 3 9 2 5 2 4 2" xfId="7646"/>
    <cellStyle name="常规 4 3 9 2 5 2 5" xfId="7651"/>
    <cellStyle name="常规 4 3 9 2 5 2 6" xfId="7657"/>
    <cellStyle name="常规 4 3 9 2 5 3" xfId="23781"/>
    <cellStyle name="常规 4 3 9 2 5 3 2" xfId="7501"/>
    <cellStyle name="常规 4 3 9 2 5 3 2 2" xfId="23782"/>
    <cellStyle name="常规 4 3 9 2 5 3 2 2 2" xfId="5510"/>
    <cellStyle name="常规 4 3 9 2 5 3 2 3" xfId="23783"/>
    <cellStyle name="常规 4 3 9 2 5 3 2 4" xfId="23784"/>
    <cellStyle name="常规 4 3 9 2 5 3 3" xfId="23785"/>
    <cellStyle name="常规 4 3 9 2 5 3 3 2" xfId="23786"/>
    <cellStyle name="常规 4 3 9 2 5 3 4" xfId="7661"/>
    <cellStyle name="常规 4 3 9 2 5 3 5" xfId="7666"/>
    <cellStyle name="常规 4 3 9 2 5 4" xfId="23787"/>
    <cellStyle name="常规 4 3 9 2 5 4 2" xfId="345"/>
    <cellStyle name="常规 4 3 9 2 5 4 2 2" xfId="831"/>
    <cellStyle name="常规 4 3 9 2 5 4 3" xfId="397"/>
    <cellStyle name="常规 4 3 9 2 5 4 4" xfId="858"/>
    <cellStyle name="常规 4 3 9 2 5 5" xfId="23789"/>
    <cellStyle name="常规 4 3 9 2 5 5 2" xfId="23790"/>
    <cellStyle name="常规 4 3 9 2 5 6" xfId="23792"/>
    <cellStyle name="常规 4 3 9 2 5 7" xfId="22610"/>
    <cellStyle name="常规 4 3 9 2 6" xfId="23793"/>
    <cellStyle name="常规 4 3 9 2 6 2" xfId="23794"/>
    <cellStyle name="常规 4 3 9 2 6 2 2" xfId="23795"/>
    <cellStyle name="常规 4 3 9 2 6 2 2 2" xfId="23796"/>
    <cellStyle name="常规 4 3 9 2 6 2 2 2 2" xfId="8258"/>
    <cellStyle name="常规 4 3 9 2 6 2 2 3" xfId="23797"/>
    <cellStyle name="常规 4 3 9 2 6 2 2 4" xfId="23798"/>
    <cellStyle name="常规 4 3 9 2 6 2 3" xfId="23799"/>
    <cellStyle name="常规 4 3 9 2 6 2 3 2" xfId="23800"/>
    <cellStyle name="常规 4 3 9 2 6 2 4" xfId="7683"/>
    <cellStyle name="常规 4 3 9 2 6 2 5" xfId="7685"/>
    <cellStyle name="常规 4 3 9 2 6 3" xfId="23801"/>
    <cellStyle name="常规 4 3 9 2 6 3 2" xfId="23802"/>
    <cellStyle name="常规 4 3 9 2 6 3 2 2" xfId="23803"/>
    <cellStyle name="常规 4 3 9 2 6 3 3" xfId="23804"/>
    <cellStyle name="常规 4 3 9 2 6 3 4" xfId="7690"/>
    <cellStyle name="常规 4 3 9 2 6 4" xfId="23805"/>
    <cellStyle name="常规 4 3 9 2 6 4 2" xfId="23806"/>
    <cellStyle name="常规 4 3 9 2 6 5" xfId="23807"/>
    <cellStyle name="常规 4 3 9 2 6 6" xfId="23809"/>
    <cellStyle name="常规 4 3 9 2 7" xfId="23810"/>
    <cellStyle name="常规 4 3 9 2 7 2" xfId="23811"/>
    <cellStyle name="常规 4 3 9 2 7 2 2" xfId="23813"/>
    <cellStyle name="常规 4 3 9 2 7 2 2 2" xfId="23816"/>
    <cellStyle name="常规 4 3 9 2 7 2 3" xfId="23818"/>
    <cellStyle name="常规 4 3 9 2 7 2 4" xfId="7709"/>
    <cellStyle name="常规 4 3 9 2 7 3" xfId="23819"/>
    <cellStyle name="常规 4 3 9 2 7 3 2" xfId="23820"/>
    <cellStyle name="常规 4 3 9 2 7 4" xfId="23821"/>
    <cellStyle name="常规 4 3 9 2 7 5" xfId="23822"/>
    <cellStyle name="常规 4 3 9 2 8" xfId="23823"/>
    <cellStyle name="常规 4 3 9 2 8 2" xfId="23824"/>
    <cellStyle name="常规 4 3 9 2 8 2 2" xfId="23825"/>
    <cellStyle name="常规 4 3 9 2 8 3" xfId="23826"/>
    <cellStyle name="常规 4 3 9 2 8 4" xfId="23827"/>
    <cellStyle name="常规 4 3 9 2 9" xfId="23828"/>
    <cellStyle name="常规 4 3 9 2 9 2" xfId="23829"/>
    <cellStyle name="常规 4 3 9 3" xfId="23831"/>
    <cellStyle name="常规 4 3 9 3 2" xfId="23832"/>
    <cellStyle name="常规 4 3 9 3 2 2" xfId="23833"/>
    <cellStyle name="常规 4 3 9 3 2 2 2" xfId="23835"/>
    <cellStyle name="常规 4 3 9 3 2 2 2 2" xfId="23837"/>
    <cellStyle name="常规 4 3 9 3 2 2 2 2 2" xfId="9915"/>
    <cellStyle name="常规 4 3 9 3 2 2 2 2 2 2" xfId="23839"/>
    <cellStyle name="常规 4 3 9 3 2 2 2 2 2 2 2" xfId="23841"/>
    <cellStyle name="常规 4 3 9 3 2 2 2 2 2 3" xfId="23843"/>
    <cellStyle name="常规 4 3 9 3 2 2 2 2 2 4" xfId="23845"/>
    <cellStyle name="常规 4 3 9 3 2 2 2 2 3" xfId="23846"/>
    <cellStyle name="常规 4 3 9 3 2 2 2 2 3 2" xfId="23848"/>
    <cellStyle name="常规 4 3 9 3 2 2 2 2 4" xfId="23849"/>
    <cellStyle name="常规 4 3 9 3 2 2 2 2 5" xfId="23850"/>
    <cellStyle name="常规 4 3 9 3 2 2 2 3" xfId="23851"/>
    <cellStyle name="常规 4 3 9 3 2 2 2 3 2" xfId="23852"/>
    <cellStyle name="常规 4 3 9 3 2 2 2 3 2 2" xfId="13831"/>
    <cellStyle name="常规 4 3 9 3 2 2 2 3 3" xfId="23854"/>
    <cellStyle name="常规 4 3 9 3 2 2 2 3 4" xfId="22332"/>
    <cellStyle name="常规 4 3 9 3 2 2 2 4" xfId="23856"/>
    <cellStyle name="常规 4 3 9 3 2 2 2 4 2" xfId="23861"/>
    <cellStyle name="常规 4 3 9 3 2 2 2 5" xfId="23864"/>
    <cellStyle name="常规 4 3 9 3 2 2 2 6" xfId="23866"/>
    <cellStyle name="常规 4 3 9 3 2 2 3" xfId="23868"/>
    <cellStyle name="常规 4 3 9 3 2 2 3 2" xfId="23869"/>
    <cellStyle name="常规 4 3 9 3 2 2 3 2 2" xfId="23870"/>
    <cellStyle name="常规 4 3 9 3 2 2 3 2 2 2" xfId="23872"/>
    <cellStyle name="常规 4 3 9 3 2 2 3 2 3" xfId="21114"/>
    <cellStyle name="常规 4 3 9 3 2 2 3 2 4" xfId="21116"/>
    <cellStyle name="常规 4 3 9 3 2 2 3 3" xfId="23874"/>
    <cellStyle name="常规 4 3 9 3 2 2 3 3 2" xfId="23876"/>
    <cellStyle name="常规 4 3 9 3 2 2 3 4" xfId="23879"/>
    <cellStyle name="常规 4 3 9 3 2 2 3 5" xfId="23882"/>
    <cellStyle name="常规 4 3 9 3 2 2 4" xfId="13605"/>
    <cellStyle name="常规 4 3 9 3 2 2 4 2" xfId="23883"/>
    <cellStyle name="常规 4 3 9 3 2 2 4 2 2" xfId="23884"/>
    <cellStyle name="常规 4 3 9 3 2 2 4 3" xfId="23886"/>
    <cellStyle name="常规 4 3 9 3 2 2 4 4" xfId="23889"/>
    <cellStyle name="常规 4 3 9 3 2 2 5" xfId="23890"/>
    <cellStyle name="常规 4 3 9 3 2 2 5 2" xfId="326"/>
    <cellStyle name="常规 4 3 9 3 2 2 6" xfId="23891"/>
    <cellStyle name="常规 4 3 9 3 2 2 7" xfId="23892"/>
    <cellStyle name="常规 4 3 9 3 2 3" xfId="23651"/>
    <cellStyle name="常规 4 3 9 3 2 3 2" xfId="23894"/>
    <cellStyle name="常规 4 3 9 3 2 3 2 2" xfId="23895"/>
    <cellStyle name="常规 4 3 9 3 2 3 2 2 2" xfId="23896"/>
    <cellStyle name="常规 4 3 9 3 2 3 2 2 2 2" xfId="23"/>
    <cellStyle name="常规 4 3 9 3 2 3 2 2 3" xfId="23897"/>
    <cellStyle name="常规 4 3 9 3 2 3 2 2 4" xfId="23898"/>
    <cellStyle name="常规 4 3 9 3 2 3 2 3" xfId="23899"/>
    <cellStyle name="常规 4 3 9 3 2 3 2 3 2" xfId="23900"/>
    <cellStyle name="常规 4 3 9 3 2 3 2 4" xfId="13045"/>
    <cellStyle name="常规 4 3 9 3 2 3 2 5" xfId="13072"/>
    <cellStyle name="常规 4 3 9 3 2 3 3" xfId="23902"/>
    <cellStyle name="常规 4 3 9 3 2 3 3 2" xfId="23903"/>
    <cellStyle name="常规 4 3 9 3 2 3 3 2 2" xfId="23904"/>
    <cellStyle name="常规 4 3 9 3 2 3 3 3" xfId="23906"/>
    <cellStyle name="常规 4 3 9 3 2 3 3 4" xfId="23909"/>
    <cellStyle name="常规 4 3 9 3 2 3 4" xfId="16776"/>
    <cellStyle name="常规 4 3 9 3 2 3 4 2" xfId="23910"/>
    <cellStyle name="常规 4 3 9 3 2 3 5" xfId="23911"/>
    <cellStyle name="常规 4 3 9 3 2 3 6" xfId="23912"/>
    <cellStyle name="常规 4 3 9 3 2 4" xfId="23913"/>
    <cellStyle name="常规 4 3 9 3 2 4 2" xfId="23916"/>
    <cellStyle name="常规 4 3 9 3 2 4 2 2" xfId="23918"/>
    <cellStyle name="常规 4 3 9 3 2 4 2 2 2" xfId="19145"/>
    <cellStyle name="常规 4 3 9 3 2 4 2 3" xfId="23920"/>
    <cellStyle name="常规 4 3 9 3 2 4 2 4" xfId="14618"/>
    <cellStyle name="常规 4 3 9 3 2 4 3" xfId="23922"/>
    <cellStyle name="常规 4 3 9 3 2 4 3 2" xfId="23924"/>
    <cellStyle name="常规 4 3 9 3 2 4 4" xfId="23926"/>
    <cellStyle name="常规 4 3 9 3 2 4 5" xfId="23928"/>
    <cellStyle name="常规 4 3 9 3 2 5" xfId="23930"/>
    <cellStyle name="常规 4 3 9 3 2 5 2" xfId="23932"/>
    <cellStyle name="常规 4 3 9 3 2 5 2 2" xfId="23934"/>
    <cellStyle name="常规 4 3 9 3 2 5 3" xfId="23936"/>
    <cellStyle name="常规 4 3 9 3 2 5 4" xfId="23940"/>
    <cellStyle name="常规 4 3 9 3 2 6" xfId="23942"/>
    <cellStyle name="常规 4 3 9 3 2 6 2" xfId="23947"/>
    <cellStyle name="常规 4 3 9 3 2 7" xfId="23949"/>
    <cellStyle name="常规 4 3 9 3 2 8" xfId="9677"/>
    <cellStyle name="常规 4 3 9 3 3" xfId="23952"/>
    <cellStyle name="常规 4 3 9 3 3 2" xfId="23954"/>
    <cellStyle name="常规 4 3 9 3 3 2 2" xfId="23958"/>
    <cellStyle name="常规 4 3 9 3 3 2 2 2" xfId="18557"/>
    <cellStyle name="常规 4 3 9 3 3 2 2 2 2" xfId="10139"/>
    <cellStyle name="常规 4 3 9 3 3 2 2 2 2 2" xfId="18558"/>
    <cellStyle name="常规 4 3 9 3 3 2 2 2 3" xfId="18560"/>
    <cellStyle name="常规 4 3 9 3 3 2 2 2 4" xfId="18562"/>
    <cellStyle name="常规 4 3 9 3 3 2 2 3" xfId="18564"/>
    <cellStyle name="常规 4 3 9 3 3 2 2 3 2" xfId="18566"/>
    <cellStyle name="常规 4 3 9 3 3 2 2 4" xfId="18570"/>
    <cellStyle name="常规 4 3 9 3 3 2 2 5" xfId="18573"/>
    <cellStyle name="常规 4 3 9 3 3 2 3" xfId="23962"/>
    <cellStyle name="常规 4 3 9 3 3 2 3 2" xfId="18587"/>
    <cellStyle name="常规 4 3 9 3 3 2 3 2 2" xfId="18589"/>
    <cellStyle name="常规 4 3 9 3 3 2 3 3" xfId="18592"/>
    <cellStyle name="常规 4 3 9 3 3 2 3 4" xfId="18597"/>
    <cellStyle name="常规 4 3 9 3 3 2 4" xfId="23964"/>
    <cellStyle name="常规 4 3 9 3 3 2 4 2" xfId="18608"/>
    <cellStyle name="常规 4 3 9 3 3 2 5" xfId="23965"/>
    <cellStyle name="常规 4 3 9 3 3 2 6" xfId="23966"/>
    <cellStyle name="常规 4 3 9 3 3 3" xfId="23968"/>
    <cellStyle name="常规 4 3 9 3 3 3 2" xfId="23972"/>
    <cellStyle name="常规 4 3 9 3 3 3 2 2" xfId="18664"/>
    <cellStyle name="常规 4 3 9 3 3 3 2 2 2" xfId="18666"/>
    <cellStyle name="常规 4 3 9 3 3 3 2 3" xfId="18670"/>
    <cellStyle name="常规 4 3 9 3 3 3 2 4" xfId="18676"/>
    <cellStyle name="常规 4 3 9 3 3 3 3" xfId="23974"/>
    <cellStyle name="常规 4 3 9 3 3 3 3 2" xfId="18692"/>
    <cellStyle name="常规 4 3 9 3 3 3 4" xfId="23975"/>
    <cellStyle name="常规 4 3 9 3 3 3 5" xfId="23976"/>
    <cellStyle name="常规 4 3 9 3 3 4" xfId="23978"/>
    <cellStyle name="常规 4 3 9 3 3 4 2" xfId="23980"/>
    <cellStyle name="常规 4 3 9 3 3 4 2 2" xfId="18726"/>
    <cellStyle name="常规 4 3 9 3 3 4 3" xfId="23982"/>
    <cellStyle name="常规 4 3 9 3 3 4 4" xfId="23984"/>
    <cellStyle name="常规 4 3 9 3 3 5" xfId="23989"/>
    <cellStyle name="常规 4 3 9 3 3 5 2" xfId="23993"/>
    <cellStyle name="常规 4 3 9 3 3 6" xfId="23997"/>
    <cellStyle name="常规 4 3 9 3 3 7" xfId="24001"/>
    <cellStyle name="常规 4 3 9 3 4" xfId="17439"/>
    <cellStyle name="常规 4 3 9 3 4 2" xfId="17442"/>
    <cellStyle name="常规 4 3 9 3 4 2 2" xfId="9852"/>
    <cellStyle name="常规 4 3 9 3 4 2 2 2" xfId="19832"/>
    <cellStyle name="常规 4 3 9 3 4 2 2 2 2" xfId="19834"/>
    <cellStyle name="常规 4 3 9 3 4 2 2 3" xfId="19836"/>
    <cellStyle name="常规 4 3 9 3 4 2 2 4" xfId="19840"/>
    <cellStyle name="常规 4 3 9 3 4 2 3" xfId="9854"/>
    <cellStyle name="常规 4 3 9 3 4 2 3 2" xfId="1472"/>
    <cellStyle name="常规 4 3 9 3 4 2 4" xfId="24004"/>
    <cellStyle name="常规 4 3 9 3 4 2 5" xfId="24005"/>
    <cellStyle name="常规 4 3 9 3 4 3" xfId="24007"/>
    <cellStyle name="常规 4 3 9 3 4 3 2" xfId="4794"/>
    <cellStyle name="常规 4 3 9 3 4 3 2 2" xfId="19902"/>
    <cellStyle name="常规 4 3 9 3 4 3 3" xfId="24008"/>
    <cellStyle name="常规 4 3 9 3 4 3 4" xfId="24009"/>
    <cellStyle name="常规 4 3 9 3 4 4" xfId="24011"/>
    <cellStyle name="常规 4 3 9 3 4 4 2" xfId="24013"/>
    <cellStyle name="常规 4 3 9 3 4 5" xfId="24017"/>
    <cellStyle name="常规 4 3 9 3 4 6" xfId="24021"/>
    <cellStyle name="常规 4 3 9 3 5" xfId="17445"/>
    <cellStyle name="常规 4 3 9 3 5 2" xfId="24024"/>
    <cellStyle name="常规 4 3 9 3 5 2 2" xfId="2380"/>
    <cellStyle name="常规 4 3 9 3 5 2 2 2" xfId="1400"/>
    <cellStyle name="常规 4 3 9 3 5 2 3" xfId="24025"/>
    <cellStyle name="常规 4 3 9 3 5 2 4" xfId="7807"/>
    <cellStyle name="常规 4 3 9 3 5 3" xfId="24026"/>
    <cellStyle name="常规 4 3 9 3 5 3 2" xfId="2402"/>
    <cellStyle name="常规 4 3 9 3 5 4" xfId="24027"/>
    <cellStyle name="常规 4 3 9 3 5 5" xfId="24030"/>
    <cellStyle name="常规 4 3 9 3 6" xfId="17448"/>
    <cellStyle name="常规 4 3 9 3 6 2" xfId="24031"/>
    <cellStyle name="常规 4 3 9 3 6 2 2" xfId="24032"/>
    <cellStyle name="常规 4 3 9 3 6 3" xfId="24034"/>
    <cellStyle name="常规 4 3 9 3 6 4" xfId="24035"/>
    <cellStyle name="常规 4 3 9 3 7" xfId="24037"/>
    <cellStyle name="常规 4 3 9 3 7 2" xfId="24038"/>
    <cellStyle name="常规 4 3 9 3 8" xfId="24039"/>
    <cellStyle name="常规 4 3 9 3 9" xfId="24041"/>
    <cellStyle name="常规 4 3 9 4" xfId="24042"/>
    <cellStyle name="常规 4 3 9 4 2" xfId="24043"/>
    <cellStyle name="常规 4 3 9 4 2 2" xfId="24044"/>
    <cellStyle name="常规 4 3 9 4 2 2 2" xfId="24049"/>
    <cellStyle name="常规 4 3 9 4 2 2 2 2" xfId="16533"/>
    <cellStyle name="常规 4 3 9 4 2 2 2 2 2" xfId="16537"/>
    <cellStyle name="常规 4 3 9 4 2 2 2 2 2 2" xfId="24050"/>
    <cellStyle name="常规 4 3 9 4 2 2 2 2 2 2 2" xfId="6432"/>
    <cellStyle name="常规 4 3 9 4 2 2 2 2 2 3" xfId="24052"/>
    <cellStyle name="常规 4 3 9 4 2 2 2 2 2 4" xfId="24054"/>
    <cellStyle name="常规 4 3 9 4 2 2 2 2 3" xfId="24055"/>
    <cellStyle name="常规 4 3 9 4 2 2 2 2 3 2" xfId="24056"/>
    <cellStyle name="常规 4 3 9 4 2 2 2 2 4" xfId="24057"/>
    <cellStyle name="常规 4 3 9 4 2 2 2 2 5" xfId="24058"/>
    <cellStyle name="常规 4 3 9 4 2 2 2 3" xfId="16539"/>
    <cellStyle name="常规 4 3 9 4 2 2 2 3 2" xfId="24059"/>
    <cellStyle name="常规 4 3 9 4 2 2 2 3 2 2" xfId="24060"/>
    <cellStyle name="常规 4 3 9 4 2 2 2 3 3" xfId="24062"/>
    <cellStyle name="常规 4 3 9 4 2 2 2 3 4" xfId="24064"/>
    <cellStyle name="常规 4 3 9 4 2 2 2 4" xfId="16542"/>
    <cellStyle name="常规 4 3 9 4 2 2 2 4 2" xfId="17457"/>
    <cellStyle name="常规 4 3 9 4 2 2 2 5" xfId="17460"/>
    <cellStyle name="常规 4 3 9 4 2 2 2 6" xfId="17463"/>
    <cellStyle name="常规 4 3 9 4 2 2 3" xfId="24069"/>
    <cellStyle name="常规 4 3 9 4 2 2 3 2" xfId="24070"/>
    <cellStyle name="常规 4 3 9 4 2 2 3 2 2" xfId="24071"/>
    <cellStyle name="常规 4 3 9 4 2 2 3 2 2 2" xfId="24072"/>
    <cellStyle name="常规 4 3 9 4 2 2 3 2 3" xfId="24073"/>
    <cellStyle name="常规 4 3 9 4 2 2 3 2 4" xfId="24074"/>
    <cellStyle name="常规 4 3 9 4 2 2 3 3" xfId="24075"/>
    <cellStyle name="常规 4 3 9 4 2 2 3 3 2" xfId="24076"/>
    <cellStyle name="常规 4 3 9 4 2 2 3 4" xfId="10708"/>
    <cellStyle name="常规 4 3 9 4 2 2 3 5" xfId="24078"/>
    <cellStyle name="常规 4 3 9 4 2 2 4" xfId="24080"/>
    <cellStyle name="常规 4 3 9 4 2 2 4 2" xfId="24082"/>
    <cellStyle name="常规 4 3 9 4 2 2 4 2 2" xfId="24083"/>
    <cellStyle name="常规 4 3 9 4 2 2 4 3" xfId="24085"/>
    <cellStyle name="常规 4 3 9 4 2 2 4 4" xfId="24087"/>
    <cellStyle name="常规 4 3 9 4 2 2 5" xfId="24088"/>
    <cellStyle name="常规 4 3 9 4 2 2 5 2" xfId="4096"/>
    <cellStyle name="常规 4 3 9 4 2 2 6" xfId="24089"/>
    <cellStyle name="常规 4 3 9 4 2 2 7" xfId="24090"/>
    <cellStyle name="常规 4 3 9 4 2 3" xfId="24091"/>
    <cellStyle name="常规 4 3 9 4 2 3 2" xfId="24096"/>
    <cellStyle name="常规 4 3 9 4 2 3 2 2" xfId="24097"/>
    <cellStyle name="常规 4 3 9 4 2 3 2 2 2" xfId="24098"/>
    <cellStyle name="常规 4 3 9 4 2 3 2 2 2 2" xfId="24099"/>
    <cellStyle name="常规 4 3 9 4 2 3 2 2 3" xfId="12238"/>
    <cellStyle name="常规 4 3 9 4 2 3 2 2 4" xfId="12250"/>
    <cellStyle name="常规 4 3 9 4 2 3 2 3" xfId="24100"/>
    <cellStyle name="常规 4 3 9 4 2 3 2 3 2" xfId="24101"/>
    <cellStyle name="常规 4 3 9 4 2 3 2 4" xfId="17507"/>
    <cellStyle name="常规 4 3 9 4 2 3 2 5" xfId="24103"/>
    <cellStyle name="常规 4 3 9 4 2 3 3" xfId="24104"/>
    <cellStyle name="常规 4 3 9 4 2 3 3 2" xfId="24105"/>
    <cellStyle name="常规 4 3 9 4 2 3 3 2 2" xfId="24106"/>
    <cellStyle name="常规 4 3 9 4 2 3 3 3" xfId="24107"/>
    <cellStyle name="常规 4 3 9 4 2 3 3 4" xfId="24109"/>
    <cellStyle name="常规 4 3 9 4 2 3 4" xfId="24110"/>
    <cellStyle name="常规 4 3 9 4 2 3 4 2" xfId="24111"/>
    <cellStyle name="常规 4 3 9 4 2 3 5" xfId="24112"/>
    <cellStyle name="常规 4 3 9 4 2 3 6" xfId="24113"/>
    <cellStyle name="常规 4 3 9 4 2 4" xfId="24114"/>
    <cellStyle name="常规 4 3 9 4 2 4 2" xfId="24116"/>
    <cellStyle name="常规 4 3 9 4 2 4 2 2" xfId="24118"/>
    <cellStyle name="常规 4 3 9 4 2 4 2 2 2" xfId="23429"/>
    <cellStyle name="常规 4 3 9 4 2 4 2 3" xfId="24120"/>
    <cellStyle name="常规 4 3 9 4 2 4 2 4" xfId="24122"/>
    <cellStyle name="常规 4 3 9 4 2 4 3" xfId="24123"/>
    <cellStyle name="常规 4 3 9 4 2 4 3 2" xfId="24125"/>
    <cellStyle name="常规 4 3 9 4 2 4 4" xfId="24126"/>
    <cellStyle name="常规 4 3 9 4 2 4 5" xfId="24128"/>
    <cellStyle name="常规 4 3 9 4 2 5" xfId="24129"/>
    <cellStyle name="常规 4 3 9 4 2 5 2" xfId="24131"/>
    <cellStyle name="常规 4 3 9 4 2 5 2 2" xfId="24134"/>
    <cellStyle name="常规 4 3 9 4 2 5 3" xfId="24135"/>
    <cellStyle name="常规 4 3 9 4 2 5 4" xfId="24136"/>
    <cellStyle name="常规 4 3 9 4 2 6" xfId="24137"/>
    <cellStyle name="常规 4 3 9 4 2 6 2" xfId="24141"/>
    <cellStyle name="常规 4 3 9 4 2 7" xfId="16573"/>
    <cellStyle name="常规 4 3 9 4 2 8" xfId="9690"/>
    <cellStyle name="常规 4 3 9 4 3" xfId="24143"/>
    <cellStyle name="常规 4 3 9 4 3 2" xfId="24145"/>
    <cellStyle name="常规 4 3 9 4 3 2 2" xfId="24150"/>
    <cellStyle name="常规 4 3 9 4 3 2 2 2" xfId="24151"/>
    <cellStyle name="常规 4 3 9 4 3 2 2 2 2" xfId="24152"/>
    <cellStyle name="常规 4 3 9 4 3 2 2 2 2 2" xfId="24155"/>
    <cellStyle name="常规 4 3 9 4 3 2 2 2 3" xfId="24156"/>
    <cellStyle name="常规 4 3 9 4 3 2 2 2 4" xfId="24157"/>
    <cellStyle name="常规 4 3 9 4 3 2 2 3" xfId="24158"/>
    <cellStyle name="常规 4 3 9 4 3 2 2 3 2" xfId="24159"/>
    <cellStyle name="常规 4 3 9 4 3 2 2 4" xfId="18051"/>
    <cellStyle name="常规 4 3 9 4 3 2 2 5" xfId="24161"/>
    <cellStyle name="常规 4 3 9 4 3 2 3" xfId="332"/>
    <cellStyle name="常规 4 3 9 4 3 2 3 2" xfId="24162"/>
    <cellStyle name="常规 4 3 9 4 3 2 3 2 2" xfId="24163"/>
    <cellStyle name="常规 4 3 9 4 3 2 3 3" xfId="24164"/>
    <cellStyle name="常规 4 3 9 4 3 2 3 4" xfId="24166"/>
    <cellStyle name="常规 4 3 9 4 3 2 4" xfId="4024"/>
    <cellStyle name="常规 4 3 9 4 3 2 4 2" xfId="2587"/>
    <cellStyle name="常规 4 3 9 4 3 2 5" xfId="4029"/>
    <cellStyle name="常规 4 3 9 4 3 2 6" xfId="604"/>
    <cellStyle name="常规 4 3 9 4 3 3" xfId="24168"/>
    <cellStyle name="常规 4 3 9 4 3 3 2" xfId="24169"/>
    <cellStyle name="常规 4 3 9 4 3 3 2 2" xfId="24170"/>
    <cellStyle name="常规 4 3 9 4 3 3 2 2 2" xfId="2732"/>
    <cellStyle name="常规 4 3 9 4 3 3 2 3" xfId="24172"/>
    <cellStyle name="常规 4 3 9 4 3 3 2 4" xfId="24175"/>
    <cellStyle name="常规 4 3 9 4 3 3 3" xfId="24176"/>
    <cellStyle name="常规 4 3 9 4 3 3 3 2" xfId="24177"/>
    <cellStyle name="常规 4 3 9 4 3 3 4" xfId="4046"/>
    <cellStyle name="常规 4 3 9 4 3 3 5" xfId="4051"/>
    <cellStyle name="常规 4 3 9 4 3 4" xfId="24179"/>
    <cellStyle name="常规 4 3 9 4 3 4 2" xfId="24181"/>
    <cellStyle name="常规 4 3 9 4 3 4 2 2" xfId="24183"/>
    <cellStyle name="常规 4 3 9 4 3 4 3" xfId="11005"/>
    <cellStyle name="常规 4 3 9 4 3 4 4" xfId="4062"/>
    <cellStyle name="常规 4 3 9 4 3 5" xfId="24185"/>
    <cellStyle name="常规 4 3 9 4 3 5 2" xfId="24188"/>
    <cellStyle name="常规 4 3 9 4 3 6" xfId="24189"/>
    <cellStyle name="常规 4 3 9 4 3 7" xfId="16589"/>
    <cellStyle name="常规 4 3 9 4 4" xfId="17452"/>
    <cellStyle name="常规 4 3 9 4 4 2" xfId="24192"/>
    <cellStyle name="常规 4 3 9 4 4 2 2" xfId="10066"/>
    <cellStyle name="常规 4 3 9 4 4 2 2 2" xfId="24193"/>
    <cellStyle name="常规 4 3 9 4 4 2 2 2 2" xfId="24194"/>
    <cellStyle name="常规 4 3 9 4 4 2 2 3" xfId="24195"/>
    <cellStyle name="常规 4 3 9 4 4 2 2 4" xfId="24197"/>
    <cellStyle name="常规 4 3 9 4 4 2 3" xfId="10068"/>
    <cellStyle name="常规 4 3 9 4 4 2 3 2" xfId="24198"/>
    <cellStyle name="常规 4 3 9 4 4 2 4" xfId="24199"/>
    <cellStyle name="常规 4 3 9 4 4 2 5" xfId="24200"/>
    <cellStyle name="常规 4 3 9 4 4 3" xfId="24201"/>
    <cellStyle name="常规 4 3 9 4 4 3 2" xfId="16202"/>
    <cellStyle name="常规 4 3 9 4 4 3 2 2" xfId="24202"/>
    <cellStyle name="常规 4 3 9 4 4 3 3" xfId="24203"/>
    <cellStyle name="常规 4 3 9 4 4 3 4" xfId="24204"/>
    <cellStyle name="常规 4 3 9 4 4 4" xfId="24205"/>
    <cellStyle name="常规 4 3 9 4 4 4 2" xfId="24207"/>
    <cellStyle name="常规 4 3 9 4 4 5" xfId="24209"/>
    <cellStyle name="常规 4 3 9 4 4 6" xfId="24210"/>
    <cellStyle name="常规 4 3 9 4 5" xfId="24212"/>
    <cellStyle name="常规 4 3 9 4 5 2" xfId="24213"/>
    <cellStyle name="常规 4 3 9 4 5 2 2" xfId="24214"/>
    <cellStyle name="常规 4 3 9 4 5 2 2 2" xfId="24215"/>
    <cellStyle name="常规 4 3 9 4 5 2 3" xfId="24216"/>
    <cellStyle name="常规 4 3 9 4 5 2 4" xfId="7977"/>
    <cellStyle name="常规 4 3 9 4 5 3" xfId="24217"/>
    <cellStyle name="常规 4 3 9 4 5 3 2" xfId="24218"/>
    <cellStyle name="常规 4 3 9 4 5 4" xfId="24219"/>
    <cellStyle name="常规 4 3 9 4 5 5" xfId="24220"/>
    <cellStyle name="常规 4 3 9 4 6" xfId="24222"/>
    <cellStyle name="常规 4 3 9 4 6 2" xfId="24223"/>
    <cellStyle name="常规 4 3 9 4 6 2 2" xfId="24225"/>
    <cellStyle name="常规 4 3 9 4 6 3" xfId="24226"/>
    <cellStyle name="常规 4 3 9 4 6 4" xfId="24227"/>
    <cellStyle name="常规 4 3 9 4 7" xfId="24228"/>
    <cellStyle name="常规 4 3 9 4 7 2" xfId="24229"/>
    <cellStyle name="常规 4 3 9 4 8" xfId="24231"/>
    <cellStyle name="常规 4 3 9 4 9" xfId="24232"/>
    <cellStyle name="常规 4 3 9 5" xfId="13649"/>
    <cellStyle name="常规 4 3 9 5 2" xfId="24233"/>
    <cellStyle name="常规 4 3 9 5 2 2" xfId="24234"/>
    <cellStyle name="常规 4 3 9 5 2 2 2" xfId="24238"/>
    <cellStyle name="常规 4 3 9 5 2 2 2 2" xfId="24239"/>
    <cellStyle name="常规 4 3 9 5 2 2 2 2 2" xfId="24240"/>
    <cellStyle name="常规 4 3 9 5 2 2 2 2 2 2" xfId="24241"/>
    <cellStyle name="常规 4 3 9 5 2 2 2 2 3" xfId="24242"/>
    <cellStyle name="常规 4 3 9 5 2 2 2 2 4" xfId="24243"/>
    <cellStyle name="常规 4 3 9 5 2 2 2 3" xfId="24244"/>
    <cellStyle name="常规 4 3 9 5 2 2 2 3 2" xfId="2728"/>
    <cellStyle name="常规 4 3 9 5 2 2 2 4" xfId="19398"/>
    <cellStyle name="常规 4 3 9 5 2 2 2 5" xfId="24246"/>
    <cellStyle name="常规 4 3 9 5 2 2 3" xfId="2454"/>
    <cellStyle name="常规 4 3 9 5 2 2 3 2" xfId="24247"/>
    <cellStyle name="常规 4 3 9 5 2 2 3 2 2" xfId="24248"/>
    <cellStyle name="常规 4 3 9 5 2 2 3 3" xfId="24252"/>
    <cellStyle name="常规 4 3 9 5 2 2 3 4" xfId="24257"/>
    <cellStyle name="常规 4 3 9 5 2 2 4" xfId="24258"/>
    <cellStyle name="常规 4 3 9 5 2 2 4 2" xfId="24259"/>
    <cellStyle name="常规 4 3 9 5 2 2 5" xfId="24260"/>
    <cellStyle name="常规 4 3 9 5 2 2 6" xfId="24261"/>
    <cellStyle name="常规 4 3 9 5 2 3" xfId="15234"/>
    <cellStyle name="常规 4 3 9 5 2 3 2" xfId="15236"/>
    <cellStyle name="常规 4 3 9 5 2 3 2 2" xfId="15238"/>
    <cellStyle name="常规 4 3 9 5 2 3 2 2 2" xfId="24262"/>
    <cellStyle name="常规 4 3 9 5 2 3 2 3" xfId="24263"/>
    <cellStyle name="常规 4 3 9 5 2 3 2 4" xfId="24265"/>
    <cellStyle name="常规 4 3 9 5 2 3 3" xfId="15240"/>
    <cellStyle name="常规 4 3 9 5 2 3 3 2" xfId="16732"/>
    <cellStyle name="常规 4 3 9 5 2 3 4" xfId="15243"/>
    <cellStyle name="常规 4 3 9 5 2 3 5" xfId="24266"/>
    <cellStyle name="常规 4 3 9 5 2 4" xfId="15245"/>
    <cellStyle name="常规 4 3 9 5 2 4 2" xfId="15248"/>
    <cellStyle name="常规 4 3 9 5 2 4 2 2" xfId="24267"/>
    <cellStyle name="常规 4 3 9 5 2 4 3" xfId="24268"/>
    <cellStyle name="常规 4 3 9 5 2 4 4" xfId="24269"/>
    <cellStyle name="常规 4 3 9 5 2 5" xfId="15252"/>
    <cellStyle name="常规 4 3 9 5 2 5 2" xfId="24271"/>
    <cellStyle name="常规 4 3 9 5 2 6" xfId="15257"/>
    <cellStyle name="常规 4 3 9 5 2 7" xfId="19969"/>
    <cellStyle name="常规 4 3 9 5 3" xfId="24273"/>
    <cellStyle name="常规 4 3 9 5 3 2" xfId="7099"/>
    <cellStyle name="常规 4 3 9 5 3 2 2" xfId="411"/>
    <cellStyle name="常规 4 3 9 5 3 2 2 2" xfId="24275"/>
    <cellStyle name="常规 4 3 9 5 3 2 2 2 2" xfId="24276"/>
    <cellStyle name="常规 4 3 9 5 3 2 2 3" xfId="24277"/>
    <cellStyle name="常规 4 3 9 5 3 2 2 4" xfId="24279"/>
    <cellStyle name="常规 4 3 9 5 3 2 3" xfId="434"/>
    <cellStyle name="常规 4 3 9 5 3 2 3 2" xfId="24280"/>
    <cellStyle name="常规 4 3 9 5 3 2 4" xfId="20061"/>
    <cellStyle name="常规 4 3 9 5 3 2 5" xfId="20063"/>
    <cellStyle name="常规 4 3 9 5 3 3" xfId="7105"/>
    <cellStyle name="常规 4 3 9 5 3 3 2" xfId="935"/>
    <cellStyle name="常规 4 3 9 5 3 3 2 2" xfId="24281"/>
    <cellStyle name="常规 4 3 9 5 3 3 3" xfId="938"/>
    <cellStyle name="常规 4 3 9 5 3 3 4" xfId="20067"/>
    <cellStyle name="常规 4 3 9 5 3 4" xfId="15261"/>
    <cellStyle name="常规 4 3 9 5 3 4 2" xfId="981"/>
    <cellStyle name="常规 4 3 9 5 3 5" xfId="15266"/>
    <cellStyle name="常规 4 3 9 5 3 6" xfId="24282"/>
    <cellStyle name="常规 4 3 9 5 4" xfId="24284"/>
    <cellStyle name="常规 4 3 9 5 4 2" xfId="24286"/>
    <cellStyle name="常规 4 3 9 5 4 2 2" xfId="24288"/>
    <cellStyle name="常规 4 3 9 5 4 2 2 2" xfId="24289"/>
    <cellStyle name="常规 4 3 9 5 4 2 3" xfId="24290"/>
    <cellStyle name="常规 4 3 9 5 4 2 4" xfId="18166"/>
    <cellStyle name="常规 4 3 9 5 4 3" xfId="15269"/>
    <cellStyle name="常规 4 3 9 5 4 3 2" xfId="24291"/>
    <cellStyle name="常规 4 3 9 5 4 4" xfId="24293"/>
    <cellStyle name="常规 4 3 9 5 4 5" xfId="24294"/>
    <cellStyle name="常规 4 3 9 5 5" xfId="24296"/>
    <cellStyle name="常规 4 3 9 5 5 2" xfId="24298"/>
    <cellStyle name="常规 4 3 9 5 5 2 2" xfId="24299"/>
    <cellStyle name="常规 4 3 9 5 5 3" xfId="24301"/>
    <cellStyle name="常规 4 3 9 5 5 4" xfId="24302"/>
    <cellStyle name="常规 4 3 9 5 6" xfId="24303"/>
    <cellStyle name="常规 4 3 9 5 6 2" xfId="24305"/>
    <cellStyle name="常规 4 3 9 5 7" xfId="24306"/>
    <cellStyle name="常规 4 3 9 5 8" xfId="24308"/>
    <cellStyle name="常规 4 3 9 6" xfId="24310"/>
    <cellStyle name="常规 4 3 9 6 2" xfId="24311"/>
    <cellStyle name="常规 4 3 9 6 2 2" xfId="24313"/>
    <cellStyle name="常规 4 3 9 6 2 2 2" xfId="24315"/>
    <cellStyle name="常规 4 3 9 6 2 2 2 2" xfId="24316"/>
    <cellStyle name="常规 4 3 9 6 2 2 2 2 2" xfId="24317"/>
    <cellStyle name="常规 4 3 9 6 2 2 2 3" xfId="24318"/>
    <cellStyle name="常规 4 3 9 6 2 2 2 4" xfId="24320"/>
    <cellStyle name="常规 4 3 9 6 2 2 3" xfId="24321"/>
    <cellStyle name="常规 4 3 9 6 2 2 3 2" xfId="11039"/>
    <cellStyle name="常规 4 3 9 6 2 2 4" xfId="24322"/>
    <cellStyle name="常规 4 3 9 6 2 2 5" xfId="24324"/>
    <cellStyle name="常规 4 3 9 6 2 3" xfId="15275"/>
    <cellStyle name="常规 4 3 9 6 2 3 2" xfId="15278"/>
    <cellStyle name="常规 4 3 9 6 2 3 2 2" xfId="24325"/>
    <cellStyle name="常规 4 3 9 6 2 3 3" xfId="24327"/>
    <cellStyle name="常规 4 3 9 6 2 3 4" xfId="24328"/>
    <cellStyle name="常规 4 3 9 6 2 4" xfId="15280"/>
    <cellStyle name="常规 4 3 9 6 2 4 2" xfId="24330"/>
    <cellStyle name="常规 4 3 9 6 2 5" xfId="15283"/>
    <cellStyle name="常规 4 3 9 6 2 6" xfId="24331"/>
    <cellStyle name="常规 4 3 9 6 3" xfId="24333"/>
    <cellStyle name="常规 4 3 9 6 3 2" xfId="24334"/>
    <cellStyle name="常规 4 3 9 6 3 2 2" xfId="24335"/>
    <cellStyle name="常规 4 3 9 6 3 2 2 2" xfId="24336"/>
    <cellStyle name="常规 4 3 9 6 3 2 3" xfId="24337"/>
    <cellStyle name="常规 4 3 9 6 3 2 4" xfId="24339"/>
    <cellStyle name="常规 4 3 9 6 3 3" xfId="15286"/>
    <cellStyle name="常规 4 3 9 6 3 3 2" xfId="24341"/>
    <cellStyle name="常规 4 3 9 6 3 4" xfId="24342"/>
    <cellStyle name="常规 4 3 9 6 3 5" xfId="24343"/>
    <cellStyle name="常规 4 3 9 6 4" xfId="24344"/>
    <cellStyle name="常规 4 3 9 6 4 2" xfId="24345"/>
    <cellStyle name="常规 4 3 9 6 4 2 2" xfId="1443"/>
    <cellStyle name="常规 4 3 9 6 4 3" xfId="24346"/>
    <cellStyle name="常规 4 3 9 6 4 4" xfId="19550"/>
    <cellStyle name="常规 4 3 9 6 5" xfId="24347"/>
    <cellStyle name="常规 4 3 9 6 5 2" xfId="24348"/>
    <cellStyle name="常规 4 3 9 6 6" xfId="24349"/>
    <cellStyle name="常规 4 3 9 6 7" xfId="24350"/>
    <cellStyle name="常规 4 3 9 7" xfId="24351"/>
    <cellStyle name="常规 4 3 9 7 2" xfId="24352"/>
    <cellStyle name="常规 4 3 9 7 2 2" xfId="24353"/>
    <cellStyle name="常规 4 3 9 7 2 2 2" xfId="24354"/>
    <cellStyle name="常规 4 3 9 7 2 2 2 2" xfId="24355"/>
    <cellStyle name="常规 4 3 9 7 2 2 3" xfId="24356"/>
    <cellStyle name="常规 4 3 9 7 2 2 4" xfId="10028"/>
    <cellStyle name="常规 4 3 9 7 2 3" xfId="15294"/>
    <cellStyle name="常规 4 3 9 7 2 3 2" xfId="24358"/>
    <cellStyle name="常规 4 3 9 7 2 4" xfId="24359"/>
    <cellStyle name="常规 4 3 9 7 2 5" xfId="2660"/>
    <cellStyle name="常规 4 3 9 7 3" xfId="24360"/>
    <cellStyle name="常规 4 3 9 7 3 2" xfId="24361"/>
    <cellStyle name="常规 4 3 9 7 3 2 2" xfId="24362"/>
    <cellStyle name="常规 4 3 9 7 3 3" xfId="24363"/>
    <cellStyle name="常规 4 3 9 7 3 4" xfId="24364"/>
    <cellStyle name="常规 4 3 9 7 4" xfId="24365"/>
    <cellStyle name="常规 4 3 9 7 4 2" xfId="24366"/>
    <cellStyle name="常规 4 3 9 7 5" xfId="24367"/>
    <cellStyle name="常规 4 3 9 7 6" xfId="24368"/>
    <cellStyle name="常规 4 3 9 8" xfId="24369"/>
    <cellStyle name="常规 4 3 9 8 2" xfId="24370"/>
    <cellStyle name="常规 4 3 9 8 2 2" xfId="24371"/>
    <cellStyle name="常规 4 3 9 8 2 2 2" xfId="24372"/>
    <cellStyle name="常规 4 3 9 8 2 3" xfId="24373"/>
    <cellStyle name="常规 4 3 9 8 2 4" xfId="795"/>
    <cellStyle name="常规 4 3 9 8 3" xfId="24374"/>
    <cellStyle name="常规 4 3 9 8 3 2" xfId="24375"/>
    <cellStyle name="常规 4 3 9 8 4" xfId="10581"/>
    <cellStyle name="常规 4 3 9 8 5" xfId="24376"/>
    <cellStyle name="常规 4 3 9 9" xfId="10878"/>
    <cellStyle name="常规 4 3 9 9 2" xfId="10880"/>
    <cellStyle name="常规 4 3 9 9 2 2" xfId="10882"/>
    <cellStyle name="常规 4 3 9 9 3" xfId="10885"/>
    <cellStyle name="常规 4 3 9 9 4" xfId="10887"/>
    <cellStyle name="常规 4 3_Sheet2" xfId="6422"/>
    <cellStyle name="常规 4 4" xfId="24377"/>
    <cellStyle name="常规 4 4 2" xfId="24378"/>
    <cellStyle name="常规 4 4 2 2" xfId="24379"/>
    <cellStyle name="常规 4 4 2 2 2" xfId="24380"/>
    <cellStyle name="常规 4 4 2 2 2 2" xfId="24381"/>
    <cellStyle name="常规 4 4 2 2 2 3" xfId="24382"/>
    <cellStyle name="常规 4 4 2 2 3" xfId="24384"/>
    <cellStyle name="常规 4 4 2 2 3 2" xfId="24387"/>
    <cellStyle name="常规 4 4 2 2 3 3" xfId="24390"/>
    <cellStyle name="常规 4 4 2 2 4" xfId="24392"/>
    <cellStyle name="常规 4 4 2 2 5" xfId="24394"/>
    <cellStyle name="常规 4 4 2 2 6" xfId="24396"/>
    <cellStyle name="常规 4 4 2 3" xfId="24397"/>
    <cellStyle name="常规 4 4 2 3 2" xfId="24398"/>
    <cellStyle name="常规 4 4 2 3 3" xfId="24400"/>
    <cellStyle name="常规 4 4 2 4" xfId="24401"/>
    <cellStyle name="常规 4 4 2 4 2" xfId="24402"/>
    <cellStyle name="常规 4 4 2 4 3" xfId="24404"/>
    <cellStyle name="常规 4 4 2 5" xfId="24405"/>
    <cellStyle name="常规 4 4 2 6" xfId="24406"/>
    <cellStyle name="常规 4 4 2 7" xfId="24407"/>
    <cellStyle name="常规 4 4 3" xfId="24408"/>
    <cellStyle name="常规 4 4 3 2" xfId="10275"/>
    <cellStyle name="常规 4 4 3 2 2" xfId="24409"/>
    <cellStyle name="常规 4 4 3 2 3" xfId="24411"/>
    <cellStyle name="常规 4 4 3 3" xfId="24412"/>
    <cellStyle name="常规 4 4 3 3 2" xfId="24413"/>
    <cellStyle name="常规 4 4 3 3 3" xfId="18059"/>
    <cellStyle name="常规 4 4 3 4" xfId="24414"/>
    <cellStyle name="常规 4 4 3 5" xfId="24415"/>
    <cellStyle name="常规 4 4 3 6" xfId="24416"/>
    <cellStyle name="常规 4 4 4" xfId="1091"/>
    <cellStyle name="常规 4 4 4 2" xfId="24418"/>
    <cellStyle name="常规 4 4 4 3" xfId="24419"/>
    <cellStyle name="常规 4 4 4 4" xfId="24420"/>
    <cellStyle name="常规 4 4 5" xfId="1093"/>
    <cellStyle name="常规 4 4 5 2" xfId="8075"/>
    <cellStyle name="常规 4 4 5 3" xfId="8083"/>
    <cellStyle name="常规 4 4 6" xfId="8088"/>
    <cellStyle name="常规 4 4 6 2" xfId="8091"/>
    <cellStyle name="常规 4 4 6 3" xfId="8096"/>
    <cellStyle name="常规 4 4 7" xfId="8099"/>
    <cellStyle name="常规 4 4 8" xfId="8103"/>
    <cellStyle name="常规 4 4_Sheet2" xfId="1031"/>
    <cellStyle name="常规 4 5" xfId="1716"/>
    <cellStyle name="常规 4 5 2" xfId="24422"/>
    <cellStyle name="常规 4 5 2 2" xfId="24423"/>
    <cellStyle name="常规 4 5 2 2 2" xfId="24425"/>
    <cellStyle name="常规 4 5 2 2 3" xfId="24429"/>
    <cellStyle name="常规 4 5 2 3" xfId="24430"/>
    <cellStyle name="常规 4 5 2 3 2" xfId="24432"/>
    <cellStyle name="常规 4 5 2 3 3" xfId="24435"/>
    <cellStyle name="常规 4 5 2 4" xfId="24436"/>
    <cellStyle name="常规 4 5 2 5" xfId="24437"/>
    <cellStyle name="常规 4 5 2 6" xfId="24438"/>
    <cellStyle name="常规 4 5 3" xfId="24440"/>
    <cellStyle name="常规 4 5 3 2" xfId="24441"/>
    <cellStyle name="常规 4 5 3 3" xfId="24442"/>
    <cellStyle name="常规 4 5 4" xfId="1100"/>
    <cellStyle name="常规 4 5 4 2" xfId="24443"/>
    <cellStyle name="常规 4 5 4 3" xfId="24444"/>
    <cellStyle name="常规 4 5 5" xfId="8109"/>
    <cellStyle name="常规 4 5 6" xfId="8123"/>
    <cellStyle name="常规 4 5 7" xfId="8128"/>
    <cellStyle name="常规 4 6" xfId="421"/>
    <cellStyle name="常规 4 6 2" xfId="24446"/>
    <cellStyle name="常规 4 6 2 2" xfId="24447"/>
    <cellStyle name="常规 4 6 2 3" xfId="24448"/>
    <cellStyle name="常规 4 6 3" xfId="24449"/>
    <cellStyle name="常规 4 6 3 2" xfId="21816"/>
    <cellStyle name="常规 4 6 3 3" xfId="24450"/>
    <cellStyle name="常规 4 6 4" xfId="24451"/>
    <cellStyle name="常规 4 6 5" xfId="8135"/>
    <cellStyle name="常规 4 6 6" xfId="8140"/>
    <cellStyle name="常规 4 7" xfId="1718"/>
    <cellStyle name="常规 4 7 2" xfId="24452"/>
    <cellStyle name="常规 4 7 3" xfId="24453"/>
    <cellStyle name="常规 4 7 4" xfId="24454"/>
    <cellStyle name="常规 4 8" xfId="1721"/>
    <cellStyle name="常规 4 8 2" xfId="19844"/>
    <cellStyle name="常规 4 8 3" xfId="19849"/>
    <cellStyle name="常规 4 9" xfId="1725"/>
    <cellStyle name="常规 4 9 2" xfId="19853"/>
    <cellStyle name="常规 4 9 3" xfId="24456"/>
    <cellStyle name="常规 4_Sheet2" xfId="24457"/>
    <cellStyle name="常规 40" xfId="4154"/>
    <cellStyle name="常规 41" xfId="4156"/>
    <cellStyle name="常规 42" xfId="4158"/>
    <cellStyle name="常规 43" xfId="4164"/>
    <cellStyle name="常规 44" xfId="33"/>
    <cellStyle name="常规 45" xfId="24458"/>
    <cellStyle name="常规 46" xfId="24460"/>
    <cellStyle name="常规 47" xfId="24462"/>
    <cellStyle name="常规 48" xfId="24465"/>
    <cellStyle name="常规 49" xfId="24467"/>
    <cellStyle name="常规 5" xfId="24469"/>
    <cellStyle name="常规 5 10" xfId="24470"/>
    <cellStyle name="常规 5 10 2" xfId="24472"/>
    <cellStyle name="常规 5 10 2 2" xfId="24473"/>
    <cellStyle name="常规 5 10 2 2 2" xfId="24474"/>
    <cellStyle name="常规 5 10 2 2 2 2" xfId="10855"/>
    <cellStyle name="常规 5 10 2 2 2 2 2" xfId="16943"/>
    <cellStyle name="常规 5 10 2 2 2 3" xfId="16945"/>
    <cellStyle name="常规 5 10 2 2 2 4" xfId="16947"/>
    <cellStyle name="常规 5 10 2 2 3" xfId="24475"/>
    <cellStyle name="常规 5 10 2 2 3 2" xfId="16984"/>
    <cellStyle name="常规 5 10 2 2 4" xfId="19545"/>
    <cellStyle name="常规 5 10 2 2 5" xfId="24477"/>
    <cellStyle name="常规 5 10 2 3" xfId="4094"/>
    <cellStyle name="常规 5 10 2 3 2" xfId="24478"/>
    <cellStyle name="常规 5 10 2 3 2 2" xfId="17136"/>
    <cellStyle name="常规 5 10 2 3 3" xfId="24480"/>
    <cellStyle name="常规 5 10 2 3 4" xfId="24483"/>
    <cellStyle name="常规 5 10 2 4" xfId="19997"/>
    <cellStyle name="常规 5 10 2 4 2" xfId="19999"/>
    <cellStyle name="常规 5 10 2 5" xfId="20028"/>
    <cellStyle name="常规 5 10 2 6" xfId="20035"/>
    <cellStyle name="常规 5 10 3" xfId="7092"/>
    <cellStyle name="常规 5 10 3 2" xfId="824"/>
    <cellStyle name="常规 5 10 3 2 2" xfId="24488"/>
    <cellStyle name="常规 5 10 3 2 2 2" xfId="17671"/>
    <cellStyle name="常规 5 10 3 2 3" xfId="24489"/>
    <cellStyle name="常规 5 10 3 2 4" xfId="24491"/>
    <cellStyle name="常规 5 10 3 3" xfId="826"/>
    <cellStyle name="常规 5 10 3 3 2" xfId="24492"/>
    <cellStyle name="常规 5 10 3 4" xfId="20043"/>
    <cellStyle name="常规 5 10 3 5" xfId="20050"/>
    <cellStyle name="常规 5 10 4" xfId="7097"/>
    <cellStyle name="常规 5 10 4 2" xfId="410"/>
    <cellStyle name="常规 5 10 4 2 2" xfId="24274"/>
    <cellStyle name="常规 5 10 4 3" xfId="433"/>
    <cellStyle name="常规 5 10 4 4" xfId="20060"/>
    <cellStyle name="常规 5 10 5" xfId="7104"/>
    <cellStyle name="常规 5 10 5 2" xfId="934"/>
    <cellStyle name="常规 5 10 6" xfId="15263"/>
    <cellStyle name="常规 5 10 7" xfId="15265"/>
    <cellStyle name="常规 5 11" xfId="24493"/>
    <cellStyle name="常规 5 11 2" xfId="24494"/>
    <cellStyle name="常规 5 11 2 2" xfId="10231"/>
    <cellStyle name="常规 5 11 2 2 2" xfId="10234"/>
    <cellStyle name="常规 5 11 2 2 2 2" xfId="18907"/>
    <cellStyle name="常规 5 11 2 2 3" xfId="24495"/>
    <cellStyle name="常规 5 11 2 2 4" xfId="19639"/>
    <cellStyle name="常规 5 11 2 3" xfId="10238"/>
    <cellStyle name="常规 5 11 2 3 2" xfId="24496"/>
    <cellStyle name="常规 5 11 2 4" xfId="10241"/>
    <cellStyle name="常规 5 11 2 5" xfId="21154"/>
    <cellStyle name="常规 5 11 3" xfId="2544"/>
    <cellStyle name="常规 5 11 3 2" xfId="10250"/>
    <cellStyle name="常规 5 11 3 2 2" xfId="24497"/>
    <cellStyle name="常规 5 11 3 3" xfId="10253"/>
    <cellStyle name="常规 5 11 3 4" xfId="21157"/>
    <cellStyle name="常规 5 11 4" xfId="24285"/>
    <cellStyle name="常规 5 11 4 2" xfId="24287"/>
    <cellStyle name="常规 5 11 5" xfId="15268"/>
    <cellStyle name="常规 5 11 6" xfId="24292"/>
    <cellStyle name="常规 5 12" xfId="24499"/>
    <cellStyle name="常规 5 12 2" xfId="24500"/>
    <cellStyle name="常规 5 12 2 2" xfId="10283"/>
    <cellStyle name="常规 5 12 2 2 2" xfId="24501"/>
    <cellStyle name="常规 5 12 2 3" xfId="10286"/>
    <cellStyle name="常规 5 12 2 4" xfId="24417"/>
    <cellStyle name="常规 5 12 3" xfId="24502"/>
    <cellStyle name="常规 5 12 3 2" xfId="24503"/>
    <cellStyle name="常规 5 12 4" xfId="24297"/>
    <cellStyle name="常规 5 12 5" xfId="24300"/>
    <cellStyle name="常规 5 13" xfId="24504"/>
    <cellStyle name="常规 5 13 2" xfId="24505"/>
    <cellStyle name="常规 5 13 2 2" xfId="24506"/>
    <cellStyle name="常规 5 13 3" xfId="24507"/>
    <cellStyle name="常规 5 13 4" xfId="24304"/>
    <cellStyle name="常规 5 14" xfId="24508"/>
    <cellStyle name="常规 5 14 2" xfId="24509"/>
    <cellStyle name="常规 5 15" xfId="24510"/>
    <cellStyle name="常规 5 16" xfId="24512"/>
    <cellStyle name="常规 5 17" xfId="2530"/>
    <cellStyle name="常规 5 18" xfId="24171"/>
    <cellStyle name="常规 5 19" xfId="24173"/>
    <cellStyle name="常规 5 2" xfId="1822"/>
    <cellStyle name="常规 5 2 10" xfId="24513"/>
    <cellStyle name="常规 5 2 10 2" xfId="729"/>
    <cellStyle name="常规 5 2 10 2 2" xfId="24514"/>
    <cellStyle name="常规 5 2 10 2 2 2" xfId="24515"/>
    <cellStyle name="常规 5 2 10 2 2 2 2" xfId="4033"/>
    <cellStyle name="常规 5 2 10 2 2 3" xfId="17585"/>
    <cellStyle name="常规 5 2 10 2 2 4" xfId="24516"/>
    <cellStyle name="常规 5 2 10 2 3" xfId="24517"/>
    <cellStyle name="常规 5 2 10 2 3 2" xfId="18417"/>
    <cellStyle name="常规 5 2 10 2 4" xfId="24518"/>
    <cellStyle name="常规 5 2 10 2 5" xfId="24520"/>
    <cellStyle name="常规 5 2 10 3" xfId="5892"/>
    <cellStyle name="常规 5 2 10 3 2" xfId="24523"/>
    <cellStyle name="常规 5 2 10 3 2 2" xfId="24524"/>
    <cellStyle name="常规 5 2 10 3 3" xfId="24525"/>
    <cellStyle name="常规 5 2 10 3 4" xfId="24526"/>
    <cellStyle name="常规 5 2 10 4" xfId="24527"/>
    <cellStyle name="常规 5 2 10 4 2" xfId="24528"/>
    <cellStyle name="常规 5 2 10 5" xfId="24529"/>
    <cellStyle name="常规 5 2 10 6" xfId="24531"/>
    <cellStyle name="常规 5 2 11" xfId="24532"/>
    <cellStyle name="常规 5 2 11 2" xfId="740"/>
    <cellStyle name="常规 5 2 11 2 2" xfId="12474"/>
    <cellStyle name="常规 5 2 11 2 2 2" xfId="24533"/>
    <cellStyle name="常规 5 2 11 2 3" xfId="12476"/>
    <cellStyle name="常规 5 2 11 2 4" xfId="24534"/>
    <cellStyle name="常规 5 2 11 3" xfId="9265"/>
    <cellStyle name="常规 5 2 11 3 2" xfId="24535"/>
    <cellStyle name="常规 5 2 11 4" xfId="24536"/>
    <cellStyle name="常规 5 2 11 5" xfId="24537"/>
    <cellStyle name="常规 5 2 12" xfId="24538"/>
    <cellStyle name="常规 5 2 12 2" xfId="24539"/>
    <cellStyle name="常规 5 2 12 2 2" xfId="24540"/>
    <cellStyle name="常规 5 2 12 3" xfId="24541"/>
    <cellStyle name="常规 5 2 12 4" xfId="24542"/>
    <cellStyle name="常规 5 2 13" xfId="24543"/>
    <cellStyle name="常规 5 2 13 2" xfId="24544"/>
    <cellStyle name="常规 5 2 14" xfId="24545"/>
    <cellStyle name="常规 5 2 15" xfId="24546"/>
    <cellStyle name="常规 5 2 16" xfId="24548"/>
    <cellStyle name="常规 5 2 17" xfId="24549"/>
    <cellStyle name="常规 5 2 18" xfId="24550"/>
    <cellStyle name="常规 5 2 19" xfId="24551"/>
    <cellStyle name="常规 5 2 2" xfId="21443"/>
    <cellStyle name="常规 5 2 2 10" xfId="24552"/>
    <cellStyle name="常规 5 2 2 10 2" xfId="24553"/>
    <cellStyle name="常规 5 2 2 10 2 2" xfId="24554"/>
    <cellStyle name="常规 5 2 2 10 2 2 2" xfId="15214"/>
    <cellStyle name="常规 5 2 2 10 2 3" xfId="24555"/>
    <cellStyle name="常规 5 2 2 10 2 4" xfId="24556"/>
    <cellStyle name="常规 5 2 2 10 3" xfId="13360"/>
    <cellStyle name="常规 5 2 2 10 3 2" xfId="24557"/>
    <cellStyle name="常规 5 2 2 10 4" xfId="20703"/>
    <cellStyle name="常规 5 2 2 10 5" xfId="24558"/>
    <cellStyle name="常规 5 2 2 11" xfId="24559"/>
    <cellStyle name="常规 5 2 2 11 2" xfId="22675"/>
    <cellStyle name="常规 5 2 2 11 2 2" xfId="22678"/>
    <cellStyle name="常规 5 2 2 11 3" xfId="22686"/>
    <cellStyle name="常规 5 2 2 11 4" xfId="22688"/>
    <cellStyle name="常规 5 2 2 12" xfId="24560"/>
    <cellStyle name="常规 5 2 2 12 2" xfId="22699"/>
    <cellStyle name="常规 5 2 2 13" xfId="24561"/>
    <cellStyle name="常规 5 2 2 14" xfId="24562"/>
    <cellStyle name="常规 5 2 2 15" xfId="24563"/>
    <cellStyle name="常规 5 2 2 16" xfId="24564"/>
    <cellStyle name="常规 5 2 2 17" xfId="24565"/>
    <cellStyle name="常规 5 2 2 18" xfId="24566"/>
    <cellStyle name="常规 5 2 2 19" xfId="24567"/>
    <cellStyle name="常规 5 2 2 2" xfId="24568"/>
    <cellStyle name="常规 5 2 2 2 10" xfId="11515"/>
    <cellStyle name="常规 5 2 2 2 10 2" xfId="8947"/>
    <cellStyle name="常规 5 2 2 2 10 2 2" xfId="24569"/>
    <cellStyle name="常规 5 2 2 2 10 3" xfId="15032"/>
    <cellStyle name="常规 5 2 2 2 10 4" xfId="15040"/>
    <cellStyle name="常规 5 2 2 2 11" xfId="11517"/>
    <cellStyle name="常规 5 2 2 2 11 2" xfId="24570"/>
    <cellStyle name="常规 5 2 2 2 12" xfId="24571"/>
    <cellStyle name="常规 5 2 2 2 13" xfId="24572"/>
    <cellStyle name="常规 5 2 2 2 2" xfId="24573"/>
    <cellStyle name="常规 5 2 2 2 2 10" xfId="18669"/>
    <cellStyle name="常规 5 2 2 2 2 10 2" xfId="21276"/>
    <cellStyle name="常规 5 2 2 2 2 11" xfId="18675"/>
    <cellStyle name="常规 5 2 2 2 2 12" xfId="24575"/>
    <cellStyle name="常规 5 2 2 2 2 2" xfId="24577"/>
    <cellStyle name="常规 5 2 2 2 2 2 10" xfId="24579"/>
    <cellStyle name="常规 5 2 2 2 2 2 11" xfId="24581"/>
    <cellStyle name="常规 5 2 2 2 2 2 2" xfId="24583"/>
    <cellStyle name="常规 5 2 2 2 2 2 2 2" xfId="24585"/>
    <cellStyle name="常规 5 2 2 2 2 2 2 2 2" xfId="24589"/>
    <cellStyle name="常规 5 2 2 2 2 2 2 2 2 2" xfId="24593"/>
    <cellStyle name="常规 5 2 2 2 2 2 2 2 2 2 2" xfId="24595"/>
    <cellStyle name="常规 5 2 2 2 2 2 2 2 2 2 2 2" xfId="24604"/>
    <cellStyle name="常规 5 2 2 2 2 2 2 2 2 2 2 2 2" xfId="24607"/>
    <cellStyle name="常规 5 2 2 2 2 2 2 2 2 2 2 2 2 2" xfId="18214"/>
    <cellStyle name="常规 5 2 2 2 2 2 2 2 2 2 2 2 3" xfId="24608"/>
    <cellStyle name="常规 5 2 2 2 2 2 2 2 2 2 2 2 4" xfId="24609"/>
    <cellStyle name="常规 5 2 2 2 2 2 2 2 2 2 2 3" xfId="24613"/>
    <cellStyle name="常规 5 2 2 2 2 2 2 2 2 2 2 3 2" xfId="24614"/>
    <cellStyle name="常规 5 2 2 2 2 2 2 2 2 2 2 4" xfId="24617"/>
    <cellStyle name="常规 5 2 2 2 2 2 2 2 2 2 2 5" xfId="20436"/>
    <cellStyle name="常规 5 2 2 2 2 2 2 2 2 2 3" xfId="24622"/>
    <cellStyle name="常规 5 2 2 2 2 2 2 2 2 2 3 2" xfId="24625"/>
    <cellStyle name="常规 5 2 2 2 2 2 2 2 2 2 3 2 2" xfId="22944"/>
    <cellStyle name="常规 5 2 2 2 2 2 2 2 2 2 3 3" xfId="24626"/>
    <cellStyle name="常规 5 2 2 2 2 2 2 2 2 2 3 4" xfId="24627"/>
    <cellStyle name="常规 5 2 2 2 2 2 2 2 2 2 4" xfId="24631"/>
    <cellStyle name="常规 5 2 2 2 2 2 2 2 2 2 4 2" xfId="24632"/>
    <cellStyle name="常规 5 2 2 2 2 2 2 2 2 2 5" xfId="10994"/>
    <cellStyle name="常规 5 2 2 2 2 2 2 2 2 2 6" xfId="11098"/>
    <cellStyle name="常规 5 2 2 2 2 2 2 2 2 3" xfId="19330"/>
    <cellStyle name="常规 5 2 2 2 2 2 2 2 2 3 2" xfId="19336"/>
    <cellStyle name="常规 5 2 2 2 2 2 2 2 2 3 2 2" xfId="24635"/>
    <cellStyle name="常规 5 2 2 2 2 2 2 2 2 3 2 2 2" xfId="24636"/>
    <cellStyle name="常规 5 2 2 2 2 2 2 2 2 3 2 3" xfId="24638"/>
    <cellStyle name="常规 5 2 2 2 2 2 2 2 2 3 2 4" xfId="24640"/>
    <cellStyle name="常规 5 2 2 2 2 2 2 2 2 3 3" xfId="24646"/>
    <cellStyle name="常规 5 2 2 2 2 2 2 2 2 3 3 2" xfId="24648"/>
    <cellStyle name="常规 5 2 2 2 2 2 2 2 2 3 4" xfId="24652"/>
    <cellStyle name="常规 5 2 2 2 2 2 2 2 2 3 5" xfId="11179"/>
    <cellStyle name="常规 5 2 2 2 2 2 2 2 2 4" xfId="19341"/>
    <cellStyle name="常规 5 2 2 2 2 2 2 2 2 4 2" xfId="24655"/>
    <cellStyle name="常规 5 2 2 2 2 2 2 2 2 4 2 2" xfId="24656"/>
    <cellStyle name="常规 5 2 2 2 2 2 2 2 2 4 3" xfId="24658"/>
    <cellStyle name="常规 5 2 2 2 2 2 2 2 2 4 4" xfId="24660"/>
    <cellStyle name="常规 5 2 2 2 2 2 2 2 2 5" xfId="19345"/>
    <cellStyle name="常规 5 2 2 2 2 2 2 2 2 5 2" xfId="24661"/>
    <cellStyle name="常规 5 2 2 2 2 2 2 2 2 6" xfId="24667"/>
    <cellStyle name="常规 5 2 2 2 2 2 2 2 2 7" xfId="24668"/>
    <cellStyle name="常规 5 2 2 2 2 2 2 2 3" xfId="21952"/>
    <cellStyle name="常规 5 2 2 2 2 2 2 2 3 2" xfId="21957"/>
    <cellStyle name="常规 5 2 2 2 2 2 2 2 3 2 2" xfId="24673"/>
    <cellStyle name="常规 5 2 2 2 2 2 2 2 3 2 2 2" xfId="24676"/>
    <cellStyle name="常规 5 2 2 2 2 2 2 2 3 2 2 2 2" xfId="24678"/>
    <cellStyle name="常规 5 2 2 2 2 2 2 2 3 2 2 3" xfId="24679"/>
    <cellStyle name="常规 5 2 2 2 2 2 2 2 3 2 2 4" xfId="24681"/>
    <cellStyle name="常规 5 2 2 2 2 2 2 2 3 2 3" xfId="24685"/>
    <cellStyle name="常规 5 2 2 2 2 2 2 2 3 2 3 2" xfId="24688"/>
    <cellStyle name="常规 5 2 2 2 2 2 2 2 3 2 4" xfId="24691"/>
    <cellStyle name="常规 5 2 2 2 2 2 2 2 3 2 5" xfId="11981"/>
    <cellStyle name="常规 5 2 2 2 2 2 2 2 3 3" xfId="19350"/>
    <cellStyle name="常规 5 2 2 2 2 2 2 2 3 3 2" xfId="24694"/>
    <cellStyle name="常规 5 2 2 2 2 2 2 2 3 3 2 2" xfId="24695"/>
    <cellStyle name="常规 5 2 2 2 2 2 2 2 3 3 3" xfId="24697"/>
    <cellStyle name="常规 5 2 2 2 2 2 2 2 3 3 4" xfId="24698"/>
    <cellStyle name="常规 5 2 2 2 2 2 2 2 3 4" xfId="24701"/>
    <cellStyle name="常规 5 2 2 2 2 2 2 2 3 4 2" xfId="24702"/>
    <cellStyle name="常规 5 2 2 2 2 2 2 2 3 5" xfId="24705"/>
    <cellStyle name="常规 5 2 2 2 2 2 2 2 3 6" xfId="10050"/>
    <cellStyle name="常规 5 2 2 2 2 2 2 2 4" xfId="21962"/>
    <cellStyle name="常规 5 2 2 2 2 2 2 2 4 2" xfId="24708"/>
    <cellStyle name="常规 5 2 2 2 2 2 2 2 4 2 2" xfId="24711"/>
    <cellStyle name="常规 5 2 2 2 2 2 2 2 4 2 2 2" xfId="24713"/>
    <cellStyle name="常规 5 2 2 2 2 2 2 2 4 2 3" xfId="24714"/>
    <cellStyle name="常规 5 2 2 2 2 2 2 2 4 2 4" xfId="24716"/>
    <cellStyle name="常规 5 2 2 2 2 2 2 2 4 3" xfId="24719"/>
    <cellStyle name="常规 5 2 2 2 2 2 2 2 4 3 2" xfId="24720"/>
    <cellStyle name="常规 5 2 2 2 2 2 2 2 4 4" xfId="24725"/>
    <cellStyle name="常规 5 2 2 2 2 2 2 2 4 5" xfId="24726"/>
    <cellStyle name="常规 5 2 2 2 2 2 2 2 5" xfId="21967"/>
    <cellStyle name="常规 5 2 2 2 2 2 2 2 5 2" xfId="20565"/>
    <cellStyle name="常规 5 2 2 2 2 2 2 2 5 2 2" xfId="20566"/>
    <cellStyle name="常规 5 2 2 2 2 2 2 2 5 3" xfId="20570"/>
    <cellStyle name="常规 5 2 2 2 2 2 2 2 5 4" xfId="20573"/>
    <cellStyle name="常规 5 2 2 2 2 2 2 2 6" xfId="24730"/>
    <cellStyle name="常规 5 2 2 2 2 2 2 2 6 2" xfId="20583"/>
    <cellStyle name="常规 5 2 2 2 2 2 2 2 7" xfId="24735"/>
    <cellStyle name="常规 5 2 2 2 2 2 2 2 8" xfId="24738"/>
    <cellStyle name="常规 5 2 2 2 2 2 2 3" xfId="24741"/>
    <cellStyle name="常规 5 2 2 2 2 2 2 3 2" xfId="24746"/>
    <cellStyle name="常规 5 2 2 2 2 2 2 3 2 2" xfId="24750"/>
    <cellStyle name="常规 5 2 2 2 2 2 2 3 2 2 2" xfId="24756"/>
    <cellStyle name="常规 5 2 2 2 2 2 2 3 2 2 2 2" xfId="24758"/>
    <cellStyle name="常规 5 2 2 2 2 2 2 3 2 2 2 2 2" xfId="24759"/>
    <cellStyle name="常规 5 2 2 2 2 2 2 3 2 2 2 3" xfId="24760"/>
    <cellStyle name="常规 5 2 2 2 2 2 2 3 2 2 2 4" xfId="24761"/>
    <cellStyle name="常规 5 2 2 2 2 2 2 3 2 2 3" xfId="6571"/>
    <cellStyle name="常规 5 2 2 2 2 2 2 3 2 2 3 2" xfId="24762"/>
    <cellStyle name="常规 5 2 2 2 2 2 2 3 2 2 4" xfId="24764"/>
    <cellStyle name="常规 5 2 2 2 2 2 2 3 2 2 5" xfId="13642"/>
    <cellStyle name="常规 5 2 2 2 2 2 2 3 2 3" xfId="1470"/>
    <cellStyle name="常规 5 2 2 2 2 2 2 3 2 3 2" xfId="24766"/>
    <cellStyle name="常规 5 2 2 2 2 2 2 3 2 3 2 2" xfId="24767"/>
    <cellStyle name="常规 5 2 2 2 2 2 2 3 2 3 3" xfId="24769"/>
    <cellStyle name="常规 5 2 2 2 2 2 2 3 2 3 4" xfId="24770"/>
    <cellStyle name="常规 5 2 2 2 2 2 2 3 2 4" xfId="24774"/>
    <cellStyle name="常规 5 2 2 2 2 2 2 3 2 4 2" xfId="24776"/>
    <cellStyle name="常规 5 2 2 2 2 2 2 3 2 5" xfId="24779"/>
    <cellStyle name="常规 5 2 2 2 2 2 2 3 2 6" xfId="24780"/>
    <cellStyle name="常规 5 2 2 2 2 2 2 3 3" xfId="21973"/>
    <cellStyle name="常规 5 2 2 2 2 2 2 3 3 2" xfId="24784"/>
    <cellStyle name="常规 5 2 2 2 2 2 2 3 3 2 2" xfId="24786"/>
    <cellStyle name="常规 5 2 2 2 2 2 2 3 3 2 2 2" xfId="24789"/>
    <cellStyle name="常规 5 2 2 2 2 2 2 3 3 2 3" xfId="24790"/>
    <cellStyle name="常规 5 2 2 2 2 2 2 3 3 2 4" xfId="24791"/>
    <cellStyle name="常规 5 2 2 2 2 2 2 3 3 3" xfId="24793"/>
    <cellStyle name="常规 5 2 2 2 2 2 2 3 3 3 2" xfId="24794"/>
    <cellStyle name="常规 5 2 2 2 2 2 2 3 3 4" xfId="24796"/>
    <cellStyle name="常规 5 2 2 2 2 2 2 3 3 5" xfId="24797"/>
    <cellStyle name="常规 5 2 2 2 2 2 2 3 4" xfId="24801"/>
    <cellStyle name="常规 5 2 2 2 2 2 2 3 4 2" xfId="24803"/>
    <cellStyle name="常规 5 2 2 2 2 2 2 3 4 2 2" xfId="24805"/>
    <cellStyle name="常规 5 2 2 2 2 2 2 3 4 3" xfId="24807"/>
    <cellStyle name="常规 5 2 2 2 2 2 2 3 4 4" xfId="24808"/>
    <cellStyle name="常规 5 2 2 2 2 2 2 3 5" xfId="24812"/>
    <cellStyle name="常规 5 2 2 2 2 2 2 3 5 2" xfId="20613"/>
    <cellStyle name="常规 5 2 2 2 2 2 2 3 6" xfId="24816"/>
    <cellStyle name="常规 5 2 2 2 2 2 2 3 7" xfId="24817"/>
    <cellStyle name="常规 5 2 2 2 2 2 2 4" xfId="24819"/>
    <cellStyle name="常规 5 2 2 2 2 2 2 4 2" xfId="24823"/>
    <cellStyle name="常规 5 2 2 2 2 2 2 4 2 2" xfId="24827"/>
    <cellStyle name="常规 5 2 2 2 2 2 2 4 2 2 2" xfId="9317"/>
    <cellStyle name="常规 5 2 2 2 2 2 2 4 2 2 2 2" xfId="9318"/>
    <cellStyle name="常规 5 2 2 2 2 2 2 4 2 2 3" xfId="9348"/>
    <cellStyle name="常规 5 2 2 2 2 2 2 4 2 2 4" xfId="9353"/>
    <cellStyle name="常规 5 2 2 2 2 2 2 4 2 3" xfId="24830"/>
    <cellStyle name="常规 5 2 2 2 2 2 2 4 2 3 2" xfId="9401"/>
    <cellStyle name="常规 5 2 2 2 2 2 2 4 2 4" xfId="24835"/>
    <cellStyle name="常规 5 2 2 2 2 2 2 4 2 5" xfId="24836"/>
    <cellStyle name="常规 5 2 2 2 2 2 2 4 3" xfId="24840"/>
    <cellStyle name="常规 5 2 2 2 2 2 2 4 3 2" xfId="24843"/>
    <cellStyle name="常规 5 2 2 2 2 2 2 4 3 2 2" xfId="9564"/>
    <cellStyle name="常规 5 2 2 2 2 2 2 4 3 3" xfId="24844"/>
    <cellStyle name="常规 5 2 2 2 2 2 2 4 3 4" xfId="24845"/>
    <cellStyle name="常规 5 2 2 2 2 2 2 4 4" xfId="24849"/>
    <cellStyle name="常规 5 2 2 2 2 2 2 4 4 2" xfId="24850"/>
    <cellStyle name="常规 5 2 2 2 2 2 2 4 5" xfId="24853"/>
    <cellStyle name="常规 5 2 2 2 2 2 2 4 6" xfId="8447"/>
    <cellStyle name="常规 5 2 2 2 2 2 2 5" xfId="24856"/>
    <cellStyle name="常规 5 2 2 2 2 2 2 5 2" xfId="24861"/>
    <cellStyle name="常规 5 2 2 2 2 2 2 5 2 2" xfId="24865"/>
    <cellStyle name="常规 5 2 2 2 2 2 2 5 2 2 2" xfId="24867"/>
    <cellStyle name="常规 5 2 2 2 2 2 2 5 2 3" xfId="24868"/>
    <cellStyle name="常规 5 2 2 2 2 2 2 5 2 4" xfId="3575"/>
    <cellStyle name="常规 5 2 2 2 2 2 2 5 3" xfId="22388"/>
    <cellStyle name="常规 5 2 2 2 2 2 2 5 3 2" xfId="24869"/>
    <cellStyle name="常规 5 2 2 2 2 2 2 5 4" xfId="24873"/>
    <cellStyle name="常规 5 2 2 2 2 2 2 5 5" xfId="24874"/>
    <cellStyle name="常规 5 2 2 2 2 2 2 6" xfId="23862"/>
    <cellStyle name="常规 5 2 2 2 2 2 2 6 2" xfId="13944"/>
    <cellStyle name="常规 5 2 2 2 2 2 2 6 2 2" xfId="24877"/>
    <cellStyle name="常规 5 2 2 2 2 2 2 6 3" xfId="13950"/>
    <cellStyle name="常规 5 2 2 2 2 2 2 6 4" xfId="24880"/>
    <cellStyle name="常规 5 2 2 2 2 2 2 7" xfId="24885"/>
    <cellStyle name="常规 5 2 2 2 2 2 2 7 2" xfId="13981"/>
    <cellStyle name="常规 5 2 2 2 2 2 2 8" xfId="24890"/>
    <cellStyle name="常规 5 2 2 2 2 2 2 9" xfId="24893"/>
    <cellStyle name="常规 5 2 2 2 2 2 3" xfId="16004"/>
    <cellStyle name="常规 5 2 2 2 2 2 3 2" xfId="24895"/>
    <cellStyle name="常规 5 2 2 2 2 2 3 2 2" xfId="24899"/>
    <cellStyle name="常规 5 2 2 2 2 2 3 2 2 2" xfId="19473"/>
    <cellStyle name="常规 5 2 2 2 2 2 3 2 2 2 2" xfId="24904"/>
    <cellStyle name="常规 5 2 2 2 2 2 3 2 2 2 2 2" xfId="24907"/>
    <cellStyle name="常规 5 2 2 2 2 2 3 2 2 2 2 2 2" xfId="18490"/>
    <cellStyle name="常规 5 2 2 2 2 2 3 2 2 2 2 2 2 2" xfId="24908"/>
    <cellStyle name="常规 5 2 2 2 2 2 3 2 2 2 2 2 3" xfId="18492"/>
    <cellStyle name="常规 5 2 2 2 2 2 3 2 2 2 2 2 4" xfId="24910"/>
    <cellStyle name="常规 5 2 2 2 2 2 3 2 2 2 2 3" xfId="24913"/>
    <cellStyle name="常规 5 2 2 2 2 2 3 2 2 2 2 3 2" xfId="24914"/>
    <cellStyle name="常规 5 2 2 2 2 2 3 2 2 2 2 4" xfId="24915"/>
    <cellStyle name="常规 5 2 2 2 2 2 3 2 2 2 2 5" xfId="24916"/>
    <cellStyle name="常规 5 2 2 2 2 2 3 2 2 2 3" xfId="3562"/>
    <cellStyle name="常规 5 2 2 2 2 2 3 2 2 2 3 2" xfId="24917"/>
    <cellStyle name="常规 5 2 2 2 2 2 3 2 2 2 3 2 2" xfId="24918"/>
    <cellStyle name="常规 5 2 2 2 2 2 3 2 2 2 3 3" xfId="24919"/>
    <cellStyle name="常规 5 2 2 2 2 2 3 2 2 2 3 4" xfId="23611"/>
    <cellStyle name="常规 5 2 2 2 2 2 3 2 2 2 4" xfId="24921"/>
    <cellStyle name="常规 5 2 2 2 2 2 3 2 2 2 4 2" xfId="24922"/>
    <cellStyle name="常规 5 2 2 2 2 2 3 2 2 2 5" xfId="24923"/>
    <cellStyle name="常规 5 2 2 2 2 2 3 2 2 2 6" xfId="3970"/>
    <cellStyle name="常规 5 2 2 2 2 2 3 2 2 3" xfId="19376"/>
    <cellStyle name="常规 5 2 2 2 2 2 3 2 2 3 2" xfId="24925"/>
    <cellStyle name="常规 5 2 2 2 2 2 3 2 2 3 2 2" xfId="24926"/>
    <cellStyle name="常规 5 2 2 2 2 2 3 2 2 3 2 2 2" xfId="24927"/>
    <cellStyle name="常规 5 2 2 2 2 2 3 2 2 3 2 3" xfId="24929"/>
    <cellStyle name="常规 5 2 2 2 2 2 3 2 2 3 2 4" xfId="24930"/>
    <cellStyle name="常规 5 2 2 2 2 2 3 2 2 3 3" xfId="24932"/>
    <cellStyle name="常规 5 2 2 2 2 2 3 2 2 3 3 2" xfId="24933"/>
    <cellStyle name="常规 5 2 2 2 2 2 3 2 2 3 4" xfId="23069"/>
    <cellStyle name="常规 5 2 2 2 2 2 3 2 2 3 5" xfId="24934"/>
    <cellStyle name="常规 5 2 2 2 2 2 3 2 2 4" xfId="24938"/>
    <cellStyle name="常规 5 2 2 2 2 2 3 2 2 4 2" xfId="24939"/>
    <cellStyle name="常规 5 2 2 2 2 2 3 2 2 4 2 2" xfId="24940"/>
    <cellStyle name="常规 5 2 2 2 2 2 3 2 2 4 3" xfId="24941"/>
    <cellStyle name="常规 5 2 2 2 2 2 3 2 2 4 4" xfId="24942"/>
    <cellStyle name="常规 5 2 2 2 2 2 3 2 2 5" xfId="20271"/>
    <cellStyle name="常规 5 2 2 2 2 2 3 2 2 5 2" xfId="20273"/>
    <cellStyle name="常规 5 2 2 2 2 2 3 2 2 6" xfId="20284"/>
    <cellStyle name="常规 5 2 2 2 2 2 3 2 2 7" xfId="20289"/>
    <cellStyle name="常规 5 2 2 2 2 2 3 2 3" xfId="21984"/>
    <cellStyle name="常规 5 2 2 2 2 2 3 2 3 2" xfId="24946"/>
    <cellStyle name="常规 5 2 2 2 2 2 3 2 3 2 2" xfId="24948"/>
    <cellStyle name="常规 5 2 2 2 2 2 3 2 3 2 2 2" xfId="24949"/>
    <cellStyle name="常规 5 2 2 2 2 2 3 2 3 2 2 2 2" xfId="24950"/>
    <cellStyle name="常规 5 2 2 2 2 2 3 2 3 2 2 3" xfId="24951"/>
    <cellStyle name="常规 5 2 2 2 2 2 3 2 3 2 2 4" xfId="24952"/>
    <cellStyle name="常规 5 2 2 2 2 2 3 2 3 2 3" xfId="24953"/>
    <cellStyle name="常规 5 2 2 2 2 2 3 2 3 2 3 2" xfId="24955"/>
    <cellStyle name="常规 5 2 2 2 2 2 3 2 3 2 4" xfId="24956"/>
    <cellStyle name="常规 5 2 2 2 2 2 3 2 3 2 5" xfId="24957"/>
    <cellStyle name="常规 5 2 2 2 2 2 3 2 3 3" xfId="24959"/>
    <cellStyle name="常规 5 2 2 2 2 2 3 2 3 3 2" xfId="24960"/>
    <cellStyle name="常规 5 2 2 2 2 2 3 2 3 3 2 2" xfId="24961"/>
    <cellStyle name="常规 5 2 2 2 2 2 3 2 3 3 3" xfId="24962"/>
    <cellStyle name="常规 5 2 2 2 2 2 3 2 3 3 4" xfId="24963"/>
    <cellStyle name="常规 5 2 2 2 2 2 3 2 3 4" xfId="2447"/>
    <cellStyle name="常规 5 2 2 2 2 2 3 2 3 4 2" xfId="13223"/>
    <cellStyle name="常规 5 2 2 2 2 2 3 2 3 5" xfId="13225"/>
    <cellStyle name="常规 5 2 2 2 2 2 3 2 3 6" xfId="10113"/>
    <cellStyle name="常规 5 2 2 2 2 2 3 2 4" xfId="24967"/>
    <cellStyle name="常规 5 2 2 2 2 2 3 2 4 2" xfId="24969"/>
    <cellStyle name="常规 5 2 2 2 2 2 3 2 4 2 2" xfId="24970"/>
    <cellStyle name="常规 5 2 2 2 2 2 3 2 4 2 2 2" xfId="24971"/>
    <cellStyle name="常规 5 2 2 2 2 2 3 2 4 2 3" xfId="24972"/>
    <cellStyle name="常规 5 2 2 2 2 2 3 2 4 2 4" xfId="24973"/>
    <cellStyle name="常规 5 2 2 2 2 2 3 2 4 3" xfId="24974"/>
    <cellStyle name="常规 5 2 2 2 2 2 3 2 4 3 2" xfId="24975"/>
    <cellStyle name="常规 5 2 2 2 2 2 3 2 4 4" xfId="13231"/>
    <cellStyle name="常规 5 2 2 2 2 2 3 2 4 5" xfId="20300"/>
    <cellStyle name="常规 5 2 2 2 2 2 3 2 5" xfId="24979"/>
    <cellStyle name="常规 5 2 2 2 2 2 3 2 5 2" xfId="20956"/>
    <cellStyle name="常规 5 2 2 2 2 2 3 2 5 2 2" xfId="20958"/>
    <cellStyle name="常规 5 2 2 2 2 2 3 2 5 3" xfId="20960"/>
    <cellStyle name="常规 5 2 2 2 2 2 3 2 5 4" xfId="20962"/>
    <cellStyle name="常规 5 2 2 2 2 2 3 2 6" xfId="24983"/>
    <cellStyle name="常规 5 2 2 2 2 2 3 2 6 2" xfId="20966"/>
    <cellStyle name="常规 5 2 2 2 2 2 3 2 7" xfId="24984"/>
    <cellStyle name="常规 5 2 2 2 2 2 3 2 8" xfId="24985"/>
    <cellStyle name="常规 5 2 2 2 2 2 3 3" xfId="24987"/>
    <cellStyle name="常规 5 2 2 2 2 2 3 3 2" xfId="24991"/>
    <cellStyle name="常规 5 2 2 2 2 2 3 3 2 2" xfId="24995"/>
    <cellStyle name="常规 5 2 2 2 2 2 3 3 2 2 2" xfId="24999"/>
    <cellStyle name="常规 5 2 2 2 2 2 3 3 2 2 2 2" xfId="25000"/>
    <cellStyle name="常规 5 2 2 2 2 2 3 3 2 2 2 2 2" xfId="25001"/>
    <cellStyle name="常规 5 2 2 2 2 2 3 3 2 2 2 3" xfId="25002"/>
    <cellStyle name="常规 5 2 2 2 2 2 3 3 2 2 2 4" xfId="25003"/>
    <cellStyle name="常规 5 2 2 2 2 2 3 3 2 2 3" xfId="25004"/>
    <cellStyle name="常规 5 2 2 2 2 2 3 3 2 2 3 2" xfId="5653"/>
    <cellStyle name="常规 5 2 2 2 2 2 3 3 2 2 4" xfId="25005"/>
    <cellStyle name="常规 5 2 2 2 2 2 3 3 2 2 5" xfId="8234"/>
    <cellStyle name="常规 5 2 2 2 2 2 3 3 2 3" xfId="25008"/>
    <cellStyle name="常规 5 2 2 2 2 2 3 3 2 3 2" xfId="25009"/>
    <cellStyle name="常规 5 2 2 2 2 2 3 3 2 3 2 2" xfId="25010"/>
    <cellStyle name="常规 5 2 2 2 2 2 3 3 2 3 3" xfId="14204"/>
    <cellStyle name="常规 5 2 2 2 2 2 3 3 2 3 4" xfId="23263"/>
    <cellStyle name="常规 5 2 2 2 2 2 3 3 2 4" xfId="17257"/>
    <cellStyle name="常规 5 2 2 2 2 2 3 3 2 4 2" xfId="25011"/>
    <cellStyle name="常规 5 2 2 2 2 2 3 3 2 5" xfId="20315"/>
    <cellStyle name="常规 5 2 2 2 2 2 3 3 2 6" xfId="20320"/>
    <cellStyle name="常规 5 2 2 2 2 2 3 3 3" xfId="25015"/>
    <cellStyle name="常规 5 2 2 2 2 2 3 3 3 2" xfId="25018"/>
    <cellStyle name="常规 5 2 2 2 2 2 3 3 3 2 2" xfId="25019"/>
    <cellStyle name="常规 5 2 2 2 2 2 3 3 3 2 2 2" xfId="25020"/>
    <cellStyle name="常规 5 2 2 2 2 2 3 3 3 2 3" xfId="25021"/>
    <cellStyle name="常规 5 2 2 2 2 2 3 3 3 2 4" xfId="25022"/>
    <cellStyle name="常规 5 2 2 2 2 2 3 3 3 3" xfId="25023"/>
    <cellStyle name="常规 5 2 2 2 2 2 3 3 3 3 2" xfId="25024"/>
    <cellStyle name="常规 5 2 2 2 2 2 3 3 3 4" xfId="13239"/>
    <cellStyle name="常规 5 2 2 2 2 2 3 3 3 5" xfId="20324"/>
    <cellStyle name="常规 5 2 2 2 2 2 3 3 4" xfId="25028"/>
    <cellStyle name="常规 5 2 2 2 2 2 3 3 4 2" xfId="25029"/>
    <cellStyle name="常规 5 2 2 2 2 2 3 3 4 2 2" xfId="25031"/>
    <cellStyle name="常规 5 2 2 2 2 2 3 3 4 3" xfId="25033"/>
    <cellStyle name="常规 5 2 2 2 2 2 3 3 4 4" xfId="25034"/>
    <cellStyle name="常规 5 2 2 2 2 2 3 3 5" xfId="25037"/>
    <cellStyle name="常规 5 2 2 2 2 2 3 3 5 2" xfId="20983"/>
    <cellStyle name="常规 5 2 2 2 2 2 3 3 6" xfId="25038"/>
    <cellStyle name="常规 5 2 2 2 2 2 3 3 7" xfId="25039"/>
    <cellStyle name="常规 5 2 2 2 2 2 3 4" xfId="25041"/>
    <cellStyle name="常规 5 2 2 2 2 2 3 4 2" xfId="25045"/>
    <cellStyle name="常规 5 2 2 2 2 2 3 4 2 2" xfId="25049"/>
    <cellStyle name="常规 5 2 2 2 2 2 3 4 2 2 2" xfId="15432"/>
    <cellStyle name="常规 5 2 2 2 2 2 3 4 2 2 2 2" xfId="15433"/>
    <cellStyle name="常规 5 2 2 2 2 2 3 4 2 2 3" xfId="15457"/>
    <cellStyle name="常规 5 2 2 2 2 2 3 4 2 2 4" xfId="15460"/>
    <cellStyle name="常规 5 2 2 2 2 2 3 4 2 3" xfId="25050"/>
    <cellStyle name="常规 5 2 2 2 2 2 3 4 2 3 2" xfId="15572"/>
    <cellStyle name="常规 5 2 2 2 2 2 3 4 2 4" xfId="25051"/>
    <cellStyle name="常规 5 2 2 2 2 2 3 4 2 5" xfId="20336"/>
    <cellStyle name="常规 5 2 2 2 2 2 3 4 3" xfId="25055"/>
    <cellStyle name="常规 5 2 2 2 2 2 3 4 3 2" xfId="25056"/>
    <cellStyle name="常规 5 2 2 2 2 2 3 4 3 2 2" xfId="15746"/>
    <cellStyle name="常规 5 2 2 2 2 2 3 4 3 3" xfId="25057"/>
    <cellStyle name="常规 5 2 2 2 2 2 3 4 3 4" xfId="25058"/>
    <cellStyle name="常规 5 2 2 2 2 2 3 4 4" xfId="25061"/>
    <cellStyle name="常规 5 2 2 2 2 2 3 4 4 2" xfId="25062"/>
    <cellStyle name="常规 5 2 2 2 2 2 3 4 5" xfId="25063"/>
    <cellStyle name="常规 5 2 2 2 2 2 3 4 6" xfId="8459"/>
    <cellStyle name="常规 5 2 2 2 2 2 3 5" xfId="4605"/>
    <cellStyle name="常规 5 2 2 2 2 2 3 5 2" xfId="25068"/>
    <cellStyle name="常规 5 2 2 2 2 2 3 5 2 2" xfId="25069"/>
    <cellStyle name="常规 5 2 2 2 2 2 3 5 2 2 2" xfId="4346"/>
    <cellStyle name="常规 5 2 2 2 2 2 3 5 2 3" xfId="16712"/>
    <cellStyle name="常规 5 2 2 2 2 2 3 5 2 4" xfId="16714"/>
    <cellStyle name="常规 5 2 2 2 2 2 3 5 3" xfId="25071"/>
    <cellStyle name="常规 5 2 2 2 2 2 3 5 3 2" xfId="25072"/>
    <cellStyle name="常规 5 2 2 2 2 2 3 5 4" xfId="25073"/>
    <cellStyle name="常规 5 2 2 2 2 2 3 5 5" xfId="25074"/>
    <cellStyle name="常规 5 2 2 2 2 2 3 6" xfId="25078"/>
    <cellStyle name="常规 5 2 2 2 2 2 3 6 2" xfId="14029"/>
    <cellStyle name="常规 5 2 2 2 2 2 3 6 2 2" xfId="25080"/>
    <cellStyle name="常规 5 2 2 2 2 2 3 6 3" xfId="16789"/>
    <cellStyle name="常规 5 2 2 2 2 2 3 6 4" xfId="25083"/>
    <cellStyle name="常规 5 2 2 2 2 2 3 7" xfId="25088"/>
    <cellStyle name="常规 5 2 2 2 2 2 3 7 2" xfId="25091"/>
    <cellStyle name="常规 5 2 2 2 2 2 3 8" xfId="25094"/>
    <cellStyle name="常规 5 2 2 2 2 2 3 9" xfId="25097"/>
    <cellStyle name="常规 5 2 2 2 2 2 4" xfId="25099"/>
    <cellStyle name="常规 5 2 2 2 2 2 4 2" xfId="25101"/>
    <cellStyle name="常规 5 2 2 2 2 2 4 2 2" xfId="25105"/>
    <cellStyle name="常规 5 2 2 2 2 2 4 2 2 2" xfId="25109"/>
    <cellStyle name="常规 5 2 2 2 2 2 4 2 2 2 2" xfId="25113"/>
    <cellStyle name="常规 5 2 2 2 2 2 4 2 2 2 2 2" xfId="20364"/>
    <cellStyle name="常规 5 2 2 2 2 2 4 2 2 2 2 2 2" xfId="20365"/>
    <cellStyle name="常规 5 2 2 2 2 2 4 2 2 2 2 3" xfId="20369"/>
    <cellStyle name="常规 5 2 2 2 2 2 4 2 2 2 2 4" xfId="18605"/>
    <cellStyle name="常规 5 2 2 2 2 2 4 2 2 2 3" xfId="10156"/>
    <cellStyle name="常规 5 2 2 2 2 2 4 2 2 2 3 2" xfId="20375"/>
    <cellStyle name="常规 5 2 2 2 2 2 4 2 2 2 4" xfId="194"/>
    <cellStyle name="常规 5 2 2 2 2 2 4 2 2 2 5" xfId="25114"/>
    <cellStyle name="常规 5 2 2 2 2 2 4 2 2 3" xfId="25116"/>
    <cellStyle name="常规 5 2 2 2 2 2 4 2 2 3 2" xfId="25118"/>
    <cellStyle name="常规 5 2 2 2 2 2 4 2 2 3 2 2" xfId="20388"/>
    <cellStyle name="常规 5 2 2 2 2 2 4 2 2 3 3" xfId="25120"/>
    <cellStyle name="常规 5 2 2 2 2 2 4 2 2 3 4" xfId="24224"/>
    <cellStyle name="常规 5 2 2 2 2 2 4 2 2 4" xfId="25122"/>
    <cellStyle name="常规 5 2 2 2 2 2 4 2 2 4 2" xfId="25123"/>
    <cellStyle name="常规 5 2 2 2 2 2 4 2 2 5" xfId="20356"/>
    <cellStyle name="常规 5 2 2 2 2 2 4 2 2 6" xfId="20363"/>
    <cellStyle name="常规 5 2 2 2 2 2 4 2 3" xfId="25127"/>
    <cellStyle name="常规 5 2 2 2 2 2 4 2 3 2" xfId="25129"/>
    <cellStyle name="常规 5 2 2 2 2 2 4 2 3 2 2" xfId="21335"/>
    <cellStyle name="常规 5 2 2 2 2 2 4 2 3 2 2 2" xfId="20409"/>
    <cellStyle name="常规 5 2 2 2 2 2 4 2 3 2 3" xfId="21341"/>
    <cellStyle name="常规 5 2 2 2 2 2 4 2 3 2 4" xfId="21343"/>
    <cellStyle name="常规 5 2 2 2 2 2 4 2 3 3" xfId="25130"/>
    <cellStyle name="常规 5 2 2 2 2 2 4 2 3 3 2" xfId="21352"/>
    <cellStyle name="常规 5 2 2 2 2 2 4 2 3 4" xfId="13253"/>
    <cellStyle name="常规 5 2 2 2 2 2 4 2 3 5" xfId="20372"/>
    <cellStyle name="常规 5 2 2 2 2 2 4 2 4" xfId="25134"/>
    <cellStyle name="常规 5 2 2 2 2 2 4 2 4 2" xfId="25135"/>
    <cellStyle name="常规 5 2 2 2 2 2 4 2 4 2 2" xfId="21533"/>
    <cellStyle name="常规 5 2 2 2 2 2 4 2 4 3" xfId="25136"/>
    <cellStyle name="常规 5 2 2 2 2 2 4 2 4 4" xfId="25137"/>
    <cellStyle name="常规 5 2 2 2 2 2 4 2 5" xfId="25140"/>
    <cellStyle name="常规 5 2 2 2 2 2 4 2 5 2" xfId="25141"/>
    <cellStyle name="常规 5 2 2 2 2 2 4 2 6" xfId="25142"/>
    <cellStyle name="常规 5 2 2 2 2 2 4 2 7" xfId="25143"/>
    <cellStyle name="常规 5 2 2 2 2 2 4 3" xfId="25145"/>
    <cellStyle name="常规 5 2 2 2 2 2 4 3 2" xfId="25149"/>
    <cellStyle name="常规 5 2 2 2 2 2 4 3 2 2" xfId="25151"/>
    <cellStyle name="常规 5 2 2 2 2 2 4 3 2 2 2" xfId="25153"/>
    <cellStyle name="常规 5 2 2 2 2 2 4 3 2 2 2 2" xfId="20514"/>
    <cellStyle name="常规 5 2 2 2 2 2 4 3 2 2 3" xfId="25155"/>
    <cellStyle name="常规 5 2 2 2 2 2 4 3 2 2 4" xfId="25156"/>
    <cellStyle name="常规 5 2 2 2 2 2 4 3 2 3" xfId="25157"/>
    <cellStyle name="常规 5 2 2 2 2 2 4 3 2 3 2" xfId="25158"/>
    <cellStyle name="常规 5 2 2 2 2 2 4 3 2 4" xfId="25159"/>
    <cellStyle name="常规 5 2 2 2 2 2 4 3 2 5" xfId="20385"/>
    <cellStyle name="常规 5 2 2 2 2 2 4 3 3" xfId="25163"/>
    <cellStyle name="常规 5 2 2 2 2 2 4 3 3 2" xfId="25164"/>
    <cellStyle name="常规 5 2 2 2 2 2 4 3 3 2 2" xfId="21865"/>
    <cellStyle name="常规 5 2 2 2 2 2 4 3 3 3" xfId="25165"/>
    <cellStyle name="常规 5 2 2 2 2 2 4 3 3 4" xfId="25166"/>
    <cellStyle name="常规 5 2 2 2 2 2 4 3 4" xfId="17380"/>
    <cellStyle name="常规 5 2 2 2 2 2 4 3 4 2" xfId="25167"/>
    <cellStyle name="常规 5 2 2 2 2 2 4 3 5" xfId="25168"/>
    <cellStyle name="常规 5 2 2 2 2 2 4 3 6" xfId="25169"/>
    <cellStyle name="常规 5 2 2 2 2 2 4 4" xfId="25171"/>
    <cellStyle name="常规 5 2 2 2 2 2 4 4 2" xfId="25175"/>
    <cellStyle name="常规 5 2 2 2 2 2 4 4 2 2" xfId="25176"/>
    <cellStyle name="常规 5 2 2 2 2 2 4 4 2 2 2" xfId="25178"/>
    <cellStyle name="常规 5 2 2 2 2 2 4 4 2 3" xfId="25179"/>
    <cellStyle name="常规 5 2 2 2 2 2 4 4 2 4" xfId="25180"/>
    <cellStyle name="常规 5 2 2 2 2 2 4 4 3" xfId="14690"/>
    <cellStyle name="常规 5 2 2 2 2 2 4 4 3 2" xfId="14692"/>
    <cellStyle name="常规 5 2 2 2 2 2 4 4 4" xfId="14694"/>
    <cellStyle name="常规 5 2 2 2 2 2 4 4 5" xfId="14696"/>
    <cellStyle name="常规 5 2 2 2 2 2 4 5" xfId="17938"/>
    <cellStyle name="常规 5 2 2 2 2 2 4 5 2" xfId="17940"/>
    <cellStyle name="常规 5 2 2 2 2 2 4 5 2 2" xfId="25182"/>
    <cellStyle name="常规 5 2 2 2 2 2 4 5 3" xfId="14699"/>
    <cellStyle name="常规 5 2 2 2 2 2 4 5 4" xfId="25183"/>
    <cellStyle name="常规 5 2 2 2 2 2 4 6" xfId="17944"/>
    <cellStyle name="常规 5 2 2 2 2 2 4 6 2" xfId="25185"/>
    <cellStyle name="常规 5 2 2 2 2 2 4 7" xfId="17948"/>
    <cellStyle name="常规 5 2 2 2 2 2 4 8" xfId="25187"/>
    <cellStyle name="常规 5 2 2 2 2 2 5" xfId="25189"/>
    <cellStyle name="常规 5 2 2 2 2 2 5 2" xfId="25191"/>
    <cellStyle name="常规 5 2 2 2 2 2 5 2 2" xfId="25195"/>
    <cellStyle name="常规 5 2 2 2 2 2 5 2 2 2" xfId="25198"/>
    <cellStyle name="常规 5 2 2 2 2 2 5 2 2 2 2" xfId="25200"/>
    <cellStyle name="常规 5 2 2 2 2 2 5 2 2 2 2 2" xfId="20863"/>
    <cellStyle name="常规 5 2 2 2 2 2 5 2 2 2 3" xfId="25202"/>
    <cellStyle name="常规 5 2 2 2 2 2 5 2 2 2 4" xfId="25203"/>
    <cellStyle name="常规 5 2 2 2 2 2 5 2 2 3" xfId="25206"/>
    <cellStyle name="常规 5 2 2 2 2 2 5 2 2 3 2" xfId="25207"/>
    <cellStyle name="常规 5 2 2 2 2 2 5 2 2 4" xfId="25208"/>
    <cellStyle name="常规 5 2 2 2 2 2 5 2 2 5" xfId="20406"/>
    <cellStyle name="常规 5 2 2 2 2 2 5 2 3" xfId="25211"/>
    <cellStyle name="常规 5 2 2 2 2 2 5 2 3 2" xfId="25213"/>
    <cellStyle name="常规 5 2 2 2 2 2 5 2 3 2 2" xfId="22433"/>
    <cellStyle name="常规 5 2 2 2 2 2 5 2 3 3" xfId="25214"/>
    <cellStyle name="常规 5 2 2 2 2 2 5 2 3 4" xfId="25216"/>
    <cellStyle name="常规 5 2 2 2 2 2 5 2 4" xfId="25219"/>
    <cellStyle name="常规 5 2 2 2 2 2 5 2 4 2" xfId="25220"/>
    <cellStyle name="常规 5 2 2 2 2 2 5 2 5" xfId="25222"/>
    <cellStyle name="常规 5 2 2 2 2 2 5 2 6" xfId="25223"/>
    <cellStyle name="常规 5 2 2 2 2 2 5 3" xfId="25225"/>
    <cellStyle name="常规 5 2 2 2 2 2 5 3 2" xfId="25228"/>
    <cellStyle name="常规 5 2 2 2 2 2 5 3 2 2" xfId="25229"/>
    <cellStyle name="常规 5 2 2 2 2 2 5 3 2 2 2" xfId="25230"/>
    <cellStyle name="常规 5 2 2 2 2 2 5 3 2 3" xfId="25231"/>
    <cellStyle name="常规 5 2 2 2 2 2 5 3 2 4" xfId="25232"/>
    <cellStyle name="常规 5 2 2 2 2 2 5 3 3" xfId="25234"/>
    <cellStyle name="常规 5 2 2 2 2 2 5 3 3 2" xfId="25235"/>
    <cellStyle name="常规 5 2 2 2 2 2 5 3 4" xfId="25236"/>
    <cellStyle name="常规 5 2 2 2 2 2 5 3 5" xfId="25237"/>
    <cellStyle name="常规 5 2 2 2 2 2 5 4" xfId="25240"/>
    <cellStyle name="常规 5 2 2 2 2 2 5 4 2" xfId="25242"/>
    <cellStyle name="常规 5 2 2 2 2 2 5 4 2 2" xfId="25243"/>
    <cellStyle name="常规 5 2 2 2 2 2 5 4 3" xfId="14706"/>
    <cellStyle name="常规 5 2 2 2 2 2 5 4 4" xfId="25244"/>
    <cellStyle name="常规 5 2 2 2 2 2 5 5" xfId="17951"/>
    <cellStyle name="常规 5 2 2 2 2 2 5 5 2" xfId="25245"/>
    <cellStyle name="常规 5 2 2 2 2 2 5 6" xfId="25247"/>
    <cellStyle name="常规 5 2 2 2 2 2 5 7" xfId="25250"/>
    <cellStyle name="常规 5 2 2 2 2 2 6" xfId="24588"/>
    <cellStyle name="常规 5 2 2 2 2 2 6 2" xfId="24592"/>
    <cellStyle name="常规 5 2 2 2 2 2 6 2 2" xfId="24600"/>
    <cellStyle name="常规 5 2 2 2 2 2 6 2 2 2" xfId="24603"/>
    <cellStyle name="常规 5 2 2 2 2 2 6 2 2 2 2" xfId="24606"/>
    <cellStyle name="常规 5 2 2 2 2 2 6 2 2 3" xfId="24612"/>
    <cellStyle name="常规 5 2 2 2 2 2 6 2 2 4" xfId="24616"/>
    <cellStyle name="常规 5 2 2 2 2 2 6 2 3" xfId="24621"/>
    <cellStyle name="常规 5 2 2 2 2 2 6 2 3 2" xfId="24624"/>
    <cellStyle name="常规 5 2 2 2 2 2 6 2 4" xfId="24630"/>
    <cellStyle name="常规 5 2 2 2 2 2 6 2 5" xfId="10993"/>
    <cellStyle name="常规 5 2 2 2 2 2 6 3" xfId="19329"/>
    <cellStyle name="常规 5 2 2 2 2 2 6 3 2" xfId="19335"/>
    <cellStyle name="常规 5 2 2 2 2 2 6 3 2 2" xfId="24634"/>
    <cellStyle name="常规 5 2 2 2 2 2 6 3 3" xfId="24645"/>
    <cellStyle name="常规 5 2 2 2 2 2 6 3 4" xfId="24651"/>
    <cellStyle name="常规 5 2 2 2 2 2 6 4" xfId="19340"/>
    <cellStyle name="常规 5 2 2 2 2 2 6 4 2" xfId="24654"/>
    <cellStyle name="常规 5 2 2 2 2 2 6 5" xfId="19344"/>
    <cellStyle name="常规 5 2 2 2 2 2 6 6" xfId="24666"/>
    <cellStyle name="常规 5 2 2 2 2 2 7" xfId="21950"/>
    <cellStyle name="常规 5 2 2 2 2 2 7 2" xfId="21955"/>
    <cellStyle name="常规 5 2 2 2 2 2 7 2 2" xfId="24672"/>
    <cellStyle name="常规 5 2 2 2 2 2 7 2 2 2" xfId="24675"/>
    <cellStyle name="常规 5 2 2 2 2 2 7 2 3" xfId="24684"/>
    <cellStyle name="常规 5 2 2 2 2 2 7 2 4" xfId="24690"/>
    <cellStyle name="常规 5 2 2 2 2 2 7 3" xfId="19349"/>
    <cellStyle name="常规 5 2 2 2 2 2 7 3 2" xfId="24693"/>
    <cellStyle name="常规 5 2 2 2 2 2 7 4" xfId="24700"/>
    <cellStyle name="常规 5 2 2 2 2 2 7 5" xfId="24704"/>
    <cellStyle name="常规 5 2 2 2 2 2 8" xfId="21960"/>
    <cellStyle name="常规 5 2 2 2 2 2 8 2" xfId="24707"/>
    <cellStyle name="常规 5 2 2 2 2 2 8 2 2" xfId="24710"/>
    <cellStyle name="常规 5 2 2 2 2 2 8 3" xfId="24718"/>
    <cellStyle name="常规 5 2 2 2 2 2 8 4" xfId="24723"/>
    <cellStyle name="常规 5 2 2 2 2 2 9" xfId="21965"/>
    <cellStyle name="常规 5 2 2 2 2 2 9 2" xfId="20564"/>
    <cellStyle name="常规 5 2 2 2 2 3" xfId="25252"/>
    <cellStyle name="常规 5 2 2 2 2 3 2" xfId="25254"/>
    <cellStyle name="常规 5 2 2 2 2 3 2 2" xfId="25257"/>
    <cellStyle name="常规 5 2 2 2 2 3 2 2 2" xfId="25262"/>
    <cellStyle name="常规 5 2 2 2 2 3 2 2 2 2" xfId="25266"/>
    <cellStyle name="常规 5 2 2 2 2 3 2 2 2 2 2" xfId="25271"/>
    <cellStyle name="常规 5 2 2 2 2 3 2 2 2 2 2 2" xfId="25274"/>
    <cellStyle name="常规 5 2 2 2 2 3 2 2 2 2 2 2 2" xfId="25276"/>
    <cellStyle name="常规 5 2 2 2 2 3 2 2 2 2 2 3" xfId="25278"/>
    <cellStyle name="常规 5 2 2 2 2 3 2 2 2 2 2 4" xfId="25280"/>
    <cellStyle name="常规 5 2 2 2 2 3 2 2 2 2 3" xfId="25283"/>
    <cellStyle name="常规 5 2 2 2 2 3 2 2 2 2 3 2" xfId="25285"/>
    <cellStyle name="常规 5 2 2 2 2 3 2 2 2 2 4" xfId="25288"/>
    <cellStyle name="常规 5 2 2 2 2 3 2 2 2 2 5" xfId="25290"/>
    <cellStyle name="常规 5 2 2 2 2 3 2 2 2 3" xfId="19409"/>
    <cellStyle name="常规 5 2 2 2 2 3 2 2 2 3 2" xfId="25293"/>
    <cellStyle name="常规 5 2 2 2 2 3 2 2 2 3 2 2" xfId="25295"/>
    <cellStyle name="常规 5 2 2 2 2 3 2 2 2 3 3" xfId="25299"/>
    <cellStyle name="常规 5 2 2 2 2 3 2 2 2 3 4" xfId="25302"/>
    <cellStyle name="常规 5 2 2 2 2 3 2 2 2 4" xfId="25306"/>
    <cellStyle name="常规 5 2 2 2 2 3 2 2 2 4 2" xfId="25308"/>
    <cellStyle name="常规 5 2 2 2 2 3 2 2 2 5" xfId="25310"/>
    <cellStyle name="常规 5 2 2 2 2 3 2 2 2 6" xfId="25312"/>
    <cellStyle name="常规 5 2 2 2 2 3 2 2 3" xfId="21998"/>
    <cellStyle name="常规 5 2 2 2 2 3 2 2 3 2" xfId="25316"/>
    <cellStyle name="常规 5 2 2 2 2 3 2 2 3 2 2" xfId="25319"/>
    <cellStyle name="常规 5 2 2 2 2 3 2 2 3 2 2 2" xfId="23096"/>
    <cellStyle name="常规 5 2 2 2 2 3 2 2 3 2 3" xfId="25322"/>
    <cellStyle name="常规 5 2 2 2 2 3 2 2 3 2 4" xfId="24687"/>
    <cellStyle name="常规 5 2 2 2 2 3 2 2 3 3" xfId="25324"/>
    <cellStyle name="常规 5 2 2 2 2 3 2 2 3 3 2" xfId="25326"/>
    <cellStyle name="常规 5 2 2 2 2 3 2 2 3 4" xfId="25328"/>
    <cellStyle name="常规 5 2 2 2 2 3 2 2 3 5" xfId="25330"/>
    <cellStyle name="常规 5 2 2 2 2 3 2 2 4" xfId="25334"/>
    <cellStyle name="常规 5 2 2 2 2 3 2 2 4 2" xfId="25336"/>
    <cellStyle name="常规 5 2 2 2 2 3 2 2 4 2 2" xfId="25338"/>
    <cellStyle name="常规 5 2 2 2 2 3 2 2 4 3" xfId="25340"/>
    <cellStyle name="常规 5 2 2 2 2 3 2 2 4 4" xfId="25342"/>
    <cellStyle name="常规 5 2 2 2 2 3 2 2 5" xfId="25346"/>
    <cellStyle name="常规 5 2 2 2 2 3 2 2 5 2" xfId="25351"/>
    <cellStyle name="常规 5 2 2 2 2 3 2 2 6" xfId="25355"/>
    <cellStyle name="常规 5 2 2 2 2 3 2 2 7" xfId="15336"/>
    <cellStyle name="常规 5 2 2 2 2 3 2 3" xfId="25358"/>
    <cellStyle name="常规 5 2 2 2 2 3 2 3 2" xfId="292"/>
    <cellStyle name="常规 5 2 2 2 2 3 2 3 2 2" xfId="25362"/>
    <cellStyle name="常规 5 2 2 2 2 3 2 3 2 2 2" xfId="25369"/>
    <cellStyle name="常规 5 2 2 2 2 3 2 3 2 2 2 2" xfId="2543"/>
    <cellStyle name="常规 5 2 2 2 2 3 2 3 2 2 3" xfId="3184"/>
    <cellStyle name="常规 5 2 2 2 2 3 2 3 2 2 4" xfId="25372"/>
    <cellStyle name="常规 5 2 2 2 2 3 2 3 2 3" xfId="25375"/>
    <cellStyle name="常规 5 2 2 2 2 3 2 3 2 3 2" xfId="25378"/>
    <cellStyle name="常规 5 2 2 2 2 3 2 3 2 4" xfId="25381"/>
    <cellStyle name="常规 5 2 2 2 2 3 2 3 2 5" xfId="25383"/>
    <cellStyle name="常规 5 2 2 2 2 3 2 3 3" xfId="25387"/>
    <cellStyle name="常规 5 2 2 2 2 3 2 3 3 2" xfId="25390"/>
    <cellStyle name="常规 5 2 2 2 2 3 2 3 3 2 2" xfId="25393"/>
    <cellStyle name="常规 5 2 2 2 2 3 2 3 3 3" xfId="25395"/>
    <cellStyle name="常规 5 2 2 2 2 3 2 3 3 4" xfId="25397"/>
    <cellStyle name="常规 5 2 2 2 2 3 2 3 4" xfId="25401"/>
    <cellStyle name="常规 5 2 2 2 2 3 2 3 4 2" xfId="25403"/>
    <cellStyle name="常规 5 2 2 2 2 3 2 3 5" xfId="25406"/>
    <cellStyle name="常规 5 2 2 2 2 3 2 3 6" xfId="25409"/>
    <cellStyle name="常规 5 2 2 2 2 3 2 4" xfId="25412"/>
    <cellStyle name="常规 5 2 2 2 2 3 2 4 2" xfId="25416"/>
    <cellStyle name="常规 5 2 2 2 2 3 2 4 2 2" xfId="25419"/>
    <cellStyle name="常规 5 2 2 2 2 3 2 4 2 2 2" xfId="6609"/>
    <cellStyle name="常规 5 2 2 2 2 3 2 4 2 3" xfId="25421"/>
    <cellStyle name="常规 5 2 2 2 2 3 2 4 2 4" xfId="25424"/>
    <cellStyle name="常规 5 2 2 2 2 3 2 4 3" xfId="25428"/>
    <cellStyle name="常规 5 2 2 2 2 3 2 4 3 2" xfId="25430"/>
    <cellStyle name="常规 5 2 2 2 2 3 2 4 4" xfId="25433"/>
    <cellStyle name="常规 5 2 2 2 2 3 2 4 5" xfId="25435"/>
    <cellStyle name="常规 5 2 2 2 2 3 2 5" xfId="25438"/>
    <cellStyle name="常规 5 2 2 2 2 3 2 5 2" xfId="18279"/>
    <cellStyle name="常规 5 2 2 2 2 3 2 5 2 2" xfId="25440"/>
    <cellStyle name="常规 5 2 2 2 2 3 2 5 3" xfId="18284"/>
    <cellStyle name="常规 5 2 2 2 2 3 2 5 4" xfId="25442"/>
    <cellStyle name="常规 5 2 2 2 2 3 2 6" xfId="25447"/>
    <cellStyle name="常规 5 2 2 2 2 3 2 6 2" xfId="14235"/>
    <cellStyle name="常规 5 2 2 2 2 3 2 7" xfId="25453"/>
    <cellStyle name="常规 5 2 2 2 2 3 2 8" xfId="25458"/>
    <cellStyle name="常规 5 2 2 2 2 3 3" xfId="25460"/>
    <cellStyle name="常规 5 2 2 2 2 3 3 2" xfId="25463"/>
    <cellStyle name="常规 5 2 2 2 2 3 3 2 2" xfId="25468"/>
    <cellStyle name="常规 5 2 2 2 2 3 3 2 2 2" xfId="12602"/>
    <cellStyle name="常规 5 2 2 2 2 3 3 2 2 2 2" xfId="13189"/>
    <cellStyle name="常规 5 2 2 2 2 3 3 2 2 2 2 2" xfId="3959"/>
    <cellStyle name="常规 5 2 2 2 2 3 3 2 2 2 3" xfId="3748"/>
    <cellStyle name="常规 5 2 2 2 2 3 3 2 2 2 4" xfId="25472"/>
    <cellStyle name="常规 5 2 2 2 2 3 3 2 2 3" xfId="12604"/>
    <cellStyle name="常规 5 2 2 2 2 3 3 2 2 3 2" xfId="25474"/>
    <cellStyle name="常规 5 2 2 2 2 3 3 2 2 4" xfId="25476"/>
    <cellStyle name="常规 5 2 2 2 2 3 3 2 2 5" xfId="20473"/>
    <cellStyle name="常规 5 2 2 2 2 3 3 2 3" xfId="25480"/>
    <cellStyle name="常规 5 2 2 2 2 3 3 2 3 2" xfId="12667"/>
    <cellStyle name="常规 5 2 2 2 2 3 3 2 3 2 2" xfId="25482"/>
    <cellStyle name="常规 5 2 2 2 2 3 3 2 3 3" xfId="25484"/>
    <cellStyle name="常规 5 2 2 2 2 3 3 2 3 4" xfId="13300"/>
    <cellStyle name="常规 5 2 2 2 2 3 3 2 4" xfId="6969"/>
    <cellStyle name="常规 5 2 2 2 2 3 3 2 4 2" xfId="5672"/>
    <cellStyle name="常规 5 2 2 2 2 3 3 2 5" xfId="6976"/>
    <cellStyle name="常规 5 2 2 2 2 3 3 2 6" xfId="6986"/>
    <cellStyle name="常规 5 2 2 2 2 3 3 3" xfId="25487"/>
    <cellStyle name="常规 5 2 2 2 2 3 3 3 2" xfId="25491"/>
    <cellStyle name="常规 5 2 2 2 2 3 3 3 2 2" xfId="12836"/>
    <cellStyle name="常规 5 2 2 2 2 3 3 3 2 2 2" xfId="25494"/>
    <cellStyle name="常规 5 2 2 2 2 3 3 3 2 3" xfId="25496"/>
    <cellStyle name="常规 5 2 2 2 2 3 3 3 2 4" xfId="25498"/>
    <cellStyle name="常规 5 2 2 2 2 3 3 3 3" xfId="25502"/>
    <cellStyle name="常规 5 2 2 2 2 3 3 3 3 2" xfId="25504"/>
    <cellStyle name="常规 5 2 2 2 2 3 3 3 4" xfId="6990"/>
    <cellStyle name="常规 5 2 2 2 2 3 3 3 5" xfId="6994"/>
    <cellStyle name="常规 5 2 2 2 2 3 3 4" xfId="25506"/>
    <cellStyle name="常规 5 2 2 2 2 3 3 4 2" xfId="8985"/>
    <cellStyle name="常规 5 2 2 2 2 3 3 4 2 2" xfId="8988"/>
    <cellStyle name="常规 5 2 2 2 2 3 3 4 3" xfId="8991"/>
    <cellStyle name="常规 5 2 2 2 2 3 3 4 4" xfId="1508"/>
    <cellStyle name="常规 5 2 2 2 2 3 3 5" xfId="25509"/>
    <cellStyle name="常规 5 2 2 2 2 3 3 5 2" xfId="9014"/>
    <cellStyle name="常规 5 2 2 2 2 3 3 6" xfId="25513"/>
    <cellStyle name="常规 5 2 2 2 2 3 3 7" xfId="25518"/>
    <cellStyle name="常规 5 2 2 2 2 3 4" xfId="25521"/>
    <cellStyle name="常规 5 2 2 2 2 3 4 2" xfId="25525"/>
    <cellStyle name="常规 5 2 2 2 2 3 4 2 2" xfId="25529"/>
    <cellStyle name="常规 5 2 2 2 2 3 4 2 2 2" xfId="10682"/>
    <cellStyle name="常规 5 2 2 2 2 3 4 2 2 2 2" xfId="3847"/>
    <cellStyle name="常规 5 2 2 2 2 3 4 2 2 3" xfId="25531"/>
    <cellStyle name="常规 5 2 2 2 2 3 4 2 2 4" xfId="25533"/>
    <cellStyle name="常规 5 2 2 2 2 3 4 2 3" xfId="25536"/>
    <cellStyle name="常规 5 2 2 2 2 3 4 2 3 2" xfId="25538"/>
    <cellStyle name="常规 5 2 2 2 2 3 4 2 4" xfId="7001"/>
    <cellStyle name="常规 5 2 2 2 2 3 4 2 5" xfId="7005"/>
    <cellStyle name="常规 5 2 2 2 2 3 4 3" xfId="25540"/>
    <cellStyle name="常规 5 2 2 2 2 3 4 3 2" xfId="17027"/>
    <cellStyle name="常规 5 2 2 2 2 3 4 3 2 2" xfId="10976"/>
    <cellStyle name="常规 5 2 2 2 2 3 4 3 3" xfId="17031"/>
    <cellStyle name="常规 5 2 2 2 2 3 4 3 4" xfId="4851"/>
    <cellStyle name="常规 5 2 2 2 2 3 4 4" xfId="25542"/>
    <cellStyle name="常规 5 2 2 2 2 3 4 4 2" xfId="9067"/>
    <cellStyle name="常规 5 2 2 2 2 3 4 5" xfId="17961"/>
    <cellStyle name="常规 5 2 2 2 2 3 4 6" xfId="25546"/>
    <cellStyle name="常规 5 2 2 2 2 3 5" xfId="25549"/>
    <cellStyle name="常规 5 2 2 2 2 3 5 2" xfId="25551"/>
    <cellStyle name="常规 5 2 2 2 2 3 5 2 2" xfId="25555"/>
    <cellStyle name="常规 5 2 2 2 2 3 5 2 2 2" xfId="11806"/>
    <cellStyle name="常规 5 2 2 2 2 3 5 2 3" xfId="25558"/>
    <cellStyle name="常规 5 2 2 2 2 3 5 2 4" xfId="5695"/>
    <cellStyle name="常规 5 2 2 2 2 3 5 3" xfId="25560"/>
    <cellStyle name="常规 5 2 2 2 2 3 5 3 2" xfId="17043"/>
    <cellStyle name="常规 5 2 2 2 2 3 5 4" xfId="25562"/>
    <cellStyle name="常规 5 2 2 2 2 3 5 5" xfId="25564"/>
    <cellStyle name="常规 5 2 2 2 2 3 6" xfId="24745"/>
    <cellStyle name="常规 5 2 2 2 2 3 6 2" xfId="24749"/>
    <cellStyle name="常规 5 2 2 2 2 3 6 2 2" xfId="24755"/>
    <cellStyle name="常规 5 2 2 2 2 3 6 3" xfId="1469"/>
    <cellStyle name="常规 5 2 2 2 2 3 6 4" xfId="24773"/>
    <cellStyle name="常规 5 2 2 2 2 3 7" xfId="21971"/>
    <cellStyle name="常规 5 2 2 2 2 3 7 2" xfId="24783"/>
    <cellStyle name="常规 5 2 2 2 2 3 8" xfId="24800"/>
    <cellStyle name="常规 5 2 2 2 2 3 9" xfId="24811"/>
    <cellStyle name="常规 5 2 2 2 2 4" xfId="25566"/>
    <cellStyle name="常规 5 2 2 2 2 4 2" xfId="13163"/>
    <cellStyle name="常规 5 2 2 2 2 4 2 2" xfId="25569"/>
    <cellStyle name="常规 5 2 2 2 2 4 2 2 2" xfId="25573"/>
    <cellStyle name="常规 5 2 2 2 2 4 2 2 2 2" xfId="25578"/>
    <cellStyle name="常规 5 2 2 2 2 4 2 2 2 2 2" xfId="25583"/>
    <cellStyle name="常规 5 2 2 2 2 4 2 2 2 2 2 2" xfId="25585"/>
    <cellStyle name="常规 5 2 2 2 2 4 2 2 2 2 2 2 2" xfId="20734"/>
    <cellStyle name="常规 5 2 2 2 2 4 2 2 2 2 2 3" xfId="24081"/>
    <cellStyle name="常规 5 2 2 2 2 4 2 2 2 2 2 4" xfId="24084"/>
    <cellStyle name="常规 5 2 2 2 2 4 2 2 2 2 3" xfId="25588"/>
    <cellStyle name="常规 5 2 2 2 2 4 2 2 2 2 3 2" xfId="25589"/>
    <cellStyle name="常规 5 2 2 2 2 4 2 2 2 2 4" xfId="25591"/>
    <cellStyle name="常规 5 2 2 2 2 4 2 2 2 2 5" xfId="3835"/>
    <cellStyle name="常规 5 2 2 2 2 4 2 2 2 3" xfId="25594"/>
    <cellStyle name="常规 5 2 2 2 2 4 2 2 2 3 2" xfId="25596"/>
    <cellStyle name="常规 5 2 2 2 2 4 2 2 2 3 2 2" xfId="25597"/>
    <cellStyle name="常规 5 2 2 2 2 4 2 2 2 3 3" xfId="25598"/>
    <cellStyle name="常规 5 2 2 2 2 4 2 2 2 3 4" xfId="25599"/>
    <cellStyle name="常规 5 2 2 2 2 4 2 2 2 4" xfId="3188"/>
    <cellStyle name="常规 5 2 2 2 2 4 2 2 2 4 2" xfId="25600"/>
    <cellStyle name="常规 5 2 2 2 2 4 2 2 2 5" xfId="25602"/>
    <cellStyle name="常规 5 2 2 2 2 4 2 2 2 6" xfId="25603"/>
    <cellStyle name="常规 5 2 2 2 2 4 2 2 3" xfId="25604"/>
    <cellStyle name="常规 5 2 2 2 2 4 2 2 3 2" xfId="25610"/>
    <cellStyle name="常规 5 2 2 2 2 4 2 2 3 2 2" xfId="25613"/>
    <cellStyle name="常规 5 2 2 2 2 4 2 2 3 2 2 2" xfId="25616"/>
    <cellStyle name="常规 5 2 2 2 2 4 2 2 3 2 3" xfId="25617"/>
    <cellStyle name="常规 5 2 2 2 2 4 2 2 3 2 4" xfId="24954"/>
    <cellStyle name="常规 5 2 2 2 2 4 2 2 3 3" xfId="25365"/>
    <cellStyle name="常规 5 2 2 2 2 4 2 2 3 3 2" xfId="2542"/>
    <cellStyle name="常规 5 2 2 2 2 4 2 2 3 4" xfId="3179"/>
    <cellStyle name="常规 5 2 2 2 2 4 2 2 3 5" xfId="25371"/>
    <cellStyle name="常规 5 2 2 2 2 4 2 2 4" xfId="25618"/>
    <cellStyle name="常规 5 2 2 2 2 4 2 2 4 2" xfId="25623"/>
    <cellStyle name="常规 5 2 2 2 2 4 2 2 4 2 2" xfId="25626"/>
    <cellStyle name="常规 5 2 2 2 2 4 2 2 4 3" xfId="25377"/>
    <cellStyle name="常规 5 2 2 2 2 4 2 2 4 4" xfId="25627"/>
    <cellStyle name="常规 5 2 2 2 2 4 2 2 5" xfId="25628"/>
    <cellStyle name="常规 5 2 2 2 2 4 2 2 5 2" xfId="25634"/>
    <cellStyle name="常规 5 2 2 2 2 4 2 2 6" xfId="25635"/>
    <cellStyle name="常规 5 2 2 2 2 4 2 2 7" xfId="25638"/>
    <cellStyle name="常规 5 2 2 2 2 4 2 3" xfId="25641"/>
    <cellStyle name="常规 5 2 2 2 2 4 2 3 2" xfId="25646"/>
    <cellStyle name="常规 5 2 2 2 2 4 2 3 2 2" xfId="25648"/>
    <cellStyle name="常规 5 2 2 2 2 4 2 3 2 2 2" xfId="25653"/>
    <cellStyle name="常规 5 2 2 2 2 4 2 3 2 2 2 2" xfId="25655"/>
    <cellStyle name="常规 5 2 2 2 2 4 2 3 2 2 3" xfId="25659"/>
    <cellStyle name="常规 5 2 2 2 2 4 2 3 2 2 4" xfId="25661"/>
    <cellStyle name="常规 5 2 2 2 2 4 2 3 2 3" xfId="25663"/>
    <cellStyle name="常规 5 2 2 2 2 4 2 3 2 3 2" xfId="25665"/>
    <cellStyle name="常规 5 2 2 2 2 4 2 3 2 4" xfId="25667"/>
    <cellStyle name="常规 5 2 2 2 2 4 2 3 2 5" xfId="24712"/>
    <cellStyle name="常规 5 2 2 2 2 4 2 3 3" xfId="25668"/>
    <cellStyle name="常规 5 2 2 2 2 4 2 3 3 2" xfId="25673"/>
    <cellStyle name="常规 5 2 2 2 2 4 2 3 3 2 2" xfId="25677"/>
    <cellStyle name="常规 5 2 2 2 2 4 2 3 3 3" xfId="25392"/>
    <cellStyle name="常规 5 2 2 2 2 4 2 3 3 4" xfId="25678"/>
    <cellStyle name="常规 5 2 2 2 2 4 2 3 4" xfId="25679"/>
    <cellStyle name="常规 5 2 2 2 2 4 2 3 4 2" xfId="25682"/>
    <cellStyle name="常规 5 2 2 2 2 4 2 3 5" xfId="25683"/>
    <cellStyle name="常规 5 2 2 2 2 4 2 3 6" xfId="25687"/>
    <cellStyle name="常规 5 2 2 2 2 4 2 4" xfId="25689"/>
    <cellStyle name="常规 5 2 2 2 2 4 2 4 2" xfId="25693"/>
    <cellStyle name="常规 5 2 2 2 2 4 2 4 2 2" xfId="25695"/>
    <cellStyle name="常规 5 2 2 2 2 4 2 4 2 2 2" xfId="11097"/>
    <cellStyle name="常规 5 2 2 2 2 4 2 4 2 3" xfId="25696"/>
    <cellStyle name="常规 5 2 2 2 2 4 2 4 2 4" xfId="25697"/>
    <cellStyle name="常规 5 2 2 2 2 4 2 4 3" xfId="25698"/>
    <cellStyle name="常规 5 2 2 2 2 4 2 4 3 2" xfId="25704"/>
    <cellStyle name="常规 5 2 2 2 2 4 2 4 4" xfId="25706"/>
    <cellStyle name="常规 5 2 2 2 2 4 2 4 5" xfId="25707"/>
    <cellStyle name="常规 5 2 2 2 2 4 2 5" xfId="25710"/>
    <cellStyle name="常规 5 2 2 2 2 4 2 5 2" xfId="25712"/>
    <cellStyle name="常规 5 2 2 2 2 4 2 5 2 2" xfId="25713"/>
    <cellStyle name="常规 5 2 2 2 2 4 2 5 3" xfId="25715"/>
    <cellStyle name="常规 5 2 2 2 2 4 2 5 4" xfId="25717"/>
    <cellStyle name="常规 5 2 2 2 2 4 2 6" xfId="25722"/>
    <cellStyle name="常规 5 2 2 2 2 4 2 6 2" xfId="14412"/>
    <cellStyle name="常规 5 2 2 2 2 4 2 7" xfId="25728"/>
    <cellStyle name="常规 5 2 2 2 2 4 2 8" xfId="2269"/>
    <cellStyle name="常规 5 2 2 2 2 4 3" xfId="13166"/>
    <cellStyle name="常规 5 2 2 2 2 4 3 2" xfId="25731"/>
    <cellStyle name="常规 5 2 2 2 2 4 3 2 2" xfId="3605"/>
    <cellStyle name="常规 5 2 2 2 2 4 3 2 2 2" xfId="5194"/>
    <cellStyle name="常规 5 2 2 2 2 4 3 2 2 2 2" xfId="3359"/>
    <cellStyle name="常规 5 2 2 2 2 4 3 2 2 2 2 2" xfId="2580"/>
    <cellStyle name="常规 5 2 2 2 2 4 3 2 2 2 3" xfId="6452"/>
    <cellStyle name="常规 5 2 2 2 2 4 3 2 2 2 4" xfId="6466"/>
    <cellStyle name="常规 5 2 2 2 2 4 3 2 2 3" xfId="6490"/>
    <cellStyle name="常规 5 2 2 2 2 4 3 2 2 3 2" xfId="6492"/>
    <cellStyle name="常规 5 2 2 2 2 4 3 2 2 4" xfId="6535"/>
    <cellStyle name="常规 5 2 2 2 2 4 3 2 2 5" xfId="6550"/>
    <cellStyle name="常规 5 2 2 2 2 4 3 2 3" xfId="3609"/>
    <cellStyle name="常规 5 2 2 2 2 4 3 2 3 2" xfId="6574"/>
    <cellStyle name="常规 5 2 2 2 2 4 3 2 3 2 2" xfId="3383"/>
    <cellStyle name="常规 5 2 2 2 2 4 3 2 3 3" xfId="6608"/>
    <cellStyle name="常规 5 2 2 2 2 4 3 2 3 4" xfId="6630"/>
    <cellStyle name="常规 5 2 2 2 2 4 3 2 4" xfId="6653"/>
    <cellStyle name="常规 5 2 2 2 2 4 3 2 4 2" xfId="6663"/>
    <cellStyle name="常规 5 2 2 2 2 4 3 2 5" xfId="6708"/>
    <cellStyle name="常规 5 2 2 2 2 4 3 2 6" xfId="6741"/>
    <cellStyle name="常规 5 2 2 2 2 4 3 3" xfId="25733"/>
    <cellStyle name="常规 5 2 2 2 2 4 3 3 2" xfId="1633"/>
    <cellStyle name="常规 5 2 2 2 2 4 3 3 2 2" xfId="6620"/>
    <cellStyle name="常规 5 2 2 2 2 4 3 3 2 2 2" xfId="3768"/>
    <cellStyle name="常规 5 2 2 2 2 4 3 3 2 3" xfId="1689"/>
    <cellStyle name="常规 5 2 2 2 2 4 3 3 2 4" xfId="6903"/>
    <cellStyle name="常规 5 2 2 2 2 4 3 3 3" xfId="1639"/>
    <cellStyle name="常规 5 2 2 2 2 4 3 3 3 2" xfId="6922"/>
    <cellStyle name="常规 5 2 2 2 2 4 3 3 4" xfId="1341"/>
    <cellStyle name="常规 5 2 2 2 2 4 3 3 5" xfId="1359"/>
    <cellStyle name="常规 5 2 2 2 2 4 3 4" xfId="6770"/>
    <cellStyle name="常规 5 2 2 2 2 4 3 4 2" xfId="3670"/>
    <cellStyle name="常规 5 2 2 2 2 4 3 4 2 2" xfId="7040"/>
    <cellStyle name="常规 5 2 2 2 2 4 3 4 3" xfId="7082"/>
    <cellStyle name="常规 5 2 2 2 2 4 3 4 4" xfId="7126"/>
    <cellStyle name="常规 5 2 2 2 2 4 3 5" xfId="6092"/>
    <cellStyle name="常规 5 2 2 2 2 4 3 5 2" xfId="3715"/>
    <cellStyle name="常规 5 2 2 2 2 4 3 6" xfId="5577"/>
    <cellStyle name="常规 5 2 2 2 2 4 3 7" xfId="5586"/>
    <cellStyle name="常规 5 2 2 2 2 4 4" xfId="25736"/>
    <cellStyle name="常规 5 2 2 2 2 4 4 2" xfId="25738"/>
    <cellStyle name="常规 5 2 2 2 2 4 4 2 2" xfId="3905"/>
    <cellStyle name="常规 5 2 2 2 2 4 4 2 2 2" xfId="6680"/>
    <cellStyle name="常规 5 2 2 2 2 4 4 2 2 2 2" xfId="7675"/>
    <cellStyle name="常规 5 2 2 2 2 4 4 2 2 3" xfId="7680"/>
    <cellStyle name="常规 5 2 2 2 2 4 4 2 2 4" xfId="7687"/>
    <cellStyle name="常规 5 2 2 2 2 4 4 2 3" xfId="6777"/>
    <cellStyle name="常规 5 2 2 2 2 4 4 2 3 2" xfId="7702"/>
    <cellStyle name="常规 5 2 2 2 2 4 4 2 4" xfId="6786"/>
    <cellStyle name="常规 5 2 2 2 2 4 4 2 5" xfId="7723"/>
    <cellStyle name="常规 5 2 2 2 2 4 4 3" xfId="25740"/>
    <cellStyle name="常规 5 2 2 2 2 4 4 3 2" xfId="51"/>
    <cellStyle name="常规 5 2 2 2 2 4 4 3 2 2" xfId="7827"/>
    <cellStyle name="常规 5 2 2 2 2 4 4 3 3" xfId="7869"/>
    <cellStyle name="常规 5 2 2 2 2 4 4 3 4" xfId="7912"/>
    <cellStyle name="常规 5 2 2 2 2 4 4 4" xfId="6795"/>
    <cellStyle name="常规 5 2 2 2 2 4 4 4 2" xfId="195"/>
    <cellStyle name="常规 5 2 2 2 2 4 4 5" xfId="6800"/>
    <cellStyle name="常规 5 2 2 2 2 4 4 6" xfId="5601"/>
    <cellStyle name="常规 5 2 2 2 2 4 5" xfId="25742"/>
    <cellStyle name="常规 5 2 2 2 2 4 5 2" xfId="25744"/>
    <cellStyle name="常规 5 2 2 2 2 4 5 2 2" xfId="8602"/>
    <cellStyle name="常规 5 2 2 2 2 4 5 2 2 2" xfId="8604"/>
    <cellStyle name="常规 5 2 2 2 2 4 5 2 3" xfId="8684"/>
    <cellStyle name="常规 5 2 2 2 2 4 5 2 4" xfId="8690"/>
    <cellStyle name="常规 5 2 2 2 2 4 5 3" xfId="20277"/>
    <cellStyle name="常规 5 2 2 2 2 4 5 3 2" xfId="8792"/>
    <cellStyle name="常规 5 2 2 2 2 4 5 4" xfId="6811"/>
    <cellStyle name="常规 5 2 2 2 2 4 5 5" xfId="25746"/>
    <cellStyle name="常规 5 2 2 2 2 4 6" xfId="24822"/>
    <cellStyle name="常规 5 2 2 2 2 4 6 2" xfId="24826"/>
    <cellStyle name="常规 5 2 2 2 2 4 6 2 2" xfId="9315"/>
    <cellStyle name="常规 5 2 2 2 2 4 6 3" xfId="24829"/>
    <cellStyle name="常规 5 2 2 2 2 4 6 4" xfId="24834"/>
    <cellStyle name="常规 5 2 2 2 2 4 7" xfId="24839"/>
    <cellStyle name="常规 5 2 2 2 2 4 7 2" xfId="24842"/>
    <cellStyle name="常规 5 2 2 2 2 4 8" xfId="24848"/>
    <cellStyle name="常规 5 2 2 2 2 4 9" xfId="24852"/>
    <cellStyle name="常规 5 2 2 2 2 5" xfId="25748"/>
    <cellStyle name="常规 5 2 2 2 2 5 2" xfId="13174"/>
    <cellStyle name="常规 5 2 2 2 2 5 2 2" xfId="25750"/>
    <cellStyle name="常规 5 2 2 2 2 5 2 2 2" xfId="25754"/>
    <cellStyle name="常规 5 2 2 2 2 5 2 2 2 2" xfId="22771"/>
    <cellStyle name="常规 5 2 2 2 2 5 2 2 2 2 2" xfId="25757"/>
    <cellStyle name="常规 5 2 2 2 2 5 2 2 2 2 2 2" xfId="25759"/>
    <cellStyle name="常规 5 2 2 2 2 5 2 2 2 2 3" xfId="25761"/>
    <cellStyle name="常规 5 2 2 2 2 5 2 2 2 2 4" xfId="21308"/>
    <cellStyle name="常规 5 2 2 2 2 5 2 2 2 3" xfId="25764"/>
    <cellStyle name="常规 5 2 2 2 2 5 2 2 2 3 2" xfId="25765"/>
    <cellStyle name="常规 5 2 2 2 2 5 2 2 2 4" xfId="25769"/>
    <cellStyle name="常规 5 2 2 2 2 5 2 2 2 5" xfId="25772"/>
    <cellStyle name="常规 5 2 2 2 2 5 2 2 3" xfId="13265"/>
    <cellStyle name="常规 5 2 2 2 2 5 2 2 3 2" xfId="13270"/>
    <cellStyle name="常规 5 2 2 2 2 5 2 2 3 2 2" xfId="25215"/>
    <cellStyle name="常规 5 2 2 2 2 5 2 2 3 3" xfId="25493"/>
    <cellStyle name="常规 5 2 2 2 2 5 2 2 3 4" xfId="25775"/>
    <cellStyle name="常规 5 2 2 2 2 5 2 2 4" xfId="13275"/>
    <cellStyle name="常规 5 2 2 2 2 5 2 2 4 2" xfId="25776"/>
    <cellStyle name="常规 5 2 2 2 2 5 2 2 5" xfId="13279"/>
    <cellStyle name="常规 5 2 2 2 2 5 2 2 6" xfId="25778"/>
    <cellStyle name="常规 5 2 2 2 2 5 2 3" xfId="25780"/>
    <cellStyle name="常规 5 2 2 2 2 5 2 3 2" xfId="16314"/>
    <cellStyle name="常规 5 2 2 2 2 5 2 3 2 2" xfId="25783"/>
    <cellStyle name="常规 5 2 2 2 2 5 2 3 2 2 2" xfId="25784"/>
    <cellStyle name="常规 5 2 2 2 2 5 2 3 2 3" xfId="25785"/>
    <cellStyle name="常规 5 2 2 2 2 5 2 3 2 4" xfId="25788"/>
    <cellStyle name="常规 5 2 2 2 2 5 2 3 3" xfId="13285"/>
    <cellStyle name="常规 5 2 2 2 2 5 2 3 3 2" xfId="25789"/>
    <cellStyle name="常规 5 2 2 2 2 5 2 3 4" xfId="25791"/>
    <cellStyle name="常规 5 2 2 2 2 5 2 3 5" xfId="25792"/>
    <cellStyle name="常规 5 2 2 2 2 5 2 4" xfId="25794"/>
    <cellStyle name="常规 5 2 2 2 2 5 2 4 2" xfId="25796"/>
    <cellStyle name="常规 5 2 2 2 2 5 2 4 2 2" xfId="25797"/>
    <cellStyle name="常规 5 2 2 2 2 5 2 4 3" xfId="25798"/>
    <cellStyle name="常规 5 2 2 2 2 5 2 4 4" xfId="25799"/>
    <cellStyle name="常规 5 2 2 2 2 5 2 5" xfId="25801"/>
    <cellStyle name="常规 5 2 2 2 2 5 2 5 2" xfId="25802"/>
    <cellStyle name="常规 5 2 2 2 2 5 2 6" xfId="25807"/>
    <cellStyle name="常规 5 2 2 2 2 5 2 7" xfId="25810"/>
    <cellStyle name="常规 5 2 2 2 2 5 3" xfId="25812"/>
    <cellStyle name="常规 5 2 2 2 2 5 3 2" xfId="25814"/>
    <cellStyle name="常规 5 2 2 2 2 5 3 2 2" xfId="6152"/>
    <cellStyle name="常规 5 2 2 2 2 5 3 2 2 2" xfId="6157"/>
    <cellStyle name="常规 5 2 2 2 2 5 3 2 2 2 2" xfId="25815"/>
    <cellStyle name="常规 5 2 2 2 2 5 3 2 2 3" xfId="25816"/>
    <cellStyle name="常规 5 2 2 2 2 5 3 2 2 4" xfId="25820"/>
    <cellStyle name="常规 5 2 2 2 2 5 3 2 3" xfId="6161"/>
    <cellStyle name="常规 5 2 2 2 2 5 3 2 3 2" xfId="25823"/>
    <cellStyle name="常规 5 2 2 2 2 5 3 2 4" xfId="6168"/>
    <cellStyle name="常规 5 2 2 2 2 5 3 2 5" xfId="25824"/>
    <cellStyle name="常规 5 2 2 2 2 5 3 3" xfId="25826"/>
    <cellStyle name="常规 5 2 2 2 2 5 3 3 2" xfId="6185"/>
    <cellStyle name="常规 5 2 2 2 2 5 3 3 2 2" xfId="25827"/>
    <cellStyle name="常规 5 2 2 2 2 5 3 3 3" xfId="5675"/>
    <cellStyle name="常规 5 2 2 2 2 5 3 3 4" xfId="25828"/>
    <cellStyle name="常规 5 2 2 2 2 5 3 4" xfId="7835"/>
    <cellStyle name="常规 5 2 2 2 2 5 3 4 2" xfId="6207"/>
    <cellStyle name="常规 5 2 2 2 2 5 3 5" xfId="7838"/>
    <cellStyle name="常规 5 2 2 2 2 5 3 6" xfId="5644"/>
    <cellStyle name="常规 5 2 2 2 2 5 4" xfId="25830"/>
    <cellStyle name="常规 5 2 2 2 2 5 4 2" xfId="25832"/>
    <cellStyle name="常规 5 2 2 2 2 5 4 2 2" xfId="6247"/>
    <cellStyle name="常规 5 2 2 2 2 5 4 2 2 2" xfId="16448"/>
    <cellStyle name="常规 5 2 2 2 2 5 4 2 3" xfId="6250"/>
    <cellStyle name="常规 5 2 2 2 2 5 4 2 4" xfId="7320"/>
    <cellStyle name="常规 5 2 2 2 2 5 4 3" xfId="25834"/>
    <cellStyle name="常规 5 2 2 2 2 5 4 3 2" xfId="5218"/>
    <cellStyle name="常规 5 2 2 2 2 5 4 4" xfId="7842"/>
    <cellStyle name="常规 5 2 2 2 2 5 4 5" xfId="25835"/>
    <cellStyle name="常规 5 2 2 2 2 5 5" xfId="25837"/>
    <cellStyle name="常规 5 2 2 2 2 5 5 2" xfId="25839"/>
    <cellStyle name="常规 5 2 2 2 2 5 5 2 2" xfId="6279"/>
    <cellStyle name="常规 5 2 2 2 2 5 5 3" xfId="25840"/>
    <cellStyle name="常规 5 2 2 2 2 5 5 4" xfId="25842"/>
    <cellStyle name="常规 5 2 2 2 2 5 6" xfId="24859"/>
    <cellStyle name="常规 5 2 2 2 2 5 6 2" xfId="24863"/>
    <cellStyle name="常规 5 2 2 2 2 5 7" xfId="22386"/>
    <cellStyle name="常规 5 2 2 2 2 5 8" xfId="24871"/>
    <cellStyle name="常规 5 2 2 2 2 6" xfId="14965"/>
    <cellStyle name="常规 5 2 2 2 2 6 2" xfId="25844"/>
    <cellStyle name="常规 5 2 2 2 2 6 2 2" xfId="25846"/>
    <cellStyle name="常规 5 2 2 2 2 6 2 2 2" xfId="1841"/>
    <cellStyle name="常规 5 2 2 2 2 6 2 2 2 2" xfId="25849"/>
    <cellStyle name="常规 5 2 2 2 2 6 2 2 2 2 2" xfId="25850"/>
    <cellStyle name="常规 5 2 2 2 2 6 2 2 2 3" xfId="25852"/>
    <cellStyle name="常规 5 2 2 2 2 6 2 2 2 4" xfId="11529"/>
    <cellStyle name="常规 5 2 2 2 2 6 2 2 3" xfId="13478"/>
    <cellStyle name="常规 5 2 2 2 2 6 2 2 3 2" xfId="1806"/>
    <cellStyle name="常规 5 2 2 2 2 6 2 2 4" xfId="13489"/>
    <cellStyle name="常规 5 2 2 2 2 6 2 2 5" xfId="13492"/>
    <cellStyle name="常规 5 2 2 2 2 6 2 3" xfId="25854"/>
    <cellStyle name="常规 5 2 2 2 2 6 2 3 2" xfId="23590"/>
    <cellStyle name="常规 5 2 2 2 2 6 2 3 2 2" xfId="23593"/>
    <cellStyle name="常规 5 2 2 2 2 6 2 3 3" xfId="13496"/>
    <cellStyle name="常规 5 2 2 2 2 6 2 3 4" xfId="23619"/>
    <cellStyle name="常规 5 2 2 2 2 6 2 4" xfId="25856"/>
    <cellStyle name="常规 5 2 2 2 2 6 2 4 2" xfId="23654"/>
    <cellStyle name="常规 5 2 2 2 2 6 2 5" xfId="25858"/>
    <cellStyle name="常规 5 2 2 2 2 6 2 6" xfId="25861"/>
    <cellStyle name="常规 5 2 2 2 2 6 3" xfId="13899"/>
    <cellStyle name="常规 5 2 2 2 2 6 3 2" xfId="13902"/>
    <cellStyle name="常规 5 2 2 2 2 6 3 2 2" xfId="3443"/>
    <cellStyle name="常规 5 2 2 2 2 6 3 2 2 2" xfId="13905"/>
    <cellStyle name="常规 5 2 2 2 2 6 3 2 3" xfId="4341"/>
    <cellStyle name="常规 5 2 2 2 2 6 3 2 4" xfId="13907"/>
    <cellStyle name="常规 5 2 2 2 2 6 3 3" xfId="13910"/>
    <cellStyle name="常规 5 2 2 2 2 6 3 3 2" xfId="4391"/>
    <cellStyle name="常规 5 2 2 2 2 6 3 4" xfId="7852"/>
    <cellStyle name="常规 5 2 2 2 2 6 3 5" xfId="13912"/>
    <cellStyle name="常规 5 2 2 2 2 6 4" xfId="13916"/>
    <cellStyle name="常规 5 2 2 2 2 6 4 2" xfId="13919"/>
    <cellStyle name="常规 5 2 2 2 2 6 4 2 2" xfId="4498"/>
    <cellStyle name="常规 5 2 2 2 2 6 4 3" xfId="13921"/>
    <cellStyle name="常规 5 2 2 2 2 6 4 4" xfId="13923"/>
    <cellStyle name="常规 5 2 2 2 2 6 5" xfId="13928"/>
    <cellStyle name="常规 5 2 2 2 2 6 5 2" xfId="13934"/>
    <cellStyle name="常规 5 2 2 2 2 6 6" xfId="13940"/>
    <cellStyle name="常规 5 2 2 2 2 6 7" xfId="13948"/>
    <cellStyle name="常规 5 2 2 2 2 7" xfId="25863"/>
    <cellStyle name="常规 5 2 2 2 2 7 2" xfId="25865"/>
    <cellStyle name="常规 5 2 2 2 2 7 2 2" xfId="25867"/>
    <cellStyle name="常规 5 2 2 2 2 7 2 2 2" xfId="25871"/>
    <cellStyle name="常规 5 2 2 2 2 7 2 2 2 2" xfId="18436"/>
    <cellStyle name="常规 5 2 2 2 2 7 2 2 3" xfId="13630"/>
    <cellStyle name="常规 5 2 2 2 2 7 2 2 4" xfId="25872"/>
    <cellStyle name="常规 5 2 2 2 2 7 2 3" xfId="25874"/>
    <cellStyle name="常规 5 2 2 2 2 7 2 3 2" xfId="23960"/>
    <cellStyle name="常规 5 2 2 2 2 7 2 4" xfId="25876"/>
    <cellStyle name="常规 5 2 2 2 2 7 2 5" xfId="25877"/>
    <cellStyle name="常规 5 2 2 2 2 7 3" xfId="13955"/>
    <cellStyle name="常规 5 2 2 2 2 7 3 2" xfId="13959"/>
    <cellStyle name="常规 5 2 2 2 2 7 3 2 2" xfId="4703"/>
    <cellStyle name="常规 5 2 2 2 2 7 3 3" xfId="13961"/>
    <cellStyle name="常规 5 2 2 2 2 7 3 4" xfId="13963"/>
    <cellStyle name="常规 5 2 2 2 2 7 4" xfId="13967"/>
    <cellStyle name="常规 5 2 2 2 2 7 4 2" xfId="13969"/>
    <cellStyle name="常规 5 2 2 2 2 7 5" xfId="13974"/>
    <cellStyle name="常规 5 2 2 2 2 7 6" xfId="13979"/>
    <cellStyle name="常规 5 2 2 2 2 8" xfId="25879"/>
    <cellStyle name="常规 5 2 2 2 2 8 2" xfId="25880"/>
    <cellStyle name="常规 5 2 2 2 2 8 2 2" xfId="25881"/>
    <cellStyle name="常规 5 2 2 2 2 8 2 2 2" xfId="25884"/>
    <cellStyle name="常规 5 2 2 2 2 8 2 3" xfId="25885"/>
    <cellStyle name="常规 5 2 2 2 2 8 2 4" xfId="25886"/>
    <cellStyle name="常规 5 2 2 2 2 8 3" xfId="13984"/>
    <cellStyle name="常规 5 2 2 2 2 8 3 2" xfId="13986"/>
    <cellStyle name="常规 5 2 2 2 2 8 4" xfId="1705"/>
    <cellStyle name="常规 5 2 2 2 2 8 5" xfId="13988"/>
    <cellStyle name="常规 5 2 2 2 2 9" xfId="25887"/>
    <cellStyle name="常规 5 2 2 2 2 9 2" xfId="25888"/>
    <cellStyle name="常规 5 2 2 2 2 9 2 2" xfId="4099"/>
    <cellStyle name="常规 5 2 2 2 2 9 3" xfId="13992"/>
    <cellStyle name="常规 5 2 2 2 2 9 4" xfId="1709"/>
    <cellStyle name="常规 5 2 2 2 3" xfId="25890"/>
    <cellStyle name="常规 5 2 2 2 3 10" xfId="25892"/>
    <cellStyle name="常规 5 2 2 2 3 11" xfId="25893"/>
    <cellStyle name="常规 5 2 2 2 3 2" xfId="25896"/>
    <cellStyle name="常规 5 2 2 2 3 2 2" xfId="12589"/>
    <cellStyle name="常规 5 2 2 2 3 2 2 2" xfId="1974"/>
    <cellStyle name="常规 5 2 2 2 3 2 2 2 2" xfId="25898"/>
    <cellStyle name="常规 5 2 2 2 3 2 2 2 2 2" xfId="25900"/>
    <cellStyle name="常规 5 2 2 2 3 2 2 2 2 2 2" xfId="25903"/>
    <cellStyle name="常规 5 2 2 2 3 2 2 2 2 2 2 2" xfId="25906"/>
    <cellStyle name="常规 5 2 2 2 3 2 2 2 2 2 2 2 2" xfId="22909"/>
    <cellStyle name="常规 5 2 2 2 3 2 2 2 2 2 2 3" xfId="25908"/>
    <cellStyle name="常规 5 2 2 2 3 2 2 2 2 2 2 4" xfId="25910"/>
    <cellStyle name="常规 5 2 2 2 3 2 2 2 2 2 3" xfId="25350"/>
    <cellStyle name="常规 5 2 2 2 3 2 2 2 2 2 3 2" xfId="25912"/>
    <cellStyle name="常规 5 2 2 2 3 2 2 2 2 2 4" xfId="25915"/>
    <cellStyle name="常规 5 2 2 2 3 2 2 2 2 2 5" xfId="25917"/>
    <cellStyle name="常规 5 2 2 2 3 2 2 2 2 3" xfId="25919"/>
    <cellStyle name="常规 5 2 2 2 3 2 2 2 2 3 2" xfId="25922"/>
    <cellStyle name="常规 5 2 2 2 3 2 2 2 2 3 2 2" xfId="25925"/>
    <cellStyle name="常规 5 2 2 2 3 2 2 2 2 3 3" xfId="25928"/>
    <cellStyle name="常规 5 2 2 2 3 2 2 2 2 3 4" xfId="25930"/>
    <cellStyle name="常规 5 2 2 2 3 2 2 2 2 4" xfId="25932"/>
    <cellStyle name="常规 5 2 2 2 3 2 2 2 2 4 2" xfId="25934"/>
    <cellStyle name="常规 5 2 2 2 3 2 2 2 2 5" xfId="25936"/>
    <cellStyle name="常规 5 2 2 2 3 2 2 2 2 6" xfId="25939"/>
    <cellStyle name="常规 5 2 2 2 3 2 2 2 3" xfId="22144"/>
    <cellStyle name="常规 5 2 2 2 3 2 2 2 3 2" xfId="22147"/>
    <cellStyle name="常规 5 2 2 2 3 2 2 2 3 2 2" xfId="25942"/>
    <cellStyle name="常规 5 2 2 2 3 2 2 2 3 2 2 2" xfId="25944"/>
    <cellStyle name="常规 5 2 2 2 3 2 2 2 3 2 3" xfId="25947"/>
    <cellStyle name="常规 5 2 2 2 3 2 2 2 3 2 4" xfId="25949"/>
    <cellStyle name="常规 5 2 2 2 3 2 2 2 3 3" xfId="25951"/>
    <cellStyle name="常规 5 2 2 2 3 2 2 2 3 3 2" xfId="25953"/>
    <cellStyle name="常规 5 2 2 2 3 2 2 2 3 4" xfId="25955"/>
    <cellStyle name="常规 5 2 2 2 3 2 2 2 3 5" xfId="25957"/>
    <cellStyle name="常规 5 2 2 2 3 2 2 2 4" xfId="22150"/>
    <cellStyle name="常规 5 2 2 2 3 2 2 2 4 2" xfId="25959"/>
    <cellStyle name="常规 5 2 2 2 3 2 2 2 4 2 2" xfId="18138"/>
    <cellStyle name="常规 5 2 2 2 3 2 2 2 4 3" xfId="25961"/>
    <cellStyle name="常规 5 2 2 2 3 2 2 2 4 4" xfId="10902"/>
    <cellStyle name="常规 5 2 2 2 3 2 2 2 5" xfId="22153"/>
    <cellStyle name="常规 5 2 2 2 3 2 2 2 5 2" xfId="25963"/>
    <cellStyle name="常规 5 2 2 2 3 2 2 2 6" xfId="25967"/>
    <cellStyle name="常规 5 2 2 2 3 2 2 2 7" xfId="25972"/>
    <cellStyle name="常规 5 2 2 2 3 2 2 3" xfId="25974"/>
    <cellStyle name="常规 5 2 2 2 3 2 2 3 2" xfId="25976"/>
    <cellStyle name="常规 5 2 2 2 3 2 2 3 2 2" xfId="25978"/>
    <cellStyle name="常规 5 2 2 2 3 2 2 3 2 2 2" xfId="25981"/>
    <cellStyle name="常规 5 2 2 2 3 2 2 3 2 2 2 2" xfId="25983"/>
    <cellStyle name="常规 5 2 2 2 3 2 2 3 2 2 3" xfId="6979"/>
    <cellStyle name="常规 5 2 2 2 3 2 2 3 2 2 4" xfId="25985"/>
    <cellStyle name="常规 5 2 2 2 3 2 2 3 2 3" xfId="25987"/>
    <cellStyle name="常规 5 2 2 2 3 2 2 3 2 3 2" xfId="25989"/>
    <cellStyle name="常规 5 2 2 2 3 2 2 3 2 4" xfId="25992"/>
    <cellStyle name="常规 5 2 2 2 3 2 2 3 2 5" xfId="25994"/>
    <cellStyle name="常规 5 2 2 2 3 2 2 3 3" xfId="22157"/>
    <cellStyle name="常规 5 2 2 2 3 2 2 3 3 2" xfId="25996"/>
    <cellStyle name="常规 5 2 2 2 3 2 2 3 3 2 2" xfId="25998"/>
    <cellStyle name="常规 5 2 2 2 3 2 2 3 3 3" xfId="26000"/>
    <cellStyle name="常规 5 2 2 2 3 2 2 3 3 4" xfId="26002"/>
    <cellStyle name="常规 5 2 2 2 3 2 2 3 4" xfId="22920"/>
    <cellStyle name="常规 5 2 2 2 3 2 2 3 4 2" xfId="22923"/>
    <cellStyle name="常规 5 2 2 2 3 2 2 3 5" xfId="22930"/>
    <cellStyle name="常规 5 2 2 2 3 2 2 3 6" xfId="22941"/>
    <cellStyle name="常规 5 2 2 2 3 2 2 4" xfId="26004"/>
    <cellStyle name="常规 5 2 2 2 3 2 2 4 2" xfId="26006"/>
    <cellStyle name="常规 5 2 2 2 3 2 2 4 2 2" xfId="26008"/>
    <cellStyle name="常规 5 2 2 2 3 2 2 4 2 2 2" xfId="26011"/>
    <cellStyle name="常规 5 2 2 2 3 2 2 4 2 3" xfId="26013"/>
    <cellStyle name="常规 5 2 2 2 3 2 2 4 2 4" xfId="26016"/>
    <cellStyle name="常规 5 2 2 2 3 2 2 4 3" xfId="26018"/>
    <cellStyle name="常规 5 2 2 2 3 2 2 4 3 2" xfId="26020"/>
    <cellStyle name="常规 5 2 2 2 3 2 2 4 4" xfId="22952"/>
    <cellStyle name="常规 5 2 2 2 3 2 2 4 5" xfId="22958"/>
    <cellStyle name="常规 5 2 2 2 3 2 2 5" xfId="26023"/>
    <cellStyle name="常规 5 2 2 2 3 2 2 5 2" xfId="26026"/>
    <cellStyle name="常规 5 2 2 2 3 2 2 5 2 2" xfId="26029"/>
    <cellStyle name="常规 5 2 2 2 3 2 2 5 3" xfId="26031"/>
    <cellStyle name="常规 5 2 2 2 3 2 2 5 4" xfId="22970"/>
    <cellStyle name="常规 5 2 2 2 3 2 2 6" xfId="13050"/>
    <cellStyle name="常规 5 2 2 2 3 2 2 6 2" xfId="13054"/>
    <cellStyle name="常规 5 2 2 2 3 2 2 7" xfId="13062"/>
    <cellStyle name="常规 5 2 2 2 3 2 2 8" xfId="13069"/>
    <cellStyle name="常规 5 2 2 2 3 2 3" xfId="12593"/>
    <cellStyle name="常规 5 2 2 2 3 2 3 2" xfId="2280"/>
    <cellStyle name="常规 5 2 2 2 3 2 3 2 2" xfId="9513"/>
    <cellStyle name="常规 5 2 2 2 3 2 3 2 2 2" xfId="17205"/>
    <cellStyle name="常规 5 2 2 2 3 2 3 2 2 2 2" xfId="26034"/>
    <cellStyle name="常规 5 2 2 2 3 2 3 2 2 2 2 2" xfId="20308"/>
    <cellStyle name="常规 5 2 2 2 3 2 3 2 2 2 3" xfId="25633"/>
    <cellStyle name="常规 5 2 2 2 3 2 3 2 2 2 4" xfId="26036"/>
    <cellStyle name="常规 5 2 2 2 3 2 3 2 2 3" xfId="17209"/>
    <cellStyle name="常规 5 2 2 2 3 2 3 2 2 3 2" xfId="26038"/>
    <cellStyle name="常规 5 2 2 2 3 2 3 2 2 4" xfId="1013"/>
    <cellStyle name="常规 5 2 2 2 3 2 3 2 2 5" xfId="1022"/>
    <cellStyle name="常规 5 2 2 2 3 2 3 2 3" xfId="9517"/>
    <cellStyle name="常规 5 2 2 2 3 2 3 2 3 2" xfId="26040"/>
    <cellStyle name="常规 5 2 2 2 3 2 3 2 3 2 2" xfId="26042"/>
    <cellStyle name="常规 5 2 2 2 3 2 3 2 3 3" xfId="26044"/>
    <cellStyle name="常规 5 2 2 2 3 2 3 2 3 4" xfId="1037"/>
    <cellStyle name="常规 5 2 2 2 3 2 3 2 4" xfId="26046"/>
    <cellStyle name="常规 5 2 2 2 3 2 3 2 4 2" xfId="26050"/>
    <cellStyle name="常规 5 2 2 2 3 2 3 2 5" xfId="26052"/>
    <cellStyle name="常规 5 2 2 2 3 2 3 2 6" xfId="26056"/>
    <cellStyle name="常规 5 2 2 2 3 2 3 3" xfId="26058"/>
    <cellStyle name="常规 5 2 2 2 3 2 3 3 2" xfId="9530"/>
    <cellStyle name="常规 5 2 2 2 3 2 3 3 2 2" xfId="26060"/>
    <cellStyle name="常规 5 2 2 2 3 2 3 3 2 2 2" xfId="26063"/>
    <cellStyle name="常规 5 2 2 2 3 2 3 3 2 3" xfId="26065"/>
    <cellStyle name="常规 5 2 2 2 3 2 3 3 2 4" xfId="4937"/>
    <cellStyle name="常规 5 2 2 2 3 2 3 3 3" xfId="16499"/>
    <cellStyle name="常规 5 2 2 2 3 2 3 3 3 2" xfId="26067"/>
    <cellStyle name="常规 5 2 2 2 3 2 3 3 4" xfId="23000"/>
    <cellStyle name="常规 5 2 2 2 3 2 3 3 5" xfId="23010"/>
    <cellStyle name="常规 5 2 2 2 3 2 3 4" xfId="26069"/>
    <cellStyle name="常规 5 2 2 2 3 2 3 4 2" xfId="26071"/>
    <cellStyle name="常规 5 2 2 2 3 2 3 4 2 2" xfId="26073"/>
    <cellStyle name="常规 5 2 2 2 3 2 3 4 3" xfId="18862"/>
    <cellStyle name="常规 5 2 2 2 3 2 3 4 4" xfId="23022"/>
    <cellStyle name="常规 5 2 2 2 3 2 3 5" xfId="26077"/>
    <cellStyle name="常规 5 2 2 2 3 2 3 5 2" xfId="26079"/>
    <cellStyle name="常规 5 2 2 2 3 2 3 6" xfId="13076"/>
    <cellStyle name="常规 5 2 2 2 3 2 3 7" xfId="26085"/>
    <cellStyle name="常规 5 2 2 2 3 2 4" xfId="2594"/>
    <cellStyle name="常规 5 2 2 2 3 2 4 2" xfId="26087"/>
    <cellStyle name="常规 5 2 2 2 3 2 4 2 2" xfId="9561"/>
    <cellStyle name="常规 5 2 2 2 3 2 4 2 2 2" xfId="26089"/>
    <cellStyle name="常规 5 2 2 2 3 2 4 2 2 2 2" xfId="26091"/>
    <cellStyle name="常规 5 2 2 2 3 2 4 2 2 3" xfId="26093"/>
    <cellStyle name="常规 5 2 2 2 3 2 4 2 2 4" xfId="1090"/>
    <cellStyle name="常规 5 2 2 2 3 2 4 2 3" xfId="26095"/>
    <cellStyle name="常规 5 2 2 2 3 2 4 2 3 2" xfId="26097"/>
    <cellStyle name="常规 5 2 2 2 3 2 4 2 4" xfId="26099"/>
    <cellStyle name="常规 5 2 2 2 3 2 4 2 5" xfId="13878"/>
    <cellStyle name="常规 5 2 2 2 3 2 4 3" xfId="26101"/>
    <cellStyle name="常规 5 2 2 2 3 2 4 3 2" xfId="26103"/>
    <cellStyle name="常规 5 2 2 2 3 2 4 3 2 2" xfId="26105"/>
    <cellStyle name="常规 5 2 2 2 3 2 4 3 3" xfId="26107"/>
    <cellStyle name="常规 5 2 2 2 3 2 4 3 4" xfId="23042"/>
    <cellStyle name="常规 5 2 2 2 3 2 4 4" xfId="26109"/>
    <cellStyle name="常规 5 2 2 2 3 2 4 4 2" xfId="7442"/>
    <cellStyle name="常规 5 2 2 2 3 2 4 5" xfId="17976"/>
    <cellStyle name="常规 5 2 2 2 3 2 4 6" xfId="26112"/>
    <cellStyle name="常规 5 2 2 2 3 2 5" xfId="26114"/>
    <cellStyle name="常规 5 2 2 2 3 2 5 2" xfId="26116"/>
    <cellStyle name="常规 5 2 2 2 3 2 5 2 2" xfId="26118"/>
    <cellStyle name="常规 5 2 2 2 3 2 5 2 2 2" xfId="26120"/>
    <cellStyle name="常规 5 2 2 2 3 2 5 2 3" xfId="26122"/>
    <cellStyle name="常规 5 2 2 2 3 2 5 2 4" xfId="26124"/>
    <cellStyle name="常规 5 2 2 2 3 2 5 3" xfId="26126"/>
    <cellStyle name="常规 5 2 2 2 3 2 5 3 2" xfId="26128"/>
    <cellStyle name="常规 5 2 2 2 3 2 5 4" xfId="15816"/>
    <cellStyle name="常规 5 2 2 2 3 2 5 5" xfId="26130"/>
    <cellStyle name="常规 5 2 2 2 3 2 6" xfId="24898"/>
    <cellStyle name="常规 5 2 2 2 3 2 6 2" xfId="19472"/>
    <cellStyle name="常规 5 2 2 2 3 2 6 2 2" xfId="24903"/>
    <cellStyle name="常规 5 2 2 2 3 2 6 3" xfId="19375"/>
    <cellStyle name="常规 5 2 2 2 3 2 6 4" xfId="24937"/>
    <cellStyle name="常规 5 2 2 2 3 2 7" xfId="21982"/>
    <cellStyle name="常规 5 2 2 2 3 2 7 2" xfId="24945"/>
    <cellStyle name="常规 5 2 2 2 3 2 8" xfId="24966"/>
    <cellStyle name="常规 5 2 2 2 3 2 9" xfId="24978"/>
    <cellStyle name="常规 5 2 2 2 3 3" xfId="26133"/>
    <cellStyle name="常规 5 2 2 2 3 3 2" xfId="26136"/>
    <cellStyle name="常规 5 2 2 2 3 3 2 2" xfId="3789"/>
    <cellStyle name="常规 5 2 2 2 3 3 2 2 2" xfId="26138"/>
    <cellStyle name="常规 5 2 2 2 3 3 2 2 2 2" xfId="26140"/>
    <cellStyle name="常规 5 2 2 2 3 3 2 2 2 2 2" xfId="26143"/>
    <cellStyle name="常规 5 2 2 2 3 3 2 2 2 2 2 2" xfId="24309"/>
    <cellStyle name="常规 5 2 2 2 3 3 2 2 2 2 2 2 2" xfId="26144"/>
    <cellStyle name="常规 5 2 2 2 3 3 2 2 2 2 2 3" xfId="23164"/>
    <cellStyle name="常规 5 2 2 2 3 3 2 2 2 2 2 4" xfId="23166"/>
    <cellStyle name="常规 5 2 2 2 3 3 2 2 2 2 3" xfId="26148"/>
    <cellStyle name="常规 5 2 2 2 3 3 2 2 2 2 3 2" xfId="26149"/>
    <cellStyle name="常规 5 2 2 2 3 3 2 2 2 2 4" xfId="26151"/>
    <cellStyle name="常规 5 2 2 2 3 3 2 2 2 2 5" xfId="26152"/>
    <cellStyle name="常规 5 2 2 2 3 3 2 2 2 3" xfId="26154"/>
    <cellStyle name="常规 5 2 2 2 3 3 2 2 2 3 2" xfId="26156"/>
    <cellStyle name="常规 5 2 2 2 3 3 2 2 2 3 2 2" xfId="26157"/>
    <cellStyle name="常规 5 2 2 2 3 3 2 2 2 3 3" xfId="26158"/>
    <cellStyle name="常规 5 2 2 2 3 3 2 2 2 3 4" xfId="24677"/>
    <cellStyle name="常规 5 2 2 2 3 3 2 2 2 4" xfId="26160"/>
    <cellStyle name="常规 5 2 2 2 3 3 2 2 2 4 2" xfId="26161"/>
    <cellStyle name="常规 5 2 2 2 3 3 2 2 2 5" xfId="26163"/>
    <cellStyle name="常规 5 2 2 2 3 3 2 2 2 6" xfId="26164"/>
    <cellStyle name="常规 5 2 2 2 3 3 2 2 3" xfId="22172"/>
    <cellStyle name="常规 5 2 2 2 3 3 2 2 3 2" xfId="26166"/>
    <cellStyle name="常规 5 2 2 2 3 3 2 2 3 2 2" xfId="26168"/>
    <cellStyle name="常规 5 2 2 2 3 3 2 2 3 2 2 2" xfId="26169"/>
    <cellStyle name="常规 5 2 2 2 3 3 2 2 3 2 3" xfId="23108"/>
    <cellStyle name="常规 5 2 2 2 3 3 2 2 3 2 4" xfId="23117"/>
    <cellStyle name="常规 5 2 2 2 3 3 2 2 3 3" xfId="26171"/>
    <cellStyle name="常规 5 2 2 2 3 3 2 2 3 3 2" xfId="26172"/>
    <cellStyle name="常规 5 2 2 2 3 3 2 2 3 4" xfId="26174"/>
    <cellStyle name="常规 5 2 2 2 3 3 2 2 3 5" xfId="26175"/>
    <cellStyle name="常规 5 2 2 2 3 3 2 2 4" xfId="26177"/>
    <cellStyle name="常规 5 2 2 2 3 3 2 2 4 2" xfId="26179"/>
    <cellStyle name="常规 5 2 2 2 3 3 2 2 4 2 2" xfId="23342"/>
    <cellStyle name="常规 5 2 2 2 3 3 2 2 4 3" xfId="26180"/>
    <cellStyle name="常规 5 2 2 2 3 3 2 2 4 4" xfId="26181"/>
    <cellStyle name="常规 5 2 2 2 3 3 2 2 5" xfId="26183"/>
    <cellStyle name="常规 5 2 2 2 3 3 2 2 5 2" xfId="26147"/>
    <cellStyle name="常规 5 2 2 2 3 3 2 2 6" xfId="26187"/>
    <cellStyle name="常规 5 2 2 2 3 3 2 2 7" xfId="26189"/>
    <cellStyle name="常规 5 2 2 2 3 3 2 3" xfId="26191"/>
    <cellStyle name="常规 5 2 2 2 3 3 2 3 2" xfId="26193"/>
    <cellStyle name="常规 5 2 2 2 3 3 2 3 2 2" xfId="26195"/>
    <cellStyle name="常规 5 2 2 2 3 3 2 3 2 2 2" xfId="26198"/>
    <cellStyle name="常规 5 2 2 2 3 3 2 3 2 2 2 2" xfId="20505"/>
    <cellStyle name="常规 5 2 2 2 3 3 2 3 2 2 3" xfId="26200"/>
    <cellStyle name="常规 5 2 2 2 3 3 2 3 2 2 4" xfId="26201"/>
    <cellStyle name="常规 5 2 2 2 3 3 2 3 2 3" xfId="26203"/>
    <cellStyle name="常规 5 2 2 2 3 3 2 3 2 3 2" xfId="26204"/>
    <cellStyle name="常规 5 2 2 2 3 3 2 3 2 4" xfId="26206"/>
    <cellStyle name="常规 5 2 2 2 3 3 2 3 2 5" xfId="26207"/>
    <cellStyle name="常规 5 2 2 2 3 3 2 3 3" xfId="26209"/>
    <cellStyle name="常规 5 2 2 2 3 3 2 3 3 2" xfId="21199"/>
    <cellStyle name="常规 5 2 2 2 3 3 2 3 3 2 2" xfId="26210"/>
    <cellStyle name="常规 5 2 2 2 3 3 2 3 3 3" xfId="21201"/>
    <cellStyle name="常规 5 2 2 2 3 3 2 3 3 4" xfId="26211"/>
    <cellStyle name="常规 5 2 2 2 3 3 2 3 4" xfId="23078"/>
    <cellStyle name="常规 5 2 2 2 3 3 2 3 4 2" xfId="23080"/>
    <cellStyle name="常规 5 2 2 2 3 3 2 3 5" xfId="23106"/>
    <cellStyle name="常规 5 2 2 2 3 3 2 3 6" xfId="23123"/>
    <cellStyle name="常规 5 2 2 2 3 3 2 4" xfId="26213"/>
    <cellStyle name="常规 5 2 2 2 3 3 2 4 2" xfId="26215"/>
    <cellStyle name="常规 5 2 2 2 3 3 2 4 2 2" xfId="22912"/>
    <cellStyle name="常规 5 2 2 2 3 3 2 4 2 2 2" xfId="22913"/>
    <cellStyle name="常规 5 2 2 2 3 3 2 4 2 3" xfId="26216"/>
    <cellStyle name="常规 5 2 2 2 3 3 2 4 2 4" xfId="26217"/>
    <cellStyle name="常规 5 2 2 2 3 3 2 4 3" xfId="26219"/>
    <cellStyle name="常规 5 2 2 2 3 3 2 4 3 2" xfId="1295"/>
    <cellStyle name="常规 5 2 2 2 3 3 2 4 4" xfId="23134"/>
    <cellStyle name="常规 5 2 2 2 3 3 2 4 5" xfId="23149"/>
    <cellStyle name="常规 5 2 2 2 3 3 2 5" xfId="26222"/>
    <cellStyle name="常规 5 2 2 2 3 3 2 5 2" xfId="26224"/>
    <cellStyle name="常规 5 2 2 2 3 3 2 5 2 2" xfId="24040"/>
    <cellStyle name="常规 5 2 2 2 3 3 2 5 3" xfId="26225"/>
    <cellStyle name="常规 5 2 2 2 3 3 2 5 4" xfId="23162"/>
    <cellStyle name="常规 5 2 2 2 3 3 2 6" xfId="26229"/>
    <cellStyle name="常规 5 2 2 2 3 3 2 6 2" xfId="15076"/>
    <cellStyle name="常规 5 2 2 2 3 3 2 7" xfId="26235"/>
    <cellStyle name="常规 5 2 2 2 3 3 2 8" xfId="26239"/>
    <cellStyle name="常规 5 2 2 2 3 3 3" xfId="26241"/>
    <cellStyle name="常规 5 2 2 2 3 3 3 2" xfId="3819"/>
    <cellStyle name="常规 5 2 2 2 3 3 3 2 2" xfId="9617"/>
    <cellStyle name="常规 5 2 2 2 3 3 3 2 2 2" xfId="26243"/>
    <cellStyle name="常规 5 2 2 2 3 3 3 2 2 2 2" xfId="26245"/>
    <cellStyle name="常规 5 2 2 2 3 3 3 2 2 2 2 2" xfId="26246"/>
    <cellStyle name="常规 5 2 2 2 3 3 3 2 2 2 3" xfId="26247"/>
    <cellStyle name="常规 5 2 2 2 3 3 3 2 2 2 4" xfId="26248"/>
    <cellStyle name="常规 5 2 2 2 3 3 3 2 2 3" xfId="26250"/>
    <cellStyle name="常规 5 2 2 2 3 3 3 2 2 3 2" xfId="26251"/>
    <cellStyle name="常规 5 2 2 2 3 3 3 2 2 4" xfId="4798"/>
    <cellStyle name="常规 5 2 2 2 3 3 3 2 2 5" xfId="20907"/>
    <cellStyle name="常规 5 2 2 2 3 3 3 2 3" xfId="26253"/>
    <cellStyle name="常规 5 2 2 2 3 3 3 2 3 2" xfId="26255"/>
    <cellStyle name="常规 5 2 2 2 3 3 3 2 3 2 2" xfId="26256"/>
    <cellStyle name="常规 5 2 2 2 3 3 3 2 3 3" xfId="26257"/>
    <cellStyle name="常规 5 2 2 2 3 3 3 2 3 4" xfId="13506"/>
    <cellStyle name="常规 5 2 2 2 3 3 3 2 4" xfId="7048"/>
    <cellStyle name="常规 5 2 2 2 3 3 3 2 4 2" xfId="378"/>
    <cellStyle name="常规 5 2 2 2 3 3 3 2 5" xfId="7051"/>
    <cellStyle name="常规 5 2 2 2 3 3 3 2 6" xfId="7052"/>
    <cellStyle name="常规 5 2 2 2 3 3 3 3" xfId="26259"/>
    <cellStyle name="常规 5 2 2 2 3 3 3 3 2" xfId="26261"/>
    <cellStyle name="常规 5 2 2 2 3 3 3 3 2 2" xfId="26263"/>
    <cellStyle name="常规 5 2 2 2 3 3 3 3 2 2 2" xfId="24659"/>
    <cellStyle name="常规 5 2 2 2 3 3 3 3 2 3" xfId="1210"/>
    <cellStyle name="常规 5 2 2 2 3 3 3 3 2 4" xfId="26264"/>
    <cellStyle name="常规 5 2 2 2 3 3 3 3 3" xfId="26266"/>
    <cellStyle name="常规 5 2 2 2 3 3 3 3 3 2" xfId="26267"/>
    <cellStyle name="常规 5 2 2 2 3 3 3 3 4" xfId="99"/>
    <cellStyle name="常规 5 2 2 2 3 3 3 3 5" xfId="23202"/>
    <cellStyle name="常规 5 2 2 2 3 3 3 4" xfId="26269"/>
    <cellStyle name="常规 5 2 2 2 3 3 3 4 2" xfId="9269"/>
    <cellStyle name="常规 5 2 2 2 3 3 3 4 2 2" xfId="26270"/>
    <cellStyle name="常规 5 2 2 2 3 3 3 4 3" xfId="9271"/>
    <cellStyle name="常规 5 2 2 2 3 3 3 4 4" xfId="23214"/>
    <cellStyle name="常规 5 2 2 2 3 3 3 5" xfId="26272"/>
    <cellStyle name="常规 5 2 2 2 3 3 3 5 2" xfId="9276"/>
    <cellStyle name="常规 5 2 2 2 3 3 3 6" xfId="26276"/>
    <cellStyle name="常规 5 2 2 2 3 3 3 7" xfId="26280"/>
    <cellStyle name="常规 5 2 2 2 3 3 4" xfId="26283"/>
    <cellStyle name="常规 5 2 2 2 3 3 4 2" xfId="26285"/>
    <cellStyle name="常规 5 2 2 2 3 3 4 2 2" xfId="26287"/>
    <cellStyle name="常规 5 2 2 2 3 3 4 2 2 2" xfId="22882"/>
    <cellStyle name="常规 5 2 2 2 3 3 4 2 2 2 2" xfId="22884"/>
    <cellStyle name="常规 5 2 2 2 3 3 4 2 2 3" xfId="22888"/>
    <cellStyle name="常规 5 2 2 2 3 3 4 2 2 4" xfId="22891"/>
    <cellStyle name="常规 5 2 2 2 3 3 4 2 3" xfId="26289"/>
    <cellStyle name="常规 5 2 2 2 3 3 4 2 3 2" xfId="22898"/>
    <cellStyle name="常规 5 2 2 2 3 3 4 2 4" xfId="7057"/>
    <cellStyle name="常规 5 2 2 2 3 3 4 2 5" xfId="26290"/>
    <cellStyle name="常规 5 2 2 2 3 3 4 3" xfId="26292"/>
    <cellStyle name="常规 5 2 2 2 3 3 4 3 2" xfId="17095"/>
    <cellStyle name="常规 5 2 2 2 3 3 4 3 2 2" xfId="23071"/>
    <cellStyle name="常规 5 2 2 2 3 3 4 3 3" xfId="26293"/>
    <cellStyle name="常规 5 2 2 2 3 3 4 3 4" xfId="23234"/>
    <cellStyle name="常规 5 2 2 2 3 3 4 4" xfId="26295"/>
    <cellStyle name="常规 5 2 2 2 3 3 4 4 2" xfId="9288"/>
    <cellStyle name="常规 5 2 2 2 3 3 4 5" xfId="26297"/>
    <cellStyle name="常规 5 2 2 2 3 3 4 6" xfId="26299"/>
    <cellStyle name="常规 5 2 2 2 3 3 5" xfId="26301"/>
    <cellStyle name="常规 5 2 2 2 3 3 5 2" xfId="26303"/>
    <cellStyle name="常规 5 2 2 2 3 3 5 2 2" xfId="26305"/>
    <cellStyle name="常规 5 2 2 2 3 3 5 2 2 2" xfId="24033"/>
    <cellStyle name="常规 5 2 2 2 3 3 5 2 3" xfId="26306"/>
    <cellStyle name="常规 5 2 2 2 3 3 5 2 4" xfId="26307"/>
    <cellStyle name="常规 5 2 2 2 3 3 5 3" xfId="26309"/>
    <cellStyle name="常规 5 2 2 2 3 3 5 3 2" xfId="26310"/>
    <cellStyle name="常规 5 2 2 2 3 3 5 4" xfId="26312"/>
    <cellStyle name="常规 5 2 2 2 3 3 5 5" xfId="26313"/>
    <cellStyle name="常规 5 2 2 2 3 3 6" xfId="24990"/>
    <cellStyle name="常规 5 2 2 2 3 3 6 2" xfId="24994"/>
    <cellStyle name="常规 5 2 2 2 3 3 6 2 2" xfId="24998"/>
    <cellStyle name="常规 5 2 2 2 3 3 6 3" xfId="25007"/>
    <cellStyle name="常规 5 2 2 2 3 3 6 4" xfId="17256"/>
    <cellStyle name="常规 5 2 2 2 3 3 7" xfId="25014"/>
    <cellStyle name="常规 5 2 2 2 3 3 7 2" xfId="25017"/>
    <cellStyle name="常规 5 2 2 2 3 3 8" xfId="25027"/>
    <cellStyle name="常规 5 2 2 2 3 3 9" xfId="25036"/>
    <cellStyle name="常规 5 2 2 2 3 4" xfId="26316"/>
    <cellStyle name="常规 5 2 2 2 3 4 2" xfId="3747"/>
    <cellStyle name="常规 5 2 2 2 3 4 2 2" xfId="3993"/>
    <cellStyle name="常规 5 2 2 2 3 4 2 2 2" xfId="26319"/>
    <cellStyle name="常规 5 2 2 2 3 4 2 2 2 2" xfId="26322"/>
    <cellStyle name="常规 5 2 2 2 3 4 2 2 2 2 2" xfId="26325"/>
    <cellStyle name="常规 5 2 2 2 3 4 2 2 2 2 2 2" xfId="26327"/>
    <cellStyle name="常规 5 2 2 2 3 4 2 2 2 2 3" xfId="1420"/>
    <cellStyle name="常规 5 2 2 2 3 4 2 2 2 2 4" xfId="1430"/>
    <cellStyle name="常规 5 2 2 2 3 4 2 2 2 3" xfId="26330"/>
    <cellStyle name="常规 5 2 2 2 3 4 2 2 2 3 2" xfId="26332"/>
    <cellStyle name="常规 5 2 2 2 3 4 2 2 2 4" xfId="26335"/>
    <cellStyle name="常规 5 2 2 2 3 4 2 2 2 5" xfId="26337"/>
    <cellStyle name="常规 5 2 2 2 3 4 2 2 3" xfId="26339"/>
    <cellStyle name="常规 5 2 2 2 3 4 2 2 3 2" xfId="26343"/>
    <cellStyle name="常规 5 2 2 2 3 4 2 2 3 2 2" xfId="26348"/>
    <cellStyle name="常规 5 2 2 2 3 4 2 2 3 3" xfId="25651"/>
    <cellStyle name="常规 5 2 2 2 3 4 2 2 3 4" xfId="25657"/>
    <cellStyle name="常规 5 2 2 2 3 4 2 2 4" xfId="26350"/>
    <cellStyle name="常规 5 2 2 2 3 4 2 2 4 2" xfId="26354"/>
    <cellStyle name="常规 5 2 2 2 3 4 2 2 5" xfId="26356"/>
    <cellStyle name="常规 5 2 2 2 3 4 2 2 6" xfId="26360"/>
    <cellStyle name="常规 5 2 2 2 3 4 2 3" xfId="26363"/>
    <cellStyle name="常规 5 2 2 2 3 4 2 3 2" xfId="26366"/>
    <cellStyle name="常规 5 2 2 2 3 4 2 3 2 2" xfId="26369"/>
    <cellStyle name="常规 5 2 2 2 3 4 2 3 2 2 2" xfId="26371"/>
    <cellStyle name="常规 5 2 2 2 3 4 2 3 2 3" xfId="2396"/>
    <cellStyle name="常规 5 2 2 2 3 4 2 3 2 4" xfId="26373"/>
    <cellStyle name="常规 5 2 2 2 3 4 2 3 3" xfId="26375"/>
    <cellStyle name="常规 5 2 2 2 3 4 2 3 3 2" xfId="26379"/>
    <cellStyle name="常规 5 2 2 2 3 4 2 3 4" xfId="23274"/>
    <cellStyle name="常规 5 2 2 2 3 4 2 3 5" xfId="23287"/>
    <cellStyle name="常规 5 2 2 2 3 4 2 4" xfId="26382"/>
    <cellStyle name="常规 5 2 2 2 3 4 2 4 2" xfId="26385"/>
    <cellStyle name="常规 5 2 2 2 3 4 2 4 2 2" xfId="26387"/>
    <cellStyle name="常规 5 2 2 2 3 4 2 4 3" xfId="26389"/>
    <cellStyle name="常规 5 2 2 2 3 4 2 4 4" xfId="23300"/>
    <cellStyle name="常规 5 2 2 2 3 4 2 5" xfId="26392"/>
    <cellStyle name="常规 5 2 2 2 3 4 2 5 2" xfId="26394"/>
    <cellStyle name="常规 5 2 2 2 3 4 2 6" xfId="26400"/>
    <cellStyle name="常规 5 2 2 2 3 4 2 7" xfId="26405"/>
    <cellStyle name="常规 5 2 2 2 3 4 3" xfId="25471"/>
    <cellStyle name="常规 5 2 2 2 3 4 3 2" xfId="4017"/>
    <cellStyle name="常规 5 2 2 2 3 4 3 2 2" xfId="10692"/>
    <cellStyle name="常规 5 2 2 2 3 4 3 2 2 2" xfId="10696"/>
    <cellStyle name="常规 5 2 2 2 3 4 3 2 2 2 2" xfId="10699"/>
    <cellStyle name="常规 5 2 2 2 3 4 3 2 2 3" xfId="10838"/>
    <cellStyle name="常规 5 2 2 2 3 4 3 2 2 4" xfId="10918"/>
    <cellStyle name="常规 5 2 2 2 3 4 3 2 3" xfId="10985"/>
    <cellStyle name="常规 5 2 2 2 3 4 3 2 3 2" xfId="10992"/>
    <cellStyle name="常规 5 2 2 2 3 4 3 2 4" xfId="6889"/>
    <cellStyle name="常规 5 2 2 2 3 4 3 2 5" xfId="11274"/>
    <cellStyle name="常规 5 2 2 2 3 4 3 3" xfId="26408"/>
    <cellStyle name="常规 5 2 2 2 3 4 3 3 2" xfId="11817"/>
    <cellStyle name="常规 5 2 2 2 3 4 3 3 2 2" xfId="11820"/>
    <cellStyle name="常规 5 2 2 2 3 4 3 3 3" xfId="11978"/>
    <cellStyle name="常规 5 2 2 2 3 4 3 3 4" xfId="12089"/>
    <cellStyle name="常规 5 2 2 2 3 4 3 4" xfId="7875"/>
    <cellStyle name="常规 5 2 2 2 3 4 3 4 2" xfId="7878"/>
    <cellStyle name="常规 5 2 2 2 3 4 3 5" xfId="7886"/>
    <cellStyle name="常规 5 2 2 2 3 4 3 6" xfId="5756"/>
    <cellStyle name="常规 5 2 2 2 3 4 4" xfId="26410"/>
    <cellStyle name="常规 5 2 2 2 3 4 4 2" xfId="26413"/>
    <cellStyle name="常规 5 2 2 2 3 4 4 2 2" xfId="13539"/>
    <cellStyle name="常规 5 2 2 2 3 4 4 2 2 2" xfId="6531"/>
    <cellStyle name="常规 5 2 2 2 3 4 4 2 3" xfId="13639"/>
    <cellStyle name="常规 5 2 2 2 3 4 4 2 4" xfId="13698"/>
    <cellStyle name="常规 5 2 2 2 3 4 4 3" xfId="26416"/>
    <cellStyle name="常规 5 2 2 2 3 4 4 3 2" xfId="13996"/>
    <cellStyle name="常规 5 2 2 2 3 4 4 4" xfId="7891"/>
    <cellStyle name="常规 5 2 2 2 3 4 4 5" xfId="26418"/>
    <cellStyle name="常规 5 2 2 2 3 4 5" xfId="26420"/>
    <cellStyle name="常规 5 2 2 2 3 4 5 2" xfId="26423"/>
    <cellStyle name="常规 5 2 2 2 3 4 5 2 2" xfId="14797"/>
    <cellStyle name="常规 5 2 2 2 3 4 5 3" xfId="26425"/>
    <cellStyle name="常规 5 2 2 2 3 4 5 4" xfId="26428"/>
    <cellStyle name="常规 5 2 2 2 3 4 6" xfId="25044"/>
    <cellStyle name="常规 5 2 2 2 3 4 6 2" xfId="25048"/>
    <cellStyle name="常规 5 2 2 2 3 4 7" xfId="25054"/>
    <cellStyle name="常规 5 2 2 2 3 4 8" xfId="25060"/>
    <cellStyle name="常规 5 2 2 2 3 5" xfId="26431"/>
    <cellStyle name="常规 5 2 2 2 3 5 2" xfId="26433"/>
    <cellStyle name="常规 5 2 2 2 3 5 2 2" xfId="26436"/>
    <cellStyle name="常规 5 2 2 2 3 5 2 2 2" xfId="26439"/>
    <cellStyle name="常规 5 2 2 2 3 5 2 2 2 2" xfId="26444"/>
    <cellStyle name="常规 5 2 2 2 3 5 2 2 2 2 2" xfId="26446"/>
    <cellStyle name="常规 5 2 2 2 3 5 2 2 2 3" xfId="26448"/>
    <cellStyle name="常规 5 2 2 2 3 5 2 2 2 4" xfId="26450"/>
    <cellStyle name="常规 5 2 2 2 3 5 2 2 3" xfId="13864"/>
    <cellStyle name="常规 5 2 2 2 3 5 2 2 3 2" xfId="26452"/>
    <cellStyle name="常规 5 2 2 2 3 5 2 2 4" xfId="26455"/>
    <cellStyle name="常规 5 2 2 2 3 5 2 2 5" xfId="26457"/>
    <cellStyle name="常规 5 2 2 2 3 5 2 3" xfId="26460"/>
    <cellStyle name="常规 5 2 2 2 3 5 2 3 2" xfId="26463"/>
    <cellStyle name="常规 5 2 2 2 3 5 2 3 2 2" xfId="26465"/>
    <cellStyle name="常规 5 2 2 2 3 5 2 3 3" xfId="26468"/>
    <cellStyle name="常规 5 2 2 2 3 5 2 3 4" xfId="23349"/>
    <cellStyle name="常规 5 2 2 2 3 5 2 4" xfId="26471"/>
    <cellStyle name="常规 5 2 2 2 3 5 2 4 2" xfId="26473"/>
    <cellStyle name="常规 5 2 2 2 3 5 2 5" xfId="26477"/>
    <cellStyle name="常规 5 2 2 2 3 5 2 6" xfId="26481"/>
    <cellStyle name="常规 5 2 2 2 3 5 3" xfId="26483"/>
    <cellStyle name="常规 5 2 2 2 3 5 3 2" xfId="26486"/>
    <cellStyle name="常规 5 2 2 2 3 5 3 2 2" xfId="3034"/>
    <cellStyle name="常规 5 2 2 2 3 5 3 2 2 2" xfId="6425"/>
    <cellStyle name="常规 5 2 2 2 3 5 3 2 3" xfId="3966"/>
    <cellStyle name="常规 5 2 2 2 3 5 3 2 4" xfId="3977"/>
    <cellStyle name="常规 5 2 2 2 3 5 3 3" xfId="26489"/>
    <cellStyle name="常规 5 2 2 2 3 5 3 3 2" xfId="6435"/>
    <cellStyle name="常规 5 2 2 2 3 5 3 4" xfId="7900"/>
    <cellStyle name="常规 5 2 2 2 3 5 3 5" xfId="26491"/>
    <cellStyle name="常规 5 2 2 2 3 5 4" xfId="26493"/>
    <cellStyle name="常规 5 2 2 2 3 5 4 2" xfId="26496"/>
    <cellStyle name="常规 5 2 2 2 3 5 4 2 2" xfId="4228"/>
    <cellStyle name="常规 5 2 2 2 3 5 4 3" xfId="16654"/>
    <cellStyle name="常规 5 2 2 2 3 5 4 4" xfId="16661"/>
    <cellStyle name="常规 5 2 2 2 3 5 5" xfId="26498"/>
    <cellStyle name="常规 5 2 2 2 3 5 5 2" xfId="26500"/>
    <cellStyle name="常规 5 2 2 2 3 5 6" xfId="25066"/>
    <cellStyle name="常规 5 2 2 2 3 5 7" xfId="25070"/>
    <cellStyle name="常规 5 2 2 2 3 6" xfId="26502"/>
    <cellStyle name="常规 5 2 2 2 3 6 2" xfId="26504"/>
    <cellStyle name="常规 5 2 2 2 3 6 2 2" xfId="26507"/>
    <cellStyle name="常规 5 2 2 2 3 6 2 2 2" xfId="26511"/>
    <cellStyle name="常规 5 2 2 2 3 6 2 2 2 2" xfId="9931"/>
    <cellStyle name="常规 5 2 2 2 3 6 2 2 3" xfId="26514"/>
    <cellStyle name="常规 5 2 2 2 3 6 2 2 4" xfId="26516"/>
    <cellStyle name="常规 5 2 2 2 3 6 2 3" xfId="26519"/>
    <cellStyle name="常规 5 2 2 2 3 6 2 3 2" xfId="26521"/>
    <cellStyle name="常规 5 2 2 2 3 6 2 4" xfId="26524"/>
    <cellStyle name="常规 5 2 2 2 3 6 2 5" xfId="26526"/>
    <cellStyle name="常规 5 2 2 2 3 6 3" xfId="14002"/>
    <cellStyle name="常规 5 2 2 2 3 6 3 2" xfId="14006"/>
    <cellStyle name="常规 5 2 2 2 3 6 3 2 2" xfId="5277"/>
    <cellStyle name="常规 5 2 2 2 3 6 3 3" xfId="14009"/>
    <cellStyle name="常规 5 2 2 2 3 6 3 4" xfId="14012"/>
    <cellStyle name="常规 5 2 2 2 3 6 4" xfId="14016"/>
    <cellStyle name="常规 5 2 2 2 3 6 4 2" xfId="14019"/>
    <cellStyle name="常规 5 2 2 2 3 6 5" xfId="14023"/>
    <cellStyle name="常规 5 2 2 2 3 6 6" xfId="14027"/>
    <cellStyle name="常规 5 2 2 2 3 7" xfId="26528"/>
    <cellStyle name="常规 5 2 2 2 3 7 2" xfId="20478"/>
    <cellStyle name="常规 5 2 2 2 3 7 2 2" xfId="26531"/>
    <cellStyle name="常规 5 2 2 2 3 7 2 2 2" xfId="26533"/>
    <cellStyle name="常规 5 2 2 2 3 7 2 3" xfId="26535"/>
    <cellStyle name="常规 5 2 2 2 3 7 2 4" xfId="26537"/>
    <cellStyle name="常规 5 2 2 2 3 7 3" xfId="14034"/>
    <cellStyle name="常规 5 2 2 2 3 7 3 2" xfId="14038"/>
    <cellStyle name="常规 5 2 2 2 3 7 4" xfId="14041"/>
    <cellStyle name="常规 5 2 2 2 3 7 5" xfId="14043"/>
    <cellStyle name="常规 5 2 2 2 3 8" xfId="26538"/>
    <cellStyle name="常规 5 2 2 2 3 8 2" xfId="26539"/>
    <cellStyle name="常规 5 2 2 2 3 8 2 2" xfId="26541"/>
    <cellStyle name="常规 5 2 2 2 3 8 3" xfId="14047"/>
    <cellStyle name="常规 5 2 2 2 3 8 4" xfId="1732"/>
    <cellStyle name="常规 5 2 2 2 3 9" xfId="26542"/>
    <cellStyle name="常规 5 2 2 2 3 9 2" xfId="26543"/>
    <cellStyle name="常规 5 2 2 2 4" xfId="26545"/>
    <cellStyle name="常规 5 2 2 2 4 2" xfId="26548"/>
    <cellStyle name="常规 5 2 2 2 4 2 2" xfId="26551"/>
    <cellStyle name="常规 5 2 2 2 4 2 2 2" xfId="26553"/>
    <cellStyle name="常规 5 2 2 2 4 2 2 2 2" xfId="26556"/>
    <cellStyle name="常规 5 2 2 2 4 2 2 2 2 2" xfId="26560"/>
    <cellStyle name="常规 5 2 2 2 4 2 2 2 2 2 2" xfId="26565"/>
    <cellStyle name="常规 5 2 2 2 4 2 2 2 2 2 2 2" xfId="26567"/>
    <cellStyle name="常规 5 2 2 2 4 2 2 2 2 2 3" xfId="26571"/>
    <cellStyle name="常规 5 2 2 2 4 2 2 2 2 2 4" xfId="26573"/>
    <cellStyle name="常规 5 2 2 2 4 2 2 2 2 3" xfId="15666"/>
    <cellStyle name="常规 5 2 2 2 4 2 2 2 2 3 2" xfId="26575"/>
    <cellStyle name="常规 5 2 2 2 4 2 2 2 2 4" xfId="17250"/>
    <cellStyle name="常规 5 2 2 2 4 2 2 2 2 5" xfId="17272"/>
    <cellStyle name="常规 5 2 2 2 4 2 2 2 3" xfId="22275"/>
    <cellStyle name="常规 5 2 2 2 4 2 2 2 3 2" xfId="26578"/>
    <cellStyle name="常规 5 2 2 2 4 2 2 2 3 2 2" xfId="26580"/>
    <cellStyle name="常规 5 2 2 2 4 2 2 2 3 3" xfId="26582"/>
    <cellStyle name="常规 5 2 2 2 4 2 2 2 3 4" xfId="17293"/>
    <cellStyle name="常规 5 2 2 2 4 2 2 2 4" xfId="26585"/>
    <cellStyle name="常规 5 2 2 2 4 2 2 2 4 2" xfId="26587"/>
    <cellStyle name="常规 5 2 2 2 4 2 2 2 5" xfId="26590"/>
    <cellStyle name="常规 5 2 2 2 4 2 2 2 6" xfId="13680"/>
    <cellStyle name="常规 5 2 2 2 4 2 2 3" xfId="19176"/>
    <cellStyle name="常规 5 2 2 2 4 2 2 3 2" xfId="19180"/>
    <cellStyle name="常规 5 2 2 2 4 2 2 3 2 2" xfId="26593"/>
    <cellStyle name="常规 5 2 2 2 4 2 2 3 2 2 2" xfId="26598"/>
    <cellStyle name="常规 5 2 2 2 4 2 2 3 2 3" xfId="26603"/>
    <cellStyle name="常规 5 2 2 2 4 2 2 3 2 4" xfId="17404"/>
    <cellStyle name="常规 5 2 2 2 4 2 2 3 3" xfId="26607"/>
    <cellStyle name="常规 5 2 2 2 4 2 2 3 3 2" xfId="26613"/>
    <cellStyle name="常规 5 2 2 2 4 2 2 3 4" xfId="24046"/>
    <cellStyle name="常规 5 2 2 2 4 2 2 3 5" xfId="24066"/>
    <cellStyle name="常规 5 2 2 2 4 2 2 4" xfId="19186"/>
    <cellStyle name="常规 5 2 2 2 4 2 2 4 2" xfId="26617"/>
    <cellStyle name="常规 5 2 2 2 4 2 2 4 2 2" xfId="26623"/>
    <cellStyle name="常规 5 2 2 2 4 2 2 4 3" xfId="26627"/>
    <cellStyle name="常规 5 2 2 2 4 2 2 4 4" xfId="24093"/>
    <cellStyle name="常规 5 2 2 2 4 2 2 5" xfId="19190"/>
    <cellStyle name="常规 5 2 2 2 4 2 2 5 2" xfId="26631"/>
    <cellStyle name="常规 5 2 2 2 4 2 2 6" xfId="14623"/>
    <cellStyle name="常规 5 2 2 2 4 2 2 7" xfId="26639"/>
    <cellStyle name="常规 5 2 2 2 4 2 3" xfId="26644"/>
    <cellStyle name="常规 5 2 2 2 4 2 3 2" xfId="26646"/>
    <cellStyle name="常规 5 2 2 2 4 2 3 2 2" xfId="26650"/>
    <cellStyle name="常规 5 2 2 2 4 2 3 2 2 2" xfId="26654"/>
    <cellStyle name="常规 5 2 2 2 4 2 3 2 2 2 2" xfId="26656"/>
    <cellStyle name="常规 5 2 2 2 4 2 3 2 2 3" xfId="26658"/>
    <cellStyle name="常规 5 2 2 2 4 2 3 2 2 4" xfId="15947"/>
    <cellStyle name="常规 5 2 2 2 4 2 3 2 3" xfId="26662"/>
    <cellStyle name="常规 5 2 2 2 4 2 3 2 3 2" xfId="26664"/>
    <cellStyle name="常规 5 2 2 2 4 2 3 2 4" xfId="26668"/>
    <cellStyle name="常规 5 2 2 2 4 2 3 2 5" xfId="25883"/>
    <cellStyle name="常规 5 2 2 2 4 2 3 3" xfId="19196"/>
    <cellStyle name="常规 5 2 2 2 4 2 3 3 2" xfId="26670"/>
    <cellStyle name="常规 5 2 2 2 4 2 3 3 2 2" xfId="26677"/>
    <cellStyle name="常规 5 2 2 2 4 2 3 3 3" xfId="26680"/>
    <cellStyle name="常规 5 2 2 2 4 2 3 3 4" xfId="24147"/>
    <cellStyle name="常规 5 2 2 2 4 2 3 4" xfId="26686"/>
    <cellStyle name="常规 5 2 2 2 4 2 3 4 2" xfId="26689"/>
    <cellStyle name="常规 5 2 2 2 4 2 3 5" xfId="26694"/>
    <cellStyle name="常规 5 2 2 2 4 2 3 6" xfId="26697"/>
    <cellStyle name="常规 5 2 2 2 4 2 4" xfId="26701"/>
    <cellStyle name="常规 5 2 2 2 4 2 4 2" xfId="26704"/>
    <cellStyle name="常规 5 2 2 2 4 2 4 2 2" xfId="26708"/>
    <cellStyle name="常规 5 2 2 2 4 2 4 2 2 2" xfId="24665"/>
    <cellStyle name="常规 5 2 2 2 4 2 4 2 3" xfId="1029"/>
    <cellStyle name="常规 5 2 2 2 4 2 4 2 4" xfId="10058"/>
    <cellStyle name="常规 5 2 2 2 4 2 4 3" xfId="26711"/>
    <cellStyle name="常规 5 2 2 2 4 2 4 3 2" xfId="26714"/>
    <cellStyle name="常规 5 2 2 2 4 2 4 4" xfId="26719"/>
    <cellStyle name="常规 5 2 2 2 4 2 4 5" xfId="26722"/>
    <cellStyle name="常规 5 2 2 2 4 2 5" xfId="26726"/>
    <cellStyle name="常规 5 2 2 2 4 2 5 2" xfId="26728"/>
    <cellStyle name="常规 5 2 2 2 4 2 5 2 2" xfId="26731"/>
    <cellStyle name="常规 5 2 2 2 4 2 5 3" xfId="26733"/>
    <cellStyle name="常规 5 2 2 2 4 2 5 4" xfId="26736"/>
    <cellStyle name="常规 5 2 2 2 4 2 6" xfId="25104"/>
    <cellStyle name="常规 5 2 2 2 4 2 6 2" xfId="25108"/>
    <cellStyle name="常规 5 2 2 2 4 2 7" xfId="25126"/>
    <cellStyle name="常规 5 2 2 2 4 2 8" xfId="25133"/>
    <cellStyle name="常规 5 2 2 2 4 3" xfId="26739"/>
    <cellStyle name="常规 5 2 2 2 4 3 2" xfId="26741"/>
    <cellStyle name="常规 5 2 2 2 4 3 2 2" xfId="1427"/>
    <cellStyle name="常规 5 2 2 2 4 3 2 2 2" xfId="26744"/>
    <cellStyle name="常规 5 2 2 2 4 3 2 2 2 2" xfId="241"/>
    <cellStyle name="常规 5 2 2 2 4 3 2 2 2 2 2" xfId="26746"/>
    <cellStyle name="常规 5 2 2 2 4 3 2 2 2 3" xfId="26748"/>
    <cellStyle name="常规 5 2 2 2 4 3 2 2 2 4" xfId="19263"/>
    <cellStyle name="常规 5 2 2 2 4 3 2 2 3" xfId="26751"/>
    <cellStyle name="常规 5 2 2 2 4 3 2 2 3 2" xfId="26753"/>
    <cellStyle name="常规 5 2 2 2 4 3 2 2 4" xfId="26756"/>
    <cellStyle name="常规 5 2 2 2 4 3 2 2 5" xfId="1416"/>
    <cellStyle name="常规 5 2 2 2 4 3 2 3" xfId="1432"/>
    <cellStyle name="常规 5 2 2 2 4 3 2 3 2" xfId="26758"/>
    <cellStyle name="常规 5 2 2 2 4 3 2 3 2 2" xfId="26764"/>
    <cellStyle name="常规 5 2 2 2 4 3 2 3 3" xfId="26767"/>
    <cellStyle name="常规 5 2 2 2 4 3 2 3 4" xfId="24236"/>
    <cellStyle name="常规 5 2 2 2 4 3 2 4" xfId="26772"/>
    <cellStyle name="常规 5 2 2 2 4 3 2 4 2" xfId="26775"/>
    <cellStyle name="常规 5 2 2 2 4 3 2 5" xfId="26780"/>
    <cellStyle name="常规 5 2 2 2 4 3 2 6" xfId="21164"/>
    <cellStyle name="常规 5 2 2 2 4 3 3" xfId="24788"/>
    <cellStyle name="常规 5 2 2 2 4 3 3 2" xfId="26783"/>
    <cellStyle name="常规 5 2 2 2 4 3 3 2 2" xfId="26787"/>
    <cellStyle name="常规 5 2 2 2 4 3 3 2 2 2" xfId="26790"/>
    <cellStyle name="常规 5 2 2 2 4 3 3 2 3" xfId="782"/>
    <cellStyle name="常规 5 2 2 2 4 3 3 2 4" xfId="825"/>
    <cellStyle name="常规 5 2 2 2 4 3 3 3" xfId="26792"/>
    <cellStyle name="常规 5 2 2 2 4 3 3 3 2" xfId="26796"/>
    <cellStyle name="常规 5 2 2 2 4 3 3 4" xfId="26801"/>
    <cellStyle name="常规 5 2 2 2 4 3 3 5" xfId="26804"/>
    <cellStyle name="常规 5 2 2 2 4 3 4" xfId="26807"/>
    <cellStyle name="常规 5 2 2 2 4 3 4 2" xfId="26809"/>
    <cellStyle name="常规 5 2 2 2 4 3 4 2 2" xfId="26812"/>
    <cellStyle name="常规 5 2 2 2 4 3 4 3" xfId="26814"/>
    <cellStyle name="常规 5 2 2 2 4 3 4 4" xfId="26817"/>
    <cellStyle name="常规 5 2 2 2 4 3 5" xfId="26819"/>
    <cellStyle name="常规 5 2 2 2 4 3 5 2" xfId="26821"/>
    <cellStyle name="常规 5 2 2 2 4 3 6" xfId="25148"/>
    <cellStyle name="常规 5 2 2 2 4 3 7" xfId="25162"/>
    <cellStyle name="常规 5 2 2 2 4 4" xfId="26824"/>
    <cellStyle name="常规 5 2 2 2 4 4 2" xfId="26826"/>
    <cellStyle name="常规 5 2 2 2 4 4 2 2" xfId="24251"/>
    <cellStyle name="常规 5 2 2 2 4 4 2 2 2" xfId="26830"/>
    <cellStyle name="常规 5 2 2 2 4 4 2 2 2 2" xfId="26833"/>
    <cellStyle name="常规 5 2 2 2 4 4 2 2 3" xfId="26835"/>
    <cellStyle name="常规 5 2 2 2 4 4 2 2 4" xfId="26841"/>
    <cellStyle name="常规 5 2 2 2 4 4 2 3" xfId="24255"/>
    <cellStyle name="常规 5 2 2 2 4 4 2 3 2" xfId="26845"/>
    <cellStyle name="常规 5 2 2 2 4 4 2 4" xfId="26851"/>
    <cellStyle name="常规 5 2 2 2 4 4 2 5" xfId="26855"/>
    <cellStyle name="常规 5 2 2 2 4 4 3" xfId="26858"/>
    <cellStyle name="常规 5 2 2 2 4 4 3 2" xfId="26861"/>
    <cellStyle name="常规 5 2 2 2 4 4 3 2 2" xfId="26865"/>
    <cellStyle name="常规 5 2 2 2 4 4 3 3" xfId="26868"/>
    <cellStyle name="常规 5 2 2 2 4 4 3 4" xfId="7918"/>
    <cellStyle name="常规 5 2 2 2 4 4 4" xfId="26871"/>
    <cellStyle name="常规 5 2 2 2 4 4 4 2" xfId="26874"/>
    <cellStyle name="常规 5 2 2 2 4 4 5" xfId="26876"/>
    <cellStyle name="常规 5 2 2 2 4 4 6" xfId="25174"/>
    <cellStyle name="常规 5 2 2 2 4 5" xfId="26878"/>
    <cellStyle name="常规 5 2 2 2 4 5 2" xfId="26880"/>
    <cellStyle name="常规 5 2 2 2 4 5 2 2" xfId="26883"/>
    <cellStyle name="常规 5 2 2 2 4 5 2 2 2" xfId="26887"/>
    <cellStyle name="常规 5 2 2 2 4 5 2 3" xfId="26890"/>
    <cellStyle name="常规 5 2 2 2 4 5 2 4" xfId="26894"/>
    <cellStyle name="常规 5 2 2 2 4 5 3" xfId="26896"/>
    <cellStyle name="常规 5 2 2 2 4 5 3 2" xfId="26899"/>
    <cellStyle name="常规 5 2 2 2 4 5 4" xfId="26901"/>
    <cellStyle name="常规 5 2 2 2 4 5 5" xfId="26903"/>
    <cellStyle name="常规 5 2 2 2 4 6" xfId="26906"/>
    <cellStyle name="常规 5 2 2 2 4 6 2" xfId="26909"/>
    <cellStyle name="常规 5 2 2 2 4 6 2 2" xfId="26912"/>
    <cellStyle name="常规 5 2 2 2 4 6 3" xfId="14057"/>
    <cellStyle name="常规 5 2 2 2 4 6 4" xfId="14064"/>
    <cellStyle name="常规 5 2 2 2 4 7" xfId="26914"/>
    <cellStyle name="常规 5 2 2 2 4 7 2" xfId="26916"/>
    <cellStyle name="常规 5 2 2 2 4 8" xfId="26917"/>
    <cellStyle name="常规 5 2 2 2 4 9" xfId="26918"/>
    <cellStyle name="常规 5 2 2 2 5" xfId="26920"/>
    <cellStyle name="常规 5 2 2 2 5 2" xfId="8172"/>
    <cellStyle name="常规 5 2 2 2 5 2 2" xfId="26922"/>
    <cellStyle name="常规 5 2 2 2 5 2 2 2" xfId="24482"/>
    <cellStyle name="常规 5 2 2 2 5 2 2 2 2" xfId="26925"/>
    <cellStyle name="常规 5 2 2 2 5 2 2 2 2 2" xfId="26928"/>
    <cellStyle name="常规 5 2 2 2 5 2 2 2 2 2 2" xfId="11059"/>
    <cellStyle name="常规 5 2 2 2 5 2 2 2 2 2 2 2" xfId="26929"/>
    <cellStyle name="常规 5 2 2 2 5 2 2 2 2 2 3" xfId="26930"/>
    <cellStyle name="常规 5 2 2 2 5 2 2 2 2 2 4" xfId="20195"/>
    <cellStyle name="常规 5 2 2 2 5 2 2 2 2 3" xfId="26931"/>
    <cellStyle name="常规 5 2 2 2 5 2 2 2 2 3 2" xfId="26932"/>
    <cellStyle name="常规 5 2 2 2 5 2 2 2 2 4" xfId="26933"/>
    <cellStyle name="常规 5 2 2 2 5 2 2 2 2 5" xfId="26934"/>
    <cellStyle name="常规 5 2 2 2 5 2 2 2 3" xfId="26937"/>
    <cellStyle name="常规 5 2 2 2 5 2 2 2 3 2" xfId="26938"/>
    <cellStyle name="常规 5 2 2 2 5 2 2 2 3 2 2" xfId="26939"/>
    <cellStyle name="常规 5 2 2 2 5 2 2 2 3 3" xfId="26940"/>
    <cellStyle name="常规 5 2 2 2 5 2 2 2 3 4" xfId="2774"/>
    <cellStyle name="常规 5 2 2 2 5 2 2 2 4" xfId="26943"/>
    <cellStyle name="常规 5 2 2 2 5 2 2 2 4 2" xfId="26944"/>
    <cellStyle name="常规 5 2 2 2 5 2 2 2 5" xfId="26945"/>
    <cellStyle name="常规 5 2 2 2 5 2 2 2 6" xfId="26946"/>
    <cellStyle name="常规 5 2 2 2 5 2 2 3" xfId="24485"/>
    <cellStyle name="常规 5 2 2 2 5 2 2 3 2" xfId="26948"/>
    <cellStyle name="常规 5 2 2 2 5 2 2 3 2 2" xfId="26954"/>
    <cellStyle name="常规 5 2 2 2 5 2 2 3 2 2 2" xfId="26956"/>
    <cellStyle name="常规 5 2 2 2 5 2 2 3 2 3" xfId="26961"/>
    <cellStyle name="常规 5 2 2 2 5 2 2 3 2 4" xfId="26963"/>
    <cellStyle name="常规 5 2 2 2 5 2 2 3 3" xfId="26966"/>
    <cellStyle name="常规 5 2 2 2 5 2 2 3 3 2" xfId="26970"/>
    <cellStyle name="常规 5 2 2 2 5 2 2 3 4" xfId="26973"/>
    <cellStyle name="常规 5 2 2 2 5 2 2 3 5" xfId="26976"/>
    <cellStyle name="常规 5 2 2 2 5 2 2 4" xfId="26980"/>
    <cellStyle name="常规 5 2 2 2 5 2 2 4 2" xfId="26983"/>
    <cellStyle name="常规 5 2 2 2 5 2 2 4 2 2" xfId="26987"/>
    <cellStyle name="常规 5 2 2 2 5 2 2 4 3" xfId="26990"/>
    <cellStyle name="常规 5 2 2 2 5 2 2 4 4" xfId="26993"/>
    <cellStyle name="常规 5 2 2 2 5 2 2 5" xfId="26997"/>
    <cellStyle name="常规 5 2 2 2 5 2 2 5 2" xfId="27001"/>
    <cellStyle name="常规 5 2 2 2 5 2 2 6" xfId="27005"/>
    <cellStyle name="常规 5 2 2 2 5 2 2 7" xfId="27011"/>
    <cellStyle name="常规 5 2 2 2 5 2 3" xfId="27018"/>
    <cellStyle name="常规 5 2 2 2 5 2 3 2" xfId="20003"/>
    <cellStyle name="常规 5 2 2 2 5 2 3 2 2" xfId="20008"/>
    <cellStyle name="常规 5 2 2 2 5 2 3 2 2 2" xfId="20598"/>
    <cellStyle name="常规 5 2 2 2 5 2 3 2 2 2 2" xfId="27019"/>
    <cellStyle name="常规 5 2 2 2 5 2 3 2 2 3" xfId="20600"/>
    <cellStyle name="常规 5 2 2 2 5 2 3 2 2 4" xfId="27020"/>
    <cellStyle name="常规 5 2 2 2 5 2 3 2 3" xfId="20011"/>
    <cellStyle name="常规 5 2 2 2 5 2 3 2 3 2" xfId="20630"/>
    <cellStyle name="常规 5 2 2 2 5 2 3 2 4" xfId="27022"/>
    <cellStyle name="常规 5 2 2 2 5 2 3 2 5" xfId="27023"/>
    <cellStyle name="常规 5 2 2 2 5 2 3 3" xfId="20013"/>
    <cellStyle name="常规 5 2 2 2 5 2 3 3 2" xfId="27024"/>
    <cellStyle name="常规 5 2 2 2 5 2 3 3 2 2" xfId="20975"/>
    <cellStyle name="常规 5 2 2 2 5 2 3 3 3" xfId="27028"/>
    <cellStyle name="常规 5 2 2 2 5 2 3 3 4" xfId="27032"/>
    <cellStyle name="常规 5 2 2 2 5 2 3 4" xfId="20018"/>
    <cellStyle name="常规 5 2 2 2 5 2 3 4 2" xfId="27035"/>
    <cellStyle name="常规 5 2 2 2 5 2 3 5" xfId="20022"/>
    <cellStyle name="常规 5 2 2 2 5 2 3 6" xfId="27039"/>
    <cellStyle name="常规 5 2 2 2 5 2 4" xfId="27044"/>
    <cellStyle name="常规 5 2 2 2 5 2 4 2" xfId="20032"/>
    <cellStyle name="常规 5 2 2 2 5 2 4 2 2" xfId="27046"/>
    <cellStyle name="常规 5 2 2 2 5 2 4 2 2 2" xfId="25938"/>
    <cellStyle name="常规 5 2 2 2 5 2 4 2 3" xfId="2072"/>
    <cellStyle name="常规 5 2 2 2 5 2 4 2 4" xfId="16050"/>
    <cellStyle name="常规 5 2 2 2 5 2 4 3" xfId="27047"/>
    <cellStyle name="常规 5 2 2 2 5 2 4 3 2" xfId="27050"/>
    <cellStyle name="常规 5 2 2 2 5 2 4 4" xfId="27054"/>
    <cellStyle name="常规 5 2 2 2 5 2 4 5" xfId="27057"/>
    <cellStyle name="常规 5 2 2 2 5 2 5" xfId="27062"/>
    <cellStyle name="常规 5 2 2 2 5 2 5 2" xfId="20038"/>
    <cellStyle name="常规 5 2 2 2 5 2 5 2 2" xfId="27064"/>
    <cellStyle name="常规 5 2 2 2 5 2 5 3" xfId="27065"/>
    <cellStyle name="常规 5 2 2 2 5 2 5 4" xfId="27070"/>
    <cellStyle name="常规 5 2 2 2 5 2 6" xfId="25194"/>
    <cellStyle name="常规 5 2 2 2 5 2 6 2" xfId="25197"/>
    <cellStyle name="常规 5 2 2 2 5 2 7" xfId="25210"/>
    <cellStyle name="常规 5 2 2 2 5 2 8" xfId="25218"/>
    <cellStyle name="常规 5 2 2 2 5 3" xfId="27072"/>
    <cellStyle name="常规 5 2 2 2 5 3 2" xfId="27074"/>
    <cellStyle name="常规 5 2 2 2 5 3 2 2" xfId="27076"/>
    <cellStyle name="常规 5 2 2 2 5 3 2 2 2" xfId="27080"/>
    <cellStyle name="常规 5 2 2 2 5 3 2 2 2 2" xfId="27082"/>
    <cellStyle name="常规 5 2 2 2 5 3 2 2 2 2 2" xfId="27083"/>
    <cellStyle name="常规 5 2 2 2 5 3 2 2 2 3" xfId="27084"/>
    <cellStyle name="常规 5 2 2 2 5 3 2 2 2 4" xfId="27085"/>
    <cellStyle name="常规 5 2 2 2 5 3 2 2 3" xfId="27088"/>
    <cellStyle name="常规 5 2 2 2 5 3 2 2 3 2" xfId="27089"/>
    <cellStyle name="常规 5 2 2 2 5 3 2 2 4" xfId="27091"/>
    <cellStyle name="常规 5 2 2 2 5 3 2 2 5" xfId="27092"/>
    <cellStyle name="常规 5 2 2 2 5 3 2 3" xfId="27094"/>
    <cellStyle name="常规 5 2 2 2 5 3 2 3 2" xfId="27098"/>
    <cellStyle name="常规 5 2 2 2 5 3 2 3 2 2" xfId="27102"/>
    <cellStyle name="常规 5 2 2 2 5 3 2 3 3" xfId="27107"/>
    <cellStyle name="常规 5 2 2 2 5 3 2 3 4" xfId="27110"/>
    <cellStyle name="常规 5 2 2 2 5 3 2 4" xfId="27114"/>
    <cellStyle name="常规 5 2 2 2 5 3 2 4 2" xfId="27119"/>
    <cellStyle name="常规 5 2 2 2 5 3 2 5" xfId="27122"/>
    <cellStyle name="常规 5 2 2 2 5 3 2 6" xfId="27125"/>
    <cellStyle name="常规 5 2 2 2 5 3 3" xfId="27130"/>
    <cellStyle name="常规 5 2 2 2 5 3 3 2" xfId="20047"/>
    <cellStyle name="常规 5 2 2 2 5 3 3 2 2" xfId="27132"/>
    <cellStyle name="常规 5 2 2 2 5 3 3 2 2 2" xfId="27133"/>
    <cellStyle name="常规 5 2 2 2 5 3 3 2 3" xfId="27134"/>
    <cellStyle name="常规 5 2 2 2 5 3 3 2 4" xfId="27135"/>
    <cellStyle name="常规 5 2 2 2 5 3 3 3" xfId="3208"/>
    <cellStyle name="常规 5 2 2 2 5 3 3 3 2" xfId="27137"/>
    <cellStyle name="常规 5 2 2 2 5 3 3 4" xfId="27140"/>
    <cellStyle name="常规 5 2 2 2 5 3 3 5" xfId="27143"/>
    <cellStyle name="常规 5 2 2 2 5 3 4" xfId="27147"/>
    <cellStyle name="常规 5 2 2 2 5 3 4 2" xfId="20053"/>
    <cellStyle name="常规 5 2 2 2 5 3 4 2 2" xfId="27148"/>
    <cellStyle name="常规 5 2 2 2 5 3 4 3" xfId="27149"/>
    <cellStyle name="常规 5 2 2 2 5 3 4 4" xfId="27153"/>
    <cellStyle name="常规 5 2 2 2 5 3 5" xfId="27155"/>
    <cellStyle name="常规 5 2 2 2 5 3 5 2" xfId="27156"/>
    <cellStyle name="常规 5 2 2 2 5 3 6" xfId="25227"/>
    <cellStyle name="常规 5 2 2 2 5 3 7" xfId="25233"/>
    <cellStyle name="常规 5 2 2 2 5 4" xfId="27160"/>
    <cellStyle name="常规 5 2 2 2 5 4 2" xfId="27163"/>
    <cellStyle name="常规 5 2 2 2 5 4 2 2" xfId="27166"/>
    <cellStyle name="常规 5 2 2 2 5 4 2 2 2" xfId="1380"/>
    <cellStyle name="常规 5 2 2 2 5 4 2 2 2 2" xfId="27168"/>
    <cellStyle name="常规 5 2 2 2 5 4 2 2 3" xfId="1389"/>
    <cellStyle name="常规 5 2 2 2 5 4 2 2 4" xfId="1397"/>
    <cellStyle name="常规 5 2 2 2 5 4 2 3" xfId="27170"/>
    <cellStyle name="常规 5 2 2 2 5 4 2 3 2" xfId="27174"/>
    <cellStyle name="常规 5 2 2 2 5 4 2 4" xfId="27181"/>
    <cellStyle name="常规 5 2 2 2 5 4 2 5" xfId="27185"/>
    <cellStyle name="常规 5 2 2 2 5 4 3" xfId="27190"/>
    <cellStyle name="常规 5 2 2 2 5 4 3 2" xfId="27192"/>
    <cellStyle name="常规 5 2 2 2 5 4 3 2 2" xfId="27196"/>
    <cellStyle name="常规 5 2 2 2 5 4 3 3" xfId="27198"/>
    <cellStyle name="常规 5 2 2 2 5 4 3 4" xfId="27203"/>
    <cellStyle name="常规 5 2 2 2 5 4 4" xfId="27205"/>
    <cellStyle name="常规 5 2 2 2 5 4 4 2" xfId="27207"/>
    <cellStyle name="常规 5 2 2 2 5 4 5" xfId="27208"/>
    <cellStyle name="常规 5 2 2 2 5 4 6" xfId="25241"/>
    <cellStyle name="常规 5 2 2 2 5 5" xfId="27211"/>
    <cellStyle name="常规 5 2 2 2 5 5 2" xfId="27213"/>
    <cellStyle name="常规 5 2 2 2 5 5 2 2" xfId="23280"/>
    <cellStyle name="常规 5 2 2 2 5 5 2 2 2" xfId="27217"/>
    <cellStyle name="常规 5 2 2 2 5 5 2 3" xfId="27219"/>
    <cellStyle name="常规 5 2 2 2 5 5 2 4" xfId="27224"/>
    <cellStyle name="常规 5 2 2 2 5 5 3" xfId="27225"/>
    <cellStyle name="常规 5 2 2 2 5 5 3 2" xfId="27227"/>
    <cellStyle name="常规 5 2 2 2 5 5 4" xfId="27228"/>
    <cellStyle name="常规 5 2 2 2 5 5 5" xfId="27229"/>
    <cellStyle name="常规 5 2 2 2 5 6" xfId="27230"/>
    <cellStyle name="常规 5 2 2 2 5 6 2" xfId="27234"/>
    <cellStyle name="常规 5 2 2 2 5 6 2 2" xfId="27237"/>
    <cellStyle name="常规 5 2 2 2 5 6 3" xfId="14085"/>
    <cellStyle name="常规 5 2 2 2 5 6 4" xfId="27240"/>
    <cellStyle name="常规 5 2 2 2 5 7" xfId="27242"/>
    <cellStyle name="常规 5 2 2 2 5 7 2" xfId="27245"/>
    <cellStyle name="常规 5 2 2 2 5 8" xfId="27247"/>
    <cellStyle name="常规 5 2 2 2 5 9" xfId="27249"/>
    <cellStyle name="常规 5 2 2 2 6" xfId="27253"/>
    <cellStyle name="常规 5 2 2 2 6 2" xfId="27255"/>
    <cellStyle name="常规 5 2 2 2 6 2 2" xfId="27257"/>
    <cellStyle name="常规 5 2 2 2 6 2 2 2" xfId="27259"/>
    <cellStyle name="常规 5 2 2 2 6 2 2 2 2" xfId="27262"/>
    <cellStyle name="常规 5 2 2 2 6 2 2 2 2 2" xfId="15516"/>
    <cellStyle name="常规 5 2 2 2 6 2 2 2 2 2 2" xfId="23130"/>
    <cellStyle name="常规 5 2 2 2 6 2 2 2 2 3" xfId="27263"/>
    <cellStyle name="常规 5 2 2 2 6 2 2 2 2 4" xfId="27265"/>
    <cellStyle name="常规 5 2 2 2 6 2 2 2 3" xfId="27268"/>
    <cellStyle name="常规 5 2 2 2 6 2 2 2 3 2" xfId="27269"/>
    <cellStyle name="常规 5 2 2 2 6 2 2 2 4" xfId="27271"/>
    <cellStyle name="常规 5 2 2 2 6 2 2 2 5" xfId="27272"/>
    <cellStyle name="常规 5 2 2 2 6 2 2 3" xfId="27274"/>
    <cellStyle name="常规 5 2 2 2 6 2 2 3 2" xfId="26637"/>
    <cellStyle name="常规 5 2 2 2 6 2 2 3 2 2" xfId="27279"/>
    <cellStyle name="常规 5 2 2 2 6 2 2 3 3" xfId="27284"/>
    <cellStyle name="常规 5 2 2 2 6 2 2 3 4" xfId="27289"/>
    <cellStyle name="常规 5 2 2 2 6 2 2 4" xfId="27295"/>
    <cellStyle name="常规 5 2 2 2 6 2 2 4 2" xfId="27299"/>
    <cellStyle name="常规 5 2 2 2 6 2 2 5" xfId="27306"/>
    <cellStyle name="常规 5 2 2 2 6 2 2 6" xfId="27311"/>
    <cellStyle name="常规 5 2 2 2 6 2 3" xfId="27318"/>
    <cellStyle name="常规 5 2 2 2 6 2 3 2" xfId="27320"/>
    <cellStyle name="常规 5 2 2 2 6 2 3 2 2" xfId="27324"/>
    <cellStyle name="常规 5 2 2 2 6 2 3 2 2 2" xfId="27325"/>
    <cellStyle name="常规 5 2 2 2 6 2 3 2 3" xfId="27327"/>
    <cellStyle name="常规 5 2 2 2 6 2 3 2 4" xfId="27329"/>
    <cellStyle name="常规 5 2 2 2 6 2 3 3" xfId="27331"/>
    <cellStyle name="常规 5 2 2 2 6 2 3 3 2" xfId="21173"/>
    <cellStyle name="常规 5 2 2 2 6 2 3 4" xfId="27336"/>
    <cellStyle name="常规 5 2 2 2 6 2 3 5" xfId="27340"/>
    <cellStyle name="常规 5 2 2 2 6 2 4" xfId="27345"/>
    <cellStyle name="常规 5 2 2 2 6 2 4 2" xfId="27347"/>
    <cellStyle name="常规 5 2 2 2 6 2 4 2 2" xfId="27348"/>
    <cellStyle name="常规 5 2 2 2 6 2 4 3" xfId="27349"/>
    <cellStyle name="常规 5 2 2 2 6 2 4 4" xfId="27354"/>
    <cellStyle name="常规 5 2 2 2 6 2 5" xfId="27357"/>
    <cellStyle name="常规 5 2 2 2 6 2 5 2" xfId="27359"/>
    <cellStyle name="常规 5 2 2 2 6 2 6" xfId="24599"/>
    <cellStyle name="常规 5 2 2 2 6 2 7" xfId="24620"/>
    <cellStyle name="常规 5 2 2 2 6 3" xfId="27361"/>
    <cellStyle name="常规 5 2 2 2 6 3 2" xfId="27363"/>
    <cellStyle name="常规 5 2 2 2 6 3 2 2" xfId="27365"/>
    <cellStyle name="常规 5 2 2 2 6 3 2 2 2" xfId="27368"/>
    <cellStyle name="常规 5 2 2 2 6 3 2 2 2 2" xfId="27369"/>
    <cellStyle name="常规 5 2 2 2 6 3 2 2 3" xfId="27371"/>
    <cellStyle name="常规 5 2 2 2 6 3 2 2 4" xfId="27372"/>
    <cellStyle name="常规 5 2 2 2 6 3 2 3" xfId="27374"/>
    <cellStyle name="常规 5 2 2 2 6 3 2 3 2" xfId="27009"/>
    <cellStyle name="常规 5 2 2 2 6 3 2 4" xfId="27379"/>
    <cellStyle name="常规 5 2 2 2 6 3 2 5" xfId="8844"/>
    <cellStyle name="常规 5 2 2 2 6 3 3" xfId="27384"/>
    <cellStyle name="常规 5 2 2 2 6 3 3 2" xfId="27386"/>
    <cellStyle name="常规 5 2 2 2 6 3 3 2 2" xfId="27388"/>
    <cellStyle name="常规 5 2 2 2 6 3 3 3" xfId="27389"/>
    <cellStyle name="常规 5 2 2 2 6 3 3 4" xfId="27394"/>
    <cellStyle name="常规 5 2 2 2 6 3 4" xfId="27396"/>
    <cellStyle name="常规 5 2 2 2 6 3 4 2" xfId="27397"/>
    <cellStyle name="常规 5 2 2 2 6 3 5" xfId="27400"/>
    <cellStyle name="常规 5 2 2 2 6 3 6" xfId="19334"/>
    <cellStyle name="常规 5 2 2 2 6 4" xfId="27403"/>
    <cellStyle name="常规 5 2 2 2 6 4 2" xfId="7254"/>
    <cellStyle name="常规 5 2 2 2 6 4 2 2" xfId="27406"/>
    <cellStyle name="常规 5 2 2 2 6 4 2 2 2" xfId="27410"/>
    <cellStyle name="常规 5 2 2 2 6 4 2 3" xfId="27412"/>
    <cellStyle name="常规 5 2 2 2 6 4 2 4" xfId="27418"/>
    <cellStyle name="常规 5 2 2 2 6 4 3" xfId="27420"/>
    <cellStyle name="常规 5 2 2 2 6 4 3 2" xfId="27422"/>
    <cellStyle name="常规 5 2 2 2 6 4 4" xfId="27424"/>
    <cellStyle name="常规 5 2 2 2 6 4 5" xfId="27426"/>
    <cellStyle name="常规 5 2 2 2 6 5" xfId="27428"/>
    <cellStyle name="常规 5 2 2 2 6 5 2" xfId="27430"/>
    <cellStyle name="常规 5 2 2 2 6 5 2 2" xfId="27432"/>
    <cellStyle name="常规 5 2 2 2 6 5 3" xfId="27433"/>
    <cellStyle name="常规 5 2 2 2 6 5 4" xfId="27434"/>
    <cellStyle name="常规 5 2 2 2 6 6" xfId="27435"/>
    <cellStyle name="常规 5 2 2 2 6 6 2" xfId="21594"/>
    <cellStyle name="常规 5 2 2 2 6 7" xfId="27438"/>
    <cellStyle name="常规 5 2 2 2 6 8" xfId="27441"/>
    <cellStyle name="常规 5 2 2 2 7" xfId="27446"/>
    <cellStyle name="常规 5 2 2 2 7 2" xfId="27449"/>
    <cellStyle name="常规 5 2 2 2 7 2 2" xfId="27451"/>
    <cellStyle name="常规 5 2 2 2 7 2 2 2" xfId="27453"/>
    <cellStyle name="常规 5 2 2 2 7 2 2 2 2" xfId="27456"/>
    <cellStyle name="常规 5 2 2 2 7 2 2 2 2 2" xfId="27457"/>
    <cellStyle name="常规 5 2 2 2 7 2 2 2 3" xfId="27460"/>
    <cellStyle name="常规 5 2 2 2 7 2 2 2 4" xfId="27462"/>
    <cellStyle name="常规 5 2 2 2 7 2 2 3" xfId="27464"/>
    <cellStyle name="常规 5 2 2 2 7 2 2 3 2" xfId="27470"/>
    <cellStyle name="常规 5 2 2 2 7 2 2 4" xfId="27476"/>
    <cellStyle name="常规 5 2 2 2 7 2 2 5" xfId="16951"/>
    <cellStyle name="常规 5 2 2 2 7 2 3" xfId="27481"/>
    <cellStyle name="常规 5 2 2 2 7 2 3 2" xfId="27483"/>
    <cellStyle name="常规 5 2 2 2 7 2 3 2 2" xfId="27485"/>
    <cellStyle name="常规 5 2 2 2 7 2 3 3" xfId="27486"/>
    <cellStyle name="常规 5 2 2 2 7 2 3 4" xfId="27491"/>
    <cellStyle name="常规 5 2 2 2 7 2 4" xfId="18067"/>
    <cellStyle name="常规 5 2 2 2 7 2 4 2" xfId="27492"/>
    <cellStyle name="常规 5 2 2 2 7 2 5" xfId="27495"/>
    <cellStyle name="常规 5 2 2 2 7 2 6" xfId="24671"/>
    <cellStyle name="常规 5 2 2 2 7 3" xfId="27497"/>
    <cellStyle name="常规 5 2 2 2 7 3 2" xfId="27499"/>
    <cellStyle name="常规 5 2 2 2 7 3 2 2" xfId="27501"/>
    <cellStyle name="常规 5 2 2 2 7 3 2 2 2" xfId="27503"/>
    <cellStyle name="常规 5 2 2 2 7 3 2 3" xfId="27504"/>
    <cellStyle name="常规 5 2 2 2 7 3 2 4" xfId="27510"/>
    <cellStyle name="常规 5 2 2 2 7 3 3" xfId="27512"/>
    <cellStyle name="常规 5 2 2 2 7 3 3 2" xfId="8079"/>
    <cellStyle name="常规 5 2 2 2 7 3 4" xfId="27515"/>
    <cellStyle name="常规 5 2 2 2 7 3 5" xfId="3792"/>
    <cellStyle name="常规 5 2 2 2 7 4" xfId="27517"/>
    <cellStyle name="常规 5 2 2 2 7 4 2" xfId="27519"/>
    <cellStyle name="常规 5 2 2 2 7 4 2 2" xfId="27521"/>
    <cellStyle name="常规 5 2 2 2 7 4 3" xfId="27522"/>
    <cellStyle name="常规 5 2 2 2 7 4 4" xfId="27523"/>
    <cellStyle name="常规 5 2 2 2 7 5" xfId="27525"/>
    <cellStyle name="常规 5 2 2 2 7 5 2" xfId="27526"/>
    <cellStyle name="常规 5 2 2 2 7 6" xfId="27527"/>
    <cellStyle name="常规 5 2 2 2 7 7" xfId="27530"/>
    <cellStyle name="常规 5 2 2 2 8" xfId="27533"/>
    <cellStyle name="常规 5 2 2 2 8 2" xfId="27535"/>
    <cellStyle name="常规 5 2 2 2 8 2 2" xfId="27538"/>
    <cellStyle name="常规 5 2 2 2 8 2 2 2" xfId="27542"/>
    <cellStyle name="常规 5 2 2 2 8 2 2 2 2" xfId="27543"/>
    <cellStyle name="常规 5 2 2 2 8 2 2 3" xfId="27545"/>
    <cellStyle name="常规 5 2 2 2 8 2 2 4" xfId="27551"/>
    <cellStyle name="常规 5 2 2 2 8 2 3" xfId="27554"/>
    <cellStyle name="常规 5 2 2 2 8 2 3 2" xfId="27557"/>
    <cellStyle name="常规 5 2 2 2 8 2 4" xfId="27559"/>
    <cellStyle name="常规 5 2 2 2 8 2 5" xfId="27561"/>
    <cellStyle name="常规 5 2 2 2 8 3" xfId="27563"/>
    <cellStyle name="常规 5 2 2 2 8 3 2" xfId="27565"/>
    <cellStyle name="常规 5 2 2 2 8 3 2 2" xfId="8455"/>
    <cellStyle name="常规 5 2 2 2 8 3 3" xfId="27566"/>
    <cellStyle name="常规 5 2 2 2 8 3 4" xfId="27567"/>
    <cellStyle name="常规 5 2 2 2 8 4" xfId="27569"/>
    <cellStyle name="常规 5 2 2 2 8 4 2" xfId="27570"/>
    <cellStyle name="常规 5 2 2 2 8 5" xfId="27572"/>
    <cellStyle name="常规 5 2 2 2 8 6" xfId="27573"/>
    <cellStyle name="常规 5 2 2 2 9" xfId="27576"/>
    <cellStyle name="常规 5 2 2 2 9 2" xfId="2162"/>
    <cellStyle name="常规 5 2 2 2 9 2 2" xfId="27578"/>
    <cellStyle name="常规 5 2 2 2 9 2 2 2" xfId="16754"/>
    <cellStyle name="常规 5 2 2 2 9 2 3" xfId="27579"/>
    <cellStyle name="常规 5 2 2 2 9 2 4" xfId="27580"/>
    <cellStyle name="常规 5 2 2 2 9 3" xfId="27583"/>
    <cellStyle name="常规 5 2 2 2 9 3 2" xfId="27584"/>
    <cellStyle name="常规 5 2 2 2 9 4" xfId="27587"/>
    <cellStyle name="常规 5 2 2 2 9 5" xfId="27588"/>
    <cellStyle name="常规 5 2 2 3" xfId="27591"/>
    <cellStyle name="常规 5 2 2 3 10" xfId="15332"/>
    <cellStyle name="常规 5 2 2 3 10 2" xfId="15335"/>
    <cellStyle name="常规 5 2 2 3 11" xfId="15338"/>
    <cellStyle name="常规 5 2 2 3 12" xfId="15340"/>
    <cellStyle name="常规 5 2 2 3 2" xfId="27592"/>
    <cellStyle name="常规 5 2 2 3 2 10" xfId="27593"/>
    <cellStyle name="常规 5 2 2 3 2 11" xfId="27594"/>
    <cellStyle name="常规 5 2 2 3 2 2" xfId="27596"/>
    <cellStyle name="常规 5 2 2 3 2 2 2" xfId="27599"/>
    <cellStyle name="常规 5 2 2 3 2 2 2 2" xfId="21054"/>
    <cellStyle name="常规 5 2 2 3 2 2 2 2 2" xfId="27602"/>
    <cellStyle name="常规 5 2 2 3 2 2 2 2 2 2" xfId="27604"/>
    <cellStyle name="常规 5 2 2 3 2 2 2 2 2 2 2" xfId="27607"/>
    <cellStyle name="常规 5 2 2 3 2 2 2 2 2 2 2 2" xfId="27610"/>
    <cellStyle name="常规 5 2 2 3 2 2 2 2 2 2 2 2 2" xfId="10125"/>
    <cellStyle name="常规 5 2 2 3 2 2 2 2 2 2 2 3" xfId="27614"/>
    <cellStyle name="常规 5 2 2 3 2 2 2 2 2 2 2 4" xfId="27617"/>
    <cellStyle name="常规 5 2 2 3 2 2 2 2 2 2 3" xfId="27619"/>
    <cellStyle name="常规 5 2 2 3 2 2 2 2 2 2 3 2" xfId="27624"/>
    <cellStyle name="常规 5 2 2 3 2 2 2 2 2 2 4" xfId="24806"/>
    <cellStyle name="常规 5 2 2 3 2 2 2 2 2 2 5" xfId="27626"/>
    <cellStyle name="常规 5 2 2 3 2 2 2 2 2 3" xfId="27628"/>
    <cellStyle name="常规 5 2 2 3 2 2 2 2 2 3 2" xfId="27630"/>
    <cellStyle name="常规 5 2 2 3 2 2 2 2 2 3 2 2" xfId="27634"/>
    <cellStyle name="常规 5 2 2 3 2 2 2 2 2 3 3" xfId="27636"/>
    <cellStyle name="常规 5 2 2 3 2 2 2 2 2 3 4" xfId="27638"/>
    <cellStyle name="常规 5 2 2 3 2 2 2 2 2 4" xfId="27641"/>
    <cellStyle name="常规 5 2 2 3 2 2 2 2 2 4 2" xfId="27643"/>
    <cellStyle name="常规 5 2 2 3 2 2 2 2 2 5" xfId="27645"/>
    <cellStyle name="常规 5 2 2 3 2 2 2 2 2 6" xfId="4698"/>
    <cellStyle name="常规 5 2 2 3 2 2 2 2 3" xfId="22717"/>
    <cellStyle name="常规 5 2 2 3 2 2 2 2 3 2" xfId="22720"/>
    <cellStyle name="常规 5 2 2 3 2 2 2 2 3 2 2" xfId="22014"/>
    <cellStyle name="常规 5 2 2 3 2 2 2 2 3 2 2 2" xfId="22020"/>
    <cellStyle name="常规 5 2 2 3 2 2 2 2 3 2 3" xfId="22022"/>
    <cellStyle name="常规 5 2 2 3 2 2 2 2 3 2 4" xfId="20616"/>
    <cellStyle name="常规 5 2 2 3 2 2 2 2 3 3" xfId="27647"/>
    <cellStyle name="常规 5 2 2 3 2 2 2 2 3 3 2" xfId="22189"/>
    <cellStyle name="常规 5 2 2 3 2 2 2 2 3 4" xfId="27649"/>
    <cellStyle name="常规 5 2 2 3 2 2 2 2 3 5" xfId="27651"/>
    <cellStyle name="常规 5 2 2 3 2 2 2 2 4" xfId="22723"/>
    <cellStyle name="常规 5 2 2 3 2 2 2 2 4 2" xfId="27653"/>
    <cellStyle name="常规 5 2 2 3 2 2 2 2 4 2 2" xfId="22759"/>
    <cellStyle name="常规 5 2 2 3 2 2 2 2 4 3" xfId="27655"/>
    <cellStyle name="常规 5 2 2 3 2 2 2 2 4 4" xfId="27658"/>
    <cellStyle name="常规 5 2 2 3 2 2 2 2 5" xfId="22726"/>
    <cellStyle name="常规 5 2 2 3 2 2 2 2 5 2" xfId="27660"/>
    <cellStyle name="常规 5 2 2 3 2 2 2 2 6" xfId="16353"/>
    <cellStyle name="常规 5 2 2 3 2 2 2 2 7" xfId="27662"/>
    <cellStyle name="常规 5 2 2 3 2 2 2 3" xfId="27664"/>
    <cellStyle name="常规 5 2 2 3 2 2 2 3 2" xfId="27666"/>
    <cellStyle name="常规 5 2 2 3 2 2 2 3 2 2" xfId="27668"/>
    <cellStyle name="常规 5 2 2 3 2 2 2 3 2 2 2" xfId="27671"/>
    <cellStyle name="常规 5 2 2 3 2 2 2 3 2 2 2 2" xfId="27673"/>
    <cellStyle name="常规 5 2 2 3 2 2 2 3 2 2 3" xfId="7752"/>
    <cellStyle name="常规 5 2 2 3 2 2 2 3 2 2 4" xfId="9639"/>
    <cellStyle name="常规 5 2 2 3 2 2 2 3 2 3" xfId="21525"/>
    <cellStyle name="常规 5 2 2 3 2 2 2 3 2 3 2" xfId="27676"/>
    <cellStyle name="常规 5 2 2 3 2 2 2 3 2 4" xfId="22528"/>
    <cellStyle name="常规 5 2 2 3 2 2 2 3 2 5" xfId="22581"/>
    <cellStyle name="常规 5 2 2 3 2 2 2 3 3" xfId="22730"/>
    <cellStyle name="常规 5 2 2 3 2 2 2 3 3 2" xfId="27678"/>
    <cellStyle name="常规 5 2 2 3 2 2 2 3 3 2 2" xfId="23723"/>
    <cellStyle name="常规 5 2 2 3 2 2 2 3 3 3" xfId="27680"/>
    <cellStyle name="常规 5 2 2 3 2 2 2 3 3 4" xfId="22607"/>
    <cellStyle name="常规 5 2 2 3 2 2 2 3 4" xfId="27682"/>
    <cellStyle name="常规 5 2 2 3 2 2 2 3 4 2" xfId="27684"/>
    <cellStyle name="常规 5 2 2 3 2 2 2 3 5" xfId="27686"/>
    <cellStyle name="常规 5 2 2 3 2 2 2 3 6" xfId="12883"/>
    <cellStyle name="常规 5 2 2 3 2 2 2 4" xfId="27688"/>
    <cellStyle name="常规 5 2 2 3 2 2 2 4 2" xfId="6310"/>
    <cellStyle name="常规 5 2 2 3 2 2 2 4 2 2" xfId="27690"/>
    <cellStyle name="常规 5 2 2 3 2 2 2 4 2 2 2" xfId="21018"/>
    <cellStyle name="常规 5 2 2 3 2 2 2 4 2 3" xfId="27692"/>
    <cellStyle name="常规 5 2 2 3 2 2 2 4 2 4" xfId="22656"/>
    <cellStyle name="常规 5 2 2 3 2 2 2 4 3" xfId="6314"/>
    <cellStyle name="常规 5 2 2 3 2 2 2 4 3 2" xfId="27694"/>
    <cellStyle name="常规 5 2 2 3 2 2 2 4 4" xfId="27696"/>
    <cellStyle name="常规 5 2 2 3 2 2 2 4 5" xfId="27698"/>
    <cellStyle name="常规 5 2 2 3 2 2 2 5" xfId="27700"/>
    <cellStyle name="常规 5 2 2 3 2 2 2 5 2" xfId="5749"/>
    <cellStyle name="常规 5 2 2 3 2 2 2 5 2 2" xfId="27702"/>
    <cellStyle name="常规 5 2 2 3 2 2 2 5 3" xfId="27704"/>
    <cellStyle name="常规 5 2 2 3 2 2 2 5 4" xfId="27707"/>
    <cellStyle name="常规 5 2 2 3 2 2 2 6" xfId="27710"/>
    <cellStyle name="常规 5 2 2 3 2 2 2 6 2" xfId="27713"/>
    <cellStyle name="常规 5 2 2 3 2 2 2 7" xfId="27717"/>
    <cellStyle name="常规 5 2 2 3 2 2 2 8" xfId="27721"/>
    <cellStyle name="常规 5 2 2 3 2 2 3" xfId="27724"/>
    <cellStyle name="常规 5 2 2 3 2 2 3 2" xfId="27726"/>
    <cellStyle name="常规 5 2 2 3 2 2 3 2 2" xfId="27728"/>
    <cellStyle name="常规 5 2 2 3 2 2 3 2 2 2" xfId="21412"/>
    <cellStyle name="常规 5 2 2 3 2 2 3 2 2 2 2" xfId="27730"/>
    <cellStyle name="常规 5 2 2 3 2 2 3 2 2 2 2 2" xfId="27734"/>
    <cellStyle name="常规 5 2 2 3 2 2 3 2 2 2 3" xfId="27736"/>
    <cellStyle name="常规 5 2 2 3 2 2 3 2 2 2 4" xfId="25032"/>
    <cellStyle name="常规 5 2 2 3 2 2 3 2 2 3" xfId="21415"/>
    <cellStyle name="常规 5 2 2 3 2 2 3 2 2 3 2" xfId="27738"/>
    <cellStyle name="常规 5 2 2 3 2 2 3 2 2 4" xfId="27740"/>
    <cellStyle name="常规 5 2 2 3 2 2 3 2 2 5" xfId="27742"/>
    <cellStyle name="常规 5 2 2 3 2 2 3 2 3" xfId="22736"/>
    <cellStyle name="常规 5 2 2 3 2 2 3 2 3 2" xfId="21421"/>
    <cellStyle name="常规 5 2 2 3 2 2 3 2 3 2 2" xfId="381"/>
    <cellStyle name="常规 5 2 2 3 2 2 3 2 3 3" xfId="27744"/>
    <cellStyle name="常规 5 2 2 3 2 2 3 2 3 4" xfId="13846"/>
    <cellStyle name="常规 5 2 2 3 2 2 3 2 4" xfId="27746"/>
    <cellStyle name="常规 5 2 2 3 2 2 3 2 4 2" xfId="27749"/>
    <cellStyle name="常规 5 2 2 3 2 2 3 2 5" xfId="27751"/>
    <cellStyle name="常规 5 2 2 3 2 2 3 2 6" xfId="27753"/>
    <cellStyle name="常规 5 2 2 3 2 2 3 3" xfId="27755"/>
    <cellStyle name="常规 5 2 2 3 2 2 3 3 2" xfId="15789"/>
    <cellStyle name="常规 5 2 2 3 2 2 3 3 2 2" xfId="15793"/>
    <cellStyle name="常规 5 2 2 3 2 2 3 3 2 2 2" xfId="15798"/>
    <cellStyle name="常规 5 2 2 3 2 2 3 3 2 3" xfId="15823"/>
    <cellStyle name="常规 5 2 2 3 2 2 3 3 2 4" xfId="15837"/>
    <cellStyle name="常规 5 2 2 3 2 2 3 3 3" xfId="15865"/>
    <cellStyle name="常规 5 2 2 3 2 2 3 3 3 2" xfId="15869"/>
    <cellStyle name="常规 5 2 2 3 2 2 3 3 4" xfId="15899"/>
    <cellStyle name="常规 5 2 2 3 2 2 3 3 5" xfId="15915"/>
    <cellStyle name="常规 5 2 2 3 2 2 3 4" xfId="27757"/>
    <cellStyle name="常规 5 2 2 3 2 2 3 4 2" xfId="243"/>
    <cellStyle name="常规 5 2 2 3 2 2 3 4 2 2" xfId="27759"/>
    <cellStyle name="常规 5 2 2 3 2 2 3 4 3" xfId="4089"/>
    <cellStyle name="常规 5 2 2 3 2 2 3 4 4" xfId="27761"/>
    <cellStyle name="常规 5 2 2 3 2 2 3 5" xfId="27763"/>
    <cellStyle name="常规 5 2 2 3 2 2 3 5 2" xfId="5821"/>
    <cellStyle name="常规 5 2 2 3 2 2 3 6" xfId="27766"/>
    <cellStyle name="常规 5 2 2 3 2 2 3 7" xfId="27770"/>
    <cellStyle name="常规 5 2 2 3 2 2 4" xfId="27772"/>
    <cellStyle name="常规 5 2 2 3 2 2 4 2" xfId="27774"/>
    <cellStyle name="常规 5 2 2 3 2 2 4 2 2" xfId="27776"/>
    <cellStyle name="常规 5 2 2 3 2 2 4 2 2 2" xfId="21493"/>
    <cellStyle name="常规 5 2 2 3 2 2 4 2 2 2 2" xfId="27778"/>
    <cellStyle name="常规 5 2 2 3 2 2 4 2 2 3" xfId="27780"/>
    <cellStyle name="常规 5 2 2 3 2 2 4 2 2 4" xfId="27782"/>
    <cellStyle name="常规 5 2 2 3 2 2 4 2 3" xfId="27784"/>
    <cellStyle name="常规 5 2 2 3 2 2 4 2 3 2" xfId="27786"/>
    <cellStyle name="常规 5 2 2 3 2 2 4 2 4" xfId="27788"/>
    <cellStyle name="常规 5 2 2 3 2 2 4 2 5" xfId="27790"/>
    <cellStyle name="常规 5 2 2 3 2 2 4 3" xfId="27792"/>
    <cellStyle name="常规 5 2 2 3 2 2 4 3 2" xfId="27794"/>
    <cellStyle name="常规 5 2 2 3 2 2 4 3 2 2" xfId="27796"/>
    <cellStyle name="常规 5 2 2 3 2 2 4 3 3" xfId="923"/>
    <cellStyle name="常规 5 2 2 3 2 2 4 3 4" xfId="27798"/>
    <cellStyle name="常规 5 2 2 3 2 2 4 4" xfId="27800"/>
    <cellStyle name="常规 5 2 2 3 2 2 4 4 2" xfId="4644"/>
    <cellStyle name="常规 5 2 2 3 2 2 4 5" xfId="18031"/>
    <cellStyle name="常规 5 2 2 3 2 2 4 6" xfId="27803"/>
    <cellStyle name="常规 5 2 2 3 2 2 5" xfId="27805"/>
    <cellStyle name="常规 5 2 2 3 2 2 5 2" xfId="27807"/>
    <cellStyle name="常规 5 2 2 3 2 2 5 2 2" xfId="27809"/>
    <cellStyle name="常规 5 2 2 3 2 2 5 2 2 2" xfId="27811"/>
    <cellStyle name="常规 5 2 2 3 2 2 5 2 3" xfId="27813"/>
    <cellStyle name="常规 5 2 2 3 2 2 5 2 4" xfId="27815"/>
    <cellStyle name="常规 5 2 2 3 2 2 5 3" xfId="27817"/>
    <cellStyle name="常规 5 2 2 3 2 2 5 3 2" xfId="27819"/>
    <cellStyle name="常规 5 2 2 3 2 2 5 4" xfId="27821"/>
    <cellStyle name="常规 5 2 2 3 2 2 5 5" xfId="27823"/>
    <cellStyle name="常规 5 2 2 3 2 2 6" xfId="25261"/>
    <cellStyle name="常规 5 2 2 3 2 2 6 2" xfId="25265"/>
    <cellStyle name="常规 5 2 2 3 2 2 6 2 2" xfId="25270"/>
    <cellStyle name="常规 5 2 2 3 2 2 6 3" xfId="19408"/>
    <cellStyle name="常规 5 2 2 3 2 2 6 4" xfId="25305"/>
    <cellStyle name="常规 5 2 2 3 2 2 7" xfId="21996"/>
    <cellStyle name="常规 5 2 2 3 2 2 7 2" xfId="25315"/>
    <cellStyle name="常规 5 2 2 3 2 2 8" xfId="25333"/>
    <cellStyle name="常规 5 2 2 3 2 2 9" xfId="25345"/>
    <cellStyle name="常规 5 2 2 3 2 3" xfId="27825"/>
    <cellStyle name="常规 5 2 2 3 2 3 2" xfId="27827"/>
    <cellStyle name="常规 5 2 2 3 2 3 2 2" xfId="27829"/>
    <cellStyle name="常规 5 2 2 3 2 3 2 2 2" xfId="27831"/>
    <cellStyle name="常规 5 2 2 3 2 3 2 2 2 2" xfId="27833"/>
    <cellStyle name="常规 5 2 2 3 2 3 2 2 2 2 2" xfId="27835"/>
    <cellStyle name="常规 5 2 2 3 2 3 2 2 2 2 2 2" xfId="11891"/>
    <cellStyle name="常规 5 2 2 3 2 3 2 2 2 2 2 2 2" xfId="11894"/>
    <cellStyle name="常规 5 2 2 3 2 3 2 2 2 2 2 3" xfId="11943"/>
    <cellStyle name="常规 5 2 2 3 2 3 2 2 2 2 2 4" xfId="11963"/>
    <cellStyle name="常规 5 2 2 3 2 3 2 2 2 2 3" xfId="25702"/>
    <cellStyle name="常规 5 2 2 3 2 3 2 2 2 2 3 2" xfId="12040"/>
    <cellStyle name="常规 5 2 2 3 2 3 2 2 2 2 4" xfId="27837"/>
    <cellStyle name="常规 5 2 2 3 2 3 2 2 2 2 5" xfId="27839"/>
    <cellStyle name="常规 5 2 2 3 2 3 2 2 2 3" xfId="27841"/>
    <cellStyle name="常规 5 2 2 3 2 3 2 2 2 3 2" xfId="27843"/>
    <cellStyle name="常规 5 2 2 3 2 3 2 2 2 3 2 2" xfId="12405"/>
    <cellStyle name="常规 5 2 2 3 2 3 2 2 2 3 3" xfId="27844"/>
    <cellStyle name="常规 5 2 2 3 2 3 2 2 2 3 4" xfId="27845"/>
    <cellStyle name="常规 5 2 2 3 2 3 2 2 2 4" xfId="26049"/>
    <cellStyle name="常规 5 2 2 3 2 3 2 2 2 4 2" xfId="19602"/>
    <cellStyle name="常规 5 2 2 3 2 3 2 2 2 5" xfId="27847"/>
    <cellStyle name="常规 5 2 2 3 2 3 2 2 2 6" xfId="13456"/>
    <cellStyle name="常规 5 2 2 3 2 3 2 2 3" xfId="22749"/>
    <cellStyle name="常规 5 2 2 3 2 3 2 2 3 2" xfId="976"/>
    <cellStyle name="常规 5 2 2 3 2 3 2 2 3 2 2" xfId="27849"/>
    <cellStyle name="常规 5 2 2 3 2 3 2 2 3 2 2 2" xfId="14030"/>
    <cellStyle name="常规 5 2 2 3 2 3 2 2 3 2 3" xfId="27850"/>
    <cellStyle name="常规 5 2 2 3 2 3 2 2 3 2 4" xfId="27851"/>
    <cellStyle name="常规 5 2 2 3 2 3 2 2 3 3" xfId="979"/>
    <cellStyle name="常规 5 2 2 3 2 3 2 2 3 3 2" xfId="27852"/>
    <cellStyle name="常规 5 2 2 3 2 3 2 2 3 4" xfId="27854"/>
    <cellStyle name="常规 5 2 2 3 2 3 2 2 3 5" xfId="27855"/>
    <cellStyle name="常规 5 2 2 3 2 3 2 2 4" xfId="27857"/>
    <cellStyle name="常规 5 2 2 3 2 3 2 2 4 2" xfId="27859"/>
    <cellStyle name="常规 5 2 2 3 2 3 2 2 4 2 2" xfId="27860"/>
    <cellStyle name="常规 5 2 2 3 2 3 2 2 4 3" xfId="27861"/>
    <cellStyle name="常规 5 2 2 3 2 3 2 2 4 4" xfId="27862"/>
    <cellStyle name="常规 5 2 2 3 2 3 2 2 5" xfId="27864"/>
    <cellStyle name="常规 5 2 2 3 2 3 2 2 5 2" xfId="26570"/>
    <cellStyle name="常规 5 2 2 3 2 3 2 2 6" xfId="27866"/>
    <cellStyle name="常规 5 2 2 3 2 3 2 2 7" xfId="27867"/>
    <cellStyle name="常规 5 2 2 3 2 3 2 3" xfId="27869"/>
    <cellStyle name="常规 5 2 2 3 2 3 2 3 2" xfId="27871"/>
    <cellStyle name="常规 5 2 2 3 2 3 2 3 2 2" xfId="27873"/>
    <cellStyle name="常规 5 2 2 3 2 3 2 3 2 2 2" xfId="27876"/>
    <cellStyle name="常规 5 2 2 3 2 3 2 3 2 2 2 2" xfId="27877"/>
    <cellStyle name="常规 5 2 2 3 2 3 2 3 2 2 3" xfId="7088"/>
    <cellStyle name="常规 5 2 2 3 2 3 2 3 2 2 4" xfId="2743"/>
    <cellStyle name="常规 5 2 2 3 2 3 2 3 2 3" xfId="27879"/>
    <cellStyle name="常规 5 2 2 3 2 3 2 3 2 3 2" xfId="27880"/>
    <cellStyle name="常规 5 2 2 3 2 3 2 3 2 4" xfId="23003"/>
    <cellStyle name="常规 5 2 2 3 2 3 2 3 2 5" xfId="23005"/>
    <cellStyle name="常规 5 2 2 3 2 3 2 3 3" xfId="27882"/>
    <cellStyle name="常规 5 2 2 3 2 3 2 3 3 2" xfId="1052"/>
    <cellStyle name="常规 5 2 2 3 2 3 2 3 3 2 2" xfId="27883"/>
    <cellStyle name="常规 5 2 2 3 2 3 2 3 3 3" xfId="1063"/>
    <cellStyle name="常规 5 2 2 3 2 3 2 3 3 4" xfId="23012"/>
    <cellStyle name="常规 5 2 2 3 2 3 2 3 4" xfId="27885"/>
    <cellStyle name="常规 5 2 2 3 2 3 2 3 4 2" xfId="27886"/>
    <cellStyle name="常规 5 2 2 3 2 3 2 3 5" xfId="27888"/>
    <cellStyle name="常规 5 2 2 3 2 3 2 3 6" xfId="27890"/>
    <cellStyle name="常规 5 2 2 3 2 3 2 4" xfId="27892"/>
    <cellStyle name="常规 5 2 2 3 2 3 2 4 2" xfId="6819"/>
    <cellStyle name="常规 5 2 2 3 2 3 2 4 2 2" xfId="27894"/>
    <cellStyle name="常规 5 2 2 3 2 3 2 4 2 2 2" xfId="27896"/>
    <cellStyle name="常规 5 2 2 3 2 3 2 4 2 3" xfId="27897"/>
    <cellStyle name="常规 5 2 2 3 2 3 2 4 2 4" xfId="23024"/>
    <cellStyle name="常规 5 2 2 3 2 3 2 4 3" xfId="27899"/>
    <cellStyle name="常规 5 2 2 3 2 3 2 4 3 2" xfId="1106"/>
    <cellStyle name="常规 5 2 2 3 2 3 2 4 4" xfId="27901"/>
    <cellStyle name="常规 5 2 2 3 2 3 2 4 5" xfId="27902"/>
    <cellStyle name="常规 5 2 2 3 2 3 2 5" xfId="27904"/>
    <cellStyle name="常规 5 2 2 3 2 3 2 5 2" xfId="27906"/>
    <cellStyle name="常规 5 2 2 3 2 3 2 5 2 2" xfId="882"/>
    <cellStyle name="常规 5 2 2 3 2 3 2 5 3" xfId="27907"/>
    <cellStyle name="常规 5 2 2 3 2 3 2 5 4" xfId="27908"/>
    <cellStyle name="常规 5 2 2 3 2 3 2 6" xfId="27912"/>
    <cellStyle name="常规 5 2 2 3 2 3 2 6 2" xfId="27913"/>
    <cellStyle name="常规 5 2 2 3 2 3 2 7" xfId="27921"/>
    <cellStyle name="常规 5 2 2 3 2 3 2 8" xfId="27924"/>
    <cellStyle name="常规 5 2 2 3 2 3 3" xfId="27926"/>
    <cellStyle name="常规 5 2 2 3 2 3 3 2" xfId="27928"/>
    <cellStyle name="常规 5 2 2 3 2 3 3 2 2" xfId="27931"/>
    <cellStyle name="常规 5 2 2 3 2 3 3 2 2 2" xfId="21590"/>
    <cellStyle name="常规 5 2 2 3 2 3 3 2 2 2 2" xfId="27933"/>
    <cellStyle name="常规 5 2 2 3 2 3 3 2 2 2 2 2" xfId="24680"/>
    <cellStyle name="常规 5 2 2 3 2 3 3 2 2 2 3" xfId="27934"/>
    <cellStyle name="常规 5 2 2 3 2 3 3 2 2 2 4" xfId="27935"/>
    <cellStyle name="常规 5 2 2 3 2 3 3 2 2 3" xfId="27937"/>
    <cellStyle name="常规 5 2 2 3 2 3 3 2 2 3 2" xfId="27938"/>
    <cellStyle name="常规 5 2 2 3 2 3 3 2 2 4" xfId="27940"/>
    <cellStyle name="常规 5 2 2 3 2 3 3 2 2 5" xfId="27941"/>
    <cellStyle name="常规 5 2 2 3 2 3 3 2 3" xfId="27943"/>
    <cellStyle name="常规 5 2 2 3 2 3 3 2 3 2" xfId="27945"/>
    <cellStyle name="常规 5 2 2 3 2 3 3 2 3 2 2" xfId="27946"/>
    <cellStyle name="常规 5 2 2 3 2 3 3 2 3 3" xfId="27947"/>
    <cellStyle name="常规 5 2 2 3 2 3 3 2 3 4" xfId="27948"/>
    <cellStyle name="常规 5 2 2 3 2 3 3 2 4" xfId="7096"/>
    <cellStyle name="常规 5 2 2 3 2 3 3 2 4 2" xfId="407"/>
    <cellStyle name="常规 5 2 2 3 2 3 3 2 5" xfId="7103"/>
    <cellStyle name="常规 5 2 2 3 2 3 3 2 6" xfId="7155"/>
    <cellStyle name="常规 5 2 2 3 2 3 3 3" xfId="27950"/>
    <cellStyle name="常规 5 2 2 3 2 3 3 3 2" xfId="27952"/>
    <cellStyle name="常规 5 2 2 3 2 3 3 3 2 2" xfId="27954"/>
    <cellStyle name="常规 5 2 2 3 2 3 3 3 2 2 2" xfId="27956"/>
    <cellStyle name="常规 5 2 2 3 2 3 3 3 2 3" xfId="27957"/>
    <cellStyle name="常规 5 2 2 3 2 3 3 3 2 4" xfId="23044"/>
    <cellStyle name="常规 5 2 2 3 2 3 3 3 3" xfId="27959"/>
    <cellStyle name="常规 5 2 2 3 2 3 3 3 3 2" xfId="27960"/>
    <cellStyle name="常规 5 2 2 3 2 3 3 3 4" xfId="5098"/>
    <cellStyle name="常规 5 2 2 3 2 3 3 3 5" xfId="27961"/>
    <cellStyle name="常规 5 2 2 3 2 3 3 4" xfId="27963"/>
    <cellStyle name="常规 5 2 2 3 2 3 3 4 2" xfId="9496"/>
    <cellStyle name="常规 5 2 2 3 2 3 3 4 2 2" xfId="16507"/>
    <cellStyle name="常规 5 2 2 3 2 3 3 4 3" xfId="27964"/>
    <cellStyle name="常规 5 2 2 3 2 3 3 4 4" xfId="27965"/>
    <cellStyle name="常规 5 2 2 3 2 3 3 5" xfId="27967"/>
    <cellStyle name="常规 5 2 2 3 2 3 3 5 2" xfId="27968"/>
    <cellStyle name="常规 5 2 2 3 2 3 3 6" xfId="27972"/>
    <cellStyle name="常规 5 2 2 3 2 3 3 7" xfId="27974"/>
    <cellStyle name="常规 5 2 2 3 2 3 4" xfId="27977"/>
    <cellStyle name="常规 5 2 2 3 2 3 4 2" xfId="27979"/>
    <cellStyle name="常规 5 2 2 3 2 3 4 2 2" xfId="27981"/>
    <cellStyle name="常规 5 2 2 3 2 3 4 2 2 2" xfId="27983"/>
    <cellStyle name="常规 5 2 2 3 2 3 4 2 2 2 2" xfId="27984"/>
    <cellStyle name="常规 5 2 2 3 2 3 4 2 2 3" xfId="27985"/>
    <cellStyle name="常规 5 2 2 3 2 3 4 2 2 4" xfId="27986"/>
    <cellStyle name="常规 5 2 2 3 2 3 4 2 3" xfId="27988"/>
    <cellStyle name="常规 5 2 2 3 2 3 4 2 3 2" xfId="27989"/>
    <cellStyle name="常规 5 2 2 3 2 3 4 2 4" xfId="7159"/>
    <cellStyle name="常规 5 2 2 3 2 3 4 2 5" xfId="10324"/>
    <cellStyle name="常规 5 2 2 3 2 3 4 3" xfId="27991"/>
    <cellStyle name="常规 5 2 2 3 2 3 4 3 2" xfId="17180"/>
    <cellStyle name="常规 5 2 2 3 2 3 4 3 2 2" xfId="27992"/>
    <cellStyle name="常规 5 2 2 3 2 3 4 3 3" xfId="17181"/>
    <cellStyle name="常规 5 2 2 3 2 3 4 3 4" xfId="27993"/>
    <cellStyle name="常规 5 2 2 3 2 3 4 4" xfId="27995"/>
    <cellStyle name="常规 5 2 2 3 2 3 4 4 2" xfId="17185"/>
    <cellStyle name="常规 5 2 2 3 2 3 4 5" xfId="27997"/>
    <cellStyle name="常规 5 2 2 3 2 3 4 6" xfId="27999"/>
    <cellStyle name="常规 5 2 2 3 2 3 5" xfId="28001"/>
    <cellStyle name="常规 5 2 2 3 2 3 5 2" xfId="28003"/>
    <cellStyle name="常规 5 2 2 3 2 3 5 2 2" xfId="28005"/>
    <cellStyle name="常规 5 2 2 3 2 3 5 2 2 2" xfId="28007"/>
    <cellStyle name="常规 5 2 2 3 2 3 5 2 3" xfId="28008"/>
    <cellStyle name="常规 5 2 2 3 2 3 5 2 4" xfId="28009"/>
    <cellStyle name="常规 5 2 2 3 2 3 5 3" xfId="28011"/>
    <cellStyle name="常规 5 2 2 3 2 3 5 3 2" xfId="17194"/>
    <cellStyle name="常规 5 2 2 3 2 3 5 4" xfId="28013"/>
    <cellStyle name="常规 5 2 2 3 2 3 5 5" xfId="28014"/>
    <cellStyle name="常规 5 2 2 3 2 3 6" xfId="289"/>
    <cellStyle name="常规 5 2 2 3 2 3 6 2" xfId="25361"/>
    <cellStyle name="常规 5 2 2 3 2 3 6 2 2" xfId="25363"/>
    <cellStyle name="常规 5 2 2 3 2 3 6 3" xfId="25374"/>
    <cellStyle name="常规 5 2 2 3 2 3 6 4" xfId="25380"/>
    <cellStyle name="常规 5 2 2 3 2 3 7" xfId="25386"/>
    <cellStyle name="常规 5 2 2 3 2 3 7 2" xfId="25389"/>
    <cellStyle name="常规 5 2 2 3 2 3 8" xfId="25400"/>
    <cellStyle name="常规 5 2 2 3 2 3 9" xfId="25405"/>
    <cellStyle name="常规 5 2 2 3 2 4" xfId="28016"/>
    <cellStyle name="常规 5 2 2 3 2 4 2" xfId="13257"/>
    <cellStyle name="常规 5 2 2 3 2 4 2 2" xfId="28018"/>
    <cellStyle name="常规 5 2 2 3 2 4 2 2 2" xfId="28020"/>
    <cellStyle name="常规 5 2 2 3 2 4 2 2 2 2" xfId="28022"/>
    <cellStyle name="常规 5 2 2 3 2 4 2 2 2 2 2" xfId="28024"/>
    <cellStyle name="常规 5 2 2 3 2 4 2 2 2 2 2 2" xfId="28025"/>
    <cellStyle name="常规 5 2 2 3 2 4 2 2 2 2 3" xfId="28027"/>
    <cellStyle name="常规 5 2 2 3 2 4 2 2 2 2 4" xfId="28029"/>
    <cellStyle name="常规 5 2 2 3 2 4 2 2 2 3" xfId="28031"/>
    <cellStyle name="常规 5 2 2 3 2 4 2 2 2 3 2" xfId="28032"/>
    <cellStyle name="常规 5 2 2 3 2 4 2 2 2 4" xfId="377"/>
    <cellStyle name="常规 5 2 2 3 2 4 2 2 2 5" xfId="28033"/>
    <cellStyle name="常规 5 2 2 3 2 4 2 2 3" xfId="28034"/>
    <cellStyle name="常规 5 2 2 3 2 4 2 2 3 2" xfId="28037"/>
    <cellStyle name="常规 5 2 2 3 2 4 2 2 3 2 2" xfId="20499"/>
    <cellStyle name="常规 5 2 2 3 2 4 2 2 3 3" xfId="26197"/>
    <cellStyle name="常规 5 2 2 3 2 4 2 2 3 4" xfId="26199"/>
    <cellStyle name="常规 5 2 2 3 2 4 2 2 4" xfId="28040"/>
    <cellStyle name="常规 5 2 2 3 2 4 2 2 4 2" xfId="28043"/>
    <cellStyle name="常规 5 2 2 3 2 4 2 2 5" xfId="28044"/>
    <cellStyle name="常规 5 2 2 3 2 4 2 2 6" xfId="28048"/>
    <cellStyle name="常规 5 2 2 3 2 4 2 3" xfId="28050"/>
    <cellStyle name="常规 5 2 2 3 2 4 2 3 2" xfId="28052"/>
    <cellStyle name="常规 5 2 2 3 2 4 2 3 2 2" xfId="28054"/>
    <cellStyle name="常规 5 2 2 3 2 4 2 3 2 2 2" xfId="24715"/>
    <cellStyle name="常规 5 2 2 3 2 4 2 3 2 3" xfId="21195"/>
    <cellStyle name="常规 5 2 2 3 2 4 2 3 2 4" xfId="23189"/>
    <cellStyle name="常规 5 2 2 3 2 4 2 3 3" xfId="28055"/>
    <cellStyle name="常规 5 2 2 3 2 4 2 3 3 2" xfId="28058"/>
    <cellStyle name="常规 5 2 2 3 2 4 2 3 4" xfId="28060"/>
    <cellStyle name="常规 5 2 2 3 2 4 2 3 5" xfId="28061"/>
    <cellStyle name="常规 5 2 2 3 2 4 2 4" xfId="28063"/>
    <cellStyle name="常规 5 2 2 3 2 4 2 4 2" xfId="7012"/>
    <cellStyle name="常规 5 2 2 3 2 4 2 4 2 2" xfId="28064"/>
    <cellStyle name="常规 5 2 2 3 2 4 2 4 3" xfId="28065"/>
    <cellStyle name="常规 5 2 2 3 2 4 2 4 4" xfId="28066"/>
    <cellStyle name="常规 5 2 2 3 2 4 2 5" xfId="28068"/>
    <cellStyle name="常规 5 2 2 3 2 4 2 5 2" xfId="28069"/>
    <cellStyle name="常规 5 2 2 3 2 4 2 6" xfId="28074"/>
    <cellStyle name="常规 5 2 2 3 2 4 2 7" xfId="28077"/>
    <cellStyle name="常规 5 2 2 3 2 4 3" xfId="28079"/>
    <cellStyle name="常规 5 2 2 3 2 4 3 2" xfId="28081"/>
    <cellStyle name="常规 5 2 2 3 2 4 3 2 2" xfId="28083"/>
    <cellStyle name="常规 5 2 2 3 2 4 3 2 2 2" xfId="28085"/>
    <cellStyle name="常规 5 2 2 3 2 4 3 2 2 2 2" xfId="28086"/>
    <cellStyle name="常规 5 2 2 3 2 4 3 2 2 3" xfId="809"/>
    <cellStyle name="常规 5 2 2 3 2 4 3 2 2 4" xfId="22904"/>
    <cellStyle name="常规 5 2 2 3 2 4 3 2 3" xfId="28087"/>
    <cellStyle name="常规 5 2 2 3 2 4 3 2 3 2" xfId="28091"/>
    <cellStyle name="常规 5 2 2 3 2 4 3 2 4" xfId="6983"/>
    <cellStyle name="常规 5 2 2 3 2 4 3 2 5" xfId="28092"/>
    <cellStyle name="常规 5 2 2 3 2 4 3 3" xfId="28094"/>
    <cellStyle name="常规 5 2 2 3 2 4 3 3 2" xfId="28096"/>
    <cellStyle name="常规 5 2 2 3 2 4 3 3 2 2" xfId="28097"/>
    <cellStyle name="常规 5 2 2 3 2 4 3 3 3" xfId="28098"/>
    <cellStyle name="常规 5 2 2 3 2 4 3 3 4" xfId="28099"/>
    <cellStyle name="常规 5 2 2 3 2 4 3 4" xfId="8003"/>
    <cellStyle name="常规 5 2 2 3 2 4 3 4 2" xfId="8005"/>
    <cellStyle name="常规 5 2 2 3 2 4 3 5" xfId="8008"/>
    <cellStyle name="常规 5 2 2 3 2 4 3 6" xfId="5889"/>
    <cellStyle name="常规 5 2 2 3 2 4 4" xfId="28101"/>
    <cellStyle name="常规 5 2 2 3 2 4 4 2" xfId="28103"/>
    <cellStyle name="常规 5 2 2 3 2 4 4 2 2" xfId="28105"/>
    <cellStyle name="常规 5 2 2 3 2 4 4 2 2 2" xfId="28106"/>
    <cellStyle name="常规 5 2 2 3 2 4 4 2 3" xfId="28107"/>
    <cellStyle name="常规 5 2 2 3 2 4 4 2 4" xfId="28108"/>
    <cellStyle name="常规 5 2 2 3 2 4 4 3" xfId="28110"/>
    <cellStyle name="常规 5 2 2 3 2 4 4 3 2" xfId="17220"/>
    <cellStyle name="常规 5 2 2 3 2 4 4 4" xfId="8012"/>
    <cellStyle name="常规 5 2 2 3 2 4 4 5" xfId="28111"/>
    <cellStyle name="常规 5 2 2 3 2 4 5" xfId="28113"/>
    <cellStyle name="常规 5 2 2 3 2 4 5 2" xfId="28115"/>
    <cellStyle name="常规 5 2 2 3 2 4 5 2 2" xfId="5696"/>
    <cellStyle name="常规 5 2 2 3 2 4 5 3" xfId="28116"/>
    <cellStyle name="常规 5 2 2 3 2 4 5 4" xfId="18775"/>
    <cellStyle name="常规 5 2 2 3 2 4 6" xfId="25415"/>
    <cellStyle name="常规 5 2 2 3 2 4 6 2" xfId="25418"/>
    <cellStyle name="常规 5 2 2 3 2 4 7" xfId="25427"/>
    <cellStyle name="常规 5 2 2 3 2 4 8" xfId="25432"/>
    <cellStyle name="常规 5 2 2 3 2 5" xfId="28118"/>
    <cellStyle name="常规 5 2 2 3 2 5 2" xfId="28120"/>
    <cellStyle name="常规 5 2 2 3 2 5 2 2" xfId="28122"/>
    <cellStyle name="常规 5 2 2 3 2 5 2 2 2" xfId="28124"/>
    <cellStyle name="常规 5 2 2 3 2 5 2 2 2 2" xfId="24643"/>
    <cellStyle name="常规 5 2 2 3 2 5 2 2 2 2 2" xfId="24647"/>
    <cellStyle name="常规 5 2 2 3 2 5 2 2 2 3" xfId="24649"/>
    <cellStyle name="常规 5 2 2 3 2 5 2 2 2 4" xfId="11178"/>
    <cellStyle name="常规 5 2 2 3 2 5 2 2 3" xfId="14713"/>
    <cellStyle name="常规 5 2 2 3 2 5 2 2 3 2" xfId="24657"/>
    <cellStyle name="常规 5 2 2 3 2 5 2 2 4" xfId="28126"/>
    <cellStyle name="常规 5 2 2 3 2 5 2 2 5" xfId="1534"/>
    <cellStyle name="常规 5 2 2 3 2 5 2 3" xfId="28128"/>
    <cellStyle name="常规 5 2 2 3 2 5 2 3 2" xfId="28130"/>
    <cellStyle name="常规 5 2 2 3 2 5 2 3 2 2" xfId="24696"/>
    <cellStyle name="常规 5 2 2 3 2 5 2 3 3" xfId="28131"/>
    <cellStyle name="常规 5 2 2 3 2 5 2 3 4" xfId="28132"/>
    <cellStyle name="常规 5 2 2 3 2 5 2 4" xfId="28134"/>
    <cellStyle name="常规 5 2 2 3 2 5 2 4 2" xfId="28135"/>
    <cellStyle name="常规 5 2 2 3 2 5 2 5" xfId="28137"/>
    <cellStyle name="常规 5 2 2 3 2 5 2 6" xfId="28140"/>
    <cellStyle name="常规 5 2 2 3 2 5 3" xfId="28142"/>
    <cellStyle name="常规 5 2 2 3 2 5 3 2" xfId="28144"/>
    <cellStyle name="常规 5 2 2 3 2 5 3 2 2" xfId="6660"/>
    <cellStyle name="常规 5 2 2 3 2 5 3 2 2 2" xfId="24768"/>
    <cellStyle name="常规 5 2 2 3 2 5 3 2 3" xfId="6713"/>
    <cellStyle name="常规 5 2 2 3 2 5 3 2 4" xfId="12491"/>
    <cellStyle name="常规 5 2 2 3 2 5 3 3" xfId="28146"/>
    <cellStyle name="常规 5 2 2 3 2 5 3 3 2" xfId="1343"/>
    <cellStyle name="常规 5 2 2 3 2 5 3 4" xfId="8023"/>
    <cellStyle name="常规 5 2 2 3 2 5 3 5" xfId="28147"/>
    <cellStyle name="常规 5 2 2 3 2 5 4" xfId="28149"/>
    <cellStyle name="常规 5 2 2 3 2 5 4 2" xfId="28151"/>
    <cellStyle name="常规 5 2 2 3 2 5 4 2 2" xfId="6791"/>
    <cellStyle name="常规 5 2 2 3 2 5 4 3" xfId="28152"/>
    <cellStyle name="常规 5 2 2 3 2 5 4 4" xfId="28153"/>
    <cellStyle name="常规 5 2 2 3 2 5 5" xfId="18269"/>
    <cellStyle name="常规 5 2 2 3 2 5 5 2" xfId="18272"/>
    <cellStyle name="常规 5 2 2 3 2 5 6" xfId="18277"/>
    <cellStyle name="常规 5 2 2 3 2 5 7" xfId="18283"/>
    <cellStyle name="常规 5 2 2 3 2 6" xfId="28155"/>
    <cellStyle name="常规 5 2 2 3 2 6 2" xfId="28157"/>
    <cellStyle name="常规 5 2 2 3 2 6 2 2" xfId="28159"/>
    <cellStyle name="常规 5 2 2 3 2 6 2 2 2" xfId="28162"/>
    <cellStyle name="常规 5 2 2 3 2 6 2 2 2 2" xfId="24931"/>
    <cellStyle name="常规 5 2 2 3 2 6 2 2 3" xfId="28163"/>
    <cellStyle name="常规 5 2 2 3 2 6 2 2 4" xfId="28164"/>
    <cellStyle name="常规 5 2 2 3 2 6 2 3" xfId="28166"/>
    <cellStyle name="常规 5 2 2 3 2 6 2 3 2" xfId="28167"/>
    <cellStyle name="常规 5 2 2 3 2 6 2 4" xfId="28169"/>
    <cellStyle name="常规 5 2 2 3 2 6 2 5" xfId="28170"/>
    <cellStyle name="常规 5 2 2 3 2 6 3" xfId="14200"/>
    <cellStyle name="常规 5 2 2 3 2 6 3 2" xfId="14203"/>
    <cellStyle name="常规 5 2 2 3 2 6 3 2 2" xfId="6172"/>
    <cellStyle name="常规 5 2 2 3 2 6 3 3" xfId="14208"/>
    <cellStyle name="常规 5 2 2 3 2 6 3 4" xfId="14211"/>
    <cellStyle name="常规 5 2 2 3 2 6 4" xfId="14216"/>
    <cellStyle name="常规 5 2 2 3 2 6 4 2" xfId="14218"/>
    <cellStyle name="常规 5 2 2 3 2 6 5" xfId="14225"/>
    <cellStyle name="常规 5 2 2 3 2 6 6" xfId="14240"/>
    <cellStyle name="常规 5 2 2 3 2 7" xfId="28172"/>
    <cellStyle name="常规 5 2 2 3 2 7 2" xfId="28174"/>
    <cellStyle name="常规 5 2 2 3 2 7 2 2" xfId="28176"/>
    <cellStyle name="常规 5 2 2 3 2 7 2 2 2" xfId="10158"/>
    <cellStyle name="常规 5 2 2 3 2 7 2 3" xfId="28177"/>
    <cellStyle name="常规 5 2 2 3 2 7 2 4" xfId="28178"/>
    <cellStyle name="常规 5 2 2 3 2 7 3" xfId="14250"/>
    <cellStyle name="常规 5 2 2 3 2 7 3 2" xfId="14252"/>
    <cellStyle name="常规 5 2 2 3 2 7 4" xfId="14257"/>
    <cellStyle name="常规 5 2 2 3 2 7 5" xfId="14261"/>
    <cellStyle name="常规 5 2 2 3 2 8" xfId="28179"/>
    <cellStyle name="常规 5 2 2 3 2 8 2" xfId="28180"/>
    <cellStyle name="常规 5 2 2 3 2 8 2 2" xfId="28181"/>
    <cellStyle name="常规 5 2 2 3 2 8 3" xfId="14270"/>
    <cellStyle name="常规 5 2 2 3 2 8 4" xfId="14273"/>
    <cellStyle name="常规 5 2 2 3 2 9" xfId="28182"/>
    <cellStyle name="常规 5 2 2 3 2 9 2" xfId="28183"/>
    <cellStyle name="常规 5 2 2 3 3" xfId="28185"/>
    <cellStyle name="常规 5 2 2 3 3 2" xfId="28188"/>
    <cellStyle name="常规 5 2 2 3 3 2 2" xfId="28191"/>
    <cellStyle name="常规 5 2 2 3 3 2 2 2" xfId="18243"/>
    <cellStyle name="常规 5 2 2 3 3 2 2 2 2" xfId="18246"/>
    <cellStyle name="常规 5 2 2 3 3 2 2 2 2 2" xfId="139"/>
    <cellStyle name="常规 5 2 2 3 3 2 2 2 2 2 2" xfId="2193"/>
    <cellStyle name="常规 5 2 2 3 3 2 2 2 2 2 2 2" xfId="18249"/>
    <cellStyle name="常规 5 2 2 3 3 2 2 2 2 2 3" xfId="18266"/>
    <cellStyle name="常规 5 2 2 3 3 2 2 2 2 2 4" xfId="18301"/>
    <cellStyle name="常规 5 2 2 3 3 2 2 2 2 3" xfId="18327"/>
    <cellStyle name="常规 5 2 2 3 3 2 2 2 2 3 2" xfId="18330"/>
    <cellStyle name="常规 5 2 2 3 3 2 2 2 2 4" xfId="18366"/>
    <cellStyle name="常规 5 2 2 3 3 2 2 2 2 5" xfId="18377"/>
    <cellStyle name="常规 5 2 2 3 3 2 2 2 3" xfId="18391"/>
    <cellStyle name="常规 5 2 2 3 3 2 2 2 3 2" xfId="3652"/>
    <cellStyle name="常规 5 2 2 3 3 2 2 2 3 2 2" xfId="665"/>
    <cellStyle name="常规 5 2 2 3 3 2 2 2 3 3" xfId="18424"/>
    <cellStyle name="常规 5 2 2 3 3 2 2 2 3 4" xfId="18435"/>
    <cellStyle name="常规 5 2 2 3 3 2 2 2 4" xfId="3627"/>
    <cellStyle name="常规 5 2 2 3 3 2 2 2 4 2" xfId="15964"/>
    <cellStyle name="常规 5 2 2 3 3 2 2 2 5" xfId="15968"/>
    <cellStyle name="常规 5 2 2 3 3 2 2 2 6" xfId="7313"/>
    <cellStyle name="常规 5 2 2 3 3 2 2 3" xfId="18500"/>
    <cellStyle name="常规 5 2 2 3 3 2 2 3 2" xfId="18503"/>
    <cellStyle name="常规 5 2 2 3 3 2 2 3 2 2" xfId="1491"/>
    <cellStyle name="常规 5 2 2 3 3 2 2 3 2 2 2" xfId="18507"/>
    <cellStyle name="常规 5 2 2 3 3 2 2 3 2 3" xfId="18540"/>
    <cellStyle name="常规 5 2 2 3 3 2 2 3 2 4" xfId="18555"/>
    <cellStyle name="常规 5 2 2 3 3 2 2 3 3" xfId="18576"/>
    <cellStyle name="常规 5 2 2 3 3 2 2 3 3 2" xfId="3702"/>
    <cellStyle name="常规 5 2 2 3 3 2 2 3 4" xfId="15972"/>
    <cellStyle name="常规 5 2 2 3 3 2 2 3 5" xfId="18614"/>
    <cellStyle name="常规 5 2 2 3 3 2 2 4" xfId="18626"/>
    <cellStyle name="常规 5 2 2 3 3 2 2 4 2" xfId="1623"/>
    <cellStyle name="常规 5 2 2 3 3 2 2 4 2 2" xfId="18630"/>
    <cellStyle name="常规 5 2 2 3 3 2 2 4 3" xfId="18679"/>
    <cellStyle name="常规 5 2 2 3 3 2 2 4 4" xfId="18698"/>
    <cellStyle name="常规 5 2 2 3 3 2 2 5" xfId="18710"/>
    <cellStyle name="常规 5 2 2 3 3 2 2 5 2" xfId="18713"/>
    <cellStyle name="常规 5 2 2 3 3 2 2 6" xfId="18744"/>
    <cellStyle name="常规 5 2 2 3 3 2 2 7" xfId="28197"/>
    <cellStyle name="常规 5 2 2 3 3 2 3" xfId="28199"/>
    <cellStyle name="常规 5 2 2 3 3 2 3 2" xfId="19683"/>
    <cellStyle name="常规 5 2 2 3 3 2 3 2 2" xfId="19686"/>
    <cellStyle name="常规 5 2 2 3 3 2 3 2 2 2" xfId="19690"/>
    <cellStyle name="常规 5 2 2 3 3 2 3 2 2 2 2" xfId="19693"/>
    <cellStyle name="常规 5 2 2 3 3 2 3 2 2 3" xfId="19727"/>
    <cellStyle name="常规 5 2 2 3 3 2 3 2 2 4" xfId="9847"/>
    <cellStyle name="常规 5 2 2 3 3 2 3 2 3" xfId="19752"/>
    <cellStyle name="常规 5 2 2 3 3 2 3 2 3 2" xfId="263"/>
    <cellStyle name="常规 5 2 2 3 3 2 3 2 4" xfId="15994"/>
    <cellStyle name="常规 5 2 2 3 3 2 3 2 5" xfId="19798"/>
    <cellStyle name="常规 5 2 2 3 3 2 3 3" xfId="19808"/>
    <cellStyle name="常规 5 2 2 3 3 2 3 3 2" xfId="19811"/>
    <cellStyle name="常规 5 2 2 3 3 2 3 3 2 2" xfId="4143"/>
    <cellStyle name="常规 5 2 2 3 3 2 3 3 3" xfId="19843"/>
    <cellStyle name="常规 5 2 2 3 3 2 3 3 4" xfId="19857"/>
    <cellStyle name="常规 5 2 2 3 3 2 3 4" xfId="19871"/>
    <cellStyle name="常规 5 2 2 3 3 2 3 4 2" xfId="19875"/>
    <cellStyle name="常规 5 2 2 3 3 2 3 5" xfId="19918"/>
    <cellStyle name="常规 5 2 2 3 3 2 3 6" xfId="19934"/>
    <cellStyle name="常规 5 2 2 3 3 2 4" xfId="28201"/>
    <cellStyle name="常规 5 2 2 3 3 2 4 2" xfId="28203"/>
    <cellStyle name="常规 5 2 2 3 3 2 4 2 2" xfId="4193"/>
    <cellStyle name="常规 5 2 2 3 3 2 4 2 2 2" xfId="4199"/>
    <cellStyle name="常规 5 2 2 3 3 2 4 2 3" xfId="3693"/>
    <cellStyle name="常规 5 2 2 3 3 2 4 2 4" xfId="3698"/>
    <cellStyle name="常规 5 2 2 3 3 2 4 3" xfId="28205"/>
    <cellStyle name="常规 5 2 2 3 3 2 4 3 2" xfId="13130"/>
    <cellStyle name="常规 5 2 2 3 3 2 4 4" xfId="28207"/>
    <cellStyle name="常规 5 2 2 3 3 2 4 5" xfId="28209"/>
    <cellStyle name="常规 5 2 2 3 3 2 5" xfId="28211"/>
    <cellStyle name="常规 5 2 2 3 3 2 5 2" xfId="28213"/>
    <cellStyle name="常规 5 2 2 3 3 2 5 2 2" xfId="13158"/>
    <cellStyle name="常规 5 2 2 3 3 2 5 3" xfId="28215"/>
    <cellStyle name="常规 5 2 2 3 3 2 5 4" xfId="28217"/>
    <cellStyle name="常规 5 2 2 3 3 2 6" xfId="25467"/>
    <cellStyle name="常规 5 2 2 3 3 2 6 2" xfId="12601"/>
    <cellStyle name="常规 5 2 2 3 3 2 7" xfId="25479"/>
    <cellStyle name="常规 5 2 2 3 3 2 8" xfId="6968"/>
    <cellStyle name="常规 5 2 2 3 3 3" xfId="3030"/>
    <cellStyle name="常规 5 2 2 3 3 3 2" xfId="25768"/>
    <cellStyle name="常规 5 2 2 3 3 3 2 2" xfId="28219"/>
    <cellStyle name="常规 5 2 2 3 3 3 2 2 2" xfId="28221"/>
    <cellStyle name="常规 5 2 2 3 3 3 2 2 2 2" xfId="28223"/>
    <cellStyle name="常规 5 2 2 3 3 3 2 2 2 2 2" xfId="28225"/>
    <cellStyle name="常规 5 2 2 3 3 3 2 2 2 3" xfId="28227"/>
    <cellStyle name="常规 5 2 2 3 3 3 2 2 2 4" xfId="28229"/>
    <cellStyle name="常规 5 2 2 3 3 3 2 2 3" xfId="28231"/>
    <cellStyle name="常规 5 2 2 3 3 3 2 2 3 2" xfId="28233"/>
    <cellStyle name="常规 5 2 2 3 3 3 2 2 4" xfId="2142"/>
    <cellStyle name="常规 5 2 2 3 3 3 2 2 5" xfId="8237"/>
    <cellStyle name="常规 5 2 2 3 3 3 2 3" xfId="28235"/>
    <cellStyle name="常规 5 2 2 3 3 3 2 3 2" xfId="28237"/>
    <cellStyle name="常规 5 2 2 3 3 3 2 3 2 2" xfId="28239"/>
    <cellStyle name="常规 5 2 2 3 3 3 2 3 3" xfId="28241"/>
    <cellStyle name="常规 5 2 2 3 3 3 2 3 4" xfId="8241"/>
    <cellStyle name="常规 5 2 2 3 3 3 2 4" xfId="28243"/>
    <cellStyle name="常规 5 2 2 3 3 3 2 4 2" xfId="7804"/>
    <cellStyle name="常规 5 2 2 3 3 3 2 5" xfId="28245"/>
    <cellStyle name="常规 5 2 2 3 3 3 2 6" xfId="28249"/>
    <cellStyle name="常规 5 2 2 3 3 3 3" xfId="25771"/>
    <cellStyle name="常规 5 2 2 3 3 3 3 2" xfId="28251"/>
    <cellStyle name="常规 5 2 2 3 3 3 3 2 2" xfId="28253"/>
    <cellStyle name="常规 5 2 2 3 3 3 3 2 2 2" xfId="24724"/>
    <cellStyle name="常规 5 2 2 3 3 3 3 2 3" xfId="28255"/>
    <cellStyle name="常规 5 2 2 3 3 3 3 2 4" xfId="255"/>
    <cellStyle name="常规 5 2 2 3 3 3 3 3" xfId="28257"/>
    <cellStyle name="常规 5 2 2 3 3 3 3 3 2" xfId="28259"/>
    <cellStyle name="常规 5 2 2 3 3 3 3 4" xfId="28261"/>
    <cellStyle name="常规 5 2 2 3 3 3 3 5" xfId="28263"/>
    <cellStyle name="常规 5 2 2 3 3 3 4" xfId="28265"/>
    <cellStyle name="常规 5 2 2 3 3 3 4 2" xfId="28267"/>
    <cellStyle name="常规 5 2 2 3 3 3 4 2 2" xfId="13230"/>
    <cellStyle name="常规 5 2 2 3 3 3 4 3" xfId="28269"/>
    <cellStyle name="常规 5 2 2 3 3 3 4 4" xfId="28271"/>
    <cellStyle name="常规 5 2 2 3 3 3 5" xfId="28273"/>
    <cellStyle name="常规 5 2 2 3 3 3 5 2" xfId="28276"/>
    <cellStyle name="常规 5 2 2 3 3 3 6" xfId="25490"/>
    <cellStyle name="常规 5 2 2 3 3 3 7" xfId="25501"/>
    <cellStyle name="常规 5 2 2 3 3 4" xfId="28279"/>
    <cellStyle name="常规 5 2 2 3 3 4 2" xfId="25774"/>
    <cellStyle name="常规 5 2 2 3 3 4 2 2" xfId="28282"/>
    <cellStyle name="常规 5 2 2 3 3 4 2 2 2" xfId="28285"/>
    <cellStyle name="常规 5 2 2 3 3 4 2 2 2 2" xfId="28288"/>
    <cellStyle name="常规 5 2 2 3 3 4 2 2 3" xfId="28290"/>
    <cellStyle name="常规 5 2 2 3 3 4 2 2 4" xfId="8248"/>
    <cellStyle name="常规 5 2 2 3 3 4 2 3" xfId="28295"/>
    <cellStyle name="常规 5 2 2 3 3 4 2 3 2" xfId="28298"/>
    <cellStyle name="常规 5 2 2 3 3 4 2 4" xfId="28301"/>
    <cellStyle name="常规 5 2 2 3 3 4 2 5" xfId="28304"/>
    <cellStyle name="常规 5 2 2 3 3 4 3" xfId="28306"/>
    <cellStyle name="常规 5 2 2 3 3 4 3 2" xfId="28309"/>
    <cellStyle name="常规 5 2 2 3 3 4 3 2 2" xfId="28312"/>
    <cellStyle name="常规 5 2 2 3 3 4 3 3" xfId="28315"/>
    <cellStyle name="常规 5 2 2 3 3 4 3 4" xfId="8043"/>
    <cellStyle name="常规 5 2 2 3 3 4 4" xfId="8959"/>
    <cellStyle name="常规 5 2 2 3 3 4 4 2" xfId="8963"/>
    <cellStyle name="常规 5 2 2 3 3 4 5" xfId="8976"/>
    <cellStyle name="常规 5 2 2 3 3 4 6" xfId="8984"/>
    <cellStyle name="常规 5 2 2 3 3 5" xfId="14280"/>
    <cellStyle name="常规 5 2 2 3 3 5 2" xfId="28317"/>
    <cellStyle name="常规 5 2 2 3 3 5 2 2" xfId="28320"/>
    <cellStyle name="常规 5 2 2 3 3 5 2 2 2" xfId="28323"/>
    <cellStyle name="常规 5 2 2 3 3 5 2 3" xfId="28326"/>
    <cellStyle name="常规 5 2 2 3 3 5 2 4" xfId="28329"/>
    <cellStyle name="常规 5 2 2 3 3 5 3" xfId="28331"/>
    <cellStyle name="常规 5 2 2 3 3 5 3 2" xfId="28334"/>
    <cellStyle name="常规 5 2 2 3 3 5 4" xfId="8995"/>
    <cellStyle name="常规 5 2 2 3 3 5 5" xfId="9008"/>
    <cellStyle name="常规 5 2 2 3 3 6" xfId="28336"/>
    <cellStyle name="常规 5 2 2 3 3 6 2" xfId="28338"/>
    <cellStyle name="常规 5 2 2 3 3 6 2 2" xfId="28341"/>
    <cellStyle name="常规 5 2 2 3 3 6 3" xfId="9716"/>
    <cellStyle name="常规 5 2 2 3 3 6 4" xfId="9020"/>
    <cellStyle name="常规 5 2 2 3 3 7" xfId="28343"/>
    <cellStyle name="常规 5 2 2 3 3 7 2" xfId="28345"/>
    <cellStyle name="常规 5 2 2 3 3 8" xfId="28346"/>
    <cellStyle name="常规 5 2 2 3 3 9" xfId="28347"/>
    <cellStyle name="常规 5 2 2 3 4" xfId="28349"/>
    <cellStyle name="常规 5 2 2 3 4 2" xfId="28352"/>
    <cellStyle name="常规 5 2 2 3 4 2 2" xfId="28354"/>
    <cellStyle name="常规 5 2 2 3 4 2 2 2" xfId="10509"/>
    <cellStyle name="常规 5 2 2 3 4 2 2 2 2" xfId="10512"/>
    <cellStyle name="常规 5 2 2 3 4 2 2 2 2 2" xfId="10516"/>
    <cellStyle name="常规 5 2 2 3 4 2 2 2 2 2 2" xfId="334"/>
    <cellStyle name="常规 5 2 2 3 4 2 2 2 2 2 2 2" xfId="28355"/>
    <cellStyle name="常规 5 2 2 3 4 2 2 2 2 2 3" xfId="28356"/>
    <cellStyle name="常规 5 2 2 3 4 2 2 2 2 2 4" xfId="16535"/>
    <cellStyle name="常规 5 2 2 3 4 2 2 2 2 3" xfId="10519"/>
    <cellStyle name="常规 5 2 2 3 4 2 2 2 2 3 2" xfId="28357"/>
    <cellStyle name="常规 5 2 2 3 4 2 2 2 2 4" xfId="10521"/>
    <cellStyle name="常规 5 2 2 3 4 2 2 2 2 5" xfId="28358"/>
    <cellStyle name="常规 5 2 2 3 4 2 2 2 3" xfId="10524"/>
    <cellStyle name="常规 5 2 2 3 4 2 2 2 3 2" xfId="10527"/>
    <cellStyle name="常规 5 2 2 3 4 2 2 2 3 2 2" xfId="28359"/>
    <cellStyle name="常规 5 2 2 3 4 2 2 2 3 3" xfId="28360"/>
    <cellStyle name="常规 5 2 2 3 4 2 2 2 3 4" xfId="28361"/>
    <cellStyle name="常规 5 2 2 3 4 2 2 2 4" xfId="1334"/>
    <cellStyle name="常规 5 2 2 3 4 2 2 2 4 2" xfId="16039"/>
    <cellStyle name="常规 5 2 2 3 4 2 2 2 5" xfId="10529"/>
    <cellStyle name="常规 5 2 2 3 4 2 2 2 6" xfId="16042"/>
    <cellStyle name="常规 5 2 2 3 4 2 2 3" xfId="10534"/>
    <cellStyle name="常规 5 2 2 3 4 2 2 3 2" xfId="10538"/>
    <cellStyle name="常规 5 2 2 3 4 2 2 3 2 2" xfId="10543"/>
    <cellStyle name="常规 5 2 2 3 4 2 2 3 2 2 2" xfId="28362"/>
    <cellStyle name="常规 5 2 2 3 4 2 2 3 2 3" xfId="28365"/>
    <cellStyle name="常规 5 2 2 3 4 2 2 3 2 4" xfId="28367"/>
    <cellStyle name="常规 5 2 2 3 4 2 2 3 3" xfId="10546"/>
    <cellStyle name="常规 5 2 2 3 4 2 2 3 3 2" xfId="28369"/>
    <cellStyle name="常规 5 2 2 3 4 2 2 3 4" xfId="10549"/>
    <cellStyle name="常规 5 2 2 3 4 2 2 3 5" xfId="28371"/>
    <cellStyle name="常规 5 2 2 3 4 2 2 4" xfId="10555"/>
    <cellStyle name="常规 5 2 2 3 4 2 2 4 2" xfId="8489"/>
    <cellStyle name="常规 5 2 2 3 4 2 2 4 2 2" xfId="28373"/>
    <cellStyle name="常规 5 2 2 3 4 2 2 4 3" xfId="28375"/>
    <cellStyle name="常规 5 2 2 3 4 2 2 4 4" xfId="28377"/>
    <cellStyle name="常规 5 2 2 3 4 2 2 5" xfId="10560"/>
    <cellStyle name="常规 5 2 2 3 4 2 2 5 2" xfId="28379"/>
    <cellStyle name="常规 5 2 2 3 4 2 2 6" xfId="3038"/>
    <cellStyle name="常规 5 2 2 3 4 2 2 7" xfId="27468"/>
    <cellStyle name="常规 5 2 2 3 4 2 3" xfId="27623"/>
    <cellStyle name="常规 5 2 2 3 4 2 3 2" xfId="10595"/>
    <cellStyle name="常规 5 2 2 3 4 2 3 2 2" xfId="10598"/>
    <cellStyle name="常规 5 2 2 3 4 2 3 2 2 2" xfId="10601"/>
    <cellStyle name="常规 5 2 2 3 4 2 3 2 2 2 2" xfId="28381"/>
    <cellStyle name="常规 5 2 2 3 4 2 3 2 2 3" xfId="28382"/>
    <cellStyle name="常规 5 2 2 3 4 2 3 2 2 4" xfId="16023"/>
    <cellStyle name="常规 5 2 2 3 4 2 3 2 3" xfId="10603"/>
    <cellStyle name="常规 5 2 2 3 4 2 3 2 3 2" xfId="28383"/>
    <cellStyle name="常规 5 2 2 3 4 2 3 2 4" xfId="10605"/>
    <cellStyle name="常规 5 2 2 3 4 2 3 2 5" xfId="28384"/>
    <cellStyle name="常规 5 2 2 3 4 2 3 3" xfId="10610"/>
    <cellStyle name="常规 5 2 2 3 4 2 3 3 2" xfId="10613"/>
    <cellStyle name="常规 5 2 2 3 4 2 3 3 2 2" xfId="22400"/>
    <cellStyle name="常规 5 2 2 3 4 2 3 3 3" xfId="28385"/>
    <cellStyle name="常规 5 2 2 3 4 2 3 3 4" xfId="28387"/>
    <cellStyle name="常规 5 2 2 3 4 2 3 4" xfId="10617"/>
    <cellStyle name="常规 5 2 2 3 4 2 3 4 2" xfId="28389"/>
    <cellStyle name="常规 5 2 2 3 4 2 3 5" xfId="10620"/>
    <cellStyle name="常规 5 2 2 3 4 2 3 6" xfId="28392"/>
    <cellStyle name="常规 5 2 2 3 4 2 4" xfId="28396"/>
    <cellStyle name="常规 5 2 2 3 4 2 4 2" xfId="10645"/>
    <cellStyle name="常规 5 2 2 3 4 2 4 2 2" xfId="4693"/>
    <cellStyle name="常规 5 2 2 3 4 2 4 2 2 2" xfId="4697"/>
    <cellStyle name="常规 5 2 2 3 4 2 4 2 3" xfId="4706"/>
    <cellStyle name="常规 5 2 2 3 4 2 4 2 4" xfId="4710"/>
    <cellStyle name="常规 5 2 2 3 4 2 4 3" xfId="10647"/>
    <cellStyle name="常规 5 2 2 3 4 2 4 3 2" xfId="4747"/>
    <cellStyle name="常规 5 2 2 3 4 2 4 4" xfId="10650"/>
    <cellStyle name="常规 5 2 2 3 4 2 4 5" xfId="28397"/>
    <cellStyle name="常规 5 2 2 3 4 2 5" xfId="28401"/>
    <cellStyle name="常规 5 2 2 3 4 2 5 2" xfId="10664"/>
    <cellStyle name="常规 5 2 2 3 4 2 5 2 2" xfId="2324"/>
    <cellStyle name="常规 5 2 2 3 4 2 5 3" xfId="10666"/>
    <cellStyle name="常规 5 2 2 3 4 2 5 4" xfId="28402"/>
    <cellStyle name="常规 5 2 2 3 4 2 6" xfId="25528"/>
    <cellStyle name="常规 5 2 2 3 4 2 6 2" xfId="10681"/>
    <cellStyle name="常规 5 2 2 3 4 2 7" xfId="25535"/>
    <cellStyle name="常规 5 2 2 3 4 2 8" xfId="7000"/>
    <cellStyle name="常规 5 2 2 3 4 3" xfId="28404"/>
    <cellStyle name="常规 5 2 2 3 4 3 2" xfId="25787"/>
    <cellStyle name="常规 5 2 2 3 4 3 2 2" xfId="10796"/>
    <cellStyle name="常规 5 2 2 3 4 3 2 2 2" xfId="10799"/>
    <cellStyle name="常规 5 2 2 3 4 3 2 2 2 2" xfId="10801"/>
    <cellStyle name="常规 5 2 2 3 4 3 2 2 2 2 2" xfId="9758"/>
    <cellStyle name="常规 5 2 2 3 4 3 2 2 2 3" xfId="10804"/>
    <cellStyle name="常规 5 2 2 3 4 3 2 2 2 4" xfId="10807"/>
    <cellStyle name="常规 5 2 2 3 4 3 2 2 3" xfId="10809"/>
    <cellStyle name="常规 5 2 2 3 4 3 2 2 3 2" xfId="10811"/>
    <cellStyle name="常规 5 2 2 3 4 3 2 2 4" xfId="8270"/>
    <cellStyle name="常规 5 2 2 3 4 3 2 2 5" xfId="10814"/>
    <cellStyle name="常规 5 2 2 3 4 3 2 3" xfId="10817"/>
    <cellStyle name="常规 5 2 2 3 4 3 2 3 2" xfId="2251"/>
    <cellStyle name="常规 5 2 2 3 4 3 2 3 2 2" xfId="10820"/>
    <cellStyle name="常规 5 2 2 3 4 3 2 3 3" xfId="2258"/>
    <cellStyle name="常规 5 2 2 3 4 3 2 3 4" xfId="4151"/>
    <cellStyle name="常规 5 2 2 3 4 3 2 4" xfId="10825"/>
    <cellStyle name="常规 5 2 2 3 4 3 2 4 2" xfId="10828"/>
    <cellStyle name="常规 5 2 2 3 4 3 2 5" xfId="10831"/>
    <cellStyle name="常规 5 2 2 3 4 3 2 6" xfId="10834"/>
    <cellStyle name="常规 5 2 2 3 4 3 3" xfId="28406"/>
    <cellStyle name="常规 5 2 2 3 4 3 3 2" xfId="10896"/>
    <cellStyle name="常规 5 2 2 3 4 3 3 2 2" xfId="10898"/>
    <cellStyle name="常规 5 2 2 3 4 3 3 2 2 2" xfId="10901"/>
    <cellStyle name="常规 5 2 2 3 4 3 3 2 3" xfId="10904"/>
    <cellStyle name="常规 5 2 2 3 4 3 3 2 4" xfId="10906"/>
    <cellStyle name="常规 5 2 2 3 4 3 3 3" xfId="3780"/>
    <cellStyle name="常规 5 2 2 3 4 3 3 3 2" xfId="10909"/>
    <cellStyle name="常规 5 2 2 3 4 3 3 4" xfId="10912"/>
    <cellStyle name="常规 5 2 2 3 4 3 3 5" xfId="10915"/>
    <cellStyle name="常规 5 2 2 3 4 3 4" xfId="17019"/>
    <cellStyle name="常规 5 2 2 3 4 3 4 2" xfId="10944"/>
    <cellStyle name="常规 5 2 2 3 4 3 4 2 2" xfId="1047"/>
    <cellStyle name="常规 5 2 2 3 4 3 4 3" xfId="10947"/>
    <cellStyle name="常规 5 2 2 3 4 3 4 4" xfId="10951"/>
    <cellStyle name="常规 5 2 2 3 4 3 5" xfId="17022"/>
    <cellStyle name="常规 5 2 2 3 4 3 5 2" xfId="10964"/>
    <cellStyle name="常规 5 2 2 3 4 3 6" xfId="17026"/>
    <cellStyle name="常规 5 2 2 3 4 3 7" xfId="17030"/>
    <cellStyle name="常规 5 2 2 3 4 4" xfId="28408"/>
    <cellStyle name="常规 5 2 2 3 4 4 2" xfId="28410"/>
    <cellStyle name="常规 5 2 2 3 4 4 2 2" xfId="11065"/>
    <cellStyle name="常规 5 2 2 3 4 4 2 2 2" xfId="11068"/>
    <cellStyle name="常规 5 2 2 3 4 4 2 2 2 2" xfId="11071"/>
    <cellStyle name="常规 5 2 2 3 4 4 2 2 3" xfId="11074"/>
    <cellStyle name="常规 5 2 2 3 4 4 2 2 4" xfId="11077"/>
    <cellStyle name="常规 5 2 2 3 4 4 2 3" xfId="11080"/>
    <cellStyle name="常规 5 2 2 3 4 4 2 3 2" xfId="11084"/>
    <cellStyle name="常规 5 2 2 3 4 4 2 4" xfId="11089"/>
    <cellStyle name="常规 5 2 2 3 4 4 2 5" xfId="11093"/>
    <cellStyle name="常规 5 2 2 3 4 4 3" xfId="28412"/>
    <cellStyle name="常规 5 2 2 3 4 4 3 2" xfId="11132"/>
    <cellStyle name="常规 5 2 2 3 4 4 3 2 2" xfId="11135"/>
    <cellStyle name="常规 5 2 2 3 4 4 3 3" xfId="11138"/>
    <cellStyle name="常规 5 2 2 3 4 4 3 4" xfId="11142"/>
    <cellStyle name="常规 5 2 2 3 4 4 4" xfId="9050"/>
    <cellStyle name="常规 5 2 2 3 4 4 4 2" xfId="2548"/>
    <cellStyle name="常规 5 2 2 3 4 4 5" xfId="9058"/>
    <cellStyle name="常规 5 2 2 3 4 4 6" xfId="9066"/>
    <cellStyle name="常规 5 2 2 3 4 5" xfId="28414"/>
    <cellStyle name="常规 5 2 2 3 4 5 2" xfId="28416"/>
    <cellStyle name="常规 5 2 2 3 4 5 2 2" xfId="11223"/>
    <cellStyle name="常规 5 2 2 3 4 5 2 2 2" xfId="11226"/>
    <cellStyle name="常规 5 2 2 3 4 5 2 3" xfId="11229"/>
    <cellStyle name="常规 5 2 2 3 4 5 2 4" xfId="11233"/>
    <cellStyle name="常规 5 2 2 3 4 5 3" xfId="28417"/>
    <cellStyle name="常规 5 2 2 3 4 5 3 2" xfId="11254"/>
    <cellStyle name="常规 5 2 2 3 4 5 4" xfId="9071"/>
    <cellStyle name="常规 5 2 2 3 4 5 5" xfId="9077"/>
    <cellStyle name="常规 5 2 2 3 4 6" xfId="28419"/>
    <cellStyle name="常规 5 2 2 3 4 6 2" xfId="28420"/>
    <cellStyle name="常规 5 2 2 3 4 6 2 2" xfId="11300"/>
    <cellStyle name="常规 5 2 2 3 4 6 3" xfId="14300"/>
    <cellStyle name="常规 5 2 2 3 4 6 4" xfId="9084"/>
    <cellStyle name="常规 5 2 2 3 4 7" xfId="28422"/>
    <cellStyle name="常规 5 2 2 3 4 7 2" xfId="28423"/>
    <cellStyle name="常规 5 2 2 3 4 8" xfId="28424"/>
    <cellStyle name="常规 5 2 2 3 4 9" xfId="28425"/>
    <cellStyle name="常规 5 2 2 3 5" xfId="18802"/>
    <cellStyle name="常规 5 2 2 3 5 2" xfId="8619"/>
    <cellStyle name="常规 5 2 2 3 5 2 2" xfId="28427"/>
    <cellStyle name="常规 5 2 2 3 5 2 2 2" xfId="11571"/>
    <cellStyle name="常规 5 2 2 3 5 2 2 2 2" xfId="11574"/>
    <cellStyle name="常规 5 2 2 3 5 2 2 2 2 2" xfId="11577"/>
    <cellStyle name="常规 5 2 2 3 5 2 2 2 2 2 2" xfId="11579"/>
    <cellStyle name="常规 5 2 2 3 5 2 2 2 2 3" xfId="11581"/>
    <cellStyle name="常规 5 2 2 3 5 2 2 2 2 4" xfId="11584"/>
    <cellStyle name="常规 5 2 2 3 5 2 2 2 3" xfId="11587"/>
    <cellStyle name="常规 5 2 2 3 5 2 2 2 3 2" xfId="11589"/>
    <cellStyle name="常规 5 2 2 3 5 2 2 2 4" xfId="11592"/>
    <cellStyle name="常规 5 2 2 3 5 2 2 2 5" xfId="11596"/>
    <cellStyle name="常规 5 2 2 3 5 2 2 3" xfId="11599"/>
    <cellStyle name="常规 5 2 2 3 5 2 2 3 2" xfId="11604"/>
    <cellStyle name="常规 5 2 2 3 5 2 2 3 2 2" xfId="11608"/>
    <cellStyle name="常规 5 2 2 3 5 2 2 3 3" xfId="11612"/>
    <cellStyle name="常规 5 2 2 3 5 2 2 3 4" xfId="11616"/>
    <cellStyle name="常规 5 2 2 3 5 2 2 4" xfId="11621"/>
    <cellStyle name="常规 5 2 2 3 5 2 2 4 2" xfId="11625"/>
    <cellStyle name="常规 5 2 2 3 5 2 2 5" xfId="11630"/>
    <cellStyle name="常规 5 2 2 3 5 2 2 6" xfId="11634"/>
    <cellStyle name="常规 5 2 2 3 5 2 3" xfId="28429"/>
    <cellStyle name="常规 5 2 2 3 5 2 3 2" xfId="11713"/>
    <cellStyle name="常规 5 2 2 3 5 2 3 2 2" xfId="11717"/>
    <cellStyle name="常规 5 2 2 3 5 2 3 2 2 2" xfId="11721"/>
    <cellStyle name="常规 5 2 2 3 5 2 3 2 3" xfId="11724"/>
    <cellStyle name="常规 5 2 2 3 5 2 3 2 4" xfId="11727"/>
    <cellStyle name="常规 5 2 2 3 5 2 3 3" xfId="11730"/>
    <cellStyle name="常规 5 2 2 3 5 2 3 3 2" xfId="11735"/>
    <cellStyle name="常规 5 2 2 3 5 2 3 4" xfId="11742"/>
    <cellStyle name="常规 5 2 2 3 5 2 3 5" xfId="11748"/>
    <cellStyle name="常规 5 2 2 3 5 2 4" xfId="28431"/>
    <cellStyle name="常规 5 2 2 3 5 2 4 2" xfId="11769"/>
    <cellStyle name="常规 5 2 2 3 5 2 4 2 2" xfId="3464"/>
    <cellStyle name="常规 5 2 2 3 5 2 4 3" xfId="11771"/>
    <cellStyle name="常规 5 2 2 3 5 2 4 4" xfId="11777"/>
    <cellStyle name="常规 5 2 2 3 5 2 5" xfId="28433"/>
    <cellStyle name="常规 5 2 2 3 5 2 5 2" xfId="11791"/>
    <cellStyle name="常规 5 2 2 3 5 2 6" xfId="25554"/>
    <cellStyle name="常规 5 2 2 3 5 2 7" xfId="25557"/>
    <cellStyle name="常规 5 2 2 3 5 3" xfId="28435"/>
    <cellStyle name="常规 5 2 2 3 5 3 2" xfId="28438"/>
    <cellStyle name="常规 5 2 2 3 5 3 2 2" xfId="11862"/>
    <cellStyle name="常规 5 2 2 3 5 3 2 2 2" xfId="11865"/>
    <cellStyle name="常规 5 2 2 3 5 3 2 2 2 2" xfId="11867"/>
    <cellStyle name="常规 5 2 2 3 5 3 2 2 3" xfId="11869"/>
    <cellStyle name="常规 5 2 2 3 5 3 2 2 4" xfId="11871"/>
    <cellStyle name="常规 5 2 2 3 5 3 2 3" xfId="11874"/>
    <cellStyle name="常规 5 2 2 3 5 3 2 3 2" xfId="11878"/>
    <cellStyle name="常规 5 2 2 3 5 3 2 4" xfId="11883"/>
    <cellStyle name="常规 5 2 2 3 5 3 2 5" xfId="11887"/>
    <cellStyle name="常规 5 2 2 3 5 3 3" xfId="28440"/>
    <cellStyle name="常规 5 2 2 3 5 3 3 2" xfId="11932"/>
    <cellStyle name="常规 5 2 2 3 5 3 3 2 2" xfId="2002"/>
    <cellStyle name="常规 5 2 2 3 5 3 3 3" xfId="11934"/>
    <cellStyle name="常规 5 2 2 3 5 3 3 4" xfId="11942"/>
    <cellStyle name="常规 5 2 2 3 5 3 4" xfId="17035"/>
    <cellStyle name="常规 5 2 2 3 5 3 4 2" xfId="11958"/>
    <cellStyle name="常规 5 2 2 3 5 3 5" xfId="17038"/>
    <cellStyle name="常规 5 2 2 3 5 3 6" xfId="17042"/>
    <cellStyle name="常规 5 2 2 3 5 4" xfId="28443"/>
    <cellStyle name="常规 5 2 2 3 5 4 2" xfId="28445"/>
    <cellStyle name="常规 5 2 2 3 5 4 2 2" xfId="12026"/>
    <cellStyle name="常规 5 2 2 3 5 4 2 2 2" xfId="12029"/>
    <cellStyle name="常规 5 2 2 3 5 4 2 3" xfId="12032"/>
    <cellStyle name="常规 5 2 2 3 5 4 2 4" xfId="12039"/>
    <cellStyle name="常规 5 2 2 3 5 4 3" xfId="28447"/>
    <cellStyle name="常规 5 2 2 3 5 4 3 2" xfId="12068"/>
    <cellStyle name="常规 5 2 2 3 5 4 4" xfId="9091"/>
    <cellStyle name="常规 5 2 2 3 5 4 5" xfId="9099"/>
    <cellStyle name="常规 5 2 2 3 5 5" xfId="28449"/>
    <cellStyle name="常规 5 2 2 3 5 5 2" xfId="28451"/>
    <cellStyle name="常规 5 2 2 3 5 5 2 2" xfId="12124"/>
    <cellStyle name="常规 5 2 2 3 5 5 3" xfId="28452"/>
    <cellStyle name="常规 5 2 2 3 5 5 4" xfId="9104"/>
    <cellStyle name="常规 5 2 2 3 5 6" xfId="28453"/>
    <cellStyle name="常规 5 2 2 3 5 6 2" xfId="28456"/>
    <cellStyle name="常规 5 2 2 3 5 7" xfId="28458"/>
    <cellStyle name="常规 5 2 2 3 5 8" xfId="28461"/>
    <cellStyle name="常规 5 2 2 3 6" xfId="28465"/>
    <cellStyle name="常规 5 2 2 3 6 2" xfId="28468"/>
    <cellStyle name="常规 5 2 2 3 6 2 2" xfId="28470"/>
    <cellStyle name="常规 5 2 2 3 6 2 2 2" xfId="12342"/>
    <cellStyle name="常规 5 2 2 3 6 2 2 2 2" xfId="12345"/>
    <cellStyle name="常规 5 2 2 3 6 2 2 2 2 2" xfId="28471"/>
    <cellStyle name="常规 5 2 2 3 6 2 2 2 3" xfId="28472"/>
    <cellStyle name="常规 5 2 2 3 6 2 2 2 4" xfId="28473"/>
    <cellStyle name="常规 5 2 2 3 6 2 2 3" xfId="12348"/>
    <cellStyle name="常规 5 2 2 3 6 2 2 3 2" xfId="28474"/>
    <cellStyle name="常规 5 2 2 3 6 2 2 4" xfId="12354"/>
    <cellStyle name="常规 5 2 2 3 6 2 2 5" xfId="28479"/>
    <cellStyle name="常规 5 2 2 3 6 2 3" xfId="28484"/>
    <cellStyle name="常规 5 2 2 3 6 2 3 2" xfId="12370"/>
    <cellStyle name="常规 5 2 2 3 6 2 3 2 2" xfId="28485"/>
    <cellStyle name="常规 5 2 2 3 6 2 3 3" xfId="12372"/>
    <cellStyle name="常规 5 2 2 3 6 2 3 4" xfId="28489"/>
    <cellStyle name="常规 5 2 2 3 6 2 4" xfId="28491"/>
    <cellStyle name="常规 5 2 2 3 6 2 4 2" xfId="12381"/>
    <cellStyle name="常规 5 2 2 3 6 2 5" xfId="5203"/>
    <cellStyle name="常规 5 2 2 3 6 2 6" xfId="24754"/>
    <cellStyle name="常规 5 2 2 3 6 3" xfId="28494"/>
    <cellStyle name="常规 5 2 2 3 6 3 2" xfId="28496"/>
    <cellStyle name="常规 5 2 2 3 6 3 2 2" xfId="12399"/>
    <cellStyle name="常规 5 2 2 3 6 3 2 2 2" xfId="28497"/>
    <cellStyle name="常规 5 2 2 3 6 3 2 3" xfId="12401"/>
    <cellStyle name="常规 5 2 2 3 6 3 2 4" xfId="28500"/>
    <cellStyle name="常规 5 2 2 3 6 3 3" xfId="28502"/>
    <cellStyle name="常规 5 2 2 3 6 3 3 2" xfId="12411"/>
    <cellStyle name="常规 5 2 2 3 6 3 4" xfId="17047"/>
    <cellStyle name="常规 5 2 2 3 6 3 5" xfId="28504"/>
    <cellStyle name="常规 5 2 2 3 6 4" xfId="28506"/>
    <cellStyle name="常规 5 2 2 3 6 4 2" xfId="28508"/>
    <cellStyle name="常规 5 2 2 3 6 4 2 2" xfId="12428"/>
    <cellStyle name="常规 5 2 2 3 6 4 3" xfId="28510"/>
    <cellStyle name="常规 5 2 2 3 6 4 4" xfId="9112"/>
    <cellStyle name="常规 5 2 2 3 6 5" xfId="28512"/>
    <cellStyle name="常规 5 2 2 3 6 5 2" xfId="28513"/>
    <cellStyle name="常规 5 2 2 3 6 6" xfId="28514"/>
    <cellStyle name="常规 5 2 2 3 6 7" xfId="28517"/>
    <cellStyle name="常规 5 2 2 3 7" xfId="21474"/>
    <cellStyle name="常规 5 2 2 3 7 2" xfId="28520"/>
    <cellStyle name="常规 5 2 2 3 7 2 2" xfId="28522"/>
    <cellStyle name="常规 5 2 2 3 7 2 2 2" xfId="6068"/>
    <cellStyle name="常规 5 2 2 3 7 2 2 2 2" xfId="12623"/>
    <cellStyle name="常规 5 2 2 3 7 2 2 3" xfId="12625"/>
    <cellStyle name="常规 5 2 2 3 7 2 2 4" xfId="12634"/>
    <cellStyle name="常规 5 2 2 3 7 2 3" xfId="28524"/>
    <cellStyle name="常规 5 2 2 3 7 2 3 2" xfId="12647"/>
    <cellStyle name="常规 5 2 2 3 7 2 4" xfId="28526"/>
    <cellStyle name="常规 5 2 2 3 7 2 5" xfId="28528"/>
    <cellStyle name="常规 5 2 2 3 7 3" xfId="28530"/>
    <cellStyle name="常规 5 2 2 3 7 3 2" xfId="28532"/>
    <cellStyle name="常规 5 2 2 3 7 3 2 2" xfId="12678"/>
    <cellStyle name="常规 5 2 2 3 7 3 3" xfId="28533"/>
    <cellStyle name="常规 5 2 2 3 7 3 4" xfId="28534"/>
    <cellStyle name="常规 5 2 2 3 7 4" xfId="28536"/>
    <cellStyle name="常规 5 2 2 3 7 4 2" xfId="28537"/>
    <cellStyle name="常规 5 2 2 3 7 5" xfId="28539"/>
    <cellStyle name="常规 5 2 2 3 7 6" xfId="28540"/>
    <cellStyle name="常规 5 2 2 3 8" xfId="28542"/>
    <cellStyle name="常规 5 2 2 3 8 2" xfId="28544"/>
    <cellStyle name="常规 5 2 2 3 8 2 2" xfId="28546"/>
    <cellStyle name="常规 5 2 2 3 8 2 2 2" xfId="12853"/>
    <cellStyle name="常规 5 2 2 3 8 2 3" xfId="28547"/>
    <cellStyle name="常规 5 2 2 3 8 2 4" xfId="27606"/>
    <cellStyle name="常规 5 2 2 3 8 3" xfId="28549"/>
    <cellStyle name="常规 5 2 2 3 8 3 2" xfId="28550"/>
    <cellStyle name="常规 5 2 2 3 8 4" xfId="28552"/>
    <cellStyle name="常规 5 2 2 3 8 5" xfId="28553"/>
    <cellStyle name="常规 5 2 2 3 9" xfId="28554"/>
    <cellStyle name="常规 5 2 2 3 9 2" xfId="28556"/>
    <cellStyle name="常规 5 2 2 3 9 2 2" xfId="21991"/>
    <cellStyle name="常规 5 2 2 3 9 3" xfId="28559"/>
    <cellStyle name="常规 5 2 2 3 9 4" xfId="28560"/>
    <cellStyle name="常规 5 2 2 4" xfId="15918"/>
    <cellStyle name="常规 5 2 2 4 10" xfId="28561"/>
    <cellStyle name="常规 5 2 2 4 11" xfId="17728"/>
    <cellStyle name="常规 5 2 2 4 2" xfId="15920"/>
    <cellStyle name="常规 5 2 2 4 2 2" xfId="28563"/>
    <cellStyle name="常规 5 2 2 4 2 2 2" xfId="28565"/>
    <cellStyle name="常规 5 2 2 4 2 2 2 2" xfId="28567"/>
    <cellStyle name="常规 5 2 2 4 2 2 2 2 2" xfId="19889"/>
    <cellStyle name="常规 5 2 2 4 2 2 2 2 2 2" xfId="28570"/>
    <cellStyle name="常规 5 2 2 4 2 2 2 2 2 2 2" xfId="23991"/>
    <cellStyle name="常规 5 2 2 4 2 2 2 2 2 2 2 2" xfId="23995"/>
    <cellStyle name="常规 5 2 2 4 2 2 2 2 2 2 3" xfId="23999"/>
    <cellStyle name="常规 5 2 2 4 2 2 2 2 2 2 4" xfId="24003"/>
    <cellStyle name="常规 5 2 2 4 2 2 2 2 2 3" xfId="28574"/>
    <cellStyle name="常规 5 2 2 4 2 2 2 2 2 3 2" xfId="24019"/>
    <cellStyle name="常规 5 2 2 4 2 2 2 2 2 4" xfId="5104"/>
    <cellStyle name="常规 5 2 2 4 2 2 2 2 2 5" xfId="17172"/>
    <cellStyle name="常规 5 2 2 4 2 2 2 2 3" xfId="19895"/>
    <cellStyle name="常规 5 2 2 4 2 2 2 2 3 2" xfId="28578"/>
    <cellStyle name="常规 5 2 2 4 2 2 2 2 3 2 2" xfId="24187"/>
    <cellStyle name="常规 5 2 2 4 2 2 2 2 3 3" xfId="28581"/>
    <cellStyle name="常规 5 2 2 4 2 2 2 2 3 4" xfId="28584"/>
    <cellStyle name="常规 5 2 2 4 2 2 2 2 4" xfId="28589"/>
    <cellStyle name="常规 5 2 2 4 2 2 2 2 4 2" xfId="5954"/>
    <cellStyle name="常规 5 2 2 4 2 2 2 2 5" xfId="28594"/>
    <cellStyle name="常规 5 2 2 4 2 2 2 2 6" xfId="28598"/>
    <cellStyle name="常规 5 2 2 4 2 2 2 3" xfId="28600"/>
    <cellStyle name="常规 5 2 2 4 2 2 2 3 2" xfId="21796"/>
    <cellStyle name="常规 5 2 2 4 2 2 2 3 2 2" xfId="28603"/>
    <cellStyle name="常规 5 2 2 4 2 2 2 3 2 2 2" xfId="28608"/>
    <cellStyle name="常规 5 2 2 4 2 2 2 3 2 3" xfId="28612"/>
    <cellStyle name="常规 5 2 2 4 2 2 2 3 2 4" xfId="28616"/>
    <cellStyle name="常规 5 2 2 4 2 2 2 3 3" xfId="28620"/>
    <cellStyle name="常规 5 2 2 4 2 2 2 3 3 2" xfId="28623"/>
    <cellStyle name="常规 5 2 2 4 2 2 2 3 4" xfId="28627"/>
    <cellStyle name="常规 5 2 2 4 2 2 2 3 5" xfId="28630"/>
    <cellStyle name="常规 5 2 2 4 2 2 2 4" xfId="28632"/>
    <cellStyle name="常规 5 2 2 4 2 2 2 4 2" xfId="28635"/>
    <cellStyle name="常规 5 2 2 4 2 2 2 4 2 2" xfId="28638"/>
    <cellStyle name="常规 5 2 2 4 2 2 2 4 3" xfId="28641"/>
    <cellStyle name="常规 5 2 2 4 2 2 2 4 4" xfId="28644"/>
    <cellStyle name="常规 5 2 2 4 2 2 2 5" xfId="28647"/>
    <cellStyle name="常规 5 2 2 4 2 2 2 5 2" xfId="28651"/>
    <cellStyle name="常规 5 2 2 4 2 2 2 6" xfId="28655"/>
    <cellStyle name="常规 5 2 2 4 2 2 2 7" xfId="28661"/>
    <cellStyle name="常规 5 2 2 4 2 2 3" xfId="28663"/>
    <cellStyle name="常规 5 2 2 4 2 2 3 2" xfId="28665"/>
    <cellStyle name="常规 5 2 2 4 2 2 3 2 2" xfId="21831"/>
    <cellStyle name="常规 5 2 2 4 2 2 3 2 2 2" xfId="28668"/>
    <cellStyle name="常规 5 2 2 4 2 2 3 2 2 2 2" xfId="28671"/>
    <cellStyle name="常规 5 2 2 4 2 2 3 2 2 3" xfId="28674"/>
    <cellStyle name="常规 5 2 2 4 2 2 3 2 2 4" xfId="28677"/>
    <cellStyle name="常规 5 2 2 4 2 2 3 2 3" xfId="28681"/>
    <cellStyle name="常规 5 2 2 4 2 2 3 2 3 2" xfId="28683"/>
    <cellStyle name="常规 5 2 2 4 2 2 3 2 4" xfId="28687"/>
    <cellStyle name="常规 5 2 2 4 2 2 3 2 5" xfId="28689"/>
    <cellStyle name="常规 5 2 2 4 2 2 3 3" xfId="28691"/>
    <cellStyle name="常规 5 2 2 4 2 2 3 3 2" xfId="28694"/>
    <cellStyle name="常规 5 2 2 4 2 2 3 3 2 2" xfId="28696"/>
    <cellStyle name="常规 5 2 2 4 2 2 3 3 3" xfId="28699"/>
    <cellStyle name="常规 5 2 2 4 2 2 3 3 4" xfId="28701"/>
    <cellStyle name="常规 5 2 2 4 2 2 3 4" xfId="28703"/>
    <cellStyle name="常规 5 2 2 4 2 2 3 4 2" xfId="28706"/>
    <cellStyle name="常规 5 2 2 4 2 2 3 5" xfId="28709"/>
    <cellStyle name="常规 5 2 2 4 2 2 3 6" xfId="28712"/>
    <cellStyle name="常规 5 2 2 4 2 2 4" xfId="28714"/>
    <cellStyle name="常规 5 2 2 4 2 2 4 2" xfId="28716"/>
    <cellStyle name="常规 5 2 2 4 2 2 4 2 2" xfId="28719"/>
    <cellStyle name="常规 5 2 2 4 2 2 4 2 2 2" xfId="28722"/>
    <cellStyle name="常规 5 2 2 4 2 2 4 2 3" xfId="28725"/>
    <cellStyle name="常规 5 2 2 4 2 2 4 2 4" xfId="28728"/>
    <cellStyle name="常规 5 2 2 4 2 2 4 3" xfId="28730"/>
    <cellStyle name="常规 5 2 2 4 2 2 4 3 2" xfId="28733"/>
    <cellStyle name="常规 5 2 2 4 2 2 4 4" xfId="28735"/>
    <cellStyle name="常规 5 2 2 4 2 2 4 5" xfId="28737"/>
    <cellStyle name="常规 5 2 2 4 2 2 5" xfId="28739"/>
    <cellStyle name="常规 5 2 2 4 2 2 5 2" xfId="28742"/>
    <cellStyle name="常规 5 2 2 4 2 2 5 2 2" xfId="28746"/>
    <cellStyle name="常规 5 2 2 4 2 2 5 3" xfId="28749"/>
    <cellStyle name="常规 5 2 2 4 2 2 5 4" xfId="28752"/>
    <cellStyle name="常规 5 2 2 4 2 2 6" xfId="25572"/>
    <cellStyle name="常规 5 2 2 4 2 2 6 2" xfId="25577"/>
    <cellStyle name="常规 5 2 2 4 2 2 7" xfId="25608"/>
    <cellStyle name="常规 5 2 2 4 2 2 8" xfId="25622"/>
    <cellStyle name="常规 5 2 2 4 2 3" xfId="28754"/>
    <cellStyle name="常规 5 2 2 4 2 3 2" xfId="28756"/>
    <cellStyle name="常规 5 2 2 4 2 3 2 2" xfId="28758"/>
    <cellStyle name="常规 5 2 2 4 2 3 2 2 2" xfId="21905"/>
    <cellStyle name="常规 5 2 2 4 2 3 2 2 2 2" xfId="28761"/>
    <cellStyle name="常规 5 2 2 4 2 3 2 2 2 2 2" xfId="28764"/>
    <cellStyle name="常规 5 2 2 4 2 3 2 2 2 3" xfId="593"/>
    <cellStyle name="常规 5 2 2 4 2 3 2 2 2 4" xfId="19781"/>
    <cellStyle name="常规 5 2 2 4 2 3 2 2 3" xfId="28768"/>
    <cellStyle name="常规 5 2 2 4 2 3 2 2 3 2" xfId="28770"/>
    <cellStyle name="常规 5 2 2 4 2 3 2 2 4" xfId="28774"/>
    <cellStyle name="常规 5 2 2 4 2 3 2 2 5" xfId="28776"/>
    <cellStyle name="常规 5 2 2 4 2 3 2 3" xfId="28778"/>
    <cellStyle name="常规 5 2 2 4 2 3 2 3 2" xfId="16645"/>
    <cellStyle name="常规 5 2 2 4 2 3 2 3 2 2" xfId="28782"/>
    <cellStyle name="常规 5 2 2 4 2 3 2 3 3" xfId="16649"/>
    <cellStyle name="常规 5 2 2 4 2 3 2 3 4" xfId="28784"/>
    <cellStyle name="常规 5 2 2 4 2 3 2 4" xfId="28786"/>
    <cellStyle name="常规 5 2 2 4 2 3 2 4 2" xfId="28789"/>
    <cellStyle name="常规 5 2 2 4 2 3 2 5" xfId="27541"/>
    <cellStyle name="常规 5 2 2 4 2 3 2 6" xfId="27549"/>
    <cellStyle name="常规 5 2 2 4 2 3 3" xfId="28791"/>
    <cellStyle name="常规 5 2 2 4 2 3 3 2" xfId="28793"/>
    <cellStyle name="常规 5 2 2 4 2 3 3 2 2" xfId="28796"/>
    <cellStyle name="常规 5 2 2 4 2 3 3 2 2 2" xfId="96"/>
    <cellStyle name="常规 5 2 2 4 2 3 3 2 3" xfId="28799"/>
    <cellStyle name="常规 5 2 2 4 2 3 3 2 4" xfId="1754"/>
    <cellStyle name="常规 5 2 2 4 2 3 3 3" xfId="28801"/>
    <cellStyle name="常规 5 2 2 4 2 3 3 3 2" xfId="1681"/>
    <cellStyle name="常规 5 2 2 4 2 3 3 4" xfId="28803"/>
    <cellStyle name="常规 5 2 2 4 2 3 3 5" xfId="27556"/>
    <cellStyle name="常规 5 2 2 4 2 3 4" xfId="28805"/>
    <cellStyle name="常规 5 2 2 4 2 3 4 2" xfId="28807"/>
    <cellStyle name="常规 5 2 2 4 2 3 4 2 2" xfId="28811"/>
    <cellStyle name="常规 5 2 2 4 2 3 4 3" xfId="28813"/>
    <cellStyle name="常规 5 2 2 4 2 3 4 4" xfId="28815"/>
    <cellStyle name="常规 5 2 2 4 2 3 5" xfId="28817"/>
    <cellStyle name="常规 5 2 2 4 2 3 5 2" xfId="28819"/>
    <cellStyle name="常规 5 2 2 4 2 3 6" xfId="25645"/>
    <cellStyle name="常规 5 2 2 4 2 3 7" xfId="25672"/>
    <cellStyle name="常规 5 2 2 4 2 4" xfId="28821"/>
    <cellStyle name="常规 5 2 2 4 2 4 2" xfId="28823"/>
    <cellStyle name="常规 5 2 2 4 2 4 2 2" xfId="28825"/>
    <cellStyle name="常规 5 2 2 4 2 4 2 2 2" xfId="24729"/>
    <cellStyle name="常规 5 2 2 4 2 4 2 2 2 2" xfId="20582"/>
    <cellStyle name="常规 5 2 2 4 2 4 2 2 3" xfId="24731"/>
    <cellStyle name="常规 5 2 2 4 2 4 2 2 4" xfId="24737"/>
    <cellStyle name="常规 5 2 2 4 2 4 2 3" xfId="28827"/>
    <cellStyle name="常规 5 2 2 4 2 4 2 3 2" xfId="24815"/>
    <cellStyle name="常规 5 2 2 4 2 4 2 4" xfId="8446"/>
    <cellStyle name="常规 5 2 2 4 2 4 2 5" xfId="8454"/>
    <cellStyle name="常规 5 2 2 4 2 4 3" xfId="28829"/>
    <cellStyle name="常规 5 2 2 4 2 4 3 2" xfId="28831"/>
    <cellStyle name="常规 5 2 2 4 2 4 3 2 2" xfId="24982"/>
    <cellStyle name="常规 5 2 2 4 2 4 3 3" xfId="28833"/>
    <cellStyle name="常规 5 2 2 4 2 4 3 4" xfId="8115"/>
    <cellStyle name="常规 5 2 2 4 2 4 4" xfId="28835"/>
    <cellStyle name="常规 5 2 2 4 2 4 4 2" xfId="28837"/>
    <cellStyle name="常规 5 2 2 4 2 4 5" xfId="28839"/>
    <cellStyle name="常规 5 2 2 4 2 4 6" xfId="25692"/>
    <cellStyle name="常规 5 2 2 4 2 5" xfId="28841"/>
    <cellStyle name="常规 5 2 2 4 2 5 2" xfId="28843"/>
    <cellStyle name="常规 5 2 2 4 2 5 2 2" xfId="28845"/>
    <cellStyle name="常规 5 2 2 4 2 5 2 2 2" xfId="25354"/>
    <cellStyle name="常规 5 2 2 4 2 5 2 3" xfId="28847"/>
    <cellStyle name="常规 5 2 2 4 2 5 2 4" xfId="8470"/>
    <cellStyle name="常规 5 2 2 4 2 5 3" xfId="28850"/>
    <cellStyle name="常规 5 2 2 4 2 5 3 2" xfId="28852"/>
    <cellStyle name="常规 5 2 2 4 2 5 4" xfId="28854"/>
    <cellStyle name="常规 5 2 2 4 2 5 5" xfId="18345"/>
    <cellStyle name="常规 5 2 2 4 2 6" xfId="28857"/>
    <cellStyle name="常规 5 2 2 4 2 6 2" xfId="28859"/>
    <cellStyle name="常规 5 2 2 4 2 6 2 2" xfId="28861"/>
    <cellStyle name="常规 5 2 2 4 2 6 3" xfId="14399"/>
    <cellStyle name="常规 5 2 2 4 2 6 4" xfId="14405"/>
    <cellStyle name="常规 5 2 2 4 2 7" xfId="28864"/>
    <cellStyle name="常规 5 2 2 4 2 7 2" xfId="28867"/>
    <cellStyle name="常规 5 2 2 4 2 8" xfId="22214"/>
    <cellStyle name="常规 5 2 2 4 2 9" xfId="22219"/>
    <cellStyle name="常规 5 2 2 4 3" xfId="28869"/>
    <cellStyle name="常规 5 2 2 4 3 2" xfId="28873"/>
    <cellStyle name="常规 5 2 2 4 3 2 2" xfId="6144"/>
    <cellStyle name="常规 5 2 2 4 3 2 2 2" xfId="28877"/>
    <cellStyle name="常规 5 2 2 4 3 2 2 2 2" xfId="22048"/>
    <cellStyle name="常规 5 2 2 4 3 2 2 2 2 2" xfId="1687"/>
    <cellStyle name="常规 5 2 2 4 3 2 2 2 2 2 2" xfId="28878"/>
    <cellStyle name="常规 5 2 2 4 3 2 2 2 2 2 2 2" xfId="28879"/>
    <cellStyle name="常规 5 2 2 4 3 2 2 2 2 2 3" xfId="28881"/>
    <cellStyle name="常规 5 2 2 4 3 2 2 2 2 2 4" xfId="18599"/>
    <cellStyle name="常规 5 2 2 4 3 2 2 2 2 3" xfId="25112"/>
    <cellStyle name="常规 5 2 2 4 3 2 2 2 2 3 2" xfId="20362"/>
    <cellStyle name="常规 5 2 2 4 3 2 2 2 2 4" xfId="10155"/>
    <cellStyle name="常规 5 2 2 4 3 2 2 2 2 5" xfId="193"/>
    <cellStyle name="常规 5 2 2 4 3 2 2 2 3" xfId="22052"/>
    <cellStyle name="常规 5 2 2 4 3 2 2 2 3 2" xfId="21192"/>
    <cellStyle name="常规 5 2 2 4 3 2 2 2 3 2 2" xfId="28882"/>
    <cellStyle name="常规 5 2 2 4 3 2 2 2 3 3" xfId="25117"/>
    <cellStyle name="常规 5 2 2 4 3 2 2 2 3 4" xfId="25119"/>
    <cellStyle name="常规 5 2 2 4 3 2 2 2 4" xfId="1860"/>
    <cellStyle name="常规 5 2 2 4 3 2 2 2 4 2" xfId="16211"/>
    <cellStyle name="常规 5 2 2 4 3 2 2 2 5" xfId="16215"/>
    <cellStyle name="常规 5 2 2 4 3 2 2 2 6" xfId="1902"/>
    <cellStyle name="常规 5 2 2 4 3 2 2 3" xfId="28886"/>
    <cellStyle name="常规 5 2 2 4 3 2 2 3 2" xfId="1569"/>
    <cellStyle name="常规 5 2 2 4 3 2 2 3 2 2" xfId="21321"/>
    <cellStyle name="常规 5 2 2 4 3 2 2 3 2 2 2" xfId="21324"/>
    <cellStyle name="常规 5 2 2 4 3 2 2 3 2 3" xfId="21334"/>
    <cellStyle name="常规 5 2 2 4 3 2 2 3 2 4" xfId="21340"/>
    <cellStyle name="常规 5 2 2 4 3 2 2 3 3" xfId="1578"/>
    <cellStyle name="常规 5 2 2 4 3 2 2 3 3 2" xfId="21348"/>
    <cellStyle name="常规 5 2 2 4 3 2 2 3 4" xfId="16220"/>
    <cellStyle name="常规 5 2 2 4 3 2 2 3 5" xfId="21363"/>
    <cellStyle name="常规 5 2 2 4 3 2 2 4" xfId="28890"/>
    <cellStyle name="常规 5 2 2 4 3 2 2 4 2" xfId="21518"/>
    <cellStyle name="常规 5 2 2 4 3 2 2 4 2 2" xfId="21522"/>
    <cellStyle name="常规 5 2 2 4 3 2 2 4 3" xfId="21545"/>
    <cellStyle name="常规 5 2 2 4 3 2 2 4 4" xfId="21556"/>
    <cellStyle name="常规 5 2 2 4 3 2 2 5" xfId="28894"/>
    <cellStyle name="常规 5 2 2 4 3 2 2 5 2" xfId="21641"/>
    <cellStyle name="常规 5 2 2 4 3 2 2 6" xfId="28897"/>
    <cellStyle name="常规 5 2 2 4 3 2 2 7" xfId="28900"/>
    <cellStyle name="常规 5 2 2 4 3 2 3" xfId="21746"/>
    <cellStyle name="常规 5 2 2 4 3 2 3 2" xfId="21750"/>
    <cellStyle name="常规 5 2 2 4 3 2 3 2 2" xfId="22077"/>
    <cellStyle name="常规 5 2 2 4 3 2 3 2 2 2" xfId="28904"/>
    <cellStyle name="常规 5 2 2 4 3 2 3 2 2 2 2" xfId="28905"/>
    <cellStyle name="常规 5 2 2 4 3 2 3 2 2 3" xfId="25152"/>
    <cellStyle name="常规 5 2 2 4 3 2 3 2 2 4" xfId="25154"/>
    <cellStyle name="常规 5 2 2 4 3 2 3 2 3" xfId="28907"/>
    <cellStyle name="常规 5 2 2 4 3 2 3 2 3 2" xfId="28908"/>
    <cellStyle name="常规 5 2 2 4 3 2 3 2 4" xfId="16232"/>
    <cellStyle name="常规 5 2 2 4 3 2 3 2 5" xfId="28910"/>
    <cellStyle name="常规 5 2 2 4 3 2 3 3" xfId="28914"/>
    <cellStyle name="常规 5 2 2 4 3 2 3 3 2" xfId="21848"/>
    <cellStyle name="常规 5 2 2 4 3 2 3 3 2 2" xfId="21851"/>
    <cellStyle name="常规 5 2 2 4 3 2 3 3 3" xfId="21875"/>
    <cellStyle name="常规 5 2 2 4 3 2 3 3 4" xfId="21884"/>
    <cellStyle name="常规 5 2 2 4 3 2 3 4" xfId="28917"/>
    <cellStyle name="常规 5 2 2 4 3 2 3 4 2" xfId="21936"/>
    <cellStyle name="常规 5 2 2 4 3 2 3 5" xfId="28919"/>
    <cellStyle name="常规 5 2 2 4 3 2 3 6" xfId="28921"/>
    <cellStyle name="常规 5 2 2 4 3 2 4" xfId="21754"/>
    <cellStyle name="常规 5 2 2 4 3 2 4 2" xfId="28923"/>
    <cellStyle name="常规 5 2 2 4 3 2 4 2 2" xfId="13788"/>
    <cellStyle name="常规 5 2 2 4 3 2 4 2 2 2" xfId="13791"/>
    <cellStyle name="常规 5 2 2 4 3 2 4 2 3" xfId="13794"/>
    <cellStyle name="常规 5 2 2 4 3 2 4 2 4" xfId="13796"/>
    <cellStyle name="常规 5 2 2 4 3 2 4 3" xfId="28925"/>
    <cellStyle name="常规 5 2 2 4 3 2 4 3 2" xfId="13807"/>
    <cellStyle name="常规 5 2 2 4 3 2 4 4" xfId="28927"/>
    <cellStyle name="常规 5 2 2 4 3 2 4 5" xfId="28929"/>
    <cellStyle name="常规 5 2 2 4 3 2 5" xfId="3598"/>
    <cellStyle name="常规 5 2 2 4 3 2 5 2" xfId="5162"/>
    <cellStyle name="常规 5 2 2 4 3 2 5 2 2" xfId="3327"/>
    <cellStyle name="常规 5 2 2 4 3 2 5 3" xfId="5167"/>
    <cellStyle name="常规 5 2 2 4 3 2 5 4" xfId="6344"/>
    <cellStyle name="常规 5 2 2 4 3 2 6" xfId="3604"/>
    <cellStyle name="常规 5 2 2 4 3 2 6 2" xfId="5193"/>
    <cellStyle name="常规 5 2 2 4 3 2 7" xfId="3612"/>
    <cellStyle name="常规 5 2 2 4 3 2 8" xfId="6657"/>
    <cellStyle name="常规 5 2 2 4 3 3" xfId="28932"/>
    <cellStyle name="常规 5 2 2 4 3 3 2" xfId="25819"/>
    <cellStyle name="常规 5 2 2 4 3 3 2 2" xfId="28934"/>
    <cellStyle name="常规 5 2 2 4 3 3 2 2 2" xfId="22114"/>
    <cellStyle name="常规 5 2 2 4 3 3 2 2 2 2" xfId="28936"/>
    <cellStyle name="常规 5 2 2 4 3 3 2 2 2 2 2" xfId="4990"/>
    <cellStyle name="常规 5 2 2 4 3 3 2 2 2 3" xfId="25199"/>
    <cellStyle name="常规 5 2 2 4 3 3 2 2 2 4" xfId="25201"/>
    <cellStyle name="常规 5 2 2 4 3 3 2 2 3" xfId="28938"/>
    <cellStyle name="常规 5 2 2 4 3 3 2 2 3 2" xfId="28939"/>
    <cellStyle name="常规 5 2 2 4 3 3 2 2 4" xfId="8343"/>
    <cellStyle name="常规 5 2 2 4 3 3 2 2 5" xfId="28940"/>
    <cellStyle name="常规 5 2 2 4 3 3 2 3" xfId="28943"/>
    <cellStyle name="常规 5 2 2 4 3 3 2 3 2" xfId="1611"/>
    <cellStyle name="常规 5 2 2 4 3 3 2 3 2 2" xfId="22428"/>
    <cellStyle name="常规 5 2 2 4 3 3 2 3 3" xfId="114"/>
    <cellStyle name="常规 5 2 2 4 3 3 2 3 4" xfId="22437"/>
    <cellStyle name="常规 5 2 2 4 3 3 2 4" xfId="16741"/>
    <cellStyle name="常规 5 2 2 4 3 3 2 4 2" xfId="16744"/>
    <cellStyle name="常规 5 2 2 4 3 3 2 5" xfId="16753"/>
    <cellStyle name="常规 5 2 2 4 3 3 2 6" xfId="16757"/>
    <cellStyle name="常规 5 2 2 4 3 3 3" xfId="20609"/>
    <cellStyle name="常规 5 2 2 4 3 3 3 2" xfId="28945"/>
    <cellStyle name="常规 5 2 2 4 3 3 3 2 2" xfId="28947"/>
    <cellStyle name="常规 5 2 2 4 3 3 3 2 2 2" xfId="27657"/>
    <cellStyle name="常规 5 2 2 4 3 3 3 2 3" xfId="28948"/>
    <cellStyle name="常规 5 2 2 4 3 3 3 2 4" xfId="28949"/>
    <cellStyle name="常规 5 2 2 4 3 3 3 3" xfId="28951"/>
    <cellStyle name="常规 5 2 2 4 3 3 3 3 2" xfId="22637"/>
    <cellStyle name="常规 5 2 2 4 3 3 3 4" xfId="16762"/>
    <cellStyle name="常规 5 2 2 4 3 3 3 5" xfId="16766"/>
    <cellStyle name="常规 5 2 2 4 3 3 4" xfId="28953"/>
    <cellStyle name="常规 5 2 2 4 3 3 4 2" xfId="28954"/>
    <cellStyle name="常规 5 2 2 4 3 3 4 2 2" xfId="13848"/>
    <cellStyle name="常规 5 2 2 4 3 3 4 3" xfId="28955"/>
    <cellStyle name="常规 5 2 2 4 3 3 4 4" xfId="16771"/>
    <cellStyle name="常规 5 2 2 4 3 3 5" xfId="1627"/>
    <cellStyle name="常规 5 2 2 4 3 3 5 2" xfId="3516"/>
    <cellStyle name="常规 5 2 2 4 3 3 6" xfId="1632"/>
    <cellStyle name="常规 5 2 2 4 3 3 7" xfId="1642"/>
    <cellStyle name="常规 5 2 2 4 3 4" xfId="28958"/>
    <cellStyle name="常规 5 2 2 4 3 4 2" xfId="28960"/>
    <cellStyle name="常规 5 2 2 4 3 4 2 2" xfId="28964"/>
    <cellStyle name="常规 5 2 2 4 3 4 2 2 2" xfId="25966"/>
    <cellStyle name="常规 5 2 2 4 3 4 2 2 2 2" xfId="28966"/>
    <cellStyle name="常规 5 2 2 4 3 4 2 2 3" xfId="25970"/>
    <cellStyle name="常规 5 2 2 4 3 4 2 2 4" xfId="28968"/>
    <cellStyle name="常规 5 2 2 4 3 4 2 3" xfId="28972"/>
    <cellStyle name="常规 5 2 2 4 3 4 2 3 2" xfId="22940"/>
    <cellStyle name="常规 5 2 2 4 3 4 2 4" xfId="8502"/>
    <cellStyle name="常规 5 2 2 4 3 4 2 5" xfId="8511"/>
    <cellStyle name="常规 5 2 2 4 3 4 3" xfId="28974"/>
    <cellStyle name="常规 5 2 2 4 3 4 3 2" xfId="28977"/>
    <cellStyle name="常规 5 2 2 4 3 4 3 2 2" xfId="26055"/>
    <cellStyle name="常规 5 2 2 4 3 4 3 3" xfId="28980"/>
    <cellStyle name="常规 5 2 2 4 3 4 3 4" xfId="8519"/>
    <cellStyle name="常规 5 2 2 4 3 4 4" xfId="9135"/>
    <cellStyle name="常规 5 2 2 4 3 4 4 2" xfId="9138"/>
    <cellStyle name="常规 5 2 2 4 3 4 5" xfId="3664"/>
    <cellStyle name="常规 5 2 2 4 3 4 6" xfId="3669"/>
    <cellStyle name="常规 5 2 2 4 3 5" xfId="28983"/>
    <cellStyle name="常规 5 2 2 4 3 5 2" xfId="28985"/>
    <cellStyle name="常规 5 2 2 4 3 5 2 2" xfId="28988"/>
    <cellStyle name="常规 5 2 2 4 3 5 2 2 2" xfId="26186"/>
    <cellStyle name="常规 5 2 2 4 3 5 2 3" xfId="28991"/>
    <cellStyle name="常规 5 2 2 4 3 5 2 4" xfId="8531"/>
    <cellStyle name="常规 5 2 2 4 3 5 3" xfId="28992"/>
    <cellStyle name="常规 5 2 2 4 3 5 3 2" xfId="28994"/>
    <cellStyle name="常规 5 2 2 4 3 5 4" xfId="9146"/>
    <cellStyle name="常规 5 2 2 4 3 5 5" xfId="3711"/>
    <cellStyle name="常规 5 2 2 4 3 6" xfId="28996"/>
    <cellStyle name="常规 5 2 2 4 3 6 2" xfId="28997"/>
    <cellStyle name="常规 5 2 2 4 3 6 2 2" xfId="28999"/>
    <cellStyle name="常规 5 2 2 4 3 6 3" xfId="14439"/>
    <cellStyle name="常规 5 2 2 4 3 6 4" xfId="9150"/>
    <cellStyle name="常规 5 2 2 4 3 7" xfId="29002"/>
    <cellStyle name="常规 5 2 2 4 3 7 2" xfId="29004"/>
    <cellStyle name="常规 5 2 2 4 3 8" xfId="22227"/>
    <cellStyle name="常规 5 2 2 4 3 9" xfId="23471"/>
    <cellStyle name="常规 5 2 2 4 4" xfId="29006"/>
    <cellStyle name="常规 5 2 2 4 4 2" xfId="16826"/>
    <cellStyle name="常规 5 2 2 4 4 2 2" xfId="29009"/>
    <cellStyle name="常规 5 2 2 4 4 2 2 2" xfId="13389"/>
    <cellStyle name="常规 5 2 2 4 4 2 2 2 2" xfId="13394"/>
    <cellStyle name="常规 5 2 2 4 4 2 2 2 2 2" xfId="745"/>
    <cellStyle name="常规 5 2 2 4 4 2 2 2 2 2 2" xfId="13397"/>
    <cellStyle name="常规 5 2 2 4 4 2 2 2 2 3" xfId="3844"/>
    <cellStyle name="常规 5 2 2 4 4 2 2 2 2 4" xfId="13399"/>
    <cellStyle name="常规 5 2 2 4 4 2 2 2 3" xfId="13404"/>
    <cellStyle name="常规 5 2 2 4 4 2 2 2 3 2" xfId="4869"/>
    <cellStyle name="常规 5 2 2 4 4 2 2 2 4" xfId="13408"/>
    <cellStyle name="常规 5 2 2 4 4 2 2 2 5" xfId="13412"/>
    <cellStyle name="常规 5 2 2 4 4 2 2 3" xfId="13416"/>
    <cellStyle name="常规 5 2 2 4 4 2 2 3 2" xfId="13424"/>
    <cellStyle name="常规 5 2 2 4 4 2 2 3 2 2" xfId="4894"/>
    <cellStyle name="常规 5 2 2 4 4 2 2 3 3" xfId="13428"/>
    <cellStyle name="常规 5 2 2 4 4 2 2 3 4" xfId="13431"/>
    <cellStyle name="常规 5 2 2 4 4 2 2 4" xfId="13435"/>
    <cellStyle name="常规 5 2 2 4 4 2 2 4 2" xfId="13439"/>
    <cellStyle name="常规 5 2 2 4 4 2 2 5" xfId="13443"/>
    <cellStyle name="常规 5 2 2 4 4 2 2 6" xfId="13447"/>
    <cellStyle name="常规 5 2 2 4 4 2 3" xfId="29011"/>
    <cellStyle name="常规 5 2 2 4 4 2 3 2" xfId="13477"/>
    <cellStyle name="常规 5 2 2 4 4 2 3 2 2" xfId="13485"/>
    <cellStyle name="常规 5 2 2 4 4 2 3 2 2 2" xfId="1805"/>
    <cellStyle name="常规 5 2 2 4 4 2 3 2 3" xfId="13488"/>
    <cellStyle name="常规 5 2 2 4 4 2 3 2 4" xfId="13491"/>
    <cellStyle name="常规 5 2 2 4 4 2 3 3" xfId="2043"/>
    <cellStyle name="常规 5 2 2 4 4 2 3 3 2" xfId="13495"/>
    <cellStyle name="常规 5 2 2 4 4 2 3 4" xfId="13499"/>
    <cellStyle name="常规 5 2 2 4 4 2 3 5" xfId="13501"/>
    <cellStyle name="常规 5 2 2 4 4 2 4" xfId="29013"/>
    <cellStyle name="常规 5 2 2 4 4 2 4 2" xfId="13513"/>
    <cellStyle name="常规 5 2 2 4 4 2 4 2 2" xfId="4339"/>
    <cellStyle name="常规 5 2 2 4 4 2 4 3" xfId="13515"/>
    <cellStyle name="常规 5 2 2 4 4 2 4 4" xfId="13517"/>
    <cellStyle name="常规 5 2 2 4 4 2 5" xfId="2807"/>
    <cellStyle name="常规 5 2 2 4 4 2 5 2" xfId="7601"/>
    <cellStyle name="常规 5 2 2 4 4 2 6" xfId="3904"/>
    <cellStyle name="常规 5 2 2 4 4 2 7" xfId="6781"/>
    <cellStyle name="常规 5 2 2 4 4 3" xfId="29016"/>
    <cellStyle name="常规 5 2 2 4 4 3 2" xfId="29018"/>
    <cellStyle name="常规 5 2 2 4 4 3 2 2" xfId="13582"/>
    <cellStyle name="常规 5 2 2 4 4 3 2 2 2" xfId="13587"/>
    <cellStyle name="常规 5 2 2 4 4 3 2 2 2 2" xfId="13589"/>
    <cellStyle name="常规 5 2 2 4 4 3 2 2 3" xfId="13593"/>
    <cellStyle name="常规 5 2 2 4 4 3 2 2 4" xfId="13595"/>
    <cellStyle name="常规 5 2 2 4 4 3 2 3" xfId="13599"/>
    <cellStyle name="常规 5 2 2 4 4 3 2 3 2" xfId="13606"/>
    <cellStyle name="常规 5 2 2 4 4 3 2 4" xfId="13610"/>
    <cellStyle name="常规 5 2 2 4 4 3 2 5" xfId="13615"/>
    <cellStyle name="常规 5 2 2 4 4 3 3" xfId="29020"/>
    <cellStyle name="常规 5 2 2 4 4 3 3 2" xfId="2136"/>
    <cellStyle name="常规 5 2 2 4 4 3 3 2 2" xfId="13629"/>
    <cellStyle name="常规 5 2 2 4 4 3 3 3" xfId="2150"/>
    <cellStyle name="常规 5 2 2 4 4 3 3 4" xfId="2153"/>
    <cellStyle name="常规 5 2 2 4 4 3 4" xfId="17058"/>
    <cellStyle name="常规 5 2 2 4 4 3 4 2" xfId="2187"/>
    <cellStyle name="常规 5 2 2 4 4 3 5" xfId="1614"/>
    <cellStyle name="常规 5 2 2 4 4 3 6" xfId="50"/>
    <cellStyle name="常规 5 2 2 4 4 4" xfId="29023"/>
    <cellStyle name="常规 5 2 2 4 4 4 2" xfId="29025"/>
    <cellStyle name="常规 5 2 2 4 4 4 2 2" xfId="13674"/>
    <cellStyle name="常规 5 2 2 4 4 4 2 2 2" xfId="13679"/>
    <cellStyle name="常规 5 2 2 4 4 4 2 3" xfId="13684"/>
    <cellStyle name="常规 5 2 2 4 4 4 2 4" xfId="8555"/>
    <cellStyle name="常规 5 2 2 4 4 4 3" xfId="29027"/>
    <cellStyle name="常规 5 2 2 4 4 4 3 2" xfId="536"/>
    <cellStyle name="常规 5 2 2 4 4 4 4" xfId="9157"/>
    <cellStyle name="常规 5 2 2 4 4 4 5" xfId="7942"/>
    <cellStyle name="常规 5 2 2 4 4 5" xfId="17594"/>
    <cellStyle name="常规 5 2 2 4 4 5 2" xfId="17597"/>
    <cellStyle name="常规 5 2 2 4 4 5 2 2" xfId="13716"/>
    <cellStyle name="常规 5 2 2 4 4 5 3" xfId="17599"/>
    <cellStyle name="常规 5 2 2 4 4 5 4" xfId="9162"/>
    <cellStyle name="常规 5 2 2 4 4 6" xfId="17602"/>
    <cellStyle name="常规 5 2 2 4 4 6 2" xfId="17604"/>
    <cellStyle name="常规 5 2 2 4 4 7" xfId="17608"/>
    <cellStyle name="常规 5 2 2 4 4 8" xfId="17611"/>
    <cellStyle name="常规 5 2 2 4 5" xfId="29030"/>
    <cellStyle name="常规 5 2 2 4 5 2" xfId="29034"/>
    <cellStyle name="常规 5 2 2 4 5 2 2" xfId="29036"/>
    <cellStyle name="常规 5 2 2 4 5 2 2 2" xfId="13929"/>
    <cellStyle name="常规 5 2 2 4 5 2 2 2 2" xfId="13935"/>
    <cellStyle name="常规 5 2 2 4 5 2 2 2 2 2" xfId="29037"/>
    <cellStyle name="常规 5 2 2 4 5 2 2 2 3" xfId="29038"/>
    <cellStyle name="常规 5 2 2 4 5 2 2 2 4" xfId="29039"/>
    <cellStyle name="常规 5 2 2 4 5 2 2 3" xfId="13941"/>
    <cellStyle name="常规 5 2 2 4 5 2 2 3 2" xfId="24876"/>
    <cellStyle name="常规 5 2 2 4 5 2 2 4" xfId="13949"/>
    <cellStyle name="常规 5 2 2 4 5 2 2 5" xfId="24879"/>
    <cellStyle name="常规 5 2 2 4 5 2 3" xfId="29041"/>
    <cellStyle name="常规 5 2 2 4 5 2 3 2" xfId="13975"/>
    <cellStyle name="常规 5 2 2 4 5 2 3 2 2" xfId="26512"/>
    <cellStyle name="常规 5 2 2 4 5 2 3 3" xfId="13980"/>
    <cellStyle name="常规 5 2 2 4 5 2 3 4" xfId="29045"/>
    <cellStyle name="常规 5 2 2 4 5 2 4" xfId="29047"/>
    <cellStyle name="常规 5 2 2 4 5 2 4 2" xfId="13989"/>
    <cellStyle name="常规 5 2 2 4 5 2 5" xfId="8439"/>
    <cellStyle name="常规 5 2 2 4 5 2 6" xfId="8601"/>
    <cellStyle name="常规 5 2 2 4 5 3" xfId="29050"/>
    <cellStyle name="常规 5 2 2 4 5 3 2" xfId="29052"/>
    <cellStyle name="常规 5 2 2 4 5 3 2 2" xfId="14024"/>
    <cellStyle name="常规 5 2 2 4 5 3 2 2 2" xfId="29054"/>
    <cellStyle name="常规 5 2 2 4 5 3 2 3" xfId="14028"/>
    <cellStyle name="常规 5 2 2 4 5 3 2 4" xfId="16788"/>
    <cellStyle name="常规 5 2 2 4 5 3 3" xfId="29056"/>
    <cellStyle name="常规 5 2 2 4 5 3 3 2" xfId="14044"/>
    <cellStyle name="常规 5 2 2 4 5 3 4" xfId="17063"/>
    <cellStyle name="常规 5 2 2 4 5 3 5" xfId="8706"/>
    <cellStyle name="常规 5 2 2 4 5 4" xfId="29058"/>
    <cellStyle name="常规 5 2 2 4 5 4 2" xfId="29060"/>
    <cellStyle name="常规 5 2 2 4 5 4 2 2" xfId="14067"/>
    <cellStyle name="常规 5 2 2 4 5 4 3" xfId="29061"/>
    <cellStyle name="常规 5 2 2 4 5 4 4" xfId="9176"/>
    <cellStyle name="常规 5 2 2 4 5 5" xfId="17615"/>
    <cellStyle name="常规 5 2 2 4 5 5 2" xfId="17617"/>
    <cellStyle name="常规 5 2 2 4 5 6" xfId="17619"/>
    <cellStyle name="常规 5 2 2 4 5 7" xfId="14558"/>
    <cellStyle name="常规 5 2 2 4 6" xfId="29064"/>
    <cellStyle name="常规 5 2 2 4 6 2" xfId="29067"/>
    <cellStyle name="常规 5 2 2 4 6 2 2" xfId="18289"/>
    <cellStyle name="常规 5 2 2 4 6 2 2 2" xfId="14226"/>
    <cellStyle name="常规 5 2 2 4 6 2 2 2 2" xfId="14233"/>
    <cellStyle name="常规 5 2 2 4 6 2 2 3" xfId="14241"/>
    <cellStyle name="常规 5 2 2 4 6 2 2 4" xfId="14246"/>
    <cellStyle name="常规 5 2 2 4 6 2 3" xfId="18293"/>
    <cellStyle name="常规 5 2 2 4 6 2 3 2" xfId="14262"/>
    <cellStyle name="常规 5 2 2 4 6 2 4" xfId="18297"/>
    <cellStyle name="常规 5 2 2 4 6 2 5" xfId="9257"/>
    <cellStyle name="常规 5 2 2 4 6 3" xfId="18934"/>
    <cellStyle name="常规 5 2 2 4 6 3 2" xfId="18309"/>
    <cellStyle name="常规 5 2 2 4 6 3 2 2" xfId="9027"/>
    <cellStyle name="常规 5 2 2 4 6 3 3" xfId="18314"/>
    <cellStyle name="常规 5 2 2 4 6 3 4" xfId="18943"/>
    <cellStyle name="常规 5 2 2 4 6 4" xfId="18947"/>
    <cellStyle name="常规 5 2 2 4 6 4 2" xfId="18951"/>
    <cellStyle name="常规 5 2 2 4 6 5" xfId="17627"/>
    <cellStyle name="常规 5 2 2 4 6 6" xfId="18961"/>
    <cellStyle name="常规 5 2 2 4 7" xfId="21760"/>
    <cellStyle name="常规 5 2 2 4 7 2" xfId="21764"/>
    <cellStyle name="常规 5 2 2 4 7 2 2" xfId="18350"/>
    <cellStyle name="常规 5 2 2 4 7 2 2 2" xfId="14409"/>
    <cellStyle name="常规 5 2 2 4 7 2 3" xfId="18354"/>
    <cellStyle name="常规 5 2 2 4 7 2 4" xfId="21767"/>
    <cellStyle name="常规 5 2 2 4 7 3" xfId="18970"/>
    <cellStyle name="常规 5 2 2 4 7 3 2" xfId="7180"/>
    <cellStyle name="常规 5 2 2 4 7 4" xfId="18975"/>
    <cellStyle name="常规 5 2 2 4 7 5" xfId="18979"/>
    <cellStyle name="常规 5 2 2 4 8" xfId="21770"/>
    <cellStyle name="常规 5 2 2 4 8 2" xfId="21774"/>
    <cellStyle name="常规 5 2 2 4 8 2 2" xfId="21777"/>
    <cellStyle name="常规 5 2 2 4 8 3" xfId="18985"/>
    <cellStyle name="常规 5 2 2 4 8 4" xfId="18990"/>
    <cellStyle name="常规 5 2 2 4 9" xfId="19879"/>
    <cellStyle name="常规 5 2 2 4 9 2" xfId="19884"/>
    <cellStyle name="常规 5 2 2 5" xfId="15922"/>
    <cellStyle name="常规 5 2 2 5 2" xfId="14922"/>
    <cellStyle name="常规 5 2 2 5 2 2" xfId="14925"/>
    <cellStyle name="常规 5 2 2 5 2 2 2" xfId="29069"/>
    <cellStyle name="常规 5 2 2 5 2 2 2 2" xfId="29071"/>
    <cellStyle name="常规 5 2 2 5 2 2 2 2 2" xfId="22574"/>
    <cellStyle name="常规 5 2 2 5 2 2 2 2 2 2" xfId="15316"/>
    <cellStyle name="常规 5 2 2 5 2 2 2 2 2 2 2" xfId="15317"/>
    <cellStyle name="常规 5 2 2 5 2 2 2 2 2 3" xfId="15321"/>
    <cellStyle name="常规 5 2 2 5 2 2 2 2 2 4" xfId="15323"/>
    <cellStyle name="常规 5 2 2 5 2 2 2 2 3" xfId="22578"/>
    <cellStyle name="常规 5 2 2 5 2 2 2 2 3 2" xfId="15328"/>
    <cellStyle name="常规 5 2 2 5 2 2 2 2 4" xfId="29074"/>
    <cellStyle name="常规 5 2 2 5 2 2 2 2 5" xfId="29075"/>
    <cellStyle name="常规 5 2 2 5 2 2 2 3" xfId="12746"/>
    <cellStyle name="常规 5 2 2 5 2 2 2 3 2" xfId="12750"/>
    <cellStyle name="常规 5 2 2 5 2 2 2 3 2 2" xfId="12753"/>
    <cellStyle name="常规 5 2 2 5 2 2 2 3 3" xfId="12761"/>
    <cellStyle name="常规 5 2 2 5 2 2 2 3 4" xfId="12764"/>
    <cellStyle name="常规 5 2 2 5 2 2 2 4" xfId="12768"/>
    <cellStyle name="常规 5 2 2 5 2 2 2 4 2" xfId="12771"/>
    <cellStyle name="常规 5 2 2 5 2 2 2 5" xfId="12778"/>
    <cellStyle name="常规 5 2 2 5 2 2 2 6" xfId="12782"/>
    <cellStyle name="常规 5 2 2 5 2 2 3" xfId="29078"/>
    <cellStyle name="常规 5 2 2 5 2 2 3 2" xfId="29081"/>
    <cellStyle name="常规 5 2 2 5 2 2 3 2 2" xfId="22623"/>
    <cellStyle name="常规 5 2 2 5 2 2 3 2 2 2" xfId="15397"/>
    <cellStyle name="常规 5 2 2 5 2 2 3 2 3" xfId="29083"/>
    <cellStyle name="常规 5 2 2 5 2 2 3 2 4" xfId="29086"/>
    <cellStyle name="常规 5 2 2 5 2 2 3 3" xfId="12790"/>
    <cellStyle name="常规 5 2 2 5 2 2 3 3 2" xfId="12794"/>
    <cellStyle name="常规 5 2 2 5 2 2 3 4" xfId="12805"/>
    <cellStyle name="常规 5 2 2 5 2 2 3 5" xfId="12812"/>
    <cellStyle name="常规 5 2 2 5 2 2 4" xfId="29088"/>
    <cellStyle name="常规 5 2 2 5 2 2 4 2" xfId="29090"/>
    <cellStyle name="常规 5 2 2 5 2 2 4 2 2" xfId="29092"/>
    <cellStyle name="常规 5 2 2 5 2 2 4 3" xfId="12820"/>
    <cellStyle name="常规 5 2 2 5 2 2 4 4" xfId="12825"/>
    <cellStyle name="常规 5 2 2 5 2 2 5" xfId="29094"/>
    <cellStyle name="常规 5 2 2 5 2 2 5 2" xfId="29096"/>
    <cellStyle name="常规 5 2 2 5 2 2 6" xfId="25753"/>
    <cellStyle name="常规 5 2 2 5 2 2 7" xfId="13268"/>
    <cellStyle name="常规 5 2 2 5 2 3" xfId="29098"/>
    <cellStyle name="常规 5 2 2 5 2 3 2" xfId="16294"/>
    <cellStyle name="常规 5 2 2 5 2 3 2 2" xfId="7578"/>
    <cellStyle name="常规 5 2 2 5 2 3 2 2 2" xfId="7584"/>
    <cellStyle name="常规 5 2 2 5 2 3 2 2 2 2" xfId="15506"/>
    <cellStyle name="常规 5 2 2 5 2 3 2 2 3" xfId="16296"/>
    <cellStyle name="常规 5 2 2 5 2 3 2 2 4" xfId="16298"/>
    <cellStyle name="常规 5 2 2 5 2 3 2 3" xfId="6364"/>
    <cellStyle name="常规 5 2 2 5 2 3 2 3 2" xfId="12844"/>
    <cellStyle name="常规 5 2 2 5 2 3 2 4" xfId="6371"/>
    <cellStyle name="常规 5 2 2 5 2 3 2 5" xfId="12851"/>
    <cellStyle name="常规 5 2 2 5 2 3 3" xfId="16302"/>
    <cellStyle name="常规 5 2 2 5 2 3 3 2" xfId="7592"/>
    <cellStyle name="常规 5 2 2 5 2 3 3 2 2" xfId="16304"/>
    <cellStyle name="常规 5 2 2 5 2 3 3 3" xfId="6382"/>
    <cellStyle name="常规 5 2 2 5 2 3 3 4" xfId="12863"/>
    <cellStyle name="常规 5 2 2 5 2 3 4" xfId="16308"/>
    <cellStyle name="常规 5 2 2 5 2 3 4 2" xfId="6757"/>
    <cellStyle name="常规 5 2 2 5 2 3 5" xfId="16311"/>
    <cellStyle name="常规 5 2 2 5 2 3 6" xfId="16313"/>
    <cellStyle name="常规 5 2 2 5 2 4" xfId="29100"/>
    <cellStyle name="常规 5 2 2 5 2 4 2" xfId="16350"/>
    <cellStyle name="常规 5 2 2 5 2 4 2 2" xfId="7730"/>
    <cellStyle name="常规 5 2 2 5 2 4 2 2 2" xfId="16352"/>
    <cellStyle name="常规 5 2 2 5 2 4 2 3" xfId="12878"/>
    <cellStyle name="常规 5 2 2 5 2 4 2 4" xfId="8609"/>
    <cellStyle name="常规 5 2 2 5 2 4 3" xfId="16357"/>
    <cellStyle name="常规 5 2 2 5 2 4 3 2" xfId="16358"/>
    <cellStyle name="常规 5 2 2 5 2 4 4" xfId="16362"/>
    <cellStyle name="常规 5 2 2 5 2 4 5" xfId="16363"/>
    <cellStyle name="常规 5 2 2 5 2 5" xfId="29102"/>
    <cellStyle name="常规 5 2 2 5 2 5 2" xfId="16388"/>
    <cellStyle name="常规 5 2 2 5 2 5 2 2" xfId="4040"/>
    <cellStyle name="常规 5 2 2 5 2 5 3" xfId="16390"/>
    <cellStyle name="常规 5 2 2 5 2 5 4" xfId="16393"/>
    <cellStyle name="常规 5 2 2 5 2 6" xfId="29106"/>
    <cellStyle name="常规 5 2 2 5 2 6 2" xfId="16408"/>
    <cellStyle name="常规 5 2 2 5 2 7" xfId="29111"/>
    <cellStyle name="常规 5 2 2 5 2 8" xfId="22243"/>
    <cellStyle name="常规 5 2 2 5 3" xfId="14929"/>
    <cellStyle name="常规 5 2 2 5 3 2" xfId="29114"/>
    <cellStyle name="常规 5 2 2 5 3 2 2" xfId="29117"/>
    <cellStyle name="常规 5 2 2 5 3 2 2 2" xfId="29120"/>
    <cellStyle name="常规 5 2 2 5 3 2 2 2 2" xfId="22778"/>
    <cellStyle name="常规 5 2 2 5 3 2 2 2 2 2" xfId="29122"/>
    <cellStyle name="常规 5 2 2 5 3 2 2 2 3" xfId="29125"/>
    <cellStyle name="常规 5 2 2 5 3 2 2 2 4" xfId="4354"/>
    <cellStyle name="常规 5 2 2 5 3 2 2 3" xfId="12916"/>
    <cellStyle name="常规 5 2 2 5 3 2 2 3 2" xfId="12921"/>
    <cellStyle name="常规 5 2 2 5 3 2 2 4" xfId="12929"/>
    <cellStyle name="常规 5 2 2 5 3 2 2 5" xfId="12934"/>
    <cellStyle name="常规 5 2 2 5 3 2 3" xfId="29127"/>
    <cellStyle name="常规 5 2 2 5 3 2 3 2" xfId="18790"/>
    <cellStyle name="常规 5 2 2 5 3 2 3 2 2" xfId="29130"/>
    <cellStyle name="常规 5 2 2 5 3 2 3 3" xfId="12947"/>
    <cellStyle name="常规 5 2 2 5 3 2 3 4" xfId="12953"/>
    <cellStyle name="常规 5 2 2 5 3 2 4" xfId="6121"/>
    <cellStyle name="常规 5 2 2 5 3 2 4 2" xfId="6125"/>
    <cellStyle name="常规 5 2 2 5 3 2 5" xfId="6138"/>
    <cellStyle name="常规 5 2 2 5 3 2 6" xfId="6151"/>
    <cellStyle name="常规 5 2 2 5 3 3" xfId="29133"/>
    <cellStyle name="常规 5 2 2 5 3 3 2" xfId="16458"/>
    <cellStyle name="常规 5 2 2 5 3 3 2 2" xfId="8429"/>
    <cellStyle name="常规 5 2 2 5 3 3 2 2 2" xfId="1865"/>
    <cellStyle name="常规 5 2 2 5 3 3 2 3" xfId="12973"/>
    <cellStyle name="常规 5 2 2 5 3 3 2 4" xfId="12977"/>
    <cellStyle name="常规 5 2 2 5 3 3 3" xfId="16461"/>
    <cellStyle name="常规 5 2 2 5 3 3 3 2" xfId="18822"/>
    <cellStyle name="常规 5 2 2 5 3 3 4" xfId="6177"/>
    <cellStyle name="常规 5 2 2 5 3 3 5" xfId="6182"/>
    <cellStyle name="常规 5 2 2 5 3 4" xfId="29136"/>
    <cellStyle name="常规 5 2 2 5 3 4 2" xfId="7298"/>
    <cellStyle name="常规 5 2 2 5 3 4 2 2" xfId="7308"/>
    <cellStyle name="常规 5 2 2 5 3 4 3" xfId="7200"/>
    <cellStyle name="常规 5 2 2 5 3 4 4" xfId="6198"/>
    <cellStyle name="常规 5 2 2 5 3 5" xfId="29139"/>
    <cellStyle name="常规 5 2 2 5 3 5 2" xfId="7358"/>
    <cellStyle name="常规 5 2 2 5 3 6" xfId="29143"/>
    <cellStyle name="常规 5 2 2 5 3 7" xfId="29148"/>
    <cellStyle name="常规 5 2 2 5 4" xfId="14931"/>
    <cellStyle name="常规 5 2 2 5 4 2" xfId="29151"/>
    <cellStyle name="常规 5 2 2 5 4 2 2" xfId="29153"/>
    <cellStyle name="常规 5 2 2 5 4 2 2 2" xfId="14759"/>
    <cellStyle name="常规 5 2 2 5 4 2 2 2 2" xfId="14764"/>
    <cellStyle name="常规 5 2 2 5 4 2 2 3" xfId="13015"/>
    <cellStyle name="常规 5 2 2 5 4 2 2 4" xfId="13021"/>
    <cellStyle name="常规 5 2 2 5 4 2 3" xfId="29155"/>
    <cellStyle name="常规 5 2 2 5 4 2 3 2" xfId="14779"/>
    <cellStyle name="常规 5 2 2 5 4 2 4" xfId="6231"/>
    <cellStyle name="常规 5 2 2 5 4 2 5" xfId="6242"/>
    <cellStyle name="常规 5 2 2 5 4 3" xfId="29158"/>
    <cellStyle name="常规 5 2 2 5 4 3 2" xfId="16480"/>
    <cellStyle name="常规 5 2 2 5 4 3 2 2" xfId="9242"/>
    <cellStyle name="常规 5 2 2 5 4 3 3" xfId="16483"/>
    <cellStyle name="常规 5 2 2 5 4 3 4" xfId="6259"/>
    <cellStyle name="常规 5 2 2 5 4 4" xfId="1133"/>
    <cellStyle name="常规 5 2 2 5 4 4 2" xfId="1139"/>
    <cellStyle name="常规 5 2 2 5 4 5" xfId="1165"/>
    <cellStyle name="常规 5 2 2 5 4 6" xfId="622"/>
    <cellStyle name="常规 5 2 2 5 5" xfId="29160"/>
    <cellStyle name="常规 5 2 2 5 5 2" xfId="29162"/>
    <cellStyle name="常规 5 2 2 5 5 2 2" xfId="29165"/>
    <cellStyle name="常规 5 2 2 5 5 2 2 2" xfId="14948"/>
    <cellStyle name="常规 5 2 2 5 5 2 3" xfId="29167"/>
    <cellStyle name="常规 5 2 2 5 5 2 4" xfId="639"/>
    <cellStyle name="常规 5 2 2 5 5 3" xfId="29169"/>
    <cellStyle name="常规 5 2 2 5 5 3 2" xfId="16506"/>
    <cellStyle name="常规 5 2 2 5 5 4" xfId="29171"/>
    <cellStyle name="常规 5 2 2 5 5 5" xfId="17639"/>
    <cellStyle name="常规 5 2 2 5 6" xfId="29173"/>
    <cellStyle name="常规 5 2 2 5 6 2" xfId="29176"/>
    <cellStyle name="常规 5 2 2 5 6 2 2" xfId="18410"/>
    <cellStyle name="常规 5 2 2 5 6 3" xfId="19011"/>
    <cellStyle name="常规 5 2 2 5 6 4" xfId="19022"/>
    <cellStyle name="常规 5 2 2 5 7" xfId="21780"/>
    <cellStyle name="常规 5 2 2 5 7 2" xfId="21784"/>
    <cellStyle name="常规 5 2 2 5 8" xfId="21789"/>
    <cellStyle name="常规 5 2 2 5 9" xfId="19900"/>
    <cellStyle name="常规 5 2 2 6" xfId="15924"/>
    <cellStyle name="常规 5 2 2 6 2" xfId="14981"/>
    <cellStyle name="常规 5 2 2 6 2 2" xfId="29178"/>
    <cellStyle name="常规 5 2 2 6 2 2 2" xfId="29180"/>
    <cellStyle name="常规 5 2 2 6 2 2 2 2" xfId="16158"/>
    <cellStyle name="常规 5 2 2 6 2 2 2 2 2" xfId="7148"/>
    <cellStyle name="常规 5 2 2 6 2 2 2 2 2 2" xfId="29183"/>
    <cellStyle name="常规 5 2 2 6 2 2 2 2 2 2 2" xfId="29184"/>
    <cellStyle name="常规 5 2 2 6 2 2 2 2 2 3" xfId="29186"/>
    <cellStyle name="常规 5 2 2 6 2 2 2 2 2 4" xfId="4270"/>
    <cellStyle name="常规 5 2 2 6 2 2 2 2 3" xfId="12727"/>
    <cellStyle name="常规 5 2 2 6 2 2 2 2 3 2" xfId="29187"/>
    <cellStyle name="常规 5 2 2 6 2 2 2 2 4" xfId="29191"/>
    <cellStyle name="常规 5 2 2 6 2 2 2 2 5" xfId="29193"/>
    <cellStyle name="常规 5 2 2 6 2 2 2 3" xfId="14482"/>
    <cellStyle name="常规 5 2 2 6 2 2 2 3 2" xfId="14488"/>
    <cellStyle name="常规 5 2 2 6 2 2 2 3 2 2" xfId="14490"/>
    <cellStyle name="常规 5 2 2 6 2 2 2 3 3" xfId="14492"/>
    <cellStyle name="常规 5 2 2 6 2 2 2 3 4" xfId="14496"/>
    <cellStyle name="常规 5 2 2 6 2 2 2 4" xfId="5212"/>
    <cellStyle name="常规 5 2 2 6 2 2 2 4 2" xfId="5221"/>
    <cellStyle name="常规 5 2 2 6 2 2 2 5" xfId="5233"/>
    <cellStyle name="常规 5 2 2 6 2 2 2 6" xfId="5240"/>
    <cellStyle name="常规 5 2 2 6 2 2 3" xfId="29196"/>
    <cellStyle name="常规 5 2 2 6 2 2 3 2" xfId="16175"/>
    <cellStyle name="常规 5 2 2 6 2 2 3 2 2" xfId="29200"/>
    <cellStyle name="常规 5 2 2 6 2 2 3 2 2 2" xfId="4275"/>
    <cellStyle name="常规 5 2 2 6 2 2 3 2 3" xfId="29202"/>
    <cellStyle name="常规 5 2 2 6 2 2 3 2 4" xfId="29205"/>
    <cellStyle name="常规 5 2 2 6 2 2 3 3" xfId="14503"/>
    <cellStyle name="常规 5 2 2 6 2 2 3 3 2" xfId="14508"/>
    <cellStyle name="常规 5 2 2 6 2 2 3 4" xfId="5248"/>
    <cellStyle name="常规 5 2 2 6 2 2 3 5" xfId="5253"/>
    <cellStyle name="常规 5 2 2 6 2 2 4" xfId="22233"/>
    <cellStyle name="常规 5 2 2 6 2 2 4 2" xfId="16187"/>
    <cellStyle name="常规 5 2 2 6 2 2 4 2 2" xfId="29207"/>
    <cellStyle name="常规 5 2 2 6 2 2 4 3" xfId="14513"/>
    <cellStyle name="常规 5 2 2 6 2 2 4 4" xfId="5268"/>
    <cellStyle name="常规 5 2 2 6 2 2 5" xfId="22237"/>
    <cellStyle name="常规 5 2 2 6 2 2 5 2" xfId="29210"/>
    <cellStyle name="常规 5 2 2 6 2 2 6" xfId="1840"/>
    <cellStyle name="常规 5 2 2 6 2 2 7" xfId="13483"/>
    <cellStyle name="常规 5 2 2 6 2 3" xfId="29213"/>
    <cellStyle name="常规 5 2 2 6 2 3 2" xfId="29105"/>
    <cellStyle name="常规 5 2 2 6 2 3 2 2" xfId="16407"/>
    <cellStyle name="常规 5 2 2 6 2 3 2 2 2" xfId="29216"/>
    <cellStyle name="常规 5 2 2 6 2 3 2 2 2 2" xfId="28047"/>
    <cellStyle name="常规 5 2 2 6 2 3 2 2 3" xfId="29218"/>
    <cellStyle name="常规 5 2 2 6 2 3 2 2 4" xfId="29220"/>
    <cellStyle name="常规 5 2 2 6 2 3 2 3" xfId="14520"/>
    <cellStyle name="常规 5 2 2 6 2 3 2 3 2" xfId="14525"/>
    <cellStyle name="常规 5 2 2 6 2 3 2 4" xfId="5287"/>
    <cellStyle name="常规 5 2 2 6 2 3 2 5" xfId="5294"/>
    <cellStyle name="常规 5 2 2 6 2 3 3" xfId="29110"/>
    <cellStyle name="常规 5 2 2 6 2 3 3 2" xfId="16419"/>
    <cellStyle name="常规 5 2 2 6 2 3 3 2 2" xfId="29223"/>
    <cellStyle name="常规 5 2 2 6 2 3 3 3" xfId="14530"/>
    <cellStyle name="常规 5 2 2 6 2 3 3 4" xfId="5301"/>
    <cellStyle name="常规 5 2 2 6 2 3 4" xfId="22242"/>
    <cellStyle name="常规 5 2 2 6 2 3 4 2" xfId="29225"/>
    <cellStyle name="常规 5 2 2 6 2 3 5" xfId="23545"/>
    <cellStyle name="常规 5 2 2 6 2 3 6" xfId="23589"/>
    <cellStyle name="常规 5 2 2 6 2 4" xfId="29227"/>
    <cellStyle name="常规 5 2 2 6 2 4 2" xfId="29142"/>
    <cellStyle name="常规 5 2 2 6 2 4 2 2" xfId="7384"/>
    <cellStyle name="常规 5 2 2 6 2 4 2 2 2" xfId="28596"/>
    <cellStyle name="常规 5 2 2 6 2 4 2 3" xfId="7386"/>
    <cellStyle name="常规 5 2 2 6 2 4 2 4" xfId="5319"/>
    <cellStyle name="常规 5 2 2 6 2 4 3" xfId="29147"/>
    <cellStyle name="常规 5 2 2 6 2 4 3 2" xfId="7222"/>
    <cellStyle name="常规 5 2 2 6 2 4 4" xfId="29230"/>
    <cellStyle name="常规 5 2 2 6 2 4 5" xfId="23631"/>
    <cellStyle name="常规 5 2 2 6 2 5" xfId="614"/>
    <cellStyle name="常规 5 2 2 6 2 5 2" xfId="621"/>
    <cellStyle name="常规 5 2 2 6 2 5 2 2" xfId="7432"/>
    <cellStyle name="常规 5 2 2 6 2 5 3" xfId="634"/>
    <cellStyle name="常规 5 2 2 6 2 5 4" xfId="29231"/>
    <cellStyle name="常规 5 2 2 6 2 6" xfId="29235"/>
    <cellStyle name="常规 5 2 2 6 2 6 2" xfId="29238"/>
    <cellStyle name="常规 5 2 2 6 2 7" xfId="29243"/>
    <cellStyle name="常规 5 2 2 6 2 8" xfId="4378"/>
    <cellStyle name="常规 5 2 2 6 3" xfId="14984"/>
    <cellStyle name="常规 5 2 2 6 3 2" xfId="29248"/>
    <cellStyle name="常规 5 2 2 6 3 2 2" xfId="29250"/>
    <cellStyle name="常规 5 2 2 6 3 2 2 2" xfId="17622"/>
    <cellStyle name="常规 5 2 2 6 3 2 2 2 2" xfId="29253"/>
    <cellStyle name="常规 5 2 2 6 3 2 2 2 2 2" xfId="29254"/>
    <cellStyle name="常规 5 2 2 6 3 2 2 2 3" xfId="29256"/>
    <cellStyle name="常规 5 2 2 6 3 2 2 2 4" xfId="4221"/>
    <cellStyle name="常规 5 2 2 6 3 2 2 3" xfId="14561"/>
    <cellStyle name="常规 5 2 2 6 3 2 2 3 2" xfId="14564"/>
    <cellStyle name="常规 5 2 2 6 3 2 2 4" xfId="4242"/>
    <cellStyle name="常规 5 2 2 6 3 2 2 5" xfId="4251"/>
    <cellStyle name="常规 5 2 2 6 3 2 3" xfId="29259"/>
    <cellStyle name="常规 5 2 2 6 3 2 3 2" xfId="18965"/>
    <cellStyle name="常规 5 2 2 6 3 2 3 2 2" xfId="29262"/>
    <cellStyle name="常规 5 2 2 6 3 2 3 3" xfId="14568"/>
    <cellStyle name="常规 5 2 2 6 3 2 3 4" xfId="4287"/>
    <cellStyle name="常规 5 2 2 6 3 2 4" xfId="4298"/>
    <cellStyle name="常规 5 2 2 6 3 2 4 2" xfId="4304"/>
    <cellStyle name="常规 5 2 2 6 3 2 5" xfId="4327"/>
    <cellStyle name="常规 5 2 2 6 3 2 6" xfId="3441"/>
    <cellStyle name="常规 5 2 2 6 3 3" xfId="29266"/>
    <cellStyle name="常规 5 2 2 6 3 3 2" xfId="29234"/>
    <cellStyle name="常规 5 2 2 6 3 3 2 2" xfId="29237"/>
    <cellStyle name="常规 5 2 2 6 3 3 2 2 2" xfId="29267"/>
    <cellStyle name="常规 5 2 2 6 3 3 2 3" xfId="14576"/>
    <cellStyle name="常规 5 2 2 6 3 3 2 4" xfId="4200"/>
    <cellStyle name="常规 5 2 2 6 3 3 3" xfId="29242"/>
    <cellStyle name="常规 5 2 2 6 3 3 3 2" xfId="19028"/>
    <cellStyle name="常规 5 2 2 6 3 3 4" xfId="4377"/>
    <cellStyle name="常规 5 2 2 6 3 3 5" xfId="4386"/>
    <cellStyle name="常规 5 2 2 6 3 4" xfId="4398"/>
    <cellStyle name="常规 5 2 2 6 3 4 2" xfId="4405"/>
    <cellStyle name="常规 5 2 2 6 3 4 2 2" xfId="4413"/>
    <cellStyle name="常规 5 2 2 6 3 4 3" xfId="4432"/>
    <cellStyle name="常规 5 2 2 6 3 4 4" xfId="428"/>
    <cellStyle name="常规 5 2 2 6 3 5" xfId="4447"/>
    <cellStyle name="常规 5 2 2 6 3 5 2" xfId="1178"/>
    <cellStyle name="常规 5 2 2 6 3 6" xfId="4404"/>
    <cellStyle name="常规 5 2 2 6 3 7" xfId="4431"/>
    <cellStyle name="常规 5 2 2 6 4" xfId="14124"/>
    <cellStyle name="常规 5 2 2 6 4 2" xfId="14127"/>
    <cellStyle name="常规 5 2 2 6 4 2 2" xfId="29269"/>
    <cellStyle name="常规 5 2 2 6 4 2 2 2" xfId="15379"/>
    <cellStyle name="常规 5 2 2 6 4 2 2 2 2" xfId="15383"/>
    <cellStyle name="常规 5 2 2 6 4 2 2 3" xfId="14597"/>
    <cellStyle name="常规 5 2 2 6 4 2 2 4" xfId="4474"/>
    <cellStyle name="常规 5 2 2 6 4 2 3" xfId="29272"/>
    <cellStyle name="常规 5 2 2 6 4 2 3 2" xfId="15409"/>
    <cellStyle name="常规 5 2 2 6 4 2 4" xfId="4482"/>
    <cellStyle name="常规 5 2 2 6 4 2 5" xfId="4493"/>
    <cellStyle name="常规 5 2 2 6 4 3" xfId="29274"/>
    <cellStyle name="常规 5 2 2 6 4 3 2" xfId="29277"/>
    <cellStyle name="常规 5 2 2 6 4 3 2 2" xfId="15439"/>
    <cellStyle name="常规 5 2 2 6 4 3 3" xfId="29280"/>
    <cellStyle name="常规 5 2 2 6 4 3 4" xfId="4522"/>
    <cellStyle name="常规 5 2 2 6 4 4" xfId="119"/>
    <cellStyle name="常规 5 2 2 6 4 4 2" xfId="143"/>
    <cellStyle name="常规 5 2 2 6 4 5" xfId="1170"/>
    <cellStyle name="常规 5 2 2 6 4 6" xfId="1177"/>
    <cellStyle name="常规 5 2 2 6 5" xfId="4529"/>
    <cellStyle name="常规 5 2 2 6 5 2" xfId="29282"/>
    <cellStyle name="常规 5 2 2 6 5 2 2" xfId="29284"/>
    <cellStyle name="常规 5 2 2 6 5 2 2 2" xfId="15548"/>
    <cellStyle name="常规 5 2 2 6 5 2 3" xfId="29286"/>
    <cellStyle name="常规 5 2 2 6 5 2 4" xfId="154"/>
    <cellStyle name="常规 5 2 2 6 5 3" xfId="29288"/>
    <cellStyle name="常规 5 2 2 6 5 3 2" xfId="29290"/>
    <cellStyle name="常规 5 2 2 6 5 4" xfId="2790"/>
    <cellStyle name="常规 5 2 2 6 5 5" xfId="4560"/>
    <cellStyle name="常规 5 2 2 6 6" xfId="14130"/>
    <cellStyle name="常规 5 2 2 6 6 2" xfId="29293"/>
    <cellStyle name="常规 5 2 2 6 6 2 2" xfId="29295"/>
    <cellStyle name="常规 5 2 2 6 6 3" xfId="19052"/>
    <cellStyle name="常规 5 2 2 6 6 4" xfId="2824"/>
    <cellStyle name="常规 5 2 2 6 7" xfId="21799"/>
    <cellStyle name="常规 5 2 2 6 7 2" xfId="21803"/>
    <cellStyle name="常规 5 2 2 6 8" xfId="21806"/>
    <cellStyle name="常规 5 2 2 6 9" xfId="21809"/>
    <cellStyle name="常规 5 2 2 7" xfId="29296"/>
    <cellStyle name="常规 5 2 2 7 2" xfId="15001"/>
    <cellStyle name="常规 5 2 2 7 2 2" xfId="29298"/>
    <cellStyle name="常规 5 2 2 7 2 2 2" xfId="29300"/>
    <cellStyle name="常规 5 2 2 7 2 2 2 2" xfId="17712"/>
    <cellStyle name="常规 5 2 2 7 2 2 2 2 2" xfId="17715"/>
    <cellStyle name="常规 5 2 2 7 2 2 2 2 2 2" xfId="29301"/>
    <cellStyle name="常规 5 2 2 7 2 2 2 2 3" xfId="29302"/>
    <cellStyle name="常规 5 2 2 7 2 2 2 2 4" xfId="29304"/>
    <cellStyle name="常规 5 2 2 7 2 2 2 3" xfId="15166"/>
    <cellStyle name="常规 5 2 2 7 2 2 2 3 2" xfId="15169"/>
    <cellStyle name="常规 5 2 2 7 2 2 2 4" xfId="3079"/>
    <cellStyle name="常规 5 2 2 7 2 2 2 5" xfId="4886"/>
    <cellStyle name="常规 5 2 2 7 2 2 3" xfId="29307"/>
    <cellStyle name="常规 5 2 2 7 2 2 3 2" xfId="17720"/>
    <cellStyle name="常规 5 2 2 7 2 2 3 2 2" xfId="29311"/>
    <cellStyle name="常规 5 2 2 7 2 2 3 3" xfId="15174"/>
    <cellStyle name="常规 5 2 2 7 2 2 3 4" xfId="4898"/>
    <cellStyle name="常规 5 2 2 7 2 2 4" xfId="22265"/>
    <cellStyle name="常规 5 2 2 7 2 2 4 2" xfId="29313"/>
    <cellStyle name="常规 5 2 2 7 2 2 5" xfId="29315"/>
    <cellStyle name="常规 5 2 2 7 2 2 6" xfId="25870"/>
    <cellStyle name="常规 5 2 2 7 2 3" xfId="29317"/>
    <cellStyle name="常规 5 2 2 7 2 3 2" xfId="29319"/>
    <cellStyle name="常规 5 2 2 7 2 3 2 2" xfId="17738"/>
    <cellStyle name="常规 5 2 2 7 2 3 2 2 2" xfId="29320"/>
    <cellStyle name="常规 5 2 2 7 2 3 2 3" xfId="15179"/>
    <cellStyle name="常规 5 2 2 7 2 3 2 4" xfId="3126"/>
    <cellStyle name="常规 5 2 2 7 2 3 3" xfId="29322"/>
    <cellStyle name="常规 5 2 2 7 2 3 3 2" xfId="29324"/>
    <cellStyle name="常规 5 2 2 7 2 3 4" xfId="29326"/>
    <cellStyle name="常规 5 2 2 7 2 3 5" xfId="23956"/>
    <cellStyle name="常规 5 2 2 7 2 4" xfId="29328"/>
    <cellStyle name="常规 5 2 2 7 2 4 2" xfId="29329"/>
    <cellStyle name="常规 5 2 2 7 2 4 2 2" xfId="7639"/>
    <cellStyle name="常规 5 2 2 7 2 4 3" xfId="29331"/>
    <cellStyle name="常规 5 2 2 7 2 4 4" xfId="29333"/>
    <cellStyle name="常规 5 2 2 7 2 5" xfId="29335"/>
    <cellStyle name="常规 5 2 2 7 2 5 2" xfId="29336"/>
    <cellStyle name="常规 5 2 2 7 2 6" xfId="29276"/>
    <cellStyle name="常规 5 2 2 7 2 7" xfId="29279"/>
    <cellStyle name="常规 5 2 2 7 3" xfId="29337"/>
    <cellStyle name="常规 5 2 2 7 3 2" xfId="29339"/>
    <cellStyle name="常规 5 2 2 7 3 2 2" xfId="29341"/>
    <cellStyle name="常规 5 2 2 7 3 2 2 2" xfId="17771"/>
    <cellStyle name="常规 5 2 2 7 3 2 2 2 2" xfId="29343"/>
    <cellStyle name="常规 5 2 2 7 3 2 2 3" xfId="15196"/>
    <cellStyle name="常规 5 2 2 7 3 2 2 4" xfId="4634"/>
    <cellStyle name="常规 5 2 2 7 3 2 3" xfId="29345"/>
    <cellStyle name="常规 5 2 2 7 3 2 3 2" xfId="19229"/>
    <cellStyle name="常规 5 2 2 7 3 2 4" xfId="4664"/>
    <cellStyle name="常规 5 2 2 7 3 2 5" xfId="4690"/>
    <cellStyle name="常规 5 2 2 7 3 3" xfId="29347"/>
    <cellStyle name="常规 5 2 2 7 3 3 2" xfId="29348"/>
    <cellStyle name="常规 5 2 2 7 3 3 2 2" xfId="29349"/>
    <cellStyle name="常规 5 2 2 7 3 3 3" xfId="29351"/>
    <cellStyle name="常规 5 2 2 7 3 3 4" xfId="4739"/>
    <cellStyle name="常规 5 2 2 7 3 4" xfId="4756"/>
    <cellStyle name="常规 5 2 2 7 3 4 2" xfId="4760"/>
    <cellStyle name="常规 5 2 2 7 3 5" xfId="4802"/>
    <cellStyle name="常规 5 2 2 7 3 6" xfId="142"/>
    <cellStyle name="常规 5 2 2 7 4" xfId="14133"/>
    <cellStyle name="常规 5 2 2 7 4 2" xfId="2286"/>
    <cellStyle name="常规 5 2 2 7 4 2 2" xfId="2289"/>
    <cellStyle name="常规 5 2 2 7 4 2 2 2" xfId="2294"/>
    <cellStyle name="常规 5 2 2 7 4 2 3" xfId="2305"/>
    <cellStyle name="常规 5 2 2 7 4 2 4" xfId="2319"/>
    <cellStyle name="常规 5 2 2 7 4 3" xfId="2336"/>
    <cellStyle name="常规 5 2 2 7 4 3 2" xfId="2344"/>
    <cellStyle name="常规 5 2 2 7 4 4" xfId="1196"/>
    <cellStyle name="常规 5 2 2 7 4 5" xfId="1217"/>
    <cellStyle name="常规 5 2 2 7 5" xfId="29352"/>
    <cellStyle name="常规 5 2 2 7 5 2" xfId="29354"/>
    <cellStyle name="常规 5 2 2 7 5 2 2" xfId="29355"/>
    <cellStyle name="常规 5 2 2 7 5 3" xfId="29356"/>
    <cellStyle name="常规 5 2 2 7 5 4" xfId="3060"/>
    <cellStyle name="常规 5 2 2 7 6" xfId="29358"/>
    <cellStyle name="常规 5 2 2 7 6 2" xfId="29360"/>
    <cellStyle name="常规 5 2 2 7 7" xfId="21813"/>
    <cellStyle name="常规 5 2 2 7 8" xfId="29362"/>
    <cellStyle name="常规 5 2 2 8" xfId="29363"/>
    <cellStyle name="常规 5 2 2 8 2" xfId="320"/>
    <cellStyle name="常规 5 2 2 8 2 2" xfId="29364"/>
    <cellStyle name="常规 5 2 2 8 2 2 2" xfId="29366"/>
    <cellStyle name="常规 5 2 2 8 2 2 2 2" xfId="17887"/>
    <cellStyle name="常规 5 2 2 8 2 2 2 2 2" xfId="12130"/>
    <cellStyle name="常规 5 2 2 8 2 2 2 3" xfId="15688"/>
    <cellStyle name="常规 5 2 2 8 2 2 2 4" xfId="5445"/>
    <cellStyle name="常规 5 2 2 8 2 2 3" xfId="26649"/>
    <cellStyle name="常规 5 2 2 8 2 2 3 2" xfId="26653"/>
    <cellStyle name="常规 5 2 2 8 2 2 4" xfId="26661"/>
    <cellStyle name="常规 5 2 2 8 2 2 5" xfId="26667"/>
    <cellStyle name="常规 5 2 2 8 2 3" xfId="29367"/>
    <cellStyle name="常规 5 2 2 8 2 3 2" xfId="29370"/>
    <cellStyle name="常规 5 2 2 8 2 3 2 2" xfId="29373"/>
    <cellStyle name="常规 5 2 2 8 2 3 3" xfId="26674"/>
    <cellStyle name="常规 5 2 2 8 2 3 4" xfId="26684"/>
    <cellStyle name="常规 5 2 2 8 2 4" xfId="29374"/>
    <cellStyle name="常规 5 2 2 8 2 4 2" xfId="29377"/>
    <cellStyle name="常规 5 2 2 8 2 5" xfId="29378"/>
    <cellStyle name="常规 5 2 2 8 2 6" xfId="29289"/>
    <cellStyle name="常规 5 2 2 8 3" xfId="29379"/>
    <cellStyle name="常规 5 2 2 8 3 2" xfId="29380"/>
    <cellStyle name="常规 5 2 2 8 3 2 2" xfId="29382"/>
    <cellStyle name="常规 5 2 2 8 3 2 2 2" xfId="25248"/>
    <cellStyle name="常规 5 2 2 8 3 2 3" xfId="26707"/>
    <cellStyle name="常规 5 2 2 8 3 2 4" xfId="1028"/>
    <cellStyle name="常规 5 2 2 8 3 3" xfId="29383"/>
    <cellStyle name="常规 5 2 2 8 3 3 2" xfId="29386"/>
    <cellStyle name="常规 5 2 2 8 3 4" xfId="1067"/>
    <cellStyle name="常规 5 2 2 8 3 5" xfId="4974"/>
    <cellStyle name="常规 5 2 2 8 4" xfId="29387"/>
    <cellStyle name="常规 5 2 2 8 4 2" xfId="29388"/>
    <cellStyle name="常规 5 2 2 8 4 2 2" xfId="13081"/>
    <cellStyle name="常规 5 2 2 8 4 3" xfId="29389"/>
    <cellStyle name="常规 5 2 2 8 4 4" xfId="1120"/>
    <cellStyle name="常规 5 2 2 8 5" xfId="28875"/>
    <cellStyle name="常规 5 2 2 8 5 2" xfId="22045"/>
    <cellStyle name="常规 5 2 2 8 6" xfId="28883"/>
    <cellStyle name="常规 5 2 2 8 7" xfId="28887"/>
    <cellStyle name="常规 5 2 2 9" xfId="5530"/>
    <cellStyle name="常规 5 2 2 9 2" xfId="29390"/>
    <cellStyle name="常规 5 2 2 9 2 2" xfId="29391"/>
    <cellStyle name="常规 5 2 2 9 2 2 2" xfId="29393"/>
    <cellStyle name="常规 5 2 2 9 2 2 2 2" xfId="29395"/>
    <cellStyle name="常规 5 2 2 9 2 2 3" xfId="26786"/>
    <cellStyle name="常规 5 2 2 9 2 2 4" xfId="781"/>
    <cellStyle name="常规 5 2 2 9 2 3" xfId="29396"/>
    <cellStyle name="常规 5 2 2 9 2 3 2" xfId="29399"/>
    <cellStyle name="常规 5 2 2 9 2 4" xfId="29400"/>
    <cellStyle name="常规 5 2 2 9 2 5" xfId="29401"/>
    <cellStyle name="常规 5 2 2 9 3" xfId="29402"/>
    <cellStyle name="常规 5 2 2 9 3 2" xfId="29403"/>
    <cellStyle name="常规 5 2 2 9 3 2 2" xfId="29405"/>
    <cellStyle name="常规 5 2 2 9 3 3" xfId="29406"/>
    <cellStyle name="常规 5 2 2 9 3 4" xfId="5054"/>
    <cellStyle name="常规 5 2 2 9 4" xfId="29407"/>
    <cellStyle name="常规 5 2 2 9 4 2" xfId="29408"/>
    <cellStyle name="常规 5 2 2 9 5" xfId="21748"/>
    <cellStyle name="常规 5 2 2 9 6" xfId="28911"/>
    <cellStyle name="常规 5 2 3" xfId="13754"/>
    <cellStyle name="常规 5 2 3 2" xfId="29409"/>
    <cellStyle name="常规 5 2 3 3" xfId="29410"/>
    <cellStyle name="常规 5 2 3 4" xfId="15929"/>
    <cellStyle name="常规 5 2 4" xfId="29411"/>
    <cellStyle name="常规 5 2 4 10" xfId="10103"/>
    <cellStyle name="常规 5 2 4 10 2" xfId="10105"/>
    <cellStyle name="常规 5 2 4 10 2 2" xfId="24498"/>
    <cellStyle name="常规 5 2 4 10 3" xfId="29412"/>
    <cellStyle name="常规 5 2 4 10 4" xfId="29413"/>
    <cellStyle name="常规 5 2 4 11" xfId="720"/>
    <cellStyle name="常规 5 2 4 11 2" xfId="724"/>
    <cellStyle name="常规 5 2 4 12" xfId="767"/>
    <cellStyle name="常规 5 2 4 13" xfId="776"/>
    <cellStyle name="常规 5 2 4 2" xfId="29414"/>
    <cellStyle name="常规 5 2 4 2 10" xfId="29417"/>
    <cellStyle name="常规 5 2 4 2 10 2" xfId="29419"/>
    <cellStyle name="常规 5 2 4 2 11" xfId="29422"/>
    <cellStyle name="常规 5 2 4 2 12" xfId="29424"/>
    <cellStyle name="常规 5 2 4 2 2" xfId="11690"/>
    <cellStyle name="常规 5 2 4 2 2 10" xfId="24471"/>
    <cellStyle name="常规 5 2 4 2 2 11" xfId="7091"/>
    <cellStyle name="常规 5 2 4 2 2 2" xfId="11692"/>
    <cellStyle name="常规 5 2 4 2 2 2 2" xfId="11694"/>
    <cellStyle name="常规 5 2 4 2 2 2 2 2" xfId="9793"/>
    <cellStyle name="常规 5 2 4 2 2 2 2 2 2" xfId="24487"/>
    <cellStyle name="常规 5 2 4 2 2 2 2 2 2 2" xfId="26951"/>
    <cellStyle name="常规 5 2 4 2 2 2 2 2 2 2 2" xfId="26952"/>
    <cellStyle name="常规 5 2 4 2 2 2 2 2 2 2 2 2" xfId="26958"/>
    <cellStyle name="常规 5 2 4 2 2 2 2 2 2 2 2 2 2" xfId="29425"/>
    <cellStyle name="常规 5 2 4 2 2 2 2 2 2 2 2 3" xfId="29426"/>
    <cellStyle name="常规 5 2 4 2 2 2 2 2 2 2 2 4" xfId="29427"/>
    <cellStyle name="常规 5 2 4 2 2 2 2 2 2 2 3" xfId="26959"/>
    <cellStyle name="常规 5 2 4 2 2 2 2 2 2 2 3 2" xfId="29428"/>
    <cellStyle name="常规 5 2 4 2 2 2 2 2 2 2 4" xfId="26965"/>
    <cellStyle name="常规 5 2 4 2 2 2 2 2 2 2 5" xfId="29429"/>
    <cellStyle name="常规 5 2 4 2 2 2 2 2 2 3" xfId="26969"/>
    <cellStyle name="常规 5 2 4 2 2 2 2 2 2 3 2" xfId="26972"/>
    <cellStyle name="常规 5 2 4 2 2 2 2 2 2 3 2 2" xfId="29430"/>
    <cellStyle name="常规 5 2 4 2 2 2 2 2 2 3 3" xfId="29431"/>
    <cellStyle name="常规 5 2 4 2 2 2 2 2 2 3 4" xfId="2125"/>
    <cellStyle name="常规 5 2 4 2 2 2 2 2 2 4" xfId="26975"/>
    <cellStyle name="常规 5 2 4 2 2 2 2 2 2 4 2" xfId="29432"/>
    <cellStyle name="常规 5 2 4 2 2 2 2 2 2 5" xfId="26978"/>
    <cellStyle name="常规 5 2 4 2 2 2 2 2 2 6" xfId="29435"/>
    <cellStyle name="常规 5 2 4 2 2 2 2 2 3" xfId="26982"/>
    <cellStyle name="常规 5 2 4 2 2 2 2 2 3 2" xfId="26986"/>
    <cellStyle name="常规 5 2 4 2 2 2 2 2 3 2 2" xfId="26989"/>
    <cellStyle name="常规 5 2 4 2 2 2 2 2 3 2 2 2" xfId="9741"/>
    <cellStyle name="常规 5 2 4 2 2 2 2 2 3 2 3" xfId="29436"/>
    <cellStyle name="常规 5 2 4 2 2 2 2 2 3 2 4" xfId="29437"/>
    <cellStyle name="常规 5 2 4 2 2 2 2 2 3 3" xfId="26992"/>
    <cellStyle name="常规 5 2 4 2 2 2 2 2 3 3 2" xfId="29438"/>
    <cellStyle name="常规 5 2 4 2 2 2 2 2 3 4" xfId="26995"/>
    <cellStyle name="常规 5 2 4 2 2 2 2 2 3 5" xfId="2649"/>
    <cellStyle name="常规 5 2 4 2 2 2 2 2 4" xfId="26999"/>
    <cellStyle name="常规 5 2 4 2 2 2 2 2 4 2" xfId="27004"/>
    <cellStyle name="常规 5 2 4 2 2 2 2 2 4 2 2" xfId="29440"/>
    <cellStyle name="常规 5 2 4 2 2 2 2 2 4 3" xfId="29443"/>
    <cellStyle name="常规 5 2 4 2 2 2 2 2 4 4" xfId="29446"/>
    <cellStyle name="常规 5 2 4 2 2 2 2 2 5" xfId="27008"/>
    <cellStyle name="常规 5 2 4 2 2 2 2 2 5 2" xfId="29450"/>
    <cellStyle name="常规 5 2 4 2 2 2 2 2 6" xfId="27016"/>
    <cellStyle name="常规 5 2 4 2 2 2 2 2 7" xfId="29453"/>
    <cellStyle name="常规 5 2 4 2 2 2 2 3" xfId="19548"/>
    <cellStyle name="常规 5 2 4 2 2 2 2 3 2" xfId="20015"/>
    <cellStyle name="常规 5 2 4 2 2 2 2 3 2 2" xfId="27027"/>
    <cellStyle name="常规 5 2 4 2 2 2 2 3 2 2 2" xfId="20977"/>
    <cellStyle name="常规 5 2 4 2 2 2 2 3 2 2 2 2" xfId="29454"/>
    <cellStyle name="常规 5 2 4 2 2 2 2 3 2 2 3" xfId="29455"/>
    <cellStyle name="常规 5 2 4 2 2 2 2 3 2 2 4" xfId="29457"/>
    <cellStyle name="常规 5 2 4 2 2 2 2 3 2 3" xfId="27031"/>
    <cellStyle name="常规 5 2 4 2 2 2 2 3 2 3 2" xfId="29458"/>
    <cellStyle name="常规 5 2 4 2 2 2 2 3 2 4" xfId="27034"/>
    <cellStyle name="常规 5 2 4 2 2 2 2 3 2 5" xfId="29459"/>
    <cellStyle name="常规 5 2 4 2 2 2 2 3 3" xfId="20020"/>
    <cellStyle name="常规 5 2 4 2 2 2 2 3 3 2" xfId="27038"/>
    <cellStyle name="常规 5 2 4 2 2 2 2 3 3 2 2" xfId="29460"/>
    <cellStyle name="常规 5 2 4 2 2 2 2 3 3 3" xfId="29461"/>
    <cellStyle name="常规 5 2 4 2 2 2 2 3 3 4" xfId="29462"/>
    <cellStyle name="常规 5 2 4 2 2 2 2 3 4" xfId="20024"/>
    <cellStyle name="常规 5 2 4 2 2 2 2 3 4 2" xfId="29465"/>
    <cellStyle name="常规 5 2 4 2 2 2 2 3 5" xfId="27042"/>
    <cellStyle name="常规 5 2 4 2 2 2 2 3 6" xfId="29467"/>
    <cellStyle name="常规 5 2 4 2 2 2 2 4" xfId="29469"/>
    <cellStyle name="常规 5 2 4 2 2 2 2 4 2" xfId="27049"/>
    <cellStyle name="常规 5 2 4 2 2 2 2 4 2 2" xfId="27053"/>
    <cellStyle name="常规 5 2 4 2 2 2 2 4 2 2 2" xfId="29471"/>
    <cellStyle name="常规 5 2 4 2 2 2 2 4 2 3" xfId="16054"/>
    <cellStyle name="常规 5 2 4 2 2 2 2 4 2 4" xfId="29473"/>
    <cellStyle name="常规 5 2 4 2 2 2 2 4 3" xfId="27056"/>
    <cellStyle name="常规 5 2 4 2 2 2 2 4 3 2" xfId="16257"/>
    <cellStyle name="常规 5 2 4 2 2 2 2 4 4" xfId="27060"/>
    <cellStyle name="常规 5 2 4 2 2 2 2 4 5" xfId="29474"/>
    <cellStyle name="常规 5 2 4 2 2 2 2 5" xfId="29476"/>
    <cellStyle name="常规 5 2 4 2 2 2 2 5 2" xfId="27067"/>
    <cellStyle name="常规 5 2 4 2 2 2 2 5 2 2" xfId="29477"/>
    <cellStyle name="常规 5 2 4 2 2 2 2 5 3" xfId="27069"/>
    <cellStyle name="常规 5 2 4 2 2 2 2 5 4" xfId="29478"/>
    <cellStyle name="常规 5 2 4 2 2 2 2 6" xfId="29481"/>
    <cellStyle name="常规 5 2 4 2 2 2 2 6 2" xfId="25205"/>
    <cellStyle name="常规 5 2 4 2 2 2 2 7" xfId="29485"/>
    <cellStyle name="常规 5 2 4 2 2 2 2 8" xfId="29487"/>
    <cellStyle name="常规 5 2 4 2 2 2 3" xfId="11697"/>
    <cellStyle name="常规 5 2 4 2 2 2 3 2" xfId="19569"/>
    <cellStyle name="常规 5 2 4 2 2 2 3 2 2" xfId="27096"/>
    <cellStyle name="常规 5 2 4 2 2 2 3 2 2 2" xfId="27101"/>
    <cellStyle name="常规 5 2 4 2 2 2 3 2 2 2 2" xfId="27105"/>
    <cellStyle name="常规 5 2 4 2 2 2 3 2 2 2 2 2" xfId="29488"/>
    <cellStyle name="常规 5 2 4 2 2 2 3 2 2 2 3" xfId="29489"/>
    <cellStyle name="常规 5 2 4 2 2 2 3 2 2 2 4" xfId="20795"/>
    <cellStyle name="常规 5 2 4 2 2 2 3 2 2 3" xfId="27109"/>
    <cellStyle name="常规 5 2 4 2 2 2 3 2 2 3 2" xfId="29490"/>
    <cellStyle name="常规 5 2 4 2 2 2 3 2 2 4" xfId="27112"/>
    <cellStyle name="常规 5 2 4 2 2 2 3 2 2 5" xfId="29491"/>
    <cellStyle name="常规 5 2 4 2 2 2 3 2 3" xfId="27116"/>
    <cellStyle name="常规 5 2 4 2 2 2 3 2 3 2" xfId="27121"/>
    <cellStyle name="常规 5 2 4 2 2 2 3 2 3 2 2" xfId="3055"/>
    <cellStyle name="常规 5 2 4 2 2 2 3 2 3 3" xfId="29492"/>
    <cellStyle name="常规 5 2 4 2 2 2 3 2 3 4" xfId="15308"/>
    <cellStyle name="常规 5 2 4 2 2 2 3 2 4" xfId="27124"/>
    <cellStyle name="常规 5 2 4 2 2 2 3 2 4 2" xfId="29496"/>
    <cellStyle name="常规 5 2 4 2 2 2 3 2 5" xfId="27128"/>
    <cellStyle name="常规 5 2 4 2 2 2 3 2 6" xfId="29498"/>
    <cellStyle name="常规 5 2 4 2 2 2 3 3" xfId="29500"/>
    <cellStyle name="常规 5 2 4 2 2 2 3 3 2" xfId="3211"/>
    <cellStyle name="常规 5 2 4 2 2 2 3 3 2 2" xfId="27139"/>
    <cellStyle name="常规 5 2 4 2 2 2 3 3 2 2 2" xfId="29501"/>
    <cellStyle name="常规 5 2 4 2 2 2 3 3 2 3" xfId="29502"/>
    <cellStyle name="常规 5 2 4 2 2 2 3 3 2 4" xfId="29503"/>
    <cellStyle name="常规 5 2 4 2 2 2 3 3 3" xfId="27142"/>
    <cellStyle name="常规 5 2 4 2 2 2 3 3 3 2" xfId="29504"/>
    <cellStyle name="常规 5 2 4 2 2 2 3 3 4" xfId="27145"/>
    <cellStyle name="常规 5 2 4 2 2 2 3 3 5" xfId="29505"/>
    <cellStyle name="常规 5 2 4 2 2 2 3 4" xfId="29507"/>
    <cellStyle name="常规 5 2 4 2 2 2 3 4 2" xfId="27151"/>
    <cellStyle name="常规 5 2 4 2 2 2 3 4 2 2" xfId="29508"/>
    <cellStyle name="常规 5 2 4 2 2 2 3 4 3" xfId="27152"/>
    <cellStyle name="常规 5 2 4 2 2 2 3 4 4" xfId="29510"/>
    <cellStyle name="常规 5 2 4 2 2 2 3 5" xfId="29512"/>
    <cellStyle name="常规 5 2 4 2 2 2 3 5 2" xfId="29513"/>
    <cellStyle name="常规 5 2 4 2 2 2 3 6" xfId="29516"/>
    <cellStyle name="常规 5 2 4 2 2 2 3 7" xfId="21217"/>
    <cellStyle name="常规 5 2 4 2 2 2 4" xfId="10750"/>
    <cellStyle name="常规 5 2 4 2 2 2 4 2" xfId="29518"/>
    <cellStyle name="常规 5 2 4 2 2 2 4 2 2" xfId="27172"/>
    <cellStyle name="常规 5 2 4 2 2 2 4 2 2 2" xfId="27179"/>
    <cellStyle name="常规 5 2 4 2 2 2 4 2 2 2 2" xfId="24912"/>
    <cellStyle name="常规 5 2 4 2 2 2 4 2 2 3" xfId="29519"/>
    <cellStyle name="常规 5 2 4 2 2 2 4 2 2 4" xfId="29520"/>
    <cellStyle name="常规 5 2 4 2 2 2 4 2 3" xfId="27183"/>
    <cellStyle name="常规 5 2 4 2 2 2 4 2 3 2" xfId="29521"/>
    <cellStyle name="常规 5 2 4 2 2 2 4 2 4" xfId="27188"/>
    <cellStyle name="常规 5 2 4 2 2 2 4 2 5" xfId="29523"/>
    <cellStyle name="常规 5 2 4 2 2 2 4 3" xfId="29525"/>
    <cellStyle name="常规 5 2 4 2 2 2 4 3 2" xfId="27200"/>
    <cellStyle name="常规 5 2 4 2 2 2 4 3 2 2" xfId="29526"/>
    <cellStyle name="常规 5 2 4 2 2 2 4 3 3" xfId="27201"/>
    <cellStyle name="常规 5 2 4 2 2 2 4 3 4" xfId="29528"/>
    <cellStyle name="常规 5 2 4 2 2 2 4 4" xfId="29530"/>
    <cellStyle name="常规 5 2 4 2 2 2 4 4 2" xfId="29531"/>
    <cellStyle name="常规 5 2 4 2 2 2 4 5" xfId="29533"/>
    <cellStyle name="常规 5 2 4 2 2 2 4 6" xfId="29534"/>
    <cellStyle name="常规 5 2 4 2 2 2 5" xfId="29535"/>
    <cellStyle name="常规 5 2 4 2 2 2 5 2" xfId="29537"/>
    <cellStyle name="常规 5 2 4 2 2 2 5 2 2" xfId="27221"/>
    <cellStyle name="常规 5 2 4 2 2 2 5 2 2 2" xfId="29539"/>
    <cellStyle name="常规 5 2 4 2 2 2 5 2 3" xfId="27222"/>
    <cellStyle name="常规 5 2 4 2 2 2 5 2 4" xfId="29541"/>
    <cellStyle name="常规 5 2 4 2 2 2 5 3" xfId="15650"/>
    <cellStyle name="常规 5 2 4 2 2 2 5 3 2" xfId="15652"/>
    <cellStyle name="常规 5 2 4 2 2 2 5 4" xfId="15655"/>
    <cellStyle name="常规 5 2 4 2 2 2 5 5" xfId="15658"/>
    <cellStyle name="常规 5 2 4 2 2 2 6" xfId="26555"/>
    <cellStyle name="常规 5 2 4 2 2 2 6 2" xfId="26559"/>
    <cellStyle name="常规 5 2 4 2 2 2 6 2 2" xfId="26564"/>
    <cellStyle name="常规 5 2 4 2 2 2 6 3" xfId="15665"/>
    <cellStyle name="常规 5 2 4 2 2 2 6 4" xfId="17248"/>
    <cellStyle name="常规 5 2 4 2 2 2 7" xfId="22273"/>
    <cellStyle name="常规 5 2 4 2 2 2 7 2" xfId="26577"/>
    <cellStyle name="常规 5 2 4 2 2 2 8" xfId="26584"/>
    <cellStyle name="常规 5 2 4 2 2 2 9" xfId="26589"/>
    <cellStyle name="常规 5 2 4 2 2 3" xfId="11700"/>
    <cellStyle name="常规 5 2 4 2 2 3 2" xfId="11703"/>
    <cellStyle name="常规 5 2 4 2 2 3 2 2" xfId="19644"/>
    <cellStyle name="常规 5 2 4 2 2 3 2 2 2" xfId="27277"/>
    <cellStyle name="常规 5 2 4 2 2 3 2 2 2 2" xfId="26642"/>
    <cellStyle name="常规 5 2 4 2 2 3 2 2 2 2 2" xfId="27283"/>
    <cellStyle name="常规 5 2 4 2 2 3 2 2 2 2 2 2" xfId="23294"/>
    <cellStyle name="常规 5 2 4 2 2 3 2 2 2 2 2 2 2" xfId="29542"/>
    <cellStyle name="常规 5 2 4 2 2 3 2 2 2 2 2 3" xfId="23296"/>
    <cellStyle name="常规 5 2 4 2 2 3 2 2 2 2 2 4" xfId="29543"/>
    <cellStyle name="常规 5 2 4 2 2 3 2 2 2 2 3" xfId="29544"/>
    <cellStyle name="常规 5 2 4 2 2 3 2 2 2 2 3 2" xfId="23314"/>
    <cellStyle name="常规 5 2 4 2 2 3 2 2 2 2 4" xfId="24139"/>
    <cellStyle name="常规 5 2 4 2 2 3 2 2 2 2 5" xfId="29545"/>
    <cellStyle name="常规 5 2 4 2 2 3 2 2 2 3" xfId="27288"/>
    <cellStyle name="常规 5 2 4 2 2 3 2 2 2 3 2" xfId="29546"/>
    <cellStyle name="常规 5 2 4 2 2 3 2 2 2 3 2 2" xfId="12209"/>
    <cellStyle name="常规 5 2 4 2 2 3 2 2 2 3 3" xfId="29547"/>
    <cellStyle name="常规 5 2 4 2 2 3 2 2 2 3 4" xfId="16577"/>
    <cellStyle name="常规 5 2 4 2 2 3 2 2 2 4" xfId="27293"/>
    <cellStyle name="常规 5 2 4 2 2 3 2 2 2 4 2" xfId="29548"/>
    <cellStyle name="常规 5 2 4 2 2 3 2 2 2 5" xfId="29549"/>
    <cellStyle name="常规 5 2 4 2 2 3 2 2 2 6" xfId="29550"/>
    <cellStyle name="常规 5 2 4 2 2 3 2 2 3" xfId="27298"/>
    <cellStyle name="常规 5 2 4 2 2 3 2 2 3 2" xfId="27304"/>
    <cellStyle name="常规 5 2 4 2 2 3 2 2 3 2 2" xfId="29551"/>
    <cellStyle name="常规 5 2 4 2 2 3 2 2 3 2 2 2" xfId="9977"/>
    <cellStyle name="常规 5 2 4 2 2 3 2 2 3 2 3" xfId="29552"/>
    <cellStyle name="常规 5 2 4 2 2 3 2 2 3 2 4" xfId="29553"/>
    <cellStyle name="常规 5 2 4 2 2 3 2 2 3 3" xfId="29555"/>
    <cellStyle name="常规 5 2 4 2 2 3 2 2 3 3 2" xfId="29556"/>
    <cellStyle name="常规 5 2 4 2 2 3 2 2 3 4" xfId="29557"/>
    <cellStyle name="常规 5 2 4 2 2 3 2 2 3 5" xfId="29558"/>
    <cellStyle name="常规 5 2 4 2 2 3 2 2 4" xfId="27309"/>
    <cellStyle name="常规 5 2 4 2 2 3 2 2 4 2" xfId="13089"/>
    <cellStyle name="常规 5 2 4 2 2 3 2 2 4 2 2" xfId="29559"/>
    <cellStyle name="常规 5 2 4 2 2 3 2 2 4 3" xfId="29560"/>
    <cellStyle name="常规 5 2 4 2 2 3 2 2 4 4" xfId="29561"/>
    <cellStyle name="常规 5 2 4 2 2 3 2 2 5" xfId="27316"/>
    <cellStyle name="常规 5 2 4 2 2 3 2 2 5 2" xfId="28880"/>
    <cellStyle name="常规 5 2 4 2 2 3 2 2 6" xfId="29563"/>
    <cellStyle name="常规 5 2 4 2 2 3 2 2 7" xfId="2203"/>
    <cellStyle name="常规 5 2 4 2 2 3 2 3" xfId="19648"/>
    <cellStyle name="常规 5 2 4 2 2 3 2 3 2" xfId="27334"/>
    <cellStyle name="常规 5 2 4 2 2 3 2 3 2 2" xfId="21177"/>
    <cellStyle name="常规 5 2 4 2 2 3 2 3 2 2 2" xfId="29565"/>
    <cellStyle name="常规 5 2 4 2 2 3 2 3 2 2 2 2" xfId="24323"/>
    <cellStyle name="常规 5 2 4 2 2 3 2 3 2 2 3" xfId="29567"/>
    <cellStyle name="常规 5 2 4 2 2 3 2 3 2 2 4" xfId="29568"/>
    <cellStyle name="常规 5 2 4 2 2 3 2 3 2 3" xfId="21180"/>
    <cellStyle name="常规 5 2 4 2 2 3 2 3 2 3 2" xfId="2127"/>
    <cellStyle name="常规 5 2 4 2 2 3 2 3 2 4" xfId="29569"/>
    <cellStyle name="常规 5 2 4 2 2 3 2 3 2 5" xfId="29570"/>
    <cellStyle name="常规 5 2 4 2 2 3 2 3 3" xfId="27339"/>
    <cellStyle name="常规 5 2 4 2 2 3 2 3 3 2" xfId="29571"/>
    <cellStyle name="常规 5 2 4 2 2 3 2 3 3 2 2" xfId="29572"/>
    <cellStyle name="常规 5 2 4 2 2 3 2 3 3 3" xfId="29573"/>
    <cellStyle name="常规 5 2 4 2 2 3 2 3 3 4" xfId="29574"/>
    <cellStyle name="常规 5 2 4 2 2 3 2 3 4" xfId="27343"/>
    <cellStyle name="常规 5 2 4 2 2 3 2 3 4 2" xfId="29575"/>
    <cellStyle name="常规 5 2 4 2 2 3 2 3 5" xfId="29576"/>
    <cellStyle name="常规 5 2 4 2 2 3 2 3 6" xfId="29579"/>
    <cellStyle name="常规 5 2 4 2 2 3 2 4" xfId="29582"/>
    <cellStyle name="常规 5 2 4 2 2 3 2 4 2" xfId="27352"/>
    <cellStyle name="常规 5 2 4 2 2 3 2 4 2 2" xfId="29583"/>
    <cellStyle name="常规 5 2 4 2 2 3 2 4 2 2 2" xfId="17432"/>
    <cellStyle name="常规 5 2 4 2 2 3 2 4 2 3" xfId="29584"/>
    <cellStyle name="常规 5 2 4 2 2 3 2 4 2 4" xfId="29585"/>
    <cellStyle name="常规 5 2 4 2 2 3 2 4 3" xfId="27353"/>
    <cellStyle name="常规 5 2 4 2 2 3 2 4 3 2" xfId="29586"/>
    <cellStyle name="常规 5 2 4 2 2 3 2 4 4" xfId="29587"/>
    <cellStyle name="常规 5 2 4 2 2 3 2 4 5" xfId="29588"/>
    <cellStyle name="常规 5 2 4 2 2 3 2 5" xfId="29591"/>
    <cellStyle name="常规 5 2 4 2 2 3 2 5 2" xfId="29593"/>
    <cellStyle name="常规 5 2 4 2 2 3 2 5 2 2" xfId="29594"/>
    <cellStyle name="常规 5 2 4 2 2 3 2 5 3" xfId="29596"/>
    <cellStyle name="常规 5 2 4 2 2 3 2 5 4" xfId="29597"/>
    <cellStyle name="常规 5 2 4 2 2 3 2 6" xfId="26848"/>
    <cellStyle name="常规 5 2 4 2 2 3 2 6 2" xfId="24610"/>
    <cellStyle name="常规 5 2 4 2 2 3 2 7" xfId="29598"/>
    <cellStyle name="常规 5 2 4 2 2 3 2 8" xfId="24314"/>
    <cellStyle name="常规 5 2 4 2 2 3 3" xfId="29600"/>
    <cellStyle name="常规 5 2 4 2 2 3 3 2" xfId="19663"/>
    <cellStyle name="常规 5 2 4 2 2 3 3 2 2" xfId="27377"/>
    <cellStyle name="常规 5 2 4 2 2 3 3 2 2 2" xfId="27015"/>
    <cellStyle name="常规 5 2 4 2 2 3 3 2 2 2 2" xfId="20145"/>
    <cellStyle name="常规 5 2 4 2 2 3 3 2 2 2 2 2" xfId="29601"/>
    <cellStyle name="常规 5 2 4 2 2 3 3 2 2 2 3" xfId="20147"/>
    <cellStyle name="常规 5 2 4 2 2 3 3 2 2 2 4" xfId="29602"/>
    <cellStyle name="常规 5 2 4 2 2 3 3 2 2 3" xfId="29452"/>
    <cellStyle name="常规 5 2 4 2 2 3 3 2 2 3 2" xfId="20153"/>
    <cellStyle name="常规 5 2 4 2 2 3 3 2 2 4" xfId="29603"/>
    <cellStyle name="常规 5 2 4 2 2 3 3 2 2 5" xfId="29605"/>
    <cellStyle name="常规 5 2 4 2 2 3 3 2 3" xfId="27382"/>
    <cellStyle name="常规 5 2 4 2 2 3 3 2 3 2" xfId="29466"/>
    <cellStyle name="常规 5 2 4 2 2 3 3 2 3 2 2" xfId="3227"/>
    <cellStyle name="常规 5 2 4 2 2 3 3 2 3 3" xfId="29606"/>
    <cellStyle name="常规 5 2 4 2 2 3 3 2 3 4" xfId="14628"/>
    <cellStyle name="常规 5 2 4 2 2 3 3 2 4" xfId="8848"/>
    <cellStyle name="常规 5 2 4 2 2 3 3 2 4 2" xfId="29607"/>
    <cellStyle name="常规 5 2 4 2 2 3 3 2 5" xfId="29608"/>
    <cellStyle name="常规 5 2 4 2 2 3 3 2 6" xfId="29610"/>
    <cellStyle name="常规 5 2 4 2 2 3 3 3" xfId="29613"/>
    <cellStyle name="常规 5 2 4 2 2 3 3 3 2" xfId="27392"/>
    <cellStyle name="常规 5 2 4 2 2 3 3 3 2 2" xfId="29497"/>
    <cellStyle name="常规 5 2 4 2 2 3 3 3 2 2 2" xfId="20200"/>
    <cellStyle name="常规 5 2 4 2 2 3 3 3 2 3" xfId="29614"/>
    <cellStyle name="常规 5 2 4 2 2 3 3 3 2 4" xfId="29615"/>
    <cellStyle name="常规 5 2 4 2 2 3 3 3 3" xfId="27393"/>
    <cellStyle name="常规 5 2 4 2 2 3 3 3 3 2" xfId="29616"/>
    <cellStyle name="常规 5 2 4 2 2 3 3 3 4" xfId="29617"/>
    <cellStyle name="常规 5 2 4 2 2 3 3 3 5" xfId="29618"/>
    <cellStyle name="常规 5 2 4 2 2 3 3 4" xfId="29621"/>
    <cellStyle name="常规 5 2 4 2 2 3 3 4 2" xfId="29622"/>
    <cellStyle name="常规 5 2 4 2 2 3 3 4 2 2" xfId="29623"/>
    <cellStyle name="常规 5 2 4 2 2 3 3 4 3" xfId="29625"/>
    <cellStyle name="常规 5 2 4 2 2 3 3 4 4" xfId="29626"/>
    <cellStyle name="常规 5 2 4 2 2 3 3 5" xfId="29629"/>
    <cellStyle name="常规 5 2 4 2 2 3 3 5 2" xfId="29630"/>
    <cellStyle name="常规 5 2 4 2 2 3 3 6" xfId="29631"/>
    <cellStyle name="常规 5 2 4 2 2 3 3 7" xfId="29632"/>
    <cellStyle name="常规 5 2 4 2 2 3 4" xfId="29634"/>
    <cellStyle name="常规 5 2 4 2 2 3 4 2" xfId="29637"/>
    <cellStyle name="常规 5 2 4 2 2 3 4 2 2" xfId="27415"/>
    <cellStyle name="常规 5 2 4 2 2 3 4 2 2 2" xfId="29562"/>
    <cellStyle name="常规 5 2 4 2 2 3 4 2 2 2 2" xfId="20368"/>
    <cellStyle name="常规 5 2 4 2 2 3 4 2 2 3" xfId="2202"/>
    <cellStyle name="常规 5 2 4 2 2 3 4 2 2 4" xfId="29638"/>
    <cellStyle name="常规 5 2 4 2 2 3 4 2 3" xfId="27416"/>
    <cellStyle name="常规 5 2 4 2 2 3 4 2 3 2" xfId="29577"/>
    <cellStyle name="常规 5 2 4 2 2 3 4 2 4" xfId="29640"/>
    <cellStyle name="常规 5 2 4 2 2 3 4 2 5" xfId="29641"/>
    <cellStyle name="常规 5 2 4 2 2 3 4 3" xfId="29644"/>
    <cellStyle name="常规 5 2 4 2 2 3 4 3 2" xfId="29645"/>
    <cellStyle name="常规 5 2 4 2 2 3 4 3 2 2" xfId="29609"/>
    <cellStyle name="常规 5 2 4 2 2 3 4 3 3" xfId="29646"/>
    <cellStyle name="常规 5 2 4 2 2 3 4 3 4" xfId="29647"/>
    <cellStyle name="常规 5 2 4 2 2 3 4 4" xfId="29650"/>
    <cellStyle name="常规 5 2 4 2 2 3 4 4 2" xfId="29651"/>
    <cellStyle name="常规 5 2 4 2 2 3 4 5" xfId="29652"/>
    <cellStyle name="常规 5 2 4 2 2 3 4 6" xfId="29653"/>
    <cellStyle name="常规 5 2 4 2 2 3 5" xfId="29655"/>
    <cellStyle name="常规 5 2 4 2 2 3 5 2" xfId="29658"/>
    <cellStyle name="常规 5 2 4 2 2 3 5 2 2" xfId="29659"/>
    <cellStyle name="常规 5 2 4 2 2 3 5 2 2 2" xfId="29661"/>
    <cellStyle name="常规 5 2 4 2 2 3 5 2 3" xfId="29662"/>
    <cellStyle name="常规 5 2 4 2 2 3 5 2 4" xfId="29663"/>
    <cellStyle name="常规 5 2 4 2 2 3 5 3" xfId="15672"/>
    <cellStyle name="常规 5 2 4 2 2 3 5 3 2" xfId="29664"/>
    <cellStyle name="常规 5 2 4 2 2 3 5 4" xfId="17349"/>
    <cellStyle name="常规 5 2 4 2 2 3 5 5" xfId="17374"/>
    <cellStyle name="常规 5 2 4 2 2 3 6" xfId="19183"/>
    <cellStyle name="常规 5 2 4 2 2 3 6 2" xfId="26595"/>
    <cellStyle name="常规 5 2 4 2 2 3 6 2 2" xfId="26600"/>
    <cellStyle name="常规 5 2 4 2 2 3 6 3" xfId="26605"/>
    <cellStyle name="常规 5 2 4 2 2 3 6 4" xfId="17407"/>
    <cellStyle name="常规 5 2 4 2 2 3 7" xfId="26610"/>
    <cellStyle name="常规 5 2 4 2 2 3 7 2" xfId="26615"/>
    <cellStyle name="常规 5 2 4 2 2 3 8" xfId="24048"/>
    <cellStyle name="常规 5 2 4 2 2 3 9" xfId="24068"/>
    <cellStyle name="常规 5 2 4 2 2 4" xfId="11705"/>
    <cellStyle name="常规 5 2 4 2 2 4 2" xfId="13572"/>
    <cellStyle name="常规 5 2 4 2 2 4 2 2" xfId="19778"/>
    <cellStyle name="常规 5 2 4 2 2 4 2 2 2" xfId="27467"/>
    <cellStyle name="常规 5 2 4 2 2 4 2 2 2 2" xfId="27474"/>
    <cellStyle name="常规 5 2 4 2 2 4 2 2 2 2 2" xfId="29665"/>
    <cellStyle name="常规 5 2 4 2 2 4 2 2 2 2 2 2" xfId="29667"/>
    <cellStyle name="常规 5 2 4 2 2 4 2 2 2 2 3" xfId="29668"/>
    <cellStyle name="常规 5 2 4 2 2 4 2 2 2 2 4" xfId="29669"/>
    <cellStyle name="常规 5 2 4 2 2 4 2 2 2 3" xfId="29672"/>
    <cellStyle name="常规 5 2 4 2 2 4 2 2 2 3 2" xfId="29674"/>
    <cellStyle name="常规 5 2 4 2 2 4 2 2 2 4" xfId="29677"/>
    <cellStyle name="常规 5 2 4 2 2 4 2 2 2 5" xfId="29679"/>
    <cellStyle name="常规 5 2 4 2 2 4 2 2 3" xfId="27479"/>
    <cellStyle name="常规 5 2 4 2 2 4 2 2 3 2" xfId="29680"/>
    <cellStyle name="常规 5 2 4 2 2 4 2 2 3 2 2" xfId="29681"/>
    <cellStyle name="常规 5 2 4 2 2 4 2 2 3 3" xfId="29683"/>
    <cellStyle name="常规 5 2 4 2 2 4 2 2 3 4" xfId="29685"/>
    <cellStyle name="常规 5 2 4 2 2 4 2 2 4" xfId="16954"/>
    <cellStyle name="常规 5 2 4 2 2 4 2 2 4 2" xfId="29686"/>
    <cellStyle name="常规 5 2 4 2 2 4 2 2 5" xfId="29687"/>
    <cellStyle name="常规 5 2 4 2 2 4 2 2 6" xfId="29660"/>
    <cellStyle name="常规 5 2 4 2 2 4 2 3" xfId="29690"/>
    <cellStyle name="常规 5 2 4 2 2 4 2 3 2" xfId="27489"/>
    <cellStyle name="常规 5 2 4 2 2 4 2 3 2 2" xfId="29691"/>
    <cellStyle name="常规 5 2 4 2 2 4 2 3 2 2 2" xfId="29692"/>
    <cellStyle name="常规 5 2 4 2 2 4 2 3 2 3" xfId="29693"/>
    <cellStyle name="常规 5 2 4 2 2 4 2 3 2 4" xfId="29694"/>
    <cellStyle name="常规 5 2 4 2 2 4 2 3 3" xfId="27490"/>
    <cellStyle name="常规 5 2 4 2 2 4 2 3 3 2" xfId="29695"/>
    <cellStyle name="常规 5 2 4 2 2 4 2 3 4" xfId="29696"/>
    <cellStyle name="常规 5 2 4 2 2 4 2 3 5" xfId="29697"/>
    <cellStyle name="常规 5 2 4 2 2 4 2 4" xfId="29701"/>
    <cellStyle name="常规 5 2 4 2 2 4 2 4 2" xfId="29702"/>
    <cellStyle name="常规 5 2 4 2 2 4 2 4 2 2" xfId="29703"/>
    <cellStyle name="常规 5 2 4 2 2 4 2 4 3" xfId="29704"/>
    <cellStyle name="常规 5 2 4 2 2 4 2 4 4" xfId="29705"/>
    <cellStyle name="常规 5 2 4 2 2 4 2 5" xfId="29708"/>
    <cellStyle name="常规 5 2 4 2 2 4 2 5 2" xfId="29709"/>
    <cellStyle name="常规 5 2 4 2 2 4 2 6" xfId="29710"/>
    <cellStyle name="常规 5 2 4 2 2 4 2 7" xfId="29711"/>
    <cellStyle name="常规 5 2 4 2 2 4 3" xfId="29713"/>
    <cellStyle name="常规 5 2 4 2 2 4 3 2" xfId="2469"/>
    <cellStyle name="常规 5 2 4 2 2 4 3 2 2" xfId="27508"/>
    <cellStyle name="常规 5 2 4 2 2 4 3 2 2 2" xfId="29715"/>
    <cellStyle name="常规 5 2 4 2 2 4 3 2 2 2 2" xfId="20733"/>
    <cellStyle name="常规 5 2 4 2 2 4 3 2 2 3" xfId="29716"/>
    <cellStyle name="常规 5 2 4 2 2 4 3 2 2 4" xfId="29717"/>
    <cellStyle name="常规 5 2 4 2 2 4 3 2 3" xfId="27509"/>
    <cellStyle name="常规 5 2 4 2 2 4 3 2 3 2" xfId="29720"/>
    <cellStyle name="常规 5 2 4 2 2 4 3 2 4" xfId="29721"/>
    <cellStyle name="常规 5 2 4 2 2 4 3 2 5" xfId="29722"/>
    <cellStyle name="常规 5 2 4 2 2 4 3 3" xfId="29725"/>
    <cellStyle name="常规 5 2 4 2 2 4 3 3 2" xfId="8081"/>
    <cellStyle name="常规 5 2 4 2 2 4 3 3 2 2" xfId="29726"/>
    <cellStyle name="常规 5 2 4 2 2 4 3 3 3" xfId="29727"/>
    <cellStyle name="常规 5 2 4 2 2 4 3 3 4" xfId="29728"/>
    <cellStyle name="常规 5 2 4 2 2 4 3 4" xfId="9407"/>
    <cellStyle name="常规 5 2 4 2 2 4 3 4 2" xfId="29729"/>
    <cellStyle name="常规 5 2 4 2 2 4 3 5" xfId="29730"/>
    <cellStyle name="常规 5 2 4 2 2 4 3 6" xfId="29731"/>
    <cellStyle name="常规 5 2 4 2 2 4 4" xfId="29733"/>
    <cellStyle name="常规 5 2 4 2 2 4 4 2" xfId="29736"/>
    <cellStyle name="常规 5 2 4 2 2 4 4 2 2" xfId="29737"/>
    <cellStyle name="常规 5 2 4 2 2 4 4 2 2 2" xfId="29738"/>
    <cellStyle name="常规 5 2 4 2 2 4 4 2 3" xfId="29739"/>
    <cellStyle name="常规 5 2 4 2 2 4 4 2 4" xfId="29740"/>
    <cellStyle name="常规 5 2 4 2 2 4 4 3" xfId="29742"/>
    <cellStyle name="常规 5 2 4 2 2 4 4 3 2" xfId="29743"/>
    <cellStyle name="常规 5 2 4 2 2 4 4 4" xfId="29744"/>
    <cellStyle name="常规 5 2 4 2 2 4 4 5" xfId="29745"/>
    <cellStyle name="常规 5 2 4 2 2 4 5" xfId="29747"/>
    <cellStyle name="常规 5 2 4 2 2 4 5 2" xfId="29748"/>
    <cellStyle name="常规 5 2 4 2 2 4 5 2 2" xfId="29749"/>
    <cellStyle name="常规 5 2 4 2 2 4 5 3" xfId="29750"/>
    <cellStyle name="常规 5 2 4 2 2 4 5 4" xfId="17467"/>
    <cellStyle name="常规 5 2 4 2 2 4 6" xfId="26620"/>
    <cellStyle name="常规 5 2 4 2 2 4 6 2" xfId="26625"/>
    <cellStyle name="常规 5 2 4 2 2 4 7" xfId="26629"/>
    <cellStyle name="常规 5 2 4 2 2 4 8" xfId="24095"/>
    <cellStyle name="常规 5 2 4 2 2 5" xfId="11708"/>
    <cellStyle name="常规 5 2 4 2 2 5 2" xfId="29752"/>
    <cellStyle name="常规 5 2 4 2 2 5 2 2" xfId="1497"/>
    <cellStyle name="常规 5 2 4 2 2 5 2 2 2" xfId="27548"/>
    <cellStyle name="常规 5 2 4 2 2 5 2 2 2 2" xfId="29754"/>
    <cellStyle name="常规 5 2 4 2 2 5 2 2 2 2 2" xfId="23534"/>
    <cellStyle name="常规 5 2 4 2 2 5 2 2 2 3" xfId="29756"/>
    <cellStyle name="常规 5 2 4 2 2 5 2 2 2 4" xfId="29758"/>
    <cellStyle name="常规 5 2 4 2 2 5 2 2 3" xfId="27550"/>
    <cellStyle name="常规 5 2 4 2 2 5 2 2 3 2" xfId="29760"/>
    <cellStyle name="常规 5 2 4 2 2 5 2 2 4" xfId="29761"/>
    <cellStyle name="常规 5 2 4 2 2 5 2 2 5" xfId="29762"/>
    <cellStyle name="常规 5 2 4 2 2 5 2 3" xfId="946"/>
    <cellStyle name="常规 5 2 4 2 2 5 2 3 2" xfId="29763"/>
    <cellStyle name="常规 5 2 4 2 2 5 2 3 2 2" xfId="29765"/>
    <cellStyle name="常规 5 2 4 2 2 5 2 3 3" xfId="29766"/>
    <cellStyle name="常规 5 2 4 2 2 5 2 3 4" xfId="29767"/>
    <cellStyle name="常规 5 2 4 2 2 5 2 4" xfId="956"/>
    <cellStyle name="常规 5 2 4 2 2 5 2 4 2" xfId="29768"/>
    <cellStyle name="常规 5 2 4 2 2 5 2 5" xfId="1414"/>
    <cellStyle name="常规 5 2 4 2 2 5 2 6" xfId="1438"/>
    <cellStyle name="常规 5 2 4 2 2 5 3" xfId="29770"/>
    <cellStyle name="常规 5 2 4 2 2 5 3 2" xfId="29773"/>
    <cellStyle name="常规 5 2 4 2 2 5 3 2 2" xfId="1313"/>
    <cellStyle name="常规 5 2 4 2 2 5 3 2 2 2" xfId="29776"/>
    <cellStyle name="常规 5 2 4 2 2 5 3 2 3" xfId="8457"/>
    <cellStyle name="常规 5 2 4 2 2 5 3 2 4" xfId="29777"/>
    <cellStyle name="常规 5 2 4 2 2 5 3 3" xfId="5997"/>
    <cellStyle name="常规 5 2 4 2 2 5 3 3 2" xfId="8462"/>
    <cellStyle name="常规 5 2 4 2 2 5 3 4" xfId="29778"/>
    <cellStyle name="常规 5 2 4 2 2 5 3 5" xfId="16236"/>
    <cellStyle name="常规 5 2 4 2 2 5 4" xfId="17675"/>
    <cellStyle name="常规 5 2 4 2 2 5 4 2" xfId="29779"/>
    <cellStyle name="常规 5 2 4 2 2 5 4 2 2" xfId="8473"/>
    <cellStyle name="常规 5 2 4 2 2 5 4 3" xfId="29780"/>
    <cellStyle name="常规 5 2 4 2 2 5 4 4" xfId="29781"/>
    <cellStyle name="常规 5 2 4 2 2 5 5" xfId="29783"/>
    <cellStyle name="常规 5 2 4 2 2 5 5 2" xfId="29784"/>
    <cellStyle name="常规 5 2 4 2 2 5 6" xfId="26633"/>
    <cellStyle name="常规 5 2 4 2 2 5 7" xfId="29785"/>
    <cellStyle name="常规 5 2 4 2 2 6" xfId="29786"/>
    <cellStyle name="常规 5 2 4 2 2 6 2" xfId="29788"/>
    <cellStyle name="常规 5 2 4 2 2 6 2 2" xfId="29791"/>
    <cellStyle name="常规 5 2 4 2 2 6 2 2 2" xfId="16756"/>
    <cellStyle name="常规 5 2 4 2 2 6 2 2 2 2" xfId="22513"/>
    <cellStyle name="常规 5 2 4 2 2 6 2 2 3" xfId="16759"/>
    <cellStyle name="常规 5 2 4 2 2 6 2 2 4" xfId="29792"/>
    <cellStyle name="常规 5 2 4 2 2 6 2 3" xfId="29794"/>
    <cellStyle name="常规 5 2 4 2 2 6 2 3 2" xfId="16768"/>
    <cellStyle name="常规 5 2 4 2 2 6 2 4" xfId="29795"/>
    <cellStyle name="常规 5 2 4 2 2 6 2 5" xfId="29796"/>
    <cellStyle name="常规 5 2 4 2 2 6 3" xfId="15535"/>
    <cellStyle name="常规 5 2 4 2 2 6 3 2" xfId="15537"/>
    <cellStyle name="常规 5 2 4 2 2 6 3 2 2" xfId="8514"/>
    <cellStyle name="常规 5 2 4 2 2 6 3 3" xfId="15539"/>
    <cellStyle name="常规 5 2 4 2 2 6 3 4" xfId="15541"/>
    <cellStyle name="常规 5 2 4 2 2 6 4" xfId="15544"/>
    <cellStyle name="常规 5 2 4 2 2 6 4 2" xfId="15546"/>
    <cellStyle name="常规 5 2 4 2 2 6 5" xfId="15549"/>
    <cellStyle name="常规 5 2 4 2 2 6 6" xfId="15552"/>
    <cellStyle name="常规 5 2 4 2 2 7" xfId="19113"/>
    <cellStyle name="常规 5 2 4 2 2 7 2" xfId="19117"/>
    <cellStyle name="常规 5 2 4 2 2 7 2 2" xfId="19120"/>
    <cellStyle name="常规 5 2 4 2 2 7 2 2 2" xfId="16779"/>
    <cellStyle name="常规 5 2 4 2 2 7 2 3" xfId="29798"/>
    <cellStyle name="常规 5 2 4 2 2 7 2 4" xfId="29800"/>
    <cellStyle name="常规 5 2 4 2 2 7 3" xfId="3808"/>
    <cellStyle name="常规 5 2 4 2 2 7 3 2" xfId="15556"/>
    <cellStyle name="常规 5 2 4 2 2 7 4" xfId="15559"/>
    <cellStyle name="常规 5 2 4 2 2 7 5" xfId="15563"/>
    <cellStyle name="常规 5 2 4 2 2 8" xfId="19122"/>
    <cellStyle name="常规 5 2 4 2 2 8 2" xfId="19125"/>
    <cellStyle name="常规 5 2 4 2 2 8 2 2" xfId="29802"/>
    <cellStyle name="常规 5 2 4 2 2 8 3" xfId="15567"/>
    <cellStyle name="常规 5 2 4 2 2 8 4" xfId="29804"/>
    <cellStyle name="常规 5 2 4 2 2 9" xfId="19127"/>
    <cellStyle name="常规 5 2 4 2 2 9 2" xfId="29806"/>
    <cellStyle name="常规 5 2 4 2 3" xfId="11711"/>
    <cellStyle name="常规 5 2 4 2 3 2" xfId="11715"/>
    <cellStyle name="常规 5 2 4 2 3 2 2" xfId="11719"/>
    <cellStyle name="常规 5 2 4 2 3 2 2 2" xfId="29808"/>
    <cellStyle name="常规 5 2 4 2 3 2 2 2 2" xfId="11601"/>
    <cellStyle name="常规 5 2 4 2 3 2 2 2 2 2" xfId="11606"/>
    <cellStyle name="常规 5 2 4 2 3 2 2 2 2 2 2" xfId="11610"/>
    <cellStyle name="常规 5 2 4 2 3 2 2 2 2 2 2 2" xfId="29809"/>
    <cellStyle name="常规 5 2 4 2 3 2 2 2 2 2 3" xfId="29811"/>
    <cellStyle name="常规 5 2 4 2 3 2 2 2 2 2 4" xfId="29812"/>
    <cellStyle name="常规 5 2 4 2 3 2 2 2 2 3" xfId="11614"/>
    <cellStyle name="常规 5 2 4 2 3 2 2 2 2 3 2" xfId="29813"/>
    <cellStyle name="常规 5 2 4 2 3 2 2 2 2 4" xfId="11618"/>
    <cellStyle name="常规 5 2 4 2 3 2 2 2 2 5" xfId="29814"/>
    <cellStyle name="常规 5 2 4 2 3 2 2 2 3" xfId="11623"/>
    <cellStyle name="常规 5 2 4 2 3 2 2 2 3 2" xfId="11627"/>
    <cellStyle name="常规 5 2 4 2 3 2 2 2 3 2 2" xfId="29815"/>
    <cellStyle name="常规 5 2 4 2 3 2 2 2 3 3" xfId="29816"/>
    <cellStyle name="常规 5 2 4 2 3 2 2 2 3 4" xfId="29818"/>
    <cellStyle name="常规 5 2 4 2 3 2 2 2 4" xfId="11632"/>
    <cellStyle name="常规 5 2 4 2 3 2 2 2 4 2" xfId="29820"/>
    <cellStyle name="常规 5 2 4 2 3 2 2 2 5" xfId="11637"/>
    <cellStyle name="常规 5 2 4 2 3 2 2 2 6" xfId="29714"/>
    <cellStyle name="常规 5 2 4 2 3 2 2 3" xfId="29822"/>
    <cellStyle name="常规 5 2 4 2 3 2 2 3 2" xfId="11733"/>
    <cellStyle name="常规 5 2 4 2 3 2 2 3 2 2" xfId="11738"/>
    <cellStyle name="常规 5 2 4 2 3 2 2 3 2 2 2" xfId="23857"/>
    <cellStyle name="常规 5 2 4 2 3 2 2 3 2 3" xfId="29824"/>
    <cellStyle name="常规 5 2 4 2 3 2 2 3 2 4" xfId="29826"/>
    <cellStyle name="常规 5 2 4 2 3 2 2 3 3" xfId="11745"/>
    <cellStyle name="常规 5 2 4 2 3 2 2 3 3 2" xfId="13040"/>
    <cellStyle name="常规 5 2 4 2 3 2 2 3 4" xfId="11751"/>
    <cellStyle name="常规 5 2 4 2 3 2 2 3 5" xfId="29829"/>
    <cellStyle name="常规 5 2 4 2 3 2 2 4" xfId="29831"/>
    <cellStyle name="常规 5 2 4 2 3 2 2 4 2" xfId="11774"/>
    <cellStyle name="常规 5 2 4 2 3 2 2 4 2 2" xfId="13557"/>
    <cellStyle name="常规 5 2 4 2 3 2 2 4 3" xfId="11780"/>
    <cellStyle name="常规 5 2 4 2 3 2 2 4 4" xfId="29835"/>
    <cellStyle name="常规 5 2 4 2 3 2 2 5" xfId="29837"/>
    <cellStyle name="常规 5 2 4 2 3 2 2 5 2" xfId="11793"/>
    <cellStyle name="常规 5 2 4 2 3 2 2 6" xfId="29840"/>
    <cellStyle name="常规 5 2 4 2 3 2 2 7" xfId="14151"/>
    <cellStyle name="常规 5 2 4 2 3 2 3" xfId="29841"/>
    <cellStyle name="常规 5 2 4 2 3 2 3 2" xfId="29843"/>
    <cellStyle name="常规 5 2 4 2 3 2 3 2 2" xfId="11876"/>
    <cellStyle name="常规 5 2 4 2 3 2 3 2 2 2" xfId="11880"/>
    <cellStyle name="常规 5 2 4 2 3 2 3 2 2 2 2" xfId="29844"/>
    <cellStyle name="常规 5 2 4 2 3 2 3 2 2 3" xfId="29845"/>
    <cellStyle name="常规 5 2 4 2 3 2 3 2 2 4" xfId="29846"/>
    <cellStyle name="常规 5 2 4 2 3 2 3 2 3" xfId="11885"/>
    <cellStyle name="常规 5 2 4 2 3 2 3 2 3 2" xfId="29847"/>
    <cellStyle name="常规 5 2 4 2 3 2 3 2 4" xfId="11889"/>
    <cellStyle name="常规 5 2 4 2 3 2 3 2 5" xfId="29848"/>
    <cellStyle name="常规 5 2 4 2 3 2 3 3" xfId="29850"/>
    <cellStyle name="常规 5 2 4 2 3 2 3 3 2" xfId="11937"/>
    <cellStyle name="常规 5 2 4 2 3 2 3 3 2 2" xfId="2048"/>
    <cellStyle name="常规 5 2 4 2 3 2 3 3 3" xfId="11940"/>
    <cellStyle name="常规 5 2 4 2 3 2 3 3 4" xfId="29854"/>
    <cellStyle name="常规 5 2 4 2 3 2 3 4" xfId="29856"/>
    <cellStyle name="常规 5 2 4 2 3 2 3 4 2" xfId="11961"/>
    <cellStyle name="常规 5 2 4 2 3 2 3 5" xfId="29858"/>
    <cellStyle name="常规 5 2 4 2 3 2 3 6" xfId="29859"/>
    <cellStyle name="常规 5 2 4 2 3 2 4" xfId="29861"/>
    <cellStyle name="常规 5 2 4 2 3 2 4 2" xfId="17869"/>
    <cellStyle name="常规 5 2 4 2 3 2 4 2 2" xfId="12034"/>
    <cellStyle name="常规 5 2 4 2 3 2 4 2 2 2" xfId="20205"/>
    <cellStyle name="常规 5 2 4 2 3 2 4 2 3" xfId="12036"/>
    <cellStyle name="常规 5 2 4 2 3 2 4 2 4" xfId="29863"/>
    <cellStyle name="常规 5 2 4 2 3 2 4 3" xfId="17872"/>
    <cellStyle name="常规 5 2 4 2 3 2 4 3 2" xfId="12070"/>
    <cellStyle name="常规 5 2 4 2 3 2 4 4" xfId="17875"/>
    <cellStyle name="常规 5 2 4 2 3 2 4 5" xfId="29864"/>
    <cellStyle name="常规 5 2 4 2 3 2 5" xfId="29365"/>
    <cellStyle name="常规 5 2 4 2 3 2 5 2" xfId="17886"/>
    <cellStyle name="常规 5 2 4 2 3 2 5 2 2" xfId="12129"/>
    <cellStyle name="常规 5 2 4 2 3 2 5 3" xfId="15687"/>
    <cellStyle name="常规 5 2 4 2 3 2 5 4" xfId="5443"/>
    <cellStyle name="常规 5 2 4 2 3 2 6" xfId="26648"/>
    <cellStyle name="常规 5 2 4 2 3 2 6 2" xfId="26652"/>
    <cellStyle name="常规 5 2 4 2 3 2 7" xfId="26660"/>
    <cellStyle name="常规 5 2 4 2 3 2 8" xfId="26666"/>
    <cellStyle name="常规 5 2 4 2 3 3" xfId="11722"/>
    <cellStyle name="常规 5 2 4 2 3 3 2" xfId="29866"/>
    <cellStyle name="常规 5 2 4 2 3 3 2 2" xfId="29869"/>
    <cellStyle name="常规 5 2 4 2 3 3 2 2 2" xfId="12351"/>
    <cellStyle name="常规 5 2 4 2 3 3 2 2 2 2" xfId="28478"/>
    <cellStyle name="常规 5 2 4 2 3 3 2 2 2 2 2" xfId="29871"/>
    <cellStyle name="常规 5 2 4 2 3 3 2 2 2 3" xfId="29874"/>
    <cellStyle name="常规 5 2 4 2 3 3 2 2 2 4" xfId="29876"/>
    <cellStyle name="常规 5 2 4 2 3 3 2 2 3" xfId="12357"/>
    <cellStyle name="常规 5 2 4 2 3 3 2 2 3 2" xfId="29878"/>
    <cellStyle name="常规 5 2 4 2 3 3 2 2 4" xfId="28482"/>
    <cellStyle name="常规 5 2 4 2 3 3 2 2 5" xfId="29880"/>
    <cellStyle name="常规 5 2 4 2 3 3 2 3" xfId="29883"/>
    <cellStyle name="常规 5 2 4 2 3 3 2 3 2" xfId="12375"/>
    <cellStyle name="常规 5 2 4 2 3 3 2 3 2 2" xfId="29885"/>
    <cellStyle name="常规 5 2 4 2 3 3 2 3 3" xfId="28488"/>
    <cellStyle name="常规 5 2 4 2 3 3 2 3 4" xfId="29888"/>
    <cellStyle name="常规 5 2 4 2 3 3 2 4" xfId="29891"/>
    <cellStyle name="常规 5 2 4 2 3 3 2 4 2" xfId="29893"/>
    <cellStyle name="常规 5 2 4 2 3 3 2 5" xfId="29896"/>
    <cellStyle name="常规 5 2 4 2 3 3 2 6" xfId="29898"/>
    <cellStyle name="常规 5 2 4 2 3 3 3" xfId="29900"/>
    <cellStyle name="常规 5 2 4 2 3 3 3 2" xfId="29903"/>
    <cellStyle name="常规 5 2 4 2 3 3 3 2 2" xfId="12404"/>
    <cellStyle name="常规 5 2 4 2 3 3 3 2 2 2" xfId="29906"/>
    <cellStyle name="常规 5 2 4 2 3 3 3 2 3" xfId="28499"/>
    <cellStyle name="常规 5 2 4 2 3 3 3 2 4" xfId="29908"/>
    <cellStyle name="常规 5 2 4 2 3 3 3 3" xfId="29911"/>
    <cellStyle name="常规 5 2 4 2 3 3 3 3 2" xfId="29913"/>
    <cellStyle name="常规 5 2 4 2 3 3 3 4" xfId="29916"/>
    <cellStyle name="常规 5 2 4 2 3 3 3 5" xfId="29919"/>
    <cellStyle name="常规 5 2 4 2 3 3 4" xfId="29921"/>
    <cellStyle name="常规 5 2 4 2 3 3 4 2" xfId="17907"/>
    <cellStyle name="常规 5 2 4 2 3 3 4 2 2" xfId="29923"/>
    <cellStyle name="常规 5 2 4 2 3 3 4 3" xfId="17911"/>
    <cellStyle name="常规 5 2 4 2 3 3 4 4" xfId="29925"/>
    <cellStyle name="常规 5 2 4 2 3 3 5" xfId="29369"/>
    <cellStyle name="常规 5 2 4 2 3 3 5 2" xfId="29372"/>
    <cellStyle name="常规 5 2 4 2 3 3 6" xfId="26673"/>
    <cellStyle name="常规 5 2 4 2 3 3 7" xfId="26683"/>
    <cellStyle name="常规 5 2 4 2 3 4" xfId="11725"/>
    <cellStyle name="常规 5 2 4 2 3 4 2" xfId="29927"/>
    <cellStyle name="常规 5 2 4 2 3 4 2 2" xfId="29931"/>
    <cellStyle name="常规 5 2 4 2 3 4 2 2 2" xfId="12629"/>
    <cellStyle name="常规 5 2 4 2 3 4 2 2 2 2" xfId="22523"/>
    <cellStyle name="常规 5 2 4 2 3 4 2 2 3" xfId="12632"/>
    <cellStyle name="常规 5 2 4 2 3 4 2 2 4" xfId="29934"/>
    <cellStyle name="常规 5 2 4 2 3 4 2 3" xfId="29938"/>
    <cellStyle name="常规 5 2 4 2 3 4 2 3 2" xfId="12652"/>
    <cellStyle name="常规 5 2 4 2 3 4 2 4" xfId="5179"/>
    <cellStyle name="常规 5 2 4 2 3 4 2 5" xfId="6583"/>
    <cellStyle name="常规 5 2 4 2 3 4 3" xfId="29940"/>
    <cellStyle name="常规 5 2 4 2 3 4 3 2" xfId="7779"/>
    <cellStyle name="常规 5 2 4 2 3 4 3 2 2" xfId="1269"/>
    <cellStyle name="常规 5 2 4 2 3 4 3 3" xfId="2969"/>
    <cellStyle name="常规 5 2 4 2 3 4 3 4" xfId="6588"/>
    <cellStyle name="常规 5 2 4 2 3 4 4" xfId="29942"/>
    <cellStyle name="常规 5 2 4 2 3 4 4 2" xfId="7797"/>
    <cellStyle name="常规 5 2 4 2 3 4 5" xfId="29376"/>
    <cellStyle name="常规 5 2 4 2 3 4 6" xfId="26692"/>
    <cellStyle name="常规 5 2 4 2 3 5" xfId="29943"/>
    <cellStyle name="常规 5 2 4 2 3 5 2" xfId="29945"/>
    <cellStyle name="常规 5 2 4 2 3 5 2 2" xfId="29949"/>
    <cellStyle name="常规 5 2 4 2 3 5 2 2 2" xfId="12857"/>
    <cellStyle name="常规 5 2 4 2 3 5 2 3" xfId="29953"/>
    <cellStyle name="常规 5 2 4 2 3 5 2 4" xfId="6596"/>
    <cellStyle name="常规 5 2 4 2 3 5 3" xfId="29955"/>
    <cellStyle name="常规 5 2 4 2 3 5 3 2" xfId="6080"/>
    <cellStyle name="常规 5 2 4 2 3 5 4" xfId="29957"/>
    <cellStyle name="常规 5 2 4 2 3 5 5" xfId="29959"/>
    <cellStyle name="常规 5 2 4 2 3 6" xfId="29960"/>
    <cellStyle name="常规 5 2 4 2 3 6 2" xfId="29962"/>
    <cellStyle name="常规 5 2 4 2 3 6 2 2" xfId="29965"/>
    <cellStyle name="常规 5 2 4 2 3 6 3" xfId="15577"/>
    <cellStyle name="常规 5 2 4 2 3 6 4" xfId="15580"/>
    <cellStyle name="常规 5 2 4 2 3 7" xfId="19131"/>
    <cellStyle name="常规 5 2 4 2 3 7 2" xfId="19135"/>
    <cellStyle name="常规 5 2 4 2 3 8" xfId="19137"/>
    <cellStyle name="常规 5 2 4 2 3 9" xfId="19139"/>
    <cellStyle name="常规 5 2 4 2 4" xfId="11732"/>
    <cellStyle name="常规 5 2 4 2 4 2" xfId="11737"/>
    <cellStyle name="常规 5 2 4 2 4 2 2" xfId="23855"/>
    <cellStyle name="常规 5 2 4 2 4 2 2 2" xfId="23860"/>
    <cellStyle name="常规 5 2 4 2 4 2 2 2 2" xfId="13943"/>
    <cellStyle name="常规 5 2 4 2 4 2 2 2 2 2" xfId="24875"/>
    <cellStyle name="常规 5 2 4 2 4 2 2 2 2 2 2" xfId="29967"/>
    <cellStyle name="常规 5 2 4 2 4 2 2 2 2 2 2 2" xfId="29968"/>
    <cellStyle name="常规 5 2 4 2 4 2 2 2 2 2 3" xfId="7704"/>
    <cellStyle name="常规 5 2 4 2 4 2 2 2 2 2 4" xfId="7706"/>
    <cellStyle name="常规 5 2 4 2 4 2 2 2 2 3" xfId="29969"/>
    <cellStyle name="常规 5 2 4 2 4 2 2 2 2 3 2" xfId="23817"/>
    <cellStyle name="常规 5 2 4 2 4 2 2 2 2 4" xfId="29970"/>
    <cellStyle name="常规 5 2 4 2 4 2 2 2 2 5" xfId="29971"/>
    <cellStyle name="常规 5 2 4 2 4 2 2 2 3" xfId="13946"/>
    <cellStyle name="常规 5 2 4 2 4 2 2 2 3 2" xfId="29972"/>
    <cellStyle name="常规 5 2 4 2 4 2 2 2 3 2 2" xfId="29973"/>
    <cellStyle name="常规 5 2 4 2 4 2 2 2 3 3" xfId="29974"/>
    <cellStyle name="常规 5 2 4 2 4 2 2 2 3 4" xfId="29975"/>
    <cellStyle name="常规 5 2 4 2 4 2 2 2 4" xfId="24878"/>
    <cellStyle name="常规 5 2 4 2 4 2 2 2 4 2" xfId="29977"/>
    <cellStyle name="常规 5 2 4 2 4 2 2 2 5" xfId="29978"/>
    <cellStyle name="常规 5 2 4 2 4 2 2 2 6" xfId="29774"/>
    <cellStyle name="常规 5 2 4 2 4 2 2 3" xfId="24881"/>
    <cellStyle name="常规 5 2 4 2 4 2 2 3 2" xfId="13976"/>
    <cellStyle name="常规 5 2 4 2 4 2 2 3 2 2" xfId="29980"/>
    <cellStyle name="常规 5 2 4 2 4 2 2 3 2 2 2" xfId="29982"/>
    <cellStyle name="常规 5 2 4 2 4 2 2 3 2 3" xfId="23384"/>
    <cellStyle name="常规 5 2 4 2 4 2 2 3 2 4" xfId="23387"/>
    <cellStyle name="常规 5 2 4 2 4 2 2 3 3" xfId="29043"/>
    <cellStyle name="常规 5 2 4 2 4 2 2 3 3 2" xfId="29985"/>
    <cellStyle name="常规 5 2 4 2 4 2 2 3 4" xfId="29987"/>
    <cellStyle name="常规 5 2 4 2 4 2 2 3 5" xfId="29990"/>
    <cellStyle name="常规 5 2 4 2 4 2 2 4" xfId="24886"/>
    <cellStyle name="常规 5 2 4 2 4 2 2 4 2" xfId="29992"/>
    <cellStyle name="常规 5 2 4 2 4 2 2 4 2 2" xfId="29994"/>
    <cellStyle name="常规 5 2 4 2 4 2 2 4 3" xfId="29997"/>
    <cellStyle name="常规 5 2 4 2 4 2 2 4 4" xfId="29999"/>
    <cellStyle name="常规 5 2 4 2 4 2 2 5" xfId="24891"/>
    <cellStyle name="常规 5 2 4 2 4 2 2 5 2" xfId="8493"/>
    <cellStyle name="常规 5 2 4 2 4 2 2 6" xfId="30000"/>
    <cellStyle name="常规 5 2 4 2 4 2 2 7" xfId="30005"/>
    <cellStyle name="常规 5 2 4 2 4 2 3" xfId="23863"/>
    <cellStyle name="常规 5 2 4 2 4 2 3 2" xfId="25077"/>
    <cellStyle name="常规 5 2 4 2 4 2 3 2 2" xfId="14025"/>
    <cellStyle name="常规 5 2 4 2 4 2 3 2 2 2" xfId="25079"/>
    <cellStyle name="常规 5 2 4 2 4 2 3 2 2 2 2" xfId="5282"/>
    <cellStyle name="常规 5 2 4 2 4 2 3 2 2 3" xfId="16852"/>
    <cellStyle name="常规 5 2 4 2 4 2 3 2 2 4" xfId="16854"/>
    <cellStyle name="常规 5 2 4 2 4 2 3 2 3" xfId="16787"/>
    <cellStyle name="常规 5 2 4 2 4 2 3 2 3 2" xfId="30006"/>
    <cellStyle name="常规 5 2 4 2 4 2 3 2 4" xfId="25081"/>
    <cellStyle name="常规 5 2 4 2 4 2 3 2 5" xfId="30007"/>
    <cellStyle name="常规 5 2 4 2 4 2 3 3" xfId="25084"/>
    <cellStyle name="常规 5 2 4 2 4 2 3 3 2" xfId="25089"/>
    <cellStyle name="常规 5 2 4 2 4 2 3 3 2 2" xfId="30009"/>
    <cellStyle name="常规 5 2 4 2 4 2 3 3 3" xfId="30011"/>
    <cellStyle name="常规 5 2 4 2 4 2 3 3 4" xfId="30012"/>
    <cellStyle name="常规 5 2 4 2 4 2 3 4" xfId="25092"/>
    <cellStyle name="常规 5 2 4 2 4 2 3 4 2" xfId="803"/>
    <cellStyle name="常规 5 2 4 2 4 2 3 5" xfId="25095"/>
    <cellStyle name="常规 5 2 4 2 4 2 3 6" xfId="30013"/>
    <cellStyle name="常规 5 2 4 2 4 2 4" xfId="23865"/>
    <cellStyle name="常规 5 2 4 2 4 2 4 2" xfId="17943"/>
    <cellStyle name="常规 5 2 4 2 4 2 4 2 2" xfId="25184"/>
    <cellStyle name="常规 5 2 4 2 4 2 4 2 2 2" xfId="29434"/>
    <cellStyle name="常规 5 2 4 2 4 2 4 2 3" xfId="30014"/>
    <cellStyle name="常规 5 2 4 2 4 2 4 2 4" xfId="30016"/>
    <cellStyle name="常规 5 2 4 2 4 2 4 3" xfId="17946"/>
    <cellStyle name="常规 5 2 4 2 4 2 4 3 2" xfId="30018"/>
    <cellStyle name="常规 5 2 4 2 4 2 4 4" xfId="25186"/>
    <cellStyle name="常规 5 2 4 2 4 2 4 5" xfId="30020"/>
    <cellStyle name="常规 5 2 4 2 4 2 5" xfId="29381"/>
    <cellStyle name="常规 5 2 4 2 4 2 5 2" xfId="25246"/>
    <cellStyle name="常规 5 2 4 2 4 2 5 2 2" xfId="30021"/>
    <cellStyle name="常规 5 2 4 2 4 2 5 3" xfId="25249"/>
    <cellStyle name="常规 5 2 4 2 4 2 5 4" xfId="15955"/>
    <cellStyle name="常规 5 2 4 2 4 2 6" xfId="26706"/>
    <cellStyle name="常规 5 2 4 2 4 2 6 2" xfId="24663"/>
    <cellStyle name="常规 5 2 4 2 4 2 7" xfId="1026"/>
    <cellStyle name="常规 5 2 4 2 4 2 8" xfId="10057"/>
    <cellStyle name="常规 5 2 4 2 4 3" xfId="29823"/>
    <cellStyle name="常规 5 2 4 2 4 3 2" xfId="23878"/>
    <cellStyle name="常规 5 2 4 2 4 3 2 2" xfId="25446"/>
    <cellStyle name="常规 5 2 4 2 4 3 2 2 2" xfId="14238"/>
    <cellStyle name="常规 5 2 4 2 4 3 2 2 2 2" xfId="30004"/>
    <cellStyle name="常规 5 2 4 2 4 3 2 2 2 2 2" xfId="8688"/>
    <cellStyle name="常规 5 2 4 2 4 3 2 2 2 3" xfId="30023"/>
    <cellStyle name="常规 5 2 4 2 4 3 2 2 2 4" xfId="30025"/>
    <cellStyle name="常规 5 2 4 2 4 3 2 2 3" xfId="14244"/>
    <cellStyle name="常规 5 2 4 2 4 3 2 2 3 2" xfId="30027"/>
    <cellStyle name="常规 5 2 4 2 4 3 2 2 4" xfId="5878"/>
    <cellStyle name="常规 5 2 4 2 4 3 2 2 5" xfId="30028"/>
    <cellStyle name="常规 5 2 4 2 4 3 2 3" xfId="25448"/>
    <cellStyle name="常规 5 2 4 2 4 3 2 3 2" xfId="14263"/>
    <cellStyle name="常规 5 2 4 2 4 3 2 3 2 2" xfId="30032"/>
    <cellStyle name="常规 5 2 4 2 4 3 2 3 3" xfId="30035"/>
    <cellStyle name="常规 5 2 4 2 4 3 2 3 4" xfId="30037"/>
    <cellStyle name="常规 5 2 4 2 4 3 2 4" xfId="25454"/>
    <cellStyle name="常规 5 2 4 2 4 3 2 4 2" xfId="30039"/>
    <cellStyle name="常规 5 2 4 2 4 3 2 5" xfId="30040"/>
    <cellStyle name="常规 5 2 4 2 4 3 2 6" xfId="30043"/>
    <cellStyle name="常规 5 2 4 2 4 3 3" xfId="23881"/>
    <cellStyle name="常规 5 2 4 2 4 3 3 2" xfId="25512"/>
    <cellStyle name="常规 5 2 4 2 4 3 3 2 2" xfId="9033"/>
    <cellStyle name="常规 5 2 4 2 4 3 3 2 2 2" xfId="30045"/>
    <cellStyle name="常规 5 2 4 2 4 3 3 2 3" xfId="18940"/>
    <cellStyle name="常规 5 2 4 2 4 3 3 2 4" xfId="24522"/>
    <cellStyle name="常规 5 2 4 2 4 3 3 3" xfId="25514"/>
    <cellStyle name="常规 5 2 4 2 4 3 3 3 2" xfId="30047"/>
    <cellStyle name="常规 5 2 4 2 4 3 3 4" xfId="30049"/>
    <cellStyle name="常规 5 2 4 2 4 3 3 5" xfId="30051"/>
    <cellStyle name="常规 5 2 4 2 4 3 4" xfId="30053"/>
    <cellStyle name="常规 5 2 4 2 4 3 4 2" xfId="25545"/>
    <cellStyle name="常规 5 2 4 2 4 3 4 2 2" xfId="30055"/>
    <cellStyle name="常规 5 2 4 2 4 3 4 3" xfId="30056"/>
    <cellStyle name="常规 5 2 4 2 4 3 4 4" xfId="30057"/>
    <cellStyle name="常规 5 2 4 2 4 3 5" xfId="29385"/>
    <cellStyle name="常规 5 2 4 2 4 3 5 2" xfId="30058"/>
    <cellStyle name="常规 5 2 4 2 4 3 6" xfId="26717"/>
    <cellStyle name="常规 5 2 4 2 4 3 7" xfId="10063"/>
    <cellStyle name="常规 5 2 4 2 4 4" xfId="29825"/>
    <cellStyle name="常规 5 2 4 2 4 4 2" xfId="23888"/>
    <cellStyle name="常规 5 2 4 2 4 4 2 2" xfId="25721"/>
    <cellStyle name="常规 5 2 4 2 4 4 2 2 2" xfId="14416"/>
    <cellStyle name="常规 5 2 4 2 4 4 2 2 2 2" xfId="30062"/>
    <cellStyle name="常规 5 2 4 2 4 4 2 2 3" xfId="30067"/>
    <cellStyle name="常规 5 2 4 2 4 4 2 2 4" xfId="30071"/>
    <cellStyle name="常规 5 2 4 2 4 4 2 3" xfId="25724"/>
    <cellStyle name="常规 5 2 4 2 4 4 2 3 2" xfId="30074"/>
    <cellStyle name="常规 5 2 4 2 4 4 2 4" xfId="2268"/>
    <cellStyle name="常规 5 2 4 2 4 4 2 5" xfId="30076"/>
    <cellStyle name="常规 5 2 4 2 4 4 3" xfId="5569"/>
    <cellStyle name="常规 5 2 4 2 4 4 3 2" xfId="5576"/>
    <cellStyle name="常规 5 2 4 2 4 4 3 2 2" xfId="3758"/>
    <cellStyle name="常规 5 2 4 2 4 4 3 3" xfId="5585"/>
    <cellStyle name="常规 5 2 4 2 4 4 3 4" xfId="5591"/>
    <cellStyle name="常规 5 2 4 2 4 4 4" xfId="5595"/>
    <cellStyle name="常规 5 2 4 2 4 4 4 2" xfId="5600"/>
    <cellStyle name="常规 5 2 4 2 4 4 5" xfId="4947"/>
    <cellStyle name="常规 5 2 4 2 4 4 6" xfId="4959"/>
    <cellStyle name="常规 5 2 4 2 4 5" xfId="30077"/>
    <cellStyle name="常规 5 2 4 2 4 5 2" xfId="30079"/>
    <cellStyle name="常规 5 2 4 2 4 5 2 2" xfId="25806"/>
    <cellStyle name="常规 5 2 4 2 4 5 2 2 2" xfId="572"/>
    <cellStyle name="常规 5 2 4 2 4 5 2 3" xfId="25809"/>
    <cellStyle name="常规 5 2 4 2 4 5 2 4" xfId="30081"/>
    <cellStyle name="常规 5 2 4 2 4 5 3" xfId="5637"/>
    <cellStyle name="常规 5 2 4 2 4 5 3 2" xfId="5643"/>
    <cellStyle name="常规 5 2 4 2 4 5 4" xfId="5649"/>
    <cellStyle name="常规 5 2 4 2 4 5 5" xfId="4978"/>
    <cellStyle name="常规 5 2 4 2 4 6" xfId="30082"/>
    <cellStyle name="常规 5 2 4 2 4 6 2" xfId="30084"/>
    <cellStyle name="常规 5 2 4 2 4 6 2 2" xfId="25860"/>
    <cellStyle name="常规 5 2 4 2 4 6 3" xfId="5664"/>
    <cellStyle name="常规 5 2 4 2 4 6 4" xfId="30086"/>
    <cellStyle name="常规 5 2 4 2 4 7" xfId="19143"/>
    <cellStyle name="常规 5 2 4 2 4 7 2" xfId="30088"/>
    <cellStyle name="常规 5 2 4 2 4 8" xfId="30089"/>
    <cellStyle name="常规 5 2 4 2 4 9" xfId="30090"/>
    <cellStyle name="常规 5 2 4 2 5" xfId="11744"/>
    <cellStyle name="常规 5 2 4 2 5 2" xfId="13039"/>
    <cellStyle name="常规 5 2 4 2 5 2 2" xfId="13044"/>
    <cellStyle name="常规 5 2 4 2 5 2 2 2" xfId="13049"/>
    <cellStyle name="常规 5 2 4 2 5 2 2 2 2" xfId="13053"/>
    <cellStyle name="常规 5 2 4 2 5 2 2 2 2 2" xfId="30091"/>
    <cellStyle name="常规 5 2 4 2 5 2 2 2 2 2 2" xfId="30092"/>
    <cellStyle name="常规 5 2 4 2 5 2 2 2 2 3" xfId="2281"/>
    <cellStyle name="常规 5 2 4 2 5 2 2 2 2 4" xfId="3837"/>
    <cellStyle name="常规 5 2 4 2 5 2 2 2 3" xfId="14952"/>
    <cellStyle name="常规 5 2 4 2 5 2 2 2 3 2" xfId="30093"/>
    <cellStyle name="常规 5 2 4 2 5 2 2 2 4" xfId="22985"/>
    <cellStyle name="常规 5 2 4 2 5 2 2 2 5" xfId="22987"/>
    <cellStyle name="常规 5 2 4 2 5 2 2 3" xfId="13057"/>
    <cellStyle name="常规 5 2 4 2 5 2 2 3 2" xfId="14968"/>
    <cellStyle name="常规 5 2 4 2 5 2 2 3 2 2" xfId="26907"/>
    <cellStyle name="常规 5 2 4 2 5 2 2 3 3" xfId="30094"/>
    <cellStyle name="常规 5 2 4 2 5 2 2 3 4" xfId="22992"/>
    <cellStyle name="常规 5 2 4 2 5 2 2 4" xfId="13065"/>
    <cellStyle name="常规 5 2 4 2 5 2 2 4 2" xfId="30099"/>
    <cellStyle name="常规 5 2 4 2 5 2 2 5" xfId="30100"/>
    <cellStyle name="常规 5 2 4 2 5 2 2 6" xfId="30104"/>
    <cellStyle name="常规 5 2 4 2 5 2 3" xfId="13071"/>
    <cellStyle name="常规 5 2 4 2 5 2 3 2" xfId="13075"/>
    <cellStyle name="常规 5 2 4 2 5 2 3 2 2" xfId="14991"/>
    <cellStyle name="常规 5 2 4 2 5 2 3 2 2 2" xfId="30105"/>
    <cellStyle name="常规 5 2 4 2 5 2 3 2 3" xfId="30106"/>
    <cellStyle name="常规 5 2 4 2 5 2 3 2 4" xfId="23038"/>
    <cellStyle name="常规 5 2 4 2 5 2 3 3" xfId="26080"/>
    <cellStyle name="常规 5 2 4 2 5 2 3 3 2" xfId="30108"/>
    <cellStyle name="常规 5 2 4 2 5 2 3 4" xfId="30111"/>
    <cellStyle name="常规 5 2 4 2 5 2 3 5" xfId="30113"/>
    <cellStyle name="常规 5 2 4 2 5 2 4" xfId="13078"/>
    <cellStyle name="常规 5 2 4 2 5 2 4 2" xfId="26111"/>
    <cellStyle name="常规 5 2 4 2 5 2 4 2 2" xfId="30114"/>
    <cellStyle name="常规 5 2 4 2 5 2 4 3" xfId="30117"/>
    <cellStyle name="常规 5 2 4 2 5 2 4 4" xfId="30118"/>
    <cellStyle name="常规 5 2 4 2 5 2 5" xfId="13080"/>
    <cellStyle name="常规 5 2 4 2 5 2 5 2" xfId="30119"/>
    <cellStyle name="常规 5 2 4 2 5 2 6" xfId="26730"/>
    <cellStyle name="常规 5 2 4 2 5 2 7" xfId="10111"/>
    <cellStyle name="常规 5 2 4 2 5 3" xfId="30121"/>
    <cellStyle name="常规 5 2 4 2 5 3 2" xfId="23908"/>
    <cellStyle name="常规 5 2 4 2 5 3 2 2" xfId="26228"/>
    <cellStyle name="常规 5 2 4 2 5 3 2 2 2" xfId="15079"/>
    <cellStyle name="常规 5 2 4 2 5 3 2 2 2 2" xfId="30123"/>
    <cellStyle name="常规 5 2 4 2 5 3 2 2 3" xfId="30125"/>
    <cellStyle name="常规 5 2 4 2 5 3 2 2 4" xfId="23176"/>
    <cellStyle name="常规 5 2 4 2 5 3 2 3" xfId="26230"/>
    <cellStyle name="常规 5 2 4 2 5 3 2 3 2" xfId="30128"/>
    <cellStyle name="常规 5 2 4 2 5 3 2 4" xfId="26238"/>
    <cellStyle name="常规 5 2 4 2 5 3 2 5" xfId="30131"/>
    <cellStyle name="常规 5 2 4 2 5 3 3" xfId="30133"/>
    <cellStyle name="常规 5 2 4 2 5 3 3 2" xfId="26275"/>
    <cellStyle name="常规 5 2 4 2 5 3 3 2 2" xfId="30135"/>
    <cellStyle name="常规 5 2 4 2 5 3 3 3" xfId="26279"/>
    <cellStyle name="常规 5 2 4 2 5 3 3 4" xfId="30136"/>
    <cellStyle name="常规 5 2 4 2 5 3 4" xfId="30138"/>
    <cellStyle name="常规 5 2 4 2 5 3 4 2" xfId="26298"/>
    <cellStyle name="常规 5 2 4 2 5 3 5" xfId="30140"/>
    <cellStyle name="常规 5 2 4 2 5 3 6" xfId="30141"/>
    <cellStyle name="常规 5 2 4 2 5 4" xfId="30143"/>
    <cellStyle name="常规 5 2 4 2 5 4 2" xfId="30145"/>
    <cellStyle name="常规 5 2 4 2 5 4 2 2" xfId="26398"/>
    <cellStyle name="常规 5 2 4 2 5 4 2 2 2" xfId="30148"/>
    <cellStyle name="常规 5 2 4 2 5 4 2 3" xfId="26403"/>
    <cellStyle name="常规 5 2 4 2 5 4 2 4" xfId="10766"/>
    <cellStyle name="常规 5 2 4 2 5 4 3" xfId="5746"/>
    <cellStyle name="常规 5 2 4 2 5 4 3 2" xfId="5754"/>
    <cellStyle name="常规 5 2 4 2 5 4 4" xfId="5761"/>
    <cellStyle name="常规 5 2 4 2 5 4 5" xfId="74"/>
    <cellStyle name="常规 5 2 4 2 5 5" xfId="30149"/>
    <cellStyle name="常规 5 2 4 2 5 5 2" xfId="30151"/>
    <cellStyle name="常规 5 2 4 2 5 5 2 2" xfId="26479"/>
    <cellStyle name="常规 5 2 4 2 5 5 3" xfId="5781"/>
    <cellStyle name="常规 5 2 4 2 5 5 4" xfId="30152"/>
    <cellStyle name="常规 5 2 4 2 5 6" xfId="30153"/>
    <cellStyle name="常规 5 2 4 2 5 6 2" xfId="30155"/>
    <cellStyle name="常规 5 2 4 2 5 7" xfId="30157"/>
    <cellStyle name="常规 5 2 4 2 5 8" xfId="30159"/>
    <cellStyle name="常规 5 2 4 2 6" xfId="11750"/>
    <cellStyle name="常规 5 2 4 2 6 2" xfId="14616"/>
    <cellStyle name="常规 5 2 4 2 6 2 2" xfId="14620"/>
    <cellStyle name="常规 5 2 4 2 6 2 2 2" xfId="14625"/>
    <cellStyle name="常规 5 2 4 2 6 2 2 2 2" xfId="15550"/>
    <cellStyle name="常规 5 2 4 2 6 2 2 2 2 2" xfId="30161"/>
    <cellStyle name="常规 5 2 4 2 6 2 2 2 3" xfId="30162"/>
    <cellStyle name="常规 5 2 4 2 6 2 2 2 4" xfId="24132"/>
    <cellStyle name="常规 5 2 4 2 6 2 2 3" xfId="26634"/>
    <cellStyle name="常规 5 2 4 2 6 2 2 3 2" xfId="27282"/>
    <cellStyle name="常规 5 2 4 2 6 2 2 4" xfId="27287"/>
    <cellStyle name="常规 5 2 4 2 6 2 2 5" xfId="27292"/>
    <cellStyle name="常规 5 2 4 2 6 2 3" xfId="1664"/>
    <cellStyle name="常规 5 2 4 2 6 2 3 2" xfId="26699"/>
    <cellStyle name="常规 5 2 4 2 6 2 3 2 2" xfId="30163"/>
    <cellStyle name="常规 5 2 4 2 6 2 3 3" xfId="27303"/>
    <cellStyle name="常规 5 2 4 2 6 2 3 4" xfId="29554"/>
    <cellStyle name="常规 5 2 4 2 6 2 4" xfId="1671"/>
    <cellStyle name="常规 5 2 4 2 6 2 4 2" xfId="13085"/>
    <cellStyle name="常规 5 2 4 2 6 2 5" xfId="1686"/>
    <cellStyle name="常规 5 2 4 2 6 2 6" xfId="25111"/>
    <cellStyle name="常规 5 2 4 2 6 3" xfId="30164"/>
    <cellStyle name="常规 5 2 4 2 6 3 2" xfId="21161"/>
    <cellStyle name="常规 5 2 4 2 6 3 2 2" xfId="21167"/>
    <cellStyle name="常规 5 2 4 2 6 3 2 2 2" xfId="21170"/>
    <cellStyle name="常规 5 2 4 2 6 3 2 3" xfId="21176"/>
    <cellStyle name="常规 5 2 4 2 6 3 2 4" xfId="21179"/>
    <cellStyle name="常规 5 2 4 2 6 3 3" xfId="21183"/>
    <cellStyle name="常规 5 2 4 2 6 3 3 2" xfId="21185"/>
    <cellStyle name="常规 5 2 4 2 6 3 4" xfId="21188"/>
    <cellStyle name="常规 5 2 4 2 6 3 5" xfId="21190"/>
    <cellStyle name="常规 5 2 4 2 6 4" xfId="30165"/>
    <cellStyle name="常规 5 2 4 2 6 4 2" xfId="30168"/>
    <cellStyle name="常规 5 2 4 2 6 4 2 2" xfId="30171"/>
    <cellStyle name="常规 5 2 4 2 6 4 3" xfId="5817"/>
    <cellStyle name="常规 5 2 4 2 6 4 4" xfId="16282"/>
    <cellStyle name="常规 5 2 4 2 6 5" xfId="30172"/>
    <cellStyle name="常规 5 2 4 2 6 5 2" xfId="30174"/>
    <cellStyle name="常规 5 2 4 2 6 6" xfId="30175"/>
    <cellStyle name="常规 5 2 4 2 6 7" xfId="30177"/>
    <cellStyle name="常规 5 2 4 2 7" xfId="29828"/>
    <cellStyle name="常规 5 2 4 2 7 2" xfId="15217"/>
    <cellStyle name="常规 5 2 4 2 7 2 2" xfId="15219"/>
    <cellStyle name="常规 5 2 4 2 7 2 2 2" xfId="27007"/>
    <cellStyle name="常规 5 2 4 2 7 2 2 2 2" xfId="29449"/>
    <cellStyle name="常规 5 2 4 2 7 2 2 3" xfId="27014"/>
    <cellStyle name="常规 5 2 4 2 7 2 2 4" xfId="29451"/>
    <cellStyle name="常规 5 2 4 2 7 2 3" xfId="30178"/>
    <cellStyle name="常规 5 2 4 2 7 2 3 2" xfId="27041"/>
    <cellStyle name="常规 5 2 4 2 7 2 4" xfId="30179"/>
    <cellStyle name="常规 5 2 4 2 7 2 5" xfId="21319"/>
    <cellStyle name="常规 5 2 4 2 7 3" xfId="30180"/>
    <cellStyle name="常规 5 2 4 2 7 3 2" xfId="30182"/>
    <cellStyle name="常规 5 2 4 2 7 3 2 2" xfId="27127"/>
    <cellStyle name="常规 5 2 4 2 7 3 3" xfId="30184"/>
    <cellStyle name="常规 5 2 4 2 7 3 4" xfId="30185"/>
    <cellStyle name="常规 5 2 4 2 7 4" xfId="30186"/>
    <cellStyle name="常规 5 2 4 2 7 4 2" xfId="30188"/>
    <cellStyle name="常规 5 2 4 2 7 5" xfId="30189"/>
    <cellStyle name="常规 5 2 4 2 7 6" xfId="30190"/>
    <cellStyle name="常规 5 2 4 2 8" xfId="29719"/>
    <cellStyle name="常规 5 2 4 2 8 2" xfId="15706"/>
    <cellStyle name="常规 5 2 4 2 8 2 2" xfId="30191"/>
    <cellStyle name="常规 5 2 4 2 8 2 2 2" xfId="27315"/>
    <cellStyle name="常规 5 2 4 2 8 2 3" xfId="30192"/>
    <cellStyle name="常规 5 2 4 2 8 2 4" xfId="30193"/>
    <cellStyle name="常规 5 2 4 2 8 3" xfId="30194"/>
    <cellStyle name="常规 5 2 4 2 8 3 2" xfId="30195"/>
    <cellStyle name="常规 5 2 4 2 8 4" xfId="30196"/>
    <cellStyle name="常规 5 2 4 2 8 5" xfId="30197"/>
    <cellStyle name="常规 5 2 4 2 9" xfId="30198"/>
    <cellStyle name="常规 5 2 4 2 9 2" xfId="30199"/>
    <cellStyle name="常规 5 2 4 2 9 2 2" xfId="30200"/>
    <cellStyle name="常规 5 2 4 2 9 3" xfId="30201"/>
    <cellStyle name="常规 5 2 4 2 9 4" xfId="30202"/>
    <cellStyle name="常规 5 2 4 3" xfId="30203"/>
    <cellStyle name="常规 5 2 4 3 10" xfId="30204"/>
    <cellStyle name="常规 5 2 4 3 11" xfId="30205"/>
    <cellStyle name="常规 5 2 4 3 2" xfId="11759"/>
    <cellStyle name="常规 5 2 4 3 2 2" xfId="11761"/>
    <cellStyle name="常规 5 2 4 3 2 2 2" xfId="11764"/>
    <cellStyle name="常规 5 2 4 3 2 2 2 2" xfId="10015"/>
    <cellStyle name="常规 5 2 4 3 2 2 2 2 2" xfId="30206"/>
    <cellStyle name="常规 5 2 4 3 2 2 2 2 2 2" xfId="8773"/>
    <cellStyle name="常规 5 2 4 3 2 2 2 2 2 2 2" xfId="30207"/>
    <cellStyle name="常规 5 2 4 3 2 2 2 2 2 2 2 2" xfId="10201"/>
    <cellStyle name="常规 5 2 4 3 2 2 2 2 2 2 3" xfId="30208"/>
    <cellStyle name="常规 5 2 4 3 2 2 2 2 2 2 4" xfId="30209"/>
    <cellStyle name="常规 5 2 4 3 2 2 2 2 2 3" xfId="30210"/>
    <cellStyle name="常规 5 2 4 3 2 2 2 2 2 3 2" xfId="30211"/>
    <cellStyle name="常规 5 2 4 3 2 2 2 2 2 4" xfId="30212"/>
    <cellStyle name="常规 5 2 4 3 2 2 2 2 2 5" xfId="30213"/>
    <cellStyle name="常规 5 2 4 3 2 2 2 2 3" xfId="30214"/>
    <cellStyle name="常规 5 2 4 3 2 2 2 2 3 2" xfId="4539"/>
    <cellStyle name="常规 5 2 4 3 2 2 2 2 3 2 2" xfId="30215"/>
    <cellStyle name="常规 5 2 4 3 2 2 2 2 3 3" xfId="4541"/>
    <cellStyle name="常规 5 2 4 3 2 2 2 2 3 4" xfId="30216"/>
    <cellStyle name="常规 5 2 4 3 2 2 2 2 4" xfId="30217"/>
    <cellStyle name="常规 5 2 4 3 2 2 2 2 4 2" xfId="30220"/>
    <cellStyle name="常规 5 2 4 3 2 2 2 2 5" xfId="30222"/>
    <cellStyle name="常规 5 2 4 3 2 2 2 2 6" xfId="29905"/>
    <cellStyle name="常规 5 2 4 3 2 2 2 3" xfId="1353"/>
    <cellStyle name="常规 5 2 4 3 2 2 2 3 2" xfId="30224"/>
    <cellStyle name="常规 5 2 4 3 2 2 2 3 2 2" xfId="30226"/>
    <cellStyle name="常规 5 2 4 3 2 2 2 3 2 2 2" xfId="4073"/>
    <cellStyle name="常规 5 2 4 3 2 2 2 3 2 3" xfId="30228"/>
    <cellStyle name="常规 5 2 4 3 2 2 2 3 2 4" xfId="30230"/>
    <cellStyle name="常规 5 2 4 3 2 2 2 3 3" xfId="30232"/>
    <cellStyle name="常规 5 2 4 3 2 2 2 3 3 2" xfId="30234"/>
    <cellStyle name="常规 5 2 4 3 2 2 2 3 4" xfId="30236"/>
    <cellStyle name="常规 5 2 4 3 2 2 2 3 5" xfId="30238"/>
    <cellStyle name="常规 5 2 4 3 2 2 2 4" xfId="30239"/>
    <cellStyle name="常规 5 2 4 3 2 2 2 4 2" xfId="17299"/>
    <cellStyle name="常规 5 2 4 3 2 2 2 4 2 2" xfId="30241"/>
    <cellStyle name="常规 5 2 4 3 2 2 2 4 3" xfId="30243"/>
    <cellStyle name="常规 5 2 4 3 2 2 2 4 4" xfId="30247"/>
    <cellStyle name="常规 5 2 4 3 2 2 2 5" xfId="30248"/>
    <cellStyle name="常规 5 2 4 3 2 2 2 5 2" xfId="30250"/>
    <cellStyle name="常规 5 2 4 3 2 2 2 6" xfId="30252"/>
    <cellStyle name="常规 5 2 4 3 2 2 2 7" xfId="30254"/>
    <cellStyle name="常规 5 2 4 3 2 2 3" xfId="18159"/>
    <cellStyle name="常规 5 2 4 3 2 2 3 2" xfId="30255"/>
    <cellStyle name="常规 5 2 4 3 2 2 3 2 2" xfId="30256"/>
    <cellStyle name="常规 5 2 4 3 2 2 3 2 2 2" xfId="30258"/>
    <cellStyle name="常规 5 2 4 3 2 2 3 2 2 2 2" xfId="30259"/>
    <cellStyle name="常规 5 2 4 3 2 2 3 2 2 3" xfId="30260"/>
    <cellStyle name="常规 5 2 4 3 2 2 3 2 2 4" xfId="30261"/>
    <cellStyle name="常规 5 2 4 3 2 2 3 2 3" xfId="30262"/>
    <cellStyle name="常规 5 2 4 3 2 2 3 2 3 2" xfId="30263"/>
    <cellStyle name="常规 5 2 4 3 2 2 3 2 4" xfId="30264"/>
    <cellStyle name="常规 5 2 4 3 2 2 3 2 5" xfId="3047"/>
    <cellStyle name="常规 5 2 4 3 2 2 3 3" xfId="30265"/>
    <cellStyle name="常规 5 2 4 3 2 2 3 3 2" xfId="30267"/>
    <cellStyle name="常规 5 2 4 3 2 2 3 3 2 2" xfId="30269"/>
    <cellStyle name="常规 5 2 4 3 2 2 3 3 3" xfId="30271"/>
    <cellStyle name="常规 5 2 4 3 2 2 3 3 4" xfId="30273"/>
    <cellStyle name="常规 5 2 4 3 2 2 3 4" xfId="30274"/>
    <cellStyle name="常规 5 2 4 3 2 2 3 4 2" xfId="30276"/>
    <cellStyle name="常规 5 2 4 3 2 2 3 5" xfId="30277"/>
    <cellStyle name="常规 5 2 4 3 2 2 3 6" xfId="30279"/>
    <cellStyle name="常规 5 2 4 3 2 2 4" xfId="18161"/>
    <cellStyle name="常规 5 2 4 3 2 2 4 2" xfId="30280"/>
    <cellStyle name="常规 5 2 4 3 2 2 4 2 2" xfId="30281"/>
    <cellStyle name="常规 5 2 4 3 2 2 4 2 2 2" xfId="20901"/>
    <cellStyle name="常规 5 2 4 3 2 2 4 2 3" xfId="5812"/>
    <cellStyle name="常规 5 2 4 3 2 2 4 2 4" xfId="30283"/>
    <cellStyle name="常规 5 2 4 3 2 2 4 3" xfId="30284"/>
    <cellStyle name="常规 5 2 4 3 2 2 4 3 2" xfId="30286"/>
    <cellStyle name="常规 5 2 4 3 2 2 4 4" xfId="30287"/>
    <cellStyle name="常规 5 2 4 3 2 2 4 5" xfId="30288"/>
    <cellStyle name="常规 5 2 4 3 2 2 5" xfId="30289"/>
    <cellStyle name="常规 5 2 4 3 2 2 5 2" xfId="30290"/>
    <cellStyle name="常规 5 2 4 3 2 2 5 2 2" xfId="30291"/>
    <cellStyle name="常规 5 2 4 3 2 2 5 3" xfId="30292"/>
    <cellStyle name="常规 5 2 4 3 2 2 5 4" xfId="19205"/>
    <cellStyle name="常规 5 2 4 3 2 2 6" xfId="26743"/>
    <cellStyle name="常规 5 2 4 3 2 2 6 2" xfId="240"/>
    <cellStyle name="常规 5 2 4 3 2 2 7" xfId="26750"/>
    <cellStyle name="常规 5 2 4 3 2 2 8" xfId="26755"/>
    <cellStyle name="常规 5 2 4 3 2 3" xfId="11670"/>
    <cellStyle name="常规 5 2 4 3 2 3 2" xfId="11675"/>
    <cellStyle name="常规 5 2 4 3 2 3 2 2" xfId="30294"/>
    <cellStyle name="常规 5 2 4 3 2 3 2 2 2" xfId="30296"/>
    <cellStyle name="常规 5 2 4 3 2 3 2 2 2 2" xfId="30298"/>
    <cellStyle name="常规 5 2 4 3 2 3 2 2 2 2 2" xfId="30300"/>
    <cellStyle name="常规 5 2 4 3 2 3 2 2 2 3" xfId="30302"/>
    <cellStyle name="常规 5 2 4 3 2 3 2 2 2 4" xfId="30304"/>
    <cellStyle name="常规 5 2 4 3 2 3 2 2 3" xfId="30306"/>
    <cellStyle name="常规 5 2 4 3 2 3 2 2 3 2" xfId="4856"/>
    <cellStyle name="常规 5 2 4 3 2 3 2 2 4" xfId="20763"/>
    <cellStyle name="常规 5 2 4 3 2 3 2 2 5" xfId="20774"/>
    <cellStyle name="常规 5 2 4 3 2 3 2 3" xfId="30308"/>
    <cellStyle name="常规 5 2 4 3 2 3 2 3 2" xfId="30311"/>
    <cellStyle name="常规 5 2 4 3 2 3 2 3 2 2" xfId="17527"/>
    <cellStyle name="常规 5 2 4 3 2 3 2 3 3" xfId="30314"/>
    <cellStyle name="常规 5 2 4 3 2 3 2 3 4" xfId="20782"/>
    <cellStyle name="常规 5 2 4 3 2 3 2 4" xfId="30316"/>
    <cellStyle name="常规 5 2 4 3 2 3 2 4 2" xfId="30320"/>
    <cellStyle name="常规 5 2 4 3 2 3 2 5" xfId="30323"/>
    <cellStyle name="常规 5 2 4 3 2 3 2 6" xfId="27178"/>
    <cellStyle name="常规 5 2 4 3 2 3 3" xfId="18200"/>
    <cellStyle name="常规 5 2 4 3 2 3 3 2" xfId="30325"/>
    <cellStyle name="常规 5 2 4 3 2 3 3 2 2" xfId="20220"/>
    <cellStyle name="常规 5 2 4 3 2 3 3 2 2 2" xfId="20225"/>
    <cellStyle name="常规 5 2 4 3 2 3 3 2 3" xfId="20228"/>
    <cellStyle name="常规 5 2 4 3 2 3 3 2 4" xfId="20231"/>
    <cellStyle name="常规 5 2 4 3 2 3 3 3" xfId="30327"/>
    <cellStyle name="常规 5 2 4 3 2 3 3 3 2" xfId="20243"/>
    <cellStyle name="常规 5 2 4 3 2 3 3 4" xfId="30329"/>
    <cellStyle name="常规 5 2 4 3 2 3 3 5" xfId="30332"/>
    <cellStyle name="常规 5 2 4 3 2 3 4" xfId="30334"/>
    <cellStyle name="常规 5 2 4 3 2 3 4 2" xfId="30336"/>
    <cellStyle name="常规 5 2 4 3 2 3 4 2 2" xfId="20426"/>
    <cellStyle name="常规 5 2 4 3 2 3 4 3" xfId="30338"/>
    <cellStyle name="常规 5 2 4 3 2 3 4 4" xfId="30342"/>
    <cellStyle name="常规 5 2 4 3 2 3 5" xfId="30344"/>
    <cellStyle name="常规 5 2 4 3 2 3 5 2" xfId="30346"/>
    <cellStyle name="常规 5 2 4 3 2 3 6" xfId="26761"/>
    <cellStyle name="常规 5 2 4 3 2 3 7" xfId="26770"/>
    <cellStyle name="常规 5 2 4 3 2 4" xfId="11677"/>
    <cellStyle name="常规 5 2 4 3 2 4 2" xfId="18220"/>
    <cellStyle name="常规 5 2 4 3 2 4 2 2" xfId="30348"/>
    <cellStyle name="常规 5 2 4 3 2 4 2 2 2" xfId="30350"/>
    <cellStyle name="常规 5 2 4 3 2 4 2 2 2 2" xfId="30245"/>
    <cellStyle name="常规 5 2 4 3 2 4 2 2 3" xfId="30352"/>
    <cellStyle name="常规 5 2 4 3 2 4 2 2 4" xfId="20882"/>
    <cellStyle name="常规 5 2 4 3 2 4 2 3" xfId="30354"/>
    <cellStyle name="常规 5 2 4 3 2 4 2 3 2" xfId="30357"/>
    <cellStyle name="常规 5 2 4 3 2 4 2 4" xfId="30359"/>
    <cellStyle name="常规 5 2 4 3 2 4 2 5" xfId="30362"/>
    <cellStyle name="常规 5 2 4 3 2 4 3" xfId="30364"/>
    <cellStyle name="常规 5 2 4 3 2 4 3 2" xfId="30366"/>
    <cellStyle name="常规 5 2 4 3 2 4 3 2 2" xfId="20789"/>
    <cellStyle name="常规 5 2 4 3 2 4 3 3" xfId="30368"/>
    <cellStyle name="常规 5 2 4 3 2 4 3 4" xfId="30370"/>
    <cellStyle name="常规 5 2 4 3 2 4 4" xfId="30372"/>
    <cellStyle name="常规 5 2 4 3 2 4 4 2" xfId="30374"/>
    <cellStyle name="常规 5 2 4 3 2 4 5" xfId="30376"/>
    <cellStyle name="常规 5 2 4 3 2 4 6" xfId="26778"/>
    <cellStyle name="常规 5 2 4 3 2 5" xfId="10736"/>
    <cellStyle name="常规 5 2 4 3 2 5 2" xfId="30378"/>
    <cellStyle name="常规 5 2 4 3 2 5 2 2" xfId="30380"/>
    <cellStyle name="常规 5 2 4 3 2 5 2 2 2" xfId="30382"/>
    <cellStyle name="常规 5 2 4 3 2 5 2 3" xfId="30384"/>
    <cellStyle name="常规 5 2 4 3 2 5 2 4" xfId="30387"/>
    <cellStyle name="常规 5 2 4 3 2 5 3" xfId="30389"/>
    <cellStyle name="常规 5 2 4 3 2 5 3 2" xfId="30391"/>
    <cellStyle name="常规 5 2 4 3 2 5 4" xfId="30393"/>
    <cellStyle name="常规 5 2 4 3 2 5 5" xfId="30395"/>
    <cellStyle name="常规 5 2 4 3 2 6" xfId="30396"/>
    <cellStyle name="常规 5 2 4 3 2 6 2" xfId="30398"/>
    <cellStyle name="常规 5 2 4 3 2 6 2 2" xfId="30400"/>
    <cellStyle name="常规 5 2 4 3 2 6 3" xfId="15621"/>
    <cellStyle name="常规 5 2 4 3 2 6 4" xfId="15625"/>
    <cellStyle name="常规 5 2 4 3 2 7" xfId="19152"/>
    <cellStyle name="常规 5 2 4 3 2 7 2" xfId="19157"/>
    <cellStyle name="常规 5 2 4 3 2 8" xfId="19160"/>
    <cellStyle name="常规 5 2 4 3 2 9" xfId="19163"/>
    <cellStyle name="常规 5 2 4 3 3" xfId="11767"/>
    <cellStyle name="常规 5 2 4 3 3 2" xfId="3462"/>
    <cellStyle name="常规 5 2 4 3 3 2 2" xfId="13550"/>
    <cellStyle name="常规 5 2 4 3 3 2 2 2" xfId="18383"/>
    <cellStyle name="常规 5 2 4 3 3 2 2 2 2" xfId="23914"/>
    <cellStyle name="常规 5 2 4 3 3 2 2 2 2 2" xfId="23917"/>
    <cellStyle name="常规 5 2 4 3 3 2 2 2 2 2 2" xfId="23919"/>
    <cellStyle name="常规 5 2 4 3 3 2 2 2 2 2 2 2" xfId="19146"/>
    <cellStyle name="常规 5 2 4 3 3 2 2 2 2 2 3" xfId="23921"/>
    <cellStyle name="常规 5 2 4 3 3 2 2 2 2 2 4" xfId="14619"/>
    <cellStyle name="常规 5 2 4 3 3 2 2 2 2 3" xfId="23923"/>
    <cellStyle name="常规 5 2 4 3 3 2 2 2 2 3 2" xfId="23925"/>
    <cellStyle name="常规 5 2 4 3 3 2 2 2 2 4" xfId="23927"/>
    <cellStyle name="常规 5 2 4 3 3 2 2 2 2 5" xfId="23929"/>
    <cellStyle name="常规 5 2 4 3 3 2 2 2 3" xfId="23931"/>
    <cellStyle name="常规 5 2 4 3 3 2 2 2 3 2" xfId="23933"/>
    <cellStyle name="常规 5 2 4 3 3 2 2 2 3 2 2" xfId="23935"/>
    <cellStyle name="常规 5 2 4 3 3 2 2 2 3 3" xfId="23937"/>
    <cellStyle name="常规 5 2 4 3 3 2 2 2 3 4" xfId="23941"/>
    <cellStyle name="常规 5 2 4 3 3 2 2 2 4" xfId="23943"/>
    <cellStyle name="常规 5 2 4 3 3 2 2 2 4 2" xfId="23948"/>
    <cellStyle name="常规 5 2 4 3 3 2 2 2 5" xfId="23950"/>
    <cellStyle name="常规 5 2 4 3 3 2 2 2 6" xfId="9678"/>
    <cellStyle name="常规 5 2 4 3 3 2 2 3" xfId="30401"/>
    <cellStyle name="常规 5 2 4 3 3 2 2 3 2" xfId="23979"/>
    <cellStyle name="常规 5 2 4 3 3 2 2 3 2 2" xfId="23981"/>
    <cellStyle name="常规 5 2 4 3 3 2 2 3 2 2 2" xfId="18727"/>
    <cellStyle name="常规 5 2 4 3 3 2 2 3 2 3" xfId="23983"/>
    <cellStyle name="常规 5 2 4 3 3 2 2 3 2 4" xfId="23985"/>
    <cellStyle name="常规 5 2 4 3 3 2 2 3 3" xfId="23990"/>
    <cellStyle name="常规 5 2 4 3 3 2 2 3 3 2" xfId="23994"/>
    <cellStyle name="常规 5 2 4 3 3 2 2 3 4" xfId="23998"/>
    <cellStyle name="常规 5 2 4 3 3 2 2 3 5" xfId="24002"/>
    <cellStyle name="常规 5 2 4 3 3 2 2 4" xfId="30402"/>
    <cellStyle name="常规 5 2 4 3 3 2 2 4 2" xfId="24012"/>
    <cellStyle name="常规 5 2 4 3 3 2 2 4 2 2" xfId="24014"/>
    <cellStyle name="常规 5 2 4 3 3 2 2 4 3" xfId="24018"/>
    <cellStyle name="常规 5 2 4 3 3 2 2 4 4" xfId="24022"/>
    <cellStyle name="常规 5 2 4 3 3 2 2 5" xfId="30403"/>
    <cellStyle name="常规 5 2 4 3 3 2 2 5 2" xfId="24028"/>
    <cellStyle name="常规 5 2 4 3 3 2 2 6" xfId="30405"/>
    <cellStyle name="常规 5 2 4 3 3 2 2 7" xfId="30407"/>
    <cellStyle name="常规 5 2 4 3 3 2 3" xfId="18385"/>
    <cellStyle name="常规 5 2 4 3 3 2 3 2" xfId="30408"/>
    <cellStyle name="常规 5 2 4 3 3 2 3 2 2" xfId="24115"/>
    <cellStyle name="常规 5 2 4 3 3 2 3 2 2 2" xfId="24117"/>
    <cellStyle name="常规 5 2 4 3 3 2 3 2 2 2 2" xfId="24119"/>
    <cellStyle name="常规 5 2 4 3 3 2 3 2 2 3" xfId="24124"/>
    <cellStyle name="常规 5 2 4 3 3 2 3 2 2 4" xfId="24127"/>
    <cellStyle name="常规 5 2 4 3 3 2 3 2 3" xfId="24130"/>
    <cellStyle name="常规 5 2 4 3 3 2 3 2 3 2" xfId="24133"/>
    <cellStyle name="常规 5 2 4 3 3 2 3 2 4" xfId="24138"/>
    <cellStyle name="常规 5 2 4 3 3 2 3 2 5" xfId="16574"/>
    <cellStyle name="常规 5 2 4 3 3 2 3 3" xfId="30409"/>
    <cellStyle name="常规 5 2 4 3 3 2 3 3 2" xfId="24180"/>
    <cellStyle name="常规 5 2 4 3 3 2 3 3 2 2" xfId="24182"/>
    <cellStyle name="常规 5 2 4 3 3 2 3 3 3" xfId="24186"/>
    <cellStyle name="常规 5 2 4 3 3 2 3 3 4" xfId="24190"/>
    <cellStyle name="常规 5 2 4 3 3 2 3 4" xfId="30410"/>
    <cellStyle name="常规 5 2 4 3 3 2 3 4 2" xfId="24206"/>
    <cellStyle name="常规 5 2 4 3 3 2 3 5" xfId="30411"/>
    <cellStyle name="常规 5 2 4 3 3 2 3 6" xfId="30412"/>
    <cellStyle name="常规 5 2 4 3 3 2 4" xfId="18387"/>
    <cellStyle name="常规 5 2 4 3 3 2 4 2" xfId="18006"/>
    <cellStyle name="常规 5 2 4 3 3 2 4 2 2" xfId="15246"/>
    <cellStyle name="常规 5 2 4 3 3 2 4 2 2 2" xfId="15249"/>
    <cellStyle name="常规 5 2 4 3 3 2 4 2 3" xfId="15253"/>
    <cellStyle name="常规 5 2 4 3 3 2 4 2 4" xfId="15258"/>
    <cellStyle name="常规 5 2 4 3 3 2 4 3" xfId="18008"/>
    <cellStyle name="常规 5 2 4 3 3 2 4 3 2" xfId="15262"/>
    <cellStyle name="常规 5 2 4 3 3 2 4 4" xfId="30413"/>
    <cellStyle name="常规 5 2 4 3 3 2 4 5" xfId="30414"/>
    <cellStyle name="常规 5 2 4 3 3 2 5" xfId="29392"/>
    <cellStyle name="常规 5 2 4 3 3 2 5 2" xfId="29394"/>
    <cellStyle name="常规 5 2 4 3 3 2 5 2 2" xfId="15281"/>
    <cellStyle name="常规 5 2 4 3 3 2 5 3" xfId="30415"/>
    <cellStyle name="常规 5 2 4 3 3 2 5 4" xfId="15976"/>
    <cellStyle name="常规 5 2 4 3 3 2 6" xfId="26785"/>
    <cellStyle name="常规 5 2 4 3 3 2 6 2" xfId="26789"/>
    <cellStyle name="常规 5 2 4 3 3 2 7" xfId="780"/>
    <cellStyle name="常规 5 2 4 3 3 2 8" xfId="823"/>
    <cellStyle name="常规 5 2 4 3 3 3" xfId="11683"/>
    <cellStyle name="常规 5 2 4 3 3 3 2" xfId="18445"/>
    <cellStyle name="常规 5 2 4 3 3 3 2 2" xfId="30417"/>
    <cellStyle name="常规 5 2 4 3 3 3 2 2 2" xfId="30420"/>
    <cellStyle name="常规 5 2 4 3 3 3 2 2 2 2" xfId="30422"/>
    <cellStyle name="常规 5 2 4 3 3 3 2 2 2 2 2" xfId="30423"/>
    <cellStyle name="常规 5 2 4 3 3 3 2 2 2 3" xfId="30424"/>
    <cellStyle name="常规 5 2 4 3 3 3 2 2 2 4" xfId="30425"/>
    <cellStyle name="常规 5 2 4 3 3 3 2 2 3" xfId="30428"/>
    <cellStyle name="常规 5 2 4 3 3 3 2 2 3 2" xfId="30429"/>
    <cellStyle name="常规 5 2 4 3 3 3 2 2 4" xfId="8715"/>
    <cellStyle name="常规 5 2 4 3 3 3 2 2 5" xfId="30430"/>
    <cellStyle name="常规 5 2 4 3 3 3 2 3" xfId="30432"/>
    <cellStyle name="常规 5 2 4 3 3 3 2 3 2" xfId="30437"/>
    <cellStyle name="常规 5 2 4 3 3 3 2 3 2 2" xfId="30438"/>
    <cellStyle name="常规 5 2 4 3 3 3 2 3 3" xfId="28607"/>
    <cellStyle name="常规 5 2 4 3 3 3 2 3 4" xfId="30439"/>
    <cellStyle name="常规 5 2 4 3 3 3 2 4" xfId="30441"/>
    <cellStyle name="常规 5 2 4 3 3 3 2 4 2" xfId="30443"/>
    <cellStyle name="常规 5 2 4 3 3 3 2 5" xfId="30446"/>
    <cellStyle name="常规 5 2 4 3 3 3 2 6" xfId="29538"/>
    <cellStyle name="常规 5 2 4 3 3 3 3" xfId="18448"/>
    <cellStyle name="常规 5 2 4 3 3 3 3 2" xfId="30448"/>
    <cellStyle name="常规 5 2 4 3 3 3 3 2 2" xfId="30451"/>
    <cellStyle name="常规 5 2 4 3 3 3 3 2 2 2" xfId="29445"/>
    <cellStyle name="常规 5 2 4 3 3 3 3 2 3" xfId="30452"/>
    <cellStyle name="常规 5 2 4 3 3 3 3 2 4" xfId="30453"/>
    <cellStyle name="常规 5 2 4 3 3 3 3 3" xfId="30455"/>
    <cellStyle name="常规 5 2 4 3 3 3 3 3 2" xfId="30456"/>
    <cellStyle name="常规 5 2 4 3 3 3 3 4" xfId="30458"/>
    <cellStyle name="常规 5 2 4 3 3 3 3 5" xfId="30460"/>
    <cellStyle name="常规 5 2 4 3 3 3 4" xfId="30462"/>
    <cellStyle name="常规 5 2 4 3 3 3 4 2" xfId="30464"/>
    <cellStyle name="常规 5 2 4 3 3 3 4 2 2" xfId="15310"/>
    <cellStyle name="常规 5 2 4 3 3 3 4 3" xfId="30465"/>
    <cellStyle name="常规 5 2 4 3 3 3 4 4" xfId="30467"/>
    <cellStyle name="常规 5 2 4 3 3 3 5" xfId="29398"/>
    <cellStyle name="常规 5 2 4 3 3 3 5 2" xfId="30468"/>
    <cellStyle name="常规 5 2 4 3 3 3 6" xfId="26799"/>
    <cellStyle name="常规 5 2 4 3 3 3 7" xfId="250"/>
    <cellStyle name="常规 5 2 4 3 3 4" xfId="13552"/>
    <cellStyle name="常规 5 2 4 3 3 4 2" xfId="18475"/>
    <cellStyle name="常规 5 2 4 3 3 4 2 2" xfId="30472"/>
    <cellStyle name="常规 5 2 4 3 3 4 2 2 2" xfId="30476"/>
    <cellStyle name="常规 5 2 4 3 3 4 2 2 2 2" xfId="30478"/>
    <cellStyle name="常规 5 2 4 3 3 4 2 2 3" xfId="30480"/>
    <cellStyle name="常规 5 2 4 3 3 4 2 2 4" xfId="30482"/>
    <cellStyle name="常规 5 2 4 3 3 4 2 3" xfId="30485"/>
    <cellStyle name="常规 5 2 4 3 3 4 2 3 2" xfId="30488"/>
    <cellStyle name="常规 5 2 4 3 3 4 2 4" xfId="6677"/>
    <cellStyle name="常规 5 2 4 3 3 4 2 5" xfId="30490"/>
    <cellStyle name="常规 5 2 4 3 3 4 3" xfId="30492"/>
    <cellStyle name="常规 5 2 4 3 3 4 3 2" xfId="7959"/>
    <cellStyle name="常规 5 2 4 3 3 4 3 2 2" xfId="30494"/>
    <cellStyle name="常规 5 2 4 3 3 4 3 3" xfId="7962"/>
    <cellStyle name="常规 5 2 4 3 3 4 3 4" xfId="30496"/>
    <cellStyle name="常规 5 2 4 3 3 4 4" xfId="9375"/>
    <cellStyle name="常规 5 2 4 3 3 4 4 2" xfId="7969"/>
    <cellStyle name="常规 5 2 4 3 3 4 5" xfId="9378"/>
    <cellStyle name="常规 5 2 4 3 3 4 6" xfId="9380"/>
    <cellStyle name="常规 5 2 4 3 3 5" xfId="30497"/>
    <cellStyle name="常规 5 2 4 3 3 5 2" xfId="30499"/>
    <cellStyle name="常规 5 2 4 3 3 5 2 2" xfId="30502"/>
    <cellStyle name="常规 5 2 4 3 3 5 2 2 2" xfId="30504"/>
    <cellStyle name="常规 5 2 4 3 3 5 2 3" xfId="30506"/>
    <cellStyle name="常规 5 2 4 3 3 5 2 4" xfId="30509"/>
    <cellStyle name="常规 5 2 4 3 3 5 3" xfId="30511"/>
    <cellStyle name="常规 5 2 4 3 3 5 3 2" xfId="7983"/>
    <cellStyle name="常规 5 2 4 3 3 5 4" xfId="9384"/>
    <cellStyle name="常规 5 2 4 3 3 5 5" xfId="30512"/>
    <cellStyle name="常规 5 2 4 3 3 6" xfId="30514"/>
    <cellStyle name="常规 5 2 4 3 3 6 2" xfId="30516"/>
    <cellStyle name="常规 5 2 4 3 3 6 2 2" xfId="30518"/>
    <cellStyle name="常规 5 2 4 3 3 6 3" xfId="15641"/>
    <cellStyle name="常规 5 2 4 3 3 6 4" xfId="30519"/>
    <cellStyle name="常规 5 2 4 3 3 7" xfId="19168"/>
    <cellStyle name="常规 5 2 4 3 3 7 2" xfId="23418"/>
    <cellStyle name="常规 5 2 4 3 3 8" xfId="30521"/>
    <cellStyle name="常规 5 2 4 3 3 9" xfId="30523"/>
    <cellStyle name="常规 5 2 4 3 4" xfId="11773"/>
    <cellStyle name="常规 5 2 4 3 4 2" xfId="13556"/>
    <cellStyle name="常规 5 2 4 3 4 2 2" xfId="18569"/>
    <cellStyle name="常规 5 2 4 3 4 2 2 2" xfId="27709"/>
    <cellStyle name="常规 5 2 4 3 4 2 2 2 2" xfId="27712"/>
    <cellStyle name="常规 5 2 4 3 4 2 2 2 2 2" xfId="30524"/>
    <cellStyle name="常规 5 2 4 3 4 2 2 2 2 2 2" xfId="30525"/>
    <cellStyle name="常规 5 2 4 3 4 2 2 2 2 3" xfId="30526"/>
    <cellStyle name="常规 5 2 4 3 4 2 2 2 2 4" xfId="22745"/>
    <cellStyle name="常规 5 2 4 3 4 2 2 2 3" xfId="30527"/>
    <cellStyle name="常规 5 2 4 3 4 2 2 2 3 2" xfId="30528"/>
    <cellStyle name="常规 5 2 4 3 4 2 2 2 4" xfId="16881"/>
    <cellStyle name="常规 5 2 4 3 4 2 2 2 5" xfId="30529"/>
    <cellStyle name="常规 5 2 4 3 4 2 2 3" xfId="27715"/>
    <cellStyle name="常规 5 2 4 3 4 2 2 3 2" xfId="30532"/>
    <cellStyle name="常规 5 2 4 3 4 2 2 3 2 2" xfId="30534"/>
    <cellStyle name="常规 5 2 4 3 4 2 2 3 3" xfId="28670"/>
    <cellStyle name="常规 5 2 4 3 4 2 2 3 4" xfId="30535"/>
    <cellStyle name="常规 5 2 4 3 4 2 2 4" xfId="27719"/>
    <cellStyle name="常规 5 2 4 3 4 2 2 4 2" xfId="14686"/>
    <cellStyle name="常规 5 2 4 3 4 2 2 5" xfId="30536"/>
    <cellStyle name="常规 5 2 4 3 4 2 2 6" xfId="30538"/>
    <cellStyle name="常规 5 2 4 3 4 2 3" xfId="18572"/>
    <cellStyle name="常规 5 2 4 3 4 2 3 2" xfId="27765"/>
    <cellStyle name="常规 5 2 4 3 4 2 3 2 2" xfId="16046"/>
    <cellStyle name="常规 5 2 4 3 4 2 3 2 2 2" xfId="30539"/>
    <cellStyle name="常规 5 2 4 3 4 2 3 2 3" xfId="30540"/>
    <cellStyle name="常规 5 2 4 3 4 2 3 2 4" xfId="30541"/>
    <cellStyle name="常规 5 2 4 3 4 2 3 3" xfId="27768"/>
    <cellStyle name="常规 5 2 4 3 4 2 3 3 2" xfId="30542"/>
    <cellStyle name="常规 5 2 4 3 4 2 3 4" xfId="30543"/>
    <cellStyle name="常规 5 2 4 3 4 2 3 5" xfId="30544"/>
    <cellStyle name="常规 5 2 4 3 4 2 4" xfId="30545"/>
    <cellStyle name="常规 5 2 4 3 4 2 4 2" xfId="27802"/>
    <cellStyle name="常规 5 2 4 3 4 2 4 2 2" xfId="15365"/>
    <cellStyle name="常规 5 2 4 3 4 2 4 3" xfId="30546"/>
    <cellStyle name="常规 5 2 4 3 4 2 4 4" xfId="30547"/>
    <cellStyle name="常规 5 2 4 3 4 2 5" xfId="29404"/>
    <cellStyle name="常规 5 2 4 3 4 2 5 2" xfId="30548"/>
    <cellStyle name="常规 5 2 4 3 4 2 6" xfId="26811"/>
    <cellStyle name="常规 5 2 4 3 4 2 7" xfId="10245"/>
    <cellStyle name="常规 5 2 4 3 4 3" xfId="13559"/>
    <cellStyle name="常规 5 2 4 3 4 3 2" xfId="18596"/>
    <cellStyle name="常规 5 2 4 3 4 3 2 2" xfId="27911"/>
    <cellStyle name="常规 5 2 4 3 4 3 2 2 2" xfId="27916"/>
    <cellStyle name="常规 5 2 4 3 4 3 2 2 2 2" xfId="30550"/>
    <cellStyle name="常规 5 2 4 3 4 3 2 2 3" xfId="30552"/>
    <cellStyle name="常规 5 2 4 3 4 3 2 2 4" xfId="30554"/>
    <cellStyle name="常规 5 2 4 3 4 3 2 3" xfId="27918"/>
    <cellStyle name="常规 5 2 4 3 4 3 2 3 2" xfId="30557"/>
    <cellStyle name="常规 5 2 4 3 4 3 2 4" xfId="27923"/>
    <cellStyle name="常规 5 2 4 3 4 3 2 5" xfId="30558"/>
    <cellStyle name="常规 5 2 4 3 4 3 3" xfId="30560"/>
    <cellStyle name="常规 5 2 4 3 4 3 3 2" xfId="27971"/>
    <cellStyle name="常规 5 2 4 3 4 3 3 2 2" xfId="30562"/>
    <cellStyle name="常规 5 2 4 3 4 3 3 3" xfId="27973"/>
    <cellStyle name="常规 5 2 4 3 4 3 3 4" xfId="30563"/>
    <cellStyle name="常规 5 2 4 3 4 3 4" xfId="17121"/>
    <cellStyle name="常规 5 2 4 3 4 3 4 2" xfId="27998"/>
    <cellStyle name="常规 5 2 4 3 4 3 5" xfId="30565"/>
    <cellStyle name="常规 5 2 4 3 4 3 6" xfId="30566"/>
    <cellStyle name="常规 5 2 4 3 4 4" xfId="30567"/>
    <cellStyle name="常规 5 2 4 3 4 4 2" xfId="30569"/>
    <cellStyle name="常规 5 2 4 3 4 4 2 2" xfId="28073"/>
    <cellStyle name="常规 5 2 4 3 4 4 2 2 2" xfId="30572"/>
    <cellStyle name="常规 5 2 4 3 4 4 2 3" xfId="28076"/>
    <cellStyle name="常规 5 2 4 3 4 4 2 4" xfId="30574"/>
    <cellStyle name="常规 5 2 4 3 4 4 3" xfId="5883"/>
    <cellStyle name="常规 5 2 4 3 4 4 3 2" xfId="5888"/>
    <cellStyle name="常规 5 2 4 3 4 4 4" xfId="5897"/>
    <cellStyle name="常规 5 2 4 3 4 4 5" xfId="5059"/>
    <cellStyle name="常规 5 2 4 3 4 5" xfId="30575"/>
    <cellStyle name="常规 5 2 4 3 4 5 2" xfId="30577"/>
    <cellStyle name="常规 5 2 4 3 4 5 2 2" xfId="28139"/>
    <cellStyle name="常规 5 2 4 3 4 5 3" xfId="5909"/>
    <cellStyle name="常规 5 2 4 3 4 5 4" xfId="30578"/>
    <cellStyle name="常规 5 2 4 3 4 6" xfId="30579"/>
    <cellStyle name="常规 5 2 4 3 4 6 2" xfId="30580"/>
    <cellStyle name="常规 5 2 4 3 4 7" xfId="30582"/>
    <cellStyle name="常规 5 2 4 3 4 8" xfId="30584"/>
    <cellStyle name="常规 5 2 4 3 5" xfId="11779"/>
    <cellStyle name="常规 5 2 4 3 5 2" xfId="30587"/>
    <cellStyle name="常规 5 2 4 3 5 2 2" xfId="18674"/>
    <cellStyle name="常规 5 2 4 3 5 2 2 2" xfId="18743"/>
    <cellStyle name="常规 5 2 4 3 5 2 2 2 2" xfId="18745"/>
    <cellStyle name="常规 5 2 4 3 5 2 2 2 2 2" xfId="18747"/>
    <cellStyle name="常规 5 2 4 3 5 2 2 2 3" xfId="18753"/>
    <cellStyle name="常规 5 2 4 3 5 2 2 2 4" xfId="18755"/>
    <cellStyle name="常规 5 2 4 3 5 2 2 3" xfId="28194"/>
    <cellStyle name="常规 5 2 4 3 5 2 2 3 2" xfId="30589"/>
    <cellStyle name="常规 5 2 4 3 5 2 2 4" xfId="30591"/>
    <cellStyle name="常规 5 2 4 3 5 2 2 5" xfId="30593"/>
    <cellStyle name="常规 5 2 4 3 5 2 3" xfId="24574"/>
    <cellStyle name="常规 5 2 4 3 5 2 3 2" xfId="19933"/>
    <cellStyle name="常规 5 2 4 3 5 2 3 2 2" xfId="19935"/>
    <cellStyle name="常规 5 2 4 3 5 2 3 3" xfId="30596"/>
    <cellStyle name="常规 5 2 4 3 5 2 3 4" xfId="28763"/>
    <cellStyle name="常规 5 2 4 3 5 2 4" xfId="30597"/>
    <cellStyle name="常规 5 2 4 3 5 2 4 2" xfId="30598"/>
    <cellStyle name="常规 5 2 4 3 5 2 5" xfId="30599"/>
    <cellStyle name="常规 5 2 4 3 5 2 6" xfId="30600"/>
    <cellStyle name="常规 5 2 4 3 5 3" xfId="30602"/>
    <cellStyle name="常规 5 2 4 3 5 3 2" xfId="30604"/>
    <cellStyle name="常规 5 2 4 3 5 3 2 2" xfId="28248"/>
    <cellStyle name="常规 5 2 4 3 5 3 2 2 2" xfId="3857"/>
    <cellStyle name="常规 5 2 4 3 5 3 2 3" xfId="30606"/>
    <cellStyle name="常规 5 2 4 3 5 3 2 4" xfId="30607"/>
    <cellStyle name="常规 5 2 4 3 5 3 3" xfId="30609"/>
    <cellStyle name="常规 5 2 4 3 5 3 3 2" xfId="30610"/>
    <cellStyle name="常规 5 2 4 3 5 3 4" xfId="30612"/>
    <cellStyle name="常规 5 2 4 3 5 3 5" xfId="30613"/>
    <cellStyle name="常规 5 2 4 3 5 4" xfId="15470"/>
    <cellStyle name="常规 5 2 4 3 5 4 2" xfId="15473"/>
    <cellStyle name="常规 5 2 4 3 5 4 2 2" xfId="15476"/>
    <cellStyle name="常规 5 2 4 3 5 4 3" xfId="5931"/>
    <cellStyle name="常规 5 2 4 3 5 4 4" xfId="15482"/>
    <cellStyle name="常规 5 2 4 3 5 5" xfId="15484"/>
    <cellStyle name="常规 5 2 4 3 5 5 2" xfId="15486"/>
    <cellStyle name="常规 5 2 4 3 5 6" xfId="15491"/>
    <cellStyle name="常规 5 2 4 3 5 7" xfId="15496"/>
    <cellStyle name="常规 5 2 4 3 6" xfId="29834"/>
    <cellStyle name="常规 5 2 4 3 6 2" xfId="30615"/>
    <cellStyle name="常规 5 2 4 3 6 2 2" xfId="30616"/>
    <cellStyle name="常规 5 2 4 3 6 2 2 2" xfId="3040"/>
    <cellStyle name="常规 5 2 4 3 6 2 2 2 2" xfId="4477"/>
    <cellStyle name="常规 5 2 4 3 6 2 2 3" xfId="27473"/>
    <cellStyle name="常规 5 2 4 3 6 2 2 4" xfId="29671"/>
    <cellStyle name="常规 5 2 4 3 6 2 3" xfId="22671"/>
    <cellStyle name="常规 5 2 4 3 6 2 3 2" xfId="28394"/>
    <cellStyle name="常规 5 2 4 3 6 2 4" xfId="30618"/>
    <cellStyle name="常规 5 2 4 3 6 2 5" xfId="28903"/>
    <cellStyle name="常规 5 2 4 3 6 3" xfId="30619"/>
    <cellStyle name="常规 5 2 4 3 6 3 2" xfId="2657"/>
    <cellStyle name="常规 5 2 4 3 6 3 2 2" xfId="10836"/>
    <cellStyle name="常规 5 2 4 3 6 3 3" xfId="30622"/>
    <cellStyle name="常规 5 2 4 3 6 3 4" xfId="30623"/>
    <cellStyle name="常规 5 2 4 3 6 4" xfId="15500"/>
    <cellStyle name="常规 5 2 4 3 6 4 2" xfId="15503"/>
    <cellStyle name="常规 5 2 4 3 6 5" xfId="15510"/>
    <cellStyle name="常规 5 2 4 3 6 6" xfId="15513"/>
    <cellStyle name="常规 5 2 4 3 7" xfId="30626"/>
    <cellStyle name="常规 5 2 4 3 7 2" xfId="30627"/>
    <cellStyle name="常规 5 2 4 3 7 2 2" xfId="30628"/>
    <cellStyle name="常规 5 2 4 3 7 2 2 2" xfId="11636"/>
    <cellStyle name="常规 5 2 4 3 7 2 3" xfId="30630"/>
    <cellStyle name="常规 5 2 4 3 7 2 4" xfId="30631"/>
    <cellStyle name="常规 5 2 4 3 7 3" xfId="30632"/>
    <cellStyle name="常规 5 2 4 3 7 3 2" xfId="30633"/>
    <cellStyle name="常规 5 2 4 3 7 4" xfId="15519"/>
    <cellStyle name="常规 5 2 4 3 7 5" xfId="15522"/>
    <cellStyle name="常规 5 2 4 3 8" xfId="30635"/>
    <cellStyle name="常规 5 2 4 3 8 2" xfId="30636"/>
    <cellStyle name="常规 5 2 4 3 8 2 2" xfId="30637"/>
    <cellStyle name="常规 5 2 4 3 8 3" xfId="30638"/>
    <cellStyle name="常规 5 2 4 3 8 4" xfId="15526"/>
    <cellStyle name="常规 5 2 4 3 9" xfId="30639"/>
    <cellStyle name="常规 5 2 4 3 9 2" xfId="30640"/>
    <cellStyle name="常规 5 2 4 4" xfId="30641"/>
    <cellStyle name="常规 5 2 4 4 2" xfId="11785"/>
    <cellStyle name="常规 5 2 4 4 2 2" xfId="11787"/>
    <cellStyle name="常规 5 2 4 4 2 2 2" xfId="9831"/>
    <cellStyle name="常规 5 2 4 4 2 2 2 2" xfId="19618"/>
    <cellStyle name="常规 5 2 4 4 2 2 2 2 2" xfId="13060"/>
    <cellStyle name="常规 5 2 4 4 2 2 2 2 2 2" xfId="14971"/>
    <cellStyle name="常规 5 2 4 4 2 2 2 2 2 2 2" xfId="26905"/>
    <cellStyle name="常规 5 2 4 4 2 2 2 2 2 3" xfId="30097"/>
    <cellStyle name="常规 5 2 4 4 2 2 2 2 2 4" xfId="22994"/>
    <cellStyle name="常规 5 2 4 4 2 2 2 2 3" xfId="13068"/>
    <cellStyle name="常规 5 2 4 4 2 2 2 2 3 2" xfId="30098"/>
    <cellStyle name="常规 5 2 4 4 2 2 2 2 4" xfId="30102"/>
    <cellStyle name="常规 5 2 4 4 2 2 2 2 5" xfId="30103"/>
    <cellStyle name="常规 5 2 4 4 2 2 2 3" xfId="30643"/>
    <cellStyle name="常规 5 2 4 4 2 2 2 3 2" xfId="26084"/>
    <cellStyle name="常规 5 2 4 4 2 2 2 3 2 2" xfId="30107"/>
    <cellStyle name="常规 5 2 4 4 2 2 2 3 3" xfId="30110"/>
    <cellStyle name="常规 5 2 4 4 2 2 2 3 4" xfId="30112"/>
    <cellStyle name="常规 5 2 4 4 2 2 2 4" xfId="30645"/>
    <cellStyle name="常规 5 2 4 4 2 2 2 4 2" xfId="30116"/>
    <cellStyle name="常规 5 2 4 4 2 2 2 5" xfId="30647"/>
    <cellStyle name="常规 5 2 4 4 2 2 2 6" xfId="30649"/>
    <cellStyle name="常规 5 2 4 4 2 2 3" xfId="19620"/>
    <cellStyle name="常规 5 2 4 4 2 2 3 2" xfId="30651"/>
    <cellStyle name="常规 5 2 4 4 2 2 3 2 2" xfId="26234"/>
    <cellStyle name="常规 5 2 4 4 2 2 3 2 2 2" xfId="30127"/>
    <cellStyle name="常规 5 2 4 4 2 2 3 2 3" xfId="26237"/>
    <cellStyle name="常规 5 2 4 4 2 2 3 2 4" xfId="30130"/>
    <cellStyle name="常规 5 2 4 4 2 2 3 3" xfId="30653"/>
    <cellStyle name="常规 5 2 4 4 2 2 3 3 2" xfId="26278"/>
    <cellStyle name="常规 5 2 4 4 2 2 3 4" xfId="30655"/>
    <cellStyle name="常规 5 2 4 4 2 2 3 5" xfId="30656"/>
    <cellStyle name="常规 5 2 4 4 2 2 4" xfId="19622"/>
    <cellStyle name="常规 5 2 4 4 2 2 4 2" xfId="30658"/>
    <cellStyle name="常规 5 2 4 4 2 2 4 2 2" xfId="26401"/>
    <cellStyle name="常规 5 2 4 4 2 2 4 3" xfId="30660"/>
    <cellStyle name="常规 5 2 4 4 2 2 4 4" xfId="30661"/>
    <cellStyle name="常规 5 2 4 4 2 2 5" xfId="30662"/>
    <cellStyle name="常规 5 2 4 4 2 2 5 2" xfId="30663"/>
    <cellStyle name="常规 5 2 4 4 2 2 6" xfId="26828"/>
    <cellStyle name="常规 5 2 4 4 2 2 7" xfId="26838"/>
    <cellStyle name="常规 5 2 4 4 2 3" xfId="11702"/>
    <cellStyle name="常规 5 2 4 4 2 3 2" xfId="19643"/>
    <cellStyle name="常规 5 2 4 4 2 3 2 2" xfId="27276"/>
    <cellStyle name="常规 5 2 4 4 2 3 2 2 2" xfId="26641"/>
    <cellStyle name="常规 5 2 4 4 2 3 2 2 2 2" xfId="27281"/>
    <cellStyle name="常规 5 2 4 4 2 3 2 2 3" xfId="27286"/>
    <cellStyle name="常规 5 2 4 4 2 3 2 2 4" xfId="27291"/>
    <cellStyle name="常规 5 2 4 4 2 3 2 3" xfId="27297"/>
    <cellStyle name="常规 5 2 4 4 2 3 2 3 2" xfId="27302"/>
    <cellStyle name="常规 5 2 4 4 2 3 2 4" xfId="27308"/>
    <cellStyle name="常规 5 2 4 4 2 3 2 5" xfId="27313"/>
    <cellStyle name="常规 5 2 4 4 2 3 3" xfId="19647"/>
    <cellStyle name="常规 5 2 4 4 2 3 3 2" xfId="27333"/>
    <cellStyle name="常规 5 2 4 4 2 3 3 2 2" xfId="21175"/>
    <cellStyle name="常规 5 2 4 4 2 3 3 3" xfId="27338"/>
    <cellStyle name="常规 5 2 4 4 2 3 3 4" xfId="27342"/>
    <cellStyle name="常规 5 2 4 4 2 3 4" xfId="29581"/>
    <cellStyle name="常规 5 2 4 4 2 3 4 2" xfId="27351"/>
    <cellStyle name="常规 5 2 4 4 2 3 5" xfId="29590"/>
    <cellStyle name="常规 5 2 4 4 2 3 6" xfId="26847"/>
    <cellStyle name="常规 5 2 4 4 2 4" xfId="29599"/>
    <cellStyle name="常规 5 2 4 4 2 4 2" xfId="19662"/>
    <cellStyle name="常规 5 2 4 4 2 4 2 2" xfId="27376"/>
    <cellStyle name="常规 5 2 4 4 2 4 2 2 2" xfId="27013"/>
    <cellStyle name="常规 5 2 4 4 2 4 2 3" xfId="27381"/>
    <cellStyle name="常规 5 2 4 4 2 4 2 4" xfId="8847"/>
    <cellStyle name="常规 5 2 4 4 2 4 3" xfId="29612"/>
    <cellStyle name="常规 5 2 4 4 2 4 3 2" xfId="27391"/>
    <cellStyle name="常规 5 2 4 4 2 4 4" xfId="29620"/>
    <cellStyle name="常规 5 2 4 4 2 4 5" xfId="29628"/>
    <cellStyle name="常规 5 2 4 4 2 5" xfId="29633"/>
    <cellStyle name="常规 5 2 4 4 2 5 2" xfId="29636"/>
    <cellStyle name="常规 5 2 4 4 2 5 2 2" xfId="27414"/>
    <cellStyle name="常规 5 2 4 4 2 5 3" xfId="29643"/>
    <cellStyle name="常规 5 2 4 4 2 5 4" xfId="29649"/>
    <cellStyle name="常规 5 2 4 4 2 6" xfId="29654"/>
    <cellStyle name="常规 5 2 4 4 2 6 2" xfId="29657"/>
    <cellStyle name="常规 5 2 4 4 2 7" xfId="19182"/>
    <cellStyle name="常规 5 2 4 4 2 8" xfId="26609"/>
    <cellStyle name="常规 5 2 4 4 3" xfId="11789"/>
    <cellStyle name="常规 5 2 4 4 3 2" xfId="13569"/>
    <cellStyle name="常规 5 2 4 4 3 2 2" xfId="19747"/>
    <cellStyle name="常规 5 2 4 4 3 2 2 2" xfId="30665"/>
    <cellStyle name="常规 5 2 4 4 3 2 2 2 2" xfId="28196"/>
    <cellStyle name="常规 5 2 4 4 3 2 2 2 2 2" xfId="30588"/>
    <cellStyle name="常规 5 2 4 4 3 2 2 2 3" xfId="30590"/>
    <cellStyle name="常规 5 2 4 4 3 2 2 2 4" xfId="30592"/>
    <cellStyle name="常规 5 2 4 4 3 2 2 3" xfId="30668"/>
    <cellStyle name="常规 5 2 4 4 3 2 2 3 2" xfId="30595"/>
    <cellStyle name="常规 5 2 4 4 3 2 2 4" xfId="30670"/>
    <cellStyle name="常规 5 2 4 4 3 2 2 5" xfId="30671"/>
    <cellStyle name="常规 5 2 4 4 3 2 3" xfId="19749"/>
    <cellStyle name="常规 5 2 4 4 3 2 3 2" xfId="30673"/>
    <cellStyle name="常规 5 2 4 4 3 2 3 2 2" xfId="30605"/>
    <cellStyle name="常规 5 2 4 4 3 2 3 3" xfId="30675"/>
    <cellStyle name="常规 5 2 4 4 3 2 3 4" xfId="30676"/>
    <cellStyle name="常规 5 2 4 4 3 2 4" xfId="30677"/>
    <cellStyle name="常规 5 2 4 4 3 2 4 2" xfId="30678"/>
    <cellStyle name="常规 5 2 4 4 3 2 5" xfId="30679"/>
    <cellStyle name="常规 5 2 4 4 3 2 6" xfId="26863"/>
    <cellStyle name="常规 5 2 4 4 3 3" xfId="13571"/>
    <cellStyle name="常规 5 2 4 4 3 3 2" xfId="19777"/>
    <cellStyle name="常规 5 2 4 4 3 3 2 2" xfId="27466"/>
    <cellStyle name="常规 5 2 4 4 3 3 2 2 2" xfId="27472"/>
    <cellStyle name="常规 5 2 4 4 3 3 2 3" xfId="27478"/>
    <cellStyle name="常规 5 2 4 4 3 3 2 4" xfId="16953"/>
    <cellStyle name="常规 5 2 4 4 3 3 3" xfId="29689"/>
    <cellStyle name="常规 5 2 4 4 3 3 3 2" xfId="27488"/>
    <cellStyle name="常规 5 2 4 4 3 3 4" xfId="29699"/>
    <cellStyle name="常规 5 2 4 4 3 3 5" xfId="29707"/>
    <cellStyle name="常规 5 2 4 4 3 4" xfId="29712"/>
    <cellStyle name="常规 5 2 4 4 3 4 2" xfId="2468"/>
    <cellStyle name="常规 5 2 4 4 3 4 2 2" xfId="27507"/>
    <cellStyle name="常规 5 2 4 4 3 4 3" xfId="29724"/>
    <cellStyle name="常规 5 2 4 4 3 4 4" xfId="9406"/>
    <cellStyle name="常规 5 2 4 4 3 5" xfId="29732"/>
    <cellStyle name="常规 5 2 4 4 3 5 2" xfId="29735"/>
    <cellStyle name="常规 5 2 4 4 3 6" xfId="29746"/>
    <cellStyle name="常规 5 2 4 4 3 7" xfId="26619"/>
    <cellStyle name="常规 5 2 4 4 4" xfId="11792"/>
    <cellStyle name="常规 5 2 4 4 4 2" xfId="30680"/>
    <cellStyle name="常规 5 2 4 4 4 2 2" xfId="19839"/>
    <cellStyle name="常规 5 2 4 4 4 2 2 2" xfId="28654"/>
    <cellStyle name="常规 5 2 4 4 4 2 2 2 2" xfId="28899"/>
    <cellStyle name="常规 5 2 4 4 4 2 2 3" xfId="28659"/>
    <cellStyle name="常规 5 2 4 4 4 2 2 4" xfId="30681"/>
    <cellStyle name="常规 5 2 4 4 4 2 3" xfId="30682"/>
    <cellStyle name="常规 5 2 4 4 4 2 3 2" xfId="28711"/>
    <cellStyle name="常规 5 2 4 4 4 2 4" xfId="30683"/>
    <cellStyle name="常规 5 2 4 4 4 2 5" xfId="30684"/>
    <cellStyle name="常规 5 2 4 4 4 3" xfId="29751"/>
    <cellStyle name="常规 5 2 4 4 4 3 2" xfId="1494"/>
    <cellStyle name="常规 5 2 4 4 4 3 2 2" xfId="27547"/>
    <cellStyle name="常规 5 2 4 4 4 3 3" xfId="943"/>
    <cellStyle name="常规 5 2 4 4 4 3 4" xfId="953"/>
    <cellStyle name="常规 5 2 4 4 4 4" xfId="29769"/>
    <cellStyle name="常规 5 2 4 4 4 4 2" xfId="29772"/>
    <cellStyle name="常规 5 2 4 4 4 5" xfId="17674"/>
    <cellStyle name="常规 5 2 4 4 4 6" xfId="29782"/>
    <cellStyle name="常规 5 2 4 4 5" xfId="30687"/>
    <cellStyle name="常规 5 2 4 4 5 2" xfId="30689"/>
    <cellStyle name="常规 5 2 4 4 5 2 2" xfId="30690"/>
    <cellStyle name="常规 5 2 4 4 5 2 2 2" xfId="28895"/>
    <cellStyle name="常规 5 2 4 4 5 2 3" xfId="30691"/>
    <cellStyle name="常规 5 2 4 4 5 2 4" xfId="30692"/>
    <cellStyle name="常规 5 2 4 4 5 3" xfId="29787"/>
    <cellStyle name="常规 5 2 4 4 5 3 2" xfId="29790"/>
    <cellStyle name="常规 5 2 4 4 5 4" xfId="15533"/>
    <cellStyle name="常规 5 2 4 4 5 5" xfId="15542"/>
    <cellStyle name="常规 5 2 4 4 6" xfId="30695"/>
    <cellStyle name="常规 5 2 4 4 6 2" xfId="30697"/>
    <cellStyle name="常规 5 2 4 4 6 2 2" xfId="30699"/>
    <cellStyle name="常规 5 2 4 4 6 3" xfId="19116"/>
    <cellStyle name="常规 5 2 4 4 6 4" xfId="3806"/>
    <cellStyle name="常规 5 2 4 4 7" xfId="21854"/>
    <cellStyle name="常规 5 2 4 4 7 2" xfId="21857"/>
    <cellStyle name="常规 5 2 4 4 8" xfId="21860"/>
    <cellStyle name="常规 5 2 4 4 9" xfId="21863"/>
    <cellStyle name="常规 5 2 4 5" xfId="30700"/>
    <cellStyle name="常规 5 2 4 5 2" xfId="11801"/>
    <cellStyle name="常规 5 2 4 5 2 2" xfId="30701"/>
    <cellStyle name="常规 5 2 4 5 2 2 2" xfId="30702"/>
    <cellStyle name="常规 5 2 4 5 2 2 2 2" xfId="12261"/>
    <cellStyle name="常规 5 2 4 5 2 2 2 2 2" xfId="12266"/>
    <cellStyle name="常规 5 2 4 5 2 2 2 2 2 2" xfId="30704"/>
    <cellStyle name="常规 5 2 4 5 2 2 2 2 2 2 2" xfId="30705"/>
    <cellStyle name="常规 5 2 4 5 2 2 2 2 2 3" xfId="15360"/>
    <cellStyle name="常规 5 2 4 5 2 2 2 2 2 4" xfId="15384"/>
    <cellStyle name="常规 5 2 4 5 2 2 2 2 3" xfId="30707"/>
    <cellStyle name="常规 5 2 4 5 2 2 2 2 3 2" xfId="30708"/>
    <cellStyle name="常规 5 2 4 5 2 2 2 2 4" xfId="30710"/>
    <cellStyle name="常规 5 2 4 5 2 2 2 2 5" xfId="30711"/>
    <cellStyle name="常规 5 2 4 5 2 2 2 3" xfId="12269"/>
    <cellStyle name="常规 5 2 4 5 2 2 2 3 2" xfId="30713"/>
    <cellStyle name="常规 5 2 4 5 2 2 2 3 2 2" xfId="30714"/>
    <cellStyle name="常规 5 2 4 5 2 2 2 3 3" xfId="30716"/>
    <cellStyle name="常规 5 2 4 5 2 2 2 3 4" xfId="30718"/>
    <cellStyle name="常规 5 2 4 5 2 2 2 4" xfId="12272"/>
    <cellStyle name="常规 5 2 4 5 2 2 2 4 2" xfId="30719"/>
    <cellStyle name="常规 5 2 4 5 2 2 2 5" xfId="30720"/>
    <cellStyle name="常规 5 2 4 5 2 2 2 6" xfId="30721"/>
    <cellStyle name="常规 5 2 4 5 2 2 3" xfId="30722"/>
    <cellStyle name="常规 5 2 4 5 2 2 3 2" xfId="12299"/>
    <cellStyle name="常规 5 2 4 5 2 2 3 2 2" xfId="30724"/>
    <cellStyle name="常规 5 2 4 5 2 2 3 2 2 2" xfId="30725"/>
    <cellStyle name="常规 5 2 4 5 2 2 3 2 3" xfId="30727"/>
    <cellStyle name="常规 5 2 4 5 2 2 3 2 4" xfId="30728"/>
    <cellStyle name="常规 5 2 4 5 2 2 3 3" xfId="12302"/>
    <cellStyle name="常规 5 2 4 5 2 2 3 3 2" xfId="30729"/>
    <cellStyle name="常规 5 2 4 5 2 2 3 4" xfId="30730"/>
    <cellStyle name="常规 5 2 4 5 2 2 3 5" xfId="30731"/>
    <cellStyle name="常规 5 2 4 5 2 2 4" xfId="30732"/>
    <cellStyle name="常规 5 2 4 5 2 2 4 2" xfId="12311"/>
    <cellStyle name="常规 5 2 4 5 2 2 4 2 2" xfId="2596"/>
    <cellStyle name="常规 5 2 4 5 2 2 4 3" xfId="30733"/>
    <cellStyle name="常规 5 2 4 5 2 2 4 4" xfId="30734"/>
    <cellStyle name="常规 5 2 4 5 2 2 5" xfId="30735"/>
    <cellStyle name="常规 5 2 4 5 2 2 5 2" xfId="30737"/>
    <cellStyle name="常规 5 2 4 5 2 2 6" xfId="26885"/>
    <cellStyle name="常规 5 2 4 5 2 2 7" xfId="14178"/>
    <cellStyle name="常规 5 2 4 5 2 3" xfId="29865"/>
    <cellStyle name="常规 5 2 4 5 2 3 2" xfId="29868"/>
    <cellStyle name="常规 5 2 4 5 2 3 2 2" xfId="12350"/>
    <cellStyle name="常规 5 2 4 5 2 3 2 2 2" xfId="28477"/>
    <cellStyle name="常规 5 2 4 5 2 3 2 2 2 2" xfId="29870"/>
    <cellStyle name="常规 5 2 4 5 2 3 2 2 3" xfId="29873"/>
    <cellStyle name="常规 5 2 4 5 2 3 2 2 4" xfId="29875"/>
    <cellStyle name="常规 5 2 4 5 2 3 2 3" xfId="12356"/>
    <cellStyle name="常规 5 2 4 5 2 3 2 3 2" xfId="29877"/>
    <cellStyle name="常规 5 2 4 5 2 3 2 4" xfId="28481"/>
    <cellStyle name="常规 5 2 4 5 2 3 2 5" xfId="29879"/>
    <cellStyle name="常规 5 2 4 5 2 3 3" xfId="29882"/>
    <cellStyle name="常规 5 2 4 5 2 3 3 2" xfId="12374"/>
    <cellStyle name="常规 5 2 4 5 2 3 3 2 2" xfId="29884"/>
    <cellStyle name="常规 5 2 4 5 2 3 3 3" xfId="28487"/>
    <cellStyle name="常规 5 2 4 5 2 3 3 4" xfId="29887"/>
    <cellStyle name="常规 5 2 4 5 2 3 4" xfId="29890"/>
    <cellStyle name="常规 5 2 4 5 2 3 4 2" xfId="29892"/>
    <cellStyle name="常规 5 2 4 5 2 3 5" xfId="29895"/>
    <cellStyle name="常规 5 2 4 5 2 3 6" xfId="29897"/>
    <cellStyle name="常规 5 2 4 5 2 4" xfId="29899"/>
    <cellStyle name="常规 5 2 4 5 2 4 2" xfId="29902"/>
    <cellStyle name="常规 5 2 4 5 2 4 2 2" xfId="12403"/>
    <cellStyle name="常规 5 2 4 5 2 4 2 2 2" xfId="29904"/>
    <cellStyle name="常规 5 2 4 5 2 4 2 3" xfId="28498"/>
    <cellStyle name="常规 5 2 4 5 2 4 2 4" xfId="29907"/>
    <cellStyle name="常规 5 2 4 5 2 4 3" xfId="29910"/>
    <cellStyle name="常规 5 2 4 5 2 4 3 2" xfId="29912"/>
    <cellStyle name="常规 5 2 4 5 2 4 4" xfId="29915"/>
    <cellStyle name="常规 5 2 4 5 2 4 5" xfId="29918"/>
    <cellStyle name="常规 5 2 4 5 2 5" xfId="29920"/>
    <cellStyle name="常规 5 2 4 5 2 5 2" xfId="17906"/>
    <cellStyle name="常规 5 2 4 5 2 5 2 2" xfId="29922"/>
    <cellStyle name="常规 5 2 4 5 2 5 3" xfId="17910"/>
    <cellStyle name="常规 5 2 4 5 2 5 4" xfId="29924"/>
    <cellStyle name="常规 5 2 4 5 2 6" xfId="29368"/>
    <cellStyle name="常规 5 2 4 5 2 6 2" xfId="29371"/>
    <cellStyle name="常规 5 2 4 5 2 7" xfId="26672"/>
    <cellStyle name="常规 5 2 4 5 2 8" xfId="26682"/>
    <cellStyle name="常规 5 2 4 5 3" xfId="11805"/>
    <cellStyle name="常规 5 2 4 5 3 2" xfId="30738"/>
    <cellStyle name="常规 5 2 4 5 3 2 2" xfId="547"/>
    <cellStyle name="常规 5 2 4 5 3 2 2 2" xfId="12513"/>
    <cellStyle name="常规 5 2 4 5 3 2 2 2 2" xfId="12515"/>
    <cellStyle name="常规 5 2 4 5 3 2 2 2 2 2" xfId="7669"/>
    <cellStyle name="常规 5 2 4 5 3 2 2 2 3" xfId="20578"/>
    <cellStyle name="常规 5 2 4 5 3 2 2 2 4" xfId="5563"/>
    <cellStyle name="常规 5 2 4 5 3 2 2 3" xfId="12518"/>
    <cellStyle name="常规 5 2 4 5 3 2 2 3 2" xfId="30739"/>
    <cellStyle name="常规 5 2 4 5 3 2 2 4" xfId="12520"/>
    <cellStyle name="常规 5 2 4 5 3 2 2 5" xfId="30740"/>
    <cellStyle name="常规 5 2 4 5 3 2 3" xfId="1193"/>
    <cellStyle name="常规 5 2 4 5 3 2 3 2" xfId="12561"/>
    <cellStyle name="常规 5 2 4 5 3 2 3 2 2" xfId="30742"/>
    <cellStyle name="常规 5 2 4 5 3 2 3 3" xfId="12565"/>
    <cellStyle name="常规 5 2 4 5 3 2 3 4" xfId="30744"/>
    <cellStyle name="常规 5 2 4 5 3 2 4" xfId="1213"/>
    <cellStyle name="常规 5 2 4 5 3 2 4 2" xfId="2557"/>
    <cellStyle name="常规 5 2 4 5 3 2 5" xfId="1223"/>
    <cellStyle name="常规 5 2 4 5 3 2 6" xfId="1236"/>
    <cellStyle name="常规 5 2 4 5 3 3" xfId="29926"/>
    <cellStyle name="常规 5 2 4 5 3 3 2" xfId="29929"/>
    <cellStyle name="常规 5 2 4 5 3 3 2 2" xfId="12627"/>
    <cellStyle name="常规 5 2 4 5 3 3 2 2 2" xfId="22521"/>
    <cellStyle name="常规 5 2 4 5 3 3 2 3" xfId="12630"/>
    <cellStyle name="常规 5 2 4 5 3 3 2 4" xfId="29932"/>
    <cellStyle name="常规 5 2 4 5 3 3 3" xfId="29936"/>
    <cellStyle name="常规 5 2 4 5 3 3 3 2" xfId="12650"/>
    <cellStyle name="常规 5 2 4 5 3 3 4" xfId="5177"/>
    <cellStyle name="常规 5 2 4 5 3 3 5" xfId="6581"/>
    <cellStyle name="常规 5 2 4 5 3 4" xfId="29939"/>
    <cellStyle name="常规 5 2 4 5 3 4 2" xfId="7777"/>
    <cellStyle name="常规 5 2 4 5 3 4 2 2" xfId="1267"/>
    <cellStyle name="常规 5 2 4 5 3 4 3" xfId="2967"/>
    <cellStyle name="常规 5 2 4 5 3 4 4" xfId="6586"/>
    <cellStyle name="常规 5 2 4 5 3 5" xfId="29941"/>
    <cellStyle name="常规 5 2 4 5 3 5 2" xfId="7795"/>
    <cellStyle name="常规 5 2 4 5 3 6" xfId="29375"/>
    <cellStyle name="常规 5 2 4 5 3 7" xfId="26691"/>
    <cellStyle name="常规 5 2 4 5 4" xfId="30745"/>
    <cellStyle name="常规 5 2 4 5 4 2" xfId="30746"/>
    <cellStyle name="常规 5 2 4 5 4 2 2" xfId="1109"/>
    <cellStyle name="常规 5 2 4 5 4 2 2 2" xfId="12781"/>
    <cellStyle name="常规 5 2 4 5 4 2 2 2 2" xfId="30747"/>
    <cellStyle name="常规 5 2 4 5 4 2 2 3" xfId="12784"/>
    <cellStyle name="常规 5 2 4 5 4 2 2 4" xfId="30748"/>
    <cellStyle name="常规 5 2 4 5 4 2 3" xfId="1118"/>
    <cellStyle name="常规 5 2 4 5 4 2 3 2" xfId="12815"/>
    <cellStyle name="常规 5 2 4 5 4 2 4" xfId="223"/>
    <cellStyle name="常规 5 2 4 5 4 2 5" xfId="1277"/>
    <cellStyle name="常规 5 2 4 5 4 3" xfId="29944"/>
    <cellStyle name="常规 5 2 4 5 4 3 2" xfId="29947"/>
    <cellStyle name="常规 5 2 4 5 4 3 2 2" xfId="12855"/>
    <cellStyle name="常规 5 2 4 5 4 3 3" xfId="29951"/>
    <cellStyle name="常规 5 2 4 5 4 3 4" xfId="6594"/>
    <cellStyle name="常规 5 2 4 5 4 4" xfId="29954"/>
    <cellStyle name="常规 5 2 4 5 4 4 2" xfId="6078"/>
    <cellStyle name="常规 5 2 4 5 4 5" xfId="29956"/>
    <cellStyle name="常规 5 2 4 5 4 6" xfId="29958"/>
    <cellStyle name="常规 5 2 4 5 5" xfId="30750"/>
    <cellStyle name="常规 5 2 4 5 5 2" xfId="30751"/>
    <cellStyle name="常规 5 2 4 5 5 2 2" xfId="1143"/>
    <cellStyle name="常规 5 2 4 5 5 2 2 2" xfId="12937"/>
    <cellStyle name="常规 5 2 4 5 5 2 3" xfId="1150"/>
    <cellStyle name="常规 5 2 4 5 5 2 4" xfId="1304"/>
    <cellStyle name="常规 5 2 4 5 5 3" xfId="29961"/>
    <cellStyle name="常规 5 2 4 5 5 3 2" xfId="29963"/>
    <cellStyle name="常规 5 2 4 5 5 4" xfId="15575"/>
    <cellStyle name="常规 5 2 4 5 5 5" xfId="15578"/>
    <cellStyle name="常规 5 2 4 5 6" xfId="20530"/>
    <cellStyle name="常规 5 2 4 5 6 2" xfId="30753"/>
    <cellStyle name="常规 5 2 4 5 6 2 2" xfId="1646"/>
    <cellStyle name="常规 5 2 4 5 6 3" xfId="19134"/>
    <cellStyle name="常规 5 2 4 5 6 4" xfId="15584"/>
    <cellStyle name="常规 5 2 4 5 7" xfId="21868"/>
    <cellStyle name="常规 5 2 4 5 7 2" xfId="30755"/>
    <cellStyle name="常规 5 2 4 5 8" xfId="30757"/>
    <cellStyle name="常规 5 2 4 5 9" xfId="30759"/>
    <cellStyle name="常规 5 2 4 6" xfId="30760"/>
    <cellStyle name="常规 5 2 4 6 2" xfId="30761"/>
    <cellStyle name="常规 5 2 4 6 2 2" xfId="23873"/>
    <cellStyle name="常规 5 2 4 6 2 2 2" xfId="23875"/>
    <cellStyle name="常规 5 2 4 6 2 2 2 2" xfId="14147"/>
    <cellStyle name="常规 5 2 4 6 2 2 2 2 2" xfId="14150"/>
    <cellStyle name="常规 5 2 4 6 2 2 2 2 2 2" xfId="30763"/>
    <cellStyle name="常规 5 2 4 6 2 2 2 2 3" xfId="30764"/>
    <cellStyle name="常规 5 2 4 6 2 2 2 2 4" xfId="3197"/>
    <cellStyle name="常规 5 2 4 6 2 2 2 3" xfId="14154"/>
    <cellStyle name="常规 5 2 4 6 2 2 2 3 2" xfId="30765"/>
    <cellStyle name="常规 5 2 4 6 2 2 2 4" xfId="5861"/>
    <cellStyle name="常规 5 2 4 6 2 2 2 5" xfId="5522"/>
    <cellStyle name="常规 5 2 4 6 2 2 3" xfId="21120"/>
    <cellStyle name="常规 5 2 4 6 2 2 3 2" xfId="14181"/>
    <cellStyle name="常规 5 2 4 6 2 2 3 2 2" xfId="30767"/>
    <cellStyle name="常规 5 2 4 6 2 2 3 3" xfId="14184"/>
    <cellStyle name="常规 5 2 4 6 2 2 3 4" xfId="2523"/>
    <cellStyle name="常规 5 2 4 6 2 2 4" xfId="21123"/>
    <cellStyle name="常规 5 2 4 6 2 2 4 2" xfId="14194"/>
    <cellStyle name="常规 5 2 4 6 2 2 5" xfId="19698"/>
    <cellStyle name="常规 5 2 4 6 2 2 6" xfId="30769"/>
    <cellStyle name="常规 5 2 4 6 2 3" xfId="23877"/>
    <cellStyle name="常规 5 2 4 6 2 3 2" xfId="25445"/>
    <cellStyle name="常规 5 2 4 6 2 3 2 2" xfId="14237"/>
    <cellStyle name="常规 5 2 4 6 2 3 2 2 2" xfId="30003"/>
    <cellStyle name="常规 5 2 4 6 2 3 2 3" xfId="14243"/>
    <cellStyle name="常规 5 2 4 6 2 3 2 4" xfId="5877"/>
    <cellStyle name="常规 5 2 4 6 2 3 3" xfId="25452"/>
    <cellStyle name="常规 5 2 4 6 2 3 3 2" xfId="14266"/>
    <cellStyle name="常规 5 2 4 6 2 3 4" xfId="25457"/>
    <cellStyle name="常规 5 2 4 6 2 3 5" xfId="30042"/>
    <cellStyle name="常规 5 2 4 6 2 4" xfId="23880"/>
    <cellStyle name="常规 5 2 4 6 2 4 2" xfId="25511"/>
    <cellStyle name="常规 5 2 4 6 2 4 2 2" xfId="9031"/>
    <cellStyle name="常规 5 2 4 6 2 4 3" xfId="25517"/>
    <cellStyle name="常规 5 2 4 6 2 4 4" xfId="30048"/>
    <cellStyle name="常规 5 2 4 6 2 5" xfId="30052"/>
    <cellStyle name="常规 5 2 4 6 2 5 2" xfId="25544"/>
    <cellStyle name="常规 5 2 4 6 2 6" xfId="29384"/>
    <cellStyle name="常规 5 2 4 6 2 7" xfId="26716"/>
    <cellStyle name="常规 5 2 4 6 3" xfId="30770"/>
    <cellStyle name="常规 5 2 4 6 3 2" xfId="23885"/>
    <cellStyle name="常规 5 2 4 6 3 2 2" xfId="30771"/>
    <cellStyle name="常规 5 2 4 6 3 2 2 2" xfId="14351"/>
    <cellStyle name="常规 5 2 4 6 3 2 2 2 2" xfId="30406"/>
    <cellStyle name="常规 5 2 4 6 3 2 2 3" xfId="14353"/>
    <cellStyle name="常规 5 2 4 6 3 2 2 4" xfId="3379"/>
    <cellStyle name="常规 5 2 4 6 3 2 3" xfId="30773"/>
    <cellStyle name="常规 5 2 4 6 3 2 3 2" xfId="14380"/>
    <cellStyle name="常规 5 2 4 6 3 2 4" xfId="5550"/>
    <cellStyle name="常规 5 2 4 6 3 2 5" xfId="2554"/>
    <cellStyle name="常规 5 2 4 6 3 3" xfId="23887"/>
    <cellStyle name="常规 5 2 4 6 3 3 2" xfId="25719"/>
    <cellStyle name="常规 5 2 4 6 3 3 2 2" xfId="14414"/>
    <cellStyle name="常规 5 2 4 6 3 3 3" xfId="25727"/>
    <cellStyle name="常规 5 2 4 6 3 3 4" xfId="2266"/>
    <cellStyle name="常规 5 2 4 6 3 4" xfId="5568"/>
    <cellStyle name="常规 5 2 4 6 3 4 2" xfId="5574"/>
    <cellStyle name="常规 5 2 4 6 3 5" xfId="5594"/>
    <cellStyle name="常规 5 2 4 6 3 6" xfId="4946"/>
    <cellStyle name="常规 5 2 4 6 4" xfId="30762"/>
    <cellStyle name="常规 5 2 4 6 4 2" xfId="344"/>
    <cellStyle name="常规 5 2 4 6 4 2 2" xfId="30775"/>
    <cellStyle name="常规 5 2 4 6 4 2 2 2" xfId="5239"/>
    <cellStyle name="常规 5 2 4 6 4 2 3" xfId="30778"/>
    <cellStyle name="常规 5 2 4 6 4 2 4" xfId="5620"/>
    <cellStyle name="常规 5 2 4 6 4 3" xfId="30078"/>
    <cellStyle name="常规 5 2 4 6 4 3 2" xfId="25804"/>
    <cellStyle name="常规 5 2 4 6 4 4" xfId="5636"/>
    <cellStyle name="常规 5 2 4 6 4 5" xfId="5648"/>
    <cellStyle name="常规 5 2 4 6 5" xfId="30779"/>
    <cellStyle name="常规 5 2 4 6 5 2" xfId="30780"/>
    <cellStyle name="常规 5 2 4 6 5 2 2" xfId="30781"/>
    <cellStyle name="常规 5 2 4 6 5 3" xfId="30083"/>
    <cellStyle name="常规 5 2 4 6 5 4" xfId="5661"/>
    <cellStyle name="常规 5 2 4 6 6" xfId="30783"/>
    <cellStyle name="常规 5 2 4 6 6 2" xfId="30785"/>
    <cellStyle name="常规 5 2 4 6 7" xfId="30787"/>
    <cellStyle name="常规 5 2 4 6 8" xfId="30789"/>
    <cellStyle name="常规 5 2 4 7" xfId="30790"/>
    <cellStyle name="常规 5 2 4 7 2" xfId="30791"/>
    <cellStyle name="常规 5 2 4 7 2 2" xfId="23905"/>
    <cellStyle name="常规 5 2 4 7 2 2 2" xfId="30792"/>
    <cellStyle name="常规 5 2 4 7 2 2 2 2" xfId="15050"/>
    <cellStyle name="常规 5 2 4 7 2 2 2 2 2" xfId="30794"/>
    <cellStyle name="常规 5 2 4 7 2 2 2 3" xfId="15052"/>
    <cellStyle name="常规 5 2 4 7 2 2 2 4" xfId="5925"/>
    <cellStyle name="常规 5 2 4 7 2 2 3" xfId="30796"/>
    <cellStyle name="常规 5 2 4 7 2 2 3 2" xfId="15059"/>
    <cellStyle name="常规 5 2 4 7 2 2 4" xfId="30798"/>
    <cellStyle name="常规 5 2 4 7 2 2 5" xfId="30801"/>
    <cellStyle name="常规 5 2 4 7 2 3" xfId="23907"/>
    <cellStyle name="常规 5 2 4 7 2 3 2" xfId="26227"/>
    <cellStyle name="常规 5 2 4 7 2 3 2 2" xfId="15078"/>
    <cellStyle name="常规 5 2 4 7 2 3 3" xfId="26233"/>
    <cellStyle name="常规 5 2 4 7 2 3 4" xfId="26236"/>
    <cellStyle name="常规 5 2 4 7 2 4" xfId="30132"/>
    <cellStyle name="常规 5 2 4 7 2 4 2" xfId="26274"/>
    <cellStyle name="常规 5 2 4 7 2 5" xfId="30137"/>
    <cellStyle name="常规 5 2 4 7 2 6" xfId="30139"/>
    <cellStyle name="常规 5 2 4 7 3" xfId="30802"/>
    <cellStyle name="常规 5 2 4 7 3 2" xfId="30803"/>
    <cellStyle name="常规 5 2 4 7 3 2 2" xfId="30804"/>
    <cellStyle name="常规 5 2 4 7 3 2 2 2" xfId="15122"/>
    <cellStyle name="常规 5 2 4 7 3 2 3" xfId="30806"/>
    <cellStyle name="常规 5 2 4 7 3 2 4" xfId="5719"/>
    <cellStyle name="常规 5 2 4 7 3 3" xfId="30144"/>
    <cellStyle name="常规 5 2 4 7 3 3 2" xfId="26396"/>
    <cellStyle name="常规 5 2 4 7 3 4" xfId="5745"/>
    <cellStyle name="常规 5 2 4 7 3 5" xfId="5760"/>
    <cellStyle name="常规 5 2 4 7 4" xfId="30807"/>
    <cellStyle name="常规 5 2 4 7 4 2" xfId="30808"/>
    <cellStyle name="常规 5 2 4 7 4 2 2" xfId="30809"/>
    <cellStyle name="常规 5 2 4 7 4 3" xfId="30150"/>
    <cellStyle name="常规 5 2 4 7 4 4" xfId="5780"/>
    <cellStyle name="常规 5 2 4 7 5" xfId="30810"/>
    <cellStyle name="常规 5 2 4 7 5 2" xfId="20643"/>
    <cellStyle name="常规 5 2 4 7 6" xfId="30812"/>
    <cellStyle name="常规 5 2 4 7 7" xfId="30814"/>
    <cellStyle name="常规 5 2 4 8" xfId="26028"/>
    <cellStyle name="常规 5 2 4 8 2" xfId="30815"/>
    <cellStyle name="常规 5 2 4 8 2 2" xfId="30816"/>
    <cellStyle name="常规 5 2 4 8 2 2 2" xfId="30818"/>
    <cellStyle name="常规 5 2 4 8 2 2 2 2" xfId="15606"/>
    <cellStyle name="常规 5 2 4 8 2 2 3" xfId="27323"/>
    <cellStyle name="常规 5 2 4 8 2 2 4" xfId="27326"/>
    <cellStyle name="常规 5 2 4 8 2 3" xfId="21160"/>
    <cellStyle name="常规 5 2 4 8 2 3 2" xfId="21166"/>
    <cellStyle name="常规 5 2 4 8 2 4" xfId="21182"/>
    <cellStyle name="常规 5 2 4 8 2 5" xfId="21187"/>
    <cellStyle name="常规 5 2 4 8 3" xfId="30819"/>
    <cellStyle name="常规 5 2 4 8 3 2" xfId="30820"/>
    <cellStyle name="常规 5 2 4 8 3 2 2" xfId="30822"/>
    <cellStyle name="常规 5 2 4 8 3 3" xfId="30166"/>
    <cellStyle name="常规 5 2 4 8 3 4" xfId="5815"/>
    <cellStyle name="常规 5 2 4 8 4" xfId="30823"/>
    <cellStyle name="常规 5 2 4 8 4 2" xfId="30824"/>
    <cellStyle name="常规 5 2 4 8 5" xfId="28961"/>
    <cellStyle name="常规 5 2 4 8 6" xfId="28970"/>
    <cellStyle name="常规 5 2 4 9" xfId="30825"/>
    <cellStyle name="常规 5 2 4 9 2" xfId="30826"/>
    <cellStyle name="常规 5 2 4 9 2 2" xfId="30827"/>
    <cellStyle name="常规 5 2 4 9 2 2 2" xfId="30829"/>
    <cellStyle name="常规 5 2 4 9 2 3" xfId="30181"/>
    <cellStyle name="常规 5 2 4 9 2 4" xfId="30183"/>
    <cellStyle name="常规 5 2 4 9 3" xfId="30830"/>
    <cellStyle name="常规 5 2 4 9 3 2" xfId="30831"/>
    <cellStyle name="常规 5 2 4 9 4" xfId="30832"/>
    <cellStyle name="常规 5 2 4 9 5" xfId="28975"/>
    <cellStyle name="常规 5 2 5" xfId="30834"/>
    <cellStyle name="常规 5 2 5 10" xfId="30835"/>
    <cellStyle name="常规 5 2 5 10 2" xfId="30837"/>
    <cellStyle name="常规 5 2 5 11" xfId="30838"/>
    <cellStyle name="常规 5 2 5 12" xfId="30469"/>
    <cellStyle name="常规 5 2 5 2" xfId="30840"/>
    <cellStyle name="常规 5 2 5 2 10" xfId="216"/>
    <cellStyle name="常规 5 2 5 2 11" xfId="30842"/>
    <cellStyle name="常规 5 2 5 2 2" xfId="11915"/>
    <cellStyle name="常规 5 2 5 2 2 2" xfId="11917"/>
    <cellStyle name="常规 5 2 5 2 2 2 2" xfId="11920"/>
    <cellStyle name="常规 5 2 5 2 2 2 2 2" xfId="17138"/>
    <cellStyle name="常规 5 2 5 2 2 2 2 2 2" xfId="17140"/>
    <cellStyle name="常规 5 2 5 2 2 2 2 2 2 2" xfId="30844"/>
    <cellStyle name="常规 5 2 5 2 2 2 2 2 2 2 2" xfId="30846"/>
    <cellStyle name="常规 5 2 5 2 2 2 2 2 2 2 2 2" xfId="30848"/>
    <cellStyle name="常规 5 2 5 2 2 2 2 2 2 2 3" xfId="30849"/>
    <cellStyle name="常规 5 2 5 2 2 2 2 2 2 2 4" xfId="30851"/>
    <cellStyle name="常规 5 2 5 2 2 2 2 2 2 3" xfId="30853"/>
    <cellStyle name="常规 5 2 5 2 2 2 2 2 2 3 2" xfId="30854"/>
    <cellStyle name="常规 5 2 5 2 2 2 2 2 2 4" xfId="29509"/>
    <cellStyle name="常规 5 2 5 2 2 2 2 2 2 5" xfId="20267"/>
    <cellStyle name="常规 5 2 5 2 2 2 2 2 3" xfId="9448"/>
    <cellStyle name="常规 5 2 5 2 2 2 2 2 3 2" xfId="30855"/>
    <cellStyle name="常规 5 2 5 2 2 2 2 2 3 2 2" xfId="30856"/>
    <cellStyle name="常规 5 2 5 2 2 2 2 2 3 3" xfId="16266"/>
    <cellStyle name="常规 5 2 5 2 2 2 2 2 3 4" xfId="30857"/>
    <cellStyle name="常规 5 2 5 2 2 2 2 2 4" xfId="30860"/>
    <cellStyle name="常规 5 2 5 2 2 2 2 2 4 2" xfId="30862"/>
    <cellStyle name="常规 5 2 5 2 2 2 2 2 5" xfId="30864"/>
    <cellStyle name="常规 5 2 5 2 2 2 2 2 6" xfId="20223"/>
    <cellStyle name="常规 5 2 5 2 2 2 2 3" xfId="17142"/>
    <cellStyle name="常规 5 2 5 2 2 2 2 3 2" xfId="30865"/>
    <cellStyle name="常规 5 2 5 2 2 2 2 3 2 2" xfId="30866"/>
    <cellStyle name="常规 5 2 5 2 2 2 2 3 2 2 2" xfId="30867"/>
    <cellStyle name="常规 5 2 5 2 2 2 2 3 2 3" xfId="30868"/>
    <cellStyle name="常规 5 2 5 2 2 2 2 3 2 4" xfId="30869"/>
    <cellStyle name="常规 5 2 5 2 2 2 2 3 3" xfId="30870"/>
    <cellStyle name="常规 5 2 5 2 2 2 2 3 3 2" xfId="15600"/>
    <cellStyle name="常规 5 2 5 2 2 2 2 3 4" xfId="30872"/>
    <cellStyle name="常规 5 2 5 2 2 2 2 3 5" xfId="4882"/>
    <cellStyle name="常规 5 2 5 2 2 2 2 4" xfId="17144"/>
    <cellStyle name="常规 5 2 5 2 2 2 2 4 2" xfId="30873"/>
    <cellStyle name="常规 5 2 5 2 2 2 2 4 2 2" xfId="30874"/>
    <cellStyle name="常规 5 2 5 2 2 2 2 4 3" xfId="30875"/>
    <cellStyle name="常规 5 2 5 2 2 2 2 4 4" xfId="27104"/>
    <cellStyle name="常规 5 2 5 2 2 2 2 5" xfId="30876"/>
    <cellStyle name="常规 5 2 5 2 2 2 2 5 2" xfId="30877"/>
    <cellStyle name="常规 5 2 5 2 2 2 2 6" xfId="30879"/>
    <cellStyle name="常规 5 2 5 2 2 2 2 7" xfId="30881"/>
    <cellStyle name="常规 5 2 5 2 2 2 3" xfId="17146"/>
    <cellStyle name="常规 5 2 5 2 2 2 3 2" xfId="17148"/>
    <cellStyle name="常规 5 2 5 2 2 2 3 2 2" xfId="30882"/>
    <cellStyle name="常规 5 2 5 2 2 2 3 2 2 2" xfId="30386"/>
    <cellStyle name="常规 5 2 5 2 2 2 3 2 2 2 2" xfId="30885"/>
    <cellStyle name="常规 5 2 5 2 2 2 3 2 2 3" xfId="30886"/>
    <cellStyle name="常规 5 2 5 2 2 2 3 2 2 4" xfId="30887"/>
    <cellStyle name="常规 5 2 5 2 2 2 3 2 3" xfId="30888"/>
    <cellStyle name="常规 5 2 5 2 2 2 3 2 3 2" xfId="30889"/>
    <cellStyle name="常规 5 2 5 2 2 2 3 2 4" xfId="30892"/>
    <cellStyle name="常规 5 2 5 2 2 2 3 2 5" xfId="19432"/>
    <cellStyle name="常规 5 2 5 2 2 2 3 3" xfId="30893"/>
    <cellStyle name="常规 5 2 5 2 2 2 3 3 2" xfId="30894"/>
    <cellStyle name="常规 5 2 5 2 2 2 3 3 2 2" xfId="30895"/>
    <cellStyle name="常规 5 2 5 2 2 2 3 3 3" xfId="30896"/>
    <cellStyle name="常规 5 2 5 2 2 2 3 3 4" xfId="30897"/>
    <cellStyle name="常规 5 2 5 2 2 2 3 4" xfId="30898"/>
    <cellStyle name="常规 5 2 5 2 2 2 3 4 2" xfId="30899"/>
    <cellStyle name="常规 5 2 5 2 2 2 3 5" xfId="30900"/>
    <cellStyle name="常规 5 2 5 2 2 2 3 6" xfId="30902"/>
    <cellStyle name="常规 5 2 5 2 2 2 4" xfId="17150"/>
    <cellStyle name="常规 5 2 5 2 2 2 4 2" xfId="30903"/>
    <cellStyle name="常规 5 2 5 2 2 2 4 2 2" xfId="6692"/>
    <cellStyle name="常规 5 2 5 2 2 2 4 2 2 2" xfId="30507"/>
    <cellStyle name="常规 5 2 5 2 2 2 4 2 3" xfId="6694"/>
    <cellStyle name="常规 5 2 5 2 2 2 4 2 4" xfId="30904"/>
    <cellStyle name="常规 5 2 5 2 2 2 4 3" xfId="30907"/>
    <cellStyle name="常规 5 2 5 2 2 2 4 3 2" xfId="30908"/>
    <cellStyle name="常规 5 2 5 2 2 2 4 4" xfId="30909"/>
    <cellStyle name="常规 5 2 5 2 2 2 4 5" xfId="30910"/>
    <cellStyle name="常规 5 2 5 2 2 2 5" xfId="1855"/>
    <cellStyle name="常规 5 2 5 2 2 2 5 2" xfId="30911"/>
    <cellStyle name="常规 5 2 5 2 2 2 5 2 2" xfId="30912"/>
    <cellStyle name="常规 5 2 5 2 2 2 5 3" xfId="30913"/>
    <cellStyle name="常规 5 2 5 2 2 2 5 4" xfId="30914"/>
    <cellStyle name="常规 5 2 5 2 2 2 6" xfId="26924"/>
    <cellStyle name="常规 5 2 5 2 2 2 6 2" xfId="26927"/>
    <cellStyle name="常规 5 2 5 2 2 2 7" xfId="26936"/>
    <cellStyle name="常规 5 2 5 2 2 2 8" xfId="26942"/>
    <cellStyle name="常规 5 2 5 2 2 3" xfId="11923"/>
    <cellStyle name="常规 5 2 5 2 2 3 2" xfId="17152"/>
    <cellStyle name="常规 5 2 5 2 2 3 2 2" xfId="17154"/>
    <cellStyle name="常规 5 2 5 2 2 3 2 2 2" xfId="30915"/>
    <cellStyle name="常规 5 2 5 2 2 3 2 2 2 2" xfId="27187"/>
    <cellStyle name="常规 5 2 5 2 2 3 2 2 2 2 2" xfId="30918"/>
    <cellStyle name="常规 5 2 5 2 2 3 2 2 2 3" xfId="29522"/>
    <cellStyle name="常规 5 2 5 2 2 3 2 2 2 4" xfId="29624"/>
    <cellStyle name="常规 5 2 5 2 2 3 2 2 3" xfId="30919"/>
    <cellStyle name="常规 5 2 5 2 2 3 2 2 3 2" xfId="29527"/>
    <cellStyle name="常规 5 2 5 2 2 3 2 2 4" xfId="30920"/>
    <cellStyle name="常规 5 2 5 2 2 3 2 2 5" xfId="30921"/>
    <cellStyle name="常规 5 2 5 2 2 3 2 3" xfId="30922"/>
    <cellStyle name="常规 5 2 5 2 2 3 2 3 2" xfId="30923"/>
    <cellStyle name="常规 5 2 5 2 2 3 2 3 2 2" xfId="29540"/>
    <cellStyle name="常规 5 2 5 2 2 3 2 3 3" xfId="30924"/>
    <cellStyle name="常规 5 2 5 2 2 3 2 3 4" xfId="30925"/>
    <cellStyle name="常规 5 2 5 2 2 3 2 4" xfId="30926"/>
    <cellStyle name="常规 5 2 5 2 2 3 2 4 2" xfId="30927"/>
    <cellStyle name="常规 5 2 5 2 2 3 2 5" xfId="30928"/>
    <cellStyle name="常规 5 2 5 2 2 3 2 6" xfId="11086"/>
    <cellStyle name="常规 5 2 5 2 2 3 3" xfId="17156"/>
    <cellStyle name="常规 5 2 5 2 2 3 3 2" xfId="8851"/>
    <cellStyle name="常规 5 2 5 2 2 3 3 2 2" xfId="8853"/>
    <cellStyle name="常规 5 2 5 2 2 3 3 2 2 2" xfId="29639"/>
    <cellStyle name="常规 5 2 5 2 2 3 3 2 3" xfId="30929"/>
    <cellStyle name="常规 5 2 5 2 2 3 3 2 4" xfId="30930"/>
    <cellStyle name="常规 5 2 5 2 2 3 3 3" xfId="8855"/>
    <cellStyle name="常规 5 2 5 2 2 3 3 3 2" xfId="30931"/>
    <cellStyle name="常规 5 2 5 2 2 3 3 4" xfId="8857"/>
    <cellStyle name="常规 5 2 5 2 2 3 3 5" xfId="30932"/>
    <cellStyle name="常规 5 2 5 2 2 3 4" xfId="17158"/>
    <cellStyle name="常规 5 2 5 2 2 3 4 2" xfId="8863"/>
    <cellStyle name="常规 5 2 5 2 2 3 4 2 2" xfId="30933"/>
    <cellStyle name="常规 5 2 5 2 2 3 4 3" xfId="8866"/>
    <cellStyle name="常规 5 2 5 2 2 3 4 4" xfId="30257"/>
    <cellStyle name="常规 5 2 5 2 2 3 5" xfId="30934"/>
    <cellStyle name="常规 5 2 5 2 2 3 5 2" xfId="16962"/>
    <cellStyle name="常规 5 2 5 2 2 3 6" xfId="26950"/>
    <cellStyle name="常规 5 2 5 2 2 3 7" xfId="26968"/>
    <cellStyle name="常规 5 2 5 2 2 4" xfId="11926"/>
    <cellStyle name="常规 5 2 5 2 2 4 2" xfId="16617"/>
    <cellStyle name="常规 5 2 5 2 2 4 2 2" xfId="16621"/>
    <cellStyle name="常规 5 2 5 2 2 4 2 2 2" xfId="30935"/>
    <cellStyle name="常规 5 2 5 2 2 4 2 2 2 2" xfId="29862"/>
    <cellStyle name="常规 5 2 5 2 2 4 2 2 3" xfId="30936"/>
    <cellStyle name="常规 5 2 5 2 2 4 2 2 4" xfId="30845"/>
    <cellStyle name="常规 5 2 5 2 2 4 2 3" xfId="30937"/>
    <cellStyle name="常规 5 2 5 2 2 4 2 3 2" xfId="30938"/>
    <cellStyle name="常规 5 2 5 2 2 4 2 4" xfId="30939"/>
    <cellStyle name="常规 5 2 5 2 2 4 2 5" xfId="30940"/>
    <cellStyle name="常规 5 2 5 2 2 4 3" xfId="16623"/>
    <cellStyle name="常规 5 2 5 2 2 4 3 2" xfId="8881"/>
    <cellStyle name="常规 5 2 5 2 2 4 3 2 2" xfId="30941"/>
    <cellStyle name="常规 5 2 5 2 2 4 3 3" xfId="8883"/>
    <cellStyle name="常规 5 2 5 2 2 4 3 4" xfId="30942"/>
    <cellStyle name="常规 5 2 5 2 2 4 4" xfId="16625"/>
    <cellStyle name="常规 5 2 5 2 2 4 4 2" xfId="16972"/>
    <cellStyle name="常规 5 2 5 2 2 4 5" xfId="30943"/>
    <cellStyle name="常规 5 2 5 2 2 4 6" xfId="26985"/>
    <cellStyle name="常规 5 2 5 2 2 5" xfId="17160"/>
    <cellStyle name="常规 5 2 5 2 2 5 2" xfId="30944"/>
    <cellStyle name="常规 5 2 5 2 2 5 2 2" xfId="30945"/>
    <cellStyle name="常规 5 2 5 2 2 5 2 2 2" xfId="30946"/>
    <cellStyle name="常规 5 2 5 2 2 5 2 3" xfId="5044"/>
    <cellStyle name="常规 5 2 5 2 2 5 2 4" xfId="5047"/>
    <cellStyle name="常规 5 2 5 2 2 5 3" xfId="30947"/>
    <cellStyle name="常规 5 2 5 2 2 5 3 2" xfId="5900"/>
    <cellStyle name="常规 5 2 5 2 2 5 4" xfId="17825"/>
    <cellStyle name="常规 5 2 5 2 2 5 5" xfId="30950"/>
    <cellStyle name="常规 5 2 5 2 2 6" xfId="17162"/>
    <cellStyle name="常规 5 2 5 2 2 6 2" xfId="30951"/>
    <cellStyle name="常规 5 2 5 2 2 6 2 2" xfId="30952"/>
    <cellStyle name="常规 5 2 5 2 2 6 3" xfId="15768"/>
    <cellStyle name="常规 5 2 5 2 2 6 4" xfId="30955"/>
    <cellStyle name="常规 5 2 5 2 2 7" xfId="19290"/>
    <cellStyle name="常规 5 2 5 2 2 7 2" xfId="19005"/>
    <cellStyle name="常规 5 2 5 2 2 8" xfId="19292"/>
    <cellStyle name="常规 5 2 5 2 2 9" xfId="19294"/>
    <cellStyle name="常规 5 2 5 2 3" xfId="11930"/>
    <cellStyle name="常规 5 2 5 2 3 2" xfId="2000"/>
    <cellStyle name="常规 5 2 5 2 3 2 2" xfId="17315"/>
    <cellStyle name="常规 5 2 5 2 3 2 2 2" xfId="17317"/>
    <cellStyle name="常规 5 2 5 2 3 2 2 2 2" xfId="17319"/>
    <cellStyle name="常规 5 2 5 2 3 2 2 2 2 2" xfId="15953"/>
    <cellStyle name="常规 5 2 5 2 3 2 2 2 2 2 2" xfId="18026"/>
    <cellStyle name="常规 5 2 5 2 3 2 2 2 2 2 2 2" xfId="18028"/>
    <cellStyle name="常规 5 2 5 2 3 2 2 2 2 2 3" xfId="18035"/>
    <cellStyle name="常规 5 2 5 2 3 2 2 2 2 2 4" xfId="18038"/>
    <cellStyle name="常规 5 2 5 2 3 2 2 2 2 3" xfId="2100"/>
    <cellStyle name="常规 5 2 5 2 3 2 2 2 2 3 2" xfId="18041"/>
    <cellStyle name="常规 5 2 5 2 3 2 2 2 2 4" xfId="18048"/>
    <cellStyle name="常规 5 2 5 2 3 2 2 2 2 5" xfId="10728"/>
    <cellStyle name="常规 5 2 5 2 3 2 2 2 3" xfId="30956"/>
    <cellStyle name="常规 5 2 5 2 3 2 2 2 3 2" xfId="18071"/>
    <cellStyle name="常规 5 2 5 2 3 2 2 2 3 2 2" xfId="18073"/>
    <cellStyle name="常规 5 2 5 2 3 2 2 2 3 3" xfId="18079"/>
    <cellStyle name="常规 5 2 5 2 3 2 2 2 3 4" xfId="18084"/>
    <cellStyle name="常规 5 2 5 2 3 2 2 2 4" xfId="30318"/>
    <cellStyle name="常规 5 2 5 2 3 2 2 2 4 2" xfId="18093"/>
    <cellStyle name="常规 5 2 5 2 3 2 2 2 5" xfId="30957"/>
    <cellStyle name="常规 5 2 5 2 3 2 2 2 6" xfId="20790"/>
    <cellStyle name="常规 5 2 5 2 3 2 2 3" xfId="17321"/>
    <cellStyle name="常规 5 2 5 2 3 2 2 3 2" xfId="30958"/>
    <cellStyle name="常规 5 2 5 2 3 2 2 3 2 2" xfId="18225"/>
    <cellStyle name="常规 5 2 5 2 3 2 2 3 2 2 2" xfId="18227"/>
    <cellStyle name="常规 5 2 5 2 3 2 2 3 2 3" xfId="18229"/>
    <cellStyle name="常规 5 2 5 2 3 2 2 3 2 4" xfId="18232"/>
    <cellStyle name="常规 5 2 5 2 3 2 2 3 3" xfId="30961"/>
    <cellStyle name="常规 5 2 5 2 3 2 2 3 3 2" xfId="18235"/>
    <cellStyle name="常规 5 2 5 2 3 2 2 3 4" xfId="30962"/>
    <cellStyle name="常规 5 2 5 2 3 2 2 3 5" xfId="30963"/>
    <cellStyle name="常规 5 2 5 2 3 2 2 4" xfId="17323"/>
    <cellStyle name="常规 5 2 5 2 3 2 2 4 2" xfId="30964"/>
    <cellStyle name="常规 5 2 5 2 3 2 2 4 2 2" xfId="18481"/>
    <cellStyle name="常规 5 2 5 2 3 2 2 4 3" xfId="24906"/>
    <cellStyle name="常规 5 2 5 2 3 2 2 4 4" xfId="24911"/>
    <cellStyle name="常规 5 2 5 2 3 2 2 5" xfId="30965"/>
    <cellStyle name="常规 5 2 5 2 3 2 2 5 2" xfId="30966"/>
    <cellStyle name="常规 5 2 5 2 3 2 2 6" xfId="30968"/>
    <cellStyle name="常规 5 2 5 2 3 2 2 7" xfId="30793"/>
    <cellStyle name="常规 5 2 5 2 3 2 3" xfId="17325"/>
    <cellStyle name="常规 5 2 5 2 3 2 3 2" xfId="17327"/>
    <cellStyle name="常规 5 2 5 2 3 2 3 2 2" xfId="20246"/>
    <cellStyle name="常规 5 2 5 2 3 2 3 2 2 2" xfId="19575"/>
    <cellStyle name="常规 5 2 5 2 3 2 3 2 2 2 2" xfId="19580"/>
    <cellStyle name="常规 5 2 5 2 3 2 3 2 2 3" xfId="19582"/>
    <cellStyle name="常规 5 2 5 2 3 2 3 2 2 4" xfId="19585"/>
    <cellStyle name="常规 5 2 5 2 3 2 3 2 3" xfId="20249"/>
    <cellStyle name="常规 5 2 5 2 3 2 3 2 3 2" xfId="19589"/>
    <cellStyle name="常规 5 2 5 2 3 2 3 2 4" xfId="20252"/>
    <cellStyle name="常规 5 2 5 2 3 2 3 2 5" xfId="30969"/>
    <cellStyle name="常规 5 2 5 2 3 2 3 3" xfId="20255"/>
    <cellStyle name="常规 5 2 5 2 3 2 3 3 2" xfId="20258"/>
    <cellStyle name="常规 5 2 5 2 3 2 3 3 2 2" xfId="19668"/>
    <cellStyle name="常规 5 2 5 2 3 2 3 3 3" xfId="30970"/>
    <cellStyle name="常规 5 2 5 2 3 2 3 3 4" xfId="30971"/>
    <cellStyle name="常规 5 2 5 2 3 2 3 4" xfId="20261"/>
    <cellStyle name="常规 5 2 5 2 3 2 3 4 2" xfId="30972"/>
    <cellStyle name="常规 5 2 5 2 3 2 3 5" xfId="20264"/>
    <cellStyle name="常规 5 2 5 2 3 2 3 6" xfId="30973"/>
    <cellStyle name="常规 5 2 5 2 3 2 4" xfId="17331"/>
    <cellStyle name="常规 5 2 5 2 3 2 4 2" xfId="20447"/>
    <cellStyle name="常规 5 2 5 2 3 2 4 2 2" xfId="20450"/>
    <cellStyle name="常规 5 2 5 2 3 2 4 2 2 2" xfId="20453"/>
    <cellStyle name="常规 5 2 5 2 3 2 4 2 3" xfId="20455"/>
    <cellStyle name="常规 5 2 5 2 3 2 4 2 4" xfId="20457"/>
    <cellStyle name="常规 5 2 5 2 3 2 4 3" xfId="20460"/>
    <cellStyle name="常规 5 2 5 2 3 2 4 3 2" xfId="20463"/>
    <cellStyle name="常规 5 2 5 2 3 2 4 4" xfId="20465"/>
    <cellStyle name="常规 5 2 5 2 3 2 4 5" xfId="20468"/>
    <cellStyle name="常规 5 2 5 2 3 2 5" xfId="17333"/>
    <cellStyle name="常规 5 2 5 2 3 2 5 2" xfId="20547"/>
    <cellStyle name="常规 5 2 5 2 3 2 5 2 2" xfId="20550"/>
    <cellStyle name="常规 5 2 5 2 3 2 5 3" xfId="20553"/>
    <cellStyle name="常规 5 2 5 2 3 2 5 4" xfId="5800"/>
    <cellStyle name="常规 5 2 5 2 3 2 6" xfId="20007"/>
    <cellStyle name="常规 5 2 5 2 3 2 6 2" xfId="20597"/>
    <cellStyle name="常规 5 2 5 2 3 2 7" xfId="20010"/>
    <cellStyle name="常规 5 2 5 2 3 2 8" xfId="27021"/>
    <cellStyle name="常规 5 2 5 2 3 3" xfId="2009"/>
    <cellStyle name="常规 5 2 5 2 3 3 2" xfId="17335"/>
    <cellStyle name="常规 5 2 5 2 3 3 2 2" xfId="1918"/>
    <cellStyle name="常规 5 2 5 2 3 3 2 2 2" xfId="30974"/>
    <cellStyle name="常规 5 2 5 2 3 3 2 2 2 2" xfId="30282"/>
    <cellStyle name="常规 5 2 5 2 3 3 2 2 2 2 2" xfId="29456"/>
    <cellStyle name="常规 5 2 5 2 3 3 2 2 2 3" xfId="3583"/>
    <cellStyle name="常规 5 2 5 2 3 3 2 2 2 4" xfId="3591"/>
    <cellStyle name="常规 5 2 5 2 3 3 2 2 3" xfId="30975"/>
    <cellStyle name="常规 5 2 5 2 3 3 2 2 3 2" xfId="30976"/>
    <cellStyle name="常规 5 2 5 2 3 3 2 2 4" xfId="30977"/>
    <cellStyle name="常规 5 2 5 2 3 3 2 2 5" xfId="30978"/>
    <cellStyle name="常规 5 2 5 2 3 3 2 3" xfId="1921"/>
    <cellStyle name="常规 5 2 5 2 3 3 2 3 2" xfId="30979"/>
    <cellStyle name="常规 5 2 5 2 3 3 2 3 2 2" xfId="30980"/>
    <cellStyle name="常规 5 2 5 2 3 3 2 3 3" xfId="30981"/>
    <cellStyle name="常规 5 2 5 2 3 3 2 3 4" xfId="30982"/>
    <cellStyle name="常规 5 2 5 2 3 3 2 4" xfId="30983"/>
    <cellStyle name="常规 5 2 5 2 3 3 2 4 2" xfId="30984"/>
    <cellStyle name="常规 5 2 5 2 3 3 2 5" xfId="30985"/>
    <cellStyle name="常规 5 2 5 2 3 3 2 6" xfId="30986"/>
    <cellStyle name="常规 5 2 5 2 3 3 3" xfId="17337"/>
    <cellStyle name="常规 5 2 5 2 3 3 3 2" xfId="8908"/>
    <cellStyle name="常规 5 2 5 2 3 3 3 2 2" xfId="20805"/>
    <cellStyle name="常规 5 2 5 2 3 3 3 2 2 2" xfId="20429"/>
    <cellStyle name="常规 5 2 5 2 3 3 3 2 3" xfId="20808"/>
    <cellStyle name="常规 5 2 5 2 3 3 3 2 4" xfId="20810"/>
    <cellStyle name="常规 5 2 5 2 3 3 3 3" xfId="8912"/>
    <cellStyle name="常规 5 2 5 2 3 3 3 3 2" xfId="20812"/>
    <cellStyle name="常规 5 2 5 2 3 3 3 4" xfId="20814"/>
    <cellStyle name="常规 5 2 5 2 3 3 3 5" xfId="20818"/>
    <cellStyle name="常规 5 2 5 2 3 3 4" xfId="17339"/>
    <cellStyle name="常规 5 2 5 2 3 3 4 2" xfId="16990"/>
    <cellStyle name="常规 5 2 5 2 3 3 4 2 2" xfId="20895"/>
    <cellStyle name="常规 5 2 5 2 3 3 4 3" xfId="20897"/>
    <cellStyle name="常规 5 2 5 2 3 3 4 4" xfId="20900"/>
    <cellStyle name="常规 5 2 5 2 3 3 5" xfId="30987"/>
    <cellStyle name="常规 5 2 5 2 3 3 5 2" xfId="20945"/>
    <cellStyle name="常规 5 2 5 2 3 3 6" xfId="27026"/>
    <cellStyle name="常规 5 2 5 2 3 3 7" xfId="27030"/>
    <cellStyle name="常规 5 2 5 2 3 4" xfId="2107"/>
    <cellStyle name="常规 5 2 5 2 3 4 2" xfId="17341"/>
    <cellStyle name="常规 5 2 5 2 3 4 2 2" xfId="30989"/>
    <cellStyle name="常规 5 2 5 2 3 4 2 2 2" xfId="30991"/>
    <cellStyle name="常规 5 2 5 2 3 4 2 2 2 2" xfId="15256"/>
    <cellStyle name="常规 5 2 5 2 3 4 2 2 3" xfId="30993"/>
    <cellStyle name="常规 5 2 5 2 3 4 2 2 4" xfId="30884"/>
    <cellStyle name="常规 5 2 5 2 3 4 2 3" xfId="30995"/>
    <cellStyle name="常规 5 2 5 2 3 4 2 3 2" xfId="30997"/>
    <cellStyle name="常规 5 2 5 2 3 4 2 4" xfId="30999"/>
    <cellStyle name="常规 5 2 5 2 3 4 2 5" xfId="31001"/>
    <cellStyle name="常规 5 2 5 2 3 4 3" xfId="31002"/>
    <cellStyle name="常规 5 2 5 2 3 4 3 2" xfId="8730"/>
    <cellStyle name="常规 5 2 5 2 3 4 3 2 2" xfId="31004"/>
    <cellStyle name="常规 5 2 5 2 3 4 3 3" xfId="8735"/>
    <cellStyle name="常规 5 2 5 2 3 4 3 4" xfId="31006"/>
    <cellStyle name="常规 5 2 5 2 3 4 4" xfId="31007"/>
    <cellStyle name="常规 5 2 5 2 3 4 4 2" xfId="8752"/>
    <cellStyle name="常规 5 2 5 2 3 4 5" xfId="31008"/>
    <cellStyle name="常规 5 2 5 2 3 4 6" xfId="27037"/>
    <cellStyle name="常规 5 2 5 2 3 5" xfId="17343"/>
    <cellStyle name="常规 5 2 5 2 3 5 2" xfId="31009"/>
    <cellStyle name="常规 5 2 5 2 3 5 2 2" xfId="16889"/>
    <cellStyle name="常规 5 2 5 2 3 5 2 2 2" xfId="11446"/>
    <cellStyle name="常规 5 2 5 2 3 5 2 3" xfId="1408"/>
    <cellStyle name="常规 5 2 5 2 3 5 2 4" xfId="31011"/>
    <cellStyle name="常规 5 2 5 2 3 5 3" xfId="31012"/>
    <cellStyle name="常规 5 2 5 2 3 5 3 2" xfId="6004"/>
    <cellStyle name="常规 5 2 5 2 3 5 4" xfId="31015"/>
    <cellStyle name="常规 5 2 5 2 3 5 5" xfId="31018"/>
    <cellStyle name="常规 5 2 5 2 3 6" xfId="17345"/>
    <cellStyle name="常规 5 2 5 2 3 6 2" xfId="31019"/>
    <cellStyle name="常规 5 2 5 2 3 6 2 2" xfId="16897"/>
    <cellStyle name="常规 5 2 5 2 3 6 3" xfId="31020"/>
    <cellStyle name="常规 5 2 5 2 3 6 4" xfId="31023"/>
    <cellStyle name="常规 5 2 5 2 3 7" xfId="19297"/>
    <cellStyle name="常规 5 2 5 2 3 7 2" xfId="31025"/>
    <cellStyle name="常规 5 2 5 2 3 8" xfId="31026"/>
    <cellStyle name="常规 5 2 5 2 3 9" xfId="31027"/>
    <cellStyle name="常规 5 2 5 2 4" xfId="11936"/>
    <cellStyle name="常规 5 2 5 2 4 2" xfId="2046"/>
    <cellStyle name="常规 5 2 5 2 4 2 2" xfId="16541"/>
    <cellStyle name="常规 5 2 5 2 4 2 2 2" xfId="17456"/>
    <cellStyle name="常规 5 2 5 2 4 2 2 2 2" xfId="31028"/>
    <cellStyle name="常规 5 2 5 2 4 2 2 2 2 2" xfId="16030"/>
    <cellStyle name="常规 5 2 5 2 4 2 2 2 2 2 2" xfId="22404"/>
    <cellStyle name="常规 5 2 5 2 4 2 2 2 2 3" xfId="16033"/>
    <cellStyle name="常规 5 2 5 2 4 2 2 2 2 4" xfId="31029"/>
    <cellStyle name="常规 5 2 5 2 4 2 2 2 3" xfId="31031"/>
    <cellStyle name="常规 5 2 5 2 4 2 2 2 3 2" xfId="31032"/>
    <cellStyle name="常规 5 2 5 2 4 2 2 2 4" xfId="30442"/>
    <cellStyle name="常规 5 2 5 2 4 2 2 2 5" xfId="31033"/>
    <cellStyle name="常规 5 2 5 2 4 2 2 3" xfId="31035"/>
    <cellStyle name="常规 5 2 5 2 4 2 2 3 2" xfId="31037"/>
    <cellStyle name="常规 5 2 5 2 4 2 2 3 2 2" xfId="31039"/>
    <cellStyle name="常规 5 2 5 2 4 2 2 3 3" xfId="31040"/>
    <cellStyle name="常规 5 2 5 2 4 2 2 3 4" xfId="31041"/>
    <cellStyle name="常规 5 2 5 2 4 2 2 4" xfId="31042"/>
    <cellStyle name="常规 5 2 5 2 4 2 2 4 2" xfId="31044"/>
    <cellStyle name="常规 5 2 5 2 4 2 2 5" xfId="31045"/>
    <cellStyle name="常规 5 2 5 2 4 2 2 6" xfId="31047"/>
    <cellStyle name="常规 5 2 5 2 4 2 3" xfId="17459"/>
    <cellStyle name="常规 5 2 5 2 4 2 3 2" xfId="31048"/>
    <cellStyle name="常规 5 2 5 2 4 2 3 2 2" xfId="31049"/>
    <cellStyle name="常规 5 2 5 2 4 2 3 2 2 2" xfId="29472"/>
    <cellStyle name="常规 5 2 5 2 4 2 3 2 3" xfId="31050"/>
    <cellStyle name="常规 5 2 5 2 4 2 3 2 4" xfId="31051"/>
    <cellStyle name="常规 5 2 5 2 4 2 3 3" xfId="31052"/>
    <cellStyle name="常规 5 2 5 2 4 2 3 3 2" xfId="31054"/>
    <cellStyle name="常规 5 2 5 2 4 2 3 4" xfId="31055"/>
    <cellStyle name="常规 5 2 5 2 4 2 3 5" xfId="31056"/>
    <cellStyle name="常规 5 2 5 2 4 2 4" xfId="17462"/>
    <cellStyle name="常规 5 2 5 2 4 2 4 2" xfId="31057"/>
    <cellStyle name="常规 5 2 5 2 4 2 4 2 2" xfId="31058"/>
    <cellStyle name="常规 5 2 5 2 4 2 4 3" xfId="31059"/>
    <cellStyle name="常规 5 2 5 2 4 2 4 4" xfId="31060"/>
    <cellStyle name="常规 5 2 5 2 4 2 5" xfId="31061"/>
    <cellStyle name="常规 5 2 5 2 4 2 5 2" xfId="31062"/>
    <cellStyle name="常规 5 2 5 2 4 2 6" xfId="27045"/>
    <cellStyle name="常规 5 2 5 2 4 2 7" xfId="2071"/>
    <cellStyle name="常规 5 2 5 2 4 3" xfId="10704"/>
    <cellStyle name="常规 5 2 5 2 4 3 2" xfId="10707"/>
    <cellStyle name="常规 5 2 5 2 4 3 2 2" xfId="31063"/>
    <cellStyle name="常规 5 2 5 2 4 3 2 2 2" xfId="31066"/>
    <cellStyle name="常规 5 2 5 2 4 3 2 2 2 2" xfId="31068"/>
    <cellStyle name="常规 5 2 5 2 4 3 2 2 3" xfId="31071"/>
    <cellStyle name="常规 5 2 5 2 4 3 2 2 4" xfId="31073"/>
    <cellStyle name="常规 5 2 5 2 4 3 2 3" xfId="31074"/>
    <cellStyle name="常规 5 2 5 2 4 3 2 3 2" xfId="31077"/>
    <cellStyle name="常规 5 2 5 2 4 3 2 4" xfId="31078"/>
    <cellStyle name="常规 5 2 5 2 4 3 2 5" xfId="31079"/>
    <cellStyle name="常规 5 2 5 2 4 3 3" xfId="24077"/>
    <cellStyle name="常规 5 2 5 2 4 3 3 2" xfId="31080"/>
    <cellStyle name="常规 5 2 5 2 4 3 3 2 2" xfId="31082"/>
    <cellStyle name="常规 5 2 5 2 4 3 3 3" xfId="31083"/>
    <cellStyle name="常规 5 2 5 2 4 3 3 4" xfId="31084"/>
    <cellStyle name="常规 5 2 5 2 4 3 4" xfId="31085"/>
    <cellStyle name="常规 5 2 5 2 4 3 4 2" xfId="31086"/>
    <cellStyle name="常规 5 2 5 2 4 3 5" xfId="31087"/>
    <cellStyle name="常规 5 2 5 2 4 3 6" xfId="27052"/>
    <cellStyle name="常规 5 2 5 2 4 4" xfId="10711"/>
    <cellStyle name="常规 5 2 5 2 4 4 2" xfId="24086"/>
    <cellStyle name="常规 5 2 5 2 4 4 2 2" xfId="31089"/>
    <cellStyle name="常规 5 2 5 2 4 4 2 2 2" xfId="31093"/>
    <cellStyle name="常规 5 2 5 2 4 4 2 3" xfId="31095"/>
    <cellStyle name="常规 5 2 5 2 4 4 2 4" xfId="31097"/>
    <cellStyle name="常规 5 2 5 2 4 4 3" xfId="5183"/>
    <cellStyle name="常规 5 2 5 2 4 4 3 2" xfId="8799"/>
    <cellStyle name="常规 5 2 5 2 4 4 4" xfId="31098"/>
    <cellStyle name="常规 5 2 5 2 4 4 5" xfId="6482"/>
    <cellStyle name="常规 5 2 5 2 4 5" xfId="10714"/>
    <cellStyle name="常规 5 2 5 2 4 5 2" xfId="31099"/>
    <cellStyle name="常规 5 2 5 2 4 5 2 2" xfId="16916"/>
    <cellStyle name="常规 5 2 5 2 4 5 3" xfId="31100"/>
    <cellStyle name="常规 5 2 5 2 4 5 4" xfId="31103"/>
    <cellStyle name="常规 5 2 5 2 4 6" xfId="31104"/>
    <cellStyle name="常规 5 2 5 2 4 6 2" xfId="31105"/>
    <cellStyle name="常规 5 2 5 2 4 7" xfId="31106"/>
    <cellStyle name="常规 5 2 5 2 4 8" xfId="31107"/>
    <cellStyle name="常规 5 2 5 2 5" xfId="11939"/>
    <cellStyle name="常规 5 2 5 2 5 2" xfId="17504"/>
    <cellStyle name="常规 5 2 5 2 5 2 2" xfId="17506"/>
    <cellStyle name="常规 5 2 5 2 5 2 2 2" xfId="31108"/>
    <cellStyle name="常规 5 2 5 2 5 2 2 2 2" xfId="31109"/>
    <cellStyle name="常规 5 2 5 2 5 2 2 2 2 2" xfId="31110"/>
    <cellStyle name="常规 5 2 5 2 5 2 2 2 3" xfId="15230"/>
    <cellStyle name="常规 5 2 5 2 5 2 2 2 4" xfId="15303"/>
    <cellStyle name="常规 5 2 5 2 5 2 2 3" xfId="12263"/>
    <cellStyle name="常规 5 2 5 2 5 2 2 3 2" xfId="30703"/>
    <cellStyle name="常规 5 2 5 2 5 2 2 4" xfId="30706"/>
    <cellStyle name="常规 5 2 5 2 5 2 2 5" xfId="30709"/>
    <cellStyle name="常规 5 2 5 2 5 2 3" xfId="24102"/>
    <cellStyle name="常规 5 2 5 2 5 2 3 2" xfId="31111"/>
    <cellStyle name="常规 5 2 5 2 5 2 3 2 2" xfId="31112"/>
    <cellStyle name="常规 5 2 5 2 5 2 3 3" xfId="30712"/>
    <cellStyle name="常规 5 2 5 2 5 2 3 4" xfId="30715"/>
    <cellStyle name="常规 5 2 5 2 5 2 4" xfId="31113"/>
    <cellStyle name="常规 5 2 5 2 5 2 4 2" xfId="31114"/>
    <cellStyle name="常规 5 2 5 2 5 2 5" xfId="31115"/>
    <cellStyle name="常规 5 2 5 2 5 2 6" xfId="27063"/>
    <cellStyle name="常规 5 2 5 2 5 3" xfId="10718"/>
    <cellStyle name="常规 5 2 5 2 5 3 2" xfId="24108"/>
    <cellStyle name="常规 5 2 5 2 5 3 2 2" xfId="31116"/>
    <cellStyle name="常规 5 2 5 2 5 3 2 2 2" xfId="31118"/>
    <cellStyle name="常规 5 2 5 2 5 3 2 3" xfId="30723"/>
    <cellStyle name="常规 5 2 5 2 5 3 2 4" xfId="30726"/>
    <cellStyle name="常规 5 2 5 2 5 3 3" xfId="31119"/>
    <cellStyle name="常规 5 2 5 2 5 3 3 2" xfId="31120"/>
    <cellStyle name="常规 5 2 5 2 5 3 4" xfId="3518"/>
    <cellStyle name="常规 5 2 5 2 5 3 5" xfId="31121"/>
    <cellStyle name="常规 5 2 5 2 5 4" xfId="17509"/>
    <cellStyle name="常规 5 2 5 2 5 4 2" xfId="31122"/>
    <cellStyle name="常规 5 2 5 2 5 4 2 2" xfId="2271"/>
    <cellStyle name="常规 5 2 5 2 5 4 3" xfId="31123"/>
    <cellStyle name="常规 5 2 5 2 5 4 4" xfId="31124"/>
    <cellStyle name="常规 5 2 5 2 5 5" xfId="31125"/>
    <cellStyle name="常规 5 2 5 2 5 5 2" xfId="31126"/>
    <cellStyle name="常规 5 2 5 2 5 6" xfId="31127"/>
    <cellStyle name="常规 5 2 5 2 5 7" xfId="31129"/>
    <cellStyle name="常规 5 2 5 2 6" xfId="29853"/>
    <cellStyle name="常规 5 2 5 2 6 2" xfId="17535"/>
    <cellStyle name="常规 5 2 5 2 6 2 2" xfId="24121"/>
    <cellStyle name="常规 5 2 5 2 6 2 2 2" xfId="31130"/>
    <cellStyle name="常规 5 2 5 2 6 2 2 2 2" xfId="31131"/>
    <cellStyle name="常规 5 2 5 2 6 2 2 3" xfId="28476"/>
    <cellStyle name="常规 5 2 5 2 6 2 2 4" xfId="29872"/>
    <cellStyle name="常规 5 2 5 2 6 2 3" xfId="31132"/>
    <cellStyle name="常规 5 2 5 2 6 2 3 2" xfId="31133"/>
    <cellStyle name="常规 5 2 5 2 6 2 4" xfId="31134"/>
    <cellStyle name="常规 5 2 5 2 6 2 5" xfId="28935"/>
    <cellStyle name="常规 5 2 5 2 6 3" xfId="17537"/>
    <cellStyle name="常规 5 2 5 2 6 3 2" xfId="31135"/>
    <cellStyle name="常规 5 2 5 2 6 3 2 2" xfId="31136"/>
    <cellStyle name="常规 5 2 5 2 6 3 3" xfId="31137"/>
    <cellStyle name="常规 5 2 5 2 6 3 4" xfId="31138"/>
    <cellStyle name="常规 5 2 5 2 6 4" xfId="31139"/>
    <cellStyle name="常规 5 2 5 2 6 4 2" xfId="13657"/>
    <cellStyle name="常规 5 2 5 2 6 5" xfId="31140"/>
    <cellStyle name="常规 5 2 5 2 6 6" xfId="31141"/>
    <cellStyle name="常规 5 2 5 2 7" xfId="31143"/>
    <cellStyle name="常规 5 2 5 2 7 2" xfId="17547"/>
    <cellStyle name="常规 5 2 5 2 7 2 2" xfId="31144"/>
    <cellStyle name="常规 5 2 5 2 7 2 2 2" xfId="30221"/>
    <cellStyle name="常规 5 2 5 2 7 2 3" xfId="31145"/>
    <cellStyle name="常规 5 2 5 2 7 2 4" xfId="31146"/>
    <cellStyle name="常规 5 2 5 2 7 3" xfId="31147"/>
    <cellStyle name="常规 5 2 5 2 7 3 2" xfId="3019"/>
    <cellStyle name="常规 5 2 5 2 7 4" xfId="31148"/>
    <cellStyle name="常规 5 2 5 2 7 5" xfId="31149"/>
    <cellStyle name="常规 5 2 5 2 8" xfId="31150"/>
    <cellStyle name="常规 5 2 5 2 8 2" xfId="31151"/>
    <cellStyle name="常规 5 2 5 2 8 2 2" xfId="31152"/>
    <cellStyle name="常规 5 2 5 2 8 3" xfId="31153"/>
    <cellStyle name="常规 5 2 5 2 8 4" xfId="12315"/>
    <cellStyle name="常规 5 2 5 2 9" xfId="31154"/>
    <cellStyle name="常规 5 2 5 2 9 2" xfId="31155"/>
    <cellStyle name="常规 5 2 5 3" xfId="31156"/>
    <cellStyle name="常规 5 2 5 3 2" xfId="11950"/>
    <cellStyle name="常规 5 2 5 3 2 2" xfId="11953"/>
    <cellStyle name="常规 5 2 5 3 2 2 2" xfId="17818"/>
    <cellStyle name="常规 5 2 5 3 2 2 2 2" xfId="17821"/>
    <cellStyle name="常规 5 2 5 3 2 2 2 2 2" xfId="17824"/>
    <cellStyle name="常规 5 2 5 3 2 2 2 2 2 2" xfId="5913"/>
    <cellStyle name="常规 5 2 5 3 2 2 2 2 2 2 2" xfId="19461"/>
    <cellStyle name="常规 5 2 5 3 2 2 2 2 2 3" xfId="31158"/>
    <cellStyle name="常规 5 2 5 3 2 2 2 2 2 4" xfId="31160"/>
    <cellStyle name="常规 5 2 5 3 2 2 2 2 3" xfId="30949"/>
    <cellStyle name="常规 5 2 5 3 2 2 2 2 3 2" xfId="31162"/>
    <cellStyle name="常规 5 2 5 3 2 2 2 2 4" xfId="27003"/>
    <cellStyle name="常规 5 2 5 3 2 2 2 2 5" xfId="29442"/>
    <cellStyle name="常规 5 2 5 3 2 2 2 3" xfId="1914"/>
    <cellStyle name="常规 5 2 5 3 2 2 2 3 2" xfId="30954"/>
    <cellStyle name="常规 5 2 5 3 2 2 2 3 2 2" xfId="31164"/>
    <cellStyle name="常规 5 2 5 3 2 2 2 3 3" xfId="31166"/>
    <cellStyle name="常规 5 2 5 3 2 2 2 3 4" xfId="29448"/>
    <cellStyle name="常规 5 2 5 3 2 2 2 4" xfId="17828"/>
    <cellStyle name="常规 5 2 5 3 2 2 2 4 2" xfId="20132"/>
    <cellStyle name="常规 5 2 5 3 2 2 2 5" xfId="20149"/>
    <cellStyle name="常规 5 2 5 3 2 2 2 6" xfId="17862"/>
    <cellStyle name="常规 5 2 5 3 2 2 3" xfId="17832"/>
    <cellStyle name="常规 5 2 5 3 2 2 3 2" xfId="17835"/>
    <cellStyle name="常规 5 2 5 3 2 2 3 2 2" xfId="31014"/>
    <cellStyle name="常规 5 2 5 3 2 2 3 2 2 2" xfId="31168"/>
    <cellStyle name="常规 5 2 5 3 2 2 3 2 3" xfId="31017"/>
    <cellStyle name="常规 5 2 5 3 2 2 3 2 4" xfId="29464"/>
    <cellStyle name="常规 5 2 5 3 2 2 3 3" xfId="31170"/>
    <cellStyle name="常规 5 2 5 3 2 2 3 3 2" xfId="31022"/>
    <cellStyle name="常规 5 2 5 3 2 2 3 4" xfId="20160"/>
    <cellStyle name="常规 5 2 5 3 2 2 3 5" xfId="20167"/>
    <cellStyle name="常规 5 2 5 3 2 2 4" xfId="17838"/>
    <cellStyle name="常规 5 2 5 3 2 2 4 2" xfId="31172"/>
    <cellStyle name="常规 5 2 5 3 2 2 4 2 2" xfId="31102"/>
    <cellStyle name="常规 5 2 5 3 2 2 4 3" xfId="31174"/>
    <cellStyle name="常规 5 2 5 3 2 2 4 4" xfId="20175"/>
    <cellStyle name="常规 5 2 5 3 2 2 5" xfId="17841"/>
    <cellStyle name="常规 5 2 5 3 2 2 5 2" xfId="31176"/>
    <cellStyle name="常规 5 2 5 3 2 2 6" xfId="27079"/>
    <cellStyle name="常规 5 2 5 3 2 2 7" xfId="27087"/>
    <cellStyle name="常规 5 2 5 3 2 3" xfId="11647"/>
    <cellStyle name="常规 5 2 5 3 2 3 2" xfId="11651"/>
    <cellStyle name="常规 5 2 5 3 2 3 2 2" xfId="17844"/>
    <cellStyle name="常规 5 2 5 3 2 3 2 2 2" xfId="31181"/>
    <cellStyle name="常规 5 2 5 3 2 3 2 2 2 2" xfId="30906"/>
    <cellStyle name="常规 5 2 5 3 2 3 2 2 3" xfId="31185"/>
    <cellStyle name="常规 5 2 5 3 2 3 2 2 4" xfId="29495"/>
    <cellStyle name="常规 5 2 5 3 2 3 2 3" xfId="31187"/>
    <cellStyle name="常规 5 2 5 3 2 3 2 3 2" xfId="31191"/>
    <cellStyle name="常规 5 2 5 3 2 3 2 4" xfId="20189"/>
    <cellStyle name="常规 5 2 5 3 2 3 2 5" xfId="20202"/>
    <cellStyle name="常规 5 2 5 3 2 3 3" xfId="17847"/>
    <cellStyle name="常规 5 2 5 3 2 3 3 2" xfId="9442"/>
    <cellStyle name="常规 5 2 5 3 2 3 3 2 2" xfId="31193"/>
    <cellStyle name="常规 5 2 5 3 2 3 3 3" xfId="9445"/>
    <cellStyle name="常规 5 2 5 3 2 3 3 4" xfId="20212"/>
    <cellStyle name="常规 5 2 5 3 2 3 4" xfId="17850"/>
    <cellStyle name="常规 5 2 5 3 2 3 4 2" xfId="30859"/>
    <cellStyle name="常规 5 2 5 3 2 3 5" xfId="31195"/>
    <cellStyle name="常规 5 2 5 3 2 3 6" xfId="27100"/>
    <cellStyle name="常规 5 2 5 3 2 4" xfId="11655"/>
    <cellStyle name="常规 5 2 5 3 2 4 2" xfId="2439"/>
    <cellStyle name="常规 5 2 5 3 2 4 2 2" xfId="31197"/>
    <cellStyle name="常规 5 2 5 3 2 4 2 2 2" xfId="30341"/>
    <cellStyle name="常规 5 2 5 3 2 4 2 3" xfId="19323"/>
    <cellStyle name="常规 5 2 5 3 2 4 2 4" xfId="19366"/>
    <cellStyle name="常规 5 2 5 3 2 4 3" xfId="3885"/>
    <cellStyle name="常规 5 2 5 3 2 4 3 2" xfId="31199"/>
    <cellStyle name="常规 5 2 5 3 2 4 4" xfId="3891"/>
    <cellStyle name="常规 5 2 5 3 2 4 5" xfId="31202"/>
    <cellStyle name="常规 5 2 5 3 2 5" xfId="11659"/>
    <cellStyle name="常规 5 2 5 3 2 5 2" xfId="2811"/>
    <cellStyle name="常规 5 2 5 3 2 5 2 2" xfId="31204"/>
    <cellStyle name="常规 5 2 5 3 2 5 3" xfId="3910"/>
    <cellStyle name="常规 5 2 5 3 2 5 4" xfId="31180"/>
    <cellStyle name="常规 5 2 5 3 2 6" xfId="17853"/>
    <cellStyle name="常规 5 2 5 3 2 6 2" xfId="1619"/>
    <cellStyle name="常规 5 2 5 3 2 7" xfId="19308"/>
    <cellStyle name="常规 5 2 5 3 2 8" xfId="31208"/>
    <cellStyle name="常规 5 2 5 3 3" xfId="11956"/>
    <cellStyle name="常规 5 2 5 3 3 2" xfId="2081"/>
    <cellStyle name="常规 5 2 5 3 3 2 2" xfId="17989"/>
    <cellStyle name="常规 5 2 5 3 3 2 2 2" xfId="17991"/>
    <cellStyle name="常规 5 2 5 3 3 2 2 2 2" xfId="26724"/>
    <cellStyle name="常规 5 2 5 3 3 2 2 2 2 2" xfId="16205"/>
    <cellStyle name="常规 5 2 5 3 3 2 2 2 3" xfId="13086"/>
    <cellStyle name="常规 5 2 5 3 3 2 2 2 4" xfId="13088"/>
    <cellStyle name="常规 5 2 5 3 3 2 2 3" xfId="31209"/>
    <cellStyle name="常规 5 2 5 3 3 2 2 3 2" xfId="31210"/>
    <cellStyle name="常规 5 2 5 3 3 2 2 4" xfId="20354"/>
    <cellStyle name="常规 5 2 5 3 3 2 2 5" xfId="20370"/>
    <cellStyle name="常规 5 2 5 3 3 2 3" xfId="17993"/>
    <cellStyle name="常规 5 2 5 3 3 2 3 2" xfId="31211"/>
    <cellStyle name="常规 5 2 5 3 3 2 3 2 2" xfId="31212"/>
    <cellStyle name="常规 5 2 5 3 3 2 3 3" xfId="31213"/>
    <cellStyle name="常规 5 2 5 3 3 2 3 4" xfId="20383"/>
    <cellStyle name="常规 5 2 5 3 3 2 4" xfId="17995"/>
    <cellStyle name="常规 5 2 5 3 3 2 4 2" xfId="31214"/>
    <cellStyle name="常规 5 2 5 3 3 2 5" xfId="31215"/>
    <cellStyle name="常规 5 2 5 3 3 2 6" xfId="27131"/>
    <cellStyle name="常规 5 2 5 3 3 3" xfId="11665"/>
    <cellStyle name="常规 5 2 5 3 3 3 2" xfId="17997"/>
    <cellStyle name="常规 5 2 5 3 3 3 2 2" xfId="31216"/>
    <cellStyle name="常规 5 2 5 3 3 3 2 2 2" xfId="27059"/>
    <cellStyle name="常规 5 2 5 3 3 3 2 3" xfId="31217"/>
    <cellStyle name="常规 5 2 5 3 3 3 2 4" xfId="20404"/>
    <cellStyle name="常规 5 2 5 3 3 3 3" xfId="31218"/>
    <cellStyle name="常规 5 2 5 3 3 3 3 2" xfId="31219"/>
    <cellStyle name="常规 5 2 5 3 3 3 4" xfId="31220"/>
    <cellStyle name="常规 5 2 5 3 3 3 5" xfId="31221"/>
    <cellStyle name="常规 5 2 5 3 3 4" xfId="17999"/>
    <cellStyle name="常规 5 2 5 3 3 4 2" xfId="31222"/>
    <cellStyle name="常规 5 2 5 3 3 4 2 2" xfId="31224"/>
    <cellStyle name="常规 5 2 5 3 3 4 3" xfId="31225"/>
    <cellStyle name="常规 5 2 5 3 3 4 4" xfId="9439"/>
    <cellStyle name="常规 5 2 5 3 3 5" xfId="18001"/>
    <cellStyle name="常规 5 2 5 3 3 5 2" xfId="867"/>
    <cellStyle name="常规 5 2 5 3 3 6" xfId="31226"/>
    <cellStyle name="常规 5 2 5 3 3 7" xfId="31228"/>
    <cellStyle name="常规 5 2 5 3 4" xfId="11960"/>
    <cellStyle name="常规 5 2 5 3 4 2" xfId="18047"/>
    <cellStyle name="常规 5 2 5 3 4 2 2" xfId="18050"/>
    <cellStyle name="常规 5 2 5 3 4 2 2 2" xfId="31229"/>
    <cellStyle name="常规 5 2 5 3 4 2 2 2 2" xfId="28399"/>
    <cellStyle name="常规 5 2 5 3 4 2 2 3" xfId="31230"/>
    <cellStyle name="常规 5 2 5 3 4 2 2 4" xfId="20510"/>
    <cellStyle name="常规 5 2 5 3 4 2 3" xfId="24160"/>
    <cellStyle name="常规 5 2 5 3 4 2 3 2" xfId="31232"/>
    <cellStyle name="常规 5 2 5 3 4 2 4" xfId="31233"/>
    <cellStyle name="常规 5 2 5 3 4 2 5" xfId="31234"/>
    <cellStyle name="常规 5 2 5 3 4 3" xfId="10727"/>
    <cellStyle name="常规 5 2 5 3 4 3 2" xfId="24165"/>
    <cellStyle name="常规 5 2 5 3 4 3 2 2" xfId="31235"/>
    <cellStyle name="常规 5 2 5 3 4 3 3" xfId="31236"/>
    <cellStyle name="常规 5 2 5 3 4 3 4" xfId="30843"/>
    <cellStyle name="常规 5 2 5 3 4 4" xfId="18053"/>
    <cellStyle name="常规 5 2 5 3 4 4 2" xfId="31237"/>
    <cellStyle name="常规 5 2 5 3 4 5" xfId="31238"/>
    <cellStyle name="常规 5 2 5 3 4 6" xfId="18451"/>
    <cellStyle name="常规 5 2 5 3 5" xfId="31241"/>
    <cellStyle name="常规 5 2 5 3 5 2" xfId="18083"/>
    <cellStyle name="常规 5 2 5 3 5 2 2" xfId="24174"/>
    <cellStyle name="常规 5 2 5 3 5 2 2 2" xfId="31242"/>
    <cellStyle name="常规 5 2 5 3 5 2 3" xfId="31243"/>
    <cellStyle name="常规 5 2 5 3 5 2 4" xfId="31244"/>
    <cellStyle name="常规 5 2 5 3 5 3" xfId="18086"/>
    <cellStyle name="常规 5 2 5 3 5 3 2" xfId="31245"/>
    <cellStyle name="常规 5 2 5 3 5 4" xfId="15596"/>
    <cellStyle name="常规 5 2 5 3 5 5" xfId="15602"/>
    <cellStyle name="常规 5 2 5 3 6" xfId="31247"/>
    <cellStyle name="常规 5 2 5 3 6 2" xfId="18097"/>
    <cellStyle name="常规 5 2 5 3 6 2 2" xfId="31248"/>
    <cellStyle name="常规 5 2 5 3 6 3" xfId="31249"/>
    <cellStyle name="常规 5 2 5 3 6 4" xfId="15609"/>
    <cellStyle name="常规 5 2 5 3 7" xfId="31251"/>
    <cellStyle name="常规 5 2 5 3 7 2" xfId="31252"/>
    <cellStyle name="常规 5 2 5 3 8" xfId="31253"/>
    <cellStyle name="常规 5 2 5 3 9" xfId="31254"/>
    <cellStyle name="常规 5 2 5 4" xfId="31255"/>
    <cellStyle name="常规 5 2 5 4 2" xfId="11968"/>
    <cellStyle name="常规 5 2 5 4 2 2" xfId="18196"/>
    <cellStyle name="常规 5 2 5 4 2 2 2" xfId="10043"/>
    <cellStyle name="常规 5 2 5 4 2 2 2 2" xfId="31256"/>
    <cellStyle name="常规 5 2 5 4 2 2 2 2 2" xfId="9295"/>
    <cellStyle name="常规 5 2 5 4 2 2 2 2 2 2" xfId="31257"/>
    <cellStyle name="常规 5 2 5 4 2 2 2 2 2 2 2" xfId="31258"/>
    <cellStyle name="常规 5 2 5 4 2 2 2 2 2 3" xfId="31260"/>
    <cellStyle name="常规 5 2 5 4 2 2 2 2 2 4" xfId="31261"/>
    <cellStyle name="常规 5 2 5 4 2 2 2 2 3" xfId="31262"/>
    <cellStyle name="常规 5 2 5 4 2 2 2 2 3 2" xfId="31263"/>
    <cellStyle name="常规 5 2 5 4 2 2 2 2 4" xfId="29819"/>
    <cellStyle name="常规 5 2 5 4 2 2 2 2 5" xfId="31264"/>
    <cellStyle name="常规 5 2 5 4 2 2 2 3" xfId="31265"/>
    <cellStyle name="常规 5 2 5 4 2 2 2 3 2" xfId="2295"/>
    <cellStyle name="常规 5 2 5 4 2 2 2 3 2 2" xfId="4830"/>
    <cellStyle name="常规 5 2 5 4 2 2 2 3 3" xfId="4832"/>
    <cellStyle name="常规 5 2 5 4 2 2 2 3 4" xfId="4834"/>
    <cellStyle name="常规 5 2 5 4 2 2 2 4" xfId="20725"/>
    <cellStyle name="常规 5 2 5 4 2 2 2 4 2" xfId="4837"/>
    <cellStyle name="常规 5 2 5 4 2 2 2 5" xfId="20736"/>
    <cellStyle name="常规 5 2 5 4 2 2 2 6" xfId="20740"/>
    <cellStyle name="常规 5 2 5 4 2 2 3" xfId="31266"/>
    <cellStyle name="常规 5 2 5 4 2 2 3 2" xfId="31267"/>
    <cellStyle name="常规 5 2 5 4 2 2 3 2 2" xfId="2929"/>
    <cellStyle name="常规 5 2 5 4 2 2 3 2 2 2" xfId="14554"/>
    <cellStyle name="常规 5 2 5 4 2 2 3 2 3" xfId="2933"/>
    <cellStyle name="常规 5 2 5 4 2 2 3 2 4" xfId="14615"/>
    <cellStyle name="常规 5 2 5 4 2 2 3 3" xfId="31268"/>
    <cellStyle name="常规 5 2 5 4 2 2 3 3 2" xfId="2350"/>
    <cellStyle name="常规 5 2 5 4 2 2 3 4" xfId="20746"/>
    <cellStyle name="常规 5 2 5 4 2 2 3 5" xfId="20748"/>
    <cellStyle name="常规 5 2 5 4 2 2 4" xfId="31269"/>
    <cellStyle name="常规 5 2 5 4 2 2 4 2" xfId="31270"/>
    <cellStyle name="常规 5 2 5 4 2 2 4 2 2" xfId="3177"/>
    <cellStyle name="常规 5 2 5 4 2 2 4 3" xfId="31271"/>
    <cellStyle name="常规 5 2 5 4 2 2 4 4" xfId="20753"/>
    <cellStyle name="常规 5 2 5 4 2 2 5" xfId="31273"/>
    <cellStyle name="常规 5 2 5 4 2 2 5 2" xfId="31275"/>
    <cellStyle name="常规 5 2 5 4 2 2 6" xfId="1378"/>
    <cellStyle name="常规 5 2 5 4 2 2 7" xfId="1387"/>
    <cellStyle name="常规 5 2 5 4 2 3" xfId="11673"/>
    <cellStyle name="常规 5 2 5 4 2 3 2" xfId="30293"/>
    <cellStyle name="常规 5 2 5 4 2 3 2 2" xfId="30295"/>
    <cellStyle name="常规 5 2 5 4 2 3 2 2 2" xfId="30297"/>
    <cellStyle name="常规 5 2 5 4 2 3 2 2 2 2" xfId="30299"/>
    <cellStyle name="常规 5 2 5 4 2 3 2 2 3" xfId="30301"/>
    <cellStyle name="常规 5 2 5 4 2 3 2 2 4" xfId="30303"/>
    <cellStyle name="常规 5 2 5 4 2 3 2 3" xfId="30305"/>
    <cellStyle name="常规 5 2 5 4 2 3 2 3 2" xfId="4854"/>
    <cellStyle name="常规 5 2 5 4 2 3 2 4" xfId="20762"/>
    <cellStyle name="常规 5 2 5 4 2 3 2 5" xfId="20773"/>
    <cellStyle name="常规 5 2 5 4 2 3 3" xfId="30307"/>
    <cellStyle name="常规 5 2 5 4 2 3 3 2" xfId="30309"/>
    <cellStyle name="常规 5 2 5 4 2 3 3 2 2" xfId="17525"/>
    <cellStyle name="常规 5 2 5 4 2 3 3 3" xfId="30312"/>
    <cellStyle name="常规 5 2 5 4 2 3 3 4" xfId="20780"/>
    <cellStyle name="常规 5 2 5 4 2 3 4" xfId="30315"/>
    <cellStyle name="常规 5 2 5 4 2 3 4 2" xfId="30317"/>
    <cellStyle name="常规 5 2 5 4 2 3 5" xfId="30322"/>
    <cellStyle name="常规 5 2 5 4 2 3 6" xfId="27177"/>
    <cellStyle name="常规 5 2 5 4 2 4" xfId="18198"/>
    <cellStyle name="常规 5 2 5 4 2 4 2" xfId="30324"/>
    <cellStyle name="常规 5 2 5 4 2 4 2 2" xfId="20218"/>
    <cellStyle name="常规 5 2 5 4 2 4 2 2 2" xfId="20222"/>
    <cellStyle name="常规 5 2 5 4 2 4 2 3" xfId="20226"/>
    <cellStyle name="常规 5 2 5 4 2 4 2 4" xfId="20229"/>
    <cellStyle name="常规 5 2 5 4 2 4 3" xfId="30326"/>
    <cellStyle name="常规 5 2 5 4 2 4 3 2" xfId="20240"/>
    <cellStyle name="常规 5 2 5 4 2 4 4" xfId="30328"/>
    <cellStyle name="常规 5 2 5 4 2 4 5" xfId="30331"/>
    <cellStyle name="常规 5 2 5 4 2 5" xfId="30333"/>
    <cellStyle name="常规 5 2 5 4 2 5 2" xfId="30335"/>
    <cellStyle name="常规 5 2 5 4 2 5 2 2" xfId="20424"/>
    <cellStyle name="常规 5 2 5 4 2 5 3" xfId="30337"/>
    <cellStyle name="常规 5 2 5 4 2 5 4" xfId="30340"/>
    <cellStyle name="常规 5 2 5 4 2 6" xfId="30343"/>
    <cellStyle name="常规 5 2 5 4 2 6 2" xfId="30345"/>
    <cellStyle name="常规 5 2 5 4 2 7" xfId="26760"/>
    <cellStyle name="常规 5 2 5 4 2 8" xfId="26769"/>
    <cellStyle name="常规 5 2 5 4 3" xfId="11970"/>
    <cellStyle name="常规 5 2 5 4 3 2" xfId="18216"/>
    <cellStyle name="常规 5 2 5 4 3 2 2" xfId="31276"/>
    <cellStyle name="常规 5 2 5 4 3 2 2 2" xfId="31277"/>
    <cellStyle name="常规 5 2 5 4 3 2 2 2 2" xfId="31278"/>
    <cellStyle name="常规 5 2 5 4 3 2 2 2 2 2" xfId="31279"/>
    <cellStyle name="常规 5 2 5 4 3 2 2 2 3" xfId="31280"/>
    <cellStyle name="常规 5 2 5 4 3 2 2 2 4" xfId="31281"/>
    <cellStyle name="常规 5 2 5 4 3 2 2 3" xfId="31282"/>
    <cellStyle name="常规 5 2 5 4 3 2 2 3 2" xfId="783"/>
    <cellStyle name="常规 5 2 5 4 3 2 2 4" xfId="20859"/>
    <cellStyle name="常规 5 2 5 4 3 2 2 5" xfId="20866"/>
    <cellStyle name="常规 5 2 5 4 3 2 3" xfId="31283"/>
    <cellStyle name="常规 5 2 5 4 3 2 3 2" xfId="31284"/>
    <cellStyle name="常规 5 2 5 4 3 2 3 2 2" xfId="31285"/>
    <cellStyle name="常规 5 2 5 4 3 2 3 3" xfId="31286"/>
    <cellStyle name="常规 5 2 5 4 3 2 3 4" xfId="20872"/>
    <cellStyle name="常规 5 2 5 4 3 2 4" xfId="31287"/>
    <cellStyle name="常规 5 2 5 4 3 2 4 2" xfId="31288"/>
    <cellStyle name="常规 5 2 5 4 3 2 5" xfId="31290"/>
    <cellStyle name="常规 5 2 5 4 3 2 6" xfId="27194"/>
    <cellStyle name="常规 5 2 5 4 3 3" xfId="18218"/>
    <cellStyle name="常规 5 2 5 4 3 3 2" xfId="30347"/>
    <cellStyle name="常规 5 2 5 4 3 3 2 2" xfId="30349"/>
    <cellStyle name="常规 5 2 5 4 3 3 2 2 2" xfId="30244"/>
    <cellStyle name="常规 5 2 5 4 3 3 2 3" xfId="30351"/>
    <cellStyle name="常规 5 2 5 4 3 3 2 4" xfId="20881"/>
    <cellStyle name="常规 5 2 5 4 3 3 3" xfId="30353"/>
    <cellStyle name="常规 5 2 5 4 3 3 3 2" xfId="30355"/>
    <cellStyle name="常规 5 2 5 4 3 3 4" xfId="30358"/>
    <cellStyle name="常规 5 2 5 4 3 3 5" xfId="30361"/>
    <cellStyle name="常规 5 2 5 4 3 4" xfId="30363"/>
    <cellStyle name="常规 5 2 5 4 3 4 2" xfId="30365"/>
    <cellStyle name="常规 5 2 5 4 3 4 2 2" xfId="20787"/>
    <cellStyle name="常规 5 2 5 4 3 4 3" xfId="30367"/>
    <cellStyle name="常规 5 2 5 4 3 4 4" xfId="30369"/>
    <cellStyle name="常规 5 2 5 4 3 5" xfId="30371"/>
    <cellStyle name="常规 5 2 5 4 3 5 2" xfId="30373"/>
    <cellStyle name="常规 5 2 5 4 3 6" xfId="30375"/>
    <cellStyle name="常规 5 2 5 4 3 7" xfId="26777"/>
    <cellStyle name="常规 5 2 5 4 4" xfId="31291"/>
    <cellStyle name="常规 5 2 5 4 4 2" xfId="18231"/>
    <cellStyle name="常规 5 2 5 4 4 2 2" xfId="24196"/>
    <cellStyle name="常规 5 2 5 4 4 2 2 2" xfId="31292"/>
    <cellStyle name="常规 5 2 5 4 4 2 2 2 2" xfId="22833"/>
    <cellStyle name="常规 5 2 5 4 4 2 2 3" xfId="31293"/>
    <cellStyle name="常规 5 2 5 4 4 2 2 4" xfId="20928"/>
    <cellStyle name="常规 5 2 5 4 4 2 3" xfId="31294"/>
    <cellStyle name="常规 5 2 5 4 4 2 3 2" xfId="31295"/>
    <cellStyle name="常规 5 2 5 4 4 2 4" xfId="31296"/>
    <cellStyle name="常规 5 2 5 4 4 2 5" xfId="31298"/>
    <cellStyle name="常规 5 2 5 4 4 3" xfId="30377"/>
    <cellStyle name="常规 5 2 5 4 4 3 2" xfId="30379"/>
    <cellStyle name="常规 5 2 5 4 4 3 2 2" xfId="30381"/>
    <cellStyle name="常规 5 2 5 4 4 3 3" xfId="30383"/>
    <cellStyle name="常规 5 2 5 4 4 3 4" xfId="30385"/>
    <cellStyle name="常规 5 2 5 4 4 4" xfId="30388"/>
    <cellStyle name="常规 5 2 5 4 4 4 2" xfId="30390"/>
    <cellStyle name="常规 5 2 5 4 4 5" xfId="30392"/>
    <cellStyle name="常规 5 2 5 4 4 6" xfId="30394"/>
    <cellStyle name="常规 5 2 5 4 5" xfId="31300"/>
    <cellStyle name="常规 5 2 5 4 5 2" xfId="31301"/>
    <cellStyle name="常规 5 2 5 4 5 2 2" xfId="31302"/>
    <cellStyle name="常规 5 2 5 4 5 2 2 2" xfId="31303"/>
    <cellStyle name="常规 5 2 5 4 5 2 3" xfId="31304"/>
    <cellStyle name="常规 5 2 5 4 5 2 4" xfId="31305"/>
    <cellStyle name="常规 5 2 5 4 5 3" xfId="30397"/>
    <cellStyle name="常规 5 2 5 4 5 3 2" xfId="30399"/>
    <cellStyle name="常规 5 2 5 4 5 4" xfId="15619"/>
    <cellStyle name="常规 5 2 5 4 5 5" xfId="15623"/>
    <cellStyle name="常规 5 2 5 4 6" xfId="31307"/>
    <cellStyle name="常规 5 2 5 4 6 2" xfId="31309"/>
    <cellStyle name="常规 5 2 5 4 6 2 2" xfId="31311"/>
    <cellStyle name="常规 5 2 5 4 6 3" xfId="19156"/>
    <cellStyle name="常规 5 2 5 4 6 4" xfId="15631"/>
    <cellStyle name="常规 5 2 5 4 7" xfId="21878"/>
    <cellStyle name="常规 5 2 5 4 7 2" xfId="31313"/>
    <cellStyle name="常规 5 2 5 4 8" xfId="31315"/>
    <cellStyle name="常规 5 2 5 4 9" xfId="31317"/>
    <cellStyle name="常规 5 2 5 5" xfId="31318"/>
    <cellStyle name="常规 5 2 5 5 2" xfId="31319"/>
    <cellStyle name="常规 5 2 5 5 2 2" xfId="18439"/>
    <cellStyle name="常规 5 2 5 5 2 2 2" xfId="18441"/>
    <cellStyle name="常规 5 2 5 5 2 2 2 2" xfId="31320"/>
    <cellStyle name="常规 5 2 5 5 2 2 2 2 2" xfId="31321"/>
    <cellStyle name="常规 5 2 5 5 2 2 2 2 2 2" xfId="31322"/>
    <cellStyle name="常规 5 2 5 5 2 2 2 2 3" xfId="31323"/>
    <cellStyle name="常规 5 2 5 5 2 2 2 2 4" xfId="29976"/>
    <cellStyle name="常规 5 2 5 5 2 2 2 3" xfId="31324"/>
    <cellStyle name="常规 5 2 5 5 2 2 2 3 2" xfId="31325"/>
    <cellStyle name="常规 5 2 5 5 2 2 2 4" xfId="21029"/>
    <cellStyle name="常规 5 2 5 5 2 2 2 5" xfId="21032"/>
    <cellStyle name="常规 5 2 5 5 2 2 3" xfId="31326"/>
    <cellStyle name="常规 5 2 5 5 2 2 3 2" xfId="22541"/>
    <cellStyle name="常规 5 2 5 5 2 2 3 2 2" xfId="31327"/>
    <cellStyle name="常规 5 2 5 5 2 2 3 3" xfId="22544"/>
    <cellStyle name="常规 5 2 5 5 2 2 3 4" xfId="21036"/>
    <cellStyle name="常规 5 2 5 5 2 2 4" xfId="31329"/>
    <cellStyle name="常规 5 2 5 5 2 2 4 2" xfId="31330"/>
    <cellStyle name="常规 5 2 5 5 2 2 5" xfId="31333"/>
    <cellStyle name="常规 5 2 5 5 2 2 6" xfId="27215"/>
    <cellStyle name="常规 5 2 5 5 2 3" xfId="18443"/>
    <cellStyle name="常规 5 2 5 5 2 3 2" xfId="30416"/>
    <cellStyle name="常规 5 2 5 5 2 3 2 2" xfId="30418"/>
    <cellStyle name="常规 5 2 5 5 2 3 2 2 2" xfId="30421"/>
    <cellStyle name="常规 5 2 5 5 2 3 2 3" xfId="30426"/>
    <cellStyle name="常规 5 2 5 5 2 3 2 4" xfId="8714"/>
    <cellStyle name="常规 5 2 5 5 2 3 3" xfId="30431"/>
    <cellStyle name="常规 5 2 5 5 2 3 3 2" xfId="30433"/>
    <cellStyle name="常规 5 2 5 5 2 3 4" xfId="30440"/>
    <cellStyle name="常规 5 2 5 5 2 3 5" xfId="30445"/>
    <cellStyle name="常规 5 2 5 5 2 4" xfId="18446"/>
    <cellStyle name="常规 5 2 5 5 2 4 2" xfId="30447"/>
    <cellStyle name="常规 5 2 5 5 2 4 2 2" xfId="30449"/>
    <cellStyle name="常规 5 2 5 5 2 4 3" xfId="30454"/>
    <cellStyle name="常规 5 2 5 5 2 4 4" xfId="30457"/>
    <cellStyle name="常规 5 2 5 5 2 5" xfId="30461"/>
    <cellStyle name="常规 5 2 5 5 2 5 2" xfId="30463"/>
    <cellStyle name="常规 5 2 5 5 2 6" xfId="29397"/>
    <cellStyle name="常规 5 2 5 5 2 7" xfId="26798"/>
    <cellStyle name="常规 5 2 5 5 3" xfId="31334"/>
    <cellStyle name="常规 5 2 5 5 3 2" xfId="18471"/>
    <cellStyle name="常规 5 2 5 5 3 2 2" xfId="31335"/>
    <cellStyle name="常规 5 2 5 5 3 2 2 2" xfId="31336"/>
    <cellStyle name="常规 5 2 5 5 3 2 2 2 2" xfId="30019"/>
    <cellStyle name="常规 5 2 5 5 3 2 2 3" xfId="31337"/>
    <cellStyle name="常规 5 2 5 5 3 2 2 4" xfId="21058"/>
    <cellStyle name="常规 5 2 5 5 3 2 3" xfId="31338"/>
    <cellStyle name="常规 5 2 5 5 3 2 3 2" xfId="31339"/>
    <cellStyle name="常规 5 2 5 5 3 2 4" xfId="6668"/>
    <cellStyle name="常规 5 2 5 5 3 2 5" xfId="6671"/>
    <cellStyle name="常规 5 2 5 5 3 3" xfId="18473"/>
    <cellStyle name="常规 5 2 5 5 3 3 2" xfId="30470"/>
    <cellStyle name="常规 5 2 5 5 3 3 2 2" xfId="30473"/>
    <cellStyle name="常规 5 2 5 5 3 3 3" xfId="30483"/>
    <cellStyle name="常规 5 2 5 5 3 3 4" xfId="6675"/>
    <cellStyle name="常规 5 2 5 5 3 4" xfId="30491"/>
    <cellStyle name="常规 5 2 5 5 3 4 2" xfId="7957"/>
    <cellStyle name="常规 5 2 5 5 3 5" xfId="9374"/>
    <cellStyle name="常规 5 2 5 5 3 6" xfId="9377"/>
    <cellStyle name="常规 5 2 5 5 4" xfId="31341"/>
    <cellStyle name="常规 5 2 5 5 4 2" xfId="18486"/>
    <cellStyle name="常规 5 2 5 5 4 2 2" xfId="31342"/>
    <cellStyle name="常规 5 2 5 5 4 2 2 2" xfId="31343"/>
    <cellStyle name="常规 5 2 5 5 4 2 3" xfId="31344"/>
    <cellStyle name="常规 5 2 5 5 4 2 4" xfId="6691"/>
    <cellStyle name="常规 5 2 5 5 4 3" xfId="30498"/>
    <cellStyle name="常规 5 2 5 5 4 3 2" xfId="30500"/>
    <cellStyle name="常规 5 2 5 5 4 4" xfId="30510"/>
    <cellStyle name="常规 5 2 5 5 4 5" xfId="9383"/>
    <cellStyle name="常规 5 2 5 5 5" xfId="31345"/>
    <cellStyle name="常规 5 2 5 5 5 2" xfId="24909"/>
    <cellStyle name="常规 5 2 5 5 5 2 2" xfId="31346"/>
    <cellStyle name="常规 5 2 5 5 5 3" xfId="30515"/>
    <cellStyle name="常规 5 2 5 5 5 4" xfId="15639"/>
    <cellStyle name="常规 5 2 5 5 6" xfId="31348"/>
    <cellStyle name="常规 5 2 5 5 6 2" xfId="23414"/>
    <cellStyle name="常规 5 2 5 5 7" xfId="31350"/>
    <cellStyle name="常规 5 2 5 5 8" xfId="31352"/>
    <cellStyle name="常规 5 2 5 6" xfId="18510"/>
    <cellStyle name="常规 5 2 5 6 2" xfId="31353"/>
    <cellStyle name="常规 5 2 5 6 2 2" xfId="18591"/>
    <cellStyle name="常规 5 2 5 6 2 2 2" xfId="31354"/>
    <cellStyle name="常规 5 2 5 6 2 2 2 2" xfId="31355"/>
    <cellStyle name="常规 5 2 5 6 2 2 2 2 2" xfId="1779"/>
    <cellStyle name="常规 5 2 5 6 2 2 2 3" xfId="31356"/>
    <cellStyle name="常规 5 2 5 6 2 2 2 4" xfId="5984"/>
    <cellStyle name="常规 5 2 5 6 2 2 3" xfId="24386"/>
    <cellStyle name="常规 5 2 5 6 2 2 3 2" xfId="31357"/>
    <cellStyle name="常规 5 2 5 6 2 2 4" xfId="24389"/>
    <cellStyle name="常规 5 2 5 6 2 2 5" xfId="31362"/>
    <cellStyle name="常规 5 2 5 6 2 3" xfId="18594"/>
    <cellStyle name="常规 5 2 5 6 2 3 2" xfId="27910"/>
    <cellStyle name="常规 5 2 5 6 2 3 2 2" xfId="27915"/>
    <cellStyle name="常规 5 2 5 6 2 3 3" xfId="27920"/>
    <cellStyle name="常规 5 2 5 6 2 3 4" xfId="27922"/>
    <cellStyle name="常规 5 2 5 6 2 4" xfId="30559"/>
    <cellStyle name="常规 5 2 5 6 2 4 2" xfId="27970"/>
    <cellStyle name="常规 5 2 5 6 2 5" xfId="17120"/>
    <cellStyle name="常规 5 2 5 6 2 6" xfId="30564"/>
    <cellStyle name="常规 5 2 5 6 3" xfId="31363"/>
    <cellStyle name="常规 5 2 5 6 3 2" xfId="18610"/>
    <cellStyle name="常规 5 2 5 6 3 2 2" xfId="31364"/>
    <cellStyle name="常规 5 2 5 6 3 2 2 2" xfId="31365"/>
    <cellStyle name="常规 5 2 5 6 3 2 3" xfId="31367"/>
    <cellStyle name="常规 5 2 5 6 3 2 4" xfId="5871"/>
    <cellStyle name="常规 5 2 5 6 3 3" xfId="30568"/>
    <cellStyle name="常规 5 2 5 6 3 3 2" xfId="28071"/>
    <cellStyle name="常规 5 2 5 6 3 4" xfId="5882"/>
    <cellStyle name="常规 5 2 5 6 3 5" xfId="5896"/>
    <cellStyle name="常规 5 2 5 6 4" xfId="31368"/>
    <cellStyle name="常规 5 2 5 6 4 2" xfId="31369"/>
    <cellStyle name="常规 5 2 5 6 4 2 2" xfId="31370"/>
    <cellStyle name="常规 5 2 5 6 4 3" xfId="30576"/>
    <cellStyle name="常规 5 2 5 6 4 4" xfId="5908"/>
    <cellStyle name="常规 5 2 5 6 5" xfId="31371"/>
    <cellStyle name="常规 5 2 5 6 5 2" xfId="31372"/>
    <cellStyle name="常规 5 2 5 6 6" xfId="31374"/>
    <cellStyle name="常规 5 2 5 6 7" xfId="31376"/>
    <cellStyle name="常规 5 2 5 7" xfId="31377"/>
    <cellStyle name="常规 5 2 5 7 2" xfId="31378"/>
    <cellStyle name="常规 5 2 5 7 2 2" xfId="18694"/>
    <cellStyle name="常规 5 2 5 7 2 2 2" xfId="31379"/>
    <cellStyle name="常规 5 2 5 7 2 2 2 2" xfId="31380"/>
    <cellStyle name="常规 5 2 5 7 2 2 3" xfId="3474"/>
    <cellStyle name="常规 5 2 5 7 2 2 4" xfId="31381"/>
    <cellStyle name="常规 5 2 5 7 2 3" xfId="30603"/>
    <cellStyle name="常规 5 2 5 7 2 3 2" xfId="28247"/>
    <cellStyle name="常规 5 2 5 7 2 4" xfId="30608"/>
    <cellStyle name="常规 5 2 5 7 2 5" xfId="30611"/>
    <cellStyle name="常规 5 2 5 7 3" xfId="31382"/>
    <cellStyle name="常规 5 2 5 7 3 2" xfId="31383"/>
    <cellStyle name="常规 5 2 5 7 3 2 2" xfId="31384"/>
    <cellStyle name="常规 5 2 5 7 3 3" xfId="15472"/>
    <cellStyle name="常规 5 2 5 7 3 4" xfId="5930"/>
    <cellStyle name="常规 5 2 5 7 4" xfId="31385"/>
    <cellStyle name="常规 5 2 5 7 4 2" xfId="31386"/>
    <cellStyle name="常规 5 2 5 7 5" xfId="31387"/>
    <cellStyle name="常规 5 2 5 7 6" xfId="31389"/>
    <cellStyle name="常规 5 2 5 8" xfId="31390"/>
    <cellStyle name="常规 5 2 5 8 2" xfId="31391"/>
    <cellStyle name="常规 5 2 5 8 2 2" xfId="31392"/>
    <cellStyle name="常规 5 2 5 8 2 2 2" xfId="31394"/>
    <cellStyle name="常规 5 2 5 8 2 3" xfId="2656"/>
    <cellStyle name="常规 5 2 5 8 2 4" xfId="30621"/>
    <cellStyle name="常规 5 2 5 8 3" xfId="31395"/>
    <cellStyle name="常规 5 2 5 8 3 2" xfId="31396"/>
    <cellStyle name="常规 5 2 5 8 4" xfId="31397"/>
    <cellStyle name="常规 5 2 5 8 5" xfId="28986"/>
    <cellStyle name="常规 5 2 5 9" xfId="31398"/>
    <cellStyle name="常规 5 2 5 9 2" xfId="31399"/>
    <cellStyle name="常规 5 2 5 9 2 2" xfId="31400"/>
    <cellStyle name="常规 5 2 5 9 3" xfId="3347"/>
    <cellStyle name="常规 5 2 5 9 4" xfId="31401"/>
    <cellStyle name="常规 5 2 6" xfId="31403"/>
    <cellStyle name="常规 5 2 6 10" xfId="31404"/>
    <cellStyle name="常规 5 2 6 11" xfId="31405"/>
    <cellStyle name="常规 5 2 6 2" xfId="24338"/>
    <cellStyle name="常规 5 2 6 2 2" xfId="12057"/>
    <cellStyle name="常规 5 2 6 2 2 2" xfId="12061"/>
    <cellStyle name="常规 5 2 6 2 2 2 2" xfId="19149"/>
    <cellStyle name="常规 5 2 6 2 2 2 2 2" xfId="19151"/>
    <cellStyle name="常规 5 2 6 2 2 2 2 2 2" xfId="19155"/>
    <cellStyle name="常规 5 2 6 2 2 2 2 2 2 2" xfId="31407"/>
    <cellStyle name="常规 5 2 6 2 2 2 2 2 2 2 2" xfId="31409"/>
    <cellStyle name="常规 5 2 6 2 2 2 2 2 2 3" xfId="31411"/>
    <cellStyle name="常规 5 2 6 2 2 2 2 2 2 4" xfId="31413"/>
    <cellStyle name="常规 5 2 6 2 2 2 2 2 3" xfId="15630"/>
    <cellStyle name="常规 5 2 6 2 2 2 2 2 3 2" xfId="31416"/>
    <cellStyle name="常规 5 2 6 2 2 2 2 2 4" xfId="31420"/>
    <cellStyle name="常规 5 2 6 2 2 2 2 2 5" xfId="31424"/>
    <cellStyle name="常规 5 2 6 2 2 2 2 3" xfId="19159"/>
    <cellStyle name="常规 5 2 6 2 2 2 2 3 2" xfId="31426"/>
    <cellStyle name="常规 5 2 6 2 2 2 2 3 2 2" xfId="27590"/>
    <cellStyle name="常规 5 2 6 2 2 2 2 3 3" xfId="31428"/>
    <cellStyle name="常规 5 2 6 2 2 2 2 3 4" xfId="31431"/>
    <cellStyle name="常规 5 2 6 2 2 2 2 4" xfId="19162"/>
    <cellStyle name="常规 5 2 6 2 2 2 2 4 2" xfId="31433"/>
    <cellStyle name="常规 5 2 6 2 2 2 2 5" xfId="31434"/>
    <cellStyle name="常规 5 2 6 2 2 2 2 6" xfId="31436"/>
    <cellStyle name="常规 5 2 6 2 2 2 3" xfId="19165"/>
    <cellStyle name="常规 5 2 6 2 2 2 3 2" xfId="19167"/>
    <cellStyle name="常规 5 2 6 2 2 2 3 2 2" xfId="23417"/>
    <cellStyle name="常规 5 2 6 2 2 2 3 2 2 2" xfId="31438"/>
    <cellStyle name="常规 5 2 6 2 2 2 3 2 3" xfId="31440"/>
    <cellStyle name="常规 5 2 6 2 2 2 3 2 4" xfId="31443"/>
    <cellStyle name="常规 5 2 6 2 2 2 3 3" xfId="30520"/>
    <cellStyle name="常规 5 2 6 2 2 2 3 3 2" xfId="31445"/>
    <cellStyle name="常规 5 2 6 2 2 2 3 4" xfId="30522"/>
    <cellStyle name="常规 5 2 6 2 2 2 3 5" xfId="31446"/>
    <cellStyle name="常规 5 2 6 2 2 2 4" xfId="19170"/>
    <cellStyle name="常规 5 2 6 2 2 2 4 2" xfId="30581"/>
    <cellStyle name="常规 5 2 6 2 2 2 4 2 2" xfId="31448"/>
    <cellStyle name="常规 5 2 6 2 2 2 4 3" xfId="30583"/>
    <cellStyle name="常规 5 2 6 2 2 2 4 4" xfId="31449"/>
    <cellStyle name="常规 5 2 6 2 2 2 5" xfId="1965"/>
    <cellStyle name="常规 5 2 6 2 2 2 5 2" xfId="15495"/>
    <cellStyle name="常规 5 2 6 2 2 2 6" xfId="27261"/>
    <cellStyle name="常规 5 2 6 2 2 2 7" xfId="27267"/>
    <cellStyle name="常规 5 2 6 2 2 3" xfId="19173"/>
    <cellStyle name="常规 5 2 6 2 2 3 2" xfId="19177"/>
    <cellStyle name="常规 5 2 6 2 2 3 2 2" xfId="19181"/>
    <cellStyle name="常规 5 2 6 2 2 3 2 2 2" xfId="26594"/>
    <cellStyle name="常规 5 2 6 2 2 3 2 2 2 2" xfId="26599"/>
    <cellStyle name="常规 5 2 6 2 2 3 2 2 3" xfId="26604"/>
    <cellStyle name="常规 5 2 6 2 2 3 2 2 4" xfId="17405"/>
    <cellStyle name="常规 5 2 6 2 2 3 2 3" xfId="26608"/>
    <cellStyle name="常规 5 2 6 2 2 3 2 3 2" xfId="26614"/>
    <cellStyle name="常规 5 2 6 2 2 3 2 4" xfId="24047"/>
    <cellStyle name="常规 5 2 6 2 2 3 2 5" xfId="24067"/>
    <cellStyle name="常规 5 2 6 2 2 3 3" xfId="19187"/>
    <cellStyle name="常规 5 2 6 2 2 3 3 2" xfId="26618"/>
    <cellStyle name="常规 5 2 6 2 2 3 3 2 2" xfId="26624"/>
    <cellStyle name="常规 5 2 6 2 2 3 3 3" xfId="26628"/>
    <cellStyle name="常规 5 2 6 2 2 3 3 4" xfId="24094"/>
    <cellStyle name="常规 5 2 6 2 2 3 4" xfId="19191"/>
    <cellStyle name="常规 5 2 6 2 2 3 4 2" xfId="26632"/>
    <cellStyle name="常规 5 2 6 2 2 3 5" xfId="14624"/>
    <cellStyle name="常规 5 2 6 2 2 3 6" xfId="26640"/>
    <cellStyle name="常规 5 2 6 2 2 4" xfId="19193"/>
    <cellStyle name="常规 5 2 6 2 2 4 2" xfId="19197"/>
    <cellStyle name="常规 5 2 6 2 2 4 2 2" xfId="26671"/>
    <cellStyle name="常规 5 2 6 2 2 4 2 2 2" xfId="26678"/>
    <cellStyle name="常规 5 2 6 2 2 4 2 3" xfId="26681"/>
    <cellStyle name="常规 5 2 6 2 2 4 2 4" xfId="24148"/>
    <cellStyle name="常规 5 2 6 2 2 4 3" xfId="26687"/>
    <cellStyle name="常规 5 2 6 2 2 4 3 2" xfId="26690"/>
    <cellStyle name="常规 5 2 6 2 2 4 4" xfId="26695"/>
    <cellStyle name="常规 5 2 6 2 2 4 5" xfId="26698"/>
    <cellStyle name="常规 5 2 6 2 2 5" xfId="19199"/>
    <cellStyle name="常规 5 2 6 2 2 5 2" xfId="26712"/>
    <cellStyle name="常规 5 2 6 2 2 5 2 2" xfId="26715"/>
    <cellStyle name="常规 5 2 6 2 2 5 3" xfId="26720"/>
    <cellStyle name="常规 5 2 6 2 2 5 4" xfId="26723"/>
    <cellStyle name="常规 5 2 6 2 2 6" xfId="19201"/>
    <cellStyle name="常规 5 2 6 2 2 6 2" xfId="26734"/>
    <cellStyle name="常规 5 2 6 2 2 7" xfId="19389"/>
    <cellStyle name="常规 5 2 6 2 2 8" xfId="31450"/>
    <cellStyle name="常规 5 2 6 2 3" xfId="12065"/>
    <cellStyle name="常规 5 2 6 2 3 2" xfId="19301"/>
    <cellStyle name="常规 5 2 6 2 3 2 2" xfId="19303"/>
    <cellStyle name="常规 5 2 6 2 3 2 2 2" xfId="19306"/>
    <cellStyle name="常规 5 2 6 2 3 2 2 2 2" xfId="270"/>
    <cellStyle name="常规 5 2 6 2 3 2 2 2 2 2" xfId="31452"/>
    <cellStyle name="常规 5 2 6 2 3 2 2 2 3" xfId="203"/>
    <cellStyle name="常规 5 2 6 2 3 2 2 2 4" xfId="20193"/>
    <cellStyle name="常规 5 2 6 2 3 2 2 3" xfId="31206"/>
    <cellStyle name="常规 5 2 6 2 3 2 2 3 2" xfId="3939"/>
    <cellStyle name="常规 5 2 6 2 3 2 2 4" xfId="31454"/>
    <cellStyle name="常规 5 2 6 2 3 2 2 5" xfId="31457"/>
    <cellStyle name="常规 5 2 6 2 3 2 3" xfId="19310"/>
    <cellStyle name="常规 5 2 6 2 3 2 3 2" xfId="31227"/>
    <cellStyle name="常规 5 2 6 2 3 2 3 2 2" xfId="31460"/>
    <cellStyle name="常规 5 2 6 2 3 2 3 3" xfId="31461"/>
    <cellStyle name="常规 5 2 6 2 3 2 3 4" xfId="31462"/>
    <cellStyle name="常规 5 2 6 2 3 2 4" xfId="19312"/>
    <cellStyle name="常规 5 2 6 2 3 2 4 2" xfId="31463"/>
    <cellStyle name="常规 5 2 6 2 3 2 5" xfId="30817"/>
    <cellStyle name="常规 5 2 6 2 3 2 6" xfId="27322"/>
    <cellStyle name="常规 5 2 6 2 3 3" xfId="19314"/>
    <cellStyle name="常规 5 2 6 2 3 3 2" xfId="1433"/>
    <cellStyle name="常规 5 2 6 2 3 3 2 2" xfId="26759"/>
    <cellStyle name="常规 5 2 6 2 3 3 2 2 2" xfId="26765"/>
    <cellStyle name="常规 5 2 6 2 3 3 2 3" xfId="26768"/>
    <cellStyle name="常规 5 2 6 2 3 3 2 4" xfId="24237"/>
    <cellStyle name="常规 5 2 6 2 3 3 3" xfId="26773"/>
    <cellStyle name="常规 5 2 6 2 3 3 3 2" xfId="26776"/>
    <cellStyle name="常规 5 2 6 2 3 3 4" xfId="26781"/>
    <cellStyle name="常规 5 2 6 2 3 3 5" xfId="21165"/>
    <cellStyle name="常规 5 2 6 2 3 4" xfId="19316"/>
    <cellStyle name="常规 5 2 6 2 3 4 2" xfId="26793"/>
    <cellStyle name="常规 5 2 6 2 3 4 2 2" xfId="26797"/>
    <cellStyle name="常规 5 2 6 2 3 4 3" xfId="26802"/>
    <cellStyle name="常规 5 2 6 2 3 4 4" xfId="26805"/>
    <cellStyle name="常规 5 2 6 2 3 5" xfId="19318"/>
    <cellStyle name="常规 5 2 6 2 3 5 2" xfId="26815"/>
    <cellStyle name="常规 5 2 6 2 3 6" xfId="31464"/>
    <cellStyle name="常规 5 2 6 2 3 7" xfId="31465"/>
    <cellStyle name="常规 5 2 6 2 4" xfId="12069"/>
    <cellStyle name="常规 5 2 6 2 4 2" xfId="19393"/>
    <cellStyle name="常规 5 2 6 2 4 2 2" xfId="19397"/>
    <cellStyle name="常规 5 2 6 2 4 2 2 2" xfId="29480"/>
    <cellStyle name="常规 5 2 6 2 4 2 2 2 2" xfId="25204"/>
    <cellStyle name="常规 5 2 6 2 4 2 2 3" xfId="29482"/>
    <cellStyle name="常规 5 2 6 2 4 2 2 4" xfId="29486"/>
    <cellStyle name="常规 5 2 6 2 4 2 3" xfId="24245"/>
    <cellStyle name="常规 5 2 6 2 4 2 3 2" xfId="29515"/>
    <cellStyle name="常规 5 2 6 2 4 2 4" xfId="31466"/>
    <cellStyle name="常规 5 2 6 2 4 2 5" xfId="30821"/>
    <cellStyle name="常规 5 2 6 2 4 3" xfId="10744"/>
    <cellStyle name="常规 5 2 6 2 4 3 2" xfId="24256"/>
    <cellStyle name="常规 5 2 6 2 4 3 2 2" xfId="26846"/>
    <cellStyle name="常规 5 2 6 2 4 3 3" xfId="26852"/>
    <cellStyle name="常规 5 2 6 2 4 3 4" xfId="26856"/>
    <cellStyle name="常规 5 2 6 2 4 4" xfId="19400"/>
    <cellStyle name="常规 5 2 6 2 4 4 2" xfId="26869"/>
    <cellStyle name="常规 5 2 6 2 4 5" xfId="31467"/>
    <cellStyle name="常规 5 2 6 2 4 6" xfId="31468"/>
    <cellStyle name="常规 5 2 6 2 5" xfId="31470"/>
    <cellStyle name="常规 5 2 6 2 5 2" xfId="19427"/>
    <cellStyle name="常规 5 2 6 2 5 2 2" xfId="24264"/>
    <cellStyle name="常规 5 2 6 2 5 2 2 2" xfId="29839"/>
    <cellStyle name="常规 5 2 6 2 5 2 3" xfId="31471"/>
    <cellStyle name="常规 5 2 6 2 5 2 4" xfId="31472"/>
    <cellStyle name="常规 5 2 6 2 5 3" xfId="19429"/>
    <cellStyle name="常规 5 2 6 2 5 3 2" xfId="26891"/>
    <cellStyle name="常规 5 2 6 2 5 4" xfId="31473"/>
    <cellStyle name="常规 5 2 6 2 5 5" xfId="17014"/>
    <cellStyle name="常规 5 2 6 2 6" xfId="31474"/>
    <cellStyle name="常规 5 2 6 2 6 2" xfId="19441"/>
    <cellStyle name="常规 5 2 6 2 6 2 2" xfId="31475"/>
    <cellStyle name="常规 5 2 6 2 6 3" xfId="31476"/>
    <cellStyle name="常规 5 2 6 2 6 4" xfId="31477"/>
    <cellStyle name="常规 5 2 6 2 7" xfId="31478"/>
    <cellStyle name="常规 5 2 6 2 7 2" xfId="31479"/>
    <cellStyle name="常规 5 2 6 2 8" xfId="31480"/>
    <cellStyle name="常规 5 2 6 2 9" xfId="31481"/>
    <cellStyle name="常规 5 2 6 3" xfId="31482"/>
    <cellStyle name="常规 5 2 6 3 2" xfId="12077"/>
    <cellStyle name="常规 5 2 6 3 2 2" xfId="9789"/>
    <cellStyle name="常规 5 2 6 3 2 2 2" xfId="19544"/>
    <cellStyle name="常规 5 2 6 3 2 2 2 2" xfId="16998"/>
    <cellStyle name="常规 5 2 6 3 2 2 2 2 2" xfId="16903"/>
    <cellStyle name="常规 5 2 6 3 2 2 2 2 2 2" xfId="7246"/>
    <cellStyle name="常规 5 2 6 3 2 2 2 2 2 2 2" xfId="7249"/>
    <cellStyle name="常规 5 2 6 3 2 2 2 2 2 3" xfId="7251"/>
    <cellStyle name="常规 5 2 6 3 2 2 2 2 2 4" xfId="5977"/>
    <cellStyle name="常规 5 2 6 3 2 2 2 2 3" xfId="4544"/>
    <cellStyle name="常规 5 2 6 3 2 2 2 2 3 2" xfId="31483"/>
    <cellStyle name="常规 5 2 6 3 2 2 2 2 4" xfId="30219"/>
    <cellStyle name="常规 5 2 6 3 2 2 2 2 5" xfId="31484"/>
    <cellStyle name="常规 5 2 6 3 2 2 2 3" xfId="31485"/>
    <cellStyle name="常规 5 2 6 3 2 2 2 3 2" xfId="31487"/>
    <cellStyle name="常规 5 2 6 3 2 2 2 3 2 2" xfId="31488"/>
    <cellStyle name="常规 5 2 6 3 2 2 2 3 3" xfId="31490"/>
    <cellStyle name="常规 5 2 6 3 2 2 2 3 4" xfId="31491"/>
    <cellStyle name="常规 5 2 6 3 2 2 2 4" xfId="31492"/>
    <cellStyle name="常规 5 2 6 3 2 2 2 4 2" xfId="31493"/>
    <cellStyle name="常规 5 2 6 3 2 2 2 5" xfId="31494"/>
    <cellStyle name="常规 5 2 6 3 2 2 2 6" xfId="25181"/>
    <cellStyle name="常规 5 2 6 3 2 2 3" xfId="24476"/>
    <cellStyle name="常规 5 2 6 3 2 2 3 2" xfId="31495"/>
    <cellStyle name="常规 5 2 6 3 2 2 3 2 2" xfId="31497"/>
    <cellStyle name="常规 5 2 6 3 2 2 3 2 2 2" xfId="25878"/>
    <cellStyle name="常规 5 2 6 3 2 2 3 2 3" xfId="31499"/>
    <cellStyle name="常规 5 2 6 3 2 2 3 2 4" xfId="31500"/>
    <cellStyle name="常规 5 2 6 3 2 2 3 3" xfId="31501"/>
    <cellStyle name="常规 5 2 6 3 2 2 3 3 2" xfId="31502"/>
    <cellStyle name="常规 5 2 6 3 2 2 3 4" xfId="31503"/>
    <cellStyle name="常规 5 2 6 3 2 2 3 5" xfId="31504"/>
    <cellStyle name="常规 5 2 6 3 2 2 4" xfId="31505"/>
    <cellStyle name="常规 5 2 6 3 2 2 4 2" xfId="31506"/>
    <cellStyle name="常规 5 2 6 3 2 2 4 2 2" xfId="31507"/>
    <cellStyle name="常规 5 2 6 3 2 2 4 3" xfId="31508"/>
    <cellStyle name="常规 5 2 6 3 2 2 4 4" xfId="31509"/>
    <cellStyle name="常规 5 2 6 3 2 2 5" xfId="31510"/>
    <cellStyle name="常规 5 2 6 3 2 2 5 2" xfId="31511"/>
    <cellStyle name="常规 5 2 6 3 2 2 6" xfId="27367"/>
    <cellStyle name="常规 5 2 6 3 2 2 7" xfId="27370"/>
    <cellStyle name="常规 5 2 6 3 2 3" xfId="9792"/>
    <cellStyle name="常规 5 2 6 3 2 3 2" xfId="24486"/>
    <cellStyle name="常规 5 2 6 3 2 3 2 2" xfId="26949"/>
    <cellStyle name="常规 5 2 6 3 2 3 2 2 2" xfId="26955"/>
    <cellStyle name="常规 5 2 6 3 2 3 2 2 2 2" xfId="26957"/>
    <cellStyle name="常规 5 2 6 3 2 3 2 2 3" xfId="26962"/>
    <cellStyle name="常规 5 2 6 3 2 3 2 2 4" xfId="26964"/>
    <cellStyle name="常规 5 2 6 3 2 3 2 3" xfId="26967"/>
    <cellStyle name="常规 5 2 6 3 2 3 2 3 2" xfId="26971"/>
    <cellStyle name="常规 5 2 6 3 2 3 2 4" xfId="26974"/>
    <cellStyle name="常规 5 2 6 3 2 3 2 5" xfId="26977"/>
    <cellStyle name="常规 5 2 6 3 2 3 3" xfId="26981"/>
    <cellStyle name="常规 5 2 6 3 2 3 3 2" xfId="26984"/>
    <cellStyle name="常规 5 2 6 3 2 3 3 2 2" xfId="26988"/>
    <cellStyle name="常规 5 2 6 3 2 3 3 3" xfId="26991"/>
    <cellStyle name="常规 5 2 6 3 2 3 3 4" xfId="26994"/>
    <cellStyle name="常规 5 2 6 3 2 3 4" xfId="26998"/>
    <cellStyle name="常规 5 2 6 3 2 3 4 2" xfId="27002"/>
    <cellStyle name="常规 5 2 6 3 2 3 5" xfId="27006"/>
    <cellStyle name="常规 5 2 6 3 2 3 6" xfId="27012"/>
    <cellStyle name="常规 5 2 6 3 2 4" xfId="19547"/>
    <cellStyle name="常规 5 2 6 3 2 4 2" xfId="20014"/>
    <cellStyle name="常规 5 2 6 3 2 4 2 2" xfId="27025"/>
    <cellStyle name="常规 5 2 6 3 2 4 2 2 2" xfId="20976"/>
    <cellStyle name="常规 5 2 6 3 2 4 2 3" xfId="27029"/>
    <cellStyle name="常规 5 2 6 3 2 4 2 4" xfId="27033"/>
    <cellStyle name="常规 5 2 6 3 2 4 3" xfId="20019"/>
    <cellStyle name="常规 5 2 6 3 2 4 3 2" xfId="27036"/>
    <cellStyle name="常规 5 2 6 3 2 4 4" xfId="20023"/>
    <cellStyle name="常规 5 2 6 3 2 4 5" xfId="27040"/>
    <cellStyle name="常规 5 2 6 3 2 5" xfId="29468"/>
    <cellStyle name="常规 5 2 6 3 2 5 2" xfId="27048"/>
    <cellStyle name="常规 5 2 6 3 2 5 2 2" xfId="27051"/>
    <cellStyle name="常规 5 2 6 3 2 5 3" xfId="27055"/>
    <cellStyle name="常规 5 2 6 3 2 5 4" xfId="27058"/>
    <cellStyle name="常规 5 2 6 3 2 6" xfId="29475"/>
    <cellStyle name="常规 5 2 6 3 2 6 2" xfId="27066"/>
    <cellStyle name="常规 5 2 6 3 2 7" xfId="29479"/>
    <cellStyle name="常规 5 2 6 3 2 8" xfId="29484"/>
    <cellStyle name="常规 5 2 6 3 3" xfId="9095"/>
    <cellStyle name="常规 5 2 6 3 3 2" xfId="19566"/>
    <cellStyle name="常规 5 2 6 3 3 2 2" xfId="24490"/>
    <cellStyle name="常规 5 2 6 3 3 2 2 2" xfId="31512"/>
    <cellStyle name="常规 5 2 6 3 3 2 2 2 2" xfId="31513"/>
    <cellStyle name="常规 5 2 6 3 3 2 2 2 2 2" xfId="31514"/>
    <cellStyle name="常规 5 2 6 3 3 2 2 2 3" xfId="4858"/>
    <cellStyle name="常规 5 2 6 3 3 2 2 2 4" xfId="20765"/>
    <cellStyle name="常规 5 2 6 3 3 2 2 3" xfId="31515"/>
    <cellStyle name="常规 5 2 6 3 3 2 2 3 2" xfId="31516"/>
    <cellStyle name="常规 5 2 6 3 3 2 2 4" xfId="31517"/>
    <cellStyle name="常规 5 2 6 3 3 2 2 5" xfId="31518"/>
    <cellStyle name="常规 5 2 6 3 3 2 3" xfId="31519"/>
    <cellStyle name="常规 5 2 6 3 3 2 3 2" xfId="31520"/>
    <cellStyle name="常规 5 2 6 3 3 2 3 2 2" xfId="31521"/>
    <cellStyle name="常规 5 2 6 3 3 2 3 3" xfId="31522"/>
    <cellStyle name="常规 5 2 6 3 3 2 3 4" xfId="31523"/>
    <cellStyle name="常规 5 2 6 3 3 2 4" xfId="31524"/>
    <cellStyle name="常规 5 2 6 3 3 2 4 2" xfId="31525"/>
    <cellStyle name="常规 5 2 6 3 3 2 5" xfId="30828"/>
    <cellStyle name="常规 5 2 6 3 3 2 6" xfId="27387"/>
    <cellStyle name="常规 5 2 6 3 3 3" xfId="19568"/>
    <cellStyle name="常规 5 2 6 3 3 3 2" xfId="27095"/>
    <cellStyle name="常规 5 2 6 3 3 3 2 2" xfId="27099"/>
    <cellStyle name="常规 5 2 6 3 3 3 2 2 2" xfId="27103"/>
    <cellStyle name="常规 5 2 6 3 3 3 2 3" xfId="27108"/>
    <cellStyle name="常规 5 2 6 3 3 3 2 4" xfId="27111"/>
    <cellStyle name="常规 5 2 6 3 3 3 3" xfId="27115"/>
    <cellStyle name="常规 5 2 6 3 3 3 3 2" xfId="27120"/>
    <cellStyle name="常规 5 2 6 3 3 3 4" xfId="27123"/>
    <cellStyle name="常规 5 2 6 3 3 3 5" xfId="27126"/>
    <cellStyle name="常规 5 2 6 3 3 4" xfId="29499"/>
    <cellStyle name="常规 5 2 6 3 3 4 2" xfId="3209"/>
    <cellStyle name="常规 5 2 6 3 3 4 2 2" xfId="27138"/>
    <cellStyle name="常规 5 2 6 3 3 4 3" xfId="27141"/>
    <cellStyle name="常规 5 2 6 3 3 4 4" xfId="27144"/>
    <cellStyle name="常规 5 2 6 3 3 5" xfId="29506"/>
    <cellStyle name="常规 5 2 6 3 3 5 2" xfId="27150"/>
    <cellStyle name="常规 5 2 6 3 3 6" xfId="29511"/>
    <cellStyle name="常规 5 2 6 3 3 7" xfId="29514"/>
    <cellStyle name="常规 5 2 6 3 4" xfId="31526"/>
    <cellStyle name="常规 5 2 6 3 4 2" xfId="19584"/>
    <cellStyle name="常规 5 2 6 3 4 2 2" xfId="24278"/>
    <cellStyle name="常规 5 2 6 3 4 2 2 2" xfId="30251"/>
    <cellStyle name="常规 5 2 6 3 4 2 2 2 2" xfId="31527"/>
    <cellStyle name="常规 5 2 6 3 4 2 2 3" xfId="30253"/>
    <cellStyle name="常规 5 2 6 3 4 2 2 4" xfId="31528"/>
    <cellStyle name="常规 5 2 6 3 4 2 3" xfId="31529"/>
    <cellStyle name="常规 5 2 6 3 4 2 3 2" xfId="30278"/>
    <cellStyle name="常规 5 2 6 3 4 2 4" xfId="31530"/>
    <cellStyle name="常规 5 2 6 3 4 2 5" xfId="31531"/>
    <cellStyle name="常规 5 2 6 3 4 3" xfId="29517"/>
    <cellStyle name="常规 5 2 6 3 4 3 2" xfId="27171"/>
    <cellStyle name="常规 5 2 6 3 4 3 2 2" xfId="27175"/>
    <cellStyle name="常规 5 2 6 3 4 3 3" xfId="27182"/>
    <cellStyle name="常规 5 2 6 3 4 3 4" xfId="27186"/>
    <cellStyle name="常规 5 2 6 3 4 4" xfId="29524"/>
    <cellStyle name="常规 5 2 6 3 4 4 2" xfId="27199"/>
    <cellStyle name="常规 5 2 6 3 4 5" xfId="29529"/>
    <cellStyle name="常规 5 2 6 3 4 6" xfId="29532"/>
    <cellStyle name="常规 5 2 6 3 5" xfId="31533"/>
    <cellStyle name="常规 5 2 6 3 5 2" xfId="31534"/>
    <cellStyle name="常规 5 2 6 3 5 2 2" xfId="31535"/>
    <cellStyle name="常规 5 2 6 3 5 2 2 2" xfId="30404"/>
    <cellStyle name="常规 5 2 6 3 5 2 3" xfId="31536"/>
    <cellStyle name="常规 5 2 6 3 5 2 4" xfId="2263"/>
    <cellStyle name="常规 5 2 6 3 5 3" xfId="29536"/>
    <cellStyle name="常规 5 2 6 3 5 3 2" xfId="27220"/>
    <cellStyle name="常规 5 2 6 3 5 4" xfId="15649"/>
    <cellStyle name="常规 5 2 6 3 5 5" xfId="15654"/>
    <cellStyle name="常规 5 2 6 3 6" xfId="30847"/>
    <cellStyle name="常规 5 2 6 3 6 2" xfId="31537"/>
    <cellStyle name="常规 5 2 6 3 6 2 2" xfId="31538"/>
    <cellStyle name="常规 5 2 6 3 6 3" xfId="26558"/>
    <cellStyle name="常规 5 2 6 3 6 4" xfId="15664"/>
    <cellStyle name="常规 5 2 6 3 7" xfId="31539"/>
    <cellStyle name="常规 5 2 6 3 7 2" xfId="31540"/>
    <cellStyle name="常规 5 2 6 3 8" xfId="24578"/>
    <cellStyle name="常规 5 2 6 3 9" xfId="24580"/>
    <cellStyle name="常规 5 2 6 4" xfId="31541"/>
    <cellStyle name="常规 5 2 6 4 2" xfId="31542"/>
    <cellStyle name="常规 5 2 6 4 2 2" xfId="19636"/>
    <cellStyle name="常规 5 2 6 4 2 2 2" xfId="19638"/>
    <cellStyle name="常规 5 2 6 4 2 2 2 2" xfId="14600"/>
    <cellStyle name="常规 5 2 6 4 2 2 2 2 2" xfId="15412"/>
    <cellStyle name="常规 5 2 6 4 2 2 2 2 2 2" xfId="31543"/>
    <cellStyle name="常规 5 2 6 4 2 2 2 2 3" xfId="31544"/>
    <cellStyle name="常规 5 2 6 4 2 2 2 2 4" xfId="23945"/>
    <cellStyle name="常规 5 2 6 4 2 2 2 3" xfId="14603"/>
    <cellStyle name="常规 5 2 6 4 2 2 2 3 2" xfId="31545"/>
    <cellStyle name="常规 5 2 6 4 2 2 2 4" xfId="31546"/>
    <cellStyle name="常规 5 2 6 4 2 2 2 5" xfId="31547"/>
    <cellStyle name="常规 5 2 6 4 2 2 3" xfId="31548"/>
    <cellStyle name="常规 5 2 6 4 2 2 3 2" xfId="31550"/>
    <cellStyle name="常规 5 2 6 4 2 2 3 2 2" xfId="31551"/>
    <cellStyle name="常规 5 2 6 4 2 2 3 3" xfId="31552"/>
    <cellStyle name="常规 5 2 6 4 2 2 3 4" xfId="31553"/>
    <cellStyle name="常规 5 2 6 4 2 2 4" xfId="31554"/>
    <cellStyle name="常规 5 2 6 4 2 2 4 2" xfId="31555"/>
    <cellStyle name="常规 5 2 6 4 2 2 5" xfId="31557"/>
    <cellStyle name="常规 5 2 6 4 2 2 6" xfId="27408"/>
    <cellStyle name="常规 5 2 6 4 2 3" xfId="19641"/>
    <cellStyle name="常规 5 2 6 4 2 3 2" xfId="27275"/>
    <cellStyle name="常规 5 2 6 4 2 3 2 2" xfId="26638"/>
    <cellStyle name="常规 5 2 6 4 2 3 2 2 2" xfId="27280"/>
    <cellStyle name="常规 5 2 6 4 2 3 2 3" xfId="27285"/>
    <cellStyle name="常规 5 2 6 4 2 3 2 4" xfId="27290"/>
    <cellStyle name="常规 5 2 6 4 2 3 3" xfId="27296"/>
    <cellStyle name="常规 5 2 6 4 2 3 3 2" xfId="27300"/>
    <cellStyle name="常规 5 2 6 4 2 3 4" xfId="27307"/>
    <cellStyle name="常规 5 2 6 4 2 3 5" xfId="27312"/>
    <cellStyle name="常规 5 2 6 4 2 4" xfId="19645"/>
    <cellStyle name="常规 5 2 6 4 2 4 2" xfId="27332"/>
    <cellStyle name="常规 5 2 6 4 2 4 2 2" xfId="21174"/>
    <cellStyle name="常规 5 2 6 4 2 4 3" xfId="27337"/>
    <cellStyle name="常规 5 2 6 4 2 4 4" xfId="27341"/>
    <cellStyle name="常规 5 2 6 4 2 5" xfId="29580"/>
    <cellStyle name="常规 5 2 6 4 2 5 2" xfId="27350"/>
    <cellStyle name="常规 5 2 6 4 2 6" xfId="29589"/>
    <cellStyle name="常规 5 2 6 4 2 7" xfId="26843"/>
    <cellStyle name="常规 5 2 6 4 3" xfId="31558"/>
    <cellStyle name="常规 5 2 6 4 3 2" xfId="19658"/>
    <cellStyle name="常规 5 2 6 4 3 2 2" xfId="31559"/>
    <cellStyle name="常规 5 2 6 4 3 2 2 2" xfId="31560"/>
    <cellStyle name="常规 5 2 6 4 3 2 2 2 2" xfId="20088"/>
    <cellStyle name="常规 5 2 6 4 3 2 2 3" xfId="31561"/>
    <cellStyle name="常规 5 2 6 4 3 2 2 4" xfId="31562"/>
    <cellStyle name="常规 5 2 6 4 3 2 3" xfId="31563"/>
    <cellStyle name="常规 5 2 6 4 3 2 3 2" xfId="31564"/>
    <cellStyle name="常规 5 2 6 4 3 2 4" xfId="31565"/>
    <cellStyle name="常规 5 2 6 4 3 2 5" xfId="31567"/>
    <cellStyle name="常规 5 2 6 4 3 3" xfId="19660"/>
    <cellStyle name="常规 5 2 6 4 3 3 2" xfId="27375"/>
    <cellStyle name="常规 5 2 6 4 3 3 2 2" xfId="27010"/>
    <cellStyle name="常规 5 2 6 4 3 3 3" xfId="27380"/>
    <cellStyle name="常规 5 2 6 4 3 3 4" xfId="8845"/>
    <cellStyle name="常规 5 2 6 4 3 4" xfId="29611"/>
    <cellStyle name="常规 5 2 6 4 3 4 2" xfId="27390"/>
    <cellStyle name="常规 5 2 6 4 3 5" xfId="29619"/>
    <cellStyle name="常规 5 2 6 4 3 6" xfId="29627"/>
    <cellStyle name="常规 5 2 6 4 4" xfId="31568"/>
    <cellStyle name="常规 5 2 6 4 4 2" xfId="19671"/>
    <cellStyle name="常规 5 2 6 4 4 2 2" xfId="31569"/>
    <cellStyle name="常规 5 2 6 4 4 2 2 2" xfId="30648"/>
    <cellStyle name="常规 5 2 6 4 4 2 3" xfId="31570"/>
    <cellStyle name="常规 5 2 6 4 4 2 4" xfId="31571"/>
    <cellStyle name="常规 5 2 6 4 4 3" xfId="29635"/>
    <cellStyle name="常规 5 2 6 4 4 3 2" xfId="27413"/>
    <cellStyle name="常规 5 2 6 4 4 4" xfId="29642"/>
    <cellStyle name="常规 5 2 6 4 4 5" xfId="29648"/>
    <cellStyle name="常规 5 2 6 4 5" xfId="31572"/>
    <cellStyle name="常规 5 2 6 4 5 2" xfId="31573"/>
    <cellStyle name="常规 5 2 6 4 5 2 2" xfId="31574"/>
    <cellStyle name="常规 5 2 6 4 5 3" xfId="29656"/>
    <cellStyle name="常规 5 2 6 4 5 4" xfId="15671"/>
    <cellStyle name="常规 5 2 6 4 6" xfId="31576"/>
    <cellStyle name="常规 5 2 6 4 6 2" xfId="31578"/>
    <cellStyle name="常规 5 2 6 4 7" xfId="31580"/>
    <cellStyle name="常规 5 2 6 4 8" xfId="31582"/>
    <cellStyle name="常规 5 2 6 5" xfId="31583"/>
    <cellStyle name="常规 5 2 6 5 2" xfId="31584"/>
    <cellStyle name="常规 5 2 6 5 2 2" xfId="19773"/>
    <cellStyle name="常规 5 2 6 5 2 2 2" xfId="31585"/>
    <cellStyle name="常规 5 2 6 5 2 2 2 2" xfId="9962"/>
    <cellStyle name="常规 5 2 6 5 2 2 2 2 2" xfId="4293"/>
    <cellStyle name="常规 5 2 6 5 2 2 2 3" xfId="24421"/>
    <cellStyle name="常规 5 2 6 5 2 2 2 4" xfId="24439"/>
    <cellStyle name="常规 5 2 6 5 2 2 3" xfId="31587"/>
    <cellStyle name="常规 5 2 6 5 2 2 3 2" xfId="10190"/>
    <cellStyle name="常规 5 2 6 5 2 2 4" xfId="31588"/>
    <cellStyle name="常规 5 2 6 5 2 2 5" xfId="31590"/>
    <cellStyle name="常规 5 2 6 5 2 3" xfId="19775"/>
    <cellStyle name="常规 5 2 6 5 2 3 2" xfId="27465"/>
    <cellStyle name="常规 5 2 6 5 2 3 2 2" xfId="27471"/>
    <cellStyle name="常规 5 2 6 5 2 3 3" xfId="27477"/>
    <cellStyle name="常规 5 2 6 5 2 3 4" xfId="16952"/>
    <cellStyle name="常规 5 2 6 5 2 4" xfId="29688"/>
    <cellStyle name="常规 5 2 6 5 2 4 2" xfId="27487"/>
    <cellStyle name="常规 5 2 6 5 2 5" xfId="29698"/>
    <cellStyle name="常规 5 2 6 5 2 6" xfId="29706"/>
    <cellStyle name="常规 5 2 6 5 3" xfId="31591"/>
    <cellStyle name="常规 5 2 6 5 3 2" xfId="19794"/>
    <cellStyle name="常规 5 2 6 5 3 2 2" xfId="31592"/>
    <cellStyle name="常规 5 2 6 5 3 2 2 2" xfId="31593"/>
    <cellStyle name="常规 5 2 6 5 3 2 3" xfId="31594"/>
    <cellStyle name="常规 5 2 6 5 3 2 4" xfId="6720"/>
    <cellStyle name="常规 5 2 6 5 3 3" xfId="2467"/>
    <cellStyle name="常规 5 2 6 5 3 3 2" xfId="27505"/>
    <cellStyle name="常规 5 2 6 5 3 4" xfId="29723"/>
    <cellStyle name="常规 5 2 6 5 3 5" xfId="9405"/>
    <cellStyle name="常规 5 2 6 5 4" xfId="31595"/>
    <cellStyle name="常规 5 2 6 5 4 2" xfId="31596"/>
    <cellStyle name="常规 5 2 6 5 4 2 2" xfId="31597"/>
    <cellStyle name="常规 5 2 6 5 4 3" xfId="29734"/>
    <cellStyle name="常规 5 2 6 5 4 4" xfId="29741"/>
    <cellStyle name="常规 5 2 6 5 5" xfId="31598"/>
    <cellStyle name="常规 5 2 6 5 5 2" xfId="31599"/>
    <cellStyle name="常规 5 2 6 5 6" xfId="31601"/>
    <cellStyle name="常规 5 2 6 5 7" xfId="31603"/>
    <cellStyle name="常规 5 2 6 6" xfId="31604"/>
    <cellStyle name="常规 5 2 6 6 2" xfId="31605"/>
    <cellStyle name="常规 5 2 6 6 2 2" xfId="1477"/>
    <cellStyle name="常规 5 2 6 6 2 2 2" xfId="31606"/>
    <cellStyle name="常规 5 2 6 6 2 2 2 2" xfId="31607"/>
    <cellStyle name="常规 5 2 6 6 2 2 3" xfId="31611"/>
    <cellStyle name="常规 5 2 6 6 2 2 4" xfId="31612"/>
    <cellStyle name="常规 5 2 6 6 2 3" xfId="1493"/>
    <cellStyle name="常规 5 2 6 6 2 3 2" xfId="27546"/>
    <cellStyle name="常规 5 2 6 6 2 4" xfId="942"/>
    <cellStyle name="常规 5 2 6 6 2 5" xfId="952"/>
    <cellStyle name="常规 5 2 6 6 3" xfId="31613"/>
    <cellStyle name="常规 5 2 6 6 3 2" xfId="31614"/>
    <cellStyle name="常规 5 2 6 6 3 2 2" xfId="31615"/>
    <cellStyle name="常规 5 2 6 6 3 3" xfId="29771"/>
    <cellStyle name="常规 5 2 6 6 3 4" xfId="5995"/>
    <cellStyle name="常规 5 2 6 6 4" xfId="31616"/>
    <cellStyle name="常规 5 2 6 6 4 2" xfId="31617"/>
    <cellStyle name="常规 5 2 6 6 5" xfId="31618"/>
    <cellStyle name="常规 5 2 6 6 6" xfId="31620"/>
    <cellStyle name="常规 5 2 6 7" xfId="31621"/>
    <cellStyle name="常规 5 2 6 7 2" xfId="31622"/>
    <cellStyle name="常规 5 2 6 7 2 2" xfId="31623"/>
    <cellStyle name="常规 5 2 6 7 2 2 2" xfId="31625"/>
    <cellStyle name="常规 5 2 6 7 2 3" xfId="29789"/>
    <cellStyle name="常规 5 2 6 7 2 4" xfId="29793"/>
    <cellStyle name="常规 5 2 6 7 3" xfId="3364"/>
    <cellStyle name="常规 5 2 6 7 3 2" xfId="31626"/>
    <cellStyle name="常规 5 2 6 7 4" xfId="31627"/>
    <cellStyle name="常规 5 2 6 7 5" xfId="31628"/>
    <cellStyle name="常规 5 2 6 8" xfId="22972"/>
    <cellStyle name="常规 5 2 6 8 2" xfId="18647"/>
    <cellStyle name="常规 5 2 6 8 2 2" xfId="31629"/>
    <cellStyle name="常规 5 2 6 8 3" xfId="18651"/>
    <cellStyle name="常规 5 2 6 8 4" xfId="31630"/>
    <cellStyle name="常规 5 2 6 9" xfId="22974"/>
    <cellStyle name="常规 5 2 6 9 2" xfId="18661"/>
    <cellStyle name="常规 5 2 7" xfId="31632"/>
    <cellStyle name="常规 5 2 7 10" xfId="3233"/>
    <cellStyle name="常规 5 2 7 2" xfId="31633"/>
    <cellStyle name="常规 5 2 7 2 2" xfId="12143"/>
    <cellStyle name="常规 5 2 7 2 2 2" xfId="31634"/>
    <cellStyle name="常规 5 2 7 2 2 2 2" xfId="31635"/>
    <cellStyle name="常规 5 2 7 2 2 2 2 2" xfId="31636"/>
    <cellStyle name="常规 5 2 7 2 2 2 2 2 2" xfId="31639"/>
    <cellStyle name="常规 5 2 7 2 2 2 2 2 2 2" xfId="31641"/>
    <cellStyle name="常规 5 2 7 2 2 2 2 2 2 2 2" xfId="31642"/>
    <cellStyle name="常规 5 2 7 2 2 2 2 2 2 3" xfId="31643"/>
    <cellStyle name="常规 5 2 7 2 2 2 2 2 2 4" xfId="31644"/>
    <cellStyle name="常规 5 2 7 2 2 2 2 2 3" xfId="31647"/>
    <cellStyle name="常规 5 2 7 2 2 2 2 2 3 2" xfId="10384"/>
    <cellStyle name="常规 5 2 7 2 2 2 2 2 4" xfId="31649"/>
    <cellStyle name="常规 5 2 7 2 2 2 2 2 5" xfId="31650"/>
    <cellStyle name="常规 5 2 7 2 2 2 2 3" xfId="31651"/>
    <cellStyle name="常规 5 2 7 2 2 2 2 3 2" xfId="31654"/>
    <cellStyle name="常规 5 2 7 2 2 2 2 3 2 2" xfId="31655"/>
    <cellStyle name="常规 5 2 7 2 2 2 2 3 3" xfId="31657"/>
    <cellStyle name="常规 5 2 7 2 2 2 2 3 4" xfId="31658"/>
    <cellStyle name="常规 5 2 7 2 2 2 2 4" xfId="5792"/>
    <cellStyle name="常规 5 2 7 2 2 2 2 4 2" xfId="31660"/>
    <cellStyle name="常规 5 2 7 2 2 2 2 5" xfId="31661"/>
    <cellStyle name="常规 5 2 7 2 2 2 2 6" xfId="31662"/>
    <cellStyle name="常规 5 2 7 2 2 2 3" xfId="21459"/>
    <cellStyle name="常规 5 2 7 2 2 2 3 2" xfId="21461"/>
    <cellStyle name="常规 5 2 7 2 2 2 3 2 2" xfId="23557"/>
    <cellStyle name="常规 5 2 7 2 2 2 3 2 2 2" xfId="31663"/>
    <cellStyle name="常规 5 2 7 2 2 2 3 2 3" xfId="31665"/>
    <cellStyle name="常规 5 2 7 2 2 2 3 2 4" xfId="31666"/>
    <cellStyle name="常规 5 2 7 2 2 2 3 3" xfId="31667"/>
    <cellStyle name="常规 5 2 7 2 2 2 3 3 2" xfId="31668"/>
    <cellStyle name="常规 5 2 7 2 2 2 3 4" xfId="31669"/>
    <cellStyle name="常规 5 2 7 2 2 2 3 5" xfId="31670"/>
    <cellStyle name="常规 5 2 7 2 2 2 4" xfId="21464"/>
    <cellStyle name="常规 5 2 7 2 2 2 4 2" xfId="31671"/>
    <cellStyle name="常规 5 2 7 2 2 2 4 2 2" xfId="31672"/>
    <cellStyle name="常规 5 2 7 2 2 2 4 3" xfId="31673"/>
    <cellStyle name="常规 5 2 7 2 2 2 4 4" xfId="31674"/>
    <cellStyle name="常规 5 2 7 2 2 2 5" xfId="21466"/>
    <cellStyle name="常规 5 2 7 2 2 2 5 2" xfId="31675"/>
    <cellStyle name="常规 5 2 7 2 2 2 6" xfId="27455"/>
    <cellStyle name="常规 5 2 7 2 2 2 7" xfId="27459"/>
    <cellStyle name="常规 5 2 7 2 2 3" xfId="31676"/>
    <cellStyle name="常规 5 2 7 2 2 3 2" xfId="10535"/>
    <cellStyle name="常规 5 2 7 2 2 3 2 2" xfId="10539"/>
    <cellStyle name="常规 5 2 7 2 2 3 2 2 2" xfId="10544"/>
    <cellStyle name="常规 5 2 7 2 2 3 2 2 2 2" xfId="28363"/>
    <cellStyle name="常规 5 2 7 2 2 3 2 2 3" xfId="28366"/>
    <cellStyle name="常规 5 2 7 2 2 3 2 2 4" xfId="28368"/>
    <cellStyle name="常规 5 2 7 2 2 3 2 3" xfId="10547"/>
    <cellStyle name="常规 5 2 7 2 2 3 2 3 2" xfId="28370"/>
    <cellStyle name="常规 5 2 7 2 2 3 2 4" xfId="10550"/>
    <cellStyle name="常规 5 2 7 2 2 3 2 5" xfId="28372"/>
    <cellStyle name="常规 5 2 7 2 2 3 3" xfId="10556"/>
    <cellStyle name="常规 5 2 7 2 2 3 3 2" xfId="8490"/>
    <cellStyle name="常规 5 2 7 2 2 3 3 2 2" xfId="28374"/>
    <cellStyle name="常规 5 2 7 2 2 3 3 3" xfId="28376"/>
    <cellStyle name="常规 5 2 7 2 2 3 3 4" xfId="28378"/>
    <cellStyle name="常规 5 2 7 2 2 3 4" xfId="10561"/>
    <cellStyle name="常规 5 2 7 2 2 3 4 2" xfId="28380"/>
    <cellStyle name="常规 5 2 7 2 2 3 5" xfId="3039"/>
    <cellStyle name="常规 5 2 7 2 2 3 6" xfId="27469"/>
    <cellStyle name="常规 5 2 7 2 2 4" xfId="31677"/>
    <cellStyle name="常规 5 2 7 2 2 4 2" xfId="10611"/>
    <cellStyle name="常规 5 2 7 2 2 4 2 2" xfId="10614"/>
    <cellStyle name="常规 5 2 7 2 2 4 2 2 2" xfId="22401"/>
    <cellStyle name="常规 5 2 7 2 2 4 2 3" xfId="28386"/>
    <cellStyle name="常规 5 2 7 2 2 4 2 4" xfId="28388"/>
    <cellStyle name="常规 5 2 7 2 2 4 3" xfId="10618"/>
    <cellStyle name="常规 5 2 7 2 2 4 3 2" xfId="28390"/>
    <cellStyle name="常规 5 2 7 2 2 4 4" xfId="10621"/>
    <cellStyle name="常规 5 2 7 2 2 4 5" xfId="28393"/>
    <cellStyle name="常规 5 2 7 2 2 5" xfId="31678"/>
    <cellStyle name="常规 5 2 7 2 2 5 2" xfId="10648"/>
    <cellStyle name="常规 5 2 7 2 2 5 2 2" xfId="4748"/>
    <cellStyle name="常规 5 2 7 2 2 5 3" xfId="10651"/>
    <cellStyle name="常规 5 2 7 2 2 5 4" xfId="28398"/>
    <cellStyle name="常规 5 2 7 2 2 6" xfId="31679"/>
    <cellStyle name="常规 5 2 7 2 2 6 2" xfId="10667"/>
    <cellStyle name="常规 5 2 7 2 2 7" xfId="31680"/>
    <cellStyle name="常规 5 2 7 2 2 8" xfId="18255"/>
    <cellStyle name="常规 5 2 7 2 3" xfId="12147"/>
    <cellStyle name="常规 5 2 7 2 3 2" xfId="31681"/>
    <cellStyle name="常规 5 2 7 2 3 2 2" xfId="31682"/>
    <cellStyle name="常规 5 2 7 2 3 2 2 2" xfId="16966"/>
    <cellStyle name="常规 5 2 7 2 3 2 2 2 2" xfId="31683"/>
    <cellStyle name="常规 5 2 7 2 3 2 2 2 2 2" xfId="31684"/>
    <cellStyle name="常规 5 2 7 2 3 2 2 2 3" xfId="31685"/>
    <cellStyle name="常规 5 2 7 2 3 2 2 2 4" xfId="29433"/>
    <cellStyle name="常规 5 2 7 2 3 2 2 3" xfId="31686"/>
    <cellStyle name="常规 5 2 7 2 3 2 2 3 2" xfId="31687"/>
    <cellStyle name="常规 5 2 7 2 3 2 2 4" xfId="31688"/>
    <cellStyle name="常规 5 2 7 2 3 2 2 5" xfId="31689"/>
    <cellStyle name="常规 5 2 7 2 3 2 3" xfId="21511"/>
    <cellStyle name="常规 5 2 7 2 3 2 3 2" xfId="31690"/>
    <cellStyle name="常规 5 2 7 2 3 2 3 2 2" xfId="31691"/>
    <cellStyle name="常规 5 2 7 2 3 2 3 3" xfId="31692"/>
    <cellStyle name="常规 5 2 7 2 3 2 3 4" xfId="31693"/>
    <cellStyle name="常规 5 2 7 2 3 2 4" xfId="31694"/>
    <cellStyle name="常规 5 2 7 2 3 2 4 2" xfId="31695"/>
    <cellStyle name="常规 5 2 7 2 3 2 5" xfId="31393"/>
    <cellStyle name="常规 5 2 7 2 3 2 6" xfId="27484"/>
    <cellStyle name="常规 5 2 7 2 3 3" xfId="31696"/>
    <cellStyle name="常规 5 2 7 2 3 3 2" xfId="10818"/>
    <cellStyle name="常规 5 2 7 2 3 3 2 2" xfId="2252"/>
    <cellStyle name="常规 5 2 7 2 3 3 2 2 2" xfId="10821"/>
    <cellStyle name="常规 5 2 7 2 3 3 2 3" xfId="2259"/>
    <cellStyle name="常规 5 2 7 2 3 3 2 4" xfId="4152"/>
    <cellStyle name="常规 5 2 7 2 3 3 3" xfId="10826"/>
    <cellStyle name="常规 5 2 7 2 3 3 3 2" xfId="10829"/>
    <cellStyle name="常规 5 2 7 2 3 3 4" xfId="10832"/>
    <cellStyle name="常规 5 2 7 2 3 3 5" xfId="10835"/>
    <cellStyle name="常规 5 2 7 2 3 4" xfId="31697"/>
    <cellStyle name="常规 5 2 7 2 3 4 2" xfId="3781"/>
    <cellStyle name="常规 5 2 7 2 3 4 2 2" xfId="10910"/>
    <cellStyle name="常规 5 2 7 2 3 4 3" xfId="10913"/>
    <cellStyle name="常规 5 2 7 2 3 4 4" xfId="10916"/>
    <cellStyle name="常规 5 2 7 2 3 5" xfId="31698"/>
    <cellStyle name="常规 5 2 7 2 3 5 2" xfId="10948"/>
    <cellStyle name="常规 5 2 7 2 3 6" xfId="31699"/>
    <cellStyle name="常规 5 2 7 2 3 7" xfId="31700"/>
    <cellStyle name="常规 5 2 7 2 4" xfId="31701"/>
    <cellStyle name="常规 5 2 7 2 4 2" xfId="20439"/>
    <cellStyle name="常规 5 2 7 2 4 2 2" xfId="24319"/>
    <cellStyle name="常规 5 2 7 2 4 2 2 2" xfId="30878"/>
    <cellStyle name="常规 5 2 7 2 4 2 2 2 2" xfId="31702"/>
    <cellStyle name="常规 5 2 7 2 4 2 2 3" xfId="30880"/>
    <cellStyle name="常规 5 2 7 2 4 2 2 4" xfId="31703"/>
    <cellStyle name="常规 5 2 7 2 4 2 3" xfId="31704"/>
    <cellStyle name="常规 5 2 7 2 4 2 3 2" xfId="30901"/>
    <cellStyle name="常规 5 2 7 2 4 2 4" xfId="31705"/>
    <cellStyle name="常规 5 2 7 2 4 2 5" xfId="31706"/>
    <cellStyle name="常规 5 2 7 2 4 3" xfId="31707"/>
    <cellStyle name="常规 5 2 7 2 4 3 2" xfId="11081"/>
    <cellStyle name="常规 5 2 7 2 4 3 2 2" xfId="11085"/>
    <cellStyle name="常规 5 2 7 2 4 3 3" xfId="11090"/>
    <cellStyle name="常规 5 2 7 2 4 3 4" xfId="11094"/>
    <cellStyle name="常规 5 2 7 2 4 4" xfId="20824"/>
    <cellStyle name="常规 5 2 7 2 4 4 2" xfId="11139"/>
    <cellStyle name="常规 5 2 7 2 4 5" xfId="31708"/>
    <cellStyle name="常规 5 2 7 2 4 6" xfId="31709"/>
    <cellStyle name="常规 5 2 7 2 5" xfId="31710"/>
    <cellStyle name="常规 5 2 7 2 5 2" xfId="31711"/>
    <cellStyle name="常规 5 2 7 2 5 2 2" xfId="31712"/>
    <cellStyle name="常规 5 2 7 2 5 2 2 2" xfId="30967"/>
    <cellStyle name="常规 5 2 7 2 5 2 3" xfId="31713"/>
    <cellStyle name="常规 5 2 7 2 5 2 4" xfId="31714"/>
    <cellStyle name="常规 5 2 7 2 5 3" xfId="31715"/>
    <cellStyle name="常规 5 2 7 2 5 3 2" xfId="11230"/>
    <cellStyle name="常规 5 2 7 2 5 4" xfId="31716"/>
    <cellStyle name="常规 5 2 7 2 5 5" xfId="17688"/>
    <cellStyle name="常规 5 2 7 2 6" xfId="31717"/>
    <cellStyle name="常规 5 2 7 2 6 2" xfId="3431"/>
    <cellStyle name="常规 5 2 7 2 6 2 2" xfId="2866"/>
    <cellStyle name="常规 5 2 7 2 6 3" xfId="3447"/>
    <cellStyle name="常规 5 2 7 2 6 4" xfId="3452"/>
    <cellStyle name="常规 5 2 7 2 7" xfId="31718"/>
    <cellStyle name="常规 5 2 7 2 7 2" xfId="3399"/>
    <cellStyle name="常规 5 2 7 2 8" xfId="31719"/>
    <cellStyle name="常规 5 2 7 2 9" xfId="31720"/>
    <cellStyle name="常规 5 2 7 3" xfId="31722"/>
    <cellStyle name="常规 5 2 7 3 2" xfId="17695"/>
    <cellStyle name="常规 5 2 7 3 2 2" xfId="31724"/>
    <cellStyle name="常规 5 2 7 3 2 2 2" xfId="31725"/>
    <cellStyle name="常规 5 2 7 3 2 2 2 2" xfId="31726"/>
    <cellStyle name="常规 5 2 7 3 2 2 2 2 2" xfId="31727"/>
    <cellStyle name="常规 5 2 7 3 2 2 2 2 2 2" xfId="28855"/>
    <cellStyle name="常规 5 2 7 3 2 2 2 2 3" xfId="31728"/>
    <cellStyle name="常规 5 2 7 3 2 2 2 2 4" xfId="31729"/>
    <cellStyle name="常规 5 2 7 3 2 2 2 3" xfId="31730"/>
    <cellStyle name="常规 5 2 7 3 2 2 2 3 2" xfId="29212"/>
    <cellStyle name="常规 5 2 7 3 2 2 2 4" xfId="31731"/>
    <cellStyle name="常规 5 2 7 3 2 2 2 5" xfId="31732"/>
    <cellStyle name="常规 5 2 7 3 2 2 3" xfId="21615"/>
    <cellStyle name="常规 5 2 7 3 2 2 3 2" xfId="31733"/>
    <cellStyle name="常规 5 2 7 3 2 2 3 2 2" xfId="31734"/>
    <cellStyle name="常规 5 2 7 3 2 2 3 3" xfId="31735"/>
    <cellStyle name="常规 5 2 7 3 2 2 3 4" xfId="31736"/>
    <cellStyle name="常规 5 2 7 3 2 2 4" xfId="31737"/>
    <cellStyle name="常规 5 2 7 3 2 2 4 2" xfId="31738"/>
    <cellStyle name="常规 5 2 7 3 2 2 5" xfId="31739"/>
    <cellStyle name="常规 5 2 7 3 2 2 6" xfId="27502"/>
    <cellStyle name="常规 5 2 7 3 2 3" xfId="29807"/>
    <cellStyle name="常规 5 2 7 3 2 3 2" xfId="11600"/>
    <cellStyle name="常规 5 2 7 3 2 3 2 2" xfId="11605"/>
    <cellStyle name="常规 5 2 7 3 2 3 2 2 2" xfId="11609"/>
    <cellStyle name="常规 5 2 7 3 2 3 2 3" xfId="11613"/>
    <cellStyle name="常规 5 2 7 3 2 3 2 4" xfId="11617"/>
    <cellStyle name="常规 5 2 7 3 2 3 3" xfId="11622"/>
    <cellStyle name="常规 5 2 7 3 2 3 3 2" xfId="11626"/>
    <cellStyle name="常规 5 2 7 3 2 3 4" xfId="11631"/>
    <cellStyle name="常规 5 2 7 3 2 3 5" xfId="11635"/>
    <cellStyle name="常规 5 2 7 3 2 4" xfId="29821"/>
    <cellStyle name="常规 5 2 7 3 2 4 2" xfId="11731"/>
    <cellStyle name="常规 5 2 7 3 2 4 2 2" xfId="11736"/>
    <cellStyle name="常规 5 2 7 3 2 4 3" xfId="11743"/>
    <cellStyle name="常规 5 2 7 3 2 4 4" xfId="11749"/>
    <cellStyle name="常规 5 2 7 3 2 5" xfId="29830"/>
    <cellStyle name="常规 5 2 7 3 2 5 2" xfId="11772"/>
    <cellStyle name="常规 5 2 7 3 2 6" xfId="29836"/>
    <cellStyle name="常规 5 2 7 3 2 7" xfId="29838"/>
    <cellStyle name="常规 5 2 7 3 3" xfId="17698"/>
    <cellStyle name="常规 5 2 7 3 3 2" xfId="31740"/>
    <cellStyle name="常规 5 2 7 3 3 2 2" xfId="31741"/>
    <cellStyle name="常规 5 2 7 3 3 2 2 2" xfId="31742"/>
    <cellStyle name="常规 5 2 7 3 3 2 2 2 2" xfId="31744"/>
    <cellStyle name="常规 5 2 7 3 3 2 2 3" xfId="31745"/>
    <cellStyle name="常规 5 2 7 3 3 2 2 4" xfId="31746"/>
    <cellStyle name="常规 5 2 7 3 3 2 3" xfId="31747"/>
    <cellStyle name="常规 5 2 7 3 3 2 3 2" xfId="31748"/>
    <cellStyle name="常规 5 2 7 3 3 2 4" xfId="31749"/>
    <cellStyle name="常规 5 2 7 3 3 2 5" xfId="31750"/>
    <cellStyle name="常规 5 2 7 3 3 3" xfId="29842"/>
    <cellStyle name="常规 5 2 7 3 3 3 2" xfId="11875"/>
    <cellStyle name="常规 5 2 7 3 3 3 2 2" xfId="11879"/>
    <cellStyle name="常规 5 2 7 3 3 3 3" xfId="11884"/>
    <cellStyle name="常规 5 2 7 3 3 3 4" xfId="11888"/>
    <cellStyle name="常规 5 2 7 3 3 4" xfId="29849"/>
    <cellStyle name="常规 5 2 7 3 3 4 2" xfId="11935"/>
    <cellStyle name="常规 5 2 7 3 3 5" xfId="29855"/>
    <cellStyle name="常规 5 2 7 3 3 6" xfId="29857"/>
    <cellStyle name="常规 5 2 7 3 4" xfId="15938"/>
    <cellStyle name="常规 5 2 7 3 4 2" xfId="17855"/>
    <cellStyle name="常规 5 2 7 3 4 2 2" xfId="17857"/>
    <cellStyle name="常规 5 2 7 3 4 2 2 2" xfId="17861"/>
    <cellStyle name="常规 5 2 7 3 4 2 3" xfId="17864"/>
    <cellStyle name="常规 5 2 7 3 4 2 4" xfId="17866"/>
    <cellStyle name="常规 5 2 7 3 4 3" xfId="17868"/>
    <cellStyle name="常规 5 2 7 3 4 3 2" xfId="12033"/>
    <cellStyle name="常规 5 2 7 3 4 4" xfId="17871"/>
    <cellStyle name="常规 5 2 7 3 4 5" xfId="17874"/>
    <cellStyle name="常规 5 2 7 3 5" xfId="17877"/>
    <cellStyle name="常规 5 2 7 3 5 2" xfId="17880"/>
    <cellStyle name="常规 5 2 7 3 5 2 2" xfId="17883"/>
    <cellStyle name="常规 5 2 7 3 5 3" xfId="17885"/>
    <cellStyle name="常规 5 2 7 3 5 4" xfId="15686"/>
    <cellStyle name="常规 5 2 7 3 6" xfId="17889"/>
    <cellStyle name="常规 5 2 7 3 6 2" xfId="17892"/>
    <cellStyle name="常规 5 2 7 3 7" xfId="17894"/>
    <cellStyle name="常规 5 2 7 3 8" xfId="17897"/>
    <cellStyle name="常规 5 2 7 4" xfId="31752"/>
    <cellStyle name="常规 5 2 7 4 2" xfId="31754"/>
    <cellStyle name="常规 5 2 7 4 2 2" xfId="31755"/>
    <cellStyle name="常规 5 2 7 4 2 2 2" xfId="31756"/>
    <cellStyle name="常规 5 2 7 4 2 2 2 2" xfId="31757"/>
    <cellStyle name="常规 5 2 7 4 2 2 2 2 2" xfId="31759"/>
    <cellStyle name="常规 5 2 7 4 2 2 2 3" xfId="31760"/>
    <cellStyle name="常规 5 2 7 4 2 2 2 4" xfId="31761"/>
    <cellStyle name="常规 5 2 7 4 2 2 3" xfId="31762"/>
    <cellStyle name="常规 5 2 7 4 2 2 3 2" xfId="31763"/>
    <cellStyle name="常规 5 2 7 4 2 2 4" xfId="31764"/>
    <cellStyle name="常规 5 2 7 4 2 2 5" xfId="31766"/>
    <cellStyle name="常规 5 2 7 4 2 3" xfId="29867"/>
    <cellStyle name="常规 5 2 7 4 2 3 2" xfId="12349"/>
    <cellStyle name="常规 5 2 7 4 2 3 2 2" xfId="28475"/>
    <cellStyle name="常规 5 2 7 4 2 3 3" xfId="12355"/>
    <cellStyle name="常规 5 2 7 4 2 3 4" xfId="28480"/>
    <cellStyle name="常规 5 2 7 4 2 4" xfId="29881"/>
    <cellStyle name="常规 5 2 7 4 2 4 2" xfId="12373"/>
    <cellStyle name="常规 5 2 7 4 2 5" xfId="29889"/>
    <cellStyle name="常规 5 2 7 4 2 6" xfId="29894"/>
    <cellStyle name="常规 5 2 7 4 3" xfId="31767"/>
    <cellStyle name="常规 5 2 7 4 3 2" xfId="31768"/>
    <cellStyle name="常规 5 2 7 4 3 2 2" xfId="31769"/>
    <cellStyle name="常规 5 2 7 4 3 2 2 2" xfId="31770"/>
    <cellStyle name="常规 5 2 7 4 3 2 3" xfId="31771"/>
    <cellStyle name="常规 5 2 7 4 3 2 4" xfId="31772"/>
    <cellStyle name="常规 5 2 7 4 3 3" xfId="29901"/>
    <cellStyle name="常规 5 2 7 4 3 3 2" xfId="12402"/>
    <cellStyle name="常规 5 2 7 4 3 4" xfId="29909"/>
    <cellStyle name="常规 5 2 7 4 3 5" xfId="29914"/>
    <cellStyle name="常规 5 2 7 4 4" xfId="17899"/>
    <cellStyle name="常规 5 2 7 4 4 2" xfId="17901"/>
    <cellStyle name="常规 5 2 7 4 4 2 2" xfId="17903"/>
    <cellStyle name="常规 5 2 7 4 4 3" xfId="17905"/>
    <cellStyle name="常规 5 2 7 4 4 4" xfId="17909"/>
    <cellStyle name="常规 5 2 7 4 5" xfId="17913"/>
    <cellStyle name="常规 5 2 7 4 5 2" xfId="17916"/>
    <cellStyle name="常规 5 2 7 4 6" xfId="17919"/>
    <cellStyle name="常规 5 2 7 4 7" xfId="17922"/>
    <cellStyle name="常规 5 2 7 5" xfId="31774"/>
    <cellStyle name="常规 5 2 7 5 2" xfId="31775"/>
    <cellStyle name="常规 5 2 7 5 2 2" xfId="31776"/>
    <cellStyle name="常规 5 2 7 5 2 2 2" xfId="5971"/>
    <cellStyle name="常规 5 2 7 5 2 2 2 2" xfId="21741"/>
    <cellStyle name="常规 5 2 7 5 2 2 3" xfId="31777"/>
    <cellStyle name="常规 5 2 7 5 2 2 4" xfId="31778"/>
    <cellStyle name="常规 5 2 7 5 2 3" xfId="29928"/>
    <cellStyle name="常规 5 2 7 5 2 3 2" xfId="12626"/>
    <cellStyle name="常规 5 2 7 5 2 4" xfId="29935"/>
    <cellStyle name="常规 5 2 7 5 2 5" xfId="5175"/>
    <cellStyle name="常规 5 2 7 5 3" xfId="31779"/>
    <cellStyle name="常规 5 2 7 5 3 2" xfId="7761"/>
    <cellStyle name="常规 5 2 7 5 3 2 2" xfId="7764"/>
    <cellStyle name="常规 5 2 7 5 3 3" xfId="7776"/>
    <cellStyle name="常规 5 2 7 5 3 4" xfId="2966"/>
    <cellStyle name="常规 5 2 7 5 4" xfId="17924"/>
    <cellStyle name="常规 5 2 7 5 4 2" xfId="7791"/>
    <cellStyle name="常规 5 2 7 5 5" xfId="17926"/>
    <cellStyle name="常规 5 2 7 5 6" xfId="17929"/>
    <cellStyle name="常规 5 2 7 6" xfId="31781"/>
    <cellStyle name="常规 5 2 7 6 2" xfId="31782"/>
    <cellStyle name="常规 5 2 7 6 2 2" xfId="31783"/>
    <cellStyle name="常规 5 2 7 6 2 2 2" xfId="16290"/>
    <cellStyle name="常规 5 2 7 6 2 3" xfId="29946"/>
    <cellStyle name="常规 5 2 7 6 2 4" xfId="29950"/>
    <cellStyle name="常规 5 2 7 6 3" xfId="31784"/>
    <cellStyle name="常规 5 2 7 6 3 2" xfId="6072"/>
    <cellStyle name="常规 5 2 7 6 4" xfId="17932"/>
    <cellStyle name="常规 5 2 7 6 5" xfId="31785"/>
    <cellStyle name="常规 5 2 7 7" xfId="31786"/>
    <cellStyle name="常规 5 2 7 7 2" xfId="31787"/>
    <cellStyle name="常规 5 2 7 7 2 2" xfId="31788"/>
    <cellStyle name="常规 5 2 7 7 3" xfId="31789"/>
    <cellStyle name="常规 5 2 7 7 4" xfId="31790"/>
    <cellStyle name="常规 5 2 7 8" xfId="22978"/>
    <cellStyle name="常规 5 2 7 8 2" xfId="18686"/>
    <cellStyle name="常规 5 2 7 9" xfId="31791"/>
    <cellStyle name="常规 5 2 8" xfId="20909"/>
    <cellStyle name="常规 5 2 8 2" xfId="31792"/>
    <cellStyle name="常规 5 2 8 2 2" xfId="31795"/>
    <cellStyle name="常规 5 2 8 2 2 2" xfId="31797"/>
    <cellStyle name="常规 5 2 8 2 2 2 2" xfId="31799"/>
    <cellStyle name="常规 5 2 8 2 2 2 2 2" xfId="31801"/>
    <cellStyle name="常规 5 2 8 2 2 2 2 2 2" xfId="4571"/>
    <cellStyle name="常规 5 2 8 2 2 2 2 3" xfId="31803"/>
    <cellStyle name="常规 5 2 8 2 2 2 2 4" xfId="31806"/>
    <cellStyle name="常规 5 2 8 2 2 2 3" xfId="31808"/>
    <cellStyle name="常规 5 2 8 2 2 2 3 2" xfId="31810"/>
    <cellStyle name="常规 5 2 8 2 2 2 4" xfId="31812"/>
    <cellStyle name="常规 5 2 8 2 2 2 5" xfId="31814"/>
    <cellStyle name="常规 5 2 8 2 2 3" xfId="31816"/>
    <cellStyle name="常规 5 2 8 2 2 3 2" xfId="13417"/>
    <cellStyle name="常规 5 2 8 2 2 3 2 2" xfId="13425"/>
    <cellStyle name="常规 5 2 8 2 2 3 3" xfId="13436"/>
    <cellStyle name="常规 5 2 8 2 2 3 4" xfId="13444"/>
    <cellStyle name="常规 5 2 8 2 2 4" xfId="31818"/>
    <cellStyle name="常规 5 2 8 2 2 4 2" xfId="2044"/>
    <cellStyle name="常规 5 2 8 2 2 5" xfId="31820"/>
    <cellStyle name="常规 5 2 8 2 2 6" xfId="31822"/>
    <cellStyle name="常规 5 2 8 2 3" xfId="31823"/>
    <cellStyle name="常规 5 2 8 2 3 2" xfId="31825"/>
    <cellStyle name="常规 5 2 8 2 3 2 2" xfId="31827"/>
    <cellStyle name="常规 5 2 8 2 3 2 2 2" xfId="31829"/>
    <cellStyle name="常规 5 2 8 2 3 2 3" xfId="31831"/>
    <cellStyle name="常规 5 2 8 2 3 2 4" xfId="31833"/>
    <cellStyle name="常规 5 2 8 2 3 3" xfId="31835"/>
    <cellStyle name="常规 5 2 8 2 3 3 2" xfId="13600"/>
    <cellStyle name="常规 5 2 8 2 3 4" xfId="31837"/>
    <cellStyle name="常规 5 2 8 2 3 5" xfId="31839"/>
    <cellStyle name="常规 5 2 8 2 4" xfId="31840"/>
    <cellStyle name="常规 5 2 8 2 4 2" xfId="31842"/>
    <cellStyle name="常规 5 2 8 2 4 2 2" xfId="31844"/>
    <cellStyle name="常规 5 2 8 2 4 3" xfId="31846"/>
    <cellStyle name="常规 5 2 8 2 4 4" xfId="31848"/>
    <cellStyle name="常规 5 2 8 2 5" xfId="31849"/>
    <cellStyle name="常规 5 2 8 2 5 2" xfId="31851"/>
    <cellStyle name="常规 5 2 8 2 6" xfId="31852"/>
    <cellStyle name="常规 5 2 8 2 7" xfId="31853"/>
    <cellStyle name="常规 5 2 8 3" xfId="31855"/>
    <cellStyle name="常规 5 2 8 3 2" xfId="31857"/>
    <cellStyle name="常规 5 2 8 3 2 2" xfId="24855"/>
    <cellStyle name="常规 5 2 8 3 2 2 2" xfId="24860"/>
    <cellStyle name="常规 5 2 8 3 2 2 2 2" xfId="24864"/>
    <cellStyle name="常规 5 2 8 3 2 2 3" xfId="22387"/>
    <cellStyle name="常规 5 2 8 3 2 2 4" xfId="24872"/>
    <cellStyle name="常规 5 2 8 3 2 3" xfId="23859"/>
    <cellStyle name="常规 5 2 8 3 2 3 2" xfId="13942"/>
    <cellStyle name="常规 5 2 8 3 2 4" xfId="24884"/>
    <cellStyle name="常规 5 2 8 3 2 5" xfId="24889"/>
    <cellStyle name="常规 5 2 8 3 3" xfId="4599"/>
    <cellStyle name="常规 5 2 8 3 3 2" xfId="4604"/>
    <cellStyle name="常规 5 2 8 3 3 2 2" xfId="25067"/>
    <cellStyle name="常规 5 2 8 3 3 3" xfId="25076"/>
    <cellStyle name="常规 5 2 8 3 3 4" xfId="25087"/>
    <cellStyle name="常规 5 2 8 3 4" xfId="4609"/>
    <cellStyle name="常规 5 2 8 3 4 2" xfId="17937"/>
    <cellStyle name="常规 5 2 8 3 5" xfId="4614"/>
    <cellStyle name="常规 5 2 8 3 6" xfId="17953"/>
    <cellStyle name="常规 5 2 8 4" xfId="31859"/>
    <cellStyle name="常规 5 2 8 4 2" xfId="31860"/>
    <cellStyle name="常规 5 2 8 4 2 2" xfId="25437"/>
    <cellStyle name="常规 5 2 8 4 2 2 2" xfId="18278"/>
    <cellStyle name="常规 5 2 8 4 2 3" xfId="25444"/>
    <cellStyle name="常规 5 2 8 4 2 4" xfId="25451"/>
    <cellStyle name="常规 5 2 8 4 3" xfId="3224"/>
    <cellStyle name="常规 5 2 8 4 3 2" xfId="25508"/>
    <cellStyle name="常规 5 2 8 4 4" xfId="17958"/>
    <cellStyle name="常规 5 2 8 4 5" xfId="17963"/>
    <cellStyle name="常规 5 2 8 5" xfId="31862"/>
    <cellStyle name="常规 5 2 8 5 2" xfId="29604"/>
    <cellStyle name="常规 5 2 8 5 2 2" xfId="25709"/>
    <cellStyle name="常规 5 2 8 5 3" xfId="31863"/>
    <cellStyle name="常规 5 2 8 5 4" xfId="17968"/>
    <cellStyle name="常规 5 2 8 6" xfId="31864"/>
    <cellStyle name="常规 5 2 8 6 2" xfId="14630"/>
    <cellStyle name="常规 5 2 8 7" xfId="31865"/>
    <cellStyle name="常规 5 2 8 8" xfId="31866"/>
    <cellStyle name="常规 5 2 9" xfId="31867"/>
    <cellStyle name="常规 5 2 9 2" xfId="31868"/>
    <cellStyle name="常规 5 2 9 2 2" xfId="31869"/>
    <cellStyle name="常规 5 2 9 2 2 2" xfId="31871"/>
    <cellStyle name="常规 5 2 9 2 2 2 2" xfId="31873"/>
    <cellStyle name="常规 5 2 9 2 2 2 2 2" xfId="31875"/>
    <cellStyle name="常规 5 2 9 2 2 2 3" xfId="31877"/>
    <cellStyle name="常规 5 2 9 2 2 2 4" xfId="22483"/>
    <cellStyle name="常规 5 2 9 2 2 3" xfId="13010"/>
    <cellStyle name="常规 5 2 9 2 2 3 2" xfId="13016"/>
    <cellStyle name="常规 5 2 9 2 2 4" xfId="5"/>
    <cellStyle name="常规 5 2 9 2 2 5" xfId="450"/>
    <cellStyle name="常规 5 2 9 2 3" xfId="31878"/>
    <cellStyle name="常规 5 2 9 2 3 2" xfId="31880"/>
    <cellStyle name="常规 5 2 9 2 3 2 2" xfId="9229"/>
    <cellStyle name="常规 5 2 9 2 3 3" xfId="13027"/>
    <cellStyle name="常规 5 2 9 2 3 4" xfId="464"/>
    <cellStyle name="常规 5 2 9 2 4" xfId="31881"/>
    <cellStyle name="常规 5 2 9 2 4 2" xfId="31883"/>
    <cellStyle name="常规 5 2 9 2 5" xfId="31884"/>
    <cellStyle name="常规 5 2 9 2 6" xfId="31885"/>
    <cellStyle name="常规 5 2 9 3" xfId="10477"/>
    <cellStyle name="常规 5 2 9 3 2" xfId="10479"/>
    <cellStyle name="常规 5 2 9 3 2 2" xfId="26022"/>
    <cellStyle name="常规 5 2 9 3 2 2 2" xfId="26025"/>
    <cellStyle name="常规 5 2 9 3 2 3" xfId="13048"/>
    <cellStyle name="常规 5 2 9 3 2 4" xfId="13061"/>
    <cellStyle name="常规 5 2 9 3 3" xfId="4630"/>
    <cellStyle name="常规 5 2 9 3 3 2" xfId="26076"/>
    <cellStyle name="常规 5 2 9 3 4" xfId="17973"/>
    <cellStyle name="常规 5 2 9 3 5" xfId="17979"/>
    <cellStyle name="常规 5 2 9 4" xfId="10481"/>
    <cellStyle name="常规 5 2 9 4 2" xfId="31886"/>
    <cellStyle name="常规 5 2 9 4 2 2" xfId="26221"/>
    <cellStyle name="常规 5 2 9 4 3" xfId="31888"/>
    <cellStyle name="常规 5 2 9 4 4" xfId="17985"/>
    <cellStyle name="常规 5 2 9 5" xfId="10483"/>
    <cellStyle name="常规 5 2 9 5 2" xfId="31889"/>
    <cellStyle name="常规 5 2 9 6" xfId="31890"/>
    <cellStyle name="常规 5 2 9 7" xfId="31891"/>
    <cellStyle name="常规 5 2_Sheet2" xfId="31892"/>
    <cellStyle name="常规 5 20" xfId="24511"/>
    <cellStyle name="常规 5 3" xfId="1824"/>
    <cellStyle name="常规 5 3 2" xfId="31893"/>
    <cellStyle name="常规 5 3 3" xfId="31894"/>
    <cellStyle name="常规 5 3 4" xfId="31895"/>
    <cellStyle name="常规 5 3_Sheet2" xfId="31897"/>
    <cellStyle name="常规 5 4" xfId="31898"/>
    <cellStyle name="常规 5 4 10" xfId="19992"/>
    <cellStyle name="常规 5 4 10 2" xfId="31899"/>
    <cellStyle name="常规 5 4 10 2 2" xfId="20769"/>
    <cellStyle name="常规 5 4 10 2 2 2" xfId="31900"/>
    <cellStyle name="常规 5 4 10 2 3" xfId="20771"/>
    <cellStyle name="常规 5 4 10 2 4" xfId="31901"/>
    <cellStyle name="常规 5 4 10 3" xfId="31902"/>
    <cellStyle name="常规 5 4 10 3 2" xfId="31903"/>
    <cellStyle name="常规 5 4 10 4" xfId="5526"/>
    <cellStyle name="常规 5 4 10 5" xfId="5559"/>
    <cellStyle name="常规 5 4 11" xfId="31906"/>
    <cellStyle name="常规 5 4 11 2" xfId="31907"/>
    <cellStyle name="常规 5 4 11 2 2" xfId="17553"/>
    <cellStyle name="常规 5 4 11 3" xfId="31908"/>
    <cellStyle name="常规 5 4 11 4" xfId="343"/>
    <cellStyle name="常规 5 4 12" xfId="25756"/>
    <cellStyle name="常规 5 4 12 2" xfId="25758"/>
    <cellStyle name="常规 5 4 13" xfId="25760"/>
    <cellStyle name="常规 5 4 14" xfId="21307"/>
    <cellStyle name="常规 5 4 15" xfId="21310"/>
    <cellStyle name="常规 5 4 16" xfId="21312"/>
    <cellStyle name="常规 5 4 17" xfId="31909"/>
    <cellStyle name="常规 5 4 2" xfId="27458"/>
    <cellStyle name="常规 5 4 2 10" xfId="31911"/>
    <cellStyle name="常规 5 4 2 10 2" xfId="31912"/>
    <cellStyle name="常规 5 4 2 10 2 2" xfId="31913"/>
    <cellStyle name="常规 5 4 2 10 3" xfId="11984"/>
    <cellStyle name="常规 5 4 2 10 4" xfId="12012"/>
    <cellStyle name="常规 5 4 2 11" xfId="31914"/>
    <cellStyle name="常规 5 4 2 11 2" xfId="31915"/>
    <cellStyle name="常规 5 4 2 12" xfId="31916"/>
    <cellStyle name="常规 5 4 2 13" xfId="10079"/>
    <cellStyle name="常规 5 4 2 2" xfId="31917"/>
    <cellStyle name="常规 5 4 2 2 10" xfId="31918"/>
    <cellStyle name="常规 5 4 2 2 10 2" xfId="31919"/>
    <cellStyle name="常规 5 4 2 2 11" xfId="27537"/>
    <cellStyle name="常规 5 4 2 2 12" xfId="27553"/>
    <cellStyle name="常规 5 4 2 2 2" xfId="31920"/>
    <cellStyle name="常规 5 4 2 2 2 10" xfId="18178"/>
    <cellStyle name="常规 5 4 2 2 2 11" xfId="31921"/>
    <cellStyle name="常规 5 4 2 2 2 2" xfId="31922"/>
    <cellStyle name="常规 5 4 2 2 2 2 2" xfId="29063"/>
    <cellStyle name="常规 5 4 2 2 2 2 2 2" xfId="29066"/>
    <cellStyle name="常规 5 4 2 2 2 2 2 2 2" xfId="18288"/>
    <cellStyle name="常规 5 4 2 2 2 2 2 2 2 2" xfId="14223"/>
    <cellStyle name="常规 5 4 2 2 2 2 2 2 2 2 2" xfId="14231"/>
    <cellStyle name="常规 5 4 2 2 2 2 2 2 2 2 2 2" xfId="8402"/>
    <cellStyle name="常规 5 4 2 2 2 2 2 2 2 2 2 2 2" xfId="122"/>
    <cellStyle name="常规 5 4 2 2 2 2 2 2 2 2 2 3" xfId="8404"/>
    <cellStyle name="常规 5 4 2 2 2 2 2 2 2 2 2 4" xfId="8408"/>
    <cellStyle name="常规 5 4 2 2 2 2 2 2 2 2 3" xfId="31923"/>
    <cellStyle name="常规 5 4 2 2 2 2 2 2 2 2 3 2" xfId="8417"/>
    <cellStyle name="常规 5 4 2 2 2 2 2 2 2 2 4" xfId="31924"/>
    <cellStyle name="常规 5 4 2 2 2 2 2 2 2 2 5" xfId="31925"/>
    <cellStyle name="常规 5 4 2 2 2 2 2 2 2 3" xfId="14236"/>
    <cellStyle name="常规 5 4 2 2 2 2 2 2 2 3 2" xfId="30002"/>
    <cellStyle name="常规 5 4 2 2 2 2 2 2 2 3 2 2" xfId="8687"/>
    <cellStyle name="常规 5 4 2 2 2 2 2 2 2 3 3" xfId="30022"/>
    <cellStyle name="常规 5 4 2 2 2 2 2 2 2 3 4" xfId="30024"/>
    <cellStyle name="常规 5 4 2 2 2 2 2 2 2 4" xfId="14242"/>
    <cellStyle name="常规 5 4 2 2 2 2 2 2 2 4 2" xfId="30026"/>
    <cellStyle name="常规 5 4 2 2 2 2 2 2 2 5" xfId="5876"/>
    <cellStyle name="常规 5 4 2 2 2 2 2 2 2 6" xfId="30030"/>
    <cellStyle name="常规 5 4 2 2 2 2 2 2 3" xfId="18292"/>
    <cellStyle name="常规 5 4 2 2 2 2 2 2 3 2" xfId="14259"/>
    <cellStyle name="常规 5 4 2 2 2 2 2 2 3 2 2" xfId="31926"/>
    <cellStyle name="常规 5 4 2 2 2 2 2 2 3 2 2 2" xfId="9203"/>
    <cellStyle name="常规 5 4 2 2 2 2 2 2 3 2 3" xfId="31927"/>
    <cellStyle name="常规 5 4 2 2 2 2 2 2 3 2 4" xfId="31928"/>
    <cellStyle name="常规 5 4 2 2 2 2 2 2 3 3" xfId="14265"/>
    <cellStyle name="常规 5 4 2 2 2 2 2 2 3 3 2" xfId="30031"/>
    <cellStyle name="常规 5 4 2 2 2 2 2 2 3 4" xfId="30033"/>
    <cellStyle name="常规 5 4 2 2 2 2 2 2 3 5" xfId="30036"/>
    <cellStyle name="常规 5 4 2 2 2 2 2 2 4" xfId="18296"/>
    <cellStyle name="常规 5 4 2 2 2 2 2 2 4 2" xfId="14274"/>
    <cellStyle name="常规 5 4 2 2 2 2 2 2 4 2 2" xfId="31929"/>
    <cellStyle name="常规 5 4 2 2 2 2 2 2 4 3" xfId="30038"/>
    <cellStyle name="常规 5 4 2 2 2 2 2 2 4 4" xfId="31931"/>
    <cellStyle name="常规 5 4 2 2 2 2 2 2 5" xfId="9256"/>
    <cellStyle name="常规 5 4 2 2 2 2 2 2 5 2" xfId="9259"/>
    <cellStyle name="常规 5 4 2 2 2 2 2 2 6" xfId="9316"/>
    <cellStyle name="常规 5 4 2 2 2 2 2 2 7" xfId="9347"/>
    <cellStyle name="常规 5 4 2 2 2 2 2 3" xfId="18933"/>
    <cellStyle name="常规 5 4 2 2 2 2 2 3 2" xfId="18307"/>
    <cellStyle name="常规 5 4 2 2 2 2 2 3 2 2" xfId="9025"/>
    <cellStyle name="常规 5 4 2 2 2 2 2 3 2 2 2" xfId="18937"/>
    <cellStyle name="常规 5 4 2 2 2 2 2 3 2 2 2 2" xfId="29138"/>
    <cellStyle name="常规 5 4 2 2 2 2 2 3 2 2 3" xfId="17634"/>
    <cellStyle name="常规 5 4 2 2 2 2 2 3 2 2 4" xfId="17637"/>
    <cellStyle name="常规 5 4 2 2 2 2 2 3 2 3" xfId="9030"/>
    <cellStyle name="常规 5 4 2 2 2 2 2 3 2 3 2" xfId="30044"/>
    <cellStyle name="常规 5 4 2 2 2 2 2 3 2 4" xfId="18939"/>
    <cellStyle name="常规 5 4 2 2 2 2 2 3 2 5" xfId="24521"/>
    <cellStyle name="常规 5 4 2 2 2 2 2 3 3" xfId="18312"/>
    <cellStyle name="常规 5 4 2 2 2 2 2 3 3 2" xfId="14290"/>
    <cellStyle name="常规 5 4 2 2 2 2 2 3 3 2 2" xfId="31933"/>
    <cellStyle name="常规 5 4 2 2 2 2 2 3 3 3" xfId="30046"/>
    <cellStyle name="常规 5 4 2 2 2 2 2 3 3 4" xfId="31934"/>
    <cellStyle name="常规 5 4 2 2 2 2 2 3 4" xfId="18942"/>
    <cellStyle name="常规 5 4 2 2 2 2 2 3 4 2" xfId="31935"/>
    <cellStyle name="常规 5 4 2 2 2 2 2 3 5" xfId="9369"/>
    <cellStyle name="常规 5 4 2 2 2 2 2 3 6" xfId="9400"/>
    <cellStyle name="常规 5 4 2 2 2 2 2 4" xfId="18946"/>
    <cellStyle name="常规 5 4 2 2 2 2 2 4 2" xfId="18950"/>
    <cellStyle name="常规 5 4 2 2 2 2 2 4 2 2" xfId="14301"/>
    <cellStyle name="常规 5 4 2 2 2 2 2 4 2 2 2" xfId="31936"/>
    <cellStyle name="常规 5 4 2 2 2 2 2 4 2 3" xfId="30054"/>
    <cellStyle name="常规 5 4 2 2 2 2 2 4 2 4" xfId="12482"/>
    <cellStyle name="常规 5 4 2 2 2 2 2 4 3" xfId="18953"/>
    <cellStyle name="常规 5 4 2 2 2 2 2 4 3 2" xfId="31937"/>
    <cellStyle name="常规 5 4 2 2 2 2 2 4 4" xfId="18957"/>
    <cellStyle name="常规 5 4 2 2 2 2 2 4 5" xfId="9435"/>
    <cellStyle name="常规 5 4 2 2 2 2 2 5" xfId="17626"/>
    <cellStyle name="常规 5 4 2 2 2 2 2 5 2" xfId="18959"/>
    <cellStyle name="常规 5 4 2 2 2 2 2 5 2 2" xfId="4618"/>
    <cellStyle name="常规 5 4 2 2 2 2 2 5 3" xfId="31938"/>
    <cellStyle name="常规 5 4 2 2 2 2 2 5 4" xfId="31939"/>
    <cellStyle name="常规 5 4 2 2 2 2 2 6" xfId="18964"/>
    <cellStyle name="常规 5 4 2 2 2 2 2 6 2" xfId="29261"/>
    <cellStyle name="常规 5 4 2 2 2 2 2 7" xfId="14567"/>
    <cellStyle name="常规 5 4 2 2 2 2 2 8" xfId="4286"/>
    <cellStyle name="常规 5 4 2 2 2 2 3" xfId="21759"/>
    <cellStyle name="常规 5 4 2 2 2 2 3 2" xfId="21763"/>
    <cellStyle name="常规 5 4 2 2 2 2 3 2 2" xfId="18349"/>
    <cellStyle name="常规 5 4 2 2 2 2 3 2 2 2" xfId="14407"/>
    <cellStyle name="常规 5 4 2 2 2 2 3 2 2 2 2" xfId="31941"/>
    <cellStyle name="常规 5 4 2 2 2 2 3 2 2 2 2 2" xfId="8698"/>
    <cellStyle name="常规 5 4 2 2 2 2 3 2 2 2 3" xfId="31943"/>
    <cellStyle name="常规 5 4 2 2 2 2 3 2 2 2 4" xfId="31944"/>
    <cellStyle name="常规 5 4 2 2 2 2 3 2 2 3" xfId="14413"/>
    <cellStyle name="常规 5 4 2 2 2 2 3 2 2 3 2" xfId="30060"/>
    <cellStyle name="常规 5 4 2 2 2 2 3 2 2 4" xfId="30065"/>
    <cellStyle name="常规 5 4 2 2 2 2 3 2 2 5" xfId="30069"/>
    <cellStyle name="常规 5 4 2 2 2 2 3 2 3" xfId="18353"/>
    <cellStyle name="常规 5 4 2 2 2 2 3 2 3 2" xfId="14428"/>
    <cellStyle name="常规 5 4 2 2 2 2 3 2 3 2 2" xfId="31946"/>
    <cellStyle name="常规 5 4 2 2 2 2 3 2 3 3" xfId="30072"/>
    <cellStyle name="常规 5 4 2 2 2 2 3 2 3 4" xfId="31948"/>
    <cellStyle name="常规 5 4 2 2 2 2 3 2 4" xfId="21766"/>
    <cellStyle name="常规 5 4 2 2 2 2 3 2 4 2" xfId="31949"/>
    <cellStyle name="常规 5 4 2 2 2 2 3 2 5" xfId="9546"/>
    <cellStyle name="常规 5 4 2 2 2 2 3 2 6" xfId="9563"/>
    <cellStyle name="常规 5 4 2 2 2 2 3 3" xfId="18969"/>
    <cellStyle name="常规 5 4 2 2 2 2 3 3 2" xfId="7179"/>
    <cellStyle name="常规 5 4 2 2 2 2 3 3 2 2" xfId="3750"/>
    <cellStyle name="常规 5 4 2 2 2 2 3 3 2 2 2" xfId="7185"/>
    <cellStyle name="常规 5 4 2 2 2 2 3 3 2 3" xfId="3755"/>
    <cellStyle name="常规 5 4 2 2 2 2 3 3 2 4" xfId="7212"/>
    <cellStyle name="常规 5 4 2 2 2 2 3 3 3" xfId="3297"/>
    <cellStyle name="常规 5 4 2 2 2 2 3 3 3 2" xfId="3783"/>
    <cellStyle name="常规 5 4 2 2 2 2 3 3 4" xfId="7233"/>
    <cellStyle name="常规 5 4 2 2 2 2 3 3 5" xfId="9582"/>
    <cellStyle name="常规 5 4 2 2 2 2 3 4" xfId="18974"/>
    <cellStyle name="常规 5 4 2 2 2 2 3 4 2" xfId="8154"/>
    <cellStyle name="常规 5 4 2 2 2 2 3 4 2 2" xfId="8157"/>
    <cellStyle name="常规 5 4 2 2 2 2 3 4 3" xfId="8202"/>
    <cellStyle name="常规 5 4 2 2 2 2 3 4 4" xfId="8216"/>
    <cellStyle name="常规 5 4 2 2 2 2 3 5" xfId="18978"/>
    <cellStyle name="常规 5 4 2 2 2 2 3 5 2" xfId="8929"/>
    <cellStyle name="常规 5 4 2 2 2 2 3 6" xfId="4302"/>
    <cellStyle name="常规 5 4 2 2 2 2 3 7" xfId="4314"/>
    <cellStyle name="常规 5 4 2 2 2 2 4" xfId="21769"/>
    <cellStyle name="常规 5 4 2 2 2 2 4 2" xfId="21773"/>
    <cellStyle name="常规 5 4 2 2 2 2 4 2 2" xfId="21776"/>
    <cellStyle name="常规 5 4 2 2 2 2 4 2 2 2" xfId="5293"/>
    <cellStyle name="常规 5 4 2 2 2 2 4 2 2 2 2" xfId="31950"/>
    <cellStyle name="常规 5 4 2 2 2 2 4 2 2 3" xfId="570"/>
    <cellStyle name="常规 5 4 2 2 2 2 4 2 2 4" xfId="31952"/>
    <cellStyle name="常规 5 4 2 2 2 2 4 2 3" xfId="31953"/>
    <cellStyle name="常规 5 4 2 2 2 2 4 2 3 2" xfId="31954"/>
    <cellStyle name="常规 5 4 2 2 2 2 4 2 4" xfId="27670"/>
    <cellStyle name="常规 5 4 2 2 2 2 4 2 5" xfId="7751"/>
    <cellStyle name="常规 5 4 2 2 2 2 4 3" xfId="18984"/>
    <cellStyle name="常规 5 4 2 2 2 2 4 3 2" xfId="18988"/>
    <cellStyle name="常规 5 4 2 2 2 2 4 3 2 2" xfId="31955"/>
    <cellStyle name="常规 5 4 2 2 2 2 4 3 3" xfId="31956"/>
    <cellStyle name="常规 5 4 2 2 2 2 4 3 4" xfId="27675"/>
    <cellStyle name="常规 5 4 2 2 2 2 4 4" xfId="18992"/>
    <cellStyle name="常规 5 4 2 2 2 2 4 4 2" xfId="31959"/>
    <cellStyle name="常规 5 4 2 2 2 2 4 5" xfId="18996"/>
    <cellStyle name="常规 5 4 2 2 2 2 4 6" xfId="4332"/>
    <cellStyle name="常规 5 4 2 2 2 2 5" xfId="19878"/>
    <cellStyle name="常规 5 4 2 2 2 2 5 2" xfId="19883"/>
    <cellStyle name="常规 5 4 2 2 2 2 5 2 2" xfId="23699"/>
    <cellStyle name="常规 5 4 2 2 2 2 5 2 2 2" xfId="23701"/>
    <cellStyle name="常规 5 4 2 2 2 2 5 2 3" xfId="23711"/>
    <cellStyle name="常规 5 4 2 2 2 2 5 2 4" xfId="23722"/>
    <cellStyle name="常规 5 4 2 2 2 2 5 3" xfId="18999"/>
    <cellStyle name="常规 5 4 2 2 2 2 5 3 2" xfId="23762"/>
    <cellStyle name="常规 5 4 2 2 2 2 5 4" xfId="31961"/>
    <cellStyle name="常规 5 4 2 2 2 2 5 5" xfId="31963"/>
    <cellStyle name="常规 5 4 2 2 2 2 6" xfId="19888"/>
    <cellStyle name="常规 5 4 2 2 2 2 6 2" xfId="28569"/>
    <cellStyle name="常规 5 4 2 2 2 2 6 2 2" xfId="23987"/>
    <cellStyle name="常规 5 4 2 2 2 2 6 3" xfId="28573"/>
    <cellStyle name="常规 5 4 2 2 2 2 6 4" xfId="5103"/>
    <cellStyle name="常规 5 4 2 2 2 2 7" xfId="19894"/>
    <cellStyle name="常规 5 4 2 2 2 2 7 2" xfId="28577"/>
    <cellStyle name="常规 5 4 2 2 2 2 8" xfId="28587"/>
    <cellStyle name="常规 5 4 2 2 2 2 9" xfId="28592"/>
    <cellStyle name="常规 5 4 2 2 2 3" xfId="31964"/>
    <cellStyle name="常规 5 4 2 2 2 3 2" xfId="29172"/>
    <cellStyle name="常规 5 4 2 2 2 3 2 2" xfId="29175"/>
    <cellStyle name="常规 5 4 2 2 2 3 2 2 2" xfId="18409"/>
    <cellStyle name="常规 5 4 2 2 2 3 2 2 2 2" xfId="15074"/>
    <cellStyle name="常规 5 4 2 2 2 3 2 2 2 2 2" xfId="31965"/>
    <cellStyle name="常规 5 4 2 2 2 3 2 2 2 2 2 2" xfId="5454"/>
    <cellStyle name="常规 5 4 2 2 2 3 2 2 2 2 2 2 2" xfId="5460"/>
    <cellStyle name="常规 5 4 2 2 2 3 2 2 2 2 2 3" xfId="5476"/>
    <cellStyle name="常规 5 4 2 2 2 3 2 2 2 2 2 4" xfId="5457"/>
    <cellStyle name="常规 5 4 2 2 2 3 2 2 2 2 3" xfId="31966"/>
    <cellStyle name="常规 5 4 2 2 2 3 2 2 2 2 3 2" xfId="5499"/>
    <cellStyle name="常规 5 4 2 2 2 3 2 2 2 2 4" xfId="31967"/>
    <cellStyle name="常规 5 4 2 2 2 3 2 2 2 2 5" xfId="31968"/>
    <cellStyle name="常规 5 4 2 2 2 3 2 2 2 3" xfId="15077"/>
    <cellStyle name="常规 5 4 2 2 2 3 2 2 2 3 2" xfId="30122"/>
    <cellStyle name="常规 5 4 2 2 2 3 2 2 2 3 2 2" xfId="1516"/>
    <cellStyle name="常规 5 4 2 2 2 3 2 2 2 3 3" xfId="31969"/>
    <cellStyle name="常规 5 4 2 2 2 3 2 2 2 3 4" xfId="31970"/>
    <cellStyle name="常规 5 4 2 2 2 3 2 2 2 4" xfId="30124"/>
    <cellStyle name="常规 5 4 2 2 2 3 2 2 2 4 2" xfId="31971"/>
    <cellStyle name="常规 5 4 2 2 2 3 2 2 2 5" xfId="23174"/>
    <cellStyle name="常规 5 4 2 2 2 3 2 2 2 6" xfId="23178"/>
    <cellStyle name="常规 5 4 2 2 2 3 2 2 3" xfId="18413"/>
    <cellStyle name="常规 5 4 2 2 2 3 2 2 3 2" xfId="15083"/>
    <cellStyle name="常规 5 4 2 2 2 3 2 2 3 2 2" xfId="31972"/>
    <cellStyle name="常规 5 4 2 2 2 3 2 2 3 2 2 2" xfId="3496"/>
    <cellStyle name="常规 5 4 2 2 2 3 2 2 3 2 3" xfId="9746"/>
    <cellStyle name="常规 5 4 2 2 2 3 2 2 3 2 4" xfId="31973"/>
    <cellStyle name="常规 5 4 2 2 2 3 2 2 3 3" xfId="30126"/>
    <cellStyle name="常规 5 4 2 2 2 3 2 2 3 3 2" xfId="31974"/>
    <cellStyle name="常规 5 4 2 2 2 3 2 2 3 4" xfId="31976"/>
    <cellStyle name="常规 5 4 2 2 2 3 2 2 3 5" xfId="23184"/>
    <cellStyle name="常规 5 4 2 2 2 3 2 2 4" xfId="6297"/>
    <cellStyle name="常规 5 4 2 2 2 3 2 2 4 2" xfId="31977"/>
    <cellStyle name="常规 5 4 2 2 2 3 2 2 4 2 2" xfId="31978"/>
    <cellStyle name="常规 5 4 2 2 2 3 2 2 4 3" xfId="31979"/>
    <cellStyle name="常规 5 4 2 2 2 3 2 2 4 4" xfId="31981"/>
    <cellStyle name="常规 5 4 2 2 2 3 2 2 5" xfId="31982"/>
    <cellStyle name="常规 5 4 2 2 2 3 2 2 5 2" xfId="29810"/>
    <cellStyle name="常规 5 4 2 2 2 3 2 2 6" xfId="24866"/>
    <cellStyle name="常规 5 4 2 2 2 3 2 2 7" xfId="7530"/>
    <cellStyle name="常规 5 4 2 2 2 3 2 3" xfId="19010"/>
    <cellStyle name="常规 5 4 2 2 2 3 2 3 2" xfId="19013"/>
    <cellStyle name="常规 5 4 2 2 2 3 2 3 2 2" xfId="15090"/>
    <cellStyle name="常规 5 4 2 2 2 3 2 3 2 2 2" xfId="183"/>
    <cellStyle name="常规 5 4 2 2 2 3 2 3 2 2 2 2" xfId="771"/>
    <cellStyle name="常规 5 4 2 2 2 3 2 3 2 2 3" xfId="341"/>
    <cellStyle name="常规 5 4 2 2 2 3 2 3 2 2 4" xfId="359"/>
    <cellStyle name="常规 5 4 2 2 2 3 2 3 2 3" xfId="30134"/>
    <cellStyle name="常规 5 4 2 2 2 3 2 3 2 3 2" xfId="31983"/>
    <cellStyle name="常规 5 4 2 2 2 3 2 3 2 4" xfId="31984"/>
    <cellStyle name="常规 5 4 2 2 2 3 2 3 2 5" xfId="23230"/>
    <cellStyle name="常规 5 4 2 2 2 3 2 3 3" xfId="19015"/>
    <cellStyle name="常规 5 4 2 2 2 3 2 3 3 2" xfId="31985"/>
    <cellStyle name="常规 5 4 2 2 2 3 2 3 3 2 2" xfId="31986"/>
    <cellStyle name="常规 5 4 2 2 2 3 2 3 3 3" xfId="2500"/>
    <cellStyle name="常规 5 4 2 2 2 3 2 3 3 4" xfId="31988"/>
    <cellStyle name="常规 5 4 2 2 2 3 2 3 4" xfId="19017"/>
    <cellStyle name="常规 5 4 2 2 2 3 2 3 4 2" xfId="31989"/>
    <cellStyle name="常规 5 4 2 2 2 3 2 3 5" xfId="31990"/>
    <cellStyle name="常规 5 4 2 2 2 3 2 3 6" xfId="31991"/>
    <cellStyle name="常规 5 4 2 2 2 3 2 4" xfId="19021"/>
    <cellStyle name="常规 5 4 2 2 2 3 2 4 2" xfId="7459"/>
    <cellStyle name="常规 5 4 2 2 2 3 2 4 2 2" xfId="31992"/>
    <cellStyle name="常规 5 4 2 2 2 3 2 4 2 2 2" xfId="31993"/>
    <cellStyle name="常规 5 4 2 2 2 3 2 4 2 3" xfId="31994"/>
    <cellStyle name="常规 5 4 2 2 2 3 2 4 2 4" xfId="31995"/>
    <cellStyle name="常规 5 4 2 2 2 3 2 4 3" xfId="31996"/>
    <cellStyle name="常规 5 4 2 2 2 3 2 4 3 2" xfId="31259"/>
    <cellStyle name="常规 5 4 2 2 2 3 2 4 4" xfId="31997"/>
    <cellStyle name="常规 5 4 2 2 2 3 2 4 5" xfId="31998"/>
    <cellStyle name="常规 5 4 2 2 2 3 2 5" xfId="19024"/>
    <cellStyle name="常规 5 4 2 2 2 3 2 5 2" xfId="31999"/>
    <cellStyle name="常规 5 4 2 2 2 3 2 5 2 2" xfId="4827"/>
    <cellStyle name="常规 5 4 2 2 2 3 2 5 3" xfId="3368"/>
    <cellStyle name="常规 5 4 2 2 2 3 2 5 4" xfId="32000"/>
    <cellStyle name="常规 5 4 2 2 2 3 2 6" xfId="19027"/>
    <cellStyle name="常规 5 4 2 2 2 3 2 6 2" xfId="32001"/>
    <cellStyle name="常规 5 4 2 2 2 3 2 7" xfId="32003"/>
    <cellStyle name="常规 5 4 2 2 2 3 2 8" xfId="32004"/>
    <cellStyle name="常规 5 4 2 2 2 3 3" xfId="21779"/>
    <cellStyle name="常规 5 4 2 2 2 3 3 2" xfId="21783"/>
    <cellStyle name="常规 5 4 2 2 2 3 3 2 2" xfId="21786"/>
    <cellStyle name="常规 5 4 2 2 2 3 3 2 2 2" xfId="15140"/>
    <cellStyle name="常规 5 4 2 2 2 3 3 2 2 2 2" xfId="32005"/>
    <cellStyle name="常规 5 4 2 2 2 3 3 2 2 2 2 2" xfId="28779"/>
    <cellStyle name="常规 5 4 2 2 2 3 3 2 2 2 3" xfId="32006"/>
    <cellStyle name="常规 5 4 2 2 2 3 3 2 2 2 4" xfId="32007"/>
    <cellStyle name="常规 5 4 2 2 2 3 3 2 2 3" xfId="30146"/>
    <cellStyle name="常规 5 4 2 2 2 3 3 2 2 3 2" xfId="5083"/>
    <cellStyle name="常规 5 4 2 2 2 3 3 2 2 4" xfId="32009"/>
    <cellStyle name="常规 5 4 2 2 2 3 3 2 2 5" xfId="23324"/>
    <cellStyle name="常规 5 4 2 2 2 3 3 2 3" xfId="32010"/>
    <cellStyle name="常规 5 4 2 2 2 3 3 2 3 2" xfId="32011"/>
    <cellStyle name="常规 5 4 2 2 2 3 3 2 3 2 2" xfId="32014"/>
    <cellStyle name="常规 5 4 2 2 2 3 3 2 3 3" xfId="32015"/>
    <cellStyle name="常规 5 4 2 2 2 3 3 2 3 4" xfId="32016"/>
    <cellStyle name="常规 5 4 2 2 2 3 3 2 4" xfId="32017"/>
    <cellStyle name="常规 5 4 2 2 2 3 3 2 4 2" xfId="32018"/>
    <cellStyle name="常规 5 4 2 2 2 3 3 2 5" xfId="32019"/>
    <cellStyle name="常规 5 4 2 2 2 3 3 2 6" xfId="32020"/>
    <cellStyle name="常规 5 4 2 2 2 3 3 3" xfId="19032"/>
    <cellStyle name="常规 5 4 2 2 2 3 3 3 2" xfId="19035"/>
    <cellStyle name="常规 5 4 2 2 2 3 3 3 2 2" xfId="12838"/>
    <cellStyle name="常规 5 4 2 2 2 3 3 3 2 2 2" xfId="12841"/>
    <cellStyle name="常规 5 4 2 2 2 3 3 3 2 3" xfId="12874"/>
    <cellStyle name="常规 5 4 2 2 2 3 3 3 2 4" xfId="12889"/>
    <cellStyle name="常规 5 4 2 2 2 3 3 3 3" xfId="32021"/>
    <cellStyle name="常规 5 4 2 2 2 3 3 3 3 2" xfId="12967"/>
    <cellStyle name="常规 5 4 2 2 2 3 3 3 4" xfId="32022"/>
    <cellStyle name="常规 5 4 2 2 2 3 3 3 5" xfId="32023"/>
    <cellStyle name="常规 5 4 2 2 2 3 3 4" xfId="19037"/>
    <cellStyle name="常规 5 4 2 2 2 3 3 4 2" xfId="32024"/>
    <cellStyle name="常规 5 4 2 2 2 3 3 4 2 2" xfId="14515"/>
    <cellStyle name="常规 5 4 2 2 2 3 3 4 3" xfId="32025"/>
    <cellStyle name="常规 5 4 2 2 2 3 3 4 4" xfId="32026"/>
    <cellStyle name="常规 5 4 2 2 2 3 3 5" xfId="19040"/>
    <cellStyle name="常规 5 4 2 2 2 3 3 5 2" xfId="32027"/>
    <cellStyle name="常规 5 4 2 2 2 3 3 6" xfId="4380"/>
    <cellStyle name="常规 5 4 2 2 2 3 3 7" xfId="32028"/>
    <cellStyle name="常规 5 4 2 2 2 3 4" xfId="21788"/>
    <cellStyle name="常规 5 4 2 2 2 3 4 2" xfId="21792"/>
    <cellStyle name="常规 5 4 2 2 2 3 4 2 2" xfId="32029"/>
    <cellStyle name="常规 5 4 2 2 2 3 4 2 2 2" xfId="32031"/>
    <cellStyle name="常规 5 4 2 2 2 3 4 2 2 2 2" xfId="32033"/>
    <cellStyle name="常规 5 4 2 2 2 3 4 2 2 3" xfId="32034"/>
    <cellStyle name="常规 5 4 2 2 2 3 4 2 2 4" xfId="32035"/>
    <cellStyle name="常规 5 4 2 2 2 3 4 2 3" xfId="21009"/>
    <cellStyle name="常规 5 4 2 2 2 3 4 2 3 2" xfId="21012"/>
    <cellStyle name="常规 5 4 2 2 2 3 4 2 4" xfId="21016"/>
    <cellStyle name="常规 5 4 2 2 2 3 4 2 5" xfId="21019"/>
    <cellStyle name="常规 5 4 2 2 2 3 4 3" xfId="19043"/>
    <cellStyle name="常规 5 4 2 2 2 3 4 3 2" xfId="32036"/>
    <cellStyle name="常规 5 4 2 2 2 3 4 3 2 2" xfId="32038"/>
    <cellStyle name="常规 5 4 2 2 2 3 4 3 3" xfId="21022"/>
    <cellStyle name="常规 5 4 2 2 2 3 4 3 4" xfId="32039"/>
    <cellStyle name="常规 5 4 2 2 2 3 4 4" xfId="32041"/>
    <cellStyle name="常规 5 4 2 2 2 3 4 4 2" xfId="32044"/>
    <cellStyle name="常规 5 4 2 2 2 3 4 5" xfId="32047"/>
    <cellStyle name="常规 5 4 2 2 2 3 4 6" xfId="23730"/>
    <cellStyle name="常规 5 4 2 2 2 3 5" xfId="19899"/>
    <cellStyle name="常规 5 4 2 2 2 3 5 2" xfId="32048"/>
    <cellStyle name="常规 5 4 2 2 2 3 5 2 2" xfId="22545"/>
    <cellStyle name="常规 5 4 2 2 2 3 5 2 2 2" xfId="32049"/>
    <cellStyle name="常规 5 4 2 2 2 3 5 2 3" xfId="21037"/>
    <cellStyle name="常规 5 4 2 2 2 3 5 2 4" xfId="32050"/>
    <cellStyle name="常规 5 4 2 2 2 3 5 3" xfId="32051"/>
    <cellStyle name="常规 5 4 2 2 2 3 5 3 2" xfId="32052"/>
    <cellStyle name="常规 5 4 2 2 2 3 5 4" xfId="32055"/>
    <cellStyle name="常规 5 4 2 2 2 3 5 5" xfId="32056"/>
    <cellStyle name="常规 5 4 2 2 2 3 6" xfId="21795"/>
    <cellStyle name="常规 5 4 2 2 2 3 6 2" xfId="28602"/>
    <cellStyle name="常规 5 4 2 2 2 3 6 2 2" xfId="28605"/>
    <cellStyle name="常规 5 4 2 2 2 3 6 3" xfId="28611"/>
    <cellStyle name="常规 5 4 2 2 2 3 6 4" xfId="28615"/>
    <cellStyle name="常规 5 4 2 2 2 3 7" xfId="28619"/>
    <cellStyle name="常规 5 4 2 2 2 3 7 2" xfId="28622"/>
    <cellStyle name="常规 5 4 2 2 2 3 8" xfId="28625"/>
    <cellStyle name="常规 5 4 2 2 2 3 9" xfId="28629"/>
    <cellStyle name="常规 5 4 2 2 2 4" xfId="32058"/>
    <cellStyle name="常规 5 4 2 2 2 4 2" xfId="14129"/>
    <cellStyle name="常规 5 4 2 2 2 4 2 2" xfId="29292"/>
    <cellStyle name="常规 5 4 2 2 2 4 2 2 2" xfId="29294"/>
    <cellStyle name="常规 5 4 2 2 2 4 2 2 2 2" xfId="15626"/>
    <cellStyle name="常规 5 4 2 2 2 4 2 2 2 2 2" xfId="32059"/>
    <cellStyle name="常规 5 4 2 2 2 4 2 2 2 2 2 2" xfId="32060"/>
    <cellStyle name="常规 5 4 2 2 2 4 2 2 2 2 3" xfId="32061"/>
    <cellStyle name="常规 5 4 2 2 2 4 2 2 2 2 4" xfId="19444"/>
    <cellStyle name="常规 5 4 2 2 2 4 2 2 2 3" xfId="21169"/>
    <cellStyle name="常规 5 4 2 2 2 4 2 2 2 3 2" xfId="32062"/>
    <cellStyle name="常规 5 4 2 2 2 4 2 2 2 4" xfId="32063"/>
    <cellStyle name="常规 5 4 2 2 2 4 2 2 2 5" xfId="24270"/>
    <cellStyle name="常规 5 4 2 2 2 4 2 2 3" xfId="32064"/>
    <cellStyle name="常规 5 4 2 2 2 4 2 2 3 2" xfId="31422"/>
    <cellStyle name="常规 5 4 2 2 2 4 2 2 3 2 2" xfId="32065"/>
    <cellStyle name="常规 5 4 2 2 2 4 2 2 3 3" xfId="29564"/>
    <cellStyle name="常规 5 4 2 2 2 4 2 2 3 4" xfId="29566"/>
    <cellStyle name="常规 5 4 2 2 2 4 2 2 4" xfId="32066"/>
    <cellStyle name="常规 5 4 2 2 2 4 2 2 4 2" xfId="32067"/>
    <cellStyle name="常规 5 4 2 2 2 4 2 2 5" xfId="32068"/>
    <cellStyle name="常规 5 4 2 2 2 4 2 2 6" xfId="29966"/>
    <cellStyle name="常规 5 4 2 2 2 4 2 3" xfId="19051"/>
    <cellStyle name="常规 5 4 2 2 2 4 2 3 2" xfId="19054"/>
    <cellStyle name="常规 5 4 2 2 2 4 2 3 2 2" xfId="32069"/>
    <cellStyle name="常规 5 4 2 2 2 4 2 3 2 2 2" xfId="32070"/>
    <cellStyle name="常规 5 4 2 2 2 4 2 3 2 3" xfId="32071"/>
    <cellStyle name="常规 5 4 2 2 2 4 2 3 2 4" xfId="984"/>
    <cellStyle name="常规 5 4 2 2 2 4 2 3 3" xfId="32072"/>
    <cellStyle name="常规 5 4 2 2 2 4 2 3 3 2" xfId="32073"/>
    <cellStyle name="常规 5 4 2 2 2 4 2 3 4" xfId="32074"/>
    <cellStyle name="常规 5 4 2 2 2 4 2 3 5" xfId="23812"/>
    <cellStyle name="常规 5 4 2 2 2 4 2 4" xfId="2823"/>
    <cellStyle name="常规 5 4 2 2 2 4 2 4 2" xfId="5074"/>
    <cellStyle name="常规 5 4 2 2 2 4 2 4 2 2" xfId="32075"/>
    <cellStyle name="常规 5 4 2 2 2 4 2 4 3" xfId="16228"/>
    <cellStyle name="常规 5 4 2 2 2 4 2 4 4" xfId="32076"/>
    <cellStyle name="常规 5 4 2 2 2 4 2 5" xfId="3419"/>
    <cellStyle name="常规 5 4 2 2 2 4 2 5 2" xfId="1319"/>
    <cellStyle name="常规 5 4 2 2 2 4 2 6" xfId="2604"/>
    <cellStyle name="常规 5 4 2 2 2 4 2 7" xfId="7488"/>
    <cellStyle name="常规 5 4 2 2 2 4 3" xfId="21798"/>
    <cellStyle name="常规 5 4 2 2 2 4 3 2" xfId="21802"/>
    <cellStyle name="常规 5 4 2 2 2 4 3 2 2" xfId="32077"/>
    <cellStyle name="常规 5 4 2 2 2 4 3 2 2 2" xfId="17373"/>
    <cellStyle name="常规 5 4 2 2 2 4 3 2 2 2 2" xfId="17376"/>
    <cellStyle name="常规 5 4 2 2 2 4 3 2 2 3" xfId="17388"/>
    <cellStyle name="常规 5 4 2 2 2 4 3 2 2 4" xfId="17394"/>
    <cellStyle name="常规 5 4 2 2 2 4 3 2 3" xfId="32078"/>
    <cellStyle name="常规 5 4 2 2 2 4 3 2 3 2" xfId="17427"/>
    <cellStyle name="常规 5 4 2 2 2 4 3 2 4" xfId="32079"/>
    <cellStyle name="常规 5 4 2 2 2 4 3 2 5" xfId="32080"/>
    <cellStyle name="常规 5 4 2 2 2 4 3 3" xfId="19057"/>
    <cellStyle name="常规 5 4 2 2 2 4 3 3 2" xfId="32081"/>
    <cellStyle name="常规 5 4 2 2 2 4 3 3 2 2" xfId="17478"/>
    <cellStyle name="常规 5 4 2 2 2 4 3 3 3" xfId="32082"/>
    <cellStyle name="常规 5 4 2 2 2 4 3 3 4" xfId="32083"/>
    <cellStyle name="常规 5 4 2 2 2 4 3 4" xfId="2861"/>
    <cellStyle name="常规 5 4 2 2 2 4 3 4 2" xfId="16239"/>
    <cellStyle name="常规 5 4 2 2 2 4 3 5" xfId="32084"/>
    <cellStyle name="常规 5 4 2 2 2 4 3 6" xfId="7492"/>
    <cellStyle name="常规 5 4 2 2 2 4 4" xfId="21805"/>
    <cellStyle name="常规 5 4 2 2 2 4 4 2" xfId="32085"/>
    <cellStyle name="常规 5 4 2 2 2 4 4 2 2" xfId="32086"/>
    <cellStyle name="常规 5 4 2 2 2 4 4 2 2 2" xfId="18015"/>
    <cellStyle name="常规 5 4 2 2 2 4 4 2 3" xfId="21049"/>
    <cellStyle name="常规 5 4 2 2 2 4 4 2 4" xfId="32088"/>
    <cellStyle name="常规 5 4 2 2 2 4 4 3" xfId="32089"/>
    <cellStyle name="常规 5 4 2 2 2 4 4 3 2" xfId="21383"/>
    <cellStyle name="常规 5 4 2 2 2 4 4 4" xfId="32091"/>
    <cellStyle name="常规 5 4 2 2 2 4 4 5" xfId="32092"/>
    <cellStyle name="常规 5 4 2 2 2 4 5" xfId="21808"/>
    <cellStyle name="常规 5 4 2 2 2 4 5 2" xfId="32094"/>
    <cellStyle name="常规 5 4 2 2 2 4 5 2 2" xfId="32095"/>
    <cellStyle name="常规 5 4 2 2 2 4 5 3" xfId="32097"/>
    <cellStyle name="常规 5 4 2 2 2 4 5 4" xfId="32098"/>
    <cellStyle name="常规 5 4 2 2 2 4 6" xfId="28634"/>
    <cellStyle name="常规 5 4 2 2 2 4 6 2" xfId="28637"/>
    <cellStyle name="常规 5 4 2 2 2 4 7" xfId="28640"/>
    <cellStyle name="常规 5 4 2 2 2 4 8" xfId="28643"/>
    <cellStyle name="常规 5 4 2 2 2 5" xfId="32099"/>
    <cellStyle name="常规 5 4 2 2 2 5 2" xfId="29357"/>
    <cellStyle name="常规 5 4 2 2 2 5 2 2" xfId="29359"/>
    <cellStyle name="常规 5 4 2 2 2 5 2 2 2" xfId="32100"/>
    <cellStyle name="常规 5 4 2 2 2 5 2 2 2 2" xfId="32102"/>
    <cellStyle name="常规 5 4 2 2 2 5 2 2 2 2 2" xfId="32103"/>
    <cellStyle name="常规 5 4 2 2 2 5 2 2 2 3" xfId="32106"/>
    <cellStyle name="常规 5 4 2 2 2 5 2 2 2 4" xfId="32107"/>
    <cellStyle name="常规 5 4 2 2 2 5 2 2 3" xfId="32108"/>
    <cellStyle name="常规 5 4 2 2 2 5 2 2 3 2" xfId="20197"/>
    <cellStyle name="常规 5 4 2 2 2 5 2 2 4" xfId="32109"/>
    <cellStyle name="常规 5 4 2 2 2 5 2 2 5" xfId="32110"/>
    <cellStyle name="常规 5 4 2 2 2 5 2 3" xfId="19063"/>
    <cellStyle name="常规 5 4 2 2 2 5 2 3 2" xfId="32111"/>
    <cellStyle name="常规 5 4 2 2 2 5 2 3 2 2" xfId="32112"/>
    <cellStyle name="常规 5 4 2 2 2 5 2 3 3" xfId="32113"/>
    <cellStyle name="常规 5 4 2 2 2 5 2 3 4" xfId="32114"/>
    <cellStyle name="常规 5 4 2 2 2 5 2 4" xfId="3093"/>
    <cellStyle name="常规 5 4 2 2 2 5 2 4 2" xfId="16269"/>
    <cellStyle name="常规 5 4 2 2 2 5 2 5" xfId="32115"/>
    <cellStyle name="常规 5 4 2 2 2 5 2 6" xfId="6541"/>
    <cellStyle name="常规 5 4 2 2 2 5 3" xfId="21812"/>
    <cellStyle name="常规 5 4 2 2 2 5 3 2" xfId="32116"/>
    <cellStyle name="常规 5 4 2 2 2 5 3 2 2" xfId="32117"/>
    <cellStyle name="常规 5 4 2 2 2 5 3 2 2 2" xfId="19354"/>
    <cellStyle name="常规 5 4 2 2 2 5 3 2 3" xfId="32118"/>
    <cellStyle name="常规 5 4 2 2 2 5 3 2 4" xfId="32119"/>
    <cellStyle name="常规 5 4 2 2 2 5 3 3" xfId="32120"/>
    <cellStyle name="常规 5 4 2 2 2 5 3 3 2" xfId="32121"/>
    <cellStyle name="常规 5 4 2 2 2 5 3 4" xfId="32122"/>
    <cellStyle name="常规 5 4 2 2 2 5 3 5" xfId="32123"/>
    <cellStyle name="常规 5 4 2 2 2 5 4" xfId="29361"/>
    <cellStyle name="常规 5 4 2 2 2 5 4 2" xfId="32125"/>
    <cellStyle name="常规 5 4 2 2 2 5 4 2 2" xfId="32127"/>
    <cellStyle name="常规 5 4 2 2 2 5 4 3" xfId="32131"/>
    <cellStyle name="常规 5 4 2 2 2 5 4 4" xfId="32133"/>
    <cellStyle name="常规 5 4 2 2 2 5 5" xfId="32134"/>
    <cellStyle name="常规 5 4 2 2 2 5 5 2" xfId="32135"/>
    <cellStyle name="常规 5 4 2 2 2 5 6" xfId="28649"/>
    <cellStyle name="常规 5 4 2 2 2 5 7" xfId="32136"/>
    <cellStyle name="常规 5 4 2 2 2 6" xfId="32137"/>
    <cellStyle name="常规 5 4 2 2 2 6 2" xfId="28885"/>
    <cellStyle name="常规 5 4 2 2 2 6 2 2" xfId="1567"/>
    <cellStyle name="常规 5 4 2 2 2 6 2 2 2" xfId="21318"/>
    <cellStyle name="常规 5 4 2 2 2 6 2 2 2 2" xfId="21322"/>
    <cellStyle name="常规 5 4 2 2 2 6 2 2 3" xfId="21332"/>
    <cellStyle name="常规 5 4 2 2 2 6 2 2 4" xfId="21338"/>
    <cellStyle name="常规 5 4 2 2 2 6 2 3" xfId="1576"/>
    <cellStyle name="常规 5 4 2 2 2 6 2 3 2" xfId="21346"/>
    <cellStyle name="常规 5 4 2 2 2 6 2 4" xfId="16217"/>
    <cellStyle name="常规 5 4 2 2 2 6 2 5" xfId="21361"/>
    <cellStyle name="常规 5 4 2 2 2 6 3" xfId="28889"/>
    <cellStyle name="常规 5 4 2 2 2 6 3 2" xfId="21516"/>
    <cellStyle name="常规 5 4 2 2 2 6 3 2 2" xfId="21520"/>
    <cellStyle name="常规 5 4 2 2 2 6 3 3" xfId="21543"/>
    <cellStyle name="常规 5 4 2 2 2 6 3 4" xfId="21554"/>
    <cellStyle name="常规 5 4 2 2 2 6 4" xfId="28893"/>
    <cellStyle name="常规 5 4 2 2 2 6 4 2" xfId="21639"/>
    <cellStyle name="常规 5 4 2 2 2 6 5" xfId="28896"/>
    <cellStyle name="常规 5 4 2 2 2 6 6" xfId="28898"/>
    <cellStyle name="常规 5 4 2 2 2 7" xfId="9813"/>
    <cellStyle name="常规 5 4 2 2 2 7 2" xfId="28913"/>
    <cellStyle name="常规 5 4 2 2 2 7 2 2" xfId="21846"/>
    <cellStyle name="常规 5 4 2 2 2 7 2 2 2" xfId="21849"/>
    <cellStyle name="常规 5 4 2 2 2 7 2 3" xfId="21873"/>
    <cellStyle name="常规 5 4 2 2 2 7 2 4" xfId="21882"/>
    <cellStyle name="常规 5 4 2 2 2 7 3" xfId="28916"/>
    <cellStyle name="常规 5 4 2 2 2 7 3 2" xfId="21934"/>
    <cellStyle name="常规 5 4 2 2 2 7 4" xfId="28918"/>
    <cellStyle name="常规 5 4 2 2 2 7 5" xfId="28920"/>
    <cellStyle name="常规 5 4 2 2 2 8" xfId="32138"/>
    <cellStyle name="常规 5 4 2 2 2 8 2" xfId="28924"/>
    <cellStyle name="常规 5 4 2 2 2 8 2 2" xfId="13805"/>
    <cellStyle name="常规 5 4 2 2 2 8 3" xfId="28926"/>
    <cellStyle name="常规 5 4 2 2 2 8 4" xfId="28928"/>
    <cellStyle name="常规 5 4 2 2 2 9" xfId="32139"/>
    <cellStyle name="常规 5 4 2 2 2 9 2" xfId="5166"/>
    <cellStyle name="常规 5 4 2 2 3" xfId="32141"/>
    <cellStyle name="常规 5 4 2 2 3 2" xfId="32143"/>
    <cellStyle name="常规 5 4 2 2 3 2 2" xfId="32144"/>
    <cellStyle name="常规 5 4 2 2 3 2 2 2" xfId="32145"/>
    <cellStyle name="常规 5 4 2 2 3 2 2 2 2" xfId="18523"/>
    <cellStyle name="常规 5 4 2 2 3 2 2 2 2 2" xfId="32146"/>
    <cellStyle name="常规 5 4 2 2 3 2 2 2 2 2 2" xfId="32147"/>
    <cellStyle name="常规 5 4 2 2 3 2 2 2 2 2 2 2" xfId="32148"/>
    <cellStyle name="常规 5 4 2 2 3 2 2 2 2 2 3" xfId="32149"/>
    <cellStyle name="常规 5 4 2 2 3 2 2 2 2 2 4" xfId="32150"/>
    <cellStyle name="常规 5 4 2 2 3 2 2 2 2 3" xfId="27914"/>
    <cellStyle name="常规 5 4 2 2 3 2 2 2 2 3 2" xfId="30549"/>
    <cellStyle name="常规 5 4 2 2 3 2 2 2 2 4" xfId="30551"/>
    <cellStyle name="常规 5 4 2 2 3 2 2 2 2 5" xfId="30553"/>
    <cellStyle name="常规 5 4 2 2 3 2 2 2 3" xfId="18527"/>
    <cellStyle name="常规 5 4 2 2 3 2 2 2 3 2" xfId="32152"/>
    <cellStyle name="常规 5 4 2 2 3 2 2 2 3 2 2" xfId="32154"/>
    <cellStyle name="常规 5 4 2 2 3 2 2 2 3 3" xfId="30556"/>
    <cellStyle name="常规 5 4 2 2 3 2 2 2 3 4" xfId="32156"/>
    <cellStyle name="常规 5 4 2 2 3 2 2 2 4" xfId="15226"/>
    <cellStyle name="常规 5 4 2 2 3 2 2 2 4 2" xfId="15229"/>
    <cellStyle name="常规 5 4 2 2 3 2 2 2 5" xfId="15359"/>
    <cellStyle name="常规 5 4 2 2 3 2 2 2 6" xfId="15431"/>
    <cellStyle name="常规 5 4 2 2 3 2 2 3" xfId="19073"/>
    <cellStyle name="常规 5 4 2 2 3 2 2 3 2" xfId="19075"/>
    <cellStyle name="常规 5 4 2 2 3 2 2 3 2 2" xfId="16086"/>
    <cellStyle name="常规 5 4 2 2 3 2 2 3 2 2 2" xfId="29817"/>
    <cellStyle name="常规 5 4 2 2 3 2 2 3 2 3" xfId="30561"/>
    <cellStyle name="常规 5 4 2 2 3 2 2 3 2 4" xfId="32157"/>
    <cellStyle name="常规 5 4 2 2 3 2 2 3 3" xfId="19078"/>
    <cellStyle name="常规 5 4 2 2 3 2 2 3 3 2" xfId="32159"/>
    <cellStyle name="常规 5 4 2 2 3 2 2 3 4" xfId="15466"/>
    <cellStyle name="常规 5 4 2 2 3 2 2 3 5" xfId="15531"/>
    <cellStyle name="常规 5 4 2 2 3 2 2 4" xfId="15386"/>
    <cellStyle name="常规 5 4 2 2 3 2 2 4 2" xfId="15389"/>
    <cellStyle name="常规 5 4 2 2 3 2 2 4 2 2" xfId="15392"/>
    <cellStyle name="常规 5 4 2 2 3 2 2 4 3" xfId="15396"/>
    <cellStyle name="常规 5 4 2 2 3 2 2 4 4" xfId="15398"/>
    <cellStyle name="常规 5 4 2 2 3 2 2 5" xfId="15401"/>
    <cellStyle name="常规 5 4 2 2 3 2 2 5 2" xfId="15404"/>
    <cellStyle name="常规 5 4 2 2 3 2 2 6" xfId="15407"/>
    <cellStyle name="常规 5 4 2 2 3 2 2 7" xfId="15411"/>
    <cellStyle name="常规 5 4 2 2 3 2 3" xfId="21821"/>
    <cellStyle name="常规 5 4 2 2 3 2 3 2" xfId="21823"/>
    <cellStyle name="常规 5 4 2 2 3 2 3 2 2" xfId="21825"/>
    <cellStyle name="常规 5 4 2 2 3 2 3 2 2 2" xfId="32160"/>
    <cellStyle name="常规 5 4 2 2 3 2 3 2 2 2 2" xfId="30717"/>
    <cellStyle name="常规 5 4 2 2 3 2 3 2 2 3" xfId="30570"/>
    <cellStyle name="常规 5 4 2 2 3 2 3 2 2 4" xfId="32162"/>
    <cellStyle name="常规 5 4 2 2 3 2 3 2 3" xfId="32164"/>
    <cellStyle name="常规 5 4 2 2 3 2 3 2 3 2" xfId="32167"/>
    <cellStyle name="常规 5 4 2 2 3 2 3 2 4" xfId="15714"/>
    <cellStyle name="常规 5 4 2 2 3 2 3 2 5" xfId="15735"/>
    <cellStyle name="常规 5 4 2 2 3 2 3 3" xfId="19081"/>
    <cellStyle name="常规 5 4 2 2 3 2 3 3 2" xfId="19084"/>
    <cellStyle name="常规 5 4 2 2 3 2 3 3 2 2" xfId="32168"/>
    <cellStyle name="常规 5 4 2 2 3 2 3 3 3" xfId="32170"/>
    <cellStyle name="常规 5 4 2 2 3 2 3 3 4" xfId="15757"/>
    <cellStyle name="常规 5 4 2 2 3 2 3 4" xfId="15415"/>
    <cellStyle name="常规 5 4 2 2 3 2 3 4 2" xfId="15419"/>
    <cellStyle name="常规 5 4 2 2 3 2 3 5" xfId="15421"/>
    <cellStyle name="常规 5 4 2 2 3 2 3 6" xfId="4485"/>
    <cellStyle name="常规 5 4 2 2 3 2 4" xfId="21827"/>
    <cellStyle name="常规 5 4 2 2 3 2 4 2" xfId="4176"/>
    <cellStyle name="常规 5 4 2 2 3 2 4 2 2" xfId="4179"/>
    <cellStyle name="常规 5 4 2 2 3 2 4 2 2 2" xfId="5565"/>
    <cellStyle name="常规 5 4 2 2 3 2 4 2 3" xfId="32172"/>
    <cellStyle name="常规 5 4 2 2 3 2 4 2 4" xfId="15797"/>
    <cellStyle name="常规 5 4 2 2 3 2 4 3" xfId="4181"/>
    <cellStyle name="常规 5 4 2 2 3 2 4 3 2" xfId="32173"/>
    <cellStyle name="常规 5 4 2 2 3 2 4 4" xfId="4185"/>
    <cellStyle name="常规 5 4 2 2 3 2 4 5" xfId="32175"/>
    <cellStyle name="常规 5 4 2 2 3 2 5" xfId="19907"/>
    <cellStyle name="常规 5 4 2 2 3 2 5 2" xfId="22449"/>
    <cellStyle name="常规 5 4 2 2 3 2 5 2 2" xfId="32177"/>
    <cellStyle name="常规 5 4 2 2 3 2 5 3" xfId="32178"/>
    <cellStyle name="常规 5 4 2 2 3 2 5 4" xfId="32180"/>
    <cellStyle name="常规 5 4 2 2 3 2 6" xfId="21830"/>
    <cellStyle name="常规 5 4 2 2 3 2 6 2" xfId="28667"/>
    <cellStyle name="常规 5 4 2 2 3 2 7" xfId="28680"/>
    <cellStyle name="常规 5 4 2 2 3 2 8" xfId="28685"/>
    <cellStyle name="常规 5 4 2 2 3 3" xfId="32181"/>
    <cellStyle name="常规 5 4 2 2 3 3 2" xfId="32182"/>
    <cellStyle name="常规 5 4 2 2 3 3 2 2" xfId="32183"/>
    <cellStyle name="常规 5 4 2 2 3 3 2 2 2" xfId="32184"/>
    <cellStyle name="常规 5 4 2 2 3 3 2 2 2 2" xfId="3849"/>
    <cellStyle name="常规 5 4 2 2 3 3 2 2 2 2 2" xfId="3852"/>
    <cellStyle name="常规 5 4 2 2 3 3 2 2 2 3" xfId="3854"/>
    <cellStyle name="常规 5 4 2 2 3 3 2 2 2 4" xfId="3858"/>
    <cellStyle name="常规 5 4 2 2 3 3 2 2 3" xfId="32186"/>
    <cellStyle name="常规 5 4 2 2 3 3 2 2 3 2" xfId="32188"/>
    <cellStyle name="常规 5 4 2 2 3 3 2 2 4" xfId="6477"/>
    <cellStyle name="常规 5 4 2 2 3 3 2 2 5" xfId="1792"/>
    <cellStyle name="常规 5 4 2 2 3 3 2 3" xfId="19092"/>
    <cellStyle name="常规 5 4 2 2 3 3 2 3 2" xfId="19094"/>
    <cellStyle name="常规 5 4 2 2 3 3 2 3 2 2" xfId="32189"/>
    <cellStyle name="常规 5 4 2 2 3 3 2 3 3" xfId="32191"/>
    <cellStyle name="常规 5 4 2 2 3 3 2 3 4" xfId="32192"/>
    <cellStyle name="常规 5 4 2 2 3 3 2 4" xfId="15442"/>
    <cellStyle name="常规 5 4 2 2 3 3 2 4 2" xfId="13246"/>
    <cellStyle name="常规 5 4 2 2 3 3 2 5" xfId="15445"/>
    <cellStyle name="常规 5 4 2 2 3 3 2 6" xfId="15448"/>
    <cellStyle name="常规 5 4 2 2 3 3 3" xfId="21833"/>
    <cellStyle name="常规 5 4 2 2 3 3 3 2" xfId="21835"/>
    <cellStyle name="常规 5 4 2 2 3 3 3 2 2" xfId="32193"/>
    <cellStyle name="常规 5 4 2 2 3 3 3 2 2 2" xfId="32194"/>
    <cellStyle name="常规 5 4 2 2 3 3 3 2 3" xfId="32196"/>
    <cellStyle name="常规 5 4 2 2 3 3 3 2 4" xfId="32197"/>
    <cellStyle name="常规 5 4 2 2 3 3 3 3" xfId="19097"/>
    <cellStyle name="常规 5 4 2 2 3 3 3 3 2" xfId="32198"/>
    <cellStyle name="常规 5 4 2 2 3 3 3 4" xfId="15451"/>
    <cellStyle name="常规 5 4 2 2 3 3 3 5" xfId="32199"/>
    <cellStyle name="常规 5 4 2 2 3 3 4" xfId="21837"/>
    <cellStyle name="常规 5 4 2 2 3 3 4 2" xfId="21282"/>
    <cellStyle name="常规 5 4 2 2 3 3 4 2 2" xfId="32200"/>
    <cellStyle name="常规 5 4 2 2 3 3 4 3" xfId="21285"/>
    <cellStyle name="常规 5 4 2 2 3 3 4 4" xfId="32203"/>
    <cellStyle name="常规 5 4 2 2 3 3 5" xfId="21839"/>
    <cellStyle name="常规 5 4 2 2 3 3 5 2" xfId="32204"/>
    <cellStyle name="常规 5 4 2 2 3 3 6" xfId="28693"/>
    <cellStyle name="常规 5 4 2 2 3 3 7" xfId="28698"/>
    <cellStyle name="常规 5 4 2 2 3 4" xfId="32205"/>
    <cellStyle name="常规 5 4 2 2 3 4 2" xfId="32206"/>
    <cellStyle name="常规 5 4 2 2 3 4 2 2" xfId="32207"/>
    <cellStyle name="常规 5 4 2 2 3 4 2 2 2" xfId="32208"/>
    <cellStyle name="常规 5 4 2 2 3 4 2 2 2 2" xfId="4542"/>
    <cellStyle name="常规 5 4 2 2 3 4 2 2 3" xfId="32210"/>
    <cellStyle name="常规 5 4 2 2 3 4 2 2 4" xfId="31659"/>
    <cellStyle name="常规 5 4 2 2 3 4 2 3" xfId="19103"/>
    <cellStyle name="常规 5 4 2 2 3 4 2 3 2" xfId="32211"/>
    <cellStyle name="常规 5 4 2 2 3 4 2 4" xfId="1989"/>
    <cellStyle name="常规 5 4 2 2 3 4 2 5" xfId="32212"/>
    <cellStyle name="常规 5 4 2 2 3 4 3" xfId="21842"/>
    <cellStyle name="常规 5 4 2 2 3 4 3 2" xfId="23561"/>
    <cellStyle name="常规 5 4 2 2 3 4 3 2 2" xfId="32213"/>
    <cellStyle name="常规 5 4 2 2 3 4 3 3" xfId="23563"/>
    <cellStyle name="常规 5 4 2 2 3 4 3 4" xfId="2022"/>
    <cellStyle name="常规 5 4 2 2 3 4 4" xfId="32214"/>
    <cellStyle name="常规 5 4 2 2 3 4 4 2" xfId="23568"/>
    <cellStyle name="常规 5 4 2 2 3 4 5" xfId="32215"/>
    <cellStyle name="常规 5 4 2 2 3 4 6" xfId="28705"/>
    <cellStyle name="常规 5 4 2 2 3 5" xfId="32216"/>
    <cellStyle name="常规 5 4 2 2 3 5 2" xfId="32217"/>
    <cellStyle name="常规 5 4 2 2 3 5 2 2" xfId="32218"/>
    <cellStyle name="常规 5 4 2 2 3 5 2 2 2" xfId="32219"/>
    <cellStyle name="常规 5 4 2 2 3 5 2 3" xfId="32220"/>
    <cellStyle name="常规 5 4 2 2 3 5 2 4" xfId="32221"/>
    <cellStyle name="常规 5 4 2 2 3 5 3" xfId="32222"/>
    <cellStyle name="常规 5 4 2 2 3 5 3 2" xfId="23580"/>
    <cellStyle name="常规 5 4 2 2 3 5 4" xfId="32223"/>
    <cellStyle name="常规 5 4 2 2 3 5 5" xfId="31624"/>
    <cellStyle name="常规 5 4 2 2 3 6" xfId="32013"/>
    <cellStyle name="常规 5 4 2 2 3 6 2" xfId="28942"/>
    <cellStyle name="常规 5 4 2 2 3 6 2 2" xfId="1609"/>
    <cellStyle name="常规 5 4 2 2 3 6 3" xfId="16740"/>
    <cellStyle name="常规 5 4 2 2 3 6 4" xfId="16752"/>
    <cellStyle name="常规 5 4 2 2 3 7" xfId="32224"/>
    <cellStyle name="常规 5 4 2 2 3 7 2" xfId="28950"/>
    <cellStyle name="常规 5 4 2 2 3 8" xfId="32225"/>
    <cellStyle name="常规 5 4 2 2 3 9" xfId="32226"/>
    <cellStyle name="常规 5 4 2 2 4" xfId="32228"/>
    <cellStyle name="常规 5 4 2 2 4 2" xfId="32229"/>
    <cellStyle name="常规 5 4 2 2 4 2 2" xfId="30693"/>
    <cellStyle name="常规 5 4 2 2 4 2 2 2" xfId="30696"/>
    <cellStyle name="常规 5 4 2 2 4 2 2 2 2" xfId="30698"/>
    <cellStyle name="常规 5 4 2 2 4 2 2 2 2 2" xfId="13445"/>
    <cellStyle name="常规 5 4 2 2 4 2 2 2 2 2 2" xfId="23524"/>
    <cellStyle name="常规 5 4 2 2 4 2 2 2 2 2 2 2" xfId="32231"/>
    <cellStyle name="常规 5 4 2 2 4 2 2 2 2 2 3" xfId="3999"/>
    <cellStyle name="常规 5 4 2 2 4 2 2 2 2 2 4" xfId="4003"/>
    <cellStyle name="常规 5 4 2 2 4 2 2 2 2 3" xfId="29753"/>
    <cellStyle name="常规 5 4 2 2 4 2 2 2 2 3 2" xfId="23533"/>
    <cellStyle name="常规 5 4 2 2 4 2 2 2 2 4" xfId="29755"/>
    <cellStyle name="常规 5 4 2 2 4 2 2 2 2 5" xfId="29757"/>
    <cellStyle name="常规 5 4 2 2 4 2 2 2 3" xfId="32233"/>
    <cellStyle name="常规 5 4 2 2 4 2 2 2 3 2" xfId="32234"/>
    <cellStyle name="常规 5 4 2 2 4 2 2 2 3 2 2" xfId="23708"/>
    <cellStyle name="常规 5 4 2 2 4 2 2 2 3 3" xfId="29759"/>
    <cellStyle name="常规 5 4 2 2 4 2 2 2 3 4" xfId="32235"/>
    <cellStyle name="常规 5 4 2 2 4 2 2 2 4" xfId="32236"/>
    <cellStyle name="常规 5 4 2 2 4 2 2 2 4 2" xfId="32237"/>
    <cellStyle name="常规 5 4 2 2 4 2 2 2 5" xfId="13790"/>
    <cellStyle name="常规 5 4 2 2 4 2 2 2 6" xfId="25177"/>
    <cellStyle name="常规 5 4 2 2 4 2 2 3" xfId="19115"/>
    <cellStyle name="常规 5 4 2 2 4 2 2 3 2" xfId="19119"/>
    <cellStyle name="常规 5 4 2 2 4 2 2 3 2 2" xfId="16778"/>
    <cellStyle name="常规 5 4 2 2 4 2 2 3 2 2 2" xfId="23939"/>
    <cellStyle name="常规 5 4 2 2 4 2 2 3 2 3" xfId="29764"/>
    <cellStyle name="常规 5 4 2 2 4 2 2 3 2 4" xfId="32238"/>
    <cellStyle name="常规 5 4 2 2 4 2 2 3 3" xfId="29797"/>
    <cellStyle name="常规 5 4 2 2 4 2 2 3 3 2" xfId="32239"/>
    <cellStyle name="常规 5 4 2 2 4 2 2 3 4" xfId="29799"/>
    <cellStyle name="常规 5 4 2 2 4 2 2 3 5" xfId="32240"/>
    <cellStyle name="常规 5 4 2 2 4 2 2 4" xfId="3805"/>
    <cellStyle name="常规 5 4 2 2 4 2 2 4 2" xfId="15554"/>
    <cellStyle name="常规 5 4 2 2 4 2 2 4 2 2" xfId="32241"/>
    <cellStyle name="常规 5 4 2 2 4 2 2 4 3" xfId="32242"/>
    <cellStyle name="常规 5 4 2 2 4 2 2 4 4" xfId="32243"/>
    <cellStyle name="常规 5 4 2 2 4 2 2 5" xfId="15557"/>
    <cellStyle name="常规 5 4 2 2 4 2 2 5 2" xfId="32244"/>
    <cellStyle name="常规 5 4 2 2 4 2 2 6" xfId="15561"/>
    <cellStyle name="常规 5 4 2 2 4 2 2 7" xfId="27278"/>
    <cellStyle name="常规 5 4 2 2 4 2 3" xfId="21852"/>
    <cellStyle name="常规 5 4 2 2 4 2 3 2" xfId="21856"/>
    <cellStyle name="常规 5 4 2 2 4 2 3 2 2" xfId="32245"/>
    <cellStyle name="常规 5 4 2 2 4 2 3 2 2 2" xfId="29979"/>
    <cellStyle name="常规 5 4 2 2 4 2 3 2 2 2 2" xfId="32246"/>
    <cellStyle name="常规 5 4 2 2 4 2 3 2 2 3" xfId="29775"/>
    <cellStyle name="常规 5 4 2 2 4 2 3 2 2 4" xfId="32248"/>
    <cellStyle name="常规 5 4 2 2 4 2 3 2 3" xfId="32249"/>
    <cellStyle name="常规 5 4 2 2 4 2 3 2 3 2" xfId="29991"/>
    <cellStyle name="常规 5 4 2 2 4 2 3 2 4" xfId="32250"/>
    <cellStyle name="常规 5 4 2 2 4 2 3 2 5" xfId="22082"/>
    <cellStyle name="常规 5 4 2 2 4 2 3 3" xfId="19124"/>
    <cellStyle name="常规 5 4 2 2 4 2 3 3 2" xfId="29801"/>
    <cellStyle name="常规 5 4 2 2 4 2 3 3 2 2" xfId="30008"/>
    <cellStyle name="常规 5 4 2 2 4 2 3 3 3" xfId="32251"/>
    <cellStyle name="常规 5 4 2 2 4 2 3 3 4" xfId="32252"/>
    <cellStyle name="常规 5 4 2 2 4 2 3 4" xfId="15565"/>
    <cellStyle name="常规 5 4 2 2 4 2 3 4 2" xfId="32253"/>
    <cellStyle name="常规 5 4 2 2 4 2 3 5" xfId="29803"/>
    <cellStyle name="常规 5 4 2 2 4 2 3 6" xfId="32254"/>
    <cellStyle name="常规 5 4 2 2 4 2 4" xfId="21859"/>
    <cellStyle name="常规 5 4 2 2 4 2 4 2" xfId="32255"/>
    <cellStyle name="常规 5 4 2 2 4 2 4 2 2" xfId="32256"/>
    <cellStyle name="常规 5 4 2 2 4 2 4 2 2 2" xfId="30029"/>
    <cellStyle name="常规 5 4 2 2 4 2 4 2 3" xfId="32257"/>
    <cellStyle name="常规 5 4 2 2 4 2 4 2 4" xfId="32258"/>
    <cellStyle name="常规 5 4 2 2 4 2 4 3" xfId="29805"/>
    <cellStyle name="常规 5 4 2 2 4 2 4 3 2" xfId="32259"/>
    <cellStyle name="常规 5 4 2 2 4 2 4 4" xfId="32261"/>
    <cellStyle name="常规 5 4 2 2 4 2 4 5" xfId="31743"/>
    <cellStyle name="常规 5 4 2 2 4 2 5" xfId="21862"/>
    <cellStyle name="常规 5 4 2 2 4 2 5 2" xfId="32262"/>
    <cellStyle name="常规 5 4 2 2 4 2 5 2 2" xfId="32263"/>
    <cellStyle name="常规 5 4 2 2 4 2 5 3" xfId="32264"/>
    <cellStyle name="常规 5 4 2 2 4 2 5 4" xfId="32265"/>
    <cellStyle name="常规 5 4 2 2 4 2 6" xfId="28718"/>
    <cellStyle name="常规 5 4 2 2 4 2 6 2" xfId="28721"/>
    <cellStyle name="常规 5 4 2 2 4 2 7" xfId="28724"/>
    <cellStyle name="常规 5 4 2 2 4 2 8" xfId="28727"/>
    <cellStyle name="常规 5 4 2 2 4 3" xfId="20527"/>
    <cellStyle name="常规 5 4 2 2 4 3 2" xfId="20529"/>
    <cellStyle name="常规 5 4 2 2 4 3 2 2" xfId="30752"/>
    <cellStyle name="常规 5 4 2 2 4 3 2 2 2" xfId="1645"/>
    <cellStyle name="常规 5 4 2 2 4 3 2 2 2 2" xfId="22508"/>
    <cellStyle name="常规 5 4 2 2 4 3 2 2 2 2 2" xfId="22510"/>
    <cellStyle name="常规 5 4 2 2 4 3 2 2 2 3" xfId="22512"/>
    <cellStyle name="常规 5 4 2 2 4 3 2 2 2 4" xfId="22515"/>
    <cellStyle name="常规 5 4 2 2 4 3 2 2 3" xfId="1345"/>
    <cellStyle name="常规 5 4 2 2 4 3 2 2 3 2" xfId="438"/>
    <cellStyle name="常规 5 4 2 2 4 3 2 2 4" xfId="1361"/>
    <cellStyle name="常规 5 4 2 2 4 3 2 2 5" xfId="714"/>
    <cellStyle name="常规 5 4 2 2 4 3 2 3" xfId="19133"/>
    <cellStyle name="常规 5 4 2 2 4 3 2 3 2" xfId="32266"/>
    <cellStyle name="常规 5 4 2 2 4 3 2 3 2 2" xfId="22753"/>
    <cellStyle name="常规 5 4 2 2 4 3 2 3 3" xfId="32267"/>
    <cellStyle name="常规 5 4 2 2 4 3 2 3 4" xfId="32268"/>
    <cellStyle name="常规 5 4 2 2 4 3 2 4" xfId="15583"/>
    <cellStyle name="常规 5 4 2 2 4 3 2 4 2" xfId="32269"/>
    <cellStyle name="常规 5 4 2 2 4 3 2 5" xfId="32270"/>
    <cellStyle name="常规 5 4 2 2 4 3 2 6" xfId="32271"/>
    <cellStyle name="常规 5 4 2 2 4 3 3" xfId="21867"/>
    <cellStyle name="常规 5 4 2 2 4 3 3 2" xfId="30754"/>
    <cellStyle name="常规 5 4 2 2 4 3 3 2 2" xfId="32272"/>
    <cellStyle name="常规 5 4 2 2 4 3 3 2 2 2" xfId="22988"/>
    <cellStyle name="常规 5 4 2 2 4 3 3 2 3" xfId="32273"/>
    <cellStyle name="常规 5 4 2 2 4 3 3 2 4" xfId="32274"/>
    <cellStyle name="常规 5 4 2 2 4 3 3 3" xfId="32275"/>
    <cellStyle name="常规 5 4 2 2 4 3 3 3 2" xfId="32276"/>
    <cellStyle name="常规 5 4 2 2 4 3 3 4" xfId="32277"/>
    <cellStyle name="常规 5 4 2 2 4 3 3 5" xfId="32278"/>
    <cellStyle name="常规 5 4 2 2 4 3 4" xfId="30756"/>
    <cellStyle name="常规 5 4 2 2 4 3 4 2" xfId="32279"/>
    <cellStyle name="常规 5 4 2 2 4 3 4 2 2" xfId="32280"/>
    <cellStyle name="常规 5 4 2 2 4 3 4 3" xfId="32282"/>
    <cellStyle name="常规 5 4 2 2 4 3 4 4" xfId="32283"/>
    <cellStyle name="常规 5 4 2 2 4 3 5" xfId="30758"/>
    <cellStyle name="常规 5 4 2 2 4 3 5 2" xfId="32284"/>
    <cellStyle name="常规 5 4 2 2 4 3 6" xfId="28732"/>
    <cellStyle name="常规 5 4 2 2 4 3 7" xfId="11187"/>
    <cellStyle name="常规 5 4 2 2 4 4" xfId="5543"/>
    <cellStyle name="常规 5 4 2 2 4 4 2" xfId="30782"/>
    <cellStyle name="常规 5 4 2 2 4 4 2 2" xfId="30784"/>
    <cellStyle name="常规 5 4 2 2 4 4 2 2 2" xfId="32285"/>
    <cellStyle name="常规 5 4 2 2 4 4 2 2 2 2" xfId="23938"/>
    <cellStyle name="常规 5 4 2 2 4 4 2 2 3" xfId="32286"/>
    <cellStyle name="常规 5 4 2 2 4 4 2 2 4" xfId="32287"/>
    <cellStyle name="常规 5 4 2 2 4 4 2 3" xfId="30087"/>
    <cellStyle name="常规 5 4 2 2 4 4 2 3 2" xfId="32288"/>
    <cellStyle name="常规 5 4 2 2 4 4 2 4" xfId="32289"/>
    <cellStyle name="常规 5 4 2 2 4 4 2 5" xfId="32290"/>
    <cellStyle name="常规 5 4 2 2 4 4 3" xfId="30786"/>
    <cellStyle name="常规 5 4 2 2 4 4 3 2" xfId="23599"/>
    <cellStyle name="常规 5 4 2 2 4 4 3 2 2" xfId="32291"/>
    <cellStyle name="常规 5 4 2 2 4 4 3 3" xfId="32292"/>
    <cellStyle name="常规 5 4 2 2 4 4 3 4" xfId="32293"/>
    <cellStyle name="常规 5 4 2 2 4 4 4" xfId="30788"/>
    <cellStyle name="常规 5 4 2 2 4 4 4 2" xfId="32294"/>
    <cellStyle name="常规 5 4 2 2 4 4 5" xfId="32295"/>
    <cellStyle name="常规 5 4 2 2 4 4 6" xfId="32296"/>
    <cellStyle name="常规 5 4 2 2 4 5" xfId="20532"/>
    <cellStyle name="常规 5 4 2 2 4 5 2" xfId="30811"/>
    <cellStyle name="常规 5 4 2 2 4 5 2 2" xfId="20997"/>
    <cellStyle name="常规 5 4 2 2 4 5 2 2 2" xfId="32297"/>
    <cellStyle name="常规 5 4 2 2 4 5 2 3" xfId="32298"/>
    <cellStyle name="常规 5 4 2 2 4 5 2 4" xfId="32299"/>
    <cellStyle name="常规 5 4 2 2 4 5 3" xfId="30813"/>
    <cellStyle name="常规 5 4 2 2 4 5 3 2" xfId="32300"/>
    <cellStyle name="常规 5 4 2 2 4 5 4" xfId="32301"/>
    <cellStyle name="常规 5 4 2 2 4 5 5" xfId="32302"/>
    <cellStyle name="常规 5 4 2 2 4 6" xfId="32303"/>
    <cellStyle name="常规 5 4 2 2 4 6 2" xfId="28969"/>
    <cellStyle name="常规 5 4 2 2 4 6 2 2" xfId="22937"/>
    <cellStyle name="常规 5 4 2 2 4 6 3" xfId="8499"/>
    <cellStyle name="常规 5 4 2 2 4 6 4" xfId="8508"/>
    <cellStyle name="常规 5 4 2 2 4 7" xfId="32304"/>
    <cellStyle name="常规 5 4 2 2 4 7 2" xfId="28978"/>
    <cellStyle name="常规 5 4 2 2 4 8" xfId="32305"/>
    <cellStyle name="常规 5 4 2 2 4 9" xfId="32306"/>
    <cellStyle name="常规 5 4 2 2 5" xfId="32308"/>
    <cellStyle name="常规 5 4 2 2 5 2" xfId="32309"/>
    <cellStyle name="常规 5 4 2 2 5 2 2" xfId="31306"/>
    <cellStyle name="常规 5 4 2 2 5 2 2 2" xfId="31308"/>
    <cellStyle name="常规 5 4 2 2 5 2 2 2 2" xfId="31310"/>
    <cellStyle name="常规 5 4 2 2 5 2 2 2 2 2" xfId="32310"/>
    <cellStyle name="常规 5 4 2 2 5 2 2 2 2 2 2" xfId="32312"/>
    <cellStyle name="常规 5 4 2 2 5 2 2 2 2 3" xfId="32313"/>
    <cellStyle name="常规 5 4 2 2 5 2 2 2 2 4" xfId="32314"/>
    <cellStyle name="常规 5 4 2 2 5 2 2 2 3" xfId="27748"/>
    <cellStyle name="常规 5 4 2 2 5 2 2 2 3 2" xfId="32315"/>
    <cellStyle name="常规 5 4 2 2 5 2 2 2 4" xfId="32316"/>
    <cellStyle name="常规 5 4 2 2 5 2 2 2 5" xfId="32317"/>
    <cellStyle name="常规 5 4 2 2 5 2 2 3" xfId="19154"/>
    <cellStyle name="常规 5 4 2 2 5 2 2 3 2" xfId="31406"/>
    <cellStyle name="常规 5 4 2 2 5 2 2 3 2 2" xfId="31408"/>
    <cellStyle name="常规 5 4 2 2 5 2 2 3 3" xfId="31410"/>
    <cellStyle name="常规 5 4 2 2 5 2 2 3 4" xfId="31412"/>
    <cellStyle name="常规 5 4 2 2 5 2 2 4" xfId="15629"/>
    <cellStyle name="常规 5 4 2 2 5 2 2 4 2" xfId="31414"/>
    <cellStyle name="常规 5 4 2 2 5 2 2 5" xfId="31417"/>
    <cellStyle name="常规 5 4 2 2 5 2 2 6" xfId="31421"/>
    <cellStyle name="常规 5 4 2 2 5 2 3" xfId="21877"/>
    <cellStyle name="常规 5 4 2 2 5 2 3 2" xfId="31312"/>
    <cellStyle name="常规 5 4 2 2 5 2 3 2 2" xfId="32318"/>
    <cellStyle name="常规 5 4 2 2 5 2 3 2 2 2" xfId="30530"/>
    <cellStyle name="常规 5 4 2 2 5 2 3 2 3" xfId="15902"/>
    <cellStyle name="常规 5 4 2 2 5 2 3 2 4" xfId="15908"/>
    <cellStyle name="常规 5 4 2 2 5 2 3 3" xfId="31425"/>
    <cellStyle name="常规 5 4 2 2 5 2 3 3 2" xfId="27589"/>
    <cellStyle name="常规 5 4 2 2 5 2 3 4" xfId="31427"/>
    <cellStyle name="常规 5 4 2 2 5 2 3 5" xfId="31429"/>
    <cellStyle name="常规 5 4 2 2 5 2 4" xfId="31314"/>
    <cellStyle name="常规 5 4 2 2 5 2 4 2" xfId="32319"/>
    <cellStyle name="常规 5 4 2 2 5 2 4 2 2" xfId="32320"/>
    <cellStyle name="常规 5 4 2 2 5 2 4 3" xfId="31432"/>
    <cellStyle name="常规 5 4 2 2 5 2 4 4" xfId="32321"/>
    <cellStyle name="常规 5 4 2 2 5 2 5" xfId="31316"/>
    <cellStyle name="常规 5 4 2 2 5 2 5 2" xfId="32322"/>
    <cellStyle name="常规 5 4 2 2 5 2 6" xfId="28745"/>
    <cellStyle name="常规 5 4 2 2 5 2 7" xfId="32324"/>
    <cellStyle name="常规 5 4 2 2 5 3" xfId="20535"/>
    <cellStyle name="常规 5 4 2 2 5 3 2" xfId="31347"/>
    <cellStyle name="常规 5 4 2 2 5 3 2 2" xfId="23413"/>
    <cellStyle name="常规 5 4 2 2 5 3 2 2 2" xfId="32325"/>
    <cellStyle name="常规 5 4 2 2 5 3 2 2 2 2" xfId="32326"/>
    <cellStyle name="常规 5 4 2 2 5 3 2 2 3" xfId="32327"/>
    <cellStyle name="常规 5 4 2 2 5 3 2 2 4" xfId="32328"/>
    <cellStyle name="常规 5 4 2 2 5 3 2 3" xfId="23416"/>
    <cellStyle name="常规 5 4 2 2 5 3 2 3 2" xfId="31437"/>
    <cellStyle name="常规 5 4 2 2 5 3 2 4" xfId="31439"/>
    <cellStyle name="常规 5 4 2 2 5 3 2 5" xfId="31441"/>
    <cellStyle name="常规 5 4 2 2 5 3 3" xfId="31349"/>
    <cellStyle name="常规 5 4 2 2 5 3 3 2" xfId="32329"/>
    <cellStyle name="常规 5 4 2 2 5 3 3 2 2" xfId="32330"/>
    <cellStyle name="常规 5 4 2 2 5 3 3 3" xfId="31444"/>
    <cellStyle name="常规 5 4 2 2 5 3 3 4" xfId="32331"/>
    <cellStyle name="常规 5 4 2 2 5 3 4" xfId="31351"/>
    <cellStyle name="常规 5 4 2 2 5 3 4 2" xfId="24464"/>
    <cellStyle name="常规 5 4 2 2 5 3 5" xfId="32332"/>
    <cellStyle name="常规 5 4 2 2 5 3 6" xfId="32334"/>
    <cellStyle name="常规 5 4 2 2 5 4" xfId="32335"/>
    <cellStyle name="常规 5 4 2 2 5 4 2" xfId="31373"/>
    <cellStyle name="常规 5 4 2 2 5 4 2 2" xfId="32336"/>
    <cellStyle name="常规 5 4 2 2 5 4 2 2 2" xfId="32337"/>
    <cellStyle name="常规 5 4 2 2 5 4 2 3" xfId="31447"/>
    <cellStyle name="常规 5 4 2 2 5 4 2 4" xfId="32338"/>
    <cellStyle name="常规 5 4 2 2 5 4 3" xfId="31375"/>
    <cellStyle name="常规 5 4 2 2 5 4 3 2" xfId="32339"/>
    <cellStyle name="常规 5 4 2 2 5 4 4" xfId="32340"/>
    <cellStyle name="常规 5 4 2 2 5 4 5" xfId="32341"/>
    <cellStyle name="常规 5 4 2 2 5 5" xfId="32342"/>
    <cellStyle name="常规 5 4 2 2 5 5 2" xfId="31388"/>
    <cellStyle name="常规 5 4 2 2 5 5 2 2" xfId="25891"/>
    <cellStyle name="常规 5 4 2 2 5 5 3" xfId="32343"/>
    <cellStyle name="常规 5 4 2 2 5 5 4" xfId="32344"/>
    <cellStyle name="常规 5 4 2 2 5 6" xfId="32345"/>
    <cellStyle name="常规 5 4 2 2 5 6 2" xfId="28989"/>
    <cellStyle name="常规 5 4 2 2 5 7" xfId="32346"/>
    <cellStyle name="常规 5 4 2 2 5 8" xfId="18109"/>
    <cellStyle name="常规 5 4 2 2 6" xfId="32347"/>
    <cellStyle name="常规 5 4 2 2 6 2" xfId="30850"/>
    <cellStyle name="常规 5 4 2 2 6 2 2" xfId="31575"/>
    <cellStyle name="常规 5 4 2 2 6 2 2 2" xfId="31577"/>
    <cellStyle name="常规 5 4 2 2 6 2 2 2 2" xfId="32348"/>
    <cellStyle name="常规 5 4 2 2 6 2 2 2 2 2" xfId="32349"/>
    <cellStyle name="常规 5 4 2 2 6 2 2 2 3" xfId="406"/>
    <cellStyle name="常规 5 4 2 2 6 2 2 2 4" xfId="32350"/>
    <cellStyle name="常规 5 4 2 2 6 2 2 3" xfId="26592"/>
    <cellStyle name="常规 5 4 2 2 6 2 2 3 2" xfId="26597"/>
    <cellStyle name="常规 5 4 2 2 6 2 2 4" xfId="26602"/>
    <cellStyle name="常规 5 4 2 2 6 2 2 5" xfId="17402"/>
    <cellStyle name="常规 5 4 2 2 6 2 3" xfId="31579"/>
    <cellStyle name="常规 5 4 2 2 6 2 3 2" xfId="32351"/>
    <cellStyle name="常规 5 4 2 2 6 2 3 2 2" xfId="32352"/>
    <cellStyle name="常规 5 4 2 2 6 2 3 3" xfId="26612"/>
    <cellStyle name="常规 5 4 2 2 6 2 3 4" xfId="32353"/>
    <cellStyle name="常规 5 4 2 2 6 2 4" xfId="31581"/>
    <cellStyle name="常规 5 4 2 2 6 2 4 2" xfId="16527"/>
    <cellStyle name="常规 5 4 2 2 6 2 5" xfId="32355"/>
    <cellStyle name="常规 5 4 2 2 6 2 6" xfId="25582"/>
    <cellStyle name="常规 5 4 2 2 6 3" xfId="30852"/>
    <cellStyle name="常规 5 4 2 2 6 3 2" xfId="31600"/>
    <cellStyle name="常规 5 4 2 2 6 3 2 2" xfId="32356"/>
    <cellStyle name="常规 5 4 2 2 6 3 2 2 2" xfId="32357"/>
    <cellStyle name="常规 5 4 2 2 6 3 2 3" xfId="26622"/>
    <cellStyle name="常规 5 4 2 2 6 3 2 4" xfId="32358"/>
    <cellStyle name="常规 5 4 2 2 6 3 3" xfId="31602"/>
    <cellStyle name="常规 5 4 2 2 6 3 3 2" xfId="32359"/>
    <cellStyle name="常规 5 4 2 2 6 3 4" xfId="32360"/>
    <cellStyle name="常规 5 4 2 2 6 3 5" xfId="32362"/>
    <cellStyle name="常规 5 4 2 2 6 4" xfId="32363"/>
    <cellStyle name="常规 5 4 2 2 6 4 2" xfId="31619"/>
    <cellStyle name="常规 5 4 2 2 6 4 2 2" xfId="32364"/>
    <cellStyle name="常规 5 4 2 2 6 4 3" xfId="32365"/>
    <cellStyle name="常规 5 4 2 2 6 4 4" xfId="32366"/>
    <cellStyle name="常规 5 4 2 2 6 5" xfId="32367"/>
    <cellStyle name="常规 5 4 2 2 6 5 2" xfId="32368"/>
    <cellStyle name="常规 5 4 2 2 6 6" xfId="32369"/>
    <cellStyle name="常规 5 4 2 2 6 7" xfId="32370"/>
    <cellStyle name="常规 5 4 2 2 7" xfId="32371"/>
    <cellStyle name="常规 5 4 2 2 7 2" xfId="32372"/>
    <cellStyle name="常规 5 4 2 2 7 2 2" xfId="17918"/>
    <cellStyle name="常规 5 4 2 2 7 2 2 2" xfId="32373"/>
    <cellStyle name="常规 5 4 2 2 7 2 2 2 2" xfId="32375"/>
    <cellStyle name="常规 5 4 2 2 7 2 2 3" xfId="26676"/>
    <cellStyle name="常规 5 4 2 2 7 2 2 4" xfId="32376"/>
    <cellStyle name="常规 5 4 2 2 7 2 3" xfId="17921"/>
    <cellStyle name="常规 5 4 2 2 7 2 3 2" xfId="32377"/>
    <cellStyle name="常规 5 4 2 2 7 2 4" xfId="32378"/>
    <cellStyle name="常规 5 4 2 2 7 2 5" xfId="32380"/>
    <cellStyle name="常规 5 4 2 2 7 3" xfId="32381"/>
    <cellStyle name="常规 5 4 2 2 7 3 2" xfId="17928"/>
    <cellStyle name="常规 5 4 2 2 7 3 2 2" xfId="32382"/>
    <cellStyle name="常规 5 4 2 2 7 3 3" xfId="2518"/>
    <cellStyle name="常规 5 4 2 2 7 3 4" xfId="2528"/>
    <cellStyle name="常规 5 4 2 2 7 4" xfId="32383"/>
    <cellStyle name="常规 5 4 2 2 7 4 2" xfId="32384"/>
    <cellStyle name="常规 5 4 2 2 7 5" xfId="32385"/>
    <cellStyle name="常规 5 4 2 2 7 6" xfId="9972"/>
    <cellStyle name="常规 5 4 2 2 8" xfId="32386"/>
    <cellStyle name="常规 5 4 2 2 8 2" xfId="32387"/>
    <cellStyle name="常规 5 4 2 2 8 2 2" xfId="17965"/>
    <cellStyle name="常规 5 4 2 2 8 2 2 2" xfId="24778"/>
    <cellStyle name="常规 5 4 2 2 8 2 3" xfId="32388"/>
    <cellStyle name="常规 5 4 2 2 8 2 4" xfId="32389"/>
    <cellStyle name="常规 5 4 2 2 8 3" xfId="32390"/>
    <cellStyle name="常规 5 4 2 2 8 3 2" xfId="32391"/>
    <cellStyle name="常规 5 4 2 2 8 4" xfId="32392"/>
    <cellStyle name="常规 5 4 2 2 8 5" xfId="32393"/>
    <cellStyle name="常规 5 4 2 2 9" xfId="23515"/>
    <cellStyle name="常规 5 4 2 2 9 2" xfId="20311"/>
    <cellStyle name="常规 5 4 2 2 9 2 2" xfId="20313"/>
    <cellStyle name="常规 5 4 2 2 9 3" xfId="20333"/>
    <cellStyle name="常规 5 4 2 2 9 4" xfId="20344"/>
    <cellStyle name="常规 5 4 2 3" xfId="32394"/>
    <cellStyle name="常规 5 4 2 3 10" xfId="32395"/>
    <cellStyle name="常规 5 4 2 3 11" xfId="11150"/>
    <cellStyle name="常规 5 4 2 3 2" xfId="32396"/>
    <cellStyle name="常规 5 4 2 3 2 2" xfId="32397"/>
    <cellStyle name="常规 5 4 2 3 2 2 2" xfId="32398"/>
    <cellStyle name="常规 5 4 2 3 2 2 2 2" xfId="32399"/>
    <cellStyle name="常规 5 4 2 3 2 2 2 2 2" xfId="19713"/>
    <cellStyle name="常规 5 4 2 3 2 2 2 2 2 2" xfId="32401"/>
    <cellStyle name="常规 5 4 2 3 2 2 2 2 2 2 2" xfId="10758"/>
    <cellStyle name="常规 5 4 2 3 2 2 2 2 2 2 2 2" xfId="29860"/>
    <cellStyle name="常规 5 4 2 3 2 2 2 2 2 2 3" xfId="10761"/>
    <cellStyle name="常规 5 4 2 3 2 2 2 2 2 2 4" xfId="32402"/>
    <cellStyle name="常规 5 4 2 3 2 2 2 2 2 3" xfId="31065"/>
    <cellStyle name="常规 5 4 2 3 2 2 2 2 2 3 2" xfId="31067"/>
    <cellStyle name="常规 5 4 2 3 2 2 2 2 2 4" xfId="31070"/>
    <cellStyle name="常规 5 4 2 3 2 2 2 2 2 5" xfId="31072"/>
    <cellStyle name="常规 5 4 2 3 2 2 2 2 3" xfId="19716"/>
    <cellStyle name="常规 5 4 2 3 2 2 2 2 3 2" xfId="32404"/>
    <cellStyle name="常规 5 4 2 3 2 2 2 2 3 2 2" xfId="32405"/>
    <cellStyle name="常规 5 4 2 3 2 2 2 2 3 3" xfId="31076"/>
    <cellStyle name="常规 5 4 2 3 2 2 2 2 3 4" xfId="32406"/>
    <cellStyle name="常规 5 4 2 3 2 2 2 2 4" xfId="32408"/>
    <cellStyle name="常规 5 4 2 3 2 2 2 2 4 2" xfId="32409"/>
    <cellStyle name="常规 5 4 2 3 2 2 2 2 5" xfId="6578"/>
    <cellStyle name="常规 5 4 2 3 2 2 2 2 6" xfId="6607"/>
    <cellStyle name="常规 5 4 2 3 2 2 2 3" xfId="19208"/>
    <cellStyle name="常规 5 4 2 3 2 2 2 3 2" xfId="19211"/>
    <cellStyle name="常规 5 4 2 3 2 2 2 3 2 2" xfId="19214"/>
    <cellStyle name="常规 5 4 2 3 2 2 2 3 2 2 2" xfId="32410"/>
    <cellStyle name="常规 5 4 2 3 2 2 2 3 2 3" xfId="31081"/>
    <cellStyle name="常规 5 4 2 3 2 2 2 3 2 4" xfId="32411"/>
    <cellStyle name="常规 5 4 2 3 2 2 2 3 3" xfId="19217"/>
    <cellStyle name="常规 5 4 2 3 2 2 2 3 3 2" xfId="32412"/>
    <cellStyle name="常规 5 4 2 3 2 2 2 3 4" xfId="19220"/>
    <cellStyle name="常规 5 4 2 3 2 2 2 3 5" xfId="6662"/>
    <cellStyle name="常规 5 4 2 3 2 2 2 4" xfId="19222"/>
    <cellStyle name="常规 5 4 2 3 2 2 2 4 2" xfId="19225"/>
    <cellStyle name="常规 5 4 2 3 2 2 2 4 2 2" xfId="32413"/>
    <cellStyle name="常规 5 4 2 3 2 2 2 4 3" xfId="32414"/>
    <cellStyle name="常规 5 4 2 3 2 2 2 4 4" xfId="26062"/>
    <cellStyle name="常规 5 4 2 3 2 2 2 5" xfId="17774"/>
    <cellStyle name="常规 5 4 2 3 2 2 2 5 2" xfId="32417"/>
    <cellStyle name="常规 5 4 2 3 2 2 2 6" xfId="19228"/>
    <cellStyle name="常规 5 4 2 3 2 2 2 7" xfId="32419"/>
    <cellStyle name="常规 5 4 2 3 2 2 3" xfId="21892"/>
    <cellStyle name="常规 5 4 2 3 2 2 3 2" xfId="21894"/>
    <cellStyle name="常规 5 4 2 3 2 2 3 2 2" xfId="21897"/>
    <cellStyle name="常规 5 4 2 3 2 2 3 2 2 2" xfId="32422"/>
    <cellStyle name="常规 5 4 2 3 2 2 3 2 2 2 2" xfId="32423"/>
    <cellStyle name="常规 5 4 2 3 2 2 3 2 2 3" xfId="31091"/>
    <cellStyle name="常规 5 4 2 3 2 2 3 2 2 4" xfId="27733"/>
    <cellStyle name="常规 5 4 2 3 2 2 3 2 3" xfId="32425"/>
    <cellStyle name="常规 5 4 2 3 2 2 3 2 3 2" xfId="32426"/>
    <cellStyle name="常规 5 4 2 3 2 2 3 2 4" xfId="32428"/>
    <cellStyle name="常规 5 4 2 3 2 2 3 2 5" xfId="6921"/>
    <cellStyle name="常规 5 4 2 3 2 2 3 3" xfId="19232"/>
    <cellStyle name="常规 5 4 2 3 2 2 3 3 2" xfId="19236"/>
    <cellStyle name="常规 5 4 2 3 2 2 3 3 2 2" xfId="32429"/>
    <cellStyle name="常规 5 4 2 3 2 2 3 3 3" xfId="32431"/>
    <cellStyle name="常规 5 4 2 3 2 2 3 3 4" xfId="32432"/>
    <cellStyle name="常规 5 4 2 3 2 2 3 4" xfId="19238"/>
    <cellStyle name="常规 5 4 2 3 2 2 3 4 2" xfId="32433"/>
    <cellStyle name="常规 5 4 2 3 2 2 3 5" xfId="19241"/>
    <cellStyle name="常规 5 4 2 3 2 2 3 6" xfId="4669"/>
    <cellStyle name="常规 5 4 2 3 2 2 4" xfId="21899"/>
    <cellStyle name="常规 5 4 2 3 2 2 4 2" xfId="21901"/>
    <cellStyle name="常规 5 4 2 3 2 2 4 2 2" xfId="32435"/>
    <cellStyle name="常规 5 4 2 3 2 2 4 2 2 2" xfId="5770"/>
    <cellStyle name="常规 5 4 2 3 2 2 4 2 3" xfId="32437"/>
    <cellStyle name="常规 5 4 2 3 2 2 4 2 4" xfId="27875"/>
    <cellStyle name="常规 5 4 2 3 2 2 4 3" xfId="19244"/>
    <cellStyle name="常规 5 4 2 3 2 2 4 3 2" xfId="32438"/>
    <cellStyle name="常规 5 4 2 3 2 2 4 4" xfId="19689"/>
    <cellStyle name="常规 5 4 2 3 2 2 4 5" xfId="19726"/>
    <cellStyle name="常规 5 4 2 3 2 2 5" xfId="19923"/>
    <cellStyle name="常规 5 4 2 3 2 2 5 2" xfId="32439"/>
    <cellStyle name="常规 5 4 2 3 2 2 5 2 2" xfId="32440"/>
    <cellStyle name="常规 5 4 2 3 2 2 5 3" xfId="538"/>
    <cellStyle name="常规 5 4 2 3 2 2 5 4" xfId="262"/>
    <cellStyle name="常规 5 4 2 3 2 2 6" xfId="21904"/>
    <cellStyle name="常规 5 4 2 3 2 2 6 2" xfId="28760"/>
    <cellStyle name="常规 5 4 2 3 2 2 7" xfId="28767"/>
    <cellStyle name="常规 5 4 2 3 2 2 8" xfId="28772"/>
    <cellStyle name="常规 5 4 2 3 2 3" xfId="32441"/>
    <cellStyle name="常规 5 4 2 3 2 3 2" xfId="32442"/>
    <cellStyle name="常规 5 4 2 3 2 3 2 2" xfId="16631"/>
    <cellStyle name="常规 5 4 2 3 2 3 2 2 2" xfId="16634"/>
    <cellStyle name="常规 5 4 2 3 2 3 2 2 2 2" xfId="32444"/>
    <cellStyle name="常规 5 4 2 3 2 3 2 2 2 2 2" xfId="32445"/>
    <cellStyle name="常规 5 4 2 3 2 3 2 2 2 3" xfId="31117"/>
    <cellStyle name="常规 5 4 2 3 2 3 2 2 2 4" xfId="15715"/>
    <cellStyle name="常规 5 4 2 3 2 3 2 2 3" xfId="13532"/>
    <cellStyle name="常规 5 4 2 3 2 3 2 2 3 2" xfId="32446"/>
    <cellStyle name="常规 5 4 2 3 2 3 2 2 4" xfId="32448"/>
    <cellStyle name="常规 5 4 2 3 2 3 2 2 5" xfId="7701"/>
    <cellStyle name="常规 5 4 2 3 2 3 2 3" xfId="16636"/>
    <cellStyle name="常规 5 4 2 3 2 3 2 3 2" xfId="16674"/>
    <cellStyle name="常规 5 4 2 3 2 3 2 3 2 2" xfId="32449"/>
    <cellStyle name="常规 5 4 2 3 2 3 2 3 3" xfId="32451"/>
    <cellStyle name="常规 5 4 2 3 2 3 2 3 4" xfId="32452"/>
    <cellStyle name="常规 5 4 2 3 2 3 2 4" xfId="16639"/>
    <cellStyle name="常规 5 4 2 3 2 3 2 4 2" xfId="32454"/>
    <cellStyle name="常规 5 4 2 3 2 3 2 5" xfId="19248"/>
    <cellStyle name="常规 5 4 2 3 2 3 2 6" xfId="32456"/>
    <cellStyle name="常规 5 4 2 3 2 3 3" xfId="21908"/>
    <cellStyle name="常规 5 4 2 3 2 3 3 2" xfId="2221"/>
    <cellStyle name="常规 5 4 2 3 2 3 3 2 2" xfId="32458"/>
    <cellStyle name="常规 5 4 2 3 2 3 3 2 2 2" xfId="32459"/>
    <cellStyle name="常规 5 4 2 3 2 3 3 2 3" xfId="32461"/>
    <cellStyle name="常规 5 4 2 3 2 3 3 2 4" xfId="32462"/>
    <cellStyle name="常规 5 4 2 3 2 3 3 3" xfId="2225"/>
    <cellStyle name="常规 5 4 2 3 2 3 3 3 2" xfId="32463"/>
    <cellStyle name="常规 5 4 2 3 2 3 3 4" xfId="2231"/>
    <cellStyle name="常规 5 4 2 3 2 3 3 5" xfId="2233"/>
    <cellStyle name="常规 5 4 2 3 2 3 4" xfId="21910"/>
    <cellStyle name="常规 5 4 2 3 2 3 4 2" xfId="4131"/>
    <cellStyle name="常规 5 4 2 3 2 3 4 2 2" xfId="32464"/>
    <cellStyle name="常规 5 4 2 3 2 3 4 3" xfId="4137"/>
    <cellStyle name="常规 5 4 2 3 2 3 4 4" xfId="4141"/>
    <cellStyle name="常规 5 4 2 3 2 3 5" xfId="21912"/>
    <cellStyle name="常规 5 4 2 3 2 3 5 2" xfId="419"/>
    <cellStyle name="常规 5 4 2 3 2 3 6" xfId="16644"/>
    <cellStyle name="常规 5 4 2 3 2 3 7" xfId="16648"/>
    <cellStyle name="常规 5 4 2 3 2 4" xfId="32466"/>
    <cellStyle name="常规 5 4 2 3 2 4 2" xfId="32467"/>
    <cellStyle name="常规 5 4 2 3 2 4 2 2" xfId="32468"/>
    <cellStyle name="常规 5 4 2 3 2 4 2 2 2" xfId="32470"/>
    <cellStyle name="常规 5 4 2 3 2 4 2 2 2 2" xfId="32471"/>
    <cellStyle name="常规 5 4 2 3 2 4 2 2 3" xfId="32473"/>
    <cellStyle name="常规 5 4 2 3 2 4 2 2 4" xfId="32474"/>
    <cellStyle name="常规 5 4 2 3 2 4 2 3" xfId="19254"/>
    <cellStyle name="常规 5 4 2 3 2 4 2 3 2" xfId="32475"/>
    <cellStyle name="常规 5 4 2 3 2 4 2 4" xfId="32476"/>
    <cellStyle name="常规 5 4 2 3 2 4 2 5" xfId="32477"/>
    <cellStyle name="常规 5 4 2 3 2 4 3" xfId="21915"/>
    <cellStyle name="常规 5 4 2 3 2 4 3 2" xfId="32478"/>
    <cellStyle name="常规 5 4 2 3 2 4 3 2 2" xfId="32479"/>
    <cellStyle name="常规 5 4 2 3 2 4 3 3" xfId="32480"/>
    <cellStyle name="常规 5 4 2 3 2 4 3 4" xfId="32481"/>
    <cellStyle name="常规 5 4 2 3 2 4 4" xfId="32482"/>
    <cellStyle name="常规 5 4 2 3 2 4 4 2" xfId="32483"/>
    <cellStyle name="常规 5 4 2 3 2 4 5" xfId="32484"/>
    <cellStyle name="常规 5 4 2 3 2 4 6" xfId="28788"/>
    <cellStyle name="常规 5 4 2 3 2 5" xfId="31796"/>
    <cellStyle name="常规 5 4 2 3 2 5 2" xfId="31798"/>
    <cellStyle name="常规 5 4 2 3 2 5 2 2" xfId="31800"/>
    <cellStyle name="常规 5 4 2 3 2 5 2 2 2" xfId="4570"/>
    <cellStyle name="常规 5 4 2 3 2 5 2 3" xfId="31802"/>
    <cellStyle name="常规 5 4 2 3 2 5 2 4" xfId="31804"/>
    <cellStyle name="常规 5 4 2 3 2 5 3" xfId="31807"/>
    <cellStyle name="常规 5 4 2 3 2 5 3 2" xfId="31809"/>
    <cellStyle name="常规 5 4 2 3 2 5 4" xfId="31811"/>
    <cellStyle name="常规 5 4 2 3 2 5 5" xfId="31813"/>
    <cellStyle name="常规 5 4 2 3 2 6" xfId="31815"/>
    <cellStyle name="常规 5 4 2 3 2 6 2" xfId="13414"/>
    <cellStyle name="常规 5 4 2 3 2 6 2 2" xfId="13421"/>
    <cellStyle name="常规 5 4 2 3 2 6 3" xfId="13433"/>
    <cellStyle name="常规 5 4 2 3 2 6 4" xfId="13441"/>
    <cellStyle name="常规 5 4 2 3 2 7" xfId="31817"/>
    <cellStyle name="常规 5 4 2 3 2 7 2" xfId="2041"/>
    <cellStyle name="常规 5 4 2 3 2 8" xfId="31819"/>
    <cellStyle name="常规 5 4 2 3 2 9" xfId="31821"/>
    <cellStyle name="常规 5 4 2 3 3" xfId="32486"/>
    <cellStyle name="常规 5 4 2 3 3 2" xfId="32487"/>
    <cellStyle name="常规 5 4 2 3 3 2 2" xfId="3426"/>
    <cellStyle name="常规 5 4 2 3 3 2 2 2" xfId="18812"/>
    <cellStyle name="常规 5 4 2 3 3 2 2 2 2" xfId="32489"/>
    <cellStyle name="常规 5 4 2 3 3 2 2 2 2 2" xfId="11778"/>
    <cellStyle name="常规 5 4 2 3 3 2 2 2 2 2 2" xfId="30586"/>
    <cellStyle name="常规 5 4 2 3 3 2 2 2 2 2 2 2" xfId="18672"/>
    <cellStyle name="常规 5 4 2 3 3 2 2 2 2 2 3" xfId="30601"/>
    <cellStyle name="常规 5 4 2 3 3 2 2 2 2 2 4" xfId="15469"/>
    <cellStyle name="常规 5 4 2 3 3 2 2 2 2 3" xfId="29833"/>
    <cellStyle name="常规 5 4 2 3 3 2 2 2 2 3 2" xfId="30614"/>
    <cellStyle name="常规 5 4 2 3 3 2 2 2 2 4" xfId="30625"/>
    <cellStyle name="常规 5 4 2 3 3 2 2 2 2 5" xfId="30634"/>
    <cellStyle name="常规 5 4 2 3 3 2 2 2 3" xfId="32492"/>
    <cellStyle name="常规 5 4 2 3 3 2 2 2 3 2" xfId="30686"/>
    <cellStyle name="常规 5 4 2 3 3 2 2 2 3 2 2" xfId="30688"/>
    <cellStyle name="常规 5 4 2 3 3 2 2 2 3 3" xfId="30694"/>
    <cellStyle name="常规 5 4 2 3 3 2 2 2 3 4" xfId="21853"/>
    <cellStyle name="常规 5 4 2 3 3 2 2 2 4" xfId="32494"/>
    <cellStyle name="常规 5 4 2 3 3 2 2 2 4 2" xfId="30749"/>
    <cellStyle name="常规 5 4 2 3 3 2 2 2 5" xfId="25822"/>
    <cellStyle name="常规 5 4 2 3 3 2 2 2 6" xfId="32495"/>
    <cellStyle name="常规 5 4 2 3 3 2 2 3" xfId="18814"/>
    <cellStyle name="常规 5 4 2 3 3 2 2 3 2" xfId="19267"/>
    <cellStyle name="常规 5 4 2 3 3 2 2 3 2 2" xfId="31240"/>
    <cellStyle name="常规 5 4 2 3 3 2 2 3 2 2 2" xfId="18082"/>
    <cellStyle name="常规 5 4 2 3 3 2 2 3 2 3" xfId="31246"/>
    <cellStyle name="常规 5 4 2 3 3 2 2 3 2 4" xfId="31250"/>
    <cellStyle name="常规 5 4 2 3 3 2 2 3 3" xfId="32497"/>
    <cellStyle name="常规 5 4 2 3 3 2 2 3 3 2" xfId="31299"/>
    <cellStyle name="常规 5 4 2 3 3 2 2 3 4" xfId="32499"/>
    <cellStyle name="常规 5 4 2 3 3 2 2 3 5" xfId="32500"/>
    <cellStyle name="常规 5 4 2 3 3 2 2 4" xfId="15743"/>
    <cellStyle name="常规 5 4 2 3 3 2 2 4 2" xfId="32502"/>
    <cellStyle name="常规 5 4 2 3 3 2 2 4 2 2" xfId="31532"/>
    <cellStyle name="常规 5 4 2 3 3 2 2 4 3" xfId="32504"/>
    <cellStyle name="常规 5 4 2 3 3 2 2 4 4" xfId="32505"/>
    <cellStyle name="常规 5 4 2 3 3 2 2 5" xfId="19269"/>
    <cellStyle name="常规 5 4 2 3 3 2 2 5 2" xfId="20078"/>
    <cellStyle name="常规 5 4 2 3 3 2 2 6" xfId="2310"/>
    <cellStyle name="常规 5 4 2 3 3 2 2 7" xfId="20087"/>
    <cellStyle name="常规 5 4 2 3 3 2 3" xfId="21922"/>
    <cellStyle name="常规 5 4 2 3 3 2 3 2" xfId="18833"/>
    <cellStyle name="常规 5 4 2 3 3 2 3 2 2" xfId="32507"/>
    <cellStyle name="常规 5 4 2 3 3 2 3 2 2 2" xfId="32509"/>
    <cellStyle name="常规 5 4 2 3 3 2 3 2 2 2 2" xfId="32510"/>
    <cellStyle name="常规 5 4 2 3 3 2 3 2 2 3" xfId="32511"/>
    <cellStyle name="常规 5 4 2 3 3 2 3 2 2 4" xfId="32513"/>
    <cellStyle name="常规 5 4 2 3 3 2 3 2 3" xfId="32515"/>
    <cellStyle name="常规 5 4 2 3 3 2 3 2 3 2" xfId="32516"/>
    <cellStyle name="常规 5 4 2 3 3 2 3 2 4" xfId="32518"/>
    <cellStyle name="常规 5 4 2 3 3 2 3 2 5" xfId="32519"/>
    <cellStyle name="常规 5 4 2 3 3 2 3 3" xfId="19273"/>
    <cellStyle name="常规 5 4 2 3 3 2 3 3 2" xfId="32521"/>
    <cellStyle name="常规 5 4 2 3 3 2 3 3 2 2" xfId="32522"/>
    <cellStyle name="常规 5 4 2 3 3 2 3 3 3" xfId="32524"/>
    <cellStyle name="常规 5 4 2 3 3 2 3 3 4" xfId="32525"/>
    <cellStyle name="常规 5 4 2 3 3 2 3 4" xfId="13099"/>
    <cellStyle name="常规 5 4 2 3 3 2 3 4 2" xfId="13101"/>
    <cellStyle name="常规 5 4 2 3 3 2 3 5" xfId="13106"/>
    <cellStyle name="常规 5 4 2 3 3 2 3 6" xfId="9897"/>
    <cellStyle name="常规 5 4 2 3 3 2 4" xfId="21924"/>
    <cellStyle name="常规 5 4 2 3 3 2 4 2" xfId="32526"/>
    <cellStyle name="常规 5 4 2 3 3 2 4 2 2" xfId="32528"/>
    <cellStyle name="常规 5 4 2 3 3 2 4 2 2 2" xfId="32530"/>
    <cellStyle name="常规 5 4 2 3 3 2 4 2 3" xfId="32532"/>
    <cellStyle name="常规 5 4 2 3 3 2 4 2 4" xfId="27955"/>
    <cellStyle name="常规 5 4 2 3 3 2 4 3" xfId="32533"/>
    <cellStyle name="常规 5 4 2 3 3 2 4 3 2" xfId="32534"/>
    <cellStyle name="常规 5 4 2 3 3 2 4 4" xfId="4198"/>
    <cellStyle name="常规 5 4 2 3 3 2 4 5" xfId="1254"/>
    <cellStyle name="常规 5 4 2 3 3 2 5" xfId="21926"/>
    <cellStyle name="常规 5 4 2 3 3 2 5 2" xfId="32535"/>
    <cellStyle name="常规 5 4 2 3 3 2 5 2 2" xfId="32536"/>
    <cellStyle name="常规 5 4 2 3 3 2 5 3" xfId="32537"/>
    <cellStyle name="常规 5 4 2 3 3 2 5 4" xfId="13114"/>
    <cellStyle name="常规 5 4 2 3 3 2 6" xfId="28795"/>
    <cellStyle name="常规 5 4 2 3 3 2 6 2" xfId="94"/>
    <cellStyle name="常规 5 4 2 3 3 2 7" xfId="28798"/>
    <cellStyle name="常规 5 4 2 3 3 2 8" xfId="1753"/>
    <cellStyle name="常规 5 4 2 3 3 3" xfId="32538"/>
    <cellStyle name="常规 5 4 2 3 3 3 2" xfId="32539"/>
    <cellStyle name="常规 5 4 2 3 3 3 2 2" xfId="18873"/>
    <cellStyle name="常规 5 4 2 3 3 3 2 2 2" xfId="32541"/>
    <cellStyle name="常规 5 4 2 3 3 3 2 2 2 2" xfId="29996"/>
    <cellStyle name="常规 5 4 2 3 3 3 2 2 2 2 2" xfId="32542"/>
    <cellStyle name="常规 5 4 2 3 3 3 2 2 2 3" xfId="29998"/>
    <cellStyle name="常规 5 4 2 3 3 3 2 2 2 4" xfId="32543"/>
    <cellStyle name="常规 5 4 2 3 3 3 2 2 3" xfId="32545"/>
    <cellStyle name="常规 5 4 2 3 3 3 2 2 3 2" xfId="8545"/>
    <cellStyle name="常规 5 4 2 3 3 3 2 2 4" xfId="16463"/>
    <cellStyle name="常规 5 4 2 3 3 3 2 2 5" xfId="7259"/>
    <cellStyle name="常规 5 4 2 3 3 3 2 3" xfId="19280"/>
    <cellStyle name="常规 5 4 2 3 3 3 2 3 2" xfId="16795"/>
    <cellStyle name="常规 5 4 2 3 3 3 2 3 2 2" xfId="32546"/>
    <cellStyle name="常规 5 4 2 3 3 3 2 3 3" xfId="14111"/>
    <cellStyle name="常规 5 4 2 3 3 3 2 3 4" xfId="14113"/>
    <cellStyle name="常规 5 4 2 3 3 3 2 4" xfId="32547"/>
    <cellStyle name="常规 5 4 2 3 3 3 2 4 2" xfId="32549"/>
    <cellStyle name="常规 5 4 2 3 3 3 2 5" xfId="20101"/>
    <cellStyle name="常规 5 4 2 3 3 3 2 6" xfId="2366"/>
    <cellStyle name="常规 5 4 2 3 3 3 3" xfId="21929"/>
    <cellStyle name="常规 5 4 2 3 3 3 3 2" xfId="32550"/>
    <cellStyle name="常规 5 4 2 3 3 3 3 2 2" xfId="32552"/>
    <cellStyle name="常规 5 4 2 3 3 3 3 2 2 2" xfId="31930"/>
    <cellStyle name="常规 5 4 2 3 3 3 3 2 3" xfId="32554"/>
    <cellStyle name="常规 5 4 2 3 3 3 3 2 4" xfId="16485"/>
    <cellStyle name="常规 5 4 2 3 3 3 3 3" xfId="32555"/>
    <cellStyle name="常规 5 4 2 3 3 3 3 3 2" xfId="32556"/>
    <cellStyle name="常规 5 4 2 3 3 3 3 4" xfId="13121"/>
    <cellStyle name="常规 5 4 2 3 3 3 3 5" xfId="13123"/>
    <cellStyle name="常规 5 4 2 3 3 3 4" xfId="32557"/>
    <cellStyle name="常规 5 4 2 3 3 3 4 2" xfId="32558"/>
    <cellStyle name="常规 5 4 2 3 3 3 4 2 2" xfId="32559"/>
    <cellStyle name="常规 5 4 2 3 3 3 4 3" xfId="32561"/>
    <cellStyle name="常规 5 4 2 3 3 3 4 4" xfId="13131"/>
    <cellStyle name="常规 5 4 2 3 3 3 5" xfId="32562"/>
    <cellStyle name="常规 5 4 2 3 3 3 5 2" xfId="32563"/>
    <cellStyle name="常规 5 4 2 3 3 3 6" xfId="1680"/>
    <cellStyle name="常规 5 4 2 3 3 3 7" xfId="32564"/>
    <cellStyle name="常规 5 4 2 3 3 4" xfId="32565"/>
    <cellStyle name="常规 5 4 2 3 3 4 2" xfId="32566"/>
    <cellStyle name="常规 5 4 2 3 3 4 2 2" xfId="32567"/>
    <cellStyle name="常规 5 4 2 3 3 4 2 2 2" xfId="32571"/>
    <cellStyle name="常规 5 4 2 3 3 4 2 2 2 2" xfId="32574"/>
    <cellStyle name="常规 5 4 2 3 3 4 2 2 3" xfId="29247"/>
    <cellStyle name="常规 5 4 2 3 3 4 2 2 4" xfId="29265"/>
    <cellStyle name="常规 5 4 2 3 3 4 2 3" xfId="32575"/>
    <cellStyle name="常规 5 4 2 3 3 4 2 3 2" xfId="32578"/>
    <cellStyle name="常规 5 4 2 3 3 4 2 4" xfId="32579"/>
    <cellStyle name="常规 5 4 2 3 3 4 2 5" xfId="20114"/>
    <cellStyle name="常规 5 4 2 3 3 4 3" xfId="32580"/>
    <cellStyle name="常规 5 4 2 3 3 4 3 2" xfId="23639"/>
    <cellStyle name="常规 5 4 2 3 3 4 3 2 2" xfId="32583"/>
    <cellStyle name="常规 5 4 2 3 3 4 3 3" xfId="32584"/>
    <cellStyle name="常规 5 4 2 3 3 4 3 4" xfId="13135"/>
    <cellStyle name="常规 5 4 2 3 3 4 4" xfId="9607"/>
    <cellStyle name="常规 5 4 2 3 3 4 4 2" xfId="32585"/>
    <cellStyle name="常规 5 4 2 3 3 4 5" xfId="32586"/>
    <cellStyle name="常规 5 4 2 3 3 4 6" xfId="32587"/>
    <cellStyle name="常规 5 4 2 3 3 5" xfId="31824"/>
    <cellStyle name="常规 5 4 2 3 3 5 2" xfId="31826"/>
    <cellStyle name="常规 5 4 2 3 3 5 2 2" xfId="31828"/>
    <cellStyle name="常规 5 4 2 3 3 5 2 2 2" xfId="32588"/>
    <cellStyle name="常规 5 4 2 3 3 5 2 3" xfId="32589"/>
    <cellStyle name="常规 5 4 2 3 3 5 2 4" xfId="32590"/>
    <cellStyle name="常规 5 4 2 3 3 5 3" xfId="31830"/>
    <cellStyle name="常规 5 4 2 3 3 5 3 2" xfId="32591"/>
    <cellStyle name="常规 5 4 2 3 3 5 4" xfId="31832"/>
    <cellStyle name="常规 5 4 2 3 3 5 5" xfId="32592"/>
    <cellStyle name="常规 5 4 2 3 3 6" xfId="31834"/>
    <cellStyle name="常规 5 4 2 3 3 6 2" xfId="13597"/>
    <cellStyle name="常规 5 4 2 3 3 6 2 2" xfId="13603"/>
    <cellStyle name="常规 5 4 2 3 3 6 3" xfId="13608"/>
    <cellStyle name="常规 5 4 2 3 3 6 4" xfId="13613"/>
    <cellStyle name="常规 5 4 2 3 3 7" xfId="31836"/>
    <cellStyle name="常规 5 4 2 3 3 7 2" xfId="2148"/>
    <cellStyle name="常规 5 4 2 3 3 8" xfId="31838"/>
    <cellStyle name="常规 5 4 2 3 3 9" xfId="32593"/>
    <cellStyle name="常规 5 4 2 3 4" xfId="32594"/>
    <cellStyle name="常规 5 4 2 3 4 2" xfId="32595"/>
    <cellStyle name="常规 5 4 2 3 4 2 2" xfId="32596"/>
    <cellStyle name="常规 5 4 2 3 4 2 2 2" xfId="19002"/>
    <cellStyle name="常规 5 4 2 3 4 2 2 2 2" xfId="28572"/>
    <cellStyle name="常规 5 4 2 3 4 2 2 2 2 2" xfId="24016"/>
    <cellStyle name="常规 5 4 2 3 4 2 2 2 2 2 2" xfId="32597"/>
    <cellStyle name="常规 5 4 2 3 4 2 2 2 2 3" xfId="24020"/>
    <cellStyle name="常规 5 4 2 3 4 2 2 2 2 4" xfId="32598"/>
    <cellStyle name="常规 5 4 2 3 4 2 2 2 3" xfId="5102"/>
    <cellStyle name="常规 5 4 2 3 4 2 2 2 3 2" xfId="24029"/>
    <cellStyle name="常规 5 4 2 3 4 2 2 2 4" xfId="17171"/>
    <cellStyle name="常规 5 4 2 3 4 2 2 2 5" xfId="32599"/>
    <cellStyle name="常规 5 4 2 3 4 2 2 3" xfId="19004"/>
    <cellStyle name="常规 5 4 2 3 4 2 2 3 2" xfId="28580"/>
    <cellStyle name="常规 5 4 2 3 4 2 2 3 2 2" xfId="24208"/>
    <cellStyle name="常规 5 4 2 3 4 2 2 3 3" xfId="28583"/>
    <cellStyle name="常规 5 4 2 3 4 2 2 3 4" xfId="32600"/>
    <cellStyle name="常规 5 4 2 3 4 2 2 4" xfId="32601"/>
    <cellStyle name="常规 5 4 2 3 4 2 2 4 2" xfId="32602"/>
    <cellStyle name="常规 5 4 2 3 4 2 2 5" xfId="20133"/>
    <cellStyle name="常规 5 4 2 3 4 2 2 6" xfId="20140"/>
    <cellStyle name="常规 5 4 2 3 4 2 3" xfId="21938"/>
    <cellStyle name="常规 5 4 2 3 4 2 3 2" xfId="19047"/>
    <cellStyle name="常规 5 4 2 3 4 2 3 2 2" xfId="28610"/>
    <cellStyle name="常规 5 4 2 3 4 2 3 2 2 2" xfId="31034"/>
    <cellStyle name="常规 5 4 2 3 4 2 3 2 3" xfId="28614"/>
    <cellStyle name="常规 5 4 2 3 4 2 3 2 4" xfId="32603"/>
    <cellStyle name="常规 5 4 2 3 4 2 3 3" xfId="32604"/>
    <cellStyle name="常规 5 4 2 3 4 2 3 3 2" xfId="32605"/>
    <cellStyle name="常规 5 4 2 3 4 2 3 4" xfId="13148"/>
    <cellStyle name="常规 5 4 2 3 4 2 3 5" xfId="13152"/>
    <cellStyle name="常规 5 4 2 3 4 2 4" xfId="32606"/>
    <cellStyle name="常规 5 4 2 3 4 2 4 2" xfId="18758"/>
    <cellStyle name="常规 5 4 2 3 4 2 4 2 2" xfId="18760"/>
    <cellStyle name="常规 5 4 2 3 4 2 4 3" xfId="18762"/>
    <cellStyle name="常规 5 4 2 3 4 2 4 4" xfId="13159"/>
    <cellStyle name="常规 5 4 2 3 4 2 5" xfId="32608"/>
    <cellStyle name="常规 5 4 2 3 4 2 5 2" xfId="32610"/>
    <cellStyle name="常规 5 4 2 3 4 2 6" xfId="28810"/>
    <cellStyle name="常规 5 4 2 3 4 2 7" xfId="32612"/>
    <cellStyle name="常规 5 4 2 3 4 3" xfId="20543"/>
    <cellStyle name="常规 5 4 2 3 4 3 2" xfId="32613"/>
    <cellStyle name="常规 5 4 2 3 4 3 2 2" xfId="19089"/>
    <cellStyle name="常规 5 4 2 3 4 3 2 2 2" xfId="28673"/>
    <cellStyle name="常规 5 4 2 3 4 3 2 2 2 2" xfId="14722"/>
    <cellStyle name="常规 5 4 2 3 4 3 2 2 3" xfId="28676"/>
    <cellStyle name="常规 5 4 2 3 4 3 2 2 4" xfId="32614"/>
    <cellStyle name="常规 5 4 2 3 4 3 2 3" xfId="31024"/>
    <cellStyle name="常规 5 4 2 3 4 3 2 3 2" xfId="32615"/>
    <cellStyle name="常规 5 4 2 3 4 3 2 4" xfId="32616"/>
    <cellStyle name="常规 5 4 2 3 4 3 2 5" xfId="20163"/>
    <cellStyle name="常规 5 4 2 3 4 3 3" xfId="32617"/>
    <cellStyle name="常规 5 4 2 3 4 3 3 2" xfId="32618"/>
    <cellStyle name="常规 5 4 2 3 4 3 3 2 2" xfId="32619"/>
    <cellStyle name="常规 5 4 2 3 4 3 3 3" xfId="32620"/>
    <cellStyle name="常规 5 4 2 3 4 3 3 4" xfId="13170"/>
    <cellStyle name="常规 5 4 2 3 4 3 4" xfId="17353"/>
    <cellStyle name="常规 5 4 2 3 4 3 4 2" xfId="17355"/>
    <cellStyle name="常规 5 4 2 3 4 3 5" xfId="17357"/>
    <cellStyle name="常规 5 4 2 3 4 3 6" xfId="17359"/>
    <cellStyle name="常规 5 4 2 3 4 4" xfId="32621"/>
    <cellStyle name="常规 5 4 2 3 4 4 2" xfId="32622"/>
    <cellStyle name="常规 5 4 2 3 4 4 2 2" xfId="32623"/>
    <cellStyle name="常规 5 4 2 3 4 4 2 2 2" xfId="32624"/>
    <cellStyle name="常规 5 4 2 3 4 4 2 3" xfId="32625"/>
    <cellStyle name="常规 5 4 2 3 4 4 2 4" xfId="32626"/>
    <cellStyle name="常规 5 4 2 3 4 4 3" xfId="14638"/>
    <cellStyle name="常规 5 4 2 3 4 4 3 2" xfId="14640"/>
    <cellStyle name="常规 5 4 2 3 4 4 4" xfId="14645"/>
    <cellStyle name="常规 5 4 2 3 4 4 5" xfId="14649"/>
    <cellStyle name="常规 5 4 2 3 4 5" xfId="31841"/>
    <cellStyle name="常规 5 4 2 3 4 5 2" xfId="31843"/>
    <cellStyle name="常规 5 4 2 3 4 5 2 2" xfId="31435"/>
    <cellStyle name="常规 5 4 2 3 4 5 3" xfId="14653"/>
    <cellStyle name="常规 5 4 2 3 4 5 4" xfId="14656"/>
    <cellStyle name="常规 5 4 2 3 4 6" xfId="31845"/>
    <cellStyle name="常规 5 4 2 3 4 6 2" xfId="13681"/>
    <cellStyle name="常规 5 4 2 3 4 7" xfId="31847"/>
    <cellStyle name="常规 5 4 2 3 4 8" xfId="32627"/>
    <cellStyle name="常规 5 4 2 3 5" xfId="32628"/>
    <cellStyle name="常规 5 4 2 3 5 2" xfId="32629"/>
    <cellStyle name="常规 5 4 2 3 5 2 2" xfId="32630"/>
    <cellStyle name="常规 5 4 2 3 5 2 2 2" xfId="311"/>
    <cellStyle name="常规 5 4 2 3 5 2 2 2 2" xfId="592"/>
    <cellStyle name="常规 5 4 2 3 5 2 2 2 2 2" xfId="32631"/>
    <cellStyle name="常规 5 4 2 3 5 2 2 2 3" xfId="19780"/>
    <cellStyle name="常规 5 4 2 3 5 2 2 2 4" xfId="19789"/>
    <cellStyle name="常规 5 4 2 3 5 2 2 3" xfId="272"/>
    <cellStyle name="常规 5 4 2 3 5 2 2 3 2" xfId="31451"/>
    <cellStyle name="常规 5 4 2 3 5 2 2 4" xfId="201"/>
    <cellStyle name="常规 5 4 2 3 5 2 2 5" xfId="20192"/>
    <cellStyle name="常规 5 4 2 3 5 2 3" xfId="32632"/>
    <cellStyle name="常规 5 4 2 3 5 2 3 2" xfId="3935"/>
    <cellStyle name="常规 5 4 2 3 5 2 3 2 2" xfId="787"/>
    <cellStyle name="常规 5 4 2 3 5 2 3 3" xfId="3937"/>
    <cellStyle name="常规 5 4 2 3 5 2 3 4" xfId="3941"/>
    <cellStyle name="常规 5 4 2 3 5 2 4" xfId="32633"/>
    <cellStyle name="常规 5 4 2 3 5 2 4 2" xfId="3952"/>
    <cellStyle name="常规 5 4 2 3 5 2 5" xfId="32635"/>
    <cellStyle name="常规 5 4 2 3 5 2 6" xfId="32636"/>
    <cellStyle name="常规 5 4 2 3 5 3" xfId="32637"/>
    <cellStyle name="常规 5 4 2 3 5 3 2" xfId="32638"/>
    <cellStyle name="常规 5 4 2 3 5 3 2 2" xfId="32639"/>
    <cellStyle name="常规 5 4 2 3 5 3 2 2 2" xfId="8222"/>
    <cellStyle name="常规 5 4 2 3 5 3 2 3" xfId="31459"/>
    <cellStyle name="常规 5 4 2 3 5 3 2 4" xfId="32640"/>
    <cellStyle name="常规 5 4 2 3 5 3 3" xfId="32641"/>
    <cellStyle name="常规 5 4 2 3 5 3 3 2" xfId="32642"/>
    <cellStyle name="常规 5 4 2 3 5 3 4" xfId="17365"/>
    <cellStyle name="常规 5 4 2 3 5 3 5" xfId="32643"/>
    <cellStyle name="常规 5 4 2 3 5 4" xfId="32644"/>
    <cellStyle name="常规 5 4 2 3 5 4 2" xfId="32645"/>
    <cellStyle name="常规 5 4 2 3 5 4 2 2" xfId="32646"/>
    <cellStyle name="常规 5 4 2 3 5 4 3" xfId="14661"/>
    <cellStyle name="常规 5 4 2 3 5 4 4" xfId="14664"/>
    <cellStyle name="常规 5 4 2 3 5 5" xfId="31850"/>
    <cellStyle name="常规 5 4 2 3 5 5 2" xfId="32647"/>
    <cellStyle name="常规 5 4 2 3 5 6" xfId="32648"/>
    <cellStyle name="常规 5 4 2 3 5 7" xfId="32649"/>
    <cellStyle name="常规 5 4 2 3 6" xfId="32650"/>
    <cellStyle name="常规 5 4 2 3 6 2" xfId="32651"/>
    <cellStyle name="常规 5 4 2 3 6 2 2" xfId="32652"/>
    <cellStyle name="常规 5 4 2 3 6 2 2 2" xfId="32653"/>
    <cellStyle name="常规 5 4 2 3 6 2 2 2 2" xfId="20586"/>
    <cellStyle name="常规 5 4 2 3 6 2 2 3" xfId="26763"/>
    <cellStyle name="常规 5 4 2 3 6 2 2 4" xfId="32654"/>
    <cellStyle name="常规 5 4 2 3 6 2 3" xfId="32655"/>
    <cellStyle name="常规 5 4 2 3 6 2 3 2" xfId="32656"/>
    <cellStyle name="常规 5 4 2 3 6 2 4" xfId="32657"/>
    <cellStyle name="常规 5 4 2 3 6 2 5" xfId="26346"/>
    <cellStyle name="常规 5 4 2 3 6 3" xfId="32658"/>
    <cellStyle name="常规 5 4 2 3 6 3 2" xfId="32659"/>
    <cellStyle name="常规 5 4 2 3 6 3 2 2" xfId="32660"/>
    <cellStyle name="常规 5 4 2 3 6 3 3" xfId="32661"/>
    <cellStyle name="常规 5 4 2 3 6 3 4" xfId="32662"/>
    <cellStyle name="常规 5 4 2 3 6 4" xfId="32663"/>
    <cellStyle name="常规 5 4 2 3 6 4 2" xfId="32664"/>
    <cellStyle name="常规 5 4 2 3 6 5" xfId="32665"/>
    <cellStyle name="常规 5 4 2 3 6 6" xfId="32666"/>
    <cellStyle name="常规 5 4 2 3 7" xfId="32667"/>
    <cellStyle name="常规 5 4 2 3 7 2" xfId="32668"/>
    <cellStyle name="常规 5 4 2 3 7 2 2" xfId="18020"/>
    <cellStyle name="常规 5 4 2 3 7 2 2 2" xfId="32669"/>
    <cellStyle name="常规 5 4 2 3 7 2 3" xfId="32670"/>
    <cellStyle name="常规 5 4 2 3 7 2 4" xfId="32671"/>
    <cellStyle name="常规 5 4 2 3 7 3" xfId="32672"/>
    <cellStyle name="常规 5 4 2 3 7 3 2" xfId="32673"/>
    <cellStyle name="常规 5 4 2 3 7 4" xfId="32674"/>
    <cellStyle name="常规 5 4 2 3 7 5" xfId="32675"/>
    <cellStyle name="常规 5 4 2 3 8" xfId="32676"/>
    <cellStyle name="常规 5 4 2 3 8 2" xfId="32677"/>
    <cellStyle name="常规 5 4 2 3 8 2 2" xfId="32678"/>
    <cellStyle name="常规 5 4 2 3 8 3" xfId="32679"/>
    <cellStyle name="常规 5 4 2 3 8 4" xfId="32680"/>
    <cellStyle name="常规 5 4 2 3 9" xfId="32681"/>
    <cellStyle name="常规 5 4 2 3 9 2" xfId="899"/>
    <cellStyle name="常规 5 4 2 4" xfId="24576"/>
    <cellStyle name="常规 5 4 2 4 2" xfId="24582"/>
    <cellStyle name="常规 5 4 2 4 2 2" xfId="24584"/>
    <cellStyle name="常规 5 4 2 4 2 2 2" xfId="24587"/>
    <cellStyle name="常规 5 4 2 4 2 2 2 2" xfId="24591"/>
    <cellStyle name="常规 5 4 2 4 2 2 2 2 2" xfId="24598"/>
    <cellStyle name="常规 5 4 2 4 2 2 2 2 2 2" xfId="24602"/>
    <cellStyle name="常规 5 4 2 4 2 2 2 2 2 2 2" xfId="24605"/>
    <cellStyle name="常规 5 4 2 4 2 2 2 2 2 3" xfId="24611"/>
    <cellStyle name="常规 5 4 2 4 2 2 2 2 2 4" xfId="24615"/>
    <cellStyle name="常规 5 4 2 4 2 2 2 2 3" xfId="24619"/>
    <cellStyle name="常规 5 4 2 4 2 2 2 2 3 2" xfId="24623"/>
    <cellStyle name="常规 5 4 2 4 2 2 2 2 4" xfId="24629"/>
    <cellStyle name="常规 5 4 2 4 2 2 2 2 5" xfId="10990"/>
    <cellStyle name="常规 5 4 2 4 2 2 2 3" xfId="19328"/>
    <cellStyle name="常规 5 4 2 4 2 2 2 3 2" xfId="19333"/>
    <cellStyle name="常规 5 4 2 4 2 2 2 3 2 2" xfId="24633"/>
    <cellStyle name="常规 5 4 2 4 2 2 2 3 3" xfId="24644"/>
    <cellStyle name="常规 5 4 2 4 2 2 2 3 4" xfId="24650"/>
    <cellStyle name="常规 5 4 2 4 2 2 2 4" xfId="19339"/>
    <cellStyle name="常规 5 4 2 4 2 2 2 4 2" xfId="24653"/>
    <cellStyle name="常规 5 4 2 4 2 2 2 5" xfId="19343"/>
    <cellStyle name="常规 5 4 2 4 2 2 2 6" xfId="24664"/>
    <cellStyle name="常规 5 4 2 4 2 2 3" xfId="21949"/>
    <cellStyle name="常规 5 4 2 4 2 2 3 2" xfId="21954"/>
    <cellStyle name="常规 5 4 2 4 2 2 3 2 2" xfId="24670"/>
    <cellStyle name="常规 5 4 2 4 2 2 3 2 2 2" xfId="24674"/>
    <cellStyle name="常规 5 4 2 4 2 2 3 2 3" xfId="24683"/>
    <cellStyle name="常规 5 4 2 4 2 2 3 2 4" xfId="24689"/>
    <cellStyle name="常规 5 4 2 4 2 2 3 3" xfId="19348"/>
    <cellStyle name="常规 5 4 2 4 2 2 3 3 2" xfId="24692"/>
    <cellStyle name="常规 5 4 2 4 2 2 3 4" xfId="24699"/>
    <cellStyle name="常规 5 4 2 4 2 2 3 5" xfId="24703"/>
    <cellStyle name="常规 5 4 2 4 2 2 4" xfId="21959"/>
    <cellStyle name="常规 5 4 2 4 2 2 4 2" xfId="24706"/>
    <cellStyle name="常规 5 4 2 4 2 2 4 2 2" xfId="24709"/>
    <cellStyle name="常规 5 4 2 4 2 2 4 3" xfId="24717"/>
    <cellStyle name="常规 5 4 2 4 2 2 4 4" xfId="24722"/>
    <cellStyle name="常规 5 4 2 4 2 2 5" xfId="21964"/>
    <cellStyle name="常规 5 4 2 4 2 2 5 2" xfId="20562"/>
    <cellStyle name="常规 5 4 2 4 2 2 6" xfId="24728"/>
    <cellStyle name="常规 5 4 2 4 2 2 7" xfId="24734"/>
    <cellStyle name="常规 5 4 2 4 2 3" xfId="24739"/>
    <cellStyle name="常规 5 4 2 4 2 3 2" xfId="24744"/>
    <cellStyle name="常规 5 4 2 4 2 3 2 2" xfId="24748"/>
    <cellStyle name="常规 5 4 2 4 2 3 2 2 2" xfId="24753"/>
    <cellStyle name="常规 5 4 2 4 2 3 2 2 2 2" xfId="24757"/>
    <cellStyle name="常规 5 4 2 4 2 3 2 2 3" xfId="6570"/>
    <cellStyle name="常规 5 4 2 4 2 3 2 2 4" xfId="24763"/>
    <cellStyle name="常规 5 4 2 4 2 3 2 3" xfId="1467"/>
    <cellStyle name="常规 5 4 2 4 2 3 2 3 2" xfId="24765"/>
    <cellStyle name="常规 5 4 2 4 2 3 2 4" xfId="24772"/>
    <cellStyle name="常规 5 4 2 4 2 3 2 5" xfId="24777"/>
    <cellStyle name="常规 5 4 2 4 2 3 3" xfId="21970"/>
    <cellStyle name="常规 5 4 2 4 2 3 3 2" xfId="24782"/>
    <cellStyle name="常规 5 4 2 4 2 3 3 2 2" xfId="24785"/>
    <cellStyle name="常规 5 4 2 4 2 3 3 3" xfId="24792"/>
    <cellStyle name="常规 5 4 2 4 2 3 3 4" xfId="24795"/>
    <cellStyle name="常规 5 4 2 4 2 3 4" xfId="24799"/>
    <cellStyle name="常规 5 4 2 4 2 3 4 2" xfId="24802"/>
    <cellStyle name="常规 5 4 2 4 2 3 5" xfId="24810"/>
    <cellStyle name="常规 5 4 2 4 2 3 6" xfId="24814"/>
    <cellStyle name="常规 5 4 2 4 2 4" xfId="24818"/>
    <cellStyle name="常规 5 4 2 4 2 4 2" xfId="24821"/>
    <cellStyle name="常规 5 4 2 4 2 4 2 2" xfId="24825"/>
    <cellStyle name="常规 5 4 2 4 2 4 2 2 2" xfId="9314"/>
    <cellStyle name="常规 5 4 2 4 2 4 2 3" xfId="24828"/>
    <cellStyle name="常规 5 4 2 4 2 4 2 4" xfId="24832"/>
    <cellStyle name="常规 5 4 2 4 2 4 3" xfId="24838"/>
    <cellStyle name="常规 5 4 2 4 2 4 3 2" xfId="24841"/>
    <cellStyle name="常规 5 4 2 4 2 4 4" xfId="24847"/>
    <cellStyle name="常规 5 4 2 4 2 4 5" xfId="24851"/>
    <cellStyle name="常规 5 4 2 4 2 5" xfId="24854"/>
    <cellStyle name="常规 5 4 2 4 2 5 2" xfId="24858"/>
    <cellStyle name="常规 5 4 2 4 2 5 2 2" xfId="24862"/>
    <cellStyle name="常规 5 4 2 4 2 5 3" xfId="22384"/>
    <cellStyle name="常规 5 4 2 4 2 5 4" xfId="24870"/>
    <cellStyle name="常规 5 4 2 4 2 6" xfId="23858"/>
    <cellStyle name="常规 5 4 2 4 2 6 2" xfId="13938"/>
    <cellStyle name="常规 5 4 2 4 2 7" xfId="24883"/>
    <cellStyle name="常规 5 4 2 4 2 8" xfId="24888"/>
    <cellStyle name="常规 5 4 2 4 3" xfId="16003"/>
    <cellStyle name="常规 5 4 2 4 3 2" xfId="24894"/>
    <cellStyle name="常规 5 4 2 4 3 2 2" xfId="24897"/>
    <cellStyle name="常规 5 4 2 4 3 2 2 2" xfId="19471"/>
    <cellStyle name="常规 5 4 2 4 3 2 2 2 2" xfId="24902"/>
    <cellStyle name="常规 5 4 2 4 3 2 2 2 2 2" xfId="24905"/>
    <cellStyle name="常规 5 4 2 4 3 2 2 2 3" xfId="3561"/>
    <cellStyle name="常规 5 4 2 4 3 2 2 2 4" xfId="24920"/>
    <cellStyle name="常规 5 4 2 4 3 2 2 3" xfId="19374"/>
    <cellStyle name="常规 5 4 2 4 3 2 2 3 2" xfId="24924"/>
    <cellStyle name="常规 5 4 2 4 3 2 2 4" xfId="24936"/>
    <cellStyle name="常规 5 4 2 4 3 2 2 5" xfId="20270"/>
    <cellStyle name="常规 5 4 2 4 3 2 3" xfId="21981"/>
    <cellStyle name="常规 5 4 2 4 3 2 3 2" xfId="24944"/>
    <cellStyle name="常规 5 4 2 4 3 2 3 2 2" xfId="24947"/>
    <cellStyle name="常规 5 4 2 4 3 2 3 3" xfId="24958"/>
    <cellStyle name="常规 5 4 2 4 3 2 3 4" xfId="2446"/>
    <cellStyle name="常规 5 4 2 4 3 2 4" xfId="24965"/>
    <cellStyle name="常规 5 4 2 4 3 2 4 2" xfId="24968"/>
    <cellStyle name="常规 5 4 2 4 3 2 5" xfId="24977"/>
    <cellStyle name="常规 5 4 2 4 3 2 6" xfId="24981"/>
    <cellStyle name="常规 5 4 2 4 3 3" xfId="24986"/>
    <cellStyle name="常规 5 4 2 4 3 3 2" xfId="24989"/>
    <cellStyle name="常规 5 4 2 4 3 3 2 2" xfId="24993"/>
    <cellStyle name="常规 5 4 2 4 3 3 2 2 2" xfId="24997"/>
    <cellStyle name="常规 5 4 2 4 3 3 2 3" xfId="25006"/>
    <cellStyle name="常规 5 4 2 4 3 3 2 4" xfId="17255"/>
    <cellStyle name="常规 5 4 2 4 3 3 3" xfId="25013"/>
    <cellStyle name="常规 5 4 2 4 3 3 3 2" xfId="25016"/>
    <cellStyle name="常规 5 4 2 4 3 3 4" xfId="25026"/>
    <cellStyle name="常规 5 4 2 4 3 3 5" xfId="25035"/>
    <cellStyle name="常规 5 4 2 4 3 4" xfId="25040"/>
    <cellStyle name="常规 5 4 2 4 3 4 2" xfId="25043"/>
    <cellStyle name="常规 5 4 2 4 3 4 2 2" xfId="25046"/>
    <cellStyle name="常规 5 4 2 4 3 4 3" xfId="25053"/>
    <cellStyle name="常规 5 4 2 4 3 4 4" xfId="25059"/>
    <cellStyle name="常规 5 4 2 4 3 5" xfId="4603"/>
    <cellStyle name="常规 5 4 2 4 3 5 2" xfId="25065"/>
    <cellStyle name="常规 5 4 2 4 3 6" xfId="25075"/>
    <cellStyle name="常规 5 4 2 4 3 7" xfId="25086"/>
    <cellStyle name="常规 5 4 2 4 4" xfId="25098"/>
    <cellStyle name="常规 5 4 2 4 4 2" xfId="25100"/>
    <cellStyle name="常规 5 4 2 4 4 2 2" xfId="25103"/>
    <cellStyle name="常规 5 4 2 4 4 2 2 2" xfId="25107"/>
    <cellStyle name="常规 5 4 2 4 4 2 2 2 2" xfId="25110"/>
    <cellStyle name="常规 5 4 2 4 4 2 2 3" xfId="25115"/>
    <cellStyle name="常规 5 4 2 4 4 2 2 4" xfId="25121"/>
    <cellStyle name="常规 5 4 2 4 4 2 3" xfId="25125"/>
    <cellStyle name="常规 5 4 2 4 4 2 3 2" xfId="25128"/>
    <cellStyle name="常规 5 4 2 4 4 2 4" xfId="25132"/>
    <cellStyle name="常规 5 4 2 4 4 2 5" xfId="25138"/>
    <cellStyle name="常规 5 4 2 4 4 3" xfId="25144"/>
    <cellStyle name="常规 5 4 2 4 4 3 2" xfId="25147"/>
    <cellStyle name="常规 5 4 2 4 4 3 2 2" xfId="25150"/>
    <cellStyle name="常规 5 4 2 4 4 3 3" xfId="25161"/>
    <cellStyle name="常规 5 4 2 4 4 3 4" xfId="17379"/>
    <cellStyle name="常规 5 4 2 4 4 4" xfId="25170"/>
    <cellStyle name="常规 5 4 2 4 4 4 2" xfId="25173"/>
    <cellStyle name="常规 5 4 2 4 4 5" xfId="17936"/>
    <cellStyle name="常规 5 4 2 4 4 6" xfId="17942"/>
    <cellStyle name="常规 5 4 2 4 5" xfId="25188"/>
    <cellStyle name="常规 5 4 2 4 5 2" xfId="25190"/>
    <cellStyle name="常规 5 4 2 4 5 2 2" xfId="25193"/>
    <cellStyle name="常规 5 4 2 4 5 2 2 2" xfId="25196"/>
    <cellStyle name="常规 5 4 2 4 5 2 3" xfId="25209"/>
    <cellStyle name="常规 5 4 2 4 5 2 4" xfId="25217"/>
    <cellStyle name="常规 5 4 2 4 5 3" xfId="25224"/>
    <cellStyle name="常规 5 4 2 4 5 3 2" xfId="25226"/>
    <cellStyle name="常规 5 4 2 4 5 4" xfId="25239"/>
    <cellStyle name="常规 5 4 2 4 5 5" xfId="17950"/>
    <cellStyle name="常规 5 4 2 4 6" xfId="24586"/>
    <cellStyle name="常规 5 4 2 4 6 2" xfId="24590"/>
    <cellStyle name="常规 5 4 2 4 6 2 2" xfId="24597"/>
    <cellStyle name="常规 5 4 2 4 6 3" xfId="19327"/>
    <cellStyle name="常规 5 4 2 4 6 4" xfId="19338"/>
    <cellStyle name="常规 5 4 2 4 7" xfId="21948"/>
    <cellStyle name="常规 5 4 2 4 7 2" xfId="21953"/>
    <cellStyle name="常规 5 4 2 4 8" xfId="21958"/>
    <cellStyle name="常规 5 4 2 4 9" xfId="21963"/>
    <cellStyle name="常规 5 4 2 5" xfId="25251"/>
    <cellStyle name="常规 5 4 2 5 2" xfId="25253"/>
    <cellStyle name="常规 5 4 2 5 2 2" xfId="25256"/>
    <cellStyle name="常规 5 4 2 5 2 2 2" xfId="25260"/>
    <cellStyle name="常规 5 4 2 5 2 2 2 2" xfId="25264"/>
    <cellStyle name="常规 5 4 2 5 2 2 2 2 2" xfId="25269"/>
    <cellStyle name="常规 5 4 2 5 2 2 2 2 2 2" xfId="25273"/>
    <cellStyle name="常规 5 4 2 5 2 2 2 2 2 2 2" xfId="25275"/>
    <cellStyle name="常规 5 4 2 5 2 2 2 2 2 3" xfId="25277"/>
    <cellStyle name="常规 5 4 2 5 2 2 2 2 2 4" xfId="25279"/>
    <cellStyle name="常规 5 4 2 5 2 2 2 2 3" xfId="25282"/>
    <cellStyle name="常规 5 4 2 5 2 2 2 2 3 2" xfId="25284"/>
    <cellStyle name="常规 5 4 2 5 2 2 2 2 4" xfId="25287"/>
    <cellStyle name="常规 5 4 2 5 2 2 2 2 5" xfId="25289"/>
    <cellStyle name="常规 5 4 2 5 2 2 2 3" xfId="19407"/>
    <cellStyle name="常规 5 4 2 5 2 2 2 3 2" xfId="25292"/>
    <cellStyle name="常规 5 4 2 5 2 2 2 3 2 2" xfId="25294"/>
    <cellStyle name="常规 5 4 2 5 2 2 2 3 3" xfId="25298"/>
    <cellStyle name="常规 5 4 2 5 2 2 2 3 4" xfId="25301"/>
    <cellStyle name="常规 5 4 2 5 2 2 2 4" xfId="25304"/>
    <cellStyle name="常规 5 4 2 5 2 2 2 4 2" xfId="25307"/>
    <cellStyle name="常规 5 4 2 5 2 2 2 5" xfId="25309"/>
    <cellStyle name="常规 5 4 2 5 2 2 2 6" xfId="25311"/>
    <cellStyle name="常规 5 4 2 5 2 2 3" xfId="21995"/>
    <cellStyle name="常规 5 4 2 5 2 2 3 2" xfId="25314"/>
    <cellStyle name="常规 5 4 2 5 2 2 3 2 2" xfId="25318"/>
    <cellStyle name="常规 5 4 2 5 2 2 3 2 2 2" xfId="23095"/>
    <cellStyle name="常规 5 4 2 5 2 2 3 2 3" xfId="25321"/>
    <cellStyle name="常规 5 4 2 5 2 2 3 2 4" xfId="24686"/>
    <cellStyle name="常规 5 4 2 5 2 2 3 3" xfId="25323"/>
    <cellStyle name="常规 5 4 2 5 2 2 3 3 2" xfId="25325"/>
    <cellStyle name="常规 5 4 2 5 2 2 3 4" xfId="25327"/>
    <cellStyle name="常规 5 4 2 5 2 2 3 5" xfId="25329"/>
    <cellStyle name="常规 5 4 2 5 2 2 4" xfId="25332"/>
    <cellStyle name="常规 5 4 2 5 2 2 4 2" xfId="25335"/>
    <cellStyle name="常规 5 4 2 5 2 2 4 2 2" xfId="25337"/>
    <cellStyle name="常规 5 4 2 5 2 2 4 3" xfId="25339"/>
    <cellStyle name="常规 5 4 2 5 2 2 4 4" xfId="25341"/>
    <cellStyle name="常规 5 4 2 5 2 2 5" xfId="25344"/>
    <cellStyle name="常规 5 4 2 5 2 2 5 2" xfId="25349"/>
    <cellStyle name="常规 5 4 2 5 2 2 6" xfId="25353"/>
    <cellStyle name="常规 5 4 2 5 2 2 7" xfId="15334"/>
    <cellStyle name="常规 5 4 2 5 2 3" xfId="25357"/>
    <cellStyle name="常规 5 4 2 5 2 3 2" xfId="288"/>
    <cellStyle name="常规 5 4 2 5 2 3 2 2" xfId="25360"/>
    <cellStyle name="常规 5 4 2 5 2 3 2 2 2" xfId="25368"/>
    <cellStyle name="常规 5 4 2 5 2 3 2 2 2 2" xfId="2541"/>
    <cellStyle name="常规 5 4 2 5 2 3 2 2 3" xfId="3182"/>
    <cellStyle name="常规 5 4 2 5 2 3 2 2 4" xfId="25370"/>
    <cellStyle name="常规 5 4 2 5 2 3 2 3" xfId="25373"/>
    <cellStyle name="常规 5 4 2 5 2 3 2 3 2" xfId="25376"/>
    <cellStyle name="常规 5 4 2 5 2 3 2 4" xfId="25379"/>
    <cellStyle name="常规 5 4 2 5 2 3 2 5" xfId="25382"/>
    <cellStyle name="常规 5 4 2 5 2 3 3" xfId="25385"/>
    <cellStyle name="常规 5 4 2 5 2 3 3 2" xfId="25388"/>
    <cellStyle name="常规 5 4 2 5 2 3 3 2 2" xfId="25391"/>
    <cellStyle name="常规 5 4 2 5 2 3 3 3" xfId="25394"/>
    <cellStyle name="常规 5 4 2 5 2 3 3 4" xfId="25396"/>
    <cellStyle name="常规 5 4 2 5 2 3 4" xfId="25399"/>
    <cellStyle name="常规 5 4 2 5 2 3 4 2" xfId="25402"/>
    <cellStyle name="常规 5 4 2 5 2 3 5" xfId="25404"/>
    <cellStyle name="常规 5 4 2 5 2 3 6" xfId="25407"/>
    <cellStyle name="常规 5 4 2 5 2 4" xfId="25411"/>
    <cellStyle name="常规 5 4 2 5 2 4 2" xfId="25414"/>
    <cellStyle name="常规 5 4 2 5 2 4 2 2" xfId="25417"/>
    <cellStyle name="常规 5 4 2 5 2 4 2 2 2" xfId="6606"/>
    <cellStyle name="常规 5 4 2 5 2 4 2 3" xfId="25420"/>
    <cellStyle name="常规 5 4 2 5 2 4 2 4" xfId="25423"/>
    <cellStyle name="常规 5 4 2 5 2 4 3" xfId="25426"/>
    <cellStyle name="常规 5 4 2 5 2 4 3 2" xfId="25429"/>
    <cellStyle name="常规 5 4 2 5 2 4 4" xfId="25431"/>
    <cellStyle name="常规 5 4 2 5 2 4 5" xfId="25434"/>
    <cellStyle name="常规 5 4 2 5 2 5" xfId="25436"/>
    <cellStyle name="常规 5 4 2 5 2 5 2" xfId="18276"/>
    <cellStyle name="常规 5 4 2 5 2 5 2 2" xfId="25439"/>
    <cellStyle name="常规 5 4 2 5 2 5 3" xfId="18282"/>
    <cellStyle name="常规 5 4 2 5 2 5 4" xfId="25441"/>
    <cellStyle name="常规 5 4 2 5 2 6" xfId="25443"/>
    <cellStyle name="常规 5 4 2 5 2 6 2" xfId="14234"/>
    <cellStyle name="常规 5 4 2 5 2 7" xfId="25450"/>
    <cellStyle name="常规 5 4 2 5 2 8" xfId="25456"/>
    <cellStyle name="常规 5 4 2 5 3" xfId="25459"/>
    <cellStyle name="常规 5 4 2 5 3 2" xfId="25462"/>
    <cellStyle name="常规 5 4 2 5 3 2 2" xfId="25466"/>
    <cellStyle name="常规 5 4 2 5 3 2 2 2" xfId="12599"/>
    <cellStyle name="常规 5 4 2 5 3 2 2 2 2" xfId="13188"/>
    <cellStyle name="常规 5 4 2 5 3 2 2 2 2 2" xfId="3958"/>
    <cellStyle name="常规 5 4 2 5 3 2 2 2 3" xfId="3746"/>
    <cellStyle name="常规 5 4 2 5 3 2 2 2 4" xfId="25470"/>
    <cellStyle name="常规 5 4 2 5 3 2 2 3" xfId="12603"/>
    <cellStyle name="常规 5 4 2 5 3 2 2 3 2" xfId="25473"/>
    <cellStyle name="常规 5 4 2 5 3 2 2 4" xfId="25475"/>
    <cellStyle name="常规 5 4 2 5 3 2 2 5" xfId="20472"/>
    <cellStyle name="常规 5 4 2 5 3 2 3" xfId="25478"/>
    <cellStyle name="常规 5 4 2 5 3 2 3 2" xfId="12666"/>
    <cellStyle name="常规 5 4 2 5 3 2 3 2 2" xfId="25481"/>
    <cellStyle name="常规 5 4 2 5 3 2 3 3" xfId="25483"/>
    <cellStyle name="常规 5 4 2 5 3 2 3 4" xfId="13299"/>
    <cellStyle name="常规 5 4 2 5 3 2 4" xfId="6967"/>
    <cellStyle name="常规 5 4 2 5 3 2 4 2" xfId="5671"/>
    <cellStyle name="常规 5 4 2 5 3 2 5" xfId="6975"/>
    <cellStyle name="常规 5 4 2 5 3 2 6" xfId="6985"/>
    <cellStyle name="常规 5 4 2 5 3 3" xfId="25486"/>
    <cellStyle name="常规 5 4 2 5 3 3 2" xfId="25489"/>
    <cellStyle name="常规 5 4 2 5 3 3 2 2" xfId="12835"/>
    <cellStyle name="常规 5 4 2 5 3 3 2 2 2" xfId="25492"/>
    <cellStyle name="常规 5 4 2 5 3 3 2 3" xfId="25495"/>
    <cellStyle name="常规 5 4 2 5 3 3 2 4" xfId="25497"/>
    <cellStyle name="常规 5 4 2 5 3 3 3" xfId="25500"/>
    <cellStyle name="常规 5 4 2 5 3 3 3 2" xfId="25503"/>
    <cellStyle name="常规 5 4 2 5 3 3 4" xfId="6989"/>
    <cellStyle name="常规 5 4 2 5 3 3 5" xfId="6993"/>
    <cellStyle name="常规 5 4 2 5 3 4" xfId="25505"/>
    <cellStyle name="常规 5 4 2 5 3 4 2" xfId="8983"/>
    <cellStyle name="常规 5 4 2 5 3 4 2 2" xfId="8987"/>
    <cellStyle name="常规 5 4 2 5 3 4 3" xfId="8990"/>
    <cellStyle name="常规 5 4 2 5 3 4 4" xfId="1507"/>
    <cellStyle name="常规 5 4 2 5 3 5" xfId="25507"/>
    <cellStyle name="常规 5 4 2 5 3 5 2" xfId="9013"/>
    <cellStyle name="常规 5 4 2 5 3 6" xfId="25510"/>
    <cellStyle name="常规 5 4 2 5 3 7" xfId="25516"/>
    <cellStyle name="常规 5 4 2 5 4" xfId="25520"/>
    <cellStyle name="常规 5 4 2 5 4 2" xfId="25524"/>
    <cellStyle name="常规 5 4 2 5 4 2 2" xfId="25527"/>
    <cellStyle name="常规 5 4 2 5 4 2 2 2" xfId="10678"/>
    <cellStyle name="常规 5 4 2 5 4 2 2 2 2" xfId="3842"/>
    <cellStyle name="常规 5 4 2 5 4 2 2 3" xfId="25530"/>
    <cellStyle name="常规 5 4 2 5 4 2 2 4" xfId="25532"/>
    <cellStyle name="常规 5 4 2 5 4 2 3" xfId="25534"/>
    <cellStyle name="常规 5 4 2 5 4 2 3 2" xfId="25537"/>
    <cellStyle name="常规 5 4 2 5 4 2 4" xfId="6999"/>
    <cellStyle name="常规 5 4 2 5 4 2 5" xfId="7004"/>
    <cellStyle name="常规 5 4 2 5 4 3" xfId="25539"/>
    <cellStyle name="常规 5 4 2 5 4 3 2" xfId="17025"/>
    <cellStyle name="常规 5 4 2 5 4 3 2 2" xfId="10975"/>
    <cellStyle name="常规 5 4 2 5 4 3 3" xfId="17029"/>
    <cellStyle name="常规 5 4 2 5 4 3 4" xfId="4850"/>
    <cellStyle name="常规 5 4 2 5 4 4" xfId="25541"/>
    <cellStyle name="常规 5 4 2 5 4 4 2" xfId="9065"/>
    <cellStyle name="常规 5 4 2 5 4 5" xfId="17960"/>
    <cellStyle name="常规 5 4 2 5 4 6" xfId="25543"/>
    <cellStyle name="常规 5 4 2 5 5" xfId="25548"/>
    <cellStyle name="常规 5 4 2 5 5 2" xfId="25550"/>
    <cellStyle name="常规 5 4 2 5 5 2 2" xfId="25553"/>
    <cellStyle name="常规 5 4 2 5 5 2 2 2" xfId="11804"/>
    <cellStyle name="常规 5 4 2 5 5 2 3" xfId="25556"/>
    <cellStyle name="常规 5 4 2 5 5 2 4" xfId="5694"/>
    <cellStyle name="常规 5 4 2 5 5 3" xfId="25559"/>
    <cellStyle name="常规 5 4 2 5 5 3 2" xfId="17041"/>
    <cellStyle name="常规 5 4 2 5 5 4" xfId="25561"/>
    <cellStyle name="常规 5 4 2 5 5 5" xfId="25563"/>
    <cellStyle name="常规 5 4 2 5 6" xfId="24743"/>
    <cellStyle name="常规 5 4 2 5 6 2" xfId="24747"/>
    <cellStyle name="常规 5 4 2 5 6 2 2" xfId="24752"/>
    <cellStyle name="常规 5 4 2 5 6 3" xfId="1466"/>
    <cellStyle name="常规 5 4 2 5 6 4" xfId="24771"/>
    <cellStyle name="常规 5 4 2 5 7" xfId="21969"/>
    <cellStyle name="常规 5 4 2 5 7 2" xfId="24781"/>
    <cellStyle name="常规 5 4 2 5 8" xfId="24798"/>
    <cellStyle name="常规 5 4 2 5 9" xfId="24809"/>
    <cellStyle name="常规 5 4 2 6" xfId="25565"/>
    <cellStyle name="常规 5 4 2 6 2" xfId="13162"/>
    <cellStyle name="常规 5 4 2 6 2 2" xfId="25568"/>
    <cellStyle name="常规 5 4 2 6 2 2 2" xfId="25571"/>
    <cellStyle name="常规 5 4 2 6 2 2 2 2" xfId="25576"/>
    <cellStyle name="常规 5 4 2 6 2 2 2 2 2" xfId="25581"/>
    <cellStyle name="常规 5 4 2 6 2 2 2 2 2 2" xfId="25584"/>
    <cellStyle name="常规 5 4 2 6 2 2 2 2 3" xfId="25587"/>
    <cellStyle name="常规 5 4 2 6 2 2 2 2 4" xfId="25590"/>
    <cellStyle name="常规 5 4 2 6 2 2 2 3" xfId="25593"/>
    <cellStyle name="常规 5 4 2 6 2 2 2 3 2" xfId="25595"/>
    <cellStyle name="常规 5 4 2 6 2 2 2 4" xfId="3187"/>
    <cellStyle name="常规 5 4 2 6 2 2 2 5" xfId="25601"/>
    <cellStyle name="常规 5 4 2 6 2 2 3" xfId="25607"/>
    <cellStyle name="常规 5 4 2 6 2 2 3 2" xfId="25612"/>
    <cellStyle name="常规 5 4 2 6 2 2 3 2 2" xfId="25615"/>
    <cellStyle name="常规 5 4 2 6 2 2 3 3" xfId="25367"/>
    <cellStyle name="常规 5 4 2 6 2 2 3 4" xfId="3181"/>
    <cellStyle name="常规 5 4 2 6 2 2 4" xfId="25621"/>
    <cellStyle name="常规 5 4 2 6 2 2 4 2" xfId="25625"/>
    <cellStyle name="常规 5 4 2 6 2 2 5" xfId="25630"/>
    <cellStyle name="常规 5 4 2 6 2 2 6" xfId="25637"/>
    <cellStyle name="常规 5 4 2 6 2 3" xfId="25640"/>
    <cellStyle name="常规 5 4 2 6 2 3 2" xfId="25644"/>
    <cellStyle name="常规 5 4 2 6 2 3 2 2" xfId="25647"/>
    <cellStyle name="常规 5 4 2 6 2 3 2 2 2" xfId="25649"/>
    <cellStyle name="常规 5 4 2 6 2 3 2 3" xfId="25662"/>
    <cellStyle name="常规 5 4 2 6 2 3 2 4" xfId="25666"/>
    <cellStyle name="常规 5 4 2 6 2 3 3" xfId="25671"/>
    <cellStyle name="常规 5 4 2 6 2 3 3 2" xfId="25675"/>
    <cellStyle name="常规 5 4 2 6 2 3 4" xfId="25681"/>
    <cellStyle name="常规 5 4 2 6 2 3 5" xfId="25685"/>
    <cellStyle name="常规 5 4 2 6 2 4" xfId="25688"/>
    <cellStyle name="常规 5 4 2 6 2 4 2" xfId="25691"/>
    <cellStyle name="常规 5 4 2 6 2 4 2 2" xfId="25694"/>
    <cellStyle name="常规 5 4 2 6 2 4 3" xfId="25700"/>
    <cellStyle name="常规 5 4 2 6 2 4 4" xfId="25705"/>
    <cellStyle name="常规 5 4 2 6 2 5" xfId="25708"/>
    <cellStyle name="常规 5 4 2 6 2 5 2" xfId="25711"/>
    <cellStyle name="常规 5 4 2 6 2 6" xfId="25718"/>
    <cellStyle name="常规 5 4 2 6 2 7" xfId="25726"/>
    <cellStyle name="常规 5 4 2 6 3" xfId="13165"/>
    <cellStyle name="常规 5 4 2 6 3 2" xfId="25730"/>
    <cellStyle name="常规 5 4 2 6 3 2 2" xfId="3603"/>
    <cellStyle name="常规 5 4 2 6 3 2 2 2" xfId="5192"/>
    <cellStyle name="常规 5 4 2 6 3 2 2 2 2" xfId="3358"/>
    <cellStyle name="常规 5 4 2 6 3 2 2 3" xfId="6489"/>
    <cellStyle name="常规 5 4 2 6 3 2 2 4" xfId="6534"/>
    <cellStyle name="常规 5 4 2 6 3 2 3" xfId="3611"/>
    <cellStyle name="常规 5 4 2 6 3 2 3 2" xfId="6577"/>
    <cellStyle name="常规 5 4 2 6 3 2 4" xfId="6656"/>
    <cellStyle name="常规 5 4 2 6 3 2 5" xfId="6711"/>
    <cellStyle name="常规 5 4 2 6 3 3" xfId="25732"/>
    <cellStyle name="常规 5 4 2 6 3 3 2" xfId="1631"/>
    <cellStyle name="常规 5 4 2 6 3 3 2 2" xfId="6619"/>
    <cellStyle name="常规 5 4 2 6 3 3 3" xfId="1641"/>
    <cellStyle name="常规 5 4 2 6 3 3 4" xfId="1340"/>
    <cellStyle name="常规 5 4 2 6 3 4" xfId="6769"/>
    <cellStyle name="常规 5 4 2 6 3 4 2" xfId="3668"/>
    <cellStyle name="常规 5 4 2 6 3 5" xfId="6091"/>
    <cellStyle name="常规 5 4 2 6 3 6" xfId="5573"/>
    <cellStyle name="常规 5 4 2 6 4" xfId="25735"/>
    <cellStyle name="常规 5 4 2 6 4 2" xfId="25737"/>
    <cellStyle name="常规 5 4 2 6 4 2 2" xfId="3902"/>
    <cellStyle name="常规 5 4 2 6 4 2 2 2" xfId="6679"/>
    <cellStyle name="常规 5 4 2 6 4 2 3" xfId="6779"/>
    <cellStyle name="常规 5 4 2 6 4 2 4" xfId="6785"/>
    <cellStyle name="常规 5 4 2 6 4 3" xfId="25739"/>
    <cellStyle name="常规 5 4 2 6 4 3 2" xfId="48"/>
    <cellStyle name="常规 5 4 2 6 4 4" xfId="6794"/>
    <cellStyle name="常规 5 4 2 6 4 5" xfId="6799"/>
    <cellStyle name="常规 5 4 2 6 5" xfId="25741"/>
    <cellStyle name="常规 5 4 2 6 5 2" xfId="25743"/>
    <cellStyle name="常规 5 4 2 6 5 2 2" xfId="8599"/>
    <cellStyle name="常规 5 4 2 6 5 3" xfId="20276"/>
    <cellStyle name="常规 5 4 2 6 5 4" xfId="6809"/>
    <cellStyle name="常规 5 4 2 6 6" xfId="24820"/>
    <cellStyle name="常规 5 4 2 6 6 2" xfId="24824"/>
    <cellStyle name="常规 5 4 2 6 7" xfId="24837"/>
    <cellStyle name="常规 5 4 2 6 8" xfId="24846"/>
    <cellStyle name="常规 5 4 2 7" xfId="25747"/>
    <cellStyle name="常规 5 4 2 7 2" xfId="13173"/>
    <cellStyle name="常规 5 4 2 7 2 2" xfId="25749"/>
    <cellStyle name="常规 5 4 2 7 2 2 2" xfId="25752"/>
    <cellStyle name="常规 5 4 2 7 2 2 2 2" xfId="22770"/>
    <cellStyle name="常规 5 4 2 7 2 2 2 2 2" xfId="25755"/>
    <cellStyle name="常规 5 4 2 7 2 2 2 3" xfId="25763"/>
    <cellStyle name="常规 5 4 2 7 2 2 2 4" xfId="25767"/>
    <cellStyle name="常规 5 4 2 7 2 2 3" xfId="13267"/>
    <cellStyle name="常规 5 4 2 7 2 2 3 2" xfId="13273"/>
    <cellStyle name="常规 5 4 2 7 2 2 4" xfId="13277"/>
    <cellStyle name="常规 5 4 2 7 2 2 5" xfId="13281"/>
    <cellStyle name="常规 5 4 2 7 2 3" xfId="25779"/>
    <cellStyle name="常规 5 4 2 7 2 3 2" xfId="16312"/>
    <cellStyle name="常规 5 4 2 7 2 3 2 2" xfId="25782"/>
    <cellStyle name="常规 5 4 2 7 2 3 3" xfId="13287"/>
    <cellStyle name="常规 5 4 2 7 2 3 4" xfId="25790"/>
    <cellStyle name="常规 5 4 2 7 2 4" xfId="25793"/>
    <cellStyle name="常规 5 4 2 7 2 4 2" xfId="25795"/>
    <cellStyle name="常规 5 4 2 7 2 5" xfId="25800"/>
    <cellStyle name="常规 5 4 2 7 2 6" xfId="25803"/>
    <cellStyle name="常规 5 4 2 7 3" xfId="25811"/>
    <cellStyle name="常规 5 4 2 7 3 2" xfId="25813"/>
    <cellStyle name="常规 5 4 2 7 3 2 2" xfId="6149"/>
    <cellStyle name="常规 5 4 2 7 3 2 2 2" xfId="6156"/>
    <cellStyle name="常规 5 4 2 7 3 2 3" xfId="6163"/>
    <cellStyle name="常规 5 4 2 7 3 2 4" xfId="6167"/>
    <cellStyle name="常规 5 4 2 7 3 3" xfId="25825"/>
    <cellStyle name="常规 5 4 2 7 3 3 2" xfId="6184"/>
    <cellStyle name="常规 5 4 2 7 3 4" xfId="7834"/>
    <cellStyle name="常规 5 4 2 7 3 5" xfId="7837"/>
    <cellStyle name="常规 5 4 2 7 4" xfId="25829"/>
    <cellStyle name="常规 5 4 2 7 4 2" xfId="25831"/>
    <cellStyle name="常规 5 4 2 7 4 2 2" xfId="6246"/>
    <cellStyle name="常规 5 4 2 7 4 3" xfId="25833"/>
    <cellStyle name="常规 5 4 2 7 4 4" xfId="7841"/>
    <cellStyle name="常规 5 4 2 7 5" xfId="25836"/>
    <cellStyle name="常规 5 4 2 7 5 2" xfId="25838"/>
    <cellStyle name="常规 5 4 2 7 6" xfId="24857"/>
    <cellStyle name="常规 5 4 2 7 7" xfId="22383"/>
    <cellStyle name="常规 5 4 2 8" xfId="14964"/>
    <cellStyle name="常规 5 4 2 8 2" xfId="25843"/>
    <cellStyle name="常规 5 4 2 8 2 2" xfId="25845"/>
    <cellStyle name="常规 5 4 2 8 2 2 2" xfId="1839"/>
    <cellStyle name="常规 5 4 2 8 2 2 2 2" xfId="25848"/>
    <cellStyle name="常规 5 4 2 8 2 2 3" xfId="13482"/>
    <cellStyle name="常规 5 4 2 8 2 2 4" xfId="13486"/>
    <cellStyle name="常规 5 4 2 8 2 3" xfId="25853"/>
    <cellStyle name="常规 5 4 2 8 2 3 2" xfId="23588"/>
    <cellStyle name="常规 5 4 2 8 2 4" xfId="25855"/>
    <cellStyle name="常规 5 4 2 8 2 5" xfId="25857"/>
    <cellStyle name="常规 5 4 2 8 3" xfId="13897"/>
    <cellStyle name="常规 5 4 2 8 3 2" xfId="13900"/>
    <cellStyle name="常规 5 4 2 8 3 2 2" xfId="3439"/>
    <cellStyle name="常规 5 4 2 8 3 3" xfId="13908"/>
    <cellStyle name="常规 5 4 2 8 3 4" xfId="7850"/>
    <cellStyle name="常规 5 4 2 8 4" xfId="13914"/>
    <cellStyle name="常规 5 4 2 8 4 2" xfId="13917"/>
    <cellStyle name="常规 5 4 2 8 5" xfId="13925"/>
    <cellStyle name="常规 5 4 2 8 6" xfId="13936"/>
    <cellStyle name="常规 5 4 2 9" xfId="25862"/>
    <cellStyle name="常规 5 4 2 9 2" xfId="25864"/>
    <cellStyle name="常规 5 4 2 9 2 2" xfId="25866"/>
    <cellStyle name="常规 5 4 2 9 2 2 2" xfId="25869"/>
    <cellStyle name="常规 5 4 2 9 2 3" xfId="25873"/>
    <cellStyle name="常规 5 4 2 9 2 4" xfId="25875"/>
    <cellStyle name="常规 5 4 2 9 3" xfId="13953"/>
    <cellStyle name="常规 5 4 2 9 3 2" xfId="13957"/>
    <cellStyle name="常规 5 4 2 9 4" xfId="13965"/>
    <cellStyle name="常规 5 4 2 9 5" xfId="13971"/>
    <cellStyle name="常规 5 4 3" xfId="27461"/>
    <cellStyle name="常规 5 4 3 10" xfId="32683"/>
    <cellStyle name="常规 5 4 3 10 2" xfId="32684"/>
    <cellStyle name="常规 5 4 3 11" xfId="10934"/>
    <cellStyle name="常规 5 4 3 12" xfId="10937"/>
    <cellStyle name="常规 5 4 3 2" xfId="32685"/>
    <cellStyle name="常规 5 4 3 2 10" xfId="1775"/>
    <cellStyle name="常规 5 4 3 2 11" xfId="32686"/>
    <cellStyle name="常规 5 4 3 2 2" xfId="12541"/>
    <cellStyle name="常规 5 4 3 2 2 2" xfId="12544"/>
    <cellStyle name="常规 5 4 3 2 2 2 2" xfId="12547"/>
    <cellStyle name="常规 5 4 3 2 2 2 2 2" xfId="14448"/>
    <cellStyle name="常规 5 4 3 2 2 2 2 2 2" xfId="14451"/>
    <cellStyle name="常规 5 4 3 2 2 2 2 2 2 2" xfId="14454"/>
    <cellStyle name="常规 5 4 3 2 2 2 2 2 2 2 2" xfId="30833"/>
    <cellStyle name="常规 5 4 3 2 2 2 2 2 2 2 2 2" xfId="30839"/>
    <cellStyle name="常规 5 4 3 2 2 2 2 2 2 2 3" xfId="31402"/>
    <cellStyle name="常规 5 4 3 2 2 2 2 2 2 2 4" xfId="31631"/>
    <cellStyle name="常规 5 4 3 2 2 2 2 2 2 3" xfId="32687"/>
    <cellStyle name="常规 5 4 3 2 2 2 2 2 2 3 2" xfId="32689"/>
    <cellStyle name="常规 5 4 3 2 2 2 2 2 2 4" xfId="8158"/>
    <cellStyle name="常规 5 4 3 2 2 2 2 2 2 5" xfId="8183"/>
    <cellStyle name="常规 5 4 3 2 2 2 2 2 3" xfId="14457"/>
    <cellStyle name="常规 5 4 3 2 2 2 2 2 3 2" xfId="32690"/>
    <cellStyle name="常规 5 4 3 2 2 2 2 2 3 2 2" xfId="32691"/>
    <cellStyle name="常规 5 4 3 2 2 2 2 2 3 3" xfId="32692"/>
    <cellStyle name="常规 5 4 3 2 2 2 2 2 3 4" xfId="8204"/>
    <cellStyle name="常规 5 4 3 2 2 2 2 2 4" xfId="14460"/>
    <cellStyle name="常规 5 4 3 2 2 2 2 2 4 2" xfId="32693"/>
    <cellStyle name="常规 5 4 3 2 2 2 2 2 5" xfId="32695"/>
    <cellStyle name="常规 5 4 3 2 2 2 2 2 6" xfId="26010"/>
    <cellStyle name="常规 5 4 3 2 2 2 2 3" xfId="14463"/>
    <cellStyle name="常规 5 4 3 2 2 2 2 3 2" xfId="14467"/>
    <cellStyle name="常规 5 4 3 2 2 2 2 3 2 2" xfId="29255"/>
    <cellStyle name="常规 5 4 3 2 2 2 2 3 2 2 2" xfId="32696"/>
    <cellStyle name="常规 5 4 3 2 2 2 2 3 2 3" xfId="4218"/>
    <cellStyle name="常规 5 4 3 2 2 2 2 3 2 4" xfId="3407"/>
    <cellStyle name="常规 5 4 3 2 2 2 2 3 3" xfId="23086"/>
    <cellStyle name="常规 5 4 3 2 2 2 2 3 3 2" xfId="32697"/>
    <cellStyle name="常规 5 4 3 2 2 2 2 3 4" xfId="32698"/>
    <cellStyle name="常规 5 4 3 2 2 2 2 3 5" xfId="32699"/>
    <cellStyle name="常规 5 4 3 2 2 2 2 4" xfId="14472"/>
    <cellStyle name="常规 5 4 3 2 2 2 2 4 2" xfId="32700"/>
    <cellStyle name="常规 5 4 3 2 2 2 2 4 2 2" xfId="32702"/>
    <cellStyle name="常规 5 4 3 2 2 2 2 4 3" xfId="32703"/>
    <cellStyle name="常规 5 4 3 2 2 2 2 4 4" xfId="32706"/>
    <cellStyle name="常规 5 4 3 2 2 2 2 5" xfId="14476"/>
    <cellStyle name="常规 5 4 3 2 2 2 2 5 2" xfId="32707"/>
    <cellStyle name="常规 5 4 3 2 2 2 2 6" xfId="32709"/>
    <cellStyle name="常规 5 4 3 2 2 2 2 7" xfId="32710"/>
    <cellStyle name="常规 5 4 3 2 2 2 3" xfId="22029"/>
    <cellStyle name="常规 5 4 3 2 2 2 3 2" xfId="14537"/>
    <cellStyle name="常规 5 4 3 2 2 2 3 2 2" xfId="14541"/>
    <cellStyle name="常规 5 4 3 2 2 2 3 2 2 2" xfId="22031"/>
    <cellStyle name="常规 5 4 3 2 2 2 3 2 2 2 2" xfId="32711"/>
    <cellStyle name="常规 5 4 3 2 2 2 3 2 2 3" xfId="32712"/>
    <cellStyle name="常规 5 4 3 2 2 2 3 2 2 4" xfId="32715"/>
    <cellStyle name="常规 5 4 3 2 2 2 3 2 3" xfId="22033"/>
    <cellStyle name="常规 5 4 3 2 2 2 3 2 3 2" xfId="32716"/>
    <cellStyle name="常规 5 4 3 2 2 2 3 2 4" xfId="22035"/>
    <cellStyle name="常规 5 4 3 2 2 2 3 2 5" xfId="32717"/>
    <cellStyle name="常规 5 4 3 2 2 2 3 3" xfId="14545"/>
    <cellStyle name="常规 5 4 3 2 2 2 3 3 2" xfId="22037"/>
    <cellStyle name="常规 5 4 3 2 2 2 3 3 2 2" xfId="32718"/>
    <cellStyle name="常规 5 4 3 2 2 2 3 3 3" xfId="32719"/>
    <cellStyle name="常规 5 4 3 2 2 2 3 3 4" xfId="32720"/>
    <cellStyle name="常规 5 4 3 2 2 2 3 4" xfId="14550"/>
    <cellStyle name="常规 5 4 3 2 2 2 3 4 2" xfId="32721"/>
    <cellStyle name="常规 5 4 3 2 2 2 3 5" xfId="22039"/>
    <cellStyle name="常规 5 4 3 2 2 2 3 6" xfId="5263"/>
    <cellStyle name="常规 5 4 3 2 2 2 4" xfId="1727"/>
    <cellStyle name="常规 5 4 3 2 2 2 4 2" xfId="14584"/>
    <cellStyle name="常规 5 4 3 2 2 2 4 2 2" xfId="22041"/>
    <cellStyle name="常规 5 4 3 2 2 2 4 2 2 2" xfId="1734"/>
    <cellStyle name="常规 5 4 3 2 2 2 4 2 3" xfId="32722"/>
    <cellStyle name="常规 5 4 3 2 2 2 4 2 4" xfId="18506"/>
    <cellStyle name="常规 5 4 3 2 2 2 4 3" xfId="14588"/>
    <cellStyle name="常规 5 4 3 2 2 2 4 3 2" xfId="32723"/>
    <cellStyle name="常规 5 4 3 2 2 2 4 4" xfId="10132"/>
    <cellStyle name="常规 5 4 3 2 2 2 4 5" xfId="10142"/>
    <cellStyle name="常规 5 4 3 2 2 2 5" xfId="22043"/>
    <cellStyle name="常规 5 4 3 2 2 2 5 2" xfId="14609"/>
    <cellStyle name="常规 5 4 3 2 2 2 5 2 2" xfId="32724"/>
    <cellStyle name="常规 5 4 3 2 2 2 5 3" xfId="32725"/>
    <cellStyle name="常规 5 4 3 2 2 2 5 4" xfId="10148"/>
    <cellStyle name="常规 5 4 3 2 2 2 6" xfId="22047"/>
    <cellStyle name="常规 5 4 3 2 2 2 6 2" xfId="1685"/>
    <cellStyle name="常规 5 4 3 2 2 2 7" xfId="22051"/>
    <cellStyle name="常规 5 4 3 2 2 2 8" xfId="1858"/>
    <cellStyle name="常规 5 4 3 2 2 3" xfId="12549"/>
    <cellStyle name="常规 5 4 3 2 2 3 2" xfId="32726"/>
    <cellStyle name="常规 5 4 3 2 2 3 2 2" xfId="15152"/>
    <cellStyle name="常规 5 4 3 2 2 3 2 2 2" xfId="15155"/>
    <cellStyle name="常规 5 4 3 2 2 3 2 2 2 2" xfId="32727"/>
    <cellStyle name="常规 5 4 3 2 2 3 2 2 2 2 2" xfId="32728"/>
    <cellStyle name="常规 5 4 3 2 2 3 2 2 2 3" xfId="2922"/>
    <cellStyle name="常规 5 4 3 2 2 3 2 2 2 4" xfId="14516"/>
    <cellStyle name="常规 5 4 3 2 2 3 2 2 3" xfId="32729"/>
    <cellStyle name="常规 5 4 3 2 2 3 2 2 3 2" xfId="32730"/>
    <cellStyle name="常规 5 4 3 2 2 3 2 2 4" xfId="32731"/>
    <cellStyle name="常规 5 4 3 2 2 3 2 2 5" xfId="32732"/>
    <cellStyle name="常规 5 4 3 2 2 3 2 3" xfId="15158"/>
    <cellStyle name="常规 5 4 3 2 2 3 2 3 2" xfId="32733"/>
    <cellStyle name="常规 5 4 3 2 2 3 2 3 2 2" xfId="32734"/>
    <cellStyle name="常规 5 4 3 2 2 3 2 3 3" xfId="32735"/>
    <cellStyle name="常规 5 4 3 2 2 3 2 3 4" xfId="32736"/>
    <cellStyle name="常规 5 4 3 2 2 3 2 4" xfId="15162"/>
    <cellStyle name="常规 5 4 3 2 2 3 2 4 2" xfId="29085"/>
    <cellStyle name="常规 5 4 3 2 2 3 2 5" xfId="32737"/>
    <cellStyle name="常规 5 4 3 2 2 3 2 6" xfId="32738"/>
    <cellStyle name="常规 5 4 3 2 2 3 3" xfId="22055"/>
    <cellStyle name="常规 5 4 3 2 2 3 3 2" xfId="15186"/>
    <cellStyle name="常规 5 4 3 2 2 3 3 2 2" xfId="22057"/>
    <cellStyle name="常规 5 4 3 2 2 3 3 2 2 2" xfId="32739"/>
    <cellStyle name="常规 5 4 3 2 2 3 3 2 3" xfId="32740"/>
    <cellStyle name="常规 5 4 3 2 2 3 3 2 4" xfId="32741"/>
    <cellStyle name="常规 5 4 3 2 2 3 3 3" xfId="15190"/>
    <cellStyle name="常规 5 4 3 2 2 3 3 3 2" xfId="32742"/>
    <cellStyle name="常规 5 4 3 2 2 3 3 4" xfId="22059"/>
    <cellStyle name="常规 5 4 3 2 2 3 3 5" xfId="32743"/>
    <cellStyle name="常规 5 4 3 2 2 3 4" xfId="21206"/>
    <cellStyle name="常规 5 4 3 2 2 3 4 2" xfId="15207"/>
    <cellStyle name="常规 5 4 3 2 2 3 4 2 2" xfId="21209"/>
    <cellStyle name="常规 5 4 3 2 2 3 4 3" xfId="21247"/>
    <cellStyle name="常规 5 4 3 2 2 3 4 4" xfId="10165"/>
    <cellStyle name="常规 5 4 3 2 2 3 5" xfId="1544"/>
    <cellStyle name="常规 5 4 3 2 2 3 5 2" xfId="909"/>
    <cellStyle name="常规 5 4 3 2 2 3 6" xfId="1566"/>
    <cellStyle name="常规 5 4 3 2 2 3 7" xfId="1575"/>
    <cellStyle name="常规 5 4 3 2 2 4" xfId="12551"/>
    <cellStyle name="常规 5 4 3 2 2 4 2" xfId="32744"/>
    <cellStyle name="常规 5 4 3 2 2 4 2 2" xfId="15679"/>
    <cellStyle name="常规 5 4 3 2 2 4 2 2 2" xfId="5865"/>
    <cellStyle name="常规 5 4 3 2 2 4 2 2 2 2" xfId="32745"/>
    <cellStyle name="常规 5 4 3 2 2 4 2 2 3" xfId="32746"/>
    <cellStyle name="常规 5 4 3 2 2 4 2 2 4" xfId="32747"/>
    <cellStyle name="常规 5 4 3 2 2 4 2 3" xfId="15682"/>
    <cellStyle name="常规 5 4 3 2 2 4 2 3 2" xfId="32748"/>
    <cellStyle name="常规 5 4 3 2 2 4 2 4" xfId="7224"/>
    <cellStyle name="常规 5 4 3 2 2 4 2 5" xfId="32749"/>
    <cellStyle name="常规 5 4 3 2 2 4 3" xfId="22062"/>
    <cellStyle name="常规 5 4 3 2 2 4 3 2" xfId="15696"/>
    <cellStyle name="常规 5 4 3 2 2 4 3 2 2" xfId="32750"/>
    <cellStyle name="常规 5 4 3 2 2 4 3 3" xfId="32751"/>
    <cellStyle name="常规 5 4 3 2 2 4 3 4" xfId="32752"/>
    <cellStyle name="常规 5 4 3 2 2 4 4" xfId="21366"/>
    <cellStyle name="常规 5 4 3 2 2 4 4 2" xfId="21369"/>
    <cellStyle name="常规 5 4 3 2 2 4 5" xfId="1586"/>
    <cellStyle name="常规 5 4 3 2 2 4 6" xfId="21515"/>
    <cellStyle name="常规 5 4 3 2 2 5" xfId="21204"/>
    <cellStyle name="常规 5 4 3 2 2 5 2" xfId="32753"/>
    <cellStyle name="常规 5 4 3 2 2 5 2 2" xfId="32754"/>
    <cellStyle name="常规 5 4 3 2 2 5 2 2 2" xfId="32755"/>
    <cellStyle name="常规 5 4 3 2 2 5 2 3" xfId="32756"/>
    <cellStyle name="常规 5 4 3 2 2 5 2 4" xfId="32757"/>
    <cellStyle name="常规 5 4 3 2 2 5 3" xfId="22065"/>
    <cellStyle name="常规 5 4 3 2 2 5 3 2" xfId="32758"/>
    <cellStyle name="常规 5 4 3 2 2 5 4" xfId="21566"/>
    <cellStyle name="常规 5 4 3 2 2 5 5" xfId="21618"/>
    <cellStyle name="常规 5 4 3 2 2 6" xfId="12911"/>
    <cellStyle name="常规 5 4 3 2 2 6 2" xfId="12915"/>
    <cellStyle name="常规 5 4 3 2 2 6 2 2" xfId="12920"/>
    <cellStyle name="常规 5 4 3 2 2 6 3" xfId="12928"/>
    <cellStyle name="常规 5 4 3 2 2 6 4" xfId="12933"/>
    <cellStyle name="常规 5 4 3 2 2 7" xfId="12940"/>
    <cellStyle name="常规 5 4 3 2 2 7 2" xfId="12945"/>
    <cellStyle name="常规 5 4 3 2 2 8" xfId="12958"/>
    <cellStyle name="常规 5 4 3 2 2 9" xfId="12961"/>
    <cellStyle name="常规 5 4 3 2 3" xfId="12555"/>
    <cellStyle name="常规 5 4 3 2 3 2" xfId="12558"/>
    <cellStyle name="常规 5 4 3 2 3 2 2" xfId="8310"/>
    <cellStyle name="常规 5 4 3 2 3 2 2 2" xfId="8312"/>
    <cellStyle name="常规 5 4 3 2 3 2 2 2 2" xfId="8315"/>
    <cellStyle name="常规 5 4 3 2 3 2 2 2 2 2" xfId="16146"/>
    <cellStyle name="常规 5 4 3 2 3 2 2 2 2 2 2" xfId="32759"/>
    <cellStyle name="常规 5 4 3 2 3 2 2 2 2 2 2 2" xfId="9144"/>
    <cellStyle name="常规 5 4 3 2 3 2 2 2 2 2 3" xfId="32760"/>
    <cellStyle name="常规 5 4 3 2 3 2 2 2 2 2 4" xfId="32761"/>
    <cellStyle name="常规 5 4 3 2 3 2 2 2 2 3" xfId="32762"/>
    <cellStyle name="常规 5 4 3 2 3 2 2 2 2 3 2" xfId="32763"/>
    <cellStyle name="常规 5 4 3 2 3 2 2 2 2 4" xfId="32764"/>
    <cellStyle name="常规 5 4 3 2 3 2 2 2 2 5" xfId="32765"/>
    <cellStyle name="常规 5 4 3 2 3 2 2 2 3" xfId="32767"/>
    <cellStyle name="常规 5 4 3 2 3 2 2 2 3 2" xfId="32768"/>
    <cellStyle name="常规 5 4 3 2 3 2 2 2 3 2 2" xfId="2875"/>
    <cellStyle name="常规 5 4 3 2 3 2 2 2 3 3" xfId="32769"/>
    <cellStyle name="常规 5 4 3 2 3 2 2 2 3 4" xfId="32770"/>
    <cellStyle name="常规 5 4 3 2 3 2 2 2 4" xfId="32453"/>
    <cellStyle name="常规 5 4 3 2 3 2 2 2 4 2" xfId="32771"/>
    <cellStyle name="常规 5 4 3 2 3 2 2 2 5" xfId="32772"/>
    <cellStyle name="常规 5 4 3 2 3 2 2 2 6" xfId="32773"/>
    <cellStyle name="常规 5 4 3 2 3 2 2 3" xfId="8318"/>
    <cellStyle name="常规 5 4 3 2 3 2 2 3 2" xfId="32774"/>
    <cellStyle name="常规 5 4 3 2 3 2 2 3 2 2" xfId="32775"/>
    <cellStyle name="常规 5 4 3 2 3 2 2 3 2 2 2" xfId="32776"/>
    <cellStyle name="常规 5 4 3 2 3 2 2 3 2 3" xfId="4620"/>
    <cellStyle name="常规 5 4 3 2 3 2 2 3 2 4" xfId="4623"/>
    <cellStyle name="常规 5 4 3 2 3 2 2 3 3" xfId="32777"/>
    <cellStyle name="常规 5 4 3 2 3 2 2 3 3 2" xfId="32778"/>
    <cellStyle name="常规 5 4 3 2 3 2 2 3 4" xfId="32779"/>
    <cellStyle name="常规 5 4 3 2 3 2 2 3 5" xfId="32780"/>
    <cellStyle name="常规 5 4 3 2 3 2 2 4" xfId="4261"/>
    <cellStyle name="常规 5 4 3 2 3 2 2 4 2" xfId="4265"/>
    <cellStyle name="常规 5 4 3 2 3 2 2 4 2 2" xfId="4269"/>
    <cellStyle name="常规 5 4 3 2 3 2 2 4 3" xfId="4273"/>
    <cellStyle name="常规 5 4 3 2 3 2 2 4 4" xfId="4277"/>
    <cellStyle name="常规 5 4 3 2 3 2 2 5" xfId="4279"/>
    <cellStyle name="常规 5 4 3 2 3 2 2 5 2" xfId="4283"/>
    <cellStyle name="常规 5 4 3 2 3 2 2 6" xfId="4290"/>
    <cellStyle name="常规 5 4 3 2 3 2 2 7" xfId="4292"/>
    <cellStyle name="常规 5 4 3 2 3 2 3" xfId="8322"/>
    <cellStyle name="常规 5 4 3 2 3 2 3 2" xfId="8325"/>
    <cellStyle name="常规 5 4 3 2 3 2 3 2 2" xfId="22070"/>
    <cellStyle name="常规 5 4 3 2 3 2 3 2 2 2" xfId="32781"/>
    <cellStyle name="常规 5 4 3 2 3 2 3 2 2 2 2" xfId="32782"/>
    <cellStyle name="常规 5 4 3 2 3 2 3 2 2 3" xfId="32783"/>
    <cellStyle name="常规 5 4 3 2 3 2 3 2 2 4" xfId="32785"/>
    <cellStyle name="常规 5 4 3 2 3 2 3 2 3" xfId="32786"/>
    <cellStyle name="常规 5 4 3 2 3 2 3 2 3 2" xfId="32787"/>
    <cellStyle name="常规 5 4 3 2 3 2 3 2 4" xfId="32788"/>
    <cellStyle name="常规 5 4 3 2 3 2 3 2 5" xfId="32789"/>
    <cellStyle name="常规 5 4 3 2 3 2 3 3" xfId="16680"/>
    <cellStyle name="常规 5 4 3 2 3 2 3 3 2" xfId="32790"/>
    <cellStyle name="常规 5 4 3 2 3 2 3 3 2 2" xfId="3411"/>
    <cellStyle name="常规 5 4 3 2 3 2 3 3 3" xfId="32791"/>
    <cellStyle name="常规 5 4 3 2 3 2 3 3 4" xfId="32792"/>
    <cellStyle name="常规 5 4 3 2 3 2 3 4" xfId="4306"/>
    <cellStyle name="常规 5 4 3 2 3 2 3 4 2" xfId="4312"/>
    <cellStyle name="常规 5 4 3 2 3 2 3 5" xfId="4318"/>
    <cellStyle name="常规 5 4 3 2 3 2 3 6" xfId="4320"/>
    <cellStyle name="常规 5 4 3 2 3 2 4" xfId="8329"/>
    <cellStyle name="常规 5 4 3 2 3 2 4 2" xfId="22073"/>
    <cellStyle name="常规 5 4 3 2 3 2 4 2 2" xfId="32794"/>
    <cellStyle name="常规 5 4 3 2 3 2 4 2 2 2" xfId="32795"/>
    <cellStyle name="常规 5 4 3 2 3 2 4 2 3" xfId="32796"/>
    <cellStyle name="常规 5 4 3 2 3 2 4 2 4" xfId="19812"/>
    <cellStyle name="常规 5 4 3 2 3 2 4 3" xfId="32798"/>
    <cellStyle name="常规 5 4 3 2 3 2 4 3 2" xfId="32799"/>
    <cellStyle name="常规 5 4 3 2 3 2 4 4" xfId="4335"/>
    <cellStyle name="常规 5 4 3 2 3 2 4 5" xfId="10300"/>
    <cellStyle name="常规 5 4 3 2 3 2 5" xfId="8332"/>
    <cellStyle name="常规 5 4 3 2 3 2 5 2" xfId="22666"/>
    <cellStyle name="常规 5 4 3 2 3 2 5 2 2" xfId="32800"/>
    <cellStyle name="常规 5 4 3 2 3 2 5 3" xfId="32802"/>
    <cellStyle name="常规 5 4 3 2 3 2 5 4" xfId="10303"/>
    <cellStyle name="常规 5 4 3 2 3 2 6" xfId="22076"/>
    <cellStyle name="常规 5 4 3 2 3 2 6 2" xfId="28902"/>
    <cellStyle name="常规 5 4 3 2 3 2 7" xfId="28906"/>
    <cellStyle name="常规 5 4 3 2 3 2 8" xfId="16230"/>
    <cellStyle name="常规 5 4 3 2 3 3" xfId="32803"/>
    <cellStyle name="常规 5 4 3 2 3 3 2" xfId="8384"/>
    <cellStyle name="常规 5 4 3 2 3 3 2 2" xfId="8387"/>
    <cellStyle name="常规 5 4 3 2 3 3 2 2 2" xfId="16435"/>
    <cellStyle name="常规 5 4 3 2 3 3 2 2 2 2" xfId="32804"/>
    <cellStyle name="常规 5 4 3 2 3 3 2 2 2 2 2" xfId="17635"/>
    <cellStyle name="常规 5 4 3 2 3 3 2 2 2 3" xfId="32805"/>
    <cellStyle name="常规 5 4 3 2 3 3 2 2 2 4" xfId="32806"/>
    <cellStyle name="常规 5 4 3 2 3 3 2 2 3" xfId="32807"/>
    <cellStyle name="常规 5 4 3 2 3 3 2 2 3 2" xfId="32808"/>
    <cellStyle name="常规 5 4 3 2 3 3 2 2 4" xfId="32810"/>
    <cellStyle name="常规 5 4 3 2 3 3 2 2 5" xfId="32811"/>
    <cellStyle name="常规 5 4 3 2 3 3 2 3" xfId="16438"/>
    <cellStyle name="常规 5 4 3 2 3 3 2 3 2" xfId="32812"/>
    <cellStyle name="常规 5 4 3 2 3 3 2 3 2 2" xfId="32813"/>
    <cellStyle name="常规 5 4 3 2 3 3 2 3 3" xfId="32814"/>
    <cellStyle name="常规 5 4 3 2 3 3 2 3 4" xfId="32815"/>
    <cellStyle name="常规 5 4 3 2 3 3 2 4" xfId="4367"/>
    <cellStyle name="常规 5 4 3 2 3 3 2 4 2" xfId="4370"/>
    <cellStyle name="常规 5 4 3 2 3 3 2 5" xfId="4148"/>
    <cellStyle name="常规 5 4 3 2 3 3 2 6" xfId="4372"/>
    <cellStyle name="常规 5 4 3 2 3 3 3" xfId="8391"/>
    <cellStyle name="常规 5 4 3 2 3 3 3 2" xfId="16441"/>
    <cellStyle name="常规 5 4 3 2 3 3 3 2 2" xfId="32816"/>
    <cellStyle name="常规 5 4 3 2 3 3 3 2 2 2" xfId="32817"/>
    <cellStyle name="常规 5 4 3 2 3 3 3 2 3" xfId="32818"/>
    <cellStyle name="常规 5 4 3 2 3 3 3 2 4" xfId="32819"/>
    <cellStyle name="常规 5 4 3 2 3 3 3 3" xfId="32820"/>
    <cellStyle name="常规 5 4 3 2 3 3 3 3 2" xfId="32821"/>
    <cellStyle name="常规 5 4 3 2 3 3 3 4" xfId="4382"/>
    <cellStyle name="常规 5 4 3 2 3 3 3 5" xfId="32822"/>
    <cellStyle name="常规 5 4 3 2 3 3 4" xfId="8395"/>
    <cellStyle name="常规 5 4 3 2 3 3 4 2" xfId="21477"/>
    <cellStyle name="常规 5 4 3 2 3 3 4 2 2" xfId="21757"/>
    <cellStyle name="常规 5 4 3 2 3 3 4 3" xfId="21481"/>
    <cellStyle name="常规 5 4 3 2 3 3 4 4" xfId="10311"/>
    <cellStyle name="常规 5 4 3 2 3 3 5" xfId="16444"/>
    <cellStyle name="常规 5 4 3 2 3 3 5 2" xfId="21819"/>
    <cellStyle name="常规 5 4 3 2 3 3 6" xfId="21845"/>
    <cellStyle name="常规 5 4 3 2 3 3 7" xfId="21872"/>
    <cellStyle name="常规 5 4 3 2 3 4" xfId="32823"/>
    <cellStyle name="常规 5 4 3 2 3 4 2" xfId="8407"/>
    <cellStyle name="常规 5 4 3 2 3 4 2 2" xfId="2828"/>
    <cellStyle name="常规 5 4 3 2 3 4 2 2 2" xfId="5081"/>
    <cellStyle name="常规 5 4 3 2 3 4 2 2 2 2" xfId="32825"/>
    <cellStyle name="常规 5 4 3 2 3 4 2 2 3" xfId="32826"/>
    <cellStyle name="常规 5 4 3 2 3 4 2 2 4" xfId="32828"/>
    <cellStyle name="常规 5 4 3 2 3 4 2 3" xfId="3423"/>
    <cellStyle name="常规 5 4 3 2 3 4 2 3 2" xfId="32829"/>
    <cellStyle name="常规 5 4 3 2 3 4 2 4" xfId="2608"/>
    <cellStyle name="常规 5 4 3 2 3 4 2 5" xfId="32830"/>
    <cellStyle name="常规 5 4 3 2 3 4 3" xfId="8411"/>
    <cellStyle name="常规 5 4 3 2 3 4 3 2" xfId="2864"/>
    <cellStyle name="常规 5 4 3 2 3 4 3 2 2" xfId="32831"/>
    <cellStyle name="常规 5 4 3 2 3 4 3 3" xfId="32832"/>
    <cellStyle name="常规 5 4 3 2 3 4 3 4" xfId="32833"/>
    <cellStyle name="常规 5 4 3 2 3 4 4" xfId="16450"/>
    <cellStyle name="常规 5 4 3 2 3 4 4 2" xfId="21890"/>
    <cellStyle name="常规 5 4 3 2 3 4 5" xfId="21919"/>
    <cellStyle name="常规 5 4 3 2 3 4 6" xfId="21933"/>
    <cellStyle name="常规 5 4 3 2 3 5" xfId="32834"/>
    <cellStyle name="常规 5 4 3 2 3 5 2" xfId="8421"/>
    <cellStyle name="常规 5 4 3 2 3 5 2 2" xfId="3104"/>
    <cellStyle name="常规 5 4 3 2 3 5 2 2 2" xfId="19594"/>
    <cellStyle name="常规 5 4 3 2 3 5 2 3" xfId="3468"/>
    <cellStyle name="常规 5 4 3 2 3 5 2 4" xfId="32835"/>
    <cellStyle name="常规 5 4 3 2 3 5 3" xfId="16454"/>
    <cellStyle name="常规 5 4 3 2 3 5 3 2" xfId="3148"/>
    <cellStyle name="常规 5 4 3 2 3 5 4" xfId="21945"/>
    <cellStyle name="常规 5 4 3 2 3 5 5" xfId="21977"/>
    <cellStyle name="常规 5 4 3 2 3 6" xfId="12969"/>
    <cellStyle name="常规 5 4 3 2 3 6 2" xfId="12972"/>
    <cellStyle name="常规 5 4 3 2 3 6 2 2" xfId="5012"/>
    <cellStyle name="常规 5 4 3 2 3 6 3" xfId="12976"/>
    <cellStyle name="常规 5 4 3 2 3 6 4" xfId="12980"/>
    <cellStyle name="常规 5 4 3 2 3 7" xfId="12984"/>
    <cellStyle name="常规 5 4 3 2 3 7 2" xfId="12987"/>
    <cellStyle name="常规 5 4 3 2 3 8" xfId="12989"/>
    <cellStyle name="常规 5 4 3 2 3 9" xfId="12991"/>
    <cellStyle name="常规 5 4 3 2 4" xfId="12560"/>
    <cellStyle name="常规 5 4 3 2 4 2" xfId="30741"/>
    <cellStyle name="常规 5 4 3 2 4 2 2" xfId="8572"/>
    <cellStyle name="常规 5 4 3 2 4 2 2 2" xfId="8574"/>
    <cellStyle name="常规 5 4 3 2 4 2 2 2 2" xfId="8577"/>
    <cellStyle name="常规 5 4 3 2 4 2 2 2 2 2" xfId="30015"/>
    <cellStyle name="常规 5 4 3 2 4 2 2 2 2 2 2" xfId="32836"/>
    <cellStyle name="常规 5 4 3 2 4 2 2 2 2 3" xfId="30017"/>
    <cellStyle name="常规 5 4 3 2 4 2 2 2 2 4" xfId="32837"/>
    <cellStyle name="常规 5 4 3 2 4 2 2 2 3" xfId="14702"/>
    <cellStyle name="常规 5 4 3 2 4 2 2 2 3 2" xfId="32838"/>
    <cellStyle name="常规 5 4 3 2 4 2 2 2 4" xfId="32548"/>
    <cellStyle name="常规 5 4 3 2 4 2 2 2 5" xfId="6129"/>
    <cellStyle name="常规 5 4 3 2 4 2 2 3" xfId="8581"/>
    <cellStyle name="常规 5 4 3 2 4 2 2 3 2" xfId="14709"/>
    <cellStyle name="常规 5 4 3 2 4 2 2 3 2 2" xfId="32839"/>
    <cellStyle name="常规 5 4 3 2 4 2 2 3 3" xfId="32840"/>
    <cellStyle name="常规 5 4 3 2 4 2 2 3 4" xfId="20103"/>
    <cellStyle name="常规 5 4 3 2 4 2 2 4" xfId="166"/>
    <cellStyle name="常规 5 4 3 2 4 2 2 4 2" xfId="1535"/>
    <cellStyle name="常规 5 4 3 2 4 2 2 5" xfId="111"/>
    <cellStyle name="常规 5 4 3 2 4 2 2 6" xfId="61"/>
    <cellStyle name="常规 5 4 3 2 4 2 3" xfId="8584"/>
    <cellStyle name="常规 5 4 3 2 4 2 3 2" xfId="8587"/>
    <cellStyle name="常规 5 4 3 2 4 2 3 2 2" xfId="12478"/>
    <cellStyle name="常规 5 4 3 2 4 2 3 2 2 2" xfId="12481"/>
    <cellStyle name="常规 5 4 3 2 4 2 3 2 3" xfId="12484"/>
    <cellStyle name="常规 5 4 3 2 4 2 3 2 4" xfId="2841"/>
    <cellStyle name="常规 5 4 3 2 4 2 3 3" xfId="16801"/>
    <cellStyle name="常规 5 4 3 2 4 2 3 3 2" xfId="12488"/>
    <cellStyle name="常规 5 4 3 2 4 2 3 4" xfId="4488"/>
    <cellStyle name="常规 5 4 3 2 4 2 3 5" xfId="32841"/>
    <cellStyle name="常规 5 4 3 2 4 2 4" xfId="8592"/>
    <cellStyle name="常规 5 4 3 2 4 2 4 2" xfId="32843"/>
    <cellStyle name="常规 5 4 3 2 4 2 4 2 2" xfId="12499"/>
    <cellStyle name="常规 5 4 3 2 4 2 4 3" xfId="32845"/>
    <cellStyle name="常规 5 4 3 2 4 2 4 4" xfId="10367"/>
    <cellStyle name="常规 5 4 3 2 4 2 5" xfId="8595"/>
    <cellStyle name="常规 5 4 3 2 4 2 5 2" xfId="13783"/>
    <cellStyle name="常规 5 4 3 2 4 2 6" xfId="13787"/>
    <cellStyle name="常规 5 4 3 2 4 2 7" xfId="13793"/>
    <cellStyle name="常规 5 4 3 2 4 3" xfId="20591"/>
    <cellStyle name="常规 5 4 3 2 4 3 2" xfId="8665"/>
    <cellStyle name="常规 5 4 3 2 4 3 2 2" xfId="8669"/>
    <cellStyle name="常规 5 4 3 2 4 3 2 2 2" xfId="14772"/>
    <cellStyle name="常规 5 4 3 2 4 3 2 2 2 2" xfId="32846"/>
    <cellStyle name="常规 5 4 3 2 4 3 2 2 3" xfId="32847"/>
    <cellStyle name="常规 5 4 3 2 4 3 2 2 4" xfId="32849"/>
    <cellStyle name="常规 5 4 3 2 4 3 2 3" xfId="16842"/>
    <cellStyle name="常规 5 4 3 2 4 3 2 3 2" xfId="32851"/>
    <cellStyle name="常规 5 4 3 2 4 3 2 4" xfId="4519"/>
    <cellStyle name="常规 5 4 3 2 4 3 2 5" xfId="32852"/>
    <cellStyle name="常规 5 4 3 2 4 3 3" xfId="8674"/>
    <cellStyle name="常规 5 4 3 2 4 3 3 2" xfId="32853"/>
    <cellStyle name="常规 5 4 3 2 4 3 3 2 2" xfId="12531"/>
    <cellStyle name="常规 5 4 3 2 4 3 3 3" xfId="32854"/>
    <cellStyle name="常规 5 4 3 2 4 3 3 4" xfId="32855"/>
    <cellStyle name="常规 5 4 3 2 4 3 4" xfId="8679"/>
    <cellStyle name="常规 5 4 3 2 4 3 4 2" xfId="22027"/>
    <cellStyle name="常规 5 4 3 2 4 3 5" xfId="13799"/>
    <cellStyle name="常规 5 4 3 2 4 3 6" xfId="13804"/>
    <cellStyle name="常规 5 4 3 2 4 4" xfId="1977"/>
    <cellStyle name="常规 5 4 3 2 4 4 2" xfId="1983"/>
    <cellStyle name="常规 5 4 3 2 4 4 2 2" xfId="1994"/>
    <cellStyle name="常规 5 4 3 2 4 4 2 2 2" xfId="7280"/>
    <cellStyle name="常规 5 4 3 2 4 4 2 3" xfId="1998"/>
    <cellStyle name="常规 5 4 3 2 4 4 2 4" xfId="2006"/>
    <cellStyle name="常规 5 4 3 2 4 4 3" xfId="2016"/>
    <cellStyle name="常规 5 4 3 2 4 4 3 2" xfId="2025"/>
    <cellStyle name="常规 5 4 3 2 4 4 4" xfId="278"/>
    <cellStyle name="常规 5 4 3 2 4 4 5" xfId="204"/>
    <cellStyle name="常规 5 4 3 2 4 5" xfId="32856"/>
    <cellStyle name="常规 5 4 3 2 4 5 2" xfId="2060"/>
    <cellStyle name="常规 5 4 3 2 4 5 2 2" xfId="2068"/>
    <cellStyle name="常规 5 4 3 2 4 5 3" xfId="2090"/>
    <cellStyle name="常规 5 4 3 2 4 5 4" xfId="962"/>
    <cellStyle name="常规 5 4 3 2 4 6" xfId="12995"/>
    <cellStyle name="常规 5 4 3 2 4 6 2" xfId="2117"/>
    <cellStyle name="常规 5 4 3 2 4 7" xfId="12997"/>
    <cellStyle name="常规 5 4 3 2 4 8" xfId="12999"/>
    <cellStyle name="常规 5 4 3 2 5" xfId="12564"/>
    <cellStyle name="常规 5 4 3 2 5 2" xfId="32857"/>
    <cellStyle name="常规 5 4 3 2 5 2 2" xfId="8782"/>
    <cellStyle name="常规 5 4 3 2 5 2 2 2" xfId="8784"/>
    <cellStyle name="常规 5 4 3 2 5 2 2 2 2" xfId="14877"/>
    <cellStyle name="常规 5 4 3 2 5 2 2 2 2 2" xfId="15368"/>
    <cellStyle name="常规 5 4 3 2 5 2 2 2 3" xfId="14881"/>
    <cellStyle name="常规 5 4 3 2 5 2 2 2 4" xfId="32859"/>
    <cellStyle name="常规 5 4 3 2 5 2 2 3" xfId="16902"/>
    <cellStyle name="常规 5 4 3 2 5 2 2 3 2" xfId="7244"/>
    <cellStyle name="常规 5 4 3 2 5 2 2 4" xfId="4543"/>
    <cellStyle name="常规 5 4 3 2 5 2 2 5" xfId="30218"/>
    <cellStyle name="常规 5 4 3 2 5 2 3" xfId="8787"/>
    <cellStyle name="常规 5 4 3 2 5 2 3 2" xfId="32860"/>
    <cellStyle name="常规 5 4 3 2 5 2 3 2 2" xfId="12609"/>
    <cellStyle name="常规 5 4 3 2 5 2 3 3" xfId="31486"/>
    <cellStyle name="常规 5 4 3 2 5 2 3 4" xfId="31489"/>
    <cellStyle name="常规 5 4 3 2 5 2 4" xfId="8790"/>
    <cellStyle name="常规 5 4 3 2 5 2 4 2" xfId="32862"/>
    <cellStyle name="常规 5 4 3 2 5 2 5" xfId="13811"/>
    <cellStyle name="常规 5 4 3 2 5 2 6" xfId="3326"/>
    <cellStyle name="常规 5 4 3 2 5 3" xfId="32863"/>
    <cellStyle name="常规 5 4 3 2 5 3 2" xfId="8821"/>
    <cellStyle name="常规 5 4 3 2 5 3 2 2" xfId="32864"/>
    <cellStyle name="常规 5 4 3 2 5 3 2 2 2" xfId="14960"/>
    <cellStyle name="常规 5 4 3 2 5 3 2 3" xfId="31496"/>
    <cellStyle name="常规 5 4 3 2 5 3 2 4" xfId="31498"/>
    <cellStyle name="常规 5 4 3 2 5 3 3" xfId="8825"/>
    <cellStyle name="常规 5 4 3 2 5 3 3 2" xfId="32865"/>
    <cellStyle name="常规 5 4 3 2 5 3 4" xfId="22197"/>
    <cellStyle name="常规 5 4 3 2 5 3 5" xfId="13815"/>
    <cellStyle name="常规 5 4 3 2 5 4" xfId="32866"/>
    <cellStyle name="常规 5 4 3 2 5 4 2" xfId="2167"/>
    <cellStyle name="常规 5 4 3 2 5 4 2 2" xfId="5680"/>
    <cellStyle name="常规 5 4 3 2 5 4 3" xfId="7338"/>
    <cellStyle name="常规 5 4 3 2 5 4 4" xfId="7341"/>
    <cellStyle name="常规 5 4 3 2 5 5" xfId="32867"/>
    <cellStyle name="常规 5 4 3 2 5 5 2" xfId="6558"/>
    <cellStyle name="常规 5 4 3 2 5 6" xfId="13003"/>
    <cellStyle name="常规 5 4 3 2 5 7" xfId="32868"/>
    <cellStyle name="常规 5 4 3 2 6" xfId="30743"/>
    <cellStyle name="常规 5 4 3 2 6 2" xfId="32869"/>
    <cellStyle name="常规 5 4 3 2 6 2 2" xfId="8872"/>
    <cellStyle name="常规 5 4 3 2 6 2 2 2" xfId="32870"/>
    <cellStyle name="常规 5 4 3 2 6 2 2 2 2" xfId="11208"/>
    <cellStyle name="常规 5 4 3 2 6 2 2 3" xfId="26953"/>
    <cellStyle name="常规 5 4 3 2 6 2 2 4" xfId="26960"/>
    <cellStyle name="常规 5 4 3 2 6 2 3" xfId="8874"/>
    <cellStyle name="常规 5 4 3 2 6 2 3 2" xfId="32871"/>
    <cellStyle name="常规 5 4 3 2 6 2 4" xfId="32872"/>
    <cellStyle name="常规 5 4 3 2 6 2 5" xfId="13824"/>
    <cellStyle name="常规 5 4 3 2 6 3" xfId="32873"/>
    <cellStyle name="常规 5 4 3 2 6 3 2" xfId="8893"/>
    <cellStyle name="常规 5 4 3 2 6 3 2 2" xfId="32874"/>
    <cellStyle name="常规 5 4 3 2 6 3 3" xfId="32875"/>
    <cellStyle name="常规 5 4 3 2 6 3 4" xfId="22291"/>
    <cellStyle name="常规 5 4 3 2 6 4" xfId="32876"/>
    <cellStyle name="常规 5 4 3 2 6 4 2" xfId="7374"/>
    <cellStyle name="常规 5 4 3 2 6 5" xfId="32877"/>
    <cellStyle name="常规 5 4 3 2 6 6" xfId="32878"/>
    <cellStyle name="常规 5 4 3 2 7" xfId="32879"/>
    <cellStyle name="常规 5 4 3 2 7 2" xfId="32880"/>
    <cellStyle name="常规 5 4 3 2 7 2 2" xfId="8919"/>
    <cellStyle name="常规 5 4 3 2 7 2 2 2" xfId="20973"/>
    <cellStyle name="常规 5 4 3 2 7 2 3" xfId="32881"/>
    <cellStyle name="常规 5 4 3 2 7 2 4" xfId="32882"/>
    <cellStyle name="常规 5 4 3 2 7 3" xfId="32883"/>
    <cellStyle name="常规 5 4 3 2 7 3 2" xfId="32884"/>
    <cellStyle name="常规 5 4 3 2 7 4" xfId="32886"/>
    <cellStyle name="常规 5 4 3 2 7 5" xfId="32887"/>
    <cellStyle name="常规 5 4 3 2 8" xfId="32888"/>
    <cellStyle name="常规 5 4 3 2 8 2" xfId="32889"/>
    <cellStyle name="常规 5 4 3 2 8 2 2" xfId="32890"/>
    <cellStyle name="常规 5 4 3 2 8 3" xfId="32891"/>
    <cellStyle name="常规 5 4 3 2 8 4" xfId="32892"/>
    <cellStyle name="常规 5 4 3 2 9" xfId="32230"/>
    <cellStyle name="常规 5 4 3 2 9 2" xfId="20839"/>
    <cellStyle name="常规 5 4 3 3" xfId="32893"/>
    <cellStyle name="常规 5 4 3 3 2" xfId="12574"/>
    <cellStyle name="常规 5 4 3 3 2 2" xfId="12577"/>
    <cellStyle name="常规 5 4 3 3 2 2 2" xfId="32894"/>
    <cellStyle name="常规 5 4 3 3 2 2 2 2" xfId="32895"/>
    <cellStyle name="常规 5 4 3 3 2 2 2 2 2" xfId="32897"/>
    <cellStyle name="常规 5 4 3 3 2 2 2 2 2 2" xfId="32899"/>
    <cellStyle name="常规 5 4 3 3 2 2 2 2 2 2 2" xfId="32900"/>
    <cellStyle name="常规 5 4 3 3 2 2 2 2 2 3" xfId="32901"/>
    <cellStyle name="常规 5 4 3 3 2 2 2 2 2 4" xfId="32902"/>
    <cellStyle name="常规 5 4 3 3 2 2 2 2 3" xfId="32904"/>
    <cellStyle name="常规 5 4 3 3 2 2 2 2 3 2" xfId="32905"/>
    <cellStyle name="常规 5 4 3 3 2 2 2 2 4" xfId="32907"/>
    <cellStyle name="常规 5 4 3 3 2 2 2 2 5" xfId="28090"/>
    <cellStyle name="常规 5 4 3 3 2 2 2 3" xfId="19552"/>
    <cellStyle name="常规 5 4 3 3 2 2 2 3 2" xfId="32909"/>
    <cellStyle name="常规 5 4 3 3 2 2 2 3 2 2" xfId="11359"/>
    <cellStyle name="常规 5 4 3 3 2 2 2 3 3" xfId="32911"/>
    <cellStyle name="常规 5 4 3 3 2 2 2 3 4" xfId="32374"/>
    <cellStyle name="常规 5 4 3 3 2 2 2 4" xfId="32912"/>
    <cellStyle name="常规 5 4 3 3 2 2 2 4 2" xfId="32914"/>
    <cellStyle name="常规 5 4 3 3 2 2 2 5" xfId="32916"/>
    <cellStyle name="常规 5 4 3 3 2 2 2 6" xfId="32917"/>
    <cellStyle name="常规 5 4 3 3 2 2 3" xfId="22097"/>
    <cellStyle name="常规 5 4 3 3 2 2 3 2" xfId="17522"/>
    <cellStyle name="常规 5 4 3 3 2 2 3 2 2" xfId="22100"/>
    <cellStyle name="常规 5 4 3 3 2 2 3 2 2 2" xfId="32918"/>
    <cellStyle name="常规 5 4 3 3 2 2 3 2 3" xfId="32920"/>
    <cellStyle name="常规 5 4 3 3 2 2 3 2 4" xfId="32921"/>
    <cellStyle name="常规 5 4 3 3 2 2 3 3" xfId="22102"/>
    <cellStyle name="常规 5 4 3 3 2 2 3 3 2" xfId="32922"/>
    <cellStyle name="常规 5 4 3 3 2 2 3 4" xfId="22104"/>
    <cellStyle name="常规 5 4 3 3 2 2 3 5" xfId="32923"/>
    <cellStyle name="常规 5 4 3 3 2 2 4" xfId="22106"/>
    <cellStyle name="常规 5 4 3 3 2 2 4 2" xfId="22108"/>
    <cellStyle name="常规 5 4 3 3 2 2 4 2 2" xfId="32924"/>
    <cellStyle name="常规 5 4 3 3 2 2 4 3" xfId="32925"/>
    <cellStyle name="常规 5 4 3 3 2 2 4 4" xfId="10599"/>
    <cellStyle name="常规 5 4 3 3 2 2 5" xfId="22110"/>
    <cellStyle name="常规 5 4 3 3 2 2 5 2" xfId="32926"/>
    <cellStyle name="常规 5 4 3 3 2 2 6" xfId="22113"/>
    <cellStyle name="常规 5 4 3 3 2 2 7" xfId="28937"/>
    <cellStyle name="常规 5 4 3 3 2 3" xfId="12002"/>
    <cellStyle name="常规 5 4 3 3 2 3 2" xfId="32927"/>
    <cellStyle name="常规 5 4 3 3 2 3 2 2" xfId="32928"/>
    <cellStyle name="常规 5 4 3 3 2 3 2 2 2" xfId="16169"/>
    <cellStyle name="常规 5 4 3 3 2 3 2 2 2 2" xfId="32929"/>
    <cellStyle name="常规 5 4 3 3 2 3 2 2 3" xfId="32931"/>
    <cellStyle name="常规 5 4 3 3 2 3 2 2 4" xfId="32932"/>
    <cellStyle name="常规 5 4 3 3 2 3 2 3" xfId="32933"/>
    <cellStyle name="常规 5 4 3 3 2 3 2 3 2" xfId="32934"/>
    <cellStyle name="常规 5 4 3 3 2 3 2 4" xfId="32935"/>
    <cellStyle name="常规 5 4 3 3 2 3 2 5" xfId="32937"/>
    <cellStyle name="常规 5 4 3 3 2 3 3" xfId="22117"/>
    <cellStyle name="常规 5 4 3 3 2 3 3 2" xfId="22119"/>
    <cellStyle name="常规 5 4 3 3 2 3 3 2 2" xfId="32938"/>
    <cellStyle name="常规 5 4 3 3 2 3 3 3" xfId="32939"/>
    <cellStyle name="常规 5 4 3 3 2 3 3 4" xfId="32940"/>
    <cellStyle name="常规 5 4 3 3 2 3 4" xfId="22121"/>
    <cellStyle name="常规 5 4 3 3 2 3 4 2" xfId="22368"/>
    <cellStyle name="常规 5 4 3 3 2 3 5" xfId="1601"/>
    <cellStyle name="常规 5 4 3 3 2 3 6" xfId="1608"/>
    <cellStyle name="常规 5 4 3 3 2 4" xfId="32941"/>
    <cellStyle name="常规 5 4 3 3 2 4 2" xfId="32942"/>
    <cellStyle name="常规 5 4 3 3 2 4 2 2" xfId="32943"/>
    <cellStyle name="常规 5 4 3 3 2 4 2 2 2" xfId="32944"/>
    <cellStyle name="常规 5 4 3 3 2 4 2 3" xfId="32945"/>
    <cellStyle name="常规 5 4 3 3 2 4 2 4" xfId="32946"/>
    <cellStyle name="常规 5 4 3 3 2 4 3" xfId="22125"/>
    <cellStyle name="常规 5 4 3 3 2 4 3 2" xfId="32947"/>
    <cellStyle name="常规 5 4 3 3 2 4 4" xfId="22442"/>
    <cellStyle name="常规 5 4 3 3 2 4 5" xfId="22464"/>
    <cellStyle name="常规 5 4 3 3 2 5" xfId="31870"/>
    <cellStyle name="常规 5 4 3 3 2 5 2" xfId="31872"/>
    <cellStyle name="常规 5 4 3 3 2 5 2 2" xfId="31874"/>
    <cellStyle name="常规 5 4 3 3 2 5 3" xfId="31876"/>
    <cellStyle name="常规 5 4 3 3 2 5 4" xfId="22482"/>
    <cellStyle name="常规 5 4 3 3 2 6" xfId="13009"/>
    <cellStyle name="常规 5 4 3 3 2 6 2" xfId="13013"/>
    <cellStyle name="常规 5 4 3 3 2 7" xfId="3"/>
    <cellStyle name="常规 5 4 3 3 2 8" xfId="449"/>
    <cellStyle name="常规 5 4 3 3 3" xfId="12579"/>
    <cellStyle name="常规 5 4 3 3 3 2" xfId="5554"/>
    <cellStyle name="常规 5 4 3 3 3 2 2" xfId="9106"/>
    <cellStyle name="常规 5 4 3 3 3 2 2 2" xfId="9108"/>
    <cellStyle name="常规 5 4 3 3 3 2 2 2 2" xfId="9113"/>
    <cellStyle name="常规 5 4 3 3 3 2 2 2 2 2" xfId="32949"/>
    <cellStyle name="常规 5 4 3 3 3 2 2 2 3" xfId="32951"/>
    <cellStyle name="常规 5 4 3 3 3 2 2 2 4" xfId="24775"/>
    <cellStyle name="常规 5 4 3 3 3 2 2 3" xfId="9115"/>
    <cellStyle name="常规 5 4 3 3 3 2 2 3 2" xfId="32952"/>
    <cellStyle name="常规 5 4 3 3 3 2 2 4" xfId="4646"/>
    <cellStyle name="常规 5 4 3 3 3 2 2 5" xfId="4651"/>
    <cellStyle name="常规 5 4 3 3 3 2 3" xfId="9118"/>
    <cellStyle name="常规 5 4 3 3 3 2 3 2" xfId="9121"/>
    <cellStyle name="常规 5 4 3 3 3 2 3 2 2" xfId="32953"/>
    <cellStyle name="常规 5 4 3 3 3 2 3 3" xfId="32954"/>
    <cellStyle name="常规 5 4 3 3 3 2 3 4" xfId="4674"/>
    <cellStyle name="常规 5 4 3 3 3 2 4" xfId="9124"/>
    <cellStyle name="常规 5 4 3 3 3 2 4 2" xfId="27640"/>
    <cellStyle name="常规 5 4 3 3 3 2 5" xfId="9127"/>
    <cellStyle name="常规 5 4 3 3 3 2 6" xfId="28946"/>
    <cellStyle name="常规 5 4 3 3 3 3" xfId="32955"/>
    <cellStyle name="常规 5 4 3 3 3 3 2" xfId="9184"/>
    <cellStyle name="常规 5 4 3 3 3 3 2 2" xfId="9188"/>
    <cellStyle name="常规 5 4 3 3 3 3 2 2 2" xfId="18956"/>
    <cellStyle name="常规 5 4 3 3 3 3 2 3" xfId="32956"/>
    <cellStyle name="常规 5 4 3 3 3 3 2 4" xfId="4730"/>
    <cellStyle name="常规 5 4 3 3 3 3 3" xfId="9192"/>
    <cellStyle name="常规 5 4 3 3 3 3 3 2" xfId="32957"/>
    <cellStyle name="常规 5 4 3 3 3 3 4" xfId="9197"/>
    <cellStyle name="常规 5 4 3 3 3 3 5" xfId="22604"/>
    <cellStyle name="常规 5 4 3 3 3 4" xfId="32958"/>
    <cellStyle name="常规 5 4 3 3 3 4 2" xfId="9210"/>
    <cellStyle name="常规 5 4 3 3 3 4 2 2" xfId="6303"/>
    <cellStyle name="常规 5 4 3 3 3 4 3" xfId="9215"/>
    <cellStyle name="常规 5 4 3 3 3 4 4" xfId="22652"/>
    <cellStyle name="常规 5 4 3 3 3 5" xfId="31879"/>
    <cellStyle name="常规 5 4 3 3 3 5 2" xfId="9228"/>
    <cellStyle name="常规 5 4 3 3 3 6" xfId="13026"/>
    <cellStyle name="常规 5 4 3 3 3 7" xfId="463"/>
    <cellStyle name="常规 5 4 3 3 4" xfId="2555"/>
    <cellStyle name="常规 5 4 3 3 4 2" xfId="2561"/>
    <cellStyle name="常规 5 4 3 3 4 2 2" xfId="9304"/>
    <cellStyle name="常规 5 4 3 3 4 2 2 2" xfId="9306"/>
    <cellStyle name="常规 5 4 3 3 4 2 2 2 2" xfId="15319"/>
    <cellStyle name="常规 5 4 3 3 4 2 2 3" xfId="32959"/>
    <cellStyle name="常规 5 4 3 3 4 2 2 4" xfId="2306"/>
    <cellStyle name="常规 5 4 3 3 4 2 3" xfId="9308"/>
    <cellStyle name="常规 5 4 3 3 4 2 3 2" xfId="21398"/>
    <cellStyle name="常规 5 4 3 3 4 2 4" xfId="9311"/>
    <cellStyle name="常规 5 4 3 3 4 2 5" xfId="13843"/>
    <cellStyle name="常规 5 4 3 3 4 3" xfId="32960"/>
    <cellStyle name="常规 5 4 3 3 4 3 2" xfId="9339"/>
    <cellStyle name="常规 5 4 3 3 4 3 2 2" xfId="15593"/>
    <cellStyle name="常规 5 4 3 3 4 3 3" xfId="9343"/>
    <cellStyle name="常规 5 4 3 3 4 3 4" xfId="17412"/>
    <cellStyle name="常规 5 4 3 3 4 4" xfId="32961"/>
    <cellStyle name="常规 5 4 3 3 4 4 2" xfId="2690"/>
    <cellStyle name="常规 5 4 3 3 4 5" xfId="31882"/>
    <cellStyle name="常规 5 4 3 3 4 6" xfId="13032"/>
    <cellStyle name="常规 5 4 3 3 5" xfId="2573"/>
    <cellStyle name="常规 5 4 3 3 5 2" xfId="24530"/>
    <cellStyle name="常规 5 4 3 3 5 2 2" xfId="9396"/>
    <cellStyle name="常规 5 4 3 3 5 2 2 2" xfId="32962"/>
    <cellStyle name="常规 5 4 3 3 5 2 3" xfId="9398"/>
    <cellStyle name="常规 5 4 3 3 5 2 4" xfId="32963"/>
    <cellStyle name="常规 5 4 3 3 5 3" xfId="32964"/>
    <cellStyle name="常规 5 4 3 3 5 3 2" xfId="9417"/>
    <cellStyle name="常规 5 4 3 3 5 4" xfId="15801"/>
    <cellStyle name="常规 5 4 3 3 5 5" xfId="15803"/>
    <cellStyle name="常规 5 4 3 3 6" xfId="2583"/>
    <cellStyle name="常规 5 4 3 3 6 2" xfId="32965"/>
    <cellStyle name="常规 5 4 3 3 6 2 2" xfId="9451"/>
    <cellStyle name="常规 5 4 3 3 6 3" xfId="32966"/>
    <cellStyle name="常规 5 4 3 3 6 4" xfId="15807"/>
    <cellStyle name="常规 5 4 3 3 7" xfId="32967"/>
    <cellStyle name="常规 5 4 3 3 7 2" xfId="32968"/>
    <cellStyle name="常规 5 4 3 3 8" xfId="32969"/>
    <cellStyle name="常规 5 4 3 3 9" xfId="32970"/>
    <cellStyle name="常规 5 4 3 4" xfId="25895"/>
    <cellStyle name="常规 5 4 3 4 2" xfId="12588"/>
    <cellStyle name="常规 5 4 3 4 2 2" xfId="1973"/>
    <cellStyle name="常规 5 4 3 4 2 2 2" xfId="25897"/>
    <cellStyle name="常规 5 4 3 4 2 2 2 2" xfId="25899"/>
    <cellStyle name="常规 5 4 3 4 2 2 2 2 2" xfId="25902"/>
    <cellStyle name="常规 5 4 3 4 2 2 2 2 2 2" xfId="25905"/>
    <cellStyle name="常规 5 4 3 4 2 2 2 2 2 2 2" xfId="22907"/>
    <cellStyle name="常规 5 4 3 4 2 2 2 2 2 3" xfId="25907"/>
    <cellStyle name="常规 5 4 3 4 2 2 2 2 2 4" xfId="25909"/>
    <cellStyle name="常规 5 4 3 4 2 2 2 2 3" xfId="25348"/>
    <cellStyle name="常规 5 4 3 4 2 2 2 2 3 2" xfId="25911"/>
    <cellStyle name="常规 5 4 3 4 2 2 2 2 4" xfId="25914"/>
    <cellStyle name="常规 5 4 3 4 2 2 2 2 5" xfId="25916"/>
    <cellStyle name="常规 5 4 3 4 2 2 2 3" xfId="25918"/>
    <cellStyle name="常规 5 4 3 4 2 2 2 3 2" xfId="25921"/>
    <cellStyle name="常规 5 4 3 4 2 2 2 3 2 2" xfId="25924"/>
    <cellStyle name="常规 5 4 3 4 2 2 2 3 3" xfId="25927"/>
    <cellStyle name="常规 5 4 3 4 2 2 2 3 4" xfId="25929"/>
    <cellStyle name="常规 5 4 3 4 2 2 2 4" xfId="25931"/>
    <cellStyle name="常规 5 4 3 4 2 2 2 4 2" xfId="25933"/>
    <cellStyle name="常规 5 4 3 4 2 2 2 5" xfId="25935"/>
    <cellStyle name="常规 5 4 3 4 2 2 2 6" xfId="25937"/>
    <cellStyle name="常规 5 4 3 4 2 2 3" xfId="22142"/>
    <cellStyle name="常规 5 4 3 4 2 2 3 2" xfId="22145"/>
    <cellStyle name="常规 5 4 3 4 2 2 3 2 2" xfId="25941"/>
    <cellStyle name="常规 5 4 3 4 2 2 3 2 2 2" xfId="25943"/>
    <cellStyle name="常规 5 4 3 4 2 2 3 2 3" xfId="25946"/>
    <cellStyle name="常规 5 4 3 4 2 2 3 2 4" xfId="25948"/>
    <cellStyle name="常规 5 4 3 4 2 2 3 3" xfId="25950"/>
    <cellStyle name="常规 5 4 3 4 2 2 3 3 2" xfId="25952"/>
    <cellStyle name="常规 5 4 3 4 2 2 3 4" xfId="25954"/>
    <cellStyle name="常规 5 4 3 4 2 2 3 5" xfId="25956"/>
    <cellStyle name="常规 5 4 3 4 2 2 4" xfId="22148"/>
    <cellStyle name="常规 5 4 3 4 2 2 4 2" xfId="25958"/>
    <cellStyle name="常规 5 4 3 4 2 2 4 2 2" xfId="18137"/>
    <cellStyle name="常规 5 4 3 4 2 2 4 3" xfId="25960"/>
    <cellStyle name="常规 5 4 3 4 2 2 4 4" xfId="10899"/>
    <cellStyle name="常规 5 4 3 4 2 2 5" xfId="22151"/>
    <cellStyle name="常规 5 4 3 4 2 2 5 2" xfId="25962"/>
    <cellStyle name="常规 5 4 3 4 2 2 6" xfId="25964"/>
    <cellStyle name="常规 5 4 3 4 2 2 7" xfId="25968"/>
    <cellStyle name="常规 5 4 3 4 2 3" xfId="25973"/>
    <cellStyle name="常规 5 4 3 4 2 3 2" xfId="25975"/>
    <cellStyle name="常规 5 4 3 4 2 3 2 2" xfId="25977"/>
    <cellStyle name="常规 5 4 3 4 2 3 2 2 2" xfId="25980"/>
    <cellStyle name="常规 5 4 3 4 2 3 2 2 2 2" xfId="25982"/>
    <cellStyle name="常规 5 4 3 4 2 3 2 2 3" xfId="6978"/>
    <cellStyle name="常规 5 4 3 4 2 3 2 2 4" xfId="25984"/>
    <cellStyle name="常规 5 4 3 4 2 3 2 3" xfId="25986"/>
    <cellStyle name="常规 5 4 3 4 2 3 2 3 2" xfId="25988"/>
    <cellStyle name="常规 5 4 3 4 2 3 2 4" xfId="25990"/>
    <cellStyle name="常规 5 4 3 4 2 3 2 5" xfId="25993"/>
    <cellStyle name="常规 5 4 3 4 2 3 3" xfId="22155"/>
    <cellStyle name="常规 5 4 3 4 2 3 3 2" xfId="25995"/>
    <cellStyle name="常规 5 4 3 4 2 3 3 2 2" xfId="25997"/>
    <cellStyle name="常规 5 4 3 4 2 3 3 3" xfId="25999"/>
    <cellStyle name="常规 5 4 3 4 2 3 3 4" xfId="26001"/>
    <cellStyle name="常规 5 4 3 4 2 3 4" xfId="22918"/>
    <cellStyle name="常规 5 4 3 4 2 3 4 2" xfId="22922"/>
    <cellStyle name="常规 5 4 3 4 2 3 5" xfId="22929"/>
    <cellStyle name="常规 5 4 3 4 2 3 6" xfId="22936"/>
    <cellStyle name="常规 5 4 3 4 2 4" xfId="26003"/>
    <cellStyle name="常规 5 4 3 4 2 4 2" xfId="26005"/>
    <cellStyle name="常规 5 4 3 4 2 4 2 2" xfId="26007"/>
    <cellStyle name="常规 5 4 3 4 2 4 2 2 2" xfId="26009"/>
    <cellStyle name="常规 5 4 3 4 2 4 2 3" xfId="26012"/>
    <cellStyle name="常规 5 4 3 4 2 4 2 4" xfId="26015"/>
    <cellStyle name="常规 5 4 3 4 2 4 3" xfId="26017"/>
    <cellStyle name="常规 5 4 3 4 2 4 3 2" xfId="26019"/>
    <cellStyle name="常规 5 4 3 4 2 4 4" xfId="22951"/>
    <cellStyle name="常规 5 4 3 4 2 4 5" xfId="22957"/>
    <cellStyle name="常规 5 4 3 4 2 5" xfId="26021"/>
    <cellStyle name="常规 5 4 3 4 2 5 2" xfId="26024"/>
    <cellStyle name="常规 5 4 3 4 2 5 2 2" xfId="26027"/>
    <cellStyle name="常规 5 4 3 4 2 5 3" xfId="26030"/>
    <cellStyle name="常规 5 4 3 4 2 5 4" xfId="22969"/>
    <cellStyle name="常规 5 4 3 4 2 6" xfId="13047"/>
    <cellStyle name="常规 5 4 3 4 2 6 2" xfId="13052"/>
    <cellStyle name="常规 5 4 3 4 2 7" xfId="13059"/>
    <cellStyle name="常规 5 4 3 4 2 8" xfId="13067"/>
    <cellStyle name="常规 5 4 3 4 3" xfId="12592"/>
    <cellStyle name="常规 5 4 3 4 3 2" xfId="2279"/>
    <cellStyle name="常规 5 4 3 4 3 2 2" xfId="9512"/>
    <cellStyle name="常规 5 4 3 4 3 2 2 2" xfId="17204"/>
    <cellStyle name="常规 5 4 3 4 3 2 2 2 2" xfId="26033"/>
    <cellStyle name="常规 5 4 3 4 3 2 2 2 2 2" xfId="20307"/>
    <cellStyle name="常规 5 4 3 4 3 2 2 2 3" xfId="25632"/>
    <cellStyle name="常规 5 4 3 4 3 2 2 2 4" xfId="26035"/>
    <cellStyle name="常规 5 4 3 4 3 2 2 3" xfId="17208"/>
    <cellStyle name="常规 5 4 3 4 3 2 2 3 2" xfId="26037"/>
    <cellStyle name="常规 5 4 3 4 3 2 2 4" xfId="1011"/>
    <cellStyle name="常规 5 4 3 4 3 2 2 5" xfId="1020"/>
    <cellStyle name="常规 5 4 3 4 3 2 3" xfId="9515"/>
    <cellStyle name="常规 5 4 3 4 3 2 3 2" xfId="26039"/>
    <cellStyle name="常规 5 4 3 4 3 2 3 2 2" xfId="26041"/>
    <cellStyle name="常规 5 4 3 4 3 2 3 3" xfId="26043"/>
    <cellStyle name="常规 5 4 3 4 3 2 3 4" xfId="1035"/>
    <cellStyle name="常规 5 4 3 4 3 2 4" xfId="26045"/>
    <cellStyle name="常规 5 4 3 4 3 2 4 2" xfId="26048"/>
    <cellStyle name="常规 5 4 3 4 3 2 5" xfId="26051"/>
    <cellStyle name="常规 5 4 3 4 3 2 6" xfId="26053"/>
    <cellStyle name="常规 5 4 3 4 3 3" xfId="26057"/>
    <cellStyle name="常规 5 4 3 4 3 3 2" xfId="9529"/>
    <cellStyle name="常规 5 4 3 4 3 3 2 2" xfId="26059"/>
    <cellStyle name="常规 5 4 3 4 3 3 2 2 2" xfId="26061"/>
    <cellStyle name="常规 5 4 3 4 3 3 2 3" xfId="26064"/>
    <cellStyle name="常规 5 4 3 4 3 3 2 4" xfId="4935"/>
    <cellStyle name="常规 5 4 3 4 3 3 3" xfId="16498"/>
    <cellStyle name="常规 5 4 3 4 3 3 3 2" xfId="26066"/>
    <cellStyle name="常规 5 4 3 4 3 3 4" xfId="22999"/>
    <cellStyle name="常规 5 4 3 4 3 3 5" xfId="23009"/>
    <cellStyle name="常规 5 4 3 4 3 4" xfId="26068"/>
    <cellStyle name="常规 5 4 3 4 3 4 2" xfId="26070"/>
    <cellStyle name="常规 5 4 3 4 3 4 2 2" xfId="26072"/>
    <cellStyle name="常规 5 4 3 4 3 4 3" xfId="18861"/>
    <cellStyle name="常规 5 4 3 4 3 4 4" xfId="23021"/>
    <cellStyle name="常规 5 4 3 4 3 5" xfId="26074"/>
    <cellStyle name="常规 5 4 3 4 3 5 2" xfId="26078"/>
    <cellStyle name="常规 5 4 3 4 3 6" xfId="13074"/>
    <cellStyle name="常规 5 4 3 4 3 7" xfId="26082"/>
    <cellStyle name="常规 5 4 3 4 4" xfId="2593"/>
    <cellStyle name="常规 5 4 3 4 4 2" xfId="26086"/>
    <cellStyle name="常规 5 4 3 4 4 2 2" xfId="9560"/>
    <cellStyle name="常规 5 4 3 4 4 2 2 2" xfId="26088"/>
    <cellStyle name="常规 5 4 3 4 4 2 2 2 2" xfId="26090"/>
    <cellStyle name="常规 5 4 3 4 4 2 2 3" xfId="26092"/>
    <cellStyle name="常规 5 4 3 4 4 2 2 4" xfId="1088"/>
    <cellStyle name="常规 5 4 3 4 4 2 3" xfId="26094"/>
    <cellStyle name="常规 5 4 3 4 4 2 3 2" xfId="26096"/>
    <cellStyle name="常规 5 4 3 4 4 2 4" xfId="26098"/>
    <cellStyle name="常规 5 4 3 4 4 2 5" xfId="13877"/>
    <cellStyle name="常规 5 4 3 4 4 3" xfId="26100"/>
    <cellStyle name="常规 5 4 3 4 4 3 2" xfId="26102"/>
    <cellStyle name="常规 5 4 3 4 4 3 2 2" xfId="26104"/>
    <cellStyle name="常规 5 4 3 4 4 3 3" xfId="26106"/>
    <cellStyle name="常规 5 4 3 4 4 3 4" xfId="23041"/>
    <cellStyle name="常规 5 4 3 4 4 4" xfId="26108"/>
    <cellStyle name="常规 5 4 3 4 4 4 2" xfId="7440"/>
    <cellStyle name="常规 5 4 3 4 4 5" xfId="17975"/>
    <cellStyle name="常规 5 4 3 4 4 6" xfId="26110"/>
    <cellStyle name="常规 5 4 3 4 5" xfId="26113"/>
    <cellStyle name="常规 5 4 3 4 5 2" xfId="26115"/>
    <cellStyle name="常规 5 4 3 4 5 2 2" xfId="26117"/>
    <cellStyle name="常规 5 4 3 4 5 2 2 2" xfId="26119"/>
    <cellStyle name="常规 5 4 3 4 5 2 3" xfId="26121"/>
    <cellStyle name="常规 5 4 3 4 5 2 4" xfId="26123"/>
    <cellStyle name="常规 5 4 3 4 5 3" xfId="26125"/>
    <cellStyle name="常规 5 4 3 4 5 3 2" xfId="26127"/>
    <cellStyle name="常规 5 4 3 4 5 4" xfId="15814"/>
    <cellStyle name="常规 5 4 3 4 5 5" xfId="26129"/>
    <cellStyle name="常规 5 4 3 4 6" xfId="24896"/>
    <cellStyle name="常规 5 4 3 4 6 2" xfId="19469"/>
    <cellStyle name="常规 5 4 3 4 6 2 2" xfId="24901"/>
    <cellStyle name="常规 5 4 3 4 6 3" xfId="19373"/>
    <cellStyle name="常规 5 4 3 4 6 4" xfId="24935"/>
    <cellStyle name="常规 5 4 3 4 7" xfId="21980"/>
    <cellStyle name="常规 5 4 3 4 7 2" xfId="24943"/>
    <cellStyle name="常规 5 4 3 4 8" xfId="24964"/>
    <cellStyle name="常规 5 4 3 4 9" xfId="24976"/>
    <cellStyle name="常规 5 4 3 5" xfId="26132"/>
    <cellStyle name="常规 5 4 3 5 2" xfId="26135"/>
    <cellStyle name="常规 5 4 3 5 2 2" xfId="3788"/>
    <cellStyle name="常规 5 4 3 5 2 2 2" xfId="26137"/>
    <cellStyle name="常规 5 4 3 5 2 2 2 2" xfId="26139"/>
    <cellStyle name="常规 5 4 3 5 2 2 2 2 2" xfId="26142"/>
    <cellStyle name="常规 5 4 3 5 2 2 2 2 2 2" xfId="24307"/>
    <cellStyle name="常规 5 4 3 5 2 2 2 2 3" xfId="26146"/>
    <cellStyle name="常规 5 4 3 5 2 2 2 2 4" xfId="26150"/>
    <cellStyle name="常规 5 4 3 5 2 2 2 3" xfId="26153"/>
    <cellStyle name="常规 5 4 3 5 2 2 2 3 2" xfId="26155"/>
    <cellStyle name="常规 5 4 3 5 2 2 2 4" xfId="26159"/>
    <cellStyle name="常规 5 4 3 5 2 2 2 5" xfId="26162"/>
    <cellStyle name="常规 5 4 3 5 2 2 3" xfId="22170"/>
    <cellStyle name="常规 5 4 3 5 2 2 3 2" xfId="26165"/>
    <cellStyle name="常规 5 4 3 5 2 2 3 2 2" xfId="26167"/>
    <cellStyle name="常规 5 4 3 5 2 2 3 3" xfId="26170"/>
    <cellStyle name="常规 5 4 3 5 2 2 3 4" xfId="26173"/>
    <cellStyle name="常规 5 4 3 5 2 2 4" xfId="26176"/>
    <cellStyle name="常规 5 4 3 5 2 2 4 2" xfId="26178"/>
    <cellStyle name="常规 5 4 3 5 2 2 5" xfId="26182"/>
    <cellStyle name="常规 5 4 3 5 2 2 6" xfId="26184"/>
    <cellStyle name="常规 5 4 3 5 2 3" xfId="26190"/>
    <cellStyle name="常规 5 4 3 5 2 3 2" xfId="26192"/>
    <cellStyle name="常规 5 4 3 5 2 3 2 2" xfId="26194"/>
    <cellStyle name="常规 5 4 3 5 2 3 2 2 2" xfId="26196"/>
    <cellStyle name="常规 5 4 3 5 2 3 2 3" xfId="26202"/>
    <cellStyle name="常规 5 4 3 5 2 3 2 4" xfId="26205"/>
    <cellStyle name="常规 5 4 3 5 2 3 3" xfId="26208"/>
    <cellStyle name="常规 5 4 3 5 2 3 3 2" xfId="21198"/>
    <cellStyle name="常规 5 4 3 5 2 3 4" xfId="23077"/>
    <cellStyle name="常规 5 4 3 5 2 3 5" xfId="23105"/>
    <cellStyle name="常规 5 4 3 5 2 4" xfId="26212"/>
    <cellStyle name="常规 5 4 3 5 2 4 2" xfId="26214"/>
    <cellStyle name="常规 5 4 3 5 2 4 2 2" xfId="22911"/>
    <cellStyle name="常规 5 4 3 5 2 4 3" xfId="26218"/>
    <cellStyle name="常规 5 4 3 5 2 4 4" xfId="23133"/>
    <cellStyle name="常规 5 4 3 5 2 5" xfId="26220"/>
    <cellStyle name="常规 5 4 3 5 2 5 2" xfId="26223"/>
    <cellStyle name="常规 5 4 3 5 2 6" xfId="26226"/>
    <cellStyle name="常规 5 4 3 5 2 7" xfId="26232"/>
    <cellStyle name="常规 5 4 3 5 3" xfId="26240"/>
    <cellStyle name="常规 5 4 3 5 3 2" xfId="3818"/>
    <cellStyle name="常规 5 4 3 5 3 2 2" xfId="9616"/>
    <cellStyle name="常规 5 4 3 5 3 2 2 2" xfId="26242"/>
    <cellStyle name="常规 5 4 3 5 3 2 2 2 2" xfId="26244"/>
    <cellStyle name="常规 5 4 3 5 3 2 2 3" xfId="26249"/>
    <cellStyle name="常规 5 4 3 5 3 2 2 4" xfId="4796"/>
    <cellStyle name="常规 5 4 3 5 3 2 3" xfId="26252"/>
    <cellStyle name="常规 5 4 3 5 3 2 3 2" xfId="26254"/>
    <cellStyle name="常规 5 4 3 5 3 2 4" xfId="7047"/>
    <cellStyle name="常规 5 4 3 5 3 2 5" xfId="7050"/>
    <cellStyle name="常规 5 4 3 5 3 3" xfId="26258"/>
    <cellStyle name="常规 5 4 3 5 3 3 2" xfId="26260"/>
    <cellStyle name="常规 5 4 3 5 3 3 2 2" xfId="26262"/>
    <cellStyle name="常规 5 4 3 5 3 3 3" xfId="26265"/>
    <cellStyle name="常规 5 4 3 5 3 3 4" xfId="98"/>
    <cellStyle name="常规 5 4 3 5 3 4" xfId="26268"/>
    <cellStyle name="常规 5 4 3 5 3 4 2" xfId="9268"/>
    <cellStyle name="常规 5 4 3 5 3 5" xfId="26271"/>
    <cellStyle name="常规 5 4 3 5 3 6" xfId="26273"/>
    <cellStyle name="常规 5 4 3 5 4" xfId="26282"/>
    <cellStyle name="常规 5 4 3 5 4 2" xfId="26284"/>
    <cellStyle name="常规 5 4 3 5 4 2 2" xfId="26286"/>
    <cellStyle name="常规 5 4 3 5 4 2 2 2" xfId="22881"/>
    <cellStyle name="常规 5 4 3 5 4 2 3" xfId="26288"/>
    <cellStyle name="常规 5 4 3 5 4 2 4" xfId="7056"/>
    <cellStyle name="常规 5 4 3 5 4 3" xfId="26291"/>
    <cellStyle name="常规 5 4 3 5 4 3 2" xfId="17094"/>
    <cellStyle name="常规 5 4 3 5 4 4" xfId="26294"/>
    <cellStyle name="常规 5 4 3 5 4 5" xfId="26296"/>
    <cellStyle name="常规 5 4 3 5 5" xfId="26300"/>
    <cellStyle name="常规 5 4 3 5 5 2" xfId="26302"/>
    <cellStyle name="常规 5 4 3 5 5 2 2" xfId="26304"/>
    <cellStyle name="常规 5 4 3 5 5 3" xfId="26308"/>
    <cellStyle name="常规 5 4 3 5 5 4" xfId="26311"/>
    <cellStyle name="常规 5 4 3 5 6" xfId="24988"/>
    <cellStyle name="常规 5 4 3 5 6 2" xfId="24992"/>
    <cellStyle name="常规 5 4 3 5 7" xfId="25012"/>
    <cellStyle name="常规 5 4 3 5 8" xfId="25025"/>
    <cellStyle name="常规 5 4 3 6" xfId="26315"/>
    <cellStyle name="常规 5 4 3 6 2" xfId="3744"/>
    <cellStyle name="常规 5 4 3 6 2 2" xfId="3991"/>
    <cellStyle name="常规 5 4 3 6 2 2 2" xfId="26317"/>
    <cellStyle name="常规 5 4 3 6 2 2 2 2" xfId="26320"/>
    <cellStyle name="常规 5 4 3 6 2 2 2 2 2" xfId="26323"/>
    <cellStyle name="常规 5 4 3 6 2 2 2 3" xfId="26328"/>
    <cellStyle name="常规 5 4 3 6 2 2 2 4" xfId="26333"/>
    <cellStyle name="常规 5 4 3 6 2 2 3" xfId="26341"/>
    <cellStyle name="常规 5 4 3 6 2 2 3 2" xfId="26345"/>
    <cellStyle name="常规 5 4 3 6 2 2 4" xfId="26352"/>
    <cellStyle name="常规 5 4 3 6 2 2 5" xfId="26358"/>
    <cellStyle name="常规 5 4 3 6 2 3" xfId="26361"/>
    <cellStyle name="常规 5 4 3 6 2 3 2" xfId="26364"/>
    <cellStyle name="常规 5 4 3 6 2 3 2 2" xfId="26367"/>
    <cellStyle name="常规 5 4 3 6 2 3 3" xfId="26377"/>
    <cellStyle name="常规 5 4 3 6 2 3 4" xfId="23272"/>
    <cellStyle name="常规 5 4 3 6 2 4" xfId="26380"/>
    <cellStyle name="常规 5 4 3 6 2 4 2" xfId="26383"/>
    <cellStyle name="常规 5 4 3 6 2 5" xfId="26390"/>
    <cellStyle name="常规 5 4 3 6 2 6" xfId="26395"/>
    <cellStyle name="常规 5 4 3 6 3" xfId="25469"/>
    <cellStyle name="常规 5 4 3 6 3 2" xfId="4015"/>
    <cellStyle name="常规 5 4 3 6 3 2 2" xfId="10690"/>
    <cellStyle name="常规 5 4 3 6 3 2 2 2" xfId="10694"/>
    <cellStyle name="常规 5 4 3 6 3 2 3" xfId="10987"/>
    <cellStyle name="常规 5 4 3 6 3 2 4" xfId="6887"/>
    <cellStyle name="常规 5 4 3 6 3 3" xfId="26406"/>
    <cellStyle name="常规 5 4 3 6 3 3 2" xfId="11815"/>
    <cellStyle name="常规 5 4 3 6 3 4" xfId="7873"/>
    <cellStyle name="常规 5 4 3 6 3 5" xfId="7884"/>
    <cellStyle name="常规 5 4 3 6 4" xfId="26409"/>
    <cellStyle name="常规 5 4 3 6 4 2" xfId="26411"/>
    <cellStyle name="常规 5 4 3 6 4 2 2" xfId="13537"/>
    <cellStyle name="常规 5 4 3 6 4 3" xfId="26414"/>
    <cellStyle name="常规 5 4 3 6 4 4" xfId="7889"/>
    <cellStyle name="常规 5 4 3 6 5" xfId="26419"/>
    <cellStyle name="常规 5 4 3 6 5 2" xfId="26421"/>
    <cellStyle name="常规 5 4 3 6 6" xfId="25042"/>
    <cellStyle name="常规 5 4 3 6 7" xfId="25052"/>
    <cellStyle name="常规 5 4 3 7" xfId="26430"/>
    <cellStyle name="常规 5 4 3 7 2" xfId="26432"/>
    <cellStyle name="常规 5 4 3 7 2 2" xfId="26434"/>
    <cellStyle name="常规 5 4 3 7 2 2 2" xfId="26437"/>
    <cellStyle name="常规 5 4 3 7 2 2 2 2" xfId="26442"/>
    <cellStyle name="常规 5 4 3 7 2 2 3" xfId="13866"/>
    <cellStyle name="常规 5 4 3 7 2 2 4" xfId="26453"/>
    <cellStyle name="常规 5 4 3 7 2 3" xfId="26458"/>
    <cellStyle name="常规 5 4 3 7 2 3 2" xfId="26461"/>
    <cellStyle name="常规 5 4 3 7 2 4" xfId="26469"/>
    <cellStyle name="常规 5 4 3 7 2 5" xfId="26475"/>
    <cellStyle name="常规 5 4 3 7 3" xfId="26482"/>
    <cellStyle name="常规 5 4 3 7 3 2" xfId="26484"/>
    <cellStyle name="常规 5 4 3 7 3 2 2" xfId="3032"/>
    <cellStyle name="常规 5 4 3 7 3 3" xfId="26487"/>
    <cellStyle name="常规 5 4 3 7 3 4" xfId="7898"/>
    <cellStyle name="常规 5 4 3 7 4" xfId="26492"/>
    <cellStyle name="常规 5 4 3 7 4 2" xfId="26494"/>
    <cellStyle name="常规 5 4 3 7 5" xfId="26497"/>
    <cellStyle name="常规 5 4 3 7 6" xfId="25064"/>
    <cellStyle name="常规 5 4 3 8" xfId="26501"/>
    <cellStyle name="常规 5 4 3 8 2" xfId="26503"/>
    <cellStyle name="常规 5 4 3 8 2 2" xfId="26505"/>
    <cellStyle name="常规 5 4 3 8 2 2 2" xfId="26509"/>
    <cellStyle name="常规 5 4 3 8 2 3" xfId="26517"/>
    <cellStyle name="常规 5 4 3 8 2 4" xfId="26522"/>
    <cellStyle name="常规 5 4 3 8 3" xfId="14000"/>
    <cellStyle name="常规 5 4 3 8 3 2" xfId="14003"/>
    <cellStyle name="常规 5 4 3 8 4" xfId="14014"/>
    <cellStyle name="常规 5 4 3 8 5" xfId="14020"/>
    <cellStyle name="常规 5 4 3 9" xfId="26527"/>
    <cellStyle name="常规 5 4 3 9 2" xfId="20477"/>
    <cellStyle name="常规 5 4 3 9 2 2" xfId="26529"/>
    <cellStyle name="常规 5 4 3 9 3" xfId="14032"/>
    <cellStyle name="常规 5 4 3 9 4" xfId="14039"/>
    <cellStyle name="常规 5 4 4" xfId="32971"/>
    <cellStyle name="常规 5 4 4 10" xfId="32972"/>
    <cellStyle name="常规 5 4 4 11" xfId="32973"/>
    <cellStyle name="常规 5 4 4 2" xfId="32974"/>
    <cellStyle name="常规 5 4 4 2 2" xfId="6097"/>
    <cellStyle name="常规 5 4 4 2 2 2" xfId="12642"/>
    <cellStyle name="常规 5 4 4 2 2 2 2" xfId="32975"/>
    <cellStyle name="常规 5 4 4 2 2 2 2 2" xfId="32976"/>
    <cellStyle name="常规 5 4 4 2 2 2 2 2 2" xfId="32977"/>
    <cellStyle name="常规 5 4 4 2 2 2 2 2 2 2" xfId="32978"/>
    <cellStyle name="常规 5 4 4 2 2 2 2 2 2 2 2" xfId="32979"/>
    <cellStyle name="常规 5 4 4 2 2 2 2 2 2 3" xfId="32002"/>
    <cellStyle name="常规 5 4 4 2 2 2 2 2 2 4" xfId="32980"/>
    <cellStyle name="常规 5 4 4 2 2 2 2 2 3" xfId="32981"/>
    <cellStyle name="常规 5 4 4 2 2 2 2 2 3 2" xfId="32982"/>
    <cellStyle name="常规 5 4 4 2 2 2 2 2 4" xfId="32983"/>
    <cellStyle name="常规 5 4 4 2 2 2 2 2 5" xfId="32984"/>
    <cellStyle name="常规 5 4 4 2 2 2 2 3" xfId="14357"/>
    <cellStyle name="常规 5 4 4 2 2 2 2 3 2" xfId="14360"/>
    <cellStyle name="常规 5 4 4 2 2 2 2 3 2 2" xfId="14363"/>
    <cellStyle name="常规 5 4 4 2 2 2 2 3 3" xfId="14365"/>
    <cellStyle name="常规 5 4 4 2 2 2 2 3 4" xfId="14367"/>
    <cellStyle name="常规 5 4 4 2 2 2 2 4" xfId="14369"/>
    <cellStyle name="常规 5 4 4 2 2 2 2 4 2" xfId="14373"/>
    <cellStyle name="常规 5 4 4 2 2 2 2 5" xfId="14375"/>
    <cellStyle name="常规 5 4 4 2 2 2 2 6" xfId="14379"/>
    <cellStyle name="常规 5 4 4 2 2 2 3" xfId="22200"/>
    <cellStyle name="常规 5 4 4 2 2 2 3 2" xfId="22202"/>
    <cellStyle name="常规 5 4 4 2 2 2 3 2 2" xfId="22204"/>
    <cellStyle name="常规 5 4 4 2 2 2 3 2 2 2" xfId="28909"/>
    <cellStyle name="常规 5 4 4 2 2 2 3 2 3" xfId="32985"/>
    <cellStyle name="常规 5 4 4 2 2 2 3 2 4" xfId="32986"/>
    <cellStyle name="常规 5 4 4 2 2 2 3 3" xfId="14384"/>
    <cellStyle name="常规 5 4 4 2 2 2 3 3 2" xfId="14388"/>
    <cellStyle name="常规 5 4 4 2 2 2 3 4" xfId="14390"/>
    <cellStyle name="常规 5 4 4 2 2 2 3 5" xfId="14393"/>
    <cellStyle name="常规 5 4 4 2 2 2 4" xfId="22206"/>
    <cellStyle name="常规 5 4 4 2 2 2 4 2" xfId="22208"/>
    <cellStyle name="常规 5 4 4 2 2 2 4 2 2" xfId="32987"/>
    <cellStyle name="常规 5 4 4 2 2 2 4 3" xfId="10672"/>
    <cellStyle name="常规 5 4 4 2 2 2 4 4" xfId="11429"/>
    <cellStyle name="常规 5 4 4 2 2 2 5" xfId="22210"/>
    <cellStyle name="常规 5 4 4 2 2 2 5 2" xfId="32988"/>
    <cellStyle name="常规 5 4 4 2 2 2 6" xfId="13392"/>
    <cellStyle name="常规 5 4 4 2 2 2 7" xfId="13402"/>
    <cellStyle name="常规 5 4 4 2 2 3" xfId="32989"/>
    <cellStyle name="常规 5 4 4 2 2 3 2" xfId="28863"/>
    <cellStyle name="常规 5 4 4 2 2 3 2 2" xfId="28866"/>
    <cellStyle name="常规 5 4 4 2 2 3 2 2 2" xfId="32990"/>
    <cellStyle name="常规 5 4 4 2 2 3 2 2 2 2" xfId="25777"/>
    <cellStyle name="常规 5 4 4 2 2 3 2 2 3" xfId="32991"/>
    <cellStyle name="常规 5 4 4 2 2 3 2 2 4" xfId="32992"/>
    <cellStyle name="常规 5 4 4 2 2 3 2 3" xfId="14421"/>
    <cellStyle name="常规 5 4 4 2 2 3 2 3 2" xfId="14424"/>
    <cellStyle name="常规 5 4 4 2 2 3 2 4" xfId="14426"/>
    <cellStyle name="常规 5 4 4 2 2 3 2 5" xfId="14429"/>
    <cellStyle name="常规 5 4 4 2 2 3 3" xfId="22213"/>
    <cellStyle name="常规 5 4 4 2 2 3 3 2" xfId="22216"/>
    <cellStyle name="常规 5 4 4 2 2 3 3 2 2" xfId="32993"/>
    <cellStyle name="常规 5 4 4 2 2 3 3 3" xfId="14433"/>
    <cellStyle name="常规 5 4 4 2 2 3 3 4" xfId="32994"/>
    <cellStyle name="常规 5 4 4 2 2 3 4" xfId="22218"/>
    <cellStyle name="常规 5 4 4 2 2 3 4 2" xfId="23406"/>
    <cellStyle name="常规 5 4 4 2 2 3 5" xfId="22222"/>
    <cellStyle name="常规 5 4 4 2 2 3 6" xfId="13420"/>
    <cellStyle name="常规 5 4 4 2 2 4" xfId="32995"/>
    <cellStyle name="常规 5 4 4 2 2 4 2" xfId="29001"/>
    <cellStyle name="常规 5 4 4 2 2 4 2 2" xfId="29003"/>
    <cellStyle name="常规 5 4 4 2 2 4 2 2 2" xfId="32996"/>
    <cellStyle name="常规 5 4 4 2 2 4 2 3" xfId="14444"/>
    <cellStyle name="常规 5 4 4 2 2 4 2 4" xfId="32997"/>
    <cellStyle name="常规 5 4 4 2 2 4 3" xfId="22226"/>
    <cellStyle name="常规 5 4 4 2 2 4 3 2" xfId="32998"/>
    <cellStyle name="常规 5 4 4 2 2 4 4" xfId="23470"/>
    <cellStyle name="常规 5 4 4 2 2 4 5" xfId="23483"/>
    <cellStyle name="常规 5 4 4 2 2 5" xfId="32999"/>
    <cellStyle name="常规 5 4 4 2 2 5 2" xfId="17607"/>
    <cellStyle name="常规 5 4 4 2 2 5 2 2" xfId="33000"/>
    <cellStyle name="常规 5 4 4 2 2 5 3" xfId="17610"/>
    <cellStyle name="常规 5 4 4 2 2 5 4" xfId="23500"/>
    <cellStyle name="常规 5 4 4 2 2 6" xfId="14556"/>
    <cellStyle name="常规 5 4 4 2 2 6 2" xfId="14560"/>
    <cellStyle name="常规 5 4 4 2 2 7" xfId="2668"/>
    <cellStyle name="常规 5 4 4 2 2 8" xfId="14571"/>
    <cellStyle name="常规 5 4 4 2 3" xfId="12645"/>
    <cellStyle name="常规 5 4 4 2 3 2" xfId="33001"/>
    <cellStyle name="常规 5 4 4 2 3 2 2" xfId="29195"/>
    <cellStyle name="常规 5 4 4 2 3 2 2 2" xfId="16174"/>
    <cellStyle name="常规 5 4 4 2 3 2 2 2 2" xfId="29199"/>
    <cellStyle name="常规 5 4 4 2 3 2 2 2 2 2" xfId="4272"/>
    <cellStyle name="常规 5 4 4 2 3 2 2 2 3" xfId="29201"/>
    <cellStyle name="常规 5 4 4 2 3 2 2 2 4" xfId="29203"/>
    <cellStyle name="常规 5 4 4 2 3 2 2 3" xfId="14501"/>
    <cellStyle name="常规 5 4 4 2 3 2 2 3 2" xfId="14507"/>
    <cellStyle name="常规 5 4 4 2 3 2 2 4" xfId="5247"/>
    <cellStyle name="常规 5 4 4 2 3 2 2 5" xfId="5252"/>
    <cellStyle name="常规 5 4 4 2 3 2 3" xfId="22232"/>
    <cellStyle name="常规 5 4 4 2 3 2 3 2" xfId="16186"/>
    <cellStyle name="常规 5 4 4 2 3 2 3 2 2" xfId="29206"/>
    <cellStyle name="常规 5 4 4 2 3 2 3 3" xfId="14512"/>
    <cellStyle name="常规 5 4 4 2 3 2 3 4" xfId="5267"/>
    <cellStyle name="常规 5 4 4 2 3 2 4" xfId="22236"/>
    <cellStyle name="常规 5 4 4 2 3 2 4 2" xfId="29209"/>
    <cellStyle name="常规 5 4 4 2 3 2 5" xfId="1838"/>
    <cellStyle name="常规 5 4 4 2 3 2 6" xfId="13481"/>
    <cellStyle name="常规 5 4 4 2 3 3" xfId="33002"/>
    <cellStyle name="常规 5 4 4 2 3 3 2" xfId="29109"/>
    <cellStyle name="常规 5 4 4 2 3 3 2 2" xfId="16418"/>
    <cellStyle name="常规 5 4 4 2 3 3 2 2 2" xfId="29222"/>
    <cellStyle name="常规 5 4 4 2 3 3 2 3" xfId="14529"/>
    <cellStyle name="常规 5 4 4 2 3 3 2 4" xfId="5300"/>
    <cellStyle name="常规 5 4 4 2 3 3 3" xfId="22241"/>
    <cellStyle name="常规 5 4 4 2 3 3 3 2" xfId="29224"/>
    <cellStyle name="常规 5 4 4 2 3 3 4" xfId="23544"/>
    <cellStyle name="常规 5 4 4 2 3 3 5" xfId="23587"/>
    <cellStyle name="常规 5 4 4 2 3 4" xfId="33003"/>
    <cellStyle name="常规 5 4 4 2 3 4 2" xfId="29146"/>
    <cellStyle name="常规 5 4 4 2 3 4 2 2" xfId="7221"/>
    <cellStyle name="常规 5 4 4 2 3 4 3" xfId="29229"/>
    <cellStyle name="常规 5 4 4 2 3 4 4" xfId="23630"/>
    <cellStyle name="常规 5 4 4 2 3 5" xfId="33004"/>
    <cellStyle name="常规 5 4 4 2 3 5 2" xfId="633"/>
    <cellStyle name="常规 5 4 4 2 3 6" xfId="14574"/>
    <cellStyle name="常规 5 4 4 2 3 7" xfId="14578"/>
    <cellStyle name="常规 5 4 4 2 4" xfId="12649"/>
    <cellStyle name="常规 5 4 4 2 4 2" xfId="22996"/>
    <cellStyle name="常规 5 4 4 2 4 2 2" xfId="29258"/>
    <cellStyle name="常规 5 4 4 2 4 2 2 2" xfId="18963"/>
    <cellStyle name="常规 5 4 4 2 4 2 2 2 2" xfId="29260"/>
    <cellStyle name="常规 5 4 4 2 4 2 2 3" xfId="14566"/>
    <cellStyle name="常规 5 4 4 2 4 2 2 4" xfId="4285"/>
    <cellStyle name="常规 5 4 4 2 4 2 3" xfId="4296"/>
    <cellStyle name="常规 5 4 4 2 4 2 3 2" xfId="4301"/>
    <cellStyle name="常规 5 4 4 2 4 2 4" xfId="4325"/>
    <cellStyle name="常规 5 4 4 2 4 2 5" xfId="3438"/>
    <cellStyle name="常规 5 4 4 2 4 3" xfId="33005"/>
    <cellStyle name="常规 5 4 4 2 4 3 2" xfId="29241"/>
    <cellStyle name="常规 5 4 4 2 4 3 2 2" xfId="19026"/>
    <cellStyle name="常规 5 4 4 2 4 3 3" xfId="4375"/>
    <cellStyle name="常规 5 4 4 2 4 3 4" xfId="4384"/>
    <cellStyle name="常规 5 4 4 2 4 4" xfId="33006"/>
    <cellStyle name="常规 5 4 4 2 4 4 2" xfId="4430"/>
    <cellStyle name="常规 5 4 4 2 4 5" xfId="33007"/>
    <cellStyle name="常规 5 4 4 2 4 6" xfId="14582"/>
    <cellStyle name="常规 5 4 4 2 5" xfId="33009"/>
    <cellStyle name="常规 5 4 4 2 5 2" xfId="33010"/>
    <cellStyle name="常规 5 4 4 2 5 2 2" xfId="29271"/>
    <cellStyle name="常规 5 4 4 2 5 2 2 2" xfId="15406"/>
    <cellStyle name="常规 5 4 4 2 5 2 3" xfId="4480"/>
    <cellStyle name="常规 5 4 4 2 5 2 4" xfId="4491"/>
    <cellStyle name="常规 5 4 4 2 5 3" xfId="33011"/>
    <cellStyle name="常规 5 4 4 2 5 3 2" xfId="29278"/>
    <cellStyle name="常规 5 4 4 2 5 4" xfId="33012"/>
    <cellStyle name="常规 5 4 4 2 5 5" xfId="33013"/>
    <cellStyle name="常规 5 4 4 2 6" xfId="33014"/>
    <cellStyle name="常规 5 4 4 2 6 2" xfId="33015"/>
    <cellStyle name="常规 5 4 4 2 6 2 2" xfId="29285"/>
    <cellStyle name="常规 5 4 4 2 6 3" xfId="33016"/>
    <cellStyle name="常规 5 4 4 2 6 4" xfId="33017"/>
    <cellStyle name="常规 5 4 4 2 7" xfId="33018"/>
    <cellStyle name="常规 5 4 4 2 7 2" xfId="33019"/>
    <cellStyle name="常规 5 4 4 2 8" xfId="33020"/>
    <cellStyle name="常规 5 4 4 2 9" xfId="33021"/>
    <cellStyle name="常规 5 4 4 3" xfId="33022"/>
    <cellStyle name="常规 5 4 4 3 2" xfId="12657"/>
    <cellStyle name="常规 5 4 4 3 2 2" xfId="33023"/>
    <cellStyle name="常规 5 4 4 3 2 2 2" xfId="33024"/>
    <cellStyle name="常规 5 4 4 3 2 2 2 2" xfId="33025"/>
    <cellStyle name="常规 5 4 4 3 2 2 2 2 2" xfId="33027"/>
    <cellStyle name="常规 5 4 4 3 2 2 2 2 2 2" xfId="33030"/>
    <cellStyle name="常规 5 4 4 3 2 2 2 2 2 2 2" xfId="3986"/>
    <cellStyle name="常规 5 4 4 3 2 2 2 2 2 3" xfId="33032"/>
    <cellStyle name="常规 5 4 4 3 2 2 2 2 2 4" xfId="33034"/>
    <cellStyle name="常规 5 4 4 3 2 2 2 2 3" xfId="33036"/>
    <cellStyle name="常规 5 4 4 3 2 2 2 2 3 2" xfId="33038"/>
    <cellStyle name="常规 5 4 4 3 2 2 2 2 4" xfId="20972"/>
    <cellStyle name="常规 5 4 4 3 2 2 2 2 5" xfId="33039"/>
    <cellStyle name="常规 5 4 4 3 2 2 2 3" xfId="15126"/>
    <cellStyle name="常规 5 4 4 3 2 2 2 3 2" xfId="12110"/>
    <cellStyle name="常规 5 4 4 3 2 2 2 3 2 2" xfId="33041"/>
    <cellStyle name="常规 5 4 4 3 2 2 2 3 3" xfId="12115"/>
    <cellStyle name="常规 5 4 4 3 2 2 2 3 4" xfId="33042"/>
    <cellStyle name="常规 5 4 4 3 2 2 2 4" xfId="15129"/>
    <cellStyle name="常规 5 4 4 3 2 2 2 4 2" xfId="33044"/>
    <cellStyle name="常规 5 4 4 3 2 2 2 5" xfId="15131"/>
    <cellStyle name="常规 5 4 4 3 2 2 2 6" xfId="33045"/>
    <cellStyle name="常规 5 4 4 3 2 2 3" xfId="22249"/>
    <cellStyle name="常规 5 4 4 3 2 2 3 2" xfId="22251"/>
    <cellStyle name="常规 5 4 4 3 2 2 3 2 2" xfId="33047"/>
    <cellStyle name="常规 5 4 4 3 2 2 3 2 2 2" xfId="33049"/>
    <cellStyle name="常规 5 4 4 3 2 2 3 2 3" xfId="33051"/>
    <cellStyle name="常规 5 4 4 3 2 2 3 2 4" xfId="33052"/>
    <cellStyle name="常规 5 4 4 3 2 2 3 3" xfId="15135"/>
    <cellStyle name="常规 5 4 4 3 2 2 3 3 2" xfId="33053"/>
    <cellStyle name="常规 5 4 4 3 2 2 3 4" xfId="33054"/>
    <cellStyle name="常规 5 4 4 3 2 2 3 5" xfId="33055"/>
    <cellStyle name="常规 5 4 4 3 2 2 4" xfId="22253"/>
    <cellStyle name="常规 5 4 4 3 2 2 4 2" xfId="33056"/>
    <cellStyle name="常规 5 4 4 3 2 2 4 2 2" xfId="9872"/>
    <cellStyle name="常规 5 4 4 3 2 2 4 3" xfId="11799"/>
    <cellStyle name="常规 5 4 4 3 2 2 4 4" xfId="11718"/>
    <cellStyle name="常规 5 4 4 3 2 2 5" xfId="22255"/>
    <cellStyle name="常规 5 4 4 3 2 2 5 2" xfId="33057"/>
    <cellStyle name="常规 5 4 4 3 2 2 6" xfId="13585"/>
    <cellStyle name="常规 5 4 4 3 2 2 7" xfId="13591"/>
    <cellStyle name="常规 5 4 4 3 2 3" xfId="18917"/>
    <cellStyle name="常规 5 4 4 3 2 3 2" xfId="18919"/>
    <cellStyle name="常规 5 4 4 3 2 3 2 2" xfId="33058"/>
    <cellStyle name="常规 5 4 4 3 2 3 2 2 2" xfId="33061"/>
    <cellStyle name="常规 5 4 4 3 2 3 2 2 2 2" xfId="33063"/>
    <cellStyle name="常规 5 4 4 3 2 3 2 2 3" xfId="33065"/>
    <cellStyle name="常规 5 4 4 3 2 3 2 2 4" xfId="33066"/>
    <cellStyle name="常规 5 4 4 3 2 3 2 3" xfId="15144"/>
    <cellStyle name="常规 5 4 4 3 2 3 2 3 2" xfId="33067"/>
    <cellStyle name="常规 5 4 4 3 2 3 2 4" xfId="33068"/>
    <cellStyle name="常规 5 4 4 3 2 3 2 5" xfId="32012"/>
    <cellStyle name="常规 5 4 4 3 2 3 3" xfId="22258"/>
    <cellStyle name="常规 5 4 4 3 2 3 3 2" xfId="33069"/>
    <cellStyle name="常规 5 4 4 3 2 3 3 2 2" xfId="33070"/>
    <cellStyle name="常规 5 4 4 3 2 3 3 3" xfId="33071"/>
    <cellStyle name="常规 5 4 4 3 2 3 3 4" xfId="33072"/>
    <cellStyle name="常规 5 4 4 3 2 3 4" xfId="23834"/>
    <cellStyle name="常规 5 4 4 3 2 3 4 2" xfId="23836"/>
    <cellStyle name="常规 5 4 4 3 2 3 5" xfId="23867"/>
    <cellStyle name="常规 5 4 4 3 2 3 6" xfId="13602"/>
    <cellStyle name="常规 5 4 4 3 2 4" xfId="18921"/>
    <cellStyle name="常规 5 4 4 3 2 4 2" xfId="33073"/>
    <cellStyle name="常规 5 4 4 3 2 4 2 2" xfId="33074"/>
    <cellStyle name="常规 5 4 4 3 2 4 2 2 2" xfId="33075"/>
    <cellStyle name="常规 5 4 4 3 2 4 2 3" xfId="33076"/>
    <cellStyle name="常规 5 4 4 3 2 4 2 4" xfId="12908"/>
    <cellStyle name="常规 5 4 4 3 2 4 3" xfId="33077"/>
    <cellStyle name="常规 5 4 4 3 2 4 3 2" xfId="33078"/>
    <cellStyle name="常规 5 4 4 3 2 4 4" xfId="23893"/>
    <cellStyle name="常规 5 4 4 3 2 4 5" xfId="23901"/>
    <cellStyle name="常规 5 4 4 3 2 5" xfId="18923"/>
    <cellStyle name="常规 5 4 4 3 2 5 2" xfId="17657"/>
    <cellStyle name="常规 5 4 4 3 2 5 2 2" xfId="33079"/>
    <cellStyle name="常规 5 4 4 3 2 5 3" xfId="33080"/>
    <cellStyle name="常规 5 4 4 3 2 5 4" xfId="23915"/>
    <cellStyle name="常规 5 4 4 3 2 6" xfId="14593"/>
    <cellStyle name="常规 5 4 4 3 2 6 2" xfId="14595"/>
    <cellStyle name="常规 5 4 4 3 2 7" xfId="14599"/>
    <cellStyle name="常规 5 4 4 3 2 8" xfId="14602"/>
    <cellStyle name="常规 5 4 4 3 3" xfId="12659"/>
    <cellStyle name="常规 5 4 4 3 3 2" xfId="33081"/>
    <cellStyle name="常规 5 4 4 3 3 2 2" xfId="29306"/>
    <cellStyle name="常规 5 4 4 3 3 2 2 2" xfId="17719"/>
    <cellStyle name="常规 5 4 4 3 3 2 2 2 2" xfId="29310"/>
    <cellStyle name="常规 5 4 4 3 3 2 2 2 2 2" xfId="33082"/>
    <cellStyle name="常规 5 4 4 3 3 2 2 2 3" xfId="33084"/>
    <cellStyle name="常规 5 4 4 3 3 2 2 2 4" xfId="33085"/>
    <cellStyle name="常规 5 4 4 3 3 2 2 3" xfId="15173"/>
    <cellStyle name="常规 5 4 4 3 3 2 2 3 2" xfId="33086"/>
    <cellStyle name="常规 5 4 4 3 3 2 2 4" xfId="4897"/>
    <cellStyle name="常规 5 4 4 3 3 2 2 5" xfId="21001"/>
    <cellStyle name="常规 5 4 4 3 3 2 3" xfId="22264"/>
    <cellStyle name="常规 5 4 4 3 3 2 3 2" xfId="29312"/>
    <cellStyle name="常规 5 4 4 3 3 2 3 2 2" xfId="33087"/>
    <cellStyle name="常规 5 4 4 3 3 2 3 3" xfId="33088"/>
    <cellStyle name="常规 5 4 4 3 3 2 3 4" xfId="13543"/>
    <cellStyle name="常规 5 4 4 3 3 2 4" xfId="29314"/>
    <cellStyle name="常规 5 4 4 3 3 2 4 2" xfId="18365"/>
    <cellStyle name="常规 5 4 4 3 3 2 5" xfId="25868"/>
    <cellStyle name="常规 5 4 4 3 3 2 6" xfId="13627"/>
    <cellStyle name="常规 5 4 4 3 3 3" xfId="18925"/>
    <cellStyle name="常规 5 4 4 3 3 3 2" xfId="29321"/>
    <cellStyle name="常规 5 4 4 3 3 3 2 2" xfId="29323"/>
    <cellStyle name="常规 5 4 4 3 3 3 2 2 2" xfId="32705"/>
    <cellStyle name="常规 5 4 4 3 3 3 2 3" xfId="33089"/>
    <cellStyle name="常规 5 4 4 3 3 3 2 4" xfId="33090"/>
    <cellStyle name="常规 5 4 4 3 3 3 3" xfId="29325"/>
    <cellStyle name="常规 5 4 4 3 3 3 3 2" xfId="33091"/>
    <cellStyle name="常规 5 4 4 3 3 3 4" xfId="23955"/>
    <cellStyle name="常规 5 4 4 3 3 3 5" xfId="23959"/>
    <cellStyle name="常规 5 4 4 3 3 4" xfId="33092"/>
    <cellStyle name="常规 5 4 4 3 3 4 2" xfId="29330"/>
    <cellStyle name="常规 5 4 4 3 3 4 2 2" xfId="33093"/>
    <cellStyle name="常规 5 4 4 3 3 4 3" xfId="29332"/>
    <cellStyle name="常规 5 4 4 3 3 4 4" xfId="23969"/>
    <cellStyle name="常规 5 4 4 3 3 5" xfId="33094"/>
    <cellStyle name="常规 5 4 4 3 3 5 2" xfId="33095"/>
    <cellStyle name="常规 5 4 4 3 3 6" xfId="14606"/>
    <cellStyle name="常规 5 4 4 3 3 7" xfId="31549"/>
    <cellStyle name="常规 5 4 4 3 4" xfId="5624"/>
    <cellStyle name="常规 5 4 4 3 4 2" xfId="23186"/>
    <cellStyle name="常规 5 4 4 3 4 2 2" xfId="29344"/>
    <cellStyle name="常规 5 4 4 3 4 2 2 2" xfId="19227"/>
    <cellStyle name="常规 5 4 4 3 4 2 2 2 2" xfId="29185"/>
    <cellStyle name="常规 5 4 4 3 4 2 2 3" xfId="32418"/>
    <cellStyle name="常规 5 4 4 3 4 2 2 4" xfId="33096"/>
    <cellStyle name="常规 5 4 4 3 4 2 3" xfId="4662"/>
    <cellStyle name="常规 5 4 4 3 4 2 3 2" xfId="4668"/>
    <cellStyle name="常规 5 4 4 3 4 2 4" xfId="4688"/>
    <cellStyle name="常规 5 4 4 3 4 2 5" xfId="4701"/>
    <cellStyle name="常规 5 4 4 3 4 3" xfId="33097"/>
    <cellStyle name="常规 5 4 4 3 4 3 2" xfId="29350"/>
    <cellStyle name="常规 5 4 4 3 4 3 2 2" xfId="32455"/>
    <cellStyle name="常规 5 4 4 3 4 3 3" xfId="4737"/>
    <cellStyle name="常规 5 4 4 3 4 3 4" xfId="9850"/>
    <cellStyle name="常规 5 4 4 3 4 4" xfId="33098"/>
    <cellStyle name="常规 5 4 4 3 4 4 2" xfId="4776"/>
    <cellStyle name="常规 5 4 4 3 4 5" xfId="33099"/>
    <cellStyle name="常规 5 4 4 3 4 6" xfId="33100"/>
    <cellStyle name="常规 5 4 4 3 5" xfId="32529"/>
    <cellStyle name="常规 5 4 4 3 5 2" xfId="33101"/>
    <cellStyle name="常规 5 4 4 3 5 2 2" xfId="2303"/>
    <cellStyle name="常规 5 4 4 3 5 2 2 2" xfId="2309"/>
    <cellStyle name="常规 5 4 4 3 5 2 3" xfId="2316"/>
    <cellStyle name="常规 5 4 4 3 5 2 4" xfId="2328"/>
    <cellStyle name="常规 5 4 4 3 5 3" xfId="33102"/>
    <cellStyle name="常规 5 4 4 3 5 3 2" xfId="2361"/>
    <cellStyle name="常规 5 4 4 3 5 4" xfId="15827"/>
    <cellStyle name="常规 5 4 4 3 5 5" xfId="33103"/>
    <cellStyle name="常规 5 4 4 3 6" xfId="33104"/>
    <cellStyle name="常规 5 4 4 3 6 2" xfId="33105"/>
    <cellStyle name="常规 5 4 4 3 6 2 2" xfId="33106"/>
    <cellStyle name="常规 5 4 4 3 6 3" xfId="33107"/>
    <cellStyle name="常规 5 4 4 3 6 4" xfId="33108"/>
    <cellStyle name="常规 5 4 4 3 7" xfId="33109"/>
    <cellStyle name="常规 5 4 4 3 7 2" xfId="33110"/>
    <cellStyle name="常规 5 4 4 3 8" xfId="33111"/>
    <cellStyle name="常规 5 4 4 3 9" xfId="33112"/>
    <cellStyle name="常规 5 4 4 4" xfId="26547"/>
    <cellStyle name="常规 5 4 4 4 2" xfId="26550"/>
    <cellStyle name="常规 5 4 4 4 2 2" xfId="26552"/>
    <cellStyle name="常规 5 4 4 4 2 2 2" xfId="26554"/>
    <cellStyle name="常规 5 4 4 4 2 2 2 2" xfId="26557"/>
    <cellStyle name="常规 5 4 4 4 2 2 2 2 2" xfId="26563"/>
    <cellStyle name="常规 5 4 4 4 2 2 2 2 2 2" xfId="26566"/>
    <cellStyle name="常规 5 4 4 4 2 2 2 2 3" xfId="26569"/>
    <cellStyle name="常规 5 4 4 4 2 2 2 2 4" xfId="26572"/>
    <cellStyle name="常规 5 4 4 4 2 2 2 3" xfId="15663"/>
    <cellStyle name="常规 5 4 4 4 2 2 2 3 2" xfId="26574"/>
    <cellStyle name="常规 5 4 4 4 2 2 2 4" xfId="17247"/>
    <cellStyle name="常规 5 4 4 4 2 2 2 5" xfId="17270"/>
    <cellStyle name="常规 5 4 4 4 2 2 3" xfId="22272"/>
    <cellStyle name="常规 5 4 4 4 2 2 3 2" xfId="26576"/>
    <cellStyle name="常规 5 4 4 4 2 2 3 2 2" xfId="26579"/>
    <cellStyle name="常规 5 4 4 4 2 2 3 3" xfId="26581"/>
    <cellStyle name="常规 5 4 4 4 2 2 3 4" xfId="17291"/>
    <cellStyle name="常规 5 4 4 4 2 2 4" xfId="26583"/>
    <cellStyle name="常规 5 4 4 4 2 2 4 2" xfId="26586"/>
    <cellStyle name="常规 5 4 4 4 2 2 5" xfId="26588"/>
    <cellStyle name="常规 5 4 4 4 2 2 6" xfId="13676"/>
    <cellStyle name="常规 5 4 4 4 2 3" xfId="19175"/>
    <cellStyle name="常规 5 4 4 4 2 3 2" xfId="19179"/>
    <cellStyle name="常规 5 4 4 4 2 3 2 2" xfId="26591"/>
    <cellStyle name="常规 5 4 4 4 2 3 2 2 2" xfId="26596"/>
    <cellStyle name="常规 5 4 4 4 2 3 2 3" xfId="26601"/>
    <cellStyle name="常规 5 4 4 4 2 3 2 4" xfId="17400"/>
    <cellStyle name="常规 5 4 4 4 2 3 3" xfId="26606"/>
    <cellStyle name="常规 5 4 4 4 2 3 3 2" xfId="26611"/>
    <cellStyle name="常规 5 4 4 4 2 3 4" xfId="24045"/>
    <cellStyle name="常规 5 4 4 4 2 3 5" xfId="24065"/>
    <cellStyle name="常规 5 4 4 4 2 4" xfId="19185"/>
    <cellStyle name="常规 5 4 4 4 2 4 2" xfId="26616"/>
    <cellStyle name="常规 5 4 4 4 2 4 2 2" xfId="26621"/>
    <cellStyle name="常规 5 4 4 4 2 4 3" xfId="26626"/>
    <cellStyle name="常规 5 4 4 4 2 4 4" xfId="24092"/>
    <cellStyle name="常规 5 4 4 4 2 5" xfId="19189"/>
    <cellStyle name="常规 5 4 4 4 2 5 2" xfId="26630"/>
    <cellStyle name="常规 5 4 4 4 2 6" xfId="14622"/>
    <cellStyle name="常规 5 4 4 4 2 7" xfId="26636"/>
    <cellStyle name="常规 5 4 4 4 3" xfId="26643"/>
    <cellStyle name="常规 5 4 4 4 3 2" xfId="26645"/>
    <cellStyle name="常规 5 4 4 4 3 2 2" xfId="26647"/>
    <cellStyle name="常规 5 4 4 4 3 2 2 2" xfId="26651"/>
    <cellStyle name="常规 5 4 4 4 3 2 2 2 2" xfId="26655"/>
    <cellStyle name="常规 5 4 4 4 3 2 2 3" xfId="26657"/>
    <cellStyle name="常规 5 4 4 4 3 2 2 4" xfId="15945"/>
    <cellStyle name="常规 5 4 4 4 3 2 3" xfId="26659"/>
    <cellStyle name="常规 5 4 4 4 3 2 3 2" xfId="26663"/>
    <cellStyle name="常规 5 4 4 4 3 2 4" xfId="26665"/>
    <cellStyle name="常规 5 4 4 4 3 2 5" xfId="25882"/>
    <cellStyle name="常规 5 4 4 4 3 3" xfId="19195"/>
    <cellStyle name="常规 5 4 4 4 3 3 2" xfId="26669"/>
    <cellStyle name="常规 5 4 4 4 3 3 2 2" xfId="26675"/>
    <cellStyle name="常规 5 4 4 4 3 3 3" xfId="26679"/>
    <cellStyle name="常规 5 4 4 4 3 3 4" xfId="24146"/>
    <cellStyle name="常规 5 4 4 4 3 4" xfId="26685"/>
    <cellStyle name="常规 5 4 4 4 3 4 2" xfId="26688"/>
    <cellStyle name="常规 5 4 4 4 3 5" xfId="26693"/>
    <cellStyle name="常规 5 4 4 4 3 6" xfId="26696"/>
    <cellStyle name="常规 5 4 4 4 4" xfId="26700"/>
    <cellStyle name="常规 5 4 4 4 4 2" xfId="26703"/>
    <cellStyle name="常规 5 4 4 4 4 2 2" xfId="26705"/>
    <cellStyle name="常规 5 4 4 4 4 2 2 2" xfId="24662"/>
    <cellStyle name="常规 5 4 4 4 4 2 3" xfId="1025"/>
    <cellStyle name="常规 5 4 4 4 4 2 4" xfId="10056"/>
    <cellStyle name="常规 5 4 4 4 4 3" xfId="26710"/>
    <cellStyle name="常规 5 4 4 4 4 3 2" xfId="26713"/>
    <cellStyle name="常规 5 4 4 4 4 4" xfId="26718"/>
    <cellStyle name="常规 5 4 4 4 4 5" xfId="26721"/>
    <cellStyle name="常规 5 4 4 4 5" xfId="26725"/>
    <cellStyle name="常规 5 4 4 4 5 2" xfId="26727"/>
    <cellStyle name="常规 5 4 4 4 5 2 2" xfId="26729"/>
    <cellStyle name="常规 5 4 4 4 5 3" xfId="26732"/>
    <cellStyle name="常规 5 4 4 4 5 4" xfId="26735"/>
    <cellStyle name="常规 5 4 4 4 6" xfId="25102"/>
    <cellStyle name="常规 5 4 4 4 6 2" xfId="25106"/>
    <cellStyle name="常规 5 4 4 4 7" xfId="25124"/>
    <cellStyle name="常规 5 4 4 4 8" xfId="25131"/>
    <cellStyle name="常规 5 4 4 5" xfId="26738"/>
    <cellStyle name="常规 5 4 4 5 2" xfId="26740"/>
    <cellStyle name="常规 5 4 4 5 2 2" xfId="1426"/>
    <cellStyle name="常规 5 4 4 5 2 2 2" xfId="26742"/>
    <cellStyle name="常规 5 4 4 5 2 2 2 2" xfId="239"/>
    <cellStyle name="常规 5 4 4 5 2 2 2 2 2" xfId="26745"/>
    <cellStyle name="常规 5 4 4 5 2 2 2 3" xfId="26747"/>
    <cellStyle name="常规 5 4 4 5 2 2 2 4" xfId="19262"/>
    <cellStyle name="常规 5 4 4 5 2 2 3" xfId="26749"/>
    <cellStyle name="常规 5 4 4 5 2 2 3 2" xfId="26752"/>
    <cellStyle name="常规 5 4 4 5 2 2 4" xfId="26754"/>
    <cellStyle name="常规 5 4 4 5 2 2 5" xfId="1415"/>
    <cellStyle name="常规 5 4 4 5 2 3" xfId="1431"/>
    <cellStyle name="常规 5 4 4 5 2 3 2" xfId="26757"/>
    <cellStyle name="常规 5 4 4 5 2 3 2 2" xfId="26762"/>
    <cellStyle name="常规 5 4 4 5 2 3 3" xfId="26766"/>
    <cellStyle name="常规 5 4 4 5 2 3 4" xfId="24235"/>
    <cellStyle name="常规 5 4 4 5 2 4" xfId="26771"/>
    <cellStyle name="常规 5 4 4 5 2 4 2" xfId="26774"/>
    <cellStyle name="常规 5 4 4 5 2 5" xfId="26779"/>
    <cellStyle name="常规 5 4 4 5 2 6" xfId="21163"/>
    <cellStyle name="常规 5 4 4 5 3" xfId="24787"/>
    <cellStyle name="常规 5 4 4 5 3 2" xfId="26782"/>
    <cellStyle name="常规 5 4 4 5 3 2 2" xfId="26784"/>
    <cellStyle name="常规 5 4 4 5 3 2 2 2" xfId="26788"/>
    <cellStyle name="常规 5 4 4 5 3 2 3" xfId="778"/>
    <cellStyle name="常规 5 4 4 5 3 2 4" xfId="821"/>
    <cellStyle name="常规 5 4 4 5 3 3" xfId="26791"/>
    <cellStyle name="常规 5 4 4 5 3 3 2" xfId="26794"/>
    <cellStyle name="常规 5 4 4 5 3 4" xfId="26800"/>
    <cellStyle name="常规 5 4 4 5 3 5" xfId="26803"/>
    <cellStyle name="常规 5 4 4 5 4" xfId="26806"/>
    <cellStyle name="常规 5 4 4 5 4 2" xfId="26808"/>
    <cellStyle name="常规 5 4 4 5 4 2 2" xfId="26810"/>
    <cellStyle name="常规 5 4 4 5 4 3" xfId="26813"/>
    <cellStyle name="常规 5 4 4 5 4 4" xfId="26816"/>
    <cellStyle name="常规 5 4 4 5 5" xfId="26818"/>
    <cellStyle name="常规 5 4 4 5 5 2" xfId="26820"/>
    <cellStyle name="常规 5 4 4 5 6" xfId="25146"/>
    <cellStyle name="常规 5 4 4 5 7" xfId="25160"/>
    <cellStyle name="常规 5 4 4 6" xfId="26823"/>
    <cellStyle name="常规 5 4 4 6 2" xfId="26825"/>
    <cellStyle name="常规 5 4 4 6 2 2" xfId="24249"/>
    <cellStyle name="常规 5 4 4 6 2 2 2" xfId="26827"/>
    <cellStyle name="常规 5 4 4 6 2 2 2 2" xfId="26831"/>
    <cellStyle name="常规 5 4 4 6 2 2 3" xfId="26837"/>
    <cellStyle name="常规 5 4 4 6 2 2 4" xfId="26839"/>
    <cellStyle name="常规 5 4 4 6 2 3" xfId="24253"/>
    <cellStyle name="常规 5 4 4 6 2 3 2" xfId="26842"/>
    <cellStyle name="常规 5 4 4 6 2 4" xfId="26849"/>
    <cellStyle name="常规 5 4 4 6 2 5" xfId="26853"/>
    <cellStyle name="常规 5 4 4 6 3" xfId="26857"/>
    <cellStyle name="常规 5 4 4 6 3 2" xfId="26859"/>
    <cellStyle name="常规 5 4 4 6 3 2 2" xfId="26862"/>
    <cellStyle name="常规 5 4 4 6 3 3" xfId="26866"/>
    <cellStyle name="常规 5 4 4 6 3 4" xfId="7916"/>
    <cellStyle name="常规 5 4 4 6 4" xfId="26870"/>
    <cellStyle name="常规 5 4 4 6 4 2" xfId="26872"/>
    <cellStyle name="常规 5 4 4 6 5" xfId="26875"/>
    <cellStyle name="常规 5 4 4 6 6" xfId="25172"/>
    <cellStyle name="常规 5 4 4 7" xfId="26877"/>
    <cellStyle name="常规 5 4 4 7 2" xfId="26879"/>
    <cellStyle name="常规 5 4 4 7 2 2" xfId="26881"/>
    <cellStyle name="常规 5 4 4 7 2 2 2" xfId="26884"/>
    <cellStyle name="常规 5 4 4 7 2 3" xfId="26888"/>
    <cellStyle name="常规 5 4 4 7 2 4" xfId="26892"/>
    <cellStyle name="常规 5 4 4 7 3" xfId="26895"/>
    <cellStyle name="常规 5 4 4 7 3 2" xfId="26897"/>
    <cellStyle name="常规 5 4 4 7 4" xfId="26900"/>
    <cellStyle name="常规 5 4 4 7 5" xfId="26902"/>
    <cellStyle name="常规 5 4 4 8" xfId="26904"/>
    <cellStyle name="常规 5 4 4 8 2" xfId="26908"/>
    <cellStyle name="常规 5 4 4 8 2 2" xfId="26910"/>
    <cellStyle name="常规 5 4 4 8 3" xfId="14054"/>
    <cellStyle name="常规 5 4 4 8 4" xfId="14061"/>
    <cellStyle name="常规 5 4 4 9" xfId="26913"/>
    <cellStyle name="常规 5 4 4 9 2" xfId="26915"/>
    <cellStyle name="常规 5 4 5" xfId="8160"/>
    <cellStyle name="常规 5 4 5 2" xfId="8162"/>
    <cellStyle name="常规 5 4 5 2 2" xfId="8164"/>
    <cellStyle name="常规 5 4 5 2 2 2" xfId="33113"/>
    <cellStyle name="常规 5 4 5 2 2 2 2" xfId="33114"/>
    <cellStyle name="常规 5 4 5 2 2 2 2 2" xfId="33115"/>
    <cellStyle name="常规 5 4 5 2 2 2 2 2 2" xfId="33116"/>
    <cellStyle name="常规 5 4 5 2 2 2 2 2 2 2" xfId="6221"/>
    <cellStyle name="常规 5 4 5 2 2 2 2 2 3" xfId="11295"/>
    <cellStyle name="常规 5 4 5 2 2 2 2 2 4" xfId="33117"/>
    <cellStyle name="常规 5 4 5 2 2 2 2 3" xfId="19755"/>
    <cellStyle name="常规 5 4 5 2 2 2 2 3 2" xfId="33119"/>
    <cellStyle name="常规 5 4 5 2 2 2 2 4" xfId="33120"/>
    <cellStyle name="常规 5 4 5 2 2 2 2 5" xfId="33122"/>
    <cellStyle name="常规 5 4 5 2 2 2 3" xfId="22294"/>
    <cellStyle name="常规 5 4 5 2 2 2 3 2" xfId="22296"/>
    <cellStyle name="常规 5 4 5 2 2 2 3 2 2" xfId="33123"/>
    <cellStyle name="常规 5 4 5 2 2 2 3 3" xfId="33124"/>
    <cellStyle name="常规 5 4 5 2 2 2 3 4" xfId="33125"/>
    <cellStyle name="常规 5 4 5 2 2 2 4" xfId="22298"/>
    <cellStyle name="常规 5 4 5 2 2 2 4 2" xfId="33126"/>
    <cellStyle name="常规 5 4 5 2 2 2 5" xfId="22300"/>
    <cellStyle name="常规 5 4 5 2 2 2 6" xfId="13932"/>
    <cellStyle name="常规 5 4 5 2 2 3" xfId="9754"/>
    <cellStyle name="常规 5 4 5 2 2 3 2" xfId="33127"/>
    <cellStyle name="常规 5 4 5 2 2 3 2 2" xfId="7034"/>
    <cellStyle name="常规 5 4 5 2 2 3 2 2 2" xfId="12293"/>
    <cellStyle name="常规 5 4 5 2 2 3 2 3" xfId="2854"/>
    <cellStyle name="常规 5 4 5 2 2 3 2 4" xfId="33129"/>
    <cellStyle name="常规 5 4 5 2 2 3 3" xfId="22303"/>
    <cellStyle name="常规 5 4 5 2 2 3 3 2" xfId="33130"/>
    <cellStyle name="常规 5 4 5 2 2 3 4" xfId="33131"/>
    <cellStyle name="常规 5 4 5 2 2 3 5" xfId="33132"/>
    <cellStyle name="常规 5 4 5 2 2 4" xfId="33133"/>
    <cellStyle name="常规 5 4 5 2 2 4 2" xfId="33134"/>
    <cellStyle name="常规 5 4 5 2 2 4 2 2" xfId="16136"/>
    <cellStyle name="常规 5 4 5 2 2 4 3" xfId="33135"/>
    <cellStyle name="常规 5 4 5 2 2 4 4" xfId="33136"/>
    <cellStyle name="常规 5 4 5 2 2 5" xfId="33137"/>
    <cellStyle name="常规 5 4 5 2 2 5 2" xfId="17765"/>
    <cellStyle name="常规 5 4 5 2 2 6" xfId="15194"/>
    <cellStyle name="常规 5 4 5 2 2 7" xfId="15199"/>
    <cellStyle name="常规 5 4 5 2 3" xfId="12683"/>
    <cellStyle name="常规 5 4 5 2 3 2" xfId="16555"/>
    <cellStyle name="常规 5 4 5 2 3 2 2" xfId="16557"/>
    <cellStyle name="常规 5 4 5 2 3 2 2 2" xfId="33138"/>
    <cellStyle name="常规 5 4 5 2 3 2 2 2 2" xfId="32057"/>
    <cellStyle name="常规 5 4 5 2 3 2 2 3" xfId="33139"/>
    <cellStyle name="常规 5 4 5 2 3 2 2 4" xfId="5541"/>
    <cellStyle name="常规 5 4 5 2 3 2 3" xfId="16559"/>
    <cellStyle name="常规 5 4 5 2 3 2 3 2" xfId="33140"/>
    <cellStyle name="常规 5 4 5 2 3 2 4" xfId="33141"/>
    <cellStyle name="常规 5 4 5 2 3 2 5" xfId="26508"/>
    <cellStyle name="常规 5 4 5 2 3 3" xfId="16562"/>
    <cellStyle name="常规 5 4 5 2 3 3 2" xfId="16564"/>
    <cellStyle name="常规 5 4 5 2 3 3 2 2" xfId="33142"/>
    <cellStyle name="常规 5 4 5 2 3 3 3" xfId="16566"/>
    <cellStyle name="常规 5 4 5 2 3 3 4" xfId="33143"/>
    <cellStyle name="常规 5 4 5 2 3 4" xfId="16568"/>
    <cellStyle name="常规 5 4 5 2 3 4 2" xfId="33144"/>
    <cellStyle name="常规 5 4 5 2 3 5" xfId="16570"/>
    <cellStyle name="常规 5 4 5 2 3 6" xfId="15203"/>
    <cellStyle name="常规 5 4 5 2 4" xfId="9687"/>
    <cellStyle name="常规 5 4 5 2 4 2" xfId="9689"/>
    <cellStyle name="常规 5 4 5 2 4 2 2" xfId="16580"/>
    <cellStyle name="常规 5 4 5 2 4 2 2 2" xfId="32708"/>
    <cellStyle name="常规 5 4 5 2 4 2 3" xfId="5259"/>
    <cellStyle name="常规 5 4 5 2 4 2 4" xfId="5270"/>
    <cellStyle name="常规 5 4 5 2 4 3" xfId="16582"/>
    <cellStyle name="常规 5 4 5 2 4 3 2" xfId="33145"/>
    <cellStyle name="常规 5 4 5 2 4 4" xfId="16584"/>
    <cellStyle name="常规 5 4 5 2 4 5" xfId="16586"/>
    <cellStyle name="常规 5 4 5 2 5" xfId="9694"/>
    <cellStyle name="常规 5 4 5 2 5 2" xfId="16591"/>
    <cellStyle name="常规 5 4 5 2 5 2 2" xfId="33146"/>
    <cellStyle name="常规 5 4 5 2 5 3" xfId="16593"/>
    <cellStyle name="常规 5 4 5 2 5 4" xfId="33148"/>
    <cellStyle name="常规 5 4 5 2 6" xfId="9696"/>
    <cellStyle name="常规 5 4 5 2 6 2" xfId="16597"/>
    <cellStyle name="常规 5 4 5 2 7" xfId="296"/>
    <cellStyle name="常规 5 4 5 2 8" xfId="33149"/>
    <cellStyle name="常规 5 4 5 3" xfId="8168"/>
    <cellStyle name="常规 5 4 5 3 2" xfId="33150"/>
    <cellStyle name="常规 5 4 5 3 2 2" xfId="33151"/>
    <cellStyle name="常规 5 4 5 3 2 2 2" xfId="33152"/>
    <cellStyle name="常规 5 4 5 3 2 2 2 2" xfId="33153"/>
    <cellStyle name="常规 5 4 5 3 2 2 2 2 2" xfId="33154"/>
    <cellStyle name="常规 5 4 5 3 2 2 2 3" xfId="33155"/>
    <cellStyle name="常规 5 4 5 3 2 2 2 4" xfId="33156"/>
    <cellStyle name="常规 5 4 5 3 2 2 3" xfId="22313"/>
    <cellStyle name="常规 5 4 5 3 2 2 3 2" xfId="33157"/>
    <cellStyle name="常规 5 4 5 3 2 2 4" xfId="33158"/>
    <cellStyle name="常规 5 4 5 3 2 2 5" xfId="33159"/>
    <cellStyle name="常规 5 4 5 3 2 3" xfId="19511"/>
    <cellStyle name="常规 5 4 5 3 2 3 2" xfId="33160"/>
    <cellStyle name="常规 5 4 5 3 2 3 2 2" xfId="33161"/>
    <cellStyle name="常规 5 4 5 3 2 3 3" xfId="4147"/>
    <cellStyle name="常规 5 4 5 3 2 3 4" xfId="33162"/>
    <cellStyle name="常规 5 4 5 3 2 4" xfId="33163"/>
    <cellStyle name="常规 5 4 5 3 2 4 2" xfId="33164"/>
    <cellStyle name="常规 5 4 5 3 2 5" xfId="33165"/>
    <cellStyle name="常规 5 4 5 3 2 6" xfId="15212"/>
    <cellStyle name="常规 5 4 5 3 3" xfId="33166"/>
    <cellStyle name="常规 5 4 5 3 3 2" xfId="19952"/>
    <cellStyle name="常规 5 4 5 3 3 2 2" xfId="19954"/>
    <cellStyle name="常规 5 4 5 3 3 2 2 2" xfId="22360"/>
    <cellStyle name="常规 5 4 5 3 3 2 3" xfId="19956"/>
    <cellStyle name="常规 5 4 5 3 3 2 4" xfId="33167"/>
    <cellStyle name="常规 5 4 5 3 3 3" xfId="19958"/>
    <cellStyle name="常规 5 4 5 3 3 3 2" xfId="19960"/>
    <cellStyle name="常规 5 4 5 3 3 4" xfId="19963"/>
    <cellStyle name="常规 5 4 5 3 3 5" xfId="19965"/>
    <cellStyle name="常规 5 4 5 3 4" xfId="33168"/>
    <cellStyle name="常规 5 4 5 3 4 2" xfId="19972"/>
    <cellStyle name="常规 5 4 5 3 4 2 2" xfId="19974"/>
    <cellStyle name="常规 5 4 5 3 4 3" xfId="19976"/>
    <cellStyle name="常规 5 4 5 3 4 4" xfId="19978"/>
    <cellStyle name="常规 5 4 5 3 5" xfId="33169"/>
    <cellStyle name="常规 5 4 5 3 5 2" xfId="1043"/>
    <cellStyle name="常规 5 4 5 3 6" xfId="33170"/>
    <cellStyle name="常规 5 4 5 3 7" xfId="33171"/>
    <cellStyle name="常规 5 4 5 4" xfId="8171"/>
    <cellStyle name="常规 5 4 5 4 2" xfId="26921"/>
    <cellStyle name="常规 5 4 5 4 2 2" xfId="24481"/>
    <cellStyle name="常规 5 4 5 4 2 2 2" xfId="26923"/>
    <cellStyle name="常规 5 4 5 4 2 2 2 2" xfId="26926"/>
    <cellStyle name="常规 5 4 5 4 2 2 3" xfId="26935"/>
    <cellStyle name="常规 5 4 5 4 2 2 4" xfId="26941"/>
    <cellStyle name="常规 5 4 5 4 2 3" xfId="24484"/>
    <cellStyle name="常规 5 4 5 4 2 3 2" xfId="26947"/>
    <cellStyle name="常规 5 4 5 4 2 4" xfId="26979"/>
    <cellStyle name="常规 5 4 5 4 2 5" xfId="26996"/>
    <cellStyle name="常规 5 4 5 4 3" xfId="27017"/>
    <cellStyle name="常规 5 4 5 4 3 2" xfId="20002"/>
    <cellStyle name="常规 5 4 5 4 3 2 2" xfId="20005"/>
    <cellStyle name="常规 5 4 5 4 3 3" xfId="20012"/>
    <cellStyle name="常规 5 4 5 4 3 4" xfId="20017"/>
    <cellStyle name="常规 5 4 5 4 4" xfId="27043"/>
    <cellStyle name="常规 5 4 5 4 4 2" xfId="20031"/>
    <cellStyle name="常规 5 4 5 4 5" xfId="27061"/>
    <cellStyle name="常规 5 4 5 4 6" xfId="25192"/>
    <cellStyle name="常规 5 4 5 5" xfId="27071"/>
    <cellStyle name="常规 5 4 5 5 2" xfId="27073"/>
    <cellStyle name="常规 5 4 5 5 2 2" xfId="27075"/>
    <cellStyle name="常规 5 4 5 5 2 2 2" xfId="27078"/>
    <cellStyle name="常规 5 4 5 5 2 3" xfId="27093"/>
    <cellStyle name="常规 5 4 5 5 2 4" xfId="27113"/>
    <cellStyle name="常规 5 4 5 5 3" xfId="27129"/>
    <cellStyle name="常规 5 4 5 5 3 2" xfId="20046"/>
    <cellStyle name="常规 5 4 5 5 4" xfId="27146"/>
    <cellStyle name="常规 5 4 5 5 5" xfId="27154"/>
    <cellStyle name="常规 5 4 5 6" xfId="27159"/>
    <cellStyle name="常规 5 4 5 6 2" xfId="27162"/>
    <cellStyle name="常规 5 4 5 6 2 2" xfId="27164"/>
    <cellStyle name="常规 5 4 5 6 3" xfId="27189"/>
    <cellStyle name="常规 5 4 5 6 4" xfId="27204"/>
    <cellStyle name="常规 5 4 5 7" xfId="27210"/>
    <cellStyle name="常规 5 4 5 7 2" xfId="27212"/>
    <cellStyle name="常规 5 4 5 8" xfId="27233"/>
    <cellStyle name="常规 5 4 5 9" xfId="27244"/>
    <cellStyle name="常规 5 4 6" xfId="8174"/>
    <cellStyle name="常规 5 4 6 2" xfId="8177"/>
    <cellStyle name="常规 5 4 6 2 2" xfId="33172"/>
    <cellStyle name="常规 5 4 6 2 2 2" xfId="33173"/>
    <cellStyle name="常规 5 4 6 2 2 2 2" xfId="23853"/>
    <cellStyle name="常规 5 4 6 2 2 2 2 2" xfId="13869"/>
    <cellStyle name="常规 5 4 6 2 2 2 2 2 2" xfId="26466"/>
    <cellStyle name="常规 5 4 6 2 2 2 2 2 2 2" xfId="33174"/>
    <cellStyle name="常规 5 4 6 2 2 2 2 2 3" xfId="23347"/>
    <cellStyle name="常规 5 4 6 2 2 2 2 2 4" xfId="23352"/>
    <cellStyle name="常规 5 4 6 2 2 2 2 3" xfId="13872"/>
    <cellStyle name="常规 5 4 6 2 2 2 2 3 2" xfId="33176"/>
    <cellStyle name="常规 5 4 6 2 2 2 2 4" xfId="33177"/>
    <cellStyle name="常规 5 4 6 2 2 2 2 5" xfId="33178"/>
    <cellStyle name="常规 5 4 6 2 2 2 3" xfId="22331"/>
    <cellStyle name="常规 5 4 6 2 2 2 3 2" xfId="13884"/>
    <cellStyle name="常规 5 4 6 2 2 2 3 2 2" xfId="3996"/>
    <cellStyle name="常规 5 4 6 2 2 2 3 3" xfId="33179"/>
    <cellStyle name="常规 5 4 6 2 2 2 3 4" xfId="33180"/>
    <cellStyle name="常规 5 4 6 2 2 2 4" xfId="33181"/>
    <cellStyle name="常规 5 4 6 2 2 2 4 2" xfId="8264"/>
    <cellStyle name="常规 5 4 6 2 2 2 5" xfId="33182"/>
    <cellStyle name="常规 5 4 6 2 2 2 6" xfId="14230"/>
    <cellStyle name="常规 5 4 6 2 2 3" xfId="33183"/>
    <cellStyle name="常规 5 4 6 2 2 3 2" xfId="24882"/>
    <cellStyle name="常规 5 4 6 2 2 3 2 2" xfId="13977"/>
    <cellStyle name="常规 5 4 6 2 2 3 2 2 2" xfId="29981"/>
    <cellStyle name="常规 5 4 6 2 2 3 2 3" xfId="29044"/>
    <cellStyle name="常规 5 4 6 2 2 3 2 4" xfId="29988"/>
    <cellStyle name="常规 5 4 6 2 2 3 3" xfId="24887"/>
    <cellStyle name="常规 5 4 6 2 2 3 3 2" xfId="29993"/>
    <cellStyle name="常规 5 4 6 2 2 3 4" xfId="24892"/>
    <cellStyle name="常规 5 4 6 2 2 3 5" xfId="30001"/>
    <cellStyle name="常规 5 4 6 2 2 4" xfId="33184"/>
    <cellStyle name="常规 5 4 6 2 2 4 2" xfId="25085"/>
    <cellStyle name="常规 5 4 6 2 2 4 2 2" xfId="25090"/>
    <cellStyle name="常规 5 4 6 2 2 4 3" xfId="25093"/>
    <cellStyle name="常规 5 4 6 2 2 4 4" xfId="25096"/>
    <cellStyle name="常规 5 4 6 2 2 5" xfId="33185"/>
    <cellStyle name="常规 5 4 6 2 2 5 2" xfId="17947"/>
    <cellStyle name="常规 5 4 6 2 2 6" xfId="15702"/>
    <cellStyle name="常规 5 4 6 2 2 7" xfId="33186"/>
    <cellStyle name="常规 5 4 6 2 3" xfId="33187"/>
    <cellStyle name="常规 5 4 6 2 3 2" xfId="21117"/>
    <cellStyle name="常规 5 4 6 2 3 2 2" xfId="21119"/>
    <cellStyle name="常规 5 4 6 2 3 2 2 2" xfId="14180"/>
    <cellStyle name="常规 5 4 6 2 3 2 2 2 2" xfId="30766"/>
    <cellStyle name="常规 5 4 6 2 3 2 2 3" xfId="14183"/>
    <cellStyle name="常规 5 4 6 2 3 2 2 4" xfId="2522"/>
    <cellStyle name="常规 5 4 6 2 3 2 3" xfId="21122"/>
    <cellStyle name="常规 5 4 6 2 3 2 3 2" xfId="14193"/>
    <cellStyle name="常规 5 4 6 2 3 2 4" xfId="19697"/>
    <cellStyle name="常规 5 4 6 2 3 2 5" xfId="30768"/>
    <cellStyle name="常规 5 4 6 2 3 3" xfId="21125"/>
    <cellStyle name="常规 5 4 6 2 3 3 2" xfId="25449"/>
    <cellStyle name="常规 5 4 6 2 3 3 2 2" xfId="14264"/>
    <cellStyle name="常规 5 4 6 2 3 3 3" xfId="25455"/>
    <cellStyle name="常规 5 4 6 2 3 3 4" xfId="30041"/>
    <cellStyle name="常规 5 4 6 2 3 4" xfId="21127"/>
    <cellStyle name="常规 5 4 6 2 3 4 2" xfId="25515"/>
    <cellStyle name="常规 5 4 6 2 3 5" xfId="21129"/>
    <cellStyle name="常规 5 4 6 2 3 6" xfId="33188"/>
    <cellStyle name="常规 5 4 6 2 4" xfId="33189"/>
    <cellStyle name="常规 5 4 6 2 4 2" xfId="21133"/>
    <cellStyle name="常规 5 4 6 2 4 2 2" xfId="30772"/>
    <cellStyle name="常规 5 4 6 2 4 2 2 2" xfId="14378"/>
    <cellStyle name="常规 5 4 6 2 4 2 3" xfId="5548"/>
    <cellStyle name="常规 5 4 6 2 4 2 4" xfId="2552"/>
    <cellStyle name="常规 5 4 6 2 4 3" xfId="33190"/>
    <cellStyle name="常规 5 4 6 2 4 3 2" xfId="25725"/>
    <cellStyle name="常规 5 4 6 2 4 4" xfId="33191"/>
    <cellStyle name="常规 5 4 6 2 4 5" xfId="33192"/>
    <cellStyle name="常规 5 4 6 2 5" xfId="33193"/>
    <cellStyle name="常规 5 4 6 2 5 2" xfId="21137"/>
    <cellStyle name="常规 5 4 6 2 5 2 2" xfId="30776"/>
    <cellStyle name="常规 5 4 6 2 5 3" xfId="33194"/>
    <cellStyle name="常规 5 4 6 2 5 4" xfId="33196"/>
    <cellStyle name="常规 5 4 6 2 6" xfId="33197"/>
    <cellStyle name="常规 5 4 6 2 6 2" xfId="33198"/>
    <cellStyle name="常规 5 4 6 2 7" xfId="33199"/>
    <cellStyle name="常规 5 4 6 2 8" xfId="17474"/>
    <cellStyle name="常规 5 4 6 3" xfId="33200"/>
    <cellStyle name="常规 5 4 6 3 2" xfId="33201"/>
    <cellStyle name="常规 5 4 6 3 2 2" xfId="33202"/>
    <cellStyle name="常规 5 4 6 3 2 2 2" xfId="33203"/>
    <cellStyle name="常规 5 4 6 3 2 2 2 2" xfId="14893"/>
    <cellStyle name="常规 5 4 6 3 2 2 2 2 2" xfId="31910"/>
    <cellStyle name="常规 5 4 6 3 2 2 2 3" xfId="14896"/>
    <cellStyle name="常规 5 4 6 3 2 2 2 4" xfId="33204"/>
    <cellStyle name="常规 5 4 6 3 2 2 3" xfId="33206"/>
    <cellStyle name="常规 5 4 6 3 2 2 3 2" xfId="14912"/>
    <cellStyle name="常规 5 4 6 3 2 2 4" xfId="33207"/>
    <cellStyle name="常规 5 4 6 3 2 2 5" xfId="33208"/>
    <cellStyle name="常规 5 4 6 3 2 3" xfId="19616"/>
    <cellStyle name="常规 5 4 6 3 2 3 2" xfId="13058"/>
    <cellStyle name="常规 5 4 6 3 2 3 2 2" xfId="14969"/>
    <cellStyle name="常规 5 4 6 3 2 3 3" xfId="13066"/>
    <cellStyle name="常规 5 4 6 3 2 3 4" xfId="30101"/>
    <cellStyle name="常规 5 4 6 3 2 4" xfId="30642"/>
    <cellStyle name="常规 5 4 6 3 2 4 2" xfId="26081"/>
    <cellStyle name="常规 5 4 6 3 2 5" xfId="30644"/>
    <cellStyle name="常规 5 4 6 3 2 6" xfId="30646"/>
    <cellStyle name="常规 5 4 6 3 3" xfId="33209"/>
    <cellStyle name="常规 5 4 6 3 3 2" xfId="21144"/>
    <cellStyle name="常规 5 4 6 3 3 2 2" xfId="30795"/>
    <cellStyle name="常规 5 4 6 3 3 2 2 2" xfId="15058"/>
    <cellStyle name="常规 5 4 6 3 3 2 3" xfId="30797"/>
    <cellStyle name="常规 5 4 6 3 3 2 4" xfId="30800"/>
    <cellStyle name="常规 5 4 6 3 3 3" xfId="30650"/>
    <cellStyle name="常规 5 4 6 3 3 3 2" xfId="26231"/>
    <cellStyle name="常规 5 4 6 3 3 4" xfId="30652"/>
    <cellStyle name="常规 5 4 6 3 3 5" xfId="30654"/>
    <cellStyle name="常规 5 4 6 3 4" xfId="33210"/>
    <cellStyle name="常规 5 4 6 3 4 2" xfId="21147"/>
    <cellStyle name="常规 5 4 6 3 4 2 2" xfId="30805"/>
    <cellStyle name="常规 5 4 6 3 4 3" xfId="30657"/>
    <cellStyle name="常规 5 4 6 3 4 4" xfId="30659"/>
    <cellStyle name="常规 5 4 6 3 5" xfId="33211"/>
    <cellStyle name="常规 5 4 6 3 5 2" xfId="33212"/>
    <cellStyle name="常规 5 4 6 3 6" xfId="33213"/>
    <cellStyle name="常规 5 4 6 3 7" xfId="3156"/>
    <cellStyle name="常规 5 4 6 4" xfId="27254"/>
    <cellStyle name="常规 5 4 6 4 2" xfId="27256"/>
    <cellStyle name="常规 5 4 6 4 2 2" xfId="27258"/>
    <cellStyle name="常规 5 4 6 4 2 2 2" xfId="27260"/>
    <cellStyle name="常规 5 4 6 4 2 2 2 2" xfId="15515"/>
    <cellStyle name="常规 5 4 6 4 2 2 3" xfId="27266"/>
    <cellStyle name="常规 5 4 6 4 2 2 4" xfId="27270"/>
    <cellStyle name="常规 5 4 6 4 2 3" xfId="27273"/>
    <cellStyle name="常规 5 4 6 4 2 3 2" xfId="26635"/>
    <cellStyle name="常规 5 4 6 4 2 4" xfId="27294"/>
    <cellStyle name="常规 5 4 6 4 2 5" xfId="27305"/>
    <cellStyle name="常规 5 4 6 4 3" xfId="27317"/>
    <cellStyle name="常规 5 4 6 4 3 2" xfId="27319"/>
    <cellStyle name="常规 5 4 6 4 3 2 2" xfId="27321"/>
    <cellStyle name="常规 5 4 6 4 3 3" xfId="27330"/>
    <cellStyle name="常规 5 4 6 4 3 4" xfId="27335"/>
    <cellStyle name="常规 5 4 6 4 4" xfId="27344"/>
    <cellStyle name="常规 5 4 6 4 4 2" xfId="27346"/>
    <cellStyle name="常规 5 4 6 4 5" xfId="27356"/>
    <cellStyle name="常规 5 4 6 4 6" xfId="24596"/>
    <cellStyle name="常规 5 4 6 5" xfId="27360"/>
    <cellStyle name="常规 5 4 6 5 2" xfId="27362"/>
    <cellStyle name="常规 5 4 6 5 2 2" xfId="27364"/>
    <cellStyle name="常规 5 4 6 5 2 2 2" xfId="27366"/>
    <cellStyle name="常规 5 4 6 5 2 3" xfId="27373"/>
    <cellStyle name="常规 5 4 6 5 2 4" xfId="27378"/>
    <cellStyle name="常规 5 4 6 5 3" xfId="27383"/>
    <cellStyle name="常规 5 4 6 5 3 2" xfId="27385"/>
    <cellStyle name="常规 5 4 6 5 4" xfId="27395"/>
    <cellStyle name="常规 5 4 6 5 5" xfId="27399"/>
    <cellStyle name="常规 5 4 6 6" xfId="27402"/>
    <cellStyle name="常规 5 4 6 6 2" xfId="7253"/>
    <cellStyle name="常规 5 4 6 6 2 2" xfId="27404"/>
    <cellStyle name="常规 5 4 6 6 3" xfId="27419"/>
    <cellStyle name="常规 5 4 6 6 4" xfId="27423"/>
    <cellStyle name="常规 5 4 6 7" xfId="27427"/>
    <cellStyle name="常规 5 4 6 7 2" xfId="27429"/>
    <cellStyle name="常规 5 4 6 8" xfId="27437"/>
    <cellStyle name="常规 5 4 6 9" xfId="27440"/>
    <cellStyle name="常规 5 4 7" xfId="8179"/>
    <cellStyle name="常规 5 4 7 2" xfId="33214"/>
    <cellStyle name="常规 5 4 7 2 2" xfId="14494"/>
    <cellStyle name="常规 5 4 7 2 2 2" xfId="33215"/>
    <cellStyle name="常规 5 4 7 2 2 2 2" xfId="33216"/>
    <cellStyle name="常规 5 4 7 2 2 2 2 2" xfId="33217"/>
    <cellStyle name="常规 5 4 7 2 2 2 2 2 2" xfId="33218"/>
    <cellStyle name="常规 5 4 7 2 2 2 2 3" xfId="32176"/>
    <cellStyle name="常规 5 4 7 2 2 2 2 4" xfId="33219"/>
    <cellStyle name="常规 5 4 7 2 2 2 3" xfId="33220"/>
    <cellStyle name="常规 5 4 7 2 2 2 3 2" xfId="33221"/>
    <cellStyle name="常规 5 4 7 2 2 2 4" xfId="33222"/>
    <cellStyle name="常规 5 4 7 2 2 2 5" xfId="33223"/>
    <cellStyle name="常规 5 4 7 2 2 3" xfId="33224"/>
    <cellStyle name="常规 5 4 7 2 2 3 2" xfId="27716"/>
    <cellStyle name="常规 5 4 7 2 2 3 2 2" xfId="30533"/>
    <cellStyle name="常规 5 4 7 2 2 3 3" xfId="27720"/>
    <cellStyle name="常规 5 4 7 2 2 3 4" xfId="30537"/>
    <cellStyle name="常规 5 4 7 2 2 4" xfId="33225"/>
    <cellStyle name="常规 5 4 7 2 2 4 2" xfId="27769"/>
    <cellStyle name="常规 5 4 7 2 2 5" xfId="33226"/>
    <cellStyle name="常规 5 4 7 2 2 6" xfId="33227"/>
    <cellStyle name="常规 5 4 7 2 3" xfId="33228"/>
    <cellStyle name="常规 5 4 7 2 3 2" xfId="24383"/>
    <cellStyle name="常规 5 4 7 2 3 2 2" xfId="24385"/>
    <cellStyle name="常规 5 4 7 2 3 2 2 2" xfId="31359"/>
    <cellStyle name="常规 5 4 7 2 3 2 3" xfId="24388"/>
    <cellStyle name="常规 5 4 7 2 3 2 4" xfId="31360"/>
    <cellStyle name="常规 5 4 7 2 3 3" xfId="24391"/>
    <cellStyle name="常规 5 4 7 2 3 3 2" xfId="27919"/>
    <cellStyle name="常规 5 4 7 2 3 4" xfId="24393"/>
    <cellStyle name="常规 5 4 7 2 3 5" xfId="24395"/>
    <cellStyle name="常规 5 4 7 2 4" xfId="33229"/>
    <cellStyle name="常规 5 4 7 2 4 2" xfId="24399"/>
    <cellStyle name="常规 5 4 7 2 4 2 2" xfId="31366"/>
    <cellStyle name="常规 5 4 7 2 4 3" xfId="33230"/>
    <cellStyle name="常规 5 4 7 2 4 4" xfId="33231"/>
    <cellStyle name="常规 5 4 7 2 5" xfId="33232"/>
    <cellStyle name="常规 5 4 7 2 5 2" xfId="24403"/>
    <cellStyle name="常规 5 4 7 2 6" xfId="33233"/>
    <cellStyle name="常规 5 4 7 2 7" xfId="33234"/>
    <cellStyle name="常规 5 4 7 3" xfId="33236"/>
    <cellStyle name="常规 5 4 7 3 2" xfId="5229"/>
    <cellStyle name="常规 5 4 7 3 2 2" xfId="33237"/>
    <cellStyle name="常规 5 4 7 3 2 2 2" xfId="33238"/>
    <cellStyle name="常规 5 4 7 3 2 2 2 2" xfId="33239"/>
    <cellStyle name="常规 5 4 7 3 2 2 3" xfId="33240"/>
    <cellStyle name="常规 5 4 7 3 2 2 4" xfId="33241"/>
    <cellStyle name="常规 5 4 7 3 2 3" xfId="30664"/>
    <cellStyle name="常规 5 4 7 3 2 3 2" xfId="28195"/>
    <cellStyle name="常规 5 4 7 3 2 4" xfId="30667"/>
    <cellStyle name="常规 5 4 7 3 2 5" xfId="30669"/>
    <cellStyle name="常规 5 4 7 3 3" xfId="33242"/>
    <cellStyle name="常规 5 4 7 3 3 2" xfId="24410"/>
    <cellStyle name="常规 5 4 7 3 3 2 2" xfId="3472"/>
    <cellStyle name="常规 5 4 7 3 3 3" xfId="30672"/>
    <cellStyle name="常规 5 4 7 3 3 4" xfId="30674"/>
    <cellStyle name="常规 5 4 7 3 4" xfId="18056"/>
    <cellStyle name="常规 5 4 7 3 4 2" xfId="18058"/>
    <cellStyle name="常规 5 4 7 3 5" xfId="18061"/>
    <cellStyle name="常规 5 4 7 3 6" xfId="18063"/>
    <cellStyle name="常规 5 4 7 4" xfId="27447"/>
    <cellStyle name="常规 5 4 7 4 2" xfId="27450"/>
    <cellStyle name="常规 5 4 7 4 2 2" xfId="27452"/>
    <cellStyle name="常规 5 4 7 4 2 2 2" xfId="27454"/>
    <cellStyle name="常规 5 4 7 4 2 3" xfId="27463"/>
    <cellStyle name="常规 5 4 7 4 2 4" xfId="27475"/>
    <cellStyle name="常规 5 4 7 4 3" xfId="27480"/>
    <cellStyle name="常规 5 4 7 4 3 2" xfId="27482"/>
    <cellStyle name="常规 5 4 7 4 4" xfId="18066"/>
    <cellStyle name="常规 5 4 7 4 5" xfId="27494"/>
    <cellStyle name="常规 5 4 7 5" xfId="27496"/>
    <cellStyle name="常规 5 4 7 5 2" xfId="27498"/>
    <cellStyle name="常规 5 4 7 5 2 2" xfId="27500"/>
    <cellStyle name="常规 5 4 7 5 3" xfId="27511"/>
    <cellStyle name="常规 5 4 7 5 4" xfId="27514"/>
    <cellStyle name="常规 5 4 7 6" xfId="27516"/>
    <cellStyle name="常规 5 4 7 6 2" xfId="27518"/>
    <cellStyle name="常规 5 4 7 7" xfId="27524"/>
    <cellStyle name="常规 5 4 7 8" xfId="27529"/>
    <cellStyle name="常规 5 4 8" xfId="8181"/>
    <cellStyle name="常规 5 4 8 2" xfId="32936"/>
    <cellStyle name="常规 5 4 8 2 2" xfId="33243"/>
    <cellStyle name="常规 5 4 8 2 2 2" xfId="33245"/>
    <cellStyle name="常规 5 4 8 2 2 2 2" xfId="33247"/>
    <cellStyle name="常规 5 4 8 2 2 2 2 2" xfId="33249"/>
    <cellStyle name="常规 5 4 8 2 2 2 3" xfId="33251"/>
    <cellStyle name="常规 5 4 8 2 2 2 4" xfId="33253"/>
    <cellStyle name="常规 5 4 8 2 2 3" xfId="33255"/>
    <cellStyle name="常规 5 4 8 2 2 3 2" xfId="28660"/>
    <cellStyle name="常规 5 4 8 2 2 4" xfId="33257"/>
    <cellStyle name="常规 5 4 8 2 2 5" xfId="33259"/>
    <cellStyle name="常规 5 4 8 2 3" xfId="92"/>
    <cellStyle name="常规 5 4 8 2 3 2" xfId="24428"/>
    <cellStyle name="常规 5 4 8 2 3 2 2" xfId="31610"/>
    <cellStyle name="常规 5 4 8 2 3 3" xfId="33262"/>
    <cellStyle name="常规 5 4 8 2 3 4" xfId="33265"/>
    <cellStyle name="常规 5 4 8 2 4" xfId="33266"/>
    <cellStyle name="常规 5 4 8 2 4 2" xfId="24434"/>
    <cellStyle name="常规 5 4 8 2 5" xfId="33267"/>
    <cellStyle name="常规 5 4 8 2 6" xfId="33268"/>
    <cellStyle name="常规 5 4 8 3" xfId="33269"/>
    <cellStyle name="常规 5 4 8 3 2" xfId="33270"/>
    <cellStyle name="常规 5 4 8 3 2 2" xfId="28646"/>
    <cellStyle name="常规 5 4 8 3 2 2 2" xfId="28650"/>
    <cellStyle name="常规 5 4 8 3 2 3" xfId="28653"/>
    <cellStyle name="常规 5 4 8 3 2 4" xfId="28658"/>
    <cellStyle name="常规 5 4 8 3 3" xfId="13333"/>
    <cellStyle name="常规 5 4 8 3 3 2" xfId="28708"/>
    <cellStyle name="常规 5 4 8 3 4" xfId="18075"/>
    <cellStyle name="常规 5 4 8 3 5" xfId="3401"/>
    <cellStyle name="常规 5 4 8 4" xfId="27534"/>
    <cellStyle name="常规 5 4 8 4 2" xfId="27536"/>
    <cellStyle name="常规 5 4 8 4 2 2" xfId="27540"/>
    <cellStyle name="常规 5 4 8 4 3" xfId="27552"/>
    <cellStyle name="常规 5 4 8 4 4" xfId="27558"/>
    <cellStyle name="常规 5 4 8 5" xfId="27562"/>
    <cellStyle name="常规 5 4 8 5 2" xfId="27564"/>
    <cellStyle name="常规 5 4 8 6" xfId="27568"/>
    <cellStyle name="常规 5 4 8 7" xfId="27571"/>
    <cellStyle name="常规 5 4 9" xfId="33271"/>
    <cellStyle name="常规 5 4 9 2" xfId="33272"/>
    <cellStyle name="常规 5 4 9 2 2" xfId="33273"/>
    <cellStyle name="常规 5 4 9 2 2 2" xfId="33275"/>
    <cellStyle name="常规 5 4 9 2 2 2 2" xfId="33276"/>
    <cellStyle name="常规 5 4 9 2 2 3" xfId="33278"/>
    <cellStyle name="常规 5 4 9 2 2 4" xfId="33279"/>
    <cellStyle name="常规 5 4 9 2 3" xfId="33280"/>
    <cellStyle name="常规 5 4 9 2 3 2" xfId="33282"/>
    <cellStyle name="常规 5 4 9 2 4" xfId="33283"/>
    <cellStyle name="常规 5 4 9 2 5" xfId="33284"/>
    <cellStyle name="常规 5 4 9 3" xfId="16027"/>
    <cellStyle name="常规 5 4 9 3 2" xfId="33285"/>
    <cellStyle name="常规 5 4 9 3 2 2" xfId="28892"/>
    <cellStyle name="常规 5 4 9 3 3" xfId="20668"/>
    <cellStyle name="常规 5 4 9 3 4" xfId="33287"/>
    <cellStyle name="常规 5 4 9 4" xfId="2160"/>
    <cellStyle name="常规 5 4 9 4 2" xfId="27577"/>
    <cellStyle name="常规 5 4 9 5" xfId="27582"/>
    <cellStyle name="常规 5 4 9 6" xfId="27586"/>
    <cellStyle name="常规 5 4_Sheet2" xfId="13855"/>
    <cellStyle name="常规 5 5" xfId="33288"/>
    <cellStyle name="常规 5 5 10" xfId="33289"/>
    <cellStyle name="常规 5 5 10 2" xfId="33290"/>
    <cellStyle name="常规 5 5 10 2 2" xfId="33291"/>
    <cellStyle name="常规 5 5 10 3" xfId="27598"/>
    <cellStyle name="常规 5 5 10 4" xfId="27723"/>
    <cellStyle name="常规 5 5 11" xfId="33292"/>
    <cellStyle name="常规 5 5 11 2" xfId="33293"/>
    <cellStyle name="常规 5 5 12" xfId="28275"/>
    <cellStyle name="常规 5 5 13" xfId="33294"/>
    <cellStyle name="常规 5 5 14" xfId="33295"/>
    <cellStyle name="常规 5 5 15" xfId="33296"/>
    <cellStyle name="常规 5 5 16" xfId="33297"/>
    <cellStyle name="常规 5 5 2" xfId="29670"/>
    <cellStyle name="常规 5 5 2 10" xfId="2532"/>
    <cellStyle name="常规 5 5 2 10 2" xfId="33298"/>
    <cellStyle name="常规 5 5 2 11" xfId="1698"/>
    <cellStyle name="常规 5 5 2 12" xfId="33299"/>
    <cellStyle name="常规 5 5 2 2" xfId="29673"/>
    <cellStyle name="常规 5 5 2 2 10" xfId="33300"/>
    <cellStyle name="常规 5 5 2 2 11" xfId="32128"/>
    <cellStyle name="常规 5 5 2 2 2" xfId="33303"/>
    <cellStyle name="常规 5 5 2 2 2 2" xfId="33304"/>
    <cellStyle name="常规 5 5 2 2 2 2 2" xfId="33306"/>
    <cellStyle name="常规 5 5 2 2 2 2 2 2" xfId="33307"/>
    <cellStyle name="常规 5 5 2 2 2 2 2 2 2" xfId="33308"/>
    <cellStyle name="常规 5 5 2 2 2 2 2 2 2 2" xfId="33309"/>
    <cellStyle name="常规 5 5 2 2 2 2 2 2 2 2 2" xfId="33310"/>
    <cellStyle name="常规 5 5 2 2 2 2 2 2 2 2 2 2" xfId="33311"/>
    <cellStyle name="常规 5 5 2 2 2 2 2 2 2 2 3" xfId="33312"/>
    <cellStyle name="常规 5 5 2 2 2 2 2 2 2 2 4" xfId="33313"/>
    <cellStyle name="常规 5 5 2 2 2 2 2 2 2 3" xfId="26474"/>
    <cellStyle name="常规 5 5 2 2 2 2 2 2 2 3 2" xfId="33314"/>
    <cellStyle name="常规 5 5 2 2 2 2 2 2 2 4" xfId="33175"/>
    <cellStyle name="常规 5 5 2 2 2 2 2 2 2 5" xfId="23356"/>
    <cellStyle name="常规 5 5 2 2 2 2 2 2 3" xfId="33315"/>
    <cellStyle name="常规 5 5 2 2 2 2 2 2 3 2" xfId="87"/>
    <cellStyle name="常规 5 5 2 2 2 2 2 2 3 2 2" xfId="33316"/>
    <cellStyle name="常规 5 5 2 2 2 2 2 2 3 3" xfId="33317"/>
    <cellStyle name="常规 5 5 2 2 2 2 2 2 3 4" xfId="33319"/>
    <cellStyle name="常规 5 5 2 2 2 2 2 2 4" xfId="32030"/>
    <cellStyle name="常规 5 5 2 2 2 2 2 2 4 2" xfId="32032"/>
    <cellStyle name="常规 5 5 2 2 2 2 2 2 5" xfId="21010"/>
    <cellStyle name="常规 5 5 2 2 2 2 2 2 6" xfId="21017"/>
    <cellStyle name="常规 5 5 2 2 2 2 2 3" xfId="33320"/>
    <cellStyle name="常规 5 5 2 2 2 2 2 3 2" xfId="24051"/>
    <cellStyle name="常规 5 5 2 2 2 2 2 3 2 2" xfId="6448"/>
    <cellStyle name="常规 5 5 2 2 2 2 2 3 2 2 2" xfId="33321"/>
    <cellStyle name="常规 5 5 2 2 2 2 2 3 2 3" xfId="6450"/>
    <cellStyle name="常规 5 5 2 2 2 2 2 3 2 4" xfId="33322"/>
    <cellStyle name="常规 5 5 2 2 2 2 2 3 3" xfId="24053"/>
    <cellStyle name="常规 5 5 2 2 2 2 2 3 3 2" xfId="3160"/>
    <cellStyle name="常规 5 5 2 2 2 2 2 3 4" xfId="32037"/>
    <cellStyle name="常规 5 5 2 2 2 2 2 3 5" xfId="21023"/>
    <cellStyle name="常规 5 5 2 2 2 2 2 4" xfId="7475"/>
    <cellStyle name="常规 5 5 2 2 2 2 2 4 2" xfId="33323"/>
    <cellStyle name="常规 5 5 2 2 2 2 2 4 2 2" xfId="33324"/>
    <cellStyle name="常规 5 5 2 2 2 2 2 4 3" xfId="33326"/>
    <cellStyle name="常规 5 5 2 2 2 2 2 4 4" xfId="32045"/>
    <cellStyle name="常规 5 5 2 2 2 2 2 5" xfId="33327"/>
    <cellStyle name="常规 5 5 2 2 2 2 2 5 2" xfId="33328"/>
    <cellStyle name="常规 5 5 2 2 2 2 2 6" xfId="33330"/>
    <cellStyle name="常规 5 5 2 2 2 2 2 7" xfId="33331"/>
    <cellStyle name="常规 5 5 2 2 2 2 3" xfId="22531"/>
    <cellStyle name="常规 5 5 2 2 2 2 3 2" xfId="22534"/>
    <cellStyle name="常规 5 5 2 2 2 2 3 2 2" xfId="22536"/>
    <cellStyle name="常规 5 5 2 2 2 2 3 2 2 2" xfId="22538"/>
    <cellStyle name="常规 5 5 2 2 2 2 3 2 2 2 2" xfId="33332"/>
    <cellStyle name="常规 5 5 2 2 2 2 3 2 2 3" xfId="33334"/>
    <cellStyle name="常规 5 5 2 2 2 2 3 2 2 4" xfId="29984"/>
    <cellStyle name="常规 5 5 2 2 2 2 3 2 3" xfId="22542"/>
    <cellStyle name="常规 5 5 2 2 2 2 3 2 3 2" xfId="31328"/>
    <cellStyle name="常规 5 5 2 2 2 2 3 2 4" xfId="22546"/>
    <cellStyle name="常规 5 5 2 2 2 2 3 2 5" xfId="21038"/>
    <cellStyle name="常规 5 5 2 2 2 2 3 3" xfId="22548"/>
    <cellStyle name="常规 5 5 2 2 2 2 3 3 2" xfId="22550"/>
    <cellStyle name="常规 5 5 2 2 2 2 3 3 2 2" xfId="7537"/>
    <cellStyle name="常规 5 5 2 2 2 2 3 3 3" xfId="31331"/>
    <cellStyle name="常规 5 5 2 2 2 2 3 3 4" xfId="32053"/>
    <cellStyle name="常规 5 5 2 2 2 2 3 4" xfId="22552"/>
    <cellStyle name="常规 5 5 2 2 2 2 3 4 2" xfId="33336"/>
    <cellStyle name="常规 5 5 2 2 2 2 3 5" xfId="22554"/>
    <cellStyle name="常规 5 5 2 2 2 2 3 6" xfId="6153"/>
    <cellStyle name="常规 5 5 2 2 2 2 4" xfId="9649"/>
    <cellStyle name="常规 5 5 2 2 2 2 4 2" xfId="22556"/>
    <cellStyle name="常规 5 5 2 2 2 2 4 2 2" xfId="22559"/>
    <cellStyle name="常规 5 5 2 2 2 2 4 2 2 2" xfId="33337"/>
    <cellStyle name="常规 5 5 2 2 2 2 4 2 3" xfId="30434"/>
    <cellStyle name="常规 5 5 2 2 2 2 4 2 4" xfId="28606"/>
    <cellStyle name="常规 5 5 2 2 2 2 4 3" xfId="22563"/>
    <cellStyle name="常规 5 5 2 2 2 2 4 3 2" xfId="31030"/>
    <cellStyle name="常规 5 5 2 2 2 2 4 4" xfId="22566"/>
    <cellStyle name="常规 5 5 2 2 2 2 4 5" xfId="24996"/>
    <cellStyle name="常规 5 5 2 2 2 2 5" xfId="22568"/>
    <cellStyle name="常规 5 5 2 2 2 2 5 2" xfId="22570"/>
    <cellStyle name="常规 5 5 2 2 2 2 5 2 2" xfId="33338"/>
    <cellStyle name="常规 5 5 2 2 2 2 5 3" xfId="33339"/>
    <cellStyle name="常规 5 5 2 2 2 2 5 4" xfId="33340"/>
    <cellStyle name="常规 5 5 2 2 2 2 6" xfId="22573"/>
    <cellStyle name="常规 5 5 2 2 2 2 6 2" xfId="15315"/>
    <cellStyle name="常规 5 5 2 2 2 2 7" xfId="22577"/>
    <cellStyle name="常规 5 5 2 2 2 2 8" xfId="29073"/>
    <cellStyle name="常规 5 5 2 2 2 3" xfId="33341"/>
    <cellStyle name="常规 5 5 2 2 2 3 2" xfId="33342"/>
    <cellStyle name="常规 5 5 2 2 2 3 2 2" xfId="33343"/>
    <cellStyle name="常规 5 5 2 2 2 3 2 2 2" xfId="33344"/>
    <cellStyle name="常规 5 5 2 2 2 3 2 2 2 2" xfId="29917"/>
    <cellStyle name="常规 5 5 2 2 2 3 2 2 2 2 2" xfId="33345"/>
    <cellStyle name="常规 5 5 2 2 2 3 2 2 2 3" xfId="33347"/>
    <cellStyle name="常规 5 5 2 2 2 3 2 2 2 4" xfId="33348"/>
    <cellStyle name="常规 5 5 2 2 2 3 2 2 3" xfId="33349"/>
    <cellStyle name="常规 5 5 2 2 2 3 2 2 3 2" xfId="33350"/>
    <cellStyle name="常规 5 5 2 2 2 3 2 2 4" xfId="32087"/>
    <cellStyle name="常规 5 5 2 2 2 3 2 2 5" xfId="21050"/>
    <cellStyle name="常规 5 5 2 2 2 3 2 3" xfId="21374"/>
    <cellStyle name="常规 5 5 2 2 2 3 2 3 2" xfId="21376"/>
    <cellStyle name="常规 5 5 2 2 2 3 2 3 2 2" xfId="21378"/>
    <cellStyle name="常规 5 5 2 2 2 3 2 3 3" xfId="21381"/>
    <cellStyle name="常规 5 5 2 2 2 3 2 3 4" xfId="21384"/>
    <cellStyle name="常规 5 5 2 2 2 3 2 4" xfId="7524"/>
    <cellStyle name="常规 5 5 2 2 2 3 2 4 2" xfId="16241"/>
    <cellStyle name="常规 5 5 2 2 2 3 2 5" xfId="16244"/>
    <cellStyle name="常规 5 5 2 2 2 3 2 6" xfId="16247"/>
    <cellStyle name="常规 5 5 2 2 2 3 3" xfId="22583"/>
    <cellStyle name="常规 5 5 2 2 2 3 3 2" xfId="22586"/>
    <cellStyle name="常规 5 5 2 2 2 3 3 2 2" xfId="19700"/>
    <cellStyle name="常规 5 5 2 2 2 3 3 2 2 2" xfId="30050"/>
    <cellStyle name="常规 5 5 2 2 2 3 3 2 3" xfId="31340"/>
    <cellStyle name="常规 5 5 2 2 2 3 3 2 4" xfId="32096"/>
    <cellStyle name="常规 5 5 2 2 2 3 3 3" xfId="21387"/>
    <cellStyle name="常规 5 5 2 2 2 3 3 3 2" xfId="21390"/>
    <cellStyle name="常规 5 5 2 2 2 3 3 4" xfId="16250"/>
    <cellStyle name="常规 5 5 2 2 2 3 3 5" xfId="21392"/>
    <cellStyle name="常规 5 5 2 2 2 3 4" xfId="22588"/>
    <cellStyle name="常规 5 5 2 2 2 3 4 2" xfId="9723"/>
    <cellStyle name="常规 5 5 2 2 2 3 4 2 2" xfId="33351"/>
    <cellStyle name="常规 5 5 2 2 2 3 4 3" xfId="21395"/>
    <cellStyle name="常规 5 5 2 2 2 3 4 4" xfId="33353"/>
    <cellStyle name="常规 5 5 2 2 2 3 5" xfId="22590"/>
    <cellStyle name="常规 5 5 2 2 2 3 5 2" xfId="33354"/>
    <cellStyle name="常规 5 5 2 2 2 3 6" xfId="12749"/>
    <cellStyle name="常规 5 5 2 2 2 3 7" xfId="12760"/>
    <cellStyle name="常规 5 5 2 2 2 4" xfId="33355"/>
    <cellStyle name="常规 5 5 2 2 2 4 2" xfId="33356"/>
    <cellStyle name="常规 5 5 2 2 2 4 2 2" xfId="33357"/>
    <cellStyle name="常规 5 5 2 2 2 4 2 2 2" xfId="33358"/>
    <cellStyle name="常规 5 5 2 2 2 4 2 2 2 2" xfId="30459"/>
    <cellStyle name="常规 5 5 2 2 2 4 2 2 3" xfId="33301"/>
    <cellStyle name="常规 5 5 2 2 2 4 2 2 4" xfId="32129"/>
    <cellStyle name="常规 5 5 2 2 2 4 2 3" xfId="21402"/>
    <cellStyle name="常规 5 5 2 2 2 4 2 3 2" xfId="21404"/>
    <cellStyle name="常规 5 5 2 2 2 4 2 4" xfId="16275"/>
    <cellStyle name="常规 5 5 2 2 2 4 2 5" xfId="21406"/>
    <cellStyle name="常规 5 5 2 2 2 4 3" xfId="22592"/>
    <cellStyle name="常规 5 5 2 2 2 4 3 2" xfId="22594"/>
    <cellStyle name="常规 5 5 2 2 2 4 3 2 2" xfId="33359"/>
    <cellStyle name="常规 5 5 2 2 2 4 3 3" xfId="21409"/>
    <cellStyle name="常规 5 5 2 2 2 4 3 4" xfId="33360"/>
    <cellStyle name="常规 5 5 2 2 2 4 4" xfId="22596"/>
    <cellStyle name="常规 5 5 2 2 2 4 4 2" xfId="33361"/>
    <cellStyle name="常规 5 5 2 2 2 4 5" xfId="22598"/>
    <cellStyle name="常规 5 5 2 2 2 4 6" xfId="12770"/>
    <cellStyle name="常规 5 5 2 2 2 5" xfId="33362"/>
    <cellStyle name="常规 5 5 2 2 2 5 2" xfId="33363"/>
    <cellStyle name="常规 5 5 2 2 2 5 2 2" xfId="33364"/>
    <cellStyle name="常规 5 5 2 2 2 5 2 2 2" xfId="33365"/>
    <cellStyle name="常规 5 5 2 2 2 5 2 3" xfId="21417"/>
    <cellStyle name="常规 5 5 2 2 2 5 2 4" xfId="33366"/>
    <cellStyle name="常规 5 5 2 2 2 5 3" xfId="22600"/>
    <cellStyle name="常规 5 5 2 2 2 5 3 2" xfId="33367"/>
    <cellStyle name="常规 5 5 2 2 2 5 4" xfId="152"/>
    <cellStyle name="常规 5 5 2 2 2 5 5" xfId="33368"/>
    <cellStyle name="常规 5 5 2 2 2 6" xfId="33369"/>
    <cellStyle name="常规 5 5 2 2 2 6 2" xfId="33370"/>
    <cellStyle name="常规 5 5 2 2 2 6 2 2" xfId="510"/>
    <cellStyle name="常规 5 5 2 2 2 6 3" xfId="33371"/>
    <cellStyle name="常规 5 5 2 2 2 6 4" xfId="33372"/>
    <cellStyle name="常规 5 5 2 2 2 7" xfId="33373"/>
    <cellStyle name="常规 5 5 2 2 2 7 2" xfId="33374"/>
    <cellStyle name="常规 5 5 2 2 2 8" xfId="33375"/>
    <cellStyle name="常规 5 5 2 2 2 9" xfId="33376"/>
    <cellStyle name="常规 5 5 2 2 3" xfId="33379"/>
    <cellStyle name="常规 5 5 2 2 3 2" xfId="33380"/>
    <cellStyle name="常规 5 5 2 2 3 2 2" xfId="23791"/>
    <cellStyle name="常规 5 5 2 2 3 2 2 2" xfId="33381"/>
    <cellStyle name="常规 5 5 2 2 3 2 2 2 2" xfId="33382"/>
    <cellStyle name="常规 5 5 2 2 3 2 2 2 2 2" xfId="33383"/>
    <cellStyle name="常规 5 5 2 2 3 2 2 2 2 2 2" xfId="33384"/>
    <cellStyle name="常规 5 5 2 2 3 2 2 2 2 2 2 2" xfId="23207"/>
    <cellStyle name="常规 5 5 2 2 3 2 2 2 2 2 3" xfId="33385"/>
    <cellStyle name="常规 5 5 2 2 3 2 2 2 2 2 4" xfId="33386"/>
    <cellStyle name="常规 5 5 2 2 3 2 2 2 2 3" xfId="33388"/>
    <cellStyle name="常规 5 5 2 2 3 2 2 2 2 3 2" xfId="24547"/>
    <cellStyle name="常规 5 5 2 2 3 2 2 2 2 4" xfId="33390"/>
    <cellStyle name="常规 5 5 2 2 3 2 2 2 2 5" xfId="33392"/>
    <cellStyle name="常规 5 5 2 2 3 2 2 2 3" xfId="33393"/>
    <cellStyle name="常规 5 5 2 2 3 2 2 2 3 2" xfId="33394"/>
    <cellStyle name="常规 5 5 2 2 3 2 2 2 3 2 2" xfId="33395"/>
    <cellStyle name="常规 5 5 2 2 3 2 2 2 3 3" xfId="33396"/>
    <cellStyle name="常规 5 5 2 2 3 2 2 2 3 4" xfId="33399"/>
    <cellStyle name="常规 5 5 2 2 3 2 2 2 4" xfId="32201"/>
    <cellStyle name="常规 5 5 2 2 3 2 2 2 4 2" xfId="33400"/>
    <cellStyle name="常规 5 5 2 2 3 2 2 2 5" xfId="21095"/>
    <cellStyle name="常规 5 5 2 2 3 2 2 2 6" xfId="33401"/>
    <cellStyle name="常规 5 5 2 2 3 2 2 3" xfId="33402"/>
    <cellStyle name="常规 5 5 2 2 3 2 2 3 2" xfId="33403"/>
    <cellStyle name="常规 5 5 2 2 3 2 2 3 2 2" xfId="33404"/>
    <cellStyle name="常规 5 5 2 2 3 2 2 3 2 2 2" xfId="27838"/>
    <cellStyle name="常规 5 5 2 2 3 2 2 3 2 3" xfId="33405"/>
    <cellStyle name="常规 5 5 2 2 3 2 2 3 2 4" xfId="33407"/>
    <cellStyle name="常规 5 5 2 2 3 2 2 3 3" xfId="33408"/>
    <cellStyle name="常规 5 5 2 2 3 2 2 3 3 2" xfId="33409"/>
    <cellStyle name="常规 5 5 2 2 3 2 2 3 4" xfId="33410"/>
    <cellStyle name="常规 5 5 2 2 3 2 2 3 5" xfId="33411"/>
    <cellStyle name="常规 5 5 2 2 3 2 2 4" xfId="33412"/>
    <cellStyle name="常规 5 5 2 2 3 2 2 4 2" xfId="12245"/>
    <cellStyle name="常规 5 5 2 2 3 2 2 4 2 2" xfId="16142"/>
    <cellStyle name="常规 5 5 2 2 3 2 2 4 3" xfId="12249"/>
    <cellStyle name="常规 5 5 2 2 3 2 2 4 4" xfId="33414"/>
    <cellStyle name="常规 5 5 2 2 3 2 2 5" xfId="33415"/>
    <cellStyle name="常规 5 5 2 2 3 2 2 5 2" xfId="33416"/>
    <cellStyle name="常规 5 5 2 2 3 2 2 6" xfId="33417"/>
    <cellStyle name="常规 5 5 2 2 3 2 2 7" xfId="31758"/>
    <cellStyle name="常规 5 5 2 2 3 2 3" xfId="22609"/>
    <cellStyle name="常规 5 5 2 2 3 2 3 2" xfId="2683"/>
    <cellStyle name="常规 5 5 2 2 3 2 3 2 2" xfId="22613"/>
    <cellStyle name="常规 5 5 2 2 3 2 3 2 2 2" xfId="27157"/>
    <cellStyle name="常规 5 5 2 2 3 2 3 2 2 2 2" xfId="27161"/>
    <cellStyle name="常规 5 5 2 2 3 2 3 2 2 3" xfId="27209"/>
    <cellStyle name="常规 5 5 2 2 3 2 3 2 2 4" xfId="27232"/>
    <cellStyle name="常规 5 5 2 2 3 2 3 2 3" xfId="31358"/>
    <cellStyle name="常规 5 5 2 2 3 2 3 2 3 2" xfId="27401"/>
    <cellStyle name="常规 5 5 2 2 3 2 3 2 4" xfId="33418"/>
    <cellStyle name="常规 5 5 2 2 3 2 3 2 5" xfId="33419"/>
    <cellStyle name="常规 5 5 2 2 3 2 3 3" xfId="18517"/>
    <cellStyle name="常规 5 5 2 2 3 2 3 3 2" xfId="33420"/>
    <cellStyle name="常规 5 5 2 2 3 2 3 3 2 2" xfId="28442"/>
    <cellStyle name="常规 5 5 2 2 3 2 3 3 3" xfId="33421"/>
    <cellStyle name="常规 5 5 2 2 3 2 3 3 4" xfId="33422"/>
    <cellStyle name="常规 5 5 2 2 3 2 3 4" xfId="22615"/>
    <cellStyle name="常规 5 5 2 2 3 2 3 4 2" xfId="33423"/>
    <cellStyle name="常规 5 5 2 2 3 2 3 5" xfId="33424"/>
    <cellStyle name="常规 5 5 2 2 3 2 3 6" xfId="33426"/>
    <cellStyle name="常规 5 5 2 2 3 2 4" xfId="22617"/>
    <cellStyle name="常规 5 5 2 2 3 2 4 2" xfId="18526"/>
    <cellStyle name="常规 5 5 2 2 3 2 4 2 2" xfId="32151"/>
    <cellStyle name="常规 5 5 2 2 3 2 4 2 2 2" xfId="32153"/>
    <cellStyle name="常规 5 5 2 2 3 2 4 2 3" xfId="30555"/>
    <cellStyle name="常规 5 5 2 2 3 2 4 2 4" xfId="32155"/>
    <cellStyle name="常规 5 5 2 2 3 2 4 3" xfId="15225"/>
    <cellStyle name="常规 5 5 2 2 3 2 4 3 2" xfId="15228"/>
    <cellStyle name="常规 5 5 2 2 3 2 4 4" xfId="15358"/>
    <cellStyle name="常规 5 5 2 2 3 2 4 5" xfId="15429"/>
    <cellStyle name="常规 5 5 2 2 3 2 5" xfId="22619"/>
    <cellStyle name="常规 5 5 2 2 3 2 5 2" xfId="19077"/>
    <cellStyle name="常规 5 5 2 2 3 2 5 2 2" xfId="32158"/>
    <cellStyle name="常规 5 5 2 2 3 2 5 3" xfId="15465"/>
    <cellStyle name="常规 5 5 2 2 3 2 5 4" xfId="15530"/>
    <cellStyle name="常规 5 5 2 2 3 2 6" xfId="22622"/>
    <cellStyle name="常规 5 5 2 2 3 2 6 2" xfId="15395"/>
    <cellStyle name="常规 5 5 2 2 3 2 7" xfId="29082"/>
    <cellStyle name="常规 5 5 2 2 3 2 8" xfId="29084"/>
    <cellStyle name="常规 5 5 2 2 3 3" xfId="33427"/>
    <cellStyle name="常规 5 5 2 2 3 3 2" xfId="23808"/>
    <cellStyle name="常规 5 5 2 2 3 3 2 2" xfId="33428"/>
    <cellStyle name="常规 5 5 2 2 3 3 2 2 2" xfId="33429"/>
    <cellStyle name="常规 5 5 2 2 3 3 2 2 2 2" xfId="20817"/>
    <cellStyle name="常规 5 5 2 2 3 3 2 2 2 2 2" xfId="33430"/>
    <cellStyle name="常规 5 5 2 2 3 3 2 2 2 3" xfId="33431"/>
    <cellStyle name="常规 5 5 2 2 3 3 2 2 2 4" xfId="33433"/>
    <cellStyle name="常规 5 5 2 2 3 3 2 2 3" xfId="33434"/>
    <cellStyle name="常规 5 5 2 2 3 3 2 2 3 2" xfId="33435"/>
    <cellStyle name="常规 5 5 2 2 3 3 2 2 4" xfId="33436"/>
    <cellStyle name="常规 5 5 2 2 3 3 2 2 5" xfId="17560"/>
    <cellStyle name="常规 5 5 2 2 3 3 2 3" xfId="21427"/>
    <cellStyle name="常规 5 5 2 2 3 3 2 3 2" xfId="21429"/>
    <cellStyle name="常规 5 5 2 2 3 3 2 3 2 2" xfId="33437"/>
    <cellStyle name="常规 5 5 2 2 3 3 2 3 3" xfId="33438"/>
    <cellStyle name="常规 5 5 2 2 3 3 2 3 4" xfId="33439"/>
    <cellStyle name="常规 5 5 2 2 3 3 2 4" xfId="16328"/>
    <cellStyle name="常规 5 5 2 2 3 3 2 4 2" xfId="13521"/>
    <cellStyle name="常规 5 5 2 2 3 3 2 5" xfId="21431"/>
    <cellStyle name="常规 5 5 2 2 3 3 2 6" xfId="33440"/>
    <cellStyle name="常规 5 5 2 2 3 3 3" xfId="22626"/>
    <cellStyle name="常规 5 5 2 2 3 3 3 2" xfId="18546"/>
    <cellStyle name="常规 5 5 2 2 3 3 3 2 2" xfId="33121"/>
    <cellStyle name="常规 5 5 2 2 3 3 3 2 2 2" xfId="33441"/>
    <cellStyle name="常规 5 5 2 2 3 3 3 2 3" xfId="2526"/>
    <cellStyle name="常规 5 5 2 2 3 3 3 2 4" xfId="33442"/>
    <cellStyle name="常规 5 5 2 2 3 3 3 3" xfId="21434"/>
    <cellStyle name="常规 5 5 2 2 3 3 3 3 2" xfId="33443"/>
    <cellStyle name="常规 5 5 2 2 3 3 3 4" xfId="33444"/>
    <cellStyle name="常规 5 5 2 2 3 3 3 5" xfId="33445"/>
    <cellStyle name="常规 5 5 2 2 3 3 4" xfId="22628"/>
    <cellStyle name="常规 5 5 2 2 3 3 4 2" xfId="32163"/>
    <cellStyle name="常规 5 5 2 2 3 3 4 2 2" xfId="32165"/>
    <cellStyle name="常规 5 5 2 2 3 3 4 3" xfId="15713"/>
    <cellStyle name="常规 5 5 2 2 3 3 4 4" xfId="15734"/>
    <cellStyle name="常规 5 5 2 2 3 3 5" xfId="22630"/>
    <cellStyle name="常规 5 5 2 2 3 3 5 2" xfId="32169"/>
    <cellStyle name="常规 5 5 2 2 3 3 6" xfId="12792"/>
    <cellStyle name="常规 5 5 2 2 3 3 7" xfId="12798"/>
    <cellStyle name="常规 5 5 2 2 3 4" xfId="33446"/>
    <cellStyle name="常规 5 5 2 2 3 4 2" xfId="33447"/>
    <cellStyle name="常规 5 5 2 2 3 4 2 2" xfId="33448"/>
    <cellStyle name="常规 5 5 2 2 3 4 2 2 2" xfId="33449"/>
    <cellStyle name="常规 5 5 2 2 3 4 2 2 2 2" xfId="20422"/>
    <cellStyle name="常规 5 5 2 2 3 4 2 2 3" xfId="33450"/>
    <cellStyle name="常规 5 5 2 2 3 4 2 2 4" xfId="33451"/>
    <cellStyle name="常规 5 5 2 2 3 4 2 3" xfId="21438"/>
    <cellStyle name="常规 5 5 2 2 3 4 2 3 2" xfId="33452"/>
    <cellStyle name="常规 5 5 2 2 3 4 2 4" xfId="33453"/>
    <cellStyle name="常规 5 5 2 2 3 4 2 5" xfId="33454"/>
    <cellStyle name="常规 5 5 2 2 3 4 3" xfId="22633"/>
    <cellStyle name="常规 5 5 2 2 3 4 3 2" xfId="4172"/>
    <cellStyle name="常规 5 5 2 2 3 4 3 2 2" xfId="5546"/>
    <cellStyle name="常规 5 5 2 2 3 4 3 3" xfId="4174"/>
    <cellStyle name="常规 5 5 2 2 3 4 3 4" xfId="7810"/>
    <cellStyle name="常规 5 5 2 2 3 4 4" xfId="33455"/>
    <cellStyle name="常规 5 5 2 2 3 4 4 2" xfId="32171"/>
    <cellStyle name="常规 5 5 2 2 3 4 5" xfId="33456"/>
    <cellStyle name="常规 5 5 2 2 3 4 6" xfId="12808"/>
    <cellStyle name="常规 5 5 2 2 3 5" xfId="33457"/>
    <cellStyle name="常规 5 5 2 2 3 5 2" xfId="33458"/>
    <cellStyle name="常规 5 5 2 2 3 5 2 2" xfId="33459"/>
    <cellStyle name="常规 5 5 2 2 3 5 2 2 2" xfId="33460"/>
    <cellStyle name="常规 5 5 2 2 3 5 2 3" xfId="33461"/>
    <cellStyle name="常规 5 5 2 2 3 5 2 4" xfId="33462"/>
    <cellStyle name="常规 5 5 2 2 3 5 3" xfId="33463"/>
    <cellStyle name="常规 5 5 2 2 3 5 3 2" xfId="33464"/>
    <cellStyle name="常规 5 5 2 2 3 5 4" xfId="33465"/>
    <cellStyle name="常规 5 5 2 2 3 5 5" xfId="33466"/>
    <cellStyle name="常规 5 5 2 2 3 6" xfId="33467"/>
    <cellStyle name="常规 5 5 2 2 3 6 2" xfId="33468"/>
    <cellStyle name="常规 5 5 2 2 3 6 2 2" xfId="27705"/>
    <cellStyle name="常规 5 5 2 2 3 6 3" xfId="16879"/>
    <cellStyle name="常规 5 5 2 2 3 6 4" xfId="16883"/>
    <cellStyle name="常规 5 5 2 2 3 7" xfId="33469"/>
    <cellStyle name="常规 5 5 2 2 3 7 2" xfId="33470"/>
    <cellStyle name="常规 5 5 2 2 3 8" xfId="33471"/>
    <cellStyle name="常规 5 5 2 2 3 9" xfId="33472"/>
    <cellStyle name="常规 5 5 2 2 4" xfId="33473"/>
    <cellStyle name="常规 5 5 2 2 4 2" xfId="33474"/>
    <cellStyle name="常规 5 5 2 2 4 2 2" xfId="33475"/>
    <cellStyle name="常规 5 5 2 2 4 2 2 2" xfId="2472"/>
    <cellStyle name="常规 5 5 2 2 4 2 2 2 2" xfId="33476"/>
    <cellStyle name="常规 5 5 2 2 4 2 2 2 2 2" xfId="23148"/>
    <cellStyle name="常规 5 5 2 2 4 2 2 2 2 2 2" xfId="23151"/>
    <cellStyle name="常规 5 5 2 2 4 2 2 2 2 3" xfId="23156"/>
    <cellStyle name="常规 5 5 2 2 4 2 2 2 2 4" xfId="23159"/>
    <cellStyle name="常规 5 5 2 2 4 2 2 2 3" xfId="33477"/>
    <cellStyle name="常规 5 5 2 2 4 2 2 2 3 2" xfId="23170"/>
    <cellStyle name="常规 5 5 2 2 4 2 2 2 4" xfId="32281"/>
    <cellStyle name="常规 5 5 2 2 4 2 2 2 5" xfId="9733"/>
    <cellStyle name="常规 5 5 2 2 4 2 2 3" xfId="33478"/>
    <cellStyle name="常规 5 5 2 2 4 2 2 3 2" xfId="33479"/>
    <cellStyle name="常规 5 5 2 2 4 2 2 3 2 2" xfId="23222"/>
    <cellStyle name="常规 5 5 2 2 4 2 2 3 3" xfId="33480"/>
    <cellStyle name="常规 5 5 2 2 4 2 2 3 4" xfId="33481"/>
    <cellStyle name="常规 5 5 2 2 4 2 2 4" xfId="33482"/>
    <cellStyle name="常规 5 5 2 2 4 2 2 4 2" xfId="33483"/>
    <cellStyle name="常规 5 5 2 2 4 2 2 5" xfId="33484"/>
    <cellStyle name="常规 5 5 2 2 4 2 2 6" xfId="33485"/>
    <cellStyle name="常规 5 5 2 2 4 2 3" xfId="22639"/>
    <cellStyle name="常规 5 5 2 2 4 2 3 2" xfId="2508"/>
    <cellStyle name="常规 5 5 2 2 4 2 3 2 2" xfId="33486"/>
    <cellStyle name="常规 5 5 2 2 4 2 3 2 2 2" xfId="23310"/>
    <cellStyle name="常规 5 5 2 2 4 2 3 2 3" xfId="33487"/>
    <cellStyle name="常规 5 5 2 2 4 2 3 2 4" xfId="33488"/>
    <cellStyle name="常规 5 5 2 2 4 2 3 3" xfId="33489"/>
    <cellStyle name="常规 5 5 2 2 4 2 3 3 2" xfId="33490"/>
    <cellStyle name="常规 5 5 2 2 4 2 3 4" xfId="33491"/>
    <cellStyle name="常规 5 5 2 2 4 2 3 5" xfId="33492"/>
    <cellStyle name="常规 5 5 2 2 4 2 4" xfId="22641"/>
    <cellStyle name="常规 5 5 2 2 4 2 4 2" xfId="32185"/>
    <cellStyle name="常规 5 5 2 2 4 2 4 2 2" xfId="32187"/>
    <cellStyle name="常规 5 5 2 2 4 2 4 3" xfId="6476"/>
    <cellStyle name="常规 5 5 2 2 4 2 4 4" xfId="1791"/>
    <cellStyle name="常规 5 5 2 2 4 2 5" xfId="22643"/>
    <cellStyle name="常规 5 5 2 2 4 2 5 2" xfId="32190"/>
    <cellStyle name="常规 5 5 2 2 4 2 6" xfId="29091"/>
    <cellStyle name="常规 5 5 2 2 4 2 7" xfId="33493"/>
    <cellStyle name="常规 5 5 2 2 4 3" xfId="20939"/>
    <cellStyle name="常规 5 5 2 2 4 3 2" xfId="33494"/>
    <cellStyle name="常规 5 5 2 2 4 3 2 2" xfId="33495"/>
    <cellStyle name="常规 5 5 2 2 4 3 2 2 2" xfId="4081"/>
    <cellStyle name="常规 5 5 2 2 4 3 2 2 2 2" xfId="15241"/>
    <cellStyle name="常规 5 5 2 2 4 3 2 2 3" xfId="33496"/>
    <cellStyle name="常规 5 5 2 2 4 3 2 2 4" xfId="33497"/>
    <cellStyle name="常规 5 5 2 2 4 3 2 3" xfId="21448"/>
    <cellStyle name="常规 5 5 2 2 4 3 2 3 2" xfId="33498"/>
    <cellStyle name="常规 5 5 2 2 4 3 2 4" xfId="33499"/>
    <cellStyle name="常规 5 5 2 2 4 3 2 5" xfId="33500"/>
    <cellStyle name="常规 5 5 2 2 4 3 3" xfId="22646"/>
    <cellStyle name="常规 5 5 2 2 4 3 3 2" xfId="33501"/>
    <cellStyle name="常规 5 5 2 2 4 3 3 2 2" xfId="33502"/>
    <cellStyle name="常规 5 5 2 2 4 3 3 3" xfId="33503"/>
    <cellStyle name="常规 5 5 2 2 4 3 3 4" xfId="33504"/>
    <cellStyle name="常规 5 5 2 2 4 3 4" xfId="33505"/>
    <cellStyle name="常规 5 5 2 2 4 3 4 2" xfId="32195"/>
    <cellStyle name="常规 5 5 2 2 4 3 5" xfId="33506"/>
    <cellStyle name="常规 5 5 2 2 4 3 6" xfId="12822"/>
    <cellStyle name="常规 5 5 2 2 4 4" xfId="33507"/>
    <cellStyle name="常规 5 5 2 2 4 4 2" xfId="33508"/>
    <cellStyle name="常规 5 5 2 2 4 4 2 2" xfId="33509"/>
    <cellStyle name="常规 5 5 2 2 4 4 2 2 2" xfId="33510"/>
    <cellStyle name="常规 5 5 2 2 4 4 2 3" xfId="33511"/>
    <cellStyle name="常规 5 5 2 2 4 4 2 4" xfId="33512"/>
    <cellStyle name="常规 5 5 2 2 4 4 3" xfId="21085"/>
    <cellStyle name="常规 5 5 2 2 4 4 3 2" xfId="21087"/>
    <cellStyle name="常规 5 5 2 2 4 4 4" xfId="21093"/>
    <cellStyle name="常规 5 5 2 2 4 4 5" xfId="21097"/>
    <cellStyle name="常规 5 5 2 2 4 5" xfId="33513"/>
    <cellStyle name="常规 5 5 2 2 4 5 2" xfId="33514"/>
    <cellStyle name="常规 5 5 2 2 4 5 2 2" xfId="33515"/>
    <cellStyle name="常规 5 5 2 2 4 5 3" xfId="5069"/>
    <cellStyle name="常规 5 5 2 2 4 5 4" xfId="5077"/>
    <cellStyle name="常规 5 5 2 2 4 6" xfId="33516"/>
    <cellStyle name="常规 5 5 2 2 4 6 2" xfId="33517"/>
    <cellStyle name="常规 5 5 2 2 4 7" xfId="33518"/>
    <cellStyle name="常规 5 5 2 2 4 8" xfId="33519"/>
    <cellStyle name="常规 5 5 2 2 5" xfId="33520"/>
    <cellStyle name="常规 5 5 2 2 5 2" xfId="33521"/>
    <cellStyle name="常规 5 5 2 2 5 2 2" xfId="33522"/>
    <cellStyle name="常规 5 5 2 2 5 2 2 2" xfId="33523"/>
    <cellStyle name="常规 5 5 2 2 5 2 2 2 2" xfId="33524"/>
    <cellStyle name="常规 5 5 2 2 5 2 2 2 2 2" xfId="33525"/>
    <cellStyle name="常规 5 5 2 2 5 2 2 2 3" xfId="33526"/>
    <cellStyle name="常规 5 5 2 2 5 2 2 2 4" xfId="33527"/>
    <cellStyle name="常规 5 5 2 2 5 2 2 3" xfId="31637"/>
    <cellStyle name="常规 5 5 2 2 5 2 2 3 2" xfId="31640"/>
    <cellStyle name="常规 5 5 2 2 5 2 2 4" xfId="31645"/>
    <cellStyle name="常规 5 5 2 2 5 2 2 5" xfId="31648"/>
    <cellStyle name="常规 5 5 2 2 5 2 3" xfId="16601"/>
    <cellStyle name="常规 5 5 2 2 5 2 3 2" xfId="33528"/>
    <cellStyle name="常规 5 5 2 2 5 2 3 2 2" xfId="33529"/>
    <cellStyle name="常规 5 5 2 2 5 2 3 3" xfId="31652"/>
    <cellStyle name="常规 5 5 2 2 5 2 3 4" xfId="31656"/>
    <cellStyle name="常规 5 5 2 2 5 2 4" xfId="16604"/>
    <cellStyle name="常规 5 5 2 2 5 2 4 2" xfId="32209"/>
    <cellStyle name="常规 5 5 2 2 5 2 5" xfId="33530"/>
    <cellStyle name="常规 5 5 2 2 5 2 6" xfId="33532"/>
    <cellStyle name="常规 5 5 2 2 5 3" xfId="33533"/>
    <cellStyle name="常规 5 5 2 2 5 3 2" xfId="33534"/>
    <cellStyle name="常规 5 5 2 2 5 3 2 2" xfId="23553"/>
    <cellStyle name="常规 5 5 2 2 5 3 2 2 2" xfId="33535"/>
    <cellStyle name="常规 5 5 2 2 5 3 2 3" xfId="23555"/>
    <cellStyle name="常规 5 5 2 2 5 3 2 4" xfId="31664"/>
    <cellStyle name="常规 5 5 2 2 5 3 3" xfId="33536"/>
    <cellStyle name="常规 5 5 2 2 5 3 3 2" xfId="33537"/>
    <cellStyle name="常规 5 5 2 2 5 3 4" xfId="33538"/>
    <cellStyle name="常规 5 5 2 2 5 3 5" xfId="33539"/>
    <cellStyle name="常规 5 5 2 2 5 4" xfId="33540"/>
    <cellStyle name="常规 5 5 2 2 5 4 2" xfId="33541"/>
    <cellStyle name="常规 5 5 2 2 5 4 2 2" xfId="33542"/>
    <cellStyle name="常规 5 5 2 2 5 4 3" xfId="16627"/>
    <cellStyle name="常规 5 5 2 2 5 4 4" xfId="17555"/>
    <cellStyle name="常规 5 5 2 2 5 5" xfId="33543"/>
    <cellStyle name="常规 5 5 2 2 5 5 2" xfId="33544"/>
    <cellStyle name="常规 5 5 2 2 5 6" xfId="33545"/>
    <cellStyle name="常规 5 5 2 2 5 7" xfId="33546"/>
    <cellStyle name="常规 5 5 2 2 6" xfId="33548"/>
    <cellStyle name="常规 5 5 2 2 6 2" xfId="33550"/>
    <cellStyle name="常规 5 5 2 2 6 2 2" xfId="33552"/>
    <cellStyle name="常规 5 5 2 2 6 2 2 2" xfId="33553"/>
    <cellStyle name="常规 5 5 2 2 6 2 2 2 2" xfId="33554"/>
    <cellStyle name="常规 5 5 2 2 6 2 2 3" xfId="10540"/>
    <cellStyle name="常规 5 5 2 2 6 2 2 4" xfId="28364"/>
    <cellStyle name="常规 5 5 2 2 6 2 3" xfId="19989"/>
    <cellStyle name="常规 5 5 2 2 6 2 3 2" xfId="33555"/>
    <cellStyle name="常规 5 5 2 2 6 2 4" xfId="19991"/>
    <cellStyle name="常规 5 5 2 2 6 2 5" xfId="31905"/>
    <cellStyle name="常规 5 5 2 2 6 3" xfId="33557"/>
    <cellStyle name="常规 5 5 2 2 6 3 2" xfId="33558"/>
    <cellStyle name="常规 5 5 2 2 6 3 2 2" xfId="33559"/>
    <cellStyle name="常规 5 5 2 2 6 3 3" xfId="33560"/>
    <cellStyle name="常规 5 5 2 2 6 3 4" xfId="33561"/>
    <cellStyle name="常规 5 5 2 2 6 4" xfId="33563"/>
    <cellStyle name="常规 5 5 2 2 6 4 2" xfId="33564"/>
    <cellStyle name="常规 5 5 2 2 6 5" xfId="33565"/>
    <cellStyle name="常规 5 5 2 2 6 6" xfId="33566"/>
    <cellStyle name="常规 5 5 2 2 7" xfId="33568"/>
    <cellStyle name="常规 5 5 2 2 7 2" xfId="33570"/>
    <cellStyle name="常规 5 5 2 2 7 2 2" xfId="33571"/>
    <cellStyle name="常规 5 5 2 2 7 2 2 2" xfId="22398"/>
    <cellStyle name="常规 5 5 2 2 7 2 3" xfId="33572"/>
    <cellStyle name="常规 5 5 2 2 7 2 4" xfId="25212"/>
    <cellStyle name="常规 5 5 2 2 7 3" xfId="33573"/>
    <cellStyle name="常规 5 5 2 2 7 3 2" xfId="33574"/>
    <cellStyle name="常规 5 5 2 2 7 4" xfId="33575"/>
    <cellStyle name="常规 5 5 2 2 7 5" xfId="33576"/>
    <cellStyle name="常规 5 5 2 2 8" xfId="33578"/>
    <cellStyle name="常规 5 5 2 2 8 2" xfId="33579"/>
    <cellStyle name="常规 5 5 2 2 8 2 2" xfId="33580"/>
    <cellStyle name="常规 5 5 2 2 8 3" xfId="33581"/>
    <cellStyle name="常规 5 5 2 2 8 4" xfId="33582"/>
    <cellStyle name="常规 5 5 2 2 9" xfId="23695"/>
    <cellStyle name="常规 5 5 2 2 9 2" xfId="33583"/>
    <cellStyle name="常规 5 5 2 3" xfId="33584"/>
    <cellStyle name="常规 5 5 2 3 2" xfId="33586"/>
    <cellStyle name="常规 5 5 2 3 2 2" xfId="21025"/>
    <cellStyle name="常规 5 5 2 3 2 2 2" xfId="33587"/>
    <cellStyle name="常规 5 5 2 3 2 2 2 2" xfId="33588"/>
    <cellStyle name="常规 5 5 2 3 2 2 2 2 2" xfId="33591"/>
    <cellStyle name="常规 5 5 2 3 2 2 2 2 2 2" xfId="33593"/>
    <cellStyle name="常规 5 5 2 3 2 2 2 2 2 2 2" xfId="33594"/>
    <cellStyle name="常规 5 5 2 3 2 2 2 2 2 3" xfId="568"/>
    <cellStyle name="常规 5 5 2 3 2 2 2 2 2 4" xfId="33595"/>
    <cellStyle name="常规 5 5 2 3 2 2 2 2 3" xfId="33598"/>
    <cellStyle name="常规 5 5 2 3 2 2 2 2 3 2" xfId="33599"/>
    <cellStyle name="常规 5 5 2 3 2 2 2 2 4" xfId="32465"/>
    <cellStyle name="常规 5 5 2 3 2 2 2 2 5" xfId="33600"/>
    <cellStyle name="常规 5 5 2 3 2 2 2 3" xfId="16684"/>
    <cellStyle name="常规 5 5 2 3 2 2 2 3 2" xfId="33601"/>
    <cellStyle name="常规 5 5 2 3 2 2 2 3 2 2" xfId="7533"/>
    <cellStyle name="常规 5 5 2 3 2 2 2 3 3" xfId="33602"/>
    <cellStyle name="常规 5 5 2 3 2 2 2 3 4" xfId="33603"/>
    <cellStyle name="常规 5 5 2 3 2 2 2 4" xfId="22072"/>
    <cellStyle name="常规 5 5 2 3 2 2 2 4 2" xfId="32793"/>
    <cellStyle name="常规 5 5 2 3 2 2 2 5" xfId="32797"/>
    <cellStyle name="常规 5 5 2 3 2 2 2 6" xfId="4334"/>
    <cellStyle name="常规 5 5 2 3 2 2 3" xfId="22658"/>
    <cellStyle name="常规 5 5 2 3 2 2 3 2" xfId="22661"/>
    <cellStyle name="常规 5 5 2 3 2 2 3 2 2" xfId="10187"/>
    <cellStyle name="常规 5 5 2 3 2 2 3 2 2 2" xfId="2947"/>
    <cellStyle name="常规 5 5 2 3 2 2 3 2 3" xfId="10191"/>
    <cellStyle name="常规 5 5 2 3 2 2 3 2 4" xfId="24445"/>
    <cellStyle name="常规 5 5 2 3 2 2 3 3" xfId="22663"/>
    <cellStyle name="常规 5 5 2 3 2 2 3 3 2" xfId="10318"/>
    <cellStyle name="常规 5 5 2 3 2 2 3 4" xfId="22665"/>
    <cellStyle name="常规 5 5 2 3 2 2 3 5" xfId="32801"/>
    <cellStyle name="常规 5 5 2 3 2 2 4" xfId="22668"/>
    <cellStyle name="常规 5 5 2 3 2 2 4 2" xfId="22670"/>
    <cellStyle name="常规 5 5 2 3 2 2 4 2 2" xfId="28391"/>
    <cellStyle name="常规 5 5 2 3 2 2 4 3" xfId="30617"/>
    <cellStyle name="常规 5 5 2 3 2 2 4 4" xfId="28901"/>
    <cellStyle name="常规 5 5 2 3 2 2 5" xfId="22673"/>
    <cellStyle name="常规 5 5 2 3 2 2 5 2" xfId="30620"/>
    <cellStyle name="常规 5 5 2 3 2 2 6" xfId="7583"/>
    <cellStyle name="常规 5 5 2 3 2 2 7" xfId="16295"/>
    <cellStyle name="常规 5 5 2 3 2 3" xfId="15114"/>
    <cellStyle name="常规 5 5 2 3 2 3 2" xfId="33604"/>
    <cellStyle name="常规 5 5 2 3 2 3 2 2" xfId="33605"/>
    <cellStyle name="常规 5 5 2 3 2 3 2 2 2" xfId="27445"/>
    <cellStyle name="常规 5 5 2 3 2 3 2 2 2 2" xfId="27448"/>
    <cellStyle name="常规 5 5 2 3 2 3 2 2 3" xfId="27532"/>
    <cellStyle name="常规 5 5 2 3 2 3 2 2 4" xfId="27575"/>
    <cellStyle name="常规 5 5 2 3 2 3 2 3" xfId="21471"/>
    <cellStyle name="常规 5 5 2 3 2 3 2 3 2" xfId="21473"/>
    <cellStyle name="常规 5 5 2 3 2 3 2 4" xfId="21476"/>
    <cellStyle name="常规 5 5 2 3 2 3 2 5" xfId="21480"/>
    <cellStyle name="常规 5 5 2 3 2 3 3" xfId="22677"/>
    <cellStyle name="常规 5 5 2 3 2 3 3 2" xfId="22680"/>
    <cellStyle name="常规 5 5 2 3 2 3 3 2 2" xfId="33606"/>
    <cellStyle name="常规 5 5 2 3 2 3 3 3" xfId="21484"/>
    <cellStyle name="常规 5 5 2 3 2 3 3 4" xfId="21818"/>
    <cellStyle name="常规 5 5 2 3 2 3 4" xfId="22682"/>
    <cellStyle name="常规 5 5 2 3 2 3 4 2" xfId="30629"/>
    <cellStyle name="常规 5 5 2 3 2 3 5" xfId="22684"/>
    <cellStyle name="常规 5 5 2 3 2 3 6" xfId="12843"/>
    <cellStyle name="常规 5 5 2 3 2 4" xfId="6498"/>
    <cellStyle name="常规 5 5 2 3 2 4 2" xfId="4578"/>
    <cellStyle name="常规 5 5 2 3 2 4 2 2" xfId="2887"/>
    <cellStyle name="常规 5 5 2 3 2 4 2 2 2" xfId="33607"/>
    <cellStyle name="常规 5 5 2 3 2 4 2 3" xfId="21489"/>
    <cellStyle name="常规 5 5 2 3 2 4 2 4" xfId="21889"/>
    <cellStyle name="常规 5 5 2 3 2 4 3" xfId="4581"/>
    <cellStyle name="常规 5 5 2 3 2 4 3 2" xfId="33608"/>
    <cellStyle name="常规 5 5 2 3 2 4 4" xfId="2340"/>
    <cellStyle name="常规 5 5 2 3 2 4 5" xfId="33609"/>
    <cellStyle name="常规 5 5 2 3 2 5" xfId="33610"/>
    <cellStyle name="常规 5 5 2 3 2 5 2" xfId="4909"/>
    <cellStyle name="常规 5 5 2 3 2 5 2 2" xfId="3171"/>
    <cellStyle name="常规 5 5 2 3 2 5 3" xfId="4915"/>
    <cellStyle name="常规 5 5 2 3 2 5 4" xfId="511"/>
    <cellStyle name="常规 5 5 2 3 2 6" xfId="33611"/>
    <cellStyle name="常规 5 5 2 3 2 6 2" xfId="5027"/>
    <cellStyle name="常规 5 5 2 3 2 7" xfId="33612"/>
    <cellStyle name="常规 5 5 2 3 2 8" xfId="33613"/>
    <cellStyle name="常规 5 5 2 3 3" xfId="33614"/>
    <cellStyle name="常规 5 5 2 3 3 2" xfId="21041"/>
    <cellStyle name="常规 5 5 2 3 3 2 2" xfId="33615"/>
    <cellStyle name="常规 5 5 2 3 3 2 2 2" xfId="21245"/>
    <cellStyle name="常规 5 5 2 3 3 2 2 2 2" xfId="33618"/>
    <cellStyle name="常规 5 5 2 3 3 2 2 2 2 2" xfId="30063"/>
    <cellStyle name="常规 5 5 2 3 3 2 2 2 3" xfId="33621"/>
    <cellStyle name="常规 5 5 2 3 3 2 2 2 4" xfId="32560"/>
    <cellStyle name="常规 5 5 2 3 3 2 2 3" xfId="16804"/>
    <cellStyle name="常规 5 5 2 3 3 2 2 3 2" xfId="33622"/>
    <cellStyle name="常规 5 5 2 3 3 2 2 4" xfId="32842"/>
    <cellStyle name="常规 5 5 2 3 3 2 2 5" xfId="32844"/>
    <cellStyle name="常规 5 5 2 3 3 2 3" xfId="22693"/>
    <cellStyle name="常规 5 5 2 3 3 2 3 2" xfId="18639"/>
    <cellStyle name="常规 5 5 2 3 3 2 3 2 2" xfId="33623"/>
    <cellStyle name="常规 5 5 2 3 3 2 3 3" xfId="33624"/>
    <cellStyle name="常规 5 5 2 3 3 2 3 4" xfId="13782"/>
    <cellStyle name="常规 5 5 2 3 3 2 4" xfId="22695"/>
    <cellStyle name="常规 5 5 2 3 3 2 4 2" xfId="32232"/>
    <cellStyle name="常规 5 5 2 3 3 2 5" xfId="22697"/>
    <cellStyle name="常规 5 5 2 3 3 2 6" xfId="16303"/>
    <cellStyle name="常规 5 5 2 3 3 3" xfId="33625"/>
    <cellStyle name="常规 5 5 2 3 3 3 2" xfId="33627"/>
    <cellStyle name="常规 5 5 2 3 3 3 2 2" xfId="21265"/>
    <cellStyle name="常规 5 5 2 3 3 3 2 2 2" xfId="33628"/>
    <cellStyle name="常规 5 5 2 3 3 3 2 3" xfId="21500"/>
    <cellStyle name="常规 5 5 2 3 3 3 2 4" xfId="22026"/>
    <cellStyle name="常规 5 5 2 3 3 3 3" xfId="22701"/>
    <cellStyle name="常规 5 5 2 3 3 3 3 2" xfId="33629"/>
    <cellStyle name="常规 5 5 2 3 3 3 4" xfId="2570"/>
    <cellStyle name="常规 5 5 2 3 3 3 5" xfId="33630"/>
    <cellStyle name="常规 5 5 2 3 3 4" xfId="33631"/>
    <cellStyle name="常规 5 5 2 3 3 4 2" xfId="5411"/>
    <cellStyle name="常规 5 5 2 3 3 4 2 2" xfId="33632"/>
    <cellStyle name="常规 5 5 2 3 3 4 3" xfId="5415"/>
    <cellStyle name="常规 5 5 2 3 3 4 4" xfId="33633"/>
    <cellStyle name="常规 5 5 2 3 3 5" xfId="33634"/>
    <cellStyle name="常规 5 5 2 3 3 5 2" xfId="5437"/>
    <cellStyle name="常规 5 5 2 3 3 6" xfId="33635"/>
    <cellStyle name="常规 5 5 2 3 3 7" xfId="33636"/>
    <cellStyle name="常规 5 5 2 3 4" xfId="33637"/>
    <cellStyle name="常规 5 5 2 3 4 2" xfId="33638"/>
    <cellStyle name="常规 5 5 2 3 4 2 2" xfId="33639"/>
    <cellStyle name="常规 5 5 2 3 4 2 2 2" xfId="21298"/>
    <cellStyle name="常规 5 5 2 3 4 2 2 2 2" xfId="33640"/>
    <cellStyle name="常规 5 5 2 3 4 2 2 3" xfId="33641"/>
    <cellStyle name="常规 5 5 2 3 4 2 2 4" xfId="32861"/>
    <cellStyle name="常规 5 5 2 3 4 2 3" xfId="22706"/>
    <cellStyle name="常规 5 5 2 3 4 2 3 2" xfId="33642"/>
    <cellStyle name="常规 5 5 2 3 4 2 4" xfId="33643"/>
    <cellStyle name="常规 5 5 2 3 4 2 5" xfId="33644"/>
    <cellStyle name="常规 5 5 2 3 4 3" xfId="33645"/>
    <cellStyle name="常规 5 5 2 3 4 3 2" xfId="33646"/>
    <cellStyle name="常规 5 5 2 3 4 3 2 2" xfId="33647"/>
    <cellStyle name="常规 5 5 2 3 4 3 3" xfId="33648"/>
    <cellStyle name="常规 5 5 2 3 4 3 4" xfId="17471"/>
    <cellStyle name="常规 5 5 2 3 4 4" xfId="33649"/>
    <cellStyle name="常规 5 5 2 3 4 4 2" xfId="5687"/>
    <cellStyle name="常规 5 5 2 3 4 5" xfId="33650"/>
    <cellStyle name="常规 5 5 2 3 4 6" xfId="33651"/>
    <cellStyle name="常规 5 5 2 3 5" xfId="33652"/>
    <cellStyle name="常规 5 5 2 3 5 2" xfId="33653"/>
    <cellStyle name="常规 5 5 2 3 5 2 2" xfId="33654"/>
    <cellStyle name="常规 5 5 2 3 5 2 2 2" xfId="33655"/>
    <cellStyle name="常规 5 5 2 3 5 2 3" xfId="33656"/>
    <cellStyle name="常规 5 5 2 3 5 2 4" xfId="33657"/>
    <cellStyle name="常规 5 5 2 3 5 3" xfId="33658"/>
    <cellStyle name="常规 5 5 2 3 5 3 2" xfId="33659"/>
    <cellStyle name="常规 5 5 2 3 5 4" xfId="33660"/>
    <cellStyle name="常规 5 5 2 3 5 5" xfId="33661"/>
    <cellStyle name="常规 5 5 2 3 6" xfId="33663"/>
    <cellStyle name="常规 5 5 2 3 6 2" xfId="33665"/>
    <cellStyle name="常规 5 5 2 3 6 2 2" xfId="33666"/>
    <cellStyle name="常规 5 5 2 3 6 3" xfId="33667"/>
    <cellStyle name="常规 5 5 2 3 6 4" xfId="33668"/>
    <cellStyle name="常规 5 5 2 3 7" xfId="33670"/>
    <cellStyle name="常规 5 5 2 3 7 2" xfId="33671"/>
    <cellStyle name="常规 5 5 2 3 8" xfId="33673"/>
    <cellStyle name="常规 5 5 2 3 9" xfId="33674"/>
    <cellStyle name="常规 5 5 2 4" xfId="27595"/>
    <cellStyle name="常规 5 5 2 4 2" xfId="27597"/>
    <cellStyle name="常规 5 5 2 4 2 2" xfId="21053"/>
    <cellStyle name="常规 5 5 2 4 2 2 2" xfId="27600"/>
    <cellStyle name="常规 5 5 2 4 2 2 2 2" xfId="27603"/>
    <cellStyle name="常规 5 5 2 4 2 2 2 2 2" xfId="27605"/>
    <cellStyle name="常规 5 5 2 4 2 2 2 2 2 2" xfId="27609"/>
    <cellStyle name="常规 5 5 2 4 2 2 2 2 2 2 2" xfId="10124"/>
    <cellStyle name="常规 5 5 2 4 2 2 2 2 2 3" xfId="27613"/>
    <cellStyle name="常规 5 5 2 4 2 2 2 2 2 4" xfId="27616"/>
    <cellStyle name="常规 5 5 2 4 2 2 2 2 3" xfId="27618"/>
    <cellStyle name="常规 5 5 2 4 2 2 2 2 3 2" xfId="27621"/>
    <cellStyle name="常规 5 5 2 4 2 2 2 2 4" xfId="24804"/>
    <cellStyle name="常规 5 5 2 4 2 2 2 2 5" xfId="27625"/>
    <cellStyle name="常规 5 5 2 4 2 2 2 3" xfId="27627"/>
    <cellStyle name="常规 5 5 2 4 2 2 2 3 2" xfId="27629"/>
    <cellStyle name="常规 5 5 2 4 2 2 2 3 2 2" xfId="27632"/>
    <cellStyle name="常规 5 5 2 4 2 2 2 3 3" xfId="27635"/>
    <cellStyle name="常规 5 5 2 4 2 2 2 3 4" xfId="27637"/>
    <cellStyle name="常规 5 5 2 4 2 2 2 4" xfId="27639"/>
    <cellStyle name="常规 5 5 2 4 2 2 2 4 2" xfId="27642"/>
    <cellStyle name="常规 5 5 2 4 2 2 2 5" xfId="27644"/>
    <cellStyle name="常规 5 5 2 4 2 2 2 6" xfId="4696"/>
    <cellStyle name="常规 5 5 2 4 2 2 3" xfId="22715"/>
    <cellStyle name="常规 5 5 2 4 2 2 3 2" xfId="22718"/>
    <cellStyle name="常规 5 5 2 4 2 2 3 2 2" xfId="22013"/>
    <cellStyle name="常规 5 5 2 4 2 2 3 2 2 2" xfId="22019"/>
    <cellStyle name="常规 5 5 2 4 2 2 3 2 3" xfId="22021"/>
    <cellStyle name="常规 5 5 2 4 2 2 3 2 4" xfId="20615"/>
    <cellStyle name="常规 5 5 2 4 2 2 3 3" xfId="27646"/>
    <cellStyle name="常规 5 5 2 4 2 2 3 3 2" xfId="22188"/>
    <cellStyle name="常规 5 5 2 4 2 2 3 4" xfId="27648"/>
    <cellStyle name="常规 5 5 2 4 2 2 3 5" xfId="27650"/>
    <cellStyle name="常规 5 5 2 4 2 2 4" xfId="22721"/>
    <cellStyle name="常规 5 5 2 4 2 2 4 2" xfId="27652"/>
    <cellStyle name="常规 5 5 2 4 2 2 4 2 2" xfId="22758"/>
    <cellStyle name="常规 5 5 2 4 2 2 4 3" xfId="27654"/>
    <cellStyle name="常规 5 5 2 4 2 2 4 4" xfId="27656"/>
    <cellStyle name="常规 5 5 2 4 2 2 5" xfId="22724"/>
    <cellStyle name="常规 5 5 2 4 2 2 5 2" xfId="27659"/>
    <cellStyle name="常规 5 5 2 4 2 2 6" xfId="16351"/>
    <cellStyle name="常规 5 5 2 4 2 2 7" xfId="27661"/>
    <cellStyle name="常规 5 5 2 4 2 3" xfId="27663"/>
    <cellStyle name="常规 5 5 2 4 2 3 2" xfId="27665"/>
    <cellStyle name="常规 5 5 2 4 2 3 2 2" xfId="27667"/>
    <cellStyle name="常规 5 5 2 4 2 3 2 2 2" xfId="27669"/>
    <cellStyle name="常规 5 5 2 4 2 3 2 2 2 2" xfId="27672"/>
    <cellStyle name="常规 5 5 2 4 2 3 2 2 3" xfId="7750"/>
    <cellStyle name="常规 5 5 2 4 2 3 2 2 4" xfId="9638"/>
    <cellStyle name="常规 5 5 2 4 2 3 2 3" xfId="21524"/>
    <cellStyle name="常规 5 5 2 4 2 3 2 3 2" xfId="27674"/>
    <cellStyle name="常规 5 5 2 4 2 3 2 4" xfId="22527"/>
    <cellStyle name="常规 5 5 2 4 2 3 2 5" xfId="22580"/>
    <cellStyle name="常规 5 5 2 4 2 3 3" xfId="22728"/>
    <cellStyle name="常规 5 5 2 4 2 3 3 2" xfId="27677"/>
    <cellStyle name="常规 5 5 2 4 2 3 3 2 2" xfId="23721"/>
    <cellStyle name="常规 5 5 2 4 2 3 3 3" xfId="27679"/>
    <cellStyle name="常规 5 5 2 4 2 3 3 4" xfId="22606"/>
    <cellStyle name="常规 5 5 2 4 2 3 4" xfId="27681"/>
    <cellStyle name="常规 5 5 2 4 2 3 4 2" xfId="27683"/>
    <cellStyle name="常规 5 5 2 4 2 3 5" xfId="27685"/>
    <cellStyle name="常规 5 5 2 4 2 3 6" xfId="12881"/>
    <cellStyle name="常规 5 5 2 4 2 4" xfId="27687"/>
    <cellStyle name="常规 5 5 2 4 2 4 2" xfId="6309"/>
    <cellStyle name="常规 5 5 2 4 2 4 2 2" xfId="27689"/>
    <cellStyle name="常规 5 5 2 4 2 4 2 2 2" xfId="21015"/>
    <cellStyle name="常规 5 5 2 4 2 4 2 3" xfId="27691"/>
    <cellStyle name="常规 5 5 2 4 2 4 2 4" xfId="22655"/>
    <cellStyle name="常规 5 5 2 4 2 4 3" xfId="6313"/>
    <cellStyle name="常规 5 5 2 4 2 4 3 2" xfId="27693"/>
    <cellStyle name="常规 5 5 2 4 2 4 4" xfId="27695"/>
    <cellStyle name="常规 5 5 2 4 2 4 5" xfId="27697"/>
    <cellStyle name="常规 5 5 2 4 2 5" xfId="27699"/>
    <cellStyle name="常规 5 5 2 4 2 5 2" xfId="5748"/>
    <cellStyle name="常规 5 5 2 4 2 5 2 2" xfId="27701"/>
    <cellStyle name="常规 5 5 2 4 2 5 3" xfId="27703"/>
    <cellStyle name="常规 5 5 2 4 2 5 4" xfId="27706"/>
    <cellStyle name="常规 5 5 2 4 2 6" xfId="27708"/>
    <cellStyle name="常规 5 5 2 4 2 6 2" xfId="27711"/>
    <cellStyle name="常规 5 5 2 4 2 7" xfId="27714"/>
    <cellStyle name="常规 5 5 2 4 2 8" xfId="27718"/>
    <cellStyle name="常规 5 5 2 4 3" xfId="27722"/>
    <cellStyle name="常规 5 5 2 4 3 2" xfId="27725"/>
    <cellStyle name="常规 5 5 2 4 3 2 2" xfId="27727"/>
    <cellStyle name="常规 5 5 2 4 3 2 2 2" xfId="21411"/>
    <cellStyle name="常规 5 5 2 4 3 2 2 2 2" xfId="27729"/>
    <cellStyle name="常规 5 5 2 4 3 2 2 2 2 2" xfId="27731"/>
    <cellStyle name="常规 5 5 2 4 3 2 2 2 3" xfId="27735"/>
    <cellStyle name="常规 5 5 2 4 3 2 2 2 4" xfId="25030"/>
    <cellStyle name="常规 5 5 2 4 3 2 2 3" xfId="21414"/>
    <cellStyle name="常规 5 5 2 4 3 2 2 3 2" xfId="27737"/>
    <cellStyle name="常规 5 5 2 4 3 2 2 4" xfId="27739"/>
    <cellStyle name="常规 5 5 2 4 3 2 2 5" xfId="27741"/>
    <cellStyle name="常规 5 5 2 4 3 2 3" xfId="22734"/>
    <cellStyle name="常规 5 5 2 4 3 2 3 2" xfId="21420"/>
    <cellStyle name="常规 5 5 2 4 3 2 3 2 2" xfId="380"/>
    <cellStyle name="常规 5 5 2 4 3 2 3 3" xfId="27743"/>
    <cellStyle name="常规 5 5 2 4 3 2 3 4" xfId="13845"/>
    <cellStyle name="常规 5 5 2 4 3 2 4" xfId="27745"/>
    <cellStyle name="常规 5 5 2 4 3 2 4 2" xfId="27747"/>
    <cellStyle name="常规 5 5 2 4 3 2 5" xfId="27750"/>
    <cellStyle name="常规 5 5 2 4 3 2 6" xfId="27752"/>
    <cellStyle name="常规 5 5 2 4 3 3" xfId="27754"/>
    <cellStyle name="常规 5 5 2 4 3 3 2" xfId="15788"/>
    <cellStyle name="常规 5 5 2 4 3 3 2 2" xfId="15792"/>
    <cellStyle name="常规 5 5 2 4 3 3 2 2 2" xfId="15796"/>
    <cellStyle name="常规 5 5 2 4 3 3 2 3" xfId="15822"/>
    <cellStyle name="常规 5 5 2 4 3 3 2 4" xfId="15836"/>
    <cellStyle name="常规 5 5 2 4 3 3 3" xfId="15864"/>
    <cellStyle name="常规 5 5 2 4 3 3 3 2" xfId="15868"/>
    <cellStyle name="常规 5 5 2 4 3 3 4" xfId="15898"/>
    <cellStyle name="常规 5 5 2 4 3 3 5" xfId="15914"/>
    <cellStyle name="常规 5 5 2 4 3 4" xfId="27756"/>
    <cellStyle name="常规 5 5 2 4 3 4 2" xfId="242"/>
    <cellStyle name="常规 5 5 2 4 3 4 2 2" xfId="27758"/>
    <cellStyle name="常规 5 5 2 4 3 4 3" xfId="4088"/>
    <cellStyle name="常规 5 5 2 4 3 4 4" xfId="27760"/>
    <cellStyle name="常规 5 5 2 4 3 5" xfId="27762"/>
    <cellStyle name="常规 5 5 2 4 3 5 2" xfId="5820"/>
    <cellStyle name="常规 5 5 2 4 3 6" xfId="27764"/>
    <cellStyle name="常规 5 5 2 4 3 7" xfId="27767"/>
    <cellStyle name="常规 5 5 2 4 4" xfId="27771"/>
    <cellStyle name="常规 5 5 2 4 4 2" xfId="27773"/>
    <cellStyle name="常规 5 5 2 4 4 2 2" xfId="27775"/>
    <cellStyle name="常规 5 5 2 4 4 2 2 2" xfId="21492"/>
    <cellStyle name="常规 5 5 2 4 4 2 2 2 2" xfId="27777"/>
    <cellStyle name="常规 5 5 2 4 4 2 2 3" xfId="27779"/>
    <cellStyle name="常规 5 5 2 4 4 2 2 4" xfId="27781"/>
    <cellStyle name="常规 5 5 2 4 4 2 3" xfId="27783"/>
    <cellStyle name="常规 5 5 2 4 4 2 3 2" xfId="27785"/>
    <cellStyle name="常规 5 5 2 4 4 2 4" xfId="27787"/>
    <cellStyle name="常规 5 5 2 4 4 2 5" xfId="27789"/>
    <cellStyle name="常规 5 5 2 4 4 3" xfId="27791"/>
    <cellStyle name="常规 5 5 2 4 4 3 2" xfId="27793"/>
    <cellStyle name="常规 5 5 2 4 4 3 2 2" xfId="27795"/>
    <cellStyle name="常规 5 5 2 4 4 3 3" xfId="922"/>
    <cellStyle name="常规 5 5 2 4 4 3 4" xfId="27797"/>
    <cellStyle name="常规 5 5 2 4 4 4" xfId="27799"/>
    <cellStyle name="常规 5 5 2 4 4 4 2" xfId="4643"/>
    <cellStyle name="常规 5 5 2 4 4 5" xfId="18030"/>
    <cellStyle name="常规 5 5 2 4 4 6" xfId="27801"/>
    <cellStyle name="常规 5 5 2 4 5" xfId="27804"/>
    <cellStyle name="常规 5 5 2 4 5 2" xfId="27806"/>
    <cellStyle name="常规 5 5 2 4 5 2 2" xfId="27808"/>
    <cellStyle name="常规 5 5 2 4 5 2 2 2" xfId="27810"/>
    <cellStyle name="常规 5 5 2 4 5 2 3" xfId="27812"/>
    <cellStyle name="常规 5 5 2 4 5 2 4" xfId="27814"/>
    <cellStyle name="常规 5 5 2 4 5 3" xfId="27816"/>
    <cellStyle name="常规 5 5 2 4 5 3 2" xfId="27818"/>
    <cellStyle name="常规 5 5 2 4 5 4" xfId="27820"/>
    <cellStyle name="常规 5 5 2 4 5 5" xfId="27822"/>
    <cellStyle name="常规 5 5 2 4 6" xfId="25259"/>
    <cellStyle name="常规 5 5 2 4 6 2" xfId="25263"/>
    <cellStyle name="常规 5 5 2 4 6 2 2" xfId="25268"/>
    <cellStyle name="常规 5 5 2 4 6 3" xfId="19406"/>
    <cellStyle name="常规 5 5 2 4 6 4" xfId="25303"/>
    <cellStyle name="常规 5 5 2 4 7" xfId="21994"/>
    <cellStyle name="常规 5 5 2 4 7 2" xfId="25313"/>
    <cellStyle name="常规 5 5 2 4 8" xfId="25331"/>
    <cellStyle name="常规 5 5 2 4 9" xfId="25343"/>
    <cellStyle name="常规 5 5 2 5" xfId="27824"/>
    <cellStyle name="常规 5 5 2 5 2" xfId="27826"/>
    <cellStyle name="常规 5 5 2 5 2 2" xfId="27828"/>
    <cellStyle name="常规 5 5 2 5 2 2 2" xfId="27830"/>
    <cellStyle name="常规 5 5 2 5 2 2 2 2" xfId="27832"/>
    <cellStyle name="常规 5 5 2 5 2 2 2 2 2" xfId="27834"/>
    <cellStyle name="常规 5 5 2 5 2 2 2 2 2 2" xfId="11890"/>
    <cellStyle name="常规 5 5 2 5 2 2 2 2 3" xfId="25701"/>
    <cellStyle name="常规 5 5 2 5 2 2 2 2 4" xfId="27836"/>
    <cellStyle name="常规 5 5 2 5 2 2 2 3" xfId="27840"/>
    <cellStyle name="常规 5 5 2 5 2 2 2 3 2" xfId="27842"/>
    <cellStyle name="常规 5 5 2 5 2 2 2 4" xfId="26047"/>
    <cellStyle name="常规 5 5 2 5 2 2 2 5" xfId="27846"/>
    <cellStyle name="常规 5 5 2 5 2 2 3" xfId="22747"/>
    <cellStyle name="常规 5 5 2 5 2 2 3 2" xfId="975"/>
    <cellStyle name="常规 5 5 2 5 2 2 3 2 2" xfId="27848"/>
    <cellStyle name="常规 5 5 2 5 2 2 3 3" xfId="978"/>
    <cellStyle name="常规 5 5 2 5 2 2 3 4" xfId="27853"/>
    <cellStyle name="常规 5 5 2 5 2 2 4" xfId="27856"/>
    <cellStyle name="常规 5 5 2 5 2 2 4 2" xfId="27858"/>
    <cellStyle name="常规 5 5 2 5 2 2 5" xfId="27863"/>
    <cellStyle name="常规 5 5 2 5 2 2 6" xfId="27865"/>
    <cellStyle name="常规 5 5 2 5 2 3" xfId="27868"/>
    <cellStyle name="常规 5 5 2 5 2 3 2" xfId="27870"/>
    <cellStyle name="常规 5 5 2 5 2 3 2 2" xfId="27872"/>
    <cellStyle name="常规 5 5 2 5 2 3 2 2 2" xfId="27874"/>
    <cellStyle name="常规 5 5 2 5 2 3 2 3" xfId="27878"/>
    <cellStyle name="常规 5 5 2 5 2 3 2 4" xfId="23002"/>
    <cellStyle name="常规 5 5 2 5 2 3 3" xfId="27881"/>
    <cellStyle name="常规 5 5 2 5 2 3 3 2" xfId="1051"/>
    <cellStyle name="常规 5 5 2 5 2 3 4" xfId="27884"/>
    <cellStyle name="常规 5 5 2 5 2 3 5" xfId="27887"/>
    <cellStyle name="常规 5 5 2 5 2 4" xfId="27891"/>
    <cellStyle name="常规 5 5 2 5 2 4 2" xfId="6818"/>
    <cellStyle name="常规 5 5 2 5 2 4 2 2" xfId="27893"/>
    <cellStyle name="常规 5 5 2 5 2 4 3" xfId="27898"/>
    <cellStyle name="常规 5 5 2 5 2 4 4" xfId="27900"/>
    <cellStyle name="常规 5 5 2 5 2 5" xfId="27903"/>
    <cellStyle name="常规 5 5 2 5 2 5 2" xfId="27905"/>
    <cellStyle name="常规 5 5 2 5 2 6" xfId="27909"/>
    <cellStyle name="常规 5 5 2 5 2 7" xfId="27917"/>
    <cellStyle name="常规 5 5 2 5 3" xfId="27925"/>
    <cellStyle name="常规 5 5 2 5 3 2" xfId="27927"/>
    <cellStyle name="常规 5 5 2 5 3 2 2" xfId="27930"/>
    <cellStyle name="常规 5 5 2 5 3 2 2 2" xfId="21589"/>
    <cellStyle name="常规 5 5 2 5 3 2 2 2 2" xfId="27932"/>
    <cellStyle name="常规 5 5 2 5 3 2 2 3" xfId="27936"/>
    <cellStyle name="常规 5 5 2 5 3 2 2 4" xfId="27939"/>
    <cellStyle name="常规 5 5 2 5 3 2 3" xfId="27942"/>
    <cellStyle name="常规 5 5 2 5 3 2 3 2" xfId="27944"/>
    <cellStyle name="常规 5 5 2 5 3 2 4" xfId="7095"/>
    <cellStyle name="常规 5 5 2 5 3 2 5" xfId="7102"/>
    <cellStyle name="常规 5 5 2 5 3 3" xfId="27949"/>
    <cellStyle name="常规 5 5 2 5 3 3 2" xfId="27951"/>
    <cellStyle name="常规 5 5 2 5 3 3 2 2" xfId="27953"/>
    <cellStyle name="常规 5 5 2 5 3 3 3" xfId="27958"/>
    <cellStyle name="常规 5 5 2 5 3 3 4" xfId="5097"/>
    <cellStyle name="常规 5 5 2 5 3 4" xfId="27962"/>
    <cellStyle name="常规 5 5 2 5 3 4 2" xfId="9495"/>
    <cellStyle name="常规 5 5 2 5 3 5" xfId="27966"/>
    <cellStyle name="常规 5 5 2 5 3 6" xfId="27969"/>
    <cellStyle name="常规 5 5 2 5 4" xfId="27976"/>
    <cellStyle name="常规 5 5 2 5 4 2" xfId="27978"/>
    <cellStyle name="常规 5 5 2 5 4 2 2" xfId="27980"/>
    <cellStyle name="常规 5 5 2 5 4 2 2 2" xfId="27982"/>
    <cellStyle name="常规 5 5 2 5 4 2 3" xfId="27987"/>
    <cellStyle name="常规 5 5 2 5 4 2 4" xfId="7158"/>
    <cellStyle name="常规 5 5 2 5 4 3" xfId="27990"/>
    <cellStyle name="常规 5 5 2 5 4 3 2" xfId="17179"/>
    <cellStyle name="常规 5 5 2 5 4 4" xfId="27994"/>
    <cellStyle name="常规 5 5 2 5 4 5" xfId="27996"/>
    <cellStyle name="常规 5 5 2 5 5" xfId="28000"/>
    <cellStyle name="常规 5 5 2 5 5 2" xfId="28002"/>
    <cellStyle name="常规 5 5 2 5 5 2 2" xfId="28004"/>
    <cellStyle name="常规 5 5 2 5 5 3" xfId="28010"/>
    <cellStyle name="常规 5 5 2 5 5 4" xfId="28012"/>
    <cellStyle name="常规 5 5 2 5 6" xfId="287"/>
    <cellStyle name="常规 5 5 2 5 6 2" xfId="25359"/>
    <cellStyle name="常规 5 5 2 5 7" xfId="25384"/>
    <cellStyle name="常规 5 5 2 5 8" xfId="25398"/>
    <cellStyle name="常规 5 5 2 6" xfId="28015"/>
    <cellStyle name="常规 5 5 2 6 2" xfId="13256"/>
    <cellStyle name="常规 5 5 2 6 2 2" xfId="28017"/>
    <cellStyle name="常规 5 5 2 6 2 2 2" xfId="28019"/>
    <cellStyle name="常规 5 5 2 6 2 2 2 2" xfId="28021"/>
    <cellStyle name="常规 5 5 2 6 2 2 2 2 2" xfId="28023"/>
    <cellStyle name="常规 5 5 2 6 2 2 2 3" xfId="28030"/>
    <cellStyle name="常规 5 5 2 6 2 2 2 4" xfId="376"/>
    <cellStyle name="常规 5 5 2 6 2 2 3" xfId="28036"/>
    <cellStyle name="常规 5 5 2 6 2 2 3 2" xfId="28039"/>
    <cellStyle name="常规 5 5 2 6 2 2 4" xfId="28042"/>
    <cellStyle name="常规 5 5 2 6 2 2 5" xfId="28046"/>
    <cellStyle name="常规 5 5 2 6 2 3" xfId="28049"/>
    <cellStyle name="常规 5 5 2 6 2 3 2" xfId="28051"/>
    <cellStyle name="常规 5 5 2 6 2 3 2 2" xfId="28053"/>
    <cellStyle name="常规 5 5 2 6 2 3 3" xfId="28057"/>
    <cellStyle name="常规 5 5 2 6 2 3 4" xfId="28059"/>
    <cellStyle name="常规 5 5 2 6 2 4" xfId="28062"/>
    <cellStyle name="常规 5 5 2 6 2 4 2" xfId="7011"/>
    <cellStyle name="常规 5 5 2 6 2 5" xfId="28067"/>
    <cellStyle name="常规 5 5 2 6 2 6" xfId="28070"/>
    <cellStyle name="常规 5 5 2 6 3" xfId="28078"/>
    <cellStyle name="常规 5 5 2 6 3 2" xfId="28080"/>
    <cellStyle name="常规 5 5 2 6 3 2 2" xfId="28082"/>
    <cellStyle name="常规 5 5 2 6 3 2 2 2" xfId="28084"/>
    <cellStyle name="常规 5 5 2 6 3 2 3" xfId="28089"/>
    <cellStyle name="常规 5 5 2 6 3 2 4" xfId="6982"/>
    <cellStyle name="常规 5 5 2 6 3 3" xfId="28093"/>
    <cellStyle name="常规 5 5 2 6 3 3 2" xfId="28095"/>
    <cellStyle name="常规 5 5 2 6 3 4" xfId="8002"/>
    <cellStyle name="常规 5 5 2 6 3 5" xfId="8007"/>
    <cellStyle name="常规 5 5 2 6 4" xfId="28100"/>
    <cellStyle name="常规 5 5 2 6 4 2" xfId="28102"/>
    <cellStyle name="常规 5 5 2 6 4 2 2" xfId="28104"/>
    <cellStyle name="常规 5 5 2 6 4 3" xfId="28109"/>
    <cellStyle name="常规 5 5 2 6 4 4" xfId="8011"/>
    <cellStyle name="常规 5 5 2 6 5" xfId="28112"/>
    <cellStyle name="常规 5 5 2 6 5 2" xfId="28114"/>
    <cellStyle name="常规 5 5 2 6 6" xfId="25413"/>
    <cellStyle name="常规 5 5 2 6 7" xfId="25425"/>
    <cellStyle name="常规 5 5 2 7" xfId="28117"/>
    <cellStyle name="常规 5 5 2 7 2" xfId="28119"/>
    <cellStyle name="常规 5 5 2 7 2 2" xfId="28121"/>
    <cellStyle name="常规 5 5 2 7 2 2 2" xfId="28123"/>
    <cellStyle name="常规 5 5 2 7 2 2 2 2" xfId="24642"/>
    <cellStyle name="常规 5 5 2 7 2 2 3" xfId="14715"/>
    <cellStyle name="常规 5 5 2 7 2 2 4" xfId="28125"/>
    <cellStyle name="常规 5 5 2 7 2 3" xfId="28127"/>
    <cellStyle name="常规 5 5 2 7 2 3 2" xfId="28129"/>
    <cellStyle name="常规 5 5 2 7 2 4" xfId="28133"/>
    <cellStyle name="常规 5 5 2 7 2 5" xfId="28136"/>
    <cellStyle name="常规 5 5 2 7 3" xfId="28141"/>
    <cellStyle name="常规 5 5 2 7 3 2" xfId="28143"/>
    <cellStyle name="常规 5 5 2 7 3 2 2" xfId="6659"/>
    <cellStyle name="常规 5 5 2 7 3 3" xfId="28145"/>
    <cellStyle name="常规 5 5 2 7 3 4" xfId="8022"/>
    <cellStyle name="常规 5 5 2 7 4" xfId="28148"/>
    <cellStyle name="常规 5 5 2 7 4 2" xfId="28150"/>
    <cellStyle name="常规 5 5 2 7 5" xfId="18268"/>
    <cellStyle name="常规 5 5 2 7 6" xfId="18275"/>
    <cellStyle name="常规 5 5 2 8" xfId="28154"/>
    <cellStyle name="常规 5 5 2 8 2" xfId="28156"/>
    <cellStyle name="常规 5 5 2 8 2 2" xfId="28158"/>
    <cellStyle name="常规 5 5 2 8 2 2 2" xfId="28161"/>
    <cellStyle name="常规 5 5 2 8 2 3" xfId="28165"/>
    <cellStyle name="常规 5 5 2 8 2 4" xfId="28168"/>
    <cellStyle name="常规 5 5 2 8 3" xfId="14198"/>
    <cellStyle name="常规 5 5 2 8 3 2" xfId="14201"/>
    <cellStyle name="常规 5 5 2 8 4" xfId="14214"/>
    <cellStyle name="常规 5 5 2 8 5" xfId="14221"/>
    <cellStyle name="常规 5 5 2 9" xfId="28171"/>
    <cellStyle name="常规 5 5 2 9 2" xfId="28173"/>
    <cellStyle name="常规 5 5 2 9 2 2" xfId="28175"/>
    <cellStyle name="常规 5 5 2 9 3" xfId="14248"/>
    <cellStyle name="常规 5 5 2 9 4" xfId="14255"/>
    <cellStyle name="常规 5 5 3" xfId="29676"/>
    <cellStyle name="常规 5 5 3 10" xfId="23688"/>
    <cellStyle name="常规 5 5 3 11" xfId="23691"/>
    <cellStyle name="常规 5 5 3 2" xfId="33675"/>
    <cellStyle name="常规 5 5 3 2 2" xfId="12803"/>
    <cellStyle name="常规 5 5 3 2 2 2" xfId="12807"/>
    <cellStyle name="常规 5 5 3 2 2 2 2" xfId="33676"/>
    <cellStyle name="常规 5 5 3 2 2 2 2 2" xfId="33677"/>
    <cellStyle name="常规 5 5 3 2 2 2 2 2 2" xfId="33147"/>
    <cellStyle name="常规 5 5 3 2 2 2 2 2 2 2" xfId="7543"/>
    <cellStyle name="常规 5 5 3 2 2 2 2 2 2 2 2" xfId="33679"/>
    <cellStyle name="常规 5 5 3 2 2 2 2 2 2 3" xfId="2391"/>
    <cellStyle name="常规 5 5 3 2 2 2 2 2 2 4" xfId="33680"/>
    <cellStyle name="常规 5 5 3 2 2 2 2 2 3" xfId="33681"/>
    <cellStyle name="常规 5 5 3 2 2 2 2 2 3 2" xfId="33682"/>
    <cellStyle name="常规 5 5 3 2 2 2 2 2 4" xfId="21210"/>
    <cellStyle name="常规 5 5 3 2 2 2 2 2 5" xfId="21235"/>
    <cellStyle name="常规 5 5 3 2 2 2 2 3" xfId="33683"/>
    <cellStyle name="常规 5 5 3 2 2 2 2 3 2" xfId="33684"/>
    <cellStyle name="常规 5 5 3 2 2 2 2 3 2 2" xfId="13367"/>
    <cellStyle name="常规 5 5 3 2 2 2 2 3 3" xfId="33685"/>
    <cellStyle name="常规 5 5 3 2 2 2 2 3 4" xfId="21249"/>
    <cellStyle name="常规 5 5 3 2 2 2 2 4" xfId="29095"/>
    <cellStyle name="常规 5 5 3 2 2 2 2 4 2" xfId="33531"/>
    <cellStyle name="常规 5 5 3 2 2 2 2 5" xfId="12831"/>
    <cellStyle name="常规 5 5 3 2 2 2 2 6" xfId="28192"/>
    <cellStyle name="常规 5 5 3 2 2 2 3" xfId="15840"/>
    <cellStyle name="常规 5 5 3 2 2 2 3 2" xfId="15845"/>
    <cellStyle name="常规 5 5 3 2 2 2 3 2 2" xfId="22765"/>
    <cellStyle name="常规 5 5 3 2 2 2 3 2 2 2" xfId="33686"/>
    <cellStyle name="常规 5 5 3 2 2 2 3 2 3" xfId="33687"/>
    <cellStyle name="常规 5 5 3 2 2 2 3 2 4" xfId="1549"/>
    <cellStyle name="常规 5 5 3 2 2 2 3 3" xfId="22767"/>
    <cellStyle name="常规 5 5 3 2 2 2 3 3 2" xfId="33688"/>
    <cellStyle name="常规 5 5 3 2 2 2 3 4" xfId="22769"/>
    <cellStyle name="常规 5 5 3 2 2 2 3 5" xfId="25762"/>
    <cellStyle name="常规 5 5 3 2 2 2 4" xfId="15848"/>
    <cellStyle name="常规 5 5 3 2 2 2 4 2" xfId="22773"/>
    <cellStyle name="常规 5 5 3 2 2 2 4 2 2" xfId="27068"/>
    <cellStyle name="常规 5 5 3 2 2 2 4 3" xfId="33689"/>
    <cellStyle name="常规 5 5 3 2 2 2 4 4" xfId="13272"/>
    <cellStyle name="常规 5 5 3 2 2 2 5" xfId="15851"/>
    <cellStyle name="常规 5 5 3 2 2 2 5 2" xfId="33690"/>
    <cellStyle name="常规 5 5 3 2 2 2 6" xfId="22777"/>
    <cellStyle name="常规 5 5 3 2 2 2 7" xfId="29124"/>
    <cellStyle name="常规 5 5 3 2 2 3" xfId="33029"/>
    <cellStyle name="常规 5 5 3 2 2 3 2" xfId="3984"/>
    <cellStyle name="常规 5 5 3 2 2 3 2 2" xfId="7598"/>
    <cellStyle name="常规 5 5 3 2 2 3 2 2 2" xfId="33195"/>
    <cellStyle name="常规 5 5 3 2 2 3 2 2 2 2" xfId="33691"/>
    <cellStyle name="常规 5 5 3 2 2 3 2 2 3" xfId="33692"/>
    <cellStyle name="常规 5 5 3 2 2 3 2 2 4" xfId="21371"/>
    <cellStyle name="常规 5 5 3 2 2 3 2 3" xfId="21571"/>
    <cellStyle name="常规 5 5 3 2 2 3 2 3 2" xfId="21573"/>
    <cellStyle name="常规 5 5 3 2 2 3 2 4" xfId="21575"/>
    <cellStyle name="常规 5 5 3 2 2 3 2 5" xfId="21577"/>
    <cellStyle name="常规 5 5 3 2 2 3 3" xfId="15856"/>
    <cellStyle name="常规 5 5 3 2 2 3 3 2" xfId="22780"/>
    <cellStyle name="常规 5 5 3 2 2 3 3 2 2" xfId="33693"/>
    <cellStyle name="常规 5 5 3 2 2 3 3 3" xfId="21580"/>
    <cellStyle name="常规 5 5 3 2 2 3 3 4" xfId="25781"/>
    <cellStyle name="常规 5 5 3 2 2 3 4" xfId="22782"/>
    <cellStyle name="常规 5 5 3 2 2 3 4 2" xfId="33694"/>
    <cellStyle name="常规 5 5 3 2 2 3 5" xfId="22784"/>
    <cellStyle name="常规 5 5 3 2 2 3 6" xfId="12919"/>
    <cellStyle name="常规 5 5 3 2 2 4" xfId="33031"/>
    <cellStyle name="常规 5 5 3 2 2 4 2" xfId="7734"/>
    <cellStyle name="常规 5 5 3 2 2 4 2 2" xfId="33695"/>
    <cellStyle name="常规 5 5 3 2 2 4 2 2 2" xfId="33696"/>
    <cellStyle name="常规 5 5 3 2 2 4 2 3" xfId="21586"/>
    <cellStyle name="常规 5 5 3 2 2 4 2 4" xfId="33697"/>
    <cellStyle name="常规 5 5 3 2 2 4 3" xfId="22786"/>
    <cellStyle name="常规 5 5 3 2 2 4 3 2" xfId="33698"/>
    <cellStyle name="常规 5 5 3 2 2 4 4" xfId="33699"/>
    <cellStyle name="常规 5 5 3 2 2 4 5" xfId="33700"/>
    <cellStyle name="常规 5 5 3 2 2 5" xfId="33033"/>
    <cellStyle name="常规 5 5 3 2 2 5 2" xfId="7939"/>
    <cellStyle name="常规 5 5 3 2 2 5 2 2" xfId="33701"/>
    <cellStyle name="常规 5 5 3 2 2 5 3" xfId="33702"/>
    <cellStyle name="常规 5 5 3 2 2 5 4" xfId="33703"/>
    <cellStyle name="常规 5 5 3 2 2 6" xfId="33704"/>
    <cellStyle name="常规 5 5 3 2 2 6 2" xfId="33705"/>
    <cellStyle name="常规 5 5 3 2 2 7" xfId="3246"/>
    <cellStyle name="常规 5 5 3 2 2 8" xfId="33706"/>
    <cellStyle name="常规 5 5 3 2 3" xfId="12810"/>
    <cellStyle name="常规 5 5 3 2 3 2" xfId="33707"/>
    <cellStyle name="常规 5 5 3 2 3 2 2" xfId="33708"/>
    <cellStyle name="常规 5 5 3 2 3 2 2 2" xfId="18804"/>
    <cellStyle name="常规 5 5 3 2 3 2 2 2 2" xfId="29029"/>
    <cellStyle name="常规 5 5 3 2 3 2 2 2 2 2" xfId="29033"/>
    <cellStyle name="常规 5 5 3 2 3 2 2 2 3" xfId="29062"/>
    <cellStyle name="常规 5 5 3 2 3 2 2 2 4" xfId="21758"/>
    <cellStyle name="常规 5 5 3 2 3 2 2 3" xfId="18806"/>
    <cellStyle name="常规 5 5 3 2 3 2 2 3 2" xfId="29159"/>
    <cellStyle name="常规 5 5 3 2 3 2 2 4" xfId="6139"/>
    <cellStyle name="常规 5 5 3 2 3 2 2 5" xfId="5810"/>
    <cellStyle name="常规 5 5 3 2 3 2 3" xfId="15891"/>
    <cellStyle name="常规 5 5 3 2 3 2 3 2" xfId="19815"/>
    <cellStyle name="常规 5 5 3 2 3 2 3 2 2" xfId="33709"/>
    <cellStyle name="常规 5 5 3 2 3 2 3 3" xfId="33710"/>
    <cellStyle name="常规 5 5 3 2 3 2 3 4" xfId="6155"/>
    <cellStyle name="常规 5 5 3 2 3 2 4" xfId="22789"/>
    <cellStyle name="常规 5 5 3 2 3 2 4 2" xfId="32491"/>
    <cellStyle name="常规 5 5 3 2 3 2 5" xfId="22791"/>
    <cellStyle name="常规 5 5 3 2 3 2 6" xfId="29129"/>
    <cellStyle name="常规 5 5 3 2 3 3" xfId="33037"/>
    <cellStyle name="常规 5 5 3 2 3 3 2" xfId="8435"/>
    <cellStyle name="常规 5 5 3 2 3 3 2 2" xfId="33711"/>
    <cellStyle name="常规 5 5 3 2 3 3 2 2 2" xfId="5158"/>
    <cellStyle name="常规 5 5 3 2 3 3 2 3" xfId="21600"/>
    <cellStyle name="常规 5 5 3 2 3 3 2 4" xfId="1883"/>
    <cellStyle name="常规 5 5 3 2 3 3 3" xfId="22793"/>
    <cellStyle name="常规 5 5 3 2 3 3 3 2" xfId="33712"/>
    <cellStyle name="常规 5 5 3 2 3 3 4" xfId="33713"/>
    <cellStyle name="常规 5 5 3 2 3 3 5" xfId="33714"/>
    <cellStyle name="常规 5 5 3 2 3 4" xfId="33715"/>
    <cellStyle name="常规 5 5 3 2 3 4 2" xfId="8703"/>
    <cellStyle name="常规 5 5 3 2 3 4 2 2" xfId="33716"/>
    <cellStyle name="常规 5 5 3 2 3 4 3" xfId="33717"/>
    <cellStyle name="常规 5 5 3 2 3 4 4" xfId="33718"/>
    <cellStyle name="常规 5 5 3 2 3 5" xfId="33719"/>
    <cellStyle name="常规 5 5 3 2 3 5 2" xfId="33720"/>
    <cellStyle name="常规 5 5 3 2 3 6" xfId="33721"/>
    <cellStyle name="常规 5 5 3 2 3 7" xfId="33722"/>
    <cellStyle name="常规 5 5 3 2 4" xfId="12814"/>
    <cellStyle name="常规 5 5 3 2 4 2" xfId="33724"/>
    <cellStyle name="常规 5 5 3 2 4 2 2" xfId="14787"/>
    <cellStyle name="常规 5 5 3 2 4 2 2 2" xfId="14789"/>
    <cellStyle name="常规 5 5 3 2 4 2 2 2 2" xfId="33725"/>
    <cellStyle name="常规 5 5 3 2 4 2 2 3" xfId="33726"/>
    <cellStyle name="常规 5 5 3 2 4 2 2 4" xfId="6243"/>
    <cellStyle name="常规 5 5 3 2 4 2 3" xfId="14791"/>
    <cellStyle name="常规 5 5 3 2 4 2 3 2" xfId="33727"/>
    <cellStyle name="常规 5 5 3 2 4 2 4" xfId="14794"/>
    <cellStyle name="常规 5 5 3 2 4 2 5" xfId="14107"/>
    <cellStyle name="常规 5 5 3 2 4 3" xfId="33728"/>
    <cellStyle name="常规 5 5 3 2 4 3 2" xfId="9252"/>
    <cellStyle name="常规 5 5 3 2 4 3 2 2" xfId="21225"/>
    <cellStyle name="常规 5 5 3 2 4 3 3" xfId="14803"/>
    <cellStyle name="常规 5 5 3 2 4 3 4" xfId="33729"/>
    <cellStyle name="常规 5 5 3 2 4 4" xfId="33730"/>
    <cellStyle name="常规 5 5 3 2 4 4 2" xfId="648"/>
    <cellStyle name="常规 5 5 3 2 4 5" xfId="33731"/>
    <cellStyle name="常规 5 5 3 2 4 6" xfId="33732"/>
    <cellStyle name="常规 5 5 3 2 5" xfId="33733"/>
    <cellStyle name="常规 5 5 3 2 5 2" xfId="33734"/>
    <cellStyle name="常规 5 5 3 2 5 2 2" xfId="14976"/>
    <cellStyle name="常规 5 5 3 2 5 2 2 2" xfId="14978"/>
    <cellStyle name="常规 5 5 3 2 5 2 3" xfId="14980"/>
    <cellStyle name="常规 5 5 3 2 5 2 4" xfId="14983"/>
    <cellStyle name="常规 5 5 3 2 5 3" xfId="33735"/>
    <cellStyle name="常规 5 5 3 2 5 3 2" xfId="14999"/>
    <cellStyle name="常规 5 5 3 2 5 4" xfId="33736"/>
    <cellStyle name="常规 5 5 3 2 5 5" xfId="33737"/>
    <cellStyle name="常规 5 5 3 2 6" xfId="33739"/>
    <cellStyle name="常规 5 5 3 2 6 2" xfId="11488"/>
    <cellStyle name="常规 5 5 3 2 6 2 2" xfId="11490"/>
    <cellStyle name="常规 5 5 3 2 6 3" xfId="11493"/>
    <cellStyle name="常规 5 5 3 2 6 4" xfId="11495"/>
    <cellStyle name="常规 5 5 3 2 7" xfId="33741"/>
    <cellStyle name="常规 5 5 3 2 7 2" xfId="11808"/>
    <cellStyle name="常规 5 5 3 2 8" xfId="33743"/>
    <cellStyle name="常规 5 5 3 2 9" xfId="33744"/>
    <cellStyle name="常规 5 5 3 3" xfId="33745"/>
    <cellStyle name="常规 5 5 3 3 2" xfId="12824"/>
    <cellStyle name="常规 5 5 3 3 2 2" xfId="21099"/>
    <cellStyle name="常规 5 5 3 3 2 2 2" xfId="33746"/>
    <cellStyle name="常规 5 5 3 3 2 2 2 2" xfId="869"/>
    <cellStyle name="常规 5 5 3 3 2 2 2 2 2" xfId="33747"/>
    <cellStyle name="常规 5 5 3 3 2 2 2 2 2 2" xfId="33748"/>
    <cellStyle name="常规 5 5 3 3 2 2 2 2 2 2 2" xfId="18622"/>
    <cellStyle name="常规 5 5 3 3 2 2 2 2 2 3" xfId="33750"/>
    <cellStyle name="常规 5 5 3 3 2 2 2 2 2 4" xfId="33751"/>
    <cellStyle name="常规 5 5 3 3 2 2 2 2 3" xfId="33752"/>
    <cellStyle name="常规 5 5 3 3 2 2 2 2 3 2" xfId="33753"/>
    <cellStyle name="常规 5 5 3 3 2 2 2 2 4" xfId="22370"/>
    <cellStyle name="常规 5 5 3 3 2 2 2 2 5" xfId="22380"/>
    <cellStyle name="常规 5 5 3 3 2 2 2 3" xfId="876"/>
    <cellStyle name="常规 5 5 3 3 2 2 2 3 2" xfId="33754"/>
    <cellStyle name="常规 5 5 3 3 2 2 2 3 2 2" xfId="33755"/>
    <cellStyle name="常规 5 5 3 3 2 2 2 3 3" xfId="2697"/>
    <cellStyle name="常规 5 5 3 3 2 2 2 3 4" xfId="2703"/>
    <cellStyle name="常规 5 5 3 3 2 2 2 4" xfId="29208"/>
    <cellStyle name="常规 5 5 3 3 2 2 2 4 2" xfId="33756"/>
    <cellStyle name="常规 5 5 3 3 2 2 2 5" xfId="10971"/>
    <cellStyle name="常规 5 5 3 3 2 2 2 6" xfId="33757"/>
    <cellStyle name="常规 5 5 3 3 2 2 3" xfId="22802"/>
    <cellStyle name="常规 5 5 3 3 2 2 3 2" xfId="22804"/>
    <cellStyle name="常规 5 5 3 3 2 2 3 2 2" xfId="33758"/>
    <cellStyle name="常规 5 5 3 3 2 2 3 2 2 2" xfId="33759"/>
    <cellStyle name="常规 5 5 3 3 2 2 3 2 3" xfId="33760"/>
    <cellStyle name="常规 5 5 3 3 2 2 3 2 4" xfId="22408"/>
    <cellStyle name="常规 5 5 3 3 2 2 3 3" xfId="33761"/>
    <cellStyle name="常规 5 5 3 3 2 2 3 3 2" xfId="33762"/>
    <cellStyle name="常规 5 5 3 3 2 2 3 4" xfId="25847"/>
    <cellStyle name="常规 5 5 3 3 2 2 3 5" xfId="25851"/>
    <cellStyle name="常规 5 5 3 3 2 2 4" xfId="1783"/>
    <cellStyle name="常规 5 5 3 3 2 2 4 2" xfId="1677"/>
    <cellStyle name="常规 5 5 3 3 2 2 4 2 2" xfId="1788"/>
    <cellStyle name="常规 5 5 3 3 2 2 4 3" xfId="1800"/>
    <cellStyle name="常规 5 5 3 3 2 2 4 4" xfId="1803"/>
    <cellStyle name="常规 5 5 3 3 2 2 5" xfId="1825"/>
    <cellStyle name="常规 5 5 3 3 2 2 5 2" xfId="1829"/>
    <cellStyle name="常规 5 5 3 3 2 2 6" xfId="1864"/>
    <cellStyle name="常规 5 5 3 3 2 2 7" xfId="1876"/>
    <cellStyle name="常规 5 5 3 3 2 3" xfId="33040"/>
    <cellStyle name="常规 5 5 3 3 2 3 2" xfId="33763"/>
    <cellStyle name="常规 5 5 3 3 2 3 2 2" xfId="33764"/>
    <cellStyle name="常规 5 5 3 3 2 3 2 2 2" xfId="33766"/>
    <cellStyle name="常规 5 5 3 3 2 3 2 2 2 2" xfId="33768"/>
    <cellStyle name="常规 5 5 3 3 2 3 2 2 3" xfId="20709"/>
    <cellStyle name="常规 5 5 3 3 2 3 2 2 4" xfId="20713"/>
    <cellStyle name="常规 5 5 3 3 2 3 2 3" xfId="21622"/>
    <cellStyle name="常规 5 5 3 3 2 3 2 3 2" xfId="33770"/>
    <cellStyle name="常规 5 5 3 3 2 3 2 4" xfId="23547"/>
    <cellStyle name="常规 5 5 3 3 2 3 2 5" xfId="23574"/>
    <cellStyle name="常规 5 5 3 3 2 3 3" xfId="22807"/>
    <cellStyle name="常规 5 5 3 3 2 3 3 2" xfId="33771"/>
    <cellStyle name="常规 5 5 3 3 2 3 3 2 2" xfId="33772"/>
    <cellStyle name="常规 5 5 3 3 2 3 3 3" xfId="33773"/>
    <cellStyle name="常规 5 5 3 3 2 3 3 4" xfId="23592"/>
    <cellStyle name="常规 5 5 3 3 2 3 4" xfId="1563"/>
    <cellStyle name="常规 5 5 3 3 2 3 4 2" xfId="4636"/>
    <cellStyle name="常规 5 5 3 3 2 3 5" xfId="1573"/>
    <cellStyle name="常规 5 5 3 3 2 3 6" xfId="5010"/>
    <cellStyle name="常规 5 5 3 3 2 4" xfId="33774"/>
    <cellStyle name="常规 5 5 3 3 2 4 2" xfId="7395"/>
    <cellStyle name="常规 5 5 3 3 2 4 2 2" xfId="33775"/>
    <cellStyle name="常规 5 5 3 3 2 4 2 2 2" xfId="33776"/>
    <cellStyle name="常规 5 5 3 3 2 4 2 3" xfId="33777"/>
    <cellStyle name="常规 5 5 3 3 2 4 2 4" xfId="23634"/>
    <cellStyle name="常规 5 5 3 3 2 4 3" xfId="1583"/>
    <cellStyle name="常规 5 5 3 3 2 4 3 2" xfId="33778"/>
    <cellStyle name="常规 5 5 3 3 2 4 4" xfId="5021"/>
    <cellStyle name="常规 5 5 3 3 2 4 5" xfId="33779"/>
    <cellStyle name="常规 5 5 3 3 2 5" xfId="33780"/>
    <cellStyle name="常规 5 5 3 3 2 5 2" xfId="6508"/>
    <cellStyle name="常规 5 5 3 3 2 5 2 2" xfId="33781"/>
    <cellStyle name="常规 5 5 3 3 2 5 3" xfId="33782"/>
    <cellStyle name="常规 5 5 3 3 2 5 4" xfId="33783"/>
    <cellStyle name="常规 5 5 3 3 2 6" xfId="33784"/>
    <cellStyle name="常规 5 5 3 3 2 6 2" xfId="33785"/>
    <cellStyle name="常规 5 5 3 3 2 7" xfId="33786"/>
    <cellStyle name="常规 5 5 3 3 2 8" xfId="33787"/>
    <cellStyle name="常规 5 5 3 3 3" xfId="12827"/>
    <cellStyle name="常规 5 5 3 3 3 2" xfId="33788"/>
    <cellStyle name="常规 5 5 3 3 3 2 2" xfId="33789"/>
    <cellStyle name="常规 5 5 3 3 3 2 2 2" xfId="18991"/>
    <cellStyle name="常规 5 5 3 3 3 2 2 2 2" xfId="31957"/>
    <cellStyle name="常规 5 5 3 3 3 2 2 2 2 2" xfId="32713"/>
    <cellStyle name="常规 5 5 3 3 3 2 2 2 3" xfId="33305"/>
    <cellStyle name="常规 5 5 3 3 3 2 2 2 4" xfId="22530"/>
    <cellStyle name="常规 5 5 3 3 3 2 2 3" xfId="18995"/>
    <cellStyle name="常规 5 5 3 3 3 2 2 3 2" xfId="33790"/>
    <cellStyle name="常规 5 5 3 3 3 2 2 4" xfId="4331"/>
    <cellStyle name="常规 5 5 3 3 3 2 2 5" xfId="33791"/>
    <cellStyle name="常规 5 5 3 3 3 2 3" xfId="22812"/>
    <cellStyle name="常规 5 5 3 3 3 2 3 2" xfId="31960"/>
    <cellStyle name="常规 5 5 3 3 3 2 3 2 2" xfId="23788"/>
    <cellStyle name="常规 5 5 3 3 3 2 3 3" xfId="31962"/>
    <cellStyle name="常规 5 5 3 3 3 2 3 4" xfId="13903"/>
    <cellStyle name="常规 5 5 3 3 3 2 4" xfId="3256"/>
    <cellStyle name="常规 5 5 3 3 3 2 4 2" xfId="5101"/>
    <cellStyle name="常规 5 5 3 3 3 2 5" xfId="5106"/>
    <cellStyle name="常规 5 5 3 3 3 2 6" xfId="5109"/>
    <cellStyle name="常规 5 5 3 3 3 3" xfId="33792"/>
    <cellStyle name="常规 5 5 3 3 3 3 2" xfId="33793"/>
    <cellStyle name="常规 5 5 3 3 3 3 2 2" xfId="32040"/>
    <cellStyle name="常规 5 5 3 3 3 3 2 2 2" xfId="32042"/>
    <cellStyle name="常规 5 5 3 3 3 3 2 3" xfId="32046"/>
    <cellStyle name="常规 5 5 3 3 3 3 2 4" xfId="23729"/>
    <cellStyle name="常规 5 5 3 3 3 3 3" xfId="33794"/>
    <cellStyle name="常规 5 5 3 3 3 3 3 2" xfId="32054"/>
    <cellStyle name="常规 5 5 3 3 3 3 4" xfId="5113"/>
    <cellStyle name="常规 5 5 3 3 3 3 5" xfId="33795"/>
    <cellStyle name="常规 5 5 3 3 3 4" xfId="33796"/>
    <cellStyle name="常规 5 5 3 3 3 4 2" xfId="3445"/>
    <cellStyle name="常规 5 5 3 3 3 4 2 2" xfId="32090"/>
    <cellStyle name="常规 5 5 3 3 3 4 3" xfId="3449"/>
    <cellStyle name="常规 5 5 3 3 3 4 4" xfId="33797"/>
    <cellStyle name="常规 5 5 3 3 3 5" xfId="33798"/>
    <cellStyle name="常规 5 5 3 3 3 5 2" xfId="3479"/>
    <cellStyle name="常规 5 5 3 3 3 6" xfId="33799"/>
    <cellStyle name="常规 5 5 3 3 3 7" xfId="33800"/>
    <cellStyle name="常规 5 5 3 3 4" xfId="5726"/>
    <cellStyle name="常规 5 5 3 3 4 2" xfId="33802"/>
    <cellStyle name="常规 5 5 3 3 4 2 2" xfId="15424"/>
    <cellStyle name="常规 5 5 3 3 4 2 2 2" xfId="4184"/>
    <cellStyle name="常规 5 5 3 3 4 2 2 2 2" xfId="33803"/>
    <cellStyle name="常规 5 5 3 3 4 2 2 3" xfId="32174"/>
    <cellStyle name="常规 5 5 3 3 4 2 2 4" xfId="33804"/>
    <cellStyle name="常规 5 5 3 3 4 2 3" xfId="15426"/>
    <cellStyle name="常规 5 5 3 3 4 2 3 2" xfId="32179"/>
    <cellStyle name="常规 5 5 3 3 4 2 4" xfId="3287"/>
    <cellStyle name="常规 5 5 3 3 4 2 5" xfId="14161"/>
    <cellStyle name="常规 5 5 3 3 4 3" xfId="33805"/>
    <cellStyle name="常规 5 5 3 3 4 3 2" xfId="15453"/>
    <cellStyle name="常规 5 5 3 3 4 3 2 2" xfId="32202"/>
    <cellStyle name="常规 5 5 3 3 4 3 3" xfId="15455"/>
    <cellStyle name="常规 5 5 3 3 4 3 4" xfId="33806"/>
    <cellStyle name="常规 5 5 3 3 4 4" xfId="33807"/>
    <cellStyle name="常规 5 5 3 3 4 4 2" xfId="273"/>
    <cellStyle name="常规 5 5 3 3 4 5" xfId="33808"/>
    <cellStyle name="常规 5 5 3 3 4 6" xfId="33809"/>
    <cellStyle name="常规 5 5 3 3 5" xfId="33810"/>
    <cellStyle name="常规 5 5 3 3 5 2" xfId="33811"/>
    <cellStyle name="常规 5 5 3 3 5 2 2" xfId="15568"/>
    <cellStyle name="常规 5 5 3 3 5 2 2 2" xfId="32260"/>
    <cellStyle name="常规 5 5 3 3 5 2 3" xfId="15570"/>
    <cellStyle name="常规 5 5 3 3 5 2 4" xfId="33812"/>
    <cellStyle name="常规 5 5 3 3 5 3" xfId="33813"/>
    <cellStyle name="常规 5 5 3 3 5 3 2" xfId="15587"/>
    <cellStyle name="常规 5 5 3 3 5 4" xfId="15873"/>
    <cellStyle name="常规 5 5 3 3 5 5" xfId="33814"/>
    <cellStyle name="常规 5 5 3 3 6" xfId="33816"/>
    <cellStyle name="常规 5 5 3 3 6 2" xfId="12322"/>
    <cellStyle name="常规 5 5 3 3 6 2 2" xfId="15634"/>
    <cellStyle name="常规 5 5 3 3 6 3" xfId="12324"/>
    <cellStyle name="常规 5 5 3 3 6 4" xfId="33817"/>
    <cellStyle name="常规 5 5 3 3 7" xfId="33818"/>
    <cellStyle name="常规 5 5 3 3 7 2" xfId="12385"/>
    <cellStyle name="常规 5 5 3 3 8" xfId="33819"/>
    <cellStyle name="常规 5 5 3 3 9" xfId="33820"/>
    <cellStyle name="常规 5 5 3 4" xfId="28187"/>
    <cellStyle name="常规 5 5 3 4 2" xfId="28190"/>
    <cellStyle name="常规 5 5 3 4 2 2" xfId="18242"/>
    <cellStyle name="常规 5 5 3 4 2 2 2" xfId="18245"/>
    <cellStyle name="常规 5 5 3 4 2 2 2 2" xfId="138"/>
    <cellStyle name="常规 5 5 3 4 2 2 2 2 2" xfId="2192"/>
    <cellStyle name="常规 5 5 3 4 2 2 2 2 2 2" xfId="18248"/>
    <cellStyle name="常规 5 5 3 4 2 2 2 2 3" xfId="18265"/>
    <cellStyle name="常规 5 5 3 4 2 2 2 2 4" xfId="18300"/>
    <cellStyle name="常规 5 5 3 4 2 2 2 3" xfId="18326"/>
    <cellStyle name="常规 5 5 3 4 2 2 2 3 2" xfId="18329"/>
    <cellStyle name="常规 5 5 3 4 2 2 2 4" xfId="18364"/>
    <cellStyle name="常规 5 5 3 4 2 2 2 5" xfId="18376"/>
    <cellStyle name="常规 5 5 3 4 2 2 3" xfId="18389"/>
    <cellStyle name="常规 5 5 3 4 2 2 3 2" xfId="3651"/>
    <cellStyle name="常规 5 5 3 4 2 2 3 2 2" xfId="664"/>
    <cellStyle name="常规 5 5 3 4 2 2 3 3" xfId="18423"/>
    <cellStyle name="常规 5 5 3 4 2 2 3 4" xfId="18434"/>
    <cellStyle name="常规 5 5 3 4 2 2 4" xfId="3626"/>
    <cellStyle name="常规 5 5 3 4 2 2 4 2" xfId="15963"/>
    <cellStyle name="常规 5 5 3 4 2 2 5" xfId="15967"/>
    <cellStyle name="常规 5 5 3 4 2 2 6" xfId="7312"/>
    <cellStyle name="常规 5 5 3 4 2 3" xfId="18499"/>
    <cellStyle name="常规 5 5 3 4 2 3 2" xfId="18502"/>
    <cellStyle name="常规 5 5 3 4 2 3 2 2" xfId="1490"/>
    <cellStyle name="常规 5 5 3 4 2 3 2 2 2" xfId="18505"/>
    <cellStyle name="常规 5 5 3 4 2 3 2 3" xfId="18539"/>
    <cellStyle name="常规 5 5 3 4 2 3 2 4" xfId="18554"/>
    <cellStyle name="常规 5 5 3 4 2 3 3" xfId="18575"/>
    <cellStyle name="常规 5 5 3 4 2 3 3 2" xfId="3701"/>
    <cellStyle name="常规 5 5 3 4 2 3 4" xfId="15971"/>
    <cellStyle name="常规 5 5 3 4 2 3 5" xfId="18613"/>
    <cellStyle name="常规 5 5 3 4 2 4" xfId="18625"/>
    <cellStyle name="常规 5 5 3 4 2 4 2" xfId="1622"/>
    <cellStyle name="常规 5 5 3 4 2 4 2 2" xfId="18629"/>
    <cellStyle name="常规 5 5 3 4 2 4 3" xfId="18678"/>
    <cellStyle name="常规 5 5 3 4 2 4 4" xfId="18697"/>
    <cellStyle name="常规 5 5 3 4 2 5" xfId="18709"/>
    <cellStyle name="常规 5 5 3 4 2 5 2" xfId="18712"/>
    <cellStyle name="常规 5 5 3 4 2 6" xfId="18742"/>
    <cellStyle name="常规 5 5 3 4 2 7" xfId="28193"/>
    <cellStyle name="常规 5 5 3 4 3" xfId="28198"/>
    <cellStyle name="常规 5 5 3 4 3 2" xfId="19682"/>
    <cellStyle name="常规 5 5 3 4 3 2 2" xfId="19685"/>
    <cellStyle name="常规 5 5 3 4 3 2 2 2" xfId="19688"/>
    <cellStyle name="常规 5 5 3 4 3 2 2 2 2" xfId="19692"/>
    <cellStyle name="常规 5 5 3 4 3 2 2 3" xfId="19725"/>
    <cellStyle name="常规 5 5 3 4 3 2 2 4" xfId="9846"/>
    <cellStyle name="常规 5 5 3 4 3 2 3" xfId="19751"/>
    <cellStyle name="常规 5 5 3 4 3 2 3 2" xfId="261"/>
    <cellStyle name="常规 5 5 3 4 3 2 4" xfId="15993"/>
    <cellStyle name="常规 5 5 3 4 3 2 5" xfId="19797"/>
    <cellStyle name="常规 5 5 3 4 3 3" xfId="19807"/>
    <cellStyle name="常规 5 5 3 4 3 3 2" xfId="19810"/>
    <cellStyle name="常规 5 5 3 4 3 3 2 2" xfId="4140"/>
    <cellStyle name="常规 5 5 3 4 3 3 3" xfId="19842"/>
    <cellStyle name="常规 5 5 3 4 3 3 4" xfId="19856"/>
    <cellStyle name="常规 5 5 3 4 3 4" xfId="19870"/>
    <cellStyle name="常规 5 5 3 4 3 4 2" xfId="19873"/>
    <cellStyle name="常规 5 5 3 4 3 5" xfId="19917"/>
    <cellStyle name="常规 5 5 3 4 3 6" xfId="19932"/>
    <cellStyle name="常规 5 5 3 4 4" xfId="28200"/>
    <cellStyle name="常规 5 5 3 4 4 2" xfId="28202"/>
    <cellStyle name="常规 5 5 3 4 4 2 2" xfId="4191"/>
    <cellStyle name="常规 5 5 3 4 4 2 2 2" xfId="4196"/>
    <cellStyle name="常规 5 5 3 4 4 2 3" xfId="3692"/>
    <cellStyle name="常规 5 5 3 4 4 2 4" xfId="3697"/>
    <cellStyle name="常规 5 5 3 4 4 3" xfId="28204"/>
    <cellStyle name="常规 5 5 3 4 4 3 2" xfId="13129"/>
    <cellStyle name="常规 5 5 3 4 4 4" xfId="28206"/>
    <cellStyle name="常规 5 5 3 4 4 5" xfId="28208"/>
    <cellStyle name="常规 5 5 3 4 5" xfId="28210"/>
    <cellStyle name="常规 5 5 3 4 5 2" xfId="28212"/>
    <cellStyle name="常规 5 5 3 4 5 2 2" xfId="13157"/>
    <cellStyle name="常规 5 5 3 4 5 3" xfId="28214"/>
    <cellStyle name="常规 5 5 3 4 5 4" xfId="28216"/>
    <cellStyle name="常规 5 5 3 4 6" xfId="25464"/>
    <cellStyle name="常规 5 5 3 4 6 2" xfId="12597"/>
    <cellStyle name="常规 5 5 3 4 7" xfId="25477"/>
    <cellStyle name="常规 5 5 3 4 8" xfId="6965"/>
    <cellStyle name="常规 5 5 3 5" xfId="3029"/>
    <cellStyle name="常规 5 5 3 5 2" xfId="25766"/>
    <cellStyle name="常规 5 5 3 5 2 2" xfId="28218"/>
    <cellStyle name="常规 5 5 3 5 2 2 2" xfId="28220"/>
    <cellStyle name="常规 5 5 3 5 2 2 2 2" xfId="28222"/>
    <cellStyle name="常规 5 5 3 5 2 2 2 2 2" xfId="28224"/>
    <cellStyle name="常规 5 5 3 5 2 2 2 3" xfId="28226"/>
    <cellStyle name="常规 5 5 3 5 2 2 2 4" xfId="28228"/>
    <cellStyle name="常规 5 5 3 5 2 2 3" xfId="28230"/>
    <cellStyle name="常规 5 5 3 5 2 2 3 2" xfId="28232"/>
    <cellStyle name="常规 5 5 3 5 2 2 4" xfId="2141"/>
    <cellStyle name="常规 5 5 3 5 2 2 5" xfId="8236"/>
    <cellStyle name="常规 5 5 3 5 2 3" xfId="28234"/>
    <cellStyle name="常规 5 5 3 5 2 3 2" xfId="28236"/>
    <cellStyle name="常规 5 5 3 5 2 3 2 2" xfId="28238"/>
    <cellStyle name="常规 5 5 3 5 2 3 3" xfId="28240"/>
    <cellStyle name="常规 5 5 3 5 2 3 4" xfId="8240"/>
    <cellStyle name="常规 5 5 3 5 2 4" xfId="28242"/>
    <cellStyle name="常规 5 5 3 5 2 4 2" xfId="7803"/>
    <cellStyle name="常规 5 5 3 5 2 5" xfId="28244"/>
    <cellStyle name="常规 5 5 3 5 2 6" xfId="28246"/>
    <cellStyle name="常规 5 5 3 5 3" xfId="25770"/>
    <cellStyle name="常规 5 5 3 5 3 2" xfId="28250"/>
    <cellStyle name="常规 5 5 3 5 3 2 2" xfId="28252"/>
    <cellStyle name="常规 5 5 3 5 3 2 2 2" xfId="24721"/>
    <cellStyle name="常规 5 5 3 5 3 2 3" xfId="28254"/>
    <cellStyle name="常规 5 5 3 5 3 2 4" xfId="254"/>
    <cellStyle name="常规 5 5 3 5 3 3" xfId="28256"/>
    <cellStyle name="常规 5 5 3 5 3 3 2" xfId="28258"/>
    <cellStyle name="常规 5 5 3 5 3 4" xfId="28260"/>
    <cellStyle name="常规 5 5 3 5 3 5" xfId="28262"/>
    <cellStyle name="常规 5 5 3 5 4" xfId="28264"/>
    <cellStyle name="常规 5 5 3 5 4 2" xfId="28266"/>
    <cellStyle name="常规 5 5 3 5 4 2 2" xfId="13229"/>
    <cellStyle name="常规 5 5 3 5 4 3" xfId="28268"/>
    <cellStyle name="常规 5 5 3 5 4 4" xfId="28270"/>
    <cellStyle name="常规 5 5 3 5 5" xfId="28272"/>
    <cellStyle name="常规 5 5 3 5 5 2" xfId="28274"/>
    <cellStyle name="常规 5 5 3 5 6" xfId="25488"/>
    <cellStyle name="常规 5 5 3 5 7" xfId="25499"/>
    <cellStyle name="常规 5 5 3 6" xfId="28278"/>
    <cellStyle name="常规 5 5 3 6 2" xfId="25773"/>
    <cellStyle name="常规 5 5 3 6 2 2" xfId="28280"/>
    <cellStyle name="常规 5 5 3 6 2 2 2" xfId="28283"/>
    <cellStyle name="常规 5 5 3 6 2 2 2 2" xfId="28286"/>
    <cellStyle name="常规 5 5 3 6 2 2 3" xfId="28292"/>
    <cellStyle name="常规 5 5 3 6 2 2 4" xfId="8246"/>
    <cellStyle name="常规 5 5 3 6 2 3" xfId="28293"/>
    <cellStyle name="常规 5 5 3 6 2 3 2" xfId="28296"/>
    <cellStyle name="常规 5 5 3 6 2 4" xfId="28299"/>
    <cellStyle name="常规 5 5 3 6 2 5" xfId="28302"/>
    <cellStyle name="常规 5 5 3 6 3" xfId="28305"/>
    <cellStyle name="常规 5 5 3 6 3 2" xfId="28307"/>
    <cellStyle name="常规 5 5 3 6 3 2 2" xfId="28310"/>
    <cellStyle name="常规 5 5 3 6 3 3" xfId="28313"/>
    <cellStyle name="常规 5 5 3 6 3 4" xfId="8041"/>
    <cellStyle name="常规 5 5 3 6 4" xfId="8958"/>
    <cellStyle name="常规 5 5 3 6 4 2" xfId="8961"/>
    <cellStyle name="常规 5 5 3 6 5" xfId="8975"/>
    <cellStyle name="常规 5 5 3 6 6" xfId="8982"/>
    <cellStyle name="常规 5 5 3 7" xfId="14279"/>
    <cellStyle name="常规 5 5 3 7 2" xfId="28316"/>
    <cellStyle name="常规 5 5 3 7 2 2" xfId="28318"/>
    <cellStyle name="常规 5 5 3 7 2 2 2" xfId="28321"/>
    <cellStyle name="常规 5 5 3 7 2 3" xfId="28324"/>
    <cellStyle name="常规 5 5 3 7 2 4" xfId="28327"/>
    <cellStyle name="常规 5 5 3 7 3" xfId="28330"/>
    <cellStyle name="常规 5 5 3 7 3 2" xfId="28332"/>
    <cellStyle name="常规 5 5 3 7 4" xfId="8994"/>
    <cellStyle name="常规 5 5 3 7 5" xfId="9006"/>
    <cellStyle name="常规 5 5 3 8" xfId="28335"/>
    <cellStyle name="常规 5 5 3 8 2" xfId="28337"/>
    <cellStyle name="常规 5 5 3 8 2 2" xfId="28339"/>
    <cellStyle name="常规 5 5 3 8 3" xfId="9713"/>
    <cellStyle name="常规 5 5 3 8 4" xfId="9018"/>
    <cellStyle name="常规 5 5 3 9" xfId="28342"/>
    <cellStyle name="常规 5 5 3 9 2" xfId="28344"/>
    <cellStyle name="常规 5 5 4" xfId="29678"/>
    <cellStyle name="常规 5 5 4 2" xfId="33821"/>
    <cellStyle name="常规 5 5 4 2 2" xfId="12862"/>
    <cellStyle name="常规 5 5 4 2 2 2" xfId="33822"/>
    <cellStyle name="常规 5 5 4 2 2 2 2" xfId="33823"/>
    <cellStyle name="常规 5 5 4 2 2 2 2 2" xfId="33824"/>
    <cellStyle name="常规 5 5 4 2 2 2 2 2 2" xfId="33825"/>
    <cellStyle name="常规 5 5 4 2 2 2 2 2 2 2" xfId="2103"/>
    <cellStyle name="常规 5 5 4 2 2 2 2 2 3" xfId="33826"/>
    <cellStyle name="常规 5 5 4 2 2 2 2 2 4" xfId="23408"/>
    <cellStyle name="常规 5 5 4 2 2 2 2 3" xfId="33827"/>
    <cellStyle name="常规 5 5 4 2 2 2 2 3 2" xfId="33828"/>
    <cellStyle name="常规 5 5 4 2 2 2 2 4" xfId="33830"/>
    <cellStyle name="常规 5 5 4 2 2 2 2 5" xfId="33832"/>
    <cellStyle name="常规 5 5 4 2 2 2 3" xfId="22839"/>
    <cellStyle name="常规 5 5 4 2 2 2 3 2" xfId="22841"/>
    <cellStyle name="常规 5 5 4 2 2 2 3 2 2" xfId="33833"/>
    <cellStyle name="常规 5 5 4 2 2 2 3 3" xfId="33834"/>
    <cellStyle name="常规 5 5 4 2 2 2 3 4" xfId="26441"/>
    <cellStyle name="常规 5 5 4 2 2 2 4" xfId="22843"/>
    <cellStyle name="常规 5 5 4 2 2 2 4 2" xfId="33835"/>
    <cellStyle name="常规 5 5 4 2 2 2 5" xfId="22845"/>
    <cellStyle name="常规 5 5 4 2 2 2 6" xfId="14762"/>
    <cellStyle name="常规 5 5 4 2 2 3" xfId="33048"/>
    <cellStyle name="常规 5 5 4 2 2 3 2" xfId="33836"/>
    <cellStyle name="常规 5 5 4 2 2 3 2 2" xfId="33837"/>
    <cellStyle name="常规 5 5 4 2 2 3 2 2 2" xfId="33838"/>
    <cellStyle name="常规 5 5 4 2 2 3 2 3" xfId="21664"/>
    <cellStyle name="常规 5 5 4 2 2 3 2 4" xfId="33840"/>
    <cellStyle name="常规 5 5 4 2 2 3 3" xfId="22848"/>
    <cellStyle name="常规 5 5 4 2 2 3 3 2" xfId="33841"/>
    <cellStyle name="常规 5 5 4 2 2 3 4" xfId="33842"/>
    <cellStyle name="常规 5 5 4 2 2 3 5" xfId="33843"/>
    <cellStyle name="常规 5 5 4 2 2 4" xfId="33844"/>
    <cellStyle name="常规 5 5 4 2 2 4 2" xfId="33845"/>
    <cellStyle name="常规 5 5 4 2 2 4 2 2" xfId="33846"/>
    <cellStyle name="常规 5 5 4 2 2 4 3" xfId="33847"/>
    <cellStyle name="常规 5 5 4 2 2 4 4" xfId="33848"/>
    <cellStyle name="常规 5 5 4 2 2 5" xfId="33849"/>
    <cellStyle name="常规 5 5 4 2 2 5 2" xfId="18146"/>
    <cellStyle name="常规 5 5 4 2 2 6" xfId="33850"/>
    <cellStyle name="常规 5 5 4 2 2 7" xfId="33851"/>
    <cellStyle name="常规 5 5 4 2 3" xfId="12866"/>
    <cellStyle name="常规 5 5 4 2 3 2" xfId="33852"/>
    <cellStyle name="常规 5 5 4 2 3 2 2" xfId="33853"/>
    <cellStyle name="常规 5 5 4 2 3 2 2 2" xfId="33854"/>
    <cellStyle name="常规 5 5 4 2 3 2 2 2 2" xfId="33856"/>
    <cellStyle name="常规 5 5 4 2 3 2 2 3" xfId="33857"/>
    <cellStyle name="常规 5 5 4 2 3 2 2 4" xfId="5737"/>
    <cellStyle name="常规 5 5 4 2 3 2 3" xfId="22854"/>
    <cellStyle name="常规 5 5 4 2 3 2 3 2" xfId="33858"/>
    <cellStyle name="常规 5 5 4 2 3 2 4" xfId="33859"/>
    <cellStyle name="常规 5 5 4 2 3 2 5" xfId="28160"/>
    <cellStyle name="常规 5 5 4 2 3 3" xfId="33860"/>
    <cellStyle name="常规 5 5 4 2 3 3 2" xfId="33861"/>
    <cellStyle name="常规 5 5 4 2 3 3 2 2" xfId="33862"/>
    <cellStyle name="常规 5 5 4 2 3 3 3" xfId="33863"/>
    <cellStyle name="常规 5 5 4 2 3 3 4" xfId="33864"/>
    <cellStyle name="常规 5 5 4 2 3 4" xfId="33865"/>
    <cellStyle name="常规 5 5 4 2 3 4 2" xfId="7193"/>
    <cellStyle name="常规 5 5 4 2 3 5" xfId="33867"/>
    <cellStyle name="常规 5 5 4 2 3 6" xfId="33590"/>
    <cellStyle name="常规 5 5 4 2 4" xfId="33868"/>
    <cellStyle name="常规 5 5 4 2 4 2" xfId="33869"/>
    <cellStyle name="常规 5 5 4 2 4 2 2" xfId="33870"/>
    <cellStyle name="常规 5 5 4 2 4 2 2 2" xfId="33329"/>
    <cellStyle name="常规 5 5 4 2 4 2 3" xfId="6146"/>
    <cellStyle name="常规 5 5 4 2 4 2 4" xfId="6159"/>
    <cellStyle name="常规 5 5 4 2 4 3" xfId="33871"/>
    <cellStyle name="常规 5 5 4 2 4 3 2" xfId="33872"/>
    <cellStyle name="常规 5 5 4 2 4 4" xfId="33873"/>
    <cellStyle name="常规 5 5 4 2 4 5" xfId="24154"/>
    <cellStyle name="常规 5 5 4 2 5" xfId="33874"/>
    <cellStyle name="常规 5 5 4 2 5 2" xfId="33875"/>
    <cellStyle name="常规 5 5 4 2 5 2 2" xfId="33876"/>
    <cellStyle name="常规 5 5 4 2 5 3" xfId="33877"/>
    <cellStyle name="常规 5 5 4 2 5 4" xfId="33878"/>
    <cellStyle name="常规 5 5 4 2 6" xfId="33880"/>
    <cellStyle name="常规 5 5 4 2 6 2" xfId="13892"/>
    <cellStyle name="常规 5 5 4 2 7" xfId="33881"/>
    <cellStyle name="常规 5 5 4 2 8" xfId="33882"/>
    <cellStyle name="常规 5 5 4 3" xfId="33883"/>
    <cellStyle name="常规 5 5 4 3 2" xfId="33884"/>
    <cellStyle name="常规 5 5 4 3 2 2" xfId="9903"/>
    <cellStyle name="常规 5 5 4 3 2 2 2" xfId="9907"/>
    <cellStyle name="常规 5 5 4 3 2 2 2 2" xfId="9909"/>
    <cellStyle name="常规 5 5 4 3 2 2 2 2 2" xfId="3874"/>
    <cellStyle name="常规 5 5 4 3 2 2 2 3" xfId="9917"/>
    <cellStyle name="常规 5 5 4 3 2 2 2 4" xfId="9920"/>
    <cellStyle name="常规 5 5 4 3 2 2 3" xfId="9923"/>
    <cellStyle name="常规 5 5 4 3 2 2 3 2" xfId="9926"/>
    <cellStyle name="常规 5 5 4 3 2 2 4" xfId="6386"/>
    <cellStyle name="常规 5 5 4 3 2 2 5" xfId="9934"/>
    <cellStyle name="常规 5 5 4 3 2 3" xfId="9937"/>
    <cellStyle name="常规 5 5 4 3 2 3 2" xfId="9939"/>
    <cellStyle name="常规 5 5 4 3 2 3 2 2" xfId="9941"/>
    <cellStyle name="常规 5 5 4 3 2 3 3" xfId="9946"/>
    <cellStyle name="常规 5 5 4 3 2 3 4" xfId="9949"/>
    <cellStyle name="常规 5 5 4 3 2 4" xfId="9952"/>
    <cellStyle name="常规 5 5 4 3 2 4 2" xfId="8260"/>
    <cellStyle name="常规 5 5 4 3 2 5" xfId="9957"/>
    <cellStyle name="常规 5 5 4 3 2 6" xfId="9960"/>
    <cellStyle name="常规 5 5 4 3 3" xfId="27608"/>
    <cellStyle name="常规 5 5 4 3 3 2" xfId="10122"/>
    <cellStyle name="常规 5 5 4 3 3 2 2" xfId="10128"/>
    <cellStyle name="常规 5 5 4 3 3 2 2 2" xfId="10131"/>
    <cellStyle name="常规 5 5 4 3 3 2 3" xfId="10146"/>
    <cellStyle name="常规 5 5 4 3 3 2 4" xfId="10153"/>
    <cellStyle name="常规 5 5 4 3 3 3" xfId="10161"/>
    <cellStyle name="常规 5 5 4 3 3 3 2" xfId="10163"/>
    <cellStyle name="常规 5 5 4 3 3 4" xfId="10177"/>
    <cellStyle name="常规 5 5 4 3 3 5" xfId="10184"/>
    <cellStyle name="常规 5 5 4 3 4" xfId="27611"/>
    <cellStyle name="常规 5 5 4 3 4 2" xfId="10297"/>
    <cellStyle name="常规 5 5 4 3 4 2 2" xfId="4328"/>
    <cellStyle name="常规 5 5 4 3 4 3" xfId="10309"/>
    <cellStyle name="常规 5 5 4 3 4 4" xfId="10315"/>
    <cellStyle name="常规 5 5 4 3 5" xfId="27615"/>
    <cellStyle name="常规 5 5 4 3 5 2" xfId="10365"/>
    <cellStyle name="常规 5 5 4 3 6" xfId="33885"/>
    <cellStyle name="常规 5 5 4 3 7" xfId="33886"/>
    <cellStyle name="常规 5 5 4 4" xfId="28351"/>
    <cellStyle name="常规 5 5 4 4 2" xfId="28353"/>
    <cellStyle name="常规 5 5 4 4 2 2" xfId="10507"/>
    <cellStyle name="常规 5 5 4 4 2 2 2" xfId="10510"/>
    <cellStyle name="常规 5 5 4 4 2 2 2 2" xfId="10513"/>
    <cellStyle name="常规 5 5 4 4 2 2 3" xfId="10522"/>
    <cellStyle name="常规 5 5 4 4 2 2 4" xfId="1332"/>
    <cellStyle name="常规 5 5 4 4 2 3" xfId="10532"/>
    <cellStyle name="常规 5 5 4 4 2 3 2" xfId="10536"/>
    <cellStyle name="常规 5 5 4 4 2 4" xfId="10553"/>
    <cellStyle name="常规 5 5 4 4 2 5" xfId="10558"/>
    <cellStyle name="常规 5 5 4 4 3" xfId="27620"/>
    <cellStyle name="常规 5 5 4 4 3 2" xfId="10593"/>
    <cellStyle name="常规 5 5 4 4 3 2 2" xfId="10596"/>
    <cellStyle name="常规 5 5 4 4 3 3" xfId="10608"/>
    <cellStyle name="常规 5 5 4 4 3 4" xfId="10615"/>
    <cellStyle name="常规 5 5 4 4 4" xfId="28395"/>
    <cellStyle name="常规 5 5 4 4 4 2" xfId="10643"/>
    <cellStyle name="常规 5 5 4 4 5" xfId="28400"/>
    <cellStyle name="常规 5 5 4 4 6" xfId="25526"/>
    <cellStyle name="常规 5 5 4 5" xfId="28403"/>
    <cellStyle name="常规 5 5 4 5 2" xfId="25786"/>
    <cellStyle name="常规 5 5 4 5 2 2" xfId="10794"/>
    <cellStyle name="常规 5 5 4 5 2 2 2" xfId="10797"/>
    <cellStyle name="常规 5 5 4 5 2 3" xfId="10815"/>
    <cellStyle name="常规 5 5 4 5 2 4" xfId="10823"/>
    <cellStyle name="常规 5 5 4 5 3" xfId="28405"/>
    <cellStyle name="常规 5 5 4 5 3 2" xfId="10894"/>
    <cellStyle name="常规 5 5 4 5 4" xfId="17018"/>
    <cellStyle name="常规 5 5 4 5 5" xfId="17021"/>
    <cellStyle name="常规 5 5 4 6" xfId="28407"/>
    <cellStyle name="常规 5 5 4 6 2" xfId="28409"/>
    <cellStyle name="常规 5 5 4 6 2 2" xfId="11062"/>
    <cellStyle name="常规 5 5 4 6 3" xfId="28411"/>
    <cellStyle name="常规 5 5 4 6 4" xfId="9049"/>
    <cellStyle name="常规 5 5 4 7" xfId="28413"/>
    <cellStyle name="常规 5 5 4 7 2" xfId="28415"/>
    <cellStyle name="常规 5 5 4 8" xfId="28418"/>
    <cellStyle name="常规 5 5 4 9" xfId="28421"/>
    <cellStyle name="常规 5 5 5" xfId="8185"/>
    <cellStyle name="常规 5 5 5 2" xfId="8188"/>
    <cellStyle name="常规 5 5 5 2 2" xfId="8616"/>
    <cellStyle name="常规 5 5 5 2 2 2" xfId="33887"/>
    <cellStyle name="常规 5 5 5 2 2 2 2" xfId="33888"/>
    <cellStyle name="常规 5 5 5 2 2 2 2 2" xfId="12318"/>
    <cellStyle name="常规 5 5 5 2 2 2 2 2 2" xfId="33889"/>
    <cellStyle name="常规 5 5 5 2 2 2 2 2 2 2" xfId="10099"/>
    <cellStyle name="常规 5 5 5 2 2 2 2 2 3" xfId="11857"/>
    <cellStyle name="常规 5 5 5 2 2 2 2 2 4" xfId="33890"/>
    <cellStyle name="常规 5 5 5 2 2 2 2 3" xfId="5181"/>
    <cellStyle name="常规 5 5 5 2 2 2 2 3 2" xfId="5626"/>
    <cellStyle name="常规 5 5 5 2 2 2 2 4" xfId="30736"/>
    <cellStyle name="常规 5 5 5 2 2 2 2 5" xfId="33891"/>
    <cellStyle name="常规 5 5 5 2 2 2 3" xfId="22875"/>
    <cellStyle name="常规 5 5 5 2 2 2 3 2" xfId="15616"/>
    <cellStyle name="常规 5 5 5 2 2 2 3 2 2" xfId="33892"/>
    <cellStyle name="常规 5 5 5 2 2 2 3 3" xfId="33893"/>
    <cellStyle name="常规 5 5 5 2 2 2 3 4" xfId="33894"/>
    <cellStyle name="常规 5 5 5 2 2 2 4" xfId="33895"/>
    <cellStyle name="常规 5 5 5 2 2 2 4 2" xfId="33896"/>
    <cellStyle name="常规 5 5 5 2 2 2 5" xfId="33897"/>
    <cellStyle name="常规 5 5 5 2 2 2 6" xfId="14950"/>
    <cellStyle name="常规 5 5 5 2 2 3" xfId="33898"/>
    <cellStyle name="常规 5 5 5 2 2 3 2" xfId="33899"/>
    <cellStyle name="常规 5 5 5 2 2 3 2 2" xfId="33900"/>
    <cellStyle name="常规 5 5 5 2 2 3 2 2 2" xfId="33901"/>
    <cellStyle name="常规 5 5 5 2 2 3 2 3" xfId="33903"/>
    <cellStyle name="常规 5 5 5 2 2 3 2 4" xfId="33904"/>
    <cellStyle name="常规 5 5 5 2 2 3 3" xfId="33905"/>
    <cellStyle name="常规 5 5 5 2 2 3 3 2" xfId="33906"/>
    <cellStyle name="常规 5 5 5 2 2 3 4" xfId="33907"/>
    <cellStyle name="常规 5 5 5 2 2 3 5" xfId="33908"/>
    <cellStyle name="常规 5 5 5 2 2 4" xfId="33909"/>
    <cellStyle name="常规 5 5 5 2 2 4 2" xfId="33910"/>
    <cellStyle name="常规 5 5 5 2 2 4 2 2" xfId="33911"/>
    <cellStyle name="常规 5 5 5 2 2 4 3" xfId="33912"/>
    <cellStyle name="常规 5 5 5 2 2 4 4" xfId="33913"/>
    <cellStyle name="常规 5 5 5 2 2 5" xfId="33914"/>
    <cellStyle name="常规 5 5 5 2 2 5 2" xfId="1772"/>
    <cellStyle name="常规 5 5 5 2 2 6" xfId="33915"/>
    <cellStyle name="常规 5 5 5 2 2 7" xfId="33916"/>
    <cellStyle name="常规 5 5 5 2 3" xfId="33917"/>
    <cellStyle name="常规 5 5 5 2 3 2" xfId="25889"/>
    <cellStyle name="常规 5 5 5 2 3 2 2" xfId="25894"/>
    <cellStyle name="常规 5 5 5 2 3 2 2 2" xfId="12587"/>
    <cellStyle name="常规 5 5 5 2 3 2 2 2 2" xfId="1971"/>
    <cellStyle name="常规 5 5 5 2 3 2 2 3" xfId="12591"/>
    <cellStyle name="常规 5 5 5 2 3 2 2 4" xfId="2592"/>
    <cellStyle name="常规 5 5 5 2 3 2 3" xfId="26131"/>
    <cellStyle name="常规 5 5 5 2 3 2 3 2" xfId="26134"/>
    <cellStyle name="常规 5 5 5 2 3 2 4" xfId="26314"/>
    <cellStyle name="常规 5 5 5 2 3 2 5" xfId="26429"/>
    <cellStyle name="常规 5 5 5 2 3 3" xfId="26544"/>
    <cellStyle name="常规 5 5 5 2 3 3 2" xfId="26546"/>
    <cellStyle name="常规 5 5 5 2 3 3 2 2" xfId="26549"/>
    <cellStyle name="常规 5 5 5 2 3 3 3" xfId="26737"/>
    <cellStyle name="常规 5 5 5 2 3 3 4" xfId="26822"/>
    <cellStyle name="常规 5 5 5 2 3 4" xfId="26919"/>
    <cellStyle name="常规 5 5 5 2 3 4 2" xfId="8170"/>
    <cellStyle name="常规 5 5 5 2 3 5" xfId="27252"/>
    <cellStyle name="常规 5 5 5 2 3 6" xfId="27444"/>
    <cellStyle name="常规 5 5 5 2 4" xfId="33918"/>
    <cellStyle name="常规 5 5 5 2 4 2" xfId="28184"/>
    <cellStyle name="常规 5 5 5 2 4 2 2" xfId="28186"/>
    <cellStyle name="常规 5 5 5 2 4 2 2 2" xfId="28189"/>
    <cellStyle name="常规 5 5 5 2 4 2 3" xfId="3028"/>
    <cellStyle name="常规 5 5 5 2 4 2 4" xfId="28277"/>
    <cellStyle name="常规 5 5 5 2 4 3" xfId="28348"/>
    <cellStyle name="常规 5 5 5 2 4 3 2" xfId="28350"/>
    <cellStyle name="常规 5 5 5 2 4 4" xfId="18801"/>
    <cellStyle name="常规 5 5 5 2 4 5" xfId="28464"/>
    <cellStyle name="常规 5 5 5 2 5" xfId="33919"/>
    <cellStyle name="常规 5 5 5 2 5 2" xfId="28868"/>
    <cellStyle name="常规 5 5 5 2 5 2 2" xfId="28872"/>
    <cellStyle name="常规 5 5 5 2 5 3" xfId="29005"/>
    <cellStyle name="常规 5 5 5 2 5 4" xfId="29028"/>
    <cellStyle name="常规 5 5 5 2 6" xfId="33920"/>
    <cellStyle name="常规 5 5 5 2 6 2" xfId="14927"/>
    <cellStyle name="常规 5 5 5 2 7" xfId="33921"/>
    <cellStyle name="常规 5 5 5 2 8" xfId="33922"/>
    <cellStyle name="常规 5 5 5 3" xfId="6440"/>
    <cellStyle name="常规 5 5 5 3 2" xfId="33923"/>
    <cellStyle name="常规 5 5 5 3 2 2" xfId="11378"/>
    <cellStyle name="常规 5 5 5 3 2 2 2" xfId="11380"/>
    <cellStyle name="常规 5 5 5 3 2 2 2 2" xfId="10388"/>
    <cellStyle name="常规 5 5 5 3 2 2 2 2 2" xfId="10391"/>
    <cellStyle name="常规 5 5 5 3 2 2 2 3" xfId="8954"/>
    <cellStyle name="常规 5 5 5 3 2 2 2 4" xfId="9044"/>
    <cellStyle name="常规 5 5 5 3 2 2 3" xfId="11382"/>
    <cellStyle name="常规 5 5 5 3 2 2 3 2" xfId="10399"/>
    <cellStyle name="常规 5 5 5 3 2 2 4" xfId="11384"/>
    <cellStyle name="常规 5 5 5 3 2 2 5" xfId="11386"/>
    <cellStyle name="常规 5 5 5 3 2 3" xfId="11388"/>
    <cellStyle name="常规 5 5 5 3 2 3 2" xfId="11390"/>
    <cellStyle name="常规 5 5 5 3 2 3 2 2" xfId="10413"/>
    <cellStyle name="常规 5 5 5 3 2 3 3" xfId="11392"/>
    <cellStyle name="常规 5 5 5 3 2 3 4" xfId="11394"/>
    <cellStyle name="常规 5 5 5 3 2 4" xfId="11396"/>
    <cellStyle name="常规 5 5 5 3 2 4 2" xfId="9040"/>
    <cellStyle name="常规 5 5 5 3 2 5" xfId="11398"/>
    <cellStyle name="常规 5 5 5 3 2 6" xfId="11400"/>
    <cellStyle name="常规 5 5 5 3 3" xfId="27631"/>
    <cellStyle name="常规 5 5 5 3 3 2" xfId="11424"/>
    <cellStyle name="常规 5 5 5 3 3 2 2" xfId="11426"/>
    <cellStyle name="常规 5 5 5 3 3 2 2 2" xfId="11428"/>
    <cellStyle name="常规 5 5 5 3 3 2 3" xfId="11431"/>
    <cellStyle name="常规 5 5 5 3 3 2 4" xfId="11433"/>
    <cellStyle name="常规 5 5 5 3 3 3" xfId="11435"/>
    <cellStyle name="常规 5 5 5 3 3 3 2" xfId="11437"/>
    <cellStyle name="常规 5 5 5 3 3 4" xfId="11439"/>
    <cellStyle name="常规 5 5 5 3 3 5" xfId="11443"/>
    <cellStyle name="常规 5 5 5 3 4" xfId="33924"/>
    <cellStyle name="常规 5 5 5 3 4 2" xfId="11460"/>
    <cellStyle name="常规 5 5 5 3 4 2 2" xfId="5272"/>
    <cellStyle name="常规 5 5 5 3 4 3" xfId="11462"/>
    <cellStyle name="常规 5 5 5 3 4 4" xfId="11464"/>
    <cellStyle name="常规 5 5 5 3 5" xfId="33925"/>
    <cellStyle name="常规 5 5 5 3 5 2" xfId="11475"/>
    <cellStyle name="常规 5 5 5 3 6" xfId="33926"/>
    <cellStyle name="常规 5 5 5 3 7" xfId="33927"/>
    <cellStyle name="常规 5 5 5 4" xfId="8618"/>
    <cellStyle name="常规 5 5 5 4 2" xfId="28426"/>
    <cellStyle name="常规 5 5 5 4 2 2" xfId="11569"/>
    <cellStyle name="常规 5 5 5 4 2 2 2" xfId="11572"/>
    <cellStyle name="常规 5 5 5 4 2 2 2 2" xfId="11575"/>
    <cellStyle name="常规 5 5 5 4 2 2 3" xfId="11585"/>
    <cellStyle name="常规 5 5 5 4 2 2 4" xfId="11590"/>
    <cellStyle name="常规 5 5 5 4 2 3" xfId="11597"/>
    <cellStyle name="常规 5 5 5 4 2 3 2" xfId="11602"/>
    <cellStyle name="常规 5 5 5 4 2 4" xfId="11619"/>
    <cellStyle name="常规 5 5 5 4 2 5" xfId="11628"/>
    <cellStyle name="常规 5 5 5 4 3" xfId="28428"/>
    <cellStyle name="常规 5 5 5 4 3 2" xfId="11710"/>
    <cellStyle name="常规 5 5 5 4 3 2 2" xfId="11714"/>
    <cellStyle name="常规 5 5 5 4 3 3" xfId="11728"/>
    <cellStyle name="常规 5 5 5 4 3 4" xfId="11740"/>
    <cellStyle name="常规 5 5 5 4 4" xfId="28430"/>
    <cellStyle name="常规 5 5 5 4 4 2" xfId="11766"/>
    <cellStyle name="常规 5 5 5 4 5" xfId="28432"/>
    <cellStyle name="常规 5 5 5 4 6" xfId="25552"/>
    <cellStyle name="常规 5 5 5 5" xfId="28434"/>
    <cellStyle name="常规 5 5 5 5 2" xfId="28437"/>
    <cellStyle name="常规 5 5 5 5 2 2" xfId="11860"/>
    <cellStyle name="常规 5 5 5 5 2 2 2" xfId="11863"/>
    <cellStyle name="常规 5 5 5 5 2 3" xfId="11872"/>
    <cellStyle name="常规 5 5 5 5 2 4" xfId="11881"/>
    <cellStyle name="常规 5 5 5 5 3" xfId="28439"/>
    <cellStyle name="常规 5 5 5 5 3 2" xfId="11929"/>
    <cellStyle name="常规 5 5 5 5 4" xfId="17034"/>
    <cellStyle name="常规 5 5 5 5 5" xfId="17037"/>
    <cellStyle name="常规 5 5 5 6" xfId="28441"/>
    <cellStyle name="常规 5 5 5 6 2" xfId="28444"/>
    <cellStyle name="常规 5 5 5 6 2 2" xfId="12023"/>
    <cellStyle name="常规 5 5 5 6 3" xfId="28446"/>
    <cellStyle name="常规 5 5 5 6 4" xfId="9090"/>
    <cellStyle name="常规 5 5 5 7" xfId="28448"/>
    <cellStyle name="常规 5 5 5 7 2" xfId="28450"/>
    <cellStyle name="常规 5 5 5 8" xfId="28455"/>
    <cellStyle name="常规 5 5 5 9" xfId="28460"/>
    <cellStyle name="常规 5 5 6" xfId="8191"/>
    <cellStyle name="常规 5 5 6 2" xfId="8624"/>
    <cellStyle name="常规 5 5 6 2 2" xfId="33928"/>
    <cellStyle name="常规 5 5 6 2 2 2" xfId="33929"/>
    <cellStyle name="常规 5 5 6 2 2 2 2" xfId="24061"/>
    <cellStyle name="常规 5 5 6 2 2 2 2 2" xfId="33930"/>
    <cellStyle name="常规 5 5 6 2 2 2 2 2 2" xfId="33931"/>
    <cellStyle name="常规 5 5 6 2 2 2 2 3" xfId="33335"/>
    <cellStyle name="常规 5 5 6 2 2 2 2 4" xfId="33932"/>
    <cellStyle name="常规 5 5 6 2 2 2 3" xfId="24063"/>
    <cellStyle name="常规 5 5 6 2 2 2 3 2" xfId="33933"/>
    <cellStyle name="常规 5 5 6 2 2 2 4" xfId="33934"/>
    <cellStyle name="常规 5 5 6 2 2 2 5" xfId="33935"/>
    <cellStyle name="常规 5 5 6 2 2 3" xfId="33936"/>
    <cellStyle name="常规 5 5 6 2 2 3 2" xfId="31036"/>
    <cellStyle name="常规 5 5 6 2 2 3 2 2" xfId="31038"/>
    <cellStyle name="常规 5 5 6 2 2 3 3" xfId="31043"/>
    <cellStyle name="常规 5 5 6 2 2 3 4" xfId="31046"/>
    <cellStyle name="常规 5 5 6 2 2 4" xfId="33937"/>
    <cellStyle name="常规 5 5 6 2 2 4 2" xfId="31053"/>
    <cellStyle name="常规 5 5 6 2 2 5" xfId="33938"/>
    <cellStyle name="常规 5 5 6 2 2 6" xfId="33939"/>
    <cellStyle name="常规 5 5 6 2 3" xfId="33940"/>
    <cellStyle name="常规 5 5 6 2 3 2" xfId="33941"/>
    <cellStyle name="常规 5 5 6 2 3 2 2" xfId="33942"/>
    <cellStyle name="常规 5 5 6 2 3 2 2 2" xfId="33943"/>
    <cellStyle name="常规 5 5 6 2 3 2 3" xfId="33944"/>
    <cellStyle name="常规 5 5 6 2 3 2 4" xfId="33118"/>
    <cellStyle name="常规 5 5 6 2 3 3" xfId="33945"/>
    <cellStyle name="常规 5 5 6 2 3 3 2" xfId="31075"/>
    <cellStyle name="常规 5 5 6 2 3 4" xfId="33946"/>
    <cellStyle name="常规 5 5 6 2 3 5" xfId="33948"/>
    <cellStyle name="常规 5 5 6 2 4" xfId="33949"/>
    <cellStyle name="常规 5 5 6 2 4 2" xfId="33950"/>
    <cellStyle name="常规 5 5 6 2 4 2 2" xfId="33951"/>
    <cellStyle name="常规 5 5 6 2 4 3" xfId="33952"/>
    <cellStyle name="常规 5 5 6 2 4 4" xfId="33953"/>
    <cellStyle name="常规 5 5 6 2 5" xfId="5154"/>
    <cellStyle name="常规 5 5 6 2 5 2" xfId="5156"/>
    <cellStyle name="常规 5 5 6 2 6" xfId="5160"/>
    <cellStyle name="常规 5 5 6 2 7" xfId="5164"/>
    <cellStyle name="常规 5 5 6 3" xfId="8627"/>
    <cellStyle name="常规 5 5 6 3 2" xfId="33955"/>
    <cellStyle name="常规 5 5 6 3 2 2" xfId="12254"/>
    <cellStyle name="常规 5 5 6 3 2 2 2" xfId="12256"/>
    <cellStyle name="常规 5 5 6 3 2 2 2 2" xfId="12258"/>
    <cellStyle name="常规 5 5 6 3 2 2 3" xfId="159"/>
    <cellStyle name="常规 5 5 6 3 2 2 4" xfId="102"/>
    <cellStyle name="常规 5 5 6 3 2 3" xfId="12260"/>
    <cellStyle name="常规 5 5 6 3 2 3 2" xfId="12264"/>
    <cellStyle name="常规 5 5 6 3 2 4" xfId="12268"/>
    <cellStyle name="常规 5 5 6 3 2 5" xfId="12271"/>
    <cellStyle name="常规 5 5 6 3 3" xfId="33956"/>
    <cellStyle name="常规 5 5 6 3 3 2" xfId="12294"/>
    <cellStyle name="常规 5 5 6 3 3 2 2" xfId="12296"/>
    <cellStyle name="常规 5 5 6 3 3 3" xfId="12298"/>
    <cellStyle name="常规 5 5 6 3 3 4" xfId="12301"/>
    <cellStyle name="常规 5 5 6 3 4" xfId="33957"/>
    <cellStyle name="常规 5 5 6 3 4 2" xfId="12309"/>
    <cellStyle name="常规 5 5 6 3 5" xfId="3492"/>
    <cellStyle name="常规 5 5 6 3 6" xfId="5187"/>
    <cellStyle name="常规 5 5 6 4" xfId="28467"/>
    <cellStyle name="常规 5 5 6 4 2" xfId="28469"/>
    <cellStyle name="常规 5 5 6 4 2 2" xfId="12340"/>
    <cellStyle name="常规 5 5 6 4 2 2 2" xfId="12343"/>
    <cellStyle name="常规 5 5 6 4 2 3" xfId="12346"/>
    <cellStyle name="常规 5 5 6 4 2 4" xfId="12352"/>
    <cellStyle name="常规 5 5 6 4 3" xfId="28483"/>
    <cellStyle name="常规 5 5 6 4 3 2" xfId="12368"/>
    <cellStyle name="常规 5 5 6 4 4" xfId="28490"/>
    <cellStyle name="常规 5 5 6 4 5" xfId="5202"/>
    <cellStyle name="常规 5 5 6 5" xfId="28493"/>
    <cellStyle name="常规 5 5 6 5 2" xfId="28495"/>
    <cellStyle name="常规 5 5 6 5 2 2" xfId="12397"/>
    <cellStyle name="常规 5 5 6 5 3" xfId="28501"/>
    <cellStyle name="常规 5 5 6 5 4" xfId="17046"/>
    <cellStyle name="常规 5 5 6 6" xfId="28505"/>
    <cellStyle name="常规 5 5 6 6 2" xfId="28507"/>
    <cellStyle name="常规 5 5 6 7" xfId="28511"/>
    <cellStyle name="常规 5 5 6 8" xfId="28516"/>
    <cellStyle name="常规 5 5 7" xfId="8193"/>
    <cellStyle name="常规 5 5 7 2" xfId="33958"/>
    <cellStyle name="常规 5 5 7 2 2" xfId="33959"/>
    <cellStyle name="常规 5 5 7 2 2 2" xfId="33960"/>
    <cellStyle name="常规 5 5 7 2 2 2 2" xfId="33961"/>
    <cellStyle name="常规 5 5 7 2 2 2 2 2" xfId="10372"/>
    <cellStyle name="常规 5 5 7 2 2 2 3" xfId="33962"/>
    <cellStyle name="常规 5 5 7 2 2 2 4" xfId="33963"/>
    <cellStyle name="常规 5 5 7 2 2 3" xfId="33964"/>
    <cellStyle name="常规 5 5 7 2 2 3 2" xfId="31231"/>
    <cellStyle name="常规 5 5 7 2 2 4" xfId="33965"/>
    <cellStyle name="常规 5 5 7 2 2 5" xfId="33966"/>
    <cellStyle name="常规 5 5 7 2 3" xfId="33967"/>
    <cellStyle name="常规 5 5 7 2 3 2" xfId="32140"/>
    <cellStyle name="常规 5 5 7 2 3 2 2" xfId="32142"/>
    <cellStyle name="常规 5 5 7 2 3 3" xfId="32227"/>
    <cellStyle name="常规 5 5 7 2 3 4" xfId="32307"/>
    <cellStyle name="常规 5 5 7 2 4" xfId="33968"/>
    <cellStyle name="常规 5 5 7 2 4 2" xfId="32485"/>
    <cellStyle name="常规 5 5 7 2 5" xfId="5512"/>
    <cellStyle name="常规 5 5 7 2 6" xfId="16006"/>
    <cellStyle name="常规 5 5 7 3" xfId="3174"/>
    <cellStyle name="常规 5 5 7 3 2" xfId="33969"/>
    <cellStyle name="常规 5 5 7 3 2 2" xfId="12506"/>
    <cellStyle name="常规 5 5 7 3 2 2 2" xfId="12508"/>
    <cellStyle name="常规 5 5 7 3 2 3" xfId="12512"/>
    <cellStyle name="常规 5 5 7 3 2 4" xfId="12517"/>
    <cellStyle name="常规 5 5 7 3 3" xfId="33970"/>
    <cellStyle name="常规 5 5 7 3 3 2" xfId="12554"/>
    <cellStyle name="常规 5 5 7 3 4" xfId="18090"/>
    <cellStyle name="常规 5 5 7 3 5" xfId="16009"/>
    <cellStyle name="常规 5 5 7 4" xfId="28519"/>
    <cellStyle name="常规 5 5 7 4 2" xfId="28521"/>
    <cellStyle name="常规 5 5 7 4 2 2" xfId="6066"/>
    <cellStyle name="常规 5 5 7 4 3" xfId="28523"/>
    <cellStyle name="常规 5 5 7 4 4" xfId="28525"/>
    <cellStyle name="常规 5 5 7 5" xfId="28529"/>
    <cellStyle name="常规 5 5 7 5 2" xfId="28531"/>
    <cellStyle name="常规 5 5 7 6" xfId="28535"/>
    <cellStyle name="常规 5 5 7 7" xfId="28538"/>
    <cellStyle name="常规 5 5 8" xfId="33971"/>
    <cellStyle name="常规 5 5 8 2" xfId="33972"/>
    <cellStyle name="常规 5 5 8 2 2" xfId="33973"/>
    <cellStyle name="常规 5 5 8 2 2 2" xfId="33975"/>
    <cellStyle name="常规 5 5 8 2 2 2 2" xfId="33976"/>
    <cellStyle name="常规 5 5 8 2 2 3" xfId="33978"/>
    <cellStyle name="常规 5 5 8 2 2 4" xfId="33979"/>
    <cellStyle name="常规 5 5 8 2 3" xfId="33980"/>
    <cellStyle name="常规 5 5 8 2 3 2" xfId="33378"/>
    <cellStyle name="常规 5 5 8 2 4" xfId="33981"/>
    <cellStyle name="常规 5 5 8 2 5" xfId="5843"/>
    <cellStyle name="常规 5 5 8 3" xfId="33982"/>
    <cellStyle name="常规 5 5 8 3 2" xfId="33983"/>
    <cellStyle name="常规 5 5 8 3 2 2" xfId="12777"/>
    <cellStyle name="常规 5 5 8 3 3" xfId="33984"/>
    <cellStyle name="常规 5 5 8 3 4" xfId="33985"/>
    <cellStyle name="常规 5 5 8 4" xfId="28543"/>
    <cellStyle name="常规 5 5 8 4 2" xfId="28545"/>
    <cellStyle name="常规 5 5 8 5" xfId="28548"/>
    <cellStyle name="常规 5 5 8 6" xfId="28551"/>
    <cellStyle name="常规 5 5 9" xfId="33986"/>
    <cellStyle name="常规 5 5 9 2" xfId="33987"/>
    <cellStyle name="常规 5 5 9 2 2" xfId="33988"/>
    <cellStyle name="常规 5 5 9 2 2 2" xfId="33990"/>
    <cellStyle name="常规 5 5 9 2 3" xfId="33991"/>
    <cellStyle name="常规 5 5 9 2 4" xfId="33992"/>
    <cellStyle name="常规 5 5 9 3" xfId="33993"/>
    <cellStyle name="常规 5 5 9 3 2" xfId="21659"/>
    <cellStyle name="常规 5 5 9 4" xfId="28555"/>
    <cellStyle name="常规 5 5 9 5" xfId="28558"/>
    <cellStyle name="常规 5 6" xfId="28781"/>
    <cellStyle name="常规 5 6 10" xfId="33994"/>
    <cellStyle name="常规 5 6 10 2" xfId="33995"/>
    <cellStyle name="常规 5 6 11" xfId="33996"/>
    <cellStyle name="常规 5 6 12" xfId="33997"/>
    <cellStyle name="常规 5 6 2" xfId="29682"/>
    <cellStyle name="常规 5 6 2 10" xfId="33998"/>
    <cellStyle name="常规 5 6 2 11" xfId="33626"/>
    <cellStyle name="常规 5 6 2 2" xfId="33999"/>
    <cellStyle name="常规 5 6 2 2 2" xfId="34001"/>
    <cellStyle name="常规 5 6 2 2 2 2" xfId="34002"/>
    <cellStyle name="常规 5 6 2 2 2 2 2" xfId="19706"/>
    <cellStyle name="常规 5 6 2 2 2 2 2 2" xfId="19708"/>
    <cellStyle name="常规 5 6 2 2 2 2 2 2 2" xfId="19710"/>
    <cellStyle name="常规 5 6 2 2 2 2 2 2 2 2" xfId="30799"/>
    <cellStyle name="常规 5 6 2 2 2 2 2 2 2 2 2" xfId="11582"/>
    <cellStyle name="常规 5 6 2 2 2 2 2 2 2 3" xfId="34004"/>
    <cellStyle name="常规 5 6 2 2 2 2 2 2 2 4" xfId="31932"/>
    <cellStyle name="常规 5 6 2 2 2 2 2 2 3" xfId="34005"/>
    <cellStyle name="常规 5 6 2 2 2 2 2 2 3 2" xfId="30129"/>
    <cellStyle name="常规 5 6 2 2 2 2 2 2 4" xfId="33352"/>
    <cellStyle name="常规 5 6 2 2 2 2 2 2 5" xfId="30486"/>
    <cellStyle name="常规 5 6 2 2 2 2 2 3" xfId="19712"/>
    <cellStyle name="常规 5 6 2 2 2 2 2 3 2" xfId="32400"/>
    <cellStyle name="常规 5 6 2 2 2 2 2 3 2 2" xfId="10757"/>
    <cellStyle name="常规 5 6 2 2 2 2 2 3 3" xfId="31064"/>
    <cellStyle name="常规 5 6 2 2 2 2 2 3 4" xfId="31069"/>
    <cellStyle name="常规 5 6 2 2 2 2 2 4" xfId="19715"/>
    <cellStyle name="常规 5 6 2 2 2 2 2 4 2" xfId="32403"/>
    <cellStyle name="常规 5 6 2 2 2 2 2 5" xfId="32407"/>
    <cellStyle name="常规 5 6 2 2 2 2 2 6" xfId="6576"/>
    <cellStyle name="常规 5 6 2 2 2 2 3" xfId="19718"/>
    <cellStyle name="常规 5 6 2 2 2 2 3 2" xfId="19721"/>
    <cellStyle name="常规 5 6 2 2 2 2 3 2 2" xfId="11342"/>
    <cellStyle name="常规 5 6 2 2 2 2 3 2 2 2" xfId="27328"/>
    <cellStyle name="常规 5 6 2 2 2 2 3 2 3" xfId="34007"/>
    <cellStyle name="常规 5 6 2 2 2 2 3 2 4" xfId="34009"/>
    <cellStyle name="常规 5 6 2 2 2 2 3 3" xfId="19210"/>
    <cellStyle name="常规 5 6 2 2 2 2 3 3 2" xfId="19213"/>
    <cellStyle name="常规 5 6 2 2 2 2 3 4" xfId="19216"/>
    <cellStyle name="常规 5 6 2 2 2 2 3 5" xfId="19219"/>
    <cellStyle name="常规 5 6 2 2 2 2 4" xfId="4159"/>
    <cellStyle name="常规 5 6 2 2 2 2 4 2" xfId="7143"/>
    <cellStyle name="常规 5 6 2 2 2 2 4 2 2" xfId="34010"/>
    <cellStyle name="常规 5 6 2 2 2 2 4 3" xfId="19224"/>
    <cellStyle name="常规 5 6 2 2 2 2 4 4" xfId="32416"/>
    <cellStyle name="常规 5 6 2 2 2 2 5" xfId="28"/>
    <cellStyle name="常规 5 6 2 2 2 2 5 2" xfId="34011"/>
    <cellStyle name="常规 5 6 2 2 2 2 6" xfId="7147"/>
    <cellStyle name="常规 5 6 2 2 2 2 7" xfId="12726"/>
    <cellStyle name="常规 5 6 2 2 2 3" xfId="34012"/>
    <cellStyle name="常规 5 6 2 2 2 3 2" xfId="19733"/>
    <cellStyle name="常规 5 6 2 2 2 3 2 2" xfId="19735"/>
    <cellStyle name="常规 5 6 2 2 2 3 2 2 2" xfId="34013"/>
    <cellStyle name="常规 5 6 2 2 2 3 2 2 2 2" xfId="1872"/>
    <cellStyle name="常规 5 6 2 2 2 3 2 2 3" xfId="34014"/>
    <cellStyle name="常规 5 6 2 2 2 3 2 2 4" xfId="34015"/>
    <cellStyle name="常规 5 6 2 2 2 3 2 3" xfId="21896"/>
    <cellStyle name="常规 5 6 2 2 2 3 2 3 2" xfId="32420"/>
    <cellStyle name="常规 5 6 2 2 2 3 2 4" xfId="32424"/>
    <cellStyle name="常规 5 6 2 2 2 3 2 5" xfId="32427"/>
    <cellStyle name="常规 5 6 2 2 2 3 3" xfId="19737"/>
    <cellStyle name="常规 5 6 2 2 2 3 3 2" xfId="34016"/>
    <cellStyle name="常规 5 6 2 2 2 3 3 2 2" xfId="34017"/>
    <cellStyle name="常规 5 6 2 2 2 3 3 3" xfId="19235"/>
    <cellStyle name="常规 5 6 2 2 2 3 3 4" xfId="32430"/>
    <cellStyle name="常规 5 6 2 2 2 3 4" xfId="6226"/>
    <cellStyle name="常规 5 6 2 2 2 3 4 2" xfId="34018"/>
    <cellStyle name="常规 5 6 2 2 2 3 5" xfId="34019"/>
    <cellStyle name="常规 5 6 2 2 2 3 6" xfId="14487"/>
    <cellStyle name="常规 5 6 2 2 2 4" xfId="34020"/>
    <cellStyle name="常规 5 6 2 2 2 4 2" xfId="19740"/>
    <cellStyle name="常规 5 6 2 2 2 4 2 2" xfId="33723"/>
    <cellStyle name="常规 5 6 2 2 2 4 2 2 2" xfId="34021"/>
    <cellStyle name="常规 5 6 2 2 2 4 2 3" xfId="32434"/>
    <cellStyle name="常规 5 6 2 2 2 4 2 4" xfId="32436"/>
    <cellStyle name="常规 5 6 2 2 2 4 3" xfId="19742"/>
    <cellStyle name="常规 5 6 2 2 2 4 3 2" xfId="34022"/>
    <cellStyle name="常规 5 6 2 2 2 4 4" xfId="34023"/>
    <cellStyle name="常规 5 6 2 2 2 4 5" xfId="34024"/>
    <cellStyle name="常规 5 6 2 2 2 5" xfId="34025"/>
    <cellStyle name="常规 5 6 2 2 2 5 2" xfId="34026"/>
    <cellStyle name="常规 5 6 2 2 2 5 2 2" xfId="33801"/>
    <cellStyle name="常规 5 6 2 2 2 5 3" xfId="34027"/>
    <cellStyle name="常规 5 6 2 2 2 5 4" xfId="34028"/>
    <cellStyle name="常规 5 6 2 2 2 6" xfId="34029"/>
    <cellStyle name="常规 5 6 2 2 2 6 2" xfId="30666"/>
    <cellStyle name="常规 5 6 2 2 2 7" xfId="34030"/>
    <cellStyle name="常规 5 6 2 2 2 8" xfId="34031"/>
    <cellStyle name="常规 5 6 2 2 3" xfId="34033"/>
    <cellStyle name="常规 5 6 2 2 3 2" xfId="34034"/>
    <cellStyle name="常规 5 6 2 2 3 2 2" xfId="19758"/>
    <cellStyle name="常规 5 6 2 2 3 2 2 2" xfId="19760"/>
    <cellStyle name="常规 5 6 2 2 3 2 2 2 2" xfId="2853"/>
    <cellStyle name="常规 5 6 2 2 3 2 2 2 2 2" xfId="34035"/>
    <cellStyle name="常规 5 6 2 2 3 2 2 2 3" xfId="33128"/>
    <cellStyle name="常规 5 6 2 2 3 2 2 2 4" xfId="32166"/>
    <cellStyle name="常规 5 6 2 2 3 2 2 3" xfId="16632"/>
    <cellStyle name="常规 5 6 2 2 3 2 2 3 2" xfId="32443"/>
    <cellStyle name="常规 5 6 2 2 3 2 2 4" xfId="13531"/>
    <cellStyle name="常规 5 6 2 2 3 2 2 5" xfId="32447"/>
    <cellStyle name="常规 5 6 2 2 3 2 3" xfId="19762"/>
    <cellStyle name="常规 5 6 2 2 3 2 3 2" xfId="16671"/>
    <cellStyle name="常规 5 6 2 2 3 2 3 2 2" xfId="16138"/>
    <cellStyle name="常规 5 6 2 2 3 2 3 3" xfId="16673"/>
    <cellStyle name="常规 5 6 2 2 3 2 3 4" xfId="32450"/>
    <cellStyle name="常规 5 6 2 2 3 2 4" xfId="607"/>
    <cellStyle name="常规 5 6 2 2 3 2 4 2" xfId="32766"/>
    <cellStyle name="常规 5 6 2 2 3 2 5" xfId="34036"/>
    <cellStyle name="常规 5 6 2 2 3 2 6" xfId="29198"/>
    <cellStyle name="常规 5 6 2 2 3 3" xfId="34037"/>
    <cellStyle name="常规 5 6 2 2 3 3 2" xfId="19767"/>
    <cellStyle name="常规 5 6 2 2 3 3 2 2" xfId="34038"/>
    <cellStyle name="常规 5 6 2 2 3 3 2 2 2" xfId="34039"/>
    <cellStyle name="常规 5 6 2 2 3 3 2 3" xfId="32457"/>
    <cellStyle name="常规 5 6 2 2 3 3 2 4" xfId="32460"/>
    <cellStyle name="常规 5 6 2 2 3 3 3" xfId="19769"/>
    <cellStyle name="常规 5 6 2 2 3 3 3 2" xfId="34040"/>
    <cellStyle name="常规 5 6 2 2 3 3 4" xfId="34041"/>
    <cellStyle name="常规 5 6 2 2 3 3 5" xfId="34043"/>
    <cellStyle name="常规 5 6 2 2 3 4" xfId="34044"/>
    <cellStyle name="常规 5 6 2 2 3 4 2" xfId="3879"/>
    <cellStyle name="常规 5 6 2 2 3 4 2 2" xfId="33597"/>
    <cellStyle name="常规 5 6 2 2 3 4 3" xfId="34045"/>
    <cellStyle name="常规 5 6 2 2 3 4 4" xfId="34046"/>
    <cellStyle name="常规 5 6 2 2 3 5" xfId="34047"/>
    <cellStyle name="常规 5 6 2 2 3 5 2" xfId="31586"/>
    <cellStyle name="常规 5 6 2 2 3 6" xfId="34048"/>
    <cellStyle name="常规 5 6 2 2 3 7" xfId="34049"/>
    <cellStyle name="常规 5 6 2 2 4" xfId="34050"/>
    <cellStyle name="常规 5 6 2 2 4 2" xfId="34051"/>
    <cellStyle name="常规 5 6 2 2 4 2 2" xfId="19785"/>
    <cellStyle name="常规 5 6 2 2 4 2 2 2" xfId="34052"/>
    <cellStyle name="常规 5 6 2 2 4 2 2 2 2" xfId="34053"/>
    <cellStyle name="常规 5 6 2 2 4 2 2 3" xfId="32469"/>
    <cellStyle name="常规 5 6 2 2 4 2 2 4" xfId="32472"/>
    <cellStyle name="常规 5 6 2 2 4 2 3" xfId="19787"/>
    <cellStyle name="常规 5 6 2 2 4 2 3 2" xfId="18781"/>
    <cellStyle name="常规 5 6 2 2 4 2 4" xfId="34054"/>
    <cellStyle name="常规 5 6 2 2 4 2 5" xfId="34055"/>
    <cellStyle name="常规 5 6 2 2 4 3" xfId="34056"/>
    <cellStyle name="常规 5 6 2 2 4 3 2" xfId="34057"/>
    <cellStyle name="常规 5 6 2 2 4 3 2 2" xfId="34058"/>
    <cellStyle name="常规 5 6 2 2 4 3 3" xfId="34059"/>
    <cellStyle name="常规 5 6 2 2 4 3 4" xfId="34060"/>
    <cellStyle name="常规 5 6 2 2 4 4" xfId="34061"/>
    <cellStyle name="常规 5 6 2 2 4 4 2" xfId="34062"/>
    <cellStyle name="常规 5 6 2 2 4 5" xfId="34063"/>
    <cellStyle name="常规 5 6 2 2 4 6" xfId="34064"/>
    <cellStyle name="常规 5 6 2 2 5" xfId="34065"/>
    <cellStyle name="常规 5 6 2 2 5 2" xfId="29415"/>
    <cellStyle name="常规 5 6 2 2 5 2 2" xfId="29418"/>
    <cellStyle name="常规 5 6 2 2 5 2 2 2" xfId="4567"/>
    <cellStyle name="常规 5 6 2 2 5 2 3" xfId="34066"/>
    <cellStyle name="常规 5 6 2 2 5 2 4" xfId="34067"/>
    <cellStyle name="常规 5 6 2 2 5 3" xfId="29420"/>
    <cellStyle name="常规 5 6 2 2 5 3 2" xfId="34068"/>
    <cellStyle name="常规 5 6 2 2 5 4" xfId="29423"/>
    <cellStyle name="常规 5 6 2 2 5 5" xfId="34069"/>
    <cellStyle name="常规 5 6 2 2 6" xfId="34071"/>
    <cellStyle name="常规 5 6 2 2 6 2" xfId="34074"/>
    <cellStyle name="常规 5 6 2 2 6 2 2" xfId="34075"/>
    <cellStyle name="常规 5 6 2 2 6 3" xfId="34076"/>
    <cellStyle name="常规 5 6 2 2 6 4" xfId="34077"/>
    <cellStyle name="常规 5 6 2 2 7" xfId="34079"/>
    <cellStyle name="常规 5 6 2 2 7 2" xfId="34080"/>
    <cellStyle name="常规 5 6 2 2 8" xfId="34082"/>
    <cellStyle name="常规 5 6 2 2 9" xfId="34083"/>
    <cellStyle name="常规 5 6 2 3" xfId="34084"/>
    <cellStyle name="常规 5 6 2 3 2" xfId="34086"/>
    <cellStyle name="常规 5 6 2 3 2 2" xfId="34087"/>
    <cellStyle name="常规 5 6 2 3 2 2 2" xfId="19818"/>
    <cellStyle name="常规 5 6 2 3 2 2 2 2" xfId="19821"/>
    <cellStyle name="常规 5 6 2 3 2 2 2 2 2" xfId="11739"/>
    <cellStyle name="常规 5 6 2 3 2 2 2 2 2 2" xfId="13038"/>
    <cellStyle name="常规 5 6 2 3 2 2 2 2 2 2 2" xfId="13043"/>
    <cellStyle name="常规 5 6 2 3 2 2 2 2 2 3" xfId="30120"/>
    <cellStyle name="常规 5 6 2 3 2 2 2 2 2 4" xfId="30142"/>
    <cellStyle name="常规 5 6 2 3 2 2 2 2 3" xfId="11746"/>
    <cellStyle name="常规 5 6 2 3 2 2 2 2 3 2" xfId="14613"/>
    <cellStyle name="常规 5 6 2 3 2 2 2 2 4" xfId="29827"/>
    <cellStyle name="常规 5 6 2 3 2 2 2 2 5" xfId="29718"/>
    <cellStyle name="常规 5 6 2 3 2 2 2 3" xfId="32488"/>
    <cellStyle name="常规 5 6 2 3 2 2 2 3 2" xfId="11775"/>
    <cellStyle name="常规 5 6 2 3 2 2 2 3 2 2" xfId="30585"/>
    <cellStyle name="常规 5 6 2 3 2 2 2 3 3" xfId="29832"/>
    <cellStyle name="常规 5 6 2 3 2 2 2 3 4" xfId="30624"/>
    <cellStyle name="常规 5 6 2 3 2 2 2 4" xfId="32490"/>
    <cellStyle name="常规 5 6 2 3 2 2 2 4 2" xfId="30685"/>
    <cellStyle name="常规 5 6 2 3 2 2 2 5" xfId="32493"/>
    <cellStyle name="常规 5 6 2 3 2 2 2 6" xfId="25821"/>
    <cellStyle name="常规 5 6 2 3 2 2 3" xfId="19823"/>
    <cellStyle name="常规 5 6 2 3 2 2 3 2" xfId="34088"/>
    <cellStyle name="常规 5 6 2 3 2 2 3 2 2" xfId="11938"/>
    <cellStyle name="常规 5 6 2 3 2 2 3 2 2 2" xfId="17503"/>
    <cellStyle name="常规 5 6 2 3 2 2 3 2 3" xfId="29852"/>
    <cellStyle name="常规 5 6 2 3 2 2 3 2 4" xfId="31142"/>
    <cellStyle name="常规 5 6 2 3 2 2 3 3" xfId="19266"/>
    <cellStyle name="常规 5 6 2 3 2 2 3 3 2" xfId="31239"/>
    <cellStyle name="常规 5 6 2 3 2 2 3 4" xfId="32496"/>
    <cellStyle name="常规 5 6 2 3 2 2 3 5" xfId="32498"/>
    <cellStyle name="常规 5 6 2 3 2 2 4" xfId="8068"/>
    <cellStyle name="常规 5 6 2 3 2 2 4 2" xfId="34089"/>
    <cellStyle name="常规 5 6 2 3 2 2 4 2 2" xfId="31469"/>
    <cellStyle name="常规 5 6 2 3 2 2 4 3" xfId="32501"/>
    <cellStyle name="常规 5 6 2 3 2 2 4 4" xfId="32503"/>
    <cellStyle name="常规 5 6 2 3 2 2 5" xfId="34090"/>
    <cellStyle name="常规 5 6 2 3 2 2 5 2" xfId="34091"/>
    <cellStyle name="常规 5 6 2 3 2 2 6" xfId="29215"/>
    <cellStyle name="常规 5 6 2 3 2 2 7" xfId="29217"/>
    <cellStyle name="常规 5 6 2 3 2 3" xfId="34092"/>
    <cellStyle name="常规 5 6 2 3 2 3 2" xfId="19828"/>
    <cellStyle name="常规 5 6 2 3 2 3 2 2" xfId="34093"/>
    <cellStyle name="常规 5 6 2 3 2 3 2 2 2" xfId="28486"/>
    <cellStyle name="常规 5 6 2 3 2 3 2 2 2 2" xfId="34094"/>
    <cellStyle name="常规 5 6 2 3 2 3 2 2 3" xfId="29886"/>
    <cellStyle name="常规 5 6 2 3 2 3 2 2 4" xfId="34095"/>
    <cellStyle name="常规 5 6 2 3 2 3 2 3" xfId="32506"/>
    <cellStyle name="常规 5 6 2 3 2 3 2 3 2" xfId="32508"/>
    <cellStyle name="常规 5 6 2 3 2 3 2 4" xfId="32514"/>
    <cellStyle name="常规 5 6 2 3 2 3 2 5" xfId="32517"/>
    <cellStyle name="常规 5 6 2 3 2 3 3" xfId="19830"/>
    <cellStyle name="常规 5 6 2 3 2 3 3 2" xfId="34096"/>
    <cellStyle name="常规 5 6 2 3 2 3 3 2 2" xfId="34097"/>
    <cellStyle name="常规 5 6 2 3 2 3 3 3" xfId="32520"/>
    <cellStyle name="常规 5 6 2 3 2 3 3 4" xfId="32523"/>
    <cellStyle name="常规 5 6 2 3 2 3 4" xfId="34098"/>
    <cellStyle name="常规 5 6 2 3 2 3 4 2" xfId="34099"/>
    <cellStyle name="常规 5 6 2 3 2 3 5" xfId="34100"/>
    <cellStyle name="常规 5 6 2 3 2 3 6" xfId="14524"/>
    <cellStyle name="常规 5 6 2 3 2 4" xfId="34101"/>
    <cellStyle name="常规 5 6 2 3 2 4 2" xfId="34102"/>
    <cellStyle name="常规 5 6 2 3 2 4 2 2" xfId="34103"/>
    <cellStyle name="常规 5 6 2 3 2 4 2 2 2" xfId="33008"/>
    <cellStyle name="常规 5 6 2 3 2 4 2 3" xfId="32527"/>
    <cellStyle name="常规 5 6 2 3 2 4 2 4" xfId="32531"/>
    <cellStyle name="常规 5 6 2 3 2 4 3" xfId="34104"/>
    <cellStyle name="常规 5 6 2 3 2 4 3 2" xfId="34105"/>
    <cellStyle name="常规 5 6 2 3 2 4 4" xfId="34106"/>
    <cellStyle name="常规 5 6 2 3 2 4 5" xfId="34107"/>
    <cellStyle name="常规 5 6 2 3 2 5" xfId="33244"/>
    <cellStyle name="常规 5 6 2 3 2 5 2" xfId="33246"/>
    <cellStyle name="常规 5 6 2 3 2 5 2 2" xfId="33248"/>
    <cellStyle name="常规 5 6 2 3 2 5 3" xfId="33250"/>
    <cellStyle name="常规 5 6 2 3 2 5 4" xfId="33252"/>
    <cellStyle name="常规 5 6 2 3 2 6" xfId="33254"/>
    <cellStyle name="常规 5 6 2 3 2 6 2" xfId="28657"/>
    <cellStyle name="常规 5 6 2 3 2 7" xfId="33256"/>
    <cellStyle name="常规 5 6 2 3 2 8" xfId="33258"/>
    <cellStyle name="常规 5 6 2 3 3" xfId="34108"/>
    <cellStyle name="常规 5 6 2 3 3 2" xfId="34109"/>
    <cellStyle name="常规 5 6 2 3 3 2 2" xfId="19848"/>
    <cellStyle name="常规 5 6 2 3 3 2 2 2" xfId="22390"/>
    <cellStyle name="常规 5 6 2 3 3 2 2 2 2" xfId="29042"/>
    <cellStyle name="常规 5 6 2 3 3 2 2 2 2 2" xfId="29983"/>
    <cellStyle name="常规 5 6 2 3 3 2 2 2 3" xfId="29986"/>
    <cellStyle name="常规 5 6 2 3 3 2 2 2 4" xfId="29989"/>
    <cellStyle name="常规 5 6 2 3 3 2 2 3" xfId="32540"/>
    <cellStyle name="常规 5 6 2 3 3 2 2 3 2" xfId="29995"/>
    <cellStyle name="常规 5 6 2 3 3 2 2 4" xfId="32544"/>
    <cellStyle name="常规 5 6 2 3 3 2 2 5" xfId="16462"/>
    <cellStyle name="常规 5 6 2 3 3 2 3" xfId="19851"/>
    <cellStyle name="常规 5 6 2 3 3 2 3 2" xfId="16792"/>
    <cellStyle name="常规 5 6 2 3 3 2 3 2 2" xfId="30010"/>
    <cellStyle name="常规 5 6 2 3 3 2 3 3" xfId="16794"/>
    <cellStyle name="常规 5 6 2 3 3 2 3 4" xfId="14109"/>
    <cellStyle name="常规 5 6 2 3 3 2 4" xfId="19456"/>
    <cellStyle name="常规 5 6 2 3 3 2 4 2" xfId="14701"/>
    <cellStyle name="常规 5 6 2 3 3 2 5" xfId="34110"/>
    <cellStyle name="常规 5 6 2 3 3 2 6" xfId="29221"/>
    <cellStyle name="常规 5 6 2 3 3 3" xfId="34111"/>
    <cellStyle name="常规 5 6 2 3 3 3 2" xfId="24455"/>
    <cellStyle name="常规 5 6 2 3 3 3 2 2" xfId="34112"/>
    <cellStyle name="常规 5 6 2 3 3 3 2 2 2" xfId="30034"/>
    <cellStyle name="常规 5 6 2 3 3 3 2 3" xfId="32551"/>
    <cellStyle name="常规 5 6 2 3 3 3 2 4" xfId="32553"/>
    <cellStyle name="常规 5 6 2 3 3 3 3" xfId="34113"/>
    <cellStyle name="常规 5 6 2 3 3 3 3 2" xfId="34114"/>
    <cellStyle name="常规 5 6 2 3 3 3 4" xfId="34115"/>
    <cellStyle name="常规 5 6 2 3 3 3 5" xfId="34117"/>
    <cellStyle name="常规 5 6 2 3 3 4" xfId="24424"/>
    <cellStyle name="常规 5 6 2 3 3 4 2" xfId="34118"/>
    <cellStyle name="常规 5 6 2 3 3 4 2 2" xfId="33620"/>
    <cellStyle name="常规 5 6 2 3 3 4 3" xfId="34119"/>
    <cellStyle name="常规 5 6 2 3 3 4 4" xfId="34120"/>
    <cellStyle name="常规 5 6 2 3 3 5" xfId="24427"/>
    <cellStyle name="常规 5 6 2 3 3 5 2" xfId="31609"/>
    <cellStyle name="常规 5 6 2 3 3 6" xfId="33261"/>
    <cellStyle name="常规 5 6 2 3 3 7" xfId="33264"/>
    <cellStyle name="常规 5 6 2 3 4" xfId="34121"/>
    <cellStyle name="常规 5 6 2 3 4 2" xfId="34122"/>
    <cellStyle name="常规 5 6 2 3 4 2 2" xfId="34124"/>
    <cellStyle name="常规 5 6 2 3 4 2 2 2" xfId="34126"/>
    <cellStyle name="常规 5 6 2 3 4 2 2 2 2" xfId="30096"/>
    <cellStyle name="常规 5 6 2 3 4 2 2 3" xfId="32570"/>
    <cellStyle name="常规 5 6 2 3 4 2 2 4" xfId="29246"/>
    <cellStyle name="常规 5 6 2 3 4 2 3" xfId="34128"/>
    <cellStyle name="常规 5 6 2 3 4 2 3 2" xfId="34130"/>
    <cellStyle name="常规 5 6 2 3 4 2 4" xfId="34132"/>
    <cellStyle name="常规 5 6 2 3 4 2 5" xfId="34134"/>
    <cellStyle name="常规 5 6 2 3 4 3" xfId="34135"/>
    <cellStyle name="常规 5 6 2 3 4 3 2" xfId="34137"/>
    <cellStyle name="常规 5 6 2 3 4 3 2 2" xfId="34139"/>
    <cellStyle name="常规 5 6 2 3 4 3 3" xfId="34141"/>
    <cellStyle name="常规 5 6 2 3 4 3 4" xfId="34143"/>
    <cellStyle name="常规 5 6 2 3 4 4" xfId="24431"/>
    <cellStyle name="常规 5 6 2 3 4 4 2" xfId="34144"/>
    <cellStyle name="常规 5 6 2 3 4 5" xfId="24433"/>
    <cellStyle name="常规 5 6 2 3 4 6" xfId="34145"/>
    <cellStyle name="常规 5 6 2 3 5" xfId="34146"/>
    <cellStyle name="常规 5 6 2 3 5 2" xfId="34147"/>
    <cellStyle name="常规 5 6 2 3 5 2 2" xfId="34148"/>
    <cellStyle name="常规 5 6 2 3 5 2 2 2" xfId="34149"/>
    <cellStyle name="常规 5 6 2 3 5 2 3" xfId="34150"/>
    <cellStyle name="常规 5 6 2 3 5 2 4" xfId="33855"/>
    <cellStyle name="常规 5 6 2 3 5 3" xfId="34151"/>
    <cellStyle name="常规 5 6 2 3 5 3 2" xfId="34152"/>
    <cellStyle name="常规 5 6 2 3 5 4" xfId="34153"/>
    <cellStyle name="常规 5 6 2 3 5 5" xfId="34154"/>
    <cellStyle name="常规 5 6 2 3 6" xfId="34156"/>
    <cellStyle name="常规 5 6 2 3 6 2" xfId="34157"/>
    <cellStyle name="常规 5 6 2 3 6 2 2" xfId="34158"/>
    <cellStyle name="常规 5 6 2 3 6 3" xfId="34159"/>
    <cellStyle name="常规 5 6 2 3 6 4" xfId="34160"/>
    <cellStyle name="常规 5 6 2 3 7" xfId="34161"/>
    <cellStyle name="常规 5 6 2 3 7 2" xfId="34162"/>
    <cellStyle name="常规 5 6 2 3 8" xfId="34163"/>
    <cellStyle name="常规 5 6 2 3 9" xfId="34164"/>
    <cellStyle name="常规 5 6 2 4" xfId="28562"/>
    <cellStyle name="常规 5 6 2 4 2" xfId="28564"/>
    <cellStyle name="常规 5 6 2 4 2 2" xfId="28566"/>
    <cellStyle name="常规 5 6 2 4 2 2 2" xfId="19886"/>
    <cellStyle name="常规 5 6 2 4 2 2 2 2" xfId="28568"/>
    <cellStyle name="常规 5 6 2 4 2 2 2 2 2" xfId="23986"/>
    <cellStyle name="常规 5 6 2 4 2 2 2 2 2 2" xfId="23992"/>
    <cellStyle name="常规 5 6 2 4 2 2 2 2 3" xfId="23996"/>
    <cellStyle name="常规 5 6 2 4 2 2 2 2 4" xfId="24000"/>
    <cellStyle name="常规 5 6 2 4 2 2 2 3" xfId="28571"/>
    <cellStyle name="常规 5 6 2 4 2 2 2 3 2" xfId="24015"/>
    <cellStyle name="常规 5 6 2 4 2 2 2 4" xfId="5100"/>
    <cellStyle name="常规 5 6 2 4 2 2 2 5" xfId="17170"/>
    <cellStyle name="常规 5 6 2 4 2 2 3" xfId="19892"/>
    <cellStyle name="常规 5 6 2 4 2 2 3 2" xfId="28576"/>
    <cellStyle name="常规 5 6 2 4 2 2 3 2 2" xfId="24184"/>
    <cellStyle name="常规 5 6 2 4 2 2 3 3" xfId="28579"/>
    <cellStyle name="常规 5 6 2 4 2 2 3 4" xfId="28582"/>
    <cellStyle name="常规 5 6 2 4 2 2 4" xfId="28586"/>
    <cellStyle name="常规 5 6 2 4 2 2 4 2" xfId="5952"/>
    <cellStyle name="常规 5 6 2 4 2 2 5" xfId="28591"/>
    <cellStyle name="常规 5 6 2 4 2 2 6" xfId="28595"/>
    <cellStyle name="常规 5 6 2 4 2 3" xfId="28599"/>
    <cellStyle name="常规 5 6 2 4 2 3 2" xfId="21794"/>
    <cellStyle name="常规 5 6 2 4 2 3 2 2" xfId="28601"/>
    <cellStyle name="常规 5 6 2 4 2 3 2 2 2" xfId="28604"/>
    <cellStyle name="常规 5 6 2 4 2 3 2 3" xfId="28609"/>
    <cellStyle name="常规 5 6 2 4 2 3 2 4" xfId="28613"/>
    <cellStyle name="常规 5 6 2 4 2 3 3" xfId="28618"/>
    <cellStyle name="常规 5 6 2 4 2 3 3 2" xfId="28621"/>
    <cellStyle name="常规 5 6 2 4 2 3 4" xfId="28624"/>
    <cellStyle name="常规 5 6 2 4 2 3 5" xfId="28628"/>
    <cellStyle name="常规 5 6 2 4 2 4" xfId="28631"/>
    <cellStyle name="常规 5 6 2 4 2 4 2" xfId="28633"/>
    <cellStyle name="常规 5 6 2 4 2 4 2 2" xfId="28636"/>
    <cellStyle name="常规 5 6 2 4 2 4 3" xfId="28639"/>
    <cellStyle name="常规 5 6 2 4 2 4 4" xfId="28642"/>
    <cellStyle name="常规 5 6 2 4 2 5" xfId="28645"/>
    <cellStyle name="常规 5 6 2 4 2 5 2" xfId="28648"/>
    <cellStyle name="常规 5 6 2 4 2 6" xfId="28652"/>
    <cellStyle name="常规 5 6 2 4 2 7" xfId="28656"/>
    <cellStyle name="常规 5 6 2 4 3" xfId="28662"/>
    <cellStyle name="常规 5 6 2 4 3 2" xfId="28664"/>
    <cellStyle name="常规 5 6 2 4 3 2 2" xfId="21829"/>
    <cellStyle name="常规 5 6 2 4 3 2 2 2" xfId="28666"/>
    <cellStyle name="常规 5 6 2 4 3 2 2 2 2" xfId="28669"/>
    <cellStyle name="常规 5 6 2 4 3 2 2 3" xfId="28672"/>
    <cellStyle name="常规 5 6 2 4 3 2 2 4" xfId="28675"/>
    <cellStyle name="常规 5 6 2 4 3 2 3" xfId="28679"/>
    <cellStyle name="常规 5 6 2 4 3 2 3 2" xfId="28682"/>
    <cellStyle name="常规 5 6 2 4 3 2 4" xfId="28684"/>
    <cellStyle name="常规 5 6 2 4 3 2 5" xfId="28688"/>
    <cellStyle name="常规 5 6 2 4 3 3" xfId="28690"/>
    <cellStyle name="常规 5 6 2 4 3 3 2" xfId="28692"/>
    <cellStyle name="常规 5 6 2 4 3 3 2 2" xfId="28695"/>
    <cellStyle name="常规 5 6 2 4 3 3 3" xfId="28697"/>
    <cellStyle name="常规 5 6 2 4 3 3 4" xfId="28700"/>
    <cellStyle name="常规 5 6 2 4 3 4" xfId="28702"/>
    <cellStyle name="常规 5 6 2 4 3 4 2" xfId="28704"/>
    <cellStyle name="常规 5 6 2 4 3 5" xfId="28707"/>
    <cellStyle name="常规 5 6 2 4 3 6" xfId="28710"/>
    <cellStyle name="常规 5 6 2 4 4" xfId="28713"/>
    <cellStyle name="常规 5 6 2 4 4 2" xfId="28715"/>
    <cellStyle name="常规 5 6 2 4 4 2 2" xfId="28717"/>
    <cellStyle name="常规 5 6 2 4 4 2 2 2" xfId="28720"/>
    <cellStyle name="常规 5 6 2 4 4 2 3" xfId="28723"/>
    <cellStyle name="常规 5 6 2 4 4 2 4" xfId="28726"/>
    <cellStyle name="常规 5 6 2 4 4 3" xfId="28729"/>
    <cellStyle name="常规 5 6 2 4 4 3 2" xfId="28731"/>
    <cellStyle name="常规 5 6 2 4 4 4" xfId="28734"/>
    <cellStyle name="常规 5 6 2 4 4 5" xfId="28736"/>
    <cellStyle name="常规 5 6 2 4 5" xfId="28738"/>
    <cellStyle name="常规 5 6 2 4 5 2" xfId="28741"/>
    <cellStyle name="常规 5 6 2 4 5 2 2" xfId="28744"/>
    <cellStyle name="常规 5 6 2 4 5 3" xfId="28748"/>
    <cellStyle name="常规 5 6 2 4 5 4" xfId="28751"/>
    <cellStyle name="常规 5 6 2 4 6" xfId="25570"/>
    <cellStyle name="常规 5 6 2 4 6 2" xfId="25575"/>
    <cellStyle name="常规 5 6 2 4 7" xfId="25606"/>
    <cellStyle name="常规 5 6 2 4 8" xfId="25620"/>
    <cellStyle name="常规 5 6 2 5" xfId="28753"/>
    <cellStyle name="常规 5 6 2 5 2" xfId="28755"/>
    <cellStyle name="常规 5 6 2 5 2 2" xfId="28757"/>
    <cellStyle name="常规 5 6 2 5 2 2 2" xfId="21903"/>
    <cellStyle name="常规 5 6 2 5 2 2 2 2" xfId="28759"/>
    <cellStyle name="常规 5 6 2 5 2 2 2 2 2" xfId="28762"/>
    <cellStyle name="常规 5 6 2 5 2 2 2 3" xfId="591"/>
    <cellStyle name="常规 5 6 2 5 2 2 2 4" xfId="19779"/>
    <cellStyle name="常规 5 6 2 5 2 2 3" xfId="28766"/>
    <cellStyle name="常规 5 6 2 5 2 2 3 2" xfId="28769"/>
    <cellStyle name="常规 5 6 2 5 2 2 4" xfId="28771"/>
    <cellStyle name="常规 5 6 2 5 2 2 5" xfId="28775"/>
    <cellStyle name="常规 5 6 2 5 2 3" xfId="28777"/>
    <cellStyle name="常规 5 6 2 5 2 3 2" xfId="16643"/>
    <cellStyle name="常规 5 6 2 5 2 3 2 2" xfId="28780"/>
    <cellStyle name="常规 5 6 2 5 2 3 3" xfId="16647"/>
    <cellStyle name="常规 5 6 2 5 2 3 4" xfId="28783"/>
    <cellStyle name="常规 5 6 2 5 2 4" xfId="28785"/>
    <cellStyle name="常规 5 6 2 5 2 4 2" xfId="28787"/>
    <cellStyle name="常规 5 6 2 5 2 5" xfId="27539"/>
    <cellStyle name="常规 5 6 2 5 2 6" xfId="27544"/>
    <cellStyle name="常规 5 6 2 5 3" xfId="28790"/>
    <cellStyle name="常规 5 6 2 5 3 2" xfId="28792"/>
    <cellStyle name="常规 5 6 2 5 3 2 2" xfId="28794"/>
    <cellStyle name="常规 5 6 2 5 3 2 2 2" xfId="93"/>
    <cellStyle name="常规 5 6 2 5 3 2 3" xfId="28797"/>
    <cellStyle name="常规 5 6 2 5 3 2 4" xfId="1752"/>
    <cellStyle name="常规 5 6 2 5 3 3" xfId="28800"/>
    <cellStyle name="常规 5 6 2 5 3 3 2" xfId="1679"/>
    <cellStyle name="常规 5 6 2 5 3 4" xfId="28802"/>
    <cellStyle name="常规 5 6 2 5 3 5" xfId="27555"/>
    <cellStyle name="常规 5 6 2 5 4" xfId="28804"/>
    <cellStyle name="常规 5 6 2 5 4 2" xfId="28806"/>
    <cellStyle name="常规 5 6 2 5 4 2 2" xfId="28809"/>
    <cellStyle name="常规 5 6 2 5 4 3" xfId="28812"/>
    <cellStyle name="常规 5 6 2 5 4 4" xfId="28814"/>
    <cellStyle name="常规 5 6 2 5 5" xfId="28816"/>
    <cellStyle name="常规 5 6 2 5 5 2" xfId="28818"/>
    <cellStyle name="常规 5 6 2 5 6" xfId="25642"/>
    <cellStyle name="常规 5 6 2 5 7" xfId="25670"/>
    <cellStyle name="常规 5 6 2 6" xfId="28820"/>
    <cellStyle name="常规 5 6 2 6 2" xfId="28822"/>
    <cellStyle name="常规 5 6 2 6 2 2" xfId="28824"/>
    <cellStyle name="常规 5 6 2 6 2 2 2" xfId="24727"/>
    <cellStyle name="常规 5 6 2 6 2 2 2 2" xfId="20581"/>
    <cellStyle name="常规 5 6 2 6 2 2 3" xfId="24733"/>
    <cellStyle name="常规 5 6 2 6 2 2 4" xfId="24736"/>
    <cellStyle name="常规 5 6 2 6 2 3" xfId="28826"/>
    <cellStyle name="常规 5 6 2 6 2 3 2" xfId="24813"/>
    <cellStyle name="常规 5 6 2 6 2 4" xfId="8444"/>
    <cellStyle name="常规 5 6 2 6 2 5" xfId="8452"/>
    <cellStyle name="常规 5 6 2 6 3" xfId="28828"/>
    <cellStyle name="常规 5 6 2 6 3 2" xfId="28830"/>
    <cellStyle name="常规 5 6 2 6 3 2 2" xfId="24980"/>
    <cellStyle name="常规 5 6 2 6 3 3" xfId="28832"/>
    <cellStyle name="常规 5 6 2 6 3 4" xfId="8113"/>
    <cellStyle name="常规 5 6 2 6 4" xfId="28834"/>
    <cellStyle name="常规 5 6 2 6 4 2" xfId="28836"/>
    <cellStyle name="常规 5 6 2 6 5" xfId="28838"/>
    <cellStyle name="常规 5 6 2 6 6" xfId="25690"/>
    <cellStyle name="常规 5 6 2 7" xfId="28840"/>
    <cellStyle name="常规 5 6 2 7 2" xfId="28842"/>
    <cellStyle name="常规 5 6 2 7 2 2" xfId="28844"/>
    <cellStyle name="常规 5 6 2 7 2 2 2" xfId="25352"/>
    <cellStyle name="常规 5 6 2 7 2 3" xfId="28846"/>
    <cellStyle name="常规 5 6 2 7 2 4" xfId="8468"/>
    <cellStyle name="常规 5 6 2 7 3" xfId="28848"/>
    <cellStyle name="常规 5 6 2 7 3 2" xfId="28851"/>
    <cellStyle name="常规 5 6 2 7 4" xfId="28853"/>
    <cellStyle name="常规 5 6 2 7 5" xfId="18344"/>
    <cellStyle name="常规 5 6 2 8" xfId="28856"/>
    <cellStyle name="常规 5 6 2 8 2" xfId="28858"/>
    <cellStyle name="常规 5 6 2 8 2 2" xfId="28860"/>
    <cellStyle name="常规 5 6 2 8 3" xfId="14397"/>
    <cellStyle name="常规 5 6 2 8 4" xfId="14403"/>
    <cellStyle name="常规 5 6 2 9" xfId="28862"/>
    <cellStyle name="常规 5 6 2 9 2" xfId="28865"/>
    <cellStyle name="常规 5 6 3" xfId="29684"/>
    <cellStyle name="常规 5 6 3 2" xfId="22068"/>
    <cellStyle name="常规 5 6 3 2 2" xfId="12952"/>
    <cellStyle name="常规 5 6 3 2 2 2" xfId="34165"/>
    <cellStyle name="常规 5 6 3 2 2 2 2" xfId="34166"/>
    <cellStyle name="常规 5 6 3 2 2 2 2 2" xfId="27355"/>
    <cellStyle name="常规 5 6 3 2 2 2 2 2 2" xfId="27358"/>
    <cellStyle name="常规 5 6 3 2 2 2 2 2 2 2" xfId="34167"/>
    <cellStyle name="常规 5 6 3 2 2 2 2 2 3" xfId="29592"/>
    <cellStyle name="常规 5 6 3 2 2 2 2 2 4" xfId="29595"/>
    <cellStyle name="常规 5 6 3 2 2 2 2 3" xfId="24594"/>
    <cellStyle name="常规 5 6 3 2 2 2 2 3 2" xfId="24601"/>
    <cellStyle name="常规 5 6 3 2 2 2 2 4" xfId="24618"/>
    <cellStyle name="常规 5 6 3 2 2 2 2 5" xfId="24628"/>
    <cellStyle name="常规 5 6 3 2 2 2 3" xfId="23046"/>
    <cellStyle name="常规 5 6 3 2 2 2 3 2" xfId="27398"/>
    <cellStyle name="常规 5 6 3 2 2 2 3 2 2" xfId="34168"/>
    <cellStyle name="常规 5 6 3 2 2 2 3 3" xfId="19332"/>
    <cellStyle name="常规 5 6 3 2 2 2 3 4" xfId="24641"/>
    <cellStyle name="常规 5 6 3 2 2 2 4" xfId="34169"/>
    <cellStyle name="常规 5 6 3 2 2 2 4 2" xfId="27425"/>
    <cellStyle name="常规 5 6 3 2 2 2 5" xfId="34170"/>
    <cellStyle name="常规 5 6 3 2 2 2 6" xfId="29252"/>
    <cellStyle name="常规 5 6 3 2 2 3" xfId="33062"/>
    <cellStyle name="常规 5 6 3 2 2 3 2" xfId="1524"/>
    <cellStyle name="常规 5 6 3 2 2 3 2 2" xfId="27493"/>
    <cellStyle name="常规 5 6 3 2 2 3 2 2 2" xfId="34171"/>
    <cellStyle name="常规 5 6 3 2 2 3 2 3" xfId="24669"/>
    <cellStyle name="常规 5 6 3 2 2 3 2 4" xfId="24682"/>
    <cellStyle name="常规 5 6 3 2 2 3 3" xfId="186"/>
    <cellStyle name="常规 5 6 3 2 2 3 3 2" xfId="3791"/>
    <cellStyle name="常规 5 6 3 2 2 3 4" xfId="34172"/>
    <cellStyle name="常规 5 6 3 2 2 3 5" xfId="34173"/>
    <cellStyle name="常规 5 6 3 2 2 4" xfId="34174"/>
    <cellStyle name="常规 5 6 3 2 2 4 2" xfId="34175"/>
    <cellStyle name="常规 5 6 3 2 2 4 2 2" xfId="27560"/>
    <cellStyle name="常规 5 6 3 2 2 4 3" xfId="34176"/>
    <cellStyle name="常规 5 6 3 2 2 4 4" xfId="34177"/>
    <cellStyle name="常规 5 6 3 2 2 5" xfId="34178"/>
    <cellStyle name="常规 5 6 3 2 2 5 2" xfId="34179"/>
    <cellStyle name="常规 5 6 3 2 2 6" xfId="34180"/>
    <cellStyle name="常规 5 6 3 2 2 7" xfId="34181"/>
    <cellStyle name="常规 5 6 3 2 3" xfId="12956"/>
    <cellStyle name="常规 5 6 3 2 3 2" xfId="21700"/>
    <cellStyle name="常规 5 6 3 2 3 2 2" xfId="5197"/>
    <cellStyle name="常规 5 6 3 2 3 2 2 2" xfId="5201"/>
    <cellStyle name="常规 5 6 3 2 3 2 2 2 2" xfId="33902"/>
    <cellStyle name="常规 5 6 3 2 3 2 2 3" xfId="24751"/>
    <cellStyle name="常规 5 6 3 2 3 2 2 4" xfId="6569"/>
    <cellStyle name="常规 5 6 3 2 3 2 3" xfId="21702"/>
    <cellStyle name="常规 5 6 3 2 3 2 3 2" xfId="28503"/>
    <cellStyle name="常规 5 6 3 2 3 2 4" xfId="21704"/>
    <cellStyle name="常规 5 6 3 2 3 2 5" xfId="34182"/>
    <cellStyle name="常规 5 6 3 2 3 3" xfId="21706"/>
    <cellStyle name="常规 5 6 3 2 3 3 2" xfId="5518"/>
    <cellStyle name="常规 5 6 3 2 3 3 2 2" xfId="28527"/>
    <cellStyle name="常规 5 6 3 2 3 3 3" xfId="16011"/>
    <cellStyle name="常规 5 6 3 2 3 3 4" xfId="34183"/>
    <cellStyle name="常规 5 6 3 2 3 4" xfId="21708"/>
    <cellStyle name="常规 5 6 3 2 3 4 2" xfId="5848"/>
    <cellStyle name="常规 5 6 3 2 3 5" xfId="21710"/>
    <cellStyle name="常规 5 6 3 2 3 6" xfId="34184"/>
    <cellStyle name="常规 5 6 3 2 4" xfId="21712"/>
    <cellStyle name="常规 5 6 3 2 4 2" xfId="21714"/>
    <cellStyle name="常规 5 6 3 2 4 2 2" xfId="2503"/>
    <cellStyle name="常规 5 6 3 2 4 2 2 2" xfId="9255"/>
    <cellStyle name="常规 5 6 3 2 4 2 3" xfId="9367"/>
    <cellStyle name="常规 5 6 3 2 4 2 4" xfId="9433"/>
    <cellStyle name="常规 5 6 3 2 4 3" xfId="21716"/>
    <cellStyle name="常规 5 6 3 2 4 3 2" xfId="6565"/>
    <cellStyle name="常规 5 6 3 2 4 4" xfId="21718"/>
    <cellStyle name="常规 5 6 3 2 4 5" xfId="34185"/>
    <cellStyle name="常规 5 6 3 2 5" xfId="21720"/>
    <cellStyle name="常规 5 6 3 2 5 2" xfId="21722"/>
    <cellStyle name="常规 5 6 3 2 5 2 2" xfId="34186"/>
    <cellStyle name="常规 5 6 3 2 5 3" xfId="34187"/>
    <cellStyle name="常规 5 6 3 2 5 4" xfId="34188"/>
    <cellStyle name="常规 5 6 3 2 6" xfId="21725"/>
    <cellStyle name="常规 5 6 3 2 6 2" xfId="34189"/>
    <cellStyle name="常规 5 6 3 2 7" xfId="21727"/>
    <cellStyle name="常规 5 6 3 2 8" xfId="34190"/>
    <cellStyle name="常规 5 6 3 3" xfId="34192"/>
    <cellStyle name="常规 5 6 3 3 2" xfId="5806"/>
    <cellStyle name="常规 5 6 3 3 2 2" xfId="34194"/>
    <cellStyle name="常规 5 6 3 3 2 2 2" xfId="34196"/>
    <cellStyle name="常规 5 6 3 3 2 2 2 2" xfId="34197"/>
    <cellStyle name="常规 5 6 3 3 2 2 2 2 2" xfId="30960"/>
    <cellStyle name="常规 5 6 3 3 2 2 2 3" xfId="24900"/>
    <cellStyle name="常规 5 6 3 3 2 2 2 4" xfId="3559"/>
    <cellStyle name="常规 5 6 3 3 2 2 3" xfId="34198"/>
    <cellStyle name="常规 5 6 3 3 2 2 3 2" xfId="34199"/>
    <cellStyle name="常规 5 6 3 3 2 2 4" xfId="7449"/>
    <cellStyle name="常规 5 6 3 3 2 2 5" xfId="34200"/>
    <cellStyle name="常规 5 6 3 3 2 3" xfId="34202"/>
    <cellStyle name="常规 5 6 3 3 2 3 2" xfId="817"/>
    <cellStyle name="常规 5 6 3 3 2 3 2 2" xfId="34203"/>
    <cellStyle name="常规 5 6 3 3 2 3 3" xfId="1532"/>
    <cellStyle name="常规 5 6 3 3 2 3 4" xfId="34204"/>
    <cellStyle name="常规 5 6 3 3 2 4" xfId="34206"/>
    <cellStyle name="常规 5 6 3 3 2 4 2" xfId="34207"/>
    <cellStyle name="常规 5 6 3 3 2 5" xfId="33274"/>
    <cellStyle name="常规 5 6 3 3 2 6" xfId="33277"/>
    <cellStyle name="常规 5 6 3 3 3" xfId="3547"/>
    <cellStyle name="常规 5 6 3 3 3 2" xfId="21731"/>
    <cellStyle name="常规 5 6 3 3 3 2 2" xfId="7478"/>
    <cellStyle name="常规 5 6 3 3 3 2 2 2" xfId="22565"/>
    <cellStyle name="常规 5 6 3 3 3 2 3" xfId="34208"/>
    <cellStyle name="常规 5 6 3 3 3 2 4" xfId="34209"/>
    <cellStyle name="常规 5 6 3 3 3 3" xfId="21733"/>
    <cellStyle name="常规 5 6 3 3 3 3 2" xfId="5383"/>
    <cellStyle name="常规 5 6 3 3 3 4" xfId="21735"/>
    <cellStyle name="常规 5 6 3 3 3 5" xfId="33281"/>
    <cellStyle name="常规 5 6 3 3 4" xfId="21738"/>
    <cellStyle name="常规 5 6 3 3 4 2" xfId="21740"/>
    <cellStyle name="常规 5 6 3 3 4 2 2" xfId="34210"/>
    <cellStyle name="常规 5 6 3 3 4 3" xfId="34211"/>
    <cellStyle name="常规 5 6 3 3 4 4" xfId="34212"/>
    <cellStyle name="常规 5 6 3 3 5" xfId="2414"/>
    <cellStyle name="常规 5 6 3 3 5 2" xfId="4208"/>
    <cellStyle name="常规 5 6 3 3 6" xfId="3564"/>
    <cellStyle name="常规 5 6 3 3 7" xfId="3567"/>
    <cellStyle name="常规 5 6 3 4" xfId="28871"/>
    <cellStyle name="常规 5 6 3 4 2" xfId="6143"/>
    <cellStyle name="常规 5 6 3 4 2 2" xfId="28876"/>
    <cellStyle name="常规 5 6 3 4 2 2 2" xfId="22046"/>
    <cellStyle name="常规 5 6 3 4 2 2 2 2" xfId="1684"/>
    <cellStyle name="常规 5 6 3 4 2 2 3" xfId="22050"/>
    <cellStyle name="常规 5 6 3 4 2 2 4" xfId="1857"/>
    <cellStyle name="常规 5 6 3 4 2 3" xfId="28884"/>
    <cellStyle name="常规 5 6 3 4 2 3 2" xfId="1565"/>
    <cellStyle name="常规 5 6 3 4 2 4" xfId="28888"/>
    <cellStyle name="常规 5 6 3 4 2 5" xfId="28891"/>
    <cellStyle name="常规 5 6 3 4 3" xfId="21745"/>
    <cellStyle name="常规 5 6 3 4 3 2" xfId="21749"/>
    <cellStyle name="常规 5 6 3 4 3 2 2" xfId="22075"/>
    <cellStyle name="常规 5 6 3 4 3 3" xfId="28912"/>
    <cellStyle name="常规 5 6 3 4 3 4" xfId="28915"/>
    <cellStyle name="常规 5 6 3 4 4" xfId="21753"/>
    <cellStyle name="常规 5 6 3 4 4 2" xfId="28922"/>
    <cellStyle name="常规 5 6 3 4 5" xfId="3597"/>
    <cellStyle name="常规 5 6 3 4 6" xfId="3602"/>
    <cellStyle name="常规 5 6 3 5" xfId="28931"/>
    <cellStyle name="常规 5 6 3 5 2" xfId="25818"/>
    <cellStyle name="常规 5 6 3 5 2 2" xfId="28933"/>
    <cellStyle name="常规 5 6 3 5 2 2 2" xfId="22112"/>
    <cellStyle name="常规 5 6 3 5 2 3" xfId="28941"/>
    <cellStyle name="常规 5 6 3 5 2 4" xfId="16739"/>
    <cellStyle name="常规 5 6 3 5 3" xfId="20608"/>
    <cellStyle name="常规 5 6 3 5 3 2" xfId="28944"/>
    <cellStyle name="常规 5 6 3 5 4" xfId="28952"/>
    <cellStyle name="常规 5 6 3 5 5" xfId="1626"/>
    <cellStyle name="常规 5 6 3 6" xfId="28957"/>
    <cellStyle name="常规 5 6 3 6 2" xfId="28959"/>
    <cellStyle name="常规 5 6 3 6 2 2" xfId="28962"/>
    <cellStyle name="常规 5 6 3 6 3" xfId="28973"/>
    <cellStyle name="常规 5 6 3 6 4" xfId="9134"/>
    <cellStyle name="常规 5 6 3 7" xfId="28982"/>
    <cellStyle name="常规 5 6 3 7 2" xfId="28984"/>
    <cellStyle name="常规 5 6 3 8" xfId="28995"/>
    <cellStyle name="常规 5 6 3 9" xfId="29000"/>
    <cellStyle name="常规 5 6 4" xfId="34213"/>
    <cellStyle name="常规 5 6 4 2" xfId="16817"/>
    <cellStyle name="常规 5 6 4 2 2" xfId="16819"/>
    <cellStyle name="常规 5 6 4 2 2 2" xfId="34214"/>
    <cellStyle name="常规 5 6 4 2 2 2 2" xfId="34215"/>
    <cellStyle name="常规 5 6 4 2 2 2 2 2" xfId="34216"/>
    <cellStyle name="常规 5 6 4 2 2 2 2 2 2" xfId="34217"/>
    <cellStyle name="常规 5 6 4 2 2 2 2 2 2 2" xfId="34218"/>
    <cellStyle name="常规 5 6 4 2 2 2 2 2 3" xfId="34219"/>
    <cellStyle name="常规 5 6 4 2 2 2 2 2 4" xfId="34220"/>
    <cellStyle name="常规 5 6 4 2 2 2 2 3" xfId="25267"/>
    <cellStyle name="常规 5 6 4 2 2 2 2 3 2" xfId="25272"/>
    <cellStyle name="常规 5 6 4 2 2 2 2 4" xfId="25281"/>
    <cellStyle name="常规 5 6 4 2 2 2 2 5" xfId="25286"/>
    <cellStyle name="常规 5 6 4 2 2 2 3" xfId="34221"/>
    <cellStyle name="常规 5 6 4 2 2 2 3 2" xfId="34222"/>
    <cellStyle name="常规 5 6 4 2 2 2 3 2 2" xfId="34223"/>
    <cellStyle name="常规 5 6 4 2 2 2 3 3" xfId="25291"/>
    <cellStyle name="常规 5 6 4 2 2 2 3 4" xfId="25296"/>
    <cellStyle name="常规 5 6 4 2 2 2 4" xfId="34224"/>
    <cellStyle name="常规 5 6 4 2 2 2 4 2" xfId="34225"/>
    <cellStyle name="常规 5 6 4 2 2 2 5" xfId="34226"/>
    <cellStyle name="常规 5 6 4 2 2 2 6" xfId="15381"/>
    <cellStyle name="常规 5 6 4 2 2 3" xfId="34227"/>
    <cellStyle name="常规 5 6 4 2 2 3 2" xfId="34228"/>
    <cellStyle name="常规 5 6 4 2 2 3 2 2" xfId="34229"/>
    <cellStyle name="常规 5 6 4 2 2 3 2 2 2" xfId="21200"/>
    <cellStyle name="常规 5 6 4 2 2 3 2 3" xfId="25317"/>
    <cellStyle name="常规 5 6 4 2 2 3 2 4" xfId="25320"/>
    <cellStyle name="常规 5 6 4 2 2 3 3" xfId="34230"/>
    <cellStyle name="常规 5 6 4 2 2 3 3 2" xfId="34231"/>
    <cellStyle name="常规 5 6 4 2 2 3 4" xfId="34232"/>
    <cellStyle name="常规 5 6 4 2 2 3 5" xfId="34233"/>
    <cellStyle name="常规 5 6 4 2 2 4" xfId="34234"/>
    <cellStyle name="常规 5 6 4 2 2 4 2" xfId="34235"/>
    <cellStyle name="常规 5 6 4 2 2 4 2 2" xfId="34236"/>
    <cellStyle name="常规 5 6 4 2 2 4 3" xfId="34237"/>
    <cellStyle name="常规 5 6 4 2 2 4 4" xfId="34238"/>
    <cellStyle name="常规 5 6 4 2 2 5" xfId="2724"/>
    <cellStyle name="常规 5 6 4 2 2 5 2" xfId="18334"/>
    <cellStyle name="常规 5 6 4 2 2 6" xfId="21243"/>
    <cellStyle name="常规 5 6 4 2 2 7" xfId="34239"/>
    <cellStyle name="常规 5 6 4 2 3" xfId="22006"/>
    <cellStyle name="常规 5 6 4 2 3 2" xfId="22008"/>
    <cellStyle name="常规 5 6 4 2 3 2 2" xfId="25605"/>
    <cellStyle name="常规 5 6 4 2 3 2 2 2" xfId="25611"/>
    <cellStyle name="常规 5 6 4 2 3 2 2 2 2" xfId="25614"/>
    <cellStyle name="常规 5 6 4 2 3 2 2 3" xfId="25366"/>
    <cellStyle name="常规 5 6 4 2 3 2 2 4" xfId="3180"/>
    <cellStyle name="常规 5 6 4 2 3 2 3" xfId="25619"/>
    <cellStyle name="常规 5 6 4 2 3 2 3 2" xfId="25624"/>
    <cellStyle name="常规 5 6 4 2 3 2 4" xfId="25629"/>
    <cellStyle name="常规 5 6 4 2 3 2 5" xfId="25636"/>
    <cellStyle name="常规 5 6 4 2 3 3" xfId="34240"/>
    <cellStyle name="常规 5 6 4 2 3 3 2" xfId="25669"/>
    <cellStyle name="常规 5 6 4 2 3 3 2 2" xfId="25674"/>
    <cellStyle name="常规 5 6 4 2 3 3 3" xfId="25680"/>
    <cellStyle name="常规 5 6 4 2 3 3 4" xfId="25684"/>
    <cellStyle name="常规 5 6 4 2 3 4" xfId="34241"/>
    <cellStyle name="常规 5 6 4 2 3 4 2" xfId="25699"/>
    <cellStyle name="常规 5 6 4 2 3 5" xfId="34243"/>
    <cellStyle name="常规 5 6 4 2 3 6" xfId="33617"/>
    <cellStyle name="常规 5 6 4 2 4" xfId="22010"/>
    <cellStyle name="常规 5 6 4 2 4 2" xfId="34244"/>
    <cellStyle name="常规 5 6 4 2 4 2 2" xfId="3610"/>
    <cellStyle name="常规 5 6 4 2 4 2 2 2" xfId="6575"/>
    <cellStyle name="常规 5 6 4 2 4 2 3" xfId="6654"/>
    <cellStyle name="常规 5 6 4 2 4 2 4" xfId="6709"/>
    <cellStyle name="常规 5 6 4 2 4 3" xfId="34245"/>
    <cellStyle name="常规 5 6 4 2 4 3 2" xfId="1640"/>
    <cellStyle name="常规 5 6 4 2 4 4" xfId="34246"/>
    <cellStyle name="常规 5 6 4 2 4 5" xfId="34248"/>
    <cellStyle name="常规 5 6 4 2 5" xfId="22012"/>
    <cellStyle name="常规 5 6 4 2 5 2" xfId="34249"/>
    <cellStyle name="常规 5 6 4 2 5 2 2" xfId="6778"/>
    <cellStyle name="常规 5 6 4 2 5 3" xfId="34250"/>
    <cellStyle name="常规 5 6 4 2 5 4" xfId="14733"/>
    <cellStyle name="常规 5 6 4 2 6" xfId="34251"/>
    <cellStyle name="常规 5 6 4 2 6 2" xfId="34252"/>
    <cellStyle name="常规 5 6 4 2 7" xfId="34253"/>
    <cellStyle name="常规 5 6 4 2 8" xfId="34254"/>
    <cellStyle name="常规 5 6 4 3" xfId="16822"/>
    <cellStyle name="常规 5 6 4 3 2" xfId="3774"/>
    <cellStyle name="常规 5 6 4 3 2 2" xfId="13181"/>
    <cellStyle name="常规 5 6 4 3 2 2 2" xfId="13183"/>
    <cellStyle name="常规 5 6 4 3 2 2 2 2" xfId="13185"/>
    <cellStyle name="常规 5 6 4 3 2 2 2 2 2" xfId="3940"/>
    <cellStyle name="常规 5 6 4 3 2 2 2 3" xfId="13187"/>
    <cellStyle name="常规 5 6 4 3 2 2 2 4" xfId="3743"/>
    <cellStyle name="常规 5 6 4 3 2 2 3" xfId="13191"/>
    <cellStyle name="常规 5 6 4 3 2 2 3 2" xfId="13193"/>
    <cellStyle name="常规 5 6 4 3 2 2 4" xfId="13195"/>
    <cellStyle name="常规 5 6 4 3 2 2 5" xfId="13197"/>
    <cellStyle name="常规 5 6 4 3 2 3" xfId="13199"/>
    <cellStyle name="常规 5 6 4 3 2 3 2" xfId="13201"/>
    <cellStyle name="常规 5 6 4 3 2 3 2 2" xfId="13203"/>
    <cellStyle name="常规 5 6 4 3 2 3 3" xfId="13205"/>
    <cellStyle name="常规 5 6 4 3 2 3 4" xfId="13207"/>
    <cellStyle name="常规 5 6 4 3 2 4" xfId="13209"/>
    <cellStyle name="常规 5 6 4 3 2 4 2" xfId="13211"/>
    <cellStyle name="常规 5 6 4 3 2 5" xfId="13213"/>
    <cellStyle name="常规 5 6 4 3 2 6" xfId="13215"/>
    <cellStyle name="常规 5 6 4 3 3" xfId="22018"/>
    <cellStyle name="常规 5 6 4 3 3 2" xfId="13263"/>
    <cellStyle name="常规 5 6 4 3 3 2 2" xfId="13266"/>
    <cellStyle name="常规 5 6 4 3 3 2 2 2" xfId="13271"/>
    <cellStyle name="常规 5 6 4 3 3 2 3" xfId="13276"/>
    <cellStyle name="常规 5 6 4 3 3 2 4" xfId="13280"/>
    <cellStyle name="常规 5 6 4 3 3 3" xfId="13283"/>
    <cellStyle name="常规 5 6 4 3 3 3 2" xfId="13286"/>
    <cellStyle name="常规 5 6 4 3 3 4" xfId="13289"/>
    <cellStyle name="常规 5 6 4 3 3 5" xfId="13292"/>
    <cellStyle name="常规 5 6 4 3 4" xfId="34256"/>
    <cellStyle name="常规 5 6 4 3 4 2" xfId="13306"/>
    <cellStyle name="常规 5 6 4 3 4 2 2" xfId="6162"/>
    <cellStyle name="常规 5 6 4 3 4 3" xfId="13308"/>
    <cellStyle name="常规 5 6 4 3 4 4" xfId="13310"/>
    <cellStyle name="常规 5 6 4 3 5" xfId="2435"/>
    <cellStyle name="常规 5 6 4 3 5 2" xfId="7256"/>
    <cellStyle name="常规 5 6 4 3 6" xfId="3881"/>
    <cellStyle name="常规 5 6 4 3 7" xfId="3886"/>
    <cellStyle name="常规 5 6 4 4" xfId="16825"/>
    <cellStyle name="常规 5 6 4 4 2" xfId="29008"/>
    <cellStyle name="常规 5 6 4 4 2 2" xfId="13387"/>
    <cellStyle name="常规 5 6 4 4 2 2 2" xfId="13390"/>
    <cellStyle name="常规 5 6 4 4 2 2 2 2" xfId="743"/>
    <cellStyle name="常规 5 6 4 4 2 2 3" xfId="13400"/>
    <cellStyle name="常规 5 6 4 4 2 2 4" xfId="13405"/>
    <cellStyle name="常规 5 6 4 4 2 3" xfId="13413"/>
    <cellStyle name="常规 5 6 4 4 2 3 2" xfId="13418"/>
    <cellStyle name="常规 5 6 4 4 2 4" xfId="13432"/>
    <cellStyle name="常规 5 6 4 4 2 5" xfId="13440"/>
    <cellStyle name="常规 5 6 4 4 3" xfId="29010"/>
    <cellStyle name="常规 5 6 4 4 3 2" xfId="13475"/>
    <cellStyle name="常规 5 6 4 4 3 2 2" xfId="13479"/>
    <cellStyle name="常规 5 6 4 4 3 3" xfId="2039"/>
    <cellStyle name="常规 5 6 4 4 3 4" xfId="13497"/>
    <cellStyle name="常规 5 6 4 4 4" xfId="29012"/>
    <cellStyle name="常规 5 6 4 4 4 2" xfId="13511"/>
    <cellStyle name="常规 5 6 4 4 5" xfId="2806"/>
    <cellStyle name="常规 5 6 4 4 6" xfId="3901"/>
    <cellStyle name="常规 5 6 4 5" xfId="29015"/>
    <cellStyle name="常规 5 6 4 5 2" xfId="29017"/>
    <cellStyle name="常规 5 6 4 5 2 2" xfId="13580"/>
    <cellStyle name="常规 5 6 4 5 2 2 2" xfId="13583"/>
    <cellStyle name="常规 5 6 4 5 2 3" xfId="13596"/>
    <cellStyle name="常规 5 6 4 5 2 4" xfId="13607"/>
    <cellStyle name="常规 5 6 4 5 3" xfId="29019"/>
    <cellStyle name="常规 5 6 4 5 3 2" xfId="2134"/>
    <cellStyle name="常规 5 6 4 5 4" xfId="17057"/>
    <cellStyle name="常规 5 6 4 5 5" xfId="1613"/>
    <cellStyle name="常规 5 6 4 6" xfId="29022"/>
    <cellStyle name="常规 5 6 4 6 2" xfId="29024"/>
    <cellStyle name="常规 5 6 4 6 2 2" xfId="13671"/>
    <cellStyle name="常规 5 6 4 6 3" xfId="29026"/>
    <cellStyle name="常规 5 6 4 6 4" xfId="9156"/>
    <cellStyle name="常规 5 6 4 7" xfId="17593"/>
    <cellStyle name="常规 5 6 4 7 2" xfId="17596"/>
    <cellStyle name="常规 5 6 4 8" xfId="17601"/>
    <cellStyle name="常规 5 6 4 9" xfId="17606"/>
    <cellStyle name="常规 5 6 5" xfId="8197"/>
    <cellStyle name="常规 5 6 5 2" xfId="8637"/>
    <cellStyle name="常规 5 6 5 2 2" xfId="34257"/>
    <cellStyle name="常规 5 6 5 2 2 2" xfId="19914"/>
    <cellStyle name="常规 5 6 5 2 2 2 2" xfId="34258"/>
    <cellStyle name="常规 5 6 5 2 2 2 2 2" xfId="32354"/>
    <cellStyle name="常规 5 6 5 2 2 2 2 2 2" xfId="34259"/>
    <cellStyle name="常规 5 6 5 2 2 2 2 3" xfId="25580"/>
    <cellStyle name="常规 5 6 5 2 2 2 2 4" xfId="25586"/>
    <cellStyle name="常规 5 6 5 2 2 2 3" xfId="34260"/>
    <cellStyle name="常规 5 6 5 2 2 2 3 2" xfId="32361"/>
    <cellStyle name="常规 5 6 5 2 2 2 4" xfId="2856"/>
    <cellStyle name="常规 5 6 5 2 2 2 5" xfId="34261"/>
    <cellStyle name="常规 5 6 5 2 2 3" xfId="23838"/>
    <cellStyle name="常规 5 6 5 2 2 3 2" xfId="23840"/>
    <cellStyle name="常规 5 6 5 2 2 3 2 2" xfId="32379"/>
    <cellStyle name="常规 5 6 5 2 2 3 3" xfId="34262"/>
    <cellStyle name="常规 5 6 5 2 2 3 4" xfId="34263"/>
    <cellStyle name="常规 5 6 5 2 2 4" xfId="23842"/>
    <cellStyle name="常规 5 6 5 2 2 4 2" xfId="34264"/>
    <cellStyle name="常规 5 6 5 2 2 5" xfId="23844"/>
    <cellStyle name="常规 5 6 5 2 2 6" xfId="34265"/>
    <cellStyle name="常规 5 6 5 2 3" xfId="22181"/>
    <cellStyle name="常规 5 6 5 2 3 2" xfId="22183"/>
    <cellStyle name="常规 5 6 5 2 3 2 2" xfId="26340"/>
    <cellStyle name="常规 5 6 5 2 3 2 2 2" xfId="26344"/>
    <cellStyle name="常规 5 6 5 2 3 2 3" xfId="26351"/>
    <cellStyle name="常规 5 6 5 2 3 2 4" xfId="26357"/>
    <cellStyle name="常规 5 6 5 2 3 3" xfId="23847"/>
    <cellStyle name="常规 5 6 5 2 3 3 2" xfId="26376"/>
    <cellStyle name="常规 5 6 5 2 3 4" xfId="34266"/>
    <cellStyle name="常规 5 6 5 2 3 5" xfId="34268"/>
    <cellStyle name="常规 5 6 5 2 4" xfId="22185"/>
    <cellStyle name="常规 5 6 5 2 4 2" xfId="34269"/>
    <cellStyle name="常规 5 6 5 2 4 2 2" xfId="10986"/>
    <cellStyle name="常规 5 6 5 2 4 3" xfId="34270"/>
    <cellStyle name="常规 5 6 5 2 4 4" xfId="34271"/>
    <cellStyle name="常规 5 6 5 2 5" xfId="22187"/>
    <cellStyle name="常规 5 6 5 2 5 2" xfId="34272"/>
    <cellStyle name="常规 5 6 5 2 6" xfId="34273"/>
    <cellStyle name="常规 5 6 5 2 7" xfId="34274"/>
    <cellStyle name="常规 5 6 5 3" xfId="8641"/>
    <cellStyle name="常规 5 6 5 3 2" xfId="34276"/>
    <cellStyle name="常规 5 6 5 3 2 2" xfId="13819"/>
    <cellStyle name="常规 5 6 5 3 2 2 2" xfId="13821"/>
    <cellStyle name="常规 5 6 5 3 2 2 2 2" xfId="13823"/>
    <cellStyle name="常规 5 6 5 3 2 2 3" xfId="13826"/>
    <cellStyle name="常规 5 6 5 3 2 2 4" xfId="13828"/>
    <cellStyle name="常规 5 6 5 3 2 3" xfId="13830"/>
    <cellStyle name="常规 5 6 5 3 2 3 2" xfId="13833"/>
    <cellStyle name="常规 5 6 5 3 2 4" xfId="13835"/>
    <cellStyle name="常规 5 6 5 3 2 5" xfId="13838"/>
    <cellStyle name="常规 5 6 5 3 3" xfId="22192"/>
    <cellStyle name="常规 5 6 5 3 3 2" xfId="13861"/>
    <cellStyle name="常规 5 6 5 3 3 2 2" xfId="13865"/>
    <cellStyle name="常规 5 6 5 3 3 3" xfId="13868"/>
    <cellStyle name="常规 5 6 5 3 3 4" xfId="13871"/>
    <cellStyle name="常规 5 6 5 3 4" xfId="34277"/>
    <cellStyle name="常规 5 6 5 3 4 2" xfId="13882"/>
    <cellStyle name="常规 5 6 5 3 5" xfId="8229"/>
    <cellStyle name="常规 5 6 5 3 6" xfId="8335"/>
    <cellStyle name="常规 5 6 5 4" xfId="29032"/>
    <cellStyle name="常规 5 6 5 4 2" xfId="29035"/>
    <cellStyle name="常规 5 6 5 4 2 2" xfId="13926"/>
    <cellStyle name="常规 5 6 5 4 2 2 2" xfId="13930"/>
    <cellStyle name="常规 5 6 5 4 2 3" xfId="13937"/>
    <cellStyle name="常规 5 6 5 4 2 4" xfId="13945"/>
    <cellStyle name="常规 5 6 5 4 3" xfId="29040"/>
    <cellStyle name="常规 5 6 5 4 3 2" xfId="13972"/>
    <cellStyle name="常规 5 6 5 4 4" xfId="29046"/>
    <cellStyle name="常规 5 6 5 4 5" xfId="8438"/>
    <cellStyle name="常规 5 6 5 5" xfId="29049"/>
    <cellStyle name="常规 5 6 5 5 2" xfId="29051"/>
    <cellStyle name="常规 5 6 5 5 2 2" xfId="14021"/>
    <cellStyle name="常规 5 6 5 5 3" xfId="29055"/>
    <cellStyle name="常规 5 6 5 5 4" xfId="17062"/>
    <cellStyle name="常规 5 6 5 6" xfId="29057"/>
    <cellStyle name="常规 5 6 5 6 2" xfId="29059"/>
    <cellStyle name="常规 5 6 5 7" xfId="17614"/>
    <cellStyle name="常规 5 6 5 8" xfId="17621"/>
    <cellStyle name="常规 5 6 6" xfId="34278"/>
    <cellStyle name="常规 5 6 6 2" xfId="34279"/>
    <cellStyle name="常规 5 6 6 2 2" xfId="34280"/>
    <cellStyle name="常规 5 6 6 2 2 2" xfId="34281"/>
    <cellStyle name="常规 5 6 6 2 2 2 2" xfId="34282"/>
    <cellStyle name="常规 5 6 6 2 2 2 2 2" xfId="31904"/>
    <cellStyle name="常规 5 6 6 2 2 2 3" xfId="34283"/>
    <cellStyle name="常规 5 6 6 2 2 2 4" xfId="34284"/>
    <cellStyle name="常规 5 6 6 2 2 3" xfId="23871"/>
    <cellStyle name="常规 5 6 6 2 2 3 2" xfId="29483"/>
    <cellStyle name="常规 5 6 6 2 2 4" xfId="21214"/>
    <cellStyle name="常规 5 6 6 2 2 5" xfId="21218"/>
    <cellStyle name="常规 5 6 6 2 3" xfId="22286"/>
    <cellStyle name="常规 5 6 6 2 3 2" xfId="34285"/>
    <cellStyle name="常规 5 6 6 2 3 2 2" xfId="26836"/>
    <cellStyle name="常规 5 6 6 2 3 3" xfId="34286"/>
    <cellStyle name="常规 5 6 6 2 3 4" xfId="21222"/>
    <cellStyle name="常规 5 6 6 2 4" xfId="34287"/>
    <cellStyle name="常规 5 6 6 2 4 2" xfId="34288"/>
    <cellStyle name="常规 5 6 6 2 5" xfId="2482"/>
    <cellStyle name="常规 5 6 6 2 6" xfId="34289"/>
    <cellStyle name="常规 5 6 6 3" xfId="34292"/>
    <cellStyle name="常规 5 6 6 3 2" xfId="18260"/>
    <cellStyle name="常规 5 6 6 3 2 2" xfId="14137"/>
    <cellStyle name="常规 5 6 6 3 2 2 2" xfId="14140"/>
    <cellStyle name="常规 5 6 6 3 2 3" xfId="14146"/>
    <cellStyle name="常规 5 6 6 3 2 4" xfId="14153"/>
    <cellStyle name="常规 5 6 6 3 3" xfId="2589"/>
    <cellStyle name="常规 5 6 6 3 3 2" xfId="14174"/>
    <cellStyle name="常规 5 6 6 3 4" xfId="18262"/>
    <cellStyle name="常规 5 6 6 3 5" xfId="8949"/>
    <cellStyle name="常规 5 6 6 4" xfId="29065"/>
    <cellStyle name="常规 5 6 6 4 2" xfId="18287"/>
    <cellStyle name="常规 5 6 6 4 2 2" xfId="14222"/>
    <cellStyle name="常规 5 6 6 4 3" xfId="18291"/>
    <cellStyle name="常规 5 6 6 4 4" xfId="18295"/>
    <cellStyle name="常规 5 6 6 5" xfId="18932"/>
    <cellStyle name="常规 5 6 6 5 2" xfId="18306"/>
    <cellStyle name="常规 5 6 6 6" xfId="18945"/>
    <cellStyle name="常规 5 6 6 7" xfId="17625"/>
    <cellStyle name="常规 5 6 7" xfId="34293"/>
    <cellStyle name="常规 5 6 7 2" xfId="34294"/>
    <cellStyle name="常规 5 6 7 2 2" xfId="34295"/>
    <cellStyle name="常规 5 6 7 2 2 2" xfId="34296"/>
    <cellStyle name="常规 5 6 7 2 2 2 2" xfId="34297"/>
    <cellStyle name="常规 5 6 7 2 2 3" xfId="34298"/>
    <cellStyle name="常规 5 6 7 2 2 4" xfId="21238"/>
    <cellStyle name="常规 5 6 7 2 3" xfId="34299"/>
    <cellStyle name="常规 5 6 7 2 3 2" xfId="34300"/>
    <cellStyle name="常规 5 6 7 2 4" xfId="34301"/>
    <cellStyle name="常规 5 6 7 2 5" xfId="2209"/>
    <cellStyle name="常规 5 6 7 3" xfId="34302"/>
    <cellStyle name="常规 5 6 7 3 2" xfId="18336"/>
    <cellStyle name="常规 5 6 7 3 2 2" xfId="14347"/>
    <cellStyle name="常规 5 6 7 3 3" xfId="18338"/>
    <cellStyle name="常规 5 6 7 3 4" xfId="18340"/>
    <cellStyle name="常规 5 6 7 4" xfId="21762"/>
    <cellStyle name="常规 5 6 7 4 2" xfId="18348"/>
    <cellStyle name="常规 5 6 7 5" xfId="18968"/>
    <cellStyle name="常规 5 6 7 6" xfId="18973"/>
    <cellStyle name="常规 5 6 8" xfId="34303"/>
    <cellStyle name="常规 5 6 8 2" xfId="34304"/>
    <cellStyle name="常规 5 6 8 2 2" xfId="34305"/>
    <cellStyle name="常规 5 6 8 2 2 2" xfId="34307"/>
    <cellStyle name="常规 5 6 8 2 3" xfId="34308"/>
    <cellStyle name="常规 5 6 8 2 4" xfId="34309"/>
    <cellStyle name="常规 5 6 8 3" xfId="34310"/>
    <cellStyle name="常规 5 6 8 3 2" xfId="18368"/>
    <cellStyle name="常规 5 6 8 4" xfId="21772"/>
    <cellStyle name="常规 5 6 8 5" xfId="18983"/>
    <cellStyle name="常规 5 6 9" xfId="34311"/>
    <cellStyle name="常规 5 6 9 2" xfId="34312"/>
    <cellStyle name="常规 5 6 9 2 2" xfId="34313"/>
    <cellStyle name="常规 5 6 9 3" xfId="34314"/>
    <cellStyle name="常规 5 6 9 4" xfId="19881"/>
    <cellStyle name="常规 5 7" xfId="786"/>
    <cellStyle name="常规 5 7 10" xfId="34315"/>
    <cellStyle name="常规 5 7 11" xfId="34316"/>
    <cellStyle name="常规 5 7 2" xfId="34317"/>
    <cellStyle name="常规 5 7 2 2" xfId="34318"/>
    <cellStyle name="常规 5 7 2 2 2" xfId="14720"/>
    <cellStyle name="常规 5 7 2 2 2 2" xfId="34319"/>
    <cellStyle name="常规 5 7 2 2 2 2 2" xfId="34320"/>
    <cellStyle name="常规 5 7 2 2 2 2 2 2" xfId="34321"/>
    <cellStyle name="常规 5 7 2 2 2 2 2 2 2" xfId="34322"/>
    <cellStyle name="常规 5 7 2 2 2 2 2 2 2 2" xfId="34323"/>
    <cellStyle name="常规 5 7 2 2 2 2 2 2 3" xfId="34324"/>
    <cellStyle name="常规 5 7 2 2 2 2 2 2 4" xfId="34325"/>
    <cellStyle name="常规 5 7 2 2 2 2 2 3" xfId="32896"/>
    <cellStyle name="常规 5 7 2 2 2 2 2 3 2" xfId="32898"/>
    <cellStyle name="常规 5 7 2 2 2 2 2 4" xfId="32903"/>
    <cellStyle name="常规 5 7 2 2 2 2 2 5" xfId="32906"/>
    <cellStyle name="常规 5 7 2 2 2 2 3" xfId="23191"/>
    <cellStyle name="常规 5 7 2 2 2 2 3 2" xfId="23193"/>
    <cellStyle name="常规 5 7 2 2 2 2 3 2 2" xfId="34326"/>
    <cellStyle name="常规 5 7 2 2 2 2 3 3" xfId="32908"/>
    <cellStyle name="常规 5 7 2 2 2 2 3 4" xfId="32910"/>
    <cellStyle name="常规 5 7 2 2 2 2 4" xfId="12456"/>
    <cellStyle name="常规 5 7 2 2 2 2 4 2" xfId="20648"/>
    <cellStyle name="常规 5 7 2 2 2 2 5" xfId="23195"/>
    <cellStyle name="常规 5 7 2 2 2 2 6" xfId="17714"/>
    <cellStyle name="常规 5 7 2 2 2 3" xfId="34327"/>
    <cellStyle name="常规 5 7 2 2 2 3 2" xfId="34328"/>
    <cellStyle name="常规 5 7 2 2 2 3 2 2" xfId="34329"/>
    <cellStyle name="常规 5 7 2 2 2 3 2 2 2" xfId="34330"/>
    <cellStyle name="常规 5 7 2 2 2 3 2 3" xfId="22099"/>
    <cellStyle name="常规 5 7 2 2 2 3 2 4" xfId="32919"/>
    <cellStyle name="常规 5 7 2 2 2 3 3" xfId="23198"/>
    <cellStyle name="常规 5 7 2 2 2 3 3 2" xfId="34331"/>
    <cellStyle name="常规 5 7 2 2 2 3 4" xfId="34332"/>
    <cellStyle name="常规 5 7 2 2 2 3 5" xfId="34333"/>
    <cellStyle name="常规 5 7 2 2 2 4" xfId="34334"/>
    <cellStyle name="常规 5 7 2 2 2 4 2" xfId="34335"/>
    <cellStyle name="常规 5 7 2 2 2 4 2 2" xfId="34336"/>
    <cellStyle name="常规 5 7 2 2 2 4 3" xfId="34337"/>
    <cellStyle name="常规 5 7 2 2 2 4 4" xfId="34338"/>
    <cellStyle name="常规 5 7 2 2 2 5" xfId="34339"/>
    <cellStyle name="常规 5 7 2 2 2 5 2" xfId="34340"/>
    <cellStyle name="常规 5 7 2 2 2 6" xfId="34341"/>
    <cellStyle name="常规 5 7 2 2 2 7" xfId="34342"/>
    <cellStyle name="常规 5 7 2 2 3" xfId="34343"/>
    <cellStyle name="常规 5 7 2 2 3 2" xfId="34344"/>
    <cellStyle name="常规 5 7 2 2 3 2 2" xfId="34345"/>
    <cellStyle name="常规 5 7 2 2 3 2 2 2" xfId="3961"/>
    <cellStyle name="常规 5 7 2 2 3 2 2 2 2" xfId="34346"/>
    <cellStyle name="常规 5 7 2 2 3 2 2 3" xfId="16168"/>
    <cellStyle name="常规 5 7 2 2 3 2 2 4" xfId="32930"/>
    <cellStyle name="常规 5 7 2 2 3 2 3" xfId="23205"/>
    <cellStyle name="常规 5 7 2 2 3 2 3 2" xfId="34347"/>
    <cellStyle name="常规 5 7 2 2 3 2 4" xfId="12735"/>
    <cellStyle name="常规 5 7 2 2 3 2 5" xfId="34348"/>
    <cellStyle name="常规 5 7 2 2 3 3" xfId="34350"/>
    <cellStyle name="常规 5 7 2 2 3 3 2" xfId="34351"/>
    <cellStyle name="常规 5 7 2 2 3 3 2 2" xfId="34352"/>
    <cellStyle name="常规 5 7 2 2 3 3 3" xfId="34353"/>
    <cellStyle name="常规 5 7 2 2 3 3 4" xfId="34354"/>
    <cellStyle name="常规 5 7 2 2 3 4" xfId="29666"/>
    <cellStyle name="常规 5 7 2 2 3 4 2" xfId="3955"/>
    <cellStyle name="常规 5 7 2 2 3 5" xfId="34355"/>
    <cellStyle name="常规 5 7 2 2 3 6" xfId="34356"/>
    <cellStyle name="常规 5 7 2 2 4" xfId="34357"/>
    <cellStyle name="常规 5 7 2 2 4 2" xfId="34358"/>
    <cellStyle name="常规 5 7 2 2 4 2 2" xfId="34359"/>
    <cellStyle name="常规 5 7 2 2 4 2 2 2" xfId="34360"/>
    <cellStyle name="常规 5 7 2 2 4 2 3" xfId="34361"/>
    <cellStyle name="常规 5 7 2 2 4 2 4" xfId="34362"/>
    <cellStyle name="常规 5 7 2 2 4 3" xfId="34363"/>
    <cellStyle name="常规 5 7 2 2 4 3 2" xfId="34364"/>
    <cellStyle name="常规 5 7 2 2 4 4" xfId="34365"/>
    <cellStyle name="常规 5 7 2 2 4 5" xfId="34366"/>
    <cellStyle name="常规 5 7 2 2 5" xfId="34367"/>
    <cellStyle name="常规 5 7 2 2 5 2" xfId="34368"/>
    <cellStyle name="常规 5 7 2 2 5 2 2" xfId="32885"/>
    <cellStyle name="常规 5 7 2 2 5 3" xfId="34369"/>
    <cellStyle name="常规 5 7 2 2 5 4" xfId="34370"/>
    <cellStyle name="常规 5 7 2 2 6" xfId="34371"/>
    <cellStyle name="常规 5 7 2 2 6 2" xfId="15809"/>
    <cellStyle name="常规 5 7 2 2 7" xfId="13219"/>
    <cellStyle name="常规 5 7 2 2 8" xfId="13235"/>
    <cellStyle name="常规 5 7 2 3" xfId="34372"/>
    <cellStyle name="常规 5 7 2 3 2" xfId="34373"/>
    <cellStyle name="常规 5 7 2 3 2 2" xfId="34374"/>
    <cellStyle name="常规 5 7 2 3 2 2 2" xfId="34375"/>
    <cellStyle name="常规 5 7 2 3 2 2 2 2" xfId="28509"/>
    <cellStyle name="常规 5 7 2 3 2 2 2 2 2" xfId="34376"/>
    <cellStyle name="常规 5 7 2 3 2 2 2 3" xfId="9111"/>
    <cellStyle name="常规 5 7 2 3 2 2 2 4" xfId="32950"/>
    <cellStyle name="常规 5 7 2 3 2 2 3" xfId="23217"/>
    <cellStyle name="常规 5 7 2 3 2 2 3 2" xfId="34377"/>
    <cellStyle name="常规 5 7 2 3 2 2 4" xfId="14327"/>
    <cellStyle name="常规 5 7 2 3 2 2 5" xfId="34378"/>
    <cellStyle name="常规 5 7 2 3 2 3" xfId="34379"/>
    <cellStyle name="常规 5 7 2 3 2 3 2" xfId="34380"/>
    <cellStyle name="常规 5 7 2 3 2 3 2 2" xfId="34381"/>
    <cellStyle name="常规 5 7 2 3 2 3 3" xfId="34382"/>
    <cellStyle name="常规 5 7 2 3 2 3 4" xfId="34383"/>
    <cellStyle name="常规 5 7 2 3 2 4" xfId="34384"/>
    <cellStyle name="常规 5 7 2 3 2 4 2" xfId="34385"/>
    <cellStyle name="常规 5 7 2 3 2 5" xfId="33974"/>
    <cellStyle name="常规 5 7 2 3 2 6" xfId="33977"/>
    <cellStyle name="常规 5 7 2 3 3" xfId="34386"/>
    <cellStyle name="常规 5 7 2 3 3 2" xfId="34387"/>
    <cellStyle name="常规 5 7 2 3 3 2 2" xfId="34388"/>
    <cellStyle name="常规 5 7 2 3 3 2 2 2" xfId="18954"/>
    <cellStyle name="常规 5 7 2 3 3 2 3" xfId="23091"/>
    <cellStyle name="常规 5 7 2 3 3 2 4" xfId="32701"/>
    <cellStyle name="常规 5 7 2 3 3 3" xfId="34389"/>
    <cellStyle name="常规 5 7 2 3 3 3 2" xfId="34390"/>
    <cellStyle name="常规 5 7 2 3 3 4" xfId="33302"/>
    <cellStyle name="常规 5 7 2 3 3 5" xfId="33377"/>
    <cellStyle name="常规 5 7 2 3 4" xfId="34391"/>
    <cellStyle name="常规 5 7 2 3 4 2" xfId="34392"/>
    <cellStyle name="常规 5 7 2 3 4 2 2" xfId="34393"/>
    <cellStyle name="常规 5 7 2 3 4 3" xfId="34394"/>
    <cellStyle name="常规 5 7 2 3 4 4" xfId="33585"/>
    <cellStyle name="常规 5 7 2 3 5" xfId="34395"/>
    <cellStyle name="常规 5 7 2 3 5 2" xfId="34396"/>
    <cellStyle name="常规 5 7 2 3 6" xfId="34397"/>
    <cellStyle name="常规 5 7 2 3 7" xfId="13250"/>
    <cellStyle name="常规 5 7 2 4" xfId="14924"/>
    <cellStyle name="常规 5 7 2 4 2" xfId="29068"/>
    <cellStyle name="常规 5 7 2 4 2 2" xfId="29070"/>
    <cellStyle name="常规 5 7 2 4 2 2 2" xfId="22572"/>
    <cellStyle name="常规 5 7 2 4 2 2 2 2" xfId="15313"/>
    <cellStyle name="常规 5 7 2 4 2 2 3" xfId="22576"/>
    <cellStyle name="常规 5 7 2 4 2 2 4" xfId="29072"/>
    <cellStyle name="常规 5 7 2 4 2 3" xfId="12745"/>
    <cellStyle name="常规 5 7 2 4 2 3 2" xfId="12748"/>
    <cellStyle name="常规 5 7 2 4 2 4" xfId="12767"/>
    <cellStyle name="常规 5 7 2 4 2 5" xfId="12776"/>
    <cellStyle name="常规 5 7 2 4 3" xfId="29076"/>
    <cellStyle name="常规 5 7 2 4 3 2" xfId="29079"/>
    <cellStyle name="常规 5 7 2 4 3 2 2" xfId="22621"/>
    <cellStyle name="常规 5 7 2 4 3 3" xfId="12788"/>
    <cellStyle name="常规 5 7 2 4 3 4" xfId="12802"/>
    <cellStyle name="常规 5 7 2 4 4" xfId="29087"/>
    <cellStyle name="常规 5 7 2 4 4 2" xfId="29089"/>
    <cellStyle name="常规 5 7 2 4 5" xfId="29093"/>
    <cellStyle name="常规 5 7 2 4 6" xfId="25751"/>
    <cellStyle name="常规 5 7 2 5" xfId="29097"/>
    <cellStyle name="常规 5 7 2 5 2" xfId="16293"/>
    <cellStyle name="常规 5 7 2 5 2 2" xfId="7577"/>
    <cellStyle name="常规 5 7 2 5 2 2 2" xfId="7581"/>
    <cellStyle name="常规 5 7 2 5 2 3" xfId="6363"/>
    <cellStyle name="常规 5 7 2 5 2 4" xfId="6370"/>
    <cellStyle name="常规 5 7 2 5 3" xfId="16301"/>
    <cellStyle name="常规 5 7 2 5 3 2" xfId="7591"/>
    <cellStyle name="常规 5 7 2 5 4" xfId="16307"/>
    <cellStyle name="常规 5 7 2 5 5" xfId="16310"/>
    <cellStyle name="常规 5 7 2 6" xfId="29099"/>
    <cellStyle name="常规 5 7 2 6 2" xfId="16349"/>
    <cellStyle name="常规 5 7 2 6 2 2" xfId="7729"/>
    <cellStyle name="常规 5 7 2 6 3" xfId="16356"/>
    <cellStyle name="常规 5 7 2 6 4" xfId="16361"/>
    <cellStyle name="常规 5 7 2 7" xfId="29101"/>
    <cellStyle name="常规 5 7 2 7 2" xfId="16387"/>
    <cellStyle name="常规 5 7 2 8" xfId="29104"/>
    <cellStyle name="常规 5 7 2 9" xfId="29108"/>
    <cellStyle name="常规 5 7 3" xfId="34398"/>
    <cellStyle name="常规 5 7 3 2" xfId="34399"/>
    <cellStyle name="常规 5 7 3 2 2" xfId="251"/>
    <cellStyle name="常规 5 7 3 2 2 2" xfId="349"/>
    <cellStyle name="常规 5 7 3 2 2 2 2" xfId="34400"/>
    <cellStyle name="常规 5 7 3 2 2 2 2 2" xfId="34401"/>
    <cellStyle name="常规 5 7 3 2 2 2 2 2 2" xfId="34402"/>
    <cellStyle name="常规 5 7 3 2 2 2 2 2 2 2" xfId="22353"/>
    <cellStyle name="常规 5 7 3 2 2 2 2 2 3" xfId="34403"/>
    <cellStyle name="常规 5 7 3 2 2 2 2 2 4" xfId="34404"/>
    <cellStyle name="常规 5 7 3 2 2 2 2 3" xfId="25901"/>
    <cellStyle name="常规 5 7 3 2 2 2 2 3 2" xfId="25904"/>
    <cellStyle name="常规 5 7 3 2 2 2 2 4" xfId="25347"/>
    <cellStyle name="常规 5 7 3 2 2 2 2 5" xfId="25913"/>
    <cellStyle name="常规 5 7 3 2 2 2 3" xfId="23238"/>
    <cellStyle name="常规 5 7 3 2 2 2 3 2" xfId="34405"/>
    <cellStyle name="常规 5 7 3 2 2 2 3 2 2" xfId="34406"/>
    <cellStyle name="常规 5 7 3 2 2 2 3 3" xfId="25920"/>
    <cellStyle name="常规 5 7 3 2 2 2 3 4" xfId="25926"/>
    <cellStyle name="常规 5 7 3 2 2 2 4" xfId="34407"/>
    <cellStyle name="常规 5 7 3 2 2 2 4 2" xfId="34408"/>
    <cellStyle name="常规 5 7 3 2 2 2 5" xfId="16152"/>
    <cellStyle name="常规 5 7 3 2 2 2 6" xfId="29342"/>
    <cellStyle name="常规 5 7 3 2 2 3" xfId="400"/>
    <cellStyle name="常规 5 7 3 2 2 3 2" xfId="34409"/>
    <cellStyle name="常规 5 7 3 2 2 3 2 2" xfId="34410"/>
    <cellStyle name="常规 5 7 3 2 2 3 2 2 2" xfId="30841"/>
    <cellStyle name="常规 5 7 3 2 2 3 2 3" xfId="25940"/>
    <cellStyle name="常规 5 7 3 2 2 3 2 4" xfId="25945"/>
    <cellStyle name="常规 5 7 3 2 2 3 3" xfId="34411"/>
    <cellStyle name="常规 5 7 3 2 2 3 3 2" xfId="34412"/>
    <cellStyle name="常规 5 7 3 2 2 3 4" xfId="34413"/>
    <cellStyle name="常规 5 7 3 2 2 3 5" xfId="34414"/>
    <cellStyle name="常规 5 7 3 2 2 4" xfId="34415"/>
    <cellStyle name="常规 5 7 3 2 2 4 2" xfId="34416"/>
    <cellStyle name="常规 5 7 3 2 2 4 2 2" xfId="18134"/>
    <cellStyle name="常规 5 7 3 2 2 4 3" xfId="34417"/>
    <cellStyle name="常规 5 7 3 2 2 4 4" xfId="34418"/>
    <cellStyle name="常规 5 7 3 2 2 5" xfId="34419"/>
    <cellStyle name="常规 5 7 3 2 2 5 2" xfId="34420"/>
    <cellStyle name="常规 5 7 3 2 2 6" xfId="34421"/>
    <cellStyle name="常规 5 7 3 2 2 7" xfId="32093"/>
    <cellStyle name="常规 5 7 3 2 3" xfId="417"/>
    <cellStyle name="常规 5 7 3 2 3 2" xfId="324"/>
    <cellStyle name="常规 5 7 3 2 3 2 2" xfId="34422"/>
    <cellStyle name="常规 5 7 3 2 3 2 2 2" xfId="12714"/>
    <cellStyle name="常规 5 7 3 2 3 2 2 2 2" xfId="34423"/>
    <cellStyle name="常规 5 7 3 2 3 2 2 3" xfId="25979"/>
    <cellStyle name="常规 5 7 3 2 3 2 2 4" xfId="6977"/>
    <cellStyle name="常规 5 7 3 2 3 2 3" xfId="34424"/>
    <cellStyle name="常规 5 7 3 2 3 2 3 2" xfId="34425"/>
    <cellStyle name="常规 5 7 3 2 3 2 4" xfId="34426"/>
    <cellStyle name="常规 5 7 3 2 3 2 5" xfId="29181"/>
    <cellStyle name="常规 5 7 3 2 3 3" xfId="10200"/>
    <cellStyle name="常规 5 7 3 2 3 3 2" xfId="34427"/>
    <cellStyle name="常规 5 7 3 2 3 3 2 2" xfId="34428"/>
    <cellStyle name="常规 5 7 3 2 3 3 3" xfId="34429"/>
    <cellStyle name="常规 5 7 3 2 3 3 4" xfId="34430"/>
    <cellStyle name="常规 5 7 3 2 3 4" xfId="34431"/>
    <cellStyle name="常规 5 7 3 2 3 4 2" xfId="34432"/>
    <cellStyle name="常规 5 7 3 2 3 5" xfId="34433"/>
    <cellStyle name="常规 5 7 3 2 3 6" xfId="34434"/>
    <cellStyle name="常规 5 7 3 2 4" xfId="439"/>
    <cellStyle name="常规 5 7 3 2 4 2" xfId="34435"/>
    <cellStyle name="常规 5 7 3 2 4 2 2" xfId="10688"/>
    <cellStyle name="常规 5 7 3 2 4 2 2 2" xfId="32694"/>
    <cellStyle name="常规 5 7 3 2 4 2 3" xfId="18115"/>
    <cellStyle name="常规 5 7 3 2 4 2 4" xfId="34436"/>
    <cellStyle name="常规 5 7 3 2 4 3" xfId="34437"/>
    <cellStyle name="常规 5 7 3 2 4 3 2" xfId="10982"/>
    <cellStyle name="常规 5 7 3 2 4 4" xfId="34438"/>
    <cellStyle name="常规 5 7 3 2 4 5" xfId="34439"/>
    <cellStyle name="常规 5 7 3 2 5" xfId="444"/>
    <cellStyle name="常规 5 7 3 2 5 2" xfId="34440"/>
    <cellStyle name="常规 5 7 3 2 5 2 2" xfId="11813"/>
    <cellStyle name="常规 5 7 3 2 5 3" xfId="34441"/>
    <cellStyle name="常规 5 7 3 2 5 4" xfId="34442"/>
    <cellStyle name="常规 5 7 3 2 6" xfId="34443"/>
    <cellStyle name="常规 5 7 3 2 6 2" xfId="15876"/>
    <cellStyle name="常规 5 7 3 2 7" xfId="13296"/>
    <cellStyle name="常规 5 7 3 2 8" xfId="12217"/>
    <cellStyle name="常规 5 7 3 3" xfId="34445"/>
    <cellStyle name="常规 5 7 3 3 2" xfId="6238"/>
    <cellStyle name="常规 5 7 3 3 2 2" xfId="34447"/>
    <cellStyle name="常规 5 7 3 3 2 2 2" xfId="34448"/>
    <cellStyle name="常规 5 7 3 3 2 2 2 2" xfId="34449"/>
    <cellStyle name="常规 5 7 3 3 2 2 2 2 2" xfId="34450"/>
    <cellStyle name="常规 5 7 3 3 2 2 2 3" xfId="26032"/>
    <cellStyle name="常规 5 7 3 3 2 2 2 4" xfId="25631"/>
    <cellStyle name="常规 5 7 3 3 2 2 3" xfId="34451"/>
    <cellStyle name="常规 5 7 3 3 2 2 3 2" xfId="34452"/>
    <cellStyle name="常规 5 7 3 3 2 2 4" xfId="4212"/>
    <cellStyle name="常规 5 7 3 3 2 2 5" xfId="4215"/>
    <cellStyle name="常规 5 7 3 3 2 3" xfId="34453"/>
    <cellStyle name="常规 5 7 3 3 2 3 2" xfId="34454"/>
    <cellStyle name="常规 5 7 3 3 2 3 2 2" xfId="34455"/>
    <cellStyle name="常规 5 7 3 3 2 3 3" xfId="34456"/>
    <cellStyle name="常规 5 7 3 3 2 3 4" xfId="4231"/>
    <cellStyle name="常规 5 7 3 3 2 4" xfId="34457"/>
    <cellStyle name="常规 5 7 3 3 2 4 2" xfId="34458"/>
    <cellStyle name="常规 5 7 3 3 2 5" xfId="33989"/>
    <cellStyle name="常规 5 7 3 3 2 6" xfId="34459"/>
    <cellStyle name="常规 5 7 3 3 3" xfId="22520"/>
    <cellStyle name="常规 5 7 3 3 3 2" xfId="34460"/>
    <cellStyle name="常规 5 7 3 3 3 2 2" xfId="34461"/>
    <cellStyle name="常规 5 7 3 3 3 2 2 2" xfId="32415"/>
    <cellStyle name="常规 5 7 3 3 3 2 3" xfId="34462"/>
    <cellStyle name="常规 5 7 3 3 3 2 4" xfId="4266"/>
    <cellStyle name="常规 5 7 3 3 3 3" xfId="34463"/>
    <cellStyle name="常规 5 7 3 3 3 3 2" xfId="34464"/>
    <cellStyle name="常规 5 7 3 3 3 4" xfId="34000"/>
    <cellStyle name="常规 5 7 3 3 3 5" xfId="34032"/>
    <cellStyle name="常规 5 7 3 3 4" xfId="34466"/>
    <cellStyle name="常规 5 7 3 3 4 2" xfId="34467"/>
    <cellStyle name="常规 5 7 3 3 4 2 2" xfId="13535"/>
    <cellStyle name="常规 5 7 3 3 4 3" xfId="34468"/>
    <cellStyle name="常规 5 7 3 3 4 4" xfId="34085"/>
    <cellStyle name="常规 5 7 3 3 5" xfId="34469"/>
    <cellStyle name="常规 5 7 3 3 5 2" xfId="34470"/>
    <cellStyle name="常规 5 7 3 3 6" xfId="34471"/>
    <cellStyle name="常规 5 7 3 3 7" xfId="13303"/>
    <cellStyle name="常规 5 7 3 4" xfId="29113"/>
    <cellStyle name="常规 5 7 3 4 2" xfId="29116"/>
    <cellStyle name="常规 5 7 3 4 2 2" xfId="29119"/>
    <cellStyle name="常规 5 7 3 4 2 2 2" xfId="22776"/>
    <cellStyle name="常规 5 7 3 4 2 2 2 2" xfId="29121"/>
    <cellStyle name="常规 5 7 3 4 2 2 3" xfId="29123"/>
    <cellStyle name="常规 5 7 3 4 2 2 4" xfId="4352"/>
    <cellStyle name="常规 5 7 3 4 2 3" xfId="12914"/>
    <cellStyle name="常规 5 7 3 4 2 3 2" xfId="12918"/>
    <cellStyle name="常规 5 7 3 4 2 4" xfId="12927"/>
    <cellStyle name="常规 5 7 3 4 2 5" xfId="12932"/>
    <cellStyle name="常规 5 7 3 4 3" xfId="29126"/>
    <cellStyle name="常规 5 7 3 4 3 2" xfId="18789"/>
    <cellStyle name="常规 5 7 3 4 3 2 2" xfId="29128"/>
    <cellStyle name="常规 5 7 3 4 3 3" xfId="12944"/>
    <cellStyle name="常规 5 7 3 4 3 4" xfId="12951"/>
    <cellStyle name="常规 5 7 3 4 4" xfId="6119"/>
    <cellStyle name="常规 5 7 3 4 4 2" xfId="6123"/>
    <cellStyle name="常规 5 7 3 4 5" xfId="6136"/>
    <cellStyle name="常规 5 7 3 4 6" xfId="6148"/>
    <cellStyle name="常规 5 7 3 5" xfId="29132"/>
    <cellStyle name="常规 5 7 3 5 2" xfId="16457"/>
    <cellStyle name="常规 5 7 3 5 2 2" xfId="8428"/>
    <cellStyle name="常规 5 7 3 5 2 2 2" xfId="1863"/>
    <cellStyle name="常规 5 7 3 5 2 3" xfId="12971"/>
    <cellStyle name="常规 5 7 3 5 2 4" xfId="12975"/>
    <cellStyle name="常规 5 7 3 5 3" xfId="16460"/>
    <cellStyle name="常规 5 7 3 5 3 2" xfId="18821"/>
    <cellStyle name="常规 5 7 3 5 4" xfId="6175"/>
    <cellStyle name="常规 5 7 3 5 5" xfId="6180"/>
    <cellStyle name="常规 5 7 3 6" xfId="29135"/>
    <cellStyle name="常规 5 7 3 6 2" xfId="7297"/>
    <cellStyle name="常规 5 7 3 6 2 2" xfId="7306"/>
    <cellStyle name="常规 5 7 3 6 3" xfId="7199"/>
    <cellStyle name="常规 5 7 3 6 4" xfId="6196"/>
    <cellStyle name="常规 5 7 3 7" xfId="29137"/>
    <cellStyle name="常规 5 7 3 7 2" xfId="7357"/>
    <cellStyle name="常规 5 7 3 8" xfId="29141"/>
    <cellStyle name="常规 5 7 3 9" xfId="29145"/>
    <cellStyle name="常规 5 7 4" xfId="34472"/>
    <cellStyle name="常规 5 7 4 2" xfId="16833"/>
    <cellStyle name="常规 5 7 4 2 2" xfId="472"/>
    <cellStyle name="常规 5 7 4 2 2 2" xfId="477"/>
    <cellStyle name="常规 5 7 4 2 2 2 2" xfId="21560"/>
    <cellStyle name="常规 5 7 4 2 2 2 2 2" xfId="3425"/>
    <cellStyle name="常规 5 7 4 2 2 2 2 2 2" xfId="24230"/>
    <cellStyle name="常规 5 7 4 2 2 2 2 3" xfId="26141"/>
    <cellStyle name="常规 5 7 4 2 2 2 2 4" xfId="26145"/>
    <cellStyle name="常规 5 7 4 2 2 2 3" xfId="34473"/>
    <cellStyle name="常规 5 7 4 2 2 2 3 2" xfId="34474"/>
    <cellStyle name="常规 5 7 4 2 2 2 4" xfId="34475"/>
    <cellStyle name="常规 5 7 4 2 2 2 5" xfId="34477"/>
    <cellStyle name="常规 5 7 4 2 2 3" xfId="479"/>
    <cellStyle name="常规 5 7 4 2 2 3 2" xfId="34478"/>
    <cellStyle name="常规 5 7 4 2 2 3 2 2" xfId="3470"/>
    <cellStyle name="常规 5 7 4 2 2 3 3" xfId="34479"/>
    <cellStyle name="常规 5 7 4 2 2 3 4" xfId="34480"/>
    <cellStyle name="常规 5 7 4 2 2 4" xfId="34481"/>
    <cellStyle name="常规 5 7 4 2 2 4 2" xfId="34482"/>
    <cellStyle name="常规 5 7 4 2 2 5" xfId="23570"/>
    <cellStyle name="常规 5 7 4 2 2 6" xfId="34483"/>
    <cellStyle name="常规 5 7 4 2 3" xfId="482"/>
    <cellStyle name="常规 5 7 4 2 3 2" xfId="491"/>
    <cellStyle name="常规 5 7 4 2 3 2 2" xfId="28035"/>
    <cellStyle name="常规 5 7 4 2 3 2 2 2" xfId="28038"/>
    <cellStyle name="常规 5 7 4 2 3 2 3" xfId="28041"/>
    <cellStyle name="常规 5 7 4 2 3 2 4" xfId="28045"/>
    <cellStyle name="常规 5 7 4 2 3 3" xfId="34484"/>
    <cellStyle name="常规 5 7 4 2 3 3 2" xfId="28056"/>
    <cellStyle name="常规 5 7 4 2 3 4" xfId="34485"/>
    <cellStyle name="常规 5 7 4 2 3 5" xfId="34487"/>
    <cellStyle name="常规 5 7 4 2 4" xfId="495"/>
    <cellStyle name="常规 5 7 4 2 4 2" xfId="34488"/>
    <cellStyle name="常规 5 7 4 2 4 2 2" xfId="28088"/>
    <cellStyle name="常规 5 7 4 2 4 3" xfId="34489"/>
    <cellStyle name="常规 5 7 4 2 4 4" xfId="34490"/>
    <cellStyle name="常规 5 7 4 2 5" xfId="500"/>
    <cellStyle name="常规 5 7 4 2 5 2" xfId="34491"/>
    <cellStyle name="常规 5 7 4 2 6" xfId="34492"/>
    <cellStyle name="常规 5 7 4 2 7" xfId="13314"/>
    <cellStyle name="常规 5 7 4 3" xfId="16836"/>
    <cellStyle name="常规 5 7 4 3 2" xfId="34494"/>
    <cellStyle name="常规 5 7 4 3 2 2" xfId="14670"/>
    <cellStyle name="常规 5 7 4 3 2 2 2" xfId="14672"/>
    <cellStyle name="常规 5 7 4 3 2 2 2 2" xfId="14674"/>
    <cellStyle name="常规 5 7 4 3 2 2 3" xfId="14676"/>
    <cellStyle name="常规 5 7 4 3 2 2 4" xfId="4465"/>
    <cellStyle name="常规 5 7 4 3 2 3" xfId="14678"/>
    <cellStyle name="常规 5 7 4 3 2 3 2" xfId="14680"/>
    <cellStyle name="常规 5 7 4 3 2 4" xfId="14682"/>
    <cellStyle name="常规 5 7 4 3 2 5" xfId="14684"/>
    <cellStyle name="常规 5 7 4 3 3" xfId="22762"/>
    <cellStyle name="常规 5 7 4 3 3 2" xfId="14711"/>
    <cellStyle name="常规 5 7 4 3 3 2 2" xfId="14714"/>
    <cellStyle name="常规 5 7 4 3 3 3" xfId="14717"/>
    <cellStyle name="常规 5 7 4 3 3 4" xfId="14719"/>
    <cellStyle name="常规 5 7 4 3 4" xfId="34495"/>
    <cellStyle name="常规 5 7 4 3 4 2" xfId="14728"/>
    <cellStyle name="常规 5 7 4 3 5" xfId="34496"/>
    <cellStyle name="常规 5 7 4 3 6" xfId="34497"/>
    <cellStyle name="常规 5 7 4 4" xfId="29150"/>
    <cellStyle name="常规 5 7 4 4 2" xfId="29152"/>
    <cellStyle name="常规 5 7 4 4 2 2" xfId="14757"/>
    <cellStyle name="常规 5 7 4 4 2 2 2" xfId="14760"/>
    <cellStyle name="常规 5 7 4 4 2 3" xfId="13012"/>
    <cellStyle name="常规 5 7 4 4 2 4" xfId="13019"/>
    <cellStyle name="常规 5 7 4 4 3" xfId="29154"/>
    <cellStyle name="常规 5 7 4 4 3 2" xfId="14777"/>
    <cellStyle name="常规 5 7 4 4 4" xfId="6229"/>
    <cellStyle name="常规 5 7 4 4 5" xfId="6240"/>
    <cellStyle name="常规 5 7 4 5" xfId="29157"/>
    <cellStyle name="常规 5 7 4 5 2" xfId="16479"/>
    <cellStyle name="常规 5 7 4 5 2 2" xfId="9240"/>
    <cellStyle name="常规 5 7 4 5 3" xfId="16482"/>
    <cellStyle name="常规 5 7 4 5 4" xfId="6257"/>
    <cellStyle name="常规 5 7 4 6" xfId="1132"/>
    <cellStyle name="常规 5 7 4 6 2" xfId="1138"/>
    <cellStyle name="常规 5 7 4 7" xfId="1164"/>
    <cellStyle name="常规 5 7 4 8" xfId="620"/>
    <cellStyle name="常规 5 7 5" xfId="19463"/>
    <cellStyle name="常规 5 7 5 2" xfId="14751"/>
    <cellStyle name="常规 5 7 5 2 2" xfId="552"/>
    <cellStyle name="常规 5 7 5 2 2 2" xfId="555"/>
    <cellStyle name="常规 5 7 5 2 2 2 2" xfId="34498"/>
    <cellStyle name="常规 5 7 5 2 2 2 2 2" xfId="34499"/>
    <cellStyle name="常规 5 7 5 2 2 2 3" xfId="5943"/>
    <cellStyle name="常规 5 7 5 2 2 2 4" xfId="3002"/>
    <cellStyle name="常规 5 7 5 2 2 3" xfId="22"/>
    <cellStyle name="常规 5 7 5 2 2 3 2" xfId="34500"/>
    <cellStyle name="常规 5 7 5 2 2 4" xfId="34501"/>
    <cellStyle name="常规 5 7 5 2 2 5" xfId="34502"/>
    <cellStyle name="常规 5 7 5 2 3" xfId="563"/>
    <cellStyle name="常规 5 7 5 2 3 2" xfId="565"/>
    <cellStyle name="常规 5 7 5 2 3 2 2" xfId="28291"/>
    <cellStyle name="常规 5 7 5 2 3 3" xfId="34503"/>
    <cellStyle name="常规 5 7 5 2 3 4" xfId="34504"/>
    <cellStyle name="常规 5 7 5 2 4" xfId="580"/>
    <cellStyle name="常规 5 7 5 2 4 2" xfId="34505"/>
    <cellStyle name="常规 5 7 5 2 5" xfId="585"/>
    <cellStyle name="常规 5 7 5 2 6" xfId="34506"/>
    <cellStyle name="常规 5 7 5 3" xfId="34508"/>
    <cellStyle name="常规 5 7 5 3 2" xfId="34510"/>
    <cellStyle name="常规 5 7 5 3 2 2" xfId="14849"/>
    <cellStyle name="常规 5 7 5 3 2 2 2" xfId="14852"/>
    <cellStyle name="常规 5 7 5 3 2 3" xfId="14857"/>
    <cellStyle name="常规 5 7 5 3 2 4" xfId="14861"/>
    <cellStyle name="常规 5 7 5 3 3" xfId="34512"/>
    <cellStyle name="常规 5 7 5 3 3 2" xfId="14889"/>
    <cellStyle name="常规 5 7 5 3 4" xfId="34513"/>
    <cellStyle name="常规 5 7 5 3 5" xfId="34514"/>
    <cellStyle name="常规 5 7 5 4" xfId="29161"/>
    <cellStyle name="常规 5 7 5 4 2" xfId="29164"/>
    <cellStyle name="常规 5 7 5 4 2 2" xfId="14946"/>
    <cellStyle name="常规 5 7 5 4 3" xfId="29166"/>
    <cellStyle name="常规 5 7 5 4 4" xfId="637"/>
    <cellStyle name="常规 5 7 5 5" xfId="29168"/>
    <cellStyle name="常规 5 7 5 5 2" xfId="16505"/>
    <cellStyle name="常规 5 7 5 6" xfId="29170"/>
    <cellStyle name="常规 5 7 5 7" xfId="17638"/>
    <cellStyle name="常规 5 7 6" xfId="34515"/>
    <cellStyle name="常规 5 7 6 2" xfId="34516"/>
    <cellStyle name="常规 5 7 6 2 2" xfId="616"/>
    <cellStyle name="常规 5 7 6 2 2 2" xfId="625"/>
    <cellStyle name="常规 5 7 6 2 2 2 2" xfId="34517"/>
    <cellStyle name="常规 5 7 6 2 2 3" xfId="641"/>
    <cellStyle name="常规 5 7 6 2 2 4" xfId="21253"/>
    <cellStyle name="常规 5 7 6 2 3" xfId="643"/>
    <cellStyle name="常规 5 7 6 2 3 2" xfId="646"/>
    <cellStyle name="常规 5 7 6 2 4" xfId="659"/>
    <cellStyle name="常规 5 7 6 2 5" xfId="661"/>
    <cellStyle name="常规 5 7 6 3" xfId="34518"/>
    <cellStyle name="常规 5 7 6 3 2" xfId="18398"/>
    <cellStyle name="常规 5 7 6 3 2 2" xfId="15046"/>
    <cellStyle name="常规 5 7 6 3 3" xfId="18400"/>
    <cellStyle name="常规 5 7 6 3 4" xfId="18402"/>
    <cellStyle name="常规 5 7 6 4" xfId="29174"/>
    <cellStyle name="常规 5 7 6 4 2" xfId="18408"/>
    <cellStyle name="常规 5 7 6 5" xfId="19009"/>
    <cellStyle name="常规 5 7 6 6" xfId="19020"/>
    <cellStyle name="常规 5 7 7" xfId="34519"/>
    <cellStyle name="常规 5 7 7 2" xfId="34520"/>
    <cellStyle name="常规 5 7 7 2 2" xfId="686"/>
    <cellStyle name="常规 5 7 7 2 2 2" xfId="689"/>
    <cellStyle name="常规 5 7 7 2 3" xfId="696"/>
    <cellStyle name="常规 5 7 7 2 4" xfId="701"/>
    <cellStyle name="常规 5 7 7 3" xfId="34521"/>
    <cellStyle name="常规 5 7 7 3 2" xfId="18426"/>
    <cellStyle name="常规 5 7 7 4" xfId="21782"/>
    <cellStyle name="常规 5 7 7 5" xfId="19031"/>
    <cellStyle name="常规 5 7 8" xfId="34522"/>
    <cellStyle name="常规 5 7 8 2" xfId="34523"/>
    <cellStyle name="常规 5 7 8 2 2" xfId="734"/>
    <cellStyle name="常规 5 7 8 3" xfId="34524"/>
    <cellStyle name="常规 5 7 8 4" xfId="21791"/>
    <cellStyle name="常规 5 7 9" xfId="34525"/>
    <cellStyle name="常规 5 7 9 2" xfId="34526"/>
    <cellStyle name="常规 5 8" xfId="19858"/>
    <cellStyle name="常规 5 8 10" xfId="24479"/>
    <cellStyle name="常规 5 8 2" xfId="19860"/>
    <cellStyle name="常规 5 8 2 2" xfId="22413"/>
    <cellStyle name="常规 5 8 2 2 2" xfId="14897"/>
    <cellStyle name="常规 5 8 2 2 2 2" xfId="33389"/>
    <cellStyle name="常规 5 8 2 2 2 2 2" xfId="19489"/>
    <cellStyle name="常规 5 8 2 2 2 2 2 2" xfId="23115"/>
    <cellStyle name="常规 5 8 2 2 2 2 2 2 2" xfId="12797"/>
    <cellStyle name="常规 5 8 2 2 2 2 2 2 2 2" xfId="6111"/>
    <cellStyle name="常规 5 8 2 2 2 2 2 2 3" xfId="12800"/>
    <cellStyle name="常规 5 8 2 2 2 2 2 2 4" xfId="34527"/>
    <cellStyle name="常规 5 8 2 2 2 2 2 3" xfId="33026"/>
    <cellStyle name="常规 5 8 2 2 2 2 2 3 2" xfId="33028"/>
    <cellStyle name="常规 5 8 2 2 2 2 2 4" xfId="33035"/>
    <cellStyle name="常规 5 8 2 2 2 2 2 5" xfId="20970"/>
    <cellStyle name="常规 5 8 2 2 2 2 3" xfId="12098"/>
    <cellStyle name="常规 5 8 2 2 2 2 3 2" xfId="12102"/>
    <cellStyle name="常规 5 8 2 2 2 2 3 2 2" xfId="12105"/>
    <cellStyle name="常规 5 8 2 2 2 2 3 3" xfId="12109"/>
    <cellStyle name="常规 5 8 2 2 2 2 3 4" xfId="12114"/>
    <cellStyle name="常规 5 8 2 2 2 2 4" xfId="12118"/>
    <cellStyle name="常规 5 8 2 2 2 2 4 2" xfId="12121"/>
    <cellStyle name="常规 5 8 2 2 2 2 5" xfId="12125"/>
    <cellStyle name="常规 5 8 2 2 2 2 6" xfId="12128"/>
    <cellStyle name="常规 5 8 2 2 2 3" xfId="33391"/>
    <cellStyle name="常规 5 8 2 2 2 3 2" xfId="34528"/>
    <cellStyle name="常规 5 8 2 2 2 3 2 2" xfId="34529"/>
    <cellStyle name="常规 5 8 2 2 2 3 2 2 2" xfId="34530"/>
    <cellStyle name="常规 5 8 2 2 2 3 2 3" xfId="33046"/>
    <cellStyle name="常规 5 8 2 2 2 3 2 4" xfId="33050"/>
    <cellStyle name="常规 5 8 2 2 2 3 3" xfId="12136"/>
    <cellStyle name="常规 5 8 2 2 2 3 3 2" xfId="12139"/>
    <cellStyle name="常规 5 8 2 2 2 3 4" xfId="12142"/>
    <cellStyle name="常规 5 8 2 2 2 3 5" xfId="12146"/>
    <cellStyle name="常规 5 8 2 2 2 4" xfId="34531"/>
    <cellStyle name="常规 5 8 2 2 2 4 2" xfId="34532"/>
    <cellStyle name="常规 5 8 2 2 2 4 2 2" xfId="9868"/>
    <cellStyle name="常规 5 8 2 2 2 4 3" xfId="12154"/>
    <cellStyle name="常规 5 8 2 2 2 4 4" xfId="17693"/>
    <cellStyle name="常规 5 8 2 2 2 5" xfId="34533"/>
    <cellStyle name="常规 5 8 2 2 2 5 2" xfId="34534"/>
    <cellStyle name="常规 5 8 2 2 2 6" xfId="34535"/>
    <cellStyle name="常规 5 8 2 2 2 7" xfId="34536"/>
    <cellStyle name="常规 5 8 2 2 3" xfId="33205"/>
    <cellStyle name="常规 5 8 2 2 3 2" xfId="33397"/>
    <cellStyle name="常规 5 8 2 2 3 2 2" xfId="34537"/>
    <cellStyle name="常规 5 8 2 2 3 2 2 2" xfId="34538"/>
    <cellStyle name="常规 5 8 2 2 3 2 2 2 2" xfId="34539"/>
    <cellStyle name="常规 5 8 2 2 3 2 2 3" xfId="33060"/>
    <cellStyle name="常规 5 8 2 2 3 2 2 4" xfId="33064"/>
    <cellStyle name="常规 5 8 2 2 3 2 3" xfId="12170"/>
    <cellStyle name="常规 5 8 2 2 3 2 3 2" xfId="12174"/>
    <cellStyle name="常规 5 8 2 2 3 2 4" xfId="12178"/>
    <cellStyle name="常规 5 8 2 2 3 2 5" xfId="12182"/>
    <cellStyle name="常规 5 8 2 2 3 3" xfId="34540"/>
    <cellStyle name="常规 5 8 2 2 3 3 2" xfId="34541"/>
    <cellStyle name="常规 5 8 2 2 3 3 2 2" xfId="34542"/>
    <cellStyle name="常规 5 8 2 2 3 3 3" xfId="12189"/>
    <cellStyle name="常规 5 8 2 2 3 3 4" xfId="31794"/>
    <cellStyle name="常规 5 8 2 2 3 4" xfId="34543"/>
    <cellStyle name="常规 5 8 2 2 3 4 2" xfId="34544"/>
    <cellStyle name="常规 5 8 2 2 3 5" xfId="34545"/>
    <cellStyle name="常规 5 8 2 2 3 6" xfId="34546"/>
    <cellStyle name="常规 5 8 2 2 4" xfId="34547"/>
    <cellStyle name="常规 5 8 2 2 4 2" xfId="34548"/>
    <cellStyle name="常规 5 8 2 2 4 2 2" xfId="34549"/>
    <cellStyle name="常规 5 8 2 2 4 2 2 2" xfId="34550"/>
    <cellStyle name="常规 5 8 2 2 4 2 3" xfId="12203"/>
    <cellStyle name="常规 5 8 2 2 4 2 4" xfId="34552"/>
    <cellStyle name="常规 5 8 2 2 4 3" xfId="34553"/>
    <cellStyle name="常规 5 8 2 2 4 3 2" xfId="34554"/>
    <cellStyle name="常规 5 8 2 2 4 4" xfId="8224"/>
    <cellStyle name="常规 5 8 2 2 4 5" xfId="8226"/>
    <cellStyle name="常规 5 8 2 2 5" xfId="34555"/>
    <cellStyle name="常规 5 8 2 2 5 2" xfId="34556"/>
    <cellStyle name="常规 5 8 2 2 5 2 2" xfId="34557"/>
    <cellStyle name="常规 5 8 2 2 5 3" xfId="10921"/>
    <cellStyle name="常规 5 8 2 2 5 4" xfId="1811"/>
    <cellStyle name="常规 5 8 2 2 6" xfId="34558"/>
    <cellStyle name="常规 5 8 2 2 6 2" xfId="32682"/>
    <cellStyle name="常规 5 8 2 2 7" xfId="13450"/>
    <cellStyle name="常规 5 8 2 2 8" xfId="13458"/>
    <cellStyle name="常规 5 8 2 3" xfId="34559"/>
    <cellStyle name="常规 5 8 2 3 2" xfId="34560"/>
    <cellStyle name="常规 5 8 2 3 2 2" xfId="33406"/>
    <cellStyle name="常规 5 8 2 3 2 2 2" xfId="19606"/>
    <cellStyle name="常规 5 8 2 3 2 2 2 2" xfId="34349"/>
    <cellStyle name="常规 5 8 2 3 2 2 2 2 2" xfId="34561"/>
    <cellStyle name="常规 5 8 2 3 2 2 2 3" xfId="29308"/>
    <cellStyle name="常规 5 8 2 3 2 2 2 4" xfId="33083"/>
    <cellStyle name="常规 5 8 2 3 2 2 3" xfId="12446"/>
    <cellStyle name="常规 5 8 2 3 2 2 3 2" xfId="34563"/>
    <cellStyle name="常规 5 8 2 3 2 2 4" xfId="34565"/>
    <cellStyle name="常规 5 8 2 3 2 2 5" xfId="34567"/>
    <cellStyle name="常规 5 8 2 3 2 3" xfId="34568"/>
    <cellStyle name="常规 5 8 2 3 2 3 2" xfId="34569"/>
    <cellStyle name="常规 5 8 2 3 2 3 2 2" xfId="34570"/>
    <cellStyle name="常规 5 8 2 3 2 3 3" xfId="34572"/>
    <cellStyle name="常规 5 8 2 3 2 3 4" xfId="34574"/>
    <cellStyle name="常规 5 8 2 3 2 4" xfId="34575"/>
    <cellStyle name="常规 5 8 2 3 2 4 2" xfId="34576"/>
    <cellStyle name="常规 5 8 2 3 2 5" xfId="34306"/>
    <cellStyle name="常规 5 8 2 3 2 6" xfId="34577"/>
    <cellStyle name="常规 5 8 2 3 3" xfId="34578"/>
    <cellStyle name="常规 5 8 2 3 3 2" xfId="34579"/>
    <cellStyle name="常规 5 8 2 3 3 2 2" xfId="34580"/>
    <cellStyle name="常规 5 8 2 3 3 2 2 2" xfId="32704"/>
    <cellStyle name="常规 5 8 2 3 3 2 3" xfId="20647"/>
    <cellStyle name="常规 5 8 2 3 3 2 4" xfId="32915"/>
    <cellStyle name="常规 5 8 2 3 3 3" xfId="34581"/>
    <cellStyle name="常规 5 8 2 3 3 3 2" xfId="34582"/>
    <cellStyle name="常规 5 8 2 3 3 4" xfId="34583"/>
    <cellStyle name="常规 5 8 2 3 3 5" xfId="34584"/>
    <cellStyle name="常规 5 8 2 3 4" xfId="34585"/>
    <cellStyle name="常规 5 8 2 3 4 2" xfId="34586"/>
    <cellStyle name="常规 5 8 2 3 4 2 2" xfId="34587"/>
    <cellStyle name="常规 5 8 2 3 4 3" xfId="34588"/>
    <cellStyle name="常规 5 8 2 3 4 4" xfId="34589"/>
    <cellStyle name="常规 5 8 2 3 5" xfId="34590"/>
    <cellStyle name="常规 5 8 2 3 5 2" xfId="34591"/>
    <cellStyle name="常规 5 8 2 3 6" xfId="34592"/>
    <cellStyle name="常规 5 8 2 3 7" xfId="13468"/>
    <cellStyle name="常规 5 8 2 4" xfId="29177"/>
    <cellStyle name="常规 5 8 2 4 2" xfId="29179"/>
    <cellStyle name="常规 5 8 2 4 2 2" xfId="16157"/>
    <cellStyle name="常规 5 8 2 4 2 2 2" xfId="7145"/>
    <cellStyle name="常规 5 8 2 4 2 2 2 2" xfId="29182"/>
    <cellStyle name="常规 5 8 2 4 2 2 3" xfId="12725"/>
    <cellStyle name="常规 5 8 2 4 2 2 4" xfId="29189"/>
    <cellStyle name="常规 5 8 2 4 2 3" xfId="14481"/>
    <cellStyle name="常规 5 8 2 4 2 3 2" xfId="14486"/>
    <cellStyle name="常规 5 8 2 4 2 4" xfId="5211"/>
    <cellStyle name="常规 5 8 2 4 2 5" xfId="5232"/>
    <cellStyle name="常规 5 8 2 4 3" xfId="29194"/>
    <cellStyle name="常规 5 8 2 4 3 2" xfId="16173"/>
    <cellStyle name="常规 5 8 2 4 3 2 2" xfId="29197"/>
    <cellStyle name="常规 5 8 2 4 3 3" xfId="14500"/>
    <cellStyle name="常规 5 8 2 4 3 4" xfId="5246"/>
    <cellStyle name="常规 5 8 2 4 4" xfId="22231"/>
    <cellStyle name="常规 5 8 2 4 4 2" xfId="16185"/>
    <cellStyle name="常规 5 8 2 4 5" xfId="22235"/>
    <cellStyle name="常规 5 8 2 4 6" xfId="1837"/>
    <cellStyle name="常规 5 8 2 5" xfId="29211"/>
    <cellStyle name="常规 5 8 2 5 2" xfId="29103"/>
    <cellStyle name="常规 5 8 2 5 2 2" xfId="16406"/>
    <cellStyle name="常规 5 8 2 5 2 2 2" xfId="29214"/>
    <cellStyle name="常规 5 8 2 5 2 3" xfId="14519"/>
    <cellStyle name="常规 5 8 2 5 2 4" xfId="5286"/>
    <cellStyle name="常规 5 8 2 5 3" xfId="29107"/>
    <cellStyle name="常规 5 8 2 5 3 2" xfId="16417"/>
    <cellStyle name="常规 5 8 2 5 4" xfId="22240"/>
    <cellStyle name="常规 5 8 2 5 5" xfId="23543"/>
    <cellStyle name="常规 5 8 2 6" xfId="29226"/>
    <cellStyle name="常规 5 8 2 6 2" xfId="29140"/>
    <cellStyle name="常规 5 8 2 6 2 2" xfId="7383"/>
    <cellStyle name="常规 5 8 2 6 3" xfId="29144"/>
    <cellStyle name="常规 5 8 2 6 4" xfId="29228"/>
    <cellStyle name="常规 5 8 2 7" xfId="613"/>
    <cellStyle name="常规 5 8 2 7 2" xfId="619"/>
    <cellStyle name="常规 5 8 2 8" xfId="29233"/>
    <cellStyle name="常规 5 8 2 9" xfId="29240"/>
    <cellStyle name="常规 5 8 3" xfId="34123"/>
    <cellStyle name="常规 5 8 3 2" xfId="34125"/>
    <cellStyle name="常规 5 8 3 2 2" xfId="30095"/>
    <cellStyle name="常规 5 8 3 2 2 2" xfId="27231"/>
    <cellStyle name="常规 5 8 3 2 2 2 2" xfId="27235"/>
    <cellStyle name="常规 5 8 3 2 2 2 2 2" xfId="27238"/>
    <cellStyle name="常规 5 8 3 2 2 2 2 2 2" xfId="34593"/>
    <cellStyle name="常规 5 8 3 2 2 2 2 3" xfId="26562"/>
    <cellStyle name="常规 5 8 3 2 2 2 2 4" xfId="26568"/>
    <cellStyle name="常规 5 8 3 2 2 2 3" xfId="14086"/>
    <cellStyle name="常规 5 8 3 2 2 2 3 2" xfId="34596"/>
    <cellStyle name="常规 5 8 3 2 2 2 4" xfId="27241"/>
    <cellStyle name="常规 5 8 3 2 2 2 5" xfId="34598"/>
    <cellStyle name="常规 5 8 3 2 2 3" xfId="27243"/>
    <cellStyle name="常规 5 8 3 2 2 3 2" xfId="27246"/>
    <cellStyle name="常规 5 8 3 2 2 3 2 2" xfId="34600"/>
    <cellStyle name="常规 5 8 3 2 2 3 3" xfId="34602"/>
    <cellStyle name="常规 5 8 3 2 2 3 4" xfId="34604"/>
    <cellStyle name="常规 5 8 3 2 2 4" xfId="27248"/>
    <cellStyle name="常规 5 8 3 2 2 4 2" xfId="34605"/>
    <cellStyle name="常规 5 8 3 2 2 5" xfId="27250"/>
    <cellStyle name="常规 5 8 3 2 2 6" xfId="34606"/>
    <cellStyle name="常规 5 8 3 2 3" xfId="22993"/>
    <cellStyle name="常规 5 8 3 2 3 2" xfId="27436"/>
    <cellStyle name="常规 5 8 3 2 3 2 2" xfId="21595"/>
    <cellStyle name="常规 5 8 3 2 3 2 2 2" xfId="34608"/>
    <cellStyle name="常规 5 8 3 2 3 2 3" xfId="34610"/>
    <cellStyle name="常规 5 8 3 2 3 2 4" xfId="34612"/>
    <cellStyle name="常规 5 8 3 2 3 3" xfId="27439"/>
    <cellStyle name="常规 5 8 3 2 3 3 2" xfId="34613"/>
    <cellStyle name="常规 5 8 3 2 3 4" xfId="27442"/>
    <cellStyle name="常规 5 8 3 2 3 5" xfId="34614"/>
    <cellStyle name="常规 5 8 3 2 4" xfId="34615"/>
    <cellStyle name="常规 5 8 3 2 4 2" xfId="27528"/>
    <cellStyle name="常规 5 8 3 2 4 2 2" xfId="34616"/>
    <cellStyle name="常规 5 8 3 2 4 3" xfId="27531"/>
    <cellStyle name="常规 5 8 3 2 4 4" xfId="34617"/>
    <cellStyle name="常规 5 8 3 2 5" xfId="34618"/>
    <cellStyle name="常规 5 8 3 2 5 2" xfId="27574"/>
    <cellStyle name="常规 5 8 3 2 6" xfId="34619"/>
    <cellStyle name="常规 5 8 3 2 7" xfId="13504"/>
    <cellStyle name="常规 5 8 3 3" xfId="32569"/>
    <cellStyle name="常规 5 8 3 3 2" xfId="32573"/>
    <cellStyle name="常规 5 8 3 3 2 2" xfId="28454"/>
    <cellStyle name="常规 5 8 3 3 2 2 2" xfId="28457"/>
    <cellStyle name="常规 5 8 3 3 2 2 2 2" xfId="12183"/>
    <cellStyle name="常规 5 8 3 3 2 2 3" xfId="14319"/>
    <cellStyle name="常规 5 8 3 3 2 2 4" xfId="4595"/>
    <cellStyle name="常规 5 8 3 3 2 3" xfId="28459"/>
    <cellStyle name="常规 5 8 3 3 2 3 2" xfId="34620"/>
    <cellStyle name="常规 5 8 3 3 2 4" xfId="28462"/>
    <cellStyle name="常规 5 8 3 3 2 5" xfId="34621"/>
    <cellStyle name="常规 5 8 3 3 3" xfId="34622"/>
    <cellStyle name="常规 5 8 3 3 3 2" xfId="28515"/>
    <cellStyle name="常规 5 8 3 3 3 2 2" xfId="34623"/>
    <cellStyle name="常规 5 8 3 3 3 3" xfId="28518"/>
    <cellStyle name="常规 5 8 3 3 3 4" xfId="220"/>
    <cellStyle name="常规 5 8 3 3 4" xfId="34624"/>
    <cellStyle name="常规 5 8 3 3 4 2" xfId="28541"/>
    <cellStyle name="常规 5 8 3 3 5" xfId="34625"/>
    <cellStyle name="常规 5 8 3 3 6" xfId="34626"/>
    <cellStyle name="常规 5 8 3 4" xfId="29245"/>
    <cellStyle name="常规 5 8 3 4 2" xfId="29249"/>
    <cellStyle name="常规 5 8 3 4 2 2" xfId="17620"/>
    <cellStyle name="常规 5 8 3 4 2 2 2" xfId="29251"/>
    <cellStyle name="常规 5 8 3 4 2 3" xfId="14559"/>
    <cellStyle name="常规 5 8 3 4 2 4" xfId="4241"/>
    <cellStyle name="常规 5 8 3 4 3" xfId="29257"/>
    <cellStyle name="常规 5 8 3 4 3 2" xfId="18962"/>
    <cellStyle name="常规 5 8 3 4 4" xfId="4295"/>
    <cellStyle name="常规 5 8 3 4 5" xfId="4324"/>
    <cellStyle name="常规 5 8 3 5" xfId="29264"/>
    <cellStyle name="常规 5 8 3 5 2" xfId="29232"/>
    <cellStyle name="常规 5 8 3 5 2 2" xfId="29236"/>
    <cellStyle name="常规 5 8 3 5 3" xfId="29239"/>
    <cellStyle name="常规 5 8 3 5 4" xfId="4374"/>
    <cellStyle name="常规 5 8 3 6" xfId="4397"/>
    <cellStyle name="常规 5 8 3 6 2" xfId="4403"/>
    <cellStyle name="常规 5 8 3 7" xfId="4446"/>
    <cellStyle name="常规 5 8 3 8" xfId="4402"/>
    <cellStyle name="常规 5 8 4" xfId="34127"/>
    <cellStyle name="常规 5 8 4 2" xfId="34129"/>
    <cellStyle name="常规 5 8 4 2 2" xfId="34627"/>
    <cellStyle name="常规 5 8 4 2 2 2" xfId="34628"/>
    <cellStyle name="常规 5 8 4 2 2 2 2" xfId="34629"/>
    <cellStyle name="常规 5 8 4 2 2 2 2 2" xfId="34630"/>
    <cellStyle name="常规 5 8 4 2 2 2 3" xfId="15022"/>
    <cellStyle name="常规 5 8 4 2 2 2 4" xfId="34631"/>
    <cellStyle name="常规 5 8 4 2 2 3" xfId="34632"/>
    <cellStyle name="常规 5 8 4 2 2 3 2" xfId="34633"/>
    <cellStyle name="常规 5 8 4 2 2 4" xfId="34634"/>
    <cellStyle name="常规 5 8 4 2 2 5" xfId="34635"/>
    <cellStyle name="常规 5 8 4 2 3" xfId="34636"/>
    <cellStyle name="常规 5 8 4 2 3 2" xfId="34637"/>
    <cellStyle name="常规 5 8 4 2 3 2 2" xfId="24732"/>
    <cellStyle name="常规 5 8 4 2 3 3" xfId="34638"/>
    <cellStyle name="常规 5 8 4 2 3 4" xfId="34639"/>
    <cellStyle name="常规 5 8 4 2 4" xfId="34640"/>
    <cellStyle name="常规 5 8 4 2 4 2" xfId="34641"/>
    <cellStyle name="常规 5 8 4 2 5" xfId="34642"/>
    <cellStyle name="常规 5 8 4 2 6" xfId="34643"/>
    <cellStyle name="常规 5 8 4 3" xfId="32577"/>
    <cellStyle name="常规 5 8 4 3 2" xfId="34644"/>
    <cellStyle name="常规 5 8 4 3 2 2" xfId="15290"/>
    <cellStyle name="常规 5 8 4 3 2 2 2" xfId="15292"/>
    <cellStyle name="常规 5 8 4 3 2 3" xfId="15297"/>
    <cellStyle name="常规 5 8 4 3 2 4" xfId="15300"/>
    <cellStyle name="常规 5 8 4 3 3" xfId="34645"/>
    <cellStyle name="常规 5 8 4 3 3 2" xfId="15331"/>
    <cellStyle name="常规 5 8 4 3 4" xfId="34646"/>
    <cellStyle name="常规 5 8 4 3 5" xfId="34647"/>
    <cellStyle name="常规 5 8 4 4" xfId="14126"/>
    <cellStyle name="常规 5 8 4 4 2" xfId="29268"/>
    <cellStyle name="常规 5 8 4 4 2 2" xfId="15377"/>
    <cellStyle name="常规 5 8 4 4 3" xfId="29270"/>
    <cellStyle name="常规 5 8 4 4 4" xfId="4479"/>
    <cellStyle name="常规 5 8 4 5" xfId="29273"/>
    <cellStyle name="常规 5 8 4 5 2" xfId="29275"/>
    <cellStyle name="常规 5 8 4 6" xfId="118"/>
    <cellStyle name="常规 5 8 4 7" xfId="1169"/>
    <cellStyle name="常规 5 8 5" xfId="34131"/>
    <cellStyle name="常规 5 8 5 2" xfId="32848"/>
    <cellStyle name="常规 5 8 5 2 2" xfId="34648"/>
    <cellStyle name="常规 5 8 5 2 2 2" xfId="30154"/>
    <cellStyle name="常规 5 8 5 2 2 2 2" xfId="30156"/>
    <cellStyle name="常规 5 8 5 2 2 3" xfId="30158"/>
    <cellStyle name="常规 5 8 5 2 2 4" xfId="30160"/>
    <cellStyle name="常规 5 8 5 2 3" xfId="34649"/>
    <cellStyle name="常规 5 8 5 2 3 2" xfId="30176"/>
    <cellStyle name="常规 5 8 5 2 4" xfId="34650"/>
    <cellStyle name="常规 5 8 5 2 5" xfId="34651"/>
    <cellStyle name="常规 5 8 5 3" xfId="32850"/>
    <cellStyle name="常规 5 8 5 3 2" xfId="34653"/>
    <cellStyle name="常规 5 8 5 3 2 2" xfId="15492"/>
    <cellStyle name="常规 5 8 5 3 3" xfId="34654"/>
    <cellStyle name="常规 5 8 5 3 4" xfId="34655"/>
    <cellStyle name="常规 5 8 5 4" xfId="29281"/>
    <cellStyle name="常规 5 8 5 4 2" xfId="29283"/>
    <cellStyle name="常规 5 8 5 5" xfId="29287"/>
    <cellStyle name="常规 5 8 5 6" xfId="2789"/>
    <cellStyle name="常规 5 8 6" xfId="34133"/>
    <cellStyle name="常规 5 8 6 2" xfId="34656"/>
    <cellStyle name="常规 5 8 6 2 2" xfId="34657"/>
    <cellStyle name="常规 5 8 6 2 2 2" xfId="31128"/>
    <cellStyle name="常规 5 8 6 2 3" xfId="34658"/>
    <cellStyle name="常规 5 8 6 2 4" xfId="34659"/>
    <cellStyle name="常规 5 8 6 3" xfId="20116"/>
    <cellStyle name="常规 5 8 6 3 2" xfId="18453"/>
    <cellStyle name="常规 5 8 6 4" xfId="29291"/>
    <cellStyle name="常规 5 8 6 5" xfId="19050"/>
    <cellStyle name="常规 5 8 7" xfId="34660"/>
    <cellStyle name="常规 5 8 7 2" xfId="34661"/>
    <cellStyle name="常规 5 8 7 2 2" xfId="34662"/>
    <cellStyle name="常规 5 8 7 3" xfId="34663"/>
    <cellStyle name="常规 5 8 7 4" xfId="21801"/>
    <cellStyle name="常规 5 8 8" xfId="34664"/>
    <cellStyle name="常规 5 8 8 2" xfId="34665"/>
    <cellStyle name="常规 5 8 9" xfId="34666"/>
    <cellStyle name="常规 5 9" xfId="19862"/>
    <cellStyle name="常规 5 9 2" xfId="34667"/>
    <cellStyle name="常规 5 9 2 2" xfId="34668"/>
    <cellStyle name="常规 5 9 2 2 2" xfId="34669"/>
    <cellStyle name="常规 5 9 2 2 2 2" xfId="33432"/>
    <cellStyle name="常规 5 9 2 2 2 2 2" xfId="34670"/>
    <cellStyle name="常规 5 9 2 2 2 2 2 2" xfId="34671"/>
    <cellStyle name="常规 5 9 2 2 2 2 3" xfId="34672"/>
    <cellStyle name="常规 5 9 2 2 2 2 4" xfId="24312"/>
    <cellStyle name="常规 5 9 2 2 2 3" xfId="34673"/>
    <cellStyle name="常规 5 9 2 2 2 3 2" xfId="34674"/>
    <cellStyle name="常规 5 9 2 2 2 4" xfId="34675"/>
    <cellStyle name="常规 5 9 2 2 2 5" xfId="34676"/>
    <cellStyle name="常规 5 9 2 2 3" xfId="34677"/>
    <cellStyle name="常规 5 9 2 2 3 2" xfId="34678"/>
    <cellStyle name="常规 5 9 2 2 3 2 2" xfId="34679"/>
    <cellStyle name="常规 5 9 2 2 3 3" xfId="34680"/>
    <cellStyle name="常规 5 9 2 2 3 4" xfId="34681"/>
    <cellStyle name="常规 5 9 2 2 4" xfId="14830"/>
    <cellStyle name="常规 5 9 2 2 4 2" xfId="34682"/>
    <cellStyle name="常规 5 9 2 2 5" xfId="34683"/>
    <cellStyle name="常规 5 9 2 2 6" xfId="34684"/>
    <cellStyle name="常规 5 9 2 3" xfId="34685"/>
    <cellStyle name="常规 5 9 2 3 2" xfId="34686"/>
    <cellStyle name="常规 5 9 2 3 2 2" xfId="34687"/>
    <cellStyle name="常规 5 9 2 3 2 2 2" xfId="34688"/>
    <cellStyle name="常规 5 9 2 3 2 3" xfId="34689"/>
    <cellStyle name="常规 5 9 2 3 2 4" xfId="2568"/>
    <cellStyle name="常规 5 9 2 3 3" xfId="34690"/>
    <cellStyle name="常规 5 9 2 3 3 2" xfId="34691"/>
    <cellStyle name="常规 5 9 2 3 4" xfId="34692"/>
    <cellStyle name="常规 5 9 2 3 5" xfId="34693"/>
    <cellStyle name="常规 5 9 2 4" xfId="29297"/>
    <cellStyle name="常规 5 9 2 4 2" xfId="29299"/>
    <cellStyle name="常规 5 9 2 4 2 2" xfId="17711"/>
    <cellStyle name="常规 5 9 2 4 3" xfId="29305"/>
    <cellStyle name="常规 5 9 2 4 4" xfId="22263"/>
    <cellStyle name="常规 5 9 2 5" xfId="29316"/>
    <cellStyle name="常规 5 9 2 5 2" xfId="29318"/>
    <cellStyle name="常规 5 9 2 6" xfId="29327"/>
    <cellStyle name="常规 5 9 2 7" xfId="29334"/>
    <cellStyle name="常规 5 9 3" xfId="34136"/>
    <cellStyle name="常规 5 9 3 2" xfId="34138"/>
    <cellStyle name="常规 5 9 3 2 2" xfId="31975"/>
    <cellStyle name="常规 5 9 3 2 2 2" xfId="34694"/>
    <cellStyle name="常规 5 9 3 2 2 2 2" xfId="4128"/>
    <cellStyle name="常规 5 9 3 2 2 3" xfId="34695"/>
    <cellStyle name="常规 5 9 3 2 2 4" xfId="34696"/>
    <cellStyle name="常规 5 9 3 2 3" xfId="23183"/>
    <cellStyle name="常规 5 9 3 2 3 2" xfId="34697"/>
    <cellStyle name="常规 5 9 3 2 4" xfId="9737"/>
    <cellStyle name="常规 5 9 3 2 5" xfId="9761"/>
    <cellStyle name="常规 5 9 3 3" xfId="32582"/>
    <cellStyle name="常规 5 9 3 3 2" xfId="31980"/>
    <cellStyle name="常规 5 9 3 3 2 2" xfId="23402"/>
    <cellStyle name="常规 5 9 3 3 3" xfId="34698"/>
    <cellStyle name="常规 5 9 3 3 4" xfId="9810"/>
    <cellStyle name="常规 5 9 3 4" xfId="29338"/>
    <cellStyle name="常规 5 9 3 4 2" xfId="29340"/>
    <cellStyle name="常规 5 9 3 5" xfId="29346"/>
    <cellStyle name="常规 5 9 3 6" xfId="4755"/>
    <cellStyle name="常规 5 9 4" xfId="34140"/>
    <cellStyle name="常规 5 9 4 2" xfId="34699"/>
    <cellStyle name="常规 5 9 4 2 2" xfId="31987"/>
    <cellStyle name="常规 5 9 4 2 2 2" xfId="34700"/>
    <cellStyle name="常规 5 9 4 2 3" xfId="34701"/>
    <cellStyle name="常规 5 9 4 2 4" xfId="9862"/>
    <cellStyle name="常规 5 9 4 3" xfId="34702"/>
    <cellStyle name="常规 5 9 4 3 2" xfId="34703"/>
    <cellStyle name="常规 5 9 4 4" xfId="2284"/>
    <cellStyle name="常规 5 9 4 5" xfId="2334"/>
    <cellStyle name="常规 5 9 5" xfId="34142"/>
    <cellStyle name="常规 5 9 5 2" xfId="12533"/>
    <cellStyle name="常规 5 9 5 2 2" xfId="34704"/>
    <cellStyle name="常规 5 9 5 3" xfId="34705"/>
    <cellStyle name="常规 5 9 5 4" xfId="29353"/>
    <cellStyle name="常规 5 9 6" xfId="34706"/>
    <cellStyle name="常规 5 9 6 2" xfId="34707"/>
    <cellStyle name="常规 5 9 7" xfId="34708"/>
    <cellStyle name="常规 5 9 8" xfId="34709"/>
    <cellStyle name="常规 5_Sheet2" xfId="34710"/>
    <cellStyle name="常规 50" xfId="24459"/>
    <cellStyle name="常规 51" xfId="24461"/>
    <cellStyle name="常规 52" xfId="24463"/>
    <cellStyle name="常规 53" xfId="24466"/>
    <cellStyle name="常规 54" xfId="24468"/>
    <cellStyle name="常规 55" xfId="34712"/>
    <cellStyle name="常规 56" xfId="23815"/>
    <cellStyle name="常规 57" xfId="34714"/>
    <cellStyle name="常规 58" xfId="34716"/>
    <cellStyle name="常规 59" xfId="34718"/>
    <cellStyle name="常规 6" xfId="34719"/>
    <cellStyle name="常规 6 10" xfId="11952"/>
    <cellStyle name="常规 6 10 2" xfId="17817"/>
    <cellStyle name="常规 6 10 2 2" xfId="17820"/>
    <cellStyle name="常规 6 10 2 2 2" xfId="17823"/>
    <cellStyle name="常规 6 10 2 2 2 2" xfId="5912"/>
    <cellStyle name="常规 6 10 2 2 2 2 2" xfId="19460"/>
    <cellStyle name="常规 6 10 2 2 2 2 2 2" xfId="8199"/>
    <cellStyle name="常规 6 10 2 2 2 2 3" xfId="19465"/>
    <cellStyle name="常规 6 10 2 2 2 2 4" xfId="19467"/>
    <cellStyle name="常规 6 10 2 2 2 3" xfId="31157"/>
    <cellStyle name="常规 6 10 2 2 2 3 2" xfId="19478"/>
    <cellStyle name="常规 6 10 2 2 2 4" xfId="31159"/>
    <cellStyle name="常规 6 10 2 2 2 5" xfId="34720"/>
    <cellStyle name="常规 6 10 2 2 3" xfId="30948"/>
    <cellStyle name="常规 6 10 2 2 3 2" xfId="31161"/>
    <cellStyle name="常规 6 10 2 2 3 2 2" xfId="19494"/>
    <cellStyle name="常规 6 10 2 2 3 3" xfId="32824"/>
    <cellStyle name="常规 6 10 2 2 3 4" xfId="34721"/>
    <cellStyle name="常规 6 10 2 2 4" xfId="27000"/>
    <cellStyle name="常规 6 10 2 2 4 2" xfId="29439"/>
    <cellStyle name="常规 6 10 2 2 5" xfId="29441"/>
    <cellStyle name="常规 6 10 2 2 6" xfId="29444"/>
    <cellStyle name="常规 6 10 2 3" xfId="1913"/>
    <cellStyle name="常规 6 10 2 3 2" xfId="30953"/>
    <cellStyle name="常规 6 10 2 3 2 2" xfId="31163"/>
    <cellStyle name="常规 6 10 2 3 2 2 2" xfId="19518"/>
    <cellStyle name="常规 6 10 2 3 2 3" xfId="34722"/>
    <cellStyle name="常规 6 10 2 3 2 4" xfId="34723"/>
    <cellStyle name="常规 6 10 2 3 3" xfId="31165"/>
    <cellStyle name="常规 6 10 2 3 3 2" xfId="34724"/>
    <cellStyle name="常规 6 10 2 3 4" xfId="29447"/>
    <cellStyle name="常规 6 10 2 3 5" xfId="34725"/>
    <cellStyle name="常规 6 10 2 4" xfId="17827"/>
    <cellStyle name="常规 6 10 2 4 2" xfId="20131"/>
    <cellStyle name="常规 6 10 2 4 2 2" xfId="20135"/>
    <cellStyle name="常规 6 10 2 4 3" xfId="20139"/>
    <cellStyle name="常规 6 10 2 4 4" xfId="20143"/>
    <cellStyle name="常规 6 10 2 5" xfId="20148"/>
    <cellStyle name="常规 6 10 2 5 2" xfId="13151"/>
    <cellStyle name="常规 6 10 2 6" xfId="17859"/>
    <cellStyle name="常规 6 10 2 7" xfId="20155"/>
    <cellStyle name="常规 6 10 3" xfId="17831"/>
    <cellStyle name="常规 6 10 3 2" xfId="17834"/>
    <cellStyle name="常规 6 10 3 2 2" xfId="31013"/>
    <cellStyle name="常规 6 10 3 2 2 2" xfId="31167"/>
    <cellStyle name="常规 6 10 3 2 2 2 2" xfId="12567"/>
    <cellStyle name="常规 6 10 3 2 2 3" xfId="34726"/>
    <cellStyle name="常规 6 10 3 2 2 4" xfId="34727"/>
    <cellStyle name="常规 6 10 3 2 3" xfId="31016"/>
    <cellStyle name="常规 6 10 3 2 3 2" xfId="34728"/>
    <cellStyle name="常规 6 10 3 2 4" xfId="29463"/>
    <cellStyle name="常规 6 10 3 2 5" xfId="34730"/>
    <cellStyle name="常规 6 10 3 3" xfId="31169"/>
    <cellStyle name="常规 6 10 3 3 2" xfId="31021"/>
    <cellStyle name="常规 6 10 3 3 2 2" xfId="34731"/>
    <cellStyle name="常规 6 10 3 3 3" xfId="34732"/>
    <cellStyle name="常规 6 10 3 3 4" xfId="34733"/>
    <cellStyle name="常规 6 10 3 4" xfId="20159"/>
    <cellStyle name="常规 6 10 3 4 2" xfId="20162"/>
    <cellStyle name="常规 6 10 3 5" xfId="20166"/>
    <cellStyle name="常规 6 10 3 6" xfId="20170"/>
    <cellStyle name="常规 6 10 4" xfId="17837"/>
    <cellStyle name="常规 6 10 4 2" xfId="31171"/>
    <cellStyle name="常规 6 10 4 2 2" xfId="31101"/>
    <cellStyle name="常规 6 10 4 2 2 2" xfId="34734"/>
    <cellStyle name="常规 6 10 4 2 3" xfId="16260"/>
    <cellStyle name="常规 6 10 4 2 4" xfId="34735"/>
    <cellStyle name="常规 6 10 4 3" xfId="31173"/>
    <cellStyle name="常规 6 10 4 3 2" xfId="34736"/>
    <cellStyle name="常规 6 10 4 4" xfId="20174"/>
    <cellStyle name="常规 6 10 4 5" xfId="20178"/>
    <cellStyle name="常规 6 10 5" xfId="17840"/>
    <cellStyle name="常规 6 10 5 2" xfId="31175"/>
    <cellStyle name="常规 6 10 5 2 2" xfId="34737"/>
    <cellStyle name="常规 6 10 5 3" xfId="34738"/>
    <cellStyle name="常规 6 10 5 4" xfId="20182"/>
    <cellStyle name="常规 6 10 6" xfId="27077"/>
    <cellStyle name="常规 6 10 6 2" xfId="27081"/>
    <cellStyle name="常规 6 10 7" xfId="27086"/>
    <cellStyle name="常规 6 10 8" xfId="27090"/>
    <cellStyle name="常规 6 11" xfId="11646"/>
    <cellStyle name="常规 6 11 2" xfId="11650"/>
    <cellStyle name="常规 6 11 2 2" xfId="17843"/>
    <cellStyle name="常规 6 11 2 2 2" xfId="31179"/>
    <cellStyle name="常规 6 11 2 2 2 2" xfId="30905"/>
    <cellStyle name="常规 6 11 2 2 2 2 2" xfId="34740"/>
    <cellStyle name="常规 6 11 2 2 2 3" xfId="19592"/>
    <cellStyle name="常规 6 11 2 2 2 4" xfId="34741"/>
    <cellStyle name="常规 6 11 2 2 3" xfId="31184"/>
    <cellStyle name="常规 6 11 2 2 3 2" xfId="34742"/>
    <cellStyle name="常规 6 11 2 2 4" xfId="29494"/>
    <cellStyle name="常规 6 11 2 2 5" xfId="34744"/>
    <cellStyle name="常规 6 11 2 3" xfId="31186"/>
    <cellStyle name="常规 6 11 2 3 2" xfId="31190"/>
    <cellStyle name="常规 6 11 2 3 2 2" xfId="34745"/>
    <cellStyle name="常规 6 11 2 3 3" xfId="32101"/>
    <cellStyle name="常规 6 11 2 3 4" xfId="32105"/>
    <cellStyle name="常规 6 11 2 4" xfId="20188"/>
    <cellStyle name="常规 6 11 2 4 2" xfId="20191"/>
    <cellStyle name="常规 6 11 2 5" xfId="20201"/>
    <cellStyle name="常规 6 11 2 6" xfId="20206"/>
    <cellStyle name="常规 6 11 3" xfId="17846"/>
    <cellStyle name="常规 6 11 3 2" xfId="9441"/>
    <cellStyle name="常规 6 11 3 2 2" xfId="31192"/>
    <cellStyle name="常规 6 11 3 2 2 2" xfId="34746"/>
    <cellStyle name="常规 6 11 3 2 3" xfId="34747"/>
    <cellStyle name="常规 6 11 3 2 4" xfId="34749"/>
    <cellStyle name="常规 6 11 3 3" xfId="9444"/>
    <cellStyle name="常规 6 11 3 3 2" xfId="34750"/>
    <cellStyle name="常规 6 11 3 4" xfId="20211"/>
    <cellStyle name="常规 6 11 3 5" xfId="20215"/>
    <cellStyle name="常规 6 11 4" xfId="17849"/>
    <cellStyle name="常规 6 11 4 2" xfId="30858"/>
    <cellStyle name="常规 6 11 4 2 2" xfId="30861"/>
    <cellStyle name="常规 6 11 4 3" xfId="30863"/>
    <cellStyle name="常规 6 11 4 4" xfId="20221"/>
    <cellStyle name="常规 6 11 5" xfId="31194"/>
    <cellStyle name="常规 6 11 5 2" xfId="30871"/>
    <cellStyle name="常规 6 11 6" xfId="27097"/>
    <cellStyle name="常规 6 11 7" xfId="27106"/>
    <cellStyle name="常规 6 12" xfId="11654"/>
    <cellStyle name="常规 6 12 2" xfId="2438"/>
    <cellStyle name="常规 6 12 2 2" xfId="31196"/>
    <cellStyle name="常规 6 12 2 2 2" xfId="30339"/>
    <cellStyle name="常规 6 12 2 2 2 2" xfId="20458"/>
    <cellStyle name="常规 6 12 2 2 3" xfId="34751"/>
    <cellStyle name="常规 6 12 2 2 4" xfId="30917"/>
    <cellStyle name="常规 6 12 2 3" xfId="19321"/>
    <cellStyle name="常规 6 12 2 3 2" xfId="19324"/>
    <cellStyle name="常规 6 12 2 4" xfId="19364"/>
    <cellStyle name="常规 6 12 2 5" xfId="19384"/>
    <cellStyle name="常规 6 12 3" xfId="3884"/>
    <cellStyle name="常规 6 12 3 2" xfId="31198"/>
    <cellStyle name="常规 6 12 3 2 2" xfId="34752"/>
    <cellStyle name="常规 6 12 3 3" xfId="19402"/>
    <cellStyle name="常规 6 12 3 4" xfId="19417"/>
    <cellStyle name="常规 6 12 4" xfId="3890"/>
    <cellStyle name="常规 6 12 4 2" xfId="30891"/>
    <cellStyle name="常规 6 12 5" xfId="31201"/>
    <cellStyle name="常规 6 12 6" xfId="27118"/>
    <cellStyle name="常规 6 13" xfId="11658"/>
    <cellStyle name="常规 6 13 2" xfId="2810"/>
    <cellStyle name="常规 6 13 2 2" xfId="31203"/>
    <cellStyle name="常规 6 13 2 2 2" xfId="30466"/>
    <cellStyle name="常规 6 13 2 3" xfId="15982"/>
    <cellStyle name="常规 6 13 2 4" xfId="19576"/>
    <cellStyle name="常规 6 13 3" xfId="3909"/>
    <cellStyle name="常规 6 13 3 2" xfId="6686"/>
    <cellStyle name="常规 6 13 4" xfId="31178"/>
    <cellStyle name="常规 6 13 5" xfId="31183"/>
    <cellStyle name="常规 6 14" xfId="17852"/>
    <cellStyle name="常规 6 14 2" xfId="1618"/>
    <cellStyle name="常规 6 14 2 2" xfId="34753"/>
    <cellStyle name="常规 6 14 3" xfId="57"/>
    <cellStyle name="常规 6 14 4" xfId="31189"/>
    <cellStyle name="常规 6 15" xfId="19307"/>
    <cellStyle name="常规 6 15 2" xfId="271"/>
    <cellStyle name="常规 6 16" xfId="31207"/>
    <cellStyle name="常规 6 17" xfId="31455"/>
    <cellStyle name="常规 6 18" xfId="31458"/>
    <cellStyle name="常规 6 19" xfId="34754"/>
    <cellStyle name="常规 6 2" xfId="34755"/>
    <cellStyle name="常规 6 2 10" xfId="34756"/>
    <cellStyle name="常规 6 2 10 2" xfId="34757"/>
    <cellStyle name="常规 6 2 10 2 2" xfId="34758"/>
    <cellStyle name="常规 6 2 10 2 2 2" xfId="5657"/>
    <cellStyle name="常规 6 2 10 2 2 2 2" xfId="34759"/>
    <cellStyle name="常规 6 2 10 2 2 3" xfId="66"/>
    <cellStyle name="常规 6 2 10 2 2 4" xfId="34761"/>
    <cellStyle name="常规 6 2 10 2 3" xfId="34762"/>
    <cellStyle name="常规 6 2 10 2 3 2" xfId="34763"/>
    <cellStyle name="常规 6 2 10 2 4" xfId="34764"/>
    <cellStyle name="常规 6 2 10 2 5" xfId="34765"/>
    <cellStyle name="常规 6 2 10 3" xfId="28740"/>
    <cellStyle name="常规 6 2 10 3 2" xfId="28743"/>
    <cellStyle name="常规 6 2 10 3 2 2" xfId="34766"/>
    <cellStyle name="常规 6 2 10 3 3" xfId="32323"/>
    <cellStyle name="常规 6 2 10 3 4" xfId="34767"/>
    <cellStyle name="常规 6 2 10 4" xfId="28747"/>
    <cellStyle name="常规 6 2 10 4 2" xfId="32333"/>
    <cellStyle name="常规 6 2 10 5" xfId="28750"/>
    <cellStyle name="常规 6 2 10 6" xfId="34768"/>
    <cellStyle name="常规 6 2 11" xfId="34739"/>
    <cellStyle name="常规 6 2 11 2" xfId="34769"/>
    <cellStyle name="常规 6 2 11 2 2" xfId="34770"/>
    <cellStyle name="常规 6 2 11 2 2 2" xfId="34771"/>
    <cellStyle name="常规 6 2 11 2 3" xfId="34772"/>
    <cellStyle name="常规 6 2 11 2 4" xfId="34773"/>
    <cellStyle name="常规 6 2 11 3" xfId="25574"/>
    <cellStyle name="常规 6 2 11 3 2" xfId="25579"/>
    <cellStyle name="常规 6 2 11 4" xfId="25592"/>
    <cellStyle name="常规 6 2 11 5" xfId="3186"/>
    <cellStyle name="常规 6 2 12" xfId="34774"/>
    <cellStyle name="常规 6 2 12 2" xfId="34775"/>
    <cellStyle name="常规 6 2 12 2 2" xfId="34776"/>
    <cellStyle name="常规 6 2 12 3" xfId="25609"/>
    <cellStyle name="常规 6 2 12 4" xfId="25364"/>
    <cellStyle name="常规 6 2 13" xfId="17199"/>
    <cellStyle name="常规 6 2 13 2" xfId="17201"/>
    <cellStyle name="常规 6 2 14" xfId="17203"/>
    <cellStyle name="常规 6 2 15" xfId="17207"/>
    <cellStyle name="常规 6 2 16" xfId="1010"/>
    <cellStyle name="常规 6 2 17" xfId="1019"/>
    <cellStyle name="常规 6 2 18" xfId="3273"/>
    <cellStyle name="常规 6 2 19" xfId="20829"/>
    <cellStyle name="常规 6 2 2" xfId="34777"/>
    <cellStyle name="常规 6 2 2 10" xfId="8057"/>
    <cellStyle name="常规 6 2 2 10 2" xfId="8059"/>
    <cellStyle name="常规 6 2 2 10 2 2" xfId="11143"/>
    <cellStyle name="常规 6 2 2 10 2 2 2" xfId="34779"/>
    <cellStyle name="常规 6 2 2 10 2 3" xfId="34780"/>
    <cellStyle name="常规 6 2 2 10 2 4" xfId="34781"/>
    <cellStyle name="常规 6 2 2 10 3" xfId="15738"/>
    <cellStyle name="常规 6 2 2 10 3 2" xfId="9056"/>
    <cellStyle name="常规 6 2 2 10 4" xfId="34782"/>
    <cellStyle name="常规 6 2 2 10 5" xfId="34783"/>
    <cellStyle name="常规 6 2 2 11" xfId="8061"/>
    <cellStyle name="常规 6 2 2 11 2" xfId="34784"/>
    <cellStyle name="常规 6 2 2 11 2 2" xfId="34785"/>
    <cellStyle name="常规 6 2 2 11 3" xfId="34786"/>
    <cellStyle name="常规 6 2 2 11 4" xfId="34787"/>
    <cellStyle name="常规 6 2 2 12" xfId="8063"/>
    <cellStyle name="常规 6 2 2 12 2" xfId="34476"/>
    <cellStyle name="常规 6 2 2 13" xfId="34788"/>
    <cellStyle name="常规 6 2 2 14" xfId="34790"/>
    <cellStyle name="常规 6 2 2 15" xfId="34792"/>
    <cellStyle name="常规 6 2 2 16" xfId="34795"/>
    <cellStyle name="常规 6 2 2 17" xfId="5482"/>
    <cellStyle name="常规 6 2 2 2" xfId="34796"/>
    <cellStyle name="常规 6 2 2 2 10" xfId="34797"/>
    <cellStyle name="常规 6 2 2 2 10 2" xfId="34798"/>
    <cellStyle name="常规 6 2 2 2 10 2 2" xfId="19557"/>
    <cellStyle name="常规 6 2 2 2 10 3" xfId="21065"/>
    <cellStyle name="常规 6 2 2 2 10 4" xfId="34799"/>
    <cellStyle name="常规 6 2 2 2 11" xfId="32124"/>
    <cellStyle name="常规 6 2 2 2 11 2" xfId="32126"/>
    <cellStyle name="常规 6 2 2 2 12" xfId="32130"/>
    <cellStyle name="常规 6 2 2 2 13" xfId="32132"/>
    <cellStyle name="常规 6 2 2 2 2" xfId="19929"/>
    <cellStyle name="常规 6 2 2 2 2 10" xfId="6790"/>
    <cellStyle name="常规 6 2 2 2 2 10 2" xfId="9420"/>
    <cellStyle name="常规 6 2 2 2 2 11" xfId="34801"/>
    <cellStyle name="常规 6 2 2 2 2 12" xfId="34803"/>
    <cellStyle name="常规 6 2 2 2 2 2" xfId="34804"/>
    <cellStyle name="常规 6 2 2 2 2 2 10" xfId="34805"/>
    <cellStyle name="常规 6 2 2 2 2 2 11" xfId="34806"/>
    <cellStyle name="常规 6 2 2 2 2 2 2" xfId="32634"/>
    <cellStyle name="常规 6 2 2 2 2 2 2 2" xfId="3980"/>
    <cellStyle name="常规 6 2 2 2 2 2 2 2 2" xfId="3982"/>
    <cellStyle name="常规 6 2 2 2 2 2 2 2 2 2" xfId="34807"/>
    <cellStyle name="常规 6 2 2 2 2 2 2 2 2 2 2" xfId="34808"/>
    <cellStyle name="常规 6 2 2 2 2 2 2 2 2 2 2 2" xfId="33547"/>
    <cellStyle name="常规 6 2 2 2 2 2 2 2 2 2 2 2 2" xfId="33549"/>
    <cellStyle name="常规 6 2 2 2 2 2 2 2 2 2 2 2 2 2" xfId="33551"/>
    <cellStyle name="常规 6 2 2 2 2 2 2 2 2 2 2 2 3" xfId="33556"/>
    <cellStyle name="常规 6 2 2 2 2 2 2 2 2 2 2 2 4" xfId="33562"/>
    <cellStyle name="常规 6 2 2 2 2 2 2 2 2 2 2 3" xfId="33567"/>
    <cellStyle name="常规 6 2 2 2 2 2 2 2 2 2 2 3 2" xfId="33569"/>
    <cellStyle name="常规 6 2 2 2 2 2 2 2 2 2 2 4" xfId="33577"/>
    <cellStyle name="常规 6 2 2 2 2 2 2 2 2 2 2 5" xfId="23694"/>
    <cellStyle name="常规 6 2 2 2 2 2 2 2 2 2 3" xfId="34809"/>
    <cellStyle name="常规 6 2 2 2 2 2 2 2 2 2 3 2" xfId="33662"/>
    <cellStyle name="常规 6 2 2 2 2 2 2 2 2 2 3 2 2" xfId="33664"/>
    <cellStyle name="常规 6 2 2 2 2 2 2 2 2 2 3 3" xfId="33669"/>
    <cellStyle name="常规 6 2 2 2 2 2 2 2 2 2 3 4" xfId="33672"/>
    <cellStyle name="常规 6 2 2 2 2 2 2 2 2 2 4" xfId="25255"/>
    <cellStyle name="常规 6 2 2 2 2 2 2 2 2 2 4 2" xfId="25258"/>
    <cellStyle name="常规 6 2 2 2 2 2 2 2 2 2 5" xfId="25356"/>
    <cellStyle name="常规 6 2 2 2 2 2 2 2 2 2 6" xfId="25410"/>
    <cellStyle name="常规 6 2 2 2 2 2 2 2 2 3" xfId="34810"/>
    <cellStyle name="常规 6 2 2 2 2 2 2 2 2 3 2" xfId="34811"/>
    <cellStyle name="常规 6 2 2 2 2 2 2 2 2 3 2 2" xfId="33738"/>
    <cellStyle name="常规 6 2 2 2 2 2 2 2 2 3 2 2 2" xfId="11487"/>
    <cellStyle name="常规 6 2 2 2 2 2 2 2 2 3 2 3" xfId="33740"/>
    <cellStyle name="常规 6 2 2 2 2 2 2 2 2 3 2 4" xfId="33742"/>
    <cellStyle name="常规 6 2 2 2 2 2 2 2 2 3 3" xfId="34812"/>
    <cellStyle name="常规 6 2 2 2 2 2 2 2 2 3 3 2" xfId="33815"/>
    <cellStyle name="常规 6 2 2 2 2 2 2 2 2 3 4" xfId="25461"/>
    <cellStyle name="常规 6 2 2 2 2 2 2 2 2 3 5" xfId="25485"/>
    <cellStyle name="常规 6 2 2 2 2 2 2 2 2 4" xfId="34813"/>
    <cellStyle name="常规 6 2 2 2 2 2 2 2 2 4 2" xfId="34814"/>
    <cellStyle name="常规 6 2 2 2 2 2 2 2 2 4 2 2" xfId="33879"/>
    <cellStyle name="常规 6 2 2 2 2 2 2 2 2 4 3" xfId="34815"/>
    <cellStyle name="常规 6 2 2 2 2 2 2 2 2 4 4" xfId="25522"/>
    <cellStyle name="常规 6 2 2 2 2 2 2 2 2 5" xfId="34816"/>
    <cellStyle name="常规 6 2 2 2 2 2 2 2 2 5 2" xfId="34817"/>
    <cellStyle name="常规 6 2 2 2 2 2 2 2 2 6" xfId="34818"/>
    <cellStyle name="常规 6 2 2 2 2 2 2 2 2 7" xfId="34819"/>
    <cellStyle name="常规 6 2 2 2 2 2 2 2 3" xfId="34820"/>
    <cellStyle name="常规 6 2 2 2 2 2 2 2 3 2" xfId="32607"/>
    <cellStyle name="常规 6 2 2 2 2 2 2 2 3 2 2" xfId="32609"/>
    <cellStyle name="常规 6 2 2 2 2 2 2 2 3 2 2 2" xfId="34070"/>
    <cellStyle name="常规 6 2 2 2 2 2 2 2 3 2 2 2 2" xfId="34073"/>
    <cellStyle name="常规 6 2 2 2 2 2 2 2 3 2 2 3" xfId="34078"/>
    <cellStyle name="常规 6 2 2 2 2 2 2 2 3 2 2 4" xfId="34081"/>
    <cellStyle name="常规 6 2 2 2 2 2 2 2 3 2 3" xfId="34821"/>
    <cellStyle name="常规 6 2 2 2 2 2 2 2 3 2 3 2" xfId="34155"/>
    <cellStyle name="常规 6 2 2 2 2 2 2 2 3 2 4" xfId="25567"/>
    <cellStyle name="常规 6 2 2 2 2 2 2 2 3 2 5" xfId="25639"/>
    <cellStyle name="常规 6 2 2 2 2 2 2 2 3 3" xfId="28808"/>
    <cellStyle name="常规 6 2 2 2 2 2 2 2 3 3 2" xfId="34822"/>
    <cellStyle name="常规 6 2 2 2 2 2 2 2 3 3 2 2" xfId="21723"/>
    <cellStyle name="常规 6 2 2 2 2 2 2 2 3 3 3" xfId="34823"/>
    <cellStyle name="常规 6 2 2 2 2 2 2 2 3 3 4" xfId="25729"/>
    <cellStyle name="常规 6 2 2 2 2 2 2 2 3 4" xfId="32611"/>
    <cellStyle name="常规 6 2 2 2 2 2 2 2 3 4 2" xfId="34824"/>
    <cellStyle name="常规 6 2 2 2 2 2 2 2 3 5" xfId="34825"/>
    <cellStyle name="常规 6 2 2 2 2 2 2 2 3 6" xfId="34826"/>
    <cellStyle name="常规 6 2 2 2 2 2 2 2 4" xfId="34827"/>
    <cellStyle name="常规 6 2 2 2 2 2 2 2 4 2" xfId="34828"/>
    <cellStyle name="常规 6 2 2 2 2 2 2 2 4 2 2" xfId="34829"/>
    <cellStyle name="常规 6 2 2 2 2 2 2 2 4 2 2 2" xfId="34830"/>
    <cellStyle name="常规 6 2 2 2 2 2 2 2 4 2 3" xfId="34831"/>
    <cellStyle name="常规 6 2 2 2 2 2 2 2 4 2 4" xfId="34832"/>
    <cellStyle name="常规 6 2 2 2 2 2 2 2 4 3" xfId="34833"/>
    <cellStyle name="常规 6 2 2 2 2 2 2 2 4 3 2" xfId="34834"/>
    <cellStyle name="常规 6 2 2 2 2 2 2 2 4 4" xfId="34835"/>
    <cellStyle name="常规 6 2 2 2 2 2 2 2 4 5" xfId="34836"/>
    <cellStyle name="常规 6 2 2 2 2 2 2 2 5" xfId="34837"/>
    <cellStyle name="常规 6 2 2 2 2 2 2 2 5 2" xfId="34838"/>
    <cellStyle name="常规 6 2 2 2 2 2 2 2 5 2 2" xfId="34839"/>
    <cellStyle name="常规 6 2 2 2 2 2 2 2 5 3" xfId="34840"/>
    <cellStyle name="常规 6 2 2 2 2 2 2 2 5 4" xfId="34841"/>
    <cellStyle name="常规 6 2 2 2 2 2 2 2 6" xfId="34842"/>
    <cellStyle name="常规 6 2 2 2 2 2 2 2 6 2" xfId="34843"/>
    <cellStyle name="常规 6 2 2 2 2 2 2 2 7" xfId="34844"/>
    <cellStyle name="常规 6 2 2 2 2 2 2 2 8" xfId="34845"/>
    <cellStyle name="常规 6 2 2 2 2 2 2 3" xfId="34846"/>
    <cellStyle name="常规 6 2 2 2 2 2 2 3 2" xfId="34847"/>
    <cellStyle name="常规 6 2 2 2 2 2 2 3 2 2" xfId="34848"/>
    <cellStyle name="常规 6 2 2 2 2 2 2 3 2 2 2" xfId="34849"/>
    <cellStyle name="常规 6 2 2 2 2 2 2 3 2 2 2 2" xfId="34850"/>
    <cellStyle name="常规 6 2 2 2 2 2 2 3 2 2 2 2 2" xfId="34851"/>
    <cellStyle name="常规 6 2 2 2 2 2 2 3 2 2 2 3" xfId="18736"/>
    <cellStyle name="常规 6 2 2 2 2 2 2 3 2 2 2 4" xfId="34852"/>
    <cellStyle name="常规 6 2 2 2 2 2 2 3 2 2 3" xfId="34853"/>
    <cellStyle name="常规 6 2 2 2 2 2 2 3 2 2 3 2" xfId="34854"/>
    <cellStyle name="常规 6 2 2 2 2 2 2 3 2 2 4" xfId="34855"/>
    <cellStyle name="常规 6 2 2 2 2 2 2 3 2 2 5" xfId="34856"/>
    <cellStyle name="常规 6 2 2 2 2 2 2 3 2 3" xfId="34857"/>
    <cellStyle name="常规 6 2 2 2 2 2 2 3 2 3 2" xfId="34858"/>
    <cellStyle name="常规 6 2 2 2 2 2 2 3 2 3 2 2" xfId="34859"/>
    <cellStyle name="常规 6 2 2 2 2 2 2 3 2 3 3" xfId="34860"/>
    <cellStyle name="常规 6 2 2 2 2 2 2 3 2 3 4" xfId="34861"/>
    <cellStyle name="常规 6 2 2 2 2 2 2 3 2 4" xfId="34862"/>
    <cellStyle name="常规 6 2 2 2 2 2 2 3 2 4 2" xfId="34863"/>
    <cellStyle name="常规 6 2 2 2 2 2 2 3 2 5" xfId="34864"/>
    <cellStyle name="常规 6 2 2 2 2 2 2 3 2 6" xfId="34865"/>
    <cellStyle name="常规 6 2 2 2 2 2 2 3 3" xfId="34866"/>
    <cellStyle name="常规 6 2 2 2 2 2 2 3 3 2" xfId="34867"/>
    <cellStyle name="常规 6 2 2 2 2 2 2 3 3 2 2" xfId="34868"/>
    <cellStyle name="常规 6 2 2 2 2 2 2 3 3 2 2 2" xfId="34869"/>
    <cellStyle name="常规 6 2 2 2 2 2 2 3 3 2 3" xfId="34870"/>
    <cellStyle name="常规 6 2 2 2 2 2 2 3 3 2 4" xfId="34871"/>
    <cellStyle name="常规 6 2 2 2 2 2 2 3 3 3" xfId="34872"/>
    <cellStyle name="常规 6 2 2 2 2 2 2 3 3 3 2" xfId="34873"/>
    <cellStyle name="常规 6 2 2 2 2 2 2 3 3 4" xfId="34874"/>
    <cellStyle name="常规 6 2 2 2 2 2 2 3 3 5" xfId="34875"/>
    <cellStyle name="常规 6 2 2 2 2 2 2 3 4" xfId="34876"/>
    <cellStyle name="常规 6 2 2 2 2 2 2 3 4 2" xfId="34877"/>
    <cellStyle name="常规 6 2 2 2 2 2 2 3 4 2 2" xfId="34879"/>
    <cellStyle name="常规 6 2 2 2 2 2 2 3 4 3" xfId="34880"/>
    <cellStyle name="常规 6 2 2 2 2 2 2 3 4 4" xfId="34881"/>
    <cellStyle name="常规 6 2 2 2 2 2 2 3 5" xfId="34882"/>
    <cellStyle name="常规 6 2 2 2 2 2 2 3 5 2" xfId="34883"/>
    <cellStyle name="常规 6 2 2 2 2 2 2 3 6" xfId="34884"/>
    <cellStyle name="常规 6 2 2 2 2 2 2 3 7" xfId="34887"/>
    <cellStyle name="常规 6 2 2 2 2 2 2 4" xfId="3992"/>
    <cellStyle name="常规 6 2 2 2 2 2 2 4 2" xfId="26318"/>
    <cellStyle name="常规 6 2 2 2 2 2 2 4 2 2" xfId="26321"/>
    <cellStyle name="常规 6 2 2 2 2 2 2 4 2 2 2" xfId="26324"/>
    <cellStyle name="常规 6 2 2 2 2 2 2 4 2 2 2 2" xfId="26326"/>
    <cellStyle name="常规 6 2 2 2 2 2 2 4 2 2 3" xfId="1418"/>
    <cellStyle name="常规 6 2 2 2 2 2 2 4 2 2 4" xfId="1428"/>
    <cellStyle name="常规 6 2 2 2 2 2 2 4 2 3" xfId="26329"/>
    <cellStyle name="常规 6 2 2 2 2 2 2 4 2 3 2" xfId="26331"/>
    <cellStyle name="常规 6 2 2 2 2 2 2 4 2 4" xfId="26334"/>
    <cellStyle name="常规 6 2 2 2 2 2 2 4 2 5" xfId="26336"/>
    <cellStyle name="常规 6 2 2 2 2 2 2 4 3" xfId="26338"/>
    <cellStyle name="常规 6 2 2 2 2 2 2 4 3 2" xfId="26342"/>
    <cellStyle name="常规 6 2 2 2 2 2 2 4 3 2 2" xfId="26347"/>
    <cellStyle name="常规 6 2 2 2 2 2 2 4 3 3" xfId="25650"/>
    <cellStyle name="常规 6 2 2 2 2 2 2 4 3 4" xfId="25656"/>
    <cellStyle name="常规 6 2 2 2 2 2 2 4 4" xfId="26349"/>
    <cellStyle name="常规 6 2 2 2 2 2 2 4 4 2" xfId="26353"/>
    <cellStyle name="常规 6 2 2 2 2 2 2 4 5" xfId="26355"/>
    <cellStyle name="常规 6 2 2 2 2 2 2 4 6" xfId="26359"/>
    <cellStyle name="常规 6 2 2 2 2 2 2 5" xfId="26362"/>
    <cellStyle name="常规 6 2 2 2 2 2 2 5 2" xfId="26365"/>
    <cellStyle name="常规 6 2 2 2 2 2 2 5 2 2" xfId="26368"/>
    <cellStyle name="常规 6 2 2 2 2 2 2 5 2 2 2" xfId="26370"/>
    <cellStyle name="常规 6 2 2 2 2 2 2 5 2 3" xfId="2394"/>
    <cellStyle name="常规 6 2 2 2 2 2 2 5 2 4" xfId="26372"/>
    <cellStyle name="常规 6 2 2 2 2 2 2 5 3" xfId="26374"/>
    <cellStyle name="常规 6 2 2 2 2 2 2 5 3 2" xfId="26378"/>
    <cellStyle name="常规 6 2 2 2 2 2 2 5 4" xfId="23273"/>
    <cellStyle name="常规 6 2 2 2 2 2 2 5 5" xfId="23286"/>
    <cellStyle name="常规 6 2 2 2 2 2 2 6" xfId="26381"/>
    <cellStyle name="常规 6 2 2 2 2 2 2 6 2" xfId="26384"/>
    <cellStyle name="常规 6 2 2 2 2 2 2 6 2 2" xfId="26386"/>
    <cellStyle name="常规 6 2 2 2 2 2 2 6 3" xfId="26388"/>
    <cellStyle name="常规 6 2 2 2 2 2 2 6 4" xfId="23299"/>
    <cellStyle name="常规 6 2 2 2 2 2 2 7" xfId="26391"/>
    <cellStyle name="常规 6 2 2 2 2 2 2 7 2" xfId="26393"/>
    <cellStyle name="常规 6 2 2 2 2 2 2 8" xfId="26399"/>
    <cellStyle name="常规 6 2 2 2 2 2 2 9" xfId="26404"/>
    <cellStyle name="常规 6 2 2 2 2 2 3" xfId="34888"/>
    <cellStyle name="常规 6 2 2 2 2 2 3 2" xfId="34889"/>
    <cellStyle name="常规 6 2 2 2 2 2 3 2 2" xfId="34890"/>
    <cellStyle name="常规 6 2 2 2 2 2 3 2 2 2" xfId="34891"/>
    <cellStyle name="常规 6 2 2 2 2 2 3 2 2 2 2" xfId="21067"/>
    <cellStyle name="常规 6 2 2 2 2 2 3 2 2 2 2 2" xfId="34892"/>
    <cellStyle name="常规 6 2 2 2 2 2 3 2 2 2 2 2 2" xfId="34893"/>
    <cellStyle name="常规 6 2 2 2 2 2 3 2 2 2 2 2 2 2" xfId="34894"/>
    <cellStyle name="常规 6 2 2 2 2 2 3 2 2 2 2 2 3" xfId="34895"/>
    <cellStyle name="常规 6 2 2 2 2 2 3 2 2 2 2 2 4" xfId="34896"/>
    <cellStyle name="常规 6 2 2 2 2 2 3 2 2 2 2 3" xfId="34897"/>
    <cellStyle name="常规 6 2 2 2 2 2 3 2 2 2 2 3 2" xfId="34898"/>
    <cellStyle name="常规 6 2 2 2 2 2 3 2 2 2 2 4" xfId="34899"/>
    <cellStyle name="常规 6 2 2 2 2 2 3 2 2 2 2 5" xfId="34900"/>
    <cellStyle name="常规 6 2 2 2 2 2 3 2 2 2 3" xfId="21069"/>
    <cellStyle name="常规 6 2 2 2 2 2 3 2 2 2 3 2" xfId="34901"/>
    <cellStyle name="常规 6 2 2 2 2 2 3 2 2 2 3 2 2" xfId="34902"/>
    <cellStyle name="常规 6 2 2 2 2 2 3 2 2 2 3 3" xfId="34903"/>
    <cellStyle name="常规 6 2 2 2 2 2 3 2 2 2 3 4" xfId="34904"/>
    <cellStyle name="常规 6 2 2 2 2 2 3 2 2 2 4" xfId="34905"/>
    <cellStyle name="常规 6 2 2 2 2 2 3 2 2 2 4 2" xfId="34906"/>
    <cellStyle name="常规 6 2 2 2 2 2 3 2 2 2 5" xfId="34907"/>
    <cellStyle name="常规 6 2 2 2 2 2 3 2 2 2 6" xfId="34908"/>
    <cellStyle name="常规 6 2 2 2 2 2 3 2 2 3" xfId="34909"/>
    <cellStyle name="常规 6 2 2 2 2 2 3 2 2 3 2" xfId="34910"/>
    <cellStyle name="常规 6 2 2 2 2 2 3 2 2 3 2 2" xfId="34911"/>
    <cellStyle name="常规 6 2 2 2 2 2 3 2 2 3 2 2 2" xfId="34912"/>
    <cellStyle name="常规 6 2 2 2 2 2 3 2 2 3 2 3" xfId="34913"/>
    <cellStyle name="常规 6 2 2 2 2 2 3 2 2 3 2 4" xfId="34914"/>
    <cellStyle name="常规 6 2 2 2 2 2 3 2 2 3 3" xfId="34915"/>
    <cellStyle name="常规 6 2 2 2 2 2 3 2 2 3 3 2" xfId="34916"/>
    <cellStyle name="常规 6 2 2 2 2 2 3 2 2 3 4" xfId="34917"/>
    <cellStyle name="常规 6 2 2 2 2 2 3 2 2 3 5" xfId="34918"/>
    <cellStyle name="常规 6 2 2 2 2 2 3 2 2 4" xfId="34919"/>
    <cellStyle name="常规 6 2 2 2 2 2 3 2 2 4 2" xfId="34920"/>
    <cellStyle name="常规 6 2 2 2 2 2 3 2 2 4 2 2" xfId="34921"/>
    <cellStyle name="常规 6 2 2 2 2 2 3 2 2 4 3" xfId="34922"/>
    <cellStyle name="常规 6 2 2 2 2 2 3 2 2 4 4" xfId="34923"/>
    <cellStyle name="常规 6 2 2 2 2 2 3 2 2 5" xfId="34924"/>
    <cellStyle name="常规 6 2 2 2 2 2 3 2 2 5 2" xfId="34925"/>
    <cellStyle name="常规 6 2 2 2 2 2 3 2 2 6" xfId="34926"/>
    <cellStyle name="常规 6 2 2 2 2 2 3 2 2 7" xfId="34927"/>
    <cellStyle name="常规 6 2 2 2 2 2 3 2 3" xfId="34928"/>
    <cellStyle name="常规 6 2 2 2 2 2 3 2 3 2" xfId="34929"/>
    <cellStyle name="常规 6 2 2 2 2 2 3 2 3 2 2" xfId="34930"/>
    <cellStyle name="常规 6 2 2 2 2 2 3 2 3 2 2 2" xfId="34931"/>
    <cellStyle name="常规 6 2 2 2 2 2 3 2 3 2 2 2 2" xfId="34932"/>
    <cellStyle name="常规 6 2 2 2 2 2 3 2 3 2 2 3" xfId="34933"/>
    <cellStyle name="常规 6 2 2 2 2 2 3 2 3 2 2 4" xfId="34934"/>
    <cellStyle name="常规 6 2 2 2 2 2 3 2 3 2 3" xfId="34935"/>
    <cellStyle name="常规 6 2 2 2 2 2 3 2 3 2 3 2" xfId="34936"/>
    <cellStyle name="常规 6 2 2 2 2 2 3 2 3 2 4" xfId="34937"/>
    <cellStyle name="常规 6 2 2 2 2 2 3 2 3 2 5" xfId="34938"/>
    <cellStyle name="常规 6 2 2 2 2 2 3 2 3 3" xfId="34939"/>
    <cellStyle name="常规 6 2 2 2 2 2 3 2 3 3 2" xfId="34940"/>
    <cellStyle name="常规 6 2 2 2 2 2 3 2 3 3 2 2" xfId="34941"/>
    <cellStyle name="常规 6 2 2 2 2 2 3 2 3 3 3" xfId="34942"/>
    <cellStyle name="常规 6 2 2 2 2 2 3 2 3 3 4" xfId="34943"/>
    <cellStyle name="常规 6 2 2 2 2 2 3 2 3 4" xfId="34944"/>
    <cellStyle name="常规 6 2 2 2 2 2 3 2 3 4 2" xfId="34945"/>
    <cellStyle name="常规 6 2 2 2 2 2 3 2 3 5" xfId="34946"/>
    <cellStyle name="常规 6 2 2 2 2 2 3 2 3 6" xfId="34947"/>
    <cellStyle name="常规 6 2 2 2 2 2 3 2 4" xfId="34948"/>
    <cellStyle name="常规 6 2 2 2 2 2 3 2 4 2" xfId="34949"/>
    <cellStyle name="常规 6 2 2 2 2 2 3 2 4 2 2" xfId="34950"/>
    <cellStyle name="常规 6 2 2 2 2 2 3 2 4 2 2 2" xfId="34951"/>
    <cellStyle name="常规 6 2 2 2 2 2 3 2 4 2 3" xfId="34952"/>
    <cellStyle name="常规 6 2 2 2 2 2 3 2 4 2 4" xfId="34953"/>
    <cellStyle name="常规 6 2 2 2 2 2 3 2 4 3" xfId="34954"/>
    <cellStyle name="常规 6 2 2 2 2 2 3 2 4 3 2" xfId="34955"/>
    <cellStyle name="常规 6 2 2 2 2 2 3 2 4 4" xfId="34956"/>
    <cellStyle name="常规 6 2 2 2 2 2 3 2 4 5" xfId="34957"/>
    <cellStyle name="常规 6 2 2 2 2 2 3 2 5" xfId="34958"/>
    <cellStyle name="常规 6 2 2 2 2 2 3 2 5 2" xfId="34959"/>
    <cellStyle name="常规 6 2 2 2 2 2 3 2 5 2 2" xfId="34960"/>
    <cellStyle name="常规 6 2 2 2 2 2 3 2 5 3" xfId="34961"/>
    <cellStyle name="常规 6 2 2 2 2 2 3 2 5 4" xfId="34962"/>
    <cellStyle name="常规 6 2 2 2 2 2 3 2 6" xfId="34963"/>
    <cellStyle name="常规 6 2 2 2 2 2 3 2 6 2" xfId="34964"/>
    <cellStyle name="常规 6 2 2 2 2 2 3 2 7" xfId="34965"/>
    <cellStyle name="常规 6 2 2 2 2 2 3 2 8" xfId="34966"/>
    <cellStyle name="常规 6 2 2 2 2 2 3 3" xfId="34967"/>
    <cellStyle name="常规 6 2 2 2 2 2 3 3 2" xfId="34968"/>
    <cellStyle name="常规 6 2 2 2 2 2 3 3 2 2" xfId="34969"/>
    <cellStyle name="常规 6 2 2 2 2 2 3 3 2 2 2" xfId="34970"/>
    <cellStyle name="常规 6 2 2 2 2 2 3 3 2 2 2 2" xfId="34971"/>
    <cellStyle name="常规 6 2 2 2 2 2 3 3 2 2 2 2 2" xfId="34972"/>
    <cellStyle name="常规 6 2 2 2 2 2 3 3 2 2 2 3" xfId="34973"/>
    <cellStyle name="常规 6 2 2 2 2 2 3 3 2 2 2 4" xfId="34974"/>
    <cellStyle name="常规 6 2 2 2 2 2 3 3 2 2 3" xfId="34975"/>
    <cellStyle name="常规 6 2 2 2 2 2 3 3 2 2 3 2" xfId="3500"/>
    <cellStyle name="常规 6 2 2 2 2 2 3 3 2 2 4" xfId="34976"/>
    <cellStyle name="常规 6 2 2 2 2 2 3 3 2 2 5" xfId="34977"/>
    <cellStyle name="常规 6 2 2 2 2 2 3 3 2 3" xfId="34978"/>
    <cellStyle name="常规 6 2 2 2 2 2 3 3 2 3 2" xfId="34979"/>
    <cellStyle name="常规 6 2 2 2 2 2 3 3 2 3 2 2" xfId="34980"/>
    <cellStyle name="常规 6 2 2 2 2 2 3 3 2 3 3" xfId="34981"/>
    <cellStyle name="常规 6 2 2 2 2 2 3 3 2 3 4" xfId="34983"/>
    <cellStyle name="常规 6 2 2 2 2 2 3 3 2 4" xfId="34984"/>
    <cellStyle name="常规 6 2 2 2 2 2 3 3 2 4 2" xfId="34985"/>
    <cellStyle name="常规 6 2 2 2 2 2 3 3 2 5" xfId="34986"/>
    <cellStyle name="常规 6 2 2 2 2 2 3 3 2 6" xfId="34987"/>
    <cellStyle name="常规 6 2 2 2 2 2 3 3 3" xfId="34988"/>
    <cellStyle name="常规 6 2 2 2 2 2 3 3 3 2" xfId="34989"/>
    <cellStyle name="常规 6 2 2 2 2 2 3 3 3 2 2" xfId="34990"/>
    <cellStyle name="常规 6 2 2 2 2 2 3 3 3 2 2 2" xfId="34991"/>
    <cellStyle name="常规 6 2 2 2 2 2 3 3 3 2 3" xfId="34992"/>
    <cellStyle name="常规 6 2 2 2 2 2 3 3 3 2 4" xfId="34993"/>
    <cellStyle name="常规 6 2 2 2 2 2 3 3 3 3" xfId="34994"/>
    <cellStyle name="常规 6 2 2 2 2 2 3 3 3 3 2" xfId="34995"/>
    <cellStyle name="常规 6 2 2 2 2 2 3 3 3 4" xfId="34996"/>
    <cellStyle name="常规 6 2 2 2 2 2 3 3 3 5" xfId="34997"/>
    <cellStyle name="常规 6 2 2 2 2 2 3 3 4" xfId="34998"/>
    <cellStyle name="常规 6 2 2 2 2 2 3 3 4 2" xfId="34999"/>
    <cellStyle name="常规 6 2 2 2 2 2 3 3 4 2 2" xfId="35001"/>
    <cellStyle name="常规 6 2 2 2 2 2 3 3 4 3" xfId="35002"/>
    <cellStyle name="常规 6 2 2 2 2 2 3 3 4 4" xfId="35003"/>
    <cellStyle name="常规 6 2 2 2 2 2 3 3 5" xfId="35004"/>
    <cellStyle name="常规 6 2 2 2 2 2 3 3 5 2" xfId="35005"/>
    <cellStyle name="常规 6 2 2 2 2 2 3 3 6" xfId="35006"/>
    <cellStyle name="常规 6 2 2 2 2 2 3 3 7" xfId="35008"/>
    <cellStyle name="常规 6 2 2 2 2 2 3 4" xfId="4016"/>
    <cellStyle name="常规 6 2 2 2 2 2 3 4 2" xfId="10691"/>
    <cellStyle name="常规 6 2 2 2 2 2 3 4 2 2" xfId="10695"/>
    <cellStyle name="常规 6 2 2 2 2 2 3 4 2 2 2" xfId="10698"/>
    <cellStyle name="常规 6 2 2 2 2 2 3 4 2 2 2 2" xfId="35009"/>
    <cellStyle name="常规 6 2 2 2 2 2 3 4 2 2 3" xfId="35010"/>
    <cellStyle name="常规 6 2 2 2 2 2 3 4 2 2 4" xfId="35011"/>
    <cellStyle name="常规 6 2 2 2 2 2 3 4 2 3" xfId="10837"/>
    <cellStyle name="常规 6 2 2 2 2 2 3 4 2 3 2" xfId="35012"/>
    <cellStyle name="常规 6 2 2 2 2 2 3 4 2 4" xfId="10917"/>
    <cellStyle name="常规 6 2 2 2 2 2 3 4 2 5" xfId="35013"/>
    <cellStyle name="常规 6 2 2 2 2 2 3 4 3" xfId="10984"/>
    <cellStyle name="常规 6 2 2 2 2 2 3 4 3 2" xfId="10991"/>
    <cellStyle name="常规 6 2 2 2 2 2 3 4 3 2 2" xfId="35014"/>
    <cellStyle name="常规 6 2 2 2 2 2 3 4 3 3" xfId="35016"/>
    <cellStyle name="常规 6 2 2 2 2 2 3 4 3 4" xfId="35018"/>
    <cellStyle name="常规 6 2 2 2 2 2 3 4 4" xfId="6888"/>
    <cellStyle name="常规 6 2 2 2 2 2 3 4 4 2" xfId="35019"/>
    <cellStyle name="常规 6 2 2 2 2 2 3 4 5" xfId="11273"/>
    <cellStyle name="常规 6 2 2 2 2 2 3 4 6" xfId="35020"/>
    <cellStyle name="常规 6 2 2 2 2 2 3 5" xfId="26407"/>
    <cellStyle name="常规 6 2 2 2 2 2 3 5 2" xfId="11816"/>
    <cellStyle name="常规 6 2 2 2 2 2 3 5 2 2" xfId="11819"/>
    <cellStyle name="常规 6 2 2 2 2 2 3 5 2 2 2" xfId="35021"/>
    <cellStyle name="常规 6 2 2 2 2 2 3 5 2 3" xfId="35022"/>
    <cellStyle name="常规 6 2 2 2 2 2 3 5 2 4" xfId="35023"/>
    <cellStyle name="常规 6 2 2 2 2 2 3 5 3" xfId="11977"/>
    <cellStyle name="常规 6 2 2 2 2 2 3 5 3 2" xfId="35024"/>
    <cellStyle name="常规 6 2 2 2 2 2 3 5 4" xfId="12088"/>
    <cellStyle name="常规 6 2 2 2 2 2 3 5 5" xfId="35025"/>
    <cellStyle name="常规 6 2 2 2 2 2 3 6" xfId="7874"/>
    <cellStyle name="常规 6 2 2 2 2 2 3 6 2" xfId="7877"/>
    <cellStyle name="常规 6 2 2 2 2 2 3 6 2 2" xfId="35026"/>
    <cellStyle name="常规 6 2 2 2 2 2 3 6 3" xfId="35027"/>
    <cellStyle name="常规 6 2 2 2 2 2 3 6 4" xfId="35028"/>
    <cellStyle name="常规 6 2 2 2 2 2 3 7" xfId="7885"/>
    <cellStyle name="常规 6 2 2 2 2 2 3 7 2" xfId="35029"/>
    <cellStyle name="常规 6 2 2 2 2 2 3 8" xfId="5755"/>
    <cellStyle name="常规 6 2 2 2 2 2 3 9" xfId="35030"/>
    <cellStyle name="常规 6 2 2 2 2 2 4" xfId="35031"/>
    <cellStyle name="常规 6 2 2 2 2 2 4 2" xfId="35032"/>
    <cellStyle name="常规 6 2 2 2 2 2 4 2 2" xfId="35033"/>
    <cellStyle name="常规 6 2 2 2 2 2 4 2 2 2" xfId="35034"/>
    <cellStyle name="常规 6 2 2 2 2 2 4 2 2 2 2" xfId="35036"/>
    <cellStyle name="常规 6 2 2 2 2 2 4 2 2 2 2 2" xfId="35037"/>
    <cellStyle name="常规 6 2 2 2 2 2 4 2 2 2 2 2 2" xfId="35038"/>
    <cellStyle name="常规 6 2 2 2 2 2 4 2 2 2 2 3" xfId="35039"/>
    <cellStyle name="常规 6 2 2 2 2 2 4 2 2 2 2 4" xfId="35040"/>
    <cellStyle name="常规 6 2 2 2 2 2 4 2 2 2 3" xfId="35042"/>
    <cellStyle name="常规 6 2 2 2 2 2 4 2 2 2 3 2" xfId="35043"/>
    <cellStyle name="常规 6 2 2 2 2 2 4 2 2 2 4" xfId="35044"/>
    <cellStyle name="常规 6 2 2 2 2 2 4 2 2 2 5" xfId="35045"/>
    <cellStyle name="常规 6 2 2 2 2 2 4 2 2 3" xfId="35046"/>
    <cellStyle name="常规 6 2 2 2 2 2 4 2 2 3 2" xfId="35047"/>
    <cellStyle name="常规 6 2 2 2 2 2 4 2 2 3 2 2" xfId="35048"/>
    <cellStyle name="常规 6 2 2 2 2 2 4 2 2 3 3" xfId="35049"/>
    <cellStyle name="常规 6 2 2 2 2 2 4 2 2 3 4" xfId="35050"/>
    <cellStyle name="常规 6 2 2 2 2 2 4 2 2 4" xfId="35051"/>
    <cellStyle name="常规 6 2 2 2 2 2 4 2 2 4 2" xfId="35052"/>
    <cellStyle name="常规 6 2 2 2 2 2 4 2 2 5" xfId="35053"/>
    <cellStyle name="常规 6 2 2 2 2 2 4 2 2 6" xfId="35054"/>
    <cellStyle name="常规 6 2 2 2 2 2 4 2 3" xfId="35055"/>
    <cellStyle name="常规 6 2 2 2 2 2 4 2 3 2" xfId="35056"/>
    <cellStyle name="常规 6 2 2 2 2 2 4 2 3 2 2" xfId="35057"/>
    <cellStyle name="常规 6 2 2 2 2 2 4 2 3 2 2 2" xfId="35058"/>
    <cellStyle name="常规 6 2 2 2 2 2 4 2 3 2 3" xfId="35059"/>
    <cellStyle name="常规 6 2 2 2 2 2 4 2 3 2 4" xfId="35060"/>
    <cellStyle name="常规 6 2 2 2 2 2 4 2 3 3" xfId="35061"/>
    <cellStyle name="常规 6 2 2 2 2 2 4 2 3 3 2" xfId="35062"/>
    <cellStyle name="常规 6 2 2 2 2 2 4 2 3 4" xfId="35063"/>
    <cellStyle name="常规 6 2 2 2 2 2 4 2 3 5" xfId="35064"/>
    <cellStyle name="常规 6 2 2 2 2 2 4 2 4" xfId="35065"/>
    <cellStyle name="常规 6 2 2 2 2 2 4 2 4 2" xfId="35066"/>
    <cellStyle name="常规 6 2 2 2 2 2 4 2 4 2 2" xfId="35067"/>
    <cellStyle name="常规 6 2 2 2 2 2 4 2 4 3" xfId="35068"/>
    <cellStyle name="常规 6 2 2 2 2 2 4 2 4 4" xfId="35069"/>
    <cellStyle name="常规 6 2 2 2 2 2 4 2 5" xfId="35071"/>
    <cellStyle name="常规 6 2 2 2 2 2 4 2 5 2" xfId="35072"/>
    <cellStyle name="常规 6 2 2 2 2 2 4 2 6" xfId="35073"/>
    <cellStyle name="常规 6 2 2 2 2 2 4 2 7" xfId="35074"/>
    <cellStyle name="常规 6 2 2 2 2 2 4 3" xfId="35075"/>
    <cellStyle name="常规 6 2 2 2 2 2 4 3 2" xfId="35076"/>
    <cellStyle name="常规 6 2 2 2 2 2 4 3 2 2" xfId="35077"/>
    <cellStyle name="常规 6 2 2 2 2 2 4 3 2 2 2" xfId="35078"/>
    <cellStyle name="常规 6 2 2 2 2 2 4 3 2 2 2 2" xfId="35079"/>
    <cellStyle name="常规 6 2 2 2 2 2 4 3 2 2 3" xfId="35080"/>
    <cellStyle name="常规 6 2 2 2 2 2 4 3 2 2 4" xfId="35081"/>
    <cellStyle name="常规 6 2 2 2 2 2 4 3 2 3" xfId="35082"/>
    <cellStyle name="常规 6 2 2 2 2 2 4 3 2 3 2" xfId="35083"/>
    <cellStyle name="常规 6 2 2 2 2 2 4 3 2 4" xfId="35084"/>
    <cellStyle name="常规 6 2 2 2 2 2 4 3 2 5" xfId="35085"/>
    <cellStyle name="常规 6 2 2 2 2 2 4 3 3" xfId="35086"/>
    <cellStyle name="常规 6 2 2 2 2 2 4 3 3 2" xfId="35087"/>
    <cellStyle name="常规 6 2 2 2 2 2 4 3 3 2 2" xfId="35088"/>
    <cellStyle name="常规 6 2 2 2 2 2 4 3 3 3" xfId="35089"/>
    <cellStyle name="常规 6 2 2 2 2 2 4 3 3 4" xfId="35090"/>
    <cellStyle name="常规 6 2 2 2 2 2 4 3 4" xfId="35091"/>
    <cellStyle name="常规 6 2 2 2 2 2 4 3 4 2" xfId="35092"/>
    <cellStyle name="常规 6 2 2 2 2 2 4 3 5" xfId="35093"/>
    <cellStyle name="常规 6 2 2 2 2 2 4 3 6" xfId="35094"/>
    <cellStyle name="常规 6 2 2 2 2 2 4 4" xfId="26412"/>
    <cellStyle name="常规 6 2 2 2 2 2 4 4 2" xfId="13538"/>
    <cellStyle name="常规 6 2 2 2 2 2 4 4 2 2" xfId="6530"/>
    <cellStyle name="常规 6 2 2 2 2 2 4 4 2 2 2" xfId="35095"/>
    <cellStyle name="常规 6 2 2 2 2 2 4 4 2 3" xfId="35096"/>
    <cellStyle name="常规 6 2 2 2 2 2 4 4 2 4" xfId="35097"/>
    <cellStyle name="常规 6 2 2 2 2 2 4 4 3" xfId="13638"/>
    <cellStyle name="常规 6 2 2 2 2 2 4 4 3 2" xfId="35098"/>
    <cellStyle name="常规 6 2 2 2 2 2 4 4 4" xfId="13697"/>
    <cellStyle name="常规 6 2 2 2 2 2 4 4 5" xfId="35099"/>
    <cellStyle name="常规 6 2 2 2 2 2 4 5" xfId="26415"/>
    <cellStyle name="常规 6 2 2 2 2 2 4 5 2" xfId="13995"/>
    <cellStyle name="常规 6 2 2 2 2 2 4 5 2 2" xfId="35100"/>
    <cellStyle name="常规 6 2 2 2 2 2 4 5 3" xfId="35101"/>
    <cellStyle name="常规 6 2 2 2 2 2 4 5 4" xfId="35102"/>
    <cellStyle name="常规 6 2 2 2 2 2 4 6" xfId="7890"/>
    <cellStyle name="常规 6 2 2 2 2 2 4 6 2" xfId="35103"/>
    <cellStyle name="常规 6 2 2 2 2 2 4 7" xfId="26417"/>
    <cellStyle name="常规 6 2 2 2 2 2 4 8" xfId="35104"/>
    <cellStyle name="常规 6 2 2 2 2 2 5" xfId="35105"/>
    <cellStyle name="常规 6 2 2 2 2 2 5 2" xfId="35106"/>
    <cellStyle name="常规 6 2 2 2 2 2 5 2 2" xfId="35107"/>
    <cellStyle name="常规 6 2 2 2 2 2 5 2 2 2" xfId="35108"/>
    <cellStyle name="常规 6 2 2 2 2 2 5 2 2 2 2" xfId="35109"/>
    <cellStyle name="常规 6 2 2 2 2 2 5 2 2 2 2 2" xfId="35110"/>
    <cellStyle name="常规 6 2 2 2 2 2 5 2 2 2 3" xfId="35111"/>
    <cellStyle name="常规 6 2 2 2 2 2 5 2 2 2 4" xfId="35112"/>
    <cellStyle name="常规 6 2 2 2 2 2 5 2 2 3" xfId="35113"/>
    <cellStyle name="常规 6 2 2 2 2 2 5 2 2 3 2" xfId="35114"/>
    <cellStyle name="常规 6 2 2 2 2 2 5 2 2 4" xfId="35115"/>
    <cellStyle name="常规 6 2 2 2 2 2 5 2 2 5" xfId="35116"/>
    <cellStyle name="常规 6 2 2 2 2 2 5 2 3" xfId="35117"/>
    <cellStyle name="常规 6 2 2 2 2 2 5 2 3 2" xfId="35119"/>
    <cellStyle name="常规 6 2 2 2 2 2 5 2 3 2 2" xfId="35120"/>
    <cellStyle name="常规 6 2 2 2 2 2 5 2 3 3" xfId="35122"/>
    <cellStyle name="常规 6 2 2 2 2 2 5 2 3 4" xfId="35123"/>
    <cellStyle name="常规 6 2 2 2 2 2 5 2 4" xfId="35124"/>
    <cellStyle name="常规 6 2 2 2 2 2 5 2 4 2" xfId="35126"/>
    <cellStyle name="常规 6 2 2 2 2 2 5 2 5" xfId="35127"/>
    <cellStyle name="常规 6 2 2 2 2 2 5 2 6" xfId="35128"/>
    <cellStyle name="常规 6 2 2 2 2 2 5 3" xfId="35129"/>
    <cellStyle name="常规 6 2 2 2 2 2 5 3 2" xfId="35130"/>
    <cellStyle name="常规 6 2 2 2 2 2 5 3 2 2" xfId="35131"/>
    <cellStyle name="常规 6 2 2 2 2 2 5 3 2 2 2" xfId="35132"/>
    <cellStyle name="常规 6 2 2 2 2 2 5 3 2 3" xfId="35133"/>
    <cellStyle name="常规 6 2 2 2 2 2 5 3 2 4" xfId="35134"/>
    <cellStyle name="常规 6 2 2 2 2 2 5 3 3" xfId="35135"/>
    <cellStyle name="常规 6 2 2 2 2 2 5 3 3 2" xfId="35137"/>
    <cellStyle name="常规 6 2 2 2 2 2 5 3 4" xfId="35138"/>
    <cellStyle name="常规 6 2 2 2 2 2 5 3 5" xfId="35139"/>
    <cellStyle name="常规 6 2 2 2 2 2 5 4" xfId="26422"/>
    <cellStyle name="常规 6 2 2 2 2 2 5 4 2" xfId="14796"/>
    <cellStyle name="常规 6 2 2 2 2 2 5 4 2 2" xfId="35140"/>
    <cellStyle name="常规 6 2 2 2 2 2 5 4 3" xfId="35141"/>
    <cellStyle name="常规 6 2 2 2 2 2 5 4 4" xfId="35142"/>
    <cellStyle name="常规 6 2 2 2 2 2 5 5" xfId="26424"/>
    <cellStyle name="常规 6 2 2 2 2 2 5 5 2" xfId="35143"/>
    <cellStyle name="常规 6 2 2 2 2 2 5 6" xfId="26427"/>
    <cellStyle name="常规 6 2 2 2 2 2 5 7" xfId="35144"/>
    <cellStyle name="常规 6 2 2 2 2 2 6" xfId="35145"/>
    <cellStyle name="常规 6 2 2 2 2 2 6 2" xfId="35146"/>
    <cellStyle name="常规 6 2 2 2 2 2 6 2 2" xfId="35147"/>
    <cellStyle name="常规 6 2 2 2 2 2 6 2 2 2" xfId="35148"/>
    <cellStyle name="常规 6 2 2 2 2 2 6 2 2 2 2" xfId="35149"/>
    <cellStyle name="常规 6 2 2 2 2 2 6 2 2 3" xfId="35150"/>
    <cellStyle name="常规 6 2 2 2 2 2 6 2 2 4" xfId="35151"/>
    <cellStyle name="常规 6 2 2 2 2 2 6 2 3" xfId="35152"/>
    <cellStyle name="常规 6 2 2 2 2 2 6 2 3 2" xfId="35154"/>
    <cellStyle name="常规 6 2 2 2 2 2 6 2 4" xfId="35155"/>
    <cellStyle name="常规 6 2 2 2 2 2 6 2 5" xfId="35156"/>
    <cellStyle name="常规 6 2 2 2 2 2 6 3" xfId="35157"/>
    <cellStyle name="常规 6 2 2 2 2 2 6 3 2" xfId="35158"/>
    <cellStyle name="常规 6 2 2 2 2 2 6 3 2 2" xfId="35159"/>
    <cellStyle name="常规 6 2 2 2 2 2 6 3 3" xfId="35160"/>
    <cellStyle name="常规 6 2 2 2 2 2 6 3 4" xfId="35161"/>
    <cellStyle name="常规 6 2 2 2 2 2 6 4" xfId="25047"/>
    <cellStyle name="常规 6 2 2 2 2 2 6 4 2" xfId="15430"/>
    <cellStyle name="常规 6 2 2 2 2 2 6 5" xfId="35162"/>
    <cellStyle name="常规 6 2 2 2 2 2 6 6" xfId="35163"/>
    <cellStyle name="常规 6 2 2 2 2 2 7" xfId="35164"/>
    <cellStyle name="常规 6 2 2 2 2 2 7 2" xfId="35165"/>
    <cellStyle name="常规 6 2 2 2 2 2 7 2 2" xfId="35166"/>
    <cellStyle name="常规 6 2 2 2 2 2 7 2 2 2" xfId="35167"/>
    <cellStyle name="常规 6 2 2 2 2 2 7 2 3" xfId="35168"/>
    <cellStyle name="常规 6 2 2 2 2 2 7 2 4" xfId="184"/>
    <cellStyle name="常规 6 2 2 2 2 2 7 3" xfId="35169"/>
    <cellStyle name="常规 6 2 2 2 2 2 7 3 2" xfId="35170"/>
    <cellStyle name="常规 6 2 2 2 2 2 7 4" xfId="35171"/>
    <cellStyle name="常规 6 2 2 2 2 2 7 5" xfId="35172"/>
    <cellStyle name="常规 6 2 2 2 2 2 8" xfId="35173"/>
    <cellStyle name="常规 6 2 2 2 2 2 8 2" xfId="35174"/>
    <cellStyle name="常规 6 2 2 2 2 2 8 2 2" xfId="35175"/>
    <cellStyle name="常规 6 2 2 2 2 2 8 3" xfId="35176"/>
    <cellStyle name="常规 6 2 2 2 2 2 8 4" xfId="35177"/>
    <cellStyle name="常规 6 2 2 2 2 2 9" xfId="35178"/>
    <cellStyle name="常规 6 2 2 2 2 2 9 2" xfId="35179"/>
    <cellStyle name="常规 6 2 2 2 2 3" xfId="35180"/>
    <cellStyle name="常规 6 2 2 2 2 3 2" xfId="35181"/>
    <cellStyle name="常规 6 2 2 2 2 3 2 2" xfId="35182"/>
    <cellStyle name="常规 6 2 2 2 2 3 2 2 2" xfId="35183"/>
    <cellStyle name="常规 6 2 2 2 2 3 2 2 2 2" xfId="35184"/>
    <cellStyle name="常规 6 2 2 2 2 3 2 2 2 2 2" xfId="35185"/>
    <cellStyle name="常规 6 2 2 2 2 3 2 2 2 2 2 2" xfId="35186"/>
    <cellStyle name="常规 6 2 2 2 2 3 2 2 2 2 2 2 2" xfId="35187"/>
    <cellStyle name="常规 6 2 2 2 2 3 2 2 2 2 2 3" xfId="35188"/>
    <cellStyle name="常规 6 2 2 2 2 3 2 2 2 2 2 4" xfId="35189"/>
    <cellStyle name="常规 6 2 2 2 2 3 2 2 2 2 3" xfId="35190"/>
    <cellStyle name="常规 6 2 2 2 2 3 2 2 2 2 3 2" xfId="35191"/>
    <cellStyle name="常规 6 2 2 2 2 3 2 2 2 2 4" xfId="35192"/>
    <cellStyle name="常规 6 2 2 2 2 3 2 2 2 2 5" xfId="35193"/>
    <cellStyle name="常规 6 2 2 2 2 3 2 2 2 3" xfId="35194"/>
    <cellStyle name="常规 6 2 2 2 2 3 2 2 2 3 2" xfId="35195"/>
    <cellStyle name="常规 6 2 2 2 2 3 2 2 2 3 2 2" xfId="35196"/>
    <cellStyle name="常规 6 2 2 2 2 3 2 2 2 3 3" xfId="35197"/>
    <cellStyle name="常规 6 2 2 2 2 3 2 2 2 3 4" xfId="35198"/>
    <cellStyle name="常规 6 2 2 2 2 3 2 2 2 4" xfId="35199"/>
    <cellStyle name="常规 6 2 2 2 2 3 2 2 2 4 2" xfId="35200"/>
    <cellStyle name="常规 6 2 2 2 2 3 2 2 2 5" xfId="35201"/>
    <cellStyle name="常规 6 2 2 2 2 3 2 2 2 6" xfId="35202"/>
    <cellStyle name="常规 6 2 2 2 2 3 2 2 3" xfId="35203"/>
    <cellStyle name="常规 6 2 2 2 2 3 2 2 3 2" xfId="35204"/>
    <cellStyle name="常规 6 2 2 2 2 3 2 2 3 2 2" xfId="35205"/>
    <cellStyle name="常规 6 2 2 2 2 3 2 2 3 2 2 2" xfId="35206"/>
    <cellStyle name="常规 6 2 2 2 2 3 2 2 3 2 3" xfId="35207"/>
    <cellStyle name="常规 6 2 2 2 2 3 2 2 3 2 4" xfId="35208"/>
    <cellStyle name="常规 6 2 2 2 2 3 2 2 3 3" xfId="35209"/>
    <cellStyle name="常规 6 2 2 2 2 3 2 2 3 3 2" xfId="35210"/>
    <cellStyle name="常规 6 2 2 2 2 3 2 2 3 4" xfId="35211"/>
    <cellStyle name="常规 6 2 2 2 2 3 2 2 3 5" xfId="35212"/>
    <cellStyle name="常规 6 2 2 2 2 3 2 2 4" xfId="35213"/>
    <cellStyle name="常规 6 2 2 2 2 3 2 2 4 2" xfId="35214"/>
    <cellStyle name="常规 6 2 2 2 2 3 2 2 4 2 2" xfId="35215"/>
    <cellStyle name="常规 6 2 2 2 2 3 2 2 4 3" xfId="35216"/>
    <cellStyle name="常规 6 2 2 2 2 3 2 2 4 4" xfId="35217"/>
    <cellStyle name="常规 6 2 2 2 2 3 2 2 5" xfId="35218"/>
    <cellStyle name="常规 6 2 2 2 2 3 2 2 5 2" xfId="35219"/>
    <cellStyle name="常规 6 2 2 2 2 3 2 2 6" xfId="35220"/>
    <cellStyle name="常规 6 2 2 2 2 3 2 2 7" xfId="35221"/>
    <cellStyle name="常规 6 2 2 2 2 3 2 3" xfId="35222"/>
    <cellStyle name="常规 6 2 2 2 2 3 2 3 2" xfId="35223"/>
    <cellStyle name="常规 6 2 2 2 2 3 2 3 2 2" xfId="35224"/>
    <cellStyle name="常规 6 2 2 2 2 3 2 3 2 2 2" xfId="35225"/>
    <cellStyle name="常规 6 2 2 2 2 3 2 3 2 2 2 2" xfId="35226"/>
    <cellStyle name="常规 6 2 2 2 2 3 2 3 2 2 3" xfId="35227"/>
    <cellStyle name="常规 6 2 2 2 2 3 2 3 2 2 4" xfId="35228"/>
    <cellStyle name="常规 6 2 2 2 2 3 2 3 2 3" xfId="35229"/>
    <cellStyle name="常规 6 2 2 2 2 3 2 3 2 3 2" xfId="35230"/>
    <cellStyle name="常规 6 2 2 2 2 3 2 3 2 4" xfId="35231"/>
    <cellStyle name="常规 6 2 2 2 2 3 2 3 2 5" xfId="35232"/>
    <cellStyle name="常规 6 2 2 2 2 3 2 3 3" xfId="35233"/>
    <cellStyle name="常规 6 2 2 2 2 3 2 3 3 2" xfId="35234"/>
    <cellStyle name="常规 6 2 2 2 2 3 2 3 3 2 2" xfId="35235"/>
    <cellStyle name="常规 6 2 2 2 2 3 2 3 3 3" xfId="3734"/>
    <cellStyle name="常规 6 2 2 2 2 3 2 3 3 4" xfId="6774"/>
    <cellStyle name="常规 6 2 2 2 2 3 2 3 4" xfId="35236"/>
    <cellStyle name="常规 6 2 2 2 2 3 2 3 4 2" xfId="35237"/>
    <cellStyle name="常规 6 2 2 2 2 3 2 3 5" xfId="35238"/>
    <cellStyle name="常规 6 2 2 2 2 3 2 3 6" xfId="35239"/>
    <cellStyle name="常规 6 2 2 2 2 3 2 4" xfId="26435"/>
    <cellStyle name="常规 6 2 2 2 2 3 2 4 2" xfId="26438"/>
    <cellStyle name="常规 6 2 2 2 2 3 2 4 2 2" xfId="26443"/>
    <cellStyle name="常规 6 2 2 2 2 3 2 4 2 2 2" xfId="26445"/>
    <cellStyle name="常规 6 2 2 2 2 3 2 4 2 3" xfId="26447"/>
    <cellStyle name="常规 6 2 2 2 2 3 2 4 2 4" xfId="26449"/>
    <cellStyle name="常规 6 2 2 2 2 3 2 4 3" xfId="13863"/>
    <cellStyle name="常规 6 2 2 2 2 3 2 4 3 2" xfId="26451"/>
    <cellStyle name="常规 6 2 2 2 2 3 2 4 4" xfId="26454"/>
    <cellStyle name="常规 6 2 2 2 2 3 2 4 5" xfId="26456"/>
    <cellStyle name="常规 6 2 2 2 2 3 2 5" xfId="26459"/>
    <cellStyle name="常规 6 2 2 2 2 3 2 5 2" xfId="26462"/>
    <cellStyle name="常规 6 2 2 2 2 3 2 5 2 2" xfId="26464"/>
    <cellStyle name="常规 6 2 2 2 2 3 2 5 3" xfId="26467"/>
    <cellStyle name="常规 6 2 2 2 2 3 2 5 4" xfId="23348"/>
    <cellStyle name="常规 6 2 2 2 2 3 2 6" xfId="26470"/>
    <cellStyle name="常规 6 2 2 2 2 3 2 6 2" xfId="26472"/>
    <cellStyle name="常规 6 2 2 2 2 3 2 7" xfId="26476"/>
    <cellStyle name="常规 6 2 2 2 2 3 2 8" xfId="26480"/>
    <cellStyle name="常规 6 2 2 2 2 3 3" xfId="35240"/>
    <cellStyle name="常规 6 2 2 2 2 3 3 2" xfId="35241"/>
    <cellStyle name="常规 6 2 2 2 2 3 3 2 2" xfId="35242"/>
    <cellStyle name="常规 6 2 2 2 2 3 3 2 2 2" xfId="35243"/>
    <cellStyle name="常规 6 2 2 2 2 3 3 2 2 2 2" xfId="35244"/>
    <cellStyle name="常规 6 2 2 2 2 3 3 2 2 2 2 2" xfId="35245"/>
    <cellStyle name="常规 6 2 2 2 2 3 3 2 2 2 3" xfId="35246"/>
    <cellStyle name="常规 6 2 2 2 2 3 3 2 2 2 4" xfId="35247"/>
    <cellStyle name="常规 6 2 2 2 2 3 3 2 2 3" xfId="35248"/>
    <cellStyle name="常规 6 2 2 2 2 3 3 2 2 3 2" xfId="35249"/>
    <cellStyle name="常规 6 2 2 2 2 3 3 2 2 4" xfId="35250"/>
    <cellStyle name="常规 6 2 2 2 2 3 3 2 2 5" xfId="35251"/>
    <cellStyle name="常规 6 2 2 2 2 3 3 2 3" xfId="35252"/>
    <cellStyle name="常规 6 2 2 2 2 3 3 2 3 2" xfId="35253"/>
    <cellStyle name="常规 6 2 2 2 2 3 3 2 3 2 2" xfId="35254"/>
    <cellStyle name="常规 6 2 2 2 2 3 3 2 3 3" xfId="9140"/>
    <cellStyle name="常规 6 2 2 2 2 3 3 2 3 4" xfId="35255"/>
    <cellStyle name="常规 6 2 2 2 2 3 3 2 4" xfId="35256"/>
    <cellStyle name="常规 6 2 2 2 2 3 3 2 4 2" xfId="35257"/>
    <cellStyle name="常规 6 2 2 2 2 3 3 2 5" xfId="35258"/>
    <cellStyle name="常规 6 2 2 2 2 3 3 2 6" xfId="35259"/>
    <cellStyle name="常规 6 2 2 2 2 3 3 3" xfId="35260"/>
    <cellStyle name="常规 6 2 2 2 2 3 3 3 2" xfId="35261"/>
    <cellStyle name="常规 6 2 2 2 2 3 3 3 2 2" xfId="35262"/>
    <cellStyle name="常规 6 2 2 2 2 3 3 3 2 2 2" xfId="35263"/>
    <cellStyle name="常规 6 2 2 2 2 3 3 3 2 3" xfId="35264"/>
    <cellStyle name="常规 6 2 2 2 2 3 3 3 2 4" xfId="35265"/>
    <cellStyle name="常规 6 2 2 2 2 3 3 3 3" xfId="35266"/>
    <cellStyle name="常规 6 2 2 2 2 3 3 3 3 2" xfId="35267"/>
    <cellStyle name="常规 6 2 2 2 2 3 3 3 4" xfId="35268"/>
    <cellStyle name="常规 6 2 2 2 2 3 3 3 5" xfId="35269"/>
    <cellStyle name="常规 6 2 2 2 2 3 3 4" xfId="26485"/>
    <cellStyle name="常规 6 2 2 2 2 3 3 4 2" xfId="3033"/>
    <cellStyle name="常规 6 2 2 2 2 3 3 4 2 2" xfId="6424"/>
    <cellStyle name="常规 6 2 2 2 2 3 3 4 3" xfId="3965"/>
    <cellStyle name="常规 6 2 2 2 2 3 3 4 4" xfId="3976"/>
    <cellStyle name="常规 6 2 2 2 2 3 3 5" xfId="26488"/>
    <cellStyle name="常规 6 2 2 2 2 3 3 5 2" xfId="6434"/>
    <cellStyle name="常规 6 2 2 2 2 3 3 6" xfId="7899"/>
    <cellStyle name="常规 6 2 2 2 2 3 3 7" xfId="26490"/>
    <cellStyle name="常规 6 2 2 2 2 3 4" xfId="35270"/>
    <cellStyle name="常规 6 2 2 2 2 3 4 2" xfId="35271"/>
    <cellStyle name="常规 6 2 2 2 2 3 4 2 2" xfId="35272"/>
    <cellStyle name="常规 6 2 2 2 2 3 4 2 2 2" xfId="35273"/>
    <cellStyle name="常规 6 2 2 2 2 3 4 2 2 2 2" xfId="35275"/>
    <cellStyle name="常规 6 2 2 2 2 3 4 2 2 3" xfId="35276"/>
    <cellStyle name="常规 6 2 2 2 2 3 4 2 2 4" xfId="35277"/>
    <cellStyle name="常规 6 2 2 2 2 3 4 2 3" xfId="35278"/>
    <cellStyle name="常规 6 2 2 2 2 3 4 2 3 2" xfId="35279"/>
    <cellStyle name="常规 6 2 2 2 2 3 4 2 4" xfId="35280"/>
    <cellStyle name="常规 6 2 2 2 2 3 4 2 5" xfId="35281"/>
    <cellStyle name="常规 6 2 2 2 2 3 4 3" xfId="35282"/>
    <cellStyle name="常规 6 2 2 2 2 3 4 3 2" xfId="35283"/>
    <cellStyle name="常规 6 2 2 2 2 3 4 3 2 2" xfId="35284"/>
    <cellStyle name="常规 6 2 2 2 2 3 4 3 3" xfId="35285"/>
    <cellStyle name="常规 6 2 2 2 2 3 4 3 4" xfId="35286"/>
    <cellStyle name="常规 6 2 2 2 2 3 4 4" xfId="26495"/>
    <cellStyle name="常规 6 2 2 2 2 3 4 4 2" xfId="4227"/>
    <cellStyle name="常规 6 2 2 2 2 3 4 5" xfId="16653"/>
    <cellStyle name="常规 6 2 2 2 2 3 4 6" xfId="16660"/>
    <cellStyle name="常规 6 2 2 2 2 3 5" xfId="35287"/>
    <cellStyle name="常规 6 2 2 2 2 3 5 2" xfId="35288"/>
    <cellStyle name="常规 6 2 2 2 2 3 5 2 2" xfId="35289"/>
    <cellStyle name="常规 6 2 2 2 2 3 5 2 2 2" xfId="35290"/>
    <cellStyle name="常规 6 2 2 2 2 3 5 2 3" xfId="35291"/>
    <cellStyle name="常规 6 2 2 2 2 3 5 2 4" xfId="35292"/>
    <cellStyle name="常规 6 2 2 2 2 3 5 3" xfId="35293"/>
    <cellStyle name="常规 6 2 2 2 2 3 5 3 2" xfId="35294"/>
    <cellStyle name="常规 6 2 2 2 2 3 5 4" xfId="26499"/>
    <cellStyle name="常规 6 2 2 2 2 3 5 5" xfId="35295"/>
    <cellStyle name="常规 6 2 2 2 2 3 6" xfId="35296"/>
    <cellStyle name="常规 6 2 2 2 2 3 6 2" xfId="35297"/>
    <cellStyle name="常规 6 2 2 2 2 3 6 2 2" xfId="35298"/>
    <cellStyle name="常规 6 2 2 2 2 3 6 3" xfId="35299"/>
    <cellStyle name="常规 6 2 2 2 2 3 6 4" xfId="35300"/>
    <cellStyle name="常规 6 2 2 2 2 3 7" xfId="35301"/>
    <cellStyle name="常规 6 2 2 2 2 3 7 2" xfId="35302"/>
    <cellStyle name="常规 6 2 2 2 2 3 8" xfId="35303"/>
    <cellStyle name="常规 6 2 2 2 2 3 9" xfId="35304"/>
    <cellStyle name="常规 6 2 2 2 2 4" xfId="35305"/>
    <cellStyle name="常规 6 2 2 2 2 4 2" xfId="35306"/>
    <cellStyle name="常规 6 2 2 2 2 4 2 2" xfId="35307"/>
    <cellStyle name="常规 6 2 2 2 2 4 2 2 2" xfId="35308"/>
    <cellStyle name="常规 6 2 2 2 2 4 2 2 2 2" xfId="35309"/>
    <cellStyle name="常规 6 2 2 2 2 4 2 2 2 2 2" xfId="35310"/>
    <cellStyle name="常规 6 2 2 2 2 4 2 2 2 2 2 2" xfId="35311"/>
    <cellStyle name="常规 6 2 2 2 2 4 2 2 2 2 2 2 2" xfId="35312"/>
    <cellStyle name="常规 6 2 2 2 2 4 2 2 2 2 2 3" xfId="35313"/>
    <cellStyle name="常规 6 2 2 2 2 4 2 2 2 2 2 4" xfId="35314"/>
    <cellStyle name="常规 6 2 2 2 2 4 2 2 2 2 3" xfId="35315"/>
    <cellStyle name="常规 6 2 2 2 2 4 2 2 2 2 3 2" xfId="35316"/>
    <cellStyle name="常规 6 2 2 2 2 4 2 2 2 2 4" xfId="35317"/>
    <cellStyle name="常规 6 2 2 2 2 4 2 2 2 2 5" xfId="35318"/>
    <cellStyle name="常规 6 2 2 2 2 4 2 2 2 3" xfId="35319"/>
    <cellStyle name="常规 6 2 2 2 2 4 2 2 2 3 2" xfId="35320"/>
    <cellStyle name="常规 6 2 2 2 2 4 2 2 2 3 2 2" xfId="35321"/>
    <cellStyle name="常规 6 2 2 2 2 4 2 2 2 3 3" xfId="35322"/>
    <cellStyle name="常规 6 2 2 2 2 4 2 2 2 3 4" xfId="35323"/>
    <cellStyle name="常规 6 2 2 2 2 4 2 2 2 4" xfId="9837"/>
    <cellStyle name="常规 6 2 2 2 2 4 2 2 2 4 2" xfId="11827"/>
    <cellStyle name="常规 6 2 2 2 2 4 2 2 2 5" xfId="11829"/>
    <cellStyle name="常规 6 2 2 2 2 4 2 2 2 6" xfId="11831"/>
    <cellStyle name="常规 6 2 2 2 2 4 2 2 3" xfId="13956"/>
    <cellStyle name="常规 6 2 2 2 2 4 2 2 3 2" xfId="35324"/>
    <cellStyle name="常规 6 2 2 2 2 4 2 2 3 2 2" xfId="35325"/>
    <cellStyle name="常规 6 2 2 2 2 4 2 2 3 2 2 2" xfId="35326"/>
    <cellStyle name="常规 6 2 2 2 2 4 2 2 3 2 3" xfId="35327"/>
    <cellStyle name="常规 6 2 2 2 2 4 2 2 3 2 4" xfId="35328"/>
    <cellStyle name="常规 6 2 2 2 2 4 2 2 3 3" xfId="35329"/>
    <cellStyle name="常规 6 2 2 2 2 4 2 2 3 3 2" xfId="35330"/>
    <cellStyle name="常规 6 2 2 2 2 4 2 2 3 4" xfId="11835"/>
    <cellStyle name="常规 6 2 2 2 2 4 2 2 3 5" xfId="35331"/>
    <cellStyle name="常规 6 2 2 2 2 4 2 2 4" xfId="35332"/>
    <cellStyle name="常规 6 2 2 2 2 4 2 2 4 2" xfId="35333"/>
    <cellStyle name="常规 6 2 2 2 2 4 2 2 4 2 2" xfId="35334"/>
    <cellStyle name="常规 6 2 2 2 2 4 2 2 4 3" xfId="35335"/>
    <cellStyle name="常规 6 2 2 2 2 4 2 2 4 4" xfId="35336"/>
    <cellStyle name="常规 6 2 2 2 2 4 2 2 5" xfId="35337"/>
    <cellStyle name="常规 6 2 2 2 2 4 2 2 5 2" xfId="35338"/>
    <cellStyle name="常规 6 2 2 2 2 4 2 2 6" xfId="35339"/>
    <cellStyle name="常规 6 2 2 2 2 4 2 2 7" xfId="35340"/>
    <cellStyle name="常规 6 2 2 2 2 4 2 3" xfId="35341"/>
    <cellStyle name="常规 6 2 2 2 2 4 2 3 2" xfId="35342"/>
    <cellStyle name="常规 6 2 2 2 2 4 2 3 2 2" xfId="35343"/>
    <cellStyle name="常规 6 2 2 2 2 4 2 3 2 2 2" xfId="35344"/>
    <cellStyle name="常规 6 2 2 2 2 4 2 3 2 2 2 2" xfId="35345"/>
    <cellStyle name="常规 6 2 2 2 2 4 2 3 2 2 3" xfId="35346"/>
    <cellStyle name="常规 6 2 2 2 2 4 2 3 2 2 4" xfId="35347"/>
    <cellStyle name="常规 6 2 2 2 2 4 2 3 2 3" xfId="35348"/>
    <cellStyle name="常规 6 2 2 2 2 4 2 3 2 3 2" xfId="35349"/>
    <cellStyle name="常规 6 2 2 2 2 4 2 3 2 4" xfId="11841"/>
    <cellStyle name="常规 6 2 2 2 2 4 2 3 2 5" xfId="35350"/>
    <cellStyle name="常规 6 2 2 2 2 4 2 3 3" xfId="35351"/>
    <cellStyle name="常规 6 2 2 2 2 4 2 3 3 2" xfId="35352"/>
    <cellStyle name="常规 6 2 2 2 2 4 2 3 3 2 2" xfId="35353"/>
    <cellStyle name="常规 6 2 2 2 2 4 2 3 3 3" xfId="7738"/>
    <cellStyle name="常规 6 2 2 2 2 4 2 3 3 4" xfId="7781"/>
    <cellStyle name="常规 6 2 2 2 2 4 2 3 4" xfId="35354"/>
    <cellStyle name="常规 6 2 2 2 2 4 2 3 4 2" xfId="35355"/>
    <cellStyle name="常规 6 2 2 2 2 4 2 3 5" xfId="35356"/>
    <cellStyle name="常规 6 2 2 2 2 4 2 3 6" xfId="35357"/>
    <cellStyle name="常规 6 2 2 2 2 4 2 4" xfId="26506"/>
    <cellStyle name="常规 6 2 2 2 2 4 2 4 2" xfId="26510"/>
    <cellStyle name="常规 6 2 2 2 2 4 2 4 2 2" xfId="9930"/>
    <cellStyle name="常规 6 2 2 2 2 4 2 4 2 2 2" xfId="35358"/>
    <cellStyle name="常规 6 2 2 2 2 4 2 4 2 3" xfId="35359"/>
    <cellStyle name="常规 6 2 2 2 2 4 2 4 2 4" xfId="35360"/>
    <cellStyle name="常规 6 2 2 2 2 4 2 4 3" xfId="26513"/>
    <cellStyle name="常规 6 2 2 2 2 4 2 4 3 2" xfId="35361"/>
    <cellStyle name="常规 6 2 2 2 2 4 2 4 4" xfId="26515"/>
    <cellStyle name="常规 6 2 2 2 2 4 2 4 5" xfId="35362"/>
    <cellStyle name="常规 6 2 2 2 2 4 2 5" xfId="26518"/>
    <cellStyle name="常规 6 2 2 2 2 4 2 5 2" xfId="26520"/>
    <cellStyle name="常规 6 2 2 2 2 4 2 5 2 2" xfId="35363"/>
    <cellStyle name="常规 6 2 2 2 2 4 2 5 3" xfId="35364"/>
    <cellStyle name="常规 6 2 2 2 2 4 2 5 4" xfId="35365"/>
    <cellStyle name="常规 6 2 2 2 2 4 2 6" xfId="26523"/>
    <cellStyle name="常规 6 2 2 2 2 4 2 6 2" xfId="33333"/>
    <cellStyle name="常规 6 2 2 2 2 4 2 7" xfId="26525"/>
    <cellStyle name="常规 6 2 2 2 2 4 2 8" xfId="35366"/>
    <cellStyle name="常规 6 2 2 2 2 4 3" xfId="35367"/>
    <cellStyle name="常规 6 2 2 2 2 4 3 2" xfId="35368"/>
    <cellStyle name="常规 6 2 2 2 2 4 3 2 2" xfId="35369"/>
    <cellStyle name="常规 6 2 2 2 2 4 3 2 2 2" xfId="35370"/>
    <cellStyle name="常规 6 2 2 2 2 4 3 2 2 2 2" xfId="35371"/>
    <cellStyle name="常规 6 2 2 2 2 4 3 2 2 2 2 2" xfId="35372"/>
    <cellStyle name="常规 6 2 2 2 2 4 3 2 2 2 3" xfId="35373"/>
    <cellStyle name="常规 6 2 2 2 2 4 3 2 2 2 4" xfId="35374"/>
    <cellStyle name="常规 6 2 2 2 2 4 3 2 2 3" xfId="35375"/>
    <cellStyle name="常规 6 2 2 2 2 4 3 2 2 3 2" xfId="35376"/>
    <cellStyle name="常规 6 2 2 2 2 4 3 2 2 4" xfId="10047"/>
    <cellStyle name="常规 6 2 2 2 2 4 3 2 2 5" xfId="35377"/>
    <cellStyle name="常规 6 2 2 2 2 4 3 2 3" xfId="35378"/>
    <cellStyle name="常规 6 2 2 2 2 4 3 2 3 2" xfId="35379"/>
    <cellStyle name="常规 6 2 2 2 2 4 3 2 3 2 2" xfId="35380"/>
    <cellStyle name="常规 6 2 2 2 2 4 3 2 3 3" xfId="35381"/>
    <cellStyle name="常规 6 2 2 2 2 4 3 2 3 4" xfId="35382"/>
    <cellStyle name="常规 6 2 2 2 2 4 3 2 4" xfId="35383"/>
    <cellStyle name="常规 6 2 2 2 2 4 3 2 4 2" xfId="35384"/>
    <cellStyle name="常规 6 2 2 2 2 4 3 2 5" xfId="35385"/>
    <cellStyle name="常规 6 2 2 2 2 4 3 2 6" xfId="35386"/>
    <cellStyle name="常规 6 2 2 2 2 4 3 3" xfId="35387"/>
    <cellStyle name="常规 6 2 2 2 2 4 3 3 2" xfId="35388"/>
    <cellStyle name="常规 6 2 2 2 2 4 3 3 2 2" xfId="35389"/>
    <cellStyle name="常规 6 2 2 2 2 4 3 3 2 2 2" xfId="35390"/>
    <cellStyle name="常规 6 2 2 2 2 4 3 3 2 3" xfId="35391"/>
    <cellStyle name="常规 6 2 2 2 2 4 3 3 2 4" xfId="35392"/>
    <cellStyle name="常规 6 2 2 2 2 4 3 3 3" xfId="35393"/>
    <cellStyle name="常规 6 2 2 2 2 4 3 3 3 2" xfId="35394"/>
    <cellStyle name="常规 6 2 2 2 2 4 3 3 4" xfId="35395"/>
    <cellStyle name="常规 6 2 2 2 2 4 3 3 5" xfId="35396"/>
    <cellStyle name="常规 6 2 2 2 2 4 3 4" xfId="14004"/>
    <cellStyle name="常规 6 2 2 2 2 4 3 4 2" xfId="5275"/>
    <cellStyle name="常规 6 2 2 2 2 4 3 4 2 2" xfId="35397"/>
    <cellStyle name="常规 6 2 2 2 2 4 3 4 3" xfId="35398"/>
    <cellStyle name="常规 6 2 2 2 2 4 3 4 4" xfId="35399"/>
    <cellStyle name="常规 6 2 2 2 2 4 3 5" xfId="14007"/>
    <cellStyle name="常规 6 2 2 2 2 4 3 5 2" xfId="35400"/>
    <cellStyle name="常规 6 2 2 2 2 4 3 6" xfId="14010"/>
    <cellStyle name="常规 6 2 2 2 2 4 3 7" xfId="35401"/>
    <cellStyle name="常规 6 2 2 2 2 4 4" xfId="35402"/>
    <cellStyle name="常规 6 2 2 2 2 4 4 2" xfId="35403"/>
    <cellStyle name="常规 6 2 2 2 2 4 4 2 2" xfId="35404"/>
    <cellStyle name="常规 6 2 2 2 2 4 4 2 2 2" xfId="35405"/>
    <cellStyle name="常规 6 2 2 2 2 4 4 2 2 2 2" xfId="35406"/>
    <cellStyle name="常规 6 2 2 2 2 4 4 2 2 3" xfId="35407"/>
    <cellStyle name="常规 6 2 2 2 2 4 4 2 2 4" xfId="35408"/>
    <cellStyle name="常规 6 2 2 2 2 4 4 2 3" xfId="35409"/>
    <cellStyle name="常规 6 2 2 2 2 4 4 2 3 2" xfId="35410"/>
    <cellStyle name="常规 6 2 2 2 2 4 4 2 4" xfId="35411"/>
    <cellStyle name="常规 6 2 2 2 2 4 4 2 5" xfId="35412"/>
    <cellStyle name="常规 6 2 2 2 2 4 4 3" xfId="35413"/>
    <cellStyle name="常规 6 2 2 2 2 4 4 3 2" xfId="35414"/>
    <cellStyle name="常规 6 2 2 2 2 4 4 3 2 2" xfId="35415"/>
    <cellStyle name="常规 6 2 2 2 2 4 4 3 3" xfId="35416"/>
    <cellStyle name="常规 6 2 2 2 2 4 4 3 4" xfId="35417"/>
    <cellStyle name="常规 6 2 2 2 2 4 4 4" xfId="14017"/>
    <cellStyle name="常规 6 2 2 2 2 4 4 4 2" xfId="35418"/>
    <cellStyle name="常规 6 2 2 2 2 4 4 5" xfId="35419"/>
    <cellStyle name="常规 6 2 2 2 2 4 4 6" xfId="35420"/>
    <cellStyle name="常规 6 2 2 2 2 4 5" xfId="35421"/>
    <cellStyle name="常规 6 2 2 2 2 4 5 2" xfId="35422"/>
    <cellStyle name="常规 6 2 2 2 2 4 5 2 2" xfId="35423"/>
    <cellStyle name="常规 6 2 2 2 2 4 5 2 2 2" xfId="35424"/>
    <cellStyle name="常规 6 2 2 2 2 4 5 2 3" xfId="35425"/>
    <cellStyle name="常规 6 2 2 2 2 4 5 2 4" xfId="35426"/>
    <cellStyle name="常规 6 2 2 2 2 4 5 3" xfId="35427"/>
    <cellStyle name="常规 6 2 2 2 2 4 5 3 2" xfId="35428"/>
    <cellStyle name="常规 6 2 2 2 2 4 5 4" xfId="29053"/>
    <cellStyle name="常规 6 2 2 2 2 4 5 5" xfId="35429"/>
    <cellStyle name="常规 6 2 2 2 2 4 6" xfId="35430"/>
    <cellStyle name="常规 6 2 2 2 2 4 6 2" xfId="35431"/>
    <cellStyle name="常规 6 2 2 2 2 4 6 2 2" xfId="35432"/>
    <cellStyle name="常规 6 2 2 2 2 4 6 3" xfId="35433"/>
    <cellStyle name="常规 6 2 2 2 2 4 6 4" xfId="35434"/>
    <cellStyle name="常规 6 2 2 2 2 4 7" xfId="35435"/>
    <cellStyle name="常规 6 2 2 2 2 4 7 2" xfId="35436"/>
    <cellStyle name="常规 6 2 2 2 2 4 8" xfId="30419"/>
    <cellStyle name="常规 6 2 2 2 2 4 9" xfId="30427"/>
    <cellStyle name="常规 6 2 2 2 2 5" xfId="35437"/>
    <cellStyle name="常规 6 2 2 2 2 5 2" xfId="35438"/>
    <cellStyle name="常规 6 2 2 2 2 5 2 2" xfId="35439"/>
    <cellStyle name="常规 6 2 2 2 2 5 2 2 2" xfId="35440"/>
    <cellStyle name="常规 6 2 2 2 2 5 2 2 2 2" xfId="35441"/>
    <cellStyle name="常规 6 2 2 2 2 5 2 2 2 2 2" xfId="35442"/>
    <cellStyle name="常规 6 2 2 2 2 5 2 2 2 2 2 2" xfId="35443"/>
    <cellStyle name="常规 6 2 2 2 2 5 2 2 2 2 3" xfId="35444"/>
    <cellStyle name="常规 6 2 2 2 2 5 2 2 2 2 4" xfId="35445"/>
    <cellStyle name="常规 6 2 2 2 2 5 2 2 2 3" xfId="35446"/>
    <cellStyle name="常规 6 2 2 2 2 5 2 2 2 3 2" xfId="35447"/>
    <cellStyle name="常规 6 2 2 2 2 5 2 2 2 4" xfId="11901"/>
    <cellStyle name="常规 6 2 2 2 2 5 2 2 2 5" xfId="35448"/>
    <cellStyle name="常规 6 2 2 2 2 5 2 2 3" xfId="35449"/>
    <cellStyle name="常规 6 2 2 2 2 5 2 2 3 2" xfId="6543"/>
    <cellStyle name="常规 6 2 2 2 2 5 2 2 3 2 2" xfId="35450"/>
    <cellStyle name="常规 6 2 2 2 2 5 2 2 3 3" xfId="16025"/>
    <cellStyle name="常规 6 2 2 2 2 5 2 2 3 4" xfId="35451"/>
    <cellStyle name="常规 6 2 2 2 2 5 2 2 4" xfId="35452"/>
    <cellStyle name="常规 6 2 2 2 2 5 2 2 4 2" xfId="16031"/>
    <cellStyle name="常规 6 2 2 2 2 5 2 2 5" xfId="35453"/>
    <cellStyle name="常规 6 2 2 2 2 5 2 2 6" xfId="35454"/>
    <cellStyle name="常规 6 2 2 2 2 5 2 3" xfId="35455"/>
    <cellStyle name="常规 6 2 2 2 2 5 2 3 2" xfId="35456"/>
    <cellStyle name="常规 6 2 2 2 2 5 2 3 2 2" xfId="35457"/>
    <cellStyle name="常规 6 2 2 2 2 5 2 3 2 2 2" xfId="35458"/>
    <cellStyle name="常规 6 2 2 2 2 5 2 3 2 3" xfId="35459"/>
    <cellStyle name="常规 6 2 2 2 2 5 2 3 2 4" xfId="35460"/>
    <cellStyle name="常规 6 2 2 2 2 5 2 3 3" xfId="35461"/>
    <cellStyle name="常规 6 2 2 2 2 5 2 3 3 2" xfId="16035"/>
    <cellStyle name="常规 6 2 2 2 2 5 2 3 4" xfId="35462"/>
    <cellStyle name="常规 6 2 2 2 2 5 2 3 5" xfId="35463"/>
    <cellStyle name="常规 6 2 2 2 2 5 2 4" xfId="26530"/>
    <cellStyle name="常规 6 2 2 2 2 5 2 4 2" xfId="26532"/>
    <cellStyle name="常规 6 2 2 2 2 5 2 4 2 2" xfId="35464"/>
    <cellStyle name="常规 6 2 2 2 2 5 2 4 3" xfId="35465"/>
    <cellStyle name="常规 6 2 2 2 2 5 2 4 4" xfId="35466"/>
    <cellStyle name="常规 6 2 2 2 2 5 2 5" xfId="26534"/>
    <cellStyle name="常规 6 2 2 2 2 5 2 5 2" xfId="35467"/>
    <cellStyle name="常规 6 2 2 2 2 5 2 6" xfId="26536"/>
    <cellStyle name="常规 6 2 2 2 2 5 2 7" xfId="35468"/>
    <cellStyle name="常规 6 2 2 2 2 5 3" xfId="35469"/>
    <cellStyle name="常规 6 2 2 2 2 5 3 2" xfId="35470"/>
    <cellStyle name="常规 6 2 2 2 2 5 3 2 2" xfId="35471"/>
    <cellStyle name="常规 6 2 2 2 2 5 3 2 2 2" xfId="35472"/>
    <cellStyle name="常规 6 2 2 2 2 5 3 2 2 2 2" xfId="35473"/>
    <cellStyle name="常规 6 2 2 2 2 5 3 2 2 3" xfId="35474"/>
    <cellStyle name="常规 6 2 2 2 2 5 3 2 2 4" xfId="35475"/>
    <cellStyle name="常规 6 2 2 2 2 5 3 2 3" xfId="35476"/>
    <cellStyle name="常规 6 2 2 2 2 5 3 2 3 2" xfId="16052"/>
    <cellStyle name="常规 6 2 2 2 2 5 3 2 4" xfId="35477"/>
    <cellStyle name="常规 6 2 2 2 2 5 3 2 5" xfId="35478"/>
    <cellStyle name="常规 6 2 2 2 2 5 3 3" xfId="35479"/>
    <cellStyle name="常规 6 2 2 2 2 5 3 3 2" xfId="35480"/>
    <cellStyle name="常规 6 2 2 2 2 5 3 3 2 2" xfId="35481"/>
    <cellStyle name="常规 6 2 2 2 2 5 3 3 3" xfId="35482"/>
    <cellStyle name="常规 6 2 2 2 2 5 3 3 4" xfId="35483"/>
    <cellStyle name="常规 6 2 2 2 2 5 3 4" xfId="14036"/>
    <cellStyle name="常规 6 2 2 2 2 5 3 4 2" xfId="35484"/>
    <cellStyle name="常规 6 2 2 2 2 5 3 5" xfId="35485"/>
    <cellStyle name="常规 6 2 2 2 2 5 3 6" xfId="35486"/>
    <cellStyle name="常规 6 2 2 2 2 5 4" xfId="35487"/>
    <cellStyle name="常规 6 2 2 2 2 5 4 2" xfId="35488"/>
    <cellStyle name="常规 6 2 2 2 2 5 4 2 2" xfId="35489"/>
    <cellStyle name="常规 6 2 2 2 2 5 4 2 2 2" xfId="35490"/>
    <cellStyle name="常规 6 2 2 2 2 5 4 2 3" xfId="35491"/>
    <cellStyle name="常规 6 2 2 2 2 5 4 2 4" xfId="35492"/>
    <cellStyle name="常规 6 2 2 2 2 5 4 3" xfId="35493"/>
    <cellStyle name="常规 6 2 2 2 2 5 4 3 2" xfId="35494"/>
    <cellStyle name="常规 6 2 2 2 2 5 4 4" xfId="35495"/>
    <cellStyle name="常规 6 2 2 2 2 5 4 5" xfId="35496"/>
    <cellStyle name="常规 6 2 2 2 2 5 5" xfId="35497"/>
    <cellStyle name="常规 6 2 2 2 2 5 5 2" xfId="35498"/>
    <cellStyle name="常规 6 2 2 2 2 5 5 2 2" xfId="35499"/>
    <cellStyle name="常规 6 2 2 2 2 5 5 3" xfId="35500"/>
    <cellStyle name="常规 6 2 2 2 2 5 5 4" xfId="35501"/>
    <cellStyle name="常规 6 2 2 2 2 5 6" xfId="35503"/>
    <cellStyle name="常规 6 2 2 2 2 5 6 2" xfId="35505"/>
    <cellStyle name="常规 6 2 2 2 2 5 7" xfId="22561"/>
    <cellStyle name="常规 6 2 2 2 2 5 8" xfId="30436"/>
    <cellStyle name="常规 6 2 2 2 2 6" xfId="35506"/>
    <cellStyle name="常规 6 2 2 2 2 6 2" xfId="35507"/>
    <cellStyle name="常规 6 2 2 2 2 6 2 2" xfId="35508"/>
    <cellStyle name="常规 6 2 2 2 2 6 2 2 2" xfId="35509"/>
    <cellStyle name="常规 6 2 2 2 2 6 2 2 2 2" xfId="35510"/>
    <cellStyle name="常规 6 2 2 2 2 6 2 2 2 2 2" xfId="35511"/>
    <cellStyle name="常规 6 2 2 2 2 6 2 2 2 3" xfId="35512"/>
    <cellStyle name="常规 6 2 2 2 2 6 2 2 2 4" xfId="35513"/>
    <cellStyle name="常规 6 2 2 2 2 6 2 2 3" xfId="35514"/>
    <cellStyle name="常规 6 2 2 2 2 6 2 2 3 2" xfId="10762"/>
    <cellStyle name="常规 6 2 2 2 2 6 2 2 4" xfId="35515"/>
    <cellStyle name="常规 6 2 2 2 2 6 2 2 5" xfId="35516"/>
    <cellStyle name="常规 6 2 2 2 2 6 2 3" xfId="35517"/>
    <cellStyle name="常规 6 2 2 2 2 6 2 3 2" xfId="35518"/>
    <cellStyle name="常规 6 2 2 2 2 6 2 3 2 2" xfId="35519"/>
    <cellStyle name="常规 6 2 2 2 2 6 2 3 3" xfId="35520"/>
    <cellStyle name="常规 6 2 2 2 2 6 2 3 4" xfId="35521"/>
    <cellStyle name="常规 6 2 2 2 2 6 2 4" xfId="26540"/>
    <cellStyle name="常规 6 2 2 2 2 6 2 4 2" xfId="35522"/>
    <cellStyle name="常规 6 2 2 2 2 6 2 5" xfId="35523"/>
    <cellStyle name="常规 6 2 2 2 2 6 2 6" xfId="35524"/>
    <cellStyle name="常规 6 2 2 2 2 6 3" xfId="35525"/>
    <cellStyle name="常规 6 2 2 2 2 6 3 2" xfId="35526"/>
    <cellStyle name="常规 6 2 2 2 2 6 3 2 2" xfId="35527"/>
    <cellStyle name="常规 6 2 2 2 2 6 3 2 2 2" xfId="35528"/>
    <cellStyle name="常规 6 2 2 2 2 6 3 2 3" xfId="35529"/>
    <cellStyle name="常规 6 2 2 2 2 6 3 2 4" xfId="35530"/>
    <cellStyle name="常规 6 2 2 2 2 6 3 3" xfId="35531"/>
    <cellStyle name="常规 6 2 2 2 2 6 3 3 2" xfId="35532"/>
    <cellStyle name="常规 6 2 2 2 2 6 3 4" xfId="35533"/>
    <cellStyle name="常规 6 2 2 2 2 6 3 5" xfId="35534"/>
    <cellStyle name="常规 6 2 2 2 2 6 4" xfId="35535"/>
    <cellStyle name="常规 6 2 2 2 2 6 4 2" xfId="35536"/>
    <cellStyle name="常规 6 2 2 2 2 6 4 2 2" xfId="35537"/>
    <cellStyle name="常规 6 2 2 2 2 6 4 3" xfId="35538"/>
    <cellStyle name="常规 6 2 2 2 2 6 4 4" xfId="35539"/>
    <cellStyle name="常规 6 2 2 2 2 6 5" xfId="35540"/>
    <cellStyle name="常规 6 2 2 2 2 6 5 2" xfId="35541"/>
    <cellStyle name="常规 6 2 2 2 2 6 6" xfId="35543"/>
    <cellStyle name="常规 6 2 2 2 2 6 7" xfId="35544"/>
    <cellStyle name="常规 6 2 2 2 2 7" xfId="35545"/>
    <cellStyle name="常规 6 2 2 2 2 7 2" xfId="35546"/>
    <cellStyle name="常规 6 2 2 2 2 7 2 2" xfId="35547"/>
    <cellStyle name="常规 6 2 2 2 2 7 2 2 2" xfId="35548"/>
    <cellStyle name="常规 6 2 2 2 2 7 2 2 2 2" xfId="35549"/>
    <cellStyle name="常规 6 2 2 2 2 7 2 2 3" xfId="35550"/>
    <cellStyle name="常规 6 2 2 2 2 7 2 2 4" xfId="35551"/>
    <cellStyle name="常规 6 2 2 2 2 7 2 3" xfId="35552"/>
    <cellStyle name="常规 6 2 2 2 2 7 2 3 2" xfId="35553"/>
    <cellStyle name="常规 6 2 2 2 2 7 2 4" xfId="35554"/>
    <cellStyle name="常规 6 2 2 2 2 7 2 5" xfId="35555"/>
    <cellStyle name="常规 6 2 2 2 2 7 3" xfId="35556"/>
    <cellStyle name="常规 6 2 2 2 2 7 3 2" xfId="35557"/>
    <cellStyle name="常规 6 2 2 2 2 7 3 2 2" xfId="35558"/>
    <cellStyle name="常规 6 2 2 2 2 7 3 3" xfId="35559"/>
    <cellStyle name="常规 6 2 2 2 2 7 3 4" xfId="35560"/>
    <cellStyle name="常规 6 2 2 2 2 7 4" xfId="35561"/>
    <cellStyle name="常规 6 2 2 2 2 7 4 2" xfId="35562"/>
    <cellStyle name="常规 6 2 2 2 2 7 5" xfId="35563"/>
    <cellStyle name="常规 6 2 2 2 2 7 6" xfId="35564"/>
    <cellStyle name="常规 6 2 2 2 2 8" xfId="35565"/>
    <cellStyle name="常规 6 2 2 2 2 8 2" xfId="35566"/>
    <cellStyle name="常规 6 2 2 2 2 8 2 2" xfId="35567"/>
    <cellStyle name="常规 6 2 2 2 2 8 2 2 2" xfId="35568"/>
    <cellStyle name="常规 6 2 2 2 2 8 2 3" xfId="35569"/>
    <cellStyle name="常规 6 2 2 2 2 8 2 4" xfId="35570"/>
    <cellStyle name="常规 6 2 2 2 2 8 3" xfId="35571"/>
    <cellStyle name="常规 6 2 2 2 2 8 3 2" xfId="35572"/>
    <cellStyle name="常规 6 2 2 2 2 8 4" xfId="35573"/>
    <cellStyle name="常规 6 2 2 2 2 8 5" xfId="35574"/>
    <cellStyle name="常规 6 2 2 2 2 9" xfId="35575"/>
    <cellStyle name="常规 6 2 2 2 2 9 2" xfId="35576"/>
    <cellStyle name="常规 6 2 2 2 2 9 2 2" xfId="35577"/>
    <cellStyle name="常规 6 2 2 2 2 9 3" xfId="35578"/>
    <cellStyle name="常规 6 2 2 2 2 9 4" xfId="35579"/>
    <cellStyle name="常规 6 2 2 2 3" xfId="35580"/>
    <cellStyle name="常规 6 2 2 2 3 10" xfId="35581"/>
    <cellStyle name="常规 6 2 2 2 3 11" xfId="35582"/>
    <cellStyle name="常规 6 2 2 2 3 2" xfId="35583"/>
    <cellStyle name="常规 6 2 2 2 3 2 2" xfId="35584"/>
    <cellStyle name="常规 6 2 2 2 3 2 2 2" xfId="35585"/>
    <cellStyle name="常规 6 2 2 2 3 2 2 2 2" xfId="35586"/>
    <cellStyle name="常规 6 2 2 2 3 2 2 2 2 2" xfId="35587"/>
    <cellStyle name="常规 6 2 2 2 3 2 2 2 2 2 2" xfId="35588"/>
    <cellStyle name="常规 6 2 2 2 3 2 2 2 2 2 2 2" xfId="35589"/>
    <cellStyle name="常规 6 2 2 2 3 2 2 2 2 2 2 2 2" xfId="35590"/>
    <cellStyle name="常规 6 2 2 2 3 2 2 2 2 2 2 3" xfId="35591"/>
    <cellStyle name="常规 6 2 2 2 3 2 2 2 2 2 2 4" xfId="35592"/>
    <cellStyle name="常规 6 2 2 2 3 2 2 2 2 2 3" xfId="35593"/>
    <cellStyle name="常规 6 2 2 2 3 2 2 2 2 2 3 2" xfId="35594"/>
    <cellStyle name="常规 6 2 2 2 3 2 2 2 2 2 4" xfId="35595"/>
    <cellStyle name="常规 6 2 2 2 3 2 2 2 2 2 5" xfId="35596"/>
    <cellStyle name="常规 6 2 2 2 3 2 2 2 2 3" xfId="35597"/>
    <cellStyle name="常规 6 2 2 2 3 2 2 2 2 3 2" xfId="35598"/>
    <cellStyle name="常规 6 2 2 2 3 2 2 2 2 3 2 2" xfId="35599"/>
    <cellStyle name="常规 6 2 2 2 3 2 2 2 2 3 3" xfId="35600"/>
    <cellStyle name="常规 6 2 2 2 3 2 2 2 2 3 4" xfId="35601"/>
    <cellStyle name="常规 6 2 2 2 3 2 2 2 2 4" xfId="35602"/>
    <cellStyle name="常规 6 2 2 2 3 2 2 2 2 4 2" xfId="35603"/>
    <cellStyle name="常规 6 2 2 2 3 2 2 2 2 5" xfId="35604"/>
    <cellStyle name="常规 6 2 2 2 3 2 2 2 2 6" xfId="35605"/>
    <cellStyle name="常规 6 2 2 2 3 2 2 2 3" xfId="35606"/>
    <cellStyle name="常规 6 2 2 2 3 2 2 2 3 2" xfId="35607"/>
    <cellStyle name="常规 6 2 2 2 3 2 2 2 3 2 2" xfId="35608"/>
    <cellStyle name="常规 6 2 2 2 3 2 2 2 3 2 2 2" xfId="35609"/>
    <cellStyle name="常规 6 2 2 2 3 2 2 2 3 2 3" xfId="35610"/>
    <cellStyle name="常规 6 2 2 2 3 2 2 2 3 2 4" xfId="35611"/>
    <cellStyle name="常规 6 2 2 2 3 2 2 2 3 3" xfId="35612"/>
    <cellStyle name="常规 6 2 2 2 3 2 2 2 3 3 2" xfId="35613"/>
    <cellStyle name="常规 6 2 2 2 3 2 2 2 3 4" xfId="35614"/>
    <cellStyle name="常规 6 2 2 2 3 2 2 2 3 5" xfId="35615"/>
    <cellStyle name="常规 6 2 2 2 3 2 2 2 4" xfId="35616"/>
    <cellStyle name="常规 6 2 2 2 3 2 2 2 4 2" xfId="35617"/>
    <cellStyle name="常规 6 2 2 2 3 2 2 2 4 2 2" xfId="35618"/>
    <cellStyle name="常规 6 2 2 2 3 2 2 2 4 3" xfId="35619"/>
    <cellStyle name="常规 6 2 2 2 3 2 2 2 4 4" xfId="35620"/>
    <cellStyle name="常规 6 2 2 2 3 2 2 2 5" xfId="35621"/>
    <cellStyle name="常规 6 2 2 2 3 2 2 2 5 2" xfId="35622"/>
    <cellStyle name="常规 6 2 2 2 3 2 2 2 6" xfId="35623"/>
    <cellStyle name="常规 6 2 2 2 3 2 2 2 7" xfId="31415"/>
    <cellStyle name="常规 6 2 2 2 3 2 2 3" xfId="35624"/>
    <cellStyle name="常规 6 2 2 2 3 2 2 3 2" xfId="35625"/>
    <cellStyle name="常规 6 2 2 2 3 2 2 3 2 2" xfId="35626"/>
    <cellStyle name="常规 6 2 2 2 3 2 2 3 2 2 2" xfId="35627"/>
    <cellStyle name="常规 6 2 2 2 3 2 2 3 2 2 2 2" xfId="35628"/>
    <cellStyle name="常规 6 2 2 2 3 2 2 3 2 2 3" xfId="35629"/>
    <cellStyle name="常规 6 2 2 2 3 2 2 3 2 2 4" xfId="35630"/>
    <cellStyle name="常规 6 2 2 2 3 2 2 3 2 3" xfId="35631"/>
    <cellStyle name="常规 6 2 2 2 3 2 2 3 2 3 2" xfId="35632"/>
    <cellStyle name="常规 6 2 2 2 3 2 2 3 2 4" xfId="35633"/>
    <cellStyle name="常规 6 2 2 2 3 2 2 3 2 5" xfId="35634"/>
    <cellStyle name="常规 6 2 2 2 3 2 2 3 3" xfId="35635"/>
    <cellStyle name="常规 6 2 2 2 3 2 2 3 3 2" xfId="35636"/>
    <cellStyle name="常规 6 2 2 2 3 2 2 3 3 2 2" xfId="35637"/>
    <cellStyle name="常规 6 2 2 2 3 2 2 3 3 3" xfId="35638"/>
    <cellStyle name="常规 6 2 2 2 3 2 2 3 3 4" xfId="35639"/>
    <cellStyle name="常规 6 2 2 2 3 2 2 3 4" xfId="35640"/>
    <cellStyle name="常规 6 2 2 2 3 2 2 3 4 2" xfId="35641"/>
    <cellStyle name="常规 6 2 2 2 3 2 2 3 5" xfId="35642"/>
    <cellStyle name="常规 6 2 2 2 3 2 2 3 6" xfId="35643"/>
    <cellStyle name="常规 6 2 2 2 3 2 2 4" xfId="24250"/>
    <cellStyle name="常规 6 2 2 2 3 2 2 4 2" xfId="26829"/>
    <cellStyle name="常规 6 2 2 2 3 2 2 4 2 2" xfId="26832"/>
    <cellStyle name="常规 6 2 2 2 3 2 2 4 2 2 2" xfId="35644"/>
    <cellStyle name="常规 6 2 2 2 3 2 2 4 2 3" xfId="35645"/>
    <cellStyle name="常规 6 2 2 2 3 2 2 4 2 4" xfId="35646"/>
    <cellStyle name="常规 6 2 2 2 3 2 2 4 3" xfId="26834"/>
    <cellStyle name="常规 6 2 2 2 3 2 2 4 3 2" xfId="35647"/>
    <cellStyle name="常规 6 2 2 2 3 2 2 4 4" xfId="26840"/>
    <cellStyle name="常规 6 2 2 2 3 2 2 4 5" xfId="35648"/>
    <cellStyle name="常规 6 2 2 2 3 2 2 5" xfId="24254"/>
    <cellStyle name="常规 6 2 2 2 3 2 2 5 2" xfId="26844"/>
    <cellStyle name="常规 6 2 2 2 3 2 2 5 2 2" xfId="35649"/>
    <cellStyle name="常规 6 2 2 2 3 2 2 5 3" xfId="35650"/>
    <cellStyle name="常规 6 2 2 2 3 2 2 5 4" xfId="35651"/>
    <cellStyle name="常规 6 2 2 2 3 2 2 6" xfId="26850"/>
    <cellStyle name="常规 6 2 2 2 3 2 2 6 2" xfId="35652"/>
    <cellStyle name="常规 6 2 2 2 3 2 2 7" xfId="26854"/>
    <cellStyle name="常规 6 2 2 2 3 2 2 8" xfId="35653"/>
    <cellStyle name="常规 6 2 2 2 3 2 3" xfId="25652"/>
    <cellStyle name="常规 6 2 2 2 3 2 3 2" xfId="25654"/>
    <cellStyle name="常规 6 2 2 2 3 2 3 2 2" xfId="35654"/>
    <cellStyle name="常规 6 2 2 2 3 2 3 2 2 2" xfId="35655"/>
    <cellStyle name="常规 6 2 2 2 3 2 3 2 2 2 2" xfId="35656"/>
    <cellStyle name="常规 6 2 2 2 3 2 3 2 2 2 2 2" xfId="35657"/>
    <cellStyle name="常规 6 2 2 2 3 2 3 2 2 2 3" xfId="35658"/>
    <cellStyle name="常规 6 2 2 2 3 2 3 2 2 2 4" xfId="35659"/>
    <cellStyle name="常规 6 2 2 2 3 2 3 2 2 3" xfId="35660"/>
    <cellStyle name="常规 6 2 2 2 3 2 3 2 2 3 2" xfId="35661"/>
    <cellStyle name="常规 6 2 2 2 3 2 3 2 2 4" xfId="35662"/>
    <cellStyle name="常规 6 2 2 2 3 2 3 2 2 5" xfId="35663"/>
    <cellStyle name="常规 6 2 2 2 3 2 3 2 3" xfId="35664"/>
    <cellStyle name="常规 6 2 2 2 3 2 3 2 3 2" xfId="35665"/>
    <cellStyle name="常规 6 2 2 2 3 2 3 2 3 2 2" xfId="35666"/>
    <cellStyle name="常规 6 2 2 2 3 2 3 2 3 3" xfId="35667"/>
    <cellStyle name="常规 6 2 2 2 3 2 3 2 3 4" xfId="35668"/>
    <cellStyle name="常规 6 2 2 2 3 2 3 2 4" xfId="35669"/>
    <cellStyle name="常规 6 2 2 2 3 2 3 2 4 2" xfId="35670"/>
    <cellStyle name="常规 6 2 2 2 3 2 3 2 5" xfId="35671"/>
    <cellStyle name="常规 6 2 2 2 3 2 3 2 6" xfId="35672"/>
    <cellStyle name="常规 6 2 2 2 3 2 3 3" xfId="35673"/>
    <cellStyle name="常规 6 2 2 2 3 2 3 3 2" xfId="35674"/>
    <cellStyle name="常规 6 2 2 2 3 2 3 3 2 2" xfId="35675"/>
    <cellStyle name="常规 6 2 2 2 3 2 3 3 2 2 2" xfId="35676"/>
    <cellStyle name="常规 6 2 2 2 3 2 3 3 2 3" xfId="35677"/>
    <cellStyle name="常规 6 2 2 2 3 2 3 3 2 4" xfId="35678"/>
    <cellStyle name="常规 6 2 2 2 3 2 3 3 3" xfId="35679"/>
    <cellStyle name="常规 6 2 2 2 3 2 3 3 3 2" xfId="35680"/>
    <cellStyle name="常规 6 2 2 2 3 2 3 3 4" xfId="35681"/>
    <cellStyle name="常规 6 2 2 2 3 2 3 3 5" xfId="35682"/>
    <cellStyle name="常规 6 2 2 2 3 2 3 4" xfId="26860"/>
    <cellStyle name="常规 6 2 2 2 3 2 3 4 2" xfId="26864"/>
    <cellStyle name="常规 6 2 2 2 3 2 3 4 2 2" xfId="35683"/>
    <cellStyle name="常规 6 2 2 2 3 2 3 4 3" xfId="35684"/>
    <cellStyle name="常规 6 2 2 2 3 2 3 4 4" xfId="35685"/>
    <cellStyle name="常规 6 2 2 2 3 2 3 5" xfId="26867"/>
    <cellStyle name="常规 6 2 2 2 3 2 3 5 2" xfId="35687"/>
    <cellStyle name="常规 6 2 2 2 3 2 3 6" xfId="7917"/>
    <cellStyle name="常规 6 2 2 2 3 2 3 7" xfId="35688"/>
    <cellStyle name="常规 6 2 2 2 3 2 4" xfId="25658"/>
    <cellStyle name="常规 6 2 2 2 3 2 4 2" xfId="35689"/>
    <cellStyle name="常规 6 2 2 2 3 2 4 2 2" xfId="35691"/>
    <cellStyle name="常规 6 2 2 2 3 2 4 2 2 2" xfId="35693"/>
    <cellStyle name="常规 6 2 2 2 3 2 4 2 2 2 2" xfId="35695"/>
    <cellStyle name="常规 6 2 2 2 3 2 4 2 2 3" xfId="35696"/>
    <cellStyle name="常规 6 2 2 2 3 2 4 2 2 4" xfId="35697"/>
    <cellStyle name="常规 6 2 2 2 3 2 4 2 3" xfId="35699"/>
    <cellStyle name="常规 6 2 2 2 3 2 4 2 3 2" xfId="35700"/>
    <cellStyle name="常规 6 2 2 2 3 2 4 2 4" xfId="35702"/>
    <cellStyle name="常规 6 2 2 2 3 2 4 2 5" xfId="35703"/>
    <cellStyle name="常规 6 2 2 2 3 2 4 3" xfId="35704"/>
    <cellStyle name="常规 6 2 2 2 3 2 4 3 2" xfId="35706"/>
    <cellStyle name="常规 6 2 2 2 3 2 4 3 2 2" xfId="35707"/>
    <cellStyle name="常规 6 2 2 2 3 2 4 3 3" xfId="35709"/>
    <cellStyle name="常规 6 2 2 2 3 2 4 3 4" xfId="35710"/>
    <cellStyle name="常规 6 2 2 2 3 2 4 4" xfId="26873"/>
    <cellStyle name="常规 6 2 2 2 3 2 4 4 2" xfId="35711"/>
    <cellStyle name="常规 6 2 2 2 3 2 4 5" xfId="35712"/>
    <cellStyle name="常规 6 2 2 2 3 2 4 6" xfId="35713"/>
    <cellStyle name="常规 6 2 2 2 3 2 5" xfId="25660"/>
    <cellStyle name="常规 6 2 2 2 3 2 5 2" xfId="35714"/>
    <cellStyle name="常规 6 2 2 2 3 2 5 2 2" xfId="35716"/>
    <cellStyle name="常规 6 2 2 2 3 2 5 2 2 2" xfId="35717"/>
    <cellStyle name="常规 6 2 2 2 3 2 5 2 3" xfId="35719"/>
    <cellStyle name="常规 6 2 2 2 3 2 5 2 4" xfId="35720"/>
    <cellStyle name="常规 6 2 2 2 3 2 5 3" xfId="35721"/>
    <cellStyle name="常规 6 2 2 2 3 2 5 3 2" xfId="35722"/>
    <cellStyle name="常规 6 2 2 2 3 2 5 4" xfId="35723"/>
    <cellStyle name="常规 6 2 2 2 3 2 5 5" xfId="35724"/>
    <cellStyle name="常规 6 2 2 2 3 2 6" xfId="35725"/>
    <cellStyle name="常规 6 2 2 2 3 2 6 2" xfId="35726"/>
    <cellStyle name="常规 6 2 2 2 3 2 6 2 2" xfId="35727"/>
    <cellStyle name="常规 6 2 2 2 3 2 6 3" xfId="35728"/>
    <cellStyle name="常规 6 2 2 2 3 2 6 4" xfId="35729"/>
    <cellStyle name="常规 6 2 2 2 3 2 7" xfId="35730"/>
    <cellStyle name="常规 6 2 2 2 3 2 7 2" xfId="35731"/>
    <cellStyle name="常规 6 2 2 2 3 2 8" xfId="35732"/>
    <cellStyle name="常规 6 2 2 2 3 2 9" xfId="35733"/>
    <cellStyle name="常规 6 2 2 2 3 3" xfId="35734"/>
    <cellStyle name="常规 6 2 2 2 3 3 2" xfId="35735"/>
    <cellStyle name="常规 6 2 2 2 3 3 2 2" xfId="35736"/>
    <cellStyle name="常规 6 2 2 2 3 3 2 2 2" xfId="35737"/>
    <cellStyle name="常规 6 2 2 2 3 3 2 2 2 2" xfId="35738"/>
    <cellStyle name="常规 6 2 2 2 3 3 2 2 2 2 2" xfId="35739"/>
    <cellStyle name="常规 6 2 2 2 3 3 2 2 2 2 2 2" xfId="35740"/>
    <cellStyle name="常规 6 2 2 2 3 3 2 2 2 2 2 2 2" xfId="35741"/>
    <cellStyle name="常规 6 2 2 2 3 3 2 2 2 2 2 3" xfId="35742"/>
    <cellStyle name="常规 6 2 2 2 3 3 2 2 2 2 2 4" xfId="35743"/>
    <cellStyle name="常规 6 2 2 2 3 3 2 2 2 2 3" xfId="35744"/>
    <cellStyle name="常规 6 2 2 2 3 3 2 2 2 2 3 2" xfId="35745"/>
    <cellStyle name="常规 6 2 2 2 3 3 2 2 2 2 4" xfId="35746"/>
    <cellStyle name="常规 6 2 2 2 3 3 2 2 2 2 5" xfId="35747"/>
    <cellStyle name="常规 6 2 2 2 3 3 2 2 2 3" xfId="35748"/>
    <cellStyle name="常规 6 2 2 2 3 3 2 2 2 3 2" xfId="35749"/>
    <cellStyle name="常规 6 2 2 2 3 3 2 2 2 3 2 2" xfId="35750"/>
    <cellStyle name="常规 6 2 2 2 3 3 2 2 2 3 3" xfId="35751"/>
    <cellStyle name="常规 6 2 2 2 3 3 2 2 2 3 4" xfId="35752"/>
    <cellStyle name="常规 6 2 2 2 3 3 2 2 2 4" xfId="35753"/>
    <cellStyle name="常规 6 2 2 2 3 3 2 2 2 4 2" xfId="35754"/>
    <cellStyle name="常规 6 2 2 2 3 3 2 2 2 5" xfId="35755"/>
    <cellStyle name="常规 6 2 2 2 3 3 2 2 2 6" xfId="35756"/>
    <cellStyle name="常规 6 2 2 2 3 3 2 2 3" xfId="35757"/>
    <cellStyle name="常规 6 2 2 2 3 3 2 2 3 2" xfId="35758"/>
    <cellStyle name="常规 6 2 2 2 3 3 2 2 3 2 2" xfId="35759"/>
    <cellStyle name="常规 6 2 2 2 3 3 2 2 3 2 2 2" xfId="35760"/>
    <cellStyle name="常规 6 2 2 2 3 3 2 2 3 2 3" xfId="35761"/>
    <cellStyle name="常规 6 2 2 2 3 3 2 2 3 2 4" xfId="35762"/>
    <cellStyle name="常规 6 2 2 2 3 3 2 2 3 3" xfId="35763"/>
    <cellStyle name="常规 6 2 2 2 3 3 2 2 3 3 2" xfId="35764"/>
    <cellStyle name="常规 6 2 2 2 3 3 2 2 3 4" xfId="35765"/>
    <cellStyle name="常规 6 2 2 2 3 3 2 2 3 5" xfId="35766"/>
    <cellStyle name="常规 6 2 2 2 3 3 2 2 4" xfId="35767"/>
    <cellStyle name="常规 6 2 2 2 3 3 2 2 4 2" xfId="35768"/>
    <cellStyle name="常规 6 2 2 2 3 3 2 2 4 2 2" xfId="35769"/>
    <cellStyle name="常规 6 2 2 2 3 3 2 2 4 3" xfId="35770"/>
    <cellStyle name="常规 6 2 2 2 3 3 2 2 4 4" xfId="35771"/>
    <cellStyle name="常规 6 2 2 2 3 3 2 2 5" xfId="35772"/>
    <cellStyle name="常规 6 2 2 2 3 3 2 2 5 2" xfId="35773"/>
    <cellStyle name="常规 6 2 2 2 3 3 2 2 6" xfId="35774"/>
    <cellStyle name="常规 6 2 2 2 3 3 2 2 7" xfId="35775"/>
    <cellStyle name="常规 6 2 2 2 3 3 2 3" xfId="35776"/>
    <cellStyle name="常规 6 2 2 2 3 3 2 3 2" xfId="35777"/>
    <cellStyle name="常规 6 2 2 2 3 3 2 3 2 2" xfId="35778"/>
    <cellStyle name="常规 6 2 2 2 3 3 2 3 2 2 2" xfId="35779"/>
    <cellStyle name="常规 6 2 2 2 3 3 2 3 2 2 2 2" xfId="35780"/>
    <cellStyle name="常规 6 2 2 2 3 3 2 3 2 2 3" xfId="35781"/>
    <cellStyle name="常规 6 2 2 2 3 3 2 3 2 2 4" xfId="35782"/>
    <cellStyle name="常规 6 2 2 2 3 3 2 3 2 3" xfId="35783"/>
    <cellStyle name="常规 6 2 2 2 3 3 2 3 2 3 2" xfId="35784"/>
    <cellStyle name="常规 6 2 2 2 3 3 2 3 2 4" xfId="35785"/>
    <cellStyle name="常规 6 2 2 2 3 3 2 3 2 5" xfId="35786"/>
    <cellStyle name="常规 6 2 2 2 3 3 2 3 3" xfId="35787"/>
    <cellStyle name="常规 6 2 2 2 3 3 2 3 3 2" xfId="35788"/>
    <cellStyle name="常规 6 2 2 2 3 3 2 3 3 2 2" xfId="35789"/>
    <cellStyle name="常规 6 2 2 2 3 3 2 3 3 3" xfId="35790"/>
    <cellStyle name="常规 6 2 2 2 3 3 2 3 3 4" xfId="35791"/>
    <cellStyle name="常规 6 2 2 2 3 3 2 3 4" xfId="35792"/>
    <cellStyle name="常规 6 2 2 2 3 3 2 3 4 2" xfId="35793"/>
    <cellStyle name="常规 6 2 2 2 3 3 2 3 5" xfId="35794"/>
    <cellStyle name="常规 6 2 2 2 3 3 2 3 6" xfId="35795"/>
    <cellStyle name="常规 6 2 2 2 3 3 2 4" xfId="26882"/>
    <cellStyle name="常规 6 2 2 2 3 3 2 4 2" xfId="26886"/>
    <cellStyle name="常规 6 2 2 2 3 3 2 4 2 2" xfId="35796"/>
    <cellStyle name="常规 6 2 2 2 3 3 2 4 2 2 2" xfId="35797"/>
    <cellStyle name="常规 6 2 2 2 3 3 2 4 2 3" xfId="35798"/>
    <cellStyle name="常规 6 2 2 2 3 3 2 4 2 4" xfId="35799"/>
    <cellStyle name="常规 6 2 2 2 3 3 2 4 3" xfId="35800"/>
    <cellStyle name="常规 6 2 2 2 3 3 2 4 3 2" xfId="35801"/>
    <cellStyle name="常规 6 2 2 2 3 3 2 4 4" xfId="35802"/>
    <cellStyle name="常规 6 2 2 2 3 3 2 4 5" xfId="35803"/>
    <cellStyle name="常规 6 2 2 2 3 3 2 5" xfId="26889"/>
    <cellStyle name="常规 6 2 2 2 3 3 2 5 2" xfId="35804"/>
    <cellStyle name="常规 6 2 2 2 3 3 2 5 2 2" xfId="35805"/>
    <cellStyle name="常规 6 2 2 2 3 3 2 5 3" xfId="35806"/>
    <cellStyle name="常规 6 2 2 2 3 3 2 5 4" xfId="35807"/>
    <cellStyle name="常规 6 2 2 2 3 3 2 6" xfId="26893"/>
    <cellStyle name="常规 6 2 2 2 3 3 2 6 2" xfId="33346"/>
    <cellStyle name="常规 6 2 2 2 3 3 2 7" xfId="35808"/>
    <cellStyle name="常规 6 2 2 2 3 3 2 8" xfId="35810"/>
    <cellStyle name="常规 6 2 2 2 3 3 3" xfId="25664"/>
    <cellStyle name="常规 6 2 2 2 3 3 3 2" xfId="35811"/>
    <cellStyle name="常规 6 2 2 2 3 3 3 2 2" xfId="35812"/>
    <cellStyle name="常规 6 2 2 2 3 3 3 2 2 2" xfId="35813"/>
    <cellStyle name="常规 6 2 2 2 3 3 3 2 2 2 2" xfId="35814"/>
    <cellStyle name="常规 6 2 2 2 3 3 3 2 2 2 2 2" xfId="35815"/>
    <cellStyle name="常规 6 2 2 2 3 3 3 2 2 2 3" xfId="35816"/>
    <cellStyle name="常规 6 2 2 2 3 3 3 2 2 2 4" xfId="35817"/>
    <cellStyle name="常规 6 2 2 2 3 3 3 2 2 3" xfId="35818"/>
    <cellStyle name="常规 6 2 2 2 3 3 3 2 2 3 2" xfId="35819"/>
    <cellStyle name="常规 6 2 2 2 3 3 3 2 2 4" xfId="35820"/>
    <cellStyle name="常规 6 2 2 2 3 3 3 2 2 5" xfId="35821"/>
    <cellStyle name="常规 6 2 2 2 3 3 3 2 3" xfId="35822"/>
    <cellStyle name="常规 6 2 2 2 3 3 3 2 3 2" xfId="35823"/>
    <cellStyle name="常规 6 2 2 2 3 3 3 2 3 2 2" xfId="35824"/>
    <cellStyle name="常规 6 2 2 2 3 3 3 2 3 3" xfId="35825"/>
    <cellStyle name="常规 6 2 2 2 3 3 3 2 3 4" xfId="35826"/>
    <cellStyle name="常规 6 2 2 2 3 3 3 2 4" xfId="35827"/>
    <cellStyle name="常规 6 2 2 2 3 3 3 2 4 2" xfId="35828"/>
    <cellStyle name="常规 6 2 2 2 3 3 3 2 5" xfId="35829"/>
    <cellStyle name="常规 6 2 2 2 3 3 3 2 6" xfId="35830"/>
    <cellStyle name="常规 6 2 2 2 3 3 3 3" xfId="35831"/>
    <cellStyle name="常规 6 2 2 2 3 3 3 3 2" xfId="35832"/>
    <cellStyle name="常规 6 2 2 2 3 3 3 3 2 2" xfId="25519"/>
    <cellStyle name="常规 6 2 2 2 3 3 3 3 2 2 2" xfId="25523"/>
    <cellStyle name="常规 6 2 2 2 3 3 3 3 2 3" xfId="25547"/>
    <cellStyle name="常规 6 2 2 2 3 3 3 3 2 4" xfId="24742"/>
    <cellStyle name="常规 6 2 2 2 3 3 3 3 3" xfId="35833"/>
    <cellStyle name="常规 6 2 2 2 3 3 3 3 3 2" xfId="25734"/>
    <cellStyle name="常规 6 2 2 2 3 3 3 3 4" xfId="35834"/>
    <cellStyle name="常规 6 2 2 2 3 3 3 3 5" xfId="35835"/>
    <cellStyle name="常规 6 2 2 2 3 3 3 4" xfId="26898"/>
    <cellStyle name="常规 6 2 2 2 3 3 3 4 2" xfId="35836"/>
    <cellStyle name="常规 6 2 2 2 3 3 3 4 2 2" xfId="26281"/>
    <cellStyle name="常规 6 2 2 2 3 3 3 4 3" xfId="35837"/>
    <cellStyle name="常规 6 2 2 2 3 3 3 4 4" xfId="35838"/>
    <cellStyle name="常规 6 2 2 2 3 3 3 5" xfId="35839"/>
    <cellStyle name="常规 6 2 2 2 3 3 3 5 2" xfId="35841"/>
    <cellStyle name="常规 6 2 2 2 3 3 3 6" xfId="35842"/>
    <cellStyle name="常规 6 2 2 2 3 3 3 7" xfId="35843"/>
    <cellStyle name="常规 6 2 2 2 3 3 4" xfId="35844"/>
    <cellStyle name="常规 6 2 2 2 3 3 4 2" xfId="35845"/>
    <cellStyle name="常规 6 2 2 2 3 3 4 2 2" xfId="35847"/>
    <cellStyle name="常规 6 2 2 2 3 3 4 2 2 2" xfId="35848"/>
    <cellStyle name="常规 6 2 2 2 3 3 4 2 2 2 2" xfId="35849"/>
    <cellStyle name="常规 6 2 2 2 3 3 4 2 2 3" xfId="35850"/>
    <cellStyle name="常规 6 2 2 2 3 3 4 2 2 4" xfId="35851"/>
    <cellStyle name="常规 6 2 2 2 3 3 4 2 3" xfId="35853"/>
    <cellStyle name="常规 6 2 2 2 3 3 4 2 3 2" xfId="35854"/>
    <cellStyle name="常规 6 2 2 2 3 3 4 2 4" xfId="35855"/>
    <cellStyle name="常规 6 2 2 2 3 3 4 2 5" xfId="10383"/>
    <cellStyle name="常规 6 2 2 2 3 3 4 3" xfId="35856"/>
    <cellStyle name="常规 6 2 2 2 3 3 4 3 2" xfId="35857"/>
    <cellStyle name="常规 6 2 2 2 3 3 4 3 2 2" xfId="27975"/>
    <cellStyle name="常规 6 2 2 2 3 3 4 3 3" xfId="35858"/>
    <cellStyle name="常规 6 2 2 2 3 3 4 3 4" xfId="35859"/>
    <cellStyle name="常规 6 2 2 2 3 3 4 4" xfId="35860"/>
    <cellStyle name="常规 6 2 2 2 3 3 4 4 2" xfId="35861"/>
    <cellStyle name="常规 6 2 2 2 3 3 4 5" xfId="35862"/>
    <cellStyle name="常规 6 2 2 2 3 3 4 6" xfId="35863"/>
    <cellStyle name="常规 6 2 2 2 3 3 5" xfId="35864"/>
    <cellStyle name="常规 6 2 2 2 3 3 5 2" xfId="35865"/>
    <cellStyle name="常规 6 2 2 2 3 3 5 2 2" xfId="35866"/>
    <cellStyle name="常规 6 2 2 2 3 3 5 2 2 2" xfId="35867"/>
    <cellStyle name="常规 6 2 2 2 3 3 5 2 3" xfId="35868"/>
    <cellStyle name="常规 6 2 2 2 3 3 5 2 4" xfId="35869"/>
    <cellStyle name="常规 6 2 2 2 3 3 5 3" xfId="35870"/>
    <cellStyle name="常规 6 2 2 2 3 3 5 3 2" xfId="35871"/>
    <cellStyle name="常规 6 2 2 2 3 3 5 4" xfId="35872"/>
    <cellStyle name="常规 6 2 2 2 3 3 5 5" xfId="35873"/>
    <cellStyle name="常规 6 2 2 2 3 3 6" xfId="35874"/>
    <cellStyle name="常规 6 2 2 2 3 3 6 2" xfId="35875"/>
    <cellStyle name="常规 6 2 2 2 3 3 6 2 2" xfId="35876"/>
    <cellStyle name="常规 6 2 2 2 3 3 6 3" xfId="35877"/>
    <cellStyle name="常规 6 2 2 2 3 3 6 4" xfId="35878"/>
    <cellStyle name="常规 6 2 2 2 3 3 7" xfId="35879"/>
    <cellStyle name="常规 6 2 2 2 3 3 7 2" xfId="35880"/>
    <cellStyle name="常规 6 2 2 2 3 3 8" xfId="31896"/>
    <cellStyle name="常规 6 2 2 2 3 3 9" xfId="35881"/>
    <cellStyle name="常规 6 2 2 2 3 4" xfId="35882"/>
    <cellStyle name="常规 6 2 2 2 3 4 2" xfId="35883"/>
    <cellStyle name="常规 6 2 2 2 3 4 2 2" xfId="35884"/>
    <cellStyle name="常规 6 2 2 2 3 4 2 2 2" xfId="35885"/>
    <cellStyle name="常规 6 2 2 2 3 4 2 2 2 2" xfId="35886"/>
    <cellStyle name="常规 6 2 2 2 3 4 2 2 2 2 2" xfId="35887"/>
    <cellStyle name="常规 6 2 2 2 3 4 2 2 2 2 2 2" xfId="35888"/>
    <cellStyle name="常规 6 2 2 2 3 4 2 2 2 2 3" xfId="35889"/>
    <cellStyle name="常规 6 2 2 2 3 4 2 2 2 2 4" xfId="35890"/>
    <cellStyle name="常规 6 2 2 2 3 4 2 2 2 3" xfId="35891"/>
    <cellStyle name="常规 6 2 2 2 3 4 2 2 2 3 2" xfId="35892"/>
    <cellStyle name="常规 6 2 2 2 3 4 2 2 2 4" xfId="11993"/>
    <cellStyle name="常规 6 2 2 2 3 4 2 2 2 5" xfId="35894"/>
    <cellStyle name="常规 6 2 2 2 3 4 2 2 3" xfId="35895"/>
    <cellStyle name="常规 6 2 2 2 3 4 2 2 3 2" xfId="35896"/>
    <cellStyle name="常规 6 2 2 2 3 4 2 2 3 2 2" xfId="35897"/>
    <cellStyle name="常规 6 2 2 2 3 4 2 2 3 3" xfId="35898"/>
    <cellStyle name="常规 6 2 2 2 3 4 2 2 3 4" xfId="35900"/>
    <cellStyle name="常规 6 2 2 2 3 4 2 2 4" xfId="35901"/>
    <cellStyle name="常规 6 2 2 2 3 4 2 2 4 2" xfId="35902"/>
    <cellStyle name="常规 6 2 2 2 3 4 2 2 5" xfId="35903"/>
    <cellStyle name="常规 6 2 2 2 3 4 2 2 6" xfId="35904"/>
    <cellStyle name="常规 6 2 2 2 3 4 2 3" xfId="35905"/>
    <cellStyle name="常规 6 2 2 2 3 4 2 3 2" xfId="35906"/>
    <cellStyle name="常规 6 2 2 2 3 4 2 3 2 2" xfId="35907"/>
    <cellStyle name="常规 6 2 2 2 3 4 2 3 2 2 2" xfId="35908"/>
    <cellStyle name="常规 6 2 2 2 3 4 2 3 2 3" xfId="35909"/>
    <cellStyle name="常规 6 2 2 2 3 4 2 3 2 4" xfId="35911"/>
    <cellStyle name="常规 6 2 2 2 3 4 2 3 3" xfId="35912"/>
    <cellStyle name="常规 6 2 2 2 3 4 2 3 3 2" xfId="35913"/>
    <cellStyle name="常规 6 2 2 2 3 4 2 3 4" xfId="35914"/>
    <cellStyle name="常规 6 2 2 2 3 4 2 3 5" xfId="35915"/>
    <cellStyle name="常规 6 2 2 2 3 4 2 4" xfId="26911"/>
    <cellStyle name="常规 6 2 2 2 3 4 2 4 2" xfId="35916"/>
    <cellStyle name="常规 6 2 2 2 3 4 2 4 2 2" xfId="35918"/>
    <cellStyle name="常规 6 2 2 2 3 4 2 4 3" xfId="35919"/>
    <cellStyle name="常规 6 2 2 2 3 4 2 4 4" xfId="35920"/>
    <cellStyle name="常规 6 2 2 2 3 4 2 5" xfId="35921"/>
    <cellStyle name="常规 6 2 2 2 3 4 2 5 2" xfId="35922"/>
    <cellStyle name="常规 6 2 2 2 3 4 2 6" xfId="35923"/>
    <cellStyle name="常规 6 2 2 2 3 4 2 7" xfId="35924"/>
    <cellStyle name="常规 6 2 2 2 3 4 3" xfId="35925"/>
    <cellStyle name="常规 6 2 2 2 3 4 3 2" xfId="35926"/>
    <cellStyle name="常规 6 2 2 2 3 4 3 2 2" xfId="35927"/>
    <cellStyle name="常规 6 2 2 2 3 4 3 2 2 2" xfId="35928"/>
    <cellStyle name="常规 6 2 2 2 3 4 3 2 2 2 2" xfId="35929"/>
    <cellStyle name="常规 6 2 2 2 3 4 3 2 2 3" xfId="35930"/>
    <cellStyle name="常规 6 2 2 2 3 4 3 2 2 4" xfId="35932"/>
    <cellStyle name="常规 6 2 2 2 3 4 3 2 3" xfId="35933"/>
    <cellStyle name="常规 6 2 2 2 3 4 3 2 3 2" xfId="35934"/>
    <cellStyle name="常规 6 2 2 2 3 4 3 2 4" xfId="35935"/>
    <cellStyle name="常规 6 2 2 2 3 4 3 2 5" xfId="35936"/>
    <cellStyle name="常规 6 2 2 2 3 4 3 3" xfId="35937"/>
    <cellStyle name="常规 6 2 2 2 3 4 3 3 2" xfId="35938"/>
    <cellStyle name="常规 6 2 2 2 3 4 3 3 2 2" xfId="35939"/>
    <cellStyle name="常规 6 2 2 2 3 4 3 3 3" xfId="35940"/>
    <cellStyle name="常规 6 2 2 2 3 4 3 3 4" xfId="35941"/>
    <cellStyle name="常规 6 2 2 2 3 4 3 4" xfId="14059"/>
    <cellStyle name="常规 6 2 2 2 3 4 3 4 2" xfId="35943"/>
    <cellStyle name="常规 6 2 2 2 3 4 3 5" xfId="35945"/>
    <cellStyle name="常规 6 2 2 2 3 4 3 6" xfId="35947"/>
    <cellStyle name="常规 6 2 2 2 3 4 4" xfId="35948"/>
    <cellStyle name="常规 6 2 2 2 3 4 4 2" xfId="35949"/>
    <cellStyle name="常规 6 2 2 2 3 4 4 2 2" xfId="35950"/>
    <cellStyle name="常规 6 2 2 2 3 4 4 2 2 2" xfId="35951"/>
    <cellStyle name="常规 6 2 2 2 3 4 4 2 3" xfId="35952"/>
    <cellStyle name="常规 6 2 2 2 3 4 4 2 4" xfId="35953"/>
    <cellStyle name="常规 6 2 2 2 3 4 4 3" xfId="35954"/>
    <cellStyle name="常规 6 2 2 2 3 4 4 3 2" xfId="35955"/>
    <cellStyle name="常规 6 2 2 2 3 4 4 4" xfId="35957"/>
    <cellStyle name="常规 6 2 2 2 3 4 4 5" xfId="35959"/>
    <cellStyle name="常规 6 2 2 2 3 4 5" xfId="35960"/>
    <cellStyle name="常规 6 2 2 2 3 4 5 2" xfId="35961"/>
    <cellStyle name="常规 6 2 2 2 3 4 5 2 2" xfId="35962"/>
    <cellStyle name="常规 6 2 2 2 3 4 5 3" xfId="35963"/>
    <cellStyle name="常规 6 2 2 2 3 4 5 4" xfId="35965"/>
    <cellStyle name="常规 6 2 2 2 3 4 6" xfId="35966"/>
    <cellStyle name="常规 6 2 2 2 3 4 6 2" xfId="35967"/>
    <cellStyle name="常规 6 2 2 2 3 4 7" xfId="35968"/>
    <cellStyle name="常规 6 2 2 2 3 4 8" xfId="30450"/>
    <cellStyle name="常规 6 2 2 2 3 5" xfId="35969"/>
    <cellStyle name="常规 6 2 2 2 3 5 2" xfId="35970"/>
    <cellStyle name="常规 6 2 2 2 3 5 2 2" xfId="35971"/>
    <cellStyle name="常规 6 2 2 2 3 5 2 2 2" xfId="35972"/>
    <cellStyle name="常规 6 2 2 2 3 5 2 2 2 2" xfId="35973"/>
    <cellStyle name="常规 6 2 2 2 3 5 2 2 2 2 2" xfId="35974"/>
    <cellStyle name="常规 6 2 2 2 3 5 2 2 2 3" xfId="35975"/>
    <cellStyle name="常规 6 2 2 2 3 5 2 2 2 4" xfId="35977"/>
    <cellStyle name="常规 6 2 2 2 3 5 2 2 3" xfId="35978"/>
    <cellStyle name="常规 6 2 2 2 3 5 2 2 3 2" xfId="11533"/>
    <cellStyle name="常规 6 2 2 2 3 5 2 2 4" xfId="35979"/>
    <cellStyle name="常规 6 2 2 2 3 5 2 2 5" xfId="35980"/>
    <cellStyle name="常规 6 2 2 2 3 5 2 3" xfId="35981"/>
    <cellStyle name="常规 6 2 2 2 3 5 2 3 2" xfId="35982"/>
    <cellStyle name="常规 6 2 2 2 3 5 2 3 2 2" xfId="35983"/>
    <cellStyle name="常规 6 2 2 2 3 5 2 3 3" xfId="35984"/>
    <cellStyle name="常规 6 2 2 2 3 5 2 3 4" xfId="35985"/>
    <cellStyle name="常规 6 2 2 2 3 5 2 4" xfId="35986"/>
    <cellStyle name="常规 6 2 2 2 3 5 2 4 2" xfId="34003"/>
    <cellStyle name="常规 6 2 2 2 3 5 2 5" xfId="35987"/>
    <cellStyle name="常规 6 2 2 2 3 5 2 6" xfId="35988"/>
    <cellStyle name="常规 6 2 2 2 3 5 3" xfId="35989"/>
    <cellStyle name="常规 6 2 2 2 3 5 3 2" xfId="35990"/>
    <cellStyle name="常规 6 2 2 2 3 5 3 2 2" xfId="35991"/>
    <cellStyle name="常规 6 2 2 2 3 5 3 2 2 2" xfId="10735"/>
    <cellStyle name="常规 6 2 2 2 3 5 3 2 3" xfId="35992"/>
    <cellStyle name="常规 6 2 2 2 3 5 3 2 4" xfId="35993"/>
    <cellStyle name="常规 6 2 2 2 3 5 3 3" xfId="35994"/>
    <cellStyle name="常规 6 2 2 2 3 5 3 3 2" xfId="35995"/>
    <cellStyle name="常规 6 2 2 2 3 5 3 4" xfId="35997"/>
    <cellStyle name="常规 6 2 2 2 3 5 3 5" xfId="35999"/>
    <cellStyle name="常规 6 2 2 2 3 5 4" xfId="36000"/>
    <cellStyle name="常规 6 2 2 2 3 5 4 2" xfId="36001"/>
    <cellStyle name="常规 6 2 2 2 3 5 4 2 2" xfId="36002"/>
    <cellStyle name="常规 6 2 2 2 3 5 4 3" xfId="36003"/>
    <cellStyle name="常规 6 2 2 2 3 5 4 4" xfId="36005"/>
    <cellStyle name="常规 6 2 2 2 3 5 5" xfId="36006"/>
    <cellStyle name="常规 6 2 2 2 3 5 5 2" xfId="36007"/>
    <cellStyle name="常规 6 2 2 2 3 5 6" xfId="36009"/>
    <cellStyle name="常规 6 2 2 2 3 5 7" xfId="36010"/>
    <cellStyle name="常规 6 2 2 2 3 6" xfId="36011"/>
    <cellStyle name="常规 6 2 2 2 3 6 2" xfId="36012"/>
    <cellStyle name="常规 6 2 2 2 3 6 2 2" xfId="36013"/>
    <cellStyle name="常规 6 2 2 2 3 6 2 2 2" xfId="36014"/>
    <cellStyle name="常规 6 2 2 2 3 6 2 2 2 2" xfId="36015"/>
    <cellStyle name="常规 6 2 2 2 3 6 2 2 3" xfId="36016"/>
    <cellStyle name="常规 6 2 2 2 3 6 2 2 4" xfId="36017"/>
    <cellStyle name="常规 6 2 2 2 3 6 2 3" xfId="36018"/>
    <cellStyle name="常规 6 2 2 2 3 6 2 3 2" xfId="36019"/>
    <cellStyle name="常规 6 2 2 2 3 6 2 4" xfId="36020"/>
    <cellStyle name="常规 6 2 2 2 3 6 2 5" xfId="36021"/>
    <cellStyle name="常规 6 2 2 2 3 6 3" xfId="36022"/>
    <cellStyle name="常规 6 2 2 2 3 6 3 2" xfId="36023"/>
    <cellStyle name="常规 6 2 2 2 3 6 3 2 2" xfId="10575"/>
    <cellStyle name="常规 6 2 2 2 3 6 3 3" xfId="36024"/>
    <cellStyle name="常规 6 2 2 2 3 6 3 4" xfId="36026"/>
    <cellStyle name="常规 6 2 2 2 3 6 4" xfId="36027"/>
    <cellStyle name="常规 6 2 2 2 3 6 4 2" xfId="36028"/>
    <cellStyle name="常规 6 2 2 2 3 6 5" xfId="36029"/>
    <cellStyle name="常规 6 2 2 2 3 6 6" xfId="36030"/>
    <cellStyle name="常规 6 2 2 2 3 7" xfId="36031"/>
    <cellStyle name="常规 6 2 2 2 3 7 2" xfId="36032"/>
    <cellStyle name="常规 6 2 2 2 3 7 2 2" xfId="36033"/>
    <cellStyle name="常规 6 2 2 2 3 7 2 2 2" xfId="36034"/>
    <cellStyle name="常规 6 2 2 2 3 7 2 3" xfId="36035"/>
    <cellStyle name="常规 6 2 2 2 3 7 2 4" xfId="36036"/>
    <cellStyle name="常规 6 2 2 2 3 7 3" xfId="36037"/>
    <cellStyle name="常规 6 2 2 2 3 7 3 2" xfId="36038"/>
    <cellStyle name="常规 6 2 2 2 3 7 4" xfId="36039"/>
    <cellStyle name="常规 6 2 2 2 3 7 5" xfId="36040"/>
    <cellStyle name="常规 6 2 2 2 3 8" xfId="36041"/>
    <cellStyle name="常规 6 2 2 2 3 8 2" xfId="36042"/>
    <cellStyle name="常规 6 2 2 2 3 8 2 2" xfId="36043"/>
    <cellStyle name="常规 6 2 2 2 3 8 3" xfId="36044"/>
    <cellStyle name="常规 6 2 2 2 3 8 4" xfId="36045"/>
    <cellStyle name="常规 6 2 2 2 3 9" xfId="36046"/>
    <cellStyle name="常规 6 2 2 2 3 9 2" xfId="36047"/>
    <cellStyle name="常规 6 2 2 2 4" xfId="36048"/>
    <cellStyle name="常规 6 2 2 2 4 2" xfId="36049"/>
    <cellStyle name="常规 6 2 2 2 4 2 2" xfId="36050"/>
    <cellStyle name="常规 6 2 2 2 4 2 2 2" xfId="36051"/>
    <cellStyle name="常规 6 2 2 2 4 2 2 2 2" xfId="36052"/>
    <cellStyle name="常规 6 2 2 2 4 2 2 2 2 2" xfId="36053"/>
    <cellStyle name="常规 6 2 2 2 4 2 2 2 2 2 2" xfId="36054"/>
    <cellStyle name="常规 6 2 2 2 4 2 2 2 2 2 2 2" xfId="36055"/>
    <cellStyle name="常规 6 2 2 2 4 2 2 2 2 2 3" xfId="36056"/>
    <cellStyle name="常规 6 2 2 2 4 2 2 2 2 2 4" xfId="36057"/>
    <cellStyle name="常规 6 2 2 2 4 2 2 2 2 3" xfId="36058"/>
    <cellStyle name="常规 6 2 2 2 4 2 2 2 2 3 2" xfId="36059"/>
    <cellStyle name="常规 6 2 2 2 4 2 2 2 2 4" xfId="36060"/>
    <cellStyle name="常规 6 2 2 2 4 2 2 2 2 5" xfId="36061"/>
    <cellStyle name="常规 6 2 2 2 4 2 2 2 3" xfId="36062"/>
    <cellStyle name="常规 6 2 2 2 4 2 2 2 3 2" xfId="36063"/>
    <cellStyle name="常规 6 2 2 2 4 2 2 2 3 2 2" xfId="36064"/>
    <cellStyle name="常规 6 2 2 2 4 2 2 2 3 3" xfId="36065"/>
    <cellStyle name="常规 6 2 2 2 4 2 2 2 3 4" xfId="36066"/>
    <cellStyle name="常规 6 2 2 2 4 2 2 2 4" xfId="36067"/>
    <cellStyle name="常规 6 2 2 2 4 2 2 2 4 2" xfId="36068"/>
    <cellStyle name="常规 6 2 2 2 4 2 2 2 5" xfId="36069"/>
    <cellStyle name="常规 6 2 2 2 4 2 2 2 6" xfId="36070"/>
    <cellStyle name="常规 6 2 2 2 4 2 2 3" xfId="36071"/>
    <cellStyle name="常规 6 2 2 2 4 2 2 3 2" xfId="36072"/>
    <cellStyle name="常规 6 2 2 2 4 2 2 3 2 2" xfId="36073"/>
    <cellStyle name="常规 6 2 2 2 4 2 2 3 2 2 2" xfId="36074"/>
    <cellStyle name="常规 6 2 2 2 4 2 2 3 2 3" xfId="36075"/>
    <cellStyle name="常规 6 2 2 2 4 2 2 3 2 4" xfId="36076"/>
    <cellStyle name="常规 6 2 2 2 4 2 2 3 3" xfId="36077"/>
    <cellStyle name="常规 6 2 2 2 4 2 2 3 3 2" xfId="36078"/>
    <cellStyle name="常规 6 2 2 2 4 2 2 3 4" xfId="36079"/>
    <cellStyle name="常规 6 2 2 2 4 2 2 3 5" xfId="36080"/>
    <cellStyle name="常规 6 2 2 2 4 2 2 4" xfId="27165"/>
    <cellStyle name="常规 6 2 2 2 4 2 2 4 2" xfId="1379"/>
    <cellStyle name="常规 6 2 2 2 4 2 2 4 2 2" xfId="27167"/>
    <cellStyle name="常规 6 2 2 2 4 2 2 4 3" xfId="1388"/>
    <cellStyle name="常规 6 2 2 2 4 2 2 4 4" xfId="1396"/>
    <cellStyle name="常规 6 2 2 2 4 2 2 5" xfId="27169"/>
    <cellStyle name="常规 6 2 2 2 4 2 2 5 2" xfId="27173"/>
    <cellStyle name="常规 6 2 2 2 4 2 2 6" xfId="27180"/>
    <cellStyle name="常规 6 2 2 2 4 2 2 7" xfId="27184"/>
    <cellStyle name="常规 6 2 2 2 4 2 3" xfId="25676"/>
    <cellStyle name="常规 6 2 2 2 4 2 3 2" xfId="36081"/>
    <cellStyle name="常规 6 2 2 2 4 2 3 2 2" xfId="36082"/>
    <cellStyle name="常规 6 2 2 2 4 2 3 2 2 2" xfId="36083"/>
    <cellStyle name="常规 6 2 2 2 4 2 3 2 2 2 2" xfId="36084"/>
    <cellStyle name="常规 6 2 2 2 4 2 3 2 2 3" xfId="36085"/>
    <cellStyle name="常规 6 2 2 2 4 2 3 2 2 4" xfId="36086"/>
    <cellStyle name="常规 6 2 2 2 4 2 3 2 3" xfId="36087"/>
    <cellStyle name="常规 6 2 2 2 4 2 3 2 3 2" xfId="36088"/>
    <cellStyle name="常规 6 2 2 2 4 2 3 2 4" xfId="36089"/>
    <cellStyle name="常规 6 2 2 2 4 2 3 2 5" xfId="36090"/>
    <cellStyle name="常规 6 2 2 2 4 2 3 3" xfId="36091"/>
    <cellStyle name="常规 6 2 2 2 4 2 3 3 2" xfId="36092"/>
    <cellStyle name="常规 6 2 2 2 4 2 3 3 2 2" xfId="36093"/>
    <cellStyle name="常规 6 2 2 2 4 2 3 3 3" xfId="36094"/>
    <cellStyle name="常规 6 2 2 2 4 2 3 3 4" xfId="36095"/>
    <cellStyle name="常规 6 2 2 2 4 2 3 4" xfId="27191"/>
    <cellStyle name="常规 6 2 2 2 4 2 3 4 2" xfId="27195"/>
    <cellStyle name="常规 6 2 2 2 4 2 3 5" xfId="27197"/>
    <cellStyle name="常规 6 2 2 2 4 2 3 6" xfId="27202"/>
    <cellStyle name="常规 6 2 2 2 4 2 4" xfId="36096"/>
    <cellStyle name="常规 6 2 2 2 4 2 4 2" xfId="36097"/>
    <cellStyle name="常规 6 2 2 2 4 2 4 2 2" xfId="36099"/>
    <cellStyle name="常规 6 2 2 2 4 2 4 2 2 2" xfId="36100"/>
    <cellStyle name="常规 6 2 2 2 4 2 4 2 3" xfId="36102"/>
    <cellStyle name="常规 6 2 2 2 4 2 4 2 4" xfId="36103"/>
    <cellStyle name="常规 6 2 2 2 4 2 4 3" xfId="36104"/>
    <cellStyle name="常规 6 2 2 2 4 2 4 3 2" xfId="36105"/>
    <cellStyle name="常规 6 2 2 2 4 2 4 4" xfId="27206"/>
    <cellStyle name="常规 6 2 2 2 4 2 4 5" xfId="36106"/>
    <cellStyle name="常规 6 2 2 2 4 2 5" xfId="36107"/>
    <cellStyle name="常规 6 2 2 2 4 2 5 2" xfId="36108"/>
    <cellStyle name="常规 6 2 2 2 4 2 5 2 2" xfId="36109"/>
    <cellStyle name="常规 6 2 2 2 4 2 5 3" xfId="36110"/>
    <cellStyle name="常规 6 2 2 2 4 2 5 4" xfId="36111"/>
    <cellStyle name="常规 6 2 2 2 4 2 6" xfId="36112"/>
    <cellStyle name="常规 6 2 2 2 4 2 6 2" xfId="36113"/>
    <cellStyle name="常规 6 2 2 2 4 2 7" xfId="36114"/>
    <cellStyle name="常规 6 2 2 2 4 2 8" xfId="36115"/>
    <cellStyle name="常规 6 2 2 2 4 3" xfId="36116"/>
    <cellStyle name="常规 6 2 2 2 4 3 2" xfId="36117"/>
    <cellStyle name="常规 6 2 2 2 4 3 2 2" xfId="36118"/>
    <cellStyle name="常规 6 2 2 2 4 3 2 2 2" xfId="36119"/>
    <cellStyle name="常规 6 2 2 2 4 3 2 2 2 2" xfId="36120"/>
    <cellStyle name="常规 6 2 2 2 4 3 2 2 2 2 2" xfId="2945"/>
    <cellStyle name="常规 6 2 2 2 4 3 2 2 2 3" xfId="36121"/>
    <cellStyle name="常规 6 2 2 2 4 3 2 2 2 4" xfId="36122"/>
    <cellStyle name="常规 6 2 2 2 4 3 2 2 3" xfId="36123"/>
    <cellStyle name="常规 6 2 2 2 4 3 2 2 3 2" xfId="36124"/>
    <cellStyle name="常规 6 2 2 2 4 3 2 2 4" xfId="36125"/>
    <cellStyle name="常规 6 2 2 2 4 3 2 2 5" xfId="36126"/>
    <cellStyle name="常规 6 2 2 2 4 3 2 3" xfId="36127"/>
    <cellStyle name="常规 6 2 2 2 4 3 2 3 2" xfId="36128"/>
    <cellStyle name="常规 6 2 2 2 4 3 2 3 2 2" xfId="36129"/>
    <cellStyle name="常规 6 2 2 2 4 3 2 3 3" xfId="36130"/>
    <cellStyle name="常规 6 2 2 2 4 3 2 3 4" xfId="36131"/>
    <cellStyle name="常规 6 2 2 2 4 3 2 4" xfId="23279"/>
    <cellStyle name="常规 6 2 2 2 4 3 2 4 2" xfId="27216"/>
    <cellStyle name="常规 6 2 2 2 4 3 2 5" xfId="27218"/>
    <cellStyle name="常规 6 2 2 2 4 3 2 6" xfId="27223"/>
    <cellStyle name="常规 6 2 2 2 4 3 3" xfId="36132"/>
    <cellStyle name="常规 6 2 2 2 4 3 3 2" xfId="36133"/>
    <cellStyle name="常规 6 2 2 2 4 3 3 2 2" xfId="36134"/>
    <cellStyle name="常规 6 2 2 2 4 3 3 2 2 2" xfId="1363"/>
    <cellStyle name="常规 6 2 2 2 4 3 3 2 3" xfId="36135"/>
    <cellStyle name="常规 6 2 2 2 4 3 3 2 4" xfId="36136"/>
    <cellStyle name="常规 6 2 2 2 4 3 3 3" xfId="36137"/>
    <cellStyle name="常规 6 2 2 2 4 3 3 3 2" xfId="36138"/>
    <cellStyle name="常规 6 2 2 2 4 3 3 4" xfId="27226"/>
    <cellStyle name="常规 6 2 2 2 4 3 3 5" xfId="36139"/>
    <cellStyle name="常规 6 2 2 2 4 3 4" xfId="36140"/>
    <cellStyle name="常规 6 2 2 2 4 3 4 2" xfId="36141"/>
    <cellStyle name="常规 6 2 2 2 4 3 4 2 2" xfId="36142"/>
    <cellStyle name="常规 6 2 2 2 4 3 4 3" xfId="36143"/>
    <cellStyle name="常规 6 2 2 2 4 3 4 4" xfId="36144"/>
    <cellStyle name="常规 6 2 2 2 4 3 5" xfId="36145"/>
    <cellStyle name="常规 6 2 2 2 4 3 5 2" xfId="36146"/>
    <cellStyle name="常规 6 2 2 2 4 3 6" xfId="36147"/>
    <cellStyle name="常规 6 2 2 2 4 3 7" xfId="36148"/>
    <cellStyle name="常规 6 2 2 2 4 4" xfId="36149"/>
    <cellStyle name="常规 6 2 2 2 4 4 2" xfId="36150"/>
    <cellStyle name="常规 6 2 2 2 4 4 2 2" xfId="36151"/>
    <cellStyle name="常规 6 2 2 2 4 4 2 2 2" xfId="36152"/>
    <cellStyle name="常规 6 2 2 2 4 4 2 2 2 2" xfId="36153"/>
    <cellStyle name="常规 6 2 2 2 4 4 2 2 3" xfId="36154"/>
    <cellStyle name="常规 6 2 2 2 4 4 2 2 4" xfId="36155"/>
    <cellStyle name="常规 6 2 2 2 4 4 2 3" xfId="36156"/>
    <cellStyle name="常规 6 2 2 2 4 4 2 3 2" xfId="36157"/>
    <cellStyle name="常规 6 2 2 2 4 4 2 4" xfId="27236"/>
    <cellStyle name="常规 6 2 2 2 4 4 2 5" xfId="26561"/>
    <cellStyle name="常规 6 2 2 2 4 4 3" xfId="36158"/>
    <cellStyle name="常规 6 2 2 2 4 4 3 2" xfId="36159"/>
    <cellStyle name="常规 6 2 2 2 4 4 3 2 2" xfId="36160"/>
    <cellStyle name="常规 6 2 2 2 4 4 3 3" xfId="36161"/>
    <cellStyle name="常规 6 2 2 2 4 4 3 4" xfId="34595"/>
    <cellStyle name="常规 6 2 2 2 4 4 4" xfId="36162"/>
    <cellStyle name="常规 6 2 2 2 4 4 4 2" xfId="36163"/>
    <cellStyle name="常规 6 2 2 2 4 4 5" xfId="36164"/>
    <cellStyle name="常规 6 2 2 2 4 4 6" xfId="36165"/>
    <cellStyle name="常规 6 2 2 2 4 5" xfId="36166"/>
    <cellStyle name="常规 6 2 2 2 4 5 2" xfId="36167"/>
    <cellStyle name="常规 6 2 2 2 4 5 2 2" xfId="36168"/>
    <cellStyle name="常规 6 2 2 2 4 5 2 2 2" xfId="36169"/>
    <cellStyle name="常规 6 2 2 2 4 5 2 3" xfId="36170"/>
    <cellStyle name="常规 6 2 2 2 4 5 2 4" xfId="34599"/>
    <cellStyle name="常规 6 2 2 2 4 5 3" xfId="36171"/>
    <cellStyle name="常规 6 2 2 2 4 5 3 2" xfId="36172"/>
    <cellStyle name="常规 6 2 2 2 4 5 4" xfId="36173"/>
    <cellStyle name="常规 6 2 2 2 4 5 5" xfId="36174"/>
    <cellStyle name="常规 6 2 2 2 4 6" xfId="36175"/>
    <cellStyle name="常规 6 2 2 2 4 6 2" xfId="36176"/>
    <cellStyle name="常规 6 2 2 2 4 6 2 2" xfId="36177"/>
    <cellStyle name="常规 6 2 2 2 4 6 3" xfId="36178"/>
    <cellStyle name="常规 6 2 2 2 4 6 4" xfId="36179"/>
    <cellStyle name="常规 6 2 2 2 4 7" xfId="36180"/>
    <cellStyle name="常规 6 2 2 2 4 7 2" xfId="36181"/>
    <cellStyle name="常规 6 2 2 2 4 8" xfId="36182"/>
    <cellStyle name="常规 6 2 2 2 4 9" xfId="36183"/>
    <cellStyle name="常规 6 2 2 2 5" xfId="36184"/>
    <cellStyle name="常规 6 2 2 2 5 2" xfId="36185"/>
    <cellStyle name="常规 6 2 2 2 5 2 2" xfId="28026"/>
    <cellStyle name="常规 6 2 2 2 5 2 2 2" xfId="36186"/>
    <cellStyle name="常规 6 2 2 2 5 2 2 2 2" xfId="36187"/>
    <cellStyle name="常规 6 2 2 2 5 2 2 2 2 2" xfId="36188"/>
    <cellStyle name="常规 6 2 2 2 5 2 2 2 2 2 2" xfId="3371"/>
    <cellStyle name="常规 6 2 2 2 5 2 2 2 2 2 2 2" xfId="36189"/>
    <cellStyle name="常规 6 2 2 2 5 2 2 2 2 2 3" xfId="36190"/>
    <cellStyle name="常规 6 2 2 2 5 2 2 2 2 2 4" xfId="36191"/>
    <cellStyle name="常规 6 2 2 2 5 2 2 2 2 3" xfId="36192"/>
    <cellStyle name="常规 6 2 2 2 5 2 2 2 2 3 2" xfId="36193"/>
    <cellStyle name="常规 6 2 2 2 5 2 2 2 2 4" xfId="36194"/>
    <cellStyle name="常规 6 2 2 2 5 2 2 2 2 5" xfId="36195"/>
    <cellStyle name="常规 6 2 2 2 5 2 2 2 3" xfId="36196"/>
    <cellStyle name="常规 6 2 2 2 5 2 2 2 3 2" xfId="36197"/>
    <cellStyle name="常规 6 2 2 2 5 2 2 2 3 2 2" xfId="36198"/>
    <cellStyle name="常规 6 2 2 2 5 2 2 2 3 3" xfId="36199"/>
    <cellStyle name="常规 6 2 2 2 5 2 2 2 3 4" xfId="36200"/>
    <cellStyle name="常规 6 2 2 2 5 2 2 2 4" xfId="36201"/>
    <cellStyle name="常规 6 2 2 2 5 2 2 2 4 2" xfId="36202"/>
    <cellStyle name="常规 6 2 2 2 5 2 2 2 5" xfId="36203"/>
    <cellStyle name="常规 6 2 2 2 5 2 2 2 6" xfId="36204"/>
    <cellStyle name="常规 6 2 2 2 5 2 2 3" xfId="36205"/>
    <cellStyle name="常规 6 2 2 2 5 2 2 3 2" xfId="36206"/>
    <cellStyle name="常规 6 2 2 2 5 2 2 3 2 2" xfId="36207"/>
    <cellStyle name="常规 6 2 2 2 5 2 2 3 2 2 2" xfId="36208"/>
    <cellStyle name="常规 6 2 2 2 5 2 2 3 2 3" xfId="36209"/>
    <cellStyle name="常规 6 2 2 2 5 2 2 3 2 4" xfId="36210"/>
    <cellStyle name="常规 6 2 2 2 5 2 2 3 3" xfId="36211"/>
    <cellStyle name="常规 6 2 2 2 5 2 2 3 3 2" xfId="10137"/>
    <cellStyle name="常规 6 2 2 2 5 2 2 3 4" xfId="36212"/>
    <cellStyle name="常规 6 2 2 2 5 2 2 3 5" xfId="36213"/>
    <cellStyle name="常规 6 2 2 2 5 2 2 4" xfId="27405"/>
    <cellStyle name="常规 6 2 2 2 5 2 2 4 2" xfId="27409"/>
    <cellStyle name="常规 6 2 2 2 5 2 2 4 2 2" xfId="36214"/>
    <cellStyle name="常规 6 2 2 2 5 2 2 4 3" xfId="36215"/>
    <cellStyle name="常规 6 2 2 2 5 2 2 4 4" xfId="36216"/>
    <cellStyle name="常规 6 2 2 2 5 2 2 5" xfId="27411"/>
    <cellStyle name="常规 6 2 2 2 5 2 2 5 2" xfId="36217"/>
    <cellStyle name="常规 6 2 2 2 5 2 2 6" xfId="27417"/>
    <cellStyle name="常规 6 2 2 2 5 2 2 7" xfId="36218"/>
    <cellStyle name="常规 6 2 2 2 5 2 3" xfId="28028"/>
    <cellStyle name="常规 6 2 2 2 5 2 3 2" xfId="36219"/>
    <cellStyle name="常规 6 2 2 2 5 2 3 2 2" xfId="36220"/>
    <cellStyle name="常规 6 2 2 2 5 2 3 2 2 2" xfId="36221"/>
    <cellStyle name="常规 6 2 2 2 5 2 3 2 2 2 2" xfId="36222"/>
    <cellStyle name="常规 6 2 2 2 5 2 3 2 2 3" xfId="36223"/>
    <cellStyle name="常规 6 2 2 2 5 2 3 2 2 4" xfId="36224"/>
    <cellStyle name="常规 6 2 2 2 5 2 3 2 3" xfId="36225"/>
    <cellStyle name="常规 6 2 2 2 5 2 3 2 3 2" xfId="36226"/>
    <cellStyle name="常规 6 2 2 2 5 2 3 2 4" xfId="36227"/>
    <cellStyle name="常规 6 2 2 2 5 2 3 2 5" xfId="36228"/>
    <cellStyle name="常规 6 2 2 2 5 2 3 3" xfId="36229"/>
    <cellStyle name="常规 6 2 2 2 5 2 3 3 2" xfId="36230"/>
    <cellStyle name="常规 6 2 2 2 5 2 3 3 2 2" xfId="36231"/>
    <cellStyle name="常规 6 2 2 2 5 2 3 3 3" xfId="36232"/>
    <cellStyle name="常规 6 2 2 2 5 2 3 3 4" xfId="36233"/>
    <cellStyle name="常规 6 2 2 2 5 2 3 4" xfId="27421"/>
    <cellStyle name="常规 6 2 2 2 5 2 3 4 2" xfId="36234"/>
    <cellStyle name="常规 6 2 2 2 5 2 3 5" xfId="36235"/>
    <cellStyle name="常规 6 2 2 2 5 2 3 6" xfId="36236"/>
    <cellStyle name="常规 6 2 2 2 5 2 4" xfId="36237"/>
    <cellStyle name="常规 6 2 2 2 5 2 4 2" xfId="36238"/>
    <cellStyle name="常规 6 2 2 2 5 2 4 2 2" xfId="36239"/>
    <cellStyle name="常规 6 2 2 2 5 2 4 2 2 2" xfId="36240"/>
    <cellStyle name="常规 6 2 2 2 5 2 4 2 3" xfId="36241"/>
    <cellStyle name="常规 6 2 2 2 5 2 4 2 4" xfId="36242"/>
    <cellStyle name="常规 6 2 2 2 5 2 4 3" xfId="36243"/>
    <cellStyle name="常规 6 2 2 2 5 2 4 3 2" xfId="36244"/>
    <cellStyle name="常规 6 2 2 2 5 2 4 4" xfId="36245"/>
    <cellStyle name="常规 6 2 2 2 5 2 4 5" xfId="36246"/>
    <cellStyle name="常规 6 2 2 2 5 2 5" xfId="36247"/>
    <cellStyle name="常规 6 2 2 2 5 2 5 2" xfId="36248"/>
    <cellStyle name="常规 6 2 2 2 5 2 5 2 2" xfId="36249"/>
    <cellStyle name="常规 6 2 2 2 5 2 5 3" xfId="36250"/>
    <cellStyle name="常规 6 2 2 2 5 2 5 4" xfId="36251"/>
    <cellStyle name="常规 6 2 2 2 5 2 6" xfId="36252"/>
    <cellStyle name="常规 6 2 2 2 5 2 6 2" xfId="36253"/>
    <cellStyle name="常规 6 2 2 2 5 2 7" xfId="36254"/>
    <cellStyle name="常规 6 2 2 2 5 2 8" xfId="30836"/>
    <cellStyle name="常规 6 2 2 2 5 3" xfId="36255"/>
    <cellStyle name="常规 6 2 2 2 5 3 2" xfId="36256"/>
    <cellStyle name="常规 6 2 2 2 5 3 2 2" xfId="36257"/>
    <cellStyle name="常规 6 2 2 2 5 3 2 2 2" xfId="34042"/>
    <cellStyle name="常规 6 2 2 2 5 3 2 2 2 2" xfId="36258"/>
    <cellStyle name="常规 6 2 2 2 5 3 2 2 2 2 2" xfId="36259"/>
    <cellStyle name="常规 6 2 2 2 5 3 2 2 2 3" xfId="36260"/>
    <cellStyle name="常规 6 2 2 2 5 3 2 2 2 4" xfId="36261"/>
    <cellStyle name="常规 6 2 2 2 5 3 2 2 3" xfId="36262"/>
    <cellStyle name="常规 6 2 2 2 5 3 2 2 3 2" xfId="36263"/>
    <cellStyle name="常规 6 2 2 2 5 3 2 2 4" xfId="36264"/>
    <cellStyle name="常规 6 2 2 2 5 3 2 2 5" xfId="36265"/>
    <cellStyle name="常规 6 2 2 2 5 3 2 3" xfId="36266"/>
    <cellStyle name="常规 6 2 2 2 5 3 2 3 2" xfId="36267"/>
    <cellStyle name="常规 6 2 2 2 5 3 2 3 2 2" xfId="36269"/>
    <cellStyle name="常规 6 2 2 2 5 3 2 3 3" xfId="36270"/>
    <cellStyle name="常规 6 2 2 2 5 3 2 3 4" xfId="36271"/>
    <cellStyle name="常规 6 2 2 2 5 3 2 4" xfId="27431"/>
    <cellStyle name="常规 6 2 2 2 5 3 2 4 2" xfId="36272"/>
    <cellStyle name="常规 6 2 2 2 5 3 2 5" xfId="36273"/>
    <cellStyle name="常规 6 2 2 2 5 3 2 6" xfId="36274"/>
    <cellStyle name="常规 6 2 2 2 5 3 3" xfId="36275"/>
    <cellStyle name="常规 6 2 2 2 5 3 3 2" xfId="36276"/>
    <cellStyle name="常规 6 2 2 2 5 3 3 2 2" xfId="36277"/>
    <cellStyle name="常规 6 2 2 2 5 3 3 2 2 2" xfId="36278"/>
    <cellStyle name="常规 6 2 2 2 5 3 3 2 3" xfId="36279"/>
    <cellStyle name="常规 6 2 2 2 5 3 3 2 4" xfId="36280"/>
    <cellStyle name="常规 6 2 2 2 5 3 3 3" xfId="36281"/>
    <cellStyle name="常规 6 2 2 2 5 3 3 3 2" xfId="36282"/>
    <cellStyle name="常规 6 2 2 2 5 3 3 4" xfId="36283"/>
    <cellStyle name="常规 6 2 2 2 5 3 3 5" xfId="36284"/>
    <cellStyle name="常规 6 2 2 2 5 3 4" xfId="36285"/>
    <cellStyle name="常规 6 2 2 2 5 3 4 2" xfId="36286"/>
    <cellStyle name="常规 6 2 2 2 5 3 4 2 2" xfId="36287"/>
    <cellStyle name="常规 6 2 2 2 5 3 4 3" xfId="36288"/>
    <cellStyle name="常规 6 2 2 2 5 3 4 4" xfId="36289"/>
    <cellStyle name="常规 6 2 2 2 5 3 5" xfId="36290"/>
    <cellStyle name="常规 6 2 2 2 5 3 5 2" xfId="36291"/>
    <cellStyle name="常规 6 2 2 2 5 3 6" xfId="36292"/>
    <cellStyle name="常规 6 2 2 2 5 3 7" xfId="36293"/>
    <cellStyle name="常规 6 2 2 2 5 4" xfId="36294"/>
    <cellStyle name="常规 6 2 2 2 5 4 2" xfId="36295"/>
    <cellStyle name="常规 6 2 2 2 5 4 2 2" xfId="36296"/>
    <cellStyle name="常规 6 2 2 2 5 4 2 2 2" xfId="34116"/>
    <cellStyle name="常规 6 2 2 2 5 4 2 2 2 2" xfId="36297"/>
    <cellStyle name="常规 6 2 2 2 5 4 2 2 3" xfId="36298"/>
    <cellStyle name="常规 6 2 2 2 5 4 2 2 4" xfId="36299"/>
    <cellStyle name="常规 6 2 2 2 5 4 2 3" xfId="36300"/>
    <cellStyle name="常规 6 2 2 2 5 4 2 3 2" xfId="36301"/>
    <cellStyle name="常规 6 2 2 2 5 4 2 4" xfId="34607"/>
    <cellStyle name="常规 6 2 2 2 5 4 2 5" xfId="36302"/>
    <cellStyle name="常规 6 2 2 2 5 4 3" xfId="36303"/>
    <cellStyle name="常规 6 2 2 2 5 4 3 2" xfId="36304"/>
    <cellStyle name="常规 6 2 2 2 5 4 3 2 2" xfId="36305"/>
    <cellStyle name="常规 6 2 2 2 5 4 3 3" xfId="36306"/>
    <cellStyle name="常规 6 2 2 2 5 4 3 4" xfId="36308"/>
    <cellStyle name="常规 6 2 2 2 5 4 4" xfId="36309"/>
    <cellStyle name="常规 6 2 2 2 5 4 4 2" xfId="36310"/>
    <cellStyle name="常规 6 2 2 2 5 4 5" xfId="36311"/>
    <cellStyle name="常规 6 2 2 2 5 4 6" xfId="36312"/>
    <cellStyle name="常规 6 2 2 2 5 5" xfId="36313"/>
    <cellStyle name="常规 6 2 2 2 5 5 2" xfId="36314"/>
    <cellStyle name="常规 6 2 2 2 5 5 2 2" xfId="36315"/>
    <cellStyle name="常规 6 2 2 2 5 5 2 2 2" xfId="36316"/>
    <cellStyle name="常规 6 2 2 2 5 5 2 3" xfId="36317"/>
    <cellStyle name="常规 6 2 2 2 5 5 2 4" xfId="36318"/>
    <cellStyle name="常规 6 2 2 2 5 5 3" xfId="36319"/>
    <cellStyle name="常规 6 2 2 2 5 5 3 2" xfId="36320"/>
    <cellStyle name="常规 6 2 2 2 5 5 4" xfId="36321"/>
    <cellStyle name="常规 6 2 2 2 5 5 5" xfId="36322"/>
    <cellStyle name="常规 6 2 2 2 5 6" xfId="36324"/>
    <cellStyle name="常规 6 2 2 2 5 6 2" xfId="36326"/>
    <cellStyle name="常规 6 2 2 2 5 6 2 2" xfId="36328"/>
    <cellStyle name="常规 6 2 2 2 5 6 3" xfId="36330"/>
    <cellStyle name="常规 6 2 2 2 5 6 4" xfId="36332"/>
    <cellStyle name="常规 6 2 2 2 5 7" xfId="36334"/>
    <cellStyle name="常规 6 2 2 2 5 7 2" xfId="36336"/>
    <cellStyle name="常规 6 2 2 2 5 8" xfId="36338"/>
    <cellStyle name="常规 6 2 2 2 5 9" xfId="36340"/>
    <cellStyle name="常规 6 2 2 2 6" xfId="36341"/>
    <cellStyle name="常规 6 2 2 2 6 2" xfId="36342"/>
    <cellStyle name="常规 6 2 2 2 6 2 2" xfId="36343"/>
    <cellStyle name="常规 6 2 2 2 6 2 2 2" xfId="36344"/>
    <cellStyle name="常规 6 2 2 2 6 2 2 2 2" xfId="36345"/>
    <cellStyle name="常规 6 2 2 2 6 2 2 2 2 2" xfId="36346"/>
    <cellStyle name="常规 6 2 2 2 6 2 2 2 2 2 2" xfId="36347"/>
    <cellStyle name="常规 6 2 2 2 6 2 2 2 2 3" xfId="36348"/>
    <cellStyle name="常规 6 2 2 2 6 2 2 2 2 4" xfId="36349"/>
    <cellStyle name="常规 6 2 2 2 6 2 2 2 3" xfId="36350"/>
    <cellStyle name="常规 6 2 2 2 6 2 2 2 3 2" xfId="36351"/>
    <cellStyle name="常规 6 2 2 2 6 2 2 2 4" xfId="36352"/>
    <cellStyle name="常规 6 2 2 2 6 2 2 2 5" xfId="36353"/>
    <cellStyle name="常规 6 2 2 2 6 2 2 3" xfId="36354"/>
    <cellStyle name="常规 6 2 2 2 6 2 2 3 2" xfId="36355"/>
    <cellStyle name="常规 6 2 2 2 6 2 2 3 2 2" xfId="36356"/>
    <cellStyle name="常规 6 2 2 2 6 2 2 3 3" xfId="36357"/>
    <cellStyle name="常规 6 2 2 2 6 2 2 3 4" xfId="36358"/>
    <cellStyle name="常规 6 2 2 2 6 2 2 4" xfId="27520"/>
    <cellStyle name="常规 6 2 2 2 6 2 2 4 2" xfId="36359"/>
    <cellStyle name="常规 6 2 2 2 6 2 2 5" xfId="36360"/>
    <cellStyle name="常规 6 2 2 2 6 2 2 6" xfId="36361"/>
    <cellStyle name="常规 6 2 2 2 6 2 3" xfId="36362"/>
    <cellStyle name="常规 6 2 2 2 6 2 3 2" xfId="36363"/>
    <cellStyle name="常规 6 2 2 2 6 2 3 2 2" xfId="36364"/>
    <cellStyle name="常规 6 2 2 2 6 2 3 2 2 2" xfId="36365"/>
    <cellStyle name="常规 6 2 2 2 6 2 3 2 3" xfId="36366"/>
    <cellStyle name="常规 6 2 2 2 6 2 3 2 4" xfId="36367"/>
    <cellStyle name="常规 6 2 2 2 6 2 3 3" xfId="36368"/>
    <cellStyle name="常规 6 2 2 2 6 2 3 3 2" xfId="36369"/>
    <cellStyle name="常规 6 2 2 2 6 2 3 4" xfId="36370"/>
    <cellStyle name="常规 6 2 2 2 6 2 3 5" xfId="36371"/>
    <cellStyle name="常规 6 2 2 2 6 2 4" xfId="36372"/>
    <cellStyle name="常规 6 2 2 2 6 2 4 2" xfId="36373"/>
    <cellStyle name="常规 6 2 2 2 6 2 4 2 2" xfId="36374"/>
    <cellStyle name="常规 6 2 2 2 6 2 4 3" xfId="36375"/>
    <cellStyle name="常规 6 2 2 2 6 2 4 4" xfId="9700"/>
    <cellStyle name="常规 6 2 2 2 6 2 5" xfId="36376"/>
    <cellStyle name="常规 6 2 2 2 6 2 5 2" xfId="36377"/>
    <cellStyle name="常规 6 2 2 2 6 2 6" xfId="36378"/>
    <cellStyle name="常规 6 2 2 2 6 2 7" xfId="36379"/>
    <cellStyle name="常规 6 2 2 2 6 3" xfId="36380"/>
    <cellStyle name="常规 6 2 2 2 6 3 2" xfId="36381"/>
    <cellStyle name="常规 6 2 2 2 6 3 2 2" xfId="36382"/>
    <cellStyle name="常规 6 2 2 2 6 3 2 2 2" xfId="36383"/>
    <cellStyle name="常规 6 2 2 2 6 3 2 2 2 2" xfId="36384"/>
    <cellStyle name="常规 6 2 2 2 6 3 2 2 3" xfId="36385"/>
    <cellStyle name="常规 6 2 2 2 6 3 2 2 4" xfId="36386"/>
    <cellStyle name="常规 6 2 2 2 6 3 2 3" xfId="36387"/>
    <cellStyle name="常规 6 2 2 2 6 3 2 3 2" xfId="36388"/>
    <cellStyle name="常规 6 2 2 2 6 3 2 4" xfId="36389"/>
    <cellStyle name="常规 6 2 2 2 6 3 2 5" xfId="36390"/>
    <cellStyle name="常规 6 2 2 2 6 3 3" xfId="36391"/>
    <cellStyle name="常规 6 2 2 2 6 3 3 2" xfId="36392"/>
    <cellStyle name="常规 6 2 2 2 6 3 3 2 2" xfId="36393"/>
    <cellStyle name="常规 6 2 2 2 6 3 3 3" xfId="36394"/>
    <cellStyle name="常规 6 2 2 2 6 3 3 4" xfId="36395"/>
    <cellStyle name="常规 6 2 2 2 6 3 4" xfId="36396"/>
    <cellStyle name="常规 6 2 2 2 6 3 4 2" xfId="36397"/>
    <cellStyle name="常规 6 2 2 2 6 3 5" xfId="36398"/>
    <cellStyle name="常规 6 2 2 2 6 3 6" xfId="36399"/>
    <cellStyle name="常规 6 2 2 2 6 4" xfId="36400"/>
    <cellStyle name="常规 6 2 2 2 6 4 2" xfId="36401"/>
    <cellStyle name="常规 6 2 2 2 6 4 2 2" xfId="36402"/>
    <cellStyle name="常规 6 2 2 2 6 4 2 2 2" xfId="36403"/>
    <cellStyle name="常规 6 2 2 2 6 4 2 3" xfId="36404"/>
    <cellStyle name="常规 6 2 2 2 6 4 2 4" xfId="36405"/>
    <cellStyle name="常规 6 2 2 2 6 4 3" xfId="36406"/>
    <cellStyle name="常规 6 2 2 2 6 4 3 2" xfId="36407"/>
    <cellStyle name="常规 6 2 2 2 6 4 4" xfId="36408"/>
    <cellStyle name="常规 6 2 2 2 6 4 5" xfId="36409"/>
    <cellStyle name="常规 6 2 2 2 6 5" xfId="36410"/>
    <cellStyle name="常规 6 2 2 2 6 5 2" xfId="36411"/>
    <cellStyle name="常规 6 2 2 2 6 5 2 2" xfId="36412"/>
    <cellStyle name="常规 6 2 2 2 6 5 3" xfId="36413"/>
    <cellStyle name="常规 6 2 2 2 6 5 4" xfId="36414"/>
    <cellStyle name="常规 6 2 2 2 6 6" xfId="36416"/>
    <cellStyle name="常规 6 2 2 2 6 6 2" xfId="36418"/>
    <cellStyle name="常规 6 2 2 2 6 7" xfId="36420"/>
    <cellStyle name="常规 6 2 2 2 6 8" xfId="36422"/>
    <cellStyle name="常规 6 2 2 2 7" xfId="36423"/>
    <cellStyle name="常规 6 2 2 2 7 2" xfId="36424"/>
    <cellStyle name="常规 6 2 2 2 7 2 2" xfId="36425"/>
    <cellStyle name="常规 6 2 2 2 7 2 2 2" xfId="36426"/>
    <cellStyle name="常规 6 2 2 2 7 2 2 2 2" xfId="25408"/>
    <cellStyle name="常规 6 2 2 2 7 2 2 2 2 2" xfId="36427"/>
    <cellStyle name="常规 6 2 2 2 7 2 2 2 3" xfId="36428"/>
    <cellStyle name="常规 6 2 2 2 7 2 2 2 4" xfId="36429"/>
    <cellStyle name="常规 6 2 2 2 7 2 2 3" xfId="36430"/>
    <cellStyle name="常规 6 2 2 2 7 2 2 3 2" xfId="36431"/>
    <cellStyle name="常规 6 2 2 2 7 2 2 4" xfId="36432"/>
    <cellStyle name="常规 6 2 2 2 7 2 2 5" xfId="36433"/>
    <cellStyle name="常规 6 2 2 2 7 2 3" xfId="36434"/>
    <cellStyle name="常规 6 2 2 2 7 2 3 2" xfId="36435"/>
    <cellStyle name="常规 6 2 2 2 7 2 3 2 2" xfId="36436"/>
    <cellStyle name="常规 6 2 2 2 7 2 3 3" xfId="36437"/>
    <cellStyle name="常规 6 2 2 2 7 2 3 4" xfId="36438"/>
    <cellStyle name="常规 6 2 2 2 7 2 4" xfId="36439"/>
    <cellStyle name="常规 6 2 2 2 7 2 4 2" xfId="36440"/>
    <cellStyle name="常规 6 2 2 2 7 2 5" xfId="36441"/>
    <cellStyle name="常规 6 2 2 2 7 2 6" xfId="36442"/>
    <cellStyle name="常规 6 2 2 2 7 3" xfId="36443"/>
    <cellStyle name="常规 6 2 2 2 7 3 2" xfId="36444"/>
    <cellStyle name="常规 6 2 2 2 7 3 2 2" xfId="36445"/>
    <cellStyle name="常规 6 2 2 2 7 3 2 2 2" xfId="25686"/>
    <cellStyle name="常规 6 2 2 2 7 3 2 3" xfId="36446"/>
    <cellStyle name="常规 6 2 2 2 7 3 2 4" xfId="36447"/>
    <cellStyle name="常规 6 2 2 2 7 3 3" xfId="36448"/>
    <cellStyle name="常规 6 2 2 2 7 3 3 2" xfId="36449"/>
    <cellStyle name="常规 6 2 2 2 7 3 4" xfId="36450"/>
    <cellStyle name="常规 6 2 2 2 7 3 5" xfId="36451"/>
    <cellStyle name="常规 6 2 2 2 7 4" xfId="36452"/>
    <cellStyle name="常规 6 2 2 2 7 4 2" xfId="36453"/>
    <cellStyle name="常规 6 2 2 2 7 4 2 2" xfId="36454"/>
    <cellStyle name="常规 6 2 2 2 7 4 3" xfId="36455"/>
    <cellStyle name="常规 6 2 2 2 7 4 4" xfId="36456"/>
    <cellStyle name="常规 6 2 2 2 7 5" xfId="36457"/>
    <cellStyle name="常规 6 2 2 2 7 5 2" xfId="36458"/>
    <cellStyle name="常规 6 2 2 2 7 6" xfId="36460"/>
    <cellStyle name="常规 6 2 2 2 7 7" xfId="36462"/>
    <cellStyle name="常规 6 2 2 2 8" xfId="36463"/>
    <cellStyle name="常规 6 2 2 2 8 2" xfId="36464"/>
    <cellStyle name="常规 6 2 2 2 8 2 2" xfId="36465"/>
    <cellStyle name="常规 6 2 2 2 8 2 2 2" xfId="36466"/>
    <cellStyle name="常规 6 2 2 2 8 2 2 2 2" xfId="23122"/>
    <cellStyle name="常规 6 2 2 2 8 2 2 3" xfId="36467"/>
    <cellStyle name="常规 6 2 2 2 8 2 2 4" xfId="36468"/>
    <cellStyle name="常规 6 2 2 2 8 2 3" xfId="36469"/>
    <cellStyle name="常规 6 2 2 2 8 2 3 2" xfId="36470"/>
    <cellStyle name="常规 6 2 2 2 8 2 4" xfId="36471"/>
    <cellStyle name="常规 6 2 2 2 8 2 5" xfId="36472"/>
    <cellStyle name="常规 6 2 2 2 8 3" xfId="36473"/>
    <cellStyle name="常规 6 2 2 2 8 3 2" xfId="36474"/>
    <cellStyle name="常规 6 2 2 2 8 3 2 2" xfId="36475"/>
    <cellStyle name="常规 6 2 2 2 8 3 3" xfId="36476"/>
    <cellStyle name="常规 6 2 2 2 8 3 4" xfId="36477"/>
    <cellStyle name="常规 6 2 2 2 8 4" xfId="36478"/>
    <cellStyle name="常规 6 2 2 2 8 4 2" xfId="36479"/>
    <cellStyle name="常规 6 2 2 2 8 5" xfId="36480"/>
    <cellStyle name="常规 6 2 2 2 8 6" xfId="36482"/>
    <cellStyle name="常规 6 2 2 2 9" xfId="36483"/>
    <cellStyle name="常规 6 2 2 2 9 2" xfId="36484"/>
    <cellStyle name="常规 6 2 2 2 9 2 2" xfId="36485"/>
    <cellStyle name="常规 6 2 2 2 9 2 2 2" xfId="36486"/>
    <cellStyle name="常规 6 2 2 2 9 2 3" xfId="36487"/>
    <cellStyle name="常规 6 2 2 2 9 2 4" xfId="36488"/>
    <cellStyle name="常规 6 2 2 2 9 3" xfId="36489"/>
    <cellStyle name="常规 6 2 2 2 9 3 2" xfId="36490"/>
    <cellStyle name="常规 6 2 2 2 9 4" xfId="36491"/>
    <cellStyle name="常规 6 2 2 2 9 5" xfId="36492"/>
    <cellStyle name="常规 6 2 2 3" xfId="36493"/>
    <cellStyle name="常规 6 2 2 3 10" xfId="36494"/>
    <cellStyle name="常规 6 2 2 3 10 2" xfId="36495"/>
    <cellStyle name="常规 6 2 2 3 11" xfId="36496"/>
    <cellStyle name="常规 6 2 2 3 12" xfId="25643"/>
    <cellStyle name="常规 6 2 2 3 2" xfId="36497"/>
    <cellStyle name="常规 6 2 2 3 2 10" xfId="8141"/>
    <cellStyle name="常规 6 2 2 3 2 11" xfId="8144"/>
    <cellStyle name="常规 6 2 2 3 2 2" xfId="36498"/>
    <cellStyle name="常规 6 2 2 3 2 2 2" xfId="36499"/>
    <cellStyle name="常规 6 2 2 3 2 2 2 2" xfId="36500"/>
    <cellStyle name="常规 6 2 2 3 2 2 2 2 2" xfId="36501"/>
    <cellStyle name="常规 6 2 2 3 2 2 2 2 2 2" xfId="36502"/>
    <cellStyle name="常规 6 2 2 3 2 2 2 2 2 2 2" xfId="36503"/>
    <cellStyle name="常规 6 2 2 3 2 2 2 2 2 2 2 2" xfId="36504"/>
    <cellStyle name="常规 6 2 2 3 2 2 2 2 2 2 2 2 2" xfId="36505"/>
    <cellStyle name="常规 6 2 2 3 2 2 2 2 2 2 2 3" xfId="36506"/>
    <cellStyle name="常规 6 2 2 3 2 2 2 2 2 2 2 4" xfId="36507"/>
    <cellStyle name="常规 6 2 2 3 2 2 2 2 2 2 3" xfId="36508"/>
    <cellStyle name="常规 6 2 2 3 2 2 2 2 2 2 3 2" xfId="36509"/>
    <cellStyle name="常规 6 2 2 3 2 2 2 2 2 2 4" xfId="34878"/>
    <cellStyle name="常规 6 2 2 3 2 2 2 2 2 2 5" xfId="36510"/>
    <cellStyle name="常规 6 2 2 3 2 2 2 2 2 3" xfId="36511"/>
    <cellStyle name="常规 6 2 2 3 2 2 2 2 2 3 2" xfId="36512"/>
    <cellStyle name="常规 6 2 2 3 2 2 2 2 2 3 2 2" xfId="36513"/>
    <cellStyle name="常规 6 2 2 3 2 2 2 2 2 3 3" xfId="36514"/>
    <cellStyle name="常规 6 2 2 3 2 2 2 2 2 3 4" xfId="36515"/>
    <cellStyle name="常规 6 2 2 3 2 2 2 2 2 4" xfId="36516"/>
    <cellStyle name="常规 6 2 2 3 2 2 2 2 2 4 2" xfId="36517"/>
    <cellStyle name="常规 6 2 2 3 2 2 2 2 2 5" xfId="36518"/>
    <cellStyle name="常规 6 2 2 3 2 2 2 2 2 6" xfId="9776"/>
    <cellStyle name="常规 6 2 2 3 2 2 2 2 3" xfId="36519"/>
    <cellStyle name="常规 6 2 2 3 2 2 2 2 3 2" xfId="36520"/>
    <cellStyle name="常规 6 2 2 3 2 2 2 2 3 2 2" xfId="36521"/>
    <cellStyle name="常规 6 2 2 3 2 2 2 2 3 2 2 2" xfId="36522"/>
    <cellStyle name="常规 6 2 2 3 2 2 2 2 3 2 3" xfId="36523"/>
    <cellStyle name="常规 6 2 2 3 2 2 2 2 3 2 4" xfId="36524"/>
    <cellStyle name="常规 6 2 2 3 2 2 2 2 3 3" xfId="36525"/>
    <cellStyle name="常规 6 2 2 3 2 2 2 2 3 3 2" xfId="36526"/>
    <cellStyle name="常规 6 2 2 3 2 2 2 2 3 4" xfId="36527"/>
    <cellStyle name="常规 6 2 2 3 2 2 2 2 3 5" xfId="36528"/>
    <cellStyle name="常规 6 2 2 3 2 2 2 2 4" xfId="36529"/>
    <cellStyle name="常规 6 2 2 3 2 2 2 2 4 2" xfId="36530"/>
    <cellStyle name="常规 6 2 2 3 2 2 2 2 4 2 2" xfId="36531"/>
    <cellStyle name="常规 6 2 2 3 2 2 2 2 4 3" xfId="36532"/>
    <cellStyle name="常规 6 2 2 3 2 2 2 2 4 4" xfId="36533"/>
    <cellStyle name="常规 6 2 2 3 2 2 2 2 5" xfId="36534"/>
    <cellStyle name="常规 6 2 2 3 2 2 2 2 5 2" xfId="15251"/>
    <cellStyle name="常规 6 2 2 3 2 2 2 2 6" xfId="36535"/>
    <cellStyle name="常规 6 2 2 3 2 2 2 2 7" xfId="36536"/>
    <cellStyle name="常规 6 2 2 3 2 2 2 3" xfId="36537"/>
    <cellStyle name="常规 6 2 2 3 2 2 2 3 2" xfId="36538"/>
    <cellStyle name="常规 6 2 2 3 2 2 2 3 2 2" xfId="36539"/>
    <cellStyle name="常规 6 2 2 3 2 2 2 3 2 2 2" xfId="36540"/>
    <cellStyle name="常规 6 2 2 3 2 2 2 3 2 2 2 2" xfId="36541"/>
    <cellStyle name="常规 6 2 2 3 2 2 2 3 2 2 3" xfId="36542"/>
    <cellStyle name="常规 6 2 2 3 2 2 2 3 2 2 4" xfId="36543"/>
    <cellStyle name="常规 6 2 2 3 2 2 2 3 2 3" xfId="36544"/>
    <cellStyle name="常规 6 2 2 3 2 2 2 3 2 3 2" xfId="36545"/>
    <cellStyle name="常规 6 2 2 3 2 2 2 3 2 4" xfId="36546"/>
    <cellStyle name="常规 6 2 2 3 2 2 2 3 2 5" xfId="36547"/>
    <cellStyle name="常规 6 2 2 3 2 2 2 3 3" xfId="36548"/>
    <cellStyle name="常规 6 2 2 3 2 2 2 3 3 2" xfId="36549"/>
    <cellStyle name="常规 6 2 2 3 2 2 2 3 3 2 2" xfId="36550"/>
    <cellStyle name="常规 6 2 2 3 2 2 2 3 3 3" xfId="36551"/>
    <cellStyle name="常规 6 2 2 3 2 2 2 3 3 4" xfId="36552"/>
    <cellStyle name="常规 6 2 2 3 2 2 2 3 4" xfId="36553"/>
    <cellStyle name="常规 6 2 2 3 2 2 2 3 4 2" xfId="36554"/>
    <cellStyle name="常规 6 2 2 3 2 2 2 3 5" xfId="36555"/>
    <cellStyle name="常规 6 2 2 3 2 2 2 3 6" xfId="36556"/>
    <cellStyle name="常规 6 2 2 3 2 2 2 4" xfId="28281"/>
    <cellStyle name="常规 6 2 2 3 2 2 2 4 2" xfId="28284"/>
    <cellStyle name="常规 6 2 2 3 2 2 2 4 2 2" xfId="28287"/>
    <cellStyle name="常规 6 2 2 3 2 2 2 4 2 2 2" xfId="36557"/>
    <cellStyle name="常规 6 2 2 3 2 2 2 4 2 3" xfId="36558"/>
    <cellStyle name="常规 6 2 2 3 2 2 2 4 2 4" xfId="36559"/>
    <cellStyle name="常规 6 2 2 3 2 2 2 4 3" xfId="28289"/>
    <cellStyle name="常规 6 2 2 3 2 2 2 4 3 2" xfId="36560"/>
    <cellStyle name="常规 6 2 2 3 2 2 2 4 4" xfId="8247"/>
    <cellStyle name="常规 6 2 2 3 2 2 2 4 5" xfId="36561"/>
    <cellStyle name="常规 6 2 2 3 2 2 2 5" xfId="28294"/>
    <cellStyle name="常规 6 2 2 3 2 2 2 5 2" xfId="28297"/>
    <cellStyle name="常规 6 2 2 3 2 2 2 5 2 2" xfId="36562"/>
    <cellStyle name="常规 6 2 2 3 2 2 2 5 3" xfId="36563"/>
    <cellStyle name="常规 6 2 2 3 2 2 2 5 4" xfId="36564"/>
    <cellStyle name="常规 6 2 2 3 2 2 2 6" xfId="28300"/>
    <cellStyle name="常规 6 2 2 3 2 2 2 6 2" xfId="36565"/>
    <cellStyle name="常规 6 2 2 3 2 2 2 7" xfId="28303"/>
    <cellStyle name="常规 6 2 2 3 2 2 2 8" xfId="36566"/>
    <cellStyle name="常规 6 2 2 3 2 2 3" xfId="36567"/>
    <cellStyle name="常规 6 2 2 3 2 2 3 2" xfId="36568"/>
    <cellStyle name="常规 6 2 2 3 2 2 3 2 2" xfId="36569"/>
    <cellStyle name="常规 6 2 2 3 2 2 3 2 2 2" xfId="36570"/>
    <cellStyle name="常规 6 2 2 3 2 2 3 2 2 2 2" xfId="36571"/>
    <cellStyle name="常规 6 2 2 3 2 2 3 2 2 2 2 2" xfId="36572"/>
    <cellStyle name="常规 6 2 2 3 2 2 3 2 2 2 3" xfId="36573"/>
    <cellStyle name="常规 6 2 2 3 2 2 3 2 2 2 4" xfId="35000"/>
    <cellStyle name="常规 6 2 2 3 2 2 3 2 2 3" xfId="36574"/>
    <cellStyle name="常规 6 2 2 3 2 2 3 2 2 3 2" xfId="36575"/>
    <cellStyle name="常规 6 2 2 3 2 2 3 2 2 4" xfId="36576"/>
    <cellStyle name="常规 6 2 2 3 2 2 3 2 2 5" xfId="36577"/>
    <cellStyle name="常规 6 2 2 3 2 2 3 2 3" xfId="36578"/>
    <cellStyle name="常规 6 2 2 3 2 2 3 2 3 2" xfId="36579"/>
    <cellStyle name="常规 6 2 2 3 2 2 3 2 3 2 2" xfId="36580"/>
    <cellStyle name="常规 6 2 2 3 2 2 3 2 3 3" xfId="36581"/>
    <cellStyle name="常规 6 2 2 3 2 2 3 2 3 4" xfId="36582"/>
    <cellStyle name="常规 6 2 2 3 2 2 3 2 4" xfId="36583"/>
    <cellStyle name="常规 6 2 2 3 2 2 3 2 4 2" xfId="36584"/>
    <cellStyle name="常规 6 2 2 3 2 2 3 2 5" xfId="36585"/>
    <cellStyle name="常规 6 2 2 3 2 2 3 2 6" xfId="36586"/>
    <cellStyle name="常规 6 2 2 3 2 2 3 3" xfId="36587"/>
    <cellStyle name="常规 6 2 2 3 2 2 3 3 2" xfId="36588"/>
    <cellStyle name="常规 6 2 2 3 2 2 3 3 2 2" xfId="36589"/>
    <cellStyle name="常规 6 2 2 3 2 2 3 3 2 2 2" xfId="36590"/>
    <cellStyle name="常规 6 2 2 3 2 2 3 3 2 3" xfId="36591"/>
    <cellStyle name="常规 6 2 2 3 2 2 3 3 2 4" xfId="10235"/>
    <cellStyle name="常规 6 2 2 3 2 2 3 3 3" xfId="36592"/>
    <cellStyle name="常规 6 2 2 3 2 2 3 3 3 2" xfId="36593"/>
    <cellStyle name="常规 6 2 2 3 2 2 3 3 4" xfId="36594"/>
    <cellStyle name="常规 6 2 2 3 2 2 3 3 5" xfId="36595"/>
    <cellStyle name="常规 6 2 2 3 2 2 3 4" xfId="28308"/>
    <cellStyle name="常规 6 2 2 3 2 2 3 4 2" xfId="28311"/>
    <cellStyle name="常规 6 2 2 3 2 2 3 4 2 2" xfId="36596"/>
    <cellStyle name="常规 6 2 2 3 2 2 3 4 3" xfId="36597"/>
    <cellStyle name="常规 6 2 2 3 2 2 3 4 4" xfId="36598"/>
    <cellStyle name="常规 6 2 2 3 2 2 3 5" xfId="28314"/>
    <cellStyle name="常规 6 2 2 3 2 2 3 5 2" xfId="36599"/>
    <cellStyle name="常规 6 2 2 3 2 2 3 6" xfId="8042"/>
    <cellStyle name="常规 6 2 2 3 2 2 3 7" xfId="36600"/>
    <cellStyle name="常规 6 2 2 3 2 2 4" xfId="36601"/>
    <cellStyle name="常规 6 2 2 3 2 2 4 2" xfId="36602"/>
    <cellStyle name="常规 6 2 2 3 2 2 4 2 2" xfId="36603"/>
    <cellStyle name="常规 6 2 2 3 2 2 4 2 2 2" xfId="36604"/>
    <cellStyle name="常规 6 2 2 3 2 2 4 2 2 2 2" xfId="36605"/>
    <cellStyle name="常规 6 2 2 3 2 2 4 2 2 3" xfId="36606"/>
    <cellStyle name="常规 6 2 2 3 2 2 4 2 2 4" xfId="36607"/>
    <cellStyle name="常规 6 2 2 3 2 2 4 2 3" xfId="36608"/>
    <cellStyle name="常规 6 2 2 3 2 2 4 2 3 2" xfId="36610"/>
    <cellStyle name="常规 6 2 2 3 2 2 4 2 4" xfId="36611"/>
    <cellStyle name="常规 6 2 2 3 2 2 4 2 5" xfId="36612"/>
    <cellStyle name="常规 6 2 2 3 2 2 4 3" xfId="36613"/>
    <cellStyle name="常规 6 2 2 3 2 2 4 3 2" xfId="36614"/>
    <cellStyle name="常规 6 2 2 3 2 2 4 3 2 2" xfId="36615"/>
    <cellStyle name="常规 6 2 2 3 2 2 4 3 3" xfId="36616"/>
    <cellStyle name="常规 6 2 2 3 2 2 4 3 4" xfId="36617"/>
    <cellStyle name="常规 6 2 2 3 2 2 4 4" xfId="8962"/>
    <cellStyle name="常规 6 2 2 3 2 2 4 4 2" xfId="36618"/>
    <cellStyle name="常规 6 2 2 3 2 2 4 5" xfId="36619"/>
    <cellStyle name="常规 6 2 2 3 2 2 4 6" xfId="36620"/>
    <cellStyle name="常规 6 2 2 3 2 2 5" xfId="36622"/>
    <cellStyle name="常规 6 2 2 3 2 2 5 2" xfId="36624"/>
    <cellStyle name="常规 6 2 2 3 2 2 5 2 2" xfId="36625"/>
    <cellStyle name="常规 6 2 2 3 2 2 5 2 2 2" xfId="36626"/>
    <cellStyle name="常规 6 2 2 3 2 2 5 2 3" xfId="36627"/>
    <cellStyle name="常规 6 2 2 3 2 2 5 2 4" xfId="36628"/>
    <cellStyle name="常规 6 2 2 3 2 2 5 3" xfId="36629"/>
    <cellStyle name="常规 6 2 2 3 2 2 5 3 2" xfId="36630"/>
    <cellStyle name="常规 6 2 2 3 2 2 5 4" xfId="36631"/>
    <cellStyle name="常规 6 2 2 3 2 2 5 5" xfId="36632"/>
    <cellStyle name="常规 6 2 2 3 2 2 6" xfId="36634"/>
    <cellStyle name="常规 6 2 2 3 2 2 6 2" xfId="12963"/>
    <cellStyle name="常规 6 2 2 3 2 2 6 2 2" xfId="36635"/>
    <cellStyle name="常规 6 2 2 3 2 2 6 3" xfId="12965"/>
    <cellStyle name="常规 6 2 2 3 2 2 6 4" xfId="36636"/>
    <cellStyle name="常规 6 2 2 3 2 2 7" xfId="36638"/>
    <cellStyle name="常规 6 2 2 3 2 2 7 2" xfId="12992"/>
    <cellStyle name="常规 6 2 2 3 2 2 8" xfId="36640"/>
    <cellStyle name="常规 6 2 2 3 2 2 9" xfId="36642"/>
    <cellStyle name="常规 6 2 2 3 2 3" xfId="36643"/>
    <cellStyle name="常规 6 2 2 3 2 3 2" xfId="36644"/>
    <cellStyle name="常规 6 2 2 3 2 3 2 2" xfId="36645"/>
    <cellStyle name="常规 6 2 2 3 2 3 2 2 2" xfId="36646"/>
    <cellStyle name="常规 6 2 2 3 2 3 2 2 2 2" xfId="36647"/>
    <cellStyle name="常规 6 2 2 3 2 3 2 2 2 2 2" xfId="36648"/>
    <cellStyle name="常规 6 2 2 3 2 3 2 2 2 2 2 2" xfId="36649"/>
    <cellStyle name="常规 6 2 2 3 2 3 2 2 2 2 2 2 2" xfId="36650"/>
    <cellStyle name="常规 6 2 2 3 2 3 2 2 2 2 2 3" xfId="36651"/>
    <cellStyle name="常规 6 2 2 3 2 3 2 2 2 2 2 4" xfId="36652"/>
    <cellStyle name="常规 6 2 2 3 2 3 2 2 2 2 3" xfId="36653"/>
    <cellStyle name="常规 6 2 2 3 2 3 2 2 2 2 3 2" xfId="36654"/>
    <cellStyle name="常规 6 2 2 3 2 3 2 2 2 2 4" xfId="36655"/>
    <cellStyle name="常规 6 2 2 3 2 3 2 2 2 2 5" xfId="36656"/>
    <cellStyle name="常规 6 2 2 3 2 3 2 2 2 3" xfId="36657"/>
    <cellStyle name="常规 6 2 2 3 2 3 2 2 2 3 2" xfId="36658"/>
    <cellStyle name="常规 6 2 2 3 2 3 2 2 2 3 2 2" xfId="36659"/>
    <cellStyle name="常规 6 2 2 3 2 3 2 2 2 3 3" xfId="36660"/>
    <cellStyle name="常规 6 2 2 3 2 3 2 2 2 3 4" xfId="6823"/>
    <cellStyle name="常规 6 2 2 3 2 3 2 2 2 4" xfId="36661"/>
    <cellStyle name="常规 6 2 2 3 2 3 2 2 2 4 2" xfId="36662"/>
    <cellStyle name="常规 6 2 2 3 2 3 2 2 2 5" xfId="36663"/>
    <cellStyle name="常规 6 2 2 3 2 3 2 2 2 6" xfId="36664"/>
    <cellStyle name="常规 6 2 2 3 2 3 2 2 3" xfId="36665"/>
    <cellStyle name="常规 6 2 2 3 2 3 2 2 3 2" xfId="36666"/>
    <cellStyle name="常规 6 2 2 3 2 3 2 2 3 2 2" xfId="36667"/>
    <cellStyle name="常规 6 2 2 3 2 3 2 2 3 2 2 2" xfId="36668"/>
    <cellStyle name="常规 6 2 2 3 2 3 2 2 3 2 3" xfId="36669"/>
    <cellStyle name="常规 6 2 2 3 2 3 2 2 3 2 4" xfId="36670"/>
    <cellStyle name="常规 6 2 2 3 2 3 2 2 3 3" xfId="36671"/>
    <cellStyle name="常规 6 2 2 3 2 3 2 2 3 3 2" xfId="36672"/>
    <cellStyle name="常规 6 2 2 3 2 3 2 2 3 4" xfId="36673"/>
    <cellStyle name="常规 6 2 2 3 2 3 2 2 3 5" xfId="36674"/>
    <cellStyle name="常规 6 2 2 3 2 3 2 2 4" xfId="36675"/>
    <cellStyle name="常规 6 2 2 3 2 3 2 2 4 2" xfId="36676"/>
    <cellStyle name="常规 6 2 2 3 2 3 2 2 4 2 2" xfId="36677"/>
    <cellStyle name="常规 6 2 2 3 2 3 2 2 4 3" xfId="36678"/>
    <cellStyle name="常规 6 2 2 3 2 3 2 2 4 4" xfId="36679"/>
    <cellStyle name="常规 6 2 2 3 2 3 2 2 5" xfId="14876"/>
    <cellStyle name="常规 6 2 2 3 2 3 2 2 5 2" xfId="15367"/>
    <cellStyle name="常规 6 2 2 3 2 3 2 2 6" xfId="14880"/>
    <cellStyle name="常规 6 2 2 3 2 3 2 2 7" xfId="32858"/>
    <cellStyle name="常规 6 2 2 3 2 3 2 3" xfId="36680"/>
    <cellStyle name="常规 6 2 2 3 2 3 2 3 2" xfId="36681"/>
    <cellStyle name="常规 6 2 2 3 2 3 2 3 2 2" xfId="36682"/>
    <cellStyle name="常规 6 2 2 3 2 3 2 3 2 2 2" xfId="36683"/>
    <cellStyle name="常规 6 2 2 3 2 3 2 3 2 2 2 2" xfId="36684"/>
    <cellStyle name="常规 6 2 2 3 2 3 2 3 2 2 3" xfId="36685"/>
    <cellStyle name="常规 6 2 2 3 2 3 2 3 2 2 4" xfId="36686"/>
    <cellStyle name="常规 6 2 2 3 2 3 2 3 2 3" xfId="36687"/>
    <cellStyle name="常规 6 2 2 3 2 3 2 3 2 3 2" xfId="36688"/>
    <cellStyle name="常规 6 2 2 3 2 3 2 3 2 4" xfId="36689"/>
    <cellStyle name="常规 6 2 2 3 2 3 2 3 2 5" xfId="36690"/>
    <cellStyle name="常规 6 2 2 3 2 3 2 3 3" xfId="36691"/>
    <cellStyle name="常规 6 2 2 3 2 3 2 3 3 2" xfId="36692"/>
    <cellStyle name="常规 6 2 2 3 2 3 2 3 3 2 2" xfId="36693"/>
    <cellStyle name="常规 6 2 2 3 2 3 2 3 3 3" xfId="36694"/>
    <cellStyle name="常规 6 2 2 3 2 3 2 3 3 4" xfId="36695"/>
    <cellStyle name="常规 6 2 2 3 2 3 2 3 4" xfId="36696"/>
    <cellStyle name="常规 6 2 2 3 2 3 2 3 4 2" xfId="36697"/>
    <cellStyle name="常规 6 2 2 3 2 3 2 3 5" xfId="7243"/>
    <cellStyle name="常规 6 2 2 3 2 3 2 3 6" xfId="36698"/>
    <cellStyle name="常规 6 2 2 3 2 3 2 4" xfId="28319"/>
    <cellStyle name="常规 6 2 2 3 2 3 2 4 2" xfId="28322"/>
    <cellStyle name="常规 6 2 2 3 2 3 2 4 2 2" xfId="25297"/>
    <cellStyle name="常规 6 2 2 3 2 3 2 4 2 2 2" xfId="36699"/>
    <cellStyle name="常规 6 2 2 3 2 3 2 4 2 3" xfId="25300"/>
    <cellStyle name="常规 6 2 2 3 2 3 2 4 2 4" xfId="36700"/>
    <cellStyle name="常规 6 2 2 3 2 3 2 4 3" xfId="36701"/>
    <cellStyle name="常规 6 2 2 3 2 3 2 4 3 2" xfId="36702"/>
    <cellStyle name="常规 6 2 2 3 2 3 2 4 4" xfId="36703"/>
    <cellStyle name="常规 6 2 2 3 2 3 2 4 5" xfId="36704"/>
    <cellStyle name="常规 6 2 2 3 2 3 2 5" xfId="28325"/>
    <cellStyle name="常规 6 2 2 3 2 3 2 5 2" xfId="36705"/>
    <cellStyle name="常规 6 2 2 3 2 3 2 5 2 2" xfId="36706"/>
    <cellStyle name="常规 6 2 2 3 2 3 2 5 3" xfId="36707"/>
    <cellStyle name="常规 6 2 2 3 2 3 2 5 4" xfId="36708"/>
    <cellStyle name="常规 6 2 2 3 2 3 2 6" xfId="28328"/>
    <cellStyle name="常规 6 2 2 3 2 3 2 6 2" xfId="33387"/>
    <cellStyle name="常规 6 2 2 3 2 3 2 7" xfId="36709"/>
    <cellStyle name="常规 6 2 2 3 2 3 2 8" xfId="36710"/>
    <cellStyle name="常规 6 2 2 3 2 3 3" xfId="36711"/>
    <cellStyle name="常规 6 2 2 3 2 3 3 2" xfId="36712"/>
    <cellStyle name="常规 6 2 2 3 2 3 3 2 2" xfId="36713"/>
    <cellStyle name="常规 6 2 2 3 2 3 3 2 2 2" xfId="36714"/>
    <cellStyle name="常规 6 2 2 3 2 3 3 2 2 2 2" xfId="36715"/>
    <cellStyle name="常规 6 2 2 3 2 3 3 2 2 2 2 2" xfId="36716"/>
    <cellStyle name="常规 6 2 2 3 2 3 3 2 2 2 3" xfId="36717"/>
    <cellStyle name="常规 6 2 2 3 2 3 3 2 2 2 4" xfId="36718"/>
    <cellStyle name="常规 6 2 2 3 2 3 3 2 2 3" xfId="36719"/>
    <cellStyle name="常规 6 2 2 3 2 3 3 2 2 3 2" xfId="36720"/>
    <cellStyle name="常规 6 2 2 3 2 3 3 2 2 4" xfId="36721"/>
    <cellStyle name="常规 6 2 2 3 2 3 3 2 2 5" xfId="36722"/>
    <cellStyle name="常规 6 2 2 3 2 3 3 2 3" xfId="36723"/>
    <cellStyle name="常规 6 2 2 3 2 3 3 2 3 2" xfId="36724"/>
    <cellStyle name="常规 6 2 2 3 2 3 3 2 3 2 2" xfId="36725"/>
    <cellStyle name="常规 6 2 2 3 2 3 3 2 3 3" xfId="36726"/>
    <cellStyle name="常规 6 2 2 3 2 3 3 2 3 4" xfId="36727"/>
    <cellStyle name="常规 6 2 2 3 2 3 3 2 4" xfId="36728"/>
    <cellStyle name="常规 6 2 2 3 2 3 3 2 4 2" xfId="36729"/>
    <cellStyle name="常规 6 2 2 3 2 3 3 2 5" xfId="12608"/>
    <cellStyle name="常规 6 2 2 3 2 3 3 2 6" xfId="36730"/>
    <cellStyle name="常规 6 2 2 3 2 3 3 3" xfId="36731"/>
    <cellStyle name="常规 6 2 2 3 2 3 3 3 2" xfId="36732"/>
    <cellStyle name="常规 6 2 2 3 2 3 3 3 2 2" xfId="36733"/>
    <cellStyle name="常规 6 2 2 3 2 3 3 3 2 2 2" xfId="36734"/>
    <cellStyle name="常规 6 2 2 3 2 3 3 3 2 3" xfId="36735"/>
    <cellStyle name="常规 6 2 2 3 2 3 3 3 2 4" xfId="36736"/>
    <cellStyle name="常规 6 2 2 3 2 3 3 3 3" xfId="36737"/>
    <cellStyle name="常规 6 2 2 3 2 3 3 3 3 2" xfId="36738"/>
    <cellStyle name="常规 6 2 2 3 2 3 3 3 4" xfId="36739"/>
    <cellStyle name="常规 6 2 2 3 2 3 3 3 5" xfId="36740"/>
    <cellStyle name="常规 6 2 2 3 2 3 3 4" xfId="28333"/>
    <cellStyle name="常规 6 2 2 3 2 3 3 4 2" xfId="36741"/>
    <cellStyle name="常规 6 2 2 3 2 3 3 4 2 2" xfId="36742"/>
    <cellStyle name="常规 6 2 2 3 2 3 3 4 3" xfId="36743"/>
    <cellStyle name="常规 6 2 2 3 2 3 3 4 4" xfId="36744"/>
    <cellStyle name="常规 6 2 2 3 2 3 3 5" xfId="36745"/>
    <cellStyle name="常规 6 2 2 3 2 3 3 5 2" xfId="36746"/>
    <cellStyle name="常规 6 2 2 3 2 3 3 6" xfId="36747"/>
    <cellStyle name="常规 6 2 2 3 2 3 3 7" xfId="36748"/>
    <cellStyle name="常规 6 2 2 3 2 3 4" xfId="36749"/>
    <cellStyle name="常规 6 2 2 3 2 3 4 2" xfId="36750"/>
    <cellStyle name="常规 6 2 2 3 2 3 4 2 2" xfId="36751"/>
    <cellStyle name="常规 6 2 2 3 2 3 4 2 2 2" xfId="36752"/>
    <cellStyle name="常规 6 2 2 3 2 3 4 2 2 2 2" xfId="36753"/>
    <cellStyle name="常规 6 2 2 3 2 3 4 2 2 3" xfId="36754"/>
    <cellStyle name="常规 6 2 2 3 2 3 4 2 2 4" xfId="36755"/>
    <cellStyle name="常规 6 2 2 3 2 3 4 2 3" xfId="36756"/>
    <cellStyle name="常规 6 2 2 3 2 3 4 2 3 2" xfId="36758"/>
    <cellStyle name="常规 6 2 2 3 2 3 4 2 4" xfId="36759"/>
    <cellStyle name="常规 6 2 2 3 2 3 4 2 5" xfId="36760"/>
    <cellStyle name="常规 6 2 2 3 2 3 4 3" xfId="36761"/>
    <cellStyle name="常规 6 2 2 3 2 3 4 3 2" xfId="36762"/>
    <cellStyle name="常规 6 2 2 3 2 3 4 3 2 2" xfId="36763"/>
    <cellStyle name="常规 6 2 2 3 2 3 4 3 3" xfId="36764"/>
    <cellStyle name="常规 6 2 2 3 2 3 4 3 4" xfId="36765"/>
    <cellStyle name="常规 6 2 2 3 2 3 4 4" xfId="36766"/>
    <cellStyle name="常规 6 2 2 3 2 3 4 4 2" xfId="36767"/>
    <cellStyle name="常规 6 2 2 3 2 3 4 5" xfId="36768"/>
    <cellStyle name="常规 6 2 2 3 2 3 4 6" xfId="36769"/>
    <cellStyle name="常规 6 2 2 3 2 3 5" xfId="36771"/>
    <cellStyle name="常规 6 2 2 3 2 3 5 2" xfId="36772"/>
    <cellStyle name="常规 6 2 2 3 2 3 5 2 2" xfId="36773"/>
    <cellStyle name="常规 6 2 2 3 2 3 5 2 2 2" xfId="36774"/>
    <cellStyle name="常规 6 2 2 3 2 3 5 2 3" xfId="36775"/>
    <cellStyle name="常规 6 2 2 3 2 3 5 2 4" xfId="36776"/>
    <cellStyle name="常规 6 2 2 3 2 3 5 3" xfId="36777"/>
    <cellStyle name="常规 6 2 2 3 2 3 5 3 2" xfId="36778"/>
    <cellStyle name="常规 6 2 2 3 2 3 5 4" xfId="36779"/>
    <cellStyle name="常规 6 2 2 3 2 3 5 5" xfId="36780"/>
    <cellStyle name="常规 6 2 2 3 2 3 6" xfId="36781"/>
    <cellStyle name="常规 6 2 2 3 2 3 6 2" xfId="456"/>
    <cellStyle name="常规 6 2 2 3 2 3 6 2 2" xfId="36782"/>
    <cellStyle name="常规 6 2 2 3 2 3 6 3" xfId="36783"/>
    <cellStyle name="常规 6 2 2 3 2 3 6 4" xfId="36784"/>
    <cellStyle name="常规 6 2 2 3 2 3 7" xfId="36785"/>
    <cellStyle name="常规 6 2 2 3 2 3 7 2" xfId="527"/>
    <cellStyle name="常规 6 2 2 3 2 3 8" xfId="36787"/>
    <cellStyle name="常规 6 2 2 3 2 3 9" xfId="36789"/>
    <cellStyle name="常规 6 2 2 3 2 4" xfId="36790"/>
    <cellStyle name="常规 6 2 2 3 2 4 2" xfId="36791"/>
    <cellStyle name="常规 6 2 2 3 2 4 2 2" xfId="36792"/>
    <cellStyle name="常规 6 2 2 3 2 4 2 2 2" xfId="36793"/>
    <cellStyle name="常规 6 2 2 3 2 4 2 2 2 2" xfId="36794"/>
    <cellStyle name="常规 6 2 2 3 2 4 2 2 2 2 2" xfId="36795"/>
    <cellStyle name="常规 6 2 2 3 2 4 2 2 2 2 2 2" xfId="36796"/>
    <cellStyle name="常规 6 2 2 3 2 4 2 2 2 2 3" xfId="36797"/>
    <cellStyle name="常规 6 2 2 3 2 4 2 2 2 2 4" xfId="36798"/>
    <cellStyle name="常规 6 2 2 3 2 4 2 2 2 3" xfId="36799"/>
    <cellStyle name="常规 6 2 2 3 2 4 2 2 2 3 2" xfId="36800"/>
    <cellStyle name="常规 6 2 2 3 2 4 2 2 2 4" xfId="36801"/>
    <cellStyle name="常规 6 2 2 3 2 4 2 2 2 5" xfId="36802"/>
    <cellStyle name="常规 6 2 2 3 2 4 2 2 3" xfId="36803"/>
    <cellStyle name="常规 6 2 2 3 2 4 2 2 3 2" xfId="36804"/>
    <cellStyle name="常规 6 2 2 3 2 4 2 2 3 2 2" xfId="36805"/>
    <cellStyle name="常规 6 2 2 3 2 4 2 2 3 3" xfId="36806"/>
    <cellStyle name="常规 6 2 2 3 2 4 2 2 3 4" xfId="36807"/>
    <cellStyle name="常规 6 2 2 3 2 4 2 2 4" xfId="36808"/>
    <cellStyle name="常规 6 2 2 3 2 4 2 2 4 2" xfId="36809"/>
    <cellStyle name="常规 6 2 2 3 2 4 2 2 5" xfId="14959"/>
    <cellStyle name="常规 6 2 2 3 2 4 2 2 6" xfId="36810"/>
    <cellStyle name="常规 6 2 2 3 2 4 2 3" xfId="36811"/>
    <cellStyle name="常规 6 2 2 3 2 4 2 3 2" xfId="36812"/>
    <cellStyle name="常规 6 2 2 3 2 4 2 3 2 2" xfId="36813"/>
    <cellStyle name="常规 6 2 2 3 2 4 2 3 2 2 2" xfId="36814"/>
    <cellStyle name="常规 6 2 2 3 2 4 2 3 2 3" xfId="36815"/>
    <cellStyle name="常规 6 2 2 3 2 4 2 3 2 4" xfId="36816"/>
    <cellStyle name="常规 6 2 2 3 2 4 2 3 3" xfId="36817"/>
    <cellStyle name="常规 6 2 2 3 2 4 2 3 3 2" xfId="36818"/>
    <cellStyle name="常规 6 2 2 3 2 4 2 3 4" xfId="36819"/>
    <cellStyle name="常规 6 2 2 3 2 4 2 3 5" xfId="36820"/>
    <cellStyle name="常规 6 2 2 3 2 4 2 4" xfId="28340"/>
    <cellStyle name="常规 6 2 2 3 2 4 2 4 2" xfId="36821"/>
    <cellStyle name="常规 6 2 2 3 2 4 2 4 2 2" xfId="36822"/>
    <cellStyle name="常规 6 2 2 3 2 4 2 4 3" xfId="36823"/>
    <cellStyle name="常规 6 2 2 3 2 4 2 4 4" xfId="36824"/>
    <cellStyle name="常规 6 2 2 3 2 4 2 5" xfId="36825"/>
    <cellStyle name="常规 6 2 2 3 2 4 2 5 2" xfId="36826"/>
    <cellStyle name="常规 6 2 2 3 2 4 2 6" xfId="36827"/>
    <cellStyle name="常规 6 2 2 3 2 4 2 7" xfId="36828"/>
    <cellStyle name="常规 6 2 2 3 2 4 3" xfId="36829"/>
    <cellStyle name="常规 6 2 2 3 2 4 3 2" xfId="36830"/>
    <cellStyle name="常规 6 2 2 3 2 4 3 2 2" xfId="36831"/>
    <cellStyle name="常规 6 2 2 3 2 4 3 2 2 2" xfId="36832"/>
    <cellStyle name="常规 6 2 2 3 2 4 3 2 2 2 2" xfId="36833"/>
    <cellStyle name="常规 6 2 2 3 2 4 3 2 2 3" xfId="36834"/>
    <cellStyle name="常规 6 2 2 3 2 4 3 2 2 4" xfId="36835"/>
    <cellStyle name="常规 6 2 2 3 2 4 3 2 3" xfId="36836"/>
    <cellStyle name="常规 6 2 2 3 2 4 3 2 3 2" xfId="36837"/>
    <cellStyle name="常规 6 2 2 3 2 4 3 2 4" xfId="36838"/>
    <cellStyle name="常规 6 2 2 3 2 4 3 2 5" xfId="36839"/>
    <cellStyle name="常规 6 2 2 3 2 4 3 3" xfId="36840"/>
    <cellStyle name="常规 6 2 2 3 2 4 3 3 2" xfId="36841"/>
    <cellStyle name="常规 6 2 2 3 2 4 3 3 2 2" xfId="36842"/>
    <cellStyle name="常规 6 2 2 3 2 4 3 3 3" xfId="36843"/>
    <cellStyle name="常规 6 2 2 3 2 4 3 3 4" xfId="36844"/>
    <cellStyle name="常规 6 2 2 3 2 4 3 4" xfId="14277"/>
    <cellStyle name="常规 6 2 2 3 2 4 3 4 2" xfId="14281"/>
    <cellStyle name="常规 6 2 2 3 2 4 3 5" xfId="14283"/>
    <cellStyle name="常规 6 2 2 3 2 4 3 6" xfId="14285"/>
    <cellStyle name="常规 6 2 2 3 2 4 4" xfId="36845"/>
    <cellStyle name="常规 6 2 2 3 2 4 4 2" xfId="36846"/>
    <cellStyle name="常规 6 2 2 3 2 4 4 2 2" xfId="36847"/>
    <cellStyle name="常规 6 2 2 3 2 4 4 2 2 2" xfId="36848"/>
    <cellStyle name="常规 6 2 2 3 2 4 4 2 3" xfId="36849"/>
    <cellStyle name="常规 6 2 2 3 2 4 4 2 4" xfId="36850"/>
    <cellStyle name="常规 6 2 2 3 2 4 4 3" xfId="36851"/>
    <cellStyle name="常规 6 2 2 3 2 4 4 3 2" xfId="36852"/>
    <cellStyle name="常规 6 2 2 3 2 4 4 4" xfId="9022"/>
    <cellStyle name="常规 6 2 2 3 2 4 4 5" xfId="36853"/>
    <cellStyle name="常规 6 2 2 3 2 4 5" xfId="36854"/>
    <cellStyle name="常规 6 2 2 3 2 4 5 2" xfId="36855"/>
    <cellStyle name="常规 6 2 2 3 2 4 5 2 2" xfId="36856"/>
    <cellStyle name="常规 6 2 2 3 2 4 5 3" xfId="36857"/>
    <cellStyle name="常规 6 2 2 3 2 4 5 4" xfId="36858"/>
    <cellStyle name="常规 6 2 2 3 2 4 6" xfId="36859"/>
    <cellStyle name="常规 6 2 2 3 2 4 6 2" xfId="36860"/>
    <cellStyle name="常规 6 2 2 3 2 4 7" xfId="36861"/>
    <cellStyle name="常规 6 2 2 3 2 4 8" xfId="30475"/>
    <cellStyle name="常规 6 2 2 3 2 5" xfId="36862"/>
    <cellStyle name="常规 6 2 2 3 2 5 2" xfId="36863"/>
    <cellStyle name="常规 6 2 2 3 2 5 2 2" xfId="36864"/>
    <cellStyle name="常规 6 2 2 3 2 5 2 2 2" xfId="36865"/>
    <cellStyle name="常规 6 2 2 3 2 5 2 2 2 2" xfId="36866"/>
    <cellStyle name="常规 6 2 2 3 2 5 2 2 2 2 2" xfId="36867"/>
    <cellStyle name="常规 6 2 2 3 2 5 2 2 2 3" xfId="36868"/>
    <cellStyle name="常规 6 2 2 3 2 5 2 2 2 4" xfId="36869"/>
    <cellStyle name="常规 6 2 2 3 2 5 2 2 3" xfId="36870"/>
    <cellStyle name="常规 6 2 2 3 2 5 2 2 3 2" xfId="13362"/>
    <cellStyle name="常规 6 2 2 3 2 5 2 2 4" xfId="36871"/>
    <cellStyle name="常规 6 2 2 3 2 5 2 2 5" xfId="36872"/>
    <cellStyle name="常规 6 2 2 3 2 5 2 3" xfId="36873"/>
    <cellStyle name="常规 6 2 2 3 2 5 2 3 2" xfId="36874"/>
    <cellStyle name="常规 6 2 2 3 2 5 2 3 2 2" xfId="36875"/>
    <cellStyle name="常规 6 2 2 3 2 5 2 3 3" xfId="36876"/>
    <cellStyle name="常规 6 2 2 3 2 5 2 3 4" xfId="36877"/>
    <cellStyle name="常规 6 2 2 3 2 5 2 4" xfId="36878"/>
    <cellStyle name="常规 6 2 2 3 2 5 2 4 2" xfId="36879"/>
    <cellStyle name="常规 6 2 2 3 2 5 2 5" xfId="36880"/>
    <cellStyle name="常规 6 2 2 3 2 5 2 6" xfId="36881"/>
    <cellStyle name="常规 6 2 2 3 2 5 3" xfId="36882"/>
    <cellStyle name="常规 6 2 2 3 2 5 3 2" xfId="36883"/>
    <cellStyle name="常规 6 2 2 3 2 5 3 2 2" xfId="36884"/>
    <cellStyle name="常规 6 2 2 3 2 5 3 2 2 2" xfId="36885"/>
    <cellStyle name="常规 6 2 2 3 2 5 3 2 3" xfId="36886"/>
    <cellStyle name="常规 6 2 2 3 2 5 3 2 4" xfId="36887"/>
    <cellStyle name="常规 6 2 2 3 2 5 3 3" xfId="36888"/>
    <cellStyle name="常规 6 2 2 3 2 5 3 3 2" xfId="36889"/>
    <cellStyle name="常规 6 2 2 3 2 5 3 4" xfId="14288"/>
    <cellStyle name="常规 6 2 2 3 2 5 3 5" xfId="36890"/>
    <cellStyle name="常规 6 2 2 3 2 5 4" xfId="36891"/>
    <cellStyle name="常规 6 2 2 3 2 5 4 2" xfId="36892"/>
    <cellStyle name="常规 6 2 2 3 2 5 4 2 2" xfId="36893"/>
    <cellStyle name="常规 6 2 2 3 2 5 4 3" xfId="36894"/>
    <cellStyle name="常规 6 2 2 3 2 5 4 4" xfId="36895"/>
    <cellStyle name="常规 6 2 2 3 2 5 5" xfId="36896"/>
    <cellStyle name="常规 6 2 2 3 2 5 5 2" xfId="36897"/>
    <cellStyle name="常规 6 2 2 3 2 5 6" xfId="36899"/>
    <cellStyle name="常规 6 2 2 3 2 5 7" xfId="36900"/>
    <cellStyle name="常规 6 2 2 3 2 6" xfId="36901"/>
    <cellStyle name="常规 6 2 2 3 2 6 2" xfId="36902"/>
    <cellStyle name="常规 6 2 2 3 2 6 2 2" xfId="36903"/>
    <cellStyle name="常规 6 2 2 3 2 6 2 2 2" xfId="36904"/>
    <cellStyle name="常规 6 2 2 3 2 6 2 2 2 2" xfId="36905"/>
    <cellStyle name="常规 6 2 2 3 2 6 2 2 3" xfId="36906"/>
    <cellStyle name="常规 6 2 2 3 2 6 2 2 4" xfId="36907"/>
    <cellStyle name="常规 6 2 2 3 2 6 2 3" xfId="36908"/>
    <cellStyle name="常规 6 2 2 3 2 6 2 3 2" xfId="36909"/>
    <cellStyle name="常规 6 2 2 3 2 6 2 4" xfId="36910"/>
    <cellStyle name="常规 6 2 2 3 2 6 2 5" xfId="36911"/>
    <cellStyle name="常规 6 2 2 3 2 6 3" xfId="36912"/>
    <cellStyle name="常规 6 2 2 3 2 6 3 2" xfId="36913"/>
    <cellStyle name="常规 6 2 2 3 2 6 3 2 2" xfId="36914"/>
    <cellStyle name="常规 6 2 2 3 2 6 3 3" xfId="36915"/>
    <cellStyle name="常规 6 2 2 3 2 6 3 4" xfId="36916"/>
    <cellStyle name="常规 6 2 2 3 2 6 4" xfId="36917"/>
    <cellStyle name="常规 6 2 2 3 2 6 4 2" xfId="36918"/>
    <cellStyle name="常规 6 2 2 3 2 6 5" xfId="36919"/>
    <cellStyle name="常规 6 2 2 3 2 6 6" xfId="36920"/>
    <cellStyle name="常规 6 2 2 3 2 7" xfId="36921"/>
    <cellStyle name="常规 6 2 2 3 2 7 2" xfId="36922"/>
    <cellStyle name="常规 6 2 2 3 2 7 2 2" xfId="36923"/>
    <cellStyle name="常规 6 2 2 3 2 7 2 2 2" xfId="11912"/>
    <cellStyle name="常规 6 2 2 3 2 7 2 3" xfId="36924"/>
    <cellStyle name="常规 6 2 2 3 2 7 2 4" xfId="36925"/>
    <cellStyle name="常规 6 2 2 3 2 7 3" xfId="36926"/>
    <cellStyle name="常规 6 2 2 3 2 7 3 2" xfId="36927"/>
    <cellStyle name="常规 6 2 2 3 2 7 4" xfId="36928"/>
    <cellStyle name="常规 6 2 2 3 2 7 5" xfId="36929"/>
    <cellStyle name="常规 6 2 2 3 2 8" xfId="36930"/>
    <cellStyle name="常规 6 2 2 3 2 8 2" xfId="36931"/>
    <cellStyle name="常规 6 2 2 3 2 8 2 2" xfId="36932"/>
    <cellStyle name="常规 6 2 2 3 2 8 3" xfId="36933"/>
    <cellStyle name="常规 6 2 2 3 2 8 4" xfId="36934"/>
    <cellStyle name="常规 6 2 2 3 2 9" xfId="36935"/>
    <cellStyle name="常规 6 2 2 3 2 9 2" xfId="36936"/>
    <cellStyle name="常规 6 2 2 3 3" xfId="36937"/>
    <cellStyle name="常规 6 2 2 3 3 2" xfId="10988"/>
    <cellStyle name="常规 6 2 2 3 3 2 2" xfId="10995"/>
    <cellStyle name="常规 6 2 2 3 3 2 2 2" xfId="10997"/>
    <cellStyle name="常规 6 2 2 3 3 2 2 2 2" xfId="10999"/>
    <cellStyle name="常规 6 2 2 3 3 2 2 2 2 2" xfId="11001"/>
    <cellStyle name="常规 6 2 2 3 3 2 2 2 2 2 2" xfId="11003"/>
    <cellStyle name="常规 6 2 2 3 3 2 2 2 2 2 2 2" xfId="11006"/>
    <cellStyle name="常规 6 2 2 3 3 2 2 2 2 2 3" xfId="11008"/>
    <cellStyle name="常规 6 2 2 3 3 2 2 2 2 2 4" xfId="11010"/>
    <cellStyle name="常规 6 2 2 3 3 2 2 2 2 3" xfId="11012"/>
    <cellStyle name="常规 6 2 2 3 3 2 2 2 2 3 2" xfId="11014"/>
    <cellStyle name="常规 6 2 2 3 3 2 2 2 2 4" xfId="11016"/>
    <cellStyle name="常规 6 2 2 3 3 2 2 2 2 5" xfId="11018"/>
    <cellStyle name="常规 6 2 2 3 3 2 2 2 3" xfId="11020"/>
    <cellStyle name="常规 6 2 2 3 3 2 2 2 3 2" xfId="11022"/>
    <cellStyle name="常规 6 2 2 3 3 2 2 2 3 2 2" xfId="11024"/>
    <cellStyle name="常规 6 2 2 3 3 2 2 2 3 3" xfId="11026"/>
    <cellStyle name="常规 6 2 2 3 3 2 2 2 3 4" xfId="11028"/>
    <cellStyle name="常规 6 2 2 3 3 2 2 2 4" xfId="4066"/>
    <cellStyle name="常规 6 2 2 3 3 2 2 2 4 2" xfId="11031"/>
    <cellStyle name="常规 6 2 2 3 3 2 2 2 5" xfId="11034"/>
    <cellStyle name="常规 6 2 2 3 3 2 2 2 6" xfId="11037"/>
    <cellStyle name="常规 6 2 2 3 3 2 2 3" xfId="11040"/>
    <cellStyle name="常规 6 2 2 3 3 2 2 3 2" xfId="11042"/>
    <cellStyle name="常规 6 2 2 3 3 2 2 3 2 2" xfId="11044"/>
    <cellStyle name="常规 6 2 2 3 3 2 2 3 2 2 2" xfId="11046"/>
    <cellStyle name="常规 6 2 2 3 3 2 2 3 2 3" xfId="11048"/>
    <cellStyle name="常规 6 2 2 3 3 2 2 3 2 4" xfId="11050"/>
    <cellStyle name="常规 6 2 2 3 3 2 2 3 3" xfId="11052"/>
    <cellStyle name="常规 6 2 2 3 3 2 2 3 3 2" xfId="11054"/>
    <cellStyle name="常规 6 2 2 3 3 2 2 3 4" xfId="11057"/>
    <cellStyle name="常规 6 2 2 3 3 2 2 3 5" xfId="11060"/>
    <cellStyle name="常规 6 2 2 3 3 2 2 4" xfId="11063"/>
    <cellStyle name="常规 6 2 2 3 3 2 2 4 2" xfId="11066"/>
    <cellStyle name="常规 6 2 2 3 3 2 2 4 2 2" xfId="11069"/>
    <cellStyle name="常规 6 2 2 3 3 2 2 4 3" xfId="11072"/>
    <cellStyle name="常规 6 2 2 3 3 2 2 4 4" xfId="11075"/>
    <cellStyle name="常规 6 2 2 3 3 2 2 5" xfId="11078"/>
    <cellStyle name="常规 6 2 2 3 3 2 2 5 2" xfId="11082"/>
    <cellStyle name="常规 6 2 2 3 3 2 2 6" xfId="11087"/>
    <cellStyle name="常规 6 2 2 3 3 2 2 7" xfId="11091"/>
    <cellStyle name="常规 6 2 2 3 3 2 3" xfId="11095"/>
    <cellStyle name="常规 6 2 2 3 3 2 3 2" xfId="11099"/>
    <cellStyle name="常规 6 2 2 3 3 2 3 2 2" xfId="11101"/>
    <cellStyle name="常规 6 2 2 3 3 2 3 2 2 2" xfId="11103"/>
    <cellStyle name="常规 6 2 2 3 3 2 3 2 2 2 2" xfId="11105"/>
    <cellStyle name="常规 6 2 2 3 3 2 3 2 2 3" xfId="11107"/>
    <cellStyle name="常规 6 2 2 3 3 2 3 2 2 4" xfId="11109"/>
    <cellStyle name="常规 6 2 2 3 3 2 3 2 3" xfId="11111"/>
    <cellStyle name="常规 6 2 2 3 3 2 3 2 3 2" xfId="11113"/>
    <cellStyle name="常规 6 2 2 3 3 2 3 2 4" xfId="11116"/>
    <cellStyle name="常规 6 2 2 3 3 2 3 2 5" xfId="11118"/>
    <cellStyle name="常规 6 2 2 3 3 2 3 3" xfId="11120"/>
    <cellStyle name="常规 6 2 2 3 3 2 3 3 2" xfId="11122"/>
    <cellStyle name="常规 6 2 2 3 3 2 3 3 2 2" xfId="11124"/>
    <cellStyle name="常规 6 2 2 3 3 2 3 3 3" xfId="11126"/>
    <cellStyle name="常规 6 2 2 3 3 2 3 3 4" xfId="11128"/>
    <cellStyle name="常规 6 2 2 3 3 2 3 4" xfId="11130"/>
    <cellStyle name="常规 6 2 2 3 3 2 3 4 2" xfId="11133"/>
    <cellStyle name="常规 6 2 2 3 3 2 3 5" xfId="11136"/>
    <cellStyle name="常规 6 2 2 3 3 2 3 6" xfId="11140"/>
    <cellStyle name="常规 6 2 2 3 3 2 4" xfId="11144"/>
    <cellStyle name="常规 6 2 2 3 3 2 4 2" xfId="11146"/>
    <cellStyle name="常规 6 2 2 3 3 2 4 2 2" xfId="11148"/>
    <cellStyle name="常规 6 2 2 3 3 2 4 2 2 2" xfId="11151"/>
    <cellStyle name="常规 6 2 2 3 3 2 4 2 3" xfId="11154"/>
    <cellStyle name="常规 6 2 2 3 3 2 4 2 4" xfId="11156"/>
    <cellStyle name="常规 6 2 2 3 3 2 4 3" xfId="11158"/>
    <cellStyle name="常规 6 2 2 3 3 2 4 3 2" xfId="11160"/>
    <cellStyle name="常规 6 2 2 3 3 2 4 4" xfId="2546"/>
    <cellStyle name="常规 6 2 2 3 3 2 4 5" xfId="9053"/>
    <cellStyle name="常规 6 2 2 3 3 2 5" xfId="11163"/>
    <cellStyle name="常规 6 2 2 3 3 2 5 2" xfId="11165"/>
    <cellStyle name="常规 6 2 2 3 3 2 5 2 2" xfId="11167"/>
    <cellStyle name="常规 6 2 2 3 3 2 5 3" xfId="11169"/>
    <cellStyle name="常规 6 2 2 3 3 2 5 4" xfId="9061"/>
    <cellStyle name="常规 6 2 2 3 3 2 6" xfId="11171"/>
    <cellStyle name="常规 6 2 2 3 3 2 6 2" xfId="11173"/>
    <cellStyle name="常规 6 2 2 3 3 2 7" xfId="11176"/>
    <cellStyle name="常规 6 2 2 3 3 2 8" xfId="7949"/>
    <cellStyle name="常规 6 2 2 3 3 3" xfId="6890"/>
    <cellStyle name="常规 6 2 2 3 3 3 2" xfId="11180"/>
    <cellStyle name="常规 6 2 2 3 3 3 2 2" xfId="11183"/>
    <cellStyle name="常规 6 2 2 3 3 3 2 2 2" xfId="11185"/>
    <cellStyle name="常规 6 2 2 3 3 3 2 2 2 2" xfId="11188"/>
    <cellStyle name="常规 6 2 2 3 3 3 2 2 2 2 2" xfId="11190"/>
    <cellStyle name="常规 6 2 2 3 3 3 2 2 2 3" xfId="11192"/>
    <cellStyle name="常规 6 2 2 3 3 3 2 2 2 4" xfId="11194"/>
    <cellStyle name="常规 6 2 2 3 3 3 2 2 3" xfId="11197"/>
    <cellStyle name="常规 6 2 2 3 3 3 2 2 3 2" xfId="11200"/>
    <cellStyle name="常规 6 2 2 3 3 3 2 2 4" xfId="11204"/>
    <cellStyle name="常规 6 2 2 3 3 3 2 2 5" xfId="11206"/>
    <cellStyle name="常规 6 2 2 3 3 3 2 3" xfId="11210"/>
    <cellStyle name="常规 6 2 2 3 3 3 2 3 2" xfId="11212"/>
    <cellStyle name="常规 6 2 2 3 3 3 2 3 2 2" xfId="11214"/>
    <cellStyle name="常规 6 2 2 3 3 3 2 3 3" xfId="11217"/>
    <cellStyle name="常规 6 2 2 3 3 3 2 3 4" xfId="11219"/>
    <cellStyle name="常规 6 2 2 3 3 3 2 4" xfId="11221"/>
    <cellStyle name="常规 6 2 2 3 3 3 2 4 2" xfId="11224"/>
    <cellStyle name="常规 6 2 2 3 3 3 2 5" xfId="11227"/>
    <cellStyle name="常规 6 2 2 3 3 3 2 6" xfId="11231"/>
    <cellStyle name="常规 6 2 2 3 3 3 3" xfId="11234"/>
    <cellStyle name="常规 6 2 2 3 3 3 3 2" xfId="11236"/>
    <cellStyle name="常规 6 2 2 3 3 3 3 2 2" xfId="11238"/>
    <cellStyle name="常规 6 2 2 3 3 3 3 2 2 2" xfId="11240"/>
    <cellStyle name="常规 6 2 2 3 3 3 3 2 3" xfId="11243"/>
    <cellStyle name="常规 6 2 2 3 3 3 3 2 4" xfId="11246"/>
    <cellStyle name="常规 6 2 2 3 3 3 3 3" xfId="11248"/>
    <cellStyle name="常规 6 2 2 3 3 3 3 3 2" xfId="11250"/>
    <cellStyle name="常规 6 2 2 3 3 3 3 4" xfId="11252"/>
    <cellStyle name="常规 6 2 2 3 3 3 3 5" xfId="11255"/>
    <cellStyle name="常规 6 2 2 3 3 3 4" xfId="11257"/>
    <cellStyle name="常规 6 2 2 3 3 3 4 2" xfId="11259"/>
    <cellStyle name="常规 6 2 2 3 3 3 4 2 2" xfId="11261"/>
    <cellStyle name="常规 6 2 2 3 3 3 4 3" xfId="11263"/>
    <cellStyle name="常规 6 2 2 3 3 3 4 4" xfId="9074"/>
    <cellStyle name="常规 6 2 2 3 3 3 5" xfId="11265"/>
    <cellStyle name="常规 6 2 2 3 3 3 5 2" xfId="11267"/>
    <cellStyle name="常规 6 2 2 3 3 3 6" xfId="11269"/>
    <cellStyle name="常规 6 2 2 3 3 3 7" xfId="11271"/>
    <cellStyle name="常规 6 2 2 3 3 4" xfId="11275"/>
    <cellStyle name="常规 6 2 2 3 3 4 2" xfId="11277"/>
    <cellStyle name="常规 6 2 2 3 3 4 2 2" xfId="11280"/>
    <cellStyle name="常规 6 2 2 3 3 4 2 2 2" xfId="11282"/>
    <cellStyle name="常规 6 2 2 3 3 4 2 2 2 2" xfId="11286"/>
    <cellStyle name="常规 6 2 2 3 3 4 2 2 3" xfId="11289"/>
    <cellStyle name="常规 6 2 2 3 3 4 2 2 4" xfId="11291"/>
    <cellStyle name="常规 6 2 2 3 3 4 2 3" xfId="11293"/>
    <cellStyle name="常规 6 2 2 3 3 4 2 3 2" xfId="11296"/>
    <cellStyle name="常规 6 2 2 3 3 4 2 4" xfId="11298"/>
    <cellStyle name="常规 6 2 2 3 3 4 2 5" xfId="11301"/>
    <cellStyle name="常规 6 2 2 3 3 4 3" xfId="11303"/>
    <cellStyle name="常规 6 2 2 3 3 4 3 2" xfId="11305"/>
    <cellStyle name="常规 6 2 2 3 3 4 3 2 2" xfId="11307"/>
    <cellStyle name="常规 6 2 2 3 3 4 3 3" xfId="11309"/>
    <cellStyle name="常规 6 2 2 3 3 4 3 4" xfId="11312"/>
    <cellStyle name="常规 6 2 2 3 3 4 4" xfId="11315"/>
    <cellStyle name="常规 6 2 2 3 3 4 4 2" xfId="11317"/>
    <cellStyle name="常规 6 2 2 3 3 4 5" xfId="11319"/>
    <cellStyle name="常规 6 2 2 3 3 4 6" xfId="11321"/>
    <cellStyle name="常规 6 2 2 3 3 5" xfId="11323"/>
    <cellStyle name="常规 6 2 2 3 3 5 2" xfId="11325"/>
    <cellStyle name="常规 6 2 2 3 3 5 2 2" xfId="11327"/>
    <cellStyle name="常规 6 2 2 3 3 5 2 2 2" xfId="11330"/>
    <cellStyle name="常规 6 2 2 3 3 5 2 3" xfId="11332"/>
    <cellStyle name="常规 6 2 2 3 3 5 2 4" xfId="11334"/>
    <cellStyle name="常规 6 2 2 3 3 5 3" xfId="11336"/>
    <cellStyle name="常规 6 2 2 3 3 5 3 2" xfId="11338"/>
    <cellStyle name="常规 6 2 2 3 3 5 4" xfId="11340"/>
    <cellStyle name="常规 6 2 2 3 3 5 5" xfId="11343"/>
    <cellStyle name="常规 6 2 2 3 3 6" xfId="11345"/>
    <cellStyle name="常规 6 2 2 3 3 6 2" xfId="11347"/>
    <cellStyle name="常规 6 2 2 3 3 6 2 2" xfId="11350"/>
    <cellStyle name="常规 6 2 2 3 3 6 3" xfId="11352"/>
    <cellStyle name="常规 6 2 2 3 3 6 4" xfId="11354"/>
    <cellStyle name="常规 6 2 2 3 3 7" xfId="36938"/>
    <cellStyle name="常规 6 2 2 3 3 7 2" xfId="36939"/>
    <cellStyle name="常规 6 2 2 3 3 8" xfId="36940"/>
    <cellStyle name="常规 6 2 2 3 3 9" xfId="36941"/>
    <cellStyle name="常规 6 2 2 3 4" xfId="36942"/>
    <cellStyle name="常规 6 2 2 3 4 2" xfId="11979"/>
    <cellStyle name="常规 6 2 2 3 4 2 2" xfId="11982"/>
    <cellStyle name="常规 6 2 2 3 4 2 2 2" xfId="11985"/>
    <cellStyle name="常规 6 2 2 3 4 2 2 2 2" xfId="11987"/>
    <cellStyle name="常规 6 2 2 3 4 2 2 2 2 2" xfId="11990"/>
    <cellStyle name="常规 6 2 2 3 4 2 2 2 2 2 2" xfId="11992"/>
    <cellStyle name="常规 6 2 2 3 4 2 2 2 2 2 2 2" xfId="36943"/>
    <cellStyle name="常规 6 2 2 3 4 2 2 2 2 2 3" xfId="35893"/>
    <cellStyle name="常规 6 2 2 3 4 2 2 2 2 2 4" xfId="36944"/>
    <cellStyle name="常规 6 2 2 3 4 2 2 2 2 3" xfId="11996"/>
    <cellStyle name="常规 6 2 2 3 4 2 2 2 2 3 2" xfId="35899"/>
    <cellStyle name="常规 6 2 2 3 4 2 2 2 2 4" xfId="11998"/>
    <cellStyle name="常规 6 2 2 3 4 2 2 2 2 5" xfId="36945"/>
    <cellStyle name="常规 6 2 2 3 4 2 2 2 3" xfId="12000"/>
    <cellStyle name="常规 6 2 2 3 4 2 2 2 3 2" xfId="12003"/>
    <cellStyle name="常规 6 2 2 3 4 2 2 2 3 2 2" xfId="35910"/>
    <cellStyle name="常规 6 2 2 3 4 2 2 2 3 3" xfId="36946"/>
    <cellStyle name="常规 6 2 2 3 4 2 2 2 3 4" xfId="36947"/>
    <cellStyle name="常规 6 2 2 3 4 2 2 2 4" xfId="12007"/>
    <cellStyle name="常规 6 2 2 3 4 2 2 2 4 2" xfId="36948"/>
    <cellStyle name="常规 6 2 2 3 4 2 2 2 5" xfId="12010"/>
    <cellStyle name="常规 6 2 2 3 4 2 2 2 6" xfId="36949"/>
    <cellStyle name="常规 6 2 2 3 4 2 2 3" xfId="12013"/>
    <cellStyle name="常规 6 2 2 3 4 2 2 3 2" xfId="12015"/>
    <cellStyle name="常规 6 2 2 3 4 2 2 3 2 2" xfId="12017"/>
    <cellStyle name="常规 6 2 2 3 4 2 2 3 2 2 2" xfId="35931"/>
    <cellStyle name="常规 6 2 2 3 4 2 2 3 2 3" xfId="36950"/>
    <cellStyle name="常规 6 2 2 3 4 2 2 3 2 4" xfId="36951"/>
    <cellStyle name="常规 6 2 2 3 4 2 2 3 3" xfId="12019"/>
    <cellStyle name="常规 6 2 2 3 4 2 2 3 3 2" xfId="36952"/>
    <cellStyle name="常规 6 2 2 3 4 2 2 3 4" xfId="12021"/>
    <cellStyle name="常规 6 2 2 3 4 2 2 3 5" xfId="36953"/>
    <cellStyle name="常规 6 2 2 3 4 2 2 4" xfId="12024"/>
    <cellStyle name="常规 6 2 2 3 4 2 2 4 2" xfId="12027"/>
    <cellStyle name="常规 6 2 2 3 4 2 2 4 2 2" xfId="36954"/>
    <cellStyle name="常规 6 2 2 3 4 2 2 4 3" xfId="36955"/>
    <cellStyle name="常规 6 2 2 3 4 2 2 4 4" xfId="36956"/>
    <cellStyle name="常规 6 2 2 3 4 2 2 5" xfId="12030"/>
    <cellStyle name="常规 6 2 2 3 4 2 2 5 2" xfId="20207"/>
    <cellStyle name="常规 6 2 2 3 4 2 2 6" xfId="12037"/>
    <cellStyle name="常规 6 2 2 3 4 2 2 7" xfId="36957"/>
    <cellStyle name="常规 6 2 2 3 4 2 3" xfId="12041"/>
    <cellStyle name="常规 6 2 2 3 4 2 3 2" xfId="12043"/>
    <cellStyle name="常规 6 2 2 3 4 2 3 2 2" xfId="12046"/>
    <cellStyle name="常规 6 2 2 3 4 2 3 2 2 2" xfId="12049"/>
    <cellStyle name="常规 6 2 2 3 4 2 3 2 2 2 2" xfId="35976"/>
    <cellStyle name="常规 6 2 2 3 4 2 3 2 2 3" xfId="36958"/>
    <cellStyle name="常规 6 2 2 3 4 2 3 2 2 4" xfId="36959"/>
    <cellStyle name="常规 6 2 2 3 4 2 3 2 3" xfId="12052"/>
    <cellStyle name="常规 6 2 2 3 4 2 3 2 3 2" xfId="36960"/>
    <cellStyle name="常规 6 2 2 3 4 2 3 2 4" xfId="12055"/>
    <cellStyle name="常规 6 2 2 3 4 2 3 2 5" xfId="36961"/>
    <cellStyle name="常规 6 2 2 3 4 2 3 3" xfId="12058"/>
    <cellStyle name="常规 6 2 2 3 4 2 3 3 2" xfId="12063"/>
    <cellStyle name="常规 6 2 2 3 4 2 3 3 2 2" xfId="36962"/>
    <cellStyle name="常规 6 2 2 3 4 2 3 3 3" xfId="36963"/>
    <cellStyle name="常规 6 2 2 3 4 2 3 3 4" xfId="36964"/>
    <cellStyle name="常规 6 2 2 3 4 2 3 4" xfId="12066"/>
    <cellStyle name="常规 6 2 2 3 4 2 3 4 2" xfId="36965"/>
    <cellStyle name="常规 6 2 2 3 4 2 3 5" xfId="12071"/>
    <cellStyle name="常规 6 2 2 3 4 2 3 6" xfId="36966"/>
    <cellStyle name="常规 6 2 2 3 4 2 4" xfId="12073"/>
    <cellStyle name="常规 6 2 2 3 4 2 4 2" xfId="12075"/>
    <cellStyle name="常规 6 2 2 3 4 2 4 2 2" xfId="9774"/>
    <cellStyle name="常规 6 2 2 3 4 2 4 2 2 2" xfId="36967"/>
    <cellStyle name="常规 6 2 2 3 4 2 4 2 3" xfId="36968"/>
    <cellStyle name="常规 6 2 2 3 4 2 4 2 4" xfId="36969"/>
    <cellStyle name="常规 6 2 2 3 4 2 4 3" xfId="12078"/>
    <cellStyle name="常规 6 2 2 3 4 2 4 3 2" xfId="36970"/>
    <cellStyle name="常规 6 2 2 3 4 2 4 4" xfId="9096"/>
    <cellStyle name="常规 6 2 2 3 4 2 4 5" xfId="36971"/>
    <cellStyle name="常规 6 2 2 3 4 2 5" xfId="12080"/>
    <cellStyle name="常规 6 2 2 3 4 2 5 2" xfId="12082"/>
    <cellStyle name="常规 6 2 2 3 4 2 5 2 2" xfId="36972"/>
    <cellStyle name="常规 6 2 2 3 4 2 5 3" xfId="36973"/>
    <cellStyle name="常规 6 2 2 3 4 2 5 4" xfId="36974"/>
    <cellStyle name="常规 6 2 2 3 4 2 6" xfId="12084"/>
    <cellStyle name="常规 6 2 2 3 4 2 6 2" xfId="36975"/>
    <cellStyle name="常规 6 2 2 3 4 2 7" xfId="12086"/>
    <cellStyle name="常规 6 2 2 3 4 2 8" xfId="36977"/>
    <cellStyle name="常规 6 2 2 3 4 3" xfId="12091"/>
    <cellStyle name="常规 6 2 2 3 4 3 2" xfId="12094"/>
    <cellStyle name="常规 6 2 2 3 4 3 2 2" xfId="12096"/>
    <cellStyle name="常规 6 2 2 3 4 3 2 2 2" xfId="12100"/>
    <cellStyle name="常规 6 2 2 3 4 3 2 2 2 2" xfId="12103"/>
    <cellStyle name="常规 6 2 2 3 4 3 2 2 2 2 2" xfId="36978"/>
    <cellStyle name="常规 6 2 2 3 4 3 2 2 2 3" xfId="36979"/>
    <cellStyle name="常规 6 2 2 3 4 3 2 2 2 4" xfId="36980"/>
    <cellStyle name="常规 6 2 2 3 4 3 2 2 3" xfId="12107"/>
    <cellStyle name="常规 6 2 2 3 4 3 2 2 3 2" xfId="36981"/>
    <cellStyle name="常规 6 2 2 3 4 3 2 2 4" xfId="12112"/>
    <cellStyle name="常规 6 2 2 3 4 3 2 2 5" xfId="36982"/>
    <cellStyle name="常规 6 2 2 3 4 3 2 3" xfId="12116"/>
    <cellStyle name="常规 6 2 2 3 4 3 2 3 2" xfId="12119"/>
    <cellStyle name="常规 6 2 2 3 4 3 2 3 2 2" xfId="36983"/>
    <cellStyle name="常规 6 2 2 3 4 3 2 3 3" xfId="36984"/>
    <cellStyle name="常规 6 2 2 3 4 3 2 3 4" xfId="36985"/>
    <cellStyle name="常规 6 2 2 3 4 3 2 4" xfId="12122"/>
    <cellStyle name="常规 6 2 2 3 4 3 2 4 2" xfId="36986"/>
    <cellStyle name="常规 6 2 2 3 4 3 2 5" xfId="12126"/>
    <cellStyle name="常规 6 2 2 3 4 3 2 6" xfId="36987"/>
    <cellStyle name="常规 6 2 2 3 4 3 3" xfId="12132"/>
    <cellStyle name="常规 6 2 2 3 4 3 3 2" xfId="12134"/>
    <cellStyle name="常规 6 2 2 3 4 3 3 2 2" xfId="12137"/>
    <cellStyle name="常规 6 2 2 3 4 3 3 2 2 2" xfId="36988"/>
    <cellStyle name="常规 6 2 2 3 4 3 3 2 3" xfId="36989"/>
    <cellStyle name="常规 6 2 2 3 4 3 3 2 4" xfId="36990"/>
    <cellStyle name="常规 6 2 2 3 4 3 3 3" xfId="12140"/>
    <cellStyle name="常规 6 2 2 3 4 3 3 3 2" xfId="36991"/>
    <cellStyle name="常规 6 2 2 3 4 3 3 4" xfId="12144"/>
    <cellStyle name="常规 6 2 2 3 4 3 3 5" xfId="36992"/>
    <cellStyle name="常规 6 2 2 3 4 3 4" xfId="12150"/>
    <cellStyle name="常规 6 2 2 3 4 3 4 2" xfId="12152"/>
    <cellStyle name="常规 6 2 2 3 4 3 4 2 2" xfId="36993"/>
    <cellStyle name="常规 6 2 2 3 4 3 4 3" xfId="17692"/>
    <cellStyle name="常规 6 2 2 3 4 3 4 4" xfId="36994"/>
    <cellStyle name="常规 6 2 2 3 4 3 5" xfId="12157"/>
    <cellStyle name="常规 6 2 2 3 4 3 5 2" xfId="36995"/>
    <cellStyle name="常规 6 2 2 3 4 3 6" xfId="12160"/>
    <cellStyle name="常规 6 2 2 3 4 3 7" xfId="36996"/>
    <cellStyle name="常规 6 2 2 3 4 4" xfId="12163"/>
    <cellStyle name="常规 6 2 2 3 4 4 2" xfId="12166"/>
    <cellStyle name="常规 6 2 2 3 4 4 2 2" xfId="12168"/>
    <cellStyle name="常规 6 2 2 3 4 4 2 2 2" xfId="12172"/>
    <cellStyle name="常规 6 2 2 3 4 4 2 2 2 2" xfId="36997"/>
    <cellStyle name="常规 6 2 2 3 4 4 2 2 3" xfId="36998"/>
    <cellStyle name="常规 6 2 2 3 4 4 2 2 4" xfId="36999"/>
    <cellStyle name="常规 6 2 2 3 4 4 2 3" xfId="12176"/>
    <cellStyle name="常规 6 2 2 3 4 4 2 3 2" xfId="37000"/>
    <cellStyle name="常规 6 2 2 3 4 4 2 4" xfId="12180"/>
    <cellStyle name="常规 6 2 2 3 4 4 2 5" xfId="37001"/>
    <cellStyle name="常规 6 2 2 3 4 4 3" xfId="12185"/>
    <cellStyle name="常规 6 2 2 3 4 4 3 2" xfId="12187"/>
    <cellStyle name="常规 6 2 2 3 4 4 3 2 2" xfId="37002"/>
    <cellStyle name="常规 6 2 2 3 4 4 3 3" xfId="31793"/>
    <cellStyle name="常规 6 2 2 3 4 4 3 4" xfId="37004"/>
    <cellStyle name="常规 6 2 2 3 4 4 4" xfId="12191"/>
    <cellStyle name="常规 6 2 2 3 4 4 4 2" xfId="37005"/>
    <cellStyle name="常规 6 2 2 3 4 4 5" xfId="12194"/>
    <cellStyle name="常规 6 2 2 3 4 4 6" xfId="37006"/>
    <cellStyle name="常规 6 2 2 3 4 5" xfId="12197"/>
    <cellStyle name="常规 6 2 2 3 4 5 2" xfId="12199"/>
    <cellStyle name="常规 6 2 2 3 4 5 2 2" xfId="12201"/>
    <cellStyle name="常规 6 2 2 3 4 5 2 2 2" xfId="37007"/>
    <cellStyle name="常规 6 2 2 3 4 5 2 3" xfId="34551"/>
    <cellStyle name="常规 6 2 2 3 4 5 2 4" xfId="37008"/>
    <cellStyle name="常规 6 2 2 3 4 5 3" xfId="12204"/>
    <cellStyle name="常规 6 2 2 3 4 5 3 2" xfId="37009"/>
    <cellStyle name="常规 6 2 2 3 4 5 4" xfId="12207"/>
    <cellStyle name="常规 6 2 2 3 4 5 5" xfId="37010"/>
    <cellStyle name="常规 6 2 2 3 4 6" xfId="12211"/>
    <cellStyle name="常规 6 2 2 3 4 6 2" xfId="12213"/>
    <cellStyle name="常规 6 2 2 3 4 6 2 2" xfId="37011"/>
    <cellStyle name="常规 6 2 2 3 4 6 3" xfId="37012"/>
    <cellStyle name="常规 6 2 2 3 4 6 4" xfId="37013"/>
    <cellStyle name="常规 6 2 2 3 4 7" xfId="37014"/>
    <cellStyle name="常规 6 2 2 3 4 7 2" xfId="37015"/>
    <cellStyle name="常规 6 2 2 3 4 8" xfId="37016"/>
    <cellStyle name="常规 6 2 2 3 4 9" xfId="37017"/>
    <cellStyle name="常规 6 2 2 3 5" xfId="37018"/>
    <cellStyle name="常规 6 2 2 3 5 2" xfId="12416"/>
    <cellStyle name="常规 6 2 2 3 5 2 2" xfId="12418"/>
    <cellStyle name="常规 6 2 2 3 5 2 2 2" xfId="12420"/>
    <cellStyle name="常规 6 2 2 3 5 2 2 2 2" xfId="12422"/>
    <cellStyle name="常规 6 2 2 3 5 2 2 2 2 2" xfId="37019"/>
    <cellStyle name="常规 6 2 2 3 5 2 2 2 2 2 2" xfId="37020"/>
    <cellStyle name="常规 6 2 2 3 5 2 2 2 2 3" xfId="37021"/>
    <cellStyle name="常规 6 2 2 3 5 2 2 2 2 4" xfId="37022"/>
    <cellStyle name="常规 6 2 2 3 5 2 2 2 3" xfId="37023"/>
    <cellStyle name="常规 6 2 2 3 5 2 2 2 3 2" xfId="37024"/>
    <cellStyle name="常规 6 2 2 3 5 2 2 2 4" xfId="37025"/>
    <cellStyle name="常规 6 2 2 3 5 2 2 2 5" xfId="37026"/>
    <cellStyle name="常规 6 2 2 3 5 2 2 3" xfId="12424"/>
    <cellStyle name="常规 6 2 2 3 5 2 2 3 2" xfId="37027"/>
    <cellStyle name="常规 6 2 2 3 5 2 2 3 2 2" xfId="37028"/>
    <cellStyle name="常规 6 2 2 3 5 2 2 3 3" xfId="37029"/>
    <cellStyle name="常规 6 2 2 3 5 2 2 3 4" xfId="37030"/>
    <cellStyle name="常规 6 2 2 3 5 2 2 4" xfId="12426"/>
    <cellStyle name="常规 6 2 2 3 5 2 2 4 2" xfId="37031"/>
    <cellStyle name="常规 6 2 2 3 5 2 2 5" xfId="37032"/>
    <cellStyle name="常规 6 2 2 3 5 2 2 6" xfId="37033"/>
    <cellStyle name="常规 6 2 2 3 5 2 3" xfId="12429"/>
    <cellStyle name="常规 6 2 2 3 5 2 3 2" xfId="12431"/>
    <cellStyle name="常规 6 2 2 3 5 2 3 2 2" xfId="37034"/>
    <cellStyle name="常规 6 2 2 3 5 2 3 2 2 2" xfId="37035"/>
    <cellStyle name="常规 6 2 2 3 5 2 3 2 3" xfId="37036"/>
    <cellStyle name="常规 6 2 2 3 5 2 3 2 4" xfId="37037"/>
    <cellStyle name="常规 6 2 2 3 5 2 3 3" xfId="37038"/>
    <cellStyle name="常规 6 2 2 3 5 2 3 3 2" xfId="37039"/>
    <cellStyle name="常规 6 2 2 3 5 2 3 4" xfId="37040"/>
    <cellStyle name="常规 6 2 2 3 5 2 3 5" xfId="37041"/>
    <cellStyle name="常规 6 2 2 3 5 2 4" xfId="12433"/>
    <cellStyle name="常规 6 2 2 3 5 2 4 2" xfId="37042"/>
    <cellStyle name="常规 6 2 2 3 5 2 4 2 2" xfId="37043"/>
    <cellStyle name="常规 6 2 2 3 5 2 4 3" xfId="37044"/>
    <cellStyle name="常规 6 2 2 3 5 2 4 4" xfId="32948"/>
    <cellStyle name="常规 6 2 2 3 5 2 5" xfId="12435"/>
    <cellStyle name="常规 6 2 2 3 5 2 5 2" xfId="37045"/>
    <cellStyle name="常规 6 2 2 3 5 2 6" xfId="37046"/>
    <cellStyle name="常规 6 2 2 3 5 2 7" xfId="37047"/>
    <cellStyle name="常规 6 2 2 3 5 3" xfId="12439"/>
    <cellStyle name="常规 6 2 2 3 5 3 2" xfId="12442"/>
    <cellStyle name="常规 6 2 2 3 5 3 2 2" xfId="12444"/>
    <cellStyle name="常规 6 2 2 3 5 3 2 2 2" xfId="34562"/>
    <cellStyle name="常规 6 2 2 3 5 3 2 2 2 2" xfId="37048"/>
    <cellStyle name="常规 6 2 2 3 5 3 2 2 3" xfId="37049"/>
    <cellStyle name="常规 6 2 2 3 5 3 2 2 4" xfId="37050"/>
    <cellStyle name="常规 6 2 2 3 5 3 2 3" xfId="34564"/>
    <cellStyle name="常规 6 2 2 3 5 3 2 3 2" xfId="37051"/>
    <cellStyle name="常规 6 2 2 3 5 3 2 4" xfId="34566"/>
    <cellStyle name="常规 6 2 2 3 5 3 2 5" xfId="37052"/>
    <cellStyle name="常规 6 2 2 3 5 3 3" xfId="12447"/>
    <cellStyle name="常规 6 2 2 3 5 3 3 2" xfId="34571"/>
    <cellStyle name="常规 6 2 2 3 5 3 3 2 2" xfId="37053"/>
    <cellStyle name="常规 6 2 2 3 5 3 3 3" xfId="34573"/>
    <cellStyle name="常规 6 2 2 3 5 3 3 4" xfId="37054"/>
    <cellStyle name="常规 6 2 2 3 5 3 4" xfId="12450"/>
    <cellStyle name="常规 6 2 2 3 5 3 4 2" xfId="37055"/>
    <cellStyle name="常规 6 2 2 3 5 3 5" xfId="37056"/>
    <cellStyle name="常规 6 2 2 3 5 3 6" xfId="37057"/>
    <cellStyle name="常规 6 2 2 3 5 4" xfId="12454"/>
    <cellStyle name="常规 6 2 2 3 5 4 2" xfId="12458"/>
    <cellStyle name="常规 6 2 2 3 5 4 2 2" xfId="20646"/>
    <cellStyle name="常规 6 2 2 3 5 4 2 2 2" xfId="37058"/>
    <cellStyle name="常规 6 2 2 3 5 4 2 3" xfId="32913"/>
    <cellStyle name="常规 6 2 2 3 5 4 2 4" xfId="37059"/>
    <cellStyle name="常规 6 2 2 3 5 4 3" xfId="37060"/>
    <cellStyle name="常规 6 2 2 3 5 4 3 2" xfId="37061"/>
    <cellStyle name="常规 6 2 2 3 5 4 4" xfId="37062"/>
    <cellStyle name="常规 6 2 2 3 5 4 5" xfId="37063"/>
    <cellStyle name="常规 6 2 2 3 5 5" xfId="12461"/>
    <cellStyle name="常规 6 2 2 3 5 5 2" xfId="37064"/>
    <cellStyle name="常规 6 2 2 3 5 5 2 2" xfId="37065"/>
    <cellStyle name="常规 6 2 2 3 5 5 3" xfId="37066"/>
    <cellStyle name="常规 6 2 2 3 5 5 4" xfId="37067"/>
    <cellStyle name="常规 6 2 2 3 5 6" xfId="12464"/>
    <cellStyle name="常规 6 2 2 3 5 6 2" xfId="37069"/>
    <cellStyle name="常规 6 2 2 3 5 7" xfId="37071"/>
    <cellStyle name="常规 6 2 2 3 5 8" xfId="37073"/>
    <cellStyle name="常规 6 2 2 3 6" xfId="37074"/>
    <cellStyle name="常规 6 2 2 3 6 2" xfId="12691"/>
    <cellStyle name="常规 6 2 2 3 6 2 2" xfId="12693"/>
    <cellStyle name="常规 6 2 2 3 6 2 2 2" xfId="12697"/>
    <cellStyle name="常规 6 2 2 3 6 2 2 2 2" xfId="12699"/>
    <cellStyle name="常规 6 2 2 3 6 2 2 2 2 2" xfId="37075"/>
    <cellStyle name="常规 6 2 2 3 6 2 2 2 3" xfId="37076"/>
    <cellStyle name="常规 6 2 2 3 6 2 2 2 4" xfId="37077"/>
    <cellStyle name="常规 6 2 2 3 6 2 2 3" xfId="12703"/>
    <cellStyle name="常规 6 2 2 3 6 2 2 3 2" xfId="37078"/>
    <cellStyle name="常规 6 2 2 3 6 2 2 4" xfId="12705"/>
    <cellStyle name="常规 6 2 2 3 6 2 2 5" xfId="37079"/>
    <cellStyle name="常规 6 2 2 3 6 2 3" xfId="12708"/>
    <cellStyle name="常规 6 2 2 3 6 2 3 2" xfId="12710"/>
    <cellStyle name="常规 6 2 2 3 6 2 3 2 2" xfId="37080"/>
    <cellStyle name="常规 6 2 2 3 6 2 3 3" xfId="37081"/>
    <cellStyle name="常规 6 2 2 3 6 2 3 4" xfId="37082"/>
    <cellStyle name="常规 6 2 2 3 6 2 4" xfId="12712"/>
    <cellStyle name="常规 6 2 2 3 6 2 4 2" xfId="37083"/>
    <cellStyle name="常规 6 2 2 3 6 2 5" xfId="12715"/>
    <cellStyle name="常规 6 2 2 3 6 2 6" xfId="37084"/>
    <cellStyle name="常规 6 2 2 3 6 3" xfId="12719"/>
    <cellStyle name="常规 6 2 2 3 6 3 2" xfId="12721"/>
    <cellStyle name="常规 6 2 2 3 6 3 2 2" xfId="12723"/>
    <cellStyle name="常规 6 2 2 3 6 3 2 2 2" xfId="37085"/>
    <cellStyle name="常规 6 2 2 3 6 3 2 3" xfId="29188"/>
    <cellStyle name="常规 6 2 2 3 6 3 2 4" xfId="37086"/>
    <cellStyle name="常规 6 2 2 3 6 3 3" xfId="12728"/>
    <cellStyle name="常规 6 2 2 3 6 3 3 2" xfId="37087"/>
    <cellStyle name="常规 6 2 2 3 6 3 4" xfId="12731"/>
    <cellStyle name="常规 6 2 2 3 6 3 5" xfId="37088"/>
    <cellStyle name="常规 6 2 2 3 6 4" xfId="12733"/>
    <cellStyle name="常规 6 2 2 3 6 4 2" xfId="12736"/>
    <cellStyle name="常规 6 2 2 3 6 4 2 2" xfId="37089"/>
    <cellStyle name="常规 6 2 2 3 6 4 3" xfId="37090"/>
    <cellStyle name="常规 6 2 2 3 6 4 4" xfId="29309"/>
    <cellStyle name="常规 6 2 2 3 6 5" xfId="12738"/>
    <cellStyle name="常规 6 2 2 3 6 5 2" xfId="37091"/>
    <cellStyle name="常规 6 2 2 3 6 6" xfId="12741"/>
    <cellStyle name="常规 6 2 2 3 6 7" xfId="37093"/>
    <cellStyle name="常规 6 2 2 3 7" xfId="37094"/>
    <cellStyle name="常规 6 2 2 3 7 2" xfId="12890"/>
    <cellStyle name="常规 6 2 2 3 7 2 2" xfId="12892"/>
    <cellStyle name="常规 6 2 2 3 7 2 2 2" xfId="12894"/>
    <cellStyle name="常规 6 2 2 3 7 2 2 2 2" xfId="27889"/>
    <cellStyle name="常规 6 2 2 3 7 2 2 3" xfId="37095"/>
    <cellStyle name="常规 6 2 2 3 7 2 2 4" xfId="37096"/>
    <cellStyle name="常规 6 2 2 3 7 2 3" xfId="12896"/>
    <cellStyle name="常规 6 2 2 3 7 2 3 2" xfId="37097"/>
    <cellStyle name="常规 6 2 2 3 7 2 4" xfId="12898"/>
    <cellStyle name="常规 6 2 2 3 7 2 5" xfId="37098"/>
    <cellStyle name="常规 6 2 2 3 7 3" xfId="12900"/>
    <cellStyle name="常规 6 2 2 3 7 3 2" xfId="12902"/>
    <cellStyle name="常规 6 2 2 3 7 3 2 2" xfId="37099"/>
    <cellStyle name="常规 6 2 2 3 7 3 3" xfId="37100"/>
    <cellStyle name="常规 6 2 2 3 7 3 4" xfId="37101"/>
    <cellStyle name="常规 6 2 2 3 7 4" xfId="12904"/>
    <cellStyle name="常规 6 2 2 3 7 4 2" xfId="37102"/>
    <cellStyle name="常规 6 2 2 3 7 5" xfId="12906"/>
    <cellStyle name="常规 6 2 2 3 7 6" xfId="37104"/>
    <cellStyle name="常规 6 2 2 3 8" xfId="37105"/>
    <cellStyle name="常规 6 2 2 3 8 2" xfId="13001"/>
    <cellStyle name="常规 6 2 2 3 8 2 2" xfId="13004"/>
    <cellStyle name="常规 6 2 2 3 8 2 2 2" xfId="37106"/>
    <cellStyle name="常规 6 2 2 3 8 2 3" xfId="37107"/>
    <cellStyle name="常规 6 2 2 3 8 2 4" xfId="37108"/>
    <cellStyle name="常规 6 2 2 3 8 3" xfId="13006"/>
    <cellStyle name="常规 6 2 2 3 8 3 2" xfId="37109"/>
    <cellStyle name="常规 6 2 2 3 8 4" xfId="10074"/>
    <cellStyle name="常规 6 2 2 3 8 5" xfId="37110"/>
    <cellStyle name="常规 6 2 2 3 9" xfId="37111"/>
    <cellStyle name="常规 6 2 2 3 9 2" xfId="13034"/>
    <cellStyle name="常规 6 2 2 3 9 2 2" xfId="37112"/>
    <cellStyle name="常规 6 2 2 3 9 3" xfId="13036"/>
    <cellStyle name="常规 6 2 2 3 9 4" xfId="37113"/>
    <cellStyle name="常规 6 2 2 4" xfId="37114"/>
    <cellStyle name="常规 6 2 2 4 10" xfId="37115"/>
    <cellStyle name="常规 6 2 2 4 11" xfId="37116"/>
    <cellStyle name="常规 6 2 2 4 2" xfId="37117"/>
    <cellStyle name="常规 6 2 2 4 2 2" xfId="37118"/>
    <cellStyle name="常规 6 2 2 4 2 2 2" xfId="37119"/>
    <cellStyle name="常规 6 2 2 4 2 2 2 2" xfId="37120"/>
    <cellStyle name="常规 6 2 2 4 2 2 2 2 2" xfId="37121"/>
    <cellStyle name="常规 6 2 2 4 2 2 2 2 2 2" xfId="37122"/>
    <cellStyle name="常规 6 2 2 4 2 2 2 2 2 2 2" xfId="37123"/>
    <cellStyle name="常规 6 2 2 4 2 2 2 2 2 2 2 2" xfId="37124"/>
    <cellStyle name="常规 6 2 2 4 2 2 2 2 2 2 3" xfId="37125"/>
    <cellStyle name="常规 6 2 2 4 2 2 2 2 2 2 4" xfId="37126"/>
    <cellStyle name="常规 6 2 2 4 2 2 2 2 2 3" xfId="37127"/>
    <cellStyle name="常规 6 2 2 4 2 2 2 2 2 3 2" xfId="37128"/>
    <cellStyle name="常规 6 2 2 4 2 2 2 2 2 4" xfId="37129"/>
    <cellStyle name="常规 6 2 2 4 2 2 2 2 2 5" xfId="37130"/>
    <cellStyle name="常规 6 2 2 4 2 2 2 2 3" xfId="30167"/>
    <cellStyle name="常规 6 2 2 4 2 2 2 2 3 2" xfId="30170"/>
    <cellStyle name="常规 6 2 2 4 2 2 2 2 3 2 2" xfId="37132"/>
    <cellStyle name="常规 6 2 2 4 2 2 2 2 3 3" xfId="37134"/>
    <cellStyle name="常规 6 2 2 4 2 2 2 2 3 4" xfId="37136"/>
    <cellStyle name="常规 6 2 2 4 2 2 2 2 4" xfId="5816"/>
    <cellStyle name="常规 6 2 2 4 2 2 2 2 4 2" xfId="37138"/>
    <cellStyle name="常规 6 2 2 4 2 2 2 2 5" xfId="16281"/>
    <cellStyle name="常规 6 2 2 4 2 2 2 2 6" xfId="37139"/>
    <cellStyle name="常规 6 2 2 4 2 2 2 3" xfId="37140"/>
    <cellStyle name="常规 6 2 2 4 2 2 2 3 2" xfId="37141"/>
    <cellStyle name="常规 6 2 2 4 2 2 2 3 2 2" xfId="37142"/>
    <cellStyle name="常规 6 2 2 4 2 2 2 3 2 2 2" xfId="37143"/>
    <cellStyle name="常规 6 2 2 4 2 2 2 3 2 3" xfId="37144"/>
    <cellStyle name="常规 6 2 2 4 2 2 2 3 2 4" xfId="37145"/>
    <cellStyle name="常规 6 2 2 4 2 2 2 3 3" xfId="30173"/>
    <cellStyle name="常规 6 2 2 4 2 2 2 3 3 2" xfId="37147"/>
    <cellStyle name="常规 6 2 2 4 2 2 2 3 4" xfId="37148"/>
    <cellStyle name="常规 6 2 2 4 2 2 2 3 5" xfId="37149"/>
    <cellStyle name="常规 6 2 2 4 2 2 2 4" xfId="28963"/>
    <cellStyle name="常规 6 2 2 4 2 2 2 4 2" xfId="25965"/>
    <cellStyle name="常规 6 2 2 4 2 2 2 4 2 2" xfId="28965"/>
    <cellStyle name="常规 6 2 2 4 2 2 2 4 3" xfId="25969"/>
    <cellStyle name="常规 6 2 2 4 2 2 2 4 4" xfId="28967"/>
    <cellStyle name="常规 6 2 2 4 2 2 2 5" xfId="28971"/>
    <cellStyle name="常规 6 2 2 4 2 2 2 5 2" xfId="22938"/>
    <cellStyle name="常规 6 2 2 4 2 2 2 6" xfId="8500"/>
    <cellStyle name="常规 6 2 2 4 2 2 2 7" xfId="8509"/>
    <cellStyle name="常规 6 2 2 4 2 2 3" xfId="37150"/>
    <cellStyle name="常规 6 2 2 4 2 2 3 2" xfId="37151"/>
    <cellStyle name="常规 6 2 2 4 2 2 3 2 2" xfId="37152"/>
    <cellStyle name="常规 6 2 2 4 2 2 3 2 2 2" xfId="37153"/>
    <cellStyle name="常规 6 2 2 4 2 2 3 2 2 2 2" xfId="37154"/>
    <cellStyle name="常规 6 2 2 4 2 2 3 2 2 3" xfId="37155"/>
    <cellStyle name="常规 6 2 2 4 2 2 3 2 2 4" xfId="37156"/>
    <cellStyle name="常规 6 2 2 4 2 2 3 2 3" xfId="30187"/>
    <cellStyle name="常规 6 2 2 4 2 2 3 2 3 2" xfId="37158"/>
    <cellStyle name="常规 6 2 2 4 2 2 3 2 4" xfId="37159"/>
    <cellStyle name="常规 6 2 2 4 2 2 3 2 5" xfId="37160"/>
    <cellStyle name="常规 6 2 2 4 2 2 3 3" xfId="37161"/>
    <cellStyle name="常规 6 2 2 4 2 2 3 3 2" xfId="37162"/>
    <cellStyle name="常规 6 2 2 4 2 2 3 3 2 2" xfId="37163"/>
    <cellStyle name="常规 6 2 2 4 2 2 3 3 3" xfId="37164"/>
    <cellStyle name="常规 6 2 2 4 2 2 3 3 4" xfId="37165"/>
    <cellStyle name="常规 6 2 2 4 2 2 3 4" xfId="28976"/>
    <cellStyle name="常规 6 2 2 4 2 2 3 4 2" xfId="26054"/>
    <cellStyle name="常规 6 2 2 4 2 2 3 5" xfId="28979"/>
    <cellStyle name="常规 6 2 2 4 2 2 3 6" xfId="8517"/>
    <cellStyle name="常规 6 2 2 4 2 2 4" xfId="37166"/>
    <cellStyle name="常规 6 2 2 4 2 2 4 2" xfId="37167"/>
    <cellStyle name="常规 6 2 2 4 2 2 4 2 2" xfId="37168"/>
    <cellStyle name="常规 6 2 2 4 2 2 4 2 2 2" xfId="37169"/>
    <cellStyle name="常规 6 2 2 4 2 2 4 2 3" xfId="37170"/>
    <cellStyle name="常规 6 2 2 4 2 2 4 2 4" xfId="37171"/>
    <cellStyle name="常规 6 2 2 4 2 2 4 3" xfId="37172"/>
    <cellStyle name="常规 6 2 2 4 2 2 4 3 2" xfId="37173"/>
    <cellStyle name="常规 6 2 2 4 2 2 4 4" xfId="9137"/>
    <cellStyle name="常规 6 2 2 4 2 2 4 5" xfId="37174"/>
    <cellStyle name="常规 6 2 2 4 2 2 5" xfId="37176"/>
    <cellStyle name="常规 6 2 2 4 2 2 5 2" xfId="37177"/>
    <cellStyle name="常规 6 2 2 4 2 2 5 2 2" xfId="37178"/>
    <cellStyle name="常规 6 2 2 4 2 2 5 3" xfId="37179"/>
    <cellStyle name="常规 6 2 2 4 2 2 5 4" xfId="37180"/>
    <cellStyle name="常规 6 2 2 4 2 2 6" xfId="37181"/>
    <cellStyle name="常规 6 2 2 4 2 2 6 2" xfId="37182"/>
    <cellStyle name="常规 6 2 2 4 2 2 7" xfId="37183"/>
    <cellStyle name="常规 6 2 2 4 2 2 8" xfId="37185"/>
    <cellStyle name="常规 6 2 2 4 2 3" xfId="37186"/>
    <cellStyle name="常规 6 2 2 4 2 3 2" xfId="37187"/>
    <cellStyle name="常规 6 2 2 4 2 3 2 2" xfId="37188"/>
    <cellStyle name="常规 6 2 2 4 2 3 2 2 2" xfId="37189"/>
    <cellStyle name="常规 6 2 2 4 2 3 2 2 2 2" xfId="37190"/>
    <cellStyle name="常规 6 2 2 4 2 3 2 2 2 2 2" xfId="37191"/>
    <cellStyle name="常规 6 2 2 4 2 3 2 2 2 3" xfId="37192"/>
    <cellStyle name="常规 6 2 2 4 2 3 2 2 2 4" xfId="37193"/>
    <cellStyle name="常规 6 2 2 4 2 3 2 2 3" xfId="15502"/>
    <cellStyle name="常规 6 2 2 4 2 3 2 2 3 2" xfId="37195"/>
    <cellStyle name="常规 6 2 2 4 2 3 2 2 4" xfId="37196"/>
    <cellStyle name="常规 6 2 2 4 2 3 2 2 5" xfId="37197"/>
    <cellStyle name="常规 6 2 2 4 2 3 2 3" xfId="37198"/>
    <cellStyle name="常规 6 2 2 4 2 3 2 3 2" xfId="37199"/>
    <cellStyle name="常规 6 2 2 4 2 3 2 3 2 2" xfId="37200"/>
    <cellStyle name="常规 6 2 2 4 2 3 2 3 3" xfId="37201"/>
    <cellStyle name="常规 6 2 2 4 2 3 2 3 4" xfId="37202"/>
    <cellStyle name="常规 6 2 2 4 2 3 2 4" xfId="28987"/>
    <cellStyle name="常规 6 2 2 4 2 3 2 4 2" xfId="26185"/>
    <cellStyle name="常规 6 2 2 4 2 3 2 5" xfId="28990"/>
    <cellStyle name="常规 6 2 2 4 2 3 2 6" xfId="8529"/>
    <cellStyle name="常规 6 2 2 4 2 3 3" xfId="37203"/>
    <cellStyle name="常规 6 2 2 4 2 3 3 2" xfId="37204"/>
    <cellStyle name="常规 6 2 2 4 2 3 3 2 2" xfId="37205"/>
    <cellStyle name="常规 6 2 2 4 2 3 3 2 2 2" xfId="37206"/>
    <cellStyle name="常规 6 2 2 4 2 3 3 2 3" xfId="37207"/>
    <cellStyle name="常规 6 2 2 4 2 3 3 2 4" xfId="37208"/>
    <cellStyle name="常规 6 2 2 4 2 3 3 3" xfId="37209"/>
    <cellStyle name="常规 6 2 2 4 2 3 3 3 2" xfId="37210"/>
    <cellStyle name="常规 6 2 2 4 2 3 3 4" xfId="28993"/>
    <cellStyle name="常规 6 2 2 4 2 3 3 5" xfId="37211"/>
    <cellStyle name="常规 6 2 2 4 2 3 4" xfId="37212"/>
    <cellStyle name="常规 6 2 2 4 2 3 4 2" xfId="37213"/>
    <cellStyle name="常规 6 2 2 4 2 3 4 2 2" xfId="37214"/>
    <cellStyle name="常规 6 2 2 4 2 3 4 3" xfId="37215"/>
    <cellStyle name="常规 6 2 2 4 2 3 4 4" xfId="37216"/>
    <cellStyle name="常规 6 2 2 4 2 3 5" xfId="37217"/>
    <cellStyle name="常规 6 2 2 4 2 3 5 2" xfId="37218"/>
    <cellStyle name="常规 6 2 2 4 2 3 6" xfId="37219"/>
    <cellStyle name="常规 6 2 2 4 2 3 7" xfId="37220"/>
    <cellStyle name="常规 6 2 2 4 2 4" xfId="37221"/>
    <cellStyle name="常规 6 2 2 4 2 4 2" xfId="37222"/>
    <cellStyle name="常规 6 2 2 4 2 4 2 2" xfId="37223"/>
    <cellStyle name="常规 6 2 2 4 2 4 2 2 2" xfId="37224"/>
    <cellStyle name="常规 6 2 2 4 2 4 2 2 2 2" xfId="37225"/>
    <cellStyle name="常规 6 2 2 4 2 4 2 2 3" xfId="37226"/>
    <cellStyle name="常规 6 2 2 4 2 4 2 2 4" xfId="37227"/>
    <cellStyle name="常规 6 2 2 4 2 4 2 3" xfId="37228"/>
    <cellStyle name="常规 6 2 2 4 2 4 2 3 2" xfId="37229"/>
    <cellStyle name="常规 6 2 2 4 2 4 2 4" xfId="28998"/>
    <cellStyle name="常规 6 2 2 4 2 4 2 5" xfId="37230"/>
    <cellStyle name="常规 6 2 2 4 2 4 3" xfId="37231"/>
    <cellStyle name="常规 6 2 2 4 2 4 3 2" xfId="37232"/>
    <cellStyle name="常规 6 2 2 4 2 4 3 2 2" xfId="37233"/>
    <cellStyle name="常规 6 2 2 4 2 4 3 3" xfId="37234"/>
    <cellStyle name="常规 6 2 2 4 2 4 3 4" xfId="14440"/>
    <cellStyle name="常规 6 2 2 4 2 4 4" xfId="37235"/>
    <cellStyle name="常规 6 2 2 4 2 4 4 2" xfId="37236"/>
    <cellStyle name="常规 6 2 2 4 2 4 5" xfId="37237"/>
    <cellStyle name="常规 6 2 2 4 2 4 6" xfId="37238"/>
    <cellStyle name="常规 6 2 2 4 2 5" xfId="37239"/>
    <cellStyle name="常规 6 2 2 4 2 5 2" xfId="37240"/>
    <cellStyle name="常规 6 2 2 4 2 5 2 2" xfId="37241"/>
    <cellStyle name="常规 6 2 2 4 2 5 2 2 2" xfId="37242"/>
    <cellStyle name="常规 6 2 2 4 2 5 2 3" xfId="37243"/>
    <cellStyle name="常规 6 2 2 4 2 5 2 4" xfId="37244"/>
    <cellStyle name="常规 6 2 2 4 2 5 3" xfId="37245"/>
    <cellStyle name="常规 6 2 2 4 2 5 3 2" xfId="37246"/>
    <cellStyle name="常规 6 2 2 4 2 5 4" xfId="37247"/>
    <cellStyle name="常规 6 2 2 4 2 5 5" xfId="37248"/>
    <cellStyle name="常规 6 2 2 4 2 6" xfId="37249"/>
    <cellStyle name="常规 6 2 2 4 2 6 2" xfId="37250"/>
    <cellStyle name="常规 6 2 2 4 2 6 2 2" xfId="37251"/>
    <cellStyle name="常规 6 2 2 4 2 6 3" xfId="37252"/>
    <cellStyle name="常规 6 2 2 4 2 6 4" xfId="37253"/>
    <cellStyle name="常规 6 2 2 4 2 7" xfId="37254"/>
    <cellStyle name="常规 6 2 2 4 2 7 2" xfId="37255"/>
    <cellStyle name="常规 6 2 2 4 2 8" xfId="37256"/>
    <cellStyle name="常规 6 2 2 4 2 9" xfId="37257"/>
    <cellStyle name="常规 6 2 2 4 3" xfId="37258"/>
    <cellStyle name="常规 6 2 2 4 3 2" xfId="13640"/>
    <cellStyle name="常规 6 2 2 4 3 2 2" xfId="13643"/>
    <cellStyle name="常规 6 2 2 4 3 2 2 2" xfId="13645"/>
    <cellStyle name="常规 6 2 2 4 3 2 2 2 2" xfId="13647"/>
    <cellStyle name="常规 6 2 2 4 3 2 2 2 2 2" xfId="5723"/>
    <cellStyle name="常规 6 2 2 4 3 2 2 2 2 2 2" xfId="13650"/>
    <cellStyle name="常规 6 2 2 4 3 2 2 2 2 2 2 2" xfId="37259"/>
    <cellStyle name="常规 6 2 2 4 3 2 2 2 2 2 3" xfId="37260"/>
    <cellStyle name="常规 6 2 2 4 3 2 2 2 2 2 4" xfId="37261"/>
    <cellStyle name="常规 6 2 2 4 3 2 2 2 2 3" xfId="5729"/>
    <cellStyle name="常规 6 2 2 4 3 2 2 2 2 3 2" xfId="37262"/>
    <cellStyle name="常规 6 2 2 4 3 2 2 2 2 4" xfId="13653"/>
    <cellStyle name="常规 6 2 2 4 3 2 2 2 2 5" xfId="37263"/>
    <cellStyle name="常规 6 2 2 4 3 2 2 2 3" xfId="13655"/>
    <cellStyle name="常规 6 2 2 4 3 2 2 2 3 2" xfId="5742"/>
    <cellStyle name="常规 6 2 2 4 3 2 2 2 3 2 2" xfId="37264"/>
    <cellStyle name="常规 6 2 2 4 3 2 2 2 3 3" xfId="37266"/>
    <cellStyle name="常规 6 2 2 4 3 2 2 2 3 4" xfId="37267"/>
    <cellStyle name="常规 6 2 2 4 3 2 2 2 4" xfId="13659"/>
    <cellStyle name="常规 6 2 2 4 3 2 2 2 4 2" xfId="37269"/>
    <cellStyle name="常规 6 2 2 4 3 2 2 2 5" xfId="13661"/>
    <cellStyle name="常规 6 2 2 4 3 2 2 2 6" xfId="37270"/>
    <cellStyle name="常规 6 2 2 4 3 2 2 3" xfId="13663"/>
    <cellStyle name="常规 6 2 2 4 3 2 2 3 2" xfId="13665"/>
    <cellStyle name="常规 6 2 2 4 3 2 2 3 2 2" xfId="5772"/>
    <cellStyle name="常规 6 2 2 4 3 2 2 3 2 2 2" xfId="37271"/>
    <cellStyle name="常规 6 2 2 4 3 2 2 3 2 3" xfId="16611"/>
    <cellStyle name="常规 6 2 2 4 3 2 2 3 2 4" xfId="16619"/>
    <cellStyle name="常规 6 2 2 4 3 2 2 3 3" xfId="13667"/>
    <cellStyle name="常规 6 2 2 4 3 2 2 3 3 2" xfId="37273"/>
    <cellStyle name="常规 6 2 2 4 3 2 2 3 4" xfId="13669"/>
    <cellStyle name="常规 6 2 2 4 3 2 2 3 5" xfId="37274"/>
    <cellStyle name="常规 6 2 2 4 3 2 2 4" xfId="13672"/>
    <cellStyle name="常规 6 2 2 4 3 2 2 4 2" xfId="13677"/>
    <cellStyle name="常规 6 2 2 4 3 2 2 4 2 2" xfId="37275"/>
    <cellStyle name="常规 6 2 2 4 3 2 2 4 3" xfId="37276"/>
    <cellStyle name="常规 6 2 2 4 3 2 2 4 4" xfId="37277"/>
    <cellStyle name="常规 6 2 2 4 3 2 2 5" xfId="13682"/>
    <cellStyle name="常规 6 2 2 4 3 2 2 5 2" xfId="24079"/>
    <cellStyle name="常规 6 2 2 4 3 2 2 6" xfId="8552"/>
    <cellStyle name="常规 6 2 2 4 3 2 2 7" xfId="37278"/>
    <cellStyle name="常规 6 2 2 4 3 2 3" xfId="13685"/>
    <cellStyle name="常规 6 2 2 4 3 2 3 2" xfId="3415"/>
    <cellStyle name="常规 6 2 2 4 3 2 3 2 2" xfId="3541"/>
    <cellStyle name="常规 6 2 2 4 3 2 3 2 2 2" xfId="3551"/>
    <cellStyle name="常规 6 2 2 4 3 2 3 2 2 2 2" xfId="37279"/>
    <cellStyle name="常规 6 2 2 4 3 2 3 2 2 3" xfId="37280"/>
    <cellStyle name="常规 6 2 2 4 3 2 3 2 2 4" xfId="37281"/>
    <cellStyle name="常规 6 2 2 4 3 2 3 2 3" xfId="3579"/>
    <cellStyle name="常规 6 2 2 4 3 2 3 2 3 2" xfId="37283"/>
    <cellStyle name="常规 6 2 2 4 3 2 3 2 4" xfId="1039"/>
    <cellStyle name="常规 6 2 2 4 3 2 3 2 5" xfId="37284"/>
    <cellStyle name="常规 6 2 2 4 3 2 3 3" xfId="3824"/>
    <cellStyle name="常规 6 2 2 4 3 2 3 3 2" xfId="3862"/>
    <cellStyle name="常规 6 2 2 4 3 2 3 3 2 2" xfId="37285"/>
    <cellStyle name="常规 6 2 2 4 3 2 3 3 3" xfId="37286"/>
    <cellStyle name="常规 6 2 2 4 3 2 3 3 4" xfId="37287"/>
    <cellStyle name="常规 6 2 2 4 3 2 3 4" xfId="534"/>
    <cellStyle name="常规 6 2 2 4 3 2 3 4 2" xfId="37288"/>
    <cellStyle name="常规 6 2 2 4 3 2 3 5" xfId="257"/>
    <cellStyle name="常规 6 2 2 4 3 2 3 6" xfId="37289"/>
    <cellStyle name="常规 6 2 2 4 3 2 4" xfId="13687"/>
    <cellStyle name="常规 6 2 2 4 3 2 4 2" xfId="4107"/>
    <cellStyle name="常规 6 2 2 4 3 2 4 2 2" xfId="10017"/>
    <cellStyle name="常规 6 2 2 4 3 2 4 2 2 2" xfId="37290"/>
    <cellStyle name="常规 6 2 2 4 3 2 4 2 3" xfId="37291"/>
    <cellStyle name="常规 6 2 2 4 3 2 4 2 4" xfId="37292"/>
    <cellStyle name="常规 6 2 2 4 3 2 4 3" xfId="4110"/>
    <cellStyle name="常规 6 2 2 4 3 2 4 3 2" xfId="37293"/>
    <cellStyle name="常规 6 2 2 4 3 2 4 4" xfId="595"/>
    <cellStyle name="常规 6 2 2 4 3 2 4 5" xfId="37294"/>
    <cellStyle name="常规 6 2 2 4 3 2 5" xfId="13689"/>
    <cellStyle name="常规 6 2 2 4 3 2 5 2" xfId="13691"/>
    <cellStyle name="常规 6 2 2 4 3 2 5 2 2" xfId="37295"/>
    <cellStyle name="常规 6 2 2 4 3 2 5 3" xfId="37296"/>
    <cellStyle name="常规 6 2 2 4 3 2 5 4" xfId="37297"/>
    <cellStyle name="常规 6 2 2 4 3 2 6" xfId="13693"/>
    <cellStyle name="常规 6 2 2 4 3 2 6 2" xfId="37298"/>
    <cellStyle name="常规 6 2 2 4 3 2 7" xfId="13695"/>
    <cellStyle name="常规 6 2 2 4 3 2 8" xfId="37300"/>
    <cellStyle name="常规 6 2 2 4 3 3" xfId="13699"/>
    <cellStyle name="常规 6 2 2 4 3 3 2" xfId="13701"/>
    <cellStyle name="常规 6 2 2 4 3 3 2 2" xfId="13703"/>
    <cellStyle name="常规 6 2 2 4 3 3 2 2 2" xfId="4069"/>
    <cellStyle name="常规 6 2 2 4 3 3 2 2 2 2" xfId="3571"/>
    <cellStyle name="常规 6 2 2 4 3 3 2 2 2 2 2" xfId="37301"/>
    <cellStyle name="常规 6 2 2 4 3 3 2 2 2 3" xfId="37302"/>
    <cellStyle name="常规 6 2 2 4 3 3 2 2 2 4" xfId="37303"/>
    <cellStyle name="常规 6 2 2 4 3 3 2 2 3" xfId="13706"/>
    <cellStyle name="常规 6 2 2 4 3 3 2 2 3 2" xfId="37304"/>
    <cellStyle name="常规 6 2 2 4 3 3 2 2 4" xfId="13708"/>
    <cellStyle name="常规 6 2 2 4 3 3 2 2 5" xfId="37305"/>
    <cellStyle name="常规 6 2 2 4 3 3 2 3" xfId="13710"/>
    <cellStyle name="常规 6 2 2 4 3 3 2 3 2" xfId="13712"/>
    <cellStyle name="常规 6 2 2 4 3 3 2 3 2 2" xfId="37306"/>
    <cellStyle name="常规 6 2 2 4 3 3 2 3 3" xfId="37307"/>
    <cellStyle name="常规 6 2 2 4 3 3 2 3 4" xfId="37308"/>
    <cellStyle name="常规 6 2 2 4 3 3 2 4" xfId="13714"/>
    <cellStyle name="常规 6 2 2 4 3 3 2 4 2" xfId="37309"/>
    <cellStyle name="常规 6 2 2 4 3 3 2 5" xfId="13719"/>
    <cellStyle name="常规 6 2 2 4 3 3 2 6" xfId="37310"/>
    <cellStyle name="常规 6 2 2 4 3 3 3" xfId="13721"/>
    <cellStyle name="常规 6 2 2 4 3 3 3 2" xfId="13724"/>
    <cellStyle name="常规 6 2 2 4 3 3 3 2 2" xfId="2443"/>
    <cellStyle name="常规 6 2 2 4 3 3 3 2 2 2" xfId="37311"/>
    <cellStyle name="常规 6 2 2 4 3 3 3 2 3" xfId="37312"/>
    <cellStyle name="常规 6 2 2 4 3 3 3 2 4" xfId="37313"/>
    <cellStyle name="常规 6 2 2 4 3 3 3 3" xfId="13727"/>
    <cellStyle name="常规 6 2 2 4 3 3 3 3 2" xfId="37314"/>
    <cellStyle name="常规 6 2 2 4 3 3 3 4" xfId="13730"/>
    <cellStyle name="常规 6 2 2 4 3 3 3 5" xfId="37315"/>
    <cellStyle name="常规 6 2 2 4 3 3 4" xfId="13732"/>
    <cellStyle name="常规 6 2 2 4 3 3 4 2" xfId="13735"/>
    <cellStyle name="常规 6 2 2 4 3 3 4 2 2" xfId="37316"/>
    <cellStyle name="常规 6 2 2 4 3 3 4 3" xfId="37317"/>
    <cellStyle name="常规 6 2 2 4 3 3 4 4" xfId="37318"/>
    <cellStyle name="常规 6 2 2 4 3 3 5" xfId="13737"/>
    <cellStyle name="常规 6 2 2 4 3 3 5 2" xfId="37319"/>
    <cellStyle name="常规 6 2 2 4 3 3 6" xfId="13739"/>
    <cellStyle name="常规 6 2 2 4 3 3 7" xfId="37320"/>
    <cellStyle name="常规 6 2 2 4 3 4" xfId="13741"/>
    <cellStyle name="常规 6 2 2 4 3 4 2" xfId="13743"/>
    <cellStyle name="常规 6 2 2 4 3 4 2 2" xfId="13746"/>
    <cellStyle name="常规 6 2 2 4 3 4 2 2 2" xfId="218"/>
    <cellStyle name="常规 6 2 2 4 3 4 2 2 2 2" xfId="37321"/>
    <cellStyle name="常规 6 2 2 4 3 4 2 2 3" xfId="37322"/>
    <cellStyle name="常规 6 2 2 4 3 4 2 2 4" xfId="37323"/>
    <cellStyle name="常规 6 2 2 4 3 4 2 3" xfId="13748"/>
    <cellStyle name="常规 6 2 2 4 3 4 2 3 2" xfId="37324"/>
    <cellStyle name="常规 6 2 2 4 3 4 2 4" xfId="13750"/>
    <cellStyle name="常规 6 2 2 4 3 4 2 5" xfId="37325"/>
    <cellStyle name="常规 6 2 2 4 3 4 3" xfId="13752"/>
    <cellStyle name="常规 6 2 2 4 3 4 3 2" xfId="13755"/>
    <cellStyle name="常规 6 2 2 4 3 4 3 2 2" xfId="37326"/>
    <cellStyle name="常规 6 2 2 4 3 4 3 3" xfId="37327"/>
    <cellStyle name="常规 6 2 2 4 3 4 3 4" xfId="37329"/>
    <cellStyle name="常规 6 2 2 4 3 4 4" xfId="13757"/>
    <cellStyle name="常规 6 2 2 4 3 4 4 2" xfId="37330"/>
    <cellStyle name="常规 6 2 2 4 3 4 5" xfId="13759"/>
    <cellStyle name="常规 6 2 2 4 3 4 6" xfId="37331"/>
    <cellStyle name="常规 6 2 2 4 3 5" xfId="13761"/>
    <cellStyle name="常规 6 2 2 4 3 5 2" xfId="13763"/>
    <cellStyle name="常规 6 2 2 4 3 5 2 2" xfId="13765"/>
    <cellStyle name="常规 6 2 2 4 3 5 2 2 2" xfId="37332"/>
    <cellStyle name="常规 6 2 2 4 3 5 2 3" xfId="37333"/>
    <cellStyle name="常规 6 2 2 4 3 5 2 4" xfId="37334"/>
    <cellStyle name="常规 6 2 2 4 3 5 3" xfId="13767"/>
    <cellStyle name="常规 6 2 2 4 3 5 3 2" xfId="37335"/>
    <cellStyle name="常规 6 2 2 4 3 5 4" xfId="13769"/>
    <cellStyle name="常规 6 2 2 4 3 5 5" xfId="37336"/>
    <cellStyle name="常规 6 2 2 4 3 6" xfId="13771"/>
    <cellStyle name="常规 6 2 2 4 3 6 2" xfId="13773"/>
    <cellStyle name="常规 6 2 2 4 3 6 2 2" xfId="37337"/>
    <cellStyle name="常规 6 2 2 4 3 6 3" xfId="37338"/>
    <cellStyle name="常规 6 2 2 4 3 6 4" xfId="37339"/>
    <cellStyle name="常规 6 2 2 4 3 7" xfId="37340"/>
    <cellStyle name="常规 6 2 2 4 3 7 2" xfId="37341"/>
    <cellStyle name="常规 6 2 2 4 3 8" xfId="37342"/>
    <cellStyle name="常规 6 2 2 4 3 9" xfId="37344"/>
    <cellStyle name="常规 6 2 2 4 4" xfId="37345"/>
    <cellStyle name="常规 6 2 2 4 4 2" xfId="14050"/>
    <cellStyle name="常规 6 2 2 4 4 2 2" xfId="14052"/>
    <cellStyle name="常规 6 2 2 4 4 2 2 2" xfId="14055"/>
    <cellStyle name="常规 6 2 2 4 4 2 2 2 2" xfId="14058"/>
    <cellStyle name="常规 6 2 2 4 4 2 2 2 2 2" xfId="35942"/>
    <cellStyle name="常规 6 2 2 4 4 2 2 2 2 2 2" xfId="37346"/>
    <cellStyle name="常规 6 2 2 4 4 2 2 2 2 3" xfId="37347"/>
    <cellStyle name="常规 6 2 2 4 4 2 2 2 2 4" xfId="37348"/>
    <cellStyle name="常规 6 2 2 4 4 2 2 2 3" xfId="35944"/>
    <cellStyle name="常规 6 2 2 4 4 2 2 2 3 2" xfId="37349"/>
    <cellStyle name="常规 6 2 2 4 4 2 2 2 4" xfId="35946"/>
    <cellStyle name="常规 6 2 2 4 4 2 2 2 5" xfId="37350"/>
    <cellStyle name="常规 6 2 2 4 4 2 2 3" xfId="14062"/>
    <cellStyle name="常规 6 2 2 4 4 2 2 3 2" xfId="35956"/>
    <cellStyle name="常规 6 2 2 4 4 2 2 3 2 2" xfId="37351"/>
    <cellStyle name="常规 6 2 2 4 4 2 2 3 3" xfId="35958"/>
    <cellStyle name="常规 6 2 2 4 4 2 2 3 4" xfId="37352"/>
    <cellStyle name="常规 6 2 2 4 4 2 2 4" xfId="14065"/>
    <cellStyle name="常规 6 2 2 4 4 2 2 4 2" xfId="35964"/>
    <cellStyle name="常规 6 2 2 4 4 2 2 5" xfId="37353"/>
    <cellStyle name="常规 6 2 2 4 4 2 2 6" xfId="37354"/>
    <cellStyle name="常规 6 2 2 4 4 2 3" xfId="14069"/>
    <cellStyle name="常规 6 2 2 4 4 2 3 2" xfId="14071"/>
    <cellStyle name="常规 6 2 2 4 4 2 3 2 2" xfId="35996"/>
    <cellStyle name="常规 6 2 2 4 4 2 3 2 2 2" xfId="37355"/>
    <cellStyle name="常规 6 2 2 4 4 2 3 2 3" xfId="35998"/>
    <cellStyle name="常规 6 2 2 4 4 2 3 2 4" xfId="37356"/>
    <cellStyle name="常规 6 2 2 4 4 2 3 3" xfId="37357"/>
    <cellStyle name="常规 6 2 2 4 4 2 3 3 2" xfId="36004"/>
    <cellStyle name="常规 6 2 2 4 4 2 3 4" xfId="37358"/>
    <cellStyle name="常规 6 2 2 4 4 2 3 5" xfId="37359"/>
    <cellStyle name="常规 6 2 2 4 4 2 4" xfId="14073"/>
    <cellStyle name="常规 6 2 2 4 4 2 4 2" xfId="37360"/>
    <cellStyle name="常规 6 2 2 4 4 2 4 2 2" xfId="36025"/>
    <cellStyle name="常规 6 2 2 4 4 2 4 3" xfId="37361"/>
    <cellStyle name="常规 6 2 2 4 4 2 4 4" xfId="37362"/>
    <cellStyle name="常规 6 2 2 4 4 2 5" xfId="14075"/>
    <cellStyle name="常规 6 2 2 4 4 2 5 2" xfId="37363"/>
    <cellStyle name="常规 6 2 2 4 4 2 6" xfId="37365"/>
    <cellStyle name="常规 6 2 2 4 4 2 7" xfId="37367"/>
    <cellStyle name="常规 6 2 2 4 4 3" xfId="14078"/>
    <cellStyle name="常规 6 2 2 4 4 3 2" xfId="14081"/>
    <cellStyle name="常规 6 2 2 4 4 3 2 2" xfId="14083"/>
    <cellStyle name="常规 6 2 2 4 4 3 2 2 2" xfId="34594"/>
    <cellStyle name="常规 6 2 2 4 4 3 2 2 2 2" xfId="37368"/>
    <cellStyle name="常规 6 2 2 4 4 3 2 2 3" xfId="37369"/>
    <cellStyle name="常规 6 2 2 4 4 3 2 2 4" xfId="37370"/>
    <cellStyle name="常规 6 2 2 4 4 3 2 3" xfId="27239"/>
    <cellStyle name="常规 6 2 2 4 4 3 2 3 2" xfId="37371"/>
    <cellStyle name="常规 6 2 2 4 4 3 2 4" xfId="34597"/>
    <cellStyle name="常规 6 2 2 4 4 3 2 5" xfId="37372"/>
    <cellStyle name="常规 6 2 2 4 4 3 3" xfId="14087"/>
    <cellStyle name="常规 6 2 2 4 4 3 3 2" xfId="34601"/>
    <cellStyle name="常规 6 2 2 4 4 3 3 2 2" xfId="37373"/>
    <cellStyle name="常规 6 2 2 4 4 3 3 3" xfId="34603"/>
    <cellStyle name="常规 6 2 2 4 4 3 3 4" xfId="37374"/>
    <cellStyle name="常规 6 2 2 4 4 3 4" xfId="14090"/>
    <cellStyle name="常规 6 2 2 4 4 3 4 2" xfId="37375"/>
    <cellStyle name="常规 6 2 2 4 4 3 5" xfId="37376"/>
    <cellStyle name="常规 6 2 2 4 4 3 6" xfId="37378"/>
    <cellStyle name="常规 6 2 2 4 4 4" xfId="14093"/>
    <cellStyle name="常规 6 2 2 4 4 4 2" xfId="14095"/>
    <cellStyle name="常规 6 2 2 4 4 4 2 2" xfId="34609"/>
    <cellStyle name="常规 6 2 2 4 4 4 2 2 2" xfId="36307"/>
    <cellStyle name="常规 6 2 2 4 4 4 2 3" xfId="34611"/>
    <cellStyle name="常规 6 2 2 4 4 4 2 4" xfId="37379"/>
    <cellStyle name="常规 6 2 2 4 4 4 3" xfId="37380"/>
    <cellStyle name="常规 6 2 2 4 4 4 3 2" xfId="37381"/>
    <cellStyle name="常规 6 2 2 4 4 4 4" xfId="37382"/>
    <cellStyle name="常规 6 2 2 4 4 4 5" xfId="37383"/>
    <cellStyle name="常规 6 2 2 4 4 5" xfId="14099"/>
    <cellStyle name="常规 6 2 2 4 4 5 2" xfId="37384"/>
    <cellStyle name="常规 6 2 2 4 4 5 2 2" xfId="37385"/>
    <cellStyle name="常规 6 2 2 4 4 5 3" xfId="37386"/>
    <cellStyle name="常规 6 2 2 4 4 5 4" xfId="37387"/>
    <cellStyle name="常规 6 2 2 4 4 6" xfId="14102"/>
    <cellStyle name="常规 6 2 2 4 4 6 2" xfId="37388"/>
    <cellStyle name="常规 6 2 2 4 4 7" xfId="37389"/>
    <cellStyle name="常规 6 2 2 4 4 8" xfId="37390"/>
    <cellStyle name="常规 6 2 2 4 5" xfId="37391"/>
    <cellStyle name="常规 6 2 2 4 5 2" xfId="14294"/>
    <cellStyle name="常规 6 2 2 4 5 2 2" xfId="14296"/>
    <cellStyle name="常规 6 2 2 4 5 2 2 2" xfId="14298"/>
    <cellStyle name="常规 6 2 2 4 5 2 2 2 2" xfId="11311"/>
    <cellStyle name="常规 6 2 2 4 5 2 2 2 2 2" xfId="37392"/>
    <cellStyle name="常规 6 2 2 4 5 2 2 2 3" xfId="37393"/>
    <cellStyle name="常规 6 2 2 4 5 2 2 2 4" xfId="37394"/>
    <cellStyle name="常规 6 2 2 4 5 2 2 3" xfId="9082"/>
    <cellStyle name="常规 6 2 2 4 5 2 2 3 2" xfId="37395"/>
    <cellStyle name="常规 6 2 2 4 5 2 2 4" xfId="14303"/>
    <cellStyle name="常规 6 2 2 4 5 2 2 5" xfId="37396"/>
    <cellStyle name="常规 6 2 2 4 5 2 3" xfId="14305"/>
    <cellStyle name="常规 6 2 2 4 5 2 3 2" xfId="14307"/>
    <cellStyle name="常规 6 2 2 4 5 2 3 2 2" xfId="37397"/>
    <cellStyle name="常规 6 2 2 4 5 2 3 3" xfId="37398"/>
    <cellStyle name="常规 6 2 2 4 5 2 3 4" xfId="37399"/>
    <cellStyle name="常规 6 2 2 4 5 2 4" xfId="14309"/>
    <cellStyle name="常规 6 2 2 4 5 2 4 2" xfId="37400"/>
    <cellStyle name="常规 6 2 2 4 5 2 5" xfId="10430"/>
    <cellStyle name="常规 6 2 2 4 5 2 6" xfId="37402"/>
    <cellStyle name="常规 6 2 2 4 5 3" xfId="14313"/>
    <cellStyle name="常规 6 2 2 4 5 3 2" xfId="14315"/>
    <cellStyle name="常规 6 2 2 4 5 3 2 2" xfId="14317"/>
    <cellStyle name="常规 6 2 2 4 5 3 2 2 2" xfId="37003"/>
    <cellStyle name="常规 6 2 2 4 5 3 2 3" xfId="4594"/>
    <cellStyle name="常规 6 2 2 4 5 3 2 4" xfId="37403"/>
    <cellStyle name="常规 6 2 2 4 5 3 3" xfId="14320"/>
    <cellStyle name="常规 6 2 2 4 5 3 3 2" xfId="37404"/>
    <cellStyle name="常规 6 2 2 4 5 3 4" xfId="14323"/>
    <cellStyle name="常规 6 2 2 4 5 3 5" xfId="37405"/>
    <cellStyle name="常规 6 2 2 4 5 4" xfId="14325"/>
    <cellStyle name="常规 6 2 2 4 5 4 2" xfId="14328"/>
    <cellStyle name="常规 6 2 2 4 5 4 2 2" xfId="37406"/>
    <cellStyle name="常规 6 2 2 4 5 4 3" xfId="37407"/>
    <cellStyle name="常规 6 2 2 4 5 4 4" xfId="37408"/>
    <cellStyle name="常规 6 2 2 4 5 5" xfId="14331"/>
    <cellStyle name="常规 6 2 2 4 5 5 2" xfId="37409"/>
    <cellStyle name="常规 6 2 2 4 5 6" xfId="14334"/>
    <cellStyle name="常规 6 2 2 4 5 7" xfId="37411"/>
    <cellStyle name="常规 6 2 2 4 6" xfId="37412"/>
    <cellStyle name="常规 6 2 2 4 6 2" xfId="14449"/>
    <cellStyle name="常规 6 2 2 4 6 2 2" xfId="14452"/>
    <cellStyle name="常规 6 2 2 4 6 2 2 2" xfId="14455"/>
    <cellStyle name="常规 6 2 2 4 6 2 2 2 2" xfId="37328"/>
    <cellStyle name="常规 6 2 2 4 6 2 2 3" xfId="37413"/>
    <cellStyle name="常规 6 2 2 4 6 2 2 4" xfId="37414"/>
    <cellStyle name="常规 6 2 2 4 6 2 3" xfId="14458"/>
    <cellStyle name="常规 6 2 2 4 6 2 3 2" xfId="37415"/>
    <cellStyle name="常规 6 2 2 4 6 2 4" xfId="14461"/>
    <cellStyle name="常规 6 2 2 4 6 2 5" xfId="37416"/>
    <cellStyle name="常规 6 2 2 4 6 3" xfId="14465"/>
    <cellStyle name="常规 6 2 2 4 6 3 2" xfId="14468"/>
    <cellStyle name="常规 6 2 2 4 6 3 2 2" xfId="37417"/>
    <cellStyle name="常规 6 2 2 4 6 3 3" xfId="23087"/>
    <cellStyle name="常规 6 2 2 4 6 3 4" xfId="37418"/>
    <cellStyle name="常规 6 2 2 4 6 4" xfId="14474"/>
    <cellStyle name="常规 6 2 2 4 6 4 2" xfId="37419"/>
    <cellStyle name="常规 6 2 2 4 6 5" xfId="14478"/>
    <cellStyle name="常规 6 2 2 4 6 6" xfId="37421"/>
    <cellStyle name="常规 6 2 2 4 7" xfId="37422"/>
    <cellStyle name="常规 6 2 2 4 7 2" xfId="14539"/>
    <cellStyle name="常规 6 2 2 4 7 2 2" xfId="14543"/>
    <cellStyle name="常规 6 2 2 4 7 2 2 2" xfId="37423"/>
    <cellStyle name="常规 6 2 2 4 7 2 3" xfId="37424"/>
    <cellStyle name="常规 6 2 2 4 7 2 4" xfId="37425"/>
    <cellStyle name="常规 6 2 2 4 7 3" xfId="14548"/>
    <cellStyle name="常规 6 2 2 4 7 3 2" xfId="37426"/>
    <cellStyle name="常规 6 2 2 4 7 4" xfId="14552"/>
    <cellStyle name="常规 6 2 2 4 7 5" xfId="37427"/>
    <cellStyle name="常规 6 2 2 4 8" xfId="1729"/>
    <cellStyle name="常规 6 2 2 4 8 2" xfId="14586"/>
    <cellStyle name="常规 6 2 2 4 8 2 2" xfId="37428"/>
    <cellStyle name="常规 6 2 2 4 8 3" xfId="14590"/>
    <cellStyle name="常规 6 2 2 4 8 4" xfId="10130"/>
    <cellStyle name="常规 6 2 2 4 9" xfId="37429"/>
    <cellStyle name="常规 6 2 2 4 9 2" xfId="14611"/>
    <cellStyle name="常规 6 2 2 5" xfId="37430"/>
    <cellStyle name="常规 6 2 2 5 2" xfId="37431"/>
    <cellStyle name="常规 6 2 2 5 2 2" xfId="37432"/>
    <cellStyle name="常规 6 2 2 5 2 2 2" xfId="37433"/>
    <cellStyle name="常规 6 2 2 5 2 2 2 2" xfId="37434"/>
    <cellStyle name="常规 6 2 2 5 2 2 2 2 2" xfId="37435"/>
    <cellStyle name="常规 6 2 2 5 2 2 2 2 2 2" xfId="37436"/>
    <cellStyle name="常规 6 2 2 5 2 2 2 2 2 2 2" xfId="37437"/>
    <cellStyle name="常规 6 2 2 5 2 2 2 2 2 3" xfId="37438"/>
    <cellStyle name="常规 6 2 2 5 2 2 2 2 2 4" xfId="37439"/>
    <cellStyle name="常规 6 2 2 5 2 2 2 2 3" xfId="37440"/>
    <cellStyle name="常规 6 2 2 5 2 2 2 2 3 2" xfId="37442"/>
    <cellStyle name="常规 6 2 2 5 2 2 2 2 4" xfId="37443"/>
    <cellStyle name="常规 6 2 2 5 2 2 2 2 5" xfId="37444"/>
    <cellStyle name="常规 6 2 2 5 2 2 2 3" xfId="37445"/>
    <cellStyle name="常规 6 2 2 5 2 2 2 3 2" xfId="37446"/>
    <cellStyle name="常规 6 2 2 5 2 2 2 3 2 2" xfId="37447"/>
    <cellStyle name="常规 6 2 2 5 2 2 2 3 3" xfId="37448"/>
    <cellStyle name="常规 6 2 2 5 2 2 2 3 4" xfId="37449"/>
    <cellStyle name="常规 6 2 2 5 2 2 2 4" xfId="7307"/>
    <cellStyle name="常规 6 2 2 5 2 2 2 4 2" xfId="37450"/>
    <cellStyle name="常规 6 2 2 5 2 2 2 5" xfId="37451"/>
    <cellStyle name="常规 6 2 2 5 2 2 2 6" xfId="7317"/>
    <cellStyle name="常规 6 2 2 5 2 2 3" xfId="8697"/>
    <cellStyle name="常规 6 2 2 5 2 2 3 2" xfId="37452"/>
    <cellStyle name="常规 6 2 2 5 2 2 3 2 2" xfId="37453"/>
    <cellStyle name="常规 6 2 2 5 2 2 3 2 2 2" xfId="37454"/>
    <cellStyle name="常规 6 2 2 5 2 2 3 2 3" xfId="37455"/>
    <cellStyle name="常规 6 2 2 5 2 2 3 2 4" xfId="37456"/>
    <cellStyle name="常规 6 2 2 5 2 2 3 3" xfId="37457"/>
    <cellStyle name="常规 6 2 2 5 2 2 3 3 2" xfId="37458"/>
    <cellStyle name="常规 6 2 2 5 2 2 3 4" xfId="37459"/>
    <cellStyle name="常规 6 2 2 5 2 2 3 5" xfId="37460"/>
    <cellStyle name="常规 6 2 2 5 2 2 4" xfId="37461"/>
    <cellStyle name="常规 6 2 2 5 2 2 4 2" xfId="37462"/>
    <cellStyle name="常规 6 2 2 5 2 2 4 2 2" xfId="37463"/>
    <cellStyle name="常规 6 2 2 5 2 2 4 3" xfId="37464"/>
    <cellStyle name="常规 6 2 2 5 2 2 4 4" xfId="6204"/>
    <cellStyle name="常规 6 2 2 5 2 2 5" xfId="37465"/>
    <cellStyle name="常规 6 2 2 5 2 2 5 2" xfId="37466"/>
    <cellStyle name="常规 6 2 2 5 2 2 6" xfId="37467"/>
    <cellStyle name="常规 6 2 2 5 2 2 7" xfId="37468"/>
    <cellStyle name="常规 6 2 2 5 2 3" xfId="37469"/>
    <cellStyle name="常规 6 2 2 5 2 3 2" xfId="37470"/>
    <cellStyle name="常规 6 2 2 5 2 3 2 2" xfId="37471"/>
    <cellStyle name="常规 6 2 2 5 2 3 2 2 2" xfId="37472"/>
    <cellStyle name="常规 6 2 2 5 2 3 2 2 2 2" xfId="37473"/>
    <cellStyle name="常规 6 2 2 5 2 3 2 2 3" xfId="37474"/>
    <cellStyle name="常规 6 2 2 5 2 3 2 2 4" xfId="37475"/>
    <cellStyle name="常规 6 2 2 5 2 3 2 3" xfId="37476"/>
    <cellStyle name="常规 6 2 2 5 2 3 2 3 2" xfId="3534"/>
    <cellStyle name="常规 6 2 2 5 2 3 2 4" xfId="37477"/>
    <cellStyle name="常规 6 2 2 5 2 3 2 5" xfId="37478"/>
    <cellStyle name="常规 6 2 2 5 2 3 3" xfId="37479"/>
    <cellStyle name="常规 6 2 2 5 2 3 3 2" xfId="37480"/>
    <cellStyle name="常规 6 2 2 5 2 3 3 2 2" xfId="37481"/>
    <cellStyle name="常规 6 2 2 5 2 3 3 3" xfId="37482"/>
    <cellStyle name="常规 6 2 2 5 2 3 3 4" xfId="37483"/>
    <cellStyle name="常规 6 2 2 5 2 3 4" xfId="37484"/>
    <cellStyle name="常规 6 2 2 5 2 3 4 2" xfId="37485"/>
    <cellStyle name="常规 6 2 2 5 2 3 5" xfId="37486"/>
    <cellStyle name="常规 6 2 2 5 2 3 6" xfId="37487"/>
    <cellStyle name="常规 6 2 2 5 2 4" xfId="37488"/>
    <cellStyle name="常规 6 2 2 5 2 4 2" xfId="37489"/>
    <cellStyle name="常规 6 2 2 5 2 4 2 2" xfId="28588"/>
    <cellStyle name="常规 6 2 2 5 2 4 2 2 2" xfId="5953"/>
    <cellStyle name="常规 6 2 2 5 2 4 2 3" xfId="28593"/>
    <cellStyle name="常规 6 2 2 5 2 4 2 4" xfId="28597"/>
    <cellStyle name="常规 6 2 2 5 2 4 3" xfId="37490"/>
    <cellStyle name="常规 6 2 2 5 2 4 3 2" xfId="28626"/>
    <cellStyle name="常规 6 2 2 5 2 4 4" xfId="37491"/>
    <cellStyle name="常规 6 2 2 5 2 4 5" xfId="37492"/>
    <cellStyle name="常规 6 2 2 5 2 5" xfId="37493"/>
    <cellStyle name="常规 6 2 2 5 2 5 2" xfId="37494"/>
    <cellStyle name="常规 6 2 2 5 2 5 2 2" xfId="28686"/>
    <cellStyle name="常规 6 2 2 5 2 5 3" xfId="37495"/>
    <cellStyle name="常规 6 2 2 5 2 5 4" xfId="37496"/>
    <cellStyle name="常规 6 2 2 5 2 6" xfId="37497"/>
    <cellStyle name="常规 6 2 2 5 2 6 2" xfId="37498"/>
    <cellStyle name="常规 6 2 2 5 2 7" xfId="37499"/>
    <cellStyle name="常规 6 2 2 5 2 8" xfId="37500"/>
    <cellStyle name="常规 6 2 2 5 3" xfId="37501"/>
    <cellStyle name="常规 6 2 2 5 3 2" xfId="14805"/>
    <cellStyle name="常规 6 2 2 5 3 2 2" xfId="9358"/>
    <cellStyle name="常规 6 2 2 5 3 2 2 2" xfId="9361"/>
    <cellStyle name="常规 6 2 2 5 3 2 2 2 2" xfId="3482"/>
    <cellStyle name="常规 6 2 2 5 3 2 2 2 2 2" xfId="37502"/>
    <cellStyle name="常规 6 2 2 5 3 2 2 2 3" xfId="37503"/>
    <cellStyle name="常规 6 2 2 5 3 2 2 2 4" xfId="7293"/>
    <cellStyle name="常规 6 2 2 5 3 2 2 3" xfId="14807"/>
    <cellStyle name="常规 6 2 2 5 3 2 2 3 2" xfId="37504"/>
    <cellStyle name="常规 6 2 2 5 3 2 2 4" xfId="7416"/>
    <cellStyle name="常规 6 2 2 5 3 2 2 5" xfId="37505"/>
    <cellStyle name="常规 6 2 2 5 3 2 3" xfId="9364"/>
    <cellStyle name="常规 6 2 2 5 3 2 3 2" xfId="14809"/>
    <cellStyle name="常规 6 2 2 5 3 2 3 2 2" xfId="37506"/>
    <cellStyle name="常规 6 2 2 5 3 2 3 3" xfId="37507"/>
    <cellStyle name="常规 6 2 2 5 3 2 3 4" xfId="37508"/>
    <cellStyle name="常规 6 2 2 5 3 2 4" xfId="7606"/>
    <cellStyle name="常规 6 2 2 5 3 2 4 2" xfId="7610"/>
    <cellStyle name="常规 6 2 2 5 3 2 5" xfId="649"/>
    <cellStyle name="常规 6 2 2 5 3 2 6" xfId="914"/>
    <cellStyle name="常规 6 2 2 5 3 3" xfId="14811"/>
    <cellStyle name="常规 6 2 2 5 3 3 2" xfId="9427"/>
    <cellStyle name="常规 6 2 2 5 3 3 2 2" xfId="14813"/>
    <cellStyle name="常规 6 2 2 5 3 3 2 2 2" xfId="37509"/>
    <cellStyle name="常规 6 2 2 5 3 3 2 3" xfId="37510"/>
    <cellStyle name="常规 6 2 2 5 3 3 2 4" xfId="37511"/>
    <cellStyle name="常规 6 2 2 5 3 3 3" xfId="9430"/>
    <cellStyle name="常规 6 2 2 5 3 3 3 2" xfId="37512"/>
    <cellStyle name="常规 6 2 2 5 3 3 4" xfId="6395"/>
    <cellStyle name="常规 6 2 2 5 3 3 5" xfId="925"/>
    <cellStyle name="常规 6 2 2 5 3 4" xfId="14815"/>
    <cellStyle name="常规 6 2 2 5 3 4 2" xfId="9461"/>
    <cellStyle name="常规 6 2 2 5 3 4 2 2" xfId="28773"/>
    <cellStyle name="常规 6 2 2 5 3 4 3" xfId="37513"/>
    <cellStyle name="常规 6 2 2 5 3 4 4" xfId="3704"/>
    <cellStyle name="常规 6 2 2 5 3 5" xfId="7187"/>
    <cellStyle name="常规 6 2 2 5 3 5 2" xfId="37514"/>
    <cellStyle name="常规 6 2 2 5 3 6" xfId="6763"/>
    <cellStyle name="常规 6 2 2 5 3 7" xfId="37515"/>
    <cellStyle name="常规 6 2 2 5 4" xfId="37516"/>
    <cellStyle name="常规 6 2 2 5 4 2" xfId="15003"/>
    <cellStyle name="常规 6 2 2 5 4 2 2" xfId="9577"/>
    <cellStyle name="常规 6 2 2 5 4 2 2 2" xfId="15005"/>
    <cellStyle name="常规 6 2 2 5 4 2 2 2 2" xfId="11541"/>
    <cellStyle name="常规 6 2 2 5 4 2 2 3" xfId="15007"/>
    <cellStyle name="常规 6 2 2 5 4 2 2 4" xfId="15009"/>
    <cellStyle name="常规 6 2 2 5 4 2 3" xfId="15011"/>
    <cellStyle name="常规 6 2 2 5 4 2 3 2" xfId="15013"/>
    <cellStyle name="常规 6 2 2 5 4 2 4" xfId="301"/>
    <cellStyle name="常规 6 2 2 5 4 2 5" xfId="41"/>
    <cellStyle name="常规 6 2 2 5 4 3" xfId="15016"/>
    <cellStyle name="常规 6 2 2 5 4 3 2" xfId="15018"/>
    <cellStyle name="常规 6 2 2 5 4 3 2 2" xfId="15020"/>
    <cellStyle name="常规 6 2 2 5 4 3 3" xfId="15023"/>
    <cellStyle name="常规 6 2 2 5 4 3 4" xfId="7627"/>
    <cellStyle name="常规 6 2 2 5 4 4" xfId="15025"/>
    <cellStyle name="常规 6 2 2 5 4 4 2" xfId="15027"/>
    <cellStyle name="常规 6 2 2 5 4 5" xfId="15"/>
    <cellStyle name="常规 6 2 2 5 4 6" xfId="6838"/>
    <cellStyle name="常规 6 2 2 5 5" xfId="37517"/>
    <cellStyle name="常规 6 2 2 5 5 2" xfId="15097"/>
    <cellStyle name="常规 6 2 2 5 5 2 2" xfId="15099"/>
    <cellStyle name="常规 6 2 2 5 5 2 2 2" xfId="15101"/>
    <cellStyle name="常规 6 2 2 5 5 2 3" xfId="15103"/>
    <cellStyle name="常规 6 2 2 5 5 2 4" xfId="7634"/>
    <cellStyle name="常规 6 2 2 5 5 3" xfId="15105"/>
    <cellStyle name="常规 6 2 2 5 5 3 2" xfId="15107"/>
    <cellStyle name="常规 6 2 2 5 5 4" xfId="15109"/>
    <cellStyle name="常规 6 2 2 5 5 5" xfId="6851"/>
    <cellStyle name="常规 6 2 2 5 6" xfId="37518"/>
    <cellStyle name="常规 6 2 2 5 6 2" xfId="15153"/>
    <cellStyle name="常规 6 2 2 5 6 2 2" xfId="15156"/>
    <cellStyle name="常规 6 2 2 5 6 3" xfId="15160"/>
    <cellStyle name="常规 6 2 2 5 6 4" xfId="15163"/>
    <cellStyle name="常规 6 2 2 5 7" xfId="37519"/>
    <cellStyle name="常规 6 2 2 5 7 2" xfId="15188"/>
    <cellStyle name="常规 6 2 2 5 8" xfId="37520"/>
    <cellStyle name="常规 6 2 2 5 9" xfId="1547"/>
    <cellStyle name="常规 6 2 2 6" xfId="37521"/>
    <cellStyle name="常规 6 2 2 6 2" xfId="37522"/>
    <cellStyle name="常规 6 2 2 6 2 2" xfId="33425"/>
    <cellStyle name="常规 6 2 2 6 2 2 2" xfId="37523"/>
    <cellStyle name="常规 6 2 2 6 2 2 2 2" xfId="37524"/>
    <cellStyle name="常规 6 2 2 6 2 2 2 2 2" xfId="37525"/>
    <cellStyle name="常规 6 2 2 6 2 2 2 2 2 2" xfId="37526"/>
    <cellStyle name="常规 6 2 2 6 2 2 2 2 2 2 2" xfId="37527"/>
    <cellStyle name="常规 6 2 2 6 2 2 2 2 2 3" xfId="37528"/>
    <cellStyle name="常规 6 2 2 6 2 2 2 2 2 4" xfId="37529"/>
    <cellStyle name="常规 6 2 2 6 2 2 2 2 3" xfId="37530"/>
    <cellStyle name="常规 6 2 2 6 2 2 2 2 3 2" xfId="37531"/>
    <cellStyle name="常规 6 2 2 6 2 2 2 2 4" xfId="37532"/>
    <cellStyle name="常规 6 2 2 6 2 2 2 2 5" xfId="37533"/>
    <cellStyle name="常规 6 2 2 6 2 2 2 3" xfId="37534"/>
    <cellStyle name="常规 6 2 2 6 2 2 2 3 2" xfId="37535"/>
    <cellStyle name="常规 6 2 2 6 2 2 2 3 2 2" xfId="37536"/>
    <cellStyle name="常规 6 2 2 6 2 2 2 3 3" xfId="37537"/>
    <cellStyle name="常规 6 2 2 6 2 2 2 3 4" xfId="37538"/>
    <cellStyle name="常规 6 2 2 6 2 2 2 4" xfId="4412"/>
    <cellStyle name="常规 6 2 2 6 2 2 2 4 2" xfId="37539"/>
    <cellStyle name="常规 6 2 2 6 2 2 2 5" xfId="37540"/>
    <cellStyle name="常规 6 2 2 6 2 2 2 6" xfId="37541"/>
    <cellStyle name="常规 6 2 2 6 2 2 3" xfId="37542"/>
    <cellStyle name="常规 6 2 2 6 2 2 3 2" xfId="37543"/>
    <cellStyle name="常规 6 2 2 6 2 2 3 2 2" xfId="37544"/>
    <cellStyle name="常规 6 2 2 6 2 2 3 2 2 2" xfId="37545"/>
    <cellStyle name="常规 6 2 2 6 2 2 3 2 3" xfId="37546"/>
    <cellStyle name="常规 6 2 2 6 2 2 3 2 4" xfId="37547"/>
    <cellStyle name="常规 6 2 2 6 2 2 3 3" xfId="37548"/>
    <cellStyle name="常规 6 2 2 6 2 2 3 3 2" xfId="37549"/>
    <cellStyle name="常规 6 2 2 6 2 2 3 4" xfId="37550"/>
    <cellStyle name="常规 6 2 2 6 2 2 3 5" xfId="37551"/>
    <cellStyle name="常规 6 2 2 6 2 2 4" xfId="37552"/>
    <cellStyle name="常规 6 2 2 6 2 2 4 2" xfId="37553"/>
    <cellStyle name="常规 6 2 2 6 2 2 4 2 2" xfId="37554"/>
    <cellStyle name="常规 6 2 2 6 2 2 4 3" xfId="37555"/>
    <cellStyle name="常规 6 2 2 6 2 2 4 4" xfId="37556"/>
    <cellStyle name="常规 6 2 2 6 2 2 5" xfId="37557"/>
    <cellStyle name="常规 6 2 2 6 2 2 5 2" xfId="37558"/>
    <cellStyle name="常规 6 2 2 6 2 2 6" xfId="37559"/>
    <cellStyle name="常规 6 2 2 6 2 2 7" xfId="37560"/>
    <cellStyle name="常规 6 2 2 6 2 3" xfId="37561"/>
    <cellStyle name="常规 6 2 2 6 2 3 2" xfId="37562"/>
    <cellStyle name="常规 6 2 2 6 2 3 2 2" xfId="37563"/>
    <cellStyle name="常规 6 2 2 6 2 3 2 2 2" xfId="37564"/>
    <cellStyle name="常规 6 2 2 6 2 3 2 2 2 2" xfId="37565"/>
    <cellStyle name="常规 6 2 2 6 2 3 2 2 3" xfId="37566"/>
    <cellStyle name="常规 6 2 2 6 2 3 2 2 4" xfId="37567"/>
    <cellStyle name="常规 6 2 2 6 2 3 2 3" xfId="37568"/>
    <cellStyle name="常规 6 2 2 6 2 3 2 3 2" xfId="37569"/>
    <cellStyle name="常规 6 2 2 6 2 3 2 4" xfId="37570"/>
    <cellStyle name="常规 6 2 2 6 2 3 2 5" xfId="37571"/>
    <cellStyle name="常规 6 2 2 6 2 3 3" xfId="37572"/>
    <cellStyle name="常规 6 2 2 6 2 3 3 2" xfId="37573"/>
    <cellStyle name="常规 6 2 2 6 2 3 3 2 2" xfId="37574"/>
    <cellStyle name="常规 6 2 2 6 2 3 3 3" xfId="37575"/>
    <cellStyle name="常规 6 2 2 6 2 3 3 4" xfId="37576"/>
    <cellStyle name="常规 6 2 2 6 2 3 4" xfId="37577"/>
    <cellStyle name="常规 6 2 2 6 2 3 4 2" xfId="37578"/>
    <cellStyle name="常规 6 2 2 6 2 3 5" xfId="37579"/>
    <cellStyle name="常规 6 2 2 6 2 3 6" xfId="37580"/>
    <cellStyle name="常规 6 2 2 6 2 4" xfId="37581"/>
    <cellStyle name="常规 6 2 2 6 2 4 2" xfId="37582"/>
    <cellStyle name="常规 6 2 2 6 2 4 2 2" xfId="1859"/>
    <cellStyle name="常规 6 2 2 6 2 4 2 2 2" xfId="16210"/>
    <cellStyle name="常规 6 2 2 6 2 4 2 3" xfId="16214"/>
    <cellStyle name="常规 6 2 2 6 2 4 2 4" xfId="1901"/>
    <cellStyle name="常规 6 2 2 6 2 4 3" xfId="37583"/>
    <cellStyle name="常规 6 2 2 6 2 4 3 2" xfId="16218"/>
    <cellStyle name="常规 6 2 2 6 2 4 4" xfId="37584"/>
    <cellStyle name="常规 6 2 2 6 2 4 5" xfId="37585"/>
    <cellStyle name="常规 6 2 2 6 2 5" xfId="37586"/>
    <cellStyle name="常规 6 2 2 6 2 5 2" xfId="37587"/>
    <cellStyle name="常规 6 2 2 6 2 5 2 2" xfId="16231"/>
    <cellStyle name="常规 6 2 2 6 2 5 3" xfId="37588"/>
    <cellStyle name="常规 6 2 2 6 2 5 4" xfId="37589"/>
    <cellStyle name="常规 6 2 2 6 2 6" xfId="37590"/>
    <cellStyle name="常规 6 2 2 6 2 6 2" xfId="37591"/>
    <cellStyle name="常规 6 2 2 6 2 7" xfId="37592"/>
    <cellStyle name="常规 6 2 2 6 2 8" xfId="37593"/>
    <cellStyle name="常规 6 2 2 6 3" xfId="37594"/>
    <cellStyle name="常规 6 2 2 6 3 2" xfId="15458"/>
    <cellStyle name="常规 6 2 2 6 3 2 2" xfId="7262"/>
    <cellStyle name="常规 6 2 2 6 3 2 2 2" xfId="1891"/>
    <cellStyle name="常规 6 2 2 6 3 2 2 2 2" xfId="7271"/>
    <cellStyle name="常规 6 2 2 6 3 2 2 2 2 2" xfId="37595"/>
    <cellStyle name="常规 6 2 2 6 3 2 2 2 3" xfId="37596"/>
    <cellStyle name="常规 6 2 2 6 3 2 2 2 4" xfId="37597"/>
    <cellStyle name="常规 6 2 2 6 3 2 2 3" xfId="5398"/>
    <cellStyle name="常规 6 2 2 6 3 2 2 3 2" xfId="37598"/>
    <cellStyle name="常规 6 2 2 6 3 2 2 4" xfId="362"/>
    <cellStyle name="常规 6 2 2 6 3 2 2 5" xfId="37599"/>
    <cellStyle name="常规 6 2 2 6 3 2 3" xfId="1980"/>
    <cellStyle name="常规 6 2 2 6 3 2 3 2" xfId="1990"/>
    <cellStyle name="常规 6 2 2 6 3 2 3 2 2" xfId="37600"/>
    <cellStyle name="常规 6 2 2 6 3 2 3 3" xfId="37601"/>
    <cellStyle name="常规 6 2 2 6 3 2 3 4" xfId="37602"/>
    <cellStyle name="常规 6 2 2 6 3 2 4" xfId="2012"/>
    <cellStyle name="常规 6 2 2 6 3 2 4 2" xfId="2023"/>
    <cellStyle name="常规 6 2 2 6 3 2 5" xfId="274"/>
    <cellStyle name="常规 6 2 2 6 3 2 6" xfId="213"/>
    <cellStyle name="常规 6 2 2 6 3 3" xfId="15461"/>
    <cellStyle name="常规 6 2 2 6 3 3 2" xfId="7285"/>
    <cellStyle name="常规 6 2 2 6 3 3 2 2" xfId="5115"/>
    <cellStyle name="常规 6 2 2 6 3 3 2 2 2" xfId="37603"/>
    <cellStyle name="常规 6 2 2 6 3 3 2 3" xfId="37604"/>
    <cellStyle name="常规 6 2 2 6 3 3 2 4" xfId="37605"/>
    <cellStyle name="常规 6 2 2 6 3 3 3" xfId="2057"/>
    <cellStyle name="常规 6 2 2 6 3 3 3 2" xfId="37606"/>
    <cellStyle name="常规 6 2 2 6 3 3 4" xfId="2086"/>
    <cellStyle name="常规 6 2 2 6 3 3 5" xfId="37607"/>
    <cellStyle name="常规 6 2 2 6 3 4" xfId="8339"/>
    <cellStyle name="常规 6 2 2 6 3 4 2" xfId="7301"/>
    <cellStyle name="常规 6 2 2 6 3 4 2 2" xfId="8342"/>
    <cellStyle name="常规 6 2 2 6 3 4 3" xfId="37608"/>
    <cellStyle name="常规 6 2 2 6 3 4 4" xfId="37609"/>
    <cellStyle name="常规 6 2 2 6 3 5" xfId="7202"/>
    <cellStyle name="常规 6 2 2 6 3 5 2" xfId="37610"/>
    <cellStyle name="常规 6 2 2 6 3 6" xfId="6191"/>
    <cellStyle name="常规 6 2 2 6 3 7" xfId="37611"/>
    <cellStyle name="常规 6 2 2 6 4" xfId="37612"/>
    <cellStyle name="常规 6 2 2 6 4 2" xfId="15589"/>
    <cellStyle name="常规 6 2 2 6 4 2 2" xfId="7325"/>
    <cellStyle name="常规 6 2 2 6 4 2 2 2" xfId="5662"/>
    <cellStyle name="常规 6 2 2 6 4 2 2 2 2" xfId="37614"/>
    <cellStyle name="常规 6 2 2 6 4 2 2 3" xfId="30085"/>
    <cellStyle name="常规 6 2 2 6 4 2 2 4" xfId="37615"/>
    <cellStyle name="常规 6 2 2 6 4 2 3" xfId="2164"/>
    <cellStyle name="常规 6 2 2 6 4 2 3 2" xfId="37616"/>
    <cellStyle name="常规 6 2 2 6 4 2 4" xfId="7334"/>
    <cellStyle name="常规 6 2 2 6 4 2 5" xfId="37617"/>
    <cellStyle name="常规 6 2 2 6 4 3" xfId="15591"/>
    <cellStyle name="常规 6 2 2 6 4 3 2" xfId="7348"/>
    <cellStyle name="常规 6 2 2 6 4 3 2 2" xfId="37618"/>
    <cellStyle name="常规 6 2 2 6 4 3 3" xfId="37619"/>
    <cellStyle name="常规 6 2 2 6 4 3 4" xfId="37620"/>
    <cellStyle name="常规 6 2 2 6 4 4" xfId="8350"/>
    <cellStyle name="常规 6 2 2 6 4 4 2" xfId="37621"/>
    <cellStyle name="常规 6 2 2 6 4 5" xfId="6867"/>
    <cellStyle name="常规 6 2 2 6 4 6" xfId="37622"/>
    <cellStyle name="常规 6 2 2 6 5" xfId="37623"/>
    <cellStyle name="常规 6 2 2 6 5 2" xfId="15644"/>
    <cellStyle name="常规 6 2 2 6 5 2 2" xfId="7367"/>
    <cellStyle name="常规 6 2 2 6 5 2 2 2" xfId="37624"/>
    <cellStyle name="常规 6 2 2 6 5 2 3" xfId="37625"/>
    <cellStyle name="常规 6 2 2 6 5 2 4" xfId="37626"/>
    <cellStyle name="常规 6 2 2 6 5 3" xfId="15646"/>
    <cellStyle name="常规 6 2 2 6 5 3 2" xfId="37627"/>
    <cellStyle name="常规 6 2 2 6 5 4" xfId="8354"/>
    <cellStyle name="常规 6 2 2 6 5 5" xfId="37628"/>
    <cellStyle name="常规 6 2 2 6 6" xfId="37629"/>
    <cellStyle name="常规 6 2 2 6 6 2" xfId="15680"/>
    <cellStyle name="常规 6 2 2 6 6 2 2" xfId="37630"/>
    <cellStyle name="常规 6 2 2 6 6 3" xfId="15683"/>
    <cellStyle name="常规 6 2 2 6 6 4" xfId="37631"/>
    <cellStyle name="常规 6 2 2 6 7" xfId="37632"/>
    <cellStyle name="常规 6 2 2 6 7 2" xfId="15698"/>
    <cellStyle name="常规 6 2 2 6 8" xfId="37633"/>
    <cellStyle name="常规 6 2 2 6 9" xfId="1589"/>
    <cellStyle name="常规 6 2 2 7" xfId="5208"/>
    <cellStyle name="常规 6 2 2 7 2" xfId="37634"/>
    <cellStyle name="常规 6 2 2 7 2 2" xfId="37635"/>
    <cellStyle name="常规 6 2 2 7 2 2 2" xfId="37636"/>
    <cellStyle name="常规 6 2 2 7 2 2 2 2" xfId="37637"/>
    <cellStyle name="常规 6 2 2 7 2 2 2 2 2" xfId="37638"/>
    <cellStyle name="常规 6 2 2 7 2 2 2 2 2 2" xfId="37639"/>
    <cellStyle name="常规 6 2 2 7 2 2 2 2 3" xfId="37640"/>
    <cellStyle name="常规 6 2 2 7 2 2 2 2 4" xfId="37641"/>
    <cellStyle name="常规 6 2 2 7 2 2 2 3" xfId="37642"/>
    <cellStyle name="常规 6 2 2 7 2 2 2 3 2" xfId="37643"/>
    <cellStyle name="常规 6 2 2 7 2 2 2 4" xfId="37644"/>
    <cellStyle name="常规 6 2 2 7 2 2 2 5" xfId="37645"/>
    <cellStyle name="常规 6 2 2 7 2 2 3" xfId="37646"/>
    <cellStyle name="常规 6 2 2 7 2 2 3 2" xfId="37647"/>
    <cellStyle name="常规 6 2 2 7 2 2 3 2 2" xfId="37648"/>
    <cellStyle name="常规 6 2 2 7 2 2 3 3" xfId="37649"/>
    <cellStyle name="常规 6 2 2 7 2 2 3 4" xfId="37650"/>
    <cellStyle name="常规 6 2 2 7 2 2 4" xfId="37651"/>
    <cellStyle name="常规 6 2 2 7 2 2 4 2" xfId="37652"/>
    <cellStyle name="常规 6 2 2 7 2 2 5" xfId="19874"/>
    <cellStyle name="常规 6 2 2 7 2 2 6" xfId="37653"/>
    <cellStyle name="常规 6 2 2 7 2 3" xfId="37654"/>
    <cellStyle name="常规 6 2 2 7 2 3 2" xfId="37655"/>
    <cellStyle name="常规 6 2 2 7 2 3 2 2" xfId="37656"/>
    <cellStyle name="常规 6 2 2 7 2 3 2 2 2" xfId="37657"/>
    <cellStyle name="常规 6 2 2 7 2 3 2 3" xfId="37658"/>
    <cellStyle name="常规 6 2 2 7 2 3 2 4" xfId="37659"/>
    <cellStyle name="常规 6 2 2 7 2 3 3" xfId="37660"/>
    <cellStyle name="常规 6 2 2 7 2 3 3 2" xfId="31805"/>
    <cellStyle name="常规 6 2 2 7 2 3 4" xfId="37661"/>
    <cellStyle name="常规 6 2 2 7 2 3 5" xfId="37662"/>
    <cellStyle name="常规 6 2 2 7 2 4" xfId="37663"/>
    <cellStyle name="常规 6 2 2 7 2 4 2" xfId="37664"/>
    <cellStyle name="常规 6 2 2 7 2 4 2 2" xfId="13406"/>
    <cellStyle name="常规 6 2 2 7 2 4 3" xfId="37665"/>
    <cellStyle name="常规 6 2 2 7 2 4 4" xfId="37666"/>
    <cellStyle name="常规 6 2 2 7 2 5" xfId="37667"/>
    <cellStyle name="常规 6 2 2 7 2 5 2" xfId="37668"/>
    <cellStyle name="常规 6 2 2 7 2 6" xfId="37670"/>
    <cellStyle name="常规 6 2 2 7 2 7" xfId="37672"/>
    <cellStyle name="常规 6 2 2 7 3" xfId="37673"/>
    <cellStyle name="常规 6 2 2 7 3 2" xfId="15751"/>
    <cellStyle name="常规 6 2 2 7 3 2 2" xfId="7400"/>
    <cellStyle name="常规 6 2 2 7 3 2 2 2" xfId="37674"/>
    <cellStyle name="常规 6 2 2 7 3 2 2 2 2" xfId="37675"/>
    <cellStyle name="常规 6 2 2 7 3 2 2 3" xfId="37676"/>
    <cellStyle name="常规 6 2 2 7 3 2 2 4" xfId="2383"/>
    <cellStyle name="常规 6 2 2 7 3 2 3" xfId="37677"/>
    <cellStyle name="常规 6 2 2 7 3 2 3 2" xfId="37678"/>
    <cellStyle name="常规 6 2 2 7 3 2 4" xfId="3014"/>
    <cellStyle name="常规 6 2 2 7 3 2 5" xfId="37679"/>
    <cellStyle name="常规 6 2 2 7 3 3" xfId="15753"/>
    <cellStyle name="常规 6 2 2 7 3 3 2" xfId="37680"/>
    <cellStyle name="常规 6 2 2 7 3 3 2 2" xfId="37681"/>
    <cellStyle name="常规 6 2 2 7 3 3 3" xfId="37682"/>
    <cellStyle name="常规 6 2 2 7 3 3 4" xfId="37683"/>
    <cellStyle name="常规 6 2 2 7 3 4" xfId="8361"/>
    <cellStyle name="常规 6 2 2 7 3 4 2" xfId="37684"/>
    <cellStyle name="常规 6 2 2 7 3 5" xfId="37685"/>
    <cellStyle name="常规 6 2 2 7 3 6" xfId="37687"/>
    <cellStyle name="常规 6 2 2 7 4" xfId="37688"/>
    <cellStyle name="常规 6 2 2 7 4 2" xfId="15772"/>
    <cellStyle name="常规 6 2 2 7 4 2 2" xfId="37689"/>
    <cellStyle name="常规 6 2 2 7 4 2 2 2" xfId="37690"/>
    <cellStyle name="常规 6 2 2 7 4 2 3" xfId="37691"/>
    <cellStyle name="常规 6 2 2 7 4 2 4" xfId="37692"/>
    <cellStyle name="常规 6 2 2 7 4 3" xfId="15774"/>
    <cellStyle name="常规 6 2 2 7 4 3 2" xfId="37693"/>
    <cellStyle name="常规 6 2 2 7 4 4" xfId="37694"/>
    <cellStyle name="常规 6 2 2 7 4 5" xfId="37695"/>
    <cellStyle name="常规 6 2 2 7 5" xfId="37696"/>
    <cellStyle name="常规 6 2 2 7 5 2" xfId="15784"/>
    <cellStyle name="常规 6 2 2 7 5 2 2" xfId="37697"/>
    <cellStyle name="常规 6 2 2 7 5 3" xfId="37698"/>
    <cellStyle name="常规 6 2 2 7 5 4" xfId="37699"/>
    <cellStyle name="常规 6 2 2 7 6" xfId="37700"/>
    <cellStyle name="常规 6 2 2 7 6 2" xfId="37701"/>
    <cellStyle name="常规 6 2 2 7 7" xfId="37702"/>
    <cellStyle name="常规 6 2 2 7 8" xfId="37703"/>
    <cellStyle name="常规 6 2 2 8" xfId="37704"/>
    <cellStyle name="常规 6 2 2 8 2" xfId="37705"/>
    <cellStyle name="常规 6 2 2 8 2 2" xfId="37706"/>
    <cellStyle name="常规 6 2 2 8 2 2 2" xfId="37707"/>
    <cellStyle name="常规 6 2 2 8 2 2 2 2" xfId="6810"/>
    <cellStyle name="常规 6 2 2 8 2 2 2 2 2" xfId="37708"/>
    <cellStyle name="常规 6 2 2 8 2 2 2 3" xfId="25745"/>
    <cellStyle name="常规 6 2 2 8 2 2 2 4" xfId="37709"/>
    <cellStyle name="常规 6 2 2 8 2 2 3" xfId="37710"/>
    <cellStyle name="常规 6 2 2 8 2 2 3 2" xfId="24833"/>
    <cellStyle name="常规 6 2 2 8 2 2 4" xfId="37711"/>
    <cellStyle name="常规 6 2 2 8 2 2 5" xfId="37712"/>
    <cellStyle name="常规 6 2 2 8 2 3" xfId="37713"/>
    <cellStyle name="常规 6 2 2 8 2 3 2" xfId="37714"/>
    <cellStyle name="常规 6 2 2 8 2 3 2 2" xfId="25841"/>
    <cellStyle name="常规 6 2 2 8 2 3 3" xfId="37715"/>
    <cellStyle name="常规 6 2 2 8 2 3 4" xfId="37716"/>
    <cellStyle name="常规 6 2 2 8 2 4" xfId="37717"/>
    <cellStyle name="常规 6 2 2 8 2 4 2" xfId="37718"/>
    <cellStyle name="常规 6 2 2 8 2 5" xfId="37719"/>
    <cellStyle name="常规 6 2 2 8 2 6" xfId="37721"/>
    <cellStyle name="常规 6 2 2 8 3" xfId="37722"/>
    <cellStyle name="常规 6 2 2 8 3 2" xfId="15820"/>
    <cellStyle name="常规 6 2 2 8 3 2 2" xfId="37723"/>
    <cellStyle name="常规 6 2 2 8 3 2 2 2" xfId="26426"/>
    <cellStyle name="常规 6 2 2 8 3 2 3" xfId="37724"/>
    <cellStyle name="常规 6 2 2 8 3 2 4" xfId="37725"/>
    <cellStyle name="常规 6 2 2 8 3 3" xfId="4036"/>
    <cellStyle name="常规 6 2 2 8 3 3 2" xfId="37726"/>
    <cellStyle name="常规 6 2 2 8 3 4" xfId="37727"/>
    <cellStyle name="常规 6 2 2 8 3 5" xfId="37728"/>
    <cellStyle name="常规 6 2 2 8 4" xfId="37729"/>
    <cellStyle name="常规 6 2 2 8 4 2" xfId="15834"/>
    <cellStyle name="常规 6 2 2 8 4 2 2" xfId="37730"/>
    <cellStyle name="常规 6 2 2 8 4 3" xfId="37731"/>
    <cellStyle name="常规 6 2 2 8 4 4" xfId="37732"/>
    <cellStyle name="常规 6 2 2 8 5" xfId="29118"/>
    <cellStyle name="常规 6 2 2 8 5 2" xfId="22775"/>
    <cellStyle name="常规 6 2 2 8 6" xfId="12913"/>
    <cellStyle name="常规 6 2 2 8 7" xfId="12926"/>
    <cellStyle name="常规 6 2 2 9" xfId="37733"/>
    <cellStyle name="常规 6 2 2 9 2" xfId="37734"/>
    <cellStyle name="常规 6 2 2 9 2 2" xfId="37735"/>
    <cellStyle name="常规 6 2 2 9 2 2 2" xfId="37736"/>
    <cellStyle name="常规 6 2 2 9 2 2 2 2" xfId="18774"/>
    <cellStyle name="常规 6 2 2 9 2 2 3" xfId="37737"/>
    <cellStyle name="常规 6 2 2 9 2 2 4" xfId="37738"/>
    <cellStyle name="常规 6 2 2 9 2 3" xfId="37739"/>
    <cellStyle name="常规 6 2 2 9 2 3 2" xfId="37740"/>
    <cellStyle name="常规 6 2 2 9 2 4" xfId="37741"/>
    <cellStyle name="常规 6 2 2 9 2 5" xfId="37742"/>
    <cellStyle name="常规 6 2 2 9 3" xfId="37743"/>
    <cellStyle name="常规 6 2 2 9 3 2" xfId="15882"/>
    <cellStyle name="常规 6 2 2 9 3 2 2" xfId="37744"/>
    <cellStyle name="常规 6 2 2 9 3 3" xfId="37745"/>
    <cellStyle name="常规 6 2 2 9 3 4" xfId="16434"/>
    <cellStyle name="常规 6 2 2 9 4" xfId="37746"/>
    <cellStyle name="常规 6 2 2 9 4 2" xfId="37747"/>
    <cellStyle name="常规 6 2 2 9 5" xfId="18788"/>
    <cellStyle name="常规 6 2 2 9 6" xfId="12943"/>
    <cellStyle name="常规 6 2 3" xfId="37748"/>
    <cellStyle name="常规 6 2 4" xfId="37749"/>
    <cellStyle name="常规 6 2 4 10" xfId="37750"/>
    <cellStyle name="常规 6 2 4 10 2" xfId="37751"/>
    <cellStyle name="常规 6 2 4 10 2 2" xfId="37752"/>
    <cellStyle name="常规 6 2 4 10 3" xfId="37753"/>
    <cellStyle name="常规 6 2 4 10 4" xfId="37754"/>
    <cellStyle name="常规 6 2 4 11" xfId="37755"/>
    <cellStyle name="常规 6 2 4 11 2" xfId="37756"/>
    <cellStyle name="常规 6 2 4 12" xfId="37757"/>
    <cellStyle name="常规 6 2 4 13" xfId="37758"/>
    <cellStyle name="常规 6 2 4 2" xfId="37760"/>
    <cellStyle name="常规 6 2 4 2 10" xfId="37761"/>
    <cellStyle name="常规 6 2 4 2 10 2" xfId="37762"/>
    <cellStyle name="常规 6 2 4 2 11" xfId="37763"/>
    <cellStyle name="常规 6 2 4 2 12" xfId="37764"/>
    <cellStyle name="常规 6 2 4 2 2" xfId="37766"/>
    <cellStyle name="常规 6 2 4 2 2 10" xfId="37767"/>
    <cellStyle name="常规 6 2 4 2 2 11" xfId="37768"/>
    <cellStyle name="常规 6 2 4 2 2 2" xfId="37770"/>
    <cellStyle name="常规 6 2 4 2 2 2 2" xfId="37772"/>
    <cellStyle name="常规 6 2 4 2 2 2 2 2" xfId="37773"/>
    <cellStyle name="常规 6 2 4 2 2 2 2 2 2" xfId="37774"/>
    <cellStyle name="常规 6 2 4 2 2 2 2 2 2 2" xfId="37775"/>
    <cellStyle name="常规 6 2 4 2 2 2 2 2 2 2 2" xfId="37776"/>
    <cellStyle name="常规 6 2 4 2 2 2 2 2 2 2 2 2" xfId="37777"/>
    <cellStyle name="常规 6 2 4 2 2 2 2 2 2 2 2 2 2" xfId="37778"/>
    <cellStyle name="常规 6 2 4 2 2 2 2 2 2 2 2 3" xfId="37779"/>
    <cellStyle name="常规 6 2 4 2 2 2 2 2 2 2 2 4" xfId="37780"/>
    <cellStyle name="常规 6 2 4 2 2 2 2 2 2 2 3" xfId="37781"/>
    <cellStyle name="常规 6 2 4 2 2 2 2 2 2 2 3 2" xfId="37782"/>
    <cellStyle name="常规 6 2 4 2 2 2 2 2 2 2 4" xfId="37783"/>
    <cellStyle name="常规 6 2 4 2 2 2 2 2 2 2 5" xfId="25465"/>
    <cellStyle name="常规 6 2 4 2 2 2 2 2 2 3" xfId="37784"/>
    <cellStyle name="常规 6 2 4 2 2 2 2 2 2 3 2" xfId="37785"/>
    <cellStyle name="常规 6 2 4 2 2 2 2 2 2 3 2 2" xfId="34982"/>
    <cellStyle name="常规 6 2 4 2 2 2 2 2 2 3 3" xfId="37786"/>
    <cellStyle name="常规 6 2 4 2 2 2 2 2 2 3 4" xfId="37787"/>
    <cellStyle name="常规 6 2 4 2 2 2 2 2 2 4" xfId="37788"/>
    <cellStyle name="常规 6 2 4 2 2 2 2 2 2 4 2" xfId="37789"/>
    <cellStyle name="常规 6 2 4 2 2 2 2 2 2 5" xfId="37790"/>
    <cellStyle name="常规 6 2 4 2 2 2 2 2 2 6" xfId="37791"/>
    <cellStyle name="常规 6 2 4 2 2 2 2 2 3" xfId="37792"/>
    <cellStyle name="常规 6 2 4 2 2 2 2 2 3 2" xfId="37793"/>
    <cellStyle name="常规 6 2 4 2 2 2 2 2 3 2 2" xfId="37794"/>
    <cellStyle name="常规 6 2 4 2 2 2 2 2 3 2 2 2" xfId="37795"/>
    <cellStyle name="常规 6 2 4 2 2 2 2 2 3 2 3" xfId="37796"/>
    <cellStyle name="常规 6 2 4 2 2 2 2 2 3 2 4" xfId="37797"/>
    <cellStyle name="常规 6 2 4 2 2 2 2 2 3 3" xfId="37798"/>
    <cellStyle name="常规 6 2 4 2 2 2 2 2 3 3 2" xfId="37799"/>
    <cellStyle name="常规 6 2 4 2 2 2 2 2 3 4" xfId="37801"/>
    <cellStyle name="常规 6 2 4 2 2 2 2 2 3 5" xfId="37803"/>
    <cellStyle name="常规 6 2 4 2 2 2 2 2 4" xfId="37804"/>
    <cellStyle name="常规 6 2 4 2 2 2 2 2 4 2" xfId="37805"/>
    <cellStyle name="常规 6 2 4 2 2 2 2 2 4 2 2" xfId="37806"/>
    <cellStyle name="常规 6 2 4 2 2 2 2 2 4 3" xfId="37807"/>
    <cellStyle name="常规 6 2 4 2 2 2 2 2 4 4" xfId="37808"/>
    <cellStyle name="常规 6 2 4 2 2 2 2 2 5" xfId="37809"/>
    <cellStyle name="常规 6 2 4 2 2 2 2 2 5 2" xfId="37810"/>
    <cellStyle name="常规 6 2 4 2 2 2 2 2 6" xfId="37811"/>
    <cellStyle name="常规 6 2 4 2 2 2 2 2 7" xfId="37812"/>
    <cellStyle name="常规 6 2 4 2 2 2 2 3" xfId="37813"/>
    <cellStyle name="常规 6 2 4 2 2 2 2 3 2" xfId="37814"/>
    <cellStyle name="常规 6 2 4 2 2 2 2 3 2 2" xfId="37815"/>
    <cellStyle name="常规 6 2 4 2 2 2 2 3 2 2 2" xfId="37816"/>
    <cellStyle name="常规 6 2 4 2 2 2 2 3 2 2 2 2" xfId="37817"/>
    <cellStyle name="常规 6 2 4 2 2 2 2 3 2 2 3" xfId="37818"/>
    <cellStyle name="常规 6 2 4 2 2 2 2 3 2 2 4" xfId="37819"/>
    <cellStyle name="常规 6 2 4 2 2 2 2 3 2 3" xfId="37820"/>
    <cellStyle name="常规 6 2 4 2 2 2 2 3 2 3 2" xfId="37821"/>
    <cellStyle name="常规 6 2 4 2 2 2 2 3 2 4" xfId="37822"/>
    <cellStyle name="常规 6 2 4 2 2 2 2 3 2 5" xfId="37823"/>
    <cellStyle name="常规 6 2 4 2 2 2 2 3 3" xfId="37824"/>
    <cellStyle name="常规 6 2 4 2 2 2 2 3 3 2" xfId="37825"/>
    <cellStyle name="常规 6 2 4 2 2 2 2 3 3 2 2" xfId="37826"/>
    <cellStyle name="常规 6 2 4 2 2 2 2 3 3 3" xfId="37827"/>
    <cellStyle name="常规 6 2 4 2 2 2 2 3 3 4" xfId="37828"/>
    <cellStyle name="常规 6 2 4 2 2 2 2 3 4" xfId="37829"/>
    <cellStyle name="常规 6 2 4 2 2 2 2 3 4 2" xfId="37830"/>
    <cellStyle name="常规 6 2 4 2 2 2 2 3 5" xfId="37831"/>
    <cellStyle name="常规 6 2 4 2 2 2 2 3 6" xfId="37832"/>
    <cellStyle name="常规 6 2 4 2 2 2 2 4" xfId="29930"/>
    <cellStyle name="常规 6 2 4 2 2 2 2 4 2" xfId="12628"/>
    <cellStyle name="常规 6 2 4 2 2 2 2 4 2 2" xfId="22522"/>
    <cellStyle name="常规 6 2 4 2 2 2 2 4 2 2 2" xfId="37833"/>
    <cellStyle name="常规 6 2 4 2 2 2 2 4 2 3" xfId="37834"/>
    <cellStyle name="常规 6 2 4 2 2 2 2 4 2 4" xfId="37835"/>
    <cellStyle name="常规 6 2 4 2 2 2 2 4 3" xfId="12631"/>
    <cellStyle name="常规 6 2 4 2 2 2 2 4 3 2" xfId="37836"/>
    <cellStyle name="常规 6 2 4 2 2 2 2 4 4" xfId="29933"/>
    <cellStyle name="常规 6 2 4 2 2 2 2 4 5" xfId="37837"/>
    <cellStyle name="常规 6 2 4 2 2 2 2 5" xfId="29937"/>
    <cellStyle name="常规 6 2 4 2 2 2 2 5 2" xfId="12651"/>
    <cellStyle name="常规 6 2 4 2 2 2 2 5 2 2" xfId="37838"/>
    <cellStyle name="常规 6 2 4 2 2 2 2 5 3" xfId="37839"/>
    <cellStyle name="常规 6 2 4 2 2 2 2 5 4" xfId="37840"/>
    <cellStyle name="常规 6 2 4 2 2 2 2 6" xfId="5178"/>
    <cellStyle name="常规 6 2 4 2 2 2 2 6 2" xfId="37841"/>
    <cellStyle name="常规 6 2 4 2 2 2 2 7" xfId="6582"/>
    <cellStyle name="常规 6 2 4 2 2 2 2 8" xfId="37842"/>
    <cellStyle name="常规 6 2 4 2 2 2 3" xfId="37843"/>
    <cellStyle name="常规 6 2 4 2 2 2 3 2" xfId="37844"/>
    <cellStyle name="常规 6 2 4 2 2 2 3 2 2" xfId="37845"/>
    <cellStyle name="常规 6 2 4 2 2 2 3 2 2 2" xfId="37846"/>
    <cellStyle name="常规 6 2 4 2 2 2 3 2 2 2 2" xfId="37847"/>
    <cellStyle name="常规 6 2 4 2 2 2 3 2 2 2 2 2" xfId="37848"/>
    <cellStyle name="常规 6 2 4 2 2 2 3 2 2 2 3" xfId="37849"/>
    <cellStyle name="常规 6 2 4 2 2 2 3 2 2 2 4" xfId="37850"/>
    <cellStyle name="常规 6 2 4 2 2 2 3 2 2 3" xfId="37851"/>
    <cellStyle name="常规 6 2 4 2 2 2 3 2 2 3 2" xfId="37852"/>
    <cellStyle name="常规 6 2 4 2 2 2 3 2 2 4" xfId="37853"/>
    <cellStyle name="常规 6 2 4 2 2 2 3 2 2 5" xfId="37854"/>
    <cellStyle name="常规 6 2 4 2 2 2 3 2 3" xfId="37855"/>
    <cellStyle name="常规 6 2 4 2 2 2 3 2 3 2" xfId="37856"/>
    <cellStyle name="常规 6 2 4 2 2 2 3 2 3 2 2" xfId="37857"/>
    <cellStyle name="常规 6 2 4 2 2 2 3 2 3 3" xfId="37858"/>
    <cellStyle name="常规 6 2 4 2 2 2 3 2 3 4" xfId="37859"/>
    <cellStyle name="常规 6 2 4 2 2 2 3 2 4" xfId="37860"/>
    <cellStyle name="常规 6 2 4 2 2 2 3 2 4 2" xfId="37861"/>
    <cellStyle name="常规 6 2 4 2 2 2 3 2 5" xfId="37862"/>
    <cellStyle name="常规 6 2 4 2 2 2 3 2 6" xfId="37863"/>
    <cellStyle name="常规 6 2 4 2 2 2 3 3" xfId="37864"/>
    <cellStyle name="常规 6 2 4 2 2 2 3 3 2" xfId="37865"/>
    <cellStyle name="常规 6 2 4 2 2 2 3 3 2 2" xfId="37866"/>
    <cellStyle name="常规 6 2 4 2 2 2 3 3 2 2 2" xfId="37867"/>
    <cellStyle name="常规 6 2 4 2 2 2 3 3 2 3" xfId="37868"/>
    <cellStyle name="常规 6 2 4 2 2 2 3 3 2 4" xfId="37869"/>
    <cellStyle name="常规 6 2 4 2 2 2 3 3 3" xfId="37870"/>
    <cellStyle name="常规 6 2 4 2 2 2 3 3 3 2" xfId="37871"/>
    <cellStyle name="常规 6 2 4 2 2 2 3 3 4" xfId="37872"/>
    <cellStyle name="常规 6 2 4 2 2 2 3 3 5" xfId="37873"/>
    <cellStyle name="常规 6 2 4 2 2 2 3 4" xfId="7778"/>
    <cellStyle name="常规 6 2 4 2 2 2 3 4 2" xfId="1268"/>
    <cellStyle name="常规 6 2 4 2 2 2 3 4 2 2" xfId="37875"/>
    <cellStyle name="常规 6 2 4 2 2 2 3 4 3" xfId="37876"/>
    <cellStyle name="常规 6 2 4 2 2 2 3 4 4" xfId="37877"/>
    <cellStyle name="常规 6 2 4 2 2 2 3 5" xfId="2968"/>
    <cellStyle name="常规 6 2 4 2 2 2 3 5 2" xfId="37878"/>
    <cellStyle name="常规 6 2 4 2 2 2 3 6" xfId="6587"/>
    <cellStyle name="常规 6 2 4 2 2 2 3 7" xfId="21379"/>
    <cellStyle name="常规 6 2 4 2 2 2 4" xfId="37879"/>
    <cellStyle name="常规 6 2 4 2 2 2 4 2" xfId="37880"/>
    <cellStyle name="常规 6 2 4 2 2 2 4 2 2" xfId="37881"/>
    <cellStyle name="常规 6 2 4 2 2 2 4 2 2 2" xfId="37882"/>
    <cellStyle name="常规 6 2 4 2 2 2 4 2 2 2 2" xfId="37883"/>
    <cellStyle name="常规 6 2 4 2 2 2 4 2 2 3" xfId="37884"/>
    <cellStyle name="常规 6 2 4 2 2 2 4 2 2 4" xfId="37885"/>
    <cellStyle name="常规 6 2 4 2 2 2 4 2 3" xfId="37886"/>
    <cellStyle name="常规 6 2 4 2 2 2 4 2 3 2" xfId="37887"/>
    <cellStyle name="常规 6 2 4 2 2 2 4 2 4" xfId="37888"/>
    <cellStyle name="常规 6 2 4 2 2 2 4 2 5" xfId="37889"/>
    <cellStyle name="常规 6 2 4 2 2 2 4 3" xfId="37890"/>
    <cellStyle name="常规 6 2 4 2 2 2 4 3 2" xfId="37891"/>
    <cellStyle name="常规 6 2 4 2 2 2 4 3 2 2" xfId="37892"/>
    <cellStyle name="常规 6 2 4 2 2 2 4 3 3" xfId="37893"/>
    <cellStyle name="常规 6 2 4 2 2 2 4 3 4" xfId="37894"/>
    <cellStyle name="常规 6 2 4 2 2 2 4 4" xfId="7796"/>
    <cellStyle name="常规 6 2 4 2 2 2 4 4 2" xfId="37895"/>
    <cellStyle name="常规 6 2 4 2 2 2 4 5" xfId="37896"/>
    <cellStyle name="常规 6 2 4 2 2 2 4 6" xfId="37897"/>
    <cellStyle name="常规 6 2 4 2 2 2 5" xfId="37898"/>
    <cellStyle name="常规 6 2 4 2 2 2 5 2" xfId="37899"/>
    <cellStyle name="常规 6 2 4 2 2 2 5 2 2" xfId="37900"/>
    <cellStyle name="常规 6 2 4 2 2 2 5 2 2 2" xfId="37901"/>
    <cellStyle name="常规 6 2 4 2 2 2 5 2 3" xfId="37902"/>
    <cellStyle name="常规 6 2 4 2 2 2 5 2 4" xfId="37903"/>
    <cellStyle name="常规 6 2 4 2 2 2 5 3" xfId="37904"/>
    <cellStyle name="常规 6 2 4 2 2 2 5 3 2" xfId="37905"/>
    <cellStyle name="常规 6 2 4 2 2 2 5 4" xfId="37906"/>
    <cellStyle name="常规 6 2 4 2 2 2 5 5" xfId="37907"/>
    <cellStyle name="常规 6 2 4 2 2 2 6" xfId="37908"/>
    <cellStyle name="常规 6 2 4 2 2 2 6 2" xfId="37909"/>
    <cellStyle name="常规 6 2 4 2 2 2 6 2 2" xfId="37910"/>
    <cellStyle name="常规 6 2 4 2 2 2 6 3" xfId="37911"/>
    <cellStyle name="常规 6 2 4 2 2 2 6 4" xfId="37912"/>
    <cellStyle name="常规 6 2 4 2 2 2 7" xfId="37913"/>
    <cellStyle name="常规 6 2 4 2 2 2 7 2" xfId="37914"/>
    <cellStyle name="常规 6 2 4 2 2 2 8" xfId="37915"/>
    <cellStyle name="常规 6 2 4 2 2 2 9" xfId="37916"/>
    <cellStyle name="常规 6 2 4 2 2 3" xfId="37918"/>
    <cellStyle name="常规 6 2 4 2 2 3 2" xfId="37919"/>
    <cellStyle name="常规 6 2 4 2 2 3 2 2" xfId="37920"/>
    <cellStyle name="常规 6 2 4 2 2 3 2 2 2" xfId="37921"/>
    <cellStyle name="常规 6 2 4 2 2 3 2 2 2 2" xfId="37922"/>
    <cellStyle name="常规 6 2 4 2 2 3 2 2 2 2 2" xfId="37923"/>
    <cellStyle name="常规 6 2 4 2 2 3 2 2 2 2 2 2" xfId="37924"/>
    <cellStyle name="常规 6 2 4 2 2 3 2 2 2 2 2 2 2" xfId="37925"/>
    <cellStyle name="常规 6 2 4 2 2 3 2 2 2 2 2 3" xfId="37926"/>
    <cellStyle name="常规 6 2 4 2 2 3 2 2 2 2 2 4" xfId="37927"/>
    <cellStyle name="常规 6 2 4 2 2 3 2 2 2 2 3" xfId="37928"/>
    <cellStyle name="常规 6 2 4 2 2 3 2 2 2 2 3 2" xfId="37929"/>
    <cellStyle name="常规 6 2 4 2 2 3 2 2 2 2 4" xfId="37930"/>
    <cellStyle name="常规 6 2 4 2 2 3 2 2 2 2 5" xfId="27929"/>
    <cellStyle name="常规 6 2 4 2 2 3 2 2 2 3" xfId="37931"/>
    <cellStyle name="常规 6 2 4 2 2 3 2 2 2 3 2" xfId="37932"/>
    <cellStyle name="常规 6 2 4 2 2 3 2 2 2 3 2 2" xfId="37933"/>
    <cellStyle name="常规 6 2 4 2 2 3 2 2 2 3 3" xfId="37934"/>
    <cellStyle name="常规 6 2 4 2 2 3 2 2 2 3 4" xfId="37935"/>
    <cellStyle name="常规 6 2 4 2 2 3 2 2 2 4" xfId="37936"/>
    <cellStyle name="常规 6 2 4 2 2 3 2 2 2 4 2" xfId="37937"/>
    <cellStyle name="常规 6 2 4 2 2 3 2 2 2 5" xfId="37938"/>
    <cellStyle name="常规 6 2 4 2 2 3 2 2 2 6" xfId="37939"/>
    <cellStyle name="常规 6 2 4 2 2 3 2 2 3" xfId="37940"/>
    <cellStyle name="常规 6 2 4 2 2 3 2 2 3 2" xfId="37941"/>
    <cellStyle name="常规 6 2 4 2 2 3 2 2 3 2 2" xfId="37942"/>
    <cellStyle name="常规 6 2 4 2 2 3 2 2 3 2 2 2" xfId="37943"/>
    <cellStyle name="常规 6 2 4 2 2 3 2 2 3 2 3" xfId="37944"/>
    <cellStyle name="常规 6 2 4 2 2 3 2 2 3 2 4" xfId="37945"/>
    <cellStyle name="常规 6 2 4 2 2 3 2 2 3 3" xfId="37946"/>
    <cellStyle name="常规 6 2 4 2 2 3 2 2 3 3 2" xfId="37947"/>
    <cellStyle name="常规 6 2 4 2 2 3 2 2 3 4" xfId="37948"/>
    <cellStyle name="常规 6 2 4 2 2 3 2 2 3 5" xfId="37950"/>
    <cellStyle name="常规 6 2 4 2 2 3 2 2 4" xfId="37951"/>
    <cellStyle name="常规 6 2 4 2 2 3 2 2 4 2" xfId="37952"/>
    <cellStyle name="常规 6 2 4 2 2 3 2 2 4 2 2" xfId="37953"/>
    <cellStyle name="常规 6 2 4 2 2 3 2 2 4 3" xfId="37954"/>
    <cellStyle name="常规 6 2 4 2 2 3 2 2 4 4" xfId="37955"/>
    <cellStyle name="常规 6 2 4 2 2 3 2 2 5" xfId="37956"/>
    <cellStyle name="常规 6 2 4 2 2 3 2 2 5 2" xfId="37957"/>
    <cellStyle name="常规 6 2 4 2 2 3 2 2 6" xfId="37958"/>
    <cellStyle name="常规 6 2 4 2 2 3 2 2 7" xfId="37959"/>
    <cellStyle name="常规 6 2 4 2 2 3 2 3" xfId="37960"/>
    <cellStyle name="常规 6 2 4 2 2 3 2 3 2" xfId="37961"/>
    <cellStyle name="常规 6 2 4 2 2 3 2 3 2 2" xfId="37962"/>
    <cellStyle name="常规 6 2 4 2 2 3 2 3 2 2 2" xfId="37963"/>
    <cellStyle name="常规 6 2 4 2 2 3 2 3 2 2 2 2" xfId="37964"/>
    <cellStyle name="常规 6 2 4 2 2 3 2 3 2 2 3" xfId="37965"/>
    <cellStyle name="常规 6 2 4 2 2 3 2 3 2 2 4" xfId="37966"/>
    <cellStyle name="常规 6 2 4 2 2 3 2 3 2 3" xfId="37967"/>
    <cellStyle name="常规 6 2 4 2 2 3 2 3 2 3 2" xfId="37968"/>
    <cellStyle name="常规 6 2 4 2 2 3 2 3 2 4" xfId="37969"/>
    <cellStyle name="常规 6 2 4 2 2 3 2 3 2 5" xfId="37970"/>
    <cellStyle name="常规 6 2 4 2 2 3 2 3 3" xfId="37971"/>
    <cellStyle name="常规 6 2 4 2 2 3 2 3 3 2" xfId="37972"/>
    <cellStyle name="常规 6 2 4 2 2 3 2 3 3 2 2" xfId="37973"/>
    <cellStyle name="常规 6 2 4 2 2 3 2 3 3 3" xfId="37974"/>
    <cellStyle name="常规 6 2 4 2 2 3 2 3 3 4" xfId="37975"/>
    <cellStyle name="常规 6 2 4 2 2 3 2 3 4" xfId="37976"/>
    <cellStyle name="常规 6 2 4 2 2 3 2 3 4 2" xfId="37977"/>
    <cellStyle name="常规 6 2 4 2 2 3 2 3 5" xfId="37978"/>
    <cellStyle name="常规 6 2 4 2 2 3 2 3 6" xfId="37979"/>
    <cellStyle name="常规 6 2 4 2 2 3 2 4" xfId="29948"/>
    <cellStyle name="常规 6 2 4 2 2 3 2 4 2" xfId="12856"/>
    <cellStyle name="常规 6 2 4 2 2 3 2 4 2 2" xfId="37980"/>
    <cellStyle name="常规 6 2 4 2 2 3 2 4 2 2 2" xfId="37981"/>
    <cellStyle name="常规 6 2 4 2 2 3 2 4 2 3" xfId="37983"/>
    <cellStyle name="常规 6 2 4 2 2 3 2 4 2 4" xfId="37984"/>
    <cellStyle name="常规 6 2 4 2 2 3 2 4 3" xfId="37985"/>
    <cellStyle name="常规 6 2 4 2 2 3 2 4 3 2" xfId="37986"/>
    <cellStyle name="常规 6 2 4 2 2 3 2 4 4" xfId="37987"/>
    <cellStyle name="常规 6 2 4 2 2 3 2 4 5" xfId="37988"/>
    <cellStyle name="常规 6 2 4 2 2 3 2 5" xfId="29952"/>
    <cellStyle name="常规 6 2 4 2 2 3 2 5 2" xfId="37989"/>
    <cellStyle name="常规 6 2 4 2 2 3 2 5 2 2" xfId="37990"/>
    <cellStyle name="常规 6 2 4 2 2 3 2 5 3" xfId="37991"/>
    <cellStyle name="常规 6 2 4 2 2 3 2 5 4" xfId="37992"/>
    <cellStyle name="常规 6 2 4 2 2 3 2 6" xfId="6595"/>
    <cellStyle name="常规 6 2 4 2 2 3 2 6 2" xfId="27612"/>
    <cellStyle name="常规 6 2 4 2 2 3 2 7" xfId="37993"/>
    <cellStyle name="常规 6 2 4 2 2 3 2 8" xfId="37994"/>
    <cellStyle name="常规 6 2 4 2 2 3 3" xfId="37995"/>
    <cellStyle name="常规 6 2 4 2 2 3 3 2" xfId="37996"/>
    <cellStyle name="常规 6 2 4 2 2 3 3 2 2" xfId="37997"/>
    <cellStyle name="常规 6 2 4 2 2 3 3 2 2 2" xfId="37998"/>
    <cellStyle name="常规 6 2 4 2 2 3 3 2 2 2 2" xfId="37999"/>
    <cellStyle name="常规 6 2 4 2 2 3 3 2 2 2 2 2" xfId="25238"/>
    <cellStyle name="常规 6 2 4 2 2 3 3 2 2 2 3" xfId="38000"/>
    <cellStyle name="常规 6 2 4 2 2 3 3 2 2 2 4" xfId="38001"/>
    <cellStyle name="常规 6 2 4 2 2 3 3 2 2 3" xfId="38002"/>
    <cellStyle name="常规 6 2 4 2 2 3 3 2 2 3 2" xfId="38003"/>
    <cellStyle name="常规 6 2 4 2 2 3 3 2 2 4" xfId="38004"/>
    <cellStyle name="常规 6 2 4 2 2 3 3 2 2 5" xfId="38005"/>
    <cellStyle name="常规 6 2 4 2 2 3 3 2 3" xfId="38006"/>
    <cellStyle name="常规 6 2 4 2 2 3 3 2 3 2" xfId="38007"/>
    <cellStyle name="常规 6 2 4 2 2 3 3 2 3 2 2" xfId="38008"/>
    <cellStyle name="常规 6 2 4 2 2 3 3 2 3 3" xfId="38009"/>
    <cellStyle name="常规 6 2 4 2 2 3 3 2 3 4" xfId="38010"/>
    <cellStyle name="常规 6 2 4 2 2 3 3 2 4" xfId="38011"/>
    <cellStyle name="常规 6 2 4 2 2 3 3 2 4 2" xfId="38012"/>
    <cellStyle name="常规 6 2 4 2 2 3 3 2 5" xfId="38013"/>
    <cellStyle name="常规 6 2 4 2 2 3 3 2 6" xfId="38014"/>
    <cellStyle name="常规 6 2 4 2 2 3 3 3" xfId="38015"/>
    <cellStyle name="常规 6 2 4 2 2 3 3 3 2" xfId="38016"/>
    <cellStyle name="常规 6 2 4 2 2 3 3 3 2 2" xfId="38017"/>
    <cellStyle name="常规 6 2 4 2 2 3 3 3 2 2 2" xfId="38018"/>
    <cellStyle name="常规 6 2 4 2 2 3 3 3 2 3" xfId="38019"/>
    <cellStyle name="常规 6 2 4 2 2 3 3 3 2 4" xfId="38020"/>
    <cellStyle name="常规 6 2 4 2 2 3 3 3 3" xfId="38021"/>
    <cellStyle name="常规 6 2 4 2 2 3 3 3 3 2" xfId="38022"/>
    <cellStyle name="常规 6 2 4 2 2 3 3 3 4" xfId="38023"/>
    <cellStyle name="常规 6 2 4 2 2 3 3 3 5" xfId="38024"/>
    <cellStyle name="常规 6 2 4 2 2 3 3 4" xfId="6079"/>
    <cellStyle name="常规 6 2 4 2 2 3 3 4 2" xfId="38025"/>
    <cellStyle name="常规 6 2 4 2 2 3 3 4 2 2" xfId="38027"/>
    <cellStyle name="常规 6 2 4 2 2 3 3 4 3" xfId="38028"/>
    <cellStyle name="常规 6 2 4 2 2 3 3 4 4" xfId="38029"/>
    <cellStyle name="常规 6 2 4 2 2 3 3 5" xfId="38030"/>
    <cellStyle name="常规 6 2 4 2 2 3 3 5 2" xfId="38031"/>
    <cellStyle name="常规 6 2 4 2 2 3 3 6" xfId="38032"/>
    <cellStyle name="常规 6 2 4 2 2 3 3 7" xfId="38033"/>
    <cellStyle name="常规 6 2 4 2 2 3 4" xfId="38034"/>
    <cellStyle name="常规 6 2 4 2 2 3 4 2" xfId="38035"/>
    <cellStyle name="常规 6 2 4 2 2 3 4 2 2" xfId="38037"/>
    <cellStyle name="常规 6 2 4 2 2 3 4 2 2 2" xfId="38039"/>
    <cellStyle name="常规 6 2 4 2 2 3 4 2 2 2 2" xfId="38040"/>
    <cellStyle name="常规 6 2 4 2 2 3 4 2 2 3" xfId="38041"/>
    <cellStyle name="常规 6 2 4 2 2 3 4 2 2 4" xfId="38042"/>
    <cellStyle name="常规 6 2 4 2 2 3 4 2 3" xfId="38044"/>
    <cellStyle name="常规 6 2 4 2 2 3 4 2 3 2" xfId="38045"/>
    <cellStyle name="常规 6 2 4 2 2 3 4 2 4" xfId="38047"/>
    <cellStyle name="常规 6 2 4 2 2 3 4 2 5" xfId="38048"/>
    <cellStyle name="常规 6 2 4 2 2 3 4 3" xfId="38049"/>
    <cellStyle name="常规 6 2 4 2 2 3 4 3 2" xfId="38051"/>
    <cellStyle name="常规 6 2 4 2 2 3 4 3 2 2" xfId="38052"/>
    <cellStyle name="常规 6 2 4 2 2 3 4 3 3" xfId="38054"/>
    <cellStyle name="常规 6 2 4 2 2 3 4 3 4" xfId="38055"/>
    <cellStyle name="常规 6 2 4 2 2 3 4 4" xfId="38056"/>
    <cellStyle name="常规 6 2 4 2 2 3 4 4 2" xfId="38058"/>
    <cellStyle name="常规 6 2 4 2 2 3 4 5" xfId="38059"/>
    <cellStyle name="常规 6 2 4 2 2 3 4 6" xfId="38060"/>
    <cellStyle name="常规 6 2 4 2 2 3 5" xfId="38061"/>
    <cellStyle name="常规 6 2 4 2 2 3 5 2" xfId="38062"/>
    <cellStyle name="常规 6 2 4 2 2 3 5 2 2" xfId="38064"/>
    <cellStyle name="常规 6 2 4 2 2 3 5 2 2 2" xfId="38065"/>
    <cellStyle name="常规 6 2 4 2 2 3 5 2 3" xfId="38067"/>
    <cellStyle name="常规 6 2 4 2 2 3 5 2 4" xfId="38068"/>
    <cellStyle name="常规 6 2 4 2 2 3 5 3" xfId="38069"/>
    <cellStyle name="常规 6 2 4 2 2 3 5 3 2" xfId="34794"/>
    <cellStyle name="常规 6 2 4 2 2 3 5 4" xfId="38070"/>
    <cellStyle name="常规 6 2 4 2 2 3 5 5" xfId="38071"/>
    <cellStyle name="常规 6 2 4 2 2 3 6" xfId="38072"/>
    <cellStyle name="常规 6 2 4 2 2 3 6 2" xfId="38073"/>
    <cellStyle name="常规 6 2 4 2 2 3 6 2 2" xfId="38075"/>
    <cellStyle name="常规 6 2 4 2 2 3 6 3" xfId="38076"/>
    <cellStyle name="常规 6 2 4 2 2 3 6 4" xfId="38077"/>
    <cellStyle name="常规 6 2 4 2 2 3 7" xfId="38078"/>
    <cellStyle name="常规 6 2 4 2 2 3 7 2" xfId="38079"/>
    <cellStyle name="常规 6 2 4 2 2 3 8" xfId="38080"/>
    <cellStyle name="常规 6 2 4 2 2 3 9" xfId="38081"/>
    <cellStyle name="常规 6 2 4 2 2 4" xfId="38083"/>
    <cellStyle name="常规 6 2 4 2 2 4 2" xfId="38084"/>
    <cellStyle name="常规 6 2 4 2 2 4 2 2" xfId="38085"/>
    <cellStyle name="常规 6 2 4 2 2 4 2 2 2" xfId="38086"/>
    <cellStyle name="常规 6 2 4 2 2 4 2 2 2 2" xfId="38087"/>
    <cellStyle name="常规 6 2 4 2 2 4 2 2 2 2 2" xfId="38088"/>
    <cellStyle name="常规 6 2 4 2 2 4 2 2 2 2 2 2" xfId="38089"/>
    <cellStyle name="常规 6 2 4 2 2 4 2 2 2 2 3" xfId="38090"/>
    <cellStyle name="常规 6 2 4 2 2 4 2 2 2 2 4" xfId="38091"/>
    <cellStyle name="常规 6 2 4 2 2 4 2 2 2 3" xfId="38092"/>
    <cellStyle name="常规 6 2 4 2 2 4 2 2 2 3 2" xfId="38093"/>
    <cellStyle name="常规 6 2 4 2 2 4 2 2 2 4" xfId="38094"/>
    <cellStyle name="常规 6 2 4 2 2 4 2 2 2 5" xfId="38095"/>
    <cellStyle name="常规 6 2 4 2 2 4 2 2 3" xfId="38096"/>
    <cellStyle name="常规 6 2 4 2 2 4 2 2 3 2" xfId="38097"/>
    <cellStyle name="常规 6 2 4 2 2 4 2 2 3 2 2" xfId="38098"/>
    <cellStyle name="常规 6 2 4 2 2 4 2 2 3 3" xfId="38099"/>
    <cellStyle name="常规 6 2 4 2 2 4 2 2 3 4" xfId="38100"/>
    <cellStyle name="常规 6 2 4 2 2 4 2 2 4" xfId="38101"/>
    <cellStyle name="常规 6 2 4 2 2 4 2 2 4 2" xfId="38102"/>
    <cellStyle name="常规 6 2 4 2 2 4 2 2 5" xfId="38103"/>
    <cellStyle name="常规 6 2 4 2 2 4 2 2 6" xfId="38104"/>
    <cellStyle name="常规 6 2 4 2 2 4 2 3" xfId="38105"/>
    <cellStyle name="常规 6 2 4 2 2 4 2 3 2" xfId="38106"/>
    <cellStyle name="常规 6 2 4 2 2 4 2 3 2 2" xfId="38107"/>
    <cellStyle name="常规 6 2 4 2 2 4 2 3 2 2 2" xfId="38108"/>
    <cellStyle name="常规 6 2 4 2 2 4 2 3 2 3" xfId="38109"/>
    <cellStyle name="常规 6 2 4 2 2 4 2 3 2 4" xfId="38110"/>
    <cellStyle name="常规 6 2 4 2 2 4 2 3 3" xfId="38111"/>
    <cellStyle name="常规 6 2 4 2 2 4 2 3 3 2" xfId="38112"/>
    <cellStyle name="常规 6 2 4 2 2 4 2 3 4" xfId="38113"/>
    <cellStyle name="常规 6 2 4 2 2 4 2 3 5" xfId="38114"/>
    <cellStyle name="常规 6 2 4 2 2 4 2 4" xfId="29964"/>
    <cellStyle name="常规 6 2 4 2 2 4 2 4 2" xfId="38115"/>
    <cellStyle name="常规 6 2 4 2 2 4 2 4 2 2" xfId="38116"/>
    <cellStyle name="常规 6 2 4 2 2 4 2 4 3" xfId="38117"/>
    <cellStyle name="常规 6 2 4 2 2 4 2 4 4" xfId="38118"/>
    <cellStyle name="常规 6 2 4 2 2 4 2 5" xfId="38119"/>
    <cellStyle name="常规 6 2 4 2 2 4 2 5 2" xfId="38120"/>
    <cellStyle name="常规 6 2 4 2 2 4 2 6" xfId="38121"/>
    <cellStyle name="常规 6 2 4 2 2 4 2 7" xfId="38122"/>
    <cellStyle name="常规 6 2 4 2 2 4 3" xfId="38123"/>
    <cellStyle name="常规 6 2 4 2 2 4 3 2" xfId="38124"/>
    <cellStyle name="常规 6 2 4 2 2 4 3 2 2" xfId="209"/>
    <cellStyle name="常规 6 2 4 2 2 4 3 2 2 2" xfId="38125"/>
    <cellStyle name="常规 6 2 4 2 2 4 3 2 2 2 2" xfId="38126"/>
    <cellStyle name="常规 6 2 4 2 2 4 3 2 2 3" xfId="38127"/>
    <cellStyle name="常规 6 2 4 2 2 4 3 2 2 4" xfId="38128"/>
    <cellStyle name="常规 6 2 4 2 2 4 3 2 3" xfId="38129"/>
    <cellStyle name="常规 6 2 4 2 2 4 3 2 3 2" xfId="38130"/>
    <cellStyle name="常规 6 2 4 2 2 4 3 2 4" xfId="38131"/>
    <cellStyle name="常规 6 2 4 2 2 4 3 2 5" xfId="38132"/>
    <cellStyle name="常规 6 2 4 2 2 4 3 3" xfId="38133"/>
    <cellStyle name="常规 6 2 4 2 2 4 3 3 2" xfId="38134"/>
    <cellStyle name="常规 6 2 4 2 2 4 3 3 2 2" xfId="38135"/>
    <cellStyle name="常规 6 2 4 2 2 4 3 3 3" xfId="38136"/>
    <cellStyle name="常规 6 2 4 2 2 4 3 3 4" xfId="38137"/>
    <cellStyle name="常规 6 2 4 2 2 4 3 4" xfId="7819"/>
    <cellStyle name="常规 6 2 4 2 2 4 3 4 2" xfId="38138"/>
    <cellStyle name="常规 6 2 4 2 2 4 3 5" xfId="38139"/>
    <cellStyle name="常规 6 2 4 2 2 4 3 6" xfId="38140"/>
    <cellStyle name="常规 6 2 4 2 2 4 4" xfId="38141"/>
    <cellStyle name="常规 6 2 4 2 2 4 4 2" xfId="38142"/>
    <cellStyle name="常规 6 2 4 2 2 4 4 2 2" xfId="38144"/>
    <cellStyle name="常规 6 2 4 2 2 4 4 2 2 2" xfId="38145"/>
    <cellStyle name="常规 6 2 4 2 2 4 4 2 3" xfId="38147"/>
    <cellStyle name="常规 6 2 4 2 2 4 4 2 4" xfId="38148"/>
    <cellStyle name="常规 6 2 4 2 2 4 4 3" xfId="38149"/>
    <cellStyle name="常规 6 2 4 2 2 4 4 3 2" xfId="38151"/>
    <cellStyle name="常规 6 2 4 2 2 4 4 4" xfId="38152"/>
    <cellStyle name="常规 6 2 4 2 2 4 4 5" xfId="38153"/>
    <cellStyle name="常规 6 2 4 2 2 4 5" xfId="38154"/>
    <cellStyle name="常规 6 2 4 2 2 4 5 2" xfId="38155"/>
    <cellStyle name="常规 6 2 4 2 2 4 5 2 2" xfId="38157"/>
    <cellStyle name="常规 6 2 4 2 2 4 5 3" xfId="38158"/>
    <cellStyle name="常规 6 2 4 2 2 4 5 4" xfId="38159"/>
    <cellStyle name="常规 6 2 4 2 2 4 6" xfId="3827"/>
    <cellStyle name="常规 6 2 4 2 2 4 6 2" xfId="1057"/>
    <cellStyle name="常规 6 2 4 2 2 4 7" xfId="3850"/>
    <cellStyle name="常规 6 2 4 2 2 4 8" xfId="3855"/>
    <cellStyle name="常规 6 2 4 2 2 5" xfId="38160"/>
    <cellStyle name="常规 6 2 4 2 2 5 2" xfId="38161"/>
    <cellStyle name="常规 6 2 4 2 2 5 2 2" xfId="38162"/>
    <cellStyle name="常规 6 2 4 2 2 5 2 2 2" xfId="38163"/>
    <cellStyle name="常规 6 2 4 2 2 5 2 2 2 2" xfId="38164"/>
    <cellStyle name="常规 6 2 4 2 2 5 2 2 2 2 2" xfId="38165"/>
    <cellStyle name="常规 6 2 4 2 2 5 2 2 2 3" xfId="38166"/>
    <cellStyle name="常规 6 2 4 2 2 5 2 2 2 4" xfId="38167"/>
    <cellStyle name="常规 6 2 4 2 2 5 2 2 3" xfId="38168"/>
    <cellStyle name="常规 6 2 4 2 2 5 2 2 3 2" xfId="38169"/>
    <cellStyle name="常规 6 2 4 2 2 5 2 2 4" xfId="38170"/>
    <cellStyle name="常规 6 2 4 2 2 5 2 2 5" xfId="38171"/>
    <cellStyle name="常规 6 2 4 2 2 5 2 3" xfId="38172"/>
    <cellStyle name="常规 6 2 4 2 2 5 2 3 2" xfId="38173"/>
    <cellStyle name="常规 6 2 4 2 2 5 2 3 2 2" xfId="38174"/>
    <cellStyle name="常规 6 2 4 2 2 5 2 3 3" xfId="38175"/>
    <cellStyle name="常规 6 2 4 2 2 5 2 3 4" xfId="38176"/>
    <cellStyle name="常规 6 2 4 2 2 5 2 4" xfId="38177"/>
    <cellStyle name="常规 6 2 4 2 2 5 2 4 2" xfId="38178"/>
    <cellStyle name="常规 6 2 4 2 2 5 2 5" xfId="38179"/>
    <cellStyle name="常规 6 2 4 2 2 5 2 6" xfId="38180"/>
    <cellStyle name="常规 6 2 4 2 2 5 3" xfId="38181"/>
    <cellStyle name="常规 6 2 4 2 2 5 3 2" xfId="38183"/>
    <cellStyle name="常规 6 2 4 2 2 5 3 2 2" xfId="38184"/>
    <cellStyle name="常规 6 2 4 2 2 5 3 2 2 2" xfId="38185"/>
    <cellStyle name="常规 6 2 4 2 2 5 3 2 3" xfId="38186"/>
    <cellStyle name="常规 6 2 4 2 2 5 3 2 4" xfId="38187"/>
    <cellStyle name="常规 6 2 4 2 2 5 3 3" xfId="38188"/>
    <cellStyle name="常规 6 2 4 2 2 5 3 3 2" xfId="38189"/>
    <cellStyle name="常规 6 2 4 2 2 5 3 4" xfId="38190"/>
    <cellStyle name="常规 6 2 4 2 2 5 3 5" xfId="38191"/>
    <cellStyle name="常规 6 2 4 2 2 5 4" xfId="38192"/>
    <cellStyle name="常规 6 2 4 2 2 5 4 2" xfId="38194"/>
    <cellStyle name="常规 6 2 4 2 2 5 4 2 2" xfId="38196"/>
    <cellStyle name="常规 6 2 4 2 2 5 4 3" xfId="38197"/>
    <cellStyle name="常规 6 2 4 2 2 5 4 4" xfId="38198"/>
    <cellStyle name="常规 6 2 4 2 2 5 5" xfId="38199"/>
    <cellStyle name="常规 6 2 4 2 2 5 5 2" xfId="38200"/>
    <cellStyle name="常规 6 2 4 2 2 5 6" xfId="38201"/>
    <cellStyle name="常规 6 2 4 2 2 5 7" xfId="38202"/>
    <cellStyle name="常规 6 2 4 2 2 6" xfId="38203"/>
    <cellStyle name="常规 6 2 4 2 2 6 2" xfId="38204"/>
    <cellStyle name="常规 6 2 4 2 2 6 2 2" xfId="38205"/>
    <cellStyle name="常规 6 2 4 2 2 6 2 2 2" xfId="38206"/>
    <cellStyle name="常规 6 2 4 2 2 6 2 2 2 2" xfId="38207"/>
    <cellStyle name="常规 6 2 4 2 2 6 2 2 3" xfId="38208"/>
    <cellStyle name="常规 6 2 4 2 2 6 2 2 4" xfId="38210"/>
    <cellStyle name="常规 6 2 4 2 2 6 2 3" xfId="38211"/>
    <cellStyle name="常规 6 2 4 2 2 6 2 3 2" xfId="38212"/>
    <cellStyle name="常规 6 2 4 2 2 6 2 4" xfId="38213"/>
    <cellStyle name="常规 6 2 4 2 2 6 2 5" xfId="38214"/>
    <cellStyle name="常规 6 2 4 2 2 6 3" xfId="38215"/>
    <cellStyle name="常规 6 2 4 2 2 6 3 2" xfId="38216"/>
    <cellStyle name="常规 6 2 4 2 2 6 3 2 2" xfId="38217"/>
    <cellStyle name="常规 6 2 4 2 2 6 3 3" xfId="38218"/>
    <cellStyle name="常规 6 2 4 2 2 6 3 4" xfId="38219"/>
    <cellStyle name="常规 6 2 4 2 2 6 4" xfId="38220"/>
    <cellStyle name="常规 6 2 4 2 2 6 4 2" xfId="38221"/>
    <cellStyle name="常规 6 2 4 2 2 6 5" xfId="38222"/>
    <cellStyle name="常规 6 2 4 2 2 6 6" xfId="38223"/>
    <cellStyle name="常规 6 2 4 2 2 7" xfId="38224"/>
    <cellStyle name="常规 6 2 4 2 2 7 2" xfId="38225"/>
    <cellStyle name="常规 6 2 4 2 2 7 2 2" xfId="38226"/>
    <cellStyle name="常规 6 2 4 2 2 7 2 2 2" xfId="38227"/>
    <cellStyle name="常规 6 2 4 2 2 7 2 3" xfId="38228"/>
    <cellStyle name="常规 6 2 4 2 2 7 2 4" xfId="38229"/>
    <cellStyle name="常规 6 2 4 2 2 7 3" xfId="38230"/>
    <cellStyle name="常规 6 2 4 2 2 7 3 2" xfId="38231"/>
    <cellStyle name="常规 6 2 4 2 2 7 4" xfId="38232"/>
    <cellStyle name="常规 6 2 4 2 2 7 5" xfId="38233"/>
    <cellStyle name="常规 6 2 4 2 2 8" xfId="38234"/>
    <cellStyle name="常规 6 2 4 2 2 8 2" xfId="38235"/>
    <cellStyle name="常规 6 2 4 2 2 8 2 2" xfId="38236"/>
    <cellStyle name="常规 6 2 4 2 2 8 3" xfId="38237"/>
    <cellStyle name="常规 6 2 4 2 2 8 4" xfId="38238"/>
    <cellStyle name="常规 6 2 4 2 2 9" xfId="38239"/>
    <cellStyle name="常规 6 2 4 2 2 9 2" xfId="38240"/>
    <cellStyle name="常规 6 2 4 2 3" xfId="38242"/>
    <cellStyle name="常规 6 2 4 2 3 2" xfId="38244"/>
    <cellStyle name="常规 6 2 4 2 3 2 2" xfId="38245"/>
    <cellStyle name="常规 6 2 4 2 3 2 2 2" xfId="38246"/>
    <cellStyle name="常规 6 2 4 2 3 2 2 2 2" xfId="38247"/>
    <cellStyle name="常规 6 2 4 2 3 2 2 2 2 2" xfId="38248"/>
    <cellStyle name="常规 6 2 4 2 3 2 2 2 2 2 2" xfId="35015"/>
    <cellStyle name="常规 6 2 4 2 3 2 2 2 2 2 2 2" xfId="38249"/>
    <cellStyle name="常规 6 2 4 2 3 2 2 2 2 2 3" xfId="35017"/>
    <cellStyle name="常规 6 2 4 2 3 2 2 2 2 2 4" xfId="38250"/>
    <cellStyle name="常规 6 2 4 2 3 2 2 2 2 3" xfId="38251"/>
    <cellStyle name="常规 6 2 4 2 3 2 2 2 2 3 2" xfId="38252"/>
    <cellStyle name="常规 6 2 4 2 3 2 2 2 2 4" xfId="38253"/>
    <cellStyle name="常规 6 2 4 2 3 2 2 2 2 5" xfId="38254"/>
    <cellStyle name="常规 6 2 4 2 3 2 2 2 3" xfId="38255"/>
    <cellStyle name="常规 6 2 4 2 3 2 2 2 3 2" xfId="38256"/>
    <cellStyle name="常规 6 2 4 2 3 2 2 2 3 2 2" xfId="38257"/>
    <cellStyle name="常规 6 2 4 2 3 2 2 2 3 3" xfId="38258"/>
    <cellStyle name="常规 6 2 4 2 3 2 2 2 3 4" xfId="38259"/>
    <cellStyle name="常规 6 2 4 2 3 2 2 2 4" xfId="38260"/>
    <cellStyle name="常规 6 2 4 2 3 2 2 2 4 2" xfId="38261"/>
    <cellStyle name="常规 6 2 4 2 3 2 2 2 5" xfId="38262"/>
    <cellStyle name="常规 6 2 4 2 3 2 2 2 6" xfId="38263"/>
    <cellStyle name="常规 6 2 4 2 3 2 2 3" xfId="38264"/>
    <cellStyle name="常规 6 2 4 2 3 2 2 3 2" xfId="38265"/>
    <cellStyle name="常规 6 2 4 2 3 2 2 3 2 2" xfId="38266"/>
    <cellStyle name="常规 6 2 4 2 3 2 2 3 2 2 2" xfId="38267"/>
    <cellStyle name="常规 6 2 4 2 3 2 2 3 2 3" xfId="38268"/>
    <cellStyle name="常规 6 2 4 2 3 2 2 3 2 4" xfId="38269"/>
    <cellStyle name="常规 6 2 4 2 3 2 2 3 3" xfId="38270"/>
    <cellStyle name="常规 6 2 4 2 3 2 2 3 3 2" xfId="38271"/>
    <cellStyle name="常规 6 2 4 2 3 2 2 3 4" xfId="38272"/>
    <cellStyle name="常规 6 2 4 2 3 2 2 3 5" xfId="38273"/>
    <cellStyle name="常规 6 2 4 2 3 2 2 4" xfId="25720"/>
    <cellStyle name="常规 6 2 4 2 3 2 2 4 2" xfId="14415"/>
    <cellStyle name="常规 6 2 4 2 3 2 2 4 2 2" xfId="30061"/>
    <cellStyle name="常规 6 2 4 2 3 2 2 4 3" xfId="30066"/>
    <cellStyle name="常规 6 2 4 2 3 2 2 4 4" xfId="30070"/>
    <cellStyle name="常规 6 2 4 2 3 2 2 5" xfId="25723"/>
    <cellStyle name="常规 6 2 4 2 3 2 2 5 2" xfId="30073"/>
    <cellStyle name="常规 6 2 4 2 3 2 2 6" xfId="2267"/>
    <cellStyle name="常规 6 2 4 2 3 2 2 7" xfId="30075"/>
    <cellStyle name="常规 6 2 4 2 3 2 3" xfId="38274"/>
    <cellStyle name="常规 6 2 4 2 3 2 3 2" xfId="38275"/>
    <cellStyle name="常规 6 2 4 2 3 2 3 2 2" xfId="3671"/>
    <cellStyle name="常规 6 2 4 2 3 2 3 2 2 2" xfId="7041"/>
    <cellStyle name="常规 6 2 4 2 3 2 3 2 2 2 2" xfId="3971"/>
    <cellStyle name="常规 6 2 4 2 3 2 3 2 2 3" xfId="7059"/>
    <cellStyle name="常规 6 2 4 2 3 2 3 2 2 4" xfId="7065"/>
    <cellStyle name="常规 6 2 4 2 3 2 3 2 3" xfId="7083"/>
    <cellStyle name="常规 6 2 4 2 3 2 3 2 3 2" xfId="7089"/>
    <cellStyle name="常规 6 2 4 2 3 2 3 2 4" xfId="7127"/>
    <cellStyle name="常规 6 2 4 2 3 2 3 2 5" xfId="7141"/>
    <cellStyle name="常规 6 2 4 2 3 2 3 3" xfId="38276"/>
    <cellStyle name="常规 6 2 4 2 3 2 3 3 2" xfId="3716"/>
    <cellStyle name="常规 6 2 4 2 3 2 3 3 2 2" xfId="3638"/>
    <cellStyle name="常规 6 2 4 2 3 2 3 3 3" xfId="7167"/>
    <cellStyle name="常规 6 2 4 2 3 2 3 3 4" xfId="7169"/>
    <cellStyle name="常规 6 2 4 2 3 2 3 4" xfId="5575"/>
    <cellStyle name="常规 6 2 4 2 3 2 3 4 2" xfId="3756"/>
    <cellStyle name="常规 6 2 4 2 3 2 3 5" xfId="5584"/>
    <cellStyle name="常规 6 2 4 2 3 2 3 6" xfId="5590"/>
    <cellStyle name="常规 6 2 4 2 3 2 4" xfId="38277"/>
    <cellStyle name="常规 6 2 4 2 3 2 4 2" xfId="38278"/>
    <cellStyle name="常规 6 2 4 2 3 2 4 2 2" xfId="196"/>
    <cellStyle name="常规 6 2 4 2 3 2 4 2 2 2" xfId="7999"/>
    <cellStyle name="常规 6 2 4 2 3 2 4 2 3" xfId="8037"/>
    <cellStyle name="常规 6 2 4 2 3 2 4 2 4" xfId="8055"/>
    <cellStyle name="常规 6 2 4 2 3 2 4 3" xfId="38279"/>
    <cellStyle name="常规 6 2 4 2 3 2 4 3 2" xfId="8107"/>
    <cellStyle name="常规 6 2 4 2 3 2 4 4" xfId="5599"/>
    <cellStyle name="常规 6 2 4 2 3 2 4 5" xfId="38280"/>
    <cellStyle name="常规 6 2 4 2 3 2 5" xfId="38281"/>
    <cellStyle name="常规 6 2 4 2 3 2 5 2" xfId="38282"/>
    <cellStyle name="常规 6 2 4 2 3 2 5 2 2" xfId="8876"/>
    <cellStyle name="常规 6 2 4 2 3 2 5 3" xfId="38283"/>
    <cellStyle name="常规 6 2 4 2 3 2 5 4" xfId="38284"/>
    <cellStyle name="常规 6 2 4 2 3 2 6" xfId="4117"/>
    <cellStyle name="常规 6 2 4 2 3 2 6 2" xfId="24831"/>
    <cellStyle name="常规 6 2 4 2 3 2 7" xfId="38285"/>
    <cellStyle name="常规 6 2 4 2 3 2 8" xfId="38286"/>
    <cellStyle name="常规 6 2 4 2 3 3" xfId="38287"/>
    <cellStyle name="常规 6 2 4 2 3 3 2" xfId="38288"/>
    <cellStyle name="常规 6 2 4 2 3 3 2 2" xfId="38289"/>
    <cellStyle name="常规 6 2 4 2 3 3 2 2 2" xfId="38290"/>
    <cellStyle name="常规 6 2 4 2 3 3 2 2 2 2" xfId="38291"/>
    <cellStyle name="常规 6 2 4 2 3 3 2 2 2 2 2" xfId="38292"/>
    <cellStyle name="常规 6 2 4 2 3 3 2 2 2 3" xfId="38293"/>
    <cellStyle name="常规 6 2 4 2 3 3 2 2 2 4" xfId="28436"/>
    <cellStyle name="常规 6 2 4 2 3 3 2 2 3" xfId="38294"/>
    <cellStyle name="常规 6 2 4 2 3 3 2 2 3 2" xfId="38295"/>
    <cellStyle name="常规 6 2 4 2 3 3 2 2 4" xfId="38296"/>
    <cellStyle name="常规 6 2 4 2 3 3 2 2 5" xfId="38297"/>
    <cellStyle name="常规 6 2 4 2 3 3 2 3" xfId="38298"/>
    <cellStyle name="常规 6 2 4 2 3 3 2 3 2" xfId="38299"/>
    <cellStyle name="常规 6 2 4 2 3 3 2 3 2 2" xfId="38300"/>
    <cellStyle name="常规 6 2 4 2 3 3 2 3 3" xfId="38301"/>
    <cellStyle name="常规 6 2 4 2 3 3 2 3 4" xfId="38302"/>
    <cellStyle name="常规 6 2 4 2 3 3 2 4" xfId="25805"/>
    <cellStyle name="常规 6 2 4 2 3 3 2 4 2" xfId="571"/>
    <cellStyle name="常规 6 2 4 2 3 3 2 5" xfId="25808"/>
    <cellStyle name="常规 6 2 4 2 3 3 2 6" xfId="30080"/>
    <cellStyle name="常规 6 2 4 2 3 3 3" xfId="38303"/>
    <cellStyle name="常规 6 2 4 2 3 3 3 2" xfId="38304"/>
    <cellStyle name="常规 6 2 4 2 3 3 3 2 2" xfId="6208"/>
    <cellStyle name="常规 6 2 4 2 3 3 3 2 2 2" xfId="38305"/>
    <cellStyle name="常规 6 2 4 2 3 3 3 2 3" xfId="38306"/>
    <cellStyle name="常规 6 2 4 2 3 3 3 2 4" xfId="38307"/>
    <cellStyle name="常规 6 2 4 2 3 3 3 3" xfId="38308"/>
    <cellStyle name="常规 6 2 4 2 3 3 3 3 2" xfId="38309"/>
    <cellStyle name="常规 6 2 4 2 3 3 3 4" xfId="5642"/>
    <cellStyle name="常规 6 2 4 2 3 3 3 5" xfId="38310"/>
    <cellStyle name="常规 6 2 4 2 3 3 4" xfId="38311"/>
    <cellStyle name="常规 6 2 4 2 3 3 4 2" xfId="38312"/>
    <cellStyle name="常规 6 2 4 2 3 3 4 2 2" xfId="38314"/>
    <cellStyle name="常规 6 2 4 2 3 3 4 3" xfId="38315"/>
    <cellStyle name="常规 6 2 4 2 3 3 4 4" xfId="38316"/>
    <cellStyle name="常规 6 2 4 2 3 3 5" xfId="38317"/>
    <cellStyle name="常规 6 2 4 2 3 3 5 2" xfId="38318"/>
    <cellStyle name="常规 6 2 4 2 3 3 6" xfId="38319"/>
    <cellStyle name="常规 6 2 4 2 3 3 7" xfId="38320"/>
    <cellStyle name="常规 6 2 4 2 3 4" xfId="38321"/>
    <cellStyle name="常规 6 2 4 2 3 4 2" xfId="38322"/>
    <cellStyle name="常规 6 2 4 2 3 4 2 2" xfId="38323"/>
    <cellStyle name="常规 6 2 4 2 3 4 2 2 2" xfId="38324"/>
    <cellStyle name="常规 6 2 4 2 3 4 2 2 2 2" xfId="38325"/>
    <cellStyle name="常规 6 2 4 2 3 4 2 2 3" xfId="38326"/>
    <cellStyle name="常规 6 2 4 2 3 4 2 2 4" xfId="38327"/>
    <cellStyle name="常规 6 2 4 2 3 4 2 3" xfId="38328"/>
    <cellStyle name="常规 6 2 4 2 3 4 2 3 2" xfId="38329"/>
    <cellStyle name="常规 6 2 4 2 3 4 2 4" xfId="25859"/>
    <cellStyle name="常规 6 2 4 2 3 4 2 5" xfId="38330"/>
    <cellStyle name="常规 6 2 4 2 3 4 3" xfId="38331"/>
    <cellStyle name="常规 6 2 4 2 3 4 3 2" xfId="38332"/>
    <cellStyle name="常规 6 2 4 2 3 4 3 2 2" xfId="7497"/>
    <cellStyle name="常规 6 2 4 2 3 4 3 3" xfId="38333"/>
    <cellStyle name="常规 6 2 4 2 3 4 3 4" xfId="37613"/>
    <cellStyle name="常规 6 2 4 2 3 4 4" xfId="38334"/>
    <cellStyle name="常规 6 2 4 2 3 4 4 2" xfId="38335"/>
    <cellStyle name="常规 6 2 4 2 3 4 5" xfId="7857"/>
    <cellStyle name="常规 6 2 4 2 3 4 6" xfId="38336"/>
    <cellStyle name="常规 6 2 4 2 3 5" xfId="38337"/>
    <cellStyle name="常规 6 2 4 2 3 5 2" xfId="38338"/>
    <cellStyle name="常规 6 2 4 2 3 5 2 2" xfId="38339"/>
    <cellStyle name="常规 6 2 4 2 3 5 2 2 2" xfId="38340"/>
    <cellStyle name="常规 6 2 4 2 3 5 2 3" xfId="38341"/>
    <cellStyle name="常规 6 2 4 2 3 5 2 4" xfId="38342"/>
    <cellStyle name="常规 6 2 4 2 3 5 3" xfId="38343"/>
    <cellStyle name="常规 6 2 4 2 3 5 3 2" xfId="38344"/>
    <cellStyle name="常规 6 2 4 2 3 5 4" xfId="38345"/>
    <cellStyle name="常规 6 2 4 2 3 5 5" xfId="38346"/>
    <cellStyle name="常规 6 2 4 2 3 6" xfId="38347"/>
    <cellStyle name="常规 6 2 4 2 3 6 2" xfId="38348"/>
    <cellStyle name="常规 6 2 4 2 3 6 2 2" xfId="38349"/>
    <cellStyle name="常规 6 2 4 2 3 6 3" xfId="38350"/>
    <cellStyle name="常规 6 2 4 2 3 6 4" xfId="38351"/>
    <cellStyle name="常规 6 2 4 2 3 7" xfId="21446"/>
    <cellStyle name="常规 6 2 4 2 3 7 2" xfId="21449"/>
    <cellStyle name="常规 6 2 4 2 3 8" xfId="21451"/>
    <cellStyle name="常规 6 2 4 2 3 9" xfId="44"/>
    <cellStyle name="常规 6 2 4 2 4" xfId="38353"/>
    <cellStyle name="常规 6 2 4 2 4 2" xfId="38354"/>
    <cellStyle name="常规 6 2 4 2 4 2 2" xfId="38355"/>
    <cellStyle name="常规 6 2 4 2 4 2 2 2" xfId="38356"/>
    <cellStyle name="常规 6 2 4 2 4 2 2 2 2" xfId="38357"/>
    <cellStyle name="常规 6 2 4 2 4 2 2 2 2 2" xfId="38358"/>
    <cellStyle name="常规 6 2 4 2 4 2 2 2 2 2 2" xfId="38359"/>
    <cellStyle name="常规 6 2 4 2 4 2 2 2 2 2 2 2" xfId="38360"/>
    <cellStyle name="常规 6 2 4 2 4 2 2 2 2 2 3" xfId="38361"/>
    <cellStyle name="常规 6 2 4 2 4 2 2 2 2 2 4" xfId="38362"/>
    <cellStyle name="常规 6 2 4 2 4 2 2 2 2 3" xfId="38363"/>
    <cellStyle name="常规 6 2 4 2 4 2 2 2 2 3 2" xfId="38364"/>
    <cellStyle name="常规 6 2 4 2 4 2 2 2 2 4" xfId="38365"/>
    <cellStyle name="常规 6 2 4 2 4 2 2 2 2 5" xfId="38366"/>
    <cellStyle name="常规 6 2 4 2 4 2 2 2 3" xfId="38367"/>
    <cellStyle name="常规 6 2 4 2 4 2 2 2 3 2" xfId="38368"/>
    <cellStyle name="常规 6 2 4 2 4 2 2 2 3 2 2" xfId="38369"/>
    <cellStyle name="常规 6 2 4 2 4 2 2 2 3 3" xfId="38370"/>
    <cellStyle name="常规 6 2 4 2 4 2 2 2 3 4" xfId="38371"/>
    <cellStyle name="常规 6 2 4 2 4 2 2 2 4" xfId="23301"/>
    <cellStyle name="常规 6 2 4 2 4 2 2 2 4 2" xfId="23303"/>
    <cellStyle name="常规 6 2 4 2 4 2 2 2 5" xfId="23308"/>
    <cellStyle name="常规 6 2 4 2 4 2 2 2 6" xfId="23312"/>
    <cellStyle name="常规 6 2 4 2 4 2 2 3" xfId="38372"/>
    <cellStyle name="常规 6 2 4 2 4 2 2 3 2" xfId="38373"/>
    <cellStyle name="常规 6 2 4 2 4 2 2 3 2 2" xfId="38374"/>
    <cellStyle name="常规 6 2 4 2 4 2 2 3 2 2 2" xfId="38375"/>
    <cellStyle name="常规 6 2 4 2 4 2 2 3 2 3" xfId="38376"/>
    <cellStyle name="常规 6 2 4 2 4 2 2 3 2 4" xfId="38377"/>
    <cellStyle name="常规 6 2 4 2 4 2 2 3 3" xfId="38378"/>
    <cellStyle name="常规 6 2 4 2 4 2 2 3 3 2" xfId="38379"/>
    <cellStyle name="常规 6 2 4 2 4 2 2 3 4" xfId="23317"/>
    <cellStyle name="常规 6 2 4 2 4 2 2 3 5" xfId="23320"/>
    <cellStyle name="常规 6 2 4 2 4 2 2 4" xfId="26397"/>
    <cellStyle name="常规 6 2 4 2 4 2 2 4 2" xfId="30147"/>
    <cellStyle name="常规 6 2 4 2 4 2 2 4 2 2" xfId="38380"/>
    <cellStyle name="常规 6 2 4 2 4 2 2 4 3" xfId="38381"/>
    <cellStyle name="常规 6 2 4 2 4 2 2 4 4" xfId="23325"/>
    <cellStyle name="常规 6 2 4 2 4 2 2 5" xfId="26402"/>
    <cellStyle name="常规 6 2 4 2 4 2 2 5 2" xfId="38382"/>
    <cellStyle name="常规 6 2 4 2 4 2 2 6" xfId="10765"/>
    <cellStyle name="常规 6 2 4 2 4 2 2 7" xfId="38383"/>
    <cellStyle name="常规 6 2 4 2 4 2 3" xfId="38384"/>
    <cellStyle name="常规 6 2 4 2 4 2 3 2" xfId="38385"/>
    <cellStyle name="常规 6 2 4 2 4 2 3 2 2" xfId="7880"/>
    <cellStyle name="常规 6 2 4 2 4 2 3 2 2 2" xfId="38386"/>
    <cellStyle name="常规 6 2 4 2 4 2 3 2 2 2 2" xfId="38387"/>
    <cellStyle name="常规 6 2 4 2 4 2 3 2 2 3" xfId="38388"/>
    <cellStyle name="常规 6 2 4 2 4 2 3 2 2 4" xfId="38389"/>
    <cellStyle name="常规 6 2 4 2 4 2 3 2 3" xfId="38390"/>
    <cellStyle name="常规 6 2 4 2 4 2 3 2 3 2" xfId="38391"/>
    <cellStyle name="常规 6 2 4 2 4 2 3 2 4" xfId="12437"/>
    <cellStyle name="常规 6 2 4 2 4 2 3 2 5" xfId="12452"/>
    <cellStyle name="常规 6 2 4 2 4 2 3 3" xfId="38392"/>
    <cellStyle name="常规 6 2 4 2 4 2 3 3 2" xfId="38393"/>
    <cellStyle name="常规 6 2 4 2 4 2 3 3 2 2" xfId="38394"/>
    <cellStyle name="常规 6 2 4 2 4 2 3 3 3" xfId="38395"/>
    <cellStyle name="常规 6 2 4 2 4 2 3 3 4" xfId="12717"/>
    <cellStyle name="常规 6 2 4 2 4 2 3 4" xfId="5753"/>
    <cellStyle name="常规 6 2 4 2 4 2 3 4 2" xfId="38396"/>
    <cellStyle name="常规 6 2 4 2 4 2 3 5" xfId="38397"/>
    <cellStyle name="常规 6 2 4 2 4 2 3 6" xfId="38398"/>
    <cellStyle name="常规 6 2 4 2 4 2 4" xfId="38399"/>
    <cellStyle name="常规 6 2 4 2 4 2 4 2" xfId="38400"/>
    <cellStyle name="常规 6 2 4 2 4 2 4 2 2" xfId="38401"/>
    <cellStyle name="常规 6 2 4 2 4 2 4 2 2 2" xfId="38402"/>
    <cellStyle name="常规 6 2 4 2 4 2 4 2 3" xfId="38403"/>
    <cellStyle name="常规 6 2 4 2 4 2 4 2 4" xfId="14311"/>
    <cellStyle name="常规 6 2 4 2 4 2 4 3" xfId="38404"/>
    <cellStyle name="常规 6 2 4 2 4 2 4 3 2" xfId="38405"/>
    <cellStyle name="常规 6 2 4 2 4 2 4 4" xfId="38406"/>
    <cellStyle name="常规 6 2 4 2 4 2 4 5" xfId="38407"/>
    <cellStyle name="常规 6 2 4 2 4 2 5" xfId="38408"/>
    <cellStyle name="常规 6 2 4 2 4 2 5 2" xfId="38409"/>
    <cellStyle name="常规 6 2 4 2 4 2 5 2 2" xfId="38410"/>
    <cellStyle name="常规 6 2 4 2 4 2 5 3" xfId="38411"/>
    <cellStyle name="常规 6 2 4 2 4 2 5 4" xfId="38412"/>
    <cellStyle name="常规 6 2 4 2 4 2 6" xfId="38413"/>
    <cellStyle name="常规 6 2 4 2 4 2 6 2" xfId="38414"/>
    <cellStyle name="常规 6 2 4 2 4 2 7" xfId="38415"/>
    <cellStyle name="常规 6 2 4 2 4 2 8" xfId="38416"/>
    <cellStyle name="常规 6 2 4 2 4 3" xfId="38417"/>
    <cellStyle name="常规 6 2 4 2 4 3 2" xfId="38418"/>
    <cellStyle name="常规 6 2 4 2 4 3 2 2" xfId="38419"/>
    <cellStyle name="常规 6 2 4 2 4 3 2 2 2" xfId="38420"/>
    <cellStyle name="常规 6 2 4 2 4 3 2 2 2 2" xfId="38421"/>
    <cellStyle name="常规 6 2 4 2 4 3 2 2 2 2 2" xfId="38422"/>
    <cellStyle name="常规 6 2 4 2 4 3 2 2 2 3" xfId="38423"/>
    <cellStyle name="常规 6 2 4 2 4 3 2 2 2 4" xfId="38424"/>
    <cellStyle name="常规 6 2 4 2 4 3 2 2 3" xfId="38425"/>
    <cellStyle name="常规 6 2 4 2 4 3 2 2 3 2" xfId="38426"/>
    <cellStyle name="常规 6 2 4 2 4 3 2 2 4" xfId="23357"/>
    <cellStyle name="常规 6 2 4 2 4 3 2 2 5" xfId="23360"/>
    <cellStyle name="常规 6 2 4 2 4 3 2 3" xfId="38427"/>
    <cellStyle name="常规 6 2 4 2 4 3 2 3 2" xfId="38428"/>
    <cellStyle name="常规 6 2 4 2 4 3 2 3 2 2" xfId="38429"/>
    <cellStyle name="常规 6 2 4 2 4 3 2 3 3" xfId="38430"/>
    <cellStyle name="常规 6 2 4 2 4 3 2 3 4" xfId="23363"/>
    <cellStyle name="常规 6 2 4 2 4 3 2 4" xfId="26478"/>
    <cellStyle name="常规 6 2 4 2 4 3 2 4 2" xfId="38431"/>
    <cellStyle name="常规 6 2 4 2 4 3 2 5" xfId="38432"/>
    <cellStyle name="常规 6 2 4 2 4 3 2 6" xfId="38433"/>
    <cellStyle name="常规 6 2 4 2 4 3 3" xfId="38434"/>
    <cellStyle name="常规 6 2 4 2 4 3 3 2" xfId="38435"/>
    <cellStyle name="常规 6 2 4 2 4 3 3 2 2" xfId="38436"/>
    <cellStyle name="常规 6 2 4 2 4 3 3 2 2 2" xfId="38437"/>
    <cellStyle name="常规 6 2 4 2 4 3 3 2 3" xfId="38438"/>
    <cellStyle name="常规 6 2 4 2 4 3 3 2 4" xfId="23371"/>
    <cellStyle name="常规 6 2 4 2 4 3 3 3" xfId="38439"/>
    <cellStyle name="常规 6 2 4 2 4 3 3 3 2" xfId="38440"/>
    <cellStyle name="常规 6 2 4 2 4 3 3 4" xfId="38441"/>
    <cellStyle name="常规 6 2 4 2 4 3 3 5" xfId="38442"/>
    <cellStyle name="常规 6 2 4 2 4 3 4" xfId="38443"/>
    <cellStyle name="常规 6 2 4 2 4 3 4 2" xfId="38444"/>
    <cellStyle name="常规 6 2 4 2 4 3 4 2 2" xfId="38446"/>
    <cellStyle name="常规 6 2 4 2 4 3 4 3" xfId="38447"/>
    <cellStyle name="常规 6 2 4 2 4 3 4 4" xfId="38448"/>
    <cellStyle name="常规 6 2 4 2 4 3 5" xfId="38449"/>
    <cellStyle name="常规 6 2 4 2 4 3 5 2" xfId="38450"/>
    <cellStyle name="常规 6 2 4 2 4 3 6" xfId="38451"/>
    <cellStyle name="常规 6 2 4 2 4 3 7" xfId="38452"/>
    <cellStyle name="常规 6 2 4 2 4 4" xfId="38453"/>
    <cellStyle name="常规 6 2 4 2 4 4 2" xfId="38454"/>
    <cellStyle name="常规 6 2 4 2 4 4 2 2" xfId="38455"/>
    <cellStyle name="常规 6 2 4 2 4 4 2 2 2" xfId="38456"/>
    <cellStyle name="常规 6 2 4 2 4 4 2 2 2 2" xfId="38457"/>
    <cellStyle name="常规 6 2 4 2 4 4 2 2 3" xfId="38458"/>
    <cellStyle name="常规 6 2 4 2 4 4 2 2 4" xfId="23390"/>
    <cellStyle name="常规 6 2 4 2 4 4 2 3" xfId="38459"/>
    <cellStyle name="常规 6 2 4 2 4 4 2 3 2" xfId="38460"/>
    <cellStyle name="常规 6 2 4 2 4 4 2 4" xfId="38461"/>
    <cellStyle name="常规 6 2 4 2 4 4 2 5" xfId="38462"/>
    <cellStyle name="常规 6 2 4 2 4 4 3" xfId="38463"/>
    <cellStyle name="常规 6 2 4 2 4 4 3 2" xfId="38464"/>
    <cellStyle name="常规 6 2 4 2 4 4 3 2 2" xfId="38465"/>
    <cellStyle name="常规 6 2 4 2 4 4 3 3" xfId="38466"/>
    <cellStyle name="常规 6 2 4 2 4 4 3 4" xfId="38467"/>
    <cellStyle name="常规 6 2 4 2 4 4 4" xfId="38468"/>
    <cellStyle name="常规 6 2 4 2 4 4 4 2" xfId="38469"/>
    <cellStyle name="常规 6 2 4 2 4 4 5" xfId="38470"/>
    <cellStyle name="常规 6 2 4 2 4 4 6" xfId="38471"/>
    <cellStyle name="常规 6 2 4 2 4 5" xfId="38472"/>
    <cellStyle name="常规 6 2 4 2 4 5 2" xfId="38473"/>
    <cellStyle name="常规 6 2 4 2 4 5 2 2" xfId="38474"/>
    <cellStyle name="常规 6 2 4 2 4 5 2 2 2" xfId="38475"/>
    <cellStyle name="常规 6 2 4 2 4 5 2 3" xfId="38476"/>
    <cellStyle name="常规 6 2 4 2 4 5 2 4" xfId="38477"/>
    <cellStyle name="常规 6 2 4 2 4 5 3" xfId="38478"/>
    <cellStyle name="常规 6 2 4 2 4 5 3 2" xfId="38479"/>
    <cellStyle name="常规 6 2 4 2 4 5 4" xfId="38480"/>
    <cellStyle name="常规 6 2 4 2 4 5 5" xfId="38481"/>
    <cellStyle name="常规 6 2 4 2 4 6" xfId="38482"/>
    <cellStyle name="常规 6 2 4 2 4 6 2" xfId="38483"/>
    <cellStyle name="常规 6 2 4 2 4 6 2 2" xfId="38484"/>
    <cellStyle name="常规 6 2 4 2 4 6 3" xfId="38485"/>
    <cellStyle name="常规 6 2 4 2 4 6 4" xfId="38486"/>
    <cellStyle name="常规 6 2 4 2 4 7" xfId="21454"/>
    <cellStyle name="常规 6 2 4 2 4 7 2" xfId="38487"/>
    <cellStyle name="常规 6 2 4 2 4 8" xfId="38488"/>
    <cellStyle name="常规 6 2 4 2 4 9" xfId="38489"/>
    <cellStyle name="常规 6 2 4 2 5" xfId="38491"/>
    <cellStyle name="常规 6 2 4 2 5 2" xfId="38492"/>
    <cellStyle name="常规 6 2 4 2 5 2 2" xfId="38493"/>
    <cellStyle name="常规 6 2 4 2 5 2 2 2" xfId="38494"/>
    <cellStyle name="常规 6 2 4 2 5 2 2 2 2" xfId="38495"/>
    <cellStyle name="常规 6 2 4 2 5 2 2 2 2 2" xfId="24637"/>
    <cellStyle name="常规 6 2 4 2 5 2 2 2 2 2 2" xfId="38497"/>
    <cellStyle name="常规 6 2 4 2 5 2 2 2 2 3" xfId="24639"/>
    <cellStyle name="常规 6 2 4 2 5 2 2 2 2 4" xfId="38498"/>
    <cellStyle name="常规 6 2 4 2 5 2 2 2 3" xfId="38499"/>
    <cellStyle name="常规 6 2 4 2 5 2 2 2 3 2" xfId="38500"/>
    <cellStyle name="常规 6 2 4 2 5 2 2 2 4" xfId="15277"/>
    <cellStyle name="常规 6 2 4 2 5 2 2 2 5" xfId="24326"/>
    <cellStyle name="常规 6 2 4 2 5 2 2 3" xfId="38501"/>
    <cellStyle name="常规 6 2 4 2 5 2 2 3 2" xfId="38502"/>
    <cellStyle name="常规 6 2 4 2 5 2 2 3 2 2" xfId="38503"/>
    <cellStyle name="常规 6 2 4 2 5 2 2 3 3" xfId="38504"/>
    <cellStyle name="常规 6 2 4 2 5 2 2 3 4" xfId="24329"/>
    <cellStyle name="常规 6 2 4 2 5 2 2 4" xfId="30169"/>
    <cellStyle name="常规 6 2 4 2 5 2 2 4 2" xfId="37131"/>
    <cellStyle name="常规 6 2 4 2 5 2 2 5" xfId="37133"/>
    <cellStyle name="常规 6 2 4 2 5 2 2 6" xfId="37135"/>
    <cellStyle name="常规 6 2 4 2 5 2 3" xfId="38505"/>
    <cellStyle name="常规 6 2 4 2 5 2 3 2" xfId="38506"/>
    <cellStyle name="常规 6 2 4 2 5 2 3 2 2" xfId="38507"/>
    <cellStyle name="常规 6 2 4 2 5 2 3 2 2 2" xfId="38508"/>
    <cellStyle name="常规 6 2 4 2 5 2 3 2 3" xfId="38509"/>
    <cellStyle name="常规 6 2 4 2 5 2 3 2 4" xfId="24340"/>
    <cellStyle name="常规 6 2 4 2 5 2 3 3" xfId="38510"/>
    <cellStyle name="常规 6 2 4 2 5 2 3 3 2" xfId="38511"/>
    <cellStyle name="常规 6 2 4 2 5 2 3 4" xfId="37137"/>
    <cellStyle name="常规 6 2 4 2 5 2 3 5" xfId="38512"/>
    <cellStyle name="常规 6 2 4 2 5 2 4" xfId="38513"/>
    <cellStyle name="常规 6 2 4 2 5 2 4 2" xfId="38514"/>
    <cellStyle name="常规 6 2 4 2 5 2 4 2 2" xfId="38515"/>
    <cellStyle name="常规 6 2 4 2 5 2 4 3" xfId="38516"/>
    <cellStyle name="常规 6 2 4 2 5 2 4 4" xfId="38517"/>
    <cellStyle name="常规 6 2 4 2 5 2 5" xfId="38518"/>
    <cellStyle name="常规 6 2 4 2 5 2 5 2" xfId="38519"/>
    <cellStyle name="常规 6 2 4 2 5 2 6" xfId="38520"/>
    <cellStyle name="常规 6 2 4 2 5 2 7" xfId="38521"/>
    <cellStyle name="常规 6 2 4 2 5 3" xfId="38522"/>
    <cellStyle name="常规 6 2 4 2 5 3 2" xfId="38523"/>
    <cellStyle name="常规 6 2 4 2 5 3 2 2" xfId="38524"/>
    <cellStyle name="常规 6 2 4 2 5 3 2 2 2" xfId="38525"/>
    <cellStyle name="常规 6 2 4 2 5 3 2 2 2 2" xfId="38526"/>
    <cellStyle name="常规 6 2 4 2 5 3 2 2 3" xfId="38527"/>
    <cellStyle name="常规 6 2 4 2 5 3 2 2 4" xfId="24357"/>
    <cellStyle name="常规 6 2 4 2 5 3 2 3" xfId="38528"/>
    <cellStyle name="常规 6 2 4 2 5 3 2 3 2" xfId="38529"/>
    <cellStyle name="常规 6 2 4 2 5 3 2 4" xfId="37146"/>
    <cellStyle name="常规 6 2 4 2 5 3 2 5" xfId="38530"/>
    <cellStyle name="常规 6 2 4 2 5 3 3" xfId="38531"/>
    <cellStyle name="常规 6 2 4 2 5 3 3 2" xfId="38532"/>
    <cellStyle name="常规 6 2 4 2 5 3 3 2 2" xfId="38533"/>
    <cellStyle name="常规 6 2 4 2 5 3 3 3" xfId="38534"/>
    <cellStyle name="常规 6 2 4 2 5 3 3 4" xfId="38535"/>
    <cellStyle name="常规 6 2 4 2 5 3 4" xfId="38536"/>
    <cellStyle name="常规 6 2 4 2 5 3 4 2" xfId="38537"/>
    <cellStyle name="常规 6 2 4 2 5 3 5" xfId="38538"/>
    <cellStyle name="常规 6 2 4 2 5 3 6" xfId="38539"/>
    <cellStyle name="常规 6 2 4 2 5 4" xfId="38540"/>
    <cellStyle name="常规 6 2 4 2 5 4 2" xfId="38541"/>
    <cellStyle name="常规 6 2 4 2 5 4 2 2" xfId="38542"/>
    <cellStyle name="常规 6 2 4 2 5 4 2 2 2" xfId="38543"/>
    <cellStyle name="常规 6 2 4 2 5 4 2 3" xfId="38544"/>
    <cellStyle name="常规 6 2 4 2 5 4 2 4" xfId="38545"/>
    <cellStyle name="常规 6 2 4 2 5 4 3" xfId="16381"/>
    <cellStyle name="常规 6 2 4 2 5 4 3 2" xfId="38546"/>
    <cellStyle name="常规 6 2 4 2 5 4 4" xfId="38547"/>
    <cellStyle name="常规 6 2 4 2 5 4 5" xfId="38548"/>
    <cellStyle name="常规 6 2 4 2 5 5" xfId="38549"/>
    <cellStyle name="常规 6 2 4 2 5 5 2" xfId="38550"/>
    <cellStyle name="常规 6 2 4 2 5 5 2 2" xfId="38551"/>
    <cellStyle name="常规 6 2 4 2 5 5 3" xfId="38552"/>
    <cellStyle name="常规 6 2 4 2 5 5 4" xfId="38553"/>
    <cellStyle name="常规 6 2 4 2 5 6" xfId="38555"/>
    <cellStyle name="常规 6 2 4 2 5 6 2" xfId="38557"/>
    <cellStyle name="常规 6 2 4 2 5 7" xfId="38559"/>
    <cellStyle name="常规 6 2 4 2 5 8" xfId="38561"/>
    <cellStyle name="常规 6 2 4 2 6" xfId="38562"/>
    <cellStyle name="常规 6 2 4 2 6 2" xfId="38563"/>
    <cellStyle name="常规 6 2 4 2 6 2 2" xfId="38564"/>
    <cellStyle name="常规 6 2 4 2 6 2 2 2" xfId="38565"/>
    <cellStyle name="常规 6 2 4 2 6 2 2 2 2" xfId="38566"/>
    <cellStyle name="常规 6 2 4 2 6 2 2 2 2 2" xfId="24928"/>
    <cellStyle name="常规 6 2 4 2 6 2 2 2 3" xfId="38567"/>
    <cellStyle name="常规 6 2 4 2 6 2 2 2 4" xfId="38568"/>
    <cellStyle name="常规 6 2 4 2 6 2 2 3" xfId="38569"/>
    <cellStyle name="常规 6 2 4 2 6 2 2 3 2" xfId="38570"/>
    <cellStyle name="常规 6 2 4 2 6 2 2 4" xfId="37157"/>
    <cellStyle name="常规 6 2 4 2 6 2 2 5" xfId="38571"/>
    <cellStyle name="常规 6 2 4 2 6 2 3" xfId="38572"/>
    <cellStyle name="常规 6 2 4 2 6 2 3 2" xfId="38573"/>
    <cellStyle name="常规 6 2 4 2 6 2 3 2 2" xfId="38574"/>
    <cellStyle name="常规 6 2 4 2 6 2 3 3" xfId="38575"/>
    <cellStyle name="常规 6 2 4 2 6 2 3 4" xfId="38576"/>
    <cellStyle name="常规 6 2 4 2 6 2 4" xfId="38577"/>
    <cellStyle name="常规 6 2 4 2 6 2 4 2" xfId="38578"/>
    <cellStyle name="常规 6 2 4 2 6 2 5" xfId="38579"/>
    <cellStyle name="常规 6 2 4 2 6 2 6" xfId="38580"/>
    <cellStyle name="常规 6 2 4 2 6 3" xfId="38581"/>
    <cellStyle name="常规 6 2 4 2 6 3 2" xfId="38582"/>
    <cellStyle name="常规 6 2 4 2 6 3 2 2" xfId="38583"/>
    <cellStyle name="常规 6 2 4 2 6 3 2 2 2" xfId="38584"/>
    <cellStyle name="常规 6 2 4 2 6 3 2 3" xfId="38585"/>
    <cellStyle name="常规 6 2 4 2 6 3 2 4" xfId="38586"/>
    <cellStyle name="常规 6 2 4 2 6 3 3" xfId="38587"/>
    <cellStyle name="常规 6 2 4 2 6 3 3 2" xfId="38588"/>
    <cellStyle name="常规 6 2 4 2 6 3 4" xfId="38589"/>
    <cellStyle name="常规 6 2 4 2 6 3 5" xfId="38590"/>
    <cellStyle name="常规 6 2 4 2 6 4" xfId="38591"/>
    <cellStyle name="常规 6 2 4 2 6 4 2" xfId="38592"/>
    <cellStyle name="常规 6 2 4 2 6 4 2 2" xfId="38594"/>
    <cellStyle name="常规 6 2 4 2 6 4 3" xfId="38595"/>
    <cellStyle name="常规 6 2 4 2 6 4 4" xfId="38596"/>
    <cellStyle name="常规 6 2 4 2 6 5" xfId="38597"/>
    <cellStyle name="常规 6 2 4 2 6 5 2" xfId="38598"/>
    <cellStyle name="常规 6 2 4 2 6 6" xfId="38600"/>
    <cellStyle name="常规 6 2 4 2 6 7" xfId="38602"/>
    <cellStyle name="常规 6 2 4 2 7" xfId="38603"/>
    <cellStyle name="常规 6 2 4 2 7 2" xfId="38604"/>
    <cellStyle name="常规 6 2 4 2 7 2 2" xfId="38605"/>
    <cellStyle name="常规 6 2 4 2 7 2 2 2" xfId="38606"/>
    <cellStyle name="常规 6 2 4 2 7 2 2 2 2" xfId="29578"/>
    <cellStyle name="常规 6 2 4 2 7 2 2 3" xfId="38608"/>
    <cellStyle name="常规 6 2 4 2 7 2 2 4" xfId="38609"/>
    <cellStyle name="常规 6 2 4 2 7 2 3" xfId="38610"/>
    <cellStyle name="常规 6 2 4 2 7 2 3 2" xfId="38611"/>
    <cellStyle name="常规 6 2 4 2 7 2 4" xfId="38612"/>
    <cellStyle name="常规 6 2 4 2 7 2 5" xfId="12923"/>
    <cellStyle name="常规 6 2 4 2 7 3" xfId="38613"/>
    <cellStyle name="常规 6 2 4 2 7 3 2" xfId="38614"/>
    <cellStyle name="常规 6 2 4 2 7 3 2 2" xfId="38615"/>
    <cellStyle name="常规 6 2 4 2 7 3 3" xfId="38616"/>
    <cellStyle name="常规 6 2 4 2 7 3 4" xfId="38617"/>
    <cellStyle name="常规 6 2 4 2 7 4" xfId="38618"/>
    <cellStyle name="常规 6 2 4 2 7 4 2" xfId="38619"/>
    <cellStyle name="常规 6 2 4 2 7 5" xfId="38620"/>
    <cellStyle name="常规 6 2 4 2 7 6" xfId="38622"/>
    <cellStyle name="常规 6 2 4 2 8" xfId="38623"/>
    <cellStyle name="常规 6 2 4 2 8 2" xfId="38624"/>
    <cellStyle name="常规 6 2 4 2 8 2 2" xfId="38625"/>
    <cellStyle name="常规 6 2 4 2 8 2 2 2" xfId="38627"/>
    <cellStyle name="常规 6 2 4 2 8 2 3" xfId="38628"/>
    <cellStyle name="常规 6 2 4 2 8 2 4" xfId="38629"/>
    <cellStyle name="常规 6 2 4 2 8 3" xfId="35690"/>
    <cellStyle name="常规 6 2 4 2 8 3 2" xfId="35692"/>
    <cellStyle name="常规 6 2 4 2 8 4" xfId="35698"/>
    <cellStyle name="常规 6 2 4 2 8 5" xfId="35701"/>
    <cellStyle name="常规 6 2 4 2 9" xfId="38630"/>
    <cellStyle name="常规 6 2 4 2 9 2" xfId="38631"/>
    <cellStyle name="常规 6 2 4 2 9 2 2" xfId="38632"/>
    <cellStyle name="常规 6 2 4 2 9 3" xfId="35705"/>
    <cellStyle name="常规 6 2 4 2 9 4" xfId="35708"/>
    <cellStyle name="常规 6 2 4 3" xfId="38634"/>
    <cellStyle name="常规 6 2 4 3 10" xfId="38635"/>
    <cellStyle name="常规 6 2 4 3 11" xfId="38636"/>
    <cellStyle name="常规 6 2 4 3 2" xfId="38638"/>
    <cellStyle name="常规 6 2 4 3 2 2" xfId="38640"/>
    <cellStyle name="常规 6 2 4 3 2 2 2" xfId="38641"/>
    <cellStyle name="常规 6 2 4 3 2 2 2 2" xfId="38642"/>
    <cellStyle name="常规 6 2 4 3 2 2 2 2 2" xfId="36639"/>
    <cellStyle name="常规 6 2 4 3 2 2 2 2 2 2" xfId="38643"/>
    <cellStyle name="常规 6 2 4 3 2 2 2 2 2 2 2" xfId="38644"/>
    <cellStyle name="常规 6 2 4 3 2 2 2 2 2 2 2 2" xfId="38645"/>
    <cellStyle name="常规 6 2 4 3 2 2 2 2 2 2 3" xfId="38646"/>
    <cellStyle name="常规 6 2 4 3 2 2 2 2 2 2 4" xfId="38647"/>
    <cellStyle name="常规 6 2 4 3 2 2 2 2 2 3" xfId="38648"/>
    <cellStyle name="常规 6 2 4 3 2 2 2 2 2 3 2" xfId="38649"/>
    <cellStyle name="常规 6 2 4 3 2 2 2 2 2 4" xfId="38650"/>
    <cellStyle name="常规 6 2 4 3 2 2 2 2 2 5" xfId="38651"/>
    <cellStyle name="常规 6 2 4 3 2 2 2 2 3" xfId="36641"/>
    <cellStyle name="常规 6 2 4 3 2 2 2 2 3 2" xfId="38652"/>
    <cellStyle name="常规 6 2 4 3 2 2 2 2 3 2 2" xfId="38653"/>
    <cellStyle name="常规 6 2 4 3 2 2 2 2 3 3" xfId="38654"/>
    <cellStyle name="常规 6 2 4 3 2 2 2 2 3 4" xfId="38655"/>
    <cellStyle name="常规 6 2 4 3 2 2 2 2 4" xfId="38656"/>
    <cellStyle name="常规 6 2 4 3 2 2 2 2 4 2" xfId="38657"/>
    <cellStyle name="常规 6 2 4 3 2 2 2 2 5" xfId="38658"/>
    <cellStyle name="常规 6 2 4 3 2 2 2 2 6" xfId="38659"/>
    <cellStyle name="常规 6 2 4 3 2 2 2 3" xfId="38660"/>
    <cellStyle name="常规 6 2 4 3 2 2 2 3 2" xfId="36786"/>
    <cellStyle name="常规 6 2 4 3 2 2 2 3 2 2" xfId="589"/>
    <cellStyle name="常规 6 2 4 3 2 2 2 3 2 2 2" xfId="38661"/>
    <cellStyle name="常规 6 2 4 3 2 2 2 3 2 3" xfId="38662"/>
    <cellStyle name="常规 6 2 4 3 2 2 2 3 2 4" xfId="38663"/>
    <cellStyle name="常规 6 2 4 3 2 2 2 3 3" xfId="36788"/>
    <cellStyle name="常规 6 2 4 3 2 2 2 3 3 2" xfId="670"/>
    <cellStyle name="常规 6 2 4 3 2 2 2 3 4" xfId="38664"/>
    <cellStyle name="常规 6 2 4 3 2 2 2 3 5" xfId="38665"/>
    <cellStyle name="常规 6 2 4 3 2 2 2 4" xfId="30471"/>
    <cellStyle name="常规 6 2 4 3 2 2 2 4 2" xfId="30474"/>
    <cellStyle name="常规 6 2 4 3 2 2 2 4 2 2" xfId="30477"/>
    <cellStyle name="常规 6 2 4 3 2 2 2 4 3" xfId="30479"/>
    <cellStyle name="常规 6 2 4 3 2 2 2 4 4" xfId="30481"/>
    <cellStyle name="常规 6 2 4 3 2 2 2 5" xfId="30484"/>
    <cellStyle name="常规 6 2 4 3 2 2 2 5 2" xfId="30487"/>
    <cellStyle name="常规 6 2 4 3 2 2 2 6" xfId="6676"/>
    <cellStyle name="常规 6 2 4 3 2 2 2 7" xfId="30489"/>
    <cellStyle name="常规 6 2 4 3 2 2 3" xfId="38666"/>
    <cellStyle name="常规 6 2 4 3 2 2 3 2" xfId="38667"/>
    <cellStyle name="常规 6 2 4 3 2 2 3 2 2" xfId="7948"/>
    <cellStyle name="常规 6 2 4 3 2 2 3 2 2 2" xfId="38668"/>
    <cellStyle name="常规 6 2 4 3 2 2 3 2 2 2 2" xfId="38669"/>
    <cellStyle name="常规 6 2 4 3 2 2 3 2 2 3" xfId="38670"/>
    <cellStyle name="常规 6 2 4 3 2 2 3 2 2 4" xfId="38671"/>
    <cellStyle name="常规 6 2 4 3 2 2 3 2 3" xfId="38672"/>
    <cellStyle name="常规 6 2 4 3 2 2 3 2 3 2" xfId="38673"/>
    <cellStyle name="常规 6 2 4 3 2 2 3 2 4" xfId="38674"/>
    <cellStyle name="常规 6 2 4 3 2 2 3 2 5" xfId="38675"/>
    <cellStyle name="常规 6 2 4 3 2 2 3 3" xfId="38676"/>
    <cellStyle name="常规 6 2 4 3 2 2 3 3 2" xfId="38677"/>
    <cellStyle name="常规 6 2 4 3 2 2 3 3 2 2" xfId="38678"/>
    <cellStyle name="常规 6 2 4 3 2 2 3 3 3" xfId="38679"/>
    <cellStyle name="常规 6 2 4 3 2 2 3 3 4" xfId="38680"/>
    <cellStyle name="常规 6 2 4 3 2 2 3 4" xfId="7958"/>
    <cellStyle name="常规 6 2 4 3 2 2 3 4 2" xfId="30493"/>
    <cellStyle name="常规 6 2 4 3 2 2 3 5" xfId="7961"/>
    <cellStyle name="常规 6 2 4 3 2 2 3 6" xfId="30495"/>
    <cellStyle name="常规 6 2 4 3 2 2 4" xfId="38681"/>
    <cellStyle name="常规 6 2 4 3 2 2 4 2" xfId="38682"/>
    <cellStyle name="常规 6 2 4 3 2 2 4 2 2" xfId="36976"/>
    <cellStyle name="常规 6 2 4 3 2 2 4 2 2 2" xfId="38683"/>
    <cellStyle name="常规 6 2 4 3 2 2 4 2 3" xfId="36609"/>
    <cellStyle name="常规 6 2 4 3 2 2 4 2 4" xfId="38684"/>
    <cellStyle name="常规 6 2 4 3 2 2 4 3" xfId="38685"/>
    <cellStyle name="常规 6 2 4 3 2 2 4 3 2" xfId="38686"/>
    <cellStyle name="常规 6 2 4 3 2 2 4 4" xfId="7968"/>
    <cellStyle name="常规 6 2 4 3 2 2 4 5" xfId="38687"/>
    <cellStyle name="常规 6 2 4 3 2 2 5" xfId="38688"/>
    <cellStyle name="常规 6 2 4 3 2 2 5 2" xfId="38689"/>
    <cellStyle name="常规 6 2 4 3 2 2 5 2 2" xfId="38690"/>
    <cellStyle name="常规 6 2 4 3 2 2 5 3" xfId="38691"/>
    <cellStyle name="常规 6 2 4 3 2 2 5 4" xfId="38692"/>
    <cellStyle name="常规 6 2 4 3 2 2 6" xfId="38693"/>
    <cellStyle name="常规 6 2 4 3 2 2 6 2" xfId="38694"/>
    <cellStyle name="常规 6 2 4 3 2 2 7" xfId="38695"/>
    <cellStyle name="常规 6 2 4 3 2 2 8" xfId="38697"/>
    <cellStyle name="常规 6 2 4 3 2 3" xfId="38698"/>
    <cellStyle name="常规 6 2 4 3 2 3 2" xfId="38699"/>
    <cellStyle name="常规 6 2 4 3 2 3 2 2" xfId="38700"/>
    <cellStyle name="常规 6 2 4 3 2 3 2 2 2" xfId="37184"/>
    <cellStyle name="常规 6 2 4 3 2 3 2 2 2 2" xfId="38701"/>
    <cellStyle name="常规 6 2 4 3 2 3 2 2 2 2 2" xfId="38702"/>
    <cellStyle name="常规 6 2 4 3 2 3 2 2 2 3" xfId="38703"/>
    <cellStyle name="常规 6 2 4 3 2 3 2 2 2 4" xfId="38704"/>
    <cellStyle name="常规 6 2 4 3 2 3 2 2 3" xfId="38705"/>
    <cellStyle name="常规 6 2 4 3 2 3 2 2 3 2" xfId="38706"/>
    <cellStyle name="常规 6 2 4 3 2 3 2 2 4" xfId="38707"/>
    <cellStyle name="常规 6 2 4 3 2 3 2 2 5" xfId="38708"/>
    <cellStyle name="常规 6 2 4 3 2 3 2 3" xfId="38709"/>
    <cellStyle name="常规 6 2 4 3 2 3 2 3 2" xfId="38710"/>
    <cellStyle name="常规 6 2 4 3 2 3 2 3 2 2" xfId="38711"/>
    <cellStyle name="常规 6 2 4 3 2 3 2 3 3" xfId="38712"/>
    <cellStyle name="常规 6 2 4 3 2 3 2 3 4" xfId="38713"/>
    <cellStyle name="常规 6 2 4 3 2 3 2 4" xfId="30501"/>
    <cellStyle name="常规 6 2 4 3 2 3 2 4 2" xfId="30503"/>
    <cellStyle name="常规 6 2 4 3 2 3 2 5" xfId="30505"/>
    <cellStyle name="常规 6 2 4 3 2 3 2 6" xfId="30508"/>
    <cellStyle name="常规 6 2 4 3 2 3 3" xfId="38714"/>
    <cellStyle name="常规 6 2 4 3 2 3 3 2" xfId="38715"/>
    <cellStyle name="常规 6 2 4 3 2 3 3 2 2" xfId="37299"/>
    <cellStyle name="常规 6 2 4 3 2 3 3 2 2 2" xfId="38716"/>
    <cellStyle name="常规 6 2 4 3 2 3 3 2 3" xfId="38717"/>
    <cellStyle name="常规 6 2 4 3 2 3 3 2 4" xfId="38718"/>
    <cellStyle name="常规 6 2 4 3 2 3 3 3" xfId="38719"/>
    <cellStyle name="常规 6 2 4 3 2 3 3 3 2" xfId="38720"/>
    <cellStyle name="常规 6 2 4 3 2 3 3 4" xfId="7982"/>
    <cellStyle name="常规 6 2 4 3 2 3 3 5" xfId="38721"/>
    <cellStyle name="常规 6 2 4 3 2 3 4" xfId="38722"/>
    <cellStyle name="常规 6 2 4 3 2 3 4 2" xfId="38723"/>
    <cellStyle name="常规 6 2 4 3 2 3 4 2 2" xfId="38725"/>
    <cellStyle name="常规 6 2 4 3 2 3 4 3" xfId="38726"/>
    <cellStyle name="常规 6 2 4 3 2 3 4 4" xfId="38727"/>
    <cellStyle name="常规 6 2 4 3 2 3 5" xfId="38728"/>
    <cellStyle name="常规 6 2 4 3 2 3 5 2" xfId="38729"/>
    <cellStyle name="常规 6 2 4 3 2 3 6" xfId="38730"/>
    <cellStyle name="常规 6 2 4 3 2 3 7" xfId="38731"/>
    <cellStyle name="常规 6 2 4 3 2 4" xfId="38732"/>
    <cellStyle name="常规 6 2 4 3 2 4 2" xfId="38733"/>
    <cellStyle name="常规 6 2 4 3 2 4 2 2" xfId="38734"/>
    <cellStyle name="常规 6 2 4 3 2 4 2 2 2" xfId="38735"/>
    <cellStyle name="常规 6 2 4 3 2 4 2 2 2 2" xfId="38736"/>
    <cellStyle name="常规 6 2 4 3 2 4 2 2 3" xfId="38737"/>
    <cellStyle name="常规 6 2 4 3 2 4 2 2 4" xfId="38738"/>
    <cellStyle name="常规 6 2 4 3 2 4 2 3" xfId="38739"/>
    <cellStyle name="常规 6 2 4 3 2 4 2 3 2" xfId="38740"/>
    <cellStyle name="常规 6 2 4 3 2 4 2 4" xfId="30517"/>
    <cellStyle name="常规 6 2 4 3 2 4 2 5" xfId="38741"/>
    <cellStyle name="常规 6 2 4 3 2 4 3" xfId="38742"/>
    <cellStyle name="常规 6 2 4 3 2 4 3 2" xfId="38743"/>
    <cellStyle name="常规 6 2 4 3 2 4 3 2 2" xfId="38744"/>
    <cellStyle name="常规 6 2 4 3 2 4 3 3" xfId="38745"/>
    <cellStyle name="常规 6 2 4 3 2 4 3 4" xfId="38746"/>
    <cellStyle name="常规 6 2 4 3 2 4 4" xfId="38747"/>
    <cellStyle name="常规 6 2 4 3 2 4 4 2" xfId="38748"/>
    <cellStyle name="常规 6 2 4 3 2 4 5" xfId="38749"/>
    <cellStyle name="常规 6 2 4 3 2 4 6" xfId="38750"/>
    <cellStyle name="常规 6 2 4 3 2 5" xfId="38751"/>
    <cellStyle name="常规 6 2 4 3 2 5 2" xfId="38752"/>
    <cellStyle name="常规 6 2 4 3 2 5 2 2" xfId="38753"/>
    <cellStyle name="常规 6 2 4 3 2 5 2 2 2" xfId="38754"/>
    <cellStyle name="常规 6 2 4 3 2 5 2 3" xfId="38755"/>
    <cellStyle name="常规 6 2 4 3 2 5 2 4" xfId="38756"/>
    <cellStyle name="常规 6 2 4 3 2 5 3" xfId="38757"/>
    <cellStyle name="常规 6 2 4 3 2 5 3 2" xfId="38758"/>
    <cellStyle name="常规 6 2 4 3 2 5 4" xfId="38759"/>
    <cellStyle name="常规 6 2 4 3 2 5 5" xfId="38760"/>
    <cellStyle name="常规 6 2 4 3 2 6" xfId="38761"/>
    <cellStyle name="常规 6 2 4 3 2 6 2" xfId="38762"/>
    <cellStyle name="常规 6 2 4 3 2 6 2 2" xfId="38763"/>
    <cellStyle name="常规 6 2 4 3 2 6 3" xfId="38764"/>
    <cellStyle name="常规 6 2 4 3 2 6 4" xfId="38765"/>
    <cellStyle name="常规 6 2 4 3 2 7" xfId="38766"/>
    <cellStyle name="常规 6 2 4 3 2 7 2" xfId="38767"/>
    <cellStyle name="常规 6 2 4 3 2 8" xfId="38768"/>
    <cellStyle name="常规 6 2 4 3 2 9" xfId="38769"/>
    <cellStyle name="常规 6 2 4 3 3" xfId="38771"/>
    <cellStyle name="常规 6 2 4 3 3 2" xfId="38772"/>
    <cellStyle name="常规 6 2 4 3 3 2 2" xfId="38773"/>
    <cellStyle name="常规 6 2 4 3 3 2 2 2" xfId="38774"/>
    <cellStyle name="常规 6 2 4 3 3 2 2 2 2" xfId="38775"/>
    <cellStyle name="常规 6 2 4 3 3 2 2 2 2 2" xfId="38776"/>
    <cellStyle name="常规 6 2 4 3 3 2 2 2 2 2 2" xfId="37802"/>
    <cellStyle name="常规 6 2 4 3 3 2 2 2 2 2 2 2" xfId="38777"/>
    <cellStyle name="常规 6 2 4 3 3 2 2 2 2 2 3" xfId="38778"/>
    <cellStyle name="常规 6 2 4 3 3 2 2 2 2 2 4" xfId="38779"/>
    <cellStyle name="常规 6 2 4 3 3 2 2 2 2 3" xfId="38780"/>
    <cellStyle name="常规 6 2 4 3 3 2 2 2 2 3 2" xfId="38781"/>
    <cellStyle name="常规 6 2 4 3 3 2 2 2 2 4" xfId="38782"/>
    <cellStyle name="常规 6 2 4 3 3 2 2 2 2 5" xfId="38783"/>
    <cellStyle name="常规 6 2 4 3 3 2 2 2 3" xfId="38784"/>
    <cellStyle name="常规 6 2 4 3 3 2 2 2 3 2" xfId="38785"/>
    <cellStyle name="常规 6 2 4 3 3 2 2 2 3 2 2" xfId="38786"/>
    <cellStyle name="常规 6 2 4 3 3 2 2 2 3 3" xfId="38787"/>
    <cellStyle name="常规 6 2 4 3 3 2 2 2 3 4" xfId="38788"/>
    <cellStyle name="常规 6 2 4 3 3 2 2 2 4" xfId="38789"/>
    <cellStyle name="常规 6 2 4 3 3 2 2 2 4 2" xfId="38790"/>
    <cellStyle name="常规 6 2 4 3 3 2 2 2 5" xfId="38791"/>
    <cellStyle name="常规 6 2 4 3 3 2 2 2 6" xfId="38792"/>
    <cellStyle name="常规 6 2 4 3 3 2 2 3" xfId="38793"/>
    <cellStyle name="常规 6 2 4 3 3 2 2 3 2" xfId="38794"/>
    <cellStyle name="常规 6 2 4 3 3 2 2 3 2 2" xfId="38795"/>
    <cellStyle name="常规 6 2 4 3 3 2 2 3 2 2 2" xfId="38796"/>
    <cellStyle name="常规 6 2 4 3 3 2 2 3 2 3" xfId="38797"/>
    <cellStyle name="常规 6 2 4 3 3 2 2 3 2 4" xfId="38798"/>
    <cellStyle name="常规 6 2 4 3 3 2 2 3 3" xfId="38799"/>
    <cellStyle name="常规 6 2 4 3 3 2 2 3 3 2" xfId="38800"/>
    <cellStyle name="常规 6 2 4 3 3 2 2 3 4" xfId="38801"/>
    <cellStyle name="常规 6 2 4 3 3 2 2 3 5" xfId="38802"/>
    <cellStyle name="常规 6 2 4 3 3 2 2 4" xfId="28072"/>
    <cellStyle name="常规 6 2 4 3 3 2 2 4 2" xfId="30571"/>
    <cellStyle name="常规 6 2 4 3 3 2 2 4 2 2" xfId="38803"/>
    <cellStyle name="常规 6 2 4 3 3 2 2 4 3" xfId="38804"/>
    <cellStyle name="常规 6 2 4 3 3 2 2 4 4" xfId="38805"/>
    <cellStyle name="常规 6 2 4 3 3 2 2 5" xfId="28075"/>
    <cellStyle name="常规 6 2 4 3 3 2 2 5 2" xfId="38806"/>
    <cellStyle name="常规 6 2 4 3 3 2 2 6" xfId="30573"/>
    <cellStyle name="常规 6 2 4 3 3 2 2 7" xfId="38807"/>
    <cellStyle name="常规 6 2 4 3 3 2 3" xfId="38808"/>
    <cellStyle name="常规 6 2 4 3 3 2 3 2" xfId="38809"/>
    <cellStyle name="常规 6 2 4 3 3 2 3 2 2" xfId="38810"/>
    <cellStyle name="常规 6 2 4 3 3 2 3 2 2 2" xfId="38811"/>
    <cellStyle name="常规 6 2 4 3 3 2 3 2 2 2 2" xfId="37949"/>
    <cellStyle name="常规 6 2 4 3 3 2 3 2 2 3" xfId="38812"/>
    <cellStyle name="常规 6 2 4 3 3 2 3 2 2 4" xfId="38813"/>
    <cellStyle name="常规 6 2 4 3 3 2 3 2 3" xfId="38814"/>
    <cellStyle name="常规 6 2 4 3 3 2 3 2 3 2" xfId="38815"/>
    <cellStyle name="常规 6 2 4 3 3 2 3 2 4" xfId="38816"/>
    <cellStyle name="常规 6 2 4 3 3 2 3 2 5" xfId="38817"/>
    <cellStyle name="常规 6 2 4 3 3 2 3 3" xfId="38818"/>
    <cellStyle name="常规 6 2 4 3 3 2 3 3 2" xfId="38819"/>
    <cellStyle name="常规 6 2 4 3 3 2 3 3 2 2" xfId="38820"/>
    <cellStyle name="常规 6 2 4 3 3 2 3 3 3" xfId="38821"/>
    <cellStyle name="常规 6 2 4 3 3 2 3 3 4" xfId="38822"/>
    <cellStyle name="常规 6 2 4 3 3 2 3 4" xfId="5887"/>
    <cellStyle name="常规 6 2 4 3 3 2 3 4 2" xfId="38823"/>
    <cellStyle name="常规 6 2 4 3 3 2 3 5" xfId="38824"/>
    <cellStyle name="常规 6 2 4 3 3 2 3 6" xfId="38825"/>
    <cellStyle name="常规 6 2 4 3 3 2 4" xfId="38826"/>
    <cellStyle name="常规 6 2 4 3 3 2 4 2" xfId="38827"/>
    <cellStyle name="常规 6 2 4 3 3 2 4 2 2" xfId="38828"/>
    <cellStyle name="常规 6 2 4 3 3 2 4 2 2 2" xfId="38829"/>
    <cellStyle name="常规 6 2 4 3 3 2 4 2 3" xfId="36757"/>
    <cellStyle name="常规 6 2 4 3 3 2 4 2 4" xfId="38830"/>
    <cellStyle name="常规 6 2 4 3 3 2 4 3" xfId="38831"/>
    <cellStyle name="常规 6 2 4 3 3 2 4 3 2" xfId="38832"/>
    <cellStyle name="常规 6 2 4 3 3 2 4 4" xfId="38833"/>
    <cellStyle name="常规 6 2 4 3 3 2 4 5" xfId="38834"/>
    <cellStyle name="常规 6 2 4 3 3 2 5" xfId="8014"/>
    <cellStyle name="常规 6 2 4 3 3 2 5 2" xfId="18776"/>
    <cellStyle name="常规 6 2 4 3 3 2 5 2 2" xfId="38835"/>
    <cellStyle name="常规 6 2 4 3 3 2 5 3" xfId="38836"/>
    <cellStyle name="常规 6 2 4 3 3 2 5 4" xfId="38837"/>
    <cellStyle name="常规 6 2 4 3 3 2 6" xfId="8017"/>
    <cellStyle name="常规 6 2 4 3 3 2 6 2" xfId="25422"/>
    <cellStyle name="常规 6 2 4 3 3 2 7" xfId="18778"/>
    <cellStyle name="常规 6 2 4 3 3 2 8" xfId="38839"/>
    <cellStyle name="常规 6 2 4 3 3 3" xfId="38840"/>
    <cellStyle name="常规 6 2 4 3 3 3 2" xfId="38841"/>
    <cellStyle name="常规 6 2 4 3 3 3 2 2" xfId="38842"/>
    <cellStyle name="常规 6 2 4 3 3 3 2 2 2" xfId="38843"/>
    <cellStyle name="常规 6 2 4 3 3 3 2 2 2 2" xfId="38844"/>
    <cellStyle name="常规 6 2 4 3 3 3 2 2 2 2 2" xfId="38845"/>
    <cellStyle name="常规 6 2 4 3 3 3 2 2 2 3" xfId="38846"/>
    <cellStyle name="常规 6 2 4 3 3 3 2 2 2 4" xfId="38847"/>
    <cellStyle name="常规 6 2 4 3 3 3 2 2 3" xfId="38848"/>
    <cellStyle name="常规 6 2 4 3 3 3 2 2 3 2" xfId="38849"/>
    <cellStyle name="常规 6 2 4 3 3 3 2 2 4" xfId="38850"/>
    <cellStyle name="常规 6 2 4 3 3 3 2 2 5" xfId="38851"/>
    <cellStyle name="常规 6 2 4 3 3 3 2 3" xfId="38852"/>
    <cellStyle name="常规 6 2 4 3 3 3 2 3 2" xfId="38853"/>
    <cellStyle name="常规 6 2 4 3 3 3 2 3 2 2" xfId="38854"/>
    <cellStyle name="常规 6 2 4 3 3 3 2 3 3" xfId="38855"/>
    <cellStyle name="常规 6 2 4 3 3 3 2 3 4" xfId="38856"/>
    <cellStyle name="常规 6 2 4 3 3 3 2 4" xfId="28138"/>
    <cellStyle name="常规 6 2 4 3 3 3 2 4 2" xfId="38857"/>
    <cellStyle name="常规 6 2 4 3 3 3 2 5" xfId="38858"/>
    <cellStyle name="常规 6 2 4 3 3 3 2 6" xfId="38859"/>
    <cellStyle name="常规 6 2 4 3 3 3 3" xfId="38860"/>
    <cellStyle name="常规 6 2 4 3 3 3 3 2" xfId="38861"/>
    <cellStyle name="常规 6 2 4 3 3 3 3 2 2" xfId="38862"/>
    <cellStyle name="常规 6 2 4 3 3 3 3 2 2 2" xfId="38863"/>
    <cellStyle name="常规 6 2 4 3 3 3 3 2 3" xfId="38864"/>
    <cellStyle name="常规 6 2 4 3 3 3 3 2 4" xfId="38865"/>
    <cellStyle name="常规 6 2 4 3 3 3 3 3" xfId="38866"/>
    <cellStyle name="常规 6 2 4 3 3 3 3 3 2" xfId="38867"/>
    <cellStyle name="常规 6 2 4 3 3 3 3 4" xfId="38868"/>
    <cellStyle name="常规 6 2 4 3 3 3 3 5" xfId="38869"/>
    <cellStyle name="常规 6 2 4 3 3 3 4" xfId="38870"/>
    <cellStyle name="常规 6 2 4 3 3 3 4 2" xfId="38871"/>
    <cellStyle name="常规 6 2 4 3 3 3 4 2 2" xfId="38873"/>
    <cellStyle name="常规 6 2 4 3 3 3 4 3" xfId="38874"/>
    <cellStyle name="常规 6 2 4 3 3 3 4 4" xfId="38875"/>
    <cellStyle name="常规 6 2 4 3 3 3 5" xfId="8026"/>
    <cellStyle name="常规 6 2 4 3 3 3 5 2" xfId="38876"/>
    <cellStyle name="常规 6 2 4 3 3 3 6" xfId="38877"/>
    <cellStyle name="常规 6 2 4 3 3 3 7" xfId="38878"/>
    <cellStyle name="常规 6 2 4 3 3 4" xfId="38879"/>
    <cellStyle name="常规 6 2 4 3 3 4 2" xfId="38880"/>
    <cellStyle name="常规 6 2 4 3 3 4 2 2" xfId="38881"/>
    <cellStyle name="常规 6 2 4 3 3 4 2 2 2" xfId="38882"/>
    <cellStyle name="常规 6 2 4 3 3 4 2 2 2 2" xfId="38883"/>
    <cellStyle name="常规 6 2 4 3 3 4 2 2 3" xfId="350"/>
    <cellStyle name="常规 6 2 4 3 3 4 2 2 4" xfId="401"/>
    <cellStyle name="常规 6 2 4 3 3 4 2 3" xfId="38884"/>
    <cellStyle name="常规 6 2 4 3 3 4 2 3 2" xfId="38885"/>
    <cellStyle name="常规 6 2 4 3 3 4 2 4" xfId="38886"/>
    <cellStyle name="常规 6 2 4 3 3 4 2 5" xfId="38887"/>
    <cellStyle name="常规 6 2 4 3 3 4 3" xfId="38888"/>
    <cellStyle name="常规 6 2 4 3 3 4 3 2" xfId="38889"/>
    <cellStyle name="常规 6 2 4 3 3 4 3 2 2" xfId="38890"/>
    <cellStyle name="常规 6 2 4 3 3 4 3 3" xfId="38891"/>
    <cellStyle name="常规 6 2 4 3 3 4 3 4" xfId="38892"/>
    <cellStyle name="常规 6 2 4 3 3 4 4" xfId="38893"/>
    <cellStyle name="常规 6 2 4 3 3 4 4 2" xfId="38894"/>
    <cellStyle name="常规 6 2 4 3 3 4 5" xfId="38895"/>
    <cellStyle name="常规 6 2 4 3 3 4 6" xfId="38896"/>
    <cellStyle name="常规 6 2 4 3 3 5" xfId="38897"/>
    <cellStyle name="常规 6 2 4 3 3 5 2" xfId="38898"/>
    <cellStyle name="常规 6 2 4 3 3 5 2 2" xfId="38899"/>
    <cellStyle name="常规 6 2 4 3 3 5 2 2 2" xfId="38900"/>
    <cellStyle name="常规 6 2 4 3 3 5 2 3" xfId="38901"/>
    <cellStyle name="常规 6 2 4 3 3 5 2 4" xfId="38902"/>
    <cellStyle name="常规 6 2 4 3 3 5 3" xfId="38903"/>
    <cellStyle name="常规 6 2 4 3 3 5 3 2" xfId="38904"/>
    <cellStyle name="常规 6 2 4 3 3 5 4" xfId="38905"/>
    <cellStyle name="常规 6 2 4 3 3 5 5" xfId="38906"/>
    <cellStyle name="常规 6 2 4 3 3 6" xfId="38907"/>
    <cellStyle name="常规 6 2 4 3 3 6 2" xfId="38908"/>
    <cellStyle name="常规 6 2 4 3 3 6 2 2" xfId="38909"/>
    <cellStyle name="常规 6 2 4 3 3 6 3" xfId="38910"/>
    <cellStyle name="常规 6 2 4 3 3 6 4" xfId="38911"/>
    <cellStyle name="常规 6 2 4 3 3 7" xfId="21462"/>
    <cellStyle name="常规 6 2 4 3 3 7 2" xfId="38912"/>
    <cellStyle name="常规 6 2 4 3 3 8" xfId="38913"/>
    <cellStyle name="常规 6 2 4 3 3 9" xfId="38914"/>
    <cellStyle name="常规 6 2 4 3 4" xfId="38916"/>
    <cellStyle name="常规 6 2 4 3 4 2" xfId="38917"/>
    <cellStyle name="常规 6 2 4 3 4 2 2" xfId="38918"/>
    <cellStyle name="常规 6 2 4 3 4 2 2 2" xfId="38919"/>
    <cellStyle name="常规 6 2 4 3 4 2 2 2 2" xfId="38696"/>
    <cellStyle name="常规 6 2 4 3 4 2 2 2 2 2" xfId="38920"/>
    <cellStyle name="常规 6 2 4 3 4 2 2 2 2 2 2" xfId="38921"/>
    <cellStyle name="常规 6 2 4 3 4 2 2 2 2 3" xfId="38922"/>
    <cellStyle name="常规 6 2 4 3 4 2 2 2 2 4" xfId="38923"/>
    <cellStyle name="常规 6 2 4 3 4 2 2 2 3" xfId="38924"/>
    <cellStyle name="常规 6 2 4 3 4 2 2 2 3 2" xfId="38925"/>
    <cellStyle name="常规 6 2 4 3 4 2 2 2 4" xfId="38926"/>
    <cellStyle name="常规 6 2 4 3 4 2 2 2 5" xfId="38927"/>
    <cellStyle name="常规 6 2 4 3 4 2 2 3" xfId="38928"/>
    <cellStyle name="常规 6 2 4 3 4 2 2 3 2" xfId="38929"/>
    <cellStyle name="常规 6 2 4 3 4 2 2 3 2 2" xfId="38930"/>
    <cellStyle name="常规 6 2 4 3 4 2 2 3 3" xfId="38931"/>
    <cellStyle name="常规 6 2 4 3 4 2 2 3 4" xfId="38932"/>
    <cellStyle name="常规 6 2 4 3 4 2 2 4" xfId="15475"/>
    <cellStyle name="常规 6 2 4 3 4 2 2 4 2" xfId="38933"/>
    <cellStyle name="常规 6 2 4 3 4 2 2 5" xfId="38934"/>
    <cellStyle name="常规 6 2 4 3 4 2 2 6" xfId="38935"/>
    <cellStyle name="常规 6 2 4 3 4 2 3" xfId="38936"/>
    <cellStyle name="常规 6 2 4 3 4 2 3 2" xfId="38937"/>
    <cellStyle name="常规 6 2 4 3 4 2 3 2 2" xfId="38838"/>
    <cellStyle name="常规 6 2 4 3 4 2 3 2 2 2" xfId="38938"/>
    <cellStyle name="常规 6 2 4 3 4 2 3 2 3" xfId="38939"/>
    <cellStyle name="常规 6 2 4 3 4 2 3 2 4" xfId="38940"/>
    <cellStyle name="常规 6 2 4 3 4 2 3 3" xfId="38941"/>
    <cellStyle name="常规 6 2 4 3 4 2 3 3 2" xfId="38942"/>
    <cellStyle name="常规 6 2 4 3 4 2 3 4" xfId="38943"/>
    <cellStyle name="常规 6 2 4 3 4 2 3 5" xfId="38944"/>
    <cellStyle name="常规 6 2 4 3 4 2 4" xfId="38945"/>
    <cellStyle name="常规 6 2 4 3 4 2 4 2" xfId="38946"/>
    <cellStyle name="常规 6 2 4 3 4 2 4 2 2" xfId="38947"/>
    <cellStyle name="常规 6 2 4 3 4 2 4 3" xfId="38948"/>
    <cellStyle name="常规 6 2 4 3 4 2 4 4" xfId="38949"/>
    <cellStyle name="常规 6 2 4 3 4 2 5" xfId="8046"/>
    <cellStyle name="常规 6 2 4 3 4 2 5 2" xfId="38950"/>
    <cellStyle name="常规 6 2 4 3 4 2 6" xfId="38951"/>
    <cellStyle name="常规 6 2 4 3 4 2 7" xfId="38952"/>
    <cellStyle name="常规 6 2 4 3 4 3" xfId="38953"/>
    <cellStyle name="常规 6 2 4 3 4 3 2" xfId="38954"/>
    <cellStyle name="常规 6 2 4 3 4 3 2 2" xfId="38955"/>
    <cellStyle name="常规 6 2 4 3 4 3 2 2 2" xfId="38956"/>
    <cellStyle name="常规 6 2 4 3 4 3 2 2 2 2" xfId="38957"/>
    <cellStyle name="常规 6 2 4 3 4 3 2 2 3" xfId="38958"/>
    <cellStyle name="常规 6 2 4 3 4 3 2 2 4" xfId="38959"/>
    <cellStyle name="常规 6 2 4 3 4 3 2 3" xfId="38960"/>
    <cellStyle name="常规 6 2 4 3 4 3 2 3 2" xfId="38961"/>
    <cellStyle name="常规 6 2 4 3 4 3 2 4" xfId="38962"/>
    <cellStyle name="常规 6 2 4 3 4 3 2 5" xfId="38963"/>
    <cellStyle name="常规 6 2 4 3 4 3 3" xfId="38964"/>
    <cellStyle name="常规 6 2 4 3 4 3 3 2" xfId="38965"/>
    <cellStyle name="常规 6 2 4 3 4 3 3 2 2" xfId="38966"/>
    <cellStyle name="常规 6 2 4 3 4 3 3 3" xfId="38967"/>
    <cellStyle name="常规 6 2 4 3 4 3 3 4" xfId="38968"/>
    <cellStyle name="常规 6 2 4 3 4 3 4" xfId="38969"/>
    <cellStyle name="常规 6 2 4 3 4 3 4 2" xfId="38970"/>
    <cellStyle name="常规 6 2 4 3 4 3 5" xfId="38971"/>
    <cellStyle name="常规 6 2 4 3 4 3 6" xfId="38972"/>
    <cellStyle name="常规 6 2 4 3 4 4" xfId="38973"/>
    <cellStyle name="常规 6 2 4 3 4 4 2" xfId="38974"/>
    <cellStyle name="常规 6 2 4 3 4 4 2 2" xfId="38975"/>
    <cellStyle name="常规 6 2 4 3 4 4 2 2 2" xfId="38976"/>
    <cellStyle name="常规 6 2 4 3 4 4 2 3" xfId="38977"/>
    <cellStyle name="常规 6 2 4 3 4 4 2 4" xfId="38978"/>
    <cellStyle name="常规 6 2 4 3 4 4 3" xfId="38979"/>
    <cellStyle name="常规 6 2 4 3 4 4 3 2" xfId="38980"/>
    <cellStyle name="常规 6 2 4 3 4 4 4" xfId="38981"/>
    <cellStyle name="常规 6 2 4 3 4 4 5" xfId="38982"/>
    <cellStyle name="常规 6 2 4 3 4 5" xfId="38983"/>
    <cellStyle name="常规 6 2 4 3 4 5 2" xfId="38984"/>
    <cellStyle name="常规 6 2 4 3 4 5 2 2" xfId="38985"/>
    <cellStyle name="常规 6 2 4 3 4 5 3" xfId="38986"/>
    <cellStyle name="常规 6 2 4 3 4 5 4" xfId="38987"/>
    <cellStyle name="常规 6 2 4 3 4 6" xfId="38988"/>
    <cellStyle name="常规 6 2 4 3 4 6 2" xfId="38989"/>
    <cellStyle name="常规 6 2 4 3 4 7" xfId="38990"/>
    <cellStyle name="常规 6 2 4 3 4 8" xfId="38991"/>
    <cellStyle name="常规 6 2 4 3 5" xfId="38992"/>
    <cellStyle name="常规 6 2 4 3 5 2" xfId="38993"/>
    <cellStyle name="常规 6 2 4 3 5 2 2" xfId="38994"/>
    <cellStyle name="常规 6 2 4 3 5 2 2 2" xfId="38995"/>
    <cellStyle name="常规 6 2 4 3 5 2 2 2 2" xfId="38996"/>
    <cellStyle name="常规 6 2 4 3 5 2 2 2 2 2" xfId="38997"/>
    <cellStyle name="常规 6 2 4 3 5 2 2 2 3" xfId="38998"/>
    <cellStyle name="常规 6 2 4 3 5 2 2 2 4" xfId="38999"/>
    <cellStyle name="常规 6 2 4 3 5 2 2 3" xfId="39000"/>
    <cellStyle name="常规 6 2 4 3 5 2 2 3 2" xfId="39001"/>
    <cellStyle name="常规 6 2 4 3 5 2 2 4" xfId="37194"/>
    <cellStyle name="常规 6 2 4 3 5 2 2 5" xfId="39002"/>
    <cellStyle name="常规 6 2 4 3 5 2 3" xfId="39003"/>
    <cellStyle name="常规 6 2 4 3 5 2 3 2" xfId="39004"/>
    <cellStyle name="常规 6 2 4 3 5 2 3 2 2" xfId="39005"/>
    <cellStyle name="常规 6 2 4 3 5 2 3 3" xfId="39006"/>
    <cellStyle name="常规 6 2 4 3 5 2 3 4" xfId="39007"/>
    <cellStyle name="常规 6 2 4 3 5 2 4" xfId="39008"/>
    <cellStyle name="常规 6 2 4 3 5 2 4 2" xfId="39009"/>
    <cellStyle name="常规 6 2 4 3 5 2 5" xfId="39010"/>
    <cellStyle name="常规 6 2 4 3 5 2 6" xfId="39011"/>
    <cellStyle name="常规 6 2 4 3 5 3" xfId="39012"/>
    <cellStyle name="常规 6 2 4 3 5 3 2" xfId="39013"/>
    <cellStyle name="常规 6 2 4 3 5 3 2 2" xfId="39014"/>
    <cellStyle name="常规 6 2 4 3 5 3 2 2 2" xfId="39015"/>
    <cellStyle name="常规 6 2 4 3 5 3 2 3" xfId="39016"/>
    <cellStyle name="常规 6 2 4 3 5 3 2 4" xfId="39017"/>
    <cellStyle name="常规 6 2 4 3 5 3 3" xfId="39018"/>
    <cellStyle name="常规 6 2 4 3 5 3 3 2" xfId="39019"/>
    <cellStyle name="常规 6 2 4 3 5 3 4" xfId="39020"/>
    <cellStyle name="常规 6 2 4 3 5 3 5" xfId="39021"/>
    <cellStyle name="常规 6 2 4 3 5 4" xfId="39022"/>
    <cellStyle name="常规 6 2 4 3 5 4 2" xfId="39023"/>
    <cellStyle name="常规 6 2 4 3 5 4 2 2" xfId="39024"/>
    <cellStyle name="常规 6 2 4 3 5 4 3" xfId="39025"/>
    <cellStyle name="常规 6 2 4 3 5 4 4" xfId="39026"/>
    <cellStyle name="常规 6 2 4 3 5 5" xfId="39027"/>
    <cellStyle name="常规 6 2 4 3 5 5 2" xfId="39028"/>
    <cellStyle name="常规 6 2 4 3 5 6" xfId="39030"/>
    <cellStyle name="常规 6 2 4 3 5 7" xfId="39032"/>
    <cellStyle name="常规 6 2 4 3 6" xfId="39033"/>
    <cellStyle name="常规 6 2 4 3 6 2" xfId="39034"/>
    <cellStyle name="常规 6 2 4 3 6 2 2" xfId="39035"/>
    <cellStyle name="常规 6 2 4 3 6 2 2 2" xfId="39036"/>
    <cellStyle name="常规 6 2 4 3 6 2 2 2 2" xfId="39037"/>
    <cellStyle name="常规 6 2 4 3 6 2 2 3" xfId="39038"/>
    <cellStyle name="常规 6 2 4 3 6 2 2 4" xfId="39039"/>
    <cellStyle name="常规 6 2 4 3 6 2 3" xfId="39040"/>
    <cellStyle name="常规 6 2 4 3 6 2 3 2" xfId="39041"/>
    <cellStyle name="常规 6 2 4 3 6 2 4" xfId="39042"/>
    <cellStyle name="常规 6 2 4 3 6 2 5" xfId="39043"/>
    <cellStyle name="常规 6 2 4 3 6 3" xfId="39044"/>
    <cellStyle name="常规 6 2 4 3 6 3 2" xfId="39045"/>
    <cellStyle name="常规 6 2 4 3 6 3 2 2" xfId="39046"/>
    <cellStyle name="常规 6 2 4 3 6 3 3" xfId="39047"/>
    <cellStyle name="常规 6 2 4 3 6 3 4" xfId="20079"/>
    <cellStyle name="常规 6 2 4 3 6 4" xfId="39048"/>
    <cellStyle name="常规 6 2 4 3 6 4 2" xfId="39049"/>
    <cellStyle name="常规 6 2 4 3 6 5" xfId="39050"/>
    <cellStyle name="常规 6 2 4 3 6 6" xfId="39052"/>
    <cellStyle name="常规 6 2 4 3 7" xfId="39053"/>
    <cellStyle name="常规 6 2 4 3 7 2" xfId="39054"/>
    <cellStyle name="常规 6 2 4 3 7 2 2" xfId="39055"/>
    <cellStyle name="常规 6 2 4 3 7 2 2 2" xfId="39056"/>
    <cellStyle name="常规 6 2 4 3 7 2 3" xfId="39057"/>
    <cellStyle name="常规 6 2 4 3 7 2 4" xfId="39058"/>
    <cellStyle name="常规 6 2 4 3 7 3" xfId="39059"/>
    <cellStyle name="常规 6 2 4 3 7 3 2" xfId="39060"/>
    <cellStyle name="常规 6 2 4 3 7 4" xfId="39061"/>
    <cellStyle name="常规 6 2 4 3 7 5" xfId="39062"/>
    <cellStyle name="常规 6 2 4 3 8" xfId="39063"/>
    <cellStyle name="常规 6 2 4 3 8 2" xfId="39064"/>
    <cellStyle name="常规 6 2 4 3 8 2 2" xfId="39065"/>
    <cellStyle name="常规 6 2 4 3 8 3" xfId="35715"/>
    <cellStyle name="常规 6 2 4 3 8 4" xfId="35718"/>
    <cellStyle name="常规 6 2 4 3 9" xfId="39066"/>
    <cellStyle name="常规 6 2 4 3 9 2" xfId="39067"/>
    <cellStyle name="常规 6 2 4 4" xfId="39069"/>
    <cellStyle name="常规 6 2 4 4 2" xfId="39071"/>
    <cellStyle name="常规 6 2 4 4 2 2" xfId="39072"/>
    <cellStyle name="常规 6 2 4 4 2 2 2" xfId="39073"/>
    <cellStyle name="常规 6 2 4 4 2 2 2 2" xfId="39074"/>
    <cellStyle name="常规 6 2 4 4 2 2 2 2 2" xfId="39075"/>
    <cellStyle name="常规 6 2 4 4 2 2 2 2 2 2" xfId="39076"/>
    <cellStyle name="常规 6 2 4 4 2 2 2 2 2 2 2" xfId="39077"/>
    <cellStyle name="常规 6 2 4 4 2 2 2 2 2 3" xfId="39078"/>
    <cellStyle name="常规 6 2 4 4 2 2 2 2 2 4" xfId="39079"/>
    <cellStyle name="常规 6 2 4 4 2 2 2 2 3" xfId="39080"/>
    <cellStyle name="常规 6 2 4 4 2 2 2 2 3 2" xfId="39081"/>
    <cellStyle name="常规 6 2 4 4 2 2 2 2 4" xfId="39082"/>
    <cellStyle name="常规 6 2 4 4 2 2 2 2 5" xfId="1833"/>
    <cellStyle name="常规 6 2 4 4 2 2 2 3" xfId="39083"/>
    <cellStyle name="常规 6 2 4 4 2 2 2 3 2" xfId="39084"/>
    <cellStyle name="常规 6 2 4 4 2 2 2 3 2 2" xfId="39085"/>
    <cellStyle name="常规 6 2 4 4 2 2 2 3 3" xfId="39086"/>
    <cellStyle name="常规 6 2 4 4 2 2 2 3 4" xfId="39087"/>
    <cellStyle name="常规 6 2 4 4 2 2 2 4" xfId="27506"/>
    <cellStyle name="常规 6 2 4 4 2 2 2 4 2" xfId="39088"/>
    <cellStyle name="常规 6 2 4 4 2 2 2 5" xfId="39089"/>
    <cellStyle name="常规 6 2 4 4 2 2 2 6" xfId="39090"/>
    <cellStyle name="常规 6 2 4 4 2 2 3" xfId="39091"/>
    <cellStyle name="常规 6 2 4 4 2 2 3 2" xfId="39092"/>
    <cellStyle name="常规 6 2 4 4 2 2 3 2 2" xfId="39093"/>
    <cellStyle name="常规 6 2 4 4 2 2 3 2 2 2" xfId="39094"/>
    <cellStyle name="常规 6 2 4 4 2 2 3 2 3" xfId="39095"/>
    <cellStyle name="常规 6 2 4 4 2 2 3 2 4" xfId="39096"/>
    <cellStyle name="常规 6 2 4 4 2 2 3 3" xfId="39097"/>
    <cellStyle name="常规 6 2 4 4 2 2 3 3 2" xfId="39098"/>
    <cellStyle name="常规 6 2 4 4 2 2 3 4" xfId="39099"/>
    <cellStyle name="常规 6 2 4 4 2 2 3 5" xfId="39100"/>
    <cellStyle name="常规 6 2 4 4 2 2 4" xfId="39101"/>
    <cellStyle name="常规 6 2 4 4 2 2 4 2" xfId="39102"/>
    <cellStyle name="常规 6 2 4 4 2 2 4 2 2" xfId="39103"/>
    <cellStyle name="常规 6 2 4 4 2 2 4 3" xfId="39104"/>
    <cellStyle name="常规 6 2 4 4 2 2 4 4" xfId="39105"/>
    <cellStyle name="常规 6 2 4 4 2 2 5" xfId="39106"/>
    <cellStyle name="常规 6 2 4 4 2 2 5 2" xfId="39107"/>
    <cellStyle name="常规 6 2 4 4 2 2 6" xfId="39108"/>
    <cellStyle name="常规 6 2 4 4 2 2 7" xfId="39109"/>
    <cellStyle name="常规 6 2 4 4 2 3" xfId="39110"/>
    <cellStyle name="常规 6 2 4 4 2 3 2" xfId="39111"/>
    <cellStyle name="常规 6 2 4 4 2 3 2 2" xfId="39112"/>
    <cellStyle name="常规 6 2 4 4 2 3 2 2 2" xfId="39113"/>
    <cellStyle name="常规 6 2 4 4 2 3 2 2 2 2" xfId="39114"/>
    <cellStyle name="常规 6 2 4 4 2 3 2 2 3" xfId="39115"/>
    <cellStyle name="常规 6 2 4 4 2 3 2 2 4" xfId="39116"/>
    <cellStyle name="常规 6 2 4 4 2 3 2 3" xfId="39117"/>
    <cellStyle name="常规 6 2 4 4 2 3 2 3 2" xfId="39118"/>
    <cellStyle name="常规 6 2 4 4 2 3 2 4" xfId="39119"/>
    <cellStyle name="常规 6 2 4 4 2 3 2 5" xfId="39120"/>
    <cellStyle name="常规 6 2 4 4 2 3 3" xfId="8092"/>
    <cellStyle name="常规 6 2 4 4 2 3 3 2" xfId="39121"/>
    <cellStyle name="常规 6 2 4 4 2 3 3 2 2" xfId="39122"/>
    <cellStyle name="常规 6 2 4 4 2 3 3 3" xfId="39123"/>
    <cellStyle name="常规 6 2 4 4 2 3 3 4" xfId="39124"/>
    <cellStyle name="常规 6 2 4 4 2 3 4" xfId="39125"/>
    <cellStyle name="常规 6 2 4 4 2 3 4 2" xfId="39126"/>
    <cellStyle name="常规 6 2 4 4 2 3 5" xfId="39127"/>
    <cellStyle name="常规 6 2 4 4 2 3 6" xfId="39128"/>
    <cellStyle name="常规 6 2 4 4 2 4" xfId="39129"/>
    <cellStyle name="常规 6 2 4 4 2 4 2" xfId="39130"/>
    <cellStyle name="常规 6 2 4 4 2 4 2 2" xfId="39131"/>
    <cellStyle name="常规 6 2 4 4 2 4 2 2 2" xfId="39132"/>
    <cellStyle name="常规 6 2 4 4 2 4 2 3" xfId="39133"/>
    <cellStyle name="常规 6 2 4 4 2 4 2 4" xfId="39134"/>
    <cellStyle name="常规 6 2 4 4 2 4 3" xfId="39135"/>
    <cellStyle name="常规 6 2 4 4 2 4 3 2" xfId="39136"/>
    <cellStyle name="常规 6 2 4 4 2 4 4" xfId="39137"/>
    <cellStyle name="常规 6 2 4 4 2 4 5" xfId="39138"/>
    <cellStyle name="常规 6 2 4 4 2 5" xfId="39139"/>
    <cellStyle name="常规 6 2 4 4 2 5 2" xfId="39140"/>
    <cellStyle name="常规 6 2 4 4 2 5 2 2" xfId="39141"/>
    <cellStyle name="常规 6 2 4 4 2 5 3" xfId="39142"/>
    <cellStyle name="常规 6 2 4 4 2 5 4" xfId="39143"/>
    <cellStyle name="常规 6 2 4 4 2 6" xfId="39144"/>
    <cellStyle name="常规 6 2 4 4 2 6 2" xfId="39145"/>
    <cellStyle name="常规 6 2 4 4 2 7" xfId="39146"/>
    <cellStyle name="常规 6 2 4 4 2 8" xfId="39147"/>
    <cellStyle name="常规 6 2 4 4 3" xfId="39148"/>
    <cellStyle name="常规 6 2 4 4 3 2" xfId="39149"/>
    <cellStyle name="常规 6 2 4 4 3 2 2" xfId="39150"/>
    <cellStyle name="常规 6 2 4 4 3 2 2 2" xfId="39151"/>
    <cellStyle name="常规 6 2 4 4 3 2 2 2 2" xfId="39153"/>
    <cellStyle name="常规 6 2 4 4 3 2 2 2 2 2" xfId="39154"/>
    <cellStyle name="常规 6 2 4 4 3 2 2 2 3" xfId="39155"/>
    <cellStyle name="常规 6 2 4 4 3 2 2 2 4" xfId="39156"/>
    <cellStyle name="常规 6 2 4 4 3 2 2 3" xfId="39157"/>
    <cellStyle name="常规 6 2 4 4 3 2 2 3 2" xfId="39158"/>
    <cellStyle name="常规 6 2 4 4 3 2 2 4" xfId="39159"/>
    <cellStyle name="常规 6 2 4 4 3 2 2 5" xfId="39160"/>
    <cellStyle name="常规 6 2 4 4 3 2 3" xfId="39161"/>
    <cellStyle name="常规 6 2 4 4 3 2 3 2" xfId="39162"/>
    <cellStyle name="常规 6 2 4 4 3 2 3 2 2" xfId="39164"/>
    <cellStyle name="常规 6 2 4 4 3 2 3 3" xfId="39165"/>
    <cellStyle name="常规 6 2 4 4 3 2 3 4" xfId="39166"/>
    <cellStyle name="常规 6 2 4 4 3 2 4" xfId="39167"/>
    <cellStyle name="常规 6 2 4 4 3 2 4 2" xfId="39168"/>
    <cellStyle name="常规 6 2 4 4 3 2 5" xfId="8119"/>
    <cellStyle name="常规 6 2 4 4 3 2 6" xfId="39169"/>
    <cellStyle name="常规 6 2 4 4 3 3" xfId="39170"/>
    <cellStyle name="常规 6 2 4 4 3 3 2" xfId="39171"/>
    <cellStyle name="常规 6 2 4 4 3 3 2 2" xfId="39172"/>
    <cellStyle name="常规 6 2 4 4 3 3 2 2 2" xfId="39173"/>
    <cellStyle name="常规 6 2 4 4 3 3 2 3" xfId="39174"/>
    <cellStyle name="常规 6 2 4 4 3 3 2 4" xfId="39175"/>
    <cellStyle name="常规 6 2 4 4 3 3 3" xfId="39176"/>
    <cellStyle name="常规 6 2 4 4 3 3 3 2" xfId="39177"/>
    <cellStyle name="常规 6 2 4 4 3 3 4" xfId="39178"/>
    <cellStyle name="常规 6 2 4 4 3 3 5" xfId="39179"/>
    <cellStyle name="常规 6 2 4 4 3 4" xfId="39180"/>
    <cellStyle name="常规 6 2 4 4 3 4 2" xfId="39181"/>
    <cellStyle name="常规 6 2 4 4 3 4 2 2" xfId="39182"/>
    <cellStyle name="常规 6 2 4 4 3 4 3" xfId="39183"/>
    <cellStyle name="常规 6 2 4 4 3 4 4" xfId="39184"/>
    <cellStyle name="常规 6 2 4 4 3 5" xfId="39185"/>
    <cellStyle name="常规 6 2 4 4 3 5 2" xfId="39186"/>
    <cellStyle name="常规 6 2 4 4 3 6" xfId="39187"/>
    <cellStyle name="常规 6 2 4 4 3 7" xfId="39188"/>
    <cellStyle name="常规 6 2 4 4 4" xfId="39189"/>
    <cellStyle name="常规 6 2 4 4 4 2" xfId="39190"/>
    <cellStyle name="常规 6 2 4 4 4 2 2" xfId="39191"/>
    <cellStyle name="常规 6 2 4 4 4 2 2 2" xfId="8498"/>
    <cellStyle name="常规 6 2 4 4 4 2 2 2 2" xfId="39192"/>
    <cellStyle name="常规 6 2 4 4 4 2 2 3" xfId="8507"/>
    <cellStyle name="常规 6 2 4 4 4 2 2 4" xfId="39193"/>
    <cellStyle name="常规 6 2 4 4 4 2 3" xfId="39194"/>
    <cellStyle name="常规 6 2 4 4 4 2 3 2" xfId="39195"/>
    <cellStyle name="常规 6 2 4 4 4 2 4" xfId="39196"/>
    <cellStyle name="常规 6 2 4 4 4 2 5" xfId="39197"/>
    <cellStyle name="常规 6 2 4 4 4 3" xfId="39198"/>
    <cellStyle name="常规 6 2 4 4 4 3 2" xfId="39199"/>
    <cellStyle name="常规 6 2 4 4 4 3 2 2" xfId="39200"/>
    <cellStyle name="常规 6 2 4 4 4 3 3" xfId="39201"/>
    <cellStyle name="常规 6 2 4 4 4 3 4" xfId="39202"/>
    <cellStyle name="常规 6 2 4 4 4 4" xfId="39203"/>
    <cellStyle name="常规 6 2 4 4 4 4 2" xfId="39204"/>
    <cellStyle name="常规 6 2 4 4 4 5" xfId="39205"/>
    <cellStyle name="常规 6 2 4 4 4 6" xfId="39206"/>
    <cellStyle name="常规 6 2 4 4 5" xfId="39207"/>
    <cellStyle name="常规 6 2 4 4 5 2" xfId="39208"/>
    <cellStyle name="常规 6 2 4 4 5 2 2" xfId="39209"/>
    <cellStyle name="常规 6 2 4 4 5 2 2 2" xfId="39210"/>
    <cellStyle name="常规 6 2 4 4 5 2 3" xfId="8559"/>
    <cellStyle name="常规 6 2 4 4 5 2 4" xfId="39211"/>
    <cellStyle name="常规 6 2 4 4 5 3" xfId="39212"/>
    <cellStyle name="常规 6 2 4 4 5 3 2" xfId="39213"/>
    <cellStyle name="常规 6 2 4 4 5 4" xfId="39214"/>
    <cellStyle name="常规 6 2 4 4 5 5" xfId="39215"/>
    <cellStyle name="常规 6 2 4 4 6" xfId="39216"/>
    <cellStyle name="常规 6 2 4 4 6 2" xfId="39217"/>
    <cellStyle name="常规 6 2 4 4 6 2 2" xfId="39218"/>
    <cellStyle name="常规 6 2 4 4 6 3" xfId="39219"/>
    <cellStyle name="常规 6 2 4 4 6 4" xfId="39220"/>
    <cellStyle name="常规 6 2 4 4 7" xfId="39221"/>
    <cellStyle name="常规 6 2 4 4 7 2" xfId="39222"/>
    <cellStyle name="常规 6 2 4 4 8" xfId="39223"/>
    <cellStyle name="常规 6 2 4 4 9" xfId="39224"/>
    <cellStyle name="常规 6 2 4 5" xfId="39226"/>
    <cellStyle name="常规 6 2 4 5 2" xfId="39227"/>
    <cellStyle name="常规 6 2 4 5 2 2" xfId="39228"/>
    <cellStyle name="常规 6 2 4 5 2 2 2" xfId="39229"/>
    <cellStyle name="常规 6 2 4 5 2 2 2 2" xfId="39230"/>
    <cellStyle name="常规 6 2 4 5 2 2 2 2 2" xfId="39231"/>
    <cellStyle name="常规 6 2 4 5 2 2 2 2 2 2" xfId="39232"/>
    <cellStyle name="常规 6 2 4 5 2 2 2 2 2 2 2" xfId="39233"/>
    <cellStyle name="常规 6 2 4 5 2 2 2 2 2 3" xfId="39234"/>
    <cellStyle name="常规 6 2 4 5 2 2 2 2 2 4" xfId="39235"/>
    <cellStyle name="常规 6 2 4 5 2 2 2 2 3" xfId="39236"/>
    <cellStyle name="常规 6 2 4 5 2 2 2 2 3 2" xfId="39237"/>
    <cellStyle name="常规 6 2 4 5 2 2 2 2 4" xfId="39238"/>
    <cellStyle name="常规 6 2 4 5 2 2 2 2 5" xfId="39239"/>
    <cellStyle name="常规 6 2 4 5 2 2 2 3" xfId="39240"/>
    <cellStyle name="常规 6 2 4 5 2 2 2 3 2" xfId="39241"/>
    <cellStyle name="常规 6 2 4 5 2 2 2 3 2 2" xfId="39242"/>
    <cellStyle name="常规 6 2 4 5 2 2 2 3 3" xfId="39243"/>
    <cellStyle name="常规 6 2 4 5 2 2 2 3 4" xfId="39244"/>
    <cellStyle name="常规 6 2 4 5 2 2 2 4" xfId="1266"/>
    <cellStyle name="常规 6 2 4 5 2 2 2 4 2" xfId="39245"/>
    <cellStyle name="常规 6 2 4 5 2 2 2 5" xfId="39246"/>
    <cellStyle name="常规 6 2 4 5 2 2 2 6" xfId="39247"/>
    <cellStyle name="常规 6 2 4 5 2 2 3" xfId="39248"/>
    <cellStyle name="常规 6 2 4 5 2 2 3 2" xfId="39249"/>
    <cellStyle name="常规 6 2 4 5 2 2 3 2 2" xfId="39250"/>
    <cellStyle name="常规 6 2 4 5 2 2 3 2 2 2" xfId="39252"/>
    <cellStyle name="常规 6 2 4 5 2 2 3 2 3" xfId="39253"/>
    <cellStyle name="常规 6 2 4 5 2 2 3 2 4" xfId="39254"/>
    <cellStyle name="常规 6 2 4 5 2 2 3 3" xfId="39255"/>
    <cellStyle name="常规 6 2 4 5 2 2 3 3 2" xfId="39256"/>
    <cellStyle name="常规 6 2 4 5 2 2 3 4" xfId="39257"/>
    <cellStyle name="常规 6 2 4 5 2 2 3 5" xfId="39258"/>
    <cellStyle name="常规 6 2 4 5 2 2 4" xfId="39259"/>
    <cellStyle name="常规 6 2 4 5 2 2 4 2" xfId="39260"/>
    <cellStyle name="常规 6 2 4 5 2 2 4 2 2" xfId="39261"/>
    <cellStyle name="常规 6 2 4 5 2 2 4 3" xfId="39262"/>
    <cellStyle name="常规 6 2 4 5 2 2 4 4" xfId="39263"/>
    <cellStyle name="常规 6 2 4 5 2 2 5" xfId="39264"/>
    <cellStyle name="常规 6 2 4 5 2 2 5 2" xfId="39265"/>
    <cellStyle name="常规 6 2 4 5 2 2 6" xfId="39266"/>
    <cellStyle name="常规 6 2 4 5 2 2 7" xfId="39267"/>
    <cellStyle name="常规 6 2 4 5 2 3" xfId="39268"/>
    <cellStyle name="常规 6 2 4 5 2 3 2" xfId="39269"/>
    <cellStyle name="常规 6 2 4 5 2 3 2 2" xfId="39270"/>
    <cellStyle name="常规 6 2 4 5 2 3 2 2 2" xfId="39271"/>
    <cellStyle name="常规 6 2 4 5 2 3 2 2 2 2" xfId="39272"/>
    <cellStyle name="常规 6 2 4 5 2 3 2 2 3" xfId="39273"/>
    <cellStyle name="常规 6 2 4 5 2 3 2 2 4" xfId="39274"/>
    <cellStyle name="常规 6 2 4 5 2 3 2 3" xfId="39275"/>
    <cellStyle name="常规 6 2 4 5 2 3 2 3 2" xfId="39276"/>
    <cellStyle name="常规 6 2 4 5 2 3 2 4" xfId="39277"/>
    <cellStyle name="常规 6 2 4 5 2 3 2 5" xfId="39278"/>
    <cellStyle name="常规 6 2 4 5 2 3 3" xfId="39279"/>
    <cellStyle name="常规 6 2 4 5 2 3 3 2" xfId="39280"/>
    <cellStyle name="常规 6 2 4 5 2 3 3 2 2" xfId="39281"/>
    <cellStyle name="常规 6 2 4 5 2 3 3 3" xfId="39282"/>
    <cellStyle name="常规 6 2 4 5 2 3 3 4" xfId="39283"/>
    <cellStyle name="常规 6 2 4 5 2 3 4" xfId="39284"/>
    <cellStyle name="常规 6 2 4 5 2 3 4 2" xfId="39285"/>
    <cellStyle name="常规 6 2 4 5 2 3 5" xfId="39286"/>
    <cellStyle name="常规 6 2 4 5 2 3 6" xfId="39287"/>
    <cellStyle name="常规 6 2 4 5 2 4" xfId="39288"/>
    <cellStyle name="常规 6 2 4 5 2 4 2" xfId="39289"/>
    <cellStyle name="常规 6 2 4 5 2 4 2 2" xfId="29190"/>
    <cellStyle name="常规 6 2 4 5 2 4 2 2 2" xfId="39290"/>
    <cellStyle name="常规 6 2 4 5 2 4 2 3" xfId="29192"/>
    <cellStyle name="常规 6 2 4 5 2 4 2 4" xfId="39291"/>
    <cellStyle name="常规 6 2 4 5 2 4 3" xfId="39292"/>
    <cellStyle name="常规 6 2 4 5 2 4 3 2" xfId="14495"/>
    <cellStyle name="常规 6 2 4 5 2 4 4" xfId="39293"/>
    <cellStyle name="常规 6 2 4 5 2 4 5" xfId="39294"/>
    <cellStyle name="常规 6 2 4 5 2 5" xfId="39295"/>
    <cellStyle name="常规 6 2 4 5 2 5 2" xfId="39296"/>
    <cellStyle name="常规 6 2 4 5 2 5 2 2" xfId="29204"/>
    <cellStyle name="常规 6 2 4 5 2 5 3" xfId="39297"/>
    <cellStyle name="常规 6 2 4 5 2 5 4" xfId="39298"/>
    <cellStyle name="常规 6 2 4 5 2 6" xfId="39299"/>
    <cellStyle name="常规 6 2 4 5 2 6 2" xfId="39300"/>
    <cellStyle name="常规 6 2 4 5 2 7" xfId="39301"/>
    <cellStyle name="常规 6 2 4 5 2 8" xfId="39302"/>
    <cellStyle name="常规 6 2 4 5 3" xfId="39303"/>
    <cellStyle name="常规 6 2 4 5 3 2" xfId="39304"/>
    <cellStyle name="常规 6 2 4 5 3 2 2" xfId="39305"/>
    <cellStyle name="常规 6 2 4 5 3 2 2 2" xfId="39306"/>
    <cellStyle name="常规 6 2 4 5 3 2 2 2 2" xfId="39307"/>
    <cellStyle name="常规 6 2 4 5 3 2 2 2 2 2" xfId="21149"/>
    <cellStyle name="常规 6 2 4 5 3 2 2 2 3" xfId="39308"/>
    <cellStyle name="常规 6 2 4 5 3 2 2 2 4" xfId="39309"/>
    <cellStyle name="常规 6 2 4 5 3 2 2 3" xfId="39310"/>
    <cellStyle name="常规 6 2 4 5 3 2 2 3 2" xfId="39311"/>
    <cellStyle name="常规 6 2 4 5 3 2 2 4" xfId="39312"/>
    <cellStyle name="常规 6 2 4 5 3 2 2 5" xfId="39313"/>
    <cellStyle name="常规 6 2 4 5 3 2 3" xfId="39314"/>
    <cellStyle name="常规 6 2 4 5 3 2 3 2" xfId="39315"/>
    <cellStyle name="常规 6 2 4 5 3 2 3 2 2" xfId="39316"/>
    <cellStyle name="常规 6 2 4 5 3 2 3 3" xfId="39317"/>
    <cellStyle name="常规 6 2 4 5 3 2 3 4" xfId="39318"/>
    <cellStyle name="常规 6 2 4 5 3 2 4" xfId="6442"/>
    <cellStyle name="常规 6 2 4 5 3 2 4 2" xfId="39319"/>
    <cellStyle name="常规 6 2 4 5 3 2 5" xfId="39320"/>
    <cellStyle name="常规 6 2 4 5 3 2 6" xfId="39321"/>
    <cellStyle name="常规 6 2 4 5 3 3" xfId="39322"/>
    <cellStyle name="常规 6 2 4 5 3 3 2" xfId="39323"/>
    <cellStyle name="常规 6 2 4 5 3 3 2 2" xfId="39324"/>
    <cellStyle name="常规 6 2 4 5 3 3 2 2 2" xfId="39325"/>
    <cellStyle name="常规 6 2 4 5 3 3 2 3" xfId="39326"/>
    <cellStyle name="常规 6 2 4 5 3 3 2 4" xfId="39327"/>
    <cellStyle name="常规 6 2 4 5 3 3 3" xfId="39328"/>
    <cellStyle name="常规 6 2 4 5 3 3 3 2" xfId="39329"/>
    <cellStyle name="常规 6 2 4 5 3 3 4" xfId="39330"/>
    <cellStyle name="常规 6 2 4 5 3 3 5" xfId="39331"/>
    <cellStyle name="常规 6 2 4 5 3 4" xfId="39332"/>
    <cellStyle name="常规 6 2 4 5 3 4 2" xfId="39333"/>
    <cellStyle name="常规 6 2 4 5 3 4 2 2" xfId="29219"/>
    <cellStyle name="常规 6 2 4 5 3 4 3" xfId="39334"/>
    <cellStyle name="常规 6 2 4 5 3 4 4" xfId="39335"/>
    <cellStyle name="常规 6 2 4 5 3 5" xfId="39336"/>
    <cellStyle name="常规 6 2 4 5 3 5 2" xfId="39337"/>
    <cellStyle name="常规 6 2 4 5 3 6" xfId="39338"/>
    <cellStyle name="常规 6 2 4 5 3 7" xfId="39339"/>
    <cellStyle name="常规 6 2 4 5 4" xfId="39340"/>
    <cellStyle name="常规 6 2 4 5 4 2" xfId="39341"/>
    <cellStyle name="常规 6 2 4 5 4 2 2" xfId="39342"/>
    <cellStyle name="常规 6 2 4 5 4 2 2 2" xfId="39343"/>
    <cellStyle name="常规 6 2 4 5 4 2 2 2 2" xfId="39344"/>
    <cellStyle name="常规 6 2 4 5 4 2 2 3" xfId="39345"/>
    <cellStyle name="常规 6 2 4 5 4 2 2 4" xfId="39346"/>
    <cellStyle name="常规 6 2 4 5 4 2 3" xfId="39347"/>
    <cellStyle name="常规 6 2 4 5 4 2 3 2" xfId="39348"/>
    <cellStyle name="常规 6 2 4 5 4 2 4" xfId="39349"/>
    <cellStyle name="常规 6 2 4 5 4 2 5" xfId="39350"/>
    <cellStyle name="常规 6 2 4 5 4 3" xfId="39351"/>
    <cellStyle name="常规 6 2 4 5 4 3 2" xfId="39352"/>
    <cellStyle name="常规 6 2 4 5 4 3 2 2" xfId="39353"/>
    <cellStyle name="常规 6 2 4 5 4 3 3" xfId="39354"/>
    <cellStyle name="常规 6 2 4 5 4 3 4" xfId="39355"/>
    <cellStyle name="常规 6 2 4 5 4 4" xfId="39356"/>
    <cellStyle name="常规 6 2 4 5 4 4 2" xfId="39357"/>
    <cellStyle name="常规 6 2 4 5 4 5" xfId="39358"/>
    <cellStyle name="常规 6 2 4 5 4 6" xfId="39359"/>
    <cellStyle name="常规 6 2 4 5 5" xfId="2832"/>
    <cellStyle name="常规 6 2 4 5 5 2" xfId="8653"/>
    <cellStyle name="常规 6 2 4 5 5 2 2" xfId="8657"/>
    <cellStyle name="常规 6 2 4 5 5 2 2 2" xfId="39360"/>
    <cellStyle name="常规 6 2 4 5 5 2 3" xfId="39361"/>
    <cellStyle name="常规 6 2 4 5 5 2 4" xfId="39362"/>
    <cellStyle name="常规 6 2 4 5 5 3" xfId="8662"/>
    <cellStyle name="常规 6 2 4 5 5 3 2" xfId="39363"/>
    <cellStyle name="常规 6 2 4 5 5 4" xfId="4511"/>
    <cellStyle name="常规 6 2 4 5 5 5" xfId="39364"/>
    <cellStyle name="常规 6 2 4 5 6" xfId="8666"/>
    <cellStyle name="常规 6 2 4 5 6 2" xfId="8671"/>
    <cellStyle name="常规 6 2 4 5 6 2 2" xfId="39365"/>
    <cellStyle name="常规 6 2 4 5 6 3" xfId="39366"/>
    <cellStyle name="常规 6 2 4 5 6 4" xfId="39367"/>
    <cellStyle name="常规 6 2 4 5 7" xfId="8676"/>
    <cellStyle name="常规 6 2 4 5 7 2" xfId="39368"/>
    <cellStyle name="常规 6 2 4 5 8" xfId="8681"/>
    <cellStyle name="常规 6 2 4 5 9" xfId="39369"/>
    <cellStyle name="常规 6 2 4 6" xfId="39371"/>
    <cellStyle name="常规 6 2 4 6 2" xfId="39372"/>
    <cellStyle name="常规 6 2 4 6 2 2" xfId="39373"/>
    <cellStyle name="常规 6 2 4 6 2 2 2" xfId="39374"/>
    <cellStyle name="常规 6 2 4 6 2 2 2 2" xfId="39375"/>
    <cellStyle name="常规 6 2 4 6 2 2 2 2 2" xfId="39376"/>
    <cellStyle name="常规 6 2 4 6 2 2 2 2 2 2" xfId="39377"/>
    <cellStyle name="常规 6 2 4 6 2 2 2 2 3" xfId="39378"/>
    <cellStyle name="常规 6 2 4 6 2 2 2 2 4" xfId="39379"/>
    <cellStyle name="常规 6 2 4 6 2 2 2 3" xfId="39380"/>
    <cellStyle name="常规 6 2 4 6 2 2 2 3 2" xfId="39381"/>
    <cellStyle name="常规 6 2 4 6 2 2 2 4" xfId="39382"/>
    <cellStyle name="常规 6 2 4 6 2 2 2 5" xfId="39383"/>
    <cellStyle name="常规 6 2 4 6 2 2 3" xfId="39384"/>
    <cellStyle name="常规 6 2 4 6 2 2 3 2" xfId="39385"/>
    <cellStyle name="常规 6 2 4 6 2 2 3 2 2" xfId="39386"/>
    <cellStyle name="常规 6 2 4 6 2 2 3 3" xfId="39387"/>
    <cellStyle name="常规 6 2 4 6 2 2 3 4" xfId="39388"/>
    <cellStyle name="常规 6 2 4 6 2 2 4" xfId="39389"/>
    <cellStyle name="常规 6 2 4 6 2 2 4 2" xfId="39390"/>
    <cellStyle name="常规 6 2 4 6 2 2 5" xfId="39391"/>
    <cellStyle name="常规 6 2 4 6 2 2 6" xfId="39392"/>
    <cellStyle name="常规 6 2 4 6 2 3" xfId="39393"/>
    <cellStyle name="常规 6 2 4 6 2 3 2" xfId="39394"/>
    <cellStyle name="常规 6 2 4 6 2 3 2 2" xfId="39395"/>
    <cellStyle name="常规 6 2 4 6 2 3 2 2 2" xfId="39396"/>
    <cellStyle name="常规 6 2 4 6 2 3 2 3" xfId="39397"/>
    <cellStyle name="常规 6 2 4 6 2 3 2 4" xfId="39398"/>
    <cellStyle name="常规 6 2 4 6 2 3 3" xfId="39399"/>
    <cellStyle name="常规 6 2 4 6 2 3 3 2" xfId="39400"/>
    <cellStyle name="常规 6 2 4 6 2 3 4" xfId="39401"/>
    <cellStyle name="常规 6 2 4 6 2 3 5" xfId="39402"/>
    <cellStyle name="常规 6 2 4 6 2 4" xfId="4714"/>
    <cellStyle name="常规 6 2 4 6 2 4 2" xfId="4719"/>
    <cellStyle name="常规 6 2 4 6 2 4 2 2" xfId="4219"/>
    <cellStyle name="常规 6 2 4 6 2 4 3" xfId="3240"/>
    <cellStyle name="常规 6 2 4 6 2 4 4" xfId="4725"/>
    <cellStyle name="常规 6 2 4 6 2 5" xfId="4728"/>
    <cellStyle name="常规 6 2 4 6 2 5 2" xfId="4731"/>
    <cellStyle name="常规 6 2 4 6 2 6" xfId="4742"/>
    <cellStyle name="常规 6 2 4 6 2 7" xfId="4750"/>
    <cellStyle name="常规 6 2 4 6 3" xfId="39403"/>
    <cellStyle name="常规 6 2 4 6 3 2" xfId="39404"/>
    <cellStyle name="常规 6 2 4 6 3 2 2" xfId="39405"/>
    <cellStyle name="常规 6 2 4 6 3 2 2 2" xfId="39406"/>
    <cellStyle name="常规 6 2 4 6 3 2 2 2 2" xfId="39407"/>
    <cellStyle name="常规 6 2 4 6 3 2 2 3" xfId="39408"/>
    <cellStyle name="常规 6 2 4 6 3 2 2 4" xfId="39409"/>
    <cellStyle name="常规 6 2 4 6 3 2 3" xfId="39410"/>
    <cellStyle name="常规 6 2 4 6 3 2 3 2" xfId="39411"/>
    <cellStyle name="常规 6 2 4 6 3 2 4" xfId="39412"/>
    <cellStyle name="常规 6 2 4 6 3 2 5" xfId="39413"/>
    <cellStyle name="常规 6 2 4 6 3 3" xfId="39414"/>
    <cellStyle name="常规 6 2 4 6 3 3 2" xfId="39415"/>
    <cellStyle name="常规 6 2 4 6 3 3 2 2" xfId="39416"/>
    <cellStyle name="常规 6 2 4 6 3 3 3" xfId="39417"/>
    <cellStyle name="常规 6 2 4 6 3 3 4" xfId="39418"/>
    <cellStyle name="常规 6 2 4 6 3 4" xfId="4765"/>
    <cellStyle name="常规 6 2 4 6 3 4 2" xfId="4770"/>
    <cellStyle name="常规 6 2 4 6 3 5" xfId="4780"/>
    <cellStyle name="常规 6 2 4 6 3 6" xfId="4792"/>
    <cellStyle name="常规 6 2 4 6 4" xfId="39419"/>
    <cellStyle name="常规 6 2 4 6 4 2" xfId="39420"/>
    <cellStyle name="常规 6 2 4 6 4 2 2" xfId="39421"/>
    <cellStyle name="常规 6 2 4 6 4 2 2 2" xfId="39422"/>
    <cellStyle name="常规 6 2 4 6 4 2 3" xfId="39423"/>
    <cellStyle name="常规 6 2 4 6 4 2 4" xfId="39424"/>
    <cellStyle name="常规 6 2 4 6 4 3" xfId="39425"/>
    <cellStyle name="常规 6 2 4 6 4 3 2" xfId="39426"/>
    <cellStyle name="常规 6 2 4 6 4 4" xfId="4810"/>
    <cellStyle name="常规 6 2 4 6 4 5" xfId="4817"/>
    <cellStyle name="常规 6 2 4 6 5" xfId="7265"/>
    <cellStyle name="常规 6 2 4 6 5 2" xfId="1895"/>
    <cellStyle name="常规 6 2 4 6 5 2 2" xfId="39427"/>
    <cellStyle name="常规 6 2 4 6 5 3" xfId="39428"/>
    <cellStyle name="常规 6 2 4 6 5 4" xfId="369"/>
    <cellStyle name="常规 6 2 4 6 6" xfId="1984"/>
    <cellStyle name="常规 6 2 4 6 6 2" xfId="39429"/>
    <cellStyle name="常规 6 2 4 6 7" xfId="2017"/>
    <cellStyle name="常规 6 2 4 6 8" xfId="39430"/>
    <cellStyle name="常规 6 2 4 7" xfId="39431"/>
    <cellStyle name="常规 6 2 4 7 2" xfId="39432"/>
    <cellStyle name="常规 6 2 4 7 2 2" xfId="39433"/>
    <cellStyle name="常规 6 2 4 7 2 2 2" xfId="2890"/>
    <cellStyle name="常规 6 2 4 7 2 2 2 2" xfId="2894"/>
    <cellStyle name="常规 6 2 4 7 2 2 2 2 2" xfId="12743"/>
    <cellStyle name="常规 6 2 4 7 2 2 2 3" xfId="12839"/>
    <cellStyle name="常规 6 2 4 7 2 2 2 4" xfId="12875"/>
    <cellStyle name="常规 6 2 4 7 2 2 3" xfId="2899"/>
    <cellStyle name="常规 6 2 4 7 2 2 3 2" xfId="12909"/>
    <cellStyle name="常规 6 2 4 7 2 2 4" xfId="2903"/>
    <cellStyle name="常规 6 2 4 7 2 2 5" xfId="13041"/>
    <cellStyle name="常规 6 2 4 7 2 3" xfId="39434"/>
    <cellStyle name="常规 6 2 4 7 2 3 2" xfId="2918"/>
    <cellStyle name="常规 6 2 4 7 2 3 2 2" xfId="2923"/>
    <cellStyle name="常规 6 2 4 7 2 3 3" xfId="2930"/>
    <cellStyle name="常规 6 2 4 7 2 3 4" xfId="2934"/>
    <cellStyle name="常规 6 2 4 7 2 4" xfId="2338"/>
    <cellStyle name="常规 6 2 4 7 2 4 2" xfId="2345"/>
    <cellStyle name="常规 6 2 4 7 2 5" xfId="2359"/>
    <cellStyle name="常规 6 2 4 7 2 6" xfId="2372"/>
    <cellStyle name="常规 6 2 4 7 3" xfId="39435"/>
    <cellStyle name="常规 6 2 4 7 3 2" xfId="39436"/>
    <cellStyle name="常规 6 2 4 7 3 2 2" xfId="39437"/>
    <cellStyle name="常规 6 2 4 7 3 2 2 2" xfId="39438"/>
    <cellStyle name="常规 6 2 4 7 3 2 3" xfId="39439"/>
    <cellStyle name="常规 6 2 4 7 3 2 4" xfId="39440"/>
    <cellStyle name="常规 6 2 4 7 3 3" xfId="39441"/>
    <cellStyle name="常规 6 2 4 7 3 3 2" xfId="39442"/>
    <cellStyle name="常规 6 2 4 7 3 4" xfId="507"/>
    <cellStyle name="常规 6 2 4 7 3 5" xfId="525"/>
    <cellStyle name="常规 6 2 4 7 4" xfId="39443"/>
    <cellStyle name="常规 6 2 4 7 4 2" xfId="39444"/>
    <cellStyle name="常规 6 2 4 7 4 2 2" xfId="39445"/>
    <cellStyle name="常规 6 2 4 7 4 3" xfId="39446"/>
    <cellStyle name="常规 6 2 4 7 4 4" xfId="1940"/>
    <cellStyle name="常规 6 2 4 7 5" xfId="7288"/>
    <cellStyle name="常规 6 2 4 7 5 2" xfId="39447"/>
    <cellStyle name="常规 6 2 4 7 6" xfId="39448"/>
    <cellStyle name="常规 6 2 4 7 7" xfId="39449"/>
    <cellStyle name="常规 6 2 4 8" xfId="39450"/>
    <cellStyle name="常规 6 2 4 8 2" xfId="39451"/>
    <cellStyle name="常规 6 2 4 8 2 2" xfId="39452"/>
    <cellStyle name="常规 6 2 4 8 2 2 2" xfId="39453"/>
    <cellStyle name="常规 6 2 4 8 2 2 2 2" xfId="17466"/>
    <cellStyle name="常规 6 2 4 8 2 2 3" xfId="39455"/>
    <cellStyle name="常规 6 2 4 8 2 2 4" xfId="39457"/>
    <cellStyle name="常规 6 2 4 8 2 3" xfId="39458"/>
    <cellStyle name="常规 6 2 4 8 2 3 2" xfId="39459"/>
    <cellStyle name="常规 6 2 4 8 2 4" xfId="4862"/>
    <cellStyle name="常规 6 2 4 8 2 5" xfId="757"/>
    <cellStyle name="常规 6 2 4 8 3" xfId="39460"/>
    <cellStyle name="常规 6 2 4 8 3 2" xfId="39461"/>
    <cellStyle name="常规 6 2 4 8 3 2 2" xfId="39462"/>
    <cellStyle name="常规 6 2 4 8 3 3" xfId="39463"/>
    <cellStyle name="常规 6 2 4 8 3 4" xfId="4877"/>
    <cellStyle name="常规 6 2 4 8 4" xfId="39464"/>
    <cellStyle name="常规 6 2 4 8 4 2" xfId="39465"/>
    <cellStyle name="常规 6 2 4 8 5" xfId="7305"/>
    <cellStyle name="常规 6 2 4 8 6" xfId="39466"/>
    <cellStyle name="常规 6 2 4 9" xfId="39467"/>
    <cellStyle name="常规 6 2 4 9 2" xfId="39468"/>
    <cellStyle name="常规 6 2 4 9 2 2" xfId="39469"/>
    <cellStyle name="常规 6 2 4 9 2 2 2" xfId="39470"/>
    <cellStyle name="常规 6 2 4 9 2 3" xfId="39471"/>
    <cellStyle name="常规 6 2 4 9 2 4" xfId="4901"/>
    <cellStyle name="常规 6 2 4 9 3" xfId="39472"/>
    <cellStyle name="常规 6 2 4 9 3 2" xfId="39473"/>
    <cellStyle name="常规 6 2 4 9 4" xfId="39474"/>
    <cellStyle name="常规 6 2 4 9 5" xfId="39475"/>
    <cellStyle name="常规 6 2 5" xfId="39476"/>
    <cellStyle name="常规 6 2 5 10" xfId="39477"/>
    <cellStyle name="常规 6 2 5 10 2" xfId="39478"/>
    <cellStyle name="常规 6 2 5 11" xfId="39479"/>
    <cellStyle name="常规 6 2 5 12" xfId="39480"/>
    <cellStyle name="常规 6 2 5 2" xfId="39482"/>
    <cellStyle name="常规 6 2 5 2 10" xfId="39483"/>
    <cellStyle name="常规 6 2 5 2 11" xfId="39484"/>
    <cellStyle name="常规 6 2 5 2 2" xfId="39486"/>
    <cellStyle name="常规 6 2 5 2 2 2" xfId="39488"/>
    <cellStyle name="常规 6 2 5 2 2 2 2" xfId="39490"/>
    <cellStyle name="常规 6 2 5 2 2 2 2 2" xfId="39491"/>
    <cellStyle name="常规 6 2 5 2 2 2 2 2 2" xfId="39492"/>
    <cellStyle name="常规 6 2 5 2 2 2 2 2 2 2" xfId="39493"/>
    <cellStyle name="常规 6 2 5 2 2 2 2 2 2 2 2" xfId="39494"/>
    <cellStyle name="常规 6 2 5 2 2 2 2 2 2 2 2 2" xfId="39495"/>
    <cellStyle name="常规 6 2 5 2 2 2 2 2 2 2 3" xfId="39496"/>
    <cellStyle name="常规 6 2 5 2 2 2 2 2 2 2 4" xfId="39497"/>
    <cellStyle name="常规 6 2 5 2 2 2 2 2 2 3" xfId="39498"/>
    <cellStyle name="常规 6 2 5 2 2 2 2 2 2 3 2" xfId="39499"/>
    <cellStyle name="常规 6 2 5 2 2 2 2 2 2 4" xfId="37874"/>
    <cellStyle name="常规 6 2 5 2 2 2 2 2 2 5" xfId="39500"/>
    <cellStyle name="常规 6 2 5 2 2 2 2 2 3" xfId="39501"/>
    <cellStyle name="常规 6 2 5 2 2 2 2 2 3 2" xfId="39502"/>
    <cellStyle name="常规 6 2 5 2 2 2 2 2 3 2 2" xfId="39503"/>
    <cellStyle name="常规 6 2 5 2 2 2 2 2 3 3" xfId="39504"/>
    <cellStyle name="常规 6 2 5 2 2 2 2 2 3 4" xfId="39505"/>
    <cellStyle name="常规 6 2 5 2 2 2 2 2 4" xfId="39506"/>
    <cellStyle name="常规 6 2 5 2 2 2 2 2 4 2" xfId="39507"/>
    <cellStyle name="常规 6 2 5 2 2 2 2 2 5" xfId="39508"/>
    <cellStyle name="常规 6 2 5 2 2 2 2 2 6" xfId="39509"/>
    <cellStyle name="常规 6 2 5 2 2 2 2 3" xfId="39510"/>
    <cellStyle name="常规 6 2 5 2 2 2 2 3 2" xfId="39511"/>
    <cellStyle name="常规 6 2 5 2 2 2 2 3 2 2" xfId="39512"/>
    <cellStyle name="常规 6 2 5 2 2 2 2 3 2 2 2" xfId="39513"/>
    <cellStyle name="常规 6 2 5 2 2 2 2 3 2 3" xfId="16575"/>
    <cellStyle name="常规 6 2 5 2 2 2 2 3 2 4" xfId="9691"/>
    <cellStyle name="常规 6 2 5 2 2 2 2 3 3" xfId="39514"/>
    <cellStyle name="常规 6 2 5 2 2 2 2 3 3 2" xfId="39515"/>
    <cellStyle name="常规 6 2 5 2 2 2 2 3 4" xfId="39516"/>
    <cellStyle name="常规 6 2 5 2 2 2 2 3 5" xfId="39517"/>
    <cellStyle name="常规 6 2 5 2 2 2 2 4" xfId="30988"/>
    <cellStyle name="常规 6 2 5 2 2 2 2 4 2" xfId="30990"/>
    <cellStyle name="常规 6 2 5 2 2 2 2 4 2 2" xfId="15255"/>
    <cellStyle name="常规 6 2 5 2 2 2 2 4 3" xfId="30992"/>
    <cellStyle name="常规 6 2 5 2 2 2 2 4 4" xfId="30883"/>
    <cellStyle name="常规 6 2 5 2 2 2 2 5" xfId="30994"/>
    <cellStyle name="常规 6 2 5 2 2 2 2 5 2" xfId="30996"/>
    <cellStyle name="常规 6 2 5 2 2 2 2 6" xfId="30998"/>
    <cellStyle name="常规 6 2 5 2 2 2 2 7" xfId="31000"/>
    <cellStyle name="常规 6 2 5 2 2 2 3" xfId="39518"/>
    <cellStyle name="常规 6 2 5 2 2 2 3 2" xfId="39519"/>
    <cellStyle name="常规 6 2 5 2 2 2 3 2 2" xfId="39520"/>
    <cellStyle name="常规 6 2 5 2 2 2 3 2 2 2" xfId="39521"/>
    <cellStyle name="常规 6 2 5 2 2 2 3 2 2 2 2" xfId="39522"/>
    <cellStyle name="常规 6 2 5 2 2 2 3 2 2 3" xfId="39523"/>
    <cellStyle name="常规 6 2 5 2 2 2 3 2 2 4" xfId="39524"/>
    <cellStyle name="常规 6 2 5 2 2 2 3 2 3" xfId="39525"/>
    <cellStyle name="常规 6 2 5 2 2 2 3 2 3 2" xfId="39526"/>
    <cellStyle name="常规 6 2 5 2 2 2 3 2 4" xfId="39527"/>
    <cellStyle name="常规 6 2 5 2 2 2 3 2 5" xfId="39528"/>
    <cellStyle name="常规 6 2 5 2 2 2 3 3" xfId="39529"/>
    <cellStyle name="常规 6 2 5 2 2 2 3 3 2" xfId="39530"/>
    <cellStyle name="常规 6 2 5 2 2 2 3 3 2 2" xfId="39531"/>
    <cellStyle name="常规 6 2 5 2 2 2 3 3 3" xfId="39532"/>
    <cellStyle name="常规 6 2 5 2 2 2 3 3 4" xfId="39533"/>
    <cellStyle name="常规 6 2 5 2 2 2 3 4" xfId="8729"/>
    <cellStyle name="常规 6 2 5 2 2 2 3 4 2" xfId="31003"/>
    <cellStyle name="常规 6 2 5 2 2 2 3 5" xfId="8734"/>
    <cellStyle name="常规 6 2 5 2 2 2 3 6" xfId="31005"/>
    <cellStyle name="常规 6 2 5 2 2 2 4" xfId="8739"/>
    <cellStyle name="常规 6 2 5 2 2 2 4 2" xfId="8743"/>
    <cellStyle name="常规 6 2 5 2 2 2 4 2 2" xfId="39534"/>
    <cellStyle name="常规 6 2 5 2 2 2 4 2 2 2" xfId="39535"/>
    <cellStyle name="常规 6 2 5 2 2 2 4 2 3" xfId="39536"/>
    <cellStyle name="常规 6 2 5 2 2 2 4 2 4" xfId="39537"/>
    <cellStyle name="常规 6 2 5 2 2 2 4 3" xfId="39538"/>
    <cellStyle name="常规 6 2 5 2 2 2 4 3 2" xfId="39539"/>
    <cellStyle name="常规 6 2 5 2 2 2 4 4" xfId="8751"/>
    <cellStyle name="常规 6 2 5 2 2 2 4 5" xfId="39540"/>
    <cellStyle name="常规 6 2 5 2 2 2 5" xfId="8755"/>
    <cellStyle name="常规 6 2 5 2 2 2 5 2" xfId="39541"/>
    <cellStyle name="常规 6 2 5 2 2 2 5 2 2" xfId="39542"/>
    <cellStyle name="常规 6 2 5 2 2 2 5 3" xfId="39543"/>
    <cellStyle name="常规 6 2 5 2 2 2 5 4" xfId="39544"/>
    <cellStyle name="常规 6 2 5 2 2 2 6" xfId="8760"/>
    <cellStyle name="常规 6 2 5 2 2 2 6 2" xfId="39545"/>
    <cellStyle name="常规 6 2 5 2 2 2 7" xfId="39546"/>
    <cellStyle name="常规 6 2 5 2 2 2 8" xfId="39547"/>
    <cellStyle name="常规 6 2 5 2 2 3" xfId="39549"/>
    <cellStyle name="常规 6 2 5 2 2 3 2" xfId="39550"/>
    <cellStyle name="常规 6 2 5 2 2 3 2 2" xfId="39551"/>
    <cellStyle name="常规 6 2 5 2 2 3 2 2 2" xfId="39552"/>
    <cellStyle name="常规 6 2 5 2 2 3 2 2 2 2" xfId="39553"/>
    <cellStyle name="常规 6 2 5 2 2 3 2 2 2 2 2" xfId="39554"/>
    <cellStyle name="常规 6 2 5 2 2 3 2 2 2 3" xfId="39555"/>
    <cellStyle name="常规 6 2 5 2 2 3 2 2 2 4" xfId="38026"/>
    <cellStyle name="常规 6 2 5 2 2 3 2 2 3" xfId="39556"/>
    <cellStyle name="常规 6 2 5 2 2 3 2 2 3 2" xfId="39557"/>
    <cellStyle name="常规 6 2 5 2 2 3 2 2 4" xfId="39558"/>
    <cellStyle name="常规 6 2 5 2 2 3 2 2 5" xfId="39559"/>
    <cellStyle name="常规 6 2 5 2 2 3 2 3" xfId="39560"/>
    <cellStyle name="常规 6 2 5 2 2 3 2 3 2" xfId="39561"/>
    <cellStyle name="常规 6 2 5 2 2 3 2 3 2 2" xfId="39562"/>
    <cellStyle name="常规 6 2 5 2 2 3 2 3 3" xfId="39563"/>
    <cellStyle name="常规 6 2 5 2 2 3 2 3 4" xfId="39564"/>
    <cellStyle name="常规 6 2 5 2 2 3 2 4" xfId="16888"/>
    <cellStyle name="常规 6 2 5 2 2 3 2 4 2" xfId="11445"/>
    <cellStyle name="常规 6 2 5 2 2 3 2 5" xfId="1407"/>
    <cellStyle name="常规 6 2 5 2 2 3 2 6" xfId="31010"/>
    <cellStyle name="常规 6 2 5 2 2 3 3" xfId="39565"/>
    <cellStyle name="常规 6 2 5 2 2 3 3 2" xfId="39566"/>
    <cellStyle name="常规 6 2 5 2 2 3 3 2 2" xfId="39567"/>
    <cellStyle name="常规 6 2 5 2 2 3 3 2 2 2" xfId="39568"/>
    <cellStyle name="常规 6 2 5 2 2 3 3 2 3" xfId="39569"/>
    <cellStyle name="常规 6 2 5 2 2 3 3 2 4" xfId="39570"/>
    <cellStyle name="常规 6 2 5 2 2 3 3 3" xfId="39571"/>
    <cellStyle name="常规 6 2 5 2 2 3 3 3 2" xfId="39572"/>
    <cellStyle name="常规 6 2 5 2 2 3 3 4" xfId="6003"/>
    <cellStyle name="常规 6 2 5 2 2 3 3 5" xfId="39573"/>
    <cellStyle name="常规 6 2 5 2 2 3 4" xfId="8767"/>
    <cellStyle name="常规 6 2 5 2 2 3 4 2" xfId="39574"/>
    <cellStyle name="常规 6 2 5 2 2 3 4 2 2" xfId="39576"/>
    <cellStyle name="常规 6 2 5 2 2 3 4 3" xfId="39577"/>
    <cellStyle name="常规 6 2 5 2 2 3 4 4" xfId="39578"/>
    <cellStyle name="常规 6 2 5 2 2 3 5" xfId="39579"/>
    <cellStyle name="常规 6 2 5 2 2 3 5 2" xfId="39580"/>
    <cellStyle name="常规 6 2 5 2 2 3 6" xfId="39581"/>
    <cellStyle name="常规 6 2 5 2 2 3 7" xfId="39582"/>
    <cellStyle name="常规 6 2 5 2 2 4" xfId="39584"/>
    <cellStyle name="常规 6 2 5 2 2 4 2" xfId="39585"/>
    <cellStyle name="常规 6 2 5 2 2 4 2 2" xfId="39586"/>
    <cellStyle name="常规 6 2 5 2 2 4 2 2 2" xfId="39587"/>
    <cellStyle name="常规 6 2 5 2 2 4 2 2 2 2" xfId="39588"/>
    <cellStyle name="常规 6 2 5 2 2 4 2 2 3" xfId="39589"/>
    <cellStyle name="常规 6 2 5 2 2 4 2 2 4" xfId="39590"/>
    <cellStyle name="常规 6 2 5 2 2 4 2 3" xfId="39591"/>
    <cellStyle name="常规 6 2 5 2 2 4 2 3 2" xfId="39592"/>
    <cellStyle name="常规 6 2 5 2 2 4 2 4" xfId="16896"/>
    <cellStyle name="常规 6 2 5 2 2 4 2 5" xfId="39593"/>
    <cellStyle name="常规 6 2 5 2 2 4 3" xfId="39594"/>
    <cellStyle name="常规 6 2 5 2 2 4 3 2" xfId="39595"/>
    <cellStyle name="常规 6 2 5 2 2 4 3 2 2" xfId="39596"/>
    <cellStyle name="常规 6 2 5 2 2 4 3 3" xfId="39597"/>
    <cellStyle name="常规 6 2 5 2 2 4 3 4" xfId="39598"/>
    <cellStyle name="常规 6 2 5 2 2 4 4" xfId="39599"/>
    <cellStyle name="常规 6 2 5 2 2 4 4 2" xfId="39600"/>
    <cellStyle name="常规 6 2 5 2 2 4 5" xfId="39601"/>
    <cellStyle name="常规 6 2 5 2 2 4 6" xfId="39602"/>
    <cellStyle name="常规 6 2 5 2 2 5" xfId="39603"/>
    <cellStyle name="常规 6 2 5 2 2 5 2" xfId="39604"/>
    <cellStyle name="常规 6 2 5 2 2 5 2 2" xfId="39605"/>
    <cellStyle name="常规 6 2 5 2 2 5 2 2 2" xfId="39606"/>
    <cellStyle name="常规 6 2 5 2 2 5 2 3" xfId="39607"/>
    <cellStyle name="常规 6 2 5 2 2 5 2 4" xfId="39608"/>
    <cellStyle name="常规 6 2 5 2 2 5 3" xfId="39609"/>
    <cellStyle name="常规 6 2 5 2 2 5 3 2" xfId="39610"/>
    <cellStyle name="常规 6 2 5 2 2 5 4" xfId="39611"/>
    <cellStyle name="常规 6 2 5 2 2 5 5" xfId="39612"/>
    <cellStyle name="常规 6 2 5 2 2 6" xfId="39613"/>
    <cellStyle name="常规 6 2 5 2 2 6 2" xfId="39614"/>
    <cellStyle name="常规 6 2 5 2 2 6 2 2" xfId="39615"/>
    <cellStyle name="常规 6 2 5 2 2 6 3" xfId="39616"/>
    <cellStyle name="常规 6 2 5 2 2 6 4" xfId="39617"/>
    <cellStyle name="常规 6 2 5 2 2 7" xfId="39618"/>
    <cellStyle name="常规 6 2 5 2 2 7 2" xfId="39619"/>
    <cellStyle name="常规 6 2 5 2 2 8" xfId="39620"/>
    <cellStyle name="常规 6 2 5 2 2 9" xfId="39621"/>
    <cellStyle name="常规 6 2 5 2 3" xfId="39623"/>
    <cellStyle name="常规 6 2 5 2 3 2" xfId="39625"/>
    <cellStyle name="常规 6 2 5 2 3 2 2" xfId="39626"/>
    <cellStyle name="常规 6 2 5 2 3 2 2 2" xfId="39627"/>
    <cellStyle name="常规 6 2 5 2 3 2 2 2 2" xfId="39628"/>
    <cellStyle name="常规 6 2 5 2 3 2 2 2 2 2" xfId="39629"/>
    <cellStyle name="常规 6 2 5 2 3 2 2 2 2 2 2" xfId="39631"/>
    <cellStyle name="常规 6 2 5 2 3 2 2 2 2 2 2 2" xfId="39632"/>
    <cellStyle name="常规 6 2 5 2 3 2 2 2 2 2 3" xfId="39633"/>
    <cellStyle name="常规 6 2 5 2 3 2 2 2 2 2 4" xfId="39634"/>
    <cellStyle name="常规 6 2 5 2 3 2 2 2 2 3" xfId="39635"/>
    <cellStyle name="常规 6 2 5 2 3 2 2 2 2 3 2" xfId="39636"/>
    <cellStyle name="常规 6 2 5 2 3 2 2 2 2 4" xfId="7196"/>
    <cellStyle name="常规 6 2 5 2 3 2 2 2 2 5" xfId="6861"/>
    <cellStyle name="常规 6 2 5 2 3 2 2 2 3" xfId="39637"/>
    <cellStyle name="常规 6 2 5 2 3 2 2 2 3 2" xfId="39638"/>
    <cellStyle name="常规 6 2 5 2 3 2 2 2 3 2 2" xfId="39639"/>
    <cellStyle name="常规 6 2 5 2 3 2 2 2 3 3" xfId="39640"/>
    <cellStyle name="常规 6 2 5 2 3 2 2 2 3 4" xfId="7214"/>
    <cellStyle name="常规 6 2 5 2 3 2 2 2 4" xfId="39641"/>
    <cellStyle name="常规 6 2 5 2 3 2 2 2 4 2" xfId="39642"/>
    <cellStyle name="常规 6 2 5 2 3 2 2 2 5" xfId="39643"/>
    <cellStyle name="常规 6 2 5 2 3 2 2 2 6" xfId="39644"/>
    <cellStyle name="常规 6 2 5 2 3 2 2 3" xfId="39645"/>
    <cellStyle name="常规 6 2 5 2 3 2 2 3 2" xfId="39646"/>
    <cellStyle name="常规 6 2 5 2 3 2 2 3 2 2" xfId="39647"/>
    <cellStyle name="常规 6 2 5 2 3 2 2 3 2 2 2" xfId="39648"/>
    <cellStyle name="常规 6 2 5 2 3 2 2 3 2 3" xfId="39649"/>
    <cellStyle name="常规 6 2 5 2 3 2 2 3 2 4" xfId="3933"/>
    <cellStyle name="常规 6 2 5 2 3 2 2 3 3" xfId="39650"/>
    <cellStyle name="常规 6 2 5 2 3 2 2 3 3 2" xfId="39651"/>
    <cellStyle name="常规 6 2 5 2 3 2 2 3 4" xfId="39652"/>
    <cellStyle name="常规 6 2 5 2 3 2 2 3 5" xfId="39653"/>
    <cellStyle name="常规 6 2 5 2 3 2 2 4" xfId="31088"/>
    <cellStyle name="常规 6 2 5 2 3 2 2 4 2" xfId="31092"/>
    <cellStyle name="常规 6 2 5 2 3 2 2 4 2 2" xfId="39654"/>
    <cellStyle name="常规 6 2 5 2 3 2 2 4 3" xfId="39655"/>
    <cellStyle name="常规 6 2 5 2 3 2 2 4 4" xfId="39656"/>
    <cellStyle name="常规 6 2 5 2 3 2 2 5" xfId="31094"/>
    <cellStyle name="常规 6 2 5 2 3 2 2 5 2" xfId="39657"/>
    <cellStyle name="常规 6 2 5 2 3 2 2 6" xfId="31096"/>
    <cellStyle name="常规 6 2 5 2 3 2 2 7" xfId="39658"/>
    <cellStyle name="常规 6 2 5 2 3 2 3" xfId="39659"/>
    <cellStyle name="常规 6 2 5 2 3 2 3 2" xfId="39660"/>
    <cellStyle name="常规 6 2 5 2 3 2 3 2 2" xfId="1274"/>
    <cellStyle name="常规 6 2 5 2 3 2 3 2 2 2" xfId="39661"/>
    <cellStyle name="常规 6 2 5 2 3 2 3 2 2 2 2" xfId="39663"/>
    <cellStyle name="常规 6 2 5 2 3 2 3 2 2 3" xfId="39664"/>
    <cellStyle name="常规 6 2 5 2 3 2 3 2 2 4" xfId="8186"/>
    <cellStyle name="常规 6 2 5 2 3 2 3 2 3" xfId="39665"/>
    <cellStyle name="常规 6 2 5 2 3 2 3 2 3 2" xfId="39666"/>
    <cellStyle name="常规 6 2 5 2 3 2 3 2 4" xfId="39667"/>
    <cellStyle name="常规 6 2 5 2 3 2 3 2 5" xfId="39668"/>
    <cellStyle name="常规 6 2 5 2 3 2 3 3" xfId="39669"/>
    <cellStyle name="常规 6 2 5 2 3 2 3 3 2" xfId="39670"/>
    <cellStyle name="常规 6 2 5 2 3 2 3 3 2 2" xfId="39671"/>
    <cellStyle name="常规 6 2 5 2 3 2 3 3 3" xfId="39672"/>
    <cellStyle name="常规 6 2 5 2 3 2 3 3 4" xfId="39673"/>
    <cellStyle name="常规 6 2 5 2 3 2 3 4" xfId="8798"/>
    <cellStyle name="常规 6 2 5 2 3 2 3 4 2" xfId="39674"/>
    <cellStyle name="常规 6 2 5 2 3 2 3 5" xfId="39675"/>
    <cellStyle name="常规 6 2 5 2 3 2 3 6" xfId="39676"/>
    <cellStyle name="常规 6 2 5 2 3 2 4" xfId="8801"/>
    <cellStyle name="常规 6 2 5 2 3 2 4 2" xfId="39677"/>
    <cellStyle name="常规 6 2 5 2 3 2 4 2 2" xfId="39678"/>
    <cellStyle name="常规 6 2 5 2 3 2 4 2 2 2" xfId="39679"/>
    <cellStyle name="常规 6 2 5 2 3 2 4 2 3" xfId="39680"/>
    <cellStyle name="常规 6 2 5 2 3 2 4 2 4" xfId="39681"/>
    <cellStyle name="常规 6 2 5 2 3 2 4 3" xfId="39682"/>
    <cellStyle name="常规 6 2 5 2 3 2 4 3 2" xfId="39683"/>
    <cellStyle name="常规 6 2 5 2 3 2 4 4" xfId="39684"/>
    <cellStyle name="常规 6 2 5 2 3 2 4 5" xfId="39686"/>
    <cellStyle name="常规 6 2 5 2 3 2 5" xfId="39687"/>
    <cellStyle name="常规 6 2 5 2 3 2 5 2" xfId="39688"/>
    <cellStyle name="常规 6 2 5 2 3 2 5 2 2" xfId="39689"/>
    <cellStyle name="常规 6 2 5 2 3 2 5 3" xfId="39690"/>
    <cellStyle name="常规 6 2 5 2 3 2 5 4" xfId="39691"/>
    <cellStyle name="常规 6 2 5 2 3 2 6" xfId="39692"/>
    <cellStyle name="常规 6 2 5 2 3 2 6 2" xfId="26014"/>
    <cellStyle name="常规 6 2 5 2 3 2 7" xfId="39693"/>
    <cellStyle name="常规 6 2 5 2 3 2 8" xfId="39694"/>
    <cellStyle name="常规 6 2 5 2 3 3" xfId="39695"/>
    <cellStyle name="常规 6 2 5 2 3 3 2" xfId="39696"/>
    <cellStyle name="常规 6 2 5 2 3 3 2 2" xfId="39697"/>
    <cellStyle name="常规 6 2 5 2 3 3 2 2 2" xfId="39698"/>
    <cellStyle name="常规 6 2 5 2 3 3 2 2 2 2" xfId="39699"/>
    <cellStyle name="常规 6 2 5 2 3 3 2 2 2 2 2" xfId="3595"/>
    <cellStyle name="常规 6 2 5 2 3 3 2 2 2 3" xfId="39700"/>
    <cellStyle name="常规 6 2 5 2 3 3 2 2 2 4" xfId="39701"/>
    <cellStyle name="常规 6 2 5 2 3 3 2 2 3" xfId="39702"/>
    <cellStyle name="常规 6 2 5 2 3 3 2 2 3 2" xfId="39703"/>
    <cellStyle name="常规 6 2 5 2 3 3 2 2 4" xfId="39704"/>
    <cellStyle name="常规 6 2 5 2 3 3 2 2 5" xfId="39705"/>
    <cellStyle name="常规 6 2 5 2 3 3 2 3" xfId="39706"/>
    <cellStyle name="常规 6 2 5 2 3 3 2 3 2" xfId="39707"/>
    <cellStyle name="常规 6 2 5 2 3 3 2 3 2 2" xfId="39708"/>
    <cellStyle name="常规 6 2 5 2 3 3 2 3 3" xfId="39709"/>
    <cellStyle name="常规 6 2 5 2 3 3 2 3 4" xfId="39710"/>
    <cellStyle name="常规 6 2 5 2 3 3 2 4" xfId="16915"/>
    <cellStyle name="常规 6 2 5 2 3 3 2 4 2" xfId="39711"/>
    <cellStyle name="常规 6 2 5 2 3 3 2 5" xfId="39712"/>
    <cellStyle name="常规 6 2 5 2 3 3 2 6" xfId="39713"/>
    <cellStyle name="常规 6 2 5 2 3 3 3" xfId="39714"/>
    <cellStyle name="常规 6 2 5 2 3 3 3 2" xfId="39715"/>
    <cellStyle name="常规 6 2 5 2 3 3 3 2 2" xfId="39716"/>
    <cellStyle name="常规 6 2 5 2 3 3 3 2 2 2" xfId="39717"/>
    <cellStyle name="常规 6 2 5 2 3 3 3 2 3" xfId="39718"/>
    <cellStyle name="常规 6 2 5 2 3 3 3 2 4" xfId="39719"/>
    <cellStyle name="常规 6 2 5 2 3 3 3 3" xfId="39720"/>
    <cellStyle name="常规 6 2 5 2 3 3 3 3 2" xfId="39721"/>
    <cellStyle name="常规 6 2 5 2 3 3 3 4" xfId="39722"/>
    <cellStyle name="常规 6 2 5 2 3 3 3 5" xfId="39723"/>
    <cellStyle name="常规 6 2 5 2 3 3 4" xfId="39724"/>
    <cellStyle name="常规 6 2 5 2 3 3 4 2" xfId="39725"/>
    <cellStyle name="常规 6 2 5 2 3 3 4 2 2" xfId="39727"/>
    <cellStyle name="常规 6 2 5 2 3 3 4 3" xfId="39728"/>
    <cellStyle name="常规 6 2 5 2 3 3 4 4" xfId="39729"/>
    <cellStyle name="常规 6 2 5 2 3 3 5" xfId="39730"/>
    <cellStyle name="常规 6 2 5 2 3 3 5 2" xfId="39731"/>
    <cellStyle name="常规 6 2 5 2 3 3 6" xfId="39732"/>
    <cellStyle name="常规 6 2 5 2 3 3 7" xfId="39733"/>
    <cellStyle name="常规 6 2 5 2 3 4" xfId="39734"/>
    <cellStyle name="常规 6 2 5 2 3 4 2" xfId="39735"/>
    <cellStyle name="常规 6 2 5 2 3 4 2 2" xfId="39736"/>
    <cellStyle name="常规 6 2 5 2 3 4 2 2 2" xfId="39737"/>
    <cellStyle name="常规 6 2 5 2 3 4 2 2 2 2" xfId="39738"/>
    <cellStyle name="常规 6 2 5 2 3 4 2 2 3" xfId="39739"/>
    <cellStyle name="常规 6 2 5 2 3 4 2 2 4" xfId="39740"/>
    <cellStyle name="常规 6 2 5 2 3 4 2 3" xfId="39741"/>
    <cellStyle name="常规 6 2 5 2 3 4 2 3 2" xfId="39742"/>
    <cellStyle name="常规 6 2 5 2 3 4 2 4" xfId="39743"/>
    <cellStyle name="常规 6 2 5 2 3 4 2 5" xfId="39744"/>
    <cellStyle name="常规 6 2 5 2 3 4 3" xfId="39745"/>
    <cellStyle name="常规 6 2 5 2 3 4 3 2" xfId="39746"/>
    <cellStyle name="常规 6 2 5 2 3 4 3 2 2" xfId="39747"/>
    <cellStyle name="常规 6 2 5 2 3 4 3 3" xfId="39748"/>
    <cellStyle name="常规 6 2 5 2 3 4 3 4" xfId="39749"/>
    <cellStyle name="常规 6 2 5 2 3 4 4" xfId="39750"/>
    <cellStyle name="常规 6 2 5 2 3 4 4 2" xfId="39751"/>
    <cellStyle name="常规 6 2 5 2 3 4 5" xfId="39752"/>
    <cellStyle name="常规 6 2 5 2 3 4 6" xfId="39753"/>
    <cellStyle name="常规 6 2 5 2 3 5" xfId="16922"/>
    <cellStyle name="常规 6 2 5 2 3 5 2" xfId="16925"/>
    <cellStyle name="常规 6 2 5 2 3 5 2 2" xfId="39754"/>
    <cellStyle name="常规 6 2 5 2 3 5 2 2 2" xfId="39755"/>
    <cellStyle name="常规 6 2 5 2 3 5 2 3" xfId="39756"/>
    <cellStyle name="常规 6 2 5 2 3 5 2 4" xfId="39757"/>
    <cellStyle name="常规 6 2 5 2 3 5 3" xfId="39758"/>
    <cellStyle name="常规 6 2 5 2 3 5 3 2" xfId="39759"/>
    <cellStyle name="常规 6 2 5 2 3 5 4" xfId="39760"/>
    <cellStyle name="常规 6 2 5 2 3 5 5" xfId="39761"/>
    <cellStyle name="常规 6 2 5 2 3 6" xfId="16928"/>
    <cellStyle name="常规 6 2 5 2 3 6 2" xfId="39762"/>
    <cellStyle name="常规 6 2 5 2 3 6 2 2" xfId="39763"/>
    <cellStyle name="常规 6 2 5 2 3 6 3" xfId="39764"/>
    <cellStyle name="常规 6 2 5 2 3 6 4" xfId="39765"/>
    <cellStyle name="常规 6 2 5 2 3 7" xfId="16931"/>
    <cellStyle name="常规 6 2 5 2 3 7 2" xfId="39766"/>
    <cellStyle name="常规 6 2 5 2 3 8" xfId="39767"/>
    <cellStyle name="常规 6 2 5 2 3 9" xfId="39768"/>
    <cellStyle name="常规 6 2 5 2 4" xfId="39770"/>
    <cellStyle name="常规 6 2 5 2 4 2" xfId="39771"/>
    <cellStyle name="常规 6 2 5 2 4 2 2" xfId="39772"/>
    <cellStyle name="常规 6 2 5 2 4 2 2 2" xfId="39773"/>
    <cellStyle name="常规 6 2 5 2 4 2 2 2 2" xfId="39774"/>
    <cellStyle name="常规 6 2 5 2 4 2 2 2 2 2" xfId="39775"/>
    <cellStyle name="常规 6 2 5 2 4 2 2 2 2 2 2" xfId="39776"/>
    <cellStyle name="常规 6 2 5 2 4 2 2 2 2 3" xfId="39777"/>
    <cellStyle name="常规 6 2 5 2 4 2 2 2 2 4" xfId="39778"/>
    <cellStyle name="常规 6 2 5 2 4 2 2 2 3" xfId="39779"/>
    <cellStyle name="常规 6 2 5 2 4 2 2 2 3 2" xfId="39780"/>
    <cellStyle name="常规 6 2 5 2 4 2 2 2 4" xfId="39781"/>
    <cellStyle name="常规 6 2 5 2 4 2 2 2 5" xfId="39782"/>
    <cellStyle name="常规 6 2 5 2 4 2 2 3" xfId="39783"/>
    <cellStyle name="常规 6 2 5 2 4 2 2 3 2" xfId="39784"/>
    <cellStyle name="常规 6 2 5 2 4 2 2 3 2 2" xfId="1976"/>
    <cellStyle name="常规 6 2 5 2 4 2 2 3 3" xfId="39785"/>
    <cellStyle name="常规 6 2 5 2 4 2 2 3 4" xfId="39786"/>
    <cellStyle name="常规 6 2 5 2 4 2 2 4" xfId="2270"/>
    <cellStyle name="常规 6 2 5 2 4 2 2 4 2" xfId="39787"/>
    <cellStyle name="常规 6 2 5 2 4 2 2 5" xfId="39788"/>
    <cellStyle name="常规 6 2 5 2 4 2 2 6" xfId="39789"/>
    <cellStyle name="常规 6 2 5 2 4 2 3" xfId="39790"/>
    <cellStyle name="常规 6 2 5 2 4 2 3 2" xfId="5582"/>
    <cellStyle name="常规 6 2 5 2 4 2 3 2 2" xfId="39791"/>
    <cellStyle name="常规 6 2 5 2 4 2 3 2 2 2" xfId="39792"/>
    <cellStyle name="常规 6 2 5 2 4 2 3 2 3" xfId="39793"/>
    <cellStyle name="常规 6 2 5 2 4 2 3 2 4" xfId="39794"/>
    <cellStyle name="常规 6 2 5 2 4 2 3 3" xfId="39795"/>
    <cellStyle name="常规 6 2 5 2 4 2 3 3 2" xfId="39796"/>
    <cellStyle name="常规 6 2 5 2 4 2 3 4" xfId="39797"/>
    <cellStyle name="常规 6 2 5 2 4 2 3 5" xfId="39798"/>
    <cellStyle name="常规 6 2 5 2 4 2 4" xfId="39799"/>
    <cellStyle name="常规 6 2 5 2 4 2 4 2" xfId="39800"/>
    <cellStyle name="常规 6 2 5 2 4 2 4 2 2" xfId="39801"/>
    <cellStyle name="常规 6 2 5 2 4 2 4 3" xfId="39802"/>
    <cellStyle name="常规 6 2 5 2 4 2 4 4" xfId="39803"/>
    <cellStyle name="常规 6 2 5 2 4 2 5" xfId="39804"/>
    <cellStyle name="常规 6 2 5 2 4 2 5 2" xfId="39805"/>
    <cellStyle name="常规 6 2 5 2 4 2 6" xfId="39806"/>
    <cellStyle name="常规 6 2 5 2 4 2 7" xfId="4970"/>
    <cellStyle name="常规 6 2 5 2 4 3" xfId="39807"/>
    <cellStyle name="常规 6 2 5 2 4 3 2" xfId="39808"/>
    <cellStyle name="常规 6 2 5 2 4 3 2 2" xfId="39809"/>
    <cellStyle name="常规 6 2 5 2 4 3 2 2 2" xfId="39810"/>
    <cellStyle name="常规 6 2 5 2 4 3 2 2 2 2" xfId="39811"/>
    <cellStyle name="常规 6 2 5 2 4 3 2 2 3" xfId="39812"/>
    <cellStyle name="常规 6 2 5 2 4 3 2 2 4" xfId="39813"/>
    <cellStyle name="常规 6 2 5 2 4 3 2 3" xfId="39814"/>
    <cellStyle name="常规 6 2 5 2 4 3 2 3 2" xfId="39815"/>
    <cellStyle name="常规 6 2 5 2 4 3 2 4" xfId="39816"/>
    <cellStyle name="常规 6 2 5 2 4 3 2 5" xfId="39817"/>
    <cellStyle name="常规 6 2 5 2 4 3 3" xfId="39818"/>
    <cellStyle name="常规 6 2 5 2 4 3 3 2" xfId="39819"/>
    <cellStyle name="常规 6 2 5 2 4 3 3 2 2" xfId="39820"/>
    <cellStyle name="常规 6 2 5 2 4 3 3 3" xfId="39821"/>
    <cellStyle name="常规 6 2 5 2 4 3 3 4" xfId="39822"/>
    <cellStyle name="常规 6 2 5 2 4 3 4" xfId="39823"/>
    <cellStyle name="常规 6 2 5 2 4 3 4 2" xfId="39824"/>
    <cellStyle name="常规 6 2 5 2 4 3 5" xfId="39825"/>
    <cellStyle name="常规 6 2 5 2 4 3 6" xfId="39826"/>
    <cellStyle name="常规 6 2 5 2 4 4" xfId="39827"/>
    <cellStyle name="常规 6 2 5 2 4 4 2" xfId="39828"/>
    <cellStyle name="常规 6 2 5 2 4 4 2 2" xfId="39829"/>
    <cellStyle name="常规 6 2 5 2 4 4 2 2 2" xfId="39830"/>
    <cellStyle name="常规 6 2 5 2 4 4 2 3" xfId="39831"/>
    <cellStyle name="常规 6 2 5 2 4 4 2 4" xfId="39832"/>
    <cellStyle name="常规 6 2 5 2 4 4 3" xfId="39833"/>
    <cellStyle name="常规 6 2 5 2 4 4 3 2" xfId="39834"/>
    <cellStyle name="常规 6 2 5 2 4 4 4" xfId="39835"/>
    <cellStyle name="常规 6 2 5 2 4 4 5" xfId="39836"/>
    <cellStyle name="常规 6 2 5 2 4 5" xfId="16936"/>
    <cellStyle name="常规 6 2 5 2 4 5 2" xfId="39837"/>
    <cellStyle name="常规 6 2 5 2 4 5 2 2" xfId="39838"/>
    <cellStyle name="常规 6 2 5 2 4 5 3" xfId="39839"/>
    <cellStyle name="常规 6 2 5 2 4 5 4" xfId="39840"/>
    <cellStyle name="常规 6 2 5 2 4 6" xfId="39841"/>
    <cellStyle name="常规 6 2 5 2 4 6 2" xfId="39842"/>
    <cellStyle name="常规 6 2 5 2 4 7" xfId="39843"/>
    <cellStyle name="常规 6 2 5 2 4 8" xfId="39844"/>
    <cellStyle name="常规 6 2 5 2 5" xfId="39846"/>
    <cellStyle name="常规 6 2 5 2 5 2" xfId="39847"/>
    <cellStyle name="常规 6 2 5 2 5 2 2" xfId="39848"/>
    <cellStyle name="常规 6 2 5 2 5 2 2 2" xfId="39849"/>
    <cellStyle name="常规 6 2 5 2 5 2 2 2 2" xfId="39850"/>
    <cellStyle name="常规 6 2 5 2 5 2 2 2 2 2" xfId="39851"/>
    <cellStyle name="常规 6 2 5 2 5 2 2 2 3" xfId="39852"/>
    <cellStyle name="常规 6 2 5 2 5 2 2 2 4" xfId="39853"/>
    <cellStyle name="常规 6 2 5 2 5 2 2 3" xfId="39854"/>
    <cellStyle name="常规 6 2 5 2 5 2 2 3 2" xfId="39855"/>
    <cellStyle name="常规 6 2 5 2 5 2 2 4" xfId="5741"/>
    <cellStyle name="常规 6 2 5 2 5 2 2 5" xfId="37265"/>
    <cellStyle name="常规 6 2 5 2 5 2 3" xfId="39856"/>
    <cellStyle name="常规 6 2 5 2 5 2 3 2" xfId="39857"/>
    <cellStyle name="常规 6 2 5 2 5 2 3 2 2" xfId="39858"/>
    <cellStyle name="常规 6 2 5 2 5 2 3 3" xfId="39859"/>
    <cellStyle name="常规 6 2 5 2 5 2 3 4" xfId="37268"/>
    <cellStyle name="常规 6 2 5 2 5 2 4" xfId="39860"/>
    <cellStyle name="常规 6 2 5 2 5 2 4 2" xfId="16178"/>
    <cellStyle name="常规 6 2 5 2 5 2 5" xfId="39861"/>
    <cellStyle name="常规 6 2 5 2 5 2 6" xfId="39862"/>
    <cellStyle name="常规 6 2 5 2 5 3" xfId="39863"/>
    <cellStyle name="常规 6 2 5 2 5 3 2" xfId="39864"/>
    <cellStyle name="常规 6 2 5 2 5 3 2 2" xfId="39865"/>
    <cellStyle name="常规 6 2 5 2 5 3 2 2 2" xfId="39866"/>
    <cellStyle name="常规 6 2 5 2 5 3 2 3" xfId="39867"/>
    <cellStyle name="常规 6 2 5 2 5 3 2 4" xfId="37272"/>
    <cellStyle name="常规 6 2 5 2 5 3 3" xfId="39868"/>
    <cellStyle name="常规 6 2 5 2 5 3 3 2" xfId="39869"/>
    <cellStyle name="常规 6 2 5 2 5 3 4" xfId="39870"/>
    <cellStyle name="常规 6 2 5 2 5 3 5" xfId="39871"/>
    <cellStyle name="常规 6 2 5 2 5 4" xfId="39872"/>
    <cellStyle name="常规 6 2 5 2 5 4 2" xfId="39873"/>
    <cellStyle name="常规 6 2 5 2 5 4 2 2" xfId="39874"/>
    <cellStyle name="常规 6 2 5 2 5 4 3" xfId="39875"/>
    <cellStyle name="常规 6 2 5 2 5 4 4" xfId="39876"/>
    <cellStyle name="常规 6 2 5 2 5 5" xfId="39877"/>
    <cellStyle name="常规 6 2 5 2 5 5 2" xfId="39878"/>
    <cellStyle name="常规 6 2 5 2 5 6" xfId="39880"/>
    <cellStyle name="常规 6 2 5 2 5 7" xfId="39882"/>
    <cellStyle name="常规 6 2 5 2 6" xfId="39883"/>
    <cellStyle name="常规 6 2 5 2 6 2" xfId="39884"/>
    <cellStyle name="常规 6 2 5 2 6 2 2" xfId="39885"/>
    <cellStyle name="常规 6 2 5 2 6 2 2 2" xfId="39886"/>
    <cellStyle name="常规 6 2 5 2 6 2 2 2 2" xfId="39887"/>
    <cellStyle name="常规 6 2 5 2 6 2 2 3" xfId="39888"/>
    <cellStyle name="常规 6 2 5 2 6 2 2 4" xfId="37282"/>
    <cellStyle name="常规 6 2 5 2 6 2 3" xfId="39889"/>
    <cellStyle name="常规 6 2 5 2 6 2 3 2" xfId="39890"/>
    <cellStyle name="常规 6 2 5 2 6 2 4" xfId="39891"/>
    <cellStyle name="常规 6 2 5 2 6 2 5" xfId="39892"/>
    <cellStyle name="常规 6 2 5 2 6 3" xfId="39893"/>
    <cellStyle name="常规 6 2 5 2 6 3 2" xfId="39894"/>
    <cellStyle name="常规 6 2 5 2 6 3 2 2" xfId="39895"/>
    <cellStyle name="常规 6 2 5 2 6 3 3" xfId="39896"/>
    <cellStyle name="常规 6 2 5 2 6 3 4" xfId="39897"/>
    <cellStyle name="常规 6 2 5 2 6 4" xfId="39898"/>
    <cellStyle name="常规 6 2 5 2 6 4 2" xfId="39899"/>
    <cellStyle name="常规 6 2 5 2 6 5" xfId="39900"/>
    <cellStyle name="常规 6 2 5 2 6 6" xfId="39902"/>
    <cellStyle name="常规 6 2 5 2 7" xfId="39903"/>
    <cellStyle name="常规 6 2 5 2 7 2" xfId="39904"/>
    <cellStyle name="常规 6 2 5 2 7 2 2" xfId="39905"/>
    <cellStyle name="常规 6 2 5 2 7 2 2 2" xfId="39906"/>
    <cellStyle name="常规 6 2 5 2 7 2 3" xfId="39907"/>
    <cellStyle name="常规 6 2 5 2 7 2 4" xfId="39908"/>
    <cellStyle name="常规 6 2 5 2 7 3" xfId="39909"/>
    <cellStyle name="常规 6 2 5 2 7 3 2" xfId="39910"/>
    <cellStyle name="常规 6 2 5 2 7 4" xfId="39911"/>
    <cellStyle name="常规 6 2 5 2 7 5" xfId="39912"/>
    <cellStyle name="常规 6 2 5 2 8" xfId="39913"/>
    <cellStyle name="常规 6 2 5 2 8 2" xfId="39914"/>
    <cellStyle name="常规 6 2 5 2 8 2 2" xfId="39915"/>
    <cellStyle name="常规 6 2 5 2 8 3" xfId="35846"/>
    <cellStyle name="常规 6 2 5 2 8 4" xfId="35852"/>
    <cellStyle name="常规 6 2 5 2 9" xfId="39916"/>
    <cellStyle name="常规 6 2 5 2 9 2" xfId="39917"/>
    <cellStyle name="常规 6 2 5 3" xfId="39919"/>
    <cellStyle name="常规 6 2 5 3 2" xfId="39921"/>
    <cellStyle name="常规 6 2 5 3 2 2" xfId="39923"/>
    <cellStyle name="常规 6 2 5 3 2 2 2" xfId="39924"/>
    <cellStyle name="常规 6 2 5 3 2 2 2 2" xfId="39925"/>
    <cellStyle name="常规 6 2 5 3 2 2 2 2 2" xfId="39926"/>
    <cellStyle name="常规 6 2 5 3 2 2 2 2 2 2" xfId="13090"/>
    <cellStyle name="常规 6 2 5 3 2 2 2 2 2 2 2" xfId="39927"/>
    <cellStyle name="常规 6 2 5 3 2 2 2 2 2 3" xfId="39928"/>
    <cellStyle name="常规 6 2 5 3 2 2 2 2 2 4" xfId="39929"/>
    <cellStyle name="常规 6 2 5 3 2 2 2 2 3" xfId="27314"/>
    <cellStyle name="常规 6 2 5 3 2 2 2 2 3 2" xfId="39930"/>
    <cellStyle name="常规 6 2 5 3 2 2 2 2 4" xfId="39931"/>
    <cellStyle name="常规 6 2 5 3 2 2 2 2 5" xfId="39932"/>
    <cellStyle name="常规 6 2 5 3 2 2 2 3" xfId="39933"/>
    <cellStyle name="常规 6 2 5 3 2 2 2 3 2" xfId="39934"/>
    <cellStyle name="常规 6 2 5 3 2 2 2 3 2 2" xfId="39935"/>
    <cellStyle name="常规 6 2 5 3 2 2 2 3 3" xfId="39936"/>
    <cellStyle name="常规 6 2 5 3 2 2 2 3 4" xfId="39937"/>
    <cellStyle name="常规 6 2 5 3 2 2 2 4" xfId="31223"/>
    <cellStyle name="常规 6 2 5 3 2 2 2 4 2" xfId="39938"/>
    <cellStyle name="常规 6 2 5 3 2 2 2 5" xfId="39939"/>
    <cellStyle name="常规 6 2 5 3 2 2 2 6" xfId="39940"/>
    <cellStyle name="常规 6 2 5 3 2 2 3" xfId="39941"/>
    <cellStyle name="常规 6 2 5 3 2 2 3 2" xfId="39942"/>
    <cellStyle name="常规 6 2 5 3 2 2 3 2 2" xfId="39943"/>
    <cellStyle name="常规 6 2 5 3 2 2 3 2 2 2" xfId="39944"/>
    <cellStyle name="常规 6 2 5 3 2 2 3 2 3" xfId="39945"/>
    <cellStyle name="常规 6 2 5 3 2 2 3 2 4" xfId="39946"/>
    <cellStyle name="常规 6 2 5 3 2 2 3 3" xfId="39947"/>
    <cellStyle name="常规 6 2 5 3 2 2 3 3 2" xfId="39948"/>
    <cellStyle name="常规 6 2 5 3 2 2 3 4" xfId="39949"/>
    <cellStyle name="常规 6 2 5 3 2 2 3 5" xfId="39950"/>
    <cellStyle name="常规 6 2 5 3 2 2 4" xfId="39951"/>
    <cellStyle name="常规 6 2 5 3 2 2 4 2" xfId="39952"/>
    <cellStyle name="常规 6 2 5 3 2 2 4 2 2" xfId="38607"/>
    <cellStyle name="常规 6 2 5 3 2 2 4 3" xfId="39953"/>
    <cellStyle name="常规 6 2 5 3 2 2 4 4" xfId="39954"/>
    <cellStyle name="常规 6 2 5 3 2 2 5" xfId="39955"/>
    <cellStyle name="常规 6 2 5 3 2 2 5 2" xfId="39956"/>
    <cellStyle name="常规 6 2 5 3 2 2 6" xfId="39957"/>
    <cellStyle name="常规 6 2 5 3 2 2 7" xfId="39958"/>
    <cellStyle name="常规 6 2 5 3 2 3" xfId="39959"/>
    <cellStyle name="常规 6 2 5 3 2 3 2" xfId="39960"/>
    <cellStyle name="常规 6 2 5 3 2 3 2 2" xfId="39961"/>
    <cellStyle name="常规 6 2 5 3 2 3 2 2 2" xfId="39962"/>
    <cellStyle name="常规 6 2 5 3 2 3 2 2 2 2" xfId="39963"/>
    <cellStyle name="常规 6 2 5 3 2 3 2 2 3" xfId="39964"/>
    <cellStyle name="常规 6 2 5 3 2 3 2 2 4" xfId="39965"/>
    <cellStyle name="常规 6 2 5 3 2 3 2 3" xfId="39966"/>
    <cellStyle name="常规 6 2 5 3 2 3 2 3 2" xfId="39967"/>
    <cellStyle name="常规 6 2 5 3 2 3 2 4" xfId="39968"/>
    <cellStyle name="常规 6 2 5 3 2 3 2 5" xfId="39969"/>
    <cellStyle name="常规 6 2 5 3 2 3 3" xfId="39970"/>
    <cellStyle name="常规 6 2 5 3 2 3 3 2" xfId="39971"/>
    <cellStyle name="常规 6 2 5 3 2 3 3 2 2" xfId="39972"/>
    <cellStyle name="常规 6 2 5 3 2 3 3 3" xfId="39973"/>
    <cellStyle name="常规 6 2 5 3 2 3 3 4" xfId="39974"/>
    <cellStyle name="常规 6 2 5 3 2 3 4" xfId="39975"/>
    <cellStyle name="常规 6 2 5 3 2 3 4 2" xfId="39976"/>
    <cellStyle name="常规 6 2 5 3 2 3 5" xfId="39977"/>
    <cellStyle name="常规 6 2 5 3 2 3 6" xfId="39978"/>
    <cellStyle name="常规 6 2 5 3 2 4" xfId="39979"/>
    <cellStyle name="常规 6 2 5 3 2 4 2" xfId="39980"/>
    <cellStyle name="常规 6 2 5 3 2 4 2 2" xfId="39981"/>
    <cellStyle name="常规 6 2 5 3 2 4 2 2 2" xfId="39982"/>
    <cellStyle name="常规 6 2 5 3 2 4 2 3" xfId="39983"/>
    <cellStyle name="常规 6 2 5 3 2 4 2 4" xfId="39984"/>
    <cellStyle name="常规 6 2 5 3 2 4 3" xfId="39985"/>
    <cellStyle name="常规 6 2 5 3 2 4 3 2" xfId="39986"/>
    <cellStyle name="常规 6 2 5 3 2 4 4" xfId="39987"/>
    <cellStyle name="常规 6 2 5 3 2 4 5" xfId="39988"/>
    <cellStyle name="常规 6 2 5 3 2 5" xfId="39989"/>
    <cellStyle name="常规 6 2 5 3 2 5 2" xfId="39990"/>
    <cellStyle name="常规 6 2 5 3 2 5 2 2" xfId="39991"/>
    <cellStyle name="常规 6 2 5 3 2 5 3" xfId="39992"/>
    <cellStyle name="常规 6 2 5 3 2 5 4" xfId="39993"/>
    <cellStyle name="常规 6 2 5 3 2 6" xfId="39994"/>
    <cellStyle name="常规 6 2 5 3 2 6 2" xfId="39995"/>
    <cellStyle name="常规 6 2 5 3 2 7" xfId="39996"/>
    <cellStyle name="常规 6 2 5 3 2 8" xfId="39997"/>
    <cellStyle name="常规 6 2 5 3 3" xfId="39999"/>
    <cellStyle name="常规 6 2 5 3 3 2" xfId="40000"/>
    <cellStyle name="常规 6 2 5 3 3 2 2" xfId="40001"/>
    <cellStyle name="常规 6 2 5 3 3 2 2 2" xfId="40002"/>
    <cellStyle name="常规 6 2 5 3 3 2 2 2 2" xfId="40003"/>
    <cellStyle name="常规 6 2 5 3 3 2 2 2 2 2" xfId="40004"/>
    <cellStyle name="常规 6 2 5 3 3 2 2 2 3" xfId="40005"/>
    <cellStyle name="常规 6 2 5 3 3 2 2 2 4" xfId="40006"/>
    <cellStyle name="常规 6 2 5 3 3 2 2 3" xfId="40007"/>
    <cellStyle name="常规 6 2 5 3 3 2 2 3 2" xfId="40008"/>
    <cellStyle name="常规 6 2 5 3 3 2 2 4" xfId="40009"/>
    <cellStyle name="常规 6 2 5 3 3 2 2 5" xfId="40010"/>
    <cellStyle name="常规 6 2 5 3 3 2 3" xfId="40011"/>
    <cellStyle name="常规 6 2 5 3 3 2 3 2" xfId="40012"/>
    <cellStyle name="常规 6 2 5 3 3 2 3 2 2" xfId="40013"/>
    <cellStyle name="常规 6 2 5 3 3 2 3 3" xfId="40014"/>
    <cellStyle name="常规 6 2 5 3 3 2 3 4" xfId="40015"/>
    <cellStyle name="常规 6 2 5 3 3 2 4" xfId="40016"/>
    <cellStyle name="常规 6 2 5 3 3 2 4 2" xfId="40017"/>
    <cellStyle name="常规 6 2 5 3 3 2 5" xfId="8884"/>
    <cellStyle name="常规 6 2 5 3 3 2 6" xfId="40018"/>
    <cellStyle name="常规 6 2 5 3 3 3" xfId="40019"/>
    <cellStyle name="常规 6 2 5 3 3 3 2" xfId="40020"/>
    <cellStyle name="常规 6 2 5 3 3 3 2 2" xfId="40021"/>
    <cellStyle name="常规 6 2 5 3 3 3 2 2 2" xfId="40022"/>
    <cellStyle name="常规 6 2 5 3 3 3 2 3" xfId="40023"/>
    <cellStyle name="常规 6 2 5 3 3 3 2 4" xfId="40024"/>
    <cellStyle name="常规 6 2 5 3 3 3 3" xfId="40025"/>
    <cellStyle name="常规 6 2 5 3 3 3 3 2" xfId="40026"/>
    <cellStyle name="常规 6 2 5 3 3 3 4" xfId="40027"/>
    <cellStyle name="常规 6 2 5 3 3 3 5" xfId="40028"/>
    <cellStyle name="常规 6 2 5 3 3 4" xfId="40029"/>
    <cellStyle name="常规 6 2 5 3 3 4 2" xfId="40030"/>
    <cellStyle name="常规 6 2 5 3 3 4 2 2" xfId="40031"/>
    <cellStyle name="常规 6 2 5 3 3 4 3" xfId="40032"/>
    <cellStyle name="常规 6 2 5 3 3 4 4" xfId="40033"/>
    <cellStyle name="常规 6 2 5 3 3 5" xfId="16975"/>
    <cellStyle name="常规 6 2 5 3 3 5 2" xfId="40034"/>
    <cellStyle name="常规 6 2 5 3 3 6" xfId="40035"/>
    <cellStyle name="常规 6 2 5 3 3 7" xfId="40036"/>
    <cellStyle name="常规 6 2 5 3 4" xfId="40038"/>
    <cellStyle name="常规 6 2 5 3 4 2" xfId="40039"/>
    <cellStyle name="常规 6 2 5 3 4 2 2" xfId="40040"/>
    <cellStyle name="常规 6 2 5 3 4 2 2 2" xfId="40041"/>
    <cellStyle name="常规 6 2 5 3 4 2 2 2 2" xfId="40042"/>
    <cellStyle name="常规 6 2 5 3 4 2 2 3" xfId="40043"/>
    <cellStyle name="常规 6 2 5 3 4 2 2 4" xfId="40044"/>
    <cellStyle name="常规 6 2 5 3 4 2 3" xfId="40045"/>
    <cellStyle name="常规 6 2 5 3 4 2 3 2" xfId="5894"/>
    <cellStyle name="常规 6 2 5 3 4 2 4" xfId="40046"/>
    <cellStyle name="常规 6 2 5 3 4 2 5" xfId="40047"/>
    <cellStyle name="常规 6 2 5 3 4 3" xfId="40048"/>
    <cellStyle name="常规 6 2 5 3 4 3 2" xfId="40049"/>
    <cellStyle name="常规 6 2 5 3 4 3 2 2" xfId="40050"/>
    <cellStyle name="常规 6 2 5 3 4 3 3" xfId="40051"/>
    <cellStyle name="常规 6 2 5 3 4 3 4" xfId="40052"/>
    <cellStyle name="常规 6 2 5 3 4 4" xfId="40053"/>
    <cellStyle name="常规 6 2 5 3 4 4 2" xfId="40054"/>
    <cellStyle name="常规 6 2 5 3 4 5" xfId="40055"/>
    <cellStyle name="常规 6 2 5 3 4 6" xfId="40056"/>
    <cellStyle name="常规 6 2 5 3 5" xfId="40057"/>
    <cellStyle name="常规 6 2 5 3 5 2" xfId="40058"/>
    <cellStyle name="常规 6 2 5 3 5 2 2" xfId="40059"/>
    <cellStyle name="常规 6 2 5 3 5 2 2 2" xfId="40060"/>
    <cellStyle name="常规 6 2 5 3 5 2 3" xfId="40061"/>
    <cellStyle name="常规 6 2 5 3 5 2 4" xfId="40062"/>
    <cellStyle name="常规 6 2 5 3 5 3" xfId="40063"/>
    <cellStyle name="常规 6 2 5 3 5 3 2" xfId="40064"/>
    <cellStyle name="常规 6 2 5 3 5 4" xfId="40065"/>
    <cellStyle name="常规 6 2 5 3 5 5" xfId="40066"/>
    <cellStyle name="常规 6 2 5 3 6" xfId="40067"/>
    <cellStyle name="常规 6 2 5 3 6 2" xfId="40068"/>
    <cellStyle name="常规 6 2 5 3 6 2 2" xfId="40069"/>
    <cellStyle name="常规 6 2 5 3 6 3" xfId="40070"/>
    <cellStyle name="常规 6 2 5 3 6 4" xfId="40071"/>
    <cellStyle name="常规 6 2 5 3 7" xfId="40072"/>
    <cellStyle name="常规 6 2 5 3 7 2" xfId="40073"/>
    <cellStyle name="常规 6 2 5 3 8" xfId="40074"/>
    <cellStyle name="常规 6 2 5 3 9" xfId="40075"/>
    <cellStyle name="常规 6 2 5 4" xfId="40077"/>
    <cellStyle name="常规 6 2 5 4 2" xfId="40079"/>
    <cellStyle name="常规 6 2 5 4 2 2" xfId="1926"/>
    <cellStyle name="常规 6 2 5 4 2 2 2" xfId="1930"/>
    <cellStyle name="常规 6 2 5 4 2 2 2 2" xfId="40080"/>
    <cellStyle name="常规 6 2 5 4 2 2 2 2 2" xfId="40081"/>
    <cellStyle name="常规 6 2 5 4 2 2 2 2 2 2" xfId="40082"/>
    <cellStyle name="常规 6 2 5 4 2 2 2 2 2 2 2" xfId="40084"/>
    <cellStyle name="常规 6 2 5 4 2 2 2 2 2 3" xfId="40085"/>
    <cellStyle name="常规 6 2 5 4 2 2 2 2 2 4" xfId="40086"/>
    <cellStyle name="常规 6 2 5 4 2 2 2 2 3" xfId="40087"/>
    <cellStyle name="常规 6 2 5 4 2 2 2 2 3 2" xfId="40088"/>
    <cellStyle name="常规 6 2 5 4 2 2 2 2 4" xfId="40089"/>
    <cellStyle name="常规 6 2 5 4 2 2 2 2 5" xfId="40090"/>
    <cellStyle name="常规 6 2 5 4 2 2 2 3" xfId="40091"/>
    <cellStyle name="常规 6 2 5 4 2 2 2 3 2" xfId="40092"/>
    <cellStyle name="常规 6 2 5 4 2 2 2 3 2 2" xfId="40093"/>
    <cellStyle name="常规 6 2 5 4 2 2 2 3 3" xfId="40094"/>
    <cellStyle name="常规 6 2 5 4 2 2 2 3 4" xfId="40095"/>
    <cellStyle name="常规 6 2 5 4 2 2 2 4" xfId="20786"/>
    <cellStyle name="常规 6 2 5 4 2 2 2 4 2" xfId="40096"/>
    <cellStyle name="常规 6 2 5 4 2 2 2 5" xfId="40097"/>
    <cellStyle name="常规 6 2 5 4 2 2 2 6" xfId="40098"/>
    <cellStyle name="常规 6 2 5 4 2 2 3" xfId="1935"/>
    <cellStyle name="常规 6 2 5 4 2 2 3 2" xfId="40099"/>
    <cellStyle name="常规 6 2 5 4 2 2 3 2 2" xfId="40100"/>
    <cellStyle name="常规 6 2 5 4 2 2 3 2 2 2" xfId="40101"/>
    <cellStyle name="常规 6 2 5 4 2 2 3 2 3" xfId="40102"/>
    <cellStyle name="常规 6 2 5 4 2 2 3 2 4" xfId="40103"/>
    <cellStyle name="常规 6 2 5 4 2 2 3 3" xfId="40104"/>
    <cellStyle name="常规 6 2 5 4 2 2 3 3 2" xfId="40105"/>
    <cellStyle name="常规 6 2 5 4 2 2 3 4" xfId="40106"/>
    <cellStyle name="常规 6 2 5 4 2 2 3 5" xfId="40107"/>
    <cellStyle name="常规 6 2 5 4 2 2 4" xfId="40108"/>
    <cellStyle name="常规 6 2 5 4 2 2 4 2" xfId="40109"/>
    <cellStyle name="常规 6 2 5 4 2 2 4 2 2" xfId="40110"/>
    <cellStyle name="常规 6 2 5 4 2 2 4 3" xfId="40111"/>
    <cellStyle name="常规 6 2 5 4 2 2 4 4" xfId="40112"/>
    <cellStyle name="常规 6 2 5 4 2 2 5" xfId="40113"/>
    <cellStyle name="常规 6 2 5 4 2 2 5 2" xfId="40114"/>
    <cellStyle name="常规 6 2 5 4 2 2 6" xfId="40115"/>
    <cellStyle name="常规 6 2 5 4 2 2 7" xfId="40116"/>
    <cellStyle name="常规 6 2 5 4 2 3" xfId="1948"/>
    <cellStyle name="常规 6 2 5 4 2 3 2" xfId="1954"/>
    <cellStyle name="常规 6 2 5 4 2 3 2 2" xfId="40117"/>
    <cellStyle name="常规 6 2 5 4 2 3 2 2 2" xfId="40118"/>
    <cellStyle name="常规 6 2 5 4 2 3 2 2 2 2" xfId="40119"/>
    <cellStyle name="常规 6 2 5 4 2 3 2 2 3" xfId="40120"/>
    <cellStyle name="常规 6 2 5 4 2 3 2 2 4" xfId="40121"/>
    <cellStyle name="常规 6 2 5 4 2 3 2 3" xfId="40122"/>
    <cellStyle name="常规 6 2 5 4 2 3 2 3 2" xfId="40123"/>
    <cellStyle name="常规 6 2 5 4 2 3 2 4" xfId="40124"/>
    <cellStyle name="常规 6 2 5 4 2 3 2 5" xfId="40125"/>
    <cellStyle name="常规 6 2 5 4 2 3 3" xfId="1961"/>
    <cellStyle name="常规 6 2 5 4 2 3 3 2" xfId="40126"/>
    <cellStyle name="常规 6 2 5 4 2 3 3 2 2" xfId="40127"/>
    <cellStyle name="常规 6 2 5 4 2 3 3 3" xfId="40128"/>
    <cellStyle name="常规 6 2 5 4 2 3 3 4" xfId="40129"/>
    <cellStyle name="常规 6 2 5 4 2 3 4" xfId="40130"/>
    <cellStyle name="常规 6 2 5 4 2 3 4 2" xfId="40131"/>
    <cellStyle name="常规 6 2 5 4 2 3 5" xfId="40132"/>
    <cellStyle name="常规 6 2 5 4 2 3 6" xfId="40133"/>
    <cellStyle name="常规 6 2 5 4 2 4" xfId="2239"/>
    <cellStyle name="常规 6 2 5 4 2 4 2" xfId="40134"/>
    <cellStyle name="常规 6 2 5 4 2 4 2 2" xfId="40135"/>
    <cellStyle name="常规 6 2 5 4 2 4 2 2 2" xfId="20938"/>
    <cellStyle name="常规 6 2 5 4 2 4 2 3" xfId="40136"/>
    <cellStyle name="常规 6 2 5 4 2 4 2 4" xfId="40137"/>
    <cellStyle name="常规 6 2 5 4 2 4 3" xfId="40138"/>
    <cellStyle name="常规 6 2 5 4 2 4 3 2" xfId="40139"/>
    <cellStyle name="常规 6 2 5 4 2 4 4" xfId="40140"/>
    <cellStyle name="常规 6 2 5 4 2 4 5" xfId="40141"/>
    <cellStyle name="常规 6 2 5 4 2 5" xfId="2243"/>
    <cellStyle name="常规 6 2 5 4 2 5 2" xfId="40142"/>
    <cellStyle name="常规 6 2 5 4 2 5 2 2" xfId="40143"/>
    <cellStyle name="常规 6 2 5 4 2 5 3" xfId="40144"/>
    <cellStyle name="常规 6 2 5 4 2 5 4" xfId="40145"/>
    <cellStyle name="常规 6 2 5 4 2 6" xfId="2247"/>
    <cellStyle name="常规 6 2 5 4 2 6 2" xfId="40146"/>
    <cellStyle name="常规 6 2 5 4 2 7" xfId="2253"/>
    <cellStyle name="常规 6 2 5 4 2 8" xfId="2260"/>
    <cellStyle name="常规 6 2 5 4 3" xfId="40147"/>
    <cellStyle name="常规 6 2 5 4 3 2" xfId="40150"/>
    <cellStyle name="常规 6 2 5 4 3 2 2" xfId="40151"/>
    <cellStyle name="常规 6 2 5 4 3 2 2 2" xfId="40152"/>
    <cellStyle name="常规 6 2 5 4 3 2 2 2 2" xfId="40153"/>
    <cellStyle name="常规 6 2 5 4 3 2 2 2 2 2" xfId="40154"/>
    <cellStyle name="常规 6 2 5 4 3 2 2 2 3" xfId="40155"/>
    <cellStyle name="常规 6 2 5 4 3 2 2 2 4" xfId="40156"/>
    <cellStyle name="常规 6 2 5 4 3 2 2 3" xfId="40157"/>
    <cellStyle name="常规 6 2 5 4 3 2 2 3 2" xfId="40158"/>
    <cellStyle name="常规 6 2 5 4 3 2 2 4" xfId="40159"/>
    <cellStyle name="常规 6 2 5 4 3 2 2 5" xfId="40160"/>
    <cellStyle name="常规 6 2 5 4 3 2 3" xfId="40161"/>
    <cellStyle name="常规 6 2 5 4 3 2 3 2" xfId="40162"/>
    <cellStyle name="常规 6 2 5 4 3 2 3 2 2" xfId="40163"/>
    <cellStyle name="常规 6 2 5 4 3 2 3 3" xfId="40164"/>
    <cellStyle name="常规 6 2 5 4 3 2 3 4" xfId="40165"/>
    <cellStyle name="常规 6 2 5 4 3 2 4" xfId="40166"/>
    <cellStyle name="常规 6 2 5 4 3 2 4 2" xfId="40167"/>
    <cellStyle name="常规 6 2 5 4 3 2 5" xfId="40168"/>
    <cellStyle name="常规 6 2 5 4 3 2 6" xfId="40169"/>
    <cellStyle name="常规 6 2 5 4 3 3" xfId="40172"/>
    <cellStyle name="常规 6 2 5 4 3 3 2" xfId="40173"/>
    <cellStyle name="常规 6 2 5 4 3 3 2 2" xfId="40174"/>
    <cellStyle name="常规 6 2 5 4 3 3 2 2 2" xfId="40175"/>
    <cellStyle name="常规 6 2 5 4 3 3 2 3" xfId="40176"/>
    <cellStyle name="常规 6 2 5 4 3 3 2 4" xfId="40177"/>
    <cellStyle name="常规 6 2 5 4 3 3 3" xfId="40178"/>
    <cellStyle name="常规 6 2 5 4 3 3 3 2" xfId="40179"/>
    <cellStyle name="常规 6 2 5 4 3 3 4" xfId="40180"/>
    <cellStyle name="常规 6 2 5 4 3 3 5" xfId="40181"/>
    <cellStyle name="常规 6 2 5 4 3 4" xfId="40184"/>
    <cellStyle name="常规 6 2 5 4 3 4 2" xfId="40185"/>
    <cellStyle name="常规 6 2 5 4 3 4 2 2" xfId="40186"/>
    <cellStyle name="常规 6 2 5 4 3 4 3" xfId="40187"/>
    <cellStyle name="常规 6 2 5 4 3 4 4" xfId="40188"/>
    <cellStyle name="常规 6 2 5 4 3 5" xfId="40191"/>
    <cellStyle name="常规 6 2 5 4 3 5 2" xfId="40192"/>
    <cellStyle name="常规 6 2 5 4 3 6" xfId="40195"/>
    <cellStyle name="常规 6 2 5 4 3 7" xfId="40198"/>
    <cellStyle name="常规 6 2 5 4 4" xfId="40199"/>
    <cellStyle name="常规 6 2 5 4 4 2" xfId="40200"/>
    <cellStyle name="常规 6 2 5 4 4 2 2" xfId="40201"/>
    <cellStyle name="常规 6 2 5 4 4 2 2 2" xfId="40202"/>
    <cellStyle name="常规 6 2 5 4 4 2 2 2 2" xfId="40203"/>
    <cellStyle name="常规 6 2 5 4 4 2 2 3" xfId="40204"/>
    <cellStyle name="常规 6 2 5 4 4 2 2 4" xfId="40205"/>
    <cellStyle name="常规 6 2 5 4 4 2 3" xfId="40206"/>
    <cellStyle name="常规 6 2 5 4 4 2 3 2" xfId="40207"/>
    <cellStyle name="常规 6 2 5 4 4 2 4" xfId="40208"/>
    <cellStyle name="常规 6 2 5 4 4 2 5" xfId="40209"/>
    <cellStyle name="常规 6 2 5 4 4 3" xfId="40210"/>
    <cellStyle name="常规 6 2 5 4 4 3 2" xfId="40211"/>
    <cellStyle name="常规 6 2 5 4 4 3 2 2" xfId="40212"/>
    <cellStyle name="常规 6 2 5 4 4 3 3" xfId="40213"/>
    <cellStyle name="常规 6 2 5 4 4 3 4" xfId="40214"/>
    <cellStyle name="常规 6 2 5 4 4 4" xfId="40215"/>
    <cellStyle name="常规 6 2 5 4 4 4 2" xfId="40216"/>
    <cellStyle name="常规 6 2 5 4 4 5" xfId="40217"/>
    <cellStyle name="常规 6 2 5 4 4 6" xfId="40218"/>
    <cellStyle name="常规 6 2 5 4 5" xfId="40219"/>
    <cellStyle name="常规 6 2 5 4 5 2" xfId="40220"/>
    <cellStyle name="常规 6 2 5 4 5 2 2" xfId="40221"/>
    <cellStyle name="常规 6 2 5 4 5 2 2 2" xfId="40222"/>
    <cellStyle name="常规 6 2 5 4 5 2 3" xfId="40223"/>
    <cellStyle name="常规 6 2 5 4 5 2 4" xfId="40224"/>
    <cellStyle name="常规 6 2 5 4 5 3" xfId="40225"/>
    <cellStyle name="常规 6 2 5 4 5 3 2" xfId="40226"/>
    <cellStyle name="常规 6 2 5 4 5 4" xfId="40227"/>
    <cellStyle name="常规 6 2 5 4 5 5" xfId="40228"/>
    <cellStyle name="常规 6 2 5 4 6" xfId="40229"/>
    <cellStyle name="常规 6 2 5 4 6 2" xfId="40230"/>
    <cellStyle name="常规 6 2 5 4 6 2 2" xfId="40231"/>
    <cellStyle name="常规 6 2 5 4 6 3" xfId="40232"/>
    <cellStyle name="常规 6 2 5 4 6 4" xfId="40233"/>
    <cellStyle name="常规 6 2 5 4 7" xfId="40234"/>
    <cellStyle name="常规 6 2 5 4 7 2" xfId="40235"/>
    <cellStyle name="常规 6 2 5 4 8" xfId="40236"/>
    <cellStyle name="常规 6 2 5 4 9" xfId="40237"/>
    <cellStyle name="常规 6 2 5 5" xfId="40239"/>
    <cellStyle name="常规 6 2 5 5 2" xfId="40240"/>
    <cellStyle name="常规 6 2 5 5 2 2" xfId="40241"/>
    <cellStyle name="常规 6 2 5 5 2 2 2" xfId="40242"/>
    <cellStyle name="常规 6 2 5 5 2 2 2 2" xfId="40243"/>
    <cellStyle name="常规 6 2 5 5 2 2 2 2 2" xfId="40244"/>
    <cellStyle name="常规 6 2 5 5 2 2 2 2 2 2" xfId="40246"/>
    <cellStyle name="常规 6 2 5 5 2 2 2 2 3" xfId="40247"/>
    <cellStyle name="常规 6 2 5 5 2 2 2 2 4" xfId="40248"/>
    <cellStyle name="常规 6 2 5 5 2 2 2 3" xfId="40249"/>
    <cellStyle name="常规 6 2 5 5 2 2 2 3 2" xfId="40250"/>
    <cellStyle name="常规 6 2 5 5 2 2 2 4" xfId="40251"/>
    <cellStyle name="常规 6 2 5 5 2 2 2 5" xfId="40252"/>
    <cellStyle name="常规 6 2 5 5 2 2 3" xfId="40253"/>
    <cellStyle name="常规 6 2 5 5 2 2 3 2" xfId="34006"/>
    <cellStyle name="常规 6 2 5 5 2 2 3 2 2" xfId="40254"/>
    <cellStyle name="常规 6 2 5 5 2 2 3 3" xfId="34008"/>
    <cellStyle name="常规 6 2 5 5 2 2 3 4" xfId="40255"/>
    <cellStyle name="常规 6 2 5 5 2 2 4" xfId="40256"/>
    <cellStyle name="常规 6 2 5 5 2 2 4 2" xfId="40257"/>
    <cellStyle name="常规 6 2 5 5 2 2 5" xfId="40258"/>
    <cellStyle name="常规 6 2 5 5 2 2 6" xfId="40259"/>
    <cellStyle name="常规 6 2 5 5 2 3" xfId="40260"/>
    <cellStyle name="常规 6 2 5 5 2 3 2" xfId="40261"/>
    <cellStyle name="常规 6 2 5 5 2 3 2 2" xfId="40262"/>
    <cellStyle name="常规 6 2 5 5 2 3 2 2 2" xfId="40263"/>
    <cellStyle name="常规 6 2 5 5 2 3 2 3" xfId="15345"/>
    <cellStyle name="常规 6 2 5 5 2 3 2 4" xfId="40264"/>
    <cellStyle name="常规 6 2 5 5 2 3 3" xfId="40265"/>
    <cellStyle name="常规 6 2 5 5 2 3 3 2" xfId="40266"/>
    <cellStyle name="常规 6 2 5 5 2 3 4" xfId="40267"/>
    <cellStyle name="常规 6 2 5 5 2 3 5" xfId="40268"/>
    <cellStyle name="常规 6 2 5 5 2 4" xfId="40269"/>
    <cellStyle name="常规 6 2 5 5 2 4 2" xfId="40270"/>
    <cellStyle name="常规 6 2 5 5 2 4 2 2" xfId="29303"/>
    <cellStyle name="常规 6 2 5 5 2 4 3" xfId="40271"/>
    <cellStyle name="常规 6 2 5 5 2 4 4" xfId="40272"/>
    <cellStyle name="常规 6 2 5 5 2 5" xfId="40273"/>
    <cellStyle name="常规 6 2 5 5 2 5 2" xfId="25991"/>
    <cellStyle name="常规 6 2 5 5 2 6" xfId="40274"/>
    <cellStyle name="常规 6 2 5 5 2 7" xfId="40275"/>
    <cellStyle name="常规 6 2 5 5 3" xfId="40276"/>
    <cellStyle name="常规 6 2 5 5 3 2" xfId="40277"/>
    <cellStyle name="常规 6 2 5 5 3 2 2" xfId="40278"/>
    <cellStyle name="常规 6 2 5 5 3 2 2 2" xfId="40279"/>
    <cellStyle name="常规 6 2 5 5 3 2 2 2 2" xfId="29675"/>
    <cellStyle name="常规 6 2 5 5 3 2 2 3" xfId="40280"/>
    <cellStyle name="常规 6 2 5 5 3 2 2 4" xfId="40281"/>
    <cellStyle name="常规 6 2 5 5 3 2 3" xfId="40282"/>
    <cellStyle name="常规 6 2 5 5 3 2 3 2" xfId="40283"/>
    <cellStyle name="常规 6 2 5 5 3 2 4" xfId="40284"/>
    <cellStyle name="常规 6 2 5 5 3 2 5" xfId="40285"/>
    <cellStyle name="常规 6 2 5 5 3 3" xfId="40286"/>
    <cellStyle name="常规 6 2 5 5 3 3 2" xfId="40287"/>
    <cellStyle name="常规 6 2 5 5 3 3 2 2" xfId="40288"/>
    <cellStyle name="常规 6 2 5 5 3 3 3" xfId="40289"/>
    <cellStyle name="常规 6 2 5 5 3 3 4" xfId="40290"/>
    <cellStyle name="常规 6 2 5 5 3 4" xfId="40291"/>
    <cellStyle name="常规 6 2 5 5 3 4 2" xfId="40292"/>
    <cellStyle name="常规 6 2 5 5 3 5" xfId="40293"/>
    <cellStyle name="常规 6 2 5 5 3 6" xfId="40294"/>
    <cellStyle name="常规 6 2 5 5 4" xfId="40295"/>
    <cellStyle name="常规 6 2 5 5 4 2" xfId="40296"/>
    <cellStyle name="常规 6 2 5 5 4 2 2" xfId="40297"/>
    <cellStyle name="常规 6 2 5 5 4 2 2 2" xfId="40298"/>
    <cellStyle name="常规 6 2 5 5 4 2 3" xfId="40299"/>
    <cellStyle name="常规 6 2 5 5 4 2 4" xfId="40300"/>
    <cellStyle name="常规 6 2 5 5 4 3" xfId="40301"/>
    <cellStyle name="常规 6 2 5 5 4 3 2" xfId="40302"/>
    <cellStyle name="常规 6 2 5 5 4 4" xfId="40303"/>
    <cellStyle name="常规 6 2 5 5 4 5" xfId="40304"/>
    <cellStyle name="常规 6 2 5 5 5" xfId="8814"/>
    <cellStyle name="常规 6 2 5 5 5 2" xfId="8818"/>
    <cellStyle name="常规 6 2 5 5 5 2 2" xfId="40305"/>
    <cellStyle name="常规 6 2 5 5 5 3" xfId="40306"/>
    <cellStyle name="常规 6 2 5 5 5 4" xfId="40307"/>
    <cellStyle name="常规 6 2 5 5 6" xfId="8822"/>
    <cellStyle name="常规 6 2 5 5 6 2" xfId="40308"/>
    <cellStyle name="常规 6 2 5 5 7" xfId="8826"/>
    <cellStyle name="常规 6 2 5 5 8" xfId="40309"/>
    <cellStyle name="常规 6 2 5 6" xfId="40311"/>
    <cellStyle name="常规 6 2 5 6 2" xfId="40312"/>
    <cellStyle name="常规 6 2 5 6 2 2" xfId="40313"/>
    <cellStyle name="常规 6 2 5 6 2 2 2" xfId="40314"/>
    <cellStyle name="常规 6 2 5 6 2 2 2 2" xfId="40315"/>
    <cellStyle name="常规 6 2 5 6 2 2 2 2 2" xfId="40316"/>
    <cellStyle name="常规 6 2 5 6 2 2 2 3" xfId="40317"/>
    <cellStyle name="常规 6 2 5 6 2 2 2 4" xfId="40318"/>
    <cellStyle name="常规 6 2 5 6 2 2 3" xfId="40319"/>
    <cellStyle name="常规 6 2 5 6 2 2 3 2" xfId="40320"/>
    <cellStyle name="常规 6 2 5 6 2 2 4" xfId="40321"/>
    <cellStyle name="常规 6 2 5 6 2 2 5" xfId="40322"/>
    <cellStyle name="常规 6 2 5 6 2 3" xfId="40323"/>
    <cellStyle name="常规 6 2 5 6 2 3 2" xfId="40324"/>
    <cellStyle name="常规 6 2 5 6 2 3 2 2" xfId="40325"/>
    <cellStyle name="常规 6 2 5 6 2 3 3" xfId="40326"/>
    <cellStyle name="常规 6 2 5 6 2 3 4" xfId="40327"/>
    <cellStyle name="常规 6 2 5 6 2 4" xfId="4925"/>
    <cellStyle name="常规 6 2 5 6 2 4 2" xfId="4927"/>
    <cellStyle name="常规 6 2 5 6 2 5" xfId="4933"/>
    <cellStyle name="常规 6 2 5 6 2 6" xfId="4940"/>
    <cellStyle name="常规 6 2 5 6 3" xfId="40328"/>
    <cellStyle name="常规 6 2 5 6 3 2" xfId="40329"/>
    <cellStyle name="常规 6 2 5 6 3 2 2" xfId="40330"/>
    <cellStyle name="常规 6 2 5 6 3 2 2 2" xfId="40331"/>
    <cellStyle name="常规 6 2 5 6 3 2 3" xfId="40332"/>
    <cellStyle name="常规 6 2 5 6 3 2 4" xfId="40333"/>
    <cellStyle name="常规 6 2 5 6 3 3" xfId="40334"/>
    <cellStyle name="常规 6 2 5 6 3 3 2" xfId="40335"/>
    <cellStyle name="常规 6 2 5 6 3 4" xfId="4952"/>
    <cellStyle name="常规 6 2 5 6 3 5" xfId="4963"/>
    <cellStyle name="常规 6 2 5 6 4" xfId="40336"/>
    <cellStyle name="常规 6 2 5 6 4 2" xfId="40337"/>
    <cellStyle name="常规 6 2 5 6 4 2 2" xfId="40338"/>
    <cellStyle name="常规 6 2 5 6 4 3" xfId="40339"/>
    <cellStyle name="常规 6 2 5 6 4 4" xfId="4982"/>
    <cellStyle name="常规 6 2 5 6 5" xfId="7328"/>
    <cellStyle name="常规 6 2 5 6 5 2" xfId="40340"/>
    <cellStyle name="常规 6 2 5 6 6" xfId="40341"/>
    <cellStyle name="常规 6 2 5 6 7" xfId="40342"/>
    <cellStyle name="常规 6 2 5 7" xfId="40343"/>
    <cellStyle name="常规 6 2 5 7 2" xfId="40344"/>
    <cellStyle name="常规 6 2 5 7 2 2" xfId="40345"/>
    <cellStyle name="常规 6 2 5 7 2 2 2" xfId="40346"/>
    <cellStyle name="常规 6 2 5 7 2 2 2 2" xfId="40347"/>
    <cellStyle name="常规 6 2 5 7 2 2 3" xfId="40348"/>
    <cellStyle name="常规 6 2 5 7 2 2 4" xfId="40349"/>
    <cellStyle name="常规 6 2 5 7 2 3" xfId="40350"/>
    <cellStyle name="常规 6 2 5 7 2 3 2" xfId="40351"/>
    <cellStyle name="常规 6 2 5 7 2 4" xfId="4992"/>
    <cellStyle name="常规 6 2 5 7 2 5" xfId="4995"/>
    <cellStyle name="常规 6 2 5 7 3" xfId="40352"/>
    <cellStyle name="常规 6 2 5 7 3 2" xfId="40353"/>
    <cellStyle name="常规 6 2 5 7 3 2 2" xfId="40354"/>
    <cellStyle name="常规 6 2 5 7 3 3" xfId="40355"/>
    <cellStyle name="常规 6 2 5 7 3 4" xfId="79"/>
    <cellStyle name="常规 6 2 5 7 4" xfId="40356"/>
    <cellStyle name="常规 6 2 5 7 4 2" xfId="40357"/>
    <cellStyle name="常规 6 2 5 7 5" xfId="40358"/>
    <cellStyle name="常规 6 2 5 7 6" xfId="40359"/>
    <cellStyle name="常规 6 2 5 8" xfId="40360"/>
    <cellStyle name="常规 6 2 5 8 2" xfId="40361"/>
    <cellStyle name="常规 6 2 5 8 2 2" xfId="40362"/>
    <cellStyle name="常规 6 2 5 8 2 2 2" xfId="40363"/>
    <cellStyle name="常规 6 2 5 8 2 3" xfId="40364"/>
    <cellStyle name="常规 6 2 5 8 2 4" xfId="1830"/>
    <cellStyle name="常规 6 2 5 8 3" xfId="40365"/>
    <cellStyle name="常规 6 2 5 8 3 2" xfId="40366"/>
    <cellStyle name="常规 6 2 5 8 4" xfId="40367"/>
    <cellStyle name="常规 6 2 5 8 5" xfId="40368"/>
    <cellStyle name="常规 6 2 5 9" xfId="40369"/>
    <cellStyle name="常规 6 2 5 9 2" xfId="40370"/>
    <cellStyle name="常规 6 2 5 9 2 2" xfId="40371"/>
    <cellStyle name="常规 6 2 5 9 3" xfId="40372"/>
    <cellStyle name="常规 6 2 5 9 4" xfId="40373"/>
    <cellStyle name="常规 6 2 6" xfId="40374"/>
    <cellStyle name="常规 6 2 6 10" xfId="40375"/>
    <cellStyle name="常规 6 2 6 11" xfId="40376"/>
    <cellStyle name="常规 6 2 6 2" xfId="40378"/>
    <cellStyle name="常规 6 2 6 2 2" xfId="40380"/>
    <cellStyle name="常规 6 2 6 2 2 2" xfId="40383"/>
    <cellStyle name="常规 6 2 6 2 2 2 2" xfId="40384"/>
    <cellStyle name="常规 6 2 6 2 2 2 2 2" xfId="40385"/>
    <cellStyle name="常规 6 2 6 2 2 2 2 2 2" xfId="40386"/>
    <cellStyle name="常规 6 2 6 2 2 2 2 2 2 2" xfId="40387"/>
    <cellStyle name="常规 6 2 6 2 2 2 2 2 2 2 2" xfId="40388"/>
    <cellStyle name="常规 6 2 6 2 2 2 2 2 2 3" xfId="40389"/>
    <cellStyle name="常规 6 2 6 2 2 2 2 2 2 4" xfId="40390"/>
    <cellStyle name="常规 6 2 6 2 2 2 2 2 3" xfId="40391"/>
    <cellStyle name="常规 6 2 6 2 2 2 2 2 3 2" xfId="40392"/>
    <cellStyle name="常规 6 2 6 2 2 2 2 2 4" xfId="40393"/>
    <cellStyle name="常规 6 2 6 2 2 2 2 2 5" xfId="40394"/>
    <cellStyle name="常规 6 2 6 2 2 2 2 3" xfId="40395"/>
    <cellStyle name="常规 6 2 6 2 2 2 2 3 2" xfId="40396"/>
    <cellStyle name="常规 6 2 6 2 2 2 2 3 2 2" xfId="40397"/>
    <cellStyle name="常规 6 2 6 2 2 2 2 3 3" xfId="40398"/>
    <cellStyle name="常规 6 2 6 2 2 2 2 3 4" xfId="40399"/>
    <cellStyle name="常规 6 2 6 2 2 2 2 4" xfId="26795"/>
    <cellStyle name="常规 6 2 6 2 2 2 2 4 2" xfId="40400"/>
    <cellStyle name="常规 6 2 6 2 2 2 2 5" xfId="40401"/>
    <cellStyle name="常规 6 2 6 2 2 2 2 6" xfId="409"/>
    <cellStyle name="常规 6 2 6 2 2 2 3" xfId="40402"/>
    <cellStyle name="常规 6 2 6 2 2 2 3 2" xfId="40403"/>
    <cellStyle name="常规 6 2 6 2 2 2 3 2 2" xfId="40404"/>
    <cellStyle name="常规 6 2 6 2 2 2 3 2 2 2" xfId="40405"/>
    <cellStyle name="常规 6 2 6 2 2 2 3 2 3" xfId="40406"/>
    <cellStyle name="常规 6 2 6 2 2 2 3 2 4" xfId="40407"/>
    <cellStyle name="常规 6 2 6 2 2 2 3 3" xfId="40408"/>
    <cellStyle name="常规 6 2 6 2 2 2 3 3 2" xfId="40409"/>
    <cellStyle name="常规 6 2 6 2 2 2 3 4" xfId="40410"/>
    <cellStyle name="常规 6 2 6 2 2 2 3 5" xfId="40411"/>
    <cellStyle name="常规 6 2 6 2 2 2 4" xfId="40412"/>
    <cellStyle name="常规 6 2 6 2 2 2 4 2" xfId="40413"/>
    <cellStyle name="常规 6 2 6 2 2 2 4 2 2" xfId="40415"/>
    <cellStyle name="常规 6 2 6 2 2 2 4 3" xfId="40416"/>
    <cellStyle name="常规 6 2 6 2 2 2 4 4" xfId="40417"/>
    <cellStyle name="常规 6 2 6 2 2 2 5" xfId="40418"/>
    <cellStyle name="常规 6 2 6 2 2 2 5 2" xfId="40419"/>
    <cellStyle name="常规 6 2 6 2 2 2 6" xfId="40420"/>
    <cellStyle name="常规 6 2 6 2 2 2 7" xfId="40421"/>
    <cellStyle name="常规 6 2 6 2 2 3" xfId="40423"/>
    <cellStyle name="常规 6 2 6 2 2 3 2" xfId="40424"/>
    <cellStyle name="常规 6 2 6 2 2 3 2 2" xfId="40425"/>
    <cellStyle name="常规 6 2 6 2 2 3 2 2 2" xfId="40426"/>
    <cellStyle name="常规 6 2 6 2 2 3 2 2 2 2" xfId="40427"/>
    <cellStyle name="常规 6 2 6 2 2 3 2 2 3" xfId="40428"/>
    <cellStyle name="常规 6 2 6 2 2 3 2 2 4" xfId="40429"/>
    <cellStyle name="常规 6 2 6 2 2 3 2 3" xfId="40430"/>
    <cellStyle name="常规 6 2 6 2 2 3 2 3 2" xfId="40431"/>
    <cellStyle name="常规 6 2 6 2 2 3 2 4" xfId="40432"/>
    <cellStyle name="常规 6 2 6 2 2 3 2 5" xfId="40433"/>
    <cellStyle name="常规 6 2 6 2 2 3 3" xfId="40434"/>
    <cellStyle name="常规 6 2 6 2 2 3 3 2" xfId="40435"/>
    <cellStyle name="常规 6 2 6 2 2 3 3 2 2" xfId="40436"/>
    <cellStyle name="常规 6 2 6 2 2 3 3 3" xfId="5061"/>
    <cellStyle name="常规 6 2 6 2 2 3 3 4" xfId="40437"/>
    <cellStyle name="常规 6 2 6 2 2 3 4" xfId="40438"/>
    <cellStyle name="常规 6 2 6 2 2 3 4 2" xfId="40439"/>
    <cellStyle name="常规 6 2 6 2 2 3 5" xfId="40440"/>
    <cellStyle name="常规 6 2 6 2 2 3 6" xfId="40441"/>
    <cellStyle name="常规 6 2 6 2 2 4" xfId="40442"/>
    <cellStyle name="常规 6 2 6 2 2 4 2" xfId="40443"/>
    <cellStyle name="常规 6 2 6 2 2 4 2 2" xfId="40444"/>
    <cellStyle name="常规 6 2 6 2 2 4 2 2 2" xfId="40445"/>
    <cellStyle name="常规 6 2 6 2 2 4 2 3" xfId="40446"/>
    <cellStyle name="常规 6 2 6 2 2 4 2 4" xfId="40447"/>
    <cellStyle name="常规 6 2 6 2 2 4 3" xfId="40448"/>
    <cellStyle name="常规 6 2 6 2 2 4 3 2" xfId="40449"/>
    <cellStyle name="常规 6 2 6 2 2 4 4" xfId="40450"/>
    <cellStyle name="常规 6 2 6 2 2 4 5" xfId="40451"/>
    <cellStyle name="常规 6 2 6 2 2 5" xfId="40452"/>
    <cellStyle name="常规 6 2 6 2 2 5 2" xfId="40453"/>
    <cellStyle name="常规 6 2 6 2 2 5 2 2" xfId="40454"/>
    <cellStyle name="常规 6 2 6 2 2 5 3" xfId="40455"/>
    <cellStyle name="常规 6 2 6 2 2 5 4" xfId="40456"/>
    <cellStyle name="常规 6 2 6 2 2 6" xfId="40457"/>
    <cellStyle name="常规 6 2 6 2 2 6 2" xfId="40458"/>
    <cellStyle name="常规 6 2 6 2 2 7" xfId="40459"/>
    <cellStyle name="常规 6 2 6 2 2 8" xfId="40460"/>
    <cellStyle name="常规 6 2 6 2 3" xfId="40462"/>
    <cellStyle name="常规 6 2 6 2 3 2" xfId="40463"/>
    <cellStyle name="常规 6 2 6 2 3 2 2" xfId="40464"/>
    <cellStyle name="常规 6 2 6 2 3 2 2 2" xfId="40465"/>
    <cellStyle name="常规 6 2 6 2 3 2 2 2 2" xfId="40466"/>
    <cellStyle name="常规 6 2 6 2 3 2 2 2 2 2" xfId="40467"/>
    <cellStyle name="常规 6 2 6 2 3 2 2 2 3" xfId="40468"/>
    <cellStyle name="常规 6 2 6 2 3 2 2 2 4" xfId="40469"/>
    <cellStyle name="常规 6 2 6 2 3 2 2 3" xfId="40470"/>
    <cellStyle name="常规 6 2 6 2 3 2 2 3 2" xfId="40471"/>
    <cellStyle name="常规 6 2 6 2 3 2 2 4" xfId="35686"/>
    <cellStyle name="常规 6 2 6 2 3 2 2 5" xfId="40472"/>
    <cellStyle name="常规 6 2 6 2 3 2 3" xfId="40473"/>
    <cellStyle name="常规 6 2 6 2 3 2 3 2" xfId="40474"/>
    <cellStyle name="常规 6 2 6 2 3 2 3 2 2" xfId="40475"/>
    <cellStyle name="常规 6 2 6 2 3 2 3 3" xfId="40476"/>
    <cellStyle name="常规 6 2 6 2 3 2 3 4" xfId="40477"/>
    <cellStyle name="常规 6 2 6 2 3 2 4" xfId="40478"/>
    <cellStyle name="常规 6 2 6 2 3 2 4 2" xfId="40479"/>
    <cellStyle name="常规 6 2 6 2 3 2 5" xfId="40480"/>
    <cellStyle name="常规 6 2 6 2 3 2 6" xfId="40481"/>
    <cellStyle name="常规 6 2 6 2 3 3" xfId="40482"/>
    <cellStyle name="常规 6 2 6 2 3 3 2" xfId="40483"/>
    <cellStyle name="常规 6 2 6 2 3 3 2 2" xfId="40484"/>
    <cellStyle name="常规 6 2 6 2 3 3 2 2 2" xfId="40485"/>
    <cellStyle name="常规 6 2 6 2 3 3 2 3" xfId="40486"/>
    <cellStyle name="常规 6 2 6 2 3 3 2 4" xfId="40487"/>
    <cellStyle name="常规 6 2 6 2 3 3 3" xfId="40488"/>
    <cellStyle name="常规 6 2 6 2 3 3 3 2" xfId="40489"/>
    <cellStyle name="常规 6 2 6 2 3 3 4" xfId="40490"/>
    <cellStyle name="常规 6 2 6 2 3 3 5" xfId="40491"/>
    <cellStyle name="常规 6 2 6 2 3 4" xfId="40492"/>
    <cellStyle name="常规 6 2 6 2 3 4 2" xfId="40493"/>
    <cellStyle name="常规 6 2 6 2 3 4 2 2" xfId="40494"/>
    <cellStyle name="常规 6 2 6 2 3 4 3" xfId="40495"/>
    <cellStyle name="常规 6 2 6 2 3 4 4" xfId="40496"/>
    <cellStyle name="常规 6 2 6 2 3 5" xfId="17131"/>
    <cellStyle name="常规 6 2 6 2 3 5 2" xfId="40497"/>
    <cellStyle name="常规 6 2 6 2 3 6" xfId="40498"/>
    <cellStyle name="常规 6 2 6 2 3 7" xfId="40499"/>
    <cellStyle name="常规 6 2 6 2 4" xfId="40501"/>
    <cellStyle name="常规 6 2 6 2 4 2" xfId="40502"/>
    <cellStyle name="常规 6 2 6 2 4 2 2" xfId="40503"/>
    <cellStyle name="常规 6 2 6 2 4 2 2 2" xfId="40504"/>
    <cellStyle name="常规 6 2 6 2 4 2 2 2 2" xfId="5623"/>
    <cellStyle name="常规 6 2 6 2 4 2 2 3" xfId="40505"/>
    <cellStyle name="常规 6 2 6 2 4 2 2 4" xfId="35840"/>
    <cellStyle name="常规 6 2 6 2 4 2 3" xfId="40506"/>
    <cellStyle name="常规 6 2 6 2 4 2 3 2" xfId="6589"/>
    <cellStyle name="常规 6 2 6 2 4 2 4" xfId="40507"/>
    <cellStyle name="常规 6 2 6 2 4 2 5" xfId="40508"/>
    <cellStyle name="常规 6 2 6 2 4 3" xfId="40509"/>
    <cellStyle name="常规 6 2 6 2 4 3 2" xfId="40510"/>
    <cellStyle name="常规 6 2 6 2 4 3 2 2" xfId="40511"/>
    <cellStyle name="常规 6 2 6 2 4 3 3" xfId="40512"/>
    <cellStyle name="常规 6 2 6 2 4 3 4" xfId="40513"/>
    <cellStyle name="常规 6 2 6 2 4 4" xfId="40514"/>
    <cellStyle name="常规 6 2 6 2 4 4 2" xfId="40515"/>
    <cellStyle name="常规 6 2 6 2 4 5" xfId="40516"/>
    <cellStyle name="常规 6 2 6 2 4 6" xfId="40517"/>
    <cellStyle name="常规 6 2 6 2 5" xfId="40518"/>
    <cellStyle name="常规 6 2 6 2 5 2" xfId="40519"/>
    <cellStyle name="常规 6 2 6 2 5 2 2" xfId="40520"/>
    <cellStyle name="常规 6 2 6 2 5 2 2 2" xfId="40521"/>
    <cellStyle name="常规 6 2 6 2 5 2 3" xfId="40522"/>
    <cellStyle name="常规 6 2 6 2 5 2 4" xfId="40523"/>
    <cellStyle name="常规 6 2 6 2 5 3" xfId="40524"/>
    <cellStyle name="常规 6 2 6 2 5 3 2" xfId="40525"/>
    <cellStyle name="常规 6 2 6 2 5 4" xfId="40526"/>
    <cellStyle name="常规 6 2 6 2 5 5" xfId="40527"/>
    <cellStyle name="常规 6 2 6 2 6" xfId="40528"/>
    <cellStyle name="常规 6 2 6 2 6 2" xfId="40529"/>
    <cellStyle name="常规 6 2 6 2 6 2 2" xfId="40530"/>
    <cellStyle name="常规 6 2 6 2 6 3" xfId="40531"/>
    <cellStyle name="常规 6 2 6 2 6 4" xfId="40532"/>
    <cellStyle name="常规 6 2 6 2 7" xfId="40533"/>
    <cellStyle name="常规 6 2 6 2 7 2" xfId="40534"/>
    <cellStyle name="常规 6 2 6 2 8" xfId="40535"/>
    <cellStyle name="常规 6 2 6 2 9" xfId="40536"/>
    <cellStyle name="常规 6 2 6 3" xfId="40538"/>
    <cellStyle name="常规 6 2 6 3 2" xfId="40540"/>
    <cellStyle name="常规 6 2 6 3 2 2" xfId="40541"/>
    <cellStyle name="常规 6 2 6 3 2 2 2" xfId="40542"/>
    <cellStyle name="常规 6 2 6 3 2 2 2 2" xfId="40543"/>
    <cellStyle name="常规 6 2 6 3 2 2 2 2 2" xfId="40544"/>
    <cellStyle name="常规 6 2 6 3 2 2 2 2 2 2" xfId="40545"/>
    <cellStyle name="常规 6 2 6 3 2 2 2 2 2 2 2" xfId="40546"/>
    <cellStyle name="常规 6 2 6 3 2 2 2 2 2 3" xfId="40547"/>
    <cellStyle name="常规 6 2 6 3 2 2 2 2 2 4" xfId="40548"/>
    <cellStyle name="常规 6 2 6 3 2 2 2 2 3" xfId="40549"/>
    <cellStyle name="常规 6 2 6 3 2 2 2 2 3 2" xfId="40550"/>
    <cellStyle name="常规 6 2 6 3 2 2 2 2 4" xfId="40551"/>
    <cellStyle name="常规 6 2 6 3 2 2 2 2 5" xfId="40552"/>
    <cellStyle name="常规 6 2 6 3 2 2 2 3" xfId="40553"/>
    <cellStyle name="常规 6 2 6 3 2 2 2 3 2" xfId="40554"/>
    <cellStyle name="常规 6 2 6 3 2 2 2 3 2 2" xfId="40555"/>
    <cellStyle name="常规 6 2 6 3 2 2 2 3 3" xfId="40556"/>
    <cellStyle name="常规 6 2 6 3 2 2 2 3 4" xfId="40557"/>
    <cellStyle name="常规 6 2 6 3 2 2 2 4" xfId="27136"/>
    <cellStyle name="常规 6 2 6 3 2 2 2 4 2" xfId="40558"/>
    <cellStyle name="常规 6 2 6 3 2 2 2 5" xfId="40559"/>
    <cellStyle name="常规 6 2 6 3 2 2 2 6" xfId="40560"/>
    <cellStyle name="常规 6 2 6 3 2 2 3" xfId="40561"/>
    <cellStyle name="常规 6 2 6 3 2 2 3 2" xfId="40562"/>
    <cellStyle name="常规 6 2 6 3 2 2 3 2 2" xfId="40563"/>
    <cellStyle name="常规 6 2 6 3 2 2 3 2 2 2" xfId="40564"/>
    <cellStyle name="常规 6 2 6 3 2 2 3 2 3" xfId="40565"/>
    <cellStyle name="常规 6 2 6 3 2 2 3 2 4" xfId="40566"/>
    <cellStyle name="常规 6 2 6 3 2 2 3 3" xfId="40567"/>
    <cellStyle name="常规 6 2 6 3 2 2 3 3 2" xfId="40568"/>
    <cellStyle name="常规 6 2 6 3 2 2 3 4" xfId="40569"/>
    <cellStyle name="常规 6 2 6 3 2 2 3 5" xfId="40570"/>
    <cellStyle name="常规 6 2 6 3 2 2 4" xfId="40571"/>
    <cellStyle name="常规 6 2 6 3 2 2 4 2" xfId="40572"/>
    <cellStyle name="常规 6 2 6 3 2 2 4 2 2" xfId="40573"/>
    <cellStyle name="常规 6 2 6 3 2 2 4 3" xfId="40574"/>
    <cellStyle name="常规 6 2 6 3 2 2 4 4" xfId="40575"/>
    <cellStyle name="常规 6 2 6 3 2 2 5" xfId="40576"/>
    <cellStyle name="常规 6 2 6 3 2 2 5 2" xfId="40577"/>
    <cellStyle name="常规 6 2 6 3 2 2 6" xfId="40578"/>
    <cellStyle name="常规 6 2 6 3 2 2 7" xfId="40579"/>
    <cellStyle name="常规 6 2 6 3 2 3" xfId="40580"/>
    <cellStyle name="常规 6 2 6 3 2 3 2" xfId="40581"/>
    <cellStyle name="常规 6 2 6 3 2 3 2 2" xfId="40582"/>
    <cellStyle name="常规 6 2 6 3 2 3 2 2 2" xfId="40583"/>
    <cellStyle name="常规 6 2 6 3 2 3 2 2 2 2" xfId="40584"/>
    <cellStyle name="常规 6 2 6 3 2 3 2 2 3" xfId="40585"/>
    <cellStyle name="常规 6 2 6 3 2 3 2 2 4" xfId="40586"/>
    <cellStyle name="常规 6 2 6 3 2 3 2 3" xfId="40587"/>
    <cellStyle name="常规 6 2 6 3 2 3 2 3 2" xfId="40588"/>
    <cellStyle name="常规 6 2 6 3 2 3 2 4" xfId="40589"/>
    <cellStyle name="常规 6 2 6 3 2 3 2 5" xfId="40590"/>
    <cellStyle name="常规 6 2 6 3 2 3 3" xfId="40591"/>
    <cellStyle name="常规 6 2 6 3 2 3 3 2" xfId="40592"/>
    <cellStyle name="常规 6 2 6 3 2 3 3 2 2" xfId="40593"/>
    <cellStyle name="常规 6 2 6 3 2 3 3 3" xfId="40594"/>
    <cellStyle name="常规 6 2 6 3 2 3 3 4" xfId="40595"/>
    <cellStyle name="常规 6 2 6 3 2 3 4" xfId="40596"/>
    <cellStyle name="常规 6 2 6 3 2 3 4 2" xfId="40597"/>
    <cellStyle name="常规 6 2 6 3 2 3 5" xfId="40598"/>
    <cellStyle name="常规 6 2 6 3 2 3 6" xfId="40599"/>
    <cellStyle name="常规 6 2 6 3 2 4" xfId="40600"/>
    <cellStyle name="常规 6 2 6 3 2 4 2" xfId="40601"/>
    <cellStyle name="常规 6 2 6 3 2 4 2 2" xfId="40602"/>
    <cellStyle name="常规 6 2 6 3 2 4 2 2 2" xfId="40603"/>
    <cellStyle name="常规 6 2 6 3 2 4 2 3" xfId="40604"/>
    <cellStyle name="常规 6 2 6 3 2 4 2 4" xfId="40605"/>
    <cellStyle name="常规 6 2 6 3 2 4 3" xfId="40606"/>
    <cellStyle name="常规 6 2 6 3 2 4 3 2" xfId="40607"/>
    <cellStyle name="常规 6 2 6 3 2 4 4" xfId="40608"/>
    <cellStyle name="常规 6 2 6 3 2 4 5" xfId="40609"/>
    <cellStyle name="常规 6 2 6 3 2 5" xfId="40610"/>
    <cellStyle name="常规 6 2 6 3 2 5 2" xfId="40611"/>
    <cellStyle name="常规 6 2 6 3 2 5 2 2" xfId="40612"/>
    <cellStyle name="常规 6 2 6 3 2 5 3" xfId="40613"/>
    <cellStyle name="常规 6 2 6 3 2 5 4" xfId="40614"/>
    <cellStyle name="常规 6 2 6 3 2 6" xfId="40615"/>
    <cellStyle name="常规 6 2 6 3 2 6 2" xfId="40616"/>
    <cellStyle name="常规 6 2 6 3 2 7" xfId="40617"/>
    <cellStyle name="常规 6 2 6 3 2 8" xfId="40618"/>
    <cellStyle name="常规 6 2 6 3 3" xfId="40620"/>
    <cellStyle name="常规 6 2 6 3 3 2" xfId="40621"/>
    <cellStyle name="常规 6 2 6 3 3 2 2" xfId="40622"/>
    <cellStyle name="常规 6 2 6 3 3 2 2 2" xfId="40623"/>
    <cellStyle name="常规 6 2 6 3 3 2 2 2 2" xfId="40624"/>
    <cellStyle name="常规 6 2 6 3 3 2 2 2 2 2" xfId="40625"/>
    <cellStyle name="常规 6 2 6 3 3 2 2 2 3" xfId="40626"/>
    <cellStyle name="常规 6 2 6 3 3 2 2 2 4" xfId="40627"/>
    <cellStyle name="常规 6 2 6 3 3 2 2 3" xfId="40628"/>
    <cellStyle name="常规 6 2 6 3 3 2 2 3 2" xfId="40629"/>
    <cellStyle name="常规 6 2 6 3 3 2 2 4" xfId="40630"/>
    <cellStyle name="常规 6 2 6 3 3 2 2 5" xfId="40631"/>
    <cellStyle name="常规 6 2 6 3 3 2 3" xfId="40632"/>
    <cellStyle name="常规 6 2 6 3 3 2 3 2" xfId="40633"/>
    <cellStyle name="常规 6 2 6 3 3 2 3 2 2" xfId="40634"/>
    <cellStyle name="常规 6 2 6 3 3 2 3 3" xfId="40635"/>
    <cellStyle name="常规 6 2 6 3 3 2 3 4" xfId="40636"/>
    <cellStyle name="常规 6 2 6 3 3 2 4" xfId="40637"/>
    <cellStyle name="常规 6 2 6 3 3 2 4 2" xfId="40638"/>
    <cellStyle name="常规 6 2 6 3 3 2 5" xfId="40639"/>
    <cellStyle name="常规 6 2 6 3 3 2 6" xfId="40640"/>
    <cellStyle name="常规 6 2 6 3 3 3" xfId="40641"/>
    <cellStyle name="常规 6 2 6 3 3 3 2" xfId="40642"/>
    <cellStyle name="常规 6 2 6 3 3 3 2 2" xfId="40643"/>
    <cellStyle name="常规 6 2 6 3 3 3 2 2 2" xfId="40644"/>
    <cellStyle name="常规 6 2 6 3 3 3 2 3" xfId="40645"/>
    <cellStyle name="常规 6 2 6 3 3 3 2 4" xfId="40646"/>
    <cellStyle name="常规 6 2 6 3 3 3 3" xfId="40647"/>
    <cellStyle name="常规 6 2 6 3 3 3 3 2" xfId="40648"/>
    <cellStyle name="常规 6 2 6 3 3 3 4" xfId="40649"/>
    <cellStyle name="常规 6 2 6 3 3 3 5" xfId="40650"/>
    <cellStyle name="常规 6 2 6 3 3 4" xfId="40651"/>
    <cellStyle name="常规 6 2 6 3 3 4 2" xfId="40652"/>
    <cellStyle name="常规 6 2 6 3 3 4 2 2" xfId="40653"/>
    <cellStyle name="常规 6 2 6 3 3 4 3" xfId="40654"/>
    <cellStyle name="常规 6 2 6 3 3 4 4" xfId="40655"/>
    <cellStyle name="常规 6 2 6 3 3 5" xfId="40656"/>
    <cellStyle name="常规 6 2 6 3 3 5 2" xfId="40657"/>
    <cellStyle name="常规 6 2 6 3 3 6" xfId="40658"/>
    <cellStyle name="常规 6 2 6 3 3 7" xfId="40659"/>
    <cellStyle name="常规 6 2 6 3 4" xfId="40660"/>
    <cellStyle name="常规 6 2 6 3 4 2" xfId="40661"/>
    <cellStyle name="常规 6 2 6 3 4 2 2" xfId="40662"/>
    <cellStyle name="常规 6 2 6 3 4 2 2 2" xfId="40663"/>
    <cellStyle name="常规 6 2 6 3 4 2 2 2 2" xfId="40664"/>
    <cellStyle name="常规 6 2 6 3 4 2 2 3" xfId="40665"/>
    <cellStyle name="常规 6 2 6 3 4 2 2 4" xfId="40666"/>
    <cellStyle name="常规 6 2 6 3 4 2 3" xfId="40667"/>
    <cellStyle name="常规 6 2 6 3 4 2 3 2" xfId="40668"/>
    <cellStyle name="常规 6 2 6 3 4 2 4" xfId="40669"/>
    <cellStyle name="常规 6 2 6 3 4 2 5" xfId="40670"/>
    <cellStyle name="常规 6 2 6 3 4 3" xfId="40671"/>
    <cellStyle name="常规 6 2 6 3 4 3 2" xfId="40672"/>
    <cellStyle name="常规 6 2 6 3 4 3 2 2" xfId="40673"/>
    <cellStyle name="常规 6 2 6 3 4 3 3" xfId="40674"/>
    <cellStyle name="常规 6 2 6 3 4 3 4" xfId="40675"/>
    <cellStyle name="常规 6 2 6 3 4 4" xfId="40676"/>
    <cellStyle name="常规 6 2 6 3 4 4 2" xfId="40677"/>
    <cellStyle name="常规 6 2 6 3 4 5" xfId="40678"/>
    <cellStyle name="常规 6 2 6 3 4 6" xfId="40679"/>
    <cellStyle name="常规 6 2 6 3 5" xfId="40680"/>
    <cellStyle name="常规 6 2 6 3 5 2" xfId="40681"/>
    <cellStyle name="常规 6 2 6 3 5 2 2" xfId="40682"/>
    <cellStyle name="常规 6 2 6 3 5 2 2 2" xfId="40683"/>
    <cellStyle name="常规 6 2 6 3 5 2 3" xfId="40684"/>
    <cellStyle name="常规 6 2 6 3 5 2 4" xfId="40685"/>
    <cellStyle name="常规 6 2 6 3 5 3" xfId="40686"/>
    <cellStyle name="常规 6 2 6 3 5 3 2" xfId="40687"/>
    <cellStyle name="常规 6 2 6 3 5 4" xfId="40688"/>
    <cellStyle name="常规 6 2 6 3 5 5" xfId="40689"/>
    <cellStyle name="常规 6 2 6 3 6" xfId="40690"/>
    <cellStyle name="常规 6 2 6 3 6 2" xfId="40691"/>
    <cellStyle name="常规 6 2 6 3 6 2 2" xfId="40692"/>
    <cellStyle name="常规 6 2 6 3 6 3" xfId="40693"/>
    <cellStyle name="常规 6 2 6 3 6 4" xfId="40694"/>
    <cellStyle name="常规 6 2 6 3 7" xfId="40695"/>
    <cellStyle name="常规 6 2 6 3 7 2" xfId="40696"/>
    <cellStyle name="常规 6 2 6 3 8" xfId="40697"/>
    <cellStyle name="常规 6 2 6 3 9" xfId="40698"/>
    <cellStyle name="常规 6 2 6 4" xfId="40700"/>
    <cellStyle name="常规 6 2 6 4 2" xfId="40701"/>
    <cellStyle name="常规 6 2 6 4 2 2" xfId="40702"/>
    <cellStyle name="常规 6 2 6 4 2 2 2" xfId="40703"/>
    <cellStyle name="常规 6 2 6 4 2 2 2 2" xfId="40704"/>
    <cellStyle name="常规 6 2 6 4 2 2 2 2 2" xfId="29493"/>
    <cellStyle name="常规 6 2 6 4 2 2 2 2 2 2" xfId="40705"/>
    <cellStyle name="常规 6 2 6 4 2 2 2 2 3" xfId="34743"/>
    <cellStyle name="常规 6 2 6 4 2 2 2 2 4" xfId="40706"/>
    <cellStyle name="常规 6 2 6 4 2 2 2 3" xfId="40707"/>
    <cellStyle name="常规 6 2 6 4 2 2 2 3 2" xfId="32104"/>
    <cellStyle name="常规 6 2 6 4 2 2 2 4" xfId="40708"/>
    <cellStyle name="常规 6 2 6 4 2 2 2 5" xfId="40709"/>
    <cellStyle name="常规 6 2 6 4 2 2 3" xfId="40710"/>
    <cellStyle name="常规 6 2 6 4 2 2 3 2" xfId="40711"/>
    <cellStyle name="常规 6 2 6 4 2 2 3 2 2" xfId="34748"/>
    <cellStyle name="常规 6 2 6 4 2 2 3 3" xfId="40712"/>
    <cellStyle name="常规 6 2 6 4 2 2 3 4" xfId="40713"/>
    <cellStyle name="常规 6 2 6 4 2 2 4" xfId="40714"/>
    <cellStyle name="常规 6 2 6 4 2 2 4 2" xfId="40715"/>
    <cellStyle name="常规 6 2 6 4 2 2 5" xfId="40716"/>
    <cellStyle name="常规 6 2 6 4 2 2 6" xfId="40717"/>
    <cellStyle name="常规 6 2 6 4 2 3" xfId="40718"/>
    <cellStyle name="常规 6 2 6 4 2 3 2" xfId="40719"/>
    <cellStyle name="常规 6 2 6 4 2 3 2 2" xfId="40720"/>
    <cellStyle name="常规 6 2 6 4 2 3 2 2 2" xfId="30916"/>
    <cellStyle name="常规 6 2 6 4 2 3 2 3" xfId="40721"/>
    <cellStyle name="常规 6 2 6 4 2 3 2 4" xfId="40722"/>
    <cellStyle name="常规 6 2 6 4 2 3 3" xfId="40723"/>
    <cellStyle name="常规 6 2 6 4 2 3 3 2" xfId="40724"/>
    <cellStyle name="常规 6 2 6 4 2 3 4" xfId="40725"/>
    <cellStyle name="常规 6 2 6 4 2 3 5" xfId="40726"/>
    <cellStyle name="常规 6 2 6 4 2 4" xfId="40727"/>
    <cellStyle name="常规 6 2 6 4 2 4 2" xfId="40728"/>
    <cellStyle name="常规 6 2 6 4 2 4 2 2" xfId="40729"/>
    <cellStyle name="常规 6 2 6 4 2 4 3" xfId="40730"/>
    <cellStyle name="常规 6 2 6 4 2 4 4" xfId="40731"/>
    <cellStyle name="常规 6 2 6 4 2 5" xfId="40732"/>
    <cellStyle name="常规 6 2 6 4 2 5 2" xfId="40733"/>
    <cellStyle name="常规 6 2 6 4 2 6" xfId="40734"/>
    <cellStyle name="常规 6 2 6 4 2 7" xfId="40735"/>
    <cellStyle name="常规 6 2 6 4 3" xfId="40736"/>
    <cellStyle name="常规 6 2 6 4 3 2" xfId="40737"/>
    <cellStyle name="常规 6 2 6 4 3 2 2" xfId="40738"/>
    <cellStyle name="常规 6 2 6 4 3 2 2 2" xfId="40739"/>
    <cellStyle name="常规 6 2 6 4 3 2 2 2 2" xfId="40740"/>
    <cellStyle name="常规 6 2 6 4 3 2 2 3" xfId="40741"/>
    <cellStyle name="常规 6 2 6 4 3 2 2 4" xfId="40742"/>
    <cellStyle name="常规 6 2 6 4 3 2 3" xfId="40743"/>
    <cellStyle name="常规 6 2 6 4 3 2 3 2" xfId="40744"/>
    <cellStyle name="常规 6 2 6 4 3 2 4" xfId="40745"/>
    <cellStyle name="常规 6 2 6 4 3 2 5" xfId="40746"/>
    <cellStyle name="常规 6 2 6 4 3 3" xfId="40747"/>
    <cellStyle name="常规 6 2 6 4 3 3 2" xfId="40748"/>
    <cellStyle name="常规 6 2 6 4 3 3 2 2" xfId="40749"/>
    <cellStyle name="常规 6 2 6 4 3 3 3" xfId="40750"/>
    <cellStyle name="常规 6 2 6 4 3 3 4" xfId="40751"/>
    <cellStyle name="常规 6 2 6 4 3 4" xfId="40752"/>
    <cellStyle name="常规 6 2 6 4 3 4 2" xfId="40753"/>
    <cellStyle name="常规 6 2 6 4 3 5" xfId="40754"/>
    <cellStyle name="常规 6 2 6 4 3 6" xfId="40755"/>
    <cellStyle name="常规 6 2 6 4 4" xfId="40756"/>
    <cellStyle name="常规 6 2 6 4 4 2" xfId="40757"/>
    <cellStyle name="常规 6 2 6 4 4 2 2" xfId="40758"/>
    <cellStyle name="常规 6 2 6 4 4 2 2 2" xfId="40759"/>
    <cellStyle name="常规 6 2 6 4 4 2 3" xfId="40760"/>
    <cellStyle name="常规 6 2 6 4 4 2 4" xfId="40761"/>
    <cellStyle name="常规 6 2 6 4 4 3" xfId="40762"/>
    <cellStyle name="常规 6 2 6 4 4 3 2" xfId="40763"/>
    <cellStyle name="常规 6 2 6 4 4 4" xfId="40764"/>
    <cellStyle name="常规 6 2 6 4 4 5" xfId="40765"/>
    <cellStyle name="常规 6 2 6 4 5" xfId="40766"/>
    <cellStyle name="常规 6 2 6 4 5 2" xfId="40767"/>
    <cellStyle name="常规 6 2 6 4 5 2 2" xfId="40768"/>
    <cellStyle name="常规 6 2 6 4 5 3" xfId="40769"/>
    <cellStyle name="常规 6 2 6 4 5 4" xfId="40770"/>
    <cellStyle name="常规 6 2 6 4 6" xfId="40771"/>
    <cellStyle name="常规 6 2 6 4 6 2" xfId="40772"/>
    <cellStyle name="常规 6 2 6 4 7" xfId="40773"/>
    <cellStyle name="常规 6 2 6 4 8" xfId="40774"/>
    <cellStyle name="常规 6 2 6 5" xfId="40776"/>
    <cellStyle name="常规 6 2 6 5 2" xfId="40777"/>
    <cellStyle name="常规 6 2 6 5 2 2" xfId="40778"/>
    <cellStyle name="常规 6 2 6 5 2 2 2" xfId="40779"/>
    <cellStyle name="常规 6 2 6 5 2 2 2 2" xfId="40780"/>
    <cellStyle name="常规 6 2 6 5 2 2 2 2 2" xfId="40782"/>
    <cellStyle name="常规 6 2 6 5 2 2 2 3" xfId="40783"/>
    <cellStyle name="常规 6 2 6 5 2 2 2 4" xfId="40784"/>
    <cellStyle name="常规 6 2 6 5 2 2 3" xfId="40785"/>
    <cellStyle name="常规 6 2 6 5 2 2 3 2" xfId="29851"/>
    <cellStyle name="常规 6 2 6 5 2 2 4" xfId="40786"/>
    <cellStyle name="常规 6 2 6 5 2 2 5" xfId="40787"/>
    <cellStyle name="常规 6 2 6 5 2 3" xfId="40788"/>
    <cellStyle name="常规 6 2 6 5 2 3 2" xfId="40789"/>
    <cellStyle name="常规 6 2 6 5 2 3 2 2" xfId="40790"/>
    <cellStyle name="常规 6 2 6 5 2 3 3" xfId="40791"/>
    <cellStyle name="常规 6 2 6 5 2 3 4" xfId="40792"/>
    <cellStyle name="常规 6 2 6 5 2 4" xfId="40793"/>
    <cellStyle name="常规 6 2 6 5 2 4 2" xfId="40794"/>
    <cellStyle name="常规 6 2 6 5 2 5" xfId="40795"/>
    <cellStyle name="常规 6 2 6 5 2 6" xfId="40796"/>
    <cellStyle name="常规 6 2 6 5 3" xfId="40797"/>
    <cellStyle name="常规 6 2 6 5 3 2" xfId="40798"/>
    <cellStyle name="常规 6 2 6 5 3 2 2" xfId="40799"/>
    <cellStyle name="常规 6 2 6 5 3 2 2 2" xfId="40800"/>
    <cellStyle name="常规 6 2 6 5 3 2 3" xfId="40801"/>
    <cellStyle name="常规 6 2 6 5 3 2 4" xfId="40802"/>
    <cellStyle name="常规 6 2 6 5 3 3" xfId="40803"/>
    <cellStyle name="常规 6 2 6 5 3 3 2" xfId="40804"/>
    <cellStyle name="常规 6 2 6 5 3 4" xfId="40805"/>
    <cellStyle name="常规 6 2 6 5 3 5" xfId="40806"/>
    <cellStyle name="常规 6 2 6 5 4" xfId="40807"/>
    <cellStyle name="常规 6 2 6 5 4 2" xfId="40808"/>
    <cellStyle name="常规 6 2 6 5 4 2 2" xfId="40809"/>
    <cellStyle name="常规 6 2 6 5 4 3" xfId="40810"/>
    <cellStyle name="常规 6 2 6 5 4 4" xfId="40811"/>
    <cellStyle name="常规 6 2 6 5 5" xfId="8890"/>
    <cellStyle name="常规 6 2 6 5 5 2" xfId="40812"/>
    <cellStyle name="常规 6 2 6 5 6" xfId="40813"/>
    <cellStyle name="常规 6 2 6 5 7" xfId="40814"/>
    <cellStyle name="常规 6 2 6 6" xfId="40815"/>
    <cellStyle name="常规 6 2 6 6 2" xfId="40816"/>
    <cellStyle name="常规 6 2 6 6 2 2" xfId="40817"/>
    <cellStyle name="常规 6 2 6 6 2 2 2" xfId="40818"/>
    <cellStyle name="常规 6 2 6 6 2 2 2 2" xfId="25082"/>
    <cellStyle name="常规 6 2 6 6 2 2 3" xfId="40819"/>
    <cellStyle name="常规 6 2 6 6 2 2 4" xfId="40820"/>
    <cellStyle name="常规 6 2 6 6 2 3" xfId="40821"/>
    <cellStyle name="常规 6 2 6 6 2 3 2" xfId="40822"/>
    <cellStyle name="常规 6 2 6 6 2 4" xfId="5045"/>
    <cellStyle name="常规 6 2 6 6 2 5" xfId="5048"/>
    <cellStyle name="常规 6 2 6 6 3" xfId="40823"/>
    <cellStyle name="常规 6 2 6 6 3 2" xfId="40824"/>
    <cellStyle name="常规 6 2 6 6 3 2 2" xfId="40825"/>
    <cellStyle name="常规 6 2 6 6 3 3" xfId="40826"/>
    <cellStyle name="常规 6 2 6 6 3 4" xfId="5064"/>
    <cellStyle name="常规 6 2 6 6 4" xfId="40827"/>
    <cellStyle name="常规 6 2 6 6 4 2" xfId="40828"/>
    <cellStyle name="常规 6 2 6 6 5" xfId="40829"/>
    <cellStyle name="常规 6 2 6 6 6" xfId="40830"/>
    <cellStyle name="常规 6 2 6 7" xfId="40831"/>
    <cellStyle name="常规 6 2 6 7 2" xfId="40832"/>
    <cellStyle name="常规 6 2 6 7 2 2" xfId="40833"/>
    <cellStyle name="常规 6 2 6 7 2 2 2" xfId="40834"/>
    <cellStyle name="常规 6 2 6 7 2 3" xfId="40835"/>
    <cellStyle name="常规 6 2 6 7 2 4" xfId="5094"/>
    <cellStyle name="常规 6 2 6 7 3" xfId="40836"/>
    <cellStyle name="常规 6 2 6 7 3 2" xfId="40837"/>
    <cellStyle name="常规 6 2 6 7 4" xfId="40838"/>
    <cellStyle name="常规 6 2 6 7 5" xfId="40839"/>
    <cellStyle name="常规 6 2 6 8" xfId="40840"/>
    <cellStyle name="常规 6 2 6 8 2" xfId="19891"/>
    <cellStyle name="常规 6 2 6 8 2 2" xfId="28575"/>
    <cellStyle name="常规 6 2 6 8 3" xfId="28585"/>
    <cellStyle name="常规 6 2 6 8 4" xfId="28590"/>
    <cellStyle name="常规 6 2 6 9" xfId="40841"/>
    <cellStyle name="常规 6 2 6 9 2" xfId="28617"/>
    <cellStyle name="常规 6 2 7" xfId="40842"/>
    <cellStyle name="常规 6 2 7 10" xfId="40843"/>
    <cellStyle name="常规 6 2 7 2" xfId="40845"/>
    <cellStyle name="常规 6 2 7 2 2" xfId="40847"/>
    <cellStyle name="常规 6 2 7 2 2 2" xfId="40848"/>
    <cellStyle name="常规 6 2 7 2 2 2 2" xfId="40849"/>
    <cellStyle name="常规 6 2 7 2 2 2 2 2" xfId="40850"/>
    <cellStyle name="常规 6 2 7 2 2 2 2 2 2" xfId="40851"/>
    <cellStyle name="常规 6 2 7 2 2 2 2 2 2 2" xfId="40852"/>
    <cellStyle name="常规 6 2 7 2 2 2 2 2 2 2 2" xfId="40853"/>
    <cellStyle name="常规 6 2 7 2 2 2 2 2 2 3" xfId="40854"/>
    <cellStyle name="常规 6 2 7 2 2 2 2 2 2 4" xfId="40855"/>
    <cellStyle name="常规 6 2 7 2 2 2 2 2 3" xfId="40856"/>
    <cellStyle name="常规 6 2 7 2 2 2 2 2 3 2" xfId="40857"/>
    <cellStyle name="常规 6 2 7 2 2 2 2 2 4" xfId="29470"/>
    <cellStyle name="常规 6 2 7 2 2 2 2 2 5" xfId="40858"/>
    <cellStyle name="常规 6 2 7 2 2 2 2 3" xfId="40859"/>
    <cellStyle name="常规 6 2 7 2 2 2 2 3 2" xfId="40860"/>
    <cellStyle name="常规 6 2 7 2 2 2 2 3 2 2" xfId="40861"/>
    <cellStyle name="常规 6 2 7 2 2 2 2 3 3" xfId="40862"/>
    <cellStyle name="常规 6 2 7 2 2 2 2 3 4" xfId="40863"/>
    <cellStyle name="常规 6 2 7 2 2 2 2 4" xfId="10907"/>
    <cellStyle name="常规 6 2 7 2 2 2 2 4 2" xfId="40864"/>
    <cellStyle name="常规 6 2 7 2 2 2 2 5" xfId="40865"/>
    <cellStyle name="常规 6 2 7 2 2 2 2 6" xfId="40866"/>
    <cellStyle name="常规 6 2 7 2 2 2 3" xfId="40867"/>
    <cellStyle name="常规 6 2 7 2 2 2 3 2" xfId="40868"/>
    <cellStyle name="常规 6 2 7 2 2 2 3 2 2" xfId="40869"/>
    <cellStyle name="常规 6 2 7 2 2 2 3 2 2 2" xfId="40870"/>
    <cellStyle name="常规 6 2 7 2 2 2 3 2 3" xfId="40871"/>
    <cellStyle name="常规 6 2 7 2 2 2 3 2 4" xfId="40872"/>
    <cellStyle name="常规 6 2 7 2 2 2 3 3" xfId="40873"/>
    <cellStyle name="常规 6 2 7 2 2 2 3 3 2" xfId="40874"/>
    <cellStyle name="常规 6 2 7 2 2 2 3 4" xfId="40875"/>
    <cellStyle name="常规 6 2 7 2 2 2 3 5" xfId="40876"/>
    <cellStyle name="常规 6 2 7 2 2 2 4" xfId="30223"/>
    <cellStyle name="常规 6 2 7 2 2 2 4 2" xfId="30225"/>
    <cellStyle name="常规 6 2 7 2 2 2 4 2 2" xfId="4072"/>
    <cellStyle name="常规 6 2 7 2 2 2 4 3" xfId="30227"/>
    <cellStyle name="常规 6 2 7 2 2 2 4 4" xfId="30229"/>
    <cellStyle name="常规 6 2 7 2 2 2 5" xfId="30231"/>
    <cellStyle name="常规 6 2 7 2 2 2 5 2" xfId="30233"/>
    <cellStyle name="常规 6 2 7 2 2 2 6" xfId="30235"/>
    <cellStyle name="常规 6 2 7 2 2 2 7" xfId="30237"/>
    <cellStyle name="常规 6 2 7 2 2 3" xfId="40877"/>
    <cellStyle name="常规 6 2 7 2 2 3 2" xfId="40878"/>
    <cellStyle name="常规 6 2 7 2 2 3 2 2" xfId="40879"/>
    <cellStyle name="常规 6 2 7 2 2 3 2 2 2" xfId="40880"/>
    <cellStyle name="常规 6 2 7 2 2 3 2 2 2 2" xfId="40881"/>
    <cellStyle name="常规 6 2 7 2 2 3 2 2 3" xfId="40882"/>
    <cellStyle name="常规 6 2 7 2 2 3 2 2 4" xfId="40883"/>
    <cellStyle name="常规 6 2 7 2 2 3 2 3" xfId="40884"/>
    <cellStyle name="常规 6 2 7 2 2 3 2 3 2" xfId="40885"/>
    <cellStyle name="常规 6 2 7 2 2 3 2 4" xfId="40886"/>
    <cellStyle name="常规 6 2 7 2 2 3 2 5" xfId="40887"/>
    <cellStyle name="常规 6 2 7 2 2 3 3" xfId="40888"/>
    <cellStyle name="常规 6 2 7 2 2 3 3 2" xfId="40889"/>
    <cellStyle name="常规 6 2 7 2 2 3 3 2 2" xfId="40890"/>
    <cellStyle name="常规 6 2 7 2 2 3 3 3" xfId="40891"/>
    <cellStyle name="常规 6 2 7 2 2 3 3 4" xfId="40892"/>
    <cellStyle name="常规 6 2 7 2 2 3 4" xfId="17298"/>
    <cellStyle name="常规 6 2 7 2 2 3 4 2" xfId="30240"/>
    <cellStyle name="常规 6 2 7 2 2 3 5" xfId="30242"/>
    <cellStyle name="常规 6 2 7 2 2 3 6" xfId="30246"/>
    <cellStyle name="常规 6 2 7 2 2 4" xfId="40893"/>
    <cellStyle name="常规 6 2 7 2 2 4 2" xfId="40894"/>
    <cellStyle name="常规 6 2 7 2 2 4 2 2" xfId="40895"/>
    <cellStyle name="常规 6 2 7 2 2 4 2 2 2" xfId="40896"/>
    <cellStyle name="常规 6 2 7 2 2 4 2 3" xfId="40897"/>
    <cellStyle name="常规 6 2 7 2 2 4 2 4" xfId="40898"/>
    <cellStyle name="常规 6 2 7 2 2 4 3" xfId="40899"/>
    <cellStyle name="常规 6 2 7 2 2 4 3 2" xfId="40900"/>
    <cellStyle name="常规 6 2 7 2 2 4 4" xfId="30249"/>
    <cellStyle name="常规 6 2 7 2 2 4 5" xfId="40901"/>
    <cellStyle name="常规 6 2 7 2 2 5" xfId="40902"/>
    <cellStyle name="常规 6 2 7 2 2 5 2" xfId="40903"/>
    <cellStyle name="常规 6 2 7 2 2 5 2 2" xfId="40904"/>
    <cellStyle name="常规 6 2 7 2 2 5 3" xfId="40905"/>
    <cellStyle name="常规 6 2 7 2 2 5 4" xfId="40906"/>
    <cellStyle name="常规 6 2 7 2 2 6" xfId="40907"/>
    <cellStyle name="常规 6 2 7 2 2 6 2" xfId="40908"/>
    <cellStyle name="常规 6 2 7 2 2 7" xfId="40909"/>
    <cellStyle name="常规 6 2 7 2 2 8" xfId="40910"/>
    <cellStyle name="常规 6 2 7 2 3" xfId="40911"/>
    <cellStyle name="常规 6 2 7 2 3 2" xfId="40912"/>
    <cellStyle name="常规 6 2 7 2 3 2 2" xfId="40913"/>
    <cellStyle name="常规 6 2 7 2 3 2 2 2" xfId="40914"/>
    <cellStyle name="常规 6 2 7 2 3 2 2 2 2" xfId="40915"/>
    <cellStyle name="常规 6 2 7 2 3 2 2 2 2 2" xfId="40916"/>
    <cellStyle name="常规 6 2 7 2 3 2 2 2 3" xfId="40917"/>
    <cellStyle name="常规 6 2 7 2 3 2 2 2 4" xfId="40918"/>
    <cellStyle name="常规 6 2 7 2 3 2 2 3" xfId="40919"/>
    <cellStyle name="常规 6 2 7 2 3 2 2 3 2" xfId="40920"/>
    <cellStyle name="常规 6 2 7 2 3 2 2 4" xfId="40921"/>
    <cellStyle name="常规 6 2 7 2 3 2 2 5" xfId="40922"/>
    <cellStyle name="常规 6 2 7 2 3 2 3" xfId="40923"/>
    <cellStyle name="常规 6 2 7 2 3 2 3 2" xfId="40924"/>
    <cellStyle name="常规 6 2 7 2 3 2 3 2 2" xfId="40925"/>
    <cellStyle name="常规 6 2 7 2 3 2 3 3" xfId="40926"/>
    <cellStyle name="常规 6 2 7 2 3 2 3 4" xfId="34778"/>
    <cellStyle name="常规 6 2 7 2 3 2 4" xfId="30266"/>
    <cellStyle name="常规 6 2 7 2 3 2 4 2" xfId="30268"/>
    <cellStyle name="常规 6 2 7 2 3 2 5" xfId="30270"/>
    <cellStyle name="常规 6 2 7 2 3 2 6" xfId="30272"/>
    <cellStyle name="常规 6 2 7 2 3 3" xfId="40927"/>
    <cellStyle name="常规 6 2 7 2 3 3 2" xfId="40928"/>
    <cellStyle name="常规 6 2 7 2 3 3 2 2" xfId="40929"/>
    <cellStyle name="常规 6 2 7 2 3 3 2 2 2" xfId="40930"/>
    <cellStyle name="常规 6 2 7 2 3 3 2 3" xfId="5051"/>
    <cellStyle name="常规 6 2 7 2 3 3 2 4" xfId="40931"/>
    <cellStyle name="常规 6 2 7 2 3 3 3" xfId="40932"/>
    <cellStyle name="常规 6 2 7 2 3 3 3 2" xfId="40933"/>
    <cellStyle name="常规 6 2 7 2 3 3 4" xfId="30275"/>
    <cellStyle name="常规 6 2 7 2 3 3 5" xfId="40934"/>
    <cellStyle name="常规 6 2 7 2 3 4" xfId="40935"/>
    <cellStyle name="常规 6 2 7 2 3 4 2" xfId="40936"/>
    <cellStyle name="常规 6 2 7 2 3 4 2 2" xfId="40937"/>
    <cellStyle name="常规 6 2 7 2 3 4 3" xfId="40938"/>
    <cellStyle name="常规 6 2 7 2 3 4 4" xfId="40939"/>
    <cellStyle name="常规 6 2 7 2 3 5" xfId="40940"/>
    <cellStyle name="常规 6 2 7 2 3 5 2" xfId="40941"/>
    <cellStyle name="常规 6 2 7 2 3 6" xfId="40942"/>
    <cellStyle name="常规 6 2 7 2 3 7" xfId="40943"/>
    <cellStyle name="常规 6 2 7 2 4" xfId="40944"/>
    <cellStyle name="常规 6 2 7 2 4 2" xfId="40945"/>
    <cellStyle name="常规 6 2 7 2 4 2 2" xfId="40946"/>
    <cellStyle name="常规 6 2 7 2 4 2 2 2" xfId="40947"/>
    <cellStyle name="常规 6 2 7 2 4 2 2 2 2" xfId="40948"/>
    <cellStyle name="常规 6 2 7 2 4 2 2 3" xfId="40949"/>
    <cellStyle name="常规 6 2 7 2 4 2 2 4" xfId="40950"/>
    <cellStyle name="常规 6 2 7 2 4 2 3" xfId="40951"/>
    <cellStyle name="常规 6 2 7 2 4 2 3 2" xfId="40952"/>
    <cellStyle name="常规 6 2 7 2 4 2 4" xfId="30285"/>
    <cellStyle name="常规 6 2 7 2 4 2 5" xfId="40953"/>
    <cellStyle name="常规 6 2 7 2 4 3" xfId="40954"/>
    <cellStyle name="常规 6 2 7 2 4 3 2" xfId="40955"/>
    <cellStyle name="常规 6 2 7 2 4 3 2 2" xfId="40956"/>
    <cellStyle name="常规 6 2 7 2 4 3 3" xfId="40957"/>
    <cellStyle name="常规 6 2 7 2 4 3 4" xfId="40958"/>
    <cellStyle name="常规 6 2 7 2 4 4" xfId="40959"/>
    <cellStyle name="常规 6 2 7 2 4 4 2" xfId="40960"/>
    <cellStyle name="常规 6 2 7 2 4 5" xfId="40961"/>
    <cellStyle name="常规 6 2 7 2 4 6" xfId="40962"/>
    <cellStyle name="常规 6 2 7 2 5" xfId="40963"/>
    <cellStyle name="常规 6 2 7 2 5 2" xfId="40964"/>
    <cellStyle name="常规 6 2 7 2 5 2 2" xfId="40965"/>
    <cellStyle name="常规 6 2 7 2 5 2 2 2" xfId="40966"/>
    <cellStyle name="常规 6 2 7 2 5 2 3" xfId="40967"/>
    <cellStyle name="常规 6 2 7 2 5 2 4" xfId="40968"/>
    <cellStyle name="常规 6 2 7 2 5 3" xfId="40969"/>
    <cellStyle name="常规 6 2 7 2 5 3 2" xfId="40970"/>
    <cellStyle name="常规 6 2 7 2 5 4" xfId="40971"/>
    <cellStyle name="常规 6 2 7 2 5 5" xfId="40972"/>
    <cellStyle name="常规 6 2 7 2 6" xfId="40973"/>
    <cellStyle name="常规 6 2 7 2 6 2" xfId="40974"/>
    <cellStyle name="常规 6 2 7 2 6 2 2" xfId="40975"/>
    <cellStyle name="常规 6 2 7 2 6 3" xfId="40976"/>
    <cellStyle name="常规 6 2 7 2 6 4" xfId="40977"/>
    <cellStyle name="常规 6 2 7 2 7" xfId="40978"/>
    <cellStyle name="常规 6 2 7 2 7 2" xfId="40979"/>
    <cellStyle name="常规 6 2 7 2 8" xfId="40980"/>
    <cellStyle name="常规 6 2 7 2 9" xfId="40981"/>
    <cellStyle name="常规 6 2 7 3" xfId="40984"/>
    <cellStyle name="常规 6 2 7 3 2" xfId="40986"/>
    <cellStyle name="常规 6 2 7 3 2 2" xfId="40987"/>
    <cellStyle name="常规 6 2 7 3 2 2 2" xfId="40988"/>
    <cellStyle name="常规 6 2 7 3 2 2 2 2" xfId="40989"/>
    <cellStyle name="常规 6 2 7 3 2 2 2 2 2" xfId="17406"/>
    <cellStyle name="常规 6 2 7 3 2 2 2 2 2 2" xfId="40990"/>
    <cellStyle name="常规 6 2 7 3 2 2 2 2 3" xfId="40991"/>
    <cellStyle name="常规 6 2 7 3 2 2 2 2 4" xfId="17431"/>
    <cellStyle name="常规 6 2 7 3 2 2 2 3" xfId="40992"/>
    <cellStyle name="常规 6 2 7 3 2 2 2 3 2" xfId="40993"/>
    <cellStyle name="常规 6 2 7 3 2 2 2 4" xfId="40994"/>
    <cellStyle name="常规 6 2 7 3 2 2 2 5" xfId="40995"/>
    <cellStyle name="常规 6 2 7 3 2 2 3" xfId="40996"/>
    <cellStyle name="常规 6 2 7 3 2 2 3 2" xfId="39454"/>
    <cellStyle name="常规 6 2 7 3 2 2 3 2 2" xfId="40997"/>
    <cellStyle name="常规 6 2 7 3 2 2 3 3" xfId="39456"/>
    <cellStyle name="常规 6 2 7 3 2 2 3 4" xfId="40998"/>
    <cellStyle name="常规 6 2 7 3 2 2 4" xfId="30310"/>
    <cellStyle name="常规 6 2 7 3 2 2 4 2" xfId="17526"/>
    <cellStyle name="常规 6 2 7 3 2 2 5" xfId="30313"/>
    <cellStyle name="常规 6 2 7 3 2 2 6" xfId="20781"/>
    <cellStyle name="常规 6 2 7 3 2 3" xfId="40999"/>
    <cellStyle name="常规 6 2 7 3 2 3 2" xfId="41000"/>
    <cellStyle name="常规 6 2 7 3 2 3 2 2" xfId="41001"/>
    <cellStyle name="常规 6 2 7 3 2 3 2 2 2" xfId="41002"/>
    <cellStyle name="常规 6 2 7 3 2 3 2 3" xfId="41003"/>
    <cellStyle name="常规 6 2 7 3 2 3 2 4" xfId="41004"/>
    <cellStyle name="常规 6 2 7 3 2 3 3" xfId="41005"/>
    <cellStyle name="常规 6 2 7 3 2 3 3 2" xfId="41006"/>
    <cellStyle name="常规 6 2 7 3 2 3 4" xfId="30319"/>
    <cellStyle name="常规 6 2 7 3 2 3 5" xfId="41007"/>
    <cellStyle name="常规 6 2 7 3 2 4" xfId="41008"/>
    <cellStyle name="常规 6 2 7 3 2 4 2" xfId="41009"/>
    <cellStyle name="常规 6 2 7 3 2 4 2 2" xfId="41010"/>
    <cellStyle name="常规 6 2 7 3 2 4 3" xfId="41011"/>
    <cellStyle name="常规 6 2 7 3 2 4 4" xfId="41012"/>
    <cellStyle name="常规 6 2 7 3 2 5" xfId="41013"/>
    <cellStyle name="常规 6 2 7 3 2 5 2" xfId="41014"/>
    <cellStyle name="常规 6 2 7 3 2 6" xfId="41015"/>
    <cellStyle name="常规 6 2 7 3 2 7" xfId="41016"/>
    <cellStyle name="常规 6 2 7 3 3" xfId="41017"/>
    <cellStyle name="常规 6 2 7 3 3 2" xfId="20234"/>
    <cellStyle name="常规 6 2 7 3 3 2 2" xfId="20236"/>
    <cellStyle name="常规 6 2 7 3 3 2 2 2" xfId="19367"/>
    <cellStyle name="常规 6 2 7 3 3 2 2 2 2" xfId="19369"/>
    <cellStyle name="常规 6 2 7 3 3 2 2 3" xfId="19385"/>
    <cellStyle name="常规 6 2 7 3 3 2 2 4" xfId="19394"/>
    <cellStyle name="常规 6 2 7 3 3 2 3" xfId="20238"/>
    <cellStyle name="常规 6 2 7 3 3 2 3 2" xfId="19418"/>
    <cellStyle name="常规 6 2 7 3 3 2 4" xfId="20241"/>
    <cellStyle name="常规 6 2 7 3 3 2 5" xfId="20244"/>
    <cellStyle name="常规 6 2 7 3 3 3" xfId="17328"/>
    <cellStyle name="常规 6 2 7 3 3 3 2" xfId="20247"/>
    <cellStyle name="常规 6 2 7 3 3 3 2 2" xfId="19577"/>
    <cellStyle name="常规 6 2 7 3 3 3 3" xfId="20250"/>
    <cellStyle name="常规 6 2 7 3 3 3 4" xfId="20253"/>
    <cellStyle name="常规 6 2 7 3 3 4" xfId="20256"/>
    <cellStyle name="常规 6 2 7 3 3 4 2" xfId="20259"/>
    <cellStyle name="常规 6 2 7 3 3 5" xfId="20262"/>
    <cellStyle name="常规 6 2 7 3 3 6" xfId="20265"/>
    <cellStyle name="常规 6 2 7 3 4" xfId="41018"/>
    <cellStyle name="常规 6 2 7 3 4 2" xfId="18202"/>
    <cellStyle name="常规 6 2 7 3 4 2 2" xfId="20432"/>
    <cellStyle name="常规 6 2 7 3 4 2 2 2" xfId="20434"/>
    <cellStyle name="常规 6 2 7 3 4 2 3" xfId="20441"/>
    <cellStyle name="常规 6 2 7 3 4 2 4" xfId="20444"/>
    <cellStyle name="常规 6 2 7 3 4 3" xfId="20448"/>
    <cellStyle name="常规 6 2 7 3 4 3 2" xfId="20451"/>
    <cellStyle name="常规 6 2 7 3 4 4" xfId="20461"/>
    <cellStyle name="常规 6 2 7 3 4 5" xfId="20466"/>
    <cellStyle name="常规 6 2 7 3 5" xfId="41019"/>
    <cellStyle name="常规 6 2 7 3 5 2" xfId="20539"/>
    <cellStyle name="常规 6 2 7 3 5 2 2" xfId="20541"/>
    <cellStyle name="常规 6 2 7 3 5 3" xfId="20548"/>
    <cellStyle name="常规 6 2 7 3 5 4" xfId="20554"/>
    <cellStyle name="常规 6 2 7 3 6" xfId="41020"/>
    <cellStyle name="常规 6 2 7 3 6 2" xfId="20595"/>
    <cellStyle name="常规 6 2 7 3 7" xfId="41021"/>
    <cellStyle name="常规 6 2 7 3 8" xfId="41022"/>
    <cellStyle name="常规 6 2 7 4" xfId="41025"/>
    <cellStyle name="常规 6 2 7 4 2" xfId="41026"/>
    <cellStyle name="常规 6 2 7 4 2 2" xfId="41027"/>
    <cellStyle name="常规 6 2 7 4 2 2 2" xfId="41028"/>
    <cellStyle name="常规 6 2 7 4 2 2 2 2" xfId="41029"/>
    <cellStyle name="常规 6 2 7 4 2 2 2 2 2" xfId="41030"/>
    <cellStyle name="常规 6 2 7 4 2 2 2 3" xfId="41031"/>
    <cellStyle name="常规 6 2 7 4 2 2 2 4" xfId="41032"/>
    <cellStyle name="常规 6 2 7 4 2 2 3" xfId="41033"/>
    <cellStyle name="常规 6 2 7 4 2 2 3 2" xfId="41034"/>
    <cellStyle name="常规 6 2 7 4 2 2 4" xfId="30356"/>
    <cellStyle name="常规 6 2 7 4 2 2 5" xfId="41035"/>
    <cellStyle name="常规 6 2 7 4 2 3" xfId="41036"/>
    <cellStyle name="常规 6 2 7 4 2 3 2" xfId="41037"/>
    <cellStyle name="常规 6 2 7 4 2 3 2 2" xfId="41038"/>
    <cellStyle name="常规 6 2 7 4 2 3 3" xfId="41039"/>
    <cellStyle name="常规 6 2 7 4 2 3 4" xfId="41040"/>
    <cellStyle name="常规 6 2 7 4 2 4" xfId="41041"/>
    <cellStyle name="常规 6 2 7 4 2 4 2" xfId="41042"/>
    <cellStyle name="常规 6 2 7 4 2 5" xfId="41043"/>
    <cellStyle name="常规 6 2 7 4 2 6" xfId="41044"/>
    <cellStyle name="常规 6 2 7 4 3" xfId="41045"/>
    <cellStyle name="常规 6 2 7 4 3 2" xfId="1932"/>
    <cellStyle name="常规 6 2 7 4 3 2 2" xfId="8905"/>
    <cellStyle name="常规 6 2 7 4 3 2 2 2" xfId="20232"/>
    <cellStyle name="常规 6 2 7 4 3 2 3" xfId="20799"/>
    <cellStyle name="常规 6 2 7 4 3 2 4" xfId="20802"/>
    <cellStyle name="常规 6 2 7 4 3 3" xfId="8909"/>
    <cellStyle name="常规 6 2 7 4 3 3 2" xfId="20806"/>
    <cellStyle name="常规 6 2 7 4 3 4" xfId="8913"/>
    <cellStyle name="常规 6 2 7 4 3 5" xfId="20815"/>
    <cellStyle name="常规 6 2 7 4 4" xfId="41046"/>
    <cellStyle name="常规 6 2 7 4 4 2" xfId="1957"/>
    <cellStyle name="常规 6 2 7 4 4 2 2" xfId="20891"/>
    <cellStyle name="常规 6 2 7 4 4 3" xfId="16991"/>
    <cellStyle name="常规 6 2 7 4 4 4" xfId="20898"/>
    <cellStyle name="常规 6 2 7 4 5" xfId="41047"/>
    <cellStyle name="常规 6 2 7 4 5 2" xfId="20943"/>
    <cellStyle name="常规 6 2 7 4 6" xfId="41048"/>
    <cellStyle name="常规 6 2 7 4 7" xfId="41049"/>
    <cellStyle name="常规 6 2 7 5" xfId="41051"/>
    <cellStyle name="常规 6 2 7 5 2" xfId="41052"/>
    <cellStyle name="常规 6 2 7 5 2 2" xfId="41053"/>
    <cellStyle name="常规 6 2 7 5 2 2 2" xfId="41054"/>
    <cellStyle name="常规 6 2 7 5 2 2 2 2" xfId="41055"/>
    <cellStyle name="常规 6 2 7 5 2 2 3" xfId="41056"/>
    <cellStyle name="常规 6 2 7 5 2 2 4" xfId="41057"/>
    <cellStyle name="常规 6 2 7 5 2 3" xfId="41058"/>
    <cellStyle name="常规 6 2 7 5 2 3 2" xfId="41059"/>
    <cellStyle name="常规 6 2 7 5 2 4" xfId="41060"/>
    <cellStyle name="常规 6 2 7 5 2 5" xfId="41061"/>
    <cellStyle name="常规 6 2 7 5 3" xfId="41062"/>
    <cellStyle name="常规 6 2 7 5 3 2" xfId="8722"/>
    <cellStyle name="常规 6 2 7 5 3 2 2" xfId="8726"/>
    <cellStyle name="常规 6 2 7 5 3 3" xfId="8731"/>
    <cellStyle name="常规 6 2 7 5 3 4" xfId="8736"/>
    <cellStyle name="常规 6 2 7 5 4" xfId="41063"/>
    <cellStyle name="常规 6 2 7 5 4 2" xfId="8748"/>
    <cellStyle name="常规 6 2 7 5 5" xfId="41064"/>
    <cellStyle name="常规 6 2 7 5 6" xfId="41065"/>
    <cellStyle name="常规 6 2 7 6" xfId="41066"/>
    <cellStyle name="常规 6 2 7 6 2" xfId="41067"/>
    <cellStyle name="常规 6 2 7 6 2 2" xfId="41068"/>
    <cellStyle name="常规 6 2 7 6 2 2 2" xfId="41069"/>
    <cellStyle name="常规 6 2 7 6 2 3" xfId="41070"/>
    <cellStyle name="常规 6 2 7 6 2 4" xfId="1410"/>
    <cellStyle name="常规 6 2 7 6 3" xfId="41071"/>
    <cellStyle name="常规 6 2 7 6 3 2" xfId="5998"/>
    <cellStyle name="常规 6 2 7 6 4" xfId="41072"/>
    <cellStyle name="常规 6 2 7 6 5" xfId="41073"/>
    <cellStyle name="常规 6 2 7 7" xfId="41074"/>
    <cellStyle name="常规 6 2 7 7 2" xfId="41075"/>
    <cellStyle name="常规 6 2 7 7 2 2" xfId="41076"/>
    <cellStyle name="常规 6 2 7 7 3" xfId="41077"/>
    <cellStyle name="常规 6 2 7 7 4" xfId="41078"/>
    <cellStyle name="常规 6 2 7 8" xfId="41079"/>
    <cellStyle name="常规 6 2 7 8 2" xfId="28678"/>
    <cellStyle name="常规 6 2 7 9" xfId="41080"/>
    <cellStyle name="常规 6 2 8" xfId="41081"/>
    <cellStyle name="常规 6 2 8 2" xfId="41083"/>
    <cellStyle name="常规 6 2 8 2 2" xfId="41084"/>
    <cellStyle name="常规 6 2 8 2 2 2" xfId="23951"/>
    <cellStyle name="常规 6 2 8 2 2 2 2" xfId="23953"/>
    <cellStyle name="常规 6 2 8 2 2 2 2 2" xfId="23957"/>
    <cellStyle name="常规 6 2 8 2 2 2 2 2 2" xfId="18556"/>
    <cellStyle name="常规 6 2 8 2 2 2 2 3" xfId="23961"/>
    <cellStyle name="常规 6 2 8 2 2 2 2 4" xfId="23963"/>
    <cellStyle name="常规 6 2 8 2 2 2 3" xfId="23967"/>
    <cellStyle name="常规 6 2 8 2 2 2 3 2" xfId="23971"/>
    <cellStyle name="常规 6 2 8 2 2 2 4" xfId="23977"/>
    <cellStyle name="常规 6 2 8 2 2 2 5" xfId="23988"/>
    <cellStyle name="常规 6 2 8 2 2 3" xfId="17438"/>
    <cellStyle name="常规 6 2 8 2 2 3 2" xfId="17441"/>
    <cellStyle name="常规 6 2 8 2 2 3 2 2" xfId="9851"/>
    <cellStyle name="常规 6 2 8 2 2 3 3" xfId="24006"/>
    <cellStyle name="常规 6 2 8 2 2 3 4" xfId="24010"/>
    <cellStyle name="常规 6 2 8 2 2 4" xfId="17444"/>
    <cellStyle name="常规 6 2 8 2 2 4 2" xfId="24023"/>
    <cellStyle name="常规 6 2 8 2 2 5" xfId="17447"/>
    <cellStyle name="常规 6 2 8 2 2 6" xfId="24036"/>
    <cellStyle name="常规 6 2 8 2 3" xfId="41085"/>
    <cellStyle name="常规 6 2 8 2 3 2" xfId="24142"/>
    <cellStyle name="常规 6 2 8 2 3 2 2" xfId="24144"/>
    <cellStyle name="常规 6 2 8 2 3 2 2 2" xfId="24149"/>
    <cellStyle name="常规 6 2 8 2 3 2 3" xfId="24167"/>
    <cellStyle name="常规 6 2 8 2 3 2 4" xfId="24178"/>
    <cellStyle name="常规 6 2 8 2 3 3" xfId="17451"/>
    <cellStyle name="常规 6 2 8 2 3 3 2" xfId="24191"/>
    <cellStyle name="常规 6 2 8 2 3 4" xfId="24211"/>
    <cellStyle name="常规 6 2 8 2 3 5" xfId="24221"/>
    <cellStyle name="常规 6 2 8 2 4" xfId="41086"/>
    <cellStyle name="常规 6 2 8 2 4 2" xfId="24272"/>
    <cellStyle name="常规 6 2 8 2 4 2 2" xfId="7098"/>
    <cellStyle name="常规 6 2 8 2 4 3" xfId="24283"/>
    <cellStyle name="常规 6 2 8 2 4 4" xfId="24295"/>
    <cellStyle name="常规 6 2 8 2 5" xfId="41087"/>
    <cellStyle name="常规 6 2 8 2 5 2" xfId="24332"/>
    <cellStyle name="常规 6 2 8 2 6" xfId="41088"/>
    <cellStyle name="常规 6 2 8 2 7" xfId="41089"/>
    <cellStyle name="常规 6 2 8 3" xfId="41092"/>
    <cellStyle name="常规 6 2 8 3 2" xfId="41093"/>
    <cellStyle name="常规 6 2 8 3 2 2" xfId="41094"/>
    <cellStyle name="常规 6 2 8 3 2 2 2" xfId="35502"/>
    <cellStyle name="常规 6 2 8 3 2 2 2 2" xfId="35504"/>
    <cellStyle name="常规 6 2 8 3 2 2 3" xfId="22560"/>
    <cellStyle name="常规 6 2 8 3 2 2 4" xfId="30435"/>
    <cellStyle name="常规 6 2 8 3 2 3" xfId="41095"/>
    <cellStyle name="常规 6 2 8 3 2 3 2" xfId="35542"/>
    <cellStyle name="常规 6 2 8 3 2 4" xfId="41096"/>
    <cellStyle name="常规 6 2 8 3 2 5" xfId="41097"/>
    <cellStyle name="常规 6 2 8 3 3" xfId="41098"/>
    <cellStyle name="常规 6 2 8 3 3 2" xfId="41099"/>
    <cellStyle name="常规 6 2 8 3 3 2 2" xfId="36008"/>
    <cellStyle name="常规 6 2 8 3 3 3" xfId="41100"/>
    <cellStyle name="常规 6 2 8 3 3 4" xfId="41101"/>
    <cellStyle name="常规 6 2 8 3 4" xfId="41102"/>
    <cellStyle name="常规 6 2 8 3 4 2" xfId="41103"/>
    <cellStyle name="常规 6 2 8 3 5" xfId="41104"/>
    <cellStyle name="常规 6 2 8 3 6" xfId="41105"/>
    <cellStyle name="常规 6 2 8 4" xfId="41106"/>
    <cellStyle name="常规 6 2 8 4 2" xfId="41107"/>
    <cellStyle name="常规 6 2 8 4 2 2" xfId="41108"/>
    <cellStyle name="常规 6 2 8 4 2 2 2" xfId="36898"/>
    <cellStyle name="常规 6 2 8 4 2 3" xfId="41109"/>
    <cellStyle name="常规 6 2 8 4 2 4" xfId="41110"/>
    <cellStyle name="常规 6 2 8 4 3" xfId="41111"/>
    <cellStyle name="常规 6 2 8 4 3 2" xfId="41112"/>
    <cellStyle name="常规 6 2 8 4 4" xfId="41113"/>
    <cellStyle name="常规 6 2 8 4 5" xfId="41114"/>
    <cellStyle name="常规 6 2 8 5" xfId="41115"/>
    <cellStyle name="常规 6 2 8 5 2" xfId="41116"/>
    <cellStyle name="常规 6 2 8 5 2 2" xfId="41117"/>
    <cellStyle name="常规 6 2 8 5 3" xfId="41118"/>
    <cellStyle name="常规 6 2 8 5 4" xfId="41119"/>
    <cellStyle name="常规 6 2 8 6" xfId="41120"/>
    <cellStyle name="常规 6 2 8 6 2" xfId="41121"/>
    <cellStyle name="常规 6 2 8 7" xfId="41122"/>
    <cellStyle name="常规 6 2 8 8" xfId="41123"/>
    <cellStyle name="常规 6 2 9" xfId="41124"/>
    <cellStyle name="常规 6 2 9 2" xfId="41126"/>
    <cellStyle name="常规 6 2 9 2 2" xfId="41127"/>
    <cellStyle name="常规 6 2 9 2 2 2" xfId="41128"/>
    <cellStyle name="常规 6 2 9 2 2 2 2" xfId="41129"/>
    <cellStyle name="常规 6 2 9 2 2 2 2 2" xfId="41130"/>
    <cellStyle name="常规 6 2 9 2 2 2 3" xfId="41131"/>
    <cellStyle name="常规 6 2 9 2 2 2 4" xfId="30531"/>
    <cellStyle name="常规 6 2 9 2 2 3" xfId="41132"/>
    <cellStyle name="常规 6 2 9 2 2 3 2" xfId="41133"/>
    <cellStyle name="常规 6 2 9 2 2 4" xfId="41134"/>
    <cellStyle name="常规 6 2 9 2 2 5" xfId="41135"/>
    <cellStyle name="常规 6 2 9 2 3" xfId="41136"/>
    <cellStyle name="常规 6 2 9 2 3 2" xfId="41137"/>
    <cellStyle name="常规 6 2 9 2 3 2 2" xfId="2137"/>
    <cellStyle name="常规 6 2 9 2 3 3" xfId="41138"/>
    <cellStyle name="常规 6 2 9 2 3 4" xfId="41139"/>
    <cellStyle name="常规 6 2 9 2 4" xfId="41140"/>
    <cellStyle name="常规 6 2 9 2 4 2" xfId="41141"/>
    <cellStyle name="常规 6 2 9 2 5" xfId="41142"/>
    <cellStyle name="常规 6 2 9 2 6" xfId="41143"/>
    <cellStyle name="常规 6 2 9 3" xfId="1391"/>
    <cellStyle name="常规 6 2 9 3 2" xfId="41144"/>
    <cellStyle name="常规 6 2 9 3 2 2" xfId="41145"/>
    <cellStyle name="常规 6 2 9 3 2 2 2" xfId="41146"/>
    <cellStyle name="常规 6 2 9 3 2 3" xfId="41147"/>
    <cellStyle name="常规 6 2 9 3 2 4" xfId="12265"/>
    <cellStyle name="常规 6 2 9 3 3" xfId="41148"/>
    <cellStyle name="常规 6 2 9 3 3 2" xfId="9500"/>
    <cellStyle name="常规 6 2 9 3 4" xfId="41149"/>
    <cellStyle name="常规 6 2 9 3 5" xfId="41150"/>
    <cellStyle name="常规 6 2 9 4" xfId="41151"/>
    <cellStyle name="常规 6 2 9 4 2" xfId="41152"/>
    <cellStyle name="常规 6 2 9 4 2 2" xfId="41153"/>
    <cellStyle name="常规 6 2 9 4 3" xfId="41154"/>
    <cellStyle name="常规 6 2 9 4 4" xfId="41155"/>
    <cellStyle name="常规 6 2 9 5" xfId="41156"/>
    <cellStyle name="常规 6 2 9 5 2" xfId="41157"/>
    <cellStyle name="常规 6 2 9 6" xfId="41158"/>
    <cellStyle name="常规 6 2 9 7" xfId="41159"/>
    <cellStyle name="常规 6 2_Sheet2" xfId="8867"/>
    <cellStyle name="常规 6 20" xfId="19305"/>
    <cellStyle name="常规 6 21" xfId="31205"/>
    <cellStyle name="常规 6 22" xfId="31453"/>
    <cellStyle name="常规 6 23" xfId="31456"/>
    <cellStyle name="常规 6 3" xfId="41160"/>
    <cellStyle name="常规 6 3 10" xfId="41161"/>
    <cellStyle name="常规 6 3 10 2" xfId="41162"/>
    <cellStyle name="常规 6 3 10 2 2" xfId="41163"/>
    <cellStyle name="常规 6 3 10 2 2 2" xfId="19019"/>
    <cellStyle name="常规 6 3 10 2 3" xfId="41164"/>
    <cellStyle name="常规 6 3 10 2 4" xfId="41165"/>
    <cellStyle name="常规 6 3 10 3" xfId="41166"/>
    <cellStyle name="常规 6 3 10 3 2" xfId="41167"/>
    <cellStyle name="常规 6 3 10 4" xfId="41168"/>
    <cellStyle name="常规 6 3 10 5" xfId="41169"/>
    <cellStyle name="常规 6 3 11" xfId="41170"/>
    <cellStyle name="常规 6 3 11 2" xfId="41171"/>
    <cellStyle name="常规 6 3 11 2 2" xfId="41172"/>
    <cellStyle name="常规 6 3 11 3" xfId="41173"/>
    <cellStyle name="常规 6 3 11 4" xfId="41174"/>
    <cellStyle name="常规 6 3 12" xfId="38593"/>
    <cellStyle name="常规 6 3 12 2" xfId="41175"/>
    <cellStyle name="常规 6 3 13" xfId="41176"/>
    <cellStyle name="常规 6 3 14" xfId="41177"/>
    <cellStyle name="常规 6 3 15" xfId="38496"/>
    <cellStyle name="常规 6 3 16" xfId="41178"/>
    <cellStyle name="常规 6 3 17" xfId="41179"/>
    <cellStyle name="常规 6 3 2" xfId="41180"/>
    <cellStyle name="常规 6 3 3" xfId="41181"/>
    <cellStyle name="常规 6 3 3 10" xfId="41182"/>
    <cellStyle name="常规 6 3 3 10 2" xfId="41183"/>
    <cellStyle name="常规 6 3 3 10 2 2" xfId="22905"/>
    <cellStyle name="常规 6 3 3 10 3" xfId="41184"/>
    <cellStyle name="常规 6 3 3 10 4" xfId="41185"/>
    <cellStyle name="常规 6 3 3 11" xfId="1674"/>
    <cellStyle name="常规 6 3 3 11 2" xfId="23235"/>
    <cellStyle name="常规 6 3 3 12" xfId="1795"/>
    <cellStyle name="常规 6 3 3 13" xfId="23247"/>
    <cellStyle name="常规 6 3 3 2" xfId="41186"/>
    <cellStyle name="常规 6 3 3 2 10" xfId="2609"/>
    <cellStyle name="常规 6 3 3 2 10 2" xfId="41187"/>
    <cellStyle name="常规 6 3 3 2 11" xfId="41188"/>
    <cellStyle name="常规 6 3 3 2 12" xfId="33678"/>
    <cellStyle name="常规 6 3 3 2 2" xfId="41189"/>
    <cellStyle name="常规 6 3 3 2 2 10" xfId="41191"/>
    <cellStyle name="常规 6 3 3 2 2 11" xfId="41193"/>
    <cellStyle name="常规 6 3 3 2 2 2" xfId="41194"/>
    <cellStyle name="常规 6 3 3 2 2 2 2" xfId="41195"/>
    <cellStyle name="常规 6 3 3 2 2 2 2 2" xfId="41196"/>
    <cellStyle name="常规 6 3 3 2 2 2 2 2 2" xfId="41197"/>
    <cellStyle name="常规 6 3 3 2 2 2 2 2 2 2" xfId="41198"/>
    <cellStyle name="常规 6 3 3 2 2 2 2 2 2 2 2" xfId="41199"/>
    <cellStyle name="常规 6 3 3 2 2 2 2 2 2 2 2 2" xfId="41200"/>
    <cellStyle name="常规 6 3 3 2 2 2 2 2 2 2 2 2 2" xfId="41201"/>
    <cellStyle name="常规 6 3 3 2 2 2 2 2 2 2 2 3" xfId="41202"/>
    <cellStyle name="常规 6 3 3 2 2 2 2 2 2 2 2 4" xfId="41203"/>
    <cellStyle name="常规 6 3 3 2 2 2 2 2 2 2 3" xfId="41204"/>
    <cellStyle name="常规 6 3 3 2 2 2 2 2 2 2 3 2" xfId="41205"/>
    <cellStyle name="常规 6 3 3 2 2 2 2 2 2 2 4" xfId="41206"/>
    <cellStyle name="常规 6 3 3 2 2 2 2 2 2 2 5" xfId="41207"/>
    <cellStyle name="常规 6 3 3 2 2 2 2 2 2 3" xfId="41208"/>
    <cellStyle name="常规 6 3 3 2 2 2 2 2 2 3 2" xfId="41209"/>
    <cellStyle name="常规 6 3 3 2 2 2 2 2 2 3 2 2" xfId="41210"/>
    <cellStyle name="常规 6 3 3 2 2 2 2 2 2 3 3" xfId="41211"/>
    <cellStyle name="常规 6 3 3 2 2 2 2 2 2 3 4" xfId="41212"/>
    <cellStyle name="常规 6 3 3 2 2 2 2 2 2 4" xfId="41213"/>
    <cellStyle name="常规 6 3 3 2 2 2 2 2 2 4 2" xfId="41214"/>
    <cellStyle name="常规 6 3 3 2 2 2 2 2 2 5" xfId="41215"/>
    <cellStyle name="常规 6 3 3 2 2 2 2 2 2 6" xfId="41216"/>
    <cellStyle name="常规 6 3 3 2 2 2 2 2 3" xfId="41217"/>
    <cellStyle name="常规 6 3 3 2 2 2 2 2 3 2" xfId="41218"/>
    <cellStyle name="常规 6 3 3 2 2 2 2 2 3 2 2" xfId="41219"/>
    <cellStyle name="常规 6 3 3 2 2 2 2 2 3 2 2 2" xfId="41220"/>
    <cellStyle name="常规 6 3 3 2 2 2 2 2 3 2 3" xfId="41221"/>
    <cellStyle name="常规 6 3 3 2 2 2 2 2 3 2 4" xfId="41222"/>
    <cellStyle name="常规 6 3 3 2 2 2 2 2 3 3" xfId="41223"/>
    <cellStyle name="常规 6 3 3 2 2 2 2 2 3 3 2" xfId="41224"/>
    <cellStyle name="常规 6 3 3 2 2 2 2 2 3 4" xfId="41225"/>
    <cellStyle name="常规 6 3 3 2 2 2 2 2 3 5" xfId="39630"/>
    <cellStyle name="常规 6 3 3 2 2 2 2 2 4" xfId="41226"/>
    <cellStyle name="常规 6 3 3 2 2 2 2 2 4 2" xfId="41227"/>
    <cellStyle name="常规 6 3 3 2 2 2 2 2 4 2 2" xfId="41228"/>
    <cellStyle name="常规 6 3 3 2 2 2 2 2 4 3" xfId="41229"/>
    <cellStyle name="常规 6 3 3 2 2 2 2 2 4 4" xfId="41230"/>
    <cellStyle name="常规 6 3 3 2 2 2 2 2 5" xfId="41231"/>
    <cellStyle name="常规 6 3 3 2 2 2 2 2 5 2" xfId="41233"/>
    <cellStyle name="常规 6 3 3 2 2 2 2 2 6" xfId="41234"/>
    <cellStyle name="常规 6 3 3 2 2 2 2 2 7" xfId="41235"/>
    <cellStyle name="常规 6 3 3 2 2 2 2 3" xfId="41236"/>
    <cellStyle name="常规 6 3 3 2 2 2 2 3 2" xfId="37669"/>
    <cellStyle name="常规 6 3 3 2 2 2 2 3 2 2" xfId="41237"/>
    <cellStyle name="常规 6 3 3 2 2 2 2 3 2 2 2" xfId="41238"/>
    <cellStyle name="常规 6 3 3 2 2 2 2 3 2 2 2 2" xfId="41239"/>
    <cellStyle name="常规 6 3 3 2 2 2 2 3 2 2 3" xfId="41240"/>
    <cellStyle name="常规 6 3 3 2 2 2 2 3 2 2 4" xfId="41241"/>
    <cellStyle name="常规 6 3 3 2 2 2 2 3 2 3" xfId="41242"/>
    <cellStyle name="常规 6 3 3 2 2 2 2 3 2 3 2" xfId="23742"/>
    <cellStyle name="常规 6 3 3 2 2 2 2 3 2 4" xfId="41243"/>
    <cellStyle name="常规 6 3 3 2 2 2 2 3 2 5" xfId="41244"/>
    <cellStyle name="常规 6 3 3 2 2 2 2 3 3" xfId="37671"/>
    <cellStyle name="常规 6 3 3 2 2 2 2 3 3 2" xfId="41245"/>
    <cellStyle name="常规 6 3 3 2 2 2 2 3 3 2 2" xfId="41246"/>
    <cellStyle name="常规 6 3 3 2 2 2 2 3 3 3" xfId="41247"/>
    <cellStyle name="常规 6 3 3 2 2 2 2 3 3 4" xfId="41248"/>
    <cellStyle name="常规 6 3 3 2 2 2 2 3 4" xfId="41249"/>
    <cellStyle name="常规 6 3 3 2 2 2 2 3 4 2" xfId="41250"/>
    <cellStyle name="常规 6 3 3 2 2 2 2 3 5" xfId="41251"/>
    <cellStyle name="常规 6 3 3 2 2 2 2 3 6" xfId="41252"/>
    <cellStyle name="常规 6 3 3 2 2 2 2 4" xfId="41253"/>
    <cellStyle name="常规 6 3 3 2 2 2 2 4 2" xfId="37686"/>
    <cellStyle name="常规 6 3 3 2 2 2 2 4 2 2" xfId="41254"/>
    <cellStyle name="常规 6 3 3 2 2 2 2 4 2 2 2" xfId="41255"/>
    <cellStyle name="常规 6 3 3 2 2 2 2 4 2 3" xfId="41256"/>
    <cellStyle name="常规 6 3 3 2 2 2 2 4 2 4" xfId="41257"/>
    <cellStyle name="常规 6 3 3 2 2 2 2 4 3" xfId="41258"/>
    <cellStyle name="常规 6 3 3 2 2 2 2 4 3 2" xfId="41259"/>
    <cellStyle name="常规 6 3 3 2 2 2 2 4 4" xfId="41260"/>
    <cellStyle name="常规 6 3 3 2 2 2 2 4 5" xfId="41261"/>
    <cellStyle name="常规 6 3 3 2 2 2 2 5" xfId="41262"/>
    <cellStyle name="常规 6 3 3 2 2 2 2 5 2" xfId="41263"/>
    <cellStyle name="常规 6 3 3 2 2 2 2 5 2 2" xfId="41264"/>
    <cellStyle name="常规 6 3 3 2 2 2 2 5 3" xfId="41265"/>
    <cellStyle name="常规 6 3 3 2 2 2 2 5 4" xfId="41266"/>
    <cellStyle name="常规 6 3 3 2 2 2 2 6" xfId="41268"/>
    <cellStyle name="常规 6 3 3 2 2 2 2 6 2" xfId="41269"/>
    <cellStyle name="常规 6 3 3 2 2 2 2 7" xfId="41270"/>
    <cellStyle name="常规 6 3 3 2 2 2 2 8" xfId="41271"/>
    <cellStyle name="常规 6 3 3 2 2 2 3" xfId="41272"/>
    <cellStyle name="常规 6 3 3 2 2 2 3 2" xfId="41273"/>
    <cellStyle name="常规 6 3 3 2 2 2 3 2 2" xfId="41274"/>
    <cellStyle name="常规 6 3 3 2 2 2 3 2 2 2" xfId="41275"/>
    <cellStyle name="常规 6 3 3 2 2 2 3 2 2 2 2" xfId="41276"/>
    <cellStyle name="常规 6 3 3 2 2 2 3 2 2 2 2 2" xfId="41277"/>
    <cellStyle name="常规 6 3 3 2 2 2 3 2 2 2 3" xfId="41278"/>
    <cellStyle name="常规 6 3 3 2 2 2 3 2 2 2 4" xfId="41279"/>
    <cellStyle name="常规 6 3 3 2 2 2 3 2 2 3" xfId="41280"/>
    <cellStyle name="常规 6 3 3 2 2 2 3 2 2 3 2" xfId="41281"/>
    <cellStyle name="常规 6 3 3 2 2 2 3 2 2 4" xfId="41282"/>
    <cellStyle name="常规 6 3 3 2 2 2 3 2 2 5" xfId="41283"/>
    <cellStyle name="常规 6 3 3 2 2 2 3 2 3" xfId="41284"/>
    <cellStyle name="常规 6 3 3 2 2 2 3 2 3 2" xfId="41285"/>
    <cellStyle name="常规 6 3 3 2 2 2 3 2 3 2 2" xfId="41286"/>
    <cellStyle name="常规 6 3 3 2 2 2 3 2 3 3" xfId="41287"/>
    <cellStyle name="常规 6 3 3 2 2 2 3 2 3 4" xfId="41288"/>
    <cellStyle name="常规 6 3 3 2 2 2 3 2 4" xfId="41289"/>
    <cellStyle name="常规 6 3 3 2 2 2 3 2 4 2" xfId="41290"/>
    <cellStyle name="常规 6 3 3 2 2 2 3 2 5" xfId="41291"/>
    <cellStyle name="常规 6 3 3 2 2 2 3 2 6" xfId="41292"/>
    <cellStyle name="常规 6 3 3 2 2 2 3 3" xfId="41293"/>
    <cellStyle name="常规 6 3 3 2 2 2 3 3 2" xfId="37720"/>
    <cellStyle name="常规 6 3 3 2 2 2 3 3 2 2" xfId="41294"/>
    <cellStyle name="常规 6 3 3 2 2 2 3 3 2 2 2" xfId="41295"/>
    <cellStyle name="常规 6 3 3 2 2 2 3 3 2 3" xfId="41296"/>
    <cellStyle name="常规 6 3 3 2 2 2 3 3 2 4" xfId="41297"/>
    <cellStyle name="常规 6 3 3 2 2 2 3 3 3" xfId="41298"/>
    <cellStyle name="常规 6 3 3 2 2 2 3 3 3 2" xfId="41299"/>
    <cellStyle name="常规 6 3 3 2 2 2 3 3 4" xfId="41300"/>
    <cellStyle name="常规 6 3 3 2 2 2 3 3 5" xfId="41301"/>
    <cellStyle name="常规 6 3 3 2 2 2 3 4" xfId="41302"/>
    <cellStyle name="常规 6 3 3 2 2 2 3 4 2" xfId="41303"/>
    <cellStyle name="常规 6 3 3 2 2 2 3 4 2 2" xfId="41305"/>
    <cellStyle name="常规 6 3 3 2 2 2 3 4 3" xfId="41306"/>
    <cellStyle name="常规 6 3 3 2 2 2 3 4 4" xfId="41307"/>
    <cellStyle name="常规 6 3 3 2 2 2 3 5" xfId="41308"/>
    <cellStyle name="常规 6 3 3 2 2 2 3 5 2" xfId="41309"/>
    <cellStyle name="常规 6 3 3 2 2 2 3 6" xfId="41310"/>
    <cellStyle name="常规 6 3 3 2 2 2 3 7" xfId="41311"/>
    <cellStyle name="常规 6 3 3 2 2 2 4" xfId="41312"/>
    <cellStyle name="常规 6 3 3 2 2 2 4 2" xfId="41313"/>
    <cellStyle name="常规 6 3 3 2 2 2 4 2 2" xfId="41314"/>
    <cellStyle name="常规 6 3 3 2 2 2 4 2 2 2" xfId="41315"/>
    <cellStyle name="常规 6 3 3 2 2 2 4 2 2 2 2" xfId="1846"/>
    <cellStyle name="常规 6 3 3 2 2 2 4 2 2 3" xfId="41316"/>
    <cellStyle name="常规 6 3 3 2 2 2 4 2 2 4" xfId="41317"/>
    <cellStyle name="常规 6 3 3 2 2 2 4 2 3" xfId="41318"/>
    <cellStyle name="常规 6 3 3 2 2 2 4 2 3 2" xfId="41319"/>
    <cellStyle name="常规 6 3 3 2 2 2 4 2 4" xfId="41320"/>
    <cellStyle name="常规 6 3 3 2 2 2 4 2 5" xfId="41321"/>
    <cellStyle name="常规 6 3 3 2 2 2 4 3" xfId="41322"/>
    <cellStyle name="常规 6 3 3 2 2 2 4 3 2" xfId="41323"/>
    <cellStyle name="常规 6 3 3 2 2 2 4 3 2 2" xfId="41324"/>
    <cellStyle name="常规 6 3 3 2 2 2 4 3 3" xfId="41325"/>
    <cellStyle name="常规 6 3 3 2 2 2 4 3 4" xfId="41326"/>
    <cellStyle name="常规 6 3 3 2 2 2 4 4" xfId="41327"/>
    <cellStyle name="常规 6 3 3 2 2 2 4 4 2" xfId="32809"/>
    <cellStyle name="常规 6 3 3 2 2 2 4 5" xfId="41328"/>
    <cellStyle name="常规 6 3 3 2 2 2 4 6" xfId="41329"/>
    <cellStyle name="常规 6 3 3 2 2 2 5" xfId="41330"/>
    <cellStyle name="常规 6 3 3 2 2 2 5 2" xfId="41331"/>
    <cellStyle name="常规 6 3 3 2 2 2 5 2 2" xfId="41332"/>
    <cellStyle name="常规 6 3 3 2 2 2 5 2 2 2" xfId="41333"/>
    <cellStyle name="常规 6 3 3 2 2 2 5 2 3" xfId="41334"/>
    <cellStyle name="常规 6 3 3 2 2 2 5 2 4" xfId="41335"/>
    <cellStyle name="常规 6 3 3 2 2 2 5 3" xfId="41336"/>
    <cellStyle name="常规 6 3 3 2 2 2 5 3 2" xfId="41337"/>
    <cellStyle name="常规 6 3 3 2 2 2 5 4" xfId="41338"/>
    <cellStyle name="常规 6 3 3 2 2 2 5 5" xfId="41339"/>
    <cellStyle name="常规 6 3 3 2 2 2 6" xfId="41340"/>
    <cellStyle name="常规 6 3 3 2 2 2 6 2" xfId="41341"/>
    <cellStyle name="常规 6 3 3 2 2 2 6 2 2" xfId="41342"/>
    <cellStyle name="常规 6 3 3 2 2 2 6 3" xfId="41343"/>
    <cellStyle name="常规 6 3 3 2 2 2 6 4" xfId="41344"/>
    <cellStyle name="常规 6 3 3 2 2 2 7" xfId="41345"/>
    <cellStyle name="常规 6 3 3 2 2 2 7 2" xfId="41346"/>
    <cellStyle name="常规 6 3 3 2 2 2 8" xfId="41347"/>
    <cellStyle name="常规 6 3 3 2 2 2 9" xfId="41348"/>
    <cellStyle name="常规 6 3 3 2 2 3" xfId="41349"/>
    <cellStyle name="常规 6 3 3 2 2 3 2" xfId="41350"/>
    <cellStyle name="常规 6 3 3 2 2 3 2 2" xfId="41351"/>
    <cellStyle name="常规 6 3 3 2 2 3 2 2 2" xfId="4483"/>
    <cellStyle name="常规 6 3 3 2 2 3 2 2 2 2" xfId="4489"/>
    <cellStyle name="常规 6 3 3 2 2 3 2 2 2 2 2" xfId="41352"/>
    <cellStyle name="常规 6 3 3 2 2 3 2 2 2 2 2 2" xfId="41353"/>
    <cellStyle name="常规 6 3 3 2 2 3 2 2 2 2 2 2 2" xfId="41354"/>
    <cellStyle name="常规 6 3 3 2 2 3 2 2 2 2 2 3" xfId="41355"/>
    <cellStyle name="常规 6 3 3 2 2 3 2 2 2 2 2 4" xfId="41356"/>
    <cellStyle name="常规 6 3 3 2 2 3 2 2 2 2 3" xfId="41357"/>
    <cellStyle name="常规 6 3 3 2 2 3 2 2 2 2 3 2" xfId="41358"/>
    <cellStyle name="常规 6 3 3 2 2 3 2 2 2 2 4" xfId="41359"/>
    <cellStyle name="常规 6 3 3 2 2 3 2 2 2 2 5" xfId="41360"/>
    <cellStyle name="常规 6 3 3 2 2 3 2 2 2 3" xfId="41361"/>
    <cellStyle name="常规 6 3 3 2 2 3 2 2 2 3 2" xfId="41362"/>
    <cellStyle name="常规 6 3 3 2 2 3 2 2 2 3 2 2" xfId="41363"/>
    <cellStyle name="常规 6 3 3 2 2 3 2 2 2 3 3" xfId="41364"/>
    <cellStyle name="常规 6 3 3 2 2 3 2 2 2 3 4" xfId="41365"/>
    <cellStyle name="常规 6 3 3 2 2 3 2 2 2 4" xfId="41366"/>
    <cellStyle name="常规 6 3 3 2 2 3 2 2 2 4 2" xfId="41367"/>
    <cellStyle name="常规 6 3 3 2 2 3 2 2 2 5" xfId="41368"/>
    <cellStyle name="常规 6 3 3 2 2 3 2 2 2 6" xfId="41369"/>
    <cellStyle name="常规 6 3 3 2 2 3 2 2 3" xfId="4495"/>
    <cellStyle name="常规 6 3 3 2 2 3 2 2 3 2" xfId="41370"/>
    <cellStyle name="常规 6 3 3 2 2 3 2 2 3 2 2" xfId="41371"/>
    <cellStyle name="常规 6 3 3 2 2 3 2 2 3 2 2 2" xfId="41372"/>
    <cellStyle name="常规 6 3 3 2 2 3 2 2 3 2 3" xfId="41373"/>
    <cellStyle name="常规 6 3 3 2 2 3 2 2 3 2 4" xfId="41374"/>
    <cellStyle name="常规 6 3 3 2 2 3 2 2 3 3" xfId="41375"/>
    <cellStyle name="常规 6 3 3 2 2 3 2 2 3 3 2" xfId="41376"/>
    <cellStyle name="常规 6 3 3 2 2 3 2 2 3 4" xfId="41377"/>
    <cellStyle name="常规 6 3 3 2 2 3 2 2 3 5" xfId="39662"/>
    <cellStyle name="常规 6 3 3 2 2 3 2 2 4" xfId="4503"/>
    <cellStyle name="常规 6 3 3 2 2 3 2 2 4 2" xfId="41378"/>
    <cellStyle name="常规 6 3 3 2 2 3 2 2 4 2 2" xfId="41379"/>
    <cellStyle name="常规 6 3 3 2 2 3 2 2 4 3" xfId="41380"/>
    <cellStyle name="常规 6 3 3 2 2 3 2 2 4 4" xfId="41381"/>
    <cellStyle name="常规 6 3 3 2 2 3 2 2 5" xfId="41382"/>
    <cellStyle name="常规 6 3 3 2 2 3 2 2 5 2" xfId="41383"/>
    <cellStyle name="常规 6 3 3 2 2 3 2 2 6" xfId="41384"/>
    <cellStyle name="常规 6 3 3 2 2 3 2 2 7" xfId="41385"/>
    <cellStyle name="常规 6 3 3 2 2 3 2 3" xfId="41386"/>
    <cellStyle name="常规 6 3 3 2 2 3 2 3 2" xfId="4524"/>
    <cellStyle name="常规 6 3 3 2 2 3 2 3 2 2" xfId="41387"/>
    <cellStyle name="常规 6 3 3 2 2 3 2 3 2 2 2" xfId="41388"/>
    <cellStyle name="常规 6 3 3 2 2 3 2 3 2 2 2 2" xfId="41389"/>
    <cellStyle name="常规 6 3 3 2 2 3 2 3 2 2 3" xfId="41390"/>
    <cellStyle name="常规 6 3 3 2 2 3 2 3 2 2 4" xfId="41391"/>
    <cellStyle name="常规 6 3 3 2 2 3 2 3 2 3" xfId="41392"/>
    <cellStyle name="常规 6 3 3 2 2 3 2 3 2 3 2" xfId="41393"/>
    <cellStyle name="常规 6 3 3 2 2 3 2 3 2 4" xfId="41394"/>
    <cellStyle name="常规 6 3 3 2 2 3 2 3 2 5" xfId="41395"/>
    <cellStyle name="常规 6 3 3 2 2 3 2 3 3" xfId="4527"/>
    <cellStyle name="常规 6 3 3 2 2 3 2 3 3 2" xfId="41396"/>
    <cellStyle name="常规 6 3 3 2 2 3 2 3 3 2 2" xfId="41397"/>
    <cellStyle name="常规 6 3 3 2 2 3 2 3 3 3" xfId="41398"/>
    <cellStyle name="常规 6 3 3 2 2 3 2 3 3 4" xfId="41399"/>
    <cellStyle name="常规 6 3 3 2 2 3 2 3 4" xfId="41400"/>
    <cellStyle name="常规 6 3 3 2 2 3 2 3 4 2" xfId="41401"/>
    <cellStyle name="常规 6 3 3 2 2 3 2 3 5" xfId="41402"/>
    <cellStyle name="常规 6 3 3 2 2 3 2 3 6" xfId="41403"/>
    <cellStyle name="常规 6 3 3 2 2 3 2 4" xfId="41404"/>
    <cellStyle name="常规 6 3 3 2 2 3 2 4 2" xfId="108"/>
    <cellStyle name="常规 6 3 3 2 2 3 2 4 2 2" xfId="41405"/>
    <cellStyle name="常规 6 3 3 2 2 3 2 4 2 2 2" xfId="41406"/>
    <cellStyle name="常规 6 3 3 2 2 3 2 4 2 3" xfId="41407"/>
    <cellStyle name="常规 6 3 3 2 2 3 2 4 2 4" xfId="41408"/>
    <cellStyle name="常规 6 3 3 2 2 3 2 4 3" xfId="41409"/>
    <cellStyle name="常规 6 3 3 2 2 3 2 4 3 2" xfId="41410"/>
    <cellStyle name="常规 6 3 3 2 2 3 2 4 4" xfId="41411"/>
    <cellStyle name="常规 6 3 3 2 2 3 2 4 5" xfId="41412"/>
    <cellStyle name="常规 6 3 3 2 2 3 2 5" xfId="41413"/>
    <cellStyle name="常规 6 3 3 2 2 3 2 5 2" xfId="41414"/>
    <cellStyle name="常规 6 3 3 2 2 3 2 5 2 2" xfId="41415"/>
    <cellStyle name="常规 6 3 3 2 2 3 2 5 3" xfId="41416"/>
    <cellStyle name="常规 6 3 3 2 2 3 2 5 4" xfId="41417"/>
    <cellStyle name="常规 6 3 3 2 2 3 2 6" xfId="41418"/>
    <cellStyle name="常规 6 3 3 2 2 3 2 6 2" xfId="33749"/>
    <cellStyle name="常规 6 3 3 2 2 3 2 7" xfId="41419"/>
    <cellStyle name="常规 6 3 3 2 2 3 2 8" xfId="41420"/>
    <cellStyle name="常规 6 3 3 2 2 3 3" xfId="41421"/>
    <cellStyle name="常规 6 3 3 2 2 3 3 2" xfId="41422"/>
    <cellStyle name="常规 6 3 3 2 2 3 3 2 2" xfId="155"/>
    <cellStyle name="常规 6 3 3 2 2 3 3 2 2 2" xfId="41423"/>
    <cellStyle name="常规 6 3 3 2 2 3 3 2 2 2 2" xfId="41424"/>
    <cellStyle name="常规 6 3 3 2 2 3 3 2 2 2 2 2" xfId="41425"/>
    <cellStyle name="常规 6 3 3 2 2 3 3 2 2 2 3" xfId="41426"/>
    <cellStyle name="常规 6 3 3 2 2 3 3 2 2 2 4" xfId="41427"/>
    <cellStyle name="常规 6 3 3 2 2 3 3 2 2 3" xfId="41428"/>
    <cellStyle name="常规 6 3 3 2 2 3 3 2 2 3 2" xfId="41429"/>
    <cellStyle name="常规 6 3 3 2 2 3 3 2 2 4" xfId="41430"/>
    <cellStyle name="常规 6 3 3 2 2 3 3 2 2 5" xfId="41431"/>
    <cellStyle name="常规 6 3 3 2 2 3 3 2 3" xfId="4547"/>
    <cellStyle name="常规 6 3 3 2 2 3 3 2 3 2" xfId="41432"/>
    <cellStyle name="常规 6 3 3 2 2 3 3 2 3 2 2" xfId="41433"/>
    <cellStyle name="常规 6 3 3 2 2 3 3 2 3 3" xfId="41434"/>
    <cellStyle name="常规 6 3 3 2 2 3 3 2 3 4" xfId="41435"/>
    <cellStyle name="常规 6 3 3 2 2 3 3 2 4" xfId="41436"/>
    <cellStyle name="常规 6 3 3 2 2 3 3 2 4 2" xfId="41437"/>
    <cellStyle name="常规 6 3 3 2 2 3 3 2 5" xfId="41438"/>
    <cellStyle name="常规 6 3 3 2 2 3 3 2 6" xfId="41439"/>
    <cellStyle name="常规 6 3 3 2 2 3 3 3" xfId="41440"/>
    <cellStyle name="常规 6 3 3 2 2 3 3 3 2" xfId="4552"/>
    <cellStyle name="常规 6 3 3 2 2 3 3 3 2 2" xfId="41441"/>
    <cellStyle name="常规 6 3 3 2 2 3 3 3 2 2 2" xfId="41442"/>
    <cellStyle name="常规 6 3 3 2 2 3 3 3 2 3" xfId="41443"/>
    <cellStyle name="常规 6 3 3 2 2 3 3 3 2 4" xfId="41444"/>
    <cellStyle name="常规 6 3 3 2 2 3 3 3 3" xfId="41445"/>
    <cellStyle name="常规 6 3 3 2 2 3 3 3 3 2" xfId="41446"/>
    <cellStyle name="常规 6 3 3 2 2 3 3 3 4" xfId="41447"/>
    <cellStyle name="常规 6 3 3 2 2 3 3 3 5" xfId="41448"/>
    <cellStyle name="常规 6 3 3 2 2 3 3 4" xfId="41449"/>
    <cellStyle name="常规 6 3 3 2 2 3 3 4 2" xfId="41450"/>
    <cellStyle name="常规 6 3 3 2 2 3 3 4 2 2" xfId="41452"/>
    <cellStyle name="常规 6 3 3 2 2 3 3 4 3" xfId="41453"/>
    <cellStyle name="常规 6 3 3 2 2 3 3 4 4" xfId="41454"/>
    <cellStyle name="常规 6 3 3 2 2 3 3 5" xfId="41455"/>
    <cellStyle name="常规 6 3 3 2 2 3 3 5 2" xfId="41456"/>
    <cellStyle name="常规 6 3 3 2 2 3 3 6" xfId="41457"/>
    <cellStyle name="常规 6 3 3 2 2 3 3 7" xfId="21212"/>
    <cellStyle name="常规 6 3 3 2 2 3 4" xfId="41458"/>
    <cellStyle name="常规 6 3 3 2 2 3 4 2" xfId="41459"/>
    <cellStyle name="常规 6 3 3 2 2 3 4 2 2" xfId="4572"/>
    <cellStyle name="常规 6 3 3 2 2 3 4 2 2 2" xfId="41460"/>
    <cellStyle name="常规 6 3 3 2 2 3 4 2 2 2 2" xfId="41461"/>
    <cellStyle name="常规 6 3 3 2 2 3 4 2 2 3" xfId="41462"/>
    <cellStyle name="常规 6 3 3 2 2 3 4 2 2 4" xfId="41463"/>
    <cellStyle name="常规 6 3 3 2 2 3 4 2 3" xfId="41464"/>
    <cellStyle name="常规 6 3 3 2 2 3 4 2 3 2" xfId="41465"/>
    <cellStyle name="常规 6 3 3 2 2 3 4 2 4" xfId="41466"/>
    <cellStyle name="常规 6 3 3 2 2 3 4 2 5" xfId="41467"/>
    <cellStyle name="常规 6 3 3 2 2 3 4 3" xfId="41468"/>
    <cellStyle name="常规 6 3 3 2 2 3 4 3 2" xfId="41469"/>
    <cellStyle name="常规 6 3 3 2 2 3 4 3 2 2" xfId="41470"/>
    <cellStyle name="常规 6 3 3 2 2 3 4 3 3" xfId="41471"/>
    <cellStyle name="常规 6 3 3 2 2 3 4 3 4" xfId="41472"/>
    <cellStyle name="常规 6 3 3 2 2 3 4 4" xfId="41473"/>
    <cellStyle name="常规 6 3 3 2 2 3 4 4 2" xfId="32827"/>
    <cellStyle name="常规 6 3 3 2 2 3 4 5" xfId="41474"/>
    <cellStyle name="常规 6 3 3 2 2 3 4 6" xfId="41475"/>
    <cellStyle name="常规 6 3 3 2 2 3 5" xfId="41477"/>
    <cellStyle name="常规 6 3 3 2 2 3 5 2" xfId="41478"/>
    <cellStyle name="常规 6 3 3 2 2 3 5 2 2" xfId="41479"/>
    <cellStyle name="常规 6 3 3 2 2 3 5 2 2 2" xfId="41480"/>
    <cellStyle name="常规 6 3 3 2 2 3 5 2 3" xfId="41481"/>
    <cellStyle name="常规 6 3 3 2 2 3 5 2 4" xfId="41482"/>
    <cellStyle name="常规 6 3 3 2 2 3 5 3" xfId="41483"/>
    <cellStyle name="常规 6 3 3 2 2 3 5 3 2" xfId="41484"/>
    <cellStyle name="常规 6 3 3 2 2 3 5 4" xfId="41485"/>
    <cellStyle name="常规 6 3 3 2 2 3 5 5" xfId="41486"/>
    <cellStyle name="常规 6 3 3 2 2 3 6" xfId="41488"/>
    <cellStyle name="常规 6 3 3 2 2 3 6 2" xfId="41489"/>
    <cellStyle name="常规 6 3 3 2 2 3 6 2 2" xfId="41490"/>
    <cellStyle name="常规 6 3 3 2 2 3 6 3" xfId="41491"/>
    <cellStyle name="常规 6 3 3 2 2 3 6 4" xfId="41492"/>
    <cellStyle name="常规 6 3 3 2 2 3 7" xfId="41493"/>
    <cellStyle name="常规 6 3 3 2 2 3 7 2" xfId="41494"/>
    <cellStyle name="常规 6 3 3 2 2 3 8" xfId="41495"/>
    <cellStyle name="常规 6 3 3 2 2 3 9" xfId="41496"/>
    <cellStyle name="常规 6 3 3 2 2 4" xfId="41497"/>
    <cellStyle name="常规 6 3 3 2 2 4 2" xfId="41498"/>
    <cellStyle name="常规 6 3 3 2 2 4 2 2" xfId="41499"/>
    <cellStyle name="常规 6 3 3 2 2 4 2 2 2" xfId="2322"/>
    <cellStyle name="常规 6 3 3 2 2 4 2 2 2 2" xfId="4843"/>
    <cellStyle name="常规 6 3 3 2 2 4 2 2 2 2 2" xfId="41500"/>
    <cellStyle name="常规 6 3 3 2 2 4 2 2 2 2 2 2" xfId="41501"/>
    <cellStyle name="常规 6 3 3 2 2 4 2 2 2 2 3" xfId="41502"/>
    <cellStyle name="常规 6 3 3 2 2 4 2 2 2 2 4" xfId="41503"/>
    <cellStyle name="常规 6 3 3 2 2 4 2 2 2 3" xfId="41504"/>
    <cellStyle name="常规 6 3 3 2 2 4 2 2 2 3 2" xfId="41505"/>
    <cellStyle name="常规 6 3 3 2 2 4 2 2 2 4" xfId="41506"/>
    <cellStyle name="常规 6 3 3 2 2 4 2 2 2 5" xfId="41507"/>
    <cellStyle name="常规 6 3 3 2 2 4 2 2 3" xfId="2326"/>
    <cellStyle name="常规 6 3 3 2 2 4 2 2 3 2" xfId="41508"/>
    <cellStyle name="常规 6 3 3 2 2 4 2 2 3 2 2" xfId="41509"/>
    <cellStyle name="常规 6 3 3 2 2 4 2 2 3 3" xfId="41510"/>
    <cellStyle name="常规 6 3 3 2 2 4 2 2 3 4" xfId="41511"/>
    <cellStyle name="常规 6 3 3 2 2 4 2 2 4" xfId="4846"/>
    <cellStyle name="常规 6 3 3 2 2 4 2 2 4 2" xfId="41512"/>
    <cellStyle name="常规 6 3 3 2 2 4 2 2 5" xfId="41513"/>
    <cellStyle name="常规 6 3 3 2 2 4 2 2 6" xfId="41514"/>
    <cellStyle name="常规 6 3 3 2 2 4 2 3" xfId="41515"/>
    <cellStyle name="常规 6 3 3 2 2 4 2 3 2" xfId="2371"/>
    <cellStyle name="常规 6 3 3 2 2 4 2 3 2 2" xfId="2995"/>
    <cellStyle name="常规 6 3 3 2 2 4 2 3 2 2 2" xfId="2999"/>
    <cellStyle name="常规 6 3 3 2 2 4 2 3 2 3" xfId="3005"/>
    <cellStyle name="常规 6 3 3 2 2 4 2 3 2 4" xfId="3008"/>
    <cellStyle name="常规 6 3 3 2 2 4 2 3 3" xfId="2378"/>
    <cellStyle name="常规 6 3 3 2 2 4 2 3 3 2" xfId="15860"/>
    <cellStyle name="常规 6 3 3 2 2 4 2 3 4" xfId="41516"/>
    <cellStyle name="常规 6 3 3 2 2 4 2 3 5" xfId="41517"/>
    <cellStyle name="常规 6 3 3 2 2 4 2 4" xfId="41518"/>
    <cellStyle name="常规 6 3 3 2 2 4 2 4 2" xfId="1208"/>
    <cellStyle name="常规 6 3 3 2 2 4 2 4 2 2" xfId="41519"/>
    <cellStyle name="常规 6 3 3 2 2 4 2 4 3" xfId="41520"/>
    <cellStyle name="常规 6 3 3 2 2 4 2 4 4" xfId="41521"/>
    <cellStyle name="常规 6 3 3 2 2 4 2 5" xfId="41522"/>
    <cellStyle name="常规 6 3 3 2 2 4 2 5 2" xfId="41523"/>
    <cellStyle name="常规 6 3 3 2 2 4 2 6" xfId="41524"/>
    <cellStyle name="常规 6 3 3 2 2 4 2 7" xfId="41525"/>
    <cellStyle name="常规 6 3 3 2 2 4 3" xfId="41526"/>
    <cellStyle name="常规 6 3 3 2 2 4 3 2" xfId="13391"/>
    <cellStyle name="常规 6 3 3 2 2 4 3 2 2" xfId="746"/>
    <cellStyle name="常规 6 3 3 2 2 4 3 2 2 2" xfId="41527"/>
    <cellStyle name="常规 6 3 3 2 2 4 3 2 2 2 2" xfId="41528"/>
    <cellStyle name="常规 6 3 3 2 2 4 3 2 2 3" xfId="41529"/>
    <cellStyle name="常规 6 3 3 2 2 4 3 2 2 4" xfId="41530"/>
    <cellStyle name="常规 6 3 3 2 2 4 3 2 3" xfId="3845"/>
    <cellStyle name="常规 6 3 3 2 2 4 3 2 3 2" xfId="41531"/>
    <cellStyle name="常规 6 3 3 2 2 4 3 2 4" xfId="41532"/>
    <cellStyle name="常规 6 3 3 2 2 4 3 2 5" xfId="41533"/>
    <cellStyle name="常规 6 3 3 2 2 4 3 3" xfId="13401"/>
    <cellStyle name="常规 6 3 3 2 2 4 3 3 2" xfId="4870"/>
    <cellStyle name="常规 6 3 3 2 2 4 3 3 2 2" xfId="41534"/>
    <cellStyle name="常规 6 3 3 2 2 4 3 3 3" xfId="41535"/>
    <cellStyle name="常规 6 3 3 2 2 4 3 3 4" xfId="41536"/>
    <cellStyle name="常规 6 3 3 2 2 4 3 4" xfId="41537"/>
    <cellStyle name="常规 6 3 3 2 2 4 3 4 2" xfId="41538"/>
    <cellStyle name="常规 6 3 3 2 2 4 3 5" xfId="41539"/>
    <cellStyle name="常规 6 3 3 2 2 4 3 6" xfId="180"/>
    <cellStyle name="常规 6 3 3 2 2 4 4" xfId="41540"/>
    <cellStyle name="常规 6 3 3 2 2 4 4 2" xfId="13419"/>
    <cellStyle name="常规 6 3 3 2 2 4 4 2 2" xfId="4895"/>
    <cellStyle name="常规 6 3 3 2 2 4 4 2 2 2" xfId="41541"/>
    <cellStyle name="常规 6 3 3 2 2 4 4 2 3" xfId="41542"/>
    <cellStyle name="常规 6 3 3 2 2 4 4 2 4" xfId="41543"/>
    <cellStyle name="常规 6 3 3 2 2 4 4 3" xfId="41544"/>
    <cellStyle name="常规 6 3 3 2 2 4 4 3 2" xfId="41545"/>
    <cellStyle name="常规 6 3 3 2 2 4 4 4" xfId="41546"/>
    <cellStyle name="常规 6 3 3 2 2 4 4 5" xfId="41547"/>
    <cellStyle name="常规 6 3 3 2 2 4 5" xfId="41548"/>
    <cellStyle name="常规 6 3 3 2 2 4 5 2" xfId="41549"/>
    <cellStyle name="常规 6 3 3 2 2 4 5 2 2" xfId="41550"/>
    <cellStyle name="常规 6 3 3 2 2 4 5 3" xfId="41551"/>
    <cellStyle name="常规 6 3 3 2 2 4 5 4" xfId="41552"/>
    <cellStyle name="常规 6 3 3 2 2 4 6" xfId="41553"/>
    <cellStyle name="常规 6 3 3 2 2 4 6 2" xfId="41554"/>
    <cellStyle name="常规 6 3 3 2 2 4 7" xfId="41555"/>
    <cellStyle name="常规 6 3 3 2 2 4 8" xfId="41556"/>
    <cellStyle name="常规 6 3 3 2 2 5" xfId="41557"/>
    <cellStyle name="常规 6 3 3 2 2 5 2" xfId="41558"/>
    <cellStyle name="常规 6 3 3 2 2 5 2 2" xfId="41559"/>
    <cellStyle name="常规 6 3 3 2 2 5 2 2 2" xfId="1097"/>
    <cellStyle name="常规 6 3 3 2 2 5 2 2 2 2" xfId="41560"/>
    <cellStyle name="常规 6 3 3 2 2 5 2 2 2 2 2" xfId="41561"/>
    <cellStyle name="常规 6 3 3 2 2 5 2 2 2 3" xfId="41562"/>
    <cellStyle name="常规 6 3 3 2 2 5 2 2 2 4" xfId="41563"/>
    <cellStyle name="常规 6 3 3 2 2 5 2 2 3" xfId="1104"/>
    <cellStyle name="常规 6 3 3 2 2 5 2 2 3 2" xfId="41564"/>
    <cellStyle name="常规 6 3 3 2 2 5 2 2 4" xfId="41565"/>
    <cellStyle name="常规 6 3 3 2 2 5 2 2 5" xfId="41566"/>
    <cellStyle name="常规 6 3 3 2 2 5 2 3" xfId="41567"/>
    <cellStyle name="常规 6 3 3 2 2 5 2 3 2" xfId="4998"/>
    <cellStyle name="常规 6 3 3 2 2 5 2 3 2 2" xfId="41568"/>
    <cellStyle name="常规 6 3 3 2 2 5 2 3 3" xfId="41569"/>
    <cellStyle name="常规 6 3 3 2 2 5 2 3 4" xfId="41570"/>
    <cellStyle name="常规 6 3 3 2 2 5 2 4" xfId="41571"/>
    <cellStyle name="常规 6 3 3 2 2 5 2 4 2" xfId="41572"/>
    <cellStyle name="常规 6 3 3 2 2 5 2 5" xfId="41573"/>
    <cellStyle name="常规 6 3 3 2 2 5 2 6" xfId="41574"/>
    <cellStyle name="常规 6 3 3 2 2 5 3" xfId="41575"/>
    <cellStyle name="常规 6 3 3 2 2 5 3 2" xfId="13480"/>
    <cellStyle name="常规 6 3 3 2 2 5 3 2 2" xfId="1807"/>
    <cellStyle name="常规 6 3 3 2 2 5 3 2 2 2" xfId="41576"/>
    <cellStyle name="常规 6 3 3 2 2 5 3 2 3" xfId="41577"/>
    <cellStyle name="常规 6 3 3 2 2 5 3 2 4" xfId="41578"/>
    <cellStyle name="常规 6 3 3 2 2 5 3 3" xfId="41579"/>
    <cellStyle name="常规 6 3 3 2 2 5 3 3 2" xfId="41580"/>
    <cellStyle name="常规 6 3 3 2 2 5 3 4" xfId="41581"/>
    <cellStyle name="常规 6 3 3 2 2 5 3 5" xfId="41582"/>
    <cellStyle name="常规 6 3 3 2 2 5 4" xfId="41583"/>
    <cellStyle name="常规 6 3 3 2 2 5 4 2" xfId="41584"/>
    <cellStyle name="常规 6 3 3 2 2 5 4 2 2" xfId="41585"/>
    <cellStyle name="常规 6 3 3 2 2 5 4 3" xfId="41586"/>
    <cellStyle name="常规 6 3 3 2 2 5 4 4" xfId="41587"/>
    <cellStyle name="常规 6 3 3 2 2 5 5" xfId="41588"/>
    <cellStyle name="常规 6 3 3 2 2 5 5 2" xfId="41589"/>
    <cellStyle name="常规 6 3 3 2 2 5 6" xfId="41590"/>
    <cellStyle name="常规 6 3 3 2 2 5 7" xfId="41591"/>
    <cellStyle name="常规 6 3 3 2 2 6" xfId="41592"/>
    <cellStyle name="常规 6 3 3 2 2 6 2" xfId="41593"/>
    <cellStyle name="常规 6 3 3 2 2 6 2 2" xfId="41594"/>
    <cellStyle name="常规 6 3 3 2 2 6 2 2 2" xfId="5091"/>
    <cellStyle name="常规 6 3 3 2 2 6 2 2 2 2" xfId="41595"/>
    <cellStyle name="常规 6 3 3 2 2 6 2 2 3" xfId="41596"/>
    <cellStyle name="常规 6 3 3 2 2 6 2 2 4" xfId="41597"/>
    <cellStyle name="常规 6 3 3 2 2 6 2 3" xfId="41598"/>
    <cellStyle name="常规 6 3 3 2 2 6 2 3 2" xfId="41599"/>
    <cellStyle name="常规 6 3 3 2 2 6 2 4" xfId="41600"/>
    <cellStyle name="常规 6 3 3 2 2 6 2 5" xfId="41601"/>
    <cellStyle name="常规 6 3 3 2 2 6 3" xfId="41602"/>
    <cellStyle name="常规 6 3 3 2 2 6 3 2" xfId="41603"/>
    <cellStyle name="常规 6 3 3 2 2 6 3 2 2" xfId="41604"/>
    <cellStyle name="常规 6 3 3 2 2 6 3 3" xfId="41605"/>
    <cellStyle name="常规 6 3 3 2 2 6 3 4" xfId="41606"/>
    <cellStyle name="常规 6 3 3 2 2 6 4" xfId="41607"/>
    <cellStyle name="常规 6 3 3 2 2 6 4 2" xfId="41608"/>
    <cellStyle name="常规 6 3 3 2 2 6 5" xfId="41609"/>
    <cellStyle name="常规 6 3 3 2 2 6 6" xfId="41610"/>
    <cellStyle name="常规 6 3 3 2 2 7" xfId="41611"/>
    <cellStyle name="常规 6 3 3 2 2 7 2" xfId="41612"/>
    <cellStyle name="常规 6 3 3 2 2 7 2 2" xfId="41613"/>
    <cellStyle name="常规 6 3 3 2 2 7 2 2 2" xfId="41614"/>
    <cellStyle name="常规 6 3 3 2 2 7 2 3" xfId="41615"/>
    <cellStyle name="常规 6 3 3 2 2 7 2 4" xfId="41616"/>
    <cellStyle name="常规 6 3 3 2 2 7 3" xfId="41617"/>
    <cellStyle name="常规 6 3 3 2 2 7 3 2" xfId="41618"/>
    <cellStyle name="常规 6 3 3 2 2 7 4" xfId="41619"/>
    <cellStyle name="常规 6 3 3 2 2 7 5" xfId="41620"/>
    <cellStyle name="常规 6 3 3 2 2 8" xfId="41621"/>
    <cellStyle name="常规 6 3 3 2 2 8 2" xfId="41622"/>
    <cellStyle name="常规 6 3 3 2 2 8 2 2" xfId="41623"/>
    <cellStyle name="常规 6 3 3 2 2 8 3" xfId="41624"/>
    <cellStyle name="常规 6 3 3 2 2 8 4" xfId="41625"/>
    <cellStyle name="常规 6 3 3 2 2 9" xfId="41626"/>
    <cellStyle name="常规 6 3 3 2 2 9 2" xfId="41627"/>
    <cellStyle name="常规 6 3 3 2 3" xfId="14175"/>
    <cellStyle name="常规 6 3 3 2 3 2" xfId="41628"/>
    <cellStyle name="常规 6 3 3 2 3 2 2" xfId="41629"/>
    <cellStyle name="常规 6 3 3 2 3 2 2 2" xfId="41630"/>
    <cellStyle name="常规 6 3 3 2 3 2 2 2 2" xfId="34191"/>
    <cellStyle name="常规 6 3 3 2 3 2 2 2 2 2" xfId="5805"/>
    <cellStyle name="常规 6 3 3 2 3 2 2 2 2 2 2" xfId="34193"/>
    <cellStyle name="常规 6 3 3 2 3 2 2 2 2 2 2 2" xfId="34195"/>
    <cellStyle name="常规 6 3 3 2 3 2 2 2 2 2 3" xfId="34201"/>
    <cellStyle name="常规 6 3 3 2 3 2 2 2 2 2 4" xfId="34205"/>
    <cellStyle name="常规 6 3 3 2 3 2 2 2 2 3" xfId="3545"/>
    <cellStyle name="常规 6 3 3 2 3 2 2 2 2 3 2" xfId="21729"/>
    <cellStyle name="常规 6 3 3 2 3 2 2 2 2 4" xfId="21736"/>
    <cellStyle name="常规 6 3 3 2 3 2 2 2 2 5" xfId="2412"/>
    <cellStyle name="常规 6 3 3 2 3 2 2 2 3" xfId="28870"/>
    <cellStyle name="常规 6 3 3 2 3 2 2 2 3 2" xfId="6142"/>
    <cellStyle name="常规 6 3 3 2 3 2 2 2 3 2 2" xfId="28874"/>
    <cellStyle name="常规 6 3 3 2 3 2 2 2 3 3" xfId="21743"/>
    <cellStyle name="常规 6 3 3 2 3 2 2 2 3 4" xfId="21751"/>
    <cellStyle name="常规 6 3 3 2 3 2 2 2 4" xfId="28930"/>
    <cellStyle name="常规 6 3 3 2 3 2 2 2 4 2" xfId="25817"/>
    <cellStyle name="常规 6 3 3 2 3 2 2 2 5" xfId="28956"/>
    <cellStyle name="常规 6 3 3 2 3 2 2 2 6" xfId="28981"/>
    <cellStyle name="常规 6 3 3 2 3 2 2 3" xfId="41631"/>
    <cellStyle name="常规 6 3 3 2 3 2 2 3 2" xfId="16821"/>
    <cellStyle name="常规 6 3 3 2 3 2 2 3 2 2" xfId="3773"/>
    <cellStyle name="常规 6 3 3 2 3 2 2 3 2 2 2" xfId="13180"/>
    <cellStyle name="常规 6 3 3 2 3 2 2 3 2 3" xfId="22016"/>
    <cellStyle name="常规 6 3 3 2 3 2 2 3 2 4" xfId="34255"/>
    <cellStyle name="常规 6 3 3 2 3 2 2 3 3" xfId="16824"/>
    <cellStyle name="常规 6 3 3 2 3 2 2 3 3 2" xfId="29007"/>
    <cellStyle name="常规 6 3 3 2 3 2 2 3 4" xfId="29014"/>
    <cellStyle name="常规 6 3 3 2 3 2 2 3 5" xfId="29021"/>
    <cellStyle name="常规 6 3 3 2 3 2 2 4" xfId="41632"/>
    <cellStyle name="常规 6 3 3 2 3 2 2 4 2" xfId="8640"/>
    <cellStyle name="常规 6 3 3 2 3 2 2 4 2 2" xfId="34275"/>
    <cellStyle name="常规 6 3 3 2 3 2 2 4 3" xfId="29031"/>
    <cellStyle name="常规 6 3 3 2 3 2 2 4 4" xfId="29048"/>
    <cellStyle name="常规 6 3 3 2 3 2 2 5" xfId="41634"/>
    <cellStyle name="常规 6 3 3 2 3 2 2 5 2" xfId="34291"/>
    <cellStyle name="常规 6 3 3 2 3 2 2 6" xfId="41636"/>
    <cellStyle name="常规 6 3 3 2 3 2 2 7" xfId="41638"/>
    <cellStyle name="常规 6 3 3 2 3 2 3" xfId="41639"/>
    <cellStyle name="常规 6 3 3 2 3 2 3 2" xfId="41640"/>
    <cellStyle name="常规 6 3 3 2 3 2 3 2 2" xfId="34444"/>
    <cellStyle name="常规 6 3 3 2 3 2 3 2 2 2" xfId="6237"/>
    <cellStyle name="常规 6 3 3 2 3 2 3 2 2 2 2" xfId="34446"/>
    <cellStyle name="常规 6 3 3 2 3 2 3 2 2 3" xfId="22518"/>
    <cellStyle name="常规 6 3 3 2 3 2 3 2 2 4" xfId="34465"/>
    <cellStyle name="常规 6 3 3 2 3 2 3 2 3" xfId="29112"/>
    <cellStyle name="常规 6 3 3 2 3 2 3 2 3 2" xfId="29115"/>
    <cellStyle name="常规 6 3 3 2 3 2 3 2 4" xfId="29131"/>
    <cellStyle name="常规 6 3 3 2 3 2 3 2 5" xfId="29134"/>
    <cellStyle name="常规 6 3 3 2 3 2 3 3" xfId="41641"/>
    <cellStyle name="常规 6 3 3 2 3 2 3 3 2" xfId="16835"/>
    <cellStyle name="常规 6 3 3 2 3 2 3 3 2 2" xfId="34493"/>
    <cellStyle name="常规 6 3 3 2 3 2 3 3 3" xfId="29149"/>
    <cellStyle name="常规 6 3 3 2 3 2 3 3 4" xfId="29156"/>
    <cellStyle name="常规 6 3 3 2 3 2 3 4" xfId="41642"/>
    <cellStyle name="常规 6 3 3 2 3 2 3 4 2" xfId="34507"/>
    <cellStyle name="常规 6 3 3 2 3 2 3 5" xfId="41644"/>
    <cellStyle name="常规 6 3 3 2 3 2 3 6" xfId="41645"/>
    <cellStyle name="常规 6 3 3 2 3 2 4" xfId="41646"/>
    <cellStyle name="常规 6 3 3 2 3 2 4 2" xfId="41647"/>
    <cellStyle name="常规 6 3 3 2 3 2 4 2 2" xfId="32568"/>
    <cellStyle name="常规 6 3 3 2 3 2 4 2 2 2" xfId="32572"/>
    <cellStyle name="常规 6 3 3 2 3 2 4 2 3" xfId="29244"/>
    <cellStyle name="常规 6 3 3 2 3 2 4 2 4" xfId="29263"/>
    <cellStyle name="常规 6 3 3 2 3 2 4 3" xfId="41648"/>
    <cellStyle name="常规 6 3 3 2 3 2 4 3 2" xfId="32576"/>
    <cellStyle name="常规 6 3 3 2 3 2 4 4" xfId="41649"/>
    <cellStyle name="常规 6 3 3 2 3 2 4 5" xfId="41650"/>
    <cellStyle name="常规 6 3 3 2 3 2 5" xfId="41651"/>
    <cellStyle name="常规 6 3 3 2 3 2 5 2" xfId="41652"/>
    <cellStyle name="常规 6 3 3 2 3 2 5 2 2" xfId="32581"/>
    <cellStyle name="常规 6 3 3 2 3 2 5 3" xfId="41653"/>
    <cellStyle name="常规 6 3 3 2 3 2 5 4" xfId="41654"/>
    <cellStyle name="常规 6 3 3 2 3 2 6" xfId="9608"/>
    <cellStyle name="常规 6 3 3 2 3 2 6 2" xfId="41655"/>
    <cellStyle name="常规 6 3 3 2 3 2 7" xfId="41656"/>
    <cellStyle name="常规 6 3 3 2 3 2 8" xfId="41657"/>
    <cellStyle name="常规 6 3 3 2 3 3" xfId="41658"/>
    <cellStyle name="常规 6 3 3 2 3 3 2" xfId="41659"/>
    <cellStyle name="常规 6 3 3 2 3 3 2 2" xfId="41660"/>
    <cellStyle name="常规 6 3 3 2 3 3 2 2 2" xfId="5349"/>
    <cellStyle name="常规 6 3 3 2 3 3 2 2 2 2" xfId="41662"/>
    <cellStyle name="常规 6 3 3 2 3 3 2 2 2 2 2" xfId="41664"/>
    <cellStyle name="常规 6 3 3 2 3 3 2 2 2 3" xfId="23539"/>
    <cellStyle name="常规 6 3 3 2 3 3 2 2 2 4" xfId="41666"/>
    <cellStyle name="常规 6 3 3 2 3 3 2 2 3" xfId="5353"/>
    <cellStyle name="常规 6 3 3 2 3 3 2 2 3 2" xfId="41668"/>
    <cellStyle name="常规 6 3 3 2 3 3 2 2 4" xfId="41670"/>
    <cellStyle name="常规 6 3 3 2 3 3 2 2 5" xfId="41672"/>
    <cellStyle name="常规 6 3 3 2 3 3 2 3" xfId="41673"/>
    <cellStyle name="常规 6 3 3 2 3 3 2 3 2" xfId="5364"/>
    <cellStyle name="常规 6 3 3 2 3 3 2 3 2 2" xfId="41675"/>
    <cellStyle name="常规 6 3 3 2 3 3 2 3 3" xfId="41677"/>
    <cellStyle name="常规 6 3 3 2 3 3 2 3 4" xfId="41679"/>
    <cellStyle name="常规 6 3 3 2 3 3 2 4" xfId="41680"/>
    <cellStyle name="常规 6 3 3 2 3 3 2 4 2" xfId="41682"/>
    <cellStyle name="常规 6 3 3 2 3 3 2 5" xfId="41684"/>
    <cellStyle name="常规 6 3 3 2 3 3 2 6" xfId="41685"/>
    <cellStyle name="常规 6 3 3 2 3 3 3" xfId="41686"/>
    <cellStyle name="常规 6 3 3 2 3 3 3 2" xfId="41687"/>
    <cellStyle name="常规 6 3 3 2 3 3 3 2 2" xfId="5391"/>
    <cellStyle name="常规 6 3 3 2 3 3 3 2 2 2" xfId="41689"/>
    <cellStyle name="常规 6 3 3 2 3 3 3 2 3" xfId="41691"/>
    <cellStyle name="常规 6 3 3 2 3 3 3 2 4" xfId="41693"/>
    <cellStyle name="常规 6 3 3 2 3 3 3 3" xfId="41694"/>
    <cellStyle name="常规 6 3 3 2 3 3 3 3 2" xfId="41696"/>
    <cellStyle name="常规 6 3 3 2 3 3 3 4" xfId="41697"/>
    <cellStyle name="常规 6 3 3 2 3 3 3 5" xfId="41698"/>
    <cellStyle name="常规 6 3 3 2 3 3 4" xfId="41699"/>
    <cellStyle name="常规 6 3 3 2 3 3 4 2" xfId="41700"/>
    <cellStyle name="常规 6 3 3 2 3 3 4 2 2" xfId="41702"/>
    <cellStyle name="常规 6 3 3 2 3 3 4 3" xfId="41703"/>
    <cellStyle name="常规 6 3 3 2 3 3 4 4" xfId="41704"/>
    <cellStyle name="常规 6 3 3 2 3 3 5" xfId="41705"/>
    <cellStyle name="常规 6 3 3 2 3 3 5 2" xfId="41706"/>
    <cellStyle name="常规 6 3 3 2 3 3 6" xfId="41707"/>
    <cellStyle name="常规 6 3 3 2 3 3 7" xfId="41708"/>
    <cellStyle name="常规 6 3 3 2 3 4" xfId="41709"/>
    <cellStyle name="常规 6 3 3 2 3 4 2" xfId="41710"/>
    <cellStyle name="常规 6 3 3 2 3 4 2 2" xfId="41711"/>
    <cellStyle name="常规 6 3 3 2 3 4 2 2 2" xfId="5008"/>
    <cellStyle name="常规 6 3 3 2 3 4 2 2 2 2" xfId="41712"/>
    <cellStyle name="常规 6 3 3 2 3 4 2 2 3" xfId="41713"/>
    <cellStyle name="常规 6 3 3 2 3 4 2 2 4" xfId="41714"/>
    <cellStyle name="常规 6 3 3 2 3 4 2 3" xfId="41715"/>
    <cellStyle name="常规 6 3 3 2 3 4 2 3 2" xfId="41716"/>
    <cellStyle name="常规 6 3 3 2 3 4 2 4" xfId="41717"/>
    <cellStyle name="常规 6 3 3 2 3 4 2 5" xfId="41718"/>
    <cellStyle name="常规 6 3 3 2 3 4 3" xfId="41719"/>
    <cellStyle name="常规 6 3 3 2 3 4 3 2" xfId="13584"/>
    <cellStyle name="常规 6 3 3 2 3 4 3 2 2" xfId="41720"/>
    <cellStyle name="常规 6 3 3 2 3 4 3 3" xfId="13590"/>
    <cellStyle name="常规 6 3 3 2 3 4 3 4" xfId="41721"/>
    <cellStyle name="常规 6 3 3 2 3 4 4" xfId="41722"/>
    <cellStyle name="常规 6 3 3 2 3 4 4 2" xfId="13601"/>
    <cellStyle name="常规 6 3 3 2 3 4 5" xfId="13611"/>
    <cellStyle name="常规 6 3 3 2 3 4 6" xfId="13616"/>
    <cellStyle name="常规 6 3 3 2 3 5" xfId="41723"/>
    <cellStyle name="常规 6 3 3 2 3 5 2" xfId="41724"/>
    <cellStyle name="常规 6 3 3 2 3 5 2 2" xfId="41725"/>
    <cellStyle name="常规 6 3 3 2 3 5 2 2 2" xfId="41727"/>
    <cellStyle name="常规 6 3 3 2 3 5 2 3" xfId="41728"/>
    <cellStyle name="常规 6 3 3 2 3 5 2 4" xfId="41729"/>
    <cellStyle name="常规 6 3 3 2 3 5 3" xfId="41730"/>
    <cellStyle name="常规 6 3 3 2 3 5 3 2" xfId="13626"/>
    <cellStyle name="常规 6 3 3 2 3 5 4" xfId="41731"/>
    <cellStyle name="常规 6 3 3 2 3 5 5" xfId="2154"/>
    <cellStyle name="常规 6 3 3 2 3 6" xfId="41732"/>
    <cellStyle name="常规 6 3 3 2 3 6 2" xfId="41733"/>
    <cellStyle name="常规 6 3 3 2 3 6 2 2" xfId="41734"/>
    <cellStyle name="常规 6 3 3 2 3 6 3" xfId="41735"/>
    <cellStyle name="常规 6 3 3 2 3 6 4" xfId="41736"/>
    <cellStyle name="常规 6 3 3 2 3 7" xfId="41737"/>
    <cellStyle name="常规 6 3 3 2 3 7 2" xfId="41738"/>
    <cellStyle name="常规 6 3 3 2 3 8" xfId="41739"/>
    <cellStyle name="常规 6 3 3 2 3 9" xfId="41740"/>
    <cellStyle name="常规 6 3 3 2 4" xfId="41741"/>
    <cellStyle name="常规 6 3 3 2 4 2" xfId="41742"/>
    <cellStyle name="常规 6 3 3 2 4 2 2" xfId="41743"/>
    <cellStyle name="常规 6 3 3 2 4 2 2 2" xfId="41744"/>
    <cellStyle name="常规 6 3 3 2 4 2 2 2 2" xfId="41745"/>
    <cellStyle name="常规 6 3 3 2 4 2 2 2 2 2" xfId="41746"/>
    <cellStyle name="常规 6 3 3 2 4 2 2 2 2 2 2" xfId="41747"/>
    <cellStyle name="常规 6 3 3 2 4 2 2 2 2 2 2 2" xfId="41748"/>
    <cellStyle name="常规 6 3 3 2 4 2 2 2 2 2 3" xfId="41749"/>
    <cellStyle name="常规 6 3 3 2 4 2 2 2 2 2 4" xfId="41750"/>
    <cellStyle name="常规 6 3 3 2 4 2 2 2 2 3" xfId="41751"/>
    <cellStyle name="常规 6 3 3 2 4 2 2 2 2 3 2" xfId="41752"/>
    <cellStyle name="常规 6 3 3 2 4 2 2 2 2 4" xfId="41753"/>
    <cellStyle name="常规 6 3 3 2 4 2 2 2 2 5" xfId="41754"/>
    <cellStyle name="常规 6 3 3 2 4 2 2 2 3" xfId="41755"/>
    <cellStyle name="常规 6 3 3 2 4 2 2 2 3 2" xfId="41756"/>
    <cellStyle name="常规 6 3 3 2 4 2 2 2 3 2 2" xfId="41757"/>
    <cellStyle name="常规 6 3 3 2 4 2 2 2 3 3" xfId="41758"/>
    <cellStyle name="常规 6 3 3 2 4 2 2 2 3 4" xfId="41759"/>
    <cellStyle name="常规 6 3 3 2 4 2 2 2 4" xfId="41760"/>
    <cellStyle name="常规 6 3 3 2 4 2 2 2 4 2" xfId="41761"/>
    <cellStyle name="常规 6 3 3 2 4 2 2 2 5" xfId="41762"/>
    <cellStyle name="常规 6 3 3 2 4 2 2 2 6" xfId="41763"/>
    <cellStyle name="常规 6 3 3 2 4 2 2 3" xfId="41764"/>
    <cellStyle name="常规 6 3 3 2 4 2 2 3 2" xfId="41765"/>
    <cellStyle name="常规 6 3 3 2 4 2 2 3 2 2" xfId="41766"/>
    <cellStyle name="常规 6 3 3 2 4 2 2 3 2 2 2" xfId="41767"/>
    <cellStyle name="常规 6 3 3 2 4 2 2 3 2 3" xfId="41768"/>
    <cellStyle name="常规 6 3 3 2 4 2 2 3 2 4" xfId="41769"/>
    <cellStyle name="常规 6 3 3 2 4 2 2 3 3" xfId="41770"/>
    <cellStyle name="常规 6 3 3 2 4 2 2 3 3 2" xfId="41771"/>
    <cellStyle name="常规 6 3 3 2 4 2 2 3 4" xfId="41772"/>
    <cellStyle name="常规 6 3 3 2 4 2 2 3 5" xfId="41773"/>
    <cellStyle name="常规 6 3 3 2 4 2 2 4" xfId="41774"/>
    <cellStyle name="常规 6 3 3 2 4 2 2 4 2" xfId="41775"/>
    <cellStyle name="常规 6 3 3 2 4 2 2 4 2 2" xfId="41776"/>
    <cellStyle name="常规 6 3 3 2 4 2 2 4 3" xfId="41777"/>
    <cellStyle name="常规 6 3 3 2 4 2 2 4 4" xfId="41778"/>
    <cellStyle name="常规 6 3 3 2 4 2 2 5" xfId="41780"/>
    <cellStyle name="常规 6 3 3 2 4 2 2 5 2" xfId="41781"/>
    <cellStyle name="常规 6 3 3 2 4 2 2 6" xfId="41782"/>
    <cellStyle name="常规 6 3 3 2 4 2 2 7" xfId="41783"/>
    <cellStyle name="常规 6 3 3 2 4 2 3" xfId="41784"/>
    <cellStyle name="常规 6 3 3 2 4 2 3 2" xfId="41785"/>
    <cellStyle name="常规 6 3 3 2 4 2 3 2 2" xfId="41786"/>
    <cellStyle name="常规 6 3 3 2 4 2 3 2 2 2" xfId="41787"/>
    <cellStyle name="常规 6 3 3 2 4 2 3 2 2 2 2" xfId="41788"/>
    <cellStyle name="常规 6 3 3 2 4 2 3 2 2 3" xfId="32311"/>
    <cellStyle name="常规 6 3 3 2 4 2 3 2 2 4" xfId="41789"/>
    <cellStyle name="常规 6 3 3 2 4 2 3 2 3" xfId="41790"/>
    <cellStyle name="常规 6 3 3 2 4 2 3 2 3 2" xfId="41791"/>
    <cellStyle name="常规 6 3 3 2 4 2 3 2 4" xfId="41792"/>
    <cellStyle name="常规 6 3 3 2 4 2 3 2 5" xfId="41793"/>
    <cellStyle name="常规 6 3 3 2 4 2 3 3" xfId="41794"/>
    <cellStyle name="常规 6 3 3 2 4 2 3 3 2" xfId="41795"/>
    <cellStyle name="常规 6 3 3 2 4 2 3 3 2 2" xfId="41796"/>
    <cellStyle name="常规 6 3 3 2 4 2 3 3 3" xfId="41797"/>
    <cellStyle name="常规 6 3 3 2 4 2 3 3 4" xfId="41798"/>
    <cellStyle name="常规 6 3 3 2 4 2 3 4" xfId="41799"/>
    <cellStyle name="常规 6 3 3 2 4 2 3 4 2" xfId="41800"/>
    <cellStyle name="常规 6 3 3 2 4 2 3 5" xfId="41801"/>
    <cellStyle name="常规 6 3 3 2 4 2 3 6" xfId="41802"/>
    <cellStyle name="常规 6 3 3 2 4 2 4" xfId="41803"/>
    <cellStyle name="常规 6 3 3 2 4 2 4 2" xfId="41804"/>
    <cellStyle name="常规 6 3 3 2 4 2 4 2 2" xfId="41805"/>
    <cellStyle name="常规 6 3 3 2 4 2 4 2 2 2" xfId="41806"/>
    <cellStyle name="常规 6 3 3 2 4 2 4 2 3" xfId="41807"/>
    <cellStyle name="常规 6 3 3 2 4 2 4 2 4" xfId="41808"/>
    <cellStyle name="常规 6 3 3 2 4 2 4 3" xfId="41809"/>
    <cellStyle name="常规 6 3 3 2 4 2 4 3 2" xfId="41810"/>
    <cellStyle name="常规 6 3 3 2 4 2 4 4" xfId="41811"/>
    <cellStyle name="常规 6 3 3 2 4 2 4 5" xfId="41812"/>
    <cellStyle name="常规 6 3 3 2 4 2 5" xfId="41813"/>
    <cellStyle name="常规 6 3 3 2 4 2 5 2" xfId="41814"/>
    <cellStyle name="常规 6 3 3 2 4 2 5 2 2" xfId="41815"/>
    <cellStyle name="常规 6 3 3 2 4 2 5 3" xfId="41816"/>
    <cellStyle name="常规 6 3 3 2 4 2 5 4" xfId="41817"/>
    <cellStyle name="常规 6 3 3 2 4 2 6" xfId="41818"/>
    <cellStyle name="常规 6 3 3 2 4 2 6 2" xfId="41819"/>
    <cellStyle name="常规 6 3 3 2 4 2 7" xfId="41820"/>
    <cellStyle name="常规 6 3 3 2 4 2 8" xfId="41821"/>
    <cellStyle name="常规 6 3 3 2 4 3" xfId="41822"/>
    <cellStyle name="常规 6 3 3 2 4 3 2" xfId="41823"/>
    <cellStyle name="常规 6 3 3 2 4 3 2 2" xfId="41824"/>
    <cellStyle name="常规 6 3 3 2 4 3 2 2 2" xfId="5621"/>
    <cellStyle name="常规 6 3 3 2 4 3 2 2 2 2" xfId="41825"/>
    <cellStyle name="常规 6 3 3 2 4 3 2 2 2 2 2" xfId="41826"/>
    <cellStyle name="常规 6 3 3 2 4 3 2 2 2 3" xfId="41827"/>
    <cellStyle name="常规 6 3 3 2 4 3 2 2 2 4" xfId="41828"/>
    <cellStyle name="常规 6 3 3 2 4 3 2 2 3" xfId="5627"/>
    <cellStyle name="常规 6 3 3 2 4 3 2 2 3 2" xfId="41829"/>
    <cellStyle name="常规 6 3 3 2 4 3 2 2 4" xfId="41830"/>
    <cellStyle name="常规 6 3 3 2 4 3 2 2 5" xfId="41831"/>
    <cellStyle name="常规 6 3 3 2 4 3 2 3" xfId="41832"/>
    <cellStyle name="常规 6 3 3 2 4 3 2 3 2" xfId="5634"/>
    <cellStyle name="常规 6 3 3 2 4 3 2 3 2 2" xfId="41833"/>
    <cellStyle name="常规 6 3 3 2 4 3 2 3 3" xfId="41834"/>
    <cellStyle name="常规 6 3 3 2 4 3 2 3 4" xfId="41835"/>
    <cellStyle name="常规 6 3 3 2 4 3 2 4" xfId="41836"/>
    <cellStyle name="常规 6 3 3 2 4 3 2 4 2" xfId="2275"/>
    <cellStyle name="常规 6 3 3 2 4 3 2 5" xfId="41837"/>
    <cellStyle name="常规 6 3 3 2 4 3 2 6" xfId="41838"/>
    <cellStyle name="常规 6 3 3 2 4 3 3" xfId="41839"/>
    <cellStyle name="常规 6 3 3 2 4 3 3 2" xfId="41840"/>
    <cellStyle name="常规 6 3 3 2 4 3 3 2 2" xfId="64"/>
    <cellStyle name="常规 6 3 3 2 4 3 3 2 2 2" xfId="41841"/>
    <cellStyle name="常规 6 3 3 2 4 3 3 2 3" xfId="34760"/>
    <cellStyle name="常规 6 3 3 2 4 3 3 2 4" xfId="41842"/>
    <cellStyle name="常规 6 3 3 2 4 3 3 3" xfId="41843"/>
    <cellStyle name="常规 6 3 3 2 4 3 3 3 2" xfId="41844"/>
    <cellStyle name="常规 6 3 3 2 4 3 3 4" xfId="41845"/>
    <cellStyle name="常规 6 3 3 2 4 3 3 5" xfId="41846"/>
    <cellStyle name="常规 6 3 3 2 4 3 4" xfId="41847"/>
    <cellStyle name="常规 6 3 3 2 4 3 4 2" xfId="41848"/>
    <cellStyle name="常规 6 3 3 2 4 3 4 2 2" xfId="41849"/>
    <cellStyle name="常规 6 3 3 2 4 3 4 3" xfId="41850"/>
    <cellStyle name="常规 6 3 3 2 4 3 4 4" xfId="41851"/>
    <cellStyle name="常规 6 3 3 2 4 3 5" xfId="41852"/>
    <cellStyle name="常规 6 3 3 2 4 3 5 2" xfId="41853"/>
    <cellStyle name="常规 6 3 3 2 4 3 6" xfId="41854"/>
    <cellStyle name="常规 6 3 3 2 4 3 7" xfId="41855"/>
    <cellStyle name="常规 6 3 3 2 4 4" xfId="41856"/>
    <cellStyle name="常规 6 3 3 2 4 4 2" xfId="41857"/>
    <cellStyle name="常规 6 3 3 2 4 4 2 2" xfId="41858"/>
    <cellStyle name="常规 6 3 3 2 4 4 2 2 2" xfId="5774"/>
    <cellStyle name="常规 6 3 3 2 4 4 2 2 2 2" xfId="41859"/>
    <cellStyle name="常规 6 3 3 2 4 4 2 2 3" xfId="41860"/>
    <cellStyle name="常规 6 3 3 2 4 4 2 2 4" xfId="41861"/>
    <cellStyle name="常规 6 3 3 2 4 4 2 3" xfId="41862"/>
    <cellStyle name="常规 6 3 3 2 4 4 2 3 2" xfId="41863"/>
    <cellStyle name="常规 6 3 3 2 4 4 2 4" xfId="41864"/>
    <cellStyle name="常规 6 3 3 2 4 4 2 5" xfId="41865"/>
    <cellStyle name="常规 6 3 3 2 4 4 3" xfId="41866"/>
    <cellStyle name="常规 6 3 3 2 4 4 3 2" xfId="13675"/>
    <cellStyle name="常规 6 3 3 2 4 4 3 2 2" xfId="41867"/>
    <cellStyle name="常规 6 3 3 2 4 4 3 3" xfId="41868"/>
    <cellStyle name="常规 6 3 3 2 4 4 3 4" xfId="41869"/>
    <cellStyle name="常规 6 3 3 2 4 4 4" xfId="41870"/>
    <cellStyle name="常规 6 3 3 2 4 4 4 2" xfId="41871"/>
    <cellStyle name="常规 6 3 3 2 4 4 5" xfId="8556"/>
    <cellStyle name="常规 6 3 3 2 4 4 6" xfId="41872"/>
    <cellStyle name="常规 6 3 3 2 4 5" xfId="41873"/>
    <cellStyle name="常规 6 3 3 2 4 5 2" xfId="41874"/>
    <cellStyle name="常规 6 3 3 2 4 5 2 2" xfId="41875"/>
    <cellStyle name="常规 6 3 3 2 4 5 2 2 2" xfId="41876"/>
    <cellStyle name="常规 6 3 3 2 4 5 2 3" xfId="41877"/>
    <cellStyle name="常规 6 3 3 2 4 5 2 4" xfId="41878"/>
    <cellStyle name="常规 6 3 3 2 4 5 3" xfId="41879"/>
    <cellStyle name="常规 6 3 3 2 4 5 3 2" xfId="41880"/>
    <cellStyle name="常规 6 3 3 2 4 5 4" xfId="41881"/>
    <cellStyle name="常规 6 3 3 2 4 5 5" xfId="41882"/>
    <cellStyle name="常规 6 3 3 2 4 6" xfId="41883"/>
    <cellStyle name="常规 6 3 3 2 4 6 2" xfId="41884"/>
    <cellStyle name="常规 6 3 3 2 4 6 2 2" xfId="41885"/>
    <cellStyle name="常规 6 3 3 2 4 6 3" xfId="41887"/>
    <cellStyle name="常规 6 3 3 2 4 6 4" xfId="41889"/>
    <cellStyle name="常规 6 3 3 2 4 7" xfId="41890"/>
    <cellStyle name="常规 6 3 3 2 4 7 2" xfId="41891"/>
    <cellStyle name="常规 6 3 3 2 4 8" xfId="41892"/>
    <cellStyle name="常规 6 3 3 2 4 9" xfId="41893"/>
    <cellStyle name="常规 6 3 3 2 5" xfId="41894"/>
    <cellStyle name="常规 6 3 3 2 5 2" xfId="41895"/>
    <cellStyle name="常规 6 3 3 2 5 2 2" xfId="41896"/>
    <cellStyle name="常规 6 3 3 2 5 2 2 2" xfId="41897"/>
    <cellStyle name="常规 6 3 3 2 5 2 2 2 2" xfId="41899"/>
    <cellStyle name="常规 6 3 3 2 5 2 2 2 2 2" xfId="41901"/>
    <cellStyle name="常规 6 3 3 2 5 2 2 2 2 2 2" xfId="41902"/>
    <cellStyle name="常规 6 3 3 2 5 2 2 2 2 3" xfId="41903"/>
    <cellStyle name="常规 6 3 3 2 5 2 2 2 2 4" xfId="41904"/>
    <cellStyle name="常规 6 3 3 2 5 2 2 2 3" xfId="41906"/>
    <cellStyle name="常规 6 3 3 2 5 2 2 2 3 2" xfId="41907"/>
    <cellStyle name="常规 6 3 3 2 5 2 2 2 4" xfId="41909"/>
    <cellStyle name="常规 6 3 3 2 5 2 2 2 5" xfId="41910"/>
    <cellStyle name="常规 6 3 3 2 5 2 2 3" xfId="41911"/>
    <cellStyle name="常规 6 3 3 2 5 2 2 3 2" xfId="41913"/>
    <cellStyle name="常规 6 3 3 2 5 2 2 3 2 2" xfId="41914"/>
    <cellStyle name="常规 6 3 3 2 5 2 2 3 3" xfId="41916"/>
    <cellStyle name="常规 6 3 3 2 5 2 2 3 4" xfId="41917"/>
    <cellStyle name="常规 6 3 3 2 5 2 2 4" xfId="41918"/>
    <cellStyle name="常规 6 3 3 2 5 2 2 4 2" xfId="41919"/>
    <cellStyle name="常规 6 3 3 2 5 2 2 5" xfId="41920"/>
    <cellStyle name="常规 6 3 3 2 5 2 2 6" xfId="41921"/>
    <cellStyle name="常规 6 3 3 2 5 2 3" xfId="41922"/>
    <cellStyle name="常规 6 3 3 2 5 2 3 2" xfId="41923"/>
    <cellStyle name="常规 6 3 3 2 5 2 3 2 2" xfId="41925"/>
    <cellStyle name="常规 6 3 3 2 5 2 3 2 2 2" xfId="41926"/>
    <cellStyle name="常规 6 3 3 2 5 2 3 2 3" xfId="41928"/>
    <cellStyle name="常规 6 3 3 2 5 2 3 2 4" xfId="41929"/>
    <cellStyle name="常规 6 3 3 2 5 2 3 3" xfId="41930"/>
    <cellStyle name="常规 6 3 3 2 5 2 3 3 2" xfId="41931"/>
    <cellStyle name="常规 6 3 3 2 5 2 3 4" xfId="41932"/>
    <cellStyle name="常规 6 3 3 2 5 2 3 5" xfId="41933"/>
    <cellStyle name="常规 6 3 3 2 5 2 4" xfId="41934"/>
    <cellStyle name="常规 6 3 3 2 5 2 4 2" xfId="41935"/>
    <cellStyle name="常规 6 3 3 2 5 2 4 2 2" xfId="41936"/>
    <cellStyle name="常规 6 3 3 2 5 2 4 3" xfId="41937"/>
    <cellStyle name="常规 6 3 3 2 5 2 4 4" xfId="41938"/>
    <cellStyle name="常规 6 3 3 2 5 2 5" xfId="41939"/>
    <cellStyle name="常规 6 3 3 2 5 2 5 2" xfId="41940"/>
    <cellStyle name="常规 6 3 3 2 5 2 6" xfId="41941"/>
    <cellStyle name="常规 6 3 3 2 5 2 7" xfId="41942"/>
    <cellStyle name="常规 6 3 3 2 5 3" xfId="41943"/>
    <cellStyle name="常规 6 3 3 2 5 3 2" xfId="41944"/>
    <cellStyle name="常规 6 3 3 2 5 3 2 2" xfId="41945"/>
    <cellStyle name="常规 6 3 3 2 5 3 2 2 2" xfId="1055"/>
    <cellStyle name="常规 6 3 3 2 5 3 2 2 2 2" xfId="41946"/>
    <cellStyle name="常规 6 3 3 2 5 3 2 2 3" xfId="41947"/>
    <cellStyle name="常规 6 3 3 2 5 3 2 2 4" xfId="41948"/>
    <cellStyle name="常规 6 3 3 2 5 3 2 3" xfId="41949"/>
    <cellStyle name="常规 6 3 3 2 5 3 2 3 2" xfId="41950"/>
    <cellStyle name="常规 6 3 3 2 5 3 2 4" xfId="41951"/>
    <cellStyle name="常规 6 3 3 2 5 3 2 5" xfId="41952"/>
    <cellStyle name="常规 6 3 3 2 5 3 3" xfId="41953"/>
    <cellStyle name="常规 6 3 3 2 5 3 3 2" xfId="41954"/>
    <cellStyle name="常规 6 3 3 2 5 3 3 2 2" xfId="41955"/>
    <cellStyle name="常规 6 3 3 2 5 3 3 3" xfId="41956"/>
    <cellStyle name="常规 6 3 3 2 5 3 3 4" xfId="41957"/>
    <cellStyle name="常规 6 3 3 2 5 3 4" xfId="41958"/>
    <cellStyle name="常规 6 3 3 2 5 3 4 2" xfId="41959"/>
    <cellStyle name="常规 6 3 3 2 5 3 5" xfId="41960"/>
    <cellStyle name="常规 6 3 3 2 5 3 6" xfId="41961"/>
    <cellStyle name="常规 6 3 3 2 5 4" xfId="41962"/>
    <cellStyle name="常规 6 3 3 2 5 4 2" xfId="41963"/>
    <cellStyle name="常规 6 3 3 2 5 4 2 2" xfId="41964"/>
    <cellStyle name="常规 6 3 3 2 5 4 2 2 2" xfId="41965"/>
    <cellStyle name="常规 6 3 3 2 5 4 2 3" xfId="41966"/>
    <cellStyle name="常规 6 3 3 2 5 4 2 4" xfId="41967"/>
    <cellStyle name="常规 6 3 3 2 5 4 3" xfId="13717"/>
    <cellStyle name="常规 6 3 3 2 5 4 3 2" xfId="41968"/>
    <cellStyle name="常规 6 3 3 2 5 4 4" xfId="41969"/>
    <cellStyle name="常规 6 3 3 2 5 4 5" xfId="41970"/>
    <cellStyle name="常规 6 3 3 2 5 5" xfId="41971"/>
    <cellStyle name="常规 6 3 3 2 5 5 2" xfId="41972"/>
    <cellStyle name="常规 6 3 3 2 5 5 2 2" xfId="41973"/>
    <cellStyle name="常规 6 3 3 2 5 5 3" xfId="41974"/>
    <cellStyle name="常规 6 3 3 2 5 5 4" xfId="41975"/>
    <cellStyle name="常规 6 3 3 2 5 6" xfId="41977"/>
    <cellStyle name="常规 6 3 3 2 5 6 2" xfId="41979"/>
    <cellStyle name="常规 6 3 3 2 5 7" xfId="41981"/>
    <cellStyle name="常规 6 3 3 2 5 8" xfId="41983"/>
    <cellStyle name="常规 6 3 3 2 6" xfId="41984"/>
    <cellStyle name="常规 6 3 3 2 6 2" xfId="41985"/>
    <cellStyle name="常规 6 3 3 2 6 2 2" xfId="41986"/>
    <cellStyle name="常规 6 3 3 2 6 2 2 2" xfId="41987"/>
    <cellStyle name="常规 6 3 3 2 6 2 2 2 2" xfId="41988"/>
    <cellStyle name="常规 6 3 3 2 6 2 2 2 2 2" xfId="41989"/>
    <cellStyle name="常规 6 3 3 2 6 2 2 2 3" xfId="41990"/>
    <cellStyle name="常规 6 3 3 2 6 2 2 2 4" xfId="41991"/>
    <cellStyle name="常规 6 3 3 2 6 2 2 3" xfId="41992"/>
    <cellStyle name="常规 6 3 3 2 6 2 2 3 2" xfId="41993"/>
    <cellStyle name="常规 6 3 3 2 6 2 2 4" xfId="41994"/>
    <cellStyle name="常规 6 3 3 2 6 2 2 5" xfId="41995"/>
    <cellStyle name="常规 6 3 3 2 6 2 3" xfId="41996"/>
    <cellStyle name="常规 6 3 3 2 6 2 3 2" xfId="41997"/>
    <cellStyle name="常规 6 3 3 2 6 2 3 2 2" xfId="41998"/>
    <cellStyle name="常规 6 3 3 2 6 2 3 3" xfId="41999"/>
    <cellStyle name="常规 6 3 3 2 6 2 3 4" xfId="42000"/>
    <cellStyle name="常规 6 3 3 2 6 2 4" xfId="42001"/>
    <cellStyle name="常规 6 3 3 2 6 2 4 2" xfId="42002"/>
    <cellStyle name="常规 6 3 3 2 6 2 5" xfId="42003"/>
    <cellStyle name="常规 6 3 3 2 6 2 6" xfId="42004"/>
    <cellStyle name="常规 6 3 3 2 6 3" xfId="42005"/>
    <cellStyle name="常规 6 3 3 2 6 3 2" xfId="42006"/>
    <cellStyle name="常规 6 3 3 2 6 3 2 2" xfId="42007"/>
    <cellStyle name="常规 6 3 3 2 6 3 2 2 2" xfId="42008"/>
    <cellStyle name="常规 6 3 3 2 6 3 2 3" xfId="42009"/>
    <cellStyle name="常规 6 3 3 2 6 3 2 4" xfId="42010"/>
    <cellStyle name="常规 6 3 3 2 6 3 3" xfId="42011"/>
    <cellStyle name="常规 6 3 3 2 6 3 3 2" xfId="42012"/>
    <cellStyle name="常规 6 3 3 2 6 3 4" xfId="42013"/>
    <cellStyle name="常规 6 3 3 2 6 3 5" xfId="42014"/>
    <cellStyle name="常规 6 3 3 2 6 4" xfId="42015"/>
    <cellStyle name="常规 6 3 3 2 6 4 2" xfId="42016"/>
    <cellStyle name="常规 6 3 3 2 6 4 2 2" xfId="42017"/>
    <cellStyle name="常规 6 3 3 2 6 4 3" xfId="42018"/>
    <cellStyle name="常规 6 3 3 2 6 4 4" xfId="42019"/>
    <cellStyle name="常规 6 3 3 2 6 5" xfId="42020"/>
    <cellStyle name="常规 6 3 3 2 6 5 2" xfId="42021"/>
    <cellStyle name="常规 6 3 3 2 6 6" xfId="42023"/>
    <cellStyle name="常规 6 3 3 2 6 7" xfId="42025"/>
    <cellStyle name="常规 6 3 3 2 7" xfId="42026"/>
    <cellStyle name="常规 6 3 3 2 7 2" xfId="42027"/>
    <cellStyle name="常规 6 3 3 2 7 2 2" xfId="42028"/>
    <cellStyle name="常规 6 3 3 2 7 2 2 2" xfId="42029"/>
    <cellStyle name="常规 6 3 3 2 7 2 2 2 2" xfId="42030"/>
    <cellStyle name="常规 6 3 3 2 7 2 2 3" xfId="40414"/>
    <cellStyle name="常规 6 3 3 2 7 2 2 4" xfId="42031"/>
    <cellStyle name="常规 6 3 3 2 7 2 3" xfId="42032"/>
    <cellStyle name="常规 6 3 3 2 7 2 3 2" xfId="42033"/>
    <cellStyle name="常规 6 3 3 2 7 2 4" xfId="42034"/>
    <cellStyle name="常规 6 3 3 2 7 2 5" xfId="42035"/>
    <cellStyle name="常规 6 3 3 2 7 3" xfId="42036"/>
    <cellStyle name="常规 6 3 3 2 7 3 2" xfId="42037"/>
    <cellStyle name="常规 6 3 3 2 7 3 2 2" xfId="42038"/>
    <cellStyle name="常规 6 3 3 2 7 3 3" xfId="42039"/>
    <cellStyle name="常规 6 3 3 2 7 3 4" xfId="42040"/>
    <cellStyle name="常规 6 3 3 2 7 4" xfId="42041"/>
    <cellStyle name="常规 6 3 3 2 7 4 2" xfId="42042"/>
    <cellStyle name="常规 6 3 3 2 7 5" xfId="42043"/>
    <cellStyle name="常规 6 3 3 2 7 6" xfId="10494"/>
    <cellStyle name="常规 6 3 3 2 8" xfId="42044"/>
    <cellStyle name="常规 6 3 3 2 8 2" xfId="42045"/>
    <cellStyle name="常规 6 3 3 2 8 2 2" xfId="42046"/>
    <cellStyle name="常规 6 3 3 2 8 2 2 2" xfId="42048"/>
    <cellStyle name="常规 6 3 3 2 8 2 3" xfId="42049"/>
    <cellStyle name="常规 6 3 3 2 8 2 4" xfId="42050"/>
    <cellStyle name="常规 6 3 3 2 8 3" xfId="42051"/>
    <cellStyle name="常规 6 3 3 2 8 3 2" xfId="42052"/>
    <cellStyle name="常规 6 3 3 2 8 4" xfId="42053"/>
    <cellStyle name="常规 6 3 3 2 8 5" xfId="42054"/>
    <cellStyle name="常规 6 3 3 2 9" xfId="42055"/>
    <cellStyle name="常规 6 3 3 2 9 2" xfId="42056"/>
    <cellStyle name="常规 6 3 3 2 9 2 2" xfId="42057"/>
    <cellStyle name="常规 6 3 3 2 9 3" xfId="42058"/>
    <cellStyle name="常规 6 3 3 2 9 4" xfId="42059"/>
    <cellStyle name="常规 6 3 3 3" xfId="42060"/>
    <cellStyle name="常规 6 3 3 3 10" xfId="42061"/>
    <cellStyle name="常规 6 3 3 3 11" xfId="42062"/>
    <cellStyle name="常规 6 3 3 3 2" xfId="42063"/>
    <cellStyle name="常规 6 3 3 3 2 2" xfId="42064"/>
    <cellStyle name="常规 6 3 3 3 2 2 2" xfId="42065"/>
    <cellStyle name="常规 6 3 3 3 2 2 2 2" xfId="42066"/>
    <cellStyle name="常规 6 3 3 3 2 2 2 2 2" xfId="3903"/>
    <cellStyle name="常规 6 3 3 3 2 2 2 2 2 2" xfId="6681"/>
    <cellStyle name="常规 6 3 3 3 2 2 2 2 2 2 2" xfId="42067"/>
    <cellStyle name="常规 6 3 3 3 2 2 2 2 2 2 2 2" xfId="42068"/>
    <cellStyle name="常规 6 3 3 3 2 2 2 2 2 2 3" xfId="42069"/>
    <cellStyle name="常规 6 3 3 3 2 2 2 2 2 2 4" xfId="42070"/>
    <cellStyle name="常规 6 3 3 3 2 2 2 2 2 3" xfId="42071"/>
    <cellStyle name="常规 6 3 3 3 2 2 2 2 2 3 2" xfId="7682"/>
    <cellStyle name="常规 6 3 3 3 2 2 2 2 2 4" xfId="42072"/>
    <cellStyle name="常规 6 3 3 3 2 2 2 2 2 5" xfId="42073"/>
    <cellStyle name="常规 6 3 3 3 2 2 2 2 3" xfId="6780"/>
    <cellStyle name="常规 6 3 3 3 2 2 2 2 3 2" xfId="42074"/>
    <cellStyle name="常规 6 3 3 3 2 2 2 2 3 2 2" xfId="42075"/>
    <cellStyle name="常规 6 3 3 3 2 2 2 2 3 3" xfId="42076"/>
    <cellStyle name="常规 6 3 3 3 2 2 2 2 3 4" xfId="42077"/>
    <cellStyle name="常规 6 3 3 3 2 2 2 2 4" xfId="42078"/>
    <cellStyle name="常规 6 3 3 3 2 2 2 2 4 2" xfId="42079"/>
    <cellStyle name="常规 6 3 3 3 2 2 2 2 5" xfId="35118"/>
    <cellStyle name="常规 6 3 3 3 2 2 2 2 6" xfId="35121"/>
    <cellStyle name="常规 6 3 3 3 2 2 2 3" xfId="42080"/>
    <cellStyle name="常规 6 3 3 3 2 2 2 3 2" xfId="49"/>
    <cellStyle name="常规 6 3 3 3 2 2 2 3 2 2" xfId="42081"/>
    <cellStyle name="常规 6 3 3 3 2 2 2 3 2 2 2" xfId="42082"/>
    <cellStyle name="常规 6 3 3 3 2 2 2 3 2 3" xfId="42083"/>
    <cellStyle name="常规 6 3 3 3 2 2 2 3 2 4" xfId="42084"/>
    <cellStyle name="常规 6 3 3 3 2 2 2 3 3" xfId="42085"/>
    <cellStyle name="常规 6 3 3 3 2 2 2 3 3 2" xfId="42086"/>
    <cellStyle name="常规 6 3 3 3 2 2 2 3 4" xfId="42087"/>
    <cellStyle name="常规 6 3 3 3 2 2 2 3 5" xfId="35125"/>
    <cellStyle name="常规 6 3 3 3 2 2 2 4" xfId="42088"/>
    <cellStyle name="常规 6 3 3 3 2 2 2 4 2" xfId="42089"/>
    <cellStyle name="常规 6 3 3 3 2 2 2 4 2 2" xfId="42090"/>
    <cellStyle name="常规 6 3 3 3 2 2 2 4 3" xfId="42091"/>
    <cellStyle name="常规 6 3 3 3 2 2 2 4 4" xfId="42092"/>
    <cellStyle name="常规 6 3 3 3 2 2 2 5" xfId="42093"/>
    <cellStyle name="常规 6 3 3 3 2 2 2 5 2" xfId="42094"/>
    <cellStyle name="常规 6 3 3 3 2 2 2 6" xfId="42095"/>
    <cellStyle name="常规 6 3 3 3 2 2 2 7" xfId="42096"/>
    <cellStyle name="常规 6 3 3 3 2 2 3" xfId="42097"/>
    <cellStyle name="常规 6 3 3 3 2 2 3 2" xfId="42098"/>
    <cellStyle name="常规 6 3 3 3 2 2 3 2 2" xfId="8600"/>
    <cellStyle name="常规 6 3 3 3 2 2 3 2 2 2" xfId="42099"/>
    <cellStyle name="常规 6 3 3 3 2 2 3 2 2 2 2" xfId="42100"/>
    <cellStyle name="常规 6 3 3 3 2 2 3 2 2 3" xfId="42101"/>
    <cellStyle name="常规 6 3 3 3 2 2 3 2 2 4" xfId="42102"/>
    <cellStyle name="常规 6 3 3 3 2 2 3 2 3" xfId="42103"/>
    <cellStyle name="常规 6 3 3 3 2 2 3 2 3 2" xfId="42104"/>
    <cellStyle name="常规 6 3 3 3 2 2 3 2 4" xfId="42105"/>
    <cellStyle name="常规 6 3 3 3 2 2 3 2 5" xfId="35136"/>
    <cellStyle name="常规 6 3 3 3 2 2 3 3" xfId="42106"/>
    <cellStyle name="常规 6 3 3 3 2 2 3 3 2" xfId="42107"/>
    <cellStyle name="常规 6 3 3 3 2 2 3 3 2 2" xfId="42108"/>
    <cellStyle name="常规 6 3 3 3 2 2 3 3 3" xfId="42109"/>
    <cellStyle name="常规 6 3 3 3 2 2 3 3 4" xfId="42110"/>
    <cellStyle name="常规 6 3 3 3 2 2 3 4" xfId="42111"/>
    <cellStyle name="常规 6 3 3 3 2 2 3 4 2" xfId="42112"/>
    <cellStyle name="常规 6 3 3 3 2 2 3 5" xfId="42113"/>
    <cellStyle name="常规 6 3 3 3 2 2 3 6" xfId="4955"/>
    <cellStyle name="常规 6 3 3 3 2 2 4" xfId="42114"/>
    <cellStyle name="常规 6 3 3 3 2 2 4 2" xfId="42115"/>
    <cellStyle name="常规 6 3 3 3 2 2 4 2 2" xfId="42116"/>
    <cellStyle name="常规 6 3 3 3 2 2 4 2 2 2" xfId="42117"/>
    <cellStyle name="常规 6 3 3 3 2 2 4 2 3" xfId="42118"/>
    <cellStyle name="常规 6 3 3 3 2 2 4 2 4" xfId="42119"/>
    <cellStyle name="常规 6 3 3 3 2 2 4 3" xfId="42120"/>
    <cellStyle name="常规 6 3 3 3 2 2 4 3 2" xfId="42121"/>
    <cellStyle name="常规 6 3 3 3 2 2 4 4" xfId="42122"/>
    <cellStyle name="常规 6 3 3 3 2 2 4 5" xfId="42123"/>
    <cellStyle name="常规 6 3 3 3 2 2 5" xfId="42124"/>
    <cellStyle name="常规 6 3 3 3 2 2 5 2" xfId="42125"/>
    <cellStyle name="常规 6 3 3 3 2 2 5 2 2" xfId="42126"/>
    <cellStyle name="常规 6 3 3 3 2 2 5 3" xfId="42127"/>
    <cellStyle name="常规 6 3 3 3 2 2 5 4" xfId="42128"/>
    <cellStyle name="常规 6 3 3 3 2 2 6" xfId="42129"/>
    <cellStyle name="常规 6 3 3 3 2 2 6 2" xfId="42130"/>
    <cellStyle name="常规 6 3 3 3 2 2 7" xfId="42131"/>
    <cellStyle name="常规 6 3 3 3 2 2 8" xfId="39152"/>
    <cellStyle name="常规 6 3 3 3 2 3" xfId="42132"/>
    <cellStyle name="常规 6 3 3 3 2 3 2" xfId="42133"/>
    <cellStyle name="常规 6 3 3 3 2 3 2 2" xfId="42134"/>
    <cellStyle name="常规 6 3 3 3 2 3 2 2 2" xfId="6248"/>
    <cellStyle name="常规 6 3 3 3 2 3 2 2 2 2" xfId="42135"/>
    <cellStyle name="常规 6 3 3 3 2 3 2 2 2 2 2" xfId="42136"/>
    <cellStyle name="常规 6 3 3 3 2 3 2 2 2 3" xfId="42137"/>
    <cellStyle name="常规 6 3 3 3 2 3 2 2 2 4" xfId="42138"/>
    <cellStyle name="常规 6 3 3 3 2 3 2 2 3" xfId="6251"/>
    <cellStyle name="常规 6 3 3 3 2 3 2 2 3 2" xfId="42139"/>
    <cellStyle name="常规 6 3 3 3 2 3 2 2 4" xfId="42140"/>
    <cellStyle name="常规 6 3 3 3 2 3 2 2 5" xfId="35153"/>
    <cellStyle name="常规 6 3 3 3 2 3 2 3" xfId="42141"/>
    <cellStyle name="常规 6 3 3 3 2 3 2 3 2" xfId="5219"/>
    <cellStyle name="常规 6 3 3 3 2 3 2 3 2 2" xfId="42142"/>
    <cellStyle name="常规 6 3 3 3 2 3 2 3 3" xfId="42143"/>
    <cellStyle name="常规 6 3 3 3 2 3 2 3 4" xfId="42144"/>
    <cellStyle name="常规 6 3 3 3 2 3 2 4" xfId="42145"/>
    <cellStyle name="常规 6 3 3 3 2 3 2 4 2" xfId="42146"/>
    <cellStyle name="常规 6 3 3 3 2 3 2 5" xfId="42147"/>
    <cellStyle name="常规 6 3 3 3 2 3 2 6" xfId="42148"/>
    <cellStyle name="常规 6 3 3 3 2 3 3" xfId="42149"/>
    <cellStyle name="常规 6 3 3 3 2 3 3 2" xfId="42150"/>
    <cellStyle name="常规 6 3 3 3 2 3 3 2 2" xfId="6280"/>
    <cellStyle name="常规 6 3 3 3 2 3 3 2 2 2" xfId="42151"/>
    <cellStyle name="常规 6 3 3 3 2 3 3 2 3" xfId="42152"/>
    <cellStyle name="常规 6 3 3 3 2 3 3 2 4" xfId="42153"/>
    <cellStyle name="常规 6 3 3 3 2 3 3 3" xfId="42154"/>
    <cellStyle name="常规 6 3 3 3 2 3 3 3 2" xfId="42155"/>
    <cellStyle name="常规 6 3 3 3 2 3 3 4" xfId="42156"/>
    <cellStyle name="常规 6 3 3 3 2 3 3 5" xfId="42157"/>
    <cellStyle name="常规 6 3 3 3 2 3 4" xfId="42158"/>
    <cellStyle name="常规 6 3 3 3 2 3 4 2" xfId="42159"/>
    <cellStyle name="常规 6 3 3 3 2 3 4 2 2" xfId="42160"/>
    <cellStyle name="常规 6 3 3 3 2 3 4 3" xfId="42161"/>
    <cellStyle name="常规 6 3 3 3 2 3 4 4" xfId="42162"/>
    <cellStyle name="常规 6 3 3 3 2 3 5" xfId="42163"/>
    <cellStyle name="常规 6 3 3 3 2 3 5 2" xfId="42164"/>
    <cellStyle name="常规 6 3 3 3 2 3 6" xfId="42165"/>
    <cellStyle name="常规 6 3 3 3 2 3 7" xfId="42166"/>
    <cellStyle name="常规 6 3 3 3 2 4" xfId="42167"/>
    <cellStyle name="常规 6 3 3 3 2 4 2" xfId="42168"/>
    <cellStyle name="常规 6 3 3 3 2 4 2 2" xfId="42169"/>
    <cellStyle name="常规 6 3 3 3 2 4 2 2 2" xfId="4499"/>
    <cellStyle name="常规 6 3 3 3 2 4 2 2 2 2" xfId="42170"/>
    <cellStyle name="常规 6 3 3 3 2 4 2 2 3" xfId="42171"/>
    <cellStyle name="常规 6 3 3 3 2 4 2 2 4" xfId="42172"/>
    <cellStyle name="常规 6 3 3 3 2 4 2 3" xfId="42173"/>
    <cellStyle name="常规 6 3 3 3 2 4 2 3 2" xfId="42174"/>
    <cellStyle name="常规 6 3 3 3 2 4 2 4" xfId="42175"/>
    <cellStyle name="常规 6 3 3 3 2 4 2 5" xfId="42176"/>
    <cellStyle name="常规 6 3 3 3 2 4 3" xfId="42177"/>
    <cellStyle name="常规 6 3 3 3 2 4 3 2" xfId="13931"/>
    <cellStyle name="常规 6 3 3 3 2 4 3 2 2" xfId="42178"/>
    <cellStyle name="常规 6 3 3 3 2 4 3 3" xfId="42179"/>
    <cellStyle name="常规 6 3 3 3 2 4 3 4" xfId="42180"/>
    <cellStyle name="常规 6 3 3 3 2 4 4" xfId="42181"/>
    <cellStyle name="常规 6 3 3 3 2 4 4 2" xfId="42182"/>
    <cellStyle name="常规 6 3 3 3 2 4 5" xfId="42183"/>
    <cellStyle name="常规 6 3 3 3 2 4 6" xfId="42184"/>
    <cellStyle name="常规 6 3 3 3 2 5" xfId="37759"/>
    <cellStyle name="常规 6 3 3 3 2 5 2" xfId="37765"/>
    <cellStyle name="常规 6 3 3 3 2 5 2 2" xfId="37769"/>
    <cellStyle name="常规 6 3 3 3 2 5 2 2 2" xfId="37771"/>
    <cellStyle name="常规 6 3 3 3 2 5 2 3" xfId="37917"/>
    <cellStyle name="常规 6 3 3 3 2 5 2 4" xfId="38082"/>
    <cellStyle name="常规 6 3 3 3 2 5 3" xfId="38241"/>
    <cellStyle name="常规 6 3 3 3 2 5 3 2" xfId="38243"/>
    <cellStyle name="常规 6 3 3 3 2 5 4" xfId="38352"/>
    <cellStyle name="常规 6 3 3 3 2 5 5" xfId="38490"/>
    <cellStyle name="常规 6 3 3 3 2 6" xfId="38633"/>
    <cellStyle name="常规 6 3 3 3 2 6 2" xfId="38637"/>
    <cellStyle name="常规 6 3 3 3 2 6 2 2" xfId="38639"/>
    <cellStyle name="常规 6 3 3 3 2 6 3" xfId="38770"/>
    <cellStyle name="常规 6 3 3 3 2 6 4" xfId="38915"/>
    <cellStyle name="常规 6 3 3 3 2 7" xfId="39068"/>
    <cellStyle name="常规 6 3 3 3 2 7 2" xfId="39070"/>
    <cellStyle name="常规 6 3 3 3 2 8" xfId="39225"/>
    <cellStyle name="常规 6 3 3 3 2 9" xfId="39370"/>
    <cellStyle name="常规 6 3 3 3 3" xfId="42185"/>
    <cellStyle name="常规 6 3 3 3 3 2" xfId="42186"/>
    <cellStyle name="常规 6 3 3 3 3 2 2" xfId="42187"/>
    <cellStyle name="常规 6 3 3 3 3 2 2 2" xfId="42188"/>
    <cellStyle name="常规 6 3 3 3 3 2 2 2 2" xfId="42189"/>
    <cellStyle name="常规 6 3 3 3 3 2 2 2 2 2" xfId="42190"/>
    <cellStyle name="常规 6 3 3 3 3 2 2 2 2 2 2" xfId="42191"/>
    <cellStyle name="常规 6 3 3 3 3 2 2 2 2 2 2 2" xfId="42192"/>
    <cellStyle name="常规 6 3 3 3 3 2 2 2 2 2 3" xfId="42193"/>
    <cellStyle name="常规 6 3 3 3 3 2 2 2 2 2 4" xfId="13579"/>
    <cellStyle name="常规 6 3 3 3 3 2 2 2 2 3" xfId="42194"/>
    <cellStyle name="常规 6 3 3 3 3 2 2 2 2 3 2" xfId="2055"/>
    <cellStyle name="常规 6 3 3 3 3 2 2 2 2 4" xfId="42195"/>
    <cellStyle name="常规 6 3 3 3 3 2 2 2 2 5" xfId="42196"/>
    <cellStyle name="常规 6 3 3 3 3 2 2 2 3" xfId="42197"/>
    <cellStyle name="常规 6 3 3 3 3 2 2 2 3 2" xfId="42198"/>
    <cellStyle name="常规 6 3 3 3 3 2 2 2 3 2 2" xfId="42199"/>
    <cellStyle name="常规 6 3 3 3 3 2 2 2 3 3" xfId="42200"/>
    <cellStyle name="常规 6 3 3 3 3 2 2 2 3 4" xfId="42201"/>
    <cellStyle name="常规 6 3 3 3 3 2 2 2 4" xfId="42202"/>
    <cellStyle name="常规 6 3 3 3 3 2 2 2 4 2" xfId="42203"/>
    <cellStyle name="常规 6 3 3 3 3 2 2 2 5" xfId="42204"/>
    <cellStyle name="常规 6 3 3 3 3 2 2 2 6" xfId="42205"/>
    <cellStyle name="常规 6 3 3 3 3 2 2 3" xfId="42206"/>
    <cellStyle name="常规 6 3 3 3 3 2 2 3 2" xfId="42207"/>
    <cellStyle name="常规 6 3 3 3 3 2 2 3 2 2" xfId="42208"/>
    <cellStyle name="常规 6 3 3 3 3 2 2 3 2 2 2" xfId="13999"/>
    <cellStyle name="常规 6 3 3 3 3 2 2 3 2 3" xfId="42209"/>
    <cellStyle name="常规 6 3 3 3 3 2 2 3 2 4" xfId="42210"/>
    <cellStyle name="常规 6 3 3 3 3 2 2 3 3" xfId="42211"/>
    <cellStyle name="常规 6 3 3 3 3 2 2 3 3 2" xfId="42212"/>
    <cellStyle name="常规 6 3 3 3 3 2 2 3 4" xfId="42213"/>
    <cellStyle name="常规 6 3 3 3 3 2 2 3 5" xfId="42214"/>
    <cellStyle name="常规 6 3 3 3 3 2 2 4" xfId="42215"/>
    <cellStyle name="常规 6 3 3 3 3 2 2 4 2" xfId="42216"/>
    <cellStyle name="常规 6 3 3 3 3 2 2 4 2 2" xfId="42217"/>
    <cellStyle name="常规 6 3 3 3 3 2 2 4 3" xfId="42218"/>
    <cellStyle name="常规 6 3 3 3 3 2 2 4 4" xfId="42219"/>
    <cellStyle name="常规 6 3 3 3 3 2 2 5" xfId="42220"/>
    <cellStyle name="常规 6 3 3 3 3 2 2 5 2" xfId="42221"/>
    <cellStyle name="常规 6 3 3 3 3 2 2 6" xfId="42222"/>
    <cellStyle name="常规 6 3 3 3 3 2 2 7" xfId="42223"/>
    <cellStyle name="常规 6 3 3 3 3 2 3" xfId="42224"/>
    <cellStyle name="常规 6 3 3 3 3 2 3 2" xfId="42225"/>
    <cellStyle name="常规 6 3 3 3 3 2 3 2 2" xfId="42226"/>
    <cellStyle name="常规 6 3 3 3 3 2 3 2 2 2" xfId="42227"/>
    <cellStyle name="常规 6 3 3 3 3 2 3 2 2 2 2" xfId="42229"/>
    <cellStyle name="常规 6 3 3 3 3 2 3 2 2 3" xfId="42230"/>
    <cellStyle name="常规 6 3 3 3 3 2 3 2 2 4" xfId="42231"/>
    <cellStyle name="常规 6 3 3 3 3 2 3 2 3" xfId="42232"/>
    <cellStyle name="常规 6 3 3 3 3 2 3 2 3 2" xfId="42233"/>
    <cellStyle name="常规 6 3 3 3 3 2 3 2 4" xfId="42234"/>
    <cellStyle name="常规 6 3 3 3 3 2 3 2 5" xfId="42235"/>
    <cellStyle name="常规 6 3 3 3 3 2 3 3" xfId="42236"/>
    <cellStyle name="常规 6 3 3 3 3 2 3 3 2" xfId="42237"/>
    <cellStyle name="常规 6 3 3 3 3 2 3 3 2 2" xfId="42238"/>
    <cellStyle name="常规 6 3 3 3 3 2 3 3 3" xfId="42239"/>
    <cellStyle name="常规 6 3 3 3 3 2 3 3 4" xfId="42240"/>
    <cellStyle name="常规 6 3 3 3 3 2 3 4" xfId="42241"/>
    <cellStyle name="常规 6 3 3 3 3 2 3 4 2" xfId="42242"/>
    <cellStyle name="常规 6 3 3 3 3 2 3 5" xfId="42243"/>
    <cellStyle name="常规 6 3 3 3 3 2 3 6" xfId="16207"/>
    <cellStyle name="常规 6 3 3 3 3 2 4" xfId="42244"/>
    <cellStyle name="常规 6 3 3 3 3 2 4 2" xfId="42245"/>
    <cellStyle name="常规 6 3 3 3 3 2 4 2 2" xfId="42246"/>
    <cellStyle name="常规 6 3 3 3 3 2 4 2 2 2" xfId="42247"/>
    <cellStyle name="常规 6 3 3 3 3 2 4 2 3" xfId="41232"/>
    <cellStyle name="常规 6 3 3 3 3 2 4 2 4" xfId="42248"/>
    <cellStyle name="常规 6 3 3 3 3 2 4 3" xfId="42249"/>
    <cellStyle name="常规 6 3 3 3 3 2 4 3 2" xfId="42250"/>
    <cellStyle name="常规 6 3 3 3 3 2 4 4" xfId="42251"/>
    <cellStyle name="常规 6 3 3 3 3 2 4 5" xfId="42252"/>
    <cellStyle name="常规 6 3 3 3 3 2 5" xfId="42253"/>
    <cellStyle name="常规 6 3 3 3 3 2 5 2" xfId="42254"/>
    <cellStyle name="常规 6 3 3 3 3 2 5 2 2" xfId="42255"/>
    <cellStyle name="常规 6 3 3 3 3 2 5 3" xfId="42256"/>
    <cellStyle name="常规 6 3 3 3 3 2 5 4" xfId="42257"/>
    <cellStyle name="常规 6 3 3 3 3 2 6" xfId="42258"/>
    <cellStyle name="常规 6 3 3 3 3 2 6 2" xfId="42259"/>
    <cellStyle name="常规 6 3 3 3 3 2 7" xfId="42260"/>
    <cellStyle name="常规 6 3 3 3 3 2 8" xfId="39163"/>
    <cellStyle name="常规 6 3 3 3 3 3" xfId="42261"/>
    <cellStyle name="常规 6 3 3 3 3 3 2" xfId="42262"/>
    <cellStyle name="常规 6 3 3 3 3 3 2 2" xfId="42263"/>
    <cellStyle name="常规 6 3 3 3 3 3 2 2 2" xfId="4229"/>
    <cellStyle name="常规 6 3 3 3 3 3 2 2 2 2" xfId="42264"/>
    <cellStyle name="常规 6 3 3 3 3 3 2 2 2 2 2" xfId="5477"/>
    <cellStyle name="常规 6 3 3 3 3 3 2 2 2 3" xfId="42265"/>
    <cellStyle name="常规 6 3 3 3 3 3 2 2 2 4" xfId="42266"/>
    <cellStyle name="常规 6 3 3 3 3 3 2 2 3" xfId="4236"/>
    <cellStyle name="常规 6 3 3 3 3 3 2 2 3 2" xfId="42267"/>
    <cellStyle name="常规 6 3 3 3 3 3 2 2 4" xfId="42268"/>
    <cellStyle name="常规 6 3 3 3 3 3 2 2 5" xfId="42269"/>
    <cellStyle name="常规 6 3 3 3 3 3 2 3" xfId="42270"/>
    <cellStyle name="常规 6 3 3 3 3 3 2 3 2" xfId="4247"/>
    <cellStyle name="常规 6 3 3 3 3 3 2 3 2 2" xfId="42271"/>
    <cellStyle name="常规 6 3 3 3 3 3 2 3 3" xfId="42272"/>
    <cellStyle name="常规 6 3 3 3 3 3 2 3 4" xfId="42273"/>
    <cellStyle name="常规 6 3 3 3 3 3 2 4" xfId="42274"/>
    <cellStyle name="常规 6 3 3 3 3 3 2 4 2" xfId="42275"/>
    <cellStyle name="常规 6 3 3 3 3 3 2 5" xfId="42276"/>
    <cellStyle name="常规 6 3 3 3 3 3 2 6" xfId="42277"/>
    <cellStyle name="常规 6 3 3 3 3 3 3" xfId="42278"/>
    <cellStyle name="常规 6 3 3 3 3 3 3 2" xfId="42279"/>
    <cellStyle name="常规 6 3 3 3 3 3 3 2 2" xfId="4281"/>
    <cellStyle name="常规 6 3 3 3 3 3 3 2 2 2" xfId="42280"/>
    <cellStyle name="常规 6 3 3 3 3 3 3 2 3" xfId="42281"/>
    <cellStyle name="常规 6 3 3 3 3 3 3 2 4" xfId="42282"/>
    <cellStyle name="常规 6 3 3 3 3 3 3 3" xfId="42283"/>
    <cellStyle name="常规 6 3 3 3 3 3 3 3 2" xfId="42284"/>
    <cellStyle name="常规 6 3 3 3 3 3 3 4" xfId="42285"/>
    <cellStyle name="常规 6 3 3 3 3 3 3 5" xfId="42286"/>
    <cellStyle name="常规 6 3 3 3 3 3 4" xfId="42287"/>
    <cellStyle name="常规 6 3 3 3 3 3 4 2" xfId="42288"/>
    <cellStyle name="常规 6 3 3 3 3 3 4 2 2" xfId="42289"/>
    <cellStyle name="常规 6 3 3 3 3 3 4 3" xfId="42290"/>
    <cellStyle name="常规 6 3 3 3 3 3 4 4" xfId="42291"/>
    <cellStyle name="常规 6 3 3 3 3 3 5" xfId="42292"/>
    <cellStyle name="常规 6 3 3 3 3 3 5 2" xfId="42293"/>
    <cellStyle name="常规 6 3 3 3 3 3 6" xfId="42294"/>
    <cellStyle name="常规 6 3 3 3 3 3 7" xfId="42295"/>
    <cellStyle name="常规 6 3 3 3 3 4" xfId="42296"/>
    <cellStyle name="常规 6 3 3 3 3 4 2" xfId="42297"/>
    <cellStyle name="常规 6 3 3 3 3 4 2 2" xfId="42298"/>
    <cellStyle name="常规 6 3 3 3 3 4 2 2 2" xfId="4362"/>
    <cellStyle name="常规 6 3 3 3 3 4 2 2 2 2" xfId="42299"/>
    <cellStyle name="常规 6 3 3 3 3 4 2 2 3" xfId="42300"/>
    <cellStyle name="常规 6 3 3 3 3 4 2 2 4" xfId="42301"/>
    <cellStyle name="常规 6 3 3 3 3 4 2 3" xfId="4206"/>
    <cellStyle name="常规 6 3 3 3 3 4 2 3 2" xfId="42302"/>
    <cellStyle name="常规 6 3 3 3 3 4 2 4" xfId="2951"/>
    <cellStyle name="常规 6 3 3 3 3 4 2 5" xfId="42303"/>
    <cellStyle name="常规 6 3 3 3 3 4 3" xfId="42304"/>
    <cellStyle name="常规 6 3 3 3 3 4 3 2" xfId="42305"/>
    <cellStyle name="常规 6 3 3 3 3 4 3 2 2" xfId="42306"/>
    <cellStyle name="常规 6 3 3 3 3 4 3 3" xfId="42307"/>
    <cellStyle name="常规 6 3 3 3 3 4 3 4" xfId="42308"/>
    <cellStyle name="常规 6 3 3 3 3 4 4" xfId="42309"/>
    <cellStyle name="常规 6 3 3 3 3 4 4 2" xfId="42310"/>
    <cellStyle name="常规 6 3 3 3 3 4 5" xfId="16790"/>
    <cellStyle name="常规 6 3 3 3 3 4 6" xfId="42311"/>
    <cellStyle name="常规 6 3 3 3 3 5" xfId="39481"/>
    <cellStyle name="常规 6 3 3 3 3 5 2" xfId="39485"/>
    <cellStyle name="常规 6 3 3 3 3 5 2 2" xfId="39487"/>
    <cellStyle name="常规 6 3 3 3 3 5 2 2 2" xfId="39489"/>
    <cellStyle name="常规 6 3 3 3 3 5 2 3" xfId="39548"/>
    <cellStyle name="常规 6 3 3 3 3 5 2 4" xfId="39583"/>
    <cellStyle name="常规 6 3 3 3 3 5 3" xfId="39622"/>
    <cellStyle name="常规 6 3 3 3 3 5 3 2" xfId="39624"/>
    <cellStyle name="常规 6 3 3 3 3 5 4" xfId="39769"/>
    <cellStyle name="常规 6 3 3 3 3 5 5" xfId="39845"/>
    <cellStyle name="常规 6 3 3 3 3 6" xfId="39918"/>
    <cellStyle name="常规 6 3 3 3 3 6 2" xfId="39920"/>
    <cellStyle name="常规 6 3 3 3 3 6 2 2" xfId="39922"/>
    <cellStyle name="常规 6 3 3 3 3 6 3" xfId="39998"/>
    <cellStyle name="常规 6 3 3 3 3 6 4" xfId="40037"/>
    <cellStyle name="常规 6 3 3 3 3 7" xfId="40076"/>
    <cellStyle name="常规 6 3 3 3 3 7 2" xfId="40078"/>
    <cellStyle name="常规 6 3 3 3 3 8" xfId="40238"/>
    <cellStyle name="常规 6 3 3 3 3 9" xfId="40310"/>
    <cellStyle name="常规 6 3 3 3 4" xfId="42312"/>
    <cellStyle name="常规 6 3 3 3 4 2" xfId="42313"/>
    <cellStyle name="常规 6 3 3 3 4 2 2" xfId="42314"/>
    <cellStyle name="常规 6 3 3 3 4 2 2 2" xfId="42315"/>
    <cellStyle name="常规 6 3 3 3 4 2 2 2 2" xfId="42316"/>
    <cellStyle name="常规 6 3 3 3 4 2 2 2 2 2" xfId="42317"/>
    <cellStyle name="常规 6 3 3 3 4 2 2 2 2 2 2" xfId="42318"/>
    <cellStyle name="常规 6 3 3 3 4 2 2 2 2 3" xfId="42319"/>
    <cellStyle name="常规 6 3 3 3 4 2 2 2 2 4" xfId="42320"/>
    <cellStyle name="常规 6 3 3 3 4 2 2 2 3" xfId="42321"/>
    <cellStyle name="常规 6 3 3 3 4 2 2 2 3 2" xfId="42322"/>
    <cellStyle name="常规 6 3 3 3 4 2 2 2 4" xfId="42323"/>
    <cellStyle name="常规 6 3 3 3 4 2 2 2 5" xfId="42324"/>
    <cellStyle name="常规 6 3 3 3 4 2 2 3" xfId="42325"/>
    <cellStyle name="常规 6 3 3 3 4 2 2 3 2" xfId="42326"/>
    <cellStyle name="常规 6 3 3 3 4 2 2 3 2 2" xfId="42327"/>
    <cellStyle name="常规 6 3 3 3 4 2 2 3 3" xfId="42328"/>
    <cellStyle name="常规 6 3 3 3 4 2 2 3 4" xfId="42329"/>
    <cellStyle name="常规 6 3 3 3 4 2 2 4" xfId="42330"/>
    <cellStyle name="常规 6 3 3 3 4 2 2 4 2" xfId="42331"/>
    <cellStyle name="常规 6 3 3 3 4 2 2 5" xfId="42332"/>
    <cellStyle name="常规 6 3 3 3 4 2 2 6" xfId="42333"/>
    <cellStyle name="常规 6 3 3 3 4 2 3" xfId="42334"/>
    <cellStyle name="常规 6 3 3 3 4 2 3 2" xfId="42335"/>
    <cellStyle name="常规 6 3 3 3 4 2 3 2 2" xfId="42336"/>
    <cellStyle name="常规 6 3 3 3 4 2 3 2 2 2" xfId="42337"/>
    <cellStyle name="常规 6 3 3 3 4 2 3 2 3" xfId="42338"/>
    <cellStyle name="常规 6 3 3 3 4 2 3 2 4" xfId="42339"/>
    <cellStyle name="常规 6 3 3 3 4 2 3 3" xfId="42340"/>
    <cellStyle name="常规 6 3 3 3 4 2 3 3 2" xfId="42341"/>
    <cellStyle name="常规 6 3 3 3 4 2 3 4" xfId="42342"/>
    <cellStyle name="常规 6 3 3 3 4 2 3 5" xfId="42343"/>
    <cellStyle name="常规 6 3 3 3 4 2 4" xfId="42344"/>
    <cellStyle name="常规 6 3 3 3 4 2 4 2" xfId="42345"/>
    <cellStyle name="常规 6 3 3 3 4 2 4 2 2" xfId="42346"/>
    <cellStyle name="常规 6 3 3 3 4 2 4 3" xfId="42347"/>
    <cellStyle name="常规 6 3 3 3 4 2 4 4" xfId="42348"/>
    <cellStyle name="常规 6 3 3 3 4 2 5" xfId="42349"/>
    <cellStyle name="常规 6 3 3 3 4 2 5 2" xfId="42350"/>
    <cellStyle name="常规 6 3 3 3 4 2 6" xfId="42351"/>
    <cellStyle name="常规 6 3 3 3 4 2 7" xfId="42352"/>
    <cellStyle name="常规 6 3 3 3 4 3" xfId="42353"/>
    <cellStyle name="常规 6 3 3 3 4 3 2" xfId="42354"/>
    <cellStyle name="常规 6 3 3 3 4 3 2 2" xfId="42356"/>
    <cellStyle name="常规 6 3 3 3 4 3 2 2 2" xfId="1290"/>
    <cellStyle name="常规 6 3 3 3 4 3 2 2 2 2" xfId="42358"/>
    <cellStyle name="常规 6 3 3 3 4 3 2 2 3" xfId="42360"/>
    <cellStyle name="常规 6 3 3 3 4 3 2 2 4" xfId="42362"/>
    <cellStyle name="常规 6 3 3 3 4 3 2 3" xfId="42364"/>
    <cellStyle name="常规 6 3 3 3 4 3 2 3 2" xfId="42366"/>
    <cellStyle name="常规 6 3 3 3 4 3 2 4" xfId="42368"/>
    <cellStyle name="常规 6 3 3 3 4 3 2 5" xfId="42370"/>
    <cellStyle name="常规 6 3 3 3 4 3 3" xfId="42371"/>
    <cellStyle name="常规 6 3 3 3 4 3 3 2" xfId="42373"/>
    <cellStyle name="常规 6 3 3 3 4 3 3 2 2" xfId="42375"/>
    <cellStyle name="常规 6 3 3 3 4 3 3 3" xfId="42377"/>
    <cellStyle name="常规 6 3 3 3 4 3 3 4" xfId="42379"/>
    <cellStyle name="常规 6 3 3 3 4 3 4" xfId="42380"/>
    <cellStyle name="常规 6 3 3 3 4 3 4 2" xfId="42382"/>
    <cellStyle name="常规 6 3 3 3 4 3 5" xfId="42383"/>
    <cellStyle name="常规 6 3 3 3 4 3 6" xfId="42384"/>
    <cellStyle name="常规 6 3 3 3 4 4" xfId="42385"/>
    <cellStyle name="常规 6 3 3 3 4 4 2" xfId="42386"/>
    <cellStyle name="常规 6 3 3 3 4 4 2 2" xfId="42388"/>
    <cellStyle name="常规 6 3 3 3 4 4 2 2 2" xfId="42390"/>
    <cellStyle name="常规 6 3 3 3 4 4 2 3" xfId="42392"/>
    <cellStyle name="常规 6 3 3 3 4 4 2 4" xfId="42394"/>
    <cellStyle name="常规 6 3 3 3 4 4 3" xfId="42395"/>
    <cellStyle name="常规 6 3 3 3 4 4 3 2" xfId="42397"/>
    <cellStyle name="常规 6 3 3 3 4 4 4" xfId="42398"/>
    <cellStyle name="常规 6 3 3 3 4 4 5" xfId="42399"/>
    <cellStyle name="常规 6 3 3 3 4 5" xfId="40377"/>
    <cellStyle name="常规 6 3 3 3 4 5 2" xfId="40379"/>
    <cellStyle name="常规 6 3 3 3 4 5 2 2" xfId="40382"/>
    <cellStyle name="常规 6 3 3 3 4 5 3" xfId="40461"/>
    <cellStyle name="常规 6 3 3 3 4 5 4" xfId="40500"/>
    <cellStyle name="常规 6 3 3 3 4 6" xfId="40537"/>
    <cellStyle name="常规 6 3 3 3 4 6 2" xfId="40539"/>
    <cellStyle name="常规 6 3 3 3 4 7" xfId="40699"/>
    <cellStyle name="常规 6 3 3 3 4 8" xfId="40775"/>
    <cellStyle name="常规 6 3 3 3 5" xfId="42400"/>
    <cellStyle name="常规 6 3 3 3 5 2" xfId="42401"/>
    <cellStyle name="常规 6 3 3 3 5 2 2" xfId="42402"/>
    <cellStyle name="常规 6 3 3 3 5 2 2 2" xfId="42403"/>
    <cellStyle name="常规 6 3 3 3 5 2 2 2 2" xfId="42404"/>
    <cellStyle name="常规 6 3 3 3 5 2 2 2 2 2" xfId="42405"/>
    <cellStyle name="常规 6 3 3 3 5 2 2 2 3" xfId="42406"/>
    <cellStyle name="常规 6 3 3 3 5 2 2 2 4" xfId="42407"/>
    <cellStyle name="常规 6 3 3 3 5 2 2 3" xfId="42408"/>
    <cellStyle name="常规 6 3 3 3 5 2 2 3 2" xfId="42409"/>
    <cellStyle name="常规 6 3 3 3 5 2 2 4" xfId="42410"/>
    <cellStyle name="常规 6 3 3 3 5 2 2 5" xfId="42411"/>
    <cellStyle name="常规 6 3 3 3 5 2 3" xfId="42412"/>
    <cellStyle name="常规 6 3 3 3 5 2 3 2" xfId="42413"/>
    <cellStyle name="常规 6 3 3 3 5 2 3 2 2" xfId="42414"/>
    <cellStyle name="常规 6 3 3 3 5 2 3 3" xfId="42415"/>
    <cellStyle name="常规 6 3 3 3 5 2 3 4" xfId="42416"/>
    <cellStyle name="常规 6 3 3 3 5 2 4" xfId="42417"/>
    <cellStyle name="常规 6 3 3 3 5 2 4 2" xfId="42418"/>
    <cellStyle name="常规 6 3 3 3 5 2 5" xfId="42419"/>
    <cellStyle name="常规 6 3 3 3 5 2 6" xfId="42420"/>
    <cellStyle name="常规 6 3 3 3 5 3" xfId="42421"/>
    <cellStyle name="常规 6 3 3 3 5 3 2" xfId="42422"/>
    <cellStyle name="常规 6 3 3 3 5 3 2 2" xfId="42424"/>
    <cellStyle name="常规 6 3 3 3 5 3 2 2 2" xfId="42426"/>
    <cellStyle name="常规 6 3 3 3 5 3 2 3" xfId="42428"/>
    <cellStyle name="常规 6 3 3 3 5 3 2 4" xfId="42430"/>
    <cellStyle name="常规 6 3 3 3 5 3 3" xfId="42431"/>
    <cellStyle name="常规 6 3 3 3 5 3 3 2" xfId="42433"/>
    <cellStyle name="常规 6 3 3 3 5 3 4" xfId="42434"/>
    <cellStyle name="常规 6 3 3 3 5 3 5" xfId="42435"/>
    <cellStyle name="常规 6 3 3 3 5 4" xfId="42436"/>
    <cellStyle name="常规 6 3 3 3 5 4 2" xfId="42437"/>
    <cellStyle name="常规 6 3 3 3 5 4 2 2" xfId="42439"/>
    <cellStyle name="常规 6 3 3 3 5 4 3" xfId="42440"/>
    <cellStyle name="常规 6 3 3 3 5 4 4" xfId="42441"/>
    <cellStyle name="常规 6 3 3 3 5 5" xfId="40844"/>
    <cellStyle name="常规 6 3 3 3 5 5 2" xfId="40846"/>
    <cellStyle name="常规 6 3 3 3 5 6" xfId="40983"/>
    <cellStyle name="常规 6 3 3 3 5 7" xfId="41024"/>
    <cellStyle name="常规 6 3 3 3 6" xfId="42442"/>
    <cellStyle name="常规 6 3 3 3 6 2" xfId="42443"/>
    <cellStyle name="常规 6 3 3 3 6 2 2" xfId="42444"/>
    <cellStyle name="常规 6 3 3 3 6 2 2 2" xfId="42445"/>
    <cellStyle name="常规 6 3 3 3 6 2 2 2 2" xfId="42446"/>
    <cellStyle name="常规 6 3 3 3 6 2 2 3" xfId="42447"/>
    <cellStyle name="常规 6 3 3 3 6 2 2 4" xfId="42448"/>
    <cellStyle name="常规 6 3 3 3 6 2 3" xfId="42449"/>
    <cellStyle name="常规 6 3 3 3 6 2 3 2" xfId="42450"/>
    <cellStyle name="常规 6 3 3 3 6 2 4" xfId="42451"/>
    <cellStyle name="常规 6 3 3 3 6 2 5" xfId="42452"/>
    <cellStyle name="常规 6 3 3 3 6 3" xfId="42453"/>
    <cellStyle name="常规 6 3 3 3 6 3 2" xfId="42454"/>
    <cellStyle name="常规 6 3 3 3 6 3 2 2" xfId="42456"/>
    <cellStyle name="常规 6 3 3 3 6 3 3" xfId="42457"/>
    <cellStyle name="常规 6 3 3 3 6 3 4" xfId="42458"/>
    <cellStyle name="常规 6 3 3 3 6 4" xfId="42459"/>
    <cellStyle name="常规 6 3 3 3 6 4 2" xfId="42460"/>
    <cellStyle name="常规 6 3 3 3 6 5" xfId="41082"/>
    <cellStyle name="常规 6 3 3 3 6 6" xfId="41091"/>
    <cellStyle name="常规 6 3 3 3 7" xfId="42461"/>
    <cellStyle name="常规 6 3 3 3 7 2" xfId="42462"/>
    <cellStyle name="常规 6 3 3 3 7 2 2" xfId="42463"/>
    <cellStyle name="常规 6 3 3 3 7 2 2 2" xfId="42464"/>
    <cellStyle name="常规 6 3 3 3 7 2 3" xfId="42465"/>
    <cellStyle name="常规 6 3 3 3 7 2 4" xfId="42466"/>
    <cellStyle name="常规 6 3 3 3 7 3" xfId="42467"/>
    <cellStyle name="常规 6 3 3 3 7 3 2" xfId="42468"/>
    <cellStyle name="常规 6 3 3 3 7 4" xfId="42469"/>
    <cellStyle name="常规 6 3 3 3 7 5" xfId="41125"/>
    <cellStyle name="常规 6 3 3 3 8" xfId="42470"/>
    <cellStyle name="常规 6 3 3 3 8 2" xfId="42471"/>
    <cellStyle name="常规 6 3 3 3 8 2 2" xfId="42472"/>
    <cellStyle name="常规 6 3 3 3 8 3" xfId="42473"/>
    <cellStyle name="常规 6 3 3 3 8 4" xfId="42474"/>
    <cellStyle name="常规 6 3 3 3 9" xfId="42475"/>
    <cellStyle name="常规 6 3 3 3 9 2" xfId="42476"/>
    <cellStyle name="常规 6 3 3 4" xfId="42477"/>
    <cellStyle name="常规 6 3 3 4 2" xfId="42478"/>
    <cellStyle name="常规 6 3 3 4 2 2" xfId="42479"/>
    <cellStyle name="常规 6 3 3 4 2 2 2" xfId="42480"/>
    <cellStyle name="常规 6 3 3 4 2 2 2 2" xfId="42481"/>
    <cellStyle name="常规 6 3 3 4 2 2 2 2 2" xfId="42482"/>
    <cellStyle name="常规 6 3 3 4 2 2 2 2 2 2" xfId="42483"/>
    <cellStyle name="常规 6 3 3 4 2 2 2 2 2 2 2" xfId="42484"/>
    <cellStyle name="常规 6 3 3 4 2 2 2 2 2 3" xfId="42485"/>
    <cellStyle name="常规 6 3 3 4 2 2 2 2 2 4" xfId="42486"/>
    <cellStyle name="常规 6 3 3 4 2 2 2 2 3" xfId="42487"/>
    <cellStyle name="常规 6 3 3 4 2 2 2 2 3 2" xfId="42488"/>
    <cellStyle name="常规 6 3 3 4 2 2 2 2 4" xfId="42489"/>
    <cellStyle name="常规 6 3 3 4 2 2 2 2 5" xfId="42490"/>
    <cellStyle name="常规 6 3 3 4 2 2 2 3" xfId="42491"/>
    <cellStyle name="常规 6 3 3 4 2 2 2 3 2" xfId="42492"/>
    <cellStyle name="常规 6 3 3 4 2 2 2 3 2 2" xfId="42493"/>
    <cellStyle name="常规 6 3 3 4 2 2 2 3 3" xfId="42494"/>
    <cellStyle name="常规 6 3 3 4 2 2 2 3 4" xfId="42495"/>
    <cellStyle name="常规 6 3 3 4 2 2 2 4" xfId="42496"/>
    <cellStyle name="常规 6 3 3 4 2 2 2 4 2" xfId="42497"/>
    <cellStyle name="常规 6 3 3 4 2 2 2 5" xfId="42498"/>
    <cellStyle name="常规 6 3 3 4 2 2 2 6" xfId="42499"/>
    <cellStyle name="常规 6 3 3 4 2 2 3" xfId="42500"/>
    <cellStyle name="常规 6 3 3 4 2 2 3 2" xfId="42501"/>
    <cellStyle name="常规 6 3 3 4 2 2 3 2 2" xfId="5697"/>
    <cellStyle name="常规 6 3 3 4 2 2 3 2 2 2" xfId="5699"/>
    <cellStyle name="常规 6 3 3 4 2 2 3 2 3" xfId="72"/>
    <cellStyle name="常规 6 3 3 4 2 2 3 2 4" xfId="5826"/>
    <cellStyle name="常规 6 3 3 4 2 2 3 3" xfId="42502"/>
    <cellStyle name="常规 6 3 3 4 2 2 3 3 2" xfId="4864"/>
    <cellStyle name="常规 6 3 3 4 2 2 3 4" xfId="42503"/>
    <cellStyle name="常规 6 3 3 4 2 2 3 5" xfId="42504"/>
    <cellStyle name="常规 6 3 3 4 2 2 4" xfId="42505"/>
    <cellStyle name="常规 6 3 3 4 2 2 4 2" xfId="42506"/>
    <cellStyle name="常规 6 3 3 4 2 2 4 2 2" xfId="6610"/>
    <cellStyle name="常规 6 3 3 4 2 2 4 3" xfId="42507"/>
    <cellStyle name="常规 6 3 3 4 2 2 4 4" xfId="42508"/>
    <cellStyle name="常规 6 3 3 4 2 2 5" xfId="42509"/>
    <cellStyle name="常规 6 3 3 4 2 2 5 2" xfId="42510"/>
    <cellStyle name="常规 6 3 3 4 2 2 6" xfId="42511"/>
    <cellStyle name="常规 6 3 3 4 2 2 7" xfId="42512"/>
    <cellStyle name="常规 6 3 3 4 2 3" xfId="42513"/>
    <cellStyle name="常规 6 3 3 4 2 3 2" xfId="42514"/>
    <cellStyle name="常规 6 3 3 4 2 3 2 2" xfId="42515"/>
    <cellStyle name="常规 6 3 3 4 2 3 2 2 2" xfId="6788"/>
    <cellStyle name="常规 6 3 3 4 2 3 2 2 2 2" xfId="9419"/>
    <cellStyle name="常规 6 3 3 4 2 3 2 2 3" xfId="34800"/>
    <cellStyle name="常规 6 3 3 4 2 3 2 2 4" xfId="34802"/>
    <cellStyle name="常规 6 3 3 4 2 3 2 3" xfId="42516"/>
    <cellStyle name="常规 6 3 3 4 2 3 2 3 2" xfId="42517"/>
    <cellStyle name="常规 6 3 3 4 2 3 2 4" xfId="42518"/>
    <cellStyle name="常规 6 3 3 4 2 3 2 5" xfId="42519"/>
    <cellStyle name="常规 6 3 3 4 2 3 3" xfId="18270"/>
    <cellStyle name="常规 6 3 3 4 2 3 3 2" xfId="18273"/>
    <cellStyle name="常规 6 3 3 4 2 3 3 2 2" xfId="7546"/>
    <cellStyle name="常规 6 3 3 4 2 3 3 3" xfId="42520"/>
    <cellStyle name="常规 6 3 3 4 2 3 3 4" xfId="42521"/>
    <cellStyle name="常规 6 3 3 4 2 3 4" xfId="18280"/>
    <cellStyle name="常规 6 3 3 4 2 3 4 2" xfId="42522"/>
    <cellStyle name="常规 6 3 3 4 2 3 5" xfId="18285"/>
    <cellStyle name="常规 6 3 3 4 2 3 6" xfId="42523"/>
    <cellStyle name="常规 6 3 3 4 2 4" xfId="42524"/>
    <cellStyle name="常规 6 3 3 4 2 4 2" xfId="42525"/>
    <cellStyle name="常规 6 3 3 4 2 4 2 2" xfId="42526"/>
    <cellStyle name="常规 6 3 3 4 2 4 2 2 2" xfId="42527"/>
    <cellStyle name="常规 6 3 3 4 2 4 2 3" xfId="42528"/>
    <cellStyle name="常规 6 3 3 4 2 4 2 4" xfId="42529"/>
    <cellStyle name="常规 6 3 3 4 2 4 3" xfId="14227"/>
    <cellStyle name="常规 6 3 3 4 2 4 3 2" xfId="14229"/>
    <cellStyle name="常规 6 3 3 4 2 4 4" xfId="42530"/>
    <cellStyle name="常规 6 3 3 4 2 4 5" xfId="42531"/>
    <cellStyle name="常规 6 3 3 4 2 5" xfId="42533"/>
    <cellStyle name="常规 6 3 3 4 2 5 2" xfId="42535"/>
    <cellStyle name="常规 6 3 3 4 2 5 2 2" xfId="42537"/>
    <cellStyle name="常规 6 3 3 4 2 5 3" xfId="42539"/>
    <cellStyle name="常规 6 3 3 4 2 5 4" xfId="42541"/>
    <cellStyle name="常规 6 3 3 4 2 6" xfId="42543"/>
    <cellStyle name="常规 6 3 3 4 2 6 2" xfId="42545"/>
    <cellStyle name="常规 6 3 3 4 2 7" xfId="42547"/>
    <cellStyle name="常规 6 3 3 4 2 8" xfId="42549"/>
    <cellStyle name="常规 6 3 3 4 3" xfId="42550"/>
    <cellStyle name="常规 6 3 3 4 3 2" xfId="42551"/>
    <cellStyle name="常规 6 3 3 4 3 2 2" xfId="42552"/>
    <cellStyle name="常规 6 3 3 4 3 2 2 2" xfId="42553"/>
    <cellStyle name="常规 6 3 3 4 3 2 2 2 2" xfId="42554"/>
    <cellStyle name="常规 6 3 3 4 3 2 2 2 2 2" xfId="42555"/>
    <cellStyle name="常规 6 3 3 4 3 2 2 2 3" xfId="42556"/>
    <cellStyle name="常规 6 3 3 4 3 2 2 2 4" xfId="42557"/>
    <cellStyle name="常规 6 3 3 4 3 2 2 3" xfId="42558"/>
    <cellStyle name="常规 6 3 3 4 3 2 2 3 2" xfId="42559"/>
    <cellStyle name="常规 6 3 3 4 3 2 2 4" xfId="42560"/>
    <cellStyle name="常规 6 3 3 4 3 2 2 5" xfId="42561"/>
    <cellStyle name="常规 6 3 3 4 3 2 3" xfId="42562"/>
    <cellStyle name="常规 6 3 3 4 3 2 3 2" xfId="42563"/>
    <cellStyle name="常规 6 3 3 4 3 2 3 2 2" xfId="42564"/>
    <cellStyle name="常规 6 3 3 4 3 2 3 3" xfId="42565"/>
    <cellStyle name="常规 6 3 3 4 3 2 3 4" xfId="42566"/>
    <cellStyle name="常规 6 3 3 4 3 2 4" xfId="42567"/>
    <cellStyle name="常规 6 3 3 4 3 2 4 2" xfId="42568"/>
    <cellStyle name="常规 6 3 3 4 3 2 5" xfId="42569"/>
    <cellStyle name="常规 6 3 3 4 3 2 6" xfId="42570"/>
    <cellStyle name="常规 6 3 3 4 3 3" xfId="42571"/>
    <cellStyle name="常规 6 3 3 4 3 3 2" xfId="42572"/>
    <cellStyle name="常规 6 3 3 4 3 3 2 2" xfId="42573"/>
    <cellStyle name="常规 6 3 3 4 3 3 2 2 2" xfId="8998"/>
    <cellStyle name="常规 6 3 3 4 3 3 2 3" xfId="42574"/>
    <cellStyle name="常规 6 3 3 4 3 3 2 4" xfId="42575"/>
    <cellStyle name="常规 6 3 3 4 3 3 3" xfId="9009"/>
    <cellStyle name="常规 6 3 3 4 3 3 3 2" xfId="42576"/>
    <cellStyle name="常规 6 3 3 4 3 3 4" xfId="42577"/>
    <cellStyle name="常规 6 3 3 4 3 3 5" xfId="42578"/>
    <cellStyle name="常规 6 3 3 4 3 4" xfId="42579"/>
    <cellStyle name="常规 6 3 3 4 3 4 2" xfId="42580"/>
    <cellStyle name="常规 6 3 3 4 3 4 2 2" xfId="42581"/>
    <cellStyle name="常规 6 3 3 4 3 4 3" xfId="42582"/>
    <cellStyle name="常规 6 3 3 4 3 4 4" xfId="42583"/>
    <cellStyle name="常规 6 3 3 4 3 5" xfId="42585"/>
    <cellStyle name="常规 6 3 3 4 3 5 2" xfId="42587"/>
    <cellStyle name="常规 6 3 3 4 3 6" xfId="42589"/>
    <cellStyle name="常规 6 3 3 4 3 7" xfId="42591"/>
    <cellStyle name="常规 6 3 3 4 4" xfId="42592"/>
    <cellStyle name="常规 6 3 3 4 4 2" xfId="42593"/>
    <cellStyle name="常规 6 3 3 4 4 2 2" xfId="42594"/>
    <cellStyle name="常规 6 3 3 4 4 2 2 2" xfId="42595"/>
    <cellStyle name="常规 6 3 3 4 4 2 2 2 2" xfId="42596"/>
    <cellStyle name="常规 6 3 3 4 4 2 2 3" xfId="42597"/>
    <cellStyle name="常规 6 3 3 4 4 2 2 4" xfId="42598"/>
    <cellStyle name="常规 6 3 3 4 4 2 3" xfId="42599"/>
    <cellStyle name="常规 6 3 3 4 4 2 3 2" xfId="42600"/>
    <cellStyle name="常规 6 3 3 4 4 2 4" xfId="42601"/>
    <cellStyle name="常规 6 3 3 4 4 2 5" xfId="42602"/>
    <cellStyle name="常规 6 3 3 4 4 3" xfId="42603"/>
    <cellStyle name="常规 6 3 3 4 4 3 2" xfId="42604"/>
    <cellStyle name="常规 6 3 3 4 4 3 2 2" xfId="42606"/>
    <cellStyle name="常规 6 3 3 4 4 3 3" xfId="42607"/>
    <cellStyle name="常规 6 3 3 4 4 3 4" xfId="42608"/>
    <cellStyle name="常规 6 3 3 4 4 4" xfId="42609"/>
    <cellStyle name="常规 6 3 3 4 4 4 2" xfId="42610"/>
    <cellStyle name="常规 6 3 3 4 4 5" xfId="42612"/>
    <cellStyle name="常规 6 3 3 4 4 6" xfId="42614"/>
    <cellStyle name="常规 6 3 3 4 5" xfId="42615"/>
    <cellStyle name="常规 6 3 3 4 5 2" xfId="42616"/>
    <cellStyle name="常规 6 3 3 4 5 2 2" xfId="42617"/>
    <cellStyle name="常规 6 3 3 4 5 2 2 2" xfId="9094"/>
    <cellStyle name="常规 6 3 3 4 5 2 3" xfId="42618"/>
    <cellStyle name="常规 6 3 3 4 5 2 4" xfId="42619"/>
    <cellStyle name="常规 6 3 3 4 5 3" xfId="42620"/>
    <cellStyle name="常规 6 3 3 4 5 3 2" xfId="42621"/>
    <cellStyle name="常规 6 3 3 4 5 4" xfId="42622"/>
    <cellStyle name="常规 6 3 3 4 5 5" xfId="42624"/>
    <cellStyle name="常规 6 3 3 4 6" xfId="42625"/>
    <cellStyle name="常规 6 3 3 4 6 2" xfId="42626"/>
    <cellStyle name="常规 6 3 3 4 6 2 2" xfId="42627"/>
    <cellStyle name="常规 6 3 3 4 6 3" xfId="42628"/>
    <cellStyle name="常规 6 3 3 4 6 4" xfId="42629"/>
    <cellStyle name="常规 6 3 3 4 7" xfId="42630"/>
    <cellStyle name="常规 6 3 3 4 7 2" xfId="42631"/>
    <cellStyle name="常规 6 3 3 4 8" xfId="42632"/>
    <cellStyle name="常规 6 3 3 4 9" xfId="42633"/>
    <cellStyle name="常规 6 3 3 5" xfId="42634"/>
    <cellStyle name="常规 6 3 3 5 2" xfId="42635"/>
    <cellStyle name="常规 6 3 3 5 2 2" xfId="42636"/>
    <cellStyle name="常规 6 3 3 5 2 2 2" xfId="42637"/>
    <cellStyle name="常规 6 3 3 5 2 2 2 2" xfId="42638"/>
    <cellStyle name="常规 6 3 3 5 2 2 2 2 2" xfId="42639"/>
    <cellStyle name="常规 6 3 3 5 2 2 2 2 2 2" xfId="42640"/>
    <cellStyle name="常规 6 3 3 5 2 2 2 2 2 2 2" xfId="42641"/>
    <cellStyle name="常规 6 3 3 5 2 2 2 2 2 3" xfId="42642"/>
    <cellStyle name="常规 6 3 3 5 2 2 2 2 2 4" xfId="42643"/>
    <cellStyle name="常规 6 3 3 5 2 2 2 2 3" xfId="42644"/>
    <cellStyle name="常规 6 3 3 5 2 2 2 2 3 2" xfId="42645"/>
    <cellStyle name="常规 6 3 3 5 2 2 2 2 4" xfId="42646"/>
    <cellStyle name="常规 6 3 3 5 2 2 2 2 5" xfId="42647"/>
    <cellStyle name="常规 6 3 3 5 2 2 2 3" xfId="42648"/>
    <cellStyle name="常规 6 3 3 5 2 2 2 3 2" xfId="42649"/>
    <cellStyle name="常规 6 3 3 5 2 2 2 3 2 2" xfId="42650"/>
    <cellStyle name="常规 6 3 3 5 2 2 2 3 3" xfId="42651"/>
    <cellStyle name="常规 6 3 3 5 2 2 2 3 4" xfId="42652"/>
    <cellStyle name="常规 6 3 3 5 2 2 2 4" xfId="42653"/>
    <cellStyle name="常规 6 3 3 5 2 2 2 4 2" xfId="42654"/>
    <cellStyle name="常规 6 3 3 5 2 2 2 5" xfId="42655"/>
    <cellStyle name="常规 6 3 3 5 2 2 2 6" xfId="42656"/>
    <cellStyle name="常规 6 3 3 5 2 2 3" xfId="42657"/>
    <cellStyle name="常规 6 3 3 5 2 2 3 2" xfId="42658"/>
    <cellStyle name="常规 6 3 3 5 2 2 3 2 2" xfId="42659"/>
    <cellStyle name="常规 6 3 3 5 2 2 3 2 2 2" xfId="42660"/>
    <cellStyle name="常规 6 3 3 5 2 2 3 2 3" xfId="42661"/>
    <cellStyle name="常规 6 3 3 5 2 2 3 2 4" xfId="42662"/>
    <cellStyle name="常规 6 3 3 5 2 2 3 3" xfId="42663"/>
    <cellStyle name="常规 6 3 3 5 2 2 3 3 2" xfId="42664"/>
    <cellStyle name="常规 6 3 3 5 2 2 3 4" xfId="42665"/>
    <cellStyle name="常规 6 3 3 5 2 2 3 5" xfId="42666"/>
    <cellStyle name="常规 6 3 3 5 2 2 4" xfId="42667"/>
    <cellStyle name="常规 6 3 3 5 2 2 4 2" xfId="42668"/>
    <cellStyle name="常规 6 3 3 5 2 2 4 2 2" xfId="42669"/>
    <cellStyle name="常规 6 3 3 5 2 2 4 3" xfId="42670"/>
    <cellStyle name="常规 6 3 3 5 2 2 4 4" xfId="42671"/>
    <cellStyle name="常规 6 3 3 5 2 2 5" xfId="42672"/>
    <cellStyle name="常规 6 3 3 5 2 2 5 2" xfId="42673"/>
    <cellStyle name="常规 6 3 3 5 2 2 6" xfId="42674"/>
    <cellStyle name="常规 6 3 3 5 2 2 7" xfId="42675"/>
    <cellStyle name="常规 6 3 3 5 2 3" xfId="42676"/>
    <cellStyle name="常规 6 3 3 5 2 3 2" xfId="42677"/>
    <cellStyle name="常规 6 3 3 5 2 3 2 2" xfId="42678"/>
    <cellStyle name="常规 6 3 3 5 2 3 2 2 2" xfId="7006"/>
    <cellStyle name="常规 6 3 3 5 2 3 2 2 2 2" xfId="42679"/>
    <cellStyle name="常规 6 3 3 5 2 3 2 2 3" xfId="42680"/>
    <cellStyle name="常规 6 3 3 5 2 3 2 2 4" xfId="42681"/>
    <cellStyle name="常规 6 3 3 5 2 3 2 3" xfId="42682"/>
    <cellStyle name="常规 6 3 3 5 2 3 2 3 2" xfId="42683"/>
    <cellStyle name="常规 6 3 3 5 2 3 2 4" xfId="42684"/>
    <cellStyle name="常规 6 3 3 5 2 3 2 5" xfId="42685"/>
    <cellStyle name="常规 6 3 3 5 2 3 3" xfId="18346"/>
    <cellStyle name="常规 6 3 3 5 2 3 3 2" xfId="42686"/>
    <cellStyle name="常规 6 3 3 5 2 3 3 2 2" xfId="42687"/>
    <cellStyle name="常规 6 3 3 5 2 3 3 3" xfId="42688"/>
    <cellStyle name="常规 6 3 3 5 2 3 3 4" xfId="42689"/>
    <cellStyle name="常规 6 3 3 5 2 3 4" xfId="42690"/>
    <cellStyle name="常规 6 3 3 5 2 3 4 2" xfId="42691"/>
    <cellStyle name="常规 6 3 3 5 2 3 5" xfId="42692"/>
    <cellStyle name="常规 6 3 3 5 2 3 6" xfId="42693"/>
    <cellStyle name="常规 6 3 3 5 2 4" xfId="42694"/>
    <cellStyle name="常规 6 3 3 5 2 4 2" xfId="42695"/>
    <cellStyle name="常规 6 3 3 5 2 4 2 2" xfId="42696"/>
    <cellStyle name="常规 6 3 3 5 2 4 2 2 2" xfId="42697"/>
    <cellStyle name="常规 6 3 3 5 2 4 2 3" xfId="42698"/>
    <cellStyle name="常规 6 3 3 5 2 4 2 4" xfId="42699"/>
    <cellStyle name="常规 6 3 3 5 2 4 3" xfId="14410"/>
    <cellStyle name="常规 6 3 3 5 2 4 3 2" xfId="42700"/>
    <cellStyle name="常规 6 3 3 5 2 4 4" xfId="42701"/>
    <cellStyle name="常规 6 3 3 5 2 4 5" xfId="42702"/>
    <cellStyle name="常规 6 3 3 5 2 5" xfId="42703"/>
    <cellStyle name="常规 6 3 3 5 2 5 2" xfId="42704"/>
    <cellStyle name="常规 6 3 3 5 2 5 2 2" xfId="42705"/>
    <cellStyle name="常规 6 3 3 5 2 5 3" xfId="42706"/>
    <cellStyle name="常规 6 3 3 5 2 5 4" xfId="42707"/>
    <cellStyle name="常规 6 3 3 5 2 6" xfId="42708"/>
    <cellStyle name="常规 6 3 3 5 2 6 2" xfId="42709"/>
    <cellStyle name="常规 6 3 3 5 2 7" xfId="42710"/>
    <cellStyle name="常规 6 3 3 5 2 8" xfId="42711"/>
    <cellStyle name="常规 6 3 3 5 3" xfId="42712"/>
    <cellStyle name="常规 6 3 3 5 3 2" xfId="42713"/>
    <cellStyle name="常规 6 3 3 5 3 2 2" xfId="42714"/>
    <cellStyle name="常规 6 3 3 5 3 2 2 2" xfId="42715"/>
    <cellStyle name="常规 6 3 3 5 3 2 2 2 2" xfId="42716"/>
    <cellStyle name="常规 6 3 3 5 3 2 2 2 2 2" xfId="42717"/>
    <cellStyle name="常规 6 3 3 5 3 2 2 2 3" xfId="42718"/>
    <cellStyle name="常规 6 3 3 5 3 2 2 2 4" xfId="42719"/>
    <cellStyle name="常规 6 3 3 5 3 2 2 3" xfId="42720"/>
    <cellStyle name="常规 6 3 3 5 3 2 2 3 2" xfId="42721"/>
    <cellStyle name="常规 6 3 3 5 3 2 2 4" xfId="42722"/>
    <cellStyle name="常规 6 3 3 5 3 2 2 5" xfId="42723"/>
    <cellStyle name="常规 6 3 3 5 3 2 3" xfId="42724"/>
    <cellStyle name="常规 6 3 3 5 3 2 3 2" xfId="42725"/>
    <cellStyle name="常规 6 3 3 5 3 2 3 2 2" xfId="42726"/>
    <cellStyle name="常规 6 3 3 5 3 2 3 3" xfId="42727"/>
    <cellStyle name="常规 6 3 3 5 3 2 3 4" xfId="42728"/>
    <cellStyle name="常规 6 3 3 5 3 2 4" xfId="3674"/>
    <cellStyle name="常规 6 3 3 5 3 2 4 2" xfId="7043"/>
    <cellStyle name="常规 6 3 3 5 3 2 5" xfId="7086"/>
    <cellStyle name="常规 6 3 3 5 3 2 6" xfId="7129"/>
    <cellStyle name="常规 6 3 3 5 3 3" xfId="42729"/>
    <cellStyle name="常规 6 3 3 5 3 3 2" xfId="42730"/>
    <cellStyle name="常规 6 3 3 5 3 3 2 2" xfId="42731"/>
    <cellStyle name="常规 6 3 3 5 3 3 2 2 2" xfId="42732"/>
    <cellStyle name="常规 6 3 3 5 3 3 2 3" xfId="42733"/>
    <cellStyle name="常规 6 3 3 5 3 3 2 4" xfId="42734"/>
    <cellStyle name="常规 6 3 3 5 3 3 3" xfId="42735"/>
    <cellStyle name="常规 6 3 3 5 3 3 3 2" xfId="42736"/>
    <cellStyle name="常规 6 3 3 5 3 3 4" xfId="3719"/>
    <cellStyle name="常规 6 3 3 5 3 3 5" xfId="42737"/>
    <cellStyle name="常规 6 3 3 5 3 4" xfId="42738"/>
    <cellStyle name="常规 6 3 3 5 3 4 2" xfId="42739"/>
    <cellStyle name="常规 6 3 3 5 3 4 2 2" xfId="42740"/>
    <cellStyle name="常规 6 3 3 5 3 4 3" xfId="42741"/>
    <cellStyle name="常规 6 3 3 5 3 4 4" xfId="42742"/>
    <cellStyle name="常规 6 3 3 5 3 5" xfId="42743"/>
    <cellStyle name="常规 6 3 3 5 3 5 2" xfId="42744"/>
    <cellStyle name="常规 6 3 3 5 3 6" xfId="42745"/>
    <cellStyle name="常规 6 3 3 5 3 7" xfId="42746"/>
    <cellStyle name="常规 6 3 3 5 4" xfId="35917"/>
    <cellStyle name="常规 6 3 3 5 4 2" xfId="42747"/>
    <cellStyle name="常规 6 3 3 5 4 2 2" xfId="42748"/>
    <cellStyle name="常规 6 3 3 5 4 2 2 2" xfId="41886"/>
    <cellStyle name="常规 6 3 3 5 4 2 2 2 2" xfId="42749"/>
    <cellStyle name="常规 6 3 3 5 4 2 2 3" xfId="41888"/>
    <cellStyle name="常规 6 3 3 5 4 2 2 4" xfId="42750"/>
    <cellStyle name="常规 6 3 3 5 4 2 3" xfId="42751"/>
    <cellStyle name="常规 6 3 3 5 4 2 3 2" xfId="42752"/>
    <cellStyle name="常规 6 3 3 5 4 2 4" xfId="199"/>
    <cellStyle name="常规 6 3 3 5 4 2 5" xfId="42753"/>
    <cellStyle name="常规 6 3 3 5 4 3" xfId="42754"/>
    <cellStyle name="常规 6 3 3 5 4 3 2" xfId="9163"/>
    <cellStyle name="常规 6 3 3 5 4 3 2 2" xfId="42756"/>
    <cellStyle name="常规 6 3 3 5 4 3 3" xfId="42757"/>
    <cellStyle name="常规 6 3 3 5 4 3 4" xfId="42758"/>
    <cellStyle name="常规 6 3 3 5 4 4" xfId="42759"/>
    <cellStyle name="常规 6 3 3 5 4 4 2" xfId="42760"/>
    <cellStyle name="常规 6 3 3 5 4 5" xfId="42761"/>
    <cellStyle name="常规 6 3 3 5 4 6" xfId="42762"/>
    <cellStyle name="常规 6 3 3 5 5" xfId="9169"/>
    <cellStyle name="常规 6 3 3 5 5 2" xfId="9173"/>
    <cellStyle name="常规 6 3 3 5 5 2 2" xfId="9177"/>
    <cellStyle name="常规 6 3 3 5 5 2 2 2" xfId="40619"/>
    <cellStyle name="常规 6 3 3 5 5 2 3" xfId="42763"/>
    <cellStyle name="常规 6 3 3 5 5 2 4" xfId="42764"/>
    <cellStyle name="常规 6 3 3 5 5 3" xfId="9181"/>
    <cellStyle name="常规 6 3 3 5 5 3 2" xfId="42765"/>
    <cellStyle name="常规 6 3 3 5 5 4" xfId="4716"/>
    <cellStyle name="常规 6 3 3 5 5 5" xfId="42766"/>
    <cellStyle name="常规 6 3 3 5 6" xfId="9185"/>
    <cellStyle name="常规 6 3 3 5 6 2" xfId="9189"/>
    <cellStyle name="常规 6 3 3 5 6 2 2" xfId="42767"/>
    <cellStyle name="常规 6 3 3 5 6 3" xfId="42768"/>
    <cellStyle name="常规 6 3 3 5 6 4" xfId="42769"/>
    <cellStyle name="常规 6 3 3 5 7" xfId="9194"/>
    <cellStyle name="常规 6 3 3 5 7 2" xfId="42770"/>
    <cellStyle name="常规 6 3 3 5 8" xfId="9199"/>
    <cellStyle name="常规 6 3 3 5 9" xfId="42771"/>
    <cellStyle name="常规 6 3 3 6" xfId="42772"/>
    <cellStyle name="常规 6 3 3 6 2" xfId="42773"/>
    <cellStyle name="常规 6 3 3 6 2 2" xfId="42774"/>
    <cellStyle name="常规 6 3 3 6 2 2 2" xfId="42775"/>
    <cellStyle name="常规 6 3 3 6 2 2 2 2" xfId="42776"/>
    <cellStyle name="常规 6 3 3 6 2 2 2 2 2" xfId="42777"/>
    <cellStyle name="常规 6 3 3 6 2 2 2 2 2 2" xfId="42778"/>
    <cellStyle name="常规 6 3 3 6 2 2 2 2 3" xfId="42779"/>
    <cellStyle name="常规 6 3 3 6 2 2 2 2 4" xfId="42780"/>
    <cellStyle name="常规 6 3 3 6 2 2 2 3" xfId="42781"/>
    <cellStyle name="常规 6 3 3 6 2 2 2 3 2" xfId="42782"/>
    <cellStyle name="常规 6 3 3 6 2 2 2 4" xfId="42783"/>
    <cellStyle name="常规 6 3 3 6 2 2 2 5" xfId="27633"/>
    <cellStyle name="常规 6 3 3 6 2 2 3" xfId="42784"/>
    <cellStyle name="常规 6 3 3 6 2 2 3 2" xfId="42785"/>
    <cellStyle name="常规 6 3 3 6 2 2 3 2 2" xfId="42786"/>
    <cellStyle name="常规 6 3 3 6 2 2 3 3" xfId="42787"/>
    <cellStyle name="常规 6 3 3 6 2 2 3 4" xfId="42788"/>
    <cellStyle name="常规 6 3 3 6 2 2 4" xfId="42789"/>
    <cellStyle name="常规 6 3 3 6 2 2 4 2" xfId="42790"/>
    <cellStyle name="常规 6 3 3 6 2 2 5" xfId="42791"/>
    <cellStyle name="常规 6 3 3 6 2 2 6" xfId="42792"/>
    <cellStyle name="常规 6 3 3 6 2 3" xfId="42793"/>
    <cellStyle name="常规 6 3 3 6 2 3 2" xfId="42794"/>
    <cellStyle name="常规 6 3 3 6 2 3 2 2" xfId="42795"/>
    <cellStyle name="常规 6 3 3 6 2 3 2 2 2" xfId="42796"/>
    <cellStyle name="常规 6 3 3 6 2 3 2 3" xfId="42797"/>
    <cellStyle name="常规 6 3 3 6 2 3 2 4" xfId="42798"/>
    <cellStyle name="常规 6 3 3 6 2 3 3" xfId="42799"/>
    <cellStyle name="常规 6 3 3 6 2 3 3 2" xfId="42800"/>
    <cellStyle name="常规 6 3 3 6 2 3 4" xfId="42801"/>
    <cellStyle name="常规 6 3 3 6 2 3 5" xfId="42802"/>
    <cellStyle name="常规 6 3 3 6 2 4" xfId="5284"/>
    <cellStyle name="常规 6 3 3 6 2 4 2" xfId="5289"/>
    <cellStyle name="常规 6 3 3 6 2 4 2 2" xfId="5291"/>
    <cellStyle name="常规 6 3 3 6 2 4 3" xfId="5296"/>
    <cellStyle name="常规 6 3 3 6 2 4 4" xfId="573"/>
    <cellStyle name="常规 6 3 3 6 2 5" xfId="5298"/>
    <cellStyle name="常规 6 3 3 6 2 5 2" xfId="5302"/>
    <cellStyle name="常规 6 3 3 6 2 6" xfId="5305"/>
    <cellStyle name="常规 6 3 3 6 2 7" xfId="3313"/>
    <cellStyle name="常规 6 3 3 6 3" xfId="42803"/>
    <cellStyle name="常规 6 3 3 6 3 2" xfId="42804"/>
    <cellStyle name="常规 6 3 3 6 3 2 2" xfId="42805"/>
    <cellStyle name="常规 6 3 3 6 3 2 2 2" xfId="42806"/>
    <cellStyle name="常规 6 3 3 6 3 2 2 2 2" xfId="42807"/>
    <cellStyle name="常规 6 3 3 6 3 2 2 3" xfId="42808"/>
    <cellStyle name="常规 6 3 3 6 3 2 2 4" xfId="42809"/>
    <cellStyle name="常规 6 3 3 6 3 2 3" xfId="42810"/>
    <cellStyle name="常规 6 3 3 6 3 2 3 2" xfId="42811"/>
    <cellStyle name="常规 6 3 3 6 3 2 4" xfId="6210"/>
    <cellStyle name="常规 6 3 3 6 3 2 5" xfId="42812"/>
    <cellStyle name="常规 6 3 3 6 3 3" xfId="42813"/>
    <cellStyle name="常规 6 3 3 6 3 3 2" xfId="42814"/>
    <cellStyle name="常规 6 3 3 6 3 3 2 2" xfId="42815"/>
    <cellStyle name="常规 6 3 3 6 3 3 3" xfId="42816"/>
    <cellStyle name="常规 6 3 3 6 3 3 4" xfId="42817"/>
    <cellStyle name="常规 6 3 3 6 3 4" xfId="5314"/>
    <cellStyle name="常规 6 3 3 6 3 4 2" xfId="5320"/>
    <cellStyle name="常规 6 3 3 6 3 5" xfId="5326"/>
    <cellStyle name="常规 6 3 3 6 3 6" xfId="5332"/>
    <cellStyle name="常规 6 3 3 6 4" xfId="42818"/>
    <cellStyle name="常规 6 3 3 6 4 2" xfId="42819"/>
    <cellStyle name="常规 6 3 3 6 4 2 2" xfId="42820"/>
    <cellStyle name="常规 6 3 3 6 4 2 2 2" xfId="42821"/>
    <cellStyle name="常规 6 3 3 6 4 2 3" xfId="42822"/>
    <cellStyle name="常规 6 3 3 6 4 2 4" xfId="42823"/>
    <cellStyle name="常规 6 3 3 6 4 3" xfId="42824"/>
    <cellStyle name="常规 6 3 3 6 4 3 2" xfId="42825"/>
    <cellStyle name="常规 6 3 3 6 4 4" xfId="5342"/>
    <cellStyle name="常规 6 3 3 6 4 5" xfId="42826"/>
    <cellStyle name="常规 6 3 3 6 5" xfId="9206"/>
    <cellStyle name="常规 6 3 3 6 5 2" xfId="6286"/>
    <cellStyle name="常规 6 3 3 6 5 2 2" xfId="42827"/>
    <cellStyle name="常规 6 3 3 6 5 3" xfId="42828"/>
    <cellStyle name="常规 6 3 3 6 5 4" xfId="42829"/>
    <cellStyle name="常规 6 3 3 6 6" xfId="9211"/>
    <cellStyle name="常规 6 3 3 6 6 2" xfId="42830"/>
    <cellStyle name="常规 6 3 3 6 7" xfId="9216"/>
    <cellStyle name="常规 6 3 3 6 8" xfId="42831"/>
    <cellStyle name="常规 6 3 3 7" xfId="42832"/>
    <cellStyle name="常规 6 3 3 7 2" xfId="42833"/>
    <cellStyle name="常规 6 3 3 7 2 2" xfId="42834"/>
    <cellStyle name="常规 6 3 3 7 2 2 2" xfId="42835"/>
    <cellStyle name="常规 6 3 3 7 2 2 2 2" xfId="42836"/>
    <cellStyle name="常规 6 3 3 7 2 2 2 2 2" xfId="42837"/>
    <cellStyle name="常规 6 3 3 7 2 2 2 3" xfId="42838"/>
    <cellStyle name="常规 6 3 3 7 2 2 2 4" xfId="42839"/>
    <cellStyle name="常规 6 3 3 7 2 2 3" xfId="23632"/>
    <cellStyle name="常规 6 3 3 7 2 2 3 2" xfId="23635"/>
    <cellStyle name="常规 6 3 3 7 2 2 4" xfId="23655"/>
    <cellStyle name="常规 6 3 3 7 2 2 5" xfId="23665"/>
    <cellStyle name="常规 6 3 3 7 2 3" xfId="42840"/>
    <cellStyle name="常规 6 3 3 7 2 3 2" xfId="42841"/>
    <cellStyle name="常规 6 3 3 7 2 3 2 2" xfId="42842"/>
    <cellStyle name="常规 6 3 3 7 2 3 3" xfId="23675"/>
    <cellStyle name="常规 6 3 3 7 2 3 4" xfId="23685"/>
    <cellStyle name="常规 6 3 3 7 2 4" xfId="5358"/>
    <cellStyle name="常规 6 3 3 7 2 4 2" xfId="4202"/>
    <cellStyle name="常规 6 3 3 7 2 5" xfId="3088"/>
    <cellStyle name="常规 6 3 3 7 2 6" xfId="5363"/>
    <cellStyle name="常规 6 3 3 7 3" xfId="42843"/>
    <cellStyle name="常规 6 3 3 7 3 2" xfId="42844"/>
    <cellStyle name="常规 6 3 3 7 3 2 2" xfId="42845"/>
    <cellStyle name="常规 6 3 3 7 3 2 2 2" xfId="42846"/>
    <cellStyle name="常规 6 3 3 7 3 2 3" xfId="4440"/>
    <cellStyle name="常规 6 3 3 7 3 2 4" xfId="7494"/>
    <cellStyle name="常规 6 3 3 7 3 3" xfId="42847"/>
    <cellStyle name="常规 6 3 3 7 3 3 2" xfId="42848"/>
    <cellStyle name="常规 6 3 3 7 3 4" xfId="5375"/>
    <cellStyle name="常规 6 3 3 7 3 5" xfId="42850"/>
    <cellStyle name="常规 6 3 3 7 4" xfId="42851"/>
    <cellStyle name="常规 6 3 3 7 4 2" xfId="42852"/>
    <cellStyle name="常规 6 3 3 7 4 2 2" xfId="42853"/>
    <cellStyle name="常规 6 3 3 7 4 3" xfId="42854"/>
    <cellStyle name="常规 6 3 3 7 4 4" xfId="42855"/>
    <cellStyle name="常规 6 3 3 7 5" xfId="9224"/>
    <cellStyle name="常规 6 3 3 7 5 2" xfId="42856"/>
    <cellStyle name="常规 6 3 3 7 6" xfId="42857"/>
    <cellStyle name="常规 6 3 3 7 7" xfId="42858"/>
    <cellStyle name="常规 6 3 3 8" xfId="42859"/>
    <cellStyle name="常规 6 3 3 8 2" xfId="42860"/>
    <cellStyle name="常规 6 3 3 8 2 2" xfId="42861"/>
    <cellStyle name="常规 6 3 3 8 2 2 2" xfId="42862"/>
    <cellStyle name="常规 6 3 3 8 2 2 2 2" xfId="42863"/>
    <cellStyle name="常规 6 3 3 8 2 2 3" xfId="23970"/>
    <cellStyle name="常规 6 3 3 8 2 2 4" xfId="23973"/>
    <cellStyle name="常规 6 3 3 8 2 3" xfId="42864"/>
    <cellStyle name="常规 6 3 3 8 2 3 2" xfId="42865"/>
    <cellStyle name="常规 6 3 3 8 2 4" xfId="5396"/>
    <cellStyle name="常规 6 3 3 8 2 5" xfId="42867"/>
    <cellStyle name="常规 6 3 3 8 3" xfId="42228"/>
    <cellStyle name="常规 6 3 3 8 3 2" xfId="42868"/>
    <cellStyle name="常规 6 3 3 8 3 2 2" xfId="42869"/>
    <cellStyle name="常规 6 3 3 8 3 3" xfId="42870"/>
    <cellStyle name="常规 6 3 3 8 3 4" xfId="42871"/>
    <cellStyle name="常规 6 3 3 8 4" xfId="42872"/>
    <cellStyle name="常规 6 3 3 8 4 2" xfId="42873"/>
    <cellStyle name="常规 6 3 3 8 5" xfId="9239"/>
    <cellStyle name="常规 6 3 3 8 6" xfId="42874"/>
    <cellStyle name="常规 6 3 3 9" xfId="42875"/>
    <cellStyle name="常规 6 3 3 9 2" xfId="42876"/>
    <cellStyle name="常规 6 3 3 9 2 2" xfId="42877"/>
    <cellStyle name="常规 6 3 3 9 2 2 2" xfId="42878"/>
    <cellStyle name="常规 6 3 3 9 2 3" xfId="42879"/>
    <cellStyle name="常规 6 3 3 9 2 4" xfId="42880"/>
    <cellStyle name="常规 6 3 3 9 3" xfId="42881"/>
    <cellStyle name="常规 6 3 3 9 3 2" xfId="42882"/>
    <cellStyle name="常规 6 3 3 9 4" xfId="42883"/>
    <cellStyle name="常规 6 3 3 9 5" xfId="42884"/>
    <cellStyle name="常规 6 3 4" xfId="42885"/>
    <cellStyle name="常规 6 3 4 10" xfId="42886"/>
    <cellStyle name="常规 6 3 4 10 2" xfId="42887"/>
    <cellStyle name="常规 6 3 4 11" xfId="42888"/>
    <cellStyle name="常规 6 3 4 12" xfId="42889"/>
    <cellStyle name="常规 6 3 4 2" xfId="42532"/>
    <cellStyle name="常规 6 3 4 2 10" xfId="41476"/>
    <cellStyle name="常规 6 3 4 2 11" xfId="41487"/>
    <cellStyle name="常规 6 3 4 2 2" xfId="42534"/>
    <cellStyle name="常规 6 3 4 2 2 2" xfId="42536"/>
    <cellStyle name="常规 6 3 4 2 2 2 2" xfId="42890"/>
    <cellStyle name="常规 6 3 4 2 2 2 2 2" xfId="42891"/>
    <cellStyle name="常规 6 3 4 2 2 2 2 2 2" xfId="42892"/>
    <cellStyle name="常规 6 3 4 2 2 2 2 2 2 2" xfId="42893"/>
    <cellStyle name="常规 6 3 4 2 2 2 2 2 2 2 2" xfId="42894"/>
    <cellStyle name="常规 6 3 4 2 2 2 2 2 2 2 2 2" xfId="42895"/>
    <cellStyle name="常规 6 3 4 2 2 2 2 2 2 2 3" xfId="42896"/>
    <cellStyle name="常规 6 3 4 2 2 2 2 2 2 2 4" xfId="42897"/>
    <cellStyle name="常规 6 3 4 2 2 2 2 2 2 3" xfId="42898"/>
    <cellStyle name="常规 6 3 4 2 2 2 2 2 2 3 2" xfId="42899"/>
    <cellStyle name="常规 6 3 4 2 2 2 2 2 2 4" xfId="41304"/>
    <cellStyle name="常规 6 3 4 2 2 2 2 2 2 5" xfId="42900"/>
    <cellStyle name="常规 6 3 4 2 2 2 2 2 3" xfId="42901"/>
    <cellStyle name="常规 6 3 4 2 2 2 2 2 3 2" xfId="42902"/>
    <cellStyle name="常规 6 3 4 2 2 2 2 2 3 2 2" xfId="42903"/>
    <cellStyle name="常规 6 3 4 2 2 2 2 2 3 3" xfId="42904"/>
    <cellStyle name="常规 6 3 4 2 2 2 2 2 3 4" xfId="42905"/>
    <cellStyle name="常规 6 3 4 2 2 2 2 2 4" xfId="38036"/>
    <cellStyle name="常规 6 3 4 2 2 2 2 2 4 2" xfId="38038"/>
    <cellStyle name="常规 6 3 4 2 2 2 2 2 5" xfId="38043"/>
    <cellStyle name="常规 6 3 4 2 2 2 2 2 6" xfId="38046"/>
    <cellStyle name="常规 6 3 4 2 2 2 2 3" xfId="42906"/>
    <cellStyle name="常规 6 3 4 2 2 2 2 3 2" xfId="42907"/>
    <cellStyle name="常规 6 3 4 2 2 2 2 3 2 2" xfId="42908"/>
    <cellStyle name="常规 6 3 4 2 2 2 2 3 2 2 2" xfId="42909"/>
    <cellStyle name="常规 6 3 4 2 2 2 2 3 2 3" xfId="42910"/>
    <cellStyle name="常规 6 3 4 2 2 2 2 3 2 4" xfId="42911"/>
    <cellStyle name="常规 6 3 4 2 2 2 2 3 3" xfId="42912"/>
    <cellStyle name="常规 6 3 4 2 2 2 2 3 3 2" xfId="42913"/>
    <cellStyle name="常规 6 3 4 2 2 2 2 3 4" xfId="38050"/>
    <cellStyle name="常规 6 3 4 2 2 2 2 3 5" xfId="38053"/>
    <cellStyle name="常规 6 3 4 2 2 2 2 4" xfId="42914"/>
    <cellStyle name="常规 6 3 4 2 2 2 2 4 2" xfId="42915"/>
    <cellStyle name="常规 6 3 4 2 2 2 2 4 2 2" xfId="42916"/>
    <cellStyle name="常规 6 3 4 2 2 2 2 4 3" xfId="42917"/>
    <cellStyle name="常规 6 3 4 2 2 2 2 4 4" xfId="38057"/>
    <cellStyle name="常规 6 3 4 2 2 2 2 5" xfId="42918"/>
    <cellStyle name="常规 6 3 4 2 2 2 2 5 2" xfId="42919"/>
    <cellStyle name="常规 6 3 4 2 2 2 2 6" xfId="42920"/>
    <cellStyle name="常规 6 3 4 2 2 2 2 7" xfId="42921"/>
    <cellStyle name="常规 6 3 4 2 2 2 3" xfId="42922"/>
    <cellStyle name="常规 6 3 4 2 2 2 3 2" xfId="42923"/>
    <cellStyle name="常规 6 3 4 2 2 2 3 2 2" xfId="42924"/>
    <cellStyle name="常规 6 3 4 2 2 2 3 2 2 2" xfId="42925"/>
    <cellStyle name="常规 6 3 4 2 2 2 3 2 2 2 2" xfId="42926"/>
    <cellStyle name="常规 6 3 4 2 2 2 3 2 2 3" xfId="42927"/>
    <cellStyle name="常规 6 3 4 2 2 2 3 2 2 4" xfId="42928"/>
    <cellStyle name="常规 6 3 4 2 2 2 3 2 3" xfId="42929"/>
    <cellStyle name="常规 6 3 4 2 2 2 3 2 3 2" xfId="42930"/>
    <cellStyle name="常规 6 3 4 2 2 2 3 2 4" xfId="38063"/>
    <cellStyle name="常规 6 3 4 2 2 2 3 2 5" xfId="38066"/>
    <cellStyle name="常规 6 3 4 2 2 2 3 3" xfId="42931"/>
    <cellStyle name="常规 6 3 4 2 2 2 3 3 2" xfId="34789"/>
    <cellStyle name="常规 6 3 4 2 2 2 3 3 2 2" xfId="42932"/>
    <cellStyle name="常规 6 3 4 2 2 2 3 3 3" xfId="34791"/>
    <cellStyle name="常规 6 3 4 2 2 2 3 3 4" xfId="34793"/>
    <cellStyle name="常规 6 3 4 2 2 2 3 4" xfId="42933"/>
    <cellStyle name="常规 6 3 4 2 2 2 3 4 2" xfId="42934"/>
    <cellStyle name="常规 6 3 4 2 2 2 3 5" xfId="42935"/>
    <cellStyle name="常规 6 3 4 2 2 2 3 6" xfId="42936"/>
    <cellStyle name="常规 6 3 4 2 2 2 4" xfId="42937"/>
    <cellStyle name="常规 6 3 4 2 2 2 4 2" xfId="42938"/>
    <cellStyle name="常规 6 3 4 2 2 2 4 2 2" xfId="42939"/>
    <cellStyle name="常规 6 3 4 2 2 2 4 2 2 2" xfId="42940"/>
    <cellStyle name="常规 6 3 4 2 2 2 4 2 3" xfId="42941"/>
    <cellStyle name="常规 6 3 4 2 2 2 4 2 4" xfId="38074"/>
    <cellStyle name="常规 6 3 4 2 2 2 4 3" xfId="42942"/>
    <cellStyle name="常规 6 3 4 2 2 2 4 3 2" xfId="42943"/>
    <cellStyle name="常规 6 3 4 2 2 2 4 4" xfId="42944"/>
    <cellStyle name="常规 6 3 4 2 2 2 4 5" xfId="42945"/>
    <cellStyle name="常规 6 3 4 2 2 2 5" xfId="42946"/>
    <cellStyle name="常规 6 3 4 2 2 2 5 2" xfId="42947"/>
    <cellStyle name="常规 6 3 4 2 2 2 5 2 2" xfId="42948"/>
    <cellStyle name="常规 6 3 4 2 2 2 5 3" xfId="42949"/>
    <cellStyle name="常规 6 3 4 2 2 2 5 4" xfId="42950"/>
    <cellStyle name="常规 6 3 4 2 2 2 6" xfId="42951"/>
    <cellStyle name="常规 6 3 4 2 2 2 6 2" xfId="42952"/>
    <cellStyle name="常规 6 3 4 2 2 2 7" xfId="42953"/>
    <cellStyle name="常规 6 3 4 2 2 2 8" xfId="42954"/>
    <cellStyle name="常规 6 3 4 2 2 3" xfId="42955"/>
    <cellStyle name="常规 6 3 4 2 2 3 2" xfId="42956"/>
    <cellStyle name="常规 6 3 4 2 2 3 2 2" xfId="22089"/>
    <cellStyle name="常规 6 3 4 2 2 3 2 2 2" xfId="7339"/>
    <cellStyle name="常规 6 3 4 2 2 3 2 2 2 2" xfId="42957"/>
    <cellStyle name="常规 6 3 4 2 2 3 2 2 2 2 2" xfId="42958"/>
    <cellStyle name="常规 6 3 4 2 2 3 2 2 2 3" xfId="42959"/>
    <cellStyle name="常规 6 3 4 2 2 3 2 2 2 4" xfId="41451"/>
    <cellStyle name="常规 6 3 4 2 2 3 2 2 3" xfId="7343"/>
    <cellStyle name="常规 6 3 4 2 2 3 2 2 3 2" xfId="42960"/>
    <cellStyle name="常规 6 3 4 2 2 3 2 2 4" xfId="38143"/>
    <cellStyle name="常规 6 3 4 2 2 3 2 2 5" xfId="38146"/>
    <cellStyle name="常规 6 3 4 2 2 3 2 3" xfId="42961"/>
    <cellStyle name="常规 6 3 4 2 2 3 2 3 2" xfId="7354"/>
    <cellStyle name="常规 6 3 4 2 2 3 2 3 2 2" xfId="42962"/>
    <cellStyle name="常规 6 3 4 2 2 3 2 3 3" xfId="42963"/>
    <cellStyle name="常规 6 3 4 2 2 3 2 3 4" xfId="38150"/>
    <cellStyle name="常规 6 3 4 2 2 3 2 4" xfId="42964"/>
    <cellStyle name="常规 6 3 4 2 2 3 2 4 2" xfId="42965"/>
    <cellStyle name="常规 6 3 4 2 2 3 2 5" xfId="42966"/>
    <cellStyle name="常规 6 3 4 2 2 3 2 6" xfId="42967"/>
    <cellStyle name="常规 6 3 4 2 2 3 3" xfId="42968"/>
    <cellStyle name="常规 6 3 4 2 2 3 3 2" xfId="42969"/>
    <cellStyle name="常规 6 3 4 2 2 3 3 2 2" xfId="7376"/>
    <cellStyle name="常规 6 3 4 2 2 3 3 2 2 2" xfId="42970"/>
    <cellStyle name="常规 6 3 4 2 2 3 3 2 3" xfId="42971"/>
    <cellStyle name="常规 6 3 4 2 2 3 3 2 4" xfId="38156"/>
    <cellStyle name="常规 6 3 4 2 2 3 3 3" xfId="42972"/>
    <cellStyle name="常规 6 3 4 2 2 3 3 3 2" xfId="42973"/>
    <cellStyle name="常规 6 3 4 2 2 3 3 4" xfId="42974"/>
    <cellStyle name="常规 6 3 4 2 2 3 3 5" xfId="42975"/>
    <cellStyle name="常规 6 3 4 2 2 3 4" xfId="42976"/>
    <cellStyle name="常规 6 3 4 2 2 3 4 2" xfId="42977"/>
    <cellStyle name="常规 6 3 4 2 2 3 4 2 2" xfId="42978"/>
    <cellStyle name="常规 6 3 4 2 2 3 4 3" xfId="42979"/>
    <cellStyle name="常规 6 3 4 2 2 3 4 4" xfId="42980"/>
    <cellStyle name="常规 6 3 4 2 2 3 5" xfId="42981"/>
    <cellStyle name="常规 6 3 4 2 2 3 5 2" xfId="42982"/>
    <cellStyle name="常规 6 3 4 2 2 3 6" xfId="42983"/>
    <cellStyle name="常规 6 3 4 2 2 3 7" xfId="42984"/>
    <cellStyle name="常规 6 3 4 2 2 4" xfId="42985"/>
    <cellStyle name="常规 6 3 4 2 2 4 2" xfId="42986"/>
    <cellStyle name="常规 6 3 4 2 2 4 2 2" xfId="42987"/>
    <cellStyle name="常规 6 3 4 2 2 4 2 2 2" xfId="7424"/>
    <cellStyle name="常规 6 3 4 2 2 4 2 2 2 2" xfId="42988"/>
    <cellStyle name="常规 6 3 4 2 2 4 2 2 3" xfId="42989"/>
    <cellStyle name="常规 6 3 4 2 2 4 2 2 4" xfId="38195"/>
    <cellStyle name="常规 6 3 4 2 2 4 2 3" xfId="42990"/>
    <cellStyle name="常规 6 3 4 2 2 4 2 3 2" xfId="42991"/>
    <cellStyle name="常规 6 3 4 2 2 4 2 4" xfId="42992"/>
    <cellStyle name="常规 6 3 4 2 2 4 2 5" xfId="42993"/>
    <cellStyle name="常规 6 3 4 2 2 4 3" xfId="42994"/>
    <cellStyle name="常规 6 3 4 2 2 4 3 2" xfId="14761"/>
    <cellStyle name="常规 6 3 4 2 2 4 3 2 2" xfId="42995"/>
    <cellStyle name="常规 6 3 4 2 2 4 3 3" xfId="42996"/>
    <cellStyle name="常规 6 3 4 2 2 4 3 4" xfId="42997"/>
    <cellStyle name="常规 6 3 4 2 2 4 4" xfId="42998"/>
    <cellStyle name="常规 6 3 4 2 2 4 4 2" xfId="42999"/>
    <cellStyle name="常规 6 3 4 2 2 4 5" xfId="43000"/>
    <cellStyle name="常规 6 3 4 2 2 4 6" xfId="43001"/>
    <cellStyle name="常规 6 3 4 2 2 5" xfId="43002"/>
    <cellStyle name="常规 6 3 4 2 2 5 2" xfId="43003"/>
    <cellStyle name="常规 6 3 4 2 2 5 2 2" xfId="43004"/>
    <cellStyle name="常规 6 3 4 2 2 5 2 2 2" xfId="43005"/>
    <cellStyle name="常规 6 3 4 2 2 5 2 3" xfId="43006"/>
    <cellStyle name="常规 6 3 4 2 2 5 2 4" xfId="43007"/>
    <cellStyle name="常规 6 3 4 2 2 5 3" xfId="43008"/>
    <cellStyle name="常规 6 3 4 2 2 5 3 2" xfId="43009"/>
    <cellStyle name="常规 6 3 4 2 2 5 4" xfId="43010"/>
    <cellStyle name="常规 6 3 4 2 2 5 5" xfId="43011"/>
    <cellStyle name="常规 6 3 4 2 2 6" xfId="43012"/>
    <cellStyle name="常规 6 3 4 2 2 6 2" xfId="43013"/>
    <cellStyle name="常规 6 3 4 2 2 6 2 2" xfId="43014"/>
    <cellStyle name="常规 6 3 4 2 2 6 3" xfId="43015"/>
    <cellStyle name="常规 6 3 4 2 2 6 4" xfId="43016"/>
    <cellStyle name="常规 6 3 4 2 2 7" xfId="43017"/>
    <cellStyle name="常规 6 3 4 2 2 7 2" xfId="43018"/>
    <cellStyle name="常规 6 3 4 2 2 8" xfId="43019"/>
    <cellStyle name="常规 6 3 4 2 2 9" xfId="43020"/>
    <cellStyle name="常规 6 3 4 2 3" xfId="42538"/>
    <cellStyle name="常规 6 3 4 2 3 2" xfId="43021"/>
    <cellStyle name="常规 6 3 4 2 3 2 2" xfId="9204"/>
    <cellStyle name="常规 6 3 4 2 3 2 2 2" xfId="6265"/>
    <cellStyle name="常规 6 3 4 2 3 2 2 2 2" xfId="1159"/>
    <cellStyle name="常规 6 3 4 2 3 2 2 2 2 2" xfId="43022"/>
    <cellStyle name="常规 6 3 4 2 3 2 2 2 2 2 2" xfId="43023"/>
    <cellStyle name="常规 6 3 4 2 3 2 2 2 2 2 2 2" xfId="43024"/>
    <cellStyle name="常规 6 3 4 2 3 2 2 2 2 2 3" xfId="43025"/>
    <cellStyle name="常规 6 3 4 2 3 2 2 2 2 2 4" xfId="43026"/>
    <cellStyle name="常规 6 3 4 2 3 2 2 2 2 3" xfId="43027"/>
    <cellStyle name="常规 6 3 4 2 3 2 2 2 2 3 2" xfId="43028"/>
    <cellStyle name="常规 6 3 4 2 3 2 2 2 2 4" xfId="34509"/>
    <cellStyle name="常规 6 3 4 2 3 2 2 2 2 5" xfId="34511"/>
    <cellStyle name="常规 6 3 4 2 3 2 2 2 3" xfId="43029"/>
    <cellStyle name="常规 6 3 4 2 3 2 2 2 3 2" xfId="43030"/>
    <cellStyle name="常规 6 3 4 2 3 2 2 2 3 2 2" xfId="43031"/>
    <cellStyle name="常规 6 3 4 2 3 2 2 2 3 3" xfId="43032"/>
    <cellStyle name="常规 6 3 4 2 3 2 2 2 3 4" xfId="29163"/>
    <cellStyle name="常规 6 3 4 2 3 2 2 2 4" xfId="38313"/>
    <cellStyle name="常规 6 3 4 2 3 2 2 2 4 2" xfId="16501"/>
    <cellStyle name="常规 6 3 4 2 3 2 2 2 5" xfId="43033"/>
    <cellStyle name="常规 6 3 4 2 3 2 2 2 6" xfId="43034"/>
    <cellStyle name="常规 6 3 4 2 3 2 2 3" xfId="6271"/>
    <cellStyle name="常规 6 3 4 2 3 2 2 3 2" xfId="43035"/>
    <cellStyle name="常规 6 3 4 2 3 2 2 3 2 2" xfId="43036"/>
    <cellStyle name="常规 6 3 4 2 3 2 2 3 2 2 2" xfId="43037"/>
    <cellStyle name="常规 6 3 4 2 3 2 2 3 2 3" xfId="43038"/>
    <cellStyle name="常规 6 3 4 2 3 2 2 3 2 4" xfId="18397"/>
    <cellStyle name="常规 6 3 4 2 3 2 2 3 3" xfId="43039"/>
    <cellStyle name="常规 6 3 4 2 3 2 2 3 3 2" xfId="43040"/>
    <cellStyle name="常规 6 3 4 2 3 2 2 3 4" xfId="43041"/>
    <cellStyle name="常规 6 3 4 2 3 2 2 3 5" xfId="43042"/>
    <cellStyle name="常规 6 3 4 2 3 2 2 4" xfId="5339"/>
    <cellStyle name="常规 6 3 4 2 3 2 2 4 2" xfId="43043"/>
    <cellStyle name="常规 6 3 4 2 3 2 2 4 2 2" xfId="43044"/>
    <cellStyle name="常规 6 3 4 2 3 2 2 4 3" xfId="43045"/>
    <cellStyle name="常规 6 3 4 2 3 2 2 4 4" xfId="43046"/>
    <cellStyle name="常规 6 3 4 2 3 2 2 5" xfId="43047"/>
    <cellStyle name="常规 6 3 4 2 3 2 2 5 2" xfId="43048"/>
    <cellStyle name="常规 6 3 4 2 3 2 2 6" xfId="43049"/>
    <cellStyle name="常规 6 3 4 2 3 2 2 7" xfId="43050"/>
    <cellStyle name="常规 6 3 4 2 3 2 3" xfId="9208"/>
    <cellStyle name="常规 6 3 4 2 3 2 3 2" xfId="6288"/>
    <cellStyle name="常规 6 3 4 2 3 2 3 2 2" xfId="43051"/>
    <cellStyle name="常规 6 3 4 2 3 2 3 2 2 2" xfId="43052"/>
    <cellStyle name="常规 6 3 4 2 3 2 3 2 2 2 2" xfId="30513"/>
    <cellStyle name="常规 6 3 4 2 3 2 3 2 2 3" xfId="43053"/>
    <cellStyle name="常规 6 3 4 2 3 2 3 2 2 4" xfId="34652"/>
    <cellStyle name="常规 6 3 4 2 3 2 3 2 3" xfId="43054"/>
    <cellStyle name="常规 6 3 4 2 3 2 3 2 3 2" xfId="43055"/>
    <cellStyle name="常规 6 3 4 2 3 2 3 2 4" xfId="43056"/>
    <cellStyle name="常规 6 3 4 2 3 2 3 2 5" xfId="43057"/>
    <cellStyle name="常规 6 3 4 2 3 2 3 3" xfId="43058"/>
    <cellStyle name="常规 6 3 4 2 3 2 3 3 2" xfId="43059"/>
    <cellStyle name="常规 6 3 4 2 3 2 3 3 2 2" xfId="43060"/>
    <cellStyle name="常规 6 3 4 2 3 2 3 3 3" xfId="43061"/>
    <cellStyle name="常规 6 3 4 2 3 2 3 3 4" xfId="43062"/>
    <cellStyle name="常规 6 3 4 2 3 2 3 4" xfId="43063"/>
    <cellStyle name="常规 6 3 4 2 3 2 3 4 2" xfId="43064"/>
    <cellStyle name="常规 6 3 4 2 3 2 3 5" xfId="43065"/>
    <cellStyle name="常规 6 3 4 2 3 2 3 6" xfId="43066"/>
    <cellStyle name="常规 6 3 4 2 3 2 4" xfId="9213"/>
    <cellStyle name="常规 6 3 4 2 3 2 4 2" xfId="43067"/>
    <cellStyle name="常规 6 3 4 2 3 2 4 2 2" xfId="43068"/>
    <cellStyle name="常规 6 3 4 2 3 2 4 2 2 2" xfId="43069"/>
    <cellStyle name="常规 6 3 4 2 3 2 4 2 3" xfId="43070"/>
    <cellStyle name="常规 6 3 4 2 3 2 4 2 4" xfId="43071"/>
    <cellStyle name="常规 6 3 4 2 3 2 4 3" xfId="43072"/>
    <cellStyle name="常规 6 3 4 2 3 2 4 3 2" xfId="43073"/>
    <cellStyle name="常规 6 3 4 2 3 2 4 4" xfId="43074"/>
    <cellStyle name="常规 6 3 4 2 3 2 4 5" xfId="43075"/>
    <cellStyle name="常规 6 3 4 2 3 2 5" xfId="9218"/>
    <cellStyle name="常规 6 3 4 2 3 2 5 2" xfId="43076"/>
    <cellStyle name="常规 6 3 4 2 3 2 5 2 2" xfId="43077"/>
    <cellStyle name="常规 6 3 4 2 3 2 5 3" xfId="43078"/>
    <cellStyle name="常规 6 3 4 2 3 2 5 4" xfId="43079"/>
    <cellStyle name="常规 6 3 4 2 3 2 6" xfId="43080"/>
    <cellStyle name="常规 6 3 4 2 3 2 6 2" xfId="22654"/>
    <cellStyle name="常规 6 3 4 2 3 2 7" xfId="43081"/>
    <cellStyle name="常规 6 3 4 2 3 2 8" xfId="43082"/>
    <cellStyle name="常规 6 3 4 2 3 3" xfId="43083"/>
    <cellStyle name="常规 6 3 4 2 3 3 2" xfId="9222"/>
    <cellStyle name="常规 6 3 4 2 3 3 2 2" xfId="6335"/>
    <cellStyle name="常规 6 3 4 2 3 3 2 2 2" xfId="105"/>
    <cellStyle name="常规 6 3 4 2 3 3 2 2 2 2" xfId="43084"/>
    <cellStyle name="常规 6 3 4 2 3 3 2 2 2 2 2" xfId="43085"/>
    <cellStyle name="常规 6 3 4 2 3 3 2 2 2 3" xfId="43086"/>
    <cellStyle name="常规 6 3 4 2 3 3 2 2 2 4" xfId="43088"/>
    <cellStyle name="常规 6 3 4 2 3 3 2 2 3" xfId="7502"/>
    <cellStyle name="常规 6 3 4 2 3 3 2 2 3 2" xfId="43089"/>
    <cellStyle name="常规 6 3 4 2 3 3 2 2 4" xfId="43090"/>
    <cellStyle name="常规 6 3 4 2 3 3 2 2 5" xfId="43091"/>
    <cellStyle name="常规 6 3 4 2 3 3 2 3" xfId="43092"/>
    <cellStyle name="常规 6 3 4 2 3 3 2 3 2" xfId="2478"/>
    <cellStyle name="常规 6 3 4 2 3 3 2 3 2 2" xfId="43093"/>
    <cellStyle name="常规 6 3 4 2 3 3 2 3 3" xfId="43094"/>
    <cellStyle name="常规 6 3 4 2 3 3 2 3 4" xfId="43095"/>
    <cellStyle name="常规 6 3 4 2 3 3 2 4" xfId="43096"/>
    <cellStyle name="常规 6 3 4 2 3 3 2 4 2" xfId="43097"/>
    <cellStyle name="常规 6 3 4 2 3 3 2 5" xfId="43098"/>
    <cellStyle name="常规 6 3 4 2 3 3 2 6" xfId="43099"/>
    <cellStyle name="常规 6 3 4 2 3 3 3" xfId="9226"/>
    <cellStyle name="常规 6 3 4 2 3 3 3 2" xfId="43100"/>
    <cellStyle name="常规 6 3 4 2 3 3 3 2 2" xfId="7504"/>
    <cellStyle name="常规 6 3 4 2 3 3 3 2 2 2" xfId="43101"/>
    <cellStyle name="常规 6 3 4 2 3 3 3 2 3" xfId="43102"/>
    <cellStyle name="常规 6 3 4 2 3 3 3 2 4" xfId="43103"/>
    <cellStyle name="常规 6 3 4 2 3 3 3 3" xfId="43104"/>
    <cellStyle name="常规 6 3 4 2 3 3 3 3 2" xfId="43105"/>
    <cellStyle name="常规 6 3 4 2 3 3 3 4" xfId="43106"/>
    <cellStyle name="常规 6 3 4 2 3 3 3 5" xfId="43107"/>
    <cellStyle name="常规 6 3 4 2 3 3 4" xfId="9230"/>
    <cellStyle name="常规 6 3 4 2 3 3 4 2" xfId="43108"/>
    <cellStyle name="常规 6 3 4 2 3 3 4 2 2" xfId="43109"/>
    <cellStyle name="常规 6 3 4 2 3 3 4 3" xfId="43110"/>
    <cellStyle name="常规 6 3 4 2 3 3 4 4" xfId="43111"/>
    <cellStyle name="常规 6 3 4 2 3 3 5" xfId="43112"/>
    <cellStyle name="常规 6 3 4 2 3 3 5 2" xfId="43113"/>
    <cellStyle name="常规 6 3 4 2 3 3 6" xfId="43114"/>
    <cellStyle name="常规 6 3 4 2 3 3 7" xfId="43115"/>
    <cellStyle name="常规 6 3 4 2 3 4" xfId="43116"/>
    <cellStyle name="常规 6 3 4 2 3 4 2" xfId="9237"/>
    <cellStyle name="常规 6 3 4 2 3 4 2 2" xfId="43117"/>
    <cellStyle name="常规 6 3 4 2 3 4 2 2 2" xfId="1204"/>
    <cellStyle name="常规 6 3 4 2 3 4 2 2 2 2" xfId="43118"/>
    <cellStyle name="常规 6 3 4 2 3 4 2 2 3" xfId="43119"/>
    <cellStyle name="常规 6 3 4 2 3 4 2 2 4" xfId="43120"/>
    <cellStyle name="常规 6 3 4 2 3 4 2 3" xfId="43121"/>
    <cellStyle name="常规 6 3 4 2 3 4 2 3 2" xfId="43122"/>
    <cellStyle name="常规 6 3 4 2 3 4 2 4" xfId="43123"/>
    <cellStyle name="常规 6 3 4 2 3 4 2 5" xfId="43124"/>
    <cellStyle name="常规 6 3 4 2 3 4 3" xfId="9243"/>
    <cellStyle name="常规 6 3 4 2 3 4 3 2" xfId="43125"/>
    <cellStyle name="常规 6 3 4 2 3 4 3 2 2" xfId="43126"/>
    <cellStyle name="常规 6 3 4 2 3 4 3 3" xfId="43127"/>
    <cellStyle name="常规 6 3 4 2 3 4 3 4" xfId="43128"/>
    <cellStyle name="常规 6 3 4 2 3 4 4" xfId="43129"/>
    <cellStyle name="常规 6 3 4 2 3 4 4 2" xfId="43130"/>
    <cellStyle name="常规 6 3 4 2 3 4 5" xfId="16831"/>
    <cellStyle name="常规 6 3 4 2 3 4 6" xfId="43131"/>
    <cellStyle name="常规 6 3 4 2 3 5" xfId="43132"/>
    <cellStyle name="常规 6 3 4 2 3 5 2" xfId="43133"/>
    <cellStyle name="常规 6 3 4 2 3 5 2 2" xfId="43134"/>
    <cellStyle name="常规 6 3 4 2 3 5 2 2 2" xfId="43135"/>
    <cellStyle name="常规 6 3 4 2 3 5 2 3" xfId="43136"/>
    <cellStyle name="常规 6 3 4 2 3 5 2 4" xfId="43137"/>
    <cellStyle name="常规 6 3 4 2 3 5 3" xfId="43138"/>
    <cellStyle name="常规 6 3 4 2 3 5 3 2" xfId="43139"/>
    <cellStyle name="常规 6 3 4 2 3 5 4" xfId="43140"/>
    <cellStyle name="常规 6 3 4 2 3 5 5" xfId="43141"/>
    <cellStyle name="常规 6 3 4 2 3 6" xfId="43142"/>
    <cellStyle name="常规 6 3 4 2 3 6 2" xfId="43143"/>
    <cellStyle name="常规 6 3 4 2 3 6 2 2" xfId="43144"/>
    <cellStyle name="常规 6 3 4 2 3 6 3" xfId="43145"/>
    <cellStyle name="常规 6 3 4 2 3 6 4" xfId="43146"/>
    <cellStyle name="常规 6 3 4 2 3 7" xfId="21610"/>
    <cellStyle name="常规 6 3 4 2 3 7 2" xfId="43147"/>
    <cellStyle name="常规 6 3 4 2 3 8" xfId="43148"/>
    <cellStyle name="常规 6 3 4 2 3 9" xfId="43149"/>
    <cellStyle name="常规 6 3 4 2 4" xfId="42540"/>
    <cellStyle name="常规 6 3 4 2 4 2" xfId="43150"/>
    <cellStyle name="常规 6 3 4 2 4 2 2" xfId="9351"/>
    <cellStyle name="常规 6 3 4 2 4 2 2 2" xfId="6462"/>
    <cellStyle name="常规 6 3 4 2 4 2 2 2 2" xfId="43151"/>
    <cellStyle name="常规 6 3 4 2 4 2 2 2 2 2" xfId="43152"/>
    <cellStyle name="常规 6 3 4 2 4 2 2 2 2 2 2" xfId="43153"/>
    <cellStyle name="常规 6 3 4 2 4 2 2 2 2 3" xfId="43154"/>
    <cellStyle name="常规 6 3 4 2 4 2 2 2 2 4" xfId="43155"/>
    <cellStyle name="常规 6 3 4 2 4 2 2 2 3" xfId="43156"/>
    <cellStyle name="常规 6 3 4 2 4 2 2 2 3 2" xfId="43157"/>
    <cellStyle name="常规 6 3 4 2 4 2 2 2 4" xfId="38445"/>
    <cellStyle name="常规 6 3 4 2 4 2 2 2 5" xfId="43158"/>
    <cellStyle name="常规 6 3 4 2 4 2 2 3" xfId="43159"/>
    <cellStyle name="常规 6 3 4 2 4 2 2 3 2" xfId="43160"/>
    <cellStyle name="常规 6 3 4 2 4 2 2 3 2 2" xfId="43161"/>
    <cellStyle name="常规 6 3 4 2 4 2 2 3 3" xfId="43162"/>
    <cellStyle name="常规 6 3 4 2 4 2 2 3 4" xfId="43163"/>
    <cellStyle name="常规 6 3 4 2 4 2 2 4" xfId="43164"/>
    <cellStyle name="常规 6 3 4 2 4 2 2 4 2" xfId="43165"/>
    <cellStyle name="常规 6 3 4 2 4 2 2 5" xfId="43166"/>
    <cellStyle name="常规 6 3 4 2 4 2 2 6" xfId="43167"/>
    <cellStyle name="常规 6 3 4 2 4 2 3" xfId="7405"/>
    <cellStyle name="常规 6 3 4 2 4 2 3 2" xfId="43168"/>
    <cellStyle name="常规 6 3 4 2 4 2 3 2 2" xfId="43169"/>
    <cellStyle name="常规 6 3 4 2 4 2 3 2 2 2" xfId="43170"/>
    <cellStyle name="常规 6 3 4 2 4 2 3 2 3" xfId="43171"/>
    <cellStyle name="常规 6 3 4 2 4 2 3 2 4" xfId="43172"/>
    <cellStyle name="常规 6 3 4 2 4 2 3 3" xfId="43173"/>
    <cellStyle name="常规 6 3 4 2 4 2 3 3 2" xfId="43174"/>
    <cellStyle name="常规 6 3 4 2 4 2 3 4" xfId="43175"/>
    <cellStyle name="常规 6 3 4 2 4 2 3 5" xfId="43176"/>
    <cellStyle name="常规 6 3 4 2 4 2 4" xfId="2691"/>
    <cellStyle name="常规 6 3 4 2 4 2 4 2" xfId="43177"/>
    <cellStyle name="常规 6 3 4 2 4 2 4 2 2" xfId="43178"/>
    <cellStyle name="常规 6 3 4 2 4 2 4 3" xfId="43179"/>
    <cellStyle name="常规 6 3 4 2 4 2 4 4" xfId="43180"/>
    <cellStyle name="常规 6 3 4 2 4 2 5" xfId="43181"/>
    <cellStyle name="常规 6 3 4 2 4 2 5 2" xfId="43182"/>
    <cellStyle name="常规 6 3 4 2 4 2 6" xfId="43183"/>
    <cellStyle name="常规 6 3 4 2 4 2 7" xfId="43184"/>
    <cellStyle name="常规 6 3 4 2 4 3" xfId="43185"/>
    <cellStyle name="常规 6 3 4 2 4 3 2" xfId="9356"/>
    <cellStyle name="常规 6 3 4 2 4 3 2 2" xfId="43186"/>
    <cellStyle name="常规 6 3 4 2 4 3 2 2 2" xfId="2392"/>
    <cellStyle name="常规 6 3 4 2 4 3 2 2 2 2" xfId="43187"/>
    <cellStyle name="常规 6 3 4 2 4 3 2 2 3" xfId="43188"/>
    <cellStyle name="常规 6 3 4 2 4 3 2 2 4" xfId="43189"/>
    <cellStyle name="常规 6 3 4 2 4 3 2 3" xfId="43190"/>
    <cellStyle name="常规 6 3 4 2 4 3 2 3 2" xfId="43191"/>
    <cellStyle name="常规 6 3 4 2 4 3 2 4" xfId="43192"/>
    <cellStyle name="常规 6 3 4 2 4 3 2 5" xfId="43193"/>
    <cellStyle name="常规 6 3 4 2 4 3 3" xfId="7413"/>
    <cellStyle name="常规 6 3 4 2 4 3 3 2" xfId="43194"/>
    <cellStyle name="常规 6 3 4 2 4 3 3 2 2" xfId="43195"/>
    <cellStyle name="常规 6 3 4 2 4 3 3 3" xfId="43196"/>
    <cellStyle name="常规 6 3 4 2 4 3 3 4" xfId="43197"/>
    <cellStyle name="常规 6 3 4 2 4 3 4" xfId="43198"/>
    <cellStyle name="常规 6 3 4 2 4 3 4 2" xfId="43199"/>
    <cellStyle name="常规 6 3 4 2 4 3 5" xfId="43200"/>
    <cellStyle name="常规 6 3 4 2 4 3 6" xfId="43201"/>
    <cellStyle name="常规 6 3 4 2 4 4" xfId="43202"/>
    <cellStyle name="常规 6 3 4 2 4 4 2" xfId="43203"/>
    <cellStyle name="常规 6 3 4 2 4 4 2 2" xfId="43204"/>
    <cellStyle name="常规 6 3 4 2 4 4 2 2 2" xfId="43205"/>
    <cellStyle name="常规 6 3 4 2 4 4 2 3" xfId="43206"/>
    <cellStyle name="常规 6 3 4 2 4 4 2 4" xfId="43207"/>
    <cellStyle name="常规 6 3 4 2 4 4 3" xfId="43208"/>
    <cellStyle name="常规 6 3 4 2 4 4 3 2" xfId="43209"/>
    <cellStyle name="常规 6 3 4 2 4 4 4" xfId="43210"/>
    <cellStyle name="常规 6 3 4 2 4 4 5" xfId="43211"/>
    <cellStyle name="常规 6 3 4 2 4 5" xfId="43212"/>
    <cellStyle name="常规 6 3 4 2 4 5 2" xfId="43213"/>
    <cellStyle name="常规 6 3 4 2 4 5 2 2" xfId="43214"/>
    <cellStyle name="常规 6 3 4 2 4 5 3" xfId="43215"/>
    <cellStyle name="常规 6 3 4 2 4 5 4" xfId="43216"/>
    <cellStyle name="常规 6 3 4 2 4 6" xfId="43217"/>
    <cellStyle name="常规 6 3 4 2 4 6 2" xfId="43218"/>
    <cellStyle name="常规 6 3 4 2 4 7" xfId="43219"/>
    <cellStyle name="常规 6 3 4 2 4 8" xfId="43220"/>
    <cellStyle name="常规 6 3 4 2 5" xfId="43221"/>
    <cellStyle name="常规 6 3 4 2 5 2" xfId="43222"/>
    <cellStyle name="常规 6 3 4 2 5 2 2" xfId="9423"/>
    <cellStyle name="常规 6 3 4 2 5 2 2 2" xfId="43223"/>
    <cellStyle name="常规 6 3 4 2 5 2 2 2 2" xfId="43224"/>
    <cellStyle name="常规 6 3 4 2 5 2 2 2 2 2" xfId="43225"/>
    <cellStyle name="常规 6 3 4 2 5 2 2 2 3" xfId="43226"/>
    <cellStyle name="常规 6 3 4 2 5 2 2 2 4" xfId="43227"/>
    <cellStyle name="常规 6 3 4 2 5 2 2 3" xfId="43228"/>
    <cellStyle name="常规 6 3 4 2 5 2 2 3 2" xfId="43229"/>
    <cellStyle name="常规 6 3 4 2 5 2 2 4" xfId="37441"/>
    <cellStyle name="常规 6 3 4 2 5 2 2 5" xfId="43230"/>
    <cellStyle name="常规 6 3 4 2 5 2 3" xfId="1463"/>
    <cellStyle name="常规 6 3 4 2 5 2 3 2" xfId="43231"/>
    <cellStyle name="常规 6 3 4 2 5 2 3 2 2" xfId="43232"/>
    <cellStyle name="常规 6 3 4 2 5 2 3 3" xfId="43233"/>
    <cellStyle name="常规 6 3 4 2 5 2 3 4" xfId="43234"/>
    <cellStyle name="常规 6 3 4 2 5 2 4" xfId="43235"/>
    <cellStyle name="常规 6 3 4 2 5 2 4 2" xfId="43236"/>
    <cellStyle name="常规 6 3 4 2 5 2 5" xfId="43237"/>
    <cellStyle name="常规 6 3 4 2 5 2 6" xfId="43238"/>
    <cellStyle name="常规 6 3 4 2 5 3" xfId="43239"/>
    <cellStyle name="常规 6 3 4 2 5 3 2" xfId="43240"/>
    <cellStyle name="常规 6 3 4 2 5 3 2 2" xfId="43241"/>
    <cellStyle name="常规 6 3 4 2 5 3 2 2 2" xfId="43242"/>
    <cellStyle name="常规 6 3 4 2 5 3 2 3" xfId="43243"/>
    <cellStyle name="常规 6 3 4 2 5 3 2 4" xfId="43244"/>
    <cellStyle name="常规 6 3 4 2 5 3 3" xfId="43245"/>
    <cellStyle name="常规 6 3 4 2 5 3 3 2" xfId="43246"/>
    <cellStyle name="常规 6 3 4 2 5 3 4" xfId="43247"/>
    <cellStyle name="常规 6 3 4 2 5 3 5" xfId="43248"/>
    <cellStyle name="常规 6 3 4 2 5 4" xfId="43249"/>
    <cellStyle name="常规 6 3 4 2 5 4 2" xfId="43250"/>
    <cellStyle name="常规 6 3 4 2 5 4 2 2" xfId="43251"/>
    <cellStyle name="常规 6 3 4 2 5 4 3" xfId="43252"/>
    <cellStyle name="常规 6 3 4 2 5 4 4" xfId="43253"/>
    <cellStyle name="常规 6 3 4 2 5 5" xfId="43254"/>
    <cellStyle name="常规 6 3 4 2 5 5 2" xfId="43255"/>
    <cellStyle name="常规 6 3 4 2 5 6" xfId="43257"/>
    <cellStyle name="常规 6 3 4 2 5 7" xfId="43259"/>
    <cellStyle name="常规 6 3 4 2 6" xfId="41190"/>
    <cellStyle name="常规 6 3 4 2 6 2" xfId="43260"/>
    <cellStyle name="常规 6 3 4 2 6 2 2" xfId="43261"/>
    <cellStyle name="常规 6 3 4 2 6 2 2 2" xfId="43262"/>
    <cellStyle name="常规 6 3 4 2 6 2 2 2 2" xfId="43263"/>
    <cellStyle name="常规 6 3 4 2 6 2 2 3" xfId="43264"/>
    <cellStyle name="常规 6 3 4 2 6 2 2 4" xfId="43265"/>
    <cellStyle name="常规 6 3 4 2 6 2 3" xfId="43266"/>
    <cellStyle name="常规 6 3 4 2 6 2 3 2" xfId="43267"/>
    <cellStyle name="常规 6 3 4 2 6 2 4" xfId="43268"/>
    <cellStyle name="常规 6 3 4 2 6 2 5" xfId="43269"/>
    <cellStyle name="常规 6 3 4 2 6 3" xfId="43270"/>
    <cellStyle name="常规 6 3 4 2 6 3 2" xfId="43271"/>
    <cellStyle name="常规 6 3 4 2 6 3 2 2" xfId="43272"/>
    <cellStyle name="常规 6 3 4 2 6 3 3" xfId="43273"/>
    <cellStyle name="常规 6 3 4 2 6 3 4" xfId="43274"/>
    <cellStyle name="常规 6 3 4 2 6 4" xfId="43275"/>
    <cellStyle name="常规 6 3 4 2 6 4 2" xfId="43276"/>
    <cellStyle name="常规 6 3 4 2 6 5" xfId="43277"/>
    <cellStyle name="常规 6 3 4 2 6 6" xfId="43279"/>
    <cellStyle name="常规 6 3 4 2 7" xfId="41192"/>
    <cellStyle name="常规 6 3 4 2 7 2" xfId="43280"/>
    <cellStyle name="常规 6 3 4 2 7 2 2" xfId="43281"/>
    <cellStyle name="常规 6 3 4 2 7 2 2 2" xfId="43282"/>
    <cellStyle name="常规 6 3 4 2 7 2 3" xfId="43283"/>
    <cellStyle name="常规 6 3 4 2 7 2 4" xfId="43284"/>
    <cellStyle name="常规 6 3 4 2 7 3" xfId="43285"/>
    <cellStyle name="常规 6 3 4 2 7 3 2" xfId="43286"/>
    <cellStyle name="常规 6 3 4 2 7 4" xfId="43287"/>
    <cellStyle name="常规 6 3 4 2 7 5" xfId="43288"/>
    <cellStyle name="常规 6 3 4 2 8" xfId="43289"/>
    <cellStyle name="常规 6 3 4 2 8 2" xfId="43290"/>
    <cellStyle name="常规 6 3 4 2 8 2 2" xfId="43291"/>
    <cellStyle name="常规 6 3 4 2 8 3" xfId="36098"/>
    <cellStyle name="常规 6 3 4 2 8 4" xfId="36101"/>
    <cellStyle name="常规 6 3 4 2 9" xfId="43292"/>
    <cellStyle name="常规 6 3 4 2 9 2" xfId="43293"/>
    <cellStyle name="常规 6 3 4 3" xfId="42542"/>
    <cellStyle name="常规 6 3 4 3 2" xfId="42544"/>
    <cellStyle name="常规 6 3 4 3 2 2" xfId="43294"/>
    <cellStyle name="常规 6 3 4 3 2 2 2" xfId="43295"/>
    <cellStyle name="常规 6 3 4 3 2 2 2 2" xfId="43296"/>
    <cellStyle name="常规 6 3 4 3 2 2 2 2 2" xfId="37364"/>
    <cellStyle name="常规 6 3 4 3 2 2 2 2 2 2" xfId="43297"/>
    <cellStyle name="常规 6 3 4 3 2 2 2 2 2 2 2" xfId="43298"/>
    <cellStyle name="常规 6 3 4 3 2 2 2 2 2 3" xfId="43299"/>
    <cellStyle name="常规 6 3 4 3 2 2 2 2 2 4" xfId="43300"/>
    <cellStyle name="常规 6 3 4 3 2 2 2 2 3" xfId="37366"/>
    <cellStyle name="常规 6 3 4 3 2 2 2 2 3 2" xfId="43301"/>
    <cellStyle name="常规 6 3 4 3 2 2 2 2 4" xfId="38724"/>
    <cellStyle name="常规 6 3 4 3 2 2 2 2 5" xfId="43302"/>
    <cellStyle name="常规 6 3 4 3 2 2 2 3" xfId="43303"/>
    <cellStyle name="常规 6 3 4 3 2 2 2 3 2" xfId="37377"/>
    <cellStyle name="常规 6 3 4 3 2 2 2 3 2 2" xfId="43304"/>
    <cellStyle name="常规 6 3 4 3 2 2 2 3 3" xfId="43305"/>
    <cellStyle name="常规 6 3 4 3 2 2 2 3 4" xfId="43306"/>
    <cellStyle name="常规 6 3 4 3 2 2 2 4" xfId="43307"/>
    <cellStyle name="常规 6 3 4 3 2 2 2 4 2" xfId="43308"/>
    <cellStyle name="常规 6 3 4 3 2 2 2 5" xfId="43309"/>
    <cellStyle name="常规 6 3 4 3 2 2 2 6" xfId="43310"/>
    <cellStyle name="常规 6 3 4 3 2 2 3" xfId="43311"/>
    <cellStyle name="常规 6 3 4 3 2 2 3 2" xfId="43312"/>
    <cellStyle name="常规 6 3 4 3 2 2 3 2 2" xfId="37401"/>
    <cellStyle name="常规 6 3 4 3 2 2 3 2 2 2" xfId="43313"/>
    <cellStyle name="常规 6 3 4 3 2 2 3 2 3" xfId="35035"/>
    <cellStyle name="常规 6 3 4 3 2 2 3 2 4" xfId="35041"/>
    <cellStyle name="常规 6 3 4 3 2 2 3 3" xfId="43314"/>
    <cellStyle name="常规 6 3 4 3 2 2 3 3 2" xfId="43315"/>
    <cellStyle name="常规 6 3 4 3 2 2 3 4" xfId="43316"/>
    <cellStyle name="常规 6 3 4 3 2 2 3 5" xfId="43317"/>
    <cellStyle name="常规 6 3 4 3 2 2 4" xfId="43318"/>
    <cellStyle name="常规 6 3 4 3 2 2 4 2" xfId="43319"/>
    <cellStyle name="常规 6 3 4 3 2 2 4 2 2" xfId="43320"/>
    <cellStyle name="常规 6 3 4 3 2 2 4 3" xfId="43321"/>
    <cellStyle name="常规 6 3 4 3 2 2 4 4" xfId="43322"/>
    <cellStyle name="常规 6 3 4 3 2 2 5" xfId="43323"/>
    <cellStyle name="常规 6 3 4 3 2 2 5 2" xfId="43324"/>
    <cellStyle name="常规 6 3 4 3 2 2 6" xfId="43325"/>
    <cellStyle name="常规 6 3 4 3 2 2 7" xfId="43326"/>
    <cellStyle name="常规 6 3 4 3 2 3" xfId="43327"/>
    <cellStyle name="常规 6 3 4 3 2 3 2" xfId="43328"/>
    <cellStyle name="常规 6 3 4 3 2 3 2 2" xfId="43329"/>
    <cellStyle name="常规 6 3 4 3 2 3 2 2 2" xfId="321"/>
    <cellStyle name="常规 6 3 4 3 2 3 2 2 2 2" xfId="43330"/>
    <cellStyle name="常规 6 3 4 3 2 3 2 2 3" xfId="43331"/>
    <cellStyle name="常规 6 3 4 3 2 3 2 2 4" xfId="43332"/>
    <cellStyle name="常规 6 3 4 3 2 3 2 3" xfId="43333"/>
    <cellStyle name="常规 6 3 4 3 2 3 2 3 2" xfId="43334"/>
    <cellStyle name="常规 6 3 4 3 2 3 2 4" xfId="43335"/>
    <cellStyle name="常规 6 3 4 3 2 3 2 5" xfId="43336"/>
    <cellStyle name="常规 6 3 4 3 2 3 3" xfId="43337"/>
    <cellStyle name="常规 6 3 4 3 2 3 3 2" xfId="43338"/>
    <cellStyle name="常规 6 3 4 3 2 3 3 2 2" xfId="43339"/>
    <cellStyle name="常规 6 3 4 3 2 3 3 3" xfId="43340"/>
    <cellStyle name="常规 6 3 4 3 2 3 3 4" xfId="43341"/>
    <cellStyle name="常规 6 3 4 3 2 3 4" xfId="43342"/>
    <cellStyle name="常规 6 3 4 3 2 3 4 2" xfId="43343"/>
    <cellStyle name="常规 6 3 4 3 2 3 5" xfId="43344"/>
    <cellStyle name="常规 6 3 4 3 2 3 6" xfId="43345"/>
    <cellStyle name="常规 6 3 4 3 2 4" xfId="43346"/>
    <cellStyle name="常规 6 3 4 3 2 4 2" xfId="43347"/>
    <cellStyle name="常规 6 3 4 3 2 4 2 2" xfId="43348"/>
    <cellStyle name="常规 6 3 4 3 2 4 2 2 2" xfId="43349"/>
    <cellStyle name="常规 6 3 4 3 2 4 2 3" xfId="43350"/>
    <cellStyle name="常规 6 3 4 3 2 4 2 4" xfId="43351"/>
    <cellStyle name="常规 6 3 4 3 2 4 3" xfId="43352"/>
    <cellStyle name="常规 6 3 4 3 2 4 3 2" xfId="14949"/>
    <cellStyle name="常规 6 3 4 3 2 4 4" xfId="43353"/>
    <cellStyle name="常规 6 3 4 3 2 4 5" xfId="43354"/>
    <cellStyle name="常规 6 3 4 3 2 5" xfId="43355"/>
    <cellStyle name="常规 6 3 4 3 2 5 2" xfId="43356"/>
    <cellStyle name="常规 6 3 4 3 2 5 2 2" xfId="43357"/>
    <cellStyle name="常规 6 3 4 3 2 5 3" xfId="43358"/>
    <cellStyle name="常规 6 3 4 3 2 5 4" xfId="43359"/>
    <cellStyle name="常规 6 3 4 3 2 6" xfId="43360"/>
    <cellStyle name="常规 6 3 4 3 2 6 2" xfId="43361"/>
    <cellStyle name="常规 6 3 4 3 2 7" xfId="43362"/>
    <cellStyle name="常规 6 3 4 3 2 8" xfId="43363"/>
    <cellStyle name="常规 6 3 4 3 3" xfId="43364"/>
    <cellStyle name="常规 6 3 4 3 3 2" xfId="43365"/>
    <cellStyle name="常规 6 3 4 3 3 2 2" xfId="9535"/>
    <cellStyle name="常规 6 3 4 3 3 2 2 2" xfId="43366"/>
    <cellStyle name="常规 6 3 4 3 3 2 2 2 2" xfId="43367"/>
    <cellStyle name="常规 6 3 4 3 3 2 2 2 2 2" xfId="43368"/>
    <cellStyle name="常规 6 3 4 3 3 2 2 2 3" xfId="43369"/>
    <cellStyle name="常规 6 3 4 3 3 2 2 2 4" xfId="38872"/>
    <cellStyle name="常规 6 3 4 3 3 2 2 3" xfId="43370"/>
    <cellStyle name="常规 6 3 4 3 3 2 2 3 2" xfId="43371"/>
    <cellStyle name="常规 6 3 4 3 3 2 2 4" xfId="43372"/>
    <cellStyle name="常规 6 3 4 3 3 2 2 5" xfId="43373"/>
    <cellStyle name="常规 6 3 4 3 3 2 3" xfId="9538"/>
    <cellStyle name="常规 6 3 4 3 3 2 3 2" xfId="43374"/>
    <cellStyle name="常规 6 3 4 3 3 2 3 2 2" xfId="43375"/>
    <cellStyle name="常规 6 3 4 3 3 2 3 3" xfId="43376"/>
    <cellStyle name="常规 6 3 4 3 3 2 3 4" xfId="43377"/>
    <cellStyle name="常规 6 3 4 3 3 2 4" xfId="43378"/>
    <cellStyle name="常规 6 3 4 3 3 2 4 2" xfId="43379"/>
    <cellStyle name="常规 6 3 4 3 3 2 5" xfId="18863"/>
    <cellStyle name="常规 6 3 4 3 3 2 6" xfId="43380"/>
    <cellStyle name="常规 6 3 4 3 3 3" xfId="43381"/>
    <cellStyle name="常规 6 3 4 3 3 3 2" xfId="43382"/>
    <cellStyle name="常规 6 3 4 3 3 3 2 2" xfId="43383"/>
    <cellStyle name="常规 6 3 4 3 3 3 2 2 2" xfId="43384"/>
    <cellStyle name="常规 6 3 4 3 3 3 2 3" xfId="43385"/>
    <cellStyle name="常规 6 3 4 3 3 3 2 4" xfId="43386"/>
    <cellStyle name="常规 6 3 4 3 3 3 3" xfId="43387"/>
    <cellStyle name="常规 6 3 4 3 3 3 3 2" xfId="43388"/>
    <cellStyle name="常规 6 3 4 3 3 3 4" xfId="43389"/>
    <cellStyle name="常规 6 3 4 3 3 3 5" xfId="43390"/>
    <cellStyle name="常规 6 3 4 3 3 4" xfId="43391"/>
    <cellStyle name="常规 6 3 4 3 3 4 2" xfId="43392"/>
    <cellStyle name="常规 6 3 4 3 3 4 2 2" xfId="43393"/>
    <cellStyle name="常规 6 3 4 3 3 4 3" xfId="43394"/>
    <cellStyle name="常规 6 3 4 3 3 4 4" xfId="43395"/>
    <cellStyle name="常规 6 3 4 3 3 5" xfId="43396"/>
    <cellStyle name="常规 6 3 4 3 3 5 2" xfId="43397"/>
    <cellStyle name="常规 6 3 4 3 3 6" xfId="43398"/>
    <cellStyle name="常规 6 3 4 3 3 7" xfId="43399"/>
    <cellStyle name="常规 6 3 4 3 4" xfId="43400"/>
    <cellStyle name="常规 6 3 4 3 4 2" xfId="43401"/>
    <cellStyle name="常规 6 3 4 3 4 2 2" xfId="43402"/>
    <cellStyle name="常规 6 3 4 3 4 2 2 2" xfId="43403"/>
    <cellStyle name="常规 6 3 4 3 4 2 2 2 2" xfId="43404"/>
    <cellStyle name="常规 6 3 4 3 4 2 2 3" xfId="43405"/>
    <cellStyle name="常规 6 3 4 3 4 2 2 4" xfId="43406"/>
    <cellStyle name="常规 6 3 4 3 4 2 3" xfId="43407"/>
    <cellStyle name="常规 6 3 4 3 4 2 3 2" xfId="43408"/>
    <cellStyle name="常规 6 3 4 3 4 2 4" xfId="43409"/>
    <cellStyle name="常规 6 3 4 3 4 2 5" xfId="43410"/>
    <cellStyle name="常规 6 3 4 3 4 3" xfId="43411"/>
    <cellStyle name="常规 6 3 4 3 4 3 2" xfId="43412"/>
    <cellStyle name="常规 6 3 4 3 4 3 2 2" xfId="43413"/>
    <cellStyle name="常规 6 3 4 3 4 3 3" xfId="43414"/>
    <cellStyle name="常规 6 3 4 3 4 3 4" xfId="43415"/>
    <cellStyle name="常规 6 3 4 3 4 4" xfId="43416"/>
    <cellStyle name="常规 6 3 4 3 4 4 2" xfId="43417"/>
    <cellStyle name="常规 6 3 4 3 4 5" xfId="43418"/>
    <cellStyle name="常规 6 3 4 3 4 6" xfId="43419"/>
    <cellStyle name="常规 6 3 4 3 5" xfId="43420"/>
    <cellStyle name="常规 6 3 4 3 5 2" xfId="43421"/>
    <cellStyle name="常规 6 3 4 3 5 2 2" xfId="43422"/>
    <cellStyle name="常规 6 3 4 3 5 2 2 2" xfId="43423"/>
    <cellStyle name="常规 6 3 4 3 5 2 3" xfId="43424"/>
    <cellStyle name="常规 6 3 4 3 5 2 4" xfId="43425"/>
    <cellStyle name="常规 6 3 4 3 5 3" xfId="43426"/>
    <cellStyle name="常规 6 3 4 3 5 3 2" xfId="43427"/>
    <cellStyle name="常规 6 3 4 3 5 4" xfId="43428"/>
    <cellStyle name="常规 6 3 4 3 5 5" xfId="43429"/>
    <cellStyle name="常规 6 3 4 3 6" xfId="43430"/>
    <cellStyle name="常规 6 3 4 3 6 2" xfId="43431"/>
    <cellStyle name="常规 6 3 4 3 6 2 2" xfId="43432"/>
    <cellStyle name="常规 6 3 4 3 6 3" xfId="43433"/>
    <cellStyle name="常规 6 3 4 3 6 4" xfId="43434"/>
    <cellStyle name="常规 6 3 4 3 7" xfId="43435"/>
    <cellStyle name="常规 6 3 4 3 7 2" xfId="43436"/>
    <cellStyle name="常规 6 3 4 3 8" xfId="43437"/>
    <cellStyle name="常规 6 3 4 3 9" xfId="43438"/>
    <cellStyle name="常规 6 3 4 4" xfId="42546"/>
    <cellStyle name="常规 6 3 4 4 2" xfId="43439"/>
    <cellStyle name="常规 6 3 4 4 2 2" xfId="43440"/>
    <cellStyle name="常规 6 3 4 4 2 2 2" xfId="43441"/>
    <cellStyle name="常规 6 3 4 4 2 2 2 2" xfId="43442"/>
    <cellStyle name="常规 6 3 4 4 2 2 2 2 2" xfId="43443"/>
    <cellStyle name="常规 6 3 4 4 2 2 2 2 2 2" xfId="43444"/>
    <cellStyle name="常规 6 3 4 4 2 2 2 2 2 2 2" xfId="43445"/>
    <cellStyle name="常规 6 3 4 4 2 2 2 2 2 3" xfId="43446"/>
    <cellStyle name="常规 6 3 4 4 2 2 2 2 2 4" xfId="3362"/>
    <cellStyle name="常规 6 3 4 4 2 2 2 2 3" xfId="43447"/>
    <cellStyle name="常规 6 3 4 4 2 2 2 2 3 2" xfId="43448"/>
    <cellStyle name="常规 6 3 4 4 2 2 2 2 4" xfId="43449"/>
    <cellStyle name="常规 6 3 4 4 2 2 2 2 5" xfId="43450"/>
    <cellStyle name="常规 6 3 4 4 2 2 2 3" xfId="43451"/>
    <cellStyle name="常规 6 3 4 4 2 2 2 3 2" xfId="43452"/>
    <cellStyle name="常规 6 3 4 4 2 2 2 3 2 2" xfId="43453"/>
    <cellStyle name="常规 6 3 4 4 2 2 2 3 3" xfId="43454"/>
    <cellStyle name="常规 6 3 4 4 2 2 2 3 4" xfId="43455"/>
    <cellStyle name="常规 6 3 4 4 2 2 2 4" xfId="43456"/>
    <cellStyle name="常规 6 3 4 4 2 2 2 4 2" xfId="43457"/>
    <cellStyle name="常规 6 3 4 4 2 2 2 5" xfId="43458"/>
    <cellStyle name="常规 6 3 4 4 2 2 2 6" xfId="43459"/>
    <cellStyle name="常规 6 3 4 4 2 2 3" xfId="43461"/>
    <cellStyle name="常规 6 3 4 4 2 2 3 2" xfId="43462"/>
    <cellStyle name="常规 6 3 4 4 2 2 3 2 2" xfId="43463"/>
    <cellStyle name="常规 6 3 4 4 2 2 3 2 2 2" xfId="43464"/>
    <cellStyle name="常规 6 3 4 4 2 2 3 2 3" xfId="35274"/>
    <cellStyle name="常规 6 3 4 4 2 2 3 2 4" xfId="43465"/>
    <cellStyle name="常规 6 3 4 4 2 2 3 3" xfId="43466"/>
    <cellStyle name="常规 6 3 4 4 2 2 3 3 2" xfId="43467"/>
    <cellStyle name="常规 6 3 4 4 2 2 3 4" xfId="43468"/>
    <cellStyle name="常规 6 3 4 4 2 2 3 5" xfId="43469"/>
    <cellStyle name="常规 6 3 4 4 2 2 4" xfId="43470"/>
    <cellStyle name="常规 6 3 4 4 2 2 4 2" xfId="43471"/>
    <cellStyle name="常规 6 3 4 4 2 2 4 2 2" xfId="43472"/>
    <cellStyle name="常规 6 3 4 4 2 2 4 3" xfId="43473"/>
    <cellStyle name="常规 6 3 4 4 2 2 4 4" xfId="43474"/>
    <cellStyle name="常规 6 3 4 4 2 2 5" xfId="43475"/>
    <cellStyle name="常规 6 3 4 4 2 2 5 2" xfId="43476"/>
    <cellStyle name="常规 6 3 4 4 2 2 6" xfId="43477"/>
    <cellStyle name="常规 6 3 4 4 2 2 7" xfId="43478"/>
    <cellStyle name="常规 6 3 4 4 2 3" xfId="43479"/>
    <cellStyle name="常规 6 3 4 4 2 3 2" xfId="43480"/>
    <cellStyle name="常规 6 3 4 4 2 3 2 2" xfId="43481"/>
    <cellStyle name="常规 6 3 4 4 2 3 2 2 2" xfId="7789"/>
    <cellStyle name="常规 6 3 4 4 2 3 2 2 2 2" xfId="43482"/>
    <cellStyle name="常规 6 3 4 4 2 3 2 2 3" xfId="43483"/>
    <cellStyle name="常规 6 3 4 4 2 3 2 2 4" xfId="43484"/>
    <cellStyle name="常规 6 3 4 4 2 3 2 3" xfId="43485"/>
    <cellStyle name="常规 6 3 4 4 2 3 2 3 2" xfId="43486"/>
    <cellStyle name="常规 6 3 4 4 2 3 2 4" xfId="43487"/>
    <cellStyle name="常规 6 3 4 4 2 3 2 5" xfId="43488"/>
    <cellStyle name="常规 6 3 4 4 2 3 3" xfId="18406"/>
    <cellStyle name="常规 6 3 4 4 2 3 3 2" xfId="43489"/>
    <cellStyle name="常规 6 3 4 4 2 3 3 2 2" xfId="43490"/>
    <cellStyle name="常规 6 3 4 4 2 3 3 3" xfId="43491"/>
    <cellStyle name="常规 6 3 4 4 2 3 3 4" xfId="43492"/>
    <cellStyle name="常规 6 3 4 4 2 3 4" xfId="43493"/>
    <cellStyle name="常规 6 3 4 4 2 3 4 2" xfId="43494"/>
    <cellStyle name="常规 6 3 4 4 2 3 5" xfId="43495"/>
    <cellStyle name="常规 6 3 4 4 2 3 6" xfId="43496"/>
    <cellStyle name="常规 6 3 4 4 2 4" xfId="43497"/>
    <cellStyle name="常规 6 3 4 4 2 4 2" xfId="43498"/>
    <cellStyle name="常规 6 3 4 4 2 4 2 2" xfId="43499"/>
    <cellStyle name="常规 6 3 4 4 2 4 2 2 2" xfId="43500"/>
    <cellStyle name="常规 6 3 4 4 2 4 2 3" xfId="43501"/>
    <cellStyle name="常规 6 3 4 4 2 4 2 4" xfId="43502"/>
    <cellStyle name="常规 6 3 4 4 2 4 3" xfId="43503"/>
    <cellStyle name="常规 6 3 4 4 2 4 3 2" xfId="43504"/>
    <cellStyle name="常规 6 3 4 4 2 4 4" xfId="43505"/>
    <cellStyle name="常规 6 3 4 4 2 4 5" xfId="43506"/>
    <cellStyle name="常规 6 3 4 4 2 5" xfId="43507"/>
    <cellStyle name="常规 6 3 4 4 2 5 2" xfId="43508"/>
    <cellStyle name="常规 6 3 4 4 2 5 2 2" xfId="43509"/>
    <cellStyle name="常规 6 3 4 4 2 5 3" xfId="43510"/>
    <cellStyle name="常规 6 3 4 4 2 5 4" xfId="43511"/>
    <cellStyle name="常规 6 3 4 4 2 6" xfId="43512"/>
    <cellStyle name="常规 6 3 4 4 2 6 2" xfId="43513"/>
    <cellStyle name="常规 6 3 4 4 2 7" xfId="43514"/>
    <cellStyle name="常规 6 3 4 4 2 8" xfId="43515"/>
    <cellStyle name="常规 6 3 4 4 3" xfId="43516"/>
    <cellStyle name="常规 6 3 4 4 3 2" xfId="43517"/>
    <cellStyle name="常规 6 3 4 4 3 2 2" xfId="43518"/>
    <cellStyle name="常规 6 3 4 4 3 2 2 2" xfId="43519"/>
    <cellStyle name="常规 6 3 4 4 3 2 2 2 2" xfId="43520"/>
    <cellStyle name="常规 6 3 4 4 3 2 2 2 2 2" xfId="43521"/>
    <cellStyle name="常规 6 3 4 4 3 2 2 2 3" xfId="43522"/>
    <cellStyle name="常规 6 3 4 4 3 2 2 2 4" xfId="43523"/>
    <cellStyle name="常规 6 3 4 4 3 2 2 3" xfId="43524"/>
    <cellStyle name="常规 6 3 4 4 3 2 2 3 2" xfId="43525"/>
    <cellStyle name="常规 6 3 4 4 3 2 2 4" xfId="43526"/>
    <cellStyle name="常规 6 3 4 4 3 2 2 5" xfId="43527"/>
    <cellStyle name="常规 6 3 4 4 3 2 3" xfId="43528"/>
    <cellStyle name="常规 6 3 4 4 3 2 3 2" xfId="43529"/>
    <cellStyle name="常规 6 3 4 4 3 2 3 2 2" xfId="43530"/>
    <cellStyle name="常规 6 3 4 4 3 2 3 3" xfId="43531"/>
    <cellStyle name="常规 6 3 4 4 3 2 3 4" xfId="43532"/>
    <cellStyle name="常规 6 3 4 4 3 2 4" xfId="43533"/>
    <cellStyle name="常规 6 3 4 4 3 2 4 2" xfId="43534"/>
    <cellStyle name="常规 6 3 4 4 3 2 5" xfId="43535"/>
    <cellStyle name="常规 6 3 4 4 3 2 6" xfId="43536"/>
    <cellStyle name="常规 6 3 4 4 3 3" xfId="43537"/>
    <cellStyle name="常规 6 3 4 4 3 3 2" xfId="43538"/>
    <cellStyle name="常规 6 3 4 4 3 3 2 2" xfId="43539"/>
    <cellStyle name="常规 6 3 4 4 3 3 2 2 2" xfId="43540"/>
    <cellStyle name="常规 6 3 4 4 3 3 2 3" xfId="43541"/>
    <cellStyle name="常规 6 3 4 4 3 3 2 4" xfId="19459"/>
    <cellStyle name="常规 6 3 4 4 3 3 3" xfId="43542"/>
    <cellStyle name="常规 6 3 4 4 3 3 3 2" xfId="43543"/>
    <cellStyle name="常规 6 3 4 4 3 3 4" xfId="43544"/>
    <cellStyle name="常规 6 3 4 4 3 3 5" xfId="43545"/>
    <cellStyle name="常规 6 3 4 4 3 4" xfId="43546"/>
    <cellStyle name="常规 6 3 4 4 3 4 2" xfId="43547"/>
    <cellStyle name="常规 6 3 4 4 3 4 2 2" xfId="43548"/>
    <cellStyle name="常规 6 3 4 4 3 4 3" xfId="43549"/>
    <cellStyle name="常规 6 3 4 4 3 4 4" xfId="43550"/>
    <cellStyle name="常规 6 3 4 4 3 5" xfId="43551"/>
    <cellStyle name="常规 6 3 4 4 3 5 2" xfId="43552"/>
    <cellStyle name="常规 6 3 4 4 3 6" xfId="43553"/>
    <cellStyle name="常规 6 3 4 4 3 7" xfId="43554"/>
    <cellStyle name="常规 6 3 4 4 4" xfId="43555"/>
    <cellStyle name="常规 6 3 4 4 4 2" xfId="43557"/>
    <cellStyle name="常规 6 3 4 4 4 2 2" xfId="43559"/>
    <cellStyle name="常规 6 3 4 4 4 2 2 2" xfId="43560"/>
    <cellStyle name="常规 6 3 4 4 4 2 2 2 2" xfId="43561"/>
    <cellStyle name="常规 6 3 4 4 4 2 2 3" xfId="43562"/>
    <cellStyle name="常规 6 3 4 4 4 2 2 4" xfId="43563"/>
    <cellStyle name="常规 6 3 4 4 4 2 3" xfId="43564"/>
    <cellStyle name="常规 6 3 4 4 4 2 3 2" xfId="43565"/>
    <cellStyle name="常规 6 3 4 4 4 2 4" xfId="43566"/>
    <cellStyle name="常规 6 3 4 4 4 2 5" xfId="43567"/>
    <cellStyle name="常规 6 3 4 4 4 3" xfId="43569"/>
    <cellStyle name="常规 6 3 4 4 4 3 2" xfId="43570"/>
    <cellStyle name="常规 6 3 4 4 4 3 2 2" xfId="43571"/>
    <cellStyle name="常规 6 3 4 4 4 3 3" xfId="43572"/>
    <cellStyle name="常规 6 3 4 4 4 3 4" xfId="43573"/>
    <cellStyle name="常规 6 3 4 4 4 4" xfId="43575"/>
    <cellStyle name="常规 6 3 4 4 4 4 2" xfId="43576"/>
    <cellStyle name="常规 6 3 4 4 4 5" xfId="43577"/>
    <cellStyle name="常规 6 3 4 4 4 6" xfId="43578"/>
    <cellStyle name="常规 6 3 4 4 5" xfId="43579"/>
    <cellStyle name="常规 6 3 4 4 5 2" xfId="43581"/>
    <cellStyle name="常规 6 3 4 4 5 2 2" xfId="43582"/>
    <cellStyle name="常规 6 3 4 4 5 2 2 2" xfId="43583"/>
    <cellStyle name="常规 6 3 4 4 5 2 3" xfId="43584"/>
    <cellStyle name="常规 6 3 4 4 5 2 4" xfId="43585"/>
    <cellStyle name="常规 6 3 4 4 5 3" xfId="43587"/>
    <cellStyle name="常规 6 3 4 4 5 3 2" xfId="43588"/>
    <cellStyle name="常规 6 3 4 4 5 4" xfId="43589"/>
    <cellStyle name="常规 6 3 4 4 5 5" xfId="43590"/>
    <cellStyle name="常规 6 3 4 4 6" xfId="43591"/>
    <cellStyle name="常规 6 3 4 4 6 2" xfId="43592"/>
    <cellStyle name="常规 6 3 4 4 6 2 2" xfId="15320"/>
    <cellStyle name="常规 6 3 4 4 6 3" xfId="43593"/>
    <cellStyle name="常规 6 3 4 4 6 4" xfId="43594"/>
    <cellStyle name="常规 6 3 4 4 7" xfId="43595"/>
    <cellStyle name="常规 6 3 4 4 7 2" xfId="43596"/>
    <cellStyle name="常规 6 3 4 4 8" xfId="43597"/>
    <cellStyle name="常规 6 3 4 4 9" xfId="43598"/>
    <cellStyle name="常规 6 3 4 5" xfId="42548"/>
    <cellStyle name="常规 6 3 4 5 2" xfId="43599"/>
    <cellStyle name="常规 6 3 4 5 2 2" xfId="43600"/>
    <cellStyle name="常规 6 3 4 5 2 2 2" xfId="43601"/>
    <cellStyle name="常规 6 3 4 5 2 2 2 2" xfId="43602"/>
    <cellStyle name="常规 6 3 4 5 2 2 2 2 2" xfId="43603"/>
    <cellStyle name="常规 6 3 4 5 2 2 2 2 2 2" xfId="43604"/>
    <cellStyle name="常规 6 3 4 5 2 2 2 2 3" xfId="43605"/>
    <cellStyle name="常规 6 3 4 5 2 2 2 2 4" xfId="43606"/>
    <cellStyle name="常规 6 3 4 5 2 2 2 3" xfId="43607"/>
    <cellStyle name="常规 6 3 4 5 2 2 2 3 2" xfId="43608"/>
    <cellStyle name="常规 6 3 4 5 2 2 2 4" xfId="43609"/>
    <cellStyle name="常规 6 3 4 5 2 2 2 5" xfId="43610"/>
    <cellStyle name="常规 6 3 4 5 2 2 3" xfId="43611"/>
    <cellStyle name="常规 6 3 4 5 2 2 3 2" xfId="43612"/>
    <cellStyle name="常规 6 3 4 5 2 2 3 2 2" xfId="43613"/>
    <cellStyle name="常规 6 3 4 5 2 2 3 3" xfId="43614"/>
    <cellStyle name="常规 6 3 4 5 2 2 3 4" xfId="43615"/>
    <cellStyle name="常规 6 3 4 5 2 2 4" xfId="43616"/>
    <cellStyle name="常规 6 3 4 5 2 2 4 2" xfId="43617"/>
    <cellStyle name="常规 6 3 4 5 2 2 5" xfId="43618"/>
    <cellStyle name="常规 6 3 4 5 2 2 6" xfId="43619"/>
    <cellStyle name="常规 6 3 4 5 2 3" xfId="43620"/>
    <cellStyle name="常规 6 3 4 5 2 3 2" xfId="43621"/>
    <cellStyle name="常规 6 3 4 5 2 3 2 2" xfId="43622"/>
    <cellStyle name="常规 6 3 4 5 2 3 2 2 2" xfId="43623"/>
    <cellStyle name="常规 6 3 4 5 2 3 2 3" xfId="43624"/>
    <cellStyle name="常规 6 3 4 5 2 3 2 4" xfId="43625"/>
    <cellStyle name="常规 6 3 4 5 2 3 3" xfId="43626"/>
    <cellStyle name="常规 6 3 4 5 2 3 3 2" xfId="43627"/>
    <cellStyle name="常规 6 3 4 5 2 3 4" xfId="43628"/>
    <cellStyle name="常规 6 3 4 5 2 3 5" xfId="43629"/>
    <cellStyle name="常规 6 3 4 5 2 4" xfId="43630"/>
    <cellStyle name="常规 6 3 4 5 2 4 2" xfId="43631"/>
    <cellStyle name="常规 6 3 4 5 2 4 2 2" xfId="43632"/>
    <cellStyle name="常规 6 3 4 5 2 4 3" xfId="43633"/>
    <cellStyle name="常规 6 3 4 5 2 4 4" xfId="43634"/>
    <cellStyle name="常规 6 3 4 5 2 5" xfId="43635"/>
    <cellStyle name="常规 6 3 4 5 2 5 2" xfId="43636"/>
    <cellStyle name="常规 6 3 4 5 2 6" xfId="43637"/>
    <cellStyle name="常规 6 3 4 5 2 7" xfId="43638"/>
    <cellStyle name="常规 6 3 4 5 3" xfId="43639"/>
    <cellStyle name="常规 6 3 4 5 3 2" xfId="43640"/>
    <cellStyle name="常规 6 3 4 5 3 2 2" xfId="43641"/>
    <cellStyle name="常规 6 3 4 5 3 2 2 2" xfId="43642"/>
    <cellStyle name="常规 6 3 4 5 3 2 2 2 2" xfId="43643"/>
    <cellStyle name="常规 6 3 4 5 3 2 2 3" xfId="43644"/>
    <cellStyle name="常规 6 3 4 5 3 2 2 4" xfId="43645"/>
    <cellStyle name="常规 6 3 4 5 3 2 3" xfId="43646"/>
    <cellStyle name="常规 6 3 4 5 3 2 3 2" xfId="43647"/>
    <cellStyle name="常规 6 3 4 5 3 2 4" xfId="7882"/>
    <cellStyle name="常规 6 3 4 5 3 2 5" xfId="43648"/>
    <cellStyle name="常规 6 3 4 5 3 3" xfId="43649"/>
    <cellStyle name="常规 6 3 4 5 3 3 2" xfId="43650"/>
    <cellStyle name="常规 6 3 4 5 3 3 2 2" xfId="43651"/>
    <cellStyle name="常规 6 3 4 5 3 3 3" xfId="43652"/>
    <cellStyle name="常规 6 3 4 5 3 3 4" xfId="43653"/>
    <cellStyle name="常规 6 3 4 5 3 4" xfId="43654"/>
    <cellStyle name="常规 6 3 4 5 3 4 2" xfId="43655"/>
    <cellStyle name="常规 6 3 4 5 3 5" xfId="43656"/>
    <cellStyle name="常规 6 3 4 5 3 6" xfId="43657"/>
    <cellStyle name="常规 6 3 4 5 4" xfId="43658"/>
    <cellStyle name="常规 6 3 4 5 4 2" xfId="43660"/>
    <cellStyle name="常规 6 3 4 5 4 2 2" xfId="43661"/>
    <cellStyle name="常规 6 3 4 5 4 2 2 2" xfId="43662"/>
    <cellStyle name="常规 6 3 4 5 4 2 3" xfId="43663"/>
    <cellStyle name="常规 6 3 4 5 4 2 4" xfId="43664"/>
    <cellStyle name="常规 6 3 4 5 4 3" xfId="43666"/>
    <cellStyle name="常规 6 3 4 5 4 3 2" xfId="43667"/>
    <cellStyle name="常规 6 3 4 5 4 4" xfId="43668"/>
    <cellStyle name="常规 6 3 4 5 4 5" xfId="43669"/>
    <cellStyle name="常规 6 3 4 5 5" xfId="9332"/>
    <cellStyle name="常规 6 3 4 5 5 2" xfId="9335"/>
    <cellStyle name="常规 6 3 4 5 5 2 2" xfId="43670"/>
    <cellStyle name="常规 6 3 4 5 5 3" xfId="43671"/>
    <cellStyle name="常规 6 3 4 5 5 4" xfId="43672"/>
    <cellStyle name="常规 6 3 4 5 6" xfId="9340"/>
    <cellStyle name="常规 6 3 4 5 6 2" xfId="43673"/>
    <cellStyle name="常规 6 3 4 5 7" xfId="9344"/>
    <cellStyle name="常规 6 3 4 5 8" xfId="43674"/>
    <cellStyle name="常规 6 3 4 6" xfId="43675"/>
    <cellStyle name="常规 6 3 4 6 2" xfId="43676"/>
    <cellStyle name="常规 6 3 4 6 2 2" xfId="43677"/>
    <cellStyle name="常规 6 3 4 6 2 2 2" xfId="43678"/>
    <cellStyle name="常规 6 3 4 6 2 2 2 2" xfId="43679"/>
    <cellStyle name="常规 6 3 4 6 2 2 2 2 2" xfId="43680"/>
    <cellStyle name="常规 6 3 4 6 2 2 2 3" xfId="43681"/>
    <cellStyle name="常规 6 3 4 6 2 2 2 4" xfId="43682"/>
    <cellStyle name="常规 6 3 4 6 2 2 3" xfId="43683"/>
    <cellStyle name="常规 6 3 4 6 2 2 3 2" xfId="43684"/>
    <cellStyle name="常规 6 3 4 6 2 2 4" xfId="43685"/>
    <cellStyle name="常规 6 3 4 6 2 2 5" xfId="43686"/>
    <cellStyle name="常规 6 3 4 6 2 3" xfId="43687"/>
    <cellStyle name="常规 6 3 4 6 2 3 2" xfId="43688"/>
    <cellStyle name="常规 6 3 4 6 2 3 2 2" xfId="43689"/>
    <cellStyle name="常规 6 3 4 6 2 3 3" xfId="43690"/>
    <cellStyle name="常规 6 3 4 6 2 3 4" xfId="43691"/>
    <cellStyle name="常规 6 3 4 6 2 4" xfId="3122"/>
    <cellStyle name="常规 6 3 4 6 2 4 2" xfId="3129"/>
    <cellStyle name="常规 6 3 4 6 2 5" xfId="3136"/>
    <cellStyle name="常规 6 3 4 6 2 6" xfId="3145"/>
    <cellStyle name="常规 6 3 4 6 3" xfId="43692"/>
    <cellStyle name="常规 6 3 4 6 3 2" xfId="43693"/>
    <cellStyle name="常规 6 3 4 6 3 2 2" xfId="43694"/>
    <cellStyle name="常规 6 3 4 6 3 2 2 2" xfId="43695"/>
    <cellStyle name="常规 6 3 4 6 3 2 3" xfId="43696"/>
    <cellStyle name="常规 6 3 4 6 3 2 4" xfId="43697"/>
    <cellStyle name="常规 6 3 4 6 3 3" xfId="43698"/>
    <cellStyle name="常规 6 3 4 6 3 3 2" xfId="43699"/>
    <cellStyle name="常规 6 3 4 6 3 4" xfId="3168"/>
    <cellStyle name="常规 6 3 4 6 3 5" xfId="43700"/>
    <cellStyle name="常规 6 3 4 6 4" xfId="43701"/>
    <cellStyle name="常规 6 3 4 6 4 2" xfId="43702"/>
    <cellStyle name="常规 6 3 4 6 4 2 2" xfId="43703"/>
    <cellStyle name="常规 6 3 4 6 4 3" xfId="43704"/>
    <cellStyle name="常规 6 3 4 6 4 4" xfId="43705"/>
    <cellStyle name="常规 6 3 4 6 5" xfId="7403"/>
    <cellStyle name="常规 6 3 4 6 5 2" xfId="43706"/>
    <cellStyle name="常规 6 3 4 6 6" xfId="43707"/>
    <cellStyle name="常规 6 3 4 6 7" xfId="3016"/>
    <cellStyle name="常规 6 3 4 7" xfId="43708"/>
    <cellStyle name="常规 6 3 4 7 2" xfId="43709"/>
    <cellStyle name="常规 6 3 4 7 2 2" xfId="43710"/>
    <cellStyle name="常规 6 3 4 7 2 2 2" xfId="43711"/>
    <cellStyle name="常规 6 3 4 7 2 2 2 2" xfId="43712"/>
    <cellStyle name="常规 6 3 4 7 2 2 3" xfId="22539"/>
    <cellStyle name="常规 6 3 4 7 2 2 4" xfId="43713"/>
    <cellStyle name="常规 6 3 4 7 2 3" xfId="43714"/>
    <cellStyle name="常规 6 3 4 7 2 3 2" xfId="43715"/>
    <cellStyle name="常规 6 3 4 7 2 4" xfId="5019"/>
    <cellStyle name="常规 6 3 4 7 2 5" xfId="43716"/>
    <cellStyle name="常规 6 3 4 7 3" xfId="43717"/>
    <cellStyle name="常规 6 3 4 7 3 2" xfId="43718"/>
    <cellStyle name="常规 6 3 4 7 3 2 2" xfId="43719"/>
    <cellStyle name="常规 6 3 4 7 3 3" xfId="43720"/>
    <cellStyle name="常规 6 3 4 7 3 4" xfId="43721"/>
    <cellStyle name="常规 6 3 4 7 4" xfId="43722"/>
    <cellStyle name="常规 6 3 4 7 4 2" xfId="43723"/>
    <cellStyle name="常规 6 3 4 7 5" xfId="43724"/>
    <cellStyle name="常规 6 3 4 7 6" xfId="43725"/>
    <cellStyle name="常规 6 3 4 8" xfId="43726"/>
    <cellStyle name="常规 6 3 4 8 2" xfId="43727"/>
    <cellStyle name="常规 6 3 4 8 2 2" xfId="43728"/>
    <cellStyle name="常规 6 3 4 8 2 2 2" xfId="43729"/>
    <cellStyle name="常规 6 3 4 8 2 3" xfId="43730"/>
    <cellStyle name="常规 6 3 4 8 2 4" xfId="43731"/>
    <cellStyle name="常规 6 3 4 8 3" xfId="43732"/>
    <cellStyle name="常规 6 3 4 8 3 2" xfId="43733"/>
    <cellStyle name="常规 6 3 4 8 4" xfId="43734"/>
    <cellStyle name="常规 6 3 4 8 5" xfId="43735"/>
    <cellStyle name="常规 6 3 4 9" xfId="43736"/>
    <cellStyle name="常规 6 3 4 9 2" xfId="43737"/>
    <cellStyle name="常规 6 3 4 9 2 2" xfId="43738"/>
    <cellStyle name="常规 6 3 4 9 3" xfId="43739"/>
    <cellStyle name="常规 6 3 4 9 4" xfId="43740"/>
    <cellStyle name="常规 6 3 5" xfId="43741"/>
    <cellStyle name="常规 6 3 5 10" xfId="43742"/>
    <cellStyle name="常规 6 3 5 11" xfId="43743"/>
    <cellStyle name="常规 6 3 5 2" xfId="42584"/>
    <cellStyle name="常规 6 3 5 2 2" xfId="42586"/>
    <cellStyle name="常规 6 3 5 2 2 2" xfId="43744"/>
    <cellStyle name="常规 6 3 5 2 2 2 2" xfId="43745"/>
    <cellStyle name="常规 6 3 5 2 2 2 2 2" xfId="43746"/>
    <cellStyle name="常规 6 3 5 2 2 2 2 2 2" xfId="43747"/>
    <cellStyle name="常规 6 3 5 2 2 2 2 2 2 2" xfId="43748"/>
    <cellStyle name="常规 6 3 5 2 2 2 2 2 2 2 2" xfId="43749"/>
    <cellStyle name="常规 6 3 5 2 2 2 2 2 2 3" xfId="43750"/>
    <cellStyle name="常规 6 3 5 2 2 2 2 2 2 4" xfId="43751"/>
    <cellStyle name="常规 6 3 5 2 2 2 2 2 3" xfId="43752"/>
    <cellStyle name="常规 6 3 5 2 2 2 2 2 3 2" xfId="43753"/>
    <cellStyle name="常规 6 3 5 2 2 2 2 2 4" xfId="39575"/>
    <cellStyle name="常规 6 3 5 2 2 2 2 2 5" xfId="43754"/>
    <cellStyle name="常规 6 3 5 2 2 2 2 3" xfId="43755"/>
    <cellStyle name="常规 6 3 5 2 2 2 2 3 2" xfId="43756"/>
    <cellStyle name="常规 6 3 5 2 2 2 2 3 2 2" xfId="43757"/>
    <cellStyle name="常规 6 3 5 2 2 2 2 3 3" xfId="43758"/>
    <cellStyle name="常规 6 3 5 2 2 2 2 3 4" xfId="43759"/>
    <cellStyle name="常规 6 3 5 2 2 2 2 4" xfId="43760"/>
    <cellStyle name="常规 6 3 5 2 2 2 2 4 2" xfId="43761"/>
    <cellStyle name="常规 6 3 5 2 2 2 2 5" xfId="43762"/>
    <cellStyle name="常规 6 3 5 2 2 2 2 6" xfId="43763"/>
    <cellStyle name="常规 6 3 5 2 2 2 3" xfId="43764"/>
    <cellStyle name="常规 6 3 5 2 2 2 3 2" xfId="43765"/>
    <cellStyle name="常规 6 3 5 2 2 2 3 2 2" xfId="43766"/>
    <cellStyle name="常规 6 3 5 2 2 2 3 2 2 2" xfId="43768"/>
    <cellStyle name="常规 6 3 5 2 2 2 3 2 3" xfId="43769"/>
    <cellStyle name="常规 6 3 5 2 2 2 3 2 4" xfId="43770"/>
    <cellStyle name="常规 6 3 5 2 2 2 3 3" xfId="43771"/>
    <cellStyle name="常规 6 3 5 2 2 2 3 3 2" xfId="12494"/>
    <cellStyle name="常规 6 3 5 2 2 2 3 4" xfId="43772"/>
    <cellStyle name="常规 6 3 5 2 2 2 3 5" xfId="43773"/>
    <cellStyle name="常规 6 3 5 2 2 2 4" xfId="43774"/>
    <cellStyle name="常规 6 3 5 2 2 2 4 2" xfId="43775"/>
    <cellStyle name="常规 6 3 5 2 2 2 4 2 2" xfId="43776"/>
    <cellStyle name="常规 6 3 5 2 2 2 4 3" xfId="43777"/>
    <cellStyle name="常规 6 3 5 2 2 2 4 4" xfId="43778"/>
    <cellStyle name="常规 6 3 5 2 2 2 5" xfId="43779"/>
    <cellStyle name="常规 6 3 5 2 2 2 5 2" xfId="43780"/>
    <cellStyle name="常规 6 3 5 2 2 2 6" xfId="43781"/>
    <cellStyle name="常规 6 3 5 2 2 2 7" xfId="43782"/>
    <cellStyle name="常规 6 3 5 2 2 3" xfId="43783"/>
    <cellStyle name="常规 6 3 5 2 2 3 2" xfId="43784"/>
    <cellStyle name="常规 6 3 5 2 2 3 2 2" xfId="43785"/>
    <cellStyle name="常规 6 3 5 2 2 3 2 2 2" xfId="8250"/>
    <cellStyle name="常规 6 3 5 2 2 3 2 2 2 2" xfId="43786"/>
    <cellStyle name="常规 6 3 5 2 2 3 2 2 3" xfId="43787"/>
    <cellStyle name="常规 6 3 5 2 2 3 2 2 4" xfId="43788"/>
    <cellStyle name="常规 6 3 5 2 2 3 2 3" xfId="43789"/>
    <cellStyle name="常规 6 3 5 2 2 3 2 3 2" xfId="43790"/>
    <cellStyle name="常规 6 3 5 2 2 3 2 4" xfId="43791"/>
    <cellStyle name="常规 6 3 5 2 2 3 2 5" xfId="43792"/>
    <cellStyle name="常规 6 3 5 2 2 3 3" xfId="43793"/>
    <cellStyle name="常规 6 3 5 2 2 3 3 2" xfId="43794"/>
    <cellStyle name="常规 6 3 5 2 2 3 3 2 2" xfId="43795"/>
    <cellStyle name="常规 6 3 5 2 2 3 3 3" xfId="43796"/>
    <cellStyle name="常规 6 3 5 2 2 3 3 4" xfId="43797"/>
    <cellStyle name="常规 6 3 5 2 2 3 4" xfId="43798"/>
    <cellStyle name="常规 6 3 5 2 2 3 4 2" xfId="43799"/>
    <cellStyle name="常规 6 3 5 2 2 3 5" xfId="43800"/>
    <cellStyle name="常规 6 3 5 2 2 3 6" xfId="43801"/>
    <cellStyle name="常规 6 3 5 2 2 4" xfId="43802"/>
    <cellStyle name="常规 6 3 5 2 2 4 2" xfId="43803"/>
    <cellStyle name="常规 6 3 5 2 2 4 2 2" xfId="43804"/>
    <cellStyle name="常规 6 3 5 2 2 4 2 2 2" xfId="43805"/>
    <cellStyle name="常规 6 3 5 2 2 4 2 3" xfId="43806"/>
    <cellStyle name="常规 6 3 5 2 2 4 2 4" xfId="43807"/>
    <cellStyle name="常规 6 3 5 2 2 4 3" xfId="43808"/>
    <cellStyle name="常规 6 3 5 2 2 4 3 2" xfId="15380"/>
    <cellStyle name="常规 6 3 5 2 2 4 4" xfId="43809"/>
    <cellStyle name="常规 6 3 5 2 2 4 5" xfId="43810"/>
    <cellStyle name="常规 6 3 5 2 2 5" xfId="43811"/>
    <cellStyle name="常规 6 3 5 2 2 5 2" xfId="43812"/>
    <cellStyle name="常规 6 3 5 2 2 5 2 2" xfId="43813"/>
    <cellStyle name="常规 6 3 5 2 2 5 3" xfId="43814"/>
    <cellStyle name="常规 6 3 5 2 2 5 4" xfId="43815"/>
    <cellStyle name="常规 6 3 5 2 2 6" xfId="43816"/>
    <cellStyle name="常规 6 3 5 2 2 6 2" xfId="43817"/>
    <cellStyle name="常规 6 3 5 2 2 7" xfId="43818"/>
    <cellStyle name="常规 6 3 5 2 2 8" xfId="43819"/>
    <cellStyle name="常规 6 3 5 2 3" xfId="43820"/>
    <cellStyle name="常规 6 3 5 2 3 2" xfId="43821"/>
    <cellStyle name="常规 6 3 5 2 3 2 2" xfId="43822"/>
    <cellStyle name="常规 6 3 5 2 3 2 2 2" xfId="43823"/>
    <cellStyle name="常规 6 3 5 2 3 2 2 2 2" xfId="43824"/>
    <cellStyle name="常规 6 3 5 2 3 2 2 2 2 2" xfId="43825"/>
    <cellStyle name="常规 6 3 5 2 3 2 2 2 3" xfId="43826"/>
    <cellStyle name="常规 6 3 5 2 3 2 2 2 4" xfId="39726"/>
    <cellStyle name="常规 6 3 5 2 3 2 2 3" xfId="43827"/>
    <cellStyle name="常规 6 3 5 2 3 2 2 3 2" xfId="43828"/>
    <cellStyle name="常规 6 3 5 2 3 2 2 4" xfId="43829"/>
    <cellStyle name="常规 6 3 5 2 3 2 2 5" xfId="43830"/>
    <cellStyle name="常规 6 3 5 2 3 2 3" xfId="43831"/>
    <cellStyle name="常规 6 3 5 2 3 2 3 2" xfId="43832"/>
    <cellStyle name="常规 6 3 5 2 3 2 3 2 2" xfId="43833"/>
    <cellStyle name="常规 6 3 5 2 3 2 3 3" xfId="43834"/>
    <cellStyle name="常规 6 3 5 2 3 2 3 4" xfId="43835"/>
    <cellStyle name="常规 6 3 5 2 3 2 4" xfId="43836"/>
    <cellStyle name="常规 6 3 5 2 3 2 4 2" xfId="43837"/>
    <cellStyle name="常规 6 3 5 2 3 2 5" xfId="43838"/>
    <cellStyle name="常规 6 3 5 2 3 2 6" xfId="43839"/>
    <cellStyle name="常规 6 3 5 2 3 3" xfId="43840"/>
    <cellStyle name="常规 6 3 5 2 3 3 2" xfId="43841"/>
    <cellStyle name="常规 6 3 5 2 3 3 2 2" xfId="43842"/>
    <cellStyle name="常规 6 3 5 2 3 3 2 2 2" xfId="43843"/>
    <cellStyle name="常规 6 3 5 2 3 3 2 3" xfId="43844"/>
    <cellStyle name="常规 6 3 5 2 3 3 2 4" xfId="43845"/>
    <cellStyle name="常规 6 3 5 2 3 3 3" xfId="43846"/>
    <cellStyle name="常规 6 3 5 2 3 3 3 2" xfId="43847"/>
    <cellStyle name="常规 6 3 5 2 3 3 4" xfId="43848"/>
    <cellStyle name="常规 6 3 5 2 3 3 5" xfId="43849"/>
    <cellStyle name="常规 6 3 5 2 3 4" xfId="43850"/>
    <cellStyle name="常规 6 3 5 2 3 4 2" xfId="43851"/>
    <cellStyle name="常规 6 3 5 2 3 4 2 2" xfId="43852"/>
    <cellStyle name="常规 6 3 5 2 3 4 3" xfId="43853"/>
    <cellStyle name="常规 6 3 5 2 3 4 4" xfId="43854"/>
    <cellStyle name="常规 6 3 5 2 3 5" xfId="17666"/>
    <cellStyle name="常规 6 3 5 2 3 5 2" xfId="43855"/>
    <cellStyle name="常规 6 3 5 2 3 6" xfId="43856"/>
    <cellStyle name="常规 6 3 5 2 3 7" xfId="43857"/>
    <cellStyle name="常规 6 3 5 2 4" xfId="43858"/>
    <cellStyle name="常规 6 3 5 2 4 2" xfId="43859"/>
    <cellStyle name="常规 6 3 5 2 4 2 2" xfId="43860"/>
    <cellStyle name="常规 6 3 5 2 4 2 2 2" xfId="43861"/>
    <cellStyle name="常规 6 3 5 2 4 2 2 2 2" xfId="43862"/>
    <cellStyle name="常规 6 3 5 2 4 2 2 3" xfId="43863"/>
    <cellStyle name="常规 6 3 5 2 4 2 2 4" xfId="43864"/>
    <cellStyle name="常规 6 3 5 2 4 2 3" xfId="43865"/>
    <cellStyle name="常规 6 3 5 2 4 2 3 2" xfId="43866"/>
    <cellStyle name="常规 6 3 5 2 4 2 4" xfId="43867"/>
    <cellStyle name="常规 6 3 5 2 4 2 5" xfId="4786"/>
    <cellStyle name="常规 6 3 5 2 4 3" xfId="43868"/>
    <cellStyle name="常规 6 3 5 2 4 3 2" xfId="43869"/>
    <cellStyle name="常规 6 3 5 2 4 3 2 2" xfId="43870"/>
    <cellStyle name="常规 6 3 5 2 4 3 3" xfId="43871"/>
    <cellStyle name="常规 6 3 5 2 4 3 4" xfId="43872"/>
    <cellStyle name="常规 6 3 5 2 4 4" xfId="43873"/>
    <cellStyle name="常规 6 3 5 2 4 4 2" xfId="43874"/>
    <cellStyle name="常规 6 3 5 2 4 5" xfId="43875"/>
    <cellStyle name="常规 6 3 5 2 4 6" xfId="43876"/>
    <cellStyle name="常规 6 3 5 2 5" xfId="43877"/>
    <cellStyle name="常规 6 3 5 2 5 2" xfId="43878"/>
    <cellStyle name="常规 6 3 5 2 5 2 2" xfId="43879"/>
    <cellStyle name="常规 6 3 5 2 5 2 2 2" xfId="43880"/>
    <cellStyle name="常规 6 3 5 2 5 2 3" xfId="43881"/>
    <cellStyle name="常规 6 3 5 2 5 2 4" xfId="43882"/>
    <cellStyle name="常规 6 3 5 2 5 3" xfId="43883"/>
    <cellStyle name="常规 6 3 5 2 5 3 2" xfId="43884"/>
    <cellStyle name="常规 6 3 5 2 5 4" xfId="43885"/>
    <cellStyle name="常规 6 3 5 2 5 5" xfId="43886"/>
    <cellStyle name="常规 6 3 5 2 6" xfId="43887"/>
    <cellStyle name="常规 6 3 5 2 6 2" xfId="43888"/>
    <cellStyle name="常规 6 3 5 2 6 2 2" xfId="43889"/>
    <cellStyle name="常规 6 3 5 2 6 3" xfId="43890"/>
    <cellStyle name="常规 6 3 5 2 6 4" xfId="43891"/>
    <cellStyle name="常规 6 3 5 2 7" xfId="43892"/>
    <cellStyle name="常规 6 3 5 2 7 2" xfId="43893"/>
    <cellStyle name="常规 6 3 5 2 8" xfId="43894"/>
    <cellStyle name="常规 6 3 5 2 9" xfId="43895"/>
    <cellStyle name="常规 6 3 5 3" xfId="42588"/>
    <cellStyle name="常规 6 3 5 3 2" xfId="43896"/>
    <cellStyle name="常规 6 3 5 3 2 2" xfId="43897"/>
    <cellStyle name="常规 6 3 5 3 2 2 2" xfId="43898"/>
    <cellStyle name="常规 6 3 5 3 2 2 2 2" xfId="43899"/>
    <cellStyle name="常规 6 3 5 3 2 2 2 2 2" xfId="43900"/>
    <cellStyle name="常规 6 3 5 3 2 2 2 2 2 2" xfId="43901"/>
    <cellStyle name="常规 6 3 5 3 2 2 2 2 2 2 2" xfId="43902"/>
    <cellStyle name="常规 6 3 5 3 2 2 2 2 2 3" xfId="43903"/>
    <cellStyle name="常规 6 3 5 3 2 2 2 2 2 4" xfId="43904"/>
    <cellStyle name="常规 6 3 5 3 2 2 2 2 3" xfId="38626"/>
    <cellStyle name="常规 6 3 5 3 2 2 2 2 3 2" xfId="43905"/>
    <cellStyle name="常规 6 3 5 3 2 2 2 2 4" xfId="43906"/>
    <cellStyle name="常规 6 3 5 3 2 2 2 2 5" xfId="43907"/>
    <cellStyle name="常规 6 3 5 3 2 2 2 3" xfId="43908"/>
    <cellStyle name="常规 6 3 5 3 2 2 2 3 2" xfId="43909"/>
    <cellStyle name="常规 6 3 5 3 2 2 2 3 2 2" xfId="43910"/>
    <cellStyle name="常规 6 3 5 3 2 2 2 3 3" xfId="43911"/>
    <cellStyle name="常规 6 3 5 3 2 2 2 3 4" xfId="43912"/>
    <cellStyle name="常规 6 3 5 3 2 2 2 4" xfId="43913"/>
    <cellStyle name="常规 6 3 5 3 2 2 2 4 2" xfId="43914"/>
    <cellStyle name="常规 6 3 5 3 2 2 2 5" xfId="43915"/>
    <cellStyle name="常规 6 3 5 3 2 2 2 6" xfId="43916"/>
    <cellStyle name="常规 6 3 5 3 2 2 3" xfId="43917"/>
    <cellStyle name="常规 6 3 5 3 2 2 3 2" xfId="43918"/>
    <cellStyle name="常规 6 3 5 3 2 2 3 2 2" xfId="43919"/>
    <cellStyle name="常规 6 3 5 3 2 2 3 2 2 2" xfId="43920"/>
    <cellStyle name="常规 6 3 5 3 2 2 3 2 3" xfId="35694"/>
    <cellStyle name="常规 6 3 5 3 2 2 3 2 4" xfId="43921"/>
    <cellStyle name="常规 6 3 5 3 2 2 3 3" xfId="43922"/>
    <cellStyle name="常规 6 3 5 3 2 2 3 3 2" xfId="43923"/>
    <cellStyle name="常规 6 3 5 3 2 2 3 4" xfId="43924"/>
    <cellStyle name="常规 6 3 5 3 2 2 3 5" xfId="43925"/>
    <cellStyle name="常规 6 3 5 3 2 2 4" xfId="43926"/>
    <cellStyle name="常规 6 3 5 3 2 2 4 2" xfId="43927"/>
    <cellStyle name="常规 6 3 5 3 2 2 4 2 2" xfId="43928"/>
    <cellStyle name="常规 6 3 5 3 2 2 4 3" xfId="43929"/>
    <cellStyle name="常规 6 3 5 3 2 2 4 4" xfId="43930"/>
    <cellStyle name="常规 6 3 5 3 2 2 5" xfId="43931"/>
    <cellStyle name="常规 6 3 5 3 2 2 5 2" xfId="43932"/>
    <cellStyle name="常规 6 3 5 3 2 2 6" xfId="43933"/>
    <cellStyle name="常规 6 3 5 3 2 2 7" xfId="43934"/>
    <cellStyle name="常规 6 3 5 3 2 3" xfId="43935"/>
    <cellStyle name="常规 6 3 5 3 2 3 2" xfId="43936"/>
    <cellStyle name="常规 6 3 5 3 2 3 2 2" xfId="43937"/>
    <cellStyle name="常规 6 3 5 3 2 3 2 2 2" xfId="8474"/>
    <cellStyle name="常规 6 3 5 3 2 3 2 2 2 2" xfId="43938"/>
    <cellStyle name="常规 6 3 5 3 2 3 2 2 3" xfId="43939"/>
    <cellStyle name="常规 6 3 5 3 2 3 2 2 4" xfId="43940"/>
    <cellStyle name="常规 6 3 5 3 2 3 2 3" xfId="43941"/>
    <cellStyle name="常规 6 3 5 3 2 3 2 3 2" xfId="43942"/>
    <cellStyle name="常规 6 3 5 3 2 3 2 4" xfId="43943"/>
    <cellStyle name="常规 6 3 5 3 2 3 2 5" xfId="43944"/>
    <cellStyle name="常规 6 3 5 3 2 3 3" xfId="43945"/>
    <cellStyle name="常规 6 3 5 3 2 3 3 2" xfId="43946"/>
    <cellStyle name="常规 6 3 5 3 2 3 3 2 2" xfId="43947"/>
    <cellStyle name="常规 6 3 5 3 2 3 3 3" xfId="43948"/>
    <cellStyle name="常规 6 3 5 3 2 3 3 4" xfId="43949"/>
    <cellStyle name="常规 6 3 5 3 2 3 4" xfId="43950"/>
    <cellStyle name="常规 6 3 5 3 2 3 4 2" xfId="43951"/>
    <cellStyle name="常规 6 3 5 3 2 3 5" xfId="43952"/>
    <cellStyle name="常规 6 3 5 3 2 3 6" xfId="43953"/>
    <cellStyle name="常规 6 3 5 3 2 4" xfId="43954"/>
    <cellStyle name="常规 6 3 5 3 2 4 2" xfId="43955"/>
    <cellStyle name="常规 6 3 5 3 2 4 2 2" xfId="43956"/>
    <cellStyle name="常规 6 3 5 3 2 4 2 2 2" xfId="43957"/>
    <cellStyle name="常规 6 3 5 3 2 4 2 3" xfId="43958"/>
    <cellStyle name="常规 6 3 5 3 2 4 2 4" xfId="43959"/>
    <cellStyle name="常规 6 3 5 3 2 4 3" xfId="43960"/>
    <cellStyle name="常规 6 3 5 3 2 4 3 2" xfId="43961"/>
    <cellStyle name="常规 6 3 5 3 2 4 4" xfId="43962"/>
    <cellStyle name="常规 6 3 5 3 2 4 5" xfId="43963"/>
    <cellStyle name="常规 6 3 5 3 2 5" xfId="43965"/>
    <cellStyle name="常规 6 3 5 3 2 5 2" xfId="43967"/>
    <cellStyle name="常规 6 3 5 3 2 5 2 2" xfId="34886"/>
    <cellStyle name="常规 6 3 5 3 2 5 3" xfId="43969"/>
    <cellStyle name="常规 6 3 5 3 2 5 4" xfId="43971"/>
    <cellStyle name="常规 6 3 5 3 2 6" xfId="43973"/>
    <cellStyle name="常规 6 3 5 3 2 6 2" xfId="43975"/>
    <cellStyle name="常规 6 3 5 3 2 7" xfId="43977"/>
    <cellStyle name="常规 6 3 5 3 2 8" xfId="43979"/>
    <cellStyle name="常规 6 3 5 3 3" xfId="43980"/>
    <cellStyle name="常规 6 3 5 3 3 2" xfId="43981"/>
    <cellStyle name="常规 6 3 5 3 3 2 2" xfId="43982"/>
    <cellStyle name="常规 6 3 5 3 3 2 2 2" xfId="43983"/>
    <cellStyle name="常规 6 3 5 3 3 2 2 2 2" xfId="43984"/>
    <cellStyle name="常规 6 3 5 3 3 2 2 2 2 2" xfId="43985"/>
    <cellStyle name="常规 6 3 5 3 3 2 2 2 3" xfId="43986"/>
    <cellStyle name="常规 6 3 5 3 3 2 2 2 4" xfId="43987"/>
    <cellStyle name="常规 6 3 5 3 3 2 2 3" xfId="43988"/>
    <cellStyle name="常规 6 3 5 3 3 2 2 3 2" xfId="43989"/>
    <cellStyle name="常规 6 3 5 3 3 2 2 4" xfId="43990"/>
    <cellStyle name="常规 6 3 5 3 3 2 2 5" xfId="43991"/>
    <cellStyle name="常规 6 3 5 3 3 2 3" xfId="43992"/>
    <cellStyle name="常规 6 3 5 3 3 2 3 2" xfId="43993"/>
    <cellStyle name="常规 6 3 5 3 3 2 3 2 2" xfId="43994"/>
    <cellStyle name="常规 6 3 5 3 3 2 3 3" xfId="43995"/>
    <cellStyle name="常规 6 3 5 3 3 2 3 4" xfId="43996"/>
    <cellStyle name="常规 6 3 5 3 3 2 4" xfId="43997"/>
    <cellStyle name="常规 6 3 5 3 3 2 4 2" xfId="43998"/>
    <cellStyle name="常规 6 3 5 3 3 2 5" xfId="43999"/>
    <cellStyle name="常规 6 3 5 3 3 2 6" xfId="44000"/>
    <cellStyle name="常规 6 3 5 3 3 3" xfId="44001"/>
    <cellStyle name="常规 6 3 5 3 3 3 2" xfId="44002"/>
    <cellStyle name="常规 6 3 5 3 3 3 2 2" xfId="44003"/>
    <cellStyle name="常规 6 3 5 3 3 3 2 2 2" xfId="44004"/>
    <cellStyle name="常规 6 3 5 3 3 3 2 3" xfId="44005"/>
    <cellStyle name="常规 6 3 5 3 3 3 2 4" xfId="44006"/>
    <cellStyle name="常规 6 3 5 3 3 3 3" xfId="44007"/>
    <cellStyle name="常规 6 3 5 3 3 3 3 2" xfId="44008"/>
    <cellStyle name="常规 6 3 5 3 3 3 4" xfId="44009"/>
    <cellStyle name="常规 6 3 5 3 3 3 5" xfId="44010"/>
    <cellStyle name="常规 6 3 5 3 3 4" xfId="44011"/>
    <cellStyle name="常规 6 3 5 3 3 4 2" xfId="44012"/>
    <cellStyle name="常规 6 3 5 3 3 4 2 2" xfId="44013"/>
    <cellStyle name="常规 6 3 5 3 3 4 3" xfId="44014"/>
    <cellStyle name="常规 6 3 5 3 3 4 4" xfId="44015"/>
    <cellStyle name="常规 6 3 5 3 3 5" xfId="44017"/>
    <cellStyle name="常规 6 3 5 3 3 5 2" xfId="44019"/>
    <cellStyle name="常规 6 3 5 3 3 6" xfId="44021"/>
    <cellStyle name="常规 6 3 5 3 3 7" xfId="44023"/>
    <cellStyle name="常规 6 3 5 3 4" xfId="44024"/>
    <cellStyle name="常规 6 3 5 3 4 2" xfId="44025"/>
    <cellStyle name="常规 6 3 5 3 4 2 2" xfId="44026"/>
    <cellStyle name="常规 6 3 5 3 4 2 2 2" xfId="44027"/>
    <cellStyle name="常规 6 3 5 3 4 2 2 2 2" xfId="44028"/>
    <cellStyle name="常规 6 3 5 3 4 2 2 3" xfId="44029"/>
    <cellStyle name="常规 6 3 5 3 4 2 2 4" xfId="44030"/>
    <cellStyle name="常规 6 3 5 3 4 2 3" xfId="44031"/>
    <cellStyle name="常规 6 3 5 3 4 2 3 2" xfId="44032"/>
    <cellStyle name="常规 6 3 5 3 4 2 4" xfId="44033"/>
    <cellStyle name="常规 6 3 5 3 4 2 5" xfId="4967"/>
    <cellStyle name="常规 6 3 5 3 4 3" xfId="44034"/>
    <cellStyle name="常规 6 3 5 3 4 3 2" xfId="44035"/>
    <cellStyle name="常规 6 3 5 3 4 3 2 2" xfId="44036"/>
    <cellStyle name="常规 6 3 5 3 4 3 3" xfId="44037"/>
    <cellStyle name="常规 6 3 5 3 4 3 4" xfId="44038"/>
    <cellStyle name="常规 6 3 5 3 4 4" xfId="44039"/>
    <cellStyle name="常规 6 3 5 3 4 4 2" xfId="44040"/>
    <cellStyle name="常规 6 3 5 3 4 5" xfId="44042"/>
    <cellStyle name="常规 6 3 5 3 4 6" xfId="44044"/>
    <cellStyle name="常规 6 3 5 3 5" xfId="44045"/>
    <cellStyle name="常规 6 3 5 3 5 2" xfId="44046"/>
    <cellStyle name="常规 6 3 5 3 5 2 2" xfId="44047"/>
    <cellStyle name="常规 6 3 5 3 5 2 2 2" xfId="44048"/>
    <cellStyle name="常规 6 3 5 3 5 2 3" xfId="44049"/>
    <cellStyle name="常规 6 3 5 3 5 2 4" xfId="44050"/>
    <cellStyle name="常规 6 3 5 3 5 3" xfId="44051"/>
    <cellStyle name="常规 6 3 5 3 5 3 2" xfId="44052"/>
    <cellStyle name="常规 6 3 5 3 5 4" xfId="44053"/>
    <cellStyle name="常规 6 3 5 3 5 5" xfId="44055"/>
    <cellStyle name="常规 6 3 5 3 6" xfId="44056"/>
    <cellStyle name="常规 6 3 5 3 6 2" xfId="44057"/>
    <cellStyle name="常规 6 3 5 3 6 2 2" xfId="44058"/>
    <cellStyle name="常规 6 3 5 3 6 3" xfId="44059"/>
    <cellStyle name="常规 6 3 5 3 6 4" xfId="44060"/>
    <cellStyle name="常规 6 3 5 3 7" xfId="44061"/>
    <cellStyle name="常规 6 3 5 3 7 2" xfId="44062"/>
    <cellStyle name="常规 6 3 5 3 8" xfId="44063"/>
    <cellStyle name="常规 6 3 5 3 9" xfId="44064"/>
    <cellStyle name="常规 6 3 5 4" xfId="42590"/>
    <cellStyle name="常规 6 3 5 4 2" xfId="44065"/>
    <cellStyle name="常规 6 3 5 4 2 2" xfId="44066"/>
    <cellStyle name="常规 6 3 5 4 2 2 2" xfId="44067"/>
    <cellStyle name="常规 6 3 5 4 2 2 2 2" xfId="44068"/>
    <cellStyle name="常规 6 3 5 4 2 2 2 2 2" xfId="44069"/>
    <cellStyle name="常规 6 3 5 4 2 2 2 2 2 2" xfId="44070"/>
    <cellStyle name="常规 6 3 5 4 2 2 2 2 3" xfId="44071"/>
    <cellStyle name="常规 6 3 5 4 2 2 2 2 4" xfId="44072"/>
    <cellStyle name="常规 6 3 5 4 2 2 2 3" xfId="44073"/>
    <cellStyle name="常规 6 3 5 4 2 2 2 3 2" xfId="44074"/>
    <cellStyle name="常规 6 3 5 4 2 2 2 4" xfId="44075"/>
    <cellStyle name="常规 6 3 5 4 2 2 2 5" xfId="44076"/>
    <cellStyle name="常规 6 3 5 4 2 2 3" xfId="44077"/>
    <cellStyle name="常规 6 3 5 4 2 2 3 2" xfId="44078"/>
    <cellStyle name="常规 6 3 5 4 2 2 3 2 2" xfId="44079"/>
    <cellStyle name="常规 6 3 5 4 2 2 3 3" xfId="44080"/>
    <cellStyle name="常规 6 3 5 4 2 2 3 4" xfId="44081"/>
    <cellStyle name="常规 6 3 5 4 2 2 4" xfId="44082"/>
    <cellStyle name="常规 6 3 5 4 2 2 4 2" xfId="44083"/>
    <cellStyle name="常规 6 3 5 4 2 2 5" xfId="44084"/>
    <cellStyle name="常规 6 3 5 4 2 2 6" xfId="44085"/>
    <cellStyle name="常规 6 3 5 4 2 3" xfId="44086"/>
    <cellStyle name="常规 6 3 5 4 2 3 2" xfId="44087"/>
    <cellStyle name="常规 6 3 5 4 2 3 2 2" xfId="44088"/>
    <cellStyle name="常规 6 3 5 4 2 3 2 2 2" xfId="44089"/>
    <cellStyle name="常规 6 3 5 4 2 3 2 3" xfId="44090"/>
    <cellStyle name="常规 6 3 5 4 2 3 2 4" xfId="44091"/>
    <cellStyle name="常规 6 3 5 4 2 3 3" xfId="44092"/>
    <cellStyle name="常规 6 3 5 4 2 3 3 2" xfId="44093"/>
    <cellStyle name="常规 6 3 5 4 2 3 4" xfId="44094"/>
    <cellStyle name="常规 6 3 5 4 2 3 5" xfId="44095"/>
    <cellStyle name="常规 6 3 5 4 2 4" xfId="44096"/>
    <cellStyle name="常规 6 3 5 4 2 4 2" xfId="44097"/>
    <cellStyle name="常规 6 3 5 4 2 4 2 2" xfId="44098"/>
    <cellStyle name="常规 6 3 5 4 2 4 3" xfId="44099"/>
    <cellStyle name="常规 6 3 5 4 2 4 4" xfId="21171"/>
    <cellStyle name="常规 6 3 5 4 2 5" xfId="44101"/>
    <cellStyle name="常规 6 3 5 4 2 5 2" xfId="31419"/>
    <cellStyle name="常规 6 3 5 4 2 6" xfId="44103"/>
    <cellStyle name="常规 6 3 5 4 2 7" xfId="44105"/>
    <cellStyle name="常规 6 3 5 4 3" xfId="44106"/>
    <cellStyle name="常规 6 3 5 4 3 2" xfId="44107"/>
    <cellStyle name="常规 6 3 5 4 3 2 2" xfId="44108"/>
    <cellStyle name="常规 6 3 5 4 3 2 2 2" xfId="44109"/>
    <cellStyle name="常规 6 3 5 4 3 2 2 2 2" xfId="44110"/>
    <cellStyle name="常规 6 3 5 4 3 2 2 3" xfId="44111"/>
    <cellStyle name="常规 6 3 5 4 3 2 2 4" xfId="44112"/>
    <cellStyle name="常规 6 3 5 4 3 2 3" xfId="44113"/>
    <cellStyle name="常规 6 3 5 4 3 2 3 2" xfId="44114"/>
    <cellStyle name="常规 6 3 5 4 3 2 4" xfId="44115"/>
    <cellStyle name="常规 6 3 5 4 3 2 5" xfId="44116"/>
    <cellStyle name="常规 6 3 5 4 3 3" xfId="44117"/>
    <cellStyle name="常规 6 3 5 4 3 3 2" xfId="44118"/>
    <cellStyle name="常规 6 3 5 4 3 3 2 2" xfId="44119"/>
    <cellStyle name="常规 6 3 5 4 3 3 3" xfId="44120"/>
    <cellStyle name="常规 6 3 5 4 3 3 4" xfId="44121"/>
    <cellStyle name="常规 6 3 5 4 3 4" xfId="44122"/>
    <cellStyle name="常规 6 3 5 4 3 4 2" xfId="44123"/>
    <cellStyle name="常规 6 3 5 4 3 5" xfId="44125"/>
    <cellStyle name="常规 6 3 5 4 3 6" xfId="44127"/>
    <cellStyle name="常规 6 3 5 4 4" xfId="44128"/>
    <cellStyle name="常规 6 3 5 4 4 2" xfId="44130"/>
    <cellStyle name="常规 6 3 5 4 4 2 2" xfId="44131"/>
    <cellStyle name="常规 6 3 5 4 4 2 2 2" xfId="44132"/>
    <cellStyle name="常规 6 3 5 4 4 2 3" xfId="44133"/>
    <cellStyle name="常规 6 3 5 4 4 2 4" xfId="44134"/>
    <cellStyle name="常规 6 3 5 4 4 3" xfId="44136"/>
    <cellStyle name="常规 6 3 5 4 4 3 2" xfId="44137"/>
    <cellStyle name="常规 6 3 5 4 4 4" xfId="44138"/>
    <cellStyle name="常规 6 3 5 4 4 5" xfId="44140"/>
    <cellStyle name="常规 6 3 5 4 5" xfId="44141"/>
    <cellStyle name="常规 6 3 5 4 5 2" xfId="44142"/>
    <cellStyle name="常规 6 3 5 4 5 2 2" xfId="44143"/>
    <cellStyle name="常规 6 3 5 4 5 3" xfId="44144"/>
    <cellStyle name="常规 6 3 5 4 5 4" xfId="44145"/>
    <cellStyle name="常规 6 3 5 4 6" xfId="44146"/>
    <cellStyle name="常规 6 3 5 4 6 2" xfId="44147"/>
    <cellStyle name="常规 6 3 5 4 7" xfId="44148"/>
    <cellStyle name="常规 6 3 5 4 8" xfId="44149"/>
    <cellStyle name="常规 6 3 5 5" xfId="44150"/>
    <cellStyle name="常规 6 3 5 5 2" xfId="44151"/>
    <cellStyle name="常规 6 3 5 5 2 2" xfId="44152"/>
    <cellStyle name="常规 6 3 5 5 2 2 2" xfId="44153"/>
    <cellStyle name="常规 6 3 5 5 2 2 2 2" xfId="44154"/>
    <cellStyle name="常规 6 3 5 5 2 2 2 2 2" xfId="44155"/>
    <cellStyle name="常规 6 3 5 5 2 2 2 3" xfId="44156"/>
    <cellStyle name="常规 6 3 5 5 2 2 2 4" xfId="44157"/>
    <cellStyle name="常规 6 3 5 5 2 2 3" xfId="44158"/>
    <cellStyle name="常规 6 3 5 5 2 2 3 2" xfId="44159"/>
    <cellStyle name="常规 6 3 5 5 2 2 4" xfId="44160"/>
    <cellStyle name="常规 6 3 5 5 2 2 5" xfId="44161"/>
    <cellStyle name="常规 6 3 5 5 2 3" xfId="44162"/>
    <cellStyle name="常规 6 3 5 5 2 3 2" xfId="44163"/>
    <cellStyle name="常规 6 3 5 5 2 3 2 2" xfId="44164"/>
    <cellStyle name="常规 6 3 5 5 2 3 3" xfId="44165"/>
    <cellStyle name="常规 6 3 5 5 2 3 4" xfId="44166"/>
    <cellStyle name="常规 6 3 5 5 2 4" xfId="44167"/>
    <cellStyle name="常规 6 3 5 5 2 4 2" xfId="44168"/>
    <cellStyle name="常规 6 3 5 5 2 5" xfId="44170"/>
    <cellStyle name="常规 6 3 5 5 2 6" xfId="44172"/>
    <cellStyle name="常规 6 3 5 5 3" xfId="44173"/>
    <cellStyle name="常规 6 3 5 5 3 2" xfId="44174"/>
    <cellStyle name="常规 6 3 5 5 3 2 2" xfId="44175"/>
    <cellStyle name="常规 6 3 5 5 3 2 2 2" xfId="44176"/>
    <cellStyle name="常规 6 3 5 5 3 2 3" xfId="44177"/>
    <cellStyle name="常规 6 3 5 5 3 2 4" xfId="44178"/>
    <cellStyle name="常规 6 3 5 5 3 3" xfId="44179"/>
    <cellStyle name="常规 6 3 5 5 3 3 2" xfId="44180"/>
    <cellStyle name="常规 6 3 5 5 3 4" xfId="44181"/>
    <cellStyle name="常规 6 3 5 5 3 5" xfId="44183"/>
    <cellStyle name="常规 6 3 5 5 4" xfId="44184"/>
    <cellStyle name="常规 6 3 5 5 4 2" xfId="44185"/>
    <cellStyle name="常规 6 3 5 5 4 2 2" xfId="44186"/>
    <cellStyle name="常规 6 3 5 5 4 3" xfId="44187"/>
    <cellStyle name="常规 6 3 5 5 4 4" xfId="44188"/>
    <cellStyle name="常规 6 3 5 5 5" xfId="9414"/>
    <cellStyle name="常规 6 3 5 5 5 2" xfId="44189"/>
    <cellStyle name="常规 6 3 5 5 6" xfId="44190"/>
    <cellStyle name="常规 6 3 5 5 7" xfId="44191"/>
    <cellStyle name="常规 6 3 5 6" xfId="44193"/>
    <cellStyle name="常规 6 3 5 6 2" xfId="44194"/>
    <cellStyle name="常规 6 3 5 6 2 2" xfId="44195"/>
    <cellStyle name="常规 6 3 5 6 2 2 2" xfId="44196"/>
    <cellStyle name="常规 6 3 5 6 2 2 2 2" xfId="44197"/>
    <cellStyle name="常规 6 3 5 6 2 2 3" xfId="44198"/>
    <cellStyle name="常规 6 3 5 6 2 2 4" xfId="44199"/>
    <cellStyle name="常规 6 3 5 6 2 3" xfId="44200"/>
    <cellStyle name="常规 6 3 5 6 2 3 2" xfId="44201"/>
    <cellStyle name="常规 6 3 5 6 2 4" xfId="5171"/>
    <cellStyle name="常规 6 3 5 6 2 5" xfId="44203"/>
    <cellStyle name="常规 6 3 5 6 3" xfId="44204"/>
    <cellStyle name="常规 6 3 5 6 3 2" xfId="44205"/>
    <cellStyle name="常规 6 3 5 6 3 2 2" xfId="44206"/>
    <cellStyle name="常规 6 3 5 6 3 3" xfId="44207"/>
    <cellStyle name="常规 6 3 5 6 3 4" xfId="44208"/>
    <cellStyle name="常规 6 3 5 6 4" xfId="44209"/>
    <cellStyle name="常规 6 3 5 6 4 2" xfId="44210"/>
    <cellStyle name="常规 6 3 5 6 5" xfId="44211"/>
    <cellStyle name="常规 6 3 5 6 6" xfId="44212"/>
    <cellStyle name="常规 6 3 5 7" xfId="44213"/>
    <cellStyle name="常规 6 3 5 7 2" xfId="44214"/>
    <cellStyle name="常规 6 3 5 7 2 2" xfId="44215"/>
    <cellStyle name="常规 6 3 5 7 2 2 2" xfId="44216"/>
    <cellStyle name="常规 6 3 5 7 2 3" xfId="44217"/>
    <cellStyle name="常规 6 3 5 7 2 4" xfId="44218"/>
    <cellStyle name="常规 6 3 5 7 3" xfId="44219"/>
    <cellStyle name="常规 6 3 5 7 3 2" xfId="44220"/>
    <cellStyle name="常规 6 3 5 7 4" xfId="44221"/>
    <cellStyle name="常规 6 3 5 7 5" xfId="44222"/>
    <cellStyle name="常规 6 3 5 8" xfId="44223"/>
    <cellStyle name="常规 6 3 5 8 2" xfId="44224"/>
    <cellStyle name="常规 6 3 5 8 2 2" xfId="44225"/>
    <cellStyle name="常规 6 3 5 8 3" xfId="44226"/>
    <cellStyle name="常规 6 3 5 8 4" xfId="44227"/>
    <cellStyle name="常规 6 3 5 9" xfId="44228"/>
    <cellStyle name="常规 6 3 5 9 2" xfId="44229"/>
    <cellStyle name="常规 6 3 6" xfId="44230"/>
    <cellStyle name="常规 6 3 6 10" xfId="44231"/>
    <cellStyle name="常规 6 3 6 2" xfId="42611"/>
    <cellStyle name="常规 6 3 6 2 2" xfId="44232"/>
    <cellStyle name="常规 6 3 6 2 2 2" xfId="10445"/>
    <cellStyle name="常规 6 3 6 2 2 2 2" xfId="44233"/>
    <cellStyle name="常规 6 3 6 2 2 2 2 2" xfId="44234"/>
    <cellStyle name="常规 6 3 6 2 2 2 2 2 2" xfId="44235"/>
    <cellStyle name="常规 6 3 6 2 2 2 2 2 2 2" xfId="44236"/>
    <cellStyle name="常规 6 3 6 2 2 2 2 2 2 2 2" xfId="44237"/>
    <cellStyle name="常规 6 3 6 2 2 2 2 2 2 3" xfId="44238"/>
    <cellStyle name="常规 6 3 6 2 2 2 2 2 2 4" xfId="44239"/>
    <cellStyle name="常规 6 3 6 2 2 2 2 2 3" xfId="42047"/>
    <cellStyle name="常规 6 3 6 2 2 2 2 2 3 2" xfId="44240"/>
    <cellStyle name="常规 6 3 6 2 2 2 2 2 4" xfId="44241"/>
    <cellStyle name="常规 6 3 6 2 2 2 2 2 5" xfId="44242"/>
    <cellStyle name="常规 6 3 6 2 2 2 2 3" xfId="44243"/>
    <cellStyle name="常规 6 3 6 2 2 2 2 3 2" xfId="44244"/>
    <cellStyle name="常规 6 3 6 2 2 2 2 3 2 2" xfId="44245"/>
    <cellStyle name="常规 6 3 6 2 2 2 2 3 3" xfId="44246"/>
    <cellStyle name="常规 6 3 6 2 2 2 2 3 4" xfId="44247"/>
    <cellStyle name="常规 6 3 6 2 2 2 2 4" xfId="44248"/>
    <cellStyle name="常规 6 3 6 2 2 2 2 4 2" xfId="44249"/>
    <cellStyle name="常规 6 3 6 2 2 2 2 5" xfId="44250"/>
    <cellStyle name="常规 6 3 6 2 2 2 2 6" xfId="44251"/>
    <cellStyle name="常规 6 3 6 2 2 2 3" xfId="44252"/>
    <cellStyle name="常规 6 3 6 2 2 2 3 2" xfId="44253"/>
    <cellStyle name="常规 6 3 6 2 2 2 3 2 2" xfId="44254"/>
    <cellStyle name="常规 6 3 6 2 2 2 3 2 2 2" xfId="44255"/>
    <cellStyle name="常规 6 3 6 2 2 2 3 2 3" xfId="44256"/>
    <cellStyle name="常规 6 3 6 2 2 2 3 2 4" xfId="44257"/>
    <cellStyle name="常规 6 3 6 2 2 2 3 3" xfId="44258"/>
    <cellStyle name="常规 6 3 6 2 2 2 3 3 2" xfId="44259"/>
    <cellStyle name="常规 6 3 6 2 2 2 3 4" xfId="44260"/>
    <cellStyle name="常规 6 3 6 2 2 2 3 5" xfId="44261"/>
    <cellStyle name="常规 6 3 6 2 2 2 4" xfId="44262"/>
    <cellStyle name="常规 6 3 6 2 2 2 4 2" xfId="44263"/>
    <cellStyle name="常规 6 3 6 2 2 2 4 2 2" xfId="44264"/>
    <cellStyle name="常规 6 3 6 2 2 2 4 3" xfId="44265"/>
    <cellStyle name="常规 6 3 6 2 2 2 4 4" xfId="44266"/>
    <cellStyle name="常规 6 3 6 2 2 2 5" xfId="44267"/>
    <cellStyle name="常规 6 3 6 2 2 2 5 2" xfId="44268"/>
    <cellStyle name="常规 6 3 6 2 2 2 6" xfId="44269"/>
    <cellStyle name="常规 6 3 6 2 2 2 7" xfId="44270"/>
    <cellStyle name="常规 6 3 6 2 2 3" xfId="10448"/>
    <cellStyle name="常规 6 3 6 2 2 3 2" xfId="44271"/>
    <cellStyle name="常规 6 3 6 2 2 3 2 2" xfId="44272"/>
    <cellStyle name="常规 6 3 6 2 2 3 2 2 2" xfId="9004"/>
    <cellStyle name="常规 6 3 6 2 2 3 2 2 2 2" xfId="44273"/>
    <cellStyle name="常规 6 3 6 2 2 3 2 2 3" xfId="44274"/>
    <cellStyle name="常规 6 3 6 2 2 3 2 2 4" xfId="44275"/>
    <cellStyle name="常规 6 3 6 2 2 3 2 3" xfId="44276"/>
    <cellStyle name="常规 6 3 6 2 2 3 2 3 2" xfId="44277"/>
    <cellStyle name="常规 6 3 6 2 2 3 2 4" xfId="44278"/>
    <cellStyle name="常规 6 3 6 2 2 3 2 5" xfId="44279"/>
    <cellStyle name="常规 6 3 6 2 2 3 3" xfId="44280"/>
    <cellStyle name="常规 6 3 6 2 2 3 3 2" xfId="44281"/>
    <cellStyle name="常规 6 3 6 2 2 3 3 2 2" xfId="44282"/>
    <cellStyle name="常规 6 3 6 2 2 3 3 3" xfId="44283"/>
    <cellStyle name="常规 6 3 6 2 2 3 3 4" xfId="44284"/>
    <cellStyle name="常规 6 3 6 2 2 3 4" xfId="44285"/>
    <cellStyle name="常规 6 3 6 2 2 3 4 2" xfId="44286"/>
    <cellStyle name="常规 6 3 6 2 2 3 5" xfId="44287"/>
    <cellStyle name="常规 6 3 6 2 2 3 6" xfId="44288"/>
    <cellStyle name="常规 6 3 6 2 2 4" xfId="44289"/>
    <cellStyle name="常规 6 3 6 2 2 4 2" xfId="44290"/>
    <cellStyle name="常规 6 3 6 2 2 4 2 2" xfId="44291"/>
    <cellStyle name="常规 6 3 6 2 2 4 2 2 2" xfId="44292"/>
    <cellStyle name="常规 6 3 6 2 2 4 2 3" xfId="44293"/>
    <cellStyle name="常规 6 3 6 2 2 4 2 4" xfId="44294"/>
    <cellStyle name="常规 6 3 6 2 2 4 3" xfId="44295"/>
    <cellStyle name="常规 6 3 6 2 2 4 3 2" xfId="44296"/>
    <cellStyle name="常规 6 3 6 2 2 4 4" xfId="44297"/>
    <cellStyle name="常规 6 3 6 2 2 4 5" xfId="44298"/>
    <cellStyle name="常规 6 3 6 2 2 5" xfId="44299"/>
    <cellStyle name="常规 6 3 6 2 2 5 2" xfId="44300"/>
    <cellStyle name="常规 6 3 6 2 2 5 2 2" xfId="44301"/>
    <cellStyle name="常规 6 3 6 2 2 5 3" xfId="44302"/>
    <cellStyle name="常规 6 3 6 2 2 5 4" xfId="44303"/>
    <cellStyle name="常规 6 3 6 2 2 6" xfId="44304"/>
    <cellStyle name="常规 6 3 6 2 2 6 2" xfId="44305"/>
    <cellStyle name="常规 6 3 6 2 2 7" xfId="44306"/>
    <cellStyle name="常规 6 3 6 2 2 8" xfId="44307"/>
    <cellStyle name="常规 6 3 6 2 3" xfId="44308"/>
    <cellStyle name="常规 6 3 6 2 3 2" xfId="44309"/>
    <cellStyle name="常规 6 3 6 2 3 2 2" xfId="44310"/>
    <cellStyle name="常规 6 3 6 2 3 2 2 2" xfId="44311"/>
    <cellStyle name="常规 6 3 6 2 3 2 2 2 2" xfId="44312"/>
    <cellStyle name="常规 6 3 6 2 3 2 2 2 2 2" xfId="44313"/>
    <cellStyle name="常规 6 3 6 2 3 2 2 2 3" xfId="44314"/>
    <cellStyle name="常规 6 3 6 2 3 2 2 2 4" xfId="44315"/>
    <cellStyle name="常规 6 3 6 2 3 2 2 3" xfId="44316"/>
    <cellStyle name="常规 6 3 6 2 3 2 2 3 2" xfId="44317"/>
    <cellStyle name="常规 6 3 6 2 3 2 2 4" xfId="44318"/>
    <cellStyle name="常规 6 3 6 2 3 2 2 5" xfId="44319"/>
    <cellStyle name="常规 6 3 6 2 3 2 3" xfId="44321"/>
    <cellStyle name="常规 6 3 6 2 3 2 3 2" xfId="44323"/>
    <cellStyle name="常规 6 3 6 2 3 2 3 2 2" xfId="44324"/>
    <cellStyle name="常规 6 3 6 2 3 2 3 3" xfId="44325"/>
    <cellStyle name="常规 6 3 6 2 3 2 3 4" xfId="44326"/>
    <cellStyle name="常规 6 3 6 2 3 2 4" xfId="44328"/>
    <cellStyle name="常规 6 3 6 2 3 2 4 2" xfId="44329"/>
    <cellStyle name="常规 6 3 6 2 3 2 5" xfId="44331"/>
    <cellStyle name="常规 6 3 6 2 3 2 6" xfId="44332"/>
    <cellStyle name="常规 6 3 6 2 3 3" xfId="44333"/>
    <cellStyle name="常规 6 3 6 2 3 3 2" xfId="44334"/>
    <cellStyle name="常规 6 3 6 2 3 3 2 2" xfId="44335"/>
    <cellStyle name="常规 6 3 6 2 3 3 2 2 2" xfId="44336"/>
    <cellStyle name="常规 6 3 6 2 3 3 2 3" xfId="44337"/>
    <cellStyle name="常规 6 3 6 2 3 3 2 4" xfId="44338"/>
    <cellStyle name="常规 6 3 6 2 3 3 3" xfId="44340"/>
    <cellStyle name="常规 6 3 6 2 3 3 3 2" xfId="44341"/>
    <cellStyle name="常规 6 3 6 2 3 3 4" xfId="44342"/>
    <cellStyle name="常规 6 3 6 2 3 3 5" xfId="44343"/>
    <cellStyle name="常规 6 3 6 2 3 4" xfId="44344"/>
    <cellStyle name="常规 6 3 6 2 3 4 2" xfId="44345"/>
    <cellStyle name="常规 6 3 6 2 3 4 2 2" xfId="44346"/>
    <cellStyle name="常规 6 3 6 2 3 4 3" xfId="44347"/>
    <cellStyle name="常规 6 3 6 2 3 4 4" xfId="44348"/>
    <cellStyle name="常规 6 3 6 2 3 5" xfId="44349"/>
    <cellStyle name="常规 6 3 6 2 3 5 2" xfId="44350"/>
    <cellStyle name="常规 6 3 6 2 3 6" xfId="44351"/>
    <cellStyle name="常规 6 3 6 2 3 7" xfId="44352"/>
    <cellStyle name="常规 6 3 6 2 4" xfId="44353"/>
    <cellStyle name="常规 6 3 6 2 4 2" xfId="44354"/>
    <cellStyle name="常规 6 3 6 2 4 2 2" xfId="44355"/>
    <cellStyle name="常规 6 3 6 2 4 2 2 2" xfId="8626"/>
    <cellStyle name="常规 6 3 6 2 4 2 2 2 2" xfId="33954"/>
    <cellStyle name="常规 6 3 6 2 4 2 2 3" xfId="28466"/>
    <cellStyle name="常规 6 3 6 2 4 2 2 4" xfId="28492"/>
    <cellStyle name="常规 6 3 6 2 4 2 3" xfId="44357"/>
    <cellStyle name="常规 6 3 6 2 4 2 3 2" xfId="3173"/>
    <cellStyle name="常规 6 3 6 2 4 2 4" xfId="44358"/>
    <cellStyle name="常规 6 3 6 2 4 2 5" xfId="44359"/>
    <cellStyle name="常规 6 3 6 2 4 3" xfId="44360"/>
    <cellStyle name="常规 6 3 6 2 4 3 2" xfId="41633"/>
    <cellStyle name="常规 6 3 6 2 4 3 2 2" xfId="34290"/>
    <cellStyle name="常规 6 3 6 2 4 3 3" xfId="41635"/>
    <cellStyle name="常规 6 3 6 2 4 3 4" xfId="41637"/>
    <cellStyle name="常规 6 3 6 2 4 4" xfId="44361"/>
    <cellStyle name="常规 6 3 6 2 4 4 2" xfId="41643"/>
    <cellStyle name="常规 6 3 6 2 4 5" xfId="44362"/>
    <cellStyle name="常规 6 3 6 2 4 6" xfId="44363"/>
    <cellStyle name="常规 6 3 6 2 5" xfId="44364"/>
    <cellStyle name="常规 6 3 6 2 5 2" xfId="44365"/>
    <cellStyle name="常规 6 3 6 2 5 2 2" xfId="44366"/>
    <cellStyle name="常规 6 3 6 2 5 2 2 2" xfId="44367"/>
    <cellStyle name="常规 6 3 6 2 5 2 3" xfId="44368"/>
    <cellStyle name="常规 6 3 6 2 5 2 4" xfId="44369"/>
    <cellStyle name="常规 6 3 6 2 5 3" xfId="44370"/>
    <cellStyle name="常规 6 3 6 2 5 3 2" xfId="41683"/>
    <cellStyle name="常规 6 3 6 2 5 4" xfId="44371"/>
    <cellStyle name="常规 6 3 6 2 5 5" xfId="44372"/>
    <cellStyle name="常规 6 3 6 2 6" xfId="44373"/>
    <cellStyle name="常规 6 3 6 2 6 2" xfId="44374"/>
    <cellStyle name="常规 6 3 6 2 6 2 2" xfId="44375"/>
    <cellStyle name="常规 6 3 6 2 6 3" xfId="44376"/>
    <cellStyle name="常规 6 3 6 2 6 4" xfId="44377"/>
    <cellStyle name="常规 6 3 6 2 7" xfId="44378"/>
    <cellStyle name="常规 6 3 6 2 7 2" xfId="44379"/>
    <cellStyle name="常规 6 3 6 2 8" xfId="44380"/>
    <cellStyle name="常规 6 3 6 2 9" xfId="44381"/>
    <cellStyle name="常规 6 3 6 3" xfId="42613"/>
    <cellStyle name="常规 6 3 6 3 2" xfId="44382"/>
    <cellStyle name="常规 6 3 6 3 2 2" xfId="44383"/>
    <cellStyle name="常规 6 3 6 3 2 2 2" xfId="44384"/>
    <cellStyle name="常规 6 3 6 3 2 2 2 2" xfId="44385"/>
    <cellStyle name="常规 6 3 6 3 2 2 2 2 2" xfId="44386"/>
    <cellStyle name="常规 6 3 6 3 2 2 2 2 2 2" xfId="44387"/>
    <cellStyle name="常规 6 3 6 3 2 2 2 2 3" xfId="44388"/>
    <cellStyle name="常规 6 3 6 3 2 2 2 2 4" xfId="44389"/>
    <cellStyle name="常规 6 3 6 3 2 2 2 3" xfId="44390"/>
    <cellStyle name="常规 6 3 6 3 2 2 2 3 2" xfId="44391"/>
    <cellStyle name="常规 6 3 6 3 2 2 2 4" xfId="44392"/>
    <cellStyle name="常规 6 3 6 3 2 2 2 5" xfId="44393"/>
    <cellStyle name="常规 6 3 6 3 2 2 3" xfId="44394"/>
    <cellStyle name="常规 6 3 6 3 2 2 3 2" xfId="44395"/>
    <cellStyle name="常规 6 3 6 3 2 2 3 2 2" xfId="44396"/>
    <cellStyle name="常规 6 3 6 3 2 2 3 3" xfId="44397"/>
    <cellStyle name="常规 6 3 6 3 2 2 3 4" xfId="44398"/>
    <cellStyle name="常规 6 3 6 3 2 2 4" xfId="44399"/>
    <cellStyle name="常规 6 3 6 3 2 2 4 2" xfId="44400"/>
    <cellStyle name="常规 6 3 6 3 2 2 5" xfId="44401"/>
    <cellStyle name="常规 6 3 6 3 2 2 6" xfId="44402"/>
    <cellStyle name="常规 6 3 6 3 2 3" xfId="44403"/>
    <cellStyle name="常规 6 3 6 3 2 3 2" xfId="44404"/>
    <cellStyle name="常规 6 3 6 3 2 3 2 2" xfId="44405"/>
    <cellStyle name="常规 6 3 6 3 2 3 2 2 2" xfId="44406"/>
    <cellStyle name="常规 6 3 6 3 2 3 2 3" xfId="44407"/>
    <cellStyle name="常规 6 3 6 3 2 3 2 4" xfId="44408"/>
    <cellStyle name="常规 6 3 6 3 2 3 3" xfId="44409"/>
    <cellStyle name="常规 6 3 6 3 2 3 3 2" xfId="44410"/>
    <cellStyle name="常规 6 3 6 3 2 3 4" xfId="44411"/>
    <cellStyle name="常规 6 3 6 3 2 3 5" xfId="44412"/>
    <cellStyle name="常规 6 3 6 3 2 4" xfId="44413"/>
    <cellStyle name="常规 6 3 6 3 2 4 2" xfId="44414"/>
    <cellStyle name="常规 6 3 6 3 2 4 2 2" xfId="44415"/>
    <cellStyle name="常规 6 3 6 3 2 4 3" xfId="44416"/>
    <cellStyle name="常规 6 3 6 3 2 4 4" xfId="44417"/>
    <cellStyle name="常规 6 3 6 3 2 5" xfId="44418"/>
    <cellStyle name="常规 6 3 6 3 2 5 2" xfId="44419"/>
    <cellStyle name="常规 6 3 6 3 2 6" xfId="44420"/>
    <cellStyle name="常规 6 3 6 3 2 7" xfId="44421"/>
    <cellStyle name="常规 6 3 6 3 3" xfId="44422"/>
    <cellStyle name="常规 6 3 6 3 3 2" xfId="44423"/>
    <cellStyle name="常规 6 3 6 3 3 2 2" xfId="44424"/>
    <cellStyle name="常规 6 3 6 3 3 2 2 2" xfId="44425"/>
    <cellStyle name="常规 6 3 6 3 3 2 2 2 2" xfId="44426"/>
    <cellStyle name="常规 6 3 6 3 3 2 2 3" xfId="44427"/>
    <cellStyle name="常规 6 3 6 3 3 2 2 4" xfId="44428"/>
    <cellStyle name="常规 6 3 6 3 3 2 3" xfId="44429"/>
    <cellStyle name="常规 6 3 6 3 3 2 3 2" xfId="44430"/>
    <cellStyle name="常规 6 3 6 3 3 2 4" xfId="44431"/>
    <cellStyle name="常规 6 3 6 3 3 2 5" xfId="44432"/>
    <cellStyle name="常规 6 3 6 3 3 3" xfId="44433"/>
    <cellStyle name="常规 6 3 6 3 3 3 2" xfId="44434"/>
    <cellStyle name="常规 6 3 6 3 3 3 2 2" xfId="44435"/>
    <cellStyle name="常规 6 3 6 3 3 3 3" xfId="44436"/>
    <cellStyle name="常规 6 3 6 3 3 3 4" xfId="44437"/>
    <cellStyle name="常规 6 3 6 3 3 4" xfId="44438"/>
    <cellStyle name="常规 6 3 6 3 3 4 2" xfId="44439"/>
    <cellStyle name="常规 6 3 6 3 3 5" xfId="44440"/>
    <cellStyle name="常规 6 3 6 3 3 6" xfId="44441"/>
    <cellStyle name="常规 6 3 6 3 4" xfId="44442"/>
    <cellStyle name="常规 6 3 6 3 4 2" xfId="44443"/>
    <cellStyle name="常规 6 3 6 3 4 2 2" xfId="44444"/>
    <cellStyle name="常规 6 3 6 3 4 2 2 2" xfId="44445"/>
    <cellStyle name="常规 6 3 6 3 4 2 3" xfId="44446"/>
    <cellStyle name="常规 6 3 6 3 4 2 4" xfId="44447"/>
    <cellStyle name="常规 6 3 6 3 4 3" xfId="44448"/>
    <cellStyle name="常规 6 3 6 3 4 3 2" xfId="41779"/>
    <cellStyle name="常规 6 3 6 3 4 4" xfId="44449"/>
    <cellStyle name="常规 6 3 6 3 4 5" xfId="44450"/>
    <cellStyle name="常规 6 3 6 3 5" xfId="44451"/>
    <cellStyle name="常规 6 3 6 3 5 2" xfId="44452"/>
    <cellStyle name="常规 6 3 6 3 5 2 2" xfId="44453"/>
    <cellStyle name="常规 6 3 6 3 5 3" xfId="44454"/>
    <cellStyle name="常规 6 3 6 3 5 4" xfId="44455"/>
    <cellStyle name="常规 6 3 6 3 6" xfId="44456"/>
    <cellStyle name="常规 6 3 6 3 6 2" xfId="44457"/>
    <cellStyle name="常规 6 3 6 3 7" xfId="44458"/>
    <cellStyle name="常规 6 3 6 3 8" xfId="44459"/>
    <cellStyle name="常规 6 3 6 4" xfId="44460"/>
    <cellStyle name="常规 6 3 6 4 2" xfId="44461"/>
    <cellStyle name="常规 6 3 6 4 2 2" xfId="44462"/>
    <cellStyle name="常规 6 3 6 4 2 2 2" xfId="3888"/>
    <cellStyle name="常规 6 3 6 4 2 2 2 2" xfId="30890"/>
    <cellStyle name="常规 6 3 6 4 2 2 2 2 2" xfId="44463"/>
    <cellStyle name="常规 6 3 6 4 2 2 2 3" xfId="44464"/>
    <cellStyle name="常规 6 3 6 4 2 2 2 4" xfId="44465"/>
    <cellStyle name="常规 6 3 6 4 2 2 3" xfId="31200"/>
    <cellStyle name="常规 6 3 6 4 2 2 3 2" xfId="44466"/>
    <cellStyle name="常规 6 3 6 4 2 2 4" xfId="27117"/>
    <cellStyle name="常规 6 3 6 4 2 2 5" xfId="44467"/>
    <cellStyle name="常规 6 3 6 4 2 3" xfId="44468"/>
    <cellStyle name="常规 6 3 6 4 2 3 2" xfId="31177"/>
    <cellStyle name="常规 6 3 6 4 2 3 2 2" xfId="44469"/>
    <cellStyle name="常规 6 3 6 4 2 3 3" xfId="31182"/>
    <cellStyle name="常规 6 3 6 4 2 3 4" xfId="44470"/>
    <cellStyle name="常规 6 3 6 4 2 4" xfId="44471"/>
    <cellStyle name="常规 6 3 6 4 2 4 2" xfId="31188"/>
    <cellStyle name="常规 6 3 6 4 2 5" xfId="44472"/>
    <cellStyle name="常规 6 3 6 4 2 6" xfId="44473"/>
    <cellStyle name="常规 6 3 6 4 3" xfId="44474"/>
    <cellStyle name="常规 6 3 6 4 3 2" xfId="44475"/>
    <cellStyle name="常规 6 3 6 4 3 2 2" xfId="44476"/>
    <cellStyle name="常规 6 3 6 4 3 2 2 2" xfId="44477"/>
    <cellStyle name="常规 6 3 6 4 3 2 3" xfId="44478"/>
    <cellStyle name="常规 6 3 6 4 3 2 4" xfId="44479"/>
    <cellStyle name="常规 6 3 6 4 3 3" xfId="44480"/>
    <cellStyle name="常规 6 3 6 4 3 3 2" xfId="44481"/>
    <cellStyle name="常规 6 3 6 4 3 4" xfId="44482"/>
    <cellStyle name="常规 6 3 6 4 3 5" xfId="44483"/>
    <cellStyle name="常规 6 3 6 4 4" xfId="44484"/>
    <cellStyle name="常规 6 3 6 4 4 2" xfId="44485"/>
    <cellStyle name="常规 6 3 6 4 4 2 2" xfId="44486"/>
    <cellStyle name="常规 6 3 6 4 4 3" xfId="44487"/>
    <cellStyle name="常规 6 3 6 4 4 4" xfId="44488"/>
    <cellStyle name="常规 6 3 6 4 5" xfId="44489"/>
    <cellStyle name="常规 6 3 6 4 5 2" xfId="44490"/>
    <cellStyle name="常规 6 3 6 4 6" xfId="44491"/>
    <cellStyle name="常规 6 3 6 4 7" xfId="44492"/>
    <cellStyle name="常规 6 3 6 5" xfId="44493"/>
    <cellStyle name="常规 6 3 6 5 2" xfId="44494"/>
    <cellStyle name="常规 6 3 6 5 2 2" xfId="44495"/>
    <cellStyle name="常规 6 3 6 5 2 2 2" xfId="44496"/>
    <cellStyle name="常规 6 3 6 5 2 2 2 2" xfId="44497"/>
    <cellStyle name="常规 6 3 6 5 2 2 3" xfId="44498"/>
    <cellStyle name="常规 6 3 6 5 2 2 4" xfId="44499"/>
    <cellStyle name="常规 6 3 6 5 2 3" xfId="44500"/>
    <cellStyle name="常规 6 3 6 5 2 3 2" xfId="44501"/>
    <cellStyle name="常规 6 3 6 5 2 4" xfId="44502"/>
    <cellStyle name="常规 6 3 6 5 2 5" xfId="44503"/>
    <cellStyle name="常规 6 3 6 5 3" xfId="44504"/>
    <cellStyle name="常规 6 3 6 5 3 2" xfId="44505"/>
    <cellStyle name="常规 6 3 6 5 3 2 2" xfId="44506"/>
    <cellStyle name="常规 6 3 6 5 3 3" xfId="44507"/>
    <cellStyle name="常规 6 3 6 5 3 4" xfId="44508"/>
    <cellStyle name="常规 6 3 6 5 4" xfId="44509"/>
    <cellStyle name="常规 6 3 6 5 4 2" xfId="44510"/>
    <cellStyle name="常规 6 3 6 5 5" xfId="44511"/>
    <cellStyle name="常规 6 3 6 5 6" xfId="44512"/>
    <cellStyle name="常规 6 3 6 6" xfId="44513"/>
    <cellStyle name="常规 6 3 6 6 2" xfId="44514"/>
    <cellStyle name="常规 6 3 6 6 2 2" xfId="44515"/>
    <cellStyle name="常规 6 3 6 6 2 2 2" xfId="44516"/>
    <cellStyle name="常规 6 3 6 6 2 3" xfId="44517"/>
    <cellStyle name="常规 6 3 6 6 2 4" xfId="44518"/>
    <cellStyle name="常规 6 3 6 6 3" xfId="44519"/>
    <cellStyle name="常规 6 3 6 6 3 2" xfId="44520"/>
    <cellStyle name="常规 6 3 6 6 4" xfId="44521"/>
    <cellStyle name="常规 6 3 6 6 5" xfId="44522"/>
    <cellStyle name="常规 6 3 6 7" xfId="44523"/>
    <cellStyle name="常规 6 3 6 7 2" xfId="44524"/>
    <cellStyle name="常规 6 3 6 7 2 2" xfId="44525"/>
    <cellStyle name="常规 6 3 6 7 3" xfId="44526"/>
    <cellStyle name="常规 6 3 6 7 4" xfId="44527"/>
    <cellStyle name="常规 6 3 6 8" xfId="44528"/>
    <cellStyle name="常规 6 3 6 8 2" xfId="28765"/>
    <cellStyle name="常规 6 3 6 9" xfId="44529"/>
    <cellStyle name="常规 6 3 7" xfId="44530"/>
    <cellStyle name="常规 6 3 7 2" xfId="42623"/>
    <cellStyle name="常规 6 3 7 2 2" xfId="44531"/>
    <cellStyle name="常规 6 3 7 2 2 2" xfId="4629"/>
    <cellStyle name="常规 6 3 7 2 2 2 2" xfId="26075"/>
    <cellStyle name="常规 6 3 7 2 2 2 2 2" xfId="44532"/>
    <cellStyle name="常规 6 3 7 2 2 2 2 2 2" xfId="44533"/>
    <cellStyle name="常规 6 3 7 2 2 2 2 3" xfId="44534"/>
    <cellStyle name="常规 6 3 7 2 2 2 2 4" xfId="44535"/>
    <cellStyle name="常规 6 3 7 2 2 2 3" xfId="44536"/>
    <cellStyle name="常规 6 3 7 2 2 2 3 2" xfId="14992"/>
    <cellStyle name="常规 6 3 7 2 2 2 4" xfId="26083"/>
    <cellStyle name="常规 6 3 7 2 2 2 5" xfId="30109"/>
    <cellStyle name="常规 6 3 7 2 2 3" xfId="17972"/>
    <cellStyle name="常规 6 3 7 2 2 3 2" xfId="44537"/>
    <cellStyle name="常规 6 3 7 2 2 3 2 2" xfId="44538"/>
    <cellStyle name="常规 6 3 7 2 2 3 3" xfId="44539"/>
    <cellStyle name="常规 6 3 7 2 2 3 4" xfId="30115"/>
    <cellStyle name="常规 6 3 7 2 2 4" xfId="17978"/>
    <cellStyle name="常规 6 3 7 2 2 4 2" xfId="44540"/>
    <cellStyle name="常规 6 3 7 2 2 5" xfId="44541"/>
    <cellStyle name="常规 6 3 7 2 2 6" xfId="44542"/>
    <cellStyle name="常规 6 3 7 2 3" xfId="44543"/>
    <cellStyle name="常规 6 3 7 2 3 2" xfId="31887"/>
    <cellStyle name="常规 6 3 7 2 3 2 2" xfId="44544"/>
    <cellStyle name="常规 6 3 7 2 3 2 2 2" xfId="44545"/>
    <cellStyle name="常规 6 3 7 2 3 2 3" xfId="44546"/>
    <cellStyle name="常规 6 3 7 2 3 2 4" xfId="26277"/>
    <cellStyle name="常规 6 3 7 2 3 3" xfId="17984"/>
    <cellStyle name="常规 6 3 7 2 3 3 2" xfId="44547"/>
    <cellStyle name="常规 6 3 7 2 3 4" xfId="44548"/>
    <cellStyle name="常规 6 3 7 2 3 5" xfId="44549"/>
    <cellStyle name="常规 6 3 7 2 4" xfId="44550"/>
    <cellStyle name="常规 6 3 7 2 4 2" xfId="44551"/>
    <cellStyle name="常规 6 3 7 2 4 2 2" xfId="44552"/>
    <cellStyle name="常规 6 3 7 2 4 3" xfId="44553"/>
    <cellStyle name="常规 6 3 7 2 4 4" xfId="44554"/>
    <cellStyle name="常规 6 3 7 2 5" xfId="44555"/>
    <cellStyle name="常规 6 3 7 2 5 2" xfId="44556"/>
    <cellStyle name="常规 6 3 7 2 6" xfId="44557"/>
    <cellStyle name="常规 6 3 7 2 7" xfId="44558"/>
    <cellStyle name="常规 6 3 7 3" xfId="44560"/>
    <cellStyle name="常规 6 3 7 3 2" xfId="44561"/>
    <cellStyle name="常规 6 3 7 3 2 2" xfId="44562"/>
    <cellStyle name="常规 6 3 7 3 2 2 2" xfId="44563"/>
    <cellStyle name="常规 6 3 7 3 2 2 2 2" xfId="44564"/>
    <cellStyle name="常规 6 3 7 3 2 2 3" xfId="44565"/>
    <cellStyle name="常规 6 3 7 3 2 2 4" xfId="27301"/>
    <cellStyle name="常规 6 3 7 3 2 3" xfId="44566"/>
    <cellStyle name="常规 6 3 7 3 2 3 2" xfId="44567"/>
    <cellStyle name="常规 6 3 7 3 2 4" xfId="44568"/>
    <cellStyle name="常规 6 3 7 3 2 5" xfId="44569"/>
    <cellStyle name="常规 6 3 7 3 3" xfId="44570"/>
    <cellStyle name="常规 6 3 7 3 3 2" xfId="44571"/>
    <cellStyle name="常规 6 3 7 3 3 2 2" xfId="44572"/>
    <cellStyle name="常规 6 3 7 3 3 3" xfId="44573"/>
    <cellStyle name="常规 6 3 7 3 3 4" xfId="44574"/>
    <cellStyle name="常规 6 3 7 3 4" xfId="44575"/>
    <cellStyle name="常规 6 3 7 3 4 2" xfId="44576"/>
    <cellStyle name="常规 6 3 7 3 5" xfId="44577"/>
    <cellStyle name="常规 6 3 7 3 6" xfId="44578"/>
    <cellStyle name="常规 6 3 7 4" xfId="44579"/>
    <cellStyle name="常规 6 3 7 4 2" xfId="44580"/>
    <cellStyle name="常规 6 3 7 4 2 2" xfId="44581"/>
    <cellStyle name="常规 6 3 7 4 2 2 2" xfId="20025"/>
    <cellStyle name="常规 6 3 7 4 2 3" xfId="44582"/>
    <cellStyle name="常规 6 3 7 4 2 4" xfId="44583"/>
    <cellStyle name="常规 6 3 7 4 3" xfId="44584"/>
    <cellStyle name="常规 6 3 7 4 3 2" xfId="44585"/>
    <cellStyle name="常规 6 3 7 4 4" xfId="44586"/>
    <cellStyle name="常规 6 3 7 4 5" xfId="44587"/>
    <cellStyle name="常规 6 3 7 5" xfId="44588"/>
    <cellStyle name="常规 6 3 7 5 2" xfId="44589"/>
    <cellStyle name="常规 6 3 7 5 2 2" xfId="44590"/>
    <cellStyle name="常规 6 3 7 5 3" xfId="44591"/>
    <cellStyle name="常规 6 3 7 5 4" xfId="44593"/>
    <cellStyle name="常规 6 3 7 6" xfId="44594"/>
    <cellStyle name="常规 6 3 7 6 2" xfId="44595"/>
    <cellStyle name="常规 6 3 7 7" xfId="44596"/>
    <cellStyle name="常规 6 3 7 8" xfId="44597"/>
    <cellStyle name="常规 6 3 8" xfId="44598"/>
    <cellStyle name="常规 6 3 8 2" xfId="44599"/>
    <cellStyle name="常规 6 3 8 2 2" xfId="44600"/>
    <cellStyle name="常规 6 3 8 2 2 2" xfId="44601"/>
    <cellStyle name="常规 6 3 8 2 2 2 2" xfId="44602"/>
    <cellStyle name="常规 6 3 8 2 2 2 2 2" xfId="44603"/>
    <cellStyle name="常规 6 3 8 2 2 2 3" xfId="44604"/>
    <cellStyle name="常规 6 3 8 2 2 2 4" xfId="30594"/>
    <cellStyle name="常规 6 3 8 2 2 3" xfId="44605"/>
    <cellStyle name="常规 6 3 8 2 2 3 2" xfId="44606"/>
    <cellStyle name="常规 6 3 8 2 2 4" xfId="44607"/>
    <cellStyle name="常规 6 3 8 2 2 5" xfId="44608"/>
    <cellStyle name="常规 6 3 8 2 3" xfId="44609"/>
    <cellStyle name="常规 6 3 8 2 3 2" xfId="44610"/>
    <cellStyle name="常规 6 3 8 2 3 2 2" xfId="44611"/>
    <cellStyle name="常规 6 3 8 2 3 3" xfId="44612"/>
    <cellStyle name="常规 6 3 8 2 3 4" xfId="44613"/>
    <cellStyle name="常规 6 3 8 2 4" xfId="44614"/>
    <cellStyle name="常规 6 3 8 2 4 2" xfId="44615"/>
    <cellStyle name="常规 6 3 8 2 5" xfId="44616"/>
    <cellStyle name="常规 6 3 8 2 6" xfId="44617"/>
    <cellStyle name="常规 6 3 8 3" xfId="44618"/>
    <cellStyle name="常规 6 3 8 3 2" xfId="44619"/>
    <cellStyle name="常规 6 3 8 3 2 2" xfId="44620"/>
    <cellStyle name="常规 6 3 8 3 2 2 2" xfId="44621"/>
    <cellStyle name="常规 6 3 8 3 2 3" xfId="44622"/>
    <cellStyle name="常规 6 3 8 3 2 4" xfId="44623"/>
    <cellStyle name="常规 6 3 8 3 3" xfId="44624"/>
    <cellStyle name="常规 6 3 8 3 3 2" xfId="44625"/>
    <cellStyle name="常规 6 3 8 3 4" xfId="44626"/>
    <cellStyle name="常规 6 3 8 3 5" xfId="44627"/>
    <cellStyle name="常规 6 3 8 4" xfId="44628"/>
    <cellStyle name="常规 6 3 8 4 2" xfId="44629"/>
    <cellStyle name="常规 6 3 8 4 2 2" xfId="44630"/>
    <cellStyle name="常规 6 3 8 4 3" xfId="44631"/>
    <cellStyle name="常规 6 3 8 4 4" xfId="44632"/>
    <cellStyle name="常规 6 3 8 5" xfId="44633"/>
    <cellStyle name="常规 6 3 8 5 2" xfId="44634"/>
    <cellStyle name="常规 6 3 8 6" xfId="44635"/>
    <cellStyle name="常规 6 3 8 7" xfId="44636"/>
    <cellStyle name="常规 6 3 9" xfId="44637"/>
    <cellStyle name="常规 6 3 9 2" xfId="4680"/>
    <cellStyle name="常规 6 3 9 2 2" xfId="13337"/>
    <cellStyle name="常规 6 3 9 2 2 2" xfId="20667"/>
    <cellStyle name="常规 6 3 9 2 2 2 2" xfId="44638"/>
    <cellStyle name="常规 6 3 9 2 2 3" xfId="33286"/>
    <cellStyle name="常规 6 3 9 2 2 4" xfId="44639"/>
    <cellStyle name="常规 6 3 9 2 3" xfId="44640"/>
    <cellStyle name="常规 6 3 9 2 3 2" xfId="44641"/>
    <cellStyle name="常规 6 3 9 2 4" xfId="44642"/>
    <cellStyle name="常规 6 3 9 2 5" xfId="44643"/>
    <cellStyle name="常规 6 3 9 3" xfId="4685"/>
    <cellStyle name="常规 6 3 9 3 2" xfId="44644"/>
    <cellStyle name="常规 6 3 9 3 2 2" xfId="44645"/>
    <cellStyle name="常规 6 3 9 3 3" xfId="44646"/>
    <cellStyle name="常规 6 3 9 3 4" xfId="44647"/>
    <cellStyle name="常规 6 3 9 4" xfId="13340"/>
    <cellStyle name="常规 6 3 9 4 2" xfId="44648"/>
    <cellStyle name="常规 6 3 9 5" xfId="44649"/>
    <cellStyle name="常规 6 3 9 6" xfId="44650"/>
    <cellStyle name="常规 6 3_Sheet2" xfId="44651"/>
    <cellStyle name="常规 6 4" xfId="44652"/>
    <cellStyle name="常规 6 4 2" xfId="44653"/>
    <cellStyle name="常规 6 4_Sheet2" xfId="44654"/>
    <cellStyle name="常规 6 5" xfId="44655"/>
    <cellStyle name="常规 6 6" xfId="44656"/>
    <cellStyle name="常规 6 6 10" xfId="44657"/>
    <cellStyle name="常规 6 6 10 2" xfId="44658"/>
    <cellStyle name="常规 6 6 10 2 2" xfId="44659"/>
    <cellStyle name="常规 6 6 10 3" xfId="21519"/>
    <cellStyle name="常规 6 6 10 4" xfId="44660"/>
    <cellStyle name="常规 6 6 11" xfId="44661"/>
    <cellStyle name="常规 6 6 11 2" xfId="44662"/>
    <cellStyle name="常规 6 6 12" xfId="44663"/>
    <cellStyle name="常规 6 6 13" xfId="44664"/>
    <cellStyle name="常规 6 6 2" xfId="44665"/>
    <cellStyle name="常规 6 6 2 10" xfId="44666"/>
    <cellStyle name="常规 6 6 2 10 2" xfId="44667"/>
    <cellStyle name="常规 6 6 2 11" xfId="44668"/>
    <cellStyle name="常规 6 6 2 12" xfId="44669"/>
    <cellStyle name="常规 6 6 2 2" xfId="44670"/>
    <cellStyle name="常规 6 6 2 2 10" xfId="44671"/>
    <cellStyle name="常规 6 6 2 2 11" xfId="44672"/>
    <cellStyle name="常规 6 6 2 2 2" xfId="44673"/>
    <cellStyle name="常规 6 6 2 2 2 2" xfId="44674"/>
    <cellStyle name="常规 6 6 2 2 2 2 2" xfId="44675"/>
    <cellStyle name="常规 6 6 2 2 2 2 2 2" xfId="33866"/>
    <cellStyle name="常规 6 6 2 2 2 2 2 2 2" xfId="44676"/>
    <cellStyle name="常规 6 6 2 2 2 2 2 2 2 2" xfId="44677"/>
    <cellStyle name="常规 6 6 2 2 2 2 2 2 2 2 2" xfId="36621"/>
    <cellStyle name="常规 6 6 2 2 2 2 2 2 2 2 2 2" xfId="36623"/>
    <cellStyle name="常规 6 6 2 2 2 2 2 2 2 2 3" xfId="36633"/>
    <cellStyle name="常规 6 6 2 2 2 2 2 2 2 2 4" xfId="36637"/>
    <cellStyle name="常规 6 6 2 2 2 2 2 2 2 3" xfId="44678"/>
    <cellStyle name="常规 6 6 2 2 2 2 2 2 2 3 2" xfId="36770"/>
    <cellStyle name="常规 6 6 2 2 2 2 2 2 2 4" xfId="44679"/>
    <cellStyle name="常规 6 6 2 2 2 2 2 2 2 5" xfId="44680"/>
    <cellStyle name="常规 6 6 2 2 2 2 2 2 3" xfId="44681"/>
    <cellStyle name="常规 6 6 2 2 2 2 2 2 3 2" xfId="20952"/>
    <cellStyle name="常规 6 6 2 2 2 2 2 2 3 2 2" xfId="11162"/>
    <cellStyle name="常规 6 6 2 2 2 2 2 2 3 3" xfId="20954"/>
    <cellStyle name="常规 6 6 2 2 2 2 2 2 3 4" xfId="44682"/>
    <cellStyle name="常规 6 6 2 2 2 2 2 2 4" xfId="44683"/>
    <cellStyle name="常规 6 6 2 2 2 2 2 2 4 2" xfId="44684"/>
    <cellStyle name="常规 6 6 2 2 2 2 2 2 5" xfId="44685"/>
    <cellStyle name="常规 6 6 2 2 2 2 2 2 6" xfId="44686"/>
    <cellStyle name="常规 6 6 2 2 2 2 2 3" xfId="33589"/>
    <cellStyle name="常规 6 6 2 2 2 2 2 3 2" xfId="44687"/>
    <cellStyle name="常规 6 6 2 2 2 2 2 3 2 2" xfId="44688"/>
    <cellStyle name="常规 6 6 2 2 2 2 2 3 2 2 2" xfId="37175"/>
    <cellStyle name="常规 6 6 2 2 2 2 2 3 2 3" xfId="44689"/>
    <cellStyle name="常规 6 6 2 2 2 2 2 3 2 4" xfId="44690"/>
    <cellStyle name="常规 6 6 2 2 2 2 2 3 3" xfId="44691"/>
    <cellStyle name="常规 6 6 2 2 2 2 2 3 3 2" xfId="44692"/>
    <cellStyle name="常规 6 6 2 2 2 2 2 3 4" xfId="44693"/>
    <cellStyle name="常规 6 6 2 2 2 2 2 3 5" xfId="44694"/>
    <cellStyle name="常规 6 6 2 2 2 2 2 4" xfId="33596"/>
    <cellStyle name="常规 6 6 2 2 2 2 2 4 2" xfId="44695"/>
    <cellStyle name="常规 6 6 2 2 2 2 2 4 2 2" xfId="44696"/>
    <cellStyle name="常规 6 6 2 2 2 2 2 4 3" xfId="44697"/>
    <cellStyle name="常规 6 6 2 2 2 2 2 4 4" xfId="44698"/>
    <cellStyle name="常规 6 6 2 2 2 2 2 5" xfId="44699"/>
    <cellStyle name="常规 6 6 2 2 2 2 2 5 2" xfId="44700"/>
    <cellStyle name="常规 6 6 2 2 2 2 2 6" xfId="44701"/>
    <cellStyle name="常规 6 6 2 2 2 2 2 7" xfId="27895"/>
    <cellStyle name="常规 6 6 2 2 2 2 3" xfId="44702"/>
    <cellStyle name="常规 6 6 2 2 2 2 3 2" xfId="24153"/>
    <cellStyle name="常规 6 6 2 2 2 2 3 2 2" xfId="44703"/>
    <cellStyle name="常规 6 6 2 2 2 2 3 2 2 2" xfId="44704"/>
    <cellStyle name="常规 6 6 2 2 2 2 3 2 2 2 2" xfId="44705"/>
    <cellStyle name="常规 6 6 2 2 2 2 3 2 2 3" xfId="44706"/>
    <cellStyle name="常规 6 6 2 2 2 2 3 2 2 4" xfId="44707"/>
    <cellStyle name="常规 6 6 2 2 2 2 3 2 3" xfId="44708"/>
    <cellStyle name="常规 6 6 2 2 2 2 3 2 3 2" xfId="44709"/>
    <cellStyle name="常规 6 6 2 2 2 2 3 2 4" xfId="44710"/>
    <cellStyle name="常规 6 6 2 2 2 2 3 2 5" xfId="44711"/>
    <cellStyle name="常规 6 6 2 2 2 2 3 3" xfId="44712"/>
    <cellStyle name="常规 6 6 2 2 2 2 3 3 2" xfId="44713"/>
    <cellStyle name="常规 6 6 2 2 2 2 3 3 2 2" xfId="44714"/>
    <cellStyle name="常规 6 6 2 2 2 2 3 3 3" xfId="44715"/>
    <cellStyle name="常规 6 6 2 2 2 2 3 3 4" xfId="44716"/>
    <cellStyle name="常规 6 6 2 2 2 2 3 4" xfId="44717"/>
    <cellStyle name="常规 6 6 2 2 2 2 3 4 2" xfId="44718"/>
    <cellStyle name="常规 6 6 2 2 2 2 3 5" xfId="44719"/>
    <cellStyle name="常规 6 6 2 2 2 2 3 6" xfId="44720"/>
    <cellStyle name="常规 6 6 2 2 2 2 4" xfId="44721"/>
    <cellStyle name="常规 6 6 2 2 2 2 4 2" xfId="44722"/>
    <cellStyle name="常规 6 6 2 2 2 2 4 2 2" xfId="44723"/>
    <cellStyle name="常规 6 6 2 2 2 2 4 2 2 2" xfId="44724"/>
    <cellStyle name="常规 6 6 2 2 2 2 4 2 3" xfId="18771"/>
    <cellStyle name="常规 6 6 2 2 2 2 4 2 4" xfId="18783"/>
    <cellStyle name="常规 6 6 2 2 2 2 4 3" xfId="44725"/>
    <cellStyle name="常规 6 6 2 2 2 2 4 3 2" xfId="44726"/>
    <cellStyle name="常规 6 6 2 2 2 2 4 4" xfId="44727"/>
    <cellStyle name="常规 6 6 2 2 2 2 4 5" xfId="44728"/>
    <cellStyle name="常规 6 6 2 2 2 2 5" xfId="44729"/>
    <cellStyle name="常规 6 6 2 2 2 2 5 2" xfId="44730"/>
    <cellStyle name="常规 6 6 2 2 2 2 5 2 2" xfId="44731"/>
    <cellStyle name="常规 6 6 2 2 2 2 5 3" xfId="44732"/>
    <cellStyle name="常规 6 6 2 2 2 2 5 4" xfId="36268"/>
    <cellStyle name="常规 6 6 2 2 2 2 6" xfId="44733"/>
    <cellStyle name="常规 6 6 2 2 2 2 6 2" xfId="44734"/>
    <cellStyle name="常规 6 6 2 2 2 2 7" xfId="44735"/>
    <cellStyle name="常规 6 6 2 2 2 2 8" xfId="44736"/>
    <cellStyle name="常规 6 6 2 2 2 3" xfId="44737"/>
    <cellStyle name="常规 6 6 2 2 2 3 2" xfId="44738"/>
    <cellStyle name="常规 6 6 2 2 2 3 2 2" xfId="10183"/>
    <cellStyle name="常规 6 6 2 2 2 3 2 2 2" xfId="44739"/>
    <cellStyle name="常规 6 6 2 2 2 3 2 2 2 2" xfId="44740"/>
    <cellStyle name="常规 6 6 2 2 2 3 2 2 2 2 2" xfId="44741"/>
    <cellStyle name="常规 6 6 2 2 2 3 2 2 2 3" xfId="44742"/>
    <cellStyle name="常规 6 6 2 2 2 3 2 2 2 4" xfId="44743"/>
    <cellStyle name="常规 6 6 2 2 2 3 2 2 3" xfId="44744"/>
    <cellStyle name="常规 6 6 2 2 2 3 2 2 3 2" xfId="44745"/>
    <cellStyle name="常规 6 6 2 2 2 3 2 2 4" xfId="44746"/>
    <cellStyle name="常规 6 6 2 2 2 3 2 2 5" xfId="44747"/>
    <cellStyle name="常规 6 6 2 2 2 3 2 3" xfId="44748"/>
    <cellStyle name="常规 6 6 2 2 2 3 2 3 2" xfId="44749"/>
    <cellStyle name="常规 6 6 2 2 2 3 2 3 2 2" xfId="44750"/>
    <cellStyle name="常规 6 6 2 2 2 3 2 3 3" xfId="44751"/>
    <cellStyle name="常规 6 6 2 2 2 3 2 3 4" xfId="44752"/>
    <cellStyle name="常规 6 6 2 2 2 3 2 4" xfId="44753"/>
    <cellStyle name="常规 6 6 2 2 2 3 2 4 2" xfId="44754"/>
    <cellStyle name="常规 6 6 2 2 2 3 2 5" xfId="44755"/>
    <cellStyle name="常规 6 6 2 2 2 3 2 6" xfId="44756"/>
    <cellStyle name="常规 6 6 2 2 2 3 3" xfId="44757"/>
    <cellStyle name="常规 6 6 2 2 2 3 3 2" xfId="44758"/>
    <cellStyle name="常规 6 6 2 2 2 3 3 2 2" xfId="44759"/>
    <cellStyle name="常规 6 6 2 2 2 3 3 2 2 2" xfId="44760"/>
    <cellStyle name="常规 6 6 2 2 2 3 3 2 3" xfId="44761"/>
    <cellStyle name="常规 6 6 2 2 2 3 3 2 4" xfId="44762"/>
    <cellStyle name="常规 6 6 2 2 2 3 3 3" xfId="44763"/>
    <cellStyle name="常规 6 6 2 2 2 3 3 3 2" xfId="44764"/>
    <cellStyle name="常规 6 6 2 2 2 3 3 4" xfId="44765"/>
    <cellStyle name="常规 6 6 2 2 2 3 3 5" xfId="44766"/>
    <cellStyle name="常规 6 6 2 2 2 3 4" xfId="44767"/>
    <cellStyle name="常规 6 6 2 2 2 3 4 2" xfId="44768"/>
    <cellStyle name="常规 6 6 2 2 2 3 4 2 2" xfId="44770"/>
    <cellStyle name="常规 6 6 2 2 2 3 4 3" xfId="44771"/>
    <cellStyle name="常规 6 6 2 2 2 3 4 4" xfId="44772"/>
    <cellStyle name="常规 6 6 2 2 2 3 5" xfId="44773"/>
    <cellStyle name="常规 6 6 2 2 2 3 5 2" xfId="44774"/>
    <cellStyle name="常规 6 6 2 2 2 3 6" xfId="44775"/>
    <cellStyle name="常规 6 6 2 2 2 3 7" xfId="44776"/>
    <cellStyle name="常规 6 6 2 2 2 4" xfId="44777"/>
    <cellStyle name="常规 6 6 2 2 2 4 2" xfId="44778"/>
    <cellStyle name="常规 6 6 2 2 2 4 2 2" xfId="44779"/>
    <cellStyle name="常规 6 6 2 2 2 4 2 2 2" xfId="44780"/>
    <cellStyle name="常规 6 6 2 2 2 4 2 2 2 2" xfId="44781"/>
    <cellStyle name="常规 6 6 2 2 2 4 2 2 3" xfId="44782"/>
    <cellStyle name="常规 6 6 2 2 2 4 2 2 4" xfId="44783"/>
    <cellStyle name="常规 6 6 2 2 2 4 2 3" xfId="44784"/>
    <cellStyle name="常规 6 6 2 2 2 4 2 3 2" xfId="44785"/>
    <cellStyle name="常规 6 6 2 2 2 4 2 4" xfId="44786"/>
    <cellStyle name="常规 6 6 2 2 2 4 2 5" xfId="44787"/>
    <cellStyle name="常规 6 6 2 2 2 4 3" xfId="44788"/>
    <cellStyle name="常规 6 6 2 2 2 4 3 2" xfId="44789"/>
    <cellStyle name="常规 6 6 2 2 2 4 3 2 2" xfId="44790"/>
    <cellStyle name="常规 6 6 2 2 2 4 3 3" xfId="44791"/>
    <cellStyle name="常规 6 6 2 2 2 4 3 4" xfId="44792"/>
    <cellStyle name="常规 6 6 2 2 2 4 4" xfId="44793"/>
    <cellStyle name="常规 6 6 2 2 2 4 4 2" xfId="44794"/>
    <cellStyle name="常规 6 6 2 2 2 4 5" xfId="44795"/>
    <cellStyle name="常规 6 6 2 2 2 4 6" xfId="44796"/>
    <cellStyle name="常规 6 6 2 2 2 5" xfId="44797"/>
    <cellStyle name="常规 6 6 2 2 2 5 2" xfId="44798"/>
    <cellStyle name="常规 6 6 2 2 2 5 2 2" xfId="44799"/>
    <cellStyle name="常规 6 6 2 2 2 5 2 2 2" xfId="44800"/>
    <cellStyle name="常规 6 6 2 2 2 5 2 3" xfId="44801"/>
    <cellStyle name="常规 6 6 2 2 2 5 2 4" xfId="44802"/>
    <cellStyle name="常规 6 6 2 2 2 5 3" xfId="44803"/>
    <cellStyle name="常规 6 6 2 2 2 5 3 2" xfId="44804"/>
    <cellStyle name="常规 6 6 2 2 2 5 4" xfId="44805"/>
    <cellStyle name="常规 6 6 2 2 2 5 5" xfId="44806"/>
    <cellStyle name="常规 6 6 2 2 2 6" xfId="44807"/>
    <cellStyle name="常规 6 6 2 2 2 6 2" xfId="44808"/>
    <cellStyle name="常规 6 6 2 2 2 6 2 2" xfId="44809"/>
    <cellStyle name="常规 6 6 2 2 2 6 3" xfId="44810"/>
    <cellStyle name="常规 6 6 2 2 2 6 4" xfId="44811"/>
    <cellStyle name="常规 6 6 2 2 2 7" xfId="44812"/>
    <cellStyle name="常规 6 6 2 2 2 7 2" xfId="44813"/>
    <cellStyle name="常规 6 6 2 2 2 8" xfId="44814"/>
    <cellStyle name="常规 6 6 2 2 2 9" xfId="44815"/>
    <cellStyle name="常规 6 6 2 2 3" xfId="44816"/>
    <cellStyle name="常规 6 6 2 2 3 2" xfId="44817"/>
    <cellStyle name="常规 6 6 2 2 3 2 2" xfId="44818"/>
    <cellStyle name="常规 6 6 2 2 3 2 2 2" xfId="27251"/>
    <cellStyle name="常规 6 6 2 2 3 2 2 2 2" xfId="44819"/>
    <cellStyle name="常规 6 6 2 2 3 2 2 2 2 2" xfId="44820"/>
    <cellStyle name="常规 6 6 2 2 3 2 2 2 2 2 2" xfId="44821"/>
    <cellStyle name="常规 6 6 2 2 3 2 2 2 2 2 2 2" xfId="44822"/>
    <cellStyle name="常规 6 6 2 2 3 2 2 2 2 2 3" xfId="44823"/>
    <cellStyle name="常规 6 6 2 2 3 2 2 2 2 2 4" xfId="44824"/>
    <cellStyle name="常规 6 6 2 2 3 2 2 2 2 3" xfId="44825"/>
    <cellStyle name="常规 6 6 2 2 3 2 2 2 2 3 2" xfId="44826"/>
    <cellStyle name="常规 6 6 2 2 3 2 2 2 2 4" xfId="44827"/>
    <cellStyle name="常规 6 6 2 2 3 2 2 2 2 5" xfId="44828"/>
    <cellStyle name="常规 6 6 2 2 3 2 2 2 3" xfId="44829"/>
    <cellStyle name="常规 6 6 2 2 3 2 2 2 3 2" xfId="44830"/>
    <cellStyle name="常规 6 6 2 2 3 2 2 2 3 2 2" xfId="44831"/>
    <cellStyle name="常规 6 6 2 2 3 2 2 2 3 3" xfId="44832"/>
    <cellStyle name="常规 6 6 2 2 3 2 2 2 3 4" xfId="44833"/>
    <cellStyle name="常规 6 6 2 2 3 2 2 2 4" xfId="44834"/>
    <cellStyle name="常规 6 6 2 2 3 2 2 2 4 2" xfId="44835"/>
    <cellStyle name="常规 6 6 2 2 3 2 2 2 5" xfId="44836"/>
    <cellStyle name="常规 6 6 2 2 3 2 2 2 6" xfId="44837"/>
    <cellStyle name="常规 6 6 2 2 3 2 2 3" xfId="27443"/>
    <cellStyle name="常规 6 6 2 2 3 2 2 3 2" xfId="44838"/>
    <cellStyle name="常规 6 6 2 2 3 2 2 3 2 2" xfId="44839"/>
    <cellStyle name="常规 6 6 2 2 3 2 2 3 2 2 2" xfId="44840"/>
    <cellStyle name="常规 6 6 2 2 3 2 2 3 2 3" xfId="44841"/>
    <cellStyle name="常规 6 6 2 2 3 2 2 3 2 4" xfId="44842"/>
    <cellStyle name="常规 6 6 2 2 3 2 2 3 3" xfId="44843"/>
    <cellStyle name="常规 6 6 2 2 3 2 2 3 3 2" xfId="44844"/>
    <cellStyle name="常规 6 6 2 2 3 2 2 3 4" xfId="44845"/>
    <cellStyle name="常规 6 6 2 2 3 2 2 3 5" xfId="44846"/>
    <cellStyle name="常规 6 6 2 2 3 2 2 4" xfId="44847"/>
    <cellStyle name="常规 6 6 2 2 3 2 2 4 2" xfId="44848"/>
    <cellStyle name="常规 6 6 2 2 3 2 2 4 2 2" xfId="44849"/>
    <cellStyle name="常规 6 6 2 2 3 2 2 4 3" xfId="44850"/>
    <cellStyle name="常规 6 6 2 2 3 2 2 4 4" xfId="44851"/>
    <cellStyle name="常规 6 6 2 2 3 2 2 5" xfId="44852"/>
    <cellStyle name="常规 6 6 2 2 3 2 2 5 2" xfId="44853"/>
    <cellStyle name="常规 6 6 2 2 3 2 2 6" xfId="44854"/>
    <cellStyle name="常规 6 6 2 2 3 2 2 7" xfId="44855"/>
    <cellStyle name="常规 6 6 2 2 3 2 3" xfId="44856"/>
    <cellStyle name="常规 6 6 2 2 3 2 3 2" xfId="28463"/>
    <cellStyle name="常规 6 6 2 2 3 2 3 2 2" xfId="44857"/>
    <cellStyle name="常规 6 6 2 2 3 2 3 2 2 2" xfId="44858"/>
    <cellStyle name="常规 6 6 2 2 3 2 3 2 2 2 2" xfId="44859"/>
    <cellStyle name="常规 6 6 2 2 3 2 3 2 2 3" xfId="44860"/>
    <cellStyle name="常规 6 6 2 2 3 2 3 2 2 4" xfId="44861"/>
    <cellStyle name="常规 6 6 2 2 3 2 3 2 3" xfId="44862"/>
    <cellStyle name="常规 6 6 2 2 3 2 3 2 3 2" xfId="44863"/>
    <cellStyle name="常规 6 6 2 2 3 2 3 2 4" xfId="44864"/>
    <cellStyle name="常规 6 6 2 2 3 2 3 2 5" xfId="44865"/>
    <cellStyle name="常规 6 6 2 2 3 2 3 3" xfId="44866"/>
    <cellStyle name="常规 6 6 2 2 3 2 3 3 2" xfId="44867"/>
    <cellStyle name="常规 6 6 2 2 3 2 3 3 2 2" xfId="44868"/>
    <cellStyle name="常规 6 6 2 2 3 2 3 3 3" xfId="44869"/>
    <cellStyle name="常规 6 6 2 2 3 2 3 3 4" xfId="44870"/>
    <cellStyle name="常规 6 6 2 2 3 2 3 4" xfId="44871"/>
    <cellStyle name="常规 6 6 2 2 3 2 3 4 2" xfId="44872"/>
    <cellStyle name="常规 6 6 2 2 3 2 3 5" xfId="44873"/>
    <cellStyle name="常规 6 6 2 2 3 2 3 6" xfId="44874"/>
    <cellStyle name="常规 6 6 2 2 3 2 4" xfId="44875"/>
    <cellStyle name="常规 6 6 2 2 3 2 4 2" xfId="44876"/>
    <cellStyle name="常规 6 6 2 2 3 2 4 2 2" xfId="44877"/>
    <cellStyle name="常规 6 6 2 2 3 2 4 2 2 2" xfId="44878"/>
    <cellStyle name="常规 6 6 2 2 3 2 4 2 3" xfId="18935"/>
    <cellStyle name="常规 6 6 2 2 3 2 4 2 4" xfId="18948"/>
    <cellStyle name="常规 6 6 2 2 3 2 4 3" xfId="44879"/>
    <cellStyle name="常规 6 6 2 2 3 2 4 3 2" xfId="44880"/>
    <cellStyle name="常规 6 6 2 2 3 2 4 4" xfId="44881"/>
    <cellStyle name="常规 6 6 2 2 3 2 4 5" xfId="44882"/>
    <cellStyle name="常规 6 6 2 2 3 2 5" xfId="44883"/>
    <cellStyle name="常规 6 6 2 2 3 2 5 2" xfId="44884"/>
    <cellStyle name="常规 6 6 2 2 3 2 5 2 2" xfId="44885"/>
    <cellStyle name="常规 6 6 2 2 3 2 5 3" xfId="44886"/>
    <cellStyle name="常规 6 6 2 2 3 2 5 4" xfId="44887"/>
    <cellStyle name="常规 6 6 2 2 3 2 6" xfId="44888"/>
    <cellStyle name="常规 6 6 2 2 3 2 6 2" xfId="44889"/>
    <cellStyle name="常规 6 6 2 2 3 2 7" xfId="44890"/>
    <cellStyle name="常规 6 6 2 2 3 2 8" xfId="44891"/>
    <cellStyle name="常规 6 6 2 2 3 3" xfId="44892"/>
    <cellStyle name="常规 6 6 2 2 3 3 2" xfId="44893"/>
    <cellStyle name="常规 6 6 2 2 3 3 2 2" xfId="11442"/>
    <cellStyle name="常规 6 6 2 2 3 3 2 2 2" xfId="44894"/>
    <cellStyle name="常规 6 6 2 2 3 3 2 2 2 2" xfId="44895"/>
    <cellStyle name="常规 6 6 2 2 3 3 2 2 2 2 2" xfId="44896"/>
    <cellStyle name="常规 6 6 2 2 3 3 2 2 2 3" xfId="44897"/>
    <cellStyle name="常规 6 6 2 2 3 3 2 2 2 4" xfId="44898"/>
    <cellStyle name="常规 6 6 2 2 3 3 2 2 3" xfId="44899"/>
    <cellStyle name="常规 6 6 2 2 3 3 2 2 3 2" xfId="44900"/>
    <cellStyle name="常规 6 6 2 2 3 3 2 2 4" xfId="44901"/>
    <cellStyle name="常规 6 6 2 2 3 3 2 2 5" xfId="44902"/>
    <cellStyle name="常规 6 6 2 2 3 3 2 3" xfId="44903"/>
    <cellStyle name="常规 6 6 2 2 3 3 2 3 2" xfId="44904"/>
    <cellStyle name="常规 6 6 2 2 3 3 2 3 2 2" xfId="44905"/>
    <cellStyle name="常规 6 6 2 2 3 3 2 3 3" xfId="44906"/>
    <cellStyle name="常规 6 6 2 2 3 3 2 3 4" xfId="44907"/>
    <cellStyle name="常规 6 6 2 2 3 3 2 4" xfId="44908"/>
    <cellStyle name="常规 6 6 2 2 3 3 2 4 2" xfId="44909"/>
    <cellStyle name="常规 6 6 2 2 3 3 2 5" xfId="44910"/>
    <cellStyle name="常规 6 6 2 2 3 3 2 6" xfId="44911"/>
    <cellStyle name="常规 6 6 2 2 3 3 3" xfId="44912"/>
    <cellStyle name="常规 6 6 2 2 3 3 3 2" xfId="44913"/>
    <cellStyle name="常规 6 6 2 2 3 3 3 2 2" xfId="44914"/>
    <cellStyle name="常规 6 6 2 2 3 3 3 2 2 2" xfId="44915"/>
    <cellStyle name="常规 6 6 2 2 3 3 3 2 3" xfId="44916"/>
    <cellStyle name="常规 6 6 2 2 3 3 3 2 4" xfId="44917"/>
    <cellStyle name="常规 6 6 2 2 3 3 3 3" xfId="44918"/>
    <cellStyle name="常规 6 6 2 2 3 3 3 3 2" xfId="44919"/>
    <cellStyle name="常规 6 6 2 2 3 3 3 4" xfId="44920"/>
    <cellStyle name="常规 6 6 2 2 3 3 3 5" xfId="44921"/>
    <cellStyle name="常规 6 6 2 2 3 3 4" xfId="44922"/>
    <cellStyle name="常规 6 6 2 2 3 3 4 2" xfId="44923"/>
    <cellStyle name="常规 6 6 2 2 3 3 4 2 2" xfId="44925"/>
    <cellStyle name="常规 6 6 2 2 3 3 4 3" xfId="44926"/>
    <cellStyle name="常规 6 6 2 2 3 3 4 4" xfId="44927"/>
    <cellStyle name="常规 6 6 2 2 3 3 5" xfId="44928"/>
    <cellStyle name="常规 6 6 2 2 3 3 5 2" xfId="44929"/>
    <cellStyle name="常规 6 6 2 2 3 3 6" xfId="44930"/>
    <cellStyle name="常规 6 6 2 2 3 3 7" xfId="44931"/>
    <cellStyle name="常规 6 6 2 2 3 4" xfId="44932"/>
    <cellStyle name="常规 6 6 2 2 3 4 2" xfId="44933"/>
    <cellStyle name="常规 6 6 2 2 3 4 2 2" xfId="44934"/>
    <cellStyle name="常规 6 6 2 2 3 4 2 2 2" xfId="14614"/>
    <cellStyle name="常规 6 6 2 2 3 4 2 2 2 2" xfId="44935"/>
    <cellStyle name="常规 6 6 2 2 3 4 2 2 3" xfId="44936"/>
    <cellStyle name="常规 6 6 2 2 3 4 2 2 4" xfId="44937"/>
    <cellStyle name="常规 6 6 2 2 3 4 2 3" xfId="44938"/>
    <cellStyle name="常规 6 6 2 2 3 4 2 3 2" xfId="44939"/>
    <cellStyle name="常规 6 6 2 2 3 4 2 4" xfId="44940"/>
    <cellStyle name="常规 6 6 2 2 3 4 2 5" xfId="44941"/>
    <cellStyle name="常规 6 6 2 2 3 4 3" xfId="44942"/>
    <cellStyle name="常规 6 6 2 2 3 4 3 2" xfId="44943"/>
    <cellStyle name="常规 6 6 2 2 3 4 3 2 2" xfId="44944"/>
    <cellStyle name="常规 6 6 2 2 3 4 3 3" xfId="44945"/>
    <cellStyle name="常规 6 6 2 2 3 4 3 4" xfId="44946"/>
    <cellStyle name="常规 6 6 2 2 3 4 4" xfId="44947"/>
    <cellStyle name="常规 6 6 2 2 3 4 4 2" xfId="44948"/>
    <cellStyle name="常规 6 6 2 2 3 4 5" xfId="44949"/>
    <cellStyle name="常规 6 6 2 2 3 4 6" xfId="44950"/>
    <cellStyle name="常规 6 6 2 2 3 5" xfId="44951"/>
    <cellStyle name="常规 6 6 2 2 3 5 2" xfId="44952"/>
    <cellStyle name="常规 6 6 2 2 3 5 2 2" xfId="44953"/>
    <cellStyle name="常规 6 6 2 2 3 5 2 2 2" xfId="44954"/>
    <cellStyle name="常规 6 6 2 2 3 5 2 3" xfId="44955"/>
    <cellStyle name="常规 6 6 2 2 3 5 2 4" xfId="44956"/>
    <cellStyle name="常规 6 6 2 2 3 5 3" xfId="44957"/>
    <cellStyle name="常规 6 6 2 2 3 5 3 2" xfId="44958"/>
    <cellStyle name="常规 6 6 2 2 3 5 4" xfId="44959"/>
    <cellStyle name="常规 6 6 2 2 3 5 5" xfId="44960"/>
    <cellStyle name="常规 6 6 2 2 3 6" xfId="44961"/>
    <cellStyle name="常规 6 6 2 2 3 6 2" xfId="44962"/>
    <cellStyle name="常规 6 6 2 2 3 6 2 2" xfId="44963"/>
    <cellStyle name="常规 6 6 2 2 3 6 3" xfId="44964"/>
    <cellStyle name="常规 6 6 2 2 3 6 4" xfId="44965"/>
    <cellStyle name="常规 6 6 2 2 3 7" xfId="44966"/>
    <cellStyle name="常规 6 6 2 2 3 7 2" xfId="44967"/>
    <cellStyle name="常规 6 6 2 2 3 8" xfId="44968"/>
    <cellStyle name="常规 6 6 2 2 3 9" xfId="44969"/>
    <cellStyle name="常规 6 6 2 2 4" xfId="44970"/>
    <cellStyle name="常规 6 6 2 2 4 2" xfId="44971"/>
    <cellStyle name="常规 6 6 2 2 4 2 2" xfId="44972"/>
    <cellStyle name="常规 6 6 2 2 4 2 2 2" xfId="33947"/>
    <cellStyle name="常规 6 6 2 2 4 2 2 2 2" xfId="44973"/>
    <cellStyle name="常规 6 6 2 2 4 2 2 2 2 2" xfId="44974"/>
    <cellStyle name="常规 6 6 2 2 4 2 2 2 2 2 2" xfId="44976"/>
    <cellStyle name="常规 6 6 2 2 4 2 2 2 2 3" xfId="44977"/>
    <cellStyle name="常规 6 6 2 2 4 2 2 2 2 4" xfId="44978"/>
    <cellStyle name="常规 6 6 2 2 4 2 2 2 3" xfId="44979"/>
    <cellStyle name="常规 6 6 2 2 4 2 2 2 3 2" xfId="44980"/>
    <cellStyle name="常规 6 6 2 2 4 2 2 2 4" xfId="44981"/>
    <cellStyle name="常规 6 6 2 2 4 2 2 2 5" xfId="44982"/>
    <cellStyle name="常规 6 6 2 2 4 2 2 3" xfId="44983"/>
    <cellStyle name="常规 6 6 2 2 4 2 2 3 2" xfId="4123"/>
    <cellStyle name="常规 6 6 2 2 4 2 2 3 2 2" xfId="44984"/>
    <cellStyle name="常规 6 6 2 2 4 2 2 3 3" xfId="44985"/>
    <cellStyle name="常规 6 6 2 2 4 2 2 3 4" xfId="44986"/>
    <cellStyle name="常规 6 6 2 2 4 2 2 4" xfId="44987"/>
    <cellStyle name="常规 6 6 2 2 4 2 2 4 2" xfId="44988"/>
    <cellStyle name="常规 6 6 2 2 4 2 2 5" xfId="44989"/>
    <cellStyle name="常规 6 6 2 2 4 2 2 6" xfId="44990"/>
    <cellStyle name="常规 6 6 2 2 4 2 3" xfId="44991"/>
    <cellStyle name="常规 6 6 2 2 4 2 3 2" xfId="44992"/>
    <cellStyle name="常规 6 6 2 2 4 2 3 2 2" xfId="39685"/>
    <cellStyle name="常规 6 6 2 2 4 2 3 2 2 2" xfId="44993"/>
    <cellStyle name="常规 6 6 2 2 4 2 3 2 3" xfId="44994"/>
    <cellStyle name="常规 6 6 2 2 4 2 3 2 4" xfId="44995"/>
    <cellStyle name="常规 6 6 2 2 4 2 3 3" xfId="44996"/>
    <cellStyle name="常规 6 6 2 2 4 2 3 3 2" xfId="44997"/>
    <cellStyle name="常规 6 6 2 2 4 2 3 4" xfId="44998"/>
    <cellStyle name="常规 6 6 2 2 4 2 3 5" xfId="44999"/>
    <cellStyle name="常规 6 6 2 2 4 2 4" xfId="45000"/>
    <cellStyle name="常规 6 6 2 2 4 2 4 2" xfId="45001"/>
    <cellStyle name="常规 6 6 2 2 4 2 4 2 2" xfId="45002"/>
    <cellStyle name="常规 6 6 2 2 4 2 4 3" xfId="45003"/>
    <cellStyle name="常规 6 6 2 2 4 2 4 4" xfId="45004"/>
    <cellStyle name="常规 6 6 2 2 4 2 5" xfId="45005"/>
    <cellStyle name="常规 6 6 2 2 4 2 5 2" xfId="45006"/>
    <cellStyle name="常规 6 6 2 2 4 2 6" xfId="45007"/>
    <cellStyle name="常规 6 6 2 2 4 2 7" xfId="45008"/>
    <cellStyle name="常规 6 6 2 2 4 3" xfId="45009"/>
    <cellStyle name="常规 6 6 2 2 4 3 2" xfId="45010"/>
    <cellStyle name="常规 6 6 2 2 4 3 2 2" xfId="45011"/>
    <cellStyle name="常规 6 6 2 2 4 3 2 2 2" xfId="45012"/>
    <cellStyle name="常规 6 6 2 2 4 3 2 2 2 2" xfId="45013"/>
    <cellStyle name="常规 6 6 2 2 4 3 2 2 3" xfId="45014"/>
    <cellStyle name="常规 6 6 2 2 4 3 2 2 4" xfId="45015"/>
    <cellStyle name="常规 6 6 2 2 4 3 2 3" xfId="45016"/>
    <cellStyle name="常规 6 6 2 2 4 3 2 3 2" xfId="45017"/>
    <cellStyle name="常规 6 6 2 2 4 3 2 4" xfId="45018"/>
    <cellStyle name="常规 6 6 2 2 4 3 2 5" xfId="45019"/>
    <cellStyle name="常规 6 6 2 2 4 3 3" xfId="45020"/>
    <cellStyle name="常规 6 6 2 2 4 3 3 2" xfId="45021"/>
    <cellStyle name="常规 6 6 2 2 4 3 3 2 2" xfId="45022"/>
    <cellStyle name="常规 6 6 2 2 4 3 3 3" xfId="45023"/>
    <cellStyle name="常规 6 6 2 2 4 3 3 4" xfId="45024"/>
    <cellStyle name="常规 6 6 2 2 4 3 4" xfId="45025"/>
    <cellStyle name="常规 6 6 2 2 4 3 4 2" xfId="3427"/>
    <cellStyle name="常规 6 6 2 2 4 3 5" xfId="45026"/>
    <cellStyle name="常规 6 6 2 2 4 3 6" xfId="45027"/>
    <cellStyle name="常规 6 6 2 2 4 4" xfId="45028"/>
    <cellStyle name="常规 6 6 2 2 4 4 2" xfId="45029"/>
    <cellStyle name="常规 6 6 2 2 4 4 2 2" xfId="45030"/>
    <cellStyle name="常规 6 6 2 2 4 4 2 2 2" xfId="45031"/>
    <cellStyle name="常规 6 6 2 2 4 4 2 3" xfId="45032"/>
    <cellStyle name="常规 6 6 2 2 4 4 2 4" xfId="45033"/>
    <cellStyle name="常规 6 6 2 2 4 4 3" xfId="45034"/>
    <cellStyle name="常规 6 6 2 2 4 4 3 2" xfId="45035"/>
    <cellStyle name="常规 6 6 2 2 4 4 4" xfId="45036"/>
    <cellStyle name="常规 6 6 2 2 4 4 5" xfId="45037"/>
    <cellStyle name="常规 6 6 2 2 4 5" xfId="45038"/>
    <cellStyle name="常规 6 6 2 2 4 5 2" xfId="45039"/>
    <cellStyle name="常规 6 6 2 2 4 5 2 2" xfId="45040"/>
    <cellStyle name="常规 6 6 2 2 4 5 3" xfId="45041"/>
    <cellStyle name="常规 6 6 2 2 4 5 4" xfId="45042"/>
    <cellStyle name="常规 6 6 2 2 4 6" xfId="45043"/>
    <cellStyle name="常规 6 6 2 2 4 6 2" xfId="45044"/>
    <cellStyle name="常规 6 6 2 2 4 7" xfId="45045"/>
    <cellStyle name="常规 6 6 2 2 4 8" xfId="45046"/>
    <cellStyle name="常规 6 6 2 2 5" xfId="45047"/>
    <cellStyle name="常规 6 6 2 2 5 2" xfId="45048"/>
    <cellStyle name="常规 6 6 2 2 5 2 2" xfId="45049"/>
    <cellStyle name="常规 6 6 2 2 5 2 2 2" xfId="45050"/>
    <cellStyle name="常规 6 6 2 2 5 2 2 2 2" xfId="45051"/>
    <cellStyle name="常规 6 6 2 2 5 2 2 2 2 2" xfId="45052"/>
    <cellStyle name="常规 6 6 2 2 5 2 2 2 3" xfId="45053"/>
    <cellStyle name="常规 6 6 2 2 5 2 2 2 4" xfId="45054"/>
    <cellStyle name="常规 6 6 2 2 5 2 2 3" xfId="45055"/>
    <cellStyle name="常规 6 6 2 2 5 2 2 3 2" xfId="45056"/>
    <cellStyle name="常规 6 6 2 2 5 2 2 4" xfId="45057"/>
    <cellStyle name="常规 6 6 2 2 5 2 2 5" xfId="45058"/>
    <cellStyle name="常规 6 6 2 2 5 2 3" xfId="45059"/>
    <cellStyle name="常规 6 6 2 2 5 2 3 2" xfId="45060"/>
    <cellStyle name="常规 6 6 2 2 5 2 3 2 2" xfId="45061"/>
    <cellStyle name="常规 6 6 2 2 5 2 3 3" xfId="45062"/>
    <cellStyle name="常规 6 6 2 2 5 2 3 4" xfId="45063"/>
    <cellStyle name="常规 6 6 2 2 5 2 4" xfId="45064"/>
    <cellStyle name="常规 6 6 2 2 5 2 4 2" xfId="45065"/>
    <cellStyle name="常规 6 6 2 2 5 2 5" xfId="45066"/>
    <cellStyle name="常规 6 6 2 2 5 2 6" xfId="45067"/>
    <cellStyle name="常规 6 6 2 2 5 3" xfId="45068"/>
    <cellStyle name="常规 6 6 2 2 5 3 2" xfId="45069"/>
    <cellStyle name="常规 6 6 2 2 5 3 2 2" xfId="45070"/>
    <cellStyle name="常规 6 6 2 2 5 3 2 2 2" xfId="45071"/>
    <cellStyle name="常规 6 6 2 2 5 3 2 3" xfId="45072"/>
    <cellStyle name="常规 6 6 2 2 5 3 2 4" xfId="45073"/>
    <cellStyle name="常规 6 6 2 2 5 3 3" xfId="41898"/>
    <cellStyle name="常规 6 6 2 2 5 3 3 2" xfId="41900"/>
    <cellStyle name="常规 6 6 2 2 5 3 4" xfId="41905"/>
    <cellStyle name="常规 6 6 2 2 5 3 5" xfId="41908"/>
    <cellStyle name="常规 6 6 2 2 5 4" xfId="45074"/>
    <cellStyle name="常规 6 6 2 2 5 4 2" xfId="45075"/>
    <cellStyle name="常规 6 6 2 2 5 4 2 2" xfId="45076"/>
    <cellStyle name="常规 6 6 2 2 5 4 3" xfId="41912"/>
    <cellStyle name="常规 6 6 2 2 5 4 4" xfId="41915"/>
    <cellStyle name="常规 6 6 2 2 5 5" xfId="45077"/>
    <cellStyle name="常规 6 6 2 2 5 5 2" xfId="45078"/>
    <cellStyle name="常规 6 6 2 2 5 6" xfId="45079"/>
    <cellStyle name="常规 6 6 2 2 5 7" xfId="45080"/>
    <cellStyle name="常规 6 6 2 2 6" xfId="45081"/>
    <cellStyle name="常规 6 6 2 2 6 2" xfId="45082"/>
    <cellStyle name="常规 6 6 2 2 6 2 2" xfId="45083"/>
    <cellStyle name="常规 6 6 2 2 6 2 2 2" xfId="45084"/>
    <cellStyle name="常规 6 6 2 2 6 2 2 2 2" xfId="45085"/>
    <cellStyle name="常规 6 6 2 2 6 2 2 3" xfId="45086"/>
    <cellStyle name="常规 6 6 2 2 6 2 2 4" xfId="45087"/>
    <cellStyle name="常规 6 6 2 2 6 2 3" xfId="45088"/>
    <cellStyle name="常规 6 6 2 2 6 2 3 2" xfId="45089"/>
    <cellStyle name="常规 6 6 2 2 6 2 4" xfId="45090"/>
    <cellStyle name="常规 6 6 2 2 6 2 5" xfId="45091"/>
    <cellStyle name="常规 6 6 2 2 6 3" xfId="45092"/>
    <cellStyle name="常规 6 6 2 2 6 3 2" xfId="45093"/>
    <cellStyle name="常规 6 6 2 2 6 3 2 2" xfId="45094"/>
    <cellStyle name="常规 6 6 2 2 6 3 3" xfId="41924"/>
    <cellStyle name="常规 6 6 2 2 6 3 4" xfId="41927"/>
    <cellStyle name="常规 6 6 2 2 6 4" xfId="45095"/>
    <cellStyle name="常规 6 6 2 2 6 4 2" xfId="45096"/>
    <cellStyle name="常规 6 6 2 2 6 5" xfId="45097"/>
    <cellStyle name="常规 6 6 2 2 6 6" xfId="45098"/>
    <cellStyle name="常规 6 6 2 2 7" xfId="45099"/>
    <cellStyle name="常规 6 6 2 2 7 2" xfId="45100"/>
    <cellStyle name="常规 6 6 2 2 7 2 2" xfId="45101"/>
    <cellStyle name="常规 6 6 2 2 7 2 2 2" xfId="45102"/>
    <cellStyle name="常规 6 6 2 2 7 2 3" xfId="45103"/>
    <cellStyle name="常规 6 6 2 2 7 2 4" xfId="45104"/>
    <cellStyle name="常规 6 6 2 2 7 3" xfId="45105"/>
    <cellStyle name="常规 6 6 2 2 7 3 2" xfId="45106"/>
    <cellStyle name="常规 6 6 2 2 7 4" xfId="45107"/>
    <cellStyle name="常规 6 6 2 2 7 5" xfId="45108"/>
    <cellStyle name="常规 6 6 2 2 8" xfId="45109"/>
    <cellStyle name="常规 6 6 2 2 8 2" xfId="45110"/>
    <cellStyle name="常规 6 6 2 2 8 2 2" xfId="45111"/>
    <cellStyle name="常规 6 6 2 2 8 3" xfId="45112"/>
    <cellStyle name="常规 6 6 2 2 8 4" xfId="45113"/>
    <cellStyle name="常规 6 6 2 2 9" xfId="45114"/>
    <cellStyle name="常规 6 6 2 2 9 2" xfId="45115"/>
    <cellStyle name="常规 6 6 2 3" xfId="45116"/>
    <cellStyle name="常规 6 6 2 3 2" xfId="45117"/>
    <cellStyle name="常规 6 6 2 3 2 2" xfId="45118"/>
    <cellStyle name="常规 6 6 2 3 2 2 2" xfId="45119"/>
    <cellStyle name="常规 6 6 2 3 2 2 2 2" xfId="34242"/>
    <cellStyle name="常规 6 6 2 3 2 2 2 2 2" xfId="25714"/>
    <cellStyle name="常规 6 6 2 3 2 2 2 2 2 2" xfId="45121"/>
    <cellStyle name="常规 6 6 2 3 2 2 2 2 2 2 2" xfId="14068"/>
    <cellStyle name="常规 6 6 2 3 2 2 2 2 2 3" xfId="45122"/>
    <cellStyle name="常规 6 6 2 3 2 2 2 2 2 4" xfId="45123"/>
    <cellStyle name="常规 6 6 2 3 2 2 2 2 3" xfId="25716"/>
    <cellStyle name="常规 6 6 2 3 2 2 2 2 3 2" xfId="45124"/>
    <cellStyle name="常规 6 6 2 3 2 2 2 2 4" xfId="45125"/>
    <cellStyle name="常规 6 6 2 3 2 2 2 2 5" xfId="45126"/>
    <cellStyle name="常规 6 6 2 3 2 2 2 3" xfId="33616"/>
    <cellStyle name="常规 6 6 2 3 2 2 2 3 2" xfId="30064"/>
    <cellStyle name="常规 6 6 2 3 2 2 2 3 2 2" xfId="45127"/>
    <cellStyle name="常规 6 6 2 3 2 2 2 3 3" xfId="30068"/>
    <cellStyle name="常规 6 6 2 3 2 2 2 3 4" xfId="45128"/>
    <cellStyle name="常规 6 6 2 3 2 2 2 4" xfId="33619"/>
    <cellStyle name="常规 6 6 2 3 2 2 2 4 2" xfId="31947"/>
    <cellStyle name="常规 6 6 2 3 2 2 2 5" xfId="45129"/>
    <cellStyle name="常规 6 6 2 3 2 2 2 6" xfId="45130"/>
    <cellStyle name="常规 6 6 2 3 2 2 3" xfId="45131"/>
    <cellStyle name="常规 6 6 2 3 2 2 3 2" xfId="34247"/>
    <cellStyle name="常规 6 6 2 3 2 2 3 2 2" xfId="45132"/>
    <cellStyle name="常规 6 6 2 3 2 2 3 2 2 2" xfId="45133"/>
    <cellStyle name="常规 6 6 2 3 2 2 3 2 3" xfId="45134"/>
    <cellStyle name="常规 6 6 2 3 2 2 3 2 4" xfId="45135"/>
    <cellStyle name="常规 6 6 2 3 2 2 3 3" xfId="45136"/>
    <cellStyle name="常规 6 6 2 3 2 2 3 3 2" xfId="7211"/>
    <cellStyle name="常规 6 6 2 3 2 2 3 4" xfId="45137"/>
    <cellStyle name="常规 6 6 2 3 2 2 3 5" xfId="45138"/>
    <cellStyle name="常规 6 6 2 3 2 2 4" xfId="45139"/>
    <cellStyle name="常规 6 6 2 3 2 2 4 2" xfId="45140"/>
    <cellStyle name="常规 6 6 2 3 2 2 4 2 2" xfId="45141"/>
    <cellStyle name="常规 6 6 2 3 2 2 4 3" xfId="45142"/>
    <cellStyle name="常规 6 6 2 3 2 2 4 4" xfId="45143"/>
    <cellStyle name="常规 6 6 2 3 2 2 5" xfId="45144"/>
    <cellStyle name="常规 6 6 2 3 2 2 5 2" xfId="45145"/>
    <cellStyle name="常规 6 6 2 3 2 2 6" xfId="45146"/>
    <cellStyle name="常规 6 6 2 3 2 2 7" xfId="45147"/>
    <cellStyle name="常规 6 6 2 3 2 3" xfId="45148"/>
    <cellStyle name="常规 6 6 2 3 2 3 2" xfId="45149"/>
    <cellStyle name="常规 6 6 2 3 2 3 2 2" xfId="13291"/>
    <cellStyle name="常规 6 6 2 3 2 3 2 2 2" xfId="45150"/>
    <cellStyle name="常规 6 6 2 3 2 3 2 2 2 2" xfId="45151"/>
    <cellStyle name="常规 6 6 2 3 2 3 2 2 3" xfId="45152"/>
    <cellStyle name="常规 6 6 2 3 2 3 2 2 4" xfId="45153"/>
    <cellStyle name="常规 6 6 2 3 2 3 2 3" xfId="45154"/>
    <cellStyle name="常规 6 6 2 3 2 3 2 3 2" xfId="31951"/>
    <cellStyle name="常规 6 6 2 3 2 3 2 4" xfId="45156"/>
    <cellStyle name="常规 6 6 2 3 2 3 2 5" xfId="45158"/>
    <cellStyle name="常规 6 6 2 3 2 3 3" xfId="45159"/>
    <cellStyle name="常规 6 6 2 3 2 3 3 2" xfId="45160"/>
    <cellStyle name="常规 6 6 2 3 2 3 3 2 2" xfId="45161"/>
    <cellStyle name="常规 6 6 2 3 2 3 3 3" xfId="45162"/>
    <cellStyle name="常规 6 6 2 3 2 3 3 4" xfId="45163"/>
    <cellStyle name="常规 6 6 2 3 2 3 4" xfId="45164"/>
    <cellStyle name="常规 6 6 2 3 2 3 4 2" xfId="45165"/>
    <cellStyle name="常规 6 6 2 3 2 3 5" xfId="45166"/>
    <cellStyle name="常规 6 6 2 3 2 3 6" xfId="45167"/>
    <cellStyle name="常规 6 6 2 3 2 4" xfId="45168"/>
    <cellStyle name="常规 6 6 2 3 2 4 2" xfId="45169"/>
    <cellStyle name="常规 6 6 2 3 2 4 2 2" xfId="45170"/>
    <cellStyle name="常规 6 6 2 3 2 4 2 2 2" xfId="45171"/>
    <cellStyle name="常规 6 6 2 3 2 4 2 3" xfId="45172"/>
    <cellStyle name="常规 6 6 2 3 2 4 2 4" xfId="45173"/>
    <cellStyle name="常规 6 6 2 3 2 4 3" xfId="45174"/>
    <cellStyle name="常规 6 6 2 3 2 4 3 2" xfId="45175"/>
    <cellStyle name="常规 6 6 2 3 2 4 4" xfId="45176"/>
    <cellStyle name="常规 6 6 2 3 2 4 5" xfId="45177"/>
    <cellStyle name="常规 6 6 2 3 2 5" xfId="45178"/>
    <cellStyle name="常规 6 6 2 3 2 5 2" xfId="45179"/>
    <cellStyle name="常规 6 6 2 3 2 5 2 2" xfId="2157"/>
    <cellStyle name="常规 6 6 2 3 2 5 3" xfId="45180"/>
    <cellStyle name="常规 6 6 2 3 2 5 4" xfId="45181"/>
    <cellStyle name="常规 6 6 2 3 2 6" xfId="45182"/>
    <cellStyle name="常规 6 6 2 3 2 6 2" xfId="45183"/>
    <cellStyle name="常规 6 6 2 3 2 7" xfId="45184"/>
    <cellStyle name="常规 6 6 2 3 2 8" xfId="45185"/>
    <cellStyle name="常规 6 6 2 3 3" xfId="45186"/>
    <cellStyle name="常规 6 6 2 3 3 2" xfId="45187"/>
    <cellStyle name="常规 6 6 2 3 3 2 2" xfId="45188"/>
    <cellStyle name="常规 6 6 2 3 3 2 2 2" xfId="34267"/>
    <cellStyle name="常规 6 6 2 3 3 2 2 2 2" xfId="45189"/>
    <cellStyle name="常规 6 6 2 3 3 2 2 2 2 2" xfId="45191"/>
    <cellStyle name="常规 6 6 2 3 3 2 2 2 3" xfId="45192"/>
    <cellStyle name="常规 6 6 2 3 3 2 2 2 4" xfId="45193"/>
    <cellStyle name="常规 6 6 2 3 3 2 2 3" xfId="45194"/>
    <cellStyle name="常规 6 6 2 3 3 2 2 3 2" xfId="32008"/>
    <cellStyle name="常规 6 6 2 3 3 2 2 4" xfId="45195"/>
    <cellStyle name="常规 6 6 2 3 3 2 2 5" xfId="45196"/>
    <cellStyle name="常规 6 6 2 3 3 2 3" xfId="45197"/>
    <cellStyle name="常规 6 6 2 3 3 2 3 2" xfId="45198"/>
    <cellStyle name="常规 6 6 2 3 3 2 3 2 2" xfId="45199"/>
    <cellStyle name="常规 6 6 2 3 3 2 3 3" xfId="45200"/>
    <cellStyle name="常规 6 6 2 3 3 2 3 4" xfId="45201"/>
    <cellStyle name="常规 6 6 2 3 3 2 4" xfId="45202"/>
    <cellStyle name="常规 6 6 2 3 3 2 4 2" xfId="45203"/>
    <cellStyle name="常规 6 6 2 3 3 2 5" xfId="45204"/>
    <cellStyle name="常规 6 6 2 3 3 2 6" xfId="45205"/>
    <cellStyle name="常规 6 6 2 3 3 3" xfId="45206"/>
    <cellStyle name="常规 6 6 2 3 3 3 2" xfId="45207"/>
    <cellStyle name="常规 6 6 2 3 3 3 2 2" xfId="45208"/>
    <cellStyle name="常规 6 6 2 3 3 3 2 2 2" xfId="33318"/>
    <cellStyle name="常规 6 6 2 3 3 3 2 3" xfId="45209"/>
    <cellStyle name="常规 6 6 2 3 3 3 2 4" xfId="45210"/>
    <cellStyle name="常规 6 6 2 3 3 3 3" xfId="45211"/>
    <cellStyle name="常规 6 6 2 3 3 3 3 2" xfId="45212"/>
    <cellStyle name="常规 6 6 2 3 3 3 4" xfId="45213"/>
    <cellStyle name="常规 6 6 2 3 3 3 5" xfId="45214"/>
    <cellStyle name="常规 6 6 2 3 3 4" xfId="45215"/>
    <cellStyle name="常规 6 6 2 3 3 4 2" xfId="45216"/>
    <cellStyle name="常规 6 6 2 3 3 4 2 2" xfId="45217"/>
    <cellStyle name="常规 6 6 2 3 3 4 3" xfId="45218"/>
    <cellStyle name="常规 6 6 2 3 3 4 4" xfId="45219"/>
    <cellStyle name="常规 6 6 2 3 3 5" xfId="45220"/>
    <cellStyle name="常规 6 6 2 3 3 5 2" xfId="45221"/>
    <cellStyle name="常规 6 6 2 3 3 6" xfId="45222"/>
    <cellStyle name="常规 6 6 2 3 3 7" xfId="45223"/>
    <cellStyle name="常规 6 6 2 3 4" xfId="45224"/>
    <cellStyle name="常规 6 6 2 3 4 2" xfId="45225"/>
    <cellStyle name="常规 6 6 2 3 4 2 2" xfId="45226"/>
    <cellStyle name="常规 6 6 2 3 4 2 2 2" xfId="45227"/>
    <cellStyle name="常规 6 6 2 3 4 2 2 2 2" xfId="45228"/>
    <cellStyle name="常规 6 6 2 3 4 2 2 3" xfId="45229"/>
    <cellStyle name="常规 6 6 2 3 4 2 2 4" xfId="45230"/>
    <cellStyle name="常规 6 6 2 3 4 2 3" xfId="45231"/>
    <cellStyle name="常规 6 6 2 3 4 2 3 2" xfId="45232"/>
    <cellStyle name="常规 6 6 2 3 4 2 4" xfId="45233"/>
    <cellStyle name="常规 6 6 2 3 4 2 5" xfId="45234"/>
    <cellStyle name="常规 6 6 2 3 4 3" xfId="45235"/>
    <cellStyle name="常规 6 6 2 3 4 3 2" xfId="5868"/>
    <cellStyle name="常规 6 6 2 3 4 3 2 2" xfId="2524"/>
    <cellStyle name="常规 6 6 2 3 4 3 3" xfId="5872"/>
    <cellStyle name="常规 6 6 2 3 4 3 4" xfId="5555"/>
    <cellStyle name="常规 6 6 2 3 4 4" xfId="45236"/>
    <cellStyle name="常规 6 6 2 3 4 4 2" xfId="5880"/>
    <cellStyle name="常规 6 6 2 3 4 5" xfId="45237"/>
    <cellStyle name="常规 6 6 2 3 4 6" xfId="45238"/>
    <cellStyle name="常规 6 6 2 3 5" xfId="45239"/>
    <cellStyle name="常规 6 6 2 3 5 2" xfId="45240"/>
    <cellStyle name="常规 6 6 2 3 5 2 2" xfId="45241"/>
    <cellStyle name="常规 6 6 2 3 5 2 2 2" xfId="45242"/>
    <cellStyle name="常规 6 6 2 3 5 2 3" xfId="45243"/>
    <cellStyle name="常规 6 6 2 3 5 2 4" xfId="45244"/>
    <cellStyle name="常规 6 6 2 3 5 3" xfId="45245"/>
    <cellStyle name="常规 6 6 2 3 5 3 2" xfId="3390"/>
    <cellStyle name="常规 6 6 2 3 5 4" xfId="45246"/>
    <cellStyle name="常规 6 6 2 3 5 5" xfId="45247"/>
    <cellStyle name="常规 6 6 2 3 6" xfId="45248"/>
    <cellStyle name="常规 6 6 2 3 6 2" xfId="45249"/>
    <cellStyle name="常规 6 6 2 3 6 2 2" xfId="45250"/>
    <cellStyle name="常规 6 6 2 3 6 3" xfId="45251"/>
    <cellStyle name="常规 6 6 2 3 6 4" xfId="45252"/>
    <cellStyle name="常规 6 6 2 3 7" xfId="45253"/>
    <cellStyle name="常规 6 6 2 3 7 2" xfId="45254"/>
    <cellStyle name="常规 6 6 2 3 8" xfId="45255"/>
    <cellStyle name="常规 6 6 2 3 9" xfId="45256"/>
    <cellStyle name="常规 6 6 2 4" xfId="45257"/>
    <cellStyle name="常规 6 6 2 4 2" xfId="45258"/>
    <cellStyle name="常规 6 6 2 4 2 2" xfId="45259"/>
    <cellStyle name="常规 6 6 2 4 2 2 2" xfId="45260"/>
    <cellStyle name="常规 6 6 2 4 2 2 2 2" xfId="34486"/>
    <cellStyle name="常规 6 6 2 4 2 2 2 2 2" xfId="45261"/>
    <cellStyle name="常规 6 6 2 4 2 2 2 2 2 2" xfId="45263"/>
    <cellStyle name="常规 6 6 2 4 2 2 2 2 2 2 2" xfId="45264"/>
    <cellStyle name="常规 6 6 2 4 2 2 2 2 2 3" xfId="23110"/>
    <cellStyle name="常规 6 6 2 4 2 2 2 2 2 4" xfId="23113"/>
    <cellStyle name="常规 6 6 2 4 2 2 2 2 3" xfId="45265"/>
    <cellStyle name="常规 6 6 2 4 2 2 2 2 3 2" xfId="45266"/>
    <cellStyle name="常规 6 6 2 4 2 2 2 2 4" xfId="45267"/>
    <cellStyle name="常规 6 6 2 4 2 2 2 2 5" xfId="45268"/>
    <cellStyle name="常规 6 6 2 4 2 2 2 3" xfId="45269"/>
    <cellStyle name="常规 6 6 2 4 2 2 2 3 2" xfId="32161"/>
    <cellStyle name="常规 6 6 2 4 2 2 2 3 2 2" xfId="45270"/>
    <cellStyle name="常规 6 6 2 4 2 2 2 3 3" xfId="45271"/>
    <cellStyle name="常规 6 6 2 4 2 2 2 3 4" xfId="45272"/>
    <cellStyle name="常规 6 6 2 4 2 2 2 4" xfId="45273"/>
    <cellStyle name="常规 6 6 2 4 2 2 2 4 2" xfId="45274"/>
    <cellStyle name="常规 6 6 2 4 2 2 2 5" xfId="45275"/>
    <cellStyle name="常规 6 6 2 4 2 2 2 6" xfId="45276"/>
    <cellStyle name="常规 6 6 2 4 2 2 3" xfId="45277"/>
    <cellStyle name="常规 6 6 2 4 2 2 3 2" xfId="45278"/>
    <cellStyle name="常规 6 6 2 4 2 2 3 2 2" xfId="45279"/>
    <cellStyle name="常规 6 6 2 4 2 2 3 2 2 2" xfId="45280"/>
    <cellStyle name="常规 6 6 2 4 2 2 3 2 3" xfId="45281"/>
    <cellStyle name="常规 6 6 2 4 2 2 3 2 4" xfId="45282"/>
    <cellStyle name="常规 6 6 2 4 2 2 3 3" xfId="45283"/>
    <cellStyle name="常规 6 6 2 4 2 2 3 3 2" xfId="45284"/>
    <cellStyle name="常规 6 6 2 4 2 2 3 4" xfId="45285"/>
    <cellStyle name="常规 6 6 2 4 2 2 3 5" xfId="45286"/>
    <cellStyle name="常规 6 6 2 4 2 2 4" xfId="45287"/>
    <cellStyle name="常规 6 6 2 4 2 2 4 2" xfId="45288"/>
    <cellStyle name="常规 6 6 2 4 2 2 4 2 2" xfId="45289"/>
    <cellStyle name="常规 6 6 2 4 2 2 4 3" xfId="45290"/>
    <cellStyle name="常规 6 6 2 4 2 2 4 4" xfId="45291"/>
    <cellStyle name="常规 6 6 2 4 2 2 5" xfId="45292"/>
    <cellStyle name="常规 6 6 2 4 2 2 5 2" xfId="45293"/>
    <cellStyle name="常规 6 6 2 4 2 2 6" xfId="45294"/>
    <cellStyle name="常规 6 6 2 4 2 2 7" xfId="45295"/>
    <cellStyle name="常规 6 6 2 4 2 3" xfId="45296"/>
    <cellStyle name="常规 6 6 2 4 2 3 2" xfId="45297"/>
    <cellStyle name="常规 6 6 2 4 2 3 2 2" xfId="45298"/>
    <cellStyle name="常规 6 6 2 4 2 3 2 2 2" xfId="45299"/>
    <cellStyle name="常规 6 6 2 4 2 3 2 2 2 2" xfId="45300"/>
    <cellStyle name="常规 6 6 2 4 2 3 2 2 3" xfId="45301"/>
    <cellStyle name="常规 6 6 2 4 2 3 2 2 4" xfId="45302"/>
    <cellStyle name="常规 6 6 2 4 2 3 2 3" xfId="45303"/>
    <cellStyle name="常规 6 6 2 4 2 3 2 3 2" xfId="45304"/>
    <cellStyle name="常规 6 6 2 4 2 3 2 4" xfId="45305"/>
    <cellStyle name="常规 6 6 2 4 2 3 2 5" xfId="45306"/>
    <cellStyle name="常规 6 6 2 4 2 3 3" xfId="45307"/>
    <cellStyle name="常规 6 6 2 4 2 3 3 2" xfId="45308"/>
    <cellStyle name="常规 6 6 2 4 2 3 3 2 2" xfId="45309"/>
    <cellStyle name="常规 6 6 2 4 2 3 3 3" xfId="45310"/>
    <cellStyle name="常规 6 6 2 4 2 3 3 4" xfId="45311"/>
    <cellStyle name="常规 6 6 2 4 2 3 4" xfId="45312"/>
    <cellStyle name="常规 6 6 2 4 2 3 4 2" xfId="29077"/>
    <cellStyle name="常规 6 6 2 4 2 3 5" xfId="45313"/>
    <cellStyle name="常规 6 6 2 4 2 3 6" xfId="45314"/>
    <cellStyle name="常规 6 6 2 4 2 4" xfId="45315"/>
    <cellStyle name="常规 6 6 2 4 2 4 2" xfId="45316"/>
    <cellStyle name="常规 6 6 2 4 2 4 2 2" xfId="45317"/>
    <cellStyle name="常规 6 6 2 4 2 4 2 2 2" xfId="45318"/>
    <cellStyle name="常规 6 6 2 4 2 4 2 3" xfId="45319"/>
    <cellStyle name="常规 6 6 2 4 2 4 2 4" xfId="45320"/>
    <cellStyle name="常规 6 6 2 4 2 4 3" xfId="45321"/>
    <cellStyle name="常规 6 6 2 4 2 4 3 2" xfId="45322"/>
    <cellStyle name="常规 6 6 2 4 2 4 4" xfId="45323"/>
    <cellStyle name="常规 6 6 2 4 2 4 5" xfId="45324"/>
    <cellStyle name="常规 6 6 2 4 2 5" xfId="45326"/>
    <cellStyle name="常规 6 6 2 4 2 5 2" xfId="45328"/>
    <cellStyle name="常规 6 6 2 4 2 5 2 2" xfId="45330"/>
    <cellStyle name="常规 6 6 2 4 2 5 3" xfId="45332"/>
    <cellStyle name="常规 6 6 2 4 2 5 4" xfId="45334"/>
    <cellStyle name="常规 6 6 2 4 2 6" xfId="45336"/>
    <cellStyle name="常规 6 6 2 4 2 6 2" xfId="45338"/>
    <cellStyle name="常规 6 6 2 4 2 7" xfId="45340"/>
    <cellStyle name="常规 6 6 2 4 2 8" xfId="45342"/>
    <cellStyle name="常规 6 6 2 4 3" xfId="45343"/>
    <cellStyle name="常规 6 6 2 4 3 2" xfId="45344"/>
    <cellStyle name="常规 6 6 2 4 3 2 2" xfId="45345"/>
    <cellStyle name="常规 6 6 2 4 3 2 2 2" xfId="45346"/>
    <cellStyle name="常规 6 6 2 4 3 2 2 2 2" xfId="45347"/>
    <cellStyle name="常规 6 6 2 4 3 2 2 2 2 2" xfId="45348"/>
    <cellStyle name="常规 6 6 2 4 3 2 2 2 3" xfId="45349"/>
    <cellStyle name="常规 6 6 2 4 3 2 2 2 4" xfId="45350"/>
    <cellStyle name="常规 6 6 2 4 3 2 2 3" xfId="45351"/>
    <cellStyle name="常规 6 6 2 4 3 2 2 3 2" xfId="45352"/>
    <cellStyle name="常规 6 6 2 4 3 2 2 4" xfId="45353"/>
    <cellStyle name="常规 6 6 2 4 3 2 2 5" xfId="45354"/>
    <cellStyle name="常规 6 6 2 4 3 2 3" xfId="45355"/>
    <cellStyle name="常规 6 6 2 4 3 2 3 2" xfId="45356"/>
    <cellStyle name="常规 6 6 2 4 3 2 3 2 2" xfId="45357"/>
    <cellStyle name="常规 6 6 2 4 3 2 3 3" xfId="45358"/>
    <cellStyle name="常规 6 6 2 4 3 2 3 4" xfId="45359"/>
    <cellStyle name="常规 6 6 2 4 3 2 4" xfId="45360"/>
    <cellStyle name="常规 6 6 2 4 3 2 4 2" xfId="45361"/>
    <cellStyle name="常规 6 6 2 4 3 2 5" xfId="45362"/>
    <cellStyle name="常规 6 6 2 4 3 2 6" xfId="45363"/>
    <cellStyle name="常规 6 6 2 4 3 3" xfId="45364"/>
    <cellStyle name="常规 6 6 2 4 3 3 2" xfId="45365"/>
    <cellStyle name="常规 6 6 2 4 3 3 2 2" xfId="45366"/>
    <cellStyle name="常规 6 6 2 4 3 3 2 2 2" xfId="33398"/>
    <cellStyle name="常规 6 6 2 4 3 3 2 3" xfId="45367"/>
    <cellStyle name="常规 6 6 2 4 3 3 2 4" xfId="45368"/>
    <cellStyle name="常规 6 6 2 4 3 3 3" xfId="45369"/>
    <cellStyle name="常规 6 6 2 4 3 3 3 2" xfId="45370"/>
    <cellStyle name="常规 6 6 2 4 3 3 4" xfId="45371"/>
    <cellStyle name="常规 6 6 2 4 3 3 5" xfId="45372"/>
    <cellStyle name="常规 6 6 2 4 3 4" xfId="45373"/>
    <cellStyle name="常规 6 6 2 4 3 4 2" xfId="45374"/>
    <cellStyle name="常规 6 6 2 4 3 4 2 2" xfId="45375"/>
    <cellStyle name="常规 6 6 2 4 3 4 3" xfId="45376"/>
    <cellStyle name="常规 6 6 2 4 3 4 4" xfId="45377"/>
    <cellStyle name="常规 6 6 2 4 3 5" xfId="45379"/>
    <cellStyle name="常规 6 6 2 4 3 5 2" xfId="45381"/>
    <cellStyle name="常规 6 6 2 4 3 6" xfId="45383"/>
    <cellStyle name="常规 6 6 2 4 3 7" xfId="45385"/>
    <cellStyle name="常规 6 6 2 4 4" xfId="45386"/>
    <cellStyle name="常规 6 6 2 4 4 2" xfId="45387"/>
    <cellStyle name="常规 6 6 2 4 4 2 2" xfId="45388"/>
    <cellStyle name="常规 6 6 2 4 4 2 2 2" xfId="45389"/>
    <cellStyle name="常规 6 6 2 4 4 2 2 2 2" xfId="45390"/>
    <cellStyle name="常规 6 6 2 4 4 2 2 3" xfId="45391"/>
    <cellStyle name="常规 6 6 2 4 4 2 2 4" xfId="45392"/>
    <cellStyle name="常规 6 6 2 4 4 2 3" xfId="45393"/>
    <cellStyle name="常规 6 6 2 4 4 2 3 2" xfId="45394"/>
    <cellStyle name="常规 6 6 2 4 4 2 4" xfId="45395"/>
    <cellStyle name="常规 6 6 2 4 4 2 5" xfId="45396"/>
    <cellStyle name="常规 6 6 2 4 4 3" xfId="45397"/>
    <cellStyle name="常规 6 6 2 4 4 3 2" xfId="5265"/>
    <cellStyle name="常规 6 6 2 4 4 3 2 2" xfId="45398"/>
    <cellStyle name="常规 6 6 2 4 4 3 3" xfId="3573"/>
    <cellStyle name="常规 6 6 2 4 4 3 4" xfId="45399"/>
    <cellStyle name="常规 6 6 2 4 4 4" xfId="45400"/>
    <cellStyle name="常规 6 6 2 4 4 4 2" xfId="45401"/>
    <cellStyle name="常规 6 6 2 4 4 5" xfId="45403"/>
    <cellStyle name="常规 6 6 2 4 4 6" xfId="45404"/>
    <cellStyle name="常规 6 6 2 4 5" xfId="45405"/>
    <cellStyle name="常规 6 6 2 4 5 2" xfId="45406"/>
    <cellStyle name="常规 6 6 2 4 5 2 2" xfId="45407"/>
    <cellStyle name="常规 6 6 2 4 5 2 2 2" xfId="45408"/>
    <cellStyle name="常规 6 6 2 4 5 2 3" xfId="45409"/>
    <cellStyle name="常规 6 6 2 4 5 2 4" xfId="45410"/>
    <cellStyle name="常规 6 6 2 4 5 3" xfId="45411"/>
    <cellStyle name="常规 6 6 2 4 5 3 2" xfId="45412"/>
    <cellStyle name="常规 6 6 2 4 5 4" xfId="45413"/>
    <cellStyle name="常规 6 6 2 4 5 5" xfId="45414"/>
    <cellStyle name="常规 6 6 2 4 6" xfId="45415"/>
    <cellStyle name="常规 6 6 2 4 6 2" xfId="45416"/>
    <cellStyle name="常规 6 6 2 4 6 2 2" xfId="45417"/>
    <cellStyle name="常规 6 6 2 4 6 3" xfId="45418"/>
    <cellStyle name="常规 6 6 2 4 6 4" xfId="45419"/>
    <cellStyle name="常规 6 6 2 4 7" xfId="45420"/>
    <cellStyle name="常规 6 6 2 4 7 2" xfId="45421"/>
    <cellStyle name="常规 6 6 2 4 8" xfId="45422"/>
    <cellStyle name="常规 6 6 2 4 9" xfId="45423"/>
    <cellStyle name="常规 6 6 2 5" xfId="45424"/>
    <cellStyle name="常规 6 6 2 5 2" xfId="45425"/>
    <cellStyle name="常规 6 6 2 5 2 2" xfId="45426"/>
    <cellStyle name="常规 6 6 2 5 2 2 2" xfId="45427"/>
    <cellStyle name="常规 6 6 2 5 2 2 2 2" xfId="45428"/>
    <cellStyle name="常规 6 6 2 5 2 2 2 2 2" xfId="45429"/>
    <cellStyle name="常规 6 6 2 5 2 2 2 2 2 2" xfId="45430"/>
    <cellStyle name="常规 6 6 2 5 2 2 2 2 3" xfId="45431"/>
    <cellStyle name="常规 6 6 2 5 2 2 2 2 4" xfId="45432"/>
    <cellStyle name="常规 6 6 2 5 2 2 2 3" xfId="45433"/>
    <cellStyle name="常规 6 6 2 5 2 2 2 3 2" xfId="32247"/>
    <cellStyle name="常规 6 6 2 5 2 2 2 4" xfId="45434"/>
    <cellStyle name="常规 6 6 2 5 2 2 2 5" xfId="45435"/>
    <cellStyle name="常规 6 6 2 5 2 2 3" xfId="45436"/>
    <cellStyle name="常规 6 6 2 5 2 2 3 2" xfId="45437"/>
    <cellStyle name="常规 6 6 2 5 2 2 3 2 2" xfId="45438"/>
    <cellStyle name="常规 6 6 2 5 2 2 3 3" xfId="45439"/>
    <cellStyle name="常规 6 6 2 5 2 2 3 4" xfId="45440"/>
    <cellStyle name="常规 6 6 2 5 2 2 4" xfId="45441"/>
    <cellStyle name="常规 6 6 2 5 2 2 4 2" xfId="45442"/>
    <cellStyle name="常规 6 6 2 5 2 2 5" xfId="45443"/>
    <cellStyle name="常规 6 6 2 5 2 2 6" xfId="45444"/>
    <cellStyle name="常规 6 6 2 5 2 3" xfId="45445"/>
    <cellStyle name="常规 6 6 2 5 2 3 2" xfId="45446"/>
    <cellStyle name="常规 6 6 2 5 2 3 2 2" xfId="45447"/>
    <cellStyle name="常规 6 6 2 5 2 3 2 2 2" xfId="45448"/>
    <cellStyle name="常规 6 6 2 5 2 3 2 3" xfId="45449"/>
    <cellStyle name="常规 6 6 2 5 2 3 2 4" xfId="45450"/>
    <cellStyle name="常规 6 6 2 5 2 3 3" xfId="45451"/>
    <cellStyle name="常规 6 6 2 5 2 3 3 2" xfId="45452"/>
    <cellStyle name="常规 6 6 2 5 2 3 4" xfId="45453"/>
    <cellStyle name="常规 6 6 2 5 2 3 5" xfId="45454"/>
    <cellStyle name="常规 6 6 2 5 2 4" xfId="45455"/>
    <cellStyle name="常规 6 6 2 5 2 4 2" xfId="45456"/>
    <cellStyle name="常规 6 6 2 5 2 4 2 2" xfId="23944"/>
    <cellStyle name="常规 6 6 2 5 2 4 3" xfId="45457"/>
    <cellStyle name="常规 6 6 2 5 2 4 4" xfId="45458"/>
    <cellStyle name="常规 6 6 2 5 2 5" xfId="45460"/>
    <cellStyle name="常规 6 6 2 5 2 5 2" xfId="45462"/>
    <cellStyle name="常规 6 6 2 5 2 6" xfId="45464"/>
    <cellStyle name="常规 6 6 2 5 2 7" xfId="45466"/>
    <cellStyle name="常规 6 6 2 5 3" xfId="45467"/>
    <cellStyle name="常规 6 6 2 5 3 2" xfId="45468"/>
    <cellStyle name="常规 6 6 2 5 3 2 2" xfId="45469"/>
    <cellStyle name="常规 6 6 2 5 3 2 2 2" xfId="45470"/>
    <cellStyle name="常规 6 6 2 5 3 2 2 2 2" xfId="22981"/>
    <cellStyle name="常规 6 6 2 5 3 2 2 3" xfId="45471"/>
    <cellStyle name="常规 6 6 2 5 3 2 2 4" xfId="45472"/>
    <cellStyle name="常规 6 6 2 5 3 2 3" xfId="45473"/>
    <cellStyle name="常规 6 6 2 5 3 2 3 2" xfId="45474"/>
    <cellStyle name="常规 6 6 2 5 3 2 4" xfId="45475"/>
    <cellStyle name="常规 6 6 2 5 3 2 5" xfId="45476"/>
    <cellStyle name="常规 6 6 2 5 3 3" xfId="45477"/>
    <cellStyle name="常规 6 6 2 5 3 3 2" xfId="45478"/>
    <cellStyle name="常规 6 6 2 5 3 3 2 2" xfId="27264"/>
    <cellStyle name="常规 6 6 2 5 3 3 3" xfId="45479"/>
    <cellStyle name="常规 6 6 2 5 3 3 4" xfId="45480"/>
    <cellStyle name="常规 6 6 2 5 3 4" xfId="45481"/>
    <cellStyle name="常规 6 6 2 5 3 4 2" xfId="45482"/>
    <cellStyle name="常规 6 6 2 5 3 5" xfId="45484"/>
    <cellStyle name="常规 6 6 2 5 3 6" xfId="45485"/>
    <cellStyle name="常规 6 6 2 5 4" xfId="45486"/>
    <cellStyle name="常规 6 6 2 5 4 2" xfId="45487"/>
    <cellStyle name="常规 6 6 2 5 4 2 2" xfId="45488"/>
    <cellStyle name="常规 6 6 2 5 4 2 2 2" xfId="45489"/>
    <cellStyle name="常规 6 6 2 5 4 2 3" xfId="45490"/>
    <cellStyle name="常规 6 6 2 5 4 2 4" xfId="45491"/>
    <cellStyle name="常规 6 6 2 5 4 3" xfId="45492"/>
    <cellStyle name="常规 6 6 2 5 4 3 2" xfId="45493"/>
    <cellStyle name="常规 6 6 2 5 4 4" xfId="45494"/>
    <cellStyle name="常规 6 6 2 5 4 5" xfId="45495"/>
    <cellStyle name="常规 6 6 2 5 5" xfId="45496"/>
    <cellStyle name="常规 6 6 2 5 5 2" xfId="45497"/>
    <cellStyle name="常规 6 6 2 5 5 2 2" xfId="45498"/>
    <cellStyle name="常规 6 6 2 5 5 3" xfId="45499"/>
    <cellStyle name="常规 6 6 2 5 5 4" xfId="45500"/>
    <cellStyle name="常规 6 6 2 5 6" xfId="45501"/>
    <cellStyle name="常规 6 6 2 5 6 2" xfId="45502"/>
    <cellStyle name="常规 6 6 2 5 7" xfId="45503"/>
    <cellStyle name="常规 6 6 2 5 8" xfId="45504"/>
    <cellStyle name="常规 6 6 2 6" xfId="45505"/>
    <cellStyle name="常规 6 6 2 6 2" xfId="45506"/>
    <cellStyle name="常规 6 6 2 6 2 2" xfId="45507"/>
    <cellStyle name="常规 6 6 2 6 2 2 2" xfId="45508"/>
    <cellStyle name="常规 6 6 2 6 2 2 2 2" xfId="45509"/>
    <cellStyle name="常规 6 6 2 6 2 2 2 2 2" xfId="45510"/>
    <cellStyle name="常规 6 6 2 6 2 2 2 3" xfId="45511"/>
    <cellStyle name="常规 6 6 2 6 2 2 2 4" xfId="45512"/>
    <cellStyle name="常规 6 6 2 6 2 2 3" xfId="45513"/>
    <cellStyle name="常规 6 6 2 6 2 2 3 2" xfId="9874"/>
    <cellStyle name="常规 6 6 2 6 2 2 4" xfId="45514"/>
    <cellStyle name="常规 6 6 2 6 2 2 5" xfId="45515"/>
    <cellStyle name="常规 6 6 2 6 2 3" xfId="45516"/>
    <cellStyle name="常规 6 6 2 6 2 3 2" xfId="45517"/>
    <cellStyle name="常规 6 6 2 6 2 3 2 2" xfId="45518"/>
    <cellStyle name="常规 6 6 2 6 2 3 3" xfId="45519"/>
    <cellStyle name="常规 6 6 2 6 2 3 4" xfId="45520"/>
    <cellStyle name="常规 6 6 2 6 2 4" xfId="45521"/>
    <cellStyle name="常规 6 6 2 6 2 4 2" xfId="45522"/>
    <cellStyle name="常规 6 6 2 6 2 5" xfId="45524"/>
    <cellStyle name="常规 6 6 2 6 2 6" xfId="45525"/>
    <cellStyle name="常规 6 6 2 6 3" xfId="45526"/>
    <cellStyle name="常规 6 6 2 6 3 2" xfId="45527"/>
    <cellStyle name="常规 6 6 2 6 3 2 2" xfId="45528"/>
    <cellStyle name="常规 6 6 2 6 3 2 2 2" xfId="45529"/>
    <cellStyle name="常规 6 6 2 6 3 2 3" xfId="45530"/>
    <cellStyle name="常规 6 6 2 6 3 2 4" xfId="45531"/>
    <cellStyle name="常规 6 6 2 6 3 3" xfId="45532"/>
    <cellStyle name="常规 6 6 2 6 3 3 2" xfId="45533"/>
    <cellStyle name="常规 6 6 2 6 3 4" xfId="45534"/>
    <cellStyle name="常规 6 6 2 6 3 5" xfId="45535"/>
    <cellStyle name="常规 6 6 2 6 4" xfId="45536"/>
    <cellStyle name="常规 6 6 2 6 4 2" xfId="45537"/>
    <cellStyle name="常规 6 6 2 6 4 2 2" xfId="45538"/>
    <cellStyle name="常规 6 6 2 6 4 3" xfId="45539"/>
    <cellStyle name="常规 6 6 2 6 4 4" xfId="45540"/>
    <cellStyle name="常规 6 6 2 6 5" xfId="45541"/>
    <cellStyle name="常规 6 6 2 6 5 2" xfId="45542"/>
    <cellStyle name="常规 6 6 2 6 6" xfId="45543"/>
    <cellStyle name="常规 6 6 2 6 7" xfId="45544"/>
    <cellStyle name="常规 6 6 2 7" xfId="45545"/>
    <cellStyle name="常规 6 6 2 7 2" xfId="45546"/>
    <cellStyle name="常规 6 6 2 7 2 2" xfId="45547"/>
    <cellStyle name="常规 6 6 2 7 2 2 2" xfId="45548"/>
    <cellStyle name="常规 6 6 2 7 2 2 2 2" xfId="45549"/>
    <cellStyle name="常规 6 6 2 7 2 2 3" xfId="45550"/>
    <cellStyle name="常规 6 6 2 7 2 2 4" xfId="45551"/>
    <cellStyle name="常规 6 6 2 7 2 3" xfId="45552"/>
    <cellStyle name="常规 6 6 2 7 2 3 2" xfId="45553"/>
    <cellStyle name="常规 6 6 2 7 2 4" xfId="45554"/>
    <cellStyle name="常规 6 6 2 7 2 5" xfId="45555"/>
    <cellStyle name="常规 6 6 2 7 3" xfId="45556"/>
    <cellStyle name="常规 6 6 2 7 3 2" xfId="45557"/>
    <cellStyle name="常规 6 6 2 7 3 2 2" xfId="45558"/>
    <cellStyle name="常规 6 6 2 7 3 3" xfId="45559"/>
    <cellStyle name="常规 6 6 2 7 3 4" xfId="45560"/>
    <cellStyle name="常规 6 6 2 7 4" xfId="2837"/>
    <cellStyle name="常规 6 6 2 7 4 2" xfId="45561"/>
    <cellStyle name="常规 6 6 2 7 5" xfId="2839"/>
    <cellStyle name="常规 6 6 2 7 6" xfId="45562"/>
    <cellStyle name="常规 6 6 2 8" xfId="45563"/>
    <cellStyle name="常规 6 6 2 8 2" xfId="45564"/>
    <cellStyle name="常规 6 6 2 8 2 2" xfId="45565"/>
    <cellStyle name="常规 6 6 2 8 2 2 2" xfId="45566"/>
    <cellStyle name="常规 6 6 2 8 2 3" xfId="45567"/>
    <cellStyle name="常规 6 6 2 8 2 4" xfId="45568"/>
    <cellStyle name="常规 6 6 2 8 3" xfId="45569"/>
    <cellStyle name="常规 6 6 2 8 3 2" xfId="45570"/>
    <cellStyle name="常规 6 6 2 8 4" xfId="2851"/>
    <cellStyle name="常规 6 6 2 8 5" xfId="45571"/>
    <cellStyle name="常规 6 6 2 9" xfId="45572"/>
    <cellStyle name="常规 6 6 2 9 2" xfId="45573"/>
    <cellStyle name="常规 6 6 2 9 2 2" xfId="33059"/>
    <cellStyle name="常规 6 6 2 9 3" xfId="45574"/>
    <cellStyle name="常规 6 6 2 9 4" xfId="45575"/>
    <cellStyle name="常规 6 6 3" xfId="45576"/>
    <cellStyle name="常规 6 6 3 10" xfId="45577"/>
    <cellStyle name="常规 6 6 3 11" xfId="45578"/>
    <cellStyle name="常规 6 6 3 2" xfId="1530"/>
    <cellStyle name="常规 6 6 3 2 2" xfId="4288"/>
    <cellStyle name="常规 6 6 3 2 2 2" xfId="45579"/>
    <cellStyle name="常规 6 6 3 2 2 2 2" xfId="45580"/>
    <cellStyle name="常规 6 6 3 2 2 2 2 2" xfId="45581"/>
    <cellStyle name="常规 6 6 3 2 2 2 2 2 2" xfId="45582"/>
    <cellStyle name="常规 6 6 3 2 2 2 2 2 2 2" xfId="45583"/>
    <cellStyle name="常规 6 6 3 2 2 2 2 2 2 2 2" xfId="45584"/>
    <cellStyle name="常规 6 6 3 2 2 2 2 2 2 3" xfId="45585"/>
    <cellStyle name="常规 6 6 3 2 2 2 2 2 2 4" xfId="45586"/>
    <cellStyle name="常规 6 6 3 2 2 2 2 2 3" xfId="45587"/>
    <cellStyle name="常规 6 6 3 2 2 2 2 2 3 2" xfId="45588"/>
    <cellStyle name="常规 6 6 3 2 2 2 2 2 4" xfId="45589"/>
    <cellStyle name="常规 6 6 3 2 2 2 2 2 5" xfId="45590"/>
    <cellStyle name="常规 6 6 3 2 2 2 2 3" xfId="45591"/>
    <cellStyle name="常规 6 6 3 2 2 2 2 3 2" xfId="45592"/>
    <cellStyle name="常规 6 6 3 2 2 2 2 3 2 2" xfId="10126"/>
    <cellStyle name="常规 6 6 3 2 2 2 2 3 3" xfId="45593"/>
    <cellStyle name="常规 6 6 3 2 2 2 2 3 4" xfId="45594"/>
    <cellStyle name="常规 6 6 3 2 2 2 2 4" xfId="45595"/>
    <cellStyle name="常规 6 6 3 2 2 2 2 4 2" xfId="27622"/>
    <cellStyle name="常规 6 6 3 2 2 2 2 5" xfId="45596"/>
    <cellStyle name="常规 6 6 3 2 2 2 2 6" xfId="45597"/>
    <cellStyle name="常规 6 6 3 2 2 2 3" xfId="45598"/>
    <cellStyle name="常规 6 6 3 2 2 2 3 2" xfId="45599"/>
    <cellStyle name="常规 6 6 3 2 2 2 3 2 2" xfId="45600"/>
    <cellStyle name="常规 6 6 3 2 2 2 3 2 2 2" xfId="45601"/>
    <cellStyle name="常规 6 6 3 2 2 2 3 2 3" xfId="45602"/>
    <cellStyle name="常规 6 6 3 2 2 2 3 2 4" xfId="45603"/>
    <cellStyle name="常规 6 6 3 2 2 2 3 3" xfId="45604"/>
    <cellStyle name="常规 6 6 3 2 2 2 3 3 2" xfId="45605"/>
    <cellStyle name="常规 6 6 3 2 2 2 3 4" xfId="45606"/>
    <cellStyle name="常规 6 6 3 2 2 2 3 5" xfId="45607"/>
    <cellStyle name="常规 6 6 3 2 2 2 4" xfId="45608"/>
    <cellStyle name="常规 6 6 3 2 2 2 4 2" xfId="45609"/>
    <cellStyle name="常规 6 6 3 2 2 2 4 2 2" xfId="45610"/>
    <cellStyle name="常规 6 6 3 2 2 2 4 3" xfId="45611"/>
    <cellStyle name="常规 6 6 3 2 2 2 4 4" xfId="45612"/>
    <cellStyle name="常规 6 6 3 2 2 2 5" xfId="45613"/>
    <cellStyle name="常规 6 6 3 2 2 2 5 2" xfId="45614"/>
    <cellStyle name="常规 6 6 3 2 2 2 6" xfId="45615"/>
    <cellStyle name="常规 6 6 3 2 2 2 7" xfId="45616"/>
    <cellStyle name="常规 6 6 3 2 2 3" xfId="45617"/>
    <cellStyle name="常规 6 6 3 2 2 3 2" xfId="45618"/>
    <cellStyle name="常规 6 6 3 2 2 3 2 2" xfId="45619"/>
    <cellStyle name="常规 6 6 3 2 2 3 2 2 2" xfId="45620"/>
    <cellStyle name="常规 6 6 3 2 2 3 2 2 2 2" xfId="45621"/>
    <cellStyle name="常规 6 6 3 2 2 3 2 2 3" xfId="45622"/>
    <cellStyle name="常规 6 6 3 2 2 3 2 2 4" xfId="45623"/>
    <cellStyle name="常规 6 6 3 2 2 3 2 3" xfId="45624"/>
    <cellStyle name="常规 6 6 3 2 2 3 2 3 2" xfId="45625"/>
    <cellStyle name="常规 6 6 3 2 2 3 2 4" xfId="45626"/>
    <cellStyle name="常规 6 6 3 2 2 3 2 5" xfId="45627"/>
    <cellStyle name="常规 6 6 3 2 2 3 3" xfId="45628"/>
    <cellStyle name="常规 6 6 3 2 2 3 3 2" xfId="45629"/>
    <cellStyle name="常规 6 6 3 2 2 3 3 2 2" xfId="45630"/>
    <cellStyle name="常规 6 6 3 2 2 3 3 3" xfId="45631"/>
    <cellStyle name="常规 6 6 3 2 2 3 3 4" xfId="45632"/>
    <cellStyle name="常规 6 6 3 2 2 3 4" xfId="45633"/>
    <cellStyle name="常规 6 6 3 2 2 3 4 2" xfId="45634"/>
    <cellStyle name="常规 6 6 3 2 2 3 5" xfId="45635"/>
    <cellStyle name="常规 6 6 3 2 2 3 6" xfId="45636"/>
    <cellStyle name="常规 6 6 3 2 2 4" xfId="45637"/>
    <cellStyle name="常规 6 6 3 2 2 4 2" xfId="45325"/>
    <cellStyle name="常规 6 6 3 2 2 4 2 2" xfId="45327"/>
    <cellStyle name="常规 6 6 3 2 2 4 2 2 2" xfId="45329"/>
    <cellStyle name="常规 6 6 3 2 2 4 2 3" xfId="45331"/>
    <cellStyle name="常规 6 6 3 2 2 4 2 4" xfId="45333"/>
    <cellStyle name="常规 6 6 3 2 2 4 3" xfId="45335"/>
    <cellStyle name="常规 6 6 3 2 2 4 3 2" xfId="45337"/>
    <cellStyle name="常规 6 6 3 2 2 4 4" xfId="45339"/>
    <cellStyle name="常规 6 6 3 2 2 4 5" xfId="45341"/>
    <cellStyle name="常规 6 6 3 2 2 5" xfId="45638"/>
    <cellStyle name="常规 6 6 3 2 2 5 2" xfId="45378"/>
    <cellStyle name="常规 6 6 3 2 2 5 2 2" xfId="45380"/>
    <cellStyle name="常规 6 6 3 2 2 5 3" xfId="45382"/>
    <cellStyle name="常规 6 6 3 2 2 5 4" xfId="45384"/>
    <cellStyle name="常规 6 6 3 2 2 6" xfId="45639"/>
    <cellStyle name="常规 6 6 3 2 2 6 2" xfId="45402"/>
    <cellStyle name="常规 6 6 3 2 2 7" xfId="45640"/>
    <cellStyle name="常规 6 6 3 2 2 8" xfId="45641"/>
    <cellStyle name="常规 6 6 3 2 3" xfId="23527"/>
    <cellStyle name="常规 6 6 3 2 3 2" xfId="23529"/>
    <cellStyle name="常规 6 6 3 2 3 2 2" xfId="45642"/>
    <cellStyle name="常规 6 6 3 2 3 2 2 2" xfId="45643"/>
    <cellStyle name="常规 6 6 3 2 3 2 2 2 2" xfId="45644"/>
    <cellStyle name="常规 6 6 3 2 3 2 2 2 2 2" xfId="45645"/>
    <cellStyle name="常规 6 6 3 2 3 2 2 2 3" xfId="45646"/>
    <cellStyle name="常规 6 6 3 2 3 2 2 2 4" xfId="45647"/>
    <cellStyle name="常规 6 6 3 2 3 2 2 3" xfId="45648"/>
    <cellStyle name="常规 6 6 3 2 3 2 2 3 2" xfId="45649"/>
    <cellStyle name="常规 6 6 3 2 3 2 2 4" xfId="45650"/>
    <cellStyle name="常规 6 6 3 2 3 2 2 5" xfId="45651"/>
    <cellStyle name="常规 6 6 3 2 3 2 3" xfId="45652"/>
    <cellStyle name="常规 6 6 3 2 3 2 3 2" xfId="45653"/>
    <cellStyle name="常规 6 6 3 2 3 2 3 2 2" xfId="45654"/>
    <cellStyle name="常规 6 6 3 2 3 2 3 3" xfId="45655"/>
    <cellStyle name="常规 6 6 3 2 3 2 3 4" xfId="45656"/>
    <cellStyle name="常规 6 6 3 2 3 2 4" xfId="45657"/>
    <cellStyle name="常规 6 6 3 2 3 2 4 2" xfId="45658"/>
    <cellStyle name="常规 6 6 3 2 3 2 5" xfId="45659"/>
    <cellStyle name="常规 6 6 3 2 3 2 6" xfId="45660"/>
    <cellStyle name="常规 6 6 3 2 3 3" xfId="45661"/>
    <cellStyle name="常规 6 6 3 2 3 3 2" xfId="45662"/>
    <cellStyle name="常规 6 6 3 2 3 3 2 2" xfId="45663"/>
    <cellStyle name="常规 6 6 3 2 3 3 2 2 2" xfId="45664"/>
    <cellStyle name="常规 6 6 3 2 3 3 2 3" xfId="45665"/>
    <cellStyle name="常规 6 6 3 2 3 3 2 4" xfId="45666"/>
    <cellStyle name="常规 6 6 3 2 3 3 3" xfId="45667"/>
    <cellStyle name="常规 6 6 3 2 3 3 3 2" xfId="45668"/>
    <cellStyle name="常规 6 6 3 2 3 3 4" xfId="45669"/>
    <cellStyle name="常规 6 6 3 2 3 3 5" xfId="45670"/>
    <cellStyle name="常规 6 6 3 2 3 4" xfId="45671"/>
    <cellStyle name="常规 6 6 3 2 3 4 2" xfId="45459"/>
    <cellStyle name="常规 6 6 3 2 3 4 2 2" xfId="45461"/>
    <cellStyle name="常规 6 6 3 2 3 4 3" xfId="45463"/>
    <cellStyle name="常规 6 6 3 2 3 4 4" xfId="45465"/>
    <cellStyle name="常规 6 6 3 2 3 5" xfId="45672"/>
    <cellStyle name="常规 6 6 3 2 3 5 2" xfId="45483"/>
    <cellStyle name="常规 6 6 3 2 3 6" xfId="45673"/>
    <cellStyle name="常规 6 6 3 2 3 7" xfId="45674"/>
    <cellStyle name="常规 6 6 3 2 4" xfId="23531"/>
    <cellStyle name="常规 6 6 3 2 4 2" xfId="45675"/>
    <cellStyle name="常规 6 6 3 2 4 2 2" xfId="45676"/>
    <cellStyle name="常规 6 6 3 2 4 2 2 2" xfId="45677"/>
    <cellStyle name="常规 6 6 3 2 4 2 2 2 2" xfId="45678"/>
    <cellStyle name="常规 6 6 3 2 4 2 2 3" xfId="45679"/>
    <cellStyle name="常规 6 6 3 2 4 2 2 4" xfId="45680"/>
    <cellStyle name="常规 6 6 3 2 4 2 3" xfId="45681"/>
    <cellStyle name="常规 6 6 3 2 4 2 3 2" xfId="45682"/>
    <cellStyle name="常规 6 6 3 2 4 2 4" xfId="45683"/>
    <cellStyle name="常规 6 6 3 2 4 2 5" xfId="45684"/>
    <cellStyle name="常规 6 6 3 2 4 3" xfId="45685"/>
    <cellStyle name="常规 6 6 3 2 4 3 2" xfId="45686"/>
    <cellStyle name="常规 6 6 3 2 4 3 2 2" xfId="45687"/>
    <cellStyle name="常规 6 6 3 2 4 3 3" xfId="45688"/>
    <cellStyle name="常规 6 6 3 2 4 3 4" xfId="45689"/>
    <cellStyle name="常规 6 6 3 2 4 4" xfId="45690"/>
    <cellStyle name="常规 6 6 3 2 4 4 2" xfId="45523"/>
    <cellStyle name="常规 6 6 3 2 4 5" xfId="45691"/>
    <cellStyle name="常规 6 6 3 2 4 6" xfId="45692"/>
    <cellStyle name="常规 6 6 3 2 5" xfId="23535"/>
    <cellStyle name="常规 6 6 3 2 5 2" xfId="45693"/>
    <cellStyle name="常规 6 6 3 2 5 2 2" xfId="45694"/>
    <cellStyle name="常规 6 6 3 2 5 2 2 2" xfId="45695"/>
    <cellStyle name="常规 6 6 3 2 5 2 3" xfId="45696"/>
    <cellStyle name="常规 6 6 3 2 5 2 4" xfId="45697"/>
    <cellStyle name="常规 6 6 3 2 5 3" xfId="45698"/>
    <cellStyle name="常规 6 6 3 2 5 3 2" xfId="45699"/>
    <cellStyle name="常规 6 6 3 2 5 4" xfId="45700"/>
    <cellStyle name="常规 6 6 3 2 5 5" xfId="45701"/>
    <cellStyle name="常规 6 6 3 2 6" xfId="45702"/>
    <cellStyle name="常规 6 6 3 2 6 2" xfId="45703"/>
    <cellStyle name="常规 6 6 3 2 6 2 2" xfId="45704"/>
    <cellStyle name="常规 6 6 3 2 6 3" xfId="45705"/>
    <cellStyle name="常规 6 6 3 2 6 4" xfId="45706"/>
    <cellStyle name="常规 6 6 3 2 7" xfId="45707"/>
    <cellStyle name="常规 6 6 3 2 7 2" xfId="25139"/>
    <cellStyle name="常规 6 6 3 2 8" xfId="45708"/>
    <cellStyle name="常规 6 6 3 2 9" xfId="45709"/>
    <cellStyle name="常规 6 6 3 3" xfId="5348"/>
    <cellStyle name="常规 6 6 3 3 2" xfId="41661"/>
    <cellStyle name="常规 6 6 3 3 2 2" xfId="41663"/>
    <cellStyle name="常规 6 6 3 3 2 2 2" xfId="45710"/>
    <cellStyle name="常规 6 6 3 3 2 2 2 2" xfId="45712"/>
    <cellStyle name="常规 6 6 3 3 2 2 2 2 2" xfId="45714"/>
    <cellStyle name="常规 6 6 3 3 2 2 2 2 2 2" xfId="45715"/>
    <cellStyle name="常规 6 6 3 3 2 2 2 2 2 2 2" xfId="45716"/>
    <cellStyle name="常规 6 6 3 3 2 2 2 2 2 3" xfId="45717"/>
    <cellStyle name="常规 6 6 3 3 2 2 2 2 2 4" xfId="45718"/>
    <cellStyle name="常规 6 6 3 3 2 2 2 2 3" xfId="45719"/>
    <cellStyle name="常规 6 6 3 3 2 2 2 2 3 2" xfId="45720"/>
    <cellStyle name="常规 6 6 3 3 2 2 2 2 4" xfId="29416"/>
    <cellStyle name="常规 6 6 3 3 2 2 2 2 5" xfId="29421"/>
    <cellStyle name="常规 6 6 3 3 2 2 2 3" xfId="45722"/>
    <cellStyle name="常规 6 6 3 3 2 2 2 3 2" xfId="27732"/>
    <cellStyle name="常规 6 6 3 3 2 2 2 3 2 2" xfId="45723"/>
    <cellStyle name="常规 6 6 3 3 2 2 2 3 3" xfId="45724"/>
    <cellStyle name="常规 6 6 3 3 2 2 2 3 4" xfId="34072"/>
    <cellStyle name="常规 6 6 3 3 2 2 2 4" xfId="45725"/>
    <cellStyle name="常规 6 6 3 3 2 2 2 4 2" xfId="45726"/>
    <cellStyle name="常规 6 6 3 3 2 2 2 5" xfId="45727"/>
    <cellStyle name="常规 6 6 3 3 2 2 2 6" xfId="45728"/>
    <cellStyle name="常规 6 6 3 3 2 2 3" xfId="45729"/>
    <cellStyle name="常规 6 6 3 3 2 2 3 2" xfId="45731"/>
    <cellStyle name="常规 6 6 3 3 2 2 3 2 2" xfId="45732"/>
    <cellStyle name="常规 6 6 3 3 2 2 3 2 2 2" xfId="45733"/>
    <cellStyle name="常规 6 6 3 3 2 2 3 2 3" xfId="45734"/>
    <cellStyle name="常规 6 6 3 3 2 2 3 2 4" xfId="45735"/>
    <cellStyle name="常规 6 6 3 3 2 2 3 3" xfId="45736"/>
    <cellStyle name="常规 6 6 3 3 2 2 3 3 2" xfId="45737"/>
    <cellStyle name="常规 6 6 3 3 2 2 3 4" xfId="45738"/>
    <cellStyle name="常规 6 6 3 3 2 2 3 5" xfId="45739"/>
    <cellStyle name="常规 6 6 3 3 2 2 4" xfId="45740"/>
    <cellStyle name="常规 6 6 3 3 2 2 4 2" xfId="45741"/>
    <cellStyle name="常规 6 6 3 3 2 2 4 2 2" xfId="45742"/>
    <cellStyle name="常规 6 6 3 3 2 2 4 3" xfId="45743"/>
    <cellStyle name="常规 6 6 3 3 2 2 4 4" xfId="45744"/>
    <cellStyle name="常规 6 6 3 3 2 2 5" xfId="45745"/>
    <cellStyle name="常规 6 6 3 3 2 2 5 2" xfId="45746"/>
    <cellStyle name="常规 6 6 3 3 2 2 6" xfId="45747"/>
    <cellStyle name="常规 6 6 3 3 2 2 7" xfId="45748"/>
    <cellStyle name="常规 6 6 3 3 2 3" xfId="45749"/>
    <cellStyle name="常规 6 6 3 3 2 3 2" xfId="45750"/>
    <cellStyle name="常规 6 6 3 3 2 3 2 2" xfId="45752"/>
    <cellStyle name="常规 6 6 3 3 2 3 2 2 2" xfId="45753"/>
    <cellStyle name="常规 6 6 3 3 2 3 2 2 2 2" xfId="45754"/>
    <cellStyle name="常规 6 6 3 3 2 3 2 2 3" xfId="45755"/>
    <cellStyle name="常规 6 6 3 3 2 3 2 2 4" xfId="45756"/>
    <cellStyle name="常规 6 6 3 3 2 3 2 3" xfId="45757"/>
    <cellStyle name="常规 6 6 3 3 2 3 2 3 2" xfId="45758"/>
    <cellStyle name="常规 6 6 3 3 2 3 2 4" xfId="45759"/>
    <cellStyle name="常规 6 6 3 3 2 3 2 5" xfId="45760"/>
    <cellStyle name="常规 6 6 3 3 2 3 3" xfId="45761"/>
    <cellStyle name="常规 6 6 3 3 2 3 3 2" xfId="45762"/>
    <cellStyle name="常规 6 6 3 3 2 3 3 2 2" xfId="45763"/>
    <cellStyle name="常规 6 6 3 3 2 3 3 3" xfId="45764"/>
    <cellStyle name="常规 6 6 3 3 2 3 3 4" xfId="45765"/>
    <cellStyle name="常规 6 6 3 3 2 3 4" xfId="45766"/>
    <cellStyle name="常规 6 6 3 3 2 3 4 2" xfId="45767"/>
    <cellStyle name="常规 6 6 3 3 2 3 5" xfId="45768"/>
    <cellStyle name="常规 6 6 3 3 2 3 6" xfId="45769"/>
    <cellStyle name="常规 6 6 3 3 2 4" xfId="45770"/>
    <cellStyle name="常规 6 6 3 3 2 4 2" xfId="45772"/>
    <cellStyle name="常规 6 6 3 3 2 4 2 2" xfId="45774"/>
    <cellStyle name="常规 6 6 3 3 2 4 2 2 2" xfId="45775"/>
    <cellStyle name="常规 6 6 3 3 2 4 2 3" xfId="45776"/>
    <cellStyle name="常规 6 6 3 3 2 4 2 4" xfId="45777"/>
    <cellStyle name="常规 6 6 3 3 2 4 3" xfId="45779"/>
    <cellStyle name="常规 6 6 3 3 2 4 3 2" xfId="45780"/>
    <cellStyle name="常规 6 6 3 3 2 4 4" xfId="45782"/>
    <cellStyle name="常规 6 6 3 3 2 4 5" xfId="45783"/>
    <cellStyle name="常规 6 6 3 3 2 5" xfId="45784"/>
    <cellStyle name="常规 6 6 3 3 2 5 2" xfId="45786"/>
    <cellStyle name="常规 6 6 3 3 2 5 2 2" xfId="45787"/>
    <cellStyle name="常规 6 6 3 3 2 5 3" xfId="45789"/>
    <cellStyle name="常规 6 6 3 3 2 5 4" xfId="45790"/>
    <cellStyle name="常规 6 6 3 3 2 6" xfId="45791"/>
    <cellStyle name="常规 6 6 3 3 2 6 2" xfId="45793"/>
    <cellStyle name="常规 6 6 3 3 2 7" xfId="45794"/>
    <cellStyle name="常规 6 6 3 3 2 8" xfId="45795"/>
    <cellStyle name="常规 6 6 3 3 3" xfId="23538"/>
    <cellStyle name="常规 6 6 3 3 3 2" xfId="45796"/>
    <cellStyle name="常规 6 6 3 3 3 2 2" xfId="45797"/>
    <cellStyle name="常规 6 6 3 3 3 2 2 2" xfId="45799"/>
    <cellStyle name="常规 6 6 3 3 3 2 2 2 2" xfId="45800"/>
    <cellStyle name="常规 6 6 3 3 3 2 2 2 2 2" xfId="45801"/>
    <cellStyle name="常规 6 6 3 3 3 2 2 2 3" xfId="45802"/>
    <cellStyle name="常规 6 6 3 3 3 2 2 2 4" xfId="45803"/>
    <cellStyle name="常规 6 6 3 3 3 2 2 3" xfId="45805"/>
    <cellStyle name="常规 6 6 3 3 3 2 2 3 2" xfId="45806"/>
    <cellStyle name="常规 6 6 3 3 3 2 2 4" xfId="45807"/>
    <cellStyle name="常规 6 6 3 3 3 2 2 5" xfId="45808"/>
    <cellStyle name="常规 6 6 3 3 3 2 3" xfId="45809"/>
    <cellStyle name="常规 6 6 3 3 3 2 3 2" xfId="45811"/>
    <cellStyle name="常规 6 6 3 3 3 2 3 2 2" xfId="45812"/>
    <cellStyle name="常规 6 6 3 3 3 2 3 3" xfId="45813"/>
    <cellStyle name="常规 6 6 3 3 3 2 3 4" xfId="45814"/>
    <cellStyle name="常规 6 6 3 3 3 2 4" xfId="45815"/>
    <cellStyle name="常规 6 6 3 3 3 2 4 2" xfId="45816"/>
    <cellStyle name="常规 6 6 3 3 3 2 5" xfId="45817"/>
    <cellStyle name="常规 6 6 3 3 3 2 6" xfId="45818"/>
    <cellStyle name="常规 6 6 3 3 3 3" xfId="45819"/>
    <cellStyle name="常规 6 6 3 3 3 3 2" xfId="45820"/>
    <cellStyle name="常规 6 6 3 3 3 3 2 2" xfId="45822"/>
    <cellStyle name="常规 6 6 3 3 3 3 2 2 2" xfId="45823"/>
    <cellStyle name="常规 6 6 3 3 3 3 2 3" xfId="45824"/>
    <cellStyle name="常规 6 6 3 3 3 3 2 4" xfId="45825"/>
    <cellStyle name="常规 6 6 3 3 3 3 3" xfId="45826"/>
    <cellStyle name="常规 6 6 3 3 3 3 3 2" xfId="45827"/>
    <cellStyle name="常规 6 6 3 3 3 3 4" xfId="45828"/>
    <cellStyle name="常规 6 6 3 3 3 3 5" xfId="45829"/>
    <cellStyle name="常规 6 6 3 3 3 4" xfId="45830"/>
    <cellStyle name="常规 6 6 3 3 3 4 2" xfId="45832"/>
    <cellStyle name="常规 6 6 3 3 3 4 2 2" xfId="45833"/>
    <cellStyle name="常规 6 6 3 3 3 4 3" xfId="45835"/>
    <cellStyle name="常规 6 6 3 3 3 4 4" xfId="45836"/>
    <cellStyle name="常规 6 6 3 3 3 5" xfId="45837"/>
    <cellStyle name="常规 6 6 3 3 3 5 2" xfId="45839"/>
    <cellStyle name="常规 6 6 3 3 3 6" xfId="45840"/>
    <cellStyle name="常规 6 6 3 3 3 7" xfId="45841"/>
    <cellStyle name="常规 6 6 3 3 4" xfId="41665"/>
    <cellStyle name="常规 6 6 3 3 4 2" xfId="45842"/>
    <cellStyle name="常规 6 6 3 3 4 2 2" xfId="45843"/>
    <cellStyle name="常规 6 6 3 3 4 2 2 2" xfId="45845"/>
    <cellStyle name="常规 6 6 3 3 4 2 2 2 2" xfId="45846"/>
    <cellStyle name="常规 6 6 3 3 4 2 2 3" xfId="45847"/>
    <cellStyle name="常规 6 6 3 3 4 2 2 4" xfId="45848"/>
    <cellStyle name="常规 6 6 3 3 4 2 3" xfId="45849"/>
    <cellStyle name="常规 6 6 3 3 4 2 3 2" xfId="45850"/>
    <cellStyle name="常规 6 6 3 3 4 2 4" xfId="45851"/>
    <cellStyle name="常规 6 6 3 3 4 2 5" xfId="45852"/>
    <cellStyle name="常规 6 6 3 3 4 3" xfId="45853"/>
    <cellStyle name="常规 6 6 3 3 4 3 2" xfId="5079"/>
    <cellStyle name="常规 6 6 3 3 4 3 2 2" xfId="45854"/>
    <cellStyle name="常规 6 6 3 3 4 3 3" xfId="5989"/>
    <cellStyle name="常规 6 6 3 3 4 3 4" xfId="45855"/>
    <cellStyle name="常规 6 6 3 3 4 4" xfId="45856"/>
    <cellStyle name="常规 6 6 3 3 4 4 2" xfId="45858"/>
    <cellStyle name="常规 6 6 3 3 4 5" xfId="45859"/>
    <cellStyle name="常规 6 6 3 3 4 6" xfId="45860"/>
    <cellStyle name="常规 6 6 3 3 5" xfId="45861"/>
    <cellStyle name="常规 6 6 3 3 5 2" xfId="45862"/>
    <cellStyle name="常规 6 6 3 3 5 2 2" xfId="45863"/>
    <cellStyle name="常规 6 6 3 3 5 2 2 2" xfId="45864"/>
    <cellStyle name="常规 6 6 3 3 5 2 3" xfId="45865"/>
    <cellStyle name="常规 6 6 3 3 5 2 4" xfId="45866"/>
    <cellStyle name="常规 6 6 3 3 5 3" xfId="45867"/>
    <cellStyle name="常规 6 6 3 3 5 3 2" xfId="45868"/>
    <cellStyle name="常规 6 6 3 3 5 4" xfId="45869"/>
    <cellStyle name="常规 6 6 3 3 5 5" xfId="45870"/>
    <cellStyle name="常规 6 6 3 3 6" xfId="45871"/>
    <cellStyle name="常规 6 6 3 3 6 2" xfId="45872"/>
    <cellStyle name="常规 6 6 3 3 6 2 2" xfId="45873"/>
    <cellStyle name="常规 6 6 3 3 6 3" xfId="45874"/>
    <cellStyle name="常规 6 6 3 3 6 4" xfId="45875"/>
    <cellStyle name="常规 6 6 3 3 7" xfId="45876"/>
    <cellStyle name="常规 6 6 3 3 7 2" xfId="25221"/>
    <cellStyle name="常规 6 6 3 3 8" xfId="45877"/>
    <cellStyle name="常规 6 6 3 3 9" xfId="45878"/>
    <cellStyle name="常规 6 6 3 4" xfId="5352"/>
    <cellStyle name="常规 6 6 3 4 2" xfId="41667"/>
    <cellStyle name="常规 6 6 3 4 2 2" xfId="45879"/>
    <cellStyle name="常规 6 6 3 4 2 2 2" xfId="45880"/>
    <cellStyle name="常规 6 6 3 4 2 2 2 2" xfId="45882"/>
    <cellStyle name="常规 6 6 3 4 2 2 2 2 2" xfId="45883"/>
    <cellStyle name="常规 6 6 3 4 2 2 2 2 2 2" xfId="45884"/>
    <cellStyle name="常规 6 6 3 4 2 2 2 2 3" xfId="45885"/>
    <cellStyle name="常规 6 6 3 4 2 2 2 2 4" xfId="45886"/>
    <cellStyle name="常规 6 6 3 4 2 2 2 3" xfId="45888"/>
    <cellStyle name="常规 6 6 3 4 2 2 2 3 2" xfId="32512"/>
    <cellStyle name="常规 6 6 3 4 2 2 2 4" xfId="45889"/>
    <cellStyle name="常规 6 6 3 4 2 2 2 5" xfId="45890"/>
    <cellStyle name="常规 6 6 3 4 2 2 3" xfId="45891"/>
    <cellStyle name="常规 6 6 3 4 2 2 3 2" xfId="45893"/>
    <cellStyle name="常规 6 6 3 4 2 2 3 2 2" xfId="45894"/>
    <cellStyle name="常规 6 6 3 4 2 2 3 3" xfId="45895"/>
    <cellStyle name="常规 6 6 3 4 2 2 3 4" xfId="45896"/>
    <cellStyle name="常规 6 6 3 4 2 2 4" xfId="45897"/>
    <cellStyle name="常规 6 6 3 4 2 2 4 2" xfId="45898"/>
    <cellStyle name="常规 6 6 3 4 2 2 5" xfId="45899"/>
    <cellStyle name="常规 6 6 3 4 2 2 6" xfId="45900"/>
    <cellStyle name="常规 6 6 3 4 2 3" xfId="45901"/>
    <cellStyle name="常规 6 6 3 4 2 3 2" xfId="45902"/>
    <cellStyle name="常规 6 6 3 4 2 3 2 2" xfId="45904"/>
    <cellStyle name="常规 6 6 3 4 2 3 2 2 2" xfId="45905"/>
    <cellStyle name="常规 6 6 3 4 2 3 2 3" xfId="45906"/>
    <cellStyle name="常规 6 6 3 4 2 3 2 4" xfId="45907"/>
    <cellStyle name="常规 6 6 3 4 2 3 3" xfId="45908"/>
    <cellStyle name="常规 6 6 3 4 2 3 3 2" xfId="45909"/>
    <cellStyle name="常规 6 6 3 4 2 3 4" xfId="45910"/>
    <cellStyle name="常规 6 6 3 4 2 3 5" xfId="45911"/>
    <cellStyle name="常规 6 6 3 4 2 4" xfId="45912"/>
    <cellStyle name="常规 6 6 3 4 2 4 2" xfId="45914"/>
    <cellStyle name="常规 6 6 3 4 2 4 2 2" xfId="45915"/>
    <cellStyle name="常规 6 6 3 4 2 4 3" xfId="45916"/>
    <cellStyle name="常规 6 6 3 4 2 4 4" xfId="45917"/>
    <cellStyle name="常规 6 6 3 4 2 5" xfId="45771"/>
    <cellStyle name="常规 6 6 3 4 2 5 2" xfId="45773"/>
    <cellStyle name="常规 6 6 3 4 2 6" xfId="45778"/>
    <cellStyle name="常规 6 6 3 4 2 7" xfId="45781"/>
    <cellStyle name="常规 6 6 3 4 3" xfId="45918"/>
    <cellStyle name="常规 6 6 3 4 3 2" xfId="45919"/>
    <cellStyle name="常规 6 6 3 4 3 2 2" xfId="45920"/>
    <cellStyle name="常规 6 6 3 4 3 2 2 2" xfId="45922"/>
    <cellStyle name="常规 6 6 3 4 3 2 2 2 2" xfId="45923"/>
    <cellStyle name="常规 6 6 3 4 3 2 2 3" xfId="45924"/>
    <cellStyle name="常规 6 6 3 4 3 2 2 4" xfId="45925"/>
    <cellStyle name="常规 6 6 3 4 3 2 3" xfId="45926"/>
    <cellStyle name="常规 6 6 3 4 3 2 3 2" xfId="45927"/>
    <cellStyle name="常规 6 6 3 4 3 2 4" xfId="45928"/>
    <cellStyle name="常规 6 6 3 4 3 2 5" xfId="45929"/>
    <cellStyle name="常规 6 6 3 4 3 3" xfId="45930"/>
    <cellStyle name="常规 6 6 3 4 3 3 2" xfId="45931"/>
    <cellStyle name="常规 6 6 3 4 3 3 2 2" xfId="45932"/>
    <cellStyle name="常规 6 6 3 4 3 3 3" xfId="45933"/>
    <cellStyle name="常规 6 6 3 4 3 3 4" xfId="45934"/>
    <cellStyle name="常规 6 6 3 4 3 4" xfId="45935"/>
    <cellStyle name="常规 6 6 3 4 3 4 2" xfId="45936"/>
    <cellStyle name="常规 6 6 3 4 3 5" xfId="45785"/>
    <cellStyle name="常规 6 6 3 4 3 6" xfId="45788"/>
    <cellStyle name="常规 6 6 3 4 4" xfId="45937"/>
    <cellStyle name="常规 6 6 3 4 4 2" xfId="45938"/>
    <cellStyle name="常规 6 6 3 4 4 2 2" xfId="9729"/>
    <cellStyle name="常规 6 6 3 4 4 2 2 2" xfId="9734"/>
    <cellStyle name="常规 6 6 3 4 4 2 3" xfId="9857"/>
    <cellStyle name="常规 6 6 3 4 4 2 4" xfId="9904"/>
    <cellStyle name="常规 6 6 3 4 4 3" xfId="45939"/>
    <cellStyle name="常规 6 6 3 4 4 3 2" xfId="9966"/>
    <cellStyle name="常规 6 6 3 4 4 4" xfId="45940"/>
    <cellStyle name="常规 6 6 3 4 4 5" xfId="45792"/>
    <cellStyle name="常规 6 6 3 4 5" xfId="45941"/>
    <cellStyle name="常规 6 6 3 4 5 2" xfId="45942"/>
    <cellStyle name="常规 6 6 3 4 5 2 2" xfId="10434"/>
    <cellStyle name="常规 6 6 3 4 5 3" xfId="45943"/>
    <cellStyle name="常规 6 6 3 4 5 4" xfId="45944"/>
    <cellStyle name="常规 6 6 3 4 6" xfId="45945"/>
    <cellStyle name="常规 6 6 3 4 6 2" xfId="45946"/>
    <cellStyle name="常规 6 6 3 4 7" xfId="45947"/>
    <cellStyle name="常规 6 6 3 4 8" xfId="45948"/>
    <cellStyle name="常规 6 6 3 5" xfId="41669"/>
    <cellStyle name="常规 6 6 3 5 2" xfId="45949"/>
    <cellStyle name="常规 6 6 3 5 2 2" xfId="45950"/>
    <cellStyle name="常规 6 6 3 5 2 2 2" xfId="45951"/>
    <cellStyle name="常规 6 6 3 5 2 2 2 2" xfId="45953"/>
    <cellStyle name="常规 6 6 3 5 2 2 2 2 2" xfId="45954"/>
    <cellStyle name="常规 6 6 3 5 2 2 2 3" xfId="45955"/>
    <cellStyle name="常规 6 6 3 5 2 2 2 4" xfId="45956"/>
    <cellStyle name="常规 6 6 3 5 2 2 3" xfId="45957"/>
    <cellStyle name="常规 6 6 3 5 2 2 3 2" xfId="45958"/>
    <cellStyle name="常规 6 6 3 5 2 2 4" xfId="45959"/>
    <cellStyle name="常规 6 6 3 5 2 2 5" xfId="45960"/>
    <cellStyle name="常规 6 6 3 5 2 3" xfId="45961"/>
    <cellStyle name="常规 6 6 3 5 2 3 2" xfId="45962"/>
    <cellStyle name="常规 6 6 3 5 2 3 2 2" xfId="45963"/>
    <cellStyle name="常规 6 6 3 5 2 3 3" xfId="45964"/>
    <cellStyle name="常规 6 6 3 5 2 3 4" xfId="45965"/>
    <cellStyle name="常规 6 6 3 5 2 4" xfId="45966"/>
    <cellStyle name="常规 6 6 3 5 2 4 2" xfId="45968"/>
    <cellStyle name="常规 6 6 3 5 2 5" xfId="45831"/>
    <cellStyle name="常规 6 6 3 5 2 6" xfId="45834"/>
    <cellStyle name="常规 6 6 3 5 3" xfId="45969"/>
    <cellStyle name="常规 6 6 3 5 3 2" xfId="45970"/>
    <cellStyle name="常规 6 6 3 5 3 2 2" xfId="45971"/>
    <cellStyle name="常规 6 6 3 5 3 2 2 2" xfId="45972"/>
    <cellStyle name="常规 6 6 3 5 3 2 3" xfId="45973"/>
    <cellStyle name="常规 6 6 3 5 3 2 4" xfId="45974"/>
    <cellStyle name="常规 6 6 3 5 3 3" xfId="45975"/>
    <cellStyle name="常规 6 6 3 5 3 3 2" xfId="45976"/>
    <cellStyle name="常规 6 6 3 5 3 4" xfId="45977"/>
    <cellStyle name="常规 6 6 3 5 3 5" xfId="45838"/>
    <cellStyle name="常规 6 6 3 5 4" xfId="45978"/>
    <cellStyle name="常规 6 6 3 5 4 2" xfId="45979"/>
    <cellStyle name="常规 6 6 3 5 4 2 2" xfId="11364"/>
    <cellStyle name="常规 6 6 3 5 4 3" xfId="45980"/>
    <cellStyle name="常规 6 6 3 5 4 4" xfId="45981"/>
    <cellStyle name="常规 6 6 3 5 5" xfId="45982"/>
    <cellStyle name="常规 6 6 3 5 5 2" xfId="45983"/>
    <cellStyle name="常规 6 6 3 5 6" xfId="45984"/>
    <cellStyle name="常规 6 6 3 5 7" xfId="45985"/>
    <cellStyle name="常规 6 6 3 6" xfId="41671"/>
    <cellStyle name="常规 6 6 3 6 2" xfId="45986"/>
    <cellStyle name="常规 6 6 3 6 2 2" xfId="45987"/>
    <cellStyle name="常规 6 6 3 6 2 2 2" xfId="45988"/>
    <cellStyle name="常规 6 6 3 6 2 2 2 2" xfId="45989"/>
    <cellStyle name="常规 6 6 3 6 2 2 3" xfId="45990"/>
    <cellStyle name="常规 6 6 3 6 2 2 4" xfId="45991"/>
    <cellStyle name="常规 6 6 3 6 2 3" xfId="45992"/>
    <cellStyle name="常规 6 6 3 6 2 3 2" xfId="45993"/>
    <cellStyle name="常规 6 6 3 6 2 4" xfId="1309"/>
    <cellStyle name="常规 6 6 3 6 2 5" xfId="45857"/>
    <cellStyle name="常规 6 6 3 6 3" xfId="45994"/>
    <cellStyle name="常规 6 6 3 6 3 2" xfId="45995"/>
    <cellStyle name="常规 6 6 3 6 3 2 2" xfId="45996"/>
    <cellStyle name="常规 6 6 3 6 3 3" xfId="45997"/>
    <cellStyle name="常规 6 6 3 6 3 4" xfId="45998"/>
    <cellStyle name="常规 6 6 3 6 4" xfId="45999"/>
    <cellStyle name="常规 6 6 3 6 4 2" xfId="46000"/>
    <cellStyle name="常规 6 6 3 6 5" xfId="46001"/>
    <cellStyle name="常规 6 6 3 6 6" xfId="46002"/>
    <cellStyle name="常规 6 6 3 7" xfId="46003"/>
    <cellStyle name="常规 6 6 3 7 2" xfId="46004"/>
    <cellStyle name="常规 6 6 3 7 2 2" xfId="46005"/>
    <cellStyle name="常规 6 6 3 7 2 2 2" xfId="46006"/>
    <cellStyle name="常规 6 6 3 7 2 3" xfId="46007"/>
    <cellStyle name="常规 6 6 3 7 2 4" xfId="46008"/>
    <cellStyle name="常规 6 6 3 7 3" xfId="46009"/>
    <cellStyle name="常规 6 6 3 7 3 2" xfId="46010"/>
    <cellStyle name="常规 6 6 3 7 4" xfId="2882"/>
    <cellStyle name="常规 6 6 3 7 5" xfId="2885"/>
    <cellStyle name="常规 6 6 3 8" xfId="46011"/>
    <cellStyle name="常规 6 6 3 8 2" xfId="46012"/>
    <cellStyle name="常规 6 6 3 8 2 2" xfId="46013"/>
    <cellStyle name="常规 6 6 3 8 3" xfId="46014"/>
    <cellStyle name="常规 6 6 3 8 4" xfId="2896"/>
    <cellStyle name="常规 6 6 3 9" xfId="46015"/>
    <cellStyle name="常规 6 6 3 9 2" xfId="46016"/>
    <cellStyle name="常规 6 6 4" xfId="46017"/>
    <cellStyle name="常规 6 6 4 2" xfId="3087"/>
    <cellStyle name="常规 6 6 4 2 2" xfId="46018"/>
    <cellStyle name="常规 6 6 4 2 2 2" xfId="46019"/>
    <cellStyle name="常规 6 6 4 2 2 2 2" xfId="46020"/>
    <cellStyle name="常规 6 6 4 2 2 2 2 2" xfId="46021"/>
    <cellStyle name="常规 6 6 4 2 2 2 2 2 2" xfId="11638"/>
    <cellStyle name="常规 6 6 4 2 2 2 2 2 2 2" xfId="11640"/>
    <cellStyle name="常规 6 6 4 2 2 2 2 2 3" xfId="11752"/>
    <cellStyle name="常规 6 6 4 2 2 2 2 2 4" xfId="11781"/>
    <cellStyle name="常规 6 6 4 2 2 2 2 3" xfId="46022"/>
    <cellStyle name="常规 6 6 4 2 2 2 2 3 2" xfId="11892"/>
    <cellStyle name="常规 6 6 4 2 2 2 2 4" xfId="25703"/>
    <cellStyle name="常规 6 6 4 2 2 2 2 5" xfId="46023"/>
    <cellStyle name="常规 6 6 4 2 2 2 3" xfId="46024"/>
    <cellStyle name="常规 6 6 4 2 2 2 3 2" xfId="46025"/>
    <cellStyle name="常规 6 6 4 2 2 2 3 2 2" xfId="12358"/>
    <cellStyle name="常规 6 6 4 2 2 2 3 3" xfId="46026"/>
    <cellStyle name="常规 6 6 4 2 2 2 3 4" xfId="46027"/>
    <cellStyle name="常规 6 6 4 2 2 2 4" xfId="46028"/>
    <cellStyle name="常规 6 6 4 2 2 2 4 2" xfId="46029"/>
    <cellStyle name="常规 6 6 4 2 2 2 5" xfId="46030"/>
    <cellStyle name="常规 6 6 4 2 2 2 6" xfId="46031"/>
    <cellStyle name="常规 6 6 4 2 2 3" xfId="46032"/>
    <cellStyle name="常规 6 6 4 2 2 3 2" xfId="46033"/>
    <cellStyle name="常规 6 6 4 2 2 3 2 2" xfId="46034"/>
    <cellStyle name="常规 6 6 4 2 2 3 2 2 2" xfId="13951"/>
    <cellStyle name="常规 6 6 4 2 2 3 2 3" xfId="46035"/>
    <cellStyle name="常规 6 6 4 2 2 3 2 4" xfId="45120"/>
    <cellStyle name="常规 6 6 4 2 2 3 3" xfId="46036"/>
    <cellStyle name="常规 6 6 4 2 2 3 3 2" xfId="46037"/>
    <cellStyle name="常规 6 6 4 2 2 3 4" xfId="46038"/>
    <cellStyle name="常规 6 6 4 2 2 3 5" xfId="46039"/>
    <cellStyle name="常规 6 6 4 2 2 4" xfId="46040"/>
    <cellStyle name="常规 6 6 4 2 2 4 2" xfId="46042"/>
    <cellStyle name="常规 6 6 4 2 2 4 2 2" xfId="46044"/>
    <cellStyle name="常规 6 6 4 2 2 4 3" xfId="46046"/>
    <cellStyle name="常规 6 6 4 2 2 4 4" xfId="46048"/>
    <cellStyle name="常规 6 6 4 2 2 5" xfId="46049"/>
    <cellStyle name="常规 6 6 4 2 2 5 2" xfId="46051"/>
    <cellStyle name="常规 6 6 4 2 2 6" xfId="46052"/>
    <cellStyle name="常规 6 6 4 2 2 7" xfId="46053"/>
    <cellStyle name="常规 6 6 4 2 3" xfId="23713"/>
    <cellStyle name="常规 6 6 4 2 3 2" xfId="23715"/>
    <cellStyle name="常规 6 6 4 2 3 2 2" xfId="46054"/>
    <cellStyle name="常规 6 6 4 2 3 2 2 2" xfId="46055"/>
    <cellStyle name="常规 6 6 4 2 3 2 2 2 2" xfId="46056"/>
    <cellStyle name="常规 6 6 4 2 3 2 2 3" xfId="46057"/>
    <cellStyle name="常规 6 6 4 2 3 2 2 4" xfId="46058"/>
    <cellStyle name="常规 6 6 4 2 3 2 3" xfId="46059"/>
    <cellStyle name="常规 6 6 4 2 3 2 3 2" xfId="46060"/>
    <cellStyle name="常规 6 6 4 2 3 2 4" xfId="46061"/>
    <cellStyle name="常规 6 6 4 2 3 2 5" xfId="46062"/>
    <cellStyle name="常规 6 6 4 2 3 3" xfId="46063"/>
    <cellStyle name="常规 6 6 4 2 3 3 2" xfId="46064"/>
    <cellStyle name="常规 6 6 4 2 3 3 2 2" xfId="46065"/>
    <cellStyle name="常规 6 6 4 2 3 3 3" xfId="46066"/>
    <cellStyle name="常规 6 6 4 2 3 3 4" xfId="46067"/>
    <cellStyle name="常规 6 6 4 2 3 4" xfId="46068"/>
    <cellStyle name="常规 6 6 4 2 3 4 2" xfId="46070"/>
    <cellStyle name="常规 6 6 4 2 3 5" xfId="45711"/>
    <cellStyle name="常规 6 6 4 2 3 6" xfId="45721"/>
    <cellStyle name="常规 6 6 4 2 4" xfId="23717"/>
    <cellStyle name="常规 6 6 4 2 4 2" xfId="46071"/>
    <cellStyle name="常规 6 6 4 2 4 2 2" xfId="46072"/>
    <cellStyle name="常规 6 6 4 2 4 2 2 2" xfId="46073"/>
    <cellStyle name="常规 6 6 4 2 4 2 3" xfId="46074"/>
    <cellStyle name="常规 6 6 4 2 4 2 4" xfId="46075"/>
    <cellStyle name="常规 6 6 4 2 4 3" xfId="46076"/>
    <cellStyle name="常规 6 6 4 2 4 3 2" xfId="46077"/>
    <cellStyle name="常规 6 6 4 2 4 4" xfId="46078"/>
    <cellStyle name="常规 6 6 4 2 4 5" xfId="45730"/>
    <cellStyle name="常规 6 6 4 2 5" xfId="23719"/>
    <cellStyle name="常规 6 6 4 2 5 2" xfId="46079"/>
    <cellStyle name="常规 6 6 4 2 5 2 2" xfId="46080"/>
    <cellStyle name="常规 6 6 4 2 5 3" xfId="46081"/>
    <cellStyle name="常规 6 6 4 2 5 4" xfId="46082"/>
    <cellStyle name="常规 6 6 4 2 6" xfId="46083"/>
    <cellStyle name="常规 6 6 4 2 6 2" xfId="46084"/>
    <cellStyle name="常规 6 6 4 2 7" xfId="46085"/>
    <cellStyle name="常规 6 6 4 2 8" xfId="46086"/>
    <cellStyle name="常规 6 6 4 3" xfId="5362"/>
    <cellStyle name="常规 6 6 4 3 2" xfId="41674"/>
    <cellStyle name="常规 6 6 4 3 2 2" xfId="46087"/>
    <cellStyle name="常规 6 6 4 3 2 2 2" xfId="46088"/>
    <cellStyle name="常规 6 6 4 3 2 2 2 2" xfId="46089"/>
    <cellStyle name="常规 6 6 4 3 2 2 2 2 2" xfId="46090"/>
    <cellStyle name="常规 6 6 4 3 2 2 2 3" xfId="46091"/>
    <cellStyle name="常规 6 6 4 3 2 2 2 4" xfId="46092"/>
    <cellStyle name="常规 6 6 4 3 2 2 3" xfId="46093"/>
    <cellStyle name="常规 6 6 4 3 2 2 3 2" xfId="46094"/>
    <cellStyle name="常规 6 6 4 3 2 2 4" xfId="46095"/>
    <cellStyle name="常规 6 6 4 3 2 2 5" xfId="46096"/>
    <cellStyle name="常规 6 6 4 3 2 3" xfId="46097"/>
    <cellStyle name="常规 6 6 4 3 2 3 2" xfId="46098"/>
    <cellStyle name="常规 6 6 4 3 2 3 2 2" xfId="46099"/>
    <cellStyle name="常规 6 6 4 3 2 3 3" xfId="46100"/>
    <cellStyle name="常规 6 6 4 3 2 3 4" xfId="46101"/>
    <cellStyle name="常规 6 6 4 3 2 4" xfId="46102"/>
    <cellStyle name="常规 6 6 4 3 2 4 2" xfId="46104"/>
    <cellStyle name="常规 6 6 4 3 2 5" xfId="46105"/>
    <cellStyle name="常规 6 6 4 3 2 6" xfId="46106"/>
    <cellStyle name="常规 6 6 4 3 3" xfId="23725"/>
    <cellStyle name="常规 6 6 4 3 3 2" xfId="46107"/>
    <cellStyle name="常规 6 6 4 3 3 2 2" xfId="46108"/>
    <cellStyle name="常规 6 6 4 3 3 2 2 2" xfId="46109"/>
    <cellStyle name="常规 6 6 4 3 3 2 3" xfId="46110"/>
    <cellStyle name="常规 6 6 4 3 3 2 4" xfId="46111"/>
    <cellStyle name="常规 6 6 4 3 3 3" xfId="46112"/>
    <cellStyle name="常规 6 6 4 3 3 3 2" xfId="46113"/>
    <cellStyle name="常规 6 6 4 3 3 4" xfId="46114"/>
    <cellStyle name="常规 6 6 4 3 3 5" xfId="45751"/>
    <cellStyle name="常规 6 6 4 3 4" xfId="46115"/>
    <cellStyle name="常规 6 6 4 3 4 2" xfId="46116"/>
    <cellStyle name="常规 6 6 4 3 4 2 2" xfId="46117"/>
    <cellStyle name="常规 6 6 4 3 4 3" xfId="46118"/>
    <cellStyle name="常规 6 6 4 3 4 4" xfId="46119"/>
    <cellStyle name="常规 6 6 4 3 5" xfId="46120"/>
    <cellStyle name="常规 6 6 4 3 5 2" xfId="46121"/>
    <cellStyle name="常规 6 6 4 3 6" xfId="46122"/>
    <cellStyle name="常规 6 6 4 3 7" xfId="46123"/>
    <cellStyle name="常规 6 6 4 4" xfId="41676"/>
    <cellStyle name="常规 6 6 4 4 2" xfId="46124"/>
    <cellStyle name="常规 6 6 4 4 2 2" xfId="46125"/>
    <cellStyle name="常规 6 6 4 4 2 2 2" xfId="46126"/>
    <cellStyle name="常规 6 6 4 4 2 2 2 2" xfId="46127"/>
    <cellStyle name="常规 6 6 4 4 2 2 3" xfId="46128"/>
    <cellStyle name="常规 6 6 4 4 2 2 4" xfId="46129"/>
    <cellStyle name="常规 6 6 4 4 2 3" xfId="46130"/>
    <cellStyle name="常规 6 6 4 4 2 3 2" xfId="46131"/>
    <cellStyle name="常规 6 6 4 4 2 4" xfId="46132"/>
    <cellStyle name="常规 6 6 4 4 2 5" xfId="45913"/>
    <cellStyle name="常规 6 6 4 4 3" xfId="46133"/>
    <cellStyle name="常规 6 6 4 4 3 2" xfId="46134"/>
    <cellStyle name="常规 6 6 4 4 3 2 2" xfId="46135"/>
    <cellStyle name="常规 6 6 4 4 3 3" xfId="46136"/>
    <cellStyle name="常规 6 6 4 4 3 4" xfId="46137"/>
    <cellStyle name="常规 6 6 4 4 4" xfId="46138"/>
    <cellStyle name="常规 6 6 4 4 4 2" xfId="46139"/>
    <cellStyle name="常规 6 6 4 4 5" xfId="46140"/>
    <cellStyle name="常规 6 6 4 4 6" xfId="46141"/>
    <cellStyle name="常规 6 6 4 5" xfId="41678"/>
    <cellStyle name="常规 6 6 4 5 2" xfId="46142"/>
    <cellStyle name="常规 6 6 4 5 2 2" xfId="5464"/>
    <cellStyle name="常规 6 6 4 5 2 2 2" xfId="46143"/>
    <cellStyle name="常规 6 6 4 5 2 3" xfId="15974"/>
    <cellStyle name="常规 6 6 4 5 2 4" xfId="46144"/>
    <cellStyle name="常规 6 6 4 5 3" xfId="46145"/>
    <cellStyle name="常规 6 6 4 5 3 2" xfId="15996"/>
    <cellStyle name="常规 6 6 4 5 4" xfId="46146"/>
    <cellStyle name="常规 6 6 4 5 5" xfId="46147"/>
    <cellStyle name="常规 6 6 4 6" xfId="46148"/>
    <cellStyle name="常规 6 6 4 6 2" xfId="46149"/>
    <cellStyle name="常规 6 6 4 6 2 2" xfId="3116"/>
    <cellStyle name="常规 6 6 4 6 3" xfId="46150"/>
    <cellStyle name="常规 6 6 4 6 4" xfId="46151"/>
    <cellStyle name="常规 6 6 4 7" xfId="46152"/>
    <cellStyle name="常规 6 6 4 7 2" xfId="46153"/>
    <cellStyle name="常规 6 6 4 8" xfId="46154"/>
    <cellStyle name="常规 6 6 4 9" xfId="46155"/>
    <cellStyle name="常规 6 6 5" xfId="46156"/>
    <cellStyle name="常规 6 6 5 2" xfId="42849"/>
    <cellStyle name="常规 6 6 5 2 2" xfId="7490"/>
    <cellStyle name="常规 6 6 5 2 2 2" xfId="46157"/>
    <cellStyle name="常规 6 6 5 2 2 2 2" xfId="46158"/>
    <cellStyle name="常规 6 6 5 2 2 2 2 2" xfId="46159"/>
    <cellStyle name="常规 6 6 5 2 2 2 2 2 2" xfId="46160"/>
    <cellStyle name="常规 6 6 5 2 2 2 2 2 2 2" xfId="46161"/>
    <cellStyle name="常规 6 6 5 2 2 2 2 2 3" xfId="46162"/>
    <cellStyle name="常规 6 6 5 2 2 2 2 2 4" xfId="46163"/>
    <cellStyle name="常规 6 6 5 2 2 2 2 3" xfId="46164"/>
    <cellStyle name="常规 6 6 5 2 2 2 2 3 2" xfId="46165"/>
    <cellStyle name="常规 6 6 5 2 2 2 2 4" xfId="46166"/>
    <cellStyle name="常规 6 6 5 2 2 2 2 5" xfId="46167"/>
    <cellStyle name="常规 6 6 5 2 2 2 3" xfId="46168"/>
    <cellStyle name="常规 6 6 5 2 2 2 3 2" xfId="46169"/>
    <cellStyle name="常规 6 6 5 2 2 2 3 2 2" xfId="46170"/>
    <cellStyle name="常规 6 6 5 2 2 2 3 3" xfId="46171"/>
    <cellStyle name="常规 6 6 5 2 2 2 3 4" xfId="46172"/>
    <cellStyle name="常规 6 6 5 2 2 2 4" xfId="46173"/>
    <cellStyle name="常规 6 6 5 2 2 2 4 2" xfId="46174"/>
    <cellStyle name="常规 6 6 5 2 2 2 5" xfId="46175"/>
    <cellStyle name="常规 6 6 5 2 2 2 6" xfId="46176"/>
    <cellStyle name="常规 6 6 5 2 2 3" xfId="46177"/>
    <cellStyle name="常规 6 6 5 2 2 3 2" xfId="46178"/>
    <cellStyle name="常规 6 6 5 2 2 3 2 2" xfId="46179"/>
    <cellStyle name="常规 6 6 5 2 2 3 2 2 2" xfId="46180"/>
    <cellStyle name="常规 6 6 5 2 2 3 2 3" xfId="46181"/>
    <cellStyle name="常规 6 6 5 2 2 3 2 4" xfId="45190"/>
    <cellStyle name="常规 6 6 5 2 2 3 3" xfId="46182"/>
    <cellStyle name="常规 6 6 5 2 2 3 3 2" xfId="46183"/>
    <cellStyle name="常规 6 6 5 2 2 3 4" xfId="46184"/>
    <cellStyle name="常规 6 6 5 2 2 3 5" xfId="46185"/>
    <cellStyle name="常规 6 6 5 2 2 4" xfId="46186"/>
    <cellStyle name="常规 6 6 5 2 2 4 2" xfId="46188"/>
    <cellStyle name="常规 6 6 5 2 2 4 2 2" xfId="46189"/>
    <cellStyle name="常规 6 6 5 2 2 4 3" xfId="46190"/>
    <cellStyle name="常规 6 6 5 2 2 4 4" xfId="46191"/>
    <cellStyle name="常规 6 6 5 2 2 5" xfId="46192"/>
    <cellStyle name="常规 6 6 5 2 2 5 2" xfId="46193"/>
    <cellStyle name="常规 6 6 5 2 2 6" xfId="46194"/>
    <cellStyle name="常规 6 6 5 2 2 7" xfId="46195"/>
    <cellStyle name="常规 6 6 5 2 3" xfId="23767"/>
    <cellStyle name="常规 6 6 5 2 3 2" xfId="46196"/>
    <cellStyle name="常规 6 6 5 2 3 2 2" xfId="46197"/>
    <cellStyle name="常规 6 6 5 2 3 2 2 2" xfId="46198"/>
    <cellStyle name="常规 6 6 5 2 3 2 2 2 2" xfId="46199"/>
    <cellStyle name="常规 6 6 5 2 3 2 2 3" xfId="46200"/>
    <cellStyle name="常规 6 6 5 2 3 2 2 4" xfId="46201"/>
    <cellStyle name="常规 6 6 5 2 3 2 3" xfId="46202"/>
    <cellStyle name="常规 6 6 5 2 3 2 3 2" xfId="46203"/>
    <cellStyle name="常规 6 6 5 2 3 2 4" xfId="46204"/>
    <cellStyle name="常规 6 6 5 2 3 2 5" xfId="43767"/>
    <cellStyle name="常规 6 6 5 2 3 3" xfId="46205"/>
    <cellStyle name="常规 6 6 5 2 3 3 2" xfId="46206"/>
    <cellStyle name="常规 6 6 5 2 3 3 2 2" xfId="46207"/>
    <cellStyle name="常规 6 6 5 2 3 3 3" xfId="46208"/>
    <cellStyle name="常规 6 6 5 2 3 3 4" xfId="46209"/>
    <cellStyle name="常规 6 6 5 2 3 4" xfId="46210"/>
    <cellStyle name="常规 6 6 5 2 3 4 2" xfId="46211"/>
    <cellStyle name="常规 6 6 5 2 3 5" xfId="45798"/>
    <cellStyle name="常规 6 6 5 2 3 6" xfId="45804"/>
    <cellStyle name="常规 6 6 5 2 4" xfId="46212"/>
    <cellStyle name="常规 6 6 5 2 4 2" xfId="46213"/>
    <cellStyle name="常规 6 6 5 2 4 2 2" xfId="46214"/>
    <cellStyle name="常规 6 6 5 2 4 2 2 2" xfId="37800"/>
    <cellStyle name="常规 6 6 5 2 4 2 3" xfId="46215"/>
    <cellStyle name="常规 6 6 5 2 4 2 4" xfId="46216"/>
    <cellStyle name="常规 6 6 5 2 4 3" xfId="46217"/>
    <cellStyle name="常规 6 6 5 2 4 3 2" xfId="46218"/>
    <cellStyle name="常规 6 6 5 2 4 4" xfId="46219"/>
    <cellStyle name="常规 6 6 5 2 4 5" xfId="45810"/>
    <cellStyle name="常规 6 6 5 2 5" xfId="46220"/>
    <cellStyle name="常规 6 6 5 2 5 2" xfId="46221"/>
    <cellStyle name="常规 6 6 5 2 5 2 2" xfId="46222"/>
    <cellStyle name="常规 6 6 5 2 5 3" xfId="46223"/>
    <cellStyle name="常规 6 6 5 2 5 4" xfId="46224"/>
    <cellStyle name="常规 6 6 5 2 6" xfId="46225"/>
    <cellStyle name="常规 6 6 5 2 6 2" xfId="46226"/>
    <cellStyle name="常规 6 6 5 2 7" xfId="46227"/>
    <cellStyle name="常规 6 6 5 2 8" xfId="46228"/>
    <cellStyle name="常规 6 6 5 3" xfId="41681"/>
    <cellStyle name="常规 6 6 5 3 2" xfId="46229"/>
    <cellStyle name="常规 6 6 5 3 2 2" xfId="46230"/>
    <cellStyle name="常规 6 6 5 3 2 2 2" xfId="37343"/>
    <cellStyle name="常规 6 6 5 3 2 2 2 2" xfId="46231"/>
    <cellStyle name="常规 6 6 5 3 2 2 2 2 2" xfId="46232"/>
    <cellStyle name="常规 6 6 5 3 2 2 2 3" xfId="46233"/>
    <cellStyle name="常规 6 6 5 3 2 2 2 4" xfId="46234"/>
    <cellStyle name="常规 6 6 5 3 2 2 3" xfId="46235"/>
    <cellStyle name="常规 6 6 5 3 2 2 3 2" xfId="46236"/>
    <cellStyle name="常规 6 6 5 3 2 2 4" xfId="46237"/>
    <cellStyle name="常规 6 6 5 3 2 2 5" xfId="46238"/>
    <cellStyle name="常规 6 6 5 3 2 3" xfId="46239"/>
    <cellStyle name="常规 6 6 5 3 2 3 2" xfId="46240"/>
    <cellStyle name="常规 6 6 5 3 2 3 2 2" xfId="46241"/>
    <cellStyle name="常规 6 6 5 3 2 3 3" xfId="46242"/>
    <cellStyle name="常规 6 6 5 3 2 3 4" xfId="46243"/>
    <cellStyle name="常规 6 6 5 3 2 4" xfId="46244"/>
    <cellStyle name="常规 6 6 5 3 2 4 2" xfId="46246"/>
    <cellStyle name="常规 6 6 5 3 2 5" xfId="46247"/>
    <cellStyle name="常规 6 6 5 3 2 6" xfId="46248"/>
    <cellStyle name="常规 6 6 5 3 3" xfId="46249"/>
    <cellStyle name="常规 6 6 5 3 3 2" xfId="46250"/>
    <cellStyle name="常规 6 6 5 3 3 2 2" xfId="46251"/>
    <cellStyle name="常规 6 6 5 3 3 2 2 2" xfId="46252"/>
    <cellStyle name="常规 6 6 5 3 3 2 3" xfId="46253"/>
    <cellStyle name="常规 6 6 5 3 3 2 4" xfId="46254"/>
    <cellStyle name="常规 6 6 5 3 3 3" xfId="46255"/>
    <cellStyle name="常规 6 6 5 3 3 3 2" xfId="46256"/>
    <cellStyle name="常规 6 6 5 3 3 4" xfId="46257"/>
    <cellStyle name="常规 6 6 5 3 3 5" xfId="45821"/>
    <cellStyle name="常规 6 6 5 3 4" xfId="46258"/>
    <cellStyle name="常规 6 6 5 3 4 2" xfId="46259"/>
    <cellStyle name="常规 6 6 5 3 4 2 2" xfId="46260"/>
    <cellStyle name="常规 6 6 5 3 4 3" xfId="46261"/>
    <cellStyle name="常规 6 6 5 3 4 4" xfId="46262"/>
    <cellStyle name="常规 6 6 5 3 5" xfId="46263"/>
    <cellStyle name="常规 6 6 5 3 5 2" xfId="46264"/>
    <cellStyle name="常规 6 6 5 3 6" xfId="46265"/>
    <cellStyle name="常规 6 6 5 3 7" xfId="46266"/>
    <cellStyle name="常规 6 6 5 4" xfId="46267"/>
    <cellStyle name="常规 6 6 5 4 2" xfId="46268"/>
    <cellStyle name="常规 6 6 5 4 2 2" xfId="46269"/>
    <cellStyle name="常规 6 6 5 4 2 2 2" xfId="46270"/>
    <cellStyle name="常规 6 6 5 4 2 2 2 2" xfId="46271"/>
    <cellStyle name="常规 6 6 5 4 2 2 3" xfId="46272"/>
    <cellStyle name="常规 6 6 5 4 2 2 4" xfId="46273"/>
    <cellStyle name="常规 6 6 5 4 2 3" xfId="46274"/>
    <cellStyle name="常规 6 6 5 4 2 3 2" xfId="46275"/>
    <cellStyle name="常规 6 6 5 4 2 4" xfId="46276"/>
    <cellStyle name="常规 6 6 5 4 2 5" xfId="45967"/>
    <cellStyle name="常规 6 6 5 4 3" xfId="46277"/>
    <cellStyle name="常规 6 6 5 4 3 2" xfId="46278"/>
    <cellStyle name="常规 6 6 5 4 3 2 2" xfId="46279"/>
    <cellStyle name="常规 6 6 5 4 3 3" xfId="46280"/>
    <cellStyle name="常规 6 6 5 4 3 4" xfId="46281"/>
    <cellStyle name="常规 6 6 5 4 4" xfId="46282"/>
    <cellStyle name="常规 6 6 5 4 4 2" xfId="46283"/>
    <cellStyle name="常规 6 6 5 4 5" xfId="46284"/>
    <cellStyle name="常规 6 6 5 4 6" xfId="46285"/>
    <cellStyle name="常规 6 6 5 5" xfId="46286"/>
    <cellStyle name="常规 6 6 5 5 2" xfId="46287"/>
    <cellStyle name="常规 6 6 5 5 2 2" xfId="3527"/>
    <cellStyle name="常规 6 6 5 5 2 2 2" xfId="46288"/>
    <cellStyle name="常规 6 6 5 5 2 3" xfId="16047"/>
    <cellStyle name="常规 6 6 5 5 2 4" xfId="46289"/>
    <cellStyle name="常规 6 6 5 5 3" xfId="46290"/>
    <cellStyle name="常规 6 6 5 5 3 2" xfId="16060"/>
    <cellStyle name="常规 6 6 5 5 4" xfId="46291"/>
    <cellStyle name="常规 6 6 5 5 5" xfId="46292"/>
    <cellStyle name="常规 6 6 5 6" xfId="46293"/>
    <cellStyle name="常规 6 6 5 6 2" xfId="46294"/>
    <cellStyle name="常规 6 6 5 6 2 2" xfId="8275"/>
    <cellStyle name="常规 6 6 5 6 3" xfId="46295"/>
    <cellStyle name="常规 6 6 5 6 4" xfId="46296"/>
    <cellStyle name="常规 6 6 5 7" xfId="46297"/>
    <cellStyle name="常规 6 6 5 7 2" xfId="46298"/>
    <cellStyle name="常规 6 6 5 8" xfId="46299"/>
    <cellStyle name="常规 6 6 5 9" xfId="46300"/>
    <cellStyle name="常规 6 6 6" xfId="46301"/>
    <cellStyle name="常规 6 6 6 2" xfId="46302"/>
    <cellStyle name="常规 6 6 6 2 2" xfId="46303"/>
    <cellStyle name="常规 6 6 6 2 2 2" xfId="46304"/>
    <cellStyle name="常规 6 6 6 2 2 2 2" xfId="46305"/>
    <cellStyle name="常规 6 6 6 2 2 2 2 2" xfId="46306"/>
    <cellStyle name="常规 6 6 6 2 2 2 2 2 2" xfId="46307"/>
    <cellStyle name="常规 6 6 6 2 2 2 2 3" xfId="46308"/>
    <cellStyle name="常规 6 6 6 2 2 2 2 4" xfId="46309"/>
    <cellStyle name="常规 6 6 6 2 2 2 3" xfId="46310"/>
    <cellStyle name="常规 6 6 6 2 2 2 3 2" xfId="46311"/>
    <cellStyle name="常规 6 6 6 2 2 2 4" xfId="46312"/>
    <cellStyle name="常规 6 6 6 2 2 2 5" xfId="46313"/>
    <cellStyle name="常规 6 6 6 2 2 3" xfId="46314"/>
    <cellStyle name="常规 6 6 6 2 2 3 2" xfId="46315"/>
    <cellStyle name="常规 6 6 6 2 2 3 2 2" xfId="46316"/>
    <cellStyle name="常规 6 6 6 2 2 3 3" xfId="46317"/>
    <cellStyle name="常规 6 6 6 2 2 3 4" xfId="46318"/>
    <cellStyle name="常规 6 6 6 2 2 4" xfId="46319"/>
    <cellStyle name="常规 6 6 6 2 2 4 2" xfId="46321"/>
    <cellStyle name="常规 6 6 6 2 2 5" xfId="46322"/>
    <cellStyle name="常规 6 6 6 2 2 6" xfId="46323"/>
    <cellStyle name="常规 6 6 6 2 3" xfId="46324"/>
    <cellStyle name="常规 6 6 6 2 3 2" xfId="46325"/>
    <cellStyle name="常规 6 6 6 2 3 2 2" xfId="46326"/>
    <cellStyle name="常规 6 6 6 2 3 2 2 2" xfId="46327"/>
    <cellStyle name="常规 6 6 6 2 3 2 3" xfId="46328"/>
    <cellStyle name="常规 6 6 6 2 3 2 4" xfId="46329"/>
    <cellStyle name="常规 6 6 6 2 3 3" xfId="46330"/>
    <cellStyle name="常规 6 6 6 2 3 3 2" xfId="46331"/>
    <cellStyle name="常规 6 6 6 2 3 4" xfId="46332"/>
    <cellStyle name="常规 6 6 6 2 3 5" xfId="45844"/>
    <cellStyle name="常规 6 6 6 2 4" xfId="46333"/>
    <cellStyle name="常规 6 6 6 2 4 2" xfId="46334"/>
    <cellStyle name="常规 6 6 6 2 4 2 2" xfId="46335"/>
    <cellStyle name="常规 6 6 6 2 4 3" xfId="46336"/>
    <cellStyle name="常规 6 6 6 2 4 4" xfId="46337"/>
    <cellStyle name="常规 6 6 6 2 5" xfId="46338"/>
    <cellStyle name="常规 6 6 6 2 5 2" xfId="46339"/>
    <cellStyle name="常规 6 6 6 2 6" xfId="46340"/>
    <cellStyle name="常规 6 6 6 2 7" xfId="46341"/>
    <cellStyle name="常规 6 6 6 3" xfId="46342"/>
    <cellStyle name="常规 6 6 6 3 2" xfId="46343"/>
    <cellStyle name="常规 6 6 6 3 2 2" xfId="46344"/>
    <cellStyle name="常规 6 6 6 3 2 2 2" xfId="46345"/>
    <cellStyle name="常规 6 6 6 3 2 2 2 2" xfId="46346"/>
    <cellStyle name="常规 6 6 6 3 2 2 3" xfId="46347"/>
    <cellStyle name="常规 6 6 6 3 2 2 4" xfId="46348"/>
    <cellStyle name="常规 6 6 6 3 2 3" xfId="46349"/>
    <cellStyle name="常规 6 6 6 3 2 3 2" xfId="1780"/>
    <cellStyle name="常规 6 6 6 3 2 4" xfId="46350"/>
    <cellStyle name="常规 6 6 6 3 2 5" xfId="5986"/>
    <cellStyle name="常规 6 6 6 3 3" xfId="46351"/>
    <cellStyle name="常规 6 6 6 3 3 2" xfId="46352"/>
    <cellStyle name="常规 6 6 6 3 3 2 2" xfId="27158"/>
    <cellStyle name="常规 6 6 6 3 3 3" xfId="46353"/>
    <cellStyle name="常规 6 6 6 3 3 4" xfId="46354"/>
    <cellStyle name="常规 6 6 6 3 4" xfId="46355"/>
    <cellStyle name="常规 6 6 6 3 4 2" xfId="46356"/>
    <cellStyle name="常规 6 6 6 3 5" xfId="46357"/>
    <cellStyle name="常规 6 6 6 3 6" xfId="46358"/>
    <cellStyle name="常规 6 6 6 4" xfId="46359"/>
    <cellStyle name="常规 6 6 6 4 2" xfId="46360"/>
    <cellStyle name="常规 6 6 6 4 2 2" xfId="46361"/>
    <cellStyle name="常规 6 6 6 4 2 2 2" xfId="44192"/>
    <cellStyle name="常规 6 6 6 4 2 3" xfId="46362"/>
    <cellStyle name="常规 6 6 6 4 2 4" xfId="46363"/>
    <cellStyle name="常规 6 6 6 4 3" xfId="46364"/>
    <cellStyle name="常规 6 6 6 4 3 2" xfId="46365"/>
    <cellStyle name="常规 6 6 6 4 4" xfId="46366"/>
    <cellStyle name="常规 6 6 6 4 5" xfId="46367"/>
    <cellStyle name="常规 6 6 6 5" xfId="46368"/>
    <cellStyle name="常规 6 6 6 5 2" xfId="46369"/>
    <cellStyle name="常规 6 6 6 5 2 2" xfId="16089"/>
    <cellStyle name="常规 6 6 6 5 3" xfId="46370"/>
    <cellStyle name="常规 6 6 6 5 4" xfId="46371"/>
    <cellStyle name="常规 6 6 6 6" xfId="46372"/>
    <cellStyle name="常规 6 6 6 6 2" xfId="46373"/>
    <cellStyle name="常规 6 6 6 7" xfId="46374"/>
    <cellStyle name="常规 6 6 6 8" xfId="46375"/>
    <cellStyle name="常规 6 6 7" xfId="33765"/>
    <cellStyle name="常规 6 6 7 2" xfId="33767"/>
    <cellStyle name="常规 6 6 7 2 2" xfId="46376"/>
    <cellStyle name="常规 6 6 7 2 2 2" xfId="46377"/>
    <cellStyle name="常规 6 6 7 2 2 2 2" xfId="46378"/>
    <cellStyle name="常规 6 6 7 2 2 2 2 2" xfId="46379"/>
    <cellStyle name="常规 6 6 7 2 2 2 3" xfId="46380"/>
    <cellStyle name="常规 6 6 7 2 2 2 4" xfId="46381"/>
    <cellStyle name="常规 6 6 7 2 2 3" xfId="46382"/>
    <cellStyle name="常规 6 6 7 2 2 3 2" xfId="46383"/>
    <cellStyle name="常规 6 6 7 2 2 4" xfId="46384"/>
    <cellStyle name="常规 6 6 7 2 2 5" xfId="46385"/>
    <cellStyle name="常规 6 6 7 2 3" xfId="46386"/>
    <cellStyle name="常规 6 6 7 2 3 2" xfId="46387"/>
    <cellStyle name="常规 6 6 7 2 3 2 2" xfId="46388"/>
    <cellStyle name="常规 6 6 7 2 3 3" xfId="46389"/>
    <cellStyle name="常规 6 6 7 2 3 4" xfId="46390"/>
    <cellStyle name="常规 6 6 7 2 4" xfId="46391"/>
    <cellStyle name="常规 6 6 7 2 4 2" xfId="46392"/>
    <cellStyle name="常规 6 6 7 2 5" xfId="46393"/>
    <cellStyle name="常规 6 6 7 2 6" xfId="46394"/>
    <cellStyle name="常规 6 6 7 3" xfId="46395"/>
    <cellStyle name="常规 6 6 7 3 2" xfId="46396"/>
    <cellStyle name="常规 6 6 7 3 2 2" xfId="46397"/>
    <cellStyle name="常规 6 6 7 3 2 2 2" xfId="46398"/>
    <cellStyle name="常规 6 6 7 3 2 3" xfId="46399"/>
    <cellStyle name="常规 6 6 7 3 2 4" xfId="46400"/>
    <cellStyle name="常规 6 6 7 3 3" xfId="46401"/>
    <cellStyle name="常规 6 6 7 3 3 2" xfId="46402"/>
    <cellStyle name="常规 6 6 7 3 4" xfId="46403"/>
    <cellStyle name="常规 6 6 7 3 5" xfId="46404"/>
    <cellStyle name="常规 6 6 7 4" xfId="46405"/>
    <cellStyle name="常规 6 6 7 4 2" xfId="46406"/>
    <cellStyle name="常规 6 6 7 4 2 2" xfId="46407"/>
    <cellStyle name="常规 6 6 7 4 3" xfId="46408"/>
    <cellStyle name="常规 6 6 7 4 4" xfId="46409"/>
    <cellStyle name="常规 6 6 7 5" xfId="46410"/>
    <cellStyle name="常规 6 6 7 5 2" xfId="46411"/>
    <cellStyle name="常规 6 6 7 6" xfId="46412"/>
    <cellStyle name="常规 6 6 7 7" xfId="46413"/>
    <cellStyle name="常规 6 6 8" xfId="20708"/>
    <cellStyle name="常规 6 6 8 2" xfId="46414"/>
    <cellStyle name="常规 6 6 8 2 2" xfId="46415"/>
    <cellStyle name="常规 6 6 8 2 2 2" xfId="46416"/>
    <cellStyle name="常规 6 6 8 2 2 2 2" xfId="46417"/>
    <cellStyle name="常规 6 6 8 2 2 3" xfId="46418"/>
    <cellStyle name="常规 6 6 8 2 2 4" xfId="46419"/>
    <cellStyle name="常规 6 6 8 2 3" xfId="46420"/>
    <cellStyle name="常规 6 6 8 2 3 2" xfId="46421"/>
    <cellStyle name="常规 6 6 8 2 4" xfId="46422"/>
    <cellStyle name="常规 6 6 8 2 5" xfId="46423"/>
    <cellStyle name="常规 6 6 8 3" xfId="46424"/>
    <cellStyle name="常规 6 6 8 3 2" xfId="46425"/>
    <cellStyle name="常规 6 6 8 3 2 2" xfId="46426"/>
    <cellStyle name="常规 6 6 8 3 3" xfId="46427"/>
    <cellStyle name="常规 6 6 8 3 4" xfId="46428"/>
    <cellStyle name="常规 6 6 8 4" xfId="46429"/>
    <cellStyle name="常规 6 6 8 4 2" xfId="46430"/>
    <cellStyle name="常规 6 6 8 5" xfId="46431"/>
    <cellStyle name="常规 6 6 8 6" xfId="46432"/>
    <cellStyle name="常规 6 6 9" xfId="20712"/>
    <cellStyle name="常规 6 6 9 2" xfId="46433"/>
    <cellStyle name="常规 6 6 9 2 2" xfId="46434"/>
    <cellStyle name="常规 6 6 9 2 2 2" xfId="46435"/>
    <cellStyle name="常规 6 6 9 2 3" xfId="46436"/>
    <cellStyle name="常规 6 6 9 2 4" xfId="46437"/>
    <cellStyle name="常规 6 6 9 3" xfId="46438"/>
    <cellStyle name="常规 6 6 9 3 2" xfId="46439"/>
    <cellStyle name="常规 6 6 9 4" xfId="46440"/>
    <cellStyle name="常规 6 6 9 5" xfId="46441"/>
    <cellStyle name="常规 6 7" xfId="46442"/>
    <cellStyle name="常规 6 7 10" xfId="46443"/>
    <cellStyle name="常规 6 7 10 2" xfId="46444"/>
    <cellStyle name="常规 6 7 11" xfId="46445"/>
    <cellStyle name="常规 6 7 12" xfId="46446"/>
    <cellStyle name="常规 6 7 2" xfId="46447"/>
    <cellStyle name="常规 6 7 2 10" xfId="46448"/>
    <cellStyle name="常规 6 7 2 11" xfId="46449"/>
    <cellStyle name="常规 6 7 2 2" xfId="46450"/>
    <cellStyle name="常规 6 7 2 2 2" xfId="46451"/>
    <cellStyle name="常规 6 7 2 2 2 2" xfId="46452"/>
    <cellStyle name="常规 6 7 2 2 2 2 2" xfId="46453"/>
    <cellStyle name="常规 6 7 2 2 2 2 2 2" xfId="46454"/>
    <cellStyle name="常规 6 7 2 2 2 2 2 2 2" xfId="1244"/>
    <cellStyle name="常规 6 7 2 2 2 2 2 2 2 2" xfId="46455"/>
    <cellStyle name="常规 6 7 2 2 2 2 2 2 2 2 2" xfId="46456"/>
    <cellStyle name="常规 6 7 2 2 2 2 2 2 2 3" xfId="46457"/>
    <cellStyle name="常规 6 7 2 2 2 2 2 2 2 4" xfId="46458"/>
    <cellStyle name="常规 6 7 2 2 2 2 2 2 3" xfId="46459"/>
    <cellStyle name="常规 6 7 2 2 2 2 2 2 3 2" xfId="46460"/>
    <cellStyle name="常规 6 7 2 2 2 2 2 2 4" xfId="44769"/>
    <cellStyle name="常规 6 7 2 2 2 2 2 2 5" xfId="18857"/>
    <cellStyle name="常规 6 7 2 2 2 2 2 3" xfId="46461"/>
    <cellStyle name="常规 6 7 2 2 2 2 2 3 2" xfId="46462"/>
    <cellStyle name="常规 6 7 2 2 2 2 2 3 2 2" xfId="46463"/>
    <cellStyle name="常规 6 7 2 2 2 2 2 3 3" xfId="46464"/>
    <cellStyle name="常规 6 7 2 2 2 2 2 3 4" xfId="46465"/>
    <cellStyle name="常规 6 7 2 2 2 2 2 4" xfId="46466"/>
    <cellStyle name="常规 6 7 2 2 2 2 2 4 2" xfId="46467"/>
    <cellStyle name="常规 6 7 2 2 2 2 2 5" xfId="22371"/>
    <cellStyle name="常规 6 7 2 2 2 2 2 6" xfId="22381"/>
    <cellStyle name="常规 6 7 2 2 2 2 3" xfId="46468"/>
    <cellStyle name="常规 6 7 2 2 2 2 3 2" xfId="46469"/>
    <cellStyle name="常规 6 7 2 2 2 2 3 2 2" xfId="46470"/>
    <cellStyle name="常规 6 7 2 2 2 2 3 2 2 2" xfId="46471"/>
    <cellStyle name="常规 6 7 2 2 2 2 3 2 3" xfId="46472"/>
    <cellStyle name="常规 6 7 2 2 2 2 3 2 4" xfId="46473"/>
    <cellStyle name="常规 6 7 2 2 2 2 3 3" xfId="46474"/>
    <cellStyle name="常规 6 7 2 2 2 2 3 3 2" xfId="46475"/>
    <cellStyle name="常规 6 7 2 2 2 2 3 4" xfId="46476"/>
    <cellStyle name="常规 6 7 2 2 2 2 3 5" xfId="2704"/>
    <cellStyle name="常规 6 7 2 2 2 2 4" xfId="46477"/>
    <cellStyle name="常规 6 7 2 2 2 2 4 2" xfId="46478"/>
    <cellStyle name="常规 6 7 2 2 2 2 4 2 2" xfId="46479"/>
    <cellStyle name="常规 6 7 2 2 2 2 4 3" xfId="46480"/>
    <cellStyle name="常规 6 7 2 2 2 2 4 4" xfId="46481"/>
    <cellStyle name="常规 6 7 2 2 2 2 5" xfId="46482"/>
    <cellStyle name="常规 6 7 2 2 2 2 5 2" xfId="46483"/>
    <cellStyle name="常规 6 7 2 2 2 2 6" xfId="46484"/>
    <cellStyle name="常规 6 7 2 2 2 2 7" xfId="46485"/>
    <cellStyle name="常规 6 7 2 2 2 3" xfId="46486"/>
    <cellStyle name="常规 6 7 2 2 2 3 2" xfId="46487"/>
    <cellStyle name="常规 6 7 2 2 2 3 2 2" xfId="46488"/>
    <cellStyle name="常规 6 7 2 2 2 3 2 2 2" xfId="46489"/>
    <cellStyle name="常规 6 7 2 2 2 3 2 2 2 2" xfId="46490"/>
    <cellStyle name="常规 6 7 2 2 2 3 2 2 3" xfId="46491"/>
    <cellStyle name="常规 6 7 2 2 2 3 2 2 4" xfId="46492"/>
    <cellStyle name="常规 6 7 2 2 2 3 2 3" xfId="46493"/>
    <cellStyle name="常规 6 7 2 2 2 3 2 3 2" xfId="46494"/>
    <cellStyle name="常规 6 7 2 2 2 3 2 4" xfId="46495"/>
    <cellStyle name="常规 6 7 2 2 2 3 2 5" xfId="22409"/>
    <cellStyle name="常规 6 7 2 2 2 3 3" xfId="46496"/>
    <cellStyle name="常规 6 7 2 2 2 3 3 2" xfId="46497"/>
    <cellStyle name="常规 6 7 2 2 2 3 3 2 2" xfId="46498"/>
    <cellStyle name="常规 6 7 2 2 2 3 3 3" xfId="46499"/>
    <cellStyle name="常规 6 7 2 2 2 3 3 4" xfId="46500"/>
    <cellStyle name="常规 6 7 2 2 2 3 4" xfId="46501"/>
    <cellStyle name="常规 6 7 2 2 2 3 4 2" xfId="46502"/>
    <cellStyle name="常规 6 7 2 2 2 3 5" xfId="46503"/>
    <cellStyle name="常规 6 7 2 2 2 3 6" xfId="46504"/>
    <cellStyle name="常规 6 7 2 2 2 4" xfId="46505"/>
    <cellStyle name="常规 6 7 2 2 2 4 2" xfId="46506"/>
    <cellStyle name="常规 6 7 2 2 2 4 2 2" xfId="46507"/>
    <cellStyle name="常规 6 7 2 2 2 4 2 2 2" xfId="46508"/>
    <cellStyle name="常规 6 7 2 2 2 4 2 3" xfId="46509"/>
    <cellStyle name="常规 6 7 2 2 2 4 2 4" xfId="46510"/>
    <cellStyle name="常规 6 7 2 2 2 4 3" xfId="46511"/>
    <cellStyle name="常规 6 7 2 2 2 4 3 2" xfId="46512"/>
    <cellStyle name="常规 6 7 2 2 2 4 4" xfId="46513"/>
    <cellStyle name="常规 6 7 2 2 2 4 5" xfId="46514"/>
    <cellStyle name="常规 6 7 2 2 2 5" xfId="46515"/>
    <cellStyle name="常规 6 7 2 2 2 5 2" xfId="46516"/>
    <cellStyle name="常规 6 7 2 2 2 5 2 2" xfId="46517"/>
    <cellStyle name="常规 6 7 2 2 2 5 3" xfId="46518"/>
    <cellStyle name="常规 6 7 2 2 2 5 4" xfId="46519"/>
    <cellStyle name="常规 6 7 2 2 2 6" xfId="46520"/>
    <cellStyle name="常规 6 7 2 2 2 6 2" xfId="46521"/>
    <cellStyle name="常规 6 7 2 2 2 7" xfId="46522"/>
    <cellStyle name="常规 6 7 2 2 2 8" xfId="46523"/>
    <cellStyle name="常规 6 7 2 2 3" xfId="46524"/>
    <cellStyle name="常规 6 7 2 2 3 2" xfId="46525"/>
    <cellStyle name="常规 6 7 2 2 3 2 2" xfId="46526"/>
    <cellStyle name="常规 6 7 2 2 3 2 2 2" xfId="46527"/>
    <cellStyle name="常规 6 7 2 2 3 2 2 2 2" xfId="46528"/>
    <cellStyle name="常规 6 7 2 2 3 2 2 2 2 2" xfId="46529"/>
    <cellStyle name="常规 6 7 2 2 3 2 2 2 3" xfId="46530"/>
    <cellStyle name="常规 6 7 2 2 3 2 2 2 4" xfId="44924"/>
    <cellStyle name="常规 6 7 2 2 3 2 2 3" xfId="46531"/>
    <cellStyle name="常规 6 7 2 2 3 2 2 3 2" xfId="46532"/>
    <cellStyle name="常规 6 7 2 2 3 2 2 4" xfId="46533"/>
    <cellStyle name="常规 6 7 2 2 3 2 2 5" xfId="20714"/>
    <cellStyle name="常规 6 7 2 2 3 2 3" xfId="46534"/>
    <cellStyle name="常规 6 7 2 2 3 2 3 2" xfId="46535"/>
    <cellStyle name="常规 6 7 2 2 3 2 3 2 2" xfId="46536"/>
    <cellStyle name="常规 6 7 2 2 3 2 3 3" xfId="46537"/>
    <cellStyle name="常规 6 7 2 2 3 2 3 4" xfId="46538"/>
    <cellStyle name="常规 6 7 2 2 3 2 4" xfId="46539"/>
    <cellStyle name="常规 6 7 2 2 3 2 4 2" xfId="46540"/>
    <cellStyle name="常规 6 7 2 2 3 2 5" xfId="46541"/>
    <cellStyle name="常规 6 7 2 2 3 2 6" xfId="46542"/>
    <cellStyle name="常规 6 7 2 2 3 3" xfId="46543"/>
    <cellStyle name="常规 6 7 2 2 3 3 2" xfId="31272"/>
    <cellStyle name="常规 6 7 2 2 3 3 2 2" xfId="31274"/>
    <cellStyle name="常规 6 7 2 2 3 3 2 2 2" xfId="46544"/>
    <cellStyle name="常规 6 7 2 2 3 3 2 3" xfId="46545"/>
    <cellStyle name="常规 6 7 2 2 3 3 2 4" xfId="46546"/>
    <cellStyle name="常规 6 7 2 2 3 3 3" xfId="1377"/>
    <cellStyle name="常规 6 7 2 2 3 3 3 2" xfId="46547"/>
    <cellStyle name="常规 6 7 2 2 3 3 4" xfId="1386"/>
    <cellStyle name="常规 6 7 2 2 3 3 5" xfId="46548"/>
    <cellStyle name="常规 6 7 2 2 3 4" xfId="46549"/>
    <cellStyle name="常规 6 7 2 2 3 4 2" xfId="30321"/>
    <cellStyle name="常规 6 7 2 2 3 4 2 2" xfId="46550"/>
    <cellStyle name="常规 6 7 2 2 3 4 3" xfId="27176"/>
    <cellStyle name="常规 6 7 2 2 3 4 4" xfId="46551"/>
    <cellStyle name="常规 6 7 2 2 3 5" xfId="46552"/>
    <cellStyle name="常规 6 7 2 2 3 5 2" xfId="30330"/>
    <cellStyle name="常规 6 7 2 2 3 6" xfId="46553"/>
    <cellStyle name="常规 6 7 2 2 3 7" xfId="46554"/>
    <cellStyle name="常规 6 7 2 2 4" xfId="46555"/>
    <cellStyle name="常规 6 7 2 2 4 2" xfId="46556"/>
    <cellStyle name="常规 6 7 2 2 4 2 2" xfId="46557"/>
    <cellStyle name="常规 6 7 2 2 4 2 2 2" xfId="46558"/>
    <cellStyle name="常规 6 7 2 2 4 2 2 2 2" xfId="46559"/>
    <cellStyle name="常规 6 7 2 2 4 2 2 3" xfId="46560"/>
    <cellStyle name="常规 6 7 2 2 4 2 2 4" xfId="46561"/>
    <cellStyle name="常规 6 7 2 2 4 2 3" xfId="46562"/>
    <cellStyle name="常规 6 7 2 2 4 2 3 2" xfId="46563"/>
    <cellStyle name="常规 6 7 2 2 4 2 4" xfId="46564"/>
    <cellStyle name="常规 6 7 2 2 4 2 5" xfId="46565"/>
    <cellStyle name="常规 6 7 2 2 4 3" xfId="46566"/>
    <cellStyle name="常规 6 7 2 2 4 3 2" xfId="31289"/>
    <cellStyle name="常规 6 7 2 2 4 3 2 2" xfId="46567"/>
    <cellStyle name="常规 6 7 2 2 4 3 3" xfId="27193"/>
    <cellStyle name="常规 6 7 2 2 4 3 4" xfId="46568"/>
    <cellStyle name="常规 6 7 2 2 4 4" xfId="46569"/>
    <cellStyle name="常规 6 7 2 2 4 4 2" xfId="30360"/>
    <cellStyle name="常规 6 7 2 2 4 5" xfId="46570"/>
    <cellStyle name="常规 6 7 2 2 4 6" xfId="46571"/>
    <cellStyle name="常规 6 7 2 2 5" xfId="46572"/>
    <cellStyle name="常规 6 7 2 2 5 2" xfId="46573"/>
    <cellStyle name="常规 6 7 2 2 5 2 2" xfId="46574"/>
    <cellStyle name="常规 6 7 2 2 5 2 2 2" xfId="46575"/>
    <cellStyle name="常规 6 7 2 2 5 2 3" xfId="46576"/>
    <cellStyle name="常规 6 7 2 2 5 2 4" xfId="46577"/>
    <cellStyle name="常规 6 7 2 2 5 3" xfId="46578"/>
    <cellStyle name="常规 6 7 2 2 5 3 2" xfId="31297"/>
    <cellStyle name="常规 6 7 2 2 5 4" xfId="46579"/>
    <cellStyle name="常规 6 7 2 2 5 5" xfId="46580"/>
    <cellStyle name="常规 6 7 2 2 6" xfId="46581"/>
    <cellStyle name="常规 6 7 2 2 6 2" xfId="46582"/>
    <cellStyle name="常规 6 7 2 2 6 2 2" xfId="46583"/>
    <cellStyle name="常规 6 7 2 2 6 3" xfId="46584"/>
    <cellStyle name="常规 6 7 2 2 6 4" xfId="46585"/>
    <cellStyle name="常规 6 7 2 2 7" xfId="46586"/>
    <cellStyle name="常规 6 7 2 2 7 2" xfId="46587"/>
    <cellStyle name="常规 6 7 2 2 8" xfId="46588"/>
    <cellStyle name="常规 6 7 2 2 9" xfId="38182"/>
    <cellStyle name="常规 6 7 2 3" xfId="46589"/>
    <cellStyle name="常规 6 7 2 3 2" xfId="46590"/>
    <cellStyle name="常规 6 7 2 3 2 2" xfId="46591"/>
    <cellStyle name="常规 6 7 2 3 2 2 2" xfId="46592"/>
    <cellStyle name="常规 6 7 2 3 2 2 2 2" xfId="46593"/>
    <cellStyle name="常规 6 7 2 3 2 2 2 2 2" xfId="46594"/>
    <cellStyle name="常规 6 7 2 3 2 2 2 2 2 2" xfId="46595"/>
    <cellStyle name="常规 6 7 2 3 2 2 2 2 2 2 2" xfId="43460"/>
    <cellStyle name="常规 6 7 2 3 2 2 2 2 2 3" xfId="18404"/>
    <cellStyle name="常规 6 7 2 3 2 2 2 2 2 4" xfId="18411"/>
    <cellStyle name="常规 6 7 2 3 2 2 2 2 3" xfId="46596"/>
    <cellStyle name="常规 6 7 2 3 2 2 2 2 3 2" xfId="46597"/>
    <cellStyle name="常规 6 7 2 3 2 2 2 2 4" xfId="46598"/>
    <cellStyle name="常规 6 7 2 3 2 2 2 2 5" xfId="7461"/>
    <cellStyle name="常规 6 7 2 3 2 2 2 3" xfId="31958"/>
    <cellStyle name="常规 6 7 2 3 2 2 2 3 2" xfId="32714"/>
    <cellStyle name="常规 6 7 2 3 2 2 2 3 2 2" xfId="46599"/>
    <cellStyle name="常规 6 7 2 3 2 2 2 3 3" xfId="46600"/>
    <cellStyle name="常规 6 7 2 3 2 2 2 3 4" xfId="46601"/>
    <cellStyle name="常规 6 7 2 3 2 2 2 4" xfId="46602"/>
    <cellStyle name="常规 6 7 2 3 2 2 2 4 2" xfId="46603"/>
    <cellStyle name="常规 6 7 2 3 2 2 2 5" xfId="22532"/>
    <cellStyle name="常规 6 7 2 3 2 2 2 6" xfId="9650"/>
    <cellStyle name="常规 6 7 2 3 2 2 3" xfId="46604"/>
    <cellStyle name="常规 6 7 2 3 2 2 3 2" xfId="46605"/>
    <cellStyle name="常规 6 7 2 3 2 2 3 2 2" xfId="46606"/>
    <cellStyle name="常规 6 7 2 3 2 2 3 2 2 2" xfId="46607"/>
    <cellStyle name="常规 6 7 2 3 2 2 3 2 3" xfId="46608"/>
    <cellStyle name="常规 6 7 2 3 2 2 3 2 4" xfId="46609"/>
    <cellStyle name="常规 6 7 2 3 2 2 3 3" xfId="46610"/>
    <cellStyle name="常规 6 7 2 3 2 2 3 3 2" xfId="46611"/>
    <cellStyle name="常规 6 7 2 3 2 2 3 4" xfId="46612"/>
    <cellStyle name="常规 6 7 2 3 2 2 3 5" xfId="22584"/>
    <cellStyle name="常规 6 7 2 3 2 2 4" xfId="46613"/>
    <cellStyle name="常规 6 7 2 3 2 2 4 2" xfId="46614"/>
    <cellStyle name="常规 6 7 2 3 2 2 4 2 2" xfId="46615"/>
    <cellStyle name="常规 6 7 2 3 2 2 4 3" xfId="46616"/>
    <cellStyle name="常规 6 7 2 3 2 2 4 4" xfId="46617"/>
    <cellStyle name="常规 6 7 2 3 2 2 5" xfId="46618"/>
    <cellStyle name="常规 6 7 2 3 2 2 5 2" xfId="1696"/>
    <cellStyle name="常规 6 7 2 3 2 2 6" xfId="46619"/>
    <cellStyle name="常规 6 7 2 3 2 2 7" xfId="46620"/>
    <cellStyle name="常规 6 7 2 3 2 3" xfId="46621"/>
    <cellStyle name="常规 6 7 2 3 2 3 2" xfId="46622"/>
    <cellStyle name="常规 6 7 2 3 2 3 2 2" xfId="46623"/>
    <cellStyle name="常规 6 7 2 3 2 3 2 2 2" xfId="46624"/>
    <cellStyle name="常规 6 7 2 3 2 3 2 2 2 2" xfId="46625"/>
    <cellStyle name="常规 6 7 2 3 2 3 2 2 3" xfId="46626"/>
    <cellStyle name="常规 6 7 2 3 2 3 2 2 4" xfId="46627"/>
    <cellStyle name="常规 6 7 2 3 2 3 2 3" xfId="46628"/>
    <cellStyle name="常规 6 7 2 3 2 3 2 3 2" xfId="46629"/>
    <cellStyle name="常规 6 7 2 3 2 3 2 4" xfId="46630"/>
    <cellStyle name="常规 6 7 2 3 2 3 2 5" xfId="22611"/>
    <cellStyle name="常规 6 7 2 3 2 3 3" xfId="46631"/>
    <cellStyle name="常规 6 7 2 3 2 3 3 2" xfId="46632"/>
    <cellStyle name="常规 6 7 2 3 2 3 3 2 2" xfId="46633"/>
    <cellStyle name="常规 6 7 2 3 2 3 3 3" xfId="46634"/>
    <cellStyle name="常规 6 7 2 3 2 3 3 4" xfId="46635"/>
    <cellStyle name="常规 6 7 2 3 2 3 4" xfId="46636"/>
    <cellStyle name="常规 6 7 2 3 2 3 4 2" xfId="46637"/>
    <cellStyle name="常规 6 7 2 3 2 3 5" xfId="46638"/>
    <cellStyle name="常规 6 7 2 3 2 3 6" xfId="46639"/>
    <cellStyle name="常规 6 7 2 3 2 4" xfId="46640"/>
    <cellStyle name="常规 6 7 2 3 2 4 2" xfId="46641"/>
    <cellStyle name="常规 6 7 2 3 2 4 2 2" xfId="46642"/>
    <cellStyle name="常规 6 7 2 3 2 4 2 2 2" xfId="46643"/>
    <cellStyle name="常规 6 7 2 3 2 4 2 3" xfId="46644"/>
    <cellStyle name="常规 6 7 2 3 2 4 2 4" xfId="46645"/>
    <cellStyle name="常规 6 7 2 3 2 4 3" xfId="46646"/>
    <cellStyle name="常规 6 7 2 3 2 4 3 2" xfId="46647"/>
    <cellStyle name="常规 6 7 2 3 2 4 4" xfId="46648"/>
    <cellStyle name="常规 6 7 2 3 2 4 5" xfId="25923"/>
    <cellStyle name="常规 6 7 2 3 2 5" xfId="46649"/>
    <cellStyle name="常规 6 7 2 3 2 5 2" xfId="46650"/>
    <cellStyle name="常规 6 7 2 3 2 5 2 2" xfId="46651"/>
    <cellStyle name="常规 6 7 2 3 2 5 3" xfId="46652"/>
    <cellStyle name="常规 6 7 2 3 2 5 4" xfId="46653"/>
    <cellStyle name="常规 6 7 2 3 2 6" xfId="46654"/>
    <cellStyle name="常规 6 7 2 3 2 6 2" xfId="46655"/>
    <cellStyle name="常规 6 7 2 3 2 7" xfId="46656"/>
    <cellStyle name="常规 6 7 2 3 2 8" xfId="46657"/>
    <cellStyle name="常规 6 7 2 3 3" xfId="46658"/>
    <cellStyle name="常规 6 7 2 3 3 2" xfId="24519"/>
    <cellStyle name="常规 6 7 2 3 3 2 2" xfId="46659"/>
    <cellStyle name="常规 6 7 2 3 3 2 2 2" xfId="33325"/>
    <cellStyle name="常规 6 7 2 3 3 2 2 2 2" xfId="46660"/>
    <cellStyle name="常规 6 7 2 3 3 2 2 2 2 2" xfId="46661"/>
    <cellStyle name="常规 6 7 2 3 3 2 2 2 3" xfId="46662"/>
    <cellStyle name="常规 6 7 2 3 3 2 2 2 4" xfId="46663"/>
    <cellStyle name="常规 6 7 2 3 3 2 2 3" xfId="32043"/>
    <cellStyle name="常规 6 7 2 3 3 2 2 3 2" xfId="46664"/>
    <cellStyle name="常规 6 7 2 3 3 2 2 4" xfId="46665"/>
    <cellStyle name="常规 6 7 2 3 3 2 2 5" xfId="22659"/>
    <cellStyle name="常规 6 7 2 3 3 2 3" xfId="46666"/>
    <cellStyle name="常规 6 7 2 3 3 2 3 2" xfId="46667"/>
    <cellStyle name="常规 6 7 2 3 3 2 3 2 2" xfId="46668"/>
    <cellStyle name="常规 6 7 2 3 3 2 3 3" xfId="46669"/>
    <cellStyle name="常规 6 7 2 3 3 2 3 4" xfId="46670"/>
    <cellStyle name="常规 6 7 2 3 3 2 4" xfId="14372"/>
    <cellStyle name="常规 6 7 2 3 3 2 4 2" xfId="46671"/>
    <cellStyle name="常规 6 7 2 3 3 2 5" xfId="46672"/>
    <cellStyle name="常规 6 7 2 3 3 2 6" xfId="46673"/>
    <cellStyle name="常规 6 7 2 3 3 3" xfId="46674"/>
    <cellStyle name="常规 6 7 2 3 3 3 2" xfId="31332"/>
    <cellStyle name="常规 6 7 2 3 3 3 2 2" xfId="46675"/>
    <cellStyle name="常规 6 7 2 3 3 3 2 2 2" xfId="46676"/>
    <cellStyle name="常规 6 7 2 3 3 3 2 3" xfId="46677"/>
    <cellStyle name="常规 6 7 2 3 3 3 2 4" xfId="46678"/>
    <cellStyle name="常规 6 7 2 3 3 3 3" xfId="27214"/>
    <cellStyle name="常规 6 7 2 3 3 3 3 2" xfId="46679"/>
    <cellStyle name="常规 6 7 2 3 3 3 4" xfId="46680"/>
    <cellStyle name="常规 6 7 2 3 3 3 5" xfId="46681"/>
    <cellStyle name="常规 6 7 2 3 3 4" xfId="46682"/>
    <cellStyle name="常规 6 7 2 3 3 4 2" xfId="30444"/>
    <cellStyle name="常规 6 7 2 3 3 4 2 2" xfId="46683"/>
    <cellStyle name="常规 6 7 2 3 3 4 3" xfId="46684"/>
    <cellStyle name="常规 6 7 2 3 3 4 4" xfId="46685"/>
    <cellStyle name="常规 6 7 2 3 3 5" xfId="46686"/>
    <cellStyle name="常规 6 7 2 3 3 5 2" xfId="46687"/>
    <cellStyle name="常规 6 7 2 3 3 6" xfId="46688"/>
    <cellStyle name="常规 6 7 2 3 3 7" xfId="46689"/>
    <cellStyle name="常规 6 7 2 3 4" xfId="46690"/>
    <cellStyle name="常规 6 7 2 3 4 2" xfId="46691"/>
    <cellStyle name="常规 6 7 2 3 4 2 2" xfId="46692"/>
    <cellStyle name="常规 6 7 2 3 4 2 2 2" xfId="46693"/>
    <cellStyle name="常规 6 7 2 3 4 2 2 2 2" xfId="46694"/>
    <cellStyle name="常规 6 7 2 3 4 2 2 3" xfId="46695"/>
    <cellStyle name="常规 6 7 2 3 4 2 2 4" xfId="27601"/>
    <cellStyle name="常规 6 7 2 3 4 2 3" xfId="46696"/>
    <cellStyle name="常规 6 7 2 3 4 2 3 2" xfId="46697"/>
    <cellStyle name="常规 6 7 2 3 4 2 4" xfId="46698"/>
    <cellStyle name="常规 6 7 2 3 4 2 5" xfId="46699"/>
    <cellStyle name="常规 6 7 2 3 4 3" xfId="46700"/>
    <cellStyle name="常规 6 7 2 3 4 3 2" xfId="6669"/>
    <cellStyle name="常规 6 7 2 3 4 3 2 2" xfId="46701"/>
    <cellStyle name="常规 6 7 2 3 4 3 3" xfId="6672"/>
    <cellStyle name="常规 6 7 2 3 4 3 4" xfId="46702"/>
    <cellStyle name="常规 6 7 2 3 4 4" xfId="46703"/>
    <cellStyle name="常规 6 7 2 3 4 4 2" xfId="46704"/>
    <cellStyle name="常规 6 7 2 3 4 5" xfId="46705"/>
    <cellStyle name="常规 6 7 2 3 4 6" xfId="46706"/>
    <cellStyle name="常规 6 7 2 3 5" xfId="46707"/>
    <cellStyle name="常规 6 7 2 3 5 2" xfId="46708"/>
    <cellStyle name="常规 6 7 2 3 5 2 2" xfId="46709"/>
    <cellStyle name="常规 6 7 2 3 5 2 2 2" xfId="46710"/>
    <cellStyle name="常规 6 7 2 3 5 2 3" xfId="46712"/>
    <cellStyle name="常规 6 7 2 3 5 2 4" xfId="46714"/>
    <cellStyle name="常规 6 7 2 3 5 3" xfId="46715"/>
    <cellStyle name="常规 6 7 2 3 5 3 2" xfId="46716"/>
    <cellStyle name="常规 6 7 2 3 5 4" xfId="46717"/>
    <cellStyle name="常规 6 7 2 3 5 5" xfId="46718"/>
    <cellStyle name="常规 6 7 2 3 6" xfId="46719"/>
    <cellStyle name="常规 6 7 2 3 6 2" xfId="46720"/>
    <cellStyle name="常规 6 7 2 3 6 2 2" xfId="46721"/>
    <cellStyle name="常规 6 7 2 3 6 3" xfId="46722"/>
    <cellStyle name="常规 6 7 2 3 6 4" xfId="46723"/>
    <cellStyle name="常规 6 7 2 3 7" xfId="46724"/>
    <cellStyle name="常规 6 7 2 3 7 2" xfId="46725"/>
    <cellStyle name="常规 6 7 2 3 8" xfId="46726"/>
    <cellStyle name="常规 6 7 2 3 9" xfId="38193"/>
    <cellStyle name="常规 6 7 2 4" xfId="46727"/>
    <cellStyle name="常规 6 7 2 4 2" xfId="46728"/>
    <cellStyle name="常规 6 7 2 4 2 2" xfId="46729"/>
    <cellStyle name="常规 6 7 2 4 2 2 2" xfId="46730"/>
    <cellStyle name="常规 6 7 2 4 2 2 2 2" xfId="46731"/>
    <cellStyle name="常规 6 7 2 4 2 2 2 2 2" xfId="46732"/>
    <cellStyle name="常规 6 7 2 4 2 2 2 2 2 2" xfId="9673"/>
    <cellStyle name="常规 6 7 2 4 2 2 2 2 3" xfId="46733"/>
    <cellStyle name="常规 6 7 2 4 2 2 2 2 4" xfId="29080"/>
    <cellStyle name="常规 6 7 2 4 2 2 2 3" xfId="46734"/>
    <cellStyle name="常规 6 7 2 4 2 2 2 3 2" xfId="32784"/>
    <cellStyle name="常规 6 7 2 4 2 2 2 4" xfId="46735"/>
    <cellStyle name="常规 6 7 2 4 2 2 2 5" xfId="15841"/>
    <cellStyle name="常规 6 7 2 4 2 2 3" xfId="46736"/>
    <cellStyle name="常规 6 7 2 4 2 2 3 2" xfId="46737"/>
    <cellStyle name="常规 6 7 2 4 2 2 3 2 2" xfId="46738"/>
    <cellStyle name="常规 6 7 2 4 2 2 3 3" xfId="46739"/>
    <cellStyle name="常规 6 7 2 4 2 2 3 4" xfId="3985"/>
    <cellStyle name="常规 6 7 2 4 2 2 4" xfId="46740"/>
    <cellStyle name="常规 6 7 2 4 2 2 4 2" xfId="46741"/>
    <cellStyle name="常规 6 7 2 4 2 2 5" xfId="46742"/>
    <cellStyle name="常规 6 7 2 4 2 2 6" xfId="46743"/>
    <cellStyle name="常规 6 7 2 4 2 3" xfId="46744"/>
    <cellStyle name="常规 6 7 2 4 2 3 2" xfId="46745"/>
    <cellStyle name="常规 6 7 2 4 2 3 2 2" xfId="46746"/>
    <cellStyle name="常规 6 7 2 4 2 3 2 2 2" xfId="46747"/>
    <cellStyle name="常规 6 7 2 4 2 3 2 3" xfId="46748"/>
    <cellStyle name="常规 6 7 2 4 2 3 2 4" xfId="46749"/>
    <cellStyle name="常规 6 7 2 4 2 3 3" xfId="46750"/>
    <cellStyle name="常规 6 7 2 4 2 3 3 2" xfId="46751"/>
    <cellStyle name="常规 6 7 2 4 2 3 4" xfId="31940"/>
    <cellStyle name="常规 6 7 2 4 2 3 5" xfId="31942"/>
    <cellStyle name="常规 6 7 2 4 2 4" xfId="46752"/>
    <cellStyle name="常规 6 7 2 4 2 4 2" xfId="46753"/>
    <cellStyle name="常规 6 7 2 4 2 4 2 2" xfId="14765"/>
    <cellStyle name="常规 6 7 2 4 2 4 3" xfId="46754"/>
    <cellStyle name="常规 6 7 2 4 2 4 4" xfId="30059"/>
    <cellStyle name="常规 6 7 2 4 2 5" xfId="46041"/>
    <cellStyle name="常规 6 7 2 4 2 5 2" xfId="46043"/>
    <cellStyle name="常规 6 7 2 4 2 6" xfId="46045"/>
    <cellStyle name="常规 6 7 2 4 2 7" xfId="46047"/>
    <cellStyle name="常规 6 7 2 4 3" xfId="46755"/>
    <cellStyle name="常规 6 7 2 4 3 2" xfId="46756"/>
    <cellStyle name="常规 6 7 2 4 3 2 2" xfId="46757"/>
    <cellStyle name="常规 6 7 2 4 3 2 2 2" xfId="12247"/>
    <cellStyle name="常规 6 7 2 4 3 2 2 2 2" xfId="46758"/>
    <cellStyle name="常规 6 7 2 4 3 2 2 3" xfId="33413"/>
    <cellStyle name="常规 6 7 2 4 3 2 2 4" xfId="46759"/>
    <cellStyle name="常规 6 7 2 4 3 2 3" xfId="46760"/>
    <cellStyle name="常规 6 7 2 4 3 2 3 2" xfId="46761"/>
    <cellStyle name="常规 6 7 2 4 3 2 4" xfId="46762"/>
    <cellStyle name="常规 6 7 2 4 3 2 5" xfId="46763"/>
    <cellStyle name="常规 6 7 2 4 3 3" xfId="46764"/>
    <cellStyle name="常规 6 7 2 4 3 3 2" xfId="31361"/>
    <cellStyle name="常规 6 7 2 4 3 3 2 2" xfId="46765"/>
    <cellStyle name="常规 6 7 2 4 3 3 3" xfId="46766"/>
    <cellStyle name="常规 6 7 2 4 3 3 4" xfId="31945"/>
    <cellStyle name="常规 6 7 2 4 3 4" xfId="46767"/>
    <cellStyle name="常规 6 7 2 4 3 4 2" xfId="46768"/>
    <cellStyle name="常规 6 7 2 4 3 5" xfId="46050"/>
    <cellStyle name="常规 6 7 2 4 3 6" xfId="46769"/>
    <cellStyle name="常规 6 7 2 4 4" xfId="46770"/>
    <cellStyle name="常规 6 7 2 4 4 2" xfId="46771"/>
    <cellStyle name="常规 6 7 2 4 4 2 2" xfId="46772"/>
    <cellStyle name="常规 6 7 2 4 4 2 2 2" xfId="46773"/>
    <cellStyle name="常规 6 7 2 4 4 2 3" xfId="46774"/>
    <cellStyle name="常规 6 7 2 4 4 2 4" xfId="46775"/>
    <cellStyle name="常规 6 7 2 4 4 3" xfId="46776"/>
    <cellStyle name="常规 6 7 2 4 4 3 2" xfId="46777"/>
    <cellStyle name="常规 6 7 2 4 4 4" xfId="46778"/>
    <cellStyle name="常规 6 7 2 4 4 5" xfId="46779"/>
    <cellStyle name="常规 6 7 2 4 5" xfId="46780"/>
    <cellStyle name="常规 6 7 2 4 5 2" xfId="33829"/>
    <cellStyle name="常规 6 7 2 4 5 2 2" xfId="46781"/>
    <cellStyle name="常规 6 7 2 4 5 3" xfId="33831"/>
    <cellStyle name="常规 6 7 2 4 5 4" xfId="46782"/>
    <cellStyle name="常规 6 7 2 4 6" xfId="46783"/>
    <cellStyle name="常规 6 7 2 4 6 2" xfId="26440"/>
    <cellStyle name="常规 6 7 2 4 7" xfId="46784"/>
    <cellStyle name="常规 6 7 2 4 8" xfId="46785"/>
    <cellStyle name="常规 6 7 2 5" xfId="46786"/>
    <cellStyle name="常规 6 7 2 5 2" xfId="46787"/>
    <cellStyle name="常规 6 7 2 5 2 2" xfId="46788"/>
    <cellStyle name="常规 6 7 2 5 2 2 2" xfId="46789"/>
    <cellStyle name="常规 6 7 2 5 2 2 2 2" xfId="46790"/>
    <cellStyle name="常规 6 7 2 5 2 2 2 2 2" xfId="46791"/>
    <cellStyle name="常规 6 7 2 5 2 2 2 3" xfId="46792"/>
    <cellStyle name="常规 6 7 2 5 2 2 2 4" xfId="46793"/>
    <cellStyle name="常规 6 7 2 5 2 2 3" xfId="46794"/>
    <cellStyle name="常规 6 7 2 5 2 2 3 2" xfId="46795"/>
    <cellStyle name="常规 6 7 2 5 2 2 4" xfId="46796"/>
    <cellStyle name="常规 6 7 2 5 2 2 5" xfId="18143"/>
    <cellStyle name="常规 6 7 2 5 2 3" xfId="46797"/>
    <cellStyle name="常规 6 7 2 5 2 3 2" xfId="46798"/>
    <cellStyle name="常规 6 7 2 5 2 3 2 2" xfId="46799"/>
    <cellStyle name="常规 6 7 2 5 2 3 3" xfId="46800"/>
    <cellStyle name="常规 6 7 2 5 2 3 4" xfId="7184"/>
    <cellStyle name="常规 6 7 2 5 2 4" xfId="46801"/>
    <cellStyle name="常规 6 7 2 5 2 4 2" xfId="46802"/>
    <cellStyle name="常规 6 7 2 5 2 5" xfId="46069"/>
    <cellStyle name="常规 6 7 2 5 2 6" xfId="46803"/>
    <cellStyle name="常规 6 7 2 5 3" xfId="46804"/>
    <cellStyle name="常规 6 7 2 5 3 2" xfId="46805"/>
    <cellStyle name="常规 6 7 2 5 3 2 2" xfId="46806"/>
    <cellStyle name="常规 6 7 2 5 3 2 2 2" xfId="46807"/>
    <cellStyle name="常规 6 7 2 5 3 2 3" xfId="46808"/>
    <cellStyle name="常规 6 7 2 5 3 2 4" xfId="46809"/>
    <cellStyle name="常规 6 7 2 5 3 3" xfId="46810"/>
    <cellStyle name="常规 6 7 2 5 3 3 2" xfId="1873"/>
    <cellStyle name="常规 6 7 2 5 3 4" xfId="46811"/>
    <cellStyle name="常规 6 7 2 5 3 5" xfId="45713"/>
    <cellStyle name="常规 6 7 2 5 4" xfId="46812"/>
    <cellStyle name="常规 6 7 2 5 4 2" xfId="46813"/>
    <cellStyle name="常规 6 7 2 5 4 2 2" xfId="46814"/>
    <cellStyle name="常规 6 7 2 5 4 3" xfId="32421"/>
    <cellStyle name="常规 6 7 2 5 4 4" xfId="31090"/>
    <cellStyle name="常规 6 7 2 5 5" xfId="46815"/>
    <cellStyle name="常规 6 7 2 5 5 2" xfId="33839"/>
    <cellStyle name="常规 6 7 2 5 6" xfId="46816"/>
    <cellStyle name="常规 6 7 2 5 7" xfId="46817"/>
    <cellStyle name="常规 6 7 2 6" xfId="46818"/>
    <cellStyle name="常规 6 7 2 6 2" xfId="46819"/>
    <cellStyle name="常规 6 7 2 6 2 2" xfId="46820"/>
    <cellStyle name="常规 6 7 2 6 2 2 2" xfId="46821"/>
    <cellStyle name="常规 6 7 2 6 2 2 2 2" xfId="46822"/>
    <cellStyle name="常规 6 7 2 6 2 2 3" xfId="46823"/>
    <cellStyle name="常规 6 7 2 6 2 2 4" xfId="32688"/>
    <cellStyle name="常规 6 7 2 6 2 3" xfId="46824"/>
    <cellStyle name="常规 6 7 2 6 2 3 2" xfId="46825"/>
    <cellStyle name="常规 6 7 2 6 2 4" xfId="46826"/>
    <cellStyle name="常规 6 7 2 6 2 5" xfId="46827"/>
    <cellStyle name="常规 6 7 2 6 3" xfId="46828"/>
    <cellStyle name="常规 6 7 2 6 3 2" xfId="46829"/>
    <cellStyle name="常规 6 7 2 6 3 2 2" xfId="46830"/>
    <cellStyle name="常规 6 7 2 6 3 3" xfId="46831"/>
    <cellStyle name="常规 6 7 2 6 3 4" xfId="46832"/>
    <cellStyle name="常规 6 7 2 6 4" xfId="46833"/>
    <cellStyle name="常规 6 7 2 6 4 2" xfId="46834"/>
    <cellStyle name="常规 6 7 2 6 5" xfId="46835"/>
    <cellStyle name="常规 6 7 2 6 6" xfId="46836"/>
    <cellStyle name="常规 6 7 2 7" xfId="46837"/>
    <cellStyle name="常规 6 7 2 7 2" xfId="46838"/>
    <cellStyle name="常规 6 7 2 7 2 2" xfId="46839"/>
    <cellStyle name="常规 6 7 2 7 2 2 2" xfId="46840"/>
    <cellStyle name="常规 6 7 2 7 2 3" xfId="46841"/>
    <cellStyle name="常规 6 7 2 7 2 4" xfId="46842"/>
    <cellStyle name="常规 6 7 2 7 3" xfId="46843"/>
    <cellStyle name="常规 6 7 2 7 3 2" xfId="46844"/>
    <cellStyle name="常规 6 7 2 7 4" xfId="3114"/>
    <cellStyle name="常规 6 7 2 7 5" xfId="88"/>
    <cellStyle name="常规 6 7 2 8" xfId="46845"/>
    <cellStyle name="常规 6 7 2 8 2" xfId="46846"/>
    <cellStyle name="常规 6 7 2 8 2 2" xfId="46847"/>
    <cellStyle name="常规 6 7 2 8 3" xfId="46848"/>
    <cellStyle name="常规 6 7 2 8 4" xfId="3127"/>
    <cellStyle name="常规 6 7 2 9" xfId="46849"/>
    <cellStyle name="常规 6 7 2 9 2" xfId="46850"/>
    <cellStyle name="常规 6 7 3" xfId="46851"/>
    <cellStyle name="常规 6 7 3 2" xfId="5387"/>
    <cellStyle name="常规 6 7 3 2 2" xfId="46852"/>
    <cellStyle name="常规 6 7 3 2 2 2" xfId="46853"/>
    <cellStyle name="常规 6 7 3 2 2 2 2" xfId="46854"/>
    <cellStyle name="常规 6 7 3 2 2 2 2 2" xfId="46855"/>
    <cellStyle name="常规 6 7 3 2 2 2 2 2 2" xfId="46856"/>
    <cellStyle name="常规 6 7 3 2 2 2 2 2 2 2" xfId="46857"/>
    <cellStyle name="常规 6 7 3 2 2 2 2 2 3" xfId="46858"/>
    <cellStyle name="常规 6 7 3 2 2 2 2 2 4" xfId="46859"/>
    <cellStyle name="常规 6 7 3 2 2 2 2 3" xfId="46860"/>
    <cellStyle name="常规 6 7 3 2 2 2 2 3 2" xfId="46861"/>
    <cellStyle name="常规 6 7 3 2 2 2 2 4" xfId="46862"/>
    <cellStyle name="常规 6 7 3 2 2 2 2 5" xfId="18302"/>
    <cellStyle name="常规 6 7 3 2 2 2 3" xfId="46863"/>
    <cellStyle name="常规 6 7 3 2 2 2 3 2" xfId="46864"/>
    <cellStyle name="常规 6 7 3 2 2 2 3 2 2" xfId="46865"/>
    <cellStyle name="常规 6 7 3 2 2 2 3 3" xfId="46866"/>
    <cellStyle name="常规 6 7 3 2 2 2 3 4" xfId="46867"/>
    <cellStyle name="常规 6 7 3 2 2 2 4" xfId="46868"/>
    <cellStyle name="常规 6 7 3 2 2 2 4 2" xfId="46869"/>
    <cellStyle name="常规 6 7 3 2 2 2 5" xfId="46870"/>
    <cellStyle name="常规 6 7 3 2 2 2 6" xfId="46871"/>
    <cellStyle name="常规 6 7 3 2 2 3" xfId="46872"/>
    <cellStyle name="常规 6 7 3 2 2 3 2" xfId="46873"/>
    <cellStyle name="常规 6 7 3 2 2 3 2 2" xfId="46874"/>
    <cellStyle name="常规 6 7 3 2 2 3 2 2 2" xfId="46875"/>
    <cellStyle name="常规 6 7 3 2 2 3 2 3" xfId="46876"/>
    <cellStyle name="常规 6 7 3 2 2 3 2 4" xfId="46877"/>
    <cellStyle name="常规 6 7 3 2 2 3 3" xfId="46878"/>
    <cellStyle name="常规 6 7 3 2 2 3 3 2" xfId="46879"/>
    <cellStyle name="常规 6 7 3 2 2 3 4" xfId="46880"/>
    <cellStyle name="常规 6 7 3 2 2 3 5" xfId="46881"/>
    <cellStyle name="常规 6 7 3 2 2 4" xfId="46882"/>
    <cellStyle name="常规 6 7 3 2 2 4 2" xfId="46883"/>
    <cellStyle name="常规 6 7 3 2 2 4 2 2" xfId="46884"/>
    <cellStyle name="常规 6 7 3 2 2 4 3" xfId="46885"/>
    <cellStyle name="常规 6 7 3 2 2 4 4" xfId="46886"/>
    <cellStyle name="常规 6 7 3 2 2 5" xfId="46887"/>
    <cellStyle name="常规 6 7 3 2 2 5 2" xfId="46888"/>
    <cellStyle name="常规 6 7 3 2 2 6" xfId="46889"/>
    <cellStyle name="常规 6 7 3 2 2 7" xfId="46890"/>
    <cellStyle name="常规 6 7 3 2 3" xfId="23946"/>
    <cellStyle name="常规 6 7 3 2 3 2" xfId="46891"/>
    <cellStyle name="常规 6 7 3 2 3 2 2" xfId="46892"/>
    <cellStyle name="常规 6 7 3 2 3 2 2 2" xfId="46893"/>
    <cellStyle name="常规 6 7 3 2 3 2 2 2 2" xfId="46894"/>
    <cellStyle name="常规 6 7 3 2 3 2 2 3" xfId="46895"/>
    <cellStyle name="常规 6 7 3 2 3 2 2 4" xfId="46896"/>
    <cellStyle name="常规 6 7 3 2 3 2 3" xfId="46897"/>
    <cellStyle name="常规 6 7 3 2 3 2 3 2" xfId="46898"/>
    <cellStyle name="常规 6 7 3 2 3 2 4" xfId="46899"/>
    <cellStyle name="常规 6 7 3 2 3 2 5" xfId="46900"/>
    <cellStyle name="常规 6 7 3 2 3 3" xfId="46901"/>
    <cellStyle name="常规 6 7 3 2 3 3 2" xfId="31556"/>
    <cellStyle name="常规 6 7 3 2 3 3 2 2" xfId="46902"/>
    <cellStyle name="常规 6 7 3 2 3 3 3" xfId="27407"/>
    <cellStyle name="常规 6 7 3 2 3 3 4" xfId="46903"/>
    <cellStyle name="常规 6 7 3 2 3 4" xfId="46904"/>
    <cellStyle name="常规 6 7 3 2 3 4 2" xfId="27310"/>
    <cellStyle name="常规 6 7 3 2 3 5" xfId="46905"/>
    <cellStyle name="常规 6 7 3 2 3 6" xfId="46906"/>
    <cellStyle name="常规 6 7 3 2 4" xfId="46907"/>
    <cellStyle name="常规 6 7 3 2 4 2" xfId="46908"/>
    <cellStyle name="常规 6 7 3 2 4 2 2" xfId="46909"/>
    <cellStyle name="常规 6 7 3 2 4 2 2 2" xfId="46910"/>
    <cellStyle name="常规 6 7 3 2 4 2 3" xfId="46911"/>
    <cellStyle name="常规 6 7 3 2 4 2 4" xfId="46912"/>
    <cellStyle name="常规 6 7 3 2 4 3" xfId="46913"/>
    <cellStyle name="常规 6 7 3 2 4 3 2" xfId="31566"/>
    <cellStyle name="常规 6 7 3 2 4 4" xfId="46914"/>
    <cellStyle name="常规 6 7 3 2 4 5" xfId="46915"/>
    <cellStyle name="常规 6 7 3 2 5" xfId="46916"/>
    <cellStyle name="常规 6 7 3 2 5 2" xfId="46917"/>
    <cellStyle name="常规 6 7 3 2 5 2 2" xfId="46918"/>
    <cellStyle name="常规 6 7 3 2 5 3" xfId="46919"/>
    <cellStyle name="常规 6 7 3 2 5 4" xfId="46920"/>
    <cellStyle name="常规 6 7 3 2 6" xfId="46921"/>
    <cellStyle name="常规 6 7 3 2 6 2" xfId="46922"/>
    <cellStyle name="常规 6 7 3 2 7" xfId="46923"/>
    <cellStyle name="常规 6 7 3 2 8" xfId="46924"/>
    <cellStyle name="常规 6 7 3 3" xfId="5390"/>
    <cellStyle name="常规 6 7 3 3 2" xfId="41688"/>
    <cellStyle name="常规 6 7 3 3 2 2" xfId="46925"/>
    <cellStyle name="常规 6 7 3 3 2 2 2" xfId="46926"/>
    <cellStyle name="常规 6 7 3 3 2 2 2 2" xfId="46927"/>
    <cellStyle name="常规 6 7 3 3 2 2 2 2 2" xfId="46928"/>
    <cellStyle name="常规 6 7 3 3 2 2 2 3" xfId="46929"/>
    <cellStyle name="常规 6 7 3 3 2 2 2 4" xfId="46930"/>
    <cellStyle name="常规 6 7 3 3 2 2 3" xfId="46931"/>
    <cellStyle name="常规 6 7 3 3 2 2 3 2" xfId="46932"/>
    <cellStyle name="常规 6 7 3 3 2 2 4" xfId="46933"/>
    <cellStyle name="常规 6 7 3 3 2 2 5" xfId="46934"/>
    <cellStyle name="常规 6 7 3 3 2 3" xfId="46935"/>
    <cellStyle name="常规 6 7 3 3 2 3 2" xfId="46936"/>
    <cellStyle name="常规 6 7 3 3 2 3 2 2" xfId="46937"/>
    <cellStyle name="常规 6 7 3 3 2 3 3" xfId="46938"/>
    <cellStyle name="常规 6 7 3 3 2 3 4" xfId="46939"/>
    <cellStyle name="常规 6 7 3 3 2 4" xfId="46940"/>
    <cellStyle name="常规 6 7 3 3 2 4 2" xfId="46941"/>
    <cellStyle name="常规 6 7 3 3 2 5" xfId="46942"/>
    <cellStyle name="常规 6 7 3 3 2 6" xfId="46943"/>
    <cellStyle name="常规 6 7 3 3 3" xfId="46944"/>
    <cellStyle name="常规 6 7 3 3 3 2" xfId="46945"/>
    <cellStyle name="常规 6 7 3 3 3 2 2" xfId="46946"/>
    <cellStyle name="常规 6 7 3 3 3 2 2 2" xfId="46947"/>
    <cellStyle name="常规 6 7 3 3 3 2 3" xfId="46948"/>
    <cellStyle name="常规 6 7 3 3 3 2 4" xfId="46949"/>
    <cellStyle name="常规 6 7 3 3 3 3" xfId="46950"/>
    <cellStyle name="常规 6 7 3 3 3 3 2" xfId="31589"/>
    <cellStyle name="常规 6 7 3 3 3 4" xfId="46951"/>
    <cellStyle name="常规 6 7 3 3 3 5" xfId="46952"/>
    <cellStyle name="常规 6 7 3 3 4" xfId="46953"/>
    <cellStyle name="常规 6 7 3 3 4 2" xfId="46954"/>
    <cellStyle name="常规 6 7 3 3 4 2 2" xfId="46955"/>
    <cellStyle name="常规 6 7 3 3 4 3" xfId="46956"/>
    <cellStyle name="常规 6 7 3 3 4 4" xfId="46957"/>
    <cellStyle name="常规 6 7 3 3 5" xfId="46958"/>
    <cellStyle name="常规 6 7 3 3 5 2" xfId="46959"/>
    <cellStyle name="常规 6 7 3 3 6" xfId="46960"/>
    <cellStyle name="常规 6 7 3 3 7" xfId="46961"/>
    <cellStyle name="常规 6 7 3 4" xfId="41690"/>
    <cellStyle name="常规 6 7 3 4 2" xfId="46962"/>
    <cellStyle name="常规 6 7 3 4 2 2" xfId="46963"/>
    <cellStyle name="常规 6 7 3 4 2 2 2" xfId="46964"/>
    <cellStyle name="常规 6 7 3 4 2 2 2 2" xfId="46965"/>
    <cellStyle name="常规 6 7 3 4 2 2 3" xfId="46966"/>
    <cellStyle name="常规 6 7 3 4 2 2 4" xfId="46967"/>
    <cellStyle name="常规 6 7 3 4 2 3" xfId="46968"/>
    <cellStyle name="常规 6 7 3 4 2 3 2" xfId="46969"/>
    <cellStyle name="常规 6 7 3 4 2 4" xfId="46970"/>
    <cellStyle name="常规 6 7 3 4 2 5" xfId="46103"/>
    <cellStyle name="常规 6 7 3 4 3" xfId="46971"/>
    <cellStyle name="常规 6 7 3 4 3 2" xfId="46972"/>
    <cellStyle name="常规 6 7 3 4 3 2 2" xfId="46973"/>
    <cellStyle name="常规 6 7 3 4 3 3" xfId="46974"/>
    <cellStyle name="常规 6 7 3 4 3 4" xfId="46975"/>
    <cellStyle name="常规 6 7 3 4 4" xfId="46976"/>
    <cellStyle name="常规 6 7 3 4 4 2" xfId="46977"/>
    <cellStyle name="常规 6 7 3 4 5" xfId="46978"/>
    <cellStyle name="常规 6 7 3 4 6" xfId="46979"/>
    <cellStyle name="常规 6 7 3 5" xfId="41692"/>
    <cellStyle name="常规 6 7 3 5 2" xfId="46980"/>
    <cellStyle name="常规 6 7 3 5 2 2" xfId="46981"/>
    <cellStyle name="常规 6 7 3 5 2 2 2" xfId="46982"/>
    <cellStyle name="常规 6 7 3 5 2 3" xfId="46983"/>
    <cellStyle name="常规 6 7 3 5 2 4" xfId="46984"/>
    <cellStyle name="常规 6 7 3 5 3" xfId="46985"/>
    <cellStyle name="常规 6 7 3 5 3 2" xfId="46986"/>
    <cellStyle name="常规 6 7 3 5 4" xfId="46987"/>
    <cellStyle name="常规 6 7 3 5 5" xfId="46988"/>
    <cellStyle name="常规 6 7 3 6" xfId="46989"/>
    <cellStyle name="常规 6 7 3 6 2" xfId="46990"/>
    <cellStyle name="常规 6 7 3 6 2 2" xfId="46991"/>
    <cellStyle name="常规 6 7 3 6 3" xfId="46992"/>
    <cellStyle name="常规 6 7 3 6 4" xfId="46993"/>
    <cellStyle name="常规 6 7 3 7" xfId="46994"/>
    <cellStyle name="常规 6 7 3 7 2" xfId="46995"/>
    <cellStyle name="常规 6 7 3 8" xfId="46996"/>
    <cellStyle name="常规 6 7 3 9" xfId="46997"/>
    <cellStyle name="常规 6 7 4" xfId="46998"/>
    <cellStyle name="常规 6 7 4 2" xfId="42866"/>
    <cellStyle name="常规 6 7 4 2 2" xfId="46999"/>
    <cellStyle name="常规 6 7 4 2 2 2" xfId="47000"/>
    <cellStyle name="常规 6 7 4 2 2 2 2" xfId="47001"/>
    <cellStyle name="常规 6 7 4 2 2 2 2 2" xfId="47002"/>
    <cellStyle name="常规 6 7 4 2 2 2 2 2 2" xfId="47003"/>
    <cellStyle name="常规 6 7 4 2 2 2 2 2 2 2" xfId="28849"/>
    <cellStyle name="常规 6 7 4 2 2 2 2 2 3" xfId="14395"/>
    <cellStyle name="常规 6 7 4 2 2 2 2 2 4" xfId="14419"/>
    <cellStyle name="常规 6 7 4 2 2 2 2 3" xfId="47004"/>
    <cellStyle name="常规 6 7 4 2 2 2 2 3 2" xfId="47005"/>
    <cellStyle name="常规 6 7 4 2 2 2 2 4" xfId="47006"/>
    <cellStyle name="常规 6 7 4 2 2 2 2 5" xfId="23082"/>
    <cellStyle name="常规 6 7 4 2 2 2 3" xfId="47007"/>
    <cellStyle name="常规 6 7 4 2 2 2 3 2" xfId="47008"/>
    <cellStyle name="常规 6 7 4 2 2 2 3 2 2" xfId="47009"/>
    <cellStyle name="常规 6 7 4 2 2 2 3 3" xfId="47010"/>
    <cellStyle name="常规 6 7 4 2 2 2 3 4" xfId="47011"/>
    <cellStyle name="常规 6 7 4 2 2 2 4" xfId="47012"/>
    <cellStyle name="常规 6 7 4 2 2 2 4 2" xfId="47013"/>
    <cellStyle name="常规 6 7 4 2 2 2 5" xfId="47014"/>
    <cellStyle name="常规 6 7 4 2 2 2 6" xfId="47015"/>
    <cellStyle name="常规 6 7 4 2 2 3" xfId="47016"/>
    <cellStyle name="常规 6 7 4 2 2 3 2" xfId="47017"/>
    <cellStyle name="常规 6 7 4 2 2 3 2 2" xfId="47018"/>
    <cellStyle name="常规 6 7 4 2 2 3 2 2 2" xfId="47019"/>
    <cellStyle name="常规 6 7 4 2 2 3 2 3" xfId="47020"/>
    <cellStyle name="常规 6 7 4 2 2 3 2 4" xfId="45262"/>
    <cellStyle name="常规 6 7 4 2 2 3 3" xfId="47021"/>
    <cellStyle name="常规 6 7 4 2 2 3 3 2" xfId="47022"/>
    <cellStyle name="常规 6 7 4 2 2 3 4" xfId="47023"/>
    <cellStyle name="常规 6 7 4 2 2 3 5" xfId="47024"/>
    <cellStyle name="常规 6 7 4 2 2 4" xfId="47025"/>
    <cellStyle name="常规 6 7 4 2 2 4 2" xfId="47026"/>
    <cellStyle name="常规 6 7 4 2 2 4 2 2" xfId="4923"/>
    <cellStyle name="常规 6 7 4 2 2 4 3" xfId="47027"/>
    <cellStyle name="常规 6 7 4 2 2 4 4" xfId="47028"/>
    <cellStyle name="常规 6 7 4 2 2 5" xfId="47029"/>
    <cellStyle name="常规 6 7 4 2 2 5 2" xfId="47030"/>
    <cellStyle name="常规 6 7 4 2 2 6" xfId="47031"/>
    <cellStyle name="常规 6 7 4 2 2 7" xfId="47032"/>
    <cellStyle name="常规 6 7 4 2 3" xfId="47033"/>
    <cellStyle name="常规 6 7 4 2 3 2" xfId="47034"/>
    <cellStyle name="常规 6 7 4 2 3 2 2" xfId="47035"/>
    <cellStyle name="常规 6 7 4 2 3 2 2 2" xfId="47036"/>
    <cellStyle name="常规 6 7 4 2 3 2 2 2 2" xfId="47037"/>
    <cellStyle name="常规 6 7 4 2 3 2 2 3" xfId="47038"/>
    <cellStyle name="常规 6 7 4 2 3 2 2 4" xfId="47039"/>
    <cellStyle name="常规 6 7 4 2 3 2 3" xfId="47040"/>
    <cellStyle name="常规 6 7 4 2 3 2 3 2" xfId="47041"/>
    <cellStyle name="常规 6 7 4 2 3 2 4" xfId="47042"/>
    <cellStyle name="常规 6 7 4 2 3 2 5" xfId="47043"/>
    <cellStyle name="常规 6 7 4 2 3 3" xfId="47044"/>
    <cellStyle name="常规 6 7 4 2 3 3 2" xfId="31765"/>
    <cellStyle name="常规 6 7 4 2 3 3 2 2" xfId="47045"/>
    <cellStyle name="常规 6 7 4 2 3 3 3" xfId="47046"/>
    <cellStyle name="常规 6 7 4 2 3 3 4" xfId="47047"/>
    <cellStyle name="常规 6 7 4 2 3 4" xfId="47048"/>
    <cellStyle name="常规 6 7 4 2 3 4 2" xfId="47049"/>
    <cellStyle name="常规 6 7 4 2 3 5" xfId="45881"/>
    <cellStyle name="常规 6 7 4 2 3 6" xfId="45887"/>
    <cellStyle name="常规 6 7 4 2 4" xfId="47050"/>
    <cellStyle name="常规 6 7 4 2 4 2" xfId="47051"/>
    <cellStyle name="常规 6 7 4 2 4 2 2" xfId="47052"/>
    <cellStyle name="常规 6 7 4 2 4 2 2 2" xfId="47053"/>
    <cellStyle name="常规 6 7 4 2 4 2 3" xfId="47054"/>
    <cellStyle name="常规 6 7 4 2 4 2 4" xfId="47055"/>
    <cellStyle name="常规 6 7 4 2 4 3" xfId="47056"/>
    <cellStyle name="常规 6 7 4 2 4 3 2" xfId="47057"/>
    <cellStyle name="常规 6 7 4 2 4 4" xfId="47058"/>
    <cellStyle name="常规 6 7 4 2 4 5" xfId="45892"/>
    <cellStyle name="常规 6 7 4 2 5" xfId="47059"/>
    <cellStyle name="常规 6 7 4 2 5 2" xfId="47060"/>
    <cellStyle name="常规 6 7 4 2 5 2 2" xfId="47061"/>
    <cellStyle name="常规 6 7 4 2 5 3" xfId="47062"/>
    <cellStyle name="常规 6 7 4 2 5 4" xfId="47063"/>
    <cellStyle name="常规 6 7 4 2 6" xfId="47064"/>
    <cellStyle name="常规 6 7 4 2 6 2" xfId="47065"/>
    <cellStyle name="常规 6 7 4 2 7" xfId="47066"/>
    <cellStyle name="常规 6 7 4 2 8" xfId="47067"/>
    <cellStyle name="常规 6 7 4 3" xfId="41695"/>
    <cellStyle name="常规 6 7 4 3 2" xfId="47068"/>
    <cellStyle name="常规 6 7 4 3 2 2" xfId="47069"/>
    <cellStyle name="常规 6 7 4 3 2 2 2" xfId="47070"/>
    <cellStyle name="常规 6 7 4 3 2 2 2 2" xfId="47071"/>
    <cellStyle name="常规 6 7 4 3 2 2 2 2 2" xfId="47072"/>
    <cellStyle name="常规 6 7 4 3 2 2 2 3" xfId="47073"/>
    <cellStyle name="常规 6 7 4 3 2 2 2 4" xfId="47074"/>
    <cellStyle name="常规 6 7 4 3 2 2 3" xfId="47075"/>
    <cellStyle name="常规 6 7 4 3 2 2 3 2" xfId="47076"/>
    <cellStyle name="常规 6 7 4 3 2 2 4" xfId="47077"/>
    <cellStyle name="常规 6 7 4 3 2 2 5" xfId="47078"/>
    <cellStyle name="常规 6 7 4 3 2 3" xfId="47079"/>
    <cellStyle name="常规 6 7 4 3 2 3 2" xfId="47080"/>
    <cellStyle name="常规 6 7 4 3 2 3 2 2" xfId="47081"/>
    <cellStyle name="常规 6 7 4 3 2 3 3" xfId="47082"/>
    <cellStyle name="常规 6 7 4 3 2 3 4" xfId="47083"/>
    <cellStyle name="常规 6 7 4 3 2 4" xfId="47084"/>
    <cellStyle name="常规 6 7 4 3 2 4 2" xfId="47085"/>
    <cellStyle name="常规 6 7 4 3 2 5" xfId="47086"/>
    <cellStyle name="常规 6 7 4 3 2 6" xfId="47087"/>
    <cellStyle name="常规 6 7 4 3 3" xfId="47088"/>
    <cellStyle name="常规 6 7 4 3 3 2" xfId="47089"/>
    <cellStyle name="常规 6 7 4 3 3 2 2" xfId="47090"/>
    <cellStyle name="常规 6 7 4 3 3 2 2 2" xfId="47091"/>
    <cellStyle name="常规 6 7 4 3 3 2 3" xfId="47092"/>
    <cellStyle name="常规 6 7 4 3 3 2 4" xfId="47093"/>
    <cellStyle name="常规 6 7 4 3 3 3" xfId="47094"/>
    <cellStyle name="常规 6 7 4 3 3 3 2" xfId="47095"/>
    <cellStyle name="常规 6 7 4 3 3 4" xfId="47096"/>
    <cellStyle name="常规 6 7 4 3 3 5" xfId="45903"/>
    <cellStyle name="常规 6 7 4 3 4" xfId="47097"/>
    <cellStyle name="常规 6 7 4 3 4 2" xfId="47098"/>
    <cellStyle name="常规 6 7 4 3 4 2 2" xfId="7756"/>
    <cellStyle name="常规 6 7 4 3 4 3" xfId="47099"/>
    <cellStyle name="常规 6 7 4 3 4 4" xfId="47100"/>
    <cellStyle name="常规 6 7 4 3 5" xfId="47101"/>
    <cellStyle name="常规 6 7 4 3 5 2" xfId="47102"/>
    <cellStyle name="常规 6 7 4 3 6" xfId="47103"/>
    <cellStyle name="常规 6 7 4 3 7" xfId="47104"/>
    <cellStyle name="常规 6 7 4 4" xfId="47105"/>
    <cellStyle name="常规 6 7 4 4 2" xfId="47106"/>
    <cellStyle name="常规 6 7 4 4 2 2" xfId="47107"/>
    <cellStyle name="常规 6 7 4 4 2 2 2" xfId="47108"/>
    <cellStyle name="常规 6 7 4 4 2 2 2 2" xfId="47109"/>
    <cellStyle name="常规 6 7 4 4 2 2 3" xfId="47110"/>
    <cellStyle name="常规 6 7 4 4 2 2 4" xfId="47111"/>
    <cellStyle name="常规 6 7 4 4 2 3" xfId="47112"/>
    <cellStyle name="常规 6 7 4 4 2 3 2" xfId="47113"/>
    <cellStyle name="常规 6 7 4 4 2 4" xfId="47114"/>
    <cellStyle name="常规 6 7 4 4 2 5" xfId="47115"/>
    <cellStyle name="常规 6 7 4 4 3" xfId="47116"/>
    <cellStyle name="常规 6 7 4 4 3 2" xfId="47117"/>
    <cellStyle name="常规 6 7 4 4 3 2 2" xfId="47118"/>
    <cellStyle name="常规 6 7 4 4 3 3" xfId="47119"/>
    <cellStyle name="常规 6 7 4 4 3 4" xfId="47120"/>
    <cellStyle name="常规 6 7 4 4 4" xfId="47121"/>
    <cellStyle name="常规 6 7 4 4 4 2" xfId="47122"/>
    <cellStyle name="常规 6 7 4 4 5" xfId="47123"/>
    <cellStyle name="常规 6 7 4 4 6" xfId="47124"/>
    <cellStyle name="常规 6 7 4 5" xfId="47125"/>
    <cellStyle name="常规 6 7 4 5 2" xfId="47126"/>
    <cellStyle name="常规 6 7 4 5 2 2" xfId="3502"/>
    <cellStyle name="常规 6 7 4 5 2 2 2" xfId="47127"/>
    <cellStyle name="常规 6 7 4 5 2 3" xfId="16222"/>
    <cellStyle name="常规 6 7 4 5 2 4" xfId="47128"/>
    <cellStyle name="常规 6 7 4 5 3" xfId="47129"/>
    <cellStyle name="常规 6 7 4 5 3 2" xfId="16234"/>
    <cellStyle name="常规 6 7 4 5 4" xfId="47130"/>
    <cellStyle name="常规 6 7 4 5 5" xfId="2869"/>
    <cellStyle name="常规 6 7 4 6" xfId="47131"/>
    <cellStyle name="常规 6 7 4 6 2" xfId="47132"/>
    <cellStyle name="常规 6 7 4 6 2 2" xfId="8346"/>
    <cellStyle name="常规 6 7 4 6 3" xfId="47133"/>
    <cellStyle name="常规 6 7 4 6 4" xfId="47134"/>
    <cellStyle name="常规 6 7 4 7" xfId="47135"/>
    <cellStyle name="常规 6 7 4 7 2" xfId="47136"/>
    <cellStyle name="常规 6 7 4 8" xfId="47137"/>
    <cellStyle name="常规 6 7 4 9" xfId="47138"/>
    <cellStyle name="常规 6 7 5" xfId="47139"/>
    <cellStyle name="常规 6 7 5 2" xfId="47140"/>
    <cellStyle name="常规 6 7 5 2 2" xfId="47141"/>
    <cellStyle name="常规 6 7 5 2 2 2" xfId="47142"/>
    <cellStyle name="常规 6 7 5 2 2 2 2" xfId="47143"/>
    <cellStyle name="常规 6 7 5 2 2 2 2 2" xfId="47144"/>
    <cellStyle name="常规 6 7 5 2 2 2 2 2 2" xfId="47145"/>
    <cellStyle name="常规 6 7 5 2 2 2 2 3" xfId="47146"/>
    <cellStyle name="常规 6 7 5 2 2 2 2 4" xfId="47147"/>
    <cellStyle name="常规 6 7 5 2 2 2 3" xfId="47148"/>
    <cellStyle name="常规 6 7 5 2 2 2 3 2" xfId="47149"/>
    <cellStyle name="常规 6 7 5 2 2 2 4" xfId="47150"/>
    <cellStyle name="常规 6 7 5 2 2 2 5" xfId="47151"/>
    <cellStyle name="常规 6 7 5 2 2 3" xfId="47152"/>
    <cellStyle name="常规 6 7 5 2 2 3 2" xfId="47153"/>
    <cellStyle name="常规 6 7 5 2 2 3 2 2" xfId="47154"/>
    <cellStyle name="常规 6 7 5 2 2 3 3" xfId="47155"/>
    <cellStyle name="常规 6 7 5 2 2 3 4" xfId="47156"/>
    <cellStyle name="常规 6 7 5 2 2 4" xfId="47157"/>
    <cellStyle name="常规 6 7 5 2 2 4 2" xfId="47158"/>
    <cellStyle name="常规 6 7 5 2 2 5" xfId="47159"/>
    <cellStyle name="常规 6 7 5 2 2 6" xfId="47160"/>
    <cellStyle name="常规 6 7 5 2 3" xfId="47161"/>
    <cellStyle name="常规 6 7 5 2 3 2" xfId="47162"/>
    <cellStyle name="常规 6 7 5 2 3 2 2" xfId="47163"/>
    <cellStyle name="常规 6 7 5 2 3 2 2 2" xfId="47164"/>
    <cellStyle name="常规 6 7 5 2 3 2 3" xfId="47165"/>
    <cellStyle name="常规 6 7 5 2 3 2 4" xfId="47166"/>
    <cellStyle name="常规 6 7 5 2 3 3" xfId="47167"/>
    <cellStyle name="常规 6 7 5 2 3 3 2" xfId="47168"/>
    <cellStyle name="常规 6 7 5 2 3 4" xfId="47169"/>
    <cellStyle name="常规 6 7 5 2 3 5" xfId="45921"/>
    <cellStyle name="常规 6 7 5 2 4" xfId="47170"/>
    <cellStyle name="常规 6 7 5 2 4 2" xfId="47171"/>
    <cellStyle name="常规 6 7 5 2 4 2 2" xfId="47172"/>
    <cellStyle name="常规 6 7 5 2 4 3" xfId="47173"/>
    <cellStyle name="常规 6 7 5 2 4 4" xfId="47174"/>
    <cellStyle name="常规 6 7 5 2 5" xfId="47175"/>
    <cellStyle name="常规 6 7 5 2 5 2" xfId="35070"/>
    <cellStyle name="常规 6 7 5 2 6" xfId="47176"/>
    <cellStyle name="常规 6 7 5 2 7" xfId="47177"/>
    <cellStyle name="常规 6 7 5 3" xfId="47178"/>
    <cellStyle name="常规 6 7 5 3 2" xfId="43087"/>
    <cellStyle name="常规 6 7 5 3 2 2" xfId="47179"/>
    <cellStyle name="常规 6 7 5 3 2 2 2" xfId="47180"/>
    <cellStyle name="常规 6 7 5 3 2 2 2 2" xfId="47181"/>
    <cellStyle name="常规 6 7 5 3 2 2 3" xfId="47182"/>
    <cellStyle name="常规 6 7 5 3 2 2 4" xfId="47183"/>
    <cellStyle name="常规 6 7 5 3 2 3" xfId="47184"/>
    <cellStyle name="常规 6 7 5 3 2 3 2" xfId="47185"/>
    <cellStyle name="常规 6 7 5 3 2 4" xfId="47186"/>
    <cellStyle name="常规 6 7 5 3 2 5" xfId="47187"/>
    <cellStyle name="常规 6 7 5 3 3" xfId="47188"/>
    <cellStyle name="常规 6 7 5 3 3 2" xfId="47189"/>
    <cellStyle name="常规 6 7 5 3 3 2 2" xfId="47190"/>
    <cellStyle name="常规 6 7 5 3 3 3" xfId="47191"/>
    <cellStyle name="常规 6 7 5 3 3 4" xfId="47192"/>
    <cellStyle name="常规 6 7 5 3 4" xfId="47193"/>
    <cellStyle name="常规 6 7 5 3 4 2" xfId="47194"/>
    <cellStyle name="常规 6 7 5 3 5" xfId="47195"/>
    <cellStyle name="常规 6 7 5 3 6" xfId="47196"/>
    <cellStyle name="常规 6 7 5 4" xfId="47197"/>
    <cellStyle name="常规 6 7 5 4 2" xfId="47198"/>
    <cellStyle name="常规 6 7 5 4 2 2" xfId="47199"/>
    <cellStyle name="常规 6 7 5 4 2 2 2" xfId="47200"/>
    <cellStyle name="常规 6 7 5 4 2 3" xfId="47201"/>
    <cellStyle name="常规 6 7 5 4 2 4" xfId="47202"/>
    <cellStyle name="常规 6 7 5 4 3" xfId="47203"/>
    <cellStyle name="常规 6 7 5 4 3 2" xfId="47204"/>
    <cellStyle name="常规 6 7 5 4 4" xfId="47205"/>
    <cellStyle name="常规 6 7 5 4 5" xfId="47206"/>
    <cellStyle name="常规 6 7 5 5" xfId="47207"/>
    <cellStyle name="常规 6 7 5 5 2" xfId="47208"/>
    <cellStyle name="常规 6 7 5 5 2 2" xfId="16319"/>
    <cellStyle name="常规 6 7 5 5 3" xfId="47209"/>
    <cellStyle name="常规 6 7 5 5 4" xfId="47210"/>
    <cellStyle name="常规 6 7 5 6" xfId="47211"/>
    <cellStyle name="常规 6 7 5 6 2" xfId="47212"/>
    <cellStyle name="常规 6 7 5 7" xfId="47213"/>
    <cellStyle name="常规 6 7 5 8" xfId="47214"/>
    <cellStyle name="常规 6 7 6" xfId="47215"/>
    <cellStyle name="常规 6 7 6 2" xfId="47216"/>
    <cellStyle name="常规 6 7 6 2 2" xfId="47217"/>
    <cellStyle name="常规 6 7 6 2 2 2" xfId="47218"/>
    <cellStyle name="常规 6 7 6 2 2 2 2" xfId="47219"/>
    <cellStyle name="常规 6 7 6 2 2 2 2 2" xfId="47220"/>
    <cellStyle name="常规 6 7 6 2 2 2 3" xfId="47221"/>
    <cellStyle name="常规 6 7 6 2 2 2 4" xfId="47222"/>
    <cellStyle name="常规 6 7 6 2 2 3" xfId="47223"/>
    <cellStyle name="常规 6 7 6 2 2 3 2" xfId="47224"/>
    <cellStyle name="常规 6 7 6 2 2 4" xfId="47225"/>
    <cellStyle name="常规 6 7 6 2 2 5" xfId="14828"/>
    <cellStyle name="常规 6 7 6 2 3" xfId="47226"/>
    <cellStyle name="常规 6 7 6 2 3 2" xfId="47227"/>
    <cellStyle name="常规 6 7 6 2 3 2 2" xfId="47228"/>
    <cellStyle name="常规 6 7 6 2 3 3" xfId="47229"/>
    <cellStyle name="常规 6 7 6 2 3 4" xfId="47230"/>
    <cellStyle name="常规 6 7 6 2 4" xfId="47231"/>
    <cellStyle name="常规 6 7 6 2 4 2" xfId="47232"/>
    <cellStyle name="常规 6 7 6 2 5" xfId="47233"/>
    <cellStyle name="常规 6 7 6 2 6" xfId="47234"/>
    <cellStyle name="常规 6 7 6 3" xfId="47235"/>
    <cellStyle name="常规 6 7 6 3 2" xfId="47236"/>
    <cellStyle name="常规 6 7 6 3 2 2" xfId="47237"/>
    <cellStyle name="常规 6 7 6 3 2 2 2" xfId="47238"/>
    <cellStyle name="常规 6 7 6 3 2 3" xfId="47239"/>
    <cellStyle name="常规 6 7 6 3 2 4" xfId="47240"/>
    <cellStyle name="常规 6 7 6 3 3" xfId="47241"/>
    <cellStyle name="常规 6 7 6 3 3 2" xfId="47242"/>
    <cellStyle name="常规 6 7 6 3 4" xfId="47243"/>
    <cellStyle name="常规 6 7 6 3 5" xfId="47244"/>
    <cellStyle name="常规 6 7 6 4" xfId="47245"/>
    <cellStyle name="常规 6 7 6 4 2" xfId="47246"/>
    <cellStyle name="常规 6 7 6 4 2 2" xfId="47247"/>
    <cellStyle name="常规 6 7 6 4 3" xfId="47248"/>
    <cellStyle name="常规 6 7 6 4 4" xfId="47249"/>
    <cellStyle name="常规 6 7 6 5" xfId="47250"/>
    <cellStyle name="常规 6 7 6 5 2" xfId="47251"/>
    <cellStyle name="常规 6 7 6 6" xfId="47252"/>
    <cellStyle name="常规 6 7 6 7" xfId="47253"/>
    <cellStyle name="常规 6 7 7" xfId="33769"/>
    <cellStyle name="常规 6 7 7 2" xfId="47254"/>
    <cellStyle name="常规 6 7 7 2 2" xfId="47255"/>
    <cellStyle name="常规 6 7 7 2 2 2" xfId="47256"/>
    <cellStyle name="常规 6 7 7 2 2 2 2" xfId="47257"/>
    <cellStyle name="常规 6 7 7 2 2 3" xfId="47258"/>
    <cellStyle name="常规 6 7 7 2 2 4" xfId="47259"/>
    <cellStyle name="常规 6 7 7 2 3" xfId="47260"/>
    <cellStyle name="常规 6 7 7 2 3 2" xfId="47261"/>
    <cellStyle name="常规 6 7 7 2 4" xfId="47262"/>
    <cellStyle name="常规 6 7 7 2 5" xfId="47263"/>
    <cellStyle name="常规 6 7 7 3" xfId="47264"/>
    <cellStyle name="常规 6 7 7 3 2" xfId="47265"/>
    <cellStyle name="常规 6 7 7 3 2 2" xfId="47266"/>
    <cellStyle name="常规 6 7 7 3 3" xfId="47267"/>
    <cellStyle name="常规 6 7 7 3 4" xfId="47268"/>
    <cellStyle name="常规 6 7 7 4" xfId="47269"/>
    <cellStyle name="常规 6 7 7 4 2" xfId="47270"/>
    <cellStyle name="常规 6 7 7 5" xfId="47271"/>
    <cellStyle name="常规 6 7 7 6" xfId="47272"/>
    <cellStyle name="常规 6 7 8" xfId="47273"/>
    <cellStyle name="常规 6 7 8 2" xfId="47274"/>
    <cellStyle name="常规 6 7 8 2 2" xfId="47275"/>
    <cellStyle name="常规 6 7 8 2 2 2" xfId="47276"/>
    <cellStyle name="常规 6 7 8 2 3" xfId="47277"/>
    <cellStyle name="常规 6 7 8 2 4" xfId="47278"/>
    <cellStyle name="常规 6 7 8 3" xfId="1552"/>
    <cellStyle name="常规 6 7 8 3 2" xfId="21280"/>
    <cellStyle name="常规 6 7 8 4" xfId="21283"/>
    <cellStyle name="常规 6 7 8 5" xfId="21286"/>
    <cellStyle name="常规 6 7 9" xfId="47279"/>
    <cellStyle name="常规 6 7 9 2" xfId="47280"/>
    <cellStyle name="常规 6 7 9 2 2" xfId="18513"/>
    <cellStyle name="常规 6 7 9 3" xfId="21289"/>
    <cellStyle name="常规 6 7 9 4" xfId="47281"/>
    <cellStyle name="常规 6 8" xfId="47282"/>
    <cellStyle name="常规 6 8 10" xfId="47283"/>
    <cellStyle name="常规 6 8 11" xfId="47284"/>
    <cellStyle name="常规 6 8 2" xfId="47285"/>
    <cellStyle name="常规 6 8 2 2" xfId="47286"/>
    <cellStyle name="常规 6 8 2 2 2" xfId="47287"/>
    <cellStyle name="常规 6 8 2 2 2 2" xfId="47288"/>
    <cellStyle name="常规 6 8 2 2 2 2 2" xfId="47289"/>
    <cellStyle name="常规 6 8 2 2 2 2 2 2" xfId="47290"/>
    <cellStyle name="常规 6 8 2 2 2 2 2 2 2" xfId="47291"/>
    <cellStyle name="常规 6 8 2 2 2 2 2 2 2 2" xfId="47292"/>
    <cellStyle name="常规 6 8 2 2 2 2 2 2 3" xfId="47293"/>
    <cellStyle name="常规 6 8 2 2 2 2 2 2 4" xfId="47294"/>
    <cellStyle name="常规 6 8 2 2 2 2 2 3" xfId="47295"/>
    <cellStyle name="常规 6 8 2 2 2 2 2 3 2" xfId="47296"/>
    <cellStyle name="常规 6 8 2 2 2 2 2 4" xfId="47297"/>
    <cellStyle name="常规 6 8 2 2 2 2 2 5" xfId="9914"/>
    <cellStyle name="常规 6 8 2 2 2 2 3" xfId="47298"/>
    <cellStyle name="常规 6 8 2 2 2 2 3 2" xfId="47299"/>
    <cellStyle name="常规 6 8 2 2 2 2 3 2 2" xfId="47300"/>
    <cellStyle name="常规 6 8 2 2 2 2 3 3" xfId="47301"/>
    <cellStyle name="常规 6 8 2 2 2 2 3 4" xfId="47302"/>
    <cellStyle name="常规 6 8 2 2 2 2 4" xfId="47303"/>
    <cellStyle name="常规 6 8 2 2 2 2 4 2" xfId="24740"/>
    <cellStyle name="常规 6 8 2 2 2 2 5" xfId="47304"/>
    <cellStyle name="常规 6 8 2 2 2 2 6" xfId="20551"/>
    <cellStyle name="常规 6 8 2 2 2 3" xfId="47305"/>
    <cellStyle name="常规 6 8 2 2 2 3 2" xfId="47306"/>
    <cellStyle name="常规 6 8 2 2 2 3 2 2" xfId="47307"/>
    <cellStyle name="常规 6 8 2 2 2 3 2 2 2" xfId="47308"/>
    <cellStyle name="常规 6 8 2 2 2 3 2 3" xfId="47309"/>
    <cellStyle name="常规 6 8 2 2 2 3 2 4" xfId="47310"/>
    <cellStyle name="常规 6 8 2 2 2 3 3" xfId="47311"/>
    <cellStyle name="常规 6 8 2 2 2 3 3 2" xfId="47312"/>
    <cellStyle name="常规 6 8 2 2 2 3 4" xfId="47313"/>
    <cellStyle name="常规 6 8 2 2 2 3 5" xfId="47314"/>
    <cellStyle name="常规 6 8 2 2 2 4" xfId="47315"/>
    <cellStyle name="常规 6 8 2 2 2 4 2" xfId="47316"/>
    <cellStyle name="常规 6 8 2 2 2 4 2 2" xfId="47317"/>
    <cellStyle name="常规 6 8 2 2 2 4 3" xfId="47318"/>
    <cellStyle name="常规 6 8 2 2 2 4 4" xfId="47319"/>
    <cellStyle name="常规 6 8 2 2 2 5" xfId="47320"/>
    <cellStyle name="常规 6 8 2 2 2 5 2" xfId="47321"/>
    <cellStyle name="常规 6 8 2 2 2 6" xfId="47322"/>
    <cellStyle name="常规 6 8 2 2 2 7" xfId="47323"/>
    <cellStyle name="常规 6 8 2 2 3" xfId="47324"/>
    <cellStyle name="常规 6 8 2 2 3 2" xfId="47325"/>
    <cellStyle name="常规 6 8 2 2 3 2 2" xfId="47326"/>
    <cellStyle name="常规 6 8 2 2 3 2 2 2" xfId="47327"/>
    <cellStyle name="常规 6 8 2 2 3 2 2 2 2" xfId="47328"/>
    <cellStyle name="常规 6 8 2 2 3 2 2 3" xfId="47329"/>
    <cellStyle name="常规 6 8 2 2 3 2 2 4" xfId="47330"/>
    <cellStyle name="常规 6 8 2 2 3 2 3" xfId="47331"/>
    <cellStyle name="常规 6 8 2 2 3 2 3 2" xfId="47332"/>
    <cellStyle name="常规 6 8 2 2 3 2 4" xfId="47333"/>
    <cellStyle name="常规 6 8 2 2 3 2 5" xfId="47334"/>
    <cellStyle name="常规 6 8 2 2 3 3" xfId="47335"/>
    <cellStyle name="常规 6 8 2 2 3 3 2" xfId="47336"/>
    <cellStyle name="常规 6 8 2 2 3 3 2 2" xfId="47337"/>
    <cellStyle name="常规 6 8 2 2 3 3 3" xfId="47338"/>
    <cellStyle name="常规 6 8 2 2 3 3 4" xfId="47339"/>
    <cellStyle name="常规 6 8 2 2 3 4" xfId="47340"/>
    <cellStyle name="常规 6 8 2 2 3 4 2" xfId="47341"/>
    <cellStyle name="常规 6 8 2 2 3 5" xfId="47342"/>
    <cellStyle name="常规 6 8 2 2 3 6" xfId="47343"/>
    <cellStyle name="常规 6 8 2 2 4" xfId="47344"/>
    <cellStyle name="常规 6 8 2 2 4 2" xfId="47345"/>
    <cellStyle name="常规 6 8 2 2 4 2 2" xfId="47346"/>
    <cellStyle name="常规 6 8 2 2 4 2 2 2" xfId="47347"/>
    <cellStyle name="常规 6 8 2 2 4 2 3" xfId="12060"/>
    <cellStyle name="常规 6 8 2 2 4 2 4" xfId="19172"/>
    <cellStyle name="常规 6 8 2 2 4 3" xfId="47348"/>
    <cellStyle name="常规 6 8 2 2 4 3 2" xfId="47349"/>
    <cellStyle name="常规 6 8 2 2 4 4" xfId="47350"/>
    <cellStyle name="常规 6 8 2 2 4 5" xfId="47351"/>
    <cellStyle name="常规 6 8 2 2 5" xfId="47352"/>
    <cellStyle name="常规 6 8 2 2 5 2" xfId="47353"/>
    <cellStyle name="常规 6 8 2 2 5 2 2" xfId="47354"/>
    <cellStyle name="常规 6 8 2 2 5 3" xfId="47355"/>
    <cellStyle name="常规 6 8 2 2 5 4" xfId="47356"/>
    <cellStyle name="常规 6 8 2 2 6" xfId="47357"/>
    <cellStyle name="常规 6 8 2 2 6 2" xfId="47358"/>
    <cellStyle name="常规 6 8 2 2 7" xfId="47359"/>
    <cellStyle name="常规 6 8 2 2 8" xfId="47360"/>
    <cellStyle name="常规 6 8 2 3" xfId="47361"/>
    <cellStyle name="常规 6 8 2 3 2" xfId="47362"/>
    <cellStyle name="常规 6 8 2 3 2 2" xfId="47363"/>
    <cellStyle name="常规 6 8 2 3 2 2 2" xfId="47364"/>
    <cellStyle name="常规 6 8 2 3 2 2 2 2" xfId="47365"/>
    <cellStyle name="常规 6 8 2 3 2 2 2 2 2" xfId="47366"/>
    <cellStyle name="常规 6 8 2 3 2 2 2 3" xfId="47367"/>
    <cellStyle name="常规 6 8 2 3 2 2 2 4" xfId="47368"/>
    <cellStyle name="常规 6 8 2 3 2 2 3" xfId="47369"/>
    <cellStyle name="常规 6 8 2 3 2 2 3 2" xfId="47370"/>
    <cellStyle name="常规 6 8 2 3 2 2 4" xfId="47371"/>
    <cellStyle name="常规 6 8 2 3 2 2 5" xfId="47372"/>
    <cellStyle name="常规 6 8 2 3 2 3" xfId="47373"/>
    <cellStyle name="常规 6 8 2 3 2 3 2" xfId="47374"/>
    <cellStyle name="常规 6 8 2 3 2 3 2 2" xfId="47375"/>
    <cellStyle name="常规 6 8 2 3 2 3 3" xfId="47376"/>
    <cellStyle name="常规 6 8 2 3 2 3 4" xfId="47377"/>
    <cellStyle name="常规 6 8 2 3 2 4" xfId="47378"/>
    <cellStyle name="常规 6 8 2 3 2 4 2" xfId="47379"/>
    <cellStyle name="常规 6 8 2 3 2 5" xfId="47380"/>
    <cellStyle name="常规 6 8 2 3 2 6" xfId="47381"/>
    <cellStyle name="常规 6 8 2 3 3" xfId="47382"/>
    <cellStyle name="常规 6 8 2 3 3 2" xfId="47383"/>
    <cellStyle name="常规 6 8 2 3 3 2 2" xfId="47384"/>
    <cellStyle name="常规 6 8 2 3 3 2 2 2" xfId="47385"/>
    <cellStyle name="常规 6 8 2 3 3 2 3" xfId="47386"/>
    <cellStyle name="常规 6 8 2 3 3 2 4" xfId="33043"/>
    <cellStyle name="常规 6 8 2 3 3 3" xfId="47387"/>
    <cellStyle name="常规 6 8 2 3 3 3 2" xfId="47388"/>
    <cellStyle name="常规 6 8 2 3 3 4" xfId="47389"/>
    <cellStyle name="常规 6 8 2 3 3 5" xfId="47390"/>
    <cellStyle name="常规 6 8 2 3 4" xfId="47391"/>
    <cellStyle name="常规 6 8 2 3 4 2" xfId="47392"/>
    <cellStyle name="常规 6 8 2 3 4 2 2" xfId="47393"/>
    <cellStyle name="常规 6 8 2 3 4 3" xfId="47394"/>
    <cellStyle name="常规 6 8 2 3 4 4" xfId="47395"/>
    <cellStyle name="常规 6 8 2 3 5" xfId="47396"/>
    <cellStyle name="常规 6 8 2 3 5 2" xfId="47397"/>
    <cellStyle name="常规 6 8 2 3 6" xfId="47398"/>
    <cellStyle name="常规 6 8 2 3 7" xfId="47399"/>
    <cellStyle name="常规 6 8 2 4" xfId="47400"/>
    <cellStyle name="常规 6 8 2 4 2" xfId="47401"/>
    <cellStyle name="常规 6 8 2 4 2 2" xfId="47402"/>
    <cellStyle name="常规 6 8 2 4 2 2 2" xfId="47403"/>
    <cellStyle name="常规 6 8 2 4 2 2 2 2" xfId="47404"/>
    <cellStyle name="常规 6 8 2 4 2 2 3" xfId="47405"/>
    <cellStyle name="常规 6 8 2 4 2 2 4" xfId="47406"/>
    <cellStyle name="常规 6 8 2 4 2 3" xfId="47407"/>
    <cellStyle name="常规 6 8 2 4 2 3 2" xfId="47408"/>
    <cellStyle name="常规 6 8 2 4 2 4" xfId="47409"/>
    <cellStyle name="常规 6 8 2 4 2 5" xfId="46187"/>
    <cellStyle name="常规 6 8 2 4 3" xfId="47410"/>
    <cellStyle name="常规 6 8 2 4 3 2" xfId="47411"/>
    <cellStyle name="常规 6 8 2 4 3 2 2" xfId="47412"/>
    <cellStyle name="常规 6 8 2 4 3 3" xfId="47413"/>
    <cellStyle name="常规 6 8 2 4 3 4" xfId="47414"/>
    <cellStyle name="常规 6 8 2 4 4" xfId="47415"/>
    <cellStyle name="常规 6 8 2 4 4 2" xfId="47416"/>
    <cellStyle name="常规 6 8 2 4 5" xfId="47417"/>
    <cellStyle name="常规 6 8 2 4 6" xfId="47418"/>
    <cellStyle name="常规 6 8 2 5" xfId="47419"/>
    <cellStyle name="常规 6 8 2 5 2" xfId="47420"/>
    <cellStyle name="常规 6 8 2 5 2 2" xfId="47421"/>
    <cellStyle name="常规 6 8 2 5 2 2 2" xfId="47422"/>
    <cellStyle name="常规 6 8 2 5 2 3" xfId="47423"/>
    <cellStyle name="常规 6 8 2 5 2 4" xfId="47424"/>
    <cellStyle name="常规 6 8 2 5 3" xfId="47425"/>
    <cellStyle name="常规 6 8 2 5 3 2" xfId="47426"/>
    <cellStyle name="常规 6 8 2 5 4" xfId="47427"/>
    <cellStyle name="常规 6 8 2 5 5" xfId="47428"/>
    <cellStyle name="常规 6 8 2 6" xfId="47429"/>
    <cellStyle name="常规 6 8 2 6 2" xfId="47430"/>
    <cellStyle name="常规 6 8 2 6 2 2" xfId="47431"/>
    <cellStyle name="常规 6 8 2 6 3" xfId="47432"/>
    <cellStyle name="常规 6 8 2 6 4" xfId="47433"/>
    <cellStyle name="常规 6 8 2 7" xfId="47434"/>
    <cellStyle name="常规 6 8 2 7 2" xfId="47435"/>
    <cellStyle name="常规 6 8 2 8" xfId="47436"/>
    <cellStyle name="常规 6 8 2 9" xfId="47437"/>
    <cellStyle name="常规 6 8 3" xfId="47438"/>
    <cellStyle name="常规 6 8 3 2" xfId="47439"/>
    <cellStyle name="常规 6 8 3 2 2" xfId="47440"/>
    <cellStyle name="常规 6 8 3 2 2 2" xfId="36323"/>
    <cellStyle name="常规 6 8 3 2 2 2 2" xfId="36325"/>
    <cellStyle name="常规 6 8 3 2 2 2 2 2" xfId="36327"/>
    <cellStyle name="常规 6 8 3 2 2 2 2 2 2" xfId="47441"/>
    <cellStyle name="常规 6 8 3 2 2 2 2 2 2 2" xfId="47442"/>
    <cellStyle name="常规 6 8 3 2 2 2 2 2 3" xfId="47443"/>
    <cellStyle name="常规 6 8 3 2 2 2 2 2 4" xfId="47444"/>
    <cellStyle name="常规 6 8 3 2 2 2 2 3" xfId="47445"/>
    <cellStyle name="常规 6 8 3 2 2 2 2 3 2" xfId="47446"/>
    <cellStyle name="常规 6 8 3 2 2 2 2 4" xfId="47447"/>
    <cellStyle name="常规 6 8 3 2 2 2 2 5" xfId="16536"/>
    <cellStyle name="常规 6 8 3 2 2 2 3" xfId="36329"/>
    <cellStyle name="常规 6 8 3 2 2 2 3 2" xfId="47448"/>
    <cellStyle name="常规 6 8 3 2 2 2 3 2 2" xfId="47449"/>
    <cellStyle name="常规 6 8 3 2 2 2 3 3" xfId="47450"/>
    <cellStyle name="常规 6 8 3 2 2 2 3 4" xfId="47451"/>
    <cellStyle name="常规 6 8 3 2 2 2 4" xfId="36331"/>
    <cellStyle name="常规 6 8 3 2 2 2 4 2" xfId="47452"/>
    <cellStyle name="常规 6 8 3 2 2 2 5" xfId="47453"/>
    <cellStyle name="常规 6 8 3 2 2 2 6" xfId="47454"/>
    <cellStyle name="常规 6 8 3 2 2 3" xfId="36333"/>
    <cellStyle name="常规 6 8 3 2 2 3 2" xfId="36335"/>
    <cellStyle name="常规 6 8 3 2 2 3 2 2" xfId="47455"/>
    <cellStyle name="常规 6 8 3 2 2 3 2 2 2" xfId="47456"/>
    <cellStyle name="常规 6 8 3 2 2 3 2 3" xfId="47457"/>
    <cellStyle name="常规 6 8 3 2 2 3 2 4" xfId="47458"/>
    <cellStyle name="常规 6 8 3 2 2 3 3" xfId="47459"/>
    <cellStyle name="常规 6 8 3 2 2 3 3 2" xfId="47460"/>
    <cellStyle name="常规 6 8 3 2 2 3 4" xfId="47461"/>
    <cellStyle name="常规 6 8 3 2 2 3 5" xfId="47462"/>
    <cellStyle name="常规 6 8 3 2 2 4" xfId="36337"/>
    <cellStyle name="常规 6 8 3 2 2 4 2" xfId="47463"/>
    <cellStyle name="常规 6 8 3 2 2 4 2 2" xfId="47464"/>
    <cellStyle name="常规 6 8 3 2 2 4 3" xfId="47465"/>
    <cellStyle name="常规 6 8 3 2 2 4 4" xfId="47466"/>
    <cellStyle name="常规 6 8 3 2 2 5" xfId="36339"/>
    <cellStyle name="常规 6 8 3 2 2 5 2" xfId="47467"/>
    <cellStyle name="常规 6 8 3 2 2 6" xfId="47468"/>
    <cellStyle name="常规 6 8 3 2 2 7" xfId="47469"/>
    <cellStyle name="常规 6 8 3 2 3" xfId="24140"/>
    <cellStyle name="常规 6 8 3 2 3 2" xfId="36415"/>
    <cellStyle name="常规 6 8 3 2 3 2 2" xfId="36417"/>
    <cellStyle name="常规 6 8 3 2 3 2 2 2" xfId="47470"/>
    <cellStyle name="常规 6 8 3 2 3 2 2 2 2" xfId="47471"/>
    <cellStyle name="常规 6 8 3 2 3 2 2 3" xfId="47472"/>
    <cellStyle name="常规 6 8 3 2 3 2 2 4" xfId="47473"/>
    <cellStyle name="常规 6 8 3 2 3 2 3" xfId="47474"/>
    <cellStyle name="常规 6 8 3 2 3 2 3 2" xfId="47475"/>
    <cellStyle name="常规 6 8 3 2 3 2 4" xfId="47476"/>
    <cellStyle name="常规 6 8 3 2 3 2 5" xfId="47477"/>
    <cellStyle name="常规 6 8 3 2 3 3" xfId="36419"/>
    <cellStyle name="常规 6 8 3 2 3 3 2" xfId="47478"/>
    <cellStyle name="常规 6 8 3 2 3 3 2 2" xfId="47479"/>
    <cellStyle name="常规 6 8 3 2 3 3 3" xfId="47480"/>
    <cellStyle name="常规 6 8 3 2 3 3 4" xfId="47481"/>
    <cellStyle name="常规 6 8 3 2 3 4" xfId="36421"/>
    <cellStyle name="常规 6 8 3 2 3 4 2" xfId="47482"/>
    <cellStyle name="常规 6 8 3 2 3 5" xfId="47483"/>
    <cellStyle name="常规 6 8 3 2 3 6" xfId="47484"/>
    <cellStyle name="常规 6 8 3 2 4" xfId="47485"/>
    <cellStyle name="常规 6 8 3 2 4 2" xfId="36459"/>
    <cellStyle name="常规 6 8 3 2 4 2 2" xfId="47486"/>
    <cellStyle name="常规 6 8 3 2 4 2 2 2" xfId="47487"/>
    <cellStyle name="常规 6 8 3 2 4 2 3" xfId="47488"/>
    <cellStyle name="常规 6 8 3 2 4 2 4" xfId="47489"/>
    <cellStyle name="常规 6 8 3 2 4 3" xfId="36461"/>
    <cellStyle name="常规 6 8 3 2 4 3 2" xfId="47490"/>
    <cellStyle name="常规 6 8 3 2 4 4" xfId="47491"/>
    <cellStyle name="常规 6 8 3 2 4 5" xfId="47492"/>
    <cellStyle name="常规 6 8 3 2 5" xfId="47493"/>
    <cellStyle name="常规 6 8 3 2 5 2" xfId="36481"/>
    <cellStyle name="常规 6 8 3 2 5 2 2" xfId="47494"/>
    <cellStyle name="常规 6 8 3 2 5 3" xfId="47495"/>
    <cellStyle name="常规 6 8 3 2 5 4" xfId="47496"/>
    <cellStyle name="常规 6 8 3 2 6" xfId="47497"/>
    <cellStyle name="常规 6 8 3 2 6 2" xfId="47498"/>
    <cellStyle name="常规 6 8 3 2 7" xfId="47499"/>
    <cellStyle name="常规 6 8 3 2 8" xfId="47500"/>
    <cellStyle name="常规 6 8 3 3" xfId="41701"/>
    <cellStyle name="常规 6 8 3 3 2" xfId="47501"/>
    <cellStyle name="常规 6 8 3 3 2 2" xfId="12463"/>
    <cellStyle name="常规 6 8 3 3 2 2 2" xfId="37068"/>
    <cellStyle name="常规 6 8 3 3 2 2 2 2" xfId="47502"/>
    <cellStyle name="常规 6 8 3 3 2 2 2 2 2" xfId="47503"/>
    <cellStyle name="常规 6 8 3 3 2 2 2 3" xfId="47504"/>
    <cellStyle name="常规 6 8 3 3 2 2 2 4" xfId="47505"/>
    <cellStyle name="常规 6 8 3 3 2 2 3" xfId="47506"/>
    <cellStyle name="常规 6 8 3 3 2 2 3 2" xfId="47507"/>
    <cellStyle name="常规 6 8 3 3 2 2 4" xfId="47508"/>
    <cellStyle name="常规 6 8 3 3 2 2 5" xfId="47509"/>
    <cellStyle name="常规 6 8 3 3 2 3" xfId="37070"/>
    <cellStyle name="常规 6 8 3 3 2 3 2" xfId="47510"/>
    <cellStyle name="常规 6 8 3 3 2 3 2 2" xfId="47511"/>
    <cellStyle name="常规 6 8 3 3 2 3 3" xfId="47512"/>
    <cellStyle name="常规 6 8 3 3 2 3 4" xfId="47513"/>
    <cellStyle name="常规 6 8 3 3 2 4" xfId="37072"/>
    <cellStyle name="常规 6 8 3 3 2 4 2" xfId="47514"/>
    <cellStyle name="常规 6 8 3 3 2 5" xfId="47515"/>
    <cellStyle name="常规 6 8 3 3 2 6" xfId="47516"/>
    <cellStyle name="常规 6 8 3 3 3" xfId="47517"/>
    <cellStyle name="常规 6 8 3 3 3 2" xfId="12740"/>
    <cellStyle name="常规 6 8 3 3 3 2 2" xfId="2712"/>
    <cellStyle name="常规 6 8 3 3 3 2 2 2" xfId="2714"/>
    <cellStyle name="常规 6 8 3 3 3 2 3" xfId="2736"/>
    <cellStyle name="常规 6 8 3 3 3 2 4" xfId="2748"/>
    <cellStyle name="常规 6 8 3 3 3 3" xfId="37092"/>
    <cellStyle name="常规 6 8 3 3 3 3 2" xfId="47518"/>
    <cellStyle name="常规 6 8 3 3 3 4" xfId="47519"/>
    <cellStyle name="常规 6 8 3 3 3 5" xfId="47520"/>
    <cellStyle name="常规 6 8 3 3 4" xfId="47521"/>
    <cellStyle name="常规 6 8 3 3 4 2" xfId="37103"/>
    <cellStyle name="常规 6 8 3 3 4 2 2" xfId="47522"/>
    <cellStyle name="常规 6 8 3 3 4 3" xfId="47523"/>
    <cellStyle name="常规 6 8 3 3 4 4" xfId="47524"/>
    <cellStyle name="常规 6 8 3 3 5" xfId="47525"/>
    <cellStyle name="常规 6 8 3 3 5 2" xfId="47526"/>
    <cellStyle name="常规 6 8 3 3 6" xfId="47527"/>
    <cellStyle name="常规 6 8 3 3 7" xfId="47528"/>
    <cellStyle name="常规 6 8 3 4" xfId="47529"/>
    <cellStyle name="常规 6 8 3 4 2" xfId="47530"/>
    <cellStyle name="常规 6 8 3 4 2 2" xfId="14333"/>
    <cellStyle name="常规 6 8 3 4 2 2 2" xfId="11357"/>
    <cellStyle name="常规 6 8 3 4 2 2 2 2" xfId="47531"/>
    <cellStyle name="常规 6 8 3 4 2 2 3" xfId="11360"/>
    <cellStyle name="常规 6 8 3 4 2 2 4" xfId="47532"/>
    <cellStyle name="常规 6 8 3 4 2 3" xfId="37410"/>
    <cellStyle name="常规 6 8 3 4 2 3 2" xfId="47533"/>
    <cellStyle name="常规 6 8 3 4 2 4" xfId="47534"/>
    <cellStyle name="常规 6 8 3 4 2 5" xfId="46245"/>
    <cellStyle name="常规 6 8 3 4 3" xfId="47535"/>
    <cellStyle name="常规 6 8 3 4 3 2" xfId="37420"/>
    <cellStyle name="常规 6 8 3 4 3 2 2" xfId="47536"/>
    <cellStyle name="常规 6 8 3 4 3 3" xfId="47537"/>
    <cellStyle name="常规 6 8 3 4 3 4" xfId="47538"/>
    <cellStyle name="常规 6 8 3 4 4" xfId="47539"/>
    <cellStyle name="常规 6 8 3 4 4 2" xfId="47540"/>
    <cellStyle name="常规 6 8 3 4 5" xfId="47541"/>
    <cellStyle name="常规 6 8 3 4 6" xfId="47542"/>
    <cellStyle name="常规 6 8 3 5" xfId="47543"/>
    <cellStyle name="常规 6 8 3 5 2" xfId="47544"/>
    <cellStyle name="常规 6 8 3 5 2 2" xfId="47545"/>
    <cellStyle name="常规 6 8 3 5 2 2 2" xfId="47546"/>
    <cellStyle name="常规 6 8 3 5 2 3" xfId="33592"/>
    <cellStyle name="常规 6 8 3 5 2 4" xfId="567"/>
    <cellStyle name="常规 6 8 3 5 3" xfId="47547"/>
    <cellStyle name="常规 6 8 3 5 3 2" xfId="47548"/>
    <cellStyle name="常规 6 8 3 5 4" xfId="47549"/>
    <cellStyle name="常规 6 8 3 5 5" xfId="47550"/>
    <cellStyle name="常规 6 8 3 6" xfId="47551"/>
    <cellStyle name="常规 6 8 3 6 2" xfId="47552"/>
    <cellStyle name="常规 6 8 3 6 2 2" xfId="47553"/>
    <cellStyle name="常规 6 8 3 6 3" xfId="47554"/>
    <cellStyle name="常规 6 8 3 6 4" xfId="47555"/>
    <cellStyle name="常规 6 8 3 7" xfId="47556"/>
    <cellStyle name="常规 6 8 3 7 2" xfId="41267"/>
    <cellStyle name="常规 6 8 3 8" xfId="47557"/>
    <cellStyle name="常规 6 8 3 9" xfId="47558"/>
    <cellStyle name="常规 6 8 4" xfId="47559"/>
    <cellStyle name="常规 6 8 4 2" xfId="47560"/>
    <cellStyle name="常规 6 8 4 2 2" xfId="47561"/>
    <cellStyle name="常规 6 8 4 2 2 2" xfId="47562"/>
    <cellStyle name="常规 6 8 4 2 2 2 2" xfId="47563"/>
    <cellStyle name="常规 6 8 4 2 2 2 2 2" xfId="47564"/>
    <cellStyle name="常规 6 8 4 2 2 2 2 2 2" xfId="47565"/>
    <cellStyle name="常规 6 8 4 2 2 2 2 3" xfId="47566"/>
    <cellStyle name="常规 6 8 4 2 2 2 2 4" xfId="47567"/>
    <cellStyle name="常规 6 8 4 2 2 2 3" xfId="47568"/>
    <cellStyle name="常规 6 8 4 2 2 2 3 2" xfId="47569"/>
    <cellStyle name="常规 6 8 4 2 2 2 4" xfId="47570"/>
    <cellStyle name="常规 6 8 4 2 2 2 5" xfId="47571"/>
    <cellStyle name="常规 6 8 4 2 2 3" xfId="47572"/>
    <cellStyle name="常规 6 8 4 2 2 3 2" xfId="47573"/>
    <cellStyle name="常规 6 8 4 2 2 3 2 2" xfId="47574"/>
    <cellStyle name="常规 6 8 4 2 2 3 3" xfId="47575"/>
    <cellStyle name="常规 6 8 4 2 2 3 4" xfId="47576"/>
    <cellStyle name="常规 6 8 4 2 2 4" xfId="47577"/>
    <cellStyle name="常规 6 8 4 2 2 4 2" xfId="47578"/>
    <cellStyle name="常规 6 8 4 2 2 5" xfId="47579"/>
    <cellStyle name="常规 6 8 4 2 2 6" xfId="47580"/>
    <cellStyle name="常规 6 8 4 2 3" xfId="47581"/>
    <cellStyle name="常规 6 8 4 2 3 2" xfId="47582"/>
    <cellStyle name="常规 6 8 4 2 3 2 2" xfId="47583"/>
    <cellStyle name="常规 6 8 4 2 3 2 2 2" xfId="47584"/>
    <cellStyle name="常规 6 8 4 2 3 2 3" xfId="47585"/>
    <cellStyle name="常规 6 8 4 2 3 2 4" xfId="47586"/>
    <cellStyle name="常规 6 8 4 2 3 3" xfId="47587"/>
    <cellStyle name="常规 6 8 4 2 3 3 2" xfId="47588"/>
    <cellStyle name="常规 6 8 4 2 3 4" xfId="47589"/>
    <cellStyle name="常规 6 8 4 2 3 5" xfId="45952"/>
    <cellStyle name="常规 6 8 4 2 4" xfId="47590"/>
    <cellStyle name="常规 6 8 4 2 4 2" xfId="47591"/>
    <cellStyle name="常规 6 8 4 2 4 2 2" xfId="47592"/>
    <cellStyle name="常规 6 8 4 2 4 3" xfId="47593"/>
    <cellStyle name="常规 6 8 4 2 4 4" xfId="47594"/>
    <cellStyle name="常规 6 8 4 2 5" xfId="47595"/>
    <cellStyle name="常规 6 8 4 2 5 2" xfId="47596"/>
    <cellStyle name="常规 6 8 4 2 6" xfId="47597"/>
    <cellStyle name="常规 6 8 4 2 7" xfId="47598"/>
    <cellStyle name="常规 6 8 4 3" xfId="47599"/>
    <cellStyle name="常规 6 8 4 3 2" xfId="47600"/>
    <cellStyle name="常规 6 8 4 3 2 2" xfId="47601"/>
    <cellStyle name="常规 6 8 4 3 2 2 2" xfId="47602"/>
    <cellStyle name="常规 6 8 4 3 2 2 2 2" xfId="9989"/>
    <cellStyle name="常规 6 8 4 3 2 2 3" xfId="47603"/>
    <cellStyle name="常规 6 8 4 3 2 2 4" xfId="47604"/>
    <cellStyle name="常规 6 8 4 3 2 3" xfId="47605"/>
    <cellStyle name="常规 6 8 4 3 2 3 2" xfId="47606"/>
    <cellStyle name="常规 6 8 4 3 2 4" xfId="47607"/>
    <cellStyle name="常规 6 8 4 3 2 5" xfId="47608"/>
    <cellStyle name="常规 6 8 4 3 3" xfId="47609"/>
    <cellStyle name="常规 6 8 4 3 3 2" xfId="47610"/>
    <cellStyle name="常规 6 8 4 3 3 2 2" xfId="47611"/>
    <cellStyle name="常规 6 8 4 3 3 3" xfId="47612"/>
    <cellStyle name="常规 6 8 4 3 3 4" xfId="47613"/>
    <cellStyle name="常规 6 8 4 3 4" xfId="47614"/>
    <cellStyle name="常规 6 8 4 3 4 2" xfId="47615"/>
    <cellStyle name="常规 6 8 4 3 5" xfId="47616"/>
    <cellStyle name="常规 6 8 4 3 6" xfId="47617"/>
    <cellStyle name="常规 6 8 4 4" xfId="47618"/>
    <cellStyle name="常规 6 8 4 4 2" xfId="47619"/>
    <cellStyle name="常规 6 8 4 4 2 2" xfId="47620"/>
    <cellStyle name="常规 6 8 4 4 2 2 2" xfId="47621"/>
    <cellStyle name="常规 6 8 4 4 2 3" xfId="47622"/>
    <cellStyle name="常规 6 8 4 4 2 4" xfId="47623"/>
    <cellStyle name="常规 6 8 4 4 3" xfId="47624"/>
    <cellStyle name="常规 6 8 4 4 3 2" xfId="47625"/>
    <cellStyle name="常规 6 8 4 4 4" xfId="47626"/>
    <cellStyle name="常规 6 8 4 4 5" xfId="47627"/>
    <cellStyle name="常规 6 8 4 5" xfId="47628"/>
    <cellStyle name="常规 6 8 4 5 2" xfId="47629"/>
    <cellStyle name="常规 6 8 4 5 2 2" xfId="47630"/>
    <cellStyle name="常规 6 8 4 5 3" xfId="47631"/>
    <cellStyle name="常规 6 8 4 5 4" xfId="47632"/>
    <cellStyle name="常规 6 8 4 6" xfId="47633"/>
    <cellStyle name="常规 6 8 4 6 2" xfId="47634"/>
    <cellStyle name="常规 6 8 4 7" xfId="47635"/>
    <cellStyle name="常规 6 8 4 8" xfId="47636"/>
    <cellStyle name="常规 6 8 5" xfId="47637"/>
    <cellStyle name="常规 6 8 5 2" xfId="47638"/>
    <cellStyle name="常规 6 8 5 2 2" xfId="47639"/>
    <cellStyle name="常规 6 8 5 2 2 2" xfId="38554"/>
    <cellStyle name="常规 6 8 5 2 2 2 2" xfId="38556"/>
    <cellStyle name="常规 6 8 5 2 2 2 2 2" xfId="47640"/>
    <cellStyle name="常规 6 8 5 2 2 2 3" xfId="47641"/>
    <cellStyle name="常规 6 8 5 2 2 2 4" xfId="47642"/>
    <cellStyle name="常规 6 8 5 2 2 3" xfId="38558"/>
    <cellStyle name="常规 6 8 5 2 2 3 2" xfId="47643"/>
    <cellStyle name="常规 6 8 5 2 2 4" xfId="38560"/>
    <cellStyle name="常规 6 8 5 2 2 5" xfId="47644"/>
    <cellStyle name="常规 6 8 5 2 3" xfId="47645"/>
    <cellStyle name="常规 6 8 5 2 3 2" xfId="38599"/>
    <cellStyle name="常规 6 8 5 2 3 2 2" xfId="47646"/>
    <cellStyle name="常规 6 8 5 2 3 3" xfId="38601"/>
    <cellStyle name="常规 6 8 5 2 3 4" xfId="47647"/>
    <cellStyle name="常规 6 8 5 2 4" xfId="47648"/>
    <cellStyle name="常规 6 8 5 2 4 2" xfId="38621"/>
    <cellStyle name="常规 6 8 5 2 5" xfId="47649"/>
    <cellStyle name="常规 6 8 5 2 6" xfId="47650"/>
    <cellStyle name="常规 6 8 5 3" xfId="47651"/>
    <cellStyle name="常规 6 8 5 3 2" xfId="47652"/>
    <cellStyle name="常规 6 8 5 3 2 2" xfId="39029"/>
    <cellStyle name="常规 6 8 5 3 2 2 2" xfId="47654"/>
    <cellStyle name="常规 6 8 5 3 2 3" xfId="39031"/>
    <cellStyle name="常规 6 8 5 3 2 4" xfId="47655"/>
    <cellStyle name="常规 6 8 5 3 3" xfId="47656"/>
    <cellStyle name="常规 6 8 5 3 3 2" xfId="39051"/>
    <cellStyle name="常规 6 8 5 3 4" xfId="47657"/>
    <cellStyle name="常规 6 8 5 3 5" xfId="47658"/>
    <cellStyle name="常规 6 8 5 4" xfId="47659"/>
    <cellStyle name="常规 6 8 5 4 2" xfId="47660"/>
    <cellStyle name="常规 6 8 5 4 2 2" xfId="47661"/>
    <cellStyle name="常规 6 8 5 4 3" xfId="47662"/>
    <cellStyle name="常规 6 8 5 4 4" xfId="47663"/>
    <cellStyle name="常规 6 8 5 5" xfId="47664"/>
    <cellStyle name="常规 6 8 5 5 2" xfId="47665"/>
    <cellStyle name="常规 6 8 5 6" xfId="47666"/>
    <cellStyle name="常规 6 8 5 7" xfId="47667"/>
    <cellStyle name="常规 6 8 6" xfId="47668"/>
    <cellStyle name="常规 6 8 6 2" xfId="47669"/>
    <cellStyle name="常规 6 8 6 2 2" xfId="47670"/>
    <cellStyle name="常规 6 8 6 2 2 2" xfId="39879"/>
    <cellStyle name="常规 6 8 6 2 2 2 2" xfId="47671"/>
    <cellStyle name="常规 6 8 6 2 2 3" xfId="39881"/>
    <cellStyle name="常规 6 8 6 2 2 4" xfId="47672"/>
    <cellStyle name="常规 6 8 6 2 3" xfId="47673"/>
    <cellStyle name="常规 6 8 6 2 3 2" xfId="39901"/>
    <cellStyle name="常规 6 8 6 2 4" xfId="31638"/>
    <cellStyle name="常规 6 8 6 2 5" xfId="31646"/>
    <cellStyle name="常规 6 8 6 3" xfId="47674"/>
    <cellStyle name="常规 6 8 6 3 2" xfId="47675"/>
    <cellStyle name="常规 6 8 6 3 2 2" xfId="47676"/>
    <cellStyle name="常规 6 8 6 3 3" xfId="47677"/>
    <cellStyle name="常规 6 8 6 3 4" xfId="31653"/>
    <cellStyle name="常规 6 8 6 4" xfId="47678"/>
    <cellStyle name="常规 6 8 6 4 2" xfId="47679"/>
    <cellStyle name="常规 6 8 6 5" xfId="47680"/>
    <cellStyle name="常规 6 8 6 6" xfId="47681"/>
    <cellStyle name="常规 6 8 7" xfId="47682"/>
    <cellStyle name="常规 6 8 7 2" xfId="47683"/>
    <cellStyle name="常规 6 8 7 2 2" xfId="47684"/>
    <cellStyle name="常规 6 8 7 2 2 2" xfId="47685"/>
    <cellStyle name="常规 6 8 7 2 3" xfId="47686"/>
    <cellStyle name="常规 6 8 7 2 4" xfId="23556"/>
    <cellStyle name="常规 6 8 7 3" xfId="47687"/>
    <cellStyle name="常规 6 8 7 3 2" xfId="47688"/>
    <cellStyle name="常规 6 8 7 4" xfId="47689"/>
    <cellStyle name="常规 6 8 7 5" xfId="47690"/>
    <cellStyle name="常规 6 8 8" xfId="47691"/>
    <cellStyle name="常规 6 8 8 2" xfId="47692"/>
    <cellStyle name="常规 6 8 8 2 2" xfId="47693"/>
    <cellStyle name="常规 6 8 8 3" xfId="21295"/>
    <cellStyle name="常规 6 8 8 4" xfId="47694"/>
    <cellStyle name="常规 6 8 9" xfId="47695"/>
    <cellStyle name="常规 6 8 9 2" xfId="47696"/>
    <cellStyle name="常规 6 9" xfId="47697"/>
    <cellStyle name="常规 6 9 10" xfId="47698"/>
    <cellStyle name="常规 6 9 2" xfId="47699"/>
    <cellStyle name="常规 6 9 2 2" xfId="47700"/>
    <cellStyle name="常规 6 9 2 2 2" xfId="47701"/>
    <cellStyle name="常规 6 9 2 2 2 2" xfId="47702"/>
    <cellStyle name="常规 6 9 2 2 2 2 2" xfId="47703"/>
    <cellStyle name="常规 6 9 2 2 2 2 2 2" xfId="47704"/>
    <cellStyle name="常规 6 9 2 2 2 2 2 2 2" xfId="47705"/>
    <cellStyle name="常规 6 9 2 2 2 2 2 2 2 2" xfId="47706"/>
    <cellStyle name="常规 6 9 2 2 2 2 2 2 3" xfId="47707"/>
    <cellStyle name="常规 6 9 2 2 2 2 2 2 4" xfId="290"/>
    <cellStyle name="常规 6 9 2 2 2 2 2 3" xfId="47708"/>
    <cellStyle name="常规 6 9 2 2 2 2 2 3 2" xfId="47709"/>
    <cellStyle name="常规 6 9 2 2 2 2 2 4" xfId="47710"/>
    <cellStyle name="常规 6 9 2 2 2 2 2 5" xfId="47711"/>
    <cellStyle name="常规 6 9 2 2 2 2 3" xfId="42355"/>
    <cellStyle name="常规 6 9 2 2 2 2 3 2" xfId="1289"/>
    <cellStyle name="常规 6 9 2 2 2 2 3 2 2" xfId="42357"/>
    <cellStyle name="常规 6 9 2 2 2 2 3 3" xfId="42359"/>
    <cellStyle name="常规 6 9 2 2 2 2 3 4" xfId="42361"/>
    <cellStyle name="常规 6 9 2 2 2 2 4" xfId="42363"/>
    <cellStyle name="常规 6 9 2 2 2 2 4 2" xfId="42365"/>
    <cellStyle name="常规 6 9 2 2 2 2 5" xfId="42367"/>
    <cellStyle name="常规 6 9 2 2 2 2 6" xfId="42369"/>
    <cellStyle name="常规 6 9 2 2 2 3" xfId="47712"/>
    <cellStyle name="常规 6 9 2 2 2 3 2" xfId="47713"/>
    <cellStyle name="常规 6 9 2 2 2 3 2 2" xfId="47714"/>
    <cellStyle name="常规 6 9 2 2 2 3 2 2 2" xfId="47715"/>
    <cellStyle name="常规 6 9 2 2 2 3 2 3" xfId="47716"/>
    <cellStyle name="常规 6 9 2 2 2 3 2 4" xfId="47717"/>
    <cellStyle name="常规 6 9 2 2 2 3 3" xfId="42372"/>
    <cellStyle name="常规 6 9 2 2 2 3 3 2" xfId="42374"/>
    <cellStyle name="常规 6 9 2 2 2 3 4" xfId="42376"/>
    <cellStyle name="常规 6 9 2 2 2 3 5" xfId="42378"/>
    <cellStyle name="常规 6 9 2 2 2 4" xfId="47718"/>
    <cellStyle name="常规 6 9 2 2 2 4 2" xfId="47719"/>
    <cellStyle name="常规 6 9 2 2 2 4 2 2" xfId="47720"/>
    <cellStyle name="常规 6 9 2 2 2 4 3" xfId="42381"/>
    <cellStyle name="常规 6 9 2 2 2 4 4" xfId="47721"/>
    <cellStyle name="常规 6 9 2 2 2 5" xfId="47722"/>
    <cellStyle name="常规 6 9 2 2 2 5 2" xfId="47723"/>
    <cellStyle name="常规 6 9 2 2 2 6" xfId="47724"/>
    <cellStyle name="常规 6 9 2 2 2 7" xfId="47725"/>
    <cellStyle name="常规 6 9 2 2 3" xfId="47726"/>
    <cellStyle name="常规 6 9 2 2 3 2" xfId="47727"/>
    <cellStyle name="常规 6 9 2 2 3 2 2" xfId="47728"/>
    <cellStyle name="常规 6 9 2 2 3 2 2 2" xfId="47729"/>
    <cellStyle name="常规 6 9 2 2 3 2 2 2 2" xfId="47730"/>
    <cellStyle name="常规 6 9 2 2 3 2 2 3" xfId="47731"/>
    <cellStyle name="常规 6 9 2 2 3 2 2 4" xfId="47732"/>
    <cellStyle name="常规 6 9 2 2 3 2 3" xfId="42387"/>
    <cellStyle name="常规 6 9 2 2 3 2 3 2" xfId="42389"/>
    <cellStyle name="常规 6 9 2 2 3 2 4" xfId="42391"/>
    <cellStyle name="常规 6 9 2 2 3 2 5" xfId="42393"/>
    <cellStyle name="常规 6 9 2 2 3 3" xfId="47733"/>
    <cellStyle name="常规 6 9 2 2 3 3 2" xfId="47734"/>
    <cellStyle name="常规 6 9 2 2 3 3 2 2" xfId="47735"/>
    <cellStyle name="常规 6 9 2 2 3 3 3" xfId="42396"/>
    <cellStyle name="常规 6 9 2 2 3 3 4" xfId="47736"/>
    <cellStyle name="常规 6 9 2 2 3 4" xfId="47737"/>
    <cellStyle name="常规 6 9 2 2 3 4 2" xfId="47738"/>
    <cellStyle name="常规 6 9 2 2 3 5" xfId="47739"/>
    <cellStyle name="常规 6 9 2 2 3 6" xfId="47740"/>
    <cellStyle name="常规 6 9 2 2 4" xfId="47741"/>
    <cellStyle name="常规 6 9 2 2 4 2" xfId="47742"/>
    <cellStyle name="常规 6 9 2 2 4 2 2" xfId="47743"/>
    <cellStyle name="常规 6 9 2 2 4 2 2 2" xfId="47744"/>
    <cellStyle name="常规 6 9 2 2 4 2 3" xfId="40381"/>
    <cellStyle name="常规 6 9 2 2 4 2 4" xfId="40422"/>
    <cellStyle name="常规 6 9 2 2 4 3" xfId="47745"/>
    <cellStyle name="常规 6 9 2 2 4 3 2" xfId="47746"/>
    <cellStyle name="常规 6 9 2 2 4 4" xfId="47747"/>
    <cellStyle name="常规 6 9 2 2 4 5" xfId="47748"/>
    <cellStyle name="常规 6 9 2 2 5" xfId="47749"/>
    <cellStyle name="常规 6 9 2 2 5 2" xfId="47750"/>
    <cellStyle name="常规 6 9 2 2 5 2 2" xfId="47751"/>
    <cellStyle name="常规 6 9 2 2 5 3" xfId="47752"/>
    <cellStyle name="常规 6 9 2 2 5 4" xfId="47753"/>
    <cellStyle name="常规 6 9 2 2 6" xfId="47754"/>
    <cellStyle name="常规 6 9 2 2 6 2" xfId="47755"/>
    <cellStyle name="常规 6 9 2 2 7" xfId="47756"/>
    <cellStyle name="常规 6 9 2 2 8" xfId="47757"/>
    <cellStyle name="常规 6 9 2 3" xfId="47758"/>
    <cellStyle name="常规 6 9 2 3 2" xfId="47759"/>
    <cellStyle name="常规 6 9 2 3 2 2" xfId="20069"/>
    <cellStyle name="常规 6 9 2 3 2 2 2" xfId="47760"/>
    <cellStyle name="常规 6 9 2 3 2 2 2 2" xfId="46711"/>
    <cellStyle name="常规 6 9 2 3 2 2 2 2 2" xfId="47761"/>
    <cellStyle name="常规 6 9 2 3 2 2 2 3" xfId="46713"/>
    <cellStyle name="常规 6 9 2 3 2 2 2 4" xfId="47762"/>
    <cellStyle name="常规 6 9 2 3 2 2 3" xfId="42423"/>
    <cellStyle name="常规 6 9 2 3 2 2 3 2" xfId="42425"/>
    <cellStyle name="常规 6 9 2 3 2 2 4" xfId="42427"/>
    <cellStyle name="常规 6 9 2 3 2 2 5" xfId="42429"/>
    <cellStyle name="常规 6 9 2 3 2 3" xfId="47763"/>
    <cellStyle name="常规 6 9 2 3 2 3 2" xfId="47764"/>
    <cellStyle name="常规 6 9 2 3 2 3 2 2" xfId="47765"/>
    <cellStyle name="常规 6 9 2 3 2 3 3" xfId="42432"/>
    <cellStyle name="常规 6 9 2 3 2 3 4" xfId="47766"/>
    <cellStyle name="常规 6 9 2 3 2 4" xfId="47767"/>
    <cellStyle name="常规 6 9 2 3 2 4 2" xfId="47768"/>
    <cellStyle name="常规 6 9 2 3 2 5" xfId="47769"/>
    <cellStyle name="常规 6 9 2 3 2 6" xfId="47770"/>
    <cellStyle name="常规 6 9 2 3 3" xfId="47771"/>
    <cellStyle name="常规 6 9 2 3 3 2" xfId="19942"/>
    <cellStyle name="常规 6 9 2 3 3 2 2" xfId="47772"/>
    <cellStyle name="常规 6 9 2 3 3 2 2 2" xfId="47773"/>
    <cellStyle name="常规 6 9 2 3 3 2 3" xfId="42438"/>
    <cellStyle name="常规 6 9 2 3 3 2 4" xfId="47774"/>
    <cellStyle name="常规 6 9 2 3 3 3" xfId="47775"/>
    <cellStyle name="常规 6 9 2 3 3 3 2" xfId="47776"/>
    <cellStyle name="常规 6 9 2 3 3 4" xfId="47777"/>
    <cellStyle name="常规 6 9 2 3 3 5" xfId="47778"/>
    <cellStyle name="常规 6 9 2 3 4" xfId="47779"/>
    <cellStyle name="常规 6 9 2 3 4 2" xfId="47780"/>
    <cellStyle name="常规 6 9 2 3 4 2 2" xfId="47781"/>
    <cellStyle name="常规 6 9 2 3 4 3" xfId="47782"/>
    <cellStyle name="常规 6 9 2 3 4 4" xfId="47783"/>
    <cellStyle name="常规 6 9 2 3 5" xfId="47784"/>
    <cellStyle name="常规 6 9 2 3 5 2" xfId="47785"/>
    <cellStyle name="常规 6 9 2 3 6" xfId="47786"/>
    <cellStyle name="常规 6 9 2 3 7" xfId="47787"/>
    <cellStyle name="常规 6 9 2 4" xfId="47788"/>
    <cellStyle name="常规 6 9 2 4 2" xfId="47789"/>
    <cellStyle name="常规 6 9 2 4 2 2" xfId="47790"/>
    <cellStyle name="常规 6 9 2 4 2 2 2" xfId="47792"/>
    <cellStyle name="常规 6 9 2 4 2 2 2 2" xfId="47793"/>
    <cellStyle name="常规 6 9 2 4 2 2 3" xfId="42455"/>
    <cellStyle name="常规 6 9 2 4 2 2 4" xfId="47794"/>
    <cellStyle name="常规 6 9 2 4 2 3" xfId="47795"/>
    <cellStyle name="常规 6 9 2 4 2 3 2" xfId="47796"/>
    <cellStyle name="常规 6 9 2 4 2 4" xfId="47797"/>
    <cellStyle name="常规 6 9 2 4 2 5" xfId="46320"/>
    <cellStyle name="常规 6 9 2 4 3" xfId="47798"/>
    <cellStyle name="常规 6 9 2 4 3 2" xfId="22361"/>
    <cellStyle name="常规 6 9 2 4 3 2 2" xfId="22365"/>
    <cellStyle name="常规 6 9 2 4 3 3" xfId="22915"/>
    <cellStyle name="常规 6 9 2 4 3 4" xfId="5715"/>
    <cellStyle name="常规 6 9 2 4 4" xfId="47799"/>
    <cellStyle name="常规 6 9 2 4 4 2" xfId="23830"/>
    <cellStyle name="常规 6 9 2 4 5" xfId="47800"/>
    <cellStyle name="常规 6 9 2 4 6" xfId="47801"/>
    <cellStyle name="常规 6 9 2 5" xfId="47802"/>
    <cellStyle name="常规 6 9 2 5 2" xfId="47803"/>
    <cellStyle name="常规 6 9 2 5 2 2" xfId="47804"/>
    <cellStyle name="常规 6 9 2 5 2 2 2" xfId="47805"/>
    <cellStyle name="常规 6 9 2 5 2 3" xfId="47806"/>
    <cellStyle name="常规 6 9 2 5 2 4" xfId="47807"/>
    <cellStyle name="常规 6 9 2 5 3" xfId="47808"/>
    <cellStyle name="常规 6 9 2 5 3 2" xfId="47809"/>
    <cellStyle name="常规 6 9 2 5 4" xfId="47810"/>
    <cellStyle name="常规 6 9 2 5 5" xfId="47811"/>
    <cellStyle name="常规 6 9 2 6" xfId="47812"/>
    <cellStyle name="常规 6 9 2 6 2" xfId="44320"/>
    <cellStyle name="常规 6 9 2 6 2 2" xfId="44322"/>
    <cellStyle name="常规 6 9 2 6 3" xfId="44327"/>
    <cellStyle name="常规 6 9 2 6 4" xfId="44330"/>
    <cellStyle name="常规 6 9 2 7" xfId="47813"/>
    <cellStyle name="常规 6 9 2 7 2" xfId="44339"/>
    <cellStyle name="常规 6 9 2 8" xfId="47814"/>
    <cellStyle name="常规 6 9 2 9" xfId="47815"/>
    <cellStyle name="常规 6 9 3" xfId="47816"/>
    <cellStyle name="常规 6 9 3 2" xfId="47817"/>
    <cellStyle name="常规 6 9 3 2 2" xfId="47818"/>
    <cellStyle name="常规 6 9 3 2 2 2" xfId="47819"/>
    <cellStyle name="常规 6 9 3 2 2 2 2" xfId="47820"/>
    <cellStyle name="常规 6 9 3 2 2 2 2 2" xfId="47821"/>
    <cellStyle name="常规 6 9 3 2 2 2 2 2 2" xfId="47822"/>
    <cellStyle name="常规 6 9 3 2 2 2 2 3" xfId="47823"/>
    <cellStyle name="常规 6 9 3 2 2 2 2 4" xfId="47824"/>
    <cellStyle name="常规 6 9 3 2 2 2 3" xfId="42605"/>
    <cellStyle name="常规 6 9 3 2 2 2 3 2" xfId="47825"/>
    <cellStyle name="常规 6 9 3 2 2 2 4" xfId="47826"/>
    <cellStyle name="常规 6 9 3 2 2 2 5" xfId="47827"/>
    <cellStyle name="常规 6 9 3 2 2 3" xfId="47828"/>
    <cellStyle name="常规 6 9 3 2 2 3 2" xfId="47829"/>
    <cellStyle name="常规 6 9 3 2 2 3 2 2" xfId="47830"/>
    <cellStyle name="常规 6 9 3 2 2 3 3" xfId="47831"/>
    <cellStyle name="常规 6 9 3 2 2 3 4" xfId="47832"/>
    <cellStyle name="常规 6 9 3 2 2 4" xfId="47833"/>
    <cellStyle name="常规 6 9 3 2 2 4 2" xfId="47834"/>
    <cellStyle name="常规 6 9 3 2 2 5" xfId="47835"/>
    <cellStyle name="常规 6 9 3 2 2 6" xfId="47836"/>
    <cellStyle name="常规 6 9 3 2 3" xfId="47837"/>
    <cellStyle name="常规 6 9 3 2 3 2" xfId="47838"/>
    <cellStyle name="常规 6 9 3 2 3 2 2" xfId="47839"/>
    <cellStyle name="常规 6 9 3 2 3 2 2 2" xfId="47840"/>
    <cellStyle name="常规 6 9 3 2 3 2 3" xfId="47841"/>
    <cellStyle name="常规 6 9 3 2 3 2 4" xfId="47842"/>
    <cellStyle name="常规 6 9 3 2 3 3" xfId="47843"/>
    <cellStyle name="常规 6 9 3 2 3 3 2" xfId="47844"/>
    <cellStyle name="常规 6 9 3 2 3 4" xfId="47845"/>
    <cellStyle name="常规 6 9 3 2 3 5" xfId="47846"/>
    <cellStyle name="常规 6 9 3 2 4" xfId="10438"/>
    <cellStyle name="常规 6 9 3 2 4 2" xfId="10440"/>
    <cellStyle name="常规 6 9 3 2 4 2 2" xfId="10442"/>
    <cellStyle name="常规 6 9 3 2 4 3" xfId="10450"/>
    <cellStyle name="常规 6 9 3 2 4 4" xfId="10453"/>
    <cellStyle name="常规 6 9 3 2 5" xfId="10456"/>
    <cellStyle name="常规 6 9 3 2 5 2" xfId="10459"/>
    <cellStyle name="常规 6 9 3 2 6" xfId="1232"/>
    <cellStyle name="常规 6 9 3 2 7" xfId="10468"/>
    <cellStyle name="常规 6 9 3 3" xfId="47847"/>
    <cellStyle name="常规 6 9 3 3 2" xfId="47848"/>
    <cellStyle name="常规 6 9 3 3 2 2" xfId="31721"/>
    <cellStyle name="常规 6 9 3 3 2 2 2" xfId="17694"/>
    <cellStyle name="常规 6 9 3 3 2 2 2 2" xfId="31723"/>
    <cellStyle name="常规 6 9 3 3 2 2 3" xfId="17697"/>
    <cellStyle name="常规 6 9 3 3 2 2 4" xfId="15937"/>
    <cellStyle name="常规 6 9 3 3 2 3" xfId="31751"/>
    <cellStyle name="常规 6 9 3 3 2 3 2" xfId="31753"/>
    <cellStyle name="常规 6 9 3 3 2 4" xfId="31773"/>
    <cellStyle name="常规 6 9 3 3 2 5" xfId="31780"/>
    <cellStyle name="常规 6 9 3 3 3" xfId="47849"/>
    <cellStyle name="常规 6 9 3 3 3 2" xfId="31854"/>
    <cellStyle name="常规 6 9 3 3 3 2 2" xfId="31856"/>
    <cellStyle name="常规 6 9 3 3 3 3" xfId="31858"/>
    <cellStyle name="常规 6 9 3 3 3 4" xfId="31861"/>
    <cellStyle name="常规 6 9 3 3 4" xfId="10473"/>
    <cellStyle name="常规 6 9 3 3 4 2" xfId="10475"/>
    <cellStyle name="常规 6 9 3 3 5" xfId="10484"/>
    <cellStyle name="常规 6 9 3 3 6" xfId="10488"/>
    <cellStyle name="常规 6 9 3 4" xfId="47850"/>
    <cellStyle name="常规 6 9 3 4 2" xfId="47851"/>
    <cellStyle name="常规 6 9 3 4 2 2" xfId="47852"/>
    <cellStyle name="常规 6 9 3 4 2 2 2" xfId="47853"/>
    <cellStyle name="常规 6 9 3 4 2 3" xfId="47854"/>
    <cellStyle name="常规 6 9 3 4 2 4" xfId="47855"/>
    <cellStyle name="常规 6 9 3 4 3" xfId="47856"/>
    <cellStyle name="常规 6 9 3 4 3 2" xfId="47857"/>
    <cellStyle name="常规 6 9 3 4 4" xfId="3097"/>
    <cellStyle name="常规 6 9 3 4 5" xfId="3459"/>
    <cellStyle name="常规 6 9 3 5" xfId="47858"/>
    <cellStyle name="常规 6 9 3 5 2" xfId="47859"/>
    <cellStyle name="常规 6 9 3 5 2 2" xfId="33235"/>
    <cellStyle name="常规 6 9 3 5 3" xfId="47860"/>
    <cellStyle name="常规 6 9 3 5 4" xfId="3140"/>
    <cellStyle name="常规 6 9 3 6" xfId="47861"/>
    <cellStyle name="常规 6 9 3 6 2" xfId="44356"/>
    <cellStyle name="常规 6 9 3 7" xfId="47862"/>
    <cellStyle name="常规 6 9 3 8" xfId="47863"/>
    <cellStyle name="常规 6 9 4" xfId="47864"/>
    <cellStyle name="常规 6 9 4 2" xfId="47865"/>
    <cellStyle name="常规 6 9 4 2 2" xfId="47866"/>
    <cellStyle name="常规 6 9 4 2 2 2" xfId="41976"/>
    <cellStyle name="常规 6 9 4 2 2 2 2" xfId="41978"/>
    <cellStyle name="常规 6 9 4 2 2 2 2 2" xfId="47867"/>
    <cellStyle name="常规 6 9 4 2 2 2 3" xfId="42755"/>
    <cellStyle name="常规 6 9 4 2 2 2 4" xfId="47868"/>
    <cellStyle name="常规 6 9 4 2 2 3" xfId="41980"/>
    <cellStyle name="常规 6 9 4 2 2 3 2" xfId="47869"/>
    <cellStyle name="常规 6 9 4 2 2 4" xfId="41982"/>
    <cellStyle name="常规 6 9 4 2 2 5" xfId="47870"/>
    <cellStyle name="常规 6 9 4 2 3" xfId="47871"/>
    <cellStyle name="常规 6 9 4 2 3 2" xfId="42022"/>
    <cellStyle name="常规 6 9 4 2 3 2 2" xfId="47872"/>
    <cellStyle name="常规 6 9 4 2 3 3" xfId="42024"/>
    <cellStyle name="常规 6 9 4 2 3 4" xfId="47873"/>
    <cellStyle name="常规 6 9 4 2 4" xfId="1125"/>
    <cellStyle name="常规 6 9 4 2 4 2" xfId="10493"/>
    <cellStyle name="常规 6 9 4 2 5" xfId="10499"/>
    <cellStyle name="常规 6 9 4 2 6" xfId="10503"/>
    <cellStyle name="常规 6 9 4 3" xfId="47874"/>
    <cellStyle name="常规 6 9 4 3 2" xfId="47875"/>
    <cellStyle name="常规 6 9 4 3 2 2" xfId="40982"/>
    <cellStyle name="常规 6 9 4 3 2 2 2" xfId="40985"/>
    <cellStyle name="常规 6 9 4 3 2 3" xfId="41023"/>
    <cellStyle name="常规 6 9 4 3 2 4" xfId="41050"/>
    <cellStyle name="常规 6 9 4 3 3" xfId="47876"/>
    <cellStyle name="常规 6 9 4 3 3 2" xfId="41090"/>
    <cellStyle name="常规 6 9 4 3 4" xfId="1867"/>
    <cellStyle name="常规 6 9 4 3 5" xfId="1878"/>
    <cellStyle name="常规 6 9 4 4" xfId="47877"/>
    <cellStyle name="常规 6 9 4 4 2" xfId="47878"/>
    <cellStyle name="常规 6 9 4 4 2 2" xfId="44559"/>
    <cellStyle name="常规 6 9 4 4 3" xfId="47879"/>
    <cellStyle name="常规 6 9 4 4 4" xfId="5004"/>
    <cellStyle name="常规 6 9 4 5" xfId="47880"/>
    <cellStyle name="常规 6 9 4 5 2" xfId="47881"/>
    <cellStyle name="常规 6 9 4 6" xfId="47882"/>
    <cellStyle name="常规 6 9 4 7" xfId="47883"/>
    <cellStyle name="常规 6 9 5" xfId="47884"/>
    <cellStyle name="常规 6 9 5 2" xfId="47885"/>
    <cellStyle name="常规 6 9 5 2 2" xfId="47886"/>
    <cellStyle name="常规 6 9 5 2 2 2" xfId="43256"/>
    <cellStyle name="常规 6 9 5 2 2 2 2" xfId="47887"/>
    <cellStyle name="常规 6 9 5 2 2 3" xfId="43258"/>
    <cellStyle name="常规 6 9 5 2 2 4" xfId="47888"/>
    <cellStyle name="常规 6 9 5 2 3" xfId="47889"/>
    <cellStyle name="常规 6 9 5 2 3 2" xfId="43278"/>
    <cellStyle name="常规 6 9 5 2 4" xfId="10514"/>
    <cellStyle name="常规 6 9 5 2 5" xfId="10517"/>
    <cellStyle name="常规 6 9 5 3" xfId="47890"/>
    <cellStyle name="常规 6 9 5 3 2" xfId="47891"/>
    <cellStyle name="常规 6 9 5 3 2 2" xfId="47892"/>
    <cellStyle name="常规 6 9 5 3 3" xfId="47893"/>
    <cellStyle name="常规 6 9 5 3 4" xfId="10525"/>
    <cellStyle name="常规 6 9 5 4" xfId="47894"/>
    <cellStyle name="常规 6 9 5 4 2" xfId="47895"/>
    <cellStyle name="常规 6 9 5 5" xfId="47896"/>
    <cellStyle name="常规 6 9 5 6" xfId="47897"/>
    <cellStyle name="常规 6 9 6" xfId="47898"/>
    <cellStyle name="常规 6 9 6 2" xfId="47899"/>
    <cellStyle name="常规 6 9 6 2 2" xfId="47900"/>
    <cellStyle name="常规 6 9 6 2 2 2" xfId="47901"/>
    <cellStyle name="常规 6 9 6 2 3" xfId="47902"/>
    <cellStyle name="常规 6 9 6 2 4" xfId="10541"/>
    <cellStyle name="常规 6 9 6 3" xfId="47903"/>
    <cellStyle name="常规 6 9 6 3 2" xfId="47904"/>
    <cellStyle name="常规 6 9 6 4" xfId="47905"/>
    <cellStyle name="常规 6 9 6 5" xfId="47906"/>
    <cellStyle name="常规 6 9 7" xfId="47907"/>
    <cellStyle name="常规 6 9 7 2" xfId="47908"/>
    <cellStyle name="常规 6 9 7 2 2" xfId="47909"/>
    <cellStyle name="常规 6 9 7 3" xfId="47910"/>
    <cellStyle name="常规 6 9 7 4" xfId="47911"/>
    <cellStyle name="常规 6 9 8" xfId="47912"/>
    <cellStyle name="常规 6 9 8 2" xfId="47913"/>
    <cellStyle name="常规 6 9 9" xfId="47914"/>
    <cellStyle name="常规 60" xfId="34711"/>
    <cellStyle name="常规 61" xfId="23814"/>
    <cellStyle name="常规 62" xfId="34713"/>
    <cellStyle name="常规 63" xfId="34715"/>
    <cellStyle name="常规 64" xfId="34717"/>
    <cellStyle name="常规 65" xfId="47916"/>
    <cellStyle name="常规 66" xfId="47918"/>
    <cellStyle name="常规 67" xfId="47920"/>
    <cellStyle name="常规 68" xfId="40149"/>
    <cellStyle name="常规 69" xfId="40171"/>
    <cellStyle name="常规 7" xfId="47921"/>
    <cellStyle name="常规 7 10" xfId="47922"/>
    <cellStyle name="常规 7 2" xfId="47923"/>
    <cellStyle name="常规 7 2 2" xfId="47924"/>
    <cellStyle name="常规 7 2 2 2" xfId="47925"/>
    <cellStyle name="常规 7 2 2 3" xfId="47926"/>
    <cellStyle name="常规 7 2 2 4" xfId="47927"/>
    <cellStyle name="常规 7 2 2 5" xfId="47928"/>
    <cellStyle name="常规 7 2 3" xfId="47929"/>
    <cellStyle name="常规 7 2 4" xfId="47930"/>
    <cellStyle name="常规 7 2 5" xfId="47931"/>
    <cellStyle name="常规 7 2 6" xfId="47932"/>
    <cellStyle name="常规 7 2 7" xfId="47933"/>
    <cellStyle name="常规 7 2_Sheet2" xfId="47934"/>
    <cellStyle name="常规 7 3" xfId="47935"/>
    <cellStyle name="常规 7 3 2" xfId="47936"/>
    <cellStyle name="常规 7 3 3" xfId="47937"/>
    <cellStyle name="常规 7 3 4" xfId="47938"/>
    <cellStyle name="常规 7 3_Sheet2" xfId="47939"/>
    <cellStyle name="常规 7 4" xfId="47940"/>
    <cellStyle name="常规 7 4 2" xfId="47941"/>
    <cellStyle name="常规 7 4 3" xfId="47942"/>
    <cellStyle name="常规 7 4_Sheet2" xfId="47943"/>
    <cellStyle name="常规 7 5" xfId="47944"/>
    <cellStyle name="常规 7 6" xfId="47945"/>
    <cellStyle name="常规 7 7" xfId="47946"/>
    <cellStyle name="常规 7 8" xfId="47947"/>
    <cellStyle name="常规 7 9" xfId="47948"/>
    <cellStyle name="常规 7_Sheet2" xfId="47949"/>
    <cellStyle name="常规 70" xfId="47915"/>
    <cellStyle name="常规 71" xfId="47917"/>
    <cellStyle name="常规 72" xfId="47919"/>
    <cellStyle name="常规 73" xfId="40148"/>
    <cellStyle name="常规 74" xfId="40170"/>
    <cellStyle name="常规 75" xfId="40183"/>
    <cellStyle name="常规 76" xfId="40190"/>
    <cellStyle name="常规 77" xfId="40194"/>
    <cellStyle name="常规 78" xfId="40197"/>
    <cellStyle name="常规 79" xfId="47951"/>
    <cellStyle name="常规 8" xfId="47952"/>
    <cellStyle name="常规 8 10" xfId="47953"/>
    <cellStyle name="常规 8 10 2" xfId="47954"/>
    <cellStyle name="常规 8 11" xfId="47955"/>
    <cellStyle name="常规 8 12" xfId="47956"/>
    <cellStyle name="常规 8 13" xfId="47957"/>
    <cellStyle name="常规 8 14" xfId="47958"/>
    <cellStyle name="常规 8 15" xfId="47959"/>
    <cellStyle name="常规 8 16" xfId="47960"/>
    <cellStyle name="常规 8 17" xfId="47961"/>
    <cellStyle name="常规 8 2" xfId="47962"/>
    <cellStyle name="常规 8 2 10" xfId="47963"/>
    <cellStyle name="常规 8 2 11" xfId="47964"/>
    <cellStyle name="常规 8 2 12" xfId="47965"/>
    <cellStyle name="常规 8 2 2" xfId="47966"/>
    <cellStyle name="常规 8 2 2 2" xfId="47967"/>
    <cellStyle name="常规 8 2 2 2 2" xfId="47968"/>
    <cellStyle name="常规 8 2 2 2 2 2" xfId="47969"/>
    <cellStyle name="常规 8 2 2 2 2 2 2" xfId="35809"/>
    <cellStyle name="常规 8 2 2 2 2 2 2 2" xfId="47970"/>
    <cellStyle name="常规 8 2 2 2 2 2 2 2 2" xfId="47971"/>
    <cellStyle name="常规 8 2 2 2 2 2 2 2 2 2" xfId="47972"/>
    <cellStyle name="常规 8 2 2 2 2 2 2 2 3" xfId="47973"/>
    <cellStyle name="常规 8 2 2 2 2 2 2 2 4" xfId="47974"/>
    <cellStyle name="常规 8 2 2 2 2 2 2 3" xfId="47975"/>
    <cellStyle name="常规 8 2 2 2 2 2 2 3 2" xfId="47976"/>
    <cellStyle name="常规 8 2 2 2 2 2 2 4" xfId="47977"/>
    <cellStyle name="常规 8 2 2 2 2 2 2 5" xfId="47978"/>
    <cellStyle name="常规 8 2 2 2 2 2 3" xfId="47979"/>
    <cellStyle name="常规 8 2 2 2 2 2 3 2" xfId="47980"/>
    <cellStyle name="常规 8 2 2 2 2 2 3 2 2" xfId="47981"/>
    <cellStyle name="常规 8 2 2 2 2 2 3 3" xfId="47982"/>
    <cellStyle name="常规 8 2 2 2 2 2 3 4" xfId="47983"/>
    <cellStyle name="常规 8 2 2 2 2 2 4" xfId="47984"/>
    <cellStyle name="常规 8 2 2 2 2 2 4 2" xfId="47985"/>
    <cellStyle name="常规 8 2 2 2 2 2 5" xfId="47986"/>
    <cellStyle name="常规 8 2 2 2 2 2 6" xfId="47987"/>
    <cellStyle name="常规 8 2 2 2 2 3" xfId="47988"/>
    <cellStyle name="常规 8 2 2 2 2 3 2" xfId="47989"/>
    <cellStyle name="常规 8 2 2 2 2 3 2 2" xfId="47990"/>
    <cellStyle name="常规 8 2 2 2 2 3 2 2 2" xfId="27513"/>
    <cellStyle name="常规 8 2 2 2 2 3 2 3" xfId="47991"/>
    <cellStyle name="常规 8 2 2 2 2 3 2 4" xfId="47992"/>
    <cellStyle name="常规 8 2 2 2 2 3 3" xfId="47993"/>
    <cellStyle name="常规 8 2 2 2 2 3 3 2" xfId="47994"/>
    <cellStyle name="常规 8 2 2 2 2 3 4" xfId="47995"/>
    <cellStyle name="常规 8 2 2 2 2 3 5" xfId="47996"/>
    <cellStyle name="常规 8 2 2 2 2 4" xfId="47997"/>
    <cellStyle name="常规 8 2 2 2 2 4 2" xfId="47998"/>
    <cellStyle name="常规 8 2 2 2 2 4 2 2" xfId="47999"/>
    <cellStyle name="常规 8 2 2 2 2 4 3" xfId="48000"/>
    <cellStyle name="常规 8 2 2 2 2 4 4" xfId="48001"/>
    <cellStyle name="常规 8 2 2 2 2 5" xfId="48002"/>
    <cellStyle name="常规 8 2 2 2 2 5 2" xfId="48003"/>
    <cellStyle name="常规 8 2 2 2 2 6" xfId="48004"/>
    <cellStyle name="常规 8 2 2 2 2 7" xfId="48005"/>
    <cellStyle name="常规 8 2 2 2 3" xfId="48006"/>
    <cellStyle name="常规 8 2 2 2 3 2" xfId="25971"/>
    <cellStyle name="常规 8 2 2 2 3 2 2" xfId="48007"/>
    <cellStyle name="常规 8 2 2 2 3 2 2 2" xfId="48008"/>
    <cellStyle name="常规 8 2 2 2 3 2 2 2 2" xfId="44592"/>
    <cellStyle name="常规 8 2 2 2 3 2 2 3" xfId="48009"/>
    <cellStyle name="常规 8 2 2 2 3 2 2 4" xfId="48010"/>
    <cellStyle name="常规 8 2 2 2 3 2 3" xfId="48011"/>
    <cellStyle name="常规 8 2 2 2 3 2 3 2" xfId="48012"/>
    <cellStyle name="常规 8 2 2 2 3 2 4" xfId="48013"/>
    <cellStyle name="常规 8 2 2 2 3 2 5" xfId="48014"/>
    <cellStyle name="常规 8 2 2 2 3 3" xfId="48015"/>
    <cellStyle name="常规 8 2 2 2 3 3 2" xfId="48016"/>
    <cellStyle name="常规 8 2 2 2 3 3 2 2" xfId="48017"/>
    <cellStyle name="常规 8 2 2 2 3 3 3" xfId="48018"/>
    <cellStyle name="常规 8 2 2 2 3 3 4" xfId="48019"/>
    <cellStyle name="常规 8 2 2 2 3 4" xfId="48020"/>
    <cellStyle name="常规 8 2 2 2 3 4 2" xfId="48021"/>
    <cellStyle name="常规 8 2 2 2 3 5" xfId="48022"/>
    <cellStyle name="常规 8 2 2 2 3 6" xfId="48023"/>
    <cellStyle name="常规 8 2 2 2 4" xfId="48024"/>
    <cellStyle name="常规 8 2 2 2 4 2" xfId="48025"/>
    <cellStyle name="常规 8 2 2 2 4 2 2" xfId="48026"/>
    <cellStyle name="常规 8 2 2 2 4 2 2 2" xfId="48027"/>
    <cellStyle name="常规 8 2 2 2 4 2 3" xfId="48028"/>
    <cellStyle name="常规 8 2 2 2 4 2 4" xfId="48029"/>
    <cellStyle name="常规 8 2 2 2 4 3" xfId="48030"/>
    <cellStyle name="常规 8 2 2 2 4 3 2" xfId="48031"/>
    <cellStyle name="常规 8 2 2 2 4 4" xfId="48032"/>
    <cellStyle name="常规 8 2 2 2 4 5" xfId="48033"/>
    <cellStyle name="常规 8 2 2 2 5" xfId="48034"/>
    <cellStyle name="常规 8 2 2 2 5 2" xfId="48035"/>
    <cellStyle name="常规 8 2 2 2 5 2 2" xfId="48036"/>
    <cellStyle name="常规 8 2 2 2 5 3" xfId="48037"/>
    <cellStyle name="常规 8 2 2 2 5 4" xfId="48038"/>
    <cellStyle name="常规 8 2 2 2 6" xfId="48039"/>
    <cellStyle name="常规 8 2 2 2 6 2" xfId="48040"/>
    <cellStyle name="常规 8 2 2 2 7" xfId="48041"/>
    <cellStyle name="常规 8 2 2 2 8" xfId="48042"/>
    <cellStyle name="常规 8 2 2 3" xfId="48043"/>
    <cellStyle name="常规 8 2 2 3 2" xfId="48044"/>
    <cellStyle name="常规 8 2 2 3 2 2" xfId="48045"/>
    <cellStyle name="常规 8 2 2 3 2 2 2" xfId="48046"/>
    <cellStyle name="常规 8 2 2 3 2 2 2 2" xfId="48047"/>
    <cellStyle name="常规 8 2 2 3 2 2 2 2 2" xfId="48048"/>
    <cellStyle name="常规 8 2 2 3 2 2 2 3" xfId="48049"/>
    <cellStyle name="常规 8 2 2 3 2 2 2 4" xfId="48050"/>
    <cellStyle name="常规 8 2 2 3 2 2 3" xfId="48051"/>
    <cellStyle name="常规 8 2 2 3 2 2 3 2" xfId="48052"/>
    <cellStyle name="常规 8 2 2 3 2 2 4" xfId="48053"/>
    <cellStyle name="常规 8 2 2 3 2 2 5" xfId="44975"/>
    <cellStyle name="常规 8 2 2 3 2 3" xfId="48054"/>
    <cellStyle name="常规 8 2 2 3 2 3 2" xfId="48055"/>
    <cellStyle name="常规 8 2 2 3 2 3 2 2" xfId="48056"/>
    <cellStyle name="常规 8 2 2 3 2 3 3" xfId="48057"/>
    <cellStyle name="常规 8 2 2 3 2 3 4" xfId="48058"/>
    <cellStyle name="常规 8 2 2 3 2 4" xfId="48059"/>
    <cellStyle name="常规 8 2 2 3 2 4 2" xfId="48060"/>
    <cellStyle name="常规 8 2 2 3 2 5" xfId="48061"/>
    <cellStyle name="常规 8 2 2 3 2 6" xfId="48062"/>
    <cellStyle name="常规 8 2 2 3 3" xfId="48063"/>
    <cellStyle name="常规 8 2 2 3 3 2" xfId="48064"/>
    <cellStyle name="常规 8 2 2 3 3 2 2" xfId="48065"/>
    <cellStyle name="常规 8 2 2 3 3 2 2 2" xfId="48066"/>
    <cellStyle name="常规 8 2 2 3 3 2 3" xfId="48067"/>
    <cellStyle name="常规 8 2 2 3 3 2 4" xfId="48068"/>
    <cellStyle name="常规 8 2 2 3 3 3" xfId="48069"/>
    <cellStyle name="常规 8 2 2 3 3 3 2" xfId="48070"/>
    <cellStyle name="常规 8 2 2 3 3 4" xfId="48071"/>
    <cellStyle name="常规 8 2 2 3 3 5" xfId="48072"/>
    <cellStyle name="常规 8 2 2 3 4" xfId="48073"/>
    <cellStyle name="常规 8 2 2 3 4 2" xfId="48074"/>
    <cellStyle name="常规 8 2 2 3 4 2 2" xfId="48075"/>
    <cellStyle name="常规 8 2 2 3 4 3" xfId="48076"/>
    <cellStyle name="常规 8 2 2 3 4 4" xfId="48077"/>
    <cellStyle name="常规 8 2 2 3 5" xfId="48078"/>
    <cellStyle name="常规 8 2 2 3 5 2" xfId="38209"/>
    <cellStyle name="常规 8 2 2 3 6" xfId="48079"/>
    <cellStyle name="常规 8 2 2 3 7" xfId="48080"/>
    <cellStyle name="常规 8 2 2 4" xfId="48081"/>
    <cellStyle name="常规 8 2 2 4 2" xfId="48082"/>
    <cellStyle name="常规 8 2 2 4 2 2" xfId="48083"/>
    <cellStyle name="常规 8 2 2 4 2 2 2" xfId="48084"/>
    <cellStyle name="常规 8 2 2 4 2 2 2 2" xfId="48085"/>
    <cellStyle name="常规 8 2 2 4 2 2 3" xfId="48086"/>
    <cellStyle name="常规 8 2 2 4 2 2 4" xfId="48087"/>
    <cellStyle name="常规 8 2 2 4 2 3" xfId="48088"/>
    <cellStyle name="常规 8 2 2 4 2 3 2" xfId="48089"/>
    <cellStyle name="常规 8 2 2 4 2 4" xfId="48090"/>
    <cellStyle name="常规 8 2 2 4 2 5" xfId="48091"/>
    <cellStyle name="常规 8 2 2 4 3" xfId="48092"/>
    <cellStyle name="常规 8 2 2 4 3 2" xfId="48093"/>
    <cellStyle name="常规 8 2 2 4 3 2 2" xfId="48094"/>
    <cellStyle name="常规 8 2 2 4 3 3" xfId="48095"/>
    <cellStyle name="常规 8 2 2 4 3 4" xfId="48096"/>
    <cellStyle name="常规 8 2 2 4 4" xfId="48097"/>
    <cellStyle name="常规 8 2 2 4 4 2" xfId="48098"/>
    <cellStyle name="常规 8 2 2 4 5" xfId="48099"/>
    <cellStyle name="常规 8 2 2 4 6" xfId="39251"/>
    <cellStyle name="常规 8 2 2 5" xfId="48100"/>
    <cellStyle name="常规 8 2 2 5 2" xfId="48101"/>
    <cellStyle name="常规 8 2 2 5 2 2" xfId="48102"/>
    <cellStyle name="常规 8 2 2 5 2 2 2" xfId="48103"/>
    <cellStyle name="常规 8 2 2 5 2 3" xfId="48104"/>
    <cellStyle name="常规 8 2 2 5 2 4" xfId="48105"/>
    <cellStyle name="常规 8 2 2 5 3" xfId="48106"/>
    <cellStyle name="常规 8 2 2 5 3 2" xfId="48107"/>
    <cellStyle name="常规 8 2 2 5 4" xfId="48108"/>
    <cellStyle name="常规 8 2 2 5 5" xfId="48109"/>
    <cellStyle name="常规 8 2 2 6" xfId="48110"/>
    <cellStyle name="常规 8 2 2 6 2" xfId="48111"/>
    <cellStyle name="常规 8 2 2 6 2 2" xfId="48112"/>
    <cellStyle name="常规 8 2 2 6 3" xfId="48113"/>
    <cellStyle name="常规 8 2 2 6 4" xfId="48114"/>
    <cellStyle name="常规 8 2 2 7" xfId="48115"/>
    <cellStyle name="常规 8 2 2 7 2" xfId="48116"/>
    <cellStyle name="常规 8 2 2 8" xfId="48117"/>
    <cellStyle name="常规 8 2 2 9" xfId="48118"/>
    <cellStyle name="常规 8 2 3" xfId="48119"/>
    <cellStyle name="常规 8 2 3 2" xfId="48120"/>
    <cellStyle name="常规 8 2 3 2 2" xfId="48121"/>
    <cellStyle name="常规 8 2 3 2 2 2" xfId="48122"/>
    <cellStyle name="常规 8 2 3 2 2 2 2" xfId="48123"/>
    <cellStyle name="常规 8 2 3 2 2 2 2 2" xfId="48124"/>
    <cellStyle name="常规 8 2 3 2 2 2 2 2 2" xfId="48125"/>
    <cellStyle name="常规 8 2 3 2 2 2 2 3" xfId="48126"/>
    <cellStyle name="常规 8 2 3 2 2 2 2 4" xfId="48127"/>
    <cellStyle name="常规 8 2 3 2 2 2 3" xfId="48128"/>
    <cellStyle name="常规 8 2 3 2 2 2 3 2" xfId="48129"/>
    <cellStyle name="常规 8 2 3 2 2 2 4" xfId="48130"/>
    <cellStyle name="常规 8 2 3 2 2 2 5" xfId="48131"/>
    <cellStyle name="常规 8 2 3 2 2 3" xfId="48132"/>
    <cellStyle name="常规 8 2 3 2 2 3 2" xfId="48133"/>
    <cellStyle name="常规 8 2 3 2 2 3 2 2" xfId="48134"/>
    <cellStyle name="常规 8 2 3 2 2 3 3" xfId="48135"/>
    <cellStyle name="常规 8 2 3 2 2 3 4" xfId="48136"/>
    <cellStyle name="常规 8 2 3 2 2 4" xfId="48137"/>
    <cellStyle name="常规 8 2 3 2 2 4 2" xfId="48138"/>
    <cellStyle name="常规 8 2 3 2 2 5" xfId="48139"/>
    <cellStyle name="常规 8 2 3 2 2 6" xfId="48140"/>
    <cellStyle name="常规 8 2 3 2 3" xfId="48141"/>
    <cellStyle name="常规 8 2 3 2 3 2" xfId="26188"/>
    <cellStyle name="常规 8 2 3 2 3 2 2" xfId="48142"/>
    <cellStyle name="常规 8 2 3 2 3 2 2 2" xfId="48143"/>
    <cellStyle name="常规 8 2 3 2 3 2 3" xfId="48144"/>
    <cellStyle name="常规 8 2 3 2 3 2 4" xfId="48145"/>
    <cellStyle name="常规 8 2 3 2 3 3" xfId="48146"/>
    <cellStyle name="常规 8 2 3 2 3 3 2" xfId="48147"/>
    <cellStyle name="常规 8 2 3 2 3 4" xfId="48148"/>
    <cellStyle name="常规 8 2 3 2 3 5" xfId="48149"/>
    <cellStyle name="常规 8 2 3 2 4" xfId="48150"/>
    <cellStyle name="常规 8 2 3 2 4 2" xfId="48151"/>
    <cellStyle name="常规 8 2 3 2 4 2 2" xfId="48152"/>
    <cellStyle name="常规 8 2 3 2 4 3" xfId="48153"/>
    <cellStyle name="常规 8 2 3 2 4 4" xfId="40083"/>
    <cellStyle name="常规 8 2 3 2 5" xfId="48154"/>
    <cellStyle name="常规 8 2 3 2 5 2" xfId="48155"/>
    <cellStyle name="常规 8 2 3 2 6" xfId="48156"/>
    <cellStyle name="常规 8 2 3 2 7" xfId="48157"/>
    <cellStyle name="常规 8 2 3 3" xfId="48158"/>
    <cellStyle name="常规 8 2 3 3 2" xfId="48159"/>
    <cellStyle name="常规 8 2 3 3 2 2" xfId="48160"/>
    <cellStyle name="常规 8 2 3 3 2 2 2" xfId="48161"/>
    <cellStyle name="常规 8 2 3 3 2 2 2 2" xfId="48162"/>
    <cellStyle name="常规 8 2 3 3 2 2 3" xfId="48163"/>
    <cellStyle name="常规 8 2 3 3 2 2 4" xfId="185"/>
    <cellStyle name="常规 8 2 3 3 2 3" xfId="48164"/>
    <cellStyle name="常规 8 2 3 3 2 3 2" xfId="48165"/>
    <cellStyle name="常规 8 2 3 3 2 4" xfId="48166"/>
    <cellStyle name="常规 8 2 3 3 2 5" xfId="48167"/>
    <cellStyle name="常规 8 2 3 3 3" xfId="48168"/>
    <cellStyle name="常规 8 2 3 3 3 2" xfId="48169"/>
    <cellStyle name="常规 8 2 3 3 3 2 2" xfId="48170"/>
    <cellStyle name="常规 8 2 3 3 3 3" xfId="48171"/>
    <cellStyle name="常规 8 2 3 3 3 4" xfId="48172"/>
    <cellStyle name="常规 8 2 3 3 4" xfId="48173"/>
    <cellStyle name="常规 8 2 3 3 4 2" xfId="48174"/>
    <cellStyle name="常规 8 2 3 3 5" xfId="48175"/>
    <cellStyle name="常规 8 2 3 3 6" xfId="48176"/>
    <cellStyle name="常规 8 2 3 4" xfId="48177"/>
    <cellStyle name="常规 8 2 3 4 2" xfId="48178"/>
    <cellStyle name="常规 8 2 3 4 2 2" xfId="48179"/>
    <cellStyle name="常规 8 2 3 4 2 2 2" xfId="48180"/>
    <cellStyle name="常规 8 2 3 4 2 3" xfId="48181"/>
    <cellStyle name="常规 8 2 3 4 2 4" xfId="48182"/>
    <cellStyle name="常规 8 2 3 4 3" xfId="48183"/>
    <cellStyle name="常规 8 2 3 4 3 2" xfId="48184"/>
    <cellStyle name="常规 8 2 3 4 4" xfId="48185"/>
    <cellStyle name="常规 8 2 3 4 5" xfId="48186"/>
    <cellStyle name="常规 8 2 3 5" xfId="48187"/>
    <cellStyle name="常规 8 2 3 5 2" xfId="48188"/>
    <cellStyle name="常规 8 2 3 5 2 2" xfId="48189"/>
    <cellStyle name="常规 8 2 3 5 3" xfId="48190"/>
    <cellStyle name="常规 8 2 3 5 4" xfId="48191"/>
    <cellStyle name="常规 8 2 3 6" xfId="48192"/>
    <cellStyle name="常规 8 2 3 6 2" xfId="48193"/>
    <cellStyle name="常规 8 2 3 7" xfId="48194"/>
    <cellStyle name="常规 8 2 3 8" xfId="48195"/>
    <cellStyle name="常规 8 2 4" xfId="48196"/>
    <cellStyle name="常规 8 2 4 2" xfId="43964"/>
    <cellStyle name="常规 8 2 4 2 2" xfId="43966"/>
    <cellStyle name="常规 8 2 4 2 2 2" xfId="34885"/>
    <cellStyle name="常规 8 2 4 2 2 2 2" xfId="48197"/>
    <cellStyle name="常规 8 2 4 2 2 2 2 2" xfId="48198"/>
    <cellStyle name="常规 8 2 4 2 2 2 3" xfId="48199"/>
    <cellStyle name="常规 8 2 4 2 2 2 4" xfId="48200"/>
    <cellStyle name="常规 8 2 4 2 2 3" xfId="48201"/>
    <cellStyle name="常规 8 2 4 2 2 3 2" xfId="48202"/>
    <cellStyle name="常规 8 2 4 2 2 4" xfId="48203"/>
    <cellStyle name="常规 8 2 4 2 2 5" xfId="48204"/>
    <cellStyle name="常规 8 2 4 2 3" xfId="43968"/>
    <cellStyle name="常规 8 2 4 2 3 2" xfId="48205"/>
    <cellStyle name="常规 8 2 4 2 3 2 2" xfId="48206"/>
    <cellStyle name="常规 8 2 4 2 3 3" xfId="48207"/>
    <cellStyle name="常规 8 2 4 2 3 4" xfId="48208"/>
    <cellStyle name="常规 8 2 4 2 4" xfId="43970"/>
    <cellStyle name="常规 8 2 4 2 4 2" xfId="48209"/>
    <cellStyle name="常规 8 2 4 2 5" xfId="48210"/>
    <cellStyle name="常规 8 2 4 2 6" xfId="48211"/>
    <cellStyle name="常规 8 2 4 3" xfId="43972"/>
    <cellStyle name="常规 8 2 4 3 2" xfId="43974"/>
    <cellStyle name="常规 8 2 4 3 2 2" xfId="35007"/>
    <cellStyle name="常规 8 2 4 3 2 2 2" xfId="48212"/>
    <cellStyle name="常规 8 2 4 3 2 3" xfId="48213"/>
    <cellStyle name="常规 8 2 4 3 2 4" xfId="48214"/>
    <cellStyle name="常规 8 2 4 3 3" xfId="48215"/>
    <cellStyle name="常规 8 2 4 3 3 2" xfId="48216"/>
    <cellStyle name="常规 8 2 4 3 4" xfId="48217"/>
    <cellStyle name="常规 8 2 4 3 5" xfId="48218"/>
    <cellStyle name="常规 8 2 4 4" xfId="43976"/>
    <cellStyle name="常规 8 2 4 4 2" xfId="48219"/>
    <cellStyle name="常规 8 2 4 4 2 2" xfId="48220"/>
    <cellStyle name="常规 8 2 4 4 3" xfId="48221"/>
    <cellStyle name="常规 8 2 4 4 4" xfId="40245"/>
    <cellStyle name="常规 8 2 4 5" xfId="43978"/>
    <cellStyle name="常规 8 2 4 5 2" xfId="48222"/>
    <cellStyle name="常规 8 2 4 6" xfId="48223"/>
    <cellStyle name="常规 8 2 4 7" xfId="48224"/>
    <cellStyle name="常规 8 2 5" xfId="23507"/>
    <cellStyle name="常规 8 2 5 2" xfId="44016"/>
    <cellStyle name="常规 8 2 5 2 2" xfId="44018"/>
    <cellStyle name="常规 8 2 5 2 2 2" xfId="48225"/>
    <cellStyle name="常规 8 2 5 2 2 2 2" xfId="48226"/>
    <cellStyle name="常规 8 2 5 2 2 3" xfId="48227"/>
    <cellStyle name="常规 8 2 5 2 2 4" xfId="48228"/>
    <cellStyle name="常规 8 2 5 2 3" xfId="48229"/>
    <cellStyle name="常规 8 2 5 2 3 2" xfId="48230"/>
    <cellStyle name="常规 8 2 5 2 4" xfId="48231"/>
    <cellStyle name="常规 8 2 5 2 5" xfId="48232"/>
    <cellStyle name="常规 8 2 5 3" xfId="44020"/>
    <cellStyle name="常规 8 2 5 3 2" xfId="48233"/>
    <cellStyle name="常规 8 2 5 3 2 2" xfId="48234"/>
    <cellStyle name="常规 8 2 5 3 3" xfId="48235"/>
    <cellStyle name="常规 8 2 5 3 4" xfId="48236"/>
    <cellStyle name="常规 8 2 5 4" xfId="44022"/>
    <cellStyle name="常规 8 2 5 4 2" xfId="48237"/>
    <cellStyle name="常规 8 2 5 5" xfId="48238"/>
    <cellStyle name="常规 8 2 5 6" xfId="48239"/>
    <cellStyle name="常规 8 2 6" xfId="48240"/>
    <cellStyle name="常规 8 2 6 2" xfId="44041"/>
    <cellStyle name="常规 8 2 6 2 2" xfId="48241"/>
    <cellStyle name="常规 8 2 6 2 2 2" xfId="48242"/>
    <cellStyle name="常规 8 2 6 2 3" xfId="48243"/>
    <cellStyle name="常规 8 2 6 2 4" xfId="48244"/>
    <cellStyle name="常规 8 2 6 3" xfId="44043"/>
    <cellStyle name="常规 8 2 6 3 2" xfId="48245"/>
    <cellStyle name="常规 8 2 6 4" xfId="48246"/>
    <cellStyle name="常规 8 2 6 5" xfId="48247"/>
    <cellStyle name="常规 8 2 7" xfId="48248"/>
    <cellStyle name="常规 8 2 7 2" xfId="44054"/>
    <cellStyle name="常规 8 2 7 2 2" xfId="48249"/>
    <cellStyle name="常规 8 2 7 3" xfId="48250"/>
    <cellStyle name="常规 8 2 7 4" xfId="48251"/>
    <cellStyle name="常规 8 2 8" xfId="48252"/>
    <cellStyle name="常规 8 2 8 2" xfId="48253"/>
    <cellStyle name="常规 8 2 9" xfId="48254"/>
    <cellStyle name="常规 8 2_Sheet2" xfId="48255"/>
    <cellStyle name="常规 8 3" xfId="48256"/>
    <cellStyle name="常规 8 3 10" xfId="48257"/>
    <cellStyle name="常规 8 3 2" xfId="48258"/>
    <cellStyle name="常规 8 3 2 2" xfId="48259"/>
    <cellStyle name="常规 8 3 2 2 2" xfId="48260"/>
    <cellStyle name="常规 8 3 2 2 2 2" xfId="48261"/>
    <cellStyle name="常规 8 3 2 2 2 2 2" xfId="48262"/>
    <cellStyle name="常规 8 3 2 2 2 2 2 2" xfId="27581"/>
    <cellStyle name="常规 8 3 2 2 2 2 2 2 2" xfId="48263"/>
    <cellStyle name="常规 8 3 2 2 2 2 2 3" xfId="27585"/>
    <cellStyle name="常规 8 3 2 2 2 2 2 4" xfId="48264"/>
    <cellStyle name="常规 8 3 2 2 2 2 3" xfId="48265"/>
    <cellStyle name="常规 8 3 2 2 2 2 3 2" xfId="48266"/>
    <cellStyle name="常规 8 3 2 2 2 2 4" xfId="48267"/>
    <cellStyle name="常规 8 3 2 2 2 2 5" xfId="48268"/>
    <cellStyle name="常规 8 3 2 2 2 3" xfId="48269"/>
    <cellStyle name="常规 8 3 2 2 2 3 2" xfId="48270"/>
    <cellStyle name="常规 8 3 2 2 2 3 2 2" xfId="28557"/>
    <cellStyle name="常规 8 3 2 2 2 3 3" xfId="48271"/>
    <cellStyle name="常规 8 3 2 2 2 3 4" xfId="48272"/>
    <cellStyle name="常规 8 3 2 2 2 4" xfId="48273"/>
    <cellStyle name="常规 8 3 2 2 2 4 2" xfId="48274"/>
    <cellStyle name="常规 8 3 2 2 2 5" xfId="48275"/>
    <cellStyle name="常规 8 3 2 2 2 6" xfId="48276"/>
    <cellStyle name="常规 8 3 2 2 3" xfId="48277"/>
    <cellStyle name="常规 8 3 2 2 3 2" xfId="48278"/>
    <cellStyle name="常规 8 3 2 2 3 2 2" xfId="48279"/>
    <cellStyle name="常规 8 3 2 2 3 2 2 2" xfId="48280"/>
    <cellStyle name="常规 8 3 2 2 3 2 3" xfId="48281"/>
    <cellStyle name="常规 8 3 2 2 3 2 4" xfId="48282"/>
    <cellStyle name="常规 8 3 2 2 3 3" xfId="48283"/>
    <cellStyle name="常规 8 3 2 2 3 3 2" xfId="48284"/>
    <cellStyle name="常规 8 3 2 2 3 4" xfId="48285"/>
    <cellStyle name="常规 8 3 2 2 3 5" xfId="48286"/>
    <cellStyle name="常规 8 3 2 2 4" xfId="48287"/>
    <cellStyle name="常规 8 3 2 2 4 2" xfId="48288"/>
    <cellStyle name="常规 8 3 2 2 4 2 2" xfId="48289"/>
    <cellStyle name="常规 8 3 2 2 4 3" xfId="48290"/>
    <cellStyle name="常规 8 3 2 2 4 4" xfId="48291"/>
    <cellStyle name="常规 8 3 2 2 5" xfId="48292"/>
    <cellStyle name="常规 8 3 2 2 5 2" xfId="48293"/>
    <cellStyle name="常规 8 3 2 2 6" xfId="48294"/>
    <cellStyle name="常规 8 3 2 2 7" xfId="48295"/>
    <cellStyle name="常规 8 3 2 3" xfId="48296"/>
    <cellStyle name="常规 8 3 2 3 2" xfId="48297"/>
    <cellStyle name="常规 8 3 2 3 2 2" xfId="48298"/>
    <cellStyle name="常规 8 3 2 3 2 2 2" xfId="48299"/>
    <cellStyle name="常规 8 3 2 3 2 2 2 2" xfId="48300"/>
    <cellStyle name="常规 8 3 2 3 2 2 3" xfId="48301"/>
    <cellStyle name="常规 8 3 2 3 2 2 4" xfId="48302"/>
    <cellStyle name="常规 8 3 2 3 2 3" xfId="48303"/>
    <cellStyle name="常规 8 3 2 3 2 3 2" xfId="48304"/>
    <cellStyle name="常规 8 3 2 3 2 4" xfId="48305"/>
    <cellStyle name="常规 8 3 2 3 2 5" xfId="48306"/>
    <cellStyle name="常规 8 3 2 3 3" xfId="48307"/>
    <cellStyle name="常规 8 3 2 3 3 2" xfId="48308"/>
    <cellStyle name="常规 8 3 2 3 3 2 2" xfId="48309"/>
    <cellStyle name="常规 8 3 2 3 3 3" xfId="48310"/>
    <cellStyle name="常规 8 3 2 3 3 4" xfId="48311"/>
    <cellStyle name="常规 8 3 2 3 4" xfId="48312"/>
    <cellStyle name="常规 8 3 2 3 4 2" xfId="48313"/>
    <cellStyle name="常规 8 3 2 3 5" xfId="48314"/>
    <cellStyle name="常规 8 3 2 3 6" xfId="48315"/>
    <cellStyle name="常规 8 3 2 4" xfId="48316"/>
    <cellStyle name="常规 8 3 2 4 2" xfId="48317"/>
    <cellStyle name="常规 8 3 2 4 2 2" xfId="48318"/>
    <cellStyle name="常规 8 3 2 4 2 2 2" xfId="48319"/>
    <cellStyle name="常规 8 3 2 4 2 3" xfId="48320"/>
    <cellStyle name="常规 8 3 2 4 2 4" xfId="48321"/>
    <cellStyle name="常规 8 3 2 4 3" xfId="48322"/>
    <cellStyle name="常规 8 3 2 4 3 2" xfId="48323"/>
    <cellStyle name="常规 8 3 2 4 4" xfId="48324"/>
    <cellStyle name="常规 8 3 2 4 5" xfId="48325"/>
    <cellStyle name="常规 8 3 2 5" xfId="48326"/>
    <cellStyle name="常规 8 3 2 5 2" xfId="48327"/>
    <cellStyle name="常规 8 3 2 5 2 2" xfId="48328"/>
    <cellStyle name="常规 8 3 2 5 3" xfId="48329"/>
    <cellStyle name="常规 8 3 2 5 4" xfId="48330"/>
    <cellStyle name="常规 8 3 2 6" xfId="2778"/>
    <cellStyle name="常规 8 3 2 6 2" xfId="48331"/>
    <cellStyle name="常规 8 3 2 7" xfId="48332"/>
    <cellStyle name="常规 8 3 2 8" xfId="48333"/>
    <cellStyle name="常规 8 3 3" xfId="48334"/>
    <cellStyle name="常规 8 3 3 2" xfId="48335"/>
    <cellStyle name="常规 8 3 3 2 2" xfId="48336"/>
    <cellStyle name="常规 8 3 3 2 2 2" xfId="48337"/>
    <cellStyle name="常规 8 3 3 2 2 2 2" xfId="48338"/>
    <cellStyle name="常规 8 3 3 2 2 2 2 2" xfId="48339"/>
    <cellStyle name="常规 8 3 3 2 2 2 3" xfId="26702"/>
    <cellStyle name="常规 8 3 3 2 2 2 4" xfId="26709"/>
    <cellStyle name="常规 8 3 3 2 2 3" xfId="48340"/>
    <cellStyle name="常规 8 3 3 2 2 3 2" xfId="48341"/>
    <cellStyle name="常规 8 3 3 2 2 4" xfId="48342"/>
    <cellStyle name="常规 8 3 3 2 2 5" xfId="48343"/>
    <cellStyle name="常规 8 3 3 2 3" xfId="48344"/>
    <cellStyle name="常规 8 3 3 2 3 2" xfId="48345"/>
    <cellStyle name="常规 8 3 3 2 3 2 2" xfId="48346"/>
    <cellStyle name="常规 8 3 3 2 3 3" xfId="48347"/>
    <cellStyle name="常规 8 3 3 2 3 4" xfId="48348"/>
    <cellStyle name="常规 8 3 3 2 4" xfId="48349"/>
    <cellStyle name="常规 8 3 3 2 4 2" xfId="48350"/>
    <cellStyle name="常规 8 3 3 2 5" xfId="48351"/>
    <cellStyle name="常规 8 3 3 2 6" xfId="48352"/>
    <cellStyle name="常规 8 3 3 3" xfId="48353"/>
    <cellStyle name="常规 8 3 3 3 2" xfId="48354"/>
    <cellStyle name="常规 8 3 3 3 2 2" xfId="20027"/>
    <cellStyle name="常规 8 3 3 3 2 2 2" xfId="48355"/>
    <cellStyle name="常规 8 3 3 3 2 3" xfId="20034"/>
    <cellStyle name="常规 8 3 3 3 2 4" xfId="48356"/>
    <cellStyle name="常规 8 3 3 3 3" xfId="48357"/>
    <cellStyle name="常规 8 3 3 3 3 2" xfId="20049"/>
    <cellStyle name="常规 8 3 3 3 4" xfId="48358"/>
    <cellStyle name="常规 8 3 3 3 5" xfId="48359"/>
    <cellStyle name="常规 8 3 3 4" xfId="48360"/>
    <cellStyle name="常规 8 3 3 4 2" xfId="48361"/>
    <cellStyle name="常规 8 3 3 4 2 2" xfId="21153"/>
    <cellStyle name="常规 8 3 3 4 3" xfId="48362"/>
    <cellStyle name="常规 8 3 3 4 4" xfId="48363"/>
    <cellStyle name="常规 8 3 3 5" xfId="48364"/>
    <cellStyle name="常规 8 3 3 5 2" xfId="48365"/>
    <cellStyle name="常规 8 3 3 6" xfId="48366"/>
    <cellStyle name="常规 8 3 3 7" xfId="48367"/>
    <cellStyle name="常规 8 3 4" xfId="48368"/>
    <cellStyle name="常规 8 3 4 2" xfId="44100"/>
    <cellStyle name="常规 8 3 4 2 2" xfId="31418"/>
    <cellStyle name="常规 8 3 4 2 2 2" xfId="48369"/>
    <cellStyle name="常规 8 3 4 2 2 2 2" xfId="48370"/>
    <cellStyle name="常规 8 3 4 2 2 3" xfId="48371"/>
    <cellStyle name="常规 8 3 4 2 2 4" xfId="48372"/>
    <cellStyle name="常规 8 3 4 2 3" xfId="31423"/>
    <cellStyle name="常规 8 3 4 2 3 2" xfId="48373"/>
    <cellStyle name="常规 8 3 4 2 4" xfId="48374"/>
    <cellStyle name="常规 8 3 4 2 5" xfId="48375"/>
    <cellStyle name="常规 8 3 4 3" xfId="44102"/>
    <cellStyle name="常规 8 3 4 3 2" xfId="31430"/>
    <cellStyle name="常规 8 3 4 3 2 2" xfId="48376"/>
    <cellStyle name="常规 8 3 4 3 3" xfId="48377"/>
    <cellStyle name="常规 8 3 4 3 4" xfId="48378"/>
    <cellStyle name="常规 8 3 4 4" xfId="44104"/>
    <cellStyle name="常规 8 3 4 4 2" xfId="48379"/>
    <cellStyle name="常规 8 3 4 5" xfId="48380"/>
    <cellStyle name="常规 8 3 4 6" xfId="48381"/>
    <cellStyle name="常规 8 3 5" xfId="48382"/>
    <cellStyle name="常规 8 3 5 2" xfId="44124"/>
    <cellStyle name="常规 8 3 5 2 2" xfId="31442"/>
    <cellStyle name="常规 8 3 5 2 2 2" xfId="48383"/>
    <cellStyle name="常规 8 3 5 2 3" xfId="48384"/>
    <cellStyle name="常规 8 3 5 2 4" xfId="48385"/>
    <cellStyle name="常规 8 3 5 3" xfId="44126"/>
    <cellStyle name="常规 8 3 5 3 2" xfId="48386"/>
    <cellStyle name="常规 8 3 5 4" xfId="48387"/>
    <cellStyle name="常规 8 3 5 5" xfId="48388"/>
    <cellStyle name="常规 8 3 6" xfId="48389"/>
    <cellStyle name="常规 8 3 6 2" xfId="44139"/>
    <cellStyle name="常规 8 3 6 2 2" xfId="48390"/>
    <cellStyle name="常规 8 3 6 3" xfId="48391"/>
    <cellStyle name="常规 8 3 6 4" xfId="40781"/>
    <cellStyle name="常规 8 3 7" xfId="48392"/>
    <cellStyle name="常规 8 3 7 2" xfId="48393"/>
    <cellStyle name="常规 8 3 8" xfId="48394"/>
    <cellStyle name="常规 8 3 9" xfId="48395"/>
    <cellStyle name="常规 8 3_Sheet2" xfId="5213"/>
    <cellStyle name="常规 8 4" xfId="48396"/>
    <cellStyle name="常规 8 4 10" xfId="48397"/>
    <cellStyle name="常规 8 4 2" xfId="48398"/>
    <cellStyle name="常规 8 4 2 2" xfId="48399"/>
    <cellStyle name="常规 8 4 2 2 2" xfId="48400"/>
    <cellStyle name="常规 8 4 2 2 2 2" xfId="48401"/>
    <cellStyle name="常规 8 4 2 2 2 2 2" xfId="48402"/>
    <cellStyle name="常规 8 4 2 2 2 2 2 2" xfId="48403"/>
    <cellStyle name="常规 8 4 2 2 2 2 2 2 2" xfId="48404"/>
    <cellStyle name="常规 8 4 2 2 2 2 2 3" xfId="48405"/>
    <cellStyle name="常规 8 4 2 2 2 2 2 4" xfId="48406"/>
    <cellStyle name="常规 8 4 2 2 2 2 3" xfId="43556"/>
    <cellStyle name="常规 8 4 2 2 2 2 3 2" xfId="43558"/>
    <cellStyle name="常规 8 4 2 2 2 2 4" xfId="43568"/>
    <cellStyle name="常规 8 4 2 2 2 2 5" xfId="43574"/>
    <cellStyle name="常规 8 4 2 2 2 3" xfId="48407"/>
    <cellStyle name="常规 8 4 2 2 2 3 2" xfId="48408"/>
    <cellStyle name="常规 8 4 2 2 2 3 2 2" xfId="48409"/>
    <cellStyle name="常规 8 4 2 2 2 3 3" xfId="43580"/>
    <cellStyle name="常规 8 4 2 2 2 3 4" xfId="43586"/>
    <cellStyle name="常规 8 4 2 2 2 4" xfId="48410"/>
    <cellStyle name="常规 8 4 2 2 2 4 2" xfId="48411"/>
    <cellStyle name="常规 8 4 2 2 2 5" xfId="48412"/>
    <cellStyle name="常规 8 4 2 2 2 6" xfId="48413"/>
    <cellStyle name="常规 8 4 2 2 3" xfId="48414"/>
    <cellStyle name="常规 8 4 2 2 3 2" xfId="48415"/>
    <cellStyle name="常规 8 4 2 2 3 2 2" xfId="48416"/>
    <cellStyle name="常规 8 4 2 2 3 2 2 2" xfId="48417"/>
    <cellStyle name="常规 8 4 2 2 3 2 3" xfId="43659"/>
    <cellStyle name="常规 8 4 2 2 3 2 4" xfId="43665"/>
    <cellStyle name="常规 8 4 2 2 3 3" xfId="48418"/>
    <cellStyle name="常规 8 4 2 2 3 3 2" xfId="48419"/>
    <cellStyle name="常规 8 4 2 2 3 4" xfId="48420"/>
    <cellStyle name="常规 8 4 2 2 3 5" xfId="48421"/>
    <cellStyle name="常规 8 4 2 2 4" xfId="48422"/>
    <cellStyle name="常规 8 4 2 2 4 2" xfId="48423"/>
    <cellStyle name="常规 8 4 2 2 4 2 2" xfId="48424"/>
    <cellStyle name="常规 8 4 2 2 4 3" xfId="48425"/>
    <cellStyle name="常规 8 4 2 2 4 4" xfId="48426"/>
    <cellStyle name="常规 8 4 2 2 5" xfId="48427"/>
    <cellStyle name="常规 8 4 2 2 5 2" xfId="48428"/>
    <cellStyle name="常规 8 4 2 2 6" xfId="48429"/>
    <cellStyle name="常规 8 4 2 2 7" xfId="48430"/>
    <cellStyle name="常规 8 4 2 3" xfId="48431"/>
    <cellStyle name="常规 8 4 2 3 2" xfId="48432"/>
    <cellStyle name="常规 8 4 2 3 2 2" xfId="48433"/>
    <cellStyle name="常规 8 4 2 3 2 2 2" xfId="48434"/>
    <cellStyle name="常规 8 4 2 3 2 2 2 2" xfId="48435"/>
    <cellStyle name="常规 8 4 2 3 2 2 3" xfId="44129"/>
    <cellStyle name="常规 8 4 2 3 2 2 4" xfId="44135"/>
    <cellStyle name="常规 8 4 2 3 2 3" xfId="48436"/>
    <cellStyle name="常规 8 4 2 3 2 3 2" xfId="48437"/>
    <cellStyle name="常规 8 4 2 3 2 4" xfId="48438"/>
    <cellStyle name="常规 8 4 2 3 2 5" xfId="48439"/>
    <cellStyle name="常规 8 4 2 3 3" xfId="48440"/>
    <cellStyle name="常规 8 4 2 3 3 2" xfId="48441"/>
    <cellStyle name="常规 8 4 2 3 3 2 2" xfId="48442"/>
    <cellStyle name="常规 8 4 2 3 3 3" xfId="48443"/>
    <cellStyle name="常规 8 4 2 3 3 4" xfId="48444"/>
    <cellStyle name="常规 8 4 2 3 4" xfId="48445"/>
    <cellStyle name="常规 8 4 2 3 4 2" xfId="48446"/>
    <cellStyle name="常规 8 4 2 3 5" xfId="48447"/>
    <cellStyle name="常规 8 4 2 3 6" xfId="48448"/>
    <cellStyle name="常规 8 4 2 4" xfId="48449"/>
    <cellStyle name="常规 8 4 2 4 2" xfId="48450"/>
    <cellStyle name="常规 8 4 2 4 2 2" xfId="48451"/>
    <cellStyle name="常规 8 4 2 4 2 2 2" xfId="48452"/>
    <cellStyle name="常规 8 4 2 4 2 3" xfId="48453"/>
    <cellStyle name="常规 8 4 2 4 2 4" xfId="48454"/>
    <cellStyle name="常规 8 4 2 4 3" xfId="48455"/>
    <cellStyle name="常规 8 4 2 4 3 2" xfId="48456"/>
    <cellStyle name="常规 8 4 2 4 4" xfId="48457"/>
    <cellStyle name="常规 8 4 2 4 5" xfId="48458"/>
    <cellStyle name="常规 8 4 2 5" xfId="48459"/>
    <cellStyle name="常规 8 4 2 5 2" xfId="48460"/>
    <cellStyle name="常规 8 4 2 5 2 2" xfId="48461"/>
    <cellStyle name="常规 8 4 2 5 3" xfId="48462"/>
    <cellStyle name="常规 8 4 2 5 4" xfId="48463"/>
    <cellStyle name="常规 8 4 2 6" xfId="48464"/>
    <cellStyle name="常规 8 4 2 6 2" xfId="48465"/>
    <cellStyle name="常规 8 4 2 7" xfId="48466"/>
    <cellStyle name="常规 8 4 2 8" xfId="48467"/>
    <cellStyle name="常规 8 4 3" xfId="48468"/>
    <cellStyle name="常规 8 4 3 2" xfId="48469"/>
    <cellStyle name="常规 8 4 3 2 2" xfId="17249"/>
    <cellStyle name="常规 8 4 3 2 2 2" xfId="48470"/>
    <cellStyle name="常规 8 4 3 2 2 2 2" xfId="48471"/>
    <cellStyle name="常规 8 4 3 2 2 2 2 2" xfId="48472"/>
    <cellStyle name="常规 8 4 3 2 2 2 3" xfId="48473"/>
    <cellStyle name="常规 8 4 3 2 2 2 4" xfId="48474"/>
    <cellStyle name="常规 8 4 3 2 2 3" xfId="48475"/>
    <cellStyle name="常规 8 4 3 2 2 3 2" xfId="48476"/>
    <cellStyle name="常规 8 4 3 2 2 4" xfId="48477"/>
    <cellStyle name="常规 8 4 3 2 2 5" xfId="48478"/>
    <cellStyle name="常规 8 4 3 2 3" xfId="17271"/>
    <cellStyle name="常规 8 4 3 2 3 2" xfId="48479"/>
    <cellStyle name="常规 8 4 3 2 3 2 2" xfId="48480"/>
    <cellStyle name="常规 8 4 3 2 3 3" xfId="48481"/>
    <cellStyle name="常规 8 4 3 2 3 4" xfId="48482"/>
    <cellStyle name="常规 8 4 3 2 4" xfId="48483"/>
    <cellStyle name="常规 8 4 3 2 4 2" xfId="48484"/>
    <cellStyle name="常规 8 4 3 2 5" xfId="48485"/>
    <cellStyle name="常规 8 4 3 2 6" xfId="48486"/>
    <cellStyle name="常规 8 4 3 3" xfId="48487"/>
    <cellStyle name="常规 8 4 3 3 2" xfId="17292"/>
    <cellStyle name="常规 8 4 3 3 2 2" xfId="48488"/>
    <cellStyle name="常规 8 4 3 3 2 2 2" xfId="48489"/>
    <cellStyle name="常规 8 4 3 3 2 3" xfId="48490"/>
    <cellStyle name="常规 8 4 3 3 2 4" xfId="48491"/>
    <cellStyle name="常规 8 4 3 3 3" xfId="48492"/>
    <cellStyle name="常规 8 4 3 3 3 2" xfId="48493"/>
    <cellStyle name="常规 8 4 3 3 4" xfId="48494"/>
    <cellStyle name="常规 8 4 3 3 5" xfId="48495"/>
    <cellStyle name="常规 8 4 3 4" xfId="48496"/>
    <cellStyle name="常规 8 4 3 4 2" xfId="48497"/>
    <cellStyle name="常规 8 4 3 4 2 2" xfId="48498"/>
    <cellStyle name="常规 8 4 3 4 3" xfId="48499"/>
    <cellStyle name="常规 8 4 3 4 4" xfId="48500"/>
    <cellStyle name="常规 8 4 3 5" xfId="48501"/>
    <cellStyle name="常规 8 4 3 5 2" xfId="48502"/>
    <cellStyle name="常规 8 4 3 6" xfId="48503"/>
    <cellStyle name="常规 8 4 3 7" xfId="48504"/>
    <cellStyle name="常规 8 4 4" xfId="48505"/>
    <cellStyle name="常规 8 4 4 2" xfId="44169"/>
    <cellStyle name="常规 8 4 4 2 2" xfId="17403"/>
    <cellStyle name="常规 8 4 4 2 2 2" xfId="48506"/>
    <cellStyle name="常规 8 4 4 2 2 2 2" xfId="48507"/>
    <cellStyle name="常规 8 4 4 2 2 3" xfId="48508"/>
    <cellStyle name="常规 8 4 4 2 2 4" xfId="48509"/>
    <cellStyle name="常规 8 4 4 2 3" xfId="48510"/>
    <cellStyle name="常规 8 4 4 2 3 2" xfId="48511"/>
    <cellStyle name="常规 8 4 4 2 4" xfId="48512"/>
    <cellStyle name="常规 8 4 4 2 5" xfId="48513"/>
    <cellStyle name="常规 8 4 4 3" xfId="44171"/>
    <cellStyle name="常规 8 4 4 3 2" xfId="48514"/>
    <cellStyle name="常规 8 4 4 3 2 2" xfId="48515"/>
    <cellStyle name="常规 8 4 4 3 3" xfId="48516"/>
    <cellStyle name="常规 8 4 4 3 4" xfId="48517"/>
    <cellStyle name="常规 8 4 4 4" xfId="48518"/>
    <cellStyle name="常规 8 4 4 4 2" xfId="48519"/>
    <cellStyle name="常规 8 4 4 5" xfId="48520"/>
    <cellStyle name="常规 8 4 4 6" xfId="48521"/>
    <cellStyle name="常规 8 4 5" xfId="48522"/>
    <cellStyle name="常规 8 4 5 2" xfId="44182"/>
    <cellStyle name="常规 8 4 5 2 2" xfId="48523"/>
    <cellStyle name="常规 8 4 5 2 2 2" xfId="48524"/>
    <cellStyle name="常规 8 4 5 2 3" xfId="48525"/>
    <cellStyle name="常规 8 4 5 2 4" xfId="48526"/>
    <cellStyle name="常规 8 4 5 3" xfId="48527"/>
    <cellStyle name="常规 8 4 5 3 2" xfId="48528"/>
    <cellStyle name="常规 8 4 5 4" xfId="17502"/>
    <cellStyle name="常规 8 4 5 5" xfId="48529"/>
    <cellStyle name="常规 8 4 6" xfId="48530"/>
    <cellStyle name="常规 8 4 6 2" xfId="48531"/>
    <cellStyle name="常规 8 4 6 2 2" xfId="48532"/>
    <cellStyle name="常规 8 4 6 3" xfId="48533"/>
    <cellStyle name="常规 8 4 6 4" xfId="48534"/>
    <cellStyle name="常规 8 4 7" xfId="48535"/>
    <cellStyle name="常规 8 4 7 2" xfId="48536"/>
    <cellStyle name="常规 8 4 8" xfId="48537"/>
    <cellStyle name="常规 8 4 9" xfId="48538"/>
    <cellStyle name="常规 8 4_Sheet2" xfId="17393"/>
    <cellStyle name="常规 8 5" xfId="48539"/>
    <cellStyle name="常规 8 5 2" xfId="48540"/>
    <cellStyle name="常规 8 5 2 2" xfId="48541"/>
    <cellStyle name="常规 8 5 2 2 2" xfId="48542"/>
    <cellStyle name="常规 8 5 2 2 2 2" xfId="48543"/>
    <cellStyle name="常规 8 5 2 2 2 2 2" xfId="48544"/>
    <cellStyle name="常规 8 5 2 2 2 2 2 2" xfId="48545"/>
    <cellStyle name="常规 8 5 2 2 2 2 3" xfId="48546"/>
    <cellStyle name="常规 8 5 2 2 2 2 4" xfId="48547"/>
    <cellStyle name="常规 8 5 2 2 2 3" xfId="48548"/>
    <cellStyle name="常规 8 5 2 2 2 3 2" xfId="48549"/>
    <cellStyle name="常规 8 5 2 2 2 4" xfId="48550"/>
    <cellStyle name="常规 8 5 2 2 2 5" xfId="48551"/>
    <cellStyle name="常规 8 5 2 2 3" xfId="48552"/>
    <cellStyle name="常规 8 5 2 2 3 2" xfId="48553"/>
    <cellStyle name="常规 8 5 2 2 3 2 2" xfId="48554"/>
    <cellStyle name="常规 8 5 2 2 3 3" xfId="48555"/>
    <cellStyle name="常规 8 5 2 2 3 4" xfId="48556"/>
    <cellStyle name="常规 8 5 2 2 4" xfId="48557"/>
    <cellStyle name="常规 8 5 2 2 4 2" xfId="48558"/>
    <cellStyle name="常规 8 5 2 2 5" xfId="48559"/>
    <cellStyle name="常规 8 5 2 2 6" xfId="48560"/>
    <cellStyle name="常规 8 5 2 3" xfId="48561"/>
    <cellStyle name="常规 8 5 2 3 2" xfId="48562"/>
    <cellStyle name="常规 8 5 2 3 2 2" xfId="48563"/>
    <cellStyle name="常规 8 5 2 3 2 2 2" xfId="48564"/>
    <cellStyle name="常规 8 5 2 3 2 3" xfId="48565"/>
    <cellStyle name="常规 8 5 2 3 2 4" xfId="48566"/>
    <cellStyle name="常规 8 5 2 3 3" xfId="48567"/>
    <cellStyle name="常规 8 5 2 3 3 2" xfId="48568"/>
    <cellStyle name="常规 8 5 2 3 4" xfId="48569"/>
    <cellStyle name="常规 8 5 2 3 5" xfId="48570"/>
    <cellStyle name="常规 8 5 2 4" xfId="48571"/>
    <cellStyle name="常规 8 5 2 4 2" xfId="48572"/>
    <cellStyle name="常规 8 5 2 4 2 2" xfId="48573"/>
    <cellStyle name="常规 8 5 2 4 3" xfId="48574"/>
    <cellStyle name="常规 8 5 2 4 4" xfId="48575"/>
    <cellStyle name="常规 8 5 2 5" xfId="48576"/>
    <cellStyle name="常规 8 5 2 5 2" xfId="48577"/>
    <cellStyle name="常规 8 5 2 6" xfId="48578"/>
    <cellStyle name="常规 8 5 2 7" xfId="48579"/>
    <cellStyle name="常规 8 5 3" xfId="48580"/>
    <cellStyle name="常规 8 5 3 2" xfId="5149"/>
    <cellStyle name="常规 8 5 3 2 2" xfId="15946"/>
    <cellStyle name="常规 8 5 3 2 2 2" xfId="48581"/>
    <cellStyle name="常规 8 5 3 2 2 2 2" xfId="48582"/>
    <cellStyle name="常规 8 5 3 2 2 3" xfId="48583"/>
    <cellStyle name="常规 8 5 3 2 2 4" xfId="48584"/>
    <cellStyle name="常规 8 5 3 2 3" xfId="48585"/>
    <cellStyle name="常规 8 5 3 2 3 2" xfId="48586"/>
    <cellStyle name="常规 8 5 3 2 4" xfId="48587"/>
    <cellStyle name="常规 8 5 3 2 5" xfId="48588"/>
    <cellStyle name="常规 8 5 3 3" xfId="2079"/>
    <cellStyle name="常规 8 5 3 3 2" xfId="48589"/>
    <cellStyle name="常规 8 5 3 3 2 2" xfId="48590"/>
    <cellStyle name="常规 8 5 3 3 3" xfId="48591"/>
    <cellStyle name="常规 8 5 3 3 4" xfId="48592"/>
    <cellStyle name="常规 8 5 3 4" xfId="48593"/>
    <cellStyle name="常规 8 5 3 4 2" xfId="48594"/>
    <cellStyle name="常规 8 5 3 5" xfId="48595"/>
    <cellStyle name="常规 8 5 3 6" xfId="48596"/>
    <cellStyle name="常规 8 5 4" xfId="48597"/>
    <cellStyle name="常规 8 5 4 2" xfId="44202"/>
    <cellStyle name="常规 8 5 4 2 2" xfId="48598"/>
    <cellStyle name="常规 8 5 4 2 2 2" xfId="48599"/>
    <cellStyle name="常规 8 5 4 2 3" xfId="48600"/>
    <cellStyle name="常规 8 5 4 2 4" xfId="48601"/>
    <cellStyle name="常规 8 5 4 3" xfId="48602"/>
    <cellStyle name="常规 8 5 4 3 2" xfId="48603"/>
    <cellStyle name="常规 8 5 4 4" xfId="48604"/>
    <cellStyle name="常规 8 5 4 5" xfId="48605"/>
    <cellStyle name="常规 8 5 5" xfId="48606"/>
    <cellStyle name="常规 8 5 5 2" xfId="48607"/>
    <cellStyle name="常规 8 5 5 2 2" xfId="48608"/>
    <cellStyle name="常规 8 5 5 3" xfId="48609"/>
    <cellStyle name="常规 8 5 5 4" xfId="48610"/>
    <cellStyle name="常规 8 5 6" xfId="48611"/>
    <cellStyle name="常规 8 5 6 2" xfId="48612"/>
    <cellStyle name="常规 8 5 7" xfId="48613"/>
    <cellStyle name="常规 8 5 8" xfId="48614"/>
    <cellStyle name="常规 8 6" xfId="48615"/>
    <cellStyle name="常规 8 6 2" xfId="48616"/>
    <cellStyle name="常规 8 6 2 2" xfId="48617"/>
    <cellStyle name="常规 8 6 2 2 2" xfId="48618"/>
    <cellStyle name="常规 8 6 2 2 2 2" xfId="48619"/>
    <cellStyle name="常规 8 6 2 2 2 2 2" xfId="48620"/>
    <cellStyle name="常规 8 6 2 2 2 3" xfId="48621"/>
    <cellStyle name="常规 8 6 2 2 2 4" xfId="48622"/>
    <cellStyle name="常规 8 6 2 2 3" xfId="48623"/>
    <cellStyle name="常规 8 6 2 2 3 2" xfId="48624"/>
    <cellStyle name="常规 8 6 2 2 4" xfId="48625"/>
    <cellStyle name="常规 8 6 2 2 5" xfId="48626"/>
    <cellStyle name="常规 8 6 2 3" xfId="48627"/>
    <cellStyle name="常规 8 6 2 3 2" xfId="48628"/>
    <cellStyle name="常规 8 6 2 3 2 2" xfId="48629"/>
    <cellStyle name="常规 8 6 2 3 3" xfId="48630"/>
    <cellStyle name="常规 8 6 2 3 4" xfId="48631"/>
    <cellStyle name="常规 8 6 2 4" xfId="48632"/>
    <cellStyle name="常规 8 6 2 4 2" xfId="48633"/>
    <cellStyle name="常规 8 6 2 5" xfId="48634"/>
    <cellStyle name="常规 8 6 2 6" xfId="48635"/>
    <cellStyle name="常规 8 6 3" xfId="48636"/>
    <cellStyle name="常规 8 6 3 2" xfId="48637"/>
    <cellStyle name="常规 8 6 3 2 2" xfId="48638"/>
    <cellStyle name="常规 8 6 3 2 2 2" xfId="48639"/>
    <cellStyle name="常规 8 6 3 2 3" xfId="48640"/>
    <cellStyle name="常规 8 6 3 2 4" xfId="48641"/>
    <cellStyle name="常规 8 6 3 3" xfId="41726"/>
    <cellStyle name="常规 8 6 3 3 2" xfId="48642"/>
    <cellStyle name="常规 8 6 3 4" xfId="48643"/>
    <cellStyle name="常规 8 6 3 5" xfId="48644"/>
    <cellStyle name="常规 8 6 4" xfId="48645"/>
    <cellStyle name="常规 8 6 4 2" xfId="48646"/>
    <cellStyle name="常规 8 6 4 2 2" xfId="48647"/>
    <cellStyle name="常规 8 6 4 3" xfId="48648"/>
    <cellStyle name="常规 8 6 4 4" xfId="48649"/>
    <cellStyle name="常规 8 6 5" xfId="30959"/>
    <cellStyle name="常规 8 6 5 2" xfId="48650"/>
    <cellStyle name="常规 8 6 6" xfId="48651"/>
    <cellStyle name="常规 8 6 7" xfId="48652"/>
    <cellStyle name="常规 8 7" xfId="48653"/>
    <cellStyle name="常规 8 7 2" xfId="48654"/>
    <cellStyle name="常规 8 7 2 2" xfId="48655"/>
    <cellStyle name="常规 8 7 2 2 2" xfId="706"/>
    <cellStyle name="常规 8 7 2 2 2 2" xfId="48656"/>
    <cellStyle name="常规 8 7 2 2 3" xfId="711"/>
    <cellStyle name="常规 8 7 2 2 4" xfId="48657"/>
    <cellStyle name="常规 8 7 2 3" xfId="48658"/>
    <cellStyle name="常规 8 7 2 3 2" xfId="769"/>
    <cellStyle name="常规 8 7 2 4" xfId="48659"/>
    <cellStyle name="常规 8 7 2 5" xfId="48660"/>
    <cellStyle name="常规 8 7 3" xfId="48661"/>
    <cellStyle name="常规 8 7 3 2" xfId="48662"/>
    <cellStyle name="常规 8 7 3 2 2" xfId="48663"/>
    <cellStyle name="常规 8 7 3 3" xfId="48664"/>
    <cellStyle name="常规 8 7 3 4" xfId="48665"/>
    <cellStyle name="常规 8 7 4" xfId="48666"/>
    <cellStyle name="常规 8 7 4 2" xfId="48667"/>
    <cellStyle name="常规 8 7 5" xfId="48668"/>
    <cellStyle name="常规 8 7 6" xfId="48669"/>
    <cellStyle name="常规 8 8" xfId="48670"/>
    <cellStyle name="常规 8 8 2" xfId="48671"/>
    <cellStyle name="常规 8 8 2 2" xfId="48672"/>
    <cellStyle name="常规 8 8 2 2 2" xfId="48673"/>
    <cellStyle name="常规 8 8 2 3" xfId="48674"/>
    <cellStyle name="常规 8 8 2 4" xfId="48675"/>
    <cellStyle name="常规 8 8 3" xfId="48676"/>
    <cellStyle name="常规 8 8 3 2" xfId="48677"/>
    <cellStyle name="常规 8 8 4" xfId="48678"/>
    <cellStyle name="常规 8 8 5" xfId="48679"/>
    <cellStyle name="常规 8 9" xfId="48680"/>
    <cellStyle name="常规 8 9 2" xfId="48681"/>
    <cellStyle name="常规 8 9 2 2" xfId="48682"/>
    <cellStyle name="常规 8 9 3" xfId="28006"/>
    <cellStyle name="常规 8 9 4" xfId="48683"/>
    <cellStyle name="常规 8_Sheet2" xfId="13064"/>
    <cellStyle name="常规 80" xfId="40182"/>
    <cellStyle name="常规 81" xfId="40189"/>
    <cellStyle name="常规 82" xfId="40193"/>
    <cellStyle name="常规 83" xfId="40196"/>
    <cellStyle name="常规 84" xfId="47950"/>
    <cellStyle name="常规 85" xfId="48685"/>
    <cellStyle name="常规 86" xfId="48687"/>
    <cellStyle name="常规 87" xfId="48689"/>
    <cellStyle name="常规 88" xfId="48691"/>
    <cellStyle name="常规 89" xfId="48693"/>
    <cellStyle name="常规 9" xfId="48694"/>
    <cellStyle name="常规 9 2" xfId="48695"/>
    <cellStyle name="常规 9 2 2" xfId="48696"/>
    <cellStyle name="常规 9 2 3" xfId="48697"/>
    <cellStyle name="常规 9 2_Sheet2" xfId="48698"/>
    <cellStyle name="常规 9 3" xfId="48699"/>
    <cellStyle name="常规 9 3 2" xfId="48700"/>
    <cellStyle name="常规 9 3_Sheet2" xfId="48701"/>
    <cellStyle name="常规 9 4" xfId="48702"/>
    <cellStyle name="常规 9 4 2" xfId="48703"/>
    <cellStyle name="常规 9 4_Sheet2" xfId="48704"/>
    <cellStyle name="常规 9 5" xfId="48705"/>
    <cellStyle name="常规 9 6" xfId="48706"/>
    <cellStyle name="常规 9 7" xfId="48707"/>
    <cellStyle name="常规 9 8" xfId="48708"/>
    <cellStyle name="常规 9 9" xfId="48709"/>
    <cellStyle name="常规 9_Sheet2" xfId="48710"/>
    <cellStyle name="常规 90" xfId="48684"/>
    <cellStyle name="常规 91" xfId="48686"/>
    <cellStyle name="常规 92" xfId="48688"/>
    <cellStyle name="常规 93" xfId="48690"/>
    <cellStyle name="常规 94" xfId="48692"/>
    <cellStyle name="常规 95" xfId="48711"/>
    <cellStyle name="常规 96" xfId="48712"/>
    <cellStyle name="常规 97" xfId="48713"/>
    <cellStyle name="常规 98" xfId="48714"/>
    <cellStyle name="常规 99" xfId="48715"/>
    <cellStyle name="常规_040606日常审计检查单" xfId="48929"/>
    <cellStyle name="常规_sstDB" xfId="48716"/>
    <cellStyle name="常规_Title" xfId="48717"/>
    <cellStyle name="常规_项目维护日志模板" xfId="15636"/>
    <cellStyle name="超链接" xfId="70" builtinId="8"/>
    <cellStyle name="超链接 2" xfId="48718"/>
    <cellStyle name="超链接 2 2" xfId="48719"/>
    <cellStyle name="超链接 2 3" xfId="48720"/>
    <cellStyle name="超链接 2 4" xfId="48721"/>
    <cellStyle name="超链接 2 5" xfId="48722"/>
    <cellStyle name="超链接 2 6" xfId="48723"/>
    <cellStyle name="超链接 2 7" xfId="48724"/>
    <cellStyle name="超链接 2 8" xfId="48725"/>
    <cellStyle name="超链接 2 9" xfId="48726"/>
    <cellStyle name="超链接 3" xfId="48727"/>
    <cellStyle name="超链接 3 2" xfId="48728"/>
    <cellStyle name="超链接 3 3" xfId="48729"/>
    <cellStyle name="超链接 3 4" xfId="48730"/>
    <cellStyle name="超链接 4" xfId="48731"/>
    <cellStyle name="超链接 5" xfId="48732"/>
    <cellStyle name="超链接 6" xfId="48733"/>
    <cellStyle name="超链接 7" xfId="48734"/>
    <cellStyle name="好 2" xfId="48735"/>
    <cellStyle name="好 2 2" xfId="48736"/>
    <cellStyle name="好 2 2 2" xfId="48737"/>
    <cellStyle name="好 2 2 3" xfId="48738"/>
    <cellStyle name="好 2 2 4" xfId="48739"/>
    <cellStyle name="好 2 2_副本EBMP-信息科技部应用开发项目程序投产需求清单-20130425-01" xfId="48740"/>
    <cellStyle name="好 2 3" xfId="48741"/>
    <cellStyle name="好 2 4" xfId="48742"/>
    <cellStyle name="好 2 5" xfId="48743"/>
    <cellStyle name="好 3" xfId="48744"/>
    <cellStyle name="好 4" xfId="48745"/>
    <cellStyle name="好_Sheet2" xfId="48746"/>
    <cellStyle name="好_过程问题再现统计表" xfId="29700"/>
    <cellStyle name="汇总 2" xfId="48747"/>
    <cellStyle name="汇总 2 2" xfId="48748"/>
    <cellStyle name="汇总 2 2 2" xfId="48749"/>
    <cellStyle name="汇总 2 2 3" xfId="48750"/>
    <cellStyle name="汇总 2 2 4" xfId="48751"/>
    <cellStyle name="汇总 2 2_副本EBMP-信息科技部应用开发项目程序投产需求清单-20130425-01" xfId="48752"/>
    <cellStyle name="汇总 2 3" xfId="48753"/>
    <cellStyle name="汇总 2 4" xfId="48754"/>
    <cellStyle name="汇总 2 5" xfId="48755"/>
    <cellStyle name="汇总 2 6" xfId="48756"/>
    <cellStyle name="汇总 2 7" xfId="48757"/>
    <cellStyle name="汇总 2 8" xfId="48758"/>
    <cellStyle name="汇总 2 9" xfId="48759"/>
    <cellStyle name="汇总 3" xfId="48760"/>
    <cellStyle name="汇总 4" xfId="48761"/>
    <cellStyle name="计算 2" xfId="48762"/>
    <cellStyle name="计算 2 2" xfId="48763"/>
    <cellStyle name="计算 2 2 2" xfId="48764"/>
    <cellStyle name="计算 2 2 3" xfId="48765"/>
    <cellStyle name="计算 2 2 4" xfId="48766"/>
    <cellStyle name="计算 2 2_副本EBMP-信息科技部应用开发项目程序投产需求清单-20130425-01" xfId="48767"/>
    <cellStyle name="计算 2 3" xfId="48768"/>
    <cellStyle name="计算 2 4" xfId="48769"/>
    <cellStyle name="计算 2 5" xfId="48770"/>
    <cellStyle name="计算 2 6" xfId="48771"/>
    <cellStyle name="计算 2 7" xfId="48772"/>
    <cellStyle name="计算 3" xfId="48773"/>
    <cellStyle name="计算 4" xfId="48774"/>
    <cellStyle name="检查单元格 2" xfId="48775"/>
    <cellStyle name="检查单元格 2 2" xfId="48776"/>
    <cellStyle name="检查单元格 2 2 2" xfId="48777"/>
    <cellStyle name="检查单元格 2 2 3" xfId="48778"/>
    <cellStyle name="检查单元格 2 2 4" xfId="23137"/>
    <cellStyle name="检查单元格 2 2_副本EBMP-信息科技部应用开发项目程序投产需求清单-20130425-01" xfId="48779"/>
    <cellStyle name="检查单元格 2 3" xfId="48780"/>
    <cellStyle name="检查单元格 2 4" xfId="48781"/>
    <cellStyle name="检查单元格 2 5" xfId="47653"/>
    <cellStyle name="检查单元格 3" xfId="48782"/>
    <cellStyle name="检查单元格 4" xfId="48783"/>
    <cellStyle name="解释性文本 2" xfId="48784"/>
    <cellStyle name="解释性文本 2 2" xfId="48785"/>
    <cellStyle name="解释性文本 2 2 2" xfId="48786"/>
    <cellStyle name="解释性文本 2 2 3" xfId="48787"/>
    <cellStyle name="解释性文本 2 2 4" xfId="48788"/>
    <cellStyle name="解释性文本 2 2_副本EBMP-信息科技部应用开发项目程序投产需求清单-20130425-01" xfId="48789"/>
    <cellStyle name="解释性文本 2 3" xfId="48790"/>
    <cellStyle name="解释性文本 2 4" xfId="48791"/>
    <cellStyle name="解释性文本 2 5" xfId="48792"/>
    <cellStyle name="解释性文本 2 6" xfId="48793"/>
    <cellStyle name="解释性文本 2 7" xfId="48794"/>
    <cellStyle name="解释性文本 2 8" xfId="48795"/>
    <cellStyle name="解释性文本 2 9" xfId="48796"/>
    <cellStyle name="解释性文本 3" xfId="48797"/>
    <cellStyle name="解释性文本 4" xfId="47791"/>
    <cellStyle name="警告文本 2" xfId="48798"/>
    <cellStyle name="警告文本 2 2" xfId="48799"/>
    <cellStyle name="警告文本 2 2 2" xfId="48800"/>
    <cellStyle name="警告文本 2 2 3" xfId="48801"/>
    <cellStyle name="警告文本 2 2 4" xfId="12643"/>
    <cellStyle name="警告文本 2 2_副本EBMP-信息科技部应用开发项目程序投产需求清单-20130425-01" xfId="48802"/>
    <cellStyle name="警告文本 2 3" xfId="48803"/>
    <cellStyle name="警告文本 2 4" xfId="48804"/>
    <cellStyle name="警告文本 2 5" xfId="48805"/>
    <cellStyle name="警告文本 2 6" xfId="48806"/>
    <cellStyle name="警告文本 2 7" xfId="48807"/>
    <cellStyle name="警告文本 2 8" xfId="48808"/>
    <cellStyle name="警告文本 2 9" xfId="48809"/>
    <cellStyle name="警告文本 3" xfId="48810"/>
    <cellStyle name="警告文本 4" xfId="48811"/>
    <cellStyle name="链接单元格 2" xfId="48812"/>
    <cellStyle name="链接单元格 2 2" xfId="48813"/>
    <cellStyle name="链接单元格 2 2 2" xfId="48814"/>
    <cellStyle name="链接单元格 2 2 3" xfId="48815"/>
    <cellStyle name="链接单元格 2 2 4" xfId="48816"/>
    <cellStyle name="链接单元格 2 2_副本EBMP-信息科技部应用开发项目程序投产需求清单-20130425-01" xfId="48817"/>
    <cellStyle name="链接单元格 2 3" xfId="48818"/>
    <cellStyle name="链接单元格 2 4" xfId="48819"/>
    <cellStyle name="链接单元格 2 5" xfId="48820"/>
    <cellStyle name="链接单元格 2 6" xfId="48821"/>
    <cellStyle name="链接单元格 2 7" xfId="48822"/>
    <cellStyle name="链接单元格 2 8" xfId="48823"/>
    <cellStyle name="链接单元格 2 9" xfId="48824"/>
    <cellStyle name="链接单元格 3" xfId="10123"/>
    <cellStyle name="链接单元格 4" xfId="48825"/>
    <cellStyle name="千位分隔 2" xfId="48826"/>
    <cellStyle name="强调文字颜色 1 2" xfId="48827"/>
    <cellStyle name="强调文字颜色 1 2 2" xfId="48828"/>
    <cellStyle name="强调文字颜色 1 2 2 2" xfId="48829"/>
    <cellStyle name="强调文字颜色 1 2 2 3" xfId="48830"/>
    <cellStyle name="强调文字颜色 1 2 2 4" xfId="48831"/>
    <cellStyle name="强调文字颜色 1 2 2_副本EBMP-信息科技部应用开发项目程序投产需求清单-20130425-01" xfId="48832"/>
    <cellStyle name="强调文字颜色 1 2 3" xfId="48833"/>
    <cellStyle name="强调文字颜色 1 2 4" xfId="48834"/>
    <cellStyle name="强调文字颜色 1 2 5" xfId="48835"/>
    <cellStyle name="强调文字颜色 1 3" xfId="48836"/>
    <cellStyle name="强调文字颜色 1 4" xfId="48837"/>
    <cellStyle name="强调文字颜色 2 2" xfId="34729"/>
    <cellStyle name="强调文字颜色 2 2 2" xfId="48838"/>
    <cellStyle name="强调文字颜色 2 2 2 2" xfId="48839"/>
    <cellStyle name="强调文字颜色 2 2 2 3" xfId="48840"/>
    <cellStyle name="强调文字颜色 2 2 2 4" xfId="48841"/>
    <cellStyle name="强调文字颜色 2 2 2_副本EBMP-信息科技部应用开发项目程序投产需求清单-20130425-01" xfId="22919"/>
    <cellStyle name="强调文字颜色 2 2 3" xfId="48842"/>
    <cellStyle name="强调文字颜色 2 2 4" xfId="48843"/>
    <cellStyle name="强调文字颜色 2 2 5" xfId="48844"/>
    <cellStyle name="强调文字颜色 2 3" xfId="48845"/>
    <cellStyle name="强调文字颜色 2 4" xfId="48846"/>
    <cellStyle name="强调文字颜色 3 2" xfId="48847"/>
    <cellStyle name="强调文字颜色 3 2 2" xfId="48848"/>
    <cellStyle name="强调文字颜色 3 2 2 2" xfId="48849"/>
    <cellStyle name="强调文字颜色 3 2 2 3" xfId="48850"/>
    <cellStyle name="强调文字颜色 3 2 2 4" xfId="48851"/>
    <cellStyle name="强调文字颜色 3 2 2_副本EBMP-信息科技部应用开发项目程序投产需求清单-20130425-01" xfId="37982"/>
    <cellStyle name="强调文字颜色 3 2 3" xfId="48852"/>
    <cellStyle name="强调文字颜色 3 2 4" xfId="48853"/>
    <cellStyle name="强调文字颜色 3 2 5" xfId="48854"/>
    <cellStyle name="强调文字颜色 3 3" xfId="48855"/>
    <cellStyle name="强调文字颜色 3 4" xfId="48856"/>
    <cellStyle name="强调文字颜色 4 2" xfId="48857"/>
    <cellStyle name="强调文字颜色 4 2 2" xfId="48858"/>
    <cellStyle name="强调文字颜色 4 2 2 2" xfId="48859"/>
    <cellStyle name="强调文字颜色 4 2 2 3" xfId="48860"/>
    <cellStyle name="强调文字颜色 4 2 2 4" xfId="48861"/>
    <cellStyle name="强调文字颜色 4 2 2_副本EBMP-信息科技部应用开发项目程序投产需求清单-20130425-01" xfId="48862"/>
    <cellStyle name="强调文字颜色 4 2 3" xfId="48863"/>
    <cellStyle name="强调文字颜色 4 2 4" xfId="48864"/>
    <cellStyle name="强调文字颜色 4 2 5" xfId="48865"/>
    <cellStyle name="强调文字颜色 4 3" xfId="48866"/>
    <cellStyle name="强调文字颜色 4 4" xfId="48867"/>
    <cellStyle name="强调文字颜色 5 2" xfId="48868"/>
    <cellStyle name="强调文字颜色 5 2 2" xfId="48869"/>
    <cellStyle name="强调文字颜色 5 2 2 2" xfId="48870"/>
    <cellStyle name="强调文字颜色 5 2 2 3" xfId="48871"/>
    <cellStyle name="强调文字颜色 5 2 2 4" xfId="48872"/>
    <cellStyle name="强调文字颜色 5 2 2_副本EBMP-信息科技部应用开发项目程序投产需求清单-20130425-01" xfId="48873"/>
    <cellStyle name="强调文字颜色 5 2 3" xfId="48874"/>
    <cellStyle name="强调文字颜色 5 2 4" xfId="48875"/>
    <cellStyle name="强调文字颜色 5 2 5" xfId="48876"/>
    <cellStyle name="强调文字颜色 5 3" xfId="48877"/>
    <cellStyle name="强调文字颜色 5 4" xfId="48878"/>
    <cellStyle name="强调文字颜色 6 2" xfId="30774"/>
    <cellStyle name="强调文字颜色 6 2 2" xfId="5238"/>
    <cellStyle name="强调文字颜色 6 2 2 2" xfId="48879"/>
    <cellStyle name="强调文字颜色 6 2 2 3" xfId="48880"/>
    <cellStyle name="强调文字颜色 6 2 2 4" xfId="48881"/>
    <cellStyle name="强调文字颜色 6 2 2_副本EBMP-信息科技部应用开发项目程序投产需求清单-20130425-01" xfId="48882"/>
    <cellStyle name="强调文字颜色 6 2 3" xfId="48883"/>
    <cellStyle name="强调文字颜色 6 2 4" xfId="48884"/>
    <cellStyle name="强调文字颜色 6 2 5" xfId="48885"/>
    <cellStyle name="强调文字颜色 6 3" xfId="30777"/>
    <cellStyle name="强调文字颜色 6 4" xfId="5618"/>
    <cellStyle name="适中 2" xfId="48886"/>
    <cellStyle name="适中 2 2" xfId="48887"/>
    <cellStyle name="适中 2 2 2" xfId="48888"/>
    <cellStyle name="适中 2 2 3" xfId="48889"/>
    <cellStyle name="适中 2 2 4" xfId="48890"/>
    <cellStyle name="适中 2 2_副本EBMP-信息科技部应用开发项目程序投产需求清单-20130425-01" xfId="48891"/>
    <cellStyle name="适中 2 3" xfId="48892"/>
    <cellStyle name="适中 2 4" xfId="48893"/>
    <cellStyle name="适中 2 5" xfId="48894"/>
    <cellStyle name="适中 3" xfId="48895"/>
    <cellStyle name="适中 4" xfId="48896"/>
    <cellStyle name="输出 2" xfId="48897"/>
    <cellStyle name="输出 2 2" xfId="48898"/>
    <cellStyle name="输出 2 2 2" xfId="48899"/>
    <cellStyle name="输出 2 2 3" xfId="48900"/>
    <cellStyle name="输出 2 2 4" xfId="48901"/>
    <cellStyle name="输出 2 2_副本EBMP-信息科技部应用开发项目程序投产需求清单-20130425-01" xfId="12106"/>
    <cellStyle name="输出 2 3" xfId="48902"/>
    <cellStyle name="输出 2 4" xfId="48903"/>
    <cellStyle name="输出 2 5" xfId="48904"/>
    <cellStyle name="输出 2 6" xfId="48905"/>
    <cellStyle name="输出 2 7" xfId="48906"/>
    <cellStyle name="输出 3" xfId="48907"/>
    <cellStyle name="输出 4" xfId="48908"/>
    <cellStyle name="输入 2" xfId="48909"/>
    <cellStyle name="输入 2 2" xfId="48910"/>
    <cellStyle name="输入 2 2 2" xfId="48911"/>
    <cellStyle name="输入 2 2 3" xfId="48912"/>
    <cellStyle name="输入 2 2 4" xfId="15844"/>
    <cellStyle name="输入 2 2_副本EBMP-信息科技部应用开发项目程序投产需求清单-20130425-01" xfId="48913"/>
    <cellStyle name="输入 2 3" xfId="48914"/>
    <cellStyle name="输入 2 4" xfId="48915"/>
    <cellStyle name="输入 2 5" xfId="48916"/>
    <cellStyle name="输入 2 6" xfId="48917"/>
    <cellStyle name="输入 2 7" xfId="4044"/>
    <cellStyle name="输入 3" xfId="48918"/>
    <cellStyle name="输入 4" xfId="48919"/>
    <cellStyle name="样式 1" xfId="48920"/>
    <cellStyle name="样式 1 2" xfId="48921"/>
    <cellStyle name="样式 1 3" xfId="11454"/>
    <cellStyle name="样式 1 4" xfId="11457"/>
    <cellStyle name="注释 2" xfId="24426"/>
    <cellStyle name="注释 2 2" xfId="31608"/>
    <cellStyle name="注释 2 2 2" xfId="45155"/>
    <cellStyle name="注释 2 2 2 2" xfId="48922"/>
    <cellStyle name="注释 2 2 2 3" xfId="48923"/>
    <cellStyle name="注释 2 2 3" xfId="45157"/>
    <cellStyle name="注释 2 2 4" xfId="48924"/>
    <cellStyle name="注释 2 3" xfId="48925"/>
    <cellStyle name="注释 2 4" xfId="48926"/>
    <cellStyle name="注释 2 5" xfId="48927"/>
    <cellStyle name="注释 2 6" xfId="48928"/>
    <cellStyle name="注释 3" xfId="33260"/>
    <cellStyle name="注释 4" xfId="33263"/>
  </cellStyles>
  <dxfs count="61">
    <dxf>
      <fill>
        <patternFill>
          <bgColor indexed="10"/>
        </patternFill>
      </fill>
    </dxf>
    <dxf>
      <fill>
        <patternFill>
          <bgColor indexed="55"/>
        </patternFill>
      </fill>
    </dxf>
    <dxf>
      <fill>
        <patternFill>
          <bgColor indexed="11"/>
        </patternFill>
      </fill>
    </dxf>
    <dxf>
      <fill>
        <patternFill>
          <bgColor indexed="10"/>
        </patternFill>
      </fill>
    </dxf>
    <dxf>
      <fill>
        <patternFill>
          <bgColor indexed="55"/>
        </patternFill>
      </fill>
    </dxf>
    <dxf>
      <fill>
        <patternFill>
          <bgColor indexed="11"/>
        </patternFill>
      </fill>
    </dxf>
    <dxf>
      <fill>
        <patternFill>
          <bgColor indexed="10"/>
        </patternFill>
      </fill>
    </dxf>
    <dxf>
      <fill>
        <patternFill>
          <bgColor indexed="55"/>
        </patternFill>
      </fill>
    </dxf>
    <dxf>
      <fill>
        <patternFill>
          <bgColor indexed="11"/>
        </patternFill>
      </fill>
    </dxf>
    <dxf>
      <fill>
        <patternFill>
          <bgColor indexed="10"/>
        </patternFill>
      </fill>
    </dxf>
    <dxf>
      <fill>
        <patternFill>
          <bgColor indexed="55"/>
        </patternFill>
      </fill>
    </dxf>
    <dxf>
      <fill>
        <patternFill>
          <bgColor indexed="11"/>
        </patternFill>
      </fill>
    </dxf>
    <dxf>
      <fill>
        <patternFill>
          <bgColor indexed="10"/>
        </patternFill>
      </fill>
    </dxf>
    <dxf>
      <fill>
        <patternFill>
          <bgColor indexed="55"/>
        </patternFill>
      </fill>
    </dxf>
    <dxf>
      <fill>
        <patternFill>
          <bgColor indexed="11"/>
        </patternFill>
      </fill>
    </dxf>
    <dxf>
      <fill>
        <patternFill>
          <bgColor indexed="10"/>
        </patternFill>
      </fill>
    </dxf>
    <dxf>
      <fill>
        <patternFill>
          <bgColor indexed="55"/>
        </patternFill>
      </fill>
    </dxf>
    <dxf>
      <fill>
        <patternFill>
          <bgColor indexed="11"/>
        </patternFill>
      </fill>
    </dxf>
    <dxf>
      <fill>
        <patternFill>
          <bgColor indexed="10"/>
        </patternFill>
      </fill>
    </dxf>
    <dxf>
      <fill>
        <patternFill>
          <bgColor indexed="55"/>
        </patternFill>
      </fill>
    </dxf>
    <dxf>
      <fill>
        <patternFill>
          <bgColor indexed="11"/>
        </patternFill>
      </fill>
    </dxf>
    <dxf>
      <fill>
        <patternFill>
          <bgColor indexed="10"/>
        </patternFill>
      </fill>
    </dxf>
    <dxf>
      <fill>
        <patternFill>
          <bgColor indexed="55"/>
        </patternFill>
      </fill>
    </dxf>
    <dxf>
      <fill>
        <patternFill>
          <bgColor indexed="11"/>
        </patternFill>
      </fill>
    </dxf>
    <dxf>
      <fill>
        <patternFill>
          <bgColor indexed="10"/>
        </patternFill>
      </fill>
    </dxf>
    <dxf>
      <fill>
        <patternFill>
          <bgColor indexed="55"/>
        </patternFill>
      </fill>
    </dxf>
    <dxf>
      <fill>
        <patternFill>
          <bgColor indexed="11"/>
        </patternFill>
      </fill>
    </dxf>
    <dxf>
      <fill>
        <patternFill>
          <bgColor indexed="22"/>
        </patternFill>
      </fill>
    </dxf>
    <dxf>
      <fill>
        <patternFill>
          <bgColor indexed="10"/>
        </patternFill>
      </fill>
    </dxf>
    <dxf>
      <fill>
        <patternFill>
          <bgColor indexed="42"/>
        </patternFill>
      </fill>
    </dxf>
    <dxf>
      <fill>
        <patternFill>
          <bgColor indexed="22"/>
        </patternFill>
      </fill>
    </dxf>
    <dxf>
      <fill>
        <patternFill>
          <bgColor indexed="10"/>
        </patternFill>
      </fill>
    </dxf>
    <dxf>
      <fill>
        <patternFill>
          <bgColor indexed="42"/>
        </patternFill>
      </fill>
    </dxf>
    <dxf>
      <fill>
        <patternFill>
          <bgColor indexed="22"/>
        </patternFill>
      </fill>
    </dxf>
    <dxf>
      <fill>
        <patternFill>
          <bgColor indexed="10"/>
        </patternFill>
      </fill>
    </dxf>
    <dxf>
      <fill>
        <patternFill>
          <bgColor indexed="42"/>
        </patternFill>
      </fill>
    </dxf>
    <dxf>
      <fill>
        <patternFill>
          <bgColor indexed="22"/>
        </patternFill>
      </fill>
    </dxf>
    <dxf>
      <fill>
        <patternFill>
          <bgColor indexed="10"/>
        </patternFill>
      </fill>
    </dxf>
    <dxf>
      <fill>
        <patternFill>
          <bgColor indexed="42"/>
        </patternFill>
      </fill>
    </dxf>
    <dxf>
      <fill>
        <patternFill>
          <bgColor indexed="22"/>
        </patternFill>
      </fill>
    </dxf>
    <dxf>
      <fill>
        <patternFill>
          <bgColor indexed="10"/>
        </patternFill>
      </fill>
    </dxf>
    <dxf>
      <fill>
        <patternFill>
          <bgColor indexed="42"/>
        </patternFill>
      </fill>
    </dxf>
    <dxf>
      <fill>
        <patternFill>
          <bgColor indexed="22"/>
        </patternFill>
      </fill>
    </dxf>
    <dxf>
      <fill>
        <patternFill>
          <bgColor indexed="10"/>
        </patternFill>
      </fill>
    </dxf>
    <dxf>
      <fill>
        <patternFill>
          <bgColor indexed="42"/>
        </patternFill>
      </fill>
    </dxf>
    <dxf>
      <fill>
        <patternFill>
          <bgColor indexed="22"/>
        </patternFill>
      </fill>
    </dxf>
    <dxf>
      <fill>
        <patternFill>
          <bgColor indexed="10"/>
        </patternFill>
      </fill>
    </dxf>
    <dxf>
      <fill>
        <patternFill>
          <bgColor indexed="42"/>
        </patternFill>
      </fill>
    </dxf>
    <dxf>
      <fill>
        <patternFill>
          <bgColor indexed="10"/>
        </patternFill>
      </fill>
    </dxf>
    <dxf>
      <fill>
        <patternFill>
          <bgColor indexed="55"/>
        </patternFill>
      </fill>
    </dxf>
    <dxf>
      <fill>
        <patternFill>
          <bgColor indexed="11"/>
        </patternFill>
      </fill>
    </dxf>
    <dxf>
      <fill>
        <patternFill>
          <bgColor indexed="10"/>
        </patternFill>
      </fill>
    </dxf>
    <dxf>
      <fill>
        <patternFill>
          <bgColor indexed="55"/>
        </patternFill>
      </fill>
    </dxf>
    <dxf>
      <fill>
        <patternFill>
          <bgColor indexed="11"/>
        </patternFill>
      </fill>
    </dxf>
    <dxf>
      <fill>
        <patternFill>
          <bgColor indexed="10"/>
        </patternFill>
      </fill>
    </dxf>
    <dxf>
      <fill>
        <patternFill>
          <bgColor indexed="55"/>
        </patternFill>
      </fill>
    </dxf>
    <dxf>
      <fill>
        <patternFill>
          <bgColor indexed="11"/>
        </patternFill>
      </fill>
    </dxf>
    <dxf>
      <fill>
        <patternFill>
          <bgColor indexed="22"/>
        </patternFill>
      </fill>
    </dxf>
    <dxf>
      <fill>
        <patternFill>
          <bgColor indexed="10"/>
        </patternFill>
      </fill>
    </dxf>
    <dxf>
      <fill>
        <patternFill>
          <bgColor indexed="42"/>
        </patternFill>
      </fill>
    </dxf>
    <dxf>
      <font>
        <color rgb="FFFF0000"/>
      </font>
    </dxf>
  </dxfs>
  <tableStyles count="0" defaultTableStyle="TableStyleMedium2"/>
  <colors>
    <mruColors>
      <color rgb="FFFF00FF"/>
      <color rgb="FFFFFF99"/>
      <color rgb="FFFF99CC"/>
      <color rgb="FFDCE6F1"/>
      <color rgb="FFD4FB9F"/>
      <color rgb="FFFF66CC"/>
      <color rgb="FFFF6699"/>
      <color rgb="FFEFFEDA"/>
      <color rgb="FFE8FDCB"/>
      <color rgb="FFE1FCB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200"/>
          </a:pPr>
          <a:endParaRPr lang="zh-CN"/>
        </a:p>
      </c:txPr>
    </c:title>
    <c:autoTitleDeleted val="0"/>
    <c:plotArea>
      <c:layout/>
      <c:barChart>
        <c:barDir val="col"/>
        <c:grouping val="clustered"/>
        <c:varyColors val="0"/>
        <c:ser>
          <c:idx val="0"/>
          <c:order val="0"/>
          <c:tx>
            <c:strRef>
              <c:f>度量指标!$AB$4</c:f>
              <c:strCache>
                <c:ptCount val="1"/>
                <c:pt idx="0">
                  <c:v>过程符合度</c:v>
                </c:pt>
              </c:strCache>
            </c:strRef>
          </c:tx>
          <c:invertIfNegative val="0"/>
          <c:cat>
            <c:strRef>
              <c:f>度量指标!$A$5:$A$13</c:f>
              <c:strCache>
                <c:ptCount val="9"/>
                <c:pt idx="0">
                  <c:v>迭代1</c:v>
                </c:pt>
                <c:pt idx="1">
                  <c:v>迭代2</c:v>
                </c:pt>
                <c:pt idx="2">
                  <c:v>迭代3</c:v>
                </c:pt>
                <c:pt idx="3">
                  <c:v>迭代4</c:v>
                </c:pt>
                <c:pt idx="4">
                  <c:v>迭代5</c:v>
                </c:pt>
                <c:pt idx="5">
                  <c:v>迭代6</c:v>
                </c:pt>
                <c:pt idx="6">
                  <c:v>迭代7</c:v>
                </c:pt>
                <c:pt idx="7">
                  <c:v>迭代8</c:v>
                </c:pt>
                <c:pt idx="8">
                  <c:v>迭代9</c:v>
                </c:pt>
              </c:strCache>
            </c:strRef>
          </c:cat>
          <c:val>
            <c:numRef>
              <c:f>度量指标!$AB$5:$AB$13</c:f>
              <c:numCache>
                <c:formatCode>0.00%</c:formatCode>
                <c:ptCount val="9"/>
                <c:pt idx="0">
                  <c:v>0.76923076923076916</c:v>
                </c:pt>
                <c:pt idx="1">
                  <c:v>1</c:v>
                </c:pt>
                <c:pt idx="2">
                  <c:v>1</c:v>
                </c:pt>
                <c:pt idx="3">
                  <c:v>0.84</c:v>
                </c:pt>
                <c:pt idx="4">
                  <c:v>0</c:v>
                </c:pt>
                <c:pt idx="5">
                  <c:v>0</c:v>
                </c:pt>
                <c:pt idx="6">
                  <c:v>0</c:v>
                </c:pt>
                <c:pt idx="7">
                  <c:v>0</c:v>
                </c:pt>
                <c:pt idx="8">
                  <c:v>0</c:v>
                </c:pt>
              </c:numCache>
            </c:numRef>
          </c:val>
        </c:ser>
        <c:dLbls>
          <c:showLegendKey val="0"/>
          <c:showVal val="0"/>
          <c:showCatName val="0"/>
          <c:showSerName val="0"/>
          <c:showPercent val="0"/>
          <c:showBubbleSize val="0"/>
        </c:dLbls>
        <c:gapWidth val="150"/>
        <c:axId val="393064448"/>
        <c:axId val="393065984"/>
      </c:barChart>
      <c:catAx>
        <c:axId val="393064448"/>
        <c:scaling>
          <c:orientation val="minMax"/>
        </c:scaling>
        <c:delete val="0"/>
        <c:axPos val="b"/>
        <c:majorTickMark val="out"/>
        <c:minorTickMark val="none"/>
        <c:tickLblPos val="nextTo"/>
        <c:crossAx val="393065984"/>
        <c:crosses val="autoZero"/>
        <c:auto val="1"/>
        <c:lblAlgn val="ctr"/>
        <c:lblOffset val="100"/>
        <c:noMultiLvlLbl val="0"/>
      </c:catAx>
      <c:valAx>
        <c:axId val="393065984"/>
        <c:scaling>
          <c:orientation val="minMax"/>
        </c:scaling>
        <c:delete val="0"/>
        <c:axPos val="l"/>
        <c:majorGridlines/>
        <c:numFmt formatCode="0.00%" sourceLinked="1"/>
        <c:majorTickMark val="out"/>
        <c:minorTickMark val="none"/>
        <c:tickLblPos val="nextTo"/>
        <c:crossAx val="393064448"/>
        <c:crosses val="autoZero"/>
        <c:crossBetween val="between"/>
      </c:valAx>
    </c:plotArea>
    <c:plotVisOnly val="1"/>
    <c:dispBlanksAs val="gap"/>
    <c:showDLblsOverMax val="0"/>
  </c:chart>
  <c:txPr>
    <a:bodyPr/>
    <a:lstStyle/>
    <a:p>
      <a:pPr>
        <a:defRPr>
          <a:latin typeface="微软雅黑" panose="020B0503020204020204" pitchFamily="34" charset="-122"/>
          <a:ea typeface="微软雅黑" panose="020B0503020204020204" pitchFamily="34" charset="-122"/>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200"/>
          </a:pPr>
          <a:endParaRPr lang="zh-CN"/>
        </a:p>
      </c:txPr>
    </c:title>
    <c:autoTitleDeleted val="0"/>
    <c:plotArea>
      <c:layout/>
      <c:lineChart>
        <c:grouping val="standard"/>
        <c:varyColors val="0"/>
        <c:ser>
          <c:idx val="0"/>
          <c:order val="0"/>
          <c:tx>
            <c:strRef>
              <c:f>度量指标!$Y$4</c:f>
              <c:strCache>
                <c:ptCount val="1"/>
                <c:pt idx="0">
                  <c:v>交付前检出缺陷占比</c:v>
                </c:pt>
              </c:strCache>
            </c:strRef>
          </c:tx>
          <c:marker>
            <c:symbol val="none"/>
          </c:marker>
          <c:cat>
            <c:strRef>
              <c:f>度量指标!$A$5:$A$13</c:f>
              <c:strCache>
                <c:ptCount val="9"/>
                <c:pt idx="0">
                  <c:v>迭代1</c:v>
                </c:pt>
                <c:pt idx="1">
                  <c:v>迭代2</c:v>
                </c:pt>
                <c:pt idx="2">
                  <c:v>迭代3</c:v>
                </c:pt>
                <c:pt idx="3">
                  <c:v>迭代4</c:v>
                </c:pt>
                <c:pt idx="4">
                  <c:v>迭代5</c:v>
                </c:pt>
                <c:pt idx="5">
                  <c:v>迭代6</c:v>
                </c:pt>
                <c:pt idx="6">
                  <c:v>迭代7</c:v>
                </c:pt>
                <c:pt idx="7">
                  <c:v>迭代8</c:v>
                </c:pt>
                <c:pt idx="8">
                  <c:v>迭代9</c:v>
                </c:pt>
              </c:strCache>
            </c:strRef>
          </c:cat>
          <c:val>
            <c:numRef>
              <c:f>度量指标!$Y$5:$Y$13</c:f>
              <c:numCache>
                <c:formatCode>0.00%</c:formatCode>
                <c:ptCount val="9"/>
                <c:pt idx="0">
                  <c:v>0</c:v>
                </c:pt>
                <c:pt idx="1">
                  <c:v>1</c:v>
                </c:pt>
                <c:pt idx="2">
                  <c:v>0</c:v>
                </c:pt>
                <c:pt idx="3">
                  <c:v>1</c:v>
                </c:pt>
                <c:pt idx="4">
                  <c:v>0</c:v>
                </c:pt>
                <c:pt idx="5">
                  <c:v>0</c:v>
                </c:pt>
                <c:pt idx="6">
                  <c:v>0</c:v>
                </c:pt>
                <c:pt idx="7">
                  <c:v>0</c:v>
                </c:pt>
                <c:pt idx="8">
                  <c:v>0</c:v>
                </c:pt>
              </c:numCache>
            </c:numRef>
          </c:val>
          <c:smooth val="0"/>
        </c:ser>
        <c:dLbls>
          <c:showLegendKey val="0"/>
          <c:showVal val="0"/>
          <c:showCatName val="0"/>
          <c:showSerName val="0"/>
          <c:showPercent val="0"/>
          <c:showBubbleSize val="0"/>
        </c:dLbls>
        <c:marker val="1"/>
        <c:smooth val="0"/>
        <c:axId val="393078272"/>
        <c:axId val="393079808"/>
      </c:lineChart>
      <c:catAx>
        <c:axId val="393078272"/>
        <c:scaling>
          <c:orientation val="minMax"/>
        </c:scaling>
        <c:delete val="0"/>
        <c:axPos val="b"/>
        <c:majorTickMark val="out"/>
        <c:minorTickMark val="none"/>
        <c:tickLblPos val="nextTo"/>
        <c:crossAx val="393079808"/>
        <c:crosses val="autoZero"/>
        <c:auto val="1"/>
        <c:lblAlgn val="ctr"/>
        <c:lblOffset val="100"/>
        <c:noMultiLvlLbl val="0"/>
      </c:catAx>
      <c:valAx>
        <c:axId val="393079808"/>
        <c:scaling>
          <c:orientation val="minMax"/>
        </c:scaling>
        <c:delete val="0"/>
        <c:axPos val="l"/>
        <c:majorGridlines/>
        <c:numFmt formatCode="0.00%" sourceLinked="1"/>
        <c:majorTickMark val="out"/>
        <c:minorTickMark val="none"/>
        <c:tickLblPos val="nextTo"/>
        <c:crossAx val="393078272"/>
        <c:crosses val="autoZero"/>
        <c:crossBetween val="between"/>
      </c:valAx>
    </c:plotArea>
    <c:plotVisOnly val="1"/>
    <c:dispBlanksAs val="gap"/>
    <c:showDLblsOverMax val="0"/>
  </c:chart>
  <c:txPr>
    <a:bodyPr/>
    <a:lstStyle/>
    <a:p>
      <a:pPr>
        <a:defRPr>
          <a:latin typeface="微软雅黑" panose="020B0503020204020204" pitchFamily="34" charset="-122"/>
          <a:ea typeface="微软雅黑" panose="020B0503020204020204" pitchFamily="34" charset="-122"/>
        </a:defRPr>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200"/>
          </a:pPr>
          <a:endParaRPr lang="zh-CN"/>
        </a:p>
      </c:txPr>
    </c:title>
    <c:autoTitleDeleted val="0"/>
    <c:plotArea>
      <c:layout/>
      <c:lineChart>
        <c:grouping val="standard"/>
        <c:varyColors val="0"/>
        <c:ser>
          <c:idx val="0"/>
          <c:order val="0"/>
          <c:tx>
            <c:strRef>
              <c:f>度量指标!$Z$4</c:f>
              <c:strCache>
                <c:ptCount val="1"/>
                <c:pt idx="0">
                  <c:v>交付后检出缺陷占比</c:v>
                </c:pt>
              </c:strCache>
            </c:strRef>
          </c:tx>
          <c:marker>
            <c:symbol val="none"/>
          </c:marker>
          <c:cat>
            <c:strRef>
              <c:f>度量指标!$A$5:$A$13</c:f>
              <c:strCache>
                <c:ptCount val="9"/>
                <c:pt idx="0">
                  <c:v>迭代1</c:v>
                </c:pt>
                <c:pt idx="1">
                  <c:v>迭代2</c:v>
                </c:pt>
                <c:pt idx="2">
                  <c:v>迭代3</c:v>
                </c:pt>
                <c:pt idx="3">
                  <c:v>迭代4</c:v>
                </c:pt>
                <c:pt idx="4">
                  <c:v>迭代5</c:v>
                </c:pt>
                <c:pt idx="5">
                  <c:v>迭代6</c:v>
                </c:pt>
                <c:pt idx="6">
                  <c:v>迭代7</c:v>
                </c:pt>
                <c:pt idx="7">
                  <c:v>迭代8</c:v>
                </c:pt>
                <c:pt idx="8">
                  <c:v>迭代9</c:v>
                </c:pt>
              </c:strCache>
            </c:strRef>
          </c:cat>
          <c:val>
            <c:numRef>
              <c:f>度量指标!$Z$5:$Z$13</c:f>
              <c:numCache>
                <c:formatCode>0.00%</c:formatCode>
                <c:ptCount val="9"/>
                <c:pt idx="0">
                  <c:v>0</c:v>
                </c:pt>
                <c:pt idx="1">
                  <c:v>0</c:v>
                </c:pt>
                <c:pt idx="2">
                  <c:v>0</c:v>
                </c:pt>
                <c:pt idx="3">
                  <c:v>0</c:v>
                </c:pt>
                <c:pt idx="4">
                  <c:v>0</c:v>
                </c:pt>
                <c:pt idx="5">
                  <c:v>0</c:v>
                </c:pt>
                <c:pt idx="6">
                  <c:v>0</c:v>
                </c:pt>
                <c:pt idx="7">
                  <c:v>0</c:v>
                </c:pt>
                <c:pt idx="8">
                  <c:v>0</c:v>
                </c:pt>
              </c:numCache>
            </c:numRef>
          </c:val>
          <c:smooth val="0"/>
        </c:ser>
        <c:dLbls>
          <c:showLegendKey val="0"/>
          <c:showVal val="0"/>
          <c:showCatName val="0"/>
          <c:showSerName val="0"/>
          <c:showPercent val="0"/>
          <c:showBubbleSize val="0"/>
        </c:dLbls>
        <c:marker val="1"/>
        <c:smooth val="0"/>
        <c:axId val="393112192"/>
        <c:axId val="393118080"/>
      </c:lineChart>
      <c:catAx>
        <c:axId val="393112192"/>
        <c:scaling>
          <c:orientation val="minMax"/>
        </c:scaling>
        <c:delete val="0"/>
        <c:axPos val="b"/>
        <c:majorTickMark val="out"/>
        <c:minorTickMark val="none"/>
        <c:tickLblPos val="nextTo"/>
        <c:crossAx val="393118080"/>
        <c:crosses val="autoZero"/>
        <c:auto val="1"/>
        <c:lblAlgn val="ctr"/>
        <c:lblOffset val="100"/>
        <c:noMultiLvlLbl val="0"/>
      </c:catAx>
      <c:valAx>
        <c:axId val="393118080"/>
        <c:scaling>
          <c:orientation val="minMax"/>
        </c:scaling>
        <c:delete val="0"/>
        <c:axPos val="l"/>
        <c:majorGridlines/>
        <c:numFmt formatCode="0.00%" sourceLinked="1"/>
        <c:majorTickMark val="out"/>
        <c:minorTickMark val="none"/>
        <c:tickLblPos val="nextTo"/>
        <c:crossAx val="393112192"/>
        <c:crosses val="autoZero"/>
        <c:crossBetween val="between"/>
      </c:valAx>
    </c:plotArea>
    <c:plotVisOnly val="1"/>
    <c:dispBlanksAs val="gap"/>
    <c:showDLblsOverMax val="0"/>
  </c:chart>
  <c:txPr>
    <a:bodyPr/>
    <a:lstStyle/>
    <a:p>
      <a:pPr>
        <a:defRPr>
          <a:latin typeface="微软雅黑" panose="020B0503020204020204" pitchFamily="34" charset="-122"/>
          <a:ea typeface="微软雅黑" panose="020B0503020204020204" pitchFamily="34" charset="-122"/>
        </a:defRPr>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1923725247391769"/>
          <c:y val="2.4545663631637234E-2"/>
        </c:manualLayout>
      </c:layout>
      <c:overlay val="0"/>
      <c:txPr>
        <a:bodyPr/>
        <a:lstStyle/>
        <a:p>
          <a:pPr>
            <a:defRPr sz="1200"/>
          </a:pPr>
          <a:endParaRPr lang="zh-CN"/>
        </a:p>
      </c:txPr>
    </c:title>
    <c:autoTitleDeleted val="0"/>
    <c:plotArea>
      <c:layout/>
      <c:lineChart>
        <c:grouping val="standard"/>
        <c:varyColors val="0"/>
        <c:ser>
          <c:idx val="0"/>
          <c:order val="0"/>
          <c:tx>
            <c:strRef>
              <c:f>度量指标!$B$4</c:f>
              <c:strCache>
                <c:ptCount val="1"/>
                <c:pt idx="0">
                  <c:v>迭代交付率
</c:v>
                </c:pt>
              </c:strCache>
            </c:strRef>
          </c:tx>
          <c:marker>
            <c:symbol val="none"/>
          </c:marker>
          <c:cat>
            <c:strRef>
              <c:f>度量指标!$A$5:$A$13</c:f>
              <c:strCache>
                <c:ptCount val="9"/>
                <c:pt idx="0">
                  <c:v>迭代1</c:v>
                </c:pt>
                <c:pt idx="1">
                  <c:v>迭代2</c:v>
                </c:pt>
                <c:pt idx="2">
                  <c:v>迭代3</c:v>
                </c:pt>
                <c:pt idx="3">
                  <c:v>迭代4</c:v>
                </c:pt>
                <c:pt idx="4">
                  <c:v>迭代5</c:v>
                </c:pt>
                <c:pt idx="5">
                  <c:v>迭代6</c:v>
                </c:pt>
                <c:pt idx="6">
                  <c:v>迭代7</c:v>
                </c:pt>
                <c:pt idx="7">
                  <c:v>迭代8</c:v>
                </c:pt>
                <c:pt idx="8">
                  <c:v>迭代9</c:v>
                </c:pt>
              </c:strCache>
            </c:strRef>
          </c:cat>
          <c:val>
            <c:numRef>
              <c:f>度量指标!$B$5:$B$13</c:f>
              <c:numCache>
                <c:formatCode>0.00%</c:formatCode>
                <c:ptCount val="9"/>
                <c:pt idx="0">
                  <c:v>0</c:v>
                </c:pt>
                <c:pt idx="1">
                  <c:v>1.0185185185185186</c:v>
                </c:pt>
                <c:pt idx="2">
                  <c:v>0</c:v>
                </c:pt>
                <c:pt idx="3">
                  <c:v>1</c:v>
                </c:pt>
                <c:pt idx="4">
                  <c:v>0</c:v>
                </c:pt>
                <c:pt idx="5">
                  <c:v>0</c:v>
                </c:pt>
                <c:pt idx="6">
                  <c:v>0</c:v>
                </c:pt>
                <c:pt idx="7">
                  <c:v>0</c:v>
                </c:pt>
                <c:pt idx="8">
                  <c:v>0</c:v>
                </c:pt>
              </c:numCache>
            </c:numRef>
          </c:val>
          <c:smooth val="0"/>
        </c:ser>
        <c:dLbls>
          <c:showLegendKey val="0"/>
          <c:showVal val="0"/>
          <c:showCatName val="0"/>
          <c:showSerName val="0"/>
          <c:showPercent val="0"/>
          <c:showBubbleSize val="0"/>
        </c:dLbls>
        <c:marker val="1"/>
        <c:smooth val="0"/>
        <c:axId val="393142272"/>
        <c:axId val="393143808"/>
      </c:lineChart>
      <c:catAx>
        <c:axId val="393142272"/>
        <c:scaling>
          <c:orientation val="minMax"/>
        </c:scaling>
        <c:delete val="0"/>
        <c:axPos val="b"/>
        <c:majorTickMark val="out"/>
        <c:minorTickMark val="none"/>
        <c:tickLblPos val="nextTo"/>
        <c:crossAx val="393143808"/>
        <c:crosses val="autoZero"/>
        <c:auto val="1"/>
        <c:lblAlgn val="ctr"/>
        <c:lblOffset val="100"/>
        <c:noMultiLvlLbl val="0"/>
      </c:catAx>
      <c:valAx>
        <c:axId val="393143808"/>
        <c:scaling>
          <c:orientation val="minMax"/>
        </c:scaling>
        <c:delete val="0"/>
        <c:axPos val="l"/>
        <c:majorGridlines/>
        <c:numFmt formatCode="0.00%" sourceLinked="1"/>
        <c:majorTickMark val="out"/>
        <c:minorTickMark val="none"/>
        <c:tickLblPos val="nextTo"/>
        <c:crossAx val="393142272"/>
        <c:crosses val="autoZero"/>
        <c:crossBetween val="between"/>
      </c:valAx>
    </c:plotArea>
    <c:plotVisOnly val="1"/>
    <c:dispBlanksAs val="gap"/>
    <c:showDLblsOverMax val="0"/>
  </c:chart>
  <c:txPr>
    <a:bodyPr/>
    <a:lstStyle/>
    <a:p>
      <a:pPr>
        <a:defRPr>
          <a:latin typeface="微软雅黑" panose="020B0503020204020204" pitchFamily="34" charset="-122"/>
          <a:ea typeface="微软雅黑" panose="020B0503020204020204" pitchFamily="34" charset="-122"/>
        </a:defRPr>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200"/>
          </a:pPr>
          <a:endParaRPr lang="zh-CN"/>
        </a:p>
      </c:txPr>
    </c:title>
    <c:autoTitleDeleted val="0"/>
    <c:plotArea>
      <c:layout/>
      <c:lineChart>
        <c:grouping val="standard"/>
        <c:varyColors val="0"/>
        <c:ser>
          <c:idx val="0"/>
          <c:order val="0"/>
          <c:tx>
            <c:strRef>
              <c:f>度量指标!$E$4</c:f>
              <c:strCache>
                <c:ptCount val="1"/>
                <c:pt idx="0">
                  <c:v>有效实际投入工作量
</c:v>
                </c:pt>
              </c:strCache>
            </c:strRef>
          </c:tx>
          <c:marker>
            <c:symbol val="none"/>
          </c:marker>
          <c:cat>
            <c:strRef>
              <c:f>度量指标!$A$5:$A$13</c:f>
              <c:strCache>
                <c:ptCount val="9"/>
                <c:pt idx="0">
                  <c:v>迭代1</c:v>
                </c:pt>
                <c:pt idx="1">
                  <c:v>迭代2</c:v>
                </c:pt>
                <c:pt idx="2">
                  <c:v>迭代3</c:v>
                </c:pt>
                <c:pt idx="3">
                  <c:v>迭代4</c:v>
                </c:pt>
                <c:pt idx="4">
                  <c:v>迭代5</c:v>
                </c:pt>
                <c:pt idx="5">
                  <c:v>迭代6</c:v>
                </c:pt>
                <c:pt idx="6">
                  <c:v>迭代7</c:v>
                </c:pt>
                <c:pt idx="7">
                  <c:v>迭代8</c:v>
                </c:pt>
                <c:pt idx="8">
                  <c:v>迭代9</c:v>
                </c:pt>
              </c:strCache>
            </c:strRef>
          </c:cat>
          <c:val>
            <c:numRef>
              <c:f>度量指标!$E$5:$E$13</c:f>
              <c:numCache>
                <c:formatCode>0.00%</c:formatCode>
                <c:ptCount val="9"/>
                <c:pt idx="0">
                  <c:v>0</c:v>
                </c:pt>
                <c:pt idx="1">
                  <c:v>0.77815515245079125</c:v>
                </c:pt>
                <c:pt idx="2">
                  <c:v>0</c:v>
                </c:pt>
                <c:pt idx="3">
                  <c:v>0</c:v>
                </c:pt>
                <c:pt idx="4">
                  <c:v>0</c:v>
                </c:pt>
                <c:pt idx="5">
                  <c:v>0</c:v>
                </c:pt>
                <c:pt idx="6">
                  <c:v>0</c:v>
                </c:pt>
                <c:pt idx="7">
                  <c:v>0</c:v>
                </c:pt>
                <c:pt idx="8">
                  <c:v>0</c:v>
                </c:pt>
              </c:numCache>
            </c:numRef>
          </c:val>
          <c:smooth val="0"/>
        </c:ser>
        <c:dLbls>
          <c:showLegendKey val="0"/>
          <c:showVal val="0"/>
          <c:showCatName val="0"/>
          <c:showSerName val="0"/>
          <c:showPercent val="0"/>
          <c:showBubbleSize val="0"/>
        </c:dLbls>
        <c:marker val="1"/>
        <c:smooth val="0"/>
        <c:axId val="393159808"/>
        <c:axId val="393161344"/>
      </c:lineChart>
      <c:catAx>
        <c:axId val="393159808"/>
        <c:scaling>
          <c:orientation val="minMax"/>
        </c:scaling>
        <c:delete val="0"/>
        <c:axPos val="b"/>
        <c:majorTickMark val="out"/>
        <c:minorTickMark val="none"/>
        <c:tickLblPos val="nextTo"/>
        <c:crossAx val="393161344"/>
        <c:crosses val="autoZero"/>
        <c:auto val="1"/>
        <c:lblAlgn val="ctr"/>
        <c:lblOffset val="100"/>
        <c:noMultiLvlLbl val="0"/>
      </c:catAx>
      <c:valAx>
        <c:axId val="393161344"/>
        <c:scaling>
          <c:orientation val="minMax"/>
        </c:scaling>
        <c:delete val="0"/>
        <c:axPos val="l"/>
        <c:majorGridlines/>
        <c:numFmt formatCode="0.00%" sourceLinked="1"/>
        <c:majorTickMark val="out"/>
        <c:minorTickMark val="none"/>
        <c:tickLblPos val="nextTo"/>
        <c:crossAx val="393159808"/>
        <c:crosses val="autoZero"/>
        <c:crossBetween val="between"/>
      </c:valAx>
    </c:plotArea>
    <c:plotVisOnly val="1"/>
    <c:dispBlanksAs val="gap"/>
    <c:showDLblsOverMax val="0"/>
  </c:chart>
  <c:txPr>
    <a:bodyPr/>
    <a:lstStyle/>
    <a:p>
      <a:pPr>
        <a:defRPr>
          <a:latin typeface="微软雅黑" panose="020B0503020204020204" pitchFamily="34" charset="-122"/>
          <a:ea typeface="微软雅黑" panose="020B0503020204020204" pitchFamily="34" charset="-122"/>
        </a:defRPr>
      </a:pPr>
      <a:endParaRPr lang="zh-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200"/>
          </a:pPr>
          <a:endParaRPr lang="zh-CN"/>
        </a:p>
      </c:txPr>
    </c:title>
    <c:autoTitleDeleted val="0"/>
    <c:plotArea>
      <c:layout/>
      <c:lineChart>
        <c:grouping val="standard"/>
        <c:varyColors val="0"/>
        <c:ser>
          <c:idx val="0"/>
          <c:order val="0"/>
          <c:tx>
            <c:strRef>
              <c:f>度量指标!$F$4</c:f>
              <c:strCache>
                <c:ptCount val="1"/>
                <c:pt idx="0">
                  <c:v>评审检出缺陷密度</c:v>
                </c:pt>
              </c:strCache>
            </c:strRef>
          </c:tx>
          <c:marker>
            <c:symbol val="none"/>
          </c:marker>
          <c:cat>
            <c:strRef>
              <c:f>度量指标!$A$5:$A$13</c:f>
              <c:strCache>
                <c:ptCount val="9"/>
                <c:pt idx="0">
                  <c:v>迭代1</c:v>
                </c:pt>
                <c:pt idx="1">
                  <c:v>迭代2</c:v>
                </c:pt>
                <c:pt idx="2">
                  <c:v>迭代3</c:v>
                </c:pt>
                <c:pt idx="3">
                  <c:v>迭代4</c:v>
                </c:pt>
                <c:pt idx="4">
                  <c:v>迭代5</c:v>
                </c:pt>
                <c:pt idx="5">
                  <c:v>迭代6</c:v>
                </c:pt>
                <c:pt idx="6">
                  <c:v>迭代7</c:v>
                </c:pt>
                <c:pt idx="7">
                  <c:v>迭代8</c:v>
                </c:pt>
                <c:pt idx="8">
                  <c:v>迭代9</c:v>
                </c:pt>
              </c:strCache>
            </c:strRef>
          </c:cat>
          <c:val>
            <c:numRef>
              <c:f>度量指标!$F$5:$F$13</c:f>
              <c:numCache>
                <c:formatCode>0.00_);[Red]\(0.00\)</c:formatCode>
                <c:ptCount val="9"/>
                <c:pt idx="0">
                  <c:v>0</c:v>
                </c:pt>
                <c:pt idx="1">
                  <c:v>0</c:v>
                </c:pt>
                <c:pt idx="2">
                  <c:v>0</c:v>
                </c:pt>
                <c:pt idx="3">
                  <c:v>0</c:v>
                </c:pt>
                <c:pt idx="4">
                  <c:v>0</c:v>
                </c:pt>
                <c:pt idx="5">
                  <c:v>0</c:v>
                </c:pt>
                <c:pt idx="6">
                  <c:v>0</c:v>
                </c:pt>
                <c:pt idx="7">
                  <c:v>0</c:v>
                </c:pt>
                <c:pt idx="8">
                  <c:v>0</c:v>
                </c:pt>
              </c:numCache>
            </c:numRef>
          </c:val>
          <c:smooth val="0"/>
        </c:ser>
        <c:dLbls>
          <c:showLegendKey val="0"/>
          <c:showVal val="0"/>
          <c:showCatName val="0"/>
          <c:showSerName val="0"/>
          <c:showPercent val="0"/>
          <c:showBubbleSize val="0"/>
        </c:dLbls>
        <c:marker val="1"/>
        <c:smooth val="0"/>
        <c:axId val="393173248"/>
        <c:axId val="393175040"/>
      </c:lineChart>
      <c:catAx>
        <c:axId val="393173248"/>
        <c:scaling>
          <c:orientation val="minMax"/>
        </c:scaling>
        <c:delete val="0"/>
        <c:axPos val="b"/>
        <c:majorTickMark val="out"/>
        <c:minorTickMark val="none"/>
        <c:tickLblPos val="nextTo"/>
        <c:crossAx val="393175040"/>
        <c:crosses val="autoZero"/>
        <c:auto val="1"/>
        <c:lblAlgn val="ctr"/>
        <c:lblOffset val="100"/>
        <c:noMultiLvlLbl val="0"/>
      </c:catAx>
      <c:valAx>
        <c:axId val="393175040"/>
        <c:scaling>
          <c:orientation val="minMax"/>
        </c:scaling>
        <c:delete val="0"/>
        <c:axPos val="l"/>
        <c:majorGridlines/>
        <c:numFmt formatCode="0.00_);[Red]\(0.00\)" sourceLinked="1"/>
        <c:majorTickMark val="out"/>
        <c:minorTickMark val="none"/>
        <c:tickLblPos val="nextTo"/>
        <c:crossAx val="393173248"/>
        <c:crosses val="autoZero"/>
        <c:crossBetween val="between"/>
      </c:valAx>
    </c:plotArea>
    <c:plotVisOnly val="1"/>
    <c:dispBlanksAs val="gap"/>
    <c:showDLblsOverMax val="0"/>
  </c:chart>
  <c:txPr>
    <a:bodyPr/>
    <a:lstStyle/>
    <a:p>
      <a:pPr>
        <a:defRPr>
          <a:latin typeface="微软雅黑" panose="020B0503020204020204" pitchFamily="34" charset="-122"/>
          <a:ea typeface="微软雅黑" panose="020B0503020204020204" pitchFamily="34" charset="-122"/>
        </a:defRPr>
      </a:pPr>
      <a:endParaRPr lang="zh-CN"/>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200"/>
          </a:pPr>
          <a:endParaRPr lang="zh-CN"/>
        </a:p>
      </c:txPr>
    </c:title>
    <c:autoTitleDeleted val="0"/>
    <c:plotArea>
      <c:layout/>
      <c:lineChart>
        <c:grouping val="standard"/>
        <c:varyColors val="0"/>
        <c:ser>
          <c:idx val="0"/>
          <c:order val="0"/>
          <c:tx>
            <c:strRef>
              <c:f>度量指标!$H$4</c:f>
              <c:strCache>
                <c:ptCount val="1"/>
                <c:pt idx="0">
                  <c:v>单元测试检出缺陷数密度</c:v>
                </c:pt>
              </c:strCache>
            </c:strRef>
          </c:tx>
          <c:marker>
            <c:symbol val="none"/>
          </c:marker>
          <c:cat>
            <c:strRef>
              <c:f>度量指标!$A$5:$A$13</c:f>
              <c:strCache>
                <c:ptCount val="9"/>
                <c:pt idx="0">
                  <c:v>迭代1</c:v>
                </c:pt>
                <c:pt idx="1">
                  <c:v>迭代2</c:v>
                </c:pt>
                <c:pt idx="2">
                  <c:v>迭代3</c:v>
                </c:pt>
                <c:pt idx="3">
                  <c:v>迭代4</c:v>
                </c:pt>
                <c:pt idx="4">
                  <c:v>迭代5</c:v>
                </c:pt>
                <c:pt idx="5">
                  <c:v>迭代6</c:v>
                </c:pt>
                <c:pt idx="6">
                  <c:v>迭代7</c:v>
                </c:pt>
                <c:pt idx="7">
                  <c:v>迭代8</c:v>
                </c:pt>
                <c:pt idx="8">
                  <c:v>迭代9</c:v>
                </c:pt>
              </c:strCache>
            </c:strRef>
          </c:cat>
          <c:val>
            <c:numRef>
              <c:f>度量指标!$H$5:$H$13</c:f>
              <c:numCache>
                <c:formatCode>0.00_);[Red]\(0.00\)</c:formatCode>
                <c:ptCount val="9"/>
                <c:pt idx="0">
                  <c:v>0</c:v>
                </c:pt>
                <c:pt idx="1">
                  <c:v>0</c:v>
                </c:pt>
                <c:pt idx="2">
                  <c:v>0</c:v>
                </c:pt>
                <c:pt idx="3">
                  <c:v>0</c:v>
                </c:pt>
                <c:pt idx="4">
                  <c:v>0</c:v>
                </c:pt>
                <c:pt idx="5">
                  <c:v>0</c:v>
                </c:pt>
                <c:pt idx="6">
                  <c:v>0</c:v>
                </c:pt>
                <c:pt idx="7">
                  <c:v>0</c:v>
                </c:pt>
                <c:pt idx="8">
                  <c:v>0</c:v>
                </c:pt>
              </c:numCache>
            </c:numRef>
          </c:val>
          <c:smooth val="0"/>
        </c:ser>
        <c:dLbls>
          <c:showLegendKey val="0"/>
          <c:showVal val="0"/>
          <c:showCatName val="0"/>
          <c:showSerName val="0"/>
          <c:showPercent val="0"/>
          <c:showBubbleSize val="0"/>
        </c:dLbls>
        <c:marker val="1"/>
        <c:smooth val="0"/>
        <c:axId val="393186688"/>
        <c:axId val="393208960"/>
      </c:lineChart>
      <c:catAx>
        <c:axId val="393186688"/>
        <c:scaling>
          <c:orientation val="minMax"/>
        </c:scaling>
        <c:delete val="0"/>
        <c:axPos val="b"/>
        <c:majorTickMark val="out"/>
        <c:minorTickMark val="none"/>
        <c:tickLblPos val="nextTo"/>
        <c:crossAx val="393208960"/>
        <c:crosses val="autoZero"/>
        <c:auto val="1"/>
        <c:lblAlgn val="ctr"/>
        <c:lblOffset val="100"/>
        <c:noMultiLvlLbl val="0"/>
      </c:catAx>
      <c:valAx>
        <c:axId val="393208960"/>
        <c:scaling>
          <c:orientation val="minMax"/>
        </c:scaling>
        <c:delete val="0"/>
        <c:axPos val="l"/>
        <c:majorGridlines/>
        <c:numFmt formatCode="0.00_);[Red]\(0.00\)" sourceLinked="1"/>
        <c:majorTickMark val="out"/>
        <c:minorTickMark val="none"/>
        <c:tickLblPos val="nextTo"/>
        <c:crossAx val="393186688"/>
        <c:crosses val="autoZero"/>
        <c:crossBetween val="between"/>
      </c:valAx>
    </c:plotArea>
    <c:plotVisOnly val="1"/>
    <c:dispBlanksAs val="gap"/>
    <c:showDLblsOverMax val="0"/>
  </c:chart>
  <c:txPr>
    <a:bodyPr/>
    <a:lstStyle/>
    <a:p>
      <a:pPr>
        <a:defRPr>
          <a:latin typeface="微软雅黑" panose="020B0503020204020204" pitchFamily="34" charset="-122"/>
          <a:ea typeface="微软雅黑" panose="020B0503020204020204" pitchFamily="34" charset="-122"/>
        </a:defRPr>
      </a:pPr>
      <a:endParaRPr lang="zh-CN"/>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200"/>
          </a:pPr>
          <a:endParaRPr lang="zh-CN"/>
        </a:p>
      </c:txPr>
    </c:title>
    <c:autoTitleDeleted val="0"/>
    <c:plotArea>
      <c:layout/>
      <c:lineChart>
        <c:grouping val="standard"/>
        <c:varyColors val="0"/>
        <c:ser>
          <c:idx val="0"/>
          <c:order val="0"/>
          <c:tx>
            <c:strRef>
              <c:f>度量指标!$K$4</c:f>
              <c:strCache>
                <c:ptCount val="1"/>
                <c:pt idx="0">
                  <c:v>系统测试检出缺陷密度</c:v>
                </c:pt>
              </c:strCache>
            </c:strRef>
          </c:tx>
          <c:marker>
            <c:symbol val="none"/>
          </c:marker>
          <c:cat>
            <c:strRef>
              <c:f>度量指标!$A$5:$A$13</c:f>
              <c:strCache>
                <c:ptCount val="9"/>
                <c:pt idx="0">
                  <c:v>迭代1</c:v>
                </c:pt>
                <c:pt idx="1">
                  <c:v>迭代2</c:v>
                </c:pt>
                <c:pt idx="2">
                  <c:v>迭代3</c:v>
                </c:pt>
                <c:pt idx="3">
                  <c:v>迭代4</c:v>
                </c:pt>
                <c:pt idx="4">
                  <c:v>迭代5</c:v>
                </c:pt>
                <c:pt idx="5">
                  <c:v>迭代6</c:v>
                </c:pt>
                <c:pt idx="6">
                  <c:v>迭代7</c:v>
                </c:pt>
                <c:pt idx="7">
                  <c:v>迭代8</c:v>
                </c:pt>
                <c:pt idx="8">
                  <c:v>迭代9</c:v>
                </c:pt>
              </c:strCache>
            </c:strRef>
          </c:cat>
          <c:val>
            <c:numRef>
              <c:f>度量指标!$K$5:$K$13</c:f>
              <c:numCache>
                <c:formatCode>0.00_);[Red]\(0.00\)</c:formatCode>
                <c:ptCount val="9"/>
                <c:pt idx="0">
                  <c:v>0</c:v>
                </c:pt>
                <c:pt idx="1">
                  <c:v>0.50788612240849118</c:v>
                </c:pt>
                <c:pt idx="2">
                  <c:v>0</c:v>
                </c:pt>
                <c:pt idx="3">
                  <c:v>0</c:v>
                </c:pt>
                <c:pt idx="4">
                  <c:v>0</c:v>
                </c:pt>
                <c:pt idx="5">
                  <c:v>0</c:v>
                </c:pt>
                <c:pt idx="6">
                  <c:v>0</c:v>
                </c:pt>
                <c:pt idx="7">
                  <c:v>0</c:v>
                </c:pt>
                <c:pt idx="8">
                  <c:v>0</c:v>
                </c:pt>
              </c:numCache>
            </c:numRef>
          </c:val>
          <c:smooth val="0"/>
        </c:ser>
        <c:dLbls>
          <c:showLegendKey val="0"/>
          <c:showVal val="0"/>
          <c:showCatName val="0"/>
          <c:showSerName val="0"/>
          <c:showPercent val="0"/>
          <c:showBubbleSize val="0"/>
        </c:dLbls>
        <c:marker val="1"/>
        <c:smooth val="0"/>
        <c:axId val="393229056"/>
        <c:axId val="393230592"/>
      </c:lineChart>
      <c:catAx>
        <c:axId val="393229056"/>
        <c:scaling>
          <c:orientation val="minMax"/>
        </c:scaling>
        <c:delete val="0"/>
        <c:axPos val="b"/>
        <c:majorTickMark val="out"/>
        <c:minorTickMark val="none"/>
        <c:tickLblPos val="nextTo"/>
        <c:crossAx val="393230592"/>
        <c:crosses val="autoZero"/>
        <c:auto val="1"/>
        <c:lblAlgn val="ctr"/>
        <c:lblOffset val="100"/>
        <c:noMultiLvlLbl val="0"/>
      </c:catAx>
      <c:valAx>
        <c:axId val="393230592"/>
        <c:scaling>
          <c:orientation val="minMax"/>
        </c:scaling>
        <c:delete val="0"/>
        <c:axPos val="l"/>
        <c:majorGridlines/>
        <c:numFmt formatCode="0.00_);[Red]\(0.00\)" sourceLinked="1"/>
        <c:majorTickMark val="out"/>
        <c:minorTickMark val="none"/>
        <c:tickLblPos val="nextTo"/>
        <c:crossAx val="393229056"/>
        <c:crosses val="autoZero"/>
        <c:crossBetween val="between"/>
      </c:valAx>
    </c:plotArea>
    <c:plotVisOnly val="1"/>
    <c:dispBlanksAs val="gap"/>
    <c:showDLblsOverMax val="0"/>
  </c:chart>
  <c:txPr>
    <a:bodyPr/>
    <a:lstStyle/>
    <a:p>
      <a:pPr>
        <a:defRPr>
          <a:latin typeface="微软雅黑" panose="020B0503020204020204" pitchFamily="34" charset="-122"/>
          <a:ea typeface="微软雅黑" panose="020B0503020204020204" pitchFamily="34" charset="-122"/>
        </a:defRPr>
      </a:pPr>
      <a:endParaRPr lang="zh-CN"/>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200"/>
          </a:pPr>
          <a:endParaRPr lang="zh-CN"/>
        </a:p>
      </c:txPr>
    </c:title>
    <c:autoTitleDeleted val="0"/>
    <c:plotArea>
      <c:layout/>
      <c:lineChart>
        <c:grouping val="standard"/>
        <c:varyColors val="0"/>
        <c:ser>
          <c:idx val="0"/>
          <c:order val="0"/>
          <c:tx>
            <c:strRef>
              <c:f>度量指标!$L$4</c:f>
              <c:strCache>
                <c:ptCount val="1"/>
                <c:pt idx="0">
                  <c:v>系统测试检出严重及致命缺陷占比</c:v>
                </c:pt>
              </c:strCache>
            </c:strRef>
          </c:tx>
          <c:marker>
            <c:symbol val="none"/>
          </c:marker>
          <c:cat>
            <c:strRef>
              <c:f>度量指标!$A$5:$A$13</c:f>
              <c:strCache>
                <c:ptCount val="9"/>
                <c:pt idx="0">
                  <c:v>迭代1</c:v>
                </c:pt>
                <c:pt idx="1">
                  <c:v>迭代2</c:v>
                </c:pt>
                <c:pt idx="2">
                  <c:v>迭代3</c:v>
                </c:pt>
                <c:pt idx="3">
                  <c:v>迭代4</c:v>
                </c:pt>
                <c:pt idx="4">
                  <c:v>迭代5</c:v>
                </c:pt>
                <c:pt idx="5">
                  <c:v>迭代6</c:v>
                </c:pt>
                <c:pt idx="6">
                  <c:v>迭代7</c:v>
                </c:pt>
                <c:pt idx="7">
                  <c:v>迭代8</c:v>
                </c:pt>
                <c:pt idx="8">
                  <c:v>迭代9</c:v>
                </c:pt>
              </c:strCache>
            </c:strRef>
          </c:cat>
          <c:val>
            <c:numRef>
              <c:f>度量指标!$L$5:$L$13</c:f>
              <c:numCache>
                <c:formatCode>0.00%</c:formatCode>
                <c:ptCount val="9"/>
                <c:pt idx="0">
                  <c:v>0</c:v>
                </c:pt>
                <c:pt idx="1">
                  <c:v>0.28515625</c:v>
                </c:pt>
                <c:pt idx="2">
                  <c:v>0</c:v>
                </c:pt>
                <c:pt idx="3">
                  <c:v>0.16513761467889909</c:v>
                </c:pt>
                <c:pt idx="4">
                  <c:v>0</c:v>
                </c:pt>
                <c:pt idx="5">
                  <c:v>0</c:v>
                </c:pt>
                <c:pt idx="6">
                  <c:v>0</c:v>
                </c:pt>
                <c:pt idx="7">
                  <c:v>0</c:v>
                </c:pt>
                <c:pt idx="8">
                  <c:v>0</c:v>
                </c:pt>
              </c:numCache>
            </c:numRef>
          </c:val>
          <c:smooth val="0"/>
        </c:ser>
        <c:dLbls>
          <c:showLegendKey val="0"/>
          <c:showVal val="0"/>
          <c:showCatName val="0"/>
          <c:showSerName val="0"/>
          <c:showPercent val="0"/>
          <c:showBubbleSize val="0"/>
        </c:dLbls>
        <c:marker val="1"/>
        <c:smooth val="0"/>
        <c:axId val="393238400"/>
        <c:axId val="393239936"/>
      </c:lineChart>
      <c:catAx>
        <c:axId val="393238400"/>
        <c:scaling>
          <c:orientation val="minMax"/>
        </c:scaling>
        <c:delete val="0"/>
        <c:axPos val="b"/>
        <c:majorTickMark val="out"/>
        <c:minorTickMark val="none"/>
        <c:tickLblPos val="nextTo"/>
        <c:crossAx val="393239936"/>
        <c:crosses val="autoZero"/>
        <c:auto val="1"/>
        <c:lblAlgn val="ctr"/>
        <c:lblOffset val="100"/>
        <c:noMultiLvlLbl val="0"/>
      </c:catAx>
      <c:valAx>
        <c:axId val="393239936"/>
        <c:scaling>
          <c:orientation val="minMax"/>
        </c:scaling>
        <c:delete val="0"/>
        <c:axPos val="l"/>
        <c:majorGridlines/>
        <c:numFmt formatCode="0.00%" sourceLinked="1"/>
        <c:majorTickMark val="out"/>
        <c:minorTickMark val="none"/>
        <c:tickLblPos val="nextTo"/>
        <c:crossAx val="393238400"/>
        <c:crosses val="autoZero"/>
        <c:crossBetween val="between"/>
      </c:valAx>
    </c:plotArea>
    <c:plotVisOnly val="1"/>
    <c:dispBlanksAs val="gap"/>
    <c:showDLblsOverMax val="0"/>
  </c:chart>
  <c:txPr>
    <a:bodyPr/>
    <a:lstStyle/>
    <a:p>
      <a:pPr>
        <a:defRPr>
          <a:latin typeface="微软雅黑" panose="020B0503020204020204" pitchFamily="34" charset="-122"/>
          <a:ea typeface="微软雅黑" panose="020B0503020204020204" pitchFamily="34" charset="-122"/>
        </a:defRPr>
      </a:pPr>
      <a:endParaRPr lang="zh-CN"/>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200"/>
          </a:pPr>
          <a:endParaRPr lang="zh-CN"/>
        </a:p>
      </c:txPr>
    </c:title>
    <c:autoTitleDeleted val="0"/>
    <c:plotArea>
      <c:layout/>
      <c:lineChart>
        <c:grouping val="standard"/>
        <c:varyColors val="0"/>
        <c:ser>
          <c:idx val="0"/>
          <c:order val="0"/>
          <c:tx>
            <c:strRef>
              <c:f>度量指标!$M$4</c:f>
              <c:strCache>
                <c:ptCount val="1"/>
                <c:pt idx="0">
                  <c:v>系统测试缺陷关闭率</c:v>
                </c:pt>
              </c:strCache>
            </c:strRef>
          </c:tx>
          <c:marker>
            <c:symbol val="none"/>
          </c:marker>
          <c:cat>
            <c:strRef>
              <c:f>度量指标!$A$5:$A$13</c:f>
              <c:strCache>
                <c:ptCount val="9"/>
                <c:pt idx="0">
                  <c:v>迭代1</c:v>
                </c:pt>
                <c:pt idx="1">
                  <c:v>迭代2</c:v>
                </c:pt>
                <c:pt idx="2">
                  <c:v>迭代3</c:v>
                </c:pt>
                <c:pt idx="3">
                  <c:v>迭代4</c:v>
                </c:pt>
                <c:pt idx="4">
                  <c:v>迭代5</c:v>
                </c:pt>
                <c:pt idx="5">
                  <c:v>迭代6</c:v>
                </c:pt>
                <c:pt idx="6">
                  <c:v>迭代7</c:v>
                </c:pt>
                <c:pt idx="7">
                  <c:v>迭代8</c:v>
                </c:pt>
                <c:pt idx="8">
                  <c:v>迭代9</c:v>
                </c:pt>
              </c:strCache>
            </c:strRef>
          </c:cat>
          <c:val>
            <c:numRef>
              <c:f>度量指标!$M$5:$M$13</c:f>
              <c:numCache>
                <c:formatCode>0.00%</c:formatCode>
                <c:ptCount val="9"/>
                <c:pt idx="0">
                  <c:v>0</c:v>
                </c:pt>
                <c:pt idx="1">
                  <c:v>0.90625</c:v>
                </c:pt>
                <c:pt idx="2">
                  <c:v>0</c:v>
                </c:pt>
                <c:pt idx="3">
                  <c:v>0.42201834862385323</c:v>
                </c:pt>
                <c:pt idx="4">
                  <c:v>0</c:v>
                </c:pt>
                <c:pt idx="5">
                  <c:v>0</c:v>
                </c:pt>
                <c:pt idx="6">
                  <c:v>0</c:v>
                </c:pt>
                <c:pt idx="7">
                  <c:v>0</c:v>
                </c:pt>
                <c:pt idx="8">
                  <c:v>0</c:v>
                </c:pt>
              </c:numCache>
            </c:numRef>
          </c:val>
          <c:smooth val="0"/>
        </c:ser>
        <c:dLbls>
          <c:showLegendKey val="0"/>
          <c:showVal val="0"/>
          <c:showCatName val="0"/>
          <c:showSerName val="0"/>
          <c:showPercent val="0"/>
          <c:showBubbleSize val="0"/>
        </c:dLbls>
        <c:marker val="1"/>
        <c:smooth val="0"/>
        <c:axId val="393276416"/>
        <c:axId val="393290496"/>
      </c:lineChart>
      <c:catAx>
        <c:axId val="393276416"/>
        <c:scaling>
          <c:orientation val="minMax"/>
        </c:scaling>
        <c:delete val="0"/>
        <c:axPos val="b"/>
        <c:majorTickMark val="out"/>
        <c:minorTickMark val="none"/>
        <c:tickLblPos val="nextTo"/>
        <c:crossAx val="393290496"/>
        <c:crosses val="autoZero"/>
        <c:auto val="1"/>
        <c:lblAlgn val="ctr"/>
        <c:lblOffset val="100"/>
        <c:noMultiLvlLbl val="0"/>
      </c:catAx>
      <c:valAx>
        <c:axId val="393290496"/>
        <c:scaling>
          <c:orientation val="minMax"/>
        </c:scaling>
        <c:delete val="0"/>
        <c:axPos val="l"/>
        <c:majorGridlines/>
        <c:numFmt formatCode="0.00%" sourceLinked="1"/>
        <c:majorTickMark val="out"/>
        <c:minorTickMark val="none"/>
        <c:tickLblPos val="nextTo"/>
        <c:crossAx val="393276416"/>
        <c:crosses val="autoZero"/>
        <c:crossBetween val="between"/>
      </c:valAx>
    </c:plotArea>
    <c:plotVisOnly val="1"/>
    <c:dispBlanksAs val="gap"/>
    <c:showDLblsOverMax val="0"/>
  </c:chart>
  <c:txPr>
    <a:bodyPr/>
    <a:lstStyle/>
    <a:p>
      <a:pPr>
        <a:defRPr>
          <a:latin typeface="微软雅黑" panose="020B0503020204020204" pitchFamily="34" charset="-122"/>
          <a:ea typeface="微软雅黑" panose="020B0503020204020204" pitchFamily="34" charset="-122"/>
        </a:defRPr>
      </a:pPr>
      <a:endParaRPr lang="zh-CN"/>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200"/>
          </a:pPr>
          <a:endParaRPr lang="zh-CN"/>
        </a:p>
      </c:txPr>
    </c:title>
    <c:autoTitleDeleted val="0"/>
    <c:plotArea>
      <c:layout/>
      <c:lineChart>
        <c:grouping val="standard"/>
        <c:varyColors val="0"/>
        <c:ser>
          <c:idx val="0"/>
          <c:order val="0"/>
          <c:tx>
            <c:strRef>
              <c:f>度量指标!$N$4</c:f>
              <c:strCache>
                <c:ptCount val="1"/>
                <c:pt idx="0">
                  <c:v>系统测试有效率</c:v>
                </c:pt>
              </c:strCache>
            </c:strRef>
          </c:tx>
          <c:marker>
            <c:symbol val="none"/>
          </c:marker>
          <c:cat>
            <c:strRef>
              <c:f>度量指标!$A$5:$A$13</c:f>
              <c:strCache>
                <c:ptCount val="9"/>
                <c:pt idx="0">
                  <c:v>迭代1</c:v>
                </c:pt>
                <c:pt idx="1">
                  <c:v>迭代2</c:v>
                </c:pt>
                <c:pt idx="2">
                  <c:v>迭代3</c:v>
                </c:pt>
                <c:pt idx="3">
                  <c:v>迭代4</c:v>
                </c:pt>
                <c:pt idx="4">
                  <c:v>迭代5</c:v>
                </c:pt>
                <c:pt idx="5">
                  <c:v>迭代6</c:v>
                </c:pt>
                <c:pt idx="6">
                  <c:v>迭代7</c:v>
                </c:pt>
                <c:pt idx="7">
                  <c:v>迭代8</c:v>
                </c:pt>
                <c:pt idx="8">
                  <c:v>迭代9</c:v>
                </c:pt>
              </c:strCache>
            </c:strRef>
          </c:cat>
          <c:val>
            <c:numRef>
              <c:f>度量指标!$N$5:$N$13</c:f>
              <c:numCache>
                <c:formatCode>0.00%</c:formatCode>
                <c:ptCount val="9"/>
                <c:pt idx="0">
                  <c:v>0</c:v>
                </c:pt>
                <c:pt idx="1">
                  <c:v>0.88581314878892736</c:v>
                </c:pt>
                <c:pt idx="2">
                  <c:v>0</c:v>
                </c:pt>
                <c:pt idx="3">
                  <c:v>0.98198198198198194</c:v>
                </c:pt>
                <c:pt idx="4">
                  <c:v>0</c:v>
                </c:pt>
                <c:pt idx="5">
                  <c:v>0</c:v>
                </c:pt>
                <c:pt idx="6">
                  <c:v>0</c:v>
                </c:pt>
                <c:pt idx="7">
                  <c:v>0</c:v>
                </c:pt>
                <c:pt idx="8">
                  <c:v>0</c:v>
                </c:pt>
              </c:numCache>
            </c:numRef>
          </c:val>
          <c:smooth val="0"/>
        </c:ser>
        <c:dLbls>
          <c:showLegendKey val="0"/>
          <c:showVal val="0"/>
          <c:showCatName val="0"/>
          <c:showSerName val="0"/>
          <c:showPercent val="0"/>
          <c:showBubbleSize val="0"/>
        </c:dLbls>
        <c:marker val="1"/>
        <c:smooth val="0"/>
        <c:axId val="393310592"/>
        <c:axId val="393312128"/>
      </c:lineChart>
      <c:catAx>
        <c:axId val="393310592"/>
        <c:scaling>
          <c:orientation val="minMax"/>
        </c:scaling>
        <c:delete val="0"/>
        <c:axPos val="b"/>
        <c:majorTickMark val="out"/>
        <c:minorTickMark val="none"/>
        <c:tickLblPos val="nextTo"/>
        <c:crossAx val="393312128"/>
        <c:crosses val="autoZero"/>
        <c:auto val="1"/>
        <c:lblAlgn val="ctr"/>
        <c:lblOffset val="100"/>
        <c:noMultiLvlLbl val="0"/>
      </c:catAx>
      <c:valAx>
        <c:axId val="393312128"/>
        <c:scaling>
          <c:orientation val="minMax"/>
        </c:scaling>
        <c:delete val="0"/>
        <c:axPos val="l"/>
        <c:majorGridlines/>
        <c:numFmt formatCode="0.00%" sourceLinked="1"/>
        <c:majorTickMark val="out"/>
        <c:minorTickMark val="none"/>
        <c:tickLblPos val="nextTo"/>
        <c:crossAx val="393310592"/>
        <c:crosses val="autoZero"/>
        <c:crossBetween val="between"/>
      </c:valAx>
    </c:plotArea>
    <c:plotVisOnly val="1"/>
    <c:dispBlanksAs val="gap"/>
    <c:showDLblsOverMax val="0"/>
  </c:chart>
  <c:txPr>
    <a:bodyPr/>
    <a:lstStyle/>
    <a:p>
      <a:pPr>
        <a:defRPr>
          <a:latin typeface="微软雅黑" panose="020B0503020204020204" pitchFamily="34" charset="-122"/>
          <a:ea typeface="微软雅黑" panose="020B0503020204020204" pitchFamily="34" charset="-122"/>
        </a:defRPr>
      </a:pPr>
      <a:endParaRPr lang="zh-CN"/>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200"/>
          </a:pPr>
          <a:endParaRPr lang="zh-CN"/>
        </a:p>
      </c:txPr>
    </c:title>
    <c:autoTitleDeleted val="0"/>
    <c:plotArea>
      <c:layout/>
      <c:lineChart>
        <c:grouping val="standard"/>
        <c:varyColors val="0"/>
        <c:ser>
          <c:idx val="0"/>
          <c:order val="0"/>
          <c:tx>
            <c:strRef>
              <c:f>度量指标!$AA$4</c:f>
              <c:strCache>
                <c:ptCount val="1"/>
                <c:pt idx="0">
                  <c:v>进度偏差率</c:v>
                </c:pt>
              </c:strCache>
            </c:strRef>
          </c:tx>
          <c:marker>
            <c:symbol val="none"/>
          </c:marker>
          <c:cat>
            <c:strRef>
              <c:f>度量指标!$A$5:$A$13</c:f>
              <c:strCache>
                <c:ptCount val="9"/>
                <c:pt idx="0">
                  <c:v>迭代1</c:v>
                </c:pt>
                <c:pt idx="1">
                  <c:v>迭代2</c:v>
                </c:pt>
                <c:pt idx="2">
                  <c:v>迭代3</c:v>
                </c:pt>
                <c:pt idx="3">
                  <c:v>迭代4</c:v>
                </c:pt>
                <c:pt idx="4">
                  <c:v>迭代5</c:v>
                </c:pt>
                <c:pt idx="5">
                  <c:v>迭代6</c:v>
                </c:pt>
                <c:pt idx="6">
                  <c:v>迭代7</c:v>
                </c:pt>
                <c:pt idx="7">
                  <c:v>迭代8</c:v>
                </c:pt>
                <c:pt idx="8">
                  <c:v>迭代9</c:v>
                </c:pt>
              </c:strCache>
            </c:strRef>
          </c:cat>
          <c:val>
            <c:numRef>
              <c:f>度量指标!$AA$5:$AA$13</c:f>
              <c:numCache>
                <c:formatCode>0.00%</c:formatCode>
                <c:ptCount val="9"/>
                <c:pt idx="0">
                  <c:v>0</c:v>
                </c:pt>
                <c:pt idx="1">
                  <c:v>-0.22184484754920877</c:v>
                </c:pt>
                <c:pt idx="2">
                  <c:v>0</c:v>
                </c:pt>
                <c:pt idx="3">
                  <c:v>0</c:v>
                </c:pt>
                <c:pt idx="4">
                  <c:v>0</c:v>
                </c:pt>
                <c:pt idx="5">
                  <c:v>0</c:v>
                </c:pt>
                <c:pt idx="6">
                  <c:v>0</c:v>
                </c:pt>
                <c:pt idx="7">
                  <c:v>0</c:v>
                </c:pt>
                <c:pt idx="8">
                  <c:v>0</c:v>
                </c:pt>
              </c:numCache>
            </c:numRef>
          </c:val>
          <c:smooth val="0"/>
        </c:ser>
        <c:dLbls>
          <c:showLegendKey val="0"/>
          <c:showVal val="0"/>
          <c:showCatName val="0"/>
          <c:showSerName val="0"/>
          <c:showPercent val="0"/>
          <c:showBubbleSize val="0"/>
        </c:dLbls>
        <c:marker val="1"/>
        <c:smooth val="0"/>
        <c:axId val="393328128"/>
        <c:axId val="393329664"/>
      </c:lineChart>
      <c:catAx>
        <c:axId val="393328128"/>
        <c:scaling>
          <c:orientation val="minMax"/>
        </c:scaling>
        <c:delete val="0"/>
        <c:axPos val="b"/>
        <c:majorTickMark val="out"/>
        <c:minorTickMark val="none"/>
        <c:tickLblPos val="nextTo"/>
        <c:crossAx val="393329664"/>
        <c:crosses val="autoZero"/>
        <c:auto val="1"/>
        <c:lblAlgn val="ctr"/>
        <c:lblOffset val="100"/>
        <c:noMultiLvlLbl val="0"/>
      </c:catAx>
      <c:valAx>
        <c:axId val="393329664"/>
        <c:scaling>
          <c:orientation val="minMax"/>
        </c:scaling>
        <c:delete val="0"/>
        <c:axPos val="l"/>
        <c:majorGridlines/>
        <c:numFmt formatCode="0.00%" sourceLinked="1"/>
        <c:majorTickMark val="out"/>
        <c:minorTickMark val="none"/>
        <c:tickLblPos val="nextTo"/>
        <c:crossAx val="393328128"/>
        <c:crosses val="autoZero"/>
        <c:crossBetween val="between"/>
      </c:valAx>
    </c:plotArea>
    <c:plotVisOnly val="1"/>
    <c:dispBlanksAs val="gap"/>
    <c:showDLblsOverMax val="0"/>
  </c:chart>
  <c:txPr>
    <a:bodyPr/>
    <a:lstStyle/>
    <a:p>
      <a:pPr>
        <a:defRPr>
          <a:latin typeface="微软雅黑" panose="020B0503020204020204" pitchFamily="34" charset="-122"/>
          <a:ea typeface="微软雅黑" panose="020B0503020204020204" pitchFamily="34" charset="-122"/>
        </a:defRPr>
      </a:pPr>
      <a:endParaRPr lang="zh-CN"/>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214312</xdr:colOff>
      <xdr:row>0</xdr:row>
      <xdr:rowOff>152400</xdr:rowOff>
    </xdr:from>
    <xdr:to>
      <xdr:col>7</xdr:col>
      <xdr:colOff>519112</xdr:colOff>
      <xdr:row>15</xdr:row>
      <xdr:rowOff>142875</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335573</xdr:colOff>
      <xdr:row>0</xdr:row>
      <xdr:rowOff>163390</xdr:rowOff>
    </xdr:from>
    <xdr:to>
      <xdr:col>23</xdr:col>
      <xdr:colOff>30773</xdr:colOff>
      <xdr:row>15</xdr:row>
      <xdr:rowOff>153865</xdr:rowOff>
    </xdr:to>
    <xdr:graphicFrame macro="">
      <xdr:nvGraphicFramePr>
        <xdr:cNvPr id="5" name="图表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208085</xdr:colOff>
      <xdr:row>16</xdr:row>
      <xdr:rowOff>13921</xdr:rowOff>
    </xdr:from>
    <xdr:to>
      <xdr:col>7</xdr:col>
      <xdr:colOff>512885</xdr:colOff>
      <xdr:row>31</xdr:row>
      <xdr:rowOff>74002</xdr:rowOff>
    </xdr:to>
    <xdr:graphicFrame macro="">
      <xdr:nvGraphicFramePr>
        <xdr:cNvPr id="6" name="图表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577362</xdr:colOff>
      <xdr:row>16</xdr:row>
      <xdr:rowOff>16119</xdr:rowOff>
    </xdr:from>
    <xdr:to>
      <xdr:col>15</xdr:col>
      <xdr:colOff>272562</xdr:colOff>
      <xdr:row>31</xdr:row>
      <xdr:rowOff>76200</xdr:rowOff>
    </xdr:to>
    <xdr:graphicFrame macro="">
      <xdr:nvGraphicFramePr>
        <xdr:cNvPr id="7" name="图表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337039</xdr:colOff>
      <xdr:row>16</xdr:row>
      <xdr:rowOff>3663</xdr:rowOff>
    </xdr:from>
    <xdr:to>
      <xdr:col>23</xdr:col>
      <xdr:colOff>33705</xdr:colOff>
      <xdr:row>31</xdr:row>
      <xdr:rowOff>65732</xdr:rowOff>
    </xdr:to>
    <xdr:graphicFrame macro="">
      <xdr:nvGraphicFramePr>
        <xdr:cNvPr id="8" name="图表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205887</xdr:colOff>
      <xdr:row>31</xdr:row>
      <xdr:rowOff>148004</xdr:rowOff>
    </xdr:from>
    <xdr:to>
      <xdr:col>7</xdr:col>
      <xdr:colOff>510687</xdr:colOff>
      <xdr:row>47</xdr:row>
      <xdr:rowOff>126022</xdr:rowOff>
    </xdr:to>
    <xdr:graphicFrame macro="">
      <xdr:nvGraphicFramePr>
        <xdr:cNvPr id="9" name="图表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581757</xdr:colOff>
      <xdr:row>31</xdr:row>
      <xdr:rowOff>155332</xdr:rowOff>
    </xdr:from>
    <xdr:to>
      <xdr:col>15</xdr:col>
      <xdr:colOff>276957</xdr:colOff>
      <xdr:row>47</xdr:row>
      <xdr:rowOff>133350</xdr:rowOff>
    </xdr:to>
    <xdr:graphicFrame macro="">
      <xdr:nvGraphicFramePr>
        <xdr:cNvPr id="10" name="图表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351692</xdr:colOff>
      <xdr:row>31</xdr:row>
      <xdr:rowOff>161926</xdr:rowOff>
    </xdr:from>
    <xdr:to>
      <xdr:col>23</xdr:col>
      <xdr:colOff>48358</xdr:colOff>
      <xdr:row>47</xdr:row>
      <xdr:rowOff>139944</xdr:rowOff>
    </xdr:to>
    <xdr:graphicFrame macro="">
      <xdr:nvGraphicFramePr>
        <xdr:cNvPr id="11" name="图表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194164</xdr:colOff>
      <xdr:row>48</xdr:row>
      <xdr:rowOff>13189</xdr:rowOff>
    </xdr:from>
    <xdr:to>
      <xdr:col>7</xdr:col>
      <xdr:colOff>498964</xdr:colOff>
      <xdr:row>63</xdr:row>
      <xdr:rowOff>123825</xdr:rowOff>
    </xdr:to>
    <xdr:graphicFrame macro="">
      <xdr:nvGraphicFramePr>
        <xdr:cNvPr id="12" name="图表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570767</xdr:colOff>
      <xdr:row>48</xdr:row>
      <xdr:rowOff>13189</xdr:rowOff>
    </xdr:from>
    <xdr:to>
      <xdr:col>15</xdr:col>
      <xdr:colOff>265967</xdr:colOff>
      <xdr:row>63</xdr:row>
      <xdr:rowOff>123825</xdr:rowOff>
    </xdr:to>
    <xdr:graphicFrame macro="">
      <xdr:nvGraphicFramePr>
        <xdr:cNvPr id="13" name="图表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329712</xdr:colOff>
      <xdr:row>48</xdr:row>
      <xdr:rowOff>8060</xdr:rowOff>
    </xdr:from>
    <xdr:to>
      <xdr:col>23</xdr:col>
      <xdr:colOff>24912</xdr:colOff>
      <xdr:row>63</xdr:row>
      <xdr:rowOff>118696</xdr:rowOff>
    </xdr:to>
    <xdr:graphicFrame macro="">
      <xdr:nvGraphicFramePr>
        <xdr:cNvPr id="14" name="图表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571500</xdr:colOff>
      <xdr:row>0</xdr:row>
      <xdr:rowOff>152400</xdr:rowOff>
    </xdr:from>
    <xdr:to>
      <xdr:col>15</xdr:col>
      <xdr:colOff>266700</xdr:colOff>
      <xdr:row>15</xdr:row>
      <xdr:rowOff>142875</xdr:rowOff>
    </xdr:to>
    <xdr:graphicFrame macro="">
      <xdr:nvGraphicFramePr>
        <xdr:cNvPr id="15" name="图表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0.&#31649;&#29702;&#20307;&#31995;\4.&#24230;&#37327;\&#32769;&#20135;&#21697;&#21151;&#33021;&#21319;&#32423;&#20248;&#21270;_&#32570;&#38519;&#21015;&#349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系统数据"/>
    </sheetNames>
    <sheetDataSet>
      <sheetData sheetId="0"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8" Type="http://schemas.openxmlformats.org/officeDocument/2006/relationships/hyperlink" Target="http://192.168.1.208/zentao/data/upload/1/201706/14170835049779ck.jpg" TargetMode="External"/><Relationship Id="rId13" Type="http://schemas.openxmlformats.org/officeDocument/2006/relationships/hyperlink" Target="http://192.168.1.208/zentao/data/upload/1/201706/1317053405706h8b.png" TargetMode="External"/><Relationship Id="rId18" Type="http://schemas.openxmlformats.org/officeDocument/2006/relationships/hyperlink" Target="http://192.168.1.208/zentao/data/upload/1/201706/131042230711537.rar" TargetMode="External"/><Relationship Id="rId3" Type="http://schemas.openxmlformats.org/officeDocument/2006/relationships/hyperlink" Target="http://192.168.1.208/zentao/data/upload/1/201707/1117000007109qh1" TargetMode="External"/><Relationship Id="rId21" Type="http://schemas.openxmlformats.org/officeDocument/2006/relationships/hyperlink" Target="http://192.168.1.208/zentao/data/upload/1/201705/231457330306245b.log" TargetMode="External"/><Relationship Id="rId7" Type="http://schemas.openxmlformats.org/officeDocument/2006/relationships/hyperlink" Target="http://192.168.1.208/zentao/data/upload/1/201706/1919343204412psk.log" TargetMode="External"/><Relationship Id="rId12" Type="http://schemas.openxmlformats.org/officeDocument/2006/relationships/hyperlink" Target="http://192.168.1.208/zentao/data/upload/1/201706/1317085607613mft.png" TargetMode="External"/><Relationship Id="rId17" Type="http://schemas.openxmlformats.org/officeDocument/2006/relationships/hyperlink" Target="http://192.168.1.208/zentao/data/upload/1/201705/2511123606840vps.rar" TargetMode="External"/><Relationship Id="rId2" Type="http://schemas.openxmlformats.org/officeDocument/2006/relationships/hyperlink" Target="http://192.168.1.208/zentao/data/upload/1/201707/18144000048270g3" TargetMode="External"/><Relationship Id="rId16" Type="http://schemas.openxmlformats.org/officeDocument/2006/relationships/hyperlink" Target="http://192.168.1.208/zentao/data/upload/1/201706/12171612082166po.png" TargetMode="External"/><Relationship Id="rId20" Type="http://schemas.openxmlformats.org/officeDocument/2006/relationships/hyperlink" Target="http://192.168.1.208/zentao/data/upload/1/201705/25163927039540mt.log" TargetMode="External"/><Relationship Id="rId1" Type="http://schemas.openxmlformats.org/officeDocument/2006/relationships/hyperlink" Target="http://192.168.1.208/zentao/data/upload/1/201707/1814174403678n0g" TargetMode="External"/><Relationship Id="rId6" Type="http://schemas.openxmlformats.org/officeDocument/2006/relationships/hyperlink" Target="http://192.168.1.208/zentao/data/upload/1/201706/1916230705343ppu.log" TargetMode="External"/><Relationship Id="rId11" Type="http://schemas.openxmlformats.org/officeDocument/2006/relationships/hyperlink" Target="http://192.168.1.208/zentao/data/upload/1/201706/1317245606494e5.png" TargetMode="External"/><Relationship Id="rId5" Type="http://schemas.openxmlformats.org/officeDocument/2006/relationships/hyperlink" Target="http://192.168.1.208/zentao/data/upload/1/201706/21103401053141is.txt" TargetMode="External"/><Relationship Id="rId15" Type="http://schemas.openxmlformats.org/officeDocument/2006/relationships/hyperlink" Target="http://192.168.1.208/zentao/data/upload/1/201706/1314042109431nph.png" TargetMode="External"/><Relationship Id="rId23" Type="http://schemas.openxmlformats.org/officeDocument/2006/relationships/comments" Target="../comments2.xml"/><Relationship Id="rId10" Type="http://schemas.openxmlformats.org/officeDocument/2006/relationships/hyperlink" Target="http://192.168.1.208/zentao/data/upload/1/201706/12183408051876ks.png" TargetMode="External"/><Relationship Id="rId19" Type="http://schemas.openxmlformats.org/officeDocument/2006/relationships/hyperlink" Target="http://192.168.1.208/zentao/data/upload/1/201706/13145320095537pf.jpg" TargetMode="External"/><Relationship Id="rId4" Type="http://schemas.openxmlformats.org/officeDocument/2006/relationships/hyperlink" Target="http://192.168.1.208/zentao/data/upload/1/201706/141630400267701g.jpg" TargetMode="External"/><Relationship Id="rId9" Type="http://schemas.openxmlformats.org/officeDocument/2006/relationships/hyperlink" Target="http://192.168.1.208/zentao/data/upload/1/201706/1514495303068ipa.log" TargetMode="External"/><Relationship Id="rId14" Type="http://schemas.openxmlformats.org/officeDocument/2006/relationships/hyperlink" Target="http://192.168.1.208/zentao/data/upload/1/201706/1316115404993hpf.jpg" TargetMode="External"/><Relationship Id="rId22"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zoomScaleNormal="100" workbookViewId="0">
      <selection activeCell="Z20" sqref="Z20"/>
    </sheetView>
  </sheetViews>
  <sheetFormatPr defaultRowHeight="14.25"/>
  <cols>
    <col min="1" max="16384" width="9.140625" style="270"/>
  </cols>
  <sheetData/>
  <phoneticPr fontId="13"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dimension ref="A1:N13"/>
  <sheetViews>
    <sheetView tabSelected="1" workbookViewId="0">
      <selection activeCell="N27" sqref="N27"/>
    </sheetView>
  </sheetViews>
  <sheetFormatPr defaultColWidth="9" defaultRowHeight="12.75"/>
  <cols>
    <col min="1" max="1" width="9.5703125" style="87" customWidth="1"/>
    <col min="2" max="5" width="10.85546875" style="87" customWidth="1"/>
    <col min="6" max="7" width="9.28515625" style="87" customWidth="1"/>
    <col min="8" max="12" width="10.85546875" style="87" customWidth="1"/>
    <col min="13" max="13" width="10.140625" style="87" customWidth="1"/>
    <col min="14" max="16384" width="9" style="87"/>
  </cols>
  <sheetData>
    <row r="1" spans="1:14" ht="13.5" thickBot="1"/>
    <row r="2" spans="1:14" ht="14.25" customHeight="1">
      <c r="A2" s="375" t="s">
        <v>190</v>
      </c>
      <c r="B2" s="383" t="s">
        <v>283</v>
      </c>
      <c r="C2" s="384"/>
      <c r="D2" s="384"/>
      <c r="E2" s="384"/>
      <c r="F2" s="384"/>
      <c r="G2" s="384"/>
      <c r="H2" s="378" t="s">
        <v>1</v>
      </c>
      <c r="I2" s="379"/>
      <c r="J2" s="379"/>
      <c r="K2" s="379"/>
      <c r="L2" s="379"/>
      <c r="M2" s="379"/>
      <c r="N2" s="380"/>
    </row>
    <row r="3" spans="1:14" ht="15" customHeight="1">
      <c r="A3" s="376"/>
      <c r="B3" s="92" t="s">
        <v>268</v>
      </c>
      <c r="C3" s="93" t="s">
        <v>269</v>
      </c>
      <c r="D3" s="93" t="s">
        <v>270</v>
      </c>
      <c r="E3" s="324" t="s">
        <v>271</v>
      </c>
      <c r="F3" s="381" t="s">
        <v>290</v>
      </c>
      <c r="G3" s="335" t="s">
        <v>317</v>
      </c>
      <c r="H3" s="355" t="s">
        <v>166</v>
      </c>
      <c r="I3" s="356" t="s">
        <v>167</v>
      </c>
      <c r="J3" s="356" t="s">
        <v>168</v>
      </c>
      <c r="K3" s="356" t="s">
        <v>169</v>
      </c>
      <c r="L3" s="356" t="s">
        <v>291</v>
      </c>
      <c r="M3" s="356" t="s">
        <v>319</v>
      </c>
      <c r="N3" s="357" t="s">
        <v>320</v>
      </c>
    </row>
    <row r="4" spans="1:14" ht="24.75" thickBot="1">
      <c r="A4" s="377"/>
      <c r="B4" s="92" t="s">
        <v>161</v>
      </c>
      <c r="C4" s="93" t="s">
        <v>236</v>
      </c>
      <c r="D4" s="93" t="s">
        <v>162</v>
      </c>
      <c r="E4" s="93" t="s">
        <v>160</v>
      </c>
      <c r="F4" s="382"/>
      <c r="G4" s="295" t="s">
        <v>318</v>
      </c>
      <c r="H4" s="367" t="s">
        <v>156</v>
      </c>
      <c r="I4" s="368" t="s">
        <v>157</v>
      </c>
      <c r="J4" s="368" t="s">
        <v>158</v>
      </c>
      <c r="K4" s="368" t="s">
        <v>159</v>
      </c>
      <c r="L4" s="368" t="s">
        <v>292</v>
      </c>
      <c r="M4" s="368" t="s">
        <v>321</v>
      </c>
      <c r="N4" s="369" t="s">
        <v>170</v>
      </c>
    </row>
    <row r="5" spans="1:14" ht="20.100000000000001" customHeight="1">
      <c r="A5" s="208" t="s">
        <v>181</v>
      </c>
      <c r="B5" s="211">
        <f>VLOOKUP($A5,度量指标!$A$2:$AC$13,28,FALSE)</f>
        <v>0.76923076923076916</v>
      </c>
      <c r="C5" s="98" t="str">
        <f ca="1">VLOOKUP($A5,度量指标!$A$2:$AC$13,27,FALSE)</f>
        <v>NA</v>
      </c>
      <c r="D5" s="98" t="str">
        <f ca="1">VLOOKUP($A5,度量指标!$A$2:$AC$13,25,FALSE)</f>
        <v>NA</v>
      </c>
      <c r="E5" s="98" t="str">
        <f ca="1">VLOOKUP($A5,度量指标!$A$2:$AC$13,26,FALSE)</f>
        <v>NA</v>
      </c>
      <c r="F5" s="327" t="s">
        <v>1588</v>
      </c>
      <c r="G5" s="332" t="str">
        <f>VLOOKUP($A5,度量指标!$A$2:$AC$13,29,FALSE)</f>
        <v>NA</v>
      </c>
      <c r="H5" s="364">
        <f>IF(B5="NA","NA",B5*100)</f>
        <v>76.92307692307692</v>
      </c>
      <c r="I5" s="365" t="str">
        <f ca="1">IF(C5&gt;0,IF(C5="NA","NA",IF((100-C5*100)&lt;0,0,100-C5*100)),100)</f>
        <v>NA</v>
      </c>
      <c r="J5" s="365" t="str">
        <f ca="1">IF(D5="NA","NA",D5*100)</f>
        <v>NA</v>
      </c>
      <c r="K5" s="365" t="str">
        <f ca="1">IF(E5="NA","NA",100-E5*100)</f>
        <v>NA</v>
      </c>
      <c r="L5" s="365" t="str">
        <f>IF(F5="NA","NA",IF(F5="","NA",IF(F5&gt;=3,0,IF(F5=2,60,100))))</f>
        <v>NA</v>
      </c>
      <c r="M5" s="365" t="str">
        <f>IF(G5="NA","NA",G5*100)</f>
        <v>NA</v>
      </c>
      <c r="N5" s="366">
        <f ca="1">IF($H5="NA",0,$H5*0.1)+IF(I5="NA",0,$I5*0.2)+IF($J5="NA",0,$J5*0.35)+IF($K5="NA",0,$K5*0.15)+IF($L5="NA",0,$L5*0.1)+IF($M5="NA",0,$M5*0.1)/(1-IF($H5="NA",0.1,0)-IF($I5="NA",0.2,0)-IF($J5="NA",0.35,0)-IF($K5="NA",0.15,0)-IF($L5="NA",0.1,0)-IF($M5="NA",0.1,0))</f>
        <v>7.6923076923076925</v>
      </c>
    </row>
    <row r="6" spans="1:14" ht="20.100000000000001" customHeight="1">
      <c r="A6" s="209" t="s">
        <v>182</v>
      </c>
      <c r="B6" s="328">
        <f>VLOOKUP($A6,度量指标!$A$2:$AC$13,28,FALSE)</f>
        <v>1</v>
      </c>
      <c r="C6" s="326">
        <f ca="1">VLOOKUP($A6,度量指标!$A$2:$AC$13,27,FALSE)</f>
        <v>-0.22184484754920877</v>
      </c>
      <c r="D6" s="326">
        <f ca="1">VLOOKUP($A6,度量指标!$A$2:$AC$13,25,FALSE)</f>
        <v>1</v>
      </c>
      <c r="E6" s="326">
        <f ca="1">VLOOKUP($A6,度量指标!$A$2:$AC$13,26,FALSE)</f>
        <v>0</v>
      </c>
      <c r="F6" s="325">
        <v>2</v>
      </c>
      <c r="G6" s="333" t="str">
        <f>VLOOKUP($A6,度量指标!$A$2:$AC$13,29,FALSE)</f>
        <v>NA</v>
      </c>
      <c r="H6" s="358">
        <f t="shared" ref="H6:H13" si="0">IF(B6="NA","NA",B6*100)</f>
        <v>100</v>
      </c>
      <c r="I6" s="359">
        <f t="shared" ref="I6:I13" ca="1" si="1">IF(C6&gt;0,IF(C6="NA","NA",IF((100-C6*100)&lt;0,0,100-C6*100)),100)</f>
        <v>100</v>
      </c>
      <c r="J6" s="359">
        <f t="shared" ref="J6:J12" ca="1" si="2">IF(D6="NA","NA",D6*100)</f>
        <v>100</v>
      </c>
      <c r="K6" s="359">
        <f t="shared" ref="K6:K13" ca="1" si="3">IF(E6="NA","NA",100-E6*100)</f>
        <v>100</v>
      </c>
      <c r="L6" s="359">
        <f t="shared" ref="L6:L13" si="4">IF(F6="NA","NA",IF(F6="","NA",IF(F6&gt;=3,0,IF(F6=2,60,100))))</f>
        <v>60</v>
      </c>
      <c r="M6" s="359" t="str">
        <f t="shared" ref="M6:M13" si="5">IF(G6="NA","NA",G6*100)</f>
        <v>NA</v>
      </c>
      <c r="N6" s="360">
        <f t="shared" ref="N6:N13" ca="1" si="6">IF($H6="NA",0,$H6*0.1)+IF(I6="NA",0,$I6*0.2)+IF($J6="NA",0,$J6*0.35)+IF($K6="NA",0,$K6*0.15)+IF($L6="NA",0,$L6*0.1)+IF($M6="NA",0,$M6*0.1)/(1-IF($H6="NA",0.1,0)-IF($I6="NA",0.2,0)-IF($J6="NA",0.35,0)-IF($K6="NA",0.15,0)-IF($L6="NA",0.1,0)-IF($M6="NA",0.1,0))</f>
        <v>86</v>
      </c>
    </row>
    <row r="7" spans="1:14" ht="20.100000000000001" customHeight="1">
      <c r="A7" s="209" t="s">
        <v>183</v>
      </c>
      <c r="B7" s="328">
        <f>VLOOKUP($A7,度量指标!$A$2:$AC$13,28,FALSE)</f>
        <v>1</v>
      </c>
      <c r="C7" s="326" t="str">
        <f ca="1">VLOOKUP($A7,度量指标!$A$2:$AC$13,27,FALSE)</f>
        <v>NA</v>
      </c>
      <c r="D7" s="326" t="str">
        <f ca="1">VLOOKUP($A7,度量指标!$A$2:$AC$13,25,FALSE)</f>
        <v>NA</v>
      </c>
      <c r="E7" s="326" t="str">
        <f ca="1">VLOOKUP($A7,度量指标!$A$2:$AC$13,26,FALSE)</f>
        <v>NA</v>
      </c>
      <c r="F7" s="325" t="s">
        <v>1588</v>
      </c>
      <c r="G7" s="333" t="str">
        <f>VLOOKUP($A7,度量指标!$A$2:$AC$13,29,FALSE)</f>
        <v>NA</v>
      </c>
      <c r="H7" s="358">
        <f t="shared" si="0"/>
        <v>100</v>
      </c>
      <c r="I7" s="359" t="str">
        <f t="shared" ca="1" si="1"/>
        <v>NA</v>
      </c>
      <c r="J7" s="359" t="str">
        <f t="shared" ca="1" si="2"/>
        <v>NA</v>
      </c>
      <c r="K7" s="359" t="str">
        <f t="shared" ca="1" si="3"/>
        <v>NA</v>
      </c>
      <c r="L7" s="359" t="str">
        <f t="shared" si="4"/>
        <v>NA</v>
      </c>
      <c r="M7" s="359" t="str">
        <f t="shared" si="5"/>
        <v>NA</v>
      </c>
      <c r="N7" s="360">
        <f t="shared" ca="1" si="6"/>
        <v>10</v>
      </c>
    </row>
    <row r="8" spans="1:14" ht="20.100000000000001" customHeight="1">
      <c r="A8" s="209" t="s">
        <v>184</v>
      </c>
      <c r="B8" s="328">
        <f>VLOOKUP($A8,度量指标!$A$2:$AC$13,28,FALSE)</f>
        <v>0.84</v>
      </c>
      <c r="C8" s="326" t="str">
        <f ca="1">VLOOKUP($A8,度量指标!$A$2:$AC$13,27,FALSE)</f>
        <v>NA</v>
      </c>
      <c r="D8" s="326">
        <f ca="1">VLOOKUP($A8,度量指标!$A$2:$AC$13,25,FALSE)</f>
        <v>1</v>
      </c>
      <c r="E8" s="326">
        <f ca="1">VLOOKUP($A8,度量指标!$A$2:$AC$13,26,FALSE)</f>
        <v>0</v>
      </c>
      <c r="F8" s="325">
        <v>2</v>
      </c>
      <c r="G8" s="434">
        <f>VLOOKUP($A8,度量指标!$A$2:$AC$13,29,FALSE)</f>
        <v>0.8</v>
      </c>
      <c r="H8" s="358">
        <f t="shared" si="0"/>
        <v>84</v>
      </c>
      <c r="I8" s="359" t="str">
        <f t="shared" ca="1" si="1"/>
        <v>NA</v>
      </c>
      <c r="J8" s="359">
        <f t="shared" ca="1" si="2"/>
        <v>100</v>
      </c>
      <c r="K8" s="359">
        <f t="shared" ca="1" si="3"/>
        <v>100</v>
      </c>
      <c r="L8" s="359">
        <f t="shared" si="4"/>
        <v>60</v>
      </c>
      <c r="M8" s="359">
        <f t="shared" si="5"/>
        <v>80</v>
      </c>
      <c r="N8" s="360">
        <f t="shared" ca="1" si="6"/>
        <v>74.400000000000006</v>
      </c>
    </row>
    <row r="9" spans="1:14" ht="20.100000000000001" customHeight="1">
      <c r="A9" s="209" t="s">
        <v>185</v>
      </c>
      <c r="B9" s="328" t="str">
        <f>VLOOKUP($A9,度量指标!$A$2:$AC$13,28,FALSE)</f>
        <v>NA</v>
      </c>
      <c r="C9" s="326" t="str">
        <f ca="1">VLOOKUP($A9,度量指标!$A$2:$AC$13,27,FALSE)</f>
        <v>NA</v>
      </c>
      <c r="D9" s="326" t="str">
        <f ca="1">VLOOKUP($A9,度量指标!$A$2:$AC$13,25,FALSE)</f>
        <v>NA</v>
      </c>
      <c r="E9" s="326" t="str">
        <f ca="1">VLOOKUP($A9,度量指标!$A$2:$AC$13,26,FALSE)</f>
        <v>NA</v>
      </c>
      <c r="F9" s="325"/>
      <c r="G9" s="333" t="str">
        <f>VLOOKUP($A9,度量指标!$A$2:$AC$13,29,FALSE)</f>
        <v>NA</v>
      </c>
      <c r="H9" s="358" t="str">
        <f t="shared" si="0"/>
        <v>NA</v>
      </c>
      <c r="I9" s="359" t="str">
        <f t="shared" ca="1" si="1"/>
        <v>NA</v>
      </c>
      <c r="J9" s="359" t="str">
        <f t="shared" ca="1" si="2"/>
        <v>NA</v>
      </c>
      <c r="K9" s="359" t="str">
        <f t="shared" ca="1" si="3"/>
        <v>NA</v>
      </c>
      <c r="L9" s="359" t="str">
        <f t="shared" si="4"/>
        <v>NA</v>
      </c>
      <c r="M9" s="359" t="str">
        <f t="shared" si="5"/>
        <v>NA</v>
      </c>
      <c r="N9" s="360">
        <f t="shared" ca="1" si="6"/>
        <v>0</v>
      </c>
    </row>
    <row r="10" spans="1:14" ht="20.100000000000001" customHeight="1">
      <c r="A10" s="209" t="s">
        <v>186</v>
      </c>
      <c r="B10" s="328" t="str">
        <f>VLOOKUP($A10,度量指标!$A$2:$AC$13,28,FALSE)</f>
        <v>NA</v>
      </c>
      <c r="C10" s="326" t="str">
        <f ca="1">VLOOKUP($A10,度量指标!$A$2:$AC$13,27,FALSE)</f>
        <v>NA</v>
      </c>
      <c r="D10" s="326" t="str">
        <f ca="1">VLOOKUP($A10,度量指标!$A$2:$AC$13,25,FALSE)</f>
        <v>NA</v>
      </c>
      <c r="E10" s="326" t="str">
        <f ca="1">VLOOKUP($A10,度量指标!$A$2:$AC$13,26,FALSE)</f>
        <v>NA</v>
      </c>
      <c r="F10" s="325"/>
      <c r="G10" s="333" t="str">
        <f>VLOOKUP($A10,度量指标!$A$2:$AC$13,29,FALSE)</f>
        <v>NA</v>
      </c>
      <c r="H10" s="358" t="str">
        <f t="shared" si="0"/>
        <v>NA</v>
      </c>
      <c r="I10" s="359" t="str">
        <f t="shared" ca="1" si="1"/>
        <v>NA</v>
      </c>
      <c r="J10" s="359" t="str">
        <f t="shared" ca="1" si="2"/>
        <v>NA</v>
      </c>
      <c r="K10" s="359" t="str">
        <f t="shared" ca="1" si="3"/>
        <v>NA</v>
      </c>
      <c r="L10" s="359" t="str">
        <f t="shared" si="4"/>
        <v>NA</v>
      </c>
      <c r="M10" s="359" t="str">
        <f t="shared" si="5"/>
        <v>NA</v>
      </c>
      <c r="N10" s="360">
        <f t="shared" ca="1" si="6"/>
        <v>0</v>
      </c>
    </row>
    <row r="11" spans="1:14" ht="20.100000000000001" customHeight="1">
      <c r="A11" s="209" t="s">
        <v>187</v>
      </c>
      <c r="B11" s="328" t="str">
        <f>VLOOKUP($A11,度量指标!$A$2:$AC$13,28,FALSE)</f>
        <v>NA</v>
      </c>
      <c r="C11" s="326" t="str">
        <f ca="1">VLOOKUP($A11,度量指标!$A$2:$AC$13,27,FALSE)</f>
        <v>NA</v>
      </c>
      <c r="D11" s="326" t="str">
        <f ca="1">VLOOKUP($A11,度量指标!$A$2:$AC$13,25,FALSE)</f>
        <v>NA</v>
      </c>
      <c r="E11" s="326" t="str">
        <f ca="1">VLOOKUP($A11,度量指标!$A$2:$AC$13,26,FALSE)</f>
        <v>NA</v>
      </c>
      <c r="F11" s="325"/>
      <c r="G11" s="333" t="str">
        <f>VLOOKUP($A11,度量指标!$A$2:$AC$13,29,FALSE)</f>
        <v>NA</v>
      </c>
      <c r="H11" s="358" t="str">
        <f t="shared" si="0"/>
        <v>NA</v>
      </c>
      <c r="I11" s="359" t="str">
        <f t="shared" ca="1" si="1"/>
        <v>NA</v>
      </c>
      <c r="J11" s="359" t="str">
        <f t="shared" ca="1" si="2"/>
        <v>NA</v>
      </c>
      <c r="K11" s="359" t="str">
        <f t="shared" ca="1" si="3"/>
        <v>NA</v>
      </c>
      <c r="L11" s="359" t="str">
        <f t="shared" si="4"/>
        <v>NA</v>
      </c>
      <c r="M11" s="359" t="str">
        <f t="shared" si="5"/>
        <v>NA</v>
      </c>
      <c r="N11" s="360">
        <f t="shared" ca="1" si="6"/>
        <v>0</v>
      </c>
    </row>
    <row r="12" spans="1:14" ht="20.100000000000001" customHeight="1">
      <c r="A12" s="209" t="s">
        <v>188</v>
      </c>
      <c r="B12" s="328" t="str">
        <f>VLOOKUP($A12,度量指标!$A$2:$AC$13,28,FALSE)</f>
        <v>NA</v>
      </c>
      <c r="C12" s="326" t="str">
        <f ca="1">VLOOKUP($A12,度量指标!$A$2:$AC$13,27,FALSE)</f>
        <v>NA</v>
      </c>
      <c r="D12" s="326" t="str">
        <f ca="1">VLOOKUP($A12,度量指标!$A$2:$AC$13,25,FALSE)</f>
        <v>NA</v>
      </c>
      <c r="E12" s="326" t="str">
        <f ca="1">VLOOKUP($A12,度量指标!$A$2:$AC$13,26,FALSE)</f>
        <v>NA</v>
      </c>
      <c r="F12" s="325"/>
      <c r="G12" s="333" t="str">
        <f>VLOOKUP($A12,度量指标!$A$2:$AC$13,29,FALSE)</f>
        <v>NA</v>
      </c>
      <c r="H12" s="358" t="str">
        <f t="shared" si="0"/>
        <v>NA</v>
      </c>
      <c r="I12" s="359" t="str">
        <f t="shared" ca="1" si="1"/>
        <v>NA</v>
      </c>
      <c r="J12" s="359" t="str">
        <f t="shared" ca="1" si="2"/>
        <v>NA</v>
      </c>
      <c r="K12" s="359" t="str">
        <f t="shared" ca="1" si="3"/>
        <v>NA</v>
      </c>
      <c r="L12" s="359" t="str">
        <f t="shared" si="4"/>
        <v>NA</v>
      </c>
      <c r="M12" s="359" t="str">
        <f t="shared" si="5"/>
        <v>NA</v>
      </c>
      <c r="N12" s="360">
        <f t="shared" ca="1" si="6"/>
        <v>0</v>
      </c>
    </row>
    <row r="13" spans="1:14" ht="20.100000000000001" customHeight="1" thickBot="1">
      <c r="A13" s="210" t="s">
        <v>189</v>
      </c>
      <c r="B13" s="329" t="str">
        <f>VLOOKUP($A13,度量指标!$A$2:$AC$13,28,FALSE)</f>
        <v>NA</v>
      </c>
      <c r="C13" s="330" t="str">
        <f ca="1">VLOOKUP($A13,度量指标!$A$2:$AC$13,27,FALSE)</f>
        <v>NA</v>
      </c>
      <c r="D13" s="330" t="str">
        <f ca="1">VLOOKUP($A13,度量指标!$A$2:$AC$13,25,FALSE)</f>
        <v>NA</v>
      </c>
      <c r="E13" s="330" t="str">
        <f ca="1">VLOOKUP($A13,度量指标!$A$2:$AC$13,26,FALSE)</f>
        <v>NA</v>
      </c>
      <c r="F13" s="331"/>
      <c r="G13" s="334" t="str">
        <f>VLOOKUP($A13,度量指标!$A$2:$AC$13,29,FALSE)</f>
        <v>NA</v>
      </c>
      <c r="H13" s="361" t="str">
        <f t="shared" si="0"/>
        <v>NA</v>
      </c>
      <c r="I13" s="362" t="str">
        <f t="shared" ca="1" si="1"/>
        <v>NA</v>
      </c>
      <c r="J13" s="362" t="str">
        <f ca="1">IF(D13="NA","NA",D13*100)</f>
        <v>NA</v>
      </c>
      <c r="K13" s="362" t="str">
        <f t="shared" ca="1" si="3"/>
        <v>NA</v>
      </c>
      <c r="L13" s="362" t="str">
        <f t="shared" si="4"/>
        <v>NA</v>
      </c>
      <c r="M13" s="362" t="str">
        <f t="shared" si="5"/>
        <v>NA</v>
      </c>
      <c r="N13" s="363">
        <f t="shared" ca="1" si="6"/>
        <v>0</v>
      </c>
    </row>
  </sheetData>
  <mergeCells count="4">
    <mergeCell ref="A2:A4"/>
    <mergeCell ref="H2:N2"/>
    <mergeCell ref="F3:F4"/>
    <mergeCell ref="B2:G2"/>
  </mergeCells>
  <phoneticPr fontId="13" type="noConversion"/>
  <pageMargins left="0.69930555555555596" right="0.69930555555555596" top="0.75" bottom="0.75" header="0.3" footer="0.3"/>
  <pageSetup paperSize="9" orientation="portrait"/>
  <ignoredErrors>
    <ignoredError sqref="J5 J6:J13 I5:I13" formula="1"/>
  </ignoredErrors>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D14"/>
  <sheetViews>
    <sheetView workbookViewId="0">
      <selection activeCell="A8" sqref="A8:XFD8"/>
    </sheetView>
  </sheetViews>
  <sheetFormatPr defaultColWidth="6.7109375" defaultRowHeight="12.75"/>
  <cols>
    <col min="1" max="1" width="9.7109375" customWidth="1"/>
    <col min="2" max="29" width="8.7109375" customWidth="1"/>
    <col min="30" max="30" width="12.5703125" customWidth="1"/>
  </cols>
  <sheetData>
    <row r="1" spans="1:30" ht="13.5" thickBot="1"/>
    <row r="2" spans="1:30" s="66" customFormat="1" ht="39" customHeight="1">
      <c r="A2" s="265"/>
      <c r="B2" s="385" t="s">
        <v>207</v>
      </c>
      <c r="C2" s="386"/>
      <c r="D2" s="386"/>
      <c r="E2" s="387"/>
      <c r="F2" s="385" t="s">
        <v>225</v>
      </c>
      <c r="G2" s="395"/>
      <c r="H2" s="388" t="s">
        <v>124</v>
      </c>
      <c r="I2" s="390"/>
      <c r="J2" s="394" t="s">
        <v>0</v>
      </c>
      <c r="K2" s="394"/>
      <c r="L2" s="394"/>
      <c r="M2" s="394"/>
      <c r="N2" s="394"/>
      <c r="O2" s="394"/>
      <c r="P2" s="394"/>
      <c r="Q2" s="388" t="s">
        <v>135</v>
      </c>
      <c r="R2" s="386"/>
      <c r="S2" s="387"/>
      <c r="T2" s="385" t="s">
        <v>64</v>
      </c>
      <c r="U2" s="386"/>
      <c r="V2" s="396"/>
      <c r="W2" s="388" t="s">
        <v>2</v>
      </c>
      <c r="X2" s="389"/>
      <c r="Y2" s="389"/>
      <c r="Z2" s="390"/>
      <c r="AA2" s="204" t="s">
        <v>165</v>
      </c>
      <c r="AB2" s="317" t="s">
        <v>3</v>
      </c>
      <c r="AC2" s="204" t="s">
        <v>314</v>
      </c>
      <c r="AD2" s="391" t="s">
        <v>4</v>
      </c>
    </row>
    <row r="3" spans="1:30" ht="12.75" customHeight="1">
      <c r="A3" s="266" t="s">
        <v>288</v>
      </c>
      <c r="B3" s="48" t="s">
        <v>155</v>
      </c>
      <c r="C3" s="48" t="s">
        <v>237</v>
      </c>
      <c r="D3" s="48" t="s">
        <v>238</v>
      </c>
      <c r="E3" s="202" t="s">
        <v>239</v>
      </c>
      <c r="F3" s="48" t="s">
        <v>240</v>
      </c>
      <c r="G3" s="203" t="s">
        <v>241</v>
      </c>
      <c r="H3" s="46" t="s">
        <v>242</v>
      </c>
      <c r="I3" s="202" t="s">
        <v>243</v>
      </c>
      <c r="J3" s="48" t="s">
        <v>244</v>
      </c>
      <c r="K3" s="48" t="s">
        <v>245</v>
      </c>
      <c r="L3" s="48" t="s">
        <v>246</v>
      </c>
      <c r="M3" s="48" t="s">
        <v>247</v>
      </c>
      <c r="N3" s="48" t="s">
        <v>248</v>
      </c>
      <c r="O3" s="48" t="s">
        <v>249</v>
      </c>
      <c r="P3" s="203" t="s">
        <v>250</v>
      </c>
      <c r="Q3" s="46" t="s">
        <v>251</v>
      </c>
      <c r="R3" s="48" t="s">
        <v>252</v>
      </c>
      <c r="S3" s="202" t="s">
        <v>253</v>
      </c>
      <c r="T3" s="48" t="s">
        <v>254</v>
      </c>
      <c r="U3" s="48" t="s">
        <v>255</v>
      </c>
      <c r="V3" s="203" t="s">
        <v>256</v>
      </c>
      <c r="W3" s="46" t="s">
        <v>257</v>
      </c>
      <c r="X3" s="48" t="s">
        <v>258</v>
      </c>
      <c r="Y3" s="48" t="s">
        <v>259</v>
      </c>
      <c r="Z3" s="202" t="s">
        <v>260</v>
      </c>
      <c r="AA3" s="205" t="s">
        <v>261</v>
      </c>
      <c r="AB3" s="318" t="s">
        <v>262</v>
      </c>
      <c r="AC3" s="321" t="s">
        <v>315</v>
      </c>
      <c r="AD3" s="392"/>
    </row>
    <row r="4" spans="1:30" ht="53.25" customHeight="1" thickBot="1">
      <c r="A4" s="267"/>
      <c r="B4" s="268" t="s">
        <v>273</v>
      </c>
      <c r="C4" s="200" t="s">
        <v>209</v>
      </c>
      <c r="D4" s="200" t="s">
        <v>287</v>
      </c>
      <c r="E4" s="201" t="s">
        <v>274</v>
      </c>
      <c r="F4" s="188" t="s">
        <v>136</v>
      </c>
      <c r="G4" s="189" t="s">
        <v>139</v>
      </c>
      <c r="H4" s="186" t="s">
        <v>137</v>
      </c>
      <c r="I4" s="187" t="s">
        <v>140</v>
      </c>
      <c r="J4" s="188" t="s">
        <v>141</v>
      </c>
      <c r="K4" s="190" t="s">
        <v>138</v>
      </c>
      <c r="L4" s="190" t="s">
        <v>142</v>
      </c>
      <c r="M4" s="190" t="s">
        <v>143</v>
      </c>
      <c r="N4" s="191" t="s">
        <v>234</v>
      </c>
      <c r="O4" s="191" t="s">
        <v>235</v>
      </c>
      <c r="P4" s="206" t="s">
        <v>154</v>
      </c>
      <c r="Q4" s="186" t="s">
        <v>144</v>
      </c>
      <c r="R4" s="192" t="s">
        <v>145</v>
      </c>
      <c r="S4" s="187" t="s">
        <v>146</v>
      </c>
      <c r="T4" s="188" t="s">
        <v>147</v>
      </c>
      <c r="U4" s="192" t="s">
        <v>148</v>
      </c>
      <c r="V4" s="189" t="s">
        <v>149</v>
      </c>
      <c r="W4" s="186" t="s">
        <v>150</v>
      </c>
      <c r="X4" s="192" t="s">
        <v>151</v>
      </c>
      <c r="Y4" s="193" t="s">
        <v>152</v>
      </c>
      <c r="Z4" s="207" t="s">
        <v>153</v>
      </c>
      <c r="AA4" s="294" t="s">
        <v>236</v>
      </c>
      <c r="AB4" s="319" t="s">
        <v>161</v>
      </c>
      <c r="AC4" s="322" t="s">
        <v>316</v>
      </c>
      <c r="AD4" s="393"/>
    </row>
    <row r="5" spans="1:30">
      <c r="A5" s="269" t="s">
        <v>181</v>
      </c>
      <c r="B5" s="215">
        <f ca="1">IFERROR(基础度量项!F5/基础度量项!E5,"NA")</f>
        <v>0</v>
      </c>
      <c r="C5" s="212" t="str">
        <f ca="1">IF(B5&gt;=80%,"是","否")</f>
        <v>否</v>
      </c>
      <c r="D5" s="218" t="str">
        <f ca="1">IFERROR(基础度量项!F5/基础度量项!H5,"NA")</f>
        <v>NA</v>
      </c>
      <c r="E5" s="219" t="str">
        <f ca="1">IFERROR(基础度量项!H5/基础度量项!G5,"NA")</f>
        <v>NA</v>
      </c>
      <c r="F5" s="89" t="str">
        <f ca="1">IFERROR(基础度量项!J5/基础度量项!H5,"NA")</f>
        <v>NA</v>
      </c>
      <c r="G5" s="224" t="str">
        <f ca="1">IFERROR(基础度量项!K5/基础度量项!J5,"NA")</f>
        <v>NA</v>
      </c>
      <c r="H5" s="89" t="str">
        <f ca="1">IFERROR(基础度量项!L5/基础度量项!H5,"NA")</f>
        <v>NA</v>
      </c>
      <c r="I5" s="227" t="str">
        <f ca="1">IFERROR(基础度量项!M5/基础度量项!L5,"NA")</f>
        <v>NA</v>
      </c>
      <c r="J5" s="228" t="str">
        <f ca="1">IFERROR(基础度量项!Q5/基础度量项!P5,"NA")</f>
        <v>NA</v>
      </c>
      <c r="K5" s="90" t="str">
        <f ca="1">IFERROR(基础度量项!R5/基础度量项!H5,"NA")</f>
        <v>NA</v>
      </c>
      <c r="L5" s="233" t="str">
        <f ca="1">IFERROR(基础度量项!U5/基础度量项!R5,"NA")</f>
        <v>NA</v>
      </c>
      <c r="M5" s="233" t="str">
        <f ca="1">IFERROR(基础度量项!S5/基础度量项!R5,"NA")</f>
        <v>NA</v>
      </c>
      <c r="N5" s="233" t="str">
        <f ca="1">IFERROR(基础度量项!R5/(基础度量项!R5+基础度量项!T5),"NA")</f>
        <v>NA</v>
      </c>
      <c r="O5" s="233" t="str">
        <f ca="1">IFERROR(基础度量项!R5/基础度量项!O5,"NA")</f>
        <v>NA</v>
      </c>
      <c r="P5" s="224" t="str">
        <f ca="1">IFERROR(基础度量项!R5/基础度量项!AM5,"NA")</f>
        <v>NA</v>
      </c>
      <c r="Q5" s="89" t="str">
        <f ca="1">IFERROR(基础度量项!W5/基础度量项!H5,"NA")</f>
        <v>NA</v>
      </c>
      <c r="R5" s="233" t="str">
        <f ca="1">IFERROR(基础度量项!Y5/基础度量项!W5,"NA")</f>
        <v>NA</v>
      </c>
      <c r="S5" s="227" t="str">
        <f ca="1">IFERROR(基础度量项!X5/基础度量项!W5,"NA")</f>
        <v>NA</v>
      </c>
      <c r="T5" s="97" t="str">
        <f ca="1">IFERROR(基础度量项!AA5/基础度量项!H5,"NA")</f>
        <v>NA</v>
      </c>
      <c r="U5" s="233" t="str">
        <f ca="1">IFERROR(基础度量项!AC5/基础度量项!AA5,"NA")</f>
        <v>NA</v>
      </c>
      <c r="V5" s="224" t="str">
        <f ca="1">IFERROR(基础度量项!AB5/基础度量项!AA5,"NA")</f>
        <v>NA</v>
      </c>
      <c r="W5" s="236" t="str">
        <f ca="1">IFERROR(基础度量项!AE5/基础度量项!AM5,"NA")</f>
        <v>NA</v>
      </c>
      <c r="X5" s="237" t="str">
        <f ca="1">IFERROR(基础度量项!AG5/基础度量项!AM5,"NA")</f>
        <v>NA</v>
      </c>
      <c r="Y5" s="237" t="str">
        <f ca="1">IFERROR(基础度量项!AI5/基础度量项!AM5,"NA")</f>
        <v>NA</v>
      </c>
      <c r="Z5" s="238" t="str">
        <f ca="1">IFERROR(基础度量项!AK5/基础度量项!AM5,"NA")</f>
        <v>NA</v>
      </c>
      <c r="AA5" s="239" t="str">
        <f ca="1">IFERROR(基础度量项!I5/基础度量项!G5,"NA")</f>
        <v>NA</v>
      </c>
      <c r="AB5" s="240">
        <f>IFERROR(1-基础度量项!AO5/基础度量项!AN5,"NA")</f>
        <v>0.76923076923076916</v>
      </c>
      <c r="AC5" s="240" t="str">
        <f>IFERROR(1-基础度量项!AQ5/基础度量项!AP5,"NA")</f>
        <v>NA</v>
      </c>
      <c r="AD5" s="263"/>
    </row>
    <row r="6" spans="1:30" ht="14.25">
      <c r="A6" s="104" t="s">
        <v>182</v>
      </c>
      <c r="B6" s="216">
        <f ca="1">IFERROR(基础度量项!F6/基础度量项!E6,"NA")</f>
        <v>1.0185185185185186</v>
      </c>
      <c r="C6" s="213" t="str">
        <f t="shared" ref="C6:C13" ca="1" si="0">IF(B6&gt;=80%,"是","否")</f>
        <v>是</v>
      </c>
      <c r="D6" s="220">
        <f ca="1">IFERROR(基础度量项!F6/基础度量项!H6,"NA")</f>
        <v>0.21823231822239858</v>
      </c>
      <c r="E6" s="221">
        <f ca="1">IFERROR(基础度量项!H6/基础度量项!G6,"NA")</f>
        <v>0.77815515245079125</v>
      </c>
      <c r="F6" s="194">
        <f ca="1">IFERROR(基础度量项!J6/基础度量项!H6,"NA")</f>
        <v>0</v>
      </c>
      <c r="G6" s="225" t="str">
        <f ca="1">IFERROR(基础度量项!K6/基础度量项!J6,"NA")</f>
        <v>NA</v>
      </c>
      <c r="H6" s="194">
        <f ca="1">IFERROR(基础度量项!L6/基础度量项!H6,"NA")</f>
        <v>0</v>
      </c>
      <c r="I6" s="229" t="str">
        <f ca="1">IFERROR(基础度量项!M6/基础度量项!L6,"NA")</f>
        <v>NA</v>
      </c>
      <c r="J6" s="230" t="str">
        <f ca="1">IFERROR(基础度量项!Q6/基础度量项!P6,"NA")</f>
        <v>NA</v>
      </c>
      <c r="K6" s="196">
        <f ca="1">IFERROR(基础度量项!R6/基础度量项!H6,"NA")</f>
        <v>0.50788612240849118</v>
      </c>
      <c r="L6" s="234">
        <f ca="1">IFERROR(基础度量项!U6/基础度量项!R6,"NA")</f>
        <v>0.28515625</v>
      </c>
      <c r="M6" s="234">
        <f ca="1">IFERROR(基础度量项!S6/基础度量项!R6,"NA")</f>
        <v>0.90625</v>
      </c>
      <c r="N6" s="234">
        <f ca="1">IFERROR(基础度量项!R6/(基础度量项!R6+基础度量项!T6),"NA")</f>
        <v>0.88581314878892736</v>
      </c>
      <c r="O6" s="234">
        <f ca="1">IFERROR(基础度量项!R6/基础度量项!O6,"NA")</f>
        <v>1.1851851851851851</v>
      </c>
      <c r="P6" s="225">
        <f ca="1">IFERROR(基础度量项!R6/基础度量项!AM6,"NA")</f>
        <v>1</v>
      </c>
      <c r="Q6" s="194">
        <f ca="1">IFERROR(基础度量项!W6/基础度量项!H6,"NA")</f>
        <v>0</v>
      </c>
      <c r="R6" s="234" t="str">
        <f ca="1">IFERROR(基础度量项!Y6/基础度量项!W6,"NA")</f>
        <v>NA</v>
      </c>
      <c r="S6" s="229" t="str">
        <f ca="1">IFERROR(基础度量项!X6/基础度量项!W6,"NA")</f>
        <v>NA</v>
      </c>
      <c r="T6" s="195">
        <f ca="1">IFERROR(基础度量项!AA6/基础度量项!H6,"NA")</f>
        <v>0</v>
      </c>
      <c r="U6" s="234" t="str">
        <f ca="1">IFERROR(基础度量项!AC6/基础度量项!AA6,"NA")</f>
        <v>NA</v>
      </c>
      <c r="V6" s="225" t="str">
        <f ca="1">IFERROR(基础度量项!AB6/基础度量项!AA6,"NA")</f>
        <v>NA</v>
      </c>
      <c r="W6" s="241">
        <f ca="1">IFERROR(基础度量项!AE6/基础度量项!AM6,"NA")</f>
        <v>0</v>
      </c>
      <c r="X6" s="242">
        <f ca="1">IFERROR(基础度量项!AG6/基础度量项!AM6,"NA")</f>
        <v>0</v>
      </c>
      <c r="Y6" s="242">
        <f ca="1">IFERROR(基础度量项!AI6/基础度量项!AM6,"NA")</f>
        <v>1</v>
      </c>
      <c r="Z6" s="243">
        <f ca="1">IFERROR(基础度量项!AK6/基础度量项!AM6,"NA")</f>
        <v>0</v>
      </c>
      <c r="AA6" s="244">
        <f ca="1">IFERROR(基础度量项!I6/基础度量项!G6,"NA")</f>
        <v>-0.22184484754920877</v>
      </c>
      <c r="AB6" s="245">
        <f>IFERROR(1-基础度量项!AO6/基础度量项!AN6,"NA")</f>
        <v>1</v>
      </c>
      <c r="AC6" s="320" t="str">
        <f>IFERROR(1-基础度量项!AQ6/基础度量项!AP6,"NA")</f>
        <v>NA</v>
      </c>
      <c r="AD6" s="51"/>
    </row>
    <row r="7" spans="1:30" ht="14.25">
      <c r="A7" s="104" t="s">
        <v>183</v>
      </c>
      <c r="B7" s="216" t="str">
        <f ca="1">IFERROR(基础度量项!F7/基础度量项!E7,"NA")</f>
        <v>NA</v>
      </c>
      <c r="C7" s="213" t="str">
        <f t="shared" ca="1" si="0"/>
        <v>是</v>
      </c>
      <c r="D7" s="220" t="str">
        <f ca="1">IFERROR(基础度量项!F7/基础度量项!H7,"NA")</f>
        <v>NA</v>
      </c>
      <c r="E7" s="221" t="str">
        <f ca="1">IFERROR(基础度量项!H7/基础度量项!G7,"NA")</f>
        <v>NA</v>
      </c>
      <c r="F7" s="194" t="str">
        <f ca="1">IFERROR(基础度量项!J7/基础度量项!H7,"NA")</f>
        <v>NA</v>
      </c>
      <c r="G7" s="225" t="str">
        <f ca="1">IFERROR(基础度量项!K7/基础度量项!J7,"NA")</f>
        <v>NA</v>
      </c>
      <c r="H7" s="194" t="str">
        <f ca="1">IFERROR(基础度量项!L7/基础度量项!H7,"NA")</f>
        <v>NA</v>
      </c>
      <c r="I7" s="229" t="str">
        <f ca="1">IFERROR(基础度量项!M7/基础度量项!L7,"NA")</f>
        <v>NA</v>
      </c>
      <c r="J7" s="230" t="str">
        <f ca="1">IFERROR(基础度量项!Q7/基础度量项!P7,"NA")</f>
        <v>NA</v>
      </c>
      <c r="K7" s="196" t="str">
        <f ca="1">IFERROR(基础度量项!R7/基础度量项!H7,"NA")</f>
        <v>NA</v>
      </c>
      <c r="L7" s="234" t="str">
        <f ca="1">IFERROR(基础度量项!U7/基础度量项!R7,"NA")</f>
        <v>NA</v>
      </c>
      <c r="M7" s="234" t="str">
        <f ca="1">IFERROR(基础度量项!S7/基础度量项!R7,"NA")</f>
        <v>NA</v>
      </c>
      <c r="N7" s="234" t="str">
        <f ca="1">IFERROR(基础度量项!R7/(基础度量项!R7+基础度量项!T7),"NA")</f>
        <v>NA</v>
      </c>
      <c r="O7" s="234" t="str">
        <f ca="1">IFERROR(基础度量项!R7/基础度量项!O7,"NA")</f>
        <v>NA</v>
      </c>
      <c r="P7" s="225" t="str">
        <f ca="1">IFERROR(基础度量项!R7/基础度量项!AM7,"NA")</f>
        <v>NA</v>
      </c>
      <c r="Q7" s="194" t="str">
        <f ca="1">IFERROR(基础度量项!W7/基础度量项!H7,"NA")</f>
        <v>NA</v>
      </c>
      <c r="R7" s="234" t="str">
        <f ca="1">IFERROR(基础度量项!Y7/基础度量项!W7,"NA")</f>
        <v>NA</v>
      </c>
      <c r="S7" s="229" t="str">
        <f ca="1">IFERROR(基础度量项!X7/基础度量项!W7,"NA")</f>
        <v>NA</v>
      </c>
      <c r="T7" s="195" t="str">
        <f ca="1">IFERROR(基础度量项!AA7/基础度量项!H7,"NA")</f>
        <v>NA</v>
      </c>
      <c r="U7" s="234" t="str">
        <f ca="1">IFERROR(基础度量项!AC7/基础度量项!AA7,"NA")</f>
        <v>NA</v>
      </c>
      <c r="V7" s="225" t="str">
        <f ca="1">IFERROR(基础度量项!AB7/基础度量项!AA7,"NA")</f>
        <v>NA</v>
      </c>
      <c r="W7" s="241" t="str">
        <f ca="1">IFERROR(基础度量项!AE7/基础度量项!AM7,"NA")</f>
        <v>NA</v>
      </c>
      <c r="X7" s="242" t="str">
        <f ca="1">IFERROR(基础度量项!AG7/基础度量项!AM7,"NA")</f>
        <v>NA</v>
      </c>
      <c r="Y7" s="242" t="str">
        <f ca="1">IFERROR(基础度量项!AI7/基础度量项!AM7,"NA")</f>
        <v>NA</v>
      </c>
      <c r="Z7" s="243" t="str">
        <f ca="1">IFERROR(基础度量项!AK7/基础度量项!AM7,"NA")</f>
        <v>NA</v>
      </c>
      <c r="AA7" s="244" t="str">
        <f ca="1">IFERROR(基础度量项!I7/基础度量项!G7,"NA")</f>
        <v>NA</v>
      </c>
      <c r="AB7" s="245">
        <f>IFERROR(1-基础度量项!AO7/基础度量项!AN7,"NA")</f>
        <v>1</v>
      </c>
      <c r="AC7" s="320" t="str">
        <f>IFERROR(1-基础度量项!AQ7/基础度量项!AP7,"NA")</f>
        <v>NA</v>
      </c>
      <c r="AD7" s="51"/>
    </row>
    <row r="8" spans="1:30" ht="14.25">
      <c r="A8" s="104" t="s">
        <v>184</v>
      </c>
      <c r="B8" s="216">
        <f ca="1">IFERROR(基础度量项!F8/基础度量项!E8,"NA")</f>
        <v>1</v>
      </c>
      <c r="C8" s="213" t="str">
        <f t="shared" ca="1" si="0"/>
        <v>是</v>
      </c>
      <c r="D8" s="220" t="str">
        <f ca="1">IFERROR(基础度量项!F8/基础度量项!H8,"NA")</f>
        <v>NA</v>
      </c>
      <c r="E8" s="221" t="str">
        <f ca="1">IFERROR(基础度量项!H8/基础度量项!G8,"NA")</f>
        <v>NA</v>
      </c>
      <c r="F8" s="194" t="str">
        <f ca="1">IFERROR(基础度量项!J8/基础度量项!H8,"NA")</f>
        <v>NA</v>
      </c>
      <c r="G8" s="225">
        <f ca="1">IFERROR(基础度量项!K8/基础度量项!J8,"NA")</f>
        <v>0</v>
      </c>
      <c r="H8" s="194" t="str">
        <f ca="1">IFERROR(基础度量项!L8/基础度量项!H8,"NA")</f>
        <v>NA</v>
      </c>
      <c r="I8" s="229" t="str">
        <f ca="1">IFERROR(基础度量项!M8/基础度量项!L8,"NA")</f>
        <v>NA</v>
      </c>
      <c r="J8" s="230" t="str">
        <f ca="1">IFERROR(基础度量项!Q8/基础度量项!P8,"NA")</f>
        <v>NA</v>
      </c>
      <c r="K8" s="196" t="str">
        <f ca="1">IFERROR(基础度量项!R8/基础度量项!H8,"NA")</f>
        <v>NA</v>
      </c>
      <c r="L8" s="234">
        <f ca="1">IFERROR(基础度量项!U8/基础度量项!R8,"NA")</f>
        <v>0.16513761467889909</v>
      </c>
      <c r="M8" s="234">
        <f ca="1">IFERROR(基础度量项!S8/基础度量项!R8,"NA")</f>
        <v>0.42201834862385323</v>
      </c>
      <c r="N8" s="234">
        <f ca="1">IFERROR(基础度量项!R8/(基础度量项!R8+基础度量项!T8),"NA")</f>
        <v>0.98198198198198194</v>
      </c>
      <c r="O8" s="234" t="str">
        <f ca="1">IFERROR(基础度量项!R8/基础度量项!O8,"NA")</f>
        <v>NA</v>
      </c>
      <c r="P8" s="225">
        <f ca="1">IFERROR(基础度量项!R8/基础度量项!AM8,"NA")</f>
        <v>0.84496124031007747</v>
      </c>
      <c r="Q8" s="194" t="str">
        <f ca="1">IFERROR(基础度量项!W8/基础度量项!H8,"NA")</f>
        <v>NA</v>
      </c>
      <c r="R8" s="234" t="str">
        <f ca="1">IFERROR(基础度量项!Y8/基础度量项!W8,"NA")</f>
        <v>NA</v>
      </c>
      <c r="S8" s="229" t="str">
        <f ca="1">IFERROR(基础度量项!X8/基础度量项!W8,"NA")</f>
        <v>NA</v>
      </c>
      <c r="T8" s="195" t="str">
        <f ca="1">IFERROR(基础度量项!AA8/基础度量项!H8,"NA")</f>
        <v>NA</v>
      </c>
      <c r="U8" s="234" t="str">
        <f ca="1">IFERROR(基础度量项!AC8/基础度量项!AA8,"NA")</f>
        <v>NA</v>
      </c>
      <c r="V8" s="225" t="str">
        <f ca="1">IFERROR(基础度量项!AB8/基础度量项!AA8,"NA")</f>
        <v>NA</v>
      </c>
      <c r="W8" s="241">
        <f ca="1">IFERROR(基础度量项!AE8/基础度量项!AM8,"NA")</f>
        <v>0.15503875968992248</v>
      </c>
      <c r="X8" s="242">
        <f ca="1">IFERROR(基础度量项!AG8/基础度量项!AM8,"NA")</f>
        <v>0.15503875968992248</v>
      </c>
      <c r="Y8" s="242">
        <f ca="1">IFERROR(基础度量项!AI8/基础度量项!AM8,"NA")</f>
        <v>1</v>
      </c>
      <c r="Z8" s="243">
        <f ca="1">IFERROR(基础度量项!AK8/基础度量项!AM8,"NA")</f>
        <v>0</v>
      </c>
      <c r="AA8" s="244" t="str">
        <f ca="1">IFERROR(基础度量项!I8/基础度量项!G8,"NA")</f>
        <v>NA</v>
      </c>
      <c r="AB8" s="245">
        <f>IFERROR(1-基础度量项!AO8/基础度量项!AN8,"NA")</f>
        <v>0.84</v>
      </c>
      <c r="AC8" s="320">
        <f>IFERROR(1-基础度量项!AQ8/基础度量项!AP8,"NA")</f>
        <v>0.8</v>
      </c>
      <c r="AD8" s="51"/>
    </row>
    <row r="9" spans="1:30" ht="14.25">
      <c r="A9" s="104" t="s">
        <v>185</v>
      </c>
      <c r="B9" s="216" t="str">
        <f ca="1">IFERROR(基础度量项!F9/基础度量项!E9,"NA")</f>
        <v>NA</v>
      </c>
      <c r="C9" s="213" t="str">
        <f t="shared" ca="1" si="0"/>
        <v>是</v>
      </c>
      <c r="D9" s="220" t="str">
        <f ca="1">IFERROR(基础度量项!F9/基础度量项!H9,"NA")</f>
        <v>NA</v>
      </c>
      <c r="E9" s="221" t="str">
        <f ca="1">IFERROR(基础度量项!H9/基础度量项!G9,"NA")</f>
        <v>NA</v>
      </c>
      <c r="F9" s="194" t="str">
        <f ca="1">IFERROR(基础度量项!J9/基础度量项!H9,"NA")</f>
        <v>NA</v>
      </c>
      <c r="G9" s="225" t="str">
        <f ca="1">IFERROR(基础度量项!K9/基础度量项!J9,"NA")</f>
        <v>NA</v>
      </c>
      <c r="H9" s="194" t="str">
        <f ca="1">IFERROR(基础度量项!L9/基础度量项!H9,"NA")</f>
        <v>NA</v>
      </c>
      <c r="I9" s="229" t="str">
        <f ca="1">IFERROR(基础度量项!M9/基础度量项!L9,"NA")</f>
        <v>NA</v>
      </c>
      <c r="J9" s="230" t="str">
        <f ca="1">IFERROR(基础度量项!Q9/基础度量项!P9,"NA")</f>
        <v>NA</v>
      </c>
      <c r="K9" s="196" t="str">
        <f ca="1">IFERROR(基础度量项!R9/基础度量项!H9,"NA")</f>
        <v>NA</v>
      </c>
      <c r="L9" s="234" t="str">
        <f ca="1">IFERROR(基础度量项!U9/基础度量项!R9,"NA")</f>
        <v>NA</v>
      </c>
      <c r="M9" s="234" t="str">
        <f ca="1">IFERROR(基础度量项!S9/基础度量项!R9,"NA")</f>
        <v>NA</v>
      </c>
      <c r="N9" s="234" t="str">
        <f ca="1">IFERROR(基础度量项!R9/(基础度量项!R9+基础度量项!T9),"NA")</f>
        <v>NA</v>
      </c>
      <c r="O9" s="234" t="str">
        <f ca="1">IFERROR(基础度量项!R9/基础度量项!O9,"NA")</f>
        <v>NA</v>
      </c>
      <c r="P9" s="225" t="str">
        <f ca="1">IFERROR(基础度量项!R9/基础度量项!AM9,"NA")</f>
        <v>NA</v>
      </c>
      <c r="Q9" s="194" t="str">
        <f ca="1">IFERROR(基础度量项!W9/基础度量项!H9,"NA")</f>
        <v>NA</v>
      </c>
      <c r="R9" s="234" t="str">
        <f ca="1">IFERROR(基础度量项!Y9/基础度量项!W9,"NA")</f>
        <v>NA</v>
      </c>
      <c r="S9" s="229" t="str">
        <f ca="1">IFERROR(基础度量项!X9/基础度量项!W9,"NA")</f>
        <v>NA</v>
      </c>
      <c r="T9" s="195" t="str">
        <f ca="1">IFERROR(基础度量项!AA9/基础度量项!H9,"NA")</f>
        <v>NA</v>
      </c>
      <c r="U9" s="234" t="str">
        <f ca="1">IFERROR(基础度量项!AC9/基础度量项!AA9,"NA")</f>
        <v>NA</v>
      </c>
      <c r="V9" s="225" t="str">
        <f ca="1">IFERROR(基础度量项!AB9/基础度量项!AA9,"NA")</f>
        <v>NA</v>
      </c>
      <c r="W9" s="241" t="str">
        <f ca="1">IFERROR(基础度量项!AE9/基础度量项!AM9,"NA")</f>
        <v>NA</v>
      </c>
      <c r="X9" s="242" t="str">
        <f ca="1">IFERROR(基础度量项!AG9/基础度量项!AM9,"NA")</f>
        <v>NA</v>
      </c>
      <c r="Y9" s="242" t="str">
        <f ca="1">IFERROR(基础度量项!AI9/基础度量项!AM9,"NA")</f>
        <v>NA</v>
      </c>
      <c r="Z9" s="243" t="str">
        <f ca="1">IFERROR(基础度量项!AK9/基础度量项!AM9,"NA")</f>
        <v>NA</v>
      </c>
      <c r="AA9" s="244" t="str">
        <f ca="1">IFERROR(基础度量项!I9/基础度量项!G9,"NA")</f>
        <v>NA</v>
      </c>
      <c r="AB9" s="245" t="str">
        <f>IFERROR(1-基础度量项!AO9/基础度量项!AN9,"NA")</f>
        <v>NA</v>
      </c>
      <c r="AC9" s="320" t="str">
        <f>IFERROR(1-基础度量项!AQ9/基础度量项!AP9,"NA")</f>
        <v>NA</v>
      </c>
      <c r="AD9" s="51"/>
    </row>
    <row r="10" spans="1:30" ht="14.25">
      <c r="A10" s="104" t="s">
        <v>186</v>
      </c>
      <c r="B10" s="216" t="str">
        <f ca="1">IFERROR(基础度量项!F10/基础度量项!E10,"NA")</f>
        <v>NA</v>
      </c>
      <c r="C10" s="213" t="str">
        <f t="shared" ca="1" si="0"/>
        <v>是</v>
      </c>
      <c r="D10" s="220" t="str">
        <f ca="1">IFERROR(基础度量项!F10/基础度量项!H10,"NA")</f>
        <v>NA</v>
      </c>
      <c r="E10" s="221" t="str">
        <f ca="1">IFERROR(基础度量项!H10/基础度量项!G10,"NA")</f>
        <v>NA</v>
      </c>
      <c r="F10" s="194" t="str">
        <f ca="1">IFERROR(基础度量项!J10/基础度量项!H10,"NA")</f>
        <v>NA</v>
      </c>
      <c r="G10" s="225" t="str">
        <f ca="1">IFERROR(基础度量项!K10/基础度量项!J10,"NA")</f>
        <v>NA</v>
      </c>
      <c r="H10" s="194" t="str">
        <f ca="1">IFERROR(基础度量项!L10/基础度量项!H10,"NA")</f>
        <v>NA</v>
      </c>
      <c r="I10" s="229" t="str">
        <f ca="1">IFERROR(基础度量项!M10/基础度量项!L10,"NA")</f>
        <v>NA</v>
      </c>
      <c r="J10" s="230" t="str">
        <f ca="1">IFERROR(基础度量项!Q10/基础度量项!P10,"NA")</f>
        <v>NA</v>
      </c>
      <c r="K10" s="196" t="str">
        <f ca="1">IFERROR(基础度量项!R10/基础度量项!H10,"NA")</f>
        <v>NA</v>
      </c>
      <c r="L10" s="234" t="str">
        <f ca="1">IFERROR(基础度量项!U10/基础度量项!R10,"NA")</f>
        <v>NA</v>
      </c>
      <c r="M10" s="234" t="str">
        <f ca="1">IFERROR(基础度量项!S10/基础度量项!R10,"NA")</f>
        <v>NA</v>
      </c>
      <c r="N10" s="234" t="str">
        <f ca="1">IFERROR(基础度量项!R10/(基础度量项!R10+基础度量项!T10),"NA")</f>
        <v>NA</v>
      </c>
      <c r="O10" s="234" t="str">
        <f ca="1">IFERROR(基础度量项!R10/基础度量项!O10,"NA")</f>
        <v>NA</v>
      </c>
      <c r="P10" s="225" t="str">
        <f ca="1">IFERROR(基础度量项!R10/基础度量项!AM10,"NA")</f>
        <v>NA</v>
      </c>
      <c r="Q10" s="194" t="str">
        <f ca="1">IFERROR(基础度量项!W10/基础度量项!H10,"NA")</f>
        <v>NA</v>
      </c>
      <c r="R10" s="234" t="str">
        <f ca="1">IFERROR(基础度量项!Y10/基础度量项!W10,"NA")</f>
        <v>NA</v>
      </c>
      <c r="S10" s="229" t="str">
        <f ca="1">IFERROR(基础度量项!X10/基础度量项!W10,"NA")</f>
        <v>NA</v>
      </c>
      <c r="T10" s="195" t="str">
        <f ca="1">IFERROR(基础度量项!AA10/基础度量项!H10,"NA")</f>
        <v>NA</v>
      </c>
      <c r="U10" s="234" t="str">
        <f ca="1">IFERROR(基础度量项!AC10/基础度量项!AA10,"NA")</f>
        <v>NA</v>
      </c>
      <c r="V10" s="225" t="str">
        <f ca="1">IFERROR(基础度量项!AB10/基础度量项!AA10,"NA")</f>
        <v>NA</v>
      </c>
      <c r="W10" s="241" t="str">
        <f ca="1">IFERROR(基础度量项!AE10/基础度量项!AM10,"NA")</f>
        <v>NA</v>
      </c>
      <c r="X10" s="242" t="str">
        <f ca="1">IFERROR(基础度量项!AG10/基础度量项!AM10,"NA")</f>
        <v>NA</v>
      </c>
      <c r="Y10" s="242" t="str">
        <f ca="1">IFERROR(基础度量项!AI10/基础度量项!AM10,"NA")</f>
        <v>NA</v>
      </c>
      <c r="Z10" s="243" t="str">
        <f ca="1">IFERROR(基础度量项!AK10/基础度量项!AM10,"NA")</f>
        <v>NA</v>
      </c>
      <c r="AA10" s="244" t="str">
        <f ca="1">IFERROR(基础度量项!I10/基础度量项!G10,"NA")</f>
        <v>NA</v>
      </c>
      <c r="AB10" s="245" t="str">
        <f>IFERROR(1-基础度量项!AO10/基础度量项!AN10,"NA")</f>
        <v>NA</v>
      </c>
      <c r="AC10" s="320" t="str">
        <f>IFERROR(1-基础度量项!AQ10/基础度量项!AP10,"NA")</f>
        <v>NA</v>
      </c>
      <c r="AD10" s="51"/>
    </row>
    <row r="11" spans="1:30" ht="14.25">
      <c r="A11" s="104" t="s">
        <v>187</v>
      </c>
      <c r="B11" s="216" t="str">
        <f ca="1">IFERROR(基础度量项!F11/基础度量项!E11,"NA")</f>
        <v>NA</v>
      </c>
      <c r="C11" s="213" t="str">
        <f t="shared" ca="1" si="0"/>
        <v>是</v>
      </c>
      <c r="D11" s="220" t="str">
        <f ca="1">IFERROR(基础度量项!F11/基础度量项!H11,"NA")</f>
        <v>NA</v>
      </c>
      <c r="E11" s="221" t="str">
        <f ca="1">IFERROR(基础度量项!H11/基础度量项!G11,"NA")</f>
        <v>NA</v>
      </c>
      <c r="F11" s="194" t="str">
        <f ca="1">IFERROR(基础度量项!J11/基础度量项!H11,"NA")</f>
        <v>NA</v>
      </c>
      <c r="G11" s="225" t="str">
        <f ca="1">IFERROR(基础度量项!K11/基础度量项!J11,"NA")</f>
        <v>NA</v>
      </c>
      <c r="H11" s="194" t="str">
        <f ca="1">IFERROR(基础度量项!L11/基础度量项!H11,"NA")</f>
        <v>NA</v>
      </c>
      <c r="I11" s="229" t="str">
        <f ca="1">IFERROR(基础度量项!M11/基础度量项!L11,"NA")</f>
        <v>NA</v>
      </c>
      <c r="J11" s="230" t="str">
        <f ca="1">IFERROR(基础度量项!Q11/基础度量项!P11,"NA")</f>
        <v>NA</v>
      </c>
      <c r="K11" s="196" t="str">
        <f ca="1">IFERROR(基础度量项!R11/基础度量项!H11,"NA")</f>
        <v>NA</v>
      </c>
      <c r="L11" s="234" t="str">
        <f ca="1">IFERROR(基础度量项!U11/基础度量项!R11,"NA")</f>
        <v>NA</v>
      </c>
      <c r="M11" s="234" t="str">
        <f ca="1">IFERROR(基础度量项!S11/基础度量项!R11,"NA")</f>
        <v>NA</v>
      </c>
      <c r="N11" s="234" t="str">
        <f ca="1">IFERROR(基础度量项!R11/(基础度量项!R11+基础度量项!T11),"NA")</f>
        <v>NA</v>
      </c>
      <c r="O11" s="234" t="str">
        <f ca="1">IFERROR(基础度量项!R11/基础度量项!O11,"NA")</f>
        <v>NA</v>
      </c>
      <c r="P11" s="225" t="str">
        <f ca="1">IFERROR(基础度量项!R11/基础度量项!AM11,"NA")</f>
        <v>NA</v>
      </c>
      <c r="Q11" s="194" t="str">
        <f ca="1">IFERROR(基础度量项!W11/基础度量项!H11,"NA")</f>
        <v>NA</v>
      </c>
      <c r="R11" s="234" t="str">
        <f ca="1">IFERROR(基础度量项!Y11/基础度量项!W11,"NA")</f>
        <v>NA</v>
      </c>
      <c r="S11" s="229" t="str">
        <f ca="1">IFERROR(基础度量项!X11/基础度量项!W11,"NA")</f>
        <v>NA</v>
      </c>
      <c r="T11" s="195" t="str">
        <f ca="1">IFERROR(基础度量项!AA11/基础度量项!H11,"NA")</f>
        <v>NA</v>
      </c>
      <c r="U11" s="234" t="str">
        <f ca="1">IFERROR(基础度量项!AC11/基础度量项!AA11,"NA")</f>
        <v>NA</v>
      </c>
      <c r="V11" s="225" t="str">
        <f ca="1">IFERROR(基础度量项!AB11/基础度量项!AA11,"NA")</f>
        <v>NA</v>
      </c>
      <c r="W11" s="241" t="str">
        <f ca="1">IFERROR(基础度量项!AE11/基础度量项!AM11,"NA")</f>
        <v>NA</v>
      </c>
      <c r="X11" s="242" t="str">
        <f ca="1">IFERROR(基础度量项!AG11/基础度量项!AM11,"NA")</f>
        <v>NA</v>
      </c>
      <c r="Y11" s="242" t="str">
        <f ca="1">IFERROR(基础度量项!AI11/基础度量项!AM11,"NA")</f>
        <v>NA</v>
      </c>
      <c r="Z11" s="243" t="str">
        <f ca="1">IFERROR(基础度量项!AK11/基础度量项!AM11,"NA")</f>
        <v>NA</v>
      </c>
      <c r="AA11" s="244" t="str">
        <f ca="1">IFERROR(基础度量项!I11/基础度量项!G11,"NA")</f>
        <v>NA</v>
      </c>
      <c r="AB11" s="245" t="str">
        <f>IFERROR(1-基础度量项!AO11/基础度量项!AN11,"NA")</f>
        <v>NA</v>
      </c>
      <c r="AC11" s="320" t="str">
        <f>IFERROR(1-基础度量项!AQ11/基础度量项!AP11,"NA")</f>
        <v>NA</v>
      </c>
      <c r="AD11" s="51"/>
    </row>
    <row r="12" spans="1:30" ht="14.25">
      <c r="A12" s="104" t="s">
        <v>188</v>
      </c>
      <c r="B12" s="216" t="str">
        <f ca="1">IFERROR(基础度量项!F12/基础度量项!E12,"NA")</f>
        <v>NA</v>
      </c>
      <c r="C12" s="213" t="str">
        <f t="shared" ca="1" si="0"/>
        <v>是</v>
      </c>
      <c r="D12" s="220" t="str">
        <f ca="1">IFERROR(基础度量项!F12/基础度量项!H12,"NA")</f>
        <v>NA</v>
      </c>
      <c r="E12" s="221" t="str">
        <f ca="1">IFERROR(基础度量项!H12/基础度量项!G12,"NA")</f>
        <v>NA</v>
      </c>
      <c r="F12" s="194" t="str">
        <f ca="1">IFERROR(基础度量项!J12/基础度量项!H12,"NA")</f>
        <v>NA</v>
      </c>
      <c r="G12" s="225" t="str">
        <f ca="1">IFERROR(基础度量项!K12/基础度量项!J12,"NA")</f>
        <v>NA</v>
      </c>
      <c r="H12" s="194" t="str">
        <f ca="1">IFERROR(基础度量项!L12/基础度量项!H12,"NA")</f>
        <v>NA</v>
      </c>
      <c r="I12" s="229" t="str">
        <f ca="1">IFERROR(基础度量项!M12/基础度量项!L12,"NA")</f>
        <v>NA</v>
      </c>
      <c r="J12" s="230" t="str">
        <f ca="1">IFERROR(基础度量项!Q12/基础度量项!P12,"NA")</f>
        <v>NA</v>
      </c>
      <c r="K12" s="196" t="str">
        <f ca="1">IFERROR(基础度量项!R12/基础度量项!H12,"NA")</f>
        <v>NA</v>
      </c>
      <c r="L12" s="234" t="str">
        <f ca="1">IFERROR(基础度量项!U12/基础度量项!R12,"NA")</f>
        <v>NA</v>
      </c>
      <c r="M12" s="234" t="str">
        <f ca="1">IFERROR(基础度量项!S12/基础度量项!R12,"NA")</f>
        <v>NA</v>
      </c>
      <c r="N12" s="234" t="str">
        <f ca="1">IFERROR(基础度量项!R12/(基础度量项!R12+基础度量项!T12),"NA")</f>
        <v>NA</v>
      </c>
      <c r="O12" s="234" t="str">
        <f ca="1">IFERROR(基础度量项!R12/基础度量项!O12,"NA")</f>
        <v>NA</v>
      </c>
      <c r="P12" s="225" t="str">
        <f ca="1">IFERROR(基础度量项!R12/基础度量项!AM12,"NA")</f>
        <v>NA</v>
      </c>
      <c r="Q12" s="194" t="str">
        <f ca="1">IFERROR(基础度量项!W12/基础度量项!H12,"NA")</f>
        <v>NA</v>
      </c>
      <c r="R12" s="234" t="str">
        <f ca="1">IFERROR(基础度量项!Y12/基础度量项!W12,"NA")</f>
        <v>NA</v>
      </c>
      <c r="S12" s="229" t="str">
        <f ca="1">IFERROR(基础度量项!X12/基础度量项!W12,"NA")</f>
        <v>NA</v>
      </c>
      <c r="T12" s="195" t="str">
        <f ca="1">IFERROR(基础度量项!AA12/基础度量项!H12,"NA")</f>
        <v>NA</v>
      </c>
      <c r="U12" s="234" t="str">
        <f ca="1">IFERROR(基础度量项!AC12/基础度量项!AA12,"NA")</f>
        <v>NA</v>
      </c>
      <c r="V12" s="225" t="str">
        <f ca="1">IFERROR(基础度量项!AB12/基础度量项!AA12,"NA")</f>
        <v>NA</v>
      </c>
      <c r="W12" s="241" t="str">
        <f ca="1">IFERROR(基础度量项!AE12/基础度量项!AM12,"NA")</f>
        <v>NA</v>
      </c>
      <c r="X12" s="242" t="str">
        <f ca="1">IFERROR(基础度量项!AG12/基础度量项!AM12,"NA")</f>
        <v>NA</v>
      </c>
      <c r="Y12" s="242" t="str">
        <f ca="1">IFERROR(基础度量项!AI12/基础度量项!AM12,"NA")</f>
        <v>NA</v>
      </c>
      <c r="Z12" s="243" t="str">
        <f ca="1">IFERROR(基础度量项!AK12/基础度量项!AM12,"NA")</f>
        <v>NA</v>
      </c>
      <c r="AA12" s="244" t="str">
        <f ca="1">IFERROR(基础度量项!I12/基础度量项!G12,"NA")</f>
        <v>NA</v>
      </c>
      <c r="AB12" s="245" t="str">
        <f>IFERROR(1-基础度量项!AO12/基础度量项!AN12,"NA")</f>
        <v>NA</v>
      </c>
      <c r="AC12" s="320" t="str">
        <f>IFERROR(1-基础度量项!AQ12/基础度量项!AP12,"NA")</f>
        <v>NA</v>
      </c>
      <c r="AD12" s="51"/>
    </row>
    <row r="13" spans="1:30" ht="15" thickBot="1">
      <c r="A13" s="105" t="s">
        <v>189</v>
      </c>
      <c r="B13" s="217" t="str">
        <f ca="1">IFERROR(基础度量项!F13/基础度量项!E13,"NA")</f>
        <v>NA</v>
      </c>
      <c r="C13" s="214" t="str">
        <f t="shared" ca="1" si="0"/>
        <v>是</v>
      </c>
      <c r="D13" s="222" t="str">
        <f ca="1">IFERROR(基础度量项!F13/基础度量项!H13,"NA")</f>
        <v>NA</v>
      </c>
      <c r="E13" s="223" t="str">
        <f ca="1">IFERROR(基础度量项!H13/基础度量项!G13,"NA")</f>
        <v>NA</v>
      </c>
      <c r="F13" s="197" t="str">
        <f ca="1">IFERROR(基础度量项!J13/基础度量项!H13,"NA")</f>
        <v>NA</v>
      </c>
      <c r="G13" s="226" t="str">
        <f ca="1">IFERROR(基础度量项!K13/基础度量项!J13,"NA")</f>
        <v>NA</v>
      </c>
      <c r="H13" s="197" t="str">
        <f ca="1">IFERROR(基础度量项!L13/基础度量项!H13,"NA")</f>
        <v>NA</v>
      </c>
      <c r="I13" s="231" t="str">
        <f ca="1">IFERROR(基础度量项!M13/基础度量项!L13,"NA")</f>
        <v>NA</v>
      </c>
      <c r="J13" s="232" t="str">
        <f ca="1">IFERROR(基础度量项!Q13/基础度量项!P13,"NA")</f>
        <v>NA</v>
      </c>
      <c r="K13" s="199" t="str">
        <f ca="1">IFERROR(基础度量项!R13/基础度量项!H13,"NA")</f>
        <v>NA</v>
      </c>
      <c r="L13" s="235" t="str">
        <f ca="1">IFERROR(基础度量项!U13/基础度量项!R13,"NA")</f>
        <v>NA</v>
      </c>
      <c r="M13" s="235" t="str">
        <f ca="1">IFERROR(基础度量项!S13/基础度量项!R13,"NA")</f>
        <v>NA</v>
      </c>
      <c r="N13" s="235" t="str">
        <f ca="1">IFERROR(基础度量项!R13/(基础度量项!R13+基础度量项!T13),"NA")</f>
        <v>NA</v>
      </c>
      <c r="O13" s="235" t="str">
        <f ca="1">IFERROR(基础度量项!R13/基础度量项!O13,"NA")</f>
        <v>NA</v>
      </c>
      <c r="P13" s="226" t="str">
        <f ca="1">IFERROR(基础度量项!R13/基础度量项!AM13,"NA")</f>
        <v>NA</v>
      </c>
      <c r="Q13" s="197" t="str">
        <f ca="1">IFERROR(基础度量项!W13/基础度量项!H13,"NA")</f>
        <v>NA</v>
      </c>
      <c r="R13" s="235" t="str">
        <f ca="1">IFERROR(基础度量项!Y13/基础度量项!W13,"NA")</f>
        <v>NA</v>
      </c>
      <c r="S13" s="231" t="str">
        <f ca="1">IFERROR(基础度量项!X13/基础度量项!W13,"NA")</f>
        <v>NA</v>
      </c>
      <c r="T13" s="198" t="str">
        <f ca="1">IFERROR(基础度量项!AA13/基础度量项!H13,"NA")</f>
        <v>NA</v>
      </c>
      <c r="U13" s="235" t="str">
        <f ca="1">IFERROR(基础度量项!AC13/基础度量项!AA13,"NA")</f>
        <v>NA</v>
      </c>
      <c r="V13" s="226" t="str">
        <f ca="1">IFERROR(基础度量项!AB13/基础度量项!AA13,"NA")</f>
        <v>NA</v>
      </c>
      <c r="W13" s="246" t="str">
        <f ca="1">IFERROR(基础度量项!AE13/基础度量项!AM13,"NA")</f>
        <v>NA</v>
      </c>
      <c r="X13" s="247" t="str">
        <f ca="1">IFERROR(基础度量项!AG13/基础度量项!AM13,"NA")</f>
        <v>NA</v>
      </c>
      <c r="Y13" s="247" t="str">
        <f ca="1">IFERROR(基础度量项!AI13/基础度量项!AM13,"NA")</f>
        <v>NA</v>
      </c>
      <c r="Z13" s="248" t="str">
        <f ca="1">IFERROR(基础度量项!AK13/基础度量项!AM13,"NA")</f>
        <v>NA</v>
      </c>
      <c r="AA13" s="249" t="str">
        <f ca="1">IFERROR(基础度量项!I13/基础度量项!G13,"NA")</f>
        <v>NA</v>
      </c>
      <c r="AB13" s="250" t="str">
        <f>IFERROR(1-基础度量项!AO13/基础度量项!AN13,"NA")</f>
        <v>NA</v>
      </c>
      <c r="AC13" s="323" t="str">
        <f>IFERROR(1-基础度量项!AQ13/基础度量项!AP13,"NA")</f>
        <v>NA</v>
      </c>
      <c r="AD13" s="264"/>
    </row>
    <row r="14" spans="1:30">
      <c r="A14" s="41"/>
      <c r="B14" s="41"/>
      <c r="C14" s="41"/>
      <c r="D14" s="41"/>
      <c r="E14" s="41"/>
      <c r="F14" s="91"/>
      <c r="G14" s="54"/>
      <c r="H14" s="91"/>
      <c r="I14" s="54"/>
      <c r="J14" s="54"/>
      <c r="K14" s="91"/>
      <c r="L14" s="54"/>
      <c r="M14" s="88"/>
      <c r="N14" s="88"/>
      <c r="O14" s="88"/>
      <c r="P14" s="54"/>
      <c r="Q14" s="91"/>
      <c r="R14" s="54"/>
      <c r="S14" s="54"/>
      <c r="T14" s="91"/>
      <c r="U14" s="54"/>
      <c r="V14" s="54"/>
      <c r="W14" s="42"/>
      <c r="X14" s="42"/>
      <c r="Y14" s="42"/>
      <c r="Z14" s="42"/>
      <c r="AA14" s="42"/>
      <c r="AB14" s="94"/>
      <c r="AC14" s="94"/>
      <c r="AD14" s="52"/>
    </row>
  </sheetData>
  <mergeCells count="8">
    <mergeCell ref="B2:E2"/>
    <mergeCell ref="W2:Z2"/>
    <mergeCell ref="AD2:AD4"/>
    <mergeCell ref="J2:P2"/>
    <mergeCell ref="F2:G2"/>
    <mergeCell ref="H2:I2"/>
    <mergeCell ref="Q2:S2"/>
    <mergeCell ref="T2:V2"/>
  </mergeCells>
  <phoneticPr fontId="1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R34"/>
  <sheetViews>
    <sheetView zoomScale="90" zoomScaleNormal="90" workbookViewId="0">
      <pane ySplit="4" topLeftCell="A5" activePane="bottomLeft" state="frozen"/>
      <selection pane="bottomLeft" activeCell="A8" sqref="A8:XFD8"/>
    </sheetView>
  </sheetViews>
  <sheetFormatPr defaultColWidth="9.140625" defaultRowHeight="12.75"/>
  <cols>
    <col min="1" max="1" width="10.85546875" customWidth="1"/>
    <col min="2" max="3" width="6.7109375" customWidth="1"/>
    <col min="4" max="4" width="10.7109375" customWidth="1"/>
    <col min="5" max="39" width="6.7109375" customWidth="1"/>
    <col min="40" max="43" width="6.85546875" customWidth="1"/>
    <col min="44" max="44" width="36.85546875" customWidth="1"/>
  </cols>
  <sheetData>
    <row r="1" spans="1:44" ht="13.5" thickBot="1"/>
    <row r="2" spans="1:44" s="66" customFormat="1" ht="39" customHeight="1">
      <c r="A2" s="397" t="s">
        <v>180</v>
      </c>
      <c r="B2" s="388" t="s">
        <v>207</v>
      </c>
      <c r="C2" s="386"/>
      <c r="D2" s="396"/>
      <c r="E2" s="388" t="s">
        <v>132</v>
      </c>
      <c r="F2" s="387"/>
      <c r="G2" s="385" t="s">
        <v>62</v>
      </c>
      <c r="H2" s="386"/>
      <c r="I2" s="396"/>
      <c r="J2" s="388" t="s">
        <v>225</v>
      </c>
      <c r="K2" s="390"/>
      <c r="L2" s="385" t="s">
        <v>124</v>
      </c>
      <c r="M2" s="395"/>
      <c r="N2" s="388" t="s">
        <v>0</v>
      </c>
      <c r="O2" s="386"/>
      <c r="P2" s="386"/>
      <c r="Q2" s="386"/>
      <c r="R2" s="386"/>
      <c r="S2" s="386"/>
      <c r="T2" s="386"/>
      <c r="U2" s="386"/>
      <c r="V2" s="387"/>
      <c r="W2" s="385" t="s">
        <v>135</v>
      </c>
      <c r="X2" s="386"/>
      <c r="Y2" s="386"/>
      <c r="Z2" s="396"/>
      <c r="AA2" s="388" t="s">
        <v>64</v>
      </c>
      <c r="AB2" s="386"/>
      <c r="AC2" s="386"/>
      <c r="AD2" s="387"/>
      <c r="AE2" s="385" t="s">
        <v>2</v>
      </c>
      <c r="AF2" s="389"/>
      <c r="AG2" s="389"/>
      <c r="AH2" s="389"/>
      <c r="AI2" s="389"/>
      <c r="AJ2" s="389"/>
      <c r="AK2" s="389"/>
      <c r="AL2" s="389"/>
      <c r="AM2" s="395"/>
      <c r="AN2" s="399" t="s">
        <v>3</v>
      </c>
      <c r="AO2" s="395"/>
      <c r="AP2" s="388" t="s">
        <v>310</v>
      </c>
      <c r="AQ2" s="390"/>
      <c r="AR2" s="391" t="s">
        <v>4</v>
      </c>
    </row>
    <row r="3" spans="1:44" s="95" customFormat="1" ht="12.75" customHeight="1">
      <c r="A3" s="398"/>
      <c r="B3" s="119" t="s">
        <v>212</v>
      </c>
      <c r="C3" s="120" t="s">
        <v>5</v>
      </c>
      <c r="D3" s="121" t="s">
        <v>6</v>
      </c>
      <c r="E3" s="119" t="s">
        <v>7</v>
      </c>
      <c r="F3" s="122" t="s">
        <v>8</v>
      </c>
      <c r="G3" s="123" t="s">
        <v>9</v>
      </c>
      <c r="H3" s="120" t="s">
        <v>10</v>
      </c>
      <c r="I3" s="121" t="s">
        <v>11</v>
      </c>
      <c r="J3" s="119" t="s">
        <v>12</v>
      </c>
      <c r="K3" s="122" t="s">
        <v>13</v>
      </c>
      <c r="L3" s="123" t="s">
        <v>14</v>
      </c>
      <c r="M3" s="121" t="s">
        <v>15</v>
      </c>
      <c r="N3" s="119" t="s">
        <v>16</v>
      </c>
      <c r="O3" s="120" t="s">
        <v>17</v>
      </c>
      <c r="P3" s="120" t="s">
        <v>18</v>
      </c>
      <c r="Q3" s="120" t="s">
        <v>19</v>
      </c>
      <c r="R3" s="120" t="s">
        <v>20</v>
      </c>
      <c r="S3" s="120" t="s">
        <v>21</v>
      </c>
      <c r="T3" s="120" t="s">
        <v>22</v>
      </c>
      <c r="U3" s="120" t="s">
        <v>23</v>
      </c>
      <c r="V3" s="122" t="s">
        <v>24</v>
      </c>
      <c r="W3" s="123" t="s">
        <v>25</v>
      </c>
      <c r="X3" s="120" t="s">
        <v>28</v>
      </c>
      <c r="Y3" s="120" t="s">
        <v>26</v>
      </c>
      <c r="Z3" s="121" t="s">
        <v>27</v>
      </c>
      <c r="AA3" s="119" t="s">
        <v>29</v>
      </c>
      <c r="AB3" s="120" t="s">
        <v>30</v>
      </c>
      <c r="AC3" s="120" t="s">
        <v>31</v>
      </c>
      <c r="AD3" s="122" t="s">
        <v>32</v>
      </c>
      <c r="AE3" s="123" t="s">
        <v>33</v>
      </c>
      <c r="AF3" s="120" t="s">
        <v>213</v>
      </c>
      <c r="AG3" s="120" t="s">
        <v>214</v>
      </c>
      <c r="AH3" s="120" t="s">
        <v>215</v>
      </c>
      <c r="AI3" s="120" t="s">
        <v>216</v>
      </c>
      <c r="AJ3" s="120" t="s">
        <v>217</v>
      </c>
      <c r="AK3" s="120" t="s">
        <v>218</v>
      </c>
      <c r="AL3" s="120" t="s">
        <v>219</v>
      </c>
      <c r="AM3" s="121" t="s">
        <v>220</v>
      </c>
      <c r="AN3" s="119" t="s">
        <v>232</v>
      </c>
      <c r="AO3" s="121" t="s">
        <v>233</v>
      </c>
      <c r="AP3" s="315" t="s">
        <v>311</v>
      </c>
      <c r="AQ3" s="316" t="s">
        <v>312</v>
      </c>
      <c r="AR3" s="392"/>
    </row>
    <row r="4" spans="1:44" ht="65.25" customHeight="1" thickBot="1">
      <c r="A4" s="398"/>
      <c r="B4" s="106" t="s">
        <v>272</v>
      </c>
      <c r="C4" s="47" t="s">
        <v>208</v>
      </c>
      <c r="D4" s="107" t="s">
        <v>222</v>
      </c>
      <c r="E4" s="106" t="s">
        <v>210</v>
      </c>
      <c r="F4" s="40" t="s">
        <v>211</v>
      </c>
      <c r="G4" s="168" t="s">
        <v>284</v>
      </c>
      <c r="H4" s="117" t="s">
        <v>285</v>
      </c>
      <c r="I4" s="118" t="s">
        <v>286</v>
      </c>
      <c r="J4" s="106" t="s">
        <v>105</v>
      </c>
      <c r="K4" s="40" t="s">
        <v>106</v>
      </c>
      <c r="L4" s="49" t="s">
        <v>107</v>
      </c>
      <c r="M4" s="107" t="s">
        <v>108</v>
      </c>
      <c r="N4" s="106" t="s">
        <v>226</v>
      </c>
      <c r="O4" s="47" t="s">
        <v>227</v>
      </c>
      <c r="P4" s="47" t="s">
        <v>133</v>
      </c>
      <c r="Q4" s="47" t="s">
        <v>134</v>
      </c>
      <c r="R4" s="67" t="s">
        <v>34</v>
      </c>
      <c r="S4" s="86" t="s">
        <v>228</v>
      </c>
      <c r="T4" s="86" t="s">
        <v>293</v>
      </c>
      <c r="U4" s="86" t="s">
        <v>229</v>
      </c>
      <c r="V4" s="178" t="s">
        <v>37</v>
      </c>
      <c r="W4" s="49" t="s">
        <v>125</v>
      </c>
      <c r="X4" s="47" t="s">
        <v>126</v>
      </c>
      <c r="Y4" s="47" t="s">
        <v>230</v>
      </c>
      <c r="Z4" s="107" t="s">
        <v>127</v>
      </c>
      <c r="AA4" s="106" t="s">
        <v>65</v>
      </c>
      <c r="AB4" s="47" t="s">
        <v>66</v>
      </c>
      <c r="AC4" s="47" t="s">
        <v>231</v>
      </c>
      <c r="AD4" s="40" t="s">
        <v>68</v>
      </c>
      <c r="AE4" s="179" t="s">
        <v>38</v>
      </c>
      <c r="AF4" s="39" t="s">
        <v>39</v>
      </c>
      <c r="AG4" s="39" t="s">
        <v>40</v>
      </c>
      <c r="AH4" s="39" t="s">
        <v>41</v>
      </c>
      <c r="AI4" s="53" t="s">
        <v>128</v>
      </c>
      <c r="AJ4" s="53" t="s">
        <v>130</v>
      </c>
      <c r="AK4" s="53" t="s">
        <v>131</v>
      </c>
      <c r="AL4" s="53" t="s">
        <v>129</v>
      </c>
      <c r="AM4" s="107" t="s">
        <v>276</v>
      </c>
      <c r="AN4" s="106" t="s">
        <v>163</v>
      </c>
      <c r="AO4" s="311" t="s">
        <v>164</v>
      </c>
      <c r="AP4" s="309" t="s">
        <v>313</v>
      </c>
      <c r="AQ4" s="310" t="s">
        <v>322</v>
      </c>
      <c r="AR4" s="393"/>
    </row>
    <row r="5" spans="1:44">
      <c r="A5" s="103" t="s">
        <v>181</v>
      </c>
      <c r="B5" s="124"/>
      <c r="C5" s="125"/>
      <c r="D5" s="131"/>
      <c r="E5" s="114">
        <f ca="1">VLOOKUP("合计",INDIRECT("需求明细_"&amp;RIGHT($A5,3)&amp;"!$B$5:$AG$500"),3,FALSE)</f>
        <v>13</v>
      </c>
      <c r="F5" s="172">
        <f ca="1">VLOOKUP("合计",INDIRECT("需求明细_"&amp;RIGHT($A5,3)&amp;"!$B$5:$AG$500"),4,FALSE)</f>
        <v>0</v>
      </c>
      <c r="G5" s="169">
        <f ca="1">VLOOKUP("合计",INDIRECT("需求明细_"&amp;RIGHT($A5,3)&amp;"!$B$5:$AG$500"),5,FALSE)</f>
        <v>0</v>
      </c>
      <c r="H5" s="116">
        <f ca="1">VLOOKUP("合计",INDIRECT("需求明细_"&amp;RIGHT($A5,3)&amp;"!$B$5:$AG$500"),6,FALSE)</f>
        <v>0</v>
      </c>
      <c r="I5" s="175">
        <f ca="1">H5-G5</f>
        <v>0</v>
      </c>
      <c r="J5" s="114">
        <f ca="1">VLOOKUP("合计",INDIRECT("需求明细_"&amp;RIGHT($A5,3)&amp;"!$B$5:$AG$500"),7,FALSE)</f>
        <v>0</v>
      </c>
      <c r="K5" s="172">
        <f ca="1">VLOOKUP("合计",INDIRECT("需求明细_"&amp;RIGHT($A5,3)&amp;"!$B$5:$AG$500"),8,FALSE)</f>
        <v>0</v>
      </c>
      <c r="L5" s="169">
        <f ca="1">VLOOKUP("合计",INDIRECT("需求明细_"&amp;RIGHT($A5,3)&amp;"!$B$5:$AG$500"),9,FALSE)</f>
        <v>0</v>
      </c>
      <c r="M5" s="115">
        <f ca="1">VLOOKUP("合计",INDIRECT("需求明细_"&amp;RIGHT($A5,3)&amp;"!$B$5:$AG$500"),10,FALSE)</f>
        <v>0</v>
      </c>
      <c r="N5" s="114">
        <f ca="1">VLOOKUP("合计",INDIRECT("需求明细_"&amp;RIGHT($A5,3)&amp;"!$B$5:$AG$500"),11,FALSE)</f>
        <v>0</v>
      </c>
      <c r="O5" s="116">
        <f ca="1">VLOOKUP("合计",INDIRECT("需求明细_"&amp;RIGHT($A5,3)&amp;"!$B$5:$AG$500"),12,FALSE)</f>
        <v>0</v>
      </c>
      <c r="P5" s="116">
        <f ca="1">VLOOKUP("合计",INDIRECT("需求明细_"&amp;RIGHT($A5,3)&amp;"!$B$5:$AG$500"),13,FALSE)</f>
        <v>0</v>
      </c>
      <c r="Q5" s="116">
        <f ca="1">VLOOKUP("合计",INDIRECT("需求明细_"&amp;RIGHT($A5,3)&amp;"!$B$5:$AG$500"),14,FALSE)</f>
        <v>0</v>
      </c>
      <c r="R5" s="116">
        <f ca="1">VLOOKUP("合计",INDIRECT("需求明细_"&amp;RIGHT($A5,3)&amp;"!$B$5:$AG$500"),15,FALSE)</f>
        <v>0</v>
      </c>
      <c r="S5" s="116">
        <f ca="1">VLOOKUP("合计",INDIRECT("需求明细_"&amp;RIGHT($A5,3)&amp;"!$B$5:$AG$500"),16,FALSE)</f>
        <v>0</v>
      </c>
      <c r="T5" s="116">
        <f ca="1">VLOOKUP("合计",INDIRECT("需求明细_"&amp;RIGHT($A5,3)&amp;"!$B$5:$AG$500"),17,FALSE)</f>
        <v>0</v>
      </c>
      <c r="U5" s="116">
        <f ca="1">VLOOKUP("合计",INDIRECT("需求明细_"&amp;RIGHT($A5,3)&amp;"!$B$5:$AG$500"),18,FALSE)</f>
        <v>0</v>
      </c>
      <c r="V5" s="172">
        <f ca="1">VLOOKUP("合计",INDIRECT("需求明细_"&amp;RIGHT($A5,3)&amp;"!$B$5:$AG$500"),19,FALSE)</f>
        <v>0</v>
      </c>
      <c r="W5" s="169">
        <f ca="1">VLOOKUP("合计",INDIRECT("需求明细_"&amp;RIGHT($A5,3)&amp;"!$B$5:$AG$500"),20,FALSE)</f>
        <v>0</v>
      </c>
      <c r="X5" s="116">
        <f ca="1">VLOOKUP("合计",INDIRECT("需求明细_"&amp;RIGHT($A5,3)&amp;"!$B$5:$AG$500"),21,FALSE)</f>
        <v>0</v>
      </c>
      <c r="Y5" s="116">
        <f ca="1">VLOOKUP("合计",INDIRECT("需求明细_"&amp;RIGHT($A5,3)&amp;"!$B$5:$AG$500"),22,FALSE)</f>
        <v>0</v>
      </c>
      <c r="Z5" s="115">
        <f ca="1">VLOOKUP("合计",INDIRECT("需求明细_"&amp;RIGHT($A5,3)&amp;"!$B$5:$AG$500"),23,FALSE)</f>
        <v>0</v>
      </c>
      <c r="AA5" s="114">
        <f ca="1">VLOOKUP("合计",INDIRECT("需求明细_"&amp;RIGHT($A5,3)&amp;"!$B$5:$AG$500"),24,FALSE)</f>
        <v>0</v>
      </c>
      <c r="AB5" s="116">
        <f ca="1">VLOOKUP("合计",INDIRECT("需求明细_"&amp;RIGHT($A5,3)&amp;"!$B$5:$AG$500"),25,FALSE)</f>
        <v>0</v>
      </c>
      <c r="AC5" s="116">
        <f ca="1">VLOOKUP("合计",INDIRECT("需求明细_"&amp;RIGHT($A5,3)&amp;"!$B$5:$AG$500"),26,FALSE)</f>
        <v>0</v>
      </c>
      <c r="AD5" s="172">
        <f ca="1">VLOOKUP("合计",INDIRECT("需求明细_"&amp;RIGHT($A5,3)&amp;"!$B$5:$AG$500"),27,FALSE)</f>
        <v>0</v>
      </c>
      <c r="AE5" s="180">
        <f ca="1">J5</f>
        <v>0</v>
      </c>
      <c r="AF5" s="50">
        <f ca="1">K5</f>
        <v>0</v>
      </c>
      <c r="AG5" s="50">
        <f ca="1">J5+L5</f>
        <v>0</v>
      </c>
      <c r="AH5" s="50">
        <f ca="1">K5+M5</f>
        <v>0</v>
      </c>
      <c r="AI5" s="50">
        <f ca="1">J5+L5+R5</f>
        <v>0</v>
      </c>
      <c r="AJ5" s="50">
        <f ca="1">K5+M5+S5</f>
        <v>0</v>
      </c>
      <c r="AK5" s="50">
        <f ca="1">AA5</f>
        <v>0</v>
      </c>
      <c r="AL5" s="50">
        <f ca="1">AB5</f>
        <v>0</v>
      </c>
      <c r="AM5" s="175">
        <f ca="1">AI5+AK5</f>
        <v>0</v>
      </c>
      <c r="AN5" s="255">
        <f>COUNTIFS(检查单明细!$A$3:$A$50000,A5,检查单明细!$E$3:$E$50000,"Y")+COUNTIFS(检查单明细!$A$3:$A$50000,A5,检查单明细!$E$3:$E$50000,"N")</f>
        <v>26</v>
      </c>
      <c r="AO5" s="312">
        <f>COUNTIFS(检查单明细!$A$3:$A$50000,A5,检查单明细!$E$3:$E$50000,"N")</f>
        <v>6</v>
      </c>
      <c r="AP5" s="255">
        <f>COUNTIFS(配置审计明细!$A$3:$A$50000,A5,配置审计明细!$D$3:$D$50000,"Y")+COUNTIFS(配置审计明细!$A$3:$A$50000,A5,配置审计明细!$D$3:$D$50000,"N")</f>
        <v>0</v>
      </c>
      <c r="AQ5" s="256">
        <f>COUNTIFS(配置审计明细!$A$3:$A$50000,A5,配置审计明细!$D$3:$D$50000,"N")</f>
        <v>0</v>
      </c>
      <c r="AR5" s="164"/>
    </row>
    <row r="6" spans="1:44" ht="14.25">
      <c r="A6" s="104" t="s">
        <v>182</v>
      </c>
      <c r="B6" s="126"/>
      <c r="C6" s="127"/>
      <c r="D6" s="132"/>
      <c r="E6" s="109">
        <f t="shared" ref="E6:E13" ca="1" si="0">VLOOKUP("合计",INDIRECT("需求明细_"&amp;RIGHT($A6,3)&amp;"!$B$5:$AG$500"),3,FALSE)</f>
        <v>108</v>
      </c>
      <c r="F6" s="173">
        <f t="shared" ref="F6:F13" ca="1" si="1">VLOOKUP("合计",INDIRECT("需求明细_"&amp;RIGHT($A6,3)&amp;"!$B$5:$AG$500"),4,FALSE)</f>
        <v>110</v>
      </c>
      <c r="G6" s="170">
        <f t="shared" ref="G6:G13" ca="1" si="2">VLOOKUP("合计",INDIRECT("需求明细_"&amp;RIGHT($A6,3)&amp;"!$B$5:$AG$500"),5,FALSE)</f>
        <v>647.75</v>
      </c>
      <c r="H6" s="108">
        <f t="shared" ref="H6:H13" ca="1" si="3">VLOOKUP("合计",INDIRECT("需求明细_"&amp;RIGHT($A6,3)&amp;"!$B$5:$AG$500"),6,FALSE)</f>
        <v>504.05</v>
      </c>
      <c r="I6" s="176">
        <f t="shared" ref="I6:I13" ca="1" si="4">H6-G6</f>
        <v>-143.69999999999999</v>
      </c>
      <c r="J6" s="109">
        <f t="shared" ref="J6:J13" ca="1" si="5">VLOOKUP("合计",INDIRECT("需求明细_"&amp;RIGHT($A6,3)&amp;"!$B$5:$AG$500"),7,FALSE)</f>
        <v>0</v>
      </c>
      <c r="K6" s="173">
        <f t="shared" ref="K6:K13" ca="1" si="6">VLOOKUP("合计",INDIRECT("需求明细_"&amp;RIGHT($A6,3)&amp;"!$B$5:$AG$500"),8,FALSE)</f>
        <v>0</v>
      </c>
      <c r="L6" s="170">
        <f t="shared" ref="L6:L13" ca="1" si="7">VLOOKUP("合计",INDIRECT("需求明细_"&amp;RIGHT($A6,3)&amp;"!$B$5:$AG$500"),9,FALSE)</f>
        <v>0</v>
      </c>
      <c r="M6" s="111">
        <f t="shared" ref="M6:M13" ca="1" si="8">VLOOKUP("合计",INDIRECT("需求明细_"&amp;RIGHT($A6,3)&amp;"!$B$5:$AG$500"),10,FALSE)</f>
        <v>0</v>
      </c>
      <c r="N6" s="109">
        <f t="shared" ref="N6:N13" ca="1" si="9">VLOOKUP("合计",INDIRECT("需求明细_"&amp;RIGHT($A6,3)&amp;"!$B$5:$AG$500"),11,FALSE)</f>
        <v>219</v>
      </c>
      <c r="O6" s="108">
        <f t="shared" ref="O6:O13" ca="1" si="10">VLOOKUP("合计",INDIRECT("需求明细_"&amp;RIGHT($A6,3)&amp;"!$B$5:$AG$500"),12,FALSE)</f>
        <v>216</v>
      </c>
      <c r="P6" s="108">
        <f t="shared" ref="P6:P13" ca="1" si="11">VLOOKUP("合计",INDIRECT("需求明细_"&amp;RIGHT($A6,3)&amp;"!$B$5:$AG$500"),13,FALSE)</f>
        <v>0</v>
      </c>
      <c r="Q6" s="108">
        <f t="shared" ref="Q6:Q13" ca="1" si="12">VLOOKUP("合计",INDIRECT("需求明细_"&amp;RIGHT($A6,3)&amp;"!$B$5:$AG$500"),14,FALSE)</f>
        <v>0</v>
      </c>
      <c r="R6" s="108">
        <f t="shared" ref="R6:R13" ca="1" si="13">VLOOKUP("合计",INDIRECT("需求明细_"&amp;RIGHT($A6,3)&amp;"!$B$5:$AG$500"),15,FALSE)</f>
        <v>256</v>
      </c>
      <c r="S6" s="108">
        <f t="shared" ref="S6:S13" ca="1" si="14">VLOOKUP("合计",INDIRECT("需求明细_"&amp;RIGHT($A6,3)&amp;"!$B$5:$AG$500"),16,FALSE)</f>
        <v>232</v>
      </c>
      <c r="T6" s="108">
        <f t="shared" ref="T6:T13" ca="1" si="15">VLOOKUP("合计",INDIRECT("需求明细_"&amp;RIGHT($A6,3)&amp;"!$B$5:$AG$500"),17,FALSE)</f>
        <v>33</v>
      </c>
      <c r="U6" s="108">
        <f t="shared" ref="U6:U13" ca="1" si="16">VLOOKUP("合计",INDIRECT("需求明细_"&amp;RIGHT($A6,3)&amp;"!$B$5:$AG$500"),18,FALSE)</f>
        <v>73</v>
      </c>
      <c r="V6" s="173">
        <f t="shared" ref="V6:V13" ca="1" si="17">VLOOKUP("合计",INDIRECT("需求明细_"&amp;RIGHT($A6,3)&amp;"!$B$5:$AG$500"),19,FALSE)</f>
        <v>67</v>
      </c>
      <c r="W6" s="170">
        <f t="shared" ref="W6:W13" ca="1" si="18">VLOOKUP("合计",INDIRECT("需求明细_"&amp;RIGHT($A6,3)&amp;"!$B$5:$AG$500"),20,FALSE)</f>
        <v>0</v>
      </c>
      <c r="X6" s="108">
        <f t="shared" ref="X6:X13" ca="1" si="19">VLOOKUP("合计",INDIRECT("需求明细_"&amp;RIGHT($A6,3)&amp;"!$B$5:$AG$500"),21,FALSE)</f>
        <v>0</v>
      </c>
      <c r="Y6" s="108">
        <f t="shared" ref="Y6:Y13" ca="1" si="20">VLOOKUP("合计",INDIRECT("需求明细_"&amp;RIGHT($A6,3)&amp;"!$B$5:$AG$500"),22,FALSE)</f>
        <v>0</v>
      </c>
      <c r="Z6" s="111">
        <f t="shared" ref="Z6:Z13" ca="1" si="21">VLOOKUP("合计",INDIRECT("需求明细_"&amp;RIGHT($A6,3)&amp;"!$B$5:$AG$500"),23,FALSE)</f>
        <v>0</v>
      </c>
      <c r="AA6" s="109">
        <f t="shared" ref="AA6:AA13" ca="1" si="22">VLOOKUP("合计",INDIRECT("需求明细_"&amp;RIGHT($A6,3)&amp;"!$B$5:$AG$500"),24,FALSE)</f>
        <v>0</v>
      </c>
      <c r="AB6" s="108">
        <f t="shared" ref="AB6:AB13" ca="1" si="23">VLOOKUP("合计",INDIRECT("需求明细_"&amp;RIGHT($A6,3)&amp;"!$B$5:$AG$500"),25,FALSE)</f>
        <v>0</v>
      </c>
      <c r="AC6" s="108">
        <f t="shared" ref="AC6:AC13" ca="1" si="24">VLOOKUP("合计",INDIRECT("需求明细_"&amp;RIGHT($A6,3)&amp;"!$B$5:$AG$500"),26,FALSE)</f>
        <v>0</v>
      </c>
      <c r="AD6" s="173">
        <f t="shared" ref="AD6:AD13" ca="1" si="25">VLOOKUP("合计",INDIRECT("需求明细_"&amp;RIGHT($A6,3)&amp;"!$B$5:$AG$500"),27,FALSE)</f>
        <v>0</v>
      </c>
      <c r="AE6" s="181">
        <f t="shared" ref="AE6:AE13" ca="1" si="26">J6</f>
        <v>0</v>
      </c>
      <c r="AF6" s="65">
        <f t="shared" ref="AF6:AF13" ca="1" si="27">K6</f>
        <v>0</v>
      </c>
      <c r="AG6" s="65">
        <f t="shared" ref="AG6:AG13" ca="1" si="28">J6+L6</f>
        <v>0</v>
      </c>
      <c r="AH6" s="65">
        <f t="shared" ref="AH6:AH13" ca="1" si="29">K6+M6</f>
        <v>0</v>
      </c>
      <c r="AI6" s="65">
        <f t="shared" ref="AI6:AI13" ca="1" si="30">J6+L6+R6</f>
        <v>256</v>
      </c>
      <c r="AJ6" s="65">
        <f t="shared" ref="AJ6:AJ13" ca="1" si="31">K6+M6+S6</f>
        <v>232</v>
      </c>
      <c r="AK6" s="65">
        <f t="shared" ref="AK6:AK13" ca="1" si="32">AA6</f>
        <v>0</v>
      </c>
      <c r="AL6" s="65">
        <f t="shared" ref="AL6:AL13" ca="1" si="33">AB6</f>
        <v>0</v>
      </c>
      <c r="AM6" s="176">
        <f t="shared" ref="AM6:AM13" ca="1" si="34">AI6+AK6</f>
        <v>256</v>
      </c>
      <c r="AN6" s="183">
        <f>COUNTIFS(检查单明细!$A$3:$A$50000,A6,检查单明细!$E$3:$E$50000,"Y")+COUNTIFS(检查单明细!$A$3:$A$50000,A6,检查单明细!$E$3:$E$50000,"N")</f>
        <v>19</v>
      </c>
      <c r="AO6" s="313">
        <f>COUNTIFS(检查单明细!$A$3:$A$50000,A6,检查单明细!$E$3:$E$50000,"N")</f>
        <v>0</v>
      </c>
      <c r="AP6" s="183">
        <f>COUNTIFS(配置审计明细!$A$3:$A$50000,A6,配置审计明细!$D$3:$D$50000,"Y")+COUNTIFS(配置审计明细!$A$3:$A$50000,A6,配置审计明细!$D$3:$D$50000,"N")</f>
        <v>0</v>
      </c>
      <c r="AQ6" s="167">
        <f>COUNTIFS(配置审计明细!$A$3:$A$50000,A6,配置审计明细!$D$3:$D$50000,"N")</f>
        <v>0</v>
      </c>
      <c r="AR6" s="165"/>
    </row>
    <row r="7" spans="1:44" ht="14.25">
      <c r="A7" s="104" t="s">
        <v>183</v>
      </c>
      <c r="B7" s="126"/>
      <c r="C7" s="127"/>
      <c r="D7" s="132"/>
      <c r="E7" s="109">
        <f t="shared" ca="1" si="0"/>
        <v>0</v>
      </c>
      <c r="F7" s="173">
        <f t="shared" ca="1" si="1"/>
        <v>0</v>
      </c>
      <c r="G7" s="170">
        <f t="shared" ca="1" si="2"/>
        <v>0</v>
      </c>
      <c r="H7" s="108">
        <f t="shared" ca="1" si="3"/>
        <v>0</v>
      </c>
      <c r="I7" s="176">
        <f t="shared" ca="1" si="4"/>
        <v>0</v>
      </c>
      <c r="J7" s="109">
        <f t="shared" ca="1" si="5"/>
        <v>0</v>
      </c>
      <c r="K7" s="173">
        <f t="shared" ca="1" si="6"/>
        <v>0</v>
      </c>
      <c r="L7" s="170">
        <f t="shared" ca="1" si="7"/>
        <v>0</v>
      </c>
      <c r="M7" s="111">
        <f t="shared" ca="1" si="8"/>
        <v>0</v>
      </c>
      <c r="N7" s="109">
        <f t="shared" ca="1" si="9"/>
        <v>0</v>
      </c>
      <c r="O7" s="108">
        <f t="shared" ca="1" si="10"/>
        <v>0</v>
      </c>
      <c r="P7" s="108">
        <f t="shared" ca="1" si="11"/>
        <v>0</v>
      </c>
      <c r="Q7" s="108">
        <f t="shared" ca="1" si="12"/>
        <v>0</v>
      </c>
      <c r="R7" s="108">
        <f t="shared" ca="1" si="13"/>
        <v>0</v>
      </c>
      <c r="S7" s="108">
        <f t="shared" ca="1" si="14"/>
        <v>0</v>
      </c>
      <c r="T7" s="108">
        <f t="shared" ca="1" si="15"/>
        <v>0</v>
      </c>
      <c r="U7" s="108">
        <f t="shared" ca="1" si="16"/>
        <v>0</v>
      </c>
      <c r="V7" s="173">
        <f t="shared" ca="1" si="17"/>
        <v>0</v>
      </c>
      <c r="W7" s="170">
        <f t="shared" ca="1" si="18"/>
        <v>0</v>
      </c>
      <c r="X7" s="108">
        <f t="shared" ca="1" si="19"/>
        <v>0</v>
      </c>
      <c r="Y7" s="108">
        <f t="shared" ca="1" si="20"/>
        <v>0</v>
      </c>
      <c r="Z7" s="111">
        <f t="shared" ca="1" si="21"/>
        <v>0</v>
      </c>
      <c r="AA7" s="109">
        <f t="shared" ca="1" si="22"/>
        <v>0</v>
      </c>
      <c r="AB7" s="108">
        <f t="shared" ca="1" si="23"/>
        <v>0</v>
      </c>
      <c r="AC7" s="108">
        <f t="shared" ca="1" si="24"/>
        <v>0</v>
      </c>
      <c r="AD7" s="173">
        <f t="shared" ca="1" si="25"/>
        <v>0</v>
      </c>
      <c r="AE7" s="181">
        <f t="shared" ca="1" si="26"/>
        <v>0</v>
      </c>
      <c r="AF7" s="65">
        <f t="shared" ca="1" si="27"/>
        <v>0</v>
      </c>
      <c r="AG7" s="65">
        <f t="shared" ca="1" si="28"/>
        <v>0</v>
      </c>
      <c r="AH7" s="65">
        <f t="shared" ca="1" si="29"/>
        <v>0</v>
      </c>
      <c r="AI7" s="65">
        <f t="shared" ca="1" si="30"/>
        <v>0</v>
      </c>
      <c r="AJ7" s="65">
        <f t="shared" ca="1" si="31"/>
        <v>0</v>
      </c>
      <c r="AK7" s="65">
        <f t="shared" ca="1" si="32"/>
        <v>0</v>
      </c>
      <c r="AL7" s="65">
        <f t="shared" ca="1" si="33"/>
        <v>0</v>
      </c>
      <c r="AM7" s="176">
        <f t="shared" ca="1" si="34"/>
        <v>0</v>
      </c>
      <c r="AN7" s="183">
        <f>COUNTIFS(检查单明细!$A$3:$A$50000,A7,检查单明细!$E$3:$E$50000,"Y")+COUNTIFS(检查单明细!$A$3:$A$50000,A7,检查单明细!$E$3:$E$50000,"N")</f>
        <v>12</v>
      </c>
      <c r="AO7" s="313">
        <f>COUNTIFS(检查单明细!$A$3:$A$50000,A7,检查单明细!$E$3:$E$50000,"N")</f>
        <v>0</v>
      </c>
      <c r="AP7" s="183">
        <f>COUNTIFS(配置审计明细!$A$3:$A$50000,A7,配置审计明细!$D$3:$D$50000,"Y")+COUNTIFS(配置审计明细!$A$3:$A$50000,A7,配置审计明细!$D$3:$D$50000,"N")</f>
        <v>0</v>
      </c>
      <c r="AQ7" s="167">
        <f>COUNTIFS(配置审计明细!$A$3:$A$50000,A7,配置审计明细!$D$3:$D$50000,"N")</f>
        <v>0</v>
      </c>
      <c r="AR7" s="165"/>
    </row>
    <row r="8" spans="1:44" ht="14.25">
      <c r="A8" s="104" t="s">
        <v>184</v>
      </c>
      <c r="B8" s="126"/>
      <c r="C8" s="127"/>
      <c r="D8" s="132"/>
      <c r="E8" s="109">
        <f t="shared" ca="1" si="0"/>
        <v>45</v>
      </c>
      <c r="F8" s="173">
        <f t="shared" ca="1" si="1"/>
        <v>45</v>
      </c>
      <c r="G8" s="170">
        <f t="shared" ca="1" si="2"/>
        <v>0</v>
      </c>
      <c r="H8" s="108">
        <f t="shared" ca="1" si="3"/>
        <v>0</v>
      </c>
      <c r="I8" s="176">
        <f t="shared" ca="1" si="4"/>
        <v>0</v>
      </c>
      <c r="J8" s="109">
        <f t="shared" ca="1" si="5"/>
        <v>20</v>
      </c>
      <c r="K8" s="173">
        <f t="shared" ca="1" si="6"/>
        <v>0</v>
      </c>
      <c r="L8" s="170">
        <f t="shared" ca="1" si="7"/>
        <v>0</v>
      </c>
      <c r="M8" s="111">
        <f t="shared" ca="1" si="8"/>
        <v>0</v>
      </c>
      <c r="N8" s="109">
        <f t="shared" ca="1" si="9"/>
        <v>160</v>
      </c>
      <c r="O8" s="108">
        <f t="shared" ca="1" si="10"/>
        <v>0</v>
      </c>
      <c r="P8" s="108">
        <f t="shared" ca="1" si="11"/>
        <v>0</v>
      </c>
      <c r="Q8" s="108">
        <f t="shared" ca="1" si="12"/>
        <v>0</v>
      </c>
      <c r="R8" s="108">
        <f t="shared" ca="1" si="13"/>
        <v>109</v>
      </c>
      <c r="S8" s="108">
        <f t="shared" ca="1" si="14"/>
        <v>46</v>
      </c>
      <c r="T8" s="108">
        <f t="shared" ca="1" si="15"/>
        <v>2</v>
      </c>
      <c r="U8" s="108">
        <f t="shared" ca="1" si="16"/>
        <v>18</v>
      </c>
      <c r="V8" s="173">
        <f t="shared" ca="1" si="17"/>
        <v>4</v>
      </c>
      <c r="W8" s="170">
        <f t="shared" ca="1" si="18"/>
        <v>0</v>
      </c>
      <c r="X8" s="108">
        <f t="shared" ca="1" si="19"/>
        <v>0</v>
      </c>
      <c r="Y8" s="108">
        <f t="shared" ca="1" si="20"/>
        <v>0</v>
      </c>
      <c r="Z8" s="111">
        <f t="shared" ca="1" si="21"/>
        <v>0</v>
      </c>
      <c r="AA8" s="109">
        <f t="shared" ca="1" si="22"/>
        <v>0</v>
      </c>
      <c r="AB8" s="108">
        <f t="shared" ca="1" si="23"/>
        <v>0</v>
      </c>
      <c r="AC8" s="108">
        <f t="shared" ca="1" si="24"/>
        <v>0</v>
      </c>
      <c r="AD8" s="173">
        <f t="shared" ca="1" si="25"/>
        <v>0</v>
      </c>
      <c r="AE8" s="181">
        <f t="shared" ca="1" si="26"/>
        <v>20</v>
      </c>
      <c r="AF8" s="65">
        <f t="shared" ca="1" si="27"/>
        <v>0</v>
      </c>
      <c r="AG8" s="65">
        <f t="shared" ca="1" si="28"/>
        <v>20</v>
      </c>
      <c r="AH8" s="65">
        <f t="shared" ca="1" si="29"/>
        <v>0</v>
      </c>
      <c r="AI8" s="65">
        <f t="shared" ca="1" si="30"/>
        <v>129</v>
      </c>
      <c r="AJ8" s="65">
        <f t="shared" ca="1" si="31"/>
        <v>46</v>
      </c>
      <c r="AK8" s="65">
        <f t="shared" ca="1" si="32"/>
        <v>0</v>
      </c>
      <c r="AL8" s="65">
        <f t="shared" ca="1" si="33"/>
        <v>0</v>
      </c>
      <c r="AM8" s="176">
        <f t="shared" ca="1" si="34"/>
        <v>129</v>
      </c>
      <c r="AN8" s="183">
        <f>COUNTIFS(检查单明细!$A$3:$A$50000,A8,检查单明细!$E$3:$E$50000,"Y")+COUNTIFS(检查单明细!$A$3:$A$50000,A8,检查单明细!$E$3:$E$50000,"N")</f>
        <v>25</v>
      </c>
      <c r="AO8" s="313">
        <f>COUNTIFS(检查单明细!$A$3:$A$50000,A8,检查单明细!$E$3:$E$50000,"N")</f>
        <v>4</v>
      </c>
      <c r="AP8" s="183">
        <f>COUNTIFS(配置审计明细!$A$3:$A$50000,A8,配置审计明细!$D$3:$D$50000,"Y")+COUNTIFS(配置审计明细!$A$3:$A$50000,A8,配置审计明细!$D$3:$D$50000,"N")</f>
        <v>40</v>
      </c>
      <c r="AQ8" s="167">
        <f>COUNTIFS(配置审计明细!$A$3:$A$50000,A8,配置审计明细!$D$3:$D$50000,"N")</f>
        <v>8</v>
      </c>
      <c r="AR8" s="165"/>
    </row>
    <row r="9" spans="1:44" ht="14.25">
      <c r="A9" s="104" t="s">
        <v>185</v>
      </c>
      <c r="B9" s="126"/>
      <c r="C9" s="127"/>
      <c r="D9" s="132"/>
      <c r="E9" s="109">
        <f t="shared" ca="1" si="0"/>
        <v>0</v>
      </c>
      <c r="F9" s="173">
        <f t="shared" ca="1" si="1"/>
        <v>0</v>
      </c>
      <c r="G9" s="170">
        <f t="shared" ca="1" si="2"/>
        <v>0</v>
      </c>
      <c r="H9" s="108">
        <f t="shared" ca="1" si="3"/>
        <v>0</v>
      </c>
      <c r="I9" s="176">
        <f t="shared" ca="1" si="4"/>
        <v>0</v>
      </c>
      <c r="J9" s="109">
        <f t="shared" ca="1" si="5"/>
        <v>0</v>
      </c>
      <c r="K9" s="173">
        <f t="shared" ca="1" si="6"/>
        <v>0</v>
      </c>
      <c r="L9" s="170">
        <f t="shared" ca="1" si="7"/>
        <v>0</v>
      </c>
      <c r="M9" s="111">
        <f t="shared" ca="1" si="8"/>
        <v>0</v>
      </c>
      <c r="N9" s="109">
        <f t="shared" ca="1" si="9"/>
        <v>0</v>
      </c>
      <c r="O9" s="108">
        <f t="shared" ca="1" si="10"/>
        <v>0</v>
      </c>
      <c r="P9" s="108">
        <f t="shared" ca="1" si="11"/>
        <v>0</v>
      </c>
      <c r="Q9" s="108">
        <f t="shared" ca="1" si="12"/>
        <v>0</v>
      </c>
      <c r="R9" s="108">
        <f t="shared" ca="1" si="13"/>
        <v>0</v>
      </c>
      <c r="S9" s="108">
        <f t="shared" ca="1" si="14"/>
        <v>0</v>
      </c>
      <c r="T9" s="108">
        <f t="shared" ca="1" si="15"/>
        <v>0</v>
      </c>
      <c r="U9" s="108">
        <f t="shared" ca="1" si="16"/>
        <v>0</v>
      </c>
      <c r="V9" s="173">
        <f t="shared" ca="1" si="17"/>
        <v>0</v>
      </c>
      <c r="W9" s="170">
        <f t="shared" ca="1" si="18"/>
        <v>0</v>
      </c>
      <c r="X9" s="108">
        <f t="shared" ca="1" si="19"/>
        <v>0</v>
      </c>
      <c r="Y9" s="108">
        <f t="shared" ca="1" si="20"/>
        <v>0</v>
      </c>
      <c r="Z9" s="111">
        <f t="shared" ca="1" si="21"/>
        <v>0</v>
      </c>
      <c r="AA9" s="109">
        <f t="shared" ca="1" si="22"/>
        <v>0</v>
      </c>
      <c r="AB9" s="108">
        <f t="shared" ca="1" si="23"/>
        <v>0</v>
      </c>
      <c r="AC9" s="108">
        <f t="shared" ca="1" si="24"/>
        <v>0</v>
      </c>
      <c r="AD9" s="173">
        <f t="shared" ca="1" si="25"/>
        <v>0</v>
      </c>
      <c r="AE9" s="181">
        <f t="shared" ca="1" si="26"/>
        <v>0</v>
      </c>
      <c r="AF9" s="65">
        <f t="shared" ca="1" si="27"/>
        <v>0</v>
      </c>
      <c r="AG9" s="65">
        <f t="shared" ca="1" si="28"/>
        <v>0</v>
      </c>
      <c r="AH9" s="65">
        <f t="shared" ca="1" si="29"/>
        <v>0</v>
      </c>
      <c r="AI9" s="65">
        <f t="shared" ca="1" si="30"/>
        <v>0</v>
      </c>
      <c r="AJ9" s="65">
        <f t="shared" ca="1" si="31"/>
        <v>0</v>
      </c>
      <c r="AK9" s="65">
        <f t="shared" ca="1" si="32"/>
        <v>0</v>
      </c>
      <c r="AL9" s="65">
        <f t="shared" ca="1" si="33"/>
        <v>0</v>
      </c>
      <c r="AM9" s="176">
        <f t="shared" ca="1" si="34"/>
        <v>0</v>
      </c>
      <c r="AN9" s="183">
        <f>COUNTIFS(检查单明细!$A$3:$A$50000,A9,检查单明细!$E$3:$E$50000,"Y")+COUNTIFS(检查单明细!$A$3:$A$50000,A9,检查单明细!$E$3:$E$50000,"N")</f>
        <v>0</v>
      </c>
      <c r="AO9" s="313">
        <f>COUNTIFS(检查单明细!$A$3:$A$50000,A9,检查单明细!$E$3:$E$50000,"N")</f>
        <v>0</v>
      </c>
      <c r="AP9" s="183">
        <f>COUNTIFS(配置审计明细!$A$3:$A$50000,A9,配置审计明细!$D$3:$D$50000,"Y")+COUNTIFS(配置审计明细!$A$3:$A$50000,A9,配置审计明细!$D$3:$D$50000,"N")</f>
        <v>0</v>
      </c>
      <c r="AQ9" s="167">
        <f>COUNTIFS(配置审计明细!$A$3:$A$50000,A9,配置审计明细!$D$3:$D$50000,"N")</f>
        <v>0</v>
      </c>
      <c r="AR9" s="165"/>
    </row>
    <row r="10" spans="1:44" ht="14.25">
      <c r="A10" s="104" t="s">
        <v>186</v>
      </c>
      <c r="B10" s="126"/>
      <c r="C10" s="127"/>
      <c r="D10" s="132"/>
      <c r="E10" s="109">
        <f t="shared" ca="1" si="0"/>
        <v>0</v>
      </c>
      <c r="F10" s="173">
        <f t="shared" ca="1" si="1"/>
        <v>0</v>
      </c>
      <c r="G10" s="170">
        <f t="shared" ca="1" si="2"/>
        <v>0</v>
      </c>
      <c r="H10" s="108">
        <f t="shared" ca="1" si="3"/>
        <v>0</v>
      </c>
      <c r="I10" s="176">
        <f t="shared" ca="1" si="4"/>
        <v>0</v>
      </c>
      <c r="J10" s="109">
        <f t="shared" ca="1" si="5"/>
        <v>0</v>
      </c>
      <c r="K10" s="173">
        <f t="shared" ca="1" si="6"/>
        <v>0</v>
      </c>
      <c r="L10" s="170">
        <f t="shared" ca="1" si="7"/>
        <v>0</v>
      </c>
      <c r="M10" s="111">
        <f t="shared" ca="1" si="8"/>
        <v>0</v>
      </c>
      <c r="N10" s="109">
        <f t="shared" ca="1" si="9"/>
        <v>0</v>
      </c>
      <c r="O10" s="108">
        <f t="shared" ca="1" si="10"/>
        <v>0</v>
      </c>
      <c r="P10" s="108">
        <f t="shared" ca="1" si="11"/>
        <v>0</v>
      </c>
      <c r="Q10" s="108">
        <f t="shared" ca="1" si="12"/>
        <v>0</v>
      </c>
      <c r="R10" s="108">
        <f t="shared" ca="1" si="13"/>
        <v>0</v>
      </c>
      <c r="S10" s="108">
        <f t="shared" ca="1" si="14"/>
        <v>0</v>
      </c>
      <c r="T10" s="108">
        <f t="shared" ca="1" si="15"/>
        <v>0</v>
      </c>
      <c r="U10" s="108">
        <f t="shared" ca="1" si="16"/>
        <v>0</v>
      </c>
      <c r="V10" s="173">
        <f t="shared" ca="1" si="17"/>
        <v>0</v>
      </c>
      <c r="W10" s="170">
        <f t="shared" ca="1" si="18"/>
        <v>0</v>
      </c>
      <c r="X10" s="108">
        <f t="shared" ca="1" si="19"/>
        <v>0</v>
      </c>
      <c r="Y10" s="108">
        <f t="shared" ca="1" si="20"/>
        <v>0</v>
      </c>
      <c r="Z10" s="111">
        <f t="shared" ca="1" si="21"/>
        <v>0</v>
      </c>
      <c r="AA10" s="109">
        <f t="shared" ca="1" si="22"/>
        <v>0</v>
      </c>
      <c r="AB10" s="108">
        <f t="shared" ca="1" si="23"/>
        <v>0</v>
      </c>
      <c r="AC10" s="108">
        <f t="shared" ca="1" si="24"/>
        <v>0</v>
      </c>
      <c r="AD10" s="173">
        <f t="shared" ca="1" si="25"/>
        <v>0</v>
      </c>
      <c r="AE10" s="181">
        <f t="shared" ca="1" si="26"/>
        <v>0</v>
      </c>
      <c r="AF10" s="65">
        <f t="shared" ca="1" si="27"/>
        <v>0</v>
      </c>
      <c r="AG10" s="65">
        <f t="shared" ca="1" si="28"/>
        <v>0</v>
      </c>
      <c r="AH10" s="65">
        <f t="shared" ca="1" si="29"/>
        <v>0</v>
      </c>
      <c r="AI10" s="65">
        <f t="shared" ca="1" si="30"/>
        <v>0</v>
      </c>
      <c r="AJ10" s="65">
        <f t="shared" ca="1" si="31"/>
        <v>0</v>
      </c>
      <c r="AK10" s="65">
        <f t="shared" ca="1" si="32"/>
        <v>0</v>
      </c>
      <c r="AL10" s="65">
        <f t="shared" ca="1" si="33"/>
        <v>0</v>
      </c>
      <c r="AM10" s="176">
        <f t="shared" ca="1" si="34"/>
        <v>0</v>
      </c>
      <c r="AN10" s="183">
        <f>COUNTIFS(检查单明细!$A$3:$A$50000,A10,检查单明细!$E$3:$E$50000,"Y")+COUNTIFS(检查单明细!$A$3:$A$50000,A10,检查单明细!$E$3:$E$50000,"N")</f>
        <v>0</v>
      </c>
      <c r="AO10" s="313">
        <f>COUNTIFS(检查单明细!$A$3:$A$50000,A10,检查单明细!$E$3:$E$50000,"N")</f>
        <v>0</v>
      </c>
      <c r="AP10" s="183">
        <f>COUNTIFS(配置审计明细!$A$3:$A$50000,A10,配置审计明细!$D$3:$D$50000,"Y")+COUNTIFS(配置审计明细!$A$3:$A$50000,A10,配置审计明细!$D$3:$D$50000,"N")</f>
        <v>0</v>
      </c>
      <c r="AQ10" s="167">
        <f>COUNTIFS(配置审计明细!$A$3:$A$50000,A10,配置审计明细!$D$3:$D$50000,"N")</f>
        <v>0</v>
      </c>
      <c r="AR10" s="165"/>
    </row>
    <row r="11" spans="1:44" ht="14.25">
      <c r="A11" s="104" t="s">
        <v>187</v>
      </c>
      <c r="B11" s="126"/>
      <c r="C11" s="127"/>
      <c r="D11" s="132"/>
      <c r="E11" s="109">
        <f t="shared" ca="1" si="0"/>
        <v>0</v>
      </c>
      <c r="F11" s="173">
        <f t="shared" ca="1" si="1"/>
        <v>0</v>
      </c>
      <c r="G11" s="170">
        <f t="shared" ca="1" si="2"/>
        <v>0</v>
      </c>
      <c r="H11" s="108">
        <f t="shared" ca="1" si="3"/>
        <v>0</v>
      </c>
      <c r="I11" s="176">
        <f t="shared" ca="1" si="4"/>
        <v>0</v>
      </c>
      <c r="J11" s="109">
        <f t="shared" ca="1" si="5"/>
        <v>0</v>
      </c>
      <c r="K11" s="173">
        <f t="shared" ca="1" si="6"/>
        <v>0</v>
      </c>
      <c r="L11" s="170">
        <f t="shared" ca="1" si="7"/>
        <v>0</v>
      </c>
      <c r="M11" s="111">
        <f t="shared" ca="1" si="8"/>
        <v>0</v>
      </c>
      <c r="N11" s="109">
        <f t="shared" ca="1" si="9"/>
        <v>0</v>
      </c>
      <c r="O11" s="108">
        <f t="shared" ca="1" si="10"/>
        <v>0</v>
      </c>
      <c r="P11" s="108">
        <f t="shared" ca="1" si="11"/>
        <v>0</v>
      </c>
      <c r="Q11" s="108">
        <f t="shared" ca="1" si="12"/>
        <v>0</v>
      </c>
      <c r="R11" s="108">
        <f t="shared" ca="1" si="13"/>
        <v>0</v>
      </c>
      <c r="S11" s="108">
        <f t="shared" ca="1" si="14"/>
        <v>0</v>
      </c>
      <c r="T11" s="108">
        <f t="shared" ca="1" si="15"/>
        <v>0</v>
      </c>
      <c r="U11" s="108">
        <f t="shared" ca="1" si="16"/>
        <v>0</v>
      </c>
      <c r="V11" s="173">
        <f t="shared" ca="1" si="17"/>
        <v>0</v>
      </c>
      <c r="W11" s="170">
        <f t="shared" ca="1" si="18"/>
        <v>0</v>
      </c>
      <c r="X11" s="108">
        <f t="shared" ca="1" si="19"/>
        <v>0</v>
      </c>
      <c r="Y11" s="108">
        <f t="shared" ca="1" si="20"/>
        <v>0</v>
      </c>
      <c r="Z11" s="111">
        <f t="shared" ca="1" si="21"/>
        <v>0</v>
      </c>
      <c r="AA11" s="109">
        <f t="shared" ca="1" si="22"/>
        <v>0</v>
      </c>
      <c r="AB11" s="108">
        <f t="shared" ca="1" si="23"/>
        <v>0</v>
      </c>
      <c r="AC11" s="108">
        <f t="shared" ca="1" si="24"/>
        <v>0</v>
      </c>
      <c r="AD11" s="173">
        <f t="shared" ca="1" si="25"/>
        <v>0</v>
      </c>
      <c r="AE11" s="181">
        <f t="shared" ca="1" si="26"/>
        <v>0</v>
      </c>
      <c r="AF11" s="65">
        <f t="shared" ca="1" si="27"/>
        <v>0</v>
      </c>
      <c r="AG11" s="65">
        <f t="shared" ca="1" si="28"/>
        <v>0</v>
      </c>
      <c r="AH11" s="65">
        <f t="shared" ca="1" si="29"/>
        <v>0</v>
      </c>
      <c r="AI11" s="65">
        <f t="shared" ca="1" si="30"/>
        <v>0</v>
      </c>
      <c r="AJ11" s="65">
        <f t="shared" ca="1" si="31"/>
        <v>0</v>
      </c>
      <c r="AK11" s="65">
        <f t="shared" ca="1" si="32"/>
        <v>0</v>
      </c>
      <c r="AL11" s="65">
        <f t="shared" ca="1" si="33"/>
        <v>0</v>
      </c>
      <c r="AM11" s="176">
        <f t="shared" ca="1" si="34"/>
        <v>0</v>
      </c>
      <c r="AN11" s="183">
        <f>COUNTIFS(检查单明细!$A$3:$A$50000,A11,检查单明细!$E$3:$E$50000,"Y")+COUNTIFS(检查单明细!$A$3:$A$50000,A11,检查单明细!$E$3:$E$50000,"N")</f>
        <v>0</v>
      </c>
      <c r="AO11" s="313">
        <f>COUNTIFS(检查单明细!$A$3:$A$50000,A11,检查单明细!$E$3:$E$50000,"N")</f>
        <v>0</v>
      </c>
      <c r="AP11" s="183">
        <f>COUNTIFS(配置审计明细!$A$3:$A$50000,A11,配置审计明细!$D$3:$D$50000,"Y")+COUNTIFS(配置审计明细!$A$3:$A$50000,A11,配置审计明细!$D$3:$D$50000,"N")</f>
        <v>0</v>
      </c>
      <c r="AQ11" s="167">
        <f>COUNTIFS(配置审计明细!$A$3:$A$50000,A11,配置审计明细!$D$3:$D$50000,"N")</f>
        <v>0</v>
      </c>
      <c r="AR11" s="165"/>
    </row>
    <row r="12" spans="1:44" ht="14.25">
      <c r="A12" s="104" t="s">
        <v>188</v>
      </c>
      <c r="B12" s="126"/>
      <c r="C12" s="127"/>
      <c r="D12" s="132"/>
      <c r="E12" s="109">
        <f t="shared" ca="1" si="0"/>
        <v>0</v>
      </c>
      <c r="F12" s="173">
        <f t="shared" ca="1" si="1"/>
        <v>0</v>
      </c>
      <c r="G12" s="170">
        <f t="shared" ca="1" si="2"/>
        <v>0</v>
      </c>
      <c r="H12" s="108">
        <f t="shared" ca="1" si="3"/>
        <v>0</v>
      </c>
      <c r="I12" s="176">
        <f t="shared" ca="1" si="4"/>
        <v>0</v>
      </c>
      <c r="J12" s="109">
        <f t="shared" ca="1" si="5"/>
        <v>0</v>
      </c>
      <c r="K12" s="173">
        <f t="shared" ca="1" si="6"/>
        <v>0</v>
      </c>
      <c r="L12" s="170">
        <f t="shared" ca="1" si="7"/>
        <v>0</v>
      </c>
      <c r="M12" s="111">
        <f t="shared" ca="1" si="8"/>
        <v>0</v>
      </c>
      <c r="N12" s="109">
        <f t="shared" ca="1" si="9"/>
        <v>0</v>
      </c>
      <c r="O12" s="108">
        <f t="shared" ca="1" si="10"/>
        <v>0</v>
      </c>
      <c r="P12" s="108">
        <f t="shared" ca="1" si="11"/>
        <v>0</v>
      </c>
      <c r="Q12" s="108">
        <f t="shared" ca="1" si="12"/>
        <v>0</v>
      </c>
      <c r="R12" s="108">
        <f t="shared" ca="1" si="13"/>
        <v>0</v>
      </c>
      <c r="S12" s="108">
        <f t="shared" ca="1" si="14"/>
        <v>0</v>
      </c>
      <c r="T12" s="108">
        <f t="shared" ca="1" si="15"/>
        <v>0</v>
      </c>
      <c r="U12" s="108">
        <f t="shared" ca="1" si="16"/>
        <v>0</v>
      </c>
      <c r="V12" s="173">
        <f t="shared" ca="1" si="17"/>
        <v>0</v>
      </c>
      <c r="W12" s="170">
        <f t="shared" ca="1" si="18"/>
        <v>0</v>
      </c>
      <c r="X12" s="108">
        <f t="shared" ca="1" si="19"/>
        <v>0</v>
      </c>
      <c r="Y12" s="108">
        <f t="shared" ca="1" si="20"/>
        <v>0</v>
      </c>
      <c r="Z12" s="111">
        <f t="shared" ca="1" si="21"/>
        <v>0</v>
      </c>
      <c r="AA12" s="109">
        <f t="shared" ca="1" si="22"/>
        <v>0</v>
      </c>
      <c r="AB12" s="108">
        <f t="shared" ca="1" si="23"/>
        <v>0</v>
      </c>
      <c r="AC12" s="108">
        <f t="shared" ca="1" si="24"/>
        <v>0</v>
      </c>
      <c r="AD12" s="173">
        <f t="shared" ca="1" si="25"/>
        <v>0</v>
      </c>
      <c r="AE12" s="181">
        <f t="shared" ca="1" si="26"/>
        <v>0</v>
      </c>
      <c r="AF12" s="65">
        <f t="shared" ca="1" si="27"/>
        <v>0</v>
      </c>
      <c r="AG12" s="65">
        <f t="shared" ca="1" si="28"/>
        <v>0</v>
      </c>
      <c r="AH12" s="65">
        <f t="shared" ca="1" si="29"/>
        <v>0</v>
      </c>
      <c r="AI12" s="65">
        <f t="shared" ca="1" si="30"/>
        <v>0</v>
      </c>
      <c r="AJ12" s="65">
        <f t="shared" ca="1" si="31"/>
        <v>0</v>
      </c>
      <c r="AK12" s="65">
        <f t="shared" ca="1" si="32"/>
        <v>0</v>
      </c>
      <c r="AL12" s="65">
        <f t="shared" ca="1" si="33"/>
        <v>0</v>
      </c>
      <c r="AM12" s="176">
        <f t="shared" ca="1" si="34"/>
        <v>0</v>
      </c>
      <c r="AN12" s="183">
        <f>COUNTIFS(检查单明细!$A$3:$A$50000,A12,检查单明细!$E$3:$E$50000,"Y")+COUNTIFS(检查单明细!$A$3:$A$50000,A12,检查单明细!$E$3:$E$50000,"N")</f>
        <v>0</v>
      </c>
      <c r="AO12" s="313">
        <f>COUNTIFS(检查单明细!$A$3:$A$50000,A12,检查单明细!$E$3:$E$50000,"N")</f>
        <v>0</v>
      </c>
      <c r="AP12" s="183">
        <f>COUNTIFS(配置审计明细!$A$3:$A$50000,A12,配置审计明细!$D$3:$D$50000,"Y")+COUNTIFS(配置审计明细!$A$3:$A$50000,A12,配置审计明细!$D$3:$D$50000,"N")</f>
        <v>0</v>
      </c>
      <c r="AQ12" s="167">
        <f>COUNTIFS(配置审计明细!$A$3:$A$50000,A12,配置审计明细!$D$3:$D$50000,"N")</f>
        <v>0</v>
      </c>
      <c r="AR12" s="165"/>
    </row>
    <row r="13" spans="1:44" ht="15" thickBot="1">
      <c r="A13" s="105" t="s">
        <v>189</v>
      </c>
      <c r="B13" s="128"/>
      <c r="C13" s="129"/>
      <c r="D13" s="133"/>
      <c r="E13" s="110">
        <f t="shared" ca="1" si="0"/>
        <v>0</v>
      </c>
      <c r="F13" s="174">
        <f t="shared" ca="1" si="1"/>
        <v>0</v>
      </c>
      <c r="G13" s="171">
        <f t="shared" ca="1" si="2"/>
        <v>0</v>
      </c>
      <c r="H13" s="113">
        <f t="shared" ca="1" si="3"/>
        <v>0</v>
      </c>
      <c r="I13" s="177">
        <f t="shared" ca="1" si="4"/>
        <v>0</v>
      </c>
      <c r="J13" s="110">
        <f t="shared" ca="1" si="5"/>
        <v>0</v>
      </c>
      <c r="K13" s="174">
        <f t="shared" ca="1" si="6"/>
        <v>0</v>
      </c>
      <c r="L13" s="171">
        <f t="shared" ca="1" si="7"/>
        <v>0</v>
      </c>
      <c r="M13" s="112">
        <f t="shared" ca="1" si="8"/>
        <v>0</v>
      </c>
      <c r="N13" s="110">
        <f t="shared" ca="1" si="9"/>
        <v>0</v>
      </c>
      <c r="O13" s="113">
        <f t="shared" ca="1" si="10"/>
        <v>0</v>
      </c>
      <c r="P13" s="113">
        <f t="shared" ca="1" si="11"/>
        <v>0</v>
      </c>
      <c r="Q13" s="113">
        <f t="shared" ca="1" si="12"/>
        <v>0</v>
      </c>
      <c r="R13" s="113">
        <f t="shared" ca="1" si="13"/>
        <v>0</v>
      </c>
      <c r="S13" s="113">
        <f t="shared" ca="1" si="14"/>
        <v>0</v>
      </c>
      <c r="T13" s="113">
        <f t="shared" ca="1" si="15"/>
        <v>0</v>
      </c>
      <c r="U13" s="113">
        <f t="shared" ca="1" si="16"/>
        <v>0</v>
      </c>
      <c r="V13" s="174">
        <f t="shared" ca="1" si="17"/>
        <v>0</v>
      </c>
      <c r="W13" s="171">
        <f t="shared" ca="1" si="18"/>
        <v>0</v>
      </c>
      <c r="X13" s="113">
        <f t="shared" ca="1" si="19"/>
        <v>0</v>
      </c>
      <c r="Y13" s="113">
        <f t="shared" ca="1" si="20"/>
        <v>0</v>
      </c>
      <c r="Z13" s="112">
        <f t="shared" ca="1" si="21"/>
        <v>0</v>
      </c>
      <c r="AA13" s="110">
        <f t="shared" ca="1" si="22"/>
        <v>0</v>
      </c>
      <c r="AB13" s="113">
        <f t="shared" ca="1" si="23"/>
        <v>0</v>
      </c>
      <c r="AC13" s="113">
        <f t="shared" ca="1" si="24"/>
        <v>0</v>
      </c>
      <c r="AD13" s="174">
        <f t="shared" ca="1" si="25"/>
        <v>0</v>
      </c>
      <c r="AE13" s="182">
        <f t="shared" ca="1" si="26"/>
        <v>0</v>
      </c>
      <c r="AF13" s="166">
        <f t="shared" ca="1" si="27"/>
        <v>0</v>
      </c>
      <c r="AG13" s="166">
        <f t="shared" ca="1" si="28"/>
        <v>0</v>
      </c>
      <c r="AH13" s="166">
        <f t="shared" ca="1" si="29"/>
        <v>0</v>
      </c>
      <c r="AI13" s="166">
        <f t="shared" ca="1" si="30"/>
        <v>0</v>
      </c>
      <c r="AJ13" s="166">
        <f t="shared" ca="1" si="31"/>
        <v>0</v>
      </c>
      <c r="AK13" s="166">
        <f t="shared" ca="1" si="32"/>
        <v>0</v>
      </c>
      <c r="AL13" s="166">
        <f t="shared" ca="1" si="33"/>
        <v>0</v>
      </c>
      <c r="AM13" s="177">
        <f t="shared" ca="1" si="34"/>
        <v>0</v>
      </c>
      <c r="AN13" s="257">
        <f>COUNTIFS(检查单明细!$A$3:$A$50000,A13,检查单明细!$E$3:$E$50000,"Y")+COUNTIFS(检查单明细!$A$3:$A$50000,A13,检查单明细!$E$3:$E$50000,"N")</f>
        <v>0</v>
      </c>
      <c r="AO13" s="314">
        <f>COUNTIFS(检查单明细!$A$3:$A$50000,A13,检查单明细!$E$3:$E$50000,"N")</f>
        <v>0</v>
      </c>
      <c r="AP13" s="257">
        <f>COUNTIFS(配置审计明细!$A$3:$A$50000,A13,配置审计明细!$D$3:$D$50000,"Y")+COUNTIFS(配置审计明细!$A$3:$A$50000,A13,配置审计明细!$D$3:$D$50000,"N")</f>
        <v>0</v>
      </c>
      <c r="AQ13" s="258">
        <f>COUNTIFS(配置审计明细!$A$3:$A$50000,A13,配置审计明细!$D$3:$D$50000,"N")</f>
        <v>0</v>
      </c>
      <c r="AR13" s="165"/>
    </row>
    <row r="14" spans="1:44">
      <c r="A14" s="184"/>
      <c r="B14" s="41"/>
      <c r="C14" s="41"/>
      <c r="D14" s="41"/>
      <c r="E14" s="185"/>
      <c r="F14" s="185"/>
      <c r="G14" s="185"/>
      <c r="H14" s="185"/>
      <c r="I14" s="185"/>
      <c r="J14" s="54"/>
      <c r="K14" s="54"/>
      <c r="L14" s="54"/>
      <c r="M14" s="54"/>
      <c r="N14" s="54"/>
      <c r="O14" s="54"/>
      <c r="P14" s="54"/>
      <c r="Q14" s="54"/>
      <c r="R14" s="54"/>
      <c r="S14" s="54"/>
      <c r="T14" s="54"/>
      <c r="U14" s="54"/>
      <c r="V14" s="54"/>
      <c r="W14" s="54"/>
      <c r="X14" s="54"/>
      <c r="Y14" s="54"/>
      <c r="Z14" s="54"/>
      <c r="AA14" s="54"/>
      <c r="AB14" s="54"/>
      <c r="AC14" s="54"/>
      <c r="AD14" s="54"/>
      <c r="AE14" s="54"/>
      <c r="AF14" s="54"/>
      <c r="AG14" s="54"/>
      <c r="AH14" s="54"/>
      <c r="AI14" s="54"/>
      <c r="AJ14" s="54"/>
      <c r="AK14" s="54"/>
      <c r="AL14" s="54"/>
      <c r="AM14" s="54"/>
      <c r="AN14" s="54"/>
      <c r="AO14" s="54"/>
      <c r="AP14" s="54"/>
      <c r="AQ14" s="54"/>
      <c r="AR14" s="52"/>
    </row>
    <row r="16" spans="1:44">
      <c r="E16" s="44"/>
      <c r="F16" s="44"/>
      <c r="G16" s="44"/>
      <c r="H16" s="44"/>
      <c r="I16" s="44"/>
      <c r="J16" s="44"/>
      <c r="M16" s="44"/>
      <c r="N16" s="44"/>
      <c r="O16" s="44"/>
      <c r="P16" s="44"/>
      <c r="R16" s="44"/>
      <c r="S16" s="44"/>
      <c r="U16" s="44"/>
      <c r="X16" s="44"/>
      <c r="Z16" s="44"/>
      <c r="AA16" s="44"/>
      <c r="AC16" s="44"/>
      <c r="AF16" s="44"/>
      <c r="AH16" s="44"/>
      <c r="AI16" s="44"/>
      <c r="AJ16" s="44"/>
      <c r="AK16" s="44"/>
      <c r="AL16" s="44"/>
      <c r="AN16" s="44"/>
      <c r="AR16" s="43"/>
    </row>
    <row r="17" spans="18:44">
      <c r="R17" s="45"/>
      <c r="S17" s="45"/>
      <c r="AR17" s="43"/>
    </row>
    <row r="34" spans="27:27">
      <c r="AA34" s="87"/>
    </row>
  </sheetData>
  <mergeCells count="13">
    <mergeCell ref="A2:A4"/>
    <mergeCell ref="AR2:AR4"/>
    <mergeCell ref="AA2:AD2"/>
    <mergeCell ref="AE2:AM2"/>
    <mergeCell ref="AN2:AO2"/>
    <mergeCell ref="W2:Z2"/>
    <mergeCell ref="L2:M2"/>
    <mergeCell ref="J2:K2"/>
    <mergeCell ref="G2:I2"/>
    <mergeCell ref="E2:F2"/>
    <mergeCell ref="B2:D2"/>
    <mergeCell ref="N2:V2"/>
    <mergeCell ref="AP2:AQ2"/>
  </mergeCells>
  <phoneticPr fontId="13" type="noConversion"/>
  <pageMargins left="0.69930555555555596" right="0.69930555555555596"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tabColor rgb="FFFF00FF"/>
  </sheetPr>
  <dimension ref="A2:E148"/>
  <sheetViews>
    <sheetView zoomScale="90" zoomScaleNormal="90" workbookViewId="0">
      <selection activeCell="J124" sqref="J124"/>
    </sheetView>
  </sheetViews>
  <sheetFormatPr defaultRowHeight="20.100000000000001" customHeight="1"/>
  <cols>
    <col min="1" max="1" width="9.140625" style="37"/>
    <col min="2" max="2" width="9.7109375" customWidth="1"/>
    <col min="3" max="3" width="5.7109375" customWidth="1"/>
    <col min="4" max="4" width="82.7109375" customWidth="1"/>
    <col min="5" max="5" width="31.42578125" customWidth="1"/>
  </cols>
  <sheetData>
    <row r="2" spans="1:5" s="37" customFormat="1" ht="20.100000000000001" customHeight="1">
      <c r="A2" s="251" t="s">
        <v>180</v>
      </c>
      <c r="B2" s="252" t="s">
        <v>42</v>
      </c>
      <c r="C2" s="253" t="s">
        <v>278</v>
      </c>
      <c r="D2" s="254" t="s">
        <v>279</v>
      </c>
      <c r="E2" s="254" t="s">
        <v>280</v>
      </c>
    </row>
    <row r="3" spans="1:5" ht="20.100000000000001" hidden="1" customHeight="1">
      <c r="A3" s="352" t="s">
        <v>206</v>
      </c>
      <c r="B3" s="400" t="s">
        <v>1525</v>
      </c>
      <c r="C3">
        <v>1</v>
      </c>
      <c r="D3" t="s">
        <v>1526</v>
      </c>
      <c r="E3" t="s">
        <v>1527</v>
      </c>
    </row>
    <row r="4" spans="1:5" ht="20.100000000000001" hidden="1" customHeight="1">
      <c r="A4" s="352" t="s">
        <v>206</v>
      </c>
      <c r="B4" s="401"/>
      <c r="C4">
        <v>2</v>
      </c>
      <c r="D4" t="s">
        <v>1528</v>
      </c>
      <c r="E4" t="s">
        <v>1527</v>
      </c>
    </row>
    <row r="5" spans="1:5" ht="20.100000000000001" hidden="1" customHeight="1">
      <c r="A5" s="352" t="s">
        <v>206</v>
      </c>
      <c r="B5" s="401"/>
      <c r="C5">
        <v>3</v>
      </c>
      <c r="D5" t="s">
        <v>1529</v>
      </c>
      <c r="E5" t="s">
        <v>1527</v>
      </c>
    </row>
    <row r="6" spans="1:5" ht="20.100000000000001" hidden="1" customHeight="1">
      <c r="A6" s="352" t="s">
        <v>206</v>
      </c>
      <c r="B6" s="401"/>
      <c r="C6">
        <v>4</v>
      </c>
      <c r="D6" t="s">
        <v>1530</v>
      </c>
      <c r="E6" t="s">
        <v>1527</v>
      </c>
    </row>
    <row r="7" spans="1:5" ht="20.100000000000001" hidden="1" customHeight="1">
      <c r="A7" s="352" t="s">
        <v>206</v>
      </c>
      <c r="B7" s="401" t="s">
        <v>1531</v>
      </c>
      <c r="C7">
        <v>1</v>
      </c>
      <c r="D7" t="s">
        <v>1532</v>
      </c>
      <c r="E7" t="s">
        <v>1527</v>
      </c>
    </row>
    <row r="8" spans="1:5" ht="20.100000000000001" hidden="1" customHeight="1">
      <c r="A8" s="352" t="s">
        <v>206</v>
      </c>
      <c r="B8" s="401"/>
      <c r="C8">
        <v>2</v>
      </c>
      <c r="D8" t="s">
        <v>1533</v>
      </c>
      <c r="E8" t="s">
        <v>1527</v>
      </c>
    </row>
    <row r="9" spans="1:5" ht="20.100000000000001" hidden="1" customHeight="1">
      <c r="A9" s="352" t="s">
        <v>206</v>
      </c>
      <c r="B9" s="401"/>
      <c r="C9">
        <v>3</v>
      </c>
      <c r="D9" t="s">
        <v>1534</v>
      </c>
      <c r="E9" t="s">
        <v>1527</v>
      </c>
    </row>
    <row r="10" spans="1:5" ht="20.100000000000001" hidden="1" customHeight="1">
      <c r="A10" s="352" t="s">
        <v>206</v>
      </c>
      <c r="B10" s="401"/>
      <c r="C10">
        <v>4</v>
      </c>
      <c r="D10" t="s">
        <v>1535</v>
      </c>
      <c r="E10" t="s">
        <v>1527</v>
      </c>
    </row>
    <row r="11" spans="1:5" ht="20.100000000000001" hidden="1" customHeight="1">
      <c r="A11" s="352" t="s">
        <v>206</v>
      </c>
      <c r="B11" s="401"/>
      <c r="C11">
        <v>5</v>
      </c>
      <c r="D11" t="s">
        <v>1536</v>
      </c>
      <c r="E11" t="s">
        <v>1527</v>
      </c>
    </row>
    <row r="12" spans="1:5" ht="20.100000000000001" hidden="1" customHeight="1">
      <c r="A12" s="352" t="s">
        <v>206</v>
      </c>
      <c r="B12" s="401"/>
      <c r="C12">
        <v>6</v>
      </c>
      <c r="D12" t="s">
        <v>1537</v>
      </c>
      <c r="E12" t="s">
        <v>1527</v>
      </c>
    </row>
    <row r="13" spans="1:5" ht="20.100000000000001" hidden="1" customHeight="1">
      <c r="A13" s="352" t="s">
        <v>206</v>
      </c>
      <c r="B13" s="401"/>
      <c r="C13">
        <v>7</v>
      </c>
      <c r="D13" t="s">
        <v>1538</v>
      </c>
      <c r="E13" t="s">
        <v>1527</v>
      </c>
    </row>
    <row r="14" spans="1:5" ht="20.100000000000001" hidden="1" customHeight="1">
      <c r="A14" s="352" t="s">
        <v>206</v>
      </c>
      <c r="B14" s="401"/>
      <c r="C14">
        <v>8</v>
      </c>
      <c r="D14" t="s">
        <v>1539</v>
      </c>
      <c r="E14" t="s">
        <v>1540</v>
      </c>
    </row>
    <row r="15" spans="1:5" ht="20.100000000000001" hidden="1" customHeight="1">
      <c r="A15" s="352" t="s">
        <v>206</v>
      </c>
      <c r="B15" s="401"/>
      <c r="C15">
        <v>9</v>
      </c>
      <c r="D15" t="s">
        <v>1541</v>
      </c>
      <c r="E15" t="s">
        <v>1540</v>
      </c>
    </row>
    <row r="16" spans="1:5" ht="20.100000000000001" hidden="1" customHeight="1">
      <c r="A16" s="352" t="s">
        <v>206</v>
      </c>
      <c r="B16" s="401" t="s">
        <v>1542</v>
      </c>
      <c r="C16">
        <v>1</v>
      </c>
      <c r="D16" t="s">
        <v>1543</v>
      </c>
    </row>
    <row r="17" spans="1:5" ht="20.100000000000001" hidden="1" customHeight="1">
      <c r="A17" s="352" t="s">
        <v>206</v>
      </c>
      <c r="B17" s="401"/>
      <c r="C17">
        <v>2</v>
      </c>
      <c r="D17" t="s">
        <v>1544</v>
      </c>
    </row>
    <row r="18" spans="1:5" ht="20.100000000000001" hidden="1" customHeight="1">
      <c r="A18" s="352" t="s">
        <v>206</v>
      </c>
      <c r="B18" s="401"/>
      <c r="C18">
        <v>3</v>
      </c>
      <c r="D18" t="s">
        <v>1545</v>
      </c>
    </row>
    <row r="19" spans="1:5" ht="20.100000000000001" hidden="1" customHeight="1">
      <c r="A19" s="352" t="s">
        <v>206</v>
      </c>
      <c r="B19" s="401" t="s">
        <v>1546</v>
      </c>
      <c r="C19">
        <v>1</v>
      </c>
      <c r="D19" t="s">
        <v>1547</v>
      </c>
      <c r="E19" t="s">
        <v>1527</v>
      </c>
    </row>
    <row r="20" spans="1:5" ht="20.100000000000001" hidden="1" customHeight="1">
      <c r="A20" s="352" t="s">
        <v>206</v>
      </c>
      <c r="B20" s="401"/>
      <c r="C20">
        <v>2</v>
      </c>
      <c r="D20" t="s">
        <v>1548</v>
      </c>
      <c r="E20" t="s">
        <v>1540</v>
      </c>
    </row>
    <row r="21" spans="1:5" ht="20.100000000000001" hidden="1" customHeight="1">
      <c r="A21" s="352" t="s">
        <v>206</v>
      </c>
      <c r="B21" s="401"/>
      <c r="C21">
        <v>3</v>
      </c>
      <c r="D21" t="s">
        <v>1549</v>
      </c>
      <c r="E21" t="s">
        <v>1550</v>
      </c>
    </row>
    <row r="22" spans="1:5" ht="20.100000000000001" hidden="1" customHeight="1">
      <c r="A22" s="352" t="s">
        <v>206</v>
      </c>
      <c r="B22" s="401"/>
      <c r="C22">
        <v>4</v>
      </c>
      <c r="D22" t="s">
        <v>1551</v>
      </c>
      <c r="E22" t="s">
        <v>1550</v>
      </c>
    </row>
    <row r="23" spans="1:5" ht="20.100000000000001" hidden="1" customHeight="1">
      <c r="A23" s="352" t="s">
        <v>206</v>
      </c>
      <c r="B23" s="401"/>
      <c r="C23">
        <v>5</v>
      </c>
      <c r="D23" t="s">
        <v>1552</v>
      </c>
      <c r="E23" t="s">
        <v>1540</v>
      </c>
    </row>
    <row r="24" spans="1:5" ht="20.100000000000001" hidden="1" customHeight="1">
      <c r="A24" s="352" t="s">
        <v>206</v>
      </c>
      <c r="B24" s="401"/>
      <c r="C24">
        <v>6</v>
      </c>
      <c r="D24" t="s">
        <v>1553</v>
      </c>
      <c r="E24" t="s">
        <v>1540</v>
      </c>
    </row>
    <row r="25" spans="1:5" ht="20.100000000000001" hidden="1" customHeight="1">
      <c r="A25" s="352" t="s">
        <v>206</v>
      </c>
      <c r="B25" s="401"/>
      <c r="C25">
        <v>7</v>
      </c>
      <c r="D25" t="s">
        <v>1554</v>
      </c>
      <c r="E25" t="s">
        <v>1550</v>
      </c>
    </row>
    <row r="26" spans="1:5" ht="20.100000000000001" hidden="1" customHeight="1">
      <c r="A26" s="352" t="s">
        <v>206</v>
      </c>
      <c r="B26" s="401"/>
      <c r="C26">
        <v>8</v>
      </c>
      <c r="D26" t="s">
        <v>1555</v>
      </c>
      <c r="E26" t="s">
        <v>1527</v>
      </c>
    </row>
    <row r="27" spans="1:5" ht="20.100000000000001" hidden="1" customHeight="1">
      <c r="A27" s="352" t="s">
        <v>206</v>
      </c>
      <c r="B27" s="401"/>
      <c r="C27">
        <v>9</v>
      </c>
      <c r="D27" t="s">
        <v>1556</v>
      </c>
      <c r="E27" t="s">
        <v>1527</v>
      </c>
    </row>
    <row r="28" spans="1:5" ht="20.100000000000001" hidden="1" customHeight="1">
      <c r="A28" s="352" t="s">
        <v>206</v>
      </c>
      <c r="B28" s="401"/>
      <c r="C28">
        <v>10</v>
      </c>
      <c r="D28" t="s">
        <v>1557</v>
      </c>
      <c r="E28" t="s">
        <v>1527</v>
      </c>
    </row>
    <row r="29" spans="1:5" ht="20.100000000000001" hidden="1" customHeight="1">
      <c r="A29" s="352" t="s">
        <v>206</v>
      </c>
      <c r="B29" s="401"/>
      <c r="C29">
        <v>11</v>
      </c>
      <c r="D29" t="s">
        <v>1558</v>
      </c>
      <c r="E29" t="s">
        <v>1527</v>
      </c>
    </row>
    <row r="30" spans="1:5" ht="20.100000000000001" hidden="1" customHeight="1">
      <c r="A30" s="352" t="s">
        <v>206</v>
      </c>
      <c r="B30" s="401" t="s">
        <v>1559</v>
      </c>
      <c r="C30">
        <v>1</v>
      </c>
      <c r="D30" t="s">
        <v>1560</v>
      </c>
      <c r="E30" t="s">
        <v>1540</v>
      </c>
    </row>
    <row r="31" spans="1:5" ht="20.100000000000001" hidden="1" customHeight="1">
      <c r="A31" s="352" t="s">
        <v>206</v>
      </c>
      <c r="B31" s="401"/>
      <c r="C31">
        <v>2</v>
      </c>
      <c r="D31" t="s">
        <v>1561</v>
      </c>
      <c r="E31" s="354" t="s">
        <v>1540</v>
      </c>
    </row>
    <row r="32" spans="1:5" ht="20.100000000000001" hidden="1" customHeight="1">
      <c r="A32" s="352" t="s">
        <v>206</v>
      </c>
      <c r="B32" s="401"/>
      <c r="C32">
        <v>3</v>
      </c>
      <c r="D32" t="s">
        <v>1562</v>
      </c>
      <c r="E32" s="354" t="s">
        <v>1527</v>
      </c>
    </row>
    <row r="33" spans="1:5" ht="20.100000000000001" hidden="1" customHeight="1">
      <c r="A33" s="352" t="s">
        <v>206</v>
      </c>
      <c r="B33" s="401"/>
      <c r="C33">
        <v>4</v>
      </c>
      <c r="D33" t="s">
        <v>1563</v>
      </c>
      <c r="E33" s="354" t="s">
        <v>1540</v>
      </c>
    </row>
    <row r="34" spans="1:5" ht="20.100000000000001" hidden="1" customHeight="1">
      <c r="A34" s="352" t="s">
        <v>206</v>
      </c>
      <c r="B34" s="401"/>
      <c r="C34">
        <v>5</v>
      </c>
      <c r="D34" t="s">
        <v>1564</v>
      </c>
      <c r="E34" s="354" t="s">
        <v>1550</v>
      </c>
    </row>
    <row r="35" spans="1:5" ht="20.100000000000001" hidden="1" customHeight="1">
      <c r="A35" s="352" t="s">
        <v>206</v>
      </c>
      <c r="B35" s="401"/>
      <c r="C35">
        <v>6</v>
      </c>
      <c r="D35" t="s">
        <v>1565</v>
      </c>
      <c r="E35" s="354" t="s">
        <v>1550</v>
      </c>
    </row>
    <row r="36" spans="1:5" ht="20.100000000000001" hidden="1" customHeight="1">
      <c r="A36" s="352" t="s">
        <v>206</v>
      </c>
      <c r="B36" s="401"/>
      <c r="C36">
        <v>7</v>
      </c>
      <c r="D36" t="s">
        <v>1566</v>
      </c>
      <c r="E36" s="354" t="s">
        <v>1550</v>
      </c>
    </row>
    <row r="37" spans="1:5" ht="20.100000000000001" hidden="1" customHeight="1">
      <c r="A37" s="352" t="s">
        <v>206</v>
      </c>
      <c r="B37" s="401"/>
      <c r="C37">
        <v>8</v>
      </c>
      <c r="D37" t="s">
        <v>1567</v>
      </c>
      <c r="E37" s="354" t="s">
        <v>1527</v>
      </c>
    </row>
    <row r="38" spans="1:5" ht="20.100000000000001" hidden="1" customHeight="1">
      <c r="A38" s="352" t="s">
        <v>206</v>
      </c>
      <c r="B38" s="401"/>
      <c r="C38">
        <v>9</v>
      </c>
      <c r="D38" t="s">
        <v>1568</v>
      </c>
      <c r="E38" s="354" t="s">
        <v>1527</v>
      </c>
    </row>
    <row r="39" spans="1:5" ht="20.100000000000001" hidden="1" customHeight="1">
      <c r="A39" s="352" t="s">
        <v>206</v>
      </c>
      <c r="B39" s="401"/>
      <c r="C39">
        <v>10</v>
      </c>
      <c r="D39" t="s">
        <v>1569</v>
      </c>
      <c r="E39" s="354" t="s">
        <v>1540</v>
      </c>
    </row>
    <row r="40" spans="1:5" ht="20.100000000000001" hidden="1" customHeight="1">
      <c r="A40" s="352" t="s">
        <v>206</v>
      </c>
      <c r="B40" s="401"/>
      <c r="C40">
        <v>11</v>
      </c>
      <c r="D40" t="s">
        <v>1570</v>
      </c>
      <c r="E40" s="354" t="s">
        <v>1527</v>
      </c>
    </row>
    <row r="41" spans="1:5" ht="20.100000000000001" hidden="1" customHeight="1">
      <c r="A41" s="352" t="s">
        <v>206</v>
      </c>
      <c r="B41" s="401"/>
      <c r="C41">
        <v>12</v>
      </c>
      <c r="D41" t="s">
        <v>1571</v>
      </c>
      <c r="E41" s="354" t="s">
        <v>1540</v>
      </c>
    </row>
    <row r="42" spans="1:5" ht="20.100000000000001" hidden="1" customHeight="1">
      <c r="A42" s="352" t="s">
        <v>206</v>
      </c>
      <c r="B42" s="401"/>
      <c r="C42">
        <v>13</v>
      </c>
      <c r="D42" t="s">
        <v>1572</v>
      </c>
      <c r="E42" s="354" t="s">
        <v>1540</v>
      </c>
    </row>
    <row r="43" spans="1:5" ht="20.100000000000001" hidden="1" customHeight="1">
      <c r="A43" s="352" t="s">
        <v>206</v>
      </c>
      <c r="B43" s="401"/>
      <c r="C43">
        <v>14</v>
      </c>
      <c r="D43" t="s">
        <v>1573</v>
      </c>
      <c r="E43" s="354" t="s">
        <v>1527</v>
      </c>
    </row>
    <row r="44" spans="1:5" ht="20.100000000000001" hidden="1" customHeight="1">
      <c r="A44" s="352" t="s">
        <v>206</v>
      </c>
      <c r="B44" s="401"/>
      <c r="C44">
        <v>15</v>
      </c>
      <c r="D44" t="s">
        <v>1574</v>
      </c>
      <c r="E44" s="354" t="s">
        <v>1540</v>
      </c>
    </row>
    <row r="45" spans="1:5" ht="20.100000000000001" hidden="1" customHeight="1">
      <c r="A45" s="352" t="s">
        <v>206</v>
      </c>
      <c r="B45" s="401"/>
      <c r="C45">
        <v>16</v>
      </c>
      <c r="D45" t="s">
        <v>1575</v>
      </c>
      <c r="E45" s="354" t="s">
        <v>1527</v>
      </c>
    </row>
    <row r="46" spans="1:5" ht="20.100000000000001" hidden="1" customHeight="1">
      <c r="A46" s="352" t="s">
        <v>206</v>
      </c>
      <c r="B46" s="401"/>
      <c r="C46">
        <v>17</v>
      </c>
      <c r="D46" t="s">
        <v>1576</v>
      </c>
      <c r="E46" s="354" t="s">
        <v>1527</v>
      </c>
    </row>
    <row r="47" spans="1:5" ht="20.100000000000001" hidden="1" customHeight="1">
      <c r="A47" s="352" t="s">
        <v>206</v>
      </c>
      <c r="B47" s="401"/>
      <c r="C47">
        <v>18</v>
      </c>
      <c r="D47" t="s">
        <v>1577</v>
      </c>
      <c r="E47" s="354" t="s">
        <v>1540</v>
      </c>
    </row>
    <row r="48" spans="1:5" ht="20.100000000000001" hidden="1" customHeight="1">
      <c r="A48" s="352" t="s">
        <v>206</v>
      </c>
      <c r="B48" s="401"/>
      <c r="C48">
        <v>19</v>
      </c>
      <c r="D48" t="s">
        <v>277</v>
      </c>
      <c r="E48" s="354" t="s">
        <v>1540</v>
      </c>
    </row>
    <row r="49" spans="1:5" ht="20.100000000000001" hidden="1" customHeight="1">
      <c r="A49" s="352" t="s">
        <v>206</v>
      </c>
      <c r="B49" s="401"/>
      <c r="C49">
        <v>20</v>
      </c>
      <c r="D49" t="s">
        <v>1578</v>
      </c>
      <c r="E49" s="354" t="s">
        <v>1540</v>
      </c>
    </row>
    <row r="50" spans="1:5" ht="20.100000000000001" hidden="1" customHeight="1">
      <c r="A50" s="352" t="s">
        <v>206</v>
      </c>
      <c r="B50" s="401"/>
      <c r="C50">
        <v>21</v>
      </c>
      <c r="D50" t="s">
        <v>1579</v>
      </c>
      <c r="E50" t="s">
        <v>1540</v>
      </c>
    </row>
    <row r="51" spans="1:5" ht="20.100000000000001" hidden="1" customHeight="1">
      <c r="A51" s="352" t="s">
        <v>206</v>
      </c>
      <c r="B51" s="401"/>
      <c r="C51">
        <v>22</v>
      </c>
      <c r="D51" t="s">
        <v>1580</v>
      </c>
      <c r="E51" t="s">
        <v>1540</v>
      </c>
    </row>
    <row r="52" spans="1:5" ht="20.100000000000001" hidden="1" customHeight="1">
      <c r="A52" s="352" t="s">
        <v>206</v>
      </c>
      <c r="B52" s="401"/>
      <c r="C52">
        <v>23</v>
      </c>
      <c r="D52" t="s">
        <v>1581</v>
      </c>
      <c r="E52" t="s">
        <v>1540</v>
      </c>
    </row>
    <row r="53" spans="1:5" ht="20.100000000000001" hidden="1" customHeight="1">
      <c r="A53" s="352" t="s">
        <v>206</v>
      </c>
      <c r="B53" s="401"/>
      <c r="C53">
        <v>24</v>
      </c>
      <c r="D53" t="s">
        <v>1582</v>
      </c>
      <c r="E53" t="s">
        <v>1540</v>
      </c>
    </row>
    <row r="54" spans="1:5" ht="20.100000000000001" hidden="1" customHeight="1">
      <c r="A54" s="352" t="s">
        <v>206</v>
      </c>
      <c r="B54" s="401"/>
      <c r="C54">
        <v>25</v>
      </c>
      <c r="D54" t="s">
        <v>1555</v>
      </c>
      <c r="E54" t="s">
        <v>1540</v>
      </c>
    </row>
    <row r="55" spans="1:5" ht="20.100000000000001" hidden="1" customHeight="1">
      <c r="A55" s="352" t="s">
        <v>206</v>
      </c>
      <c r="B55" s="401" t="s">
        <v>1583</v>
      </c>
      <c r="C55">
        <v>1</v>
      </c>
      <c r="D55" t="s">
        <v>1584</v>
      </c>
      <c r="E55" t="s">
        <v>1527</v>
      </c>
    </row>
    <row r="56" spans="1:5" ht="20.100000000000001" hidden="1" customHeight="1">
      <c r="A56" s="352" t="s">
        <v>206</v>
      </c>
      <c r="B56" s="401"/>
      <c r="C56">
        <v>2</v>
      </c>
      <c r="D56" t="s">
        <v>1585</v>
      </c>
      <c r="E56" t="s">
        <v>1527</v>
      </c>
    </row>
    <row r="57" spans="1:5" ht="20.100000000000001" hidden="1" customHeight="1">
      <c r="A57" s="353" t="s">
        <v>1586</v>
      </c>
      <c r="B57" s="401" t="s">
        <v>1559</v>
      </c>
      <c r="C57">
        <v>1</v>
      </c>
      <c r="D57" t="s">
        <v>1560</v>
      </c>
      <c r="E57" t="s">
        <v>1540</v>
      </c>
    </row>
    <row r="58" spans="1:5" ht="20.100000000000001" hidden="1" customHeight="1">
      <c r="A58" s="353" t="s">
        <v>1586</v>
      </c>
      <c r="B58" s="401"/>
      <c r="C58">
        <v>2</v>
      </c>
      <c r="D58" t="s">
        <v>1561</v>
      </c>
      <c r="E58" t="s">
        <v>1540</v>
      </c>
    </row>
    <row r="59" spans="1:5" ht="20.100000000000001" hidden="1" customHeight="1">
      <c r="A59" s="353" t="s">
        <v>1586</v>
      </c>
      <c r="B59" s="401"/>
      <c r="C59">
        <v>3</v>
      </c>
      <c r="D59" t="s">
        <v>1562</v>
      </c>
      <c r="E59" t="s">
        <v>1527</v>
      </c>
    </row>
    <row r="60" spans="1:5" ht="20.100000000000001" hidden="1" customHeight="1">
      <c r="A60" s="353" t="s">
        <v>1586</v>
      </c>
      <c r="B60" s="401"/>
      <c r="C60">
        <v>4</v>
      </c>
      <c r="D60" t="s">
        <v>1563</v>
      </c>
      <c r="E60" t="s">
        <v>1527</v>
      </c>
    </row>
    <row r="61" spans="1:5" ht="20.100000000000001" hidden="1" customHeight="1">
      <c r="A61" s="353" t="s">
        <v>1586</v>
      </c>
      <c r="B61" s="401"/>
      <c r="C61">
        <v>5</v>
      </c>
      <c r="D61" t="s">
        <v>1564</v>
      </c>
      <c r="E61" t="s">
        <v>1527</v>
      </c>
    </row>
    <row r="62" spans="1:5" ht="20.100000000000001" hidden="1" customHeight="1">
      <c r="A62" s="353" t="s">
        <v>1586</v>
      </c>
      <c r="B62" s="401"/>
      <c r="C62">
        <v>6</v>
      </c>
      <c r="D62" t="s">
        <v>1565</v>
      </c>
      <c r="E62" t="s">
        <v>1527</v>
      </c>
    </row>
    <row r="63" spans="1:5" ht="20.100000000000001" hidden="1" customHeight="1">
      <c r="A63" s="353" t="s">
        <v>1586</v>
      </c>
      <c r="B63" s="401"/>
      <c r="C63">
        <v>7</v>
      </c>
      <c r="D63" t="s">
        <v>1566</v>
      </c>
      <c r="E63" t="s">
        <v>1540</v>
      </c>
    </row>
    <row r="64" spans="1:5" ht="20.100000000000001" hidden="1" customHeight="1">
      <c r="A64" s="353" t="s">
        <v>1586</v>
      </c>
      <c r="B64" s="401"/>
      <c r="C64">
        <v>8</v>
      </c>
      <c r="D64" t="s">
        <v>1567</v>
      </c>
      <c r="E64" t="s">
        <v>1540</v>
      </c>
    </row>
    <row r="65" spans="1:5" ht="20.100000000000001" hidden="1" customHeight="1">
      <c r="A65" s="353" t="s">
        <v>1586</v>
      </c>
      <c r="B65" s="401"/>
      <c r="C65">
        <v>9</v>
      </c>
      <c r="D65" t="s">
        <v>1568</v>
      </c>
      <c r="E65" t="s">
        <v>1527</v>
      </c>
    </row>
    <row r="66" spans="1:5" ht="20.100000000000001" hidden="1" customHeight="1">
      <c r="A66" s="353" t="s">
        <v>1586</v>
      </c>
      <c r="B66" s="401"/>
      <c r="C66">
        <v>10</v>
      </c>
      <c r="D66" t="s">
        <v>1569</v>
      </c>
      <c r="E66" t="s">
        <v>1540</v>
      </c>
    </row>
    <row r="67" spans="1:5" ht="20.100000000000001" hidden="1" customHeight="1">
      <c r="A67" s="353" t="s">
        <v>1586</v>
      </c>
      <c r="B67" s="401"/>
      <c r="C67">
        <v>11</v>
      </c>
      <c r="D67" t="s">
        <v>1570</v>
      </c>
      <c r="E67" t="s">
        <v>1527</v>
      </c>
    </row>
    <row r="68" spans="1:5" ht="20.100000000000001" hidden="1" customHeight="1">
      <c r="A68" s="353" t="s">
        <v>1586</v>
      </c>
      <c r="B68" s="401"/>
      <c r="C68">
        <v>12</v>
      </c>
      <c r="D68" t="s">
        <v>1571</v>
      </c>
      <c r="E68" t="s">
        <v>1540</v>
      </c>
    </row>
    <row r="69" spans="1:5" ht="20.100000000000001" hidden="1" customHeight="1">
      <c r="A69" s="353" t="s">
        <v>1586</v>
      </c>
      <c r="B69" s="401"/>
      <c r="C69">
        <v>13</v>
      </c>
      <c r="D69" t="s">
        <v>1572</v>
      </c>
      <c r="E69" t="s">
        <v>1540</v>
      </c>
    </row>
    <row r="70" spans="1:5" ht="20.100000000000001" hidden="1" customHeight="1">
      <c r="A70" s="353" t="s">
        <v>1586</v>
      </c>
      <c r="B70" s="401"/>
      <c r="C70">
        <v>14</v>
      </c>
      <c r="D70" t="s">
        <v>1573</v>
      </c>
      <c r="E70" t="s">
        <v>1527</v>
      </c>
    </row>
    <row r="71" spans="1:5" ht="20.100000000000001" hidden="1" customHeight="1">
      <c r="A71" s="353" t="s">
        <v>1586</v>
      </c>
      <c r="B71" s="401"/>
      <c r="C71">
        <v>15</v>
      </c>
      <c r="D71" t="s">
        <v>1574</v>
      </c>
      <c r="E71" t="s">
        <v>1540</v>
      </c>
    </row>
    <row r="72" spans="1:5" ht="20.100000000000001" hidden="1" customHeight="1">
      <c r="A72" s="353" t="s">
        <v>1586</v>
      </c>
      <c r="B72" s="401"/>
      <c r="C72">
        <v>16</v>
      </c>
      <c r="D72" t="s">
        <v>1575</v>
      </c>
      <c r="E72" t="s">
        <v>1527</v>
      </c>
    </row>
    <row r="73" spans="1:5" ht="20.100000000000001" hidden="1" customHeight="1">
      <c r="A73" s="353" t="s">
        <v>1586</v>
      </c>
      <c r="B73" s="401"/>
      <c r="C73">
        <v>17</v>
      </c>
      <c r="D73" t="s">
        <v>1576</v>
      </c>
      <c r="E73" t="s">
        <v>1540</v>
      </c>
    </row>
    <row r="74" spans="1:5" ht="20.100000000000001" hidden="1" customHeight="1">
      <c r="A74" s="353" t="s">
        <v>1586</v>
      </c>
      <c r="B74" s="401"/>
      <c r="C74">
        <v>18</v>
      </c>
      <c r="D74" t="s">
        <v>1577</v>
      </c>
      <c r="E74" t="s">
        <v>1540</v>
      </c>
    </row>
    <row r="75" spans="1:5" ht="20.100000000000001" hidden="1" customHeight="1">
      <c r="A75" s="353" t="s">
        <v>1586</v>
      </c>
      <c r="B75" s="401"/>
      <c r="C75">
        <v>19</v>
      </c>
      <c r="D75" t="s">
        <v>277</v>
      </c>
      <c r="E75" t="s">
        <v>1540</v>
      </c>
    </row>
    <row r="76" spans="1:5" ht="20.100000000000001" hidden="1" customHeight="1">
      <c r="A76" s="353" t="s">
        <v>1586</v>
      </c>
      <c r="B76" s="401"/>
      <c r="C76">
        <v>20</v>
      </c>
      <c r="D76" t="s">
        <v>1578</v>
      </c>
      <c r="E76" t="s">
        <v>1540</v>
      </c>
    </row>
    <row r="77" spans="1:5" ht="20.100000000000001" hidden="1" customHeight="1">
      <c r="A77" s="353" t="s">
        <v>1586</v>
      </c>
      <c r="B77" s="401"/>
      <c r="C77">
        <v>21</v>
      </c>
      <c r="D77" t="s">
        <v>1579</v>
      </c>
      <c r="E77" t="s">
        <v>1540</v>
      </c>
    </row>
    <row r="78" spans="1:5" ht="20.100000000000001" hidden="1" customHeight="1">
      <c r="A78" s="353" t="s">
        <v>1586</v>
      </c>
      <c r="B78" s="401"/>
      <c r="C78">
        <v>22</v>
      </c>
      <c r="D78" t="s">
        <v>1580</v>
      </c>
      <c r="E78" t="s">
        <v>1540</v>
      </c>
    </row>
    <row r="79" spans="1:5" ht="20.100000000000001" hidden="1" customHeight="1">
      <c r="A79" s="353" t="s">
        <v>1586</v>
      </c>
      <c r="B79" s="401"/>
      <c r="C79">
        <v>23</v>
      </c>
      <c r="D79" t="s">
        <v>1581</v>
      </c>
      <c r="E79" t="s">
        <v>1540</v>
      </c>
    </row>
    <row r="80" spans="1:5" ht="20.100000000000001" hidden="1" customHeight="1">
      <c r="A80" s="353" t="s">
        <v>1586</v>
      </c>
      <c r="B80" s="401"/>
      <c r="C80">
        <v>24</v>
      </c>
      <c r="D80" t="s">
        <v>1582</v>
      </c>
      <c r="E80" t="s">
        <v>1540</v>
      </c>
    </row>
    <row r="81" spans="1:5" ht="20.100000000000001" hidden="1" customHeight="1">
      <c r="A81" s="353" t="s">
        <v>1586</v>
      </c>
      <c r="B81" s="401"/>
      <c r="C81">
        <v>25</v>
      </c>
      <c r="D81" t="s">
        <v>1555</v>
      </c>
      <c r="E81" t="s">
        <v>1540</v>
      </c>
    </row>
    <row r="82" spans="1:5" ht="20.100000000000001" hidden="1" customHeight="1">
      <c r="A82" s="353" t="s">
        <v>1586</v>
      </c>
      <c r="B82" s="401" t="s">
        <v>1583</v>
      </c>
      <c r="C82">
        <v>1</v>
      </c>
      <c r="D82" t="s">
        <v>1584</v>
      </c>
      <c r="E82" t="s">
        <v>1540</v>
      </c>
    </row>
    <row r="83" spans="1:5" ht="20.100000000000001" hidden="1" customHeight="1">
      <c r="A83" s="353" t="s">
        <v>1586</v>
      </c>
      <c r="B83" s="401"/>
      <c r="C83">
        <v>2</v>
      </c>
      <c r="D83" t="s">
        <v>1585</v>
      </c>
      <c r="E83" t="s">
        <v>1540</v>
      </c>
    </row>
    <row r="84" spans="1:5" ht="20.100000000000001" hidden="1" customHeight="1">
      <c r="A84" s="353" t="s">
        <v>1587</v>
      </c>
      <c r="B84" s="401" t="s">
        <v>1559</v>
      </c>
      <c r="C84">
        <v>1</v>
      </c>
      <c r="D84" t="s">
        <v>1560</v>
      </c>
      <c r="E84" t="s">
        <v>1540</v>
      </c>
    </row>
    <row r="85" spans="1:5" ht="20.100000000000001" hidden="1" customHeight="1">
      <c r="A85" s="353" t="s">
        <v>1587</v>
      </c>
      <c r="B85" s="401"/>
      <c r="C85">
        <v>2</v>
      </c>
      <c r="D85" t="s">
        <v>1561</v>
      </c>
      <c r="E85" t="s">
        <v>1540</v>
      </c>
    </row>
    <row r="86" spans="1:5" ht="20.100000000000001" hidden="1" customHeight="1">
      <c r="A86" s="353" t="s">
        <v>1587</v>
      </c>
      <c r="B86" s="401"/>
      <c r="C86">
        <v>3</v>
      </c>
      <c r="D86" t="s">
        <v>1562</v>
      </c>
      <c r="E86" t="s">
        <v>1527</v>
      </c>
    </row>
    <row r="87" spans="1:5" ht="20.100000000000001" hidden="1" customHeight="1">
      <c r="A87" s="353" t="s">
        <v>1587</v>
      </c>
      <c r="B87" s="401"/>
      <c r="C87">
        <v>4</v>
      </c>
      <c r="D87" t="s">
        <v>1563</v>
      </c>
      <c r="E87" t="s">
        <v>1527</v>
      </c>
    </row>
    <row r="88" spans="1:5" ht="20.100000000000001" hidden="1" customHeight="1">
      <c r="A88" s="353" t="s">
        <v>1587</v>
      </c>
      <c r="B88" s="401"/>
      <c r="C88">
        <v>5</v>
      </c>
      <c r="D88" t="s">
        <v>1564</v>
      </c>
      <c r="E88" t="s">
        <v>1527</v>
      </c>
    </row>
    <row r="89" spans="1:5" ht="20.100000000000001" hidden="1" customHeight="1">
      <c r="A89" s="353" t="s">
        <v>1587</v>
      </c>
      <c r="B89" s="401"/>
      <c r="C89">
        <v>6</v>
      </c>
      <c r="D89" t="s">
        <v>1565</v>
      </c>
      <c r="E89" t="s">
        <v>1540</v>
      </c>
    </row>
    <row r="90" spans="1:5" ht="20.100000000000001" hidden="1" customHeight="1">
      <c r="A90" s="353" t="s">
        <v>1587</v>
      </c>
      <c r="B90" s="401"/>
      <c r="C90">
        <v>7</v>
      </c>
      <c r="D90" t="s">
        <v>1566</v>
      </c>
      <c r="E90" t="s">
        <v>1527</v>
      </c>
    </row>
    <row r="91" spans="1:5" ht="20.100000000000001" hidden="1" customHeight="1">
      <c r="A91" s="353" t="s">
        <v>1587</v>
      </c>
      <c r="B91" s="401"/>
      <c r="C91">
        <v>8</v>
      </c>
      <c r="D91" t="s">
        <v>1567</v>
      </c>
      <c r="E91" t="s">
        <v>1527</v>
      </c>
    </row>
    <row r="92" spans="1:5" ht="20.100000000000001" hidden="1" customHeight="1">
      <c r="A92" s="353" t="s">
        <v>1587</v>
      </c>
      <c r="B92" s="401"/>
      <c r="C92">
        <v>9</v>
      </c>
      <c r="D92" t="s">
        <v>1568</v>
      </c>
      <c r="E92" t="s">
        <v>1527</v>
      </c>
    </row>
    <row r="93" spans="1:5" ht="20.100000000000001" hidden="1" customHeight="1">
      <c r="A93" s="353" t="s">
        <v>1587</v>
      </c>
      <c r="B93" s="401"/>
      <c r="C93">
        <v>10</v>
      </c>
      <c r="D93" t="s">
        <v>1569</v>
      </c>
      <c r="E93" t="s">
        <v>1527</v>
      </c>
    </row>
    <row r="94" spans="1:5" ht="20.100000000000001" hidden="1" customHeight="1">
      <c r="A94" s="353" t="s">
        <v>1587</v>
      </c>
      <c r="B94" s="401"/>
      <c r="C94">
        <v>11</v>
      </c>
      <c r="D94" t="s">
        <v>1570</v>
      </c>
      <c r="E94" t="s">
        <v>1527</v>
      </c>
    </row>
    <row r="95" spans="1:5" ht="20.100000000000001" hidden="1" customHeight="1">
      <c r="A95" s="353" t="s">
        <v>1587</v>
      </c>
      <c r="B95" s="401"/>
      <c r="C95">
        <v>12</v>
      </c>
      <c r="D95" t="s">
        <v>1571</v>
      </c>
      <c r="E95" t="s">
        <v>1527</v>
      </c>
    </row>
    <row r="96" spans="1:5" ht="20.100000000000001" hidden="1" customHeight="1">
      <c r="A96" s="353" t="s">
        <v>1587</v>
      </c>
      <c r="B96" s="401"/>
      <c r="C96">
        <v>13</v>
      </c>
      <c r="D96" t="s">
        <v>1572</v>
      </c>
      <c r="E96" t="s">
        <v>1527</v>
      </c>
    </row>
    <row r="97" spans="1:5" ht="20.100000000000001" hidden="1" customHeight="1">
      <c r="A97" s="353" t="s">
        <v>1587</v>
      </c>
      <c r="B97" s="401"/>
      <c r="C97">
        <v>14</v>
      </c>
      <c r="D97" t="s">
        <v>1573</v>
      </c>
      <c r="E97" t="s">
        <v>1527</v>
      </c>
    </row>
    <row r="98" spans="1:5" ht="20.100000000000001" hidden="1" customHeight="1">
      <c r="A98" s="353" t="s">
        <v>1587</v>
      </c>
      <c r="B98" s="401"/>
      <c r="C98">
        <v>15</v>
      </c>
      <c r="D98" t="s">
        <v>1574</v>
      </c>
      <c r="E98" t="s">
        <v>1540</v>
      </c>
    </row>
    <row r="99" spans="1:5" ht="20.100000000000001" hidden="1" customHeight="1">
      <c r="A99" s="353" t="s">
        <v>1587</v>
      </c>
      <c r="B99" s="401"/>
      <c r="C99">
        <v>16</v>
      </c>
      <c r="D99" t="s">
        <v>1575</v>
      </c>
      <c r="E99" t="s">
        <v>1540</v>
      </c>
    </row>
    <row r="100" spans="1:5" ht="20.100000000000001" hidden="1" customHeight="1">
      <c r="A100" s="353" t="s">
        <v>1587</v>
      </c>
      <c r="B100" s="401"/>
      <c r="C100">
        <v>17</v>
      </c>
      <c r="D100" t="s">
        <v>1576</v>
      </c>
      <c r="E100" t="s">
        <v>1540</v>
      </c>
    </row>
    <row r="101" spans="1:5" ht="20.100000000000001" hidden="1" customHeight="1">
      <c r="A101" s="353" t="s">
        <v>1587</v>
      </c>
      <c r="B101" s="401"/>
      <c r="C101">
        <v>18</v>
      </c>
      <c r="D101" t="s">
        <v>1577</v>
      </c>
      <c r="E101" t="s">
        <v>1540</v>
      </c>
    </row>
    <row r="102" spans="1:5" ht="20.100000000000001" hidden="1" customHeight="1">
      <c r="A102" s="353" t="s">
        <v>1587</v>
      </c>
      <c r="B102" s="401"/>
      <c r="C102">
        <v>19</v>
      </c>
      <c r="D102" t="s">
        <v>277</v>
      </c>
      <c r="E102" t="s">
        <v>1540</v>
      </c>
    </row>
    <row r="103" spans="1:5" ht="20.100000000000001" hidden="1" customHeight="1">
      <c r="A103" s="353" t="s">
        <v>1587</v>
      </c>
      <c r="B103" s="401"/>
      <c r="C103">
        <v>20</v>
      </c>
      <c r="D103" t="s">
        <v>1578</v>
      </c>
      <c r="E103" t="s">
        <v>1540</v>
      </c>
    </row>
    <row r="104" spans="1:5" ht="20.100000000000001" hidden="1" customHeight="1">
      <c r="A104" s="353" t="s">
        <v>1587</v>
      </c>
      <c r="B104" s="401"/>
      <c r="C104">
        <v>21</v>
      </c>
      <c r="D104" t="s">
        <v>1579</v>
      </c>
      <c r="E104" t="s">
        <v>1540</v>
      </c>
    </row>
    <row r="105" spans="1:5" ht="20.100000000000001" hidden="1" customHeight="1">
      <c r="A105" s="353" t="s">
        <v>1587</v>
      </c>
      <c r="B105" s="401"/>
      <c r="C105">
        <v>22</v>
      </c>
      <c r="D105" t="s">
        <v>1580</v>
      </c>
      <c r="E105" t="s">
        <v>1540</v>
      </c>
    </row>
    <row r="106" spans="1:5" ht="20.100000000000001" hidden="1" customHeight="1">
      <c r="A106" s="353" t="s">
        <v>1587</v>
      </c>
      <c r="B106" s="401"/>
      <c r="C106">
        <v>23</v>
      </c>
      <c r="D106" t="s">
        <v>1581</v>
      </c>
      <c r="E106" t="s">
        <v>1527</v>
      </c>
    </row>
    <row r="107" spans="1:5" ht="20.100000000000001" hidden="1" customHeight="1">
      <c r="A107" s="353" t="s">
        <v>1587</v>
      </c>
      <c r="B107" s="401"/>
      <c r="C107">
        <v>24</v>
      </c>
      <c r="D107" t="s">
        <v>1582</v>
      </c>
      <c r="E107" t="s">
        <v>1540</v>
      </c>
    </row>
    <row r="108" spans="1:5" ht="20.100000000000001" hidden="1" customHeight="1">
      <c r="A108" s="353" t="s">
        <v>1587</v>
      </c>
      <c r="B108" s="401"/>
      <c r="C108">
        <v>25</v>
      </c>
      <c r="D108" t="s">
        <v>1555</v>
      </c>
      <c r="E108" t="s">
        <v>1527</v>
      </c>
    </row>
    <row r="109" spans="1:5" ht="20.100000000000001" hidden="1" customHeight="1">
      <c r="A109" s="353" t="s">
        <v>1587</v>
      </c>
      <c r="B109" s="401" t="s">
        <v>1583</v>
      </c>
      <c r="C109">
        <v>1</v>
      </c>
      <c r="D109" t="s">
        <v>1584</v>
      </c>
      <c r="E109" t="s">
        <v>1527</v>
      </c>
    </row>
    <row r="110" spans="1:5" ht="20.100000000000001" hidden="1" customHeight="1">
      <c r="A110" s="353" t="s">
        <v>1587</v>
      </c>
      <c r="B110" s="401"/>
      <c r="C110">
        <v>2</v>
      </c>
      <c r="D110" t="s">
        <v>1585</v>
      </c>
      <c r="E110" t="s">
        <v>1527</v>
      </c>
    </row>
    <row r="111" spans="1:5" ht="20.100000000000001" customHeight="1">
      <c r="A111" s="352" t="s">
        <v>1676</v>
      </c>
      <c r="B111" s="401" t="s">
        <v>1559</v>
      </c>
      <c r="C111">
        <v>1</v>
      </c>
      <c r="D111" t="s">
        <v>1560</v>
      </c>
      <c r="E111" t="s">
        <v>1540</v>
      </c>
    </row>
    <row r="112" spans="1:5" ht="20.100000000000001" customHeight="1">
      <c r="A112" s="352" t="s">
        <v>1676</v>
      </c>
      <c r="B112" s="401"/>
      <c r="C112">
        <v>2</v>
      </c>
      <c r="D112" t="s">
        <v>1561</v>
      </c>
      <c r="E112" t="s">
        <v>1540</v>
      </c>
    </row>
    <row r="113" spans="1:5" ht="20.100000000000001" customHeight="1">
      <c r="A113" s="352" t="s">
        <v>1676</v>
      </c>
      <c r="B113" s="401"/>
      <c r="C113">
        <v>3</v>
      </c>
      <c r="D113" t="s">
        <v>1562</v>
      </c>
      <c r="E113" t="s">
        <v>1527</v>
      </c>
    </row>
    <row r="114" spans="1:5" ht="20.100000000000001" customHeight="1">
      <c r="A114" s="352" t="s">
        <v>1676</v>
      </c>
      <c r="B114" s="401"/>
      <c r="C114">
        <v>4</v>
      </c>
      <c r="D114" t="s">
        <v>1563</v>
      </c>
      <c r="E114" t="s">
        <v>1540</v>
      </c>
    </row>
    <row r="115" spans="1:5" ht="20.100000000000001" customHeight="1">
      <c r="A115" s="352" t="s">
        <v>1676</v>
      </c>
      <c r="B115" s="401"/>
      <c r="C115">
        <v>5</v>
      </c>
      <c r="D115" t="s">
        <v>1564</v>
      </c>
      <c r="E115" t="s">
        <v>1540</v>
      </c>
    </row>
    <row r="116" spans="1:5" ht="20.100000000000001" customHeight="1">
      <c r="A116" s="352" t="s">
        <v>1676</v>
      </c>
      <c r="B116" s="401"/>
      <c r="C116">
        <v>6</v>
      </c>
      <c r="D116" t="s">
        <v>1565</v>
      </c>
      <c r="E116" t="s">
        <v>1540</v>
      </c>
    </row>
    <row r="117" spans="1:5" ht="20.100000000000001" customHeight="1">
      <c r="A117" s="352" t="s">
        <v>1676</v>
      </c>
      <c r="B117" s="401"/>
      <c r="C117">
        <v>7</v>
      </c>
      <c r="D117" t="s">
        <v>1566</v>
      </c>
      <c r="E117" t="s">
        <v>1540</v>
      </c>
    </row>
    <row r="118" spans="1:5" ht="20.100000000000001" customHeight="1">
      <c r="A118" s="352" t="s">
        <v>1676</v>
      </c>
      <c r="B118" s="401"/>
      <c r="C118">
        <v>8</v>
      </c>
      <c r="D118" t="s">
        <v>1567</v>
      </c>
      <c r="E118" t="s">
        <v>1527</v>
      </c>
    </row>
    <row r="119" spans="1:5" ht="20.100000000000001" customHeight="1">
      <c r="A119" s="352" t="s">
        <v>1676</v>
      </c>
      <c r="B119" s="401"/>
      <c r="C119">
        <v>9</v>
      </c>
      <c r="D119" t="s">
        <v>1568</v>
      </c>
      <c r="E119" t="s">
        <v>1527</v>
      </c>
    </row>
    <row r="120" spans="1:5" ht="20.100000000000001" customHeight="1">
      <c r="A120" s="352" t="s">
        <v>1676</v>
      </c>
      <c r="B120" s="401"/>
      <c r="C120">
        <v>10</v>
      </c>
      <c r="D120" t="s">
        <v>1569</v>
      </c>
      <c r="E120" t="s">
        <v>1540</v>
      </c>
    </row>
    <row r="121" spans="1:5" ht="20.100000000000001" customHeight="1">
      <c r="A121" s="352" t="s">
        <v>1676</v>
      </c>
      <c r="B121" s="401"/>
      <c r="C121">
        <v>11</v>
      </c>
      <c r="D121" t="s">
        <v>1570</v>
      </c>
      <c r="E121" t="s">
        <v>1550</v>
      </c>
    </row>
    <row r="122" spans="1:5" ht="20.100000000000001" customHeight="1">
      <c r="A122" s="352" t="s">
        <v>1676</v>
      </c>
      <c r="B122" s="401"/>
      <c r="C122">
        <v>12</v>
      </c>
      <c r="D122" t="s">
        <v>1571</v>
      </c>
      <c r="E122" t="s">
        <v>1540</v>
      </c>
    </row>
    <row r="123" spans="1:5" ht="20.100000000000001" customHeight="1">
      <c r="A123" s="352" t="s">
        <v>1676</v>
      </c>
      <c r="B123" s="401"/>
      <c r="C123">
        <v>13</v>
      </c>
      <c r="D123" t="s">
        <v>1572</v>
      </c>
      <c r="E123" t="s">
        <v>1540</v>
      </c>
    </row>
    <row r="124" spans="1:5" ht="20.100000000000001" customHeight="1">
      <c r="A124" s="352" t="s">
        <v>1676</v>
      </c>
      <c r="B124" s="401"/>
      <c r="C124">
        <v>14</v>
      </c>
      <c r="D124" t="s">
        <v>1573</v>
      </c>
      <c r="E124" t="s">
        <v>1527</v>
      </c>
    </row>
    <row r="125" spans="1:5" ht="20.100000000000001" customHeight="1">
      <c r="A125" s="352" t="s">
        <v>1676</v>
      </c>
      <c r="B125" s="401"/>
      <c r="C125">
        <v>15</v>
      </c>
      <c r="D125" t="s">
        <v>1574</v>
      </c>
      <c r="E125" t="s">
        <v>1540</v>
      </c>
    </row>
    <row r="126" spans="1:5" ht="20.100000000000001" customHeight="1">
      <c r="A126" s="352" t="s">
        <v>1676</v>
      </c>
      <c r="B126" s="401"/>
      <c r="C126">
        <v>16</v>
      </c>
      <c r="D126" t="s">
        <v>1575</v>
      </c>
    </row>
    <row r="127" spans="1:5" ht="20.100000000000001" customHeight="1">
      <c r="A127" s="352" t="s">
        <v>1676</v>
      </c>
      <c r="B127" s="401"/>
      <c r="C127">
        <v>17</v>
      </c>
      <c r="D127" t="s">
        <v>1576</v>
      </c>
    </row>
    <row r="128" spans="1:5" ht="20.100000000000001" customHeight="1">
      <c r="A128" s="352" t="s">
        <v>1676</v>
      </c>
      <c r="B128" s="401"/>
      <c r="C128">
        <v>18</v>
      </c>
      <c r="D128" t="s">
        <v>1577</v>
      </c>
      <c r="E128" t="s">
        <v>1540</v>
      </c>
    </row>
    <row r="129" spans="1:5" ht="20.100000000000001" customHeight="1">
      <c r="A129" s="352" t="s">
        <v>1676</v>
      </c>
      <c r="B129" s="401"/>
      <c r="C129">
        <v>19</v>
      </c>
      <c r="D129" t="s">
        <v>277</v>
      </c>
      <c r="E129" t="s">
        <v>1540</v>
      </c>
    </row>
    <row r="130" spans="1:5" ht="20.100000000000001" customHeight="1">
      <c r="A130" s="352" t="s">
        <v>1676</v>
      </c>
      <c r="B130" s="401"/>
      <c r="C130">
        <v>20</v>
      </c>
      <c r="D130" t="s">
        <v>1578</v>
      </c>
      <c r="E130" t="s">
        <v>1550</v>
      </c>
    </row>
    <row r="131" spans="1:5" ht="20.100000000000001" customHeight="1">
      <c r="A131" s="352" t="s">
        <v>1676</v>
      </c>
      <c r="B131" s="401"/>
      <c r="C131">
        <v>21</v>
      </c>
      <c r="D131" t="s">
        <v>1579</v>
      </c>
      <c r="E131" t="s">
        <v>1550</v>
      </c>
    </row>
    <row r="132" spans="1:5" ht="20.100000000000001" customHeight="1">
      <c r="A132" s="352" t="s">
        <v>1676</v>
      </c>
      <c r="B132" s="401"/>
      <c r="C132">
        <v>22</v>
      </c>
      <c r="D132" t="s">
        <v>1580</v>
      </c>
    </row>
    <row r="133" spans="1:5" ht="20.100000000000001" customHeight="1">
      <c r="A133" s="352" t="s">
        <v>1676</v>
      </c>
      <c r="B133" s="401"/>
      <c r="C133">
        <v>23</v>
      </c>
      <c r="D133" t="s">
        <v>1581</v>
      </c>
    </row>
    <row r="134" spans="1:5" ht="20.100000000000001" customHeight="1">
      <c r="A134" s="352" t="s">
        <v>1676</v>
      </c>
      <c r="B134" s="401"/>
      <c r="C134">
        <v>24</v>
      </c>
      <c r="D134" t="s">
        <v>1582</v>
      </c>
    </row>
    <row r="135" spans="1:5" ht="20.100000000000001" customHeight="1">
      <c r="A135" s="352" t="s">
        <v>1676</v>
      </c>
      <c r="B135" s="401"/>
      <c r="C135">
        <v>25</v>
      </c>
      <c r="D135" t="s">
        <v>1555</v>
      </c>
    </row>
    <row r="136" spans="1:5" ht="20.100000000000001" customHeight="1">
      <c r="A136" s="352" t="s">
        <v>1676</v>
      </c>
      <c r="B136" s="401" t="s">
        <v>1583</v>
      </c>
      <c r="C136">
        <v>1</v>
      </c>
      <c r="D136" t="s">
        <v>1584</v>
      </c>
      <c r="E136" s="87" t="s">
        <v>2128</v>
      </c>
    </row>
    <row r="137" spans="1:5" ht="20.100000000000001" customHeight="1">
      <c r="A137" s="352" t="s">
        <v>1676</v>
      </c>
      <c r="B137" s="401"/>
      <c r="C137">
        <v>2</v>
      </c>
      <c r="D137" t="s">
        <v>1585</v>
      </c>
    </row>
    <row r="138" spans="1:5" ht="20.100000000000001" customHeight="1">
      <c r="A138" s="352" t="s">
        <v>1676</v>
      </c>
      <c r="B138" s="401" t="s">
        <v>1546</v>
      </c>
      <c r="C138">
        <v>1</v>
      </c>
      <c r="D138" t="s">
        <v>1547</v>
      </c>
      <c r="E138" t="s">
        <v>1540</v>
      </c>
    </row>
    <row r="139" spans="1:5" ht="20.100000000000001" customHeight="1">
      <c r="A139" s="352" t="s">
        <v>1676</v>
      </c>
      <c r="B139" s="401"/>
      <c r="C139">
        <v>2</v>
      </c>
      <c r="D139" t="s">
        <v>1548</v>
      </c>
      <c r="E139" t="s">
        <v>1540</v>
      </c>
    </row>
    <row r="140" spans="1:5" ht="20.100000000000001" customHeight="1">
      <c r="A140" s="352" t="s">
        <v>1676</v>
      </c>
      <c r="B140" s="401"/>
      <c r="C140">
        <v>3</v>
      </c>
      <c r="D140" t="s">
        <v>1549</v>
      </c>
      <c r="E140" t="s">
        <v>1540</v>
      </c>
    </row>
    <row r="141" spans="1:5" ht="20.100000000000001" customHeight="1">
      <c r="A141" s="352" t="s">
        <v>1676</v>
      </c>
      <c r="B141" s="401"/>
      <c r="C141">
        <v>4</v>
      </c>
      <c r="D141" t="s">
        <v>1551</v>
      </c>
      <c r="E141" t="s">
        <v>1527</v>
      </c>
    </row>
    <row r="142" spans="1:5" ht="20.100000000000001" customHeight="1">
      <c r="A142" s="352" t="s">
        <v>1676</v>
      </c>
      <c r="B142" s="401"/>
      <c r="C142">
        <v>5</v>
      </c>
      <c r="D142" t="s">
        <v>1552</v>
      </c>
      <c r="E142" t="s">
        <v>1540</v>
      </c>
    </row>
    <row r="143" spans="1:5" ht="20.100000000000001" customHeight="1">
      <c r="A143" s="352" t="s">
        <v>1676</v>
      </c>
      <c r="B143" s="401"/>
      <c r="C143">
        <v>6</v>
      </c>
      <c r="D143" t="s">
        <v>1553</v>
      </c>
      <c r="E143" t="s">
        <v>1527</v>
      </c>
    </row>
    <row r="144" spans="1:5" ht="20.100000000000001" customHeight="1">
      <c r="A144" s="352" t="s">
        <v>1676</v>
      </c>
      <c r="B144" s="401"/>
      <c r="C144">
        <v>7</v>
      </c>
      <c r="D144" t="s">
        <v>1554</v>
      </c>
      <c r="E144" t="s">
        <v>1540</v>
      </c>
    </row>
    <row r="145" spans="1:5" ht="20.100000000000001" customHeight="1">
      <c r="A145" s="352" t="s">
        <v>1676</v>
      </c>
      <c r="B145" s="401"/>
      <c r="C145">
        <v>8</v>
      </c>
      <c r="D145" t="s">
        <v>1555</v>
      </c>
      <c r="E145" t="s">
        <v>1540</v>
      </c>
    </row>
    <row r="146" spans="1:5" ht="20.100000000000001" customHeight="1">
      <c r="A146" s="352" t="s">
        <v>1676</v>
      </c>
      <c r="B146" s="401"/>
      <c r="C146">
        <v>9</v>
      </c>
      <c r="D146" t="s">
        <v>1556</v>
      </c>
      <c r="E146" t="s">
        <v>1540</v>
      </c>
    </row>
    <row r="147" spans="1:5" ht="20.100000000000001" customHeight="1">
      <c r="A147" s="352" t="s">
        <v>1676</v>
      </c>
      <c r="B147" s="401"/>
      <c r="C147">
        <v>10</v>
      </c>
      <c r="D147" t="s">
        <v>1557</v>
      </c>
      <c r="E147" t="s">
        <v>1540</v>
      </c>
    </row>
    <row r="148" spans="1:5" ht="20.100000000000001" customHeight="1">
      <c r="A148" s="352" t="s">
        <v>1676</v>
      </c>
      <c r="B148" s="401"/>
      <c r="C148">
        <v>11</v>
      </c>
      <c r="D148" t="s">
        <v>1558</v>
      </c>
      <c r="E148" t="s">
        <v>1550</v>
      </c>
    </row>
  </sheetData>
  <autoFilter ref="A2:E148">
    <filterColumn colId="0">
      <filters>
        <filter val="迭代4"/>
      </filters>
    </filterColumn>
  </autoFilter>
  <mergeCells count="13">
    <mergeCell ref="B111:B135"/>
    <mergeCell ref="B136:B137"/>
    <mergeCell ref="B138:B148"/>
    <mergeCell ref="B55:B56"/>
    <mergeCell ref="B57:B81"/>
    <mergeCell ref="B82:B83"/>
    <mergeCell ref="B84:B108"/>
    <mergeCell ref="B109:B110"/>
    <mergeCell ref="B3:B6"/>
    <mergeCell ref="B7:B15"/>
    <mergeCell ref="B16:B18"/>
    <mergeCell ref="B19:B29"/>
    <mergeCell ref="B30:B54"/>
  </mergeCells>
  <phoneticPr fontId="13" type="noConversion"/>
  <conditionalFormatting sqref="E25:E30">
    <cfRule type="cellIs" dxfId="60" priority="7" stopIfTrue="1" operator="equal">
      <formula>"N"</formula>
    </cfRule>
  </conditionalFormatting>
  <dataValidations count="1">
    <dataValidation type="list" allowBlank="1" showInputMessage="1" showErrorMessage="1" sqref="E25:E49">
      <formula1>"Y,N,NA"</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FF"/>
  </sheetPr>
  <dimension ref="A2:E46"/>
  <sheetViews>
    <sheetView topLeftCell="A13" workbookViewId="0">
      <selection activeCell="H44" sqref="H44"/>
    </sheetView>
  </sheetViews>
  <sheetFormatPr defaultRowHeight="12.75"/>
  <cols>
    <col min="3" max="3" width="59.28515625" customWidth="1"/>
    <col min="4" max="4" width="11.85546875" customWidth="1"/>
  </cols>
  <sheetData>
    <row r="2" spans="1:5">
      <c r="A2" s="303" t="s">
        <v>295</v>
      </c>
      <c r="B2" s="303" t="s">
        <v>296</v>
      </c>
      <c r="C2" s="304" t="s">
        <v>297</v>
      </c>
      <c r="D2" s="303" t="s">
        <v>298</v>
      </c>
      <c r="E2" s="371" t="s">
        <v>2130</v>
      </c>
    </row>
    <row r="3" spans="1:5">
      <c r="A3" s="433" t="s">
        <v>2129</v>
      </c>
      <c r="B3" s="305">
        <v>1</v>
      </c>
      <c r="C3" s="306" t="s">
        <v>299</v>
      </c>
      <c r="D3" s="307" t="s">
        <v>1540</v>
      </c>
      <c r="E3" s="371" t="s">
        <v>2131</v>
      </c>
    </row>
    <row r="4" spans="1:5">
      <c r="A4" s="433" t="s">
        <v>2129</v>
      </c>
      <c r="B4" s="305">
        <v>2</v>
      </c>
      <c r="C4" s="308" t="s">
        <v>300</v>
      </c>
      <c r="D4" s="307" t="s">
        <v>1540</v>
      </c>
      <c r="E4" s="371" t="s">
        <v>2131</v>
      </c>
    </row>
    <row r="5" spans="1:5">
      <c r="A5" s="433" t="s">
        <v>2129</v>
      </c>
      <c r="B5" s="305">
        <v>3</v>
      </c>
      <c r="C5" s="308" t="s">
        <v>301</v>
      </c>
      <c r="D5" s="307" t="s">
        <v>1540</v>
      </c>
      <c r="E5" s="371" t="s">
        <v>2131</v>
      </c>
    </row>
    <row r="6" spans="1:5" ht="24">
      <c r="A6" s="433" t="s">
        <v>2129</v>
      </c>
      <c r="B6" s="305">
        <v>4</v>
      </c>
      <c r="C6" s="308" t="s">
        <v>302</v>
      </c>
      <c r="D6" s="307" t="s">
        <v>1550</v>
      </c>
      <c r="E6" s="371" t="s">
        <v>2131</v>
      </c>
    </row>
    <row r="7" spans="1:5" ht="24">
      <c r="A7" s="433" t="s">
        <v>2129</v>
      </c>
      <c r="B7" s="305">
        <v>5</v>
      </c>
      <c r="C7" s="308" t="s">
        <v>303</v>
      </c>
      <c r="D7" s="307" t="s">
        <v>1550</v>
      </c>
      <c r="E7" s="371" t="s">
        <v>2131</v>
      </c>
    </row>
    <row r="8" spans="1:5">
      <c r="A8" s="433" t="s">
        <v>2129</v>
      </c>
      <c r="B8" s="305">
        <v>6</v>
      </c>
      <c r="C8" s="308" t="s">
        <v>304</v>
      </c>
      <c r="D8" s="307" t="s">
        <v>1540</v>
      </c>
      <c r="E8" s="371" t="s">
        <v>2131</v>
      </c>
    </row>
    <row r="9" spans="1:5">
      <c r="A9" s="433" t="s">
        <v>2129</v>
      </c>
      <c r="B9" s="305">
        <v>7</v>
      </c>
      <c r="C9" s="308" t="s">
        <v>305</v>
      </c>
      <c r="D9" s="307" t="s">
        <v>1540</v>
      </c>
      <c r="E9" s="371" t="s">
        <v>2131</v>
      </c>
    </row>
    <row r="10" spans="1:5" ht="24">
      <c r="A10" s="433" t="s">
        <v>2129</v>
      </c>
      <c r="B10" s="305">
        <v>8</v>
      </c>
      <c r="C10" s="308" t="s">
        <v>306</v>
      </c>
      <c r="D10" s="307" t="s">
        <v>1540</v>
      </c>
      <c r="E10" s="371" t="s">
        <v>2131</v>
      </c>
    </row>
    <row r="11" spans="1:5">
      <c r="A11" s="433" t="s">
        <v>2129</v>
      </c>
      <c r="B11" s="305">
        <v>9</v>
      </c>
      <c r="C11" s="308" t="s">
        <v>307</v>
      </c>
      <c r="D11" s="307" t="s">
        <v>1540</v>
      </c>
      <c r="E11" s="371" t="s">
        <v>2131</v>
      </c>
    </row>
    <row r="12" spans="1:5">
      <c r="A12" s="433" t="s">
        <v>2129</v>
      </c>
      <c r="B12" s="305">
        <v>10</v>
      </c>
      <c r="C12" s="308" t="s">
        <v>308</v>
      </c>
      <c r="D12" s="307" t="s">
        <v>1527</v>
      </c>
      <c r="E12" s="371" t="s">
        <v>2131</v>
      </c>
    </row>
    <row r="13" spans="1:5">
      <c r="A13" s="433" t="s">
        <v>2129</v>
      </c>
      <c r="B13" s="305">
        <v>11</v>
      </c>
      <c r="C13" s="308" t="s">
        <v>309</v>
      </c>
      <c r="D13" s="307" t="s">
        <v>1527</v>
      </c>
      <c r="E13" s="371" t="s">
        <v>2131</v>
      </c>
    </row>
    <row r="14" spans="1:5">
      <c r="A14" s="433" t="s">
        <v>2129</v>
      </c>
      <c r="B14" s="305">
        <v>1</v>
      </c>
      <c r="C14" s="306" t="s">
        <v>299</v>
      </c>
      <c r="D14" s="307" t="s">
        <v>1540</v>
      </c>
      <c r="E14" s="371" t="s">
        <v>2132</v>
      </c>
    </row>
    <row r="15" spans="1:5">
      <c r="A15" s="433" t="s">
        <v>2129</v>
      </c>
      <c r="B15" s="305">
        <v>2</v>
      </c>
      <c r="C15" s="308" t="s">
        <v>300</v>
      </c>
      <c r="D15" s="307" t="s">
        <v>1540</v>
      </c>
      <c r="E15" s="371" t="s">
        <v>2132</v>
      </c>
    </row>
    <row r="16" spans="1:5">
      <c r="A16" s="433" t="s">
        <v>2129</v>
      </c>
      <c r="B16" s="305">
        <v>3</v>
      </c>
      <c r="C16" s="308" t="s">
        <v>301</v>
      </c>
      <c r="D16" s="307" t="s">
        <v>1540</v>
      </c>
      <c r="E16" s="371" t="s">
        <v>2132</v>
      </c>
    </row>
    <row r="17" spans="1:5" ht="24">
      <c r="A17" s="433" t="s">
        <v>2129</v>
      </c>
      <c r="B17" s="305">
        <v>4</v>
      </c>
      <c r="C17" s="308" t="s">
        <v>302</v>
      </c>
      <c r="D17" s="307" t="s">
        <v>1550</v>
      </c>
      <c r="E17" s="371" t="s">
        <v>2132</v>
      </c>
    </row>
    <row r="18" spans="1:5" ht="24">
      <c r="A18" s="433" t="s">
        <v>2129</v>
      </c>
      <c r="B18" s="305">
        <v>5</v>
      </c>
      <c r="C18" s="308" t="s">
        <v>303</v>
      </c>
      <c r="D18" s="307" t="s">
        <v>1550</v>
      </c>
      <c r="E18" s="371" t="s">
        <v>2132</v>
      </c>
    </row>
    <row r="19" spans="1:5">
      <c r="A19" s="433" t="s">
        <v>2129</v>
      </c>
      <c r="B19" s="305">
        <v>6</v>
      </c>
      <c r="C19" s="308" t="s">
        <v>304</v>
      </c>
      <c r="D19" s="307" t="s">
        <v>1540</v>
      </c>
      <c r="E19" s="371" t="s">
        <v>2132</v>
      </c>
    </row>
    <row r="20" spans="1:5">
      <c r="A20" s="433" t="s">
        <v>2129</v>
      </c>
      <c r="B20" s="305">
        <v>7</v>
      </c>
      <c r="C20" s="308" t="s">
        <v>305</v>
      </c>
      <c r="D20" s="307" t="s">
        <v>1540</v>
      </c>
      <c r="E20" s="371" t="s">
        <v>2132</v>
      </c>
    </row>
    <row r="21" spans="1:5" ht="24">
      <c r="A21" s="433" t="s">
        <v>2129</v>
      </c>
      <c r="B21" s="305">
        <v>8</v>
      </c>
      <c r="C21" s="308" t="s">
        <v>306</v>
      </c>
      <c r="D21" s="307" t="s">
        <v>1540</v>
      </c>
      <c r="E21" s="371" t="s">
        <v>2132</v>
      </c>
    </row>
    <row r="22" spans="1:5">
      <c r="A22" s="433" t="s">
        <v>2129</v>
      </c>
      <c r="B22" s="305">
        <v>9</v>
      </c>
      <c r="C22" s="308" t="s">
        <v>307</v>
      </c>
      <c r="D22" s="307" t="s">
        <v>1540</v>
      </c>
      <c r="E22" s="371" t="s">
        <v>2132</v>
      </c>
    </row>
    <row r="23" spans="1:5">
      <c r="A23" s="433" t="s">
        <v>2129</v>
      </c>
      <c r="B23" s="305">
        <v>10</v>
      </c>
      <c r="C23" s="308" t="s">
        <v>308</v>
      </c>
      <c r="D23" s="307" t="s">
        <v>1527</v>
      </c>
      <c r="E23" s="371" t="s">
        <v>2132</v>
      </c>
    </row>
    <row r="24" spans="1:5">
      <c r="A24" s="433" t="s">
        <v>2129</v>
      </c>
      <c r="B24" s="305">
        <v>11</v>
      </c>
      <c r="C24" s="308" t="s">
        <v>309</v>
      </c>
      <c r="D24" s="307" t="s">
        <v>1527</v>
      </c>
      <c r="E24" s="371" t="s">
        <v>2132</v>
      </c>
    </row>
    <row r="25" spans="1:5">
      <c r="A25" s="433" t="s">
        <v>2129</v>
      </c>
      <c r="B25" s="305">
        <v>1</v>
      </c>
      <c r="C25" s="306" t="s">
        <v>299</v>
      </c>
      <c r="D25" s="307" t="s">
        <v>1540</v>
      </c>
      <c r="E25" s="371" t="s">
        <v>2133</v>
      </c>
    </row>
    <row r="26" spans="1:5">
      <c r="A26" s="433" t="s">
        <v>2129</v>
      </c>
      <c r="B26" s="305">
        <v>2</v>
      </c>
      <c r="C26" s="308" t="s">
        <v>300</v>
      </c>
      <c r="D26" s="307" t="s">
        <v>1540</v>
      </c>
      <c r="E26" s="371" t="s">
        <v>2133</v>
      </c>
    </row>
    <row r="27" spans="1:5">
      <c r="A27" s="433" t="s">
        <v>2129</v>
      </c>
      <c r="B27" s="305">
        <v>3</v>
      </c>
      <c r="C27" s="308" t="s">
        <v>301</v>
      </c>
      <c r="D27" s="307" t="s">
        <v>1540</v>
      </c>
      <c r="E27" s="371" t="s">
        <v>2133</v>
      </c>
    </row>
    <row r="28" spans="1:5" ht="24">
      <c r="A28" s="433" t="s">
        <v>2129</v>
      </c>
      <c r="B28" s="305">
        <v>4</v>
      </c>
      <c r="C28" s="308" t="s">
        <v>302</v>
      </c>
      <c r="D28" s="307" t="s">
        <v>1550</v>
      </c>
      <c r="E28" s="371" t="s">
        <v>2133</v>
      </c>
    </row>
    <row r="29" spans="1:5" ht="24">
      <c r="A29" s="433" t="s">
        <v>2129</v>
      </c>
      <c r="B29" s="305">
        <v>5</v>
      </c>
      <c r="C29" s="308" t="s">
        <v>303</v>
      </c>
      <c r="D29" s="307" t="s">
        <v>1550</v>
      </c>
      <c r="E29" s="371" t="s">
        <v>2133</v>
      </c>
    </row>
    <row r="30" spans="1:5">
      <c r="A30" s="433" t="s">
        <v>2129</v>
      </c>
      <c r="B30" s="305">
        <v>6</v>
      </c>
      <c r="C30" s="308" t="s">
        <v>304</v>
      </c>
      <c r="D30" s="307" t="s">
        <v>1540</v>
      </c>
      <c r="E30" s="371" t="s">
        <v>2133</v>
      </c>
    </row>
    <row r="31" spans="1:5">
      <c r="A31" s="433" t="s">
        <v>2129</v>
      </c>
      <c r="B31" s="305">
        <v>7</v>
      </c>
      <c r="C31" s="308" t="s">
        <v>305</v>
      </c>
      <c r="D31" s="307" t="s">
        <v>1540</v>
      </c>
      <c r="E31" s="371" t="s">
        <v>2133</v>
      </c>
    </row>
    <row r="32" spans="1:5" ht="24">
      <c r="A32" s="433" t="s">
        <v>2129</v>
      </c>
      <c r="B32" s="305">
        <v>8</v>
      </c>
      <c r="C32" s="308" t="s">
        <v>306</v>
      </c>
      <c r="D32" s="307" t="s">
        <v>1540</v>
      </c>
      <c r="E32" s="371" t="s">
        <v>2133</v>
      </c>
    </row>
    <row r="33" spans="1:5">
      <c r="A33" s="433" t="s">
        <v>2129</v>
      </c>
      <c r="B33" s="305">
        <v>9</v>
      </c>
      <c r="C33" s="308" t="s">
        <v>307</v>
      </c>
      <c r="D33" s="307" t="s">
        <v>1540</v>
      </c>
      <c r="E33" s="371" t="s">
        <v>2133</v>
      </c>
    </row>
    <row r="34" spans="1:5">
      <c r="A34" s="433" t="s">
        <v>2129</v>
      </c>
      <c r="B34" s="305">
        <v>10</v>
      </c>
      <c r="C34" s="308" t="s">
        <v>308</v>
      </c>
      <c r="D34" s="307" t="s">
        <v>1540</v>
      </c>
      <c r="E34" s="371" t="s">
        <v>2133</v>
      </c>
    </row>
    <row r="35" spans="1:5">
      <c r="A35" s="433" t="s">
        <v>2129</v>
      </c>
      <c r="B35" s="305">
        <v>11</v>
      </c>
      <c r="C35" s="308" t="s">
        <v>309</v>
      </c>
      <c r="D35" s="307" t="s">
        <v>1540</v>
      </c>
      <c r="E35" s="371" t="s">
        <v>2133</v>
      </c>
    </row>
    <row r="36" spans="1:5">
      <c r="A36" s="433" t="s">
        <v>2129</v>
      </c>
      <c r="B36" s="305">
        <v>1</v>
      </c>
      <c r="C36" s="306" t="s">
        <v>299</v>
      </c>
      <c r="D36" s="307" t="s">
        <v>1540</v>
      </c>
      <c r="E36" s="371" t="s">
        <v>2134</v>
      </c>
    </row>
    <row r="37" spans="1:5">
      <c r="A37" s="433" t="s">
        <v>2129</v>
      </c>
      <c r="B37" s="305">
        <v>2</v>
      </c>
      <c r="C37" s="308" t="s">
        <v>300</v>
      </c>
      <c r="D37" s="307" t="s">
        <v>1540</v>
      </c>
      <c r="E37" s="371" t="s">
        <v>2134</v>
      </c>
    </row>
    <row r="38" spans="1:5">
      <c r="A38" s="433" t="s">
        <v>2129</v>
      </c>
      <c r="B38" s="305">
        <v>3</v>
      </c>
      <c r="C38" s="308" t="s">
        <v>301</v>
      </c>
      <c r="D38" s="307" t="s">
        <v>1540</v>
      </c>
      <c r="E38" s="371" t="s">
        <v>2134</v>
      </c>
    </row>
    <row r="39" spans="1:5" ht="24">
      <c r="A39" s="433" t="s">
        <v>2129</v>
      </c>
      <c r="B39" s="305">
        <v>4</v>
      </c>
      <c r="C39" s="308" t="s">
        <v>302</v>
      </c>
      <c r="D39" s="307" t="s">
        <v>1550</v>
      </c>
      <c r="E39" s="371" t="s">
        <v>2134</v>
      </c>
    </row>
    <row r="40" spans="1:5" ht="24">
      <c r="A40" s="433" t="s">
        <v>2129</v>
      </c>
      <c r="B40" s="305">
        <v>5</v>
      </c>
      <c r="C40" s="308" t="s">
        <v>303</v>
      </c>
      <c r="D40" s="307" t="s">
        <v>1550</v>
      </c>
      <c r="E40" s="371" t="s">
        <v>2134</v>
      </c>
    </row>
    <row r="41" spans="1:5">
      <c r="A41" s="433" t="s">
        <v>2129</v>
      </c>
      <c r="B41" s="305">
        <v>6</v>
      </c>
      <c r="C41" s="308" t="s">
        <v>304</v>
      </c>
      <c r="D41" s="307" t="s">
        <v>1540</v>
      </c>
      <c r="E41" s="371" t="s">
        <v>2134</v>
      </c>
    </row>
    <row r="42" spans="1:5">
      <c r="A42" s="433" t="s">
        <v>2129</v>
      </c>
      <c r="B42" s="305">
        <v>7</v>
      </c>
      <c r="C42" s="308" t="s">
        <v>305</v>
      </c>
      <c r="D42" s="307" t="s">
        <v>1540</v>
      </c>
      <c r="E42" s="371" t="s">
        <v>2134</v>
      </c>
    </row>
    <row r="43" spans="1:5" ht="24">
      <c r="A43" s="433" t="s">
        <v>2129</v>
      </c>
      <c r="B43" s="305">
        <v>8</v>
      </c>
      <c r="C43" s="308" t="s">
        <v>306</v>
      </c>
      <c r="D43" s="307" t="s">
        <v>1540</v>
      </c>
      <c r="E43" s="371" t="s">
        <v>2134</v>
      </c>
    </row>
    <row r="44" spans="1:5">
      <c r="A44" s="433" t="s">
        <v>2129</v>
      </c>
      <c r="B44" s="305">
        <v>9</v>
      </c>
      <c r="C44" s="308" t="s">
        <v>307</v>
      </c>
      <c r="D44" s="307" t="s">
        <v>1540</v>
      </c>
      <c r="E44" s="371" t="s">
        <v>2134</v>
      </c>
    </row>
    <row r="45" spans="1:5">
      <c r="A45" s="433" t="s">
        <v>2129</v>
      </c>
      <c r="B45" s="305">
        <v>10</v>
      </c>
      <c r="C45" s="308" t="s">
        <v>308</v>
      </c>
      <c r="D45" s="307" t="s">
        <v>1540</v>
      </c>
      <c r="E45" s="371" t="s">
        <v>2134</v>
      </c>
    </row>
    <row r="46" spans="1:5">
      <c r="A46" s="433" t="s">
        <v>2129</v>
      </c>
      <c r="B46" s="305">
        <v>11</v>
      </c>
      <c r="C46" s="308" t="s">
        <v>309</v>
      </c>
      <c r="D46" s="307" t="s">
        <v>1540</v>
      </c>
      <c r="E46" s="371" t="s">
        <v>2134</v>
      </c>
    </row>
  </sheetData>
  <phoneticPr fontId="12" type="noConversion"/>
  <conditionalFormatting sqref="C4:C13">
    <cfRule type="expression" dxfId="59" priority="37" stopIfTrue="1">
      <formula>D4="是"</formula>
    </cfRule>
    <cfRule type="expression" dxfId="58" priority="38" stopIfTrue="1">
      <formula>D4="否"</formula>
    </cfRule>
    <cfRule type="expression" dxfId="57" priority="39" stopIfTrue="1">
      <formula>D4="不适用"</formula>
    </cfRule>
  </conditionalFormatting>
  <conditionalFormatting sqref="B3:B13">
    <cfRule type="expression" dxfId="47" priority="40" stopIfTrue="1">
      <formula>D3="是"</formula>
    </cfRule>
    <cfRule type="expression" dxfId="46" priority="41" stopIfTrue="1">
      <formula>D3="否"</formula>
    </cfRule>
    <cfRule type="expression" dxfId="45" priority="42" stopIfTrue="1">
      <formula>D3="不适用"</formula>
    </cfRule>
  </conditionalFormatting>
  <conditionalFormatting sqref="D3">
    <cfRule type="cellIs" dxfId="56" priority="34" stopIfTrue="1" operator="equal">
      <formula>"满足"</formula>
    </cfRule>
    <cfRule type="cellIs" dxfId="55" priority="35" stopIfTrue="1" operator="equal">
      <formula>"不适用"</formula>
    </cfRule>
    <cfRule type="cellIs" dxfId="54" priority="36" stopIfTrue="1" operator="equal">
      <formula>"不满足"</formula>
    </cfRule>
  </conditionalFormatting>
  <conditionalFormatting sqref="D4:D11">
    <cfRule type="cellIs" dxfId="53" priority="31" stopIfTrue="1" operator="equal">
      <formula>"满足"</formula>
    </cfRule>
    <cfRule type="cellIs" dxfId="52" priority="32" stopIfTrue="1" operator="equal">
      <formula>"不适用"</formula>
    </cfRule>
    <cfRule type="cellIs" dxfId="51" priority="33" stopIfTrue="1" operator="equal">
      <formula>"不满足"</formula>
    </cfRule>
  </conditionalFormatting>
  <conditionalFormatting sqref="D12:D13">
    <cfRule type="cellIs" dxfId="50" priority="28" stopIfTrue="1" operator="equal">
      <formula>"满足"</formula>
    </cfRule>
    <cfRule type="cellIs" dxfId="49" priority="29" stopIfTrue="1" operator="equal">
      <formula>"不适用"</formula>
    </cfRule>
    <cfRule type="cellIs" dxfId="48" priority="30" stopIfTrue="1" operator="equal">
      <formula>"不满足"</formula>
    </cfRule>
  </conditionalFormatting>
  <conditionalFormatting sqref="C15:C24">
    <cfRule type="expression" dxfId="44" priority="22" stopIfTrue="1">
      <formula>D15="是"</formula>
    </cfRule>
    <cfRule type="expression" dxfId="43" priority="23" stopIfTrue="1">
      <formula>D15="否"</formula>
    </cfRule>
    <cfRule type="expression" dxfId="42" priority="24" stopIfTrue="1">
      <formula>D15="不适用"</formula>
    </cfRule>
  </conditionalFormatting>
  <conditionalFormatting sqref="B14:B24">
    <cfRule type="expression" dxfId="41" priority="25" stopIfTrue="1">
      <formula>D14="是"</formula>
    </cfRule>
    <cfRule type="expression" dxfId="40" priority="26" stopIfTrue="1">
      <formula>D14="否"</formula>
    </cfRule>
    <cfRule type="expression" dxfId="39" priority="27" stopIfTrue="1">
      <formula>D14="不适用"</formula>
    </cfRule>
  </conditionalFormatting>
  <conditionalFormatting sqref="C26:C35">
    <cfRule type="expression" dxfId="38" priority="16" stopIfTrue="1">
      <formula>D26="是"</formula>
    </cfRule>
    <cfRule type="expression" dxfId="37" priority="17" stopIfTrue="1">
      <formula>D26="否"</formula>
    </cfRule>
    <cfRule type="expression" dxfId="36" priority="18" stopIfTrue="1">
      <formula>D26="不适用"</formula>
    </cfRule>
  </conditionalFormatting>
  <conditionalFormatting sqref="B25:B35">
    <cfRule type="expression" dxfId="35" priority="19" stopIfTrue="1">
      <formula>D25="是"</formula>
    </cfRule>
    <cfRule type="expression" dxfId="34" priority="20" stopIfTrue="1">
      <formula>D25="否"</formula>
    </cfRule>
    <cfRule type="expression" dxfId="33" priority="21" stopIfTrue="1">
      <formula>D25="不适用"</formula>
    </cfRule>
  </conditionalFormatting>
  <conditionalFormatting sqref="C37:C46">
    <cfRule type="expression" dxfId="32" priority="10" stopIfTrue="1">
      <formula>D37="是"</formula>
    </cfRule>
    <cfRule type="expression" dxfId="31" priority="11" stopIfTrue="1">
      <formula>D37="否"</formula>
    </cfRule>
    <cfRule type="expression" dxfId="30" priority="12" stopIfTrue="1">
      <formula>D37="不适用"</formula>
    </cfRule>
  </conditionalFormatting>
  <conditionalFormatting sqref="B36:B46">
    <cfRule type="expression" dxfId="29" priority="13" stopIfTrue="1">
      <formula>D36="是"</formula>
    </cfRule>
    <cfRule type="expression" dxfId="28" priority="14" stopIfTrue="1">
      <formula>D36="否"</formula>
    </cfRule>
    <cfRule type="expression" dxfId="27" priority="15" stopIfTrue="1">
      <formula>D36="不适用"</formula>
    </cfRule>
  </conditionalFormatting>
  <conditionalFormatting sqref="D14 D25 D36">
    <cfRule type="cellIs" dxfId="17" priority="7" stopIfTrue="1" operator="equal">
      <formula>"满足"</formula>
    </cfRule>
    <cfRule type="cellIs" dxfId="16" priority="8" stopIfTrue="1" operator="equal">
      <formula>"不适用"</formula>
    </cfRule>
    <cfRule type="cellIs" dxfId="15" priority="9" stopIfTrue="1" operator="equal">
      <formula>"不满足"</formula>
    </cfRule>
  </conditionalFormatting>
  <conditionalFormatting sqref="D15:D22 D26:D33 D37:D44">
    <cfRule type="cellIs" dxfId="11" priority="4" stopIfTrue="1" operator="equal">
      <formula>"满足"</formula>
    </cfRule>
    <cfRule type="cellIs" dxfId="10" priority="5" stopIfTrue="1" operator="equal">
      <formula>"不适用"</formula>
    </cfRule>
    <cfRule type="cellIs" dxfId="9" priority="6" stopIfTrue="1" operator="equal">
      <formula>"不满足"</formula>
    </cfRule>
  </conditionalFormatting>
  <conditionalFormatting sqref="D23:D24 D34:D35 D45:D46">
    <cfRule type="cellIs" dxfId="5" priority="1" stopIfTrue="1" operator="equal">
      <formula>"满足"</formula>
    </cfRule>
    <cfRule type="cellIs" dxfId="4" priority="2" stopIfTrue="1" operator="equal">
      <formula>"不适用"</formula>
    </cfRule>
    <cfRule type="cellIs" dxfId="3" priority="3" stopIfTrue="1" operator="equal">
      <formula>"不满足"</formula>
    </cfRule>
  </conditionalFormatting>
  <dataValidations count="1">
    <dataValidation type="list" allowBlank="1" showInputMessage="1" showErrorMessage="1" sqref="D3:D13">
      <formula1>"Y,N,NA"</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filterMode="1">
    <tabColor rgb="FFFF00FF"/>
  </sheetPr>
  <dimension ref="A1:AL422"/>
  <sheetViews>
    <sheetView zoomScaleNormal="100" workbookViewId="0">
      <pane xSplit="1" ySplit="1" topLeftCell="B2" activePane="bottomRight" state="frozen"/>
      <selection pane="topRight"/>
      <selection pane="bottomLeft"/>
      <selection pane="bottomRight" activeCell="J427" sqref="J427"/>
    </sheetView>
  </sheetViews>
  <sheetFormatPr defaultColWidth="10.7109375" defaultRowHeight="16.5" customHeight="1"/>
  <cols>
    <col min="1" max="1" width="9.7109375" style="38" customWidth="1"/>
  </cols>
  <sheetData>
    <row r="1" spans="1:38" s="56" customFormat="1" ht="22.5" customHeight="1">
      <c r="A1" s="336" t="s">
        <v>462</v>
      </c>
      <c r="B1" s="337" t="s">
        <v>69</v>
      </c>
      <c r="C1" s="338" t="s">
        <v>70</v>
      </c>
      <c r="D1" s="337" t="s">
        <v>71</v>
      </c>
      <c r="E1" s="337" t="s">
        <v>72</v>
      </c>
      <c r="F1" s="339" t="s">
        <v>73</v>
      </c>
      <c r="G1" s="337" t="s">
        <v>74</v>
      </c>
      <c r="H1" s="338" t="s">
        <v>75</v>
      </c>
      <c r="I1" s="337" t="s">
        <v>76</v>
      </c>
      <c r="J1" s="340" t="s">
        <v>77</v>
      </c>
      <c r="K1" s="337" t="s">
        <v>78</v>
      </c>
      <c r="L1" s="337" t="s">
        <v>79</v>
      </c>
      <c r="M1" s="337" t="s">
        <v>80</v>
      </c>
      <c r="N1" s="337" t="s">
        <v>81</v>
      </c>
      <c r="O1" s="339" t="s">
        <v>82</v>
      </c>
      <c r="P1" s="337" t="s">
        <v>83</v>
      </c>
      <c r="Q1" s="338" t="s">
        <v>84</v>
      </c>
      <c r="R1" s="370" t="s">
        <v>2120</v>
      </c>
      <c r="S1" s="337" t="s">
        <v>85</v>
      </c>
      <c r="T1" s="337" t="s">
        <v>86</v>
      </c>
      <c r="U1" s="337" t="s">
        <v>87</v>
      </c>
      <c r="V1" s="337" t="s">
        <v>88</v>
      </c>
      <c r="W1" s="338" t="s">
        <v>89</v>
      </c>
      <c r="X1" s="337" t="s">
        <v>90</v>
      </c>
      <c r="Y1" s="339" t="s">
        <v>91</v>
      </c>
      <c r="Z1" s="337" t="s">
        <v>92</v>
      </c>
      <c r="AA1" s="337" t="s">
        <v>93</v>
      </c>
      <c r="AB1" s="338" t="s">
        <v>94</v>
      </c>
      <c r="AC1" s="339" t="s">
        <v>95</v>
      </c>
      <c r="AD1" s="337" t="s">
        <v>96</v>
      </c>
      <c r="AE1" s="337" t="s">
        <v>97</v>
      </c>
      <c r="AF1" s="337" t="s">
        <v>98</v>
      </c>
      <c r="AG1" s="337" t="s">
        <v>99</v>
      </c>
      <c r="AH1" s="337" t="s">
        <v>100</v>
      </c>
      <c r="AI1" s="339" t="s">
        <v>101</v>
      </c>
      <c r="AJ1" s="341" t="s">
        <v>102</v>
      </c>
      <c r="AK1" s="342" t="s">
        <v>103</v>
      </c>
      <c r="AL1" s="343" t="s">
        <v>43</v>
      </c>
    </row>
    <row r="2" spans="1:38" s="348" customFormat="1" ht="16.5" hidden="1" customHeight="1">
      <c r="A2" s="344" t="s">
        <v>463</v>
      </c>
      <c r="B2" s="345" t="s">
        <v>464</v>
      </c>
      <c r="C2" s="345" t="s">
        <v>109</v>
      </c>
      <c r="D2" s="345" t="s">
        <v>110</v>
      </c>
      <c r="E2" s="345" t="s">
        <v>121</v>
      </c>
      <c r="F2" s="345" t="s">
        <v>465</v>
      </c>
      <c r="G2" s="345" t="s">
        <v>111</v>
      </c>
      <c r="H2" s="345" t="s">
        <v>111</v>
      </c>
      <c r="I2" s="345" t="s">
        <v>466</v>
      </c>
      <c r="J2" s="345"/>
      <c r="K2" s="346" t="s">
        <v>112</v>
      </c>
      <c r="L2" s="346"/>
      <c r="M2" s="346" t="s">
        <v>114</v>
      </c>
      <c r="N2" s="346"/>
      <c r="O2" s="346"/>
      <c r="P2" s="345" t="s">
        <v>467</v>
      </c>
      <c r="Q2" s="345" t="s">
        <v>468</v>
      </c>
      <c r="R2" s="347" t="s">
        <v>120</v>
      </c>
      <c r="S2" s="345" t="s">
        <v>111</v>
      </c>
      <c r="T2" s="345" t="s">
        <v>469</v>
      </c>
      <c r="U2" s="345" t="s">
        <v>117</v>
      </c>
      <c r="V2" s="345" t="s">
        <v>123</v>
      </c>
      <c r="W2" s="347" t="s">
        <v>470</v>
      </c>
      <c r="X2" s="345" t="s">
        <v>471</v>
      </c>
      <c r="Y2" s="345" t="s">
        <v>472</v>
      </c>
      <c r="Z2" s="347" t="s">
        <v>473</v>
      </c>
      <c r="AA2" s="345" t="s">
        <v>474</v>
      </c>
      <c r="AB2" s="345" t="s">
        <v>475</v>
      </c>
      <c r="AC2" s="345" t="s">
        <v>471</v>
      </c>
      <c r="AD2" s="347" t="s">
        <v>476</v>
      </c>
      <c r="AE2" s="345" t="s">
        <v>123</v>
      </c>
      <c r="AF2" s="347" t="s">
        <v>473</v>
      </c>
      <c r="AG2" s="345" t="s">
        <v>111</v>
      </c>
      <c r="AH2" s="345"/>
      <c r="AI2" s="345" t="s">
        <v>111</v>
      </c>
      <c r="AJ2" s="345" t="s">
        <v>123</v>
      </c>
      <c r="AK2" s="347" t="s">
        <v>473</v>
      </c>
      <c r="AL2" s="345"/>
    </row>
    <row r="3" spans="1:38" s="348" customFormat="1" ht="16.5" hidden="1" customHeight="1">
      <c r="A3" s="344" t="s">
        <v>463</v>
      </c>
      <c r="B3" s="345" t="s">
        <v>477</v>
      </c>
      <c r="C3" s="345" t="s">
        <v>109</v>
      </c>
      <c r="D3" s="345" t="s">
        <v>110</v>
      </c>
      <c r="E3" s="345" t="s">
        <v>111</v>
      </c>
      <c r="F3" s="345" t="s">
        <v>465</v>
      </c>
      <c r="G3" s="345" t="s">
        <v>111</v>
      </c>
      <c r="H3" s="345" t="s">
        <v>111</v>
      </c>
      <c r="I3" s="345" t="s">
        <v>478</v>
      </c>
      <c r="J3" s="345"/>
      <c r="K3" s="346" t="s">
        <v>479</v>
      </c>
      <c r="L3" s="346"/>
      <c r="M3" s="346" t="s">
        <v>114</v>
      </c>
      <c r="N3" s="346"/>
      <c r="O3" s="346"/>
      <c r="P3" s="345" t="s">
        <v>480</v>
      </c>
      <c r="Q3" s="345" t="s">
        <v>468</v>
      </c>
      <c r="R3" s="347" t="s">
        <v>120</v>
      </c>
      <c r="S3" s="345" t="s">
        <v>111</v>
      </c>
      <c r="T3" s="345" t="s">
        <v>469</v>
      </c>
      <c r="U3" s="345" t="s">
        <v>117</v>
      </c>
      <c r="V3" s="345" t="s">
        <v>118</v>
      </c>
      <c r="W3" s="347" t="s">
        <v>470</v>
      </c>
      <c r="X3" s="345" t="s">
        <v>471</v>
      </c>
      <c r="Y3" s="345" t="s">
        <v>472</v>
      </c>
      <c r="Z3" s="347" t="s">
        <v>481</v>
      </c>
      <c r="AA3" s="345" t="s">
        <v>474</v>
      </c>
      <c r="AB3" s="345" t="s">
        <v>482</v>
      </c>
      <c r="AC3" s="345" t="s">
        <v>471</v>
      </c>
      <c r="AD3" s="347" t="s">
        <v>476</v>
      </c>
      <c r="AE3" s="345" t="s">
        <v>483</v>
      </c>
      <c r="AF3" s="347" t="s">
        <v>481</v>
      </c>
      <c r="AG3" s="345" t="s">
        <v>111</v>
      </c>
      <c r="AH3" s="345"/>
      <c r="AI3" s="345" t="s">
        <v>111</v>
      </c>
      <c r="AJ3" s="345" t="s">
        <v>483</v>
      </c>
      <c r="AK3" s="347" t="s">
        <v>481</v>
      </c>
      <c r="AL3" s="345"/>
    </row>
    <row r="4" spans="1:38" s="348" customFormat="1" ht="16.5" hidden="1" customHeight="1">
      <c r="A4" s="344" t="s">
        <v>463</v>
      </c>
      <c r="B4" s="345" t="s">
        <v>484</v>
      </c>
      <c r="C4" s="345" t="s">
        <v>109</v>
      </c>
      <c r="D4" s="345" t="s">
        <v>110</v>
      </c>
      <c r="E4" s="345" t="s">
        <v>121</v>
      </c>
      <c r="F4" s="345" t="s">
        <v>465</v>
      </c>
      <c r="G4" s="345" t="s">
        <v>111</v>
      </c>
      <c r="H4" s="345" t="s">
        <v>111</v>
      </c>
      <c r="I4" s="345" t="s">
        <v>485</v>
      </c>
      <c r="J4" s="345"/>
      <c r="K4" s="346" t="s">
        <v>479</v>
      </c>
      <c r="L4" s="346"/>
      <c r="M4" s="346" t="s">
        <v>114</v>
      </c>
      <c r="N4" s="346"/>
      <c r="O4" s="346"/>
      <c r="P4" s="345" t="s">
        <v>486</v>
      </c>
      <c r="Q4" s="345" t="s">
        <v>468</v>
      </c>
      <c r="R4" s="347" t="s">
        <v>120</v>
      </c>
      <c r="S4" s="345" t="s">
        <v>111</v>
      </c>
      <c r="T4" s="345" t="s">
        <v>469</v>
      </c>
      <c r="U4" s="345" t="s">
        <v>117</v>
      </c>
      <c r="V4" s="345" t="s">
        <v>123</v>
      </c>
      <c r="W4" s="347" t="s">
        <v>470</v>
      </c>
      <c r="X4" s="345" t="s">
        <v>471</v>
      </c>
      <c r="Y4" s="345" t="s">
        <v>472</v>
      </c>
      <c r="Z4" s="347" t="s">
        <v>487</v>
      </c>
      <c r="AA4" s="345" t="s">
        <v>474</v>
      </c>
      <c r="AB4" s="345" t="s">
        <v>482</v>
      </c>
      <c r="AC4" s="345" t="s">
        <v>471</v>
      </c>
      <c r="AD4" s="347" t="s">
        <v>476</v>
      </c>
      <c r="AE4" s="345" t="s">
        <v>123</v>
      </c>
      <c r="AF4" s="347" t="s">
        <v>487</v>
      </c>
      <c r="AG4" s="345" t="s">
        <v>111</v>
      </c>
      <c r="AH4" s="345"/>
      <c r="AI4" s="345" t="s">
        <v>111</v>
      </c>
      <c r="AJ4" s="345" t="s">
        <v>123</v>
      </c>
      <c r="AK4" s="347" t="s">
        <v>487</v>
      </c>
      <c r="AL4" s="345"/>
    </row>
    <row r="5" spans="1:38" s="348" customFormat="1" ht="16.5" hidden="1" customHeight="1">
      <c r="A5" s="344" t="s">
        <v>463</v>
      </c>
      <c r="B5" s="345" t="s">
        <v>488</v>
      </c>
      <c r="C5" s="345" t="s">
        <v>109</v>
      </c>
      <c r="D5" s="345" t="s">
        <v>110</v>
      </c>
      <c r="E5" s="345" t="s">
        <v>121</v>
      </c>
      <c r="F5" s="345" t="s">
        <v>465</v>
      </c>
      <c r="G5" s="345" t="s">
        <v>111</v>
      </c>
      <c r="H5" s="345" t="s">
        <v>111</v>
      </c>
      <c r="I5" s="345" t="s">
        <v>489</v>
      </c>
      <c r="J5" s="345"/>
      <c r="K5" s="346" t="s">
        <v>479</v>
      </c>
      <c r="L5" s="346"/>
      <c r="M5" s="346" t="s">
        <v>114</v>
      </c>
      <c r="N5" s="346"/>
      <c r="O5" s="346"/>
      <c r="P5" s="345" t="s">
        <v>490</v>
      </c>
      <c r="Q5" s="345" t="s">
        <v>468</v>
      </c>
      <c r="R5" s="347" t="s">
        <v>120</v>
      </c>
      <c r="S5" s="345" t="s">
        <v>111</v>
      </c>
      <c r="T5" s="345" t="s">
        <v>469</v>
      </c>
      <c r="U5" s="345" t="s">
        <v>117</v>
      </c>
      <c r="V5" s="345" t="s">
        <v>491</v>
      </c>
      <c r="W5" s="347" t="s">
        <v>492</v>
      </c>
      <c r="X5" s="345" t="s">
        <v>471</v>
      </c>
      <c r="Y5" s="345" t="s">
        <v>472</v>
      </c>
      <c r="Z5" s="347" t="s">
        <v>493</v>
      </c>
      <c r="AA5" s="345" t="s">
        <v>474</v>
      </c>
      <c r="AB5" s="345" t="s">
        <v>482</v>
      </c>
      <c r="AC5" s="345" t="s">
        <v>471</v>
      </c>
      <c r="AD5" s="347" t="s">
        <v>476</v>
      </c>
      <c r="AE5" s="345" t="s">
        <v>491</v>
      </c>
      <c r="AF5" s="347" t="s">
        <v>493</v>
      </c>
      <c r="AG5" s="345" t="s">
        <v>111</v>
      </c>
      <c r="AH5" s="345"/>
      <c r="AI5" s="345" t="s">
        <v>494</v>
      </c>
      <c r="AJ5" s="345" t="s">
        <v>491</v>
      </c>
      <c r="AK5" s="347" t="s">
        <v>493</v>
      </c>
      <c r="AL5" s="345"/>
    </row>
    <row r="6" spans="1:38" s="348" customFormat="1" ht="16.5" hidden="1" customHeight="1">
      <c r="A6" s="344" t="s">
        <v>463</v>
      </c>
      <c r="B6" s="345" t="s">
        <v>495</v>
      </c>
      <c r="C6" s="345" t="s">
        <v>109</v>
      </c>
      <c r="D6" s="345" t="s">
        <v>110</v>
      </c>
      <c r="E6" s="345" t="s">
        <v>121</v>
      </c>
      <c r="F6" s="345" t="s">
        <v>465</v>
      </c>
      <c r="G6" s="345" t="s">
        <v>111</v>
      </c>
      <c r="H6" s="345" t="s">
        <v>111</v>
      </c>
      <c r="I6" s="345" t="s">
        <v>496</v>
      </c>
      <c r="J6" s="345"/>
      <c r="K6" s="346" t="s">
        <v>122</v>
      </c>
      <c r="L6" s="346"/>
      <c r="M6" s="346" t="s">
        <v>114</v>
      </c>
      <c r="N6" s="346"/>
      <c r="O6" s="346"/>
      <c r="P6" s="345" t="s">
        <v>497</v>
      </c>
      <c r="Q6" s="345" t="s">
        <v>482</v>
      </c>
      <c r="R6" s="347" t="s">
        <v>120</v>
      </c>
      <c r="S6" s="345" t="s">
        <v>111</v>
      </c>
      <c r="T6" s="345" t="s">
        <v>469</v>
      </c>
      <c r="U6" s="345" t="s">
        <v>498</v>
      </c>
      <c r="V6" s="345" t="s">
        <v>491</v>
      </c>
      <c r="W6" s="347" t="s">
        <v>492</v>
      </c>
      <c r="X6" s="345" t="s">
        <v>471</v>
      </c>
      <c r="Y6" s="345" t="s">
        <v>499</v>
      </c>
      <c r="Z6" s="347" t="s">
        <v>500</v>
      </c>
      <c r="AA6" s="345" t="s">
        <v>474</v>
      </c>
      <c r="AB6" s="345" t="s">
        <v>475</v>
      </c>
      <c r="AC6" s="345" t="s">
        <v>471</v>
      </c>
      <c r="AD6" s="347" t="s">
        <v>476</v>
      </c>
      <c r="AE6" s="345"/>
      <c r="AF6" s="347" t="s">
        <v>120</v>
      </c>
      <c r="AG6" s="345" t="s">
        <v>111</v>
      </c>
      <c r="AH6" s="345"/>
      <c r="AI6" s="345" t="s">
        <v>501</v>
      </c>
      <c r="AJ6" s="345" t="s">
        <v>491</v>
      </c>
      <c r="AK6" s="347" t="s">
        <v>500</v>
      </c>
      <c r="AL6" s="345"/>
    </row>
    <row r="7" spans="1:38" ht="16.5" hidden="1" customHeight="1">
      <c r="A7" s="344" t="s">
        <v>463</v>
      </c>
      <c r="B7" s="345" t="s">
        <v>502</v>
      </c>
      <c r="C7" s="345" t="s">
        <v>109</v>
      </c>
      <c r="D7" s="345" t="s">
        <v>110</v>
      </c>
      <c r="E7" s="345" t="s">
        <v>121</v>
      </c>
      <c r="F7" s="345" t="s">
        <v>465</v>
      </c>
      <c r="G7" s="345" t="s">
        <v>111</v>
      </c>
      <c r="H7" s="345" t="s">
        <v>111</v>
      </c>
      <c r="I7" s="345" t="s">
        <v>503</v>
      </c>
      <c r="J7" s="345"/>
      <c r="K7" s="346" t="s">
        <v>112</v>
      </c>
      <c r="L7" s="346"/>
      <c r="M7" s="346" t="s">
        <v>114</v>
      </c>
      <c r="N7" s="346"/>
      <c r="O7" s="346"/>
      <c r="P7" s="345" t="s">
        <v>504</v>
      </c>
      <c r="Q7" s="345" t="s">
        <v>482</v>
      </c>
      <c r="R7" s="347" t="s">
        <v>120</v>
      </c>
      <c r="S7" s="345" t="s">
        <v>111</v>
      </c>
      <c r="T7" s="345" t="s">
        <v>469</v>
      </c>
      <c r="U7" s="345" t="s">
        <v>498</v>
      </c>
      <c r="V7" s="345" t="s">
        <v>491</v>
      </c>
      <c r="W7" s="347" t="s">
        <v>492</v>
      </c>
      <c r="X7" s="345" t="s">
        <v>471</v>
      </c>
      <c r="Y7" s="345" t="s">
        <v>499</v>
      </c>
      <c r="Z7" s="347" t="s">
        <v>500</v>
      </c>
      <c r="AA7" s="345" t="s">
        <v>474</v>
      </c>
      <c r="AB7" s="345" t="s">
        <v>475</v>
      </c>
      <c r="AC7" s="345" t="s">
        <v>471</v>
      </c>
      <c r="AD7" s="347" t="s">
        <v>476</v>
      </c>
      <c r="AE7" s="345"/>
      <c r="AF7" s="347" t="s">
        <v>120</v>
      </c>
      <c r="AG7" s="345" t="s">
        <v>111</v>
      </c>
      <c r="AH7" s="345"/>
      <c r="AI7" s="345" t="s">
        <v>505</v>
      </c>
      <c r="AJ7" s="345" t="s">
        <v>491</v>
      </c>
      <c r="AK7" s="347" t="s">
        <v>500</v>
      </c>
      <c r="AL7" s="345"/>
    </row>
    <row r="8" spans="1:38" ht="16.5" hidden="1" customHeight="1">
      <c r="A8" s="344" t="s">
        <v>463</v>
      </c>
      <c r="B8" s="345" t="s">
        <v>506</v>
      </c>
      <c r="C8" s="345" t="s">
        <v>109</v>
      </c>
      <c r="D8" s="345" t="s">
        <v>110</v>
      </c>
      <c r="E8" s="345" t="s">
        <v>121</v>
      </c>
      <c r="F8" s="345" t="s">
        <v>465</v>
      </c>
      <c r="G8" s="345" t="s">
        <v>111</v>
      </c>
      <c r="H8" s="345" t="s">
        <v>111</v>
      </c>
      <c r="I8" s="345" t="s">
        <v>507</v>
      </c>
      <c r="J8" s="345"/>
      <c r="K8" s="346" t="s">
        <v>122</v>
      </c>
      <c r="L8" s="346"/>
      <c r="M8" s="346" t="s">
        <v>114</v>
      </c>
      <c r="N8" s="346"/>
      <c r="O8" s="346"/>
      <c r="P8" s="345" t="s">
        <v>508</v>
      </c>
      <c r="Q8" s="345" t="s">
        <v>468</v>
      </c>
      <c r="R8" s="347" t="s">
        <v>120</v>
      </c>
      <c r="S8" s="345" t="s">
        <v>111</v>
      </c>
      <c r="T8" s="345" t="s">
        <v>469</v>
      </c>
      <c r="U8" s="345" t="s">
        <v>117</v>
      </c>
      <c r="V8" s="345" t="s">
        <v>491</v>
      </c>
      <c r="W8" s="347" t="s">
        <v>492</v>
      </c>
      <c r="X8" s="345" t="s">
        <v>471</v>
      </c>
      <c r="Y8" s="345" t="s">
        <v>472</v>
      </c>
      <c r="Z8" s="347" t="s">
        <v>493</v>
      </c>
      <c r="AA8" s="345" t="s">
        <v>474</v>
      </c>
      <c r="AB8" s="345" t="s">
        <v>482</v>
      </c>
      <c r="AC8" s="345" t="s">
        <v>471</v>
      </c>
      <c r="AD8" s="347" t="s">
        <v>476</v>
      </c>
      <c r="AE8" s="345" t="s">
        <v>491</v>
      </c>
      <c r="AF8" s="347" t="s">
        <v>493</v>
      </c>
      <c r="AG8" s="345" t="s">
        <v>111</v>
      </c>
      <c r="AH8" s="345"/>
      <c r="AI8" s="345" t="s">
        <v>509</v>
      </c>
      <c r="AJ8" s="345" t="s">
        <v>491</v>
      </c>
      <c r="AK8" s="347" t="s">
        <v>493</v>
      </c>
      <c r="AL8" s="345"/>
    </row>
    <row r="9" spans="1:38" ht="16.5" hidden="1" customHeight="1">
      <c r="A9" s="344" t="s">
        <v>463</v>
      </c>
      <c r="B9" s="345" t="s">
        <v>510</v>
      </c>
      <c r="C9" s="345" t="s">
        <v>109</v>
      </c>
      <c r="D9" s="345" t="s">
        <v>110</v>
      </c>
      <c r="E9" s="345" t="s">
        <v>121</v>
      </c>
      <c r="F9" s="345" t="s">
        <v>465</v>
      </c>
      <c r="G9" s="345" t="s">
        <v>111</v>
      </c>
      <c r="H9" s="345" t="s">
        <v>111</v>
      </c>
      <c r="I9" s="345" t="s">
        <v>511</v>
      </c>
      <c r="J9" s="345"/>
      <c r="K9" s="346" t="s">
        <v>122</v>
      </c>
      <c r="L9" s="346"/>
      <c r="M9" s="346" t="s">
        <v>114</v>
      </c>
      <c r="N9" s="346"/>
      <c r="O9" s="346"/>
      <c r="P9" s="345" t="s">
        <v>512</v>
      </c>
      <c r="Q9" s="345" t="s">
        <v>468</v>
      </c>
      <c r="R9" s="347" t="s">
        <v>120</v>
      </c>
      <c r="S9" s="345" t="s">
        <v>111</v>
      </c>
      <c r="T9" s="345" t="s">
        <v>469</v>
      </c>
      <c r="U9" s="345" t="s">
        <v>117</v>
      </c>
      <c r="V9" s="345" t="s">
        <v>491</v>
      </c>
      <c r="W9" s="347" t="s">
        <v>492</v>
      </c>
      <c r="X9" s="345" t="s">
        <v>471</v>
      </c>
      <c r="Y9" s="345" t="s">
        <v>472</v>
      </c>
      <c r="Z9" s="347" t="s">
        <v>473</v>
      </c>
      <c r="AA9" s="345" t="s">
        <v>474</v>
      </c>
      <c r="AB9" s="345" t="s">
        <v>482</v>
      </c>
      <c r="AC9" s="345" t="s">
        <v>471</v>
      </c>
      <c r="AD9" s="347" t="s">
        <v>476</v>
      </c>
      <c r="AE9" s="345" t="s">
        <v>491</v>
      </c>
      <c r="AF9" s="347" t="s">
        <v>473</v>
      </c>
      <c r="AG9" s="345" t="s">
        <v>111</v>
      </c>
      <c r="AH9" s="345"/>
      <c r="AI9" s="345" t="s">
        <v>513</v>
      </c>
      <c r="AJ9" s="345" t="s">
        <v>491</v>
      </c>
      <c r="AK9" s="347" t="s">
        <v>473</v>
      </c>
      <c r="AL9" s="345"/>
    </row>
    <row r="10" spans="1:38" ht="16.5" hidden="1" customHeight="1">
      <c r="A10" s="344" t="s">
        <v>463</v>
      </c>
      <c r="B10" s="345" t="s">
        <v>514</v>
      </c>
      <c r="C10" s="345" t="s">
        <v>109</v>
      </c>
      <c r="D10" s="345" t="s">
        <v>110</v>
      </c>
      <c r="E10" s="345" t="s">
        <v>121</v>
      </c>
      <c r="F10" s="345" t="s">
        <v>465</v>
      </c>
      <c r="G10" s="345" t="s">
        <v>111</v>
      </c>
      <c r="H10" s="345" t="s">
        <v>111</v>
      </c>
      <c r="I10" s="345" t="s">
        <v>515</v>
      </c>
      <c r="J10" s="345"/>
      <c r="K10" s="346" t="s">
        <v>122</v>
      </c>
      <c r="L10" s="346"/>
      <c r="M10" s="346" t="s">
        <v>114</v>
      </c>
      <c r="N10" s="346"/>
      <c r="O10" s="346"/>
      <c r="P10" s="345" t="s">
        <v>516</v>
      </c>
      <c r="Q10" s="345" t="s">
        <v>468</v>
      </c>
      <c r="R10" s="347" t="s">
        <v>120</v>
      </c>
      <c r="S10" s="345" t="s">
        <v>517</v>
      </c>
      <c r="T10" s="345" t="s">
        <v>469</v>
      </c>
      <c r="U10" s="345" t="s">
        <v>117</v>
      </c>
      <c r="V10" s="345" t="s">
        <v>491</v>
      </c>
      <c r="W10" s="347" t="s">
        <v>492</v>
      </c>
      <c r="X10" s="345" t="s">
        <v>471</v>
      </c>
      <c r="Y10" s="345" t="s">
        <v>472</v>
      </c>
      <c r="Z10" s="347" t="s">
        <v>518</v>
      </c>
      <c r="AA10" s="345" t="s">
        <v>474</v>
      </c>
      <c r="AB10" s="345" t="s">
        <v>482</v>
      </c>
      <c r="AC10" s="345" t="s">
        <v>519</v>
      </c>
      <c r="AD10" s="347" t="s">
        <v>520</v>
      </c>
      <c r="AE10" s="345" t="s">
        <v>491</v>
      </c>
      <c r="AF10" s="347" t="s">
        <v>518</v>
      </c>
      <c r="AG10" s="345" t="s">
        <v>111</v>
      </c>
      <c r="AH10" s="345"/>
      <c r="AI10" s="345" t="s">
        <v>521</v>
      </c>
      <c r="AJ10" s="345" t="s">
        <v>491</v>
      </c>
      <c r="AK10" s="347" t="s">
        <v>518</v>
      </c>
      <c r="AL10" s="345"/>
    </row>
    <row r="11" spans="1:38" ht="16.5" hidden="1" customHeight="1">
      <c r="A11" s="344" t="s">
        <v>463</v>
      </c>
      <c r="B11" s="345" t="s">
        <v>522</v>
      </c>
      <c r="C11" s="345" t="s">
        <v>109</v>
      </c>
      <c r="D11" s="345" t="s">
        <v>110</v>
      </c>
      <c r="E11" s="345" t="s">
        <v>121</v>
      </c>
      <c r="F11" s="345" t="s">
        <v>465</v>
      </c>
      <c r="G11" s="345" t="s">
        <v>111</v>
      </c>
      <c r="H11" s="345" t="s">
        <v>111</v>
      </c>
      <c r="I11" s="345" t="s">
        <v>523</v>
      </c>
      <c r="J11" s="345"/>
      <c r="K11" s="346" t="s">
        <v>479</v>
      </c>
      <c r="L11" s="346"/>
      <c r="M11" s="346" t="s">
        <v>114</v>
      </c>
      <c r="N11" s="346"/>
      <c r="O11" s="346"/>
      <c r="P11" s="345" t="s">
        <v>524</v>
      </c>
      <c r="Q11" s="345" t="s">
        <v>468</v>
      </c>
      <c r="R11" s="347" t="s">
        <v>120</v>
      </c>
      <c r="S11" s="345" t="s">
        <v>111</v>
      </c>
      <c r="T11" s="345" t="s">
        <v>469</v>
      </c>
      <c r="U11" s="345" t="s">
        <v>117</v>
      </c>
      <c r="V11" s="345" t="s">
        <v>123</v>
      </c>
      <c r="W11" s="347" t="s">
        <v>492</v>
      </c>
      <c r="X11" s="345" t="s">
        <v>471</v>
      </c>
      <c r="Y11" s="345" t="s">
        <v>472</v>
      </c>
      <c r="Z11" s="347" t="s">
        <v>473</v>
      </c>
      <c r="AA11" s="345" t="s">
        <v>474</v>
      </c>
      <c r="AB11" s="345" t="s">
        <v>482</v>
      </c>
      <c r="AC11" s="345" t="s">
        <v>471</v>
      </c>
      <c r="AD11" s="347" t="s">
        <v>476</v>
      </c>
      <c r="AE11" s="345" t="s">
        <v>123</v>
      </c>
      <c r="AF11" s="347" t="s">
        <v>473</v>
      </c>
      <c r="AG11" s="345" t="s">
        <v>111</v>
      </c>
      <c r="AH11" s="345"/>
      <c r="AI11" s="345" t="s">
        <v>111</v>
      </c>
      <c r="AJ11" s="345" t="s">
        <v>123</v>
      </c>
      <c r="AK11" s="347" t="s">
        <v>473</v>
      </c>
      <c r="AL11" s="345"/>
    </row>
    <row r="12" spans="1:38" ht="16.5" hidden="1" customHeight="1">
      <c r="A12" s="344" t="s">
        <v>463</v>
      </c>
      <c r="B12" s="345" t="s">
        <v>525</v>
      </c>
      <c r="C12" s="345" t="s">
        <v>109</v>
      </c>
      <c r="D12" s="345" t="s">
        <v>110</v>
      </c>
      <c r="E12" s="345" t="s">
        <v>121</v>
      </c>
      <c r="F12" s="345" t="s">
        <v>465</v>
      </c>
      <c r="G12" s="345" t="s">
        <v>111</v>
      </c>
      <c r="H12" s="345" t="s">
        <v>111</v>
      </c>
      <c r="I12" s="345" t="s">
        <v>526</v>
      </c>
      <c r="J12" s="345"/>
      <c r="K12" s="346" t="s">
        <v>479</v>
      </c>
      <c r="L12" s="346"/>
      <c r="M12" s="346" t="s">
        <v>114</v>
      </c>
      <c r="N12" s="346"/>
      <c r="O12" s="346"/>
      <c r="P12" s="345" t="s">
        <v>527</v>
      </c>
      <c r="Q12" s="345" t="s">
        <v>468</v>
      </c>
      <c r="R12" s="347" t="s">
        <v>120</v>
      </c>
      <c r="S12" s="345" t="s">
        <v>111</v>
      </c>
      <c r="T12" s="345" t="s">
        <v>469</v>
      </c>
      <c r="U12" s="345" t="s">
        <v>117</v>
      </c>
      <c r="V12" s="345" t="s">
        <v>123</v>
      </c>
      <c r="W12" s="347" t="s">
        <v>492</v>
      </c>
      <c r="X12" s="345" t="s">
        <v>471</v>
      </c>
      <c r="Y12" s="345" t="s">
        <v>472</v>
      </c>
      <c r="Z12" s="347" t="s">
        <v>473</v>
      </c>
      <c r="AA12" s="345" t="s">
        <v>474</v>
      </c>
      <c r="AB12" s="345" t="s">
        <v>482</v>
      </c>
      <c r="AC12" s="345" t="s">
        <v>471</v>
      </c>
      <c r="AD12" s="347" t="s">
        <v>476</v>
      </c>
      <c r="AE12" s="345" t="s">
        <v>123</v>
      </c>
      <c r="AF12" s="347" t="s">
        <v>473</v>
      </c>
      <c r="AG12" s="345" t="s">
        <v>111</v>
      </c>
      <c r="AH12" s="345"/>
      <c r="AI12" s="345" t="s">
        <v>111</v>
      </c>
      <c r="AJ12" s="345" t="s">
        <v>123</v>
      </c>
      <c r="AK12" s="347" t="s">
        <v>473</v>
      </c>
      <c r="AL12" s="345"/>
    </row>
    <row r="13" spans="1:38" ht="16.5" hidden="1" customHeight="1">
      <c r="A13" s="344" t="s">
        <v>463</v>
      </c>
      <c r="B13" s="345" t="s">
        <v>528</v>
      </c>
      <c r="C13" s="345" t="s">
        <v>109</v>
      </c>
      <c r="D13" s="345" t="s">
        <v>110</v>
      </c>
      <c r="E13" s="345" t="s">
        <v>121</v>
      </c>
      <c r="F13" s="345" t="s">
        <v>465</v>
      </c>
      <c r="G13" s="345" t="s">
        <v>111</v>
      </c>
      <c r="H13" s="345" t="s">
        <v>111</v>
      </c>
      <c r="I13" s="345" t="s">
        <v>529</v>
      </c>
      <c r="J13" s="345"/>
      <c r="K13" s="346" t="s">
        <v>122</v>
      </c>
      <c r="L13" s="346"/>
      <c r="M13" s="346" t="s">
        <v>114</v>
      </c>
      <c r="N13" s="346"/>
      <c r="O13" s="346"/>
      <c r="P13" s="345" t="s">
        <v>530</v>
      </c>
      <c r="Q13" s="345" t="s">
        <v>468</v>
      </c>
      <c r="R13" s="347" t="s">
        <v>120</v>
      </c>
      <c r="S13" s="345" t="s">
        <v>111</v>
      </c>
      <c r="T13" s="345" t="s">
        <v>469</v>
      </c>
      <c r="U13" s="345" t="s">
        <v>117</v>
      </c>
      <c r="V13" s="345" t="s">
        <v>123</v>
      </c>
      <c r="W13" s="347" t="s">
        <v>492</v>
      </c>
      <c r="X13" s="345" t="s">
        <v>471</v>
      </c>
      <c r="Y13" s="345" t="s">
        <v>472</v>
      </c>
      <c r="Z13" s="347" t="s">
        <v>487</v>
      </c>
      <c r="AA13" s="345" t="s">
        <v>474</v>
      </c>
      <c r="AB13" s="345" t="s">
        <v>475</v>
      </c>
      <c r="AC13" s="345" t="s">
        <v>471</v>
      </c>
      <c r="AD13" s="347" t="s">
        <v>476</v>
      </c>
      <c r="AE13" s="345" t="s">
        <v>123</v>
      </c>
      <c r="AF13" s="347" t="s">
        <v>487</v>
      </c>
      <c r="AG13" s="345" t="s">
        <v>111</v>
      </c>
      <c r="AH13" s="345"/>
      <c r="AI13" s="345" t="s">
        <v>111</v>
      </c>
      <c r="AJ13" s="345" t="s">
        <v>123</v>
      </c>
      <c r="AK13" s="347" t="s">
        <v>487</v>
      </c>
      <c r="AL13" s="345"/>
    </row>
    <row r="14" spans="1:38" ht="16.5" hidden="1" customHeight="1">
      <c r="A14" s="344" t="s">
        <v>463</v>
      </c>
      <c r="B14" s="345" t="s">
        <v>531</v>
      </c>
      <c r="C14" s="345" t="s">
        <v>109</v>
      </c>
      <c r="D14" s="345" t="s">
        <v>110</v>
      </c>
      <c r="E14" s="345" t="s">
        <v>121</v>
      </c>
      <c r="F14" s="345" t="s">
        <v>465</v>
      </c>
      <c r="G14" s="345" t="s">
        <v>111</v>
      </c>
      <c r="H14" s="345" t="s">
        <v>111</v>
      </c>
      <c r="I14" s="345" t="s">
        <v>532</v>
      </c>
      <c r="J14" s="345"/>
      <c r="K14" s="346" t="s">
        <v>122</v>
      </c>
      <c r="L14" s="346"/>
      <c r="M14" s="346" t="s">
        <v>114</v>
      </c>
      <c r="N14" s="346"/>
      <c r="O14" s="346"/>
      <c r="P14" s="345" t="s">
        <v>533</v>
      </c>
      <c r="Q14" s="345" t="s">
        <v>482</v>
      </c>
      <c r="R14" s="347" t="s">
        <v>120</v>
      </c>
      <c r="S14" s="345" t="s">
        <v>111</v>
      </c>
      <c r="T14" s="345" t="s">
        <v>469</v>
      </c>
      <c r="U14" s="345" t="s">
        <v>498</v>
      </c>
      <c r="V14" s="345" t="s">
        <v>123</v>
      </c>
      <c r="W14" s="347" t="s">
        <v>492</v>
      </c>
      <c r="X14" s="345" t="s">
        <v>471</v>
      </c>
      <c r="Y14" s="345" t="s">
        <v>499</v>
      </c>
      <c r="Z14" s="347" t="s">
        <v>500</v>
      </c>
      <c r="AA14" s="345" t="s">
        <v>474</v>
      </c>
      <c r="AB14" s="345" t="s">
        <v>475</v>
      </c>
      <c r="AC14" s="345" t="s">
        <v>471</v>
      </c>
      <c r="AD14" s="347" t="s">
        <v>476</v>
      </c>
      <c r="AE14" s="345"/>
      <c r="AF14" s="347" t="s">
        <v>120</v>
      </c>
      <c r="AG14" s="345" t="s">
        <v>111</v>
      </c>
      <c r="AH14" s="345"/>
      <c r="AI14" s="345" t="s">
        <v>111</v>
      </c>
      <c r="AJ14" s="345" t="s">
        <v>491</v>
      </c>
      <c r="AK14" s="347" t="s">
        <v>500</v>
      </c>
      <c r="AL14" s="345"/>
    </row>
    <row r="15" spans="1:38" ht="16.5" hidden="1" customHeight="1">
      <c r="A15" s="344" t="s">
        <v>463</v>
      </c>
      <c r="B15" s="345" t="s">
        <v>534</v>
      </c>
      <c r="C15" s="345" t="s">
        <v>109</v>
      </c>
      <c r="D15" s="345" t="s">
        <v>110</v>
      </c>
      <c r="E15" s="345" t="s">
        <v>121</v>
      </c>
      <c r="F15" s="345" t="s">
        <v>465</v>
      </c>
      <c r="G15" s="345" t="s">
        <v>111</v>
      </c>
      <c r="H15" s="345" t="s">
        <v>111</v>
      </c>
      <c r="I15" s="345" t="s">
        <v>535</v>
      </c>
      <c r="J15" s="345"/>
      <c r="K15" s="346" t="s">
        <v>122</v>
      </c>
      <c r="L15" s="346"/>
      <c r="M15" s="346" t="s">
        <v>114</v>
      </c>
      <c r="N15" s="346"/>
      <c r="O15" s="346"/>
      <c r="P15" s="345" t="s">
        <v>536</v>
      </c>
      <c r="Q15" s="345" t="s">
        <v>482</v>
      </c>
      <c r="R15" s="347" t="s">
        <v>120</v>
      </c>
      <c r="S15" s="345" t="s">
        <v>111</v>
      </c>
      <c r="T15" s="345" t="s">
        <v>469</v>
      </c>
      <c r="U15" s="345" t="s">
        <v>498</v>
      </c>
      <c r="V15" s="345" t="s">
        <v>491</v>
      </c>
      <c r="W15" s="347" t="s">
        <v>492</v>
      </c>
      <c r="X15" s="345" t="s">
        <v>471</v>
      </c>
      <c r="Y15" s="345" t="s">
        <v>499</v>
      </c>
      <c r="Z15" s="347" t="s">
        <v>500</v>
      </c>
      <c r="AA15" s="345" t="s">
        <v>537</v>
      </c>
      <c r="AB15" s="345" t="s">
        <v>475</v>
      </c>
      <c r="AC15" s="345" t="s">
        <v>538</v>
      </c>
      <c r="AD15" s="347" t="s">
        <v>539</v>
      </c>
      <c r="AE15" s="345"/>
      <c r="AF15" s="347" t="s">
        <v>120</v>
      </c>
      <c r="AG15" s="345" t="s">
        <v>111</v>
      </c>
      <c r="AH15" s="345"/>
      <c r="AI15" s="345" t="s">
        <v>540</v>
      </c>
      <c r="AJ15" s="345" t="s">
        <v>491</v>
      </c>
      <c r="AK15" s="347" t="s">
        <v>500</v>
      </c>
      <c r="AL15" s="345"/>
    </row>
    <row r="16" spans="1:38" ht="16.5" hidden="1" customHeight="1">
      <c r="A16" s="344" t="s">
        <v>463</v>
      </c>
      <c r="B16" s="345" t="s">
        <v>541</v>
      </c>
      <c r="C16" s="345" t="s">
        <v>109</v>
      </c>
      <c r="D16" s="345" t="s">
        <v>110</v>
      </c>
      <c r="E16" s="345" t="s">
        <v>121</v>
      </c>
      <c r="F16" s="345" t="s">
        <v>465</v>
      </c>
      <c r="G16" s="345" t="s">
        <v>111</v>
      </c>
      <c r="H16" s="345" t="s">
        <v>111</v>
      </c>
      <c r="I16" s="345" t="s">
        <v>542</v>
      </c>
      <c r="J16" s="345"/>
      <c r="K16" s="346" t="s">
        <v>122</v>
      </c>
      <c r="L16" s="346"/>
      <c r="M16" s="346" t="s">
        <v>114</v>
      </c>
      <c r="N16" s="346"/>
      <c r="O16" s="346"/>
      <c r="P16" s="345" t="s">
        <v>543</v>
      </c>
      <c r="Q16" s="345" t="s">
        <v>468</v>
      </c>
      <c r="R16" s="347" t="s">
        <v>120</v>
      </c>
      <c r="S16" s="345" t="s">
        <v>111</v>
      </c>
      <c r="T16" s="345" t="s">
        <v>469</v>
      </c>
      <c r="U16" s="345" t="s">
        <v>117</v>
      </c>
      <c r="V16" s="345" t="s">
        <v>123</v>
      </c>
      <c r="W16" s="347" t="s">
        <v>492</v>
      </c>
      <c r="X16" s="345" t="s">
        <v>471</v>
      </c>
      <c r="Y16" s="345" t="s">
        <v>472</v>
      </c>
      <c r="Z16" s="347" t="s">
        <v>544</v>
      </c>
      <c r="AA16" s="345" t="s">
        <v>474</v>
      </c>
      <c r="AB16" s="345" t="s">
        <v>482</v>
      </c>
      <c r="AC16" s="345" t="s">
        <v>471</v>
      </c>
      <c r="AD16" s="347" t="s">
        <v>476</v>
      </c>
      <c r="AE16" s="345" t="s">
        <v>123</v>
      </c>
      <c r="AF16" s="347" t="s">
        <v>544</v>
      </c>
      <c r="AG16" s="345" t="s">
        <v>111</v>
      </c>
      <c r="AH16" s="345"/>
      <c r="AI16" s="345" t="s">
        <v>111</v>
      </c>
      <c r="AJ16" s="345" t="s">
        <v>123</v>
      </c>
      <c r="AK16" s="347" t="s">
        <v>544</v>
      </c>
      <c r="AL16" s="345"/>
    </row>
    <row r="17" spans="1:38" ht="16.5" hidden="1" customHeight="1">
      <c r="A17" s="344" t="s">
        <v>463</v>
      </c>
      <c r="B17" s="345" t="s">
        <v>545</v>
      </c>
      <c r="C17" s="345" t="s">
        <v>109</v>
      </c>
      <c r="D17" s="345" t="s">
        <v>110</v>
      </c>
      <c r="E17" s="345" t="s">
        <v>121</v>
      </c>
      <c r="F17" s="345" t="s">
        <v>465</v>
      </c>
      <c r="G17" s="345" t="s">
        <v>111</v>
      </c>
      <c r="H17" s="345" t="s">
        <v>111</v>
      </c>
      <c r="I17" s="345" t="s">
        <v>546</v>
      </c>
      <c r="J17" s="345"/>
      <c r="K17" s="346" t="s">
        <v>122</v>
      </c>
      <c r="L17" s="346"/>
      <c r="M17" s="346" t="s">
        <v>114</v>
      </c>
      <c r="N17" s="346"/>
      <c r="O17" s="346"/>
      <c r="P17" s="345" t="s">
        <v>547</v>
      </c>
      <c r="Q17" s="345" t="s">
        <v>468</v>
      </c>
      <c r="R17" s="347" t="s">
        <v>120</v>
      </c>
      <c r="S17" s="345" t="s">
        <v>111</v>
      </c>
      <c r="T17" s="345" t="s">
        <v>469</v>
      </c>
      <c r="U17" s="345" t="s">
        <v>117</v>
      </c>
      <c r="V17" s="345" t="s">
        <v>491</v>
      </c>
      <c r="W17" s="347" t="s">
        <v>492</v>
      </c>
      <c r="X17" s="345" t="s">
        <v>471</v>
      </c>
      <c r="Y17" s="345" t="s">
        <v>472</v>
      </c>
      <c r="Z17" s="347" t="s">
        <v>473</v>
      </c>
      <c r="AA17" s="345" t="s">
        <v>548</v>
      </c>
      <c r="AB17" s="345" t="s">
        <v>482</v>
      </c>
      <c r="AC17" s="345" t="s">
        <v>538</v>
      </c>
      <c r="AD17" s="347" t="s">
        <v>549</v>
      </c>
      <c r="AE17" s="345" t="s">
        <v>491</v>
      </c>
      <c r="AF17" s="347" t="s">
        <v>473</v>
      </c>
      <c r="AG17" s="345" t="s">
        <v>111</v>
      </c>
      <c r="AH17" s="345"/>
      <c r="AI17" s="345" t="s">
        <v>513</v>
      </c>
      <c r="AJ17" s="345" t="s">
        <v>491</v>
      </c>
      <c r="AK17" s="347" t="s">
        <v>473</v>
      </c>
      <c r="AL17" s="345"/>
    </row>
    <row r="18" spans="1:38" ht="16.5" hidden="1" customHeight="1">
      <c r="A18" s="344" t="s">
        <v>463</v>
      </c>
      <c r="B18" s="345" t="s">
        <v>550</v>
      </c>
      <c r="C18" s="345" t="s">
        <v>109</v>
      </c>
      <c r="D18" s="345" t="s">
        <v>110</v>
      </c>
      <c r="E18" s="345" t="s">
        <v>121</v>
      </c>
      <c r="F18" s="345" t="s">
        <v>465</v>
      </c>
      <c r="G18" s="345" t="s">
        <v>111</v>
      </c>
      <c r="H18" s="345" t="s">
        <v>111</v>
      </c>
      <c r="I18" s="345" t="s">
        <v>551</v>
      </c>
      <c r="J18" s="345"/>
      <c r="K18" s="346" t="s">
        <v>122</v>
      </c>
      <c r="L18" s="346"/>
      <c r="M18" s="346" t="s">
        <v>114</v>
      </c>
      <c r="N18" s="346"/>
      <c r="O18" s="346"/>
      <c r="P18" s="345" t="s">
        <v>552</v>
      </c>
      <c r="Q18" s="345" t="s">
        <v>482</v>
      </c>
      <c r="R18" s="347" t="s">
        <v>120</v>
      </c>
      <c r="S18" s="345" t="s">
        <v>111</v>
      </c>
      <c r="T18" s="345" t="s">
        <v>469</v>
      </c>
      <c r="U18" s="345" t="s">
        <v>117</v>
      </c>
      <c r="V18" s="345" t="s">
        <v>491</v>
      </c>
      <c r="W18" s="347" t="s">
        <v>492</v>
      </c>
      <c r="X18" s="345" t="s">
        <v>471</v>
      </c>
      <c r="Y18" s="345" t="s">
        <v>491</v>
      </c>
      <c r="Z18" s="347" t="s">
        <v>476</v>
      </c>
      <c r="AA18" s="345" t="s">
        <v>474</v>
      </c>
      <c r="AB18" s="345" t="s">
        <v>553</v>
      </c>
      <c r="AC18" s="345" t="s">
        <v>471</v>
      </c>
      <c r="AD18" s="347" t="s">
        <v>476</v>
      </c>
      <c r="AE18" s="345"/>
      <c r="AF18" s="347" t="s">
        <v>120</v>
      </c>
      <c r="AG18" s="345" t="s">
        <v>111</v>
      </c>
      <c r="AH18" s="345"/>
      <c r="AI18" s="345" t="s">
        <v>554</v>
      </c>
      <c r="AJ18" s="345" t="s">
        <v>474</v>
      </c>
      <c r="AK18" s="347" t="s">
        <v>476</v>
      </c>
      <c r="AL18" s="345"/>
    </row>
    <row r="19" spans="1:38" ht="16.5" hidden="1" customHeight="1">
      <c r="A19" s="344" t="s">
        <v>463</v>
      </c>
      <c r="B19" s="345" t="s">
        <v>555</v>
      </c>
      <c r="C19" s="345" t="s">
        <v>109</v>
      </c>
      <c r="D19" s="345" t="s">
        <v>110</v>
      </c>
      <c r="E19" s="345" t="s">
        <v>121</v>
      </c>
      <c r="F19" s="345" t="s">
        <v>465</v>
      </c>
      <c r="G19" s="345" t="s">
        <v>111</v>
      </c>
      <c r="H19" s="345" t="s">
        <v>111</v>
      </c>
      <c r="I19" s="345" t="s">
        <v>556</v>
      </c>
      <c r="J19" s="345"/>
      <c r="K19" s="346" t="s">
        <v>122</v>
      </c>
      <c r="L19" s="346"/>
      <c r="M19" s="346" t="s">
        <v>114</v>
      </c>
      <c r="N19" s="346"/>
      <c r="O19" s="346"/>
      <c r="P19" s="345" t="s">
        <v>557</v>
      </c>
      <c r="Q19" s="345" t="s">
        <v>468</v>
      </c>
      <c r="R19" s="347" t="s">
        <v>120</v>
      </c>
      <c r="S19" s="345" t="s">
        <v>111</v>
      </c>
      <c r="T19" s="345" t="s">
        <v>469</v>
      </c>
      <c r="U19" s="345" t="s">
        <v>117</v>
      </c>
      <c r="V19" s="345" t="s">
        <v>123</v>
      </c>
      <c r="W19" s="347" t="s">
        <v>492</v>
      </c>
      <c r="X19" s="345" t="s">
        <v>471</v>
      </c>
      <c r="Y19" s="345" t="s">
        <v>472</v>
      </c>
      <c r="Z19" s="347" t="s">
        <v>487</v>
      </c>
      <c r="AA19" s="345" t="s">
        <v>474</v>
      </c>
      <c r="AB19" s="345" t="s">
        <v>475</v>
      </c>
      <c r="AC19" s="345" t="s">
        <v>471</v>
      </c>
      <c r="AD19" s="347" t="s">
        <v>476</v>
      </c>
      <c r="AE19" s="345" t="s">
        <v>123</v>
      </c>
      <c r="AF19" s="347" t="s">
        <v>487</v>
      </c>
      <c r="AG19" s="345" t="s">
        <v>111</v>
      </c>
      <c r="AH19" s="345"/>
      <c r="AI19" s="345" t="s">
        <v>111</v>
      </c>
      <c r="AJ19" s="345" t="s">
        <v>123</v>
      </c>
      <c r="AK19" s="347" t="s">
        <v>487</v>
      </c>
      <c r="AL19" s="345"/>
    </row>
    <row r="20" spans="1:38" ht="16.5" hidden="1" customHeight="1">
      <c r="A20" s="344" t="s">
        <v>463</v>
      </c>
      <c r="B20" s="345" t="s">
        <v>558</v>
      </c>
      <c r="C20" s="345" t="s">
        <v>109</v>
      </c>
      <c r="D20" s="345" t="s">
        <v>110</v>
      </c>
      <c r="E20" s="345" t="s">
        <v>121</v>
      </c>
      <c r="F20" s="345" t="s">
        <v>465</v>
      </c>
      <c r="G20" s="345" t="s">
        <v>111</v>
      </c>
      <c r="H20" s="345" t="s">
        <v>111</v>
      </c>
      <c r="I20" s="345" t="s">
        <v>559</v>
      </c>
      <c r="J20" s="345"/>
      <c r="K20" s="346" t="s">
        <v>122</v>
      </c>
      <c r="L20" s="346"/>
      <c r="M20" s="346" t="s">
        <v>114</v>
      </c>
      <c r="N20" s="346"/>
      <c r="O20" s="346"/>
      <c r="P20" s="345" t="s">
        <v>560</v>
      </c>
      <c r="Q20" s="345" t="s">
        <v>482</v>
      </c>
      <c r="R20" s="347" t="s">
        <v>120</v>
      </c>
      <c r="S20" s="345" t="s">
        <v>111</v>
      </c>
      <c r="T20" s="345" t="s">
        <v>469</v>
      </c>
      <c r="U20" s="345" t="s">
        <v>498</v>
      </c>
      <c r="V20" s="345" t="s">
        <v>491</v>
      </c>
      <c r="W20" s="347" t="s">
        <v>492</v>
      </c>
      <c r="X20" s="345" t="s">
        <v>471</v>
      </c>
      <c r="Y20" s="345" t="s">
        <v>499</v>
      </c>
      <c r="Z20" s="347" t="s">
        <v>500</v>
      </c>
      <c r="AA20" s="345" t="s">
        <v>537</v>
      </c>
      <c r="AB20" s="345" t="s">
        <v>475</v>
      </c>
      <c r="AC20" s="345" t="s">
        <v>538</v>
      </c>
      <c r="AD20" s="347" t="s">
        <v>539</v>
      </c>
      <c r="AE20" s="345"/>
      <c r="AF20" s="347" t="s">
        <v>120</v>
      </c>
      <c r="AG20" s="345" t="s">
        <v>111</v>
      </c>
      <c r="AH20" s="345"/>
      <c r="AI20" s="345" t="s">
        <v>111</v>
      </c>
      <c r="AJ20" s="345" t="s">
        <v>491</v>
      </c>
      <c r="AK20" s="347" t="s">
        <v>500</v>
      </c>
      <c r="AL20" s="345"/>
    </row>
    <row r="21" spans="1:38" ht="16.5" hidden="1" customHeight="1">
      <c r="A21" s="344" t="s">
        <v>463</v>
      </c>
      <c r="B21" s="345" t="s">
        <v>561</v>
      </c>
      <c r="C21" s="345" t="s">
        <v>109</v>
      </c>
      <c r="D21" s="345" t="s">
        <v>110</v>
      </c>
      <c r="E21" s="345" t="s">
        <v>121</v>
      </c>
      <c r="F21" s="345" t="s">
        <v>465</v>
      </c>
      <c r="G21" s="345" t="s">
        <v>111</v>
      </c>
      <c r="H21" s="345" t="s">
        <v>111</v>
      </c>
      <c r="I21" s="345" t="s">
        <v>562</v>
      </c>
      <c r="J21" s="345"/>
      <c r="K21" s="346" t="s">
        <v>122</v>
      </c>
      <c r="L21" s="346"/>
      <c r="M21" s="346" t="s">
        <v>114</v>
      </c>
      <c r="N21" s="346"/>
      <c r="O21" s="346"/>
      <c r="P21" s="345" t="s">
        <v>563</v>
      </c>
      <c r="Q21" s="345" t="s">
        <v>482</v>
      </c>
      <c r="R21" s="347" t="s">
        <v>120</v>
      </c>
      <c r="S21" s="345" t="s">
        <v>111</v>
      </c>
      <c r="T21" s="345" t="s">
        <v>469</v>
      </c>
      <c r="U21" s="345" t="s">
        <v>498</v>
      </c>
      <c r="V21" s="345" t="s">
        <v>491</v>
      </c>
      <c r="W21" s="347" t="s">
        <v>492</v>
      </c>
      <c r="X21" s="345" t="s">
        <v>471</v>
      </c>
      <c r="Y21" s="345" t="s">
        <v>499</v>
      </c>
      <c r="Z21" s="347" t="s">
        <v>500</v>
      </c>
      <c r="AA21" s="345" t="s">
        <v>474</v>
      </c>
      <c r="AB21" s="345" t="s">
        <v>475</v>
      </c>
      <c r="AC21" s="345" t="s">
        <v>471</v>
      </c>
      <c r="AD21" s="347" t="s">
        <v>476</v>
      </c>
      <c r="AE21" s="345"/>
      <c r="AF21" s="347" t="s">
        <v>120</v>
      </c>
      <c r="AG21" s="345" t="s">
        <v>111</v>
      </c>
      <c r="AH21" s="345"/>
      <c r="AI21" s="345" t="s">
        <v>564</v>
      </c>
      <c r="AJ21" s="345" t="s">
        <v>491</v>
      </c>
      <c r="AK21" s="347" t="s">
        <v>500</v>
      </c>
      <c r="AL21" s="345"/>
    </row>
    <row r="22" spans="1:38" ht="16.5" hidden="1" customHeight="1">
      <c r="A22" s="344" t="s">
        <v>463</v>
      </c>
      <c r="B22" s="345" t="s">
        <v>565</v>
      </c>
      <c r="C22" s="345" t="s">
        <v>109</v>
      </c>
      <c r="D22" s="345" t="s">
        <v>110</v>
      </c>
      <c r="E22" s="345" t="s">
        <v>121</v>
      </c>
      <c r="F22" s="345" t="s">
        <v>465</v>
      </c>
      <c r="G22" s="345" t="s">
        <v>111</v>
      </c>
      <c r="H22" s="345" t="s">
        <v>111</v>
      </c>
      <c r="I22" s="345" t="s">
        <v>566</v>
      </c>
      <c r="J22" s="345"/>
      <c r="K22" s="346" t="s">
        <v>122</v>
      </c>
      <c r="L22" s="346"/>
      <c r="M22" s="346" t="s">
        <v>114</v>
      </c>
      <c r="N22" s="346"/>
      <c r="O22" s="346"/>
      <c r="P22" s="345" t="s">
        <v>567</v>
      </c>
      <c r="Q22" s="345" t="s">
        <v>468</v>
      </c>
      <c r="R22" s="347" t="s">
        <v>120</v>
      </c>
      <c r="S22" s="345" t="s">
        <v>568</v>
      </c>
      <c r="T22" s="345" t="s">
        <v>469</v>
      </c>
      <c r="U22" s="345" t="s">
        <v>117</v>
      </c>
      <c r="V22" s="345" t="s">
        <v>491</v>
      </c>
      <c r="W22" s="347" t="s">
        <v>569</v>
      </c>
      <c r="X22" s="345" t="s">
        <v>471</v>
      </c>
      <c r="Y22" s="345" t="s">
        <v>472</v>
      </c>
      <c r="Z22" s="347" t="s">
        <v>570</v>
      </c>
      <c r="AA22" s="345" t="s">
        <v>491</v>
      </c>
      <c r="AB22" s="345" t="s">
        <v>482</v>
      </c>
      <c r="AC22" s="345" t="s">
        <v>571</v>
      </c>
      <c r="AD22" s="347" t="s">
        <v>570</v>
      </c>
      <c r="AE22" s="345" t="s">
        <v>491</v>
      </c>
      <c r="AF22" s="347" t="s">
        <v>570</v>
      </c>
      <c r="AG22" s="345" t="s">
        <v>111</v>
      </c>
      <c r="AH22" s="345"/>
      <c r="AI22" s="345" t="s">
        <v>572</v>
      </c>
      <c r="AJ22" s="345" t="s">
        <v>491</v>
      </c>
      <c r="AK22" s="347" t="s">
        <v>570</v>
      </c>
      <c r="AL22" s="345"/>
    </row>
    <row r="23" spans="1:38" ht="16.5" hidden="1" customHeight="1">
      <c r="A23" s="344" t="s">
        <v>463</v>
      </c>
      <c r="B23" s="345" t="s">
        <v>573</v>
      </c>
      <c r="C23" s="345" t="s">
        <v>109</v>
      </c>
      <c r="D23" s="345" t="s">
        <v>110</v>
      </c>
      <c r="E23" s="345" t="s">
        <v>121</v>
      </c>
      <c r="F23" s="345" t="s">
        <v>465</v>
      </c>
      <c r="G23" s="345" t="s">
        <v>111</v>
      </c>
      <c r="H23" s="345" t="s">
        <v>111</v>
      </c>
      <c r="I23" s="345" t="s">
        <v>574</v>
      </c>
      <c r="J23" s="345"/>
      <c r="K23" s="346" t="s">
        <v>122</v>
      </c>
      <c r="L23" s="346"/>
      <c r="M23" s="346" t="s">
        <v>114</v>
      </c>
      <c r="N23" s="346"/>
      <c r="O23" s="346"/>
      <c r="P23" s="345" t="s">
        <v>575</v>
      </c>
      <c r="Q23" s="345" t="s">
        <v>468</v>
      </c>
      <c r="R23" s="347" t="s">
        <v>120</v>
      </c>
      <c r="S23" s="345" t="s">
        <v>111</v>
      </c>
      <c r="T23" s="345" t="s">
        <v>469</v>
      </c>
      <c r="U23" s="345" t="s">
        <v>498</v>
      </c>
      <c r="V23" s="345" t="s">
        <v>491</v>
      </c>
      <c r="W23" s="347" t="s">
        <v>569</v>
      </c>
      <c r="X23" s="345" t="s">
        <v>471</v>
      </c>
      <c r="Y23" s="345" t="s">
        <v>472</v>
      </c>
      <c r="Z23" s="347" t="s">
        <v>576</v>
      </c>
      <c r="AA23" s="345" t="s">
        <v>474</v>
      </c>
      <c r="AB23" s="345" t="s">
        <v>475</v>
      </c>
      <c r="AC23" s="345" t="s">
        <v>471</v>
      </c>
      <c r="AD23" s="347" t="s">
        <v>577</v>
      </c>
      <c r="AE23" s="345" t="s">
        <v>499</v>
      </c>
      <c r="AF23" s="347" t="s">
        <v>576</v>
      </c>
      <c r="AG23" s="345" t="s">
        <v>111</v>
      </c>
      <c r="AH23" s="345"/>
      <c r="AI23" s="345" t="s">
        <v>578</v>
      </c>
      <c r="AJ23" s="345" t="s">
        <v>499</v>
      </c>
      <c r="AK23" s="347" t="s">
        <v>576</v>
      </c>
      <c r="AL23" s="345"/>
    </row>
    <row r="24" spans="1:38" ht="16.5" hidden="1" customHeight="1">
      <c r="A24" s="344" t="s">
        <v>463</v>
      </c>
      <c r="B24" s="345" t="s">
        <v>579</v>
      </c>
      <c r="C24" s="345" t="s">
        <v>109</v>
      </c>
      <c r="D24" s="345" t="s">
        <v>110</v>
      </c>
      <c r="E24" s="345" t="s">
        <v>121</v>
      </c>
      <c r="F24" s="345" t="s">
        <v>465</v>
      </c>
      <c r="G24" s="345" t="s">
        <v>111</v>
      </c>
      <c r="H24" s="345" t="s">
        <v>111</v>
      </c>
      <c r="I24" s="345" t="s">
        <v>580</v>
      </c>
      <c r="J24" s="345"/>
      <c r="K24" s="346" t="s">
        <v>122</v>
      </c>
      <c r="L24" s="346"/>
      <c r="M24" s="346" t="s">
        <v>114</v>
      </c>
      <c r="N24" s="346"/>
      <c r="O24" s="346"/>
      <c r="P24" s="345" t="s">
        <v>581</v>
      </c>
      <c r="Q24" s="345" t="s">
        <v>468</v>
      </c>
      <c r="R24" s="347" t="s">
        <v>120</v>
      </c>
      <c r="S24" s="345" t="s">
        <v>111</v>
      </c>
      <c r="T24" s="345" t="s">
        <v>469</v>
      </c>
      <c r="U24" s="345" t="s">
        <v>117</v>
      </c>
      <c r="V24" s="345" t="s">
        <v>491</v>
      </c>
      <c r="W24" s="347" t="s">
        <v>569</v>
      </c>
      <c r="X24" s="345" t="s">
        <v>471</v>
      </c>
      <c r="Y24" s="345" t="s">
        <v>472</v>
      </c>
      <c r="Z24" s="347" t="s">
        <v>582</v>
      </c>
      <c r="AA24" s="345" t="s">
        <v>474</v>
      </c>
      <c r="AB24" s="345" t="s">
        <v>482</v>
      </c>
      <c r="AC24" s="345" t="s">
        <v>471</v>
      </c>
      <c r="AD24" s="347" t="s">
        <v>577</v>
      </c>
      <c r="AE24" s="345" t="s">
        <v>491</v>
      </c>
      <c r="AF24" s="347" t="s">
        <v>582</v>
      </c>
      <c r="AG24" s="345" t="s">
        <v>111</v>
      </c>
      <c r="AH24" s="345"/>
      <c r="AI24" s="345" t="s">
        <v>583</v>
      </c>
      <c r="AJ24" s="345" t="s">
        <v>491</v>
      </c>
      <c r="AK24" s="347" t="s">
        <v>582</v>
      </c>
      <c r="AL24" s="345"/>
    </row>
    <row r="25" spans="1:38" ht="16.5" hidden="1" customHeight="1">
      <c r="A25" s="344" t="s">
        <v>463</v>
      </c>
      <c r="B25" s="345" t="s">
        <v>584</v>
      </c>
      <c r="C25" s="345" t="s">
        <v>109</v>
      </c>
      <c r="D25" s="345" t="s">
        <v>110</v>
      </c>
      <c r="E25" s="345" t="s">
        <v>121</v>
      </c>
      <c r="F25" s="345" t="s">
        <v>465</v>
      </c>
      <c r="G25" s="345" t="s">
        <v>111</v>
      </c>
      <c r="H25" s="345" t="s">
        <v>111</v>
      </c>
      <c r="I25" s="345" t="s">
        <v>585</v>
      </c>
      <c r="J25" s="345"/>
      <c r="K25" s="346" t="s">
        <v>122</v>
      </c>
      <c r="L25" s="346"/>
      <c r="M25" s="346" t="s">
        <v>114</v>
      </c>
      <c r="N25" s="346"/>
      <c r="O25" s="346"/>
      <c r="P25" s="345" t="s">
        <v>586</v>
      </c>
      <c r="Q25" s="345" t="s">
        <v>468</v>
      </c>
      <c r="R25" s="347" t="s">
        <v>120</v>
      </c>
      <c r="S25" s="345" t="s">
        <v>111</v>
      </c>
      <c r="T25" s="345" t="s">
        <v>469</v>
      </c>
      <c r="U25" s="345" t="s">
        <v>117</v>
      </c>
      <c r="V25" s="345" t="s">
        <v>491</v>
      </c>
      <c r="W25" s="347" t="s">
        <v>569</v>
      </c>
      <c r="X25" s="345" t="s">
        <v>471</v>
      </c>
      <c r="Y25" s="345" t="s">
        <v>472</v>
      </c>
      <c r="Z25" s="347" t="s">
        <v>473</v>
      </c>
      <c r="AA25" s="345" t="s">
        <v>474</v>
      </c>
      <c r="AB25" s="345" t="s">
        <v>482</v>
      </c>
      <c r="AC25" s="345" t="s">
        <v>538</v>
      </c>
      <c r="AD25" s="347" t="s">
        <v>577</v>
      </c>
      <c r="AE25" s="345" t="s">
        <v>491</v>
      </c>
      <c r="AF25" s="347" t="s">
        <v>473</v>
      </c>
      <c r="AG25" s="345" t="s">
        <v>111</v>
      </c>
      <c r="AH25" s="345"/>
      <c r="AI25" s="345" t="s">
        <v>587</v>
      </c>
      <c r="AJ25" s="345" t="s">
        <v>491</v>
      </c>
      <c r="AK25" s="347" t="s">
        <v>473</v>
      </c>
      <c r="AL25" s="345"/>
    </row>
    <row r="26" spans="1:38" ht="16.5" hidden="1" customHeight="1">
      <c r="A26" s="344" t="s">
        <v>463</v>
      </c>
      <c r="B26" s="345" t="s">
        <v>588</v>
      </c>
      <c r="C26" s="345" t="s">
        <v>589</v>
      </c>
      <c r="D26" s="345" t="s">
        <v>110</v>
      </c>
      <c r="E26" s="345" t="s">
        <v>590</v>
      </c>
      <c r="F26" s="345" t="s">
        <v>591</v>
      </c>
      <c r="G26" s="345" t="s">
        <v>111</v>
      </c>
      <c r="H26" s="345" t="s">
        <v>111</v>
      </c>
      <c r="I26" s="345" t="s">
        <v>592</v>
      </c>
      <c r="J26" s="345"/>
      <c r="K26" s="346" t="s">
        <v>112</v>
      </c>
      <c r="L26" s="346" t="s">
        <v>593</v>
      </c>
      <c r="M26" s="346" t="s">
        <v>114</v>
      </c>
      <c r="N26" s="346"/>
      <c r="O26" s="346"/>
      <c r="P26" s="345" t="s">
        <v>594</v>
      </c>
      <c r="Q26" s="345" t="s">
        <v>468</v>
      </c>
      <c r="R26" s="347" t="s">
        <v>120</v>
      </c>
      <c r="S26" s="345" t="s">
        <v>111</v>
      </c>
      <c r="T26" s="345" t="s">
        <v>469</v>
      </c>
      <c r="U26" s="345" t="s">
        <v>117</v>
      </c>
      <c r="V26" s="345" t="s">
        <v>123</v>
      </c>
      <c r="W26" s="347" t="s">
        <v>544</v>
      </c>
      <c r="X26" s="345" t="s">
        <v>595</v>
      </c>
      <c r="Y26" s="345" t="s">
        <v>472</v>
      </c>
      <c r="Z26" s="347" t="s">
        <v>518</v>
      </c>
      <c r="AA26" s="345" t="s">
        <v>123</v>
      </c>
      <c r="AB26" s="345" t="s">
        <v>475</v>
      </c>
      <c r="AC26" s="345" t="s">
        <v>596</v>
      </c>
      <c r="AD26" s="347" t="s">
        <v>518</v>
      </c>
      <c r="AE26" s="345" t="s">
        <v>123</v>
      </c>
      <c r="AF26" s="347" t="s">
        <v>518</v>
      </c>
      <c r="AG26" s="345" t="s">
        <v>111</v>
      </c>
      <c r="AH26" s="345"/>
      <c r="AI26" s="345" t="s">
        <v>111</v>
      </c>
      <c r="AJ26" s="345" t="s">
        <v>123</v>
      </c>
      <c r="AK26" s="347" t="s">
        <v>518</v>
      </c>
      <c r="AL26" s="345"/>
    </row>
    <row r="27" spans="1:38" ht="16.5" hidden="1" customHeight="1">
      <c r="A27" s="344" t="s">
        <v>463</v>
      </c>
      <c r="B27" s="345" t="s">
        <v>597</v>
      </c>
      <c r="C27" s="345" t="s">
        <v>109</v>
      </c>
      <c r="D27" s="345" t="s">
        <v>110</v>
      </c>
      <c r="E27" s="345" t="s">
        <v>121</v>
      </c>
      <c r="F27" s="345" t="s">
        <v>465</v>
      </c>
      <c r="G27" s="345" t="s">
        <v>111</v>
      </c>
      <c r="H27" s="345" t="s">
        <v>111</v>
      </c>
      <c r="I27" s="345" t="s">
        <v>598</v>
      </c>
      <c r="J27" s="345"/>
      <c r="K27" s="346" t="s">
        <v>479</v>
      </c>
      <c r="L27" s="346" t="s">
        <v>113</v>
      </c>
      <c r="M27" s="346" t="s">
        <v>114</v>
      </c>
      <c r="N27" s="346"/>
      <c r="O27" s="346"/>
      <c r="P27" s="345" t="s">
        <v>599</v>
      </c>
      <c r="Q27" s="345" t="s">
        <v>468</v>
      </c>
      <c r="R27" s="347" t="s">
        <v>120</v>
      </c>
      <c r="S27" s="345" t="s">
        <v>517</v>
      </c>
      <c r="T27" s="345" t="s">
        <v>469</v>
      </c>
      <c r="U27" s="345" t="s">
        <v>117</v>
      </c>
      <c r="V27" s="345" t="s">
        <v>123</v>
      </c>
      <c r="W27" s="347" t="s">
        <v>544</v>
      </c>
      <c r="X27" s="345" t="s">
        <v>519</v>
      </c>
      <c r="Y27" s="345" t="s">
        <v>472</v>
      </c>
      <c r="Z27" s="347" t="s">
        <v>600</v>
      </c>
      <c r="AA27" s="345" t="s">
        <v>537</v>
      </c>
      <c r="AB27" s="345" t="s">
        <v>482</v>
      </c>
      <c r="AC27" s="345" t="s">
        <v>538</v>
      </c>
      <c r="AD27" s="347" t="s">
        <v>601</v>
      </c>
      <c r="AE27" s="345" t="s">
        <v>491</v>
      </c>
      <c r="AF27" s="347" t="s">
        <v>600</v>
      </c>
      <c r="AG27" s="345" t="s">
        <v>111</v>
      </c>
      <c r="AH27" s="345"/>
      <c r="AI27" s="345" t="s">
        <v>111</v>
      </c>
      <c r="AJ27" s="345" t="s">
        <v>491</v>
      </c>
      <c r="AK27" s="347" t="s">
        <v>600</v>
      </c>
      <c r="AL27" s="345"/>
    </row>
    <row r="28" spans="1:38" ht="16.5" hidden="1" customHeight="1">
      <c r="A28" s="344" t="s">
        <v>463</v>
      </c>
      <c r="B28" s="345" t="s">
        <v>602</v>
      </c>
      <c r="C28" s="345" t="s">
        <v>589</v>
      </c>
      <c r="D28" s="345" t="s">
        <v>110</v>
      </c>
      <c r="E28" s="345" t="s">
        <v>603</v>
      </c>
      <c r="F28" s="345" t="s">
        <v>591</v>
      </c>
      <c r="G28" s="345" t="s">
        <v>111</v>
      </c>
      <c r="H28" s="345" t="s">
        <v>111</v>
      </c>
      <c r="I28" s="345" t="s">
        <v>604</v>
      </c>
      <c r="J28" s="345"/>
      <c r="K28" s="346" t="s">
        <v>122</v>
      </c>
      <c r="L28" s="346" t="s">
        <v>113</v>
      </c>
      <c r="M28" s="346" t="s">
        <v>114</v>
      </c>
      <c r="N28" s="346"/>
      <c r="O28" s="346"/>
      <c r="P28" s="345" t="s">
        <v>605</v>
      </c>
      <c r="Q28" s="345" t="s">
        <v>468</v>
      </c>
      <c r="R28" s="347" t="s">
        <v>120</v>
      </c>
      <c r="S28" s="345" t="s">
        <v>111</v>
      </c>
      <c r="T28" s="345" t="s">
        <v>469</v>
      </c>
      <c r="U28" s="345" t="s">
        <v>117</v>
      </c>
      <c r="V28" s="345" t="s">
        <v>123</v>
      </c>
      <c r="W28" s="347" t="s">
        <v>544</v>
      </c>
      <c r="X28" s="345" t="s">
        <v>595</v>
      </c>
      <c r="Y28" s="345" t="s">
        <v>472</v>
      </c>
      <c r="Z28" s="347" t="s">
        <v>518</v>
      </c>
      <c r="AA28" s="345" t="s">
        <v>123</v>
      </c>
      <c r="AB28" s="345" t="s">
        <v>482</v>
      </c>
      <c r="AC28" s="345" t="s">
        <v>596</v>
      </c>
      <c r="AD28" s="347" t="s">
        <v>518</v>
      </c>
      <c r="AE28" s="345" t="s">
        <v>123</v>
      </c>
      <c r="AF28" s="347" t="s">
        <v>518</v>
      </c>
      <c r="AG28" s="345" t="s">
        <v>111</v>
      </c>
      <c r="AH28" s="345"/>
      <c r="AI28" s="345" t="s">
        <v>111</v>
      </c>
      <c r="AJ28" s="345" t="s">
        <v>123</v>
      </c>
      <c r="AK28" s="347" t="s">
        <v>518</v>
      </c>
      <c r="AL28" s="345"/>
    </row>
    <row r="29" spans="1:38" ht="16.5" hidden="1" customHeight="1">
      <c r="A29" s="344" t="s">
        <v>463</v>
      </c>
      <c r="B29" s="345" t="s">
        <v>606</v>
      </c>
      <c r="C29" s="345" t="s">
        <v>109</v>
      </c>
      <c r="D29" s="345" t="s">
        <v>110</v>
      </c>
      <c r="E29" s="345" t="s">
        <v>121</v>
      </c>
      <c r="F29" s="345" t="s">
        <v>465</v>
      </c>
      <c r="G29" s="345" t="s">
        <v>111</v>
      </c>
      <c r="H29" s="345" t="s">
        <v>111</v>
      </c>
      <c r="I29" s="345" t="s">
        <v>607</v>
      </c>
      <c r="J29" s="345"/>
      <c r="K29" s="346" t="s">
        <v>122</v>
      </c>
      <c r="L29" s="346" t="s">
        <v>608</v>
      </c>
      <c r="M29" s="346" t="s">
        <v>114</v>
      </c>
      <c r="N29" s="346"/>
      <c r="O29" s="346"/>
      <c r="P29" s="345" t="s">
        <v>609</v>
      </c>
      <c r="Q29" s="345" t="s">
        <v>468</v>
      </c>
      <c r="R29" s="347" t="s">
        <v>120</v>
      </c>
      <c r="S29" s="345" t="s">
        <v>111</v>
      </c>
      <c r="T29" s="345" t="s">
        <v>469</v>
      </c>
      <c r="U29" s="345" t="s">
        <v>117</v>
      </c>
      <c r="V29" s="345" t="s">
        <v>123</v>
      </c>
      <c r="W29" s="347" t="s">
        <v>544</v>
      </c>
      <c r="X29" s="345" t="s">
        <v>519</v>
      </c>
      <c r="Y29" s="345" t="s">
        <v>472</v>
      </c>
      <c r="Z29" s="347" t="s">
        <v>610</v>
      </c>
      <c r="AA29" s="345" t="s">
        <v>537</v>
      </c>
      <c r="AB29" s="345" t="s">
        <v>482</v>
      </c>
      <c r="AC29" s="345" t="s">
        <v>538</v>
      </c>
      <c r="AD29" s="347" t="s">
        <v>601</v>
      </c>
      <c r="AE29" s="345" t="s">
        <v>483</v>
      </c>
      <c r="AF29" s="347" t="s">
        <v>610</v>
      </c>
      <c r="AG29" s="345" t="s">
        <v>111</v>
      </c>
      <c r="AH29" s="345"/>
      <c r="AI29" s="345" t="s">
        <v>111</v>
      </c>
      <c r="AJ29" s="345" t="s">
        <v>483</v>
      </c>
      <c r="AK29" s="347" t="s">
        <v>610</v>
      </c>
      <c r="AL29" s="345"/>
    </row>
    <row r="30" spans="1:38" ht="16.5" hidden="1" customHeight="1">
      <c r="A30" s="344" t="s">
        <v>463</v>
      </c>
      <c r="B30" s="345" t="s">
        <v>611</v>
      </c>
      <c r="C30" s="345" t="s">
        <v>109</v>
      </c>
      <c r="D30" s="345" t="s">
        <v>110</v>
      </c>
      <c r="E30" s="345" t="s">
        <v>111</v>
      </c>
      <c r="F30" s="345" t="s">
        <v>465</v>
      </c>
      <c r="G30" s="345" t="s">
        <v>111</v>
      </c>
      <c r="H30" s="345" t="s">
        <v>111</v>
      </c>
      <c r="I30" s="345" t="s">
        <v>612</v>
      </c>
      <c r="J30" s="345"/>
      <c r="K30" s="346" t="s">
        <v>122</v>
      </c>
      <c r="L30" s="346" t="s">
        <v>608</v>
      </c>
      <c r="M30" s="346" t="s">
        <v>114</v>
      </c>
      <c r="N30" s="346"/>
      <c r="O30" s="346"/>
      <c r="P30" s="345" t="s">
        <v>613</v>
      </c>
      <c r="Q30" s="345" t="s">
        <v>468</v>
      </c>
      <c r="R30" s="347" t="s">
        <v>120</v>
      </c>
      <c r="S30" s="345" t="s">
        <v>111</v>
      </c>
      <c r="T30" s="345" t="s">
        <v>469</v>
      </c>
      <c r="U30" s="345" t="s">
        <v>117</v>
      </c>
      <c r="V30" s="345" t="s">
        <v>491</v>
      </c>
      <c r="W30" s="347" t="s">
        <v>544</v>
      </c>
      <c r="X30" s="345" t="s">
        <v>519</v>
      </c>
      <c r="Y30" s="345" t="s">
        <v>472</v>
      </c>
      <c r="Z30" s="347" t="s">
        <v>518</v>
      </c>
      <c r="AA30" s="345" t="s">
        <v>474</v>
      </c>
      <c r="AB30" s="345" t="s">
        <v>482</v>
      </c>
      <c r="AC30" s="345" t="s">
        <v>519</v>
      </c>
      <c r="AD30" s="347" t="s">
        <v>520</v>
      </c>
      <c r="AE30" s="345" t="s">
        <v>491</v>
      </c>
      <c r="AF30" s="347" t="s">
        <v>518</v>
      </c>
      <c r="AG30" s="345" t="s">
        <v>111</v>
      </c>
      <c r="AH30" s="345"/>
      <c r="AI30" s="345" t="s">
        <v>614</v>
      </c>
      <c r="AJ30" s="345" t="s">
        <v>491</v>
      </c>
      <c r="AK30" s="347" t="s">
        <v>518</v>
      </c>
      <c r="AL30" s="345"/>
    </row>
    <row r="31" spans="1:38" ht="16.5" hidden="1" customHeight="1">
      <c r="A31" s="344" t="s">
        <v>463</v>
      </c>
      <c r="B31" s="345" t="s">
        <v>615</v>
      </c>
      <c r="C31" s="345" t="s">
        <v>109</v>
      </c>
      <c r="D31" s="345" t="s">
        <v>110</v>
      </c>
      <c r="E31" s="345" t="s">
        <v>121</v>
      </c>
      <c r="F31" s="345" t="s">
        <v>465</v>
      </c>
      <c r="G31" s="345" t="s">
        <v>111</v>
      </c>
      <c r="H31" s="345" t="s">
        <v>111</v>
      </c>
      <c r="I31" s="345" t="s">
        <v>616</v>
      </c>
      <c r="J31" s="345"/>
      <c r="K31" s="346" t="s">
        <v>122</v>
      </c>
      <c r="L31" s="346" t="s">
        <v>608</v>
      </c>
      <c r="M31" s="346" t="s">
        <v>114</v>
      </c>
      <c r="N31" s="346"/>
      <c r="O31" s="346"/>
      <c r="P31" s="345" t="s">
        <v>617</v>
      </c>
      <c r="Q31" s="345" t="s">
        <v>468</v>
      </c>
      <c r="R31" s="347" t="s">
        <v>120</v>
      </c>
      <c r="S31" s="345" t="s">
        <v>111</v>
      </c>
      <c r="T31" s="345" t="s">
        <v>469</v>
      </c>
      <c r="U31" s="345" t="s">
        <v>618</v>
      </c>
      <c r="V31" s="345" t="s">
        <v>123</v>
      </c>
      <c r="W31" s="347" t="s">
        <v>544</v>
      </c>
      <c r="X31" s="345" t="s">
        <v>519</v>
      </c>
      <c r="Y31" s="345" t="s">
        <v>472</v>
      </c>
      <c r="Z31" s="347" t="s">
        <v>576</v>
      </c>
      <c r="AA31" s="345" t="s">
        <v>619</v>
      </c>
      <c r="AB31" s="345" t="s">
        <v>620</v>
      </c>
      <c r="AC31" s="345" t="s">
        <v>519</v>
      </c>
      <c r="AD31" s="347" t="s">
        <v>601</v>
      </c>
      <c r="AE31" s="345" t="s">
        <v>499</v>
      </c>
      <c r="AF31" s="347" t="s">
        <v>576</v>
      </c>
      <c r="AG31" s="345" t="s">
        <v>111</v>
      </c>
      <c r="AH31" s="345"/>
      <c r="AI31" s="345" t="s">
        <v>111</v>
      </c>
      <c r="AJ31" s="345" t="s">
        <v>499</v>
      </c>
      <c r="AK31" s="347" t="s">
        <v>576</v>
      </c>
      <c r="AL31" s="345"/>
    </row>
    <row r="32" spans="1:38" ht="16.5" hidden="1" customHeight="1">
      <c r="A32" s="344" t="s">
        <v>463</v>
      </c>
      <c r="B32" s="345" t="s">
        <v>621</v>
      </c>
      <c r="C32" s="345" t="s">
        <v>109</v>
      </c>
      <c r="D32" s="345" t="s">
        <v>110</v>
      </c>
      <c r="E32" s="345" t="s">
        <v>121</v>
      </c>
      <c r="F32" s="345" t="s">
        <v>465</v>
      </c>
      <c r="G32" s="345" t="s">
        <v>111</v>
      </c>
      <c r="H32" s="345" t="s">
        <v>111</v>
      </c>
      <c r="I32" s="345" t="s">
        <v>622</v>
      </c>
      <c r="J32" s="345"/>
      <c r="K32" s="346" t="s">
        <v>112</v>
      </c>
      <c r="L32" s="346" t="s">
        <v>608</v>
      </c>
      <c r="M32" s="346" t="s">
        <v>114</v>
      </c>
      <c r="N32" s="346"/>
      <c r="O32" s="346"/>
      <c r="P32" s="345" t="s">
        <v>623</v>
      </c>
      <c r="Q32" s="345" t="s">
        <v>468</v>
      </c>
      <c r="R32" s="347" t="s">
        <v>120</v>
      </c>
      <c r="S32" s="345" t="s">
        <v>111</v>
      </c>
      <c r="T32" s="345" t="s">
        <v>469</v>
      </c>
      <c r="U32" s="345" t="s">
        <v>117</v>
      </c>
      <c r="V32" s="345" t="s">
        <v>123</v>
      </c>
      <c r="W32" s="347" t="s">
        <v>544</v>
      </c>
      <c r="X32" s="345" t="s">
        <v>519</v>
      </c>
      <c r="Y32" s="345" t="s">
        <v>472</v>
      </c>
      <c r="Z32" s="347" t="s">
        <v>493</v>
      </c>
      <c r="AA32" s="345" t="s">
        <v>474</v>
      </c>
      <c r="AB32" s="345" t="s">
        <v>482</v>
      </c>
      <c r="AC32" s="345" t="s">
        <v>519</v>
      </c>
      <c r="AD32" s="347" t="s">
        <v>624</v>
      </c>
      <c r="AE32" s="345" t="s">
        <v>491</v>
      </c>
      <c r="AF32" s="347" t="s">
        <v>493</v>
      </c>
      <c r="AG32" s="345" t="s">
        <v>111</v>
      </c>
      <c r="AH32" s="345"/>
      <c r="AI32" s="345" t="s">
        <v>625</v>
      </c>
      <c r="AJ32" s="345" t="s">
        <v>491</v>
      </c>
      <c r="AK32" s="347" t="s">
        <v>493</v>
      </c>
      <c r="AL32" s="345"/>
    </row>
    <row r="33" spans="1:38" ht="16.5" hidden="1" customHeight="1">
      <c r="A33" s="344" t="s">
        <v>463</v>
      </c>
      <c r="B33" s="345" t="s">
        <v>626</v>
      </c>
      <c r="C33" s="345" t="s">
        <v>109</v>
      </c>
      <c r="D33" s="345" t="s">
        <v>110</v>
      </c>
      <c r="E33" s="345" t="s">
        <v>121</v>
      </c>
      <c r="F33" s="345" t="s">
        <v>465</v>
      </c>
      <c r="G33" s="345" t="s">
        <v>111</v>
      </c>
      <c r="H33" s="345" t="s">
        <v>111</v>
      </c>
      <c r="I33" s="345" t="s">
        <v>627</v>
      </c>
      <c r="J33" s="345"/>
      <c r="K33" s="346" t="s">
        <v>122</v>
      </c>
      <c r="L33" s="346" t="s">
        <v>608</v>
      </c>
      <c r="M33" s="346" t="s">
        <v>114</v>
      </c>
      <c r="N33" s="346"/>
      <c r="O33" s="346"/>
      <c r="P33" s="345" t="s">
        <v>628</v>
      </c>
      <c r="Q33" s="345" t="s">
        <v>482</v>
      </c>
      <c r="R33" s="347" t="s">
        <v>120</v>
      </c>
      <c r="S33" s="345" t="s">
        <v>111</v>
      </c>
      <c r="T33" s="345" t="s">
        <v>469</v>
      </c>
      <c r="U33" s="345" t="s">
        <v>618</v>
      </c>
      <c r="V33" s="345" t="s">
        <v>123</v>
      </c>
      <c r="W33" s="347" t="s">
        <v>544</v>
      </c>
      <c r="X33" s="345" t="s">
        <v>519</v>
      </c>
      <c r="Y33" s="345" t="s">
        <v>474</v>
      </c>
      <c r="Z33" s="347" t="s">
        <v>493</v>
      </c>
      <c r="AA33" s="345" t="s">
        <v>537</v>
      </c>
      <c r="AB33" s="345" t="s">
        <v>629</v>
      </c>
      <c r="AC33" s="345" t="s">
        <v>538</v>
      </c>
      <c r="AD33" s="347" t="s">
        <v>630</v>
      </c>
      <c r="AE33" s="345"/>
      <c r="AF33" s="347" t="s">
        <v>120</v>
      </c>
      <c r="AG33" s="345" t="s">
        <v>111</v>
      </c>
      <c r="AH33" s="345"/>
      <c r="AI33" s="345" t="s">
        <v>111</v>
      </c>
      <c r="AJ33" s="345" t="s">
        <v>631</v>
      </c>
      <c r="AK33" s="347" t="s">
        <v>493</v>
      </c>
      <c r="AL33" s="345"/>
    </row>
    <row r="34" spans="1:38" ht="16.5" hidden="1" customHeight="1">
      <c r="A34" s="344" t="s">
        <v>463</v>
      </c>
      <c r="B34" s="345" t="s">
        <v>632</v>
      </c>
      <c r="C34" s="345" t="s">
        <v>109</v>
      </c>
      <c r="D34" s="345" t="s">
        <v>110</v>
      </c>
      <c r="E34" s="345" t="s">
        <v>121</v>
      </c>
      <c r="F34" s="345" t="s">
        <v>465</v>
      </c>
      <c r="G34" s="345" t="s">
        <v>111</v>
      </c>
      <c r="H34" s="345" t="s">
        <v>111</v>
      </c>
      <c r="I34" s="345" t="s">
        <v>633</v>
      </c>
      <c r="J34" s="345"/>
      <c r="K34" s="346" t="s">
        <v>122</v>
      </c>
      <c r="L34" s="346" t="s">
        <v>608</v>
      </c>
      <c r="M34" s="346" t="s">
        <v>114</v>
      </c>
      <c r="N34" s="346"/>
      <c r="O34" s="346"/>
      <c r="P34" s="345" t="s">
        <v>634</v>
      </c>
      <c r="Q34" s="345" t="s">
        <v>468</v>
      </c>
      <c r="R34" s="347" t="s">
        <v>120</v>
      </c>
      <c r="S34" s="345" t="s">
        <v>111</v>
      </c>
      <c r="T34" s="345" t="s">
        <v>469</v>
      </c>
      <c r="U34" s="345" t="s">
        <v>117</v>
      </c>
      <c r="V34" s="345" t="s">
        <v>491</v>
      </c>
      <c r="W34" s="347" t="s">
        <v>635</v>
      </c>
      <c r="X34" s="345" t="s">
        <v>519</v>
      </c>
      <c r="Y34" s="345" t="s">
        <v>472</v>
      </c>
      <c r="Z34" s="347" t="s">
        <v>636</v>
      </c>
      <c r="AA34" s="345" t="s">
        <v>619</v>
      </c>
      <c r="AB34" s="345" t="s">
        <v>482</v>
      </c>
      <c r="AC34" s="345" t="s">
        <v>538</v>
      </c>
      <c r="AD34" s="347" t="s">
        <v>601</v>
      </c>
      <c r="AE34" s="345" t="s">
        <v>491</v>
      </c>
      <c r="AF34" s="347" t="s">
        <v>636</v>
      </c>
      <c r="AG34" s="345" t="s">
        <v>111</v>
      </c>
      <c r="AH34" s="345"/>
      <c r="AI34" s="345" t="s">
        <v>637</v>
      </c>
      <c r="AJ34" s="345" t="s">
        <v>491</v>
      </c>
      <c r="AK34" s="347" t="s">
        <v>636</v>
      </c>
      <c r="AL34" s="345"/>
    </row>
    <row r="35" spans="1:38" ht="16.5" hidden="1" customHeight="1">
      <c r="A35" s="344" t="s">
        <v>463</v>
      </c>
      <c r="B35" s="345" t="s">
        <v>638</v>
      </c>
      <c r="C35" s="345" t="s">
        <v>109</v>
      </c>
      <c r="D35" s="345" t="s">
        <v>110</v>
      </c>
      <c r="E35" s="345" t="s">
        <v>111</v>
      </c>
      <c r="F35" s="345" t="s">
        <v>465</v>
      </c>
      <c r="G35" s="345" t="s">
        <v>111</v>
      </c>
      <c r="H35" s="345" t="s">
        <v>111</v>
      </c>
      <c r="I35" s="345" t="s">
        <v>639</v>
      </c>
      <c r="J35" s="345"/>
      <c r="K35" s="346" t="s">
        <v>122</v>
      </c>
      <c r="L35" s="346" t="s">
        <v>113</v>
      </c>
      <c r="M35" s="346" t="s">
        <v>114</v>
      </c>
      <c r="N35" s="346"/>
      <c r="O35" s="346"/>
      <c r="P35" s="345" t="s">
        <v>640</v>
      </c>
      <c r="Q35" s="345" t="s">
        <v>468</v>
      </c>
      <c r="R35" s="347" t="s">
        <v>120</v>
      </c>
      <c r="S35" s="345" t="s">
        <v>111</v>
      </c>
      <c r="T35" s="345" t="s">
        <v>469</v>
      </c>
      <c r="U35" s="345" t="s">
        <v>117</v>
      </c>
      <c r="V35" s="345" t="s">
        <v>491</v>
      </c>
      <c r="W35" s="347" t="s">
        <v>635</v>
      </c>
      <c r="X35" s="345" t="s">
        <v>519</v>
      </c>
      <c r="Y35" s="345" t="s">
        <v>472</v>
      </c>
      <c r="Z35" s="347" t="s">
        <v>518</v>
      </c>
      <c r="AA35" s="345" t="s">
        <v>619</v>
      </c>
      <c r="AB35" s="345" t="s">
        <v>482</v>
      </c>
      <c r="AC35" s="345" t="s">
        <v>519</v>
      </c>
      <c r="AD35" s="347" t="s">
        <v>600</v>
      </c>
      <c r="AE35" s="345" t="s">
        <v>491</v>
      </c>
      <c r="AF35" s="347" t="s">
        <v>518</v>
      </c>
      <c r="AG35" s="345" t="s">
        <v>111</v>
      </c>
      <c r="AH35" s="345"/>
      <c r="AI35" s="345" t="s">
        <v>641</v>
      </c>
      <c r="AJ35" s="345" t="s">
        <v>491</v>
      </c>
      <c r="AK35" s="347" t="s">
        <v>518</v>
      </c>
      <c r="AL35" s="345"/>
    </row>
    <row r="36" spans="1:38" ht="16.5" hidden="1" customHeight="1">
      <c r="A36" s="344" t="s">
        <v>463</v>
      </c>
      <c r="B36" s="345" t="s">
        <v>642</v>
      </c>
      <c r="C36" s="345" t="s">
        <v>109</v>
      </c>
      <c r="D36" s="345" t="s">
        <v>110</v>
      </c>
      <c r="E36" s="345" t="s">
        <v>111</v>
      </c>
      <c r="F36" s="345" t="s">
        <v>465</v>
      </c>
      <c r="G36" s="345" t="s">
        <v>111</v>
      </c>
      <c r="H36" s="345" t="s">
        <v>111</v>
      </c>
      <c r="I36" s="345" t="s">
        <v>643</v>
      </c>
      <c r="J36" s="345"/>
      <c r="K36" s="346" t="s">
        <v>122</v>
      </c>
      <c r="L36" s="346" t="s">
        <v>608</v>
      </c>
      <c r="M36" s="346" t="s">
        <v>114</v>
      </c>
      <c r="N36" s="346"/>
      <c r="O36" s="346"/>
      <c r="P36" s="345" t="s">
        <v>644</v>
      </c>
      <c r="Q36" s="345" t="s">
        <v>468</v>
      </c>
      <c r="R36" s="347" t="s">
        <v>120</v>
      </c>
      <c r="S36" s="345" t="s">
        <v>111</v>
      </c>
      <c r="T36" s="345" t="s">
        <v>469</v>
      </c>
      <c r="U36" s="345" t="s">
        <v>117</v>
      </c>
      <c r="V36" s="345" t="s">
        <v>491</v>
      </c>
      <c r="W36" s="347" t="s">
        <v>635</v>
      </c>
      <c r="X36" s="345" t="s">
        <v>519</v>
      </c>
      <c r="Y36" s="345" t="s">
        <v>472</v>
      </c>
      <c r="Z36" s="347" t="s">
        <v>518</v>
      </c>
      <c r="AA36" s="345" t="s">
        <v>619</v>
      </c>
      <c r="AB36" s="345" t="s">
        <v>482</v>
      </c>
      <c r="AC36" s="345" t="s">
        <v>519</v>
      </c>
      <c r="AD36" s="347" t="s">
        <v>600</v>
      </c>
      <c r="AE36" s="345" t="s">
        <v>491</v>
      </c>
      <c r="AF36" s="347" t="s">
        <v>518</v>
      </c>
      <c r="AG36" s="345" t="s">
        <v>111</v>
      </c>
      <c r="AH36" s="345"/>
      <c r="AI36" s="345" t="s">
        <v>111</v>
      </c>
      <c r="AJ36" s="345" t="s">
        <v>491</v>
      </c>
      <c r="AK36" s="347" t="s">
        <v>518</v>
      </c>
      <c r="AL36" s="345"/>
    </row>
    <row r="37" spans="1:38" ht="16.5" hidden="1" customHeight="1">
      <c r="A37" s="344" t="s">
        <v>463</v>
      </c>
      <c r="B37" s="345" t="s">
        <v>645</v>
      </c>
      <c r="C37" s="345" t="s">
        <v>109</v>
      </c>
      <c r="D37" s="345" t="s">
        <v>110</v>
      </c>
      <c r="E37" s="345" t="s">
        <v>111</v>
      </c>
      <c r="F37" s="345" t="s">
        <v>465</v>
      </c>
      <c r="G37" s="345" t="s">
        <v>111</v>
      </c>
      <c r="H37" s="345" t="s">
        <v>111</v>
      </c>
      <c r="I37" s="345" t="s">
        <v>646</v>
      </c>
      <c r="J37" s="345"/>
      <c r="K37" s="346" t="s">
        <v>122</v>
      </c>
      <c r="L37" s="346" t="s">
        <v>608</v>
      </c>
      <c r="M37" s="346" t="s">
        <v>114</v>
      </c>
      <c r="N37" s="346"/>
      <c r="O37" s="346"/>
      <c r="P37" s="345" t="s">
        <v>647</v>
      </c>
      <c r="Q37" s="345" t="s">
        <v>468</v>
      </c>
      <c r="R37" s="347" t="s">
        <v>120</v>
      </c>
      <c r="S37" s="345" t="s">
        <v>111</v>
      </c>
      <c r="T37" s="345" t="s">
        <v>469</v>
      </c>
      <c r="U37" s="345" t="s">
        <v>117</v>
      </c>
      <c r="V37" s="345" t="s">
        <v>491</v>
      </c>
      <c r="W37" s="347" t="s">
        <v>635</v>
      </c>
      <c r="X37" s="345" t="s">
        <v>519</v>
      </c>
      <c r="Y37" s="345" t="s">
        <v>472</v>
      </c>
      <c r="Z37" s="347" t="s">
        <v>518</v>
      </c>
      <c r="AA37" s="345" t="s">
        <v>619</v>
      </c>
      <c r="AB37" s="345" t="s">
        <v>482</v>
      </c>
      <c r="AC37" s="345" t="s">
        <v>519</v>
      </c>
      <c r="AD37" s="347" t="s">
        <v>600</v>
      </c>
      <c r="AE37" s="345" t="s">
        <v>491</v>
      </c>
      <c r="AF37" s="347" t="s">
        <v>518</v>
      </c>
      <c r="AG37" s="345" t="s">
        <v>111</v>
      </c>
      <c r="AH37" s="345"/>
      <c r="AI37" s="345" t="s">
        <v>111</v>
      </c>
      <c r="AJ37" s="345" t="s">
        <v>491</v>
      </c>
      <c r="AK37" s="347" t="s">
        <v>518</v>
      </c>
      <c r="AL37" s="345"/>
    </row>
    <row r="38" spans="1:38" ht="16.5" hidden="1" customHeight="1">
      <c r="A38" s="344" t="s">
        <v>463</v>
      </c>
      <c r="B38" s="345" t="s">
        <v>648</v>
      </c>
      <c r="C38" s="345" t="s">
        <v>109</v>
      </c>
      <c r="D38" s="345" t="s">
        <v>110</v>
      </c>
      <c r="E38" s="345" t="s">
        <v>111</v>
      </c>
      <c r="F38" s="345" t="s">
        <v>465</v>
      </c>
      <c r="G38" s="345" t="s">
        <v>111</v>
      </c>
      <c r="H38" s="345" t="s">
        <v>111</v>
      </c>
      <c r="I38" s="345" t="s">
        <v>649</v>
      </c>
      <c r="J38" s="345"/>
      <c r="K38" s="346" t="s">
        <v>122</v>
      </c>
      <c r="L38" s="346" t="s">
        <v>650</v>
      </c>
      <c r="M38" s="346" t="s">
        <v>114</v>
      </c>
      <c r="N38" s="346"/>
      <c r="O38" s="346"/>
      <c r="P38" s="345" t="s">
        <v>651</v>
      </c>
      <c r="Q38" s="345" t="s">
        <v>468</v>
      </c>
      <c r="R38" s="347" t="s">
        <v>120</v>
      </c>
      <c r="S38" s="345" t="s">
        <v>111</v>
      </c>
      <c r="T38" s="345" t="s">
        <v>469</v>
      </c>
      <c r="U38" s="345" t="s">
        <v>117</v>
      </c>
      <c r="V38" s="345" t="s">
        <v>491</v>
      </c>
      <c r="W38" s="347" t="s">
        <v>635</v>
      </c>
      <c r="X38" s="345" t="s">
        <v>519</v>
      </c>
      <c r="Y38" s="345" t="s">
        <v>472</v>
      </c>
      <c r="Z38" s="347" t="s">
        <v>518</v>
      </c>
      <c r="AA38" s="345" t="s">
        <v>619</v>
      </c>
      <c r="AB38" s="345" t="s">
        <v>482</v>
      </c>
      <c r="AC38" s="345" t="s">
        <v>519</v>
      </c>
      <c r="AD38" s="347" t="s">
        <v>600</v>
      </c>
      <c r="AE38" s="345" t="s">
        <v>491</v>
      </c>
      <c r="AF38" s="347" t="s">
        <v>518</v>
      </c>
      <c r="AG38" s="345" t="s">
        <v>111</v>
      </c>
      <c r="AH38" s="345"/>
      <c r="AI38" s="345" t="s">
        <v>111</v>
      </c>
      <c r="AJ38" s="345" t="s">
        <v>491</v>
      </c>
      <c r="AK38" s="347" t="s">
        <v>518</v>
      </c>
      <c r="AL38" s="345"/>
    </row>
    <row r="39" spans="1:38" ht="16.5" hidden="1" customHeight="1">
      <c r="A39" s="344" t="s">
        <v>463</v>
      </c>
      <c r="B39" s="345" t="s">
        <v>652</v>
      </c>
      <c r="C39" s="345" t="s">
        <v>109</v>
      </c>
      <c r="D39" s="345" t="s">
        <v>110</v>
      </c>
      <c r="E39" s="345" t="s">
        <v>121</v>
      </c>
      <c r="F39" s="345" t="s">
        <v>465</v>
      </c>
      <c r="G39" s="345" t="s">
        <v>111</v>
      </c>
      <c r="H39" s="345" t="s">
        <v>111</v>
      </c>
      <c r="I39" s="345" t="s">
        <v>653</v>
      </c>
      <c r="J39" s="345"/>
      <c r="K39" s="346" t="s">
        <v>112</v>
      </c>
      <c r="L39" s="346" t="s">
        <v>608</v>
      </c>
      <c r="M39" s="346" t="s">
        <v>114</v>
      </c>
      <c r="N39" s="346"/>
      <c r="O39" s="346"/>
      <c r="P39" s="345" t="s">
        <v>654</v>
      </c>
      <c r="Q39" s="345" t="s">
        <v>468</v>
      </c>
      <c r="R39" s="347" t="s">
        <v>120</v>
      </c>
      <c r="S39" s="345" t="s">
        <v>111</v>
      </c>
      <c r="T39" s="345" t="s">
        <v>469</v>
      </c>
      <c r="U39" s="345" t="s">
        <v>117</v>
      </c>
      <c r="V39" s="345" t="s">
        <v>491</v>
      </c>
      <c r="W39" s="347" t="s">
        <v>635</v>
      </c>
      <c r="X39" s="345" t="s">
        <v>519</v>
      </c>
      <c r="Y39" s="345" t="s">
        <v>472</v>
      </c>
      <c r="Z39" s="347" t="s">
        <v>610</v>
      </c>
      <c r="AA39" s="345" t="s">
        <v>619</v>
      </c>
      <c r="AB39" s="345" t="s">
        <v>482</v>
      </c>
      <c r="AC39" s="345" t="s">
        <v>538</v>
      </c>
      <c r="AD39" s="347" t="s">
        <v>601</v>
      </c>
      <c r="AE39" s="345" t="s">
        <v>483</v>
      </c>
      <c r="AF39" s="347" t="s">
        <v>610</v>
      </c>
      <c r="AG39" s="345" t="s">
        <v>111</v>
      </c>
      <c r="AH39" s="345"/>
      <c r="AI39" s="345" t="s">
        <v>655</v>
      </c>
      <c r="AJ39" s="345" t="s">
        <v>483</v>
      </c>
      <c r="AK39" s="347" t="s">
        <v>610</v>
      </c>
      <c r="AL39" s="345"/>
    </row>
    <row r="40" spans="1:38" ht="16.5" hidden="1" customHeight="1">
      <c r="A40" s="344" t="s">
        <v>463</v>
      </c>
      <c r="B40" s="345" t="s">
        <v>656</v>
      </c>
      <c r="C40" s="345" t="s">
        <v>109</v>
      </c>
      <c r="D40" s="345" t="s">
        <v>110</v>
      </c>
      <c r="E40" s="345" t="s">
        <v>111</v>
      </c>
      <c r="F40" s="345" t="s">
        <v>465</v>
      </c>
      <c r="G40" s="345" t="s">
        <v>111</v>
      </c>
      <c r="H40" s="345" t="s">
        <v>111</v>
      </c>
      <c r="I40" s="345" t="s">
        <v>657</v>
      </c>
      <c r="J40" s="345"/>
      <c r="K40" s="346" t="s">
        <v>122</v>
      </c>
      <c r="L40" s="346" t="s">
        <v>608</v>
      </c>
      <c r="M40" s="346" t="s">
        <v>114</v>
      </c>
      <c r="N40" s="346"/>
      <c r="O40" s="346"/>
      <c r="P40" s="345" t="s">
        <v>658</v>
      </c>
      <c r="Q40" s="345" t="s">
        <v>468</v>
      </c>
      <c r="R40" s="347" t="s">
        <v>120</v>
      </c>
      <c r="S40" s="345" t="s">
        <v>111</v>
      </c>
      <c r="T40" s="345" t="s">
        <v>469</v>
      </c>
      <c r="U40" s="345" t="s">
        <v>117</v>
      </c>
      <c r="V40" s="345" t="s">
        <v>491</v>
      </c>
      <c r="W40" s="347" t="s">
        <v>659</v>
      </c>
      <c r="X40" s="345" t="s">
        <v>519</v>
      </c>
      <c r="Y40" s="345" t="s">
        <v>472</v>
      </c>
      <c r="Z40" s="347" t="s">
        <v>582</v>
      </c>
      <c r="AA40" s="345" t="s">
        <v>619</v>
      </c>
      <c r="AB40" s="345" t="s">
        <v>482</v>
      </c>
      <c r="AC40" s="345" t="s">
        <v>519</v>
      </c>
      <c r="AD40" s="347" t="s">
        <v>660</v>
      </c>
      <c r="AE40" s="345" t="s">
        <v>491</v>
      </c>
      <c r="AF40" s="347" t="s">
        <v>582</v>
      </c>
      <c r="AG40" s="345" t="s">
        <v>111</v>
      </c>
      <c r="AH40" s="345"/>
      <c r="AI40" s="345" t="s">
        <v>661</v>
      </c>
      <c r="AJ40" s="345" t="s">
        <v>491</v>
      </c>
      <c r="AK40" s="347" t="s">
        <v>582</v>
      </c>
      <c r="AL40" s="345"/>
    </row>
    <row r="41" spans="1:38" ht="16.5" hidden="1" customHeight="1">
      <c r="A41" s="344" t="s">
        <v>463</v>
      </c>
      <c r="B41" s="345" t="s">
        <v>662</v>
      </c>
      <c r="C41" s="345" t="s">
        <v>109</v>
      </c>
      <c r="D41" s="345" t="s">
        <v>110</v>
      </c>
      <c r="E41" s="345" t="s">
        <v>111</v>
      </c>
      <c r="F41" s="345" t="s">
        <v>465</v>
      </c>
      <c r="G41" s="345" t="s">
        <v>111</v>
      </c>
      <c r="H41" s="345" t="s">
        <v>111</v>
      </c>
      <c r="I41" s="345" t="s">
        <v>663</v>
      </c>
      <c r="J41" s="345"/>
      <c r="K41" s="346" t="s">
        <v>122</v>
      </c>
      <c r="L41" s="346" t="s">
        <v>608</v>
      </c>
      <c r="M41" s="346" t="s">
        <v>114</v>
      </c>
      <c r="N41" s="346"/>
      <c r="O41" s="346"/>
      <c r="P41" s="345" t="s">
        <v>664</v>
      </c>
      <c r="Q41" s="345" t="s">
        <v>468</v>
      </c>
      <c r="R41" s="347" t="s">
        <v>120</v>
      </c>
      <c r="S41" s="345" t="s">
        <v>111</v>
      </c>
      <c r="T41" s="345" t="s">
        <v>469</v>
      </c>
      <c r="U41" s="345" t="s">
        <v>117</v>
      </c>
      <c r="V41" s="345" t="s">
        <v>491</v>
      </c>
      <c r="W41" s="347" t="s">
        <v>659</v>
      </c>
      <c r="X41" s="345" t="s">
        <v>519</v>
      </c>
      <c r="Y41" s="345" t="s">
        <v>472</v>
      </c>
      <c r="Z41" s="347" t="s">
        <v>518</v>
      </c>
      <c r="AA41" s="345" t="s">
        <v>619</v>
      </c>
      <c r="AB41" s="345" t="s">
        <v>482</v>
      </c>
      <c r="AC41" s="345" t="s">
        <v>519</v>
      </c>
      <c r="AD41" s="347" t="s">
        <v>600</v>
      </c>
      <c r="AE41" s="345" t="s">
        <v>491</v>
      </c>
      <c r="AF41" s="347" t="s">
        <v>518</v>
      </c>
      <c r="AG41" s="345" t="s">
        <v>111</v>
      </c>
      <c r="AH41" s="345"/>
      <c r="AI41" s="345" t="s">
        <v>665</v>
      </c>
      <c r="AJ41" s="345" t="s">
        <v>491</v>
      </c>
      <c r="AK41" s="347" t="s">
        <v>518</v>
      </c>
      <c r="AL41" s="345"/>
    </row>
    <row r="42" spans="1:38" ht="16.5" hidden="1" customHeight="1">
      <c r="A42" s="344" t="s">
        <v>463</v>
      </c>
      <c r="B42" s="345" t="s">
        <v>666</v>
      </c>
      <c r="C42" s="345" t="s">
        <v>109</v>
      </c>
      <c r="D42" s="345" t="s">
        <v>110</v>
      </c>
      <c r="E42" s="345" t="s">
        <v>121</v>
      </c>
      <c r="F42" s="345" t="s">
        <v>465</v>
      </c>
      <c r="G42" s="345" t="s">
        <v>111</v>
      </c>
      <c r="H42" s="345" t="s">
        <v>111</v>
      </c>
      <c r="I42" s="345" t="s">
        <v>667</v>
      </c>
      <c r="J42" s="345"/>
      <c r="K42" s="346" t="s">
        <v>122</v>
      </c>
      <c r="L42" s="346" t="s">
        <v>608</v>
      </c>
      <c r="M42" s="346" t="s">
        <v>114</v>
      </c>
      <c r="N42" s="346"/>
      <c r="O42" s="346"/>
      <c r="P42" s="345" t="s">
        <v>668</v>
      </c>
      <c r="Q42" s="345" t="s">
        <v>482</v>
      </c>
      <c r="R42" s="347" t="s">
        <v>120</v>
      </c>
      <c r="S42" s="345" t="s">
        <v>111</v>
      </c>
      <c r="T42" s="345" t="s">
        <v>469</v>
      </c>
      <c r="U42" s="345" t="s">
        <v>669</v>
      </c>
      <c r="V42" s="345" t="s">
        <v>123</v>
      </c>
      <c r="W42" s="347" t="s">
        <v>659</v>
      </c>
      <c r="X42" s="345" t="s">
        <v>519</v>
      </c>
      <c r="Y42" s="345" t="s">
        <v>123</v>
      </c>
      <c r="Z42" s="347" t="s">
        <v>520</v>
      </c>
      <c r="AA42" s="345" t="s">
        <v>474</v>
      </c>
      <c r="AB42" s="345" t="s">
        <v>553</v>
      </c>
      <c r="AC42" s="345" t="s">
        <v>519</v>
      </c>
      <c r="AD42" s="347" t="s">
        <v>520</v>
      </c>
      <c r="AE42" s="345"/>
      <c r="AF42" s="347" t="s">
        <v>120</v>
      </c>
      <c r="AG42" s="345" t="s">
        <v>111</v>
      </c>
      <c r="AH42" s="345"/>
      <c r="AI42" s="345" t="s">
        <v>111</v>
      </c>
      <c r="AJ42" s="345" t="s">
        <v>474</v>
      </c>
      <c r="AK42" s="347" t="s">
        <v>520</v>
      </c>
      <c r="AL42" s="345"/>
    </row>
    <row r="43" spans="1:38" ht="16.5" hidden="1" customHeight="1">
      <c r="A43" s="344" t="s">
        <v>463</v>
      </c>
      <c r="B43" s="345" t="s">
        <v>670</v>
      </c>
      <c r="C43" s="345" t="s">
        <v>109</v>
      </c>
      <c r="D43" s="345" t="s">
        <v>110</v>
      </c>
      <c r="E43" s="345" t="s">
        <v>121</v>
      </c>
      <c r="F43" s="345" t="s">
        <v>465</v>
      </c>
      <c r="G43" s="345" t="s">
        <v>111</v>
      </c>
      <c r="H43" s="345" t="s">
        <v>111</v>
      </c>
      <c r="I43" s="345" t="s">
        <v>671</v>
      </c>
      <c r="J43" s="345"/>
      <c r="K43" s="346" t="s">
        <v>122</v>
      </c>
      <c r="L43" s="346" t="s">
        <v>608</v>
      </c>
      <c r="M43" s="346" t="s">
        <v>114</v>
      </c>
      <c r="N43" s="346"/>
      <c r="O43" s="346"/>
      <c r="P43" s="345" t="s">
        <v>672</v>
      </c>
      <c r="Q43" s="345" t="s">
        <v>468</v>
      </c>
      <c r="R43" s="347" t="s">
        <v>120</v>
      </c>
      <c r="S43" s="345" t="s">
        <v>111</v>
      </c>
      <c r="T43" s="345" t="s">
        <v>469</v>
      </c>
      <c r="U43" s="345" t="s">
        <v>117</v>
      </c>
      <c r="V43" s="345" t="s">
        <v>123</v>
      </c>
      <c r="W43" s="347" t="s">
        <v>659</v>
      </c>
      <c r="X43" s="345" t="s">
        <v>519</v>
      </c>
      <c r="Y43" s="345" t="s">
        <v>472</v>
      </c>
      <c r="Z43" s="347" t="s">
        <v>493</v>
      </c>
      <c r="AA43" s="345" t="s">
        <v>619</v>
      </c>
      <c r="AB43" s="345" t="s">
        <v>482</v>
      </c>
      <c r="AC43" s="345" t="s">
        <v>519</v>
      </c>
      <c r="AD43" s="347" t="s">
        <v>601</v>
      </c>
      <c r="AE43" s="345" t="s">
        <v>491</v>
      </c>
      <c r="AF43" s="347" t="s">
        <v>493</v>
      </c>
      <c r="AG43" s="345" t="s">
        <v>111</v>
      </c>
      <c r="AH43" s="345"/>
      <c r="AI43" s="345" t="s">
        <v>111</v>
      </c>
      <c r="AJ43" s="345" t="s">
        <v>491</v>
      </c>
      <c r="AK43" s="347" t="s">
        <v>493</v>
      </c>
      <c r="AL43" s="345"/>
    </row>
    <row r="44" spans="1:38" ht="16.5" hidden="1" customHeight="1">
      <c r="A44" s="344" t="s">
        <v>463</v>
      </c>
      <c r="B44" s="345" t="s">
        <v>673</v>
      </c>
      <c r="C44" s="345" t="s">
        <v>109</v>
      </c>
      <c r="D44" s="345" t="s">
        <v>110</v>
      </c>
      <c r="E44" s="345" t="s">
        <v>121</v>
      </c>
      <c r="F44" s="345" t="s">
        <v>465</v>
      </c>
      <c r="G44" s="345" t="s">
        <v>111</v>
      </c>
      <c r="H44" s="345" t="s">
        <v>111</v>
      </c>
      <c r="I44" s="345" t="s">
        <v>674</v>
      </c>
      <c r="J44" s="345"/>
      <c r="K44" s="346" t="s">
        <v>122</v>
      </c>
      <c r="L44" s="346" t="s">
        <v>608</v>
      </c>
      <c r="M44" s="346" t="s">
        <v>114</v>
      </c>
      <c r="N44" s="346"/>
      <c r="O44" s="346"/>
      <c r="P44" s="345" t="s">
        <v>675</v>
      </c>
      <c r="Q44" s="345" t="s">
        <v>468</v>
      </c>
      <c r="R44" s="347" t="s">
        <v>120</v>
      </c>
      <c r="S44" s="345" t="s">
        <v>111</v>
      </c>
      <c r="T44" s="345" t="s">
        <v>469</v>
      </c>
      <c r="U44" s="345" t="s">
        <v>117</v>
      </c>
      <c r="V44" s="345" t="s">
        <v>123</v>
      </c>
      <c r="W44" s="347" t="s">
        <v>659</v>
      </c>
      <c r="X44" s="345" t="s">
        <v>519</v>
      </c>
      <c r="Y44" s="345" t="s">
        <v>472</v>
      </c>
      <c r="Z44" s="347" t="s">
        <v>493</v>
      </c>
      <c r="AA44" s="345" t="s">
        <v>619</v>
      </c>
      <c r="AB44" s="345" t="s">
        <v>482</v>
      </c>
      <c r="AC44" s="345" t="s">
        <v>538</v>
      </c>
      <c r="AD44" s="347" t="s">
        <v>601</v>
      </c>
      <c r="AE44" s="345" t="s">
        <v>491</v>
      </c>
      <c r="AF44" s="347" t="s">
        <v>493</v>
      </c>
      <c r="AG44" s="345" t="s">
        <v>111</v>
      </c>
      <c r="AH44" s="345"/>
      <c r="AI44" s="345" t="s">
        <v>111</v>
      </c>
      <c r="AJ44" s="345" t="s">
        <v>491</v>
      </c>
      <c r="AK44" s="347" t="s">
        <v>493</v>
      </c>
      <c r="AL44" s="345"/>
    </row>
    <row r="45" spans="1:38" ht="16.5" hidden="1" customHeight="1">
      <c r="A45" s="344" t="s">
        <v>463</v>
      </c>
      <c r="B45" s="345" t="s">
        <v>676</v>
      </c>
      <c r="C45" s="345" t="s">
        <v>109</v>
      </c>
      <c r="D45" s="345" t="s">
        <v>110</v>
      </c>
      <c r="E45" s="345" t="s">
        <v>121</v>
      </c>
      <c r="F45" s="345" t="s">
        <v>465</v>
      </c>
      <c r="G45" s="345" t="s">
        <v>111</v>
      </c>
      <c r="H45" s="345" t="s">
        <v>111</v>
      </c>
      <c r="I45" s="345" t="s">
        <v>677</v>
      </c>
      <c r="J45" s="345"/>
      <c r="K45" s="346" t="s">
        <v>122</v>
      </c>
      <c r="L45" s="346" t="s">
        <v>608</v>
      </c>
      <c r="M45" s="346" t="s">
        <v>114</v>
      </c>
      <c r="N45" s="346"/>
      <c r="O45" s="346"/>
      <c r="P45" s="345" t="s">
        <v>678</v>
      </c>
      <c r="Q45" s="345" t="s">
        <v>468</v>
      </c>
      <c r="R45" s="347" t="s">
        <v>120</v>
      </c>
      <c r="S45" s="345" t="s">
        <v>111</v>
      </c>
      <c r="T45" s="345" t="s">
        <v>469</v>
      </c>
      <c r="U45" s="345" t="s">
        <v>117</v>
      </c>
      <c r="V45" s="345" t="s">
        <v>123</v>
      </c>
      <c r="W45" s="347" t="s">
        <v>659</v>
      </c>
      <c r="X45" s="345" t="s">
        <v>519</v>
      </c>
      <c r="Y45" s="345" t="s">
        <v>472</v>
      </c>
      <c r="Z45" s="347" t="s">
        <v>487</v>
      </c>
      <c r="AA45" s="345" t="s">
        <v>474</v>
      </c>
      <c r="AB45" s="345" t="s">
        <v>482</v>
      </c>
      <c r="AC45" s="345" t="s">
        <v>519</v>
      </c>
      <c r="AD45" s="347" t="s">
        <v>601</v>
      </c>
      <c r="AE45" s="345" t="s">
        <v>123</v>
      </c>
      <c r="AF45" s="347" t="s">
        <v>487</v>
      </c>
      <c r="AG45" s="345" t="s">
        <v>111</v>
      </c>
      <c r="AH45" s="345"/>
      <c r="AI45" s="345" t="s">
        <v>111</v>
      </c>
      <c r="AJ45" s="345" t="s">
        <v>123</v>
      </c>
      <c r="AK45" s="347" t="s">
        <v>487</v>
      </c>
      <c r="AL45" s="345"/>
    </row>
    <row r="46" spans="1:38" ht="16.5" hidden="1" customHeight="1">
      <c r="A46" s="344" t="s">
        <v>463</v>
      </c>
      <c r="B46" s="345" t="s">
        <v>679</v>
      </c>
      <c r="C46" s="345" t="s">
        <v>109</v>
      </c>
      <c r="D46" s="345" t="s">
        <v>110</v>
      </c>
      <c r="E46" s="345" t="s">
        <v>121</v>
      </c>
      <c r="F46" s="345" t="s">
        <v>465</v>
      </c>
      <c r="G46" s="345" t="s">
        <v>111</v>
      </c>
      <c r="H46" s="345" t="s">
        <v>111</v>
      </c>
      <c r="I46" s="345" t="s">
        <v>680</v>
      </c>
      <c r="J46" s="345"/>
      <c r="K46" s="346" t="s">
        <v>122</v>
      </c>
      <c r="L46" s="346" t="s">
        <v>608</v>
      </c>
      <c r="M46" s="346" t="s">
        <v>114</v>
      </c>
      <c r="N46" s="346"/>
      <c r="O46" s="346"/>
      <c r="P46" s="345" t="s">
        <v>681</v>
      </c>
      <c r="Q46" s="345" t="s">
        <v>468</v>
      </c>
      <c r="R46" s="347" t="s">
        <v>120</v>
      </c>
      <c r="S46" s="345" t="s">
        <v>111</v>
      </c>
      <c r="T46" s="345" t="s">
        <v>469</v>
      </c>
      <c r="U46" s="345" t="s">
        <v>117</v>
      </c>
      <c r="V46" s="345" t="s">
        <v>123</v>
      </c>
      <c r="W46" s="347" t="s">
        <v>659</v>
      </c>
      <c r="X46" s="345" t="s">
        <v>519</v>
      </c>
      <c r="Y46" s="345" t="s">
        <v>472</v>
      </c>
      <c r="Z46" s="347" t="s">
        <v>493</v>
      </c>
      <c r="AA46" s="345" t="s">
        <v>474</v>
      </c>
      <c r="AB46" s="345" t="s">
        <v>482</v>
      </c>
      <c r="AC46" s="345" t="s">
        <v>519</v>
      </c>
      <c r="AD46" s="347" t="s">
        <v>601</v>
      </c>
      <c r="AE46" s="345" t="s">
        <v>491</v>
      </c>
      <c r="AF46" s="347" t="s">
        <v>493</v>
      </c>
      <c r="AG46" s="345" t="s">
        <v>111</v>
      </c>
      <c r="AH46" s="345"/>
      <c r="AI46" s="345" t="s">
        <v>111</v>
      </c>
      <c r="AJ46" s="345" t="s">
        <v>491</v>
      </c>
      <c r="AK46" s="347" t="s">
        <v>493</v>
      </c>
      <c r="AL46" s="345"/>
    </row>
    <row r="47" spans="1:38" ht="16.5" hidden="1" customHeight="1">
      <c r="A47" s="344" t="s">
        <v>463</v>
      </c>
      <c r="B47" s="345" t="s">
        <v>682</v>
      </c>
      <c r="C47" s="345" t="s">
        <v>109</v>
      </c>
      <c r="D47" s="345" t="s">
        <v>110</v>
      </c>
      <c r="E47" s="345" t="s">
        <v>111</v>
      </c>
      <c r="F47" s="345" t="s">
        <v>465</v>
      </c>
      <c r="G47" s="345" t="s">
        <v>111</v>
      </c>
      <c r="H47" s="345" t="s">
        <v>111</v>
      </c>
      <c r="I47" s="345" t="s">
        <v>683</v>
      </c>
      <c r="J47" s="345"/>
      <c r="K47" s="346" t="s">
        <v>122</v>
      </c>
      <c r="L47" s="346" t="s">
        <v>608</v>
      </c>
      <c r="M47" s="346" t="s">
        <v>114</v>
      </c>
      <c r="N47" s="346"/>
      <c r="O47" s="346"/>
      <c r="P47" s="345" t="s">
        <v>684</v>
      </c>
      <c r="Q47" s="345" t="s">
        <v>468</v>
      </c>
      <c r="R47" s="347" t="s">
        <v>120</v>
      </c>
      <c r="S47" s="345" t="s">
        <v>111</v>
      </c>
      <c r="T47" s="345" t="s">
        <v>469</v>
      </c>
      <c r="U47" s="345" t="s">
        <v>117</v>
      </c>
      <c r="V47" s="345" t="s">
        <v>491</v>
      </c>
      <c r="W47" s="347" t="s">
        <v>659</v>
      </c>
      <c r="X47" s="345" t="s">
        <v>519</v>
      </c>
      <c r="Y47" s="345" t="s">
        <v>472</v>
      </c>
      <c r="Z47" s="347" t="s">
        <v>570</v>
      </c>
      <c r="AA47" s="345" t="s">
        <v>685</v>
      </c>
      <c r="AB47" s="345" t="s">
        <v>482</v>
      </c>
      <c r="AC47" s="345" t="s">
        <v>538</v>
      </c>
      <c r="AD47" s="347" t="s">
        <v>601</v>
      </c>
      <c r="AE47" s="345" t="s">
        <v>491</v>
      </c>
      <c r="AF47" s="347" t="s">
        <v>570</v>
      </c>
      <c r="AG47" s="345" t="s">
        <v>111</v>
      </c>
      <c r="AH47" s="345"/>
      <c r="AI47" s="345" t="s">
        <v>111</v>
      </c>
      <c r="AJ47" s="345" t="s">
        <v>491</v>
      </c>
      <c r="AK47" s="347" t="s">
        <v>570</v>
      </c>
      <c r="AL47" s="345"/>
    </row>
    <row r="48" spans="1:38" ht="16.5" hidden="1" customHeight="1">
      <c r="A48" s="344" t="s">
        <v>463</v>
      </c>
      <c r="B48" s="345" t="s">
        <v>686</v>
      </c>
      <c r="C48" s="345" t="s">
        <v>109</v>
      </c>
      <c r="D48" s="345" t="s">
        <v>110</v>
      </c>
      <c r="E48" s="345" t="s">
        <v>111</v>
      </c>
      <c r="F48" s="345" t="s">
        <v>465</v>
      </c>
      <c r="G48" s="345" t="s">
        <v>111</v>
      </c>
      <c r="H48" s="345" t="s">
        <v>111</v>
      </c>
      <c r="I48" s="345" t="s">
        <v>687</v>
      </c>
      <c r="J48" s="345"/>
      <c r="K48" s="346" t="s">
        <v>112</v>
      </c>
      <c r="L48" s="346" t="s">
        <v>113</v>
      </c>
      <c r="M48" s="346" t="s">
        <v>114</v>
      </c>
      <c r="N48" s="346"/>
      <c r="O48" s="346"/>
      <c r="P48" s="345" t="s">
        <v>688</v>
      </c>
      <c r="Q48" s="345" t="s">
        <v>468</v>
      </c>
      <c r="R48" s="347" t="s">
        <v>120</v>
      </c>
      <c r="S48" s="345" t="s">
        <v>111</v>
      </c>
      <c r="T48" s="345" t="s">
        <v>469</v>
      </c>
      <c r="U48" s="345" t="s">
        <v>117</v>
      </c>
      <c r="V48" s="345" t="s">
        <v>491</v>
      </c>
      <c r="W48" s="347" t="s">
        <v>659</v>
      </c>
      <c r="X48" s="345" t="s">
        <v>519</v>
      </c>
      <c r="Y48" s="345" t="s">
        <v>472</v>
      </c>
      <c r="Z48" s="347" t="s">
        <v>493</v>
      </c>
      <c r="AA48" s="345" t="s">
        <v>689</v>
      </c>
      <c r="AB48" s="345" t="s">
        <v>482</v>
      </c>
      <c r="AC48" s="345" t="s">
        <v>538</v>
      </c>
      <c r="AD48" s="347" t="s">
        <v>624</v>
      </c>
      <c r="AE48" s="345" t="s">
        <v>491</v>
      </c>
      <c r="AF48" s="347" t="s">
        <v>493</v>
      </c>
      <c r="AG48" s="345" t="s">
        <v>111</v>
      </c>
      <c r="AH48" s="345"/>
      <c r="AI48" s="345" t="s">
        <v>111</v>
      </c>
      <c r="AJ48" s="345" t="s">
        <v>491</v>
      </c>
      <c r="AK48" s="347" t="s">
        <v>493</v>
      </c>
      <c r="AL48" s="345"/>
    </row>
    <row r="49" spans="1:38" ht="16.5" hidden="1" customHeight="1">
      <c r="A49" s="344" t="s">
        <v>463</v>
      </c>
      <c r="B49" s="345" t="s">
        <v>690</v>
      </c>
      <c r="C49" s="345" t="s">
        <v>109</v>
      </c>
      <c r="D49" s="345" t="s">
        <v>110</v>
      </c>
      <c r="E49" s="345" t="s">
        <v>111</v>
      </c>
      <c r="F49" s="345" t="s">
        <v>465</v>
      </c>
      <c r="G49" s="345" t="s">
        <v>111</v>
      </c>
      <c r="H49" s="345" t="s">
        <v>111</v>
      </c>
      <c r="I49" s="345" t="s">
        <v>691</v>
      </c>
      <c r="J49" s="345"/>
      <c r="K49" s="346" t="s">
        <v>112</v>
      </c>
      <c r="L49" s="346" t="s">
        <v>113</v>
      </c>
      <c r="M49" s="346" t="s">
        <v>114</v>
      </c>
      <c r="N49" s="346"/>
      <c r="O49" s="346"/>
      <c r="P49" s="345" t="s">
        <v>692</v>
      </c>
      <c r="Q49" s="345" t="s">
        <v>468</v>
      </c>
      <c r="R49" s="347" t="s">
        <v>120</v>
      </c>
      <c r="S49" s="345" t="s">
        <v>111</v>
      </c>
      <c r="T49" s="345" t="s">
        <v>469</v>
      </c>
      <c r="U49" s="345" t="s">
        <v>618</v>
      </c>
      <c r="V49" s="345" t="s">
        <v>491</v>
      </c>
      <c r="W49" s="347" t="s">
        <v>659</v>
      </c>
      <c r="X49" s="345" t="s">
        <v>519</v>
      </c>
      <c r="Y49" s="345" t="s">
        <v>472</v>
      </c>
      <c r="Z49" s="347" t="s">
        <v>493</v>
      </c>
      <c r="AA49" s="345" t="s">
        <v>474</v>
      </c>
      <c r="AB49" s="345" t="s">
        <v>482</v>
      </c>
      <c r="AC49" s="345" t="s">
        <v>519</v>
      </c>
      <c r="AD49" s="347" t="s">
        <v>624</v>
      </c>
      <c r="AE49" s="345" t="s">
        <v>491</v>
      </c>
      <c r="AF49" s="347" t="s">
        <v>493</v>
      </c>
      <c r="AG49" s="345" t="s">
        <v>111</v>
      </c>
      <c r="AH49" s="345"/>
      <c r="AI49" s="345" t="s">
        <v>111</v>
      </c>
      <c r="AJ49" s="345" t="s">
        <v>491</v>
      </c>
      <c r="AK49" s="347" t="s">
        <v>493</v>
      </c>
      <c r="AL49" s="345"/>
    </row>
    <row r="50" spans="1:38" ht="16.5" hidden="1" customHeight="1">
      <c r="A50" s="344" t="s">
        <v>463</v>
      </c>
      <c r="B50" s="345" t="s">
        <v>693</v>
      </c>
      <c r="C50" s="345" t="s">
        <v>589</v>
      </c>
      <c r="D50" s="345" t="s">
        <v>110</v>
      </c>
      <c r="E50" s="345" t="s">
        <v>590</v>
      </c>
      <c r="F50" s="345" t="s">
        <v>591</v>
      </c>
      <c r="G50" s="345" t="s">
        <v>111</v>
      </c>
      <c r="H50" s="345" t="s">
        <v>111</v>
      </c>
      <c r="I50" s="345" t="s">
        <v>694</v>
      </c>
      <c r="J50" s="345"/>
      <c r="K50" s="346" t="s">
        <v>122</v>
      </c>
      <c r="L50" s="346" t="s">
        <v>608</v>
      </c>
      <c r="M50" s="346" t="s">
        <v>114</v>
      </c>
      <c r="N50" s="346"/>
      <c r="O50" s="346"/>
      <c r="P50" s="345" t="s">
        <v>695</v>
      </c>
      <c r="Q50" s="345" t="s">
        <v>468</v>
      </c>
      <c r="R50" s="347" t="s">
        <v>120</v>
      </c>
      <c r="S50" s="345" t="s">
        <v>111</v>
      </c>
      <c r="T50" s="345" t="s">
        <v>469</v>
      </c>
      <c r="U50" s="345" t="s">
        <v>696</v>
      </c>
      <c r="V50" s="345" t="s">
        <v>491</v>
      </c>
      <c r="W50" s="347" t="s">
        <v>659</v>
      </c>
      <c r="X50" s="345" t="s">
        <v>595</v>
      </c>
      <c r="Y50" s="345" t="s">
        <v>472</v>
      </c>
      <c r="Z50" s="347" t="s">
        <v>697</v>
      </c>
      <c r="AA50" s="345" t="s">
        <v>474</v>
      </c>
      <c r="AB50" s="345" t="s">
        <v>482</v>
      </c>
      <c r="AC50" s="345" t="s">
        <v>119</v>
      </c>
      <c r="AD50" s="347" t="s">
        <v>697</v>
      </c>
      <c r="AE50" s="345" t="s">
        <v>483</v>
      </c>
      <c r="AF50" s="347" t="s">
        <v>697</v>
      </c>
      <c r="AG50" s="345" t="s">
        <v>111</v>
      </c>
      <c r="AH50" s="345"/>
      <c r="AI50" s="345" t="s">
        <v>111</v>
      </c>
      <c r="AJ50" s="345" t="s">
        <v>483</v>
      </c>
      <c r="AK50" s="347" t="s">
        <v>697</v>
      </c>
      <c r="AL50" s="345"/>
    </row>
    <row r="51" spans="1:38" ht="16.5" hidden="1" customHeight="1">
      <c r="A51" s="344" t="s">
        <v>463</v>
      </c>
      <c r="B51" s="345" t="s">
        <v>698</v>
      </c>
      <c r="C51" s="345" t="s">
        <v>589</v>
      </c>
      <c r="D51" s="345" t="s">
        <v>110</v>
      </c>
      <c r="E51" s="345" t="s">
        <v>590</v>
      </c>
      <c r="F51" s="345" t="s">
        <v>591</v>
      </c>
      <c r="G51" s="345" t="s">
        <v>111</v>
      </c>
      <c r="H51" s="345" t="s">
        <v>111</v>
      </c>
      <c r="I51" s="345" t="s">
        <v>699</v>
      </c>
      <c r="J51" s="345"/>
      <c r="K51" s="346" t="s">
        <v>122</v>
      </c>
      <c r="L51" s="346" t="s">
        <v>608</v>
      </c>
      <c r="M51" s="346" t="s">
        <v>114</v>
      </c>
      <c r="N51" s="346"/>
      <c r="O51" s="346"/>
      <c r="P51" s="345" t="s">
        <v>700</v>
      </c>
      <c r="Q51" s="345" t="s">
        <v>468</v>
      </c>
      <c r="R51" s="347" t="s">
        <v>120</v>
      </c>
      <c r="S51" s="345" t="s">
        <v>111</v>
      </c>
      <c r="T51" s="345" t="s">
        <v>469</v>
      </c>
      <c r="U51" s="345" t="s">
        <v>696</v>
      </c>
      <c r="V51" s="345" t="s">
        <v>491</v>
      </c>
      <c r="W51" s="347" t="s">
        <v>659</v>
      </c>
      <c r="X51" s="345" t="s">
        <v>595</v>
      </c>
      <c r="Y51" s="345" t="s">
        <v>472</v>
      </c>
      <c r="Z51" s="347" t="s">
        <v>701</v>
      </c>
      <c r="AA51" s="345" t="s">
        <v>474</v>
      </c>
      <c r="AB51" s="345" t="s">
        <v>482</v>
      </c>
      <c r="AC51" s="345" t="s">
        <v>119</v>
      </c>
      <c r="AD51" s="347" t="s">
        <v>697</v>
      </c>
      <c r="AE51" s="345" t="s">
        <v>491</v>
      </c>
      <c r="AF51" s="347" t="s">
        <v>701</v>
      </c>
      <c r="AG51" s="345" t="s">
        <v>111</v>
      </c>
      <c r="AH51" s="345"/>
      <c r="AI51" s="345" t="s">
        <v>111</v>
      </c>
      <c r="AJ51" s="345" t="s">
        <v>491</v>
      </c>
      <c r="AK51" s="347" t="s">
        <v>701</v>
      </c>
      <c r="AL51" s="345"/>
    </row>
    <row r="52" spans="1:38" ht="16.5" hidden="1" customHeight="1">
      <c r="A52" s="344" t="s">
        <v>463</v>
      </c>
      <c r="B52" s="345" t="s">
        <v>702</v>
      </c>
      <c r="C52" s="345" t="s">
        <v>109</v>
      </c>
      <c r="D52" s="345" t="s">
        <v>110</v>
      </c>
      <c r="E52" s="345" t="s">
        <v>111</v>
      </c>
      <c r="F52" s="345" t="s">
        <v>465</v>
      </c>
      <c r="G52" s="345" t="s">
        <v>111</v>
      </c>
      <c r="H52" s="345" t="s">
        <v>111</v>
      </c>
      <c r="I52" s="345" t="s">
        <v>703</v>
      </c>
      <c r="J52" s="345"/>
      <c r="K52" s="346" t="s">
        <v>112</v>
      </c>
      <c r="L52" s="346" t="s">
        <v>608</v>
      </c>
      <c r="M52" s="346" t="s">
        <v>114</v>
      </c>
      <c r="N52" s="346"/>
      <c r="O52" s="346"/>
      <c r="P52" s="345" t="s">
        <v>704</v>
      </c>
      <c r="Q52" s="345" t="s">
        <v>468</v>
      </c>
      <c r="R52" s="347" t="s">
        <v>120</v>
      </c>
      <c r="S52" s="345" t="s">
        <v>111</v>
      </c>
      <c r="T52" s="345" t="s">
        <v>469</v>
      </c>
      <c r="U52" s="345" t="s">
        <v>117</v>
      </c>
      <c r="V52" s="345" t="s">
        <v>491</v>
      </c>
      <c r="W52" s="347" t="s">
        <v>659</v>
      </c>
      <c r="X52" s="345" t="s">
        <v>519</v>
      </c>
      <c r="Y52" s="345" t="s">
        <v>472</v>
      </c>
      <c r="Z52" s="347" t="s">
        <v>705</v>
      </c>
      <c r="AA52" s="345" t="s">
        <v>619</v>
      </c>
      <c r="AB52" s="345" t="s">
        <v>553</v>
      </c>
      <c r="AC52" s="345"/>
      <c r="AD52" s="347" t="s">
        <v>706</v>
      </c>
      <c r="AE52" s="345" t="s">
        <v>619</v>
      </c>
      <c r="AF52" s="347" t="s">
        <v>705</v>
      </c>
      <c r="AG52" s="345" t="s">
        <v>111</v>
      </c>
      <c r="AH52" s="345"/>
      <c r="AI52" s="345" t="s">
        <v>111</v>
      </c>
      <c r="AJ52" s="345" t="s">
        <v>619</v>
      </c>
      <c r="AK52" s="347" t="s">
        <v>705</v>
      </c>
      <c r="AL52" s="345"/>
    </row>
    <row r="53" spans="1:38" ht="16.5" hidden="1" customHeight="1">
      <c r="A53" s="344" t="s">
        <v>463</v>
      </c>
      <c r="B53" s="345" t="s">
        <v>707</v>
      </c>
      <c r="C53" s="345" t="s">
        <v>589</v>
      </c>
      <c r="D53" s="345" t="s">
        <v>110</v>
      </c>
      <c r="E53" s="345" t="s">
        <v>708</v>
      </c>
      <c r="F53" s="345" t="s">
        <v>591</v>
      </c>
      <c r="G53" s="345" t="s">
        <v>111</v>
      </c>
      <c r="H53" s="345" t="s">
        <v>111</v>
      </c>
      <c r="I53" s="345" t="s">
        <v>709</v>
      </c>
      <c r="J53" s="345"/>
      <c r="K53" s="346" t="s">
        <v>112</v>
      </c>
      <c r="L53" s="346" t="s">
        <v>113</v>
      </c>
      <c r="M53" s="346" t="s">
        <v>114</v>
      </c>
      <c r="N53" s="346"/>
      <c r="O53" s="346"/>
      <c r="P53" s="345" t="s">
        <v>710</v>
      </c>
      <c r="Q53" s="345" t="s">
        <v>468</v>
      </c>
      <c r="R53" s="347" t="s">
        <v>120</v>
      </c>
      <c r="S53" s="345" t="s">
        <v>111</v>
      </c>
      <c r="T53" s="345" t="s">
        <v>469</v>
      </c>
      <c r="U53" s="345" t="s">
        <v>696</v>
      </c>
      <c r="V53" s="345" t="s">
        <v>491</v>
      </c>
      <c r="W53" s="347" t="s">
        <v>659</v>
      </c>
      <c r="X53" s="345" t="s">
        <v>595</v>
      </c>
      <c r="Y53" s="345" t="s">
        <v>472</v>
      </c>
      <c r="Z53" s="347" t="s">
        <v>701</v>
      </c>
      <c r="AA53" s="345" t="s">
        <v>474</v>
      </c>
      <c r="AB53" s="345" t="s">
        <v>482</v>
      </c>
      <c r="AC53" s="345" t="s">
        <v>119</v>
      </c>
      <c r="AD53" s="347" t="s">
        <v>697</v>
      </c>
      <c r="AE53" s="345" t="s">
        <v>491</v>
      </c>
      <c r="AF53" s="347" t="s">
        <v>701</v>
      </c>
      <c r="AG53" s="345" t="s">
        <v>111</v>
      </c>
      <c r="AH53" s="345"/>
      <c r="AI53" s="345" t="s">
        <v>111</v>
      </c>
      <c r="AJ53" s="345" t="s">
        <v>491</v>
      </c>
      <c r="AK53" s="347" t="s">
        <v>701</v>
      </c>
      <c r="AL53" s="345"/>
    </row>
    <row r="54" spans="1:38" ht="16.5" hidden="1" customHeight="1">
      <c r="A54" s="344" t="s">
        <v>463</v>
      </c>
      <c r="B54" s="345" t="s">
        <v>711</v>
      </c>
      <c r="C54" s="345" t="s">
        <v>589</v>
      </c>
      <c r="D54" s="345" t="s">
        <v>110</v>
      </c>
      <c r="E54" s="345" t="s">
        <v>111</v>
      </c>
      <c r="F54" s="345" t="s">
        <v>591</v>
      </c>
      <c r="G54" s="345" t="s">
        <v>111</v>
      </c>
      <c r="H54" s="345" t="s">
        <v>111</v>
      </c>
      <c r="I54" s="345" t="s">
        <v>712</v>
      </c>
      <c r="J54" s="345"/>
      <c r="K54" s="346" t="s">
        <v>122</v>
      </c>
      <c r="L54" s="346" t="s">
        <v>608</v>
      </c>
      <c r="M54" s="346" t="s">
        <v>114</v>
      </c>
      <c r="N54" s="346"/>
      <c r="O54" s="346"/>
      <c r="P54" s="345" t="s">
        <v>688</v>
      </c>
      <c r="Q54" s="345" t="s">
        <v>482</v>
      </c>
      <c r="R54" s="347" t="s">
        <v>120</v>
      </c>
      <c r="S54" s="345" t="s">
        <v>111</v>
      </c>
      <c r="T54" s="345" t="s">
        <v>469</v>
      </c>
      <c r="U54" s="345" t="s">
        <v>696</v>
      </c>
      <c r="V54" s="345" t="s">
        <v>491</v>
      </c>
      <c r="W54" s="347" t="s">
        <v>601</v>
      </c>
      <c r="X54" s="345" t="s">
        <v>595</v>
      </c>
      <c r="Y54" s="345" t="s">
        <v>491</v>
      </c>
      <c r="Z54" s="347" t="s">
        <v>697</v>
      </c>
      <c r="AA54" s="345" t="s">
        <v>474</v>
      </c>
      <c r="AB54" s="345" t="s">
        <v>553</v>
      </c>
      <c r="AC54" s="345" t="s">
        <v>119</v>
      </c>
      <c r="AD54" s="347" t="s">
        <v>697</v>
      </c>
      <c r="AE54" s="345"/>
      <c r="AF54" s="347" t="s">
        <v>120</v>
      </c>
      <c r="AG54" s="345" t="s">
        <v>111</v>
      </c>
      <c r="AH54" s="345"/>
      <c r="AI54" s="345" t="s">
        <v>111</v>
      </c>
      <c r="AJ54" s="345" t="s">
        <v>474</v>
      </c>
      <c r="AK54" s="347" t="s">
        <v>697</v>
      </c>
      <c r="AL54" s="345"/>
    </row>
    <row r="55" spans="1:38" ht="16.5" hidden="1" customHeight="1">
      <c r="A55" s="344" t="s">
        <v>463</v>
      </c>
      <c r="B55" s="345" t="s">
        <v>713</v>
      </c>
      <c r="C55" s="345" t="s">
        <v>589</v>
      </c>
      <c r="D55" s="345" t="s">
        <v>110</v>
      </c>
      <c r="E55" s="345" t="s">
        <v>603</v>
      </c>
      <c r="F55" s="345" t="s">
        <v>591</v>
      </c>
      <c r="G55" s="345" t="s">
        <v>111</v>
      </c>
      <c r="H55" s="345" t="s">
        <v>111</v>
      </c>
      <c r="I55" s="345" t="s">
        <v>714</v>
      </c>
      <c r="J55" s="345"/>
      <c r="K55" s="346" t="s">
        <v>112</v>
      </c>
      <c r="L55" s="346" t="s">
        <v>113</v>
      </c>
      <c r="M55" s="346" t="s">
        <v>114</v>
      </c>
      <c r="N55" s="346"/>
      <c r="O55" s="346"/>
      <c r="P55" s="345" t="s">
        <v>715</v>
      </c>
      <c r="Q55" s="345" t="s">
        <v>468</v>
      </c>
      <c r="R55" s="347" t="s">
        <v>120</v>
      </c>
      <c r="S55" s="345" t="s">
        <v>111</v>
      </c>
      <c r="T55" s="345" t="s">
        <v>469</v>
      </c>
      <c r="U55" s="345" t="s">
        <v>696</v>
      </c>
      <c r="V55" s="345" t="s">
        <v>491</v>
      </c>
      <c r="W55" s="347" t="s">
        <v>630</v>
      </c>
      <c r="X55" s="345" t="s">
        <v>595</v>
      </c>
      <c r="Y55" s="345" t="s">
        <v>472</v>
      </c>
      <c r="Z55" s="347" t="s">
        <v>701</v>
      </c>
      <c r="AA55" s="345" t="s">
        <v>474</v>
      </c>
      <c r="AB55" s="345" t="s">
        <v>482</v>
      </c>
      <c r="AC55" s="345" t="s">
        <v>119</v>
      </c>
      <c r="AD55" s="347" t="s">
        <v>697</v>
      </c>
      <c r="AE55" s="345" t="s">
        <v>491</v>
      </c>
      <c r="AF55" s="347" t="s">
        <v>701</v>
      </c>
      <c r="AG55" s="345" t="s">
        <v>111</v>
      </c>
      <c r="AH55" s="345"/>
      <c r="AI55" s="345" t="s">
        <v>111</v>
      </c>
      <c r="AJ55" s="345" t="s">
        <v>491</v>
      </c>
      <c r="AK55" s="347" t="s">
        <v>636</v>
      </c>
      <c r="AL55" s="345"/>
    </row>
    <row r="56" spans="1:38" ht="16.5" hidden="1" customHeight="1">
      <c r="A56" s="344" t="s">
        <v>463</v>
      </c>
      <c r="B56" s="345" t="s">
        <v>716</v>
      </c>
      <c r="C56" s="345" t="s">
        <v>589</v>
      </c>
      <c r="D56" s="345" t="s">
        <v>110</v>
      </c>
      <c r="E56" s="345" t="s">
        <v>603</v>
      </c>
      <c r="F56" s="345" t="s">
        <v>591</v>
      </c>
      <c r="G56" s="345" t="s">
        <v>111</v>
      </c>
      <c r="H56" s="345" t="s">
        <v>111</v>
      </c>
      <c r="I56" s="345" t="s">
        <v>717</v>
      </c>
      <c r="J56" s="345"/>
      <c r="K56" s="346" t="s">
        <v>112</v>
      </c>
      <c r="L56" s="346" t="s">
        <v>113</v>
      </c>
      <c r="M56" s="346" t="s">
        <v>114</v>
      </c>
      <c r="N56" s="346"/>
      <c r="O56" s="346"/>
      <c r="P56" s="345" t="s">
        <v>718</v>
      </c>
      <c r="Q56" s="345" t="s">
        <v>468</v>
      </c>
      <c r="R56" s="347" t="s">
        <v>120</v>
      </c>
      <c r="S56" s="345" t="s">
        <v>111</v>
      </c>
      <c r="T56" s="345" t="s">
        <v>469</v>
      </c>
      <c r="U56" s="345" t="s">
        <v>696</v>
      </c>
      <c r="V56" s="345" t="s">
        <v>491</v>
      </c>
      <c r="W56" s="347" t="s">
        <v>630</v>
      </c>
      <c r="X56" s="345" t="s">
        <v>595</v>
      </c>
      <c r="Y56" s="345" t="s">
        <v>472</v>
      </c>
      <c r="Z56" s="347" t="s">
        <v>701</v>
      </c>
      <c r="AA56" s="345" t="s">
        <v>474</v>
      </c>
      <c r="AB56" s="345" t="s">
        <v>482</v>
      </c>
      <c r="AC56" s="345" t="s">
        <v>119</v>
      </c>
      <c r="AD56" s="347" t="s">
        <v>697</v>
      </c>
      <c r="AE56" s="345" t="s">
        <v>491</v>
      </c>
      <c r="AF56" s="347" t="s">
        <v>701</v>
      </c>
      <c r="AG56" s="345" t="s">
        <v>111</v>
      </c>
      <c r="AH56" s="345"/>
      <c r="AI56" s="345" t="s">
        <v>111</v>
      </c>
      <c r="AJ56" s="345" t="s">
        <v>491</v>
      </c>
      <c r="AK56" s="347" t="s">
        <v>636</v>
      </c>
      <c r="AL56" s="345"/>
    </row>
    <row r="57" spans="1:38" ht="16.5" hidden="1" customHeight="1">
      <c r="A57" s="344" t="s">
        <v>463</v>
      </c>
      <c r="B57" s="345" t="s">
        <v>719</v>
      </c>
      <c r="C57" s="345" t="s">
        <v>589</v>
      </c>
      <c r="D57" s="345" t="s">
        <v>110</v>
      </c>
      <c r="E57" s="345" t="s">
        <v>603</v>
      </c>
      <c r="F57" s="345" t="s">
        <v>591</v>
      </c>
      <c r="G57" s="345" t="s">
        <v>111</v>
      </c>
      <c r="H57" s="345" t="s">
        <v>111</v>
      </c>
      <c r="I57" s="345" t="s">
        <v>720</v>
      </c>
      <c r="J57" s="345"/>
      <c r="K57" s="346" t="s">
        <v>122</v>
      </c>
      <c r="L57" s="346" t="s">
        <v>608</v>
      </c>
      <c r="M57" s="346" t="s">
        <v>114</v>
      </c>
      <c r="N57" s="346"/>
      <c r="O57" s="346"/>
      <c r="P57" s="345" t="s">
        <v>721</v>
      </c>
      <c r="Q57" s="345" t="s">
        <v>468</v>
      </c>
      <c r="R57" s="347" t="s">
        <v>120</v>
      </c>
      <c r="S57" s="345" t="s">
        <v>111</v>
      </c>
      <c r="T57" s="345" t="s">
        <v>469</v>
      </c>
      <c r="U57" s="345" t="s">
        <v>696</v>
      </c>
      <c r="V57" s="345" t="s">
        <v>491</v>
      </c>
      <c r="W57" s="347" t="s">
        <v>630</v>
      </c>
      <c r="X57" s="345" t="s">
        <v>595</v>
      </c>
      <c r="Y57" s="345" t="s">
        <v>472</v>
      </c>
      <c r="Z57" s="347" t="s">
        <v>701</v>
      </c>
      <c r="AA57" s="345" t="s">
        <v>474</v>
      </c>
      <c r="AB57" s="345" t="s">
        <v>482</v>
      </c>
      <c r="AC57" s="345" t="s">
        <v>119</v>
      </c>
      <c r="AD57" s="347" t="s">
        <v>697</v>
      </c>
      <c r="AE57" s="345" t="s">
        <v>491</v>
      </c>
      <c r="AF57" s="347" t="s">
        <v>701</v>
      </c>
      <c r="AG57" s="345" t="s">
        <v>111</v>
      </c>
      <c r="AH57" s="345"/>
      <c r="AI57" s="345" t="s">
        <v>111</v>
      </c>
      <c r="AJ57" s="345" t="s">
        <v>491</v>
      </c>
      <c r="AK57" s="347" t="s">
        <v>701</v>
      </c>
      <c r="AL57" s="345"/>
    </row>
    <row r="58" spans="1:38" ht="16.5" hidden="1" customHeight="1">
      <c r="A58" s="344" t="s">
        <v>463</v>
      </c>
      <c r="B58" s="345" t="s">
        <v>722</v>
      </c>
      <c r="C58" s="345" t="s">
        <v>589</v>
      </c>
      <c r="D58" s="345" t="s">
        <v>110</v>
      </c>
      <c r="E58" s="345" t="s">
        <v>603</v>
      </c>
      <c r="F58" s="345" t="s">
        <v>591</v>
      </c>
      <c r="G58" s="345" t="s">
        <v>111</v>
      </c>
      <c r="H58" s="345" t="s">
        <v>111</v>
      </c>
      <c r="I58" s="345" t="s">
        <v>723</v>
      </c>
      <c r="J58" s="345"/>
      <c r="K58" s="346" t="s">
        <v>122</v>
      </c>
      <c r="L58" s="346" t="s">
        <v>608</v>
      </c>
      <c r="M58" s="346" t="s">
        <v>114</v>
      </c>
      <c r="N58" s="346"/>
      <c r="O58" s="346"/>
      <c r="P58" s="345" t="s">
        <v>724</v>
      </c>
      <c r="Q58" s="345" t="s">
        <v>468</v>
      </c>
      <c r="R58" s="347" t="s">
        <v>120</v>
      </c>
      <c r="S58" s="345" t="s">
        <v>111</v>
      </c>
      <c r="T58" s="345" t="s">
        <v>469</v>
      </c>
      <c r="U58" s="345" t="s">
        <v>696</v>
      </c>
      <c r="V58" s="345" t="s">
        <v>491</v>
      </c>
      <c r="W58" s="347" t="s">
        <v>630</v>
      </c>
      <c r="X58" s="345" t="s">
        <v>595</v>
      </c>
      <c r="Y58" s="345" t="s">
        <v>472</v>
      </c>
      <c r="Z58" s="347" t="s">
        <v>701</v>
      </c>
      <c r="AA58" s="345" t="s">
        <v>474</v>
      </c>
      <c r="AB58" s="345" t="s">
        <v>482</v>
      </c>
      <c r="AC58" s="345" t="s">
        <v>119</v>
      </c>
      <c r="AD58" s="347" t="s">
        <v>697</v>
      </c>
      <c r="AE58" s="345" t="s">
        <v>491</v>
      </c>
      <c r="AF58" s="347" t="s">
        <v>701</v>
      </c>
      <c r="AG58" s="345" t="s">
        <v>111</v>
      </c>
      <c r="AH58" s="345"/>
      <c r="AI58" s="345" t="s">
        <v>111</v>
      </c>
      <c r="AJ58" s="345" t="s">
        <v>491</v>
      </c>
      <c r="AK58" s="347" t="s">
        <v>701</v>
      </c>
      <c r="AL58" s="345"/>
    </row>
    <row r="59" spans="1:38" ht="16.5" hidden="1" customHeight="1">
      <c r="A59" s="344" t="s">
        <v>463</v>
      </c>
      <c r="B59" s="345" t="s">
        <v>725</v>
      </c>
      <c r="C59" s="345" t="s">
        <v>589</v>
      </c>
      <c r="D59" s="345" t="s">
        <v>110</v>
      </c>
      <c r="E59" s="345" t="s">
        <v>603</v>
      </c>
      <c r="F59" s="345" t="s">
        <v>591</v>
      </c>
      <c r="G59" s="345" t="s">
        <v>111</v>
      </c>
      <c r="H59" s="345" t="s">
        <v>111</v>
      </c>
      <c r="I59" s="345" t="s">
        <v>726</v>
      </c>
      <c r="J59" s="345"/>
      <c r="K59" s="346" t="s">
        <v>122</v>
      </c>
      <c r="L59" s="346" t="s">
        <v>608</v>
      </c>
      <c r="M59" s="346" t="s">
        <v>114</v>
      </c>
      <c r="N59" s="346"/>
      <c r="O59" s="346"/>
      <c r="P59" s="345" t="s">
        <v>727</v>
      </c>
      <c r="Q59" s="345" t="s">
        <v>468</v>
      </c>
      <c r="R59" s="347" t="s">
        <v>120</v>
      </c>
      <c r="S59" s="345" t="s">
        <v>111</v>
      </c>
      <c r="T59" s="345" t="s">
        <v>469</v>
      </c>
      <c r="U59" s="345" t="s">
        <v>696</v>
      </c>
      <c r="V59" s="345" t="s">
        <v>491</v>
      </c>
      <c r="W59" s="347" t="s">
        <v>630</v>
      </c>
      <c r="X59" s="345" t="s">
        <v>595</v>
      </c>
      <c r="Y59" s="345" t="s">
        <v>472</v>
      </c>
      <c r="Z59" s="347" t="s">
        <v>701</v>
      </c>
      <c r="AA59" s="345" t="s">
        <v>474</v>
      </c>
      <c r="AB59" s="345" t="s">
        <v>482</v>
      </c>
      <c r="AC59" s="345" t="s">
        <v>119</v>
      </c>
      <c r="AD59" s="347" t="s">
        <v>697</v>
      </c>
      <c r="AE59" s="345" t="s">
        <v>491</v>
      </c>
      <c r="AF59" s="347" t="s">
        <v>701</v>
      </c>
      <c r="AG59" s="345" t="s">
        <v>111</v>
      </c>
      <c r="AH59" s="345"/>
      <c r="AI59" s="345" t="s">
        <v>111</v>
      </c>
      <c r="AJ59" s="345" t="s">
        <v>491</v>
      </c>
      <c r="AK59" s="347" t="s">
        <v>701</v>
      </c>
      <c r="AL59" s="345"/>
    </row>
    <row r="60" spans="1:38" ht="16.5" hidden="1" customHeight="1">
      <c r="A60" s="344" t="s">
        <v>463</v>
      </c>
      <c r="B60" s="345" t="s">
        <v>728</v>
      </c>
      <c r="C60" s="345" t="s">
        <v>589</v>
      </c>
      <c r="D60" s="345" t="s">
        <v>110</v>
      </c>
      <c r="E60" s="345" t="s">
        <v>603</v>
      </c>
      <c r="F60" s="345" t="s">
        <v>591</v>
      </c>
      <c r="G60" s="345" t="s">
        <v>111</v>
      </c>
      <c r="H60" s="345" t="s">
        <v>111</v>
      </c>
      <c r="I60" s="345" t="s">
        <v>729</v>
      </c>
      <c r="J60" s="345"/>
      <c r="K60" s="346" t="s">
        <v>122</v>
      </c>
      <c r="L60" s="346" t="s">
        <v>608</v>
      </c>
      <c r="M60" s="346" t="s">
        <v>114</v>
      </c>
      <c r="N60" s="346"/>
      <c r="O60" s="346"/>
      <c r="P60" s="345" t="s">
        <v>730</v>
      </c>
      <c r="Q60" s="345" t="s">
        <v>468</v>
      </c>
      <c r="R60" s="347" t="s">
        <v>120</v>
      </c>
      <c r="S60" s="345" t="s">
        <v>517</v>
      </c>
      <c r="T60" s="345" t="s">
        <v>469</v>
      </c>
      <c r="U60" s="345" t="s">
        <v>696</v>
      </c>
      <c r="V60" s="345" t="s">
        <v>491</v>
      </c>
      <c r="W60" s="347" t="s">
        <v>630</v>
      </c>
      <c r="X60" s="345" t="s">
        <v>731</v>
      </c>
      <c r="Y60" s="345" t="s">
        <v>472</v>
      </c>
      <c r="Z60" s="347" t="s">
        <v>582</v>
      </c>
      <c r="AA60" s="345" t="s">
        <v>619</v>
      </c>
      <c r="AB60" s="345" t="s">
        <v>482</v>
      </c>
      <c r="AC60" s="345" t="s">
        <v>119</v>
      </c>
      <c r="AD60" s="347" t="s">
        <v>732</v>
      </c>
      <c r="AE60" s="345" t="s">
        <v>123</v>
      </c>
      <c r="AF60" s="347" t="s">
        <v>582</v>
      </c>
      <c r="AG60" s="345" t="s">
        <v>111</v>
      </c>
      <c r="AH60" s="345"/>
      <c r="AI60" s="345" t="s">
        <v>111</v>
      </c>
      <c r="AJ60" s="345" t="s">
        <v>123</v>
      </c>
      <c r="AK60" s="347" t="s">
        <v>582</v>
      </c>
      <c r="AL60" s="345"/>
    </row>
    <row r="61" spans="1:38" ht="16.5" hidden="1" customHeight="1">
      <c r="A61" s="344" t="s">
        <v>463</v>
      </c>
      <c r="B61" s="345" t="s">
        <v>733</v>
      </c>
      <c r="C61" s="345" t="s">
        <v>109</v>
      </c>
      <c r="D61" s="345" t="s">
        <v>110</v>
      </c>
      <c r="E61" s="345" t="s">
        <v>121</v>
      </c>
      <c r="F61" s="345" t="s">
        <v>465</v>
      </c>
      <c r="G61" s="345" t="s">
        <v>111</v>
      </c>
      <c r="H61" s="345" t="s">
        <v>111</v>
      </c>
      <c r="I61" s="345" t="s">
        <v>734</v>
      </c>
      <c r="J61" s="345"/>
      <c r="K61" s="346" t="s">
        <v>122</v>
      </c>
      <c r="L61" s="346" t="s">
        <v>608</v>
      </c>
      <c r="M61" s="346" t="s">
        <v>114</v>
      </c>
      <c r="N61" s="346"/>
      <c r="O61" s="346"/>
      <c r="P61" s="345" t="s">
        <v>735</v>
      </c>
      <c r="Q61" s="345" t="s">
        <v>468</v>
      </c>
      <c r="R61" s="347" t="s">
        <v>120</v>
      </c>
      <c r="S61" s="345" t="s">
        <v>111</v>
      </c>
      <c r="T61" s="345" t="s">
        <v>469</v>
      </c>
      <c r="U61" s="345" t="s">
        <v>117</v>
      </c>
      <c r="V61" s="345" t="s">
        <v>123</v>
      </c>
      <c r="W61" s="347" t="s">
        <v>630</v>
      </c>
      <c r="X61" s="345" t="s">
        <v>519</v>
      </c>
      <c r="Y61" s="345" t="s">
        <v>472</v>
      </c>
      <c r="Z61" s="347" t="s">
        <v>705</v>
      </c>
      <c r="AA61" s="345" t="s">
        <v>619</v>
      </c>
      <c r="AB61" s="345" t="s">
        <v>553</v>
      </c>
      <c r="AC61" s="345"/>
      <c r="AD61" s="347" t="s">
        <v>706</v>
      </c>
      <c r="AE61" s="345" t="s">
        <v>619</v>
      </c>
      <c r="AF61" s="347" t="s">
        <v>705</v>
      </c>
      <c r="AG61" s="345" t="s">
        <v>111</v>
      </c>
      <c r="AH61" s="345"/>
      <c r="AI61" s="345" t="s">
        <v>111</v>
      </c>
      <c r="AJ61" s="345" t="s">
        <v>619</v>
      </c>
      <c r="AK61" s="347" t="s">
        <v>705</v>
      </c>
      <c r="AL61" s="345"/>
    </row>
    <row r="62" spans="1:38" ht="16.5" hidden="1" customHeight="1">
      <c r="A62" s="344" t="s">
        <v>463</v>
      </c>
      <c r="B62" s="345" t="s">
        <v>736</v>
      </c>
      <c r="C62" s="345" t="s">
        <v>109</v>
      </c>
      <c r="D62" s="345" t="s">
        <v>110</v>
      </c>
      <c r="E62" s="345" t="s">
        <v>121</v>
      </c>
      <c r="F62" s="345" t="s">
        <v>465</v>
      </c>
      <c r="G62" s="345" t="s">
        <v>111</v>
      </c>
      <c r="H62" s="345" t="s">
        <v>111</v>
      </c>
      <c r="I62" s="345" t="s">
        <v>737</v>
      </c>
      <c r="J62" s="345"/>
      <c r="K62" s="346" t="s">
        <v>122</v>
      </c>
      <c r="L62" s="346" t="s">
        <v>608</v>
      </c>
      <c r="M62" s="346" t="s">
        <v>114</v>
      </c>
      <c r="N62" s="346"/>
      <c r="O62" s="346"/>
      <c r="P62" s="345" t="s">
        <v>738</v>
      </c>
      <c r="Q62" s="345" t="s">
        <v>468</v>
      </c>
      <c r="R62" s="347" t="s">
        <v>120</v>
      </c>
      <c r="S62" s="345" t="s">
        <v>111</v>
      </c>
      <c r="T62" s="345" t="s">
        <v>469</v>
      </c>
      <c r="U62" s="345" t="s">
        <v>117</v>
      </c>
      <c r="V62" s="345" t="s">
        <v>123</v>
      </c>
      <c r="W62" s="347" t="s">
        <v>630</v>
      </c>
      <c r="X62" s="345" t="s">
        <v>519</v>
      </c>
      <c r="Y62" s="345" t="s">
        <v>472</v>
      </c>
      <c r="Z62" s="347" t="s">
        <v>487</v>
      </c>
      <c r="AA62" s="345" t="s">
        <v>619</v>
      </c>
      <c r="AB62" s="345" t="s">
        <v>475</v>
      </c>
      <c r="AC62" s="345"/>
      <c r="AD62" s="347" t="s">
        <v>706</v>
      </c>
      <c r="AE62" s="345" t="s">
        <v>123</v>
      </c>
      <c r="AF62" s="347" t="s">
        <v>487</v>
      </c>
      <c r="AG62" s="345" t="s">
        <v>111</v>
      </c>
      <c r="AH62" s="345"/>
      <c r="AI62" s="345" t="s">
        <v>111</v>
      </c>
      <c r="AJ62" s="345" t="s">
        <v>123</v>
      </c>
      <c r="AK62" s="347" t="s">
        <v>487</v>
      </c>
      <c r="AL62" s="345"/>
    </row>
    <row r="63" spans="1:38" ht="16.5" hidden="1" customHeight="1">
      <c r="A63" s="344" t="s">
        <v>463</v>
      </c>
      <c r="B63" s="345" t="s">
        <v>739</v>
      </c>
      <c r="C63" s="345" t="s">
        <v>109</v>
      </c>
      <c r="D63" s="345" t="s">
        <v>110</v>
      </c>
      <c r="E63" s="345" t="s">
        <v>121</v>
      </c>
      <c r="F63" s="345" t="s">
        <v>465</v>
      </c>
      <c r="G63" s="345" t="s">
        <v>111</v>
      </c>
      <c r="H63" s="345" t="s">
        <v>111</v>
      </c>
      <c r="I63" s="345" t="s">
        <v>740</v>
      </c>
      <c r="J63" s="345"/>
      <c r="K63" s="346" t="s">
        <v>122</v>
      </c>
      <c r="L63" s="346" t="s">
        <v>608</v>
      </c>
      <c r="M63" s="346" t="s">
        <v>114</v>
      </c>
      <c r="N63" s="346"/>
      <c r="O63" s="346"/>
      <c r="P63" s="345" t="s">
        <v>741</v>
      </c>
      <c r="Q63" s="345" t="s">
        <v>468</v>
      </c>
      <c r="R63" s="347" t="s">
        <v>120</v>
      </c>
      <c r="S63" s="345" t="s">
        <v>111</v>
      </c>
      <c r="T63" s="345" t="s">
        <v>469</v>
      </c>
      <c r="U63" s="345" t="s">
        <v>117</v>
      </c>
      <c r="V63" s="345" t="s">
        <v>123</v>
      </c>
      <c r="W63" s="347" t="s">
        <v>630</v>
      </c>
      <c r="X63" s="345" t="s">
        <v>519</v>
      </c>
      <c r="Y63" s="345" t="s">
        <v>472</v>
      </c>
      <c r="Z63" s="347" t="s">
        <v>487</v>
      </c>
      <c r="AA63" s="345" t="s">
        <v>619</v>
      </c>
      <c r="AB63" s="345" t="s">
        <v>475</v>
      </c>
      <c r="AC63" s="345"/>
      <c r="AD63" s="347" t="s">
        <v>706</v>
      </c>
      <c r="AE63" s="345" t="s">
        <v>123</v>
      </c>
      <c r="AF63" s="347" t="s">
        <v>487</v>
      </c>
      <c r="AG63" s="345" t="s">
        <v>111</v>
      </c>
      <c r="AH63" s="345"/>
      <c r="AI63" s="345" t="s">
        <v>111</v>
      </c>
      <c r="AJ63" s="345" t="s">
        <v>123</v>
      </c>
      <c r="AK63" s="347" t="s">
        <v>487</v>
      </c>
      <c r="AL63" s="345"/>
    </row>
    <row r="64" spans="1:38" ht="16.5" hidden="1" customHeight="1">
      <c r="A64" s="344" t="s">
        <v>463</v>
      </c>
      <c r="B64" s="345" t="s">
        <v>742</v>
      </c>
      <c r="C64" s="345" t="s">
        <v>109</v>
      </c>
      <c r="D64" s="345" t="s">
        <v>110</v>
      </c>
      <c r="E64" s="345" t="s">
        <v>121</v>
      </c>
      <c r="F64" s="345" t="s">
        <v>465</v>
      </c>
      <c r="G64" s="345" t="s">
        <v>111</v>
      </c>
      <c r="H64" s="345" t="s">
        <v>111</v>
      </c>
      <c r="I64" s="345" t="s">
        <v>743</v>
      </c>
      <c r="J64" s="345"/>
      <c r="K64" s="346" t="s">
        <v>122</v>
      </c>
      <c r="L64" s="346" t="s">
        <v>608</v>
      </c>
      <c r="M64" s="346" t="s">
        <v>114</v>
      </c>
      <c r="N64" s="346"/>
      <c r="O64" s="346"/>
      <c r="P64" s="345" t="s">
        <v>744</v>
      </c>
      <c r="Q64" s="345" t="s">
        <v>468</v>
      </c>
      <c r="R64" s="347" t="s">
        <v>120</v>
      </c>
      <c r="S64" s="345" t="s">
        <v>111</v>
      </c>
      <c r="T64" s="345" t="s">
        <v>469</v>
      </c>
      <c r="U64" s="345" t="s">
        <v>117</v>
      </c>
      <c r="V64" s="345" t="s">
        <v>123</v>
      </c>
      <c r="W64" s="347" t="s">
        <v>630</v>
      </c>
      <c r="X64" s="345" t="s">
        <v>519</v>
      </c>
      <c r="Y64" s="345" t="s">
        <v>472</v>
      </c>
      <c r="Z64" s="347" t="s">
        <v>705</v>
      </c>
      <c r="AA64" s="345" t="s">
        <v>619</v>
      </c>
      <c r="AB64" s="345" t="s">
        <v>553</v>
      </c>
      <c r="AC64" s="345"/>
      <c r="AD64" s="347" t="s">
        <v>706</v>
      </c>
      <c r="AE64" s="345" t="s">
        <v>619</v>
      </c>
      <c r="AF64" s="347" t="s">
        <v>705</v>
      </c>
      <c r="AG64" s="345" t="s">
        <v>111</v>
      </c>
      <c r="AH64" s="345"/>
      <c r="AI64" s="345" t="s">
        <v>111</v>
      </c>
      <c r="AJ64" s="345" t="s">
        <v>619</v>
      </c>
      <c r="AK64" s="347" t="s">
        <v>705</v>
      </c>
      <c r="AL64" s="345"/>
    </row>
    <row r="65" spans="1:38" ht="16.5" hidden="1" customHeight="1">
      <c r="A65" s="344" t="s">
        <v>463</v>
      </c>
      <c r="B65" s="345" t="s">
        <v>745</v>
      </c>
      <c r="C65" s="345" t="s">
        <v>109</v>
      </c>
      <c r="D65" s="345" t="s">
        <v>110</v>
      </c>
      <c r="E65" s="345" t="s">
        <v>121</v>
      </c>
      <c r="F65" s="345" t="s">
        <v>465</v>
      </c>
      <c r="G65" s="345" t="s">
        <v>111</v>
      </c>
      <c r="H65" s="345" t="s">
        <v>111</v>
      </c>
      <c r="I65" s="345" t="s">
        <v>746</v>
      </c>
      <c r="J65" s="345"/>
      <c r="K65" s="346" t="s">
        <v>122</v>
      </c>
      <c r="L65" s="346" t="s">
        <v>608</v>
      </c>
      <c r="M65" s="346" t="s">
        <v>114</v>
      </c>
      <c r="N65" s="346"/>
      <c r="O65" s="346"/>
      <c r="P65" s="345" t="s">
        <v>747</v>
      </c>
      <c r="Q65" s="345" t="s">
        <v>468</v>
      </c>
      <c r="R65" s="347" t="s">
        <v>120</v>
      </c>
      <c r="S65" s="345" t="s">
        <v>111</v>
      </c>
      <c r="T65" s="345" t="s">
        <v>469</v>
      </c>
      <c r="U65" s="345" t="s">
        <v>117</v>
      </c>
      <c r="V65" s="345" t="s">
        <v>123</v>
      </c>
      <c r="W65" s="347" t="s">
        <v>630</v>
      </c>
      <c r="X65" s="345" t="s">
        <v>519</v>
      </c>
      <c r="Y65" s="345" t="s">
        <v>472</v>
      </c>
      <c r="Z65" s="347" t="s">
        <v>487</v>
      </c>
      <c r="AA65" s="345" t="s">
        <v>537</v>
      </c>
      <c r="AB65" s="345" t="s">
        <v>482</v>
      </c>
      <c r="AC65" s="345" t="s">
        <v>538</v>
      </c>
      <c r="AD65" s="347" t="s">
        <v>748</v>
      </c>
      <c r="AE65" s="345" t="s">
        <v>123</v>
      </c>
      <c r="AF65" s="347" t="s">
        <v>487</v>
      </c>
      <c r="AG65" s="345" t="s">
        <v>111</v>
      </c>
      <c r="AH65" s="345"/>
      <c r="AI65" s="345" t="s">
        <v>111</v>
      </c>
      <c r="AJ65" s="345" t="s">
        <v>123</v>
      </c>
      <c r="AK65" s="347" t="s">
        <v>487</v>
      </c>
      <c r="AL65" s="345"/>
    </row>
    <row r="66" spans="1:38" ht="16.5" hidden="1" customHeight="1">
      <c r="A66" s="344" t="s">
        <v>463</v>
      </c>
      <c r="B66" s="345" t="s">
        <v>749</v>
      </c>
      <c r="C66" s="345" t="s">
        <v>109</v>
      </c>
      <c r="D66" s="345" t="s">
        <v>110</v>
      </c>
      <c r="E66" s="345" t="s">
        <v>121</v>
      </c>
      <c r="F66" s="345" t="s">
        <v>465</v>
      </c>
      <c r="G66" s="345" t="s">
        <v>111</v>
      </c>
      <c r="H66" s="345" t="s">
        <v>111</v>
      </c>
      <c r="I66" s="345" t="s">
        <v>750</v>
      </c>
      <c r="J66" s="345"/>
      <c r="K66" s="346" t="s">
        <v>112</v>
      </c>
      <c r="L66" s="346" t="s">
        <v>113</v>
      </c>
      <c r="M66" s="346" t="s">
        <v>114</v>
      </c>
      <c r="N66" s="346"/>
      <c r="O66" s="346"/>
      <c r="P66" s="345" t="s">
        <v>751</v>
      </c>
      <c r="Q66" s="345" t="s">
        <v>468</v>
      </c>
      <c r="R66" s="347" t="s">
        <v>120</v>
      </c>
      <c r="S66" s="345" t="s">
        <v>111</v>
      </c>
      <c r="T66" s="345" t="s">
        <v>469</v>
      </c>
      <c r="U66" s="345" t="s">
        <v>117</v>
      </c>
      <c r="V66" s="345" t="s">
        <v>123</v>
      </c>
      <c r="W66" s="347" t="s">
        <v>630</v>
      </c>
      <c r="X66" s="345" t="s">
        <v>519</v>
      </c>
      <c r="Y66" s="345" t="s">
        <v>472</v>
      </c>
      <c r="Z66" s="347" t="s">
        <v>705</v>
      </c>
      <c r="AA66" s="345" t="s">
        <v>619</v>
      </c>
      <c r="AB66" s="345" t="s">
        <v>553</v>
      </c>
      <c r="AC66" s="345"/>
      <c r="AD66" s="347" t="s">
        <v>706</v>
      </c>
      <c r="AE66" s="345" t="s">
        <v>619</v>
      </c>
      <c r="AF66" s="347" t="s">
        <v>705</v>
      </c>
      <c r="AG66" s="345" t="s">
        <v>111</v>
      </c>
      <c r="AH66" s="345"/>
      <c r="AI66" s="345" t="s">
        <v>111</v>
      </c>
      <c r="AJ66" s="345" t="s">
        <v>619</v>
      </c>
      <c r="AK66" s="347" t="s">
        <v>705</v>
      </c>
      <c r="AL66" s="345"/>
    </row>
    <row r="67" spans="1:38" ht="16.5" hidden="1" customHeight="1">
      <c r="A67" s="344" t="s">
        <v>463</v>
      </c>
      <c r="B67" s="345" t="s">
        <v>752</v>
      </c>
      <c r="C67" s="345" t="s">
        <v>109</v>
      </c>
      <c r="D67" s="345" t="s">
        <v>110</v>
      </c>
      <c r="E67" s="345" t="s">
        <v>111</v>
      </c>
      <c r="F67" s="345" t="s">
        <v>465</v>
      </c>
      <c r="G67" s="345" t="s">
        <v>111</v>
      </c>
      <c r="H67" s="345" t="s">
        <v>111</v>
      </c>
      <c r="I67" s="345" t="s">
        <v>753</v>
      </c>
      <c r="J67" s="345"/>
      <c r="K67" s="346" t="s">
        <v>112</v>
      </c>
      <c r="L67" s="346" t="s">
        <v>593</v>
      </c>
      <c r="M67" s="346" t="s">
        <v>754</v>
      </c>
      <c r="N67" s="346"/>
      <c r="O67" s="346"/>
      <c r="P67" s="345" t="s">
        <v>755</v>
      </c>
      <c r="Q67" s="345" t="s">
        <v>468</v>
      </c>
      <c r="R67" s="347" t="s">
        <v>120</v>
      </c>
      <c r="S67" s="345" t="s">
        <v>111</v>
      </c>
      <c r="T67" s="345" t="s">
        <v>469</v>
      </c>
      <c r="U67" s="345" t="s">
        <v>117</v>
      </c>
      <c r="V67" s="345" t="s">
        <v>491</v>
      </c>
      <c r="W67" s="347" t="s">
        <v>500</v>
      </c>
      <c r="X67" s="345" t="s">
        <v>519</v>
      </c>
      <c r="Y67" s="345" t="s">
        <v>472</v>
      </c>
      <c r="Z67" s="347" t="s">
        <v>624</v>
      </c>
      <c r="AA67" s="345" t="s">
        <v>685</v>
      </c>
      <c r="AB67" s="345" t="s">
        <v>482</v>
      </c>
      <c r="AC67" s="345" t="s">
        <v>119</v>
      </c>
      <c r="AD67" s="347" t="s">
        <v>624</v>
      </c>
      <c r="AE67" s="345" t="s">
        <v>491</v>
      </c>
      <c r="AF67" s="347" t="s">
        <v>624</v>
      </c>
      <c r="AG67" s="345" t="s">
        <v>111</v>
      </c>
      <c r="AH67" s="345"/>
      <c r="AI67" s="345" t="s">
        <v>111</v>
      </c>
      <c r="AJ67" s="345" t="s">
        <v>491</v>
      </c>
      <c r="AK67" s="347" t="s">
        <v>624</v>
      </c>
      <c r="AL67" s="345" t="s">
        <v>756</v>
      </c>
    </row>
    <row r="68" spans="1:38" ht="16.5" hidden="1" customHeight="1">
      <c r="A68" s="344" t="s">
        <v>463</v>
      </c>
      <c r="B68" s="345" t="s">
        <v>757</v>
      </c>
      <c r="C68" s="345" t="s">
        <v>109</v>
      </c>
      <c r="D68" s="345" t="s">
        <v>110</v>
      </c>
      <c r="E68" s="345" t="s">
        <v>111</v>
      </c>
      <c r="F68" s="345" t="s">
        <v>465</v>
      </c>
      <c r="G68" s="345" t="s">
        <v>111</v>
      </c>
      <c r="H68" s="345" t="s">
        <v>111</v>
      </c>
      <c r="I68" s="345" t="s">
        <v>758</v>
      </c>
      <c r="J68" s="345"/>
      <c r="K68" s="346" t="s">
        <v>112</v>
      </c>
      <c r="L68" s="346" t="s">
        <v>113</v>
      </c>
      <c r="M68" s="346" t="s">
        <v>114</v>
      </c>
      <c r="N68" s="346"/>
      <c r="O68" s="346"/>
      <c r="P68" s="345" t="s">
        <v>688</v>
      </c>
      <c r="Q68" s="345" t="s">
        <v>468</v>
      </c>
      <c r="R68" s="347" t="s">
        <v>120</v>
      </c>
      <c r="S68" s="345" t="s">
        <v>111</v>
      </c>
      <c r="T68" s="345" t="s">
        <v>469</v>
      </c>
      <c r="U68" s="345" t="s">
        <v>117</v>
      </c>
      <c r="V68" s="345" t="s">
        <v>491</v>
      </c>
      <c r="W68" s="347" t="s">
        <v>500</v>
      </c>
      <c r="X68" s="345" t="s">
        <v>519</v>
      </c>
      <c r="Y68" s="345" t="s">
        <v>472</v>
      </c>
      <c r="Z68" s="347" t="s">
        <v>624</v>
      </c>
      <c r="AA68" s="345" t="s">
        <v>474</v>
      </c>
      <c r="AB68" s="345" t="s">
        <v>482</v>
      </c>
      <c r="AC68" s="345" t="s">
        <v>519</v>
      </c>
      <c r="AD68" s="347" t="s">
        <v>624</v>
      </c>
      <c r="AE68" s="345" t="s">
        <v>491</v>
      </c>
      <c r="AF68" s="347" t="s">
        <v>624</v>
      </c>
      <c r="AG68" s="345" t="s">
        <v>111</v>
      </c>
      <c r="AH68" s="345"/>
      <c r="AI68" s="345" t="s">
        <v>111</v>
      </c>
      <c r="AJ68" s="345" t="s">
        <v>491</v>
      </c>
      <c r="AK68" s="347" t="s">
        <v>624</v>
      </c>
      <c r="AL68" s="345"/>
    </row>
    <row r="69" spans="1:38" ht="16.5" hidden="1" customHeight="1">
      <c r="A69" s="344" t="s">
        <v>463</v>
      </c>
      <c r="B69" s="345" t="s">
        <v>759</v>
      </c>
      <c r="C69" s="345" t="s">
        <v>589</v>
      </c>
      <c r="D69" s="345" t="s">
        <v>110</v>
      </c>
      <c r="E69" s="345" t="s">
        <v>708</v>
      </c>
      <c r="F69" s="345" t="s">
        <v>591</v>
      </c>
      <c r="G69" s="345" t="s">
        <v>111</v>
      </c>
      <c r="H69" s="345" t="s">
        <v>111</v>
      </c>
      <c r="I69" s="345" t="s">
        <v>760</v>
      </c>
      <c r="J69" s="345"/>
      <c r="K69" s="346" t="s">
        <v>112</v>
      </c>
      <c r="L69" s="346" t="s">
        <v>608</v>
      </c>
      <c r="M69" s="346" t="s">
        <v>114</v>
      </c>
      <c r="N69" s="346"/>
      <c r="O69" s="346"/>
      <c r="P69" s="345" t="s">
        <v>688</v>
      </c>
      <c r="Q69" s="345" t="s">
        <v>468</v>
      </c>
      <c r="R69" s="347" t="s">
        <v>120</v>
      </c>
      <c r="S69" s="345" t="s">
        <v>111</v>
      </c>
      <c r="T69" s="345" t="s">
        <v>469</v>
      </c>
      <c r="U69" s="345" t="s">
        <v>696</v>
      </c>
      <c r="V69" s="345" t="s">
        <v>491</v>
      </c>
      <c r="W69" s="347" t="s">
        <v>624</v>
      </c>
      <c r="X69" s="345" t="s">
        <v>595</v>
      </c>
      <c r="Y69" s="345" t="s">
        <v>472</v>
      </c>
      <c r="Z69" s="347" t="s">
        <v>701</v>
      </c>
      <c r="AA69" s="345" t="s">
        <v>474</v>
      </c>
      <c r="AB69" s="345" t="s">
        <v>482</v>
      </c>
      <c r="AC69" s="345" t="s">
        <v>119</v>
      </c>
      <c r="AD69" s="347" t="s">
        <v>697</v>
      </c>
      <c r="AE69" s="345" t="s">
        <v>491</v>
      </c>
      <c r="AF69" s="347" t="s">
        <v>701</v>
      </c>
      <c r="AG69" s="345" t="s">
        <v>111</v>
      </c>
      <c r="AH69" s="345"/>
      <c r="AI69" s="345" t="s">
        <v>111</v>
      </c>
      <c r="AJ69" s="345" t="s">
        <v>491</v>
      </c>
      <c r="AK69" s="347" t="s">
        <v>701</v>
      </c>
      <c r="AL69" s="345"/>
    </row>
    <row r="70" spans="1:38" ht="16.5" hidden="1" customHeight="1">
      <c r="A70" s="344" t="s">
        <v>463</v>
      </c>
      <c r="B70" s="345" t="s">
        <v>761</v>
      </c>
      <c r="C70" s="345" t="s">
        <v>589</v>
      </c>
      <c r="D70" s="345" t="s">
        <v>110</v>
      </c>
      <c r="E70" s="345" t="s">
        <v>603</v>
      </c>
      <c r="F70" s="345" t="s">
        <v>591</v>
      </c>
      <c r="G70" s="345" t="s">
        <v>111</v>
      </c>
      <c r="H70" s="345" t="s">
        <v>111</v>
      </c>
      <c r="I70" s="345" t="s">
        <v>762</v>
      </c>
      <c r="J70" s="345"/>
      <c r="K70" s="346" t="s">
        <v>122</v>
      </c>
      <c r="L70" s="346" t="s">
        <v>608</v>
      </c>
      <c r="M70" s="346" t="s">
        <v>114</v>
      </c>
      <c r="N70" s="346"/>
      <c r="O70" s="346"/>
      <c r="P70" s="345" t="s">
        <v>763</v>
      </c>
      <c r="Q70" s="345" t="s">
        <v>468</v>
      </c>
      <c r="R70" s="347" t="s">
        <v>120</v>
      </c>
      <c r="S70" s="345" t="s">
        <v>517</v>
      </c>
      <c r="T70" s="345" t="s">
        <v>469</v>
      </c>
      <c r="U70" s="345" t="s">
        <v>696</v>
      </c>
      <c r="V70" s="345" t="s">
        <v>491</v>
      </c>
      <c r="W70" s="347" t="s">
        <v>493</v>
      </c>
      <c r="X70" s="345" t="s">
        <v>595</v>
      </c>
      <c r="Y70" s="345" t="s">
        <v>472</v>
      </c>
      <c r="Z70" s="347" t="s">
        <v>701</v>
      </c>
      <c r="AA70" s="345" t="s">
        <v>474</v>
      </c>
      <c r="AB70" s="345" t="s">
        <v>482</v>
      </c>
      <c r="AC70" s="345" t="s">
        <v>119</v>
      </c>
      <c r="AD70" s="347" t="s">
        <v>697</v>
      </c>
      <c r="AE70" s="345" t="s">
        <v>491</v>
      </c>
      <c r="AF70" s="347" t="s">
        <v>701</v>
      </c>
      <c r="AG70" s="345" t="s">
        <v>111</v>
      </c>
      <c r="AH70" s="345"/>
      <c r="AI70" s="345" t="s">
        <v>111</v>
      </c>
      <c r="AJ70" s="345" t="s">
        <v>491</v>
      </c>
      <c r="AK70" s="347" t="s">
        <v>636</v>
      </c>
      <c r="AL70" s="345"/>
    </row>
    <row r="71" spans="1:38" ht="16.5" hidden="1" customHeight="1">
      <c r="A71" s="344" t="s">
        <v>463</v>
      </c>
      <c r="B71" s="345" t="s">
        <v>764</v>
      </c>
      <c r="C71" s="345" t="s">
        <v>589</v>
      </c>
      <c r="D71" s="345" t="s">
        <v>110</v>
      </c>
      <c r="E71" s="345" t="s">
        <v>603</v>
      </c>
      <c r="F71" s="345" t="s">
        <v>591</v>
      </c>
      <c r="G71" s="345" t="s">
        <v>111</v>
      </c>
      <c r="H71" s="345" t="s">
        <v>111</v>
      </c>
      <c r="I71" s="345" t="s">
        <v>765</v>
      </c>
      <c r="J71" s="345"/>
      <c r="K71" s="346" t="s">
        <v>112</v>
      </c>
      <c r="L71" s="346" t="s">
        <v>113</v>
      </c>
      <c r="M71" s="346" t="s">
        <v>114</v>
      </c>
      <c r="N71" s="346"/>
      <c r="O71" s="346"/>
      <c r="P71" s="345" t="s">
        <v>766</v>
      </c>
      <c r="Q71" s="345" t="s">
        <v>468</v>
      </c>
      <c r="R71" s="347" t="s">
        <v>120</v>
      </c>
      <c r="S71" s="345" t="s">
        <v>111</v>
      </c>
      <c r="T71" s="345" t="s">
        <v>469</v>
      </c>
      <c r="U71" s="345" t="s">
        <v>696</v>
      </c>
      <c r="V71" s="345" t="s">
        <v>491</v>
      </c>
      <c r="W71" s="347" t="s">
        <v>493</v>
      </c>
      <c r="X71" s="345" t="s">
        <v>595</v>
      </c>
      <c r="Y71" s="345" t="s">
        <v>472</v>
      </c>
      <c r="Z71" s="347" t="s">
        <v>701</v>
      </c>
      <c r="AA71" s="345" t="s">
        <v>474</v>
      </c>
      <c r="AB71" s="345" t="s">
        <v>482</v>
      </c>
      <c r="AC71" s="345" t="s">
        <v>119</v>
      </c>
      <c r="AD71" s="347" t="s">
        <v>697</v>
      </c>
      <c r="AE71" s="345" t="s">
        <v>491</v>
      </c>
      <c r="AF71" s="347" t="s">
        <v>701</v>
      </c>
      <c r="AG71" s="345" t="s">
        <v>111</v>
      </c>
      <c r="AH71" s="345"/>
      <c r="AI71" s="345" t="s">
        <v>111</v>
      </c>
      <c r="AJ71" s="345" t="s">
        <v>491</v>
      </c>
      <c r="AK71" s="347" t="s">
        <v>701</v>
      </c>
      <c r="AL71" s="345" t="s">
        <v>767</v>
      </c>
    </row>
    <row r="72" spans="1:38" ht="16.5" hidden="1" customHeight="1">
      <c r="A72" s="344" t="s">
        <v>463</v>
      </c>
      <c r="B72" s="345" t="s">
        <v>768</v>
      </c>
      <c r="C72" s="345" t="s">
        <v>109</v>
      </c>
      <c r="D72" s="345" t="s">
        <v>110</v>
      </c>
      <c r="E72" s="345" t="s">
        <v>111</v>
      </c>
      <c r="F72" s="345" t="s">
        <v>465</v>
      </c>
      <c r="G72" s="345" t="s">
        <v>111</v>
      </c>
      <c r="H72" s="345" t="s">
        <v>111</v>
      </c>
      <c r="I72" s="345" t="s">
        <v>769</v>
      </c>
      <c r="J72" s="345"/>
      <c r="K72" s="346" t="s">
        <v>122</v>
      </c>
      <c r="L72" s="346" t="s">
        <v>608</v>
      </c>
      <c r="M72" s="346" t="s">
        <v>114</v>
      </c>
      <c r="N72" s="346"/>
      <c r="O72" s="346"/>
      <c r="P72" s="345" t="s">
        <v>770</v>
      </c>
      <c r="Q72" s="345" t="s">
        <v>468</v>
      </c>
      <c r="R72" s="347" t="s">
        <v>120</v>
      </c>
      <c r="S72" s="345" t="s">
        <v>111</v>
      </c>
      <c r="T72" s="345" t="s">
        <v>469</v>
      </c>
      <c r="U72" s="345" t="s">
        <v>117</v>
      </c>
      <c r="V72" s="345" t="s">
        <v>491</v>
      </c>
      <c r="W72" s="347" t="s">
        <v>493</v>
      </c>
      <c r="X72" s="345" t="s">
        <v>519</v>
      </c>
      <c r="Y72" s="345" t="s">
        <v>472</v>
      </c>
      <c r="Z72" s="347" t="s">
        <v>487</v>
      </c>
      <c r="AA72" s="345" t="s">
        <v>619</v>
      </c>
      <c r="AB72" s="345" t="s">
        <v>482</v>
      </c>
      <c r="AC72" s="345" t="s">
        <v>519</v>
      </c>
      <c r="AD72" s="347" t="s">
        <v>600</v>
      </c>
      <c r="AE72" s="345" t="s">
        <v>491</v>
      </c>
      <c r="AF72" s="347" t="s">
        <v>487</v>
      </c>
      <c r="AG72" s="345" t="s">
        <v>111</v>
      </c>
      <c r="AH72" s="345"/>
      <c r="AI72" s="345" t="s">
        <v>111</v>
      </c>
      <c r="AJ72" s="345" t="s">
        <v>491</v>
      </c>
      <c r="AK72" s="347" t="s">
        <v>487</v>
      </c>
      <c r="AL72" s="345"/>
    </row>
    <row r="73" spans="1:38" ht="16.5" hidden="1" customHeight="1">
      <c r="A73" s="344" t="s">
        <v>463</v>
      </c>
      <c r="B73" s="345" t="s">
        <v>771</v>
      </c>
      <c r="C73" s="345" t="s">
        <v>109</v>
      </c>
      <c r="D73" s="345" t="s">
        <v>110</v>
      </c>
      <c r="E73" s="345" t="s">
        <v>111</v>
      </c>
      <c r="F73" s="345" t="s">
        <v>465</v>
      </c>
      <c r="G73" s="345" t="s">
        <v>111</v>
      </c>
      <c r="H73" s="345" t="s">
        <v>111</v>
      </c>
      <c r="I73" s="345" t="s">
        <v>772</v>
      </c>
      <c r="J73" s="345"/>
      <c r="K73" s="346" t="s">
        <v>112</v>
      </c>
      <c r="L73" s="346" t="s">
        <v>608</v>
      </c>
      <c r="M73" s="346" t="s">
        <v>114</v>
      </c>
      <c r="N73" s="346"/>
      <c r="O73" s="346"/>
      <c r="P73" s="345" t="s">
        <v>773</v>
      </c>
      <c r="Q73" s="345" t="s">
        <v>468</v>
      </c>
      <c r="R73" s="347" t="s">
        <v>120</v>
      </c>
      <c r="S73" s="345" t="s">
        <v>111</v>
      </c>
      <c r="T73" s="345" t="s">
        <v>469</v>
      </c>
      <c r="U73" s="345" t="s">
        <v>117</v>
      </c>
      <c r="V73" s="345" t="s">
        <v>491</v>
      </c>
      <c r="W73" s="347" t="s">
        <v>493</v>
      </c>
      <c r="X73" s="345" t="s">
        <v>519</v>
      </c>
      <c r="Y73" s="345" t="s">
        <v>472</v>
      </c>
      <c r="Z73" s="347" t="s">
        <v>610</v>
      </c>
      <c r="AA73" s="345" t="s">
        <v>619</v>
      </c>
      <c r="AB73" s="345" t="s">
        <v>482</v>
      </c>
      <c r="AC73" s="345" t="s">
        <v>519</v>
      </c>
      <c r="AD73" s="347" t="s">
        <v>660</v>
      </c>
      <c r="AE73" s="345" t="s">
        <v>483</v>
      </c>
      <c r="AF73" s="347" t="s">
        <v>610</v>
      </c>
      <c r="AG73" s="345" t="s">
        <v>111</v>
      </c>
      <c r="AH73" s="345"/>
      <c r="AI73" s="345" t="s">
        <v>111</v>
      </c>
      <c r="AJ73" s="345" t="s">
        <v>483</v>
      </c>
      <c r="AK73" s="347" t="s">
        <v>610</v>
      </c>
      <c r="AL73" s="345"/>
    </row>
    <row r="74" spans="1:38" ht="16.5" hidden="1" customHeight="1">
      <c r="A74" s="344" t="s">
        <v>463</v>
      </c>
      <c r="B74" s="345" t="s">
        <v>774</v>
      </c>
      <c r="C74" s="345" t="s">
        <v>109</v>
      </c>
      <c r="D74" s="345" t="s">
        <v>110</v>
      </c>
      <c r="E74" s="345" t="s">
        <v>111</v>
      </c>
      <c r="F74" s="345" t="s">
        <v>465</v>
      </c>
      <c r="G74" s="345" t="s">
        <v>111</v>
      </c>
      <c r="H74" s="345" t="s">
        <v>111</v>
      </c>
      <c r="I74" s="345" t="s">
        <v>775</v>
      </c>
      <c r="J74" s="345"/>
      <c r="K74" s="346" t="s">
        <v>122</v>
      </c>
      <c r="L74" s="346" t="s">
        <v>608</v>
      </c>
      <c r="M74" s="346" t="s">
        <v>114</v>
      </c>
      <c r="N74" s="346"/>
      <c r="O74" s="346"/>
      <c r="P74" s="345" t="s">
        <v>776</v>
      </c>
      <c r="Q74" s="345" t="s">
        <v>468</v>
      </c>
      <c r="R74" s="347" t="s">
        <v>120</v>
      </c>
      <c r="S74" s="345" t="s">
        <v>111</v>
      </c>
      <c r="T74" s="345" t="s">
        <v>469</v>
      </c>
      <c r="U74" s="345" t="s">
        <v>117</v>
      </c>
      <c r="V74" s="345" t="s">
        <v>491</v>
      </c>
      <c r="W74" s="347" t="s">
        <v>493</v>
      </c>
      <c r="X74" s="345" t="s">
        <v>519</v>
      </c>
      <c r="Y74" s="345" t="s">
        <v>472</v>
      </c>
      <c r="Z74" s="347" t="s">
        <v>705</v>
      </c>
      <c r="AA74" s="345" t="s">
        <v>619</v>
      </c>
      <c r="AB74" s="345" t="s">
        <v>553</v>
      </c>
      <c r="AC74" s="345"/>
      <c r="AD74" s="347" t="s">
        <v>706</v>
      </c>
      <c r="AE74" s="345" t="s">
        <v>619</v>
      </c>
      <c r="AF74" s="347" t="s">
        <v>705</v>
      </c>
      <c r="AG74" s="345" t="s">
        <v>111</v>
      </c>
      <c r="AH74" s="345"/>
      <c r="AI74" s="345" t="s">
        <v>111</v>
      </c>
      <c r="AJ74" s="345" t="s">
        <v>619</v>
      </c>
      <c r="AK74" s="347" t="s">
        <v>705</v>
      </c>
      <c r="AL74" s="345"/>
    </row>
    <row r="75" spans="1:38" ht="16.5" hidden="1" customHeight="1">
      <c r="A75" s="344" t="s">
        <v>463</v>
      </c>
      <c r="B75" s="345" t="s">
        <v>777</v>
      </c>
      <c r="C75" s="345" t="s">
        <v>109</v>
      </c>
      <c r="D75" s="345" t="s">
        <v>110</v>
      </c>
      <c r="E75" s="345" t="s">
        <v>111</v>
      </c>
      <c r="F75" s="345" t="s">
        <v>465</v>
      </c>
      <c r="G75" s="345" t="s">
        <v>111</v>
      </c>
      <c r="H75" s="345" t="s">
        <v>111</v>
      </c>
      <c r="I75" s="345" t="s">
        <v>778</v>
      </c>
      <c r="J75" s="345"/>
      <c r="K75" s="346" t="s">
        <v>122</v>
      </c>
      <c r="L75" s="346" t="s">
        <v>608</v>
      </c>
      <c r="M75" s="346" t="s">
        <v>114</v>
      </c>
      <c r="N75" s="346"/>
      <c r="O75" s="346"/>
      <c r="P75" s="345" t="s">
        <v>779</v>
      </c>
      <c r="Q75" s="345" t="s">
        <v>468</v>
      </c>
      <c r="R75" s="347" t="s">
        <v>120</v>
      </c>
      <c r="S75" s="345" t="s">
        <v>111</v>
      </c>
      <c r="T75" s="345" t="s">
        <v>469</v>
      </c>
      <c r="U75" s="345" t="s">
        <v>117</v>
      </c>
      <c r="V75" s="345" t="s">
        <v>491</v>
      </c>
      <c r="W75" s="347" t="s">
        <v>493</v>
      </c>
      <c r="X75" s="345" t="s">
        <v>519</v>
      </c>
      <c r="Y75" s="345" t="s">
        <v>472</v>
      </c>
      <c r="Z75" s="347" t="s">
        <v>487</v>
      </c>
      <c r="AA75" s="345" t="s">
        <v>619</v>
      </c>
      <c r="AB75" s="345" t="s">
        <v>482</v>
      </c>
      <c r="AC75" s="345" t="s">
        <v>519</v>
      </c>
      <c r="AD75" s="347" t="s">
        <v>600</v>
      </c>
      <c r="AE75" s="345" t="s">
        <v>491</v>
      </c>
      <c r="AF75" s="347" t="s">
        <v>487</v>
      </c>
      <c r="AG75" s="345" t="s">
        <v>111</v>
      </c>
      <c r="AH75" s="345"/>
      <c r="AI75" s="345" t="s">
        <v>111</v>
      </c>
      <c r="AJ75" s="345" t="s">
        <v>491</v>
      </c>
      <c r="AK75" s="347" t="s">
        <v>487</v>
      </c>
      <c r="AL75" s="345"/>
    </row>
    <row r="76" spans="1:38" ht="16.5" hidden="1" customHeight="1">
      <c r="A76" s="344" t="s">
        <v>463</v>
      </c>
      <c r="B76" s="345" t="s">
        <v>780</v>
      </c>
      <c r="C76" s="345" t="s">
        <v>109</v>
      </c>
      <c r="D76" s="345" t="s">
        <v>110</v>
      </c>
      <c r="E76" s="345" t="s">
        <v>111</v>
      </c>
      <c r="F76" s="345" t="s">
        <v>465</v>
      </c>
      <c r="G76" s="345" t="s">
        <v>111</v>
      </c>
      <c r="H76" s="345" t="s">
        <v>111</v>
      </c>
      <c r="I76" s="345" t="s">
        <v>781</v>
      </c>
      <c r="J76" s="345"/>
      <c r="K76" s="346" t="s">
        <v>122</v>
      </c>
      <c r="L76" s="346" t="s">
        <v>608</v>
      </c>
      <c r="M76" s="346" t="s">
        <v>114</v>
      </c>
      <c r="N76" s="346"/>
      <c r="O76" s="346"/>
      <c r="P76" s="345" t="s">
        <v>782</v>
      </c>
      <c r="Q76" s="345" t="s">
        <v>468</v>
      </c>
      <c r="R76" s="347" t="s">
        <v>120</v>
      </c>
      <c r="S76" s="345" t="s">
        <v>111</v>
      </c>
      <c r="T76" s="345" t="s">
        <v>469</v>
      </c>
      <c r="U76" s="345" t="s">
        <v>117</v>
      </c>
      <c r="V76" s="345" t="s">
        <v>491</v>
      </c>
      <c r="W76" s="347" t="s">
        <v>493</v>
      </c>
      <c r="X76" s="345" t="s">
        <v>519</v>
      </c>
      <c r="Y76" s="345" t="s">
        <v>472</v>
      </c>
      <c r="Z76" s="347" t="s">
        <v>487</v>
      </c>
      <c r="AA76" s="345" t="s">
        <v>685</v>
      </c>
      <c r="AB76" s="345" t="s">
        <v>620</v>
      </c>
      <c r="AC76" s="345" t="s">
        <v>119</v>
      </c>
      <c r="AD76" s="347" t="s">
        <v>493</v>
      </c>
      <c r="AE76" s="345" t="s">
        <v>491</v>
      </c>
      <c r="AF76" s="347" t="s">
        <v>487</v>
      </c>
      <c r="AG76" s="345" t="s">
        <v>111</v>
      </c>
      <c r="AH76" s="345"/>
      <c r="AI76" s="345" t="s">
        <v>111</v>
      </c>
      <c r="AJ76" s="345" t="s">
        <v>491</v>
      </c>
      <c r="AK76" s="347" t="s">
        <v>487</v>
      </c>
      <c r="AL76" s="345"/>
    </row>
    <row r="77" spans="1:38" ht="16.5" hidden="1" customHeight="1">
      <c r="A77" s="344" t="s">
        <v>463</v>
      </c>
      <c r="B77" s="345" t="s">
        <v>783</v>
      </c>
      <c r="C77" s="345" t="s">
        <v>109</v>
      </c>
      <c r="D77" s="345" t="s">
        <v>110</v>
      </c>
      <c r="E77" s="345" t="s">
        <v>111</v>
      </c>
      <c r="F77" s="345" t="s">
        <v>465</v>
      </c>
      <c r="G77" s="345" t="s">
        <v>111</v>
      </c>
      <c r="H77" s="345" t="s">
        <v>111</v>
      </c>
      <c r="I77" s="345" t="s">
        <v>784</v>
      </c>
      <c r="J77" s="345"/>
      <c r="K77" s="346" t="s">
        <v>122</v>
      </c>
      <c r="L77" s="346" t="s">
        <v>608</v>
      </c>
      <c r="M77" s="346" t="s">
        <v>114</v>
      </c>
      <c r="N77" s="346"/>
      <c r="O77" s="346"/>
      <c r="P77" s="345" t="s">
        <v>785</v>
      </c>
      <c r="Q77" s="345" t="s">
        <v>468</v>
      </c>
      <c r="R77" s="347" t="s">
        <v>120</v>
      </c>
      <c r="S77" s="345" t="s">
        <v>111</v>
      </c>
      <c r="T77" s="345" t="s">
        <v>469</v>
      </c>
      <c r="U77" s="345" t="s">
        <v>117</v>
      </c>
      <c r="V77" s="345" t="s">
        <v>491</v>
      </c>
      <c r="W77" s="347" t="s">
        <v>493</v>
      </c>
      <c r="X77" s="345" t="s">
        <v>519</v>
      </c>
      <c r="Y77" s="345" t="s">
        <v>472</v>
      </c>
      <c r="Z77" s="347" t="s">
        <v>487</v>
      </c>
      <c r="AA77" s="345" t="s">
        <v>619</v>
      </c>
      <c r="AB77" s="345" t="s">
        <v>482</v>
      </c>
      <c r="AC77" s="345" t="s">
        <v>519</v>
      </c>
      <c r="AD77" s="347" t="s">
        <v>660</v>
      </c>
      <c r="AE77" s="345" t="s">
        <v>491</v>
      </c>
      <c r="AF77" s="347" t="s">
        <v>487</v>
      </c>
      <c r="AG77" s="345" t="s">
        <v>111</v>
      </c>
      <c r="AH77" s="345"/>
      <c r="AI77" s="345" t="s">
        <v>111</v>
      </c>
      <c r="AJ77" s="345" t="s">
        <v>491</v>
      </c>
      <c r="AK77" s="347" t="s">
        <v>487</v>
      </c>
      <c r="AL77" s="345"/>
    </row>
    <row r="78" spans="1:38" ht="16.5" hidden="1" customHeight="1">
      <c r="A78" s="344" t="s">
        <v>463</v>
      </c>
      <c r="B78" s="345" t="s">
        <v>786</v>
      </c>
      <c r="C78" s="345" t="s">
        <v>109</v>
      </c>
      <c r="D78" s="345" t="s">
        <v>110</v>
      </c>
      <c r="E78" s="345" t="s">
        <v>111</v>
      </c>
      <c r="F78" s="345" t="s">
        <v>465</v>
      </c>
      <c r="G78" s="345" t="s">
        <v>111</v>
      </c>
      <c r="H78" s="345" t="s">
        <v>111</v>
      </c>
      <c r="I78" s="345" t="s">
        <v>787</v>
      </c>
      <c r="J78" s="345"/>
      <c r="K78" s="346" t="s">
        <v>112</v>
      </c>
      <c r="L78" s="346" t="s">
        <v>608</v>
      </c>
      <c r="M78" s="346" t="s">
        <v>114</v>
      </c>
      <c r="N78" s="346"/>
      <c r="O78" s="346"/>
      <c r="P78" s="345" t="s">
        <v>788</v>
      </c>
      <c r="Q78" s="345" t="s">
        <v>468</v>
      </c>
      <c r="R78" s="347" t="s">
        <v>120</v>
      </c>
      <c r="S78" s="345" t="s">
        <v>111</v>
      </c>
      <c r="T78" s="345" t="s">
        <v>469</v>
      </c>
      <c r="U78" s="345" t="s">
        <v>117</v>
      </c>
      <c r="V78" s="345" t="s">
        <v>491</v>
      </c>
      <c r="W78" s="347" t="s">
        <v>493</v>
      </c>
      <c r="X78" s="345" t="s">
        <v>519</v>
      </c>
      <c r="Y78" s="345" t="s">
        <v>472</v>
      </c>
      <c r="Z78" s="347" t="s">
        <v>518</v>
      </c>
      <c r="AA78" s="345" t="s">
        <v>619</v>
      </c>
      <c r="AB78" s="345" t="s">
        <v>482</v>
      </c>
      <c r="AC78" s="345" t="s">
        <v>519</v>
      </c>
      <c r="AD78" s="347" t="s">
        <v>660</v>
      </c>
      <c r="AE78" s="345" t="s">
        <v>491</v>
      </c>
      <c r="AF78" s="347" t="s">
        <v>518</v>
      </c>
      <c r="AG78" s="345" t="s">
        <v>111</v>
      </c>
      <c r="AH78" s="345"/>
      <c r="AI78" s="345" t="s">
        <v>111</v>
      </c>
      <c r="AJ78" s="345" t="s">
        <v>491</v>
      </c>
      <c r="AK78" s="347" t="s">
        <v>518</v>
      </c>
      <c r="AL78" s="345" t="s">
        <v>767</v>
      </c>
    </row>
    <row r="79" spans="1:38" ht="16.5" hidden="1" customHeight="1">
      <c r="A79" s="344" t="s">
        <v>463</v>
      </c>
      <c r="B79" s="345" t="s">
        <v>789</v>
      </c>
      <c r="C79" s="345" t="s">
        <v>109</v>
      </c>
      <c r="D79" s="345" t="s">
        <v>110</v>
      </c>
      <c r="E79" s="345" t="s">
        <v>111</v>
      </c>
      <c r="F79" s="345" t="s">
        <v>465</v>
      </c>
      <c r="G79" s="345" t="s">
        <v>111</v>
      </c>
      <c r="H79" s="345" t="s">
        <v>111</v>
      </c>
      <c r="I79" s="345" t="s">
        <v>790</v>
      </c>
      <c r="J79" s="345"/>
      <c r="K79" s="346" t="s">
        <v>112</v>
      </c>
      <c r="L79" s="346" t="s">
        <v>608</v>
      </c>
      <c r="M79" s="346" t="s">
        <v>114</v>
      </c>
      <c r="N79" s="346"/>
      <c r="O79" s="346"/>
      <c r="P79" s="345" t="s">
        <v>791</v>
      </c>
      <c r="Q79" s="345" t="s">
        <v>468</v>
      </c>
      <c r="R79" s="347" t="s">
        <v>120</v>
      </c>
      <c r="S79" s="345" t="s">
        <v>111</v>
      </c>
      <c r="T79" s="345" t="s">
        <v>469</v>
      </c>
      <c r="U79" s="345" t="s">
        <v>117</v>
      </c>
      <c r="V79" s="345" t="s">
        <v>491</v>
      </c>
      <c r="W79" s="347" t="s">
        <v>493</v>
      </c>
      <c r="X79" s="345" t="s">
        <v>519</v>
      </c>
      <c r="Y79" s="345" t="s">
        <v>472</v>
      </c>
      <c r="Z79" s="347" t="s">
        <v>518</v>
      </c>
      <c r="AA79" s="345" t="s">
        <v>619</v>
      </c>
      <c r="AB79" s="345" t="s">
        <v>482</v>
      </c>
      <c r="AC79" s="345" t="s">
        <v>519</v>
      </c>
      <c r="AD79" s="347" t="s">
        <v>660</v>
      </c>
      <c r="AE79" s="345" t="s">
        <v>491</v>
      </c>
      <c r="AF79" s="347" t="s">
        <v>518</v>
      </c>
      <c r="AG79" s="345" t="s">
        <v>111</v>
      </c>
      <c r="AH79" s="345"/>
      <c r="AI79" s="345" t="s">
        <v>111</v>
      </c>
      <c r="AJ79" s="345" t="s">
        <v>491</v>
      </c>
      <c r="AK79" s="347" t="s">
        <v>518</v>
      </c>
      <c r="AL79" s="345"/>
    </row>
    <row r="80" spans="1:38" ht="16.5" hidden="1" customHeight="1">
      <c r="A80" s="344" t="s">
        <v>463</v>
      </c>
      <c r="B80" s="345" t="s">
        <v>792</v>
      </c>
      <c r="C80" s="345" t="s">
        <v>109</v>
      </c>
      <c r="D80" s="345" t="s">
        <v>110</v>
      </c>
      <c r="E80" s="345" t="s">
        <v>111</v>
      </c>
      <c r="F80" s="345" t="s">
        <v>465</v>
      </c>
      <c r="G80" s="345" t="s">
        <v>111</v>
      </c>
      <c r="H80" s="345" t="s">
        <v>111</v>
      </c>
      <c r="I80" s="345" t="s">
        <v>793</v>
      </c>
      <c r="J80" s="345"/>
      <c r="K80" s="346" t="s">
        <v>112</v>
      </c>
      <c r="L80" s="346" t="s">
        <v>608</v>
      </c>
      <c r="M80" s="346" t="s">
        <v>114</v>
      </c>
      <c r="N80" s="346"/>
      <c r="O80" s="346"/>
      <c r="P80" s="345" t="s">
        <v>794</v>
      </c>
      <c r="Q80" s="345" t="s">
        <v>468</v>
      </c>
      <c r="R80" s="347" t="s">
        <v>120</v>
      </c>
      <c r="S80" s="345" t="s">
        <v>111</v>
      </c>
      <c r="T80" s="345" t="s">
        <v>469</v>
      </c>
      <c r="U80" s="345" t="s">
        <v>117</v>
      </c>
      <c r="V80" s="345" t="s">
        <v>491</v>
      </c>
      <c r="W80" s="347" t="s">
        <v>493</v>
      </c>
      <c r="X80" s="345" t="s">
        <v>519</v>
      </c>
      <c r="Y80" s="345" t="s">
        <v>472</v>
      </c>
      <c r="Z80" s="347" t="s">
        <v>705</v>
      </c>
      <c r="AA80" s="345" t="s">
        <v>619</v>
      </c>
      <c r="AB80" s="345" t="s">
        <v>553</v>
      </c>
      <c r="AC80" s="345"/>
      <c r="AD80" s="347" t="s">
        <v>706</v>
      </c>
      <c r="AE80" s="345" t="s">
        <v>619</v>
      </c>
      <c r="AF80" s="347" t="s">
        <v>705</v>
      </c>
      <c r="AG80" s="345" t="s">
        <v>111</v>
      </c>
      <c r="AH80" s="345"/>
      <c r="AI80" s="345" t="s">
        <v>111</v>
      </c>
      <c r="AJ80" s="345" t="s">
        <v>619</v>
      </c>
      <c r="AK80" s="347" t="s">
        <v>705</v>
      </c>
      <c r="AL80" s="345"/>
    </row>
    <row r="81" spans="1:38" ht="16.5" hidden="1" customHeight="1">
      <c r="A81" s="344" t="s">
        <v>463</v>
      </c>
      <c r="B81" s="345" t="s">
        <v>795</v>
      </c>
      <c r="C81" s="345" t="s">
        <v>109</v>
      </c>
      <c r="D81" s="345" t="s">
        <v>110</v>
      </c>
      <c r="E81" s="345" t="s">
        <v>111</v>
      </c>
      <c r="F81" s="345" t="s">
        <v>465</v>
      </c>
      <c r="G81" s="345" t="s">
        <v>111</v>
      </c>
      <c r="H81" s="345" t="s">
        <v>111</v>
      </c>
      <c r="I81" s="345" t="s">
        <v>796</v>
      </c>
      <c r="J81" s="345"/>
      <c r="K81" s="346" t="s">
        <v>112</v>
      </c>
      <c r="L81" s="346" t="s">
        <v>608</v>
      </c>
      <c r="M81" s="346" t="s">
        <v>114</v>
      </c>
      <c r="N81" s="346"/>
      <c r="O81" s="346"/>
      <c r="P81" s="345" t="s">
        <v>797</v>
      </c>
      <c r="Q81" s="345" t="s">
        <v>468</v>
      </c>
      <c r="R81" s="347" t="s">
        <v>120</v>
      </c>
      <c r="S81" s="345" t="s">
        <v>111</v>
      </c>
      <c r="T81" s="345" t="s">
        <v>469</v>
      </c>
      <c r="U81" s="345" t="s">
        <v>117</v>
      </c>
      <c r="V81" s="345" t="s">
        <v>491</v>
      </c>
      <c r="W81" s="347" t="s">
        <v>493</v>
      </c>
      <c r="X81" s="345" t="s">
        <v>519</v>
      </c>
      <c r="Y81" s="345" t="s">
        <v>472</v>
      </c>
      <c r="Z81" s="347" t="s">
        <v>705</v>
      </c>
      <c r="AA81" s="345" t="s">
        <v>619</v>
      </c>
      <c r="AB81" s="345" t="s">
        <v>553</v>
      </c>
      <c r="AC81" s="345"/>
      <c r="AD81" s="347" t="s">
        <v>706</v>
      </c>
      <c r="AE81" s="345" t="s">
        <v>619</v>
      </c>
      <c r="AF81" s="347" t="s">
        <v>705</v>
      </c>
      <c r="AG81" s="345" t="s">
        <v>111</v>
      </c>
      <c r="AH81" s="345"/>
      <c r="AI81" s="345" t="s">
        <v>111</v>
      </c>
      <c r="AJ81" s="345" t="s">
        <v>619</v>
      </c>
      <c r="AK81" s="347" t="s">
        <v>705</v>
      </c>
      <c r="AL81" s="345"/>
    </row>
    <row r="82" spans="1:38" ht="16.5" hidden="1" customHeight="1">
      <c r="A82" s="344" t="s">
        <v>463</v>
      </c>
      <c r="B82" s="345" t="s">
        <v>798</v>
      </c>
      <c r="C82" s="345" t="s">
        <v>109</v>
      </c>
      <c r="D82" s="345" t="s">
        <v>110</v>
      </c>
      <c r="E82" s="345" t="s">
        <v>111</v>
      </c>
      <c r="F82" s="345" t="s">
        <v>465</v>
      </c>
      <c r="G82" s="345" t="s">
        <v>111</v>
      </c>
      <c r="H82" s="345" t="s">
        <v>111</v>
      </c>
      <c r="I82" s="345" t="s">
        <v>799</v>
      </c>
      <c r="J82" s="345"/>
      <c r="K82" s="346" t="s">
        <v>112</v>
      </c>
      <c r="L82" s="346" t="s">
        <v>608</v>
      </c>
      <c r="M82" s="346" t="s">
        <v>114</v>
      </c>
      <c r="N82" s="346"/>
      <c r="O82" s="346"/>
      <c r="P82" s="345" t="s">
        <v>800</v>
      </c>
      <c r="Q82" s="345" t="s">
        <v>468</v>
      </c>
      <c r="R82" s="347" t="s">
        <v>120</v>
      </c>
      <c r="S82" s="345" t="s">
        <v>111</v>
      </c>
      <c r="T82" s="345" t="s">
        <v>469</v>
      </c>
      <c r="U82" s="345" t="s">
        <v>117</v>
      </c>
      <c r="V82" s="345" t="s">
        <v>491</v>
      </c>
      <c r="W82" s="347" t="s">
        <v>493</v>
      </c>
      <c r="X82" s="345" t="s">
        <v>519</v>
      </c>
      <c r="Y82" s="345" t="s">
        <v>472</v>
      </c>
      <c r="Z82" s="347" t="s">
        <v>481</v>
      </c>
      <c r="AA82" s="345" t="s">
        <v>619</v>
      </c>
      <c r="AB82" s="345" t="s">
        <v>482</v>
      </c>
      <c r="AC82" s="345" t="s">
        <v>519</v>
      </c>
      <c r="AD82" s="347" t="s">
        <v>600</v>
      </c>
      <c r="AE82" s="345" t="s">
        <v>483</v>
      </c>
      <c r="AF82" s="347" t="s">
        <v>481</v>
      </c>
      <c r="AG82" s="345" t="s">
        <v>111</v>
      </c>
      <c r="AH82" s="345"/>
      <c r="AI82" s="345" t="s">
        <v>111</v>
      </c>
      <c r="AJ82" s="345" t="s">
        <v>483</v>
      </c>
      <c r="AK82" s="347" t="s">
        <v>481</v>
      </c>
      <c r="AL82" s="345"/>
    </row>
    <row r="83" spans="1:38" ht="16.5" hidden="1" customHeight="1">
      <c r="A83" s="344" t="s">
        <v>463</v>
      </c>
      <c r="B83" s="345" t="s">
        <v>801</v>
      </c>
      <c r="C83" s="345" t="s">
        <v>109</v>
      </c>
      <c r="D83" s="345" t="s">
        <v>110</v>
      </c>
      <c r="E83" s="345" t="s">
        <v>111</v>
      </c>
      <c r="F83" s="345" t="s">
        <v>465</v>
      </c>
      <c r="G83" s="345" t="s">
        <v>111</v>
      </c>
      <c r="H83" s="345" t="s">
        <v>111</v>
      </c>
      <c r="I83" s="345" t="s">
        <v>802</v>
      </c>
      <c r="J83" s="345"/>
      <c r="K83" s="346" t="s">
        <v>112</v>
      </c>
      <c r="L83" s="346" t="s">
        <v>608</v>
      </c>
      <c r="M83" s="346" t="s">
        <v>114</v>
      </c>
      <c r="N83" s="346"/>
      <c r="O83" s="346"/>
      <c r="P83" s="345" t="s">
        <v>803</v>
      </c>
      <c r="Q83" s="345" t="s">
        <v>468</v>
      </c>
      <c r="R83" s="347" t="s">
        <v>120</v>
      </c>
      <c r="S83" s="345" t="s">
        <v>111</v>
      </c>
      <c r="T83" s="345" t="s">
        <v>469</v>
      </c>
      <c r="U83" s="345" t="s">
        <v>117</v>
      </c>
      <c r="V83" s="345" t="s">
        <v>491</v>
      </c>
      <c r="W83" s="347" t="s">
        <v>493</v>
      </c>
      <c r="X83" s="345" t="s">
        <v>519</v>
      </c>
      <c r="Y83" s="345" t="s">
        <v>472</v>
      </c>
      <c r="Z83" s="347" t="s">
        <v>705</v>
      </c>
      <c r="AA83" s="345" t="s">
        <v>619</v>
      </c>
      <c r="AB83" s="345" t="s">
        <v>553</v>
      </c>
      <c r="AC83" s="345"/>
      <c r="AD83" s="347" t="s">
        <v>706</v>
      </c>
      <c r="AE83" s="345" t="s">
        <v>619</v>
      </c>
      <c r="AF83" s="347" t="s">
        <v>705</v>
      </c>
      <c r="AG83" s="345" t="s">
        <v>111</v>
      </c>
      <c r="AH83" s="345"/>
      <c r="AI83" s="345" t="s">
        <v>111</v>
      </c>
      <c r="AJ83" s="345" t="s">
        <v>619</v>
      </c>
      <c r="AK83" s="347" t="s">
        <v>705</v>
      </c>
      <c r="AL83" s="345"/>
    </row>
    <row r="84" spans="1:38" ht="16.5" hidden="1" customHeight="1">
      <c r="A84" s="344" t="s">
        <v>463</v>
      </c>
      <c r="B84" s="345" t="s">
        <v>804</v>
      </c>
      <c r="C84" s="345" t="s">
        <v>589</v>
      </c>
      <c r="D84" s="345" t="s">
        <v>110</v>
      </c>
      <c r="E84" s="345" t="s">
        <v>708</v>
      </c>
      <c r="F84" s="345" t="s">
        <v>591</v>
      </c>
      <c r="G84" s="345" t="s">
        <v>111</v>
      </c>
      <c r="H84" s="345" t="s">
        <v>111</v>
      </c>
      <c r="I84" s="345" t="s">
        <v>805</v>
      </c>
      <c r="J84" s="345"/>
      <c r="K84" s="346" t="s">
        <v>479</v>
      </c>
      <c r="L84" s="346" t="s">
        <v>113</v>
      </c>
      <c r="M84" s="346" t="s">
        <v>114</v>
      </c>
      <c r="N84" s="346"/>
      <c r="O84" s="346"/>
      <c r="P84" s="345" t="s">
        <v>806</v>
      </c>
      <c r="Q84" s="345" t="s">
        <v>468</v>
      </c>
      <c r="R84" s="347" t="s">
        <v>120</v>
      </c>
      <c r="S84" s="345" t="s">
        <v>111</v>
      </c>
      <c r="T84" s="345" t="s">
        <v>469</v>
      </c>
      <c r="U84" s="345" t="s">
        <v>696</v>
      </c>
      <c r="V84" s="345" t="s">
        <v>491</v>
      </c>
      <c r="W84" s="347" t="s">
        <v>493</v>
      </c>
      <c r="X84" s="345" t="s">
        <v>595</v>
      </c>
      <c r="Y84" s="345" t="s">
        <v>472</v>
      </c>
      <c r="Z84" s="347" t="s">
        <v>701</v>
      </c>
      <c r="AA84" s="345" t="s">
        <v>474</v>
      </c>
      <c r="AB84" s="345" t="s">
        <v>482</v>
      </c>
      <c r="AC84" s="345" t="s">
        <v>119</v>
      </c>
      <c r="AD84" s="347" t="s">
        <v>697</v>
      </c>
      <c r="AE84" s="345" t="s">
        <v>491</v>
      </c>
      <c r="AF84" s="347" t="s">
        <v>701</v>
      </c>
      <c r="AG84" s="345" t="s">
        <v>111</v>
      </c>
      <c r="AH84" s="345"/>
      <c r="AI84" s="345" t="s">
        <v>111</v>
      </c>
      <c r="AJ84" s="345" t="s">
        <v>491</v>
      </c>
      <c r="AK84" s="347" t="s">
        <v>701</v>
      </c>
      <c r="AL84" s="345"/>
    </row>
    <row r="85" spans="1:38" ht="16.5" hidden="1" customHeight="1">
      <c r="A85" s="344" t="s">
        <v>463</v>
      </c>
      <c r="B85" s="345" t="s">
        <v>807</v>
      </c>
      <c r="C85" s="345" t="s">
        <v>109</v>
      </c>
      <c r="D85" s="345" t="s">
        <v>110</v>
      </c>
      <c r="E85" s="345" t="s">
        <v>111</v>
      </c>
      <c r="F85" s="345" t="s">
        <v>465</v>
      </c>
      <c r="G85" s="345" t="s">
        <v>111</v>
      </c>
      <c r="H85" s="345" t="s">
        <v>111</v>
      </c>
      <c r="I85" s="345" t="s">
        <v>808</v>
      </c>
      <c r="J85" s="345"/>
      <c r="K85" s="346" t="s">
        <v>122</v>
      </c>
      <c r="L85" s="346" t="s">
        <v>608</v>
      </c>
      <c r="M85" s="346" t="s">
        <v>114</v>
      </c>
      <c r="N85" s="346"/>
      <c r="O85" s="346"/>
      <c r="P85" s="345" t="s">
        <v>809</v>
      </c>
      <c r="Q85" s="345" t="s">
        <v>468</v>
      </c>
      <c r="R85" s="347" t="s">
        <v>120</v>
      </c>
      <c r="S85" s="345" t="s">
        <v>111</v>
      </c>
      <c r="T85" s="345" t="s">
        <v>469</v>
      </c>
      <c r="U85" s="345" t="s">
        <v>117</v>
      </c>
      <c r="V85" s="345" t="s">
        <v>491</v>
      </c>
      <c r="W85" s="347" t="s">
        <v>493</v>
      </c>
      <c r="X85" s="345" t="s">
        <v>519</v>
      </c>
      <c r="Y85" s="345" t="s">
        <v>472</v>
      </c>
      <c r="Z85" s="347" t="s">
        <v>487</v>
      </c>
      <c r="AA85" s="345" t="s">
        <v>474</v>
      </c>
      <c r="AB85" s="345" t="s">
        <v>475</v>
      </c>
      <c r="AC85" s="345" t="s">
        <v>519</v>
      </c>
      <c r="AD85" s="347" t="s">
        <v>748</v>
      </c>
      <c r="AE85" s="345" t="s">
        <v>491</v>
      </c>
      <c r="AF85" s="347" t="s">
        <v>487</v>
      </c>
      <c r="AG85" s="345" t="s">
        <v>111</v>
      </c>
      <c r="AH85" s="345"/>
      <c r="AI85" s="345" t="s">
        <v>111</v>
      </c>
      <c r="AJ85" s="345" t="s">
        <v>491</v>
      </c>
      <c r="AK85" s="347" t="s">
        <v>487</v>
      </c>
      <c r="AL85" s="345"/>
    </row>
    <row r="86" spans="1:38" ht="16.5" hidden="1" customHeight="1">
      <c r="A86" s="344" t="s">
        <v>463</v>
      </c>
      <c r="B86" s="345" t="s">
        <v>810</v>
      </c>
      <c r="C86" s="345" t="s">
        <v>589</v>
      </c>
      <c r="D86" s="345" t="s">
        <v>110</v>
      </c>
      <c r="E86" s="345" t="s">
        <v>708</v>
      </c>
      <c r="F86" s="345" t="s">
        <v>591</v>
      </c>
      <c r="G86" s="345" t="s">
        <v>111</v>
      </c>
      <c r="H86" s="345" t="s">
        <v>111</v>
      </c>
      <c r="I86" s="345" t="s">
        <v>811</v>
      </c>
      <c r="J86" s="345"/>
      <c r="K86" s="346" t="s">
        <v>122</v>
      </c>
      <c r="L86" s="346" t="s">
        <v>608</v>
      </c>
      <c r="M86" s="346" t="s">
        <v>114</v>
      </c>
      <c r="N86" s="346"/>
      <c r="O86" s="346"/>
      <c r="P86" s="345" t="s">
        <v>812</v>
      </c>
      <c r="Q86" s="345" t="s">
        <v>468</v>
      </c>
      <c r="R86" s="347" t="s">
        <v>120</v>
      </c>
      <c r="S86" s="345" t="s">
        <v>111</v>
      </c>
      <c r="T86" s="345" t="s">
        <v>469</v>
      </c>
      <c r="U86" s="345" t="s">
        <v>618</v>
      </c>
      <c r="V86" s="345" t="s">
        <v>491</v>
      </c>
      <c r="W86" s="347" t="s">
        <v>493</v>
      </c>
      <c r="X86" s="345" t="s">
        <v>595</v>
      </c>
      <c r="Y86" s="345" t="s">
        <v>472</v>
      </c>
      <c r="Z86" s="347" t="s">
        <v>813</v>
      </c>
      <c r="AA86" s="345" t="s">
        <v>814</v>
      </c>
      <c r="AB86" s="345" t="s">
        <v>482</v>
      </c>
      <c r="AC86" s="345" t="s">
        <v>119</v>
      </c>
      <c r="AD86" s="347" t="s">
        <v>518</v>
      </c>
      <c r="AE86" s="345" t="s">
        <v>491</v>
      </c>
      <c r="AF86" s="347" t="s">
        <v>813</v>
      </c>
      <c r="AG86" s="345" t="s">
        <v>111</v>
      </c>
      <c r="AH86" s="345"/>
      <c r="AI86" s="345" t="s">
        <v>111</v>
      </c>
      <c r="AJ86" s="345" t="s">
        <v>491</v>
      </c>
      <c r="AK86" s="347" t="s">
        <v>636</v>
      </c>
      <c r="AL86" s="345"/>
    </row>
    <row r="87" spans="1:38" ht="16.5" hidden="1" customHeight="1">
      <c r="A87" s="344" t="s">
        <v>463</v>
      </c>
      <c r="B87" s="345" t="s">
        <v>815</v>
      </c>
      <c r="C87" s="345" t="s">
        <v>589</v>
      </c>
      <c r="D87" s="345" t="s">
        <v>110</v>
      </c>
      <c r="E87" s="345" t="s">
        <v>590</v>
      </c>
      <c r="F87" s="345" t="s">
        <v>591</v>
      </c>
      <c r="G87" s="345" t="s">
        <v>111</v>
      </c>
      <c r="H87" s="345" t="s">
        <v>111</v>
      </c>
      <c r="I87" s="345" t="s">
        <v>816</v>
      </c>
      <c r="J87" s="345"/>
      <c r="K87" s="346" t="s">
        <v>122</v>
      </c>
      <c r="L87" s="346" t="s">
        <v>608</v>
      </c>
      <c r="M87" s="346" t="s">
        <v>114</v>
      </c>
      <c r="N87" s="346"/>
      <c r="O87" s="346"/>
      <c r="P87" s="345" t="s">
        <v>817</v>
      </c>
      <c r="Q87" s="345" t="s">
        <v>468</v>
      </c>
      <c r="R87" s="347" t="s">
        <v>120</v>
      </c>
      <c r="S87" s="345" t="s">
        <v>568</v>
      </c>
      <c r="T87" s="345" t="s">
        <v>469</v>
      </c>
      <c r="U87" s="345" t="s">
        <v>696</v>
      </c>
      <c r="V87" s="345" t="s">
        <v>483</v>
      </c>
      <c r="W87" s="347" t="s">
        <v>748</v>
      </c>
      <c r="X87" s="345" t="s">
        <v>595</v>
      </c>
      <c r="Y87" s="345" t="s">
        <v>472</v>
      </c>
      <c r="Z87" s="347" t="s">
        <v>818</v>
      </c>
      <c r="AA87" s="345" t="s">
        <v>819</v>
      </c>
      <c r="AB87" s="345" t="s">
        <v>482</v>
      </c>
      <c r="AC87" s="345" t="s">
        <v>820</v>
      </c>
      <c r="AD87" s="347" t="s">
        <v>818</v>
      </c>
      <c r="AE87" s="345" t="s">
        <v>123</v>
      </c>
      <c r="AF87" s="347" t="s">
        <v>818</v>
      </c>
      <c r="AG87" s="345" t="s">
        <v>111</v>
      </c>
      <c r="AH87" s="345"/>
      <c r="AI87" s="345" t="s">
        <v>821</v>
      </c>
      <c r="AJ87" s="345" t="s">
        <v>123</v>
      </c>
      <c r="AK87" s="347" t="s">
        <v>818</v>
      </c>
      <c r="AL87" s="345"/>
    </row>
    <row r="88" spans="1:38" ht="16.5" hidden="1" customHeight="1">
      <c r="A88" s="344" t="s">
        <v>463</v>
      </c>
      <c r="B88" s="345" t="s">
        <v>822</v>
      </c>
      <c r="C88" s="345" t="s">
        <v>589</v>
      </c>
      <c r="D88" s="345" t="s">
        <v>110</v>
      </c>
      <c r="E88" s="345" t="s">
        <v>603</v>
      </c>
      <c r="F88" s="345" t="s">
        <v>591</v>
      </c>
      <c r="G88" s="345" t="s">
        <v>111</v>
      </c>
      <c r="H88" s="345" t="s">
        <v>111</v>
      </c>
      <c r="I88" s="345" t="s">
        <v>823</v>
      </c>
      <c r="J88" s="345"/>
      <c r="K88" s="346" t="s">
        <v>122</v>
      </c>
      <c r="L88" s="346" t="s">
        <v>608</v>
      </c>
      <c r="M88" s="346" t="s">
        <v>114</v>
      </c>
      <c r="N88" s="346"/>
      <c r="O88" s="346"/>
      <c r="P88" s="345" t="s">
        <v>824</v>
      </c>
      <c r="Q88" s="345" t="s">
        <v>468</v>
      </c>
      <c r="R88" s="347" t="s">
        <v>120</v>
      </c>
      <c r="S88" s="345" t="s">
        <v>111</v>
      </c>
      <c r="T88" s="345" t="s">
        <v>469</v>
      </c>
      <c r="U88" s="345" t="s">
        <v>696</v>
      </c>
      <c r="V88" s="345" t="s">
        <v>123</v>
      </c>
      <c r="W88" s="347" t="s">
        <v>487</v>
      </c>
      <c r="X88" s="345" t="s">
        <v>596</v>
      </c>
      <c r="Y88" s="345" t="s">
        <v>472</v>
      </c>
      <c r="Z88" s="347" t="s">
        <v>701</v>
      </c>
      <c r="AA88" s="345" t="s">
        <v>474</v>
      </c>
      <c r="AB88" s="345" t="s">
        <v>482</v>
      </c>
      <c r="AC88" s="345" t="s">
        <v>119</v>
      </c>
      <c r="AD88" s="347" t="s">
        <v>697</v>
      </c>
      <c r="AE88" s="345" t="s">
        <v>491</v>
      </c>
      <c r="AF88" s="347" t="s">
        <v>701</v>
      </c>
      <c r="AG88" s="345" t="s">
        <v>111</v>
      </c>
      <c r="AH88" s="345"/>
      <c r="AI88" s="345" t="s">
        <v>111</v>
      </c>
      <c r="AJ88" s="345" t="s">
        <v>491</v>
      </c>
      <c r="AK88" s="347" t="s">
        <v>636</v>
      </c>
      <c r="AL88" s="345"/>
    </row>
    <row r="89" spans="1:38" ht="16.5" hidden="1" customHeight="1">
      <c r="A89" s="344" t="s">
        <v>463</v>
      </c>
      <c r="B89" s="345" t="s">
        <v>825</v>
      </c>
      <c r="C89" s="345" t="s">
        <v>589</v>
      </c>
      <c r="D89" s="345" t="s">
        <v>110</v>
      </c>
      <c r="E89" s="345" t="s">
        <v>826</v>
      </c>
      <c r="F89" s="345" t="s">
        <v>591</v>
      </c>
      <c r="G89" s="345" t="s">
        <v>111</v>
      </c>
      <c r="H89" s="345" t="s">
        <v>111</v>
      </c>
      <c r="I89" s="345" t="s">
        <v>827</v>
      </c>
      <c r="J89" s="345"/>
      <c r="K89" s="346" t="s">
        <v>112</v>
      </c>
      <c r="L89" s="346" t="s">
        <v>608</v>
      </c>
      <c r="M89" s="346" t="s">
        <v>114</v>
      </c>
      <c r="N89" s="346"/>
      <c r="O89" s="346"/>
      <c r="P89" s="345" t="s">
        <v>828</v>
      </c>
      <c r="Q89" s="345" t="s">
        <v>468</v>
      </c>
      <c r="R89" s="347" t="s">
        <v>120</v>
      </c>
      <c r="S89" s="345" t="s">
        <v>111</v>
      </c>
      <c r="T89" s="345" t="s">
        <v>469</v>
      </c>
      <c r="U89" s="345" t="s">
        <v>117</v>
      </c>
      <c r="V89" s="345" t="s">
        <v>491</v>
      </c>
      <c r="W89" s="347" t="s">
        <v>487</v>
      </c>
      <c r="X89" s="345" t="s">
        <v>596</v>
      </c>
      <c r="Y89" s="345" t="s">
        <v>472</v>
      </c>
      <c r="Z89" s="347" t="s">
        <v>813</v>
      </c>
      <c r="AA89" s="345" t="s">
        <v>814</v>
      </c>
      <c r="AB89" s="345" t="s">
        <v>482</v>
      </c>
      <c r="AC89" s="345" t="s">
        <v>119</v>
      </c>
      <c r="AD89" s="347" t="s">
        <v>518</v>
      </c>
      <c r="AE89" s="345" t="s">
        <v>491</v>
      </c>
      <c r="AF89" s="347" t="s">
        <v>813</v>
      </c>
      <c r="AG89" s="345" t="s">
        <v>111</v>
      </c>
      <c r="AH89" s="345"/>
      <c r="AI89" s="345" t="s">
        <v>111</v>
      </c>
      <c r="AJ89" s="345" t="s">
        <v>491</v>
      </c>
      <c r="AK89" s="347" t="s">
        <v>636</v>
      </c>
      <c r="AL89" s="345"/>
    </row>
    <row r="90" spans="1:38" ht="16.5" hidden="1" customHeight="1">
      <c r="A90" s="344" t="s">
        <v>463</v>
      </c>
      <c r="B90" s="345" t="s">
        <v>829</v>
      </c>
      <c r="C90" s="345" t="s">
        <v>589</v>
      </c>
      <c r="D90" s="345" t="s">
        <v>110</v>
      </c>
      <c r="E90" s="345" t="s">
        <v>590</v>
      </c>
      <c r="F90" s="345" t="s">
        <v>591</v>
      </c>
      <c r="G90" s="345" t="s">
        <v>111</v>
      </c>
      <c r="H90" s="345" t="s">
        <v>111</v>
      </c>
      <c r="I90" s="345" t="s">
        <v>830</v>
      </c>
      <c r="J90" s="345"/>
      <c r="K90" s="346" t="s">
        <v>122</v>
      </c>
      <c r="L90" s="346" t="s">
        <v>608</v>
      </c>
      <c r="M90" s="346" t="s">
        <v>114</v>
      </c>
      <c r="N90" s="346"/>
      <c r="O90" s="346"/>
      <c r="P90" s="345" t="s">
        <v>831</v>
      </c>
      <c r="Q90" s="345" t="s">
        <v>468</v>
      </c>
      <c r="R90" s="347" t="s">
        <v>120</v>
      </c>
      <c r="S90" s="345" t="s">
        <v>111</v>
      </c>
      <c r="T90" s="345" t="s">
        <v>469</v>
      </c>
      <c r="U90" s="345" t="s">
        <v>696</v>
      </c>
      <c r="V90" s="345" t="s">
        <v>123</v>
      </c>
      <c r="W90" s="347" t="s">
        <v>487</v>
      </c>
      <c r="X90" s="345" t="s">
        <v>596</v>
      </c>
      <c r="Y90" s="345" t="s">
        <v>472</v>
      </c>
      <c r="Z90" s="347" t="s">
        <v>832</v>
      </c>
      <c r="AA90" s="345" t="s">
        <v>819</v>
      </c>
      <c r="AB90" s="345" t="s">
        <v>482</v>
      </c>
      <c r="AC90" s="345" t="s">
        <v>833</v>
      </c>
      <c r="AD90" s="347" t="s">
        <v>697</v>
      </c>
      <c r="AE90" s="345" t="s">
        <v>483</v>
      </c>
      <c r="AF90" s="347" t="s">
        <v>832</v>
      </c>
      <c r="AG90" s="345" t="s">
        <v>111</v>
      </c>
      <c r="AH90" s="345"/>
      <c r="AI90" s="345" t="s">
        <v>111</v>
      </c>
      <c r="AJ90" s="345" t="s">
        <v>491</v>
      </c>
      <c r="AK90" s="347" t="s">
        <v>636</v>
      </c>
      <c r="AL90" s="345"/>
    </row>
    <row r="91" spans="1:38" ht="16.5" hidden="1" customHeight="1">
      <c r="A91" s="344" t="s">
        <v>463</v>
      </c>
      <c r="B91" s="345" t="s">
        <v>834</v>
      </c>
      <c r="C91" s="345" t="s">
        <v>589</v>
      </c>
      <c r="D91" s="345" t="s">
        <v>110</v>
      </c>
      <c r="E91" s="345" t="s">
        <v>603</v>
      </c>
      <c r="F91" s="345" t="s">
        <v>591</v>
      </c>
      <c r="G91" s="345" t="s">
        <v>111</v>
      </c>
      <c r="H91" s="345" t="s">
        <v>111</v>
      </c>
      <c r="I91" s="345" t="s">
        <v>835</v>
      </c>
      <c r="J91" s="345"/>
      <c r="K91" s="346" t="s">
        <v>122</v>
      </c>
      <c r="L91" s="346" t="s">
        <v>608</v>
      </c>
      <c r="M91" s="346" t="s">
        <v>114</v>
      </c>
      <c r="N91" s="346"/>
      <c r="O91" s="346"/>
      <c r="P91" s="345" t="s">
        <v>836</v>
      </c>
      <c r="Q91" s="345" t="s">
        <v>468</v>
      </c>
      <c r="R91" s="347" t="s">
        <v>120</v>
      </c>
      <c r="S91" s="345" t="s">
        <v>517</v>
      </c>
      <c r="T91" s="345" t="s">
        <v>469</v>
      </c>
      <c r="U91" s="345" t="s">
        <v>696</v>
      </c>
      <c r="V91" s="345" t="s">
        <v>123</v>
      </c>
      <c r="W91" s="347" t="s">
        <v>487</v>
      </c>
      <c r="X91" s="345" t="s">
        <v>596</v>
      </c>
      <c r="Y91" s="345" t="s">
        <v>472</v>
      </c>
      <c r="Z91" s="347" t="s">
        <v>837</v>
      </c>
      <c r="AA91" s="345" t="s">
        <v>483</v>
      </c>
      <c r="AB91" s="345" t="s">
        <v>475</v>
      </c>
      <c r="AC91" s="345"/>
      <c r="AD91" s="347" t="s">
        <v>732</v>
      </c>
      <c r="AE91" s="345" t="s">
        <v>491</v>
      </c>
      <c r="AF91" s="347" t="s">
        <v>837</v>
      </c>
      <c r="AG91" s="345" t="s">
        <v>111</v>
      </c>
      <c r="AH91" s="345"/>
      <c r="AI91" s="345" t="s">
        <v>111</v>
      </c>
      <c r="AJ91" s="345" t="s">
        <v>491</v>
      </c>
      <c r="AK91" s="347" t="s">
        <v>837</v>
      </c>
      <c r="AL91" s="345"/>
    </row>
    <row r="92" spans="1:38" ht="16.5" hidden="1" customHeight="1">
      <c r="A92" s="344" t="s">
        <v>463</v>
      </c>
      <c r="B92" s="345" t="s">
        <v>838</v>
      </c>
      <c r="C92" s="345" t="s">
        <v>589</v>
      </c>
      <c r="D92" s="345" t="s">
        <v>110</v>
      </c>
      <c r="E92" s="345" t="s">
        <v>590</v>
      </c>
      <c r="F92" s="345" t="s">
        <v>591</v>
      </c>
      <c r="G92" s="345" t="s">
        <v>111</v>
      </c>
      <c r="H92" s="345" t="s">
        <v>111</v>
      </c>
      <c r="I92" s="345" t="s">
        <v>839</v>
      </c>
      <c r="J92" s="345"/>
      <c r="K92" s="346" t="s">
        <v>122</v>
      </c>
      <c r="L92" s="346" t="s">
        <v>608</v>
      </c>
      <c r="M92" s="346" t="s">
        <v>114</v>
      </c>
      <c r="N92" s="346"/>
      <c r="O92" s="346"/>
      <c r="P92" s="345" t="s">
        <v>840</v>
      </c>
      <c r="Q92" s="345" t="s">
        <v>468</v>
      </c>
      <c r="R92" s="347" t="s">
        <v>120</v>
      </c>
      <c r="S92" s="345" t="s">
        <v>111</v>
      </c>
      <c r="T92" s="345" t="s">
        <v>469</v>
      </c>
      <c r="U92" s="345" t="s">
        <v>696</v>
      </c>
      <c r="V92" s="345" t="s">
        <v>123</v>
      </c>
      <c r="W92" s="347" t="s">
        <v>487</v>
      </c>
      <c r="X92" s="345" t="s">
        <v>596</v>
      </c>
      <c r="Y92" s="345" t="s">
        <v>472</v>
      </c>
      <c r="Z92" s="347" t="s">
        <v>832</v>
      </c>
      <c r="AA92" s="345" t="s">
        <v>819</v>
      </c>
      <c r="AB92" s="345" t="s">
        <v>482</v>
      </c>
      <c r="AC92" s="345" t="s">
        <v>833</v>
      </c>
      <c r="AD92" s="347" t="s">
        <v>697</v>
      </c>
      <c r="AE92" s="345" t="s">
        <v>483</v>
      </c>
      <c r="AF92" s="347" t="s">
        <v>832</v>
      </c>
      <c r="AG92" s="345" t="s">
        <v>111</v>
      </c>
      <c r="AH92" s="345"/>
      <c r="AI92" s="345" t="s">
        <v>111</v>
      </c>
      <c r="AJ92" s="345" t="s">
        <v>491</v>
      </c>
      <c r="AK92" s="347" t="s">
        <v>636</v>
      </c>
      <c r="AL92" s="345"/>
    </row>
    <row r="93" spans="1:38" ht="16.5" hidden="1" customHeight="1">
      <c r="A93" s="344" t="s">
        <v>463</v>
      </c>
      <c r="B93" s="345" t="s">
        <v>841</v>
      </c>
      <c r="C93" s="345" t="s">
        <v>589</v>
      </c>
      <c r="D93" s="345" t="s">
        <v>110</v>
      </c>
      <c r="E93" s="345" t="s">
        <v>111</v>
      </c>
      <c r="F93" s="345" t="s">
        <v>591</v>
      </c>
      <c r="G93" s="345" t="s">
        <v>111</v>
      </c>
      <c r="H93" s="345" t="s">
        <v>111</v>
      </c>
      <c r="I93" s="345" t="s">
        <v>842</v>
      </c>
      <c r="J93" s="345"/>
      <c r="K93" s="346" t="s">
        <v>122</v>
      </c>
      <c r="L93" s="346" t="s">
        <v>608</v>
      </c>
      <c r="M93" s="346" t="s">
        <v>114</v>
      </c>
      <c r="N93" s="346"/>
      <c r="O93" s="346"/>
      <c r="P93" s="345" t="s">
        <v>843</v>
      </c>
      <c r="Q93" s="345" t="s">
        <v>468</v>
      </c>
      <c r="R93" s="347" t="s">
        <v>120</v>
      </c>
      <c r="S93" s="345" t="s">
        <v>111</v>
      </c>
      <c r="T93" s="345" t="s">
        <v>469</v>
      </c>
      <c r="U93" s="345" t="s">
        <v>844</v>
      </c>
      <c r="V93" s="345" t="s">
        <v>491</v>
      </c>
      <c r="W93" s="347" t="s">
        <v>487</v>
      </c>
      <c r="X93" s="345" t="s">
        <v>596</v>
      </c>
      <c r="Y93" s="345" t="s">
        <v>472</v>
      </c>
      <c r="Z93" s="347" t="s">
        <v>832</v>
      </c>
      <c r="AA93" s="345" t="s">
        <v>619</v>
      </c>
      <c r="AB93" s="345" t="s">
        <v>482</v>
      </c>
      <c r="AC93" s="345" t="s">
        <v>596</v>
      </c>
      <c r="AD93" s="347" t="s">
        <v>845</v>
      </c>
      <c r="AE93" s="345" t="s">
        <v>483</v>
      </c>
      <c r="AF93" s="347" t="s">
        <v>832</v>
      </c>
      <c r="AG93" s="345" t="s">
        <v>111</v>
      </c>
      <c r="AH93" s="345"/>
      <c r="AI93" s="345" t="s">
        <v>111</v>
      </c>
      <c r="AJ93" s="345" t="s">
        <v>483</v>
      </c>
      <c r="AK93" s="347" t="s">
        <v>832</v>
      </c>
      <c r="AL93" s="345"/>
    </row>
    <row r="94" spans="1:38" ht="16.5" hidden="1" customHeight="1">
      <c r="A94" s="344" t="s">
        <v>463</v>
      </c>
      <c r="B94" s="345" t="s">
        <v>846</v>
      </c>
      <c r="C94" s="345" t="s">
        <v>589</v>
      </c>
      <c r="D94" s="345" t="s">
        <v>110</v>
      </c>
      <c r="E94" s="345" t="s">
        <v>847</v>
      </c>
      <c r="F94" s="345" t="s">
        <v>591</v>
      </c>
      <c r="G94" s="345" t="s">
        <v>111</v>
      </c>
      <c r="H94" s="345" t="s">
        <v>111</v>
      </c>
      <c r="I94" s="345" t="s">
        <v>848</v>
      </c>
      <c r="J94" s="345"/>
      <c r="K94" s="346" t="s">
        <v>122</v>
      </c>
      <c r="L94" s="346" t="s">
        <v>608</v>
      </c>
      <c r="M94" s="346" t="s">
        <v>114</v>
      </c>
      <c r="N94" s="346"/>
      <c r="O94" s="346"/>
      <c r="P94" s="345" t="s">
        <v>849</v>
      </c>
      <c r="Q94" s="345" t="s">
        <v>468</v>
      </c>
      <c r="R94" s="347" t="s">
        <v>120</v>
      </c>
      <c r="S94" s="345" t="s">
        <v>111</v>
      </c>
      <c r="T94" s="345" t="s">
        <v>469</v>
      </c>
      <c r="U94" s="345" t="s">
        <v>844</v>
      </c>
      <c r="V94" s="345" t="s">
        <v>491</v>
      </c>
      <c r="W94" s="347" t="s">
        <v>487</v>
      </c>
      <c r="X94" s="345" t="s">
        <v>596</v>
      </c>
      <c r="Y94" s="345" t="s">
        <v>472</v>
      </c>
      <c r="Z94" s="347" t="s">
        <v>832</v>
      </c>
      <c r="AA94" s="345" t="s">
        <v>619</v>
      </c>
      <c r="AB94" s="345" t="s">
        <v>482</v>
      </c>
      <c r="AC94" s="345" t="s">
        <v>850</v>
      </c>
      <c r="AD94" s="347" t="s">
        <v>851</v>
      </c>
      <c r="AE94" s="345" t="s">
        <v>483</v>
      </c>
      <c r="AF94" s="347" t="s">
        <v>832</v>
      </c>
      <c r="AG94" s="345" t="s">
        <v>111</v>
      </c>
      <c r="AH94" s="345"/>
      <c r="AI94" s="345" t="s">
        <v>111</v>
      </c>
      <c r="AJ94" s="345" t="s">
        <v>491</v>
      </c>
      <c r="AK94" s="347" t="s">
        <v>636</v>
      </c>
      <c r="AL94" s="345"/>
    </row>
    <row r="95" spans="1:38" ht="16.5" hidden="1" customHeight="1">
      <c r="A95" s="344" t="s">
        <v>463</v>
      </c>
      <c r="B95" s="345" t="s">
        <v>852</v>
      </c>
      <c r="C95" s="345" t="s">
        <v>589</v>
      </c>
      <c r="D95" s="345" t="s">
        <v>110</v>
      </c>
      <c r="E95" s="345" t="s">
        <v>853</v>
      </c>
      <c r="F95" s="345" t="s">
        <v>591</v>
      </c>
      <c r="G95" s="345" t="s">
        <v>111</v>
      </c>
      <c r="H95" s="345" t="s">
        <v>111</v>
      </c>
      <c r="I95" s="345" t="s">
        <v>854</v>
      </c>
      <c r="J95" s="345"/>
      <c r="K95" s="346" t="s">
        <v>122</v>
      </c>
      <c r="L95" s="346" t="s">
        <v>608</v>
      </c>
      <c r="M95" s="346" t="s">
        <v>114</v>
      </c>
      <c r="N95" s="346" t="s">
        <v>855</v>
      </c>
      <c r="O95" s="346"/>
      <c r="P95" s="345" t="s">
        <v>856</v>
      </c>
      <c r="Q95" s="345" t="s">
        <v>468</v>
      </c>
      <c r="R95" s="347" t="s">
        <v>120</v>
      </c>
      <c r="S95" s="345" t="s">
        <v>111</v>
      </c>
      <c r="T95" s="345" t="s">
        <v>469</v>
      </c>
      <c r="U95" s="345" t="s">
        <v>117</v>
      </c>
      <c r="V95" s="345" t="s">
        <v>483</v>
      </c>
      <c r="W95" s="347" t="s">
        <v>487</v>
      </c>
      <c r="X95" s="345" t="s">
        <v>596</v>
      </c>
      <c r="Y95" s="345" t="s">
        <v>472</v>
      </c>
      <c r="Z95" s="347" t="s">
        <v>832</v>
      </c>
      <c r="AA95" s="345" t="s">
        <v>619</v>
      </c>
      <c r="AB95" s="345" t="s">
        <v>482</v>
      </c>
      <c r="AC95" s="345" t="s">
        <v>596</v>
      </c>
      <c r="AD95" s="347" t="s">
        <v>857</v>
      </c>
      <c r="AE95" s="345" t="s">
        <v>483</v>
      </c>
      <c r="AF95" s="347" t="s">
        <v>832</v>
      </c>
      <c r="AG95" s="345" t="s">
        <v>111</v>
      </c>
      <c r="AH95" s="345"/>
      <c r="AI95" s="345" t="s">
        <v>111</v>
      </c>
      <c r="AJ95" s="345" t="s">
        <v>483</v>
      </c>
      <c r="AK95" s="347" t="s">
        <v>832</v>
      </c>
      <c r="AL95" s="345" t="s">
        <v>858</v>
      </c>
    </row>
    <row r="96" spans="1:38" ht="16.5" hidden="1" customHeight="1">
      <c r="A96" s="344" t="s">
        <v>463</v>
      </c>
      <c r="B96" s="345" t="s">
        <v>859</v>
      </c>
      <c r="C96" s="345" t="s">
        <v>589</v>
      </c>
      <c r="D96" s="345" t="s">
        <v>110</v>
      </c>
      <c r="E96" s="345" t="s">
        <v>860</v>
      </c>
      <c r="F96" s="345" t="s">
        <v>591</v>
      </c>
      <c r="G96" s="345" t="s">
        <v>111</v>
      </c>
      <c r="H96" s="345" t="s">
        <v>111</v>
      </c>
      <c r="I96" s="345" t="s">
        <v>861</v>
      </c>
      <c r="J96" s="345"/>
      <c r="K96" s="346" t="s">
        <v>122</v>
      </c>
      <c r="L96" s="346" t="s">
        <v>608</v>
      </c>
      <c r="M96" s="346" t="s">
        <v>114</v>
      </c>
      <c r="N96" s="346"/>
      <c r="O96" s="346"/>
      <c r="P96" s="345" t="s">
        <v>862</v>
      </c>
      <c r="Q96" s="345" t="s">
        <v>468</v>
      </c>
      <c r="R96" s="347" t="s">
        <v>120</v>
      </c>
      <c r="S96" s="345" t="s">
        <v>111</v>
      </c>
      <c r="T96" s="345" t="s">
        <v>469</v>
      </c>
      <c r="U96" s="345" t="s">
        <v>117</v>
      </c>
      <c r="V96" s="345" t="s">
        <v>491</v>
      </c>
      <c r="W96" s="347" t="s">
        <v>487</v>
      </c>
      <c r="X96" s="345" t="s">
        <v>596</v>
      </c>
      <c r="Y96" s="345" t="s">
        <v>472</v>
      </c>
      <c r="Z96" s="347" t="s">
        <v>857</v>
      </c>
      <c r="AA96" s="345" t="s">
        <v>689</v>
      </c>
      <c r="AB96" s="345" t="s">
        <v>482</v>
      </c>
      <c r="AC96" s="345" t="s">
        <v>863</v>
      </c>
      <c r="AD96" s="347" t="s">
        <v>857</v>
      </c>
      <c r="AE96" s="345" t="s">
        <v>491</v>
      </c>
      <c r="AF96" s="347" t="s">
        <v>857</v>
      </c>
      <c r="AG96" s="345" t="s">
        <v>111</v>
      </c>
      <c r="AH96" s="345"/>
      <c r="AI96" s="345" t="s">
        <v>111</v>
      </c>
      <c r="AJ96" s="345" t="s">
        <v>491</v>
      </c>
      <c r="AK96" s="347" t="s">
        <v>636</v>
      </c>
      <c r="AL96" s="345"/>
    </row>
    <row r="97" spans="1:38" ht="16.5" hidden="1" customHeight="1">
      <c r="A97" s="344" t="s">
        <v>463</v>
      </c>
      <c r="B97" s="345" t="s">
        <v>864</v>
      </c>
      <c r="C97" s="345" t="s">
        <v>589</v>
      </c>
      <c r="D97" s="345" t="s">
        <v>110</v>
      </c>
      <c r="E97" s="345" t="s">
        <v>847</v>
      </c>
      <c r="F97" s="345" t="s">
        <v>591</v>
      </c>
      <c r="G97" s="345" t="s">
        <v>111</v>
      </c>
      <c r="H97" s="345" t="s">
        <v>111</v>
      </c>
      <c r="I97" s="345" t="s">
        <v>865</v>
      </c>
      <c r="J97" s="345"/>
      <c r="K97" s="346" t="s">
        <v>112</v>
      </c>
      <c r="L97" s="346" t="s">
        <v>593</v>
      </c>
      <c r="M97" s="346" t="s">
        <v>114</v>
      </c>
      <c r="N97" s="346"/>
      <c r="O97" s="346"/>
      <c r="P97" s="345" t="s">
        <v>866</v>
      </c>
      <c r="Q97" s="345" t="s">
        <v>468</v>
      </c>
      <c r="R97" s="347" t="s">
        <v>120</v>
      </c>
      <c r="S97" s="345" t="s">
        <v>111</v>
      </c>
      <c r="T97" s="345" t="s">
        <v>469</v>
      </c>
      <c r="U97" s="345" t="s">
        <v>867</v>
      </c>
      <c r="V97" s="345" t="s">
        <v>483</v>
      </c>
      <c r="W97" s="347" t="s">
        <v>487</v>
      </c>
      <c r="X97" s="345" t="s">
        <v>596</v>
      </c>
      <c r="Y97" s="345" t="s">
        <v>472</v>
      </c>
      <c r="Z97" s="347" t="s">
        <v>582</v>
      </c>
      <c r="AA97" s="345" t="s">
        <v>689</v>
      </c>
      <c r="AB97" s="345" t="s">
        <v>482</v>
      </c>
      <c r="AC97" s="345" t="s">
        <v>119</v>
      </c>
      <c r="AD97" s="347" t="s">
        <v>868</v>
      </c>
      <c r="AE97" s="345" t="s">
        <v>123</v>
      </c>
      <c r="AF97" s="347" t="s">
        <v>582</v>
      </c>
      <c r="AG97" s="345" t="s">
        <v>111</v>
      </c>
      <c r="AH97" s="345"/>
      <c r="AI97" s="345" t="s">
        <v>111</v>
      </c>
      <c r="AJ97" s="345" t="s">
        <v>491</v>
      </c>
      <c r="AK97" s="347" t="s">
        <v>636</v>
      </c>
      <c r="AL97" s="345" t="s">
        <v>869</v>
      </c>
    </row>
    <row r="98" spans="1:38" ht="16.5" hidden="1" customHeight="1">
      <c r="A98" s="344" t="s">
        <v>463</v>
      </c>
      <c r="B98" s="345" t="s">
        <v>870</v>
      </c>
      <c r="C98" s="345" t="s">
        <v>589</v>
      </c>
      <c r="D98" s="345" t="s">
        <v>110</v>
      </c>
      <c r="E98" s="345" t="s">
        <v>860</v>
      </c>
      <c r="F98" s="345" t="s">
        <v>591</v>
      </c>
      <c r="G98" s="345" t="s">
        <v>111</v>
      </c>
      <c r="H98" s="345" t="s">
        <v>111</v>
      </c>
      <c r="I98" s="345" t="s">
        <v>871</v>
      </c>
      <c r="J98" s="345"/>
      <c r="K98" s="346" t="s">
        <v>122</v>
      </c>
      <c r="L98" s="346" t="s">
        <v>608</v>
      </c>
      <c r="M98" s="346" t="s">
        <v>114</v>
      </c>
      <c r="N98" s="346"/>
      <c r="O98" s="346"/>
      <c r="P98" s="345" t="s">
        <v>872</v>
      </c>
      <c r="Q98" s="345" t="s">
        <v>468</v>
      </c>
      <c r="R98" s="347" t="s">
        <v>120</v>
      </c>
      <c r="S98" s="345" t="s">
        <v>111</v>
      </c>
      <c r="T98" s="345" t="s">
        <v>469</v>
      </c>
      <c r="U98" s="345" t="s">
        <v>117</v>
      </c>
      <c r="V98" s="345" t="s">
        <v>491</v>
      </c>
      <c r="W98" s="347" t="s">
        <v>487</v>
      </c>
      <c r="X98" s="345" t="s">
        <v>596</v>
      </c>
      <c r="Y98" s="345" t="s">
        <v>472</v>
      </c>
      <c r="Z98" s="347" t="s">
        <v>857</v>
      </c>
      <c r="AA98" s="345" t="s">
        <v>689</v>
      </c>
      <c r="AB98" s="345" t="s">
        <v>482</v>
      </c>
      <c r="AC98" s="345" t="s">
        <v>863</v>
      </c>
      <c r="AD98" s="347" t="s">
        <v>857</v>
      </c>
      <c r="AE98" s="345" t="s">
        <v>491</v>
      </c>
      <c r="AF98" s="347" t="s">
        <v>857</v>
      </c>
      <c r="AG98" s="345" t="s">
        <v>111</v>
      </c>
      <c r="AH98" s="345"/>
      <c r="AI98" s="345" t="s">
        <v>111</v>
      </c>
      <c r="AJ98" s="345" t="s">
        <v>491</v>
      </c>
      <c r="AK98" s="347" t="s">
        <v>636</v>
      </c>
      <c r="AL98" s="345"/>
    </row>
    <row r="99" spans="1:38" ht="16.5" hidden="1" customHeight="1">
      <c r="A99" s="344" t="s">
        <v>463</v>
      </c>
      <c r="B99" s="345" t="s">
        <v>873</v>
      </c>
      <c r="C99" s="345" t="s">
        <v>589</v>
      </c>
      <c r="D99" s="345" t="s">
        <v>110</v>
      </c>
      <c r="E99" s="345" t="s">
        <v>111</v>
      </c>
      <c r="F99" s="345" t="s">
        <v>591</v>
      </c>
      <c r="G99" s="345" t="s">
        <v>111</v>
      </c>
      <c r="H99" s="345" t="s">
        <v>111</v>
      </c>
      <c r="I99" s="345" t="s">
        <v>874</v>
      </c>
      <c r="J99" s="345"/>
      <c r="K99" s="346" t="s">
        <v>122</v>
      </c>
      <c r="L99" s="346" t="s">
        <v>608</v>
      </c>
      <c r="M99" s="346" t="s">
        <v>114</v>
      </c>
      <c r="N99" s="346"/>
      <c r="O99" s="346"/>
      <c r="P99" s="345" t="s">
        <v>875</v>
      </c>
      <c r="Q99" s="345" t="s">
        <v>468</v>
      </c>
      <c r="R99" s="347" t="s">
        <v>120</v>
      </c>
      <c r="S99" s="345" t="s">
        <v>517</v>
      </c>
      <c r="T99" s="345" t="s">
        <v>469</v>
      </c>
      <c r="U99" s="345" t="s">
        <v>696</v>
      </c>
      <c r="V99" s="345" t="s">
        <v>123</v>
      </c>
      <c r="W99" s="347" t="s">
        <v>518</v>
      </c>
      <c r="X99" s="345" t="s">
        <v>596</v>
      </c>
      <c r="Y99" s="345" t="s">
        <v>472</v>
      </c>
      <c r="Z99" s="347" t="s">
        <v>832</v>
      </c>
      <c r="AA99" s="345" t="s">
        <v>819</v>
      </c>
      <c r="AB99" s="345" t="s">
        <v>482</v>
      </c>
      <c r="AC99" s="345" t="s">
        <v>833</v>
      </c>
      <c r="AD99" s="347" t="s">
        <v>697</v>
      </c>
      <c r="AE99" s="345" t="s">
        <v>483</v>
      </c>
      <c r="AF99" s="347" t="s">
        <v>832</v>
      </c>
      <c r="AG99" s="345" t="s">
        <v>111</v>
      </c>
      <c r="AH99" s="345"/>
      <c r="AI99" s="345" t="s">
        <v>111</v>
      </c>
      <c r="AJ99" s="345" t="s">
        <v>483</v>
      </c>
      <c r="AK99" s="347" t="s">
        <v>832</v>
      </c>
      <c r="AL99" s="345"/>
    </row>
    <row r="100" spans="1:38" ht="16.5" hidden="1" customHeight="1">
      <c r="A100" s="344" t="s">
        <v>463</v>
      </c>
      <c r="B100" s="345" t="s">
        <v>876</v>
      </c>
      <c r="C100" s="345" t="s">
        <v>589</v>
      </c>
      <c r="D100" s="345" t="s">
        <v>110</v>
      </c>
      <c r="E100" s="345" t="s">
        <v>826</v>
      </c>
      <c r="F100" s="345" t="s">
        <v>591</v>
      </c>
      <c r="G100" s="345" t="s">
        <v>111</v>
      </c>
      <c r="H100" s="345" t="s">
        <v>111</v>
      </c>
      <c r="I100" s="345" t="s">
        <v>877</v>
      </c>
      <c r="J100" s="345"/>
      <c r="K100" s="346" t="s">
        <v>479</v>
      </c>
      <c r="L100" s="346" t="s">
        <v>113</v>
      </c>
      <c r="M100" s="346" t="s">
        <v>114</v>
      </c>
      <c r="N100" s="346"/>
      <c r="O100" s="346"/>
      <c r="P100" s="345" t="s">
        <v>878</v>
      </c>
      <c r="Q100" s="345" t="s">
        <v>468</v>
      </c>
      <c r="R100" s="347" t="s">
        <v>120</v>
      </c>
      <c r="S100" s="345" t="s">
        <v>111</v>
      </c>
      <c r="T100" s="345" t="s">
        <v>469</v>
      </c>
      <c r="U100" s="345" t="s">
        <v>117</v>
      </c>
      <c r="V100" s="345" t="s">
        <v>491</v>
      </c>
      <c r="W100" s="347" t="s">
        <v>518</v>
      </c>
      <c r="X100" s="345" t="s">
        <v>596</v>
      </c>
      <c r="Y100" s="345" t="s">
        <v>472</v>
      </c>
      <c r="Z100" s="347" t="s">
        <v>879</v>
      </c>
      <c r="AA100" s="345" t="s">
        <v>814</v>
      </c>
      <c r="AB100" s="345" t="s">
        <v>482</v>
      </c>
      <c r="AC100" s="345" t="s">
        <v>863</v>
      </c>
      <c r="AD100" s="347" t="s">
        <v>879</v>
      </c>
      <c r="AE100" s="345" t="s">
        <v>491</v>
      </c>
      <c r="AF100" s="347" t="s">
        <v>879</v>
      </c>
      <c r="AG100" s="345" t="s">
        <v>111</v>
      </c>
      <c r="AH100" s="345"/>
      <c r="AI100" s="345" t="s">
        <v>111</v>
      </c>
      <c r="AJ100" s="345" t="s">
        <v>491</v>
      </c>
      <c r="AK100" s="347" t="s">
        <v>636</v>
      </c>
      <c r="AL100" s="345" t="s">
        <v>880</v>
      </c>
    </row>
    <row r="101" spans="1:38" ht="16.5" hidden="1" customHeight="1">
      <c r="A101" s="344" t="s">
        <v>463</v>
      </c>
      <c r="B101" s="345" t="s">
        <v>881</v>
      </c>
      <c r="C101" s="345" t="s">
        <v>589</v>
      </c>
      <c r="D101" s="345" t="s">
        <v>110</v>
      </c>
      <c r="E101" s="345" t="s">
        <v>882</v>
      </c>
      <c r="F101" s="345" t="s">
        <v>591</v>
      </c>
      <c r="G101" s="345" t="s">
        <v>111</v>
      </c>
      <c r="H101" s="345" t="s">
        <v>111</v>
      </c>
      <c r="I101" s="345" t="s">
        <v>883</v>
      </c>
      <c r="J101" s="345"/>
      <c r="K101" s="346" t="s">
        <v>122</v>
      </c>
      <c r="L101" s="346" t="s">
        <v>608</v>
      </c>
      <c r="M101" s="346" t="s">
        <v>114</v>
      </c>
      <c r="N101" s="346"/>
      <c r="O101" s="346"/>
      <c r="P101" s="345" t="s">
        <v>884</v>
      </c>
      <c r="Q101" s="345" t="s">
        <v>468</v>
      </c>
      <c r="R101" s="347" t="s">
        <v>120</v>
      </c>
      <c r="S101" s="345" t="s">
        <v>517</v>
      </c>
      <c r="T101" s="345" t="s">
        <v>469</v>
      </c>
      <c r="U101" s="345" t="s">
        <v>844</v>
      </c>
      <c r="V101" s="345" t="s">
        <v>123</v>
      </c>
      <c r="W101" s="347" t="s">
        <v>518</v>
      </c>
      <c r="X101" s="345" t="s">
        <v>596</v>
      </c>
      <c r="Y101" s="345" t="s">
        <v>472</v>
      </c>
      <c r="Z101" s="347" t="s">
        <v>582</v>
      </c>
      <c r="AA101" s="345" t="s">
        <v>537</v>
      </c>
      <c r="AB101" s="345" t="s">
        <v>885</v>
      </c>
      <c r="AC101" s="345"/>
      <c r="AD101" s="347" t="s">
        <v>732</v>
      </c>
      <c r="AE101" s="345" t="s">
        <v>123</v>
      </c>
      <c r="AF101" s="347" t="s">
        <v>582</v>
      </c>
      <c r="AG101" s="345" t="s">
        <v>111</v>
      </c>
      <c r="AH101" s="345"/>
      <c r="AI101" s="345" t="s">
        <v>111</v>
      </c>
      <c r="AJ101" s="345" t="s">
        <v>491</v>
      </c>
      <c r="AK101" s="347" t="s">
        <v>636</v>
      </c>
      <c r="AL101" s="345"/>
    </row>
    <row r="102" spans="1:38" ht="16.5" hidden="1" customHeight="1">
      <c r="A102" s="344" t="s">
        <v>463</v>
      </c>
      <c r="B102" s="345" t="s">
        <v>886</v>
      </c>
      <c r="C102" s="345" t="s">
        <v>589</v>
      </c>
      <c r="D102" s="345" t="s">
        <v>110</v>
      </c>
      <c r="E102" s="345" t="s">
        <v>847</v>
      </c>
      <c r="F102" s="345" t="s">
        <v>591</v>
      </c>
      <c r="G102" s="345" t="s">
        <v>111</v>
      </c>
      <c r="H102" s="345" t="s">
        <v>111</v>
      </c>
      <c r="I102" s="345" t="s">
        <v>887</v>
      </c>
      <c r="J102" s="345"/>
      <c r="K102" s="346" t="s">
        <v>122</v>
      </c>
      <c r="L102" s="346" t="s">
        <v>608</v>
      </c>
      <c r="M102" s="346" t="s">
        <v>114</v>
      </c>
      <c r="N102" s="346"/>
      <c r="O102" s="346"/>
      <c r="P102" s="345" t="s">
        <v>888</v>
      </c>
      <c r="Q102" s="345" t="s">
        <v>468</v>
      </c>
      <c r="R102" s="347" t="s">
        <v>120</v>
      </c>
      <c r="S102" s="345" t="s">
        <v>111</v>
      </c>
      <c r="T102" s="345" t="s">
        <v>469</v>
      </c>
      <c r="U102" s="345" t="s">
        <v>844</v>
      </c>
      <c r="V102" s="345" t="s">
        <v>491</v>
      </c>
      <c r="W102" s="347" t="s">
        <v>518</v>
      </c>
      <c r="X102" s="345" t="s">
        <v>596</v>
      </c>
      <c r="Y102" s="345" t="s">
        <v>472</v>
      </c>
      <c r="Z102" s="347" t="s">
        <v>832</v>
      </c>
      <c r="AA102" s="345" t="s">
        <v>619</v>
      </c>
      <c r="AB102" s="345" t="s">
        <v>482</v>
      </c>
      <c r="AC102" s="345" t="s">
        <v>596</v>
      </c>
      <c r="AD102" s="347" t="s">
        <v>845</v>
      </c>
      <c r="AE102" s="345" t="s">
        <v>483</v>
      </c>
      <c r="AF102" s="347" t="s">
        <v>832</v>
      </c>
      <c r="AG102" s="345" t="s">
        <v>111</v>
      </c>
      <c r="AH102" s="345"/>
      <c r="AI102" s="345" t="s">
        <v>111</v>
      </c>
      <c r="AJ102" s="345" t="s">
        <v>491</v>
      </c>
      <c r="AK102" s="347" t="s">
        <v>636</v>
      </c>
      <c r="AL102" s="345"/>
    </row>
    <row r="103" spans="1:38" ht="16.5" hidden="1" customHeight="1">
      <c r="A103" s="344" t="s">
        <v>463</v>
      </c>
      <c r="B103" s="345" t="s">
        <v>889</v>
      </c>
      <c r="C103" s="345" t="s">
        <v>589</v>
      </c>
      <c r="D103" s="345" t="s">
        <v>110</v>
      </c>
      <c r="E103" s="345" t="s">
        <v>882</v>
      </c>
      <c r="F103" s="345" t="s">
        <v>591</v>
      </c>
      <c r="G103" s="345" t="s">
        <v>111</v>
      </c>
      <c r="H103" s="345" t="s">
        <v>111</v>
      </c>
      <c r="I103" s="345" t="s">
        <v>890</v>
      </c>
      <c r="J103" s="345"/>
      <c r="K103" s="346" t="s">
        <v>122</v>
      </c>
      <c r="L103" s="346" t="s">
        <v>608</v>
      </c>
      <c r="M103" s="346" t="s">
        <v>114</v>
      </c>
      <c r="N103" s="346"/>
      <c r="O103" s="346"/>
      <c r="P103" s="345" t="s">
        <v>891</v>
      </c>
      <c r="Q103" s="345" t="s">
        <v>468</v>
      </c>
      <c r="R103" s="347" t="s">
        <v>120</v>
      </c>
      <c r="S103" s="345" t="s">
        <v>517</v>
      </c>
      <c r="T103" s="345" t="s">
        <v>469</v>
      </c>
      <c r="U103" s="345" t="s">
        <v>844</v>
      </c>
      <c r="V103" s="345" t="s">
        <v>123</v>
      </c>
      <c r="W103" s="347" t="s">
        <v>518</v>
      </c>
      <c r="X103" s="345" t="s">
        <v>596</v>
      </c>
      <c r="Y103" s="345" t="s">
        <v>472</v>
      </c>
      <c r="Z103" s="347" t="s">
        <v>582</v>
      </c>
      <c r="AA103" s="345" t="s">
        <v>123</v>
      </c>
      <c r="AB103" s="345" t="s">
        <v>885</v>
      </c>
      <c r="AC103" s="345" t="s">
        <v>731</v>
      </c>
      <c r="AD103" s="347" t="s">
        <v>582</v>
      </c>
      <c r="AE103" s="345" t="s">
        <v>123</v>
      </c>
      <c r="AF103" s="347" t="s">
        <v>582</v>
      </c>
      <c r="AG103" s="345" t="s">
        <v>111</v>
      </c>
      <c r="AH103" s="345"/>
      <c r="AI103" s="345" t="s">
        <v>111</v>
      </c>
      <c r="AJ103" s="345" t="s">
        <v>491</v>
      </c>
      <c r="AK103" s="347" t="s">
        <v>636</v>
      </c>
      <c r="AL103" s="345"/>
    </row>
    <row r="104" spans="1:38" ht="16.5" hidden="1" customHeight="1">
      <c r="A104" s="344" t="s">
        <v>463</v>
      </c>
      <c r="B104" s="345" t="s">
        <v>892</v>
      </c>
      <c r="C104" s="345" t="s">
        <v>589</v>
      </c>
      <c r="D104" s="345" t="s">
        <v>110</v>
      </c>
      <c r="E104" s="345" t="s">
        <v>708</v>
      </c>
      <c r="F104" s="345" t="s">
        <v>591</v>
      </c>
      <c r="G104" s="345" t="s">
        <v>111</v>
      </c>
      <c r="H104" s="345" t="s">
        <v>111</v>
      </c>
      <c r="I104" s="345" t="s">
        <v>893</v>
      </c>
      <c r="J104" s="345"/>
      <c r="K104" s="346" t="s">
        <v>112</v>
      </c>
      <c r="L104" s="346" t="s">
        <v>593</v>
      </c>
      <c r="M104" s="346" t="s">
        <v>114</v>
      </c>
      <c r="N104" s="346"/>
      <c r="O104" s="346"/>
      <c r="P104" s="345" t="s">
        <v>894</v>
      </c>
      <c r="Q104" s="345" t="s">
        <v>468</v>
      </c>
      <c r="R104" s="347" t="s">
        <v>120</v>
      </c>
      <c r="S104" s="345" t="s">
        <v>111</v>
      </c>
      <c r="T104" s="345" t="s">
        <v>469</v>
      </c>
      <c r="U104" s="345" t="s">
        <v>696</v>
      </c>
      <c r="V104" s="345" t="s">
        <v>483</v>
      </c>
      <c r="W104" s="347" t="s">
        <v>518</v>
      </c>
      <c r="X104" s="345" t="s">
        <v>596</v>
      </c>
      <c r="Y104" s="345" t="s">
        <v>472</v>
      </c>
      <c r="Z104" s="347" t="s">
        <v>832</v>
      </c>
      <c r="AA104" s="345" t="s">
        <v>474</v>
      </c>
      <c r="AB104" s="345" t="s">
        <v>482</v>
      </c>
      <c r="AC104" s="345" t="s">
        <v>119</v>
      </c>
      <c r="AD104" s="347" t="s">
        <v>697</v>
      </c>
      <c r="AE104" s="345" t="s">
        <v>472</v>
      </c>
      <c r="AF104" s="347" t="s">
        <v>832</v>
      </c>
      <c r="AG104" s="345" t="s">
        <v>111</v>
      </c>
      <c r="AH104" s="345"/>
      <c r="AI104" s="345" t="s">
        <v>111</v>
      </c>
      <c r="AJ104" s="345" t="s">
        <v>895</v>
      </c>
      <c r="AK104" s="347" t="s">
        <v>832</v>
      </c>
      <c r="AL104" s="345" t="s">
        <v>896</v>
      </c>
    </row>
    <row r="105" spans="1:38" ht="16.5" hidden="1" customHeight="1">
      <c r="A105" s="344" t="s">
        <v>463</v>
      </c>
      <c r="B105" s="349" t="s">
        <v>897</v>
      </c>
      <c r="C105" s="349" t="s">
        <v>589</v>
      </c>
      <c r="D105" s="349" t="s">
        <v>110</v>
      </c>
      <c r="E105" s="349" t="s">
        <v>882</v>
      </c>
      <c r="F105" s="349" t="s">
        <v>898</v>
      </c>
      <c r="G105" s="349" t="s">
        <v>111</v>
      </c>
      <c r="H105" s="349" t="s">
        <v>111</v>
      </c>
      <c r="I105" s="349" t="s">
        <v>899</v>
      </c>
      <c r="J105" s="349"/>
      <c r="K105" s="350" t="s">
        <v>122</v>
      </c>
      <c r="L105" s="350" t="s">
        <v>608</v>
      </c>
      <c r="M105" s="350" t="s">
        <v>114</v>
      </c>
      <c r="N105" s="350"/>
      <c r="O105" s="350"/>
      <c r="P105" s="349" t="s">
        <v>900</v>
      </c>
      <c r="Q105" s="349" t="s">
        <v>468</v>
      </c>
      <c r="R105" s="351" t="s">
        <v>120</v>
      </c>
      <c r="S105" s="349" t="s">
        <v>568</v>
      </c>
      <c r="T105" s="349" t="s">
        <v>469</v>
      </c>
      <c r="U105" s="349" t="s">
        <v>117</v>
      </c>
      <c r="V105" s="349" t="s">
        <v>123</v>
      </c>
      <c r="W105" s="351" t="s">
        <v>518</v>
      </c>
      <c r="X105" s="349" t="s">
        <v>901</v>
      </c>
      <c r="Y105" s="349" t="s">
        <v>472</v>
      </c>
      <c r="Z105" s="351" t="s">
        <v>902</v>
      </c>
      <c r="AA105" s="349" t="s">
        <v>537</v>
      </c>
      <c r="AB105" s="349" t="s">
        <v>482</v>
      </c>
      <c r="AC105" s="349" t="s">
        <v>119</v>
      </c>
      <c r="AD105" s="351" t="s">
        <v>576</v>
      </c>
      <c r="AE105" s="349" t="s">
        <v>903</v>
      </c>
      <c r="AF105" s="351" t="s">
        <v>902</v>
      </c>
      <c r="AG105" s="349" t="s">
        <v>111</v>
      </c>
      <c r="AH105" s="349"/>
      <c r="AI105" s="349" t="s">
        <v>111</v>
      </c>
      <c r="AJ105" s="349" t="s">
        <v>903</v>
      </c>
      <c r="AK105" s="351" t="s">
        <v>902</v>
      </c>
      <c r="AL105" s="349"/>
    </row>
    <row r="106" spans="1:38" ht="16.5" hidden="1" customHeight="1">
      <c r="A106" s="344" t="s">
        <v>463</v>
      </c>
      <c r="B106" s="345" t="s">
        <v>904</v>
      </c>
      <c r="C106" s="345" t="s">
        <v>589</v>
      </c>
      <c r="D106" s="345" t="s">
        <v>110</v>
      </c>
      <c r="E106" s="345" t="s">
        <v>882</v>
      </c>
      <c r="F106" s="345" t="s">
        <v>591</v>
      </c>
      <c r="G106" s="345" t="s">
        <v>111</v>
      </c>
      <c r="H106" s="345" t="s">
        <v>111</v>
      </c>
      <c r="I106" s="345" t="s">
        <v>905</v>
      </c>
      <c r="J106" s="345"/>
      <c r="K106" s="346" t="s">
        <v>122</v>
      </c>
      <c r="L106" s="346" t="s">
        <v>608</v>
      </c>
      <c r="M106" s="346" t="s">
        <v>114</v>
      </c>
      <c r="N106" s="346"/>
      <c r="O106" s="346"/>
      <c r="P106" s="345" t="s">
        <v>906</v>
      </c>
      <c r="Q106" s="345" t="s">
        <v>468</v>
      </c>
      <c r="R106" s="347" t="s">
        <v>120</v>
      </c>
      <c r="S106" s="345" t="s">
        <v>111</v>
      </c>
      <c r="T106" s="345" t="s">
        <v>469</v>
      </c>
      <c r="U106" s="345" t="s">
        <v>844</v>
      </c>
      <c r="V106" s="345" t="s">
        <v>491</v>
      </c>
      <c r="W106" s="347" t="s">
        <v>518</v>
      </c>
      <c r="X106" s="345" t="s">
        <v>596</v>
      </c>
      <c r="Y106" s="345" t="s">
        <v>472</v>
      </c>
      <c r="Z106" s="347" t="s">
        <v>832</v>
      </c>
      <c r="AA106" s="345" t="s">
        <v>619</v>
      </c>
      <c r="AB106" s="345" t="s">
        <v>482</v>
      </c>
      <c r="AC106" s="345" t="s">
        <v>850</v>
      </c>
      <c r="AD106" s="347" t="s">
        <v>851</v>
      </c>
      <c r="AE106" s="345" t="s">
        <v>483</v>
      </c>
      <c r="AF106" s="347" t="s">
        <v>832</v>
      </c>
      <c r="AG106" s="345" t="s">
        <v>111</v>
      </c>
      <c r="AH106" s="345"/>
      <c r="AI106" s="345" t="s">
        <v>111</v>
      </c>
      <c r="AJ106" s="345" t="s">
        <v>491</v>
      </c>
      <c r="AK106" s="347" t="s">
        <v>636</v>
      </c>
      <c r="AL106" s="345"/>
    </row>
    <row r="107" spans="1:38" ht="16.5" hidden="1" customHeight="1">
      <c r="A107" s="344" t="s">
        <v>463</v>
      </c>
      <c r="B107" s="345" t="s">
        <v>907</v>
      </c>
      <c r="C107" s="345" t="s">
        <v>589</v>
      </c>
      <c r="D107" s="345" t="s">
        <v>110</v>
      </c>
      <c r="E107" s="345" t="s">
        <v>853</v>
      </c>
      <c r="F107" s="345" t="s">
        <v>591</v>
      </c>
      <c r="G107" s="345" t="s">
        <v>111</v>
      </c>
      <c r="H107" s="345" t="s">
        <v>111</v>
      </c>
      <c r="I107" s="345" t="s">
        <v>908</v>
      </c>
      <c r="J107" s="345"/>
      <c r="K107" s="346" t="s">
        <v>122</v>
      </c>
      <c r="L107" s="346" t="s">
        <v>608</v>
      </c>
      <c r="M107" s="346" t="s">
        <v>114</v>
      </c>
      <c r="N107" s="346"/>
      <c r="O107" s="346"/>
      <c r="P107" s="345" t="s">
        <v>909</v>
      </c>
      <c r="Q107" s="345" t="s">
        <v>468</v>
      </c>
      <c r="R107" s="347" t="s">
        <v>120</v>
      </c>
      <c r="S107" s="345" t="s">
        <v>111</v>
      </c>
      <c r="T107" s="345" t="s">
        <v>469</v>
      </c>
      <c r="U107" s="345" t="s">
        <v>117</v>
      </c>
      <c r="V107" s="345" t="s">
        <v>123</v>
      </c>
      <c r="W107" s="347" t="s">
        <v>518</v>
      </c>
      <c r="X107" s="345" t="s">
        <v>596</v>
      </c>
      <c r="Y107" s="345" t="s">
        <v>472</v>
      </c>
      <c r="Z107" s="347" t="s">
        <v>832</v>
      </c>
      <c r="AA107" s="345" t="s">
        <v>474</v>
      </c>
      <c r="AB107" s="345" t="s">
        <v>482</v>
      </c>
      <c r="AC107" s="345" t="s">
        <v>119</v>
      </c>
      <c r="AD107" s="347" t="s">
        <v>910</v>
      </c>
      <c r="AE107" s="345" t="s">
        <v>895</v>
      </c>
      <c r="AF107" s="347" t="s">
        <v>832</v>
      </c>
      <c r="AG107" s="345" t="s">
        <v>111</v>
      </c>
      <c r="AH107" s="345"/>
      <c r="AI107" s="345" t="s">
        <v>111</v>
      </c>
      <c r="AJ107" s="345" t="s">
        <v>491</v>
      </c>
      <c r="AK107" s="347" t="s">
        <v>636</v>
      </c>
      <c r="AL107" s="345"/>
    </row>
    <row r="108" spans="1:38" ht="16.5" hidden="1" customHeight="1">
      <c r="A108" s="344" t="s">
        <v>463</v>
      </c>
      <c r="B108" s="345" t="s">
        <v>911</v>
      </c>
      <c r="C108" s="345" t="s">
        <v>589</v>
      </c>
      <c r="D108" s="345" t="s">
        <v>110</v>
      </c>
      <c r="E108" s="345" t="s">
        <v>603</v>
      </c>
      <c r="F108" s="345" t="s">
        <v>591</v>
      </c>
      <c r="G108" s="345" t="s">
        <v>111</v>
      </c>
      <c r="H108" s="345" t="s">
        <v>111</v>
      </c>
      <c r="I108" s="345" t="s">
        <v>912</v>
      </c>
      <c r="J108" s="345"/>
      <c r="K108" s="346" t="s">
        <v>112</v>
      </c>
      <c r="L108" s="346" t="s">
        <v>593</v>
      </c>
      <c r="M108" s="346" t="s">
        <v>114</v>
      </c>
      <c r="N108" s="346"/>
      <c r="O108" s="346"/>
      <c r="P108" s="345" t="s">
        <v>913</v>
      </c>
      <c r="Q108" s="345" t="s">
        <v>482</v>
      </c>
      <c r="R108" s="347" t="s">
        <v>120</v>
      </c>
      <c r="S108" s="345" t="s">
        <v>111</v>
      </c>
      <c r="T108" s="345" t="s">
        <v>469</v>
      </c>
      <c r="U108" s="345" t="s">
        <v>618</v>
      </c>
      <c r="V108" s="345" t="s">
        <v>483</v>
      </c>
      <c r="W108" s="347" t="s">
        <v>518</v>
      </c>
      <c r="X108" s="345" t="s">
        <v>596</v>
      </c>
      <c r="Y108" s="345" t="s">
        <v>483</v>
      </c>
      <c r="Z108" s="347" t="s">
        <v>701</v>
      </c>
      <c r="AA108" s="345" t="s">
        <v>814</v>
      </c>
      <c r="AB108" s="345" t="s">
        <v>885</v>
      </c>
      <c r="AC108" s="345" t="s">
        <v>119</v>
      </c>
      <c r="AD108" s="347" t="s">
        <v>701</v>
      </c>
      <c r="AE108" s="345"/>
      <c r="AF108" s="347" t="s">
        <v>120</v>
      </c>
      <c r="AG108" s="345" t="s">
        <v>111</v>
      </c>
      <c r="AH108" s="345"/>
      <c r="AI108" s="345" t="s">
        <v>111</v>
      </c>
      <c r="AJ108" s="345" t="s">
        <v>814</v>
      </c>
      <c r="AK108" s="347" t="s">
        <v>701</v>
      </c>
      <c r="AL108" s="345" t="s">
        <v>914</v>
      </c>
    </row>
    <row r="109" spans="1:38" ht="16.5" hidden="1" customHeight="1">
      <c r="A109" s="344" t="s">
        <v>463</v>
      </c>
      <c r="B109" s="345" t="s">
        <v>915</v>
      </c>
      <c r="C109" s="345" t="s">
        <v>589</v>
      </c>
      <c r="D109" s="345" t="s">
        <v>110</v>
      </c>
      <c r="E109" s="345" t="s">
        <v>590</v>
      </c>
      <c r="F109" s="345" t="s">
        <v>591</v>
      </c>
      <c r="G109" s="345" t="s">
        <v>111</v>
      </c>
      <c r="H109" s="345" t="s">
        <v>111</v>
      </c>
      <c r="I109" s="345" t="s">
        <v>916</v>
      </c>
      <c r="J109" s="345"/>
      <c r="K109" s="346" t="s">
        <v>122</v>
      </c>
      <c r="L109" s="346" t="s">
        <v>608</v>
      </c>
      <c r="M109" s="346" t="s">
        <v>114</v>
      </c>
      <c r="N109" s="346"/>
      <c r="O109" s="346"/>
      <c r="P109" s="345" t="s">
        <v>688</v>
      </c>
      <c r="Q109" s="345" t="s">
        <v>468</v>
      </c>
      <c r="R109" s="347" t="s">
        <v>120</v>
      </c>
      <c r="S109" s="345" t="s">
        <v>111</v>
      </c>
      <c r="T109" s="345" t="s">
        <v>469</v>
      </c>
      <c r="U109" s="345" t="s">
        <v>117</v>
      </c>
      <c r="V109" s="345" t="s">
        <v>491</v>
      </c>
      <c r="W109" s="347" t="s">
        <v>518</v>
      </c>
      <c r="X109" s="345" t="s">
        <v>596</v>
      </c>
      <c r="Y109" s="345" t="s">
        <v>472</v>
      </c>
      <c r="Z109" s="347" t="s">
        <v>832</v>
      </c>
      <c r="AA109" s="345" t="s">
        <v>685</v>
      </c>
      <c r="AB109" s="345" t="s">
        <v>482</v>
      </c>
      <c r="AC109" s="345" t="s">
        <v>119</v>
      </c>
      <c r="AD109" s="347" t="s">
        <v>879</v>
      </c>
      <c r="AE109" s="345" t="s">
        <v>895</v>
      </c>
      <c r="AF109" s="347" t="s">
        <v>832</v>
      </c>
      <c r="AG109" s="345" t="s">
        <v>111</v>
      </c>
      <c r="AH109" s="345"/>
      <c r="AI109" s="345" t="s">
        <v>111</v>
      </c>
      <c r="AJ109" s="345" t="s">
        <v>491</v>
      </c>
      <c r="AK109" s="347" t="s">
        <v>636</v>
      </c>
      <c r="AL109" s="345"/>
    </row>
    <row r="110" spans="1:38" ht="16.5" hidden="1" customHeight="1">
      <c r="A110" s="344" t="s">
        <v>463</v>
      </c>
      <c r="B110" s="345" t="s">
        <v>917</v>
      </c>
      <c r="C110" s="345" t="s">
        <v>589</v>
      </c>
      <c r="D110" s="345" t="s">
        <v>110</v>
      </c>
      <c r="E110" s="345" t="s">
        <v>847</v>
      </c>
      <c r="F110" s="345" t="s">
        <v>591</v>
      </c>
      <c r="G110" s="345" t="s">
        <v>111</v>
      </c>
      <c r="H110" s="345" t="s">
        <v>111</v>
      </c>
      <c r="I110" s="345" t="s">
        <v>918</v>
      </c>
      <c r="J110" s="345"/>
      <c r="K110" s="346" t="s">
        <v>122</v>
      </c>
      <c r="L110" s="346" t="s">
        <v>608</v>
      </c>
      <c r="M110" s="346" t="s">
        <v>114</v>
      </c>
      <c r="N110" s="346"/>
      <c r="O110" s="346"/>
      <c r="P110" s="345" t="s">
        <v>919</v>
      </c>
      <c r="Q110" s="345" t="s">
        <v>468</v>
      </c>
      <c r="R110" s="347" t="s">
        <v>120</v>
      </c>
      <c r="S110" s="345" t="s">
        <v>111</v>
      </c>
      <c r="T110" s="345" t="s">
        <v>469</v>
      </c>
      <c r="U110" s="345" t="s">
        <v>117</v>
      </c>
      <c r="V110" s="345" t="s">
        <v>483</v>
      </c>
      <c r="W110" s="347" t="s">
        <v>518</v>
      </c>
      <c r="X110" s="345" t="s">
        <v>596</v>
      </c>
      <c r="Y110" s="345" t="s">
        <v>472</v>
      </c>
      <c r="Z110" s="347" t="s">
        <v>832</v>
      </c>
      <c r="AA110" s="345" t="s">
        <v>474</v>
      </c>
      <c r="AB110" s="345" t="s">
        <v>482</v>
      </c>
      <c r="AC110" s="345" t="s">
        <v>850</v>
      </c>
      <c r="AD110" s="347" t="s">
        <v>851</v>
      </c>
      <c r="AE110" s="345" t="s">
        <v>483</v>
      </c>
      <c r="AF110" s="347" t="s">
        <v>832</v>
      </c>
      <c r="AG110" s="345" t="s">
        <v>111</v>
      </c>
      <c r="AH110" s="345"/>
      <c r="AI110" s="345" t="s">
        <v>111</v>
      </c>
      <c r="AJ110" s="345" t="s">
        <v>483</v>
      </c>
      <c r="AK110" s="347" t="s">
        <v>832</v>
      </c>
      <c r="AL110" s="345" t="s">
        <v>920</v>
      </c>
    </row>
    <row r="111" spans="1:38" ht="16.5" hidden="1" customHeight="1">
      <c r="A111" s="344" t="s">
        <v>463</v>
      </c>
      <c r="B111" s="345" t="s">
        <v>921</v>
      </c>
      <c r="C111" s="345" t="s">
        <v>589</v>
      </c>
      <c r="D111" s="345" t="s">
        <v>110</v>
      </c>
      <c r="E111" s="345" t="s">
        <v>882</v>
      </c>
      <c r="F111" s="345" t="s">
        <v>591</v>
      </c>
      <c r="G111" s="345" t="s">
        <v>111</v>
      </c>
      <c r="H111" s="345" t="s">
        <v>111</v>
      </c>
      <c r="I111" s="345" t="s">
        <v>922</v>
      </c>
      <c r="J111" s="345"/>
      <c r="K111" s="346" t="s">
        <v>122</v>
      </c>
      <c r="L111" s="346" t="s">
        <v>608</v>
      </c>
      <c r="M111" s="346" t="s">
        <v>114</v>
      </c>
      <c r="N111" s="346"/>
      <c r="O111" s="346"/>
      <c r="P111" s="345" t="s">
        <v>923</v>
      </c>
      <c r="Q111" s="345" t="s">
        <v>468</v>
      </c>
      <c r="R111" s="347" t="s">
        <v>120</v>
      </c>
      <c r="S111" s="345" t="s">
        <v>111</v>
      </c>
      <c r="T111" s="345" t="s">
        <v>469</v>
      </c>
      <c r="U111" s="345" t="s">
        <v>844</v>
      </c>
      <c r="V111" s="345" t="s">
        <v>483</v>
      </c>
      <c r="W111" s="347" t="s">
        <v>518</v>
      </c>
      <c r="X111" s="345" t="s">
        <v>596</v>
      </c>
      <c r="Y111" s="345" t="s">
        <v>472</v>
      </c>
      <c r="Z111" s="347" t="s">
        <v>832</v>
      </c>
      <c r="AA111" s="345" t="s">
        <v>619</v>
      </c>
      <c r="AB111" s="345" t="s">
        <v>482</v>
      </c>
      <c r="AC111" s="345" t="s">
        <v>596</v>
      </c>
      <c r="AD111" s="347" t="s">
        <v>845</v>
      </c>
      <c r="AE111" s="345" t="s">
        <v>483</v>
      </c>
      <c r="AF111" s="347" t="s">
        <v>832</v>
      </c>
      <c r="AG111" s="345" t="s">
        <v>111</v>
      </c>
      <c r="AH111" s="345"/>
      <c r="AI111" s="345" t="s">
        <v>111</v>
      </c>
      <c r="AJ111" s="345" t="s">
        <v>483</v>
      </c>
      <c r="AK111" s="347" t="s">
        <v>832</v>
      </c>
      <c r="AL111" s="345" t="s">
        <v>924</v>
      </c>
    </row>
    <row r="112" spans="1:38" ht="16.5" hidden="1" customHeight="1">
      <c r="A112" s="344" t="s">
        <v>463</v>
      </c>
      <c r="B112" s="345" t="s">
        <v>925</v>
      </c>
      <c r="C112" s="345" t="s">
        <v>589</v>
      </c>
      <c r="D112" s="345" t="s">
        <v>110</v>
      </c>
      <c r="E112" s="345" t="s">
        <v>882</v>
      </c>
      <c r="F112" s="345" t="s">
        <v>591</v>
      </c>
      <c r="G112" s="345" t="s">
        <v>111</v>
      </c>
      <c r="H112" s="345" t="s">
        <v>111</v>
      </c>
      <c r="I112" s="345" t="s">
        <v>926</v>
      </c>
      <c r="J112" s="345"/>
      <c r="K112" s="346" t="s">
        <v>122</v>
      </c>
      <c r="L112" s="346" t="s">
        <v>608</v>
      </c>
      <c r="M112" s="346" t="s">
        <v>114</v>
      </c>
      <c r="N112" s="346"/>
      <c r="O112" s="346"/>
      <c r="P112" s="345" t="s">
        <v>927</v>
      </c>
      <c r="Q112" s="345" t="s">
        <v>468</v>
      </c>
      <c r="R112" s="347" t="s">
        <v>120</v>
      </c>
      <c r="S112" s="345" t="s">
        <v>111</v>
      </c>
      <c r="T112" s="345" t="s">
        <v>469</v>
      </c>
      <c r="U112" s="345" t="s">
        <v>844</v>
      </c>
      <c r="V112" s="345" t="s">
        <v>483</v>
      </c>
      <c r="W112" s="347" t="s">
        <v>518</v>
      </c>
      <c r="X112" s="345" t="s">
        <v>596</v>
      </c>
      <c r="Y112" s="345" t="s">
        <v>472</v>
      </c>
      <c r="Z112" s="347" t="s">
        <v>832</v>
      </c>
      <c r="AA112" s="345" t="s">
        <v>619</v>
      </c>
      <c r="AB112" s="345" t="s">
        <v>482</v>
      </c>
      <c r="AC112" s="345" t="s">
        <v>850</v>
      </c>
      <c r="AD112" s="347" t="s">
        <v>851</v>
      </c>
      <c r="AE112" s="345" t="s">
        <v>483</v>
      </c>
      <c r="AF112" s="347" t="s">
        <v>832</v>
      </c>
      <c r="AG112" s="345" t="s">
        <v>111</v>
      </c>
      <c r="AH112" s="345"/>
      <c r="AI112" s="345" t="s">
        <v>111</v>
      </c>
      <c r="AJ112" s="345" t="s">
        <v>483</v>
      </c>
      <c r="AK112" s="347" t="s">
        <v>832</v>
      </c>
      <c r="AL112" s="345" t="s">
        <v>928</v>
      </c>
    </row>
    <row r="113" spans="1:38" ht="16.5" hidden="1" customHeight="1">
      <c r="A113" s="344" t="s">
        <v>463</v>
      </c>
      <c r="B113" s="345" t="s">
        <v>929</v>
      </c>
      <c r="C113" s="345" t="s">
        <v>589</v>
      </c>
      <c r="D113" s="345" t="s">
        <v>110</v>
      </c>
      <c r="E113" s="345" t="s">
        <v>882</v>
      </c>
      <c r="F113" s="345" t="s">
        <v>591</v>
      </c>
      <c r="G113" s="345" t="s">
        <v>111</v>
      </c>
      <c r="H113" s="345" t="s">
        <v>111</v>
      </c>
      <c r="I113" s="345" t="s">
        <v>930</v>
      </c>
      <c r="J113" s="345"/>
      <c r="K113" s="346" t="s">
        <v>112</v>
      </c>
      <c r="L113" s="346" t="s">
        <v>593</v>
      </c>
      <c r="M113" s="346" t="s">
        <v>114</v>
      </c>
      <c r="N113" s="346"/>
      <c r="O113" s="346"/>
      <c r="P113" s="345" t="s">
        <v>931</v>
      </c>
      <c r="Q113" s="345" t="s">
        <v>468</v>
      </c>
      <c r="R113" s="347" t="s">
        <v>120</v>
      </c>
      <c r="S113" s="345" t="s">
        <v>111</v>
      </c>
      <c r="T113" s="345" t="s">
        <v>469</v>
      </c>
      <c r="U113" s="345" t="s">
        <v>844</v>
      </c>
      <c r="V113" s="345" t="s">
        <v>483</v>
      </c>
      <c r="W113" s="347" t="s">
        <v>518</v>
      </c>
      <c r="X113" s="345" t="s">
        <v>596</v>
      </c>
      <c r="Y113" s="345" t="s">
        <v>472</v>
      </c>
      <c r="Z113" s="347" t="s">
        <v>832</v>
      </c>
      <c r="AA113" s="345" t="s">
        <v>619</v>
      </c>
      <c r="AB113" s="345" t="s">
        <v>482</v>
      </c>
      <c r="AC113" s="345" t="s">
        <v>850</v>
      </c>
      <c r="AD113" s="347" t="s">
        <v>910</v>
      </c>
      <c r="AE113" s="345" t="s">
        <v>895</v>
      </c>
      <c r="AF113" s="347" t="s">
        <v>832</v>
      </c>
      <c r="AG113" s="345" t="s">
        <v>111</v>
      </c>
      <c r="AH113" s="345"/>
      <c r="AI113" s="345" t="s">
        <v>111</v>
      </c>
      <c r="AJ113" s="345" t="s">
        <v>895</v>
      </c>
      <c r="AK113" s="347" t="s">
        <v>832</v>
      </c>
      <c r="AL113" s="345" t="s">
        <v>932</v>
      </c>
    </row>
    <row r="114" spans="1:38" ht="16.5" hidden="1" customHeight="1">
      <c r="A114" s="344" t="s">
        <v>463</v>
      </c>
      <c r="B114" s="345" t="s">
        <v>933</v>
      </c>
      <c r="C114" s="345" t="s">
        <v>589</v>
      </c>
      <c r="D114" s="345" t="s">
        <v>110</v>
      </c>
      <c r="E114" s="345" t="s">
        <v>847</v>
      </c>
      <c r="F114" s="345" t="s">
        <v>591</v>
      </c>
      <c r="G114" s="345" t="s">
        <v>111</v>
      </c>
      <c r="H114" s="345" t="s">
        <v>111</v>
      </c>
      <c r="I114" s="345" t="s">
        <v>934</v>
      </c>
      <c r="J114" s="345"/>
      <c r="K114" s="346" t="s">
        <v>112</v>
      </c>
      <c r="L114" s="346" t="s">
        <v>608</v>
      </c>
      <c r="M114" s="346" t="s">
        <v>114</v>
      </c>
      <c r="N114" s="346"/>
      <c r="O114" s="346"/>
      <c r="P114" s="345" t="s">
        <v>935</v>
      </c>
      <c r="Q114" s="345" t="s">
        <v>468</v>
      </c>
      <c r="R114" s="347" t="s">
        <v>120</v>
      </c>
      <c r="S114" s="345" t="s">
        <v>517</v>
      </c>
      <c r="T114" s="345" t="s">
        <v>469</v>
      </c>
      <c r="U114" s="345" t="s">
        <v>117</v>
      </c>
      <c r="V114" s="345" t="s">
        <v>491</v>
      </c>
      <c r="W114" s="347" t="s">
        <v>481</v>
      </c>
      <c r="X114" s="345" t="s">
        <v>596</v>
      </c>
      <c r="Y114" s="345" t="s">
        <v>472</v>
      </c>
      <c r="Z114" s="347" t="s">
        <v>582</v>
      </c>
      <c r="AA114" s="345" t="s">
        <v>491</v>
      </c>
      <c r="AB114" s="345" t="s">
        <v>885</v>
      </c>
      <c r="AC114" s="345"/>
      <c r="AD114" s="347" t="s">
        <v>582</v>
      </c>
      <c r="AE114" s="345" t="s">
        <v>491</v>
      </c>
      <c r="AF114" s="347" t="s">
        <v>582</v>
      </c>
      <c r="AG114" s="345" t="s">
        <v>111</v>
      </c>
      <c r="AH114" s="345"/>
      <c r="AI114" s="345" t="s">
        <v>111</v>
      </c>
      <c r="AJ114" s="345" t="s">
        <v>491</v>
      </c>
      <c r="AK114" s="347" t="s">
        <v>636</v>
      </c>
      <c r="AL114" s="345"/>
    </row>
    <row r="115" spans="1:38" ht="16.5" hidden="1" customHeight="1">
      <c r="A115" s="344" t="s">
        <v>463</v>
      </c>
      <c r="B115" s="345" t="s">
        <v>936</v>
      </c>
      <c r="C115" s="345" t="s">
        <v>589</v>
      </c>
      <c r="D115" s="345" t="s">
        <v>110</v>
      </c>
      <c r="E115" s="345" t="s">
        <v>847</v>
      </c>
      <c r="F115" s="345" t="s">
        <v>591</v>
      </c>
      <c r="G115" s="345" t="s">
        <v>111</v>
      </c>
      <c r="H115" s="345" t="s">
        <v>111</v>
      </c>
      <c r="I115" s="345" t="s">
        <v>937</v>
      </c>
      <c r="J115" s="345"/>
      <c r="K115" s="346" t="s">
        <v>122</v>
      </c>
      <c r="L115" s="346" t="s">
        <v>608</v>
      </c>
      <c r="M115" s="346" t="s">
        <v>114</v>
      </c>
      <c r="N115" s="346"/>
      <c r="O115" s="346"/>
      <c r="P115" s="345" t="s">
        <v>938</v>
      </c>
      <c r="Q115" s="345" t="s">
        <v>468</v>
      </c>
      <c r="R115" s="347" t="s">
        <v>120</v>
      </c>
      <c r="S115" s="345" t="s">
        <v>111</v>
      </c>
      <c r="T115" s="345" t="s">
        <v>469</v>
      </c>
      <c r="U115" s="345" t="s">
        <v>844</v>
      </c>
      <c r="V115" s="345" t="s">
        <v>491</v>
      </c>
      <c r="W115" s="347" t="s">
        <v>481</v>
      </c>
      <c r="X115" s="345" t="s">
        <v>596</v>
      </c>
      <c r="Y115" s="345" t="s">
        <v>472</v>
      </c>
      <c r="Z115" s="347" t="s">
        <v>832</v>
      </c>
      <c r="AA115" s="345" t="s">
        <v>619</v>
      </c>
      <c r="AB115" s="345" t="s">
        <v>482</v>
      </c>
      <c r="AC115" s="345" t="s">
        <v>850</v>
      </c>
      <c r="AD115" s="347" t="s">
        <v>851</v>
      </c>
      <c r="AE115" s="345" t="s">
        <v>483</v>
      </c>
      <c r="AF115" s="347" t="s">
        <v>832</v>
      </c>
      <c r="AG115" s="345" t="s">
        <v>111</v>
      </c>
      <c r="AH115" s="345"/>
      <c r="AI115" s="345" t="s">
        <v>111</v>
      </c>
      <c r="AJ115" s="345" t="s">
        <v>491</v>
      </c>
      <c r="AK115" s="347" t="s">
        <v>636</v>
      </c>
      <c r="AL115" s="345"/>
    </row>
    <row r="116" spans="1:38" ht="16.5" hidden="1" customHeight="1">
      <c r="A116" s="344" t="s">
        <v>463</v>
      </c>
      <c r="B116" s="345" t="s">
        <v>939</v>
      </c>
      <c r="C116" s="345" t="s">
        <v>589</v>
      </c>
      <c r="D116" s="345" t="s">
        <v>110</v>
      </c>
      <c r="E116" s="345" t="s">
        <v>590</v>
      </c>
      <c r="F116" s="345" t="s">
        <v>940</v>
      </c>
      <c r="G116" s="345" t="s">
        <v>111</v>
      </c>
      <c r="H116" s="345" t="s">
        <v>111</v>
      </c>
      <c r="I116" s="345" t="s">
        <v>941</v>
      </c>
      <c r="J116" s="345"/>
      <c r="K116" s="346" t="s">
        <v>122</v>
      </c>
      <c r="L116" s="346" t="s">
        <v>608</v>
      </c>
      <c r="M116" s="346" t="s">
        <v>114</v>
      </c>
      <c r="N116" s="346"/>
      <c r="O116" s="346"/>
      <c r="P116" s="345" t="s">
        <v>942</v>
      </c>
      <c r="Q116" s="345" t="s">
        <v>468</v>
      </c>
      <c r="R116" s="347" t="s">
        <v>120</v>
      </c>
      <c r="S116" s="345" t="s">
        <v>111</v>
      </c>
      <c r="T116" s="345" t="s">
        <v>469</v>
      </c>
      <c r="U116" s="345" t="s">
        <v>117</v>
      </c>
      <c r="V116" s="345" t="s">
        <v>123</v>
      </c>
      <c r="W116" s="347" t="s">
        <v>481</v>
      </c>
      <c r="X116" s="345" t="s">
        <v>863</v>
      </c>
      <c r="Y116" s="345" t="s">
        <v>472</v>
      </c>
      <c r="Z116" s="347" t="s">
        <v>832</v>
      </c>
      <c r="AA116" s="345" t="s">
        <v>819</v>
      </c>
      <c r="AB116" s="345" t="s">
        <v>482</v>
      </c>
      <c r="AC116" s="345" t="s">
        <v>943</v>
      </c>
      <c r="AD116" s="347" t="s">
        <v>857</v>
      </c>
      <c r="AE116" s="345" t="s">
        <v>895</v>
      </c>
      <c r="AF116" s="347" t="s">
        <v>832</v>
      </c>
      <c r="AG116" s="345" t="s">
        <v>111</v>
      </c>
      <c r="AH116" s="345"/>
      <c r="AI116" s="345" t="s">
        <v>111</v>
      </c>
      <c r="AJ116" s="345" t="s">
        <v>491</v>
      </c>
      <c r="AK116" s="347" t="s">
        <v>636</v>
      </c>
      <c r="AL116" s="345"/>
    </row>
    <row r="117" spans="1:38" ht="16.5" hidden="1" customHeight="1">
      <c r="A117" s="344" t="s">
        <v>463</v>
      </c>
      <c r="B117" s="345" t="s">
        <v>944</v>
      </c>
      <c r="C117" s="345" t="s">
        <v>589</v>
      </c>
      <c r="D117" s="345" t="s">
        <v>110</v>
      </c>
      <c r="E117" s="345" t="s">
        <v>590</v>
      </c>
      <c r="F117" s="345" t="s">
        <v>940</v>
      </c>
      <c r="G117" s="345" t="s">
        <v>111</v>
      </c>
      <c r="H117" s="345" t="s">
        <v>111</v>
      </c>
      <c r="I117" s="345" t="s">
        <v>945</v>
      </c>
      <c r="J117" s="345"/>
      <c r="K117" s="346" t="s">
        <v>122</v>
      </c>
      <c r="L117" s="346" t="s">
        <v>608</v>
      </c>
      <c r="M117" s="346" t="s">
        <v>114</v>
      </c>
      <c r="N117" s="346"/>
      <c r="O117" s="346"/>
      <c r="P117" s="345" t="s">
        <v>946</v>
      </c>
      <c r="Q117" s="345" t="s">
        <v>468</v>
      </c>
      <c r="R117" s="347" t="s">
        <v>120</v>
      </c>
      <c r="S117" s="345" t="s">
        <v>111</v>
      </c>
      <c r="T117" s="345" t="s">
        <v>469</v>
      </c>
      <c r="U117" s="345" t="s">
        <v>117</v>
      </c>
      <c r="V117" s="345" t="s">
        <v>123</v>
      </c>
      <c r="W117" s="347" t="s">
        <v>481</v>
      </c>
      <c r="X117" s="345" t="s">
        <v>863</v>
      </c>
      <c r="Y117" s="345" t="s">
        <v>472</v>
      </c>
      <c r="Z117" s="347" t="s">
        <v>832</v>
      </c>
      <c r="AA117" s="345" t="s">
        <v>819</v>
      </c>
      <c r="AB117" s="345" t="s">
        <v>482</v>
      </c>
      <c r="AC117" s="345" t="s">
        <v>943</v>
      </c>
      <c r="AD117" s="347" t="s">
        <v>857</v>
      </c>
      <c r="AE117" s="345" t="s">
        <v>895</v>
      </c>
      <c r="AF117" s="347" t="s">
        <v>832</v>
      </c>
      <c r="AG117" s="345" t="s">
        <v>111</v>
      </c>
      <c r="AH117" s="345"/>
      <c r="AI117" s="345" t="s">
        <v>111</v>
      </c>
      <c r="AJ117" s="345" t="s">
        <v>491</v>
      </c>
      <c r="AK117" s="347" t="s">
        <v>636</v>
      </c>
      <c r="AL117" s="345"/>
    </row>
    <row r="118" spans="1:38" ht="16.5" hidden="1" customHeight="1">
      <c r="A118" s="344" t="s">
        <v>463</v>
      </c>
      <c r="B118" s="345" t="s">
        <v>947</v>
      </c>
      <c r="C118" s="345" t="s">
        <v>589</v>
      </c>
      <c r="D118" s="345" t="s">
        <v>110</v>
      </c>
      <c r="E118" s="345" t="s">
        <v>590</v>
      </c>
      <c r="F118" s="345" t="s">
        <v>940</v>
      </c>
      <c r="G118" s="345" t="s">
        <v>111</v>
      </c>
      <c r="H118" s="345" t="s">
        <v>111</v>
      </c>
      <c r="I118" s="345" t="s">
        <v>948</v>
      </c>
      <c r="J118" s="345"/>
      <c r="K118" s="346" t="s">
        <v>122</v>
      </c>
      <c r="L118" s="346" t="s">
        <v>608</v>
      </c>
      <c r="M118" s="346" t="s">
        <v>114</v>
      </c>
      <c r="N118" s="346"/>
      <c r="O118" s="346"/>
      <c r="P118" s="345" t="s">
        <v>949</v>
      </c>
      <c r="Q118" s="345" t="s">
        <v>468</v>
      </c>
      <c r="R118" s="347" t="s">
        <v>120</v>
      </c>
      <c r="S118" s="345" t="s">
        <v>111</v>
      </c>
      <c r="T118" s="345" t="s">
        <v>469</v>
      </c>
      <c r="U118" s="345" t="s">
        <v>117</v>
      </c>
      <c r="V118" s="345" t="s">
        <v>123</v>
      </c>
      <c r="W118" s="347" t="s">
        <v>481</v>
      </c>
      <c r="X118" s="345" t="s">
        <v>863</v>
      </c>
      <c r="Y118" s="345" t="s">
        <v>472</v>
      </c>
      <c r="Z118" s="347" t="s">
        <v>832</v>
      </c>
      <c r="AA118" s="345" t="s">
        <v>819</v>
      </c>
      <c r="AB118" s="345" t="s">
        <v>482</v>
      </c>
      <c r="AC118" s="345" t="s">
        <v>943</v>
      </c>
      <c r="AD118" s="347" t="s">
        <v>857</v>
      </c>
      <c r="AE118" s="345" t="s">
        <v>472</v>
      </c>
      <c r="AF118" s="347" t="s">
        <v>832</v>
      </c>
      <c r="AG118" s="345" t="s">
        <v>111</v>
      </c>
      <c r="AH118" s="345"/>
      <c r="AI118" s="345" t="s">
        <v>111</v>
      </c>
      <c r="AJ118" s="345" t="s">
        <v>491</v>
      </c>
      <c r="AK118" s="347" t="s">
        <v>636</v>
      </c>
      <c r="AL118" s="345"/>
    </row>
    <row r="119" spans="1:38" ht="16.5" hidden="1" customHeight="1">
      <c r="A119" s="344" t="s">
        <v>463</v>
      </c>
      <c r="B119" s="345" t="s">
        <v>950</v>
      </c>
      <c r="C119" s="345" t="s">
        <v>589</v>
      </c>
      <c r="D119" s="345" t="s">
        <v>110</v>
      </c>
      <c r="E119" s="345" t="s">
        <v>590</v>
      </c>
      <c r="F119" s="345" t="s">
        <v>940</v>
      </c>
      <c r="G119" s="345" t="s">
        <v>111</v>
      </c>
      <c r="H119" s="345" t="s">
        <v>111</v>
      </c>
      <c r="I119" s="345" t="s">
        <v>951</v>
      </c>
      <c r="J119" s="345"/>
      <c r="K119" s="346" t="s">
        <v>122</v>
      </c>
      <c r="L119" s="346" t="s">
        <v>608</v>
      </c>
      <c r="M119" s="346" t="s">
        <v>114</v>
      </c>
      <c r="N119" s="346"/>
      <c r="O119" s="346"/>
      <c r="P119" s="345" t="s">
        <v>952</v>
      </c>
      <c r="Q119" s="345" t="s">
        <v>468</v>
      </c>
      <c r="R119" s="347" t="s">
        <v>120</v>
      </c>
      <c r="S119" s="345" t="s">
        <v>111</v>
      </c>
      <c r="T119" s="345" t="s">
        <v>469</v>
      </c>
      <c r="U119" s="345" t="s">
        <v>117</v>
      </c>
      <c r="V119" s="345" t="s">
        <v>123</v>
      </c>
      <c r="W119" s="347" t="s">
        <v>481</v>
      </c>
      <c r="X119" s="345" t="s">
        <v>863</v>
      </c>
      <c r="Y119" s="345" t="s">
        <v>472</v>
      </c>
      <c r="Z119" s="347" t="s">
        <v>832</v>
      </c>
      <c r="AA119" s="345" t="s">
        <v>819</v>
      </c>
      <c r="AB119" s="345" t="s">
        <v>482</v>
      </c>
      <c r="AC119" s="345" t="s">
        <v>943</v>
      </c>
      <c r="AD119" s="347" t="s">
        <v>857</v>
      </c>
      <c r="AE119" s="345" t="s">
        <v>895</v>
      </c>
      <c r="AF119" s="347" t="s">
        <v>832</v>
      </c>
      <c r="AG119" s="345" t="s">
        <v>111</v>
      </c>
      <c r="AH119" s="345"/>
      <c r="AI119" s="345" t="s">
        <v>111</v>
      </c>
      <c r="AJ119" s="345" t="s">
        <v>491</v>
      </c>
      <c r="AK119" s="347" t="s">
        <v>636</v>
      </c>
      <c r="AL119" s="345"/>
    </row>
    <row r="120" spans="1:38" ht="16.5" hidden="1" customHeight="1">
      <c r="A120" s="344" t="s">
        <v>463</v>
      </c>
      <c r="B120" s="345" t="s">
        <v>953</v>
      </c>
      <c r="C120" s="345" t="s">
        <v>589</v>
      </c>
      <c r="D120" s="345" t="s">
        <v>110</v>
      </c>
      <c r="E120" s="345" t="s">
        <v>853</v>
      </c>
      <c r="F120" s="345" t="s">
        <v>940</v>
      </c>
      <c r="G120" s="345" t="s">
        <v>111</v>
      </c>
      <c r="H120" s="345" t="s">
        <v>111</v>
      </c>
      <c r="I120" s="345" t="s">
        <v>954</v>
      </c>
      <c r="J120" s="345"/>
      <c r="K120" s="346" t="s">
        <v>122</v>
      </c>
      <c r="L120" s="346"/>
      <c r="M120" s="346" t="s">
        <v>754</v>
      </c>
      <c r="N120" s="346"/>
      <c r="O120" s="346"/>
      <c r="P120" s="345" t="s">
        <v>955</v>
      </c>
      <c r="Q120" s="345" t="s">
        <v>468</v>
      </c>
      <c r="R120" s="347" t="s">
        <v>120</v>
      </c>
      <c r="S120" s="345" t="s">
        <v>111</v>
      </c>
      <c r="T120" s="345" t="s">
        <v>469</v>
      </c>
      <c r="U120" s="345" t="s">
        <v>117</v>
      </c>
      <c r="V120" s="345" t="s">
        <v>956</v>
      </c>
      <c r="W120" s="347" t="s">
        <v>481</v>
      </c>
      <c r="X120" s="345" t="s">
        <v>863</v>
      </c>
      <c r="Y120" s="345" t="s">
        <v>472</v>
      </c>
      <c r="Z120" s="347" t="s">
        <v>832</v>
      </c>
      <c r="AA120" s="345" t="s">
        <v>819</v>
      </c>
      <c r="AB120" s="345" t="s">
        <v>482</v>
      </c>
      <c r="AC120" s="345" t="s">
        <v>943</v>
      </c>
      <c r="AD120" s="347" t="s">
        <v>610</v>
      </c>
      <c r="AE120" s="345" t="s">
        <v>472</v>
      </c>
      <c r="AF120" s="347" t="s">
        <v>832</v>
      </c>
      <c r="AG120" s="345" t="s">
        <v>111</v>
      </c>
      <c r="AH120" s="345"/>
      <c r="AI120" s="345" t="s">
        <v>111</v>
      </c>
      <c r="AJ120" s="345" t="s">
        <v>895</v>
      </c>
      <c r="AK120" s="347" t="s">
        <v>832</v>
      </c>
      <c r="AL120" s="345"/>
    </row>
    <row r="121" spans="1:38" ht="16.5" hidden="1" customHeight="1">
      <c r="A121" s="344" t="s">
        <v>463</v>
      </c>
      <c r="B121" s="345" t="s">
        <v>957</v>
      </c>
      <c r="C121" s="345" t="s">
        <v>589</v>
      </c>
      <c r="D121" s="345" t="s">
        <v>110</v>
      </c>
      <c r="E121" s="345" t="s">
        <v>708</v>
      </c>
      <c r="F121" s="345" t="s">
        <v>940</v>
      </c>
      <c r="G121" s="345" t="s">
        <v>111</v>
      </c>
      <c r="H121" s="345" t="s">
        <v>111</v>
      </c>
      <c r="I121" s="345" t="s">
        <v>958</v>
      </c>
      <c r="J121" s="345"/>
      <c r="K121" s="346" t="s">
        <v>122</v>
      </c>
      <c r="L121" s="346"/>
      <c r="M121" s="346" t="s">
        <v>959</v>
      </c>
      <c r="N121" s="346"/>
      <c r="O121" s="346"/>
      <c r="P121" s="345" t="s">
        <v>960</v>
      </c>
      <c r="Q121" s="345" t="s">
        <v>468</v>
      </c>
      <c r="R121" s="347" t="s">
        <v>120</v>
      </c>
      <c r="S121" s="345" t="s">
        <v>111</v>
      </c>
      <c r="T121" s="345" t="s">
        <v>469</v>
      </c>
      <c r="U121" s="345" t="s">
        <v>117</v>
      </c>
      <c r="V121" s="345" t="s">
        <v>956</v>
      </c>
      <c r="W121" s="347" t="s">
        <v>481</v>
      </c>
      <c r="X121" s="345" t="s">
        <v>863</v>
      </c>
      <c r="Y121" s="345" t="s">
        <v>472</v>
      </c>
      <c r="Z121" s="347" t="s">
        <v>832</v>
      </c>
      <c r="AA121" s="345" t="s">
        <v>819</v>
      </c>
      <c r="AB121" s="345" t="s">
        <v>482</v>
      </c>
      <c r="AC121" s="345" t="s">
        <v>943</v>
      </c>
      <c r="AD121" s="347" t="s">
        <v>857</v>
      </c>
      <c r="AE121" s="345" t="s">
        <v>895</v>
      </c>
      <c r="AF121" s="347" t="s">
        <v>832</v>
      </c>
      <c r="AG121" s="345" t="s">
        <v>111</v>
      </c>
      <c r="AH121" s="345"/>
      <c r="AI121" s="345" t="s">
        <v>111</v>
      </c>
      <c r="AJ121" s="345" t="s">
        <v>895</v>
      </c>
      <c r="AK121" s="347" t="s">
        <v>832</v>
      </c>
      <c r="AL121" s="345"/>
    </row>
    <row r="122" spans="1:38" ht="16.5" hidden="1" customHeight="1">
      <c r="A122" s="344" t="s">
        <v>463</v>
      </c>
      <c r="B122" s="345" t="s">
        <v>961</v>
      </c>
      <c r="C122" s="345" t="s">
        <v>589</v>
      </c>
      <c r="D122" s="345" t="s">
        <v>110</v>
      </c>
      <c r="E122" s="345" t="s">
        <v>853</v>
      </c>
      <c r="F122" s="345" t="s">
        <v>940</v>
      </c>
      <c r="G122" s="345" t="s">
        <v>111</v>
      </c>
      <c r="H122" s="345" t="s">
        <v>111</v>
      </c>
      <c r="I122" s="345" t="s">
        <v>962</v>
      </c>
      <c r="J122" s="345"/>
      <c r="K122" s="346" t="s">
        <v>112</v>
      </c>
      <c r="L122" s="346" t="s">
        <v>593</v>
      </c>
      <c r="M122" s="346" t="s">
        <v>114</v>
      </c>
      <c r="N122" s="346"/>
      <c r="O122" s="346"/>
      <c r="P122" s="345" t="s">
        <v>963</v>
      </c>
      <c r="Q122" s="345" t="s">
        <v>468</v>
      </c>
      <c r="R122" s="347" t="s">
        <v>120</v>
      </c>
      <c r="S122" s="345" t="s">
        <v>111</v>
      </c>
      <c r="T122" s="345" t="s">
        <v>469</v>
      </c>
      <c r="U122" s="345" t="s">
        <v>117</v>
      </c>
      <c r="V122" s="345" t="s">
        <v>483</v>
      </c>
      <c r="W122" s="347" t="s">
        <v>481</v>
      </c>
      <c r="X122" s="345" t="s">
        <v>863</v>
      </c>
      <c r="Y122" s="345" t="s">
        <v>472</v>
      </c>
      <c r="Z122" s="347" t="s">
        <v>832</v>
      </c>
      <c r="AA122" s="345" t="s">
        <v>814</v>
      </c>
      <c r="AB122" s="345" t="s">
        <v>482</v>
      </c>
      <c r="AC122" s="345" t="s">
        <v>964</v>
      </c>
      <c r="AD122" s="347" t="s">
        <v>965</v>
      </c>
      <c r="AE122" s="345" t="s">
        <v>472</v>
      </c>
      <c r="AF122" s="347" t="s">
        <v>832</v>
      </c>
      <c r="AG122" s="345" t="s">
        <v>111</v>
      </c>
      <c r="AH122" s="345"/>
      <c r="AI122" s="345" t="s">
        <v>111</v>
      </c>
      <c r="AJ122" s="345" t="s">
        <v>895</v>
      </c>
      <c r="AK122" s="347" t="s">
        <v>832</v>
      </c>
      <c r="AL122" s="345" t="s">
        <v>966</v>
      </c>
    </row>
    <row r="123" spans="1:38" ht="16.5" hidden="1" customHeight="1">
      <c r="A123" s="344" t="s">
        <v>463</v>
      </c>
      <c r="B123" s="345" t="s">
        <v>967</v>
      </c>
      <c r="C123" s="345" t="s">
        <v>589</v>
      </c>
      <c r="D123" s="345" t="s">
        <v>110</v>
      </c>
      <c r="E123" s="345" t="s">
        <v>603</v>
      </c>
      <c r="F123" s="345" t="s">
        <v>940</v>
      </c>
      <c r="G123" s="345" t="s">
        <v>111</v>
      </c>
      <c r="H123" s="345" t="s">
        <v>111</v>
      </c>
      <c r="I123" s="345" t="s">
        <v>968</v>
      </c>
      <c r="J123" s="345"/>
      <c r="K123" s="346" t="s">
        <v>122</v>
      </c>
      <c r="L123" s="346" t="s">
        <v>608</v>
      </c>
      <c r="M123" s="346" t="s">
        <v>114</v>
      </c>
      <c r="N123" s="346"/>
      <c r="O123" s="346"/>
      <c r="P123" s="345" t="s">
        <v>969</v>
      </c>
      <c r="Q123" s="345" t="s">
        <v>468</v>
      </c>
      <c r="R123" s="347" t="s">
        <v>120</v>
      </c>
      <c r="S123" s="345" t="s">
        <v>111</v>
      </c>
      <c r="T123" s="345" t="s">
        <v>469</v>
      </c>
      <c r="U123" s="345" t="s">
        <v>117</v>
      </c>
      <c r="V123" s="345" t="s">
        <v>483</v>
      </c>
      <c r="W123" s="347" t="s">
        <v>481</v>
      </c>
      <c r="X123" s="345" t="s">
        <v>863</v>
      </c>
      <c r="Y123" s="345" t="s">
        <v>472</v>
      </c>
      <c r="Z123" s="347" t="s">
        <v>701</v>
      </c>
      <c r="AA123" s="345" t="s">
        <v>819</v>
      </c>
      <c r="AB123" s="345" t="s">
        <v>482</v>
      </c>
      <c r="AC123" s="345" t="s">
        <v>731</v>
      </c>
      <c r="AD123" s="347" t="s">
        <v>857</v>
      </c>
      <c r="AE123" s="345" t="s">
        <v>491</v>
      </c>
      <c r="AF123" s="347" t="s">
        <v>701</v>
      </c>
      <c r="AG123" s="345" t="s">
        <v>111</v>
      </c>
      <c r="AH123" s="345"/>
      <c r="AI123" s="345" t="s">
        <v>111</v>
      </c>
      <c r="AJ123" s="345" t="s">
        <v>970</v>
      </c>
      <c r="AK123" s="347" t="s">
        <v>701</v>
      </c>
      <c r="AL123" s="345" t="s">
        <v>971</v>
      </c>
    </row>
    <row r="124" spans="1:38" ht="16.5" hidden="1" customHeight="1">
      <c r="A124" s="344" t="s">
        <v>463</v>
      </c>
      <c r="B124" s="345" t="s">
        <v>972</v>
      </c>
      <c r="C124" s="345" t="s">
        <v>589</v>
      </c>
      <c r="D124" s="345" t="s">
        <v>110</v>
      </c>
      <c r="E124" s="345" t="s">
        <v>860</v>
      </c>
      <c r="F124" s="345" t="s">
        <v>940</v>
      </c>
      <c r="G124" s="345" t="s">
        <v>111</v>
      </c>
      <c r="H124" s="345" t="s">
        <v>111</v>
      </c>
      <c r="I124" s="345" t="s">
        <v>973</v>
      </c>
      <c r="J124" s="345"/>
      <c r="K124" s="346" t="s">
        <v>479</v>
      </c>
      <c r="L124" s="346" t="s">
        <v>113</v>
      </c>
      <c r="M124" s="346" t="s">
        <v>114</v>
      </c>
      <c r="N124" s="346"/>
      <c r="O124" s="346"/>
      <c r="P124" s="345" t="s">
        <v>974</v>
      </c>
      <c r="Q124" s="345" t="s">
        <v>468</v>
      </c>
      <c r="R124" s="347" t="s">
        <v>120</v>
      </c>
      <c r="S124" s="345" t="s">
        <v>111</v>
      </c>
      <c r="T124" s="345" t="s">
        <v>469</v>
      </c>
      <c r="U124" s="345" t="s">
        <v>117</v>
      </c>
      <c r="V124" s="345" t="s">
        <v>491</v>
      </c>
      <c r="W124" s="347" t="s">
        <v>813</v>
      </c>
      <c r="X124" s="345" t="s">
        <v>863</v>
      </c>
      <c r="Y124" s="345" t="s">
        <v>472</v>
      </c>
      <c r="Z124" s="347" t="s">
        <v>879</v>
      </c>
      <c r="AA124" s="345" t="s">
        <v>689</v>
      </c>
      <c r="AB124" s="345" t="s">
        <v>482</v>
      </c>
      <c r="AC124" s="345" t="s">
        <v>863</v>
      </c>
      <c r="AD124" s="347" t="s">
        <v>813</v>
      </c>
      <c r="AE124" s="345" t="s">
        <v>491</v>
      </c>
      <c r="AF124" s="347" t="s">
        <v>879</v>
      </c>
      <c r="AG124" s="345" t="s">
        <v>111</v>
      </c>
      <c r="AH124" s="345"/>
      <c r="AI124" s="345" t="s">
        <v>111</v>
      </c>
      <c r="AJ124" s="345" t="s">
        <v>491</v>
      </c>
      <c r="AK124" s="347" t="s">
        <v>636</v>
      </c>
      <c r="AL124" s="345" t="s">
        <v>975</v>
      </c>
    </row>
    <row r="125" spans="1:38" ht="16.5" hidden="1" customHeight="1">
      <c r="A125" s="344" t="s">
        <v>463</v>
      </c>
      <c r="B125" s="345" t="s">
        <v>976</v>
      </c>
      <c r="C125" s="345" t="s">
        <v>589</v>
      </c>
      <c r="D125" s="345" t="s">
        <v>110</v>
      </c>
      <c r="E125" s="345" t="s">
        <v>590</v>
      </c>
      <c r="F125" s="345" t="s">
        <v>940</v>
      </c>
      <c r="G125" s="345" t="s">
        <v>111</v>
      </c>
      <c r="H125" s="345" t="s">
        <v>111</v>
      </c>
      <c r="I125" s="345" t="s">
        <v>977</v>
      </c>
      <c r="J125" s="345"/>
      <c r="K125" s="346" t="s">
        <v>122</v>
      </c>
      <c r="L125" s="346" t="s">
        <v>608</v>
      </c>
      <c r="M125" s="346" t="s">
        <v>114</v>
      </c>
      <c r="N125" s="346"/>
      <c r="O125" s="346"/>
      <c r="P125" s="345" t="s">
        <v>978</v>
      </c>
      <c r="Q125" s="345" t="s">
        <v>468</v>
      </c>
      <c r="R125" s="347" t="s">
        <v>120</v>
      </c>
      <c r="S125" s="345" t="s">
        <v>111</v>
      </c>
      <c r="T125" s="345" t="s">
        <v>469</v>
      </c>
      <c r="U125" s="345" t="s">
        <v>117</v>
      </c>
      <c r="V125" s="345" t="s">
        <v>491</v>
      </c>
      <c r="W125" s="347" t="s">
        <v>813</v>
      </c>
      <c r="X125" s="345" t="s">
        <v>863</v>
      </c>
      <c r="Y125" s="345" t="s">
        <v>472</v>
      </c>
      <c r="Z125" s="347" t="s">
        <v>610</v>
      </c>
      <c r="AA125" s="345" t="s">
        <v>819</v>
      </c>
      <c r="AB125" s="345" t="s">
        <v>482</v>
      </c>
      <c r="AC125" s="345" t="s">
        <v>943</v>
      </c>
      <c r="AD125" s="347" t="s">
        <v>857</v>
      </c>
      <c r="AE125" s="345" t="s">
        <v>483</v>
      </c>
      <c r="AF125" s="347" t="s">
        <v>610</v>
      </c>
      <c r="AG125" s="345" t="s">
        <v>111</v>
      </c>
      <c r="AH125" s="345"/>
      <c r="AI125" s="345" t="s">
        <v>111</v>
      </c>
      <c r="AJ125" s="345" t="s">
        <v>491</v>
      </c>
      <c r="AK125" s="347" t="s">
        <v>636</v>
      </c>
      <c r="AL125" s="345"/>
    </row>
    <row r="126" spans="1:38" ht="16.5" hidden="1" customHeight="1">
      <c r="A126" s="344" t="s">
        <v>463</v>
      </c>
      <c r="B126" s="345" t="s">
        <v>979</v>
      </c>
      <c r="C126" s="345" t="s">
        <v>589</v>
      </c>
      <c r="D126" s="345" t="s">
        <v>110</v>
      </c>
      <c r="E126" s="345" t="s">
        <v>603</v>
      </c>
      <c r="F126" s="345" t="s">
        <v>940</v>
      </c>
      <c r="G126" s="345" t="s">
        <v>111</v>
      </c>
      <c r="H126" s="345" t="s">
        <v>111</v>
      </c>
      <c r="I126" s="345" t="s">
        <v>980</v>
      </c>
      <c r="J126" s="345"/>
      <c r="K126" s="346" t="s">
        <v>122</v>
      </c>
      <c r="L126" s="346" t="s">
        <v>608</v>
      </c>
      <c r="M126" s="346" t="s">
        <v>114</v>
      </c>
      <c r="N126" s="346"/>
      <c r="O126" s="346"/>
      <c r="P126" s="345" t="s">
        <v>981</v>
      </c>
      <c r="Q126" s="345" t="s">
        <v>468</v>
      </c>
      <c r="R126" s="347" t="s">
        <v>120</v>
      </c>
      <c r="S126" s="345" t="s">
        <v>111</v>
      </c>
      <c r="T126" s="345" t="s">
        <v>469</v>
      </c>
      <c r="U126" s="345" t="s">
        <v>117</v>
      </c>
      <c r="V126" s="345" t="s">
        <v>123</v>
      </c>
      <c r="W126" s="347" t="s">
        <v>879</v>
      </c>
      <c r="X126" s="345" t="s">
        <v>863</v>
      </c>
      <c r="Y126" s="345" t="s">
        <v>472</v>
      </c>
      <c r="Z126" s="347" t="s">
        <v>832</v>
      </c>
      <c r="AA126" s="345" t="s">
        <v>982</v>
      </c>
      <c r="AB126" s="345" t="s">
        <v>482</v>
      </c>
      <c r="AC126" s="345" t="s">
        <v>850</v>
      </c>
      <c r="AD126" s="347" t="s">
        <v>983</v>
      </c>
      <c r="AE126" s="345" t="s">
        <v>483</v>
      </c>
      <c r="AF126" s="347" t="s">
        <v>832</v>
      </c>
      <c r="AG126" s="345" t="s">
        <v>111</v>
      </c>
      <c r="AH126" s="345"/>
      <c r="AI126" s="345" t="s">
        <v>111</v>
      </c>
      <c r="AJ126" s="345" t="s">
        <v>491</v>
      </c>
      <c r="AK126" s="347" t="s">
        <v>636</v>
      </c>
      <c r="AL126" s="345"/>
    </row>
    <row r="127" spans="1:38" ht="16.5" hidden="1" customHeight="1">
      <c r="A127" s="344" t="s">
        <v>463</v>
      </c>
      <c r="B127" s="345" t="s">
        <v>984</v>
      </c>
      <c r="C127" s="345" t="s">
        <v>589</v>
      </c>
      <c r="D127" s="345" t="s">
        <v>110</v>
      </c>
      <c r="E127" s="345" t="s">
        <v>708</v>
      </c>
      <c r="F127" s="345" t="s">
        <v>940</v>
      </c>
      <c r="G127" s="345" t="s">
        <v>111</v>
      </c>
      <c r="H127" s="345" t="s">
        <v>111</v>
      </c>
      <c r="I127" s="345" t="s">
        <v>985</v>
      </c>
      <c r="J127" s="345"/>
      <c r="K127" s="346" t="s">
        <v>112</v>
      </c>
      <c r="L127" s="346" t="s">
        <v>593</v>
      </c>
      <c r="M127" s="346" t="s">
        <v>114</v>
      </c>
      <c r="N127" s="346"/>
      <c r="O127" s="346"/>
      <c r="P127" s="345" t="s">
        <v>986</v>
      </c>
      <c r="Q127" s="345" t="s">
        <v>482</v>
      </c>
      <c r="R127" s="347" t="s">
        <v>120</v>
      </c>
      <c r="S127" s="345" t="s">
        <v>111</v>
      </c>
      <c r="T127" s="345" t="s">
        <v>469</v>
      </c>
      <c r="U127" s="345" t="s">
        <v>987</v>
      </c>
      <c r="V127" s="345" t="s">
        <v>970</v>
      </c>
      <c r="W127" s="347" t="s">
        <v>857</v>
      </c>
      <c r="X127" s="345" t="s">
        <v>943</v>
      </c>
      <c r="Y127" s="345" t="s">
        <v>970</v>
      </c>
      <c r="Z127" s="347" t="s">
        <v>701</v>
      </c>
      <c r="AA127" s="345" t="s">
        <v>814</v>
      </c>
      <c r="AB127" s="345" t="s">
        <v>553</v>
      </c>
      <c r="AC127" s="345"/>
      <c r="AD127" s="347" t="s">
        <v>701</v>
      </c>
      <c r="AE127" s="345"/>
      <c r="AF127" s="347" t="s">
        <v>120</v>
      </c>
      <c r="AG127" s="345" t="s">
        <v>111</v>
      </c>
      <c r="AH127" s="345"/>
      <c r="AI127" s="345" t="s">
        <v>988</v>
      </c>
      <c r="AJ127" s="345" t="s">
        <v>483</v>
      </c>
      <c r="AK127" s="347" t="s">
        <v>732</v>
      </c>
      <c r="AL127" s="345"/>
    </row>
    <row r="128" spans="1:38" ht="16.5" hidden="1" customHeight="1">
      <c r="A128" s="344" t="s">
        <v>463</v>
      </c>
      <c r="B128" s="345" t="s">
        <v>989</v>
      </c>
      <c r="C128" s="345" t="s">
        <v>589</v>
      </c>
      <c r="D128" s="345" t="s">
        <v>110</v>
      </c>
      <c r="E128" s="345" t="s">
        <v>708</v>
      </c>
      <c r="F128" s="345" t="s">
        <v>940</v>
      </c>
      <c r="G128" s="345" t="s">
        <v>111</v>
      </c>
      <c r="H128" s="345" t="s">
        <v>111</v>
      </c>
      <c r="I128" s="345" t="s">
        <v>990</v>
      </c>
      <c r="J128" s="345"/>
      <c r="K128" s="346" t="s">
        <v>112</v>
      </c>
      <c r="L128" s="346" t="s">
        <v>593</v>
      </c>
      <c r="M128" s="346" t="s">
        <v>991</v>
      </c>
      <c r="N128" s="346"/>
      <c r="O128" s="346"/>
      <c r="P128" s="345" t="s">
        <v>992</v>
      </c>
      <c r="Q128" s="345" t="s">
        <v>468</v>
      </c>
      <c r="R128" s="347" t="s">
        <v>120</v>
      </c>
      <c r="S128" s="345" t="s">
        <v>111</v>
      </c>
      <c r="T128" s="345" t="s">
        <v>469</v>
      </c>
      <c r="U128" s="345" t="s">
        <v>696</v>
      </c>
      <c r="V128" s="345" t="s">
        <v>483</v>
      </c>
      <c r="W128" s="347" t="s">
        <v>857</v>
      </c>
      <c r="X128" s="345" t="s">
        <v>943</v>
      </c>
      <c r="Y128" s="345" t="s">
        <v>472</v>
      </c>
      <c r="Z128" s="347" t="s">
        <v>832</v>
      </c>
      <c r="AA128" s="345" t="s">
        <v>537</v>
      </c>
      <c r="AB128" s="345" t="s">
        <v>482</v>
      </c>
      <c r="AC128" s="345" t="s">
        <v>850</v>
      </c>
      <c r="AD128" s="347" t="s">
        <v>851</v>
      </c>
      <c r="AE128" s="345" t="s">
        <v>483</v>
      </c>
      <c r="AF128" s="347" t="s">
        <v>832</v>
      </c>
      <c r="AG128" s="345" t="s">
        <v>111</v>
      </c>
      <c r="AH128" s="345"/>
      <c r="AI128" s="345" t="s">
        <v>993</v>
      </c>
      <c r="AJ128" s="345" t="s">
        <v>483</v>
      </c>
      <c r="AK128" s="347" t="s">
        <v>832</v>
      </c>
      <c r="AL128" s="345"/>
    </row>
    <row r="129" spans="1:38" ht="16.5" hidden="1" customHeight="1">
      <c r="A129" s="344" t="s">
        <v>463</v>
      </c>
      <c r="B129" s="345" t="s">
        <v>994</v>
      </c>
      <c r="C129" s="345" t="s">
        <v>589</v>
      </c>
      <c r="D129" s="345" t="s">
        <v>110</v>
      </c>
      <c r="E129" s="345" t="s">
        <v>826</v>
      </c>
      <c r="F129" s="345" t="s">
        <v>940</v>
      </c>
      <c r="G129" s="345" t="s">
        <v>111</v>
      </c>
      <c r="H129" s="345" t="s">
        <v>111</v>
      </c>
      <c r="I129" s="345" t="s">
        <v>995</v>
      </c>
      <c r="J129" s="345"/>
      <c r="K129" s="346" t="s">
        <v>479</v>
      </c>
      <c r="L129" s="346" t="s">
        <v>113</v>
      </c>
      <c r="M129" s="346" t="s">
        <v>114</v>
      </c>
      <c r="N129" s="346"/>
      <c r="O129" s="346"/>
      <c r="P129" s="345" t="s">
        <v>996</v>
      </c>
      <c r="Q129" s="345" t="s">
        <v>468</v>
      </c>
      <c r="R129" s="347" t="s">
        <v>120</v>
      </c>
      <c r="S129" s="345" t="s">
        <v>111</v>
      </c>
      <c r="T129" s="345" t="s">
        <v>469</v>
      </c>
      <c r="U129" s="345" t="s">
        <v>117</v>
      </c>
      <c r="V129" s="345" t="s">
        <v>491</v>
      </c>
      <c r="W129" s="347" t="s">
        <v>857</v>
      </c>
      <c r="X129" s="345" t="s">
        <v>943</v>
      </c>
      <c r="Y129" s="345" t="s">
        <v>472</v>
      </c>
      <c r="Z129" s="347" t="s">
        <v>832</v>
      </c>
      <c r="AA129" s="345" t="s">
        <v>814</v>
      </c>
      <c r="AB129" s="345" t="s">
        <v>482</v>
      </c>
      <c r="AC129" s="345" t="s">
        <v>964</v>
      </c>
      <c r="AD129" s="347" t="s">
        <v>610</v>
      </c>
      <c r="AE129" s="345" t="s">
        <v>483</v>
      </c>
      <c r="AF129" s="347" t="s">
        <v>832</v>
      </c>
      <c r="AG129" s="345" t="s">
        <v>111</v>
      </c>
      <c r="AH129" s="345"/>
      <c r="AI129" s="345" t="s">
        <v>111</v>
      </c>
      <c r="AJ129" s="345" t="s">
        <v>491</v>
      </c>
      <c r="AK129" s="347" t="s">
        <v>636</v>
      </c>
      <c r="AL129" s="345" t="s">
        <v>997</v>
      </c>
    </row>
    <row r="130" spans="1:38" ht="16.5" hidden="1" customHeight="1">
      <c r="A130" s="344" t="s">
        <v>463</v>
      </c>
      <c r="B130" s="345" t="s">
        <v>998</v>
      </c>
      <c r="C130" s="345" t="s">
        <v>589</v>
      </c>
      <c r="D130" s="345" t="s">
        <v>110</v>
      </c>
      <c r="E130" s="345" t="s">
        <v>999</v>
      </c>
      <c r="F130" s="345" t="s">
        <v>940</v>
      </c>
      <c r="G130" s="345" t="s">
        <v>111</v>
      </c>
      <c r="H130" s="345" t="s">
        <v>111</v>
      </c>
      <c r="I130" s="345" t="s">
        <v>1000</v>
      </c>
      <c r="J130" s="345"/>
      <c r="K130" s="346" t="s">
        <v>122</v>
      </c>
      <c r="L130" s="346" t="s">
        <v>608</v>
      </c>
      <c r="M130" s="346" t="s">
        <v>114</v>
      </c>
      <c r="N130" s="346"/>
      <c r="O130" s="346"/>
      <c r="P130" s="345" t="s">
        <v>1001</v>
      </c>
      <c r="Q130" s="345" t="s">
        <v>468</v>
      </c>
      <c r="R130" s="347" t="s">
        <v>120</v>
      </c>
      <c r="S130" s="345" t="s">
        <v>111</v>
      </c>
      <c r="T130" s="345" t="s">
        <v>469</v>
      </c>
      <c r="U130" s="345" t="s">
        <v>1002</v>
      </c>
      <c r="V130" s="345" t="s">
        <v>483</v>
      </c>
      <c r="W130" s="347" t="s">
        <v>857</v>
      </c>
      <c r="X130" s="345" t="s">
        <v>943</v>
      </c>
      <c r="Y130" s="345" t="s">
        <v>472</v>
      </c>
      <c r="Z130" s="347" t="s">
        <v>832</v>
      </c>
      <c r="AA130" s="345" t="s">
        <v>819</v>
      </c>
      <c r="AB130" s="345" t="s">
        <v>482</v>
      </c>
      <c r="AC130" s="345" t="s">
        <v>850</v>
      </c>
      <c r="AD130" s="347" t="s">
        <v>983</v>
      </c>
      <c r="AE130" s="345" t="s">
        <v>472</v>
      </c>
      <c r="AF130" s="347" t="s">
        <v>832</v>
      </c>
      <c r="AG130" s="345" t="s">
        <v>111</v>
      </c>
      <c r="AH130" s="345"/>
      <c r="AI130" s="345" t="s">
        <v>111</v>
      </c>
      <c r="AJ130" s="345" t="s">
        <v>895</v>
      </c>
      <c r="AK130" s="347" t="s">
        <v>832</v>
      </c>
      <c r="AL130" s="345"/>
    </row>
    <row r="131" spans="1:38" ht="16.5" hidden="1" customHeight="1">
      <c r="A131" s="344" t="s">
        <v>463</v>
      </c>
      <c r="B131" s="345" t="s">
        <v>1003</v>
      </c>
      <c r="C131" s="345" t="s">
        <v>589</v>
      </c>
      <c r="D131" s="345" t="s">
        <v>110</v>
      </c>
      <c r="E131" s="345" t="s">
        <v>826</v>
      </c>
      <c r="F131" s="345" t="s">
        <v>940</v>
      </c>
      <c r="G131" s="345" t="s">
        <v>111</v>
      </c>
      <c r="H131" s="345" t="s">
        <v>111</v>
      </c>
      <c r="I131" s="345" t="s">
        <v>1004</v>
      </c>
      <c r="J131" s="345"/>
      <c r="K131" s="346" t="s">
        <v>112</v>
      </c>
      <c r="L131" s="346" t="s">
        <v>113</v>
      </c>
      <c r="M131" s="346" t="s">
        <v>114</v>
      </c>
      <c r="N131" s="346"/>
      <c r="O131" s="346"/>
      <c r="P131" s="345" t="s">
        <v>1005</v>
      </c>
      <c r="Q131" s="345" t="s">
        <v>468</v>
      </c>
      <c r="R131" s="347" t="s">
        <v>120</v>
      </c>
      <c r="S131" s="345" t="s">
        <v>111</v>
      </c>
      <c r="T131" s="345" t="s">
        <v>469</v>
      </c>
      <c r="U131" s="345" t="s">
        <v>117</v>
      </c>
      <c r="V131" s="345" t="s">
        <v>491</v>
      </c>
      <c r="W131" s="347" t="s">
        <v>857</v>
      </c>
      <c r="X131" s="345" t="s">
        <v>943</v>
      </c>
      <c r="Y131" s="345" t="s">
        <v>472</v>
      </c>
      <c r="Z131" s="347" t="s">
        <v>832</v>
      </c>
      <c r="AA131" s="345" t="s">
        <v>814</v>
      </c>
      <c r="AB131" s="345" t="s">
        <v>482</v>
      </c>
      <c r="AC131" s="345" t="s">
        <v>964</v>
      </c>
      <c r="AD131" s="347" t="s">
        <v>965</v>
      </c>
      <c r="AE131" s="345" t="s">
        <v>472</v>
      </c>
      <c r="AF131" s="347" t="s">
        <v>832</v>
      </c>
      <c r="AG131" s="345" t="s">
        <v>111</v>
      </c>
      <c r="AH131" s="345"/>
      <c r="AI131" s="345" t="s">
        <v>111</v>
      </c>
      <c r="AJ131" s="345" t="s">
        <v>491</v>
      </c>
      <c r="AK131" s="347" t="s">
        <v>636</v>
      </c>
      <c r="AL131" s="345" t="s">
        <v>997</v>
      </c>
    </row>
    <row r="132" spans="1:38" ht="16.5" hidden="1" customHeight="1">
      <c r="A132" s="344" t="s">
        <v>463</v>
      </c>
      <c r="B132" s="345" t="s">
        <v>1006</v>
      </c>
      <c r="C132" s="345" t="s">
        <v>589</v>
      </c>
      <c r="D132" s="345" t="s">
        <v>110</v>
      </c>
      <c r="E132" s="345" t="s">
        <v>603</v>
      </c>
      <c r="F132" s="345" t="s">
        <v>940</v>
      </c>
      <c r="G132" s="345" t="s">
        <v>111</v>
      </c>
      <c r="H132" s="345" t="s">
        <v>111</v>
      </c>
      <c r="I132" s="345" t="s">
        <v>1007</v>
      </c>
      <c r="J132" s="345"/>
      <c r="K132" s="346" t="s">
        <v>112</v>
      </c>
      <c r="L132" s="346" t="s">
        <v>593</v>
      </c>
      <c r="M132" s="346" t="s">
        <v>114</v>
      </c>
      <c r="N132" s="346"/>
      <c r="O132" s="346"/>
      <c r="P132" s="345" t="s">
        <v>1008</v>
      </c>
      <c r="Q132" s="345" t="s">
        <v>468</v>
      </c>
      <c r="R132" s="347" t="s">
        <v>120</v>
      </c>
      <c r="S132" s="345" t="s">
        <v>111</v>
      </c>
      <c r="T132" s="345" t="s">
        <v>469</v>
      </c>
      <c r="U132" s="345" t="s">
        <v>117</v>
      </c>
      <c r="V132" s="345" t="s">
        <v>483</v>
      </c>
      <c r="W132" s="347" t="s">
        <v>610</v>
      </c>
      <c r="X132" s="345" t="s">
        <v>943</v>
      </c>
      <c r="Y132" s="345" t="s">
        <v>472</v>
      </c>
      <c r="Z132" s="347" t="s">
        <v>832</v>
      </c>
      <c r="AA132" s="345" t="s">
        <v>819</v>
      </c>
      <c r="AB132" s="345" t="s">
        <v>482</v>
      </c>
      <c r="AC132" s="345" t="s">
        <v>964</v>
      </c>
      <c r="AD132" s="347" t="s">
        <v>965</v>
      </c>
      <c r="AE132" s="345" t="s">
        <v>472</v>
      </c>
      <c r="AF132" s="347" t="s">
        <v>832</v>
      </c>
      <c r="AG132" s="345" t="s">
        <v>111</v>
      </c>
      <c r="AH132" s="345"/>
      <c r="AI132" s="345" t="s">
        <v>111</v>
      </c>
      <c r="AJ132" s="345" t="s">
        <v>895</v>
      </c>
      <c r="AK132" s="347" t="s">
        <v>832</v>
      </c>
      <c r="AL132" s="345"/>
    </row>
    <row r="133" spans="1:38" ht="16.5" hidden="1" customHeight="1">
      <c r="A133" s="344" t="s">
        <v>463</v>
      </c>
      <c r="B133" s="345" t="s">
        <v>1009</v>
      </c>
      <c r="C133" s="345" t="s">
        <v>589</v>
      </c>
      <c r="D133" s="345" t="s">
        <v>110</v>
      </c>
      <c r="E133" s="345" t="s">
        <v>603</v>
      </c>
      <c r="F133" s="345" t="s">
        <v>940</v>
      </c>
      <c r="G133" s="345" t="s">
        <v>111</v>
      </c>
      <c r="H133" s="345" t="s">
        <v>111</v>
      </c>
      <c r="I133" s="345" t="s">
        <v>1010</v>
      </c>
      <c r="J133" s="345"/>
      <c r="K133" s="346" t="s">
        <v>122</v>
      </c>
      <c r="L133" s="346" t="s">
        <v>608</v>
      </c>
      <c r="M133" s="346" t="s">
        <v>114</v>
      </c>
      <c r="N133" s="346"/>
      <c r="O133" s="346"/>
      <c r="P133" s="345" t="s">
        <v>1011</v>
      </c>
      <c r="Q133" s="345" t="s">
        <v>468</v>
      </c>
      <c r="R133" s="347" t="s">
        <v>120</v>
      </c>
      <c r="S133" s="345" t="s">
        <v>111</v>
      </c>
      <c r="T133" s="345" t="s">
        <v>469</v>
      </c>
      <c r="U133" s="345" t="s">
        <v>696</v>
      </c>
      <c r="V133" s="345" t="s">
        <v>483</v>
      </c>
      <c r="W133" s="347" t="s">
        <v>610</v>
      </c>
      <c r="X133" s="345" t="s">
        <v>943</v>
      </c>
      <c r="Y133" s="345" t="s">
        <v>472</v>
      </c>
      <c r="Z133" s="347" t="s">
        <v>832</v>
      </c>
      <c r="AA133" s="345" t="s">
        <v>819</v>
      </c>
      <c r="AB133" s="345" t="s">
        <v>482</v>
      </c>
      <c r="AC133" s="345" t="s">
        <v>850</v>
      </c>
      <c r="AD133" s="347" t="s">
        <v>910</v>
      </c>
      <c r="AE133" s="345" t="s">
        <v>472</v>
      </c>
      <c r="AF133" s="347" t="s">
        <v>832</v>
      </c>
      <c r="AG133" s="345" t="s">
        <v>111</v>
      </c>
      <c r="AH133" s="345"/>
      <c r="AI133" s="345" t="s">
        <v>111</v>
      </c>
      <c r="AJ133" s="345" t="s">
        <v>895</v>
      </c>
      <c r="AK133" s="347" t="s">
        <v>832</v>
      </c>
      <c r="AL133" s="345"/>
    </row>
    <row r="134" spans="1:38" ht="16.5" hidden="1" customHeight="1">
      <c r="A134" s="344" t="s">
        <v>463</v>
      </c>
      <c r="B134" s="345" t="s">
        <v>1012</v>
      </c>
      <c r="C134" s="345" t="s">
        <v>589</v>
      </c>
      <c r="D134" s="345" t="s">
        <v>110</v>
      </c>
      <c r="E134" s="345" t="s">
        <v>847</v>
      </c>
      <c r="F134" s="345" t="s">
        <v>940</v>
      </c>
      <c r="G134" s="345" t="s">
        <v>111</v>
      </c>
      <c r="H134" s="345" t="s">
        <v>111</v>
      </c>
      <c r="I134" s="345" t="s">
        <v>1013</v>
      </c>
      <c r="J134" s="345"/>
      <c r="K134" s="346" t="s">
        <v>122</v>
      </c>
      <c r="L134" s="346" t="s">
        <v>608</v>
      </c>
      <c r="M134" s="346" t="s">
        <v>114</v>
      </c>
      <c r="N134" s="346"/>
      <c r="O134" s="346"/>
      <c r="P134" s="345" t="s">
        <v>1014</v>
      </c>
      <c r="Q134" s="345" t="s">
        <v>468</v>
      </c>
      <c r="R134" s="347" t="s">
        <v>120</v>
      </c>
      <c r="S134" s="345" t="s">
        <v>111</v>
      </c>
      <c r="T134" s="345" t="s">
        <v>469</v>
      </c>
      <c r="U134" s="345" t="s">
        <v>696</v>
      </c>
      <c r="V134" s="345" t="s">
        <v>483</v>
      </c>
      <c r="W134" s="347" t="s">
        <v>610</v>
      </c>
      <c r="X134" s="345" t="s">
        <v>943</v>
      </c>
      <c r="Y134" s="345" t="s">
        <v>472</v>
      </c>
      <c r="Z134" s="347" t="s">
        <v>832</v>
      </c>
      <c r="AA134" s="345" t="s">
        <v>819</v>
      </c>
      <c r="AB134" s="345" t="s">
        <v>482</v>
      </c>
      <c r="AC134" s="345" t="s">
        <v>850</v>
      </c>
      <c r="AD134" s="347" t="s">
        <v>851</v>
      </c>
      <c r="AE134" s="345" t="s">
        <v>472</v>
      </c>
      <c r="AF134" s="347" t="s">
        <v>832</v>
      </c>
      <c r="AG134" s="345" t="s">
        <v>111</v>
      </c>
      <c r="AH134" s="345"/>
      <c r="AI134" s="345" t="s">
        <v>111</v>
      </c>
      <c r="AJ134" s="345" t="s">
        <v>895</v>
      </c>
      <c r="AK134" s="347" t="s">
        <v>832</v>
      </c>
      <c r="AL134" s="345"/>
    </row>
    <row r="135" spans="1:38" ht="16.5" hidden="1" customHeight="1">
      <c r="A135" s="344" t="s">
        <v>463</v>
      </c>
      <c r="B135" s="345" t="s">
        <v>1015</v>
      </c>
      <c r="C135" s="345" t="s">
        <v>589</v>
      </c>
      <c r="D135" s="345" t="s">
        <v>110</v>
      </c>
      <c r="E135" s="345" t="s">
        <v>603</v>
      </c>
      <c r="F135" s="345" t="s">
        <v>940</v>
      </c>
      <c r="G135" s="345" t="s">
        <v>111</v>
      </c>
      <c r="H135" s="345" t="s">
        <v>111</v>
      </c>
      <c r="I135" s="345" t="s">
        <v>1016</v>
      </c>
      <c r="J135" s="345"/>
      <c r="K135" s="346" t="s">
        <v>112</v>
      </c>
      <c r="L135" s="346" t="s">
        <v>593</v>
      </c>
      <c r="M135" s="346" t="s">
        <v>114</v>
      </c>
      <c r="N135" s="346"/>
      <c r="O135" s="346"/>
      <c r="P135" s="345" t="s">
        <v>1017</v>
      </c>
      <c r="Q135" s="345" t="s">
        <v>468</v>
      </c>
      <c r="R135" s="347" t="s">
        <v>120</v>
      </c>
      <c r="S135" s="345" t="s">
        <v>111</v>
      </c>
      <c r="T135" s="345" t="s">
        <v>469</v>
      </c>
      <c r="U135" s="345" t="s">
        <v>618</v>
      </c>
      <c r="V135" s="345" t="s">
        <v>483</v>
      </c>
      <c r="W135" s="347" t="s">
        <v>610</v>
      </c>
      <c r="X135" s="345" t="s">
        <v>943</v>
      </c>
      <c r="Y135" s="345" t="s">
        <v>472</v>
      </c>
      <c r="Z135" s="347" t="s">
        <v>832</v>
      </c>
      <c r="AA135" s="345" t="s">
        <v>474</v>
      </c>
      <c r="AB135" s="345" t="s">
        <v>482</v>
      </c>
      <c r="AC135" s="345" t="s">
        <v>119</v>
      </c>
      <c r="AD135" s="347" t="s">
        <v>851</v>
      </c>
      <c r="AE135" s="345" t="s">
        <v>483</v>
      </c>
      <c r="AF135" s="347" t="s">
        <v>832</v>
      </c>
      <c r="AG135" s="345" t="s">
        <v>111</v>
      </c>
      <c r="AH135" s="345"/>
      <c r="AI135" s="345" t="s">
        <v>111</v>
      </c>
      <c r="AJ135" s="345" t="s">
        <v>483</v>
      </c>
      <c r="AK135" s="347" t="s">
        <v>832</v>
      </c>
      <c r="AL135" s="345"/>
    </row>
    <row r="136" spans="1:38" ht="16.5" hidden="1" customHeight="1">
      <c r="A136" s="344" t="s">
        <v>463</v>
      </c>
      <c r="B136" s="345" t="s">
        <v>1018</v>
      </c>
      <c r="C136" s="345" t="s">
        <v>589</v>
      </c>
      <c r="D136" s="345" t="s">
        <v>110</v>
      </c>
      <c r="E136" s="345" t="s">
        <v>708</v>
      </c>
      <c r="F136" s="345" t="s">
        <v>940</v>
      </c>
      <c r="G136" s="345" t="s">
        <v>111</v>
      </c>
      <c r="H136" s="345" t="s">
        <v>1019</v>
      </c>
      <c r="I136" s="345" t="s">
        <v>1020</v>
      </c>
      <c r="J136" s="345" t="s">
        <v>1021</v>
      </c>
      <c r="K136" s="346" t="s">
        <v>112</v>
      </c>
      <c r="L136" s="346" t="s">
        <v>593</v>
      </c>
      <c r="M136" s="346" t="s">
        <v>114</v>
      </c>
      <c r="N136" s="346"/>
      <c r="O136" s="346"/>
      <c r="P136" s="345" t="s">
        <v>1022</v>
      </c>
      <c r="Q136" s="345" t="s">
        <v>468</v>
      </c>
      <c r="R136" s="347" t="s">
        <v>120</v>
      </c>
      <c r="S136" s="345" t="s">
        <v>111</v>
      </c>
      <c r="T136" s="345" t="s">
        <v>469</v>
      </c>
      <c r="U136" s="345" t="s">
        <v>618</v>
      </c>
      <c r="V136" s="345" t="s">
        <v>483</v>
      </c>
      <c r="W136" s="347" t="s">
        <v>705</v>
      </c>
      <c r="X136" s="345" t="s">
        <v>943</v>
      </c>
      <c r="Y136" s="345" t="s">
        <v>472</v>
      </c>
      <c r="Z136" s="347" t="s">
        <v>832</v>
      </c>
      <c r="AA136" s="345" t="s">
        <v>474</v>
      </c>
      <c r="AB136" s="345" t="s">
        <v>482</v>
      </c>
      <c r="AC136" s="345" t="s">
        <v>119</v>
      </c>
      <c r="AD136" s="347" t="s">
        <v>851</v>
      </c>
      <c r="AE136" s="345" t="s">
        <v>472</v>
      </c>
      <c r="AF136" s="347" t="s">
        <v>832</v>
      </c>
      <c r="AG136" s="345" t="s">
        <v>111</v>
      </c>
      <c r="AH136" s="345"/>
      <c r="AI136" s="345" t="s">
        <v>111</v>
      </c>
      <c r="AJ136" s="345" t="s">
        <v>895</v>
      </c>
      <c r="AK136" s="347" t="s">
        <v>832</v>
      </c>
      <c r="AL136" s="345" t="s">
        <v>1023</v>
      </c>
    </row>
    <row r="137" spans="1:38" ht="16.5" hidden="1" customHeight="1">
      <c r="A137" s="344" t="s">
        <v>463</v>
      </c>
      <c r="B137" s="345" t="s">
        <v>1024</v>
      </c>
      <c r="C137" s="345" t="s">
        <v>589</v>
      </c>
      <c r="D137" s="345" t="s">
        <v>110</v>
      </c>
      <c r="E137" s="345" t="s">
        <v>603</v>
      </c>
      <c r="F137" s="345" t="s">
        <v>940</v>
      </c>
      <c r="G137" s="345" t="s">
        <v>111</v>
      </c>
      <c r="H137" s="345" t="s">
        <v>111</v>
      </c>
      <c r="I137" s="345" t="s">
        <v>1025</v>
      </c>
      <c r="J137" s="345"/>
      <c r="K137" s="346" t="s">
        <v>112</v>
      </c>
      <c r="L137" s="346" t="s">
        <v>593</v>
      </c>
      <c r="M137" s="346" t="s">
        <v>114</v>
      </c>
      <c r="N137" s="346"/>
      <c r="O137" s="346"/>
      <c r="P137" s="345" t="s">
        <v>1026</v>
      </c>
      <c r="Q137" s="345" t="s">
        <v>468</v>
      </c>
      <c r="R137" s="347" t="s">
        <v>120</v>
      </c>
      <c r="S137" s="345" t="s">
        <v>517</v>
      </c>
      <c r="T137" s="345" t="s">
        <v>469</v>
      </c>
      <c r="U137" s="345" t="s">
        <v>669</v>
      </c>
      <c r="V137" s="345" t="s">
        <v>483</v>
      </c>
      <c r="W137" s="347" t="s">
        <v>705</v>
      </c>
      <c r="X137" s="345" t="s">
        <v>943</v>
      </c>
      <c r="Y137" s="345" t="s">
        <v>472</v>
      </c>
      <c r="Z137" s="347" t="s">
        <v>1027</v>
      </c>
      <c r="AA137" s="345" t="s">
        <v>483</v>
      </c>
      <c r="AB137" s="345" t="s">
        <v>553</v>
      </c>
      <c r="AC137" s="345"/>
      <c r="AD137" s="347" t="s">
        <v>576</v>
      </c>
      <c r="AE137" s="345" t="s">
        <v>491</v>
      </c>
      <c r="AF137" s="347" t="s">
        <v>1027</v>
      </c>
      <c r="AG137" s="345" t="s">
        <v>111</v>
      </c>
      <c r="AH137" s="345"/>
      <c r="AI137" s="345" t="s">
        <v>111</v>
      </c>
      <c r="AJ137" s="345" t="s">
        <v>491</v>
      </c>
      <c r="AK137" s="347" t="s">
        <v>1027</v>
      </c>
      <c r="AL137" s="345"/>
    </row>
    <row r="138" spans="1:38" ht="16.5" hidden="1" customHeight="1">
      <c r="A138" s="344" t="s">
        <v>463</v>
      </c>
      <c r="B138" s="345" t="s">
        <v>1028</v>
      </c>
      <c r="C138" s="345" t="s">
        <v>589</v>
      </c>
      <c r="D138" s="345" t="s">
        <v>110</v>
      </c>
      <c r="E138" s="345" t="s">
        <v>882</v>
      </c>
      <c r="F138" s="345" t="s">
        <v>940</v>
      </c>
      <c r="G138" s="345" t="s">
        <v>111</v>
      </c>
      <c r="H138" s="345" t="s">
        <v>111</v>
      </c>
      <c r="I138" s="345" t="s">
        <v>1029</v>
      </c>
      <c r="J138" s="345"/>
      <c r="K138" s="346" t="s">
        <v>112</v>
      </c>
      <c r="L138" s="346" t="s">
        <v>593</v>
      </c>
      <c r="M138" s="346" t="s">
        <v>114</v>
      </c>
      <c r="N138" s="346"/>
      <c r="O138" s="346"/>
      <c r="P138" s="345" t="s">
        <v>1030</v>
      </c>
      <c r="Q138" s="345" t="s">
        <v>468</v>
      </c>
      <c r="R138" s="347" t="s">
        <v>120</v>
      </c>
      <c r="S138" s="345" t="s">
        <v>111</v>
      </c>
      <c r="T138" s="345" t="s">
        <v>469</v>
      </c>
      <c r="U138" s="345" t="s">
        <v>1031</v>
      </c>
      <c r="V138" s="345" t="s">
        <v>483</v>
      </c>
      <c r="W138" s="347" t="s">
        <v>705</v>
      </c>
      <c r="X138" s="345" t="s">
        <v>943</v>
      </c>
      <c r="Y138" s="345" t="s">
        <v>472</v>
      </c>
      <c r="Z138" s="347" t="s">
        <v>832</v>
      </c>
      <c r="AA138" s="345" t="s">
        <v>619</v>
      </c>
      <c r="AB138" s="345" t="s">
        <v>482</v>
      </c>
      <c r="AC138" s="345" t="s">
        <v>850</v>
      </c>
      <c r="AD138" s="347" t="s">
        <v>910</v>
      </c>
      <c r="AE138" s="345" t="s">
        <v>483</v>
      </c>
      <c r="AF138" s="347" t="s">
        <v>832</v>
      </c>
      <c r="AG138" s="345" t="s">
        <v>111</v>
      </c>
      <c r="AH138" s="345"/>
      <c r="AI138" s="345" t="s">
        <v>111</v>
      </c>
      <c r="AJ138" s="345" t="s">
        <v>483</v>
      </c>
      <c r="AK138" s="347" t="s">
        <v>832</v>
      </c>
      <c r="AL138" s="345"/>
    </row>
    <row r="139" spans="1:38" ht="16.5" hidden="1" customHeight="1">
      <c r="A139" s="344" t="s">
        <v>463</v>
      </c>
      <c r="B139" s="345" t="s">
        <v>1032</v>
      </c>
      <c r="C139" s="345" t="s">
        <v>589</v>
      </c>
      <c r="D139" s="345" t="s">
        <v>110</v>
      </c>
      <c r="E139" s="345" t="s">
        <v>590</v>
      </c>
      <c r="F139" s="345" t="s">
        <v>940</v>
      </c>
      <c r="G139" s="345" t="s">
        <v>111</v>
      </c>
      <c r="H139" s="345" t="s">
        <v>111</v>
      </c>
      <c r="I139" s="345" t="s">
        <v>1033</v>
      </c>
      <c r="J139" s="345"/>
      <c r="K139" s="346" t="s">
        <v>122</v>
      </c>
      <c r="L139" s="346"/>
      <c r="M139" s="346" t="s">
        <v>959</v>
      </c>
      <c r="N139" s="346"/>
      <c r="O139" s="346"/>
      <c r="P139" s="345" t="s">
        <v>1034</v>
      </c>
      <c r="Q139" s="345" t="s">
        <v>468</v>
      </c>
      <c r="R139" s="347" t="s">
        <v>120</v>
      </c>
      <c r="S139" s="345" t="s">
        <v>111</v>
      </c>
      <c r="T139" s="345" t="s">
        <v>469</v>
      </c>
      <c r="U139" s="345" t="s">
        <v>696</v>
      </c>
      <c r="V139" s="345" t="s">
        <v>956</v>
      </c>
      <c r="W139" s="347" t="s">
        <v>705</v>
      </c>
      <c r="X139" s="345" t="s">
        <v>943</v>
      </c>
      <c r="Y139" s="345" t="s">
        <v>472</v>
      </c>
      <c r="Z139" s="347" t="s">
        <v>832</v>
      </c>
      <c r="AA139" s="345" t="s">
        <v>819</v>
      </c>
      <c r="AB139" s="345" t="s">
        <v>482</v>
      </c>
      <c r="AC139" s="345" t="s">
        <v>850</v>
      </c>
      <c r="AD139" s="347" t="s">
        <v>851</v>
      </c>
      <c r="AE139" s="345" t="s">
        <v>472</v>
      </c>
      <c r="AF139" s="347" t="s">
        <v>832</v>
      </c>
      <c r="AG139" s="345" t="s">
        <v>111</v>
      </c>
      <c r="AH139" s="345"/>
      <c r="AI139" s="345" t="s">
        <v>111</v>
      </c>
      <c r="AJ139" s="345" t="s">
        <v>895</v>
      </c>
      <c r="AK139" s="347" t="s">
        <v>832</v>
      </c>
      <c r="AL139" s="345"/>
    </row>
    <row r="140" spans="1:38" ht="16.5" hidden="1" customHeight="1">
      <c r="A140" s="344" t="s">
        <v>463</v>
      </c>
      <c r="B140" s="345" t="s">
        <v>1035</v>
      </c>
      <c r="C140" s="345" t="s">
        <v>589</v>
      </c>
      <c r="D140" s="345" t="s">
        <v>110</v>
      </c>
      <c r="E140" s="345" t="s">
        <v>708</v>
      </c>
      <c r="F140" s="345" t="s">
        <v>940</v>
      </c>
      <c r="G140" s="345" t="s">
        <v>111</v>
      </c>
      <c r="H140" s="345" t="s">
        <v>111</v>
      </c>
      <c r="I140" s="345" t="s">
        <v>1036</v>
      </c>
      <c r="J140" s="345"/>
      <c r="K140" s="346" t="s">
        <v>112</v>
      </c>
      <c r="L140" s="346" t="s">
        <v>593</v>
      </c>
      <c r="M140" s="346" t="s">
        <v>114</v>
      </c>
      <c r="N140" s="346"/>
      <c r="O140" s="346"/>
      <c r="P140" s="345" t="s">
        <v>1037</v>
      </c>
      <c r="Q140" s="345" t="s">
        <v>468</v>
      </c>
      <c r="R140" s="347" t="s">
        <v>120</v>
      </c>
      <c r="S140" s="345" t="s">
        <v>517</v>
      </c>
      <c r="T140" s="345" t="s">
        <v>469</v>
      </c>
      <c r="U140" s="345" t="s">
        <v>618</v>
      </c>
      <c r="V140" s="345" t="s">
        <v>483</v>
      </c>
      <c r="W140" s="347" t="s">
        <v>705</v>
      </c>
      <c r="X140" s="345" t="s">
        <v>943</v>
      </c>
      <c r="Y140" s="345" t="s">
        <v>472</v>
      </c>
      <c r="Z140" s="347" t="s">
        <v>582</v>
      </c>
      <c r="AA140" s="345" t="s">
        <v>814</v>
      </c>
      <c r="AB140" s="345" t="s">
        <v>885</v>
      </c>
      <c r="AC140" s="345" t="s">
        <v>119</v>
      </c>
      <c r="AD140" s="347" t="s">
        <v>570</v>
      </c>
      <c r="AE140" s="345" t="s">
        <v>123</v>
      </c>
      <c r="AF140" s="347" t="s">
        <v>582</v>
      </c>
      <c r="AG140" s="345" t="s">
        <v>111</v>
      </c>
      <c r="AH140" s="345"/>
      <c r="AI140" s="345" t="s">
        <v>111</v>
      </c>
      <c r="AJ140" s="345" t="s">
        <v>123</v>
      </c>
      <c r="AK140" s="347" t="s">
        <v>582</v>
      </c>
      <c r="AL140" s="345"/>
    </row>
    <row r="141" spans="1:38" ht="16.5" hidden="1" customHeight="1">
      <c r="A141" s="344" t="s">
        <v>463</v>
      </c>
      <c r="B141" s="345" t="s">
        <v>1038</v>
      </c>
      <c r="C141" s="345" t="s">
        <v>589</v>
      </c>
      <c r="D141" s="345" t="s">
        <v>110</v>
      </c>
      <c r="E141" s="345" t="s">
        <v>708</v>
      </c>
      <c r="F141" s="345" t="s">
        <v>940</v>
      </c>
      <c r="G141" s="345" t="s">
        <v>111</v>
      </c>
      <c r="H141" s="345" t="s">
        <v>111</v>
      </c>
      <c r="I141" s="345" t="s">
        <v>1039</v>
      </c>
      <c r="J141" s="345"/>
      <c r="K141" s="346" t="s">
        <v>122</v>
      </c>
      <c r="L141" s="346" t="s">
        <v>608</v>
      </c>
      <c r="M141" s="346" t="s">
        <v>114</v>
      </c>
      <c r="N141" s="346"/>
      <c r="O141" s="346"/>
      <c r="P141" s="345" t="s">
        <v>1040</v>
      </c>
      <c r="Q141" s="345" t="s">
        <v>468</v>
      </c>
      <c r="R141" s="347" t="s">
        <v>120</v>
      </c>
      <c r="S141" s="345" t="s">
        <v>111</v>
      </c>
      <c r="T141" s="345" t="s">
        <v>469</v>
      </c>
      <c r="U141" s="345" t="s">
        <v>696</v>
      </c>
      <c r="V141" s="345" t="s">
        <v>483</v>
      </c>
      <c r="W141" s="347" t="s">
        <v>705</v>
      </c>
      <c r="X141" s="345" t="s">
        <v>943</v>
      </c>
      <c r="Y141" s="345" t="s">
        <v>472</v>
      </c>
      <c r="Z141" s="347" t="s">
        <v>832</v>
      </c>
      <c r="AA141" s="345" t="s">
        <v>474</v>
      </c>
      <c r="AB141" s="345" t="s">
        <v>482</v>
      </c>
      <c r="AC141" s="345" t="s">
        <v>850</v>
      </c>
      <c r="AD141" s="347" t="s">
        <v>851</v>
      </c>
      <c r="AE141" s="345" t="s">
        <v>472</v>
      </c>
      <c r="AF141" s="347" t="s">
        <v>832</v>
      </c>
      <c r="AG141" s="345" t="s">
        <v>111</v>
      </c>
      <c r="AH141" s="345"/>
      <c r="AI141" s="345" t="s">
        <v>111</v>
      </c>
      <c r="AJ141" s="345" t="s">
        <v>895</v>
      </c>
      <c r="AK141" s="347" t="s">
        <v>832</v>
      </c>
      <c r="AL141" s="345"/>
    </row>
    <row r="142" spans="1:38" ht="16.5" hidden="1" customHeight="1">
      <c r="A142" s="344" t="s">
        <v>463</v>
      </c>
      <c r="B142" s="345" t="s">
        <v>1041</v>
      </c>
      <c r="C142" s="345" t="s">
        <v>589</v>
      </c>
      <c r="D142" s="345" t="s">
        <v>110</v>
      </c>
      <c r="E142" s="345" t="s">
        <v>590</v>
      </c>
      <c r="F142" s="345" t="s">
        <v>940</v>
      </c>
      <c r="G142" s="345" t="s">
        <v>111</v>
      </c>
      <c r="H142" s="345" t="s">
        <v>111</v>
      </c>
      <c r="I142" s="345" t="s">
        <v>1042</v>
      </c>
      <c r="J142" s="345"/>
      <c r="K142" s="346" t="s">
        <v>122</v>
      </c>
      <c r="L142" s="346" t="s">
        <v>608</v>
      </c>
      <c r="M142" s="346" t="s">
        <v>114</v>
      </c>
      <c r="N142" s="346"/>
      <c r="O142" s="346"/>
      <c r="P142" s="345" t="s">
        <v>1043</v>
      </c>
      <c r="Q142" s="345" t="s">
        <v>468</v>
      </c>
      <c r="R142" s="347" t="s">
        <v>120</v>
      </c>
      <c r="S142" s="345" t="s">
        <v>111</v>
      </c>
      <c r="T142" s="345" t="s">
        <v>469</v>
      </c>
      <c r="U142" s="345" t="s">
        <v>696</v>
      </c>
      <c r="V142" s="345" t="s">
        <v>956</v>
      </c>
      <c r="W142" s="347" t="s">
        <v>705</v>
      </c>
      <c r="X142" s="345" t="s">
        <v>943</v>
      </c>
      <c r="Y142" s="345" t="s">
        <v>472</v>
      </c>
      <c r="Z142" s="347" t="s">
        <v>582</v>
      </c>
      <c r="AA142" s="345" t="s">
        <v>537</v>
      </c>
      <c r="AB142" s="345" t="s">
        <v>482</v>
      </c>
      <c r="AC142" s="345" t="s">
        <v>119</v>
      </c>
      <c r="AD142" s="347" t="s">
        <v>1044</v>
      </c>
      <c r="AE142" s="345" t="s">
        <v>483</v>
      </c>
      <c r="AF142" s="347" t="s">
        <v>582</v>
      </c>
      <c r="AG142" s="345" t="s">
        <v>111</v>
      </c>
      <c r="AH142" s="345"/>
      <c r="AI142" s="345" t="s">
        <v>111</v>
      </c>
      <c r="AJ142" s="345" t="s">
        <v>483</v>
      </c>
      <c r="AK142" s="347" t="s">
        <v>582</v>
      </c>
      <c r="AL142" s="345"/>
    </row>
    <row r="143" spans="1:38" ht="16.5" hidden="1" customHeight="1">
      <c r="A143" s="344" t="s">
        <v>463</v>
      </c>
      <c r="B143" s="345" t="s">
        <v>1045</v>
      </c>
      <c r="C143" s="345" t="s">
        <v>589</v>
      </c>
      <c r="D143" s="345" t="s">
        <v>110</v>
      </c>
      <c r="E143" s="345" t="s">
        <v>603</v>
      </c>
      <c r="F143" s="345" t="s">
        <v>940</v>
      </c>
      <c r="G143" s="345" t="s">
        <v>111</v>
      </c>
      <c r="H143" s="345" t="s">
        <v>111</v>
      </c>
      <c r="I143" s="345" t="s">
        <v>1046</v>
      </c>
      <c r="J143" s="345"/>
      <c r="K143" s="346" t="s">
        <v>122</v>
      </c>
      <c r="L143" s="346" t="s">
        <v>608</v>
      </c>
      <c r="M143" s="346" t="s">
        <v>114</v>
      </c>
      <c r="N143" s="346"/>
      <c r="O143" s="346"/>
      <c r="P143" s="345" t="s">
        <v>1047</v>
      </c>
      <c r="Q143" s="345" t="s">
        <v>468</v>
      </c>
      <c r="R143" s="347" t="s">
        <v>120</v>
      </c>
      <c r="S143" s="345" t="s">
        <v>517</v>
      </c>
      <c r="T143" s="345" t="s">
        <v>469</v>
      </c>
      <c r="U143" s="345" t="s">
        <v>696</v>
      </c>
      <c r="V143" s="345" t="s">
        <v>483</v>
      </c>
      <c r="W143" s="347" t="s">
        <v>705</v>
      </c>
      <c r="X143" s="345" t="s">
        <v>943</v>
      </c>
      <c r="Y143" s="345" t="s">
        <v>472</v>
      </c>
      <c r="Z143" s="347" t="s">
        <v>576</v>
      </c>
      <c r="AA143" s="345" t="s">
        <v>619</v>
      </c>
      <c r="AB143" s="345" t="s">
        <v>482</v>
      </c>
      <c r="AC143" s="345" t="s">
        <v>119</v>
      </c>
      <c r="AD143" s="347" t="s">
        <v>582</v>
      </c>
      <c r="AE143" s="345" t="s">
        <v>903</v>
      </c>
      <c r="AF143" s="347" t="s">
        <v>576</v>
      </c>
      <c r="AG143" s="345" t="s">
        <v>111</v>
      </c>
      <c r="AH143" s="345"/>
      <c r="AI143" s="345" t="s">
        <v>111</v>
      </c>
      <c r="AJ143" s="345" t="s">
        <v>491</v>
      </c>
      <c r="AK143" s="347" t="s">
        <v>636</v>
      </c>
      <c r="AL143" s="345"/>
    </row>
    <row r="144" spans="1:38" ht="16.5" hidden="1" customHeight="1">
      <c r="A144" s="344" t="s">
        <v>463</v>
      </c>
      <c r="B144" s="345" t="s">
        <v>1048</v>
      </c>
      <c r="C144" s="345" t="s">
        <v>589</v>
      </c>
      <c r="D144" s="345" t="s">
        <v>110</v>
      </c>
      <c r="E144" s="345" t="s">
        <v>853</v>
      </c>
      <c r="F144" s="345" t="s">
        <v>940</v>
      </c>
      <c r="G144" s="345" t="s">
        <v>111</v>
      </c>
      <c r="H144" s="345" t="s">
        <v>111</v>
      </c>
      <c r="I144" s="345" t="s">
        <v>1049</v>
      </c>
      <c r="J144" s="345"/>
      <c r="K144" s="346" t="s">
        <v>122</v>
      </c>
      <c r="L144" s="346"/>
      <c r="M144" s="346" t="s">
        <v>754</v>
      </c>
      <c r="N144" s="346"/>
      <c r="O144" s="346"/>
      <c r="P144" s="345" t="s">
        <v>1050</v>
      </c>
      <c r="Q144" s="345" t="s">
        <v>468</v>
      </c>
      <c r="R144" s="347" t="s">
        <v>120</v>
      </c>
      <c r="S144" s="345" t="s">
        <v>111</v>
      </c>
      <c r="T144" s="345" t="s">
        <v>469</v>
      </c>
      <c r="U144" s="345" t="s">
        <v>117</v>
      </c>
      <c r="V144" s="345" t="s">
        <v>956</v>
      </c>
      <c r="W144" s="347" t="s">
        <v>705</v>
      </c>
      <c r="X144" s="345" t="s">
        <v>943</v>
      </c>
      <c r="Y144" s="345" t="s">
        <v>472</v>
      </c>
      <c r="Z144" s="347" t="s">
        <v>705</v>
      </c>
      <c r="AA144" s="345" t="s">
        <v>956</v>
      </c>
      <c r="AB144" s="345" t="s">
        <v>885</v>
      </c>
      <c r="AC144" s="345"/>
      <c r="AD144" s="347" t="s">
        <v>705</v>
      </c>
      <c r="AE144" s="345" t="s">
        <v>956</v>
      </c>
      <c r="AF144" s="347" t="s">
        <v>705</v>
      </c>
      <c r="AG144" s="345" t="s">
        <v>111</v>
      </c>
      <c r="AH144" s="345"/>
      <c r="AI144" s="345" t="s">
        <v>111</v>
      </c>
      <c r="AJ144" s="345" t="s">
        <v>956</v>
      </c>
      <c r="AK144" s="347" t="s">
        <v>705</v>
      </c>
      <c r="AL144" s="345"/>
    </row>
    <row r="145" spans="1:38" ht="16.5" hidden="1" customHeight="1">
      <c r="A145" s="344" t="s">
        <v>463</v>
      </c>
      <c r="B145" s="345" t="s">
        <v>1051</v>
      </c>
      <c r="C145" s="345" t="s">
        <v>589</v>
      </c>
      <c r="D145" s="345" t="s">
        <v>110</v>
      </c>
      <c r="E145" s="345" t="s">
        <v>853</v>
      </c>
      <c r="F145" s="345" t="s">
        <v>940</v>
      </c>
      <c r="G145" s="345" t="s">
        <v>111</v>
      </c>
      <c r="H145" s="345" t="s">
        <v>111</v>
      </c>
      <c r="I145" s="345" t="s">
        <v>1052</v>
      </c>
      <c r="J145" s="345"/>
      <c r="K145" s="346" t="s">
        <v>122</v>
      </c>
      <c r="L145" s="346" t="s">
        <v>608</v>
      </c>
      <c r="M145" s="346" t="s">
        <v>114</v>
      </c>
      <c r="N145" s="346"/>
      <c r="O145" s="346"/>
      <c r="P145" s="345" t="s">
        <v>1053</v>
      </c>
      <c r="Q145" s="345" t="s">
        <v>468</v>
      </c>
      <c r="R145" s="347" t="s">
        <v>120</v>
      </c>
      <c r="S145" s="345" t="s">
        <v>517</v>
      </c>
      <c r="T145" s="345" t="s">
        <v>469</v>
      </c>
      <c r="U145" s="345" t="s">
        <v>117</v>
      </c>
      <c r="V145" s="345" t="s">
        <v>483</v>
      </c>
      <c r="W145" s="347" t="s">
        <v>705</v>
      </c>
      <c r="X145" s="345" t="s">
        <v>943</v>
      </c>
      <c r="Y145" s="345" t="s">
        <v>472</v>
      </c>
      <c r="Z145" s="347" t="s">
        <v>576</v>
      </c>
      <c r="AA145" s="345" t="s">
        <v>619</v>
      </c>
      <c r="AB145" s="345" t="s">
        <v>482</v>
      </c>
      <c r="AC145" s="345" t="s">
        <v>119</v>
      </c>
      <c r="AD145" s="347" t="s">
        <v>582</v>
      </c>
      <c r="AE145" s="345" t="s">
        <v>903</v>
      </c>
      <c r="AF145" s="347" t="s">
        <v>576</v>
      </c>
      <c r="AG145" s="345" t="s">
        <v>111</v>
      </c>
      <c r="AH145" s="345"/>
      <c r="AI145" s="345" t="s">
        <v>111</v>
      </c>
      <c r="AJ145" s="345" t="s">
        <v>903</v>
      </c>
      <c r="AK145" s="347" t="s">
        <v>576</v>
      </c>
      <c r="AL145" s="345"/>
    </row>
    <row r="146" spans="1:38" ht="16.5" hidden="1" customHeight="1">
      <c r="A146" s="344" t="s">
        <v>463</v>
      </c>
      <c r="B146" s="345" t="s">
        <v>1054</v>
      </c>
      <c r="C146" s="345" t="s">
        <v>589</v>
      </c>
      <c r="D146" s="345" t="s">
        <v>110</v>
      </c>
      <c r="E146" s="345" t="s">
        <v>999</v>
      </c>
      <c r="F146" s="345" t="s">
        <v>940</v>
      </c>
      <c r="G146" s="345" t="s">
        <v>111</v>
      </c>
      <c r="H146" s="345" t="s">
        <v>111</v>
      </c>
      <c r="I146" s="345" t="s">
        <v>1055</v>
      </c>
      <c r="J146" s="345"/>
      <c r="K146" s="346" t="s">
        <v>122</v>
      </c>
      <c r="L146" s="346" t="s">
        <v>608</v>
      </c>
      <c r="M146" s="346" t="s">
        <v>114</v>
      </c>
      <c r="N146" s="346"/>
      <c r="O146" s="346"/>
      <c r="P146" s="345" t="s">
        <v>1056</v>
      </c>
      <c r="Q146" s="345" t="s">
        <v>468</v>
      </c>
      <c r="R146" s="347" t="s">
        <v>120</v>
      </c>
      <c r="S146" s="345" t="s">
        <v>111</v>
      </c>
      <c r="T146" s="345" t="s">
        <v>469</v>
      </c>
      <c r="U146" s="345" t="s">
        <v>696</v>
      </c>
      <c r="V146" s="345" t="s">
        <v>483</v>
      </c>
      <c r="W146" s="347" t="s">
        <v>705</v>
      </c>
      <c r="X146" s="345" t="s">
        <v>943</v>
      </c>
      <c r="Y146" s="345" t="s">
        <v>472</v>
      </c>
      <c r="Z146" s="347" t="s">
        <v>832</v>
      </c>
      <c r="AA146" s="345" t="s">
        <v>814</v>
      </c>
      <c r="AB146" s="345" t="s">
        <v>482</v>
      </c>
      <c r="AC146" s="345" t="s">
        <v>119</v>
      </c>
      <c r="AD146" s="347" t="s">
        <v>851</v>
      </c>
      <c r="AE146" s="345" t="s">
        <v>472</v>
      </c>
      <c r="AF146" s="347" t="s">
        <v>832</v>
      </c>
      <c r="AG146" s="345" t="s">
        <v>111</v>
      </c>
      <c r="AH146" s="345"/>
      <c r="AI146" s="345" t="s">
        <v>111</v>
      </c>
      <c r="AJ146" s="345" t="s">
        <v>895</v>
      </c>
      <c r="AK146" s="347" t="s">
        <v>832</v>
      </c>
      <c r="AL146" s="345"/>
    </row>
    <row r="147" spans="1:38" ht="16.5" hidden="1" customHeight="1">
      <c r="A147" s="344" t="s">
        <v>463</v>
      </c>
      <c r="B147" s="345" t="s">
        <v>1057</v>
      </c>
      <c r="C147" s="345" t="s">
        <v>589</v>
      </c>
      <c r="D147" s="345" t="s">
        <v>110</v>
      </c>
      <c r="E147" s="345" t="s">
        <v>853</v>
      </c>
      <c r="F147" s="345" t="s">
        <v>940</v>
      </c>
      <c r="G147" s="345" t="s">
        <v>111</v>
      </c>
      <c r="H147" s="345" t="s">
        <v>111</v>
      </c>
      <c r="I147" s="345" t="s">
        <v>1058</v>
      </c>
      <c r="J147" s="345"/>
      <c r="K147" s="346" t="s">
        <v>122</v>
      </c>
      <c r="L147" s="346"/>
      <c r="M147" s="346" t="s">
        <v>114</v>
      </c>
      <c r="N147" s="346"/>
      <c r="O147" s="346"/>
      <c r="P147" s="345" t="s">
        <v>1059</v>
      </c>
      <c r="Q147" s="345" t="s">
        <v>468</v>
      </c>
      <c r="R147" s="347" t="s">
        <v>120</v>
      </c>
      <c r="S147" s="345" t="s">
        <v>111</v>
      </c>
      <c r="T147" s="345" t="s">
        <v>469</v>
      </c>
      <c r="U147" s="345" t="s">
        <v>117</v>
      </c>
      <c r="V147" s="345" t="s">
        <v>956</v>
      </c>
      <c r="W147" s="347" t="s">
        <v>705</v>
      </c>
      <c r="X147" s="345" t="s">
        <v>943</v>
      </c>
      <c r="Y147" s="345" t="s">
        <v>472</v>
      </c>
      <c r="Z147" s="347" t="s">
        <v>832</v>
      </c>
      <c r="AA147" s="345" t="s">
        <v>619</v>
      </c>
      <c r="AB147" s="345" t="s">
        <v>482</v>
      </c>
      <c r="AC147" s="345" t="s">
        <v>850</v>
      </c>
      <c r="AD147" s="347" t="s">
        <v>851</v>
      </c>
      <c r="AE147" s="345" t="s">
        <v>472</v>
      </c>
      <c r="AF147" s="347" t="s">
        <v>832</v>
      </c>
      <c r="AG147" s="345" t="s">
        <v>111</v>
      </c>
      <c r="AH147" s="345"/>
      <c r="AI147" s="345" t="s">
        <v>111</v>
      </c>
      <c r="AJ147" s="345" t="s">
        <v>895</v>
      </c>
      <c r="AK147" s="347" t="s">
        <v>832</v>
      </c>
      <c r="AL147" s="345"/>
    </row>
    <row r="148" spans="1:38" ht="16.5" hidden="1" customHeight="1">
      <c r="A148" s="344" t="s">
        <v>463</v>
      </c>
      <c r="B148" s="345" t="s">
        <v>1060</v>
      </c>
      <c r="C148" s="345" t="s">
        <v>589</v>
      </c>
      <c r="D148" s="345" t="s">
        <v>110</v>
      </c>
      <c r="E148" s="345" t="s">
        <v>853</v>
      </c>
      <c r="F148" s="345" t="s">
        <v>940</v>
      </c>
      <c r="G148" s="345" t="s">
        <v>111</v>
      </c>
      <c r="H148" s="345" t="s">
        <v>111</v>
      </c>
      <c r="I148" s="345" t="s">
        <v>1061</v>
      </c>
      <c r="J148" s="345"/>
      <c r="K148" s="346" t="s">
        <v>122</v>
      </c>
      <c r="L148" s="346"/>
      <c r="M148" s="346" t="s">
        <v>754</v>
      </c>
      <c r="N148" s="346"/>
      <c r="O148" s="346"/>
      <c r="P148" s="345" t="s">
        <v>1062</v>
      </c>
      <c r="Q148" s="345" t="s">
        <v>468</v>
      </c>
      <c r="R148" s="347" t="s">
        <v>120</v>
      </c>
      <c r="S148" s="345" t="s">
        <v>111</v>
      </c>
      <c r="T148" s="345" t="s">
        <v>469</v>
      </c>
      <c r="U148" s="345" t="s">
        <v>117</v>
      </c>
      <c r="V148" s="345" t="s">
        <v>956</v>
      </c>
      <c r="W148" s="347" t="s">
        <v>705</v>
      </c>
      <c r="X148" s="345" t="s">
        <v>943</v>
      </c>
      <c r="Y148" s="345" t="s">
        <v>472</v>
      </c>
      <c r="Z148" s="347" t="s">
        <v>832</v>
      </c>
      <c r="AA148" s="345" t="s">
        <v>474</v>
      </c>
      <c r="AB148" s="345" t="s">
        <v>482</v>
      </c>
      <c r="AC148" s="345" t="s">
        <v>731</v>
      </c>
      <c r="AD148" s="347" t="s">
        <v>910</v>
      </c>
      <c r="AE148" s="345" t="s">
        <v>472</v>
      </c>
      <c r="AF148" s="347" t="s">
        <v>832</v>
      </c>
      <c r="AG148" s="345" t="s">
        <v>111</v>
      </c>
      <c r="AH148" s="345"/>
      <c r="AI148" s="345" t="s">
        <v>111</v>
      </c>
      <c r="AJ148" s="345" t="s">
        <v>895</v>
      </c>
      <c r="AK148" s="347" t="s">
        <v>832</v>
      </c>
      <c r="AL148" s="345"/>
    </row>
    <row r="149" spans="1:38" ht="16.5" hidden="1" customHeight="1">
      <c r="A149" s="344" t="s">
        <v>463</v>
      </c>
      <c r="B149" s="345" t="s">
        <v>1063</v>
      </c>
      <c r="C149" s="345" t="s">
        <v>589</v>
      </c>
      <c r="D149" s="345" t="s">
        <v>110</v>
      </c>
      <c r="E149" s="345" t="s">
        <v>999</v>
      </c>
      <c r="F149" s="345" t="s">
        <v>940</v>
      </c>
      <c r="G149" s="345" t="s">
        <v>111</v>
      </c>
      <c r="H149" s="345" t="s">
        <v>111</v>
      </c>
      <c r="I149" s="345" t="s">
        <v>1064</v>
      </c>
      <c r="J149" s="345"/>
      <c r="K149" s="346" t="s">
        <v>122</v>
      </c>
      <c r="L149" s="346"/>
      <c r="M149" s="346" t="s">
        <v>754</v>
      </c>
      <c r="N149" s="346"/>
      <c r="O149" s="346"/>
      <c r="P149" s="345" t="s">
        <v>1065</v>
      </c>
      <c r="Q149" s="345" t="s">
        <v>468</v>
      </c>
      <c r="R149" s="347" t="s">
        <v>120</v>
      </c>
      <c r="S149" s="345" t="s">
        <v>111</v>
      </c>
      <c r="T149" s="345" t="s">
        <v>469</v>
      </c>
      <c r="U149" s="345" t="s">
        <v>117</v>
      </c>
      <c r="V149" s="345" t="s">
        <v>956</v>
      </c>
      <c r="W149" s="347" t="s">
        <v>705</v>
      </c>
      <c r="X149" s="345" t="s">
        <v>943</v>
      </c>
      <c r="Y149" s="345" t="s">
        <v>472</v>
      </c>
      <c r="Z149" s="347" t="s">
        <v>705</v>
      </c>
      <c r="AA149" s="345" t="s">
        <v>956</v>
      </c>
      <c r="AB149" s="345" t="s">
        <v>475</v>
      </c>
      <c r="AC149" s="345" t="s">
        <v>943</v>
      </c>
      <c r="AD149" s="347" t="s">
        <v>705</v>
      </c>
      <c r="AE149" s="345" t="s">
        <v>956</v>
      </c>
      <c r="AF149" s="347" t="s">
        <v>705</v>
      </c>
      <c r="AG149" s="345" t="s">
        <v>111</v>
      </c>
      <c r="AH149" s="345"/>
      <c r="AI149" s="345" t="s">
        <v>111</v>
      </c>
      <c r="AJ149" s="345" t="s">
        <v>956</v>
      </c>
      <c r="AK149" s="347" t="s">
        <v>705</v>
      </c>
      <c r="AL149" s="345"/>
    </row>
    <row r="150" spans="1:38" ht="16.5" hidden="1" customHeight="1">
      <c r="A150" s="344" t="s">
        <v>463</v>
      </c>
      <c r="B150" s="345" t="s">
        <v>1066</v>
      </c>
      <c r="C150" s="345" t="s">
        <v>589</v>
      </c>
      <c r="D150" s="345" t="s">
        <v>110</v>
      </c>
      <c r="E150" s="345" t="s">
        <v>999</v>
      </c>
      <c r="F150" s="345" t="s">
        <v>940</v>
      </c>
      <c r="G150" s="345" t="s">
        <v>111</v>
      </c>
      <c r="H150" s="345" t="s">
        <v>111</v>
      </c>
      <c r="I150" s="345" t="s">
        <v>1067</v>
      </c>
      <c r="J150" s="345"/>
      <c r="K150" s="346" t="s">
        <v>122</v>
      </c>
      <c r="L150" s="346"/>
      <c r="M150" s="346" t="s">
        <v>754</v>
      </c>
      <c r="N150" s="346"/>
      <c r="O150" s="346"/>
      <c r="P150" s="345" t="s">
        <v>1068</v>
      </c>
      <c r="Q150" s="345" t="s">
        <v>468</v>
      </c>
      <c r="R150" s="347" t="s">
        <v>120</v>
      </c>
      <c r="S150" s="345" t="s">
        <v>111</v>
      </c>
      <c r="T150" s="345" t="s">
        <v>469</v>
      </c>
      <c r="U150" s="345" t="s">
        <v>117</v>
      </c>
      <c r="V150" s="345" t="s">
        <v>956</v>
      </c>
      <c r="W150" s="347" t="s">
        <v>705</v>
      </c>
      <c r="X150" s="345" t="s">
        <v>943</v>
      </c>
      <c r="Y150" s="345" t="s">
        <v>472</v>
      </c>
      <c r="Z150" s="347" t="s">
        <v>705</v>
      </c>
      <c r="AA150" s="345" t="s">
        <v>956</v>
      </c>
      <c r="AB150" s="345" t="s">
        <v>475</v>
      </c>
      <c r="AC150" s="345"/>
      <c r="AD150" s="347" t="s">
        <v>705</v>
      </c>
      <c r="AE150" s="345" t="s">
        <v>956</v>
      </c>
      <c r="AF150" s="347" t="s">
        <v>705</v>
      </c>
      <c r="AG150" s="345" t="s">
        <v>111</v>
      </c>
      <c r="AH150" s="345"/>
      <c r="AI150" s="345" t="s">
        <v>111</v>
      </c>
      <c r="AJ150" s="345" t="s">
        <v>956</v>
      </c>
      <c r="AK150" s="347" t="s">
        <v>705</v>
      </c>
      <c r="AL150" s="345"/>
    </row>
    <row r="151" spans="1:38" ht="16.5" hidden="1" customHeight="1">
      <c r="A151" s="344" t="s">
        <v>463</v>
      </c>
      <c r="B151" s="345" t="s">
        <v>1069</v>
      </c>
      <c r="C151" s="345" t="s">
        <v>589</v>
      </c>
      <c r="D151" s="345" t="s">
        <v>110</v>
      </c>
      <c r="E151" s="345" t="s">
        <v>847</v>
      </c>
      <c r="F151" s="345" t="s">
        <v>940</v>
      </c>
      <c r="G151" s="345" t="s">
        <v>111</v>
      </c>
      <c r="H151" s="345" t="s">
        <v>111</v>
      </c>
      <c r="I151" s="345" t="s">
        <v>1070</v>
      </c>
      <c r="J151" s="345"/>
      <c r="K151" s="346" t="s">
        <v>1071</v>
      </c>
      <c r="L151" s="346" t="s">
        <v>650</v>
      </c>
      <c r="M151" s="346" t="s">
        <v>114</v>
      </c>
      <c r="N151" s="346"/>
      <c r="O151" s="346"/>
      <c r="P151" s="345" t="s">
        <v>1072</v>
      </c>
      <c r="Q151" s="345" t="s">
        <v>468</v>
      </c>
      <c r="R151" s="347" t="s">
        <v>120</v>
      </c>
      <c r="S151" s="345" t="s">
        <v>111</v>
      </c>
      <c r="T151" s="345" t="s">
        <v>469</v>
      </c>
      <c r="U151" s="345" t="s">
        <v>696</v>
      </c>
      <c r="V151" s="345" t="s">
        <v>483</v>
      </c>
      <c r="W151" s="347" t="s">
        <v>705</v>
      </c>
      <c r="X151" s="345" t="s">
        <v>943</v>
      </c>
      <c r="Y151" s="345" t="s">
        <v>472</v>
      </c>
      <c r="Z151" s="347" t="s">
        <v>832</v>
      </c>
      <c r="AA151" s="345" t="s">
        <v>819</v>
      </c>
      <c r="AB151" s="345" t="s">
        <v>482</v>
      </c>
      <c r="AC151" s="345" t="s">
        <v>850</v>
      </c>
      <c r="AD151" s="347" t="s">
        <v>851</v>
      </c>
      <c r="AE151" s="345" t="s">
        <v>472</v>
      </c>
      <c r="AF151" s="347" t="s">
        <v>832</v>
      </c>
      <c r="AG151" s="345" t="s">
        <v>111</v>
      </c>
      <c r="AH151" s="345"/>
      <c r="AI151" s="345" t="s">
        <v>111</v>
      </c>
      <c r="AJ151" s="345" t="s">
        <v>895</v>
      </c>
      <c r="AK151" s="347" t="s">
        <v>832</v>
      </c>
      <c r="AL151" s="345"/>
    </row>
    <row r="152" spans="1:38" ht="16.5" hidden="1" customHeight="1">
      <c r="A152" s="344" t="s">
        <v>463</v>
      </c>
      <c r="B152" s="345" t="s">
        <v>1073</v>
      </c>
      <c r="C152" s="345" t="s">
        <v>589</v>
      </c>
      <c r="D152" s="345" t="s">
        <v>110</v>
      </c>
      <c r="E152" s="345" t="s">
        <v>882</v>
      </c>
      <c r="F152" s="345" t="s">
        <v>940</v>
      </c>
      <c r="G152" s="345" t="s">
        <v>111</v>
      </c>
      <c r="H152" s="345" t="s">
        <v>111</v>
      </c>
      <c r="I152" s="345" t="s">
        <v>1074</v>
      </c>
      <c r="J152" s="345"/>
      <c r="K152" s="346" t="s">
        <v>122</v>
      </c>
      <c r="L152" s="346" t="s">
        <v>608</v>
      </c>
      <c r="M152" s="346" t="s">
        <v>114</v>
      </c>
      <c r="N152" s="346"/>
      <c r="O152" s="346"/>
      <c r="P152" s="345" t="s">
        <v>1075</v>
      </c>
      <c r="Q152" s="345" t="s">
        <v>468</v>
      </c>
      <c r="R152" s="347" t="s">
        <v>120</v>
      </c>
      <c r="S152" s="345" t="s">
        <v>111</v>
      </c>
      <c r="T152" s="345" t="s">
        <v>469</v>
      </c>
      <c r="U152" s="345" t="s">
        <v>117</v>
      </c>
      <c r="V152" s="345" t="s">
        <v>483</v>
      </c>
      <c r="W152" s="347" t="s">
        <v>705</v>
      </c>
      <c r="X152" s="345" t="s">
        <v>943</v>
      </c>
      <c r="Y152" s="345" t="s">
        <v>472</v>
      </c>
      <c r="Z152" s="347" t="s">
        <v>832</v>
      </c>
      <c r="AA152" s="345" t="s">
        <v>819</v>
      </c>
      <c r="AB152" s="345" t="s">
        <v>482</v>
      </c>
      <c r="AC152" s="345" t="s">
        <v>850</v>
      </c>
      <c r="AD152" s="347" t="s">
        <v>851</v>
      </c>
      <c r="AE152" s="345" t="s">
        <v>472</v>
      </c>
      <c r="AF152" s="347" t="s">
        <v>832</v>
      </c>
      <c r="AG152" s="345" t="s">
        <v>111</v>
      </c>
      <c r="AH152" s="345"/>
      <c r="AI152" s="345" t="s">
        <v>111</v>
      </c>
      <c r="AJ152" s="345" t="s">
        <v>895</v>
      </c>
      <c r="AK152" s="347" t="s">
        <v>832</v>
      </c>
      <c r="AL152" s="345"/>
    </row>
    <row r="153" spans="1:38" ht="16.5" hidden="1" customHeight="1">
      <c r="A153" s="344" t="s">
        <v>463</v>
      </c>
      <c r="B153" s="345" t="s">
        <v>1076</v>
      </c>
      <c r="C153" s="345" t="s">
        <v>589</v>
      </c>
      <c r="D153" s="345" t="s">
        <v>110</v>
      </c>
      <c r="E153" s="345" t="s">
        <v>847</v>
      </c>
      <c r="F153" s="345" t="s">
        <v>940</v>
      </c>
      <c r="G153" s="345" t="s">
        <v>111</v>
      </c>
      <c r="H153" s="345" t="s">
        <v>111</v>
      </c>
      <c r="I153" s="345" t="s">
        <v>1077</v>
      </c>
      <c r="J153" s="345"/>
      <c r="K153" s="346" t="s">
        <v>122</v>
      </c>
      <c r="L153" s="346" t="s">
        <v>608</v>
      </c>
      <c r="M153" s="346" t="s">
        <v>114</v>
      </c>
      <c r="N153" s="346"/>
      <c r="O153" s="346"/>
      <c r="P153" s="345" t="s">
        <v>1078</v>
      </c>
      <c r="Q153" s="345" t="s">
        <v>468</v>
      </c>
      <c r="R153" s="347" t="s">
        <v>120</v>
      </c>
      <c r="S153" s="345" t="s">
        <v>111</v>
      </c>
      <c r="T153" s="345" t="s">
        <v>469</v>
      </c>
      <c r="U153" s="345" t="s">
        <v>117</v>
      </c>
      <c r="V153" s="345" t="s">
        <v>483</v>
      </c>
      <c r="W153" s="347" t="s">
        <v>705</v>
      </c>
      <c r="X153" s="345" t="s">
        <v>943</v>
      </c>
      <c r="Y153" s="345" t="s">
        <v>472</v>
      </c>
      <c r="Z153" s="347" t="s">
        <v>845</v>
      </c>
      <c r="AA153" s="345" t="s">
        <v>819</v>
      </c>
      <c r="AB153" s="345" t="s">
        <v>482</v>
      </c>
      <c r="AC153" s="345" t="s">
        <v>850</v>
      </c>
      <c r="AD153" s="347" t="s">
        <v>965</v>
      </c>
      <c r="AE153" s="345" t="s">
        <v>483</v>
      </c>
      <c r="AF153" s="347" t="s">
        <v>845</v>
      </c>
      <c r="AG153" s="345" t="s">
        <v>111</v>
      </c>
      <c r="AH153" s="345"/>
      <c r="AI153" s="345" t="s">
        <v>111</v>
      </c>
      <c r="AJ153" s="345" t="s">
        <v>483</v>
      </c>
      <c r="AK153" s="347" t="s">
        <v>845</v>
      </c>
      <c r="AL153" s="345"/>
    </row>
    <row r="154" spans="1:38" ht="16.5" hidden="1" customHeight="1">
      <c r="A154" s="344" t="s">
        <v>463</v>
      </c>
      <c r="B154" s="345" t="s">
        <v>1079</v>
      </c>
      <c r="C154" s="345" t="s">
        <v>589</v>
      </c>
      <c r="D154" s="345" t="s">
        <v>110</v>
      </c>
      <c r="E154" s="345" t="s">
        <v>847</v>
      </c>
      <c r="F154" s="345" t="s">
        <v>940</v>
      </c>
      <c r="G154" s="345" t="s">
        <v>111</v>
      </c>
      <c r="H154" s="345" t="s">
        <v>111</v>
      </c>
      <c r="I154" s="345" t="s">
        <v>1080</v>
      </c>
      <c r="J154" s="345"/>
      <c r="K154" s="346" t="s">
        <v>122</v>
      </c>
      <c r="L154" s="346" t="s">
        <v>608</v>
      </c>
      <c r="M154" s="346" t="s">
        <v>114</v>
      </c>
      <c r="N154" s="346"/>
      <c r="O154" s="346"/>
      <c r="P154" s="345" t="s">
        <v>1081</v>
      </c>
      <c r="Q154" s="345" t="s">
        <v>468</v>
      </c>
      <c r="R154" s="347" t="s">
        <v>120</v>
      </c>
      <c r="S154" s="345" t="s">
        <v>111</v>
      </c>
      <c r="T154" s="345" t="s">
        <v>469</v>
      </c>
      <c r="U154" s="345" t="s">
        <v>117</v>
      </c>
      <c r="V154" s="345" t="s">
        <v>483</v>
      </c>
      <c r="W154" s="347" t="s">
        <v>705</v>
      </c>
      <c r="X154" s="345" t="s">
        <v>943</v>
      </c>
      <c r="Y154" s="345" t="s">
        <v>472</v>
      </c>
      <c r="Z154" s="347" t="s">
        <v>832</v>
      </c>
      <c r="AA154" s="345" t="s">
        <v>619</v>
      </c>
      <c r="AB154" s="345" t="s">
        <v>482</v>
      </c>
      <c r="AC154" s="345" t="s">
        <v>119</v>
      </c>
      <c r="AD154" s="347" t="s">
        <v>983</v>
      </c>
      <c r="AE154" s="345" t="s">
        <v>472</v>
      </c>
      <c r="AF154" s="347" t="s">
        <v>832</v>
      </c>
      <c r="AG154" s="345" t="s">
        <v>111</v>
      </c>
      <c r="AH154" s="345"/>
      <c r="AI154" s="345" t="s">
        <v>111</v>
      </c>
      <c r="AJ154" s="345" t="s">
        <v>895</v>
      </c>
      <c r="AK154" s="347" t="s">
        <v>832</v>
      </c>
      <c r="AL154" s="345"/>
    </row>
    <row r="155" spans="1:38" ht="16.5" hidden="1" customHeight="1">
      <c r="A155" s="344" t="s">
        <v>463</v>
      </c>
      <c r="B155" s="345" t="s">
        <v>1082</v>
      </c>
      <c r="C155" s="345" t="s">
        <v>589</v>
      </c>
      <c r="D155" s="345" t="s">
        <v>110</v>
      </c>
      <c r="E155" s="345" t="s">
        <v>860</v>
      </c>
      <c r="F155" s="345" t="s">
        <v>940</v>
      </c>
      <c r="G155" s="345" t="s">
        <v>111</v>
      </c>
      <c r="H155" s="345" t="s">
        <v>111</v>
      </c>
      <c r="I155" s="345" t="s">
        <v>1083</v>
      </c>
      <c r="J155" s="345"/>
      <c r="K155" s="346" t="s">
        <v>112</v>
      </c>
      <c r="L155" s="346" t="s">
        <v>593</v>
      </c>
      <c r="M155" s="346" t="s">
        <v>114</v>
      </c>
      <c r="N155" s="346"/>
      <c r="O155" s="346"/>
      <c r="P155" s="345" t="s">
        <v>1084</v>
      </c>
      <c r="Q155" s="345" t="s">
        <v>468</v>
      </c>
      <c r="R155" s="347" t="s">
        <v>120</v>
      </c>
      <c r="S155" s="345" t="s">
        <v>111</v>
      </c>
      <c r="T155" s="345" t="s">
        <v>469</v>
      </c>
      <c r="U155" s="345" t="s">
        <v>117</v>
      </c>
      <c r="V155" s="345" t="s">
        <v>483</v>
      </c>
      <c r="W155" s="347" t="s">
        <v>965</v>
      </c>
      <c r="X155" s="345" t="s">
        <v>943</v>
      </c>
      <c r="Y155" s="345" t="s">
        <v>472</v>
      </c>
      <c r="Z155" s="347" t="s">
        <v>1085</v>
      </c>
      <c r="AA155" s="345" t="s">
        <v>689</v>
      </c>
      <c r="AB155" s="345" t="s">
        <v>482</v>
      </c>
      <c r="AC155" s="345" t="s">
        <v>119</v>
      </c>
      <c r="AD155" s="347" t="s">
        <v>697</v>
      </c>
      <c r="AE155" s="345" t="s">
        <v>491</v>
      </c>
      <c r="AF155" s="347" t="s">
        <v>1085</v>
      </c>
      <c r="AG155" s="345" t="s">
        <v>111</v>
      </c>
      <c r="AH155" s="345"/>
      <c r="AI155" s="345" t="s">
        <v>111</v>
      </c>
      <c r="AJ155" s="345" t="s">
        <v>491</v>
      </c>
      <c r="AK155" s="347" t="s">
        <v>636</v>
      </c>
      <c r="AL155" s="345"/>
    </row>
    <row r="156" spans="1:38" ht="16.5" hidden="1" customHeight="1">
      <c r="A156" s="344" t="s">
        <v>463</v>
      </c>
      <c r="B156" s="345" t="s">
        <v>1086</v>
      </c>
      <c r="C156" s="345" t="s">
        <v>589</v>
      </c>
      <c r="D156" s="345" t="s">
        <v>110</v>
      </c>
      <c r="E156" s="345" t="s">
        <v>853</v>
      </c>
      <c r="F156" s="345" t="s">
        <v>940</v>
      </c>
      <c r="G156" s="345" t="s">
        <v>111</v>
      </c>
      <c r="H156" s="345" t="s">
        <v>111</v>
      </c>
      <c r="I156" s="345" t="s">
        <v>1087</v>
      </c>
      <c r="J156" s="345"/>
      <c r="K156" s="346" t="s">
        <v>122</v>
      </c>
      <c r="L156" s="346" t="s">
        <v>608</v>
      </c>
      <c r="M156" s="346" t="s">
        <v>114</v>
      </c>
      <c r="N156" s="346"/>
      <c r="O156" s="346"/>
      <c r="P156" s="345" t="s">
        <v>1088</v>
      </c>
      <c r="Q156" s="345" t="s">
        <v>468</v>
      </c>
      <c r="R156" s="347" t="s">
        <v>120</v>
      </c>
      <c r="S156" s="345" t="s">
        <v>111</v>
      </c>
      <c r="T156" s="345" t="s">
        <v>469</v>
      </c>
      <c r="U156" s="345" t="s">
        <v>696</v>
      </c>
      <c r="V156" s="345" t="s">
        <v>483</v>
      </c>
      <c r="W156" s="347" t="s">
        <v>965</v>
      </c>
      <c r="X156" s="345" t="s">
        <v>943</v>
      </c>
      <c r="Y156" s="345" t="s">
        <v>472</v>
      </c>
      <c r="Z156" s="347" t="s">
        <v>832</v>
      </c>
      <c r="AA156" s="345" t="s">
        <v>819</v>
      </c>
      <c r="AB156" s="345" t="s">
        <v>482</v>
      </c>
      <c r="AC156" s="345" t="s">
        <v>850</v>
      </c>
      <c r="AD156" s="347" t="s">
        <v>845</v>
      </c>
      <c r="AE156" s="345" t="s">
        <v>472</v>
      </c>
      <c r="AF156" s="347" t="s">
        <v>832</v>
      </c>
      <c r="AG156" s="345" t="s">
        <v>111</v>
      </c>
      <c r="AH156" s="345"/>
      <c r="AI156" s="345" t="s">
        <v>111</v>
      </c>
      <c r="AJ156" s="345" t="s">
        <v>895</v>
      </c>
      <c r="AK156" s="347" t="s">
        <v>832</v>
      </c>
      <c r="AL156" s="345"/>
    </row>
    <row r="157" spans="1:38" ht="16.5" hidden="1" customHeight="1">
      <c r="A157" s="344" t="s">
        <v>463</v>
      </c>
      <c r="B157" s="345" t="s">
        <v>1089</v>
      </c>
      <c r="C157" s="345" t="s">
        <v>589</v>
      </c>
      <c r="D157" s="345" t="s">
        <v>110</v>
      </c>
      <c r="E157" s="345" t="s">
        <v>853</v>
      </c>
      <c r="F157" s="345" t="s">
        <v>940</v>
      </c>
      <c r="G157" s="345" t="s">
        <v>111</v>
      </c>
      <c r="H157" s="345" t="s">
        <v>111</v>
      </c>
      <c r="I157" s="345" t="s">
        <v>1090</v>
      </c>
      <c r="J157" s="345"/>
      <c r="K157" s="346" t="s">
        <v>122</v>
      </c>
      <c r="L157" s="346" t="s">
        <v>608</v>
      </c>
      <c r="M157" s="346" t="s">
        <v>114</v>
      </c>
      <c r="N157" s="346"/>
      <c r="O157" s="346"/>
      <c r="P157" s="345" t="s">
        <v>1091</v>
      </c>
      <c r="Q157" s="345" t="s">
        <v>468</v>
      </c>
      <c r="R157" s="347" t="s">
        <v>120</v>
      </c>
      <c r="S157" s="345" t="s">
        <v>111</v>
      </c>
      <c r="T157" s="345" t="s">
        <v>469</v>
      </c>
      <c r="U157" s="345" t="s">
        <v>117</v>
      </c>
      <c r="V157" s="345" t="s">
        <v>483</v>
      </c>
      <c r="W157" s="347" t="s">
        <v>965</v>
      </c>
      <c r="X157" s="345" t="s">
        <v>964</v>
      </c>
      <c r="Y157" s="345" t="s">
        <v>472</v>
      </c>
      <c r="Z157" s="347" t="s">
        <v>701</v>
      </c>
      <c r="AA157" s="345" t="s">
        <v>474</v>
      </c>
      <c r="AB157" s="345" t="s">
        <v>482</v>
      </c>
      <c r="AC157" s="345" t="s">
        <v>731</v>
      </c>
      <c r="AD157" s="347" t="s">
        <v>910</v>
      </c>
      <c r="AE157" s="345" t="s">
        <v>483</v>
      </c>
      <c r="AF157" s="347" t="s">
        <v>701</v>
      </c>
      <c r="AG157" s="345" t="s">
        <v>111</v>
      </c>
      <c r="AH157" s="345"/>
      <c r="AI157" s="345" t="s">
        <v>111</v>
      </c>
      <c r="AJ157" s="345" t="s">
        <v>483</v>
      </c>
      <c r="AK157" s="347" t="s">
        <v>701</v>
      </c>
      <c r="AL157" s="345"/>
    </row>
    <row r="158" spans="1:38" ht="16.5" hidden="1" customHeight="1">
      <c r="A158" s="344" t="s">
        <v>463</v>
      </c>
      <c r="B158" s="345" t="s">
        <v>1092</v>
      </c>
      <c r="C158" s="345" t="s">
        <v>589</v>
      </c>
      <c r="D158" s="345" t="s">
        <v>110</v>
      </c>
      <c r="E158" s="345" t="s">
        <v>853</v>
      </c>
      <c r="F158" s="345" t="s">
        <v>940</v>
      </c>
      <c r="G158" s="345" t="s">
        <v>111</v>
      </c>
      <c r="H158" s="345" t="s">
        <v>111</v>
      </c>
      <c r="I158" s="345" t="s">
        <v>1093</v>
      </c>
      <c r="J158" s="345"/>
      <c r="K158" s="346" t="s">
        <v>122</v>
      </c>
      <c r="L158" s="346" t="s">
        <v>608</v>
      </c>
      <c r="M158" s="346" t="s">
        <v>114</v>
      </c>
      <c r="N158" s="346"/>
      <c r="O158" s="346"/>
      <c r="P158" s="345" t="s">
        <v>1094</v>
      </c>
      <c r="Q158" s="345" t="s">
        <v>468</v>
      </c>
      <c r="R158" s="347" t="s">
        <v>120</v>
      </c>
      <c r="S158" s="345" t="s">
        <v>111</v>
      </c>
      <c r="T158" s="345" t="s">
        <v>469</v>
      </c>
      <c r="U158" s="345" t="s">
        <v>117</v>
      </c>
      <c r="V158" s="345" t="s">
        <v>483</v>
      </c>
      <c r="W158" s="347" t="s">
        <v>965</v>
      </c>
      <c r="X158" s="345" t="s">
        <v>964</v>
      </c>
      <c r="Y158" s="345" t="s">
        <v>472</v>
      </c>
      <c r="Z158" s="347" t="s">
        <v>701</v>
      </c>
      <c r="AA158" s="345" t="s">
        <v>474</v>
      </c>
      <c r="AB158" s="345" t="s">
        <v>482</v>
      </c>
      <c r="AC158" s="345" t="s">
        <v>731</v>
      </c>
      <c r="AD158" s="347" t="s">
        <v>910</v>
      </c>
      <c r="AE158" s="345" t="s">
        <v>483</v>
      </c>
      <c r="AF158" s="347" t="s">
        <v>701</v>
      </c>
      <c r="AG158" s="345" t="s">
        <v>111</v>
      </c>
      <c r="AH158" s="345"/>
      <c r="AI158" s="345" t="s">
        <v>111</v>
      </c>
      <c r="AJ158" s="345" t="s">
        <v>483</v>
      </c>
      <c r="AK158" s="347" t="s">
        <v>701</v>
      </c>
      <c r="AL158" s="345"/>
    </row>
    <row r="159" spans="1:38" ht="16.5" hidden="1" customHeight="1">
      <c r="A159" s="344" t="s">
        <v>463</v>
      </c>
      <c r="B159" s="345" t="s">
        <v>1095</v>
      </c>
      <c r="C159" s="345" t="s">
        <v>589</v>
      </c>
      <c r="D159" s="345" t="s">
        <v>110</v>
      </c>
      <c r="E159" s="345" t="s">
        <v>853</v>
      </c>
      <c r="F159" s="345" t="s">
        <v>940</v>
      </c>
      <c r="G159" s="345" t="s">
        <v>111</v>
      </c>
      <c r="H159" s="345" t="s">
        <v>111</v>
      </c>
      <c r="I159" s="345" t="s">
        <v>1096</v>
      </c>
      <c r="J159" s="345"/>
      <c r="K159" s="346" t="s">
        <v>1071</v>
      </c>
      <c r="L159" s="346" t="s">
        <v>650</v>
      </c>
      <c r="M159" s="346" t="s">
        <v>114</v>
      </c>
      <c r="N159" s="346"/>
      <c r="O159" s="346"/>
      <c r="P159" s="345" t="s">
        <v>1097</v>
      </c>
      <c r="Q159" s="345" t="s">
        <v>468</v>
      </c>
      <c r="R159" s="347" t="s">
        <v>120</v>
      </c>
      <c r="S159" s="345" t="s">
        <v>111</v>
      </c>
      <c r="T159" s="345" t="s">
        <v>469</v>
      </c>
      <c r="U159" s="345" t="s">
        <v>117</v>
      </c>
      <c r="V159" s="345" t="s">
        <v>483</v>
      </c>
      <c r="W159" s="347" t="s">
        <v>965</v>
      </c>
      <c r="X159" s="345" t="s">
        <v>964</v>
      </c>
      <c r="Y159" s="345" t="s">
        <v>472</v>
      </c>
      <c r="Z159" s="347" t="s">
        <v>701</v>
      </c>
      <c r="AA159" s="345" t="s">
        <v>474</v>
      </c>
      <c r="AB159" s="345" t="s">
        <v>482</v>
      </c>
      <c r="AC159" s="345" t="s">
        <v>731</v>
      </c>
      <c r="AD159" s="347" t="s">
        <v>910</v>
      </c>
      <c r="AE159" s="345" t="s">
        <v>483</v>
      </c>
      <c r="AF159" s="347" t="s">
        <v>701</v>
      </c>
      <c r="AG159" s="345" t="s">
        <v>111</v>
      </c>
      <c r="AH159" s="345"/>
      <c r="AI159" s="345" t="s">
        <v>111</v>
      </c>
      <c r="AJ159" s="345" t="s">
        <v>483</v>
      </c>
      <c r="AK159" s="347" t="s">
        <v>701</v>
      </c>
      <c r="AL159" s="345"/>
    </row>
    <row r="160" spans="1:38" ht="16.5" hidden="1" customHeight="1">
      <c r="A160" s="344" t="s">
        <v>463</v>
      </c>
      <c r="B160" s="345" t="s">
        <v>1098</v>
      </c>
      <c r="C160" s="345" t="s">
        <v>589</v>
      </c>
      <c r="D160" s="345" t="s">
        <v>110</v>
      </c>
      <c r="E160" s="345" t="s">
        <v>853</v>
      </c>
      <c r="F160" s="345" t="s">
        <v>940</v>
      </c>
      <c r="G160" s="345" t="s">
        <v>111</v>
      </c>
      <c r="H160" s="345" t="s">
        <v>111</v>
      </c>
      <c r="I160" s="345" t="s">
        <v>1099</v>
      </c>
      <c r="J160" s="345"/>
      <c r="K160" s="346" t="s">
        <v>112</v>
      </c>
      <c r="L160" s="346" t="s">
        <v>593</v>
      </c>
      <c r="M160" s="346" t="s">
        <v>114</v>
      </c>
      <c r="N160" s="346"/>
      <c r="O160" s="346"/>
      <c r="P160" s="345" t="s">
        <v>1100</v>
      </c>
      <c r="Q160" s="345" t="s">
        <v>468</v>
      </c>
      <c r="R160" s="347" t="s">
        <v>120</v>
      </c>
      <c r="S160" s="345" t="s">
        <v>111</v>
      </c>
      <c r="T160" s="345" t="s">
        <v>469</v>
      </c>
      <c r="U160" s="345" t="s">
        <v>117</v>
      </c>
      <c r="V160" s="345" t="s">
        <v>483</v>
      </c>
      <c r="W160" s="347" t="s">
        <v>965</v>
      </c>
      <c r="X160" s="345" t="s">
        <v>964</v>
      </c>
      <c r="Y160" s="345" t="s">
        <v>472</v>
      </c>
      <c r="Z160" s="347" t="s">
        <v>701</v>
      </c>
      <c r="AA160" s="345" t="s">
        <v>474</v>
      </c>
      <c r="AB160" s="345" t="s">
        <v>482</v>
      </c>
      <c r="AC160" s="345" t="s">
        <v>850</v>
      </c>
      <c r="AD160" s="347" t="s">
        <v>910</v>
      </c>
      <c r="AE160" s="345" t="s">
        <v>483</v>
      </c>
      <c r="AF160" s="347" t="s">
        <v>701</v>
      </c>
      <c r="AG160" s="345" t="s">
        <v>111</v>
      </c>
      <c r="AH160" s="345"/>
      <c r="AI160" s="345" t="s">
        <v>111</v>
      </c>
      <c r="AJ160" s="345" t="s">
        <v>483</v>
      </c>
      <c r="AK160" s="347" t="s">
        <v>701</v>
      </c>
      <c r="AL160" s="345"/>
    </row>
    <row r="161" spans="1:38" ht="16.5" hidden="1" customHeight="1">
      <c r="A161" s="344" t="s">
        <v>463</v>
      </c>
      <c r="B161" s="345" t="s">
        <v>1101</v>
      </c>
      <c r="C161" s="345" t="s">
        <v>589</v>
      </c>
      <c r="D161" s="345" t="s">
        <v>110</v>
      </c>
      <c r="E161" s="345" t="s">
        <v>1102</v>
      </c>
      <c r="F161" s="345" t="s">
        <v>940</v>
      </c>
      <c r="G161" s="345" t="s">
        <v>111</v>
      </c>
      <c r="H161" s="345" t="s">
        <v>111</v>
      </c>
      <c r="I161" s="345" t="s">
        <v>1103</v>
      </c>
      <c r="J161" s="345"/>
      <c r="K161" s="346" t="s">
        <v>122</v>
      </c>
      <c r="L161" s="346"/>
      <c r="M161" s="346" t="s">
        <v>959</v>
      </c>
      <c r="N161" s="346"/>
      <c r="O161" s="346"/>
      <c r="P161" s="345" t="s">
        <v>1104</v>
      </c>
      <c r="Q161" s="345" t="s">
        <v>468</v>
      </c>
      <c r="R161" s="347" t="s">
        <v>120</v>
      </c>
      <c r="S161" s="345" t="s">
        <v>111</v>
      </c>
      <c r="T161" s="345" t="s">
        <v>469</v>
      </c>
      <c r="U161" s="345" t="s">
        <v>844</v>
      </c>
      <c r="V161" s="345" t="s">
        <v>956</v>
      </c>
      <c r="W161" s="347" t="s">
        <v>965</v>
      </c>
      <c r="X161" s="345" t="s">
        <v>964</v>
      </c>
      <c r="Y161" s="345" t="s">
        <v>472</v>
      </c>
      <c r="Z161" s="347" t="s">
        <v>701</v>
      </c>
      <c r="AA161" s="345" t="s">
        <v>619</v>
      </c>
      <c r="AB161" s="345" t="s">
        <v>482</v>
      </c>
      <c r="AC161" s="345" t="s">
        <v>850</v>
      </c>
      <c r="AD161" s="347" t="s">
        <v>851</v>
      </c>
      <c r="AE161" s="345" t="s">
        <v>483</v>
      </c>
      <c r="AF161" s="347" t="s">
        <v>701</v>
      </c>
      <c r="AG161" s="345" t="s">
        <v>111</v>
      </c>
      <c r="AH161" s="345"/>
      <c r="AI161" s="345" t="s">
        <v>111</v>
      </c>
      <c r="AJ161" s="345" t="s">
        <v>483</v>
      </c>
      <c r="AK161" s="347" t="s">
        <v>701</v>
      </c>
      <c r="AL161" s="345"/>
    </row>
    <row r="162" spans="1:38" ht="16.5" hidden="1" customHeight="1">
      <c r="A162" s="344" t="s">
        <v>463</v>
      </c>
      <c r="B162" s="345" t="s">
        <v>1105</v>
      </c>
      <c r="C162" s="345" t="s">
        <v>589</v>
      </c>
      <c r="D162" s="345" t="s">
        <v>110</v>
      </c>
      <c r="E162" s="345" t="s">
        <v>1102</v>
      </c>
      <c r="F162" s="345" t="s">
        <v>940</v>
      </c>
      <c r="G162" s="345" t="s">
        <v>111</v>
      </c>
      <c r="H162" s="345" t="s">
        <v>111</v>
      </c>
      <c r="I162" s="345" t="s">
        <v>1106</v>
      </c>
      <c r="J162" s="345"/>
      <c r="K162" s="346" t="s">
        <v>122</v>
      </c>
      <c r="L162" s="346"/>
      <c r="M162" s="346" t="s">
        <v>959</v>
      </c>
      <c r="N162" s="346"/>
      <c r="O162" s="346"/>
      <c r="P162" s="345" t="s">
        <v>1107</v>
      </c>
      <c r="Q162" s="345" t="s">
        <v>468</v>
      </c>
      <c r="R162" s="347" t="s">
        <v>120</v>
      </c>
      <c r="S162" s="345" t="s">
        <v>111</v>
      </c>
      <c r="T162" s="345" t="s">
        <v>469</v>
      </c>
      <c r="U162" s="345" t="s">
        <v>844</v>
      </c>
      <c r="V162" s="345" t="s">
        <v>956</v>
      </c>
      <c r="W162" s="347" t="s">
        <v>965</v>
      </c>
      <c r="X162" s="345" t="s">
        <v>964</v>
      </c>
      <c r="Y162" s="345" t="s">
        <v>472</v>
      </c>
      <c r="Z162" s="347" t="s">
        <v>701</v>
      </c>
      <c r="AA162" s="345" t="s">
        <v>619</v>
      </c>
      <c r="AB162" s="345" t="s">
        <v>482</v>
      </c>
      <c r="AC162" s="345" t="s">
        <v>850</v>
      </c>
      <c r="AD162" s="347" t="s">
        <v>851</v>
      </c>
      <c r="AE162" s="345" t="s">
        <v>483</v>
      </c>
      <c r="AF162" s="347" t="s">
        <v>701</v>
      </c>
      <c r="AG162" s="345" t="s">
        <v>111</v>
      </c>
      <c r="AH162" s="345"/>
      <c r="AI162" s="345" t="s">
        <v>111</v>
      </c>
      <c r="AJ162" s="345" t="s">
        <v>483</v>
      </c>
      <c r="AK162" s="347" t="s">
        <v>701</v>
      </c>
      <c r="AL162" s="345"/>
    </row>
    <row r="163" spans="1:38" ht="16.5" hidden="1" customHeight="1">
      <c r="A163" s="344" t="s">
        <v>463</v>
      </c>
      <c r="B163" s="345" t="s">
        <v>1108</v>
      </c>
      <c r="C163" s="345" t="s">
        <v>589</v>
      </c>
      <c r="D163" s="345" t="s">
        <v>110</v>
      </c>
      <c r="E163" s="345" t="s">
        <v>882</v>
      </c>
      <c r="F163" s="345" t="s">
        <v>940</v>
      </c>
      <c r="G163" s="345" t="s">
        <v>111</v>
      </c>
      <c r="H163" s="345" t="s">
        <v>111</v>
      </c>
      <c r="I163" s="345" t="s">
        <v>1109</v>
      </c>
      <c r="J163" s="345"/>
      <c r="K163" s="346" t="s">
        <v>122</v>
      </c>
      <c r="L163" s="346"/>
      <c r="M163" s="346" t="s">
        <v>754</v>
      </c>
      <c r="N163" s="346"/>
      <c r="O163" s="346"/>
      <c r="P163" s="345" t="s">
        <v>1110</v>
      </c>
      <c r="Q163" s="345" t="s">
        <v>468</v>
      </c>
      <c r="R163" s="347" t="s">
        <v>120</v>
      </c>
      <c r="S163" s="345" t="s">
        <v>111</v>
      </c>
      <c r="T163" s="345" t="s">
        <v>469</v>
      </c>
      <c r="U163" s="345" t="s">
        <v>844</v>
      </c>
      <c r="V163" s="345" t="s">
        <v>956</v>
      </c>
      <c r="W163" s="347" t="s">
        <v>965</v>
      </c>
      <c r="X163" s="345" t="s">
        <v>964</v>
      </c>
      <c r="Y163" s="345" t="s">
        <v>472</v>
      </c>
      <c r="Z163" s="347" t="s">
        <v>701</v>
      </c>
      <c r="AA163" s="345" t="s">
        <v>814</v>
      </c>
      <c r="AB163" s="345" t="s">
        <v>482</v>
      </c>
      <c r="AC163" s="345" t="s">
        <v>731</v>
      </c>
      <c r="AD163" s="347" t="s">
        <v>910</v>
      </c>
      <c r="AE163" s="345" t="s">
        <v>483</v>
      </c>
      <c r="AF163" s="347" t="s">
        <v>701</v>
      </c>
      <c r="AG163" s="345" t="s">
        <v>111</v>
      </c>
      <c r="AH163" s="345"/>
      <c r="AI163" s="345" t="s">
        <v>111</v>
      </c>
      <c r="AJ163" s="345" t="s">
        <v>483</v>
      </c>
      <c r="AK163" s="347" t="s">
        <v>701</v>
      </c>
      <c r="AL163" s="345"/>
    </row>
    <row r="164" spans="1:38" ht="16.5" hidden="1" customHeight="1">
      <c r="A164" s="344" t="s">
        <v>463</v>
      </c>
      <c r="B164" s="345" t="s">
        <v>1111</v>
      </c>
      <c r="C164" s="345" t="s">
        <v>589</v>
      </c>
      <c r="D164" s="345" t="s">
        <v>110</v>
      </c>
      <c r="E164" s="345" t="s">
        <v>999</v>
      </c>
      <c r="F164" s="345" t="s">
        <v>940</v>
      </c>
      <c r="G164" s="345" t="s">
        <v>111</v>
      </c>
      <c r="H164" s="345" t="s">
        <v>111</v>
      </c>
      <c r="I164" s="345" t="s">
        <v>1112</v>
      </c>
      <c r="J164" s="345"/>
      <c r="K164" s="346" t="s">
        <v>122</v>
      </c>
      <c r="L164" s="346"/>
      <c r="M164" s="346" t="s">
        <v>754</v>
      </c>
      <c r="N164" s="346"/>
      <c r="O164" s="346"/>
      <c r="P164" s="345" t="s">
        <v>1113</v>
      </c>
      <c r="Q164" s="345" t="s">
        <v>468</v>
      </c>
      <c r="R164" s="347" t="s">
        <v>120</v>
      </c>
      <c r="S164" s="345" t="s">
        <v>111</v>
      </c>
      <c r="T164" s="345" t="s">
        <v>469</v>
      </c>
      <c r="U164" s="345" t="s">
        <v>696</v>
      </c>
      <c r="V164" s="345" t="s">
        <v>956</v>
      </c>
      <c r="W164" s="347" t="s">
        <v>965</v>
      </c>
      <c r="X164" s="345" t="s">
        <v>964</v>
      </c>
      <c r="Y164" s="345" t="s">
        <v>472</v>
      </c>
      <c r="Z164" s="347" t="s">
        <v>701</v>
      </c>
      <c r="AA164" s="345" t="s">
        <v>814</v>
      </c>
      <c r="AB164" s="345" t="s">
        <v>1114</v>
      </c>
      <c r="AC164" s="345" t="s">
        <v>119</v>
      </c>
      <c r="AD164" s="347" t="s">
        <v>851</v>
      </c>
      <c r="AE164" s="345" t="s">
        <v>483</v>
      </c>
      <c r="AF164" s="347" t="s">
        <v>701</v>
      </c>
      <c r="AG164" s="345" t="s">
        <v>1115</v>
      </c>
      <c r="AH164" s="345"/>
      <c r="AI164" s="345" t="s">
        <v>111</v>
      </c>
      <c r="AJ164" s="345" t="s">
        <v>483</v>
      </c>
      <c r="AK164" s="347" t="s">
        <v>701</v>
      </c>
      <c r="AL164" s="345"/>
    </row>
    <row r="165" spans="1:38" ht="16.5" hidden="1" customHeight="1">
      <c r="A165" s="344" t="s">
        <v>463</v>
      </c>
      <c r="B165" s="345" t="s">
        <v>1116</v>
      </c>
      <c r="C165" s="345" t="s">
        <v>589</v>
      </c>
      <c r="D165" s="345" t="s">
        <v>110</v>
      </c>
      <c r="E165" s="345" t="s">
        <v>853</v>
      </c>
      <c r="F165" s="345" t="s">
        <v>940</v>
      </c>
      <c r="G165" s="345" t="s">
        <v>111</v>
      </c>
      <c r="H165" s="345" t="s">
        <v>111</v>
      </c>
      <c r="I165" s="345" t="s">
        <v>1117</v>
      </c>
      <c r="J165" s="345"/>
      <c r="K165" s="346" t="s">
        <v>122</v>
      </c>
      <c r="L165" s="346" t="s">
        <v>608</v>
      </c>
      <c r="M165" s="346" t="s">
        <v>114</v>
      </c>
      <c r="N165" s="346"/>
      <c r="O165" s="346"/>
      <c r="P165" s="345" t="s">
        <v>1118</v>
      </c>
      <c r="Q165" s="345" t="s">
        <v>468</v>
      </c>
      <c r="R165" s="347" t="s">
        <v>120</v>
      </c>
      <c r="S165" s="345" t="s">
        <v>111</v>
      </c>
      <c r="T165" s="345" t="s">
        <v>469</v>
      </c>
      <c r="U165" s="345" t="s">
        <v>117</v>
      </c>
      <c r="V165" s="345" t="s">
        <v>483</v>
      </c>
      <c r="W165" s="347" t="s">
        <v>845</v>
      </c>
      <c r="X165" s="345" t="s">
        <v>964</v>
      </c>
      <c r="Y165" s="345" t="s">
        <v>472</v>
      </c>
      <c r="Z165" s="347" t="s">
        <v>701</v>
      </c>
      <c r="AA165" s="345" t="s">
        <v>474</v>
      </c>
      <c r="AB165" s="345" t="s">
        <v>482</v>
      </c>
      <c r="AC165" s="345" t="s">
        <v>731</v>
      </c>
      <c r="AD165" s="347" t="s">
        <v>910</v>
      </c>
      <c r="AE165" s="345" t="s">
        <v>483</v>
      </c>
      <c r="AF165" s="347" t="s">
        <v>701</v>
      </c>
      <c r="AG165" s="345" t="s">
        <v>111</v>
      </c>
      <c r="AH165" s="345"/>
      <c r="AI165" s="345" t="s">
        <v>111</v>
      </c>
      <c r="AJ165" s="345" t="s">
        <v>483</v>
      </c>
      <c r="AK165" s="347" t="s">
        <v>701</v>
      </c>
      <c r="AL165" s="345"/>
    </row>
    <row r="166" spans="1:38" ht="16.5" hidden="1" customHeight="1">
      <c r="A166" s="344" t="s">
        <v>463</v>
      </c>
      <c r="B166" s="345" t="s">
        <v>1119</v>
      </c>
      <c r="C166" s="345" t="s">
        <v>589</v>
      </c>
      <c r="D166" s="345" t="s">
        <v>110</v>
      </c>
      <c r="E166" s="345" t="s">
        <v>603</v>
      </c>
      <c r="F166" s="345" t="s">
        <v>940</v>
      </c>
      <c r="G166" s="345" t="s">
        <v>111</v>
      </c>
      <c r="H166" s="345" t="s">
        <v>111</v>
      </c>
      <c r="I166" s="345" t="s">
        <v>1120</v>
      </c>
      <c r="J166" s="345"/>
      <c r="K166" s="346" t="s">
        <v>122</v>
      </c>
      <c r="L166" s="346" t="s">
        <v>608</v>
      </c>
      <c r="M166" s="346" t="s">
        <v>114</v>
      </c>
      <c r="N166" s="346"/>
      <c r="O166" s="346"/>
      <c r="P166" s="345" t="s">
        <v>1121</v>
      </c>
      <c r="Q166" s="345" t="s">
        <v>468</v>
      </c>
      <c r="R166" s="347" t="s">
        <v>120</v>
      </c>
      <c r="S166" s="345" t="s">
        <v>517</v>
      </c>
      <c r="T166" s="345" t="s">
        <v>469</v>
      </c>
      <c r="U166" s="345" t="s">
        <v>696</v>
      </c>
      <c r="V166" s="345" t="s">
        <v>483</v>
      </c>
      <c r="W166" s="347" t="s">
        <v>845</v>
      </c>
      <c r="X166" s="345" t="s">
        <v>1122</v>
      </c>
      <c r="Y166" s="345" t="s">
        <v>472</v>
      </c>
      <c r="Z166" s="347" t="s">
        <v>902</v>
      </c>
      <c r="AA166" s="345" t="s">
        <v>619</v>
      </c>
      <c r="AB166" s="345" t="s">
        <v>482</v>
      </c>
      <c r="AC166" s="345" t="s">
        <v>119</v>
      </c>
      <c r="AD166" s="347" t="s">
        <v>1123</v>
      </c>
      <c r="AE166" s="345" t="s">
        <v>491</v>
      </c>
      <c r="AF166" s="347" t="s">
        <v>902</v>
      </c>
      <c r="AG166" s="345" t="s">
        <v>111</v>
      </c>
      <c r="AH166" s="345"/>
      <c r="AI166" s="345" t="s">
        <v>111</v>
      </c>
      <c r="AJ166" s="345" t="s">
        <v>491</v>
      </c>
      <c r="AK166" s="347" t="s">
        <v>902</v>
      </c>
      <c r="AL166" s="345"/>
    </row>
    <row r="167" spans="1:38" ht="16.5" hidden="1" customHeight="1">
      <c r="A167" s="344" t="s">
        <v>463</v>
      </c>
      <c r="B167" s="345" t="s">
        <v>1124</v>
      </c>
      <c r="C167" s="345" t="s">
        <v>589</v>
      </c>
      <c r="D167" s="345" t="s">
        <v>110</v>
      </c>
      <c r="E167" s="345" t="s">
        <v>853</v>
      </c>
      <c r="F167" s="345" t="s">
        <v>940</v>
      </c>
      <c r="G167" s="345" t="s">
        <v>111</v>
      </c>
      <c r="H167" s="345" t="s">
        <v>111</v>
      </c>
      <c r="I167" s="345" t="s">
        <v>1125</v>
      </c>
      <c r="J167" s="345"/>
      <c r="K167" s="346" t="s">
        <v>122</v>
      </c>
      <c r="L167" s="346"/>
      <c r="M167" s="346" t="s">
        <v>754</v>
      </c>
      <c r="N167" s="346"/>
      <c r="O167" s="346"/>
      <c r="P167" s="345" t="s">
        <v>1126</v>
      </c>
      <c r="Q167" s="345" t="s">
        <v>468</v>
      </c>
      <c r="R167" s="347" t="s">
        <v>120</v>
      </c>
      <c r="S167" s="345" t="s">
        <v>111</v>
      </c>
      <c r="T167" s="345" t="s">
        <v>469</v>
      </c>
      <c r="U167" s="345" t="s">
        <v>117</v>
      </c>
      <c r="V167" s="345" t="s">
        <v>956</v>
      </c>
      <c r="W167" s="347" t="s">
        <v>845</v>
      </c>
      <c r="X167" s="345" t="s">
        <v>850</v>
      </c>
      <c r="Y167" s="345" t="s">
        <v>472</v>
      </c>
      <c r="Z167" s="347" t="s">
        <v>701</v>
      </c>
      <c r="AA167" s="345" t="s">
        <v>474</v>
      </c>
      <c r="AB167" s="345" t="s">
        <v>482</v>
      </c>
      <c r="AC167" s="345" t="s">
        <v>850</v>
      </c>
      <c r="AD167" s="347" t="s">
        <v>910</v>
      </c>
      <c r="AE167" s="345" t="s">
        <v>472</v>
      </c>
      <c r="AF167" s="347" t="s">
        <v>701</v>
      </c>
      <c r="AG167" s="345" t="s">
        <v>111</v>
      </c>
      <c r="AH167" s="345"/>
      <c r="AI167" s="345" t="s">
        <v>111</v>
      </c>
      <c r="AJ167" s="345" t="s">
        <v>895</v>
      </c>
      <c r="AK167" s="347" t="s">
        <v>701</v>
      </c>
      <c r="AL167" s="345"/>
    </row>
    <row r="168" spans="1:38" ht="16.5" hidden="1" customHeight="1">
      <c r="A168" s="344" t="s">
        <v>463</v>
      </c>
      <c r="B168" s="345" t="s">
        <v>1127</v>
      </c>
      <c r="C168" s="345" t="s">
        <v>589</v>
      </c>
      <c r="D168" s="345" t="s">
        <v>110</v>
      </c>
      <c r="E168" s="345" t="s">
        <v>847</v>
      </c>
      <c r="F168" s="345" t="s">
        <v>940</v>
      </c>
      <c r="G168" s="345" t="s">
        <v>111</v>
      </c>
      <c r="H168" s="345" t="s">
        <v>111</v>
      </c>
      <c r="I168" s="345" t="s">
        <v>1128</v>
      </c>
      <c r="J168" s="345"/>
      <c r="K168" s="346" t="s">
        <v>122</v>
      </c>
      <c r="L168" s="346"/>
      <c r="M168" s="346" t="s">
        <v>959</v>
      </c>
      <c r="N168" s="346"/>
      <c r="O168" s="346"/>
      <c r="P168" s="345" t="s">
        <v>1129</v>
      </c>
      <c r="Q168" s="345" t="s">
        <v>468</v>
      </c>
      <c r="R168" s="347" t="s">
        <v>120</v>
      </c>
      <c r="S168" s="345" t="s">
        <v>111</v>
      </c>
      <c r="T168" s="345" t="s">
        <v>469</v>
      </c>
      <c r="U168" s="345" t="s">
        <v>117</v>
      </c>
      <c r="V168" s="345" t="s">
        <v>956</v>
      </c>
      <c r="W168" s="347" t="s">
        <v>845</v>
      </c>
      <c r="X168" s="345" t="s">
        <v>850</v>
      </c>
      <c r="Y168" s="345" t="s">
        <v>472</v>
      </c>
      <c r="Z168" s="347" t="s">
        <v>701</v>
      </c>
      <c r="AA168" s="345" t="s">
        <v>619</v>
      </c>
      <c r="AB168" s="345" t="s">
        <v>482</v>
      </c>
      <c r="AC168" s="345" t="s">
        <v>850</v>
      </c>
      <c r="AD168" s="347" t="s">
        <v>851</v>
      </c>
      <c r="AE168" s="345" t="s">
        <v>472</v>
      </c>
      <c r="AF168" s="347" t="s">
        <v>701</v>
      </c>
      <c r="AG168" s="345" t="s">
        <v>111</v>
      </c>
      <c r="AH168" s="345"/>
      <c r="AI168" s="345" t="s">
        <v>111</v>
      </c>
      <c r="AJ168" s="345" t="s">
        <v>895</v>
      </c>
      <c r="AK168" s="347" t="s">
        <v>701</v>
      </c>
      <c r="AL168" s="345"/>
    </row>
    <row r="169" spans="1:38" ht="16.5" hidden="1" customHeight="1">
      <c r="A169" s="344" t="s">
        <v>463</v>
      </c>
      <c r="B169" s="345" t="s">
        <v>1130</v>
      </c>
      <c r="C169" s="345" t="s">
        <v>589</v>
      </c>
      <c r="D169" s="345" t="s">
        <v>110</v>
      </c>
      <c r="E169" s="345" t="s">
        <v>1102</v>
      </c>
      <c r="F169" s="345" t="s">
        <v>940</v>
      </c>
      <c r="G169" s="345" t="s">
        <v>111</v>
      </c>
      <c r="H169" s="345" t="s">
        <v>111</v>
      </c>
      <c r="I169" s="345" t="s">
        <v>1131</v>
      </c>
      <c r="J169" s="345"/>
      <c r="K169" s="346" t="s">
        <v>122</v>
      </c>
      <c r="L169" s="346"/>
      <c r="M169" s="346" t="s">
        <v>959</v>
      </c>
      <c r="N169" s="346"/>
      <c r="O169" s="346"/>
      <c r="P169" s="345" t="s">
        <v>1132</v>
      </c>
      <c r="Q169" s="345" t="s">
        <v>468</v>
      </c>
      <c r="R169" s="347" t="s">
        <v>120</v>
      </c>
      <c r="S169" s="345" t="s">
        <v>111</v>
      </c>
      <c r="T169" s="345" t="s">
        <v>469</v>
      </c>
      <c r="U169" s="345" t="s">
        <v>844</v>
      </c>
      <c r="V169" s="345" t="s">
        <v>956</v>
      </c>
      <c r="W169" s="347" t="s">
        <v>845</v>
      </c>
      <c r="X169" s="345" t="s">
        <v>850</v>
      </c>
      <c r="Y169" s="345" t="s">
        <v>472</v>
      </c>
      <c r="Z169" s="347" t="s">
        <v>701</v>
      </c>
      <c r="AA169" s="345" t="s">
        <v>619</v>
      </c>
      <c r="AB169" s="345" t="s">
        <v>482</v>
      </c>
      <c r="AC169" s="345" t="s">
        <v>850</v>
      </c>
      <c r="AD169" s="347" t="s">
        <v>851</v>
      </c>
      <c r="AE169" s="345" t="s">
        <v>472</v>
      </c>
      <c r="AF169" s="347" t="s">
        <v>701</v>
      </c>
      <c r="AG169" s="345" t="s">
        <v>111</v>
      </c>
      <c r="AH169" s="345"/>
      <c r="AI169" s="345" t="s">
        <v>111</v>
      </c>
      <c r="AJ169" s="345" t="s">
        <v>895</v>
      </c>
      <c r="AK169" s="347" t="s">
        <v>701</v>
      </c>
      <c r="AL169" s="345"/>
    </row>
    <row r="170" spans="1:38" ht="16.5" hidden="1" customHeight="1">
      <c r="A170" s="344" t="s">
        <v>463</v>
      </c>
      <c r="B170" s="345" t="s">
        <v>1133</v>
      </c>
      <c r="C170" s="345" t="s">
        <v>589</v>
      </c>
      <c r="D170" s="345" t="s">
        <v>110</v>
      </c>
      <c r="E170" s="345" t="s">
        <v>1102</v>
      </c>
      <c r="F170" s="345" t="s">
        <v>940</v>
      </c>
      <c r="G170" s="345" t="s">
        <v>111</v>
      </c>
      <c r="H170" s="345" t="s">
        <v>111</v>
      </c>
      <c r="I170" s="345" t="s">
        <v>1134</v>
      </c>
      <c r="J170" s="345"/>
      <c r="K170" s="346" t="s">
        <v>122</v>
      </c>
      <c r="L170" s="346"/>
      <c r="M170" s="346" t="s">
        <v>754</v>
      </c>
      <c r="N170" s="346"/>
      <c r="O170" s="346"/>
      <c r="P170" s="345" t="s">
        <v>1135</v>
      </c>
      <c r="Q170" s="345" t="s">
        <v>468</v>
      </c>
      <c r="R170" s="347" t="s">
        <v>120</v>
      </c>
      <c r="S170" s="345" t="s">
        <v>111</v>
      </c>
      <c r="T170" s="345" t="s">
        <v>469</v>
      </c>
      <c r="U170" s="345" t="s">
        <v>117</v>
      </c>
      <c r="V170" s="345" t="s">
        <v>956</v>
      </c>
      <c r="W170" s="347" t="s">
        <v>845</v>
      </c>
      <c r="X170" s="345" t="s">
        <v>850</v>
      </c>
      <c r="Y170" s="345" t="s">
        <v>472</v>
      </c>
      <c r="Z170" s="347" t="s">
        <v>845</v>
      </c>
      <c r="AA170" s="345" t="s">
        <v>956</v>
      </c>
      <c r="AB170" s="345" t="s">
        <v>475</v>
      </c>
      <c r="AC170" s="345"/>
      <c r="AD170" s="347" t="s">
        <v>845</v>
      </c>
      <c r="AE170" s="345" t="s">
        <v>956</v>
      </c>
      <c r="AF170" s="347" t="s">
        <v>845</v>
      </c>
      <c r="AG170" s="345" t="s">
        <v>111</v>
      </c>
      <c r="AH170" s="345"/>
      <c r="AI170" s="345" t="s">
        <v>111</v>
      </c>
      <c r="AJ170" s="345" t="s">
        <v>956</v>
      </c>
      <c r="AK170" s="347" t="s">
        <v>845</v>
      </c>
      <c r="AL170" s="345"/>
    </row>
    <row r="171" spans="1:38" ht="16.5" hidden="1" customHeight="1">
      <c r="A171" s="344" t="s">
        <v>463</v>
      </c>
      <c r="B171" s="345" t="s">
        <v>1136</v>
      </c>
      <c r="C171" s="345" t="s">
        <v>589</v>
      </c>
      <c r="D171" s="345" t="s">
        <v>110</v>
      </c>
      <c r="E171" s="345" t="s">
        <v>1102</v>
      </c>
      <c r="F171" s="345" t="s">
        <v>940</v>
      </c>
      <c r="G171" s="345" t="s">
        <v>111</v>
      </c>
      <c r="H171" s="345" t="s">
        <v>111</v>
      </c>
      <c r="I171" s="345" t="s">
        <v>1137</v>
      </c>
      <c r="J171" s="345"/>
      <c r="K171" s="346" t="s">
        <v>122</v>
      </c>
      <c r="L171" s="346"/>
      <c r="M171" s="346" t="s">
        <v>754</v>
      </c>
      <c r="N171" s="346"/>
      <c r="O171" s="346"/>
      <c r="P171" s="345" t="s">
        <v>1138</v>
      </c>
      <c r="Q171" s="345" t="s">
        <v>468</v>
      </c>
      <c r="R171" s="347" t="s">
        <v>120</v>
      </c>
      <c r="S171" s="345" t="s">
        <v>111</v>
      </c>
      <c r="T171" s="345" t="s">
        <v>469</v>
      </c>
      <c r="U171" s="345" t="s">
        <v>844</v>
      </c>
      <c r="V171" s="345" t="s">
        <v>956</v>
      </c>
      <c r="W171" s="347" t="s">
        <v>845</v>
      </c>
      <c r="X171" s="345" t="s">
        <v>850</v>
      </c>
      <c r="Y171" s="345" t="s">
        <v>472</v>
      </c>
      <c r="Z171" s="347" t="s">
        <v>701</v>
      </c>
      <c r="AA171" s="345" t="s">
        <v>814</v>
      </c>
      <c r="AB171" s="345" t="s">
        <v>482</v>
      </c>
      <c r="AC171" s="345" t="s">
        <v>119</v>
      </c>
      <c r="AD171" s="347" t="s">
        <v>851</v>
      </c>
      <c r="AE171" s="345" t="s">
        <v>472</v>
      </c>
      <c r="AF171" s="347" t="s">
        <v>701</v>
      </c>
      <c r="AG171" s="345" t="s">
        <v>111</v>
      </c>
      <c r="AH171" s="345"/>
      <c r="AI171" s="345" t="s">
        <v>111</v>
      </c>
      <c r="AJ171" s="345" t="s">
        <v>895</v>
      </c>
      <c r="AK171" s="347" t="s">
        <v>701</v>
      </c>
      <c r="AL171" s="345"/>
    </row>
    <row r="172" spans="1:38" ht="16.5" hidden="1" customHeight="1">
      <c r="A172" s="344" t="s">
        <v>463</v>
      </c>
      <c r="B172" s="345" t="s">
        <v>1139</v>
      </c>
      <c r="C172" s="345" t="s">
        <v>589</v>
      </c>
      <c r="D172" s="345" t="s">
        <v>110</v>
      </c>
      <c r="E172" s="345" t="s">
        <v>860</v>
      </c>
      <c r="F172" s="345" t="s">
        <v>940</v>
      </c>
      <c r="G172" s="345" t="s">
        <v>111</v>
      </c>
      <c r="H172" s="345" t="s">
        <v>111</v>
      </c>
      <c r="I172" s="345" t="s">
        <v>1140</v>
      </c>
      <c r="J172" s="345"/>
      <c r="K172" s="346" t="s">
        <v>112</v>
      </c>
      <c r="L172" s="346" t="s">
        <v>593</v>
      </c>
      <c r="M172" s="346" t="s">
        <v>114</v>
      </c>
      <c r="N172" s="346"/>
      <c r="O172" s="346"/>
      <c r="P172" s="345" t="s">
        <v>1141</v>
      </c>
      <c r="Q172" s="345" t="s">
        <v>468</v>
      </c>
      <c r="R172" s="347" t="s">
        <v>120</v>
      </c>
      <c r="S172" s="345" t="s">
        <v>111</v>
      </c>
      <c r="T172" s="345" t="s">
        <v>469</v>
      </c>
      <c r="U172" s="345" t="s">
        <v>117</v>
      </c>
      <c r="V172" s="345" t="s">
        <v>483</v>
      </c>
      <c r="W172" s="347" t="s">
        <v>845</v>
      </c>
      <c r="X172" s="345" t="s">
        <v>850</v>
      </c>
      <c r="Y172" s="345" t="s">
        <v>472</v>
      </c>
      <c r="Z172" s="347" t="s">
        <v>832</v>
      </c>
      <c r="AA172" s="345" t="s">
        <v>689</v>
      </c>
      <c r="AB172" s="345" t="s">
        <v>482</v>
      </c>
      <c r="AC172" s="345" t="s">
        <v>119</v>
      </c>
      <c r="AD172" s="347" t="s">
        <v>851</v>
      </c>
      <c r="AE172" s="345" t="s">
        <v>895</v>
      </c>
      <c r="AF172" s="347" t="s">
        <v>832</v>
      </c>
      <c r="AG172" s="345" t="s">
        <v>111</v>
      </c>
      <c r="AH172" s="345"/>
      <c r="AI172" s="345" t="s">
        <v>111</v>
      </c>
      <c r="AJ172" s="345" t="s">
        <v>491</v>
      </c>
      <c r="AK172" s="347" t="s">
        <v>636</v>
      </c>
      <c r="AL172" s="345"/>
    </row>
    <row r="173" spans="1:38" ht="16.5" hidden="1" customHeight="1">
      <c r="A173" s="344" t="s">
        <v>463</v>
      </c>
      <c r="B173" s="345" t="s">
        <v>1142</v>
      </c>
      <c r="C173" s="345" t="s">
        <v>589</v>
      </c>
      <c r="D173" s="345" t="s">
        <v>110</v>
      </c>
      <c r="E173" s="345" t="s">
        <v>882</v>
      </c>
      <c r="F173" s="345" t="s">
        <v>940</v>
      </c>
      <c r="G173" s="345" t="s">
        <v>111</v>
      </c>
      <c r="H173" s="345" t="s">
        <v>111</v>
      </c>
      <c r="I173" s="345" t="s">
        <v>1143</v>
      </c>
      <c r="J173" s="345"/>
      <c r="K173" s="346" t="s">
        <v>112</v>
      </c>
      <c r="L173" s="346" t="s">
        <v>593</v>
      </c>
      <c r="M173" s="346" t="s">
        <v>114</v>
      </c>
      <c r="N173" s="346"/>
      <c r="O173" s="346"/>
      <c r="P173" s="345" t="s">
        <v>1144</v>
      </c>
      <c r="Q173" s="345" t="s">
        <v>468</v>
      </c>
      <c r="R173" s="347" t="s">
        <v>120</v>
      </c>
      <c r="S173" s="345" t="s">
        <v>517</v>
      </c>
      <c r="T173" s="345" t="s">
        <v>469</v>
      </c>
      <c r="U173" s="345" t="s">
        <v>844</v>
      </c>
      <c r="V173" s="345" t="s">
        <v>483</v>
      </c>
      <c r="W173" s="347" t="s">
        <v>845</v>
      </c>
      <c r="X173" s="345" t="s">
        <v>850</v>
      </c>
      <c r="Y173" s="345" t="s">
        <v>472</v>
      </c>
      <c r="Z173" s="347" t="s">
        <v>582</v>
      </c>
      <c r="AA173" s="345" t="s">
        <v>474</v>
      </c>
      <c r="AB173" s="345" t="s">
        <v>482</v>
      </c>
      <c r="AC173" s="345" t="s">
        <v>119</v>
      </c>
      <c r="AD173" s="347" t="s">
        <v>732</v>
      </c>
      <c r="AE173" s="345" t="s">
        <v>483</v>
      </c>
      <c r="AF173" s="347" t="s">
        <v>582</v>
      </c>
      <c r="AG173" s="345" t="s">
        <v>111</v>
      </c>
      <c r="AH173" s="345"/>
      <c r="AI173" s="345" t="s">
        <v>111</v>
      </c>
      <c r="AJ173" s="345" t="s">
        <v>483</v>
      </c>
      <c r="AK173" s="347" t="s">
        <v>582</v>
      </c>
      <c r="AL173" s="345"/>
    </row>
    <row r="174" spans="1:38" ht="16.5" hidden="1" customHeight="1">
      <c r="A174" s="344" t="s">
        <v>463</v>
      </c>
      <c r="B174" s="345" t="s">
        <v>1145</v>
      </c>
      <c r="C174" s="345" t="s">
        <v>589</v>
      </c>
      <c r="D174" s="345" t="s">
        <v>110</v>
      </c>
      <c r="E174" s="345" t="s">
        <v>603</v>
      </c>
      <c r="F174" s="345" t="s">
        <v>940</v>
      </c>
      <c r="G174" s="345" t="s">
        <v>111</v>
      </c>
      <c r="H174" s="345" t="s">
        <v>111</v>
      </c>
      <c r="I174" s="345" t="s">
        <v>1146</v>
      </c>
      <c r="J174" s="345"/>
      <c r="K174" s="346" t="s">
        <v>112</v>
      </c>
      <c r="L174" s="346" t="s">
        <v>593</v>
      </c>
      <c r="M174" s="346" t="s">
        <v>114</v>
      </c>
      <c r="N174" s="346"/>
      <c r="O174" s="346"/>
      <c r="P174" s="345" t="s">
        <v>1147</v>
      </c>
      <c r="Q174" s="345" t="s">
        <v>468</v>
      </c>
      <c r="R174" s="347" t="s">
        <v>120</v>
      </c>
      <c r="S174" s="345" t="s">
        <v>111</v>
      </c>
      <c r="T174" s="345" t="s">
        <v>469</v>
      </c>
      <c r="U174" s="345" t="s">
        <v>696</v>
      </c>
      <c r="V174" s="345" t="s">
        <v>483</v>
      </c>
      <c r="W174" s="347" t="s">
        <v>845</v>
      </c>
      <c r="X174" s="345" t="s">
        <v>850</v>
      </c>
      <c r="Y174" s="345" t="s">
        <v>472</v>
      </c>
      <c r="Z174" s="347" t="s">
        <v>832</v>
      </c>
      <c r="AA174" s="345" t="s">
        <v>474</v>
      </c>
      <c r="AB174" s="345" t="s">
        <v>482</v>
      </c>
      <c r="AC174" s="345" t="s">
        <v>119</v>
      </c>
      <c r="AD174" s="347" t="s">
        <v>851</v>
      </c>
      <c r="AE174" s="345" t="s">
        <v>895</v>
      </c>
      <c r="AF174" s="347" t="s">
        <v>832</v>
      </c>
      <c r="AG174" s="345" t="s">
        <v>111</v>
      </c>
      <c r="AH174" s="345"/>
      <c r="AI174" s="345" t="s">
        <v>111</v>
      </c>
      <c r="AJ174" s="345" t="s">
        <v>895</v>
      </c>
      <c r="AK174" s="347" t="s">
        <v>832</v>
      </c>
      <c r="AL174" s="345"/>
    </row>
    <row r="175" spans="1:38" ht="16.5" hidden="1" customHeight="1">
      <c r="A175" s="344" t="s">
        <v>463</v>
      </c>
      <c r="B175" s="345" t="s">
        <v>1148</v>
      </c>
      <c r="C175" s="345" t="s">
        <v>589</v>
      </c>
      <c r="D175" s="345" t="s">
        <v>110</v>
      </c>
      <c r="E175" s="345" t="s">
        <v>847</v>
      </c>
      <c r="F175" s="345" t="s">
        <v>940</v>
      </c>
      <c r="G175" s="345" t="s">
        <v>111</v>
      </c>
      <c r="H175" s="345" t="s">
        <v>111</v>
      </c>
      <c r="I175" s="345" t="s">
        <v>1149</v>
      </c>
      <c r="J175" s="345"/>
      <c r="K175" s="346" t="s">
        <v>122</v>
      </c>
      <c r="L175" s="346" t="s">
        <v>608</v>
      </c>
      <c r="M175" s="346" t="s">
        <v>114</v>
      </c>
      <c r="N175" s="346"/>
      <c r="O175" s="346"/>
      <c r="P175" s="345" t="s">
        <v>1150</v>
      </c>
      <c r="Q175" s="345" t="s">
        <v>468</v>
      </c>
      <c r="R175" s="347" t="s">
        <v>120</v>
      </c>
      <c r="S175" s="345" t="s">
        <v>111</v>
      </c>
      <c r="T175" s="345" t="s">
        <v>469</v>
      </c>
      <c r="U175" s="345" t="s">
        <v>844</v>
      </c>
      <c r="V175" s="345" t="s">
        <v>483</v>
      </c>
      <c r="W175" s="347" t="s">
        <v>845</v>
      </c>
      <c r="X175" s="345" t="s">
        <v>850</v>
      </c>
      <c r="Y175" s="345" t="s">
        <v>472</v>
      </c>
      <c r="Z175" s="347" t="s">
        <v>701</v>
      </c>
      <c r="AA175" s="345" t="s">
        <v>619</v>
      </c>
      <c r="AB175" s="345" t="s">
        <v>482</v>
      </c>
      <c r="AC175" s="345" t="s">
        <v>850</v>
      </c>
      <c r="AD175" s="347" t="s">
        <v>851</v>
      </c>
      <c r="AE175" s="345" t="s">
        <v>472</v>
      </c>
      <c r="AF175" s="347" t="s">
        <v>701</v>
      </c>
      <c r="AG175" s="345" t="s">
        <v>111</v>
      </c>
      <c r="AH175" s="345"/>
      <c r="AI175" s="345" t="s">
        <v>111</v>
      </c>
      <c r="AJ175" s="345" t="s">
        <v>895</v>
      </c>
      <c r="AK175" s="347" t="s">
        <v>701</v>
      </c>
      <c r="AL175" s="345"/>
    </row>
    <row r="176" spans="1:38" ht="16.5" hidden="1" customHeight="1">
      <c r="A176" s="344" t="s">
        <v>463</v>
      </c>
      <c r="B176" s="345" t="s">
        <v>1151</v>
      </c>
      <c r="C176" s="345" t="s">
        <v>589</v>
      </c>
      <c r="D176" s="345" t="s">
        <v>110</v>
      </c>
      <c r="E176" s="345" t="s">
        <v>603</v>
      </c>
      <c r="F176" s="345" t="s">
        <v>940</v>
      </c>
      <c r="G176" s="345" t="s">
        <v>111</v>
      </c>
      <c r="H176" s="345" t="s">
        <v>111</v>
      </c>
      <c r="I176" s="345" t="s">
        <v>1152</v>
      </c>
      <c r="J176" s="345"/>
      <c r="K176" s="346" t="s">
        <v>122</v>
      </c>
      <c r="L176" s="346"/>
      <c r="M176" s="346" t="s">
        <v>114</v>
      </c>
      <c r="N176" s="346"/>
      <c r="O176" s="346"/>
      <c r="P176" s="345" t="s">
        <v>1153</v>
      </c>
      <c r="Q176" s="345" t="s">
        <v>468</v>
      </c>
      <c r="R176" s="347" t="s">
        <v>120</v>
      </c>
      <c r="S176" s="345" t="s">
        <v>111</v>
      </c>
      <c r="T176" s="345" t="s">
        <v>469</v>
      </c>
      <c r="U176" s="345" t="s">
        <v>696</v>
      </c>
      <c r="V176" s="345" t="s">
        <v>483</v>
      </c>
      <c r="W176" s="347" t="s">
        <v>845</v>
      </c>
      <c r="X176" s="345" t="s">
        <v>850</v>
      </c>
      <c r="Y176" s="345" t="s">
        <v>472</v>
      </c>
      <c r="Z176" s="347" t="s">
        <v>832</v>
      </c>
      <c r="AA176" s="345" t="s">
        <v>819</v>
      </c>
      <c r="AB176" s="345" t="s">
        <v>482</v>
      </c>
      <c r="AC176" s="345" t="s">
        <v>850</v>
      </c>
      <c r="AD176" s="347" t="s">
        <v>910</v>
      </c>
      <c r="AE176" s="345" t="s">
        <v>895</v>
      </c>
      <c r="AF176" s="347" t="s">
        <v>832</v>
      </c>
      <c r="AG176" s="345" t="s">
        <v>111</v>
      </c>
      <c r="AH176" s="345"/>
      <c r="AI176" s="345" t="s">
        <v>111</v>
      </c>
      <c r="AJ176" s="345" t="s">
        <v>895</v>
      </c>
      <c r="AK176" s="347" t="s">
        <v>832</v>
      </c>
      <c r="AL176" s="345"/>
    </row>
    <row r="177" spans="1:38" ht="16.5" hidden="1" customHeight="1">
      <c r="A177" s="344" t="s">
        <v>463</v>
      </c>
      <c r="B177" s="345" t="s">
        <v>1154</v>
      </c>
      <c r="C177" s="345" t="s">
        <v>589</v>
      </c>
      <c r="D177" s="345" t="s">
        <v>110</v>
      </c>
      <c r="E177" s="345" t="s">
        <v>590</v>
      </c>
      <c r="F177" s="345" t="s">
        <v>940</v>
      </c>
      <c r="G177" s="345" t="s">
        <v>111</v>
      </c>
      <c r="H177" s="345" t="s">
        <v>111</v>
      </c>
      <c r="I177" s="345" t="s">
        <v>1155</v>
      </c>
      <c r="J177" s="345"/>
      <c r="K177" s="346" t="s">
        <v>122</v>
      </c>
      <c r="L177" s="346" t="s">
        <v>608</v>
      </c>
      <c r="M177" s="346" t="s">
        <v>114</v>
      </c>
      <c r="N177" s="346"/>
      <c r="O177" s="346"/>
      <c r="P177" s="345" t="s">
        <v>1156</v>
      </c>
      <c r="Q177" s="345" t="s">
        <v>468</v>
      </c>
      <c r="R177" s="347" t="s">
        <v>120</v>
      </c>
      <c r="S177" s="345" t="s">
        <v>517</v>
      </c>
      <c r="T177" s="345" t="s">
        <v>469</v>
      </c>
      <c r="U177" s="345" t="s">
        <v>117</v>
      </c>
      <c r="V177" s="345" t="s">
        <v>483</v>
      </c>
      <c r="W177" s="347" t="s">
        <v>845</v>
      </c>
      <c r="X177" s="345" t="s">
        <v>850</v>
      </c>
      <c r="Y177" s="345" t="s">
        <v>472</v>
      </c>
      <c r="Z177" s="347" t="s">
        <v>582</v>
      </c>
      <c r="AA177" s="345" t="s">
        <v>819</v>
      </c>
      <c r="AB177" s="345" t="s">
        <v>482</v>
      </c>
      <c r="AC177" s="345" t="s">
        <v>731</v>
      </c>
      <c r="AD177" s="347" t="s">
        <v>582</v>
      </c>
      <c r="AE177" s="345" t="s">
        <v>491</v>
      </c>
      <c r="AF177" s="347" t="s">
        <v>582</v>
      </c>
      <c r="AG177" s="345" t="s">
        <v>111</v>
      </c>
      <c r="AH177" s="345"/>
      <c r="AI177" s="345" t="s">
        <v>111</v>
      </c>
      <c r="AJ177" s="345" t="s">
        <v>491</v>
      </c>
      <c r="AK177" s="347" t="s">
        <v>582</v>
      </c>
      <c r="AL177" s="345"/>
    </row>
    <row r="178" spans="1:38" ht="16.5" hidden="1" customHeight="1">
      <c r="A178" s="344" t="s">
        <v>463</v>
      </c>
      <c r="B178" s="345" t="s">
        <v>1157</v>
      </c>
      <c r="C178" s="345" t="s">
        <v>589</v>
      </c>
      <c r="D178" s="345" t="s">
        <v>110</v>
      </c>
      <c r="E178" s="345" t="s">
        <v>603</v>
      </c>
      <c r="F178" s="345" t="s">
        <v>940</v>
      </c>
      <c r="G178" s="345" t="s">
        <v>111</v>
      </c>
      <c r="H178" s="345" t="s">
        <v>111</v>
      </c>
      <c r="I178" s="345" t="s">
        <v>1158</v>
      </c>
      <c r="J178" s="345"/>
      <c r="K178" s="346" t="s">
        <v>112</v>
      </c>
      <c r="L178" s="346" t="s">
        <v>593</v>
      </c>
      <c r="M178" s="346" t="s">
        <v>114</v>
      </c>
      <c r="N178" s="346"/>
      <c r="O178" s="346"/>
      <c r="P178" s="345" t="s">
        <v>1159</v>
      </c>
      <c r="Q178" s="345" t="s">
        <v>468</v>
      </c>
      <c r="R178" s="347" t="s">
        <v>120</v>
      </c>
      <c r="S178" s="345" t="s">
        <v>111</v>
      </c>
      <c r="T178" s="345" t="s">
        <v>469</v>
      </c>
      <c r="U178" s="345" t="s">
        <v>117</v>
      </c>
      <c r="V178" s="345" t="s">
        <v>483</v>
      </c>
      <c r="W178" s="347" t="s">
        <v>845</v>
      </c>
      <c r="X178" s="345" t="s">
        <v>850</v>
      </c>
      <c r="Y178" s="345" t="s">
        <v>472</v>
      </c>
      <c r="Z178" s="347" t="s">
        <v>832</v>
      </c>
      <c r="AA178" s="345" t="s">
        <v>537</v>
      </c>
      <c r="AB178" s="345" t="s">
        <v>482</v>
      </c>
      <c r="AC178" s="345" t="s">
        <v>119</v>
      </c>
      <c r="AD178" s="347" t="s">
        <v>1160</v>
      </c>
      <c r="AE178" s="345" t="s">
        <v>483</v>
      </c>
      <c r="AF178" s="347" t="s">
        <v>832</v>
      </c>
      <c r="AG178" s="345" t="s">
        <v>111</v>
      </c>
      <c r="AH178" s="345"/>
      <c r="AI178" s="345" t="s">
        <v>111</v>
      </c>
      <c r="AJ178" s="345" t="s">
        <v>483</v>
      </c>
      <c r="AK178" s="347" t="s">
        <v>832</v>
      </c>
      <c r="AL178" s="345"/>
    </row>
    <row r="179" spans="1:38" ht="16.5" hidden="1" customHeight="1">
      <c r="A179" s="344" t="s">
        <v>463</v>
      </c>
      <c r="B179" s="345" t="s">
        <v>1161</v>
      </c>
      <c r="C179" s="345" t="s">
        <v>589</v>
      </c>
      <c r="D179" s="345" t="s">
        <v>110</v>
      </c>
      <c r="E179" s="345" t="s">
        <v>847</v>
      </c>
      <c r="F179" s="345" t="s">
        <v>940</v>
      </c>
      <c r="G179" s="345" t="s">
        <v>111</v>
      </c>
      <c r="H179" s="345" t="s">
        <v>111</v>
      </c>
      <c r="I179" s="345" t="s">
        <v>1162</v>
      </c>
      <c r="J179" s="345"/>
      <c r="K179" s="346" t="s">
        <v>122</v>
      </c>
      <c r="L179" s="346" t="s">
        <v>593</v>
      </c>
      <c r="M179" s="346" t="s">
        <v>1163</v>
      </c>
      <c r="N179" s="346"/>
      <c r="O179" s="346"/>
      <c r="P179" s="345" t="s">
        <v>1164</v>
      </c>
      <c r="Q179" s="345" t="s">
        <v>468</v>
      </c>
      <c r="R179" s="347" t="s">
        <v>120</v>
      </c>
      <c r="S179" s="345" t="s">
        <v>111</v>
      </c>
      <c r="T179" s="345" t="s">
        <v>469</v>
      </c>
      <c r="U179" s="345" t="s">
        <v>1165</v>
      </c>
      <c r="V179" s="345" t="s">
        <v>956</v>
      </c>
      <c r="W179" s="347" t="s">
        <v>845</v>
      </c>
      <c r="X179" s="345" t="s">
        <v>850</v>
      </c>
      <c r="Y179" s="345" t="s">
        <v>472</v>
      </c>
      <c r="Z179" s="347" t="s">
        <v>832</v>
      </c>
      <c r="AA179" s="345" t="s">
        <v>982</v>
      </c>
      <c r="AB179" s="345" t="s">
        <v>482</v>
      </c>
      <c r="AC179" s="345" t="s">
        <v>850</v>
      </c>
      <c r="AD179" s="347" t="s">
        <v>983</v>
      </c>
      <c r="AE179" s="345" t="s">
        <v>895</v>
      </c>
      <c r="AF179" s="347" t="s">
        <v>832</v>
      </c>
      <c r="AG179" s="345" t="s">
        <v>111</v>
      </c>
      <c r="AH179" s="345"/>
      <c r="AI179" s="345" t="s">
        <v>111</v>
      </c>
      <c r="AJ179" s="345" t="s">
        <v>895</v>
      </c>
      <c r="AK179" s="347" t="s">
        <v>832</v>
      </c>
      <c r="AL179" s="345"/>
    </row>
    <row r="180" spans="1:38" ht="16.5" hidden="1" customHeight="1">
      <c r="A180" s="344" t="s">
        <v>463</v>
      </c>
      <c r="B180" s="345" t="s">
        <v>1166</v>
      </c>
      <c r="C180" s="345" t="s">
        <v>589</v>
      </c>
      <c r="D180" s="345" t="s">
        <v>110</v>
      </c>
      <c r="E180" s="345" t="s">
        <v>603</v>
      </c>
      <c r="F180" s="345" t="s">
        <v>940</v>
      </c>
      <c r="G180" s="345" t="s">
        <v>111</v>
      </c>
      <c r="H180" s="345" t="s">
        <v>111</v>
      </c>
      <c r="I180" s="345" t="s">
        <v>1167</v>
      </c>
      <c r="J180" s="345"/>
      <c r="K180" s="346" t="s">
        <v>112</v>
      </c>
      <c r="L180" s="346" t="s">
        <v>593</v>
      </c>
      <c r="M180" s="346" t="s">
        <v>114</v>
      </c>
      <c r="N180" s="346"/>
      <c r="O180" s="346"/>
      <c r="P180" s="345" t="s">
        <v>1168</v>
      </c>
      <c r="Q180" s="345" t="s">
        <v>468</v>
      </c>
      <c r="R180" s="347" t="s">
        <v>120</v>
      </c>
      <c r="S180" s="345" t="s">
        <v>517</v>
      </c>
      <c r="T180" s="345" t="s">
        <v>469</v>
      </c>
      <c r="U180" s="345" t="s">
        <v>1169</v>
      </c>
      <c r="V180" s="345" t="s">
        <v>483</v>
      </c>
      <c r="W180" s="347" t="s">
        <v>845</v>
      </c>
      <c r="X180" s="345" t="s">
        <v>850</v>
      </c>
      <c r="Y180" s="345" t="s">
        <v>472</v>
      </c>
      <c r="Z180" s="347" t="s">
        <v>1027</v>
      </c>
      <c r="AA180" s="345" t="s">
        <v>483</v>
      </c>
      <c r="AB180" s="345" t="s">
        <v>553</v>
      </c>
      <c r="AC180" s="345"/>
      <c r="AD180" s="347" t="s">
        <v>576</v>
      </c>
      <c r="AE180" s="345" t="s">
        <v>491</v>
      </c>
      <c r="AF180" s="347" t="s">
        <v>1027</v>
      </c>
      <c r="AG180" s="345" t="s">
        <v>111</v>
      </c>
      <c r="AH180" s="345"/>
      <c r="AI180" s="345" t="s">
        <v>111</v>
      </c>
      <c r="AJ180" s="345" t="s">
        <v>491</v>
      </c>
      <c r="AK180" s="347" t="s">
        <v>1027</v>
      </c>
      <c r="AL180" s="345"/>
    </row>
    <row r="181" spans="1:38" ht="16.5" hidden="1" customHeight="1">
      <c r="A181" s="344" t="s">
        <v>463</v>
      </c>
      <c r="B181" s="345" t="s">
        <v>1170</v>
      </c>
      <c r="C181" s="345" t="s">
        <v>589</v>
      </c>
      <c r="D181" s="345" t="s">
        <v>110</v>
      </c>
      <c r="E181" s="345" t="s">
        <v>603</v>
      </c>
      <c r="F181" s="345" t="s">
        <v>940</v>
      </c>
      <c r="G181" s="345" t="s">
        <v>111</v>
      </c>
      <c r="H181" s="345" t="s">
        <v>111</v>
      </c>
      <c r="I181" s="345" t="s">
        <v>1171</v>
      </c>
      <c r="J181" s="345"/>
      <c r="K181" s="346" t="s">
        <v>122</v>
      </c>
      <c r="L181" s="346" t="s">
        <v>608</v>
      </c>
      <c r="M181" s="346" t="s">
        <v>114</v>
      </c>
      <c r="N181" s="346"/>
      <c r="O181" s="346"/>
      <c r="P181" s="345" t="s">
        <v>1172</v>
      </c>
      <c r="Q181" s="345" t="s">
        <v>468</v>
      </c>
      <c r="R181" s="347" t="s">
        <v>120</v>
      </c>
      <c r="S181" s="345" t="s">
        <v>111</v>
      </c>
      <c r="T181" s="345" t="s">
        <v>469</v>
      </c>
      <c r="U181" s="345" t="s">
        <v>696</v>
      </c>
      <c r="V181" s="345" t="s">
        <v>483</v>
      </c>
      <c r="W181" s="347" t="s">
        <v>845</v>
      </c>
      <c r="X181" s="345" t="s">
        <v>850</v>
      </c>
      <c r="Y181" s="345" t="s">
        <v>472</v>
      </c>
      <c r="Z181" s="347" t="s">
        <v>636</v>
      </c>
      <c r="AA181" s="345" t="s">
        <v>819</v>
      </c>
      <c r="AB181" s="345" t="s">
        <v>482</v>
      </c>
      <c r="AC181" s="345" t="s">
        <v>850</v>
      </c>
      <c r="AD181" s="347" t="s">
        <v>851</v>
      </c>
      <c r="AE181" s="345" t="s">
        <v>895</v>
      </c>
      <c r="AF181" s="347" t="s">
        <v>832</v>
      </c>
      <c r="AG181" s="345" t="s">
        <v>111</v>
      </c>
      <c r="AH181" s="345"/>
      <c r="AI181" s="345" t="s">
        <v>111</v>
      </c>
      <c r="AJ181" s="345" t="s">
        <v>491</v>
      </c>
      <c r="AK181" s="347" t="s">
        <v>636</v>
      </c>
      <c r="AL181" s="345"/>
    </row>
    <row r="182" spans="1:38" ht="16.5" hidden="1" customHeight="1">
      <c r="A182" s="344" t="s">
        <v>463</v>
      </c>
      <c r="B182" s="345" t="s">
        <v>1173</v>
      </c>
      <c r="C182" s="345" t="s">
        <v>589</v>
      </c>
      <c r="D182" s="345" t="s">
        <v>110</v>
      </c>
      <c r="E182" s="345" t="s">
        <v>708</v>
      </c>
      <c r="F182" s="345" t="s">
        <v>940</v>
      </c>
      <c r="G182" s="345" t="s">
        <v>111</v>
      </c>
      <c r="H182" s="345" t="s">
        <v>111</v>
      </c>
      <c r="I182" s="345" t="s">
        <v>1174</v>
      </c>
      <c r="J182" s="345"/>
      <c r="K182" s="346" t="s">
        <v>122</v>
      </c>
      <c r="L182" s="346"/>
      <c r="M182" s="346" t="s">
        <v>754</v>
      </c>
      <c r="N182" s="346"/>
      <c r="O182" s="346"/>
      <c r="P182" s="345" t="s">
        <v>1175</v>
      </c>
      <c r="Q182" s="345" t="s">
        <v>482</v>
      </c>
      <c r="R182" s="347" t="s">
        <v>120</v>
      </c>
      <c r="S182" s="345" t="s">
        <v>111</v>
      </c>
      <c r="T182" s="345" t="s">
        <v>469</v>
      </c>
      <c r="U182" s="345" t="s">
        <v>844</v>
      </c>
      <c r="V182" s="345" t="s">
        <v>956</v>
      </c>
      <c r="W182" s="347" t="s">
        <v>845</v>
      </c>
      <c r="X182" s="345" t="s">
        <v>850</v>
      </c>
      <c r="Y182" s="345" t="s">
        <v>491</v>
      </c>
      <c r="Z182" s="347" t="s">
        <v>1123</v>
      </c>
      <c r="AA182" s="345" t="s">
        <v>619</v>
      </c>
      <c r="AB182" s="345" t="s">
        <v>553</v>
      </c>
      <c r="AC182" s="345" t="s">
        <v>850</v>
      </c>
      <c r="AD182" s="347" t="s">
        <v>851</v>
      </c>
      <c r="AE182" s="345"/>
      <c r="AF182" s="347" t="s">
        <v>120</v>
      </c>
      <c r="AG182" s="345" t="s">
        <v>111</v>
      </c>
      <c r="AH182" s="345"/>
      <c r="AI182" s="345" t="s">
        <v>111</v>
      </c>
      <c r="AJ182" s="345" t="s">
        <v>491</v>
      </c>
      <c r="AK182" s="347" t="s">
        <v>1123</v>
      </c>
      <c r="AL182" s="345"/>
    </row>
    <row r="183" spans="1:38" ht="16.5" hidden="1" customHeight="1">
      <c r="A183" s="344" t="s">
        <v>463</v>
      </c>
      <c r="B183" s="345" t="s">
        <v>1176</v>
      </c>
      <c r="C183" s="345" t="s">
        <v>589</v>
      </c>
      <c r="D183" s="345" t="s">
        <v>110</v>
      </c>
      <c r="E183" s="345" t="s">
        <v>603</v>
      </c>
      <c r="F183" s="345" t="s">
        <v>940</v>
      </c>
      <c r="G183" s="345" t="s">
        <v>111</v>
      </c>
      <c r="H183" s="345" t="s">
        <v>111</v>
      </c>
      <c r="I183" s="345" t="s">
        <v>1177</v>
      </c>
      <c r="J183" s="345"/>
      <c r="K183" s="346" t="s">
        <v>122</v>
      </c>
      <c r="L183" s="346" t="s">
        <v>608</v>
      </c>
      <c r="M183" s="346" t="s">
        <v>114</v>
      </c>
      <c r="N183" s="346"/>
      <c r="O183" s="346"/>
      <c r="P183" s="345" t="s">
        <v>1178</v>
      </c>
      <c r="Q183" s="345" t="s">
        <v>115</v>
      </c>
      <c r="R183" s="347" t="s">
        <v>120</v>
      </c>
      <c r="S183" s="345" t="s">
        <v>111</v>
      </c>
      <c r="T183" s="345" t="s">
        <v>469</v>
      </c>
      <c r="U183" s="345" t="s">
        <v>117</v>
      </c>
      <c r="V183" s="345" t="s">
        <v>483</v>
      </c>
      <c r="W183" s="347" t="s">
        <v>910</v>
      </c>
      <c r="X183" s="345" t="s">
        <v>850</v>
      </c>
      <c r="Y183" s="345" t="s">
        <v>537</v>
      </c>
      <c r="Z183" s="347" t="s">
        <v>732</v>
      </c>
      <c r="AA183" s="345"/>
      <c r="AB183" s="345"/>
      <c r="AC183" s="345"/>
      <c r="AD183" s="347" t="s">
        <v>120</v>
      </c>
      <c r="AE183" s="345"/>
      <c r="AF183" s="347" t="s">
        <v>120</v>
      </c>
      <c r="AG183" s="345" t="s">
        <v>111</v>
      </c>
      <c r="AH183" s="345"/>
      <c r="AI183" s="345" t="s">
        <v>111</v>
      </c>
      <c r="AJ183" s="345" t="s">
        <v>537</v>
      </c>
      <c r="AK183" s="347" t="s">
        <v>732</v>
      </c>
      <c r="AL183" s="345"/>
    </row>
    <row r="184" spans="1:38" ht="16.5" hidden="1" customHeight="1">
      <c r="A184" s="344" t="s">
        <v>463</v>
      </c>
      <c r="B184" s="345" t="s">
        <v>1179</v>
      </c>
      <c r="C184" s="345" t="s">
        <v>589</v>
      </c>
      <c r="D184" s="345" t="s">
        <v>110</v>
      </c>
      <c r="E184" s="345" t="s">
        <v>708</v>
      </c>
      <c r="F184" s="345" t="s">
        <v>940</v>
      </c>
      <c r="G184" s="345" t="s">
        <v>111</v>
      </c>
      <c r="H184" s="345" t="s">
        <v>111</v>
      </c>
      <c r="I184" s="345" t="s">
        <v>1180</v>
      </c>
      <c r="J184" s="345"/>
      <c r="K184" s="346" t="s">
        <v>122</v>
      </c>
      <c r="L184" s="346" t="s">
        <v>608</v>
      </c>
      <c r="M184" s="346" t="s">
        <v>114</v>
      </c>
      <c r="N184" s="346"/>
      <c r="O184" s="346"/>
      <c r="P184" s="345" t="s">
        <v>1181</v>
      </c>
      <c r="Q184" s="345" t="s">
        <v>468</v>
      </c>
      <c r="R184" s="347" t="s">
        <v>120</v>
      </c>
      <c r="S184" s="345" t="s">
        <v>111</v>
      </c>
      <c r="T184" s="345" t="s">
        <v>469</v>
      </c>
      <c r="U184" s="345" t="s">
        <v>117</v>
      </c>
      <c r="V184" s="345" t="s">
        <v>483</v>
      </c>
      <c r="W184" s="347" t="s">
        <v>910</v>
      </c>
      <c r="X184" s="345" t="s">
        <v>850</v>
      </c>
      <c r="Y184" s="345" t="s">
        <v>472</v>
      </c>
      <c r="Z184" s="347" t="s">
        <v>582</v>
      </c>
      <c r="AA184" s="345" t="s">
        <v>619</v>
      </c>
      <c r="AB184" s="345" t="s">
        <v>482</v>
      </c>
      <c r="AC184" s="345" t="s">
        <v>850</v>
      </c>
      <c r="AD184" s="347" t="s">
        <v>851</v>
      </c>
      <c r="AE184" s="345" t="s">
        <v>483</v>
      </c>
      <c r="AF184" s="347" t="s">
        <v>582</v>
      </c>
      <c r="AG184" s="345" t="s">
        <v>111</v>
      </c>
      <c r="AH184" s="345"/>
      <c r="AI184" s="345" t="s">
        <v>111</v>
      </c>
      <c r="AJ184" s="345" t="s">
        <v>483</v>
      </c>
      <c r="AK184" s="347" t="s">
        <v>582</v>
      </c>
      <c r="AL184" s="345"/>
    </row>
    <row r="185" spans="1:38" ht="16.5" hidden="1" customHeight="1">
      <c r="A185" s="344" t="s">
        <v>463</v>
      </c>
      <c r="B185" s="345" t="s">
        <v>1182</v>
      </c>
      <c r="C185" s="345" t="s">
        <v>589</v>
      </c>
      <c r="D185" s="345" t="s">
        <v>110</v>
      </c>
      <c r="E185" s="345" t="s">
        <v>603</v>
      </c>
      <c r="F185" s="345" t="s">
        <v>940</v>
      </c>
      <c r="G185" s="345" t="s">
        <v>111</v>
      </c>
      <c r="H185" s="345" t="s">
        <v>111</v>
      </c>
      <c r="I185" s="345" t="s">
        <v>1183</v>
      </c>
      <c r="J185" s="345"/>
      <c r="K185" s="346" t="s">
        <v>112</v>
      </c>
      <c r="L185" s="346" t="s">
        <v>593</v>
      </c>
      <c r="M185" s="346" t="s">
        <v>114</v>
      </c>
      <c r="N185" s="346"/>
      <c r="O185" s="346"/>
      <c r="P185" s="345" t="s">
        <v>1184</v>
      </c>
      <c r="Q185" s="345" t="s">
        <v>468</v>
      </c>
      <c r="R185" s="347" t="s">
        <v>120</v>
      </c>
      <c r="S185" s="345" t="s">
        <v>111</v>
      </c>
      <c r="T185" s="345" t="s">
        <v>469</v>
      </c>
      <c r="U185" s="345" t="s">
        <v>117</v>
      </c>
      <c r="V185" s="345" t="s">
        <v>483</v>
      </c>
      <c r="W185" s="347" t="s">
        <v>910</v>
      </c>
      <c r="X185" s="345" t="s">
        <v>850</v>
      </c>
      <c r="Y185" s="345" t="s">
        <v>472</v>
      </c>
      <c r="Z185" s="347" t="s">
        <v>1027</v>
      </c>
      <c r="AA185" s="345" t="s">
        <v>483</v>
      </c>
      <c r="AB185" s="345" t="s">
        <v>553</v>
      </c>
      <c r="AC185" s="345"/>
      <c r="AD185" s="347" t="s">
        <v>576</v>
      </c>
      <c r="AE185" s="345" t="s">
        <v>491</v>
      </c>
      <c r="AF185" s="347" t="s">
        <v>1027</v>
      </c>
      <c r="AG185" s="345" t="s">
        <v>111</v>
      </c>
      <c r="AH185" s="345"/>
      <c r="AI185" s="345" t="s">
        <v>111</v>
      </c>
      <c r="AJ185" s="345" t="s">
        <v>491</v>
      </c>
      <c r="AK185" s="347" t="s">
        <v>1027</v>
      </c>
      <c r="AL185" s="345"/>
    </row>
    <row r="186" spans="1:38" ht="16.5" hidden="1" customHeight="1">
      <c r="A186" s="344" t="s">
        <v>463</v>
      </c>
      <c r="B186" s="345" t="s">
        <v>1185</v>
      </c>
      <c r="C186" s="345" t="s">
        <v>589</v>
      </c>
      <c r="D186" s="345" t="s">
        <v>110</v>
      </c>
      <c r="E186" s="345" t="s">
        <v>847</v>
      </c>
      <c r="F186" s="345" t="s">
        <v>940</v>
      </c>
      <c r="G186" s="345" t="s">
        <v>111</v>
      </c>
      <c r="H186" s="345" t="s">
        <v>111</v>
      </c>
      <c r="I186" s="345" t="s">
        <v>1186</v>
      </c>
      <c r="J186" s="345"/>
      <c r="K186" s="346" t="s">
        <v>112</v>
      </c>
      <c r="L186" s="346" t="s">
        <v>593</v>
      </c>
      <c r="M186" s="346" t="s">
        <v>114</v>
      </c>
      <c r="N186" s="346"/>
      <c r="O186" s="346"/>
      <c r="P186" s="345" t="s">
        <v>1187</v>
      </c>
      <c r="Q186" s="345" t="s">
        <v>115</v>
      </c>
      <c r="R186" s="347" t="s">
        <v>120</v>
      </c>
      <c r="S186" s="345" t="s">
        <v>517</v>
      </c>
      <c r="T186" s="345" t="s">
        <v>469</v>
      </c>
      <c r="U186" s="345" t="s">
        <v>117</v>
      </c>
      <c r="V186" s="345" t="s">
        <v>483</v>
      </c>
      <c r="W186" s="347" t="s">
        <v>910</v>
      </c>
      <c r="X186" s="345" t="s">
        <v>850</v>
      </c>
      <c r="Y186" s="345" t="s">
        <v>483</v>
      </c>
      <c r="Z186" s="347" t="s">
        <v>732</v>
      </c>
      <c r="AA186" s="345"/>
      <c r="AB186" s="345"/>
      <c r="AC186" s="345"/>
      <c r="AD186" s="347" t="s">
        <v>120</v>
      </c>
      <c r="AE186" s="345"/>
      <c r="AF186" s="347" t="s">
        <v>120</v>
      </c>
      <c r="AG186" s="345" t="s">
        <v>111</v>
      </c>
      <c r="AH186" s="345"/>
      <c r="AI186" s="345" t="s">
        <v>111</v>
      </c>
      <c r="AJ186" s="345" t="s">
        <v>483</v>
      </c>
      <c r="AK186" s="347" t="s">
        <v>732</v>
      </c>
      <c r="AL186" s="345"/>
    </row>
    <row r="187" spans="1:38" ht="16.5" hidden="1" customHeight="1">
      <c r="A187" s="344" t="s">
        <v>463</v>
      </c>
      <c r="B187" s="345" t="s">
        <v>1188</v>
      </c>
      <c r="C187" s="345" t="s">
        <v>589</v>
      </c>
      <c r="D187" s="345" t="s">
        <v>110</v>
      </c>
      <c r="E187" s="345" t="s">
        <v>603</v>
      </c>
      <c r="F187" s="345" t="s">
        <v>940</v>
      </c>
      <c r="G187" s="345" t="s">
        <v>111</v>
      </c>
      <c r="H187" s="345" t="s">
        <v>111</v>
      </c>
      <c r="I187" s="345" t="s">
        <v>1189</v>
      </c>
      <c r="J187" s="345"/>
      <c r="K187" s="346" t="s">
        <v>1071</v>
      </c>
      <c r="L187" s="346" t="s">
        <v>608</v>
      </c>
      <c r="M187" s="346" t="s">
        <v>114</v>
      </c>
      <c r="N187" s="346"/>
      <c r="O187" s="346"/>
      <c r="P187" s="345" t="s">
        <v>1190</v>
      </c>
      <c r="Q187" s="345" t="s">
        <v>482</v>
      </c>
      <c r="R187" s="347" t="s">
        <v>120</v>
      </c>
      <c r="S187" s="345" t="s">
        <v>517</v>
      </c>
      <c r="T187" s="345" t="s">
        <v>469</v>
      </c>
      <c r="U187" s="345" t="s">
        <v>117</v>
      </c>
      <c r="V187" s="345" t="s">
        <v>483</v>
      </c>
      <c r="W187" s="347" t="s">
        <v>910</v>
      </c>
      <c r="X187" s="345" t="s">
        <v>850</v>
      </c>
      <c r="Y187" s="345" t="s">
        <v>483</v>
      </c>
      <c r="Z187" s="347" t="s">
        <v>732</v>
      </c>
      <c r="AA187" s="345" t="s">
        <v>537</v>
      </c>
      <c r="AB187" s="345" t="s">
        <v>620</v>
      </c>
      <c r="AC187" s="345"/>
      <c r="AD187" s="347" t="s">
        <v>732</v>
      </c>
      <c r="AE187" s="345"/>
      <c r="AF187" s="347" t="s">
        <v>120</v>
      </c>
      <c r="AG187" s="345" t="s">
        <v>111</v>
      </c>
      <c r="AH187" s="345"/>
      <c r="AI187" s="345" t="s">
        <v>1191</v>
      </c>
      <c r="AJ187" s="345" t="s">
        <v>537</v>
      </c>
      <c r="AK187" s="347" t="s">
        <v>732</v>
      </c>
      <c r="AL187" s="345"/>
    </row>
    <row r="188" spans="1:38" ht="16.5" hidden="1" customHeight="1">
      <c r="A188" s="344" t="s">
        <v>463</v>
      </c>
      <c r="B188" s="345" t="s">
        <v>1192</v>
      </c>
      <c r="C188" s="345" t="s">
        <v>589</v>
      </c>
      <c r="D188" s="345" t="s">
        <v>110</v>
      </c>
      <c r="E188" s="345" t="s">
        <v>590</v>
      </c>
      <c r="F188" s="345" t="s">
        <v>940</v>
      </c>
      <c r="G188" s="345" t="s">
        <v>111</v>
      </c>
      <c r="H188" s="345" t="s">
        <v>111</v>
      </c>
      <c r="I188" s="345" t="s">
        <v>1193</v>
      </c>
      <c r="J188" s="345"/>
      <c r="K188" s="346" t="s">
        <v>122</v>
      </c>
      <c r="L188" s="346"/>
      <c r="M188" s="346" t="s">
        <v>114</v>
      </c>
      <c r="N188" s="346"/>
      <c r="O188" s="346"/>
      <c r="P188" s="345" t="s">
        <v>1194</v>
      </c>
      <c r="Q188" s="345" t="s">
        <v>482</v>
      </c>
      <c r="R188" s="347" t="s">
        <v>120</v>
      </c>
      <c r="S188" s="345" t="s">
        <v>111</v>
      </c>
      <c r="T188" s="345" t="s">
        <v>469</v>
      </c>
      <c r="U188" s="345" t="s">
        <v>117</v>
      </c>
      <c r="V188" s="345" t="s">
        <v>483</v>
      </c>
      <c r="W188" s="347" t="s">
        <v>910</v>
      </c>
      <c r="X188" s="345" t="s">
        <v>850</v>
      </c>
      <c r="Y188" s="345" t="s">
        <v>483</v>
      </c>
      <c r="Z188" s="347" t="s">
        <v>851</v>
      </c>
      <c r="AA188" s="345" t="s">
        <v>619</v>
      </c>
      <c r="AB188" s="345" t="s">
        <v>620</v>
      </c>
      <c r="AC188" s="345" t="s">
        <v>850</v>
      </c>
      <c r="AD188" s="347" t="s">
        <v>851</v>
      </c>
      <c r="AE188" s="345"/>
      <c r="AF188" s="347" t="s">
        <v>120</v>
      </c>
      <c r="AG188" s="345" t="s">
        <v>111</v>
      </c>
      <c r="AH188" s="345"/>
      <c r="AI188" s="345" t="s">
        <v>1195</v>
      </c>
      <c r="AJ188" s="345" t="s">
        <v>619</v>
      </c>
      <c r="AK188" s="347" t="s">
        <v>851</v>
      </c>
      <c r="AL188" s="345"/>
    </row>
    <row r="189" spans="1:38" ht="16.5" hidden="1" customHeight="1">
      <c r="A189" s="344" t="s">
        <v>463</v>
      </c>
      <c r="B189" s="345" t="s">
        <v>1196</v>
      </c>
      <c r="C189" s="345" t="s">
        <v>589</v>
      </c>
      <c r="D189" s="345" t="s">
        <v>110</v>
      </c>
      <c r="E189" s="345" t="s">
        <v>860</v>
      </c>
      <c r="F189" s="345" t="s">
        <v>940</v>
      </c>
      <c r="G189" s="345" t="s">
        <v>111</v>
      </c>
      <c r="H189" s="345" t="s">
        <v>111</v>
      </c>
      <c r="I189" s="345" t="s">
        <v>1197</v>
      </c>
      <c r="J189" s="345"/>
      <c r="K189" s="346" t="s">
        <v>122</v>
      </c>
      <c r="L189" s="346" t="s">
        <v>113</v>
      </c>
      <c r="M189" s="346" t="s">
        <v>114</v>
      </c>
      <c r="N189" s="346"/>
      <c r="O189" s="346"/>
      <c r="P189" s="345" t="s">
        <v>1198</v>
      </c>
      <c r="Q189" s="345" t="s">
        <v>468</v>
      </c>
      <c r="R189" s="347" t="s">
        <v>120</v>
      </c>
      <c r="S189" s="345" t="s">
        <v>111</v>
      </c>
      <c r="T189" s="345" t="s">
        <v>469</v>
      </c>
      <c r="U189" s="345" t="s">
        <v>117</v>
      </c>
      <c r="V189" s="345" t="s">
        <v>483</v>
      </c>
      <c r="W189" s="347" t="s">
        <v>910</v>
      </c>
      <c r="X189" s="345" t="s">
        <v>850</v>
      </c>
      <c r="Y189" s="345" t="s">
        <v>472</v>
      </c>
      <c r="Z189" s="347" t="s">
        <v>582</v>
      </c>
      <c r="AA189" s="345" t="s">
        <v>689</v>
      </c>
      <c r="AB189" s="345" t="s">
        <v>482</v>
      </c>
      <c r="AC189" s="345" t="s">
        <v>119</v>
      </c>
      <c r="AD189" s="347" t="s">
        <v>701</v>
      </c>
      <c r="AE189" s="345" t="s">
        <v>491</v>
      </c>
      <c r="AF189" s="347" t="s">
        <v>582</v>
      </c>
      <c r="AG189" s="345" t="s">
        <v>111</v>
      </c>
      <c r="AH189" s="345"/>
      <c r="AI189" s="345" t="s">
        <v>111</v>
      </c>
      <c r="AJ189" s="345" t="s">
        <v>491</v>
      </c>
      <c r="AK189" s="347" t="s">
        <v>636</v>
      </c>
      <c r="AL189" s="345"/>
    </row>
    <row r="190" spans="1:38" ht="16.5" hidden="1" customHeight="1">
      <c r="A190" s="344" t="s">
        <v>463</v>
      </c>
      <c r="B190" s="345" t="s">
        <v>1199</v>
      </c>
      <c r="C190" s="345" t="s">
        <v>589</v>
      </c>
      <c r="D190" s="345" t="s">
        <v>110</v>
      </c>
      <c r="E190" s="345" t="s">
        <v>860</v>
      </c>
      <c r="F190" s="345" t="s">
        <v>940</v>
      </c>
      <c r="G190" s="345" t="s">
        <v>111</v>
      </c>
      <c r="H190" s="345" t="s">
        <v>111</v>
      </c>
      <c r="I190" s="345" t="s">
        <v>1200</v>
      </c>
      <c r="J190" s="345"/>
      <c r="K190" s="346" t="s">
        <v>112</v>
      </c>
      <c r="L190" s="346" t="s">
        <v>593</v>
      </c>
      <c r="M190" s="346" t="s">
        <v>114</v>
      </c>
      <c r="N190" s="346"/>
      <c r="O190" s="346"/>
      <c r="P190" s="345" t="s">
        <v>1201</v>
      </c>
      <c r="Q190" s="345" t="s">
        <v>468</v>
      </c>
      <c r="R190" s="347" t="s">
        <v>120</v>
      </c>
      <c r="S190" s="345" t="s">
        <v>517</v>
      </c>
      <c r="T190" s="345" t="s">
        <v>469</v>
      </c>
      <c r="U190" s="345" t="s">
        <v>117</v>
      </c>
      <c r="V190" s="345" t="s">
        <v>483</v>
      </c>
      <c r="W190" s="347" t="s">
        <v>910</v>
      </c>
      <c r="X190" s="345" t="s">
        <v>1202</v>
      </c>
      <c r="Y190" s="345" t="s">
        <v>472</v>
      </c>
      <c r="Z190" s="347" t="s">
        <v>902</v>
      </c>
      <c r="AA190" s="345" t="s">
        <v>689</v>
      </c>
      <c r="AB190" s="345" t="s">
        <v>482</v>
      </c>
      <c r="AC190" s="345" t="s">
        <v>119</v>
      </c>
      <c r="AD190" s="347" t="s">
        <v>636</v>
      </c>
      <c r="AE190" s="345" t="s">
        <v>491</v>
      </c>
      <c r="AF190" s="347" t="s">
        <v>902</v>
      </c>
      <c r="AG190" s="345" t="s">
        <v>111</v>
      </c>
      <c r="AH190" s="345"/>
      <c r="AI190" s="345" t="s">
        <v>111</v>
      </c>
      <c r="AJ190" s="345" t="s">
        <v>491</v>
      </c>
      <c r="AK190" s="347" t="s">
        <v>902</v>
      </c>
      <c r="AL190" s="345"/>
    </row>
    <row r="191" spans="1:38" ht="16.5" hidden="1" customHeight="1">
      <c r="A191" s="344" t="s">
        <v>463</v>
      </c>
      <c r="B191" s="345" t="s">
        <v>1203</v>
      </c>
      <c r="C191" s="345" t="s">
        <v>589</v>
      </c>
      <c r="D191" s="345" t="s">
        <v>110</v>
      </c>
      <c r="E191" s="345" t="s">
        <v>847</v>
      </c>
      <c r="F191" s="345" t="s">
        <v>940</v>
      </c>
      <c r="G191" s="345" t="s">
        <v>111</v>
      </c>
      <c r="H191" s="345" t="s">
        <v>111</v>
      </c>
      <c r="I191" s="345" t="s">
        <v>1204</v>
      </c>
      <c r="J191" s="345"/>
      <c r="K191" s="346" t="s">
        <v>112</v>
      </c>
      <c r="L191" s="346" t="s">
        <v>593</v>
      </c>
      <c r="M191" s="346" t="s">
        <v>114</v>
      </c>
      <c r="N191" s="346"/>
      <c r="O191" s="346"/>
      <c r="P191" s="345" t="s">
        <v>1205</v>
      </c>
      <c r="Q191" s="345" t="s">
        <v>468</v>
      </c>
      <c r="R191" s="347" t="s">
        <v>120</v>
      </c>
      <c r="S191" s="345" t="s">
        <v>517</v>
      </c>
      <c r="T191" s="345" t="s">
        <v>469</v>
      </c>
      <c r="U191" s="345" t="s">
        <v>117</v>
      </c>
      <c r="V191" s="345" t="s">
        <v>483</v>
      </c>
      <c r="W191" s="347" t="s">
        <v>910</v>
      </c>
      <c r="X191" s="345" t="s">
        <v>850</v>
      </c>
      <c r="Y191" s="345" t="s">
        <v>472</v>
      </c>
      <c r="Z191" s="347" t="s">
        <v>902</v>
      </c>
      <c r="AA191" s="345" t="s">
        <v>619</v>
      </c>
      <c r="AB191" s="345" t="s">
        <v>482</v>
      </c>
      <c r="AC191" s="345" t="s">
        <v>119</v>
      </c>
      <c r="AD191" s="347" t="s">
        <v>1206</v>
      </c>
      <c r="AE191" s="345" t="s">
        <v>491</v>
      </c>
      <c r="AF191" s="347" t="s">
        <v>902</v>
      </c>
      <c r="AG191" s="345" t="s">
        <v>111</v>
      </c>
      <c r="AH191" s="345"/>
      <c r="AI191" s="345" t="s">
        <v>111</v>
      </c>
      <c r="AJ191" s="345" t="s">
        <v>491</v>
      </c>
      <c r="AK191" s="347" t="s">
        <v>902</v>
      </c>
      <c r="AL191" s="345"/>
    </row>
    <row r="192" spans="1:38" ht="16.5" hidden="1" customHeight="1">
      <c r="A192" s="344" t="s">
        <v>463</v>
      </c>
      <c r="B192" s="345" t="s">
        <v>1207</v>
      </c>
      <c r="C192" s="345" t="s">
        <v>589</v>
      </c>
      <c r="D192" s="345" t="s">
        <v>110</v>
      </c>
      <c r="E192" s="345" t="s">
        <v>853</v>
      </c>
      <c r="F192" s="345" t="s">
        <v>940</v>
      </c>
      <c r="G192" s="345" t="s">
        <v>111</v>
      </c>
      <c r="H192" s="345" t="s">
        <v>111</v>
      </c>
      <c r="I192" s="345" t="s">
        <v>1208</v>
      </c>
      <c r="J192" s="345"/>
      <c r="K192" s="346" t="s">
        <v>122</v>
      </c>
      <c r="L192" s="346" t="s">
        <v>608</v>
      </c>
      <c r="M192" s="346" t="s">
        <v>114</v>
      </c>
      <c r="N192" s="346"/>
      <c r="O192" s="346"/>
      <c r="P192" s="345" t="s">
        <v>1209</v>
      </c>
      <c r="Q192" s="345" t="s">
        <v>468</v>
      </c>
      <c r="R192" s="347" t="s">
        <v>120</v>
      </c>
      <c r="S192" s="345" t="s">
        <v>111</v>
      </c>
      <c r="T192" s="345" t="s">
        <v>469</v>
      </c>
      <c r="U192" s="345" t="s">
        <v>618</v>
      </c>
      <c r="V192" s="345" t="s">
        <v>483</v>
      </c>
      <c r="W192" s="347" t="s">
        <v>910</v>
      </c>
      <c r="X192" s="345" t="s">
        <v>850</v>
      </c>
      <c r="Y192" s="345" t="s">
        <v>472</v>
      </c>
      <c r="Z192" s="347" t="s">
        <v>701</v>
      </c>
      <c r="AA192" s="345" t="s">
        <v>619</v>
      </c>
      <c r="AB192" s="345" t="s">
        <v>482</v>
      </c>
      <c r="AC192" s="345" t="s">
        <v>850</v>
      </c>
      <c r="AD192" s="347" t="s">
        <v>851</v>
      </c>
      <c r="AE192" s="345" t="s">
        <v>472</v>
      </c>
      <c r="AF192" s="347" t="s">
        <v>701</v>
      </c>
      <c r="AG192" s="345" t="s">
        <v>111</v>
      </c>
      <c r="AH192" s="345"/>
      <c r="AI192" s="345" t="s">
        <v>111</v>
      </c>
      <c r="AJ192" s="345" t="s">
        <v>895</v>
      </c>
      <c r="AK192" s="347" t="s">
        <v>701</v>
      </c>
      <c r="AL192" s="345"/>
    </row>
    <row r="193" spans="1:38" ht="16.5" hidden="1" customHeight="1">
      <c r="A193" s="344" t="s">
        <v>463</v>
      </c>
      <c r="B193" s="345" t="s">
        <v>1210</v>
      </c>
      <c r="C193" s="345" t="s">
        <v>589</v>
      </c>
      <c r="D193" s="345" t="s">
        <v>110</v>
      </c>
      <c r="E193" s="345" t="s">
        <v>708</v>
      </c>
      <c r="F193" s="345" t="s">
        <v>940</v>
      </c>
      <c r="G193" s="345" t="s">
        <v>111</v>
      </c>
      <c r="H193" s="345" t="s">
        <v>111</v>
      </c>
      <c r="I193" s="345" t="s">
        <v>1211</v>
      </c>
      <c r="J193" s="345"/>
      <c r="K193" s="346" t="s">
        <v>122</v>
      </c>
      <c r="L193" s="346" t="s">
        <v>608</v>
      </c>
      <c r="M193" s="346" t="s">
        <v>959</v>
      </c>
      <c r="N193" s="346"/>
      <c r="O193" s="346"/>
      <c r="P193" s="345" t="s">
        <v>1212</v>
      </c>
      <c r="Q193" s="345" t="s">
        <v>468</v>
      </c>
      <c r="R193" s="347" t="s">
        <v>120</v>
      </c>
      <c r="S193" s="345" t="s">
        <v>111</v>
      </c>
      <c r="T193" s="345" t="s">
        <v>469</v>
      </c>
      <c r="U193" s="345" t="s">
        <v>844</v>
      </c>
      <c r="V193" s="345" t="s">
        <v>483</v>
      </c>
      <c r="W193" s="347" t="s">
        <v>910</v>
      </c>
      <c r="X193" s="345" t="s">
        <v>850</v>
      </c>
      <c r="Y193" s="345" t="s">
        <v>472</v>
      </c>
      <c r="Z193" s="347" t="s">
        <v>701</v>
      </c>
      <c r="AA193" s="345" t="s">
        <v>619</v>
      </c>
      <c r="AB193" s="345" t="s">
        <v>482</v>
      </c>
      <c r="AC193" s="345" t="s">
        <v>850</v>
      </c>
      <c r="AD193" s="347" t="s">
        <v>851</v>
      </c>
      <c r="AE193" s="345" t="s">
        <v>472</v>
      </c>
      <c r="AF193" s="347" t="s">
        <v>701</v>
      </c>
      <c r="AG193" s="345" t="s">
        <v>111</v>
      </c>
      <c r="AH193" s="345"/>
      <c r="AI193" s="345" t="s">
        <v>111</v>
      </c>
      <c r="AJ193" s="345" t="s">
        <v>491</v>
      </c>
      <c r="AK193" s="347" t="s">
        <v>636</v>
      </c>
      <c r="AL193" s="345"/>
    </row>
    <row r="194" spans="1:38" ht="16.5" hidden="1" customHeight="1">
      <c r="A194" s="344" t="s">
        <v>463</v>
      </c>
      <c r="B194" s="345" t="s">
        <v>1213</v>
      </c>
      <c r="C194" s="345" t="s">
        <v>589</v>
      </c>
      <c r="D194" s="345" t="s">
        <v>110</v>
      </c>
      <c r="E194" s="345" t="s">
        <v>853</v>
      </c>
      <c r="F194" s="345" t="s">
        <v>940</v>
      </c>
      <c r="G194" s="345" t="s">
        <v>111</v>
      </c>
      <c r="H194" s="345" t="s">
        <v>111</v>
      </c>
      <c r="I194" s="345" t="s">
        <v>1214</v>
      </c>
      <c r="J194" s="345"/>
      <c r="K194" s="346" t="s">
        <v>122</v>
      </c>
      <c r="L194" s="346" t="s">
        <v>608</v>
      </c>
      <c r="M194" s="346" t="s">
        <v>114</v>
      </c>
      <c r="N194" s="346"/>
      <c r="O194" s="346"/>
      <c r="P194" s="345" t="s">
        <v>1215</v>
      </c>
      <c r="Q194" s="345" t="s">
        <v>468</v>
      </c>
      <c r="R194" s="347" t="s">
        <v>120</v>
      </c>
      <c r="S194" s="345" t="s">
        <v>111</v>
      </c>
      <c r="T194" s="345" t="s">
        <v>469</v>
      </c>
      <c r="U194" s="345" t="s">
        <v>1216</v>
      </c>
      <c r="V194" s="345" t="s">
        <v>483</v>
      </c>
      <c r="W194" s="347" t="s">
        <v>910</v>
      </c>
      <c r="X194" s="345" t="s">
        <v>850</v>
      </c>
      <c r="Y194" s="345" t="s">
        <v>472</v>
      </c>
      <c r="Z194" s="347" t="s">
        <v>851</v>
      </c>
      <c r="AA194" s="345" t="s">
        <v>814</v>
      </c>
      <c r="AB194" s="345" t="s">
        <v>620</v>
      </c>
      <c r="AC194" s="345"/>
      <c r="AD194" s="347" t="s">
        <v>910</v>
      </c>
      <c r="AE194" s="345" t="s">
        <v>483</v>
      </c>
      <c r="AF194" s="347" t="s">
        <v>851</v>
      </c>
      <c r="AG194" s="345" t="s">
        <v>111</v>
      </c>
      <c r="AH194" s="345"/>
      <c r="AI194" s="345" t="s">
        <v>111</v>
      </c>
      <c r="AJ194" s="345" t="s">
        <v>483</v>
      </c>
      <c r="AK194" s="347" t="s">
        <v>851</v>
      </c>
      <c r="AL194" s="345"/>
    </row>
    <row r="195" spans="1:38" ht="16.5" hidden="1" customHeight="1">
      <c r="A195" s="344" t="s">
        <v>463</v>
      </c>
      <c r="B195" s="345" t="s">
        <v>1217</v>
      </c>
      <c r="C195" s="345" t="s">
        <v>589</v>
      </c>
      <c r="D195" s="345" t="s">
        <v>110</v>
      </c>
      <c r="E195" s="345" t="s">
        <v>853</v>
      </c>
      <c r="F195" s="345" t="s">
        <v>940</v>
      </c>
      <c r="G195" s="345" t="s">
        <v>111</v>
      </c>
      <c r="H195" s="345" t="s">
        <v>111</v>
      </c>
      <c r="I195" s="345" t="s">
        <v>1218</v>
      </c>
      <c r="J195" s="345"/>
      <c r="K195" s="346" t="s">
        <v>1071</v>
      </c>
      <c r="L195" s="346" t="s">
        <v>608</v>
      </c>
      <c r="M195" s="346" t="s">
        <v>959</v>
      </c>
      <c r="N195" s="346"/>
      <c r="O195" s="346"/>
      <c r="P195" s="345" t="s">
        <v>1219</v>
      </c>
      <c r="Q195" s="345" t="s">
        <v>482</v>
      </c>
      <c r="R195" s="347" t="s">
        <v>120</v>
      </c>
      <c r="S195" s="345" t="s">
        <v>111</v>
      </c>
      <c r="T195" s="345" t="s">
        <v>469</v>
      </c>
      <c r="U195" s="345" t="s">
        <v>117</v>
      </c>
      <c r="V195" s="345" t="s">
        <v>483</v>
      </c>
      <c r="W195" s="347" t="s">
        <v>910</v>
      </c>
      <c r="X195" s="345" t="s">
        <v>850</v>
      </c>
      <c r="Y195" s="345" t="s">
        <v>483</v>
      </c>
      <c r="Z195" s="347" t="s">
        <v>910</v>
      </c>
      <c r="AA195" s="345" t="s">
        <v>474</v>
      </c>
      <c r="AB195" s="345" t="s">
        <v>620</v>
      </c>
      <c r="AC195" s="345" t="s">
        <v>850</v>
      </c>
      <c r="AD195" s="347" t="s">
        <v>910</v>
      </c>
      <c r="AE195" s="345"/>
      <c r="AF195" s="347" t="s">
        <v>120</v>
      </c>
      <c r="AG195" s="345" t="s">
        <v>111</v>
      </c>
      <c r="AH195" s="345"/>
      <c r="AI195" s="345" t="s">
        <v>111</v>
      </c>
      <c r="AJ195" s="345" t="s">
        <v>474</v>
      </c>
      <c r="AK195" s="347" t="s">
        <v>910</v>
      </c>
      <c r="AL195" s="345"/>
    </row>
    <row r="196" spans="1:38" ht="16.5" hidden="1" customHeight="1">
      <c r="A196" s="344" t="s">
        <v>463</v>
      </c>
      <c r="B196" s="345" t="s">
        <v>1220</v>
      </c>
      <c r="C196" s="345" t="s">
        <v>589</v>
      </c>
      <c r="D196" s="345" t="s">
        <v>110</v>
      </c>
      <c r="E196" s="345" t="s">
        <v>590</v>
      </c>
      <c r="F196" s="345" t="s">
        <v>940</v>
      </c>
      <c r="G196" s="345" t="s">
        <v>111</v>
      </c>
      <c r="H196" s="345" t="s">
        <v>111</v>
      </c>
      <c r="I196" s="345" t="s">
        <v>1221</v>
      </c>
      <c r="J196" s="345"/>
      <c r="K196" s="346" t="s">
        <v>1071</v>
      </c>
      <c r="L196" s="346" t="s">
        <v>650</v>
      </c>
      <c r="M196" s="346" t="s">
        <v>959</v>
      </c>
      <c r="N196" s="346"/>
      <c r="O196" s="346"/>
      <c r="P196" s="345" t="s">
        <v>1222</v>
      </c>
      <c r="Q196" s="345" t="s">
        <v>468</v>
      </c>
      <c r="R196" s="347" t="s">
        <v>120</v>
      </c>
      <c r="S196" s="345" t="s">
        <v>111</v>
      </c>
      <c r="T196" s="345" t="s">
        <v>469</v>
      </c>
      <c r="U196" s="345" t="s">
        <v>117</v>
      </c>
      <c r="V196" s="345" t="s">
        <v>483</v>
      </c>
      <c r="W196" s="347" t="s">
        <v>910</v>
      </c>
      <c r="X196" s="345" t="s">
        <v>850</v>
      </c>
      <c r="Y196" s="345" t="s">
        <v>472</v>
      </c>
      <c r="Z196" s="347" t="s">
        <v>697</v>
      </c>
      <c r="AA196" s="345" t="s">
        <v>619</v>
      </c>
      <c r="AB196" s="345" t="s">
        <v>482</v>
      </c>
      <c r="AC196" s="345" t="s">
        <v>850</v>
      </c>
      <c r="AD196" s="347" t="s">
        <v>851</v>
      </c>
      <c r="AE196" s="345" t="s">
        <v>483</v>
      </c>
      <c r="AF196" s="347" t="s">
        <v>697</v>
      </c>
      <c r="AG196" s="345" t="s">
        <v>111</v>
      </c>
      <c r="AH196" s="345"/>
      <c r="AI196" s="345" t="s">
        <v>111</v>
      </c>
      <c r="AJ196" s="345" t="s">
        <v>483</v>
      </c>
      <c r="AK196" s="347" t="s">
        <v>697</v>
      </c>
      <c r="AL196" s="345"/>
    </row>
    <row r="197" spans="1:38" ht="16.5" hidden="1" customHeight="1">
      <c r="A197" s="344" t="s">
        <v>463</v>
      </c>
      <c r="B197" s="345" t="s">
        <v>1223</v>
      </c>
      <c r="C197" s="345" t="s">
        <v>589</v>
      </c>
      <c r="D197" s="345" t="s">
        <v>110</v>
      </c>
      <c r="E197" s="345" t="s">
        <v>860</v>
      </c>
      <c r="F197" s="345" t="s">
        <v>940</v>
      </c>
      <c r="G197" s="345" t="s">
        <v>111</v>
      </c>
      <c r="H197" s="345" t="s">
        <v>111</v>
      </c>
      <c r="I197" s="345" t="s">
        <v>1224</v>
      </c>
      <c r="J197" s="345"/>
      <c r="K197" s="346" t="s">
        <v>112</v>
      </c>
      <c r="L197" s="346" t="s">
        <v>593</v>
      </c>
      <c r="M197" s="346" t="s">
        <v>114</v>
      </c>
      <c r="N197" s="346"/>
      <c r="O197" s="346"/>
      <c r="P197" s="345" t="s">
        <v>1225</v>
      </c>
      <c r="Q197" s="345" t="s">
        <v>468</v>
      </c>
      <c r="R197" s="347" t="s">
        <v>120</v>
      </c>
      <c r="S197" s="345" t="s">
        <v>517</v>
      </c>
      <c r="T197" s="345" t="s">
        <v>469</v>
      </c>
      <c r="U197" s="345" t="s">
        <v>1226</v>
      </c>
      <c r="V197" s="345" t="s">
        <v>483</v>
      </c>
      <c r="W197" s="347" t="s">
        <v>851</v>
      </c>
      <c r="X197" s="345" t="s">
        <v>850</v>
      </c>
      <c r="Y197" s="345" t="s">
        <v>472</v>
      </c>
      <c r="Z197" s="347" t="s">
        <v>1027</v>
      </c>
      <c r="AA197" s="345" t="s">
        <v>689</v>
      </c>
      <c r="AB197" s="345" t="s">
        <v>553</v>
      </c>
      <c r="AC197" s="345" t="s">
        <v>119</v>
      </c>
      <c r="AD197" s="347" t="s">
        <v>636</v>
      </c>
      <c r="AE197" s="345" t="s">
        <v>491</v>
      </c>
      <c r="AF197" s="347" t="s">
        <v>1027</v>
      </c>
      <c r="AG197" s="345" t="s">
        <v>111</v>
      </c>
      <c r="AH197" s="345"/>
      <c r="AI197" s="345" t="s">
        <v>111</v>
      </c>
      <c r="AJ197" s="345" t="s">
        <v>491</v>
      </c>
      <c r="AK197" s="347" t="s">
        <v>1027</v>
      </c>
      <c r="AL197" s="345"/>
    </row>
    <row r="198" spans="1:38" ht="16.5" hidden="1" customHeight="1">
      <c r="A198" s="344" t="s">
        <v>463</v>
      </c>
      <c r="B198" s="345" t="s">
        <v>1227</v>
      </c>
      <c r="C198" s="345" t="s">
        <v>589</v>
      </c>
      <c r="D198" s="345" t="s">
        <v>110</v>
      </c>
      <c r="E198" s="345" t="s">
        <v>847</v>
      </c>
      <c r="F198" s="345" t="s">
        <v>940</v>
      </c>
      <c r="G198" s="345" t="s">
        <v>111</v>
      </c>
      <c r="H198" s="345" t="s">
        <v>111</v>
      </c>
      <c r="I198" s="345" t="s">
        <v>1228</v>
      </c>
      <c r="J198" s="345"/>
      <c r="K198" s="346" t="s">
        <v>112</v>
      </c>
      <c r="L198" s="346" t="s">
        <v>593</v>
      </c>
      <c r="M198" s="346" t="s">
        <v>114</v>
      </c>
      <c r="N198" s="346"/>
      <c r="O198" s="346"/>
      <c r="P198" s="345" t="s">
        <v>1229</v>
      </c>
      <c r="Q198" s="345" t="s">
        <v>482</v>
      </c>
      <c r="R198" s="347" t="s">
        <v>120</v>
      </c>
      <c r="S198" s="345" t="s">
        <v>517</v>
      </c>
      <c r="T198" s="345" t="s">
        <v>469</v>
      </c>
      <c r="U198" s="345" t="s">
        <v>987</v>
      </c>
      <c r="V198" s="345" t="s">
        <v>483</v>
      </c>
      <c r="W198" s="347" t="s">
        <v>983</v>
      </c>
      <c r="X198" s="345" t="s">
        <v>850</v>
      </c>
      <c r="Y198" s="345" t="s">
        <v>483</v>
      </c>
      <c r="Z198" s="347" t="s">
        <v>1027</v>
      </c>
      <c r="AA198" s="345" t="s">
        <v>619</v>
      </c>
      <c r="AB198" s="345" t="s">
        <v>620</v>
      </c>
      <c r="AC198" s="345"/>
      <c r="AD198" s="347" t="s">
        <v>576</v>
      </c>
      <c r="AE198" s="345"/>
      <c r="AF198" s="347" t="s">
        <v>120</v>
      </c>
      <c r="AG198" s="345" t="s">
        <v>111</v>
      </c>
      <c r="AH198" s="345"/>
      <c r="AI198" s="345" t="s">
        <v>111</v>
      </c>
      <c r="AJ198" s="345" t="s">
        <v>491</v>
      </c>
      <c r="AK198" s="347" t="s">
        <v>1027</v>
      </c>
      <c r="AL198" s="345"/>
    </row>
    <row r="199" spans="1:38" ht="16.5" hidden="1" customHeight="1">
      <c r="A199" s="344" t="s">
        <v>463</v>
      </c>
      <c r="B199" s="345" t="s">
        <v>1230</v>
      </c>
      <c r="C199" s="345" t="s">
        <v>589</v>
      </c>
      <c r="D199" s="345" t="s">
        <v>110</v>
      </c>
      <c r="E199" s="345" t="s">
        <v>708</v>
      </c>
      <c r="F199" s="345" t="s">
        <v>940</v>
      </c>
      <c r="G199" s="345" t="s">
        <v>111</v>
      </c>
      <c r="H199" s="345" t="s">
        <v>111</v>
      </c>
      <c r="I199" s="345" t="s">
        <v>1231</v>
      </c>
      <c r="J199" s="345"/>
      <c r="K199" s="346" t="s">
        <v>122</v>
      </c>
      <c r="L199" s="346" t="s">
        <v>608</v>
      </c>
      <c r="M199" s="346" t="s">
        <v>959</v>
      </c>
      <c r="N199" s="346"/>
      <c r="O199" s="346"/>
      <c r="P199" s="345" t="s">
        <v>1232</v>
      </c>
      <c r="Q199" s="345" t="s">
        <v>468</v>
      </c>
      <c r="R199" s="347" t="s">
        <v>120</v>
      </c>
      <c r="S199" s="345" t="s">
        <v>111</v>
      </c>
      <c r="T199" s="345" t="s">
        <v>469</v>
      </c>
      <c r="U199" s="345" t="s">
        <v>117</v>
      </c>
      <c r="V199" s="345" t="s">
        <v>483</v>
      </c>
      <c r="W199" s="347" t="s">
        <v>983</v>
      </c>
      <c r="X199" s="345" t="s">
        <v>850</v>
      </c>
      <c r="Y199" s="345" t="s">
        <v>472</v>
      </c>
      <c r="Z199" s="347" t="s">
        <v>701</v>
      </c>
      <c r="AA199" s="345" t="s">
        <v>619</v>
      </c>
      <c r="AB199" s="345" t="s">
        <v>482</v>
      </c>
      <c r="AC199" s="345" t="s">
        <v>119</v>
      </c>
      <c r="AD199" s="347" t="s">
        <v>983</v>
      </c>
      <c r="AE199" s="345" t="s">
        <v>472</v>
      </c>
      <c r="AF199" s="347" t="s">
        <v>701</v>
      </c>
      <c r="AG199" s="345" t="s">
        <v>111</v>
      </c>
      <c r="AH199" s="345"/>
      <c r="AI199" s="345" t="s">
        <v>111</v>
      </c>
      <c r="AJ199" s="345" t="s">
        <v>895</v>
      </c>
      <c r="AK199" s="347" t="s">
        <v>701</v>
      </c>
      <c r="AL199" s="345"/>
    </row>
    <row r="200" spans="1:38" ht="16.5" hidden="1" customHeight="1">
      <c r="A200" s="344" t="s">
        <v>463</v>
      </c>
      <c r="B200" s="345" t="s">
        <v>1233</v>
      </c>
      <c r="C200" s="345" t="s">
        <v>589</v>
      </c>
      <c r="D200" s="345" t="s">
        <v>110</v>
      </c>
      <c r="E200" s="345" t="s">
        <v>853</v>
      </c>
      <c r="F200" s="345" t="s">
        <v>940</v>
      </c>
      <c r="G200" s="345" t="s">
        <v>111</v>
      </c>
      <c r="H200" s="345" t="s">
        <v>111</v>
      </c>
      <c r="I200" s="345" t="s">
        <v>1234</v>
      </c>
      <c r="J200" s="345"/>
      <c r="K200" s="346" t="s">
        <v>1071</v>
      </c>
      <c r="L200" s="346" t="s">
        <v>608</v>
      </c>
      <c r="M200" s="346" t="s">
        <v>959</v>
      </c>
      <c r="N200" s="346"/>
      <c r="O200" s="346"/>
      <c r="P200" s="345" t="s">
        <v>1235</v>
      </c>
      <c r="Q200" s="345" t="s">
        <v>468</v>
      </c>
      <c r="R200" s="347" t="s">
        <v>120</v>
      </c>
      <c r="S200" s="345" t="s">
        <v>517</v>
      </c>
      <c r="T200" s="345" t="s">
        <v>469</v>
      </c>
      <c r="U200" s="345" t="s">
        <v>117</v>
      </c>
      <c r="V200" s="345" t="s">
        <v>483</v>
      </c>
      <c r="W200" s="347" t="s">
        <v>983</v>
      </c>
      <c r="X200" s="345" t="s">
        <v>850</v>
      </c>
      <c r="Y200" s="345" t="s">
        <v>472</v>
      </c>
      <c r="Z200" s="347" t="s">
        <v>576</v>
      </c>
      <c r="AA200" s="345" t="s">
        <v>819</v>
      </c>
      <c r="AB200" s="345" t="s">
        <v>482</v>
      </c>
      <c r="AC200" s="345" t="s">
        <v>820</v>
      </c>
      <c r="AD200" s="347" t="s">
        <v>582</v>
      </c>
      <c r="AE200" s="345" t="s">
        <v>903</v>
      </c>
      <c r="AF200" s="347" t="s">
        <v>576</v>
      </c>
      <c r="AG200" s="345" t="s">
        <v>111</v>
      </c>
      <c r="AH200" s="345"/>
      <c r="AI200" s="345" t="s">
        <v>111</v>
      </c>
      <c r="AJ200" s="345" t="s">
        <v>903</v>
      </c>
      <c r="AK200" s="347" t="s">
        <v>576</v>
      </c>
      <c r="AL200" s="345"/>
    </row>
    <row r="201" spans="1:38" ht="16.5" hidden="1" customHeight="1">
      <c r="A201" s="344" t="s">
        <v>463</v>
      </c>
      <c r="B201" s="345" t="s">
        <v>1236</v>
      </c>
      <c r="C201" s="345" t="s">
        <v>589</v>
      </c>
      <c r="D201" s="345" t="s">
        <v>110</v>
      </c>
      <c r="E201" s="345" t="s">
        <v>708</v>
      </c>
      <c r="F201" s="345" t="s">
        <v>940</v>
      </c>
      <c r="G201" s="345" t="s">
        <v>111</v>
      </c>
      <c r="H201" s="345" t="s">
        <v>111</v>
      </c>
      <c r="I201" s="345" t="s">
        <v>1237</v>
      </c>
      <c r="J201" s="345"/>
      <c r="K201" s="346" t="s">
        <v>122</v>
      </c>
      <c r="L201" s="346" t="s">
        <v>608</v>
      </c>
      <c r="M201" s="346" t="s">
        <v>114</v>
      </c>
      <c r="N201" s="346"/>
      <c r="O201" s="346"/>
      <c r="P201" s="345" t="s">
        <v>1238</v>
      </c>
      <c r="Q201" s="345" t="s">
        <v>468</v>
      </c>
      <c r="R201" s="347" t="s">
        <v>120</v>
      </c>
      <c r="S201" s="345" t="s">
        <v>568</v>
      </c>
      <c r="T201" s="345" t="s">
        <v>469</v>
      </c>
      <c r="U201" s="345" t="s">
        <v>867</v>
      </c>
      <c r="V201" s="345" t="s">
        <v>483</v>
      </c>
      <c r="W201" s="347" t="s">
        <v>983</v>
      </c>
      <c r="X201" s="345" t="s">
        <v>850</v>
      </c>
      <c r="Y201" s="345" t="s">
        <v>472</v>
      </c>
      <c r="Z201" s="347" t="s">
        <v>902</v>
      </c>
      <c r="AA201" s="345" t="s">
        <v>819</v>
      </c>
      <c r="AB201" s="345" t="s">
        <v>482</v>
      </c>
      <c r="AC201" s="345" t="s">
        <v>119</v>
      </c>
      <c r="AD201" s="347" t="s">
        <v>1206</v>
      </c>
      <c r="AE201" s="345" t="s">
        <v>903</v>
      </c>
      <c r="AF201" s="347" t="s">
        <v>902</v>
      </c>
      <c r="AG201" s="345" t="s">
        <v>111</v>
      </c>
      <c r="AH201" s="345"/>
      <c r="AI201" s="345" t="s">
        <v>1239</v>
      </c>
      <c r="AJ201" s="345" t="s">
        <v>903</v>
      </c>
      <c r="AK201" s="347" t="s">
        <v>902</v>
      </c>
      <c r="AL201" s="345"/>
    </row>
    <row r="202" spans="1:38" ht="16.5" hidden="1" customHeight="1">
      <c r="A202" s="344" t="s">
        <v>463</v>
      </c>
      <c r="B202" s="345" t="s">
        <v>1240</v>
      </c>
      <c r="C202" s="345" t="s">
        <v>589</v>
      </c>
      <c r="D202" s="345" t="s">
        <v>110</v>
      </c>
      <c r="E202" s="345" t="s">
        <v>853</v>
      </c>
      <c r="F202" s="345" t="s">
        <v>940</v>
      </c>
      <c r="G202" s="345" t="s">
        <v>111</v>
      </c>
      <c r="H202" s="345" t="s">
        <v>111</v>
      </c>
      <c r="I202" s="345" t="s">
        <v>1241</v>
      </c>
      <c r="J202" s="345"/>
      <c r="K202" s="346" t="s">
        <v>122</v>
      </c>
      <c r="L202" s="346" t="s">
        <v>608</v>
      </c>
      <c r="M202" s="346" t="s">
        <v>114</v>
      </c>
      <c r="N202" s="346"/>
      <c r="O202" s="346"/>
      <c r="P202" s="345" t="s">
        <v>1242</v>
      </c>
      <c r="Q202" s="345" t="s">
        <v>468</v>
      </c>
      <c r="R202" s="347" t="s">
        <v>120</v>
      </c>
      <c r="S202" s="345" t="s">
        <v>111</v>
      </c>
      <c r="T202" s="345" t="s">
        <v>469</v>
      </c>
      <c r="U202" s="345" t="s">
        <v>117</v>
      </c>
      <c r="V202" s="345" t="s">
        <v>483</v>
      </c>
      <c r="W202" s="347" t="s">
        <v>983</v>
      </c>
      <c r="X202" s="345" t="s">
        <v>850</v>
      </c>
      <c r="Y202" s="345" t="s">
        <v>472</v>
      </c>
      <c r="Z202" s="347" t="s">
        <v>701</v>
      </c>
      <c r="AA202" s="345" t="s">
        <v>819</v>
      </c>
      <c r="AB202" s="345" t="s">
        <v>482</v>
      </c>
      <c r="AC202" s="345" t="s">
        <v>833</v>
      </c>
      <c r="AD202" s="347" t="s">
        <v>1160</v>
      </c>
      <c r="AE202" s="345" t="s">
        <v>472</v>
      </c>
      <c r="AF202" s="347" t="s">
        <v>701</v>
      </c>
      <c r="AG202" s="345" t="s">
        <v>111</v>
      </c>
      <c r="AH202" s="345"/>
      <c r="AI202" s="345" t="s">
        <v>111</v>
      </c>
      <c r="AJ202" s="345" t="s">
        <v>895</v>
      </c>
      <c r="AK202" s="347" t="s">
        <v>701</v>
      </c>
      <c r="AL202" s="345"/>
    </row>
    <row r="203" spans="1:38" ht="16.5" hidden="1" customHeight="1">
      <c r="A203" s="344" t="s">
        <v>463</v>
      </c>
      <c r="B203" s="345" t="s">
        <v>1243</v>
      </c>
      <c r="C203" s="345" t="s">
        <v>589</v>
      </c>
      <c r="D203" s="345" t="s">
        <v>110</v>
      </c>
      <c r="E203" s="345" t="s">
        <v>603</v>
      </c>
      <c r="F203" s="345" t="s">
        <v>940</v>
      </c>
      <c r="G203" s="345" t="s">
        <v>111</v>
      </c>
      <c r="H203" s="345" t="s">
        <v>111</v>
      </c>
      <c r="I203" s="345" t="s">
        <v>1244</v>
      </c>
      <c r="J203" s="345"/>
      <c r="K203" s="346" t="s">
        <v>122</v>
      </c>
      <c r="L203" s="346" t="s">
        <v>608</v>
      </c>
      <c r="M203" s="346" t="s">
        <v>114</v>
      </c>
      <c r="N203" s="346"/>
      <c r="O203" s="346"/>
      <c r="P203" s="345" t="s">
        <v>1245</v>
      </c>
      <c r="Q203" s="345" t="s">
        <v>468</v>
      </c>
      <c r="R203" s="347" t="s">
        <v>120</v>
      </c>
      <c r="S203" s="345" t="s">
        <v>111</v>
      </c>
      <c r="T203" s="345" t="s">
        <v>469</v>
      </c>
      <c r="U203" s="345" t="s">
        <v>696</v>
      </c>
      <c r="V203" s="345" t="s">
        <v>483</v>
      </c>
      <c r="W203" s="347" t="s">
        <v>983</v>
      </c>
      <c r="X203" s="345" t="s">
        <v>850</v>
      </c>
      <c r="Y203" s="345" t="s">
        <v>472</v>
      </c>
      <c r="Z203" s="347" t="s">
        <v>832</v>
      </c>
      <c r="AA203" s="345" t="s">
        <v>819</v>
      </c>
      <c r="AB203" s="345" t="s">
        <v>482</v>
      </c>
      <c r="AC203" s="345" t="s">
        <v>833</v>
      </c>
      <c r="AD203" s="347" t="s">
        <v>1160</v>
      </c>
      <c r="AE203" s="345" t="s">
        <v>483</v>
      </c>
      <c r="AF203" s="347" t="s">
        <v>832</v>
      </c>
      <c r="AG203" s="345" t="s">
        <v>111</v>
      </c>
      <c r="AH203" s="345"/>
      <c r="AI203" s="345" t="s">
        <v>1246</v>
      </c>
      <c r="AJ203" s="345" t="s">
        <v>491</v>
      </c>
      <c r="AK203" s="347" t="s">
        <v>636</v>
      </c>
      <c r="AL203" s="345"/>
    </row>
    <row r="204" spans="1:38" ht="16.5" hidden="1" customHeight="1">
      <c r="A204" s="344" t="s">
        <v>463</v>
      </c>
      <c r="B204" s="345" t="s">
        <v>1247</v>
      </c>
      <c r="C204" s="345" t="s">
        <v>589</v>
      </c>
      <c r="D204" s="345" t="s">
        <v>110</v>
      </c>
      <c r="E204" s="345" t="s">
        <v>603</v>
      </c>
      <c r="F204" s="345" t="s">
        <v>940</v>
      </c>
      <c r="G204" s="345" t="s">
        <v>111</v>
      </c>
      <c r="H204" s="345" t="s">
        <v>111</v>
      </c>
      <c r="I204" s="345" t="s">
        <v>1248</v>
      </c>
      <c r="J204" s="345"/>
      <c r="K204" s="346" t="s">
        <v>122</v>
      </c>
      <c r="L204" s="346" t="s">
        <v>608</v>
      </c>
      <c r="M204" s="346" t="s">
        <v>114</v>
      </c>
      <c r="N204" s="346"/>
      <c r="O204" s="346"/>
      <c r="P204" s="345" t="s">
        <v>1249</v>
      </c>
      <c r="Q204" s="345" t="s">
        <v>468</v>
      </c>
      <c r="R204" s="347" t="s">
        <v>120</v>
      </c>
      <c r="S204" s="345" t="s">
        <v>111</v>
      </c>
      <c r="T204" s="345" t="s">
        <v>469</v>
      </c>
      <c r="U204" s="345" t="s">
        <v>696</v>
      </c>
      <c r="V204" s="345" t="s">
        <v>483</v>
      </c>
      <c r="W204" s="347" t="s">
        <v>983</v>
      </c>
      <c r="X204" s="345" t="s">
        <v>850</v>
      </c>
      <c r="Y204" s="345" t="s">
        <v>472</v>
      </c>
      <c r="Z204" s="347" t="s">
        <v>701</v>
      </c>
      <c r="AA204" s="345" t="s">
        <v>819</v>
      </c>
      <c r="AB204" s="345" t="s">
        <v>482</v>
      </c>
      <c r="AC204" s="345" t="s">
        <v>833</v>
      </c>
      <c r="AD204" s="347" t="s">
        <v>1160</v>
      </c>
      <c r="AE204" s="345" t="s">
        <v>472</v>
      </c>
      <c r="AF204" s="347" t="s">
        <v>701</v>
      </c>
      <c r="AG204" s="345" t="s">
        <v>111</v>
      </c>
      <c r="AH204" s="345"/>
      <c r="AI204" s="345" t="s">
        <v>1250</v>
      </c>
      <c r="AJ204" s="345" t="s">
        <v>491</v>
      </c>
      <c r="AK204" s="347" t="s">
        <v>636</v>
      </c>
      <c r="AL204" s="345"/>
    </row>
    <row r="205" spans="1:38" ht="16.5" hidden="1" customHeight="1">
      <c r="A205" s="344" t="s">
        <v>463</v>
      </c>
      <c r="B205" s="345" t="s">
        <v>1251</v>
      </c>
      <c r="C205" s="345" t="s">
        <v>589</v>
      </c>
      <c r="D205" s="345" t="s">
        <v>110</v>
      </c>
      <c r="E205" s="345" t="s">
        <v>603</v>
      </c>
      <c r="F205" s="345" t="s">
        <v>940</v>
      </c>
      <c r="G205" s="345" t="s">
        <v>111</v>
      </c>
      <c r="H205" s="345" t="s">
        <v>111</v>
      </c>
      <c r="I205" s="345" t="s">
        <v>1252</v>
      </c>
      <c r="J205" s="345"/>
      <c r="K205" s="346" t="s">
        <v>122</v>
      </c>
      <c r="L205" s="346" t="s">
        <v>608</v>
      </c>
      <c r="M205" s="346" t="s">
        <v>114</v>
      </c>
      <c r="N205" s="346"/>
      <c r="O205" s="346"/>
      <c r="P205" s="345" t="s">
        <v>1253</v>
      </c>
      <c r="Q205" s="345" t="s">
        <v>468</v>
      </c>
      <c r="R205" s="347" t="s">
        <v>120</v>
      </c>
      <c r="S205" s="345" t="s">
        <v>111</v>
      </c>
      <c r="T205" s="345" t="s">
        <v>469</v>
      </c>
      <c r="U205" s="345" t="s">
        <v>696</v>
      </c>
      <c r="V205" s="345" t="s">
        <v>483</v>
      </c>
      <c r="W205" s="347" t="s">
        <v>983</v>
      </c>
      <c r="X205" s="345" t="s">
        <v>850</v>
      </c>
      <c r="Y205" s="345" t="s">
        <v>472</v>
      </c>
      <c r="Z205" s="347" t="s">
        <v>701</v>
      </c>
      <c r="AA205" s="345" t="s">
        <v>814</v>
      </c>
      <c r="AB205" s="345" t="s">
        <v>482</v>
      </c>
      <c r="AC205" s="345" t="s">
        <v>119</v>
      </c>
      <c r="AD205" s="347" t="s">
        <v>1160</v>
      </c>
      <c r="AE205" s="345" t="s">
        <v>472</v>
      </c>
      <c r="AF205" s="347" t="s">
        <v>701</v>
      </c>
      <c r="AG205" s="345" t="s">
        <v>111</v>
      </c>
      <c r="AH205" s="345"/>
      <c r="AI205" s="345" t="s">
        <v>1254</v>
      </c>
      <c r="AJ205" s="345" t="s">
        <v>491</v>
      </c>
      <c r="AK205" s="347" t="s">
        <v>636</v>
      </c>
      <c r="AL205" s="345"/>
    </row>
    <row r="206" spans="1:38" ht="16.5" hidden="1" customHeight="1">
      <c r="A206" s="344" t="s">
        <v>463</v>
      </c>
      <c r="B206" s="345" t="s">
        <v>1255</v>
      </c>
      <c r="C206" s="345" t="s">
        <v>589</v>
      </c>
      <c r="D206" s="345" t="s">
        <v>110</v>
      </c>
      <c r="E206" s="345" t="s">
        <v>826</v>
      </c>
      <c r="F206" s="345" t="s">
        <v>940</v>
      </c>
      <c r="G206" s="345" t="s">
        <v>111</v>
      </c>
      <c r="H206" s="345" t="s">
        <v>111</v>
      </c>
      <c r="I206" s="345" t="s">
        <v>1256</v>
      </c>
      <c r="J206" s="345"/>
      <c r="K206" s="346" t="s">
        <v>122</v>
      </c>
      <c r="L206" s="346" t="s">
        <v>608</v>
      </c>
      <c r="M206" s="346" t="s">
        <v>114</v>
      </c>
      <c r="N206" s="346"/>
      <c r="O206" s="346"/>
      <c r="P206" s="345" t="s">
        <v>1257</v>
      </c>
      <c r="Q206" s="345" t="s">
        <v>468</v>
      </c>
      <c r="R206" s="347" t="s">
        <v>120</v>
      </c>
      <c r="S206" s="345" t="s">
        <v>111</v>
      </c>
      <c r="T206" s="345" t="s">
        <v>469</v>
      </c>
      <c r="U206" s="345" t="s">
        <v>117</v>
      </c>
      <c r="V206" s="345" t="s">
        <v>895</v>
      </c>
      <c r="W206" s="347" t="s">
        <v>697</v>
      </c>
      <c r="X206" s="345" t="s">
        <v>833</v>
      </c>
      <c r="Y206" s="345" t="s">
        <v>472</v>
      </c>
      <c r="Z206" s="347" t="s">
        <v>701</v>
      </c>
      <c r="AA206" s="345" t="s">
        <v>814</v>
      </c>
      <c r="AB206" s="345" t="s">
        <v>482</v>
      </c>
      <c r="AC206" s="345" t="s">
        <v>119</v>
      </c>
      <c r="AD206" s="347" t="s">
        <v>697</v>
      </c>
      <c r="AE206" s="345" t="s">
        <v>472</v>
      </c>
      <c r="AF206" s="347" t="s">
        <v>701</v>
      </c>
      <c r="AG206" s="345" t="s">
        <v>111</v>
      </c>
      <c r="AH206" s="345"/>
      <c r="AI206" s="345" t="s">
        <v>111</v>
      </c>
      <c r="AJ206" s="345" t="s">
        <v>491</v>
      </c>
      <c r="AK206" s="347" t="s">
        <v>636</v>
      </c>
      <c r="AL206" s="345"/>
    </row>
    <row r="207" spans="1:38" ht="16.5" hidden="1" customHeight="1">
      <c r="A207" s="344" t="s">
        <v>463</v>
      </c>
      <c r="B207" s="345" t="s">
        <v>1258</v>
      </c>
      <c r="C207" s="345" t="s">
        <v>589</v>
      </c>
      <c r="D207" s="345" t="s">
        <v>110</v>
      </c>
      <c r="E207" s="345" t="s">
        <v>603</v>
      </c>
      <c r="F207" s="345" t="s">
        <v>940</v>
      </c>
      <c r="G207" s="345" t="s">
        <v>111</v>
      </c>
      <c r="H207" s="345" t="s">
        <v>111</v>
      </c>
      <c r="I207" s="345" t="s">
        <v>1259</v>
      </c>
      <c r="J207" s="345"/>
      <c r="K207" s="346" t="s">
        <v>122</v>
      </c>
      <c r="L207" s="346" t="s">
        <v>608</v>
      </c>
      <c r="M207" s="346" t="s">
        <v>114</v>
      </c>
      <c r="N207" s="346"/>
      <c r="O207" s="346"/>
      <c r="P207" s="345" t="s">
        <v>1260</v>
      </c>
      <c r="Q207" s="345" t="s">
        <v>468</v>
      </c>
      <c r="R207" s="347" t="s">
        <v>120</v>
      </c>
      <c r="S207" s="345" t="s">
        <v>111</v>
      </c>
      <c r="T207" s="345" t="s">
        <v>469</v>
      </c>
      <c r="U207" s="345" t="s">
        <v>117</v>
      </c>
      <c r="V207" s="345" t="s">
        <v>895</v>
      </c>
      <c r="W207" s="347" t="s">
        <v>697</v>
      </c>
      <c r="X207" s="345" t="s">
        <v>833</v>
      </c>
      <c r="Y207" s="345" t="s">
        <v>472</v>
      </c>
      <c r="Z207" s="347" t="s">
        <v>1160</v>
      </c>
      <c r="AA207" s="345" t="s">
        <v>895</v>
      </c>
      <c r="AB207" s="345" t="s">
        <v>885</v>
      </c>
      <c r="AC207" s="345"/>
      <c r="AD207" s="347" t="s">
        <v>1160</v>
      </c>
      <c r="AE207" s="345" t="s">
        <v>895</v>
      </c>
      <c r="AF207" s="347" t="s">
        <v>1160</v>
      </c>
      <c r="AG207" s="345" t="s">
        <v>111</v>
      </c>
      <c r="AH207" s="345"/>
      <c r="AI207" s="345" t="s">
        <v>111</v>
      </c>
      <c r="AJ207" s="345" t="s">
        <v>491</v>
      </c>
      <c r="AK207" s="347" t="s">
        <v>636</v>
      </c>
      <c r="AL207" s="345"/>
    </row>
    <row r="208" spans="1:38" ht="16.5" hidden="1" customHeight="1">
      <c r="A208" s="344" t="s">
        <v>463</v>
      </c>
      <c r="B208" s="345" t="s">
        <v>1261</v>
      </c>
      <c r="C208" s="345" t="s">
        <v>589</v>
      </c>
      <c r="D208" s="345" t="s">
        <v>110</v>
      </c>
      <c r="E208" s="345" t="s">
        <v>853</v>
      </c>
      <c r="F208" s="345" t="s">
        <v>940</v>
      </c>
      <c r="G208" s="345" t="s">
        <v>111</v>
      </c>
      <c r="H208" s="345" t="s">
        <v>111</v>
      </c>
      <c r="I208" s="345" t="s">
        <v>1262</v>
      </c>
      <c r="J208" s="345"/>
      <c r="K208" s="346" t="s">
        <v>112</v>
      </c>
      <c r="L208" s="346" t="s">
        <v>593</v>
      </c>
      <c r="M208" s="346" t="s">
        <v>114</v>
      </c>
      <c r="N208" s="346"/>
      <c r="O208" s="346"/>
      <c r="P208" s="345" t="s">
        <v>1263</v>
      </c>
      <c r="Q208" s="345" t="s">
        <v>468</v>
      </c>
      <c r="R208" s="347" t="s">
        <v>120</v>
      </c>
      <c r="S208" s="345" t="s">
        <v>111</v>
      </c>
      <c r="T208" s="345" t="s">
        <v>469</v>
      </c>
      <c r="U208" s="345" t="s">
        <v>117</v>
      </c>
      <c r="V208" s="345" t="s">
        <v>483</v>
      </c>
      <c r="W208" s="347" t="s">
        <v>697</v>
      </c>
      <c r="X208" s="345" t="s">
        <v>833</v>
      </c>
      <c r="Y208" s="345" t="s">
        <v>472</v>
      </c>
      <c r="Z208" s="347" t="s">
        <v>832</v>
      </c>
      <c r="AA208" s="345" t="s">
        <v>619</v>
      </c>
      <c r="AB208" s="345" t="s">
        <v>482</v>
      </c>
      <c r="AC208" s="345" t="s">
        <v>119</v>
      </c>
      <c r="AD208" s="347" t="s">
        <v>1160</v>
      </c>
      <c r="AE208" s="345" t="s">
        <v>483</v>
      </c>
      <c r="AF208" s="347" t="s">
        <v>832</v>
      </c>
      <c r="AG208" s="345" t="s">
        <v>111</v>
      </c>
      <c r="AH208" s="345"/>
      <c r="AI208" s="345" t="s">
        <v>111</v>
      </c>
      <c r="AJ208" s="345" t="s">
        <v>483</v>
      </c>
      <c r="AK208" s="347" t="s">
        <v>832</v>
      </c>
      <c r="AL208" s="345"/>
    </row>
    <row r="209" spans="1:38" ht="16.5" hidden="1" customHeight="1">
      <c r="A209" s="344" t="s">
        <v>463</v>
      </c>
      <c r="B209" s="345" t="s">
        <v>1264</v>
      </c>
      <c r="C209" s="345" t="s">
        <v>589</v>
      </c>
      <c r="D209" s="345" t="s">
        <v>110</v>
      </c>
      <c r="E209" s="345" t="s">
        <v>853</v>
      </c>
      <c r="F209" s="345" t="s">
        <v>940</v>
      </c>
      <c r="G209" s="345" t="s">
        <v>111</v>
      </c>
      <c r="H209" s="345" t="s">
        <v>111</v>
      </c>
      <c r="I209" s="345" t="s">
        <v>1265</v>
      </c>
      <c r="J209" s="345"/>
      <c r="K209" s="346" t="s">
        <v>122</v>
      </c>
      <c r="L209" s="346" t="s">
        <v>593</v>
      </c>
      <c r="M209" s="346" t="s">
        <v>114</v>
      </c>
      <c r="N209" s="346"/>
      <c r="O209" s="346"/>
      <c r="P209" s="345" t="s">
        <v>1266</v>
      </c>
      <c r="Q209" s="345" t="s">
        <v>468</v>
      </c>
      <c r="R209" s="347" t="s">
        <v>120</v>
      </c>
      <c r="S209" s="345" t="s">
        <v>111</v>
      </c>
      <c r="T209" s="345" t="s">
        <v>469</v>
      </c>
      <c r="U209" s="345" t="s">
        <v>117</v>
      </c>
      <c r="V209" s="345" t="s">
        <v>483</v>
      </c>
      <c r="W209" s="347" t="s">
        <v>701</v>
      </c>
      <c r="X209" s="345" t="s">
        <v>731</v>
      </c>
      <c r="Y209" s="345" t="s">
        <v>472</v>
      </c>
      <c r="Z209" s="347" t="s">
        <v>582</v>
      </c>
      <c r="AA209" s="345" t="s">
        <v>819</v>
      </c>
      <c r="AB209" s="345" t="s">
        <v>482</v>
      </c>
      <c r="AC209" s="345" t="s">
        <v>731</v>
      </c>
      <c r="AD209" s="347" t="s">
        <v>1044</v>
      </c>
      <c r="AE209" s="345" t="s">
        <v>123</v>
      </c>
      <c r="AF209" s="347" t="s">
        <v>582</v>
      </c>
      <c r="AG209" s="345" t="s">
        <v>111</v>
      </c>
      <c r="AH209" s="345"/>
      <c r="AI209" s="345" t="s">
        <v>111</v>
      </c>
      <c r="AJ209" s="345" t="s">
        <v>123</v>
      </c>
      <c r="AK209" s="347" t="s">
        <v>582</v>
      </c>
      <c r="AL209" s="345"/>
    </row>
    <row r="210" spans="1:38" ht="16.5" hidden="1" customHeight="1">
      <c r="A210" s="344" t="s">
        <v>463</v>
      </c>
      <c r="B210" s="345" t="s">
        <v>1267</v>
      </c>
      <c r="C210" s="345" t="s">
        <v>589</v>
      </c>
      <c r="D210" s="345" t="s">
        <v>110</v>
      </c>
      <c r="E210" s="345" t="s">
        <v>603</v>
      </c>
      <c r="F210" s="345" t="s">
        <v>940</v>
      </c>
      <c r="G210" s="345" t="s">
        <v>111</v>
      </c>
      <c r="H210" s="345" t="s">
        <v>111</v>
      </c>
      <c r="I210" s="345" t="s">
        <v>1268</v>
      </c>
      <c r="J210" s="345"/>
      <c r="K210" s="346" t="s">
        <v>122</v>
      </c>
      <c r="L210" s="346" t="s">
        <v>608</v>
      </c>
      <c r="M210" s="346" t="s">
        <v>114</v>
      </c>
      <c r="N210" s="346"/>
      <c r="O210" s="346"/>
      <c r="P210" s="345" t="s">
        <v>1269</v>
      </c>
      <c r="Q210" s="345" t="s">
        <v>468</v>
      </c>
      <c r="R210" s="347" t="s">
        <v>120</v>
      </c>
      <c r="S210" s="345" t="s">
        <v>111</v>
      </c>
      <c r="T210" s="345" t="s">
        <v>469</v>
      </c>
      <c r="U210" s="345" t="s">
        <v>117</v>
      </c>
      <c r="V210" s="345" t="s">
        <v>895</v>
      </c>
      <c r="W210" s="347" t="s">
        <v>701</v>
      </c>
      <c r="X210" s="345" t="s">
        <v>731</v>
      </c>
      <c r="Y210" s="345" t="s">
        <v>472</v>
      </c>
      <c r="Z210" s="347" t="s">
        <v>582</v>
      </c>
      <c r="AA210" s="345" t="s">
        <v>819</v>
      </c>
      <c r="AB210" s="345" t="s">
        <v>482</v>
      </c>
      <c r="AC210" s="345" t="s">
        <v>731</v>
      </c>
      <c r="AD210" s="347" t="s">
        <v>1270</v>
      </c>
      <c r="AE210" s="345" t="s">
        <v>123</v>
      </c>
      <c r="AF210" s="347" t="s">
        <v>582</v>
      </c>
      <c r="AG210" s="345" t="s">
        <v>111</v>
      </c>
      <c r="AH210" s="345"/>
      <c r="AI210" s="345" t="s">
        <v>111</v>
      </c>
      <c r="AJ210" s="345" t="s">
        <v>491</v>
      </c>
      <c r="AK210" s="347" t="s">
        <v>636</v>
      </c>
      <c r="AL210" s="345"/>
    </row>
    <row r="211" spans="1:38" ht="16.5" hidden="1" customHeight="1">
      <c r="A211" s="344" t="s">
        <v>463</v>
      </c>
      <c r="B211" s="345" t="s">
        <v>1271</v>
      </c>
      <c r="C211" s="345" t="s">
        <v>589</v>
      </c>
      <c r="D211" s="345" t="s">
        <v>110</v>
      </c>
      <c r="E211" s="345" t="s">
        <v>853</v>
      </c>
      <c r="F211" s="345" t="s">
        <v>940</v>
      </c>
      <c r="G211" s="345" t="s">
        <v>111</v>
      </c>
      <c r="H211" s="345" t="s">
        <v>111</v>
      </c>
      <c r="I211" s="345" t="s">
        <v>1272</v>
      </c>
      <c r="J211" s="345"/>
      <c r="K211" s="346" t="s">
        <v>122</v>
      </c>
      <c r="L211" s="346" t="s">
        <v>608</v>
      </c>
      <c r="M211" s="346" t="s">
        <v>114</v>
      </c>
      <c r="N211" s="346"/>
      <c r="O211" s="346"/>
      <c r="P211" s="345" t="s">
        <v>1273</v>
      </c>
      <c r="Q211" s="345" t="s">
        <v>468</v>
      </c>
      <c r="R211" s="347" t="s">
        <v>120</v>
      </c>
      <c r="S211" s="345" t="s">
        <v>111</v>
      </c>
      <c r="T211" s="345" t="s">
        <v>469</v>
      </c>
      <c r="U211" s="345" t="s">
        <v>117</v>
      </c>
      <c r="V211" s="345" t="s">
        <v>895</v>
      </c>
      <c r="W211" s="347" t="s">
        <v>701</v>
      </c>
      <c r="X211" s="345" t="s">
        <v>731</v>
      </c>
      <c r="Y211" s="345" t="s">
        <v>472</v>
      </c>
      <c r="Z211" s="347" t="s">
        <v>576</v>
      </c>
      <c r="AA211" s="345" t="s">
        <v>619</v>
      </c>
      <c r="AB211" s="345" t="s">
        <v>482</v>
      </c>
      <c r="AC211" s="345" t="s">
        <v>119</v>
      </c>
      <c r="AD211" s="347" t="s">
        <v>582</v>
      </c>
      <c r="AE211" s="345" t="s">
        <v>903</v>
      </c>
      <c r="AF211" s="347" t="s">
        <v>576</v>
      </c>
      <c r="AG211" s="345" t="s">
        <v>111</v>
      </c>
      <c r="AH211" s="345"/>
      <c r="AI211" s="345" t="s">
        <v>111</v>
      </c>
      <c r="AJ211" s="345" t="s">
        <v>491</v>
      </c>
      <c r="AK211" s="347" t="s">
        <v>636</v>
      </c>
      <c r="AL211" s="345"/>
    </row>
    <row r="212" spans="1:38" ht="16.5" hidden="1" customHeight="1">
      <c r="A212" s="344" t="s">
        <v>463</v>
      </c>
      <c r="B212" s="345" t="s">
        <v>1274</v>
      </c>
      <c r="C212" s="345" t="s">
        <v>589</v>
      </c>
      <c r="D212" s="345" t="s">
        <v>110</v>
      </c>
      <c r="E212" s="345" t="s">
        <v>853</v>
      </c>
      <c r="F212" s="345" t="s">
        <v>940</v>
      </c>
      <c r="G212" s="345" t="s">
        <v>111</v>
      </c>
      <c r="H212" s="345" t="s">
        <v>111</v>
      </c>
      <c r="I212" s="345" t="s">
        <v>1275</v>
      </c>
      <c r="J212" s="345"/>
      <c r="K212" s="346" t="s">
        <v>122</v>
      </c>
      <c r="L212" s="346" t="s">
        <v>608</v>
      </c>
      <c r="M212" s="346" t="s">
        <v>114</v>
      </c>
      <c r="N212" s="346"/>
      <c r="O212" s="346"/>
      <c r="P212" s="345" t="s">
        <v>1276</v>
      </c>
      <c r="Q212" s="345" t="s">
        <v>468</v>
      </c>
      <c r="R212" s="347" t="s">
        <v>120</v>
      </c>
      <c r="S212" s="345" t="s">
        <v>111</v>
      </c>
      <c r="T212" s="345" t="s">
        <v>469</v>
      </c>
      <c r="U212" s="345" t="s">
        <v>117</v>
      </c>
      <c r="V212" s="345" t="s">
        <v>895</v>
      </c>
      <c r="W212" s="347" t="s">
        <v>701</v>
      </c>
      <c r="X212" s="345" t="s">
        <v>731</v>
      </c>
      <c r="Y212" s="345" t="s">
        <v>472</v>
      </c>
      <c r="Z212" s="347" t="s">
        <v>582</v>
      </c>
      <c r="AA212" s="345" t="s">
        <v>619</v>
      </c>
      <c r="AB212" s="345" t="s">
        <v>482</v>
      </c>
      <c r="AC212" s="345" t="s">
        <v>119</v>
      </c>
      <c r="AD212" s="347" t="s">
        <v>832</v>
      </c>
      <c r="AE212" s="345" t="s">
        <v>123</v>
      </c>
      <c r="AF212" s="347" t="s">
        <v>582</v>
      </c>
      <c r="AG212" s="345" t="s">
        <v>111</v>
      </c>
      <c r="AH212" s="345"/>
      <c r="AI212" s="345" t="s">
        <v>111</v>
      </c>
      <c r="AJ212" s="345" t="s">
        <v>491</v>
      </c>
      <c r="AK212" s="347" t="s">
        <v>636</v>
      </c>
      <c r="AL212" s="345"/>
    </row>
    <row r="213" spans="1:38" ht="16.5" hidden="1" customHeight="1">
      <c r="A213" s="344" t="s">
        <v>463</v>
      </c>
      <c r="B213" s="345" t="s">
        <v>1277</v>
      </c>
      <c r="C213" s="345" t="s">
        <v>589</v>
      </c>
      <c r="D213" s="345" t="s">
        <v>110</v>
      </c>
      <c r="E213" s="345" t="s">
        <v>603</v>
      </c>
      <c r="F213" s="345" t="s">
        <v>940</v>
      </c>
      <c r="G213" s="345" t="s">
        <v>111</v>
      </c>
      <c r="H213" s="345" t="s">
        <v>111</v>
      </c>
      <c r="I213" s="345" t="s">
        <v>1278</v>
      </c>
      <c r="J213" s="345"/>
      <c r="K213" s="346" t="s">
        <v>122</v>
      </c>
      <c r="L213" s="346" t="s">
        <v>608</v>
      </c>
      <c r="M213" s="346" t="s">
        <v>114</v>
      </c>
      <c r="N213" s="346"/>
      <c r="O213" s="346"/>
      <c r="P213" s="345" t="s">
        <v>1279</v>
      </c>
      <c r="Q213" s="345" t="s">
        <v>468</v>
      </c>
      <c r="R213" s="347" t="s">
        <v>120</v>
      </c>
      <c r="S213" s="345" t="s">
        <v>111</v>
      </c>
      <c r="T213" s="345" t="s">
        <v>469</v>
      </c>
      <c r="U213" s="345" t="s">
        <v>117</v>
      </c>
      <c r="V213" s="345" t="s">
        <v>895</v>
      </c>
      <c r="W213" s="347" t="s">
        <v>701</v>
      </c>
      <c r="X213" s="345" t="s">
        <v>731</v>
      </c>
      <c r="Y213" s="345" t="s">
        <v>472</v>
      </c>
      <c r="Z213" s="347" t="s">
        <v>582</v>
      </c>
      <c r="AA213" s="345" t="s">
        <v>819</v>
      </c>
      <c r="AB213" s="345" t="s">
        <v>482</v>
      </c>
      <c r="AC213" s="345" t="s">
        <v>731</v>
      </c>
      <c r="AD213" s="347" t="s">
        <v>1270</v>
      </c>
      <c r="AE213" s="345" t="s">
        <v>123</v>
      </c>
      <c r="AF213" s="347" t="s">
        <v>582</v>
      </c>
      <c r="AG213" s="345" t="s">
        <v>111</v>
      </c>
      <c r="AH213" s="345"/>
      <c r="AI213" s="345" t="s">
        <v>111</v>
      </c>
      <c r="AJ213" s="345" t="s">
        <v>491</v>
      </c>
      <c r="AK213" s="347" t="s">
        <v>636</v>
      </c>
      <c r="AL213" s="345"/>
    </row>
    <row r="214" spans="1:38" ht="16.5" hidden="1" customHeight="1">
      <c r="A214" s="344" t="s">
        <v>463</v>
      </c>
      <c r="B214" s="345" t="s">
        <v>1280</v>
      </c>
      <c r="C214" s="345" t="s">
        <v>589</v>
      </c>
      <c r="D214" s="345" t="s">
        <v>110</v>
      </c>
      <c r="E214" s="345" t="s">
        <v>603</v>
      </c>
      <c r="F214" s="345" t="s">
        <v>940</v>
      </c>
      <c r="G214" s="345" t="s">
        <v>111</v>
      </c>
      <c r="H214" s="345" t="s">
        <v>111</v>
      </c>
      <c r="I214" s="345" t="s">
        <v>1281</v>
      </c>
      <c r="J214" s="345"/>
      <c r="K214" s="346" t="s">
        <v>122</v>
      </c>
      <c r="L214" s="346" t="s">
        <v>608</v>
      </c>
      <c r="M214" s="346" t="s">
        <v>114</v>
      </c>
      <c r="N214" s="346"/>
      <c r="O214" s="346"/>
      <c r="P214" s="345" t="s">
        <v>1282</v>
      </c>
      <c r="Q214" s="345" t="s">
        <v>468</v>
      </c>
      <c r="R214" s="347" t="s">
        <v>120</v>
      </c>
      <c r="S214" s="345" t="s">
        <v>111</v>
      </c>
      <c r="T214" s="345" t="s">
        <v>469</v>
      </c>
      <c r="U214" s="345" t="s">
        <v>117</v>
      </c>
      <c r="V214" s="345" t="s">
        <v>895</v>
      </c>
      <c r="W214" s="347" t="s">
        <v>701</v>
      </c>
      <c r="X214" s="345" t="s">
        <v>731</v>
      </c>
      <c r="Y214" s="345" t="s">
        <v>472</v>
      </c>
      <c r="Z214" s="347" t="s">
        <v>582</v>
      </c>
      <c r="AA214" s="345" t="s">
        <v>123</v>
      </c>
      <c r="AB214" s="345" t="s">
        <v>482</v>
      </c>
      <c r="AC214" s="345" t="s">
        <v>119</v>
      </c>
      <c r="AD214" s="347" t="s">
        <v>582</v>
      </c>
      <c r="AE214" s="345" t="s">
        <v>123</v>
      </c>
      <c r="AF214" s="347" t="s">
        <v>582</v>
      </c>
      <c r="AG214" s="345" t="s">
        <v>111</v>
      </c>
      <c r="AH214" s="345"/>
      <c r="AI214" s="345" t="s">
        <v>111</v>
      </c>
      <c r="AJ214" s="345" t="s">
        <v>491</v>
      </c>
      <c r="AK214" s="347" t="s">
        <v>636</v>
      </c>
      <c r="AL214" s="345"/>
    </row>
    <row r="215" spans="1:38" ht="16.5" hidden="1" customHeight="1">
      <c r="A215" s="344" t="s">
        <v>463</v>
      </c>
      <c r="B215" s="345" t="s">
        <v>1283</v>
      </c>
      <c r="C215" s="345" t="s">
        <v>589</v>
      </c>
      <c r="D215" s="345" t="s">
        <v>110</v>
      </c>
      <c r="E215" s="345" t="s">
        <v>853</v>
      </c>
      <c r="F215" s="345" t="s">
        <v>940</v>
      </c>
      <c r="G215" s="345" t="s">
        <v>111</v>
      </c>
      <c r="H215" s="345" t="s">
        <v>111</v>
      </c>
      <c r="I215" s="345" t="s">
        <v>1284</v>
      </c>
      <c r="J215" s="345"/>
      <c r="K215" s="346" t="s">
        <v>122</v>
      </c>
      <c r="L215" s="346" t="s">
        <v>608</v>
      </c>
      <c r="M215" s="346" t="s">
        <v>114</v>
      </c>
      <c r="N215" s="346"/>
      <c r="O215" s="346"/>
      <c r="P215" s="345" t="s">
        <v>1285</v>
      </c>
      <c r="Q215" s="345" t="s">
        <v>468</v>
      </c>
      <c r="R215" s="347" t="s">
        <v>120</v>
      </c>
      <c r="S215" s="345" t="s">
        <v>111</v>
      </c>
      <c r="T215" s="345" t="s">
        <v>469</v>
      </c>
      <c r="U215" s="345" t="s">
        <v>117</v>
      </c>
      <c r="V215" s="345" t="s">
        <v>895</v>
      </c>
      <c r="W215" s="347" t="s">
        <v>701</v>
      </c>
      <c r="X215" s="345" t="s">
        <v>731</v>
      </c>
      <c r="Y215" s="345" t="s">
        <v>472</v>
      </c>
      <c r="Z215" s="347" t="s">
        <v>582</v>
      </c>
      <c r="AA215" s="345" t="s">
        <v>619</v>
      </c>
      <c r="AB215" s="345" t="s">
        <v>482</v>
      </c>
      <c r="AC215" s="345" t="s">
        <v>119</v>
      </c>
      <c r="AD215" s="347" t="s">
        <v>570</v>
      </c>
      <c r="AE215" s="345" t="s">
        <v>472</v>
      </c>
      <c r="AF215" s="347" t="s">
        <v>582</v>
      </c>
      <c r="AG215" s="345" t="s">
        <v>111</v>
      </c>
      <c r="AH215" s="345"/>
      <c r="AI215" s="345" t="s">
        <v>111</v>
      </c>
      <c r="AJ215" s="345" t="s">
        <v>491</v>
      </c>
      <c r="AK215" s="347" t="s">
        <v>636</v>
      </c>
      <c r="AL215" s="345"/>
    </row>
    <row r="216" spans="1:38" ht="16.5" hidden="1" customHeight="1">
      <c r="A216" s="344" t="s">
        <v>463</v>
      </c>
      <c r="B216" s="345" t="s">
        <v>1286</v>
      </c>
      <c r="C216" s="345" t="s">
        <v>589</v>
      </c>
      <c r="D216" s="345" t="s">
        <v>110</v>
      </c>
      <c r="E216" s="345" t="s">
        <v>708</v>
      </c>
      <c r="F216" s="345" t="s">
        <v>940</v>
      </c>
      <c r="G216" s="345" t="s">
        <v>111</v>
      </c>
      <c r="H216" s="345" t="s">
        <v>111</v>
      </c>
      <c r="I216" s="345" t="s">
        <v>1287</v>
      </c>
      <c r="J216" s="345"/>
      <c r="K216" s="346" t="s">
        <v>122</v>
      </c>
      <c r="L216" s="346" t="s">
        <v>608</v>
      </c>
      <c r="M216" s="346" t="s">
        <v>114</v>
      </c>
      <c r="N216" s="346"/>
      <c r="O216" s="346"/>
      <c r="P216" s="345" t="s">
        <v>1288</v>
      </c>
      <c r="Q216" s="345" t="s">
        <v>468</v>
      </c>
      <c r="R216" s="347" t="s">
        <v>120</v>
      </c>
      <c r="S216" s="345" t="s">
        <v>111</v>
      </c>
      <c r="T216" s="345" t="s">
        <v>469</v>
      </c>
      <c r="U216" s="345" t="s">
        <v>696</v>
      </c>
      <c r="V216" s="345" t="s">
        <v>491</v>
      </c>
      <c r="W216" s="347" t="s">
        <v>701</v>
      </c>
      <c r="X216" s="345" t="s">
        <v>731</v>
      </c>
      <c r="Y216" s="345" t="s">
        <v>472</v>
      </c>
      <c r="Z216" s="347" t="s">
        <v>582</v>
      </c>
      <c r="AA216" s="345" t="s">
        <v>819</v>
      </c>
      <c r="AB216" s="345" t="s">
        <v>482</v>
      </c>
      <c r="AC216" s="345" t="s">
        <v>731</v>
      </c>
      <c r="AD216" s="347" t="s">
        <v>570</v>
      </c>
      <c r="AE216" s="345" t="s">
        <v>491</v>
      </c>
      <c r="AF216" s="347" t="s">
        <v>582</v>
      </c>
      <c r="AG216" s="345" t="s">
        <v>111</v>
      </c>
      <c r="AH216" s="345"/>
      <c r="AI216" s="345" t="s">
        <v>111</v>
      </c>
      <c r="AJ216" s="345" t="s">
        <v>491</v>
      </c>
      <c r="AK216" s="347" t="s">
        <v>582</v>
      </c>
      <c r="AL216" s="345"/>
    </row>
    <row r="217" spans="1:38" ht="16.5" hidden="1" customHeight="1">
      <c r="A217" s="344" t="s">
        <v>463</v>
      </c>
      <c r="B217" s="345" t="s">
        <v>1289</v>
      </c>
      <c r="C217" s="345" t="s">
        <v>589</v>
      </c>
      <c r="D217" s="345" t="s">
        <v>110</v>
      </c>
      <c r="E217" s="345" t="s">
        <v>853</v>
      </c>
      <c r="F217" s="345" t="s">
        <v>940</v>
      </c>
      <c r="G217" s="345" t="s">
        <v>111</v>
      </c>
      <c r="H217" s="345" t="s">
        <v>111</v>
      </c>
      <c r="I217" s="345" t="s">
        <v>1290</v>
      </c>
      <c r="J217" s="345"/>
      <c r="K217" s="346" t="s">
        <v>112</v>
      </c>
      <c r="L217" s="346" t="s">
        <v>593</v>
      </c>
      <c r="M217" s="346" t="s">
        <v>114</v>
      </c>
      <c r="N217" s="346"/>
      <c r="O217" s="346"/>
      <c r="P217" s="345" t="s">
        <v>1291</v>
      </c>
      <c r="Q217" s="345" t="s">
        <v>468</v>
      </c>
      <c r="R217" s="347" t="s">
        <v>120</v>
      </c>
      <c r="S217" s="345" t="s">
        <v>111</v>
      </c>
      <c r="T217" s="345" t="s">
        <v>469</v>
      </c>
      <c r="U217" s="345" t="s">
        <v>117</v>
      </c>
      <c r="V217" s="345" t="s">
        <v>483</v>
      </c>
      <c r="W217" s="347" t="s">
        <v>701</v>
      </c>
      <c r="X217" s="345" t="s">
        <v>731</v>
      </c>
      <c r="Y217" s="345" t="s">
        <v>472</v>
      </c>
      <c r="Z217" s="347" t="s">
        <v>582</v>
      </c>
      <c r="AA217" s="345" t="s">
        <v>619</v>
      </c>
      <c r="AB217" s="345" t="s">
        <v>482</v>
      </c>
      <c r="AC217" s="345" t="s">
        <v>119</v>
      </c>
      <c r="AD217" s="347" t="s">
        <v>570</v>
      </c>
      <c r="AE217" s="345" t="s">
        <v>472</v>
      </c>
      <c r="AF217" s="347" t="s">
        <v>582</v>
      </c>
      <c r="AG217" s="345" t="s">
        <v>111</v>
      </c>
      <c r="AH217" s="345"/>
      <c r="AI217" s="345" t="s">
        <v>111</v>
      </c>
      <c r="AJ217" s="345" t="s">
        <v>895</v>
      </c>
      <c r="AK217" s="347" t="s">
        <v>582</v>
      </c>
      <c r="AL217" s="345"/>
    </row>
    <row r="218" spans="1:38" ht="16.5" hidden="1" customHeight="1">
      <c r="A218" s="344" t="s">
        <v>463</v>
      </c>
      <c r="B218" s="345" t="s">
        <v>1292</v>
      </c>
      <c r="C218" s="345" t="s">
        <v>589</v>
      </c>
      <c r="D218" s="345" t="s">
        <v>110</v>
      </c>
      <c r="E218" s="345" t="s">
        <v>847</v>
      </c>
      <c r="F218" s="345" t="s">
        <v>940</v>
      </c>
      <c r="G218" s="345" t="s">
        <v>111</v>
      </c>
      <c r="H218" s="345" t="s">
        <v>111</v>
      </c>
      <c r="I218" s="345" t="s">
        <v>1293</v>
      </c>
      <c r="J218" s="345"/>
      <c r="K218" s="346" t="s">
        <v>122</v>
      </c>
      <c r="L218" s="346" t="s">
        <v>608</v>
      </c>
      <c r="M218" s="346" t="s">
        <v>114</v>
      </c>
      <c r="N218" s="346"/>
      <c r="O218" s="346"/>
      <c r="P218" s="345" t="s">
        <v>1294</v>
      </c>
      <c r="Q218" s="345" t="s">
        <v>468</v>
      </c>
      <c r="R218" s="347" t="s">
        <v>120</v>
      </c>
      <c r="S218" s="345" t="s">
        <v>111</v>
      </c>
      <c r="T218" s="345" t="s">
        <v>469</v>
      </c>
      <c r="U218" s="345" t="s">
        <v>117</v>
      </c>
      <c r="V218" s="345" t="s">
        <v>483</v>
      </c>
      <c r="W218" s="347" t="s">
        <v>701</v>
      </c>
      <c r="X218" s="345" t="s">
        <v>731</v>
      </c>
      <c r="Y218" s="345" t="s">
        <v>472</v>
      </c>
      <c r="Z218" s="347" t="s">
        <v>582</v>
      </c>
      <c r="AA218" s="345" t="s">
        <v>474</v>
      </c>
      <c r="AB218" s="345" t="s">
        <v>482</v>
      </c>
      <c r="AC218" s="345" t="s">
        <v>119</v>
      </c>
      <c r="AD218" s="347" t="s">
        <v>732</v>
      </c>
      <c r="AE218" s="345" t="s">
        <v>123</v>
      </c>
      <c r="AF218" s="347" t="s">
        <v>582</v>
      </c>
      <c r="AG218" s="345" t="s">
        <v>111</v>
      </c>
      <c r="AH218" s="345"/>
      <c r="AI218" s="345" t="s">
        <v>111</v>
      </c>
      <c r="AJ218" s="345" t="s">
        <v>123</v>
      </c>
      <c r="AK218" s="347" t="s">
        <v>582</v>
      </c>
      <c r="AL218" s="345"/>
    </row>
    <row r="219" spans="1:38" ht="16.5" hidden="1" customHeight="1">
      <c r="A219" s="344" t="s">
        <v>463</v>
      </c>
      <c r="B219" s="345" t="s">
        <v>1295</v>
      </c>
      <c r="C219" s="345" t="s">
        <v>589</v>
      </c>
      <c r="D219" s="345" t="s">
        <v>110</v>
      </c>
      <c r="E219" s="345" t="s">
        <v>847</v>
      </c>
      <c r="F219" s="345" t="s">
        <v>940</v>
      </c>
      <c r="G219" s="345" t="s">
        <v>111</v>
      </c>
      <c r="H219" s="345" t="s">
        <v>111</v>
      </c>
      <c r="I219" s="345" t="s">
        <v>1296</v>
      </c>
      <c r="J219" s="345"/>
      <c r="K219" s="346" t="s">
        <v>122</v>
      </c>
      <c r="L219" s="346" t="s">
        <v>608</v>
      </c>
      <c r="M219" s="346" t="s">
        <v>114</v>
      </c>
      <c r="N219" s="346"/>
      <c r="O219" s="346"/>
      <c r="P219" s="345" t="s">
        <v>1297</v>
      </c>
      <c r="Q219" s="345" t="s">
        <v>468</v>
      </c>
      <c r="R219" s="347" t="s">
        <v>120</v>
      </c>
      <c r="S219" s="345" t="s">
        <v>568</v>
      </c>
      <c r="T219" s="345" t="s">
        <v>469</v>
      </c>
      <c r="U219" s="345" t="s">
        <v>117</v>
      </c>
      <c r="V219" s="345" t="s">
        <v>483</v>
      </c>
      <c r="W219" s="347" t="s">
        <v>701</v>
      </c>
      <c r="X219" s="345" t="s">
        <v>1298</v>
      </c>
      <c r="Y219" s="345" t="s">
        <v>472</v>
      </c>
      <c r="Z219" s="347" t="s">
        <v>902</v>
      </c>
      <c r="AA219" s="345" t="s">
        <v>619</v>
      </c>
      <c r="AB219" s="345" t="s">
        <v>482</v>
      </c>
      <c r="AC219" s="345" t="s">
        <v>119</v>
      </c>
      <c r="AD219" s="347" t="s">
        <v>1206</v>
      </c>
      <c r="AE219" s="345" t="s">
        <v>903</v>
      </c>
      <c r="AF219" s="347" t="s">
        <v>902</v>
      </c>
      <c r="AG219" s="345" t="s">
        <v>111</v>
      </c>
      <c r="AH219" s="345"/>
      <c r="AI219" s="345" t="s">
        <v>111</v>
      </c>
      <c r="AJ219" s="345" t="s">
        <v>903</v>
      </c>
      <c r="AK219" s="347" t="s">
        <v>902</v>
      </c>
      <c r="AL219" s="345"/>
    </row>
    <row r="220" spans="1:38" ht="16.5" hidden="1" customHeight="1">
      <c r="A220" s="344" t="s">
        <v>463</v>
      </c>
      <c r="B220" s="345" t="s">
        <v>1299</v>
      </c>
      <c r="C220" s="345" t="s">
        <v>589</v>
      </c>
      <c r="D220" s="345" t="s">
        <v>110</v>
      </c>
      <c r="E220" s="345" t="s">
        <v>603</v>
      </c>
      <c r="F220" s="345" t="s">
        <v>940</v>
      </c>
      <c r="G220" s="345" t="s">
        <v>111</v>
      </c>
      <c r="H220" s="345" t="s">
        <v>111</v>
      </c>
      <c r="I220" s="345" t="s">
        <v>1300</v>
      </c>
      <c r="J220" s="345"/>
      <c r="K220" s="346" t="s">
        <v>122</v>
      </c>
      <c r="L220" s="346" t="s">
        <v>608</v>
      </c>
      <c r="M220" s="346" t="s">
        <v>114</v>
      </c>
      <c r="N220" s="346"/>
      <c r="O220" s="346"/>
      <c r="P220" s="345" t="s">
        <v>1301</v>
      </c>
      <c r="Q220" s="345" t="s">
        <v>468</v>
      </c>
      <c r="R220" s="347" t="s">
        <v>120</v>
      </c>
      <c r="S220" s="345" t="s">
        <v>111</v>
      </c>
      <c r="T220" s="345" t="s">
        <v>469</v>
      </c>
      <c r="U220" s="345" t="s">
        <v>117</v>
      </c>
      <c r="V220" s="345" t="s">
        <v>895</v>
      </c>
      <c r="W220" s="347" t="s">
        <v>832</v>
      </c>
      <c r="X220" s="345" t="s">
        <v>731</v>
      </c>
      <c r="Y220" s="345" t="s">
        <v>472</v>
      </c>
      <c r="Z220" s="347" t="s">
        <v>582</v>
      </c>
      <c r="AA220" s="345" t="s">
        <v>619</v>
      </c>
      <c r="AB220" s="345" t="s">
        <v>482</v>
      </c>
      <c r="AC220" s="345" t="s">
        <v>119</v>
      </c>
      <c r="AD220" s="347" t="s">
        <v>732</v>
      </c>
      <c r="AE220" s="345" t="s">
        <v>123</v>
      </c>
      <c r="AF220" s="347" t="s">
        <v>582</v>
      </c>
      <c r="AG220" s="345" t="s">
        <v>111</v>
      </c>
      <c r="AH220" s="345"/>
      <c r="AI220" s="345" t="s">
        <v>111</v>
      </c>
      <c r="AJ220" s="345" t="s">
        <v>491</v>
      </c>
      <c r="AK220" s="347" t="s">
        <v>636</v>
      </c>
      <c r="AL220" s="345"/>
    </row>
    <row r="221" spans="1:38" ht="16.5" hidden="1" customHeight="1">
      <c r="A221" s="344" t="s">
        <v>463</v>
      </c>
      <c r="B221" s="345" t="s">
        <v>1302</v>
      </c>
      <c r="C221" s="345" t="s">
        <v>589</v>
      </c>
      <c r="D221" s="345" t="s">
        <v>110</v>
      </c>
      <c r="E221" s="345" t="s">
        <v>860</v>
      </c>
      <c r="F221" s="345" t="s">
        <v>940</v>
      </c>
      <c r="G221" s="345" t="s">
        <v>111</v>
      </c>
      <c r="H221" s="345" t="s">
        <v>111</v>
      </c>
      <c r="I221" s="345" t="s">
        <v>1303</v>
      </c>
      <c r="J221" s="345"/>
      <c r="K221" s="346" t="s">
        <v>122</v>
      </c>
      <c r="L221" s="346" t="s">
        <v>608</v>
      </c>
      <c r="M221" s="346" t="s">
        <v>114</v>
      </c>
      <c r="N221" s="346"/>
      <c r="O221" s="346"/>
      <c r="P221" s="345" t="s">
        <v>1304</v>
      </c>
      <c r="Q221" s="345" t="s">
        <v>482</v>
      </c>
      <c r="R221" s="347" t="s">
        <v>120</v>
      </c>
      <c r="S221" s="345" t="s">
        <v>111</v>
      </c>
      <c r="T221" s="345" t="s">
        <v>469</v>
      </c>
      <c r="U221" s="345" t="s">
        <v>117</v>
      </c>
      <c r="V221" s="345" t="s">
        <v>895</v>
      </c>
      <c r="W221" s="347" t="s">
        <v>832</v>
      </c>
      <c r="X221" s="345" t="s">
        <v>731</v>
      </c>
      <c r="Y221" s="345" t="s">
        <v>895</v>
      </c>
      <c r="Z221" s="347" t="s">
        <v>636</v>
      </c>
      <c r="AA221" s="345" t="s">
        <v>689</v>
      </c>
      <c r="AB221" s="345" t="s">
        <v>629</v>
      </c>
      <c r="AC221" s="345" t="s">
        <v>119</v>
      </c>
      <c r="AD221" s="347" t="s">
        <v>636</v>
      </c>
      <c r="AE221" s="345"/>
      <c r="AF221" s="347" t="s">
        <v>120</v>
      </c>
      <c r="AG221" s="345" t="s">
        <v>111</v>
      </c>
      <c r="AH221" s="345"/>
      <c r="AI221" s="345" t="s">
        <v>111</v>
      </c>
      <c r="AJ221" s="345" t="s">
        <v>491</v>
      </c>
      <c r="AK221" s="347" t="s">
        <v>636</v>
      </c>
      <c r="AL221" s="345"/>
    </row>
    <row r="222" spans="1:38" ht="16.5" hidden="1" customHeight="1">
      <c r="A222" s="344" t="s">
        <v>463</v>
      </c>
      <c r="B222" s="345" t="s">
        <v>1305</v>
      </c>
      <c r="C222" s="345" t="s">
        <v>589</v>
      </c>
      <c r="D222" s="345" t="s">
        <v>110</v>
      </c>
      <c r="E222" s="345" t="s">
        <v>847</v>
      </c>
      <c r="F222" s="345" t="s">
        <v>940</v>
      </c>
      <c r="G222" s="345" t="s">
        <v>111</v>
      </c>
      <c r="H222" s="345" t="s">
        <v>111</v>
      </c>
      <c r="I222" s="345" t="s">
        <v>1306</v>
      </c>
      <c r="J222" s="345"/>
      <c r="K222" s="346" t="s">
        <v>112</v>
      </c>
      <c r="L222" s="346" t="s">
        <v>593</v>
      </c>
      <c r="M222" s="346" t="s">
        <v>114</v>
      </c>
      <c r="N222" s="346"/>
      <c r="O222" s="346"/>
      <c r="P222" s="345" t="s">
        <v>1307</v>
      </c>
      <c r="Q222" s="345" t="s">
        <v>468</v>
      </c>
      <c r="R222" s="347" t="s">
        <v>120</v>
      </c>
      <c r="S222" s="345" t="s">
        <v>111</v>
      </c>
      <c r="T222" s="345" t="s">
        <v>469</v>
      </c>
      <c r="U222" s="345" t="s">
        <v>117</v>
      </c>
      <c r="V222" s="345" t="s">
        <v>483</v>
      </c>
      <c r="W222" s="347" t="s">
        <v>832</v>
      </c>
      <c r="X222" s="345" t="s">
        <v>731</v>
      </c>
      <c r="Y222" s="345" t="s">
        <v>472</v>
      </c>
      <c r="Z222" s="347" t="s">
        <v>582</v>
      </c>
      <c r="AA222" s="345" t="s">
        <v>619</v>
      </c>
      <c r="AB222" s="345" t="s">
        <v>482</v>
      </c>
      <c r="AC222" s="345" t="s">
        <v>119</v>
      </c>
      <c r="AD222" s="347" t="s">
        <v>570</v>
      </c>
      <c r="AE222" s="345" t="s">
        <v>123</v>
      </c>
      <c r="AF222" s="347" t="s">
        <v>582</v>
      </c>
      <c r="AG222" s="345" t="s">
        <v>111</v>
      </c>
      <c r="AH222" s="345"/>
      <c r="AI222" s="345" t="s">
        <v>111</v>
      </c>
      <c r="AJ222" s="345" t="s">
        <v>123</v>
      </c>
      <c r="AK222" s="347" t="s">
        <v>582</v>
      </c>
      <c r="AL222" s="345"/>
    </row>
    <row r="223" spans="1:38" ht="16.5" hidden="1" customHeight="1">
      <c r="A223" s="344" t="s">
        <v>463</v>
      </c>
      <c r="B223" s="345" t="s">
        <v>1308</v>
      </c>
      <c r="C223" s="345" t="s">
        <v>589</v>
      </c>
      <c r="D223" s="345" t="s">
        <v>110</v>
      </c>
      <c r="E223" s="345" t="s">
        <v>708</v>
      </c>
      <c r="F223" s="345" t="s">
        <v>940</v>
      </c>
      <c r="G223" s="345" t="s">
        <v>111</v>
      </c>
      <c r="H223" s="345" t="s">
        <v>111</v>
      </c>
      <c r="I223" s="345" t="s">
        <v>1309</v>
      </c>
      <c r="J223" s="345"/>
      <c r="K223" s="346" t="s">
        <v>122</v>
      </c>
      <c r="L223" s="346" t="s">
        <v>608</v>
      </c>
      <c r="M223" s="346" t="s">
        <v>114</v>
      </c>
      <c r="N223" s="346"/>
      <c r="O223" s="346"/>
      <c r="P223" s="345" t="s">
        <v>1310</v>
      </c>
      <c r="Q223" s="345" t="s">
        <v>468</v>
      </c>
      <c r="R223" s="347" t="s">
        <v>120</v>
      </c>
      <c r="S223" s="345" t="s">
        <v>111</v>
      </c>
      <c r="T223" s="345" t="s">
        <v>469</v>
      </c>
      <c r="U223" s="345" t="s">
        <v>117</v>
      </c>
      <c r="V223" s="345" t="s">
        <v>895</v>
      </c>
      <c r="W223" s="347" t="s">
        <v>832</v>
      </c>
      <c r="X223" s="345" t="s">
        <v>731</v>
      </c>
      <c r="Y223" s="345" t="s">
        <v>472</v>
      </c>
      <c r="Z223" s="347" t="s">
        <v>1206</v>
      </c>
      <c r="AA223" s="345" t="s">
        <v>537</v>
      </c>
      <c r="AB223" s="345" t="s">
        <v>620</v>
      </c>
      <c r="AC223" s="345"/>
      <c r="AD223" s="347" t="s">
        <v>732</v>
      </c>
      <c r="AE223" s="345" t="s">
        <v>472</v>
      </c>
      <c r="AF223" s="347" t="s">
        <v>1206</v>
      </c>
      <c r="AG223" s="345" t="s">
        <v>111</v>
      </c>
      <c r="AH223" s="345"/>
      <c r="AI223" s="345" t="s">
        <v>111</v>
      </c>
      <c r="AJ223" s="345" t="s">
        <v>491</v>
      </c>
      <c r="AK223" s="347" t="s">
        <v>636</v>
      </c>
      <c r="AL223" s="345"/>
    </row>
    <row r="224" spans="1:38" ht="16.5" hidden="1" customHeight="1">
      <c r="A224" s="344" t="s">
        <v>463</v>
      </c>
      <c r="B224" s="345" t="s">
        <v>1311</v>
      </c>
      <c r="C224" s="345" t="s">
        <v>589</v>
      </c>
      <c r="D224" s="345" t="s">
        <v>110</v>
      </c>
      <c r="E224" s="345" t="s">
        <v>847</v>
      </c>
      <c r="F224" s="345" t="s">
        <v>940</v>
      </c>
      <c r="G224" s="345" t="s">
        <v>111</v>
      </c>
      <c r="H224" s="345" t="s">
        <v>111</v>
      </c>
      <c r="I224" s="345" t="s">
        <v>1312</v>
      </c>
      <c r="J224" s="345"/>
      <c r="K224" s="346" t="s">
        <v>479</v>
      </c>
      <c r="L224" s="346" t="s">
        <v>113</v>
      </c>
      <c r="M224" s="346" t="s">
        <v>114</v>
      </c>
      <c r="N224" s="346"/>
      <c r="O224" s="346"/>
      <c r="P224" s="345" t="s">
        <v>1313</v>
      </c>
      <c r="Q224" s="345" t="s">
        <v>468</v>
      </c>
      <c r="R224" s="347" t="s">
        <v>120</v>
      </c>
      <c r="S224" s="345" t="s">
        <v>111</v>
      </c>
      <c r="T224" s="345" t="s">
        <v>469</v>
      </c>
      <c r="U224" s="345" t="s">
        <v>117</v>
      </c>
      <c r="V224" s="345" t="s">
        <v>483</v>
      </c>
      <c r="W224" s="347" t="s">
        <v>832</v>
      </c>
      <c r="X224" s="345" t="s">
        <v>731</v>
      </c>
      <c r="Y224" s="345" t="s">
        <v>472</v>
      </c>
      <c r="Z224" s="347" t="s">
        <v>902</v>
      </c>
      <c r="AA224" s="345" t="s">
        <v>537</v>
      </c>
      <c r="AB224" s="345" t="s">
        <v>482</v>
      </c>
      <c r="AC224" s="345" t="s">
        <v>119</v>
      </c>
      <c r="AD224" s="347" t="s">
        <v>1044</v>
      </c>
      <c r="AE224" s="345" t="s">
        <v>895</v>
      </c>
      <c r="AF224" s="347" t="s">
        <v>902</v>
      </c>
      <c r="AG224" s="345" t="s">
        <v>111</v>
      </c>
      <c r="AH224" s="345"/>
      <c r="AI224" s="345" t="s">
        <v>111</v>
      </c>
      <c r="AJ224" s="345" t="s">
        <v>895</v>
      </c>
      <c r="AK224" s="347" t="s">
        <v>902</v>
      </c>
      <c r="AL224" s="345"/>
    </row>
    <row r="225" spans="1:38" ht="16.5" hidden="1" customHeight="1">
      <c r="A225" s="344" t="s">
        <v>463</v>
      </c>
      <c r="B225" s="345" t="s">
        <v>1314</v>
      </c>
      <c r="C225" s="345" t="s">
        <v>589</v>
      </c>
      <c r="D225" s="345" t="s">
        <v>110</v>
      </c>
      <c r="E225" s="345" t="s">
        <v>603</v>
      </c>
      <c r="F225" s="345" t="s">
        <v>940</v>
      </c>
      <c r="G225" s="345" t="s">
        <v>111</v>
      </c>
      <c r="H225" s="345" t="s">
        <v>111</v>
      </c>
      <c r="I225" s="345" t="s">
        <v>1315</v>
      </c>
      <c r="J225" s="345"/>
      <c r="K225" s="346" t="s">
        <v>122</v>
      </c>
      <c r="L225" s="346" t="s">
        <v>608</v>
      </c>
      <c r="M225" s="346" t="s">
        <v>114</v>
      </c>
      <c r="N225" s="346"/>
      <c r="O225" s="346"/>
      <c r="P225" s="345" t="s">
        <v>1316</v>
      </c>
      <c r="Q225" s="345" t="s">
        <v>468</v>
      </c>
      <c r="R225" s="347" t="s">
        <v>120</v>
      </c>
      <c r="S225" s="345" t="s">
        <v>111</v>
      </c>
      <c r="T225" s="345" t="s">
        <v>469</v>
      </c>
      <c r="U225" s="345" t="s">
        <v>117</v>
      </c>
      <c r="V225" s="345" t="s">
        <v>895</v>
      </c>
      <c r="W225" s="347" t="s">
        <v>832</v>
      </c>
      <c r="X225" s="345" t="s">
        <v>731</v>
      </c>
      <c r="Y225" s="345" t="s">
        <v>472</v>
      </c>
      <c r="Z225" s="347" t="s">
        <v>1027</v>
      </c>
      <c r="AA225" s="345" t="s">
        <v>483</v>
      </c>
      <c r="AB225" s="345" t="s">
        <v>553</v>
      </c>
      <c r="AC225" s="345"/>
      <c r="AD225" s="347" t="s">
        <v>576</v>
      </c>
      <c r="AE225" s="345" t="s">
        <v>491</v>
      </c>
      <c r="AF225" s="347" t="s">
        <v>1027</v>
      </c>
      <c r="AG225" s="345" t="s">
        <v>111</v>
      </c>
      <c r="AH225" s="345"/>
      <c r="AI225" s="345" t="s">
        <v>111</v>
      </c>
      <c r="AJ225" s="345" t="s">
        <v>491</v>
      </c>
      <c r="AK225" s="347" t="s">
        <v>1027</v>
      </c>
      <c r="AL225" s="345"/>
    </row>
    <row r="226" spans="1:38" ht="16.5" hidden="1" customHeight="1">
      <c r="A226" s="344" t="s">
        <v>463</v>
      </c>
      <c r="B226" s="345" t="s">
        <v>1317</v>
      </c>
      <c r="C226" s="345" t="s">
        <v>589</v>
      </c>
      <c r="D226" s="345" t="s">
        <v>110</v>
      </c>
      <c r="E226" s="345" t="s">
        <v>882</v>
      </c>
      <c r="F226" s="345" t="s">
        <v>940</v>
      </c>
      <c r="G226" s="345" t="s">
        <v>111</v>
      </c>
      <c r="H226" s="345" t="s">
        <v>111</v>
      </c>
      <c r="I226" s="345" t="s">
        <v>1318</v>
      </c>
      <c r="J226" s="345"/>
      <c r="K226" s="346" t="s">
        <v>112</v>
      </c>
      <c r="L226" s="346" t="s">
        <v>593</v>
      </c>
      <c r="M226" s="346" t="s">
        <v>114</v>
      </c>
      <c r="N226" s="346"/>
      <c r="O226" s="346"/>
      <c r="P226" s="345" t="s">
        <v>1319</v>
      </c>
      <c r="Q226" s="345" t="s">
        <v>468</v>
      </c>
      <c r="R226" s="347" t="s">
        <v>120</v>
      </c>
      <c r="S226" s="345" t="s">
        <v>517</v>
      </c>
      <c r="T226" s="345" t="s">
        <v>469</v>
      </c>
      <c r="U226" s="345" t="s">
        <v>117</v>
      </c>
      <c r="V226" s="345" t="s">
        <v>483</v>
      </c>
      <c r="W226" s="347" t="s">
        <v>832</v>
      </c>
      <c r="X226" s="345" t="s">
        <v>731</v>
      </c>
      <c r="Y226" s="345" t="s">
        <v>472</v>
      </c>
      <c r="Z226" s="347" t="s">
        <v>1085</v>
      </c>
      <c r="AA226" s="345" t="s">
        <v>619</v>
      </c>
      <c r="AB226" s="345" t="s">
        <v>482</v>
      </c>
      <c r="AC226" s="345" t="s">
        <v>119</v>
      </c>
      <c r="AD226" s="347" t="s">
        <v>582</v>
      </c>
      <c r="AE226" s="345" t="s">
        <v>903</v>
      </c>
      <c r="AF226" s="347" t="s">
        <v>1085</v>
      </c>
      <c r="AG226" s="345" t="s">
        <v>111</v>
      </c>
      <c r="AH226" s="345"/>
      <c r="AI226" s="345" t="s">
        <v>111</v>
      </c>
      <c r="AJ226" s="345" t="s">
        <v>903</v>
      </c>
      <c r="AK226" s="347" t="s">
        <v>1085</v>
      </c>
      <c r="AL226" s="345"/>
    </row>
    <row r="227" spans="1:38" ht="16.5" hidden="1" customHeight="1">
      <c r="A227" s="344" t="s">
        <v>463</v>
      </c>
      <c r="B227" s="345" t="s">
        <v>1320</v>
      </c>
      <c r="C227" s="345" t="s">
        <v>589</v>
      </c>
      <c r="D227" s="345" t="s">
        <v>110</v>
      </c>
      <c r="E227" s="345" t="s">
        <v>882</v>
      </c>
      <c r="F227" s="345" t="s">
        <v>940</v>
      </c>
      <c r="G227" s="345" t="s">
        <v>111</v>
      </c>
      <c r="H227" s="345" t="s">
        <v>111</v>
      </c>
      <c r="I227" s="345" t="s">
        <v>1321</v>
      </c>
      <c r="J227" s="345"/>
      <c r="K227" s="346" t="s">
        <v>122</v>
      </c>
      <c r="L227" s="346" t="s">
        <v>608</v>
      </c>
      <c r="M227" s="346" t="s">
        <v>114</v>
      </c>
      <c r="N227" s="346"/>
      <c r="O227" s="346"/>
      <c r="P227" s="345" t="s">
        <v>1322</v>
      </c>
      <c r="Q227" s="345" t="s">
        <v>468</v>
      </c>
      <c r="R227" s="347" t="s">
        <v>120</v>
      </c>
      <c r="S227" s="345" t="s">
        <v>111</v>
      </c>
      <c r="T227" s="345" t="s">
        <v>469</v>
      </c>
      <c r="U227" s="345" t="s">
        <v>117</v>
      </c>
      <c r="V227" s="345" t="s">
        <v>895</v>
      </c>
      <c r="W227" s="347" t="s">
        <v>832</v>
      </c>
      <c r="X227" s="345" t="s">
        <v>731</v>
      </c>
      <c r="Y227" s="345" t="s">
        <v>472</v>
      </c>
      <c r="Z227" s="347" t="s">
        <v>582</v>
      </c>
      <c r="AA227" s="345" t="s">
        <v>474</v>
      </c>
      <c r="AB227" s="345" t="s">
        <v>482</v>
      </c>
      <c r="AC227" s="345" t="s">
        <v>119</v>
      </c>
      <c r="AD227" s="347" t="s">
        <v>732</v>
      </c>
      <c r="AE227" s="345" t="s">
        <v>123</v>
      </c>
      <c r="AF227" s="347" t="s">
        <v>582</v>
      </c>
      <c r="AG227" s="345" t="s">
        <v>111</v>
      </c>
      <c r="AH227" s="345"/>
      <c r="AI227" s="345" t="s">
        <v>111</v>
      </c>
      <c r="AJ227" s="345" t="s">
        <v>491</v>
      </c>
      <c r="AK227" s="347" t="s">
        <v>636</v>
      </c>
      <c r="AL227" s="345"/>
    </row>
    <row r="228" spans="1:38" ht="16.5" hidden="1" customHeight="1">
      <c r="A228" s="344" t="s">
        <v>463</v>
      </c>
      <c r="B228" s="345" t="s">
        <v>1323</v>
      </c>
      <c r="C228" s="345" t="s">
        <v>589</v>
      </c>
      <c r="D228" s="345" t="s">
        <v>110</v>
      </c>
      <c r="E228" s="345" t="s">
        <v>603</v>
      </c>
      <c r="F228" s="345" t="s">
        <v>940</v>
      </c>
      <c r="G228" s="345" t="s">
        <v>111</v>
      </c>
      <c r="H228" s="345" t="s">
        <v>111</v>
      </c>
      <c r="I228" s="345" t="s">
        <v>1324</v>
      </c>
      <c r="J228" s="345"/>
      <c r="K228" s="346" t="s">
        <v>122</v>
      </c>
      <c r="L228" s="346" t="s">
        <v>608</v>
      </c>
      <c r="M228" s="346" t="s">
        <v>114</v>
      </c>
      <c r="N228" s="346"/>
      <c r="O228" s="346"/>
      <c r="P228" s="345" t="s">
        <v>1325</v>
      </c>
      <c r="Q228" s="345" t="s">
        <v>468</v>
      </c>
      <c r="R228" s="347" t="s">
        <v>120</v>
      </c>
      <c r="S228" s="345" t="s">
        <v>111</v>
      </c>
      <c r="T228" s="345" t="s">
        <v>469</v>
      </c>
      <c r="U228" s="345" t="s">
        <v>117</v>
      </c>
      <c r="V228" s="345" t="s">
        <v>895</v>
      </c>
      <c r="W228" s="347" t="s">
        <v>832</v>
      </c>
      <c r="X228" s="345" t="s">
        <v>731</v>
      </c>
      <c r="Y228" s="345" t="s">
        <v>472</v>
      </c>
      <c r="Z228" s="347" t="s">
        <v>902</v>
      </c>
      <c r="AA228" s="345" t="s">
        <v>537</v>
      </c>
      <c r="AB228" s="345" t="s">
        <v>482</v>
      </c>
      <c r="AC228" s="345" t="s">
        <v>119</v>
      </c>
      <c r="AD228" s="347" t="s">
        <v>636</v>
      </c>
      <c r="AE228" s="345" t="s">
        <v>472</v>
      </c>
      <c r="AF228" s="347" t="s">
        <v>902</v>
      </c>
      <c r="AG228" s="345" t="s">
        <v>111</v>
      </c>
      <c r="AH228" s="345"/>
      <c r="AI228" s="345" t="s">
        <v>111</v>
      </c>
      <c r="AJ228" s="345" t="s">
        <v>895</v>
      </c>
      <c r="AK228" s="347" t="s">
        <v>902</v>
      </c>
      <c r="AL228" s="345"/>
    </row>
    <row r="229" spans="1:38" ht="16.5" hidden="1" customHeight="1">
      <c r="A229" s="344" t="s">
        <v>463</v>
      </c>
      <c r="B229" s="345" t="s">
        <v>1326</v>
      </c>
      <c r="C229" s="345" t="s">
        <v>589</v>
      </c>
      <c r="D229" s="345" t="s">
        <v>110</v>
      </c>
      <c r="E229" s="345" t="s">
        <v>708</v>
      </c>
      <c r="F229" s="345" t="s">
        <v>940</v>
      </c>
      <c r="G229" s="345" t="s">
        <v>111</v>
      </c>
      <c r="H229" s="345" t="s">
        <v>111</v>
      </c>
      <c r="I229" s="345" t="s">
        <v>1327</v>
      </c>
      <c r="J229" s="345"/>
      <c r="K229" s="346" t="s">
        <v>122</v>
      </c>
      <c r="L229" s="346" t="s">
        <v>608</v>
      </c>
      <c r="M229" s="346" t="s">
        <v>114</v>
      </c>
      <c r="N229" s="346"/>
      <c r="O229" s="346"/>
      <c r="P229" s="345" t="s">
        <v>1328</v>
      </c>
      <c r="Q229" s="345" t="s">
        <v>468</v>
      </c>
      <c r="R229" s="347" t="s">
        <v>120</v>
      </c>
      <c r="S229" s="345" t="s">
        <v>111</v>
      </c>
      <c r="T229" s="345" t="s">
        <v>469</v>
      </c>
      <c r="U229" s="345" t="s">
        <v>117</v>
      </c>
      <c r="V229" s="345" t="s">
        <v>895</v>
      </c>
      <c r="W229" s="347" t="s">
        <v>832</v>
      </c>
      <c r="X229" s="345" t="s">
        <v>731</v>
      </c>
      <c r="Y229" s="345" t="s">
        <v>472</v>
      </c>
      <c r="Z229" s="347" t="s">
        <v>1206</v>
      </c>
      <c r="AA229" s="345" t="s">
        <v>537</v>
      </c>
      <c r="AB229" s="345" t="s">
        <v>620</v>
      </c>
      <c r="AC229" s="345"/>
      <c r="AD229" s="347" t="s">
        <v>732</v>
      </c>
      <c r="AE229" s="345" t="s">
        <v>472</v>
      </c>
      <c r="AF229" s="347" t="s">
        <v>1206</v>
      </c>
      <c r="AG229" s="345" t="s">
        <v>111</v>
      </c>
      <c r="AH229" s="345"/>
      <c r="AI229" s="345" t="s">
        <v>111</v>
      </c>
      <c r="AJ229" s="345" t="s">
        <v>491</v>
      </c>
      <c r="AK229" s="347" t="s">
        <v>636</v>
      </c>
      <c r="AL229" s="345"/>
    </row>
    <row r="230" spans="1:38" ht="16.5" hidden="1" customHeight="1">
      <c r="A230" s="344" t="s">
        <v>463</v>
      </c>
      <c r="B230" s="345" t="s">
        <v>1329</v>
      </c>
      <c r="C230" s="345" t="s">
        <v>589</v>
      </c>
      <c r="D230" s="345" t="s">
        <v>110</v>
      </c>
      <c r="E230" s="345" t="s">
        <v>603</v>
      </c>
      <c r="F230" s="345" t="s">
        <v>940</v>
      </c>
      <c r="G230" s="345" t="s">
        <v>111</v>
      </c>
      <c r="H230" s="345" t="s">
        <v>111</v>
      </c>
      <c r="I230" s="345" t="s">
        <v>1330</v>
      </c>
      <c r="J230" s="345"/>
      <c r="K230" s="346" t="s">
        <v>112</v>
      </c>
      <c r="L230" s="346" t="s">
        <v>593</v>
      </c>
      <c r="M230" s="346" t="s">
        <v>114</v>
      </c>
      <c r="N230" s="346"/>
      <c r="O230" s="346"/>
      <c r="P230" s="345" t="s">
        <v>1331</v>
      </c>
      <c r="Q230" s="345" t="s">
        <v>468</v>
      </c>
      <c r="R230" s="347" t="s">
        <v>120</v>
      </c>
      <c r="S230" s="345" t="s">
        <v>111</v>
      </c>
      <c r="T230" s="345" t="s">
        <v>469</v>
      </c>
      <c r="U230" s="345" t="s">
        <v>117</v>
      </c>
      <c r="V230" s="345" t="s">
        <v>483</v>
      </c>
      <c r="W230" s="347" t="s">
        <v>832</v>
      </c>
      <c r="X230" s="345" t="s">
        <v>731</v>
      </c>
      <c r="Y230" s="345" t="s">
        <v>472</v>
      </c>
      <c r="Z230" s="347" t="s">
        <v>1206</v>
      </c>
      <c r="AA230" s="345" t="s">
        <v>537</v>
      </c>
      <c r="AB230" s="345" t="s">
        <v>482</v>
      </c>
      <c r="AC230" s="345" t="s">
        <v>119</v>
      </c>
      <c r="AD230" s="347" t="s">
        <v>576</v>
      </c>
      <c r="AE230" s="345" t="s">
        <v>903</v>
      </c>
      <c r="AF230" s="347" t="s">
        <v>1206</v>
      </c>
      <c r="AG230" s="345" t="s">
        <v>111</v>
      </c>
      <c r="AH230" s="345"/>
      <c r="AI230" s="345" t="s">
        <v>111</v>
      </c>
      <c r="AJ230" s="345" t="s">
        <v>903</v>
      </c>
      <c r="AK230" s="347" t="s">
        <v>1206</v>
      </c>
      <c r="AL230" s="345"/>
    </row>
    <row r="231" spans="1:38" ht="16.5" hidden="1" customHeight="1">
      <c r="A231" s="344" t="s">
        <v>463</v>
      </c>
      <c r="B231" s="345" t="s">
        <v>1332</v>
      </c>
      <c r="C231" s="345" t="s">
        <v>589</v>
      </c>
      <c r="D231" s="345" t="s">
        <v>110</v>
      </c>
      <c r="E231" s="345" t="s">
        <v>853</v>
      </c>
      <c r="F231" s="345" t="s">
        <v>940</v>
      </c>
      <c r="G231" s="345" t="s">
        <v>111</v>
      </c>
      <c r="H231" s="345" t="s">
        <v>111</v>
      </c>
      <c r="I231" s="345" t="s">
        <v>1333</v>
      </c>
      <c r="J231" s="345"/>
      <c r="K231" s="346" t="s">
        <v>122</v>
      </c>
      <c r="L231" s="346" t="s">
        <v>608</v>
      </c>
      <c r="M231" s="346" t="s">
        <v>114</v>
      </c>
      <c r="N231" s="346"/>
      <c r="O231" s="346"/>
      <c r="P231" s="345" t="s">
        <v>1334</v>
      </c>
      <c r="Q231" s="345" t="s">
        <v>468</v>
      </c>
      <c r="R231" s="347" t="s">
        <v>120</v>
      </c>
      <c r="S231" s="345" t="s">
        <v>111</v>
      </c>
      <c r="T231" s="345" t="s">
        <v>469</v>
      </c>
      <c r="U231" s="345" t="s">
        <v>117</v>
      </c>
      <c r="V231" s="345" t="s">
        <v>895</v>
      </c>
      <c r="W231" s="347" t="s">
        <v>832</v>
      </c>
      <c r="X231" s="345" t="s">
        <v>731</v>
      </c>
      <c r="Y231" s="345" t="s">
        <v>472</v>
      </c>
      <c r="Z231" s="347" t="s">
        <v>1085</v>
      </c>
      <c r="AA231" s="345" t="s">
        <v>619</v>
      </c>
      <c r="AB231" s="345" t="s">
        <v>482</v>
      </c>
      <c r="AC231" s="345" t="s">
        <v>119</v>
      </c>
      <c r="AD231" s="347" t="s">
        <v>582</v>
      </c>
      <c r="AE231" s="345" t="s">
        <v>472</v>
      </c>
      <c r="AF231" s="347" t="s">
        <v>1085</v>
      </c>
      <c r="AG231" s="345" t="s">
        <v>111</v>
      </c>
      <c r="AH231" s="345"/>
      <c r="AI231" s="345" t="s">
        <v>111</v>
      </c>
      <c r="AJ231" s="345" t="s">
        <v>491</v>
      </c>
      <c r="AK231" s="347" t="s">
        <v>636</v>
      </c>
      <c r="AL231" s="345"/>
    </row>
    <row r="232" spans="1:38" ht="16.5" hidden="1" customHeight="1">
      <c r="A232" s="344" t="s">
        <v>463</v>
      </c>
      <c r="B232" s="345" t="s">
        <v>1335</v>
      </c>
      <c r="C232" s="345" t="s">
        <v>589</v>
      </c>
      <c r="D232" s="345" t="s">
        <v>110</v>
      </c>
      <c r="E232" s="345" t="s">
        <v>590</v>
      </c>
      <c r="F232" s="345" t="s">
        <v>940</v>
      </c>
      <c r="G232" s="345" t="s">
        <v>111</v>
      </c>
      <c r="H232" s="345" t="s">
        <v>111</v>
      </c>
      <c r="I232" s="345" t="s">
        <v>1336</v>
      </c>
      <c r="J232" s="345"/>
      <c r="K232" s="346" t="s">
        <v>122</v>
      </c>
      <c r="L232" s="346" t="s">
        <v>608</v>
      </c>
      <c r="M232" s="346" t="s">
        <v>114</v>
      </c>
      <c r="N232" s="346"/>
      <c r="O232" s="346"/>
      <c r="P232" s="345" t="s">
        <v>1337</v>
      </c>
      <c r="Q232" s="345" t="s">
        <v>468</v>
      </c>
      <c r="R232" s="347" t="s">
        <v>120</v>
      </c>
      <c r="S232" s="345" t="s">
        <v>111</v>
      </c>
      <c r="T232" s="345" t="s">
        <v>469</v>
      </c>
      <c r="U232" s="345" t="s">
        <v>117</v>
      </c>
      <c r="V232" s="345" t="s">
        <v>895</v>
      </c>
      <c r="W232" s="347" t="s">
        <v>832</v>
      </c>
      <c r="X232" s="345" t="s">
        <v>731</v>
      </c>
      <c r="Y232" s="345" t="s">
        <v>472</v>
      </c>
      <c r="Z232" s="347" t="s">
        <v>1206</v>
      </c>
      <c r="AA232" s="345" t="s">
        <v>537</v>
      </c>
      <c r="AB232" s="345" t="s">
        <v>482</v>
      </c>
      <c r="AC232" s="345" t="s">
        <v>119</v>
      </c>
      <c r="AD232" s="347" t="s">
        <v>576</v>
      </c>
      <c r="AE232" s="345" t="s">
        <v>472</v>
      </c>
      <c r="AF232" s="347" t="s">
        <v>1206</v>
      </c>
      <c r="AG232" s="345" t="s">
        <v>111</v>
      </c>
      <c r="AH232" s="345"/>
      <c r="AI232" s="345" t="s">
        <v>111</v>
      </c>
      <c r="AJ232" s="345" t="s">
        <v>491</v>
      </c>
      <c r="AK232" s="347" t="s">
        <v>636</v>
      </c>
      <c r="AL232" s="345"/>
    </row>
    <row r="233" spans="1:38" ht="16.5" hidden="1" customHeight="1">
      <c r="A233" s="344" t="s">
        <v>463</v>
      </c>
      <c r="B233" s="345" t="s">
        <v>1338</v>
      </c>
      <c r="C233" s="345" t="s">
        <v>589</v>
      </c>
      <c r="D233" s="345" t="s">
        <v>110</v>
      </c>
      <c r="E233" s="345" t="s">
        <v>590</v>
      </c>
      <c r="F233" s="345" t="s">
        <v>940</v>
      </c>
      <c r="G233" s="345" t="s">
        <v>111</v>
      </c>
      <c r="H233" s="345" t="s">
        <v>111</v>
      </c>
      <c r="I233" s="345" t="s">
        <v>1339</v>
      </c>
      <c r="J233" s="345"/>
      <c r="K233" s="346" t="s">
        <v>122</v>
      </c>
      <c r="L233" s="346" t="s">
        <v>608</v>
      </c>
      <c r="M233" s="346" t="s">
        <v>114</v>
      </c>
      <c r="N233" s="346"/>
      <c r="O233" s="346"/>
      <c r="P233" s="345" t="s">
        <v>1340</v>
      </c>
      <c r="Q233" s="345" t="s">
        <v>482</v>
      </c>
      <c r="R233" s="347" t="s">
        <v>120</v>
      </c>
      <c r="S233" s="345" t="s">
        <v>568</v>
      </c>
      <c r="T233" s="345" t="s">
        <v>469</v>
      </c>
      <c r="U233" s="345" t="s">
        <v>117</v>
      </c>
      <c r="V233" s="345" t="s">
        <v>483</v>
      </c>
      <c r="W233" s="347" t="s">
        <v>1270</v>
      </c>
      <c r="X233" s="345" t="s">
        <v>731</v>
      </c>
      <c r="Y233" s="345" t="s">
        <v>483</v>
      </c>
      <c r="Z233" s="347" t="s">
        <v>1123</v>
      </c>
      <c r="AA233" s="345" t="s">
        <v>619</v>
      </c>
      <c r="AB233" s="345" t="s">
        <v>1114</v>
      </c>
      <c r="AC233" s="345" t="s">
        <v>119</v>
      </c>
      <c r="AD233" s="347" t="s">
        <v>1123</v>
      </c>
      <c r="AE233" s="345"/>
      <c r="AF233" s="347" t="s">
        <v>120</v>
      </c>
      <c r="AG233" s="345" t="s">
        <v>1341</v>
      </c>
      <c r="AH233" s="345"/>
      <c r="AI233" s="345" t="s">
        <v>111</v>
      </c>
      <c r="AJ233" s="345" t="s">
        <v>619</v>
      </c>
      <c r="AK233" s="347" t="s">
        <v>1123</v>
      </c>
      <c r="AL233" s="345"/>
    </row>
    <row r="234" spans="1:38" ht="16.5" hidden="1" customHeight="1">
      <c r="A234" s="344" t="s">
        <v>463</v>
      </c>
      <c r="B234" s="345" t="s">
        <v>1342</v>
      </c>
      <c r="C234" s="345" t="s">
        <v>589</v>
      </c>
      <c r="D234" s="345" t="s">
        <v>110</v>
      </c>
      <c r="E234" s="345" t="s">
        <v>603</v>
      </c>
      <c r="F234" s="345" t="s">
        <v>940</v>
      </c>
      <c r="G234" s="345" t="s">
        <v>111</v>
      </c>
      <c r="H234" s="345" t="s">
        <v>111</v>
      </c>
      <c r="I234" s="345" t="s">
        <v>1343</v>
      </c>
      <c r="J234" s="345"/>
      <c r="K234" s="346" t="s">
        <v>112</v>
      </c>
      <c r="L234" s="346" t="s">
        <v>593</v>
      </c>
      <c r="M234" s="346" t="s">
        <v>114</v>
      </c>
      <c r="N234" s="346"/>
      <c r="O234" s="346"/>
      <c r="P234" s="345" t="s">
        <v>1344</v>
      </c>
      <c r="Q234" s="345" t="s">
        <v>468</v>
      </c>
      <c r="R234" s="347" t="s">
        <v>120</v>
      </c>
      <c r="S234" s="345" t="s">
        <v>111</v>
      </c>
      <c r="T234" s="345" t="s">
        <v>469</v>
      </c>
      <c r="U234" s="345" t="s">
        <v>117</v>
      </c>
      <c r="V234" s="345" t="s">
        <v>483</v>
      </c>
      <c r="W234" s="347" t="s">
        <v>1270</v>
      </c>
      <c r="X234" s="345" t="s">
        <v>731</v>
      </c>
      <c r="Y234" s="345" t="s">
        <v>472</v>
      </c>
      <c r="Z234" s="347" t="s">
        <v>1206</v>
      </c>
      <c r="AA234" s="345" t="s">
        <v>537</v>
      </c>
      <c r="AB234" s="345" t="s">
        <v>482</v>
      </c>
      <c r="AC234" s="345" t="s">
        <v>119</v>
      </c>
      <c r="AD234" s="347" t="s">
        <v>576</v>
      </c>
      <c r="AE234" s="345" t="s">
        <v>903</v>
      </c>
      <c r="AF234" s="347" t="s">
        <v>1206</v>
      </c>
      <c r="AG234" s="345" t="s">
        <v>111</v>
      </c>
      <c r="AH234" s="345"/>
      <c r="AI234" s="345" t="s">
        <v>111</v>
      </c>
      <c r="AJ234" s="345" t="s">
        <v>903</v>
      </c>
      <c r="AK234" s="347" t="s">
        <v>1206</v>
      </c>
      <c r="AL234" s="345"/>
    </row>
    <row r="235" spans="1:38" ht="16.5" hidden="1" customHeight="1">
      <c r="A235" s="344" t="s">
        <v>463</v>
      </c>
      <c r="B235" s="345" t="s">
        <v>1345</v>
      </c>
      <c r="C235" s="345" t="s">
        <v>589</v>
      </c>
      <c r="D235" s="345" t="s">
        <v>110</v>
      </c>
      <c r="E235" s="345" t="s">
        <v>111</v>
      </c>
      <c r="F235" s="345" t="s">
        <v>940</v>
      </c>
      <c r="G235" s="345" t="s">
        <v>111</v>
      </c>
      <c r="H235" s="345" t="s">
        <v>111</v>
      </c>
      <c r="I235" s="345" t="s">
        <v>1346</v>
      </c>
      <c r="J235" s="345"/>
      <c r="K235" s="346" t="s">
        <v>479</v>
      </c>
      <c r="L235" s="346" t="s">
        <v>113</v>
      </c>
      <c r="M235" s="346" t="s">
        <v>114</v>
      </c>
      <c r="N235" s="346"/>
      <c r="O235" s="346"/>
      <c r="P235" s="345" t="s">
        <v>1347</v>
      </c>
      <c r="Q235" s="345" t="s">
        <v>468</v>
      </c>
      <c r="R235" s="347" t="s">
        <v>120</v>
      </c>
      <c r="S235" s="345" t="s">
        <v>111</v>
      </c>
      <c r="T235" s="345" t="s">
        <v>469</v>
      </c>
      <c r="U235" s="345" t="s">
        <v>117</v>
      </c>
      <c r="V235" s="345" t="s">
        <v>483</v>
      </c>
      <c r="W235" s="347" t="s">
        <v>1270</v>
      </c>
      <c r="X235" s="345" t="s">
        <v>731</v>
      </c>
      <c r="Y235" s="345" t="s">
        <v>472</v>
      </c>
      <c r="Z235" s="347" t="s">
        <v>636</v>
      </c>
      <c r="AA235" s="345" t="s">
        <v>537</v>
      </c>
      <c r="AB235" s="345" t="s">
        <v>482</v>
      </c>
      <c r="AC235" s="345" t="s">
        <v>119</v>
      </c>
      <c r="AD235" s="347" t="s">
        <v>576</v>
      </c>
      <c r="AE235" s="345" t="s">
        <v>1348</v>
      </c>
      <c r="AF235" s="347" t="s">
        <v>636</v>
      </c>
      <c r="AG235" s="345" t="s">
        <v>111</v>
      </c>
      <c r="AH235" s="345"/>
      <c r="AI235" s="345" t="s">
        <v>111</v>
      </c>
      <c r="AJ235" s="345" t="s">
        <v>1348</v>
      </c>
      <c r="AK235" s="347" t="s">
        <v>636</v>
      </c>
      <c r="AL235" s="345"/>
    </row>
    <row r="236" spans="1:38" ht="16.5" hidden="1" customHeight="1">
      <c r="A236" s="344" t="s">
        <v>463</v>
      </c>
      <c r="B236" s="345" t="s">
        <v>1349</v>
      </c>
      <c r="C236" s="345" t="s">
        <v>589</v>
      </c>
      <c r="D236" s="345" t="s">
        <v>110</v>
      </c>
      <c r="E236" s="345" t="s">
        <v>853</v>
      </c>
      <c r="F236" s="345" t="s">
        <v>940</v>
      </c>
      <c r="G236" s="345" t="s">
        <v>111</v>
      </c>
      <c r="H236" s="345" t="s">
        <v>111</v>
      </c>
      <c r="I236" s="345" t="s">
        <v>1350</v>
      </c>
      <c r="J236" s="345"/>
      <c r="K236" s="346" t="s">
        <v>122</v>
      </c>
      <c r="L236" s="346" t="s">
        <v>608</v>
      </c>
      <c r="M236" s="346" t="s">
        <v>114</v>
      </c>
      <c r="N236" s="346"/>
      <c r="O236" s="346"/>
      <c r="P236" s="345" t="s">
        <v>1351</v>
      </c>
      <c r="Q236" s="345" t="s">
        <v>468</v>
      </c>
      <c r="R236" s="347" t="s">
        <v>120</v>
      </c>
      <c r="S236" s="345" t="s">
        <v>111</v>
      </c>
      <c r="T236" s="345" t="s">
        <v>469</v>
      </c>
      <c r="U236" s="345" t="s">
        <v>117</v>
      </c>
      <c r="V236" s="345" t="s">
        <v>895</v>
      </c>
      <c r="W236" s="347" t="s">
        <v>1270</v>
      </c>
      <c r="X236" s="345" t="s">
        <v>731</v>
      </c>
      <c r="Y236" s="345" t="s">
        <v>472</v>
      </c>
      <c r="Z236" s="347" t="s">
        <v>1085</v>
      </c>
      <c r="AA236" s="345" t="s">
        <v>619</v>
      </c>
      <c r="AB236" s="345" t="s">
        <v>482</v>
      </c>
      <c r="AC236" s="345" t="s">
        <v>119</v>
      </c>
      <c r="AD236" s="347" t="s">
        <v>582</v>
      </c>
      <c r="AE236" s="345" t="s">
        <v>472</v>
      </c>
      <c r="AF236" s="347" t="s">
        <v>1085</v>
      </c>
      <c r="AG236" s="345" t="s">
        <v>111</v>
      </c>
      <c r="AH236" s="345"/>
      <c r="AI236" s="345" t="s">
        <v>111</v>
      </c>
      <c r="AJ236" s="345" t="s">
        <v>491</v>
      </c>
      <c r="AK236" s="347" t="s">
        <v>636</v>
      </c>
      <c r="AL236" s="345"/>
    </row>
    <row r="237" spans="1:38" ht="16.5" hidden="1" customHeight="1">
      <c r="A237" s="344" t="s">
        <v>463</v>
      </c>
      <c r="B237" s="345" t="s">
        <v>1352</v>
      </c>
      <c r="C237" s="345" t="s">
        <v>589</v>
      </c>
      <c r="D237" s="345" t="s">
        <v>110</v>
      </c>
      <c r="E237" s="345" t="s">
        <v>603</v>
      </c>
      <c r="F237" s="345" t="s">
        <v>940</v>
      </c>
      <c r="G237" s="345" t="s">
        <v>111</v>
      </c>
      <c r="H237" s="345" t="s">
        <v>111</v>
      </c>
      <c r="I237" s="345" t="s">
        <v>1353</v>
      </c>
      <c r="J237" s="345"/>
      <c r="K237" s="346" t="s">
        <v>122</v>
      </c>
      <c r="L237" s="346" t="s">
        <v>608</v>
      </c>
      <c r="M237" s="346" t="s">
        <v>114</v>
      </c>
      <c r="N237" s="346"/>
      <c r="O237" s="346"/>
      <c r="P237" s="345" t="s">
        <v>1354</v>
      </c>
      <c r="Q237" s="345" t="s">
        <v>115</v>
      </c>
      <c r="R237" s="347" t="s">
        <v>120</v>
      </c>
      <c r="S237" s="345" t="s">
        <v>111</v>
      </c>
      <c r="T237" s="345" t="s">
        <v>116</v>
      </c>
      <c r="U237" s="345" t="s">
        <v>117</v>
      </c>
      <c r="V237" s="345" t="s">
        <v>895</v>
      </c>
      <c r="W237" s="347" t="s">
        <v>1270</v>
      </c>
      <c r="X237" s="345" t="s">
        <v>731</v>
      </c>
      <c r="Y237" s="345" t="s">
        <v>537</v>
      </c>
      <c r="Z237" s="347" t="s">
        <v>576</v>
      </c>
      <c r="AA237" s="345"/>
      <c r="AB237" s="345"/>
      <c r="AC237" s="345"/>
      <c r="AD237" s="347" t="s">
        <v>120</v>
      </c>
      <c r="AE237" s="345"/>
      <c r="AF237" s="347" t="s">
        <v>120</v>
      </c>
      <c r="AG237" s="345" t="s">
        <v>111</v>
      </c>
      <c r="AH237" s="345"/>
      <c r="AI237" s="345" t="s">
        <v>111</v>
      </c>
      <c r="AJ237" s="345" t="s">
        <v>491</v>
      </c>
      <c r="AK237" s="347" t="s">
        <v>636</v>
      </c>
      <c r="AL237" s="345"/>
    </row>
    <row r="238" spans="1:38" ht="16.5" hidden="1" customHeight="1">
      <c r="A238" s="344" t="s">
        <v>463</v>
      </c>
      <c r="B238" s="345" t="s">
        <v>1355</v>
      </c>
      <c r="C238" s="345" t="s">
        <v>589</v>
      </c>
      <c r="D238" s="345" t="s">
        <v>110</v>
      </c>
      <c r="E238" s="345" t="s">
        <v>603</v>
      </c>
      <c r="F238" s="345" t="s">
        <v>940</v>
      </c>
      <c r="G238" s="345" t="s">
        <v>111</v>
      </c>
      <c r="H238" s="345" t="s">
        <v>111</v>
      </c>
      <c r="I238" s="345" t="s">
        <v>1356</v>
      </c>
      <c r="J238" s="345"/>
      <c r="K238" s="346" t="s">
        <v>122</v>
      </c>
      <c r="L238" s="346" t="s">
        <v>608</v>
      </c>
      <c r="M238" s="346" t="s">
        <v>114</v>
      </c>
      <c r="N238" s="346"/>
      <c r="O238" s="346"/>
      <c r="P238" s="345" t="s">
        <v>1357</v>
      </c>
      <c r="Q238" s="345" t="s">
        <v>468</v>
      </c>
      <c r="R238" s="347" t="s">
        <v>120</v>
      </c>
      <c r="S238" s="345" t="s">
        <v>111</v>
      </c>
      <c r="T238" s="345" t="s">
        <v>469</v>
      </c>
      <c r="U238" s="345" t="s">
        <v>117</v>
      </c>
      <c r="V238" s="345" t="s">
        <v>895</v>
      </c>
      <c r="W238" s="347" t="s">
        <v>1270</v>
      </c>
      <c r="X238" s="345" t="s">
        <v>731</v>
      </c>
      <c r="Y238" s="345" t="s">
        <v>472</v>
      </c>
      <c r="Z238" s="347" t="s">
        <v>1027</v>
      </c>
      <c r="AA238" s="345" t="s">
        <v>483</v>
      </c>
      <c r="AB238" s="345" t="s">
        <v>553</v>
      </c>
      <c r="AC238" s="345"/>
      <c r="AD238" s="347" t="s">
        <v>576</v>
      </c>
      <c r="AE238" s="345" t="s">
        <v>491</v>
      </c>
      <c r="AF238" s="347" t="s">
        <v>1027</v>
      </c>
      <c r="AG238" s="345" t="s">
        <v>111</v>
      </c>
      <c r="AH238" s="345"/>
      <c r="AI238" s="345" t="s">
        <v>111</v>
      </c>
      <c r="AJ238" s="345" t="s">
        <v>491</v>
      </c>
      <c r="AK238" s="347" t="s">
        <v>1027</v>
      </c>
      <c r="AL238" s="345"/>
    </row>
    <row r="239" spans="1:38" ht="16.5" hidden="1" customHeight="1">
      <c r="A239" s="344" t="s">
        <v>463</v>
      </c>
      <c r="B239" s="345" t="s">
        <v>1358</v>
      </c>
      <c r="C239" s="345" t="s">
        <v>589</v>
      </c>
      <c r="D239" s="345" t="s">
        <v>110</v>
      </c>
      <c r="E239" s="345" t="s">
        <v>999</v>
      </c>
      <c r="F239" s="345" t="s">
        <v>940</v>
      </c>
      <c r="G239" s="345" t="s">
        <v>111</v>
      </c>
      <c r="H239" s="345" t="s">
        <v>111</v>
      </c>
      <c r="I239" s="345" t="s">
        <v>1359</v>
      </c>
      <c r="J239" s="345"/>
      <c r="K239" s="346" t="s">
        <v>122</v>
      </c>
      <c r="L239" s="346" t="s">
        <v>608</v>
      </c>
      <c r="M239" s="346" t="s">
        <v>114</v>
      </c>
      <c r="N239" s="346"/>
      <c r="O239" s="346"/>
      <c r="P239" s="345" t="s">
        <v>1360</v>
      </c>
      <c r="Q239" s="345" t="s">
        <v>468</v>
      </c>
      <c r="R239" s="347" t="s">
        <v>120</v>
      </c>
      <c r="S239" s="345" t="s">
        <v>111</v>
      </c>
      <c r="T239" s="345" t="s">
        <v>469</v>
      </c>
      <c r="U239" s="345" t="s">
        <v>117</v>
      </c>
      <c r="V239" s="345" t="s">
        <v>895</v>
      </c>
      <c r="W239" s="347" t="s">
        <v>1270</v>
      </c>
      <c r="X239" s="345" t="s">
        <v>731</v>
      </c>
      <c r="Y239" s="345" t="s">
        <v>472</v>
      </c>
      <c r="Z239" s="347" t="s">
        <v>1027</v>
      </c>
      <c r="AA239" s="345" t="s">
        <v>537</v>
      </c>
      <c r="AB239" s="345" t="s">
        <v>620</v>
      </c>
      <c r="AC239" s="345"/>
      <c r="AD239" s="347" t="s">
        <v>732</v>
      </c>
      <c r="AE239" s="345" t="s">
        <v>491</v>
      </c>
      <c r="AF239" s="347" t="s">
        <v>1027</v>
      </c>
      <c r="AG239" s="345" t="s">
        <v>111</v>
      </c>
      <c r="AH239" s="345"/>
      <c r="AI239" s="345" t="s">
        <v>111</v>
      </c>
      <c r="AJ239" s="345" t="s">
        <v>491</v>
      </c>
      <c r="AK239" s="347" t="s">
        <v>1027</v>
      </c>
      <c r="AL239" s="345"/>
    </row>
    <row r="240" spans="1:38" ht="16.5" hidden="1" customHeight="1">
      <c r="A240" s="344" t="s">
        <v>463</v>
      </c>
      <c r="B240" s="345" t="s">
        <v>1361</v>
      </c>
      <c r="C240" s="345" t="s">
        <v>589</v>
      </c>
      <c r="D240" s="345" t="s">
        <v>110</v>
      </c>
      <c r="E240" s="345" t="s">
        <v>590</v>
      </c>
      <c r="F240" s="345" t="s">
        <v>940</v>
      </c>
      <c r="G240" s="345" t="s">
        <v>111</v>
      </c>
      <c r="H240" s="345" t="s">
        <v>111</v>
      </c>
      <c r="I240" s="345" t="s">
        <v>1362</v>
      </c>
      <c r="J240" s="345"/>
      <c r="K240" s="346" t="s">
        <v>122</v>
      </c>
      <c r="L240" s="346" t="s">
        <v>608</v>
      </c>
      <c r="M240" s="346" t="s">
        <v>114</v>
      </c>
      <c r="N240" s="346"/>
      <c r="O240" s="346"/>
      <c r="P240" s="345" t="s">
        <v>1363</v>
      </c>
      <c r="Q240" s="345" t="s">
        <v>482</v>
      </c>
      <c r="R240" s="347" t="s">
        <v>120</v>
      </c>
      <c r="S240" s="345" t="s">
        <v>111</v>
      </c>
      <c r="T240" s="345" t="s">
        <v>469</v>
      </c>
      <c r="U240" s="345" t="s">
        <v>117</v>
      </c>
      <c r="V240" s="345" t="s">
        <v>895</v>
      </c>
      <c r="W240" s="347" t="s">
        <v>732</v>
      </c>
      <c r="X240" s="345" t="s">
        <v>731</v>
      </c>
      <c r="Y240" s="345" t="s">
        <v>895</v>
      </c>
      <c r="Z240" s="347" t="s">
        <v>1085</v>
      </c>
      <c r="AA240" s="345" t="s">
        <v>814</v>
      </c>
      <c r="AB240" s="345" t="s">
        <v>885</v>
      </c>
      <c r="AC240" s="345" t="s">
        <v>119</v>
      </c>
      <c r="AD240" s="347" t="s">
        <v>1085</v>
      </c>
      <c r="AE240" s="345"/>
      <c r="AF240" s="347" t="s">
        <v>120</v>
      </c>
      <c r="AG240" s="345" t="s">
        <v>111</v>
      </c>
      <c r="AH240" s="345"/>
      <c r="AI240" s="345" t="s">
        <v>111</v>
      </c>
      <c r="AJ240" s="345" t="s">
        <v>491</v>
      </c>
      <c r="AK240" s="347" t="s">
        <v>636</v>
      </c>
      <c r="AL240" s="345"/>
    </row>
    <row r="241" spans="1:38" ht="16.5" hidden="1" customHeight="1">
      <c r="A241" s="344" t="s">
        <v>463</v>
      </c>
      <c r="B241" s="345" t="s">
        <v>1364</v>
      </c>
      <c r="C241" s="345" t="s">
        <v>589</v>
      </c>
      <c r="D241" s="345" t="s">
        <v>110</v>
      </c>
      <c r="E241" s="345" t="s">
        <v>1365</v>
      </c>
      <c r="F241" s="345" t="s">
        <v>940</v>
      </c>
      <c r="G241" s="345" t="s">
        <v>111</v>
      </c>
      <c r="H241" s="345" t="s">
        <v>111</v>
      </c>
      <c r="I241" s="345" t="s">
        <v>1366</v>
      </c>
      <c r="J241" s="345"/>
      <c r="K241" s="346" t="s">
        <v>122</v>
      </c>
      <c r="L241" s="346" t="s">
        <v>608</v>
      </c>
      <c r="M241" s="346" t="s">
        <v>114</v>
      </c>
      <c r="N241" s="346"/>
      <c r="O241" s="346"/>
      <c r="P241" s="345" t="s">
        <v>1367</v>
      </c>
      <c r="Q241" s="345" t="s">
        <v>482</v>
      </c>
      <c r="R241" s="347" t="s">
        <v>120</v>
      </c>
      <c r="S241" s="345" t="s">
        <v>111</v>
      </c>
      <c r="T241" s="345" t="s">
        <v>469</v>
      </c>
      <c r="U241" s="345" t="s">
        <v>117</v>
      </c>
      <c r="V241" s="345" t="s">
        <v>123</v>
      </c>
      <c r="W241" s="347" t="s">
        <v>570</v>
      </c>
      <c r="X241" s="345" t="s">
        <v>119</v>
      </c>
      <c r="Y241" s="345" t="s">
        <v>123</v>
      </c>
      <c r="Z241" s="347" t="s">
        <v>570</v>
      </c>
      <c r="AA241" s="345" t="s">
        <v>814</v>
      </c>
      <c r="AB241" s="345" t="s">
        <v>620</v>
      </c>
      <c r="AC241" s="345"/>
      <c r="AD241" s="347" t="s">
        <v>570</v>
      </c>
      <c r="AE241" s="345"/>
      <c r="AF241" s="347" t="s">
        <v>120</v>
      </c>
      <c r="AG241" s="345" t="s">
        <v>111</v>
      </c>
      <c r="AH241" s="345"/>
      <c r="AI241" s="345" t="s">
        <v>111</v>
      </c>
      <c r="AJ241" s="345" t="s">
        <v>491</v>
      </c>
      <c r="AK241" s="347" t="s">
        <v>636</v>
      </c>
      <c r="AL241" s="345"/>
    </row>
    <row r="242" spans="1:38" ht="16.5" hidden="1" customHeight="1">
      <c r="A242" s="344" t="s">
        <v>463</v>
      </c>
      <c r="B242" s="345" t="s">
        <v>1368</v>
      </c>
      <c r="C242" s="345" t="s">
        <v>589</v>
      </c>
      <c r="D242" s="345" t="s">
        <v>110</v>
      </c>
      <c r="E242" s="345" t="s">
        <v>1365</v>
      </c>
      <c r="F242" s="345" t="s">
        <v>940</v>
      </c>
      <c r="G242" s="345" t="s">
        <v>111</v>
      </c>
      <c r="H242" s="345" t="s">
        <v>111</v>
      </c>
      <c r="I242" s="345" t="s">
        <v>1369</v>
      </c>
      <c r="J242" s="345"/>
      <c r="K242" s="346" t="s">
        <v>122</v>
      </c>
      <c r="L242" s="346" t="s">
        <v>608</v>
      </c>
      <c r="M242" s="346" t="s">
        <v>114</v>
      </c>
      <c r="N242" s="346"/>
      <c r="O242" s="346"/>
      <c r="P242" s="345" t="s">
        <v>1370</v>
      </c>
      <c r="Q242" s="345" t="s">
        <v>482</v>
      </c>
      <c r="R242" s="347" t="s">
        <v>120</v>
      </c>
      <c r="S242" s="345" t="s">
        <v>111</v>
      </c>
      <c r="T242" s="345" t="s">
        <v>469</v>
      </c>
      <c r="U242" s="345" t="s">
        <v>117</v>
      </c>
      <c r="V242" s="345" t="s">
        <v>123</v>
      </c>
      <c r="W242" s="347" t="s">
        <v>570</v>
      </c>
      <c r="X242" s="345" t="s">
        <v>119</v>
      </c>
      <c r="Y242" s="345" t="s">
        <v>123</v>
      </c>
      <c r="Z242" s="347" t="s">
        <v>576</v>
      </c>
      <c r="AA242" s="345" t="s">
        <v>814</v>
      </c>
      <c r="AB242" s="345" t="s">
        <v>553</v>
      </c>
      <c r="AC242" s="345"/>
      <c r="AD242" s="347" t="s">
        <v>576</v>
      </c>
      <c r="AE242" s="345"/>
      <c r="AF242" s="347" t="s">
        <v>120</v>
      </c>
      <c r="AG242" s="345" t="s">
        <v>111</v>
      </c>
      <c r="AH242" s="345"/>
      <c r="AI242" s="345" t="s">
        <v>111</v>
      </c>
      <c r="AJ242" s="345" t="s">
        <v>491</v>
      </c>
      <c r="AK242" s="347" t="s">
        <v>636</v>
      </c>
      <c r="AL242" s="345"/>
    </row>
    <row r="243" spans="1:38" ht="16.5" hidden="1" customHeight="1">
      <c r="A243" s="344" t="s">
        <v>463</v>
      </c>
      <c r="B243" s="345" t="s">
        <v>1371</v>
      </c>
      <c r="C243" s="345" t="s">
        <v>589</v>
      </c>
      <c r="D243" s="345" t="s">
        <v>110</v>
      </c>
      <c r="E243" s="345" t="s">
        <v>1365</v>
      </c>
      <c r="F243" s="345" t="s">
        <v>940</v>
      </c>
      <c r="G243" s="345" t="s">
        <v>111</v>
      </c>
      <c r="H243" s="345" t="s">
        <v>111</v>
      </c>
      <c r="I243" s="345" t="s">
        <v>1372</v>
      </c>
      <c r="J243" s="345"/>
      <c r="K243" s="346" t="s">
        <v>122</v>
      </c>
      <c r="L243" s="346" t="s">
        <v>608</v>
      </c>
      <c r="M243" s="346" t="s">
        <v>114</v>
      </c>
      <c r="N243" s="346"/>
      <c r="O243" s="346"/>
      <c r="P243" s="345" t="s">
        <v>1373</v>
      </c>
      <c r="Q243" s="345" t="s">
        <v>482</v>
      </c>
      <c r="R243" s="347" t="s">
        <v>120</v>
      </c>
      <c r="S243" s="345" t="s">
        <v>111</v>
      </c>
      <c r="T243" s="345" t="s">
        <v>469</v>
      </c>
      <c r="U243" s="345" t="s">
        <v>117</v>
      </c>
      <c r="V243" s="345" t="s">
        <v>123</v>
      </c>
      <c r="W243" s="347" t="s">
        <v>570</v>
      </c>
      <c r="X243" s="345" t="s">
        <v>119</v>
      </c>
      <c r="Y243" s="345" t="s">
        <v>123</v>
      </c>
      <c r="Z243" s="347" t="s">
        <v>576</v>
      </c>
      <c r="AA243" s="345" t="s">
        <v>814</v>
      </c>
      <c r="AB243" s="345" t="s">
        <v>553</v>
      </c>
      <c r="AC243" s="345"/>
      <c r="AD243" s="347" t="s">
        <v>576</v>
      </c>
      <c r="AE243" s="345"/>
      <c r="AF243" s="347" t="s">
        <v>120</v>
      </c>
      <c r="AG243" s="345" t="s">
        <v>111</v>
      </c>
      <c r="AH243" s="345"/>
      <c r="AI243" s="345" t="s">
        <v>111</v>
      </c>
      <c r="AJ243" s="345" t="s">
        <v>491</v>
      </c>
      <c r="AK243" s="347" t="s">
        <v>636</v>
      </c>
      <c r="AL243" s="345"/>
    </row>
    <row r="244" spans="1:38" ht="16.5" hidden="1" customHeight="1">
      <c r="A244" s="344" t="s">
        <v>463</v>
      </c>
      <c r="B244" s="345" t="s">
        <v>1374</v>
      </c>
      <c r="C244" s="345" t="s">
        <v>589</v>
      </c>
      <c r="D244" s="345" t="s">
        <v>110</v>
      </c>
      <c r="E244" s="345" t="s">
        <v>1365</v>
      </c>
      <c r="F244" s="345" t="s">
        <v>940</v>
      </c>
      <c r="G244" s="345" t="s">
        <v>111</v>
      </c>
      <c r="H244" s="345" t="s">
        <v>111</v>
      </c>
      <c r="I244" s="345" t="s">
        <v>1375</v>
      </c>
      <c r="J244" s="345"/>
      <c r="K244" s="346" t="s">
        <v>122</v>
      </c>
      <c r="L244" s="346" t="s">
        <v>608</v>
      </c>
      <c r="M244" s="346" t="s">
        <v>114</v>
      </c>
      <c r="N244" s="346"/>
      <c r="O244" s="346"/>
      <c r="P244" s="345" t="s">
        <v>1376</v>
      </c>
      <c r="Q244" s="345" t="s">
        <v>468</v>
      </c>
      <c r="R244" s="347" t="s">
        <v>120</v>
      </c>
      <c r="S244" s="345" t="s">
        <v>111</v>
      </c>
      <c r="T244" s="345" t="s">
        <v>469</v>
      </c>
      <c r="U244" s="345" t="s">
        <v>117</v>
      </c>
      <c r="V244" s="345" t="s">
        <v>123</v>
      </c>
      <c r="W244" s="347" t="s">
        <v>570</v>
      </c>
      <c r="X244" s="345" t="s">
        <v>119</v>
      </c>
      <c r="Y244" s="345" t="s">
        <v>472</v>
      </c>
      <c r="Z244" s="347" t="s">
        <v>582</v>
      </c>
      <c r="AA244" s="345" t="s">
        <v>1377</v>
      </c>
      <c r="AB244" s="345" t="s">
        <v>482</v>
      </c>
      <c r="AC244" s="345" t="s">
        <v>119</v>
      </c>
      <c r="AD244" s="347" t="s">
        <v>570</v>
      </c>
      <c r="AE244" s="345" t="s">
        <v>123</v>
      </c>
      <c r="AF244" s="347" t="s">
        <v>582</v>
      </c>
      <c r="AG244" s="345" t="s">
        <v>111</v>
      </c>
      <c r="AH244" s="345"/>
      <c r="AI244" s="345" t="s">
        <v>111</v>
      </c>
      <c r="AJ244" s="345" t="s">
        <v>491</v>
      </c>
      <c r="AK244" s="347" t="s">
        <v>636</v>
      </c>
      <c r="AL244" s="345"/>
    </row>
    <row r="245" spans="1:38" ht="16.5" hidden="1" customHeight="1">
      <c r="A245" s="344" t="s">
        <v>463</v>
      </c>
      <c r="B245" s="345" t="s">
        <v>1378</v>
      </c>
      <c r="C245" s="345" t="s">
        <v>589</v>
      </c>
      <c r="D245" s="345" t="s">
        <v>110</v>
      </c>
      <c r="E245" s="345" t="s">
        <v>1365</v>
      </c>
      <c r="F245" s="345" t="s">
        <v>940</v>
      </c>
      <c r="G245" s="345" t="s">
        <v>111</v>
      </c>
      <c r="H245" s="345" t="s">
        <v>111</v>
      </c>
      <c r="I245" s="345" t="s">
        <v>1379</v>
      </c>
      <c r="J245" s="345"/>
      <c r="K245" s="346" t="s">
        <v>122</v>
      </c>
      <c r="L245" s="346" t="s">
        <v>608</v>
      </c>
      <c r="M245" s="346" t="s">
        <v>114</v>
      </c>
      <c r="N245" s="346"/>
      <c r="O245" s="346"/>
      <c r="P245" s="345" t="s">
        <v>1380</v>
      </c>
      <c r="Q245" s="345" t="s">
        <v>482</v>
      </c>
      <c r="R245" s="347" t="s">
        <v>120</v>
      </c>
      <c r="S245" s="345" t="s">
        <v>111</v>
      </c>
      <c r="T245" s="345" t="s">
        <v>469</v>
      </c>
      <c r="U245" s="345" t="s">
        <v>117</v>
      </c>
      <c r="V245" s="345" t="s">
        <v>123</v>
      </c>
      <c r="W245" s="347" t="s">
        <v>570</v>
      </c>
      <c r="X245" s="345" t="s">
        <v>119</v>
      </c>
      <c r="Y245" s="345" t="s">
        <v>123</v>
      </c>
      <c r="Z245" s="347" t="s">
        <v>1206</v>
      </c>
      <c r="AA245" s="345" t="s">
        <v>814</v>
      </c>
      <c r="AB245" s="345" t="s">
        <v>553</v>
      </c>
      <c r="AC245" s="345"/>
      <c r="AD245" s="347" t="s">
        <v>1206</v>
      </c>
      <c r="AE245" s="345"/>
      <c r="AF245" s="347" t="s">
        <v>120</v>
      </c>
      <c r="AG245" s="345" t="s">
        <v>111</v>
      </c>
      <c r="AH245" s="345"/>
      <c r="AI245" s="345" t="s">
        <v>111</v>
      </c>
      <c r="AJ245" s="345" t="s">
        <v>491</v>
      </c>
      <c r="AK245" s="347" t="s">
        <v>636</v>
      </c>
      <c r="AL245" s="345"/>
    </row>
    <row r="246" spans="1:38" ht="16.5" hidden="1" customHeight="1">
      <c r="A246" s="344" t="s">
        <v>463</v>
      </c>
      <c r="B246" s="345" t="s">
        <v>1381</v>
      </c>
      <c r="C246" s="345" t="s">
        <v>589</v>
      </c>
      <c r="D246" s="345" t="s">
        <v>110</v>
      </c>
      <c r="E246" s="345" t="s">
        <v>1365</v>
      </c>
      <c r="F246" s="345" t="s">
        <v>940</v>
      </c>
      <c r="G246" s="345" t="s">
        <v>111</v>
      </c>
      <c r="H246" s="345" t="s">
        <v>111</v>
      </c>
      <c r="I246" s="345" t="s">
        <v>1382</v>
      </c>
      <c r="J246" s="345"/>
      <c r="K246" s="346" t="s">
        <v>122</v>
      </c>
      <c r="L246" s="346" t="s">
        <v>608</v>
      </c>
      <c r="M246" s="346" t="s">
        <v>1163</v>
      </c>
      <c r="N246" s="346"/>
      <c r="O246" s="346"/>
      <c r="P246" s="345" t="s">
        <v>1383</v>
      </c>
      <c r="Q246" s="345" t="s">
        <v>468</v>
      </c>
      <c r="R246" s="347" t="s">
        <v>120</v>
      </c>
      <c r="S246" s="345" t="s">
        <v>111</v>
      </c>
      <c r="T246" s="345" t="s">
        <v>469</v>
      </c>
      <c r="U246" s="345" t="s">
        <v>117</v>
      </c>
      <c r="V246" s="345" t="s">
        <v>123</v>
      </c>
      <c r="W246" s="347" t="s">
        <v>570</v>
      </c>
      <c r="X246" s="345" t="s">
        <v>119</v>
      </c>
      <c r="Y246" s="345" t="s">
        <v>472</v>
      </c>
      <c r="Z246" s="347" t="s">
        <v>582</v>
      </c>
      <c r="AA246" s="345" t="s">
        <v>1377</v>
      </c>
      <c r="AB246" s="345" t="s">
        <v>482</v>
      </c>
      <c r="AC246" s="345" t="s">
        <v>119</v>
      </c>
      <c r="AD246" s="347" t="s">
        <v>570</v>
      </c>
      <c r="AE246" s="345" t="s">
        <v>123</v>
      </c>
      <c r="AF246" s="347" t="s">
        <v>582</v>
      </c>
      <c r="AG246" s="345" t="s">
        <v>111</v>
      </c>
      <c r="AH246" s="345"/>
      <c r="AI246" s="345" t="s">
        <v>111</v>
      </c>
      <c r="AJ246" s="345" t="s">
        <v>491</v>
      </c>
      <c r="AK246" s="347" t="s">
        <v>636</v>
      </c>
      <c r="AL246" s="345"/>
    </row>
    <row r="247" spans="1:38" ht="16.5" hidden="1" customHeight="1">
      <c r="A247" s="344" t="s">
        <v>463</v>
      </c>
      <c r="B247" s="345" t="s">
        <v>1384</v>
      </c>
      <c r="C247" s="345" t="s">
        <v>589</v>
      </c>
      <c r="D247" s="345" t="s">
        <v>110</v>
      </c>
      <c r="E247" s="345" t="s">
        <v>1365</v>
      </c>
      <c r="F247" s="345" t="s">
        <v>940</v>
      </c>
      <c r="G247" s="345" t="s">
        <v>111</v>
      </c>
      <c r="H247" s="345" t="s">
        <v>111</v>
      </c>
      <c r="I247" s="345" t="s">
        <v>1385</v>
      </c>
      <c r="J247" s="345"/>
      <c r="K247" s="346" t="s">
        <v>122</v>
      </c>
      <c r="L247" s="346" t="s">
        <v>608</v>
      </c>
      <c r="M247" s="346" t="s">
        <v>1163</v>
      </c>
      <c r="N247" s="346"/>
      <c r="O247" s="346"/>
      <c r="P247" s="345" t="s">
        <v>1386</v>
      </c>
      <c r="Q247" s="345" t="s">
        <v>468</v>
      </c>
      <c r="R247" s="347" t="s">
        <v>120</v>
      </c>
      <c r="S247" s="345" t="s">
        <v>111</v>
      </c>
      <c r="T247" s="345" t="s">
        <v>469</v>
      </c>
      <c r="U247" s="345" t="s">
        <v>117</v>
      </c>
      <c r="V247" s="345" t="s">
        <v>123</v>
      </c>
      <c r="W247" s="347" t="s">
        <v>570</v>
      </c>
      <c r="X247" s="345" t="s">
        <v>119</v>
      </c>
      <c r="Y247" s="345" t="s">
        <v>472</v>
      </c>
      <c r="Z247" s="347" t="s">
        <v>582</v>
      </c>
      <c r="AA247" s="345" t="s">
        <v>1377</v>
      </c>
      <c r="AB247" s="345" t="s">
        <v>482</v>
      </c>
      <c r="AC247" s="345" t="s">
        <v>119</v>
      </c>
      <c r="AD247" s="347" t="s">
        <v>570</v>
      </c>
      <c r="AE247" s="345" t="s">
        <v>123</v>
      </c>
      <c r="AF247" s="347" t="s">
        <v>582</v>
      </c>
      <c r="AG247" s="345" t="s">
        <v>111</v>
      </c>
      <c r="AH247" s="345"/>
      <c r="AI247" s="345" t="s">
        <v>111</v>
      </c>
      <c r="AJ247" s="345" t="s">
        <v>491</v>
      </c>
      <c r="AK247" s="347" t="s">
        <v>636</v>
      </c>
      <c r="AL247" s="345"/>
    </row>
    <row r="248" spans="1:38" ht="16.5" hidden="1" customHeight="1">
      <c r="A248" s="344" t="s">
        <v>463</v>
      </c>
      <c r="B248" s="345" t="s">
        <v>1387</v>
      </c>
      <c r="C248" s="345" t="s">
        <v>589</v>
      </c>
      <c r="D248" s="345" t="s">
        <v>110</v>
      </c>
      <c r="E248" s="345" t="s">
        <v>1365</v>
      </c>
      <c r="F248" s="345" t="s">
        <v>940</v>
      </c>
      <c r="G248" s="345" t="s">
        <v>111</v>
      </c>
      <c r="H248" s="345" t="s">
        <v>111</v>
      </c>
      <c r="I248" s="345" t="s">
        <v>1388</v>
      </c>
      <c r="J248" s="345"/>
      <c r="K248" s="346" t="s">
        <v>122</v>
      </c>
      <c r="L248" s="346" t="s">
        <v>608</v>
      </c>
      <c r="M248" s="346" t="s">
        <v>114</v>
      </c>
      <c r="N248" s="346"/>
      <c r="O248" s="346"/>
      <c r="P248" s="345" t="s">
        <v>1389</v>
      </c>
      <c r="Q248" s="345" t="s">
        <v>482</v>
      </c>
      <c r="R248" s="347" t="s">
        <v>120</v>
      </c>
      <c r="S248" s="345" t="s">
        <v>111</v>
      </c>
      <c r="T248" s="345" t="s">
        <v>469</v>
      </c>
      <c r="U248" s="345" t="s">
        <v>117</v>
      </c>
      <c r="V248" s="345" t="s">
        <v>123</v>
      </c>
      <c r="W248" s="347" t="s">
        <v>570</v>
      </c>
      <c r="X248" s="345" t="s">
        <v>119</v>
      </c>
      <c r="Y248" s="345" t="s">
        <v>123</v>
      </c>
      <c r="Z248" s="347" t="s">
        <v>576</v>
      </c>
      <c r="AA248" s="345" t="s">
        <v>814</v>
      </c>
      <c r="AB248" s="345" t="s">
        <v>553</v>
      </c>
      <c r="AC248" s="345"/>
      <c r="AD248" s="347" t="s">
        <v>576</v>
      </c>
      <c r="AE248" s="345"/>
      <c r="AF248" s="347" t="s">
        <v>120</v>
      </c>
      <c r="AG248" s="345" t="s">
        <v>111</v>
      </c>
      <c r="AH248" s="345"/>
      <c r="AI248" s="345" t="s">
        <v>111</v>
      </c>
      <c r="AJ248" s="345" t="s">
        <v>491</v>
      </c>
      <c r="AK248" s="347" t="s">
        <v>636</v>
      </c>
      <c r="AL248" s="345"/>
    </row>
    <row r="249" spans="1:38" ht="16.5" hidden="1" customHeight="1">
      <c r="A249" s="344" t="s">
        <v>463</v>
      </c>
      <c r="B249" s="345" t="s">
        <v>1390</v>
      </c>
      <c r="C249" s="345" t="s">
        <v>589</v>
      </c>
      <c r="D249" s="345" t="s">
        <v>110</v>
      </c>
      <c r="E249" s="345" t="s">
        <v>1365</v>
      </c>
      <c r="F249" s="345" t="s">
        <v>940</v>
      </c>
      <c r="G249" s="345" t="s">
        <v>111</v>
      </c>
      <c r="H249" s="345" t="s">
        <v>111</v>
      </c>
      <c r="I249" s="345" t="s">
        <v>1391</v>
      </c>
      <c r="J249" s="345"/>
      <c r="K249" s="346" t="s">
        <v>122</v>
      </c>
      <c r="L249" s="346" t="s">
        <v>608</v>
      </c>
      <c r="M249" s="346" t="s">
        <v>114</v>
      </c>
      <c r="N249" s="346"/>
      <c r="O249" s="346"/>
      <c r="P249" s="345" t="s">
        <v>1392</v>
      </c>
      <c r="Q249" s="345" t="s">
        <v>468</v>
      </c>
      <c r="R249" s="347" t="s">
        <v>120</v>
      </c>
      <c r="S249" s="345" t="s">
        <v>111</v>
      </c>
      <c r="T249" s="345" t="s">
        <v>469</v>
      </c>
      <c r="U249" s="345" t="s">
        <v>117</v>
      </c>
      <c r="V249" s="345" t="s">
        <v>123</v>
      </c>
      <c r="W249" s="347" t="s">
        <v>570</v>
      </c>
      <c r="X249" s="345" t="s">
        <v>119</v>
      </c>
      <c r="Y249" s="345" t="s">
        <v>472</v>
      </c>
      <c r="Z249" s="347" t="s">
        <v>582</v>
      </c>
      <c r="AA249" s="345" t="s">
        <v>1377</v>
      </c>
      <c r="AB249" s="345" t="s">
        <v>482</v>
      </c>
      <c r="AC249" s="345" t="s">
        <v>119</v>
      </c>
      <c r="AD249" s="347" t="s">
        <v>570</v>
      </c>
      <c r="AE249" s="345" t="s">
        <v>123</v>
      </c>
      <c r="AF249" s="347" t="s">
        <v>582</v>
      </c>
      <c r="AG249" s="345" t="s">
        <v>111</v>
      </c>
      <c r="AH249" s="345"/>
      <c r="AI249" s="345" t="s">
        <v>111</v>
      </c>
      <c r="AJ249" s="345" t="s">
        <v>491</v>
      </c>
      <c r="AK249" s="347" t="s">
        <v>636</v>
      </c>
      <c r="AL249" s="345"/>
    </row>
    <row r="250" spans="1:38" ht="16.5" hidden="1" customHeight="1">
      <c r="A250" s="344" t="s">
        <v>463</v>
      </c>
      <c r="B250" s="345" t="s">
        <v>1393</v>
      </c>
      <c r="C250" s="345" t="s">
        <v>589</v>
      </c>
      <c r="D250" s="345" t="s">
        <v>110</v>
      </c>
      <c r="E250" s="345" t="s">
        <v>847</v>
      </c>
      <c r="F250" s="345" t="s">
        <v>940</v>
      </c>
      <c r="G250" s="345" t="s">
        <v>111</v>
      </c>
      <c r="H250" s="345" t="s">
        <v>111</v>
      </c>
      <c r="I250" s="345" t="s">
        <v>1394</v>
      </c>
      <c r="J250" s="345"/>
      <c r="K250" s="346" t="s">
        <v>112</v>
      </c>
      <c r="L250" s="346" t="s">
        <v>608</v>
      </c>
      <c r="M250" s="346" t="s">
        <v>114</v>
      </c>
      <c r="N250" s="346"/>
      <c r="O250" s="346"/>
      <c r="P250" s="345" t="s">
        <v>1395</v>
      </c>
      <c r="Q250" s="345" t="s">
        <v>468</v>
      </c>
      <c r="R250" s="347" t="s">
        <v>120</v>
      </c>
      <c r="S250" s="345" t="s">
        <v>517</v>
      </c>
      <c r="T250" s="345" t="s">
        <v>469</v>
      </c>
      <c r="U250" s="345" t="s">
        <v>117</v>
      </c>
      <c r="V250" s="345" t="s">
        <v>903</v>
      </c>
      <c r="W250" s="347" t="s">
        <v>570</v>
      </c>
      <c r="X250" s="345" t="s">
        <v>731</v>
      </c>
      <c r="Y250" s="345" t="s">
        <v>472</v>
      </c>
      <c r="Z250" s="347" t="s">
        <v>1206</v>
      </c>
      <c r="AA250" s="345" t="s">
        <v>619</v>
      </c>
      <c r="AB250" s="345" t="s">
        <v>482</v>
      </c>
      <c r="AC250" s="345" t="s">
        <v>119</v>
      </c>
      <c r="AD250" s="347" t="s">
        <v>576</v>
      </c>
      <c r="AE250" s="345" t="s">
        <v>903</v>
      </c>
      <c r="AF250" s="347" t="s">
        <v>1206</v>
      </c>
      <c r="AG250" s="345" t="s">
        <v>111</v>
      </c>
      <c r="AH250" s="345"/>
      <c r="AI250" s="345" t="s">
        <v>111</v>
      </c>
      <c r="AJ250" s="345" t="s">
        <v>491</v>
      </c>
      <c r="AK250" s="347" t="s">
        <v>636</v>
      </c>
      <c r="AL250" s="345" t="s">
        <v>1396</v>
      </c>
    </row>
    <row r="251" spans="1:38" ht="16.5" hidden="1" customHeight="1">
      <c r="A251" s="344" t="s">
        <v>463</v>
      </c>
      <c r="B251" s="345" t="s">
        <v>1397</v>
      </c>
      <c r="C251" s="345" t="s">
        <v>589</v>
      </c>
      <c r="D251" s="345" t="s">
        <v>110</v>
      </c>
      <c r="E251" s="345" t="s">
        <v>603</v>
      </c>
      <c r="F251" s="345" t="s">
        <v>940</v>
      </c>
      <c r="G251" s="345" t="s">
        <v>111</v>
      </c>
      <c r="H251" s="345" t="s">
        <v>111</v>
      </c>
      <c r="I251" s="345" t="s">
        <v>1398</v>
      </c>
      <c r="J251" s="345"/>
      <c r="K251" s="346" t="s">
        <v>122</v>
      </c>
      <c r="L251" s="346" t="s">
        <v>608</v>
      </c>
      <c r="M251" s="346" t="s">
        <v>114</v>
      </c>
      <c r="N251" s="346"/>
      <c r="O251" s="346"/>
      <c r="P251" s="345" t="s">
        <v>1399</v>
      </c>
      <c r="Q251" s="345" t="s">
        <v>468</v>
      </c>
      <c r="R251" s="347" t="s">
        <v>120</v>
      </c>
      <c r="S251" s="345" t="s">
        <v>111</v>
      </c>
      <c r="T251" s="345" t="s">
        <v>469</v>
      </c>
      <c r="U251" s="345" t="s">
        <v>117</v>
      </c>
      <c r="V251" s="345" t="s">
        <v>123</v>
      </c>
      <c r="W251" s="347" t="s">
        <v>582</v>
      </c>
      <c r="X251" s="345" t="s">
        <v>119</v>
      </c>
      <c r="Y251" s="345" t="s">
        <v>472</v>
      </c>
      <c r="Z251" s="347" t="s">
        <v>902</v>
      </c>
      <c r="AA251" s="345" t="s">
        <v>689</v>
      </c>
      <c r="AB251" s="345" t="s">
        <v>482</v>
      </c>
      <c r="AC251" s="345" t="s">
        <v>119</v>
      </c>
      <c r="AD251" s="347" t="s">
        <v>1123</v>
      </c>
      <c r="AE251" s="345" t="s">
        <v>895</v>
      </c>
      <c r="AF251" s="347" t="s">
        <v>902</v>
      </c>
      <c r="AG251" s="345" t="s">
        <v>111</v>
      </c>
      <c r="AH251" s="345"/>
      <c r="AI251" s="345" t="s">
        <v>111</v>
      </c>
      <c r="AJ251" s="345" t="s">
        <v>895</v>
      </c>
      <c r="AK251" s="347" t="s">
        <v>902</v>
      </c>
      <c r="AL251" s="345"/>
    </row>
    <row r="252" spans="1:38" ht="16.5" hidden="1" customHeight="1">
      <c r="A252" s="344" t="s">
        <v>463</v>
      </c>
      <c r="B252" s="345" t="s">
        <v>1400</v>
      </c>
      <c r="C252" s="345" t="s">
        <v>589</v>
      </c>
      <c r="D252" s="345" t="s">
        <v>110</v>
      </c>
      <c r="E252" s="345" t="s">
        <v>603</v>
      </c>
      <c r="F252" s="345" t="s">
        <v>940</v>
      </c>
      <c r="G252" s="345" t="s">
        <v>111</v>
      </c>
      <c r="H252" s="345" t="s">
        <v>111</v>
      </c>
      <c r="I252" s="345" t="s">
        <v>1401</v>
      </c>
      <c r="J252" s="345"/>
      <c r="K252" s="346" t="s">
        <v>122</v>
      </c>
      <c r="L252" s="346" t="s">
        <v>608</v>
      </c>
      <c r="M252" s="346" t="s">
        <v>114</v>
      </c>
      <c r="N252" s="346"/>
      <c r="O252" s="346"/>
      <c r="P252" s="345" t="s">
        <v>1402</v>
      </c>
      <c r="Q252" s="345" t="s">
        <v>468</v>
      </c>
      <c r="R252" s="347" t="s">
        <v>120</v>
      </c>
      <c r="S252" s="345" t="s">
        <v>111</v>
      </c>
      <c r="T252" s="345" t="s">
        <v>469</v>
      </c>
      <c r="U252" s="345" t="s">
        <v>117</v>
      </c>
      <c r="V252" s="345" t="s">
        <v>123</v>
      </c>
      <c r="W252" s="347" t="s">
        <v>582</v>
      </c>
      <c r="X252" s="345" t="s">
        <v>119</v>
      </c>
      <c r="Y252" s="345" t="s">
        <v>472</v>
      </c>
      <c r="Z252" s="347" t="s">
        <v>1206</v>
      </c>
      <c r="AA252" s="345" t="s">
        <v>537</v>
      </c>
      <c r="AB252" s="345" t="s">
        <v>482</v>
      </c>
      <c r="AC252" s="345" t="s">
        <v>119</v>
      </c>
      <c r="AD252" s="347" t="s">
        <v>576</v>
      </c>
      <c r="AE252" s="345" t="s">
        <v>472</v>
      </c>
      <c r="AF252" s="347" t="s">
        <v>1206</v>
      </c>
      <c r="AG252" s="345" t="s">
        <v>111</v>
      </c>
      <c r="AH252" s="345"/>
      <c r="AI252" s="345" t="s">
        <v>111</v>
      </c>
      <c r="AJ252" s="345" t="s">
        <v>491</v>
      </c>
      <c r="AK252" s="347" t="s">
        <v>636</v>
      </c>
      <c r="AL252" s="345"/>
    </row>
    <row r="253" spans="1:38" ht="16.5" hidden="1" customHeight="1">
      <c r="A253" s="344" t="s">
        <v>463</v>
      </c>
      <c r="B253" s="345" t="s">
        <v>1403</v>
      </c>
      <c r="C253" s="345" t="s">
        <v>589</v>
      </c>
      <c r="D253" s="345" t="s">
        <v>110</v>
      </c>
      <c r="E253" s="345" t="s">
        <v>847</v>
      </c>
      <c r="F253" s="345" t="s">
        <v>940</v>
      </c>
      <c r="G253" s="345" t="s">
        <v>111</v>
      </c>
      <c r="H253" s="345" t="s">
        <v>111</v>
      </c>
      <c r="I253" s="345" t="s">
        <v>1404</v>
      </c>
      <c r="J253" s="345"/>
      <c r="K253" s="346" t="s">
        <v>122</v>
      </c>
      <c r="L253" s="346" t="s">
        <v>608</v>
      </c>
      <c r="M253" s="346" t="s">
        <v>114</v>
      </c>
      <c r="N253" s="346"/>
      <c r="O253" s="346"/>
      <c r="P253" s="345" t="s">
        <v>1405</v>
      </c>
      <c r="Q253" s="345" t="s">
        <v>468</v>
      </c>
      <c r="R253" s="347" t="s">
        <v>120</v>
      </c>
      <c r="S253" s="345" t="s">
        <v>111</v>
      </c>
      <c r="T253" s="345" t="s">
        <v>469</v>
      </c>
      <c r="U253" s="345" t="s">
        <v>117</v>
      </c>
      <c r="V253" s="345" t="s">
        <v>123</v>
      </c>
      <c r="W253" s="347" t="s">
        <v>582</v>
      </c>
      <c r="X253" s="345" t="s">
        <v>119</v>
      </c>
      <c r="Y253" s="345" t="s">
        <v>472</v>
      </c>
      <c r="Z253" s="347" t="s">
        <v>1206</v>
      </c>
      <c r="AA253" s="345" t="s">
        <v>537</v>
      </c>
      <c r="AB253" s="345" t="s">
        <v>482</v>
      </c>
      <c r="AC253" s="345" t="s">
        <v>119</v>
      </c>
      <c r="AD253" s="347" t="s">
        <v>576</v>
      </c>
      <c r="AE253" s="345" t="s">
        <v>472</v>
      </c>
      <c r="AF253" s="347" t="s">
        <v>1206</v>
      </c>
      <c r="AG253" s="345" t="s">
        <v>111</v>
      </c>
      <c r="AH253" s="345"/>
      <c r="AI253" s="345" t="s">
        <v>111</v>
      </c>
      <c r="AJ253" s="345" t="s">
        <v>491</v>
      </c>
      <c r="AK253" s="347" t="s">
        <v>636</v>
      </c>
      <c r="AL253" s="345"/>
    </row>
    <row r="254" spans="1:38" ht="16.5" hidden="1" customHeight="1">
      <c r="A254" s="344" t="s">
        <v>463</v>
      </c>
      <c r="B254" s="345" t="s">
        <v>1406</v>
      </c>
      <c r="C254" s="345" t="s">
        <v>589</v>
      </c>
      <c r="D254" s="345" t="s">
        <v>110</v>
      </c>
      <c r="E254" s="345" t="s">
        <v>847</v>
      </c>
      <c r="F254" s="345" t="s">
        <v>940</v>
      </c>
      <c r="G254" s="345" t="s">
        <v>111</v>
      </c>
      <c r="H254" s="345" t="s">
        <v>111</v>
      </c>
      <c r="I254" s="345" t="s">
        <v>1407</v>
      </c>
      <c r="J254" s="345"/>
      <c r="K254" s="346" t="s">
        <v>122</v>
      </c>
      <c r="L254" s="346" t="s">
        <v>608</v>
      </c>
      <c r="M254" s="346" t="s">
        <v>114</v>
      </c>
      <c r="N254" s="346"/>
      <c r="O254" s="346"/>
      <c r="P254" s="345" t="s">
        <v>1408</v>
      </c>
      <c r="Q254" s="345" t="s">
        <v>468</v>
      </c>
      <c r="R254" s="347" t="s">
        <v>120</v>
      </c>
      <c r="S254" s="345" t="s">
        <v>1409</v>
      </c>
      <c r="T254" s="345" t="s">
        <v>469</v>
      </c>
      <c r="U254" s="345" t="s">
        <v>117</v>
      </c>
      <c r="V254" s="345" t="s">
        <v>123</v>
      </c>
      <c r="W254" s="347" t="s">
        <v>582</v>
      </c>
      <c r="X254" s="345" t="s">
        <v>119</v>
      </c>
      <c r="Y254" s="345" t="s">
        <v>472</v>
      </c>
      <c r="Z254" s="347" t="s">
        <v>902</v>
      </c>
      <c r="AA254" s="345" t="s">
        <v>619</v>
      </c>
      <c r="AB254" s="345" t="s">
        <v>482</v>
      </c>
      <c r="AC254" s="345" t="s">
        <v>119</v>
      </c>
      <c r="AD254" s="347" t="s">
        <v>1027</v>
      </c>
      <c r="AE254" s="345" t="s">
        <v>472</v>
      </c>
      <c r="AF254" s="347" t="s">
        <v>902</v>
      </c>
      <c r="AG254" s="345" t="s">
        <v>111</v>
      </c>
      <c r="AH254" s="345"/>
      <c r="AI254" s="345" t="s">
        <v>111</v>
      </c>
      <c r="AJ254" s="345" t="s">
        <v>895</v>
      </c>
      <c r="AK254" s="347" t="s">
        <v>902</v>
      </c>
      <c r="AL254" s="345"/>
    </row>
    <row r="255" spans="1:38" ht="16.5" hidden="1" customHeight="1">
      <c r="A255" s="344" t="s">
        <v>463</v>
      </c>
      <c r="B255" s="345" t="s">
        <v>1410</v>
      </c>
      <c r="C255" s="345" t="s">
        <v>589</v>
      </c>
      <c r="D255" s="345" t="s">
        <v>110</v>
      </c>
      <c r="E255" s="345" t="s">
        <v>853</v>
      </c>
      <c r="F255" s="345" t="s">
        <v>940</v>
      </c>
      <c r="G255" s="345" t="s">
        <v>111</v>
      </c>
      <c r="H255" s="345" t="s">
        <v>111</v>
      </c>
      <c r="I255" s="345" t="s">
        <v>1411</v>
      </c>
      <c r="J255" s="345"/>
      <c r="K255" s="346" t="s">
        <v>122</v>
      </c>
      <c r="L255" s="346" t="s">
        <v>608</v>
      </c>
      <c r="M255" s="346" t="s">
        <v>114</v>
      </c>
      <c r="N255" s="346"/>
      <c r="O255" s="346"/>
      <c r="P255" s="345" t="s">
        <v>1412</v>
      </c>
      <c r="Q255" s="345" t="s">
        <v>468</v>
      </c>
      <c r="R255" s="347" t="s">
        <v>120</v>
      </c>
      <c r="S255" s="345" t="s">
        <v>111</v>
      </c>
      <c r="T255" s="345" t="s">
        <v>469</v>
      </c>
      <c r="U255" s="345" t="s">
        <v>117</v>
      </c>
      <c r="V255" s="345" t="s">
        <v>123</v>
      </c>
      <c r="W255" s="347" t="s">
        <v>582</v>
      </c>
      <c r="X255" s="345" t="s">
        <v>119</v>
      </c>
      <c r="Y255" s="345" t="s">
        <v>472</v>
      </c>
      <c r="Z255" s="347" t="s">
        <v>576</v>
      </c>
      <c r="AA255" s="345" t="s">
        <v>537</v>
      </c>
      <c r="AB255" s="345" t="s">
        <v>482</v>
      </c>
      <c r="AC255" s="345" t="s">
        <v>119</v>
      </c>
      <c r="AD255" s="347" t="s">
        <v>576</v>
      </c>
      <c r="AE255" s="345" t="s">
        <v>491</v>
      </c>
      <c r="AF255" s="347" t="s">
        <v>576</v>
      </c>
      <c r="AG255" s="345" t="s">
        <v>111</v>
      </c>
      <c r="AH255" s="345"/>
      <c r="AI255" s="345" t="s">
        <v>111</v>
      </c>
      <c r="AJ255" s="345" t="s">
        <v>491</v>
      </c>
      <c r="AK255" s="347" t="s">
        <v>636</v>
      </c>
      <c r="AL255" s="345"/>
    </row>
    <row r="256" spans="1:38" ht="16.5" hidden="1" customHeight="1">
      <c r="A256" s="344" t="s">
        <v>463</v>
      </c>
      <c r="B256" s="349" t="s">
        <v>1413</v>
      </c>
      <c r="C256" s="349" t="s">
        <v>589</v>
      </c>
      <c r="D256" s="349" t="s">
        <v>110</v>
      </c>
      <c r="E256" s="349" t="s">
        <v>853</v>
      </c>
      <c r="F256" s="349" t="s">
        <v>898</v>
      </c>
      <c r="G256" s="349" t="s">
        <v>111</v>
      </c>
      <c r="H256" s="349" t="s">
        <v>111</v>
      </c>
      <c r="I256" s="349" t="s">
        <v>1414</v>
      </c>
      <c r="J256" s="349"/>
      <c r="K256" s="350" t="s">
        <v>122</v>
      </c>
      <c r="L256" s="350" t="s">
        <v>608</v>
      </c>
      <c r="M256" s="350" t="s">
        <v>114</v>
      </c>
      <c r="N256" s="350"/>
      <c r="O256" s="350"/>
      <c r="P256" s="349" t="s">
        <v>1415</v>
      </c>
      <c r="Q256" s="349" t="s">
        <v>468</v>
      </c>
      <c r="R256" s="351" t="s">
        <v>120</v>
      </c>
      <c r="S256" s="349" t="s">
        <v>111</v>
      </c>
      <c r="T256" s="349" t="s">
        <v>469</v>
      </c>
      <c r="U256" s="349" t="s">
        <v>117</v>
      </c>
      <c r="V256" s="349" t="s">
        <v>491</v>
      </c>
      <c r="W256" s="351" t="s">
        <v>582</v>
      </c>
      <c r="X256" s="349" t="s">
        <v>820</v>
      </c>
      <c r="Y256" s="349" t="s">
        <v>472</v>
      </c>
      <c r="Z256" s="351" t="s">
        <v>576</v>
      </c>
      <c r="AA256" s="349" t="s">
        <v>619</v>
      </c>
      <c r="AB256" s="349" t="s">
        <v>482</v>
      </c>
      <c r="AC256" s="349" t="s">
        <v>119</v>
      </c>
      <c r="AD256" s="351" t="s">
        <v>818</v>
      </c>
      <c r="AE256" s="349" t="s">
        <v>903</v>
      </c>
      <c r="AF256" s="351" t="s">
        <v>576</v>
      </c>
      <c r="AG256" s="349" t="s">
        <v>111</v>
      </c>
      <c r="AH256" s="349"/>
      <c r="AI256" s="349" t="s">
        <v>111</v>
      </c>
      <c r="AJ256" s="349" t="s">
        <v>491</v>
      </c>
      <c r="AK256" s="351" t="s">
        <v>636</v>
      </c>
      <c r="AL256" s="349"/>
    </row>
    <row r="257" spans="1:38" ht="16.5" hidden="1" customHeight="1">
      <c r="A257" s="344" t="s">
        <v>463</v>
      </c>
      <c r="B257" s="345" t="s">
        <v>1416</v>
      </c>
      <c r="C257" s="345" t="s">
        <v>589</v>
      </c>
      <c r="D257" s="345" t="s">
        <v>110</v>
      </c>
      <c r="E257" s="345" t="s">
        <v>853</v>
      </c>
      <c r="F257" s="345" t="s">
        <v>940</v>
      </c>
      <c r="G257" s="345" t="s">
        <v>111</v>
      </c>
      <c r="H257" s="345" t="s">
        <v>111</v>
      </c>
      <c r="I257" s="345" t="s">
        <v>1417</v>
      </c>
      <c r="J257" s="345"/>
      <c r="K257" s="346" t="s">
        <v>122</v>
      </c>
      <c r="L257" s="346" t="s">
        <v>608</v>
      </c>
      <c r="M257" s="346" t="s">
        <v>114</v>
      </c>
      <c r="N257" s="346"/>
      <c r="O257" s="346"/>
      <c r="P257" s="345" t="s">
        <v>1418</v>
      </c>
      <c r="Q257" s="345" t="s">
        <v>482</v>
      </c>
      <c r="R257" s="347" t="s">
        <v>120</v>
      </c>
      <c r="S257" s="345" t="s">
        <v>111</v>
      </c>
      <c r="T257" s="345" t="s">
        <v>469</v>
      </c>
      <c r="U257" s="345" t="s">
        <v>117</v>
      </c>
      <c r="V257" s="345" t="s">
        <v>123</v>
      </c>
      <c r="W257" s="347" t="s">
        <v>582</v>
      </c>
      <c r="X257" s="345" t="s">
        <v>119</v>
      </c>
      <c r="Y257" s="345" t="s">
        <v>123</v>
      </c>
      <c r="Z257" s="347" t="s">
        <v>1206</v>
      </c>
      <c r="AA257" s="345" t="s">
        <v>619</v>
      </c>
      <c r="AB257" s="345" t="s">
        <v>1114</v>
      </c>
      <c r="AC257" s="345" t="s">
        <v>119</v>
      </c>
      <c r="AD257" s="347" t="s">
        <v>1206</v>
      </c>
      <c r="AE257" s="345"/>
      <c r="AF257" s="347" t="s">
        <v>120</v>
      </c>
      <c r="AG257" s="345" t="s">
        <v>1419</v>
      </c>
      <c r="AH257" s="345"/>
      <c r="AI257" s="345" t="s">
        <v>111</v>
      </c>
      <c r="AJ257" s="345" t="s">
        <v>491</v>
      </c>
      <c r="AK257" s="347" t="s">
        <v>636</v>
      </c>
      <c r="AL257" s="345"/>
    </row>
    <row r="258" spans="1:38" ht="16.5" hidden="1" customHeight="1">
      <c r="A258" s="344" t="s">
        <v>463</v>
      </c>
      <c r="B258" s="349" t="s">
        <v>1420</v>
      </c>
      <c r="C258" s="349" t="s">
        <v>589</v>
      </c>
      <c r="D258" s="349" t="s">
        <v>110</v>
      </c>
      <c r="E258" s="349" t="s">
        <v>590</v>
      </c>
      <c r="F258" s="349" t="s">
        <v>898</v>
      </c>
      <c r="G258" s="349" t="s">
        <v>111</v>
      </c>
      <c r="H258" s="349" t="s">
        <v>111</v>
      </c>
      <c r="I258" s="349" t="s">
        <v>1421</v>
      </c>
      <c r="J258" s="349"/>
      <c r="K258" s="350" t="s">
        <v>122</v>
      </c>
      <c r="L258" s="350" t="s">
        <v>608</v>
      </c>
      <c r="M258" s="350" t="s">
        <v>1163</v>
      </c>
      <c r="N258" s="350"/>
      <c r="O258" s="350"/>
      <c r="P258" s="349" t="s">
        <v>1422</v>
      </c>
      <c r="Q258" s="349" t="s">
        <v>482</v>
      </c>
      <c r="R258" s="351" t="s">
        <v>120</v>
      </c>
      <c r="S258" s="349" t="s">
        <v>111</v>
      </c>
      <c r="T258" s="349" t="s">
        <v>469</v>
      </c>
      <c r="U258" s="349" t="s">
        <v>117</v>
      </c>
      <c r="V258" s="349" t="s">
        <v>491</v>
      </c>
      <c r="W258" s="351" t="s">
        <v>582</v>
      </c>
      <c r="X258" s="349" t="s">
        <v>820</v>
      </c>
      <c r="Y258" s="349" t="s">
        <v>491</v>
      </c>
      <c r="Z258" s="351" t="s">
        <v>1206</v>
      </c>
      <c r="AA258" s="349" t="s">
        <v>814</v>
      </c>
      <c r="AB258" s="349" t="s">
        <v>553</v>
      </c>
      <c r="AC258" s="349"/>
      <c r="AD258" s="351" t="s">
        <v>1206</v>
      </c>
      <c r="AE258" s="349"/>
      <c r="AF258" s="351" t="s">
        <v>120</v>
      </c>
      <c r="AG258" s="349" t="s">
        <v>111</v>
      </c>
      <c r="AH258" s="349"/>
      <c r="AI258" s="349" t="s">
        <v>111</v>
      </c>
      <c r="AJ258" s="349" t="s">
        <v>491</v>
      </c>
      <c r="AK258" s="351" t="s">
        <v>636</v>
      </c>
      <c r="AL258" s="349"/>
    </row>
    <row r="259" spans="1:38" ht="16.5" hidden="1" customHeight="1">
      <c r="A259" s="344" t="s">
        <v>463</v>
      </c>
      <c r="B259" s="349" t="s">
        <v>1423</v>
      </c>
      <c r="C259" s="349" t="s">
        <v>589</v>
      </c>
      <c r="D259" s="349" t="s">
        <v>110</v>
      </c>
      <c r="E259" s="349" t="s">
        <v>853</v>
      </c>
      <c r="F259" s="349" t="s">
        <v>898</v>
      </c>
      <c r="G259" s="349" t="s">
        <v>111</v>
      </c>
      <c r="H259" s="349" t="s">
        <v>111</v>
      </c>
      <c r="I259" s="349" t="s">
        <v>1424</v>
      </c>
      <c r="J259" s="349"/>
      <c r="K259" s="350" t="s">
        <v>122</v>
      </c>
      <c r="L259" s="350" t="s">
        <v>608</v>
      </c>
      <c r="M259" s="350" t="s">
        <v>114</v>
      </c>
      <c r="N259" s="350"/>
      <c r="O259" s="350"/>
      <c r="P259" s="349" t="s">
        <v>1425</v>
      </c>
      <c r="Q259" s="349" t="s">
        <v>468</v>
      </c>
      <c r="R259" s="351" t="s">
        <v>120</v>
      </c>
      <c r="S259" s="349" t="s">
        <v>111</v>
      </c>
      <c r="T259" s="349" t="s">
        <v>469</v>
      </c>
      <c r="U259" s="349" t="s">
        <v>117</v>
      </c>
      <c r="V259" s="349" t="s">
        <v>491</v>
      </c>
      <c r="W259" s="351" t="s">
        <v>582</v>
      </c>
      <c r="X259" s="349" t="s">
        <v>820</v>
      </c>
      <c r="Y259" s="349" t="s">
        <v>472</v>
      </c>
      <c r="Z259" s="351" t="s">
        <v>576</v>
      </c>
      <c r="AA259" s="349" t="s">
        <v>619</v>
      </c>
      <c r="AB259" s="349" t="s">
        <v>482</v>
      </c>
      <c r="AC259" s="349" t="s">
        <v>119</v>
      </c>
      <c r="AD259" s="351" t="s">
        <v>582</v>
      </c>
      <c r="AE259" s="349" t="s">
        <v>903</v>
      </c>
      <c r="AF259" s="351" t="s">
        <v>576</v>
      </c>
      <c r="AG259" s="349" t="s">
        <v>111</v>
      </c>
      <c r="AH259" s="349"/>
      <c r="AI259" s="349" t="s">
        <v>111</v>
      </c>
      <c r="AJ259" s="349" t="s">
        <v>491</v>
      </c>
      <c r="AK259" s="351" t="s">
        <v>636</v>
      </c>
      <c r="AL259" s="349"/>
    </row>
    <row r="260" spans="1:38" ht="16.5" hidden="1" customHeight="1">
      <c r="A260" s="344" t="s">
        <v>463</v>
      </c>
      <c r="B260" s="345" t="s">
        <v>1426</v>
      </c>
      <c r="C260" s="345" t="s">
        <v>589</v>
      </c>
      <c r="D260" s="345" t="s">
        <v>110</v>
      </c>
      <c r="E260" s="345" t="s">
        <v>853</v>
      </c>
      <c r="F260" s="345" t="s">
        <v>940</v>
      </c>
      <c r="G260" s="345" t="s">
        <v>111</v>
      </c>
      <c r="H260" s="345" t="s">
        <v>111</v>
      </c>
      <c r="I260" s="345" t="s">
        <v>1427</v>
      </c>
      <c r="J260" s="345"/>
      <c r="K260" s="346" t="s">
        <v>122</v>
      </c>
      <c r="L260" s="346" t="s">
        <v>608</v>
      </c>
      <c r="M260" s="346" t="s">
        <v>114</v>
      </c>
      <c r="N260" s="346"/>
      <c r="O260" s="346"/>
      <c r="P260" s="345" t="s">
        <v>1428</v>
      </c>
      <c r="Q260" s="345" t="s">
        <v>482</v>
      </c>
      <c r="R260" s="347" t="s">
        <v>120</v>
      </c>
      <c r="S260" s="345" t="s">
        <v>111</v>
      </c>
      <c r="T260" s="345" t="s">
        <v>469</v>
      </c>
      <c r="U260" s="345" t="s">
        <v>117</v>
      </c>
      <c r="V260" s="345" t="s">
        <v>123</v>
      </c>
      <c r="W260" s="347" t="s">
        <v>582</v>
      </c>
      <c r="X260" s="345" t="s">
        <v>119</v>
      </c>
      <c r="Y260" s="345" t="s">
        <v>123</v>
      </c>
      <c r="Z260" s="347" t="s">
        <v>1206</v>
      </c>
      <c r="AA260" s="345" t="s">
        <v>619</v>
      </c>
      <c r="AB260" s="345" t="s">
        <v>1114</v>
      </c>
      <c r="AC260" s="345" t="s">
        <v>119</v>
      </c>
      <c r="AD260" s="347" t="s">
        <v>1206</v>
      </c>
      <c r="AE260" s="345"/>
      <c r="AF260" s="347" t="s">
        <v>120</v>
      </c>
      <c r="AG260" s="345" t="s">
        <v>1419</v>
      </c>
      <c r="AH260" s="345"/>
      <c r="AI260" s="345" t="s">
        <v>111</v>
      </c>
      <c r="AJ260" s="345" t="s">
        <v>491</v>
      </c>
      <c r="AK260" s="347" t="s">
        <v>636</v>
      </c>
      <c r="AL260" s="345"/>
    </row>
    <row r="261" spans="1:38" ht="16.5" hidden="1" customHeight="1">
      <c r="A261" s="344" t="s">
        <v>463</v>
      </c>
      <c r="B261" s="345" t="s">
        <v>1429</v>
      </c>
      <c r="C261" s="345" t="s">
        <v>589</v>
      </c>
      <c r="D261" s="345" t="s">
        <v>110</v>
      </c>
      <c r="E261" s="345" t="s">
        <v>853</v>
      </c>
      <c r="F261" s="345" t="s">
        <v>940</v>
      </c>
      <c r="G261" s="345" t="s">
        <v>111</v>
      </c>
      <c r="H261" s="345" t="s">
        <v>111</v>
      </c>
      <c r="I261" s="345" t="s">
        <v>1430</v>
      </c>
      <c r="J261" s="345"/>
      <c r="K261" s="346" t="s">
        <v>122</v>
      </c>
      <c r="L261" s="346" t="s">
        <v>608</v>
      </c>
      <c r="M261" s="346" t="s">
        <v>114</v>
      </c>
      <c r="N261" s="346"/>
      <c r="O261" s="346"/>
      <c r="P261" s="345" t="s">
        <v>1431</v>
      </c>
      <c r="Q261" s="345" t="s">
        <v>468</v>
      </c>
      <c r="R261" s="347" t="s">
        <v>120</v>
      </c>
      <c r="S261" s="345" t="s">
        <v>111</v>
      </c>
      <c r="T261" s="345" t="s">
        <v>469</v>
      </c>
      <c r="U261" s="345" t="s">
        <v>117</v>
      </c>
      <c r="V261" s="345" t="s">
        <v>123</v>
      </c>
      <c r="W261" s="347" t="s">
        <v>582</v>
      </c>
      <c r="X261" s="345" t="s">
        <v>119</v>
      </c>
      <c r="Y261" s="345" t="s">
        <v>472</v>
      </c>
      <c r="Z261" s="347" t="s">
        <v>1206</v>
      </c>
      <c r="AA261" s="345" t="s">
        <v>619</v>
      </c>
      <c r="AB261" s="345" t="s">
        <v>482</v>
      </c>
      <c r="AC261" s="345" t="s">
        <v>119</v>
      </c>
      <c r="AD261" s="347" t="s">
        <v>1206</v>
      </c>
      <c r="AE261" s="345" t="s">
        <v>1348</v>
      </c>
      <c r="AF261" s="347" t="s">
        <v>1206</v>
      </c>
      <c r="AG261" s="345" t="s">
        <v>111</v>
      </c>
      <c r="AH261" s="345"/>
      <c r="AI261" s="345" t="s">
        <v>111</v>
      </c>
      <c r="AJ261" s="345" t="s">
        <v>491</v>
      </c>
      <c r="AK261" s="347" t="s">
        <v>636</v>
      </c>
      <c r="AL261" s="345"/>
    </row>
    <row r="262" spans="1:38" ht="16.5" hidden="1" customHeight="1">
      <c r="A262" s="344" t="s">
        <v>463</v>
      </c>
      <c r="B262" s="349" t="s">
        <v>1432</v>
      </c>
      <c r="C262" s="349" t="s">
        <v>589</v>
      </c>
      <c r="D262" s="349" t="s">
        <v>110</v>
      </c>
      <c r="E262" s="349" t="s">
        <v>708</v>
      </c>
      <c r="F262" s="349" t="s">
        <v>898</v>
      </c>
      <c r="G262" s="349" t="s">
        <v>111</v>
      </c>
      <c r="H262" s="349" t="s">
        <v>111</v>
      </c>
      <c r="I262" s="349" t="s">
        <v>1433</v>
      </c>
      <c r="J262" s="349"/>
      <c r="K262" s="350" t="s">
        <v>112</v>
      </c>
      <c r="L262" s="350" t="s">
        <v>593</v>
      </c>
      <c r="M262" s="350" t="s">
        <v>114</v>
      </c>
      <c r="N262" s="350"/>
      <c r="O262" s="350"/>
      <c r="P262" s="349" t="s">
        <v>1434</v>
      </c>
      <c r="Q262" s="349" t="s">
        <v>482</v>
      </c>
      <c r="R262" s="351" t="s">
        <v>120</v>
      </c>
      <c r="S262" s="349" t="s">
        <v>568</v>
      </c>
      <c r="T262" s="349" t="s">
        <v>469</v>
      </c>
      <c r="U262" s="349" t="s">
        <v>117</v>
      </c>
      <c r="V262" s="349" t="s">
        <v>483</v>
      </c>
      <c r="W262" s="351" t="s">
        <v>582</v>
      </c>
      <c r="X262" s="349" t="s">
        <v>820</v>
      </c>
      <c r="Y262" s="349" t="s">
        <v>483</v>
      </c>
      <c r="Z262" s="351" t="s">
        <v>1123</v>
      </c>
      <c r="AA262" s="349" t="s">
        <v>814</v>
      </c>
      <c r="AB262" s="349" t="s">
        <v>553</v>
      </c>
      <c r="AC262" s="349"/>
      <c r="AD262" s="351" t="s">
        <v>1123</v>
      </c>
      <c r="AE262" s="349"/>
      <c r="AF262" s="351" t="s">
        <v>120</v>
      </c>
      <c r="AG262" s="349" t="s">
        <v>111</v>
      </c>
      <c r="AH262" s="349"/>
      <c r="AI262" s="349" t="s">
        <v>111</v>
      </c>
      <c r="AJ262" s="349" t="s">
        <v>814</v>
      </c>
      <c r="AK262" s="351" t="s">
        <v>1123</v>
      </c>
      <c r="AL262" s="349"/>
    </row>
    <row r="263" spans="1:38" ht="16.5" hidden="1" customHeight="1">
      <c r="A263" s="344" t="s">
        <v>463</v>
      </c>
      <c r="B263" s="349" t="s">
        <v>1435</v>
      </c>
      <c r="C263" s="349" t="s">
        <v>589</v>
      </c>
      <c r="D263" s="349" t="s">
        <v>110</v>
      </c>
      <c r="E263" s="349" t="s">
        <v>860</v>
      </c>
      <c r="F263" s="349" t="s">
        <v>898</v>
      </c>
      <c r="G263" s="349" t="s">
        <v>111</v>
      </c>
      <c r="H263" s="349" t="s">
        <v>111</v>
      </c>
      <c r="I263" s="349" t="s">
        <v>1436</v>
      </c>
      <c r="J263" s="349"/>
      <c r="K263" s="350" t="s">
        <v>112</v>
      </c>
      <c r="L263" s="350" t="s">
        <v>608</v>
      </c>
      <c r="M263" s="350" t="s">
        <v>114</v>
      </c>
      <c r="N263" s="350"/>
      <c r="O263" s="350"/>
      <c r="P263" s="349" t="s">
        <v>1437</v>
      </c>
      <c r="Q263" s="349" t="s">
        <v>468</v>
      </c>
      <c r="R263" s="351" t="s">
        <v>120</v>
      </c>
      <c r="S263" s="349" t="s">
        <v>111</v>
      </c>
      <c r="T263" s="349" t="s">
        <v>469</v>
      </c>
      <c r="U263" s="349" t="s">
        <v>117</v>
      </c>
      <c r="V263" s="349" t="s">
        <v>491</v>
      </c>
      <c r="W263" s="351" t="s">
        <v>582</v>
      </c>
      <c r="X263" s="349" t="s">
        <v>820</v>
      </c>
      <c r="Y263" s="349" t="s">
        <v>472</v>
      </c>
      <c r="Z263" s="351" t="s">
        <v>576</v>
      </c>
      <c r="AA263" s="349" t="s">
        <v>689</v>
      </c>
      <c r="AB263" s="349" t="s">
        <v>482</v>
      </c>
      <c r="AC263" s="349" t="s">
        <v>119</v>
      </c>
      <c r="AD263" s="351" t="s">
        <v>576</v>
      </c>
      <c r="AE263" s="349" t="s">
        <v>491</v>
      </c>
      <c r="AF263" s="351" t="s">
        <v>576</v>
      </c>
      <c r="AG263" s="349" t="s">
        <v>111</v>
      </c>
      <c r="AH263" s="349"/>
      <c r="AI263" s="349" t="s">
        <v>111</v>
      </c>
      <c r="AJ263" s="349" t="s">
        <v>491</v>
      </c>
      <c r="AK263" s="351" t="s">
        <v>636</v>
      </c>
      <c r="AL263" s="349"/>
    </row>
    <row r="264" spans="1:38" ht="16.5" hidden="1" customHeight="1">
      <c r="A264" s="344" t="s">
        <v>463</v>
      </c>
      <c r="B264" s="349" t="s">
        <v>1438</v>
      </c>
      <c r="C264" s="349" t="s">
        <v>589</v>
      </c>
      <c r="D264" s="349" t="s">
        <v>110</v>
      </c>
      <c r="E264" s="349" t="s">
        <v>847</v>
      </c>
      <c r="F264" s="349" t="s">
        <v>898</v>
      </c>
      <c r="G264" s="349" t="s">
        <v>111</v>
      </c>
      <c r="H264" s="349" t="s">
        <v>111</v>
      </c>
      <c r="I264" s="349" t="s">
        <v>1439</v>
      </c>
      <c r="J264" s="349"/>
      <c r="K264" s="350" t="s">
        <v>122</v>
      </c>
      <c r="L264" s="350" t="s">
        <v>608</v>
      </c>
      <c r="M264" s="350" t="s">
        <v>114</v>
      </c>
      <c r="N264" s="350"/>
      <c r="O264" s="350"/>
      <c r="P264" s="349" t="s">
        <v>1440</v>
      </c>
      <c r="Q264" s="349" t="s">
        <v>468</v>
      </c>
      <c r="R264" s="351" t="s">
        <v>120</v>
      </c>
      <c r="S264" s="349" t="s">
        <v>111</v>
      </c>
      <c r="T264" s="349" t="s">
        <v>469</v>
      </c>
      <c r="U264" s="349" t="s">
        <v>117</v>
      </c>
      <c r="V264" s="349" t="s">
        <v>491</v>
      </c>
      <c r="W264" s="351" t="s">
        <v>582</v>
      </c>
      <c r="X264" s="349" t="s">
        <v>820</v>
      </c>
      <c r="Y264" s="349" t="s">
        <v>472</v>
      </c>
      <c r="Z264" s="351" t="s">
        <v>576</v>
      </c>
      <c r="AA264" s="349" t="s">
        <v>537</v>
      </c>
      <c r="AB264" s="349" t="s">
        <v>553</v>
      </c>
      <c r="AC264" s="349"/>
      <c r="AD264" s="351" t="s">
        <v>576</v>
      </c>
      <c r="AE264" s="349" t="s">
        <v>537</v>
      </c>
      <c r="AF264" s="351" t="s">
        <v>576</v>
      </c>
      <c r="AG264" s="349" t="s">
        <v>111</v>
      </c>
      <c r="AH264" s="349"/>
      <c r="AI264" s="349" t="s">
        <v>111</v>
      </c>
      <c r="AJ264" s="349" t="s">
        <v>491</v>
      </c>
      <c r="AK264" s="351" t="s">
        <v>636</v>
      </c>
      <c r="AL264" s="349"/>
    </row>
    <row r="265" spans="1:38" ht="16.5" hidden="1" customHeight="1">
      <c r="A265" s="344" t="s">
        <v>463</v>
      </c>
      <c r="B265" s="349" t="s">
        <v>1441</v>
      </c>
      <c r="C265" s="349" t="s">
        <v>589</v>
      </c>
      <c r="D265" s="349" t="s">
        <v>110</v>
      </c>
      <c r="E265" s="349" t="s">
        <v>708</v>
      </c>
      <c r="F265" s="349" t="s">
        <v>898</v>
      </c>
      <c r="G265" s="349" t="s">
        <v>111</v>
      </c>
      <c r="H265" s="349" t="s">
        <v>111</v>
      </c>
      <c r="I265" s="349" t="s">
        <v>1442</v>
      </c>
      <c r="J265" s="349"/>
      <c r="K265" s="350" t="s">
        <v>122</v>
      </c>
      <c r="L265" s="350" t="s">
        <v>608</v>
      </c>
      <c r="M265" s="350" t="s">
        <v>114</v>
      </c>
      <c r="N265" s="350"/>
      <c r="O265" s="350"/>
      <c r="P265" s="349" t="s">
        <v>1443</v>
      </c>
      <c r="Q265" s="349" t="s">
        <v>468</v>
      </c>
      <c r="R265" s="351" t="s">
        <v>120</v>
      </c>
      <c r="S265" s="349" t="s">
        <v>111</v>
      </c>
      <c r="T265" s="349" t="s">
        <v>469</v>
      </c>
      <c r="U265" s="349" t="s">
        <v>117</v>
      </c>
      <c r="V265" s="349" t="s">
        <v>491</v>
      </c>
      <c r="W265" s="351" t="s">
        <v>818</v>
      </c>
      <c r="X265" s="349" t="s">
        <v>820</v>
      </c>
      <c r="Y265" s="349" t="s">
        <v>472</v>
      </c>
      <c r="Z265" s="351" t="s">
        <v>1206</v>
      </c>
      <c r="AA265" s="349" t="s">
        <v>619</v>
      </c>
      <c r="AB265" s="349" t="s">
        <v>482</v>
      </c>
      <c r="AC265" s="349" t="s">
        <v>119</v>
      </c>
      <c r="AD265" s="351" t="s">
        <v>576</v>
      </c>
      <c r="AE265" s="349" t="s">
        <v>491</v>
      </c>
      <c r="AF265" s="351" t="s">
        <v>1206</v>
      </c>
      <c r="AG265" s="349" t="s">
        <v>111</v>
      </c>
      <c r="AH265" s="349"/>
      <c r="AI265" s="349" t="s">
        <v>111</v>
      </c>
      <c r="AJ265" s="349" t="s">
        <v>491</v>
      </c>
      <c r="AK265" s="351" t="s">
        <v>636</v>
      </c>
      <c r="AL265" s="349"/>
    </row>
    <row r="266" spans="1:38" ht="16.5" hidden="1" customHeight="1">
      <c r="A266" s="344" t="s">
        <v>463</v>
      </c>
      <c r="B266" s="349" t="s">
        <v>1444</v>
      </c>
      <c r="C266" s="349" t="s">
        <v>589</v>
      </c>
      <c r="D266" s="349" t="s">
        <v>110</v>
      </c>
      <c r="E266" s="349" t="s">
        <v>603</v>
      </c>
      <c r="F266" s="349" t="s">
        <v>898</v>
      </c>
      <c r="G266" s="349" t="s">
        <v>111</v>
      </c>
      <c r="H266" s="349" t="s">
        <v>111</v>
      </c>
      <c r="I266" s="349" t="s">
        <v>1445</v>
      </c>
      <c r="J266" s="349"/>
      <c r="K266" s="350" t="s">
        <v>122</v>
      </c>
      <c r="L266" s="350" t="s">
        <v>608</v>
      </c>
      <c r="M266" s="350" t="s">
        <v>114</v>
      </c>
      <c r="N266" s="350"/>
      <c r="O266" s="350"/>
      <c r="P266" s="349" t="s">
        <v>1446</v>
      </c>
      <c r="Q266" s="349" t="s">
        <v>468</v>
      </c>
      <c r="R266" s="351" t="s">
        <v>120</v>
      </c>
      <c r="S266" s="349" t="s">
        <v>111</v>
      </c>
      <c r="T266" s="349" t="s">
        <v>469</v>
      </c>
      <c r="U266" s="349" t="s">
        <v>117</v>
      </c>
      <c r="V266" s="349" t="s">
        <v>491</v>
      </c>
      <c r="W266" s="351" t="s">
        <v>818</v>
      </c>
      <c r="X266" s="349" t="s">
        <v>820</v>
      </c>
      <c r="Y266" s="349" t="s">
        <v>472</v>
      </c>
      <c r="Z266" s="351" t="s">
        <v>1206</v>
      </c>
      <c r="AA266" s="349" t="s">
        <v>537</v>
      </c>
      <c r="AB266" s="349" t="s">
        <v>482</v>
      </c>
      <c r="AC266" s="349" t="s">
        <v>119</v>
      </c>
      <c r="AD266" s="351" t="s">
        <v>576</v>
      </c>
      <c r="AE266" s="349" t="s">
        <v>491</v>
      </c>
      <c r="AF266" s="351" t="s">
        <v>1206</v>
      </c>
      <c r="AG266" s="349" t="s">
        <v>111</v>
      </c>
      <c r="AH266" s="349"/>
      <c r="AI266" s="349" t="s">
        <v>111</v>
      </c>
      <c r="AJ266" s="349" t="s">
        <v>491</v>
      </c>
      <c r="AK266" s="351" t="s">
        <v>636</v>
      </c>
      <c r="AL266" s="349"/>
    </row>
    <row r="267" spans="1:38" ht="16.5" hidden="1" customHeight="1">
      <c r="A267" s="344" t="s">
        <v>463</v>
      </c>
      <c r="B267" s="349" t="s">
        <v>1447</v>
      </c>
      <c r="C267" s="349" t="s">
        <v>589</v>
      </c>
      <c r="D267" s="349" t="s">
        <v>110</v>
      </c>
      <c r="E267" s="349" t="s">
        <v>847</v>
      </c>
      <c r="F267" s="349" t="s">
        <v>898</v>
      </c>
      <c r="G267" s="349" t="s">
        <v>111</v>
      </c>
      <c r="H267" s="349" t="s">
        <v>111</v>
      </c>
      <c r="I267" s="349" t="s">
        <v>1448</v>
      </c>
      <c r="J267" s="349"/>
      <c r="K267" s="350" t="s">
        <v>122</v>
      </c>
      <c r="L267" s="350" t="s">
        <v>608</v>
      </c>
      <c r="M267" s="350" t="s">
        <v>114</v>
      </c>
      <c r="N267" s="350"/>
      <c r="O267" s="350"/>
      <c r="P267" s="349" t="s">
        <v>1449</v>
      </c>
      <c r="Q267" s="349" t="s">
        <v>468</v>
      </c>
      <c r="R267" s="351" t="s">
        <v>120</v>
      </c>
      <c r="S267" s="349" t="s">
        <v>111</v>
      </c>
      <c r="T267" s="349" t="s">
        <v>469</v>
      </c>
      <c r="U267" s="349" t="s">
        <v>117</v>
      </c>
      <c r="V267" s="349" t="s">
        <v>123</v>
      </c>
      <c r="W267" s="351" t="s">
        <v>818</v>
      </c>
      <c r="X267" s="349" t="s">
        <v>820</v>
      </c>
      <c r="Y267" s="349" t="s">
        <v>472</v>
      </c>
      <c r="Z267" s="351" t="s">
        <v>1206</v>
      </c>
      <c r="AA267" s="349" t="s">
        <v>619</v>
      </c>
      <c r="AB267" s="349" t="s">
        <v>885</v>
      </c>
      <c r="AC267" s="349" t="s">
        <v>119</v>
      </c>
      <c r="AD267" s="351" t="s">
        <v>576</v>
      </c>
      <c r="AE267" s="349" t="s">
        <v>123</v>
      </c>
      <c r="AF267" s="351" t="s">
        <v>1206</v>
      </c>
      <c r="AG267" s="349" t="s">
        <v>111</v>
      </c>
      <c r="AH267" s="349"/>
      <c r="AI267" s="349" t="s">
        <v>111</v>
      </c>
      <c r="AJ267" s="349" t="s">
        <v>491</v>
      </c>
      <c r="AK267" s="351" t="s">
        <v>636</v>
      </c>
      <c r="AL267" s="349"/>
    </row>
    <row r="268" spans="1:38" ht="16.5" hidden="1" customHeight="1">
      <c r="A268" s="344" t="s">
        <v>463</v>
      </c>
      <c r="B268" s="349" t="s">
        <v>1450</v>
      </c>
      <c r="C268" s="349" t="s">
        <v>589</v>
      </c>
      <c r="D268" s="349" t="s">
        <v>110</v>
      </c>
      <c r="E268" s="349" t="s">
        <v>847</v>
      </c>
      <c r="F268" s="349" t="s">
        <v>898</v>
      </c>
      <c r="G268" s="349" t="s">
        <v>111</v>
      </c>
      <c r="H268" s="349" t="s">
        <v>111</v>
      </c>
      <c r="I268" s="349" t="s">
        <v>1451</v>
      </c>
      <c r="J268" s="349"/>
      <c r="K268" s="350" t="s">
        <v>122</v>
      </c>
      <c r="L268" s="350" t="s">
        <v>608</v>
      </c>
      <c r="M268" s="350" t="s">
        <v>114</v>
      </c>
      <c r="N268" s="350"/>
      <c r="O268" s="350"/>
      <c r="P268" s="349" t="s">
        <v>1452</v>
      </c>
      <c r="Q268" s="349" t="s">
        <v>468</v>
      </c>
      <c r="R268" s="351" t="s">
        <v>120</v>
      </c>
      <c r="S268" s="349" t="s">
        <v>111</v>
      </c>
      <c r="T268" s="349" t="s">
        <v>469</v>
      </c>
      <c r="U268" s="349" t="s">
        <v>117</v>
      </c>
      <c r="V268" s="349" t="s">
        <v>123</v>
      </c>
      <c r="W268" s="351" t="s">
        <v>818</v>
      </c>
      <c r="X268" s="349" t="s">
        <v>820</v>
      </c>
      <c r="Y268" s="349" t="s">
        <v>472</v>
      </c>
      <c r="Z268" s="351" t="s">
        <v>1206</v>
      </c>
      <c r="AA268" s="349" t="s">
        <v>619</v>
      </c>
      <c r="AB268" s="349" t="s">
        <v>482</v>
      </c>
      <c r="AC268" s="349" t="s">
        <v>119</v>
      </c>
      <c r="AD268" s="351" t="s">
        <v>576</v>
      </c>
      <c r="AE268" s="349" t="s">
        <v>1348</v>
      </c>
      <c r="AF268" s="351" t="s">
        <v>1206</v>
      </c>
      <c r="AG268" s="349" t="s">
        <v>111</v>
      </c>
      <c r="AH268" s="349"/>
      <c r="AI268" s="349" t="s">
        <v>111</v>
      </c>
      <c r="AJ268" s="349" t="s">
        <v>491</v>
      </c>
      <c r="AK268" s="351" t="s">
        <v>636</v>
      </c>
      <c r="AL268" s="349"/>
    </row>
    <row r="269" spans="1:38" ht="16.5" hidden="1" customHeight="1">
      <c r="A269" s="344" t="s">
        <v>463</v>
      </c>
      <c r="B269" s="349" t="s">
        <v>1453</v>
      </c>
      <c r="C269" s="349" t="s">
        <v>589</v>
      </c>
      <c r="D269" s="349" t="s">
        <v>110</v>
      </c>
      <c r="E269" s="349" t="s">
        <v>603</v>
      </c>
      <c r="F269" s="349" t="s">
        <v>898</v>
      </c>
      <c r="G269" s="349" t="s">
        <v>111</v>
      </c>
      <c r="H269" s="349" t="s">
        <v>111</v>
      </c>
      <c r="I269" s="349" t="s">
        <v>1454</v>
      </c>
      <c r="J269" s="349"/>
      <c r="K269" s="350" t="s">
        <v>122</v>
      </c>
      <c r="L269" s="350" t="s">
        <v>608</v>
      </c>
      <c r="M269" s="350" t="s">
        <v>114</v>
      </c>
      <c r="N269" s="350"/>
      <c r="O269" s="350"/>
      <c r="P269" s="349" t="s">
        <v>1455</v>
      </c>
      <c r="Q269" s="349" t="s">
        <v>468</v>
      </c>
      <c r="R269" s="351" t="s">
        <v>120</v>
      </c>
      <c r="S269" s="349" t="s">
        <v>111</v>
      </c>
      <c r="T269" s="349" t="s">
        <v>469</v>
      </c>
      <c r="U269" s="349" t="s">
        <v>117</v>
      </c>
      <c r="V269" s="349" t="s">
        <v>483</v>
      </c>
      <c r="W269" s="351" t="s">
        <v>818</v>
      </c>
      <c r="X269" s="349" t="s">
        <v>820</v>
      </c>
      <c r="Y269" s="349" t="s">
        <v>472</v>
      </c>
      <c r="Z269" s="351" t="s">
        <v>1206</v>
      </c>
      <c r="AA269" s="349" t="s">
        <v>819</v>
      </c>
      <c r="AB269" s="349" t="s">
        <v>482</v>
      </c>
      <c r="AC269" s="349" t="s">
        <v>119</v>
      </c>
      <c r="AD269" s="351" t="s">
        <v>576</v>
      </c>
      <c r="AE269" s="349" t="s">
        <v>1348</v>
      </c>
      <c r="AF269" s="351" t="s">
        <v>1206</v>
      </c>
      <c r="AG269" s="349" t="s">
        <v>111</v>
      </c>
      <c r="AH269" s="349"/>
      <c r="AI269" s="349" t="s">
        <v>111</v>
      </c>
      <c r="AJ269" s="349" t="s">
        <v>1348</v>
      </c>
      <c r="AK269" s="351" t="s">
        <v>1206</v>
      </c>
      <c r="AL269" s="349"/>
    </row>
    <row r="270" spans="1:38" ht="16.5" hidden="1" customHeight="1">
      <c r="A270" s="344" t="s">
        <v>463</v>
      </c>
      <c r="B270" s="349" t="s">
        <v>1456</v>
      </c>
      <c r="C270" s="349" t="s">
        <v>589</v>
      </c>
      <c r="D270" s="349" t="s">
        <v>110</v>
      </c>
      <c r="E270" s="349" t="s">
        <v>111</v>
      </c>
      <c r="F270" s="349" t="s">
        <v>898</v>
      </c>
      <c r="G270" s="349" t="s">
        <v>111</v>
      </c>
      <c r="H270" s="349" t="s">
        <v>111</v>
      </c>
      <c r="I270" s="349" t="s">
        <v>1457</v>
      </c>
      <c r="J270" s="349"/>
      <c r="K270" s="350" t="s">
        <v>122</v>
      </c>
      <c r="L270" s="350" t="s">
        <v>113</v>
      </c>
      <c r="M270" s="350" t="s">
        <v>1458</v>
      </c>
      <c r="N270" s="350"/>
      <c r="O270" s="350"/>
      <c r="P270" s="349" t="s">
        <v>1459</v>
      </c>
      <c r="Q270" s="349" t="s">
        <v>482</v>
      </c>
      <c r="R270" s="351" t="s">
        <v>120</v>
      </c>
      <c r="S270" s="349" t="s">
        <v>111</v>
      </c>
      <c r="T270" s="349" t="s">
        <v>469</v>
      </c>
      <c r="U270" s="349" t="s">
        <v>117</v>
      </c>
      <c r="V270" s="349" t="s">
        <v>491</v>
      </c>
      <c r="W270" s="351" t="s">
        <v>818</v>
      </c>
      <c r="X270" s="349" t="s">
        <v>820</v>
      </c>
      <c r="Y270" s="349" t="s">
        <v>491</v>
      </c>
      <c r="Z270" s="351" t="s">
        <v>636</v>
      </c>
      <c r="AA270" s="349" t="s">
        <v>631</v>
      </c>
      <c r="AB270" s="349" t="s">
        <v>629</v>
      </c>
      <c r="AC270" s="349" t="s">
        <v>119</v>
      </c>
      <c r="AD270" s="351" t="s">
        <v>636</v>
      </c>
      <c r="AE270" s="349"/>
      <c r="AF270" s="351" t="s">
        <v>120</v>
      </c>
      <c r="AG270" s="349" t="s">
        <v>111</v>
      </c>
      <c r="AH270" s="349"/>
      <c r="AI270" s="349" t="s">
        <v>111</v>
      </c>
      <c r="AJ270" s="349" t="s">
        <v>631</v>
      </c>
      <c r="AK270" s="351" t="s">
        <v>636</v>
      </c>
      <c r="AL270" s="349"/>
    </row>
    <row r="271" spans="1:38" ht="16.5" hidden="1" customHeight="1">
      <c r="A271" s="344" t="s">
        <v>463</v>
      </c>
      <c r="B271" s="349" t="s">
        <v>1460</v>
      </c>
      <c r="C271" s="349" t="s">
        <v>589</v>
      </c>
      <c r="D271" s="349" t="s">
        <v>110</v>
      </c>
      <c r="E271" s="349" t="s">
        <v>708</v>
      </c>
      <c r="F271" s="349" t="s">
        <v>898</v>
      </c>
      <c r="G271" s="349" t="s">
        <v>111</v>
      </c>
      <c r="H271" s="349" t="s">
        <v>111</v>
      </c>
      <c r="I271" s="349" t="s">
        <v>1461</v>
      </c>
      <c r="J271" s="349"/>
      <c r="K271" s="350" t="s">
        <v>1071</v>
      </c>
      <c r="L271" s="350" t="s">
        <v>650</v>
      </c>
      <c r="M271" s="350" t="s">
        <v>114</v>
      </c>
      <c r="N271" s="350"/>
      <c r="O271" s="350"/>
      <c r="P271" s="349" t="s">
        <v>1462</v>
      </c>
      <c r="Q271" s="349" t="s">
        <v>468</v>
      </c>
      <c r="R271" s="351" t="s">
        <v>120</v>
      </c>
      <c r="S271" s="349" t="s">
        <v>111</v>
      </c>
      <c r="T271" s="349" t="s">
        <v>469</v>
      </c>
      <c r="U271" s="349" t="s">
        <v>117</v>
      </c>
      <c r="V271" s="349" t="s">
        <v>491</v>
      </c>
      <c r="W271" s="351" t="s">
        <v>818</v>
      </c>
      <c r="X271" s="349" t="s">
        <v>820</v>
      </c>
      <c r="Y271" s="349" t="s">
        <v>472</v>
      </c>
      <c r="Z271" s="351" t="s">
        <v>1206</v>
      </c>
      <c r="AA271" s="349" t="s">
        <v>819</v>
      </c>
      <c r="AB271" s="349" t="s">
        <v>482</v>
      </c>
      <c r="AC271" s="349" t="s">
        <v>119</v>
      </c>
      <c r="AD271" s="351" t="s">
        <v>576</v>
      </c>
      <c r="AE271" s="349" t="s">
        <v>491</v>
      </c>
      <c r="AF271" s="351" t="s">
        <v>1206</v>
      </c>
      <c r="AG271" s="349" t="s">
        <v>111</v>
      </c>
      <c r="AH271" s="349"/>
      <c r="AI271" s="349" t="s">
        <v>111</v>
      </c>
      <c r="AJ271" s="349" t="s">
        <v>491</v>
      </c>
      <c r="AK271" s="351" t="s">
        <v>636</v>
      </c>
      <c r="AL271" s="349"/>
    </row>
    <row r="272" spans="1:38" ht="16.5" hidden="1" customHeight="1">
      <c r="A272" s="344" t="s">
        <v>463</v>
      </c>
      <c r="B272" s="349" t="s">
        <v>1463</v>
      </c>
      <c r="C272" s="349" t="s">
        <v>589</v>
      </c>
      <c r="D272" s="349" t="s">
        <v>110</v>
      </c>
      <c r="E272" s="349" t="s">
        <v>603</v>
      </c>
      <c r="F272" s="349" t="s">
        <v>898</v>
      </c>
      <c r="G272" s="349" t="s">
        <v>111</v>
      </c>
      <c r="H272" s="349" t="s">
        <v>111</v>
      </c>
      <c r="I272" s="349" t="s">
        <v>1464</v>
      </c>
      <c r="J272" s="349"/>
      <c r="K272" s="350" t="s">
        <v>1071</v>
      </c>
      <c r="L272" s="350" t="s">
        <v>650</v>
      </c>
      <c r="M272" s="350" t="s">
        <v>959</v>
      </c>
      <c r="N272" s="350"/>
      <c r="O272" s="350"/>
      <c r="P272" s="349" t="s">
        <v>1465</v>
      </c>
      <c r="Q272" s="349" t="s">
        <v>468</v>
      </c>
      <c r="R272" s="351" t="s">
        <v>120</v>
      </c>
      <c r="S272" s="349" t="s">
        <v>111</v>
      </c>
      <c r="T272" s="349" t="s">
        <v>469</v>
      </c>
      <c r="U272" s="349" t="s">
        <v>117</v>
      </c>
      <c r="V272" s="349" t="s">
        <v>491</v>
      </c>
      <c r="W272" s="351" t="s">
        <v>576</v>
      </c>
      <c r="X272" s="349" t="s">
        <v>901</v>
      </c>
      <c r="Y272" s="349" t="s">
        <v>472</v>
      </c>
      <c r="Z272" s="351" t="s">
        <v>1206</v>
      </c>
      <c r="AA272" s="349" t="s">
        <v>819</v>
      </c>
      <c r="AB272" s="349" t="s">
        <v>482</v>
      </c>
      <c r="AC272" s="349" t="s">
        <v>119</v>
      </c>
      <c r="AD272" s="351" t="s">
        <v>576</v>
      </c>
      <c r="AE272" s="349" t="s">
        <v>491</v>
      </c>
      <c r="AF272" s="351" t="s">
        <v>1206</v>
      </c>
      <c r="AG272" s="349" t="s">
        <v>111</v>
      </c>
      <c r="AH272" s="349"/>
      <c r="AI272" s="349" t="s">
        <v>111</v>
      </c>
      <c r="AJ272" s="349" t="s">
        <v>491</v>
      </c>
      <c r="AK272" s="351" t="s">
        <v>636</v>
      </c>
      <c r="AL272" s="349"/>
    </row>
    <row r="273" spans="1:38" ht="16.5" hidden="1" customHeight="1">
      <c r="A273" s="344" t="s">
        <v>463</v>
      </c>
      <c r="B273" s="349" t="s">
        <v>1466</v>
      </c>
      <c r="C273" s="349" t="s">
        <v>589</v>
      </c>
      <c r="D273" s="349" t="s">
        <v>110</v>
      </c>
      <c r="E273" s="349" t="s">
        <v>860</v>
      </c>
      <c r="F273" s="349" t="s">
        <v>898</v>
      </c>
      <c r="G273" s="349" t="s">
        <v>111</v>
      </c>
      <c r="H273" s="349" t="s">
        <v>111</v>
      </c>
      <c r="I273" s="349" t="s">
        <v>1467</v>
      </c>
      <c r="J273" s="349"/>
      <c r="K273" s="350" t="s">
        <v>112</v>
      </c>
      <c r="L273" s="350" t="s">
        <v>608</v>
      </c>
      <c r="M273" s="350" t="s">
        <v>114</v>
      </c>
      <c r="N273" s="350"/>
      <c r="O273" s="350"/>
      <c r="P273" s="349" t="s">
        <v>1468</v>
      </c>
      <c r="Q273" s="349" t="s">
        <v>468</v>
      </c>
      <c r="R273" s="351" t="s">
        <v>120</v>
      </c>
      <c r="S273" s="349" t="s">
        <v>111</v>
      </c>
      <c r="T273" s="349" t="s">
        <v>469</v>
      </c>
      <c r="U273" s="349" t="s">
        <v>117</v>
      </c>
      <c r="V273" s="349" t="s">
        <v>491</v>
      </c>
      <c r="W273" s="351" t="s">
        <v>1085</v>
      </c>
      <c r="X273" s="349" t="s">
        <v>901</v>
      </c>
      <c r="Y273" s="349" t="s">
        <v>472</v>
      </c>
      <c r="Z273" s="351" t="s">
        <v>902</v>
      </c>
      <c r="AA273" s="349" t="s">
        <v>689</v>
      </c>
      <c r="AB273" s="349" t="s">
        <v>482</v>
      </c>
      <c r="AC273" s="349" t="s">
        <v>119</v>
      </c>
      <c r="AD273" s="351" t="s">
        <v>1123</v>
      </c>
      <c r="AE273" s="349" t="s">
        <v>491</v>
      </c>
      <c r="AF273" s="351" t="s">
        <v>902</v>
      </c>
      <c r="AG273" s="349" t="s">
        <v>111</v>
      </c>
      <c r="AH273" s="349"/>
      <c r="AI273" s="349" t="s">
        <v>111</v>
      </c>
      <c r="AJ273" s="349" t="s">
        <v>491</v>
      </c>
      <c r="AK273" s="351" t="s">
        <v>902</v>
      </c>
      <c r="AL273" s="349"/>
    </row>
    <row r="274" spans="1:38" ht="16.5" hidden="1" customHeight="1">
      <c r="A274" s="344" t="s">
        <v>463</v>
      </c>
      <c r="B274" s="349" t="s">
        <v>1469</v>
      </c>
      <c r="C274" s="349" t="s">
        <v>589</v>
      </c>
      <c r="D274" s="349" t="s">
        <v>110</v>
      </c>
      <c r="E274" s="349" t="s">
        <v>882</v>
      </c>
      <c r="F274" s="349" t="s">
        <v>898</v>
      </c>
      <c r="G274" s="349" t="s">
        <v>111</v>
      </c>
      <c r="H274" s="349" t="s">
        <v>111</v>
      </c>
      <c r="I274" s="349" t="s">
        <v>1470</v>
      </c>
      <c r="J274" s="349"/>
      <c r="K274" s="350" t="s">
        <v>122</v>
      </c>
      <c r="L274" s="350" t="s">
        <v>608</v>
      </c>
      <c r="M274" s="350" t="s">
        <v>114</v>
      </c>
      <c r="N274" s="350"/>
      <c r="O274" s="350"/>
      <c r="P274" s="349" t="s">
        <v>1471</v>
      </c>
      <c r="Q274" s="349" t="s">
        <v>468</v>
      </c>
      <c r="R274" s="351" t="s">
        <v>120</v>
      </c>
      <c r="S274" s="349" t="s">
        <v>111</v>
      </c>
      <c r="T274" s="349" t="s">
        <v>469</v>
      </c>
      <c r="U274" s="349" t="s">
        <v>117</v>
      </c>
      <c r="V274" s="349" t="s">
        <v>903</v>
      </c>
      <c r="W274" s="351" t="s">
        <v>1206</v>
      </c>
      <c r="X274" s="349" t="s">
        <v>119</v>
      </c>
      <c r="Y274" s="349" t="s">
        <v>472</v>
      </c>
      <c r="Z274" s="351" t="s">
        <v>1123</v>
      </c>
      <c r="AA274" s="349" t="s">
        <v>819</v>
      </c>
      <c r="AB274" s="349" t="s">
        <v>482</v>
      </c>
      <c r="AC274" s="349" t="s">
        <v>119</v>
      </c>
      <c r="AD274" s="351" t="s">
        <v>1206</v>
      </c>
      <c r="AE274" s="349" t="s">
        <v>903</v>
      </c>
      <c r="AF274" s="351" t="s">
        <v>1123</v>
      </c>
      <c r="AG274" s="349" t="s">
        <v>111</v>
      </c>
      <c r="AH274" s="349"/>
      <c r="AI274" s="349" t="s">
        <v>111</v>
      </c>
      <c r="AJ274" s="349" t="s">
        <v>903</v>
      </c>
      <c r="AK274" s="351" t="s">
        <v>1123</v>
      </c>
      <c r="AL274" s="349"/>
    </row>
    <row r="275" spans="1:38" ht="16.5" hidden="1" customHeight="1">
      <c r="A275" s="344" t="s">
        <v>463</v>
      </c>
      <c r="B275" s="349" t="s">
        <v>1472</v>
      </c>
      <c r="C275" s="349" t="s">
        <v>589</v>
      </c>
      <c r="D275" s="349" t="s">
        <v>110</v>
      </c>
      <c r="E275" s="349" t="s">
        <v>590</v>
      </c>
      <c r="F275" s="349" t="s">
        <v>898</v>
      </c>
      <c r="G275" s="349" t="s">
        <v>111</v>
      </c>
      <c r="H275" s="349" t="s">
        <v>111</v>
      </c>
      <c r="I275" s="349" t="s">
        <v>1473</v>
      </c>
      <c r="J275" s="349"/>
      <c r="K275" s="350" t="s">
        <v>122</v>
      </c>
      <c r="L275" s="350" t="s">
        <v>608</v>
      </c>
      <c r="M275" s="350" t="s">
        <v>114</v>
      </c>
      <c r="N275" s="350" t="s">
        <v>1474</v>
      </c>
      <c r="O275" s="350"/>
      <c r="P275" s="349" t="s">
        <v>1475</v>
      </c>
      <c r="Q275" s="349" t="s">
        <v>468</v>
      </c>
      <c r="R275" s="351" t="s">
        <v>120</v>
      </c>
      <c r="S275" s="349" t="s">
        <v>111</v>
      </c>
      <c r="T275" s="349" t="s">
        <v>469</v>
      </c>
      <c r="U275" s="349" t="s">
        <v>117</v>
      </c>
      <c r="V275" s="349" t="s">
        <v>1348</v>
      </c>
      <c r="W275" s="351" t="s">
        <v>1206</v>
      </c>
      <c r="X275" s="349" t="s">
        <v>901</v>
      </c>
      <c r="Y275" s="349" t="s">
        <v>472</v>
      </c>
      <c r="Z275" s="351" t="s">
        <v>1027</v>
      </c>
      <c r="AA275" s="349" t="s">
        <v>819</v>
      </c>
      <c r="AB275" s="349" t="s">
        <v>482</v>
      </c>
      <c r="AC275" s="349" t="s">
        <v>119</v>
      </c>
      <c r="AD275" s="351" t="s">
        <v>1206</v>
      </c>
      <c r="AE275" s="349" t="s">
        <v>1348</v>
      </c>
      <c r="AF275" s="351" t="s">
        <v>1027</v>
      </c>
      <c r="AG275" s="349" t="s">
        <v>111</v>
      </c>
      <c r="AH275" s="349"/>
      <c r="AI275" s="349" t="s">
        <v>111</v>
      </c>
      <c r="AJ275" s="349" t="s">
        <v>1348</v>
      </c>
      <c r="AK275" s="351" t="s">
        <v>1027</v>
      </c>
      <c r="AL275" s="349" t="s">
        <v>1476</v>
      </c>
    </row>
    <row r="276" spans="1:38" ht="16.5" hidden="1" customHeight="1">
      <c r="A276" s="344" t="s">
        <v>463</v>
      </c>
      <c r="B276" s="349" t="s">
        <v>1477</v>
      </c>
      <c r="C276" s="349" t="s">
        <v>589</v>
      </c>
      <c r="D276" s="349" t="s">
        <v>110</v>
      </c>
      <c r="E276" s="349" t="s">
        <v>847</v>
      </c>
      <c r="F276" s="349" t="s">
        <v>898</v>
      </c>
      <c r="G276" s="349" t="s">
        <v>111</v>
      </c>
      <c r="H276" s="349" t="s">
        <v>111</v>
      </c>
      <c r="I276" s="349" t="s">
        <v>1478</v>
      </c>
      <c r="J276" s="349"/>
      <c r="K276" s="350" t="s">
        <v>122</v>
      </c>
      <c r="L276" s="350" t="s">
        <v>608</v>
      </c>
      <c r="M276" s="350" t="s">
        <v>114</v>
      </c>
      <c r="N276" s="350"/>
      <c r="O276" s="350"/>
      <c r="P276" s="349" t="s">
        <v>1479</v>
      </c>
      <c r="Q276" s="349" t="s">
        <v>468</v>
      </c>
      <c r="R276" s="351" t="s">
        <v>120</v>
      </c>
      <c r="S276" s="349" t="s">
        <v>111</v>
      </c>
      <c r="T276" s="349" t="s">
        <v>469</v>
      </c>
      <c r="U276" s="349" t="s">
        <v>117</v>
      </c>
      <c r="V276" s="349" t="s">
        <v>1348</v>
      </c>
      <c r="W276" s="351" t="s">
        <v>1206</v>
      </c>
      <c r="X276" s="349" t="s">
        <v>901</v>
      </c>
      <c r="Y276" s="349" t="s">
        <v>472</v>
      </c>
      <c r="Z276" s="351" t="s">
        <v>837</v>
      </c>
      <c r="AA276" s="349" t="s">
        <v>619</v>
      </c>
      <c r="AB276" s="349" t="s">
        <v>482</v>
      </c>
      <c r="AC276" s="349" t="s">
        <v>119</v>
      </c>
      <c r="AD276" s="351" t="s">
        <v>1206</v>
      </c>
      <c r="AE276" s="349" t="s">
        <v>1348</v>
      </c>
      <c r="AF276" s="351" t="s">
        <v>837</v>
      </c>
      <c r="AG276" s="349" t="s">
        <v>111</v>
      </c>
      <c r="AH276" s="349"/>
      <c r="AI276" s="349" t="s">
        <v>111</v>
      </c>
      <c r="AJ276" s="349" t="s">
        <v>1348</v>
      </c>
      <c r="AK276" s="351" t="s">
        <v>837</v>
      </c>
      <c r="AL276" s="349" t="s">
        <v>1480</v>
      </c>
    </row>
    <row r="277" spans="1:38" ht="16.5" hidden="1" customHeight="1">
      <c r="A277" s="344" t="s">
        <v>463</v>
      </c>
      <c r="B277" s="349" t="s">
        <v>1481</v>
      </c>
      <c r="C277" s="349" t="s">
        <v>589</v>
      </c>
      <c r="D277" s="349" t="s">
        <v>110</v>
      </c>
      <c r="E277" s="349" t="s">
        <v>603</v>
      </c>
      <c r="F277" s="349" t="s">
        <v>898</v>
      </c>
      <c r="G277" s="349" t="s">
        <v>111</v>
      </c>
      <c r="H277" s="349" t="s">
        <v>111</v>
      </c>
      <c r="I277" s="349" t="s">
        <v>1482</v>
      </c>
      <c r="J277" s="349"/>
      <c r="K277" s="350" t="s">
        <v>122</v>
      </c>
      <c r="L277" s="350" t="s">
        <v>608</v>
      </c>
      <c r="M277" s="350" t="s">
        <v>114</v>
      </c>
      <c r="N277" s="350"/>
      <c r="O277" s="350"/>
      <c r="P277" s="349" t="s">
        <v>1483</v>
      </c>
      <c r="Q277" s="349" t="s">
        <v>468</v>
      </c>
      <c r="R277" s="351" t="s">
        <v>120</v>
      </c>
      <c r="S277" s="349" t="s">
        <v>517</v>
      </c>
      <c r="T277" s="349" t="s">
        <v>469</v>
      </c>
      <c r="U277" s="349" t="s">
        <v>117</v>
      </c>
      <c r="V277" s="349" t="s">
        <v>903</v>
      </c>
      <c r="W277" s="351" t="s">
        <v>1206</v>
      </c>
      <c r="X277" s="349" t="s">
        <v>119</v>
      </c>
      <c r="Y277" s="349" t="s">
        <v>472</v>
      </c>
      <c r="Z277" s="351" t="s">
        <v>1027</v>
      </c>
      <c r="AA277" s="349" t="s">
        <v>619</v>
      </c>
      <c r="AB277" s="349" t="s">
        <v>482</v>
      </c>
      <c r="AC277" s="349" t="s">
        <v>119</v>
      </c>
      <c r="AD277" s="351" t="s">
        <v>837</v>
      </c>
      <c r="AE277" s="349" t="s">
        <v>903</v>
      </c>
      <c r="AF277" s="351" t="s">
        <v>1027</v>
      </c>
      <c r="AG277" s="349" t="s">
        <v>111</v>
      </c>
      <c r="AH277" s="349"/>
      <c r="AI277" s="349" t="s">
        <v>111</v>
      </c>
      <c r="AJ277" s="349" t="s">
        <v>903</v>
      </c>
      <c r="AK277" s="351" t="s">
        <v>1027</v>
      </c>
      <c r="AL277" s="349"/>
    </row>
    <row r="278" spans="1:38" ht="16.5" hidden="1" customHeight="1">
      <c r="A278" s="344" t="s">
        <v>463</v>
      </c>
      <c r="B278" s="349" t="s">
        <v>1484</v>
      </c>
      <c r="C278" s="349" t="s">
        <v>589</v>
      </c>
      <c r="D278" s="349" t="s">
        <v>110</v>
      </c>
      <c r="E278" s="349" t="s">
        <v>590</v>
      </c>
      <c r="F278" s="349" t="s">
        <v>898</v>
      </c>
      <c r="G278" s="349" t="s">
        <v>111</v>
      </c>
      <c r="H278" s="349" t="s">
        <v>111</v>
      </c>
      <c r="I278" s="349" t="s">
        <v>1485</v>
      </c>
      <c r="J278" s="349"/>
      <c r="K278" s="350" t="s">
        <v>122</v>
      </c>
      <c r="L278" s="350" t="s">
        <v>608</v>
      </c>
      <c r="M278" s="350" t="s">
        <v>114</v>
      </c>
      <c r="N278" s="350" t="s">
        <v>1474</v>
      </c>
      <c r="O278" s="350"/>
      <c r="P278" s="349" t="s">
        <v>1486</v>
      </c>
      <c r="Q278" s="349" t="s">
        <v>468</v>
      </c>
      <c r="R278" s="351" t="s">
        <v>120</v>
      </c>
      <c r="S278" s="349" t="s">
        <v>111</v>
      </c>
      <c r="T278" s="349" t="s">
        <v>469</v>
      </c>
      <c r="U278" s="349" t="s">
        <v>117</v>
      </c>
      <c r="V278" s="349" t="s">
        <v>1348</v>
      </c>
      <c r="W278" s="351" t="s">
        <v>1123</v>
      </c>
      <c r="X278" s="349" t="s">
        <v>901</v>
      </c>
      <c r="Y278" s="349" t="s">
        <v>472</v>
      </c>
      <c r="Z278" s="351" t="s">
        <v>902</v>
      </c>
      <c r="AA278" s="349" t="s">
        <v>537</v>
      </c>
      <c r="AB278" s="349" t="s">
        <v>482</v>
      </c>
      <c r="AC278" s="349" t="s">
        <v>119</v>
      </c>
      <c r="AD278" s="351" t="s">
        <v>636</v>
      </c>
      <c r="AE278" s="349" t="s">
        <v>1348</v>
      </c>
      <c r="AF278" s="351" t="s">
        <v>902</v>
      </c>
      <c r="AG278" s="349" t="s">
        <v>111</v>
      </c>
      <c r="AH278" s="349"/>
      <c r="AI278" s="349" t="s">
        <v>111</v>
      </c>
      <c r="AJ278" s="349" t="s">
        <v>1348</v>
      </c>
      <c r="AK278" s="351" t="s">
        <v>902</v>
      </c>
      <c r="AL278" s="349"/>
    </row>
    <row r="279" spans="1:38" ht="16.5" hidden="1" customHeight="1">
      <c r="A279" s="344" t="s">
        <v>463</v>
      </c>
      <c r="B279" s="349" t="s">
        <v>1487</v>
      </c>
      <c r="C279" s="349" t="s">
        <v>589</v>
      </c>
      <c r="D279" s="349" t="s">
        <v>110</v>
      </c>
      <c r="E279" s="349" t="s">
        <v>853</v>
      </c>
      <c r="F279" s="349" t="s">
        <v>898</v>
      </c>
      <c r="G279" s="349" t="s">
        <v>111</v>
      </c>
      <c r="H279" s="349" t="s">
        <v>111</v>
      </c>
      <c r="I279" s="349" t="s">
        <v>1488</v>
      </c>
      <c r="J279" s="349"/>
      <c r="K279" s="350" t="s">
        <v>122</v>
      </c>
      <c r="L279" s="350" t="s">
        <v>608</v>
      </c>
      <c r="M279" s="350" t="s">
        <v>114</v>
      </c>
      <c r="N279" s="350"/>
      <c r="O279" s="350"/>
      <c r="P279" s="349" t="s">
        <v>1489</v>
      </c>
      <c r="Q279" s="349" t="s">
        <v>482</v>
      </c>
      <c r="R279" s="351" t="s">
        <v>120</v>
      </c>
      <c r="S279" s="349" t="s">
        <v>111</v>
      </c>
      <c r="T279" s="349" t="s">
        <v>469</v>
      </c>
      <c r="U279" s="349" t="s">
        <v>117</v>
      </c>
      <c r="V279" s="349" t="s">
        <v>491</v>
      </c>
      <c r="W279" s="351" t="s">
        <v>1123</v>
      </c>
      <c r="X279" s="349" t="s">
        <v>901</v>
      </c>
      <c r="Y279" s="349" t="s">
        <v>491</v>
      </c>
      <c r="Z279" s="351" t="s">
        <v>1027</v>
      </c>
      <c r="AA279" s="349" t="s">
        <v>619</v>
      </c>
      <c r="AB279" s="349" t="s">
        <v>553</v>
      </c>
      <c r="AC279" s="349" t="s">
        <v>119</v>
      </c>
      <c r="AD279" s="351" t="s">
        <v>1027</v>
      </c>
      <c r="AE279" s="349"/>
      <c r="AF279" s="351" t="s">
        <v>120</v>
      </c>
      <c r="AG279" s="349" t="s">
        <v>111</v>
      </c>
      <c r="AH279" s="349"/>
      <c r="AI279" s="349" t="s">
        <v>111</v>
      </c>
      <c r="AJ279" s="349" t="s">
        <v>619</v>
      </c>
      <c r="AK279" s="351" t="s">
        <v>1027</v>
      </c>
      <c r="AL279" s="349"/>
    </row>
    <row r="280" spans="1:38" ht="16.5" hidden="1" customHeight="1">
      <c r="A280" s="344" t="s">
        <v>463</v>
      </c>
      <c r="B280" s="349" t="s">
        <v>1490</v>
      </c>
      <c r="C280" s="349" t="s">
        <v>589</v>
      </c>
      <c r="D280" s="349" t="s">
        <v>110</v>
      </c>
      <c r="E280" s="349" t="s">
        <v>847</v>
      </c>
      <c r="F280" s="349" t="s">
        <v>898</v>
      </c>
      <c r="G280" s="349" t="s">
        <v>111</v>
      </c>
      <c r="H280" s="349" t="s">
        <v>111</v>
      </c>
      <c r="I280" s="349" t="s">
        <v>1491</v>
      </c>
      <c r="J280" s="349"/>
      <c r="K280" s="350" t="s">
        <v>122</v>
      </c>
      <c r="L280" s="350" t="s">
        <v>608</v>
      </c>
      <c r="M280" s="350" t="s">
        <v>114</v>
      </c>
      <c r="N280" s="350"/>
      <c r="O280" s="350"/>
      <c r="P280" s="349" t="s">
        <v>1492</v>
      </c>
      <c r="Q280" s="349" t="s">
        <v>468</v>
      </c>
      <c r="R280" s="351" t="s">
        <v>120</v>
      </c>
      <c r="S280" s="349" t="s">
        <v>111</v>
      </c>
      <c r="T280" s="349" t="s">
        <v>469</v>
      </c>
      <c r="U280" s="349" t="s">
        <v>117</v>
      </c>
      <c r="V280" s="349" t="s">
        <v>491</v>
      </c>
      <c r="W280" s="351" t="s">
        <v>1123</v>
      </c>
      <c r="X280" s="349" t="s">
        <v>901</v>
      </c>
      <c r="Y280" s="349" t="s">
        <v>472</v>
      </c>
      <c r="Z280" s="351" t="s">
        <v>902</v>
      </c>
      <c r="AA280" s="349" t="s">
        <v>619</v>
      </c>
      <c r="AB280" s="349" t="s">
        <v>885</v>
      </c>
      <c r="AC280" s="349" t="s">
        <v>119</v>
      </c>
      <c r="AD280" s="351" t="s">
        <v>837</v>
      </c>
      <c r="AE280" s="349" t="s">
        <v>491</v>
      </c>
      <c r="AF280" s="351" t="s">
        <v>902</v>
      </c>
      <c r="AG280" s="349" t="s">
        <v>111</v>
      </c>
      <c r="AH280" s="349"/>
      <c r="AI280" s="349" t="s">
        <v>111</v>
      </c>
      <c r="AJ280" s="349" t="s">
        <v>491</v>
      </c>
      <c r="AK280" s="351" t="s">
        <v>902</v>
      </c>
      <c r="AL280" s="349"/>
    </row>
    <row r="281" spans="1:38" ht="16.5" hidden="1" customHeight="1">
      <c r="A281" s="344" t="s">
        <v>463</v>
      </c>
      <c r="B281" s="349" t="s">
        <v>1493</v>
      </c>
      <c r="C281" s="349" t="s">
        <v>589</v>
      </c>
      <c r="D281" s="349" t="s">
        <v>110</v>
      </c>
      <c r="E281" s="349" t="s">
        <v>111</v>
      </c>
      <c r="F281" s="349" t="s">
        <v>898</v>
      </c>
      <c r="G281" s="349" t="s">
        <v>111</v>
      </c>
      <c r="H281" s="349" t="s">
        <v>111</v>
      </c>
      <c r="I281" s="349" t="s">
        <v>1494</v>
      </c>
      <c r="J281" s="349"/>
      <c r="K281" s="350" t="s">
        <v>122</v>
      </c>
      <c r="L281" s="350" t="s">
        <v>593</v>
      </c>
      <c r="M281" s="350" t="s">
        <v>991</v>
      </c>
      <c r="N281" s="350" t="s">
        <v>1495</v>
      </c>
      <c r="O281" s="350"/>
      <c r="P281" s="349" t="s">
        <v>1496</v>
      </c>
      <c r="Q281" s="349" t="s">
        <v>468</v>
      </c>
      <c r="R281" s="351" t="s">
        <v>636</v>
      </c>
      <c r="S281" s="349" t="s">
        <v>111</v>
      </c>
      <c r="T281" s="349" t="s">
        <v>469</v>
      </c>
      <c r="U281" s="349" t="s">
        <v>117</v>
      </c>
      <c r="V281" s="349" t="s">
        <v>814</v>
      </c>
      <c r="W281" s="351" t="s">
        <v>636</v>
      </c>
      <c r="X281" s="349" t="s">
        <v>119</v>
      </c>
      <c r="Y281" s="349" t="s">
        <v>472</v>
      </c>
      <c r="Z281" s="351" t="s">
        <v>902</v>
      </c>
      <c r="AA281" s="349" t="s">
        <v>631</v>
      </c>
      <c r="AB281" s="349" t="s">
        <v>482</v>
      </c>
      <c r="AC281" s="349" t="s">
        <v>119</v>
      </c>
      <c r="AD281" s="351" t="s">
        <v>636</v>
      </c>
      <c r="AE281" s="349" t="s">
        <v>814</v>
      </c>
      <c r="AF281" s="351" t="s">
        <v>902</v>
      </c>
      <c r="AG281" s="349" t="s">
        <v>111</v>
      </c>
      <c r="AH281" s="349"/>
      <c r="AI281" s="349" t="s">
        <v>111</v>
      </c>
      <c r="AJ281" s="349" t="s">
        <v>814</v>
      </c>
      <c r="AK281" s="351" t="s">
        <v>902</v>
      </c>
      <c r="AL281" s="349"/>
    </row>
    <row r="282" spans="1:38" ht="16.5" hidden="1" customHeight="1">
      <c r="A282" s="344" t="s">
        <v>463</v>
      </c>
      <c r="B282" s="349" t="s">
        <v>1497</v>
      </c>
      <c r="C282" s="349" t="s">
        <v>589</v>
      </c>
      <c r="D282" s="349" t="s">
        <v>110</v>
      </c>
      <c r="E282" s="349" t="s">
        <v>111</v>
      </c>
      <c r="F282" s="349" t="s">
        <v>898</v>
      </c>
      <c r="G282" s="349" t="s">
        <v>111</v>
      </c>
      <c r="H282" s="349" t="s">
        <v>111</v>
      </c>
      <c r="I282" s="349" t="s">
        <v>1498</v>
      </c>
      <c r="J282" s="349"/>
      <c r="K282" s="350" t="s">
        <v>1071</v>
      </c>
      <c r="L282" s="350" t="s">
        <v>650</v>
      </c>
      <c r="M282" s="350" t="s">
        <v>114</v>
      </c>
      <c r="N282" s="350"/>
      <c r="O282" s="350"/>
      <c r="P282" s="349" t="s">
        <v>1499</v>
      </c>
      <c r="Q282" s="349" t="s">
        <v>115</v>
      </c>
      <c r="R282" s="351" t="s">
        <v>120</v>
      </c>
      <c r="S282" s="349" t="s">
        <v>111</v>
      </c>
      <c r="T282" s="349" t="s">
        <v>116</v>
      </c>
      <c r="U282" s="349" t="s">
        <v>117</v>
      </c>
      <c r="V282" s="349" t="s">
        <v>491</v>
      </c>
      <c r="W282" s="351" t="s">
        <v>636</v>
      </c>
      <c r="X282" s="349" t="s">
        <v>901</v>
      </c>
      <c r="Y282" s="349" t="s">
        <v>537</v>
      </c>
      <c r="Z282" s="351" t="s">
        <v>636</v>
      </c>
      <c r="AA282" s="349"/>
      <c r="AB282" s="349"/>
      <c r="AC282" s="349"/>
      <c r="AD282" s="351" t="s">
        <v>120</v>
      </c>
      <c r="AE282" s="349"/>
      <c r="AF282" s="351" t="s">
        <v>120</v>
      </c>
      <c r="AG282" s="349" t="s">
        <v>111</v>
      </c>
      <c r="AH282" s="349"/>
      <c r="AI282" s="349" t="s">
        <v>111</v>
      </c>
      <c r="AJ282" s="349"/>
      <c r="AK282" s="351" t="s">
        <v>120</v>
      </c>
      <c r="AL282" s="349"/>
    </row>
    <row r="283" spans="1:38" ht="16.5" hidden="1" customHeight="1">
      <c r="A283" s="344" t="s">
        <v>463</v>
      </c>
      <c r="B283" s="349" t="s">
        <v>1500</v>
      </c>
      <c r="C283" s="349" t="s">
        <v>589</v>
      </c>
      <c r="D283" s="349" t="s">
        <v>110</v>
      </c>
      <c r="E283" s="349" t="s">
        <v>111</v>
      </c>
      <c r="F283" s="349" t="s">
        <v>898</v>
      </c>
      <c r="G283" s="349" t="s">
        <v>111</v>
      </c>
      <c r="H283" s="349" t="s">
        <v>111</v>
      </c>
      <c r="I283" s="349" t="s">
        <v>1501</v>
      </c>
      <c r="J283" s="349"/>
      <c r="K283" s="350" t="s">
        <v>479</v>
      </c>
      <c r="L283" s="350" t="s">
        <v>608</v>
      </c>
      <c r="M283" s="350" t="s">
        <v>114</v>
      </c>
      <c r="N283" s="350"/>
      <c r="O283" s="350"/>
      <c r="P283" s="349" t="s">
        <v>1502</v>
      </c>
      <c r="Q283" s="349" t="s">
        <v>115</v>
      </c>
      <c r="R283" s="351" t="s">
        <v>120</v>
      </c>
      <c r="S283" s="349" t="s">
        <v>111</v>
      </c>
      <c r="T283" s="349" t="s">
        <v>116</v>
      </c>
      <c r="U283" s="349" t="s">
        <v>117</v>
      </c>
      <c r="V283" s="349" t="s">
        <v>491</v>
      </c>
      <c r="W283" s="351" t="s">
        <v>636</v>
      </c>
      <c r="X283" s="349" t="s">
        <v>901</v>
      </c>
      <c r="Y283" s="349" t="s">
        <v>537</v>
      </c>
      <c r="Z283" s="351" t="s">
        <v>636</v>
      </c>
      <c r="AA283" s="349"/>
      <c r="AB283" s="349"/>
      <c r="AC283" s="349"/>
      <c r="AD283" s="351" t="s">
        <v>120</v>
      </c>
      <c r="AE283" s="349"/>
      <c r="AF283" s="351" t="s">
        <v>120</v>
      </c>
      <c r="AG283" s="349" t="s">
        <v>111</v>
      </c>
      <c r="AH283" s="349"/>
      <c r="AI283" s="349" t="s">
        <v>111</v>
      </c>
      <c r="AJ283" s="349"/>
      <c r="AK283" s="351" t="s">
        <v>120</v>
      </c>
      <c r="AL283" s="349"/>
    </row>
    <row r="284" spans="1:38" ht="16.5" hidden="1" customHeight="1">
      <c r="A284" s="344" t="s">
        <v>463</v>
      </c>
      <c r="B284" s="349" t="s">
        <v>1503</v>
      </c>
      <c r="C284" s="349" t="s">
        <v>589</v>
      </c>
      <c r="D284" s="349" t="s">
        <v>110</v>
      </c>
      <c r="E284" s="349" t="s">
        <v>853</v>
      </c>
      <c r="F284" s="349" t="s">
        <v>898</v>
      </c>
      <c r="G284" s="349" t="s">
        <v>111</v>
      </c>
      <c r="H284" s="349" t="s">
        <v>111</v>
      </c>
      <c r="I284" s="349" t="s">
        <v>1504</v>
      </c>
      <c r="J284" s="349"/>
      <c r="K284" s="350" t="s">
        <v>122</v>
      </c>
      <c r="L284" s="350" t="s">
        <v>608</v>
      </c>
      <c r="M284" s="350" t="s">
        <v>114</v>
      </c>
      <c r="N284" s="350"/>
      <c r="O284" s="350"/>
      <c r="P284" s="349" t="s">
        <v>1505</v>
      </c>
      <c r="Q284" s="349" t="s">
        <v>468</v>
      </c>
      <c r="R284" s="351" t="s">
        <v>120</v>
      </c>
      <c r="S284" s="349" t="s">
        <v>111</v>
      </c>
      <c r="T284" s="349" t="s">
        <v>469</v>
      </c>
      <c r="U284" s="349" t="s">
        <v>117</v>
      </c>
      <c r="V284" s="349" t="s">
        <v>903</v>
      </c>
      <c r="W284" s="351" t="s">
        <v>636</v>
      </c>
      <c r="X284" s="349" t="s">
        <v>119</v>
      </c>
      <c r="Y284" s="349" t="s">
        <v>472</v>
      </c>
      <c r="Z284" s="351" t="s">
        <v>1027</v>
      </c>
      <c r="AA284" s="349" t="s">
        <v>619</v>
      </c>
      <c r="AB284" s="349" t="s">
        <v>482</v>
      </c>
      <c r="AC284" s="349" t="s">
        <v>119</v>
      </c>
      <c r="AD284" s="351" t="s">
        <v>1027</v>
      </c>
      <c r="AE284" s="349" t="s">
        <v>903</v>
      </c>
      <c r="AF284" s="351" t="s">
        <v>1027</v>
      </c>
      <c r="AG284" s="349" t="s">
        <v>111</v>
      </c>
      <c r="AH284" s="349"/>
      <c r="AI284" s="349" t="s">
        <v>111</v>
      </c>
      <c r="AJ284" s="349" t="s">
        <v>903</v>
      </c>
      <c r="AK284" s="351" t="s">
        <v>1027</v>
      </c>
      <c r="AL284" s="349"/>
    </row>
    <row r="285" spans="1:38" ht="16.5" hidden="1" customHeight="1">
      <c r="A285" s="344" t="s">
        <v>463</v>
      </c>
      <c r="B285" s="349" t="s">
        <v>1506</v>
      </c>
      <c r="C285" s="349" t="s">
        <v>589</v>
      </c>
      <c r="D285" s="349" t="s">
        <v>110</v>
      </c>
      <c r="E285" s="349" t="s">
        <v>847</v>
      </c>
      <c r="F285" s="349" t="s">
        <v>898</v>
      </c>
      <c r="G285" s="349" t="s">
        <v>111</v>
      </c>
      <c r="H285" s="349" t="s">
        <v>111</v>
      </c>
      <c r="I285" s="349" t="s">
        <v>1507</v>
      </c>
      <c r="J285" s="349"/>
      <c r="K285" s="350" t="s">
        <v>122</v>
      </c>
      <c r="L285" s="350" t="s">
        <v>608</v>
      </c>
      <c r="M285" s="350" t="s">
        <v>114</v>
      </c>
      <c r="N285" s="350"/>
      <c r="O285" s="350"/>
      <c r="P285" s="349" t="s">
        <v>1508</v>
      </c>
      <c r="Q285" s="349" t="s">
        <v>468</v>
      </c>
      <c r="R285" s="351" t="s">
        <v>120</v>
      </c>
      <c r="S285" s="349" t="s">
        <v>111</v>
      </c>
      <c r="T285" s="349" t="s">
        <v>469</v>
      </c>
      <c r="U285" s="349" t="s">
        <v>117</v>
      </c>
      <c r="V285" s="349" t="s">
        <v>491</v>
      </c>
      <c r="W285" s="351" t="s">
        <v>636</v>
      </c>
      <c r="X285" s="349" t="s">
        <v>901</v>
      </c>
      <c r="Y285" s="349" t="s">
        <v>472</v>
      </c>
      <c r="Z285" s="351" t="s">
        <v>902</v>
      </c>
      <c r="AA285" s="349" t="s">
        <v>619</v>
      </c>
      <c r="AB285" s="349" t="s">
        <v>482</v>
      </c>
      <c r="AC285" s="349" t="s">
        <v>119</v>
      </c>
      <c r="AD285" s="351" t="s">
        <v>1027</v>
      </c>
      <c r="AE285" s="349" t="s">
        <v>491</v>
      </c>
      <c r="AF285" s="351" t="s">
        <v>902</v>
      </c>
      <c r="AG285" s="349" t="s">
        <v>111</v>
      </c>
      <c r="AH285" s="349"/>
      <c r="AI285" s="349" t="s">
        <v>111</v>
      </c>
      <c r="AJ285" s="349" t="s">
        <v>491</v>
      </c>
      <c r="AK285" s="351" t="s">
        <v>902</v>
      </c>
      <c r="AL285" s="349"/>
    </row>
    <row r="286" spans="1:38" ht="16.5" hidden="1" customHeight="1">
      <c r="A286" s="344" t="s">
        <v>463</v>
      </c>
      <c r="B286" s="349" t="s">
        <v>1509</v>
      </c>
      <c r="C286" s="349" t="s">
        <v>589</v>
      </c>
      <c r="D286" s="349" t="s">
        <v>110</v>
      </c>
      <c r="E286" s="349" t="s">
        <v>603</v>
      </c>
      <c r="F286" s="349" t="s">
        <v>898</v>
      </c>
      <c r="G286" s="349" t="s">
        <v>111</v>
      </c>
      <c r="H286" s="349" t="s">
        <v>111</v>
      </c>
      <c r="I286" s="349" t="s">
        <v>1510</v>
      </c>
      <c r="J286" s="349"/>
      <c r="K286" s="350" t="s">
        <v>112</v>
      </c>
      <c r="L286" s="350" t="s">
        <v>608</v>
      </c>
      <c r="M286" s="350" t="s">
        <v>114</v>
      </c>
      <c r="N286" s="350" t="s">
        <v>1474</v>
      </c>
      <c r="O286" s="350"/>
      <c r="P286" s="349" t="s">
        <v>1511</v>
      </c>
      <c r="Q286" s="349" t="s">
        <v>115</v>
      </c>
      <c r="R286" s="351" t="s">
        <v>120</v>
      </c>
      <c r="S286" s="349" t="s">
        <v>111</v>
      </c>
      <c r="T286" s="349" t="s">
        <v>116</v>
      </c>
      <c r="U286" s="349" t="s">
        <v>117</v>
      </c>
      <c r="V286" s="349" t="s">
        <v>1348</v>
      </c>
      <c r="W286" s="351" t="s">
        <v>837</v>
      </c>
      <c r="X286" s="349" t="s">
        <v>901</v>
      </c>
      <c r="Y286" s="349" t="s">
        <v>537</v>
      </c>
      <c r="Z286" s="351" t="s">
        <v>837</v>
      </c>
      <c r="AA286" s="349"/>
      <c r="AB286" s="349"/>
      <c r="AC286" s="349"/>
      <c r="AD286" s="351" t="s">
        <v>120</v>
      </c>
      <c r="AE286" s="349"/>
      <c r="AF286" s="351" t="s">
        <v>120</v>
      </c>
      <c r="AG286" s="349" t="s">
        <v>111</v>
      </c>
      <c r="AH286" s="349"/>
      <c r="AI286" s="349" t="s">
        <v>111</v>
      </c>
      <c r="AJ286" s="349"/>
      <c r="AK286" s="351" t="s">
        <v>120</v>
      </c>
      <c r="AL286" s="349"/>
    </row>
    <row r="287" spans="1:38" ht="16.5" hidden="1" customHeight="1">
      <c r="A287" s="344" t="s">
        <v>463</v>
      </c>
      <c r="B287" s="349" t="s">
        <v>1512</v>
      </c>
      <c r="C287" s="349" t="s">
        <v>589</v>
      </c>
      <c r="D287" s="349" t="s">
        <v>110</v>
      </c>
      <c r="E287" s="349" t="s">
        <v>1513</v>
      </c>
      <c r="F287" s="349" t="s">
        <v>898</v>
      </c>
      <c r="G287" s="349" t="s">
        <v>111</v>
      </c>
      <c r="H287" s="349" t="s">
        <v>111</v>
      </c>
      <c r="I287" s="349" t="s">
        <v>1514</v>
      </c>
      <c r="J287" s="349"/>
      <c r="K287" s="350" t="s">
        <v>122</v>
      </c>
      <c r="L287" s="350" t="s">
        <v>608</v>
      </c>
      <c r="M287" s="350" t="s">
        <v>114</v>
      </c>
      <c r="N287" s="350"/>
      <c r="O287" s="350"/>
      <c r="P287" s="349" t="s">
        <v>1515</v>
      </c>
      <c r="Q287" s="349" t="s">
        <v>468</v>
      </c>
      <c r="R287" s="351" t="s">
        <v>120</v>
      </c>
      <c r="S287" s="349" t="s">
        <v>111</v>
      </c>
      <c r="T287" s="349" t="s">
        <v>469</v>
      </c>
      <c r="U287" s="349" t="s">
        <v>117</v>
      </c>
      <c r="V287" s="349" t="s">
        <v>903</v>
      </c>
      <c r="W287" s="351" t="s">
        <v>837</v>
      </c>
      <c r="X287" s="349" t="s">
        <v>901</v>
      </c>
      <c r="Y287" s="349" t="s">
        <v>472</v>
      </c>
      <c r="Z287" s="351" t="s">
        <v>1027</v>
      </c>
      <c r="AA287" s="349" t="s">
        <v>619</v>
      </c>
      <c r="AB287" s="349" t="s">
        <v>482</v>
      </c>
      <c r="AC287" s="349" t="s">
        <v>119</v>
      </c>
      <c r="AD287" s="351" t="s">
        <v>1027</v>
      </c>
      <c r="AE287" s="349" t="s">
        <v>903</v>
      </c>
      <c r="AF287" s="351" t="s">
        <v>1027</v>
      </c>
      <c r="AG287" s="349" t="s">
        <v>111</v>
      </c>
      <c r="AH287" s="349"/>
      <c r="AI287" s="349" t="s">
        <v>111</v>
      </c>
      <c r="AJ287" s="349" t="s">
        <v>903</v>
      </c>
      <c r="AK287" s="351" t="s">
        <v>1027</v>
      </c>
      <c r="AL287" s="349"/>
    </row>
    <row r="288" spans="1:38" ht="16.5" hidden="1" customHeight="1">
      <c r="A288" s="344" t="s">
        <v>463</v>
      </c>
      <c r="B288" s="349" t="s">
        <v>1516</v>
      </c>
      <c r="C288" s="349" t="s">
        <v>589</v>
      </c>
      <c r="D288" s="349" t="s">
        <v>110</v>
      </c>
      <c r="E288" s="349" t="s">
        <v>853</v>
      </c>
      <c r="F288" s="349" t="s">
        <v>898</v>
      </c>
      <c r="G288" s="349" t="s">
        <v>111</v>
      </c>
      <c r="H288" s="349" t="s">
        <v>111</v>
      </c>
      <c r="I288" s="349" t="s">
        <v>1517</v>
      </c>
      <c r="J288" s="349"/>
      <c r="K288" s="350" t="s">
        <v>122</v>
      </c>
      <c r="L288" s="350" t="s">
        <v>608</v>
      </c>
      <c r="M288" s="350" t="s">
        <v>114</v>
      </c>
      <c r="N288" s="350"/>
      <c r="O288" s="350"/>
      <c r="P288" s="349" t="s">
        <v>1518</v>
      </c>
      <c r="Q288" s="349" t="s">
        <v>468</v>
      </c>
      <c r="R288" s="351" t="s">
        <v>120</v>
      </c>
      <c r="S288" s="349" t="s">
        <v>517</v>
      </c>
      <c r="T288" s="349" t="s">
        <v>469</v>
      </c>
      <c r="U288" s="349" t="s">
        <v>117</v>
      </c>
      <c r="V288" s="349" t="s">
        <v>903</v>
      </c>
      <c r="W288" s="351" t="s">
        <v>837</v>
      </c>
      <c r="X288" s="349" t="s">
        <v>119</v>
      </c>
      <c r="Y288" s="349" t="s">
        <v>472</v>
      </c>
      <c r="Z288" s="351" t="s">
        <v>902</v>
      </c>
      <c r="AA288" s="349" t="s">
        <v>619</v>
      </c>
      <c r="AB288" s="349" t="s">
        <v>482</v>
      </c>
      <c r="AC288" s="349" t="s">
        <v>119</v>
      </c>
      <c r="AD288" s="351" t="s">
        <v>902</v>
      </c>
      <c r="AE288" s="349" t="s">
        <v>903</v>
      </c>
      <c r="AF288" s="351" t="s">
        <v>902</v>
      </c>
      <c r="AG288" s="349" t="s">
        <v>111</v>
      </c>
      <c r="AH288" s="349"/>
      <c r="AI288" s="349" t="s">
        <v>111</v>
      </c>
      <c r="AJ288" s="349" t="s">
        <v>903</v>
      </c>
      <c r="AK288" s="351" t="s">
        <v>902</v>
      </c>
      <c r="AL288" s="349"/>
    </row>
    <row r="289" spans="1:38" ht="16.5" hidden="1" customHeight="1">
      <c r="A289" s="344" t="s">
        <v>463</v>
      </c>
      <c r="B289" s="349" t="s">
        <v>1519</v>
      </c>
      <c r="C289" s="349" t="s">
        <v>589</v>
      </c>
      <c r="D289" s="349" t="s">
        <v>110</v>
      </c>
      <c r="E289" s="349" t="s">
        <v>111</v>
      </c>
      <c r="F289" s="349" t="s">
        <v>898</v>
      </c>
      <c r="G289" s="349" t="s">
        <v>111</v>
      </c>
      <c r="H289" s="349" t="s">
        <v>111</v>
      </c>
      <c r="I289" s="349" t="s">
        <v>1520</v>
      </c>
      <c r="J289" s="349"/>
      <c r="K289" s="350" t="s">
        <v>112</v>
      </c>
      <c r="L289" s="350" t="s">
        <v>113</v>
      </c>
      <c r="M289" s="350" t="s">
        <v>114</v>
      </c>
      <c r="N289" s="350"/>
      <c r="O289" s="350"/>
      <c r="P289" s="349" t="s">
        <v>1521</v>
      </c>
      <c r="Q289" s="349" t="s">
        <v>468</v>
      </c>
      <c r="R289" s="351" t="s">
        <v>120</v>
      </c>
      <c r="S289" s="349" t="s">
        <v>111</v>
      </c>
      <c r="T289" s="349" t="s">
        <v>469</v>
      </c>
      <c r="U289" s="349" t="s">
        <v>117</v>
      </c>
      <c r="V289" s="349" t="s">
        <v>491</v>
      </c>
      <c r="W289" s="351" t="s">
        <v>1027</v>
      </c>
      <c r="X289" s="349" t="s">
        <v>901</v>
      </c>
      <c r="Y289" s="349" t="s">
        <v>472</v>
      </c>
      <c r="Z289" s="351" t="s">
        <v>902</v>
      </c>
      <c r="AA289" s="349" t="s">
        <v>689</v>
      </c>
      <c r="AB289" s="349" t="s">
        <v>482</v>
      </c>
      <c r="AC289" s="349" t="s">
        <v>119</v>
      </c>
      <c r="AD289" s="351" t="s">
        <v>902</v>
      </c>
      <c r="AE289" s="349" t="s">
        <v>491</v>
      </c>
      <c r="AF289" s="351" t="s">
        <v>902</v>
      </c>
      <c r="AG289" s="349" t="s">
        <v>111</v>
      </c>
      <c r="AH289" s="349"/>
      <c r="AI289" s="349" t="s">
        <v>111</v>
      </c>
      <c r="AJ289" s="349" t="s">
        <v>491</v>
      </c>
      <c r="AK289" s="351" t="s">
        <v>902</v>
      </c>
      <c r="AL289" s="349"/>
    </row>
    <row r="290" spans="1:38" ht="16.5" hidden="1" customHeight="1">
      <c r="A290" s="344" t="s">
        <v>463</v>
      </c>
      <c r="B290" s="349" t="s">
        <v>1522</v>
      </c>
      <c r="C290" s="349" t="s">
        <v>589</v>
      </c>
      <c r="D290" s="349" t="s">
        <v>110</v>
      </c>
      <c r="E290" s="349" t="s">
        <v>853</v>
      </c>
      <c r="F290" s="349" t="s">
        <v>898</v>
      </c>
      <c r="G290" s="349" t="s">
        <v>111</v>
      </c>
      <c r="H290" s="349" t="s">
        <v>111</v>
      </c>
      <c r="I290" s="349" t="s">
        <v>1523</v>
      </c>
      <c r="J290" s="349"/>
      <c r="K290" s="350" t="s">
        <v>122</v>
      </c>
      <c r="L290" s="350" t="s">
        <v>608</v>
      </c>
      <c r="M290" s="350" t="s">
        <v>114</v>
      </c>
      <c r="N290" s="350"/>
      <c r="O290" s="350"/>
      <c r="P290" s="349" t="s">
        <v>1524</v>
      </c>
      <c r="Q290" s="349" t="s">
        <v>115</v>
      </c>
      <c r="R290" s="351" t="s">
        <v>120</v>
      </c>
      <c r="S290" s="349" t="s">
        <v>111</v>
      </c>
      <c r="T290" s="349" t="s">
        <v>116</v>
      </c>
      <c r="U290" s="349" t="s">
        <v>117</v>
      </c>
      <c r="V290" s="349" t="s">
        <v>903</v>
      </c>
      <c r="W290" s="351" t="s">
        <v>1027</v>
      </c>
      <c r="X290" s="349" t="s">
        <v>119</v>
      </c>
      <c r="Y290" s="349" t="s">
        <v>537</v>
      </c>
      <c r="Z290" s="351" t="s">
        <v>1027</v>
      </c>
      <c r="AA290" s="349"/>
      <c r="AB290" s="349"/>
      <c r="AC290" s="349"/>
      <c r="AD290" s="351" t="s">
        <v>120</v>
      </c>
      <c r="AE290" s="349"/>
      <c r="AF290" s="351" t="s">
        <v>120</v>
      </c>
      <c r="AG290" s="349" t="s">
        <v>111</v>
      </c>
      <c r="AH290" s="349"/>
      <c r="AI290" s="349" t="s">
        <v>111</v>
      </c>
      <c r="AJ290" s="349" t="s">
        <v>903</v>
      </c>
      <c r="AK290" s="351" t="s">
        <v>1027</v>
      </c>
      <c r="AL290" s="349"/>
    </row>
    <row r="291" spans="1:38" ht="16.5" customHeight="1">
      <c r="A291" s="95" t="s">
        <v>2119</v>
      </c>
      <c r="B291" t="s">
        <v>1677</v>
      </c>
      <c r="C291" t="s">
        <v>589</v>
      </c>
      <c r="D291" t="s">
        <v>110</v>
      </c>
      <c r="E291" t="s">
        <v>853</v>
      </c>
      <c r="F291" s="87" t="s">
        <v>2125</v>
      </c>
      <c r="G291" t="s">
        <v>111</v>
      </c>
      <c r="H291" t="s">
        <v>111</v>
      </c>
      <c r="I291" t="s">
        <v>1678</v>
      </c>
      <c r="J291" s="371" t="s">
        <v>2126</v>
      </c>
      <c r="K291" t="s">
        <v>122</v>
      </c>
      <c r="L291" t="s">
        <v>608</v>
      </c>
      <c r="M291" t="s">
        <v>114</v>
      </c>
      <c r="P291" t="s">
        <v>1679</v>
      </c>
      <c r="Q291" t="s">
        <v>115</v>
      </c>
      <c r="R291" t="s">
        <v>120</v>
      </c>
      <c r="S291" t="s">
        <v>111</v>
      </c>
      <c r="T291" t="s">
        <v>116</v>
      </c>
      <c r="U291" t="s">
        <v>117</v>
      </c>
      <c r="V291" t="s">
        <v>903</v>
      </c>
      <c r="W291" t="s">
        <v>1680</v>
      </c>
      <c r="X291" t="s">
        <v>1681</v>
      </c>
      <c r="Y291" t="s">
        <v>1682</v>
      </c>
      <c r="Z291" t="s">
        <v>1680</v>
      </c>
      <c r="AD291" t="s">
        <v>120</v>
      </c>
      <c r="AF291" t="s">
        <v>120</v>
      </c>
      <c r="AG291" t="s">
        <v>111</v>
      </c>
      <c r="AI291" t="s">
        <v>111</v>
      </c>
      <c r="AK291" t="s">
        <v>120</v>
      </c>
    </row>
    <row r="292" spans="1:38" ht="16.5" customHeight="1">
      <c r="A292" s="95" t="s">
        <v>2119</v>
      </c>
      <c r="B292" t="s">
        <v>1683</v>
      </c>
      <c r="C292" t="s">
        <v>589</v>
      </c>
      <c r="D292" t="s">
        <v>110</v>
      </c>
      <c r="E292" t="s">
        <v>111</v>
      </c>
      <c r="F292" s="87" t="s">
        <v>2125</v>
      </c>
      <c r="G292" t="s">
        <v>111</v>
      </c>
      <c r="H292" t="s">
        <v>111</v>
      </c>
      <c r="I292" t="s">
        <v>1684</v>
      </c>
      <c r="J292" s="371" t="s">
        <v>2126</v>
      </c>
      <c r="K292" t="s">
        <v>122</v>
      </c>
      <c r="L292" t="s">
        <v>608</v>
      </c>
      <c r="M292" t="s">
        <v>114</v>
      </c>
      <c r="N292" t="s">
        <v>1474</v>
      </c>
      <c r="O292" t="s">
        <v>1495</v>
      </c>
      <c r="P292" t="s">
        <v>1685</v>
      </c>
      <c r="Q292" t="s">
        <v>115</v>
      </c>
      <c r="R292" t="s">
        <v>120</v>
      </c>
      <c r="S292" t="s">
        <v>111</v>
      </c>
      <c r="T292" t="s">
        <v>116</v>
      </c>
      <c r="U292" t="s">
        <v>117</v>
      </c>
      <c r="V292" t="s">
        <v>1686</v>
      </c>
      <c r="W292" t="s">
        <v>1680</v>
      </c>
      <c r="X292" t="s">
        <v>1687</v>
      </c>
      <c r="Y292" t="s">
        <v>1688</v>
      </c>
      <c r="Z292" t="s">
        <v>1680</v>
      </c>
      <c r="AD292" t="s">
        <v>120</v>
      </c>
      <c r="AF292" t="s">
        <v>120</v>
      </c>
      <c r="AG292" t="s">
        <v>111</v>
      </c>
      <c r="AI292" t="s">
        <v>564</v>
      </c>
      <c r="AK292" t="s">
        <v>120</v>
      </c>
    </row>
    <row r="293" spans="1:38" ht="16.5" customHeight="1">
      <c r="A293" s="95" t="s">
        <v>2119</v>
      </c>
      <c r="B293" t="s">
        <v>1689</v>
      </c>
      <c r="C293" t="s">
        <v>589</v>
      </c>
      <c r="D293" t="s">
        <v>110</v>
      </c>
      <c r="E293" t="s">
        <v>860</v>
      </c>
      <c r="F293" s="87" t="s">
        <v>2125</v>
      </c>
      <c r="G293" t="s">
        <v>111</v>
      </c>
      <c r="H293" t="s">
        <v>111</v>
      </c>
      <c r="I293" t="s">
        <v>1690</v>
      </c>
      <c r="J293" s="371" t="s">
        <v>2126</v>
      </c>
      <c r="K293" t="s">
        <v>122</v>
      </c>
      <c r="L293" t="s">
        <v>608</v>
      </c>
      <c r="M293" t="s">
        <v>1163</v>
      </c>
      <c r="N293" t="s">
        <v>1495</v>
      </c>
      <c r="P293" t="s">
        <v>1691</v>
      </c>
      <c r="Q293" t="s">
        <v>115</v>
      </c>
      <c r="R293" t="s">
        <v>120</v>
      </c>
      <c r="S293" t="s">
        <v>111</v>
      </c>
      <c r="T293" t="s">
        <v>116</v>
      </c>
      <c r="U293" t="s">
        <v>117</v>
      </c>
      <c r="V293" t="s">
        <v>1348</v>
      </c>
      <c r="W293" t="s">
        <v>1680</v>
      </c>
      <c r="X293" t="s">
        <v>1681</v>
      </c>
      <c r="Y293" t="s">
        <v>1692</v>
      </c>
      <c r="Z293" t="s">
        <v>1680</v>
      </c>
      <c r="AD293" t="s">
        <v>120</v>
      </c>
      <c r="AF293" t="s">
        <v>120</v>
      </c>
      <c r="AG293" t="s">
        <v>111</v>
      </c>
      <c r="AI293" t="s">
        <v>111</v>
      </c>
      <c r="AJ293" t="s">
        <v>1348</v>
      </c>
      <c r="AK293" t="s">
        <v>1680</v>
      </c>
    </row>
    <row r="294" spans="1:38" ht="16.5" customHeight="1">
      <c r="A294" s="95" t="s">
        <v>2119</v>
      </c>
      <c r="B294" t="s">
        <v>1693</v>
      </c>
      <c r="C294" t="s">
        <v>589</v>
      </c>
      <c r="D294" t="s">
        <v>110</v>
      </c>
      <c r="E294" t="s">
        <v>860</v>
      </c>
      <c r="F294" s="87" t="s">
        <v>2125</v>
      </c>
      <c r="G294" t="s">
        <v>111</v>
      </c>
      <c r="H294" t="s">
        <v>111</v>
      </c>
      <c r="I294" t="s">
        <v>1694</v>
      </c>
      <c r="J294" s="371" t="s">
        <v>2126</v>
      </c>
      <c r="K294" t="s">
        <v>122</v>
      </c>
      <c r="L294" t="s">
        <v>608</v>
      </c>
      <c r="M294" t="s">
        <v>1163</v>
      </c>
      <c r="N294" t="s">
        <v>1495</v>
      </c>
      <c r="P294" t="s">
        <v>1695</v>
      </c>
      <c r="Q294" t="s">
        <v>115</v>
      </c>
      <c r="R294" t="s">
        <v>120</v>
      </c>
      <c r="S294" t="s">
        <v>111</v>
      </c>
      <c r="T294" t="s">
        <v>116</v>
      </c>
      <c r="U294" t="s">
        <v>117</v>
      </c>
      <c r="V294" t="s">
        <v>1348</v>
      </c>
      <c r="W294" t="s">
        <v>1680</v>
      </c>
      <c r="X294" t="s">
        <v>1681</v>
      </c>
      <c r="Y294" t="s">
        <v>1692</v>
      </c>
      <c r="Z294" t="s">
        <v>1680</v>
      </c>
      <c r="AD294" t="s">
        <v>120</v>
      </c>
      <c r="AF294" t="s">
        <v>120</v>
      </c>
      <c r="AG294" t="s">
        <v>111</v>
      </c>
      <c r="AI294" t="s">
        <v>111</v>
      </c>
      <c r="AK294" t="s">
        <v>120</v>
      </c>
    </row>
    <row r="295" spans="1:38" ht="16.5" customHeight="1">
      <c r="A295" s="95" t="s">
        <v>2119</v>
      </c>
      <c r="B295" t="s">
        <v>1696</v>
      </c>
      <c r="C295" t="s">
        <v>589</v>
      </c>
      <c r="D295" t="s">
        <v>110</v>
      </c>
      <c r="E295" t="s">
        <v>1697</v>
      </c>
      <c r="F295" s="87" t="s">
        <v>2125</v>
      </c>
      <c r="G295" t="s">
        <v>111</v>
      </c>
      <c r="H295" t="s">
        <v>111</v>
      </c>
      <c r="I295" t="s">
        <v>1698</v>
      </c>
      <c r="J295" s="371" t="s">
        <v>2126</v>
      </c>
      <c r="K295" t="s">
        <v>122</v>
      </c>
      <c r="L295" t="s">
        <v>608</v>
      </c>
      <c r="M295" t="s">
        <v>114</v>
      </c>
      <c r="P295" t="s">
        <v>1699</v>
      </c>
      <c r="Q295" t="s">
        <v>115</v>
      </c>
      <c r="R295" t="s">
        <v>120</v>
      </c>
      <c r="S295" t="s">
        <v>111</v>
      </c>
      <c r="T295" t="s">
        <v>116</v>
      </c>
      <c r="U295" t="s">
        <v>117</v>
      </c>
      <c r="V295" t="s">
        <v>903</v>
      </c>
      <c r="W295" t="s">
        <v>1680</v>
      </c>
      <c r="X295" t="s">
        <v>1687</v>
      </c>
      <c r="Y295" t="s">
        <v>1700</v>
      </c>
      <c r="Z295" t="s">
        <v>1680</v>
      </c>
      <c r="AD295" t="s">
        <v>120</v>
      </c>
      <c r="AF295" t="s">
        <v>120</v>
      </c>
      <c r="AG295" t="s">
        <v>111</v>
      </c>
      <c r="AI295" t="s">
        <v>111</v>
      </c>
      <c r="AK295" t="s">
        <v>120</v>
      </c>
    </row>
    <row r="296" spans="1:38" ht="16.5" customHeight="1">
      <c r="A296" s="95" t="s">
        <v>2119</v>
      </c>
      <c r="B296" t="s">
        <v>1701</v>
      </c>
      <c r="C296" t="s">
        <v>589</v>
      </c>
      <c r="D296" t="s">
        <v>110</v>
      </c>
      <c r="E296" t="s">
        <v>1697</v>
      </c>
      <c r="F296" s="87" t="s">
        <v>2125</v>
      </c>
      <c r="G296" t="s">
        <v>111</v>
      </c>
      <c r="H296" t="s">
        <v>111</v>
      </c>
      <c r="I296" t="s">
        <v>1702</v>
      </c>
      <c r="J296" s="371" t="s">
        <v>2126</v>
      </c>
      <c r="K296" t="s">
        <v>2123</v>
      </c>
      <c r="L296" t="s">
        <v>608</v>
      </c>
      <c r="M296" t="s">
        <v>114</v>
      </c>
      <c r="P296" t="s">
        <v>688</v>
      </c>
      <c r="Q296" t="s">
        <v>115</v>
      </c>
      <c r="R296" t="s">
        <v>120</v>
      </c>
      <c r="S296" t="s">
        <v>111</v>
      </c>
      <c r="T296" t="s">
        <v>469</v>
      </c>
      <c r="U296" t="s">
        <v>117</v>
      </c>
      <c r="V296" t="s">
        <v>491</v>
      </c>
      <c r="W296" t="s">
        <v>1680</v>
      </c>
      <c r="X296" t="s">
        <v>1687</v>
      </c>
      <c r="Y296" t="s">
        <v>1688</v>
      </c>
      <c r="Z296" t="s">
        <v>1680</v>
      </c>
      <c r="AD296" t="s">
        <v>120</v>
      </c>
      <c r="AF296" t="s">
        <v>120</v>
      </c>
      <c r="AG296" t="s">
        <v>111</v>
      </c>
      <c r="AI296" t="s">
        <v>111</v>
      </c>
      <c r="AJ296" t="s">
        <v>1688</v>
      </c>
      <c r="AK296" t="s">
        <v>1680</v>
      </c>
    </row>
    <row r="297" spans="1:38" ht="16.5" customHeight="1">
      <c r="A297" s="95" t="s">
        <v>2119</v>
      </c>
      <c r="B297" t="s">
        <v>1703</v>
      </c>
      <c r="C297" t="s">
        <v>589</v>
      </c>
      <c r="D297" t="s">
        <v>110</v>
      </c>
      <c r="E297" t="s">
        <v>853</v>
      </c>
      <c r="F297" s="87" t="s">
        <v>2125</v>
      </c>
      <c r="G297" t="s">
        <v>111</v>
      </c>
      <c r="H297" t="s">
        <v>111</v>
      </c>
      <c r="I297" t="s">
        <v>1704</v>
      </c>
      <c r="J297" s="371" t="s">
        <v>2126</v>
      </c>
      <c r="K297" t="s">
        <v>122</v>
      </c>
      <c r="L297" t="s">
        <v>608</v>
      </c>
      <c r="M297" t="s">
        <v>114</v>
      </c>
      <c r="N297" t="s">
        <v>1495</v>
      </c>
      <c r="P297" t="s">
        <v>1705</v>
      </c>
      <c r="Q297" t="s">
        <v>115</v>
      </c>
      <c r="R297" t="s">
        <v>120</v>
      </c>
      <c r="S297" t="s">
        <v>111</v>
      </c>
      <c r="T297" t="s">
        <v>116</v>
      </c>
      <c r="U297" t="s">
        <v>117</v>
      </c>
      <c r="V297" t="s">
        <v>1348</v>
      </c>
      <c r="W297" t="s">
        <v>1680</v>
      </c>
      <c r="X297" t="s">
        <v>1687</v>
      </c>
      <c r="Y297" t="s">
        <v>1682</v>
      </c>
      <c r="Z297" t="s">
        <v>1680</v>
      </c>
      <c r="AD297" t="s">
        <v>120</v>
      </c>
      <c r="AF297" t="s">
        <v>120</v>
      </c>
      <c r="AG297" t="s">
        <v>111</v>
      </c>
      <c r="AI297" t="s">
        <v>111</v>
      </c>
      <c r="AJ297" t="s">
        <v>1348</v>
      </c>
      <c r="AK297" t="s">
        <v>1680</v>
      </c>
    </row>
    <row r="298" spans="1:38" ht="16.5" customHeight="1">
      <c r="A298" s="95" t="s">
        <v>2119</v>
      </c>
      <c r="B298" t="s">
        <v>1706</v>
      </c>
      <c r="C298" t="s">
        <v>589</v>
      </c>
      <c r="D298" t="s">
        <v>110</v>
      </c>
      <c r="E298" t="s">
        <v>111</v>
      </c>
      <c r="F298" s="87" t="s">
        <v>2125</v>
      </c>
      <c r="G298" t="s">
        <v>111</v>
      </c>
      <c r="H298" t="s">
        <v>111</v>
      </c>
      <c r="I298" t="s">
        <v>1707</v>
      </c>
      <c r="J298" s="371" t="s">
        <v>2126</v>
      </c>
      <c r="K298" t="s">
        <v>122</v>
      </c>
      <c r="L298" t="s">
        <v>608</v>
      </c>
      <c r="M298" t="s">
        <v>114</v>
      </c>
      <c r="N298" t="s">
        <v>1474</v>
      </c>
      <c r="O298" t="s">
        <v>1495</v>
      </c>
      <c r="P298" t="s">
        <v>1708</v>
      </c>
      <c r="Q298" t="s">
        <v>115</v>
      </c>
      <c r="R298" t="s">
        <v>120</v>
      </c>
      <c r="S298" t="s">
        <v>111</v>
      </c>
      <c r="T298" t="s">
        <v>116</v>
      </c>
      <c r="U298" t="s">
        <v>117</v>
      </c>
      <c r="V298" t="s">
        <v>1686</v>
      </c>
      <c r="W298" t="s">
        <v>1680</v>
      </c>
      <c r="X298" t="s">
        <v>1687</v>
      </c>
      <c r="Y298" t="s">
        <v>1682</v>
      </c>
      <c r="Z298" t="s">
        <v>1680</v>
      </c>
      <c r="AD298" t="s">
        <v>120</v>
      </c>
      <c r="AF298" t="s">
        <v>120</v>
      </c>
      <c r="AG298" t="s">
        <v>111</v>
      </c>
      <c r="AI298" t="s">
        <v>1709</v>
      </c>
      <c r="AK298" t="s">
        <v>120</v>
      </c>
    </row>
    <row r="299" spans="1:38" ht="16.5" customHeight="1">
      <c r="A299" s="95" t="s">
        <v>2119</v>
      </c>
      <c r="B299" t="s">
        <v>1710</v>
      </c>
      <c r="C299" t="s">
        <v>589</v>
      </c>
      <c r="D299" t="s">
        <v>110</v>
      </c>
      <c r="E299" t="s">
        <v>1697</v>
      </c>
      <c r="F299" s="87" t="s">
        <v>2125</v>
      </c>
      <c r="G299" t="s">
        <v>111</v>
      </c>
      <c r="H299" t="s">
        <v>111</v>
      </c>
      <c r="I299" t="s">
        <v>1711</v>
      </c>
      <c r="J299" s="371" t="s">
        <v>2126</v>
      </c>
      <c r="K299" t="s">
        <v>2123</v>
      </c>
      <c r="L299" t="s">
        <v>608</v>
      </c>
      <c r="M299" t="s">
        <v>114</v>
      </c>
      <c r="P299" t="s">
        <v>1712</v>
      </c>
      <c r="Q299" t="s">
        <v>115</v>
      </c>
      <c r="R299" t="s">
        <v>120</v>
      </c>
      <c r="S299" t="s">
        <v>111</v>
      </c>
      <c r="T299" t="s">
        <v>116</v>
      </c>
      <c r="U299" t="s">
        <v>117</v>
      </c>
      <c r="V299" t="s">
        <v>903</v>
      </c>
      <c r="W299" t="s">
        <v>1680</v>
      </c>
      <c r="X299" t="s">
        <v>1687</v>
      </c>
      <c r="Y299" t="s">
        <v>1700</v>
      </c>
      <c r="Z299" t="s">
        <v>1680</v>
      </c>
      <c r="AD299" t="s">
        <v>120</v>
      </c>
      <c r="AF299" t="s">
        <v>120</v>
      </c>
      <c r="AG299" t="s">
        <v>111</v>
      </c>
      <c r="AI299" t="s">
        <v>111</v>
      </c>
      <c r="AK299" t="s">
        <v>120</v>
      </c>
    </row>
    <row r="300" spans="1:38" ht="16.5" customHeight="1">
      <c r="A300" s="95" t="s">
        <v>2119</v>
      </c>
      <c r="B300" t="s">
        <v>1713</v>
      </c>
      <c r="C300" t="s">
        <v>589</v>
      </c>
      <c r="D300" t="s">
        <v>110</v>
      </c>
      <c r="E300" t="s">
        <v>860</v>
      </c>
      <c r="F300" s="87" t="s">
        <v>2125</v>
      </c>
      <c r="G300" t="s">
        <v>111</v>
      </c>
      <c r="H300" t="s">
        <v>111</v>
      </c>
      <c r="I300" t="s">
        <v>1714</v>
      </c>
      <c r="J300" s="371" t="s">
        <v>2126</v>
      </c>
      <c r="K300" t="s">
        <v>122</v>
      </c>
      <c r="L300" t="s">
        <v>608</v>
      </c>
      <c r="M300" t="s">
        <v>1163</v>
      </c>
      <c r="N300" t="s">
        <v>1495</v>
      </c>
      <c r="P300" t="s">
        <v>1715</v>
      </c>
      <c r="Q300" t="s">
        <v>115</v>
      </c>
      <c r="R300" t="s">
        <v>120</v>
      </c>
      <c r="S300" t="s">
        <v>111</v>
      </c>
      <c r="T300" t="s">
        <v>116</v>
      </c>
      <c r="U300" t="s">
        <v>117</v>
      </c>
      <c r="V300" t="s">
        <v>1348</v>
      </c>
      <c r="W300" t="s">
        <v>1680</v>
      </c>
      <c r="X300" t="s">
        <v>1687</v>
      </c>
      <c r="Y300" t="s">
        <v>1692</v>
      </c>
      <c r="Z300" t="s">
        <v>1680</v>
      </c>
      <c r="AD300" t="s">
        <v>120</v>
      </c>
      <c r="AF300" t="s">
        <v>120</v>
      </c>
      <c r="AG300" t="s">
        <v>111</v>
      </c>
      <c r="AI300" t="s">
        <v>111</v>
      </c>
      <c r="AJ300" t="s">
        <v>1348</v>
      </c>
      <c r="AK300" t="s">
        <v>1680</v>
      </c>
    </row>
    <row r="301" spans="1:38" ht="16.5" customHeight="1">
      <c r="A301" s="95" t="s">
        <v>2119</v>
      </c>
      <c r="B301" t="s">
        <v>1716</v>
      </c>
      <c r="C301" t="s">
        <v>589</v>
      </c>
      <c r="D301" t="s">
        <v>110</v>
      </c>
      <c r="E301" t="s">
        <v>1697</v>
      </c>
      <c r="F301" s="87" t="s">
        <v>2125</v>
      </c>
      <c r="G301" t="s">
        <v>111</v>
      </c>
      <c r="H301" t="s">
        <v>111</v>
      </c>
      <c r="I301" t="s">
        <v>1717</v>
      </c>
      <c r="J301" s="371" t="s">
        <v>2126</v>
      </c>
      <c r="K301" t="s">
        <v>122</v>
      </c>
      <c r="L301" t="s">
        <v>608</v>
      </c>
      <c r="M301" t="s">
        <v>114</v>
      </c>
      <c r="P301" t="s">
        <v>1718</v>
      </c>
      <c r="Q301" t="s">
        <v>115</v>
      </c>
      <c r="R301" t="s">
        <v>120</v>
      </c>
      <c r="S301" t="s">
        <v>111</v>
      </c>
      <c r="T301" t="s">
        <v>116</v>
      </c>
      <c r="U301" t="s">
        <v>117</v>
      </c>
      <c r="V301" t="s">
        <v>491</v>
      </c>
      <c r="W301" t="s">
        <v>1680</v>
      </c>
      <c r="X301" t="s">
        <v>1687</v>
      </c>
      <c r="Y301" t="s">
        <v>1700</v>
      </c>
      <c r="Z301" t="s">
        <v>1680</v>
      </c>
      <c r="AD301" t="s">
        <v>120</v>
      </c>
      <c r="AF301" t="s">
        <v>120</v>
      </c>
      <c r="AG301" t="s">
        <v>111</v>
      </c>
      <c r="AI301" t="s">
        <v>111</v>
      </c>
      <c r="AJ301" t="s">
        <v>491</v>
      </c>
      <c r="AK301" t="s">
        <v>1680</v>
      </c>
    </row>
    <row r="302" spans="1:38" ht="16.5" customHeight="1">
      <c r="A302" s="95" t="s">
        <v>2119</v>
      </c>
      <c r="B302" t="s">
        <v>1719</v>
      </c>
      <c r="C302" t="s">
        <v>589</v>
      </c>
      <c r="D302" t="s">
        <v>110</v>
      </c>
      <c r="E302" t="s">
        <v>1697</v>
      </c>
      <c r="F302" s="87" t="s">
        <v>2125</v>
      </c>
      <c r="G302" t="s">
        <v>111</v>
      </c>
      <c r="H302" t="s">
        <v>111</v>
      </c>
      <c r="I302" t="s">
        <v>1720</v>
      </c>
      <c r="J302" s="371" t="s">
        <v>2126</v>
      </c>
      <c r="K302" t="s">
        <v>122</v>
      </c>
      <c r="L302" t="s">
        <v>608</v>
      </c>
      <c r="M302" t="s">
        <v>114</v>
      </c>
      <c r="P302" t="s">
        <v>1721</v>
      </c>
      <c r="Q302" t="s">
        <v>115</v>
      </c>
      <c r="R302" t="s">
        <v>120</v>
      </c>
      <c r="S302" t="s">
        <v>111</v>
      </c>
      <c r="T302" t="s">
        <v>116</v>
      </c>
      <c r="U302" t="s">
        <v>117</v>
      </c>
      <c r="V302" t="s">
        <v>491</v>
      </c>
      <c r="W302" t="s">
        <v>1680</v>
      </c>
      <c r="X302" t="s">
        <v>1687</v>
      </c>
      <c r="Y302" t="s">
        <v>1700</v>
      </c>
      <c r="Z302" t="s">
        <v>1680</v>
      </c>
      <c r="AD302" t="s">
        <v>120</v>
      </c>
      <c r="AF302" t="s">
        <v>120</v>
      </c>
      <c r="AG302" t="s">
        <v>111</v>
      </c>
      <c r="AI302" t="s">
        <v>111</v>
      </c>
      <c r="AK302" t="s">
        <v>120</v>
      </c>
    </row>
    <row r="303" spans="1:38" ht="16.5" customHeight="1">
      <c r="A303" s="95" t="s">
        <v>2119</v>
      </c>
      <c r="B303" t="s">
        <v>1722</v>
      </c>
      <c r="C303" t="s">
        <v>589</v>
      </c>
      <c r="D303" t="s">
        <v>110</v>
      </c>
      <c r="E303" t="s">
        <v>847</v>
      </c>
      <c r="F303" s="87" t="s">
        <v>2125</v>
      </c>
      <c r="G303" t="s">
        <v>111</v>
      </c>
      <c r="H303" t="s">
        <v>111</v>
      </c>
      <c r="I303" t="s">
        <v>1723</v>
      </c>
      <c r="J303" s="371" t="s">
        <v>2126</v>
      </c>
      <c r="K303" t="s">
        <v>2124</v>
      </c>
      <c r="L303" t="s">
        <v>608</v>
      </c>
      <c r="M303" t="s">
        <v>114</v>
      </c>
      <c r="P303" t="s">
        <v>1724</v>
      </c>
      <c r="Q303" t="s">
        <v>115</v>
      </c>
      <c r="R303" t="s">
        <v>120</v>
      </c>
      <c r="S303" t="s">
        <v>111</v>
      </c>
      <c r="T303" t="s">
        <v>116</v>
      </c>
      <c r="U303" t="s">
        <v>117</v>
      </c>
      <c r="V303" t="s">
        <v>491</v>
      </c>
      <c r="W303" t="s">
        <v>1680</v>
      </c>
      <c r="X303" t="s">
        <v>1687</v>
      </c>
      <c r="Y303" t="s">
        <v>819</v>
      </c>
      <c r="Z303" t="s">
        <v>1680</v>
      </c>
      <c r="AD303" t="s">
        <v>120</v>
      </c>
      <c r="AF303" t="s">
        <v>120</v>
      </c>
      <c r="AG303" t="s">
        <v>111</v>
      </c>
      <c r="AI303" t="s">
        <v>111</v>
      </c>
      <c r="AK303" t="s">
        <v>120</v>
      </c>
    </row>
    <row r="304" spans="1:38" ht="16.5" customHeight="1">
      <c r="A304" s="95" t="s">
        <v>2119</v>
      </c>
      <c r="B304" t="s">
        <v>1725</v>
      </c>
      <c r="C304" t="s">
        <v>589</v>
      </c>
      <c r="D304" t="s">
        <v>110</v>
      </c>
      <c r="E304" t="s">
        <v>1697</v>
      </c>
      <c r="F304" s="87" t="s">
        <v>2125</v>
      </c>
      <c r="G304" t="s">
        <v>111</v>
      </c>
      <c r="H304" t="s">
        <v>111</v>
      </c>
      <c r="I304" t="s">
        <v>1726</v>
      </c>
      <c r="J304" s="371" t="s">
        <v>2126</v>
      </c>
      <c r="K304" t="s">
        <v>2124</v>
      </c>
      <c r="L304" t="s">
        <v>113</v>
      </c>
      <c r="M304" t="s">
        <v>114</v>
      </c>
      <c r="P304" t="s">
        <v>1727</v>
      </c>
      <c r="Q304" t="s">
        <v>115</v>
      </c>
      <c r="R304" t="s">
        <v>120</v>
      </c>
      <c r="S304" t="s">
        <v>111</v>
      </c>
      <c r="T304" t="s">
        <v>116</v>
      </c>
      <c r="U304" t="s">
        <v>117</v>
      </c>
      <c r="V304" t="s">
        <v>491</v>
      </c>
      <c r="W304" t="s">
        <v>1680</v>
      </c>
      <c r="X304" t="s">
        <v>1687</v>
      </c>
      <c r="Y304" t="s">
        <v>1700</v>
      </c>
      <c r="Z304" t="s">
        <v>1680</v>
      </c>
      <c r="AD304" t="s">
        <v>120</v>
      </c>
      <c r="AF304" t="s">
        <v>120</v>
      </c>
      <c r="AG304" t="s">
        <v>111</v>
      </c>
      <c r="AI304" t="s">
        <v>111</v>
      </c>
      <c r="AJ304" t="s">
        <v>491</v>
      </c>
      <c r="AK304" t="s">
        <v>1680</v>
      </c>
    </row>
    <row r="305" spans="1:37" ht="16.5" customHeight="1">
      <c r="A305" s="95" t="s">
        <v>2119</v>
      </c>
      <c r="B305" t="s">
        <v>1728</v>
      </c>
      <c r="C305" t="s">
        <v>589</v>
      </c>
      <c r="D305" t="s">
        <v>110</v>
      </c>
      <c r="E305" t="s">
        <v>1729</v>
      </c>
      <c r="F305" s="87" t="s">
        <v>2125</v>
      </c>
      <c r="G305" t="s">
        <v>111</v>
      </c>
      <c r="H305" t="s">
        <v>111</v>
      </c>
      <c r="I305" t="s">
        <v>1730</v>
      </c>
      <c r="J305" s="371" t="s">
        <v>2126</v>
      </c>
      <c r="K305" t="s">
        <v>122</v>
      </c>
      <c r="L305" t="s">
        <v>608</v>
      </c>
      <c r="M305" t="s">
        <v>114</v>
      </c>
      <c r="P305" t="s">
        <v>1731</v>
      </c>
      <c r="Q305" t="s">
        <v>115</v>
      </c>
      <c r="R305" t="s">
        <v>120</v>
      </c>
      <c r="S305" t="s">
        <v>111</v>
      </c>
      <c r="T305" t="s">
        <v>116</v>
      </c>
      <c r="U305" t="s">
        <v>117</v>
      </c>
      <c r="V305" t="s">
        <v>903</v>
      </c>
      <c r="W305" t="s">
        <v>1680</v>
      </c>
      <c r="X305" t="s">
        <v>1732</v>
      </c>
      <c r="Y305" t="s">
        <v>619</v>
      </c>
      <c r="Z305" t="s">
        <v>1680</v>
      </c>
      <c r="AD305" t="s">
        <v>120</v>
      </c>
      <c r="AF305" t="s">
        <v>120</v>
      </c>
      <c r="AG305" t="s">
        <v>111</v>
      </c>
      <c r="AI305" t="s">
        <v>111</v>
      </c>
      <c r="AK305" t="s">
        <v>120</v>
      </c>
    </row>
    <row r="306" spans="1:37" ht="16.5" customHeight="1">
      <c r="A306" s="95" t="s">
        <v>2119</v>
      </c>
      <c r="B306" t="s">
        <v>1733</v>
      </c>
      <c r="C306" t="s">
        <v>589</v>
      </c>
      <c r="D306" t="s">
        <v>110</v>
      </c>
      <c r="E306" t="s">
        <v>860</v>
      </c>
      <c r="F306" s="87" t="s">
        <v>2125</v>
      </c>
      <c r="G306" t="s">
        <v>111</v>
      </c>
      <c r="H306" t="s">
        <v>111</v>
      </c>
      <c r="I306" t="s">
        <v>1734</v>
      </c>
      <c r="J306" s="371" t="s">
        <v>2126</v>
      </c>
      <c r="K306" t="s">
        <v>122</v>
      </c>
      <c r="L306" t="s">
        <v>608</v>
      </c>
      <c r="M306" t="s">
        <v>1163</v>
      </c>
      <c r="N306" t="s">
        <v>1495</v>
      </c>
      <c r="P306" t="s">
        <v>1735</v>
      </c>
      <c r="Q306" t="s">
        <v>115</v>
      </c>
      <c r="R306" t="s">
        <v>120</v>
      </c>
      <c r="S306" t="s">
        <v>111</v>
      </c>
      <c r="T306" t="s">
        <v>116</v>
      </c>
      <c r="U306" t="s">
        <v>117</v>
      </c>
      <c r="V306" t="s">
        <v>1348</v>
      </c>
      <c r="W306" t="s">
        <v>1680</v>
      </c>
      <c r="X306" t="s">
        <v>1687</v>
      </c>
      <c r="Y306" t="s">
        <v>1688</v>
      </c>
      <c r="Z306" t="s">
        <v>1680</v>
      </c>
      <c r="AD306" t="s">
        <v>120</v>
      </c>
      <c r="AF306" t="s">
        <v>120</v>
      </c>
      <c r="AG306" t="s">
        <v>111</v>
      </c>
      <c r="AI306" t="s">
        <v>111</v>
      </c>
      <c r="AJ306" t="s">
        <v>1348</v>
      </c>
      <c r="AK306" t="s">
        <v>1680</v>
      </c>
    </row>
    <row r="307" spans="1:37" ht="16.5" customHeight="1">
      <c r="A307" s="95" t="s">
        <v>2119</v>
      </c>
      <c r="B307" t="s">
        <v>1736</v>
      </c>
      <c r="C307" t="s">
        <v>589</v>
      </c>
      <c r="D307" t="s">
        <v>110</v>
      </c>
      <c r="E307" t="s">
        <v>860</v>
      </c>
      <c r="F307" s="87" t="s">
        <v>2125</v>
      </c>
      <c r="G307" t="s">
        <v>111</v>
      </c>
      <c r="H307" t="s">
        <v>111</v>
      </c>
      <c r="I307" t="s">
        <v>1737</v>
      </c>
      <c r="J307" s="371" t="s">
        <v>2126</v>
      </c>
      <c r="K307" t="s">
        <v>122</v>
      </c>
      <c r="L307" t="s">
        <v>608</v>
      </c>
      <c r="M307" t="s">
        <v>1738</v>
      </c>
      <c r="N307" t="s">
        <v>1495</v>
      </c>
      <c r="P307" t="s">
        <v>1739</v>
      </c>
      <c r="Q307" t="s">
        <v>115</v>
      </c>
      <c r="R307" t="s">
        <v>120</v>
      </c>
      <c r="S307" t="s">
        <v>111</v>
      </c>
      <c r="T307" t="s">
        <v>116</v>
      </c>
      <c r="U307" t="s">
        <v>117</v>
      </c>
      <c r="V307" t="s">
        <v>1348</v>
      </c>
      <c r="W307" t="s">
        <v>1680</v>
      </c>
      <c r="X307" t="s">
        <v>1687</v>
      </c>
      <c r="Y307" t="s">
        <v>1688</v>
      </c>
      <c r="Z307" t="s">
        <v>1680</v>
      </c>
      <c r="AD307" t="s">
        <v>120</v>
      </c>
      <c r="AF307" t="s">
        <v>120</v>
      </c>
      <c r="AG307" t="s">
        <v>111</v>
      </c>
      <c r="AI307" t="s">
        <v>111</v>
      </c>
      <c r="AK307" t="s">
        <v>120</v>
      </c>
    </row>
    <row r="308" spans="1:37" ht="16.5" customHeight="1">
      <c r="A308" s="95" t="s">
        <v>2119</v>
      </c>
      <c r="B308" t="s">
        <v>1740</v>
      </c>
      <c r="C308" t="s">
        <v>589</v>
      </c>
      <c r="D308" t="s">
        <v>110</v>
      </c>
      <c r="E308" t="s">
        <v>860</v>
      </c>
      <c r="F308" s="87" t="s">
        <v>2125</v>
      </c>
      <c r="G308" t="s">
        <v>111</v>
      </c>
      <c r="H308" t="s">
        <v>111</v>
      </c>
      <c r="I308" t="s">
        <v>1741</v>
      </c>
      <c r="J308" s="371" t="s">
        <v>2126</v>
      </c>
      <c r="K308" t="s">
        <v>122</v>
      </c>
      <c r="L308" t="s">
        <v>608</v>
      </c>
      <c r="M308" t="s">
        <v>1738</v>
      </c>
      <c r="N308" t="s">
        <v>1495</v>
      </c>
      <c r="P308" t="s">
        <v>1742</v>
      </c>
      <c r="Q308" t="s">
        <v>115</v>
      </c>
      <c r="R308" t="s">
        <v>120</v>
      </c>
      <c r="S308" t="s">
        <v>111</v>
      </c>
      <c r="T308" t="s">
        <v>116</v>
      </c>
      <c r="U308" t="s">
        <v>117</v>
      </c>
      <c r="V308" t="s">
        <v>1348</v>
      </c>
      <c r="W308" t="s">
        <v>1680</v>
      </c>
      <c r="X308" t="s">
        <v>1687</v>
      </c>
      <c r="Y308" t="s">
        <v>689</v>
      </c>
      <c r="Z308" t="s">
        <v>1680</v>
      </c>
      <c r="AD308" t="s">
        <v>120</v>
      </c>
      <c r="AF308" t="s">
        <v>120</v>
      </c>
      <c r="AG308" t="s">
        <v>111</v>
      </c>
      <c r="AI308" t="s">
        <v>111</v>
      </c>
      <c r="AK308" t="s">
        <v>120</v>
      </c>
    </row>
    <row r="309" spans="1:37" ht="16.5" customHeight="1">
      <c r="A309" s="95" t="s">
        <v>2119</v>
      </c>
      <c r="B309" t="s">
        <v>1743</v>
      </c>
      <c r="C309" t="s">
        <v>589</v>
      </c>
      <c r="D309" t="s">
        <v>110</v>
      </c>
      <c r="E309" t="s">
        <v>1729</v>
      </c>
      <c r="F309" s="87" t="s">
        <v>2125</v>
      </c>
      <c r="G309" t="s">
        <v>111</v>
      </c>
      <c r="H309" t="s">
        <v>111</v>
      </c>
      <c r="I309" t="s">
        <v>1744</v>
      </c>
      <c r="J309" s="371" t="s">
        <v>2126</v>
      </c>
      <c r="K309" t="s">
        <v>122</v>
      </c>
      <c r="L309" t="s">
        <v>608</v>
      </c>
      <c r="M309" t="s">
        <v>114</v>
      </c>
      <c r="P309" t="s">
        <v>1745</v>
      </c>
      <c r="Q309" t="s">
        <v>115</v>
      </c>
      <c r="R309" t="s">
        <v>120</v>
      </c>
      <c r="S309" t="s">
        <v>111</v>
      </c>
      <c r="T309" t="s">
        <v>116</v>
      </c>
      <c r="U309" t="s">
        <v>117</v>
      </c>
      <c r="V309" t="s">
        <v>903</v>
      </c>
      <c r="W309" t="s">
        <v>1746</v>
      </c>
      <c r="X309" t="s">
        <v>1687</v>
      </c>
      <c r="Y309" t="s">
        <v>619</v>
      </c>
      <c r="Z309" t="s">
        <v>1746</v>
      </c>
      <c r="AD309" t="s">
        <v>120</v>
      </c>
      <c r="AF309" t="s">
        <v>120</v>
      </c>
      <c r="AG309" t="s">
        <v>111</v>
      </c>
      <c r="AI309" t="s">
        <v>111</v>
      </c>
      <c r="AJ309" t="s">
        <v>903</v>
      </c>
      <c r="AK309" t="s">
        <v>1746</v>
      </c>
    </row>
    <row r="310" spans="1:37" ht="16.5" customHeight="1">
      <c r="A310" s="95" t="s">
        <v>2119</v>
      </c>
      <c r="B310" t="s">
        <v>1747</v>
      </c>
      <c r="C310" t="s">
        <v>589</v>
      </c>
      <c r="D310" t="s">
        <v>110</v>
      </c>
      <c r="E310" t="s">
        <v>1697</v>
      </c>
      <c r="F310" s="87" t="s">
        <v>2125</v>
      </c>
      <c r="G310" t="s">
        <v>111</v>
      </c>
      <c r="H310" s="371" t="s">
        <v>2121</v>
      </c>
      <c r="I310" t="s">
        <v>1748</v>
      </c>
      <c r="J310" s="371" t="s">
        <v>2126</v>
      </c>
      <c r="K310" t="s">
        <v>122</v>
      </c>
      <c r="L310" t="s">
        <v>608</v>
      </c>
      <c r="M310" t="s">
        <v>114</v>
      </c>
      <c r="N310" t="s">
        <v>1474</v>
      </c>
      <c r="P310" t="s">
        <v>1749</v>
      </c>
      <c r="Q310" t="s">
        <v>115</v>
      </c>
      <c r="R310" t="s">
        <v>120</v>
      </c>
      <c r="S310" t="s">
        <v>111</v>
      </c>
      <c r="T310" t="s">
        <v>116</v>
      </c>
      <c r="U310" t="s">
        <v>117</v>
      </c>
      <c r="V310" t="s">
        <v>491</v>
      </c>
      <c r="W310" t="s">
        <v>1746</v>
      </c>
      <c r="X310" t="s">
        <v>1687</v>
      </c>
      <c r="Y310" t="s">
        <v>1700</v>
      </c>
      <c r="Z310" t="s">
        <v>1680</v>
      </c>
      <c r="AD310" t="s">
        <v>120</v>
      </c>
      <c r="AF310" t="s">
        <v>120</v>
      </c>
      <c r="AG310" t="s">
        <v>111</v>
      </c>
      <c r="AI310" t="s">
        <v>111</v>
      </c>
      <c r="AJ310" t="s">
        <v>491</v>
      </c>
      <c r="AK310" t="s">
        <v>1680</v>
      </c>
    </row>
    <row r="311" spans="1:37" ht="16.5" customHeight="1">
      <c r="A311" s="95" t="s">
        <v>2119</v>
      </c>
      <c r="B311" t="s">
        <v>1750</v>
      </c>
      <c r="C311" t="s">
        <v>589</v>
      </c>
      <c r="D311" t="s">
        <v>110</v>
      </c>
      <c r="E311" t="s">
        <v>1697</v>
      </c>
      <c r="F311" s="87" t="s">
        <v>2125</v>
      </c>
      <c r="G311" t="s">
        <v>111</v>
      </c>
      <c r="H311" t="s">
        <v>111</v>
      </c>
      <c r="I311" t="s">
        <v>1751</v>
      </c>
      <c r="J311" s="371" t="s">
        <v>2126</v>
      </c>
      <c r="K311" t="s">
        <v>122</v>
      </c>
      <c r="L311" t="s">
        <v>608</v>
      </c>
      <c r="M311" t="s">
        <v>959</v>
      </c>
      <c r="P311" t="s">
        <v>1752</v>
      </c>
      <c r="Q311" t="s">
        <v>115</v>
      </c>
      <c r="R311" t="s">
        <v>120</v>
      </c>
      <c r="S311" t="s">
        <v>111</v>
      </c>
      <c r="T311" t="s">
        <v>469</v>
      </c>
      <c r="U311" t="s">
        <v>117</v>
      </c>
      <c r="V311" t="s">
        <v>903</v>
      </c>
      <c r="W311" t="s">
        <v>1746</v>
      </c>
      <c r="X311" t="s">
        <v>1687</v>
      </c>
      <c r="Y311" t="s">
        <v>1700</v>
      </c>
      <c r="Z311" t="s">
        <v>1746</v>
      </c>
      <c r="AD311" t="s">
        <v>120</v>
      </c>
      <c r="AF311" t="s">
        <v>120</v>
      </c>
      <c r="AG311" t="s">
        <v>111</v>
      </c>
      <c r="AI311" t="s">
        <v>111</v>
      </c>
      <c r="AJ311" t="s">
        <v>1700</v>
      </c>
      <c r="AK311" t="s">
        <v>1746</v>
      </c>
    </row>
    <row r="312" spans="1:37" ht="16.5" customHeight="1">
      <c r="A312" s="95" t="s">
        <v>2119</v>
      </c>
      <c r="B312" t="s">
        <v>1753</v>
      </c>
      <c r="C312" t="s">
        <v>589</v>
      </c>
      <c r="D312" t="s">
        <v>110</v>
      </c>
      <c r="E312" t="s">
        <v>853</v>
      </c>
      <c r="F312" s="87" t="s">
        <v>2125</v>
      </c>
      <c r="G312" t="s">
        <v>111</v>
      </c>
      <c r="H312" t="s">
        <v>111</v>
      </c>
      <c r="I312" t="s">
        <v>1754</v>
      </c>
      <c r="J312" s="371" t="s">
        <v>2126</v>
      </c>
      <c r="K312" t="s">
        <v>122</v>
      </c>
      <c r="L312" t="s">
        <v>650</v>
      </c>
      <c r="M312" t="s">
        <v>114</v>
      </c>
      <c r="P312" t="s">
        <v>1755</v>
      </c>
      <c r="Q312" t="s">
        <v>115</v>
      </c>
      <c r="R312" t="s">
        <v>120</v>
      </c>
      <c r="S312" t="s">
        <v>111</v>
      </c>
      <c r="T312" t="s">
        <v>116</v>
      </c>
      <c r="U312" t="s">
        <v>117</v>
      </c>
      <c r="V312" t="s">
        <v>491</v>
      </c>
      <c r="W312" t="s">
        <v>1746</v>
      </c>
      <c r="X312" t="s">
        <v>1687</v>
      </c>
      <c r="Y312" t="s">
        <v>1682</v>
      </c>
      <c r="Z312" t="s">
        <v>1746</v>
      </c>
      <c r="AD312" t="s">
        <v>120</v>
      </c>
      <c r="AF312" t="s">
        <v>120</v>
      </c>
      <c r="AG312" t="s">
        <v>111</v>
      </c>
      <c r="AI312" t="s">
        <v>111</v>
      </c>
      <c r="AK312" t="s">
        <v>120</v>
      </c>
    </row>
    <row r="313" spans="1:37" ht="16.5" customHeight="1">
      <c r="A313" s="95" t="s">
        <v>2119</v>
      </c>
      <c r="B313" t="s">
        <v>1756</v>
      </c>
      <c r="C313" t="s">
        <v>589</v>
      </c>
      <c r="D313" t="s">
        <v>110</v>
      </c>
      <c r="E313" t="s">
        <v>1697</v>
      </c>
      <c r="F313" s="87" t="s">
        <v>2125</v>
      </c>
      <c r="G313" s="371" t="s">
        <v>1629</v>
      </c>
      <c r="H313" t="s">
        <v>111</v>
      </c>
      <c r="I313" t="s">
        <v>1757</v>
      </c>
      <c r="J313" s="371" t="s">
        <v>2126</v>
      </c>
      <c r="K313" t="s">
        <v>122</v>
      </c>
      <c r="L313" t="s">
        <v>608</v>
      </c>
      <c r="M313" t="s">
        <v>114</v>
      </c>
      <c r="P313" t="s">
        <v>1758</v>
      </c>
      <c r="Q313" t="s">
        <v>115</v>
      </c>
      <c r="R313" t="s">
        <v>120</v>
      </c>
      <c r="S313" t="s">
        <v>111</v>
      </c>
      <c r="T313" t="s">
        <v>116</v>
      </c>
      <c r="U313" t="s">
        <v>117</v>
      </c>
      <c r="V313" t="s">
        <v>903</v>
      </c>
      <c r="W313" t="s">
        <v>1746</v>
      </c>
      <c r="X313" t="s">
        <v>1687</v>
      </c>
      <c r="Y313" t="s">
        <v>1700</v>
      </c>
      <c r="Z313" t="s">
        <v>1680</v>
      </c>
      <c r="AD313" t="s">
        <v>120</v>
      </c>
      <c r="AF313" t="s">
        <v>120</v>
      </c>
      <c r="AG313" t="s">
        <v>111</v>
      </c>
      <c r="AI313" t="s">
        <v>1759</v>
      </c>
      <c r="AJ313" t="s">
        <v>903</v>
      </c>
      <c r="AK313" t="s">
        <v>1680</v>
      </c>
    </row>
    <row r="314" spans="1:37" ht="16.5" customHeight="1">
      <c r="A314" s="95" t="s">
        <v>2119</v>
      </c>
      <c r="B314" t="s">
        <v>1760</v>
      </c>
      <c r="C314" t="s">
        <v>589</v>
      </c>
      <c r="D314" t="s">
        <v>110</v>
      </c>
      <c r="E314" t="s">
        <v>1729</v>
      </c>
      <c r="F314" s="87" t="s">
        <v>2125</v>
      </c>
      <c r="G314">
        <v>0</v>
      </c>
      <c r="H314" t="s">
        <v>111</v>
      </c>
      <c r="I314" t="s">
        <v>1761</v>
      </c>
      <c r="J314" s="371" t="s">
        <v>2126</v>
      </c>
      <c r="K314" t="s">
        <v>122</v>
      </c>
      <c r="L314" t="s">
        <v>608</v>
      </c>
      <c r="M314" t="s">
        <v>114</v>
      </c>
      <c r="P314" t="s">
        <v>1762</v>
      </c>
      <c r="Q314" t="s">
        <v>115</v>
      </c>
      <c r="R314" t="s">
        <v>120</v>
      </c>
      <c r="S314" t="s">
        <v>111</v>
      </c>
      <c r="T314" t="s">
        <v>116</v>
      </c>
      <c r="U314" t="s">
        <v>117</v>
      </c>
      <c r="V314" t="s">
        <v>903</v>
      </c>
      <c r="W314" t="s">
        <v>1746</v>
      </c>
      <c r="X314" t="s">
        <v>1687</v>
      </c>
      <c r="Y314" t="s">
        <v>619</v>
      </c>
      <c r="Z314" t="s">
        <v>1746</v>
      </c>
      <c r="AD314" t="s">
        <v>120</v>
      </c>
      <c r="AF314" t="s">
        <v>120</v>
      </c>
      <c r="AG314" t="s">
        <v>111</v>
      </c>
      <c r="AI314" t="s">
        <v>111</v>
      </c>
      <c r="AJ314" t="s">
        <v>903</v>
      </c>
      <c r="AK314" t="s">
        <v>1746</v>
      </c>
    </row>
    <row r="315" spans="1:37" ht="16.5" customHeight="1">
      <c r="A315" s="95" t="s">
        <v>2119</v>
      </c>
      <c r="B315" t="s">
        <v>1763</v>
      </c>
      <c r="C315" t="s">
        <v>589</v>
      </c>
      <c r="D315" t="s">
        <v>110</v>
      </c>
      <c r="E315" t="s">
        <v>590</v>
      </c>
      <c r="F315" s="87" t="s">
        <v>2125</v>
      </c>
      <c r="G315">
        <v>0</v>
      </c>
      <c r="H315" t="s">
        <v>111</v>
      </c>
      <c r="I315" t="s">
        <v>1764</v>
      </c>
      <c r="J315" s="371" t="s">
        <v>2126</v>
      </c>
      <c r="K315" t="s">
        <v>2123</v>
      </c>
      <c r="L315" t="s">
        <v>608</v>
      </c>
      <c r="M315" t="s">
        <v>114</v>
      </c>
      <c r="P315" t="s">
        <v>1765</v>
      </c>
      <c r="Q315" t="s">
        <v>482</v>
      </c>
      <c r="R315" t="s">
        <v>120</v>
      </c>
      <c r="S315" t="s">
        <v>111</v>
      </c>
      <c r="T315" t="s">
        <v>469</v>
      </c>
      <c r="U315" t="s">
        <v>117</v>
      </c>
      <c r="V315" t="s">
        <v>491</v>
      </c>
      <c r="W315" t="s">
        <v>1746</v>
      </c>
      <c r="X315" t="s">
        <v>1687</v>
      </c>
      <c r="Y315" t="s">
        <v>491</v>
      </c>
      <c r="Z315" t="s">
        <v>1680</v>
      </c>
      <c r="AA315" t="s">
        <v>1688</v>
      </c>
      <c r="AB315" t="s">
        <v>482</v>
      </c>
      <c r="AC315" t="s">
        <v>119</v>
      </c>
      <c r="AD315" t="s">
        <v>1680</v>
      </c>
      <c r="AF315" t="s">
        <v>120</v>
      </c>
      <c r="AG315" t="s">
        <v>111</v>
      </c>
      <c r="AI315" t="s">
        <v>111</v>
      </c>
      <c r="AJ315" t="s">
        <v>1688</v>
      </c>
      <c r="AK315" t="s">
        <v>1680</v>
      </c>
    </row>
    <row r="316" spans="1:37" ht="16.5" customHeight="1">
      <c r="A316" s="95" t="s">
        <v>2119</v>
      </c>
      <c r="B316" t="s">
        <v>1766</v>
      </c>
      <c r="C316" t="s">
        <v>589</v>
      </c>
      <c r="D316" t="s">
        <v>110</v>
      </c>
      <c r="E316" t="s">
        <v>111</v>
      </c>
      <c r="F316" s="87" t="s">
        <v>2125</v>
      </c>
      <c r="G316">
        <v>0</v>
      </c>
      <c r="H316" t="s">
        <v>111</v>
      </c>
      <c r="I316" t="s">
        <v>1767</v>
      </c>
      <c r="J316" s="371" t="s">
        <v>2126</v>
      </c>
      <c r="K316" t="s">
        <v>122</v>
      </c>
      <c r="L316" t="s">
        <v>608</v>
      </c>
      <c r="M316" t="s">
        <v>114</v>
      </c>
      <c r="N316" t="s">
        <v>1474</v>
      </c>
      <c r="O316" t="s">
        <v>1495</v>
      </c>
      <c r="P316" t="s">
        <v>1768</v>
      </c>
      <c r="Q316" t="s">
        <v>115</v>
      </c>
      <c r="R316" t="s">
        <v>120</v>
      </c>
      <c r="S316" t="s">
        <v>111</v>
      </c>
      <c r="T316" t="s">
        <v>116</v>
      </c>
      <c r="U316" t="s">
        <v>117</v>
      </c>
      <c r="V316" t="s">
        <v>1686</v>
      </c>
      <c r="W316" t="s">
        <v>1746</v>
      </c>
      <c r="X316" t="s">
        <v>1687</v>
      </c>
      <c r="Y316" t="s">
        <v>1682</v>
      </c>
      <c r="Z316" t="s">
        <v>1746</v>
      </c>
      <c r="AD316" t="s">
        <v>120</v>
      </c>
      <c r="AF316" t="s">
        <v>120</v>
      </c>
      <c r="AG316" t="s">
        <v>111</v>
      </c>
      <c r="AI316" t="s">
        <v>494</v>
      </c>
      <c r="AJ316" t="s">
        <v>1686</v>
      </c>
      <c r="AK316" t="s">
        <v>1746</v>
      </c>
    </row>
    <row r="317" spans="1:37" ht="16.5" customHeight="1">
      <c r="A317" s="95" t="s">
        <v>2119</v>
      </c>
      <c r="B317" t="s">
        <v>1769</v>
      </c>
      <c r="C317" t="s">
        <v>589</v>
      </c>
      <c r="D317" t="s">
        <v>110</v>
      </c>
      <c r="E317" t="s">
        <v>1729</v>
      </c>
      <c r="F317" s="87" t="s">
        <v>2125</v>
      </c>
      <c r="G317" t="s">
        <v>1644</v>
      </c>
      <c r="H317" t="s">
        <v>111</v>
      </c>
      <c r="I317" t="s">
        <v>1770</v>
      </c>
      <c r="J317" s="371" t="s">
        <v>2126</v>
      </c>
      <c r="K317" t="s">
        <v>122</v>
      </c>
      <c r="L317" t="s">
        <v>608</v>
      </c>
      <c r="M317" t="s">
        <v>114</v>
      </c>
      <c r="P317" t="s">
        <v>1771</v>
      </c>
      <c r="Q317" t="s">
        <v>115</v>
      </c>
      <c r="R317" t="s">
        <v>120</v>
      </c>
      <c r="S317" t="s">
        <v>111</v>
      </c>
      <c r="T317" t="s">
        <v>116</v>
      </c>
      <c r="U317" t="s">
        <v>117</v>
      </c>
      <c r="V317" t="s">
        <v>903</v>
      </c>
      <c r="W317" t="s">
        <v>1746</v>
      </c>
      <c r="X317" t="s">
        <v>1687</v>
      </c>
      <c r="Y317" t="s">
        <v>619</v>
      </c>
      <c r="Z317" t="s">
        <v>1746</v>
      </c>
      <c r="AD317" t="s">
        <v>120</v>
      </c>
      <c r="AF317" t="s">
        <v>120</v>
      </c>
      <c r="AG317" t="s">
        <v>111</v>
      </c>
      <c r="AI317" t="s">
        <v>1772</v>
      </c>
      <c r="AJ317" t="s">
        <v>903</v>
      </c>
      <c r="AK317" t="s">
        <v>1746</v>
      </c>
    </row>
    <row r="318" spans="1:37" ht="16.5" customHeight="1">
      <c r="A318" s="95" t="s">
        <v>2119</v>
      </c>
      <c r="B318" t="s">
        <v>1773</v>
      </c>
      <c r="C318" t="s">
        <v>589</v>
      </c>
      <c r="D318" t="s">
        <v>110</v>
      </c>
      <c r="E318" t="s">
        <v>1697</v>
      </c>
      <c r="F318" s="87" t="s">
        <v>2125</v>
      </c>
      <c r="G318">
        <v>0</v>
      </c>
      <c r="H318" t="s">
        <v>111</v>
      </c>
      <c r="I318" t="s">
        <v>1774</v>
      </c>
      <c r="J318" s="371" t="s">
        <v>2126</v>
      </c>
      <c r="K318" t="s">
        <v>122</v>
      </c>
      <c r="L318" t="s">
        <v>650</v>
      </c>
      <c r="M318" t="s">
        <v>1163</v>
      </c>
      <c r="P318" t="s">
        <v>1775</v>
      </c>
      <c r="Q318" t="s">
        <v>115</v>
      </c>
      <c r="R318" t="s">
        <v>120</v>
      </c>
      <c r="S318" t="s">
        <v>111</v>
      </c>
      <c r="T318" t="s">
        <v>469</v>
      </c>
      <c r="U318" t="s">
        <v>117</v>
      </c>
      <c r="V318" t="s">
        <v>491</v>
      </c>
      <c r="W318" t="s">
        <v>1746</v>
      </c>
      <c r="X318" t="s">
        <v>1687</v>
      </c>
      <c r="Y318" t="s">
        <v>1700</v>
      </c>
      <c r="Z318" t="s">
        <v>1746</v>
      </c>
      <c r="AD318" t="s">
        <v>120</v>
      </c>
      <c r="AF318" t="s">
        <v>120</v>
      </c>
      <c r="AG318" t="s">
        <v>111</v>
      </c>
      <c r="AI318" t="s">
        <v>111</v>
      </c>
      <c r="AJ318" t="s">
        <v>1700</v>
      </c>
      <c r="AK318" t="s">
        <v>1746</v>
      </c>
    </row>
    <row r="319" spans="1:37" ht="16.5" customHeight="1">
      <c r="A319" s="95" t="s">
        <v>2119</v>
      </c>
      <c r="B319" t="s">
        <v>1776</v>
      </c>
      <c r="C319" t="s">
        <v>589</v>
      </c>
      <c r="D319" t="s">
        <v>110</v>
      </c>
      <c r="E319" t="s">
        <v>1697</v>
      </c>
      <c r="F319" s="87" t="s">
        <v>2125</v>
      </c>
      <c r="G319" t="s">
        <v>1635</v>
      </c>
      <c r="H319" t="s">
        <v>111</v>
      </c>
      <c r="I319" t="s">
        <v>1777</v>
      </c>
      <c r="J319" s="371" t="s">
        <v>2126</v>
      </c>
      <c r="K319" t="s">
        <v>2123</v>
      </c>
      <c r="L319" t="s">
        <v>608</v>
      </c>
      <c r="M319" t="s">
        <v>114</v>
      </c>
      <c r="P319" t="s">
        <v>1778</v>
      </c>
      <c r="Q319" t="s">
        <v>468</v>
      </c>
      <c r="R319" t="s">
        <v>120</v>
      </c>
      <c r="S319" t="s">
        <v>111</v>
      </c>
      <c r="T319" t="s">
        <v>469</v>
      </c>
      <c r="U319" t="s">
        <v>117</v>
      </c>
      <c r="V319" t="s">
        <v>903</v>
      </c>
      <c r="W319" t="s">
        <v>1746</v>
      </c>
      <c r="X319" t="s">
        <v>1687</v>
      </c>
      <c r="Y319" t="s">
        <v>472</v>
      </c>
      <c r="Z319" t="s">
        <v>1680</v>
      </c>
      <c r="AA319" t="s">
        <v>1692</v>
      </c>
      <c r="AB319" t="s">
        <v>482</v>
      </c>
      <c r="AC319" t="s">
        <v>119</v>
      </c>
      <c r="AD319" t="s">
        <v>1746</v>
      </c>
      <c r="AE319" t="s">
        <v>903</v>
      </c>
      <c r="AF319" t="s">
        <v>1680</v>
      </c>
      <c r="AG319" t="s">
        <v>111</v>
      </c>
      <c r="AI319" t="s">
        <v>1779</v>
      </c>
      <c r="AJ319" t="s">
        <v>903</v>
      </c>
      <c r="AK319" t="s">
        <v>1680</v>
      </c>
    </row>
    <row r="320" spans="1:37" ht="16.5" customHeight="1">
      <c r="A320" s="95" t="s">
        <v>2119</v>
      </c>
      <c r="B320" t="s">
        <v>1780</v>
      </c>
      <c r="C320" t="s">
        <v>589</v>
      </c>
      <c r="D320" t="s">
        <v>110</v>
      </c>
      <c r="E320" t="s">
        <v>111</v>
      </c>
      <c r="F320" s="87" t="s">
        <v>2125</v>
      </c>
      <c r="G320">
        <v>0</v>
      </c>
      <c r="H320" t="s">
        <v>111</v>
      </c>
      <c r="I320" t="s">
        <v>1781</v>
      </c>
      <c r="J320" s="371" t="s">
        <v>2126</v>
      </c>
      <c r="K320" t="s">
        <v>122</v>
      </c>
      <c r="L320" t="s">
        <v>608</v>
      </c>
      <c r="M320" t="s">
        <v>114</v>
      </c>
      <c r="N320" t="s">
        <v>1474</v>
      </c>
      <c r="O320" t="s">
        <v>1495</v>
      </c>
      <c r="P320" t="s">
        <v>1782</v>
      </c>
      <c r="Q320" t="s">
        <v>115</v>
      </c>
      <c r="R320" t="s">
        <v>120</v>
      </c>
      <c r="S320" t="s">
        <v>111</v>
      </c>
      <c r="T320" t="s">
        <v>116</v>
      </c>
      <c r="U320" t="s">
        <v>117</v>
      </c>
      <c r="V320" t="s">
        <v>1686</v>
      </c>
      <c r="W320" t="s">
        <v>1746</v>
      </c>
      <c r="X320" t="s">
        <v>1687</v>
      </c>
      <c r="Y320" t="s">
        <v>1686</v>
      </c>
      <c r="Z320" t="s">
        <v>1746</v>
      </c>
      <c r="AD320" t="s">
        <v>120</v>
      </c>
      <c r="AF320" t="s">
        <v>120</v>
      </c>
      <c r="AG320" t="s">
        <v>111</v>
      </c>
      <c r="AI320" t="s">
        <v>641</v>
      </c>
      <c r="AJ320" t="s">
        <v>491</v>
      </c>
      <c r="AK320" t="s">
        <v>1746</v>
      </c>
    </row>
    <row r="321" spans="1:37" ht="16.5" customHeight="1">
      <c r="A321" s="95" t="s">
        <v>2119</v>
      </c>
      <c r="B321" t="s">
        <v>1783</v>
      </c>
      <c r="C321" t="s">
        <v>589</v>
      </c>
      <c r="D321" t="s">
        <v>110</v>
      </c>
      <c r="E321" t="s">
        <v>1697</v>
      </c>
      <c r="F321" s="87" t="s">
        <v>2125</v>
      </c>
      <c r="G321" t="s">
        <v>1632</v>
      </c>
      <c r="H321" t="s">
        <v>111</v>
      </c>
      <c r="I321" t="s">
        <v>1784</v>
      </c>
      <c r="J321" s="371" t="s">
        <v>2126</v>
      </c>
      <c r="K321" t="s">
        <v>122</v>
      </c>
      <c r="L321" t="s">
        <v>608</v>
      </c>
      <c r="M321" t="s">
        <v>1785</v>
      </c>
      <c r="P321" t="s">
        <v>1786</v>
      </c>
      <c r="Q321" t="s">
        <v>115</v>
      </c>
      <c r="R321" t="s">
        <v>120</v>
      </c>
      <c r="S321" t="s">
        <v>111</v>
      </c>
      <c r="T321" t="s">
        <v>469</v>
      </c>
      <c r="U321" t="s">
        <v>117</v>
      </c>
      <c r="V321" t="s">
        <v>903</v>
      </c>
      <c r="W321" t="s">
        <v>1746</v>
      </c>
      <c r="X321" t="s">
        <v>1687</v>
      </c>
      <c r="Y321" t="s">
        <v>1700</v>
      </c>
      <c r="Z321" t="s">
        <v>1746</v>
      </c>
      <c r="AD321" t="s">
        <v>120</v>
      </c>
      <c r="AF321" t="s">
        <v>120</v>
      </c>
      <c r="AG321" t="s">
        <v>111</v>
      </c>
      <c r="AI321" t="s">
        <v>1787</v>
      </c>
      <c r="AJ321" t="s">
        <v>1700</v>
      </c>
      <c r="AK321" t="s">
        <v>1746</v>
      </c>
    </row>
    <row r="322" spans="1:37" ht="16.5" customHeight="1">
      <c r="A322" s="95" t="s">
        <v>2119</v>
      </c>
      <c r="B322" t="s">
        <v>1788</v>
      </c>
      <c r="C322" t="s">
        <v>589</v>
      </c>
      <c r="D322" t="s">
        <v>110</v>
      </c>
      <c r="E322" t="s">
        <v>1697</v>
      </c>
      <c r="F322" s="87" t="s">
        <v>2125</v>
      </c>
      <c r="G322" t="s">
        <v>1635</v>
      </c>
      <c r="H322" t="s">
        <v>111</v>
      </c>
      <c r="I322" t="s">
        <v>1789</v>
      </c>
      <c r="J322" s="371" t="s">
        <v>2126</v>
      </c>
      <c r="K322" t="s">
        <v>122</v>
      </c>
      <c r="L322" t="s">
        <v>608</v>
      </c>
      <c r="M322" t="s">
        <v>114</v>
      </c>
      <c r="P322" t="s">
        <v>1790</v>
      </c>
      <c r="Q322" t="s">
        <v>115</v>
      </c>
      <c r="R322" t="s">
        <v>120</v>
      </c>
      <c r="S322" t="s">
        <v>111</v>
      </c>
      <c r="T322" t="s">
        <v>469</v>
      </c>
      <c r="U322" t="s">
        <v>117</v>
      </c>
      <c r="V322" t="s">
        <v>903</v>
      </c>
      <c r="W322" t="s">
        <v>1746</v>
      </c>
      <c r="X322" t="s">
        <v>1687</v>
      </c>
      <c r="Y322" t="s">
        <v>1700</v>
      </c>
      <c r="Z322" t="s">
        <v>1746</v>
      </c>
      <c r="AD322" t="s">
        <v>120</v>
      </c>
      <c r="AF322" t="s">
        <v>120</v>
      </c>
      <c r="AG322" t="s">
        <v>111</v>
      </c>
      <c r="AI322" t="s">
        <v>1791</v>
      </c>
      <c r="AJ322" t="s">
        <v>1700</v>
      </c>
      <c r="AK322" t="s">
        <v>1746</v>
      </c>
    </row>
    <row r="323" spans="1:37" ht="16.5" customHeight="1">
      <c r="A323" s="95" t="s">
        <v>2119</v>
      </c>
      <c r="B323" t="s">
        <v>1792</v>
      </c>
      <c r="C323" t="s">
        <v>589</v>
      </c>
      <c r="D323" t="s">
        <v>110</v>
      </c>
      <c r="E323" t="s">
        <v>111</v>
      </c>
      <c r="F323" s="87" t="s">
        <v>2125</v>
      </c>
      <c r="G323" t="s">
        <v>111</v>
      </c>
      <c r="H323" t="s">
        <v>111</v>
      </c>
      <c r="I323" t="s">
        <v>1793</v>
      </c>
      <c r="J323" s="371" t="s">
        <v>2126</v>
      </c>
      <c r="K323" t="s">
        <v>122</v>
      </c>
      <c r="L323" t="s">
        <v>608</v>
      </c>
      <c r="M323" t="s">
        <v>114</v>
      </c>
      <c r="N323" t="s">
        <v>1474</v>
      </c>
      <c r="O323" t="s">
        <v>1495</v>
      </c>
      <c r="P323" t="s">
        <v>1794</v>
      </c>
      <c r="Q323" t="s">
        <v>115</v>
      </c>
      <c r="R323" t="s">
        <v>120</v>
      </c>
      <c r="S323" t="s">
        <v>111</v>
      </c>
      <c r="T323" t="s">
        <v>116</v>
      </c>
      <c r="U323" t="s">
        <v>117</v>
      </c>
      <c r="V323" t="s">
        <v>1686</v>
      </c>
      <c r="W323" t="s">
        <v>1795</v>
      </c>
      <c r="X323" t="s">
        <v>1687</v>
      </c>
      <c r="Y323" t="s">
        <v>1682</v>
      </c>
      <c r="Z323" t="s">
        <v>1795</v>
      </c>
      <c r="AD323" t="s">
        <v>120</v>
      </c>
      <c r="AF323" t="s">
        <v>120</v>
      </c>
      <c r="AG323" t="s">
        <v>111</v>
      </c>
      <c r="AI323" t="s">
        <v>1796</v>
      </c>
      <c r="AK323" t="s">
        <v>120</v>
      </c>
    </row>
    <row r="324" spans="1:37" ht="16.5" customHeight="1">
      <c r="A324" s="95" t="s">
        <v>2119</v>
      </c>
      <c r="B324" t="s">
        <v>1797</v>
      </c>
      <c r="C324" t="s">
        <v>589</v>
      </c>
      <c r="D324" t="s">
        <v>110</v>
      </c>
      <c r="E324" t="s">
        <v>111</v>
      </c>
      <c r="F324" s="87" t="s">
        <v>2125</v>
      </c>
      <c r="G324" t="s">
        <v>111</v>
      </c>
      <c r="H324" t="s">
        <v>111</v>
      </c>
      <c r="I324" t="s">
        <v>1798</v>
      </c>
      <c r="J324" s="371" t="s">
        <v>2126</v>
      </c>
      <c r="K324" t="s">
        <v>2123</v>
      </c>
      <c r="L324" t="s">
        <v>608</v>
      </c>
      <c r="M324" t="s">
        <v>114</v>
      </c>
      <c r="P324" t="s">
        <v>1799</v>
      </c>
      <c r="Q324" t="s">
        <v>115</v>
      </c>
      <c r="R324" t="s">
        <v>120</v>
      </c>
      <c r="S324" t="s">
        <v>111</v>
      </c>
      <c r="T324" t="s">
        <v>116</v>
      </c>
      <c r="U324" t="s">
        <v>117</v>
      </c>
      <c r="V324" t="s">
        <v>491</v>
      </c>
      <c r="W324" t="s">
        <v>1795</v>
      </c>
      <c r="X324" t="s">
        <v>1687</v>
      </c>
      <c r="Y324" t="s">
        <v>689</v>
      </c>
      <c r="Z324" t="s">
        <v>1795</v>
      </c>
      <c r="AD324" t="s">
        <v>120</v>
      </c>
      <c r="AF324" t="s">
        <v>120</v>
      </c>
      <c r="AG324" t="s">
        <v>111</v>
      </c>
      <c r="AI324" t="s">
        <v>111</v>
      </c>
      <c r="AK324" t="s">
        <v>120</v>
      </c>
    </row>
    <row r="325" spans="1:37" ht="16.5" customHeight="1">
      <c r="A325" s="95" t="s">
        <v>2119</v>
      </c>
      <c r="B325" t="s">
        <v>1800</v>
      </c>
      <c r="C325" t="s">
        <v>589</v>
      </c>
      <c r="D325" t="s">
        <v>110</v>
      </c>
      <c r="E325" t="s">
        <v>111</v>
      </c>
      <c r="F325" s="87" t="s">
        <v>2125</v>
      </c>
      <c r="G325" t="s">
        <v>111</v>
      </c>
      <c r="H325" t="s">
        <v>111</v>
      </c>
      <c r="I325" t="s">
        <v>1801</v>
      </c>
      <c r="J325" s="371" t="s">
        <v>2126</v>
      </c>
      <c r="K325" t="s">
        <v>122</v>
      </c>
      <c r="L325" t="s">
        <v>608</v>
      </c>
      <c r="M325" t="s">
        <v>114</v>
      </c>
      <c r="N325" t="s">
        <v>1474</v>
      </c>
      <c r="O325" t="s">
        <v>1495</v>
      </c>
      <c r="P325" t="s">
        <v>1802</v>
      </c>
      <c r="Q325" t="s">
        <v>115</v>
      </c>
      <c r="R325" t="s">
        <v>120</v>
      </c>
      <c r="S325" t="s">
        <v>111</v>
      </c>
      <c r="T325" t="s">
        <v>116</v>
      </c>
      <c r="U325" t="s">
        <v>117</v>
      </c>
      <c r="V325" t="s">
        <v>1686</v>
      </c>
      <c r="W325" t="s">
        <v>1795</v>
      </c>
      <c r="X325" t="s">
        <v>1687</v>
      </c>
      <c r="Y325" t="s">
        <v>1682</v>
      </c>
      <c r="Z325" t="s">
        <v>1795</v>
      </c>
      <c r="AD325" t="s">
        <v>120</v>
      </c>
      <c r="AF325" t="s">
        <v>120</v>
      </c>
      <c r="AG325" t="s">
        <v>111</v>
      </c>
      <c r="AI325" t="s">
        <v>661</v>
      </c>
      <c r="AK325" t="s">
        <v>120</v>
      </c>
    </row>
    <row r="326" spans="1:37" ht="16.5" customHeight="1">
      <c r="A326" s="95" t="s">
        <v>2119</v>
      </c>
      <c r="B326" t="s">
        <v>1803</v>
      </c>
      <c r="C326" t="s">
        <v>589</v>
      </c>
      <c r="D326" t="s">
        <v>110</v>
      </c>
      <c r="E326" t="s">
        <v>111</v>
      </c>
      <c r="F326" s="87" t="s">
        <v>2125</v>
      </c>
      <c r="G326" t="s">
        <v>111</v>
      </c>
      <c r="H326" t="s">
        <v>111</v>
      </c>
      <c r="I326" t="s">
        <v>1804</v>
      </c>
      <c r="J326" s="371" t="s">
        <v>2126</v>
      </c>
      <c r="K326" t="s">
        <v>122</v>
      </c>
      <c r="L326" t="s">
        <v>608</v>
      </c>
      <c r="M326" t="s">
        <v>114</v>
      </c>
      <c r="N326" t="s">
        <v>1474</v>
      </c>
      <c r="O326" t="s">
        <v>1495</v>
      </c>
      <c r="P326" t="s">
        <v>1805</v>
      </c>
      <c r="Q326" t="s">
        <v>115</v>
      </c>
      <c r="R326" t="s">
        <v>120</v>
      </c>
      <c r="S326" t="s">
        <v>111</v>
      </c>
      <c r="T326" t="s">
        <v>116</v>
      </c>
      <c r="U326" t="s">
        <v>117</v>
      </c>
      <c r="V326" t="s">
        <v>1686</v>
      </c>
      <c r="W326" t="s">
        <v>1795</v>
      </c>
      <c r="X326" t="s">
        <v>1687</v>
      </c>
      <c r="Y326" t="s">
        <v>1682</v>
      </c>
      <c r="Z326" t="s">
        <v>1795</v>
      </c>
      <c r="AD326" t="s">
        <v>120</v>
      </c>
      <c r="AF326" t="s">
        <v>120</v>
      </c>
      <c r="AG326" t="s">
        <v>111</v>
      </c>
      <c r="AI326" t="s">
        <v>1806</v>
      </c>
      <c r="AK326" t="s">
        <v>120</v>
      </c>
    </row>
    <row r="327" spans="1:37" ht="16.5" customHeight="1">
      <c r="A327" s="95" t="s">
        <v>2119</v>
      </c>
      <c r="B327" t="s">
        <v>1807</v>
      </c>
      <c r="C327" t="s">
        <v>589</v>
      </c>
      <c r="D327" t="s">
        <v>110</v>
      </c>
      <c r="E327" t="s">
        <v>1697</v>
      </c>
      <c r="F327" s="87" t="s">
        <v>2125</v>
      </c>
      <c r="G327" t="s">
        <v>111</v>
      </c>
      <c r="H327" t="s">
        <v>111</v>
      </c>
      <c r="I327" t="s">
        <v>1808</v>
      </c>
      <c r="J327" s="371" t="s">
        <v>2126</v>
      </c>
      <c r="K327" t="s">
        <v>122</v>
      </c>
      <c r="L327" t="s">
        <v>608</v>
      </c>
      <c r="M327" t="s">
        <v>754</v>
      </c>
      <c r="P327" t="s">
        <v>1809</v>
      </c>
      <c r="Q327" t="s">
        <v>115</v>
      </c>
      <c r="R327" t="s">
        <v>120</v>
      </c>
      <c r="S327" t="s">
        <v>111</v>
      </c>
      <c r="T327" t="s">
        <v>469</v>
      </c>
      <c r="U327" t="s">
        <v>117</v>
      </c>
      <c r="V327" t="s">
        <v>903</v>
      </c>
      <c r="W327" t="s">
        <v>1795</v>
      </c>
      <c r="X327" t="s">
        <v>1687</v>
      </c>
      <c r="Y327" t="s">
        <v>1700</v>
      </c>
      <c r="Z327" t="s">
        <v>1746</v>
      </c>
      <c r="AD327" t="s">
        <v>120</v>
      </c>
      <c r="AF327" t="s">
        <v>120</v>
      </c>
      <c r="AG327" t="s">
        <v>111</v>
      </c>
      <c r="AI327" t="s">
        <v>111</v>
      </c>
      <c r="AJ327" t="s">
        <v>1700</v>
      </c>
      <c r="AK327" t="s">
        <v>1746</v>
      </c>
    </row>
    <row r="328" spans="1:37" ht="16.5" customHeight="1">
      <c r="A328" s="95" t="s">
        <v>2119</v>
      </c>
      <c r="B328" t="s">
        <v>1810</v>
      </c>
      <c r="C328" t="s">
        <v>589</v>
      </c>
      <c r="D328" t="s">
        <v>110</v>
      </c>
      <c r="E328" t="s">
        <v>860</v>
      </c>
      <c r="F328" s="87" t="s">
        <v>2125</v>
      </c>
      <c r="G328" t="s">
        <v>111</v>
      </c>
      <c r="H328" t="s">
        <v>111</v>
      </c>
      <c r="I328" t="s">
        <v>1811</v>
      </c>
      <c r="J328" s="371" t="s">
        <v>2126</v>
      </c>
      <c r="K328" t="s">
        <v>122</v>
      </c>
      <c r="L328" t="s">
        <v>608</v>
      </c>
      <c r="M328" t="s">
        <v>114</v>
      </c>
      <c r="P328" t="s">
        <v>1812</v>
      </c>
      <c r="Q328" t="s">
        <v>468</v>
      </c>
      <c r="R328" t="s">
        <v>120</v>
      </c>
      <c r="S328" t="s">
        <v>111</v>
      </c>
      <c r="T328" t="s">
        <v>469</v>
      </c>
      <c r="U328" t="s">
        <v>117</v>
      </c>
      <c r="V328" t="s">
        <v>1348</v>
      </c>
      <c r="W328" t="s">
        <v>1795</v>
      </c>
      <c r="X328" t="s">
        <v>1687</v>
      </c>
      <c r="Y328" t="s">
        <v>472</v>
      </c>
      <c r="Z328" t="s">
        <v>1680</v>
      </c>
      <c r="AA328" t="s">
        <v>1688</v>
      </c>
      <c r="AB328" t="s">
        <v>482</v>
      </c>
      <c r="AC328" t="s">
        <v>119</v>
      </c>
      <c r="AD328" t="s">
        <v>1746</v>
      </c>
      <c r="AE328" t="s">
        <v>1348</v>
      </c>
      <c r="AF328" t="s">
        <v>1680</v>
      </c>
      <c r="AG328" t="s">
        <v>111</v>
      </c>
      <c r="AI328" t="s">
        <v>111</v>
      </c>
      <c r="AJ328" t="s">
        <v>1348</v>
      </c>
      <c r="AK328" t="s">
        <v>1680</v>
      </c>
    </row>
    <row r="329" spans="1:37" ht="16.5" customHeight="1">
      <c r="A329" s="95" t="s">
        <v>2119</v>
      </c>
      <c r="B329" t="s">
        <v>1813</v>
      </c>
      <c r="C329" t="s">
        <v>589</v>
      </c>
      <c r="D329" t="s">
        <v>110</v>
      </c>
      <c r="E329" t="s">
        <v>111</v>
      </c>
      <c r="F329" s="87" t="s">
        <v>2125</v>
      </c>
      <c r="G329" t="s">
        <v>111</v>
      </c>
      <c r="H329" t="s">
        <v>111</v>
      </c>
      <c r="I329" t="s">
        <v>1814</v>
      </c>
      <c r="J329" s="371" t="s">
        <v>2126</v>
      </c>
      <c r="K329" t="s">
        <v>122</v>
      </c>
      <c r="L329" t="s">
        <v>608</v>
      </c>
      <c r="M329" t="s">
        <v>114</v>
      </c>
      <c r="N329" t="s">
        <v>1474</v>
      </c>
      <c r="O329" t="s">
        <v>1495</v>
      </c>
      <c r="P329" t="s">
        <v>1815</v>
      </c>
      <c r="Q329" t="s">
        <v>115</v>
      </c>
      <c r="R329" t="s">
        <v>120</v>
      </c>
      <c r="S329" t="s">
        <v>111</v>
      </c>
      <c r="T329" t="s">
        <v>116</v>
      </c>
      <c r="U329" t="s">
        <v>117</v>
      </c>
      <c r="V329" t="s">
        <v>1686</v>
      </c>
      <c r="W329" t="s">
        <v>1795</v>
      </c>
      <c r="X329" t="s">
        <v>1687</v>
      </c>
      <c r="Y329" t="s">
        <v>1682</v>
      </c>
      <c r="Z329" t="s">
        <v>1795</v>
      </c>
      <c r="AD329" t="s">
        <v>120</v>
      </c>
      <c r="AF329" t="s">
        <v>120</v>
      </c>
      <c r="AG329" t="s">
        <v>111</v>
      </c>
      <c r="AI329" t="s">
        <v>1816</v>
      </c>
      <c r="AK329" t="s">
        <v>120</v>
      </c>
    </row>
    <row r="330" spans="1:37" ht="16.5" customHeight="1">
      <c r="A330" s="95" t="s">
        <v>2119</v>
      </c>
      <c r="B330" t="s">
        <v>1817</v>
      </c>
      <c r="C330" t="s">
        <v>589</v>
      </c>
      <c r="D330" t="s">
        <v>110</v>
      </c>
      <c r="E330" t="s">
        <v>1729</v>
      </c>
      <c r="F330" s="87" t="s">
        <v>2125</v>
      </c>
      <c r="G330" s="87" t="s">
        <v>2122</v>
      </c>
      <c r="H330" t="s">
        <v>111</v>
      </c>
      <c r="I330" t="s">
        <v>1818</v>
      </c>
      <c r="J330" s="371" t="s">
        <v>2126</v>
      </c>
      <c r="K330" t="s">
        <v>122</v>
      </c>
      <c r="L330" t="s">
        <v>608</v>
      </c>
      <c r="M330" t="s">
        <v>114</v>
      </c>
      <c r="P330" t="s">
        <v>1819</v>
      </c>
      <c r="Q330" t="s">
        <v>115</v>
      </c>
      <c r="R330" t="s">
        <v>120</v>
      </c>
      <c r="S330" t="s">
        <v>111</v>
      </c>
      <c r="T330" t="s">
        <v>116</v>
      </c>
      <c r="U330" t="s">
        <v>117</v>
      </c>
      <c r="V330" t="s">
        <v>903</v>
      </c>
      <c r="W330" t="s">
        <v>1795</v>
      </c>
      <c r="X330" t="s">
        <v>1687</v>
      </c>
      <c r="Y330" t="s">
        <v>619</v>
      </c>
      <c r="Z330" t="s">
        <v>1795</v>
      </c>
      <c r="AD330" t="s">
        <v>120</v>
      </c>
      <c r="AF330" t="s">
        <v>120</v>
      </c>
      <c r="AG330" t="s">
        <v>111</v>
      </c>
      <c r="AI330" t="s">
        <v>1820</v>
      </c>
      <c r="AK330" t="s">
        <v>120</v>
      </c>
    </row>
    <row r="331" spans="1:37" ht="16.5" customHeight="1">
      <c r="A331" s="95" t="s">
        <v>2119</v>
      </c>
      <c r="B331" t="s">
        <v>1821</v>
      </c>
      <c r="C331" t="s">
        <v>589</v>
      </c>
      <c r="D331" t="s">
        <v>110</v>
      </c>
      <c r="E331" t="s">
        <v>111</v>
      </c>
      <c r="F331" s="87" t="s">
        <v>2125</v>
      </c>
      <c r="G331" t="s">
        <v>111</v>
      </c>
      <c r="H331" t="s">
        <v>111</v>
      </c>
      <c r="I331" t="s">
        <v>1822</v>
      </c>
      <c r="J331" s="371" t="s">
        <v>2126</v>
      </c>
      <c r="K331" t="s">
        <v>122</v>
      </c>
      <c r="L331" t="s">
        <v>608</v>
      </c>
      <c r="M331" t="s">
        <v>114</v>
      </c>
      <c r="N331" t="s">
        <v>1474</v>
      </c>
      <c r="O331" t="s">
        <v>1495</v>
      </c>
      <c r="P331" t="s">
        <v>1823</v>
      </c>
      <c r="Q331" t="s">
        <v>115</v>
      </c>
      <c r="R331" t="s">
        <v>120</v>
      </c>
      <c r="S331" t="s">
        <v>111</v>
      </c>
      <c r="T331" t="s">
        <v>116</v>
      </c>
      <c r="U331" t="s">
        <v>117</v>
      </c>
      <c r="V331" t="s">
        <v>1686</v>
      </c>
      <c r="W331" t="s">
        <v>1795</v>
      </c>
      <c r="X331" t="s">
        <v>1687</v>
      </c>
      <c r="Y331" t="s">
        <v>1682</v>
      </c>
      <c r="Z331" t="s">
        <v>1795</v>
      </c>
      <c r="AD331" t="s">
        <v>120</v>
      </c>
      <c r="AF331" t="s">
        <v>120</v>
      </c>
      <c r="AG331" t="s">
        <v>111</v>
      </c>
      <c r="AI331" t="s">
        <v>1824</v>
      </c>
      <c r="AK331" t="s">
        <v>120</v>
      </c>
    </row>
    <row r="332" spans="1:37" ht="16.5" customHeight="1">
      <c r="A332" s="95" t="s">
        <v>2119</v>
      </c>
      <c r="B332" t="s">
        <v>1825</v>
      </c>
      <c r="C332" t="s">
        <v>589</v>
      </c>
      <c r="D332" t="s">
        <v>110</v>
      </c>
      <c r="E332" t="s">
        <v>111</v>
      </c>
      <c r="F332" s="87" t="s">
        <v>2125</v>
      </c>
      <c r="G332" t="s">
        <v>111</v>
      </c>
      <c r="H332" t="s">
        <v>111</v>
      </c>
      <c r="I332" t="s">
        <v>1826</v>
      </c>
      <c r="J332" s="371" t="s">
        <v>2126</v>
      </c>
      <c r="K332" t="s">
        <v>122</v>
      </c>
      <c r="L332" t="s">
        <v>608</v>
      </c>
      <c r="M332" t="s">
        <v>114</v>
      </c>
      <c r="N332" t="s">
        <v>1474</v>
      </c>
      <c r="O332" t="s">
        <v>1495</v>
      </c>
      <c r="P332" t="s">
        <v>1827</v>
      </c>
      <c r="Q332" t="s">
        <v>115</v>
      </c>
      <c r="R332" t="s">
        <v>120</v>
      </c>
      <c r="S332" t="s">
        <v>111</v>
      </c>
      <c r="T332" t="s">
        <v>116</v>
      </c>
      <c r="U332" t="s">
        <v>117</v>
      </c>
      <c r="V332" t="s">
        <v>1686</v>
      </c>
      <c r="W332" t="s">
        <v>1795</v>
      </c>
      <c r="X332" t="s">
        <v>1687</v>
      </c>
      <c r="Y332" t="s">
        <v>1682</v>
      </c>
      <c r="Z332" t="s">
        <v>1795</v>
      </c>
      <c r="AD332" t="s">
        <v>120</v>
      </c>
      <c r="AF332" t="s">
        <v>120</v>
      </c>
      <c r="AG332" t="s">
        <v>111</v>
      </c>
      <c r="AI332" t="s">
        <v>1828</v>
      </c>
      <c r="AK332" t="s">
        <v>120</v>
      </c>
    </row>
    <row r="333" spans="1:37" ht="16.5" customHeight="1">
      <c r="A333" s="95" t="s">
        <v>2119</v>
      </c>
      <c r="B333" t="s">
        <v>1829</v>
      </c>
      <c r="C333" t="s">
        <v>589</v>
      </c>
      <c r="D333" t="s">
        <v>110</v>
      </c>
      <c r="E333" t="s">
        <v>590</v>
      </c>
      <c r="F333" s="87" t="s">
        <v>2125</v>
      </c>
      <c r="G333" t="s">
        <v>111</v>
      </c>
      <c r="H333" t="s">
        <v>111</v>
      </c>
      <c r="I333" t="s">
        <v>1830</v>
      </c>
      <c r="J333" s="371" t="s">
        <v>2126</v>
      </c>
      <c r="K333" t="s">
        <v>2123</v>
      </c>
      <c r="L333" t="s">
        <v>608</v>
      </c>
      <c r="M333" t="s">
        <v>114</v>
      </c>
      <c r="P333" t="s">
        <v>1831</v>
      </c>
      <c r="Q333" t="s">
        <v>468</v>
      </c>
      <c r="R333" t="s">
        <v>120</v>
      </c>
      <c r="S333" t="s">
        <v>111</v>
      </c>
      <c r="T333" t="s">
        <v>469</v>
      </c>
      <c r="U333" t="s">
        <v>117</v>
      </c>
      <c r="V333" t="s">
        <v>491</v>
      </c>
      <c r="W333" t="s">
        <v>1795</v>
      </c>
      <c r="X333" t="s">
        <v>1687</v>
      </c>
      <c r="Y333" t="s">
        <v>472</v>
      </c>
      <c r="Z333" t="s">
        <v>1680</v>
      </c>
      <c r="AA333" t="s">
        <v>1688</v>
      </c>
      <c r="AB333" t="s">
        <v>482</v>
      </c>
      <c r="AC333" t="s">
        <v>119</v>
      </c>
      <c r="AD333" t="s">
        <v>1746</v>
      </c>
      <c r="AE333" t="s">
        <v>491</v>
      </c>
      <c r="AF333" t="s">
        <v>1680</v>
      </c>
      <c r="AG333" t="s">
        <v>111</v>
      </c>
      <c r="AI333" t="s">
        <v>111</v>
      </c>
      <c r="AJ333" t="s">
        <v>491</v>
      </c>
      <c r="AK333" t="s">
        <v>1680</v>
      </c>
    </row>
    <row r="334" spans="1:37" ht="16.5" customHeight="1">
      <c r="A334" s="95" t="s">
        <v>2119</v>
      </c>
      <c r="B334" t="s">
        <v>1832</v>
      </c>
      <c r="C334" t="s">
        <v>589</v>
      </c>
      <c r="D334" t="s">
        <v>110</v>
      </c>
      <c r="E334" t="s">
        <v>1697</v>
      </c>
      <c r="F334" s="87" t="s">
        <v>2125</v>
      </c>
      <c r="G334" t="s">
        <v>111</v>
      </c>
      <c r="H334" t="s">
        <v>111</v>
      </c>
      <c r="I334" t="s">
        <v>1833</v>
      </c>
      <c r="J334" s="371" t="s">
        <v>2126</v>
      </c>
      <c r="K334" t="s">
        <v>2123</v>
      </c>
      <c r="L334" t="s">
        <v>113</v>
      </c>
      <c r="M334" t="s">
        <v>114</v>
      </c>
      <c r="P334" t="s">
        <v>1834</v>
      </c>
      <c r="Q334" t="s">
        <v>482</v>
      </c>
      <c r="R334" t="s">
        <v>120</v>
      </c>
      <c r="S334" t="s">
        <v>111</v>
      </c>
      <c r="T334" t="s">
        <v>469</v>
      </c>
      <c r="U334" t="s">
        <v>1835</v>
      </c>
      <c r="V334" t="s">
        <v>903</v>
      </c>
      <c r="W334" t="s">
        <v>1795</v>
      </c>
      <c r="X334" t="s">
        <v>1687</v>
      </c>
      <c r="Y334" t="s">
        <v>903</v>
      </c>
      <c r="Z334" t="s">
        <v>1746</v>
      </c>
      <c r="AA334" t="s">
        <v>1700</v>
      </c>
      <c r="AB334" t="s">
        <v>482</v>
      </c>
      <c r="AC334" t="s">
        <v>1836</v>
      </c>
      <c r="AD334" t="s">
        <v>1746</v>
      </c>
      <c r="AF334" t="s">
        <v>120</v>
      </c>
      <c r="AG334" t="s">
        <v>111</v>
      </c>
      <c r="AI334" t="s">
        <v>111</v>
      </c>
      <c r="AJ334" t="s">
        <v>1700</v>
      </c>
      <c r="AK334" t="s">
        <v>1746</v>
      </c>
    </row>
    <row r="335" spans="1:37" ht="16.5" customHeight="1">
      <c r="A335" s="95" t="s">
        <v>2119</v>
      </c>
      <c r="B335" t="s">
        <v>1837</v>
      </c>
      <c r="C335" t="s">
        <v>589</v>
      </c>
      <c r="D335" t="s">
        <v>110</v>
      </c>
      <c r="E335" t="s">
        <v>1697</v>
      </c>
      <c r="F335" s="87" t="s">
        <v>2125</v>
      </c>
      <c r="G335" t="s">
        <v>111</v>
      </c>
      <c r="H335" t="s">
        <v>111</v>
      </c>
      <c r="I335" t="s">
        <v>1838</v>
      </c>
      <c r="J335" s="371" t="s">
        <v>2126</v>
      </c>
      <c r="K335" t="s">
        <v>2123</v>
      </c>
      <c r="L335" t="s">
        <v>113</v>
      </c>
      <c r="M335" t="s">
        <v>114</v>
      </c>
      <c r="P335" t="s">
        <v>1839</v>
      </c>
      <c r="Q335" t="s">
        <v>482</v>
      </c>
      <c r="R335" t="s">
        <v>120</v>
      </c>
      <c r="S335" t="s">
        <v>111</v>
      </c>
      <c r="T335" t="s">
        <v>469</v>
      </c>
      <c r="U335" t="s">
        <v>1835</v>
      </c>
      <c r="V335" t="s">
        <v>903</v>
      </c>
      <c r="W335" t="s">
        <v>1795</v>
      </c>
      <c r="X335" t="s">
        <v>1687</v>
      </c>
      <c r="Y335" t="s">
        <v>903</v>
      </c>
      <c r="Z335" t="s">
        <v>1795</v>
      </c>
      <c r="AA335" t="s">
        <v>1692</v>
      </c>
      <c r="AB335" t="s">
        <v>482</v>
      </c>
      <c r="AC335" t="s">
        <v>119</v>
      </c>
      <c r="AD335" t="s">
        <v>1795</v>
      </c>
      <c r="AF335" t="s">
        <v>120</v>
      </c>
      <c r="AG335" t="s">
        <v>111</v>
      </c>
      <c r="AI335" t="s">
        <v>111</v>
      </c>
      <c r="AJ335" t="s">
        <v>1692</v>
      </c>
      <c r="AK335" t="s">
        <v>1795</v>
      </c>
    </row>
    <row r="336" spans="1:37" ht="16.5" customHeight="1">
      <c r="A336" s="95" t="s">
        <v>2119</v>
      </c>
      <c r="B336" t="s">
        <v>1840</v>
      </c>
      <c r="C336" t="s">
        <v>589</v>
      </c>
      <c r="D336" t="s">
        <v>110</v>
      </c>
      <c r="E336" t="s">
        <v>111</v>
      </c>
      <c r="F336" s="87" t="s">
        <v>2125</v>
      </c>
      <c r="G336" t="s">
        <v>111</v>
      </c>
      <c r="H336" t="s">
        <v>111</v>
      </c>
      <c r="I336" t="s">
        <v>1841</v>
      </c>
      <c r="J336" s="371" t="s">
        <v>2126</v>
      </c>
      <c r="K336" t="s">
        <v>122</v>
      </c>
      <c r="L336" t="s">
        <v>608</v>
      </c>
      <c r="M336" t="s">
        <v>114</v>
      </c>
      <c r="N336" t="s">
        <v>1474</v>
      </c>
      <c r="O336" t="s">
        <v>1495</v>
      </c>
      <c r="P336" t="s">
        <v>1842</v>
      </c>
      <c r="Q336" t="s">
        <v>115</v>
      </c>
      <c r="R336" t="s">
        <v>120</v>
      </c>
      <c r="S336" t="s">
        <v>111</v>
      </c>
      <c r="T336" t="s">
        <v>116</v>
      </c>
      <c r="U336" t="s">
        <v>117</v>
      </c>
      <c r="V336" t="s">
        <v>1686</v>
      </c>
      <c r="W336" t="s">
        <v>1795</v>
      </c>
      <c r="X336" t="s">
        <v>1687</v>
      </c>
      <c r="Y336" t="s">
        <v>1682</v>
      </c>
      <c r="Z336" t="s">
        <v>1795</v>
      </c>
      <c r="AD336" t="s">
        <v>120</v>
      </c>
      <c r="AF336" t="s">
        <v>120</v>
      </c>
      <c r="AG336" t="s">
        <v>111</v>
      </c>
      <c r="AI336" t="s">
        <v>1843</v>
      </c>
      <c r="AK336" t="s">
        <v>120</v>
      </c>
    </row>
    <row r="337" spans="1:37" ht="16.5" customHeight="1">
      <c r="A337" s="95" t="s">
        <v>2119</v>
      </c>
      <c r="B337" t="s">
        <v>1844</v>
      </c>
      <c r="C337" t="s">
        <v>589</v>
      </c>
      <c r="D337" t="s">
        <v>110</v>
      </c>
      <c r="E337" t="s">
        <v>1729</v>
      </c>
      <c r="F337" s="87" t="s">
        <v>2125</v>
      </c>
      <c r="G337" t="s">
        <v>111</v>
      </c>
      <c r="H337" t="s">
        <v>111</v>
      </c>
      <c r="I337" t="s">
        <v>1845</v>
      </c>
      <c r="J337" s="371" t="s">
        <v>2126</v>
      </c>
      <c r="K337" t="s">
        <v>122</v>
      </c>
      <c r="L337" t="s">
        <v>608</v>
      </c>
      <c r="M337" t="s">
        <v>114</v>
      </c>
      <c r="P337" t="s">
        <v>1846</v>
      </c>
      <c r="Q337" t="s">
        <v>115</v>
      </c>
      <c r="R337" t="s">
        <v>120</v>
      </c>
      <c r="S337" t="s">
        <v>111</v>
      </c>
      <c r="T337" t="s">
        <v>116</v>
      </c>
      <c r="U337" t="s">
        <v>117</v>
      </c>
      <c r="V337" t="s">
        <v>903</v>
      </c>
      <c r="W337" t="s">
        <v>1795</v>
      </c>
      <c r="X337" t="s">
        <v>1836</v>
      </c>
      <c r="Y337" t="s">
        <v>619</v>
      </c>
      <c r="Z337" t="s">
        <v>1795</v>
      </c>
      <c r="AD337" t="s">
        <v>120</v>
      </c>
      <c r="AF337" t="s">
        <v>120</v>
      </c>
      <c r="AG337" t="s">
        <v>111</v>
      </c>
      <c r="AI337" t="s">
        <v>111</v>
      </c>
      <c r="AJ337" t="s">
        <v>903</v>
      </c>
      <c r="AK337" t="s">
        <v>1746</v>
      </c>
    </row>
    <row r="338" spans="1:37" ht="16.5" customHeight="1">
      <c r="A338" s="95" t="s">
        <v>2119</v>
      </c>
      <c r="B338" t="s">
        <v>1847</v>
      </c>
      <c r="C338" t="s">
        <v>589</v>
      </c>
      <c r="D338" t="s">
        <v>110</v>
      </c>
      <c r="E338" t="s">
        <v>1697</v>
      </c>
      <c r="F338" s="87" t="s">
        <v>2125</v>
      </c>
      <c r="G338" t="s">
        <v>111</v>
      </c>
      <c r="H338" t="s">
        <v>111</v>
      </c>
      <c r="I338" t="s">
        <v>1848</v>
      </c>
      <c r="J338" s="371" t="s">
        <v>2126</v>
      </c>
      <c r="K338" t="s">
        <v>122</v>
      </c>
      <c r="L338" t="s">
        <v>608</v>
      </c>
      <c r="M338" t="s">
        <v>114</v>
      </c>
      <c r="P338" t="s">
        <v>688</v>
      </c>
      <c r="Q338" t="s">
        <v>482</v>
      </c>
      <c r="R338" t="s">
        <v>120</v>
      </c>
      <c r="S338" t="s">
        <v>111</v>
      </c>
      <c r="T338" t="s">
        <v>469</v>
      </c>
      <c r="U338" t="s">
        <v>117</v>
      </c>
      <c r="V338" t="s">
        <v>491</v>
      </c>
      <c r="W338" t="s">
        <v>1849</v>
      </c>
      <c r="X338" t="s">
        <v>1836</v>
      </c>
      <c r="Y338" t="s">
        <v>491</v>
      </c>
      <c r="Z338" t="s">
        <v>1746</v>
      </c>
      <c r="AA338" t="s">
        <v>1700</v>
      </c>
      <c r="AB338" t="s">
        <v>482</v>
      </c>
      <c r="AC338" t="s">
        <v>119</v>
      </c>
      <c r="AD338" t="s">
        <v>1746</v>
      </c>
      <c r="AF338" t="s">
        <v>120</v>
      </c>
      <c r="AG338" t="s">
        <v>111</v>
      </c>
      <c r="AI338" t="s">
        <v>111</v>
      </c>
      <c r="AJ338" t="s">
        <v>1700</v>
      </c>
      <c r="AK338" t="s">
        <v>1746</v>
      </c>
    </row>
    <row r="339" spans="1:37" ht="16.5" customHeight="1">
      <c r="A339" s="95" t="s">
        <v>2119</v>
      </c>
      <c r="B339" t="s">
        <v>1850</v>
      </c>
      <c r="C339" t="s">
        <v>589</v>
      </c>
      <c r="D339" t="s">
        <v>110</v>
      </c>
      <c r="E339" t="s">
        <v>1697</v>
      </c>
      <c r="F339" s="87" t="s">
        <v>2125</v>
      </c>
      <c r="G339" t="s">
        <v>111</v>
      </c>
      <c r="H339" t="s">
        <v>111</v>
      </c>
      <c r="I339" t="s">
        <v>1851</v>
      </c>
      <c r="J339" s="371" t="s">
        <v>2126</v>
      </c>
      <c r="K339" t="s">
        <v>122</v>
      </c>
      <c r="L339" t="s">
        <v>608</v>
      </c>
      <c r="M339" t="s">
        <v>114</v>
      </c>
      <c r="P339" t="s">
        <v>1852</v>
      </c>
      <c r="Q339" t="s">
        <v>115</v>
      </c>
      <c r="R339" t="s">
        <v>120</v>
      </c>
      <c r="S339" t="s">
        <v>111</v>
      </c>
      <c r="T339" t="s">
        <v>469</v>
      </c>
      <c r="U339" t="s">
        <v>117</v>
      </c>
      <c r="V339" t="s">
        <v>491</v>
      </c>
      <c r="W339" t="s">
        <v>1849</v>
      </c>
      <c r="X339" t="s">
        <v>1836</v>
      </c>
      <c r="Y339" t="s">
        <v>1700</v>
      </c>
      <c r="Z339" t="s">
        <v>1795</v>
      </c>
      <c r="AD339" t="s">
        <v>120</v>
      </c>
      <c r="AF339" t="s">
        <v>120</v>
      </c>
      <c r="AG339" t="s">
        <v>111</v>
      </c>
      <c r="AI339" t="s">
        <v>111</v>
      </c>
      <c r="AJ339" t="s">
        <v>1692</v>
      </c>
      <c r="AK339" t="s">
        <v>1795</v>
      </c>
    </row>
    <row r="340" spans="1:37" ht="16.5" customHeight="1">
      <c r="A340" s="95" t="s">
        <v>2119</v>
      </c>
      <c r="B340" t="s">
        <v>1853</v>
      </c>
      <c r="C340" t="s">
        <v>589</v>
      </c>
      <c r="D340" t="s">
        <v>110</v>
      </c>
      <c r="E340" t="s">
        <v>1697</v>
      </c>
      <c r="F340" s="87" t="s">
        <v>2125</v>
      </c>
      <c r="G340" t="s">
        <v>111</v>
      </c>
      <c r="H340" t="s">
        <v>111</v>
      </c>
      <c r="I340" t="s">
        <v>1854</v>
      </c>
      <c r="J340" s="371" t="s">
        <v>2126</v>
      </c>
      <c r="K340" t="s">
        <v>122</v>
      </c>
      <c r="L340" t="s">
        <v>608</v>
      </c>
      <c r="M340" t="s">
        <v>1855</v>
      </c>
      <c r="P340" t="s">
        <v>1856</v>
      </c>
      <c r="Q340" t="s">
        <v>115</v>
      </c>
      <c r="R340" t="s">
        <v>120</v>
      </c>
      <c r="S340" t="s">
        <v>111</v>
      </c>
      <c r="T340" t="s">
        <v>469</v>
      </c>
      <c r="U340" t="s">
        <v>117</v>
      </c>
      <c r="V340" t="s">
        <v>491</v>
      </c>
      <c r="W340" t="s">
        <v>1849</v>
      </c>
      <c r="X340" t="s">
        <v>1836</v>
      </c>
      <c r="Y340" t="s">
        <v>1700</v>
      </c>
      <c r="Z340" t="s">
        <v>1746</v>
      </c>
      <c r="AD340" t="s">
        <v>120</v>
      </c>
      <c r="AF340" t="s">
        <v>120</v>
      </c>
      <c r="AG340" t="s">
        <v>111</v>
      </c>
      <c r="AI340" t="s">
        <v>111</v>
      </c>
      <c r="AJ340" t="s">
        <v>1700</v>
      </c>
      <c r="AK340" t="s">
        <v>1746</v>
      </c>
    </row>
    <row r="341" spans="1:37" ht="16.5" hidden="1" customHeight="1">
      <c r="A341" s="95" t="s">
        <v>2119</v>
      </c>
      <c r="B341" t="s">
        <v>1857</v>
      </c>
      <c r="C341" t="s">
        <v>589</v>
      </c>
      <c r="D341" t="s">
        <v>110</v>
      </c>
      <c r="E341" t="s">
        <v>1697</v>
      </c>
      <c r="F341" s="87" t="s">
        <v>2125</v>
      </c>
      <c r="G341" t="s">
        <v>111</v>
      </c>
      <c r="H341" t="s">
        <v>111</v>
      </c>
      <c r="I341" t="s">
        <v>1858</v>
      </c>
      <c r="J341" s="371" t="s">
        <v>2126</v>
      </c>
      <c r="K341" t="s">
        <v>122</v>
      </c>
      <c r="L341" t="s">
        <v>608</v>
      </c>
      <c r="M341" t="s">
        <v>114</v>
      </c>
      <c r="P341" t="s">
        <v>1859</v>
      </c>
      <c r="Q341" t="s">
        <v>468</v>
      </c>
      <c r="R341" t="s">
        <v>120</v>
      </c>
      <c r="S341" t="s">
        <v>111</v>
      </c>
      <c r="T341" t="s">
        <v>469</v>
      </c>
      <c r="U341" t="s">
        <v>117</v>
      </c>
      <c r="V341" t="s">
        <v>491</v>
      </c>
      <c r="W341" t="s">
        <v>1849</v>
      </c>
      <c r="X341" t="s">
        <v>1836</v>
      </c>
      <c r="Y341" t="s">
        <v>472</v>
      </c>
      <c r="Z341" t="s">
        <v>1746</v>
      </c>
      <c r="AA341" t="s">
        <v>1700</v>
      </c>
      <c r="AB341" t="s">
        <v>620</v>
      </c>
      <c r="AC341" t="s">
        <v>1836</v>
      </c>
      <c r="AD341" t="s">
        <v>1795</v>
      </c>
      <c r="AE341" t="s">
        <v>1700</v>
      </c>
      <c r="AF341" t="s">
        <v>1746</v>
      </c>
      <c r="AG341" t="s">
        <v>111</v>
      </c>
      <c r="AI341" t="s">
        <v>111</v>
      </c>
      <c r="AJ341" t="s">
        <v>1700</v>
      </c>
      <c r="AK341" t="s">
        <v>1746</v>
      </c>
    </row>
    <row r="342" spans="1:37" ht="16.5" customHeight="1">
      <c r="A342" s="95" t="s">
        <v>2119</v>
      </c>
      <c r="B342" t="s">
        <v>1860</v>
      </c>
      <c r="C342" t="s">
        <v>589</v>
      </c>
      <c r="D342" t="s">
        <v>110</v>
      </c>
      <c r="E342" t="s">
        <v>1697</v>
      </c>
      <c r="F342" s="87" t="s">
        <v>2125</v>
      </c>
      <c r="G342" t="s">
        <v>111</v>
      </c>
      <c r="H342" t="s">
        <v>111</v>
      </c>
      <c r="I342" t="s">
        <v>1861</v>
      </c>
      <c r="J342" s="371" t="s">
        <v>2126</v>
      </c>
      <c r="K342" t="s">
        <v>122</v>
      </c>
      <c r="L342" t="s">
        <v>608</v>
      </c>
      <c r="M342" t="s">
        <v>114</v>
      </c>
      <c r="P342" t="s">
        <v>1862</v>
      </c>
      <c r="Q342" t="s">
        <v>482</v>
      </c>
      <c r="R342" t="s">
        <v>120</v>
      </c>
      <c r="S342" t="s">
        <v>111</v>
      </c>
      <c r="T342" t="s">
        <v>469</v>
      </c>
      <c r="U342" t="s">
        <v>117</v>
      </c>
      <c r="V342" t="s">
        <v>491</v>
      </c>
      <c r="W342" t="s">
        <v>1849</v>
      </c>
      <c r="X342" t="s">
        <v>1836</v>
      </c>
      <c r="Y342" t="s">
        <v>491</v>
      </c>
      <c r="Z342" t="s">
        <v>1746</v>
      </c>
      <c r="AA342" t="s">
        <v>1700</v>
      </c>
      <c r="AB342" t="s">
        <v>482</v>
      </c>
      <c r="AC342" t="s">
        <v>119</v>
      </c>
      <c r="AD342" t="s">
        <v>1746</v>
      </c>
      <c r="AF342" t="s">
        <v>120</v>
      </c>
      <c r="AG342" t="s">
        <v>111</v>
      </c>
      <c r="AI342" t="s">
        <v>111</v>
      </c>
      <c r="AJ342" t="s">
        <v>1700</v>
      </c>
      <c r="AK342" t="s">
        <v>1746</v>
      </c>
    </row>
    <row r="343" spans="1:37" ht="16.5" customHeight="1">
      <c r="A343" s="95" t="s">
        <v>2119</v>
      </c>
      <c r="B343" t="s">
        <v>1863</v>
      </c>
      <c r="C343" t="s">
        <v>589</v>
      </c>
      <c r="D343" t="s">
        <v>110</v>
      </c>
      <c r="E343" t="s">
        <v>1697</v>
      </c>
      <c r="F343" s="87" t="s">
        <v>2125</v>
      </c>
      <c r="G343" t="s">
        <v>111</v>
      </c>
      <c r="H343" t="s">
        <v>111</v>
      </c>
      <c r="I343" t="s">
        <v>1864</v>
      </c>
      <c r="J343" s="371" t="s">
        <v>2126</v>
      </c>
      <c r="K343" t="s">
        <v>122</v>
      </c>
      <c r="L343" t="s">
        <v>608</v>
      </c>
      <c r="M343" t="s">
        <v>114</v>
      </c>
      <c r="P343" t="s">
        <v>1865</v>
      </c>
      <c r="Q343" t="s">
        <v>482</v>
      </c>
      <c r="R343" t="s">
        <v>120</v>
      </c>
      <c r="S343" t="s">
        <v>111</v>
      </c>
      <c r="T343" t="s">
        <v>469</v>
      </c>
      <c r="U343" t="s">
        <v>117</v>
      </c>
      <c r="V343" t="s">
        <v>491</v>
      </c>
      <c r="W343" t="s">
        <v>1849</v>
      </c>
      <c r="X343" t="s">
        <v>1836</v>
      </c>
      <c r="Y343" t="s">
        <v>491</v>
      </c>
      <c r="Z343" t="s">
        <v>1795</v>
      </c>
      <c r="AA343" t="s">
        <v>1692</v>
      </c>
      <c r="AB343" t="s">
        <v>482</v>
      </c>
      <c r="AC343" t="s">
        <v>119</v>
      </c>
      <c r="AD343" t="s">
        <v>1795</v>
      </c>
      <c r="AF343" t="s">
        <v>120</v>
      </c>
      <c r="AG343" t="s">
        <v>111</v>
      </c>
      <c r="AI343" t="s">
        <v>111</v>
      </c>
      <c r="AJ343" t="s">
        <v>1692</v>
      </c>
      <c r="AK343" t="s">
        <v>1795</v>
      </c>
    </row>
    <row r="344" spans="1:37" ht="16.5" customHeight="1">
      <c r="A344" s="95" t="s">
        <v>2119</v>
      </c>
      <c r="B344" t="s">
        <v>1866</v>
      </c>
      <c r="C344" t="s">
        <v>589</v>
      </c>
      <c r="D344" t="s">
        <v>110</v>
      </c>
      <c r="E344" t="s">
        <v>1729</v>
      </c>
      <c r="F344" s="87" t="s">
        <v>2125</v>
      </c>
      <c r="G344" t="s">
        <v>111</v>
      </c>
      <c r="H344" t="s">
        <v>111</v>
      </c>
      <c r="I344" t="s">
        <v>1867</v>
      </c>
      <c r="J344" s="371" t="s">
        <v>2126</v>
      </c>
      <c r="K344" t="s">
        <v>122</v>
      </c>
      <c r="L344" t="s">
        <v>608</v>
      </c>
      <c r="M344" t="s">
        <v>114</v>
      </c>
      <c r="P344" t="s">
        <v>1868</v>
      </c>
      <c r="Q344" t="s">
        <v>115</v>
      </c>
      <c r="R344" t="s">
        <v>120</v>
      </c>
      <c r="S344" t="s">
        <v>111</v>
      </c>
      <c r="T344" t="s">
        <v>116</v>
      </c>
      <c r="U344" t="s">
        <v>117</v>
      </c>
      <c r="V344" t="s">
        <v>903</v>
      </c>
      <c r="W344" t="s">
        <v>1849</v>
      </c>
      <c r="X344" t="s">
        <v>1836</v>
      </c>
      <c r="Y344" t="s">
        <v>619</v>
      </c>
      <c r="Z344" t="s">
        <v>1849</v>
      </c>
      <c r="AD344" t="s">
        <v>120</v>
      </c>
      <c r="AF344" t="s">
        <v>120</v>
      </c>
      <c r="AG344" t="s">
        <v>111</v>
      </c>
      <c r="AI344" t="s">
        <v>111</v>
      </c>
      <c r="AK344" t="s">
        <v>120</v>
      </c>
    </row>
    <row r="345" spans="1:37" ht="16.5" customHeight="1">
      <c r="A345" s="95" t="s">
        <v>2119</v>
      </c>
      <c r="B345" t="s">
        <v>1869</v>
      </c>
      <c r="C345" t="s">
        <v>589</v>
      </c>
      <c r="D345" t="s">
        <v>110</v>
      </c>
      <c r="E345" t="s">
        <v>1697</v>
      </c>
      <c r="F345" s="87" t="s">
        <v>2125</v>
      </c>
      <c r="G345" t="s">
        <v>111</v>
      </c>
      <c r="H345" t="s">
        <v>111</v>
      </c>
      <c r="I345" t="s">
        <v>1870</v>
      </c>
      <c r="J345" s="371" t="s">
        <v>2126</v>
      </c>
      <c r="K345" t="s">
        <v>122</v>
      </c>
      <c r="L345" t="s">
        <v>650</v>
      </c>
      <c r="M345" t="s">
        <v>1785</v>
      </c>
      <c r="P345" t="s">
        <v>1871</v>
      </c>
      <c r="Q345" t="s">
        <v>115</v>
      </c>
      <c r="R345" t="s">
        <v>120</v>
      </c>
      <c r="S345" t="s">
        <v>111</v>
      </c>
      <c r="T345" t="s">
        <v>469</v>
      </c>
      <c r="U345" t="s">
        <v>117</v>
      </c>
      <c r="V345" t="s">
        <v>491</v>
      </c>
      <c r="W345" t="s">
        <v>1849</v>
      </c>
      <c r="X345" t="s">
        <v>1836</v>
      </c>
      <c r="Y345" t="s">
        <v>1700</v>
      </c>
      <c r="Z345" t="s">
        <v>1746</v>
      </c>
      <c r="AD345" t="s">
        <v>120</v>
      </c>
      <c r="AF345" t="s">
        <v>120</v>
      </c>
      <c r="AG345" t="s">
        <v>111</v>
      </c>
      <c r="AI345" t="s">
        <v>111</v>
      </c>
      <c r="AJ345" t="s">
        <v>1700</v>
      </c>
      <c r="AK345" t="s">
        <v>1746</v>
      </c>
    </row>
    <row r="346" spans="1:37" ht="16.5" customHeight="1">
      <c r="A346" s="95" t="s">
        <v>2119</v>
      </c>
      <c r="B346" t="s">
        <v>1872</v>
      </c>
      <c r="C346" t="s">
        <v>589</v>
      </c>
      <c r="D346" t="s">
        <v>110</v>
      </c>
      <c r="E346" t="s">
        <v>111</v>
      </c>
      <c r="F346" s="87" t="s">
        <v>2125</v>
      </c>
      <c r="G346" t="s">
        <v>111</v>
      </c>
      <c r="H346" t="s">
        <v>111</v>
      </c>
      <c r="I346" t="s">
        <v>1873</v>
      </c>
      <c r="J346" s="371" t="s">
        <v>2126</v>
      </c>
      <c r="K346" t="s">
        <v>2123</v>
      </c>
      <c r="L346" t="s">
        <v>113</v>
      </c>
      <c r="M346" t="s">
        <v>114</v>
      </c>
      <c r="N346" t="s">
        <v>1474</v>
      </c>
      <c r="O346" t="s">
        <v>1495</v>
      </c>
      <c r="P346" t="s">
        <v>1874</v>
      </c>
      <c r="Q346" t="s">
        <v>115</v>
      </c>
      <c r="R346" t="s">
        <v>120</v>
      </c>
      <c r="S346" t="s">
        <v>111</v>
      </c>
      <c r="T346" t="s">
        <v>116</v>
      </c>
      <c r="U346" t="s">
        <v>117</v>
      </c>
      <c r="V346" t="s">
        <v>1686</v>
      </c>
      <c r="W346" t="s">
        <v>1849</v>
      </c>
      <c r="X346" t="s">
        <v>1836</v>
      </c>
      <c r="Y346" t="s">
        <v>1682</v>
      </c>
      <c r="Z346" t="s">
        <v>1849</v>
      </c>
      <c r="AD346" t="s">
        <v>120</v>
      </c>
      <c r="AF346" t="s">
        <v>120</v>
      </c>
      <c r="AG346" t="s">
        <v>111</v>
      </c>
      <c r="AI346" t="s">
        <v>111</v>
      </c>
      <c r="AK346" t="s">
        <v>120</v>
      </c>
    </row>
    <row r="347" spans="1:37" ht="16.5" customHeight="1">
      <c r="A347" s="95" t="s">
        <v>2119</v>
      </c>
      <c r="B347" t="s">
        <v>1875</v>
      </c>
      <c r="C347" t="s">
        <v>589</v>
      </c>
      <c r="D347" t="s">
        <v>110</v>
      </c>
      <c r="E347" t="s">
        <v>1697</v>
      </c>
      <c r="F347" s="87" t="s">
        <v>2125</v>
      </c>
      <c r="G347" t="s">
        <v>111</v>
      </c>
      <c r="H347" t="s">
        <v>111</v>
      </c>
      <c r="I347" t="s">
        <v>1876</v>
      </c>
      <c r="J347" s="371" t="s">
        <v>2126</v>
      </c>
      <c r="K347" t="s">
        <v>122</v>
      </c>
      <c r="L347" t="s">
        <v>608</v>
      </c>
      <c r="M347" t="s">
        <v>1855</v>
      </c>
      <c r="P347" t="s">
        <v>1877</v>
      </c>
      <c r="Q347" t="s">
        <v>115</v>
      </c>
      <c r="R347" t="s">
        <v>120</v>
      </c>
      <c r="S347" t="s">
        <v>111</v>
      </c>
      <c r="T347" t="s">
        <v>469</v>
      </c>
      <c r="U347" t="s">
        <v>117</v>
      </c>
      <c r="V347" t="s">
        <v>491</v>
      </c>
      <c r="W347" t="s">
        <v>1849</v>
      </c>
      <c r="X347" t="s">
        <v>1836</v>
      </c>
      <c r="Y347" t="s">
        <v>1700</v>
      </c>
      <c r="Z347" t="s">
        <v>1746</v>
      </c>
      <c r="AD347" t="s">
        <v>120</v>
      </c>
      <c r="AF347" t="s">
        <v>120</v>
      </c>
      <c r="AG347" t="s">
        <v>111</v>
      </c>
      <c r="AI347" t="s">
        <v>111</v>
      </c>
      <c r="AJ347" t="s">
        <v>1700</v>
      </c>
      <c r="AK347" t="s">
        <v>1746</v>
      </c>
    </row>
    <row r="348" spans="1:37" ht="16.5" customHeight="1">
      <c r="A348" s="95" t="s">
        <v>2119</v>
      </c>
      <c r="B348" t="s">
        <v>1878</v>
      </c>
      <c r="C348" t="s">
        <v>589</v>
      </c>
      <c r="D348" t="s">
        <v>110</v>
      </c>
      <c r="E348" t="s">
        <v>1729</v>
      </c>
      <c r="F348" s="87" t="s">
        <v>2125</v>
      </c>
      <c r="G348" t="s">
        <v>111</v>
      </c>
      <c r="H348" t="s">
        <v>111</v>
      </c>
      <c r="I348" t="s">
        <v>1879</v>
      </c>
      <c r="J348" s="371" t="s">
        <v>2126</v>
      </c>
      <c r="K348" t="s">
        <v>2123</v>
      </c>
      <c r="L348" t="s">
        <v>113</v>
      </c>
      <c r="M348" t="s">
        <v>114</v>
      </c>
      <c r="P348" t="s">
        <v>1880</v>
      </c>
      <c r="Q348" t="s">
        <v>115</v>
      </c>
      <c r="R348" t="s">
        <v>120</v>
      </c>
      <c r="S348" t="s">
        <v>111</v>
      </c>
      <c r="T348" t="s">
        <v>116</v>
      </c>
      <c r="U348" t="s">
        <v>117</v>
      </c>
      <c r="V348" t="s">
        <v>903</v>
      </c>
      <c r="W348" t="s">
        <v>1849</v>
      </c>
      <c r="X348" t="s">
        <v>1836</v>
      </c>
      <c r="Y348" t="s">
        <v>619</v>
      </c>
      <c r="Z348" t="s">
        <v>1849</v>
      </c>
      <c r="AD348" t="s">
        <v>120</v>
      </c>
      <c r="AF348" t="s">
        <v>120</v>
      </c>
      <c r="AG348" t="s">
        <v>111</v>
      </c>
      <c r="AI348" t="s">
        <v>111</v>
      </c>
      <c r="AJ348" t="s">
        <v>903</v>
      </c>
      <c r="AK348" t="s">
        <v>1746</v>
      </c>
    </row>
    <row r="349" spans="1:37" ht="16.5" customHeight="1">
      <c r="A349" s="95" t="s">
        <v>2119</v>
      </c>
      <c r="B349" t="s">
        <v>1881</v>
      </c>
      <c r="C349" t="s">
        <v>589</v>
      </c>
      <c r="D349" t="s">
        <v>110</v>
      </c>
      <c r="E349" t="s">
        <v>853</v>
      </c>
      <c r="F349" s="87" t="s">
        <v>2125</v>
      </c>
      <c r="G349" t="s">
        <v>111</v>
      </c>
      <c r="H349" t="s">
        <v>111</v>
      </c>
      <c r="I349" t="s">
        <v>1882</v>
      </c>
      <c r="J349" s="371" t="s">
        <v>2126</v>
      </c>
      <c r="K349" t="s">
        <v>122</v>
      </c>
      <c r="L349" t="s">
        <v>608</v>
      </c>
      <c r="M349" t="s">
        <v>114</v>
      </c>
      <c r="N349" t="s">
        <v>1474</v>
      </c>
      <c r="O349" t="s">
        <v>1495</v>
      </c>
      <c r="P349" t="s">
        <v>1883</v>
      </c>
      <c r="Q349" t="s">
        <v>115</v>
      </c>
      <c r="R349" t="s">
        <v>120</v>
      </c>
      <c r="S349" t="s">
        <v>111</v>
      </c>
      <c r="T349" t="s">
        <v>116</v>
      </c>
      <c r="U349" t="s">
        <v>117</v>
      </c>
      <c r="V349" t="s">
        <v>1686</v>
      </c>
      <c r="W349" t="s">
        <v>1849</v>
      </c>
      <c r="X349" t="s">
        <v>1836</v>
      </c>
      <c r="Y349" t="s">
        <v>1682</v>
      </c>
      <c r="Z349" t="s">
        <v>1795</v>
      </c>
      <c r="AD349" t="s">
        <v>120</v>
      </c>
      <c r="AF349" t="s">
        <v>120</v>
      </c>
      <c r="AG349" t="s">
        <v>111</v>
      </c>
      <c r="AI349" t="s">
        <v>111</v>
      </c>
      <c r="AJ349" t="s">
        <v>1884</v>
      </c>
      <c r="AK349" t="s">
        <v>1795</v>
      </c>
    </row>
    <row r="350" spans="1:37" ht="16.5" customHeight="1">
      <c r="A350" s="95" t="s">
        <v>2119</v>
      </c>
      <c r="B350" t="s">
        <v>1885</v>
      </c>
      <c r="C350" t="s">
        <v>589</v>
      </c>
      <c r="D350" t="s">
        <v>110</v>
      </c>
      <c r="E350" t="s">
        <v>590</v>
      </c>
      <c r="F350" s="87" t="s">
        <v>2125</v>
      </c>
      <c r="G350" t="s">
        <v>111</v>
      </c>
      <c r="H350" t="s">
        <v>111</v>
      </c>
      <c r="I350" t="s">
        <v>1886</v>
      </c>
      <c r="J350" s="371" t="s">
        <v>2126</v>
      </c>
      <c r="K350" t="s">
        <v>2123</v>
      </c>
      <c r="L350" t="s">
        <v>113</v>
      </c>
      <c r="M350" t="s">
        <v>114</v>
      </c>
      <c r="P350" t="s">
        <v>688</v>
      </c>
      <c r="Q350" t="s">
        <v>115</v>
      </c>
      <c r="R350" t="s">
        <v>120</v>
      </c>
      <c r="S350" t="s">
        <v>111</v>
      </c>
      <c r="T350" t="s">
        <v>116</v>
      </c>
      <c r="U350" t="s">
        <v>117</v>
      </c>
      <c r="V350" t="s">
        <v>491</v>
      </c>
      <c r="W350" t="s">
        <v>1849</v>
      </c>
      <c r="X350" t="s">
        <v>1836</v>
      </c>
      <c r="Y350" t="s">
        <v>1682</v>
      </c>
      <c r="Z350" t="s">
        <v>1849</v>
      </c>
      <c r="AD350" t="s">
        <v>120</v>
      </c>
      <c r="AF350" t="s">
        <v>120</v>
      </c>
      <c r="AG350" t="s">
        <v>111</v>
      </c>
      <c r="AI350" t="s">
        <v>111</v>
      </c>
      <c r="AK350" t="s">
        <v>120</v>
      </c>
    </row>
    <row r="351" spans="1:37" ht="16.5" customHeight="1">
      <c r="A351" s="95" t="s">
        <v>2119</v>
      </c>
      <c r="B351" t="s">
        <v>1887</v>
      </c>
      <c r="C351" t="s">
        <v>589</v>
      </c>
      <c r="D351" t="s">
        <v>110</v>
      </c>
      <c r="E351" t="s">
        <v>111</v>
      </c>
      <c r="F351" s="87" t="s">
        <v>2125</v>
      </c>
      <c r="G351" t="s">
        <v>111</v>
      </c>
      <c r="H351" t="s">
        <v>111</v>
      </c>
      <c r="I351" t="s">
        <v>1888</v>
      </c>
      <c r="J351" s="371" t="s">
        <v>2126</v>
      </c>
      <c r="K351" t="s">
        <v>122</v>
      </c>
      <c r="L351" t="s">
        <v>608</v>
      </c>
      <c r="M351" t="s">
        <v>114</v>
      </c>
      <c r="P351" t="s">
        <v>1889</v>
      </c>
      <c r="Q351" t="s">
        <v>482</v>
      </c>
      <c r="R351" t="s">
        <v>120</v>
      </c>
      <c r="S351" t="s">
        <v>111</v>
      </c>
      <c r="T351" t="s">
        <v>469</v>
      </c>
      <c r="U351" t="s">
        <v>117</v>
      </c>
      <c r="V351" t="s">
        <v>491</v>
      </c>
      <c r="W351" t="s">
        <v>1849</v>
      </c>
      <c r="X351" t="s">
        <v>1836</v>
      </c>
      <c r="Y351" t="s">
        <v>491</v>
      </c>
      <c r="Z351" t="s">
        <v>1795</v>
      </c>
      <c r="AA351" t="s">
        <v>689</v>
      </c>
      <c r="AB351" t="s">
        <v>482</v>
      </c>
      <c r="AC351" t="s">
        <v>119</v>
      </c>
      <c r="AD351" t="s">
        <v>1795</v>
      </c>
      <c r="AF351" t="s">
        <v>120</v>
      </c>
      <c r="AG351" t="s">
        <v>111</v>
      </c>
      <c r="AI351" t="s">
        <v>111</v>
      </c>
      <c r="AJ351" t="s">
        <v>689</v>
      </c>
      <c r="AK351" t="s">
        <v>1795</v>
      </c>
    </row>
    <row r="352" spans="1:37" ht="16.5" customHeight="1">
      <c r="A352" s="95" t="s">
        <v>2119</v>
      </c>
      <c r="B352" t="s">
        <v>1890</v>
      </c>
      <c r="C352" t="s">
        <v>589</v>
      </c>
      <c r="D352" t="s">
        <v>110</v>
      </c>
      <c r="E352" t="s">
        <v>1697</v>
      </c>
      <c r="F352" s="87" t="s">
        <v>2125</v>
      </c>
      <c r="G352" t="s">
        <v>111</v>
      </c>
      <c r="H352" t="s">
        <v>111</v>
      </c>
      <c r="I352" t="s">
        <v>1891</v>
      </c>
      <c r="J352" s="371" t="s">
        <v>2126</v>
      </c>
      <c r="K352" t="s">
        <v>2123</v>
      </c>
      <c r="L352" t="s">
        <v>608</v>
      </c>
      <c r="M352" t="s">
        <v>114</v>
      </c>
      <c r="P352" t="s">
        <v>1892</v>
      </c>
      <c r="Q352" t="s">
        <v>482</v>
      </c>
      <c r="R352" t="s">
        <v>120</v>
      </c>
      <c r="S352" t="s">
        <v>111</v>
      </c>
      <c r="T352" t="s">
        <v>469</v>
      </c>
      <c r="U352" t="s">
        <v>117</v>
      </c>
      <c r="V352" t="s">
        <v>491</v>
      </c>
      <c r="W352" t="s">
        <v>1849</v>
      </c>
      <c r="X352" t="s">
        <v>1836</v>
      </c>
      <c r="Y352" t="s">
        <v>491</v>
      </c>
      <c r="Z352" t="s">
        <v>1746</v>
      </c>
      <c r="AA352" t="s">
        <v>1700</v>
      </c>
      <c r="AB352" t="s">
        <v>482</v>
      </c>
      <c r="AC352" t="s">
        <v>119</v>
      </c>
      <c r="AD352" t="s">
        <v>1746</v>
      </c>
      <c r="AF352" t="s">
        <v>120</v>
      </c>
      <c r="AG352" t="s">
        <v>111</v>
      </c>
      <c r="AI352" t="s">
        <v>111</v>
      </c>
      <c r="AJ352" t="s">
        <v>1700</v>
      </c>
      <c r="AK352" t="s">
        <v>1746</v>
      </c>
    </row>
    <row r="353" spans="1:37" ht="16.5" customHeight="1">
      <c r="A353" s="95" t="s">
        <v>2119</v>
      </c>
      <c r="B353" t="s">
        <v>1893</v>
      </c>
      <c r="C353" t="s">
        <v>589</v>
      </c>
      <c r="D353" t="s">
        <v>110</v>
      </c>
      <c r="E353" t="s">
        <v>1697</v>
      </c>
      <c r="F353" s="87" t="s">
        <v>2125</v>
      </c>
      <c r="G353" t="s">
        <v>111</v>
      </c>
      <c r="H353" t="s">
        <v>111</v>
      </c>
      <c r="I353" t="s">
        <v>1894</v>
      </c>
      <c r="J353" s="371" t="s">
        <v>2126</v>
      </c>
      <c r="K353" t="s">
        <v>122</v>
      </c>
      <c r="L353" t="s">
        <v>608</v>
      </c>
      <c r="M353" t="s">
        <v>114</v>
      </c>
      <c r="P353" t="s">
        <v>1895</v>
      </c>
      <c r="Q353" t="s">
        <v>482</v>
      </c>
      <c r="R353" t="s">
        <v>120</v>
      </c>
      <c r="S353" t="s">
        <v>111</v>
      </c>
      <c r="T353" t="s">
        <v>469</v>
      </c>
      <c r="U353" t="s">
        <v>117</v>
      </c>
      <c r="V353" t="s">
        <v>491</v>
      </c>
      <c r="W353" t="s">
        <v>1849</v>
      </c>
      <c r="X353" t="s">
        <v>1836</v>
      </c>
      <c r="Y353" t="s">
        <v>491</v>
      </c>
      <c r="Z353" t="s">
        <v>1746</v>
      </c>
      <c r="AA353" t="s">
        <v>1700</v>
      </c>
      <c r="AB353" t="s">
        <v>482</v>
      </c>
      <c r="AC353" t="s">
        <v>119</v>
      </c>
      <c r="AD353" t="s">
        <v>1746</v>
      </c>
      <c r="AF353" t="s">
        <v>120</v>
      </c>
      <c r="AG353" t="s">
        <v>111</v>
      </c>
      <c r="AI353" t="s">
        <v>111</v>
      </c>
      <c r="AJ353" t="s">
        <v>1700</v>
      </c>
      <c r="AK353" t="s">
        <v>1746</v>
      </c>
    </row>
    <row r="354" spans="1:37" ht="16.5" customHeight="1">
      <c r="A354" s="95" t="s">
        <v>2119</v>
      </c>
      <c r="B354" t="s">
        <v>1896</v>
      </c>
      <c r="C354" t="s">
        <v>589</v>
      </c>
      <c r="D354" t="s">
        <v>110</v>
      </c>
      <c r="E354" t="s">
        <v>1697</v>
      </c>
      <c r="F354" s="87" t="s">
        <v>2125</v>
      </c>
      <c r="G354" t="s">
        <v>111</v>
      </c>
      <c r="H354" t="s">
        <v>111</v>
      </c>
      <c r="I354" t="s">
        <v>1897</v>
      </c>
      <c r="J354" s="371" t="s">
        <v>2126</v>
      </c>
      <c r="K354" t="s">
        <v>2123</v>
      </c>
      <c r="L354" t="s">
        <v>608</v>
      </c>
      <c r="M354" t="s">
        <v>114</v>
      </c>
      <c r="P354" t="s">
        <v>1898</v>
      </c>
      <c r="Q354" t="s">
        <v>482</v>
      </c>
      <c r="R354" t="s">
        <v>120</v>
      </c>
      <c r="S354" t="s">
        <v>111</v>
      </c>
      <c r="T354" t="s">
        <v>469</v>
      </c>
      <c r="U354" t="s">
        <v>1835</v>
      </c>
      <c r="V354" t="s">
        <v>491</v>
      </c>
      <c r="W354" t="s">
        <v>1849</v>
      </c>
      <c r="X354" t="s">
        <v>1836</v>
      </c>
      <c r="Y354" t="s">
        <v>491</v>
      </c>
      <c r="Z354" t="s">
        <v>1795</v>
      </c>
      <c r="AA354" t="s">
        <v>1692</v>
      </c>
      <c r="AB354" t="s">
        <v>482</v>
      </c>
      <c r="AC354" t="s">
        <v>119</v>
      </c>
      <c r="AD354" t="s">
        <v>1795</v>
      </c>
      <c r="AF354" t="s">
        <v>120</v>
      </c>
      <c r="AG354" t="s">
        <v>111</v>
      </c>
      <c r="AI354" t="s">
        <v>111</v>
      </c>
      <c r="AJ354" t="s">
        <v>1692</v>
      </c>
      <c r="AK354" t="s">
        <v>1795</v>
      </c>
    </row>
    <row r="355" spans="1:37" ht="16.5" customHeight="1">
      <c r="A355" s="95" t="s">
        <v>2119</v>
      </c>
      <c r="B355" t="s">
        <v>1899</v>
      </c>
      <c r="C355" t="s">
        <v>589</v>
      </c>
      <c r="D355" t="s">
        <v>110</v>
      </c>
      <c r="E355" t="s">
        <v>1697</v>
      </c>
      <c r="F355" s="87" t="s">
        <v>2125</v>
      </c>
      <c r="G355" t="s">
        <v>111</v>
      </c>
      <c r="H355" t="s">
        <v>111</v>
      </c>
      <c r="I355" t="s">
        <v>1900</v>
      </c>
      <c r="J355" s="371" t="s">
        <v>2126</v>
      </c>
      <c r="K355" t="s">
        <v>2124</v>
      </c>
      <c r="L355" t="s">
        <v>113</v>
      </c>
      <c r="M355" t="s">
        <v>114</v>
      </c>
      <c r="P355" t="s">
        <v>1901</v>
      </c>
      <c r="Q355" t="s">
        <v>482</v>
      </c>
      <c r="R355" t="s">
        <v>120</v>
      </c>
      <c r="S355" t="s">
        <v>111</v>
      </c>
      <c r="T355" t="s">
        <v>469</v>
      </c>
      <c r="U355" t="s">
        <v>117</v>
      </c>
      <c r="V355" t="s">
        <v>491</v>
      </c>
      <c r="W355" t="s">
        <v>1849</v>
      </c>
      <c r="X355" t="s">
        <v>1836</v>
      </c>
      <c r="Y355" t="s">
        <v>491</v>
      </c>
      <c r="Z355" t="s">
        <v>1795</v>
      </c>
      <c r="AA355" t="s">
        <v>1700</v>
      </c>
      <c r="AB355" t="s">
        <v>482</v>
      </c>
      <c r="AC355" t="s">
        <v>1836</v>
      </c>
      <c r="AD355" t="s">
        <v>1795</v>
      </c>
      <c r="AF355" t="s">
        <v>120</v>
      </c>
      <c r="AG355" t="s">
        <v>111</v>
      </c>
      <c r="AI355" t="s">
        <v>111</v>
      </c>
      <c r="AJ355" t="s">
        <v>1700</v>
      </c>
      <c r="AK355" t="s">
        <v>1795</v>
      </c>
    </row>
    <row r="356" spans="1:37" ht="16.5" customHeight="1">
      <c r="A356" s="95" t="s">
        <v>2119</v>
      </c>
      <c r="B356" t="s">
        <v>1902</v>
      </c>
      <c r="C356" t="s">
        <v>589</v>
      </c>
      <c r="D356" t="s">
        <v>110</v>
      </c>
      <c r="E356" t="s">
        <v>1697</v>
      </c>
      <c r="F356" s="87" t="s">
        <v>2125</v>
      </c>
      <c r="G356" t="s">
        <v>111</v>
      </c>
      <c r="H356" t="s">
        <v>111</v>
      </c>
      <c r="I356" t="s">
        <v>1903</v>
      </c>
      <c r="J356" s="371" t="s">
        <v>2126</v>
      </c>
      <c r="K356" t="s">
        <v>122</v>
      </c>
      <c r="L356" t="s">
        <v>608</v>
      </c>
      <c r="M356" t="s">
        <v>114</v>
      </c>
      <c r="P356" t="s">
        <v>1904</v>
      </c>
      <c r="Q356" t="s">
        <v>482</v>
      </c>
      <c r="R356" t="s">
        <v>120</v>
      </c>
      <c r="S356" t="s">
        <v>111</v>
      </c>
      <c r="T356" t="s">
        <v>469</v>
      </c>
      <c r="U356" t="s">
        <v>1835</v>
      </c>
      <c r="V356" t="s">
        <v>491</v>
      </c>
      <c r="W356" t="s">
        <v>1849</v>
      </c>
      <c r="X356" t="s">
        <v>1836</v>
      </c>
      <c r="Y356" t="s">
        <v>491</v>
      </c>
      <c r="Z356" t="s">
        <v>1795</v>
      </c>
      <c r="AA356" t="s">
        <v>1692</v>
      </c>
      <c r="AB356" t="s">
        <v>482</v>
      </c>
      <c r="AC356" t="s">
        <v>119</v>
      </c>
      <c r="AD356" t="s">
        <v>1795</v>
      </c>
      <c r="AF356" t="s">
        <v>120</v>
      </c>
      <c r="AG356" t="s">
        <v>111</v>
      </c>
      <c r="AI356" t="s">
        <v>111</v>
      </c>
      <c r="AJ356" t="s">
        <v>1692</v>
      </c>
      <c r="AK356" t="s">
        <v>1795</v>
      </c>
    </row>
    <row r="357" spans="1:37" ht="16.5" customHeight="1">
      <c r="A357" s="95" t="s">
        <v>2119</v>
      </c>
      <c r="B357" t="s">
        <v>1905</v>
      </c>
      <c r="C357" t="s">
        <v>589</v>
      </c>
      <c r="D357" t="s">
        <v>110</v>
      </c>
      <c r="E357" t="s">
        <v>1697</v>
      </c>
      <c r="F357" s="87" t="s">
        <v>2125</v>
      </c>
      <c r="G357" t="s">
        <v>111</v>
      </c>
      <c r="H357" t="s">
        <v>111</v>
      </c>
      <c r="I357" t="s">
        <v>1906</v>
      </c>
      <c r="J357" s="371" t="s">
        <v>2126</v>
      </c>
      <c r="K357" t="s">
        <v>122</v>
      </c>
      <c r="L357" t="s">
        <v>608</v>
      </c>
      <c r="M357" t="s">
        <v>114</v>
      </c>
      <c r="P357" t="s">
        <v>1907</v>
      </c>
      <c r="Q357" t="s">
        <v>468</v>
      </c>
      <c r="R357" t="s">
        <v>120</v>
      </c>
      <c r="S357" t="s">
        <v>111</v>
      </c>
      <c r="T357" t="s">
        <v>469</v>
      </c>
      <c r="U357" t="s">
        <v>117</v>
      </c>
      <c r="V357" t="s">
        <v>491</v>
      </c>
      <c r="W357" t="s">
        <v>1849</v>
      </c>
      <c r="X357" t="s">
        <v>1836</v>
      </c>
      <c r="Y357" t="s">
        <v>472</v>
      </c>
      <c r="Z357" t="s">
        <v>1680</v>
      </c>
      <c r="AA357" t="s">
        <v>1700</v>
      </c>
      <c r="AB357" t="s">
        <v>482</v>
      </c>
      <c r="AC357" t="s">
        <v>1836</v>
      </c>
      <c r="AD357" t="s">
        <v>1795</v>
      </c>
      <c r="AE357" t="s">
        <v>491</v>
      </c>
      <c r="AF357" t="s">
        <v>1680</v>
      </c>
      <c r="AG357" t="s">
        <v>111</v>
      </c>
      <c r="AI357" t="s">
        <v>111</v>
      </c>
      <c r="AJ357" t="s">
        <v>491</v>
      </c>
      <c r="AK357" t="s">
        <v>1680</v>
      </c>
    </row>
    <row r="358" spans="1:37" ht="16.5" customHeight="1">
      <c r="A358" s="95" t="s">
        <v>2119</v>
      </c>
      <c r="B358" t="s">
        <v>1908</v>
      </c>
      <c r="C358" t="s">
        <v>589</v>
      </c>
      <c r="D358" t="s">
        <v>110</v>
      </c>
      <c r="E358" t="s">
        <v>860</v>
      </c>
      <c r="F358" s="87" t="s">
        <v>2125</v>
      </c>
      <c r="G358" t="s">
        <v>111</v>
      </c>
      <c r="H358" t="s">
        <v>111</v>
      </c>
      <c r="I358" t="s">
        <v>1909</v>
      </c>
      <c r="J358" s="371" t="s">
        <v>2126</v>
      </c>
      <c r="K358" t="s">
        <v>122</v>
      </c>
      <c r="L358" t="s">
        <v>608</v>
      </c>
      <c r="M358" t="s">
        <v>1738</v>
      </c>
      <c r="N358" t="s">
        <v>1495</v>
      </c>
      <c r="P358" t="s">
        <v>1910</v>
      </c>
      <c r="Q358" t="s">
        <v>468</v>
      </c>
      <c r="R358" t="s">
        <v>120</v>
      </c>
      <c r="S358" t="s">
        <v>111</v>
      </c>
      <c r="T358" t="s">
        <v>469</v>
      </c>
      <c r="U358" t="s">
        <v>117</v>
      </c>
      <c r="V358" t="s">
        <v>1348</v>
      </c>
      <c r="W358" t="s">
        <v>1911</v>
      </c>
      <c r="X358" t="s">
        <v>119</v>
      </c>
      <c r="Y358" t="s">
        <v>472</v>
      </c>
      <c r="Z358" t="s">
        <v>1795</v>
      </c>
      <c r="AA358" t="s">
        <v>1688</v>
      </c>
      <c r="AB358" t="s">
        <v>482</v>
      </c>
      <c r="AC358" t="s">
        <v>119</v>
      </c>
      <c r="AD358" t="s">
        <v>1911</v>
      </c>
      <c r="AE358" t="s">
        <v>1348</v>
      </c>
      <c r="AF358" t="s">
        <v>1795</v>
      </c>
      <c r="AG358" t="s">
        <v>111</v>
      </c>
      <c r="AI358" t="s">
        <v>111</v>
      </c>
      <c r="AJ358" t="s">
        <v>1348</v>
      </c>
      <c r="AK358" t="s">
        <v>1795</v>
      </c>
    </row>
    <row r="359" spans="1:37" ht="16.5" customHeight="1">
      <c r="A359" s="95" t="s">
        <v>2119</v>
      </c>
      <c r="B359" t="s">
        <v>1912</v>
      </c>
      <c r="C359" t="s">
        <v>589</v>
      </c>
      <c r="D359" t="s">
        <v>110</v>
      </c>
      <c r="E359" t="s">
        <v>111</v>
      </c>
      <c r="F359" s="87" t="s">
        <v>2125</v>
      </c>
      <c r="G359" t="s">
        <v>111</v>
      </c>
      <c r="H359" t="s">
        <v>111</v>
      </c>
      <c r="I359" t="s">
        <v>1913</v>
      </c>
      <c r="J359" s="371" t="s">
        <v>2126</v>
      </c>
      <c r="K359" t="s">
        <v>122</v>
      </c>
      <c r="L359" t="s">
        <v>608</v>
      </c>
      <c r="M359" t="s">
        <v>1738</v>
      </c>
      <c r="N359" t="s">
        <v>1495</v>
      </c>
      <c r="P359" t="s">
        <v>1914</v>
      </c>
      <c r="Q359" t="s">
        <v>468</v>
      </c>
      <c r="R359" t="s">
        <v>120</v>
      </c>
      <c r="S359" t="s">
        <v>111</v>
      </c>
      <c r="T359" t="s">
        <v>469</v>
      </c>
      <c r="U359" t="s">
        <v>117</v>
      </c>
      <c r="V359" t="s">
        <v>1348</v>
      </c>
      <c r="W359" t="s">
        <v>1911</v>
      </c>
      <c r="X359" t="s">
        <v>119</v>
      </c>
      <c r="Y359" t="s">
        <v>472</v>
      </c>
      <c r="Z359" t="s">
        <v>1795</v>
      </c>
      <c r="AA359" t="s">
        <v>1688</v>
      </c>
      <c r="AB359" t="s">
        <v>482</v>
      </c>
      <c r="AC359" t="s">
        <v>119</v>
      </c>
      <c r="AD359" t="s">
        <v>1911</v>
      </c>
      <c r="AE359" t="s">
        <v>1348</v>
      </c>
      <c r="AF359" t="s">
        <v>1795</v>
      </c>
      <c r="AG359" t="s">
        <v>111</v>
      </c>
      <c r="AI359" t="s">
        <v>111</v>
      </c>
      <c r="AJ359" t="s">
        <v>1348</v>
      </c>
      <c r="AK359" t="s">
        <v>1795</v>
      </c>
    </row>
    <row r="360" spans="1:37" ht="16.5" customHeight="1">
      <c r="A360" s="95" t="s">
        <v>2119</v>
      </c>
      <c r="B360" t="s">
        <v>1915</v>
      </c>
      <c r="C360" t="s">
        <v>589</v>
      </c>
      <c r="D360" t="s">
        <v>110</v>
      </c>
      <c r="E360" t="s">
        <v>860</v>
      </c>
      <c r="F360" s="87" t="s">
        <v>2125</v>
      </c>
      <c r="G360" t="s">
        <v>111</v>
      </c>
      <c r="H360" t="s">
        <v>111</v>
      </c>
      <c r="I360" t="s">
        <v>1916</v>
      </c>
      <c r="J360" s="371" t="s">
        <v>2126</v>
      </c>
      <c r="K360" t="s">
        <v>122</v>
      </c>
      <c r="L360" t="s">
        <v>608</v>
      </c>
      <c r="M360" t="s">
        <v>1738</v>
      </c>
      <c r="N360" t="s">
        <v>1495</v>
      </c>
      <c r="P360" t="s">
        <v>1917</v>
      </c>
      <c r="Q360" t="s">
        <v>468</v>
      </c>
      <c r="R360" t="s">
        <v>120</v>
      </c>
      <c r="S360" t="s">
        <v>111</v>
      </c>
      <c r="T360" t="s">
        <v>469</v>
      </c>
      <c r="U360" t="s">
        <v>117</v>
      </c>
      <c r="V360" t="s">
        <v>1348</v>
      </c>
      <c r="W360" t="s">
        <v>1911</v>
      </c>
      <c r="X360" t="s">
        <v>119</v>
      </c>
      <c r="Y360" t="s">
        <v>472</v>
      </c>
      <c r="Z360" t="s">
        <v>1795</v>
      </c>
      <c r="AA360" t="s">
        <v>1688</v>
      </c>
      <c r="AB360" t="s">
        <v>482</v>
      </c>
      <c r="AC360" t="s">
        <v>119</v>
      </c>
      <c r="AD360" t="s">
        <v>1911</v>
      </c>
      <c r="AE360" t="s">
        <v>1348</v>
      </c>
      <c r="AF360" t="s">
        <v>1795</v>
      </c>
      <c r="AG360" t="s">
        <v>111</v>
      </c>
      <c r="AI360" t="s">
        <v>111</v>
      </c>
      <c r="AJ360" t="s">
        <v>1348</v>
      </c>
      <c r="AK360" t="s">
        <v>1795</v>
      </c>
    </row>
    <row r="361" spans="1:37" ht="16.5" customHeight="1">
      <c r="A361" s="95" t="s">
        <v>2119</v>
      </c>
      <c r="B361" t="s">
        <v>1918</v>
      </c>
      <c r="C361" t="s">
        <v>589</v>
      </c>
      <c r="D361" t="s">
        <v>110</v>
      </c>
      <c r="E361" t="s">
        <v>860</v>
      </c>
      <c r="F361" s="87" t="s">
        <v>2125</v>
      </c>
      <c r="G361" t="s">
        <v>111</v>
      </c>
      <c r="H361" t="s">
        <v>111</v>
      </c>
      <c r="I361" t="s">
        <v>1919</v>
      </c>
      <c r="J361" s="371" t="s">
        <v>2126</v>
      </c>
      <c r="K361" t="s">
        <v>122</v>
      </c>
      <c r="L361" t="s">
        <v>608</v>
      </c>
      <c r="M361" t="s">
        <v>1163</v>
      </c>
      <c r="N361" t="s">
        <v>1495</v>
      </c>
      <c r="P361" t="s">
        <v>1920</v>
      </c>
      <c r="Q361" t="s">
        <v>468</v>
      </c>
      <c r="R361" t="s">
        <v>120</v>
      </c>
      <c r="S361" t="s">
        <v>111</v>
      </c>
      <c r="T361" t="s">
        <v>469</v>
      </c>
      <c r="U361" t="s">
        <v>117</v>
      </c>
      <c r="V361" t="s">
        <v>1348</v>
      </c>
      <c r="W361" t="s">
        <v>1911</v>
      </c>
      <c r="X361" t="s">
        <v>119</v>
      </c>
      <c r="Y361" t="s">
        <v>472</v>
      </c>
      <c r="Z361" t="s">
        <v>1849</v>
      </c>
      <c r="AA361" t="s">
        <v>1688</v>
      </c>
      <c r="AB361" t="s">
        <v>482</v>
      </c>
      <c r="AC361" t="s">
        <v>119</v>
      </c>
      <c r="AD361" t="s">
        <v>1911</v>
      </c>
      <c r="AE361" t="s">
        <v>1348</v>
      </c>
      <c r="AF361" t="s">
        <v>1849</v>
      </c>
      <c r="AG361" t="s">
        <v>111</v>
      </c>
      <c r="AI361" t="s">
        <v>111</v>
      </c>
      <c r="AJ361" t="s">
        <v>1348</v>
      </c>
      <c r="AK361" t="s">
        <v>1849</v>
      </c>
    </row>
    <row r="362" spans="1:37" ht="16.5" customHeight="1">
      <c r="A362" s="95" t="s">
        <v>2119</v>
      </c>
      <c r="B362" t="s">
        <v>1921</v>
      </c>
      <c r="C362" t="s">
        <v>589</v>
      </c>
      <c r="D362" t="s">
        <v>110</v>
      </c>
      <c r="E362" t="s">
        <v>860</v>
      </c>
      <c r="F362" s="87" t="s">
        <v>2125</v>
      </c>
      <c r="G362" t="s">
        <v>111</v>
      </c>
      <c r="H362" t="s">
        <v>111</v>
      </c>
      <c r="I362" t="s">
        <v>1922</v>
      </c>
      <c r="J362" s="371" t="s">
        <v>2126</v>
      </c>
      <c r="K362" t="s">
        <v>122</v>
      </c>
      <c r="L362" t="s">
        <v>608</v>
      </c>
      <c r="M362" t="s">
        <v>1738</v>
      </c>
      <c r="N362" t="s">
        <v>1495</v>
      </c>
      <c r="P362" t="s">
        <v>1923</v>
      </c>
      <c r="Q362" t="s">
        <v>468</v>
      </c>
      <c r="R362" t="s">
        <v>120</v>
      </c>
      <c r="S362" t="s">
        <v>111</v>
      </c>
      <c r="T362" t="s">
        <v>469</v>
      </c>
      <c r="U362" t="s">
        <v>117</v>
      </c>
      <c r="V362" t="s">
        <v>1348</v>
      </c>
      <c r="W362" t="s">
        <v>1911</v>
      </c>
      <c r="X362" t="s">
        <v>119</v>
      </c>
      <c r="Y362" t="s">
        <v>472</v>
      </c>
      <c r="Z362" t="s">
        <v>1795</v>
      </c>
      <c r="AA362" t="s">
        <v>1688</v>
      </c>
      <c r="AB362" t="s">
        <v>482</v>
      </c>
      <c r="AC362" t="s">
        <v>119</v>
      </c>
      <c r="AD362" t="s">
        <v>1911</v>
      </c>
      <c r="AE362" t="s">
        <v>1348</v>
      </c>
      <c r="AF362" t="s">
        <v>1795</v>
      </c>
      <c r="AG362" t="s">
        <v>111</v>
      </c>
      <c r="AI362" t="s">
        <v>111</v>
      </c>
      <c r="AJ362" t="s">
        <v>1348</v>
      </c>
      <c r="AK362" t="s">
        <v>1795</v>
      </c>
    </row>
    <row r="363" spans="1:37" ht="16.5" customHeight="1">
      <c r="A363" s="95" t="s">
        <v>2119</v>
      </c>
      <c r="B363" t="s">
        <v>1924</v>
      </c>
      <c r="C363" t="s">
        <v>589</v>
      </c>
      <c r="D363" t="s">
        <v>110</v>
      </c>
      <c r="E363" t="s">
        <v>860</v>
      </c>
      <c r="F363" s="87" t="s">
        <v>2125</v>
      </c>
      <c r="G363" t="s">
        <v>111</v>
      </c>
      <c r="H363" t="s">
        <v>111</v>
      </c>
      <c r="I363" t="s">
        <v>1925</v>
      </c>
      <c r="J363" s="371" t="s">
        <v>2126</v>
      </c>
      <c r="K363" t="s">
        <v>122</v>
      </c>
      <c r="L363" t="s">
        <v>608</v>
      </c>
      <c r="M363" t="s">
        <v>1738</v>
      </c>
      <c r="N363" t="s">
        <v>1495</v>
      </c>
      <c r="P363" t="s">
        <v>1926</v>
      </c>
      <c r="Q363" t="s">
        <v>468</v>
      </c>
      <c r="R363" t="s">
        <v>120</v>
      </c>
      <c r="S363" t="s">
        <v>111</v>
      </c>
      <c r="T363" t="s">
        <v>469</v>
      </c>
      <c r="U363" t="s">
        <v>117</v>
      </c>
      <c r="V363" t="s">
        <v>1348</v>
      </c>
      <c r="W363" t="s">
        <v>1927</v>
      </c>
      <c r="X363" t="s">
        <v>119</v>
      </c>
      <c r="Y363" t="s">
        <v>472</v>
      </c>
      <c r="Z363" t="s">
        <v>1795</v>
      </c>
      <c r="AA363" t="s">
        <v>1688</v>
      </c>
      <c r="AB363" t="s">
        <v>482</v>
      </c>
      <c r="AC363" t="s">
        <v>119</v>
      </c>
      <c r="AD363" t="s">
        <v>1911</v>
      </c>
      <c r="AE363" t="s">
        <v>1348</v>
      </c>
      <c r="AF363" t="s">
        <v>1795</v>
      </c>
      <c r="AG363" t="s">
        <v>111</v>
      </c>
      <c r="AI363" t="s">
        <v>111</v>
      </c>
      <c r="AJ363" t="s">
        <v>1348</v>
      </c>
      <c r="AK363" t="s">
        <v>1795</v>
      </c>
    </row>
    <row r="364" spans="1:37" ht="16.5" customHeight="1">
      <c r="A364" s="95" t="s">
        <v>2119</v>
      </c>
      <c r="B364" t="s">
        <v>1928</v>
      </c>
      <c r="C364" t="s">
        <v>589</v>
      </c>
      <c r="D364" t="s">
        <v>110</v>
      </c>
      <c r="E364" t="s">
        <v>860</v>
      </c>
      <c r="F364" s="87" t="s">
        <v>2125</v>
      </c>
      <c r="G364" t="s">
        <v>111</v>
      </c>
      <c r="H364" t="s">
        <v>111</v>
      </c>
      <c r="I364" t="s">
        <v>1929</v>
      </c>
      <c r="J364" s="371" t="s">
        <v>2126</v>
      </c>
      <c r="K364" t="s">
        <v>122</v>
      </c>
      <c r="L364" t="s">
        <v>608</v>
      </c>
      <c r="M364" t="s">
        <v>1738</v>
      </c>
      <c r="N364" t="s">
        <v>1495</v>
      </c>
      <c r="P364" t="s">
        <v>1930</v>
      </c>
      <c r="Q364" t="s">
        <v>468</v>
      </c>
      <c r="R364" t="s">
        <v>120</v>
      </c>
      <c r="S364" t="s">
        <v>111</v>
      </c>
      <c r="T364" t="s">
        <v>469</v>
      </c>
      <c r="U364" t="s">
        <v>117</v>
      </c>
      <c r="V364" t="s">
        <v>1348</v>
      </c>
      <c r="W364" t="s">
        <v>1927</v>
      </c>
      <c r="X364" t="s">
        <v>119</v>
      </c>
      <c r="Y364" t="s">
        <v>472</v>
      </c>
      <c r="Z364" t="s">
        <v>1795</v>
      </c>
      <c r="AA364" t="s">
        <v>1688</v>
      </c>
      <c r="AB364" t="s">
        <v>482</v>
      </c>
      <c r="AC364" t="s">
        <v>119</v>
      </c>
      <c r="AD364" t="s">
        <v>1911</v>
      </c>
      <c r="AE364" t="s">
        <v>1348</v>
      </c>
      <c r="AF364" t="s">
        <v>1795</v>
      </c>
      <c r="AG364" t="s">
        <v>111</v>
      </c>
      <c r="AI364" t="s">
        <v>111</v>
      </c>
      <c r="AJ364" t="s">
        <v>1348</v>
      </c>
      <c r="AK364" t="s">
        <v>1795</v>
      </c>
    </row>
    <row r="365" spans="1:37" ht="16.5" customHeight="1">
      <c r="A365" s="95" t="s">
        <v>2119</v>
      </c>
      <c r="B365" t="s">
        <v>1931</v>
      </c>
      <c r="C365" t="s">
        <v>589</v>
      </c>
      <c r="D365" t="s">
        <v>110</v>
      </c>
      <c r="E365" t="s">
        <v>860</v>
      </c>
      <c r="F365" s="87" t="s">
        <v>2125</v>
      </c>
      <c r="G365" t="s">
        <v>111</v>
      </c>
      <c r="H365" t="s">
        <v>111</v>
      </c>
      <c r="I365" t="s">
        <v>1932</v>
      </c>
      <c r="J365" s="371" t="s">
        <v>2126</v>
      </c>
      <c r="K365" t="s">
        <v>122</v>
      </c>
      <c r="L365" t="s">
        <v>608</v>
      </c>
      <c r="M365" t="s">
        <v>1738</v>
      </c>
      <c r="N365" t="s">
        <v>1495</v>
      </c>
      <c r="P365" t="s">
        <v>1933</v>
      </c>
      <c r="Q365" t="s">
        <v>468</v>
      </c>
      <c r="R365" t="s">
        <v>120</v>
      </c>
      <c r="S365" t="s">
        <v>111</v>
      </c>
      <c r="T365" t="s">
        <v>469</v>
      </c>
      <c r="U365" t="s">
        <v>117</v>
      </c>
      <c r="V365" t="s">
        <v>1348</v>
      </c>
      <c r="W365" t="s">
        <v>1927</v>
      </c>
      <c r="X365" t="s">
        <v>119</v>
      </c>
      <c r="Y365" t="s">
        <v>472</v>
      </c>
      <c r="Z365" t="s">
        <v>1795</v>
      </c>
      <c r="AA365" t="s">
        <v>1688</v>
      </c>
      <c r="AB365" t="s">
        <v>482</v>
      </c>
      <c r="AC365" t="s">
        <v>119</v>
      </c>
      <c r="AD365" t="s">
        <v>1911</v>
      </c>
      <c r="AE365" t="s">
        <v>1348</v>
      </c>
      <c r="AF365" t="s">
        <v>1795</v>
      </c>
      <c r="AG365" t="s">
        <v>111</v>
      </c>
      <c r="AI365" t="s">
        <v>111</v>
      </c>
      <c r="AJ365" t="s">
        <v>1348</v>
      </c>
      <c r="AK365" t="s">
        <v>1795</v>
      </c>
    </row>
    <row r="366" spans="1:37" ht="16.5" customHeight="1">
      <c r="A366" s="95" t="s">
        <v>2119</v>
      </c>
      <c r="B366" t="s">
        <v>1934</v>
      </c>
      <c r="C366" t="s">
        <v>589</v>
      </c>
      <c r="D366" t="s">
        <v>110</v>
      </c>
      <c r="E366" t="s">
        <v>860</v>
      </c>
      <c r="F366" s="87" t="s">
        <v>2125</v>
      </c>
      <c r="G366" t="s">
        <v>111</v>
      </c>
      <c r="H366" t="s">
        <v>111</v>
      </c>
      <c r="I366" t="s">
        <v>1935</v>
      </c>
      <c r="J366" s="371" t="s">
        <v>2126</v>
      </c>
      <c r="K366" t="s">
        <v>122</v>
      </c>
      <c r="L366" t="s">
        <v>608</v>
      </c>
      <c r="M366" t="s">
        <v>1738</v>
      </c>
      <c r="N366" t="s">
        <v>1495</v>
      </c>
      <c r="P366" t="s">
        <v>1936</v>
      </c>
      <c r="Q366" t="s">
        <v>468</v>
      </c>
      <c r="R366" t="s">
        <v>120</v>
      </c>
      <c r="S366" t="s">
        <v>111</v>
      </c>
      <c r="T366" t="s">
        <v>469</v>
      </c>
      <c r="U366" t="s">
        <v>117</v>
      </c>
      <c r="V366" t="s">
        <v>1348</v>
      </c>
      <c r="W366" t="s">
        <v>1927</v>
      </c>
      <c r="X366" t="s">
        <v>119</v>
      </c>
      <c r="Y366" t="s">
        <v>472</v>
      </c>
      <c r="Z366" t="s">
        <v>1795</v>
      </c>
      <c r="AA366" t="s">
        <v>1688</v>
      </c>
      <c r="AB366" t="s">
        <v>482</v>
      </c>
      <c r="AC366" t="s">
        <v>119</v>
      </c>
      <c r="AD366" t="s">
        <v>1927</v>
      </c>
      <c r="AE366" t="s">
        <v>1348</v>
      </c>
      <c r="AF366" t="s">
        <v>1795</v>
      </c>
      <c r="AG366" t="s">
        <v>111</v>
      </c>
      <c r="AI366" t="s">
        <v>111</v>
      </c>
      <c r="AJ366" t="s">
        <v>1348</v>
      </c>
      <c r="AK366" t="s">
        <v>1795</v>
      </c>
    </row>
    <row r="367" spans="1:37" ht="16.5" customHeight="1">
      <c r="A367" s="95" t="s">
        <v>2119</v>
      </c>
      <c r="B367" t="s">
        <v>1937</v>
      </c>
      <c r="C367" t="s">
        <v>589</v>
      </c>
      <c r="D367" t="s">
        <v>110</v>
      </c>
      <c r="E367" t="s">
        <v>860</v>
      </c>
      <c r="F367" s="87" t="s">
        <v>2125</v>
      </c>
      <c r="G367" t="s">
        <v>111</v>
      </c>
      <c r="H367" t="s">
        <v>111</v>
      </c>
      <c r="I367" t="s">
        <v>1938</v>
      </c>
      <c r="J367" s="371" t="s">
        <v>2126</v>
      </c>
      <c r="K367" t="s">
        <v>122</v>
      </c>
      <c r="L367" t="s">
        <v>608</v>
      </c>
      <c r="M367" t="s">
        <v>1738</v>
      </c>
      <c r="N367" t="s">
        <v>1495</v>
      </c>
      <c r="P367" t="s">
        <v>1939</v>
      </c>
      <c r="Q367" t="s">
        <v>468</v>
      </c>
      <c r="R367" t="s">
        <v>120</v>
      </c>
      <c r="S367" t="s">
        <v>111</v>
      </c>
      <c r="T367" t="s">
        <v>469</v>
      </c>
      <c r="U367" t="s">
        <v>117</v>
      </c>
      <c r="V367" t="s">
        <v>1348</v>
      </c>
      <c r="W367" t="s">
        <v>1927</v>
      </c>
      <c r="X367" t="s">
        <v>119</v>
      </c>
      <c r="Y367" t="s">
        <v>472</v>
      </c>
      <c r="Z367" t="s">
        <v>1795</v>
      </c>
      <c r="AA367" t="s">
        <v>689</v>
      </c>
      <c r="AB367" t="s">
        <v>482</v>
      </c>
      <c r="AC367" t="s">
        <v>119</v>
      </c>
      <c r="AD367" t="s">
        <v>1911</v>
      </c>
      <c r="AE367" t="s">
        <v>1348</v>
      </c>
      <c r="AF367" t="s">
        <v>1795</v>
      </c>
      <c r="AG367" t="s">
        <v>111</v>
      </c>
      <c r="AI367" t="s">
        <v>111</v>
      </c>
      <c r="AJ367" t="s">
        <v>1348</v>
      </c>
      <c r="AK367" t="s">
        <v>1795</v>
      </c>
    </row>
    <row r="368" spans="1:37" ht="16.5" customHeight="1">
      <c r="A368" s="95" t="s">
        <v>2119</v>
      </c>
      <c r="B368" t="s">
        <v>1940</v>
      </c>
      <c r="C368" t="s">
        <v>589</v>
      </c>
      <c r="D368" t="s">
        <v>110</v>
      </c>
      <c r="E368" t="s">
        <v>860</v>
      </c>
      <c r="F368" s="87" t="s">
        <v>2125</v>
      </c>
      <c r="G368" t="s">
        <v>111</v>
      </c>
      <c r="H368" t="s">
        <v>111</v>
      </c>
      <c r="I368" t="s">
        <v>1941</v>
      </c>
      <c r="J368" s="371" t="s">
        <v>2126</v>
      </c>
      <c r="K368" t="s">
        <v>122</v>
      </c>
      <c r="L368" t="s">
        <v>608</v>
      </c>
      <c r="M368" t="s">
        <v>1738</v>
      </c>
      <c r="N368" t="s">
        <v>1495</v>
      </c>
      <c r="P368" t="s">
        <v>1942</v>
      </c>
      <c r="Q368" t="s">
        <v>468</v>
      </c>
      <c r="R368" t="s">
        <v>120</v>
      </c>
      <c r="S368" t="s">
        <v>111</v>
      </c>
      <c r="T368" t="s">
        <v>469</v>
      </c>
      <c r="U368" t="s">
        <v>117</v>
      </c>
      <c r="V368" t="s">
        <v>1348</v>
      </c>
      <c r="W368" t="s">
        <v>1927</v>
      </c>
      <c r="X368" t="s">
        <v>119</v>
      </c>
      <c r="Y368" t="s">
        <v>472</v>
      </c>
      <c r="Z368" t="s">
        <v>1795</v>
      </c>
      <c r="AA368" t="s">
        <v>689</v>
      </c>
      <c r="AB368" t="s">
        <v>482</v>
      </c>
      <c r="AC368" t="s">
        <v>119</v>
      </c>
      <c r="AD368" t="s">
        <v>1911</v>
      </c>
      <c r="AE368" t="s">
        <v>1348</v>
      </c>
      <c r="AF368" t="s">
        <v>1795</v>
      </c>
      <c r="AG368" t="s">
        <v>111</v>
      </c>
      <c r="AI368" t="s">
        <v>111</v>
      </c>
      <c r="AJ368" t="s">
        <v>1348</v>
      </c>
      <c r="AK368" t="s">
        <v>1795</v>
      </c>
    </row>
    <row r="369" spans="1:38" ht="16.5" customHeight="1">
      <c r="A369" s="95" t="s">
        <v>2119</v>
      </c>
      <c r="B369" t="s">
        <v>1943</v>
      </c>
      <c r="C369" t="s">
        <v>589</v>
      </c>
      <c r="D369" t="s">
        <v>110</v>
      </c>
      <c r="E369" t="s">
        <v>860</v>
      </c>
      <c r="F369" s="87" t="s">
        <v>2125</v>
      </c>
      <c r="G369" t="s">
        <v>111</v>
      </c>
      <c r="H369" t="s">
        <v>111</v>
      </c>
      <c r="I369" t="s">
        <v>1944</v>
      </c>
      <c r="J369" s="371" t="s">
        <v>2126</v>
      </c>
      <c r="K369" t="s">
        <v>122</v>
      </c>
      <c r="L369" t="s">
        <v>608</v>
      </c>
      <c r="M369" t="s">
        <v>1738</v>
      </c>
      <c r="N369" t="s">
        <v>1495</v>
      </c>
      <c r="P369" t="s">
        <v>1945</v>
      </c>
      <c r="Q369" t="s">
        <v>468</v>
      </c>
      <c r="R369" t="s">
        <v>120</v>
      </c>
      <c r="S369" t="s">
        <v>111</v>
      </c>
      <c r="T369" t="s">
        <v>469</v>
      </c>
      <c r="U369" t="s">
        <v>117</v>
      </c>
      <c r="V369" t="s">
        <v>1348</v>
      </c>
      <c r="W369" t="s">
        <v>1927</v>
      </c>
      <c r="X369" t="s">
        <v>119</v>
      </c>
      <c r="Y369" t="s">
        <v>472</v>
      </c>
      <c r="Z369" t="s">
        <v>1795</v>
      </c>
      <c r="AA369" t="s">
        <v>689</v>
      </c>
      <c r="AB369" t="s">
        <v>482</v>
      </c>
      <c r="AC369" t="s">
        <v>119</v>
      </c>
      <c r="AD369" t="s">
        <v>1911</v>
      </c>
      <c r="AE369" t="s">
        <v>1348</v>
      </c>
      <c r="AF369" t="s">
        <v>1795</v>
      </c>
      <c r="AG369" t="s">
        <v>111</v>
      </c>
      <c r="AI369" t="s">
        <v>111</v>
      </c>
      <c r="AJ369" t="s">
        <v>1348</v>
      </c>
      <c r="AK369" t="s">
        <v>1795</v>
      </c>
    </row>
    <row r="370" spans="1:38" ht="16.5" customHeight="1">
      <c r="A370" s="95" t="s">
        <v>2119</v>
      </c>
      <c r="B370" t="s">
        <v>1946</v>
      </c>
      <c r="C370" t="s">
        <v>589</v>
      </c>
      <c r="D370" t="s">
        <v>110</v>
      </c>
      <c r="E370" t="s">
        <v>860</v>
      </c>
      <c r="F370" s="87" t="s">
        <v>2125</v>
      </c>
      <c r="G370" t="s">
        <v>111</v>
      </c>
      <c r="H370" t="s">
        <v>111</v>
      </c>
      <c r="I370" t="s">
        <v>1947</v>
      </c>
      <c r="J370" s="371" t="s">
        <v>2126</v>
      </c>
      <c r="K370" t="s">
        <v>122</v>
      </c>
      <c r="L370" t="s">
        <v>608</v>
      </c>
      <c r="M370" t="s">
        <v>1738</v>
      </c>
      <c r="N370" t="s">
        <v>1495</v>
      </c>
      <c r="P370" t="s">
        <v>1948</v>
      </c>
      <c r="Q370" t="s">
        <v>468</v>
      </c>
      <c r="R370" t="s">
        <v>120</v>
      </c>
      <c r="S370" t="s">
        <v>111</v>
      </c>
      <c r="T370" t="s">
        <v>469</v>
      </c>
      <c r="U370" t="s">
        <v>117</v>
      </c>
      <c r="V370" t="s">
        <v>1348</v>
      </c>
      <c r="W370" t="s">
        <v>1927</v>
      </c>
      <c r="X370" t="s">
        <v>119</v>
      </c>
      <c r="Y370" t="s">
        <v>472</v>
      </c>
      <c r="Z370" t="s">
        <v>1680</v>
      </c>
      <c r="AA370" t="s">
        <v>689</v>
      </c>
      <c r="AB370" t="s">
        <v>482</v>
      </c>
      <c r="AC370" t="s">
        <v>119</v>
      </c>
      <c r="AD370" t="s">
        <v>1795</v>
      </c>
      <c r="AE370" t="s">
        <v>1348</v>
      </c>
      <c r="AF370" t="s">
        <v>1680</v>
      </c>
      <c r="AG370" t="s">
        <v>111</v>
      </c>
      <c r="AI370" t="s">
        <v>111</v>
      </c>
      <c r="AJ370" t="s">
        <v>1348</v>
      </c>
      <c r="AK370" t="s">
        <v>1680</v>
      </c>
    </row>
    <row r="371" spans="1:38" ht="16.5" customHeight="1">
      <c r="A371" s="95" t="s">
        <v>2119</v>
      </c>
      <c r="B371" t="s">
        <v>1949</v>
      </c>
      <c r="C371" t="s">
        <v>589</v>
      </c>
      <c r="D371" t="s">
        <v>110</v>
      </c>
      <c r="E371" t="s">
        <v>860</v>
      </c>
      <c r="F371" s="87" t="s">
        <v>2125</v>
      </c>
      <c r="G371" t="s">
        <v>111</v>
      </c>
      <c r="H371" t="s">
        <v>111</v>
      </c>
      <c r="I371" t="s">
        <v>1950</v>
      </c>
      <c r="J371" s="371" t="s">
        <v>2126</v>
      </c>
      <c r="K371" t="s">
        <v>122</v>
      </c>
      <c r="L371" t="s">
        <v>608</v>
      </c>
      <c r="M371" t="s">
        <v>754</v>
      </c>
      <c r="N371" t="s">
        <v>1495</v>
      </c>
      <c r="P371" t="s">
        <v>1951</v>
      </c>
      <c r="Q371" t="s">
        <v>468</v>
      </c>
      <c r="R371" t="s">
        <v>120</v>
      </c>
      <c r="S371" t="s">
        <v>111</v>
      </c>
      <c r="T371" t="s">
        <v>469</v>
      </c>
      <c r="U371" t="s">
        <v>117</v>
      </c>
      <c r="V371" t="s">
        <v>1348</v>
      </c>
      <c r="W371" t="s">
        <v>1927</v>
      </c>
      <c r="X371" t="s">
        <v>119</v>
      </c>
      <c r="Y371" t="s">
        <v>472</v>
      </c>
      <c r="Z371" t="s">
        <v>1680</v>
      </c>
      <c r="AA371" t="s">
        <v>689</v>
      </c>
      <c r="AB371" t="s">
        <v>482</v>
      </c>
      <c r="AC371" t="s">
        <v>119</v>
      </c>
      <c r="AD371" t="s">
        <v>1795</v>
      </c>
      <c r="AE371" t="s">
        <v>1348</v>
      </c>
      <c r="AF371" t="s">
        <v>1680</v>
      </c>
      <c r="AG371" t="s">
        <v>111</v>
      </c>
      <c r="AI371" t="s">
        <v>111</v>
      </c>
      <c r="AJ371" t="s">
        <v>1348</v>
      </c>
      <c r="AK371" t="s">
        <v>1680</v>
      </c>
    </row>
    <row r="372" spans="1:38" ht="16.5" customHeight="1">
      <c r="A372" s="95" t="s">
        <v>2119</v>
      </c>
      <c r="B372" t="s">
        <v>1952</v>
      </c>
      <c r="C372" t="s">
        <v>589</v>
      </c>
      <c r="D372" t="s">
        <v>110</v>
      </c>
      <c r="E372" t="s">
        <v>860</v>
      </c>
      <c r="F372" s="87" t="s">
        <v>2125</v>
      </c>
      <c r="G372" t="s">
        <v>111</v>
      </c>
      <c r="H372" t="s">
        <v>111</v>
      </c>
      <c r="I372" t="s">
        <v>1953</v>
      </c>
      <c r="J372" s="371" t="s">
        <v>2126</v>
      </c>
      <c r="K372" t="s">
        <v>122</v>
      </c>
      <c r="L372" t="s">
        <v>608</v>
      </c>
      <c r="M372" t="s">
        <v>1738</v>
      </c>
      <c r="P372" t="s">
        <v>1954</v>
      </c>
      <c r="Q372" t="s">
        <v>482</v>
      </c>
      <c r="R372" t="s">
        <v>120</v>
      </c>
      <c r="S372" t="s">
        <v>111</v>
      </c>
      <c r="T372" t="s">
        <v>469</v>
      </c>
      <c r="U372" t="s">
        <v>117</v>
      </c>
      <c r="V372" t="s">
        <v>1348</v>
      </c>
      <c r="W372" t="s">
        <v>1927</v>
      </c>
      <c r="X372" t="s">
        <v>119</v>
      </c>
      <c r="Y372" t="s">
        <v>1348</v>
      </c>
      <c r="Z372" t="s">
        <v>1795</v>
      </c>
      <c r="AA372" t="s">
        <v>689</v>
      </c>
      <c r="AB372" t="s">
        <v>482</v>
      </c>
      <c r="AC372" t="s">
        <v>119</v>
      </c>
      <c r="AD372" t="s">
        <v>1795</v>
      </c>
      <c r="AF372" t="s">
        <v>120</v>
      </c>
      <c r="AG372" t="s">
        <v>111</v>
      </c>
      <c r="AI372" t="s">
        <v>111</v>
      </c>
      <c r="AJ372" t="s">
        <v>689</v>
      </c>
      <c r="AK372" t="s">
        <v>1795</v>
      </c>
    </row>
    <row r="373" spans="1:38" ht="16.5" customHeight="1">
      <c r="A373" s="95" t="s">
        <v>2119</v>
      </c>
      <c r="B373" t="s">
        <v>1955</v>
      </c>
      <c r="C373" t="s">
        <v>589</v>
      </c>
      <c r="D373" t="s">
        <v>110</v>
      </c>
      <c r="E373" t="s">
        <v>860</v>
      </c>
      <c r="F373" s="87" t="s">
        <v>2125</v>
      </c>
      <c r="G373" t="s">
        <v>111</v>
      </c>
      <c r="H373" t="s">
        <v>111</v>
      </c>
      <c r="I373" t="s">
        <v>1956</v>
      </c>
      <c r="J373" s="371" t="s">
        <v>2126</v>
      </c>
      <c r="K373" t="s">
        <v>122</v>
      </c>
      <c r="L373" t="s">
        <v>608</v>
      </c>
      <c r="M373" t="s">
        <v>1738</v>
      </c>
      <c r="N373" t="s">
        <v>1495</v>
      </c>
      <c r="P373" t="s">
        <v>1957</v>
      </c>
      <c r="Q373" t="s">
        <v>482</v>
      </c>
      <c r="R373" t="s">
        <v>120</v>
      </c>
      <c r="S373" t="s">
        <v>111</v>
      </c>
      <c r="T373" t="s">
        <v>469</v>
      </c>
      <c r="U373" t="s">
        <v>117</v>
      </c>
      <c r="V373" t="s">
        <v>1348</v>
      </c>
      <c r="W373" t="s">
        <v>1958</v>
      </c>
      <c r="X373" t="s">
        <v>119</v>
      </c>
      <c r="Y373" t="s">
        <v>1348</v>
      </c>
      <c r="Z373" t="s">
        <v>1795</v>
      </c>
      <c r="AA373" t="s">
        <v>689</v>
      </c>
      <c r="AB373" t="s">
        <v>482</v>
      </c>
      <c r="AC373" t="s">
        <v>119</v>
      </c>
      <c r="AD373" t="s">
        <v>1795</v>
      </c>
      <c r="AF373" t="s">
        <v>120</v>
      </c>
      <c r="AG373" t="s">
        <v>111</v>
      </c>
      <c r="AI373" t="s">
        <v>111</v>
      </c>
      <c r="AJ373" t="s">
        <v>689</v>
      </c>
      <c r="AK373" t="s">
        <v>1795</v>
      </c>
    </row>
    <row r="374" spans="1:38" ht="16.5" customHeight="1">
      <c r="A374" s="95" t="s">
        <v>2119</v>
      </c>
      <c r="B374" t="s">
        <v>1959</v>
      </c>
      <c r="C374" t="s">
        <v>589</v>
      </c>
      <c r="D374" t="s">
        <v>110</v>
      </c>
      <c r="E374" t="s">
        <v>860</v>
      </c>
      <c r="F374" s="87" t="s">
        <v>2125</v>
      </c>
      <c r="G374" t="s">
        <v>111</v>
      </c>
      <c r="H374" t="s">
        <v>111</v>
      </c>
      <c r="I374" t="s">
        <v>1960</v>
      </c>
      <c r="J374" s="371" t="s">
        <v>2126</v>
      </c>
      <c r="K374" t="s">
        <v>122</v>
      </c>
      <c r="L374" t="s">
        <v>608</v>
      </c>
      <c r="M374" t="s">
        <v>1738</v>
      </c>
      <c r="N374" t="s">
        <v>1495</v>
      </c>
      <c r="P374" t="s">
        <v>1961</v>
      </c>
      <c r="Q374" t="s">
        <v>468</v>
      </c>
      <c r="R374" t="s">
        <v>120</v>
      </c>
      <c r="S374" t="s">
        <v>111</v>
      </c>
      <c r="T374" t="s">
        <v>469</v>
      </c>
      <c r="U374" t="s">
        <v>117</v>
      </c>
      <c r="V374" t="s">
        <v>1348</v>
      </c>
      <c r="W374" t="s">
        <v>1958</v>
      </c>
      <c r="X374" t="s">
        <v>119</v>
      </c>
      <c r="Y374" t="s">
        <v>472</v>
      </c>
      <c r="Z374" t="s">
        <v>1680</v>
      </c>
      <c r="AA374" t="s">
        <v>689</v>
      </c>
      <c r="AB374" t="s">
        <v>482</v>
      </c>
      <c r="AC374" t="s">
        <v>119</v>
      </c>
      <c r="AD374" t="s">
        <v>1795</v>
      </c>
      <c r="AE374" t="s">
        <v>1348</v>
      </c>
      <c r="AF374" t="s">
        <v>1680</v>
      </c>
      <c r="AG374" t="s">
        <v>111</v>
      </c>
      <c r="AI374" t="s">
        <v>111</v>
      </c>
      <c r="AJ374" t="s">
        <v>1348</v>
      </c>
      <c r="AK374" t="s">
        <v>1680</v>
      </c>
    </row>
    <row r="375" spans="1:38" ht="16.5" hidden="1" customHeight="1">
      <c r="A375" s="95" t="s">
        <v>2119</v>
      </c>
      <c r="B375" t="s">
        <v>1962</v>
      </c>
      <c r="C375" t="s">
        <v>589</v>
      </c>
      <c r="D375" t="s">
        <v>110</v>
      </c>
      <c r="E375" t="s">
        <v>860</v>
      </c>
      <c r="F375" s="87" t="s">
        <v>2125</v>
      </c>
      <c r="G375" t="s">
        <v>111</v>
      </c>
      <c r="H375" t="s">
        <v>111</v>
      </c>
      <c r="I375" t="s">
        <v>1963</v>
      </c>
      <c r="J375" s="371" t="s">
        <v>2126</v>
      </c>
      <c r="K375" t="s">
        <v>122</v>
      </c>
      <c r="L375" t="s">
        <v>608</v>
      </c>
      <c r="M375" t="s">
        <v>1738</v>
      </c>
      <c r="N375" t="s">
        <v>1495</v>
      </c>
      <c r="P375" t="s">
        <v>1964</v>
      </c>
      <c r="Q375" t="s">
        <v>482</v>
      </c>
      <c r="R375" t="s">
        <v>120</v>
      </c>
      <c r="S375" t="s">
        <v>111</v>
      </c>
      <c r="T375" t="s">
        <v>469</v>
      </c>
      <c r="U375" t="s">
        <v>117</v>
      </c>
      <c r="V375" t="s">
        <v>1348</v>
      </c>
      <c r="W375" t="s">
        <v>1965</v>
      </c>
      <c r="X375" t="s">
        <v>119</v>
      </c>
      <c r="Y375" t="s">
        <v>1348</v>
      </c>
      <c r="Z375" t="s">
        <v>1958</v>
      </c>
      <c r="AA375" t="s">
        <v>1692</v>
      </c>
      <c r="AB375" t="s">
        <v>620</v>
      </c>
      <c r="AC375" t="s">
        <v>119</v>
      </c>
      <c r="AD375" t="s">
        <v>1958</v>
      </c>
      <c r="AF375" t="s">
        <v>120</v>
      </c>
      <c r="AG375" t="s">
        <v>111</v>
      </c>
      <c r="AI375" t="s">
        <v>111</v>
      </c>
      <c r="AJ375" t="s">
        <v>1692</v>
      </c>
      <c r="AK375" t="s">
        <v>1958</v>
      </c>
      <c r="AL375" t="s">
        <v>1966</v>
      </c>
    </row>
    <row r="376" spans="1:38" ht="16.5" customHeight="1">
      <c r="A376" s="95" t="s">
        <v>2119</v>
      </c>
      <c r="B376" t="s">
        <v>1967</v>
      </c>
      <c r="C376" t="s">
        <v>589</v>
      </c>
      <c r="D376" t="s">
        <v>110</v>
      </c>
      <c r="E376" t="s">
        <v>860</v>
      </c>
      <c r="F376" s="87" t="s">
        <v>2125</v>
      </c>
      <c r="G376" t="s">
        <v>111</v>
      </c>
      <c r="H376" t="s">
        <v>111</v>
      </c>
      <c r="I376" t="s">
        <v>1968</v>
      </c>
      <c r="J376" s="371" t="s">
        <v>2126</v>
      </c>
      <c r="K376" t="s">
        <v>122</v>
      </c>
      <c r="L376" t="s">
        <v>608</v>
      </c>
      <c r="M376" t="s">
        <v>1738</v>
      </c>
      <c r="N376" t="s">
        <v>1495</v>
      </c>
      <c r="P376" t="s">
        <v>1969</v>
      </c>
      <c r="Q376" t="s">
        <v>468</v>
      </c>
      <c r="R376" t="s">
        <v>120</v>
      </c>
      <c r="S376" t="s">
        <v>111</v>
      </c>
      <c r="T376" t="s">
        <v>469</v>
      </c>
      <c r="U376" t="s">
        <v>117</v>
      </c>
      <c r="V376" t="s">
        <v>1348</v>
      </c>
      <c r="W376" t="s">
        <v>1965</v>
      </c>
      <c r="X376" t="s">
        <v>119</v>
      </c>
      <c r="Y376" t="s">
        <v>472</v>
      </c>
      <c r="Z376" t="s">
        <v>1795</v>
      </c>
      <c r="AA376" t="s">
        <v>1692</v>
      </c>
      <c r="AB376" t="s">
        <v>482</v>
      </c>
      <c r="AC376" t="s">
        <v>119</v>
      </c>
      <c r="AD376" t="s">
        <v>1958</v>
      </c>
      <c r="AE376" t="s">
        <v>1348</v>
      </c>
      <c r="AF376" t="s">
        <v>1795</v>
      </c>
      <c r="AG376" t="s">
        <v>111</v>
      </c>
      <c r="AI376" t="s">
        <v>111</v>
      </c>
      <c r="AJ376" t="s">
        <v>1348</v>
      </c>
      <c r="AK376" t="s">
        <v>1795</v>
      </c>
    </row>
    <row r="377" spans="1:38" ht="16.5" customHeight="1">
      <c r="A377" s="95" t="s">
        <v>2119</v>
      </c>
      <c r="B377" t="s">
        <v>1970</v>
      </c>
      <c r="C377" t="s">
        <v>589</v>
      </c>
      <c r="D377" t="s">
        <v>110</v>
      </c>
      <c r="E377" t="s">
        <v>860</v>
      </c>
      <c r="F377" s="87" t="s">
        <v>2125</v>
      </c>
      <c r="G377" t="s">
        <v>111</v>
      </c>
      <c r="H377" t="s">
        <v>111</v>
      </c>
      <c r="I377" t="s">
        <v>1971</v>
      </c>
      <c r="J377" s="371" t="s">
        <v>2126</v>
      </c>
      <c r="K377" t="s">
        <v>122</v>
      </c>
      <c r="L377" t="s">
        <v>608</v>
      </c>
      <c r="M377" t="s">
        <v>1738</v>
      </c>
      <c r="N377" t="s">
        <v>1495</v>
      </c>
      <c r="P377" t="s">
        <v>1972</v>
      </c>
      <c r="Q377" t="s">
        <v>468</v>
      </c>
      <c r="R377" t="s">
        <v>120</v>
      </c>
      <c r="S377" t="s">
        <v>111</v>
      </c>
      <c r="T377" t="s">
        <v>469</v>
      </c>
      <c r="U377" t="s">
        <v>117</v>
      </c>
      <c r="V377" t="s">
        <v>1348</v>
      </c>
      <c r="W377" t="s">
        <v>1973</v>
      </c>
      <c r="X377" t="s">
        <v>119</v>
      </c>
      <c r="Y377" t="s">
        <v>472</v>
      </c>
      <c r="Z377" t="s">
        <v>1795</v>
      </c>
      <c r="AA377" t="s">
        <v>1688</v>
      </c>
      <c r="AB377" t="s">
        <v>482</v>
      </c>
      <c r="AC377" t="s">
        <v>119</v>
      </c>
      <c r="AD377" t="s">
        <v>1927</v>
      </c>
      <c r="AE377" t="s">
        <v>1348</v>
      </c>
      <c r="AF377" t="s">
        <v>1795</v>
      </c>
      <c r="AG377" t="s">
        <v>111</v>
      </c>
      <c r="AI377" t="s">
        <v>111</v>
      </c>
      <c r="AJ377" t="s">
        <v>1348</v>
      </c>
      <c r="AK377" t="s">
        <v>1795</v>
      </c>
    </row>
    <row r="378" spans="1:38" ht="16.5" customHeight="1">
      <c r="A378" s="95" t="s">
        <v>2119</v>
      </c>
      <c r="B378" t="s">
        <v>1974</v>
      </c>
      <c r="C378" t="s">
        <v>589</v>
      </c>
      <c r="D378" t="s">
        <v>110</v>
      </c>
      <c r="E378" t="s">
        <v>860</v>
      </c>
      <c r="F378" s="87" t="s">
        <v>2125</v>
      </c>
      <c r="G378" t="s">
        <v>111</v>
      </c>
      <c r="H378" t="s">
        <v>111</v>
      </c>
      <c r="I378" t="s">
        <v>1975</v>
      </c>
      <c r="J378" s="371" t="s">
        <v>2126</v>
      </c>
      <c r="K378" t="s">
        <v>122</v>
      </c>
      <c r="L378" t="s">
        <v>608</v>
      </c>
      <c r="M378" t="s">
        <v>1738</v>
      </c>
      <c r="N378" t="s">
        <v>1495</v>
      </c>
      <c r="P378" t="s">
        <v>1976</v>
      </c>
      <c r="Q378" t="s">
        <v>468</v>
      </c>
      <c r="R378" t="s">
        <v>120</v>
      </c>
      <c r="S378" t="s">
        <v>111</v>
      </c>
      <c r="T378" t="s">
        <v>469</v>
      </c>
      <c r="U378" t="s">
        <v>117</v>
      </c>
      <c r="V378" t="s">
        <v>1348</v>
      </c>
      <c r="W378" t="s">
        <v>1973</v>
      </c>
      <c r="X378" t="s">
        <v>119</v>
      </c>
      <c r="Y378" t="s">
        <v>472</v>
      </c>
      <c r="Z378" t="s">
        <v>1795</v>
      </c>
      <c r="AA378" t="s">
        <v>1688</v>
      </c>
      <c r="AB378" t="s">
        <v>482</v>
      </c>
      <c r="AC378" t="s">
        <v>119</v>
      </c>
      <c r="AD378" t="s">
        <v>1927</v>
      </c>
      <c r="AE378" t="s">
        <v>1348</v>
      </c>
      <c r="AF378" t="s">
        <v>1795</v>
      </c>
      <c r="AG378" t="s">
        <v>111</v>
      </c>
      <c r="AI378" t="s">
        <v>111</v>
      </c>
      <c r="AJ378" t="s">
        <v>1348</v>
      </c>
      <c r="AK378" t="s">
        <v>1795</v>
      </c>
    </row>
    <row r="379" spans="1:38" ht="16.5" customHeight="1">
      <c r="A379" s="95" t="s">
        <v>2119</v>
      </c>
      <c r="B379" t="s">
        <v>1977</v>
      </c>
      <c r="C379" t="s">
        <v>589</v>
      </c>
      <c r="D379" t="s">
        <v>110</v>
      </c>
      <c r="E379" t="s">
        <v>860</v>
      </c>
      <c r="F379" s="87" t="s">
        <v>2125</v>
      </c>
      <c r="G379" t="s">
        <v>111</v>
      </c>
      <c r="H379" t="s">
        <v>111</v>
      </c>
      <c r="I379" t="s">
        <v>1978</v>
      </c>
      <c r="J379" s="371" t="s">
        <v>2126</v>
      </c>
      <c r="K379" t="s">
        <v>122</v>
      </c>
      <c r="L379" t="s">
        <v>608</v>
      </c>
      <c r="M379" t="s">
        <v>1163</v>
      </c>
      <c r="N379" t="s">
        <v>1495</v>
      </c>
      <c r="P379" t="s">
        <v>1979</v>
      </c>
      <c r="Q379" t="s">
        <v>468</v>
      </c>
      <c r="R379" t="s">
        <v>120</v>
      </c>
      <c r="S379" t="s">
        <v>111</v>
      </c>
      <c r="T379" t="s">
        <v>469</v>
      </c>
      <c r="U379" t="s">
        <v>117</v>
      </c>
      <c r="V379" t="s">
        <v>1348</v>
      </c>
      <c r="W379" t="s">
        <v>1973</v>
      </c>
      <c r="X379" t="s">
        <v>119</v>
      </c>
      <c r="Y379" t="s">
        <v>472</v>
      </c>
      <c r="Z379" t="s">
        <v>1849</v>
      </c>
      <c r="AA379" t="s">
        <v>1688</v>
      </c>
      <c r="AB379" t="s">
        <v>482</v>
      </c>
      <c r="AC379" t="s">
        <v>119</v>
      </c>
      <c r="AD379" t="s">
        <v>1927</v>
      </c>
      <c r="AE379" t="s">
        <v>1348</v>
      </c>
      <c r="AF379" t="s">
        <v>1849</v>
      </c>
      <c r="AG379" t="s">
        <v>111</v>
      </c>
      <c r="AI379" t="s">
        <v>111</v>
      </c>
      <c r="AJ379" t="s">
        <v>1348</v>
      </c>
      <c r="AK379" t="s">
        <v>1849</v>
      </c>
    </row>
    <row r="380" spans="1:38" ht="16.5" customHeight="1">
      <c r="A380" s="95" t="s">
        <v>2119</v>
      </c>
      <c r="B380" t="s">
        <v>1980</v>
      </c>
      <c r="C380" t="s">
        <v>589</v>
      </c>
      <c r="D380" t="s">
        <v>110</v>
      </c>
      <c r="E380" t="s">
        <v>860</v>
      </c>
      <c r="F380" s="87" t="s">
        <v>2125</v>
      </c>
      <c r="G380" t="s">
        <v>111</v>
      </c>
      <c r="H380" t="s">
        <v>111</v>
      </c>
      <c r="I380" t="s">
        <v>1981</v>
      </c>
      <c r="J380" s="371" t="s">
        <v>2126</v>
      </c>
      <c r="K380" t="s">
        <v>122</v>
      </c>
      <c r="L380" t="s">
        <v>608</v>
      </c>
      <c r="M380" t="s">
        <v>1738</v>
      </c>
      <c r="N380" t="s">
        <v>1495</v>
      </c>
      <c r="P380" t="s">
        <v>1982</v>
      </c>
      <c r="Q380" t="s">
        <v>468</v>
      </c>
      <c r="R380" t="s">
        <v>120</v>
      </c>
      <c r="S380" t="s">
        <v>111</v>
      </c>
      <c r="T380" t="s">
        <v>469</v>
      </c>
      <c r="U380" t="s">
        <v>117</v>
      </c>
      <c r="V380" t="s">
        <v>1348</v>
      </c>
      <c r="W380" t="s">
        <v>1973</v>
      </c>
      <c r="X380" t="s">
        <v>119</v>
      </c>
      <c r="Y380" t="s">
        <v>472</v>
      </c>
      <c r="Z380" t="s">
        <v>1795</v>
      </c>
      <c r="AA380" t="s">
        <v>1688</v>
      </c>
      <c r="AB380" t="s">
        <v>482</v>
      </c>
      <c r="AC380" t="s">
        <v>119</v>
      </c>
      <c r="AD380" t="s">
        <v>1927</v>
      </c>
      <c r="AE380" t="s">
        <v>1348</v>
      </c>
      <c r="AF380" t="s">
        <v>1795</v>
      </c>
      <c r="AG380" t="s">
        <v>111</v>
      </c>
      <c r="AI380" t="s">
        <v>111</v>
      </c>
      <c r="AJ380" t="s">
        <v>1348</v>
      </c>
      <c r="AK380" t="s">
        <v>1795</v>
      </c>
    </row>
    <row r="381" spans="1:38" ht="16.5" customHeight="1">
      <c r="A381" s="95" t="s">
        <v>2119</v>
      </c>
      <c r="B381" t="s">
        <v>1983</v>
      </c>
      <c r="C381" t="s">
        <v>589</v>
      </c>
      <c r="D381" t="s">
        <v>110</v>
      </c>
      <c r="E381" t="s">
        <v>860</v>
      </c>
      <c r="F381" s="87" t="s">
        <v>2125</v>
      </c>
      <c r="G381" t="s">
        <v>111</v>
      </c>
      <c r="H381" t="s">
        <v>111</v>
      </c>
      <c r="I381" t="s">
        <v>1984</v>
      </c>
      <c r="J381" s="371" t="s">
        <v>2126</v>
      </c>
      <c r="K381" t="s">
        <v>122</v>
      </c>
      <c r="L381" t="s">
        <v>608</v>
      </c>
      <c r="M381" t="s">
        <v>1738</v>
      </c>
      <c r="N381" t="s">
        <v>1495</v>
      </c>
      <c r="P381" t="s">
        <v>1985</v>
      </c>
      <c r="Q381" t="s">
        <v>468</v>
      </c>
      <c r="R381" t="s">
        <v>120</v>
      </c>
      <c r="S381" t="s">
        <v>111</v>
      </c>
      <c r="T381" t="s">
        <v>469</v>
      </c>
      <c r="U381" t="s">
        <v>117</v>
      </c>
      <c r="V381" t="s">
        <v>1348</v>
      </c>
      <c r="W381" t="s">
        <v>1973</v>
      </c>
      <c r="X381" t="s">
        <v>119</v>
      </c>
      <c r="Y381" t="s">
        <v>472</v>
      </c>
      <c r="Z381" t="s">
        <v>1795</v>
      </c>
      <c r="AA381" t="s">
        <v>1688</v>
      </c>
      <c r="AB381" t="s">
        <v>482</v>
      </c>
      <c r="AC381" t="s">
        <v>119</v>
      </c>
      <c r="AD381" t="s">
        <v>1927</v>
      </c>
      <c r="AE381" t="s">
        <v>1348</v>
      </c>
      <c r="AF381" t="s">
        <v>1795</v>
      </c>
      <c r="AG381" t="s">
        <v>111</v>
      </c>
      <c r="AI381" t="s">
        <v>111</v>
      </c>
      <c r="AJ381" t="s">
        <v>1348</v>
      </c>
      <c r="AK381" t="s">
        <v>1795</v>
      </c>
    </row>
    <row r="382" spans="1:38" ht="16.5" customHeight="1">
      <c r="A382" s="95" t="s">
        <v>2119</v>
      </c>
      <c r="B382" t="s">
        <v>1986</v>
      </c>
      <c r="C382" t="s">
        <v>589</v>
      </c>
      <c r="D382" t="s">
        <v>110</v>
      </c>
      <c r="E382" t="s">
        <v>860</v>
      </c>
      <c r="F382" s="87" t="s">
        <v>2125</v>
      </c>
      <c r="G382" t="s">
        <v>111</v>
      </c>
      <c r="H382" t="s">
        <v>111</v>
      </c>
      <c r="I382" t="s">
        <v>1987</v>
      </c>
      <c r="J382" s="371" t="s">
        <v>2126</v>
      </c>
      <c r="K382" t="s">
        <v>122</v>
      </c>
      <c r="L382" t="s">
        <v>608</v>
      </c>
      <c r="M382" t="s">
        <v>1738</v>
      </c>
      <c r="N382" t="s">
        <v>1495</v>
      </c>
      <c r="P382" t="s">
        <v>1988</v>
      </c>
      <c r="Q382" t="s">
        <v>468</v>
      </c>
      <c r="R382" t="s">
        <v>120</v>
      </c>
      <c r="S382" t="s">
        <v>111</v>
      </c>
      <c r="T382" t="s">
        <v>469</v>
      </c>
      <c r="U382" t="s">
        <v>117</v>
      </c>
      <c r="V382" t="s">
        <v>1348</v>
      </c>
      <c r="W382" t="s">
        <v>1973</v>
      </c>
      <c r="X382" t="s">
        <v>119</v>
      </c>
      <c r="Y382" t="s">
        <v>472</v>
      </c>
      <c r="Z382" t="s">
        <v>1795</v>
      </c>
      <c r="AA382" t="s">
        <v>1688</v>
      </c>
      <c r="AB382" t="s">
        <v>482</v>
      </c>
      <c r="AC382" t="s">
        <v>119</v>
      </c>
      <c r="AD382" t="s">
        <v>1927</v>
      </c>
      <c r="AE382" t="s">
        <v>1348</v>
      </c>
      <c r="AF382" t="s">
        <v>1795</v>
      </c>
      <c r="AG382" t="s">
        <v>111</v>
      </c>
      <c r="AI382" t="s">
        <v>111</v>
      </c>
      <c r="AJ382" t="s">
        <v>1348</v>
      </c>
      <c r="AK382" t="s">
        <v>1795</v>
      </c>
    </row>
    <row r="383" spans="1:38" ht="16.5" customHeight="1">
      <c r="A383" s="95" t="s">
        <v>2119</v>
      </c>
      <c r="B383" t="s">
        <v>1989</v>
      </c>
      <c r="C383" t="s">
        <v>589</v>
      </c>
      <c r="D383" t="s">
        <v>110</v>
      </c>
      <c r="E383" t="s">
        <v>860</v>
      </c>
      <c r="F383" s="87" t="s">
        <v>2125</v>
      </c>
      <c r="G383" t="s">
        <v>111</v>
      </c>
      <c r="H383" t="s">
        <v>111</v>
      </c>
      <c r="I383" t="s">
        <v>1990</v>
      </c>
      <c r="J383" s="371" t="s">
        <v>2126</v>
      </c>
      <c r="K383" t="s">
        <v>122</v>
      </c>
      <c r="L383" t="s">
        <v>608</v>
      </c>
      <c r="M383" t="s">
        <v>114</v>
      </c>
      <c r="P383" t="s">
        <v>1991</v>
      </c>
      <c r="Q383" t="s">
        <v>468</v>
      </c>
      <c r="R383" t="s">
        <v>120</v>
      </c>
      <c r="S383" t="s">
        <v>111</v>
      </c>
      <c r="T383" t="s">
        <v>469</v>
      </c>
      <c r="U383" t="s">
        <v>117</v>
      </c>
      <c r="V383" t="s">
        <v>1348</v>
      </c>
      <c r="W383" t="s">
        <v>1973</v>
      </c>
      <c r="X383" t="s">
        <v>119</v>
      </c>
      <c r="Y383" t="s">
        <v>472</v>
      </c>
      <c r="Z383" t="s">
        <v>1795</v>
      </c>
      <c r="AA383" t="s">
        <v>1688</v>
      </c>
      <c r="AB383" t="s">
        <v>482</v>
      </c>
      <c r="AC383" t="s">
        <v>119</v>
      </c>
      <c r="AD383" t="s">
        <v>1927</v>
      </c>
      <c r="AE383" t="s">
        <v>1348</v>
      </c>
      <c r="AF383" t="s">
        <v>1795</v>
      </c>
      <c r="AG383" t="s">
        <v>111</v>
      </c>
      <c r="AI383" t="s">
        <v>111</v>
      </c>
      <c r="AJ383" t="s">
        <v>1348</v>
      </c>
      <c r="AK383" t="s">
        <v>1795</v>
      </c>
    </row>
    <row r="384" spans="1:38" ht="16.5" customHeight="1">
      <c r="A384" s="95" t="s">
        <v>2119</v>
      </c>
      <c r="B384" t="s">
        <v>1992</v>
      </c>
      <c r="C384" t="s">
        <v>589</v>
      </c>
      <c r="D384" t="s">
        <v>110</v>
      </c>
      <c r="E384" t="s">
        <v>860</v>
      </c>
      <c r="F384" s="87" t="s">
        <v>2125</v>
      </c>
      <c r="G384" t="s">
        <v>111</v>
      </c>
      <c r="H384" t="s">
        <v>111</v>
      </c>
      <c r="I384" t="s">
        <v>1993</v>
      </c>
      <c r="J384" s="371" t="s">
        <v>2126</v>
      </c>
      <c r="K384" t="s">
        <v>122</v>
      </c>
      <c r="L384" t="s">
        <v>608</v>
      </c>
      <c r="M384" t="s">
        <v>1163</v>
      </c>
      <c r="N384" t="s">
        <v>1495</v>
      </c>
      <c r="P384" t="s">
        <v>1994</v>
      </c>
      <c r="Q384" t="s">
        <v>468</v>
      </c>
      <c r="R384" t="s">
        <v>120</v>
      </c>
      <c r="S384" t="s">
        <v>111</v>
      </c>
      <c r="T384" t="s">
        <v>469</v>
      </c>
      <c r="U384" t="s">
        <v>117</v>
      </c>
      <c r="V384" t="s">
        <v>1348</v>
      </c>
      <c r="W384" t="s">
        <v>1973</v>
      </c>
      <c r="X384" t="s">
        <v>119</v>
      </c>
      <c r="Y384" t="s">
        <v>472</v>
      </c>
      <c r="Z384" t="s">
        <v>1849</v>
      </c>
      <c r="AA384" t="s">
        <v>1688</v>
      </c>
      <c r="AB384" t="s">
        <v>482</v>
      </c>
      <c r="AC384" t="s">
        <v>119</v>
      </c>
      <c r="AD384" t="s">
        <v>1927</v>
      </c>
      <c r="AE384" t="s">
        <v>1348</v>
      </c>
      <c r="AF384" t="s">
        <v>1849</v>
      </c>
      <c r="AG384" t="s">
        <v>111</v>
      </c>
      <c r="AI384" t="s">
        <v>111</v>
      </c>
      <c r="AJ384" t="s">
        <v>1348</v>
      </c>
      <c r="AK384" t="s">
        <v>1849</v>
      </c>
    </row>
    <row r="385" spans="1:37" ht="16.5" customHeight="1">
      <c r="A385" s="95" t="s">
        <v>2119</v>
      </c>
      <c r="B385" t="s">
        <v>1995</v>
      </c>
      <c r="C385" t="s">
        <v>589</v>
      </c>
      <c r="D385" t="s">
        <v>110</v>
      </c>
      <c r="E385" t="s">
        <v>860</v>
      </c>
      <c r="F385" s="87" t="s">
        <v>2125</v>
      </c>
      <c r="G385" t="s">
        <v>111</v>
      </c>
      <c r="H385" t="s">
        <v>111</v>
      </c>
      <c r="I385" t="s">
        <v>1996</v>
      </c>
      <c r="J385" s="371" t="s">
        <v>2126</v>
      </c>
      <c r="K385" t="s">
        <v>122</v>
      </c>
      <c r="L385" t="s">
        <v>608</v>
      </c>
      <c r="M385" t="s">
        <v>1163</v>
      </c>
      <c r="N385" t="s">
        <v>1495</v>
      </c>
      <c r="P385" t="s">
        <v>1997</v>
      </c>
      <c r="Q385" t="s">
        <v>468</v>
      </c>
      <c r="R385" t="s">
        <v>120</v>
      </c>
      <c r="S385" t="s">
        <v>111</v>
      </c>
      <c r="T385" t="s">
        <v>469</v>
      </c>
      <c r="U385" t="s">
        <v>117</v>
      </c>
      <c r="V385" t="s">
        <v>1348</v>
      </c>
      <c r="W385" t="s">
        <v>1998</v>
      </c>
      <c r="X385" t="s">
        <v>119</v>
      </c>
      <c r="Y385" t="s">
        <v>472</v>
      </c>
      <c r="Z385" t="s">
        <v>1795</v>
      </c>
      <c r="AA385" t="s">
        <v>1688</v>
      </c>
      <c r="AB385" t="s">
        <v>482</v>
      </c>
      <c r="AC385" t="s">
        <v>119</v>
      </c>
      <c r="AD385" t="s">
        <v>1795</v>
      </c>
      <c r="AE385" t="s">
        <v>1348</v>
      </c>
      <c r="AF385" t="s">
        <v>1795</v>
      </c>
      <c r="AG385" t="s">
        <v>111</v>
      </c>
      <c r="AI385" t="s">
        <v>111</v>
      </c>
      <c r="AJ385" t="s">
        <v>1348</v>
      </c>
      <c r="AK385" t="s">
        <v>1795</v>
      </c>
    </row>
    <row r="386" spans="1:37" ht="16.5" customHeight="1">
      <c r="A386" s="95" t="s">
        <v>2119</v>
      </c>
      <c r="B386" t="s">
        <v>1999</v>
      </c>
      <c r="C386" t="s">
        <v>589</v>
      </c>
      <c r="D386" t="s">
        <v>110</v>
      </c>
      <c r="E386" t="s">
        <v>860</v>
      </c>
      <c r="F386" s="87" t="s">
        <v>2125</v>
      </c>
      <c r="G386" t="s">
        <v>111</v>
      </c>
      <c r="H386" t="s">
        <v>111</v>
      </c>
      <c r="I386" t="s">
        <v>2000</v>
      </c>
      <c r="J386" s="371" t="s">
        <v>2126</v>
      </c>
      <c r="K386" t="s">
        <v>122</v>
      </c>
      <c r="L386" t="s">
        <v>608</v>
      </c>
      <c r="M386" t="s">
        <v>1738</v>
      </c>
      <c r="N386" t="s">
        <v>1495</v>
      </c>
      <c r="P386" t="s">
        <v>2001</v>
      </c>
      <c r="Q386" t="s">
        <v>468</v>
      </c>
      <c r="R386" t="s">
        <v>120</v>
      </c>
      <c r="S386" t="s">
        <v>111</v>
      </c>
      <c r="T386" t="s">
        <v>469</v>
      </c>
      <c r="U386" t="s">
        <v>117</v>
      </c>
      <c r="V386" t="s">
        <v>1348</v>
      </c>
      <c r="W386" t="s">
        <v>1998</v>
      </c>
      <c r="X386" t="s">
        <v>119</v>
      </c>
      <c r="Y386" t="s">
        <v>472</v>
      </c>
      <c r="Z386" t="s">
        <v>1795</v>
      </c>
      <c r="AA386" t="s">
        <v>1692</v>
      </c>
      <c r="AB386" t="s">
        <v>482</v>
      </c>
      <c r="AC386" t="s">
        <v>119</v>
      </c>
      <c r="AD386" t="s">
        <v>1927</v>
      </c>
      <c r="AE386" t="s">
        <v>1348</v>
      </c>
      <c r="AF386" t="s">
        <v>1795</v>
      </c>
      <c r="AG386" t="s">
        <v>111</v>
      </c>
      <c r="AI386" t="s">
        <v>111</v>
      </c>
      <c r="AJ386" t="s">
        <v>1348</v>
      </c>
      <c r="AK386" t="s">
        <v>1795</v>
      </c>
    </row>
    <row r="387" spans="1:37" ht="16.5" customHeight="1">
      <c r="A387" s="95" t="s">
        <v>2119</v>
      </c>
      <c r="B387" t="s">
        <v>2002</v>
      </c>
      <c r="C387" t="s">
        <v>589</v>
      </c>
      <c r="D387" t="s">
        <v>110</v>
      </c>
      <c r="E387" t="s">
        <v>860</v>
      </c>
      <c r="F387" s="87" t="s">
        <v>2125</v>
      </c>
      <c r="G387" t="s">
        <v>111</v>
      </c>
      <c r="H387" t="s">
        <v>111</v>
      </c>
      <c r="I387" t="s">
        <v>2003</v>
      </c>
      <c r="J387" s="371" t="s">
        <v>2126</v>
      </c>
      <c r="K387" t="s">
        <v>122</v>
      </c>
      <c r="L387" t="s">
        <v>608</v>
      </c>
      <c r="M387" t="s">
        <v>114</v>
      </c>
      <c r="N387" t="s">
        <v>1474</v>
      </c>
      <c r="P387" t="s">
        <v>2004</v>
      </c>
      <c r="Q387" t="s">
        <v>468</v>
      </c>
      <c r="R387" t="s">
        <v>120</v>
      </c>
      <c r="S387" t="s">
        <v>111</v>
      </c>
      <c r="T387" t="s">
        <v>469</v>
      </c>
      <c r="U387" t="s">
        <v>117</v>
      </c>
      <c r="V387" t="s">
        <v>1348</v>
      </c>
      <c r="W387" t="s">
        <v>1998</v>
      </c>
      <c r="X387" t="s">
        <v>119</v>
      </c>
      <c r="Y387" t="s">
        <v>472</v>
      </c>
      <c r="Z387" t="s">
        <v>1795</v>
      </c>
      <c r="AA387" t="s">
        <v>1688</v>
      </c>
      <c r="AB387" t="s">
        <v>482</v>
      </c>
      <c r="AC387" t="s">
        <v>119</v>
      </c>
      <c r="AD387" t="s">
        <v>1998</v>
      </c>
      <c r="AE387" t="s">
        <v>1348</v>
      </c>
      <c r="AF387" t="s">
        <v>1795</v>
      </c>
      <c r="AG387" t="s">
        <v>111</v>
      </c>
      <c r="AI387" t="s">
        <v>111</v>
      </c>
      <c r="AJ387" t="s">
        <v>1348</v>
      </c>
      <c r="AK387" t="s">
        <v>1795</v>
      </c>
    </row>
    <row r="388" spans="1:37" ht="16.5" customHeight="1">
      <c r="A388" s="95" t="s">
        <v>2119</v>
      </c>
      <c r="B388" t="s">
        <v>2005</v>
      </c>
      <c r="C388" t="s">
        <v>589</v>
      </c>
      <c r="D388" t="s">
        <v>110</v>
      </c>
      <c r="E388" t="s">
        <v>860</v>
      </c>
      <c r="F388" s="87" t="s">
        <v>2125</v>
      </c>
      <c r="G388" t="s">
        <v>111</v>
      </c>
      <c r="H388" t="s">
        <v>111</v>
      </c>
      <c r="I388" t="s">
        <v>2006</v>
      </c>
      <c r="J388" s="371" t="s">
        <v>2126</v>
      </c>
      <c r="K388" t="s">
        <v>122</v>
      </c>
      <c r="L388" t="s">
        <v>608</v>
      </c>
      <c r="M388" t="s">
        <v>1738</v>
      </c>
      <c r="N388" t="s">
        <v>1495</v>
      </c>
      <c r="P388" t="s">
        <v>2007</v>
      </c>
      <c r="Q388" t="s">
        <v>468</v>
      </c>
      <c r="R388" t="s">
        <v>120</v>
      </c>
      <c r="S388" t="s">
        <v>111</v>
      </c>
      <c r="T388" t="s">
        <v>469</v>
      </c>
      <c r="U388" t="s">
        <v>117</v>
      </c>
      <c r="V388" t="s">
        <v>1348</v>
      </c>
      <c r="W388" t="s">
        <v>1998</v>
      </c>
      <c r="X388" t="s">
        <v>119</v>
      </c>
      <c r="Y388" t="s">
        <v>472</v>
      </c>
      <c r="Z388" t="s">
        <v>1795</v>
      </c>
      <c r="AA388" t="s">
        <v>689</v>
      </c>
      <c r="AB388" t="s">
        <v>482</v>
      </c>
      <c r="AC388" t="s">
        <v>119</v>
      </c>
      <c r="AD388" t="s">
        <v>1998</v>
      </c>
      <c r="AE388" t="s">
        <v>1348</v>
      </c>
      <c r="AF388" t="s">
        <v>1795</v>
      </c>
      <c r="AG388" t="s">
        <v>111</v>
      </c>
      <c r="AI388" t="s">
        <v>111</v>
      </c>
      <c r="AJ388" t="s">
        <v>1348</v>
      </c>
      <c r="AK388" t="s">
        <v>1795</v>
      </c>
    </row>
    <row r="389" spans="1:37" ht="16.5" customHeight="1">
      <c r="A389" s="95" t="s">
        <v>2119</v>
      </c>
      <c r="B389" t="s">
        <v>2008</v>
      </c>
      <c r="C389" t="s">
        <v>589</v>
      </c>
      <c r="D389" t="s">
        <v>110</v>
      </c>
      <c r="E389" t="s">
        <v>860</v>
      </c>
      <c r="F389" s="87" t="s">
        <v>2125</v>
      </c>
      <c r="G389" t="s">
        <v>111</v>
      </c>
      <c r="H389" t="s">
        <v>111</v>
      </c>
      <c r="I389" t="s">
        <v>2009</v>
      </c>
      <c r="J389" s="371" t="s">
        <v>2126</v>
      </c>
      <c r="K389" t="s">
        <v>122</v>
      </c>
      <c r="L389" t="s">
        <v>608</v>
      </c>
      <c r="M389" t="s">
        <v>1163</v>
      </c>
      <c r="N389" t="s">
        <v>1495</v>
      </c>
      <c r="P389" t="s">
        <v>2010</v>
      </c>
      <c r="Q389" t="s">
        <v>468</v>
      </c>
      <c r="R389" t="s">
        <v>120</v>
      </c>
      <c r="S389" t="s">
        <v>111</v>
      </c>
      <c r="T389" t="s">
        <v>469</v>
      </c>
      <c r="U389" t="s">
        <v>117</v>
      </c>
      <c r="V389" t="s">
        <v>1348</v>
      </c>
      <c r="W389" t="s">
        <v>1998</v>
      </c>
      <c r="X389" t="s">
        <v>119</v>
      </c>
      <c r="Y389" t="s">
        <v>472</v>
      </c>
      <c r="Z389" t="s">
        <v>1849</v>
      </c>
      <c r="AA389" t="s">
        <v>689</v>
      </c>
      <c r="AB389" t="s">
        <v>482</v>
      </c>
      <c r="AC389" t="s">
        <v>119</v>
      </c>
      <c r="AD389" t="s">
        <v>1998</v>
      </c>
      <c r="AE389" t="s">
        <v>1348</v>
      </c>
      <c r="AF389" t="s">
        <v>1849</v>
      </c>
      <c r="AG389" t="s">
        <v>111</v>
      </c>
      <c r="AI389" t="s">
        <v>111</v>
      </c>
      <c r="AJ389" t="s">
        <v>1348</v>
      </c>
      <c r="AK389" t="s">
        <v>1849</v>
      </c>
    </row>
    <row r="390" spans="1:37" ht="16.5" customHeight="1">
      <c r="A390" s="95" t="s">
        <v>2119</v>
      </c>
      <c r="B390" t="s">
        <v>2011</v>
      </c>
      <c r="C390" t="s">
        <v>589</v>
      </c>
      <c r="D390" t="s">
        <v>110</v>
      </c>
      <c r="E390" t="s">
        <v>860</v>
      </c>
      <c r="F390" s="87" t="s">
        <v>2125</v>
      </c>
      <c r="G390" t="s">
        <v>111</v>
      </c>
      <c r="H390" t="s">
        <v>111</v>
      </c>
      <c r="I390" t="s">
        <v>2012</v>
      </c>
      <c r="J390" s="371" t="s">
        <v>2126</v>
      </c>
      <c r="K390" t="s">
        <v>122</v>
      </c>
      <c r="L390" t="s">
        <v>608</v>
      </c>
      <c r="M390" t="s">
        <v>1738</v>
      </c>
      <c r="N390" t="s">
        <v>1495</v>
      </c>
      <c r="P390" t="s">
        <v>2013</v>
      </c>
      <c r="Q390" t="s">
        <v>468</v>
      </c>
      <c r="R390" t="s">
        <v>120</v>
      </c>
      <c r="S390" t="s">
        <v>517</v>
      </c>
      <c r="T390" t="s">
        <v>469</v>
      </c>
      <c r="U390" t="s">
        <v>117</v>
      </c>
      <c r="V390" t="s">
        <v>1348</v>
      </c>
      <c r="W390" t="s">
        <v>2014</v>
      </c>
      <c r="X390" t="s">
        <v>119</v>
      </c>
      <c r="Y390" t="s">
        <v>472</v>
      </c>
      <c r="Z390" t="s">
        <v>1680</v>
      </c>
      <c r="AA390" t="s">
        <v>1692</v>
      </c>
      <c r="AB390" t="s">
        <v>482</v>
      </c>
      <c r="AC390" t="s">
        <v>119</v>
      </c>
      <c r="AD390" t="s">
        <v>1795</v>
      </c>
      <c r="AE390" t="s">
        <v>1348</v>
      </c>
      <c r="AF390" t="s">
        <v>1680</v>
      </c>
      <c r="AG390" t="s">
        <v>111</v>
      </c>
      <c r="AI390" t="s">
        <v>111</v>
      </c>
      <c r="AJ390" t="s">
        <v>1348</v>
      </c>
      <c r="AK390" t="s">
        <v>1680</v>
      </c>
    </row>
    <row r="391" spans="1:37" ht="16.5" customHeight="1">
      <c r="A391" s="95" t="s">
        <v>2119</v>
      </c>
      <c r="B391" t="s">
        <v>2015</v>
      </c>
      <c r="C391" t="s">
        <v>589</v>
      </c>
      <c r="D391" t="s">
        <v>110</v>
      </c>
      <c r="E391" t="s">
        <v>860</v>
      </c>
      <c r="F391" s="87" t="s">
        <v>2125</v>
      </c>
      <c r="G391" t="s">
        <v>111</v>
      </c>
      <c r="H391" t="s">
        <v>111</v>
      </c>
      <c r="I391" t="s">
        <v>2016</v>
      </c>
      <c r="J391" s="371" t="s">
        <v>2126</v>
      </c>
      <c r="K391" t="s">
        <v>2123</v>
      </c>
      <c r="L391" t="s">
        <v>608</v>
      </c>
      <c r="M391" t="s">
        <v>2017</v>
      </c>
      <c r="N391" t="s">
        <v>1495</v>
      </c>
      <c r="P391" t="s">
        <v>2018</v>
      </c>
      <c r="Q391" t="s">
        <v>468</v>
      </c>
      <c r="R391" t="s">
        <v>120</v>
      </c>
      <c r="S391" t="s">
        <v>111</v>
      </c>
      <c r="T391" t="s">
        <v>469</v>
      </c>
      <c r="U391" t="s">
        <v>117</v>
      </c>
      <c r="V391" t="s">
        <v>1348</v>
      </c>
      <c r="W391" t="s">
        <v>2014</v>
      </c>
      <c r="X391" t="s">
        <v>119</v>
      </c>
      <c r="Y391" t="s">
        <v>472</v>
      </c>
      <c r="Z391" t="s">
        <v>1998</v>
      </c>
      <c r="AA391" t="s">
        <v>689</v>
      </c>
      <c r="AB391" t="s">
        <v>629</v>
      </c>
      <c r="AC391" t="s">
        <v>119</v>
      </c>
      <c r="AD391" t="s">
        <v>1998</v>
      </c>
      <c r="AE391" t="s">
        <v>1348</v>
      </c>
      <c r="AF391" t="s">
        <v>1998</v>
      </c>
      <c r="AG391" t="s">
        <v>111</v>
      </c>
      <c r="AI391" t="s">
        <v>111</v>
      </c>
      <c r="AJ391" t="s">
        <v>1348</v>
      </c>
      <c r="AK391" t="s">
        <v>1998</v>
      </c>
    </row>
    <row r="392" spans="1:37" ht="16.5" customHeight="1">
      <c r="A392" s="95" t="s">
        <v>2119</v>
      </c>
      <c r="B392" t="s">
        <v>2019</v>
      </c>
      <c r="C392" t="s">
        <v>589</v>
      </c>
      <c r="D392" t="s">
        <v>110</v>
      </c>
      <c r="E392" t="s">
        <v>860</v>
      </c>
      <c r="F392" s="87" t="s">
        <v>2125</v>
      </c>
      <c r="G392" t="s">
        <v>111</v>
      </c>
      <c r="H392" t="s">
        <v>111</v>
      </c>
      <c r="I392" t="s">
        <v>2020</v>
      </c>
      <c r="J392" s="371" t="s">
        <v>2126</v>
      </c>
      <c r="K392" t="s">
        <v>2123</v>
      </c>
      <c r="L392" t="s">
        <v>593</v>
      </c>
      <c r="M392" t="s">
        <v>2017</v>
      </c>
      <c r="N392" t="s">
        <v>1495</v>
      </c>
      <c r="P392" t="s">
        <v>2021</v>
      </c>
      <c r="Q392" t="s">
        <v>468</v>
      </c>
      <c r="R392" t="s">
        <v>120</v>
      </c>
      <c r="S392" t="s">
        <v>111</v>
      </c>
      <c r="T392" t="s">
        <v>469</v>
      </c>
      <c r="U392" t="s">
        <v>117</v>
      </c>
      <c r="V392" t="s">
        <v>1348</v>
      </c>
      <c r="W392" t="s">
        <v>2014</v>
      </c>
      <c r="X392" t="s">
        <v>119</v>
      </c>
      <c r="Y392" t="s">
        <v>472</v>
      </c>
      <c r="Z392" t="s">
        <v>1849</v>
      </c>
      <c r="AA392" t="s">
        <v>689</v>
      </c>
      <c r="AB392" t="s">
        <v>885</v>
      </c>
      <c r="AC392" t="s">
        <v>119</v>
      </c>
      <c r="AD392" t="s">
        <v>1998</v>
      </c>
      <c r="AE392" t="s">
        <v>1348</v>
      </c>
      <c r="AF392" t="s">
        <v>1849</v>
      </c>
      <c r="AG392" t="s">
        <v>111</v>
      </c>
      <c r="AI392" t="s">
        <v>111</v>
      </c>
      <c r="AJ392" t="s">
        <v>1348</v>
      </c>
      <c r="AK392" t="s">
        <v>1849</v>
      </c>
    </row>
    <row r="393" spans="1:37" ht="16.5" customHeight="1">
      <c r="A393" s="95" t="s">
        <v>2119</v>
      </c>
      <c r="B393" t="s">
        <v>2022</v>
      </c>
      <c r="C393" t="s">
        <v>589</v>
      </c>
      <c r="D393" t="s">
        <v>110</v>
      </c>
      <c r="E393" t="s">
        <v>860</v>
      </c>
      <c r="F393" s="87" t="s">
        <v>2125</v>
      </c>
      <c r="G393" t="s">
        <v>111</v>
      </c>
      <c r="H393" t="s">
        <v>111</v>
      </c>
      <c r="I393" t="s">
        <v>2023</v>
      </c>
      <c r="J393" s="371" t="s">
        <v>2126</v>
      </c>
      <c r="K393" t="s">
        <v>122</v>
      </c>
      <c r="L393" t="s">
        <v>608</v>
      </c>
      <c r="M393" t="s">
        <v>1738</v>
      </c>
      <c r="N393" t="s">
        <v>1495</v>
      </c>
      <c r="P393" t="s">
        <v>2024</v>
      </c>
      <c r="Q393" t="s">
        <v>468</v>
      </c>
      <c r="R393" t="s">
        <v>120</v>
      </c>
      <c r="S393" t="s">
        <v>111</v>
      </c>
      <c r="T393" t="s">
        <v>469</v>
      </c>
      <c r="U393" t="s">
        <v>117</v>
      </c>
      <c r="V393" t="s">
        <v>1348</v>
      </c>
      <c r="W393" t="s">
        <v>2014</v>
      </c>
      <c r="X393" t="s">
        <v>119</v>
      </c>
      <c r="Y393" t="s">
        <v>472</v>
      </c>
      <c r="Z393" t="s">
        <v>1795</v>
      </c>
      <c r="AA393" t="s">
        <v>689</v>
      </c>
      <c r="AB393" t="s">
        <v>885</v>
      </c>
      <c r="AC393" t="s">
        <v>119</v>
      </c>
      <c r="AD393" t="s">
        <v>1998</v>
      </c>
      <c r="AE393" t="s">
        <v>1348</v>
      </c>
      <c r="AF393" t="s">
        <v>1795</v>
      </c>
      <c r="AG393" t="s">
        <v>111</v>
      </c>
      <c r="AI393" t="s">
        <v>111</v>
      </c>
      <c r="AJ393" t="s">
        <v>1348</v>
      </c>
      <c r="AK393" t="s">
        <v>1795</v>
      </c>
    </row>
    <row r="394" spans="1:37" ht="16.5" customHeight="1">
      <c r="A394" s="95" t="s">
        <v>2119</v>
      </c>
      <c r="B394" t="s">
        <v>2025</v>
      </c>
      <c r="C394" t="s">
        <v>589</v>
      </c>
      <c r="D394" t="s">
        <v>110</v>
      </c>
      <c r="E394" t="s">
        <v>860</v>
      </c>
      <c r="F394" s="87" t="s">
        <v>2125</v>
      </c>
      <c r="G394" t="s">
        <v>111</v>
      </c>
      <c r="H394" t="s">
        <v>111</v>
      </c>
      <c r="I394" t="s">
        <v>2026</v>
      </c>
      <c r="J394" s="371" t="s">
        <v>2126</v>
      </c>
      <c r="K394" t="s">
        <v>122</v>
      </c>
      <c r="L394" t="s">
        <v>608</v>
      </c>
      <c r="M394" t="s">
        <v>1163</v>
      </c>
      <c r="N394" t="s">
        <v>1495</v>
      </c>
      <c r="P394" t="s">
        <v>2027</v>
      </c>
      <c r="Q394" t="s">
        <v>468</v>
      </c>
      <c r="R394" t="s">
        <v>120</v>
      </c>
      <c r="S394" t="s">
        <v>111</v>
      </c>
      <c r="T394" t="s">
        <v>469</v>
      </c>
      <c r="U394" t="s">
        <v>117</v>
      </c>
      <c r="V394" t="s">
        <v>1348</v>
      </c>
      <c r="W394" t="s">
        <v>2014</v>
      </c>
      <c r="X394" t="s">
        <v>119</v>
      </c>
      <c r="Y394" t="s">
        <v>472</v>
      </c>
      <c r="Z394" t="s">
        <v>1849</v>
      </c>
      <c r="AA394" t="s">
        <v>689</v>
      </c>
      <c r="AB394" t="s">
        <v>482</v>
      </c>
      <c r="AC394" t="s">
        <v>119</v>
      </c>
      <c r="AD394" t="s">
        <v>1998</v>
      </c>
      <c r="AE394" t="s">
        <v>1348</v>
      </c>
      <c r="AF394" t="s">
        <v>1849</v>
      </c>
      <c r="AG394" t="s">
        <v>111</v>
      </c>
      <c r="AI394" t="s">
        <v>111</v>
      </c>
      <c r="AJ394" t="s">
        <v>1348</v>
      </c>
      <c r="AK394" t="s">
        <v>1849</v>
      </c>
    </row>
    <row r="395" spans="1:37" ht="16.5" customHeight="1">
      <c r="A395" s="95" t="s">
        <v>2119</v>
      </c>
      <c r="B395" t="s">
        <v>2028</v>
      </c>
      <c r="C395" t="s">
        <v>589</v>
      </c>
      <c r="D395" t="s">
        <v>110</v>
      </c>
      <c r="E395" t="s">
        <v>860</v>
      </c>
      <c r="F395" s="87" t="s">
        <v>2125</v>
      </c>
      <c r="G395" t="s">
        <v>111</v>
      </c>
      <c r="H395" t="s">
        <v>111</v>
      </c>
      <c r="I395" t="s">
        <v>2029</v>
      </c>
      <c r="J395" s="371" t="s">
        <v>2126</v>
      </c>
      <c r="K395" t="s">
        <v>122</v>
      </c>
      <c r="L395" t="s">
        <v>608</v>
      </c>
      <c r="M395" t="s">
        <v>1163</v>
      </c>
      <c r="N395" t="s">
        <v>1495</v>
      </c>
      <c r="P395" t="s">
        <v>2030</v>
      </c>
      <c r="Q395" t="s">
        <v>468</v>
      </c>
      <c r="R395" t="s">
        <v>120</v>
      </c>
      <c r="S395" t="s">
        <v>517</v>
      </c>
      <c r="T395" t="s">
        <v>469</v>
      </c>
      <c r="U395" t="s">
        <v>117</v>
      </c>
      <c r="V395" t="s">
        <v>1348</v>
      </c>
      <c r="W395" t="s">
        <v>2014</v>
      </c>
      <c r="X395" t="s">
        <v>119</v>
      </c>
      <c r="Y395" t="s">
        <v>472</v>
      </c>
      <c r="Z395" t="s">
        <v>1680</v>
      </c>
      <c r="AA395" t="s">
        <v>1692</v>
      </c>
      <c r="AB395" t="s">
        <v>482</v>
      </c>
      <c r="AC395" t="s">
        <v>119</v>
      </c>
      <c r="AD395" t="s">
        <v>1795</v>
      </c>
      <c r="AE395" t="s">
        <v>1348</v>
      </c>
      <c r="AF395" t="s">
        <v>1680</v>
      </c>
      <c r="AG395" t="s">
        <v>111</v>
      </c>
      <c r="AI395" t="s">
        <v>111</v>
      </c>
      <c r="AJ395" t="s">
        <v>1348</v>
      </c>
      <c r="AK395" t="s">
        <v>1680</v>
      </c>
    </row>
    <row r="396" spans="1:37" ht="16.5" customHeight="1">
      <c r="A396" s="95" t="s">
        <v>2119</v>
      </c>
      <c r="B396" t="s">
        <v>2031</v>
      </c>
      <c r="C396" t="s">
        <v>589</v>
      </c>
      <c r="D396" t="s">
        <v>110</v>
      </c>
      <c r="E396" t="s">
        <v>860</v>
      </c>
      <c r="F396" s="87" t="s">
        <v>2125</v>
      </c>
      <c r="G396" t="s">
        <v>111</v>
      </c>
      <c r="H396" t="s">
        <v>111</v>
      </c>
      <c r="I396" t="s">
        <v>2032</v>
      </c>
      <c r="J396" s="371" t="s">
        <v>2126</v>
      </c>
      <c r="K396" t="s">
        <v>122</v>
      </c>
      <c r="L396" t="s">
        <v>608</v>
      </c>
      <c r="M396" t="s">
        <v>1738</v>
      </c>
      <c r="N396" t="s">
        <v>1495</v>
      </c>
      <c r="P396" t="s">
        <v>2033</v>
      </c>
      <c r="Q396" t="s">
        <v>468</v>
      </c>
      <c r="R396" t="s">
        <v>120</v>
      </c>
      <c r="S396" t="s">
        <v>111</v>
      </c>
      <c r="T396" t="s">
        <v>469</v>
      </c>
      <c r="U396" t="s">
        <v>117</v>
      </c>
      <c r="V396" t="s">
        <v>1348</v>
      </c>
      <c r="W396" t="s">
        <v>2014</v>
      </c>
      <c r="X396" t="s">
        <v>119</v>
      </c>
      <c r="Y396" t="s">
        <v>472</v>
      </c>
      <c r="Z396" t="s">
        <v>1849</v>
      </c>
      <c r="AA396" t="s">
        <v>689</v>
      </c>
      <c r="AB396" t="s">
        <v>885</v>
      </c>
      <c r="AC396" t="s">
        <v>119</v>
      </c>
      <c r="AD396" t="s">
        <v>1998</v>
      </c>
      <c r="AE396" t="s">
        <v>1348</v>
      </c>
      <c r="AF396" t="s">
        <v>1849</v>
      </c>
      <c r="AG396" t="s">
        <v>111</v>
      </c>
      <c r="AI396" t="s">
        <v>111</v>
      </c>
      <c r="AJ396" t="s">
        <v>1348</v>
      </c>
      <c r="AK396" t="s">
        <v>1849</v>
      </c>
    </row>
    <row r="397" spans="1:37" ht="16.5" customHeight="1">
      <c r="A397" s="95" t="s">
        <v>2119</v>
      </c>
      <c r="B397" t="s">
        <v>2034</v>
      </c>
      <c r="C397" t="s">
        <v>589</v>
      </c>
      <c r="D397" t="s">
        <v>110</v>
      </c>
      <c r="E397" t="s">
        <v>860</v>
      </c>
      <c r="F397" s="87" t="s">
        <v>2125</v>
      </c>
      <c r="G397" t="s">
        <v>111</v>
      </c>
      <c r="H397" t="s">
        <v>111</v>
      </c>
      <c r="I397" t="s">
        <v>2035</v>
      </c>
      <c r="J397" s="371" t="s">
        <v>2126</v>
      </c>
      <c r="K397" t="s">
        <v>122</v>
      </c>
      <c r="L397" t="s">
        <v>608</v>
      </c>
      <c r="M397" t="s">
        <v>1738</v>
      </c>
      <c r="N397" t="s">
        <v>1495</v>
      </c>
      <c r="P397" t="s">
        <v>2036</v>
      </c>
      <c r="Q397" t="s">
        <v>468</v>
      </c>
      <c r="R397" t="s">
        <v>120</v>
      </c>
      <c r="S397" t="s">
        <v>111</v>
      </c>
      <c r="T397" t="s">
        <v>469</v>
      </c>
      <c r="U397" t="s">
        <v>2037</v>
      </c>
      <c r="V397" t="s">
        <v>1348</v>
      </c>
      <c r="W397" t="s">
        <v>2014</v>
      </c>
      <c r="X397" t="s">
        <v>119</v>
      </c>
      <c r="Y397" t="s">
        <v>472</v>
      </c>
      <c r="Z397" t="s">
        <v>1849</v>
      </c>
      <c r="AA397" t="s">
        <v>1692</v>
      </c>
      <c r="AB397" t="s">
        <v>482</v>
      </c>
      <c r="AC397" t="s">
        <v>119</v>
      </c>
      <c r="AD397" t="s">
        <v>1927</v>
      </c>
      <c r="AE397" t="s">
        <v>1348</v>
      </c>
      <c r="AF397" t="s">
        <v>1849</v>
      </c>
      <c r="AG397" t="s">
        <v>111</v>
      </c>
      <c r="AI397" t="s">
        <v>111</v>
      </c>
      <c r="AJ397" t="s">
        <v>1348</v>
      </c>
      <c r="AK397" t="s">
        <v>1849</v>
      </c>
    </row>
    <row r="398" spans="1:37" ht="16.5" customHeight="1">
      <c r="A398" s="95" t="s">
        <v>2119</v>
      </c>
      <c r="B398" t="s">
        <v>2038</v>
      </c>
      <c r="C398" t="s">
        <v>589</v>
      </c>
      <c r="D398" t="s">
        <v>110</v>
      </c>
      <c r="E398" t="s">
        <v>860</v>
      </c>
      <c r="F398" s="87" t="s">
        <v>2125</v>
      </c>
      <c r="G398" t="s">
        <v>111</v>
      </c>
      <c r="H398" t="s">
        <v>111</v>
      </c>
      <c r="I398" t="s">
        <v>2039</v>
      </c>
      <c r="J398" s="371" t="s">
        <v>2126</v>
      </c>
      <c r="K398" t="s">
        <v>122</v>
      </c>
      <c r="L398" t="s">
        <v>608</v>
      </c>
      <c r="M398" t="s">
        <v>1738</v>
      </c>
      <c r="N398" t="s">
        <v>1495</v>
      </c>
      <c r="P398" t="s">
        <v>2040</v>
      </c>
      <c r="Q398" t="s">
        <v>468</v>
      </c>
      <c r="R398" t="s">
        <v>120</v>
      </c>
      <c r="S398" t="s">
        <v>111</v>
      </c>
      <c r="T398" t="s">
        <v>469</v>
      </c>
      <c r="U398" t="s">
        <v>117</v>
      </c>
      <c r="V398" t="s">
        <v>1348</v>
      </c>
      <c r="W398" t="s">
        <v>2014</v>
      </c>
      <c r="X398" t="s">
        <v>119</v>
      </c>
      <c r="Y398" t="s">
        <v>472</v>
      </c>
      <c r="Z398" t="s">
        <v>1911</v>
      </c>
      <c r="AA398" t="s">
        <v>689</v>
      </c>
      <c r="AB398" t="s">
        <v>885</v>
      </c>
      <c r="AC398" t="s">
        <v>119</v>
      </c>
      <c r="AD398" t="s">
        <v>1998</v>
      </c>
      <c r="AE398" t="s">
        <v>1348</v>
      </c>
      <c r="AF398" t="s">
        <v>1911</v>
      </c>
      <c r="AG398" t="s">
        <v>111</v>
      </c>
      <c r="AI398" t="s">
        <v>111</v>
      </c>
      <c r="AJ398" t="s">
        <v>1348</v>
      </c>
      <c r="AK398" t="s">
        <v>1911</v>
      </c>
    </row>
    <row r="399" spans="1:37" ht="16.5" customHeight="1">
      <c r="A399" s="95" t="s">
        <v>2119</v>
      </c>
      <c r="B399" t="s">
        <v>2041</v>
      </c>
      <c r="C399" t="s">
        <v>589</v>
      </c>
      <c r="D399" t="s">
        <v>110</v>
      </c>
      <c r="E399" t="s">
        <v>860</v>
      </c>
      <c r="F399" s="87" t="s">
        <v>2125</v>
      </c>
      <c r="G399" t="s">
        <v>111</v>
      </c>
      <c r="H399" t="s">
        <v>111</v>
      </c>
      <c r="I399" t="s">
        <v>2042</v>
      </c>
      <c r="J399" s="371" t="s">
        <v>2126</v>
      </c>
      <c r="K399" t="s">
        <v>122</v>
      </c>
      <c r="L399" t="s">
        <v>608</v>
      </c>
      <c r="M399" t="s">
        <v>114</v>
      </c>
      <c r="N399" t="s">
        <v>1495</v>
      </c>
      <c r="P399" t="s">
        <v>2043</v>
      </c>
      <c r="Q399" t="s">
        <v>468</v>
      </c>
      <c r="R399" t="s">
        <v>120</v>
      </c>
      <c r="S399" t="s">
        <v>111</v>
      </c>
      <c r="T399" t="s">
        <v>469</v>
      </c>
      <c r="U399" t="s">
        <v>117</v>
      </c>
      <c r="V399" t="s">
        <v>1348</v>
      </c>
      <c r="W399" t="s">
        <v>2014</v>
      </c>
      <c r="X399" t="s">
        <v>119</v>
      </c>
      <c r="Y399" t="s">
        <v>472</v>
      </c>
      <c r="Z399" t="s">
        <v>1849</v>
      </c>
      <c r="AA399" t="s">
        <v>1692</v>
      </c>
      <c r="AB399" t="s">
        <v>482</v>
      </c>
      <c r="AC399" t="s">
        <v>119</v>
      </c>
      <c r="AD399" t="s">
        <v>1998</v>
      </c>
      <c r="AE399" t="s">
        <v>1348</v>
      </c>
      <c r="AF399" t="s">
        <v>1849</v>
      </c>
      <c r="AG399" t="s">
        <v>111</v>
      </c>
      <c r="AI399" t="s">
        <v>111</v>
      </c>
      <c r="AJ399" t="s">
        <v>1348</v>
      </c>
      <c r="AK399" t="s">
        <v>1849</v>
      </c>
    </row>
    <row r="400" spans="1:37" ht="16.5" customHeight="1">
      <c r="A400" s="95" t="s">
        <v>2119</v>
      </c>
      <c r="B400" t="s">
        <v>2044</v>
      </c>
      <c r="C400" t="s">
        <v>589</v>
      </c>
      <c r="D400" t="s">
        <v>110</v>
      </c>
      <c r="E400" t="s">
        <v>860</v>
      </c>
      <c r="F400" s="87" t="s">
        <v>2125</v>
      </c>
      <c r="G400" t="s">
        <v>111</v>
      </c>
      <c r="H400" t="s">
        <v>111</v>
      </c>
      <c r="I400" t="s">
        <v>2045</v>
      </c>
      <c r="J400" s="371" t="s">
        <v>2126</v>
      </c>
      <c r="K400" t="s">
        <v>122</v>
      </c>
      <c r="L400" t="s">
        <v>608</v>
      </c>
      <c r="M400" t="s">
        <v>114</v>
      </c>
      <c r="N400" t="s">
        <v>1474</v>
      </c>
      <c r="P400" t="s">
        <v>2046</v>
      </c>
      <c r="Q400" t="s">
        <v>468</v>
      </c>
      <c r="R400" t="s">
        <v>120</v>
      </c>
      <c r="S400" t="s">
        <v>111</v>
      </c>
      <c r="T400" t="s">
        <v>469</v>
      </c>
      <c r="U400" t="s">
        <v>117</v>
      </c>
      <c r="V400" t="s">
        <v>1348</v>
      </c>
      <c r="W400" t="s">
        <v>2014</v>
      </c>
      <c r="X400" t="s">
        <v>119</v>
      </c>
      <c r="Y400" t="s">
        <v>472</v>
      </c>
      <c r="Z400" t="s">
        <v>1849</v>
      </c>
      <c r="AA400" t="s">
        <v>1692</v>
      </c>
      <c r="AB400" t="s">
        <v>482</v>
      </c>
      <c r="AC400" t="s">
        <v>119</v>
      </c>
      <c r="AD400" t="s">
        <v>1998</v>
      </c>
      <c r="AE400" t="s">
        <v>1348</v>
      </c>
      <c r="AF400" t="s">
        <v>1849</v>
      </c>
      <c r="AG400" t="s">
        <v>111</v>
      </c>
      <c r="AI400" t="s">
        <v>111</v>
      </c>
      <c r="AJ400" t="s">
        <v>1348</v>
      </c>
      <c r="AK400" t="s">
        <v>1849</v>
      </c>
    </row>
    <row r="401" spans="1:37" ht="16.5" customHeight="1">
      <c r="A401" s="95" t="s">
        <v>2119</v>
      </c>
      <c r="B401" t="s">
        <v>2047</v>
      </c>
      <c r="C401" t="s">
        <v>589</v>
      </c>
      <c r="D401" t="s">
        <v>110</v>
      </c>
      <c r="E401" t="s">
        <v>2048</v>
      </c>
      <c r="F401" s="87" t="s">
        <v>2125</v>
      </c>
      <c r="G401" t="s">
        <v>111</v>
      </c>
      <c r="H401" t="s">
        <v>111</v>
      </c>
      <c r="I401" t="s">
        <v>2049</v>
      </c>
      <c r="J401" s="371" t="s">
        <v>2126</v>
      </c>
      <c r="K401" t="s">
        <v>122</v>
      </c>
      <c r="L401" t="s">
        <v>608</v>
      </c>
      <c r="M401" t="s">
        <v>1163</v>
      </c>
      <c r="N401" t="s">
        <v>1474</v>
      </c>
      <c r="P401" t="s">
        <v>2050</v>
      </c>
      <c r="Q401" t="s">
        <v>468</v>
      </c>
      <c r="R401" t="s">
        <v>120</v>
      </c>
      <c r="S401" t="s">
        <v>111</v>
      </c>
      <c r="T401" t="s">
        <v>469</v>
      </c>
      <c r="U401" t="s">
        <v>117</v>
      </c>
      <c r="V401" t="s">
        <v>1348</v>
      </c>
      <c r="W401" t="s">
        <v>2014</v>
      </c>
      <c r="X401" t="s">
        <v>119</v>
      </c>
      <c r="Y401" t="s">
        <v>472</v>
      </c>
      <c r="Z401" t="s">
        <v>1849</v>
      </c>
      <c r="AA401" t="s">
        <v>1692</v>
      </c>
      <c r="AB401" t="s">
        <v>482</v>
      </c>
      <c r="AC401" t="s">
        <v>119</v>
      </c>
      <c r="AD401" t="s">
        <v>1998</v>
      </c>
      <c r="AE401" t="s">
        <v>1348</v>
      </c>
      <c r="AF401" t="s">
        <v>1849</v>
      </c>
      <c r="AG401" t="s">
        <v>111</v>
      </c>
      <c r="AI401" t="s">
        <v>111</v>
      </c>
      <c r="AJ401" t="s">
        <v>1348</v>
      </c>
      <c r="AK401" t="s">
        <v>1849</v>
      </c>
    </row>
    <row r="402" spans="1:37" ht="16.5" customHeight="1">
      <c r="A402" s="95" t="s">
        <v>2119</v>
      </c>
      <c r="B402" t="s">
        <v>2051</v>
      </c>
      <c r="C402" t="s">
        <v>589</v>
      </c>
      <c r="D402" t="s">
        <v>110</v>
      </c>
      <c r="E402" t="s">
        <v>111</v>
      </c>
      <c r="F402" s="87" t="s">
        <v>2125</v>
      </c>
      <c r="G402" t="s">
        <v>111</v>
      </c>
      <c r="H402" t="s">
        <v>111</v>
      </c>
      <c r="I402" t="s">
        <v>2052</v>
      </c>
      <c r="J402" t="s">
        <v>2053</v>
      </c>
      <c r="K402" t="s">
        <v>122</v>
      </c>
      <c r="M402" t="s">
        <v>2053</v>
      </c>
      <c r="P402" t="s">
        <v>2054</v>
      </c>
      <c r="Q402" t="s">
        <v>482</v>
      </c>
      <c r="R402" t="s">
        <v>120</v>
      </c>
      <c r="S402" t="s">
        <v>111</v>
      </c>
      <c r="T402" t="s">
        <v>469</v>
      </c>
      <c r="U402" t="s">
        <v>117</v>
      </c>
      <c r="V402" t="s">
        <v>2055</v>
      </c>
      <c r="W402" t="s">
        <v>2056</v>
      </c>
      <c r="X402" t="s">
        <v>119</v>
      </c>
      <c r="Y402" t="s">
        <v>499</v>
      </c>
      <c r="Z402" t="s">
        <v>1965</v>
      </c>
      <c r="AA402" t="s">
        <v>1884</v>
      </c>
      <c r="AB402" t="s">
        <v>482</v>
      </c>
      <c r="AC402" t="s">
        <v>119</v>
      </c>
      <c r="AD402" t="s">
        <v>1965</v>
      </c>
      <c r="AF402" t="s">
        <v>120</v>
      </c>
      <c r="AG402" t="s">
        <v>111</v>
      </c>
      <c r="AI402" t="s">
        <v>111</v>
      </c>
      <c r="AJ402" t="s">
        <v>2055</v>
      </c>
      <c r="AK402" t="s">
        <v>1965</v>
      </c>
    </row>
    <row r="403" spans="1:37" ht="16.5" customHeight="1">
      <c r="A403" s="95" t="s">
        <v>2119</v>
      </c>
      <c r="B403" t="s">
        <v>2057</v>
      </c>
      <c r="C403" t="s">
        <v>589</v>
      </c>
      <c r="D403" t="s">
        <v>110</v>
      </c>
      <c r="E403" t="s">
        <v>111</v>
      </c>
      <c r="F403" s="87" t="s">
        <v>2125</v>
      </c>
      <c r="G403" t="s">
        <v>111</v>
      </c>
      <c r="H403" t="s">
        <v>111</v>
      </c>
      <c r="I403" t="s">
        <v>2058</v>
      </c>
      <c r="J403" t="s">
        <v>2053</v>
      </c>
      <c r="K403" t="s">
        <v>122</v>
      </c>
      <c r="M403" t="s">
        <v>2053</v>
      </c>
      <c r="P403" t="s">
        <v>2059</v>
      </c>
      <c r="Q403" t="s">
        <v>482</v>
      </c>
      <c r="R403" t="s">
        <v>120</v>
      </c>
      <c r="S403" t="s">
        <v>111</v>
      </c>
      <c r="T403" t="s">
        <v>469</v>
      </c>
      <c r="U403" t="s">
        <v>117</v>
      </c>
      <c r="V403" t="s">
        <v>2055</v>
      </c>
      <c r="W403" t="s">
        <v>2056</v>
      </c>
      <c r="X403" t="s">
        <v>119</v>
      </c>
      <c r="Y403" t="s">
        <v>499</v>
      </c>
      <c r="Z403" t="s">
        <v>1965</v>
      </c>
      <c r="AA403" t="s">
        <v>1884</v>
      </c>
      <c r="AB403" t="s">
        <v>482</v>
      </c>
      <c r="AC403" t="s">
        <v>119</v>
      </c>
      <c r="AD403" t="s">
        <v>1965</v>
      </c>
      <c r="AF403" t="s">
        <v>120</v>
      </c>
      <c r="AG403" t="s">
        <v>111</v>
      </c>
      <c r="AI403" t="s">
        <v>111</v>
      </c>
      <c r="AJ403" t="s">
        <v>2055</v>
      </c>
      <c r="AK403" t="s">
        <v>1965</v>
      </c>
    </row>
    <row r="404" spans="1:37" ht="16.5" customHeight="1">
      <c r="A404" s="95" t="s">
        <v>2119</v>
      </c>
      <c r="B404" t="s">
        <v>2060</v>
      </c>
      <c r="C404" t="s">
        <v>589</v>
      </c>
      <c r="D404" t="s">
        <v>110</v>
      </c>
      <c r="E404" t="s">
        <v>111</v>
      </c>
      <c r="F404" s="87" t="s">
        <v>2125</v>
      </c>
      <c r="G404" t="s">
        <v>111</v>
      </c>
      <c r="H404" t="s">
        <v>111</v>
      </c>
      <c r="I404" t="s">
        <v>2061</v>
      </c>
      <c r="J404" t="s">
        <v>2053</v>
      </c>
      <c r="K404" t="s">
        <v>122</v>
      </c>
      <c r="M404" t="s">
        <v>2053</v>
      </c>
      <c r="P404" t="s">
        <v>2062</v>
      </c>
      <c r="Q404" t="s">
        <v>482</v>
      </c>
      <c r="R404" t="s">
        <v>120</v>
      </c>
      <c r="S404" t="s">
        <v>111</v>
      </c>
      <c r="T404" t="s">
        <v>469</v>
      </c>
      <c r="U404" t="s">
        <v>117</v>
      </c>
      <c r="V404" t="s">
        <v>2055</v>
      </c>
      <c r="W404" t="s">
        <v>2056</v>
      </c>
      <c r="X404" t="s">
        <v>119</v>
      </c>
      <c r="Y404" t="s">
        <v>499</v>
      </c>
      <c r="Z404" t="s">
        <v>1965</v>
      </c>
      <c r="AA404" t="s">
        <v>1884</v>
      </c>
      <c r="AB404" t="s">
        <v>482</v>
      </c>
      <c r="AC404" t="s">
        <v>119</v>
      </c>
      <c r="AD404" t="s">
        <v>1965</v>
      </c>
      <c r="AF404" t="s">
        <v>120</v>
      </c>
      <c r="AG404" t="s">
        <v>111</v>
      </c>
      <c r="AI404" t="s">
        <v>111</v>
      </c>
      <c r="AJ404" t="s">
        <v>2055</v>
      </c>
      <c r="AK404" t="s">
        <v>1965</v>
      </c>
    </row>
    <row r="405" spans="1:37" ht="16.5" customHeight="1">
      <c r="A405" s="95" t="s">
        <v>2119</v>
      </c>
      <c r="B405" t="s">
        <v>2063</v>
      </c>
      <c r="C405" t="s">
        <v>589</v>
      </c>
      <c r="D405" t="s">
        <v>110</v>
      </c>
      <c r="E405" t="s">
        <v>111</v>
      </c>
      <c r="F405" s="87" t="s">
        <v>2125</v>
      </c>
      <c r="G405" t="s">
        <v>111</v>
      </c>
      <c r="H405" t="s">
        <v>111</v>
      </c>
      <c r="I405" t="s">
        <v>2064</v>
      </c>
      <c r="J405" t="s">
        <v>2053</v>
      </c>
      <c r="K405" t="s">
        <v>122</v>
      </c>
      <c r="M405" t="s">
        <v>2053</v>
      </c>
      <c r="P405" t="s">
        <v>2065</v>
      </c>
      <c r="Q405" t="s">
        <v>482</v>
      </c>
      <c r="R405" t="s">
        <v>120</v>
      </c>
      <c r="S405" t="s">
        <v>111</v>
      </c>
      <c r="T405" t="s">
        <v>469</v>
      </c>
      <c r="U405" t="s">
        <v>117</v>
      </c>
      <c r="V405" t="s">
        <v>2055</v>
      </c>
      <c r="W405" t="s">
        <v>2056</v>
      </c>
      <c r="X405" t="s">
        <v>119</v>
      </c>
      <c r="Y405" t="s">
        <v>499</v>
      </c>
      <c r="Z405" t="s">
        <v>1965</v>
      </c>
      <c r="AA405" t="s">
        <v>1884</v>
      </c>
      <c r="AB405" t="s">
        <v>482</v>
      </c>
      <c r="AC405" t="s">
        <v>119</v>
      </c>
      <c r="AD405" t="s">
        <v>1965</v>
      </c>
      <c r="AF405" t="s">
        <v>120</v>
      </c>
      <c r="AG405" t="s">
        <v>111</v>
      </c>
      <c r="AI405" t="s">
        <v>111</v>
      </c>
      <c r="AJ405" t="s">
        <v>2055</v>
      </c>
      <c r="AK405" t="s">
        <v>1965</v>
      </c>
    </row>
    <row r="406" spans="1:37" ht="16.5" customHeight="1">
      <c r="A406" s="95" t="s">
        <v>2119</v>
      </c>
      <c r="B406" t="s">
        <v>2066</v>
      </c>
      <c r="C406" t="s">
        <v>589</v>
      </c>
      <c r="D406" t="s">
        <v>110</v>
      </c>
      <c r="E406" t="s">
        <v>111</v>
      </c>
      <c r="F406" s="87" t="s">
        <v>2125</v>
      </c>
      <c r="G406" t="s">
        <v>111</v>
      </c>
      <c r="H406" t="s">
        <v>111</v>
      </c>
      <c r="I406" t="s">
        <v>2067</v>
      </c>
      <c r="J406" t="s">
        <v>2053</v>
      </c>
      <c r="K406" t="s">
        <v>122</v>
      </c>
      <c r="M406" t="s">
        <v>2053</v>
      </c>
      <c r="P406" t="s">
        <v>2068</v>
      </c>
      <c r="Q406" t="s">
        <v>482</v>
      </c>
      <c r="R406" t="s">
        <v>120</v>
      </c>
      <c r="S406" t="s">
        <v>111</v>
      </c>
      <c r="T406" t="s">
        <v>469</v>
      </c>
      <c r="U406" t="s">
        <v>117</v>
      </c>
      <c r="V406" t="s">
        <v>2055</v>
      </c>
      <c r="W406" t="s">
        <v>2056</v>
      </c>
      <c r="X406" t="s">
        <v>119</v>
      </c>
      <c r="Y406" t="s">
        <v>499</v>
      </c>
      <c r="Z406" t="s">
        <v>1965</v>
      </c>
      <c r="AA406" t="s">
        <v>1884</v>
      </c>
      <c r="AB406" t="s">
        <v>482</v>
      </c>
      <c r="AC406" t="s">
        <v>119</v>
      </c>
      <c r="AD406" t="s">
        <v>1965</v>
      </c>
      <c r="AF406" t="s">
        <v>120</v>
      </c>
      <c r="AG406" t="s">
        <v>111</v>
      </c>
      <c r="AI406" t="s">
        <v>111</v>
      </c>
      <c r="AJ406" t="s">
        <v>2055</v>
      </c>
      <c r="AK406" t="s">
        <v>1965</v>
      </c>
    </row>
    <row r="407" spans="1:37" ht="16.5" customHeight="1">
      <c r="A407" s="95" t="s">
        <v>2119</v>
      </c>
      <c r="B407" t="s">
        <v>2069</v>
      </c>
      <c r="C407" t="s">
        <v>589</v>
      </c>
      <c r="D407" t="s">
        <v>110</v>
      </c>
      <c r="E407" t="s">
        <v>111</v>
      </c>
      <c r="F407" s="87" t="s">
        <v>2125</v>
      </c>
      <c r="G407" t="s">
        <v>111</v>
      </c>
      <c r="H407" t="s">
        <v>111</v>
      </c>
      <c r="I407" t="s">
        <v>2070</v>
      </c>
      <c r="J407" t="s">
        <v>2053</v>
      </c>
      <c r="K407" t="s">
        <v>122</v>
      </c>
      <c r="M407" t="s">
        <v>2053</v>
      </c>
      <c r="P407" t="s">
        <v>2071</v>
      </c>
      <c r="Q407" t="s">
        <v>482</v>
      </c>
      <c r="R407" t="s">
        <v>120</v>
      </c>
      <c r="S407" t="s">
        <v>111</v>
      </c>
      <c r="T407" t="s">
        <v>469</v>
      </c>
      <c r="U407" t="s">
        <v>117</v>
      </c>
      <c r="V407" t="s">
        <v>2055</v>
      </c>
      <c r="W407" t="s">
        <v>2056</v>
      </c>
      <c r="X407" t="s">
        <v>119</v>
      </c>
      <c r="Y407" t="s">
        <v>499</v>
      </c>
      <c r="Z407" t="s">
        <v>1965</v>
      </c>
      <c r="AA407" t="s">
        <v>1884</v>
      </c>
      <c r="AB407" t="s">
        <v>482</v>
      </c>
      <c r="AC407" t="s">
        <v>119</v>
      </c>
      <c r="AD407" t="s">
        <v>1965</v>
      </c>
      <c r="AF407" t="s">
        <v>120</v>
      </c>
      <c r="AG407" t="s">
        <v>111</v>
      </c>
      <c r="AI407" t="s">
        <v>111</v>
      </c>
      <c r="AJ407" t="s">
        <v>2055</v>
      </c>
      <c r="AK407" t="s">
        <v>1965</v>
      </c>
    </row>
    <row r="408" spans="1:37" ht="16.5" customHeight="1">
      <c r="A408" s="95" t="s">
        <v>2119</v>
      </c>
      <c r="B408" t="s">
        <v>2072</v>
      </c>
      <c r="C408" t="s">
        <v>589</v>
      </c>
      <c r="D408" t="s">
        <v>110</v>
      </c>
      <c r="E408" t="s">
        <v>111</v>
      </c>
      <c r="F408" s="87" t="s">
        <v>2125</v>
      </c>
      <c r="G408" t="s">
        <v>111</v>
      </c>
      <c r="H408" t="s">
        <v>111</v>
      </c>
      <c r="I408" t="s">
        <v>2073</v>
      </c>
      <c r="J408" t="s">
        <v>2053</v>
      </c>
      <c r="K408" t="s">
        <v>122</v>
      </c>
      <c r="M408" t="s">
        <v>2053</v>
      </c>
      <c r="P408" t="s">
        <v>2074</v>
      </c>
      <c r="Q408" t="s">
        <v>482</v>
      </c>
      <c r="R408" t="s">
        <v>120</v>
      </c>
      <c r="S408" t="s">
        <v>111</v>
      </c>
      <c r="T408" t="s">
        <v>469</v>
      </c>
      <c r="U408" t="s">
        <v>117</v>
      </c>
      <c r="V408" t="s">
        <v>2055</v>
      </c>
      <c r="W408" t="s">
        <v>2056</v>
      </c>
      <c r="X408" t="s">
        <v>119</v>
      </c>
      <c r="Y408" t="s">
        <v>499</v>
      </c>
      <c r="Z408" t="s">
        <v>1965</v>
      </c>
      <c r="AA408" t="s">
        <v>1884</v>
      </c>
      <c r="AB408" t="s">
        <v>482</v>
      </c>
      <c r="AC408" t="s">
        <v>119</v>
      </c>
      <c r="AD408" t="s">
        <v>1965</v>
      </c>
      <c r="AF408" t="s">
        <v>120</v>
      </c>
      <c r="AG408" t="s">
        <v>111</v>
      </c>
      <c r="AI408" t="s">
        <v>111</v>
      </c>
      <c r="AJ408" t="s">
        <v>2055</v>
      </c>
      <c r="AK408" t="s">
        <v>1965</v>
      </c>
    </row>
    <row r="409" spans="1:37" ht="16.5" customHeight="1">
      <c r="A409" s="95" t="s">
        <v>2119</v>
      </c>
      <c r="B409" t="s">
        <v>2075</v>
      </c>
      <c r="C409" t="s">
        <v>589</v>
      </c>
      <c r="D409" t="s">
        <v>110</v>
      </c>
      <c r="E409" t="s">
        <v>111</v>
      </c>
      <c r="F409" s="87" t="s">
        <v>2125</v>
      </c>
      <c r="G409" t="s">
        <v>111</v>
      </c>
      <c r="H409" t="s">
        <v>111</v>
      </c>
      <c r="I409" t="s">
        <v>2076</v>
      </c>
      <c r="J409" t="s">
        <v>2053</v>
      </c>
      <c r="K409" t="s">
        <v>122</v>
      </c>
      <c r="M409" t="s">
        <v>2053</v>
      </c>
      <c r="P409" t="s">
        <v>2077</v>
      </c>
      <c r="Q409" t="s">
        <v>115</v>
      </c>
      <c r="R409" t="s">
        <v>120</v>
      </c>
      <c r="S409" t="s">
        <v>111</v>
      </c>
      <c r="T409" t="s">
        <v>116</v>
      </c>
      <c r="U409" t="s">
        <v>117</v>
      </c>
      <c r="V409" t="s">
        <v>2055</v>
      </c>
      <c r="W409" t="s">
        <v>2056</v>
      </c>
      <c r="X409" t="s">
        <v>119</v>
      </c>
      <c r="Y409" t="s">
        <v>1884</v>
      </c>
      <c r="Z409" t="s">
        <v>2056</v>
      </c>
      <c r="AD409" t="s">
        <v>120</v>
      </c>
      <c r="AF409" t="s">
        <v>120</v>
      </c>
      <c r="AG409" t="s">
        <v>111</v>
      </c>
      <c r="AI409" t="s">
        <v>111</v>
      </c>
      <c r="AK409" t="s">
        <v>120</v>
      </c>
    </row>
    <row r="410" spans="1:37" ht="16.5" customHeight="1">
      <c r="A410" s="95" t="s">
        <v>2119</v>
      </c>
      <c r="B410" t="s">
        <v>2078</v>
      </c>
      <c r="C410" t="s">
        <v>589</v>
      </c>
      <c r="D410" t="s">
        <v>110</v>
      </c>
      <c r="E410" t="s">
        <v>111</v>
      </c>
      <c r="F410" s="87" t="s">
        <v>2125</v>
      </c>
      <c r="G410" t="s">
        <v>111</v>
      </c>
      <c r="H410" t="s">
        <v>111</v>
      </c>
      <c r="I410" t="s">
        <v>2079</v>
      </c>
      <c r="J410" t="s">
        <v>2053</v>
      </c>
      <c r="K410" t="s">
        <v>122</v>
      </c>
      <c r="M410" t="s">
        <v>2053</v>
      </c>
      <c r="P410" t="s">
        <v>2080</v>
      </c>
      <c r="Q410" t="s">
        <v>482</v>
      </c>
      <c r="R410" t="s">
        <v>120</v>
      </c>
      <c r="S410" t="s">
        <v>111</v>
      </c>
      <c r="T410" t="s">
        <v>469</v>
      </c>
      <c r="U410" t="s">
        <v>117</v>
      </c>
      <c r="V410" t="s">
        <v>2055</v>
      </c>
      <c r="W410" t="s">
        <v>2056</v>
      </c>
      <c r="X410" t="s">
        <v>119</v>
      </c>
      <c r="Y410" t="s">
        <v>499</v>
      </c>
      <c r="Z410" t="s">
        <v>1965</v>
      </c>
      <c r="AA410" t="s">
        <v>1884</v>
      </c>
      <c r="AB410" t="s">
        <v>482</v>
      </c>
      <c r="AC410" t="s">
        <v>119</v>
      </c>
      <c r="AD410" t="s">
        <v>1965</v>
      </c>
      <c r="AF410" t="s">
        <v>120</v>
      </c>
      <c r="AG410" t="s">
        <v>111</v>
      </c>
      <c r="AI410" t="s">
        <v>111</v>
      </c>
      <c r="AJ410" t="s">
        <v>2055</v>
      </c>
      <c r="AK410" t="s">
        <v>1965</v>
      </c>
    </row>
    <row r="411" spans="1:37" ht="16.5" customHeight="1">
      <c r="A411" s="95" t="s">
        <v>2119</v>
      </c>
      <c r="B411" t="s">
        <v>2081</v>
      </c>
      <c r="C411" t="s">
        <v>589</v>
      </c>
      <c r="D411" t="s">
        <v>110</v>
      </c>
      <c r="E411" t="s">
        <v>111</v>
      </c>
      <c r="F411" s="87" t="s">
        <v>2125</v>
      </c>
      <c r="G411" t="s">
        <v>111</v>
      </c>
      <c r="H411" t="s">
        <v>111</v>
      </c>
      <c r="I411" t="s">
        <v>2082</v>
      </c>
      <c r="J411" t="s">
        <v>2053</v>
      </c>
      <c r="K411" t="s">
        <v>122</v>
      </c>
      <c r="M411" t="s">
        <v>2053</v>
      </c>
      <c r="P411" t="s">
        <v>2083</v>
      </c>
      <c r="Q411" t="s">
        <v>482</v>
      </c>
      <c r="R411" t="s">
        <v>120</v>
      </c>
      <c r="S411" t="s">
        <v>111</v>
      </c>
      <c r="T411" t="s">
        <v>469</v>
      </c>
      <c r="U411" t="s">
        <v>117</v>
      </c>
      <c r="V411" t="s">
        <v>2055</v>
      </c>
      <c r="W411" t="s">
        <v>2056</v>
      </c>
      <c r="X411" t="s">
        <v>119</v>
      </c>
      <c r="Y411" t="s">
        <v>499</v>
      </c>
      <c r="Z411" t="s">
        <v>1965</v>
      </c>
      <c r="AA411" t="s">
        <v>1884</v>
      </c>
      <c r="AB411" t="s">
        <v>482</v>
      </c>
      <c r="AC411" t="s">
        <v>119</v>
      </c>
      <c r="AD411" t="s">
        <v>1965</v>
      </c>
      <c r="AF411" t="s">
        <v>120</v>
      </c>
      <c r="AG411" t="s">
        <v>111</v>
      </c>
      <c r="AI411" t="s">
        <v>111</v>
      </c>
      <c r="AJ411" t="s">
        <v>2055</v>
      </c>
      <c r="AK411" t="s">
        <v>1965</v>
      </c>
    </row>
    <row r="412" spans="1:37" ht="16.5" customHeight="1">
      <c r="A412" s="95" t="s">
        <v>2119</v>
      </c>
      <c r="B412" t="s">
        <v>2084</v>
      </c>
      <c r="C412" t="s">
        <v>589</v>
      </c>
      <c r="D412" t="s">
        <v>110</v>
      </c>
      <c r="E412" t="s">
        <v>111</v>
      </c>
      <c r="F412" s="87" t="s">
        <v>2125</v>
      </c>
      <c r="G412" t="s">
        <v>111</v>
      </c>
      <c r="H412" t="s">
        <v>111</v>
      </c>
      <c r="I412" t="s">
        <v>2085</v>
      </c>
      <c r="J412" t="s">
        <v>2053</v>
      </c>
      <c r="K412" t="s">
        <v>122</v>
      </c>
      <c r="M412" t="s">
        <v>2053</v>
      </c>
      <c r="P412" t="s">
        <v>2086</v>
      </c>
      <c r="Q412" t="s">
        <v>482</v>
      </c>
      <c r="R412" t="s">
        <v>120</v>
      </c>
      <c r="S412" t="s">
        <v>111</v>
      </c>
      <c r="T412" t="s">
        <v>469</v>
      </c>
      <c r="U412" t="s">
        <v>117</v>
      </c>
      <c r="V412" t="s">
        <v>2055</v>
      </c>
      <c r="W412" t="s">
        <v>2056</v>
      </c>
      <c r="X412" t="s">
        <v>119</v>
      </c>
      <c r="Y412" t="s">
        <v>499</v>
      </c>
      <c r="Z412" t="s">
        <v>1965</v>
      </c>
      <c r="AA412" t="s">
        <v>1884</v>
      </c>
      <c r="AB412" t="s">
        <v>482</v>
      </c>
      <c r="AC412" t="s">
        <v>119</v>
      </c>
      <c r="AD412" t="s">
        <v>1965</v>
      </c>
      <c r="AF412" t="s">
        <v>120</v>
      </c>
      <c r="AG412" t="s">
        <v>111</v>
      </c>
      <c r="AI412" t="s">
        <v>111</v>
      </c>
      <c r="AJ412" t="s">
        <v>2055</v>
      </c>
      <c r="AK412" t="s">
        <v>1965</v>
      </c>
    </row>
    <row r="413" spans="1:37" ht="16.5" customHeight="1">
      <c r="A413" s="95" t="s">
        <v>2119</v>
      </c>
      <c r="B413" t="s">
        <v>2087</v>
      </c>
      <c r="C413" t="s">
        <v>589</v>
      </c>
      <c r="D413" t="s">
        <v>110</v>
      </c>
      <c r="E413" t="s">
        <v>111</v>
      </c>
      <c r="F413" s="87" t="s">
        <v>2125</v>
      </c>
      <c r="G413" t="s">
        <v>111</v>
      </c>
      <c r="H413" t="s">
        <v>111</v>
      </c>
      <c r="I413" t="s">
        <v>2088</v>
      </c>
      <c r="J413" t="s">
        <v>2053</v>
      </c>
      <c r="K413" t="s">
        <v>122</v>
      </c>
      <c r="M413" t="s">
        <v>2053</v>
      </c>
      <c r="P413" t="s">
        <v>2089</v>
      </c>
      <c r="Q413" t="s">
        <v>482</v>
      </c>
      <c r="R413" t="s">
        <v>120</v>
      </c>
      <c r="S413" t="s">
        <v>111</v>
      </c>
      <c r="T413" t="s">
        <v>469</v>
      </c>
      <c r="U413" t="s">
        <v>117</v>
      </c>
      <c r="V413" t="s">
        <v>2055</v>
      </c>
      <c r="W413" t="s">
        <v>2056</v>
      </c>
      <c r="X413" t="s">
        <v>119</v>
      </c>
      <c r="Y413" t="s">
        <v>499</v>
      </c>
      <c r="Z413" t="s">
        <v>1965</v>
      </c>
      <c r="AA413" t="s">
        <v>1884</v>
      </c>
      <c r="AB413" t="s">
        <v>482</v>
      </c>
      <c r="AC413" t="s">
        <v>119</v>
      </c>
      <c r="AD413" t="s">
        <v>1965</v>
      </c>
      <c r="AF413" t="s">
        <v>120</v>
      </c>
      <c r="AG413" t="s">
        <v>111</v>
      </c>
      <c r="AI413" t="s">
        <v>111</v>
      </c>
      <c r="AJ413" t="s">
        <v>2055</v>
      </c>
      <c r="AK413" t="s">
        <v>1965</v>
      </c>
    </row>
    <row r="414" spans="1:37" ht="16.5" customHeight="1">
      <c r="A414" s="95" t="s">
        <v>2119</v>
      </c>
      <c r="B414" t="s">
        <v>2090</v>
      </c>
      <c r="C414" t="s">
        <v>589</v>
      </c>
      <c r="D414" t="s">
        <v>110</v>
      </c>
      <c r="E414" t="s">
        <v>111</v>
      </c>
      <c r="F414" s="87" t="s">
        <v>2125</v>
      </c>
      <c r="G414" t="s">
        <v>111</v>
      </c>
      <c r="H414" t="s">
        <v>111</v>
      </c>
      <c r="I414" t="s">
        <v>2091</v>
      </c>
      <c r="J414" t="s">
        <v>2053</v>
      </c>
      <c r="K414" t="s">
        <v>122</v>
      </c>
      <c r="M414" t="s">
        <v>2053</v>
      </c>
      <c r="P414" t="s">
        <v>2092</v>
      </c>
      <c r="Q414" t="s">
        <v>482</v>
      </c>
      <c r="R414" t="s">
        <v>120</v>
      </c>
      <c r="S414" t="s">
        <v>111</v>
      </c>
      <c r="T414" t="s">
        <v>469</v>
      </c>
      <c r="U414" t="s">
        <v>117</v>
      </c>
      <c r="V414" t="s">
        <v>2055</v>
      </c>
      <c r="W414" t="s">
        <v>2056</v>
      </c>
      <c r="X414" t="s">
        <v>119</v>
      </c>
      <c r="Y414" t="s">
        <v>499</v>
      </c>
      <c r="Z414" t="s">
        <v>1965</v>
      </c>
      <c r="AA414" t="s">
        <v>1884</v>
      </c>
      <c r="AB414" t="s">
        <v>482</v>
      </c>
      <c r="AC414" t="s">
        <v>119</v>
      </c>
      <c r="AD414" t="s">
        <v>1965</v>
      </c>
      <c r="AF414" t="s">
        <v>120</v>
      </c>
      <c r="AG414" t="s">
        <v>111</v>
      </c>
      <c r="AI414" t="s">
        <v>111</v>
      </c>
      <c r="AJ414" t="s">
        <v>2055</v>
      </c>
      <c r="AK414" t="s">
        <v>1965</v>
      </c>
    </row>
    <row r="415" spans="1:37" ht="16.5" customHeight="1">
      <c r="A415" s="95" t="s">
        <v>2119</v>
      </c>
      <c r="B415" t="s">
        <v>2093</v>
      </c>
      <c r="C415" t="s">
        <v>589</v>
      </c>
      <c r="D415" t="s">
        <v>110</v>
      </c>
      <c r="E415" t="s">
        <v>111</v>
      </c>
      <c r="F415" s="87" t="s">
        <v>2125</v>
      </c>
      <c r="G415" t="s">
        <v>111</v>
      </c>
      <c r="H415" t="s">
        <v>111</v>
      </c>
      <c r="I415" t="s">
        <v>2094</v>
      </c>
      <c r="J415" t="s">
        <v>2053</v>
      </c>
      <c r="K415" t="s">
        <v>122</v>
      </c>
      <c r="M415" t="s">
        <v>2053</v>
      </c>
      <c r="P415" t="s">
        <v>2095</v>
      </c>
      <c r="Q415" t="s">
        <v>482</v>
      </c>
      <c r="R415" t="s">
        <v>120</v>
      </c>
      <c r="S415" t="s">
        <v>111</v>
      </c>
      <c r="T415" t="s">
        <v>469</v>
      </c>
      <c r="U415" t="s">
        <v>117</v>
      </c>
      <c r="V415" t="s">
        <v>2055</v>
      </c>
      <c r="W415" t="s">
        <v>2056</v>
      </c>
      <c r="X415" t="s">
        <v>119</v>
      </c>
      <c r="Y415" t="s">
        <v>499</v>
      </c>
      <c r="Z415" t="s">
        <v>1965</v>
      </c>
      <c r="AA415" t="s">
        <v>1884</v>
      </c>
      <c r="AB415" t="s">
        <v>482</v>
      </c>
      <c r="AC415" t="s">
        <v>119</v>
      </c>
      <c r="AD415" t="s">
        <v>1965</v>
      </c>
      <c r="AF415" t="s">
        <v>120</v>
      </c>
      <c r="AG415" t="s">
        <v>111</v>
      </c>
      <c r="AI415" t="s">
        <v>111</v>
      </c>
      <c r="AJ415" t="s">
        <v>2055</v>
      </c>
      <c r="AK415" t="s">
        <v>1965</v>
      </c>
    </row>
    <row r="416" spans="1:37" ht="16.5" customHeight="1">
      <c r="A416" s="95" t="s">
        <v>2119</v>
      </c>
      <c r="B416" t="s">
        <v>2096</v>
      </c>
      <c r="C416" t="s">
        <v>589</v>
      </c>
      <c r="D416" t="s">
        <v>110</v>
      </c>
      <c r="E416" t="s">
        <v>111</v>
      </c>
      <c r="F416" s="87" t="s">
        <v>2125</v>
      </c>
      <c r="G416" t="s">
        <v>111</v>
      </c>
      <c r="H416" t="s">
        <v>111</v>
      </c>
      <c r="I416" t="s">
        <v>2097</v>
      </c>
      <c r="J416" t="s">
        <v>2053</v>
      </c>
      <c r="K416" t="s">
        <v>122</v>
      </c>
      <c r="M416" t="s">
        <v>2053</v>
      </c>
      <c r="P416" t="s">
        <v>2098</v>
      </c>
      <c r="Q416" t="s">
        <v>482</v>
      </c>
      <c r="R416" t="s">
        <v>120</v>
      </c>
      <c r="S416" t="s">
        <v>111</v>
      </c>
      <c r="T416" t="s">
        <v>469</v>
      </c>
      <c r="U416" t="s">
        <v>117</v>
      </c>
      <c r="V416" t="s">
        <v>2055</v>
      </c>
      <c r="W416" t="s">
        <v>2056</v>
      </c>
      <c r="X416" t="s">
        <v>119</v>
      </c>
      <c r="Y416" t="s">
        <v>499</v>
      </c>
      <c r="Z416" t="s">
        <v>1965</v>
      </c>
      <c r="AA416" t="s">
        <v>1884</v>
      </c>
      <c r="AB416" t="s">
        <v>482</v>
      </c>
      <c r="AC416" t="s">
        <v>119</v>
      </c>
      <c r="AD416" t="s">
        <v>1965</v>
      </c>
      <c r="AF416" t="s">
        <v>120</v>
      </c>
      <c r="AG416" t="s">
        <v>111</v>
      </c>
      <c r="AI416" t="s">
        <v>111</v>
      </c>
      <c r="AJ416" t="s">
        <v>2055</v>
      </c>
      <c r="AK416" t="s">
        <v>1965</v>
      </c>
    </row>
    <row r="417" spans="1:37" ht="16.5" customHeight="1">
      <c r="A417" s="95" t="s">
        <v>2119</v>
      </c>
      <c r="B417" t="s">
        <v>2099</v>
      </c>
      <c r="C417" t="s">
        <v>589</v>
      </c>
      <c r="D417" t="s">
        <v>110</v>
      </c>
      <c r="E417" t="s">
        <v>111</v>
      </c>
      <c r="F417" s="87" t="s">
        <v>2125</v>
      </c>
      <c r="G417" t="s">
        <v>111</v>
      </c>
      <c r="H417" t="s">
        <v>111</v>
      </c>
      <c r="I417" t="s">
        <v>2100</v>
      </c>
      <c r="J417" t="s">
        <v>2053</v>
      </c>
      <c r="K417" t="s">
        <v>122</v>
      </c>
      <c r="M417" t="s">
        <v>2053</v>
      </c>
      <c r="P417" t="s">
        <v>2101</v>
      </c>
      <c r="Q417" t="s">
        <v>482</v>
      </c>
      <c r="R417" t="s">
        <v>120</v>
      </c>
      <c r="S417" t="s">
        <v>111</v>
      </c>
      <c r="T417" t="s">
        <v>469</v>
      </c>
      <c r="U417" t="s">
        <v>117</v>
      </c>
      <c r="V417" t="s">
        <v>2055</v>
      </c>
      <c r="W417" t="s">
        <v>2056</v>
      </c>
      <c r="X417" t="s">
        <v>119</v>
      </c>
      <c r="Y417" t="s">
        <v>499</v>
      </c>
      <c r="Z417" t="s">
        <v>1965</v>
      </c>
      <c r="AA417" t="s">
        <v>1884</v>
      </c>
      <c r="AB417" t="s">
        <v>482</v>
      </c>
      <c r="AC417" t="s">
        <v>119</v>
      </c>
      <c r="AD417" t="s">
        <v>1965</v>
      </c>
      <c r="AF417" t="s">
        <v>120</v>
      </c>
      <c r="AG417" t="s">
        <v>111</v>
      </c>
      <c r="AI417" t="s">
        <v>111</v>
      </c>
      <c r="AJ417" t="s">
        <v>2055</v>
      </c>
      <c r="AK417" t="s">
        <v>1965</v>
      </c>
    </row>
    <row r="418" spans="1:37" ht="16.5" customHeight="1">
      <c r="A418" s="95" t="s">
        <v>2119</v>
      </c>
      <c r="B418" t="s">
        <v>2102</v>
      </c>
      <c r="C418" t="s">
        <v>589</v>
      </c>
      <c r="D418" t="s">
        <v>110</v>
      </c>
      <c r="E418" t="s">
        <v>111</v>
      </c>
      <c r="F418" s="87" t="s">
        <v>2125</v>
      </c>
      <c r="G418" t="s">
        <v>111</v>
      </c>
      <c r="H418" t="s">
        <v>111</v>
      </c>
      <c r="I418" t="s">
        <v>2103</v>
      </c>
      <c r="J418" t="s">
        <v>2053</v>
      </c>
      <c r="K418" t="s">
        <v>122</v>
      </c>
      <c r="M418" t="s">
        <v>2053</v>
      </c>
      <c r="P418" t="s">
        <v>2104</v>
      </c>
      <c r="Q418" t="s">
        <v>482</v>
      </c>
      <c r="R418" t="s">
        <v>120</v>
      </c>
      <c r="S418" t="s">
        <v>111</v>
      </c>
      <c r="T418" t="s">
        <v>469</v>
      </c>
      <c r="U418" t="s">
        <v>117</v>
      </c>
      <c r="V418" t="s">
        <v>2055</v>
      </c>
      <c r="W418" t="s">
        <v>2056</v>
      </c>
      <c r="X418" t="s">
        <v>119</v>
      </c>
      <c r="Y418" t="s">
        <v>499</v>
      </c>
      <c r="Z418" t="s">
        <v>1965</v>
      </c>
      <c r="AA418" t="s">
        <v>1884</v>
      </c>
      <c r="AB418" t="s">
        <v>482</v>
      </c>
      <c r="AC418" t="s">
        <v>119</v>
      </c>
      <c r="AD418" t="s">
        <v>1965</v>
      </c>
      <c r="AF418" t="s">
        <v>120</v>
      </c>
      <c r="AG418" t="s">
        <v>111</v>
      </c>
      <c r="AI418" t="s">
        <v>111</v>
      </c>
      <c r="AJ418" t="s">
        <v>2055</v>
      </c>
      <c r="AK418" t="s">
        <v>1965</v>
      </c>
    </row>
    <row r="419" spans="1:37" ht="16.5" customHeight="1">
      <c r="A419" s="95" t="s">
        <v>2119</v>
      </c>
      <c r="B419" t="s">
        <v>2105</v>
      </c>
      <c r="C419" t="s">
        <v>589</v>
      </c>
      <c r="D419" t="s">
        <v>110</v>
      </c>
      <c r="E419" t="s">
        <v>111</v>
      </c>
      <c r="F419" s="87" t="s">
        <v>2125</v>
      </c>
      <c r="G419" t="s">
        <v>111</v>
      </c>
      <c r="H419" t="s">
        <v>111</v>
      </c>
      <c r="I419" t="s">
        <v>2106</v>
      </c>
      <c r="J419" t="s">
        <v>2053</v>
      </c>
      <c r="K419" t="s">
        <v>122</v>
      </c>
      <c r="M419" t="s">
        <v>2053</v>
      </c>
      <c r="P419" t="s">
        <v>2107</v>
      </c>
      <c r="Q419" t="s">
        <v>482</v>
      </c>
      <c r="R419" t="s">
        <v>120</v>
      </c>
      <c r="S419" t="s">
        <v>111</v>
      </c>
      <c r="T419" t="s">
        <v>469</v>
      </c>
      <c r="U419" t="s">
        <v>117</v>
      </c>
      <c r="V419" t="s">
        <v>2055</v>
      </c>
      <c r="W419" t="s">
        <v>2056</v>
      </c>
      <c r="X419" t="s">
        <v>119</v>
      </c>
      <c r="Y419" t="s">
        <v>499</v>
      </c>
      <c r="Z419" t="s">
        <v>1965</v>
      </c>
      <c r="AA419" t="s">
        <v>1884</v>
      </c>
      <c r="AB419" t="s">
        <v>482</v>
      </c>
      <c r="AC419" t="s">
        <v>119</v>
      </c>
      <c r="AD419" t="s">
        <v>1965</v>
      </c>
      <c r="AF419" t="s">
        <v>120</v>
      </c>
      <c r="AG419" t="s">
        <v>111</v>
      </c>
      <c r="AI419" t="s">
        <v>111</v>
      </c>
      <c r="AJ419" t="s">
        <v>2055</v>
      </c>
      <c r="AK419" t="s">
        <v>1965</v>
      </c>
    </row>
    <row r="420" spans="1:37" ht="16.5" customHeight="1">
      <c r="A420" s="95" t="s">
        <v>2119</v>
      </c>
      <c r="B420" t="s">
        <v>2108</v>
      </c>
      <c r="C420" t="s">
        <v>589</v>
      </c>
      <c r="D420" t="s">
        <v>110</v>
      </c>
      <c r="E420" t="s">
        <v>111</v>
      </c>
      <c r="F420" s="87" t="s">
        <v>2125</v>
      </c>
      <c r="G420" t="s">
        <v>111</v>
      </c>
      <c r="H420" t="s">
        <v>111</v>
      </c>
      <c r="I420" t="s">
        <v>2109</v>
      </c>
      <c r="J420" t="s">
        <v>2053</v>
      </c>
      <c r="K420" t="s">
        <v>122</v>
      </c>
      <c r="M420" t="s">
        <v>2053</v>
      </c>
      <c r="P420" t="s">
        <v>2110</v>
      </c>
      <c r="Q420" t="s">
        <v>482</v>
      </c>
      <c r="R420" t="s">
        <v>120</v>
      </c>
      <c r="S420" t="s">
        <v>111</v>
      </c>
      <c r="T420" t="s">
        <v>469</v>
      </c>
      <c r="U420" t="s">
        <v>117</v>
      </c>
      <c r="V420" t="s">
        <v>2055</v>
      </c>
      <c r="W420" t="s">
        <v>2056</v>
      </c>
      <c r="X420" t="s">
        <v>119</v>
      </c>
      <c r="Y420" t="s">
        <v>499</v>
      </c>
      <c r="Z420" t="s">
        <v>1965</v>
      </c>
      <c r="AA420" t="s">
        <v>1884</v>
      </c>
      <c r="AB420" t="s">
        <v>482</v>
      </c>
      <c r="AC420" t="s">
        <v>119</v>
      </c>
      <c r="AD420" t="s">
        <v>1965</v>
      </c>
      <c r="AF420" t="s">
        <v>120</v>
      </c>
      <c r="AG420" t="s">
        <v>111</v>
      </c>
      <c r="AI420" t="s">
        <v>111</v>
      </c>
      <c r="AJ420" t="s">
        <v>2055</v>
      </c>
      <c r="AK420" t="s">
        <v>1965</v>
      </c>
    </row>
    <row r="421" spans="1:37" ht="16.5" customHeight="1">
      <c r="A421" s="95" t="s">
        <v>2119</v>
      </c>
      <c r="B421" t="s">
        <v>2111</v>
      </c>
      <c r="C421" t="s">
        <v>589</v>
      </c>
      <c r="D421" t="s">
        <v>110</v>
      </c>
      <c r="E421" t="s">
        <v>111</v>
      </c>
      <c r="F421" s="87" t="s">
        <v>2125</v>
      </c>
      <c r="G421" t="s">
        <v>111</v>
      </c>
      <c r="H421" t="s">
        <v>111</v>
      </c>
      <c r="I421" t="s">
        <v>2112</v>
      </c>
      <c r="J421" t="s">
        <v>2053</v>
      </c>
      <c r="K421" t="s">
        <v>122</v>
      </c>
      <c r="M421" t="s">
        <v>2053</v>
      </c>
      <c r="P421" t="s">
        <v>2113</v>
      </c>
      <c r="Q421" t="s">
        <v>482</v>
      </c>
      <c r="R421" t="s">
        <v>120</v>
      </c>
      <c r="S421" t="s">
        <v>111</v>
      </c>
      <c r="T421" t="s">
        <v>469</v>
      </c>
      <c r="U421" t="s">
        <v>117</v>
      </c>
      <c r="V421" t="s">
        <v>2055</v>
      </c>
      <c r="W421" t="s">
        <v>2056</v>
      </c>
      <c r="X421" t="s">
        <v>119</v>
      </c>
      <c r="Y421" t="s">
        <v>499</v>
      </c>
      <c r="Z421" t="s">
        <v>1965</v>
      </c>
      <c r="AA421" t="s">
        <v>1884</v>
      </c>
      <c r="AB421" t="s">
        <v>482</v>
      </c>
      <c r="AC421" t="s">
        <v>119</v>
      </c>
      <c r="AD421" t="s">
        <v>1965</v>
      </c>
      <c r="AF421" t="s">
        <v>120</v>
      </c>
      <c r="AG421" t="s">
        <v>111</v>
      </c>
      <c r="AI421" t="s">
        <v>111</v>
      </c>
      <c r="AJ421" t="s">
        <v>2055</v>
      </c>
      <c r="AK421" t="s">
        <v>1965</v>
      </c>
    </row>
    <row r="422" spans="1:37" ht="16.5" customHeight="1">
      <c r="A422" s="95" t="s">
        <v>2119</v>
      </c>
      <c r="B422" t="s">
        <v>2114</v>
      </c>
      <c r="C422" t="s">
        <v>589</v>
      </c>
      <c r="D422" t="s">
        <v>110</v>
      </c>
      <c r="E422" t="s">
        <v>111</v>
      </c>
      <c r="F422" s="87" t="s">
        <v>2125</v>
      </c>
      <c r="G422" t="s">
        <v>111</v>
      </c>
      <c r="H422" t="s">
        <v>111</v>
      </c>
      <c r="I422" t="s">
        <v>2115</v>
      </c>
      <c r="J422" t="s">
        <v>2116</v>
      </c>
      <c r="K422" t="s">
        <v>122</v>
      </c>
      <c r="M422" t="s">
        <v>1785</v>
      </c>
      <c r="P422" t="s">
        <v>2117</v>
      </c>
      <c r="Q422" t="s">
        <v>115</v>
      </c>
      <c r="R422" t="s">
        <v>120</v>
      </c>
      <c r="S422" t="s">
        <v>111</v>
      </c>
      <c r="T422" t="s">
        <v>116</v>
      </c>
      <c r="U422" t="s">
        <v>2118</v>
      </c>
      <c r="V422" t="s">
        <v>2055</v>
      </c>
      <c r="W422" t="s">
        <v>2056</v>
      </c>
      <c r="X422" t="s">
        <v>119</v>
      </c>
      <c r="Z422" t="s">
        <v>120</v>
      </c>
      <c r="AD422" t="s">
        <v>120</v>
      </c>
      <c r="AF422" t="s">
        <v>120</v>
      </c>
      <c r="AG422" t="s">
        <v>111</v>
      </c>
      <c r="AI422" t="s">
        <v>111</v>
      </c>
      <c r="AJ422" t="s">
        <v>2055</v>
      </c>
      <c r="AK422" t="s">
        <v>2056</v>
      </c>
    </row>
  </sheetData>
  <autoFilter ref="A1:AL422">
    <filterColumn colId="0">
      <filters>
        <filter val="迭代4"/>
      </filters>
    </filterColumn>
    <filterColumn colId="27">
      <filters blank="1">
        <filter val="外部原因"/>
        <filter val="无法重现"/>
        <filter val="已解决"/>
      </filters>
    </filterColumn>
  </autoFilter>
  <phoneticPr fontId="13" type="noConversion"/>
  <dataValidations count="5">
    <dataValidation type="list" showErrorMessage="1" errorTitle="输入有误" error="您输入的值不在下拉框列表内。" sqref="O2:O34">
      <formula1>",全部,IE系列,IE11,IE10,IE9,IE8,IE7,IE6,chrome,firefox系列,firefox4,firefox3,firefox2,opera系列,opera11,opera10,opera9,safari,傲游,UC,其他"</formula1>
    </dataValidation>
    <dataValidation type="list" showErrorMessage="1" errorTitle="输入有误" error="您输入的值不在下拉框列表内。" sqref="N2:N34">
      <formula1>",全部,Windows,Windows 8,Windows 7,Windows Vista,Windows XP,Windows 2012,Windows 2008,Windows 2003,Windows 2000,Android,IOS,WP8,WP7,Symbian,Linux,FreeBSD,OS X,Unix,其他"</formula1>
    </dataValidation>
    <dataValidation type="list" showErrorMessage="1" errorTitle="输入有误" error="您输入的值不在下拉框列表内。" sqref="K2:K34">
      <formula1>"一般,致命(程序崩溃、死机）,严重（功能未实现、实现错误）,建议"</formula1>
    </dataValidation>
    <dataValidation type="list" showErrorMessage="1" errorTitle="输入有误" error="您输入的值不在下拉框列表内。" sqref="L2:L34">
      <formula1>",正常排队,立即修改,高度关注,低优先级"</formula1>
    </dataValidation>
    <dataValidation type="list" showErrorMessage="1" errorTitle="输入有误" error="您输入的值不在下拉框列表内。" sqref="M2:M34">
      <formula1>"代码错误,界面优化,设计缺陷,配置相关,安装部署,安全相关,性能问题,标准规范,测试脚本,代码改进,评审,风险,项目问题,其他"</formula1>
    </dataValidation>
  </dataValidations>
  <hyperlinks>
    <hyperlink ref="AL275" r:id="rId1" display="http://192.168.1.208/zentao/data/upload/1/201707/1814174403678n0g"/>
    <hyperlink ref="AL276" r:id="rId2" display="http://192.168.1.208/zentao/data/upload/1/201707/18144000048270g3"/>
    <hyperlink ref="AL250" r:id="rId3" display="http://192.168.1.208/zentao/data/upload/1/201707/1117000007109qh1"/>
    <hyperlink ref="AL122" r:id="rId4" display="http://192.168.1.208/zentao/data/upload/1/201706/141630400267701g.jpg"/>
    <hyperlink ref="AL136" r:id="rId5" display="http://192.168.1.208/zentao/data/upload/1/201706/21103401053141is.txt"/>
    <hyperlink ref="AL129" r:id="rId6" display="http://192.168.1.208/zentao/data/upload/1/201706/1916230705343ppu.log"/>
    <hyperlink ref="AL131" r:id="rId7" display="http://192.168.1.208/zentao/data/upload/1/201706/1919343204412psk.log"/>
    <hyperlink ref="AL123" r:id="rId8" display="http://192.168.1.208/zentao/data/upload/1/201706/14170835049779ck.jpg"/>
    <hyperlink ref="AL124" r:id="rId9" display="http://192.168.1.208/zentao/data/upload/1/201706/1514495303068ipa.log"/>
    <hyperlink ref="AL97" r:id="rId10" display="http://192.168.1.208/zentao/data/upload/1/201706/12183408051876ks.png"/>
    <hyperlink ref="AL113" r:id="rId11" display="http://192.168.1.208/zentao/data/upload/1/201706/1317245606494e5.png"/>
    <hyperlink ref="AL112" r:id="rId12" display="http://192.168.1.208/zentao/data/upload/1/201706/1317085607613mft.png"/>
    <hyperlink ref="AL111" r:id="rId13" display="http://192.168.1.208/zentao/data/upload/1/201706/1317053405706h8b.png"/>
    <hyperlink ref="AL110" r:id="rId14" display="http://192.168.1.208/zentao/data/upload/1/201706/1316115404993hpf.jpg"/>
    <hyperlink ref="AL104" r:id="rId15" display="http://192.168.1.208/zentao/data/upload/1/201706/1314042109431nph.png"/>
    <hyperlink ref="AL95" r:id="rId16" display="http://192.168.1.208/zentao/data/upload/1/201706/12171612082166po.png"/>
    <hyperlink ref="AL71" r:id="rId17" display="http://192.168.1.208/zentao/data/upload/1/201705/2511123606840vps.rar"/>
    <hyperlink ref="AL100" r:id="rId18" display="http://192.168.1.208/zentao/data/upload/1/201706/131042230711537.rar"/>
    <hyperlink ref="AL108" r:id="rId19" display="http://192.168.1.208/zentao/data/upload/1/201706/13145320095537pf.jpg"/>
    <hyperlink ref="AL78" r:id="rId20" display="http://192.168.1.208/zentao/data/upload/1/201705/25163927039540mt.log"/>
    <hyperlink ref="AL67" r:id="rId21" display="http://192.168.1.208/zentao/data/upload/1/201705/231457330306245b.log"/>
  </hyperlinks>
  <pageMargins left="0.69930555555555596" right="0.69930555555555596" top="0.75" bottom="0.75" header="0.3" footer="0.3"/>
  <pageSetup paperSize="9" orientation="portrait"/>
  <legacyDrawing r:id="rId22"/>
  <extLst>
    <ext xmlns:x14="http://schemas.microsoft.com/office/spreadsheetml/2009/9/main" uri="{CCE6A557-97BC-4b89-ADB6-D9C93CAAB3DF}">
      <x14:dataValidations xmlns:xm="http://schemas.microsoft.com/office/excel/2006/main" count="2">
        <x14:dataValidation type="list" showErrorMessage="1" errorTitle="输入有误" error="您输入的值不在下拉框列表内。">
          <x14:formula1>
            <xm:f>[1]系统数据!#REF!</xm:f>
          </x14:formula1>
          <xm:sqref>E2:G34</xm:sqref>
        </x14:dataValidation>
        <x14:dataValidation type="list" showErrorMessage="1" errorTitle="输入有误" error="您输入的值不在下拉框列表内。">
          <x14:formula1>
            <xm:f>[1]系统数据!#REF!</xm:f>
          </x14:formula1>
          <xm:sqref>X2:X34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rgb="FFFF00FF"/>
  </sheetPr>
  <dimension ref="A1:AK59"/>
  <sheetViews>
    <sheetView zoomScaleNormal="100" workbookViewId="0">
      <pane xSplit="3" ySplit="4" topLeftCell="D5" activePane="bottomRight" state="frozen"/>
      <selection pane="topRight"/>
      <selection pane="bottomLeft"/>
      <selection pane="bottomRight" activeCell="G22" sqref="G22"/>
    </sheetView>
  </sheetViews>
  <sheetFormatPr defaultColWidth="9" defaultRowHeight="12.75"/>
  <cols>
    <col min="1" max="1" width="5.140625" customWidth="1"/>
    <col min="3" max="3" width="29.28515625" customWidth="1"/>
    <col min="4" max="4" width="14.140625" customWidth="1"/>
    <col min="5" max="5" width="5.85546875" style="38" customWidth="1"/>
    <col min="6" max="7" width="5.7109375" style="38" customWidth="1"/>
    <col min="8" max="36" width="5.7109375" customWidth="1"/>
    <col min="37" max="37" width="20" customWidth="1"/>
    <col min="38" max="38" width="8.140625" customWidth="1"/>
  </cols>
  <sheetData>
    <row r="1" spans="1:37" ht="13.5" customHeight="1" thickBot="1">
      <c r="A1" s="29"/>
      <c r="B1" s="259" t="s">
        <v>61</v>
      </c>
      <c r="C1" s="259"/>
      <c r="D1" s="259"/>
      <c r="E1" s="259"/>
      <c r="F1" s="260"/>
      <c r="G1" s="260"/>
      <c r="H1" s="402" t="s">
        <v>63</v>
      </c>
      <c r="I1" s="402"/>
      <c r="J1" s="402"/>
      <c r="K1" s="402"/>
      <c r="L1" s="402"/>
      <c r="M1" s="402"/>
      <c r="N1" s="402"/>
      <c r="O1" s="402"/>
      <c r="P1" s="402"/>
      <c r="Q1" s="402"/>
      <c r="R1" s="402"/>
      <c r="S1" s="402"/>
      <c r="T1" s="402"/>
      <c r="U1" s="402"/>
      <c r="V1" s="402"/>
      <c r="W1" s="402"/>
      <c r="X1" s="402"/>
      <c r="Y1" s="402"/>
      <c r="Z1" s="402"/>
      <c r="AA1" s="402"/>
      <c r="AB1" s="402"/>
      <c r="AC1" s="138"/>
      <c r="AD1" s="138"/>
      <c r="AE1" s="138"/>
      <c r="AF1" s="138"/>
      <c r="AG1" s="138"/>
      <c r="AH1" s="138"/>
      <c r="AI1" s="138"/>
      <c r="AJ1" s="139"/>
      <c r="AK1" s="148"/>
    </row>
    <row r="2" spans="1:37" ht="12.75" customHeight="1" thickBot="1">
      <c r="B2" s="419" t="s">
        <v>195</v>
      </c>
      <c r="C2" s="403" t="s">
        <v>60</v>
      </c>
      <c r="D2" s="405" t="s">
        <v>104</v>
      </c>
      <c r="E2" s="421" t="s">
        <v>196</v>
      </c>
      <c r="F2" s="403" t="s">
        <v>197</v>
      </c>
      <c r="G2" s="404"/>
      <c r="H2" s="423" t="s">
        <v>224</v>
      </c>
      <c r="I2" s="423"/>
      <c r="J2" s="423"/>
      <c r="K2" s="423"/>
      <c r="L2" s="424" t="s">
        <v>198</v>
      </c>
      <c r="M2" s="425"/>
      <c r="N2" s="425"/>
      <c r="O2" s="425"/>
      <c r="P2" s="425"/>
      <c r="Q2" s="425"/>
      <c r="R2" s="425"/>
      <c r="S2" s="425"/>
      <c r="T2" s="426"/>
      <c r="U2" s="415" t="s">
        <v>44</v>
      </c>
      <c r="V2" s="416"/>
      <c r="W2" s="416"/>
      <c r="X2" s="416"/>
      <c r="Y2" s="408" t="s">
        <v>199</v>
      </c>
      <c r="Z2" s="409"/>
      <c r="AA2" s="409"/>
      <c r="AB2" s="409"/>
      <c r="AC2" s="410" t="s">
        <v>2</v>
      </c>
      <c r="AD2" s="411"/>
      <c r="AE2" s="411"/>
      <c r="AF2" s="411"/>
      <c r="AG2" s="411"/>
      <c r="AH2" s="411"/>
      <c r="AI2" s="411"/>
      <c r="AJ2" s="412"/>
      <c r="AK2" s="413" t="s">
        <v>4</v>
      </c>
    </row>
    <row r="3" spans="1:37" ht="84.75" thickBot="1">
      <c r="B3" s="420"/>
      <c r="C3" s="407"/>
      <c r="D3" s="406"/>
      <c r="E3" s="422"/>
      <c r="F3" s="261" t="s">
        <v>284</v>
      </c>
      <c r="G3" s="262" t="s">
        <v>285</v>
      </c>
      <c r="H3" s="34" t="s">
        <v>105</v>
      </c>
      <c r="I3" s="34" t="s">
        <v>106</v>
      </c>
      <c r="J3" s="34" t="s">
        <v>107</v>
      </c>
      <c r="K3" s="34" t="s">
        <v>108</v>
      </c>
      <c r="L3" s="299" t="s">
        <v>200</v>
      </c>
      <c r="M3" s="300" t="s">
        <v>201</v>
      </c>
      <c r="N3" s="301" t="s">
        <v>45</v>
      </c>
      <c r="O3" s="301" t="s">
        <v>46</v>
      </c>
      <c r="P3" s="301" t="s">
        <v>34</v>
      </c>
      <c r="Q3" s="301" t="s">
        <v>36</v>
      </c>
      <c r="R3" s="301" t="s">
        <v>293</v>
      </c>
      <c r="S3" s="301" t="s">
        <v>35</v>
      </c>
      <c r="T3" s="302" t="s">
        <v>37</v>
      </c>
      <c r="U3" s="99" t="s">
        <v>125</v>
      </c>
      <c r="V3" s="35" t="s">
        <v>126</v>
      </c>
      <c r="W3" s="35" t="s">
        <v>202</v>
      </c>
      <c r="X3" s="35" t="s">
        <v>127</v>
      </c>
      <c r="Y3" s="99" t="s">
        <v>65</v>
      </c>
      <c r="Z3" s="35" t="s">
        <v>203</v>
      </c>
      <c r="AA3" s="35" t="s">
        <v>67</v>
      </c>
      <c r="AB3" s="36" t="s">
        <v>204</v>
      </c>
      <c r="AC3" s="33" t="s">
        <v>38</v>
      </c>
      <c r="AD3" s="31" t="s">
        <v>39</v>
      </c>
      <c r="AE3" s="31" t="s">
        <v>40</v>
      </c>
      <c r="AF3" s="31" t="s">
        <v>41</v>
      </c>
      <c r="AG3" s="31" t="s">
        <v>128</v>
      </c>
      <c r="AH3" s="31" t="s">
        <v>130</v>
      </c>
      <c r="AI3" s="31" t="s">
        <v>205</v>
      </c>
      <c r="AJ3" s="32" t="s">
        <v>129</v>
      </c>
      <c r="AK3" s="414"/>
    </row>
    <row r="4" spans="1:37" ht="13.5" thickBot="1">
      <c r="B4" s="96" t="s">
        <v>323</v>
      </c>
      <c r="C4" s="80" t="s">
        <v>324</v>
      </c>
      <c r="D4" s="134"/>
      <c r="E4" s="130"/>
      <c r="F4" s="100"/>
      <c r="G4" s="81"/>
      <c r="H4" s="69"/>
      <c r="I4" s="63"/>
      <c r="J4" s="63"/>
      <c r="K4" s="298"/>
      <c r="L4" s="62"/>
      <c r="M4" s="63"/>
      <c r="N4" s="63"/>
      <c r="O4" s="63"/>
      <c r="P4" s="63"/>
      <c r="Q4" s="63"/>
      <c r="R4" s="63"/>
      <c r="S4" s="63"/>
      <c r="T4" s="64"/>
      <c r="U4" s="69"/>
      <c r="V4" s="63"/>
      <c r="W4" s="63"/>
      <c r="X4" s="64"/>
      <c r="Y4" s="62"/>
      <c r="Z4" s="63"/>
      <c r="AA4" s="63"/>
      <c r="AB4" s="64"/>
      <c r="AC4" s="69"/>
      <c r="AD4" s="63"/>
      <c r="AE4" s="63"/>
      <c r="AF4" s="63"/>
      <c r="AG4" s="63"/>
      <c r="AH4" s="63"/>
      <c r="AI4" s="63"/>
      <c r="AJ4" s="64"/>
      <c r="AK4" s="142"/>
    </row>
    <row r="5" spans="1:37" ht="20.100000000000001" customHeight="1">
      <c r="A5">
        <v>1</v>
      </c>
      <c r="B5" s="78">
        <v>119</v>
      </c>
      <c r="C5" s="79" t="s">
        <v>325</v>
      </c>
      <c r="D5" s="82" t="s">
        <v>326</v>
      </c>
      <c r="E5" s="82"/>
      <c r="F5" s="152">
        <v>24</v>
      </c>
      <c r="G5" s="153"/>
      <c r="H5" s="271">
        <f>COUNTIFS(缺陷明细!$A$2:$A$50000,$B$4,缺陷明细!$G$2:$G$50000,$C5,缺陷明细!$J$2:$J$50000,"评审",缺陷明细!$AB$2:$AB$50000,"&lt;&gt;丢弃",缺陷明细!$AB$2:$AB$50000,"&lt;&gt;设计如此",缺陷明细!$AB$2:$AB$50000,"&lt;&gt;重复Bug")</f>
        <v>0</v>
      </c>
      <c r="I5" s="272">
        <f>COUNTIFS(缺陷明细!$A$2:$A$50000,$B$4,缺陷明细!$G$2:$G$50000,$C5,缺陷明细!$Q$2:$Q$50000,"已关闭",缺陷明细!$J$2:$J$50000,"评审")</f>
        <v>0</v>
      </c>
      <c r="J5" s="272">
        <f>COUNTIFS(缺陷明细!$A$2:$A$50000,$B$4,缺陷明细!$G$2:$G$50000,$C5,缺陷明细!$J$2:$J$50000,"单元测试",缺陷明细!$AB$2:$AB$50000,"&lt;&gt;丢弃",缺陷明细!$AB$2:$AB$50000,"&lt;&gt;设计如此",缺陷明细!$AB$2:$AB$50000,"&lt;&gt;重复Bug")</f>
        <v>0</v>
      </c>
      <c r="K5" s="273">
        <f>COUNTIFS(缺陷明细!$A$2:$A$50000,$B$4,缺陷明细!$G$2:$G$50000,$C5,缺陷明细!$Q$2:$Q$50000,"已关闭",缺陷明细!$J$2:$J$50000,"单元测试")</f>
        <v>0</v>
      </c>
      <c r="L5" s="156"/>
      <c r="M5" s="157"/>
      <c r="N5" s="72">
        <f>COUNTIFS(缺陷明细!$A$2:$A$50000,$B$4,缺陷明细!$G$2:$G$50000,$C5,缺陷明细!$J$2:$J$50000,"系统测试案例评审",缺陷明细!$AB$2:$AB$50000,"&lt;&gt;丢弃",缺陷明细!$AB$2:$AB$50000,"&lt;&gt;设计如此",缺陷明细!$AB$2:$AB$50000,"&lt;&gt;重复Bug")</f>
        <v>0</v>
      </c>
      <c r="O5" s="72">
        <f>COUNTIFS(缺陷明细!$A$2:$A$50000,$B$4,缺陷明细!$G$2:$G$50000,$C5,缺陷明细!$Q$2:$Q$50000,"已关闭",缺陷明细!$J$2:$J$50000,"系统测试案例评审")</f>
        <v>0</v>
      </c>
      <c r="P5" s="72">
        <f>COUNTIFS(缺陷明细!$A$2:$A$50000,$B$4,缺陷明细!$G$2:$G$50000,$C5,缺陷明细!$J$2:$J$50000,"系统测试",缺陷明细!$AB$2:$AB$50000,"&lt;&gt;丢弃",缺陷明细!$AB$2:$AB$50000,"&lt;&gt;设计如此",缺陷明细!$AB$2:$AB$50000,"&lt;&gt;重复Bug")</f>
        <v>0</v>
      </c>
      <c r="Q5" s="72">
        <f>COUNTIFS(缺陷明细!$A$2:$A$50000,$B$4,缺陷明细!$G$2:$G$50000,$C5,缺陷明细!$Q$2:$Q$50000,"已关闭",缺陷明细!$J$2:$J$50000,"系统测试")</f>
        <v>0</v>
      </c>
      <c r="R5" s="72">
        <f>COUNTIFS(缺陷明细!$A$2:$A$50000,$B$4,缺陷明细!$G$2:$G$50000,$C5,缺陷明细!$AB$2:$AB$50000,"丢弃",缺陷明细!$J$2:$J$50000,"系统测试")+COUNTIFS(缺陷明细!$A$2:$A$50000,$B$4,缺陷明细!$G$2:$G$50000,$C5,缺陷明细!$AB$2:$AB$50000,"设计如此",缺陷明细!$J$2:$J$50000,"系统测试")+COUNTIFS(缺陷明细!$A$2:$A$50000,$B$4,缺陷明细!$G$2:$G$50000,$C5,缺陷明细!$AB$2:$AB$50000,"重复Bug",缺陷明细!$J$2:$J$50000,"系统测试")</f>
        <v>0</v>
      </c>
      <c r="S5" s="72">
        <f>COUNTIFS(缺陷明细!$A$2:$A$50000,$B$4,缺陷明细!$G$2:$G$50000,$C5,缺陷明细!$J$2:$J$50000,"系统测试",缺陷明细!$K$2:$K$50000,"致命",缺陷明细!$AB$2:$AB$50000,"&lt;&gt;丢弃",缺陷明细!$AB$2:$AB$50000,"&lt;&gt;设计如此",缺陷明细!$AB$2:$AB$50000,"&lt;&gt;重复Bug")+COUNTIFS(缺陷明细!$A$2:$A$50000,$B$4,缺陷明细!$G$2:$G$50000,$C5,缺陷明细!$J$2:$J$50000,"系统测试",缺陷明细!$K$2:$K$50000,"严重",缺陷明细!$AB$2:$AB$50000,"&lt;&gt;丢弃",缺陷明细!$AB$2:$AB$50000,"&lt;&gt;设计如此",缺陷明细!$AB$2:$AB$50000,"&lt;&gt;重复Bug")</f>
        <v>0</v>
      </c>
      <c r="T5" s="73">
        <f>COUNTIFS(缺陷明细!$A$2:$A$50000,$B$4,缺陷明细!$G$2:$G$50000,$C5,缺陷明细!$Q$2:$Q$50000,"已关闭",缺陷明细!$J$2:$J$50000,"系统测试",缺陷明细!$K$2:$K$50000,"致命")+COUNTIFS(缺陷明细!$A$2:$A$50000,$B$4,缺陷明细!$G$2:$G$50000,$C5,缺陷明细!$Q$2:$Q$50000,"已关闭",缺陷明细!$J$2:$J$50000,"系统测试",缺陷明细!$K$2:$K$50000,"严重")</f>
        <v>0</v>
      </c>
      <c r="U5" s="276">
        <f>COUNTIFS(缺陷明细!$A$2:$A$50000,$B$4,缺陷明细!$G$2:$G$50000,$C5,缺陷明细!$J$2:$J$50000,"验收测试",缺陷明细!$AB$2:$AB$50000,"&lt;&gt;丢弃",缺陷明细!$AB$2:$AB$50000,"&lt;&gt;设计如此",缺陷明细!$AB$2:$AB$50000,"&lt;&gt;重复Bug")</f>
        <v>0</v>
      </c>
      <c r="V5" s="277">
        <f>COUNTIFS(缺陷明细!$A$2:$A$50000,$B$4,缺陷明细!$G$2:$G$50000,$C5,缺陷明细!$Q$2:$Q$50000,"已关闭",缺陷明细!$J$2:$J$50000,"验收测试")</f>
        <v>0</v>
      </c>
      <c r="W5" s="277">
        <f>COUNTIFS(缺陷明细!$A$2:$A$50000,$B$4,缺陷明细!$G$2:$G$50000,$C5,缺陷明细!$J$2:$J$50000,"验收测试",缺陷明细!$K$2:$K$50000,"致命",缺陷明细!$AB$2:$AB$50000,"&lt;&gt;丢弃",缺陷明细!$AB$2:$AB$50000,"&lt;&gt;设计如此",缺陷明细!$AB$2:$AB$50000,"&lt;&gt;重复Bug")+COUNTIFS(缺陷明细!$A$2:$A$50000,$B$4,缺陷明细!$G$2:$G$50000,$C5,缺陷明细!$J$2:$J$50000,"验收测试",缺陷明细!$K$2:$K$50000,"严重",缺陷明细!$AB$2:$AB$50000,"&lt;&gt;丢弃",缺陷明细!$AB$2:$AB$50000,"&lt;&gt;设计如此",缺陷明细!$AB$2:$AB$50000,"&lt;&gt;重复Bug")</f>
        <v>0</v>
      </c>
      <c r="X5" s="278">
        <f>COUNTIFS(缺陷明细!$A$2:$A$50000,$B$4,缺陷明细!$G$2:$G$50000,$C5,缺陷明细!$Q$2:$Q$50000,"已关闭",缺陷明细!$J$2:$J$50000,"验收测试",缺陷明细!$K$2:$K$50000,"致命")+COUNTIFS(缺陷明细!$A$2:$A$50000,$B$4,缺陷明细!$G$2:$G$50000,$C5,缺陷明细!$Q$2:$Q$50000,"已关闭",缺陷明细!$J$2:$J$50000,"验收测试",缺陷明细!$K$2:$K$50000,"严重")</f>
        <v>0</v>
      </c>
      <c r="Y5" s="279">
        <f>COUNTIFS(缺陷明细!$A$2:$A$50000,$B$4,缺陷明细!$G$2:$G$50000,$C5,缺陷明细!$J$2:$J$50000,"运维测试",缺陷明细!$AB$2:$AB$50000,"&lt;&gt;丢弃",缺陷明细!$AB$2:$AB$50000,"&lt;&gt;设计如此",缺陷明细!$AB$2:$AB$50000,"&lt;&gt;重复Bug")</f>
        <v>0</v>
      </c>
      <c r="Z5" s="280">
        <f>COUNTIFS(缺陷明细!$A$2:$A$50000,$B$4,缺陷明细!$G$2:$G$50000,$C5,缺陷明细!$Q$2:$Q$50000,"已关闭",缺陷明细!$J$2:$J$50000,"运维测试")</f>
        <v>0</v>
      </c>
      <c r="AA5" s="274">
        <f>COUNTIFS(缺陷明细!$A$2:$A$50000,$B$4,缺陷明细!$G$2:$G$50000,$C5,缺陷明细!$J$2:$J$50000,"运维测试",缺陷明细!$K$2:$K$50000,"致命",缺陷明细!$AB$2:$AB$50000,"&lt;&gt;丢弃",缺陷明细!$AB$2:$AB$50000,"&lt;&gt;设计如此",缺陷明细!$AB$2:$AB$50000,"&lt;&gt;重复Bug")+COUNTIFS(缺陷明细!$A$2:$A$50000,$B$4,缺陷明细!$G$2:$G$50000,$C5,缺陷明细!$J$2:$J$50000,"运维测试",缺陷明细!$K$2:$K$50000,"严重",缺陷明细!$AB$2:$AB$50000,"&lt;&gt;丢弃",缺陷明细!$AB$2:$AB$50000,"&lt;&gt;设计如此",缺陷明细!$AB$2:$AB$50000,"&lt;&gt;重复Bug")</f>
        <v>0</v>
      </c>
      <c r="AB5" s="275">
        <f>COUNTIFS(缺陷明细!$A$2:$A$50000,$B$4,缺陷明细!$G$2:$G$50000,$C5,缺陷明细!$Q$2:$Q$50000,"已关闭",缺陷明细!$J$2:$J$50000,"运维测试",缺陷明细!$K$2:$K$50000,"致命")+COUNTIFS(缺陷明细!$A$2:$A$50000,$B$4,缺陷明细!$G$2:$G$50000,$C5,缺陷明细!$Q$2:$Q$50000,"已关闭",缺陷明细!$J$2:$J$50000,"运维测试",缺陷明细!$K$2:$K$50000,"严重")</f>
        <v>0</v>
      </c>
      <c r="AC5" s="68">
        <f>H5</f>
        <v>0</v>
      </c>
      <c r="AD5" s="60">
        <f>I5</f>
        <v>0</v>
      </c>
      <c r="AE5" s="60">
        <f>H5+J5</f>
        <v>0</v>
      </c>
      <c r="AF5" s="60">
        <f>I5+K5</f>
        <v>0</v>
      </c>
      <c r="AG5" s="60">
        <f>H5+J5+P5</f>
        <v>0</v>
      </c>
      <c r="AH5" s="60">
        <f>I5+K5+Q5</f>
        <v>0</v>
      </c>
      <c r="AI5" s="60">
        <f>Y5</f>
        <v>0</v>
      </c>
      <c r="AJ5" s="61">
        <f>Z5</f>
        <v>0</v>
      </c>
      <c r="AK5" s="143"/>
    </row>
    <row r="6" spans="1:37" ht="20.100000000000001" customHeight="1">
      <c r="A6">
        <v>2</v>
      </c>
      <c r="B6" s="57">
        <v>120</v>
      </c>
      <c r="C6" s="58" t="s">
        <v>327</v>
      </c>
      <c r="D6" s="83" t="s">
        <v>326</v>
      </c>
      <c r="E6" s="82"/>
      <c r="F6" s="158">
        <v>24</v>
      </c>
      <c r="G6" s="159"/>
      <c r="H6" s="281">
        <f>COUNTIFS(缺陷明细!$A$2:$A$50000,$B$4,缺陷明细!$G$2:$G$50000,$C6,缺陷明细!$J$2:$J$50000,"评审",缺陷明细!$AB$2:$AB$50000,"&lt;&gt;丢弃",缺陷明细!$AB$2:$AB$50000,"&lt;&gt;设计如此",缺陷明细!$AB$2:$AB$50000,"&lt;&gt;重复Bug")</f>
        <v>0</v>
      </c>
      <c r="I6" s="154">
        <f>COUNTIFS(缺陷明细!$A$2:$A$50000,$B$4,缺陷明细!$G$2:$G$50000,$C6,缺陷明细!$Q$2:$Q$50000,"已关闭",缺陷明细!$J$2:$J$50000,"评审")</f>
        <v>0</v>
      </c>
      <c r="J6" s="154">
        <f>COUNTIFS(缺陷明细!$A$2:$A$50000,$B$4,缺陷明细!$G$2:$G$50000,$C6,缺陷明细!$J$2:$J$50000,"单元测试",缺陷明细!$AB$2:$AB$50000,"&lt;&gt;丢弃",缺陷明细!$AB$2:$AB$50000,"&lt;&gt;设计如此",缺陷明细!$AB$2:$AB$50000,"&lt;&gt;重复Bug")</f>
        <v>0</v>
      </c>
      <c r="K6" s="155">
        <f>COUNTIFS(缺陷明细!$A$2:$A$50000,$B$4,缺陷明细!$G$2:$G$50000,$C6,缺陷明细!$Q$2:$Q$50000,"已关闭",缺陷明细!$J$2:$J$50000,"单元测试")</f>
        <v>0</v>
      </c>
      <c r="L6" s="156"/>
      <c r="M6" s="157"/>
      <c r="N6" s="72">
        <f>COUNTIFS(缺陷明细!$A$2:$A$50000,$B$4,缺陷明细!$G$2:$G$50000,$C6,缺陷明细!$J$2:$J$50000,"系统测试案例评审",缺陷明细!$AB$2:$AB$50000,"&lt;&gt;丢弃",缺陷明细!$AB$2:$AB$50000,"&lt;&gt;设计如此",缺陷明细!$AB$2:$AB$50000,"&lt;&gt;重复Bug")</f>
        <v>0</v>
      </c>
      <c r="O6" s="72">
        <f>COUNTIFS(缺陷明细!$A$2:$A$50000,$B$4,缺陷明细!$G$2:$G$50000,$C6,缺陷明细!$Q$2:$Q$50000,"已关闭",缺陷明细!$J$2:$J$50000,"系统测试案例评审")</f>
        <v>0</v>
      </c>
      <c r="P6" s="72">
        <f>COUNTIFS(缺陷明细!$A$2:$A$50000,$B$4,缺陷明细!$G$2:$G$50000,$C6,缺陷明细!$J$2:$J$50000,"系统测试",缺陷明细!$AB$2:$AB$50000,"&lt;&gt;丢弃",缺陷明细!$AB$2:$AB$50000,"&lt;&gt;设计如此",缺陷明细!$AB$2:$AB$50000,"&lt;&gt;重复Bug")</f>
        <v>0</v>
      </c>
      <c r="Q6" s="72">
        <f>COUNTIFS(缺陷明细!$A$2:$A$50000,$B$4,缺陷明细!$G$2:$G$50000,$C6,缺陷明细!$Q$2:$Q$50000,"已关闭",缺陷明细!$J$2:$J$50000,"系统测试")</f>
        <v>0</v>
      </c>
      <c r="R6" s="296">
        <f>COUNTIFS(缺陷明细!$A$2:$A$50000,$B$4,缺陷明细!$G$2:$G$50000,$C6,缺陷明细!$AB$2:$AB$50000,"丢弃",缺陷明细!$J$2:$J$50000,"系统测试")+COUNTIFS(缺陷明细!$A$2:$A$50000,$B$4,缺陷明细!$G$2:$G$50000,$C6,缺陷明细!$AB$2:$AB$50000,"设计如此",缺陷明细!$J$2:$J$50000,"系统测试")+COUNTIFS(缺陷明细!$A$2:$A$50000,$B$4,缺陷明细!$G$2:$G$50000,$C6,缺陷明细!$AB$2:$AB$50000,"重复Bug",缺陷明细!$J$2:$J$50000,"系统测试")</f>
        <v>0</v>
      </c>
      <c r="S6" s="72">
        <f>COUNTIFS(缺陷明细!$A$2:$A$50000,$B$4,缺陷明细!$G$2:$G$50000,$C6,缺陷明细!$J$2:$J$50000,"系统测试",缺陷明细!$K$2:$K$50000,"致命",缺陷明细!$AB$2:$AB$50000,"&lt;&gt;丢弃",缺陷明细!$AB$2:$AB$50000,"&lt;&gt;设计如此",缺陷明细!$AB$2:$AB$50000,"&lt;&gt;重复Bug")+COUNTIFS(缺陷明细!$A$2:$A$50000,$B$4,缺陷明细!$G$2:$G$50000,$C6,缺陷明细!$J$2:$J$50000,"系统测试",缺陷明细!$K$2:$K$50000,"严重",缺陷明细!$AB$2:$AB$50000,"&lt;&gt;丢弃",缺陷明细!$AB$2:$AB$50000,"&lt;&gt;设计如此",缺陷明细!$AB$2:$AB$50000,"&lt;&gt;重复Bug")</f>
        <v>0</v>
      </c>
      <c r="T6" s="73">
        <f>COUNTIFS(缺陷明细!$A$2:$A$50000,$B$4,缺陷明细!$G$2:$G$50000,$C6,缺陷明细!$Q$2:$Q$50000,"已关闭",缺陷明细!$J$2:$J$50000,"系统测试",缺陷明细!$K$2:$K$50000,"致命")+COUNTIFS(缺陷明细!$A$2:$A$50000,$B$4,缺陷明细!$G$2:$G$50000,$C6,缺陷明细!$Q$2:$Q$50000,"已关闭",缺陷明细!$J$2:$J$50000,"系统测试",缺陷明细!$K$2:$K$50000,"严重")</f>
        <v>0</v>
      </c>
      <c r="U6" s="74">
        <f>COUNTIFS(缺陷明细!$A$2:$A$50000,$B$4,缺陷明细!$G$2:$G$50000,$C6,缺陷明细!$J$2:$J$50000,"验收测试",缺陷明细!$AB$2:$AB$50000,"&lt;&gt;丢弃",缺陷明细!$AB$2:$AB$50000,"&lt;&gt;设计如此",缺陷明细!$AB$2:$AB$50000,"&lt;&gt;重复Bug")</f>
        <v>0</v>
      </c>
      <c r="V6" s="75">
        <f>COUNTIFS(缺陷明细!$A$2:$A$50000,$B$4,缺陷明细!$G$2:$G$50000,$C6,缺陷明细!$Q$2:$Q$50000,"已关闭",缺陷明细!$J$2:$J$50000,"验收测试")</f>
        <v>0</v>
      </c>
      <c r="W6" s="75">
        <f>COUNTIFS(缺陷明细!$A$2:$A$50000,$B$4,缺陷明细!$G$2:$G$50000,$C6,缺陷明细!$J$2:$J$50000,"验收测试",缺陷明细!$K$2:$K$50000,"致命",缺陷明细!$AB$2:$AB$50000,"&lt;&gt;丢弃",缺陷明细!$AB$2:$AB$50000,"&lt;&gt;设计如此",缺陷明细!$AB$2:$AB$50000,"&lt;&gt;重复Bug")+COUNTIFS(缺陷明细!$A$2:$A$50000,$B$4,缺陷明细!$G$2:$G$50000,$C6,缺陷明细!$J$2:$J$50000,"验收测试",缺陷明细!$K$2:$K$50000,"严重",缺陷明细!$AB$2:$AB$50000,"&lt;&gt;丢弃",缺陷明细!$AB$2:$AB$50000,"&lt;&gt;设计如此",缺陷明细!$AB$2:$AB$50000,"&lt;&gt;重复Bug")</f>
        <v>0</v>
      </c>
      <c r="X6" s="76">
        <f>COUNTIFS(缺陷明细!$A$2:$A$50000,$B$4,缺陷明细!$G$2:$G$50000,$C6,缺陷明细!$Q$2:$Q$50000,"已关闭",缺陷明细!$J$2:$J$50000,"验收测试",缺陷明细!$K$2:$K$50000,"致命")+COUNTIFS(缺陷明细!$A$2:$A$50000,$B$4,缺陷明细!$G$2:$G$50000,$C6,缺陷明细!$Q$2:$Q$50000,"已关闭",缺陷明细!$J$2:$J$50000,"验收测试",缺陷明细!$K$2:$K$50000,"严重")</f>
        <v>0</v>
      </c>
      <c r="Y6" s="70">
        <f>COUNTIFS(缺陷明细!$A$2:$A$50000,$B$4,缺陷明细!$G$2:$G$50000,$C6,缺陷明细!$J$2:$J$50000,"运维测试",缺陷明细!$AB$2:$AB$50000,"&lt;&gt;丢弃",缺陷明细!$AB$2:$AB$50000,"&lt;&gt;设计如此",缺陷明细!$AB$2:$AB$50000,"&lt;&gt;重复Bug")</f>
        <v>0</v>
      </c>
      <c r="Z6" s="71">
        <f>COUNTIFS(缺陷明细!$A$2:$A$50000,$B$4,缺陷明细!$G$2:$G$50000,$C6,缺陷明细!$Q$2:$Q$50000,"已关闭",缺陷明细!$J$2:$J$50000,"运维测试")</f>
        <v>0</v>
      </c>
      <c r="AA6" s="72">
        <f>COUNTIFS(缺陷明细!$A$2:$A$50000,$B$4,缺陷明细!$G$2:$G$50000,$C6,缺陷明细!$J$2:$J$50000,"运维测试",缺陷明细!$K$2:$K$50000,"致命",缺陷明细!$AB$2:$AB$50000,"&lt;&gt;丢弃",缺陷明细!$AB$2:$AB$50000,"&lt;&gt;设计如此",缺陷明细!$AB$2:$AB$50000,"&lt;&gt;重复Bug")+COUNTIFS(缺陷明细!$A$2:$A$50000,$B$4,缺陷明细!$G$2:$G$50000,$C6,缺陷明细!$J$2:$J$50000,"运维测试",缺陷明细!$K$2:$K$50000,"严重",缺陷明细!$AB$2:$AB$50000,"&lt;&gt;丢弃",缺陷明细!$AB$2:$AB$50000,"&lt;&gt;设计如此",缺陷明细!$AB$2:$AB$50000,"&lt;&gt;重复Bug")</f>
        <v>0</v>
      </c>
      <c r="AB6" s="73">
        <f>COUNTIFS(缺陷明细!$A$2:$A$50000,$B$4,缺陷明细!$G$2:$G$50000,$C6,缺陷明细!$Q$2:$Q$50000,"已关闭",缺陷明细!$J$2:$J$50000,"运维测试",缺陷明细!$K$2:$K$50000,"致命")+COUNTIFS(缺陷明细!$A$2:$A$50000,$B$4,缺陷明细!$G$2:$G$50000,$C6,缺陷明细!$Q$2:$Q$50000,"已关闭",缺陷明细!$J$2:$J$50000,"运维测试",缺陷明细!$K$2:$K$50000,"严重")</f>
        <v>0</v>
      </c>
      <c r="AC6" s="68">
        <f t="shared" ref="AC6:AD55" si="0">H6</f>
        <v>0</v>
      </c>
      <c r="AD6" s="60">
        <f t="shared" si="0"/>
        <v>0</v>
      </c>
      <c r="AE6" s="60">
        <f t="shared" ref="AE6:AF55" si="1">H6+J6</f>
        <v>0</v>
      </c>
      <c r="AF6" s="60">
        <f t="shared" si="1"/>
        <v>0</v>
      </c>
      <c r="AG6" s="60">
        <f t="shared" ref="AG6:AH55" si="2">H6+J6+P6</f>
        <v>0</v>
      </c>
      <c r="AH6" s="60">
        <f t="shared" si="2"/>
        <v>0</v>
      </c>
      <c r="AI6" s="60">
        <f t="shared" ref="AI6:AJ55" si="3">Y6</f>
        <v>0</v>
      </c>
      <c r="AJ6" s="61">
        <f t="shared" si="3"/>
        <v>0</v>
      </c>
      <c r="AK6" s="144"/>
    </row>
    <row r="7" spans="1:37" ht="20.100000000000001" customHeight="1">
      <c r="A7">
        <v>3</v>
      </c>
      <c r="B7" s="57">
        <v>121</v>
      </c>
      <c r="C7" s="58" t="s">
        <v>328</v>
      </c>
      <c r="D7" s="83" t="s">
        <v>326</v>
      </c>
      <c r="E7" s="82"/>
      <c r="F7" s="158">
        <v>32</v>
      </c>
      <c r="G7" s="159"/>
      <c r="H7" s="281">
        <f>COUNTIFS(缺陷明细!$A$2:$A$50000,$B$4,缺陷明细!$G$2:$G$50000,$C7,缺陷明细!$J$2:$J$50000,"评审",缺陷明细!$AB$2:$AB$50000,"&lt;&gt;丢弃",缺陷明细!$AB$2:$AB$50000,"&lt;&gt;设计如此",缺陷明细!$AB$2:$AB$50000,"&lt;&gt;重复Bug")</f>
        <v>0</v>
      </c>
      <c r="I7" s="154">
        <f>COUNTIFS(缺陷明细!$A$2:$A$50000,$B$4,缺陷明细!$G$2:$G$50000,$C7,缺陷明细!$Q$2:$Q$50000,"已关闭",缺陷明细!$J$2:$J$50000,"评审")</f>
        <v>0</v>
      </c>
      <c r="J7" s="154">
        <f>COUNTIFS(缺陷明细!$A$2:$A$50000,$B$4,缺陷明细!$G$2:$G$50000,$C7,缺陷明细!$J$2:$J$50000,"单元测试",缺陷明细!$AB$2:$AB$50000,"&lt;&gt;丢弃",缺陷明细!$AB$2:$AB$50000,"&lt;&gt;设计如此",缺陷明细!$AB$2:$AB$50000,"&lt;&gt;重复Bug")</f>
        <v>0</v>
      </c>
      <c r="K7" s="155">
        <f>COUNTIFS(缺陷明细!$A$2:$A$50000,$B$4,缺陷明细!$G$2:$G$50000,$C7,缺陷明细!$Q$2:$Q$50000,"已关闭",缺陷明细!$J$2:$J$50000,"单元测试")</f>
        <v>0</v>
      </c>
      <c r="L7" s="156"/>
      <c r="M7" s="157"/>
      <c r="N7" s="72">
        <f>COUNTIFS(缺陷明细!$A$2:$A$50000,$B$4,缺陷明细!$G$2:$G$50000,$C7,缺陷明细!$J$2:$J$50000,"系统测试案例评审",缺陷明细!$AB$2:$AB$50000,"&lt;&gt;丢弃",缺陷明细!$AB$2:$AB$50000,"&lt;&gt;设计如此",缺陷明细!$AB$2:$AB$50000,"&lt;&gt;重复Bug")</f>
        <v>0</v>
      </c>
      <c r="O7" s="72">
        <f>COUNTIFS(缺陷明细!$A$2:$A$50000,$B$4,缺陷明细!$G$2:$G$50000,$C7,缺陷明细!$Q$2:$Q$50000,"已关闭",缺陷明细!$J$2:$J$50000,"系统测试案例评审")</f>
        <v>0</v>
      </c>
      <c r="P7" s="72">
        <f>COUNTIFS(缺陷明细!$A$2:$A$50000,$B$4,缺陷明细!$G$2:$G$50000,$C7,缺陷明细!$J$2:$J$50000,"系统测试",缺陷明细!$AB$2:$AB$50000,"&lt;&gt;丢弃",缺陷明细!$AB$2:$AB$50000,"&lt;&gt;设计如此",缺陷明细!$AB$2:$AB$50000,"&lt;&gt;重复Bug")</f>
        <v>0</v>
      </c>
      <c r="Q7" s="72">
        <f>COUNTIFS(缺陷明细!$A$2:$A$50000,$B$4,缺陷明细!$G$2:$G$50000,$C7,缺陷明细!$Q$2:$Q$50000,"已关闭",缺陷明细!$J$2:$J$50000,"系统测试")</f>
        <v>0</v>
      </c>
      <c r="R7" s="296">
        <f>COUNTIFS(缺陷明细!$A$2:$A$50000,$B$4,缺陷明细!$G$2:$G$50000,$C7,缺陷明细!$AB$2:$AB$50000,"丢弃",缺陷明细!$J$2:$J$50000,"系统测试")+COUNTIFS(缺陷明细!$A$2:$A$50000,$B$4,缺陷明细!$G$2:$G$50000,$C7,缺陷明细!$AB$2:$AB$50000,"设计如此",缺陷明细!$J$2:$J$50000,"系统测试")+COUNTIFS(缺陷明细!$A$2:$A$50000,$B$4,缺陷明细!$G$2:$G$50000,$C7,缺陷明细!$AB$2:$AB$50000,"重复Bug",缺陷明细!$J$2:$J$50000,"系统测试")</f>
        <v>0</v>
      </c>
      <c r="S7" s="72">
        <f>COUNTIFS(缺陷明细!$A$2:$A$50000,$B$4,缺陷明细!$G$2:$G$50000,$C7,缺陷明细!$J$2:$J$50000,"系统测试",缺陷明细!$K$2:$K$50000,"致命",缺陷明细!$AB$2:$AB$50000,"&lt;&gt;丢弃",缺陷明细!$AB$2:$AB$50000,"&lt;&gt;设计如此",缺陷明细!$AB$2:$AB$50000,"&lt;&gt;重复Bug")+COUNTIFS(缺陷明细!$A$2:$A$50000,$B$4,缺陷明细!$G$2:$G$50000,$C7,缺陷明细!$J$2:$J$50000,"系统测试",缺陷明细!$K$2:$K$50000,"严重",缺陷明细!$AB$2:$AB$50000,"&lt;&gt;丢弃",缺陷明细!$AB$2:$AB$50000,"&lt;&gt;设计如此",缺陷明细!$AB$2:$AB$50000,"&lt;&gt;重复Bug")</f>
        <v>0</v>
      </c>
      <c r="T7" s="73">
        <f>COUNTIFS(缺陷明细!$A$2:$A$50000,$B$4,缺陷明细!$G$2:$G$50000,$C7,缺陷明细!$Q$2:$Q$50000,"已关闭",缺陷明细!$J$2:$J$50000,"系统测试",缺陷明细!$K$2:$K$50000,"致命")+COUNTIFS(缺陷明细!$A$2:$A$50000,$B$4,缺陷明细!$G$2:$G$50000,$C7,缺陷明细!$Q$2:$Q$50000,"已关闭",缺陷明细!$J$2:$J$50000,"系统测试",缺陷明细!$K$2:$K$50000,"严重")</f>
        <v>0</v>
      </c>
      <c r="U7" s="74">
        <f>COUNTIFS(缺陷明细!$A$2:$A$50000,$B$4,缺陷明细!$G$2:$G$50000,$C7,缺陷明细!$J$2:$J$50000,"验收测试",缺陷明细!$AB$2:$AB$50000,"&lt;&gt;丢弃",缺陷明细!$AB$2:$AB$50000,"&lt;&gt;设计如此",缺陷明细!$AB$2:$AB$50000,"&lt;&gt;重复Bug")</f>
        <v>0</v>
      </c>
      <c r="V7" s="75">
        <f>COUNTIFS(缺陷明细!$A$2:$A$50000,$B$4,缺陷明细!$G$2:$G$50000,$C7,缺陷明细!$Q$2:$Q$50000,"已关闭",缺陷明细!$J$2:$J$50000,"验收测试")</f>
        <v>0</v>
      </c>
      <c r="W7" s="75">
        <f>COUNTIFS(缺陷明细!$A$2:$A$50000,$B$4,缺陷明细!$G$2:$G$50000,$C7,缺陷明细!$J$2:$J$50000,"验收测试",缺陷明细!$K$2:$K$50000,"致命",缺陷明细!$AB$2:$AB$50000,"&lt;&gt;丢弃",缺陷明细!$AB$2:$AB$50000,"&lt;&gt;设计如此",缺陷明细!$AB$2:$AB$50000,"&lt;&gt;重复Bug")+COUNTIFS(缺陷明细!$A$2:$A$50000,$B$4,缺陷明细!$G$2:$G$50000,$C7,缺陷明细!$J$2:$J$50000,"验收测试",缺陷明细!$K$2:$K$50000,"严重",缺陷明细!$AB$2:$AB$50000,"&lt;&gt;丢弃",缺陷明细!$AB$2:$AB$50000,"&lt;&gt;设计如此",缺陷明细!$AB$2:$AB$50000,"&lt;&gt;重复Bug")</f>
        <v>0</v>
      </c>
      <c r="X7" s="76">
        <f>COUNTIFS(缺陷明细!$A$2:$A$50000,$B$4,缺陷明细!$G$2:$G$50000,$C7,缺陷明细!$Q$2:$Q$50000,"已关闭",缺陷明细!$J$2:$J$50000,"验收测试",缺陷明细!$K$2:$K$50000,"致命")+COUNTIFS(缺陷明细!$A$2:$A$50000,$B$4,缺陷明细!$G$2:$G$50000,$C7,缺陷明细!$Q$2:$Q$50000,"已关闭",缺陷明细!$J$2:$J$50000,"验收测试",缺陷明细!$K$2:$K$50000,"严重")</f>
        <v>0</v>
      </c>
      <c r="Y7" s="70">
        <f>COUNTIFS(缺陷明细!$A$2:$A$50000,$B$4,缺陷明细!$G$2:$G$50000,$C7,缺陷明细!$J$2:$J$50000,"运维测试",缺陷明细!$AB$2:$AB$50000,"&lt;&gt;丢弃",缺陷明细!$AB$2:$AB$50000,"&lt;&gt;设计如此",缺陷明细!$AB$2:$AB$50000,"&lt;&gt;重复Bug")</f>
        <v>0</v>
      </c>
      <c r="Z7" s="71">
        <f>COUNTIFS(缺陷明细!$A$2:$A$50000,$B$4,缺陷明细!$G$2:$G$50000,$C7,缺陷明细!$Q$2:$Q$50000,"已关闭",缺陷明细!$J$2:$J$50000,"运维测试")</f>
        <v>0</v>
      </c>
      <c r="AA7" s="72">
        <f>COUNTIFS(缺陷明细!$A$2:$A$50000,$B$4,缺陷明细!$G$2:$G$50000,$C7,缺陷明细!$J$2:$J$50000,"运维测试",缺陷明细!$K$2:$K$50000,"致命",缺陷明细!$AB$2:$AB$50000,"&lt;&gt;丢弃",缺陷明细!$AB$2:$AB$50000,"&lt;&gt;设计如此",缺陷明细!$AB$2:$AB$50000,"&lt;&gt;重复Bug")+COUNTIFS(缺陷明细!$A$2:$A$50000,$B$4,缺陷明细!$G$2:$G$50000,$C7,缺陷明细!$J$2:$J$50000,"运维测试",缺陷明细!$K$2:$K$50000,"严重",缺陷明细!$AB$2:$AB$50000,"&lt;&gt;丢弃",缺陷明细!$AB$2:$AB$50000,"&lt;&gt;设计如此",缺陷明细!$AB$2:$AB$50000,"&lt;&gt;重复Bug")</f>
        <v>0</v>
      </c>
      <c r="AB7" s="73">
        <f>COUNTIFS(缺陷明细!$A$2:$A$50000,$B$4,缺陷明细!$G$2:$G$50000,$C7,缺陷明细!$Q$2:$Q$50000,"已关闭",缺陷明细!$J$2:$J$50000,"运维测试",缺陷明细!$K$2:$K$50000,"致命")+COUNTIFS(缺陷明细!$A$2:$A$50000,$B$4,缺陷明细!$G$2:$G$50000,$C7,缺陷明细!$Q$2:$Q$50000,"已关闭",缺陷明细!$J$2:$J$50000,"运维测试",缺陷明细!$K$2:$K$50000,"严重")</f>
        <v>0</v>
      </c>
      <c r="AC7" s="68">
        <f t="shared" si="0"/>
        <v>0</v>
      </c>
      <c r="AD7" s="60">
        <f t="shared" si="0"/>
        <v>0</v>
      </c>
      <c r="AE7" s="60">
        <f t="shared" si="1"/>
        <v>0</v>
      </c>
      <c r="AF7" s="60">
        <f t="shared" si="1"/>
        <v>0</v>
      </c>
      <c r="AG7" s="60">
        <f t="shared" si="2"/>
        <v>0</v>
      </c>
      <c r="AH7" s="60">
        <f t="shared" si="2"/>
        <v>0</v>
      </c>
      <c r="AI7" s="60">
        <f t="shared" si="3"/>
        <v>0</v>
      </c>
      <c r="AJ7" s="61">
        <f t="shared" si="3"/>
        <v>0</v>
      </c>
      <c r="AK7" s="144"/>
    </row>
    <row r="8" spans="1:37" ht="20.100000000000001" customHeight="1">
      <c r="A8">
        <v>4</v>
      </c>
      <c r="B8" s="57">
        <v>122</v>
      </c>
      <c r="C8" s="58" t="s">
        <v>329</v>
      </c>
      <c r="D8" s="83" t="s">
        <v>330</v>
      </c>
      <c r="E8" s="82"/>
      <c r="F8" s="158">
        <v>40</v>
      </c>
      <c r="G8" s="159"/>
      <c r="H8" s="281">
        <f>COUNTIFS(缺陷明细!$A$2:$A$50000,$B$4,缺陷明细!$G$2:$G$50000,$C8,缺陷明细!$J$2:$J$50000,"评审",缺陷明细!$AB$2:$AB$50000,"&lt;&gt;丢弃",缺陷明细!$AB$2:$AB$50000,"&lt;&gt;设计如此",缺陷明细!$AB$2:$AB$50000,"&lt;&gt;重复Bug")</f>
        <v>0</v>
      </c>
      <c r="I8" s="154">
        <f>COUNTIFS(缺陷明细!$A$2:$A$50000,$B$4,缺陷明细!$G$2:$G$50000,$C8,缺陷明细!$Q$2:$Q$50000,"已关闭",缺陷明细!$J$2:$J$50000,"评审")</f>
        <v>0</v>
      </c>
      <c r="J8" s="154">
        <f>COUNTIFS(缺陷明细!$A$2:$A$50000,$B$4,缺陷明细!$G$2:$G$50000,$C8,缺陷明细!$J$2:$J$50000,"单元测试",缺陷明细!$AB$2:$AB$50000,"&lt;&gt;丢弃",缺陷明细!$AB$2:$AB$50000,"&lt;&gt;设计如此",缺陷明细!$AB$2:$AB$50000,"&lt;&gt;重复Bug")</f>
        <v>0</v>
      </c>
      <c r="K8" s="155">
        <f>COUNTIFS(缺陷明细!$A$2:$A$50000,$B$4,缺陷明细!$G$2:$G$50000,$C8,缺陷明细!$Q$2:$Q$50000,"已关闭",缺陷明细!$J$2:$J$50000,"单元测试")</f>
        <v>0</v>
      </c>
      <c r="L8" s="156"/>
      <c r="M8" s="157"/>
      <c r="N8" s="72">
        <f>COUNTIFS(缺陷明细!$A$2:$A$50000,$B$4,缺陷明细!$G$2:$G$50000,$C8,缺陷明细!$J$2:$J$50000,"系统测试案例评审",缺陷明细!$AB$2:$AB$50000,"&lt;&gt;丢弃",缺陷明细!$AB$2:$AB$50000,"&lt;&gt;设计如此",缺陷明细!$AB$2:$AB$50000,"&lt;&gt;重复Bug")</f>
        <v>0</v>
      </c>
      <c r="O8" s="72">
        <f>COUNTIFS(缺陷明细!$A$2:$A$50000,$B$4,缺陷明细!$G$2:$G$50000,$C8,缺陷明细!$Q$2:$Q$50000,"已关闭",缺陷明细!$J$2:$J$50000,"系统测试案例评审")</f>
        <v>0</v>
      </c>
      <c r="P8" s="72">
        <f>COUNTIFS(缺陷明细!$A$2:$A$50000,$B$4,缺陷明细!$G$2:$G$50000,$C8,缺陷明细!$J$2:$J$50000,"系统测试",缺陷明细!$AB$2:$AB$50000,"&lt;&gt;丢弃",缺陷明细!$AB$2:$AB$50000,"&lt;&gt;设计如此",缺陷明细!$AB$2:$AB$50000,"&lt;&gt;重复Bug")</f>
        <v>0</v>
      </c>
      <c r="Q8" s="72">
        <f>COUNTIFS(缺陷明细!$A$2:$A$50000,$B$4,缺陷明细!$G$2:$G$50000,$C8,缺陷明细!$Q$2:$Q$50000,"已关闭",缺陷明细!$J$2:$J$50000,"系统测试")</f>
        <v>0</v>
      </c>
      <c r="R8" s="296">
        <f>COUNTIFS(缺陷明细!$A$2:$A$50000,$B$4,缺陷明细!$G$2:$G$50000,$C8,缺陷明细!$AB$2:$AB$50000,"丢弃",缺陷明细!$J$2:$J$50000,"系统测试")+COUNTIFS(缺陷明细!$A$2:$A$50000,$B$4,缺陷明细!$G$2:$G$50000,$C8,缺陷明细!$AB$2:$AB$50000,"设计如此",缺陷明细!$J$2:$J$50000,"系统测试")+COUNTIFS(缺陷明细!$A$2:$A$50000,$B$4,缺陷明细!$G$2:$G$50000,$C8,缺陷明细!$AB$2:$AB$50000,"重复Bug",缺陷明细!$J$2:$J$50000,"系统测试")</f>
        <v>0</v>
      </c>
      <c r="S8" s="72">
        <f>COUNTIFS(缺陷明细!$A$2:$A$50000,$B$4,缺陷明细!$G$2:$G$50000,$C8,缺陷明细!$J$2:$J$50000,"系统测试",缺陷明细!$K$2:$K$50000,"致命",缺陷明细!$AB$2:$AB$50000,"&lt;&gt;丢弃",缺陷明细!$AB$2:$AB$50000,"&lt;&gt;设计如此",缺陷明细!$AB$2:$AB$50000,"&lt;&gt;重复Bug")+COUNTIFS(缺陷明细!$A$2:$A$50000,$B$4,缺陷明细!$G$2:$G$50000,$C8,缺陷明细!$J$2:$J$50000,"系统测试",缺陷明细!$K$2:$K$50000,"严重",缺陷明细!$AB$2:$AB$50000,"&lt;&gt;丢弃",缺陷明细!$AB$2:$AB$50000,"&lt;&gt;设计如此",缺陷明细!$AB$2:$AB$50000,"&lt;&gt;重复Bug")</f>
        <v>0</v>
      </c>
      <c r="T8" s="73">
        <f>COUNTIFS(缺陷明细!$A$2:$A$50000,$B$4,缺陷明细!$G$2:$G$50000,$C8,缺陷明细!$Q$2:$Q$50000,"已关闭",缺陷明细!$J$2:$J$50000,"系统测试",缺陷明细!$K$2:$K$50000,"致命")+COUNTIFS(缺陷明细!$A$2:$A$50000,$B$4,缺陷明细!$G$2:$G$50000,$C8,缺陷明细!$Q$2:$Q$50000,"已关闭",缺陷明细!$J$2:$J$50000,"系统测试",缺陷明细!$K$2:$K$50000,"严重")</f>
        <v>0</v>
      </c>
      <c r="U8" s="74">
        <f>COUNTIFS(缺陷明细!$A$2:$A$50000,$B$4,缺陷明细!$G$2:$G$50000,$C8,缺陷明细!$J$2:$J$50000,"验收测试",缺陷明细!$AB$2:$AB$50000,"&lt;&gt;丢弃",缺陷明细!$AB$2:$AB$50000,"&lt;&gt;设计如此",缺陷明细!$AB$2:$AB$50000,"&lt;&gt;重复Bug")</f>
        <v>0</v>
      </c>
      <c r="V8" s="75">
        <f>COUNTIFS(缺陷明细!$A$2:$A$50000,$B$4,缺陷明细!$G$2:$G$50000,$C8,缺陷明细!$Q$2:$Q$50000,"已关闭",缺陷明细!$J$2:$J$50000,"验收测试")</f>
        <v>0</v>
      </c>
      <c r="W8" s="75">
        <f>COUNTIFS(缺陷明细!$A$2:$A$50000,$B$4,缺陷明细!$G$2:$G$50000,$C8,缺陷明细!$J$2:$J$50000,"验收测试",缺陷明细!$K$2:$K$50000,"致命",缺陷明细!$AB$2:$AB$50000,"&lt;&gt;丢弃",缺陷明细!$AB$2:$AB$50000,"&lt;&gt;设计如此",缺陷明细!$AB$2:$AB$50000,"&lt;&gt;重复Bug")+COUNTIFS(缺陷明细!$A$2:$A$50000,$B$4,缺陷明细!$G$2:$G$50000,$C8,缺陷明细!$J$2:$J$50000,"验收测试",缺陷明细!$K$2:$K$50000,"严重",缺陷明细!$AB$2:$AB$50000,"&lt;&gt;丢弃",缺陷明细!$AB$2:$AB$50000,"&lt;&gt;设计如此",缺陷明细!$AB$2:$AB$50000,"&lt;&gt;重复Bug")</f>
        <v>0</v>
      </c>
      <c r="X8" s="76">
        <f>COUNTIFS(缺陷明细!$A$2:$A$50000,$B$4,缺陷明细!$G$2:$G$50000,$C8,缺陷明细!$Q$2:$Q$50000,"已关闭",缺陷明细!$J$2:$J$50000,"验收测试",缺陷明细!$K$2:$K$50000,"致命")+COUNTIFS(缺陷明细!$A$2:$A$50000,$B$4,缺陷明细!$G$2:$G$50000,$C8,缺陷明细!$Q$2:$Q$50000,"已关闭",缺陷明细!$J$2:$J$50000,"验收测试",缺陷明细!$K$2:$K$50000,"严重")</f>
        <v>0</v>
      </c>
      <c r="Y8" s="70">
        <f>COUNTIFS(缺陷明细!$A$2:$A$50000,$B$4,缺陷明细!$G$2:$G$50000,$C8,缺陷明细!$J$2:$J$50000,"运维测试",缺陷明细!$AB$2:$AB$50000,"&lt;&gt;丢弃",缺陷明细!$AB$2:$AB$50000,"&lt;&gt;设计如此",缺陷明细!$AB$2:$AB$50000,"&lt;&gt;重复Bug")</f>
        <v>0</v>
      </c>
      <c r="Z8" s="71">
        <f>COUNTIFS(缺陷明细!$A$2:$A$50000,$B$4,缺陷明细!$G$2:$G$50000,$C8,缺陷明细!$Q$2:$Q$50000,"已关闭",缺陷明细!$J$2:$J$50000,"运维测试")</f>
        <v>0</v>
      </c>
      <c r="AA8" s="72">
        <f>COUNTIFS(缺陷明细!$A$2:$A$50000,$B$4,缺陷明细!$G$2:$G$50000,$C8,缺陷明细!$J$2:$J$50000,"运维测试",缺陷明细!$K$2:$K$50000,"致命",缺陷明细!$AB$2:$AB$50000,"&lt;&gt;丢弃",缺陷明细!$AB$2:$AB$50000,"&lt;&gt;设计如此",缺陷明细!$AB$2:$AB$50000,"&lt;&gt;重复Bug")+COUNTIFS(缺陷明细!$A$2:$A$50000,$B$4,缺陷明细!$G$2:$G$50000,$C8,缺陷明细!$J$2:$J$50000,"运维测试",缺陷明细!$K$2:$K$50000,"严重",缺陷明细!$AB$2:$AB$50000,"&lt;&gt;丢弃",缺陷明细!$AB$2:$AB$50000,"&lt;&gt;设计如此",缺陷明细!$AB$2:$AB$50000,"&lt;&gt;重复Bug")</f>
        <v>0</v>
      </c>
      <c r="AB8" s="73">
        <f>COUNTIFS(缺陷明细!$A$2:$A$50000,$B$4,缺陷明细!$G$2:$G$50000,$C8,缺陷明细!$Q$2:$Q$50000,"已关闭",缺陷明细!$J$2:$J$50000,"运维测试",缺陷明细!$K$2:$K$50000,"致命")+COUNTIFS(缺陷明细!$A$2:$A$50000,$B$4,缺陷明细!$G$2:$G$50000,$C8,缺陷明细!$Q$2:$Q$50000,"已关闭",缺陷明细!$J$2:$J$50000,"运维测试",缺陷明细!$K$2:$K$50000,"严重")</f>
        <v>0</v>
      </c>
      <c r="AC8" s="68">
        <f t="shared" si="0"/>
        <v>0</v>
      </c>
      <c r="AD8" s="60">
        <f t="shared" si="0"/>
        <v>0</v>
      </c>
      <c r="AE8" s="60">
        <f t="shared" si="1"/>
        <v>0</v>
      </c>
      <c r="AF8" s="60">
        <f t="shared" si="1"/>
        <v>0</v>
      </c>
      <c r="AG8" s="60">
        <f t="shared" si="2"/>
        <v>0</v>
      </c>
      <c r="AH8" s="60">
        <f t="shared" si="2"/>
        <v>0</v>
      </c>
      <c r="AI8" s="60">
        <f t="shared" si="3"/>
        <v>0</v>
      </c>
      <c r="AJ8" s="61">
        <f t="shared" si="3"/>
        <v>0</v>
      </c>
      <c r="AK8" s="144"/>
    </row>
    <row r="9" spans="1:37" ht="20.100000000000001" customHeight="1">
      <c r="A9">
        <v>5</v>
      </c>
      <c r="B9" s="57">
        <v>123</v>
      </c>
      <c r="C9" s="59" t="s">
        <v>331</v>
      </c>
      <c r="D9" s="84" t="s">
        <v>330</v>
      </c>
      <c r="E9" s="82"/>
      <c r="F9" s="158">
        <v>72</v>
      </c>
      <c r="G9" s="161"/>
      <c r="H9" s="281">
        <f>COUNTIFS(缺陷明细!$A$2:$A$50000,$B$4,缺陷明细!$G$2:$G$50000,$C9,缺陷明细!$J$2:$J$50000,"评审",缺陷明细!$AB$2:$AB$50000,"&lt;&gt;丢弃",缺陷明细!$AB$2:$AB$50000,"&lt;&gt;设计如此",缺陷明细!$AB$2:$AB$50000,"&lt;&gt;重复Bug")</f>
        <v>0</v>
      </c>
      <c r="I9" s="154">
        <f>COUNTIFS(缺陷明细!$A$2:$A$50000,$B$4,缺陷明细!$G$2:$G$50000,$C9,缺陷明细!$Q$2:$Q$50000,"已关闭",缺陷明细!$J$2:$J$50000,"评审")</f>
        <v>0</v>
      </c>
      <c r="J9" s="154">
        <f>COUNTIFS(缺陷明细!$A$2:$A$50000,$B$4,缺陷明细!$G$2:$G$50000,$C9,缺陷明细!$J$2:$J$50000,"单元测试",缺陷明细!$AB$2:$AB$50000,"&lt;&gt;丢弃",缺陷明细!$AB$2:$AB$50000,"&lt;&gt;设计如此",缺陷明细!$AB$2:$AB$50000,"&lt;&gt;重复Bug")</f>
        <v>0</v>
      </c>
      <c r="K9" s="155">
        <f>COUNTIFS(缺陷明细!$A$2:$A$50000,$B$4,缺陷明细!$G$2:$G$50000,$C9,缺陷明细!$Q$2:$Q$50000,"已关闭",缺陷明细!$J$2:$J$50000,"单元测试")</f>
        <v>0</v>
      </c>
      <c r="L9" s="156"/>
      <c r="M9" s="157"/>
      <c r="N9" s="72">
        <f>COUNTIFS(缺陷明细!$A$2:$A$50000,$B$4,缺陷明细!$G$2:$G$50000,$C9,缺陷明细!$J$2:$J$50000,"系统测试案例评审",缺陷明细!$AB$2:$AB$50000,"&lt;&gt;丢弃",缺陷明细!$AB$2:$AB$50000,"&lt;&gt;设计如此",缺陷明细!$AB$2:$AB$50000,"&lt;&gt;重复Bug")</f>
        <v>0</v>
      </c>
      <c r="O9" s="72">
        <f>COUNTIFS(缺陷明细!$A$2:$A$50000,$B$4,缺陷明细!$G$2:$G$50000,$C9,缺陷明细!$Q$2:$Q$50000,"已关闭",缺陷明细!$J$2:$J$50000,"系统测试案例评审")</f>
        <v>0</v>
      </c>
      <c r="P9" s="72">
        <f>COUNTIFS(缺陷明细!$A$2:$A$50000,$B$4,缺陷明细!$G$2:$G$50000,$C9,缺陷明细!$J$2:$J$50000,"系统测试",缺陷明细!$AB$2:$AB$50000,"&lt;&gt;丢弃",缺陷明细!$AB$2:$AB$50000,"&lt;&gt;设计如此",缺陷明细!$AB$2:$AB$50000,"&lt;&gt;重复Bug")</f>
        <v>0</v>
      </c>
      <c r="Q9" s="72">
        <f>COUNTIFS(缺陷明细!$A$2:$A$50000,$B$4,缺陷明细!$G$2:$G$50000,$C9,缺陷明细!$Q$2:$Q$50000,"已关闭",缺陷明细!$J$2:$J$50000,"系统测试")</f>
        <v>0</v>
      </c>
      <c r="R9" s="296">
        <f>COUNTIFS(缺陷明细!$A$2:$A$50000,$B$4,缺陷明细!$G$2:$G$50000,$C9,缺陷明细!$AB$2:$AB$50000,"丢弃",缺陷明细!$J$2:$J$50000,"系统测试")+COUNTIFS(缺陷明细!$A$2:$A$50000,$B$4,缺陷明细!$G$2:$G$50000,$C9,缺陷明细!$AB$2:$AB$50000,"设计如此",缺陷明细!$J$2:$J$50000,"系统测试")+COUNTIFS(缺陷明细!$A$2:$A$50000,$B$4,缺陷明细!$G$2:$G$50000,$C9,缺陷明细!$AB$2:$AB$50000,"重复Bug",缺陷明细!$J$2:$J$50000,"系统测试")</f>
        <v>0</v>
      </c>
      <c r="S9" s="72">
        <f>COUNTIFS(缺陷明细!$A$2:$A$50000,$B$4,缺陷明细!$G$2:$G$50000,$C9,缺陷明细!$J$2:$J$50000,"系统测试",缺陷明细!$K$2:$K$50000,"致命",缺陷明细!$AB$2:$AB$50000,"&lt;&gt;丢弃",缺陷明细!$AB$2:$AB$50000,"&lt;&gt;设计如此",缺陷明细!$AB$2:$AB$50000,"&lt;&gt;重复Bug")+COUNTIFS(缺陷明细!$A$2:$A$50000,$B$4,缺陷明细!$G$2:$G$50000,$C9,缺陷明细!$J$2:$J$50000,"系统测试",缺陷明细!$K$2:$K$50000,"严重",缺陷明细!$AB$2:$AB$50000,"&lt;&gt;丢弃",缺陷明细!$AB$2:$AB$50000,"&lt;&gt;设计如此",缺陷明细!$AB$2:$AB$50000,"&lt;&gt;重复Bug")</f>
        <v>0</v>
      </c>
      <c r="T9" s="73">
        <f>COUNTIFS(缺陷明细!$A$2:$A$50000,$B$4,缺陷明细!$G$2:$G$50000,$C9,缺陷明细!$Q$2:$Q$50000,"已关闭",缺陷明细!$J$2:$J$50000,"系统测试",缺陷明细!$K$2:$K$50000,"致命")+COUNTIFS(缺陷明细!$A$2:$A$50000,$B$4,缺陷明细!$G$2:$G$50000,$C9,缺陷明细!$Q$2:$Q$50000,"已关闭",缺陷明细!$J$2:$J$50000,"系统测试",缺陷明细!$K$2:$K$50000,"严重")</f>
        <v>0</v>
      </c>
      <c r="U9" s="74">
        <f>COUNTIFS(缺陷明细!$A$2:$A$50000,$B$4,缺陷明细!$G$2:$G$50000,$C9,缺陷明细!$J$2:$J$50000,"验收测试",缺陷明细!$AB$2:$AB$50000,"&lt;&gt;丢弃",缺陷明细!$AB$2:$AB$50000,"&lt;&gt;设计如此",缺陷明细!$AB$2:$AB$50000,"&lt;&gt;重复Bug")</f>
        <v>0</v>
      </c>
      <c r="V9" s="75">
        <f>COUNTIFS(缺陷明细!$A$2:$A$50000,$B$4,缺陷明细!$G$2:$G$50000,$C9,缺陷明细!$Q$2:$Q$50000,"已关闭",缺陷明细!$J$2:$J$50000,"验收测试")</f>
        <v>0</v>
      </c>
      <c r="W9" s="75">
        <f>COUNTIFS(缺陷明细!$A$2:$A$50000,$B$4,缺陷明细!$G$2:$G$50000,$C9,缺陷明细!$J$2:$J$50000,"验收测试",缺陷明细!$K$2:$K$50000,"致命",缺陷明细!$AB$2:$AB$50000,"&lt;&gt;丢弃",缺陷明细!$AB$2:$AB$50000,"&lt;&gt;设计如此",缺陷明细!$AB$2:$AB$50000,"&lt;&gt;重复Bug")+COUNTIFS(缺陷明细!$A$2:$A$50000,$B$4,缺陷明细!$G$2:$G$50000,$C9,缺陷明细!$J$2:$J$50000,"验收测试",缺陷明细!$K$2:$K$50000,"严重",缺陷明细!$AB$2:$AB$50000,"&lt;&gt;丢弃",缺陷明细!$AB$2:$AB$50000,"&lt;&gt;设计如此",缺陷明细!$AB$2:$AB$50000,"&lt;&gt;重复Bug")</f>
        <v>0</v>
      </c>
      <c r="X9" s="76">
        <f>COUNTIFS(缺陷明细!$A$2:$A$50000,$B$4,缺陷明细!$G$2:$G$50000,$C9,缺陷明细!$Q$2:$Q$50000,"已关闭",缺陷明细!$J$2:$J$50000,"验收测试",缺陷明细!$K$2:$K$50000,"致命")+COUNTIFS(缺陷明细!$A$2:$A$50000,$B$4,缺陷明细!$G$2:$G$50000,$C9,缺陷明细!$Q$2:$Q$50000,"已关闭",缺陷明细!$J$2:$J$50000,"验收测试",缺陷明细!$K$2:$K$50000,"严重")</f>
        <v>0</v>
      </c>
      <c r="Y9" s="70">
        <f>COUNTIFS(缺陷明细!$A$2:$A$50000,$B$4,缺陷明细!$G$2:$G$50000,$C9,缺陷明细!$J$2:$J$50000,"运维测试",缺陷明细!$AB$2:$AB$50000,"&lt;&gt;丢弃",缺陷明细!$AB$2:$AB$50000,"&lt;&gt;设计如此",缺陷明细!$AB$2:$AB$50000,"&lt;&gt;重复Bug")</f>
        <v>0</v>
      </c>
      <c r="Z9" s="71">
        <f>COUNTIFS(缺陷明细!$A$2:$A$50000,$B$4,缺陷明细!$G$2:$G$50000,$C9,缺陷明细!$Q$2:$Q$50000,"已关闭",缺陷明细!$J$2:$J$50000,"运维测试")</f>
        <v>0</v>
      </c>
      <c r="AA9" s="72">
        <f>COUNTIFS(缺陷明细!$A$2:$A$50000,$B$4,缺陷明细!$G$2:$G$50000,$C9,缺陷明细!$J$2:$J$50000,"运维测试",缺陷明细!$K$2:$K$50000,"致命",缺陷明细!$AB$2:$AB$50000,"&lt;&gt;丢弃",缺陷明细!$AB$2:$AB$50000,"&lt;&gt;设计如此",缺陷明细!$AB$2:$AB$50000,"&lt;&gt;重复Bug")+COUNTIFS(缺陷明细!$A$2:$A$50000,$B$4,缺陷明细!$G$2:$G$50000,$C9,缺陷明细!$J$2:$J$50000,"运维测试",缺陷明细!$K$2:$K$50000,"严重",缺陷明细!$AB$2:$AB$50000,"&lt;&gt;丢弃",缺陷明细!$AB$2:$AB$50000,"&lt;&gt;设计如此",缺陷明细!$AB$2:$AB$50000,"&lt;&gt;重复Bug")</f>
        <v>0</v>
      </c>
      <c r="AB9" s="73">
        <f>COUNTIFS(缺陷明细!$A$2:$A$50000,$B$4,缺陷明细!$G$2:$G$50000,$C9,缺陷明细!$Q$2:$Q$50000,"已关闭",缺陷明细!$J$2:$J$50000,"运维测试",缺陷明细!$K$2:$K$50000,"致命")+COUNTIFS(缺陷明细!$A$2:$A$50000,$B$4,缺陷明细!$G$2:$G$50000,$C9,缺陷明细!$Q$2:$Q$50000,"已关闭",缺陷明细!$J$2:$J$50000,"运维测试",缺陷明细!$K$2:$K$50000,"严重")</f>
        <v>0</v>
      </c>
      <c r="AC9" s="68">
        <f t="shared" si="0"/>
        <v>0</v>
      </c>
      <c r="AD9" s="60">
        <f t="shared" si="0"/>
        <v>0</v>
      </c>
      <c r="AE9" s="60">
        <f t="shared" si="1"/>
        <v>0</v>
      </c>
      <c r="AF9" s="60">
        <f t="shared" si="1"/>
        <v>0</v>
      </c>
      <c r="AG9" s="60">
        <f t="shared" si="2"/>
        <v>0</v>
      </c>
      <c r="AH9" s="60">
        <f t="shared" si="2"/>
        <v>0</v>
      </c>
      <c r="AI9" s="60">
        <f t="shared" si="3"/>
        <v>0</v>
      </c>
      <c r="AJ9" s="61">
        <f t="shared" si="3"/>
        <v>0</v>
      </c>
      <c r="AK9" s="144"/>
    </row>
    <row r="10" spans="1:37" ht="20.100000000000001" customHeight="1">
      <c r="A10">
        <v>6</v>
      </c>
      <c r="B10" s="57">
        <v>124</v>
      </c>
      <c r="C10" s="58" t="s">
        <v>332</v>
      </c>
      <c r="D10" s="84" t="s">
        <v>330</v>
      </c>
      <c r="E10" s="82"/>
      <c r="F10" s="158">
        <v>32</v>
      </c>
      <c r="G10" s="159"/>
      <c r="H10" s="281">
        <f>COUNTIFS(缺陷明细!$A$2:$A$50000,$B$4,缺陷明细!$G$2:$G$50000,$C10,缺陷明细!$J$2:$J$50000,"评审",缺陷明细!$AB$2:$AB$50000,"&lt;&gt;丢弃",缺陷明细!$AB$2:$AB$50000,"&lt;&gt;设计如此",缺陷明细!$AB$2:$AB$50000,"&lt;&gt;重复Bug")</f>
        <v>0</v>
      </c>
      <c r="I10" s="154">
        <f>COUNTIFS(缺陷明细!$A$2:$A$50000,$B$4,缺陷明细!$G$2:$G$50000,$C10,缺陷明细!$Q$2:$Q$50000,"已关闭",缺陷明细!$J$2:$J$50000,"评审")</f>
        <v>0</v>
      </c>
      <c r="J10" s="154">
        <f>COUNTIFS(缺陷明细!$A$2:$A$50000,$B$4,缺陷明细!$G$2:$G$50000,$C10,缺陷明细!$J$2:$J$50000,"单元测试",缺陷明细!$AB$2:$AB$50000,"&lt;&gt;丢弃",缺陷明细!$AB$2:$AB$50000,"&lt;&gt;设计如此",缺陷明细!$AB$2:$AB$50000,"&lt;&gt;重复Bug")</f>
        <v>0</v>
      </c>
      <c r="K10" s="155">
        <f>COUNTIFS(缺陷明细!$A$2:$A$50000,$B$4,缺陷明细!$G$2:$G$50000,$C10,缺陷明细!$Q$2:$Q$50000,"已关闭",缺陷明细!$J$2:$J$50000,"单元测试")</f>
        <v>0</v>
      </c>
      <c r="L10" s="156"/>
      <c r="M10" s="157"/>
      <c r="N10" s="72">
        <f>COUNTIFS(缺陷明细!$A$2:$A$50000,$B$4,缺陷明细!$G$2:$G$50000,$C10,缺陷明细!$J$2:$J$50000,"系统测试案例评审",缺陷明细!$AB$2:$AB$50000,"&lt;&gt;丢弃",缺陷明细!$AB$2:$AB$50000,"&lt;&gt;设计如此",缺陷明细!$AB$2:$AB$50000,"&lt;&gt;重复Bug")</f>
        <v>0</v>
      </c>
      <c r="O10" s="72">
        <f>COUNTIFS(缺陷明细!$A$2:$A$50000,$B$4,缺陷明细!$G$2:$G$50000,$C10,缺陷明细!$Q$2:$Q$50000,"已关闭",缺陷明细!$J$2:$J$50000,"系统测试案例评审")</f>
        <v>0</v>
      </c>
      <c r="P10" s="72">
        <f>COUNTIFS(缺陷明细!$A$2:$A$50000,$B$4,缺陷明细!$G$2:$G$50000,$C10,缺陷明细!$J$2:$J$50000,"系统测试",缺陷明细!$AB$2:$AB$50000,"&lt;&gt;丢弃",缺陷明细!$AB$2:$AB$50000,"&lt;&gt;设计如此",缺陷明细!$AB$2:$AB$50000,"&lt;&gt;重复Bug")</f>
        <v>0</v>
      </c>
      <c r="Q10" s="72">
        <f>COUNTIFS(缺陷明细!$A$2:$A$50000,$B$4,缺陷明细!$G$2:$G$50000,$C10,缺陷明细!$Q$2:$Q$50000,"已关闭",缺陷明细!$J$2:$J$50000,"系统测试")</f>
        <v>0</v>
      </c>
      <c r="R10" s="296">
        <f>COUNTIFS(缺陷明细!$A$2:$A$50000,$B$4,缺陷明细!$G$2:$G$50000,$C10,缺陷明细!$AB$2:$AB$50000,"丢弃",缺陷明细!$J$2:$J$50000,"系统测试")+COUNTIFS(缺陷明细!$A$2:$A$50000,$B$4,缺陷明细!$G$2:$G$50000,$C10,缺陷明细!$AB$2:$AB$50000,"设计如此",缺陷明细!$J$2:$J$50000,"系统测试")+COUNTIFS(缺陷明细!$A$2:$A$50000,$B$4,缺陷明细!$G$2:$G$50000,$C10,缺陷明细!$AB$2:$AB$50000,"重复Bug",缺陷明细!$J$2:$J$50000,"系统测试")</f>
        <v>0</v>
      </c>
      <c r="S10" s="72">
        <f>COUNTIFS(缺陷明细!$A$2:$A$50000,$B$4,缺陷明细!$G$2:$G$50000,$C10,缺陷明细!$J$2:$J$50000,"系统测试",缺陷明细!$K$2:$K$50000,"致命",缺陷明细!$AB$2:$AB$50000,"&lt;&gt;丢弃",缺陷明细!$AB$2:$AB$50000,"&lt;&gt;设计如此",缺陷明细!$AB$2:$AB$50000,"&lt;&gt;重复Bug")+COUNTIFS(缺陷明细!$A$2:$A$50000,$B$4,缺陷明细!$G$2:$G$50000,$C10,缺陷明细!$J$2:$J$50000,"系统测试",缺陷明细!$K$2:$K$50000,"严重",缺陷明细!$AB$2:$AB$50000,"&lt;&gt;丢弃",缺陷明细!$AB$2:$AB$50000,"&lt;&gt;设计如此",缺陷明细!$AB$2:$AB$50000,"&lt;&gt;重复Bug")</f>
        <v>0</v>
      </c>
      <c r="T10" s="73">
        <f>COUNTIFS(缺陷明细!$A$2:$A$50000,$B$4,缺陷明细!$G$2:$G$50000,$C10,缺陷明细!$Q$2:$Q$50000,"已关闭",缺陷明细!$J$2:$J$50000,"系统测试",缺陷明细!$K$2:$K$50000,"致命")+COUNTIFS(缺陷明细!$A$2:$A$50000,$B$4,缺陷明细!$G$2:$G$50000,$C10,缺陷明细!$Q$2:$Q$50000,"已关闭",缺陷明细!$J$2:$J$50000,"系统测试",缺陷明细!$K$2:$K$50000,"严重")</f>
        <v>0</v>
      </c>
      <c r="U10" s="74">
        <f>COUNTIFS(缺陷明细!$A$2:$A$50000,$B$4,缺陷明细!$G$2:$G$50000,$C10,缺陷明细!$J$2:$J$50000,"验收测试",缺陷明细!$AB$2:$AB$50000,"&lt;&gt;丢弃",缺陷明细!$AB$2:$AB$50000,"&lt;&gt;设计如此",缺陷明细!$AB$2:$AB$50000,"&lt;&gt;重复Bug")</f>
        <v>0</v>
      </c>
      <c r="V10" s="75">
        <f>COUNTIFS(缺陷明细!$A$2:$A$50000,$B$4,缺陷明细!$G$2:$G$50000,$C10,缺陷明细!$Q$2:$Q$50000,"已关闭",缺陷明细!$J$2:$J$50000,"验收测试")</f>
        <v>0</v>
      </c>
      <c r="W10" s="75">
        <f>COUNTIFS(缺陷明细!$A$2:$A$50000,$B$4,缺陷明细!$G$2:$G$50000,$C10,缺陷明细!$J$2:$J$50000,"验收测试",缺陷明细!$K$2:$K$50000,"致命",缺陷明细!$AB$2:$AB$50000,"&lt;&gt;丢弃",缺陷明细!$AB$2:$AB$50000,"&lt;&gt;设计如此",缺陷明细!$AB$2:$AB$50000,"&lt;&gt;重复Bug")+COUNTIFS(缺陷明细!$A$2:$A$50000,$B$4,缺陷明细!$G$2:$G$50000,$C10,缺陷明细!$J$2:$J$50000,"验收测试",缺陷明细!$K$2:$K$50000,"严重",缺陷明细!$AB$2:$AB$50000,"&lt;&gt;丢弃",缺陷明细!$AB$2:$AB$50000,"&lt;&gt;设计如此",缺陷明细!$AB$2:$AB$50000,"&lt;&gt;重复Bug")</f>
        <v>0</v>
      </c>
      <c r="X10" s="76">
        <f>COUNTIFS(缺陷明细!$A$2:$A$50000,$B$4,缺陷明细!$G$2:$G$50000,$C10,缺陷明细!$Q$2:$Q$50000,"已关闭",缺陷明细!$J$2:$J$50000,"验收测试",缺陷明细!$K$2:$K$50000,"致命")+COUNTIFS(缺陷明细!$A$2:$A$50000,$B$4,缺陷明细!$G$2:$G$50000,$C10,缺陷明细!$Q$2:$Q$50000,"已关闭",缺陷明细!$J$2:$J$50000,"验收测试",缺陷明细!$K$2:$K$50000,"严重")</f>
        <v>0</v>
      </c>
      <c r="Y10" s="70">
        <f>COUNTIFS(缺陷明细!$A$2:$A$50000,$B$4,缺陷明细!$G$2:$G$50000,$C10,缺陷明细!$J$2:$J$50000,"运维测试",缺陷明细!$AB$2:$AB$50000,"&lt;&gt;丢弃",缺陷明细!$AB$2:$AB$50000,"&lt;&gt;设计如此",缺陷明细!$AB$2:$AB$50000,"&lt;&gt;重复Bug")</f>
        <v>0</v>
      </c>
      <c r="Z10" s="71">
        <f>COUNTIFS(缺陷明细!$A$2:$A$50000,$B$4,缺陷明细!$G$2:$G$50000,$C10,缺陷明细!$Q$2:$Q$50000,"已关闭",缺陷明细!$J$2:$J$50000,"运维测试")</f>
        <v>0</v>
      </c>
      <c r="AA10" s="72">
        <f>COUNTIFS(缺陷明细!$A$2:$A$50000,$B$4,缺陷明细!$G$2:$G$50000,$C10,缺陷明细!$J$2:$J$50000,"运维测试",缺陷明细!$K$2:$K$50000,"致命",缺陷明细!$AB$2:$AB$50000,"&lt;&gt;丢弃",缺陷明细!$AB$2:$AB$50000,"&lt;&gt;设计如此",缺陷明细!$AB$2:$AB$50000,"&lt;&gt;重复Bug")+COUNTIFS(缺陷明细!$A$2:$A$50000,$B$4,缺陷明细!$G$2:$G$50000,$C10,缺陷明细!$J$2:$J$50000,"运维测试",缺陷明细!$K$2:$K$50000,"严重",缺陷明细!$AB$2:$AB$50000,"&lt;&gt;丢弃",缺陷明细!$AB$2:$AB$50000,"&lt;&gt;设计如此",缺陷明细!$AB$2:$AB$50000,"&lt;&gt;重复Bug")</f>
        <v>0</v>
      </c>
      <c r="AB10" s="73">
        <f>COUNTIFS(缺陷明细!$A$2:$A$50000,$B$4,缺陷明细!$G$2:$G$50000,$C10,缺陷明细!$Q$2:$Q$50000,"已关闭",缺陷明细!$J$2:$J$50000,"运维测试",缺陷明细!$K$2:$K$50000,"致命")+COUNTIFS(缺陷明细!$A$2:$A$50000,$B$4,缺陷明细!$G$2:$G$50000,$C10,缺陷明细!$Q$2:$Q$50000,"已关闭",缺陷明细!$J$2:$J$50000,"运维测试",缺陷明细!$K$2:$K$50000,"严重")</f>
        <v>0</v>
      </c>
      <c r="AC10" s="68">
        <f t="shared" si="0"/>
        <v>0</v>
      </c>
      <c r="AD10" s="60">
        <f t="shared" si="0"/>
        <v>0</v>
      </c>
      <c r="AE10" s="60">
        <f t="shared" si="1"/>
        <v>0</v>
      </c>
      <c r="AF10" s="60">
        <f t="shared" si="1"/>
        <v>0</v>
      </c>
      <c r="AG10" s="60">
        <f t="shared" si="2"/>
        <v>0</v>
      </c>
      <c r="AH10" s="60">
        <f t="shared" si="2"/>
        <v>0</v>
      </c>
      <c r="AI10" s="60">
        <f t="shared" si="3"/>
        <v>0</v>
      </c>
      <c r="AJ10" s="61">
        <f t="shared" si="3"/>
        <v>0</v>
      </c>
      <c r="AK10" s="144"/>
    </row>
    <row r="11" spans="1:37" ht="20.100000000000001" customHeight="1">
      <c r="A11">
        <v>7</v>
      </c>
      <c r="B11" s="57">
        <v>125</v>
      </c>
      <c r="C11" s="58" t="s">
        <v>333</v>
      </c>
      <c r="D11" s="84" t="s">
        <v>330</v>
      </c>
      <c r="E11" s="82"/>
      <c r="F11" s="158"/>
      <c r="G11" s="159"/>
      <c r="H11" s="281">
        <f>COUNTIFS(缺陷明细!$A$2:$A$50000,$B$4,缺陷明细!$G$2:$G$50000,$C11,缺陷明细!$J$2:$J$50000,"评审",缺陷明细!$AB$2:$AB$50000,"&lt;&gt;丢弃",缺陷明细!$AB$2:$AB$50000,"&lt;&gt;设计如此",缺陷明细!$AB$2:$AB$50000,"&lt;&gt;重复Bug")</f>
        <v>0</v>
      </c>
      <c r="I11" s="154">
        <f>COUNTIFS(缺陷明细!$A$2:$A$50000,$B$4,缺陷明细!$G$2:$G$50000,$C11,缺陷明细!$Q$2:$Q$50000,"已关闭",缺陷明细!$J$2:$J$50000,"评审")</f>
        <v>0</v>
      </c>
      <c r="J11" s="154">
        <f>COUNTIFS(缺陷明细!$A$2:$A$50000,$B$4,缺陷明细!$G$2:$G$50000,$C11,缺陷明细!$J$2:$J$50000,"单元测试",缺陷明细!$AB$2:$AB$50000,"&lt;&gt;丢弃",缺陷明细!$AB$2:$AB$50000,"&lt;&gt;设计如此",缺陷明细!$AB$2:$AB$50000,"&lt;&gt;重复Bug")</f>
        <v>0</v>
      </c>
      <c r="K11" s="155">
        <f>COUNTIFS(缺陷明细!$A$2:$A$50000,$B$4,缺陷明细!$G$2:$G$50000,$C11,缺陷明细!$Q$2:$Q$50000,"已关闭",缺陷明细!$J$2:$J$50000,"单元测试")</f>
        <v>0</v>
      </c>
      <c r="L11" s="156"/>
      <c r="M11" s="157"/>
      <c r="N11" s="72">
        <f>COUNTIFS(缺陷明细!$A$2:$A$50000,$B$4,缺陷明细!$G$2:$G$50000,$C11,缺陷明细!$J$2:$J$50000,"系统测试案例评审",缺陷明细!$AB$2:$AB$50000,"&lt;&gt;丢弃",缺陷明细!$AB$2:$AB$50000,"&lt;&gt;设计如此",缺陷明细!$AB$2:$AB$50000,"&lt;&gt;重复Bug")</f>
        <v>0</v>
      </c>
      <c r="O11" s="72">
        <f>COUNTIFS(缺陷明细!$A$2:$A$50000,$B$4,缺陷明细!$G$2:$G$50000,$C11,缺陷明细!$Q$2:$Q$50000,"已关闭",缺陷明细!$J$2:$J$50000,"系统测试案例评审")</f>
        <v>0</v>
      </c>
      <c r="P11" s="72">
        <f>COUNTIFS(缺陷明细!$A$2:$A$50000,$B$4,缺陷明细!$G$2:$G$50000,$C11,缺陷明细!$J$2:$J$50000,"系统测试",缺陷明细!$AB$2:$AB$50000,"&lt;&gt;丢弃",缺陷明细!$AB$2:$AB$50000,"&lt;&gt;设计如此",缺陷明细!$AB$2:$AB$50000,"&lt;&gt;重复Bug")</f>
        <v>0</v>
      </c>
      <c r="Q11" s="72">
        <f>COUNTIFS(缺陷明细!$A$2:$A$50000,$B$4,缺陷明细!$G$2:$G$50000,$C11,缺陷明细!$Q$2:$Q$50000,"已关闭",缺陷明细!$J$2:$J$50000,"系统测试")</f>
        <v>0</v>
      </c>
      <c r="R11" s="296">
        <f>COUNTIFS(缺陷明细!$A$2:$A$50000,$B$4,缺陷明细!$G$2:$G$50000,$C11,缺陷明细!$AB$2:$AB$50000,"丢弃",缺陷明细!$J$2:$J$50000,"系统测试")+COUNTIFS(缺陷明细!$A$2:$A$50000,$B$4,缺陷明细!$G$2:$G$50000,$C11,缺陷明细!$AB$2:$AB$50000,"设计如此",缺陷明细!$J$2:$J$50000,"系统测试")+COUNTIFS(缺陷明细!$A$2:$A$50000,$B$4,缺陷明细!$G$2:$G$50000,$C11,缺陷明细!$AB$2:$AB$50000,"重复Bug",缺陷明细!$J$2:$J$50000,"系统测试")</f>
        <v>0</v>
      </c>
      <c r="S11" s="72">
        <f>COUNTIFS(缺陷明细!$A$2:$A$50000,$B$4,缺陷明细!$G$2:$G$50000,$C11,缺陷明细!$J$2:$J$50000,"系统测试",缺陷明细!$K$2:$K$50000,"致命",缺陷明细!$AB$2:$AB$50000,"&lt;&gt;丢弃",缺陷明细!$AB$2:$AB$50000,"&lt;&gt;设计如此",缺陷明细!$AB$2:$AB$50000,"&lt;&gt;重复Bug")+COUNTIFS(缺陷明细!$A$2:$A$50000,$B$4,缺陷明细!$G$2:$G$50000,$C11,缺陷明细!$J$2:$J$50000,"系统测试",缺陷明细!$K$2:$K$50000,"严重",缺陷明细!$AB$2:$AB$50000,"&lt;&gt;丢弃",缺陷明细!$AB$2:$AB$50000,"&lt;&gt;设计如此",缺陷明细!$AB$2:$AB$50000,"&lt;&gt;重复Bug")</f>
        <v>0</v>
      </c>
      <c r="T11" s="73">
        <f>COUNTIFS(缺陷明细!$A$2:$A$50000,$B$4,缺陷明细!$G$2:$G$50000,$C11,缺陷明细!$Q$2:$Q$50000,"已关闭",缺陷明细!$J$2:$J$50000,"系统测试",缺陷明细!$K$2:$K$50000,"致命")+COUNTIFS(缺陷明细!$A$2:$A$50000,$B$4,缺陷明细!$G$2:$G$50000,$C11,缺陷明细!$Q$2:$Q$50000,"已关闭",缺陷明细!$J$2:$J$50000,"系统测试",缺陷明细!$K$2:$K$50000,"严重")</f>
        <v>0</v>
      </c>
      <c r="U11" s="74">
        <f>COUNTIFS(缺陷明细!$A$2:$A$50000,$B$4,缺陷明细!$G$2:$G$50000,$C11,缺陷明细!$J$2:$J$50000,"验收测试",缺陷明细!$AB$2:$AB$50000,"&lt;&gt;丢弃",缺陷明细!$AB$2:$AB$50000,"&lt;&gt;设计如此",缺陷明细!$AB$2:$AB$50000,"&lt;&gt;重复Bug")</f>
        <v>0</v>
      </c>
      <c r="V11" s="75">
        <f>COUNTIFS(缺陷明细!$A$2:$A$50000,$B$4,缺陷明细!$G$2:$G$50000,$C11,缺陷明细!$Q$2:$Q$50000,"已关闭",缺陷明细!$J$2:$J$50000,"验收测试")</f>
        <v>0</v>
      </c>
      <c r="W11" s="75">
        <f>COUNTIFS(缺陷明细!$A$2:$A$50000,$B$4,缺陷明细!$G$2:$G$50000,$C11,缺陷明细!$J$2:$J$50000,"验收测试",缺陷明细!$K$2:$K$50000,"致命",缺陷明细!$AB$2:$AB$50000,"&lt;&gt;丢弃",缺陷明细!$AB$2:$AB$50000,"&lt;&gt;设计如此",缺陷明细!$AB$2:$AB$50000,"&lt;&gt;重复Bug")+COUNTIFS(缺陷明细!$A$2:$A$50000,$B$4,缺陷明细!$G$2:$G$50000,$C11,缺陷明细!$J$2:$J$50000,"验收测试",缺陷明细!$K$2:$K$50000,"严重",缺陷明细!$AB$2:$AB$50000,"&lt;&gt;丢弃",缺陷明细!$AB$2:$AB$50000,"&lt;&gt;设计如此",缺陷明细!$AB$2:$AB$50000,"&lt;&gt;重复Bug")</f>
        <v>0</v>
      </c>
      <c r="X11" s="76">
        <f>COUNTIFS(缺陷明细!$A$2:$A$50000,$B$4,缺陷明细!$G$2:$G$50000,$C11,缺陷明细!$Q$2:$Q$50000,"已关闭",缺陷明细!$J$2:$J$50000,"验收测试",缺陷明细!$K$2:$K$50000,"致命")+COUNTIFS(缺陷明细!$A$2:$A$50000,$B$4,缺陷明细!$G$2:$G$50000,$C11,缺陷明细!$Q$2:$Q$50000,"已关闭",缺陷明细!$J$2:$J$50000,"验收测试",缺陷明细!$K$2:$K$50000,"严重")</f>
        <v>0</v>
      </c>
      <c r="Y11" s="70">
        <f>COUNTIFS(缺陷明细!$A$2:$A$50000,$B$4,缺陷明细!$G$2:$G$50000,$C11,缺陷明细!$J$2:$J$50000,"运维测试",缺陷明细!$AB$2:$AB$50000,"&lt;&gt;丢弃",缺陷明细!$AB$2:$AB$50000,"&lt;&gt;设计如此",缺陷明细!$AB$2:$AB$50000,"&lt;&gt;重复Bug")</f>
        <v>0</v>
      </c>
      <c r="Z11" s="71">
        <f>COUNTIFS(缺陷明细!$A$2:$A$50000,$B$4,缺陷明细!$G$2:$G$50000,$C11,缺陷明细!$Q$2:$Q$50000,"已关闭",缺陷明细!$J$2:$J$50000,"运维测试")</f>
        <v>0</v>
      </c>
      <c r="AA11" s="72">
        <f>COUNTIFS(缺陷明细!$A$2:$A$50000,$B$4,缺陷明细!$G$2:$G$50000,$C11,缺陷明细!$J$2:$J$50000,"运维测试",缺陷明细!$K$2:$K$50000,"致命",缺陷明细!$AB$2:$AB$50000,"&lt;&gt;丢弃",缺陷明细!$AB$2:$AB$50000,"&lt;&gt;设计如此",缺陷明细!$AB$2:$AB$50000,"&lt;&gt;重复Bug")+COUNTIFS(缺陷明细!$A$2:$A$50000,$B$4,缺陷明细!$G$2:$G$50000,$C11,缺陷明细!$J$2:$J$50000,"运维测试",缺陷明细!$K$2:$K$50000,"严重",缺陷明细!$AB$2:$AB$50000,"&lt;&gt;丢弃",缺陷明细!$AB$2:$AB$50000,"&lt;&gt;设计如此",缺陷明细!$AB$2:$AB$50000,"&lt;&gt;重复Bug")</f>
        <v>0</v>
      </c>
      <c r="AB11" s="73">
        <f>COUNTIFS(缺陷明细!$A$2:$A$50000,$B$4,缺陷明细!$G$2:$G$50000,$C11,缺陷明细!$Q$2:$Q$50000,"已关闭",缺陷明细!$J$2:$J$50000,"运维测试",缺陷明细!$K$2:$K$50000,"致命")+COUNTIFS(缺陷明细!$A$2:$A$50000,$B$4,缺陷明细!$G$2:$G$50000,$C11,缺陷明细!$Q$2:$Q$50000,"已关闭",缺陷明细!$J$2:$J$50000,"运维测试",缺陷明细!$K$2:$K$50000,"严重")</f>
        <v>0</v>
      </c>
      <c r="AC11" s="68">
        <f t="shared" si="0"/>
        <v>0</v>
      </c>
      <c r="AD11" s="60">
        <f t="shared" si="0"/>
        <v>0</v>
      </c>
      <c r="AE11" s="60">
        <f t="shared" si="1"/>
        <v>0</v>
      </c>
      <c r="AF11" s="60">
        <f t="shared" si="1"/>
        <v>0</v>
      </c>
      <c r="AG11" s="60">
        <f t="shared" si="2"/>
        <v>0</v>
      </c>
      <c r="AH11" s="60">
        <f t="shared" si="2"/>
        <v>0</v>
      </c>
      <c r="AI11" s="60">
        <f t="shared" si="3"/>
        <v>0</v>
      </c>
      <c r="AJ11" s="61">
        <f t="shared" si="3"/>
        <v>0</v>
      </c>
      <c r="AK11" s="144"/>
    </row>
    <row r="12" spans="1:37" ht="20.100000000000001" customHeight="1">
      <c r="A12">
        <v>8</v>
      </c>
      <c r="B12" s="57">
        <v>127</v>
      </c>
      <c r="C12" s="58" t="s">
        <v>334</v>
      </c>
      <c r="D12" s="84" t="s">
        <v>326</v>
      </c>
      <c r="E12" s="82"/>
      <c r="F12" s="158">
        <v>40</v>
      </c>
      <c r="G12" s="159">
        <v>44</v>
      </c>
      <c r="H12" s="281">
        <f>COUNTIFS(缺陷明细!$A$2:$A$50000,$B$4,缺陷明细!$G$2:$G$50000,$C12,缺陷明细!$J$2:$J$50000,"评审",缺陷明细!$AB$2:$AB$50000,"&lt;&gt;丢弃",缺陷明细!$AB$2:$AB$50000,"&lt;&gt;设计如此",缺陷明细!$AB$2:$AB$50000,"&lt;&gt;重复Bug")</f>
        <v>0</v>
      </c>
      <c r="I12" s="154">
        <f>COUNTIFS(缺陷明细!$A$2:$A$50000,$B$4,缺陷明细!$G$2:$G$50000,$C12,缺陷明细!$Q$2:$Q$50000,"已关闭",缺陷明细!$J$2:$J$50000,"评审")</f>
        <v>0</v>
      </c>
      <c r="J12" s="154">
        <f>COUNTIFS(缺陷明细!$A$2:$A$50000,$B$4,缺陷明细!$G$2:$G$50000,$C12,缺陷明细!$J$2:$J$50000,"单元测试",缺陷明细!$AB$2:$AB$50000,"&lt;&gt;丢弃",缺陷明细!$AB$2:$AB$50000,"&lt;&gt;设计如此",缺陷明细!$AB$2:$AB$50000,"&lt;&gt;重复Bug")</f>
        <v>0</v>
      </c>
      <c r="K12" s="155">
        <f>COUNTIFS(缺陷明细!$A$2:$A$50000,$B$4,缺陷明细!$G$2:$G$50000,$C12,缺陷明细!$Q$2:$Q$50000,"已关闭",缺陷明细!$J$2:$J$50000,"单元测试")</f>
        <v>0</v>
      </c>
      <c r="L12" s="156"/>
      <c r="M12" s="157"/>
      <c r="N12" s="72">
        <f>COUNTIFS(缺陷明细!$A$2:$A$50000,$B$4,缺陷明细!$G$2:$G$50000,$C12,缺陷明细!$J$2:$J$50000,"系统测试案例评审",缺陷明细!$AB$2:$AB$50000,"&lt;&gt;丢弃",缺陷明细!$AB$2:$AB$50000,"&lt;&gt;设计如此",缺陷明细!$AB$2:$AB$50000,"&lt;&gt;重复Bug")</f>
        <v>0</v>
      </c>
      <c r="O12" s="72">
        <f>COUNTIFS(缺陷明细!$A$2:$A$50000,$B$4,缺陷明细!$G$2:$G$50000,$C12,缺陷明细!$Q$2:$Q$50000,"已关闭",缺陷明细!$J$2:$J$50000,"系统测试案例评审")</f>
        <v>0</v>
      </c>
      <c r="P12" s="72">
        <f>COUNTIFS(缺陷明细!$A$2:$A$50000,$B$4,缺陷明细!$G$2:$G$50000,$C12,缺陷明细!$J$2:$J$50000,"系统测试",缺陷明细!$AB$2:$AB$50000,"&lt;&gt;丢弃",缺陷明细!$AB$2:$AB$50000,"&lt;&gt;设计如此",缺陷明细!$AB$2:$AB$50000,"&lt;&gt;重复Bug")</f>
        <v>0</v>
      </c>
      <c r="Q12" s="72">
        <f>COUNTIFS(缺陷明细!$A$2:$A$50000,$B$4,缺陷明细!$G$2:$G$50000,$C12,缺陷明细!$Q$2:$Q$50000,"已关闭",缺陷明细!$J$2:$J$50000,"系统测试")</f>
        <v>0</v>
      </c>
      <c r="R12" s="296">
        <f>COUNTIFS(缺陷明细!$A$2:$A$50000,$B$4,缺陷明细!$G$2:$G$50000,$C12,缺陷明细!$AB$2:$AB$50000,"丢弃",缺陷明细!$J$2:$J$50000,"系统测试")+COUNTIFS(缺陷明细!$A$2:$A$50000,$B$4,缺陷明细!$G$2:$G$50000,$C12,缺陷明细!$AB$2:$AB$50000,"设计如此",缺陷明细!$J$2:$J$50000,"系统测试")+COUNTIFS(缺陷明细!$A$2:$A$50000,$B$4,缺陷明细!$G$2:$G$50000,$C12,缺陷明细!$AB$2:$AB$50000,"重复Bug",缺陷明细!$J$2:$J$50000,"系统测试")</f>
        <v>0</v>
      </c>
      <c r="S12" s="72">
        <f>COUNTIFS(缺陷明细!$A$2:$A$50000,$B$4,缺陷明细!$G$2:$G$50000,$C12,缺陷明细!$J$2:$J$50000,"系统测试",缺陷明细!$K$2:$K$50000,"致命",缺陷明细!$AB$2:$AB$50000,"&lt;&gt;丢弃",缺陷明细!$AB$2:$AB$50000,"&lt;&gt;设计如此",缺陷明细!$AB$2:$AB$50000,"&lt;&gt;重复Bug")+COUNTIFS(缺陷明细!$A$2:$A$50000,$B$4,缺陷明细!$G$2:$G$50000,$C12,缺陷明细!$J$2:$J$50000,"系统测试",缺陷明细!$K$2:$K$50000,"严重",缺陷明细!$AB$2:$AB$50000,"&lt;&gt;丢弃",缺陷明细!$AB$2:$AB$50000,"&lt;&gt;设计如此",缺陷明细!$AB$2:$AB$50000,"&lt;&gt;重复Bug")</f>
        <v>0</v>
      </c>
      <c r="T12" s="73">
        <f>COUNTIFS(缺陷明细!$A$2:$A$50000,$B$4,缺陷明细!$G$2:$G$50000,$C12,缺陷明细!$Q$2:$Q$50000,"已关闭",缺陷明细!$J$2:$J$50000,"系统测试",缺陷明细!$K$2:$K$50000,"致命")+COUNTIFS(缺陷明细!$A$2:$A$50000,$B$4,缺陷明细!$G$2:$G$50000,$C12,缺陷明细!$Q$2:$Q$50000,"已关闭",缺陷明细!$J$2:$J$50000,"系统测试",缺陷明细!$K$2:$K$50000,"严重")</f>
        <v>0</v>
      </c>
      <c r="U12" s="74">
        <f>COUNTIFS(缺陷明细!$A$2:$A$50000,$B$4,缺陷明细!$G$2:$G$50000,$C12,缺陷明细!$J$2:$J$50000,"验收测试",缺陷明细!$AB$2:$AB$50000,"&lt;&gt;丢弃",缺陷明细!$AB$2:$AB$50000,"&lt;&gt;设计如此",缺陷明细!$AB$2:$AB$50000,"&lt;&gt;重复Bug")</f>
        <v>0</v>
      </c>
      <c r="V12" s="75">
        <f>COUNTIFS(缺陷明细!$A$2:$A$50000,$B$4,缺陷明细!$G$2:$G$50000,$C12,缺陷明细!$Q$2:$Q$50000,"已关闭",缺陷明细!$J$2:$J$50000,"验收测试")</f>
        <v>0</v>
      </c>
      <c r="W12" s="75">
        <f>COUNTIFS(缺陷明细!$A$2:$A$50000,$B$4,缺陷明细!$G$2:$G$50000,$C12,缺陷明细!$J$2:$J$50000,"验收测试",缺陷明细!$K$2:$K$50000,"致命",缺陷明细!$AB$2:$AB$50000,"&lt;&gt;丢弃",缺陷明细!$AB$2:$AB$50000,"&lt;&gt;设计如此",缺陷明细!$AB$2:$AB$50000,"&lt;&gt;重复Bug")+COUNTIFS(缺陷明细!$A$2:$A$50000,$B$4,缺陷明细!$G$2:$G$50000,$C12,缺陷明细!$J$2:$J$50000,"验收测试",缺陷明细!$K$2:$K$50000,"严重",缺陷明细!$AB$2:$AB$50000,"&lt;&gt;丢弃",缺陷明细!$AB$2:$AB$50000,"&lt;&gt;设计如此",缺陷明细!$AB$2:$AB$50000,"&lt;&gt;重复Bug")</f>
        <v>0</v>
      </c>
      <c r="X12" s="76">
        <f>COUNTIFS(缺陷明细!$A$2:$A$50000,$B$4,缺陷明细!$G$2:$G$50000,$C12,缺陷明细!$Q$2:$Q$50000,"已关闭",缺陷明细!$J$2:$J$50000,"验收测试",缺陷明细!$K$2:$K$50000,"致命")+COUNTIFS(缺陷明细!$A$2:$A$50000,$B$4,缺陷明细!$G$2:$G$50000,$C12,缺陷明细!$Q$2:$Q$50000,"已关闭",缺陷明细!$J$2:$J$50000,"验收测试",缺陷明细!$K$2:$K$50000,"严重")</f>
        <v>0</v>
      </c>
      <c r="Y12" s="70">
        <f>COUNTIFS(缺陷明细!$A$2:$A$50000,$B$4,缺陷明细!$G$2:$G$50000,$C12,缺陷明细!$J$2:$J$50000,"运维测试",缺陷明细!$AB$2:$AB$50000,"&lt;&gt;丢弃",缺陷明细!$AB$2:$AB$50000,"&lt;&gt;设计如此",缺陷明细!$AB$2:$AB$50000,"&lt;&gt;重复Bug")</f>
        <v>0</v>
      </c>
      <c r="Z12" s="71">
        <f>COUNTIFS(缺陷明细!$A$2:$A$50000,$B$4,缺陷明细!$G$2:$G$50000,$C12,缺陷明细!$Q$2:$Q$50000,"已关闭",缺陷明细!$J$2:$J$50000,"运维测试")</f>
        <v>0</v>
      </c>
      <c r="AA12" s="72">
        <f>COUNTIFS(缺陷明细!$A$2:$A$50000,$B$4,缺陷明细!$G$2:$G$50000,$C12,缺陷明细!$J$2:$J$50000,"运维测试",缺陷明细!$K$2:$K$50000,"致命",缺陷明细!$AB$2:$AB$50000,"&lt;&gt;丢弃",缺陷明细!$AB$2:$AB$50000,"&lt;&gt;设计如此",缺陷明细!$AB$2:$AB$50000,"&lt;&gt;重复Bug")+COUNTIFS(缺陷明细!$A$2:$A$50000,$B$4,缺陷明细!$G$2:$G$50000,$C12,缺陷明细!$J$2:$J$50000,"运维测试",缺陷明细!$K$2:$K$50000,"严重",缺陷明细!$AB$2:$AB$50000,"&lt;&gt;丢弃",缺陷明细!$AB$2:$AB$50000,"&lt;&gt;设计如此",缺陷明细!$AB$2:$AB$50000,"&lt;&gt;重复Bug")</f>
        <v>0</v>
      </c>
      <c r="AB12" s="73">
        <f>COUNTIFS(缺陷明细!$A$2:$A$50000,$B$4,缺陷明细!$G$2:$G$50000,$C12,缺陷明细!$Q$2:$Q$50000,"已关闭",缺陷明细!$J$2:$J$50000,"运维测试",缺陷明细!$K$2:$K$50000,"致命")+COUNTIFS(缺陷明细!$A$2:$A$50000,$B$4,缺陷明细!$G$2:$G$50000,$C12,缺陷明细!$Q$2:$Q$50000,"已关闭",缺陷明细!$J$2:$J$50000,"运维测试",缺陷明细!$K$2:$K$50000,"严重")</f>
        <v>0</v>
      </c>
      <c r="AC12" s="68">
        <f t="shared" si="0"/>
        <v>0</v>
      </c>
      <c r="AD12" s="60">
        <f t="shared" si="0"/>
        <v>0</v>
      </c>
      <c r="AE12" s="60">
        <f t="shared" si="1"/>
        <v>0</v>
      </c>
      <c r="AF12" s="60">
        <f t="shared" si="1"/>
        <v>0</v>
      </c>
      <c r="AG12" s="60">
        <f t="shared" si="2"/>
        <v>0</v>
      </c>
      <c r="AH12" s="60">
        <f t="shared" si="2"/>
        <v>0</v>
      </c>
      <c r="AI12" s="60">
        <f t="shared" si="3"/>
        <v>0</v>
      </c>
      <c r="AJ12" s="61">
        <f t="shared" si="3"/>
        <v>0</v>
      </c>
      <c r="AK12" s="144"/>
    </row>
    <row r="13" spans="1:37" ht="20.100000000000001" customHeight="1">
      <c r="A13">
        <v>9</v>
      </c>
      <c r="B13" s="57">
        <v>128</v>
      </c>
      <c r="C13" s="58" t="s">
        <v>335</v>
      </c>
      <c r="D13" s="84" t="s">
        <v>326</v>
      </c>
      <c r="E13" s="82"/>
      <c r="F13" s="158">
        <v>32</v>
      </c>
      <c r="G13" s="159">
        <v>28</v>
      </c>
      <c r="H13" s="281">
        <f>COUNTIFS(缺陷明细!$A$2:$A$50000,$B$4,缺陷明细!$G$2:$G$50000,$C13,缺陷明细!$J$2:$J$50000,"评审",缺陷明细!$AB$2:$AB$50000,"&lt;&gt;丢弃",缺陷明细!$AB$2:$AB$50000,"&lt;&gt;设计如此",缺陷明细!$AB$2:$AB$50000,"&lt;&gt;重复Bug")</f>
        <v>0</v>
      </c>
      <c r="I13" s="154">
        <f>COUNTIFS(缺陷明细!$A$2:$A$50000,$B$4,缺陷明细!$G$2:$G$50000,$C13,缺陷明细!$Q$2:$Q$50000,"已关闭",缺陷明细!$J$2:$J$50000,"评审")</f>
        <v>0</v>
      </c>
      <c r="J13" s="154">
        <f>COUNTIFS(缺陷明细!$A$2:$A$50000,$B$4,缺陷明细!$G$2:$G$50000,$C13,缺陷明细!$J$2:$J$50000,"单元测试",缺陷明细!$AB$2:$AB$50000,"&lt;&gt;丢弃",缺陷明细!$AB$2:$AB$50000,"&lt;&gt;设计如此",缺陷明细!$AB$2:$AB$50000,"&lt;&gt;重复Bug")</f>
        <v>0</v>
      </c>
      <c r="K13" s="155">
        <f>COUNTIFS(缺陷明细!$A$2:$A$50000,$B$4,缺陷明细!$G$2:$G$50000,$C13,缺陷明细!$Q$2:$Q$50000,"已关闭",缺陷明细!$J$2:$J$50000,"单元测试")</f>
        <v>0</v>
      </c>
      <c r="L13" s="156"/>
      <c r="M13" s="157"/>
      <c r="N13" s="72">
        <f>COUNTIFS(缺陷明细!$A$2:$A$50000,$B$4,缺陷明细!$G$2:$G$50000,$C13,缺陷明细!$J$2:$J$50000,"系统测试案例评审",缺陷明细!$AB$2:$AB$50000,"&lt;&gt;丢弃",缺陷明细!$AB$2:$AB$50000,"&lt;&gt;设计如此",缺陷明细!$AB$2:$AB$50000,"&lt;&gt;重复Bug")</f>
        <v>0</v>
      </c>
      <c r="O13" s="72">
        <f>COUNTIFS(缺陷明细!$A$2:$A$50000,$B$4,缺陷明细!$G$2:$G$50000,$C13,缺陷明细!$Q$2:$Q$50000,"已关闭",缺陷明细!$J$2:$J$50000,"系统测试案例评审")</f>
        <v>0</v>
      </c>
      <c r="P13" s="72">
        <f>COUNTIFS(缺陷明细!$A$2:$A$50000,$B$4,缺陷明细!$G$2:$G$50000,$C13,缺陷明细!$J$2:$J$50000,"系统测试",缺陷明细!$AB$2:$AB$50000,"&lt;&gt;丢弃",缺陷明细!$AB$2:$AB$50000,"&lt;&gt;设计如此",缺陷明细!$AB$2:$AB$50000,"&lt;&gt;重复Bug")</f>
        <v>0</v>
      </c>
      <c r="Q13" s="72">
        <f>COUNTIFS(缺陷明细!$A$2:$A$50000,$B$4,缺陷明细!$G$2:$G$50000,$C13,缺陷明细!$Q$2:$Q$50000,"已关闭",缺陷明细!$J$2:$J$50000,"系统测试")</f>
        <v>0</v>
      </c>
      <c r="R13" s="296">
        <f>COUNTIFS(缺陷明细!$A$2:$A$50000,$B$4,缺陷明细!$G$2:$G$50000,$C13,缺陷明细!$AB$2:$AB$50000,"丢弃",缺陷明细!$J$2:$J$50000,"系统测试")+COUNTIFS(缺陷明细!$A$2:$A$50000,$B$4,缺陷明细!$G$2:$G$50000,$C13,缺陷明细!$AB$2:$AB$50000,"设计如此",缺陷明细!$J$2:$J$50000,"系统测试")+COUNTIFS(缺陷明细!$A$2:$A$50000,$B$4,缺陷明细!$G$2:$G$50000,$C13,缺陷明细!$AB$2:$AB$50000,"重复Bug",缺陷明细!$J$2:$J$50000,"系统测试")</f>
        <v>0</v>
      </c>
      <c r="S13" s="72">
        <f>COUNTIFS(缺陷明细!$A$2:$A$50000,$B$4,缺陷明细!$G$2:$G$50000,$C13,缺陷明细!$J$2:$J$50000,"系统测试",缺陷明细!$K$2:$K$50000,"致命",缺陷明细!$AB$2:$AB$50000,"&lt;&gt;丢弃",缺陷明细!$AB$2:$AB$50000,"&lt;&gt;设计如此",缺陷明细!$AB$2:$AB$50000,"&lt;&gt;重复Bug")+COUNTIFS(缺陷明细!$A$2:$A$50000,$B$4,缺陷明细!$G$2:$G$50000,$C13,缺陷明细!$J$2:$J$50000,"系统测试",缺陷明细!$K$2:$K$50000,"严重",缺陷明细!$AB$2:$AB$50000,"&lt;&gt;丢弃",缺陷明细!$AB$2:$AB$50000,"&lt;&gt;设计如此",缺陷明细!$AB$2:$AB$50000,"&lt;&gt;重复Bug")</f>
        <v>0</v>
      </c>
      <c r="T13" s="73">
        <f>COUNTIFS(缺陷明细!$A$2:$A$50000,$B$4,缺陷明细!$G$2:$G$50000,$C13,缺陷明细!$Q$2:$Q$50000,"已关闭",缺陷明细!$J$2:$J$50000,"系统测试",缺陷明细!$K$2:$K$50000,"致命")+COUNTIFS(缺陷明细!$A$2:$A$50000,$B$4,缺陷明细!$G$2:$G$50000,$C13,缺陷明细!$Q$2:$Q$50000,"已关闭",缺陷明细!$J$2:$J$50000,"系统测试",缺陷明细!$K$2:$K$50000,"严重")</f>
        <v>0</v>
      </c>
      <c r="U13" s="74">
        <f>COUNTIFS(缺陷明细!$A$2:$A$50000,$B$4,缺陷明细!$G$2:$G$50000,$C13,缺陷明细!$J$2:$J$50000,"验收测试",缺陷明细!$AB$2:$AB$50000,"&lt;&gt;丢弃",缺陷明细!$AB$2:$AB$50000,"&lt;&gt;设计如此",缺陷明细!$AB$2:$AB$50000,"&lt;&gt;重复Bug")</f>
        <v>0</v>
      </c>
      <c r="V13" s="75">
        <f>COUNTIFS(缺陷明细!$A$2:$A$50000,$B$4,缺陷明细!$G$2:$G$50000,$C13,缺陷明细!$Q$2:$Q$50000,"已关闭",缺陷明细!$J$2:$J$50000,"验收测试")</f>
        <v>0</v>
      </c>
      <c r="W13" s="75">
        <f>COUNTIFS(缺陷明细!$A$2:$A$50000,$B$4,缺陷明细!$G$2:$G$50000,$C13,缺陷明细!$J$2:$J$50000,"验收测试",缺陷明细!$K$2:$K$50000,"致命",缺陷明细!$AB$2:$AB$50000,"&lt;&gt;丢弃",缺陷明细!$AB$2:$AB$50000,"&lt;&gt;设计如此",缺陷明细!$AB$2:$AB$50000,"&lt;&gt;重复Bug")+COUNTIFS(缺陷明细!$A$2:$A$50000,$B$4,缺陷明细!$G$2:$G$50000,$C13,缺陷明细!$J$2:$J$50000,"验收测试",缺陷明细!$K$2:$K$50000,"严重",缺陷明细!$AB$2:$AB$50000,"&lt;&gt;丢弃",缺陷明细!$AB$2:$AB$50000,"&lt;&gt;设计如此",缺陷明细!$AB$2:$AB$50000,"&lt;&gt;重复Bug")</f>
        <v>0</v>
      </c>
      <c r="X13" s="76">
        <f>COUNTIFS(缺陷明细!$A$2:$A$50000,$B$4,缺陷明细!$G$2:$G$50000,$C13,缺陷明细!$Q$2:$Q$50000,"已关闭",缺陷明细!$J$2:$J$50000,"验收测试",缺陷明细!$K$2:$K$50000,"致命")+COUNTIFS(缺陷明细!$A$2:$A$50000,$B$4,缺陷明细!$G$2:$G$50000,$C13,缺陷明细!$Q$2:$Q$50000,"已关闭",缺陷明细!$J$2:$J$50000,"验收测试",缺陷明细!$K$2:$K$50000,"严重")</f>
        <v>0</v>
      </c>
      <c r="Y13" s="70">
        <f>COUNTIFS(缺陷明细!$A$2:$A$50000,$B$4,缺陷明细!$G$2:$G$50000,$C13,缺陷明细!$J$2:$J$50000,"运维测试",缺陷明细!$AB$2:$AB$50000,"&lt;&gt;丢弃",缺陷明细!$AB$2:$AB$50000,"&lt;&gt;设计如此",缺陷明细!$AB$2:$AB$50000,"&lt;&gt;重复Bug")</f>
        <v>0</v>
      </c>
      <c r="Z13" s="71">
        <f>COUNTIFS(缺陷明细!$A$2:$A$50000,$B$4,缺陷明细!$G$2:$G$50000,$C13,缺陷明细!$Q$2:$Q$50000,"已关闭",缺陷明细!$J$2:$J$50000,"运维测试")</f>
        <v>0</v>
      </c>
      <c r="AA13" s="72">
        <f>COUNTIFS(缺陷明细!$A$2:$A$50000,$B$4,缺陷明细!$G$2:$G$50000,$C13,缺陷明细!$J$2:$J$50000,"运维测试",缺陷明细!$K$2:$K$50000,"致命",缺陷明细!$AB$2:$AB$50000,"&lt;&gt;丢弃",缺陷明细!$AB$2:$AB$50000,"&lt;&gt;设计如此",缺陷明细!$AB$2:$AB$50000,"&lt;&gt;重复Bug")+COUNTIFS(缺陷明细!$A$2:$A$50000,$B$4,缺陷明细!$G$2:$G$50000,$C13,缺陷明细!$J$2:$J$50000,"运维测试",缺陷明细!$K$2:$K$50000,"严重",缺陷明细!$AB$2:$AB$50000,"&lt;&gt;丢弃",缺陷明细!$AB$2:$AB$50000,"&lt;&gt;设计如此",缺陷明细!$AB$2:$AB$50000,"&lt;&gt;重复Bug")</f>
        <v>0</v>
      </c>
      <c r="AB13" s="73">
        <f>COUNTIFS(缺陷明细!$A$2:$A$50000,$B$4,缺陷明细!$G$2:$G$50000,$C13,缺陷明细!$Q$2:$Q$50000,"已关闭",缺陷明细!$J$2:$J$50000,"运维测试",缺陷明细!$K$2:$K$50000,"致命")+COUNTIFS(缺陷明细!$A$2:$A$50000,$B$4,缺陷明细!$G$2:$G$50000,$C13,缺陷明细!$Q$2:$Q$50000,"已关闭",缺陷明细!$J$2:$J$50000,"运维测试",缺陷明细!$K$2:$K$50000,"严重")</f>
        <v>0</v>
      </c>
      <c r="AC13" s="68">
        <f t="shared" si="0"/>
        <v>0</v>
      </c>
      <c r="AD13" s="60">
        <f t="shared" si="0"/>
        <v>0</v>
      </c>
      <c r="AE13" s="60">
        <f t="shared" si="1"/>
        <v>0</v>
      </c>
      <c r="AF13" s="60">
        <f t="shared" si="1"/>
        <v>0</v>
      </c>
      <c r="AG13" s="60">
        <f t="shared" si="2"/>
        <v>0</v>
      </c>
      <c r="AH13" s="60">
        <f t="shared" si="2"/>
        <v>0</v>
      </c>
      <c r="AI13" s="60">
        <f t="shared" si="3"/>
        <v>0</v>
      </c>
      <c r="AJ13" s="61">
        <f t="shared" si="3"/>
        <v>0</v>
      </c>
      <c r="AK13" s="144"/>
    </row>
    <row r="14" spans="1:37" ht="20.100000000000001" customHeight="1">
      <c r="A14">
        <v>10</v>
      </c>
      <c r="B14" s="57">
        <v>129</v>
      </c>
      <c r="C14" s="58" t="s">
        <v>336</v>
      </c>
      <c r="D14" s="84" t="s">
        <v>326</v>
      </c>
      <c r="E14" s="82"/>
      <c r="F14" s="158">
        <v>24</v>
      </c>
      <c r="G14" s="159"/>
      <c r="H14" s="281">
        <f>COUNTIFS(缺陷明细!$A$2:$A$50000,$B$4,缺陷明细!$G$2:$G$50000,$C14,缺陷明细!$J$2:$J$50000,"评审",缺陷明细!$AB$2:$AB$50000,"&lt;&gt;丢弃",缺陷明细!$AB$2:$AB$50000,"&lt;&gt;设计如此",缺陷明细!$AB$2:$AB$50000,"&lt;&gt;重复Bug")</f>
        <v>0</v>
      </c>
      <c r="I14" s="154">
        <f>COUNTIFS(缺陷明细!$A$2:$A$50000,$B$4,缺陷明细!$G$2:$G$50000,$C14,缺陷明细!$Q$2:$Q$50000,"已关闭",缺陷明细!$J$2:$J$50000,"评审")</f>
        <v>0</v>
      </c>
      <c r="J14" s="154">
        <f>COUNTIFS(缺陷明细!$A$2:$A$50000,$B$4,缺陷明细!$G$2:$G$50000,$C14,缺陷明细!$J$2:$J$50000,"单元测试",缺陷明细!$AB$2:$AB$50000,"&lt;&gt;丢弃",缺陷明细!$AB$2:$AB$50000,"&lt;&gt;设计如此",缺陷明细!$AB$2:$AB$50000,"&lt;&gt;重复Bug")</f>
        <v>0</v>
      </c>
      <c r="K14" s="155">
        <f>COUNTIFS(缺陷明细!$A$2:$A$50000,$B$4,缺陷明细!$G$2:$G$50000,$C14,缺陷明细!$Q$2:$Q$50000,"已关闭",缺陷明细!$J$2:$J$50000,"单元测试")</f>
        <v>0</v>
      </c>
      <c r="L14" s="156"/>
      <c r="M14" s="157"/>
      <c r="N14" s="72">
        <f>COUNTIFS(缺陷明细!$A$2:$A$50000,$B$4,缺陷明细!$G$2:$G$50000,$C14,缺陷明细!$J$2:$J$50000,"系统测试案例评审",缺陷明细!$AB$2:$AB$50000,"&lt;&gt;丢弃",缺陷明细!$AB$2:$AB$50000,"&lt;&gt;设计如此",缺陷明细!$AB$2:$AB$50000,"&lt;&gt;重复Bug")</f>
        <v>0</v>
      </c>
      <c r="O14" s="72">
        <f>COUNTIFS(缺陷明细!$A$2:$A$50000,$B$4,缺陷明细!$G$2:$G$50000,$C14,缺陷明细!$Q$2:$Q$50000,"已关闭",缺陷明细!$J$2:$J$50000,"系统测试案例评审")</f>
        <v>0</v>
      </c>
      <c r="P14" s="72">
        <f>COUNTIFS(缺陷明细!$A$2:$A$50000,$B$4,缺陷明细!$G$2:$G$50000,$C14,缺陷明细!$J$2:$J$50000,"系统测试",缺陷明细!$AB$2:$AB$50000,"&lt;&gt;丢弃",缺陷明细!$AB$2:$AB$50000,"&lt;&gt;设计如此",缺陷明细!$AB$2:$AB$50000,"&lt;&gt;重复Bug")</f>
        <v>0</v>
      </c>
      <c r="Q14" s="72">
        <f>COUNTIFS(缺陷明细!$A$2:$A$50000,$B$4,缺陷明细!$G$2:$G$50000,$C14,缺陷明细!$Q$2:$Q$50000,"已关闭",缺陷明细!$J$2:$J$50000,"系统测试")</f>
        <v>0</v>
      </c>
      <c r="R14" s="296">
        <f>COUNTIFS(缺陷明细!$A$2:$A$50000,$B$4,缺陷明细!$G$2:$G$50000,$C14,缺陷明细!$AB$2:$AB$50000,"丢弃",缺陷明细!$J$2:$J$50000,"系统测试")+COUNTIFS(缺陷明细!$A$2:$A$50000,$B$4,缺陷明细!$G$2:$G$50000,$C14,缺陷明细!$AB$2:$AB$50000,"设计如此",缺陷明细!$J$2:$J$50000,"系统测试")+COUNTIFS(缺陷明细!$A$2:$A$50000,$B$4,缺陷明细!$G$2:$G$50000,$C14,缺陷明细!$AB$2:$AB$50000,"重复Bug",缺陷明细!$J$2:$J$50000,"系统测试")</f>
        <v>0</v>
      </c>
      <c r="S14" s="72">
        <f>COUNTIFS(缺陷明细!$A$2:$A$50000,$B$4,缺陷明细!$G$2:$G$50000,$C14,缺陷明细!$J$2:$J$50000,"系统测试",缺陷明细!$K$2:$K$50000,"致命",缺陷明细!$AB$2:$AB$50000,"&lt;&gt;丢弃",缺陷明细!$AB$2:$AB$50000,"&lt;&gt;设计如此",缺陷明细!$AB$2:$AB$50000,"&lt;&gt;重复Bug")+COUNTIFS(缺陷明细!$A$2:$A$50000,$B$4,缺陷明细!$G$2:$G$50000,$C14,缺陷明细!$J$2:$J$50000,"系统测试",缺陷明细!$K$2:$K$50000,"严重",缺陷明细!$AB$2:$AB$50000,"&lt;&gt;丢弃",缺陷明细!$AB$2:$AB$50000,"&lt;&gt;设计如此",缺陷明细!$AB$2:$AB$50000,"&lt;&gt;重复Bug")</f>
        <v>0</v>
      </c>
      <c r="T14" s="73">
        <f>COUNTIFS(缺陷明细!$A$2:$A$50000,$B$4,缺陷明细!$G$2:$G$50000,$C14,缺陷明细!$Q$2:$Q$50000,"已关闭",缺陷明细!$J$2:$J$50000,"系统测试",缺陷明细!$K$2:$K$50000,"致命")+COUNTIFS(缺陷明细!$A$2:$A$50000,$B$4,缺陷明细!$G$2:$G$50000,$C14,缺陷明细!$Q$2:$Q$50000,"已关闭",缺陷明细!$J$2:$J$50000,"系统测试",缺陷明细!$K$2:$K$50000,"严重")</f>
        <v>0</v>
      </c>
      <c r="U14" s="74">
        <f>COUNTIFS(缺陷明细!$A$2:$A$50000,$B$4,缺陷明细!$G$2:$G$50000,$C14,缺陷明细!$J$2:$J$50000,"验收测试",缺陷明细!$AB$2:$AB$50000,"&lt;&gt;丢弃",缺陷明细!$AB$2:$AB$50000,"&lt;&gt;设计如此",缺陷明细!$AB$2:$AB$50000,"&lt;&gt;重复Bug")</f>
        <v>0</v>
      </c>
      <c r="V14" s="75">
        <f>COUNTIFS(缺陷明细!$A$2:$A$50000,$B$4,缺陷明细!$G$2:$G$50000,$C14,缺陷明细!$Q$2:$Q$50000,"已关闭",缺陷明细!$J$2:$J$50000,"验收测试")</f>
        <v>0</v>
      </c>
      <c r="W14" s="75">
        <f>COUNTIFS(缺陷明细!$A$2:$A$50000,$B$4,缺陷明细!$G$2:$G$50000,$C14,缺陷明细!$J$2:$J$50000,"验收测试",缺陷明细!$K$2:$K$50000,"致命",缺陷明细!$AB$2:$AB$50000,"&lt;&gt;丢弃",缺陷明细!$AB$2:$AB$50000,"&lt;&gt;设计如此",缺陷明细!$AB$2:$AB$50000,"&lt;&gt;重复Bug")+COUNTIFS(缺陷明细!$A$2:$A$50000,$B$4,缺陷明细!$G$2:$G$50000,$C14,缺陷明细!$J$2:$J$50000,"验收测试",缺陷明细!$K$2:$K$50000,"严重",缺陷明细!$AB$2:$AB$50000,"&lt;&gt;丢弃",缺陷明细!$AB$2:$AB$50000,"&lt;&gt;设计如此",缺陷明细!$AB$2:$AB$50000,"&lt;&gt;重复Bug")</f>
        <v>0</v>
      </c>
      <c r="X14" s="76">
        <f>COUNTIFS(缺陷明细!$A$2:$A$50000,$B$4,缺陷明细!$G$2:$G$50000,$C14,缺陷明细!$Q$2:$Q$50000,"已关闭",缺陷明细!$J$2:$J$50000,"验收测试",缺陷明细!$K$2:$K$50000,"致命")+COUNTIFS(缺陷明细!$A$2:$A$50000,$B$4,缺陷明细!$G$2:$G$50000,$C14,缺陷明细!$Q$2:$Q$50000,"已关闭",缺陷明细!$J$2:$J$50000,"验收测试",缺陷明细!$K$2:$K$50000,"严重")</f>
        <v>0</v>
      </c>
      <c r="Y14" s="70">
        <f>COUNTIFS(缺陷明细!$A$2:$A$50000,$B$4,缺陷明细!$G$2:$G$50000,$C14,缺陷明细!$J$2:$J$50000,"运维测试",缺陷明细!$AB$2:$AB$50000,"&lt;&gt;丢弃",缺陷明细!$AB$2:$AB$50000,"&lt;&gt;设计如此",缺陷明细!$AB$2:$AB$50000,"&lt;&gt;重复Bug")</f>
        <v>0</v>
      </c>
      <c r="Z14" s="71">
        <f>COUNTIFS(缺陷明细!$A$2:$A$50000,$B$4,缺陷明细!$G$2:$G$50000,$C14,缺陷明细!$Q$2:$Q$50000,"已关闭",缺陷明细!$J$2:$J$50000,"运维测试")</f>
        <v>0</v>
      </c>
      <c r="AA14" s="72">
        <f>COUNTIFS(缺陷明细!$A$2:$A$50000,$B$4,缺陷明细!$G$2:$G$50000,$C14,缺陷明细!$J$2:$J$50000,"运维测试",缺陷明细!$K$2:$K$50000,"致命",缺陷明细!$AB$2:$AB$50000,"&lt;&gt;丢弃",缺陷明细!$AB$2:$AB$50000,"&lt;&gt;设计如此",缺陷明细!$AB$2:$AB$50000,"&lt;&gt;重复Bug")+COUNTIFS(缺陷明细!$A$2:$A$50000,$B$4,缺陷明细!$G$2:$G$50000,$C14,缺陷明细!$J$2:$J$50000,"运维测试",缺陷明细!$K$2:$K$50000,"严重",缺陷明细!$AB$2:$AB$50000,"&lt;&gt;丢弃",缺陷明细!$AB$2:$AB$50000,"&lt;&gt;设计如此",缺陷明细!$AB$2:$AB$50000,"&lt;&gt;重复Bug")</f>
        <v>0</v>
      </c>
      <c r="AB14" s="73">
        <f>COUNTIFS(缺陷明细!$A$2:$A$50000,$B$4,缺陷明细!$G$2:$G$50000,$C14,缺陷明细!$Q$2:$Q$50000,"已关闭",缺陷明细!$J$2:$J$50000,"运维测试",缺陷明细!$K$2:$K$50000,"致命")+COUNTIFS(缺陷明细!$A$2:$A$50000,$B$4,缺陷明细!$G$2:$G$50000,$C14,缺陷明细!$Q$2:$Q$50000,"已关闭",缺陷明细!$J$2:$J$50000,"运维测试",缺陷明细!$K$2:$K$50000,"严重")</f>
        <v>0</v>
      </c>
      <c r="AC14" s="68">
        <f t="shared" si="0"/>
        <v>0</v>
      </c>
      <c r="AD14" s="60">
        <f t="shared" si="0"/>
        <v>0</v>
      </c>
      <c r="AE14" s="60">
        <f t="shared" si="1"/>
        <v>0</v>
      </c>
      <c r="AF14" s="60">
        <f t="shared" si="1"/>
        <v>0</v>
      </c>
      <c r="AG14" s="60">
        <f t="shared" si="2"/>
        <v>0</v>
      </c>
      <c r="AH14" s="60">
        <f t="shared" si="2"/>
        <v>0</v>
      </c>
      <c r="AI14" s="60">
        <f t="shared" si="3"/>
        <v>0</v>
      </c>
      <c r="AJ14" s="61">
        <f t="shared" si="3"/>
        <v>0</v>
      </c>
      <c r="AK14" s="144"/>
    </row>
    <row r="15" spans="1:37" ht="20.100000000000001" customHeight="1">
      <c r="A15">
        <v>11</v>
      </c>
      <c r="B15" s="57">
        <v>130</v>
      </c>
      <c r="C15" s="58" t="s">
        <v>337</v>
      </c>
      <c r="D15" s="84" t="s">
        <v>330</v>
      </c>
      <c r="E15" s="82"/>
      <c r="F15" s="158">
        <v>40</v>
      </c>
      <c r="G15" s="159"/>
      <c r="H15" s="281">
        <f>COUNTIFS(缺陷明细!$A$2:$A$50000,$B$4,缺陷明细!$G$2:$G$50000,$C15,缺陷明细!$J$2:$J$50000,"评审",缺陷明细!$AB$2:$AB$50000,"&lt;&gt;丢弃",缺陷明细!$AB$2:$AB$50000,"&lt;&gt;设计如此",缺陷明细!$AB$2:$AB$50000,"&lt;&gt;重复Bug")</f>
        <v>0</v>
      </c>
      <c r="I15" s="154">
        <f>COUNTIFS(缺陷明细!$A$2:$A$50000,$B$4,缺陷明细!$G$2:$G$50000,$C15,缺陷明细!$Q$2:$Q$50000,"已关闭",缺陷明细!$J$2:$J$50000,"评审")</f>
        <v>0</v>
      </c>
      <c r="J15" s="154">
        <f>COUNTIFS(缺陷明细!$A$2:$A$50000,$B$4,缺陷明细!$G$2:$G$50000,$C15,缺陷明细!$J$2:$J$50000,"单元测试",缺陷明细!$AB$2:$AB$50000,"&lt;&gt;丢弃",缺陷明细!$AB$2:$AB$50000,"&lt;&gt;设计如此",缺陷明细!$AB$2:$AB$50000,"&lt;&gt;重复Bug")</f>
        <v>0</v>
      </c>
      <c r="K15" s="155">
        <f>COUNTIFS(缺陷明细!$A$2:$A$50000,$B$4,缺陷明细!$G$2:$G$50000,$C15,缺陷明细!$Q$2:$Q$50000,"已关闭",缺陷明细!$J$2:$J$50000,"单元测试")</f>
        <v>0</v>
      </c>
      <c r="L15" s="156"/>
      <c r="M15" s="157"/>
      <c r="N15" s="72">
        <f>COUNTIFS(缺陷明细!$A$2:$A$50000,$B$4,缺陷明细!$G$2:$G$50000,$C15,缺陷明细!$J$2:$J$50000,"系统测试案例评审",缺陷明细!$AB$2:$AB$50000,"&lt;&gt;丢弃",缺陷明细!$AB$2:$AB$50000,"&lt;&gt;设计如此",缺陷明细!$AB$2:$AB$50000,"&lt;&gt;重复Bug")</f>
        <v>0</v>
      </c>
      <c r="O15" s="72">
        <f>COUNTIFS(缺陷明细!$A$2:$A$50000,$B$4,缺陷明细!$G$2:$G$50000,$C15,缺陷明细!$Q$2:$Q$50000,"已关闭",缺陷明细!$J$2:$J$50000,"系统测试案例评审")</f>
        <v>0</v>
      </c>
      <c r="P15" s="72">
        <f>COUNTIFS(缺陷明细!$A$2:$A$50000,$B$4,缺陷明细!$G$2:$G$50000,$C15,缺陷明细!$J$2:$J$50000,"系统测试",缺陷明细!$AB$2:$AB$50000,"&lt;&gt;丢弃",缺陷明细!$AB$2:$AB$50000,"&lt;&gt;设计如此",缺陷明细!$AB$2:$AB$50000,"&lt;&gt;重复Bug")</f>
        <v>0</v>
      </c>
      <c r="Q15" s="72">
        <f>COUNTIFS(缺陷明细!$A$2:$A$50000,$B$4,缺陷明细!$G$2:$G$50000,$C15,缺陷明细!$Q$2:$Q$50000,"已关闭",缺陷明细!$J$2:$J$50000,"系统测试")</f>
        <v>0</v>
      </c>
      <c r="R15" s="296">
        <f>COUNTIFS(缺陷明细!$A$2:$A$50000,$B$4,缺陷明细!$G$2:$G$50000,$C15,缺陷明细!$AB$2:$AB$50000,"丢弃",缺陷明细!$J$2:$J$50000,"系统测试")+COUNTIFS(缺陷明细!$A$2:$A$50000,$B$4,缺陷明细!$G$2:$G$50000,$C15,缺陷明细!$AB$2:$AB$50000,"设计如此",缺陷明细!$J$2:$J$50000,"系统测试")+COUNTIFS(缺陷明细!$A$2:$A$50000,$B$4,缺陷明细!$G$2:$G$50000,$C15,缺陷明细!$AB$2:$AB$50000,"重复Bug",缺陷明细!$J$2:$J$50000,"系统测试")</f>
        <v>0</v>
      </c>
      <c r="S15" s="72">
        <f>COUNTIFS(缺陷明细!$A$2:$A$50000,$B$4,缺陷明细!$G$2:$G$50000,$C15,缺陷明细!$J$2:$J$50000,"系统测试",缺陷明细!$K$2:$K$50000,"致命",缺陷明细!$AB$2:$AB$50000,"&lt;&gt;丢弃",缺陷明细!$AB$2:$AB$50000,"&lt;&gt;设计如此",缺陷明细!$AB$2:$AB$50000,"&lt;&gt;重复Bug")+COUNTIFS(缺陷明细!$A$2:$A$50000,$B$4,缺陷明细!$G$2:$G$50000,$C15,缺陷明细!$J$2:$J$50000,"系统测试",缺陷明细!$K$2:$K$50000,"严重",缺陷明细!$AB$2:$AB$50000,"&lt;&gt;丢弃",缺陷明细!$AB$2:$AB$50000,"&lt;&gt;设计如此",缺陷明细!$AB$2:$AB$50000,"&lt;&gt;重复Bug")</f>
        <v>0</v>
      </c>
      <c r="T15" s="73">
        <f>COUNTIFS(缺陷明细!$A$2:$A$50000,$B$4,缺陷明细!$G$2:$G$50000,$C15,缺陷明细!$Q$2:$Q$50000,"已关闭",缺陷明细!$J$2:$J$50000,"系统测试",缺陷明细!$K$2:$K$50000,"致命")+COUNTIFS(缺陷明细!$A$2:$A$50000,$B$4,缺陷明细!$G$2:$G$50000,$C15,缺陷明细!$Q$2:$Q$50000,"已关闭",缺陷明细!$J$2:$J$50000,"系统测试",缺陷明细!$K$2:$K$50000,"严重")</f>
        <v>0</v>
      </c>
      <c r="U15" s="74">
        <f>COUNTIFS(缺陷明细!$A$2:$A$50000,$B$4,缺陷明细!$G$2:$G$50000,$C15,缺陷明细!$J$2:$J$50000,"验收测试",缺陷明细!$AB$2:$AB$50000,"&lt;&gt;丢弃",缺陷明细!$AB$2:$AB$50000,"&lt;&gt;设计如此",缺陷明细!$AB$2:$AB$50000,"&lt;&gt;重复Bug")</f>
        <v>0</v>
      </c>
      <c r="V15" s="75">
        <f>COUNTIFS(缺陷明细!$A$2:$A$50000,$B$4,缺陷明细!$G$2:$G$50000,$C15,缺陷明细!$Q$2:$Q$50000,"已关闭",缺陷明细!$J$2:$J$50000,"验收测试")</f>
        <v>0</v>
      </c>
      <c r="W15" s="75">
        <f>COUNTIFS(缺陷明细!$A$2:$A$50000,$B$4,缺陷明细!$G$2:$G$50000,$C15,缺陷明细!$J$2:$J$50000,"验收测试",缺陷明细!$K$2:$K$50000,"致命",缺陷明细!$AB$2:$AB$50000,"&lt;&gt;丢弃",缺陷明细!$AB$2:$AB$50000,"&lt;&gt;设计如此",缺陷明细!$AB$2:$AB$50000,"&lt;&gt;重复Bug")+COUNTIFS(缺陷明细!$A$2:$A$50000,$B$4,缺陷明细!$G$2:$G$50000,$C15,缺陷明细!$J$2:$J$50000,"验收测试",缺陷明细!$K$2:$K$50000,"严重",缺陷明细!$AB$2:$AB$50000,"&lt;&gt;丢弃",缺陷明细!$AB$2:$AB$50000,"&lt;&gt;设计如此",缺陷明细!$AB$2:$AB$50000,"&lt;&gt;重复Bug")</f>
        <v>0</v>
      </c>
      <c r="X15" s="76">
        <f>COUNTIFS(缺陷明细!$A$2:$A$50000,$B$4,缺陷明细!$G$2:$G$50000,$C15,缺陷明细!$Q$2:$Q$50000,"已关闭",缺陷明细!$J$2:$J$50000,"验收测试",缺陷明细!$K$2:$K$50000,"致命")+COUNTIFS(缺陷明细!$A$2:$A$50000,$B$4,缺陷明细!$G$2:$G$50000,$C15,缺陷明细!$Q$2:$Q$50000,"已关闭",缺陷明细!$J$2:$J$50000,"验收测试",缺陷明细!$K$2:$K$50000,"严重")</f>
        <v>0</v>
      </c>
      <c r="Y15" s="70">
        <f>COUNTIFS(缺陷明细!$A$2:$A$50000,$B$4,缺陷明细!$G$2:$G$50000,$C15,缺陷明细!$J$2:$J$50000,"运维测试",缺陷明细!$AB$2:$AB$50000,"&lt;&gt;丢弃",缺陷明细!$AB$2:$AB$50000,"&lt;&gt;设计如此",缺陷明细!$AB$2:$AB$50000,"&lt;&gt;重复Bug")</f>
        <v>0</v>
      </c>
      <c r="Z15" s="71">
        <f>COUNTIFS(缺陷明细!$A$2:$A$50000,$B$4,缺陷明细!$G$2:$G$50000,$C15,缺陷明细!$Q$2:$Q$50000,"已关闭",缺陷明细!$J$2:$J$50000,"运维测试")</f>
        <v>0</v>
      </c>
      <c r="AA15" s="72">
        <f>COUNTIFS(缺陷明细!$A$2:$A$50000,$B$4,缺陷明细!$G$2:$G$50000,$C15,缺陷明细!$J$2:$J$50000,"运维测试",缺陷明细!$K$2:$K$50000,"致命",缺陷明细!$AB$2:$AB$50000,"&lt;&gt;丢弃",缺陷明细!$AB$2:$AB$50000,"&lt;&gt;设计如此",缺陷明细!$AB$2:$AB$50000,"&lt;&gt;重复Bug")+COUNTIFS(缺陷明细!$A$2:$A$50000,$B$4,缺陷明细!$G$2:$G$50000,$C15,缺陷明细!$J$2:$J$50000,"运维测试",缺陷明细!$K$2:$K$50000,"严重",缺陷明细!$AB$2:$AB$50000,"&lt;&gt;丢弃",缺陷明细!$AB$2:$AB$50000,"&lt;&gt;设计如此",缺陷明细!$AB$2:$AB$50000,"&lt;&gt;重复Bug")</f>
        <v>0</v>
      </c>
      <c r="AB15" s="73">
        <f>COUNTIFS(缺陷明细!$A$2:$A$50000,$B$4,缺陷明细!$G$2:$G$50000,$C15,缺陷明细!$Q$2:$Q$50000,"已关闭",缺陷明细!$J$2:$J$50000,"运维测试",缺陷明细!$K$2:$K$50000,"致命")+COUNTIFS(缺陷明细!$A$2:$A$50000,$B$4,缺陷明细!$G$2:$G$50000,$C15,缺陷明细!$Q$2:$Q$50000,"已关闭",缺陷明细!$J$2:$J$50000,"运维测试",缺陷明细!$K$2:$K$50000,"严重")</f>
        <v>0</v>
      </c>
      <c r="AC15" s="68">
        <f t="shared" si="0"/>
        <v>0</v>
      </c>
      <c r="AD15" s="60">
        <f t="shared" si="0"/>
        <v>0</v>
      </c>
      <c r="AE15" s="60">
        <f t="shared" si="1"/>
        <v>0</v>
      </c>
      <c r="AF15" s="60">
        <f t="shared" si="1"/>
        <v>0</v>
      </c>
      <c r="AG15" s="60">
        <f t="shared" si="2"/>
        <v>0</v>
      </c>
      <c r="AH15" s="60">
        <f t="shared" si="2"/>
        <v>0</v>
      </c>
      <c r="AI15" s="60">
        <f t="shared" si="3"/>
        <v>0</v>
      </c>
      <c r="AJ15" s="61">
        <f t="shared" si="3"/>
        <v>0</v>
      </c>
      <c r="AK15" s="144"/>
    </row>
    <row r="16" spans="1:37" ht="20.100000000000001" customHeight="1">
      <c r="A16">
        <v>12</v>
      </c>
      <c r="B16" s="57">
        <v>132</v>
      </c>
      <c r="C16" s="58" t="s">
        <v>338</v>
      </c>
      <c r="D16" s="84" t="s">
        <v>326</v>
      </c>
      <c r="E16" s="82"/>
      <c r="F16" s="158">
        <v>16</v>
      </c>
      <c r="G16" s="159"/>
      <c r="H16" s="281">
        <f>COUNTIFS(缺陷明细!$A$2:$A$50000,$B$4,缺陷明细!$G$2:$G$50000,$C16,缺陷明细!$J$2:$J$50000,"评审",缺陷明细!$AB$2:$AB$50000,"&lt;&gt;丢弃",缺陷明细!$AB$2:$AB$50000,"&lt;&gt;设计如此",缺陷明细!$AB$2:$AB$50000,"&lt;&gt;重复Bug")</f>
        <v>0</v>
      </c>
      <c r="I16" s="154">
        <f>COUNTIFS(缺陷明细!$A$2:$A$50000,$B$4,缺陷明细!$G$2:$G$50000,$C16,缺陷明细!$Q$2:$Q$50000,"已关闭",缺陷明细!$J$2:$J$50000,"评审")</f>
        <v>0</v>
      </c>
      <c r="J16" s="154">
        <f>COUNTIFS(缺陷明细!$A$2:$A$50000,$B$4,缺陷明细!$G$2:$G$50000,$C16,缺陷明细!$J$2:$J$50000,"单元测试",缺陷明细!$AB$2:$AB$50000,"&lt;&gt;丢弃",缺陷明细!$AB$2:$AB$50000,"&lt;&gt;设计如此",缺陷明细!$AB$2:$AB$50000,"&lt;&gt;重复Bug")</f>
        <v>0</v>
      </c>
      <c r="K16" s="155">
        <f>COUNTIFS(缺陷明细!$A$2:$A$50000,$B$4,缺陷明细!$G$2:$G$50000,$C16,缺陷明细!$Q$2:$Q$50000,"已关闭",缺陷明细!$J$2:$J$50000,"单元测试")</f>
        <v>0</v>
      </c>
      <c r="L16" s="156"/>
      <c r="M16" s="157"/>
      <c r="N16" s="72">
        <f>COUNTIFS(缺陷明细!$A$2:$A$50000,$B$4,缺陷明细!$G$2:$G$50000,$C16,缺陷明细!$J$2:$J$50000,"系统测试案例评审",缺陷明细!$AB$2:$AB$50000,"&lt;&gt;丢弃",缺陷明细!$AB$2:$AB$50000,"&lt;&gt;设计如此",缺陷明细!$AB$2:$AB$50000,"&lt;&gt;重复Bug")</f>
        <v>0</v>
      </c>
      <c r="O16" s="72">
        <f>COUNTIFS(缺陷明细!$A$2:$A$50000,$B$4,缺陷明细!$G$2:$G$50000,$C16,缺陷明细!$Q$2:$Q$50000,"已关闭",缺陷明细!$J$2:$J$50000,"系统测试案例评审")</f>
        <v>0</v>
      </c>
      <c r="P16" s="72">
        <f>COUNTIFS(缺陷明细!$A$2:$A$50000,$B$4,缺陷明细!$G$2:$G$50000,$C16,缺陷明细!$J$2:$J$50000,"系统测试",缺陷明细!$AB$2:$AB$50000,"&lt;&gt;丢弃",缺陷明细!$AB$2:$AB$50000,"&lt;&gt;设计如此",缺陷明细!$AB$2:$AB$50000,"&lt;&gt;重复Bug")</f>
        <v>0</v>
      </c>
      <c r="Q16" s="72">
        <f>COUNTIFS(缺陷明细!$A$2:$A$50000,$B$4,缺陷明细!$G$2:$G$50000,$C16,缺陷明细!$Q$2:$Q$50000,"已关闭",缺陷明细!$J$2:$J$50000,"系统测试")</f>
        <v>0</v>
      </c>
      <c r="R16" s="296">
        <f>COUNTIFS(缺陷明细!$A$2:$A$50000,$B$4,缺陷明细!$G$2:$G$50000,$C16,缺陷明细!$AB$2:$AB$50000,"丢弃",缺陷明细!$J$2:$J$50000,"系统测试")+COUNTIFS(缺陷明细!$A$2:$A$50000,$B$4,缺陷明细!$G$2:$G$50000,$C16,缺陷明细!$AB$2:$AB$50000,"设计如此",缺陷明细!$J$2:$J$50000,"系统测试")+COUNTIFS(缺陷明细!$A$2:$A$50000,$B$4,缺陷明细!$G$2:$G$50000,$C16,缺陷明细!$AB$2:$AB$50000,"重复Bug",缺陷明细!$J$2:$J$50000,"系统测试")</f>
        <v>0</v>
      </c>
      <c r="S16" s="72">
        <f>COUNTIFS(缺陷明细!$A$2:$A$50000,$B$4,缺陷明细!$G$2:$G$50000,$C16,缺陷明细!$J$2:$J$50000,"系统测试",缺陷明细!$K$2:$K$50000,"致命",缺陷明细!$AB$2:$AB$50000,"&lt;&gt;丢弃",缺陷明细!$AB$2:$AB$50000,"&lt;&gt;设计如此",缺陷明细!$AB$2:$AB$50000,"&lt;&gt;重复Bug")+COUNTIFS(缺陷明细!$A$2:$A$50000,$B$4,缺陷明细!$G$2:$G$50000,$C16,缺陷明细!$J$2:$J$50000,"系统测试",缺陷明细!$K$2:$K$50000,"严重",缺陷明细!$AB$2:$AB$50000,"&lt;&gt;丢弃",缺陷明细!$AB$2:$AB$50000,"&lt;&gt;设计如此",缺陷明细!$AB$2:$AB$50000,"&lt;&gt;重复Bug")</f>
        <v>0</v>
      </c>
      <c r="T16" s="73">
        <f>COUNTIFS(缺陷明细!$A$2:$A$50000,$B$4,缺陷明细!$G$2:$G$50000,$C16,缺陷明细!$Q$2:$Q$50000,"已关闭",缺陷明细!$J$2:$J$50000,"系统测试",缺陷明细!$K$2:$K$50000,"致命")+COUNTIFS(缺陷明细!$A$2:$A$50000,$B$4,缺陷明细!$G$2:$G$50000,$C16,缺陷明细!$Q$2:$Q$50000,"已关闭",缺陷明细!$J$2:$J$50000,"系统测试",缺陷明细!$K$2:$K$50000,"严重")</f>
        <v>0</v>
      </c>
      <c r="U16" s="74">
        <f>COUNTIFS(缺陷明细!$A$2:$A$50000,$B$4,缺陷明细!$G$2:$G$50000,$C16,缺陷明细!$J$2:$J$50000,"验收测试",缺陷明细!$AB$2:$AB$50000,"&lt;&gt;丢弃",缺陷明细!$AB$2:$AB$50000,"&lt;&gt;设计如此",缺陷明细!$AB$2:$AB$50000,"&lt;&gt;重复Bug")</f>
        <v>0</v>
      </c>
      <c r="V16" s="75">
        <f>COUNTIFS(缺陷明细!$A$2:$A$50000,$B$4,缺陷明细!$G$2:$G$50000,$C16,缺陷明细!$Q$2:$Q$50000,"已关闭",缺陷明细!$J$2:$J$50000,"验收测试")</f>
        <v>0</v>
      </c>
      <c r="W16" s="75">
        <f>COUNTIFS(缺陷明细!$A$2:$A$50000,$B$4,缺陷明细!$G$2:$G$50000,$C16,缺陷明细!$J$2:$J$50000,"验收测试",缺陷明细!$K$2:$K$50000,"致命",缺陷明细!$AB$2:$AB$50000,"&lt;&gt;丢弃",缺陷明细!$AB$2:$AB$50000,"&lt;&gt;设计如此",缺陷明细!$AB$2:$AB$50000,"&lt;&gt;重复Bug")+COUNTIFS(缺陷明细!$A$2:$A$50000,$B$4,缺陷明细!$G$2:$G$50000,$C16,缺陷明细!$J$2:$J$50000,"验收测试",缺陷明细!$K$2:$K$50000,"严重",缺陷明细!$AB$2:$AB$50000,"&lt;&gt;丢弃",缺陷明细!$AB$2:$AB$50000,"&lt;&gt;设计如此",缺陷明细!$AB$2:$AB$50000,"&lt;&gt;重复Bug")</f>
        <v>0</v>
      </c>
      <c r="X16" s="76">
        <f>COUNTIFS(缺陷明细!$A$2:$A$50000,$B$4,缺陷明细!$G$2:$G$50000,$C16,缺陷明细!$Q$2:$Q$50000,"已关闭",缺陷明细!$J$2:$J$50000,"验收测试",缺陷明细!$K$2:$K$50000,"致命")+COUNTIFS(缺陷明细!$A$2:$A$50000,$B$4,缺陷明细!$G$2:$G$50000,$C16,缺陷明细!$Q$2:$Q$50000,"已关闭",缺陷明细!$J$2:$J$50000,"验收测试",缺陷明细!$K$2:$K$50000,"严重")</f>
        <v>0</v>
      </c>
      <c r="Y16" s="70">
        <f>COUNTIFS(缺陷明细!$A$2:$A$50000,$B$4,缺陷明细!$G$2:$G$50000,$C16,缺陷明细!$J$2:$J$50000,"运维测试",缺陷明细!$AB$2:$AB$50000,"&lt;&gt;丢弃",缺陷明细!$AB$2:$AB$50000,"&lt;&gt;设计如此",缺陷明细!$AB$2:$AB$50000,"&lt;&gt;重复Bug")</f>
        <v>0</v>
      </c>
      <c r="Z16" s="71">
        <f>COUNTIFS(缺陷明细!$A$2:$A$50000,$B$4,缺陷明细!$G$2:$G$50000,$C16,缺陷明细!$Q$2:$Q$50000,"已关闭",缺陷明细!$J$2:$J$50000,"运维测试")</f>
        <v>0</v>
      </c>
      <c r="AA16" s="72">
        <f>COUNTIFS(缺陷明细!$A$2:$A$50000,$B$4,缺陷明细!$G$2:$G$50000,$C16,缺陷明细!$J$2:$J$50000,"运维测试",缺陷明细!$K$2:$K$50000,"致命",缺陷明细!$AB$2:$AB$50000,"&lt;&gt;丢弃",缺陷明细!$AB$2:$AB$50000,"&lt;&gt;设计如此",缺陷明细!$AB$2:$AB$50000,"&lt;&gt;重复Bug")+COUNTIFS(缺陷明细!$A$2:$A$50000,$B$4,缺陷明细!$G$2:$G$50000,$C16,缺陷明细!$J$2:$J$50000,"运维测试",缺陷明细!$K$2:$K$50000,"严重",缺陷明细!$AB$2:$AB$50000,"&lt;&gt;丢弃",缺陷明细!$AB$2:$AB$50000,"&lt;&gt;设计如此",缺陷明细!$AB$2:$AB$50000,"&lt;&gt;重复Bug")</f>
        <v>0</v>
      </c>
      <c r="AB16" s="73">
        <f>COUNTIFS(缺陷明细!$A$2:$A$50000,$B$4,缺陷明细!$G$2:$G$50000,$C16,缺陷明细!$Q$2:$Q$50000,"已关闭",缺陷明细!$J$2:$J$50000,"运维测试",缺陷明细!$K$2:$K$50000,"致命")+COUNTIFS(缺陷明细!$A$2:$A$50000,$B$4,缺陷明细!$G$2:$G$50000,$C16,缺陷明细!$Q$2:$Q$50000,"已关闭",缺陷明细!$J$2:$J$50000,"运维测试",缺陷明细!$K$2:$K$50000,"严重")</f>
        <v>0</v>
      </c>
      <c r="AC16" s="68">
        <f t="shared" si="0"/>
        <v>0</v>
      </c>
      <c r="AD16" s="60">
        <f t="shared" si="0"/>
        <v>0</v>
      </c>
      <c r="AE16" s="60">
        <f t="shared" si="1"/>
        <v>0</v>
      </c>
      <c r="AF16" s="60">
        <f t="shared" si="1"/>
        <v>0</v>
      </c>
      <c r="AG16" s="60">
        <f t="shared" si="2"/>
        <v>0</v>
      </c>
      <c r="AH16" s="60">
        <f t="shared" si="2"/>
        <v>0</v>
      </c>
      <c r="AI16" s="60">
        <f t="shared" si="3"/>
        <v>0</v>
      </c>
      <c r="AJ16" s="61">
        <f t="shared" si="3"/>
        <v>0</v>
      </c>
      <c r="AK16" s="144"/>
    </row>
    <row r="17" spans="1:37" ht="20.100000000000001" customHeight="1">
      <c r="A17">
        <v>13</v>
      </c>
      <c r="B17" s="57">
        <v>134</v>
      </c>
      <c r="C17" s="58" t="s">
        <v>339</v>
      </c>
      <c r="D17" s="84" t="s">
        <v>330</v>
      </c>
      <c r="E17" s="82"/>
      <c r="F17" s="158"/>
      <c r="G17" s="159"/>
      <c r="H17" s="281">
        <f>COUNTIFS(缺陷明细!$A$2:$A$50000,$B$4,缺陷明细!$G$2:$G$50000,$C17,缺陷明细!$J$2:$J$50000,"评审",缺陷明细!$AB$2:$AB$50000,"&lt;&gt;丢弃",缺陷明细!$AB$2:$AB$50000,"&lt;&gt;设计如此",缺陷明细!$AB$2:$AB$50000,"&lt;&gt;重复Bug")</f>
        <v>0</v>
      </c>
      <c r="I17" s="154">
        <f>COUNTIFS(缺陷明细!$A$2:$A$50000,$B$4,缺陷明细!$G$2:$G$50000,$C17,缺陷明细!$Q$2:$Q$50000,"已关闭",缺陷明细!$J$2:$J$50000,"评审")</f>
        <v>0</v>
      </c>
      <c r="J17" s="154">
        <f>COUNTIFS(缺陷明细!$A$2:$A$50000,$B$4,缺陷明细!$G$2:$G$50000,$C17,缺陷明细!$J$2:$J$50000,"单元测试",缺陷明细!$AB$2:$AB$50000,"&lt;&gt;丢弃",缺陷明细!$AB$2:$AB$50000,"&lt;&gt;设计如此",缺陷明细!$AB$2:$AB$50000,"&lt;&gt;重复Bug")</f>
        <v>0</v>
      </c>
      <c r="K17" s="155">
        <f>COUNTIFS(缺陷明细!$A$2:$A$50000,$B$4,缺陷明细!$G$2:$G$50000,$C17,缺陷明细!$Q$2:$Q$50000,"已关闭",缺陷明细!$J$2:$J$50000,"单元测试")</f>
        <v>0</v>
      </c>
      <c r="L17" s="156"/>
      <c r="M17" s="157"/>
      <c r="N17" s="72">
        <f>COUNTIFS(缺陷明细!$A$2:$A$50000,$B$4,缺陷明细!$G$2:$G$50000,$C17,缺陷明细!$J$2:$J$50000,"系统测试案例评审",缺陷明细!$AB$2:$AB$50000,"&lt;&gt;丢弃",缺陷明细!$AB$2:$AB$50000,"&lt;&gt;设计如此",缺陷明细!$AB$2:$AB$50000,"&lt;&gt;重复Bug")</f>
        <v>0</v>
      </c>
      <c r="O17" s="72">
        <f>COUNTIFS(缺陷明细!$A$2:$A$50000,$B$4,缺陷明细!$G$2:$G$50000,$C17,缺陷明细!$Q$2:$Q$50000,"已关闭",缺陷明细!$J$2:$J$50000,"系统测试案例评审")</f>
        <v>0</v>
      </c>
      <c r="P17" s="72">
        <f>COUNTIFS(缺陷明细!$A$2:$A$50000,$B$4,缺陷明细!$G$2:$G$50000,$C17,缺陷明细!$J$2:$J$50000,"系统测试",缺陷明细!$AB$2:$AB$50000,"&lt;&gt;丢弃",缺陷明细!$AB$2:$AB$50000,"&lt;&gt;设计如此",缺陷明细!$AB$2:$AB$50000,"&lt;&gt;重复Bug")</f>
        <v>0</v>
      </c>
      <c r="Q17" s="72">
        <f>COUNTIFS(缺陷明细!$A$2:$A$50000,$B$4,缺陷明细!$G$2:$G$50000,$C17,缺陷明细!$Q$2:$Q$50000,"已关闭",缺陷明细!$J$2:$J$50000,"系统测试")</f>
        <v>0</v>
      </c>
      <c r="R17" s="296">
        <f>COUNTIFS(缺陷明细!$A$2:$A$50000,$B$4,缺陷明细!$G$2:$G$50000,$C17,缺陷明细!$AB$2:$AB$50000,"丢弃",缺陷明细!$J$2:$J$50000,"系统测试")+COUNTIFS(缺陷明细!$A$2:$A$50000,$B$4,缺陷明细!$G$2:$G$50000,$C17,缺陷明细!$AB$2:$AB$50000,"设计如此",缺陷明细!$J$2:$J$50000,"系统测试")+COUNTIFS(缺陷明细!$A$2:$A$50000,$B$4,缺陷明细!$G$2:$G$50000,$C17,缺陷明细!$AB$2:$AB$50000,"重复Bug",缺陷明细!$J$2:$J$50000,"系统测试")</f>
        <v>0</v>
      </c>
      <c r="S17" s="72">
        <f>COUNTIFS(缺陷明细!$A$2:$A$50000,$B$4,缺陷明细!$G$2:$G$50000,$C17,缺陷明细!$J$2:$J$50000,"系统测试",缺陷明细!$K$2:$K$50000,"致命",缺陷明细!$AB$2:$AB$50000,"&lt;&gt;丢弃",缺陷明细!$AB$2:$AB$50000,"&lt;&gt;设计如此",缺陷明细!$AB$2:$AB$50000,"&lt;&gt;重复Bug")+COUNTIFS(缺陷明细!$A$2:$A$50000,$B$4,缺陷明细!$G$2:$G$50000,$C17,缺陷明细!$J$2:$J$50000,"系统测试",缺陷明细!$K$2:$K$50000,"严重",缺陷明细!$AB$2:$AB$50000,"&lt;&gt;丢弃",缺陷明细!$AB$2:$AB$50000,"&lt;&gt;设计如此",缺陷明细!$AB$2:$AB$50000,"&lt;&gt;重复Bug")</f>
        <v>0</v>
      </c>
      <c r="T17" s="73">
        <f>COUNTIFS(缺陷明细!$A$2:$A$50000,$B$4,缺陷明细!$G$2:$G$50000,$C17,缺陷明细!$Q$2:$Q$50000,"已关闭",缺陷明细!$J$2:$J$50000,"系统测试",缺陷明细!$K$2:$K$50000,"致命")+COUNTIFS(缺陷明细!$A$2:$A$50000,$B$4,缺陷明细!$G$2:$G$50000,$C17,缺陷明细!$Q$2:$Q$50000,"已关闭",缺陷明细!$J$2:$J$50000,"系统测试",缺陷明细!$K$2:$K$50000,"严重")</f>
        <v>0</v>
      </c>
      <c r="U17" s="74">
        <f>COUNTIFS(缺陷明细!$A$2:$A$50000,$B$4,缺陷明细!$G$2:$G$50000,$C17,缺陷明细!$J$2:$J$50000,"验收测试",缺陷明细!$AB$2:$AB$50000,"&lt;&gt;丢弃",缺陷明细!$AB$2:$AB$50000,"&lt;&gt;设计如此",缺陷明细!$AB$2:$AB$50000,"&lt;&gt;重复Bug")</f>
        <v>0</v>
      </c>
      <c r="V17" s="75">
        <f>COUNTIFS(缺陷明细!$A$2:$A$50000,$B$4,缺陷明细!$G$2:$G$50000,$C17,缺陷明细!$Q$2:$Q$50000,"已关闭",缺陷明细!$J$2:$J$50000,"验收测试")</f>
        <v>0</v>
      </c>
      <c r="W17" s="75">
        <f>COUNTIFS(缺陷明细!$A$2:$A$50000,$B$4,缺陷明细!$G$2:$G$50000,$C17,缺陷明细!$J$2:$J$50000,"验收测试",缺陷明细!$K$2:$K$50000,"致命",缺陷明细!$AB$2:$AB$50000,"&lt;&gt;丢弃",缺陷明细!$AB$2:$AB$50000,"&lt;&gt;设计如此",缺陷明细!$AB$2:$AB$50000,"&lt;&gt;重复Bug")+COUNTIFS(缺陷明细!$A$2:$A$50000,$B$4,缺陷明细!$G$2:$G$50000,$C17,缺陷明细!$J$2:$J$50000,"验收测试",缺陷明细!$K$2:$K$50000,"严重",缺陷明细!$AB$2:$AB$50000,"&lt;&gt;丢弃",缺陷明细!$AB$2:$AB$50000,"&lt;&gt;设计如此",缺陷明细!$AB$2:$AB$50000,"&lt;&gt;重复Bug")</f>
        <v>0</v>
      </c>
      <c r="X17" s="76">
        <f>COUNTIFS(缺陷明细!$A$2:$A$50000,$B$4,缺陷明细!$G$2:$G$50000,$C17,缺陷明细!$Q$2:$Q$50000,"已关闭",缺陷明细!$J$2:$J$50000,"验收测试",缺陷明细!$K$2:$K$50000,"致命")+COUNTIFS(缺陷明细!$A$2:$A$50000,$B$4,缺陷明细!$G$2:$G$50000,$C17,缺陷明细!$Q$2:$Q$50000,"已关闭",缺陷明细!$J$2:$J$50000,"验收测试",缺陷明细!$K$2:$K$50000,"严重")</f>
        <v>0</v>
      </c>
      <c r="Y17" s="70">
        <f>COUNTIFS(缺陷明细!$A$2:$A$50000,$B$4,缺陷明细!$G$2:$G$50000,$C17,缺陷明细!$J$2:$J$50000,"运维测试",缺陷明细!$AB$2:$AB$50000,"&lt;&gt;丢弃",缺陷明细!$AB$2:$AB$50000,"&lt;&gt;设计如此",缺陷明细!$AB$2:$AB$50000,"&lt;&gt;重复Bug")</f>
        <v>0</v>
      </c>
      <c r="Z17" s="71">
        <f>COUNTIFS(缺陷明细!$A$2:$A$50000,$B$4,缺陷明细!$G$2:$G$50000,$C17,缺陷明细!$Q$2:$Q$50000,"已关闭",缺陷明细!$J$2:$J$50000,"运维测试")</f>
        <v>0</v>
      </c>
      <c r="AA17" s="72">
        <f>COUNTIFS(缺陷明细!$A$2:$A$50000,$B$4,缺陷明细!$G$2:$G$50000,$C17,缺陷明细!$J$2:$J$50000,"运维测试",缺陷明细!$K$2:$K$50000,"致命",缺陷明细!$AB$2:$AB$50000,"&lt;&gt;丢弃",缺陷明细!$AB$2:$AB$50000,"&lt;&gt;设计如此",缺陷明细!$AB$2:$AB$50000,"&lt;&gt;重复Bug")+COUNTIFS(缺陷明细!$A$2:$A$50000,$B$4,缺陷明细!$G$2:$G$50000,$C17,缺陷明细!$J$2:$J$50000,"运维测试",缺陷明细!$K$2:$K$50000,"严重",缺陷明细!$AB$2:$AB$50000,"&lt;&gt;丢弃",缺陷明细!$AB$2:$AB$50000,"&lt;&gt;设计如此",缺陷明细!$AB$2:$AB$50000,"&lt;&gt;重复Bug")</f>
        <v>0</v>
      </c>
      <c r="AB17" s="73">
        <f>COUNTIFS(缺陷明细!$A$2:$A$50000,$B$4,缺陷明细!$G$2:$G$50000,$C17,缺陷明细!$Q$2:$Q$50000,"已关闭",缺陷明细!$J$2:$J$50000,"运维测试",缺陷明细!$K$2:$K$50000,"致命")+COUNTIFS(缺陷明细!$A$2:$A$50000,$B$4,缺陷明细!$G$2:$G$50000,$C17,缺陷明细!$Q$2:$Q$50000,"已关闭",缺陷明细!$J$2:$J$50000,"运维测试",缺陷明细!$K$2:$K$50000,"严重")</f>
        <v>0</v>
      </c>
      <c r="AC17" s="68">
        <f t="shared" si="0"/>
        <v>0</v>
      </c>
      <c r="AD17" s="60">
        <f t="shared" si="0"/>
        <v>0</v>
      </c>
      <c r="AE17" s="60">
        <f t="shared" si="1"/>
        <v>0</v>
      </c>
      <c r="AF17" s="60">
        <f t="shared" si="1"/>
        <v>0</v>
      </c>
      <c r="AG17" s="60">
        <f t="shared" si="2"/>
        <v>0</v>
      </c>
      <c r="AH17" s="60">
        <f t="shared" si="2"/>
        <v>0</v>
      </c>
      <c r="AI17" s="60">
        <f t="shared" si="3"/>
        <v>0</v>
      </c>
      <c r="AJ17" s="61">
        <f t="shared" si="3"/>
        <v>0</v>
      </c>
      <c r="AK17" s="144"/>
    </row>
    <row r="18" spans="1:37">
      <c r="A18">
        <v>14</v>
      </c>
      <c r="B18" s="57"/>
      <c r="C18" s="58"/>
      <c r="D18" s="84"/>
      <c r="E18" s="82"/>
      <c r="F18" s="158"/>
      <c r="G18" s="159"/>
      <c r="H18" s="281">
        <f>COUNTIFS(缺陷明细!$A$2:$A$50000,$B$4,缺陷明细!$G$2:$G$50000,$C18,缺陷明细!$J$2:$J$50000,"评审",缺陷明细!$AB$2:$AB$50000,"&lt;&gt;丢弃",缺陷明细!$AB$2:$AB$50000,"&lt;&gt;设计如此",缺陷明细!$AB$2:$AB$50000,"&lt;&gt;重复Bug")</f>
        <v>0</v>
      </c>
      <c r="I18" s="154">
        <f>COUNTIFS(缺陷明细!$A$2:$A$50000,$B$4,缺陷明细!$G$2:$G$50000,$C18,缺陷明细!$Q$2:$Q$50000,"已关闭",缺陷明细!$J$2:$J$50000,"评审")</f>
        <v>0</v>
      </c>
      <c r="J18" s="154">
        <f>COUNTIFS(缺陷明细!$A$2:$A$50000,$B$4,缺陷明细!$G$2:$G$50000,$C18,缺陷明细!$J$2:$J$50000,"单元测试",缺陷明细!$AB$2:$AB$50000,"&lt;&gt;丢弃",缺陷明细!$AB$2:$AB$50000,"&lt;&gt;设计如此",缺陷明细!$AB$2:$AB$50000,"&lt;&gt;重复Bug")</f>
        <v>0</v>
      </c>
      <c r="K18" s="155">
        <f>COUNTIFS(缺陷明细!$A$2:$A$50000,$B$4,缺陷明细!$G$2:$G$50000,$C18,缺陷明细!$Q$2:$Q$50000,"已关闭",缺陷明细!$J$2:$J$50000,"单元测试")</f>
        <v>0</v>
      </c>
      <c r="L18" s="156"/>
      <c r="M18" s="157"/>
      <c r="N18" s="72">
        <f>COUNTIFS(缺陷明细!$A$2:$A$50000,$B$4,缺陷明细!$G$2:$G$50000,$C18,缺陷明细!$J$2:$J$50000,"系统测试案例评审",缺陷明细!$AB$2:$AB$50000,"&lt;&gt;丢弃",缺陷明细!$AB$2:$AB$50000,"&lt;&gt;设计如此",缺陷明细!$AB$2:$AB$50000,"&lt;&gt;重复Bug")</f>
        <v>0</v>
      </c>
      <c r="O18" s="72">
        <f>COUNTIFS(缺陷明细!$A$2:$A$50000,$B$4,缺陷明细!$G$2:$G$50000,$C18,缺陷明细!$Q$2:$Q$50000,"已关闭",缺陷明细!$J$2:$J$50000,"系统测试案例评审")</f>
        <v>0</v>
      </c>
      <c r="P18" s="72">
        <f>COUNTIFS(缺陷明细!$A$2:$A$50000,$B$4,缺陷明细!$G$2:$G$50000,$C18,缺陷明细!$J$2:$J$50000,"系统测试",缺陷明细!$AB$2:$AB$50000,"&lt;&gt;丢弃",缺陷明细!$AB$2:$AB$50000,"&lt;&gt;设计如此",缺陷明细!$AB$2:$AB$50000,"&lt;&gt;重复Bug")</f>
        <v>0</v>
      </c>
      <c r="Q18" s="72">
        <f>COUNTIFS(缺陷明细!$A$2:$A$50000,$B$4,缺陷明细!$G$2:$G$50000,$C18,缺陷明细!$Q$2:$Q$50000,"已关闭",缺陷明细!$J$2:$J$50000,"系统测试")</f>
        <v>0</v>
      </c>
      <c r="R18" s="296">
        <f>COUNTIFS(缺陷明细!$A$2:$A$50000,$B$4,缺陷明细!$G$2:$G$50000,$C18,缺陷明细!$AB$2:$AB$50000,"丢弃",缺陷明细!$J$2:$J$50000,"系统测试")+COUNTIFS(缺陷明细!$A$2:$A$50000,$B$4,缺陷明细!$G$2:$G$50000,$C18,缺陷明细!$AB$2:$AB$50000,"设计如此",缺陷明细!$J$2:$J$50000,"系统测试")+COUNTIFS(缺陷明细!$A$2:$A$50000,$B$4,缺陷明细!$G$2:$G$50000,$C18,缺陷明细!$AB$2:$AB$50000,"重复Bug",缺陷明细!$J$2:$J$50000,"系统测试")</f>
        <v>0</v>
      </c>
      <c r="S18" s="72">
        <f>COUNTIFS(缺陷明细!$A$2:$A$50000,$B$4,缺陷明细!$G$2:$G$50000,$C18,缺陷明细!$J$2:$J$50000,"系统测试",缺陷明细!$K$2:$K$50000,"致命",缺陷明细!$AB$2:$AB$50000,"&lt;&gt;丢弃",缺陷明细!$AB$2:$AB$50000,"&lt;&gt;设计如此",缺陷明细!$AB$2:$AB$50000,"&lt;&gt;重复Bug")+COUNTIFS(缺陷明细!$A$2:$A$50000,$B$4,缺陷明细!$G$2:$G$50000,$C18,缺陷明细!$J$2:$J$50000,"系统测试",缺陷明细!$K$2:$K$50000,"严重",缺陷明细!$AB$2:$AB$50000,"&lt;&gt;丢弃",缺陷明细!$AB$2:$AB$50000,"&lt;&gt;设计如此",缺陷明细!$AB$2:$AB$50000,"&lt;&gt;重复Bug")</f>
        <v>0</v>
      </c>
      <c r="T18" s="73">
        <f>COUNTIFS(缺陷明细!$A$2:$A$50000,$B$4,缺陷明细!$G$2:$G$50000,$C18,缺陷明细!$Q$2:$Q$50000,"已关闭",缺陷明细!$J$2:$J$50000,"系统测试",缺陷明细!$K$2:$K$50000,"致命")+COUNTIFS(缺陷明细!$A$2:$A$50000,$B$4,缺陷明细!$G$2:$G$50000,$C18,缺陷明细!$Q$2:$Q$50000,"已关闭",缺陷明细!$J$2:$J$50000,"系统测试",缺陷明细!$K$2:$K$50000,"严重")</f>
        <v>0</v>
      </c>
      <c r="U18" s="74">
        <f>COUNTIFS(缺陷明细!$A$2:$A$50000,$B$4,缺陷明细!$G$2:$G$50000,$C18,缺陷明细!$J$2:$J$50000,"验收测试",缺陷明细!$AB$2:$AB$50000,"&lt;&gt;丢弃",缺陷明细!$AB$2:$AB$50000,"&lt;&gt;设计如此",缺陷明细!$AB$2:$AB$50000,"&lt;&gt;重复Bug")</f>
        <v>0</v>
      </c>
      <c r="V18" s="75">
        <f>COUNTIFS(缺陷明细!$A$2:$A$50000,$B$4,缺陷明细!$G$2:$G$50000,$C18,缺陷明细!$Q$2:$Q$50000,"已关闭",缺陷明细!$J$2:$J$50000,"验收测试")</f>
        <v>0</v>
      </c>
      <c r="W18" s="75">
        <f>COUNTIFS(缺陷明细!$A$2:$A$50000,$B$4,缺陷明细!$G$2:$G$50000,$C18,缺陷明细!$J$2:$J$50000,"验收测试",缺陷明细!$K$2:$K$50000,"致命",缺陷明细!$AB$2:$AB$50000,"&lt;&gt;丢弃",缺陷明细!$AB$2:$AB$50000,"&lt;&gt;设计如此",缺陷明细!$AB$2:$AB$50000,"&lt;&gt;重复Bug")+COUNTIFS(缺陷明细!$A$2:$A$50000,$B$4,缺陷明细!$G$2:$G$50000,$C18,缺陷明细!$J$2:$J$50000,"验收测试",缺陷明细!$K$2:$K$50000,"严重",缺陷明细!$AB$2:$AB$50000,"&lt;&gt;丢弃",缺陷明细!$AB$2:$AB$50000,"&lt;&gt;设计如此",缺陷明细!$AB$2:$AB$50000,"&lt;&gt;重复Bug")</f>
        <v>0</v>
      </c>
      <c r="X18" s="76">
        <f>COUNTIFS(缺陷明细!$A$2:$A$50000,$B$4,缺陷明细!$G$2:$G$50000,$C18,缺陷明细!$Q$2:$Q$50000,"已关闭",缺陷明细!$J$2:$J$50000,"验收测试",缺陷明细!$K$2:$K$50000,"致命")+COUNTIFS(缺陷明细!$A$2:$A$50000,$B$4,缺陷明细!$G$2:$G$50000,$C18,缺陷明细!$Q$2:$Q$50000,"已关闭",缺陷明细!$J$2:$J$50000,"验收测试",缺陷明细!$K$2:$K$50000,"严重")</f>
        <v>0</v>
      </c>
      <c r="Y18" s="70">
        <f>COUNTIFS(缺陷明细!$A$2:$A$50000,$B$4,缺陷明细!$G$2:$G$50000,$C18,缺陷明细!$J$2:$J$50000,"运维测试",缺陷明细!$AB$2:$AB$50000,"&lt;&gt;丢弃",缺陷明细!$AB$2:$AB$50000,"&lt;&gt;设计如此",缺陷明细!$AB$2:$AB$50000,"&lt;&gt;重复Bug")</f>
        <v>0</v>
      </c>
      <c r="Z18" s="71">
        <f>COUNTIFS(缺陷明细!$A$2:$A$50000,$B$4,缺陷明细!$G$2:$G$50000,$C18,缺陷明细!$Q$2:$Q$50000,"已关闭",缺陷明细!$J$2:$J$50000,"运维测试")</f>
        <v>0</v>
      </c>
      <c r="AA18" s="72">
        <f>COUNTIFS(缺陷明细!$A$2:$A$50000,$B$4,缺陷明细!$G$2:$G$50000,$C18,缺陷明细!$J$2:$J$50000,"运维测试",缺陷明细!$K$2:$K$50000,"致命",缺陷明细!$AB$2:$AB$50000,"&lt;&gt;丢弃",缺陷明细!$AB$2:$AB$50000,"&lt;&gt;设计如此",缺陷明细!$AB$2:$AB$50000,"&lt;&gt;重复Bug")+COUNTIFS(缺陷明细!$A$2:$A$50000,$B$4,缺陷明细!$G$2:$G$50000,$C18,缺陷明细!$J$2:$J$50000,"运维测试",缺陷明细!$K$2:$K$50000,"严重",缺陷明细!$AB$2:$AB$50000,"&lt;&gt;丢弃",缺陷明细!$AB$2:$AB$50000,"&lt;&gt;设计如此",缺陷明细!$AB$2:$AB$50000,"&lt;&gt;重复Bug")</f>
        <v>0</v>
      </c>
      <c r="AB18" s="73">
        <f>COUNTIFS(缺陷明细!$A$2:$A$50000,$B$4,缺陷明细!$G$2:$G$50000,$C18,缺陷明细!$Q$2:$Q$50000,"已关闭",缺陷明细!$J$2:$J$50000,"运维测试",缺陷明细!$K$2:$K$50000,"致命")+COUNTIFS(缺陷明细!$A$2:$A$50000,$B$4,缺陷明细!$G$2:$G$50000,$C18,缺陷明细!$Q$2:$Q$50000,"已关闭",缺陷明细!$J$2:$J$50000,"运维测试",缺陷明细!$K$2:$K$50000,"严重")</f>
        <v>0</v>
      </c>
      <c r="AC18" s="68">
        <f t="shared" si="0"/>
        <v>0</v>
      </c>
      <c r="AD18" s="60">
        <f t="shared" si="0"/>
        <v>0</v>
      </c>
      <c r="AE18" s="60">
        <f t="shared" si="1"/>
        <v>0</v>
      </c>
      <c r="AF18" s="60">
        <f t="shared" si="1"/>
        <v>0</v>
      </c>
      <c r="AG18" s="60">
        <f t="shared" si="2"/>
        <v>0</v>
      </c>
      <c r="AH18" s="60">
        <f t="shared" si="2"/>
        <v>0</v>
      </c>
      <c r="AI18" s="60">
        <f t="shared" si="3"/>
        <v>0</v>
      </c>
      <c r="AJ18" s="61">
        <f t="shared" si="3"/>
        <v>0</v>
      </c>
      <c r="AK18" s="144"/>
    </row>
    <row r="19" spans="1:37">
      <c r="A19">
        <v>15</v>
      </c>
      <c r="B19" s="57"/>
      <c r="C19" s="58"/>
      <c r="D19" s="84"/>
      <c r="E19" s="82"/>
      <c r="F19" s="158"/>
      <c r="G19" s="159"/>
      <c r="H19" s="281">
        <f>COUNTIFS(缺陷明细!$A$2:$A$50000,$B$4,缺陷明细!$G$2:$G$50000,$C19,缺陷明细!$J$2:$J$50000,"评审",缺陷明细!$AB$2:$AB$50000,"&lt;&gt;丢弃",缺陷明细!$AB$2:$AB$50000,"&lt;&gt;设计如此",缺陷明细!$AB$2:$AB$50000,"&lt;&gt;重复Bug")</f>
        <v>0</v>
      </c>
      <c r="I19" s="154">
        <f>COUNTIFS(缺陷明细!$A$2:$A$50000,$B$4,缺陷明细!$G$2:$G$50000,$C19,缺陷明细!$Q$2:$Q$50000,"已关闭",缺陷明细!$J$2:$J$50000,"评审")</f>
        <v>0</v>
      </c>
      <c r="J19" s="154">
        <f>COUNTIFS(缺陷明细!$A$2:$A$50000,$B$4,缺陷明细!$G$2:$G$50000,$C19,缺陷明细!$J$2:$J$50000,"单元测试",缺陷明细!$AB$2:$AB$50000,"&lt;&gt;丢弃",缺陷明细!$AB$2:$AB$50000,"&lt;&gt;设计如此",缺陷明细!$AB$2:$AB$50000,"&lt;&gt;重复Bug")</f>
        <v>0</v>
      </c>
      <c r="K19" s="155">
        <f>COUNTIFS(缺陷明细!$A$2:$A$50000,$B$4,缺陷明细!$G$2:$G$50000,$C19,缺陷明细!$Q$2:$Q$50000,"已关闭",缺陷明细!$J$2:$J$50000,"单元测试")</f>
        <v>0</v>
      </c>
      <c r="L19" s="156"/>
      <c r="M19" s="157"/>
      <c r="N19" s="72">
        <f>COUNTIFS(缺陷明细!$A$2:$A$50000,$B$4,缺陷明细!$G$2:$G$50000,$C19,缺陷明细!$J$2:$J$50000,"系统测试案例评审",缺陷明细!$AB$2:$AB$50000,"&lt;&gt;丢弃",缺陷明细!$AB$2:$AB$50000,"&lt;&gt;设计如此",缺陷明细!$AB$2:$AB$50000,"&lt;&gt;重复Bug")</f>
        <v>0</v>
      </c>
      <c r="O19" s="72">
        <f>COUNTIFS(缺陷明细!$A$2:$A$50000,$B$4,缺陷明细!$G$2:$G$50000,$C19,缺陷明细!$Q$2:$Q$50000,"已关闭",缺陷明细!$J$2:$J$50000,"系统测试案例评审")</f>
        <v>0</v>
      </c>
      <c r="P19" s="72">
        <f>COUNTIFS(缺陷明细!$A$2:$A$50000,$B$4,缺陷明细!$G$2:$G$50000,$C19,缺陷明细!$J$2:$J$50000,"系统测试",缺陷明细!$AB$2:$AB$50000,"&lt;&gt;丢弃",缺陷明细!$AB$2:$AB$50000,"&lt;&gt;设计如此",缺陷明细!$AB$2:$AB$50000,"&lt;&gt;重复Bug")</f>
        <v>0</v>
      </c>
      <c r="Q19" s="72">
        <f>COUNTIFS(缺陷明细!$A$2:$A$50000,$B$4,缺陷明细!$G$2:$G$50000,$C19,缺陷明细!$Q$2:$Q$50000,"已关闭",缺陷明细!$J$2:$J$50000,"系统测试")</f>
        <v>0</v>
      </c>
      <c r="R19" s="296">
        <f>COUNTIFS(缺陷明细!$A$2:$A$50000,$B$4,缺陷明细!$G$2:$G$50000,$C19,缺陷明细!$AB$2:$AB$50000,"丢弃",缺陷明细!$J$2:$J$50000,"系统测试")+COUNTIFS(缺陷明细!$A$2:$A$50000,$B$4,缺陷明细!$G$2:$G$50000,$C19,缺陷明细!$AB$2:$AB$50000,"设计如此",缺陷明细!$J$2:$J$50000,"系统测试")+COUNTIFS(缺陷明细!$A$2:$A$50000,$B$4,缺陷明细!$G$2:$G$50000,$C19,缺陷明细!$AB$2:$AB$50000,"重复Bug",缺陷明细!$J$2:$J$50000,"系统测试")</f>
        <v>0</v>
      </c>
      <c r="S19" s="72">
        <f>COUNTIFS(缺陷明细!$A$2:$A$50000,$B$4,缺陷明细!$G$2:$G$50000,$C19,缺陷明细!$J$2:$J$50000,"系统测试",缺陷明细!$K$2:$K$50000,"致命",缺陷明细!$AB$2:$AB$50000,"&lt;&gt;丢弃",缺陷明细!$AB$2:$AB$50000,"&lt;&gt;设计如此",缺陷明细!$AB$2:$AB$50000,"&lt;&gt;重复Bug")+COUNTIFS(缺陷明细!$A$2:$A$50000,$B$4,缺陷明细!$G$2:$G$50000,$C19,缺陷明细!$J$2:$J$50000,"系统测试",缺陷明细!$K$2:$K$50000,"严重",缺陷明细!$AB$2:$AB$50000,"&lt;&gt;丢弃",缺陷明细!$AB$2:$AB$50000,"&lt;&gt;设计如此",缺陷明细!$AB$2:$AB$50000,"&lt;&gt;重复Bug")</f>
        <v>0</v>
      </c>
      <c r="T19" s="73">
        <f>COUNTIFS(缺陷明细!$A$2:$A$50000,$B$4,缺陷明细!$G$2:$G$50000,$C19,缺陷明细!$Q$2:$Q$50000,"已关闭",缺陷明细!$J$2:$J$50000,"系统测试",缺陷明细!$K$2:$K$50000,"致命")+COUNTIFS(缺陷明细!$A$2:$A$50000,$B$4,缺陷明细!$G$2:$G$50000,$C19,缺陷明细!$Q$2:$Q$50000,"已关闭",缺陷明细!$J$2:$J$50000,"系统测试",缺陷明细!$K$2:$K$50000,"严重")</f>
        <v>0</v>
      </c>
      <c r="U19" s="74">
        <f>COUNTIFS(缺陷明细!$A$2:$A$50000,$B$4,缺陷明细!$G$2:$G$50000,$C19,缺陷明细!$J$2:$J$50000,"验收测试",缺陷明细!$AB$2:$AB$50000,"&lt;&gt;丢弃",缺陷明细!$AB$2:$AB$50000,"&lt;&gt;设计如此",缺陷明细!$AB$2:$AB$50000,"&lt;&gt;重复Bug")</f>
        <v>0</v>
      </c>
      <c r="V19" s="75">
        <f>COUNTIFS(缺陷明细!$A$2:$A$50000,$B$4,缺陷明细!$G$2:$G$50000,$C19,缺陷明细!$Q$2:$Q$50000,"已关闭",缺陷明细!$J$2:$J$50000,"验收测试")</f>
        <v>0</v>
      </c>
      <c r="W19" s="75">
        <f>COUNTIFS(缺陷明细!$A$2:$A$50000,$B$4,缺陷明细!$G$2:$G$50000,$C19,缺陷明细!$J$2:$J$50000,"验收测试",缺陷明细!$K$2:$K$50000,"致命",缺陷明细!$AB$2:$AB$50000,"&lt;&gt;丢弃",缺陷明细!$AB$2:$AB$50000,"&lt;&gt;设计如此",缺陷明细!$AB$2:$AB$50000,"&lt;&gt;重复Bug")+COUNTIFS(缺陷明细!$A$2:$A$50000,$B$4,缺陷明细!$G$2:$G$50000,$C19,缺陷明细!$J$2:$J$50000,"验收测试",缺陷明细!$K$2:$K$50000,"严重",缺陷明细!$AB$2:$AB$50000,"&lt;&gt;丢弃",缺陷明细!$AB$2:$AB$50000,"&lt;&gt;设计如此",缺陷明细!$AB$2:$AB$50000,"&lt;&gt;重复Bug")</f>
        <v>0</v>
      </c>
      <c r="X19" s="76">
        <f>COUNTIFS(缺陷明细!$A$2:$A$50000,$B$4,缺陷明细!$G$2:$G$50000,$C19,缺陷明细!$Q$2:$Q$50000,"已关闭",缺陷明细!$J$2:$J$50000,"验收测试",缺陷明细!$K$2:$K$50000,"致命")+COUNTIFS(缺陷明细!$A$2:$A$50000,$B$4,缺陷明细!$G$2:$G$50000,$C19,缺陷明细!$Q$2:$Q$50000,"已关闭",缺陷明细!$J$2:$J$50000,"验收测试",缺陷明细!$K$2:$K$50000,"严重")</f>
        <v>0</v>
      </c>
      <c r="Y19" s="70">
        <f>COUNTIFS(缺陷明细!$A$2:$A$50000,$B$4,缺陷明细!$G$2:$G$50000,$C19,缺陷明细!$J$2:$J$50000,"运维测试",缺陷明细!$AB$2:$AB$50000,"&lt;&gt;丢弃",缺陷明细!$AB$2:$AB$50000,"&lt;&gt;设计如此",缺陷明细!$AB$2:$AB$50000,"&lt;&gt;重复Bug")</f>
        <v>0</v>
      </c>
      <c r="Z19" s="71">
        <f>COUNTIFS(缺陷明细!$A$2:$A$50000,$B$4,缺陷明细!$G$2:$G$50000,$C19,缺陷明细!$Q$2:$Q$50000,"已关闭",缺陷明细!$J$2:$J$50000,"运维测试")</f>
        <v>0</v>
      </c>
      <c r="AA19" s="72">
        <f>COUNTIFS(缺陷明细!$A$2:$A$50000,$B$4,缺陷明细!$G$2:$G$50000,$C19,缺陷明细!$J$2:$J$50000,"运维测试",缺陷明细!$K$2:$K$50000,"致命",缺陷明细!$AB$2:$AB$50000,"&lt;&gt;丢弃",缺陷明细!$AB$2:$AB$50000,"&lt;&gt;设计如此",缺陷明细!$AB$2:$AB$50000,"&lt;&gt;重复Bug")+COUNTIFS(缺陷明细!$A$2:$A$50000,$B$4,缺陷明细!$G$2:$G$50000,$C19,缺陷明细!$J$2:$J$50000,"运维测试",缺陷明细!$K$2:$K$50000,"严重",缺陷明细!$AB$2:$AB$50000,"&lt;&gt;丢弃",缺陷明细!$AB$2:$AB$50000,"&lt;&gt;设计如此",缺陷明细!$AB$2:$AB$50000,"&lt;&gt;重复Bug")</f>
        <v>0</v>
      </c>
      <c r="AB19" s="73">
        <f>COUNTIFS(缺陷明细!$A$2:$A$50000,$B$4,缺陷明细!$G$2:$G$50000,$C19,缺陷明细!$Q$2:$Q$50000,"已关闭",缺陷明细!$J$2:$J$50000,"运维测试",缺陷明细!$K$2:$K$50000,"致命")+COUNTIFS(缺陷明细!$A$2:$A$50000,$B$4,缺陷明细!$G$2:$G$50000,$C19,缺陷明细!$Q$2:$Q$50000,"已关闭",缺陷明细!$J$2:$J$50000,"运维测试",缺陷明细!$K$2:$K$50000,"严重")</f>
        <v>0</v>
      </c>
      <c r="AC19" s="68">
        <f t="shared" si="0"/>
        <v>0</v>
      </c>
      <c r="AD19" s="60">
        <f t="shared" si="0"/>
        <v>0</v>
      </c>
      <c r="AE19" s="60">
        <f t="shared" si="1"/>
        <v>0</v>
      </c>
      <c r="AF19" s="60">
        <f t="shared" si="1"/>
        <v>0</v>
      </c>
      <c r="AG19" s="60">
        <f t="shared" si="2"/>
        <v>0</v>
      </c>
      <c r="AH19" s="60">
        <f t="shared" si="2"/>
        <v>0</v>
      </c>
      <c r="AI19" s="60">
        <f t="shared" si="3"/>
        <v>0</v>
      </c>
      <c r="AJ19" s="61">
        <f t="shared" si="3"/>
        <v>0</v>
      </c>
      <c r="AK19" s="144"/>
    </row>
    <row r="20" spans="1:37">
      <c r="A20">
        <v>16</v>
      </c>
      <c r="B20" s="57"/>
      <c r="C20" s="58"/>
      <c r="D20" s="84"/>
      <c r="E20" s="82"/>
      <c r="F20" s="158"/>
      <c r="G20" s="159"/>
      <c r="H20" s="281">
        <f>COUNTIFS(缺陷明细!$A$2:$A$50000,$B$4,缺陷明细!$G$2:$G$50000,$C20,缺陷明细!$J$2:$J$50000,"评审",缺陷明细!$AB$2:$AB$50000,"&lt;&gt;丢弃",缺陷明细!$AB$2:$AB$50000,"&lt;&gt;设计如此",缺陷明细!$AB$2:$AB$50000,"&lt;&gt;重复Bug")</f>
        <v>0</v>
      </c>
      <c r="I20" s="154">
        <f>COUNTIFS(缺陷明细!$A$2:$A$50000,$B$4,缺陷明细!$G$2:$G$50000,$C20,缺陷明细!$Q$2:$Q$50000,"已关闭",缺陷明细!$J$2:$J$50000,"评审")</f>
        <v>0</v>
      </c>
      <c r="J20" s="154">
        <f>COUNTIFS(缺陷明细!$A$2:$A$50000,$B$4,缺陷明细!$G$2:$G$50000,$C20,缺陷明细!$J$2:$J$50000,"单元测试",缺陷明细!$AB$2:$AB$50000,"&lt;&gt;丢弃",缺陷明细!$AB$2:$AB$50000,"&lt;&gt;设计如此",缺陷明细!$AB$2:$AB$50000,"&lt;&gt;重复Bug")</f>
        <v>0</v>
      </c>
      <c r="K20" s="155">
        <f>COUNTIFS(缺陷明细!$A$2:$A$50000,$B$4,缺陷明细!$G$2:$G$50000,$C20,缺陷明细!$Q$2:$Q$50000,"已关闭",缺陷明细!$J$2:$J$50000,"单元测试")</f>
        <v>0</v>
      </c>
      <c r="L20" s="156"/>
      <c r="M20" s="157"/>
      <c r="N20" s="72">
        <f>COUNTIFS(缺陷明细!$A$2:$A$50000,$B$4,缺陷明细!$G$2:$G$50000,$C20,缺陷明细!$J$2:$J$50000,"系统测试案例评审",缺陷明细!$AB$2:$AB$50000,"&lt;&gt;丢弃",缺陷明细!$AB$2:$AB$50000,"&lt;&gt;设计如此",缺陷明细!$AB$2:$AB$50000,"&lt;&gt;重复Bug")</f>
        <v>0</v>
      </c>
      <c r="O20" s="72">
        <f>COUNTIFS(缺陷明细!$A$2:$A$50000,$B$4,缺陷明细!$G$2:$G$50000,$C20,缺陷明细!$Q$2:$Q$50000,"已关闭",缺陷明细!$J$2:$J$50000,"系统测试案例评审")</f>
        <v>0</v>
      </c>
      <c r="P20" s="72">
        <f>COUNTIFS(缺陷明细!$A$2:$A$50000,$B$4,缺陷明细!$G$2:$G$50000,$C20,缺陷明细!$J$2:$J$50000,"系统测试",缺陷明细!$AB$2:$AB$50000,"&lt;&gt;丢弃",缺陷明细!$AB$2:$AB$50000,"&lt;&gt;设计如此",缺陷明细!$AB$2:$AB$50000,"&lt;&gt;重复Bug")</f>
        <v>0</v>
      </c>
      <c r="Q20" s="72">
        <f>COUNTIFS(缺陷明细!$A$2:$A$50000,$B$4,缺陷明细!$G$2:$G$50000,$C20,缺陷明细!$Q$2:$Q$50000,"已关闭",缺陷明细!$J$2:$J$50000,"系统测试")</f>
        <v>0</v>
      </c>
      <c r="R20" s="296">
        <f>COUNTIFS(缺陷明细!$A$2:$A$50000,$B$4,缺陷明细!$G$2:$G$50000,$C20,缺陷明细!$AB$2:$AB$50000,"丢弃",缺陷明细!$J$2:$J$50000,"系统测试")+COUNTIFS(缺陷明细!$A$2:$A$50000,$B$4,缺陷明细!$G$2:$G$50000,$C20,缺陷明细!$AB$2:$AB$50000,"设计如此",缺陷明细!$J$2:$J$50000,"系统测试")+COUNTIFS(缺陷明细!$A$2:$A$50000,$B$4,缺陷明细!$G$2:$G$50000,$C20,缺陷明细!$AB$2:$AB$50000,"重复Bug",缺陷明细!$J$2:$J$50000,"系统测试")</f>
        <v>0</v>
      </c>
      <c r="S20" s="72">
        <f>COUNTIFS(缺陷明细!$A$2:$A$50000,$B$4,缺陷明细!$G$2:$G$50000,$C20,缺陷明细!$J$2:$J$50000,"系统测试",缺陷明细!$K$2:$K$50000,"致命",缺陷明细!$AB$2:$AB$50000,"&lt;&gt;丢弃",缺陷明细!$AB$2:$AB$50000,"&lt;&gt;设计如此",缺陷明细!$AB$2:$AB$50000,"&lt;&gt;重复Bug")+COUNTIFS(缺陷明细!$A$2:$A$50000,$B$4,缺陷明细!$G$2:$G$50000,$C20,缺陷明细!$J$2:$J$50000,"系统测试",缺陷明细!$K$2:$K$50000,"严重",缺陷明细!$AB$2:$AB$50000,"&lt;&gt;丢弃",缺陷明细!$AB$2:$AB$50000,"&lt;&gt;设计如此",缺陷明细!$AB$2:$AB$50000,"&lt;&gt;重复Bug")</f>
        <v>0</v>
      </c>
      <c r="T20" s="73">
        <f>COUNTIFS(缺陷明细!$A$2:$A$50000,$B$4,缺陷明细!$G$2:$G$50000,$C20,缺陷明细!$Q$2:$Q$50000,"已关闭",缺陷明细!$J$2:$J$50000,"系统测试",缺陷明细!$K$2:$K$50000,"致命")+COUNTIFS(缺陷明细!$A$2:$A$50000,$B$4,缺陷明细!$G$2:$G$50000,$C20,缺陷明细!$Q$2:$Q$50000,"已关闭",缺陷明细!$J$2:$J$50000,"系统测试",缺陷明细!$K$2:$K$50000,"严重")</f>
        <v>0</v>
      </c>
      <c r="U20" s="74">
        <f>COUNTIFS(缺陷明细!$A$2:$A$50000,$B$4,缺陷明细!$G$2:$G$50000,$C20,缺陷明细!$J$2:$J$50000,"验收测试",缺陷明细!$AB$2:$AB$50000,"&lt;&gt;丢弃",缺陷明细!$AB$2:$AB$50000,"&lt;&gt;设计如此",缺陷明细!$AB$2:$AB$50000,"&lt;&gt;重复Bug")</f>
        <v>0</v>
      </c>
      <c r="V20" s="75">
        <f>COUNTIFS(缺陷明细!$A$2:$A$50000,$B$4,缺陷明细!$G$2:$G$50000,$C20,缺陷明细!$Q$2:$Q$50000,"已关闭",缺陷明细!$J$2:$J$50000,"验收测试")</f>
        <v>0</v>
      </c>
      <c r="W20" s="75">
        <f>COUNTIFS(缺陷明细!$A$2:$A$50000,$B$4,缺陷明细!$G$2:$G$50000,$C20,缺陷明细!$J$2:$J$50000,"验收测试",缺陷明细!$K$2:$K$50000,"致命",缺陷明细!$AB$2:$AB$50000,"&lt;&gt;丢弃",缺陷明细!$AB$2:$AB$50000,"&lt;&gt;设计如此",缺陷明细!$AB$2:$AB$50000,"&lt;&gt;重复Bug")+COUNTIFS(缺陷明细!$A$2:$A$50000,$B$4,缺陷明细!$G$2:$G$50000,$C20,缺陷明细!$J$2:$J$50000,"验收测试",缺陷明细!$K$2:$K$50000,"严重",缺陷明细!$AB$2:$AB$50000,"&lt;&gt;丢弃",缺陷明细!$AB$2:$AB$50000,"&lt;&gt;设计如此",缺陷明细!$AB$2:$AB$50000,"&lt;&gt;重复Bug")</f>
        <v>0</v>
      </c>
      <c r="X20" s="76">
        <f>COUNTIFS(缺陷明细!$A$2:$A$50000,$B$4,缺陷明细!$G$2:$G$50000,$C20,缺陷明细!$Q$2:$Q$50000,"已关闭",缺陷明细!$J$2:$J$50000,"验收测试",缺陷明细!$K$2:$K$50000,"致命")+COUNTIFS(缺陷明细!$A$2:$A$50000,$B$4,缺陷明细!$G$2:$G$50000,$C20,缺陷明细!$Q$2:$Q$50000,"已关闭",缺陷明细!$J$2:$J$50000,"验收测试",缺陷明细!$K$2:$K$50000,"严重")</f>
        <v>0</v>
      </c>
      <c r="Y20" s="70">
        <f>COUNTIFS(缺陷明细!$A$2:$A$50000,$B$4,缺陷明细!$G$2:$G$50000,$C20,缺陷明细!$J$2:$J$50000,"运维测试",缺陷明细!$AB$2:$AB$50000,"&lt;&gt;丢弃",缺陷明细!$AB$2:$AB$50000,"&lt;&gt;设计如此",缺陷明细!$AB$2:$AB$50000,"&lt;&gt;重复Bug")</f>
        <v>0</v>
      </c>
      <c r="Z20" s="71">
        <f>COUNTIFS(缺陷明细!$A$2:$A$50000,$B$4,缺陷明细!$G$2:$G$50000,$C20,缺陷明细!$Q$2:$Q$50000,"已关闭",缺陷明细!$J$2:$J$50000,"运维测试")</f>
        <v>0</v>
      </c>
      <c r="AA20" s="72">
        <f>COUNTIFS(缺陷明细!$A$2:$A$50000,$B$4,缺陷明细!$G$2:$G$50000,$C20,缺陷明细!$J$2:$J$50000,"运维测试",缺陷明细!$K$2:$K$50000,"致命",缺陷明细!$AB$2:$AB$50000,"&lt;&gt;丢弃",缺陷明细!$AB$2:$AB$50000,"&lt;&gt;设计如此",缺陷明细!$AB$2:$AB$50000,"&lt;&gt;重复Bug")+COUNTIFS(缺陷明细!$A$2:$A$50000,$B$4,缺陷明细!$G$2:$G$50000,$C20,缺陷明细!$J$2:$J$50000,"运维测试",缺陷明细!$K$2:$K$50000,"严重",缺陷明细!$AB$2:$AB$50000,"&lt;&gt;丢弃",缺陷明细!$AB$2:$AB$50000,"&lt;&gt;设计如此",缺陷明细!$AB$2:$AB$50000,"&lt;&gt;重复Bug")</f>
        <v>0</v>
      </c>
      <c r="AB20" s="73">
        <f>COUNTIFS(缺陷明细!$A$2:$A$50000,$B$4,缺陷明细!$G$2:$G$50000,$C20,缺陷明细!$Q$2:$Q$50000,"已关闭",缺陷明细!$J$2:$J$50000,"运维测试",缺陷明细!$K$2:$K$50000,"致命")+COUNTIFS(缺陷明细!$A$2:$A$50000,$B$4,缺陷明细!$G$2:$G$50000,$C20,缺陷明细!$Q$2:$Q$50000,"已关闭",缺陷明细!$J$2:$J$50000,"运维测试",缺陷明细!$K$2:$K$50000,"严重")</f>
        <v>0</v>
      </c>
      <c r="AC20" s="68">
        <f t="shared" si="0"/>
        <v>0</v>
      </c>
      <c r="AD20" s="60">
        <f t="shared" si="0"/>
        <v>0</v>
      </c>
      <c r="AE20" s="60">
        <f t="shared" si="1"/>
        <v>0</v>
      </c>
      <c r="AF20" s="60">
        <f t="shared" si="1"/>
        <v>0</v>
      </c>
      <c r="AG20" s="60">
        <f t="shared" si="2"/>
        <v>0</v>
      </c>
      <c r="AH20" s="60">
        <f t="shared" si="2"/>
        <v>0</v>
      </c>
      <c r="AI20" s="60">
        <f t="shared" si="3"/>
        <v>0</v>
      </c>
      <c r="AJ20" s="61">
        <f t="shared" si="3"/>
        <v>0</v>
      </c>
      <c r="AK20" s="144"/>
    </row>
    <row r="21" spans="1:37">
      <c r="A21">
        <v>17</v>
      </c>
      <c r="B21" s="57"/>
      <c r="C21" s="58"/>
      <c r="D21" s="84"/>
      <c r="E21" s="82"/>
      <c r="F21" s="158"/>
      <c r="G21" s="159"/>
      <c r="H21" s="281">
        <f>COUNTIFS(缺陷明细!$A$2:$A$50000,$B$4,缺陷明细!$G$2:$G$50000,$C21,缺陷明细!$J$2:$J$50000,"评审",缺陷明细!$AB$2:$AB$50000,"&lt;&gt;丢弃",缺陷明细!$AB$2:$AB$50000,"&lt;&gt;设计如此",缺陷明细!$AB$2:$AB$50000,"&lt;&gt;重复Bug")</f>
        <v>0</v>
      </c>
      <c r="I21" s="154">
        <f>COUNTIFS(缺陷明细!$A$2:$A$50000,$B$4,缺陷明细!$G$2:$G$50000,$C21,缺陷明细!$Q$2:$Q$50000,"已关闭",缺陷明细!$J$2:$J$50000,"评审")</f>
        <v>0</v>
      </c>
      <c r="J21" s="154">
        <f>COUNTIFS(缺陷明细!$A$2:$A$50000,$B$4,缺陷明细!$G$2:$G$50000,$C21,缺陷明细!$J$2:$J$50000,"单元测试",缺陷明细!$AB$2:$AB$50000,"&lt;&gt;丢弃",缺陷明细!$AB$2:$AB$50000,"&lt;&gt;设计如此",缺陷明细!$AB$2:$AB$50000,"&lt;&gt;重复Bug")</f>
        <v>0</v>
      </c>
      <c r="K21" s="155">
        <f>COUNTIFS(缺陷明细!$A$2:$A$50000,$B$4,缺陷明细!$G$2:$G$50000,$C21,缺陷明细!$Q$2:$Q$50000,"已关闭",缺陷明细!$J$2:$J$50000,"单元测试")</f>
        <v>0</v>
      </c>
      <c r="L21" s="156"/>
      <c r="M21" s="157"/>
      <c r="N21" s="72">
        <f>COUNTIFS(缺陷明细!$A$2:$A$50000,$B$4,缺陷明细!$G$2:$G$50000,$C21,缺陷明细!$J$2:$J$50000,"系统测试案例评审",缺陷明细!$AB$2:$AB$50000,"&lt;&gt;丢弃",缺陷明细!$AB$2:$AB$50000,"&lt;&gt;设计如此",缺陷明细!$AB$2:$AB$50000,"&lt;&gt;重复Bug")</f>
        <v>0</v>
      </c>
      <c r="O21" s="72">
        <f>COUNTIFS(缺陷明细!$A$2:$A$50000,$B$4,缺陷明细!$G$2:$G$50000,$C21,缺陷明细!$Q$2:$Q$50000,"已关闭",缺陷明细!$J$2:$J$50000,"系统测试案例评审")</f>
        <v>0</v>
      </c>
      <c r="P21" s="72">
        <f>COUNTIFS(缺陷明细!$A$2:$A$50000,$B$4,缺陷明细!$G$2:$G$50000,$C21,缺陷明细!$J$2:$J$50000,"系统测试",缺陷明细!$AB$2:$AB$50000,"&lt;&gt;丢弃",缺陷明细!$AB$2:$AB$50000,"&lt;&gt;设计如此",缺陷明细!$AB$2:$AB$50000,"&lt;&gt;重复Bug")</f>
        <v>0</v>
      </c>
      <c r="Q21" s="72">
        <f>COUNTIFS(缺陷明细!$A$2:$A$50000,$B$4,缺陷明细!$G$2:$G$50000,$C21,缺陷明细!$Q$2:$Q$50000,"已关闭",缺陷明细!$J$2:$J$50000,"系统测试")</f>
        <v>0</v>
      </c>
      <c r="R21" s="296">
        <f>COUNTIFS(缺陷明细!$A$2:$A$50000,$B$4,缺陷明细!$G$2:$G$50000,$C21,缺陷明细!$AB$2:$AB$50000,"丢弃",缺陷明细!$J$2:$J$50000,"系统测试")+COUNTIFS(缺陷明细!$A$2:$A$50000,$B$4,缺陷明细!$G$2:$G$50000,$C21,缺陷明细!$AB$2:$AB$50000,"设计如此",缺陷明细!$J$2:$J$50000,"系统测试")+COUNTIFS(缺陷明细!$A$2:$A$50000,$B$4,缺陷明细!$G$2:$G$50000,$C21,缺陷明细!$AB$2:$AB$50000,"重复Bug",缺陷明细!$J$2:$J$50000,"系统测试")</f>
        <v>0</v>
      </c>
      <c r="S21" s="72">
        <f>COUNTIFS(缺陷明细!$A$2:$A$50000,$B$4,缺陷明细!$G$2:$G$50000,$C21,缺陷明细!$J$2:$J$50000,"系统测试",缺陷明细!$K$2:$K$50000,"致命",缺陷明细!$AB$2:$AB$50000,"&lt;&gt;丢弃",缺陷明细!$AB$2:$AB$50000,"&lt;&gt;设计如此",缺陷明细!$AB$2:$AB$50000,"&lt;&gt;重复Bug")+COUNTIFS(缺陷明细!$A$2:$A$50000,$B$4,缺陷明细!$G$2:$G$50000,$C21,缺陷明细!$J$2:$J$50000,"系统测试",缺陷明细!$K$2:$K$50000,"严重",缺陷明细!$AB$2:$AB$50000,"&lt;&gt;丢弃",缺陷明细!$AB$2:$AB$50000,"&lt;&gt;设计如此",缺陷明细!$AB$2:$AB$50000,"&lt;&gt;重复Bug")</f>
        <v>0</v>
      </c>
      <c r="T21" s="73">
        <f>COUNTIFS(缺陷明细!$A$2:$A$50000,$B$4,缺陷明细!$G$2:$G$50000,$C21,缺陷明细!$Q$2:$Q$50000,"已关闭",缺陷明细!$J$2:$J$50000,"系统测试",缺陷明细!$K$2:$K$50000,"致命")+COUNTIFS(缺陷明细!$A$2:$A$50000,$B$4,缺陷明细!$G$2:$G$50000,$C21,缺陷明细!$Q$2:$Q$50000,"已关闭",缺陷明细!$J$2:$J$50000,"系统测试",缺陷明细!$K$2:$K$50000,"严重")</f>
        <v>0</v>
      </c>
      <c r="U21" s="74">
        <f>COUNTIFS(缺陷明细!$A$2:$A$50000,$B$4,缺陷明细!$G$2:$G$50000,$C21,缺陷明细!$J$2:$J$50000,"验收测试",缺陷明细!$AB$2:$AB$50000,"&lt;&gt;丢弃",缺陷明细!$AB$2:$AB$50000,"&lt;&gt;设计如此",缺陷明细!$AB$2:$AB$50000,"&lt;&gt;重复Bug")</f>
        <v>0</v>
      </c>
      <c r="V21" s="75">
        <f>COUNTIFS(缺陷明细!$A$2:$A$50000,$B$4,缺陷明细!$G$2:$G$50000,$C21,缺陷明细!$Q$2:$Q$50000,"已关闭",缺陷明细!$J$2:$J$50000,"验收测试")</f>
        <v>0</v>
      </c>
      <c r="W21" s="75">
        <f>COUNTIFS(缺陷明细!$A$2:$A$50000,$B$4,缺陷明细!$G$2:$G$50000,$C21,缺陷明细!$J$2:$J$50000,"验收测试",缺陷明细!$K$2:$K$50000,"致命",缺陷明细!$AB$2:$AB$50000,"&lt;&gt;丢弃",缺陷明细!$AB$2:$AB$50000,"&lt;&gt;设计如此",缺陷明细!$AB$2:$AB$50000,"&lt;&gt;重复Bug")+COUNTIFS(缺陷明细!$A$2:$A$50000,$B$4,缺陷明细!$G$2:$G$50000,$C21,缺陷明细!$J$2:$J$50000,"验收测试",缺陷明细!$K$2:$K$50000,"严重",缺陷明细!$AB$2:$AB$50000,"&lt;&gt;丢弃",缺陷明细!$AB$2:$AB$50000,"&lt;&gt;设计如此",缺陷明细!$AB$2:$AB$50000,"&lt;&gt;重复Bug")</f>
        <v>0</v>
      </c>
      <c r="X21" s="76">
        <f>COUNTIFS(缺陷明细!$A$2:$A$50000,$B$4,缺陷明细!$G$2:$G$50000,$C21,缺陷明细!$Q$2:$Q$50000,"已关闭",缺陷明细!$J$2:$J$50000,"验收测试",缺陷明细!$K$2:$K$50000,"致命")+COUNTIFS(缺陷明细!$A$2:$A$50000,$B$4,缺陷明细!$G$2:$G$50000,$C21,缺陷明细!$Q$2:$Q$50000,"已关闭",缺陷明细!$J$2:$J$50000,"验收测试",缺陷明细!$K$2:$K$50000,"严重")</f>
        <v>0</v>
      </c>
      <c r="Y21" s="70">
        <f>COUNTIFS(缺陷明细!$A$2:$A$50000,$B$4,缺陷明细!$G$2:$G$50000,$C21,缺陷明细!$J$2:$J$50000,"运维测试",缺陷明细!$AB$2:$AB$50000,"&lt;&gt;丢弃",缺陷明细!$AB$2:$AB$50000,"&lt;&gt;设计如此",缺陷明细!$AB$2:$AB$50000,"&lt;&gt;重复Bug")</f>
        <v>0</v>
      </c>
      <c r="Z21" s="71">
        <f>COUNTIFS(缺陷明细!$A$2:$A$50000,$B$4,缺陷明细!$G$2:$G$50000,$C21,缺陷明细!$Q$2:$Q$50000,"已关闭",缺陷明细!$J$2:$J$50000,"运维测试")</f>
        <v>0</v>
      </c>
      <c r="AA21" s="72">
        <f>COUNTIFS(缺陷明细!$A$2:$A$50000,$B$4,缺陷明细!$G$2:$G$50000,$C21,缺陷明细!$J$2:$J$50000,"运维测试",缺陷明细!$K$2:$K$50000,"致命",缺陷明细!$AB$2:$AB$50000,"&lt;&gt;丢弃",缺陷明细!$AB$2:$AB$50000,"&lt;&gt;设计如此",缺陷明细!$AB$2:$AB$50000,"&lt;&gt;重复Bug")+COUNTIFS(缺陷明细!$A$2:$A$50000,$B$4,缺陷明细!$G$2:$G$50000,$C21,缺陷明细!$J$2:$J$50000,"运维测试",缺陷明细!$K$2:$K$50000,"严重",缺陷明细!$AB$2:$AB$50000,"&lt;&gt;丢弃",缺陷明细!$AB$2:$AB$50000,"&lt;&gt;设计如此",缺陷明细!$AB$2:$AB$50000,"&lt;&gt;重复Bug")</f>
        <v>0</v>
      </c>
      <c r="AB21" s="73">
        <f>COUNTIFS(缺陷明细!$A$2:$A$50000,$B$4,缺陷明细!$G$2:$G$50000,$C21,缺陷明细!$Q$2:$Q$50000,"已关闭",缺陷明细!$J$2:$J$50000,"运维测试",缺陷明细!$K$2:$K$50000,"致命")+COUNTIFS(缺陷明细!$A$2:$A$50000,$B$4,缺陷明细!$G$2:$G$50000,$C21,缺陷明细!$Q$2:$Q$50000,"已关闭",缺陷明细!$J$2:$J$50000,"运维测试",缺陷明细!$K$2:$K$50000,"严重")</f>
        <v>0</v>
      </c>
      <c r="AC21" s="68">
        <f t="shared" si="0"/>
        <v>0</v>
      </c>
      <c r="AD21" s="60">
        <f t="shared" si="0"/>
        <v>0</v>
      </c>
      <c r="AE21" s="60">
        <f t="shared" si="1"/>
        <v>0</v>
      </c>
      <c r="AF21" s="60">
        <f t="shared" si="1"/>
        <v>0</v>
      </c>
      <c r="AG21" s="60">
        <f t="shared" si="2"/>
        <v>0</v>
      </c>
      <c r="AH21" s="60">
        <f t="shared" si="2"/>
        <v>0</v>
      </c>
      <c r="AI21" s="60">
        <f t="shared" si="3"/>
        <v>0</v>
      </c>
      <c r="AJ21" s="61">
        <f t="shared" si="3"/>
        <v>0</v>
      </c>
      <c r="AK21" s="144"/>
    </row>
    <row r="22" spans="1:37">
      <c r="A22">
        <v>18</v>
      </c>
      <c r="B22" s="57"/>
      <c r="C22" s="58"/>
      <c r="D22" s="84"/>
      <c r="E22" s="82"/>
      <c r="F22" s="158"/>
      <c r="G22" s="159"/>
      <c r="H22" s="281">
        <f>COUNTIFS(缺陷明细!$A$2:$A$50000,$B$4,缺陷明细!$G$2:$G$50000,$C22,缺陷明细!$J$2:$J$50000,"评审",缺陷明细!$AB$2:$AB$50000,"&lt;&gt;丢弃",缺陷明细!$AB$2:$AB$50000,"&lt;&gt;设计如此",缺陷明细!$AB$2:$AB$50000,"&lt;&gt;重复Bug")</f>
        <v>0</v>
      </c>
      <c r="I22" s="154">
        <f>COUNTIFS(缺陷明细!$A$2:$A$50000,$B$4,缺陷明细!$G$2:$G$50000,$C22,缺陷明细!$Q$2:$Q$50000,"已关闭",缺陷明细!$J$2:$J$50000,"评审")</f>
        <v>0</v>
      </c>
      <c r="J22" s="154">
        <f>COUNTIFS(缺陷明细!$A$2:$A$50000,$B$4,缺陷明细!$G$2:$G$50000,$C22,缺陷明细!$J$2:$J$50000,"单元测试",缺陷明细!$AB$2:$AB$50000,"&lt;&gt;丢弃",缺陷明细!$AB$2:$AB$50000,"&lt;&gt;设计如此",缺陷明细!$AB$2:$AB$50000,"&lt;&gt;重复Bug")</f>
        <v>0</v>
      </c>
      <c r="K22" s="155">
        <f>COUNTIFS(缺陷明细!$A$2:$A$50000,$B$4,缺陷明细!$G$2:$G$50000,$C22,缺陷明细!$Q$2:$Q$50000,"已关闭",缺陷明细!$J$2:$J$50000,"单元测试")</f>
        <v>0</v>
      </c>
      <c r="L22" s="156"/>
      <c r="M22" s="157"/>
      <c r="N22" s="72">
        <f>COUNTIFS(缺陷明细!$A$2:$A$50000,$B$4,缺陷明细!$G$2:$G$50000,$C22,缺陷明细!$J$2:$J$50000,"系统测试案例评审",缺陷明细!$AB$2:$AB$50000,"&lt;&gt;丢弃",缺陷明细!$AB$2:$AB$50000,"&lt;&gt;设计如此",缺陷明细!$AB$2:$AB$50000,"&lt;&gt;重复Bug")</f>
        <v>0</v>
      </c>
      <c r="O22" s="72">
        <f>COUNTIFS(缺陷明细!$A$2:$A$50000,$B$4,缺陷明细!$G$2:$G$50000,$C22,缺陷明细!$Q$2:$Q$50000,"已关闭",缺陷明细!$J$2:$J$50000,"系统测试案例评审")</f>
        <v>0</v>
      </c>
      <c r="P22" s="72">
        <f>COUNTIFS(缺陷明细!$A$2:$A$50000,$B$4,缺陷明细!$G$2:$G$50000,$C22,缺陷明细!$J$2:$J$50000,"系统测试",缺陷明细!$AB$2:$AB$50000,"&lt;&gt;丢弃",缺陷明细!$AB$2:$AB$50000,"&lt;&gt;设计如此",缺陷明细!$AB$2:$AB$50000,"&lt;&gt;重复Bug")</f>
        <v>0</v>
      </c>
      <c r="Q22" s="72">
        <f>COUNTIFS(缺陷明细!$A$2:$A$50000,$B$4,缺陷明细!$G$2:$G$50000,$C22,缺陷明细!$Q$2:$Q$50000,"已关闭",缺陷明细!$J$2:$J$50000,"系统测试")</f>
        <v>0</v>
      </c>
      <c r="R22" s="296">
        <f>COUNTIFS(缺陷明细!$A$2:$A$50000,$B$4,缺陷明细!$G$2:$G$50000,$C22,缺陷明细!$AB$2:$AB$50000,"丢弃",缺陷明细!$J$2:$J$50000,"系统测试")+COUNTIFS(缺陷明细!$A$2:$A$50000,$B$4,缺陷明细!$G$2:$G$50000,$C22,缺陷明细!$AB$2:$AB$50000,"设计如此",缺陷明细!$J$2:$J$50000,"系统测试")+COUNTIFS(缺陷明细!$A$2:$A$50000,$B$4,缺陷明细!$G$2:$G$50000,$C22,缺陷明细!$AB$2:$AB$50000,"重复Bug",缺陷明细!$J$2:$J$50000,"系统测试")</f>
        <v>0</v>
      </c>
      <c r="S22" s="72">
        <f>COUNTIFS(缺陷明细!$A$2:$A$50000,$B$4,缺陷明细!$G$2:$G$50000,$C22,缺陷明细!$J$2:$J$50000,"系统测试",缺陷明细!$K$2:$K$50000,"致命",缺陷明细!$AB$2:$AB$50000,"&lt;&gt;丢弃",缺陷明细!$AB$2:$AB$50000,"&lt;&gt;设计如此",缺陷明细!$AB$2:$AB$50000,"&lt;&gt;重复Bug")+COUNTIFS(缺陷明细!$A$2:$A$50000,$B$4,缺陷明细!$G$2:$G$50000,$C22,缺陷明细!$J$2:$J$50000,"系统测试",缺陷明细!$K$2:$K$50000,"严重",缺陷明细!$AB$2:$AB$50000,"&lt;&gt;丢弃",缺陷明细!$AB$2:$AB$50000,"&lt;&gt;设计如此",缺陷明细!$AB$2:$AB$50000,"&lt;&gt;重复Bug")</f>
        <v>0</v>
      </c>
      <c r="T22" s="73">
        <f>COUNTIFS(缺陷明细!$A$2:$A$50000,$B$4,缺陷明细!$G$2:$G$50000,$C22,缺陷明细!$Q$2:$Q$50000,"已关闭",缺陷明细!$J$2:$J$50000,"系统测试",缺陷明细!$K$2:$K$50000,"致命")+COUNTIFS(缺陷明细!$A$2:$A$50000,$B$4,缺陷明细!$G$2:$G$50000,$C22,缺陷明细!$Q$2:$Q$50000,"已关闭",缺陷明细!$J$2:$J$50000,"系统测试",缺陷明细!$K$2:$K$50000,"严重")</f>
        <v>0</v>
      </c>
      <c r="U22" s="74">
        <f>COUNTIFS(缺陷明细!$A$2:$A$50000,$B$4,缺陷明细!$G$2:$G$50000,$C22,缺陷明细!$J$2:$J$50000,"验收测试",缺陷明细!$AB$2:$AB$50000,"&lt;&gt;丢弃",缺陷明细!$AB$2:$AB$50000,"&lt;&gt;设计如此",缺陷明细!$AB$2:$AB$50000,"&lt;&gt;重复Bug")</f>
        <v>0</v>
      </c>
      <c r="V22" s="75">
        <f>COUNTIFS(缺陷明细!$A$2:$A$50000,$B$4,缺陷明细!$G$2:$G$50000,$C22,缺陷明细!$Q$2:$Q$50000,"已关闭",缺陷明细!$J$2:$J$50000,"验收测试")</f>
        <v>0</v>
      </c>
      <c r="W22" s="75">
        <f>COUNTIFS(缺陷明细!$A$2:$A$50000,$B$4,缺陷明细!$G$2:$G$50000,$C22,缺陷明细!$J$2:$J$50000,"验收测试",缺陷明细!$K$2:$K$50000,"致命",缺陷明细!$AB$2:$AB$50000,"&lt;&gt;丢弃",缺陷明细!$AB$2:$AB$50000,"&lt;&gt;设计如此",缺陷明细!$AB$2:$AB$50000,"&lt;&gt;重复Bug")+COUNTIFS(缺陷明细!$A$2:$A$50000,$B$4,缺陷明细!$G$2:$G$50000,$C22,缺陷明细!$J$2:$J$50000,"验收测试",缺陷明细!$K$2:$K$50000,"严重",缺陷明细!$AB$2:$AB$50000,"&lt;&gt;丢弃",缺陷明细!$AB$2:$AB$50000,"&lt;&gt;设计如此",缺陷明细!$AB$2:$AB$50000,"&lt;&gt;重复Bug")</f>
        <v>0</v>
      </c>
      <c r="X22" s="76">
        <f>COUNTIFS(缺陷明细!$A$2:$A$50000,$B$4,缺陷明细!$G$2:$G$50000,$C22,缺陷明细!$Q$2:$Q$50000,"已关闭",缺陷明细!$J$2:$J$50000,"验收测试",缺陷明细!$K$2:$K$50000,"致命")+COUNTIFS(缺陷明细!$A$2:$A$50000,$B$4,缺陷明细!$G$2:$G$50000,$C22,缺陷明细!$Q$2:$Q$50000,"已关闭",缺陷明细!$J$2:$J$50000,"验收测试",缺陷明细!$K$2:$K$50000,"严重")</f>
        <v>0</v>
      </c>
      <c r="Y22" s="70">
        <f>COUNTIFS(缺陷明细!$A$2:$A$50000,$B$4,缺陷明细!$G$2:$G$50000,$C22,缺陷明细!$J$2:$J$50000,"运维测试",缺陷明细!$AB$2:$AB$50000,"&lt;&gt;丢弃",缺陷明细!$AB$2:$AB$50000,"&lt;&gt;设计如此",缺陷明细!$AB$2:$AB$50000,"&lt;&gt;重复Bug")</f>
        <v>0</v>
      </c>
      <c r="Z22" s="71">
        <f>COUNTIFS(缺陷明细!$A$2:$A$50000,$B$4,缺陷明细!$G$2:$G$50000,$C22,缺陷明细!$Q$2:$Q$50000,"已关闭",缺陷明细!$J$2:$J$50000,"运维测试")</f>
        <v>0</v>
      </c>
      <c r="AA22" s="72">
        <f>COUNTIFS(缺陷明细!$A$2:$A$50000,$B$4,缺陷明细!$G$2:$G$50000,$C22,缺陷明细!$J$2:$J$50000,"运维测试",缺陷明细!$K$2:$K$50000,"致命",缺陷明细!$AB$2:$AB$50000,"&lt;&gt;丢弃",缺陷明细!$AB$2:$AB$50000,"&lt;&gt;设计如此",缺陷明细!$AB$2:$AB$50000,"&lt;&gt;重复Bug")+COUNTIFS(缺陷明细!$A$2:$A$50000,$B$4,缺陷明细!$G$2:$G$50000,$C22,缺陷明细!$J$2:$J$50000,"运维测试",缺陷明细!$K$2:$K$50000,"严重",缺陷明细!$AB$2:$AB$50000,"&lt;&gt;丢弃",缺陷明细!$AB$2:$AB$50000,"&lt;&gt;设计如此",缺陷明细!$AB$2:$AB$50000,"&lt;&gt;重复Bug")</f>
        <v>0</v>
      </c>
      <c r="AB22" s="73">
        <f>COUNTIFS(缺陷明细!$A$2:$A$50000,$B$4,缺陷明细!$G$2:$G$50000,$C22,缺陷明细!$Q$2:$Q$50000,"已关闭",缺陷明细!$J$2:$J$50000,"运维测试",缺陷明细!$K$2:$K$50000,"致命")+COUNTIFS(缺陷明细!$A$2:$A$50000,$B$4,缺陷明细!$G$2:$G$50000,$C22,缺陷明细!$Q$2:$Q$50000,"已关闭",缺陷明细!$J$2:$J$50000,"运维测试",缺陷明细!$K$2:$K$50000,"严重")</f>
        <v>0</v>
      </c>
      <c r="AC22" s="68">
        <f t="shared" si="0"/>
        <v>0</v>
      </c>
      <c r="AD22" s="60">
        <f t="shared" si="0"/>
        <v>0</v>
      </c>
      <c r="AE22" s="60">
        <f t="shared" si="1"/>
        <v>0</v>
      </c>
      <c r="AF22" s="60">
        <f t="shared" si="1"/>
        <v>0</v>
      </c>
      <c r="AG22" s="60">
        <f t="shared" si="2"/>
        <v>0</v>
      </c>
      <c r="AH22" s="60">
        <f t="shared" si="2"/>
        <v>0</v>
      </c>
      <c r="AI22" s="60">
        <f t="shared" si="3"/>
        <v>0</v>
      </c>
      <c r="AJ22" s="61">
        <f t="shared" si="3"/>
        <v>0</v>
      </c>
      <c r="AK22" s="144"/>
    </row>
    <row r="23" spans="1:37">
      <c r="A23">
        <v>19</v>
      </c>
      <c r="B23" s="57"/>
      <c r="C23" s="58"/>
      <c r="D23" s="84"/>
      <c r="E23" s="82"/>
      <c r="F23" s="158"/>
      <c r="G23" s="159"/>
      <c r="H23" s="281">
        <f>COUNTIFS(缺陷明细!$A$2:$A$50000,$B$4,缺陷明细!$G$2:$G$50000,$C23,缺陷明细!$J$2:$J$50000,"评审",缺陷明细!$AB$2:$AB$50000,"&lt;&gt;丢弃",缺陷明细!$AB$2:$AB$50000,"&lt;&gt;设计如此",缺陷明细!$AB$2:$AB$50000,"&lt;&gt;重复Bug")</f>
        <v>0</v>
      </c>
      <c r="I23" s="154">
        <f>COUNTIFS(缺陷明细!$A$2:$A$50000,$B$4,缺陷明细!$G$2:$G$50000,$C23,缺陷明细!$Q$2:$Q$50000,"已关闭",缺陷明细!$J$2:$J$50000,"评审")</f>
        <v>0</v>
      </c>
      <c r="J23" s="154">
        <f>COUNTIFS(缺陷明细!$A$2:$A$50000,$B$4,缺陷明细!$G$2:$G$50000,$C23,缺陷明细!$J$2:$J$50000,"单元测试",缺陷明细!$AB$2:$AB$50000,"&lt;&gt;丢弃",缺陷明细!$AB$2:$AB$50000,"&lt;&gt;设计如此",缺陷明细!$AB$2:$AB$50000,"&lt;&gt;重复Bug")</f>
        <v>0</v>
      </c>
      <c r="K23" s="155">
        <f>COUNTIFS(缺陷明细!$A$2:$A$50000,$B$4,缺陷明细!$G$2:$G$50000,$C23,缺陷明细!$Q$2:$Q$50000,"已关闭",缺陷明细!$J$2:$J$50000,"单元测试")</f>
        <v>0</v>
      </c>
      <c r="L23" s="156"/>
      <c r="M23" s="157"/>
      <c r="N23" s="72">
        <f>COUNTIFS(缺陷明细!$A$2:$A$50000,$B$4,缺陷明细!$G$2:$G$50000,$C23,缺陷明细!$J$2:$J$50000,"系统测试案例评审",缺陷明细!$AB$2:$AB$50000,"&lt;&gt;丢弃",缺陷明细!$AB$2:$AB$50000,"&lt;&gt;设计如此",缺陷明细!$AB$2:$AB$50000,"&lt;&gt;重复Bug")</f>
        <v>0</v>
      </c>
      <c r="O23" s="72">
        <f>COUNTIFS(缺陷明细!$A$2:$A$50000,$B$4,缺陷明细!$G$2:$G$50000,$C23,缺陷明细!$Q$2:$Q$50000,"已关闭",缺陷明细!$J$2:$J$50000,"系统测试案例评审")</f>
        <v>0</v>
      </c>
      <c r="P23" s="72">
        <f>COUNTIFS(缺陷明细!$A$2:$A$50000,$B$4,缺陷明细!$G$2:$G$50000,$C23,缺陷明细!$J$2:$J$50000,"系统测试",缺陷明细!$AB$2:$AB$50000,"&lt;&gt;丢弃",缺陷明细!$AB$2:$AB$50000,"&lt;&gt;设计如此",缺陷明细!$AB$2:$AB$50000,"&lt;&gt;重复Bug")</f>
        <v>0</v>
      </c>
      <c r="Q23" s="72">
        <f>COUNTIFS(缺陷明细!$A$2:$A$50000,$B$4,缺陷明细!$G$2:$G$50000,$C23,缺陷明细!$Q$2:$Q$50000,"已关闭",缺陷明细!$J$2:$J$50000,"系统测试")</f>
        <v>0</v>
      </c>
      <c r="R23" s="296">
        <f>COUNTIFS(缺陷明细!$A$2:$A$50000,$B$4,缺陷明细!$G$2:$G$50000,$C23,缺陷明细!$AB$2:$AB$50000,"丢弃",缺陷明细!$J$2:$J$50000,"系统测试")+COUNTIFS(缺陷明细!$A$2:$A$50000,$B$4,缺陷明细!$G$2:$G$50000,$C23,缺陷明细!$AB$2:$AB$50000,"设计如此",缺陷明细!$J$2:$J$50000,"系统测试")+COUNTIFS(缺陷明细!$A$2:$A$50000,$B$4,缺陷明细!$G$2:$G$50000,$C23,缺陷明细!$AB$2:$AB$50000,"重复Bug",缺陷明细!$J$2:$J$50000,"系统测试")</f>
        <v>0</v>
      </c>
      <c r="S23" s="72">
        <f>COUNTIFS(缺陷明细!$A$2:$A$50000,$B$4,缺陷明细!$G$2:$G$50000,$C23,缺陷明细!$J$2:$J$50000,"系统测试",缺陷明细!$K$2:$K$50000,"致命",缺陷明细!$AB$2:$AB$50000,"&lt;&gt;丢弃",缺陷明细!$AB$2:$AB$50000,"&lt;&gt;设计如此",缺陷明细!$AB$2:$AB$50000,"&lt;&gt;重复Bug")+COUNTIFS(缺陷明细!$A$2:$A$50000,$B$4,缺陷明细!$G$2:$G$50000,$C23,缺陷明细!$J$2:$J$50000,"系统测试",缺陷明细!$K$2:$K$50000,"严重",缺陷明细!$AB$2:$AB$50000,"&lt;&gt;丢弃",缺陷明细!$AB$2:$AB$50000,"&lt;&gt;设计如此",缺陷明细!$AB$2:$AB$50000,"&lt;&gt;重复Bug")</f>
        <v>0</v>
      </c>
      <c r="T23" s="73">
        <f>COUNTIFS(缺陷明细!$A$2:$A$50000,$B$4,缺陷明细!$G$2:$G$50000,$C23,缺陷明细!$Q$2:$Q$50000,"已关闭",缺陷明细!$J$2:$J$50000,"系统测试",缺陷明细!$K$2:$K$50000,"致命")+COUNTIFS(缺陷明细!$A$2:$A$50000,$B$4,缺陷明细!$G$2:$G$50000,$C23,缺陷明细!$Q$2:$Q$50000,"已关闭",缺陷明细!$J$2:$J$50000,"系统测试",缺陷明细!$K$2:$K$50000,"严重")</f>
        <v>0</v>
      </c>
      <c r="U23" s="74">
        <f>COUNTIFS(缺陷明细!$A$2:$A$50000,$B$4,缺陷明细!$G$2:$G$50000,$C23,缺陷明细!$J$2:$J$50000,"验收测试",缺陷明细!$AB$2:$AB$50000,"&lt;&gt;丢弃",缺陷明细!$AB$2:$AB$50000,"&lt;&gt;设计如此",缺陷明细!$AB$2:$AB$50000,"&lt;&gt;重复Bug")</f>
        <v>0</v>
      </c>
      <c r="V23" s="75">
        <f>COUNTIFS(缺陷明细!$A$2:$A$50000,$B$4,缺陷明细!$G$2:$G$50000,$C23,缺陷明细!$Q$2:$Q$50000,"已关闭",缺陷明细!$J$2:$J$50000,"验收测试")</f>
        <v>0</v>
      </c>
      <c r="W23" s="75">
        <f>COUNTIFS(缺陷明细!$A$2:$A$50000,$B$4,缺陷明细!$G$2:$G$50000,$C23,缺陷明细!$J$2:$J$50000,"验收测试",缺陷明细!$K$2:$K$50000,"致命",缺陷明细!$AB$2:$AB$50000,"&lt;&gt;丢弃",缺陷明细!$AB$2:$AB$50000,"&lt;&gt;设计如此",缺陷明细!$AB$2:$AB$50000,"&lt;&gt;重复Bug")+COUNTIFS(缺陷明细!$A$2:$A$50000,$B$4,缺陷明细!$G$2:$G$50000,$C23,缺陷明细!$J$2:$J$50000,"验收测试",缺陷明细!$K$2:$K$50000,"严重",缺陷明细!$AB$2:$AB$50000,"&lt;&gt;丢弃",缺陷明细!$AB$2:$AB$50000,"&lt;&gt;设计如此",缺陷明细!$AB$2:$AB$50000,"&lt;&gt;重复Bug")</f>
        <v>0</v>
      </c>
      <c r="X23" s="76">
        <f>COUNTIFS(缺陷明细!$A$2:$A$50000,$B$4,缺陷明细!$G$2:$G$50000,$C23,缺陷明细!$Q$2:$Q$50000,"已关闭",缺陷明细!$J$2:$J$50000,"验收测试",缺陷明细!$K$2:$K$50000,"致命")+COUNTIFS(缺陷明细!$A$2:$A$50000,$B$4,缺陷明细!$G$2:$G$50000,$C23,缺陷明细!$Q$2:$Q$50000,"已关闭",缺陷明细!$J$2:$J$50000,"验收测试",缺陷明细!$K$2:$K$50000,"严重")</f>
        <v>0</v>
      </c>
      <c r="Y23" s="70">
        <f>COUNTIFS(缺陷明细!$A$2:$A$50000,$B$4,缺陷明细!$G$2:$G$50000,$C23,缺陷明细!$J$2:$J$50000,"运维测试",缺陷明细!$AB$2:$AB$50000,"&lt;&gt;丢弃",缺陷明细!$AB$2:$AB$50000,"&lt;&gt;设计如此",缺陷明细!$AB$2:$AB$50000,"&lt;&gt;重复Bug")</f>
        <v>0</v>
      </c>
      <c r="Z23" s="71">
        <f>COUNTIFS(缺陷明细!$A$2:$A$50000,$B$4,缺陷明细!$G$2:$G$50000,$C23,缺陷明细!$Q$2:$Q$50000,"已关闭",缺陷明细!$J$2:$J$50000,"运维测试")</f>
        <v>0</v>
      </c>
      <c r="AA23" s="72">
        <f>COUNTIFS(缺陷明细!$A$2:$A$50000,$B$4,缺陷明细!$G$2:$G$50000,$C23,缺陷明细!$J$2:$J$50000,"运维测试",缺陷明细!$K$2:$K$50000,"致命",缺陷明细!$AB$2:$AB$50000,"&lt;&gt;丢弃",缺陷明细!$AB$2:$AB$50000,"&lt;&gt;设计如此",缺陷明细!$AB$2:$AB$50000,"&lt;&gt;重复Bug")+COUNTIFS(缺陷明细!$A$2:$A$50000,$B$4,缺陷明细!$G$2:$G$50000,$C23,缺陷明细!$J$2:$J$50000,"运维测试",缺陷明细!$K$2:$K$50000,"严重",缺陷明细!$AB$2:$AB$50000,"&lt;&gt;丢弃",缺陷明细!$AB$2:$AB$50000,"&lt;&gt;设计如此",缺陷明细!$AB$2:$AB$50000,"&lt;&gt;重复Bug")</f>
        <v>0</v>
      </c>
      <c r="AB23" s="73">
        <f>COUNTIFS(缺陷明细!$A$2:$A$50000,$B$4,缺陷明细!$G$2:$G$50000,$C23,缺陷明细!$Q$2:$Q$50000,"已关闭",缺陷明细!$J$2:$J$50000,"运维测试",缺陷明细!$K$2:$K$50000,"致命")+COUNTIFS(缺陷明细!$A$2:$A$50000,$B$4,缺陷明细!$G$2:$G$50000,$C23,缺陷明细!$Q$2:$Q$50000,"已关闭",缺陷明细!$J$2:$J$50000,"运维测试",缺陷明细!$K$2:$K$50000,"严重")</f>
        <v>0</v>
      </c>
      <c r="AC23" s="68">
        <f t="shared" si="0"/>
        <v>0</v>
      </c>
      <c r="AD23" s="60">
        <f t="shared" si="0"/>
        <v>0</v>
      </c>
      <c r="AE23" s="60">
        <f t="shared" si="1"/>
        <v>0</v>
      </c>
      <c r="AF23" s="60">
        <f t="shared" si="1"/>
        <v>0</v>
      </c>
      <c r="AG23" s="60">
        <f t="shared" si="2"/>
        <v>0</v>
      </c>
      <c r="AH23" s="60">
        <f t="shared" si="2"/>
        <v>0</v>
      </c>
      <c r="AI23" s="60">
        <f t="shared" si="3"/>
        <v>0</v>
      </c>
      <c r="AJ23" s="61">
        <f t="shared" si="3"/>
        <v>0</v>
      </c>
      <c r="AK23" s="144"/>
    </row>
    <row r="24" spans="1:37">
      <c r="A24">
        <v>20</v>
      </c>
      <c r="B24" s="57"/>
      <c r="C24" s="58"/>
      <c r="D24" s="84"/>
      <c r="E24" s="82"/>
      <c r="F24" s="158"/>
      <c r="G24" s="159"/>
      <c r="H24" s="281">
        <f>COUNTIFS(缺陷明细!$A$2:$A$50000,$B$4,缺陷明细!$G$2:$G$50000,$C24,缺陷明细!$J$2:$J$50000,"评审",缺陷明细!$AB$2:$AB$50000,"&lt;&gt;丢弃",缺陷明细!$AB$2:$AB$50000,"&lt;&gt;设计如此",缺陷明细!$AB$2:$AB$50000,"&lt;&gt;重复Bug")</f>
        <v>0</v>
      </c>
      <c r="I24" s="154">
        <f>COUNTIFS(缺陷明细!$A$2:$A$50000,$B$4,缺陷明细!$G$2:$G$50000,$C24,缺陷明细!$Q$2:$Q$50000,"已关闭",缺陷明细!$J$2:$J$50000,"评审")</f>
        <v>0</v>
      </c>
      <c r="J24" s="154">
        <f>COUNTIFS(缺陷明细!$A$2:$A$50000,$B$4,缺陷明细!$G$2:$G$50000,$C24,缺陷明细!$J$2:$J$50000,"单元测试",缺陷明细!$AB$2:$AB$50000,"&lt;&gt;丢弃",缺陷明细!$AB$2:$AB$50000,"&lt;&gt;设计如此",缺陷明细!$AB$2:$AB$50000,"&lt;&gt;重复Bug")</f>
        <v>0</v>
      </c>
      <c r="K24" s="155">
        <f>COUNTIFS(缺陷明细!$A$2:$A$50000,$B$4,缺陷明细!$G$2:$G$50000,$C24,缺陷明细!$Q$2:$Q$50000,"已关闭",缺陷明细!$J$2:$J$50000,"单元测试")</f>
        <v>0</v>
      </c>
      <c r="L24" s="156"/>
      <c r="M24" s="157"/>
      <c r="N24" s="72">
        <f>COUNTIFS(缺陷明细!$A$2:$A$50000,$B$4,缺陷明细!$G$2:$G$50000,$C24,缺陷明细!$J$2:$J$50000,"系统测试案例评审",缺陷明细!$AB$2:$AB$50000,"&lt;&gt;丢弃",缺陷明细!$AB$2:$AB$50000,"&lt;&gt;设计如此",缺陷明细!$AB$2:$AB$50000,"&lt;&gt;重复Bug")</f>
        <v>0</v>
      </c>
      <c r="O24" s="72">
        <f>COUNTIFS(缺陷明细!$A$2:$A$50000,$B$4,缺陷明细!$G$2:$G$50000,$C24,缺陷明细!$Q$2:$Q$50000,"已关闭",缺陷明细!$J$2:$J$50000,"系统测试案例评审")</f>
        <v>0</v>
      </c>
      <c r="P24" s="72">
        <f>COUNTIFS(缺陷明细!$A$2:$A$50000,$B$4,缺陷明细!$G$2:$G$50000,$C24,缺陷明细!$J$2:$J$50000,"系统测试",缺陷明细!$AB$2:$AB$50000,"&lt;&gt;丢弃",缺陷明细!$AB$2:$AB$50000,"&lt;&gt;设计如此",缺陷明细!$AB$2:$AB$50000,"&lt;&gt;重复Bug")</f>
        <v>0</v>
      </c>
      <c r="Q24" s="72">
        <f>COUNTIFS(缺陷明细!$A$2:$A$50000,$B$4,缺陷明细!$G$2:$G$50000,$C24,缺陷明细!$Q$2:$Q$50000,"已关闭",缺陷明细!$J$2:$J$50000,"系统测试")</f>
        <v>0</v>
      </c>
      <c r="R24" s="296">
        <f>COUNTIFS(缺陷明细!$A$2:$A$50000,$B$4,缺陷明细!$G$2:$G$50000,$C24,缺陷明细!$AB$2:$AB$50000,"丢弃",缺陷明细!$J$2:$J$50000,"系统测试")+COUNTIFS(缺陷明细!$A$2:$A$50000,$B$4,缺陷明细!$G$2:$G$50000,$C24,缺陷明细!$AB$2:$AB$50000,"设计如此",缺陷明细!$J$2:$J$50000,"系统测试")+COUNTIFS(缺陷明细!$A$2:$A$50000,$B$4,缺陷明细!$G$2:$G$50000,$C24,缺陷明细!$AB$2:$AB$50000,"重复Bug",缺陷明细!$J$2:$J$50000,"系统测试")</f>
        <v>0</v>
      </c>
      <c r="S24" s="72">
        <f>COUNTIFS(缺陷明细!$A$2:$A$50000,$B$4,缺陷明细!$G$2:$G$50000,$C24,缺陷明细!$J$2:$J$50000,"系统测试",缺陷明细!$K$2:$K$50000,"致命",缺陷明细!$AB$2:$AB$50000,"&lt;&gt;丢弃",缺陷明细!$AB$2:$AB$50000,"&lt;&gt;设计如此",缺陷明细!$AB$2:$AB$50000,"&lt;&gt;重复Bug")+COUNTIFS(缺陷明细!$A$2:$A$50000,$B$4,缺陷明细!$G$2:$G$50000,$C24,缺陷明细!$J$2:$J$50000,"系统测试",缺陷明细!$K$2:$K$50000,"严重",缺陷明细!$AB$2:$AB$50000,"&lt;&gt;丢弃",缺陷明细!$AB$2:$AB$50000,"&lt;&gt;设计如此",缺陷明细!$AB$2:$AB$50000,"&lt;&gt;重复Bug")</f>
        <v>0</v>
      </c>
      <c r="T24" s="73">
        <f>COUNTIFS(缺陷明细!$A$2:$A$50000,$B$4,缺陷明细!$G$2:$G$50000,$C24,缺陷明细!$Q$2:$Q$50000,"已关闭",缺陷明细!$J$2:$J$50000,"系统测试",缺陷明细!$K$2:$K$50000,"致命")+COUNTIFS(缺陷明细!$A$2:$A$50000,$B$4,缺陷明细!$G$2:$G$50000,$C24,缺陷明细!$Q$2:$Q$50000,"已关闭",缺陷明细!$J$2:$J$50000,"系统测试",缺陷明细!$K$2:$K$50000,"严重")</f>
        <v>0</v>
      </c>
      <c r="U24" s="74">
        <f>COUNTIFS(缺陷明细!$A$2:$A$50000,$B$4,缺陷明细!$G$2:$G$50000,$C24,缺陷明细!$J$2:$J$50000,"验收测试",缺陷明细!$AB$2:$AB$50000,"&lt;&gt;丢弃",缺陷明细!$AB$2:$AB$50000,"&lt;&gt;设计如此",缺陷明细!$AB$2:$AB$50000,"&lt;&gt;重复Bug")</f>
        <v>0</v>
      </c>
      <c r="V24" s="75">
        <f>COUNTIFS(缺陷明细!$A$2:$A$50000,$B$4,缺陷明细!$G$2:$G$50000,$C24,缺陷明细!$Q$2:$Q$50000,"已关闭",缺陷明细!$J$2:$J$50000,"验收测试")</f>
        <v>0</v>
      </c>
      <c r="W24" s="75">
        <f>COUNTIFS(缺陷明细!$A$2:$A$50000,$B$4,缺陷明细!$G$2:$G$50000,$C24,缺陷明细!$J$2:$J$50000,"验收测试",缺陷明细!$K$2:$K$50000,"致命",缺陷明细!$AB$2:$AB$50000,"&lt;&gt;丢弃",缺陷明细!$AB$2:$AB$50000,"&lt;&gt;设计如此",缺陷明细!$AB$2:$AB$50000,"&lt;&gt;重复Bug")+COUNTIFS(缺陷明细!$A$2:$A$50000,$B$4,缺陷明细!$G$2:$G$50000,$C24,缺陷明细!$J$2:$J$50000,"验收测试",缺陷明细!$K$2:$K$50000,"严重",缺陷明细!$AB$2:$AB$50000,"&lt;&gt;丢弃",缺陷明细!$AB$2:$AB$50000,"&lt;&gt;设计如此",缺陷明细!$AB$2:$AB$50000,"&lt;&gt;重复Bug")</f>
        <v>0</v>
      </c>
      <c r="X24" s="76">
        <f>COUNTIFS(缺陷明细!$A$2:$A$50000,$B$4,缺陷明细!$G$2:$G$50000,$C24,缺陷明细!$Q$2:$Q$50000,"已关闭",缺陷明细!$J$2:$J$50000,"验收测试",缺陷明细!$K$2:$K$50000,"致命")+COUNTIFS(缺陷明细!$A$2:$A$50000,$B$4,缺陷明细!$G$2:$G$50000,$C24,缺陷明细!$Q$2:$Q$50000,"已关闭",缺陷明细!$J$2:$J$50000,"验收测试",缺陷明细!$K$2:$K$50000,"严重")</f>
        <v>0</v>
      </c>
      <c r="Y24" s="70">
        <f>COUNTIFS(缺陷明细!$A$2:$A$50000,$B$4,缺陷明细!$G$2:$G$50000,$C24,缺陷明细!$J$2:$J$50000,"运维测试",缺陷明细!$AB$2:$AB$50000,"&lt;&gt;丢弃",缺陷明细!$AB$2:$AB$50000,"&lt;&gt;设计如此",缺陷明细!$AB$2:$AB$50000,"&lt;&gt;重复Bug")</f>
        <v>0</v>
      </c>
      <c r="Z24" s="71">
        <f>COUNTIFS(缺陷明细!$A$2:$A$50000,$B$4,缺陷明细!$G$2:$G$50000,$C24,缺陷明细!$Q$2:$Q$50000,"已关闭",缺陷明细!$J$2:$J$50000,"运维测试")</f>
        <v>0</v>
      </c>
      <c r="AA24" s="72">
        <f>COUNTIFS(缺陷明细!$A$2:$A$50000,$B$4,缺陷明细!$G$2:$G$50000,$C24,缺陷明细!$J$2:$J$50000,"运维测试",缺陷明细!$K$2:$K$50000,"致命",缺陷明细!$AB$2:$AB$50000,"&lt;&gt;丢弃",缺陷明细!$AB$2:$AB$50000,"&lt;&gt;设计如此",缺陷明细!$AB$2:$AB$50000,"&lt;&gt;重复Bug")+COUNTIFS(缺陷明细!$A$2:$A$50000,$B$4,缺陷明细!$G$2:$G$50000,$C24,缺陷明细!$J$2:$J$50000,"运维测试",缺陷明细!$K$2:$K$50000,"严重",缺陷明细!$AB$2:$AB$50000,"&lt;&gt;丢弃",缺陷明细!$AB$2:$AB$50000,"&lt;&gt;设计如此",缺陷明细!$AB$2:$AB$50000,"&lt;&gt;重复Bug")</f>
        <v>0</v>
      </c>
      <c r="AB24" s="73">
        <f>COUNTIFS(缺陷明细!$A$2:$A$50000,$B$4,缺陷明细!$G$2:$G$50000,$C24,缺陷明细!$Q$2:$Q$50000,"已关闭",缺陷明细!$J$2:$J$50000,"运维测试",缺陷明细!$K$2:$K$50000,"致命")+COUNTIFS(缺陷明细!$A$2:$A$50000,$B$4,缺陷明细!$G$2:$G$50000,$C24,缺陷明细!$Q$2:$Q$50000,"已关闭",缺陷明细!$J$2:$J$50000,"运维测试",缺陷明细!$K$2:$K$50000,"严重")</f>
        <v>0</v>
      </c>
      <c r="AC24" s="68">
        <f t="shared" si="0"/>
        <v>0</v>
      </c>
      <c r="AD24" s="60">
        <f t="shared" si="0"/>
        <v>0</v>
      </c>
      <c r="AE24" s="60">
        <f t="shared" si="1"/>
        <v>0</v>
      </c>
      <c r="AF24" s="60">
        <f t="shared" si="1"/>
        <v>0</v>
      </c>
      <c r="AG24" s="60">
        <f t="shared" si="2"/>
        <v>0</v>
      </c>
      <c r="AH24" s="60">
        <f t="shared" si="2"/>
        <v>0</v>
      </c>
      <c r="AI24" s="60">
        <f t="shared" si="3"/>
        <v>0</v>
      </c>
      <c r="AJ24" s="61">
        <f t="shared" si="3"/>
        <v>0</v>
      </c>
      <c r="AK24" s="144"/>
    </row>
    <row r="25" spans="1:37">
      <c r="A25">
        <v>21</v>
      </c>
      <c r="B25" s="57"/>
      <c r="C25" s="58"/>
      <c r="D25" s="84"/>
      <c r="E25" s="82"/>
      <c r="F25" s="158"/>
      <c r="G25" s="159"/>
      <c r="H25" s="281">
        <f>COUNTIFS(缺陷明细!$A$2:$A$50000,$B$4,缺陷明细!$G$2:$G$50000,$C25,缺陷明细!$J$2:$J$50000,"评审",缺陷明细!$AB$2:$AB$50000,"&lt;&gt;丢弃",缺陷明细!$AB$2:$AB$50000,"&lt;&gt;设计如此",缺陷明细!$AB$2:$AB$50000,"&lt;&gt;重复Bug")</f>
        <v>0</v>
      </c>
      <c r="I25" s="154">
        <f>COUNTIFS(缺陷明细!$A$2:$A$50000,$B$4,缺陷明细!$G$2:$G$50000,$C25,缺陷明细!$Q$2:$Q$50000,"已关闭",缺陷明细!$J$2:$J$50000,"评审")</f>
        <v>0</v>
      </c>
      <c r="J25" s="154">
        <f>COUNTIFS(缺陷明细!$A$2:$A$50000,$B$4,缺陷明细!$G$2:$G$50000,$C25,缺陷明细!$J$2:$J$50000,"单元测试",缺陷明细!$AB$2:$AB$50000,"&lt;&gt;丢弃",缺陷明细!$AB$2:$AB$50000,"&lt;&gt;设计如此",缺陷明细!$AB$2:$AB$50000,"&lt;&gt;重复Bug")</f>
        <v>0</v>
      </c>
      <c r="K25" s="155">
        <f>COUNTIFS(缺陷明细!$A$2:$A$50000,$B$4,缺陷明细!$G$2:$G$50000,$C25,缺陷明细!$Q$2:$Q$50000,"已关闭",缺陷明细!$J$2:$J$50000,"单元测试")</f>
        <v>0</v>
      </c>
      <c r="L25" s="156"/>
      <c r="M25" s="157"/>
      <c r="N25" s="72">
        <f>COUNTIFS(缺陷明细!$A$2:$A$50000,$B$4,缺陷明细!$G$2:$G$50000,$C25,缺陷明细!$J$2:$J$50000,"系统测试案例评审",缺陷明细!$AB$2:$AB$50000,"&lt;&gt;丢弃",缺陷明细!$AB$2:$AB$50000,"&lt;&gt;设计如此",缺陷明细!$AB$2:$AB$50000,"&lt;&gt;重复Bug")</f>
        <v>0</v>
      </c>
      <c r="O25" s="72">
        <f>COUNTIFS(缺陷明细!$A$2:$A$50000,$B$4,缺陷明细!$G$2:$G$50000,$C25,缺陷明细!$Q$2:$Q$50000,"已关闭",缺陷明细!$J$2:$J$50000,"系统测试案例评审")</f>
        <v>0</v>
      </c>
      <c r="P25" s="72">
        <f>COUNTIFS(缺陷明细!$A$2:$A$50000,$B$4,缺陷明细!$G$2:$G$50000,$C25,缺陷明细!$J$2:$J$50000,"系统测试",缺陷明细!$AB$2:$AB$50000,"&lt;&gt;丢弃",缺陷明细!$AB$2:$AB$50000,"&lt;&gt;设计如此",缺陷明细!$AB$2:$AB$50000,"&lt;&gt;重复Bug")</f>
        <v>0</v>
      </c>
      <c r="Q25" s="72">
        <f>COUNTIFS(缺陷明细!$A$2:$A$50000,$B$4,缺陷明细!$G$2:$G$50000,$C25,缺陷明细!$Q$2:$Q$50000,"已关闭",缺陷明细!$J$2:$J$50000,"系统测试")</f>
        <v>0</v>
      </c>
      <c r="R25" s="296">
        <f>COUNTIFS(缺陷明细!$A$2:$A$50000,$B$4,缺陷明细!$G$2:$G$50000,$C25,缺陷明细!$AB$2:$AB$50000,"丢弃",缺陷明细!$J$2:$J$50000,"系统测试")+COUNTIFS(缺陷明细!$A$2:$A$50000,$B$4,缺陷明细!$G$2:$G$50000,$C25,缺陷明细!$AB$2:$AB$50000,"设计如此",缺陷明细!$J$2:$J$50000,"系统测试")+COUNTIFS(缺陷明细!$A$2:$A$50000,$B$4,缺陷明细!$G$2:$G$50000,$C25,缺陷明细!$AB$2:$AB$50000,"重复Bug",缺陷明细!$J$2:$J$50000,"系统测试")</f>
        <v>0</v>
      </c>
      <c r="S25" s="72">
        <f>COUNTIFS(缺陷明细!$A$2:$A$50000,$B$4,缺陷明细!$G$2:$G$50000,$C25,缺陷明细!$J$2:$J$50000,"系统测试",缺陷明细!$K$2:$K$50000,"致命",缺陷明细!$AB$2:$AB$50000,"&lt;&gt;丢弃",缺陷明细!$AB$2:$AB$50000,"&lt;&gt;设计如此",缺陷明细!$AB$2:$AB$50000,"&lt;&gt;重复Bug")+COUNTIFS(缺陷明细!$A$2:$A$50000,$B$4,缺陷明细!$G$2:$G$50000,$C25,缺陷明细!$J$2:$J$50000,"系统测试",缺陷明细!$K$2:$K$50000,"严重",缺陷明细!$AB$2:$AB$50000,"&lt;&gt;丢弃",缺陷明细!$AB$2:$AB$50000,"&lt;&gt;设计如此",缺陷明细!$AB$2:$AB$50000,"&lt;&gt;重复Bug")</f>
        <v>0</v>
      </c>
      <c r="T25" s="73">
        <f>COUNTIFS(缺陷明细!$A$2:$A$50000,$B$4,缺陷明细!$G$2:$G$50000,$C25,缺陷明细!$Q$2:$Q$50000,"已关闭",缺陷明细!$J$2:$J$50000,"系统测试",缺陷明细!$K$2:$K$50000,"致命")+COUNTIFS(缺陷明细!$A$2:$A$50000,$B$4,缺陷明细!$G$2:$G$50000,$C25,缺陷明细!$Q$2:$Q$50000,"已关闭",缺陷明细!$J$2:$J$50000,"系统测试",缺陷明细!$K$2:$K$50000,"严重")</f>
        <v>0</v>
      </c>
      <c r="U25" s="74">
        <f>COUNTIFS(缺陷明细!$A$2:$A$50000,$B$4,缺陷明细!$G$2:$G$50000,$C25,缺陷明细!$J$2:$J$50000,"验收测试",缺陷明细!$AB$2:$AB$50000,"&lt;&gt;丢弃",缺陷明细!$AB$2:$AB$50000,"&lt;&gt;设计如此",缺陷明细!$AB$2:$AB$50000,"&lt;&gt;重复Bug")</f>
        <v>0</v>
      </c>
      <c r="V25" s="75">
        <f>COUNTIFS(缺陷明细!$A$2:$A$50000,$B$4,缺陷明细!$G$2:$G$50000,$C25,缺陷明细!$Q$2:$Q$50000,"已关闭",缺陷明细!$J$2:$J$50000,"验收测试")</f>
        <v>0</v>
      </c>
      <c r="W25" s="75">
        <f>COUNTIFS(缺陷明细!$A$2:$A$50000,$B$4,缺陷明细!$G$2:$G$50000,$C25,缺陷明细!$J$2:$J$50000,"验收测试",缺陷明细!$K$2:$K$50000,"致命",缺陷明细!$AB$2:$AB$50000,"&lt;&gt;丢弃",缺陷明细!$AB$2:$AB$50000,"&lt;&gt;设计如此",缺陷明细!$AB$2:$AB$50000,"&lt;&gt;重复Bug")+COUNTIFS(缺陷明细!$A$2:$A$50000,$B$4,缺陷明细!$G$2:$G$50000,$C25,缺陷明细!$J$2:$J$50000,"验收测试",缺陷明细!$K$2:$K$50000,"严重",缺陷明细!$AB$2:$AB$50000,"&lt;&gt;丢弃",缺陷明细!$AB$2:$AB$50000,"&lt;&gt;设计如此",缺陷明细!$AB$2:$AB$50000,"&lt;&gt;重复Bug")</f>
        <v>0</v>
      </c>
      <c r="X25" s="76">
        <f>COUNTIFS(缺陷明细!$A$2:$A$50000,$B$4,缺陷明细!$G$2:$G$50000,$C25,缺陷明细!$Q$2:$Q$50000,"已关闭",缺陷明细!$J$2:$J$50000,"验收测试",缺陷明细!$K$2:$K$50000,"致命")+COUNTIFS(缺陷明细!$A$2:$A$50000,$B$4,缺陷明细!$G$2:$G$50000,$C25,缺陷明细!$Q$2:$Q$50000,"已关闭",缺陷明细!$J$2:$J$50000,"验收测试",缺陷明细!$K$2:$K$50000,"严重")</f>
        <v>0</v>
      </c>
      <c r="Y25" s="70">
        <f>COUNTIFS(缺陷明细!$A$2:$A$50000,$B$4,缺陷明细!$G$2:$G$50000,$C25,缺陷明细!$J$2:$J$50000,"运维测试",缺陷明细!$AB$2:$AB$50000,"&lt;&gt;丢弃",缺陷明细!$AB$2:$AB$50000,"&lt;&gt;设计如此",缺陷明细!$AB$2:$AB$50000,"&lt;&gt;重复Bug")</f>
        <v>0</v>
      </c>
      <c r="Z25" s="71">
        <f>COUNTIFS(缺陷明细!$A$2:$A$50000,$B$4,缺陷明细!$G$2:$G$50000,$C25,缺陷明细!$Q$2:$Q$50000,"已关闭",缺陷明细!$J$2:$J$50000,"运维测试")</f>
        <v>0</v>
      </c>
      <c r="AA25" s="72">
        <f>COUNTIFS(缺陷明细!$A$2:$A$50000,$B$4,缺陷明细!$G$2:$G$50000,$C25,缺陷明细!$J$2:$J$50000,"运维测试",缺陷明细!$K$2:$K$50000,"致命",缺陷明细!$AB$2:$AB$50000,"&lt;&gt;丢弃",缺陷明细!$AB$2:$AB$50000,"&lt;&gt;设计如此",缺陷明细!$AB$2:$AB$50000,"&lt;&gt;重复Bug")+COUNTIFS(缺陷明细!$A$2:$A$50000,$B$4,缺陷明细!$G$2:$G$50000,$C25,缺陷明细!$J$2:$J$50000,"运维测试",缺陷明细!$K$2:$K$50000,"严重",缺陷明细!$AB$2:$AB$50000,"&lt;&gt;丢弃",缺陷明细!$AB$2:$AB$50000,"&lt;&gt;设计如此",缺陷明细!$AB$2:$AB$50000,"&lt;&gt;重复Bug")</f>
        <v>0</v>
      </c>
      <c r="AB25" s="73">
        <f>COUNTIFS(缺陷明细!$A$2:$A$50000,$B$4,缺陷明细!$G$2:$G$50000,$C25,缺陷明细!$Q$2:$Q$50000,"已关闭",缺陷明细!$J$2:$J$50000,"运维测试",缺陷明细!$K$2:$K$50000,"致命")+COUNTIFS(缺陷明细!$A$2:$A$50000,$B$4,缺陷明细!$G$2:$G$50000,$C25,缺陷明细!$Q$2:$Q$50000,"已关闭",缺陷明细!$J$2:$J$50000,"运维测试",缺陷明细!$K$2:$K$50000,"严重")</f>
        <v>0</v>
      </c>
      <c r="AC25" s="68">
        <f t="shared" si="0"/>
        <v>0</v>
      </c>
      <c r="AD25" s="60">
        <f t="shared" si="0"/>
        <v>0</v>
      </c>
      <c r="AE25" s="60">
        <f t="shared" si="1"/>
        <v>0</v>
      </c>
      <c r="AF25" s="60">
        <f t="shared" si="1"/>
        <v>0</v>
      </c>
      <c r="AG25" s="60">
        <f t="shared" si="2"/>
        <v>0</v>
      </c>
      <c r="AH25" s="60">
        <f t="shared" si="2"/>
        <v>0</v>
      </c>
      <c r="AI25" s="60">
        <f t="shared" si="3"/>
        <v>0</v>
      </c>
      <c r="AJ25" s="61">
        <f t="shared" si="3"/>
        <v>0</v>
      </c>
      <c r="AK25" s="144"/>
    </row>
    <row r="26" spans="1:37">
      <c r="A26">
        <v>22</v>
      </c>
      <c r="B26" s="57"/>
      <c r="C26" s="58"/>
      <c r="D26" s="84"/>
      <c r="E26" s="82"/>
      <c r="F26" s="158"/>
      <c r="G26" s="159"/>
      <c r="H26" s="281">
        <f>COUNTIFS(缺陷明细!$A$2:$A$50000,$B$4,缺陷明细!$G$2:$G$50000,$C26,缺陷明细!$J$2:$J$50000,"评审",缺陷明细!$AB$2:$AB$50000,"&lt;&gt;丢弃",缺陷明细!$AB$2:$AB$50000,"&lt;&gt;设计如此",缺陷明细!$AB$2:$AB$50000,"&lt;&gt;重复Bug")</f>
        <v>0</v>
      </c>
      <c r="I26" s="154">
        <f>COUNTIFS(缺陷明细!$A$2:$A$50000,$B$4,缺陷明细!$G$2:$G$50000,$C26,缺陷明细!$Q$2:$Q$50000,"已关闭",缺陷明细!$J$2:$J$50000,"评审")</f>
        <v>0</v>
      </c>
      <c r="J26" s="154">
        <f>COUNTIFS(缺陷明细!$A$2:$A$50000,$B$4,缺陷明细!$G$2:$G$50000,$C26,缺陷明细!$J$2:$J$50000,"单元测试",缺陷明细!$AB$2:$AB$50000,"&lt;&gt;丢弃",缺陷明细!$AB$2:$AB$50000,"&lt;&gt;设计如此",缺陷明细!$AB$2:$AB$50000,"&lt;&gt;重复Bug")</f>
        <v>0</v>
      </c>
      <c r="K26" s="155">
        <f>COUNTIFS(缺陷明细!$A$2:$A$50000,$B$4,缺陷明细!$G$2:$G$50000,$C26,缺陷明细!$Q$2:$Q$50000,"已关闭",缺陷明细!$J$2:$J$50000,"单元测试")</f>
        <v>0</v>
      </c>
      <c r="L26" s="156"/>
      <c r="M26" s="157"/>
      <c r="N26" s="72">
        <f>COUNTIFS(缺陷明细!$A$2:$A$50000,$B$4,缺陷明细!$G$2:$G$50000,$C26,缺陷明细!$J$2:$J$50000,"系统测试案例评审",缺陷明细!$AB$2:$AB$50000,"&lt;&gt;丢弃",缺陷明细!$AB$2:$AB$50000,"&lt;&gt;设计如此",缺陷明细!$AB$2:$AB$50000,"&lt;&gt;重复Bug")</f>
        <v>0</v>
      </c>
      <c r="O26" s="72">
        <f>COUNTIFS(缺陷明细!$A$2:$A$50000,$B$4,缺陷明细!$G$2:$G$50000,$C26,缺陷明细!$Q$2:$Q$50000,"已关闭",缺陷明细!$J$2:$J$50000,"系统测试案例评审")</f>
        <v>0</v>
      </c>
      <c r="P26" s="72">
        <f>COUNTIFS(缺陷明细!$A$2:$A$50000,$B$4,缺陷明细!$G$2:$G$50000,$C26,缺陷明细!$J$2:$J$50000,"系统测试",缺陷明细!$AB$2:$AB$50000,"&lt;&gt;丢弃",缺陷明细!$AB$2:$AB$50000,"&lt;&gt;设计如此",缺陷明细!$AB$2:$AB$50000,"&lt;&gt;重复Bug")</f>
        <v>0</v>
      </c>
      <c r="Q26" s="72">
        <f>COUNTIFS(缺陷明细!$A$2:$A$50000,$B$4,缺陷明细!$G$2:$G$50000,$C26,缺陷明细!$Q$2:$Q$50000,"已关闭",缺陷明细!$J$2:$J$50000,"系统测试")</f>
        <v>0</v>
      </c>
      <c r="R26" s="296">
        <f>COUNTIFS(缺陷明细!$A$2:$A$50000,$B$4,缺陷明细!$G$2:$G$50000,$C26,缺陷明细!$AB$2:$AB$50000,"丢弃",缺陷明细!$J$2:$J$50000,"系统测试")+COUNTIFS(缺陷明细!$A$2:$A$50000,$B$4,缺陷明细!$G$2:$G$50000,$C26,缺陷明细!$AB$2:$AB$50000,"设计如此",缺陷明细!$J$2:$J$50000,"系统测试")+COUNTIFS(缺陷明细!$A$2:$A$50000,$B$4,缺陷明细!$G$2:$G$50000,$C26,缺陷明细!$AB$2:$AB$50000,"重复Bug",缺陷明细!$J$2:$J$50000,"系统测试")</f>
        <v>0</v>
      </c>
      <c r="S26" s="72">
        <f>COUNTIFS(缺陷明细!$A$2:$A$50000,$B$4,缺陷明细!$G$2:$G$50000,$C26,缺陷明细!$J$2:$J$50000,"系统测试",缺陷明细!$K$2:$K$50000,"致命",缺陷明细!$AB$2:$AB$50000,"&lt;&gt;丢弃",缺陷明细!$AB$2:$AB$50000,"&lt;&gt;设计如此",缺陷明细!$AB$2:$AB$50000,"&lt;&gt;重复Bug")+COUNTIFS(缺陷明细!$A$2:$A$50000,$B$4,缺陷明细!$G$2:$G$50000,$C26,缺陷明细!$J$2:$J$50000,"系统测试",缺陷明细!$K$2:$K$50000,"严重",缺陷明细!$AB$2:$AB$50000,"&lt;&gt;丢弃",缺陷明细!$AB$2:$AB$50000,"&lt;&gt;设计如此",缺陷明细!$AB$2:$AB$50000,"&lt;&gt;重复Bug")</f>
        <v>0</v>
      </c>
      <c r="T26" s="73">
        <f>COUNTIFS(缺陷明细!$A$2:$A$50000,$B$4,缺陷明细!$G$2:$G$50000,$C26,缺陷明细!$Q$2:$Q$50000,"已关闭",缺陷明细!$J$2:$J$50000,"系统测试",缺陷明细!$K$2:$K$50000,"致命")+COUNTIFS(缺陷明细!$A$2:$A$50000,$B$4,缺陷明细!$G$2:$G$50000,$C26,缺陷明细!$Q$2:$Q$50000,"已关闭",缺陷明细!$J$2:$J$50000,"系统测试",缺陷明细!$K$2:$K$50000,"严重")</f>
        <v>0</v>
      </c>
      <c r="U26" s="74">
        <f>COUNTIFS(缺陷明细!$A$2:$A$50000,$B$4,缺陷明细!$G$2:$G$50000,$C26,缺陷明细!$J$2:$J$50000,"验收测试",缺陷明细!$AB$2:$AB$50000,"&lt;&gt;丢弃",缺陷明细!$AB$2:$AB$50000,"&lt;&gt;设计如此",缺陷明细!$AB$2:$AB$50000,"&lt;&gt;重复Bug")</f>
        <v>0</v>
      </c>
      <c r="V26" s="75">
        <f>COUNTIFS(缺陷明细!$A$2:$A$50000,$B$4,缺陷明细!$G$2:$G$50000,$C26,缺陷明细!$Q$2:$Q$50000,"已关闭",缺陷明细!$J$2:$J$50000,"验收测试")</f>
        <v>0</v>
      </c>
      <c r="W26" s="75">
        <f>COUNTIFS(缺陷明细!$A$2:$A$50000,$B$4,缺陷明细!$G$2:$G$50000,$C26,缺陷明细!$J$2:$J$50000,"验收测试",缺陷明细!$K$2:$K$50000,"致命",缺陷明细!$AB$2:$AB$50000,"&lt;&gt;丢弃",缺陷明细!$AB$2:$AB$50000,"&lt;&gt;设计如此",缺陷明细!$AB$2:$AB$50000,"&lt;&gt;重复Bug")+COUNTIFS(缺陷明细!$A$2:$A$50000,$B$4,缺陷明细!$G$2:$G$50000,$C26,缺陷明细!$J$2:$J$50000,"验收测试",缺陷明细!$K$2:$K$50000,"严重",缺陷明细!$AB$2:$AB$50000,"&lt;&gt;丢弃",缺陷明细!$AB$2:$AB$50000,"&lt;&gt;设计如此",缺陷明细!$AB$2:$AB$50000,"&lt;&gt;重复Bug")</f>
        <v>0</v>
      </c>
      <c r="X26" s="76">
        <f>COUNTIFS(缺陷明细!$A$2:$A$50000,$B$4,缺陷明细!$G$2:$G$50000,$C26,缺陷明细!$Q$2:$Q$50000,"已关闭",缺陷明细!$J$2:$J$50000,"验收测试",缺陷明细!$K$2:$K$50000,"致命")+COUNTIFS(缺陷明细!$A$2:$A$50000,$B$4,缺陷明细!$G$2:$G$50000,$C26,缺陷明细!$Q$2:$Q$50000,"已关闭",缺陷明细!$J$2:$J$50000,"验收测试",缺陷明细!$K$2:$K$50000,"严重")</f>
        <v>0</v>
      </c>
      <c r="Y26" s="70">
        <f>COUNTIFS(缺陷明细!$A$2:$A$50000,$B$4,缺陷明细!$G$2:$G$50000,$C26,缺陷明细!$J$2:$J$50000,"运维测试",缺陷明细!$AB$2:$AB$50000,"&lt;&gt;丢弃",缺陷明细!$AB$2:$AB$50000,"&lt;&gt;设计如此",缺陷明细!$AB$2:$AB$50000,"&lt;&gt;重复Bug")</f>
        <v>0</v>
      </c>
      <c r="Z26" s="71">
        <f>COUNTIFS(缺陷明细!$A$2:$A$50000,$B$4,缺陷明细!$G$2:$G$50000,$C26,缺陷明细!$Q$2:$Q$50000,"已关闭",缺陷明细!$J$2:$J$50000,"运维测试")</f>
        <v>0</v>
      </c>
      <c r="AA26" s="72">
        <f>COUNTIFS(缺陷明细!$A$2:$A$50000,$B$4,缺陷明细!$G$2:$G$50000,$C26,缺陷明细!$J$2:$J$50000,"运维测试",缺陷明细!$K$2:$K$50000,"致命",缺陷明细!$AB$2:$AB$50000,"&lt;&gt;丢弃",缺陷明细!$AB$2:$AB$50000,"&lt;&gt;设计如此",缺陷明细!$AB$2:$AB$50000,"&lt;&gt;重复Bug")+COUNTIFS(缺陷明细!$A$2:$A$50000,$B$4,缺陷明细!$G$2:$G$50000,$C26,缺陷明细!$J$2:$J$50000,"运维测试",缺陷明细!$K$2:$K$50000,"严重",缺陷明细!$AB$2:$AB$50000,"&lt;&gt;丢弃",缺陷明细!$AB$2:$AB$50000,"&lt;&gt;设计如此",缺陷明细!$AB$2:$AB$50000,"&lt;&gt;重复Bug")</f>
        <v>0</v>
      </c>
      <c r="AB26" s="73">
        <f>COUNTIFS(缺陷明细!$A$2:$A$50000,$B$4,缺陷明细!$G$2:$G$50000,$C26,缺陷明细!$Q$2:$Q$50000,"已关闭",缺陷明细!$J$2:$J$50000,"运维测试",缺陷明细!$K$2:$K$50000,"致命")+COUNTIFS(缺陷明细!$A$2:$A$50000,$B$4,缺陷明细!$G$2:$G$50000,$C26,缺陷明细!$Q$2:$Q$50000,"已关闭",缺陷明细!$J$2:$J$50000,"运维测试",缺陷明细!$K$2:$K$50000,"严重")</f>
        <v>0</v>
      </c>
      <c r="AC26" s="68">
        <f t="shared" si="0"/>
        <v>0</v>
      </c>
      <c r="AD26" s="60">
        <f t="shared" si="0"/>
        <v>0</v>
      </c>
      <c r="AE26" s="60">
        <f t="shared" si="1"/>
        <v>0</v>
      </c>
      <c r="AF26" s="60">
        <f t="shared" si="1"/>
        <v>0</v>
      </c>
      <c r="AG26" s="60">
        <f t="shared" si="2"/>
        <v>0</v>
      </c>
      <c r="AH26" s="60">
        <f t="shared" si="2"/>
        <v>0</v>
      </c>
      <c r="AI26" s="60">
        <f t="shared" si="3"/>
        <v>0</v>
      </c>
      <c r="AJ26" s="61">
        <f t="shared" si="3"/>
        <v>0</v>
      </c>
      <c r="AK26" s="144"/>
    </row>
    <row r="27" spans="1:37">
      <c r="A27">
        <v>23</v>
      </c>
      <c r="B27" s="57"/>
      <c r="C27" s="58"/>
      <c r="D27" s="84"/>
      <c r="E27" s="82"/>
      <c r="F27" s="158"/>
      <c r="G27" s="159"/>
      <c r="H27" s="281">
        <f>COUNTIFS(缺陷明细!$A$2:$A$50000,$B$4,缺陷明细!$G$2:$G$50000,$C27,缺陷明细!$J$2:$J$50000,"评审",缺陷明细!$AB$2:$AB$50000,"&lt;&gt;丢弃",缺陷明细!$AB$2:$AB$50000,"&lt;&gt;设计如此",缺陷明细!$AB$2:$AB$50000,"&lt;&gt;重复Bug")</f>
        <v>0</v>
      </c>
      <c r="I27" s="154">
        <f>COUNTIFS(缺陷明细!$A$2:$A$50000,$B$4,缺陷明细!$G$2:$G$50000,$C27,缺陷明细!$Q$2:$Q$50000,"已关闭",缺陷明细!$J$2:$J$50000,"评审")</f>
        <v>0</v>
      </c>
      <c r="J27" s="154">
        <f>COUNTIFS(缺陷明细!$A$2:$A$50000,$B$4,缺陷明细!$G$2:$G$50000,$C27,缺陷明细!$J$2:$J$50000,"单元测试",缺陷明细!$AB$2:$AB$50000,"&lt;&gt;丢弃",缺陷明细!$AB$2:$AB$50000,"&lt;&gt;设计如此",缺陷明细!$AB$2:$AB$50000,"&lt;&gt;重复Bug")</f>
        <v>0</v>
      </c>
      <c r="K27" s="155">
        <f>COUNTIFS(缺陷明细!$A$2:$A$50000,$B$4,缺陷明细!$G$2:$G$50000,$C27,缺陷明细!$Q$2:$Q$50000,"已关闭",缺陷明细!$J$2:$J$50000,"单元测试")</f>
        <v>0</v>
      </c>
      <c r="L27" s="156"/>
      <c r="M27" s="157"/>
      <c r="N27" s="72">
        <f>COUNTIFS(缺陷明细!$A$2:$A$50000,$B$4,缺陷明细!$G$2:$G$50000,$C27,缺陷明细!$J$2:$J$50000,"系统测试案例评审",缺陷明细!$AB$2:$AB$50000,"&lt;&gt;丢弃",缺陷明细!$AB$2:$AB$50000,"&lt;&gt;设计如此",缺陷明细!$AB$2:$AB$50000,"&lt;&gt;重复Bug")</f>
        <v>0</v>
      </c>
      <c r="O27" s="72">
        <f>COUNTIFS(缺陷明细!$A$2:$A$50000,$B$4,缺陷明细!$G$2:$G$50000,$C27,缺陷明细!$Q$2:$Q$50000,"已关闭",缺陷明细!$J$2:$J$50000,"系统测试案例评审")</f>
        <v>0</v>
      </c>
      <c r="P27" s="72">
        <f>COUNTIFS(缺陷明细!$A$2:$A$50000,$B$4,缺陷明细!$G$2:$G$50000,$C27,缺陷明细!$J$2:$J$50000,"系统测试",缺陷明细!$AB$2:$AB$50000,"&lt;&gt;丢弃",缺陷明细!$AB$2:$AB$50000,"&lt;&gt;设计如此",缺陷明细!$AB$2:$AB$50000,"&lt;&gt;重复Bug")</f>
        <v>0</v>
      </c>
      <c r="Q27" s="72">
        <f>COUNTIFS(缺陷明细!$A$2:$A$50000,$B$4,缺陷明细!$G$2:$G$50000,$C27,缺陷明细!$Q$2:$Q$50000,"已关闭",缺陷明细!$J$2:$J$50000,"系统测试")</f>
        <v>0</v>
      </c>
      <c r="R27" s="296">
        <f>COUNTIFS(缺陷明细!$A$2:$A$50000,$B$4,缺陷明细!$G$2:$G$50000,$C27,缺陷明细!$AB$2:$AB$50000,"丢弃",缺陷明细!$J$2:$J$50000,"系统测试")+COUNTIFS(缺陷明细!$A$2:$A$50000,$B$4,缺陷明细!$G$2:$G$50000,$C27,缺陷明细!$AB$2:$AB$50000,"设计如此",缺陷明细!$J$2:$J$50000,"系统测试")+COUNTIFS(缺陷明细!$A$2:$A$50000,$B$4,缺陷明细!$G$2:$G$50000,$C27,缺陷明细!$AB$2:$AB$50000,"重复Bug",缺陷明细!$J$2:$J$50000,"系统测试")</f>
        <v>0</v>
      </c>
      <c r="S27" s="72">
        <f>COUNTIFS(缺陷明细!$A$2:$A$50000,$B$4,缺陷明细!$G$2:$G$50000,$C27,缺陷明细!$J$2:$J$50000,"系统测试",缺陷明细!$K$2:$K$50000,"致命",缺陷明细!$AB$2:$AB$50000,"&lt;&gt;丢弃",缺陷明细!$AB$2:$AB$50000,"&lt;&gt;设计如此",缺陷明细!$AB$2:$AB$50000,"&lt;&gt;重复Bug")+COUNTIFS(缺陷明细!$A$2:$A$50000,$B$4,缺陷明细!$G$2:$G$50000,$C27,缺陷明细!$J$2:$J$50000,"系统测试",缺陷明细!$K$2:$K$50000,"严重",缺陷明细!$AB$2:$AB$50000,"&lt;&gt;丢弃",缺陷明细!$AB$2:$AB$50000,"&lt;&gt;设计如此",缺陷明细!$AB$2:$AB$50000,"&lt;&gt;重复Bug")</f>
        <v>0</v>
      </c>
      <c r="T27" s="73">
        <f>COUNTIFS(缺陷明细!$A$2:$A$50000,$B$4,缺陷明细!$G$2:$G$50000,$C27,缺陷明细!$Q$2:$Q$50000,"已关闭",缺陷明细!$J$2:$J$50000,"系统测试",缺陷明细!$K$2:$K$50000,"致命")+COUNTIFS(缺陷明细!$A$2:$A$50000,$B$4,缺陷明细!$G$2:$G$50000,$C27,缺陷明细!$Q$2:$Q$50000,"已关闭",缺陷明细!$J$2:$J$50000,"系统测试",缺陷明细!$K$2:$K$50000,"严重")</f>
        <v>0</v>
      </c>
      <c r="U27" s="74">
        <f>COUNTIFS(缺陷明细!$A$2:$A$50000,$B$4,缺陷明细!$G$2:$G$50000,$C27,缺陷明细!$J$2:$J$50000,"验收测试",缺陷明细!$AB$2:$AB$50000,"&lt;&gt;丢弃",缺陷明细!$AB$2:$AB$50000,"&lt;&gt;设计如此",缺陷明细!$AB$2:$AB$50000,"&lt;&gt;重复Bug")</f>
        <v>0</v>
      </c>
      <c r="V27" s="75">
        <f>COUNTIFS(缺陷明细!$A$2:$A$50000,$B$4,缺陷明细!$G$2:$G$50000,$C27,缺陷明细!$Q$2:$Q$50000,"已关闭",缺陷明细!$J$2:$J$50000,"验收测试")</f>
        <v>0</v>
      </c>
      <c r="W27" s="75">
        <f>COUNTIFS(缺陷明细!$A$2:$A$50000,$B$4,缺陷明细!$G$2:$G$50000,$C27,缺陷明细!$J$2:$J$50000,"验收测试",缺陷明细!$K$2:$K$50000,"致命",缺陷明细!$AB$2:$AB$50000,"&lt;&gt;丢弃",缺陷明细!$AB$2:$AB$50000,"&lt;&gt;设计如此",缺陷明细!$AB$2:$AB$50000,"&lt;&gt;重复Bug")+COUNTIFS(缺陷明细!$A$2:$A$50000,$B$4,缺陷明细!$G$2:$G$50000,$C27,缺陷明细!$J$2:$J$50000,"验收测试",缺陷明细!$K$2:$K$50000,"严重",缺陷明细!$AB$2:$AB$50000,"&lt;&gt;丢弃",缺陷明细!$AB$2:$AB$50000,"&lt;&gt;设计如此",缺陷明细!$AB$2:$AB$50000,"&lt;&gt;重复Bug")</f>
        <v>0</v>
      </c>
      <c r="X27" s="76">
        <f>COUNTIFS(缺陷明细!$A$2:$A$50000,$B$4,缺陷明细!$G$2:$G$50000,$C27,缺陷明细!$Q$2:$Q$50000,"已关闭",缺陷明细!$J$2:$J$50000,"验收测试",缺陷明细!$K$2:$K$50000,"致命")+COUNTIFS(缺陷明细!$A$2:$A$50000,$B$4,缺陷明细!$G$2:$G$50000,$C27,缺陷明细!$Q$2:$Q$50000,"已关闭",缺陷明细!$J$2:$J$50000,"验收测试",缺陷明细!$K$2:$K$50000,"严重")</f>
        <v>0</v>
      </c>
      <c r="Y27" s="70">
        <f>COUNTIFS(缺陷明细!$A$2:$A$50000,$B$4,缺陷明细!$G$2:$G$50000,$C27,缺陷明细!$J$2:$J$50000,"运维测试",缺陷明细!$AB$2:$AB$50000,"&lt;&gt;丢弃",缺陷明细!$AB$2:$AB$50000,"&lt;&gt;设计如此",缺陷明细!$AB$2:$AB$50000,"&lt;&gt;重复Bug")</f>
        <v>0</v>
      </c>
      <c r="Z27" s="71">
        <f>COUNTIFS(缺陷明细!$A$2:$A$50000,$B$4,缺陷明细!$G$2:$G$50000,$C27,缺陷明细!$Q$2:$Q$50000,"已关闭",缺陷明细!$J$2:$J$50000,"运维测试")</f>
        <v>0</v>
      </c>
      <c r="AA27" s="72">
        <f>COUNTIFS(缺陷明细!$A$2:$A$50000,$B$4,缺陷明细!$G$2:$G$50000,$C27,缺陷明细!$J$2:$J$50000,"运维测试",缺陷明细!$K$2:$K$50000,"致命",缺陷明细!$AB$2:$AB$50000,"&lt;&gt;丢弃",缺陷明细!$AB$2:$AB$50000,"&lt;&gt;设计如此",缺陷明细!$AB$2:$AB$50000,"&lt;&gt;重复Bug")+COUNTIFS(缺陷明细!$A$2:$A$50000,$B$4,缺陷明细!$G$2:$G$50000,$C27,缺陷明细!$J$2:$J$50000,"运维测试",缺陷明细!$K$2:$K$50000,"严重",缺陷明细!$AB$2:$AB$50000,"&lt;&gt;丢弃",缺陷明细!$AB$2:$AB$50000,"&lt;&gt;设计如此",缺陷明细!$AB$2:$AB$50000,"&lt;&gt;重复Bug")</f>
        <v>0</v>
      </c>
      <c r="AB27" s="73">
        <f>COUNTIFS(缺陷明细!$A$2:$A$50000,$B$4,缺陷明细!$G$2:$G$50000,$C27,缺陷明细!$Q$2:$Q$50000,"已关闭",缺陷明细!$J$2:$J$50000,"运维测试",缺陷明细!$K$2:$K$50000,"致命")+COUNTIFS(缺陷明细!$A$2:$A$50000,$B$4,缺陷明细!$G$2:$G$50000,$C27,缺陷明细!$Q$2:$Q$50000,"已关闭",缺陷明细!$J$2:$J$50000,"运维测试",缺陷明细!$K$2:$K$50000,"严重")</f>
        <v>0</v>
      </c>
      <c r="AC27" s="68">
        <f t="shared" si="0"/>
        <v>0</v>
      </c>
      <c r="AD27" s="60">
        <f t="shared" si="0"/>
        <v>0</v>
      </c>
      <c r="AE27" s="60">
        <f t="shared" si="1"/>
        <v>0</v>
      </c>
      <c r="AF27" s="60">
        <f t="shared" si="1"/>
        <v>0</v>
      </c>
      <c r="AG27" s="60">
        <f t="shared" si="2"/>
        <v>0</v>
      </c>
      <c r="AH27" s="60">
        <f t="shared" si="2"/>
        <v>0</v>
      </c>
      <c r="AI27" s="60">
        <f t="shared" si="3"/>
        <v>0</v>
      </c>
      <c r="AJ27" s="61">
        <f t="shared" si="3"/>
        <v>0</v>
      </c>
      <c r="AK27" s="144"/>
    </row>
    <row r="28" spans="1:37">
      <c r="A28">
        <v>24</v>
      </c>
      <c r="B28" s="57"/>
      <c r="C28" s="58"/>
      <c r="D28" s="84"/>
      <c r="E28" s="82"/>
      <c r="F28" s="158"/>
      <c r="G28" s="159"/>
      <c r="H28" s="281">
        <f>COUNTIFS(缺陷明细!$A$2:$A$50000,$B$4,缺陷明细!$G$2:$G$50000,$C28,缺陷明细!$J$2:$J$50000,"评审",缺陷明细!$AB$2:$AB$50000,"&lt;&gt;丢弃",缺陷明细!$AB$2:$AB$50000,"&lt;&gt;设计如此",缺陷明细!$AB$2:$AB$50000,"&lt;&gt;重复Bug")</f>
        <v>0</v>
      </c>
      <c r="I28" s="154">
        <f>COUNTIFS(缺陷明细!$A$2:$A$50000,$B$4,缺陷明细!$G$2:$G$50000,$C28,缺陷明细!$Q$2:$Q$50000,"已关闭",缺陷明细!$J$2:$J$50000,"评审")</f>
        <v>0</v>
      </c>
      <c r="J28" s="154">
        <f>COUNTIFS(缺陷明细!$A$2:$A$50000,$B$4,缺陷明细!$G$2:$G$50000,$C28,缺陷明细!$J$2:$J$50000,"单元测试",缺陷明细!$AB$2:$AB$50000,"&lt;&gt;丢弃",缺陷明细!$AB$2:$AB$50000,"&lt;&gt;设计如此",缺陷明细!$AB$2:$AB$50000,"&lt;&gt;重复Bug")</f>
        <v>0</v>
      </c>
      <c r="K28" s="155">
        <f>COUNTIFS(缺陷明细!$A$2:$A$50000,$B$4,缺陷明细!$G$2:$G$50000,$C28,缺陷明细!$Q$2:$Q$50000,"已关闭",缺陷明细!$J$2:$J$50000,"单元测试")</f>
        <v>0</v>
      </c>
      <c r="L28" s="156"/>
      <c r="M28" s="157"/>
      <c r="N28" s="72">
        <f>COUNTIFS(缺陷明细!$A$2:$A$50000,$B$4,缺陷明细!$G$2:$G$50000,$C28,缺陷明细!$J$2:$J$50000,"系统测试案例评审",缺陷明细!$AB$2:$AB$50000,"&lt;&gt;丢弃",缺陷明细!$AB$2:$AB$50000,"&lt;&gt;设计如此",缺陷明细!$AB$2:$AB$50000,"&lt;&gt;重复Bug")</f>
        <v>0</v>
      </c>
      <c r="O28" s="72">
        <f>COUNTIFS(缺陷明细!$A$2:$A$50000,$B$4,缺陷明细!$G$2:$G$50000,$C28,缺陷明细!$Q$2:$Q$50000,"已关闭",缺陷明细!$J$2:$J$50000,"系统测试案例评审")</f>
        <v>0</v>
      </c>
      <c r="P28" s="72">
        <f>COUNTIFS(缺陷明细!$A$2:$A$50000,$B$4,缺陷明细!$G$2:$G$50000,$C28,缺陷明细!$J$2:$J$50000,"系统测试",缺陷明细!$AB$2:$AB$50000,"&lt;&gt;丢弃",缺陷明细!$AB$2:$AB$50000,"&lt;&gt;设计如此",缺陷明细!$AB$2:$AB$50000,"&lt;&gt;重复Bug")</f>
        <v>0</v>
      </c>
      <c r="Q28" s="72">
        <f>COUNTIFS(缺陷明细!$A$2:$A$50000,$B$4,缺陷明细!$G$2:$G$50000,$C28,缺陷明细!$Q$2:$Q$50000,"已关闭",缺陷明细!$J$2:$J$50000,"系统测试")</f>
        <v>0</v>
      </c>
      <c r="R28" s="296">
        <f>COUNTIFS(缺陷明细!$A$2:$A$50000,$B$4,缺陷明细!$G$2:$G$50000,$C28,缺陷明细!$AB$2:$AB$50000,"丢弃",缺陷明细!$J$2:$J$50000,"系统测试")+COUNTIFS(缺陷明细!$A$2:$A$50000,$B$4,缺陷明细!$G$2:$G$50000,$C28,缺陷明细!$AB$2:$AB$50000,"设计如此",缺陷明细!$J$2:$J$50000,"系统测试")+COUNTIFS(缺陷明细!$A$2:$A$50000,$B$4,缺陷明细!$G$2:$G$50000,$C28,缺陷明细!$AB$2:$AB$50000,"重复Bug",缺陷明细!$J$2:$J$50000,"系统测试")</f>
        <v>0</v>
      </c>
      <c r="S28" s="72">
        <f>COUNTIFS(缺陷明细!$A$2:$A$50000,$B$4,缺陷明细!$G$2:$G$50000,$C28,缺陷明细!$J$2:$J$50000,"系统测试",缺陷明细!$K$2:$K$50000,"致命",缺陷明细!$AB$2:$AB$50000,"&lt;&gt;丢弃",缺陷明细!$AB$2:$AB$50000,"&lt;&gt;设计如此",缺陷明细!$AB$2:$AB$50000,"&lt;&gt;重复Bug")+COUNTIFS(缺陷明细!$A$2:$A$50000,$B$4,缺陷明细!$G$2:$G$50000,$C28,缺陷明细!$J$2:$J$50000,"系统测试",缺陷明细!$K$2:$K$50000,"严重",缺陷明细!$AB$2:$AB$50000,"&lt;&gt;丢弃",缺陷明细!$AB$2:$AB$50000,"&lt;&gt;设计如此",缺陷明细!$AB$2:$AB$50000,"&lt;&gt;重复Bug")</f>
        <v>0</v>
      </c>
      <c r="T28" s="73">
        <f>COUNTIFS(缺陷明细!$A$2:$A$50000,$B$4,缺陷明细!$G$2:$G$50000,$C28,缺陷明细!$Q$2:$Q$50000,"已关闭",缺陷明细!$J$2:$J$50000,"系统测试",缺陷明细!$K$2:$K$50000,"致命")+COUNTIFS(缺陷明细!$A$2:$A$50000,$B$4,缺陷明细!$G$2:$G$50000,$C28,缺陷明细!$Q$2:$Q$50000,"已关闭",缺陷明细!$J$2:$J$50000,"系统测试",缺陷明细!$K$2:$K$50000,"严重")</f>
        <v>0</v>
      </c>
      <c r="U28" s="74">
        <f>COUNTIFS(缺陷明细!$A$2:$A$50000,$B$4,缺陷明细!$G$2:$G$50000,$C28,缺陷明细!$J$2:$J$50000,"验收测试",缺陷明细!$AB$2:$AB$50000,"&lt;&gt;丢弃",缺陷明细!$AB$2:$AB$50000,"&lt;&gt;设计如此",缺陷明细!$AB$2:$AB$50000,"&lt;&gt;重复Bug")</f>
        <v>0</v>
      </c>
      <c r="V28" s="75">
        <f>COUNTIFS(缺陷明细!$A$2:$A$50000,$B$4,缺陷明细!$G$2:$G$50000,$C28,缺陷明细!$Q$2:$Q$50000,"已关闭",缺陷明细!$J$2:$J$50000,"验收测试")</f>
        <v>0</v>
      </c>
      <c r="W28" s="75">
        <f>COUNTIFS(缺陷明细!$A$2:$A$50000,$B$4,缺陷明细!$G$2:$G$50000,$C28,缺陷明细!$J$2:$J$50000,"验收测试",缺陷明细!$K$2:$K$50000,"致命",缺陷明细!$AB$2:$AB$50000,"&lt;&gt;丢弃",缺陷明细!$AB$2:$AB$50000,"&lt;&gt;设计如此",缺陷明细!$AB$2:$AB$50000,"&lt;&gt;重复Bug")+COUNTIFS(缺陷明细!$A$2:$A$50000,$B$4,缺陷明细!$G$2:$G$50000,$C28,缺陷明细!$J$2:$J$50000,"验收测试",缺陷明细!$K$2:$K$50000,"严重",缺陷明细!$AB$2:$AB$50000,"&lt;&gt;丢弃",缺陷明细!$AB$2:$AB$50000,"&lt;&gt;设计如此",缺陷明细!$AB$2:$AB$50000,"&lt;&gt;重复Bug")</f>
        <v>0</v>
      </c>
      <c r="X28" s="76">
        <f>COUNTIFS(缺陷明细!$A$2:$A$50000,$B$4,缺陷明细!$G$2:$G$50000,$C28,缺陷明细!$Q$2:$Q$50000,"已关闭",缺陷明细!$J$2:$J$50000,"验收测试",缺陷明细!$K$2:$K$50000,"致命")+COUNTIFS(缺陷明细!$A$2:$A$50000,$B$4,缺陷明细!$G$2:$G$50000,$C28,缺陷明细!$Q$2:$Q$50000,"已关闭",缺陷明细!$J$2:$J$50000,"验收测试",缺陷明细!$K$2:$K$50000,"严重")</f>
        <v>0</v>
      </c>
      <c r="Y28" s="70">
        <f>COUNTIFS(缺陷明细!$A$2:$A$50000,$B$4,缺陷明细!$G$2:$G$50000,$C28,缺陷明细!$J$2:$J$50000,"运维测试",缺陷明细!$AB$2:$AB$50000,"&lt;&gt;丢弃",缺陷明细!$AB$2:$AB$50000,"&lt;&gt;设计如此",缺陷明细!$AB$2:$AB$50000,"&lt;&gt;重复Bug")</f>
        <v>0</v>
      </c>
      <c r="Z28" s="71">
        <f>COUNTIFS(缺陷明细!$A$2:$A$50000,$B$4,缺陷明细!$G$2:$G$50000,$C28,缺陷明细!$Q$2:$Q$50000,"已关闭",缺陷明细!$J$2:$J$50000,"运维测试")</f>
        <v>0</v>
      </c>
      <c r="AA28" s="72">
        <f>COUNTIFS(缺陷明细!$A$2:$A$50000,$B$4,缺陷明细!$G$2:$G$50000,$C28,缺陷明细!$J$2:$J$50000,"运维测试",缺陷明细!$K$2:$K$50000,"致命",缺陷明细!$AB$2:$AB$50000,"&lt;&gt;丢弃",缺陷明细!$AB$2:$AB$50000,"&lt;&gt;设计如此",缺陷明细!$AB$2:$AB$50000,"&lt;&gt;重复Bug")+COUNTIFS(缺陷明细!$A$2:$A$50000,$B$4,缺陷明细!$G$2:$G$50000,$C28,缺陷明细!$J$2:$J$50000,"运维测试",缺陷明细!$K$2:$K$50000,"严重",缺陷明细!$AB$2:$AB$50000,"&lt;&gt;丢弃",缺陷明细!$AB$2:$AB$50000,"&lt;&gt;设计如此",缺陷明细!$AB$2:$AB$50000,"&lt;&gt;重复Bug")</f>
        <v>0</v>
      </c>
      <c r="AB28" s="73">
        <f>COUNTIFS(缺陷明细!$A$2:$A$50000,$B$4,缺陷明细!$G$2:$G$50000,$C28,缺陷明细!$Q$2:$Q$50000,"已关闭",缺陷明细!$J$2:$J$50000,"运维测试",缺陷明细!$K$2:$K$50000,"致命")+COUNTIFS(缺陷明细!$A$2:$A$50000,$B$4,缺陷明细!$G$2:$G$50000,$C28,缺陷明细!$Q$2:$Q$50000,"已关闭",缺陷明细!$J$2:$J$50000,"运维测试",缺陷明细!$K$2:$K$50000,"严重")</f>
        <v>0</v>
      </c>
      <c r="AC28" s="68">
        <f t="shared" si="0"/>
        <v>0</v>
      </c>
      <c r="AD28" s="60">
        <f t="shared" si="0"/>
        <v>0</v>
      </c>
      <c r="AE28" s="60">
        <f t="shared" si="1"/>
        <v>0</v>
      </c>
      <c r="AF28" s="60">
        <f t="shared" si="1"/>
        <v>0</v>
      </c>
      <c r="AG28" s="60">
        <f t="shared" si="2"/>
        <v>0</v>
      </c>
      <c r="AH28" s="60">
        <f t="shared" si="2"/>
        <v>0</v>
      </c>
      <c r="AI28" s="60">
        <f t="shared" si="3"/>
        <v>0</v>
      </c>
      <c r="AJ28" s="61">
        <f t="shared" si="3"/>
        <v>0</v>
      </c>
      <c r="AK28" s="144"/>
    </row>
    <row r="29" spans="1:37">
      <c r="A29">
        <v>25</v>
      </c>
      <c r="B29" s="57"/>
      <c r="C29" s="58"/>
      <c r="D29" s="84"/>
      <c r="E29" s="82"/>
      <c r="F29" s="158"/>
      <c r="G29" s="159"/>
      <c r="H29" s="281">
        <f>COUNTIFS(缺陷明细!$A$2:$A$50000,$B$4,缺陷明细!$G$2:$G$50000,$C29,缺陷明细!$J$2:$J$50000,"评审",缺陷明细!$AB$2:$AB$50000,"&lt;&gt;丢弃",缺陷明细!$AB$2:$AB$50000,"&lt;&gt;设计如此",缺陷明细!$AB$2:$AB$50000,"&lt;&gt;重复Bug")</f>
        <v>0</v>
      </c>
      <c r="I29" s="154">
        <f>COUNTIFS(缺陷明细!$A$2:$A$50000,$B$4,缺陷明细!$G$2:$G$50000,$C29,缺陷明细!$Q$2:$Q$50000,"已关闭",缺陷明细!$J$2:$J$50000,"评审")</f>
        <v>0</v>
      </c>
      <c r="J29" s="154">
        <f>COUNTIFS(缺陷明细!$A$2:$A$50000,$B$4,缺陷明细!$G$2:$G$50000,$C29,缺陷明细!$J$2:$J$50000,"单元测试",缺陷明细!$AB$2:$AB$50000,"&lt;&gt;丢弃",缺陷明细!$AB$2:$AB$50000,"&lt;&gt;设计如此",缺陷明细!$AB$2:$AB$50000,"&lt;&gt;重复Bug")</f>
        <v>0</v>
      </c>
      <c r="K29" s="155">
        <f>COUNTIFS(缺陷明细!$A$2:$A$50000,$B$4,缺陷明细!$G$2:$G$50000,$C29,缺陷明细!$Q$2:$Q$50000,"已关闭",缺陷明细!$J$2:$J$50000,"单元测试")</f>
        <v>0</v>
      </c>
      <c r="L29" s="156"/>
      <c r="M29" s="157"/>
      <c r="N29" s="72">
        <f>COUNTIFS(缺陷明细!$A$2:$A$50000,$B$4,缺陷明细!$G$2:$G$50000,$C29,缺陷明细!$J$2:$J$50000,"系统测试案例评审",缺陷明细!$AB$2:$AB$50000,"&lt;&gt;丢弃",缺陷明细!$AB$2:$AB$50000,"&lt;&gt;设计如此",缺陷明细!$AB$2:$AB$50000,"&lt;&gt;重复Bug")</f>
        <v>0</v>
      </c>
      <c r="O29" s="72">
        <f>COUNTIFS(缺陷明细!$A$2:$A$50000,$B$4,缺陷明细!$G$2:$G$50000,$C29,缺陷明细!$Q$2:$Q$50000,"已关闭",缺陷明细!$J$2:$J$50000,"系统测试案例评审")</f>
        <v>0</v>
      </c>
      <c r="P29" s="72">
        <f>COUNTIFS(缺陷明细!$A$2:$A$50000,$B$4,缺陷明细!$G$2:$G$50000,$C29,缺陷明细!$J$2:$J$50000,"系统测试",缺陷明细!$AB$2:$AB$50000,"&lt;&gt;丢弃",缺陷明细!$AB$2:$AB$50000,"&lt;&gt;设计如此",缺陷明细!$AB$2:$AB$50000,"&lt;&gt;重复Bug")</f>
        <v>0</v>
      </c>
      <c r="Q29" s="72">
        <f>COUNTIFS(缺陷明细!$A$2:$A$50000,$B$4,缺陷明细!$G$2:$G$50000,$C29,缺陷明细!$Q$2:$Q$50000,"已关闭",缺陷明细!$J$2:$J$50000,"系统测试")</f>
        <v>0</v>
      </c>
      <c r="R29" s="296">
        <f>COUNTIFS(缺陷明细!$A$2:$A$50000,$B$4,缺陷明细!$G$2:$G$50000,$C29,缺陷明细!$AB$2:$AB$50000,"丢弃",缺陷明细!$J$2:$J$50000,"系统测试")+COUNTIFS(缺陷明细!$A$2:$A$50000,$B$4,缺陷明细!$G$2:$G$50000,$C29,缺陷明细!$AB$2:$AB$50000,"设计如此",缺陷明细!$J$2:$J$50000,"系统测试")+COUNTIFS(缺陷明细!$A$2:$A$50000,$B$4,缺陷明细!$G$2:$G$50000,$C29,缺陷明细!$AB$2:$AB$50000,"重复Bug",缺陷明细!$J$2:$J$50000,"系统测试")</f>
        <v>0</v>
      </c>
      <c r="S29" s="72">
        <f>COUNTIFS(缺陷明细!$A$2:$A$50000,$B$4,缺陷明细!$G$2:$G$50000,$C29,缺陷明细!$J$2:$J$50000,"系统测试",缺陷明细!$K$2:$K$50000,"致命",缺陷明细!$AB$2:$AB$50000,"&lt;&gt;丢弃",缺陷明细!$AB$2:$AB$50000,"&lt;&gt;设计如此",缺陷明细!$AB$2:$AB$50000,"&lt;&gt;重复Bug")+COUNTIFS(缺陷明细!$A$2:$A$50000,$B$4,缺陷明细!$G$2:$G$50000,$C29,缺陷明细!$J$2:$J$50000,"系统测试",缺陷明细!$K$2:$K$50000,"严重",缺陷明细!$AB$2:$AB$50000,"&lt;&gt;丢弃",缺陷明细!$AB$2:$AB$50000,"&lt;&gt;设计如此",缺陷明细!$AB$2:$AB$50000,"&lt;&gt;重复Bug")</f>
        <v>0</v>
      </c>
      <c r="T29" s="73">
        <f>COUNTIFS(缺陷明细!$A$2:$A$50000,$B$4,缺陷明细!$G$2:$G$50000,$C29,缺陷明细!$Q$2:$Q$50000,"已关闭",缺陷明细!$J$2:$J$50000,"系统测试",缺陷明细!$K$2:$K$50000,"致命")+COUNTIFS(缺陷明细!$A$2:$A$50000,$B$4,缺陷明细!$G$2:$G$50000,$C29,缺陷明细!$Q$2:$Q$50000,"已关闭",缺陷明细!$J$2:$J$50000,"系统测试",缺陷明细!$K$2:$K$50000,"严重")</f>
        <v>0</v>
      </c>
      <c r="U29" s="74">
        <f>COUNTIFS(缺陷明细!$A$2:$A$50000,$B$4,缺陷明细!$G$2:$G$50000,$C29,缺陷明细!$J$2:$J$50000,"验收测试",缺陷明细!$AB$2:$AB$50000,"&lt;&gt;丢弃",缺陷明细!$AB$2:$AB$50000,"&lt;&gt;设计如此",缺陷明细!$AB$2:$AB$50000,"&lt;&gt;重复Bug")</f>
        <v>0</v>
      </c>
      <c r="V29" s="75">
        <f>COUNTIFS(缺陷明细!$A$2:$A$50000,$B$4,缺陷明细!$G$2:$G$50000,$C29,缺陷明细!$Q$2:$Q$50000,"已关闭",缺陷明细!$J$2:$J$50000,"验收测试")</f>
        <v>0</v>
      </c>
      <c r="W29" s="75">
        <f>COUNTIFS(缺陷明细!$A$2:$A$50000,$B$4,缺陷明细!$G$2:$G$50000,$C29,缺陷明细!$J$2:$J$50000,"验收测试",缺陷明细!$K$2:$K$50000,"致命",缺陷明细!$AB$2:$AB$50000,"&lt;&gt;丢弃",缺陷明细!$AB$2:$AB$50000,"&lt;&gt;设计如此",缺陷明细!$AB$2:$AB$50000,"&lt;&gt;重复Bug")+COUNTIFS(缺陷明细!$A$2:$A$50000,$B$4,缺陷明细!$G$2:$G$50000,$C29,缺陷明细!$J$2:$J$50000,"验收测试",缺陷明细!$K$2:$K$50000,"严重",缺陷明细!$AB$2:$AB$50000,"&lt;&gt;丢弃",缺陷明细!$AB$2:$AB$50000,"&lt;&gt;设计如此",缺陷明细!$AB$2:$AB$50000,"&lt;&gt;重复Bug")</f>
        <v>0</v>
      </c>
      <c r="X29" s="76">
        <f>COUNTIFS(缺陷明细!$A$2:$A$50000,$B$4,缺陷明细!$G$2:$G$50000,$C29,缺陷明细!$Q$2:$Q$50000,"已关闭",缺陷明细!$J$2:$J$50000,"验收测试",缺陷明细!$K$2:$K$50000,"致命")+COUNTIFS(缺陷明细!$A$2:$A$50000,$B$4,缺陷明细!$G$2:$G$50000,$C29,缺陷明细!$Q$2:$Q$50000,"已关闭",缺陷明细!$J$2:$J$50000,"验收测试",缺陷明细!$K$2:$K$50000,"严重")</f>
        <v>0</v>
      </c>
      <c r="Y29" s="70">
        <f>COUNTIFS(缺陷明细!$A$2:$A$50000,$B$4,缺陷明细!$G$2:$G$50000,$C29,缺陷明细!$J$2:$J$50000,"运维测试",缺陷明细!$AB$2:$AB$50000,"&lt;&gt;丢弃",缺陷明细!$AB$2:$AB$50000,"&lt;&gt;设计如此",缺陷明细!$AB$2:$AB$50000,"&lt;&gt;重复Bug")</f>
        <v>0</v>
      </c>
      <c r="Z29" s="71">
        <f>COUNTIFS(缺陷明细!$A$2:$A$50000,$B$4,缺陷明细!$G$2:$G$50000,$C29,缺陷明细!$Q$2:$Q$50000,"已关闭",缺陷明细!$J$2:$J$50000,"运维测试")</f>
        <v>0</v>
      </c>
      <c r="AA29" s="72">
        <f>COUNTIFS(缺陷明细!$A$2:$A$50000,$B$4,缺陷明细!$G$2:$G$50000,$C29,缺陷明细!$J$2:$J$50000,"运维测试",缺陷明细!$K$2:$K$50000,"致命",缺陷明细!$AB$2:$AB$50000,"&lt;&gt;丢弃",缺陷明细!$AB$2:$AB$50000,"&lt;&gt;设计如此",缺陷明细!$AB$2:$AB$50000,"&lt;&gt;重复Bug")+COUNTIFS(缺陷明细!$A$2:$A$50000,$B$4,缺陷明细!$G$2:$G$50000,$C29,缺陷明细!$J$2:$J$50000,"运维测试",缺陷明细!$K$2:$K$50000,"严重",缺陷明细!$AB$2:$AB$50000,"&lt;&gt;丢弃",缺陷明细!$AB$2:$AB$50000,"&lt;&gt;设计如此",缺陷明细!$AB$2:$AB$50000,"&lt;&gt;重复Bug")</f>
        <v>0</v>
      </c>
      <c r="AB29" s="73">
        <f>COUNTIFS(缺陷明细!$A$2:$A$50000,$B$4,缺陷明细!$G$2:$G$50000,$C29,缺陷明细!$Q$2:$Q$50000,"已关闭",缺陷明细!$J$2:$J$50000,"运维测试",缺陷明细!$K$2:$K$50000,"致命")+COUNTIFS(缺陷明细!$A$2:$A$50000,$B$4,缺陷明细!$G$2:$G$50000,$C29,缺陷明细!$Q$2:$Q$50000,"已关闭",缺陷明细!$J$2:$J$50000,"运维测试",缺陷明细!$K$2:$K$50000,"严重")</f>
        <v>0</v>
      </c>
      <c r="AC29" s="68">
        <f t="shared" si="0"/>
        <v>0</v>
      </c>
      <c r="AD29" s="60">
        <f t="shared" si="0"/>
        <v>0</v>
      </c>
      <c r="AE29" s="60">
        <f t="shared" si="1"/>
        <v>0</v>
      </c>
      <c r="AF29" s="60">
        <f t="shared" si="1"/>
        <v>0</v>
      </c>
      <c r="AG29" s="60">
        <f t="shared" si="2"/>
        <v>0</v>
      </c>
      <c r="AH29" s="60">
        <f t="shared" si="2"/>
        <v>0</v>
      </c>
      <c r="AI29" s="60">
        <f t="shared" si="3"/>
        <v>0</v>
      </c>
      <c r="AJ29" s="61">
        <f t="shared" si="3"/>
        <v>0</v>
      </c>
      <c r="AK29" s="144"/>
    </row>
    <row r="30" spans="1:37">
      <c r="A30">
        <v>26</v>
      </c>
      <c r="B30" s="57"/>
      <c r="C30" s="58"/>
      <c r="D30" s="84"/>
      <c r="E30" s="82"/>
      <c r="F30" s="158"/>
      <c r="G30" s="159"/>
      <c r="H30" s="281">
        <f>COUNTIFS(缺陷明细!$A$2:$A$50000,$B$4,缺陷明细!$G$2:$G$50000,$C30,缺陷明细!$J$2:$J$50000,"评审",缺陷明细!$AB$2:$AB$50000,"&lt;&gt;丢弃",缺陷明细!$AB$2:$AB$50000,"&lt;&gt;设计如此",缺陷明细!$AB$2:$AB$50000,"&lt;&gt;重复Bug")</f>
        <v>0</v>
      </c>
      <c r="I30" s="154">
        <f>COUNTIFS(缺陷明细!$A$2:$A$50000,$B$4,缺陷明细!$G$2:$G$50000,$C30,缺陷明细!$Q$2:$Q$50000,"已关闭",缺陷明细!$J$2:$J$50000,"评审")</f>
        <v>0</v>
      </c>
      <c r="J30" s="154">
        <f>COUNTIFS(缺陷明细!$A$2:$A$50000,$B$4,缺陷明细!$G$2:$G$50000,$C30,缺陷明细!$J$2:$J$50000,"单元测试",缺陷明细!$AB$2:$AB$50000,"&lt;&gt;丢弃",缺陷明细!$AB$2:$AB$50000,"&lt;&gt;设计如此",缺陷明细!$AB$2:$AB$50000,"&lt;&gt;重复Bug")</f>
        <v>0</v>
      </c>
      <c r="K30" s="155">
        <f>COUNTIFS(缺陷明细!$A$2:$A$50000,$B$4,缺陷明细!$G$2:$G$50000,$C30,缺陷明细!$Q$2:$Q$50000,"已关闭",缺陷明细!$J$2:$J$50000,"单元测试")</f>
        <v>0</v>
      </c>
      <c r="L30" s="156"/>
      <c r="M30" s="157"/>
      <c r="N30" s="72">
        <f>COUNTIFS(缺陷明细!$A$2:$A$50000,$B$4,缺陷明细!$G$2:$G$50000,$C30,缺陷明细!$J$2:$J$50000,"系统测试案例评审",缺陷明细!$AB$2:$AB$50000,"&lt;&gt;丢弃",缺陷明细!$AB$2:$AB$50000,"&lt;&gt;设计如此",缺陷明细!$AB$2:$AB$50000,"&lt;&gt;重复Bug")</f>
        <v>0</v>
      </c>
      <c r="O30" s="72">
        <f>COUNTIFS(缺陷明细!$A$2:$A$50000,$B$4,缺陷明细!$G$2:$G$50000,$C30,缺陷明细!$Q$2:$Q$50000,"已关闭",缺陷明细!$J$2:$J$50000,"系统测试案例评审")</f>
        <v>0</v>
      </c>
      <c r="P30" s="72">
        <f>COUNTIFS(缺陷明细!$A$2:$A$50000,$B$4,缺陷明细!$G$2:$G$50000,$C30,缺陷明细!$J$2:$J$50000,"系统测试",缺陷明细!$AB$2:$AB$50000,"&lt;&gt;丢弃",缺陷明细!$AB$2:$AB$50000,"&lt;&gt;设计如此",缺陷明细!$AB$2:$AB$50000,"&lt;&gt;重复Bug")</f>
        <v>0</v>
      </c>
      <c r="Q30" s="72">
        <f>COUNTIFS(缺陷明细!$A$2:$A$50000,$B$4,缺陷明细!$G$2:$G$50000,$C30,缺陷明细!$Q$2:$Q$50000,"已关闭",缺陷明细!$J$2:$J$50000,"系统测试")</f>
        <v>0</v>
      </c>
      <c r="R30" s="296">
        <f>COUNTIFS(缺陷明细!$A$2:$A$50000,$B$4,缺陷明细!$G$2:$G$50000,$C30,缺陷明细!$AB$2:$AB$50000,"丢弃",缺陷明细!$J$2:$J$50000,"系统测试")+COUNTIFS(缺陷明细!$A$2:$A$50000,$B$4,缺陷明细!$G$2:$G$50000,$C30,缺陷明细!$AB$2:$AB$50000,"设计如此",缺陷明细!$J$2:$J$50000,"系统测试")+COUNTIFS(缺陷明细!$A$2:$A$50000,$B$4,缺陷明细!$G$2:$G$50000,$C30,缺陷明细!$AB$2:$AB$50000,"重复Bug",缺陷明细!$J$2:$J$50000,"系统测试")</f>
        <v>0</v>
      </c>
      <c r="S30" s="72">
        <f>COUNTIFS(缺陷明细!$A$2:$A$50000,$B$4,缺陷明细!$G$2:$G$50000,$C30,缺陷明细!$J$2:$J$50000,"系统测试",缺陷明细!$K$2:$K$50000,"致命",缺陷明细!$AB$2:$AB$50000,"&lt;&gt;丢弃",缺陷明细!$AB$2:$AB$50000,"&lt;&gt;设计如此",缺陷明细!$AB$2:$AB$50000,"&lt;&gt;重复Bug")+COUNTIFS(缺陷明细!$A$2:$A$50000,$B$4,缺陷明细!$G$2:$G$50000,$C30,缺陷明细!$J$2:$J$50000,"系统测试",缺陷明细!$K$2:$K$50000,"严重",缺陷明细!$AB$2:$AB$50000,"&lt;&gt;丢弃",缺陷明细!$AB$2:$AB$50000,"&lt;&gt;设计如此",缺陷明细!$AB$2:$AB$50000,"&lt;&gt;重复Bug")</f>
        <v>0</v>
      </c>
      <c r="T30" s="73">
        <f>COUNTIFS(缺陷明细!$A$2:$A$50000,$B$4,缺陷明细!$G$2:$G$50000,$C30,缺陷明细!$Q$2:$Q$50000,"已关闭",缺陷明细!$J$2:$J$50000,"系统测试",缺陷明细!$K$2:$K$50000,"致命")+COUNTIFS(缺陷明细!$A$2:$A$50000,$B$4,缺陷明细!$G$2:$G$50000,$C30,缺陷明细!$Q$2:$Q$50000,"已关闭",缺陷明细!$J$2:$J$50000,"系统测试",缺陷明细!$K$2:$K$50000,"严重")</f>
        <v>0</v>
      </c>
      <c r="U30" s="74">
        <f>COUNTIFS(缺陷明细!$A$2:$A$50000,$B$4,缺陷明细!$G$2:$G$50000,$C30,缺陷明细!$J$2:$J$50000,"验收测试",缺陷明细!$AB$2:$AB$50000,"&lt;&gt;丢弃",缺陷明细!$AB$2:$AB$50000,"&lt;&gt;设计如此",缺陷明细!$AB$2:$AB$50000,"&lt;&gt;重复Bug")</f>
        <v>0</v>
      </c>
      <c r="V30" s="75">
        <f>COUNTIFS(缺陷明细!$A$2:$A$50000,$B$4,缺陷明细!$G$2:$G$50000,$C30,缺陷明细!$Q$2:$Q$50000,"已关闭",缺陷明细!$J$2:$J$50000,"验收测试")</f>
        <v>0</v>
      </c>
      <c r="W30" s="75">
        <f>COUNTIFS(缺陷明细!$A$2:$A$50000,$B$4,缺陷明细!$G$2:$G$50000,$C30,缺陷明细!$J$2:$J$50000,"验收测试",缺陷明细!$K$2:$K$50000,"致命",缺陷明细!$AB$2:$AB$50000,"&lt;&gt;丢弃",缺陷明细!$AB$2:$AB$50000,"&lt;&gt;设计如此",缺陷明细!$AB$2:$AB$50000,"&lt;&gt;重复Bug")+COUNTIFS(缺陷明细!$A$2:$A$50000,$B$4,缺陷明细!$G$2:$G$50000,$C30,缺陷明细!$J$2:$J$50000,"验收测试",缺陷明细!$K$2:$K$50000,"严重",缺陷明细!$AB$2:$AB$50000,"&lt;&gt;丢弃",缺陷明细!$AB$2:$AB$50000,"&lt;&gt;设计如此",缺陷明细!$AB$2:$AB$50000,"&lt;&gt;重复Bug")</f>
        <v>0</v>
      </c>
      <c r="X30" s="76">
        <f>COUNTIFS(缺陷明细!$A$2:$A$50000,$B$4,缺陷明细!$G$2:$G$50000,$C30,缺陷明细!$Q$2:$Q$50000,"已关闭",缺陷明细!$J$2:$J$50000,"验收测试",缺陷明细!$K$2:$K$50000,"致命")+COUNTIFS(缺陷明细!$A$2:$A$50000,$B$4,缺陷明细!$G$2:$G$50000,$C30,缺陷明细!$Q$2:$Q$50000,"已关闭",缺陷明细!$J$2:$J$50000,"验收测试",缺陷明细!$K$2:$K$50000,"严重")</f>
        <v>0</v>
      </c>
      <c r="Y30" s="70">
        <f>COUNTIFS(缺陷明细!$A$2:$A$50000,$B$4,缺陷明细!$G$2:$G$50000,$C30,缺陷明细!$J$2:$J$50000,"运维测试",缺陷明细!$AB$2:$AB$50000,"&lt;&gt;丢弃",缺陷明细!$AB$2:$AB$50000,"&lt;&gt;设计如此",缺陷明细!$AB$2:$AB$50000,"&lt;&gt;重复Bug")</f>
        <v>0</v>
      </c>
      <c r="Z30" s="71">
        <f>COUNTIFS(缺陷明细!$A$2:$A$50000,$B$4,缺陷明细!$G$2:$G$50000,$C30,缺陷明细!$Q$2:$Q$50000,"已关闭",缺陷明细!$J$2:$J$50000,"运维测试")</f>
        <v>0</v>
      </c>
      <c r="AA30" s="72">
        <f>COUNTIFS(缺陷明细!$A$2:$A$50000,$B$4,缺陷明细!$G$2:$G$50000,$C30,缺陷明细!$J$2:$J$50000,"运维测试",缺陷明细!$K$2:$K$50000,"致命",缺陷明细!$AB$2:$AB$50000,"&lt;&gt;丢弃",缺陷明细!$AB$2:$AB$50000,"&lt;&gt;设计如此",缺陷明细!$AB$2:$AB$50000,"&lt;&gt;重复Bug")+COUNTIFS(缺陷明细!$A$2:$A$50000,$B$4,缺陷明细!$G$2:$G$50000,$C30,缺陷明细!$J$2:$J$50000,"运维测试",缺陷明细!$K$2:$K$50000,"严重",缺陷明细!$AB$2:$AB$50000,"&lt;&gt;丢弃",缺陷明细!$AB$2:$AB$50000,"&lt;&gt;设计如此",缺陷明细!$AB$2:$AB$50000,"&lt;&gt;重复Bug")</f>
        <v>0</v>
      </c>
      <c r="AB30" s="73">
        <f>COUNTIFS(缺陷明细!$A$2:$A$50000,$B$4,缺陷明细!$G$2:$G$50000,$C30,缺陷明细!$Q$2:$Q$50000,"已关闭",缺陷明细!$J$2:$J$50000,"运维测试",缺陷明细!$K$2:$K$50000,"致命")+COUNTIFS(缺陷明细!$A$2:$A$50000,$B$4,缺陷明细!$G$2:$G$50000,$C30,缺陷明细!$Q$2:$Q$50000,"已关闭",缺陷明细!$J$2:$J$50000,"运维测试",缺陷明细!$K$2:$K$50000,"严重")</f>
        <v>0</v>
      </c>
      <c r="AC30" s="68">
        <f t="shared" si="0"/>
        <v>0</v>
      </c>
      <c r="AD30" s="60">
        <f t="shared" si="0"/>
        <v>0</v>
      </c>
      <c r="AE30" s="60">
        <f t="shared" si="1"/>
        <v>0</v>
      </c>
      <c r="AF30" s="60">
        <f t="shared" si="1"/>
        <v>0</v>
      </c>
      <c r="AG30" s="60">
        <f t="shared" si="2"/>
        <v>0</v>
      </c>
      <c r="AH30" s="60">
        <f t="shared" si="2"/>
        <v>0</v>
      </c>
      <c r="AI30" s="60">
        <f t="shared" si="3"/>
        <v>0</v>
      </c>
      <c r="AJ30" s="61">
        <f t="shared" si="3"/>
        <v>0</v>
      </c>
      <c r="AK30" s="144"/>
    </row>
    <row r="31" spans="1:37">
      <c r="A31">
        <v>27</v>
      </c>
      <c r="B31" s="57"/>
      <c r="C31" s="58"/>
      <c r="D31" s="84"/>
      <c r="E31" s="82"/>
      <c r="F31" s="158"/>
      <c r="G31" s="159"/>
      <c r="H31" s="281">
        <f>COUNTIFS(缺陷明细!$A$2:$A$50000,$B$4,缺陷明细!$G$2:$G$50000,$C31,缺陷明细!$J$2:$J$50000,"评审",缺陷明细!$AB$2:$AB$50000,"&lt;&gt;丢弃",缺陷明细!$AB$2:$AB$50000,"&lt;&gt;设计如此",缺陷明细!$AB$2:$AB$50000,"&lt;&gt;重复Bug")</f>
        <v>0</v>
      </c>
      <c r="I31" s="154">
        <f>COUNTIFS(缺陷明细!$A$2:$A$50000,$B$4,缺陷明细!$G$2:$G$50000,$C31,缺陷明细!$Q$2:$Q$50000,"已关闭",缺陷明细!$J$2:$J$50000,"评审")</f>
        <v>0</v>
      </c>
      <c r="J31" s="154">
        <f>COUNTIFS(缺陷明细!$A$2:$A$50000,$B$4,缺陷明细!$G$2:$G$50000,$C31,缺陷明细!$J$2:$J$50000,"单元测试",缺陷明细!$AB$2:$AB$50000,"&lt;&gt;丢弃",缺陷明细!$AB$2:$AB$50000,"&lt;&gt;设计如此",缺陷明细!$AB$2:$AB$50000,"&lt;&gt;重复Bug")</f>
        <v>0</v>
      </c>
      <c r="K31" s="155">
        <f>COUNTIFS(缺陷明细!$A$2:$A$50000,$B$4,缺陷明细!$G$2:$G$50000,$C31,缺陷明细!$Q$2:$Q$50000,"已关闭",缺陷明细!$J$2:$J$50000,"单元测试")</f>
        <v>0</v>
      </c>
      <c r="L31" s="156"/>
      <c r="M31" s="157"/>
      <c r="N31" s="72">
        <f>COUNTIFS(缺陷明细!$A$2:$A$50000,$B$4,缺陷明细!$G$2:$G$50000,$C31,缺陷明细!$J$2:$J$50000,"系统测试案例评审",缺陷明细!$AB$2:$AB$50000,"&lt;&gt;丢弃",缺陷明细!$AB$2:$AB$50000,"&lt;&gt;设计如此",缺陷明细!$AB$2:$AB$50000,"&lt;&gt;重复Bug")</f>
        <v>0</v>
      </c>
      <c r="O31" s="72">
        <f>COUNTIFS(缺陷明细!$A$2:$A$50000,$B$4,缺陷明细!$G$2:$G$50000,$C31,缺陷明细!$Q$2:$Q$50000,"已关闭",缺陷明细!$J$2:$J$50000,"系统测试案例评审")</f>
        <v>0</v>
      </c>
      <c r="P31" s="72">
        <f>COUNTIFS(缺陷明细!$A$2:$A$50000,$B$4,缺陷明细!$G$2:$G$50000,$C31,缺陷明细!$J$2:$J$50000,"系统测试",缺陷明细!$AB$2:$AB$50000,"&lt;&gt;丢弃",缺陷明细!$AB$2:$AB$50000,"&lt;&gt;设计如此",缺陷明细!$AB$2:$AB$50000,"&lt;&gt;重复Bug")</f>
        <v>0</v>
      </c>
      <c r="Q31" s="72">
        <f>COUNTIFS(缺陷明细!$A$2:$A$50000,$B$4,缺陷明细!$G$2:$G$50000,$C31,缺陷明细!$Q$2:$Q$50000,"已关闭",缺陷明细!$J$2:$J$50000,"系统测试")</f>
        <v>0</v>
      </c>
      <c r="R31" s="296">
        <f>COUNTIFS(缺陷明细!$A$2:$A$50000,$B$4,缺陷明细!$G$2:$G$50000,$C31,缺陷明细!$AB$2:$AB$50000,"丢弃",缺陷明细!$J$2:$J$50000,"系统测试")+COUNTIFS(缺陷明细!$A$2:$A$50000,$B$4,缺陷明细!$G$2:$G$50000,$C31,缺陷明细!$AB$2:$AB$50000,"设计如此",缺陷明细!$J$2:$J$50000,"系统测试")+COUNTIFS(缺陷明细!$A$2:$A$50000,$B$4,缺陷明细!$G$2:$G$50000,$C31,缺陷明细!$AB$2:$AB$50000,"重复Bug",缺陷明细!$J$2:$J$50000,"系统测试")</f>
        <v>0</v>
      </c>
      <c r="S31" s="72">
        <f>COUNTIFS(缺陷明细!$A$2:$A$50000,$B$4,缺陷明细!$G$2:$G$50000,$C31,缺陷明细!$J$2:$J$50000,"系统测试",缺陷明细!$K$2:$K$50000,"致命",缺陷明细!$AB$2:$AB$50000,"&lt;&gt;丢弃",缺陷明细!$AB$2:$AB$50000,"&lt;&gt;设计如此",缺陷明细!$AB$2:$AB$50000,"&lt;&gt;重复Bug")+COUNTIFS(缺陷明细!$A$2:$A$50000,$B$4,缺陷明细!$G$2:$G$50000,$C31,缺陷明细!$J$2:$J$50000,"系统测试",缺陷明细!$K$2:$K$50000,"严重",缺陷明细!$AB$2:$AB$50000,"&lt;&gt;丢弃",缺陷明细!$AB$2:$AB$50000,"&lt;&gt;设计如此",缺陷明细!$AB$2:$AB$50000,"&lt;&gt;重复Bug")</f>
        <v>0</v>
      </c>
      <c r="T31" s="73">
        <f>COUNTIFS(缺陷明细!$A$2:$A$50000,$B$4,缺陷明细!$G$2:$G$50000,$C31,缺陷明细!$Q$2:$Q$50000,"已关闭",缺陷明细!$J$2:$J$50000,"系统测试",缺陷明细!$K$2:$K$50000,"致命")+COUNTIFS(缺陷明细!$A$2:$A$50000,$B$4,缺陷明细!$G$2:$G$50000,$C31,缺陷明细!$Q$2:$Q$50000,"已关闭",缺陷明细!$J$2:$J$50000,"系统测试",缺陷明细!$K$2:$K$50000,"严重")</f>
        <v>0</v>
      </c>
      <c r="U31" s="74">
        <f>COUNTIFS(缺陷明细!$A$2:$A$50000,$B$4,缺陷明细!$G$2:$G$50000,$C31,缺陷明细!$J$2:$J$50000,"验收测试",缺陷明细!$AB$2:$AB$50000,"&lt;&gt;丢弃",缺陷明细!$AB$2:$AB$50000,"&lt;&gt;设计如此",缺陷明细!$AB$2:$AB$50000,"&lt;&gt;重复Bug")</f>
        <v>0</v>
      </c>
      <c r="V31" s="75">
        <f>COUNTIFS(缺陷明细!$A$2:$A$50000,$B$4,缺陷明细!$G$2:$G$50000,$C31,缺陷明细!$Q$2:$Q$50000,"已关闭",缺陷明细!$J$2:$J$50000,"验收测试")</f>
        <v>0</v>
      </c>
      <c r="W31" s="75">
        <f>COUNTIFS(缺陷明细!$A$2:$A$50000,$B$4,缺陷明细!$G$2:$G$50000,$C31,缺陷明细!$J$2:$J$50000,"验收测试",缺陷明细!$K$2:$K$50000,"致命",缺陷明细!$AB$2:$AB$50000,"&lt;&gt;丢弃",缺陷明细!$AB$2:$AB$50000,"&lt;&gt;设计如此",缺陷明细!$AB$2:$AB$50000,"&lt;&gt;重复Bug")+COUNTIFS(缺陷明细!$A$2:$A$50000,$B$4,缺陷明细!$G$2:$G$50000,$C31,缺陷明细!$J$2:$J$50000,"验收测试",缺陷明细!$K$2:$K$50000,"严重",缺陷明细!$AB$2:$AB$50000,"&lt;&gt;丢弃",缺陷明细!$AB$2:$AB$50000,"&lt;&gt;设计如此",缺陷明细!$AB$2:$AB$50000,"&lt;&gt;重复Bug")</f>
        <v>0</v>
      </c>
      <c r="X31" s="76">
        <f>COUNTIFS(缺陷明细!$A$2:$A$50000,$B$4,缺陷明细!$G$2:$G$50000,$C31,缺陷明细!$Q$2:$Q$50000,"已关闭",缺陷明细!$J$2:$J$50000,"验收测试",缺陷明细!$K$2:$K$50000,"致命")+COUNTIFS(缺陷明细!$A$2:$A$50000,$B$4,缺陷明细!$G$2:$G$50000,$C31,缺陷明细!$Q$2:$Q$50000,"已关闭",缺陷明细!$J$2:$J$50000,"验收测试",缺陷明细!$K$2:$K$50000,"严重")</f>
        <v>0</v>
      </c>
      <c r="Y31" s="70">
        <f>COUNTIFS(缺陷明细!$A$2:$A$50000,$B$4,缺陷明细!$G$2:$G$50000,$C31,缺陷明细!$J$2:$J$50000,"运维测试",缺陷明细!$AB$2:$AB$50000,"&lt;&gt;丢弃",缺陷明细!$AB$2:$AB$50000,"&lt;&gt;设计如此",缺陷明细!$AB$2:$AB$50000,"&lt;&gt;重复Bug")</f>
        <v>0</v>
      </c>
      <c r="Z31" s="71">
        <f>COUNTIFS(缺陷明细!$A$2:$A$50000,$B$4,缺陷明细!$G$2:$G$50000,$C31,缺陷明细!$Q$2:$Q$50000,"已关闭",缺陷明细!$J$2:$J$50000,"运维测试")</f>
        <v>0</v>
      </c>
      <c r="AA31" s="72">
        <f>COUNTIFS(缺陷明细!$A$2:$A$50000,$B$4,缺陷明细!$G$2:$G$50000,$C31,缺陷明细!$J$2:$J$50000,"运维测试",缺陷明细!$K$2:$K$50000,"致命",缺陷明细!$AB$2:$AB$50000,"&lt;&gt;丢弃",缺陷明细!$AB$2:$AB$50000,"&lt;&gt;设计如此",缺陷明细!$AB$2:$AB$50000,"&lt;&gt;重复Bug")+COUNTIFS(缺陷明细!$A$2:$A$50000,$B$4,缺陷明细!$G$2:$G$50000,$C31,缺陷明细!$J$2:$J$50000,"运维测试",缺陷明细!$K$2:$K$50000,"严重",缺陷明细!$AB$2:$AB$50000,"&lt;&gt;丢弃",缺陷明细!$AB$2:$AB$50000,"&lt;&gt;设计如此",缺陷明细!$AB$2:$AB$50000,"&lt;&gt;重复Bug")</f>
        <v>0</v>
      </c>
      <c r="AB31" s="73">
        <f>COUNTIFS(缺陷明细!$A$2:$A$50000,$B$4,缺陷明细!$G$2:$G$50000,$C31,缺陷明细!$Q$2:$Q$50000,"已关闭",缺陷明细!$J$2:$J$50000,"运维测试",缺陷明细!$K$2:$K$50000,"致命")+COUNTIFS(缺陷明细!$A$2:$A$50000,$B$4,缺陷明细!$G$2:$G$50000,$C31,缺陷明细!$Q$2:$Q$50000,"已关闭",缺陷明细!$J$2:$J$50000,"运维测试",缺陷明细!$K$2:$K$50000,"严重")</f>
        <v>0</v>
      </c>
      <c r="AC31" s="68">
        <f t="shared" si="0"/>
        <v>0</v>
      </c>
      <c r="AD31" s="60">
        <f t="shared" si="0"/>
        <v>0</v>
      </c>
      <c r="AE31" s="60">
        <f t="shared" si="1"/>
        <v>0</v>
      </c>
      <c r="AF31" s="60">
        <f t="shared" si="1"/>
        <v>0</v>
      </c>
      <c r="AG31" s="60">
        <f t="shared" si="2"/>
        <v>0</v>
      </c>
      <c r="AH31" s="60">
        <f t="shared" si="2"/>
        <v>0</v>
      </c>
      <c r="AI31" s="60">
        <f t="shared" si="3"/>
        <v>0</v>
      </c>
      <c r="AJ31" s="61">
        <f t="shared" si="3"/>
        <v>0</v>
      </c>
      <c r="AK31" s="144"/>
    </row>
    <row r="32" spans="1:37">
      <c r="A32">
        <v>28</v>
      </c>
      <c r="B32" s="57"/>
      <c r="C32" s="58"/>
      <c r="D32" s="84"/>
      <c r="E32" s="82"/>
      <c r="F32" s="158"/>
      <c r="G32" s="159"/>
      <c r="H32" s="281">
        <f>COUNTIFS(缺陷明细!$A$2:$A$50000,$B$4,缺陷明细!$G$2:$G$50000,$C32,缺陷明细!$J$2:$J$50000,"评审",缺陷明细!$AB$2:$AB$50000,"&lt;&gt;丢弃",缺陷明细!$AB$2:$AB$50000,"&lt;&gt;设计如此",缺陷明细!$AB$2:$AB$50000,"&lt;&gt;重复Bug")</f>
        <v>0</v>
      </c>
      <c r="I32" s="154">
        <f>COUNTIFS(缺陷明细!$A$2:$A$50000,$B$4,缺陷明细!$G$2:$G$50000,$C32,缺陷明细!$Q$2:$Q$50000,"已关闭",缺陷明细!$J$2:$J$50000,"评审")</f>
        <v>0</v>
      </c>
      <c r="J32" s="154">
        <f>COUNTIFS(缺陷明细!$A$2:$A$50000,$B$4,缺陷明细!$G$2:$G$50000,$C32,缺陷明细!$J$2:$J$50000,"单元测试",缺陷明细!$AB$2:$AB$50000,"&lt;&gt;丢弃",缺陷明细!$AB$2:$AB$50000,"&lt;&gt;设计如此",缺陷明细!$AB$2:$AB$50000,"&lt;&gt;重复Bug")</f>
        <v>0</v>
      </c>
      <c r="K32" s="155">
        <f>COUNTIFS(缺陷明细!$A$2:$A$50000,$B$4,缺陷明细!$G$2:$G$50000,$C32,缺陷明细!$Q$2:$Q$50000,"已关闭",缺陷明细!$J$2:$J$50000,"单元测试")</f>
        <v>0</v>
      </c>
      <c r="L32" s="156"/>
      <c r="M32" s="157"/>
      <c r="N32" s="72">
        <f>COUNTIFS(缺陷明细!$A$2:$A$50000,$B$4,缺陷明细!$G$2:$G$50000,$C32,缺陷明细!$J$2:$J$50000,"系统测试案例评审",缺陷明细!$AB$2:$AB$50000,"&lt;&gt;丢弃",缺陷明细!$AB$2:$AB$50000,"&lt;&gt;设计如此",缺陷明细!$AB$2:$AB$50000,"&lt;&gt;重复Bug")</f>
        <v>0</v>
      </c>
      <c r="O32" s="72">
        <f>COUNTIFS(缺陷明细!$A$2:$A$50000,$B$4,缺陷明细!$G$2:$G$50000,$C32,缺陷明细!$Q$2:$Q$50000,"已关闭",缺陷明细!$J$2:$J$50000,"系统测试案例评审")</f>
        <v>0</v>
      </c>
      <c r="P32" s="72">
        <f>COUNTIFS(缺陷明细!$A$2:$A$50000,$B$4,缺陷明细!$G$2:$G$50000,$C32,缺陷明细!$J$2:$J$50000,"系统测试",缺陷明细!$AB$2:$AB$50000,"&lt;&gt;丢弃",缺陷明细!$AB$2:$AB$50000,"&lt;&gt;设计如此",缺陷明细!$AB$2:$AB$50000,"&lt;&gt;重复Bug")</f>
        <v>0</v>
      </c>
      <c r="Q32" s="72">
        <f>COUNTIFS(缺陷明细!$A$2:$A$50000,$B$4,缺陷明细!$G$2:$G$50000,$C32,缺陷明细!$Q$2:$Q$50000,"已关闭",缺陷明细!$J$2:$J$50000,"系统测试")</f>
        <v>0</v>
      </c>
      <c r="R32" s="296">
        <f>COUNTIFS(缺陷明细!$A$2:$A$50000,$B$4,缺陷明细!$G$2:$G$50000,$C32,缺陷明细!$AB$2:$AB$50000,"丢弃",缺陷明细!$J$2:$J$50000,"系统测试")+COUNTIFS(缺陷明细!$A$2:$A$50000,$B$4,缺陷明细!$G$2:$G$50000,$C32,缺陷明细!$AB$2:$AB$50000,"设计如此",缺陷明细!$J$2:$J$50000,"系统测试")+COUNTIFS(缺陷明细!$A$2:$A$50000,$B$4,缺陷明细!$G$2:$G$50000,$C32,缺陷明细!$AB$2:$AB$50000,"重复Bug",缺陷明细!$J$2:$J$50000,"系统测试")</f>
        <v>0</v>
      </c>
      <c r="S32" s="72">
        <f>COUNTIFS(缺陷明细!$A$2:$A$50000,$B$4,缺陷明细!$G$2:$G$50000,$C32,缺陷明细!$J$2:$J$50000,"系统测试",缺陷明细!$K$2:$K$50000,"致命",缺陷明细!$AB$2:$AB$50000,"&lt;&gt;丢弃",缺陷明细!$AB$2:$AB$50000,"&lt;&gt;设计如此",缺陷明细!$AB$2:$AB$50000,"&lt;&gt;重复Bug")+COUNTIFS(缺陷明细!$A$2:$A$50000,$B$4,缺陷明细!$G$2:$G$50000,$C32,缺陷明细!$J$2:$J$50000,"系统测试",缺陷明细!$K$2:$K$50000,"严重",缺陷明细!$AB$2:$AB$50000,"&lt;&gt;丢弃",缺陷明细!$AB$2:$AB$50000,"&lt;&gt;设计如此",缺陷明细!$AB$2:$AB$50000,"&lt;&gt;重复Bug")</f>
        <v>0</v>
      </c>
      <c r="T32" s="73">
        <f>COUNTIFS(缺陷明细!$A$2:$A$50000,$B$4,缺陷明细!$G$2:$G$50000,$C32,缺陷明细!$Q$2:$Q$50000,"已关闭",缺陷明细!$J$2:$J$50000,"系统测试",缺陷明细!$K$2:$K$50000,"致命")+COUNTIFS(缺陷明细!$A$2:$A$50000,$B$4,缺陷明细!$G$2:$G$50000,$C32,缺陷明细!$Q$2:$Q$50000,"已关闭",缺陷明细!$J$2:$J$50000,"系统测试",缺陷明细!$K$2:$K$50000,"严重")</f>
        <v>0</v>
      </c>
      <c r="U32" s="74">
        <f>COUNTIFS(缺陷明细!$A$2:$A$50000,$B$4,缺陷明细!$G$2:$G$50000,$C32,缺陷明细!$J$2:$J$50000,"验收测试",缺陷明细!$AB$2:$AB$50000,"&lt;&gt;丢弃",缺陷明细!$AB$2:$AB$50000,"&lt;&gt;设计如此",缺陷明细!$AB$2:$AB$50000,"&lt;&gt;重复Bug")</f>
        <v>0</v>
      </c>
      <c r="V32" s="75">
        <f>COUNTIFS(缺陷明细!$A$2:$A$50000,$B$4,缺陷明细!$G$2:$G$50000,$C32,缺陷明细!$Q$2:$Q$50000,"已关闭",缺陷明细!$J$2:$J$50000,"验收测试")</f>
        <v>0</v>
      </c>
      <c r="W32" s="75">
        <f>COUNTIFS(缺陷明细!$A$2:$A$50000,$B$4,缺陷明细!$G$2:$G$50000,$C32,缺陷明细!$J$2:$J$50000,"验收测试",缺陷明细!$K$2:$K$50000,"致命",缺陷明细!$AB$2:$AB$50000,"&lt;&gt;丢弃",缺陷明细!$AB$2:$AB$50000,"&lt;&gt;设计如此",缺陷明细!$AB$2:$AB$50000,"&lt;&gt;重复Bug")+COUNTIFS(缺陷明细!$A$2:$A$50000,$B$4,缺陷明细!$G$2:$G$50000,$C32,缺陷明细!$J$2:$J$50000,"验收测试",缺陷明细!$K$2:$K$50000,"严重",缺陷明细!$AB$2:$AB$50000,"&lt;&gt;丢弃",缺陷明细!$AB$2:$AB$50000,"&lt;&gt;设计如此",缺陷明细!$AB$2:$AB$50000,"&lt;&gt;重复Bug")</f>
        <v>0</v>
      </c>
      <c r="X32" s="76">
        <f>COUNTIFS(缺陷明细!$A$2:$A$50000,$B$4,缺陷明细!$G$2:$G$50000,$C32,缺陷明细!$Q$2:$Q$50000,"已关闭",缺陷明细!$J$2:$J$50000,"验收测试",缺陷明细!$K$2:$K$50000,"致命")+COUNTIFS(缺陷明细!$A$2:$A$50000,$B$4,缺陷明细!$G$2:$G$50000,$C32,缺陷明细!$Q$2:$Q$50000,"已关闭",缺陷明细!$J$2:$J$50000,"验收测试",缺陷明细!$K$2:$K$50000,"严重")</f>
        <v>0</v>
      </c>
      <c r="Y32" s="70">
        <f>COUNTIFS(缺陷明细!$A$2:$A$50000,$B$4,缺陷明细!$G$2:$G$50000,$C32,缺陷明细!$J$2:$J$50000,"运维测试",缺陷明细!$AB$2:$AB$50000,"&lt;&gt;丢弃",缺陷明细!$AB$2:$AB$50000,"&lt;&gt;设计如此",缺陷明细!$AB$2:$AB$50000,"&lt;&gt;重复Bug")</f>
        <v>0</v>
      </c>
      <c r="Z32" s="71">
        <f>COUNTIFS(缺陷明细!$A$2:$A$50000,$B$4,缺陷明细!$G$2:$G$50000,$C32,缺陷明细!$Q$2:$Q$50000,"已关闭",缺陷明细!$J$2:$J$50000,"运维测试")</f>
        <v>0</v>
      </c>
      <c r="AA32" s="72">
        <f>COUNTIFS(缺陷明细!$A$2:$A$50000,$B$4,缺陷明细!$G$2:$G$50000,$C32,缺陷明细!$J$2:$J$50000,"运维测试",缺陷明细!$K$2:$K$50000,"致命",缺陷明细!$AB$2:$AB$50000,"&lt;&gt;丢弃",缺陷明细!$AB$2:$AB$50000,"&lt;&gt;设计如此",缺陷明细!$AB$2:$AB$50000,"&lt;&gt;重复Bug")+COUNTIFS(缺陷明细!$A$2:$A$50000,$B$4,缺陷明细!$G$2:$G$50000,$C32,缺陷明细!$J$2:$J$50000,"运维测试",缺陷明细!$K$2:$K$50000,"严重",缺陷明细!$AB$2:$AB$50000,"&lt;&gt;丢弃",缺陷明细!$AB$2:$AB$50000,"&lt;&gt;设计如此",缺陷明细!$AB$2:$AB$50000,"&lt;&gt;重复Bug")</f>
        <v>0</v>
      </c>
      <c r="AB32" s="73">
        <f>COUNTIFS(缺陷明细!$A$2:$A$50000,$B$4,缺陷明细!$G$2:$G$50000,$C32,缺陷明细!$Q$2:$Q$50000,"已关闭",缺陷明细!$J$2:$J$50000,"运维测试",缺陷明细!$K$2:$K$50000,"致命")+COUNTIFS(缺陷明细!$A$2:$A$50000,$B$4,缺陷明细!$G$2:$G$50000,$C32,缺陷明细!$Q$2:$Q$50000,"已关闭",缺陷明细!$J$2:$J$50000,"运维测试",缺陷明细!$K$2:$K$50000,"严重")</f>
        <v>0</v>
      </c>
      <c r="AC32" s="68">
        <f t="shared" si="0"/>
        <v>0</v>
      </c>
      <c r="AD32" s="60">
        <f t="shared" si="0"/>
        <v>0</v>
      </c>
      <c r="AE32" s="60">
        <f t="shared" si="1"/>
        <v>0</v>
      </c>
      <c r="AF32" s="60">
        <f t="shared" si="1"/>
        <v>0</v>
      </c>
      <c r="AG32" s="60">
        <f t="shared" si="2"/>
        <v>0</v>
      </c>
      <c r="AH32" s="60">
        <f t="shared" si="2"/>
        <v>0</v>
      </c>
      <c r="AI32" s="60">
        <f t="shared" si="3"/>
        <v>0</v>
      </c>
      <c r="AJ32" s="61">
        <f t="shared" si="3"/>
        <v>0</v>
      </c>
      <c r="AK32" s="144"/>
    </row>
    <row r="33" spans="1:37">
      <c r="A33">
        <v>29</v>
      </c>
      <c r="B33" s="57"/>
      <c r="C33" s="58"/>
      <c r="D33" s="84"/>
      <c r="E33" s="82"/>
      <c r="F33" s="158"/>
      <c r="G33" s="159"/>
      <c r="H33" s="281">
        <f>COUNTIFS(缺陷明细!$A$2:$A$50000,$B$4,缺陷明细!$G$2:$G$50000,$C33,缺陷明细!$J$2:$J$50000,"评审",缺陷明细!$AB$2:$AB$50000,"&lt;&gt;丢弃",缺陷明细!$AB$2:$AB$50000,"&lt;&gt;设计如此",缺陷明细!$AB$2:$AB$50000,"&lt;&gt;重复Bug")</f>
        <v>0</v>
      </c>
      <c r="I33" s="154">
        <f>COUNTIFS(缺陷明细!$A$2:$A$50000,$B$4,缺陷明细!$G$2:$G$50000,$C33,缺陷明细!$Q$2:$Q$50000,"已关闭",缺陷明细!$J$2:$J$50000,"评审")</f>
        <v>0</v>
      </c>
      <c r="J33" s="154">
        <f>COUNTIFS(缺陷明细!$A$2:$A$50000,$B$4,缺陷明细!$G$2:$G$50000,$C33,缺陷明细!$J$2:$J$50000,"单元测试",缺陷明细!$AB$2:$AB$50000,"&lt;&gt;丢弃",缺陷明细!$AB$2:$AB$50000,"&lt;&gt;设计如此",缺陷明细!$AB$2:$AB$50000,"&lt;&gt;重复Bug")</f>
        <v>0</v>
      </c>
      <c r="K33" s="155">
        <f>COUNTIFS(缺陷明细!$A$2:$A$50000,$B$4,缺陷明细!$G$2:$G$50000,$C33,缺陷明细!$Q$2:$Q$50000,"已关闭",缺陷明细!$J$2:$J$50000,"单元测试")</f>
        <v>0</v>
      </c>
      <c r="L33" s="156"/>
      <c r="M33" s="157"/>
      <c r="N33" s="72">
        <f>COUNTIFS(缺陷明细!$A$2:$A$50000,$B$4,缺陷明细!$G$2:$G$50000,$C33,缺陷明细!$J$2:$J$50000,"系统测试案例评审",缺陷明细!$AB$2:$AB$50000,"&lt;&gt;丢弃",缺陷明细!$AB$2:$AB$50000,"&lt;&gt;设计如此",缺陷明细!$AB$2:$AB$50000,"&lt;&gt;重复Bug")</f>
        <v>0</v>
      </c>
      <c r="O33" s="72">
        <f>COUNTIFS(缺陷明细!$A$2:$A$50000,$B$4,缺陷明细!$G$2:$G$50000,$C33,缺陷明细!$Q$2:$Q$50000,"已关闭",缺陷明细!$J$2:$J$50000,"系统测试案例评审")</f>
        <v>0</v>
      </c>
      <c r="P33" s="72">
        <f>COUNTIFS(缺陷明细!$A$2:$A$50000,$B$4,缺陷明细!$G$2:$G$50000,$C33,缺陷明细!$J$2:$J$50000,"系统测试",缺陷明细!$AB$2:$AB$50000,"&lt;&gt;丢弃",缺陷明细!$AB$2:$AB$50000,"&lt;&gt;设计如此",缺陷明细!$AB$2:$AB$50000,"&lt;&gt;重复Bug")</f>
        <v>0</v>
      </c>
      <c r="Q33" s="72">
        <f>COUNTIFS(缺陷明细!$A$2:$A$50000,$B$4,缺陷明细!$G$2:$G$50000,$C33,缺陷明细!$Q$2:$Q$50000,"已关闭",缺陷明细!$J$2:$J$50000,"系统测试")</f>
        <v>0</v>
      </c>
      <c r="R33" s="296">
        <f>COUNTIFS(缺陷明细!$A$2:$A$50000,$B$4,缺陷明细!$G$2:$G$50000,$C33,缺陷明细!$AB$2:$AB$50000,"丢弃",缺陷明细!$J$2:$J$50000,"系统测试")+COUNTIFS(缺陷明细!$A$2:$A$50000,$B$4,缺陷明细!$G$2:$G$50000,$C33,缺陷明细!$AB$2:$AB$50000,"设计如此",缺陷明细!$J$2:$J$50000,"系统测试")+COUNTIFS(缺陷明细!$A$2:$A$50000,$B$4,缺陷明细!$G$2:$G$50000,$C33,缺陷明细!$AB$2:$AB$50000,"重复Bug",缺陷明细!$J$2:$J$50000,"系统测试")</f>
        <v>0</v>
      </c>
      <c r="S33" s="72">
        <f>COUNTIFS(缺陷明细!$A$2:$A$50000,$B$4,缺陷明细!$G$2:$G$50000,$C33,缺陷明细!$J$2:$J$50000,"系统测试",缺陷明细!$K$2:$K$50000,"致命",缺陷明细!$AB$2:$AB$50000,"&lt;&gt;丢弃",缺陷明细!$AB$2:$AB$50000,"&lt;&gt;设计如此",缺陷明细!$AB$2:$AB$50000,"&lt;&gt;重复Bug")+COUNTIFS(缺陷明细!$A$2:$A$50000,$B$4,缺陷明细!$G$2:$G$50000,$C33,缺陷明细!$J$2:$J$50000,"系统测试",缺陷明细!$K$2:$K$50000,"严重",缺陷明细!$AB$2:$AB$50000,"&lt;&gt;丢弃",缺陷明细!$AB$2:$AB$50000,"&lt;&gt;设计如此",缺陷明细!$AB$2:$AB$50000,"&lt;&gt;重复Bug")</f>
        <v>0</v>
      </c>
      <c r="T33" s="73">
        <f>COUNTIFS(缺陷明细!$A$2:$A$50000,$B$4,缺陷明细!$G$2:$G$50000,$C33,缺陷明细!$Q$2:$Q$50000,"已关闭",缺陷明细!$J$2:$J$50000,"系统测试",缺陷明细!$K$2:$K$50000,"致命")+COUNTIFS(缺陷明细!$A$2:$A$50000,$B$4,缺陷明细!$G$2:$G$50000,$C33,缺陷明细!$Q$2:$Q$50000,"已关闭",缺陷明细!$J$2:$J$50000,"系统测试",缺陷明细!$K$2:$K$50000,"严重")</f>
        <v>0</v>
      </c>
      <c r="U33" s="74">
        <f>COUNTIFS(缺陷明细!$A$2:$A$50000,$B$4,缺陷明细!$G$2:$G$50000,$C33,缺陷明细!$J$2:$J$50000,"验收测试",缺陷明细!$AB$2:$AB$50000,"&lt;&gt;丢弃",缺陷明细!$AB$2:$AB$50000,"&lt;&gt;设计如此",缺陷明细!$AB$2:$AB$50000,"&lt;&gt;重复Bug")</f>
        <v>0</v>
      </c>
      <c r="V33" s="75">
        <f>COUNTIFS(缺陷明细!$A$2:$A$50000,$B$4,缺陷明细!$G$2:$G$50000,$C33,缺陷明细!$Q$2:$Q$50000,"已关闭",缺陷明细!$J$2:$J$50000,"验收测试")</f>
        <v>0</v>
      </c>
      <c r="W33" s="75">
        <f>COUNTIFS(缺陷明细!$A$2:$A$50000,$B$4,缺陷明细!$G$2:$G$50000,$C33,缺陷明细!$J$2:$J$50000,"验收测试",缺陷明细!$K$2:$K$50000,"致命",缺陷明细!$AB$2:$AB$50000,"&lt;&gt;丢弃",缺陷明细!$AB$2:$AB$50000,"&lt;&gt;设计如此",缺陷明细!$AB$2:$AB$50000,"&lt;&gt;重复Bug")+COUNTIFS(缺陷明细!$A$2:$A$50000,$B$4,缺陷明细!$G$2:$G$50000,$C33,缺陷明细!$J$2:$J$50000,"验收测试",缺陷明细!$K$2:$K$50000,"严重",缺陷明细!$AB$2:$AB$50000,"&lt;&gt;丢弃",缺陷明细!$AB$2:$AB$50000,"&lt;&gt;设计如此",缺陷明细!$AB$2:$AB$50000,"&lt;&gt;重复Bug")</f>
        <v>0</v>
      </c>
      <c r="X33" s="76">
        <f>COUNTIFS(缺陷明细!$A$2:$A$50000,$B$4,缺陷明细!$G$2:$G$50000,$C33,缺陷明细!$Q$2:$Q$50000,"已关闭",缺陷明细!$J$2:$J$50000,"验收测试",缺陷明细!$K$2:$K$50000,"致命")+COUNTIFS(缺陷明细!$A$2:$A$50000,$B$4,缺陷明细!$G$2:$G$50000,$C33,缺陷明细!$Q$2:$Q$50000,"已关闭",缺陷明细!$J$2:$J$50000,"验收测试",缺陷明细!$K$2:$K$50000,"严重")</f>
        <v>0</v>
      </c>
      <c r="Y33" s="70">
        <f>COUNTIFS(缺陷明细!$A$2:$A$50000,$B$4,缺陷明细!$G$2:$G$50000,$C33,缺陷明细!$J$2:$J$50000,"运维测试",缺陷明细!$AB$2:$AB$50000,"&lt;&gt;丢弃",缺陷明细!$AB$2:$AB$50000,"&lt;&gt;设计如此",缺陷明细!$AB$2:$AB$50000,"&lt;&gt;重复Bug")</f>
        <v>0</v>
      </c>
      <c r="Z33" s="71">
        <f>COUNTIFS(缺陷明细!$A$2:$A$50000,$B$4,缺陷明细!$G$2:$G$50000,$C33,缺陷明细!$Q$2:$Q$50000,"已关闭",缺陷明细!$J$2:$J$50000,"运维测试")</f>
        <v>0</v>
      </c>
      <c r="AA33" s="72">
        <f>COUNTIFS(缺陷明细!$A$2:$A$50000,$B$4,缺陷明细!$G$2:$G$50000,$C33,缺陷明细!$J$2:$J$50000,"运维测试",缺陷明细!$K$2:$K$50000,"致命",缺陷明细!$AB$2:$AB$50000,"&lt;&gt;丢弃",缺陷明细!$AB$2:$AB$50000,"&lt;&gt;设计如此",缺陷明细!$AB$2:$AB$50000,"&lt;&gt;重复Bug")+COUNTIFS(缺陷明细!$A$2:$A$50000,$B$4,缺陷明细!$G$2:$G$50000,$C33,缺陷明细!$J$2:$J$50000,"运维测试",缺陷明细!$K$2:$K$50000,"严重",缺陷明细!$AB$2:$AB$50000,"&lt;&gt;丢弃",缺陷明细!$AB$2:$AB$50000,"&lt;&gt;设计如此",缺陷明细!$AB$2:$AB$50000,"&lt;&gt;重复Bug")</f>
        <v>0</v>
      </c>
      <c r="AB33" s="73">
        <f>COUNTIFS(缺陷明细!$A$2:$A$50000,$B$4,缺陷明细!$G$2:$G$50000,$C33,缺陷明细!$Q$2:$Q$50000,"已关闭",缺陷明细!$J$2:$J$50000,"运维测试",缺陷明细!$K$2:$K$50000,"致命")+COUNTIFS(缺陷明细!$A$2:$A$50000,$B$4,缺陷明细!$G$2:$G$50000,$C33,缺陷明细!$Q$2:$Q$50000,"已关闭",缺陷明细!$J$2:$J$50000,"运维测试",缺陷明细!$K$2:$K$50000,"严重")</f>
        <v>0</v>
      </c>
      <c r="AC33" s="68">
        <f t="shared" si="0"/>
        <v>0</v>
      </c>
      <c r="AD33" s="60">
        <f t="shared" si="0"/>
        <v>0</v>
      </c>
      <c r="AE33" s="60">
        <f t="shared" si="1"/>
        <v>0</v>
      </c>
      <c r="AF33" s="60">
        <f t="shared" si="1"/>
        <v>0</v>
      </c>
      <c r="AG33" s="60">
        <f t="shared" si="2"/>
        <v>0</v>
      </c>
      <c r="AH33" s="60">
        <f t="shared" si="2"/>
        <v>0</v>
      </c>
      <c r="AI33" s="60">
        <f t="shared" si="3"/>
        <v>0</v>
      </c>
      <c r="AJ33" s="61">
        <f t="shared" si="3"/>
        <v>0</v>
      </c>
      <c r="AK33" s="144"/>
    </row>
    <row r="34" spans="1:37">
      <c r="A34">
        <v>30</v>
      </c>
      <c r="B34" s="57"/>
      <c r="C34" s="58"/>
      <c r="D34" s="84"/>
      <c r="E34" s="82"/>
      <c r="F34" s="158"/>
      <c r="G34" s="159"/>
      <c r="H34" s="281">
        <f>COUNTIFS(缺陷明细!$A$2:$A$50000,$B$4,缺陷明细!$G$2:$G$50000,$C34,缺陷明细!$J$2:$J$50000,"评审",缺陷明细!$AB$2:$AB$50000,"&lt;&gt;丢弃",缺陷明细!$AB$2:$AB$50000,"&lt;&gt;设计如此",缺陷明细!$AB$2:$AB$50000,"&lt;&gt;重复Bug")</f>
        <v>0</v>
      </c>
      <c r="I34" s="154">
        <f>COUNTIFS(缺陷明细!$A$2:$A$50000,$B$4,缺陷明细!$G$2:$G$50000,$C34,缺陷明细!$Q$2:$Q$50000,"已关闭",缺陷明细!$J$2:$J$50000,"评审")</f>
        <v>0</v>
      </c>
      <c r="J34" s="154">
        <f>COUNTIFS(缺陷明细!$A$2:$A$50000,$B$4,缺陷明细!$G$2:$G$50000,$C34,缺陷明细!$J$2:$J$50000,"单元测试",缺陷明细!$AB$2:$AB$50000,"&lt;&gt;丢弃",缺陷明细!$AB$2:$AB$50000,"&lt;&gt;设计如此",缺陷明细!$AB$2:$AB$50000,"&lt;&gt;重复Bug")</f>
        <v>0</v>
      </c>
      <c r="K34" s="155">
        <f>COUNTIFS(缺陷明细!$A$2:$A$50000,$B$4,缺陷明细!$G$2:$G$50000,$C34,缺陷明细!$Q$2:$Q$50000,"已关闭",缺陷明细!$J$2:$J$50000,"单元测试")</f>
        <v>0</v>
      </c>
      <c r="L34" s="156"/>
      <c r="M34" s="157"/>
      <c r="N34" s="72">
        <f>COUNTIFS(缺陷明细!$A$2:$A$50000,$B$4,缺陷明细!$G$2:$G$50000,$C34,缺陷明细!$J$2:$J$50000,"系统测试案例评审",缺陷明细!$AB$2:$AB$50000,"&lt;&gt;丢弃",缺陷明细!$AB$2:$AB$50000,"&lt;&gt;设计如此",缺陷明细!$AB$2:$AB$50000,"&lt;&gt;重复Bug")</f>
        <v>0</v>
      </c>
      <c r="O34" s="72">
        <f>COUNTIFS(缺陷明细!$A$2:$A$50000,$B$4,缺陷明细!$G$2:$G$50000,$C34,缺陷明细!$Q$2:$Q$50000,"已关闭",缺陷明细!$J$2:$J$50000,"系统测试案例评审")</f>
        <v>0</v>
      </c>
      <c r="P34" s="72">
        <f>COUNTIFS(缺陷明细!$A$2:$A$50000,$B$4,缺陷明细!$G$2:$G$50000,$C34,缺陷明细!$J$2:$J$50000,"系统测试",缺陷明细!$AB$2:$AB$50000,"&lt;&gt;丢弃",缺陷明细!$AB$2:$AB$50000,"&lt;&gt;设计如此",缺陷明细!$AB$2:$AB$50000,"&lt;&gt;重复Bug")</f>
        <v>0</v>
      </c>
      <c r="Q34" s="72">
        <f>COUNTIFS(缺陷明细!$A$2:$A$50000,$B$4,缺陷明细!$G$2:$G$50000,$C34,缺陷明细!$Q$2:$Q$50000,"已关闭",缺陷明细!$J$2:$J$50000,"系统测试")</f>
        <v>0</v>
      </c>
      <c r="R34" s="296">
        <f>COUNTIFS(缺陷明细!$A$2:$A$50000,$B$4,缺陷明细!$G$2:$G$50000,$C34,缺陷明细!$AB$2:$AB$50000,"丢弃",缺陷明细!$J$2:$J$50000,"系统测试")+COUNTIFS(缺陷明细!$A$2:$A$50000,$B$4,缺陷明细!$G$2:$G$50000,$C34,缺陷明细!$AB$2:$AB$50000,"设计如此",缺陷明细!$J$2:$J$50000,"系统测试")+COUNTIFS(缺陷明细!$A$2:$A$50000,$B$4,缺陷明细!$G$2:$G$50000,$C34,缺陷明细!$AB$2:$AB$50000,"重复Bug",缺陷明细!$J$2:$J$50000,"系统测试")</f>
        <v>0</v>
      </c>
      <c r="S34" s="72">
        <f>COUNTIFS(缺陷明细!$A$2:$A$50000,$B$4,缺陷明细!$G$2:$G$50000,$C34,缺陷明细!$J$2:$J$50000,"系统测试",缺陷明细!$K$2:$K$50000,"致命",缺陷明细!$AB$2:$AB$50000,"&lt;&gt;丢弃",缺陷明细!$AB$2:$AB$50000,"&lt;&gt;设计如此",缺陷明细!$AB$2:$AB$50000,"&lt;&gt;重复Bug")+COUNTIFS(缺陷明细!$A$2:$A$50000,$B$4,缺陷明细!$G$2:$G$50000,$C34,缺陷明细!$J$2:$J$50000,"系统测试",缺陷明细!$K$2:$K$50000,"严重",缺陷明细!$AB$2:$AB$50000,"&lt;&gt;丢弃",缺陷明细!$AB$2:$AB$50000,"&lt;&gt;设计如此",缺陷明细!$AB$2:$AB$50000,"&lt;&gt;重复Bug")</f>
        <v>0</v>
      </c>
      <c r="T34" s="73">
        <f>COUNTIFS(缺陷明细!$A$2:$A$50000,$B$4,缺陷明细!$G$2:$G$50000,$C34,缺陷明细!$Q$2:$Q$50000,"已关闭",缺陷明细!$J$2:$J$50000,"系统测试",缺陷明细!$K$2:$K$50000,"致命")+COUNTIFS(缺陷明细!$A$2:$A$50000,$B$4,缺陷明细!$G$2:$G$50000,$C34,缺陷明细!$Q$2:$Q$50000,"已关闭",缺陷明细!$J$2:$J$50000,"系统测试",缺陷明细!$K$2:$K$50000,"严重")</f>
        <v>0</v>
      </c>
      <c r="U34" s="74">
        <f>COUNTIFS(缺陷明细!$A$2:$A$50000,$B$4,缺陷明细!$G$2:$G$50000,$C34,缺陷明细!$J$2:$J$50000,"验收测试",缺陷明细!$AB$2:$AB$50000,"&lt;&gt;丢弃",缺陷明细!$AB$2:$AB$50000,"&lt;&gt;设计如此",缺陷明细!$AB$2:$AB$50000,"&lt;&gt;重复Bug")</f>
        <v>0</v>
      </c>
      <c r="V34" s="75">
        <f>COUNTIFS(缺陷明细!$A$2:$A$50000,$B$4,缺陷明细!$G$2:$G$50000,$C34,缺陷明细!$Q$2:$Q$50000,"已关闭",缺陷明细!$J$2:$J$50000,"验收测试")</f>
        <v>0</v>
      </c>
      <c r="W34" s="75">
        <f>COUNTIFS(缺陷明细!$A$2:$A$50000,$B$4,缺陷明细!$G$2:$G$50000,$C34,缺陷明细!$J$2:$J$50000,"验收测试",缺陷明细!$K$2:$K$50000,"致命",缺陷明细!$AB$2:$AB$50000,"&lt;&gt;丢弃",缺陷明细!$AB$2:$AB$50000,"&lt;&gt;设计如此",缺陷明细!$AB$2:$AB$50000,"&lt;&gt;重复Bug")+COUNTIFS(缺陷明细!$A$2:$A$50000,$B$4,缺陷明细!$G$2:$G$50000,$C34,缺陷明细!$J$2:$J$50000,"验收测试",缺陷明细!$K$2:$K$50000,"严重",缺陷明细!$AB$2:$AB$50000,"&lt;&gt;丢弃",缺陷明细!$AB$2:$AB$50000,"&lt;&gt;设计如此",缺陷明细!$AB$2:$AB$50000,"&lt;&gt;重复Bug")</f>
        <v>0</v>
      </c>
      <c r="X34" s="76">
        <f>COUNTIFS(缺陷明细!$A$2:$A$50000,$B$4,缺陷明细!$G$2:$G$50000,$C34,缺陷明细!$Q$2:$Q$50000,"已关闭",缺陷明细!$J$2:$J$50000,"验收测试",缺陷明细!$K$2:$K$50000,"致命")+COUNTIFS(缺陷明细!$A$2:$A$50000,$B$4,缺陷明细!$G$2:$G$50000,$C34,缺陷明细!$Q$2:$Q$50000,"已关闭",缺陷明细!$J$2:$J$50000,"验收测试",缺陷明细!$K$2:$K$50000,"严重")</f>
        <v>0</v>
      </c>
      <c r="Y34" s="70">
        <f>COUNTIFS(缺陷明细!$A$2:$A$50000,$B$4,缺陷明细!$G$2:$G$50000,$C34,缺陷明细!$J$2:$J$50000,"运维测试",缺陷明细!$AB$2:$AB$50000,"&lt;&gt;丢弃",缺陷明细!$AB$2:$AB$50000,"&lt;&gt;设计如此",缺陷明细!$AB$2:$AB$50000,"&lt;&gt;重复Bug")</f>
        <v>0</v>
      </c>
      <c r="Z34" s="71">
        <f>COUNTIFS(缺陷明细!$A$2:$A$50000,$B$4,缺陷明细!$G$2:$G$50000,$C34,缺陷明细!$Q$2:$Q$50000,"已关闭",缺陷明细!$J$2:$J$50000,"运维测试")</f>
        <v>0</v>
      </c>
      <c r="AA34" s="72">
        <f>COUNTIFS(缺陷明细!$A$2:$A$50000,$B$4,缺陷明细!$G$2:$G$50000,$C34,缺陷明细!$J$2:$J$50000,"运维测试",缺陷明细!$K$2:$K$50000,"致命",缺陷明细!$AB$2:$AB$50000,"&lt;&gt;丢弃",缺陷明细!$AB$2:$AB$50000,"&lt;&gt;设计如此",缺陷明细!$AB$2:$AB$50000,"&lt;&gt;重复Bug")+COUNTIFS(缺陷明细!$A$2:$A$50000,$B$4,缺陷明细!$G$2:$G$50000,$C34,缺陷明细!$J$2:$J$50000,"运维测试",缺陷明细!$K$2:$K$50000,"严重",缺陷明细!$AB$2:$AB$50000,"&lt;&gt;丢弃",缺陷明细!$AB$2:$AB$50000,"&lt;&gt;设计如此",缺陷明细!$AB$2:$AB$50000,"&lt;&gt;重复Bug")</f>
        <v>0</v>
      </c>
      <c r="AB34" s="73">
        <f>COUNTIFS(缺陷明细!$A$2:$A$50000,$B$4,缺陷明细!$G$2:$G$50000,$C34,缺陷明细!$Q$2:$Q$50000,"已关闭",缺陷明细!$J$2:$J$50000,"运维测试",缺陷明细!$K$2:$K$50000,"致命")+COUNTIFS(缺陷明细!$A$2:$A$50000,$B$4,缺陷明细!$G$2:$G$50000,$C34,缺陷明细!$Q$2:$Q$50000,"已关闭",缺陷明细!$J$2:$J$50000,"运维测试",缺陷明细!$K$2:$K$50000,"严重")</f>
        <v>0</v>
      </c>
      <c r="AC34" s="68">
        <f t="shared" si="0"/>
        <v>0</v>
      </c>
      <c r="AD34" s="60">
        <f t="shared" si="0"/>
        <v>0</v>
      </c>
      <c r="AE34" s="60">
        <f t="shared" si="1"/>
        <v>0</v>
      </c>
      <c r="AF34" s="60">
        <f t="shared" si="1"/>
        <v>0</v>
      </c>
      <c r="AG34" s="60">
        <f t="shared" si="2"/>
        <v>0</v>
      </c>
      <c r="AH34" s="60">
        <f t="shared" si="2"/>
        <v>0</v>
      </c>
      <c r="AI34" s="60">
        <f t="shared" si="3"/>
        <v>0</v>
      </c>
      <c r="AJ34" s="61">
        <f t="shared" si="3"/>
        <v>0</v>
      </c>
      <c r="AK34" s="144"/>
    </row>
    <row r="35" spans="1:37">
      <c r="A35">
        <v>31</v>
      </c>
      <c r="B35" s="57"/>
      <c r="C35" s="58"/>
      <c r="D35" s="84"/>
      <c r="E35" s="82"/>
      <c r="F35" s="158"/>
      <c r="G35" s="159"/>
      <c r="H35" s="281">
        <f>COUNTIFS(缺陷明细!$A$2:$A$50000,$B$4,缺陷明细!$G$2:$G$50000,$C35,缺陷明细!$J$2:$J$50000,"评审",缺陷明细!$AB$2:$AB$50000,"&lt;&gt;丢弃",缺陷明细!$AB$2:$AB$50000,"&lt;&gt;设计如此",缺陷明细!$AB$2:$AB$50000,"&lt;&gt;重复Bug")</f>
        <v>0</v>
      </c>
      <c r="I35" s="154">
        <f>COUNTIFS(缺陷明细!$A$2:$A$50000,$B$4,缺陷明细!$G$2:$G$50000,$C35,缺陷明细!$Q$2:$Q$50000,"已关闭",缺陷明细!$J$2:$J$50000,"评审")</f>
        <v>0</v>
      </c>
      <c r="J35" s="154">
        <f>COUNTIFS(缺陷明细!$A$2:$A$50000,$B$4,缺陷明细!$G$2:$G$50000,$C35,缺陷明细!$J$2:$J$50000,"单元测试",缺陷明细!$AB$2:$AB$50000,"&lt;&gt;丢弃",缺陷明细!$AB$2:$AB$50000,"&lt;&gt;设计如此",缺陷明细!$AB$2:$AB$50000,"&lt;&gt;重复Bug")</f>
        <v>0</v>
      </c>
      <c r="K35" s="155">
        <f>COUNTIFS(缺陷明细!$A$2:$A$50000,$B$4,缺陷明细!$G$2:$G$50000,$C35,缺陷明细!$Q$2:$Q$50000,"已关闭",缺陷明细!$J$2:$J$50000,"单元测试")</f>
        <v>0</v>
      </c>
      <c r="L35" s="156"/>
      <c r="M35" s="157"/>
      <c r="N35" s="72">
        <f>COUNTIFS(缺陷明细!$A$2:$A$50000,$B$4,缺陷明细!$G$2:$G$50000,$C35,缺陷明细!$J$2:$J$50000,"系统测试案例评审",缺陷明细!$AB$2:$AB$50000,"&lt;&gt;丢弃",缺陷明细!$AB$2:$AB$50000,"&lt;&gt;设计如此",缺陷明细!$AB$2:$AB$50000,"&lt;&gt;重复Bug")</f>
        <v>0</v>
      </c>
      <c r="O35" s="72">
        <f>COUNTIFS(缺陷明细!$A$2:$A$50000,$B$4,缺陷明细!$G$2:$G$50000,$C35,缺陷明细!$Q$2:$Q$50000,"已关闭",缺陷明细!$J$2:$J$50000,"系统测试案例评审")</f>
        <v>0</v>
      </c>
      <c r="P35" s="72">
        <f>COUNTIFS(缺陷明细!$A$2:$A$50000,$B$4,缺陷明细!$G$2:$G$50000,$C35,缺陷明细!$J$2:$J$50000,"系统测试",缺陷明细!$AB$2:$AB$50000,"&lt;&gt;丢弃",缺陷明细!$AB$2:$AB$50000,"&lt;&gt;设计如此",缺陷明细!$AB$2:$AB$50000,"&lt;&gt;重复Bug")</f>
        <v>0</v>
      </c>
      <c r="Q35" s="72">
        <f>COUNTIFS(缺陷明细!$A$2:$A$50000,$B$4,缺陷明细!$G$2:$G$50000,$C35,缺陷明细!$Q$2:$Q$50000,"已关闭",缺陷明细!$J$2:$J$50000,"系统测试")</f>
        <v>0</v>
      </c>
      <c r="R35" s="296">
        <f>COUNTIFS(缺陷明细!$A$2:$A$50000,$B$4,缺陷明细!$G$2:$G$50000,$C35,缺陷明细!$AB$2:$AB$50000,"丢弃",缺陷明细!$J$2:$J$50000,"系统测试")+COUNTIFS(缺陷明细!$A$2:$A$50000,$B$4,缺陷明细!$G$2:$G$50000,$C35,缺陷明细!$AB$2:$AB$50000,"设计如此",缺陷明细!$J$2:$J$50000,"系统测试")+COUNTIFS(缺陷明细!$A$2:$A$50000,$B$4,缺陷明细!$G$2:$G$50000,$C35,缺陷明细!$AB$2:$AB$50000,"重复Bug",缺陷明细!$J$2:$J$50000,"系统测试")</f>
        <v>0</v>
      </c>
      <c r="S35" s="72">
        <f>COUNTIFS(缺陷明细!$A$2:$A$50000,$B$4,缺陷明细!$G$2:$G$50000,$C35,缺陷明细!$J$2:$J$50000,"系统测试",缺陷明细!$K$2:$K$50000,"致命",缺陷明细!$AB$2:$AB$50000,"&lt;&gt;丢弃",缺陷明细!$AB$2:$AB$50000,"&lt;&gt;设计如此",缺陷明细!$AB$2:$AB$50000,"&lt;&gt;重复Bug")+COUNTIFS(缺陷明细!$A$2:$A$50000,$B$4,缺陷明细!$G$2:$G$50000,$C35,缺陷明细!$J$2:$J$50000,"系统测试",缺陷明细!$K$2:$K$50000,"严重",缺陷明细!$AB$2:$AB$50000,"&lt;&gt;丢弃",缺陷明细!$AB$2:$AB$50000,"&lt;&gt;设计如此",缺陷明细!$AB$2:$AB$50000,"&lt;&gt;重复Bug")</f>
        <v>0</v>
      </c>
      <c r="T35" s="73">
        <f>COUNTIFS(缺陷明细!$A$2:$A$50000,$B$4,缺陷明细!$G$2:$G$50000,$C35,缺陷明细!$Q$2:$Q$50000,"已关闭",缺陷明细!$J$2:$J$50000,"系统测试",缺陷明细!$K$2:$K$50000,"致命")+COUNTIFS(缺陷明细!$A$2:$A$50000,$B$4,缺陷明细!$G$2:$G$50000,$C35,缺陷明细!$Q$2:$Q$50000,"已关闭",缺陷明细!$J$2:$J$50000,"系统测试",缺陷明细!$K$2:$K$50000,"严重")</f>
        <v>0</v>
      </c>
      <c r="U35" s="74">
        <f>COUNTIFS(缺陷明细!$A$2:$A$50000,$B$4,缺陷明细!$G$2:$G$50000,$C35,缺陷明细!$J$2:$J$50000,"验收测试",缺陷明细!$AB$2:$AB$50000,"&lt;&gt;丢弃",缺陷明细!$AB$2:$AB$50000,"&lt;&gt;设计如此",缺陷明细!$AB$2:$AB$50000,"&lt;&gt;重复Bug")</f>
        <v>0</v>
      </c>
      <c r="V35" s="75">
        <f>COUNTIFS(缺陷明细!$A$2:$A$50000,$B$4,缺陷明细!$G$2:$G$50000,$C35,缺陷明细!$Q$2:$Q$50000,"已关闭",缺陷明细!$J$2:$J$50000,"验收测试")</f>
        <v>0</v>
      </c>
      <c r="W35" s="75">
        <f>COUNTIFS(缺陷明细!$A$2:$A$50000,$B$4,缺陷明细!$G$2:$G$50000,$C35,缺陷明细!$J$2:$J$50000,"验收测试",缺陷明细!$K$2:$K$50000,"致命",缺陷明细!$AB$2:$AB$50000,"&lt;&gt;丢弃",缺陷明细!$AB$2:$AB$50000,"&lt;&gt;设计如此",缺陷明细!$AB$2:$AB$50000,"&lt;&gt;重复Bug")+COUNTIFS(缺陷明细!$A$2:$A$50000,$B$4,缺陷明细!$G$2:$G$50000,$C35,缺陷明细!$J$2:$J$50000,"验收测试",缺陷明细!$K$2:$K$50000,"严重",缺陷明细!$AB$2:$AB$50000,"&lt;&gt;丢弃",缺陷明细!$AB$2:$AB$50000,"&lt;&gt;设计如此",缺陷明细!$AB$2:$AB$50000,"&lt;&gt;重复Bug")</f>
        <v>0</v>
      </c>
      <c r="X35" s="76">
        <f>COUNTIFS(缺陷明细!$A$2:$A$50000,$B$4,缺陷明细!$G$2:$G$50000,$C35,缺陷明细!$Q$2:$Q$50000,"已关闭",缺陷明细!$J$2:$J$50000,"验收测试",缺陷明细!$K$2:$K$50000,"致命")+COUNTIFS(缺陷明细!$A$2:$A$50000,$B$4,缺陷明细!$G$2:$G$50000,$C35,缺陷明细!$Q$2:$Q$50000,"已关闭",缺陷明细!$J$2:$J$50000,"验收测试",缺陷明细!$K$2:$K$50000,"严重")</f>
        <v>0</v>
      </c>
      <c r="Y35" s="70">
        <f>COUNTIFS(缺陷明细!$A$2:$A$50000,$B$4,缺陷明细!$G$2:$G$50000,$C35,缺陷明细!$J$2:$J$50000,"运维测试",缺陷明细!$AB$2:$AB$50000,"&lt;&gt;丢弃",缺陷明细!$AB$2:$AB$50000,"&lt;&gt;设计如此",缺陷明细!$AB$2:$AB$50000,"&lt;&gt;重复Bug")</f>
        <v>0</v>
      </c>
      <c r="Z35" s="71">
        <f>COUNTIFS(缺陷明细!$A$2:$A$50000,$B$4,缺陷明细!$G$2:$G$50000,$C35,缺陷明细!$Q$2:$Q$50000,"已关闭",缺陷明细!$J$2:$J$50000,"运维测试")</f>
        <v>0</v>
      </c>
      <c r="AA35" s="72">
        <f>COUNTIFS(缺陷明细!$A$2:$A$50000,$B$4,缺陷明细!$G$2:$G$50000,$C35,缺陷明细!$J$2:$J$50000,"运维测试",缺陷明细!$K$2:$K$50000,"致命",缺陷明细!$AB$2:$AB$50000,"&lt;&gt;丢弃",缺陷明细!$AB$2:$AB$50000,"&lt;&gt;设计如此",缺陷明细!$AB$2:$AB$50000,"&lt;&gt;重复Bug")+COUNTIFS(缺陷明细!$A$2:$A$50000,$B$4,缺陷明细!$G$2:$G$50000,$C35,缺陷明细!$J$2:$J$50000,"运维测试",缺陷明细!$K$2:$K$50000,"严重",缺陷明细!$AB$2:$AB$50000,"&lt;&gt;丢弃",缺陷明细!$AB$2:$AB$50000,"&lt;&gt;设计如此",缺陷明细!$AB$2:$AB$50000,"&lt;&gt;重复Bug")</f>
        <v>0</v>
      </c>
      <c r="AB35" s="73">
        <f>COUNTIFS(缺陷明细!$A$2:$A$50000,$B$4,缺陷明细!$G$2:$G$50000,$C35,缺陷明细!$Q$2:$Q$50000,"已关闭",缺陷明细!$J$2:$J$50000,"运维测试",缺陷明细!$K$2:$K$50000,"致命")+COUNTIFS(缺陷明细!$A$2:$A$50000,$B$4,缺陷明细!$G$2:$G$50000,$C35,缺陷明细!$Q$2:$Q$50000,"已关闭",缺陷明细!$J$2:$J$50000,"运维测试",缺陷明细!$K$2:$K$50000,"严重")</f>
        <v>0</v>
      </c>
      <c r="AC35" s="68">
        <f t="shared" si="0"/>
        <v>0</v>
      </c>
      <c r="AD35" s="60">
        <f t="shared" si="0"/>
        <v>0</v>
      </c>
      <c r="AE35" s="60">
        <f t="shared" si="1"/>
        <v>0</v>
      </c>
      <c r="AF35" s="60">
        <f t="shared" si="1"/>
        <v>0</v>
      </c>
      <c r="AG35" s="60">
        <f t="shared" si="2"/>
        <v>0</v>
      </c>
      <c r="AH35" s="60">
        <f t="shared" si="2"/>
        <v>0</v>
      </c>
      <c r="AI35" s="60">
        <f t="shared" si="3"/>
        <v>0</v>
      </c>
      <c r="AJ35" s="61">
        <f t="shared" si="3"/>
        <v>0</v>
      </c>
      <c r="AK35" s="144"/>
    </row>
    <row r="36" spans="1:37">
      <c r="A36">
        <v>32</v>
      </c>
      <c r="B36" s="57"/>
      <c r="C36" s="58"/>
      <c r="D36" s="84"/>
      <c r="E36" s="82"/>
      <c r="F36" s="158"/>
      <c r="G36" s="159"/>
      <c r="H36" s="281">
        <f>COUNTIFS(缺陷明细!$A$2:$A$50000,$B$4,缺陷明细!$G$2:$G$50000,$C36,缺陷明细!$J$2:$J$50000,"评审",缺陷明细!$AB$2:$AB$50000,"&lt;&gt;丢弃",缺陷明细!$AB$2:$AB$50000,"&lt;&gt;设计如此",缺陷明细!$AB$2:$AB$50000,"&lt;&gt;重复Bug")</f>
        <v>0</v>
      </c>
      <c r="I36" s="154">
        <f>COUNTIFS(缺陷明细!$A$2:$A$50000,$B$4,缺陷明细!$G$2:$G$50000,$C36,缺陷明细!$Q$2:$Q$50000,"已关闭",缺陷明细!$J$2:$J$50000,"评审")</f>
        <v>0</v>
      </c>
      <c r="J36" s="154">
        <f>COUNTIFS(缺陷明细!$A$2:$A$50000,$B$4,缺陷明细!$G$2:$G$50000,$C36,缺陷明细!$J$2:$J$50000,"单元测试",缺陷明细!$AB$2:$AB$50000,"&lt;&gt;丢弃",缺陷明细!$AB$2:$AB$50000,"&lt;&gt;设计如此",缺陷明细!$AB$2:$AB$50000,"&lt;&gt;重复Bug")</f>
        <v>0</v>
      </c>
      <c r="K36" s="155">
        <f>COUNTIFS(缺陷明细!$A$2:$A$50000,$B$4,缺陷明细!$G$2:$G$50000,$C36,缺陷明细!$Q$2:$Q$50000,"已关闭",缺陷明细!$J$2:$J$50000,"单元测试")</f>
        <v>0</v>
      </c>
      <c r="L36" s="156"/>
      <c r="M36" s="157"/>
      <c r="N36" s="72">
        <f>COUNTIFS(缺陷明细!$A$2:$A$50000,$B$4,缺陷明细!$G$2:$G$50000,$C36,缺陷明细!$J$2:$J$50000,"系统测试案例评审",缺陷明细!$AB$2:$AB$50000,"&lt;&gt;丢弃",缺陷明细!$AB$2:$AB$50000,"&lt;&gt;设计如此",缺陷明细!$AB$2:$AB$50000,"&lt;&gt;重复Bug")</f>
        <v>0</v>
      </c>
      <c r="O36" s="72">
        <f>COUNTIFS(缺陷明细!$A$2:$A$50000,$B$4,缺陷明细!$G$2:$G$50000,$C36,缺陷明细!$Q$2:$Q$50000,"已关闭",缺陷明细!$J$2:$J$50000,"系统测试案例评审")</f>
        <v>0</v>
      </c>
      <c r="P36" s="72">
        <f>COUNTIFS(缺陷明细!$A$2:$A$50000,$B$4,缺陷明细!$G$2:$G$50000,$C36,缺陷明细!$J$2:$J$50000,"系统测试",缺陷明细!$AB$2:$AB$50000,"&lt;&gt;丢弃",缺陷明细!$AB$2:$AB$50000,"&lt;&gt;设计如此",缺陷明细!$AB$2:$AB$50000,"&lt;&gt;重复Bug")</f>
        <v>0</v>
      </c>
      <c r="Q36" s="72">
        <f>COUNTIFS(缺陷明细!$A$2:$A$50000,$B$4,缺陷明细!$G$2:$G$50000,$C36,缺陷明细!$Q$2:$Q$50000,"已关闭",缺陷明细!$J$2:$J$50000,"系统测试")</f>
        <v>0</v>
      </c>
      <c r="R36" s="296">
        <f>COUNTIFS(缺陷明细!$A$2:$A$50000,$B$4,缺陷明细!$G$2:$G$50000,$C36,缺陷明细!$AB$2:$AB$50000,"丢弃",缺陷明细!$J$2:$J$50000,"系统测试")+COUNTIFS(缺陷明细!$A$2:$A$50000,$B$4,缺陷明细!$G$2:$G$50000,$C36,缺陷明细!$AB$2:$AB$50000,"设计如此",缺陷明细!$J$2:$J$50000,"系统测试")+COUNTIFS(缺陷明细!$A$2:$A$50000,$B$4,缺陷明细!$G$2:$G$50000,$C36,缺陷明细!$AB$2:$AB$50000,"重复Bug",缺陷明细!$J$2:$J$50000,"系统测试")</f>
        <v>0</v>
      </c>
      <c r="S36" s="72">
        <f>COUNTIFS(缺陷明细!$A$2:$A$50000,$B$4,缺陷明细!$G$2:$G$50000,$C36,缺陷明细!$J$2:$J$50000,"系统测试",缺陷明细!$K$2:$K$50000,"致命",缺陷明细!$AB$2:$AB$50000,"&lt;&gt;丢弃",缺陷明细!$AB$2:$AB$50000,"&lt;&gt;设计如此",缺陷明细!$AB$2:$AB$50000,"&lt;&gt;重复Bug")+COUNTIFS(缺陷明细!$A$2:$A$50000,$B$4,缺陷明细!$G$2:$G$50000,$C36,缺陷明细!$J$2:$J$50000,"系统测试",缺陷明细!$K$2:$K$50000,"严重",缺陷明细!$AB$2:$AB$50000,"&lt;&gt;丢弃",缺陷明细!$AB$2:$AB$50000,"&lt;&gt;设计如此",缺陷明细!$AB$2:$AB$50000,"&lt;&gt;重复Bug")</f>
        <v>0</v>
      </c>
      <c r="T36" s="73">
        <f>COUNTIFS(缺陷明细!$A$2:$A$50000,$B$4,缺陷明细!$G$2:$G$50000,$C36,缺陷明细!$Q$2:$Q$50000,"已关闭",缺陷明细!$J$2:$J$50000,"系统测试",缺陷明细!$K$2:$K$50000,"致命")+COUNTIFS(缺陷明细!$A$2:$A$50000,$B$4,缺陷明细!$G$2:$G$50000,$C36,缺陷明细!$Q$2:$Q$50000,"已关闭",缺陷明细!$J$2:$J$50000,"系统测试",缺陷明细!$K$2:$K$50000,"严重")</f>
        <v>0</v>
      </c>
      <c r="U36" s="74">
        <f>COUNTIFS(缺陷明细!$A$2:$A$50000,$B$4,缺陷明细!$G$2:$G$50000,$C36,缺陷明细!$J$2:$J$50000,"验收测试",缺陷明细!$AB$2:$AB$50000,"&lt;&gt;丢弃",缺陷明细!$AB$2:$AB$50000,"&lt;&gt;设计如此",缺陷明细!$AB$2:$AB$50000,"&lt;&gt;重复Bug")</f>
        <v>0</v>
      </c>
      <c r="V36" s="75">
        <f>COUNTIFS(缺陷明细!$A$2:$A$50000,$B$4,缺陷明细!$G$2:$G$50000,$C36,缺陷明细!$Q$2:$Q$50000,"已关闭",缺陷明细!$J$2:$J$50000,"验收测试")</f>
        <v>0</v>
      </c>
      <c r="W36" s="75">
        <f>COUNTIFS(缺陷明细!$A$2:$A$50000,$B$4,缺陷明细!$G$2:$G$50000,$C36,缺陷明细!$J$2:$J$50000,"验收测试",缺陷明细!$K$2:$K$50000,"致命",缺陷明细!$AB$2:$AB$50000,"&lt;&gt;丢弃",缺陷明细!$AB$2:$AB$50000,"&lt;&gt;设计如此",缺陷明细!$AB$2:$AB$50000,"&lt;&gt;重复Bug")+COUNTIFS(缺陷明细!$A$2:$A$50000,$B$4,缺陷明细!$G$2:$G$50000,$C36,缺陷明细!$J$2:$J$50000,"验收测试",缺陷明细!$K$2:$K$50000,"严重",缺陷明细!$AB$2:$AB$50000,"&lt;&gt;丢弃",缺陷明细!$AB$2:$AB$50000,"&lt;&gt;设计如此",缺陷明细!$AB$2:$AB$50000,"&lt;&gt;重复Bug")</f>
        <v>0</v>
      </c>
      <c r="X36" s="76">
        <f>COUNTIFS(缺陷明细!$A$2:$A$50000,$B$4,缺陷明细!$G$2:$G$50000,$C36,缺陷明细!$Q$2:$Q$50000,"已关闭",缺陷明细!$J$2:$J$50000,"验收测试",缺陷明细!$K$2:$K$50000,"致命")+COUNTIFS(缺陷明细!$A$2:$A$50000,$B$4,缺陷明细!$G$2:$G$50000,$C36,缺陷明细!$Q$2:$Q$50000,"已关闭",缺陷明细!$J$2:$J$50000,"验收测试",缺陷明细!$K$2:$K$50000,"严重")</f>
        <v>0</v>
      </c>
      <c r="Y36" s="70">
        <f>COUNTIFS(缺陷明细!$A$2:$A$50000,$B$4,缺陷明细!$G$2:$G$50000,$C36,缺陷明细!$J$2:$J$50000,"运维测试",缺陷明细!$AB$2:$AB$50000,"&lt;&gt;丢弃",缺陷明细!$AB$2:$AB$50000,"&lt;&gt;设计如此",缺陷明细!$AB$2:$AB$50000,"&lt;&gt;重复Bug")</f>
        <v>0</v>
      </c>
      <c r="Z36" s="71">
        <f>COUNTIFS(缺陷明细!$A$2:$A$50000,$B$4,缺陷明细!$G$2:$G$50000,$C36,缺陷明细!$Q$2:$Q$50000,"已关闭",缺陷明细!$J$2:$J$50000,"运维测试")</f>
        <v>0</v>
      </c>
      <c r="AA36" s="72">
        <f>COUNTIFS(缺陷明细!$A$2:$A$50000,$B$4,缺陷明细!$G$2:$G$50000,$C36,缺陷明细!$J$2:$J$50000,"运维测试",缺陷明细!$K$2:$K$50000,"致命",缺陷明细!$AB$2:$AB$50000,"&lt;&gt;丢弃",缺陷明细!$AB$2:$AB$50000,"&lt;&gt;设计如此",缺陷明细!$AB$2:$AB$50000,"&lt;&gt;重复Bug")+COUNTIFS(缺陷明细!$A$2:$A$50000,$B$4,缺陷明细!$G$2:$G$50000,$C36,缺陷明细!$J$2:$J$50000,"运维测试",缺陷明细!$K$2:$K$50000,"严重",缺陷明细!$AB$2:$AB$50000,"&lt;&gt;丢弃",缺陷明细!$AB$2:$AB$50000,"&lt;&gt;设计如此",缺陷明细!$AB$2:$AB$50000,"&lt;&gt;重复Bug")</f>
        <v>0</v>
      </c>
      <c r="AB36" s="73">
        <f>COUNTIFS(缺陷明细!$A$2:$A$50000,$B$4,缺陷明细!$G$2:$G$50000,$C36,缺陷明细!$Q$2:$Q$50000,"已关闭",缺陷明细!$J$2:$J$50000,"运维测试",缺陷明细!$K$2:$K$50000,"致命")+COUNTIFS(缺陷明细!$A$2:$A$50000,$B$4,缺陷明细!$G$2:$G$50000,$C36,缺陷明细!$Q$2:$Q$50000,"已关闭",缺陷明细!$J$2:$J$50000,"运维测试",缺陷明细!$K$2:$K$50000,"严重")</f>
        <v>0</v>
      </c>
      <c r="AC36" s="68">
        <f t="shared" si="0"/>
        <v>0</v>
      </c>
      <c r="AD36" s="60">
        <f t="shared" si="0"/>
        <v>0</v>
      </c>
      <c r="AE36" s="60">
        <f t="shared" si="1"/>
        <v>0</v>
      </c>
      <c r="AF36" s="60">
        <f t="shared" si="1"/>
        <v>0</v>
      </c>
      <c r="AG36" s="60">
        <f t="shared" si="2"/>
        <v>0</v>
      </c>
      <c r="AH36" s="60">
        <f t="shared" si="2"/>
        <v>0</v>
      </c>
      <c r="AI36" s="60">
        <f t="shared" si="3"/>
        <v>0</v>
      </c>
      <c r="AJ36" s="61">
        <f t="shared" si="3"/>
        <v>0</v>
      </c>
      <c r="AK36" s="144"/>
    </row>
    <row r="37" spans="1:37">
      <c r="A37">
        <v>33</v>
      </c>
      <c r="B37" s="57"/>
      <c r="C37" s="58"/>
      <c r="D37" s="84"/>
      <c r="E37" s="82"/>
      <c r="F37" s="158"/>
      <c r="G37" s="159"/>
      <c r="H37" s="281">
        <f>COUNTIFS(缺陷明细!$A$2:$A$50000,$B$4,缺陷明细!$G$2:$G$50000,$C37,缺陷明细!$J$2:$J$50000,"评审",缺陷明细!$AB$2:$AB$50000,"&lt;&gt;丢弃",缺陷明细!$AB$2:$AB$50000,"&lt;&gt;设计如此",缺陷明细!$AB$2:$AB$50000,"&lt;&gt;重复Bug")</f>
        <v>0</v>
      </c>
      <c r="I37" s="154">
        <f>COUNTIFS(缺陷明细!$A$2:$A$50000,$B$4,缺陷明细!$G$2:$G$50000,$C37,缺陷明细!$Q$2:$Q$50000,"已关闭",缺陷明细!$J$2:$J$50000,"评审")</f>
        <v>0</v>
      </c>
      <c r="J37" s="154">
        <f>COUNTIFS(缺陷明细!$A$2:$A$50000,$B$4,缺陷明细!$G$2:$G$50000,$C37,缺陷明细!$J$2:$J$50000,"单元测试",缺陷明细!$AB$2:$AB$50000,"&lt;&gt;丢弃",缺陷明细!$AB$2:$AB$50000,"&lt;&gt;设计如此",缺陷明细!$AB$2:$AB$50000,"&lt;&gt;重复Bug")</f>
        <v>0</v>
      </c>
      <c r="K37" s="155">
        <f>COUNTIFS(缺陷明细!$A$2:$A$50000,$B$4,缺陷明细!$G$2:$G$50000,$C37,缺陷明细!$Q$2:$Q$50000,"已关闭",缺陷明细!$J$2:$J$50000,"单元测试")</f>
        <v>0</v>
      </c>
      <c r="L37" s="156"/>
      <c r="M37" s="157"/>
      <c r="N37" s="72">
        <f>COUNTIFS(缺陷明细!$A$2:$A$50000,$B$4,缺陷明细!$G$2:$G$50000,$C37,缺陷明细!$J$2:$J$50000,"系统测试案例评审",缺陷明细!$AB$2:$AB$50000,"&lt;&gt;丢弃",缺陷明细!$AB$2:$AB$50000,"&lt;&gt;设计如此",缺陷明细!$AB$2:$AB$50000,"&lt;&gt;重复Bug")</f>
        <v>0</v>
      </c>
      <c r="O37" s="72">
        <f>COUNTIFS(缺陷明细!$A$2:$A$50000,$B$4,缺陷明细!$G$2:$G$50000,$C37,缺陷明细!$Q$2:$Q$50000,"已关闭",缺陷明细!$J$2:$J$50000,"系统测试案例评审")</f>
        <v>0</v>
      </c>
      <c r="P37" s="72">
        <f>COUNTIFS(缺陷明细!$A$2:$A$50000,$B$4,缺陷明细!$G$2:$G$50000,$C37,缺陷明细!$J$2:$J$50000,"系统测试",缺陷明细!$AB$2:$AB$50000,"&lt;&gt;丢弃",缺陷明细!$AB$2:$AB$50000,"&lt;&gt;设计如此",缺陷明细!$AB$2:$AB$50000,"&lt;&gt;重复Bug")</f>
        <v>0</v>
      </c>
      <c r="Q37" s="72">
        <f>COUNTIFS(缺陷明细!$A$2:$A$50000,$B$4,缺陷明细!$G$2:$G$50000,$C37,缺陷明细!$Q$2:$Q$50000,"已关闭",缺陷明细!$J$2:$J$50000,"系统测试")</f>
        <v>0</v>
      </c>
      <c r="R37" s="296">
        <f>COUNTIFS(缺陷明细!$A$2:$A$50000,$B$4,缺陷明细!$G$2:$G$50000,$C37,缺陷明细!$AB$2:$AB$50000,"丢弃",缺陷明细!$J$2:$J$50000,"系统测试")+COUNTIFS(缺陷明细!$A$2:$A$50000,$B$4,缺陷明细!$G$2:$G$50000,$C37,缺陷明细!$AB$2:$AB$50000,"设计如此",缺陷明细!$J$2:$J$50000,"系统测试")+COUNTIFS(缺陷明细!$A$2:$A$50000,$B$4,缺陷明细!$G$2:$G$50000,$C37,缺陷明细!$AB$2:$AB$50000,"重复Bug",缺陷明细!$J$2:$J$50000,"系统测试")</f>
        <v>0</v>
      </c>
      <c r="S37" s="72">
        <f>COUNTIFS(缺陷明细!$A$2:$A$50000,$B$4,缺陷明细!$G$2:$G$50000,$C37,缺陷明细!$J$2:$J$50000,"系统测试",缺陷明细!$K$2:$K$50000,"致命",缺陷明细!$AB$2:$AB$50000,"&lt;&gt;丢弃",缺陷明细!$AB$2:$AB$50000,"&lt;&gt;设计如此",缺陷明细!$AB$2:$AB$50000,"&lt;&gt;重复Bug")+COUNTIFS(缺陷明细!$A$2:$A$50000,$B$4,缺陷明细!$G$2:$G$50000,$C37,缺陷明细!$J$2:$J$50000,"系统测试",缺陷明细!$K$2:$K$50000,"严重",缺陷明细!$AB$2:$AB$50000,"&lt;&gt;丢弃",缺陷明细!$AB$2:$AB$50000,"&lt;&gt;设计如此",缺陷明细!$AB$2:$AB$50000,"&lt;&gt;重复Bug")</f>
        <v>0</v>
      </c>
      <c r="T37" s="73">
        <f>COUNTIFS(缺陷明细!$A$2:$A$50000,$B$4,缺陷明细!$G$2:$G$50000,$C37,缺陷明细!$Q$2:$Q$50000,"已关闭",缺陷明细!$J$2:$J$50000,"系统测试",缺陷明细!$K$2:$K$50000,"致命")+COUNTIFS(缺陷明细!$A$2:$A$50000,$B$4,缺陷明细!$G$2:$G$50000,$C37,缺陷明细!$Q$2:$Q$50000,"已关闭",缺陷明细!$J$2:$J$50000,"系统测试",缺陷明细!$K$2:$K$50000,"严重")</f>
        <v>0</v>
      </c>
      <c r="U37" s="74">
        <f>COUNTIFS(缺陷明细!$A$2:$A$50000,$B$4,缺陷明细!$G$2:$G$50000,$C37,缺陷明细!$J$2:$J$50000,"验收测试",缺陷明细!$AB$2:$AB$50000,"&lt;&gt;丢弃",缺陷明细!$AB$2:$AB$50000,"&lt;&gt;设计如此",缺陷明细!$AB$2:$AB$50000,"&lt;&gt;重复Bug")</f>
        <v>0</v>
      </c>
      <c r="V37" s="75">
        <f>COUNTIFS(缺陷明细!$A$2:$A$50000,$B$4,缺陷明细!$G$2:$G$50000,$C37,缺陷明细!$Q$2:$Q$50000,"已关闭",缺陷明细!$J$2:$J$50000,"验收测试")</f>
        <v>0</v>
      </c>
      <c r="W37" s="75">
        <f>COUNTIFS(缺陷明细!$A$2:$A$50000,$B$4,缺陷明细!$G$2:$G$50000,$C37,缺陷明细!$J$2:$J$50000,"验收测试",缺陷明细!$K$2:$K$50000,"致命",缺陷明细!$AB$2:$AB$50000,"&lt;&gt;丢弃",缺陷明细!$AB$2:$AB$50000,"&lt;&gt;设计如此",缺陷明细!$AB$2:$AB$50000,"&lt;&gt;重复Bug")+COUNTIFS(缺陷明细!$A$2:$A$50000,$B$4,缺陷明细!$G$2:$G$50000,$C37,缺陷明细!$J$2:$J$50000,"验收测试",缺陷明细!$K$2:$K$50000,"严重",缺陷明细!$AB$2:$AB$50000,"&lt;&gt;丢弃",缺陷明细!$AB$2:$AB$50000,"&lt;&gt;设计如此",缺陷明细!$AB$2:$AB$50000,"&lt;&gt;重复Bug")</f>
        <v>0</v>
      </c>
      <c r="X37" s="76">
        <f>COUNTIFS(缺陷明细!$A$2:$A$50000,$B$4,缺陷明细!$G$2:$G$50000,$C37,缺陷明细!$Q$2:$Q$50000,"已关闭",缺陷明细!$J$2:$J$50000,"验收测试",缺陷明细!$K$2:$K$50000,"致命")+COUNTIFS(缺陷明细!$A$2:$A$50000,$B$4,缺陷明细!$G$2:$G$50000,$C37,缺陷明细!$Q$2:$Q$50000,"已关闭",缺陷明细!$J$2:$J$50000,"验收测试",缺陷明细!$K$2:$K$50000,"严重")</f>
        <v>0</v>
      </c>
      <c r="Y37" s="70">
        <f>COUNTIFS(缺陷明细!$A$2:$A$50000,$B$4,缺陷明细!$G$2:$G$50000,$C37,缺陷明细!$J$2:$J$50000,"运维测试",缺陷明细!$AB$2:$AB$50000,"&lt;&gt;丢弃",缺陷明细!$AB$2:$AB$50000,"&lt;&gt;设计如此",缺陷明细!$AB$2:$AB$50000,"&lt;&gt;重复Bug")</f>
        <v>0</v>
      </c>
      <c r="Z37" s="71">
        <f>COUNTIFS(缺陷明细!$A$2:$A$50000,$B$4,缺陷明细!$G$2:$G$50000,$C37,缺陷明细!$Q$2:$Q$50000,"已关闭",缺陷明细!$J$2:$J$50000,"运维测试")</f>
        <v>0</v>
      </c>
      <c r="AA37" s="72">
        <f>COUNTIFS(缺陷明细!$A$2:$A$50000,$B$4,缺陷明细!$G$2:$G$50000,$C37,缺陷明细!$J$2:$J$50000,"运维测试",缺陷明细!$K$2:$K$50000,"致命",缺陷明细!$AB$2:$AB$50000,"&lt;&gt;丢弃",缺陷明细!$AB$2:$AB$50000,"&lt;&gt;设计如此",缺陷明细!$AB$2:$AB$50000,"&lt;&gt;重复Bug")+COUNTIFS(缺陷明细!$A$2:$A$50000,$B$4,缺陷明细!$G$2:$G$50000,$C37,缺陷明细!$J$2:$J$50000,"运维测试",缺陷明细!$K$2:$K$50000,"严重",缺陷明细!$AB$2:$AB$50000,"&lt;&gt;丢弃",缺陷明细!$AB$2:$AB$50000,"&lt;&gt;设计如此",缺陷明细!$AB$2:$AB$50000,"&lt;&gt;重复Bug")</f>
        <v>0</v>
      </c>
      <c r="AB37" s="73">
        <f>COUNTIFS(缺陷明细!$A$2:$A$50000,$B$4,缺陷明细!$G$2:$G$50000,$C37,缺陷明细!$Q$2:$Q$50000,"已关闭",缺陷明细!$J$2:$J$50000,"运维测试",缺陷明细!$K$2:$K$50000,"致命")+COUNTIFS(缺陷明细!$A$2:$A$50000,$B$4,缺陷明细!$G$2:$G$50000,$C37,缺陷明细!$Q$2:$Q$50000,"已关闭",缺陷明细!$J$2:$J$50000,"运维测试",缺陷明细!$K$2:$K$50000,"严重")</f>
        <v>0</v>
      </c>
      <c r="AC37" s="68">
        <f t="shared" si="0"/>
        <v>0</v>
      </c>
      <c r="AD37" s="60">
        <f t="shared" si="0"/>
        <v>0</v>
      </c>
      <c r="AE37" s="60">
        <f t="shared" si="1"/>
        <v>0</v>
      </c>
      <c r="AF37" s="60">
        <f t="shared" si="1"/>
        <v>0</v>
      </c>
      <c r="AG37" s="60">
        <f t="shared" si="2"/>
        <v>0</v>
      </c>
      <c r="AH37" s="60">
        <f t="shared" si="2"/>
        <v>0</v>
      </c>
      <c r="AI37" s="60">
        <f t="shared" si="3"/>
        <v>0</v>
      </c>
      <c r="AJ37" s="61">
        <f t="shared" si="3"/>
        <v>0</v>
      </c>
      <c r="AK37" s="144"/>
    </row>
    <row r="38" spans="1:37">
      <c r="A38">
        <v>34</v>
      </c>
      <c r="B38" s="57"/>
      <c r="C38" s="58"/>
      <c r="D38" s="84"/>
      <c r="E38" s="82"/>
      <c r="F38" s="158"/>
      <c r="G38" s="159"/>
      <c r="H38" s="281">
        <f>COUNTIFS(缺陷明细!$A$2:$A$50000,$B$4,缺陷明细!$G$2:$G$50000,$C38,缺陷明细!$J$2:$J$50000,"评审",缺陷明细!$AB$2:$AB$50000,"&lt;&gt;丢弃",缺陷明细!$AB$2:$AB$50000,"&lt;&gt;设计如此",缺陷明细!$AB$2:$AB$50000,"&lt;&gt;重复Bug")</f>
        <v>0</v>
      </c>
      <c r="I38" s="154">
        <f>COUNTIFS(缺陷明细!$A$2:$A$50000,$B$4,缺陷明细!$G$2:$G$50000,$C38,缺陷明细!$Q$2:$Q$50000,"已关闭",缺陷明细!$J$2:$J$50000,"评审")</f>
        <v>0</v>
      </c>
      <c r="J38" s="154">
        <f>COUNTIFS(缺陷明细!$A$2:$A$50000,$B$4,缺陷明细!$G$2:$G$50000,$C38,缺陷明细!$J$2:$J$50000,"单元测试",缺陷明细!$AB$2:$AB$50000,"&lt;&gt;丢弃",缺陷明细!$AB$2:$AB$50000,"&lt;&gt;设计如此",缺陷明细!$AB$2:$AB$50000,"&lt;&gt;重复Bug")</f>
        <v>0</v>
      </c>
      <c r="K38" s="155">
        <f>COUNTIFS(缺陷明细!$A$2:$A$50000,$B$4,缺陷明细!$G$2:$G$50000,$C38,缺陷明细!$Q$2:$Q$50000,"已关闭",缺陷明细!$J$2:$J$50000,"单元测试")</f>
        <v>0</v>
      </c>
      <c r="L38" s="156"/>
      <c r="M38" s="157"/>
      <c r="N38" s="72">
        <f>COUNTIFS(缺陷明细!$A$2:$A$50000,$B$4,缺陷明细!$G$2:$G$50000,$C38,缺陷明细!$J$2:$J$50000,"系统测试案例评审",缺陷明细!$AB$2:$AB$50000,"&lt;&gt;丢弃",缺陷明细!$AB$2:$AB$50000,"&lt;&gt;设计如此",缺陷明细!$AB$2:$AB$50000,"&lt;&gt;重复Bug")</f>
        <v>0</v>
      </c>
      <c r="O38" s="72">
        <f>COUNTIFS(缺陷明细!$A$2:$A$50000,$B$4,缺陷明细!$G$2:$G$50000,$C38,缺陷明细!$Q$2:$Q$50000,"已关闭",缺陷明细!$J$2:$J$50000,"系统测试案例评审")</f>
        <v>0</v>
      </c>
      <c r="P38" s="72">
        <f>COUNTIFS(缺陷明细!$A$2:$A$50000,$B$4,缺陷明细!$G$2:$G$50000,$C38,缺陷明细!$J$2:$J$50000,"系统测试",缺陷明细!$AB$2:$AB$50000,"&lt;&gt;丢弃",缺陷明细!$AB$2:$AB$50000,"&lt;&gt;设计如此",缺陷明细!$AB$2:$AB$50000,"&lt;&gt;重复Bug")</f>
        <v>0</v>
      </c>
      <c r="Q38" s="72">
        <f>COUNTIFS(缺陷明细!$A$2:$A$50000,$B$4,缺陷明细!$G$2:$G$50000,$C38,缺陷明细!$Q$2:$Q$50000,"已关闭",缺陷明细!$J$2:$J$50000,"系统测试")</f>
        <v>0</v>
      </c>
      <c r="R38" s="296">
        <f>COUNTIFS(缺陷明细!$A$2:$A$50000,$B$4,缺陷明细!$G$2:$G$50000,$C38,缺陷明细!$AB$2:$AB$50000,"丢弃",缺陷明细!$J$2:$J$50000,"系统测试")+COUNTIFS(缺陷明细!$A$2:$A$50000,$B$4,缺陷明细!$G$2:$G$50000,$C38,缺陷明细!$AB$2:$AB$50000,"设计如此",缺陷明细!$J$2:$J$50000,"系统测试")+COUNTIFS(缺陷明细!$A$2:$A$50000,$B$4,缺陷明细!$G$2:$G$50000,$C38,缺陷明细!$AB$2:$AB$50000,"重复Bug",缺陷明细!$J$2:$J$50000,"系统测试")</f>
        <v>0</v>
      </c>
      <c r="S38" s="72">
        <f>COUNTIFS(缺陷明细!$A$2:$A$50000,$B$4,缺陷明细!$G$2:$G$50000,$C38,缺陷明细!$J$2:$J$50000,"系统测试",缺陷明细!$K$2:$K$50000,"致命",缺陷明细!$AB$2:$AB$50000,"&lt;&gt;丢弃",缺陷明细!$AB$2:$AB$50000,"&lt;&gt;设计如此",缺陷明细!$AB$2:$AB$50000,"&lt;&gt;重复Bug")+COUNTIFS(缺陷明细!$A$2:$A$50000,$B$4,缺陷明细!$G$2:$G$50000,$C38,缺陷明细!$J$2:$J$50000,"系统测试",缺陷明细!$K$2:$K$50000,"严重",缺陷明细!$AB$2:$AB$50000,"&lt;&gt;丢弃",缺陷明细!$AB$2:$AB$50000,"&lt;&gt;设计如此",缺陷明细!$AB$2:$AB$50000,"&lt;&gt;重复Bug")</f>
        <v>0</v>
      </c>
      <c r="T38" s="73">
        <f>COUNTIFS(缺陷明细!$A$2:$A$50000,$B$4,缺陷明细!$G$2:$G$50000,$C38,缺陷明细!$Q$2:$Q$50000,"已关闭",缺陷明细!$J$2:$J$50000,"系统测试",缺陷明细!$K$2:$K$50000,"致命")+COUNTIFS(缺陷明细!$A$2:$A$50000,$B$4,缺陷明细!$G$2:$G$50000,$C38,缺陷明细!$Q$2:$Q$50000,"已关闭",缺陷明细!$J$2:$J$50000,"系统测试",缺陷明细!$K$2:$K$50000,"严重")</f>
        <v>0</v>
      </c>
      <c r="U38" s="74">
        <f>COUNTIFS(缺陷明细!$A$2:$A$50000,$B$4,缺陷明细!$G$2:$G$50000,$C38,缺陷明细!$J$2:$J$50000,"验收测试",缺陷明细!$AB$2:$AB$50000,"&lt;&gt;丢弃",缺陷明细!$AB$2:$AB$50000,"&lt;&gt;设计如此",缺陷明细!$AB$2:$AB$50000,"&lt;&gt;重复Bug")</f>
        <v>0</v>
      </c>
      <c r="V38" s="75">
        <f>COUNTIFS(缺陷明细!$A$2:$A$50000,$B$4,缺陷明细!$G$2:$G$50000,$C38,缺陷明细!$Q$2:$Q$50000,"已关闭",缺陷明细!$J$2:$J$50000,"验收测试")</f>
        <v>0</v>
      </c>
      <c r="W38" s="75">
        <f>COUNTIFS(缺陷明细!$A$2:$A$50000,$B$4,缺陷明细!$G$2:$G$50000,$C38,缺陷明细!$J$2:$J$50000,"验收测试",缺陷明细!$K$2:$K$50000,"致命",缺陷明细!$AB$2:$AB$50000,"&lt;&gt;丢弃",缺陷明细!$AB$2:$AB$50000,"&lt;&gt;设计如此",缺陷明细!$AB$2:$AB$50000,"&lt;&gt;重复Bug")+COUNTIFS(缺陷明细!$A$2:$A$50000,$B$4,缺陷明细!$G$2:$G$50000,$C38,缺陷明细!$J$2:$J$50000,"验收测试",缺陷明细!$K$2:$K$50000,"严重",缺陷明细!$AB$2:$AB$50000,"&lt;&gt;丢弃",缺陷明细!$AB$2:$AB$50000,"&lt;&gt;设计如此",缺陷明细!$AB$2:$AB$50000,"&lt;&gt;重复Bug")</f>
        <v>0</v>
      </c>
      <c r="X38" s="76">
        <f>COUNTIFS(缺陷明细!$A$2:$A$50000,$B$4,缺陷明细!$G$2:$G$50000,$C38,缺陷明细!$Q$2:$Q$50000,"已关闭",缺陷明细!$J$2:$J$50000,"验收测试",缺陷明细!$K$2:$K$50000,"致命")+COUNTIFS(缺陷明细!$A$2:$A$50000,$B$4,缺陷明细!$G$2:$G$50000,$C38,缺陷明细!$Q$2:$Q$50000,"已关闭",缺陷明细!$J$2:$J$50000,"验收测试",缺陷明细!$K$2:$K$50000,"严重")</f>
        <v>0</v>
      </c>
      <c r="Y38" s="70">
        <f>COUNTIFS(缺陷明细!$A$2:$A$50000,$B$4,缺陷明细!$G$2:$G$50000,$C38,缺陷明细!$J$2:$J$50000,"运维测试",缺陷明细!$AB$2:$AB$50000,"&lt;&gt;丢弃",缺陷明细!$AB$2:$AB$50000,"&lt;&gt;设计如此",缺陷明细!$AB$2:$AB$50000,"&lt;&gt;重复Bug")</f>
        <v>0</v>
      </c>
      <c r="Z38" s="71">
        <f>COUNTIFS(缺陷明细!$A$2:$A$50000,$B$4,缺陷明细!$G$2:$G$50000,$C38,缺陷明细!$Q$2:$Q$50000,"已关闭",缺陷明细!$J$2:$J$50000,"运维测试")</f>
        <v>0</v>
      </c>
      <c r="AA38" s="72">
        <f>COUNTIFS(缺陷明细!$A$2:$A$50000,$B$4,缺陷明细!$G$2:$G$50000,$C38,缺陷明细!$J$2:$J$50000,"运维测试",缺陷明细!$K$2:$K$50000,"致命",缺陷明细!$AB$2:$AB$50000,"&lt;&gt;丢弃",缺陷明细!$AB$2:$AB$50000,"&lt;&gt;设计如此",缺陷明细!$AB$2:$AB$50000,"&lt;&gt;重复Bug")+COUNTIFS(缺陷明细!$A$2:$A$50000,$B$4,缺陷明细!$G$2:$G$50000,$C38,缺陷明细!$J$2:$J$50000,"运维测试",缺陷明细!$K$2:$K$50000,"严重",缺陷明细!$AB$2:$AB$50000,"&lt;&gt;丢弃",缺陷明细!$AB$2:$AB$50000,"&lt;&gt;设计如此",缺陷明细!$AB$2:$AB$50000,"&lt;&gt;重复Bug")</f>
        <v>0</v>
      </c>
      <c r="AB38" s="73">
        <f>COUNTIFS(缺陷明细!$A$2:$A$50000,$B$4,缺陷明细!$G$2:$G$50000,$C38,缺陷明细!$Q$2:$Q$50000,"已关闭",缺陷明细!$J$2:$J$50000,"运维测试",缺陷明细!$K$2:$K$50000,"致命")+COUNTIFS(缺陷明细!$A$2:$A$50000,$B$4,缺陷明细!$G$2:$G$50000,$C38,缺陷明细!$Q$2:$Q$50000,"已关闭",缺陷明细!$J$2:$J$50000,"运维测试",缺陷明细!$K$2:$K$50000,"严重")</f>
        <v>0</v>
      </c>
      <c r="AC38" s="68">
        <f t="shared" si="0"/>
        <v>0</v>
      </c>
      <c r="AD38" s="60">
        <f t="shared" si="0"/>
        <v>0</v>
      </c>
      <c r="AE38" s="60">
        <f t="shared" si="1"/>
        <v>0</v>
      </c>
      <c r="AF38" s="60">
        <f t="shared" si="1"/>
        <v>0</v>
      </c>
      <c r="AG38" s="60">
        <f t="shared" si="2"/>
        <v>0</v>
      </c>
      <c r="AH38" s="60">
        <f t="shared" si="2"/>
        <v>0</v>
      </c>
      <c r="AI38" s="60">
        <f t="shared" si="3"/>
        <v>0</v>
      </c>
      <c r="AJ38" s="61">
        <f t="shared" si="3"/>
        <v>0</v>
      </c>
      <c r="AK38" s="144"/>
    </row>
    <row r="39" spans="1:37">
      <c r="A39">
        <v>35</v>
      </c>
      <c r="B39" s="57"/>
      <c r="C39" s="58"/>
      <c r="D39" s="84"/>
      <c r="E39" s="82"/>
      <c r="F39" s="158"/>
      <c r="G39" s="159"/>
      <c r="H39" s="281">
        <f>COUNTIFS(缺陷明细!$A$2:$A$50000,$B$4,缺陷明细!$G$2:$G$50000,$C39,缺陷明细!$J$2:$J$50000,"评审",缺陷明细!$AB$2:$AB$50000,"&lt;&gt;丢弃",缺陷明细!$AB$2:$AB$50000,"&lt;&gt;设计如此",缺陷明细!$AB$2:$AB$50000,"&lt;&gt;重复Bug")</f>
        <v>0</v>
      </c>
      <c r="I39" s="154">
        <f>COUNTIFS(缺陷明细!$A$2:$A$50000,$B$4,缺陷明细!$G$2:$G$50000,$C39,缺陷明细!$Q$2:$Q$50000,"已关闭",缺陷明细!$J$2:$J$50000,"评审")</f>
        <v>0</v>
      </c>
      <c r="J39" s="154">
        <f>COUNTIFS(缺陷明细!$A$2:$A$50000,$B$4,缺陷明细!$G$2:$G$50000,$C39,缺陷明细!$J$2:$J$50000,"单元测试",缺陷明细!$AB$2:$AB$50000,"&lt;&gt;丢弃",缺陷明细!$AB$2:$AB$50000,"&lt;&gt;设计如此",缺陷明细!$AB$2:$AB$50000,"&lt;&gt;重复Bug")</f>
        <v>0</v>
      </c>
      <c r="K39" s="155">
        <f>COUNTIFS(缺陷明细!$A$2:$A$50000,$B$4,缺陷明细!$G$2:$G$50000,$C39,缺陷明细!$Q$2:$Q$50000,"已关闭",缺陷明细!$J$2:$J$50000,"单元测试")</f>
        <v>0</v>
      </c>
      <c r="L39" s="156"/>
      <c r="M39" s="157"/>
      <c r="N39" s="72">
        <f>COUNTIFS(缺陷明细!$A$2:$A$50000,$B$4,缺陷明细!$G$2:$G$50000,$C39,缺陷明细!$J$2:$J$50000,"系统测试案例评审",缺陷明细!$AB$2:$AB$50000,"&lt;&gt;丢弃",缺陷明细!$AB$2:$AB$50000,"&lt;&gt;设计如此",缺陷明细!$AB$2:$AB$50000,"&lt;&gt;重复Bug")</f>
        <v>0</v>
      </c>
      <c r="O39" s="72">
        <f>COUNTIFS(缺陷明细!$A$2:$A$50000,$B$4,缺陷明细!$G$2:$G$50000,$C39,缺陷明细!$Q$2:$Q$50000,"已关闭",缺陷明细!$J$2:$J$50000,"系统测试案例评审")</f>
        <v>0</v>
      </c>
      <c r="P39" s="72">
        <f>COUNTIFS(缺陷明细!$A$2:$A$50000,$B$4,缺陷明细!$G$2:$G$50000,$C39,缺陷明细!$J$2:$J$50000,"系统测试",缺陷明细!$AB$2:$AB$50000,"&lt;&gt;丢弃",缺陷明细!$AB$2:$AB$50000,"&lt;&gt;设计如此",缺陷明细!$AB$2:$AB$50000,"&lt;&gt;重复Bug")</f>
        <v>0</v>
      </c>
      <c r="Q39" s="72">
        <f>COUNTIFS(缺陷明细!$A$2:$A$50000,$B$4,缺陷明细!$G$2:$G$50000,$C39,缺陷明细!$Q$2:$Q$50000,"已关闭",缺陷明细!$J$2:$J$50000,"系统测试")</f>
        <v>0</v>
      </c>
      <c r="R39" s="296">
        <f>COUNTIFS(缺陷明细!$A$2:$A$50000,$B$4,缺陷明细!$G$2:$G$50000,$C39,缺陷明细!$AB$2:$AB$50000,"丢弃",缺陷明细!$J$2:$J$50000,"系统测试")+COUNTIFS(缺陷明细!$A$2:$A$50000,$B$4,缺陷明细!$G$2:$G$50000,$C39,缺陷明细!$AB$2:$AB$50000,"设计如此",缺陷明细!$J$2:$J$50000,"系统测试")+COUNTIFS(缺陷明细!$A$2:$A$50000,$B$4,缺陷明细!$G$2:$G$50000,$C39,缺陷明细!$AB$2:$AB$50000,"重复Bug",缺陷明细!$J$2:$J$50000,"系统测试")</f>
        <v>0</v>
      </c>
      <c r="S39" s="72">
        <f>COUNTIFS(缺陷明细!$A$2:$A$50000,$B$4,缺陷明细!$G$2:$G$50000,$C39,缺陷明细!$J$2:$J$50000,"系统测试",缺陷明细!$K$2:$K$50000,"致命",缺陷明细!$AB$2:$AB$50000,"&lt;&gt;丢弃",缺陷明细!$AB$2:$AB$50000,"&lt;&gt;设计如此",缺陷明细!$AB$2:$AB$50000,"&lt;&gt;重复Bug")+COUNTIFS(缺陷明细!$A$2:$A$50000,$B$4,缺陷明细!$G$2:$G$50000,$C39,缺陷明细!$J$2:$J$50000,"系统测试",缺陷明细!$K$2:$K$50000,"严重",缺陷明细!$AB$2:$AB$50000,"&lt;&gt;丢弃",缺陷明细!$AB$2:$AB$50000,"&lt;&gt;设计如此",缺陷明细!$AB$2:$AB$50000,"&lt;&gt;重复Bug")</f>
        <v>0</v>
      </c>
      <c r="T39" s="73">
        <f>COUNTIFS(缺陷明细!$A$2:$A$50000,$B$4,缺陷明细!$G$2:$G$50000,$C39,缺陷明细!$Q$2:$Q$50000,"已关闭",缺陷明细!$J$2:$J$50000,"系统测试",缺陷明细!$K$2:$K$50000,"致命")+COUNTIFS(缺陷明细!$A$2:$A$50000,$B$4,缺陷明细!$G$2:$G$50000,$C39,缺陷明细!$Q$2:$Q$50000,"已关闭",缺陷明细!$J$2:$J$50000,"系统测试",缺陷明细!$K$2:$K$50000,"严重")</f>
        <v>0</v>
      </c>
      <c r="U39" s="74">
        <f>COUNTIFS(缺陷明细!$A$2:$A$50000,$B$4,缺陷明细!$G$2:$G$50000,$C39,缺陷明细!$J$2:$J$50000,"验收测试",缺陷明细!$AB$2:$AB$50000,"&lt;&gt;丢弃",缺陷明细!$AB$2:$AB$50000,"&lt;&gt;设计如此",缺陷明细!$AB$2:$AB$50000,"&lt;&gt;重复Bug")</f>
        <v>0</v>
      </c>
      <c r="V39" s="75">
        <f>COUNTIFS(缺陷明细!$A$2:$A$50000,$B$4,缺陷明细!$G$2:$G$50000,$C39,缺陷明细!$Q$2:$Q$50000,"已关闭",缺陷明细!$J$2:$J$50000,"验收测试")</f>
        <v>0</v>
      </c>
      <c r="W39" s="75">
        <f>COUNTIFS(缺陷明细!$A$2:$A$50000,$B$4,缺陷明细!$G$2:$G$50000,$C39,缺陷明细!$J$2:$J$50000,"验收测试",缺陷明细!$K$2:$K$50000,"致命",缺陷明细!$AB$2:$AB$50000,"&lt;&gt;丢弃",缺陷明细!$AB$2:$AB$50000,"&lt;&gt;设计如此",缺陷明细!$AB$2:$AB$50000,"&lt;&gt;重复Bug")+COUNTIFS(缺陷明细!$A$2:$A$50000,$B$4,缺陷明细!$G$2:$G$50000,$C39,缺陷明细!$J$2:$J$50000,"验收测试",缺陷明细!$K$2:$K$50000,"严重",缺陷明细!$AB$2:$AB$50000,"&lt;&gt;丢弃",缺陷明细!$AB$2:$AB$50000,"&lt;&gt;设计如此",缺陷明细!$AB$2:$AB$50000,"&lt;&gt;重复Bug")</f>
        <v>0</v>
      </c>
      <c r="X39" s="76">
        <f>COUNTIFS(缺陷明细!$A$2:$A$50000,$B$4,缺陷明细!$G$2:$G$50000,$C39,缺陷明细!$Q$2:$Q$50000,"已关闭",缺陷明细!$J$2:$J$50000,"验收测试",缺陷明细!$K$2:$K$50000,"致命")+COUNTIFS(缺陷明细!$A$2:$A$50000,$B$4,缺陷明细!$G$2:$G$50000,$C39,缺陷明细!$Q$2:$Q$50000,"已关闭",缺陷明细!$J$2:$J$50000,"验收测试",缺陷明细!$K$2:$K$50000,"严重")</f>
        <v>0</v>
      </c>
      <c r="Y39" s="70">
        <f>COUNTIFS(缺陷明细!$A$2:$A$50000,$B$4,缺陷明细!$G$2:$G$50000,$C39,缺陷明细!$J$2:$J$50000,"运维测试",缺陷明细!$AB$2:$AB$50000,"&lt;&gt;丢弃",缺陷明细!$AB$2:$AB$50000,"&lt;&gt;设计如此",缺陷明细!$AB$2:$AB$50000,"&lt;&gt;重复Bug")</f>
        <v>0</v>
      </c>
      <c r="Z39" s="71">
        <f>COUNTIFS(缺陷明细!$A$2:$A$50000,$B$4,缺陷明细!$G$2:$G$50000,$C39,缺陷明细!$Q$2:$Q$50000,"已关闭",缺陷明细!$J$2:$J$50000,"运维测试")</f>
        <v>0</v>
      </c>
      <c r="AA39" s="72">
        <f>COUNTIFS(缺陷明细!$A$2:$A$50000,$B$4,缺陷明细!$G$2:$G$50000,$C39,缺陷明细!$J$2:$J$50000,"运维测试",缺陷明细!$K$2:$K$50000,"致命",缺陷明细!$AB$2:$AB$50000,"&lt;&gt;丢弃",缺陷明细!$AB$2:$AB$50000,"&lt;&gt;设计如此",缺陷明细!$AB$2:$AB$50000,"&lt;&gt;重复Bug")+COUNTIFS(缺陷明细!$A$2:$A$50000,$B$4,缺陷明细!$G$2:$G$50000,$C39,缺陷明细!$J$2:$J$50000,"运维测试",缺陷明细!$K$2:$K$50000,"严重",缺陷明细!$AB$2:$AB$50000,"&lt;&gt;丢弃",缺陷明细!$AB$2:$AB$50000,"&lt;&gt;设计如此",缺陷明细!$AB$2:$AB$50000,"&lt;&gt;重复Bug")</f>
        <v>0</v>
      </c>
      <c r="AB39" s="73">
        <f>COUNTIFS(缺陷明细!$A$2:$A$50000,$B$4,缺陷明细!$G$2:$G$50000,$C39,缺陷明细!$Q$2:$Q$50000,"已关闭",缺陷明细!$J$2:$J$50000,"运维测试",缺陷明细!$K$2:$K$50000,"致命")+COUNTIFS(缺陷明细!$A$2:$A$50000,$B$4,缺陷明细!$G$2:$G$50000,$C39,缺陷明细!$Q$2:$Q$50000,"已关闭",缺陷明细!$J$2:$J$50000,"运维测试",缺陷明细!$K$2:$K$50000,"严重")</f>
        <v>0</v>
      </c>
      <c r="AC39" s="68">
        <f t="shared" si="0"/>
        <v>0</v>
      </c>
      <c r="AD39" s="60">
        <f t="shared" si="0"/>
        <v>0</v>
      </c>
      <c r="AE39" s="60">
        <f t="shared" si="1"/>
        <v>0</v>
      </c>
      <c r="AF39" s="60">
        <f t="shared" si="1"/>
        <v>0</v>
      </c>
      <c r="AG39" s="60">
        <f t="shared" si="2"/>
        <v>0</v>
      </c>
      <c r="AH39" s="60">
        <f t="shared" si="2"/>
        <v>0</v>
      </c>
      <c r="AI39" s="60">
        <f t="shared" si="3"/>
        <v>0</v>
      </c>
      <c r="AJ39" s="61">
        <f t="shared" si="3"/>
        <v>0</v>
      </c>
      <c r="AK39" s="144"/>
    </row>
    <row r="40" spans="1:37">
      <c r="A40">
        <v>36</v>
      </c>
      <c r="B40" s="57"/>
      <c r="C40" s="58"/>
      <c r="D40" s="84"/>
      <c r="E40" s="82"/>
      <c r="F40" s="158"/>
      <c r="G40" s="159"/>
      <c r="H40" s="281">
        <f>COUNTIFS(缺陷明细!$A$2:$A$50000,$B$4,缺陷明细!$G$2:$G$50000,$C40,缺陷明细!$J$2:$J$50000,"评审",缺陷明细!$AB$2:$AB$50000,"&lt;&gt;丢弃",缺陷明细!$AB$2:$AB$50000,"&lt;&gt;设计如此",缺陷明细!$AB$2:$AB$50000,"&lt;&gt;重复Bug")</f>
        <v>0</v>
      </c>
      <c r="I40" s="154">
        <f>COUNTIFS(缺陷明细!$A$2:$A$50000,$B$4,缺陷明细!$G$2:$G$50000,$C40,缺陷明细!$Q$2:$Q$50000,"已关闭",缺陷明细!$J$2:$J$50000,"评审")</f>
        <v>0</v>
      </c>
      <c r="J40" s="154">
        <f>COUNTIFS(缺陷明细!$A$2:$A$50000,$B$4,缺陷明细!$G$2:$G$50000,$C40,缺陷明细!$J$2:$J$50000,"单元测试",缺陷明细!$AB$2:$AB$50000,"&lt;&gt;丢弃",缺陷明细!$AB$2:$AB$50000,"&lt;&gt;设计如此",缺陷明细!$AB$2:$AB$50000,"&lt;&gt;重复Bug")</f>
        <v>0</v>
      </c>
      <c r="K40" s="155">
        <f>COUNTIFS(缺陷明细!$A$2:$A$50000,$B$4,缺陷明细!$G$2:$G$50000,$C40,缺陷明细!$Q$2:$Q$50000,"已关闭",缺陷明细!$J$2:$J$50000,"单元测试")</f>
        <v>0</v>
      </c>
      <c r="L40" s="156"/>
      <c r="M40" s="157"/>
      <c r="N40" s="72">
        <f>COUNTIFS(缺陷明细!$A$2:$A$50000,$B$4,缺陷明细!$G$2:$G$50000,$C40,缺陷明细!$J$2:$J$50000,"系统测试案例评审",缺陷明细!$AB$2:$AB$50000,"&lt;&gt;丢弃",缺陷明细!$AB$2:$AB$50000,"&lt;&gt;设计如此",缺陷明细!$AB$2:$AB$50000,"&lt;&gt;重复Bug")</f>
        <v>0</v>
      </c>
      <c r="O40" s="72">
        <f>COUNTIFS(缺陷明细!$A$2:$A$50000,$B$4,缺陷明细!$G$2:$G$50000,$C40,缺陷明细!$Q$2:$Q$50000,"已关闭",缺陷明细!$J$2:$J$50000,"系统测试案例评审")</f>
        <v>0</v>
      </c>
      <c r="P40" s="72">
        <f>COUNTIFS(缺陷明细!$A$2:$A$50000,$B$4,缺陷明细!$G$2:$G$50000,$C40,缺陷明细!$J$2:$J$50000,"系统测试",缺陷明细!$AB$2:$AB$50000,"&lt;&gt;丢弃",缺陷明细!$AB$2:$AB$50000,"&lt;&gt;设计如此",缺陷明细!$AB$2:$AB$50000,"&lt;&gt;重复Bug")</f>
        <v>0</v>
      </c>
      <c r="Q40" s="72">
        <f>COUNTIFS(缺陷明细!$A$2:$A$50000,$B$4,缺陷明细!$G$2:$G$50000,$C40,缺陷明细!$Q$2:$Q$50000,"已关闭",缺陷明细!$J$2:$J$50000,"系统测试")</f>
        <v>0</v>
      </c>
      <c r="R40" s="296">
        <f>COUNTIFS(缺陷明细!$A$2:$A$50000,$B$4,缺陷明细!$G$2:$G$50000,$C40,缺陷明细!$AB$2:$AB$50000,"丢弃",缺陷明细!$J$2:$J$50000,"系统测试")+COUNTIFS(缺陷明细!$A$2:$A$50000,$B$4,缺陷明细!$G$2:$G$50000,$C40,缺陷明细!$AB$2:$AB$50000,"设计如此",缺陷明细!$J$2:$J$50000,"系统测试")+COUNTIFS(缺陷明细!$A$2:$A$50000,$B$4,缺陷明细!$G$2:$G$50000,$C40,缺陷明细!$AB$2:$AB$50000,"重复Bug",缺陷明细!$J$2:$J$50000,"系统测试")</f>
        <v>0</v>
      </c>
      <c r="S40" s="72">
        <f>COUNTIFS(缺陷明细!$A$2:$A$50000,$B$4,缺陷明细!$G$2:$G$50000,$C40,缺陷明细!$J$2:$J$50000,"系统测试",缺陷明细!$K$2:$K$50000,"致命",缺陷明细!$AB$2:$AB$50000,"&lt;&gt;丢弃",缺陷明细!$AB$2:$AB$50000,"&lt;&gt;设计如此",缺陷明细!$AB$2:$AB$50000,"&lt;&gt;重复Bug")+COUNTIFS(缺陷明细!$A$2:$A$50000,$B$4,缺陷明细!$G$2:$G$50000,$C40,缺陷明细!$J$2:$J$50000,"系统测试",缺陷明细!$K$2:$K$50000,"严重",缺陷明细!$AB$2:$AB$50000,"&lt;&gt;丢弃",缺陷明细!$AB$2:$AB$50000,"&lt;&gt;设计如此",缺陷明细!$AB$2:$AB$50000,"&lt;&gt;重复Bug")</f>
        <v>0</v>
      </c>
      <c r="T40" s="73">
        <f>COUNTIFS(缺陷明细!$A$2:$A$50000,$B$4,缺陷明细!$G$2:$G$50000,$C40,缺陷明细!$Q$2:$Q$50000,"已关闭",缺陷明细!$J$2:$J$50000,"系统测试",缺陷明细!$K$2:$K$50000,"致命")+COUNTIFS(缺陷明细!$A$2:$A$50000,$B$4,缺陷明细!$G$2:$G$50000,$C40,缺陷明细!$Q$2:$Q$50000,"已关闭",缺陷明细!$J$2:$J$50000,"系统测试",缺陷明细!$K$2:$K$50000,"严重")</f>
        <v>0</v>
      </c>
      <c r="U40" s="74">
        <f>COUNTIFS(缺陷明细!$A$2:$A$50000,$B$4,缺陷明细!$G$2:$G$50000,$C40,缺陷明细!$J$2:$J$50000,"验收测试",缺陷明细!$AB$2:$AB$50000,"&lt;&gt;丢弃",缺陷明细!$AB$2:$AB$50000,"&lt;&gt;设计如此",缺陷明细!$AB$2:$AB$50000,"&lt;&gt;重复Bug")</f>
        <v>0</v>
      </c>
      <c r="V40" s="75">
        <f>COUNTIFS(缺陷明细!$A$2:$A$50000,$B$4,缺陷明细!$G$2:$G$50000,$C40,缺陷明细!$Q$2:$Q$50000,"已关闭",缺陷明细!$J$2:$J$50000,"验收测试")</f>
        <v>0</v>
      </c>
      <c r="W40" s="75">
        <f>COUNTIFS(缺陷明细!$A$2:$A$50000,$B$4,缺陷明细!$G$2:$G$50000,$C40,缺陷明细!$J$2:$J$50000,"验收测试",缺陷明细!$K$2:$K$50000,"致命",缺陷明细!$AB$2:$AB$50000,"&lt;&gt;丢弃",缺陷明细!$AB$2:$AB$50000,"&lt;&gt;设计如此",缺陷明细!$AB$2:$AB$50000,"&lt;&gt;重复Bug")+COUNTIFS(缺陷明细!$A$2:$A$50000,$B$4,缺陷明细!$G$2:$G$50000,$C40,缺陷明细!$J$2:$J$50000,"验收测试",缺陷明细!$K$2:$K$50000,"严重",缺陷明细!$AB$2:$AB$50000,"&lt;&gt;丢弃",缺陷明细!$AB$2:$AB$50000,"&lt;&gt;设计如此",缺陷明细!$AB$2:$AB$50000,"&lt;&gt;重复Bug")</f>
        <v>0</v>
      </c>
      <c r="X40" s="76">
        <f>COUNTIFS(缺陷明细!$A$2:$A$50000,$B$4,缺陷明细!$G$2:$G$50000,$C40,缺陷明细!$Q$2:$Q$50000,"已关闭",缺陷明细!$J$2:$J$50000,"验收测试",缺陷明细!$K$2:$K$50000,"致命")+COUNTIFS(缺陷明细!$A$2:$A$50000,$B$4,缺陷明细!$G$2:$G$50000,$C40,缺陷明细!$Q$2:$Q$50000,"已关闭",缺陷明细!$J$2:$J$50000,"验收测试",缺陷明细!$K$2:$K$50000,"严重")</f>
        <v>0</v>
      </c>
      <c r="Y40" s="70">
        <f>COUNTIFS(缺陷明细!$A$2:$A$50000,$B$4,缺陷明细!$G$2:$G$50000,$C40,缺陷明细!$J$2:$J$50000,"运维测试",缺陷明细!$AB$2:$AB$50000,"&lt;&gt;丢弃",缺陷明细!$AB$2:$AB$50000,"&lt;&gt;设计如此",缺陷明细!$AB$2:$AB$50000,"&lt;&gt;重复Bug")</f>
        <v>0</v>
      </c>
      <c r="Z40" s="71">
        <f>COUNTIFS(缺陷明细!$A$2:$A$50000,$B$4,缺陷明细!$G$2:$G$50000,$C40,缺陷明细!$Q$2:$Q$50000,"已关闭",缺陷明细!$J$2:$J$50000,"运维测试")</f>
        <v>0</v>
      </c>
      <c r="AA40" s="72">
        <f>COUNTIFS(缺陷明细!$A$2:$A$50000,$B$4,缺陷明细!$G$2:$G$50000,$C40,缺陷明细!$J$2:$J$50000,"运维测试",缺陷明细!$K$2:$K$50000,"致命",缺陷明细!$AB$2:$AB$50000,"&lt;&gt;丢弃",缺陷明细!$AB$2:$AB$50000,"&lt;&gt;设计如此",缺陷明细!$AB$2:$AB$50000,"&lt;&gt;重复Bug")+COUNTIFS(缺陷明细!$A$2:$A$50000,$B$4,缺陷明细!$G$2:$G$50000,$C40,缺陷明细!$J$2:$J$50000,"运维测试",缺陷明细!$K$2:$K$50000,"严重",缺陷明细!$AB$2:$AB$50000,"&lt;&gt;丢弃",缺陷明细!$AB$2:$AB$50000,"&lt;&gt;设计如此",缺陷明细!$AB$2:$AB$50000,"&lt;&gt;重复Bug")</f>
        <v>0</v>
      </c>
      <c r="AB40" s="73">
        <f>COUNTIFS(缺陷明细!$A$2:$A$50000,$B$4,缺陷明细!$G$2:$G$50000,$C40,缺陷明细!$Q$2:$Q$50000,"已关闭",缺陷明细!$J$2:$J$50000,"运维测试",缺陷明细!$K$2:$K$50000,"致命")+COUNTIFS(缺陷明细!$A$2:$A$50000,$B$4,缺陷明细!$G$2:$G$50000,$C40,缺陷明细!$Q$2:$Q$50000,"已关闭",缺陷明细!$J$2:$J$50000,"运维测试",缺陷明细!$K$2:$K$50000,"严重")</f>
        <v>0</v>
      </c>
      <c r="AC40" s="68">
        <f t="shared" si="0"/>
        <v>0</v>
      </c>
      <c r="AD40" s="60">
        <f t="shared" si="0"/>
        <v>0</v>
      </c>
      <c r="AE40" s="60">
        <f t="shared" si="1"/>
        <v>0</v>
      </c>
      <c r="AF40" s="60">
        <f t="shared" si="1"/>
        <v>0</v>
      </c>
      <c r="AG40" s="60">
        <f t="shared" si="2"/>
        <v>0</v>
      </c>
      <c r="AH40" s="60">
        <f t="shared" si="2"/>
        <v>0</v>
      </c>
      <c r="AI40" s="60">
        <f t="shared" si="3"/>
        <v>0</v>
      </c>
      <c r="AJ40" s="61">
        <f t="shared" si="3"/>
        <v>0</v>
      </c>
      <c r="AK40" s="144"/>
    </row>
    <row r="41" spans="1:37">
      <c r="A41">
        <v>37</v>
      </c>
      <c r="B41" s="57"/>
      <c r="C41" s="58"/>
      <c r="D41" s="84"/>
      <c r="E41" s="82"/>
      <c r="F41" s="158"/>
      <c r="G41" s="159"/>
      <c r="H41" s="281">
        <f>COUNTIFS(缺陷明细!$A$2:$A$50000,$B$4,缺陷明细!$G$2:$G$50000,$C41,缺陷明细!$J$2:$J$50000,"评审",缺陷明细!$AB$2:$AB$50000,"&lt;&gt;丢弃",缺陷明细!$AB$2:$AB$50000,"&lt;&gt;设计如此",缺陷明细!$AB$2:$AB$50000,"&lt;&gt;重复Bug")</f>
        <v>0</v>
      </c>
      <c r="I41" s="154">
        <f>COUNTIFS(缺陷明细!$A$2:$A$50000,$B$4,缺陷明细!$G$2:$G$50000,$C41,缺陷明细!$Q$2:$Q$50000,"已关闭",缺陷明细!$J$2:$J$50000,"评审")</f>
        <v>0</v>
      </c>
      <c r="J41" s="154">
        <f>COUNTIFS(缺陷明细!$A$2:$A$50000,$B$4,缺陷明细!$G$2:$G$50000,$C41,缺陷明细!$J$2:$J$50000,"单元测试",缺陷明细!$AB$2:$AB$50000,"&lt;&gt;丢弃",缺陷明细!$AB$2:$AB$50000,"&lt;&gt;设计如此",缺陷明细!$AB$2:$AB$50000,"&lt;&gt;重复Bug")</f>
        <v>0</v>
      </c>
      <c r="K41" s="155">
        <f>COUNTIFS(缺陷明细!$A$2:$A$50000,$B$4,缺陷明细!$G$2:$G$50000,$C41,缺陷明细!$Q$2:$Q$50000,"已关闭",缺陷明细!$J$2:$J$50000,"单元测试")</f>
        <v>0</v>
      </c>
      <c r="L41" s="156"/>
      <c r="M41" s="157"/>
      <c r="N41" s="72">
        <f>COUNTIFS(缺陷明细!$A$2:$A$50000,$B$4,缺陷明细!$G$2:$G$50000,$C41,缺陷明细!$J$2:$J$50000,"系统测试案例评审",缺陷明细!$AB$2:$AB$50000,"&lt;&gt;丢弃",缺陷明细!$AB$2:$AB$50000,"&lt;&gt;设计如此",缺陷明细!$AB$2:$AB$50000,"&lt;&gt;重复Bug")</f>
        <v>0</v>
      </c>
      <c r="O41" s="72">
        <f>COUNTIFS(缺陷明细!$A$2:$A$50000,$B$4,缺陷明细!$G$2:$G$50000,$C41,缺陷明细!$Q$2:$Q$50000,"已关闭",缺陷明细!$J$2:$J$50000,"系统测试案例评审")</f>
        <v>0</v>
      </c>
      <c r="P41" s="72">
        <f>COUNTIFS(缺陷明细!$A$2:$A$50000,$B$4,缺陷明细!$G$2:$G$50000,$C41,缺陷明细!$J$2:$J$50000,"系统测试",缺陷明细!$AB$2:$AB$50000,"&lt;&gt;丢弃",缺陷明细!$AB$2:$AB$50000,"&lt;&gt;设计如此",缺陷明细!$AB$2:$AB$50000,"&lt;&gt;重复Bug")</f>
        <v>0</v>
      </c>
      <c r="Q41" s="72">
        <f>COUNTIFS(缺陷明细!$A$2:$A$50000,$B$4,缺陷明细!$G$2:$G$50000,$C41,缺陷明细!$Q$2:$Q$50000,"已关闭",缺陷明细!$J$2:$J$50000,"系统测试")</f>
        <v>0</v>
      </c>
      <c r="R41" s="296">
        <f>COUNTIFS(缺陷明细!$A$2:$A$50000,$B$4,缺陷明细!$G$2:$G$50000,$C41,缺陷明细!$AB$2:$AB$50000,"丢弃",缺陷明细!$J$2:$J$50000,"系统测试")+COUNTIFS(缺陷明细!$A$2:$A$50000,$B$4,缺陷明细!$G$2:$G$50000,$C41,缺陷明细!$AB$2:$AB$50000,"设计如此",缺陷明细!$J$2:$J$50000,"系统测试")+COUNTIFS(缺陷明细!$A$2:$A$50000,$B$4,缺陷明细!$G$2:$G$50000,$C41,缺陷明细!$AB$2:$AB$50000,"重复Bug",缺陷明细!$J$2:$J$50000,"系统测试")</f>
        <v>0</v>
      </c>
      <c r="S41" s="72">
        <f>COUNTIFS(缺陷明细!$A$2:$A$50000,$B$4,缺陷明细!$G$2:$G$50000,$C41,缺陷明细!$J$2:$J$50000,"系统测试",缺陷明细!$K$2:$K$50000,"致命",缺陷明细!$AB$2:$AB$50000,"&lt;&gt;丢弃",缺陷明细!$AB$2:$AB$50000,"&lt;&gt;设计如此",缺陷明细!$AB$2:$AB$50000,"&lt;&gt;重复Bug")+COUNTIFS(缺陷明细!$A$2:$A$50000,$B$4,缺陷明细!$G$2:$G$50000,$C41,缺陷明细!$J$2:$J$50000,"系统测试",缺陷明细!$K$2:$K$50000,"严重",缺陷明细!$AB$2:$AB$50000,"&lt;&gt;丢弃",缺陷明细!$AB$2:$AB$50000,"&lt;&gt;设计如此",缺陷明细!$AB$2:$AB$50000,"&lt;&gt;重复Bug")</f>
        <v>0</v>
      </c>
      <c r="T41" s="73">
        <f>COUNTIFS(缺陷明细!$A$2:$A$50000,$B$4,缺陷明细!$G$2:$G$50000,$C41,缺陷明细!$Q$2:$Q$50000,"已关闭",缺陷明细!$J$2:$J$50000,"系统测试",缺陷明细!$K$2:$K$50000,"致命")+COUNTIFS(缺陷明细!$A$2:$A$50000,$B$4,缺陷明细!$G$2:$G$50000,$C41,缺陷明细!$Q$2:$Q$50000,"已关闭",缺陷明细!$J$2:$J$50000,"系统测试",缺陷明细!$K$2:$K$50000,"严重")</f>
        <v>0</v>
      </c>
      <c r="U41" s="74">
        <f>COUNTIFS(缺陷明细!$A$2:$A$50000,$B$4,缺陷明细!$G$2:$G$50000,$C41,缺陷明细!$J$2:$J$50000,"验收测试",缺陷明细!$AB$2:$AB$50000,"&lt;&gt;丢弃",缺陷明细!$AB$2:$AB$50000,"&lt;&gt;设计如此",缺陷明细!$AB$2:$AB$50000,"&lt;&gt;重复Bug")</f>
        <v>0</v>
      </c>
      <c r="V41" s="75">
        <f>COUNTIFS(缺陷明细!$A$2:$A$50000,$B$4,缺陷明细!$G$2:$G$50000,$C41,缺陷明细!$Q$2:$Q$50000,"已关闭",缺陷明细!$J$2:$J$50000,"验收测试")</f>
        <v>0</v>
      </c>
      <c r="W41" s="75">
        <f>COUNTIFS(缺陷明细!$A$2:$A$50000,$B$4,缺陷明细!$G$2:$G$50000,$C41,缺陷明细!$J$2:$J$50000,"验收测试",缺陷明细!$K$2:$K$50000,"致命",缺陷明细!$AB$2:$AB$50000,"&lt;&gt;丢弃",缺陷明细!$AB$2:$AB$50000,"&lt;&gt;设计如此",缺陷明细!$AB$2:$AB$50000,"&lt;&gt;重复Bug")+COUNTIFS(缺陷明细!$A$2:$A$50000,$B$4,缺陷明细!$G$2:$G$50000,$C41,缺陷明细!$J$2:$J$50000,"验收测试",缺陷明细!$K$2:$K$50000,"严重",缺陷明细!$AB$2:$AB$50000,"&lt;&gt;丢弃",缺陷明细!$AB$2:$AB$50000,"&lt;&gt;设计如此",缺陷明细!$AB$2:$AB$50000,"&lt;&gt;重复Bug")</f>
        <v>0</v>
      </c>
      <c r="X41" s="76">
        <f>COUNTIFS(缺陷明细!$A$2:$A$50000,$B$4,缺陷明细!$G$2:$G$50000,$C41,缺陷明细!$Q$2:$Q$50000,"已关闭",缺陷明细!$J$2:$J$50000,"验收测试",缺陷明细!$K$2:$K$50000,"致命")+COUNTIFS(缺陷明细!$A$2:$A$50000,$B$4,缺陷明细!$G$2:$G$50000,$C41,缺陷明细!$Q$2:$Q$50000,"已关闭",缺陷明细!$J$2:$J$50000,"验收测试",缺陷明细!$K$2:$K$50000,"严重")</f>
        <v>0</v>
      </c>
      <c r="Y41" s="70">
        <f>COUNTIFS(缺陷明细!$A$2:$A$50000,$B$4,缺陷明细!$G$2:$G$50000,$C41,缺陷明细!$J$2:$J$50000,"运维测试",缺陷明细!$AB$2:$AB$50000,"&lt;&gt;丢弃",缺陷明细!$AB$2:$AB$50000,"&lt;&gt;设计如此",缺陷明细!$AB$2:$AB$50000,"&lt;&gt;重复Bug")</f>
        <v>0</v>
      </c>
      <c r="Z41" s="71">
        <f>COUNTIFS(缺陷明细!$A$2:$A$50000,$B$4,缺陷明细!$G$2:$G$50000,$C41,缺陷明细!$Q$2:$Q$50000,"已关闭",缺陷明细!$J$2:$J$50000,"运维测试")</f>
        <v>0</v>
      </c>
      <c r="AA41" s="72">
        <f>COUNTIFS(缺陷明细!$A$2:$A$50000,$B$4,缺陷明细!$G$2:$G$50000,$C41,缺陷明细!$J$2:$J$50000,"运维测试",缺陷明细!$K$2:$K$50000,"致命",缺陷明细!$AB$2:$AB$50000,"&lt;&gt;丢弃",缺陷明细!$AB$2:$AB$50000,"&lt;&gt;设计如此",缺陷明细!$AB$2:$AB$50000,"&lt;&gt;重复Bug")+COUNTIFS(缺陷明细!$A$2:$A$50000,$B$4,缺陷明细!$G$2:$G$50000,$C41,缺陷明细!$J$2:$J$50000,"运维测试",缺陷明细!$K$2:$K$50000,"严重",缺陷明细!$AB$2:$AB$50000,"&lt;&gt;丢弃",缺陷明细!$AB$2:$AB$50000,"&lt;&gt;设计如此",缺陷明细!$AB$2:$AB$50000,"&lt;&gt;重复Bug")</f>
        <v>0</v>
      </c>
      <c r="AB41" s="73">
        <f>COUNTIFS(缺陷明细!$A$2:$A$50000,$B$4,缺陷明细!$G$2:$G$50000,$C41,缺陷明细!$Q$2:$Q$50000,"已关闭",缺陷明细!$J$2:$J$50000,"运维测试",缺陷明细!$K$2:$K$50000,"致命")+COUNTIFS(缺陷明细!$A$2:$A$50000,$B$4,缺陷明细!$G$2:$G$50000,$C41,缺陷明细!$Q$2:$Q$50000,"已关闭",缺陷明细!$J$2:$J$50000,"运维测试",缺陷明细!$K$2:$K$50000,"严重")</f>
        <v>0</v>
      </c>
      <c r="AC41" s="68">
        <f t="shared" si="0"/>
        <v>0</v>
      </c>
      <c r="AD41" s="60">
        <f t="shared" si="0"/>
        <v>0</v>
      </c>
      <c r="AE41" s="60">
        <f t="shared" si="1"/>
        <v>0</v>
      </c>
      <c r="AF41" s="60">
        <f t="shared" si="1"/>
        <v>0</v>
      </c>
      <c r="AG41" s="60">
        <f t="shared" si="2"/>
        <v>0</v>
      </c>
      <c r="AH41" s="60">
        <f t="shared" si="2"/>
        <v>0</v>
      </c>
      <c r="AI41" s="60">
        <f t="shared" si="3"/>
        <v>0</v>
      </c>
      <c r="AJ41" s="61">
        <f t="shared" si="3"/>
        <v>0</v>
      </c>
      <c r="AK41" s="144"/>
    </row>
    <row r="42" spans="1:37">
      <c r="A42">
        <v>38</v>
      </c>
      <c r="B42" s="57"/>
      <c r="C42" s="58"/>
      <c r="D42" s="84"/>
      <c r="E42" s="82"/>
      <c r="F42" s="158"/>
      <c r="G42" s="159"/>
      <c r="H42" s="281">
        <f>COUNTIFS(缺陷明细!$A$2:$A$50000,$B$4,缺陷明细!$G$2:$G$50000,$C42,缺陷明细!$J$2:$J$50000,"评审",缺陷明细!$AB$2:$AB$50000,"&lt;&gt;丢弃",缺陷明细!$AB$2:$AB$50000,"&lt;&gt;设计如此",缺陷明细!$AB$2:$AB$50000,"&lt;&gt;重复Bug")</f>
        <v>0</v>
      </c>
      <c r="I42" s="154">
        <f>COUNTIFS(缺陷明细!$A$2:$A$50000,$B$4,缺陷明细!$G$2:$G$50000,$C42,缺陷明细!$Q$2:$Q$50000,"已关闭",缺陷明细!$J$2:$J$50000,"评审")</f>
        <v>0</v>
      </c>
      <c r="J42" s="154">
        <f>COUNTIFS(缺陷明细!$A$2:$A$50000,$B$4,缺陷明细!$G$2:$G$50000,$C42,缺陷明细!$J$2:$J$50000,"单元测试",缺陷明细!$AB$2:$AB$50000,"&lt;&gt;丢弃",缺陷明细!$AB$2:$AB$50000,"&lt;&gt;设计如此",缺陷明细!$AB$2:$AB$50000,"&lt;&gt;重复Bug")</f>
        <v>0</v>
      </c>
      <c r="K42" s="155">
        <f>COUNTIFS(缺陷明细!$A$2:$A$50000,$B$4,缺陷明细!$G$2:$G$50000,$C42,缺陷明细!$Q$2:$Q$50000,"已关闭",缺陷明细!$J$2:$J$50000,"单元测试")</f>
        <v>0</v>
      </c>
      <c r="L42" s="156"/>
      <c r="M42" s="157"/>
      <c r="N42" s="72">
        <f>COUNTIFS(缺陷明细!$A$2:$A$50000,$B$4,缺陷明细!$G$2:$G$50000,$C42,缺陷明细!$J$2:$J$50000,"系统测试案例评审",缺陷明细!$AB$2:$AB$50000,"&lt;&gt;丢弃",缺陷明细!$AB$2:$AB$50000,"&lt;&gt;设计如此",缺陷明细!$AB$2:$AB$50000,"&lt;&gt;重复Bug")</f>
        <v>0</v>
      </c>
      <c r="O42" s="72">
        <f>COUNTIFS(缺陷明细!$A$2:$A$50000,$B$4,缺陷明细!$G$2:$G$50000,$C42,缺陷明细!$Q$2:$Q$50000,"已关闭",缺陷明细!$J$2:$J$50000,"系统测试案例评审")</f>
        <v>0</v>
      </c>
      <c r="P42" s="72">
        <f>COUNTIFS(缺陷明细!$A$2:$A$50000,$B$4,缺陷明细!$G$2:$G$50000,$C42,缺陷明细!$J$2:$J$50000,"系统测试",缺陷明细!$AB$2:$AB$50000,"&lt;&gt;丢弃",缺陷明细!$AB$2:$AB$50000,"&lt;&gt;设计如此",缺陷明细!$AB$2:$AB$50000,"&lt;&gt;重复Bug")</f>
        <v>0</v>
      </c>
      <c r="Q42" s="72">
        <f>COUNTIFS(缺陷明细!$A$2:$A$50000,$B$4,缺陷明细!$G$2:$G$50000,$C42,缺陷明细!$Q$2:$Q$50000,"已关闭",缺陷明细!$J$2:$J$50000,"系统测试")</f>
        <v>0</v>
      </c>
      <c r="R42" s="296">
        <f>COUNTIFS(缺陷明细!$A$2:$A$50000,$B$4,缺陷明细!$G$2:$G$50000,$C42,缺陷明细!$AB$2:$AB$50000,"丢弃",缺陷明细!$J$2:$J$50000,"系统测试")+COUNTIFS(缺陷明细!$A$2:$A$50000,$B$4,缺陷明细!$G$2:$G$50000,$C42,缺陷明细!$AB$2:$AB$50000,"设计如此",缺陷明细!$J$2:$J$50000,"系统测试")+COUNTIFS(缺陷明细!$A$2:$A$50000,$B$4,缺陷明细!$G$2:$G$50000,$C42,缺陷明细!$AB$2:$AB$50000,"重复Bug",缺陷明细!$J$2:$J$50000,"系统测试")</f>
        <v>0</v>
      </c>
      <c r="S42" s="72">
        <f>COUNTIFS(缺陷明细!$A$2:$A$50000,$B$4,缺陷明细!$G$2:$G$50000,$C42,缺陷明细!$J$2:$J$50000,"系统测试",缺陷明细!$K$2:$K$50000,"致命",缺陷明细!$AB$2:$AB$50000,"&lt;&gt;丢弃",缺陷明细!$AB$2:$AB$50000,"&lt;&gt;设计如此",缺陷明细!$AB$2:$AB$50000,"&lt;&gt;重复Bug")+COUNTIFS(缺陷明细!$A$2:$A$50000,$B$4,缺陷明细!$G$2:$G$50000,$C42,缺陷明细!$J$2:$J$50000,"系统测试",缺陷明细!$K$2:$K$50000,"严重",缺陷明细!$AB$2:$AB$50000,"&lt;&gt;丢弃",缺陷明细!$AB$2:$AB$50000,"&lt;&gt;设计如此",缺陷明细!$AB$2:$AB$50000,"&lt;&gt;重复Bug")</f>
        <v>0</v>
      </c>
      <c r="T42" s="73">
        <f>COUNTIFS(缺陷明细!$A$2:$A$50000,$B$4,缺陷明细!$G$2:$G$50000,$C42,缺陷明细!$Q$2:$Q$50000,"已关闭",缺陷明细!$J$2:$J$50000,"系统测试",缺陷明细!$K$2:$K$50000,"致命")+COUNTIFS(缺陷明细!$A$2:$A$50000,$B$4,缺陷明细!$G$2:$G$50000,$C42,缺陷明细!$Q$2:$Q$50000,"已关闭",缺陷明细!$J$2:$J$50000,"系统测试",缺陷明细!$K$2:$K$50000,"严重")</f>
        <v>0</v>
      </c>
      <c r="U42" s="74">
        <f>COUNTIFS(缺陷明细!$A$2:$A$50000,$B$4,缺陷明细!$G$2:$G$50000,$C42,缺陷明细!$J$2:$J$50000,"验收测试",缺陷明细!$AB$2:$AB$50000,"&lt;&gt;丢弃",缺陷明细!$AB$2:$AB$50000,"&lt;&gt;设计如此",缺陷明细!$AB$2:$AB$50000,"&lt;&gt;重复Bug")</f>
        <v>0</v>
      </c>
      <c r="V42" s="75">
        <f>COUNTIFS(缺陷明细!$A$2:$A$50000,$B$4,缺陷明细!$G$2:$G$50000,$C42,缺陷明细!$Q$2:$Q$50000,"已关闭",缺陷明细!$J$2:$J$50000,"验收测试")</f>
        <v>0</v>
      </c>
      <c r="W42" s="75">
        <f>COUNTIFS(缺陷明细!$A$2:$A$50000,$B$4,缺陷明细!$G$2:$G$50000,$C42,缺陷明细!$J$2:$J$50000,"验收测试",缺陷明细!$K$2:$K$50000,"致命",缺陷明细!$AB$2:$AB$50000,"&lt;&gt;丢弃",缺陷明细!$AB$2:$AB$50000,"&lt;&gt;设计如此",缺陷明细!$AB$2:$AB$50000,"&lt;&gt;重复Bug")+COUNTIFS(缺陷明细!$A$2:$A$50000,$B$4,缺陷明细!$G$2:$G$50000,$C42,缺陷明细!$J$2:$J$50000,"验收测试",缺陷明细!$K$2:$K$50000,"严重",缺陷明细!$AB$2:$AB$50000,"&lt;&gt;丢弃",缺陷明细!$AB$2:$AB$50000,"&lt;&gt;设计如此",缺陷明细!$AB$2:$AB$50000,"&lt;&gt;重复Bug")</f>
        <v>0</v>
      </c>
      <c r="X42" s="76">
        <f>COUNTIFS(缺陷明细!$A$2:$A$50000,$B$4,缺陷明细!$G$2:$G$50000,$C42,缺陷明细!$Q$2:$Q$50000,"已关闭",缺陷明细!$J$2:$J$50000,"验收测试",缺陷明细!$K$2:$K$50000,"致命")+COUNTIFS(缺陷明细!$A$2:$A$50000,$B$4,缺陷明细!$G$2:$G$50000,$C42,缺陷明细!$Q$2:$Q$50000,"已关闭",缺陷明细!$J$2:$J$50000,"验收测试",缺陷明细!$K$2:$K$50000,"严重")</f>
        <v>0</v>
      </c>
      <c r="Y42" s="70">
        <f>COUNTIFS(缺陷明细!$A$2:$A$50000,$B$4,缺陷明细!$G$2:$G$50000,$C42,缺陷明细!$J$2:$J$50000,"运维测试",缺陷明细!$AB$2:$AB$50000,"&lt;&gt;丢弃",缺陷明细!$AB$2:$AB$50000,"&lt;&gt;设计如此",缺陷明细!$AB$2:$AB$50000,"&lt;&gt;重复Bug")</f>
        <v>0</v>
      </c>
      <c r="Z42" s="71">
        <f>COUNTIFS(缺陷明细!$A$2:$A$50000,$B$4,缺陷明细!$G$2:$G$50000,$C42,缺陷明细!$Q$2:$Q$50000,"已关闭",缺陷明细!$J$2:$J$50000,"运维测试")</f>
        <v>0</v>
      </c>
      <c r="AA42" s="72">
        <f>COUNTIFS(缺陷明细!$A$2:$A$50000,$B$4,缺陷明细!$G$2:$G$50000,$C42,缺陷明细!$J$2:$J$50000,"运维测试",缺陷明细!$K$2:$K$50000,"致命",缺陷明细!$AB$2:$AB$50000,"&lt;&gt;丢弃",缺陷明细!$AB$2:$AB$50000,"&lt;&gt;设计如此",缺陷明细!$AB$2:$AB$50000,"&lt;&gt;重复Bug")+COUNTIFS(缺陷明细!$A$2:$A$50000,$B$4,缺陷明细!$G$2:$G$50000,$C42,缺陷明细!$J$2:$J$50000,"运维测试",缺陷明细!$K$2:$K$50000,"严重",缺陷明细!$AB$2:$AB$50000,"&lt;&gt;丢弃",缺陷明细!$AB$2:$AB$50000,"&lt;&gt;设计如此",缺陷明细!$AB$2:$AB$50000,"&lt;&gt;重复Bug")</f>
        <v>0</v>
      </c>
      <c r="AB42" s="73">
        <f>COUNTIFS(缺陷明细!$A$2:$A$50000,$B$4,缺陷明细!$G$2:$G$50000,$C42,缺陷明细!$Q$2:$Q$50000,"已关闭",缺陷明细!$J$2:$J$50000,"运维测试",缺陷明细!$K$2:$K$50000,"致命")+COUNTIFS(缺陷明细!$A$2:$A$50000,$B$4,缺陷明细!$G$2:$G$50000,$C42,缺陷明细!$Q$2:$Q$50000,"已关闭",缺陷明细!$J$2:$J$50000,"运维测试",缺陷明细!$K$2:$K$50000,"严重")</f>
        <v>0</v>
      </c>
      <c r="AC42" s="68">
        <f t="shared" si="0"/>
        <v>0</v>
      </c>
      <c r="AD42" s="60">
        <f t="shared" si="0"/>
        <v>0</v>
      </c>
      <c r="AE42" s="60">
        <f t="shared" si="1"/>
        <v>0</v>
      </c>
      <c r="AF42" s="60">
        <f t="shared" si="1"/>
        <v>0</v>
      </c>
      <c r="AG42" s="60">
        <f t="shared" si="2"/>
        <v>0</v>
      </c>
      <c r="AH42" s="60">
        <f t="shared" si="2"/>
        <v>0</v>
      </c>
      <c r="AI42" s="60">
        <f t="shared" si="3"/>
        <v>0</v>
      </c>
      <c r="AJ42" s="61">
        <f t="shared" si="3"/>
        <v>0</v>
      </c>
      <c r="AK42" s="144"/>
    </row>
    <row r="43" spans="1:37">
      <c r="A43">
        <v>39</v>
      </c>
      <c r="B43" s="57"/>
      <c r="C43" s="58"/>
      <c r="D43" s="84"/>
      <c r="E43" s="82"/>
      <c r="F43" s="158"/>
      <c r="G43" s="159"/>
      <c r="H43" s="281">
        <f>COUNTIFS(缺陷明细!$A$2:$A$50000,$B$4,缺陷明细!$G$2:$G$50000,$C43,缺陷明细!$J$2:$J$50000,"评审",缺陷明细!$AB$2:$AB$50000,"&lt;&gt;丢弃",缺陷明细!$AB$2:$AB$50000,"&lt;&gt;设计如此",缺陷明细!$AB$2:$AB$50000,"&lt;&gt;重复Bug")</f>
        <v>0</v>
      </c>
      <c r="I43" s="154">
        <f>COUNTIFS(缺陷明细!$A$2:$A$50000,$B$4,缺陷明细!$G$2:$G$50000,$C43,缺陷明细!$Q$2:$Q$50000,"已关闭",缺陷明细!$J$2:$J$50000,"评审")</f>
        <v>0</v>
      </c>
      <c r="J43" s="154">
        <f>COUNTIFS(缺陷明细!$A$2:$A$50000,$B$4,缺陷明细!$G$2:$G$50000,$C43,缺陷明细!$J$2:$J$50000,"单元测试",缺陷明细!$AB$2:$AB$50000,"&lt;&gt;丢弃",缺陷明细!$AB$2:$AB$50000,"&lt;&gt;设计如此",缺陷明细!$AB$2:$AB$50000,"&lt;&gt;重复Bug")</f>
        <v>0</v>
      </c>
      <c r="K43" s="155">
        <f>COUNTIFS(缺陷明细!$A$2:$A$50000,$B$4,缺陷明细!$G$2:$G$50000,$C43,缺陷明细!$Q$2:$Q$50000,"已关闭",缺陷明细!$J$2:$J$50000,"单元测试")</f>
        <v>0</v>
      </c>
      <c r="L43" s="156"/>
      <c r="M43" s="157"/>
      <c r="N43" s="72">
        <f>COUNTIFS(缺陷明细!$A$2:$A$50000,$B$4,缺陷明细!$G$2:$G$50000,$C43,缺陷明细!$J$2:$J$50000,"系统测试案例评审",缺陷明细!$AB$2:$AB$50000,"&lt;&gt;丢弃",缺陷明细!$AB$2:$AB$50000,"&lt;&gt;设计如此",缺陷明细!$AB$2:$AB$50000,"&lt;&gt;重复Bug")</f>
        <v>0</v>
      </c>
      <c r="O43" s="72">
        <f>COUNTIFS(缺陷明细!$A$2:$A$50000,$B$4,缺陷明细!$G$2:$G$50000,$C43,缺陷明细!$Q$2:$Q$50000,"已关闭",缺陷明细!$J$2:$J$50000,"系统测试案例评审")</f>
        <v>0</v>
      </c>
      <c r="P43" s="72">
        <f>COUNTIFS(缺陷明细!$A$2:$A$50000,$B$4,缺陷明细!$G$2:$G$50000,$C43,缺陷明细!$J$2:$J$50000,"系统测试",缺陷明细!$AB$2:$AB$50000,"&lt;&gt;丢弃",缺陷明细!$AB$2:$AB$50000,"&lt;&gt;设计如此",缺陷明细!$AB$2:$AB$50000,"&lt;&gt;重复Bug")</f>
        <v>0</v>
      </c>
      <c r="Q43" s="72">
        <f>COUNTIFS(缺陷明细!$A$2:$A$50000,$B$4,缺陷明细!$G$2:$G$50000,$C43,缺陷明细!$Q$2:$Q$50000,"已关闭",缺陷明细!$J$2:$J$50000,"系统测试")</f>
        <v>0</v>
      </c>
      <c r="R43" s="296">
        <f>COUNTIFS(缺陷明细!$A$2:$A$50000,$B$4,缺陷明细!$G$2:$G$50000,$C43,缺陷明细!$AB$2:$AB$50000,"丢弃",缺陷明细!$J$2:$J$50000,"系统测试")+COUNTIFS(缺陷明细!$A$2:$A$50000,$B$4,缺陷明细!$G$2:$G$50000,$C43,缺陷明细!$AB$2:$AB$50000,"设计如此",缺陷明细!$J$2:$J$50000,"系统测试")+COUNTIFS(缺陷明细!$A$2:$A$50000,$B$4,缺陷明细!$G$2:$G$50000,$C43,缺陷明细!$AB$2:$AB$50000,"重复Bug",缺陷明细!$J$2:$J$50000,"系统测试")</f>
        <v>0</v>
      </c>
      <c r="S43" s="72">
        <f>COUNTIFS(缺陷明细!$A$2:$A$50000,$B$4,缺陷明细!$G$2:$G$50000,$C43,缺陷明细!$J$2:$J$50000,"系统测试",缺陷明细!$K$2:$K$50000,"致命",缺陷明细!$AB$2:$AB$50000,"&lt;&gt;丢弃",缺陷明细!$AB$2:$AB$50000,"&lt;&gt;设计如此",缺陷明细!$AB$2:$AB$50000,"&lt;&gt;重复Bug")+COUNTIFS(缺陷明细!$A$2:$A$50000,$B$4,缺陷明细!$G$2:$G$50000,$C43,缺陷明细!$J$2:$J$50000,"系统测试",缺陷明细!$K$2:$K$50000,"严重",缺陷明细!$AB$2:$AB$50000,"&lt;&gt;丢弃",缺陷明细!$AB$2:$AB$50000,"&lt;&gt;设计如此",缺陷明细!$AB$2:$AB$50000,"&lt;&gt;重复Bug")</f>
        <v>0</v>
      </c>
      <c r="T43" s="73">
        <f>COUNTIFS(缺陷明细!$A$2:$A$50000,$B$4,缺陷明细!$G$2:$G$50000,$C43,缺陷明细!$Q$2:$Q$50000,"已关闭",缺陷明细!$J$2:$J$50000,"系统测试",缺陷明细!$K$2:$K$50000,"致命")+COUNTIFS(缺陷明细!$A$2:$A$50000,$B$4,缺陷明细!$G$2:$G$50000,$C43,缺陷明细!$Q$2:$Q$50000,"已关闭",缺陷明细!$J$2:$J$50000,"系统测试",缺陷明细!$K$2:$K$50000,"严重")</f>
        <v>0</v>
      </c>
      <c r="U43" s="74">
        <f>COUNTIFS(缺陷明细!$A$2:$A$50000,$B$4,缺陷明细!$G$2:$G$50000,$C43,缺陷明细!$J$2:$J$50000,"验收测试",缺陷明细!$AB$2:$AB$50000,"&lt;&gt;丢弃",缺陷明细!$AB$2:$AB$50000,"&lt;&gt;设计如此",缺陷明细!$AB$2:$AB$50000,"&lt;&gt;重复Bug")</f>
        <v>0</v>
      </c>
      <c r="V43" s="75">
        <f>COUNTIFS(缺陷明细!$A$2:$A$50000,$B$4,缺陷明细!$G$2:$G$50000,$C43,缺陷明细!$Q$2:$Q$50000,"已关闭",缺陷明细!$J$2:$J$50000,"验收测试")</f>
        <v>0</v>
      </c>
      <c r="W43" s="75">
        <f>COUNTIFS(缺陷明细!$A$2:$A$50000,$B$4,缺陷明细!$G$2:$G$50000,$C43,缺陷明细!$J$2:$J$50000,"验收测试",缺陷明细!$K$2:$K$50000,"致命",缺陷明细!$AB$2:$AB$50000,"&lt;&gt;丢弃",缺陷明细!$AB$2:$AB$50000,"&lt;&gt;设计如此",缺陷明细!$AB$2:$AB$50000,"&lt;&gt;重复Bug")+COUNTIFS(缺陷明细!$A$2:$A$50000,$B$4,缺陷明细!$G$2:$G$50000,$C43,缺陷明细!$J$2:$J$50000,"验收测试",缺陷明细!$K$2:$K$50000,"严重",缺陷明细!$AB$2:$AB$50000,"&lt;&gt;丢弃",缺陷明细!$AB$2:$AB$50000,"&lt;&gt;设计如此",缺陷明细!$AB$2:$AB$50000,"&lt;&gt;重复Bug")</f>
        <v>0</v>
      </c>
      <c r="X43" s="76">
        <f>COUNTIFS(缺陷明细!$A$2:$A$50000,$B$4,缺陷明细!$G$2:$G$50000,$C43,缺陷明细!$Q$2:$Q$50000,"已关闭",缺陷明细!$J$2:$J$50000,"验收测试",缺陷明细!$K$2:$K$50000,"致命")+COUNTIFS(缺陷明细!$A$2:$A$50000,$B$4,缺陷明细!$G$2:$G$50000,$C43,缺陷明细!$Q$2:$Q$50000,"已关闭",缺陷明细!$J$2:$J$50000,"验收测试",缺陷明细!$K$2:$K$50000,"严重")</f>
        <v>0</v>
      </c>
      <c r="Y43" s="70">
        <f>COUNTIFS(缺陷明细!$A$2:$A$50000,$B$4,缺陷明细!$G$2:$G$50000,$C43,缺陷明细!$J$2:$J$50000,"运维测试",缺陷明细!$AB$2:$AB$50000,"&lt;&gt;丢弃",缺陷明细!$AB$2:$AB$50000,"&lt;&gt;设计如此",缺陷明细!$AB$2:$AB$50000,"&lt;&gt;重复Bug")</f>
        <v>0</v>
      </c>
      <c r="Z43" s="71">
        <f>COUNTIFS(缺陷明细!$A$2:$A$50000,$B$4,缺陷明细!$G$2:$G$50000,$C43,缺陷明细!$Q$2:$Q$50000,"已关闭",缺陷明细!$J$2:$J$50000,"运维测试")</f>
        <v>0</v>
      </c>
      <c r="AA43" s="72">
        <f>COUNTIFS(缺陷明细!$A$2:$A$50000,$B$4,缺陷明细!$G$2:$G$50000,$C43,缺陷明细!$J$2:$J$50000,"运维测试",缺陷明细!$K$2:$K$50000,"致命",缺陷明细!$AB$2:$AB$50000,"&lt;&gt;丢弃",缺陷明细!$AB$2:$AB$50000,"&lt;&gt;设计如此",缺陷明细!$AB$2:$AB$50000,"&lt;&gt;重复Bug")+COUNTIFS(缺陷明细!$A$2:$A$50000,$B$4,缺陷明细!$G$2:$G$50000,$C43,缺陷明细!$J$2:$J$50000,"运维测试",缺陷明细!$K$2:$K$50000,"严重",缺陷明细!$AB$2:$AB$50000,"&lt;&gt;丢弃",缺陷明细!$AB$2:$AB$50000,"&lt;&gt;设计如此",缺陷明细!$AB$2:$AB$50000,"&lt;&gt;重复Bug")</f>
        <v>0</v>
      </c>
      <c r="AB43" s="73">
        <f>COUNTIFS(缺陷明细!$A$2:$A$50000,$B$4,缺陷明细!$G$2:$G$50000,$C43,缺陷明细!$Q$2:$Q$50000,"已关闭",缺陷明细!$J$2:$J$50000,"运维测试",缺陷明细!$K$2:$K$50000,"致命")+COUNTIFS(缺陷明细!$A$2:$A$50000,$B$4,缺陷明细!$G$2:$G$50000,$C43,缺陷明细!$Q$2:$Q$50000,"已关闭",缺陷明细!$J$2:$J$50000,"运维测试",缺陷明细!$K$2:$K$50000,"严重")</f>
        <v>0</v>
      </c>
      <c r="AC43" s="68">
        <f t="shared" si="0"/>
        <v>0</v>
      </c>
      <c r="AD43" s="60">
        <f t="shared" si="0"/>
        <v>0</v>
      </c>
      <c r="AE43" s="60">
        <f t="shared" si="1"/>
        <v>0</v>
      </c>
      <c r="AF43" s="60">
        <f t="shared" si="1"/>
        <v>0</v>
      </c>
      <c r="AG43" s="60">
        <f t="shared" si="2"/>
        <v>0</v>
      </c>
      <c r="AH43" s="60">
        <f t="shared" si="2"/>
        <v>0</v>
      </c>
      <c r="AI43" s="60">
        <f t="shared" si="3"/>
        <v>0</v>
      </c>
      <c r="AJ43" s="61">
        <f t="shared" si="3"/>
        <v>0</v>
      </c>
      <c r="AK43" s="144"/>
    </row>
    <row r="44" spans="1:37">
      <c r="A44">
        <v>40</v>
      </c>
      <c r="B44" s="57"/>
      <c r="C44" s="58"/>
      <c r="D44" s="84"/>
      <c r="E44" s="82"/>
      <c r="F44" s="158"/>
      <c r="G44" s="159"/>
      <c r="H44" s="281">
        <f>COUNTIFS(缺陷明细!$A$2:$A$50000,$B$4,缺陷明细!$G$2:$G$50000,$C44,缺陷明细!$J$2:$J$50000,"评审",缺陷明细!$AB$2:$AB$50000,"&lt;&gt;丢弃",缺陷明细!$AB$2:$AB$50000,"&lt;&gt;设计如此",缺陷明细!$AB$2:$AB$50000,"&lt;&gt;重复Bug")</f>
        <v>0</v>
      </c>
      <c r="I44" s="154">
        <f>COUNTIFS(缺陷明细!$A$2:$A$50000,$B$4,缺陷明细!$G$2:$G$50000,$C44,缺陷明细!$Q$2:$Q$50000,"已关闭",缺陷明细!$J$2:$J$50000,"评审")</f>
        <v>0</v>
      </c>
      <c r="J44" s="154">
        <f>COUNTIFS(缺陷明细!$A$2:$A$50000,$B$4,缺陷明细!$G$2:$G$50000,$C44,缺陷明细!$J$2:$J$50000,"单元测试",缺陷明细!$AB$2:$AB$50000,"&lt;&gt;丢弃",缺陷明细!$AB$2:$AB$50000,"&lt;&gt;设计如此",缺陷明细!$AB$2:$AB$50000,"&lt;&gt;重复Bug")</f>
        <v>0</v>
      </c>
      <c r="K44" s="155">
        <f>COUNTIFS(缺陷明细!$A$2:$A$50000,$B$4,缺陷明细!$G$2:$G$50000,$C44,缺陷明细!$Q$2:$Q$50000,"已关闭",缺陷明细!$J$2:$J$50000,"单元测试")</f>
        <v>0</v>
      </c>
      <c r="L44" s="156"/>
      <c r="M44" s="157"/>
      <c r="N44" s="72">
        <f>COUNTIFS(缺陷明细!$A$2:$A$50000,$B$4,缺陷明细!$G$2:$G$50000,$C44,缺陷明细!$J$2:$J$50000,"系统测试案例评审",缺陷明细!$AB$2:$AB$50000,"&lt;&gt;丢弃",缺陷明细!$AB$2:$AB$50000,"&lt;&gt;设计如此",缺陷明细!$AB$2:$AB$50000,"&lt;&gt;重复Bug")</f>
        <v>0</v>
      </c>
      <c r="O44" s="72">
        <f>COUNTIFS(缺陷明细!$A$2:$A$50000,$B$4,缺陷明细!$G$2:$G$50000,$C44,缺陷明细!$Q$2:$Q$50000,"已关闭",缺陷明细!$J$2:$J$50000,"系统测试案例评审")</f>
        <v>0</v>
      </c>
      <c r="P44" s="72">
        <f>COUNTIFS(缺陷明细!$A$2:$A$50000,$B$4,缺陷明细!$G$2:$G$50000,$C44,缺陷明细!$J$2:$J$50000,"系统测试",缺陷明细!$AB$2:$AB$50000,"&lt;&gt;丢弃",缺陷明细!$AB$2:$AB$50000,"&lt;&gt;设计如此",缺陷明细!$AB$2:$AB$50000,"&lt;&gt;重复Bug")</f>
        <v>0</v>
      </c>
      <c r="Q44" s="72">
        <f>COUNTIFS(缺陷明细!$A$2:$A$50000,$B$4,缺陷明细!$G$2:$G$50000,$C44,缺陷明细!$Q$2:$Q$50000,"已关闭",缺陷明细!$J$2:$J$50000,"系统测试")</f>
        <v>0</v>
      </c>
      <c r="R44" s="296">
        <f>COUNTIFS(缺陷明细!$A$2:$A$50000,$B$4,缺陷明细!$G$2:$G$50000,$C44,缺陷明细!$AB$2:$AB$50000,"丢弃",缺陷明细!$J$2:$J$50000,"系统测试")+COUNTIFS(缺陷明细!$A$2:$A$50000,$B$4,缺陷明细!$G$2:$G$50000,$C44,缺陷明细!$AB$2:$AB$50000,"设计如此",缺陷明细!$J$2:$J$50000,"系统测试")+COUNTIFS(缺陷明细!$A$2:$A$50000,$B$4,缺陷明细!$G$2:$G$50000,$C44,缺陷明细!$AB$2:$AB$50000,"重复Bug",缺陷明细!$J$2:$J$50000,"系统测试")</f>
        <v>0</v>
      </c>
      <c r="S44" s="72">
        <f>COUNTIFS(缺陷明细!$A$2:$A$50000,$B$4,缺陷明细!$G$2:$G$50000,$C44,缺陷明细!$J$2:$J$50000,"系统测试",缺陷明细!$K$2:$K$50000,"致命",缺陷明细!$AB$2:$AB$50000,"&lt;&gt;丢弃",缺陷明细!$AB$2:$AB$50000,"&lt;&gt;设计如此",缺陷明细!$AB$2:$AB$50000,"&lt;&gt;重复Bug")+COUNTIFS(缺陷明细!$A$2:$A$50000,$B$4,缺陷明细!$G$2:$G$50000,$C44,缺陷明细!$J$2:$J$50000,"系统测试",缺陷明细!$K$2:$K$50000,"严重",缺陷明细!$AB$2:$AB$50000,"&lt;&gt;丢弃",缺陷明细!$AB$2:$AB$50000,"&lt;&gt;设计如此",缺陷明细!$AB$2:$AB$50000,"&lt;&gt;重复Bug")</f>
        <v>0</v>
      </c>
      <c r="T44" s="73">
        <f>COUNTIFS(缺陷明细!$A$2:$A$50000,$B$4,缺陷明细!$G$2:$G$50000,$C44,缺陷明细!$Q$2:$Q$50000,"已关闭",缺陷明细!$J$2:$J$50000,"系统测试",缺陷明细!$K$2:$K$50000,"致命")+COUNTIFS(缺陷明细!$A$2:$A$50000,$B$4,缺陷明细!$G$2:$G$50000,$C44,缺陷明细!$Q$2:$Q$50000,"已关闭",缺陷明细!$J$2:$J$50000,"系统测试",缺陷明细!$K$2:$K$50000,"严重")</f>
        <v>0</v>
      </c>
      <c r="U44" s="74">
        <f>COUNTIFS(缺陷明细!$A$2:$A$50000,$B$4,缺陷明细!$G$2:$G$50000,$C44,缺陷明细!$J$2:$J$50000,"验收测试",缺陷明细!$AB$2:$AB$50000,"&lt;&gt;丢弃",缺陷明细!$AB$2:$AB$50000,"&lt;&gt;设计如此",缺陷明细!$AB$2:$AB$50000,"&lt;&gt;重复Bug")</f>
        <v>0</v>
      </c>
      <c r="V44" s="75">
        <f>COUNTIFS(缺陷明细!$A$2:$A$50000,$B$4,缺陷明细!$G$2:$G$50000,$C44,缺陷明细!$Q$2:$Q$50000,"已关闭",缺陷明细!$J$2:$J$50000,"验收测试")</f>
        <v>0</v>
      </c>
      <c r="W44" s="75">
        <f>COUNTIFS(缺陷明细!$A$2:$A$50000,$B$4,缺陷明细!$G$2:$G$50000,$C44,缺陷明细!$J$2:$J$50000,"验收测试",缺陷明细!$K$2:$K$50000,"致命",缺陷明细!$AB$2:$AB$50000,"&lt;&gt;丢弃",缺陷明细!$AB$2:$AB$50000,"&lt;&gt;设计如此",缺陷明细!$AB$2:$AB$50000,"&lt;&gt;重复Bug")+COUNTIFS(缺陷明细!$A$2:$A$50000,$B$4,缺陷明细!$G$2:$G$50000,$C44,缺陷明细!$J$2:$J$50000,"验收测试",缺陷明细!$K$2:$K$50000,"严重",缺陷明细!$AB$2:$AB$50000,"&lt;&gt;丢弃",缺陷明细!$AB$2:$AB$50000,"&lt;&gt;设计如此",缺陷明细!$AB$2:$AB$50000,"&lt;&gt;重复Bug")</f>
        <v>0</v>
      </c>
      <c r="X44" s="76">
        <f>COUNTIFS(缺陷明细!$A$2:$A$50000,$B$4,缺陷明细!$G$2:$G$50000,$C44,缺陷明细!$Q$2:$Q$50000,"已关闭",缺陷明细!$J$2:$J$50000,"验收测试",缺陷明细!$K$2:$K$50000,"致命")+COUNTIFS(缺陷明细!$A$2:$A$50000,$B$4,缺陷明细!$G$2:$G$50000,$C44,缺陷明细!$Q$2:$Q$50000,"已关闭",缺陷明细!$J$2:$J$50000,"验收测试",缺陷明细!$K$2:$K$50000,"严重")</f>
        <v>0</v>
      </c>
      <c r="Y44" s="70">
        <f>COUNTIFS(缺陷明细!$A$2:$A$50000,$B$4,缺陷明细!$G$2:$G$50000,$C44,缺陷明细!$J$2:$J$50000,"运维测试",缺陷明细!$AB$2:$AB$50000,"&lt;&gt;丢弃",缺陷明细!$AB$2:$AB$50000,"&lt;&gt;设计如此",缺陷明细!$AB$2:$AB$50000,"&lt;&gt;重复Bug")</f>
        <v>0</v>
      </c>
      <c r="Z44" s="71">
        <f>COUNTIFS(缺陷明细!$A$2:$A$50000,$B$4,缺陷明细!$G$2:$G$50000,$C44,缺陷明细!$Q$2:$Q$50000,"已关闭",缺陷明细!$J$2:$J$50000,"运维测试")</f>
        <v>0</v>
      </c>
      <c r="AA44" s="72">
        <f>COUNTIFS(缺陷明细!$A$2:$A$50000,$B$4,缺陷明细!$G$2:$G$50000,$C44,缺陷明细!$J$2:$J$50000,"运维测试",缺陷明细!$K$2:$K$50000,"致命",缺陷明细!$AB$2:$AB$50000,"&lt;&gt;丢弃",缺陷明细!$AB$2:$AB$50000,"&lt;&gt;设计如此",缺陷明细!$AB$2:$AB$50000,"&lt;&gt;重复Bug")+COUNTIFS(缺陷明细!$A$2:$A$50000,$B$4,缺陷明细!$G$2:$G$50000,$C44,缺陷明细!$J$2:$J$50000,"运维测试",缺陷明细!$K$2:$K$50000,"严重",缺陷明细!$AB$2:$AB$50000,"&lt;&gt;丢弃",缺陷明细!$AB$2:$AB$50000,"&lt;&gt;设计如此",缺陷明细!$AB$2:$AB$50000,"&lt;&gt;重复Bug")</f>
        <v>0</v>
      </c>
      <c r="AB44" s="73">
        <f>COUNTIFS(缺陷明细!$A$2:$A$50000,$B$4,缺陷明细!$G$2:$G$50000,$C44,缺陷明细!$Q$2:$Q$50000,"已关闭",缺陷明细!$J$2:$J$50000,"运维测试",缺陷明细!$K$2:$K$50000,"致命")+COUNTIFS(缺陷明细!$A$2:$A$50000,$B$4,缺陷明细!$G$2:$G$50000,$C44,缺陷明细!$Q$2:$Q$50000,"已关闭",缺陷明细!$J$2:$J$50000,"运维测试",缺陷明细!$K$2:$K$50000,"严重")</f>
        <v>0</v>
      </c>
      <c r="AC44" s="68">
        <f t="shared" si="0"/>
        <v>0</v>
      </c>
      <c r="AD44" s="60">
        <f t="shared" si="0"/>
        <v>0</v>
      </c>
      <c r="AE44" s="60">
        <f t="shared" si="1"/>
        <v>0</v>
      </c>
      <c r="AF44" s="60">
        <f t="shared" si="1"/>
        <v>0</v>
      </c>
      <c r="AG44" s="60">
        <f t="shared" si="2"/>
        <v>0</v>
      </c>
      <c r="AH44" s="60">
        <f t="shared" si="2"/>
        <v>0</v>
      </c>
      <c r="AI44" s="60">
        <f t="shared" si="3"/>
        <v>0</v>
      </c>
      <c r="AJ44" s="61">
        <f t="shared" si="3"/>
        <v>0</v>
      </c>
      <c r="AK44" s="144"/>
    </row>
    <row r="45" spans="1:37">
      <c r="A45">
        <v>41</v>
      </c>
      <c r="B45" s="57"/>
      <c r="C45" s="58"/>
      <c r="D45" s="84"/>
      <c r="E45" s="82"/>
      <c r="F45" s="158"/>
      <c r="G45" s="159"/>
      <c r="H45" s="281">
        <f>COUNTIFS(缺陷明细!$A$2:$A$50000,$B$4,缺陷明细!$G$2:$G$50000,$C45,缺陷明细!$J$2:$J$50000,"评审",缺陷明细!$AB$2:$AB$50000,"&lt;&gt;丢弃",缺陷明细!$AB$2:$AB$50000,"&lt;&gt;设计如此",缺陷明细!$AB$2:$AB$50000,"&lt;&gt;重复Bug")</f>
        <v>0</v>
      </c>
      <c r="I45" s="154">
        <f>COUNTIFS(缺陷明细!$A$2:$A$50000,$B$4,缺陷明细!$G$2:$G$50000,$C45,缺陷明细!$Q$2:$Q$50000,"已关闭",缺陷明细!$J$2:$J$50000,"评审")</f>
        <v>0</v>
      </c>
      <c r="J45" s="154">
        <f>COUNTIFS(缺陷明细!$A$2:$A$50000,$B$4,缺陷明细!$G$2:$G$50000,$C45,缺陷明细!$J$2:$J$50000,"单元测试",缺陷明细!$AB$2:$AB$50000,"&lt;&gt;丢弃",缺陷明细!$AB$2:$AB$50000,"&lt;&gt;设计如此",缺陷明细!$AB$2:$AB$50000,"&lt;&gt;重复Bug")</f>
        <v>0</v>
      </c>
      <c r="K45" s="155">
        <f>COUNTIFS(缺陷明细!$A$2:$A$50000,$B$4,缺陷明细!$G$2:$G$50000,$C45,缺陷明细!$Q$2:$Q$50000,"已关闭",缺陷明细!$J$2:$J$50000,"单元测试")</f>
        <v>0</v>
      </c>
      <c r="L45" s="156"/>
      <c r="M45" s="157"/>
      <c r="N45" s="72">
        <f>COUNTIFS(缺陷明细!$A$2:$A$50000,$B$4,缺陷明细!$G$2:$G$50000,$C45,缺陷明细!$J$2:$J$50000,"系统测试案例评审",缺陷明细!$AB$2:$AB$50000,"&lt;&gt;丢弃",缺陷明细!$AB$2:$AB$50000,"&lt;&gt;设计如此",缺陷明细!$AB$2:$AB$50000,"&lt;&gt;重复Bug")</f>
        <v>0</v>
      </c>
      <c r="O45" s="72">
        <f>COUNTIFS(缺陷明细!$A$2:$A$50000,$B$4,缺陷明细!$G$2:$G$50000,$C45,缺陷明细!$Q$2:$Q$50000,"已关闭",缺陷明细!$J$2:$J$50000,"系统测试案例评审")</f>
        <v>0</v>
      </c>
      <c r="P45" s="72">
        <f>COUNTIFS(缺陷明细!$A$2:$A$50000,$B$4,缺陷明细!$G$2:$G$50000,$C45,缺陷明细!$J$2:$J$50000,"系统测试",缺陷明细!$AB$2:$AB$50000,"&lt;&gt;丢弃",缺陷明细!$AB$2:$AB$50000,"&lt;&gt;设计如此",缺陷明细!$AB$2:$AB$50000,"&lt;&gt;重复Bug")</f>
        <v>0</v>
      </c>
      <c r="Q45" s="72">
        <f>COUNTIFS(缺陷明细!$A$2:$A$50000,$B$4,缺陷明细!$G$2:$G$50000,$C45,缺陷明细!$Q$2:$Q$50000,"已关闭",缺陷明细!$J$2:$J$50000,"系统测试")</f>
        <v>0</v>
      </c>
      <c r="R45" s="296">
        <f>COUNTIFS(缺陷明细!$A$2:$A$50000,$B$4,缺陷明细!$G$2:$G$50000,$C45,缺陷明细!$AB$2:$AB$50000,"丢弃",缺陷明细!$J$2:$J$50000,"系统测试")+COUNTIFS(缺陷明细!$A$2:$A$50000,$B$4,缺陷明细!$G$2:$G$50000,$C45,缺陷明细!$AB$2:$AB$50000,"设计如此",缺陷明细!$J$2:$J$50000,"系统测试")+COUNTIFS(缺陷明细!$A$2:$A$50000,$B$4,缺陷明细!$G$2:$G$50000,$C45,缺陷明细!$AB$2:$AB$50000,"重复Bug",缺陷明细!$J$2:$J$50000,"系统测试")</f>
        <v>0</v>
      </c>
      <c r="S45" s="72">
        <f>COUNTIFS(缺陷明细!$A$2:$A$50000,$B$4,缺陷明细!$G$2:$G$50000,$C45,缺陷明细!$J$2:$J$50000,"系统测试",缺陷明细!$K$2:$K$50000,"致命",缺陷明细!$AB$2:$AB$50000,"&lt;&gt;丢弃",缺陷明细!$AB$2:$AB$50000,"&lt;&gt;设计如此",缺陷明细!$AB$2:$AB$50000,"&lt;&gt;重复Bug")+COUNTIFS(缺陷明细!$A$2:$A$50000,$B$4,缺陷明细!$G$2:$G$50000,$C45,缺陷明细!$J$2:$J$50000,"系统测试",缺陷明细!$K$2:$K$50000,"严重",缺陷明细!$AB$2:$AB$50000,"&lt;&gt;丢弃",缺陷明细!$AB$2:$AB$50000,"&lt;&gt;设计如此",缺陷明细!$AB$2:$AB$50000,"&lt;&gt;重复Bug")</f>
        <v>0</v>
      </c>
      <c r="T45" s="73">
        <f>COUNTIFS(缺陷明细!$A$2:$A$50000,$B$4,缺陷明细!$G$2:$G$50000,$C45,缺陷明细!$Q$2:$Q$50000,"已关闭",缺陷明细!$J$2:$J$50000,"系统测试",缺陷明细!$K$2:$K$50000,"致命")+COUNTIFS(缺陷明细!$A$2:$A$50000,$B$4,缺陷明细!$G$2:$G$50000,$C45,缺陷明细!$Q$2:$Q$50000,"已关闭",缺陷明细!$J$2:$J$50000,"系统测试",缺陷明细!$K$2:$K$50000,"严重")</f>
        <v>0</v>
      </c>
      <c r="U45" s="74">
        <f>COUNTIFS(缺陷明细!$A$2:$A$50000,$B$4,缺陷明细!$G$2:$G$50000,$C45,缺陷明细!$J$2:$J$50000,"验收测试",缺陷明细!$AB$2:$AB$50000,"&lt;&gt;丢弃",缺陷明细!$AB$2:$AB$50000,"&lt;&gt;设计如此",缺陷明细!$AB$2:$AB$50000,"&lt;&gt;重复Bug")</f>
        <v>0</v>
      </c>
      <c r="V45" s="75">
        <f>COUNTIFS(缺陷明细!$A$2:$A$50000,$B$4,缺陷明细!$G$2:$G$50000,$C45,缺陷明细!$Q$2:$Q$50000,"已关闭",缺陷明细!$J$2:$J$50000,"验收测试")</f>
        <v>0</v>
      </c>
      <c r="W45" s="75">
        <f>COUNTIFS(缺陷明细!$A$2:$A$50000,$B$4,缺陷明细!$G$2:$G$50000,$C45,缺陷明细!$J$2:$J$50000,"验收测试",缺陷明细!$K$2:$K$50000,"致命",缺陷明细!$AB$2:$AB$50000,"&lt;&gt;丢弃",缺陷明细!$AB$2:$AB$50000,"&lt;&gt;设计如此",缺陷明细!$AB$2:$AB$50000,"&lt;&gt;重复Bug")+COUNTIFS(缺陷明细!$A$2:$A$50000,$B$4,缺陷明细!$G$2:$G$50000,$C45,缺陷明细!$J$2:$J$50000,"验收测试",缺陷明细!$K$2:$K$50000,"严重",缺陷明细!$AB$2:$AB$50000,"&lt;&gt;丢弃",缺陷明细!$AB$2:$AB$50000,"&lt;&gt;设计如此",缺陷明细!$AB$2:$AB$50000,"&lt;&gt;重复Bug")</f>
        <v>0</v>
      </c>
      <c r="X45" s="76">
        <f>COUNTIFS(缺陷明细!$A$2:$A$50000,$B$4,缺陷明细!$G$2:$G$50000,$C45,缺陷明细!$Q$2:$Q$50000,"已关闭",缺陷明细!$J$2:$J$50000,"验收测试",缺陷明细!$K$2:$K$50000,"致命")+COUNTIFS(缺陷明细!$A$2:$A$50000,$B$4,缺陷明细!$G$2:$G$50000,$C45,缺陷明细!$Q$2:$Q$50000,"已关闭",缺陷明细!$J$2:$J$50000,"验收测试",缺陷明细!$K$2:$K$50000,"严重")</f>
        <v>0</v>
      </c>
      <c r="Y45" s="70">
        <f>COUNTIFS(缺陷明细!$A$2:$A$50000,$B$4,缺陷明细!$G$2:$G$50000,$C45,缺陷明细!$J$2:$J$50000,"运维测试",缺陷明细!$AB$2:$AB$50000,"&lt;&gt;丢弃",缺陷明细!$AB$2:$AB$50000,"&lt;&gt;设计如此",缺陷明细!$AB$2:$AB$50000,"&lt;&gt;重复Bug")</f>
        <v>0</v>
      </c>
      <c r="Z45" s="71">
        <f>COUNTIFS(缺陷明细!$A$2:$A$50000,$B$4,缺陷明细!$G$2:$G$50000,$C45,缺陷明细!$Q$2:$Q$50000,"已关闭",缺陷明细!$J$2:$J$50000,"运维测试")</f>
        <v>0</v>
      </c>
      <c r="AA45" s="72">
        <f>COUNTIFS(缺陷明细!$A$2:$A$50000,$B$4,缺陷明细!$G$2:$G$50000,$C45,缺陷明细!$J$2:$J$50000,"运维测试",缺陷明细!$K$2:$K$50000,"致命",缺陷明细!$AB$2:$AB$50000,"&lt;&gt;丢弃",缺陷明细!$AB$2:$AB$50000,"&lt;&gt;设计如此",缺陷明细!$AB$2:$AB$50000,"&lt;&gt;重复Bug")+COUNTIFS(缺陷明细!$A$2:$A$50000,$B$4,缺陷明细!$G$2:$G$50000,$C45,缺陷明细!$J$2:$J$50000,"运维测试",缺陷明细!$K$2:$K$50000,"严重",缺陷明细!$AB$2:$AB$50000,"&lt;&gt;丢弃",缺陷明细!$AB$2:$AB$50000,"&lt;&gt;设计如此",缺陷明细!$AB$2:$AB$50000,"&lt;&gt;重复Bug")</f>
        <v>0</v>
      </c>
      <c r="AB45" s="73">
        <f>COUNTIFS(缺陷明细!$A$2:$A$50000,$B$4,缺陷明细!$G$2:$G$50000,$C45,缺陷明细!$Q$2:$Q$50000,"已关闭",缺陷明细!$J$2:$J$50000,"运维测试",缺陷明细!$K$2:$K$50000,"致命")+COUNTIFS(缺陷明细!$A$2:$A$50000,$B$4,缺陷明细!$G$2:$G$50000,$C45,缺陷明细!$Q$2:$Q$50000,"已关闭",缺陷明细!$J$2:$J$50000,"运维测试",缺陷明细!$K$2:$K$50000,"严重")</f>
        <v>0</v>
      </c>
      <c r="AC45" s="68">
        <f t="shared" si="0"/>
        <v>0</v>
      </c>
      <c r="AD45" s="60">
        <f t="shared" si="0"/>
        <v>0</v>
      </c>
      <c r="AE45" s="60">
        <f t="shared" si="1"/>
        <v>0</v>
      </c>
      <c r="AF45" s="60">
        <f t="shared" si="1"/>
        <v>0</v>
      </c>
      <c r="AG45" s="60">
        <f t="shared" si="2"/>
        <v>0</v>
      </c>
      <c r="AH45" s="60">
        <f t="shared" si="2"/>
        <v>0</v>
      </c>
      <c r="AI45" s="60">
        <f t="shared" si="3"/>
        <v>0</v>
      </c>
      <c r="AJ45" s="61">
        <f t="shared" si="3"/>
        <v>0</v>
      </c>
      <c r="AK45" s="144"/>
    </row>
    <row r="46" spans="1:37">
      <c r="A46">
        <v>42</v>
      </c>
      <c r="B46" s="57"/>
      <c r="C46" s="58"/>
      <c r="D46" s="84"/>
      <c r="E46" s="82"/>
      <c r="F46" s="158"/>
      <c r="G46" s="159"/>
      <c r="H46" s="281">
        <f>COUNTIFS(缺陷明细!$A$2:$A$50000,$B$4,缺陷明细!$G$2:$G$50000,$C46,缺陷明细!$J$2:$J$50000,"评审",缺陷明细!$AB$2:$AB$50000,"&lt;&gt;丢弃",缺陷明细!$AB$2:$AB$50000,"&lt;&gt;设计如此",缺陷明细!$AB$2:$AB$50000,"&lt;&gt;重复Bug")</f>
        <v>0</v>
      </c>
      <c r="I46" s="154">
        <f>COUNTIFS(缺陷明细!$A$2:$A$50000,$B$4,缺陷明细!$G$2:$G$50000,$C46,缺陷明细!$Q$2:$Q$50000,"已关闭",缺陷明细!$J$2:$J$50000,"评审")</f>
        <v>0</v>
      </c>
      <c r="J46" s="154">
        <f>COUNTIFS(缺陷明细!$A$2:$A$50000,$B$4,缺陷明细!$G$2:$G$50000,$C46,缺陷明细!$J$2:$J$50000,"单元测试",缺陷明细!$AB$2:$AB$50000,"&lt;&gt;丢弃",缺陷明细!$AB$2:$AB$50000,"&lt;&gt;设计如此",缺陷明细!$AB$2:$AB$50000,"&lt;&gt;重复Bug")</f>
        <v>0</v>
      </c>
      <c r="K46" s="155">
        <f>COUNTIFS(缺陷明细!$A$2:$A$50000,$B$4,缺陷明细!$G$2:$G$50000,$C46,缺陷明细!$Q$2:$Q$50000,"已关闭",缺陷明细!$J$2:$J$50000,"单元测试")</f>
        <v>0</v>
      </c>
      <c r="L46" s="156"/>
      <c r="M46" s="157"/>
      <c r="N46" s="72">
        <f>COUNTIFS(缺陷明细!$A$2:$A$50000,$B$4,缺陷明细!$G$2:$G$50000,$C46,缺陷明细!$J$2:$J$50000,"系统测试案例评审",缺陷明细!$AB$2:$AB$50000,"&lt;&gt;丢弃",缺陷明细!$AB$2:$AB$50000,"&lt;&gt;设计如此",缺陷明细!$AB$2:$AB$50000,"&lt;&gt;重复Bug")</f>
        <v>0</v>
      </c>
      <c r="O46" s="72">
        <f>COUNTIFS(缺陷明细!$A$2:$A$50000,$B$4,缺陷明细!$G$2:$G$50000,$C46,缺陷明细!$Q$2:$Q$50000,"已关闭",缺陷明细!$J$2:$J$50000,"系统测试案例评审")</f>
        <v>0</v>
      </c>
      <c r="P46" s="72">
        <f>COUNTIFS(缺陷明细!$A$2:$A$50000,$B$4,缺陷明细!$G$2:$G$50000,$C46,缺陷明细!$J$2:$J$50000,"系统测试",缺陷明细!$AB$2:$AB$50000,"&lt;&gt;丢弃",缺陷明细!$AB$2:$AB$50000,"&lt;&gt;设计如此",缺陷明细!$AB$2:$AB$50000,"&lt;&gt;重复Bug")</f>
        <v>0</v>
      </c>
      <c r="Q46" s="72">
        <f>COUNTIFS(缺陷明细!$A$2:$A$50000,$B$4,缺陷明细!$G$2:$G$50000,$C46,缺陷明细!$Q$2:$Q$50000,"已关闭",缺陷明细!$J$2:$J$50000,"系统测试")</f>
        <v>0</v>
      </c>
      <c r="R46" s="296">
        <f>COUNTIFS(缺陷明细!$A$2:$A$50000,$B$4,缺陷明细!$G$2:$G$50000,$C46,缺陷明细!$AB$2:$AB$50000,"丢弃",缺陷明细!$J$2:$J$50000,"系统测试")+COUNTIFS(缺陷明细!$A$2:$A$50000,$B$4,缺陷明细!$G$2:$G$50000,$C46,缺陷明细!$AB$2:$AB$50000,"设计如此",缺陷明细!$J$2:$J$50000,"系统测试")+COUNTIFS(缺陷明细!$A$2:$A$50000,$B$4,缺陷明细!$G$2:$G$50000,$C46,缺陷明细!$AB$2:$AB$50000,"重复Bug",缺陷明细!$J$2:$J$50000,"系统测试")</f>
        <v>0</v>
      </c>
      <c r="S46" s="72">
        <f>COUNTIFS(缺陷明细!$A$2:$A$50000,$B$4,缺陷明细!$G$2:$G$50000,$C46,缺陷明细!$J$2:$J$50000,"系统测试",缺陷明细!$K$2:$K$50000,"致命",缺陷明细!$AB$2:$AB$50000,"&lt;&gt;丢弃",缺陷明细!$AB$2:$AB$50000,"&lt;&gt;设计如此",缺陷明细!$AB$2:$AB$50000,"&lt;&gt;重复Bug")+COUNTIFS(缺陷明细!$A$2:$A$50000,$B$4,缺陷明细!$G$2:$G$50000,$C46,缺陷明细!$J$2:$J$50000,"系统测试",缺陷明细!$K$2:$K$50000,"严重",缺陷明细!$AB$2:$AB$50000,"&lt;&gt;丢弃",缺陷明细!$AB$2:$AB$50000,"&lt;&gt;设计如此",缺陷明细!$AB$2:$AB$50000,"&lt;&gt;重复Bug")</f>
        <v>0</v>
      </c>
      <c r="T46" s="73">
        <f>COUNTIFS(缺陷明细!$A$2:$A$50000,$B$4,缺陷明细!$G$2:$G$50000,$C46,缺陷明细!$Q$2:$Q$50000,"已关闭",缺陷明细!$J$2:$J$50000,"系统测试",缺陷明细!$K$2:$K$50000,"致命")+COUNTIFS(缺陷明细!$A$2:$A$50000,$B$4,缺陷明细!$G$2:$G$50000,$C46,缺陷明细!$Q$2:$Q$50000,"已关闭",缺陷明细!$J$2:$J$50000,"系统测试",缺陷明细!$K$2:$K$50000,"严重")</f>
        <v>0</v>
      </c>
      <c r="U46" s="74">
        <f>COUNTIFS(缺陷明细!$A$2:$A$50000,$B$4,缺陷明细!$G$2:$G$50000,$C46,缺陷明细!$J$2:$J$50000,"验收测试",缺陷明细!$AB$2:$AB$50000,"&lt;&gt;丢弃",缺陷明细!$AB$2:$AB$50000,"&lt;&gt;设计如此",缺陷明细!$AB$2:$AB$50000,"&lt;&gt;重复Bug")</f>
        <v>0</v>
      </c>
      <c r="V46" s="75">
        <f>COUNTIFS(缺陷明细!$A$2:$A$50000,$B$4,缺陷明细!$G$2:$G$50000,$C46,缺陷明细!$Q$2:$Q$50000,"已关闭",缺陷明细!$J$2:$J$50000,"验收测试")</f>
        <v>0</v>
      </c>
      <c r="W46" s="75">
        <f>COUNTIFS(缺陷明细!$A$2:$A$50000,$B$4,缺陷明细!$G$2:$G$50000,$C46,缺陷明细!$J$2:$J$50000,"验收测试",缺陷明细!$K$2:$K$50000,"致命",缺陷明细!$AB$2:$AB$50000,"&lt;&gt;丢弃",缺陷明细!$AB$2:$AB$50000,"&lt;&gt;设计如此",缺陷明细!$AB$2:$AB$50000,"&lt;&gt;重复Bug")+COUNTIFS(缺陷明细!$A$2:$A$50000,$B$4,缺陷明细!$G$2:$G$50000,$C46,缺陷明细!$J$2:$J$50000,"验收测试",缺陷明细!$K$2:$K$50000,"严重",缺陷明细!$AB$2:$AB$50000,"&lt;&gt;丢弃",缺陷明细!$AB$2:$AB$50000,"&lt;&gt;设计如此",缺陷明细!$AB$2:$AB$50000,"&lt;&gt;重复Bug")</f>
        <v>0</v>
      </c>
      <c r="X46" s="76">
        <f>COUNTIFS(缺陷明细!$A$2:$A$50000,$B$4,缺陷明细!$G$2:$G$50000,$C46,缺陷明细!$Q$2:$Q$50000,"已关闭",缺陷明细!$J$2:$J$50000,"验收测试",缺陷明细!$K$2:$K$50000,"致命")+COUNTIFS(缺陷明细!$A$2:$A$50000,$B$4,缺陷明细!$G$2:$G$50000,$C46,缺陷明细!$Q$2:$Q$50000,"已关闭",缺陷明细!$J$2:$J$50000,"验收测试",缺陷明细!$K$2:$K$50000,"严重")</f>
        <v>0</v>
      </c>
      <c r="Y46" s="70">
        <f>COUNTIFS(缺陷明细!$A$2:$A$50000,$B$4,缺陷明细!$G$2:$G$50000,$C46,缺陷明细!$J$2:$J$50000,"运维测试",缺陷明细!$AB$2:$AB$50000,"&lt;&gt;丢弃",缺陷明细!$AB$2:$AB$50000,"&lt;&gt;设计如此",缺陷明细!$AB$2:$AB$50000,"&lt;&gt;重复Bug")</f>
        <v>0</v>
      </c>
      <c r="Z46" s="71">
        <f>COUNTIFS(缺陷明细!$A$2:$A$50000,$B$4,缺陷明细!$G$2:$G$50000,$C46,缺陷明细!$Q$2:$Q$50000,"已关闭",缺陷明细!$J$2:$J$50000,"运维测试")</f>
        <v>0</v>
      </c>
      <c r="AA46" s="72">
        <f>COUNTIFS(缺陷明细!$A$2:$A$50000,$B$4,缺陷明细!$G$2:$G$50000,$C46,缺陷明细!$J$2:$J$50000,"运维测试",缺陷明细!$K$2:$K$50000,"致命",缺陷明细!$AB$2:$AB$50000,"&lt;&gt;丢弃",缺陷明细!$AB$2:$AB$50000,"&lt;&gt;设计如此",缺陷明细!$AB$2:$AB$50000,"&lt;&gt;重复Bug")+COUNTIFS(缺陷明细!$A$2:$A$50000,$B$4,缺陷明细!$G$2:$G$50000,$C46,缺陷明细!$J$2:$J$50000,"运维测试",缺陷明细!$K$2:$K$50000,"严重",缺陷明细!$AB$2:$AB$50000,"&lt;&gt;丢弃",缺陷明细!$AB$2:$AB$50000,"&lt;&gt;设计如此",缺陷明细!$AB$2:$AB$50000,"&lt;&gt;重复Bug")</f>
        <v>0</v>
      </c>
      <c r="AB46" s="73">
        <f>COUNTIFS(缺陷明细!$A$2:$A$50000,$B$4,缺陷明细!$G$2:$G$50000,$C46,缺陷明细!$Q$2:$Q$50000,"已关闭",缺陷明细!$J$2:$J$50000,"运维测试",缺陷明细!$K$2:$K$50000,"致命")+COUNTIFS(缺陷明细!$A$2:$A$50000,$B$4,缺陷明细!$G$2:$G$50000,$C46,缺陷明细!$Q$2:$Q$50000,"已关闭",缺陷明细!$J$2:$J$50000,"运维测试",缺陷明细!$K$2:$K$50000,"严重")</f>
        <v>0</v>
      </c>
      <c r="AC46" s="68">
        <f t="shared" si="0"/>
        <v>0</v>
      </c>
      <c r="AD46" s="60">
        <f t="shared" si="0"/>
        <v>0</v>
      </c>
      <c r="AE46" s="60">
        <f t="shared" si="1"/>
        <v>0</v>
      </c>
      <c r="AF46" s="60">
        <f t="shared" si="1"/>
        <v>0</v>
      </c>
      <c r="AG46" s="60">
        <f t="shared" si="2"/>
        <v>0</v>
      </c>
      <c r="AH46" s="60">
        <f t="shared" si="2"/>
        <v>0</v>
      </c>
      <c r="AI46" s="60">
        <f t="shared" si="3"/>
        <v>0</v>
      </c>
      <c r="AJ46" s="61">
        <f t="shared" si="3"/>
        <v>0</v>
      </c>
      <c r="AK46" s="144"/>
    </row>
    <row r="47" spans="1:37">
      <c r="A47">
        <v>43</v>
      </c>
      <c r="B47" s="57"/>
      <c r="C47" s="58"/>
      <c r="D47" s="84"/>
      <c r="E47" s="82"/>
      <c r="F47" s="158"/>
      <c r="G47" s="159"/>
      <c r="H47" s="281">
        <f>COUNTIFS(缺陷明细!$A$2:$A$50000,$B$4,缺陷明细!$G$2:$G$50000,$C47,缺陷明细!$J$2:$J$50000,"评审",缺陷明细!$AB$2:$AB$50000,"&lt;&gt;丢弃",缺陷明细!$AB$2:$AB$50000,"&lt;&gt;设计如此",缺陷明细!$AB$2:$AB$50000,"&lt;&gt;重复Bug")</f>
        <v>0</v>
      </c>
      <c r="I47" s="154">
        <f>COUNTIFS(缺陷明细!$A$2:$A$50000,$B$4,缺陷明细!$G$2:$G$50000,$C47,缺陷明细!$Q$2:$Q$50000,"已关闭",缺陷明细!$J$2:$J$50000,"评审")</f>
        <v>0</v>
      </c>
      <c r="J47" s="154">
        <f>COUNTIFS(缺陷明细!$A$2:$A$50000,$B$4,缺陷明细!$G$2:$G$50000,$C47,缺陷明细!$J$2:$J$50000,"单元测试",缺陷明细!$AB$2:$AB$50000,"&lt;&gt;丢弃",缺陷明细!$AB$2:$AB$50000,"&lt;&gt;设计如此",缺陷明细!$AB$2:$AB$50000,"&lt;&gt;重复Bug")</f>
        <v>0</v>
      </c>
      <c r="K47" s="155">
        <f>COUNTIFS(缺陷明细!$A$2:$A$50000,$B$4,缺陷明细!$G$2:$G$50000,$C47,缺陷明细!$Q$2:$Q$50000,"已关闭",缺陷明细!$J$2:$J$50000,"单元测试")</f>
        <v>0</v>
      </c>
      <c r="L47" s="156"/>
      <c r="M47" s="157"/>
      <c r="N47" s="72">
        <f>COUNTIFS(缺陷明细!$A$2:$A$50000,$B$4,缺陷明细!$G$2:$G$50000,$C47,缺陷明细!$J$2:$J$50000,"系统测试案例评审",缺陷明细!$AB$2:$AB$50000,"&lt;&gt;丢弃",缺陷明细!$AB$2:$AB$50000,"&lt;&gt;设计如此",缺陷明细!$AB$2:$AB$50000,"&lt;&gt;重复Bug")</f>
        <v>0</v>
      </c>
      <c r="O47" s="72">
        <f>COUNTIFS(缺陷明细!$A$2:$A$50000,$B$4,缺陷明细!$G$2:$G$50000,$C47,缺陷明细!$Q$2:$Q$50000,"已关闭",缺陷明细!$J$2:$J$50000,"系统测试案例评审")</f>
        <v>0</v>
      </c>
      <c r="P47" s="72">
        <f>COUNTIFS(缺陷明细!$A$2:$A$50000,$B$4,缺陷明细!$G$2:$G$50000,$C47,缺陷明细!$J$2:$J$50000,"系统测试",缺陷明细!$AB$2:$AB$50000,"&lt;&gt;丢弃",缺陷明细!$AB$2:$AB$50000,"&lt;&gt;设计如此",缺陷明细!$AB$2:$AB$50000,"&lt;&gt;重复Bug")</f>
        <v>0</v>
      </c>
      <c r="Q47" s="72">
        <f>COUNTIFS(缺陷明细!$A$2:$A$50000,$B$4,缺陷明细!$G$2:$G$50000,$C47,缺陷明细!$Q$2:$Q$50000,"已关闭",缺陷明细!$J$2:$J$50000,"系统测试")</f>
        <v>0</v>
      </c>
      <c r="R47" s="296">
        <f>COUNTIFS(缺陷明细!$A$2:$A$50000,$B$4,缺陷明细!$G$2:$G$50000,$C47,缺陷明细!$AB$2:$AB$50000,"丢弃",缺陷明细!$J$2:$J$50000,"系统测试")+COUNTIFS(缺陷明细!$A$2:$A$50000,$B$4,缺陷明细!$G$2:$G$50000,$C47,缺陷明细!$AB$2:$AB$50000,"设计如此",缺陷明细!$J$2:$J$50000,"系统测试")+COUNTIFS(缺陷明细!$A$2:$A$50000,$B$4,缺陷明细!$G$2:$G$50000,$C47,缺陷明细!$AB$2:$AB$50000,"重复Bug",缺陷明细!$J$2:$J$50000,"系统测试")</f>
        <v>0</v>
      </c>
      <c r="S47" s="72">
        <f>COUNTIFS(缺陷明细!$A$2:$A$50000,$B$4,缺陷明细!$G$2:$G$50000,$C47,缺陷明细!$J$2:$J$50000,"系统测试",缺陷明细!$K$2:$K$50000,"致命",缺陷明细!$AB$2:$AB$50000,"&lt;&gt;丢弃",缺陷明细!$AB$2:$AB$50000,"&lt;&gt;设计如此",缺陷明细!$AB$2:$AB$50000,"&lt;&gt;重复Bug")+COUNTIFS(缺陷明细!$A$2:$A$50000,$B$4,缺陷明细!$G$2:$G$50000,$C47,缺陷明细!$J$2:$J$50000,"系统测试",缺陷明细!$K$2:$K$50000,"严重",缺陷明细!$AB$2:$AB$50000,"&lt;&gt;丢弃",缺陷明细!$AB$2:$AB$50000,"&lt;&gt;设计如此",缺陷明细!$AB$2:$AB$50000,"&lt;&gt;重复Bug")</f>
        <v>0</v>
      </c>
      <c r="T47" s="73">
        <f>COUNTIFS(缺陷明细!$A$2:$A$50000,$B$4,缺陷明细!$G$2:$G$50000,$C47,缺陷明细!$Q$2:$Q$50000,"已关闭",缺陷明细!$J$2:$J$50000,"系统测试",缺陷明细!$K$2:$K$50000,"致命")+COUNTIFS(缺陷明细!$A$2:$A$50000,$B$4,缺陷明细!$G$2:$G$50000,$C47,缺陷明细!$Q$2:$Q$50000,"已关闭",缺陷明细!$J$2:$J$50000,"系统测试",缺陷明细!$K$2:$K$50000,"严重")</f>
        <v>0</v>
      </c>
      <c r="U47" s="74">
        <f>COUNTIFS(缺陷明细!$A$2:$A$50000,$B$4,缺陷明细!$G$2:$G$50000,$C47,缺陷明细!$J$2:$J$50000,"验收测试",缺陷明细!$AB$2:$AB$50000,"&lt;&gt;丢弃",缺陷明细!$AB$2:$AB$50000,"&lt;&gt;设计如此",缺陷明细!$AB$2:$AB$50000,"&lt;&gt;重复Bug")</f>
        <v>0</v>
      </c>
      <c r="V47" s="75">
        <f>COUNTIFS(缺陷明细!$A$2:$A$50000,$B$4,缺陷明细!$G$2:$G$50000,$C47,缺陷明细!$Q$2:$Q$50000,"已关闭",缺陷明细!$J$2:$J$50000,"验收测试")</f>
        <v>0</v>
      </c>
      <c r="W47" s="75">
        <f>COUNTIFS(缺陷明细!$A$2:$A$50000,$B$4,缺陷明细!$G$2:$G$50000,$C47,缺陷明细!$J$2:$J$50000,"验收测试",缺陷明细!$K$2:$K$50000,"致命",缺陷明细!$AB$2:$AB$50000,"&lt;&gt;丢弃",缺陷明细!$AB$2:$AB$50000,"&lt;&gt;设计如此",缺陷明细!$AB$2:$AB$50000,"&lt;&gt;重复Bug")+COUNTIFS(缺陷明细!$A$2:$A$50000,$B$4,缺陷明细!$G$2:$G$50000,$C47,缺陷明细!$J$2:$J$50000,"验收测试",缺陷明细!$K$2:$K$50000,"严重",缺陷明细!$AB$2:$AB$50000,"&lt;&gt;丢弃",缺陷明细!$AB$2:$AB$50000,"&lt;&gt;设计如此",缺陷明细!$AB$2:$AB$50000,"&lt;&gt;重复Bug")</f>
        <v>0</v>
      </c>
      <c r="X47" s="76">
        <f>COUNTIFS(缺陷明细!$A$2:$A$50000,$B$4,缺陷明细!$G$2:$G$50000,$C47,缺陷明细!$Q$2:$Q$50000,"已关闭",缺陷明细!$J$2:$J$50000,"验收测试",缺陷明细!$K$2:$K$50000,"致命")+COUNTIFS(缺陷明细!$A$2:$A$50000,$B$4,缺陷明细!$G$2:$G$50000,$C47,缺陷明细!$Q$2:$Q$50000,"已关闭",缺陷明细!$J$2:$J$50000,"验收测试",缺陷明细!$K$2:$K$50000,"严重")</f>
        <v>0</v>
      </c>
      <c r="Y47" s="70">
        <f>COUNTIFS(缺陷明细!$A$2:$A$50000,$B$4,缺陷明细!$G$2:$G$50000,$C47,缺陷明细!$J$2:$J$50000,"运维测试",缺陷明细!$AB$2:$AB$50000,"&lt;&gt;丢弃",缺陷明细!$AB$2:$AB$50000,"&lt;&gt;设计如此",缺陷明细!$AB$2:$AB$50000,"&lt;&gt;重复Bug")</f>
        <v>0</v>
      </c>
      <c r="Z47" s="71">
        <f>COUNTIFS(缺陷明细!$A$2:$A$50000,$B$4,缺陷明细!$G$2:$G$50000,$C47,缺陷明细!$Q$2:$Q$50000,"已关闭",缺陷明细!$J$2:$J$50000,"运维测试")</f>
        <v>0</v>
      </c>
      <c r="AA47" s="72">
        <f>COUNTIFS(缺陷明细!$A$2:$A$50000,$B$4,缺陷明细!$G$2:$G$50000,$C47,缺陷明细!$J$2:$J$50000,"运维测试",缺陷明细!$K$2:$K$50000,"致命",缺陷明细!$AB$2:$AB$50000,"&lt;&gt;丢弃",缺陷明细!$AB$2:$AB$50000,"&lt;&gt;设计如此",缺陷明细!$AB$2:$AB$50000,"&lt;&gt;重复Bug")+COUNTIFS(缺陷明细!$A$2:$A$50000,$B$4,缺陷明细!$G$2:$G$50000,$C47,缺陷明细!$J$2:$J$50000,"运维测试",缺陷明细!$K$2:$K$50000,"严重",缺陷明细!$AB$2:$AB$50000,"&lt;&gt;丢弃",缺陷明细!$AB$2:$AB$50000,"&lt;&gt;设计如此",缺陷明细!$AB$2:$AB$50000,"&lt;&gt;重复Bug")</f>
        <v>0</v>
      </c>
      <c r="AB47" s="73">
        <f>COUNTIFS(缺陷明细!$A$2:$A$50000,$B$4,缺陷明细!$G$2:$G$50000,$C47,缺陷明细!$Q$2:$Q$50000,"已关闭",缺陷明细!$J$2:$J$50000,"运维测试",缺陷明细!$K$2:$K$50000,"致命")+COUNTIFS(缺陷明细!$A$2:$A$50000,$B$4,缺陷明细!$G$2:$G$50000,$C47,缺陷明细!$Q$2:$Q$50000,"已关闭",缺陷明细!$J$2:$J$50000,"运维测试",缺陷明细!$K$2:$K$50000,"严重")</f>
        <v>0</v>
      </c>
      <c r="AC47" s="68">
        <f t="shared" si="0"/>
        <v>0</v>
      </c>
      <c r="AD47" s="60">
        <f t="shared" si="0"/>
        <v>0</v>
      </c>
      <c r="AE47" s="60">
        <f t="shared" si="1"/>
        <v>0</v>
      </c>
      <c r="AF47" s="60">
        <f t="shared" si="1"/>
        <v>0</v>
      </c>
      <c r="AG47" s="60">
        <f t="shared" si="2"/>
        <v>0</v>
      </c>
      <c r="AH47" s="60">
        <f t="shared" si="2"/>
        <v>0</v>
      </c>
      <c r="AI47" s="60">
        <f t="shared" si="3"/>
        <v>0</v>
      </c>
      <c r="AJ47" s="61">
        <f t="shared" si="3"/>
        <v>0</v>
      </c>
      <c r="AK47" s="144"/>
    </row>
    <row r="48" spans="1:37">
      <c r="A48">
        <v>44</v>
      </c>
      <c r="B48" s="57"/>
      <c r="C48" s="58"/>
      <c r="D48" s="84"/>
      <c r="E48" s="82"/>
      <c r="F48" s="158"/>
      <c r="G48" s="159"/>
      <c r="H48" s="281">
        <f>COUNTIFS(缺陷明细!$A$2:$A$50000,$B$4,缺陷明细!$G$2:$G$50000,$C48,缺陷明细!$J$2:$J$50000,"评审",缺陷明细!$AB$2:$AB$50000,"&lt;&gt;丢弃",缺陷明细!$AB$2:$AB$50000,"&lt;&gt;设计如此",缺陷明细!$AB$2:$AB$50000,"&lt;&gt;重复Bug")</f>
        <v>0</v>
      </c>
      <c r="I48" s="154">
        <f>COUNTIFS(缺陷明细!$A$2:$A$50000,$B$4,缺陷明细!$G$2:$G$50000,$C48,缺陷明细!$Q$2:$Q$50000,"已关闭",缺陷明细!$J$2:$J$50000,"评审")</f>
        <v>0</v>
      </c>
      <c r="J48" s="154">
        <f>COUNTIFS(缺陷明细!$A$2:$A$50000,$B$4,缺陷明细!$G$2:$G$50000,$C48,缺陷明细!$J$2:$J$50000,"单元测试",缺陷明细!$AB$2:$AB$50000,"&lt;&gt;丢弃",缺陷明细!$AB$2:$AB$50000,"&lt;&gt;设计如此",缺陷明细!$AB$2:$AB$50000,"&lt;&gt;重复Bug")</f>
        <v>0</v>
      </c>
      <c r="K48" s="155">
        <f>COUNTIFS(缺陷明细!$A$2:$A$50000,$B$4,缺陷明细!$G$2:$G$50000,$C48,缺陷明细!$Q$2:$Q$50000,"已关闭",缺陷明细!$J$2:$J$50000,"单元测试")</f>
        <v>0</v>
      </c>
      <c r="L48" s="156"/>
      <c r="M48" s="157"/>
      <c r="N48" s="72">
        <f>COUNTIFS(缺陷明细!$A$2:$A$50000,$B$4,缺陷明细!$G$2:$G$50000,$C48,缺陷明细!$J$2:$J$50000,"系统测试案例评审",缺陷明细!$AB$2:$AB$50000,"&lt;&gt;丢弃",缺陷明细!$AB$2:$AB$50000,"&lt;&gt;设计如此",缺陷明细!$AB$2:$AB$50000,"&lt;&gt;重复Bug")</f>
        <v>0</v>
      </c>
      <c r="O48" s="72">
        <f>COUNTIFS(缺陷明细!$A$2:$A$50000,$B$4,缺陷明细!$G$2:$G$50000,$C48,缺陷明细!$Q$2:$Q$50000,"已关闭",缺陷明细!$J$2:$J$50000,"系统测试案例评审")</f>
        <v>0</v>
      </c>
      <c r="P48" s="72">
        <f>COUNTIFS(缺陷明细!$A$2:$A$50000,$B$4,缺陷明细!$G$2:$G$50000,$C48,缺陷明细!$J$2:$J$50000,"系统测试",缺陷明细!$AB$2:$AB$50000,"&lt;&gt;丢弃",缺陷明细!$AB$2:$AB$50000,"&lt;&gt;设计如此",缺陷明细!$AB$2:$AB$50000,"&lt;&gt;重复Bug")</f>
        <v>0</v>
      </c>
      <c r="Q48" s="72">
        <f>COUNTIFS(缺陷明细!$A$2:$A$50000,$B$4,缺陷明细!$G$2:$G$50000,$C48,缺陷明细!$Q$2:$Q$50000,"已关闭",缺陷明细!$J$2:$J$50000,"系统测试")</f>
        <v>0</v>
      </c>
      <c r="R48" s="296">
        <f>COUNTIFS(缺陷明细!$A$2:$A$50000,$B$4,缺陷明细!$G$2:$G$50000,$C48,缺陷明细!$AB$2:$AB$50000,"丢弃",缺陷明细!$J$2:$J$50000,"系统测试")+COUNTIFS(缺陷明细!$A$2:$A$50000,$B$4,缺陷明细!$G$2:$G$50000,$C48,缺陷明细!$AB$2:$AB$50000,"设计如此",缺陷明细!$J$2:$J$50000,"系统测试")+COUNTIFS(缺陷明细!$A$2:$A$50000,$B$4,缺陷明细!$G$2:$G$50000,$C48,缺陷明细!$AB$2:$AB$50000,"重复Bug",缺陷明细!$J$2:$J$50000,"系统测试")</f>
        <v>0</v>
      </c>
      <c r="S48" s="72">
        <f>COUNTIFS(缺陷明细!$A$2:$A$50000,$B$4,缺陷明细!$G$2:$G$50000,$C48,缺陷明细!$J$2:$J$50000,"系统测试",缺陷明细!$K$2:$K$50000,"致命",缺陷明细!$AB$2:$AB$50000,"&lt;&gt;丢弃",缺陷明细!$AB$2:$AB$50000,"&lt;&gt;设计如此",缺陷明细!$AB$2:$AB$50000,"&lt;&gt;重复Bug")+COUNTIFS(缺陷明细!$A$2:$A$50000,$B$4,缺陷明细!$G$2:$G$50000,$C48,缺陷明细!$J$2:$J$50000,"系统测试",缺陷明细!$K$2:$K$50000,"严重",缺陷明细!$AB$2:$AB$50000,"&lt;&gt;丢弃",缺陷明细!$AB$2:$AB$50000,"&lt;&gt;设计如此",缺陷明细!$AB$2:$AB$50000,"&lt;&gt;重复Bug")</f>
        <v>0</v>
      </c>
      <c r="T48" s="73">
        <f>COUNTIFS(缺陷明细!$A$2:$A$50000,$B$4,缺陷明细!$G$2:$G$50000,$C48,缺陷明细!$Q$2:$Q$50000,"已关闭",缺陷明细!$J$2:$J$50000,"系统测试",缺陷明细!$K$2:$K$50000,"致命")+COUNTIFS(缺陷明细!$A$2:$A$50000,$B$4,缺陷明细!$G$2:$G$50000,$C48,缺陷明细!$Q$2:$Q$50000,"已关闭",缺陷明细!$J$2:$J$50000,"系统测试",缺陷明细!$K$2:$K$50000,"严重")</f>
        <v>0</v>
      </c>
      <c r="U48" s="74">
        <f>COUNTIFS(缺陷明细!$A$2:$A$50000,$B$4,缺陷明细!$G$2:$G$50000,$C48,缺陷明细!$J$2:$J$50000,"验收测试",缺陷明细!$AB$2:$AB$50000,"&lt;&gt;丢弃",缺陷明细!$AB$2:$AB$50000,"&lt;&gt;设计如此",缺陷明细!$AB$2:$AB$50000,"&lt;&gt;重复Bug")</f>
        <v>0</v>
      </c>
      <c r="V48" s="75">
        <f>COUNTIFS(缺陷明细!$A$2:$A$50000,$B$4,缺陷明细!$G$2:$G$50000,$C48,缺陷明细!$Q$2:$Q$50000,"已关闭",缺陷明细!$J$2:$J$50000,"验收测试")</f>
        <v>0</v>
      </c>
      <c r="W48" s="75">
        <f>COUNTIFS(缺陷明细!$A$2:$A$50000,$B$4,缺陷明细!$G$2:$G$50000,$C48,缺陷明细!$J$2:$J$50000,"验收测试",缺陷明细!$K$2:$K$50000,"致命",缺陷明细!$AB$2:$AB$50000,"&lt;&gt;丢弃",缺陷明细!$AB$2:$AB$50000,"&lt;&gt;设计如此",缺陷明细!$AB$2:$AB$50000,"&lt;&gt;重复Bug")+COUNTIFS(缺陷明细!$A$2:$A$50000,$B$4,缺陷明细!$G$2:$G$50000,$C48,缺陷明细!$J$2:$J$50000,"验收测试",缺陷明细!$K$2:$K$50000,"严重",缺陷明细!$AB$2:$AB$50000,"&lt;&gt;丢弃",缺陷明细!$AB$2:$AB$50000,"&lt;&gt;设计如此",缺陷明细!$AB$2:$AB$50000,"&lt;&gt;重复Bug")</f>
        <v>0</v>
      </c>
      <c r="X48" s="76">
        <f>COUNTIFS(缺陷明细!$A$2:$A$50000,$B$4,缺陷明细!$G$2:$G$50000,$C48,缺陷明细!$Q$2:$Q$50000,"已关闭",缺陷明细!$J$2:$J$50000,"验收测试",缺陷明细!$K$2:$K$50000,"致命")+COUNTIFS(缺陷明细!$A$2:$A$50000,$B$4,缺陷明细!$G$2:$G$50000,$C48,缺陷明细!$Q$2:$Q$50000,"已关闭",缺陷明细!$J$2:$J$50000,"验收测试",缺陷明细!$K$2:$K$50000,"严重")</f>
        <v>0</v>
      </c>
      <c r="Y48" s="70">
        <f>COUNTIFS(缺陷明细!$A$2:$A$50000,$B$4,缺陷明细!$G$2:$G$50000,$C48,缺陷明细!$J$2:$J$50000,"运维测试",缺陷明细!$AB$2:$AB$50000,"&lt;&gt;丢弃",缺陷明细!$AB$2:$AB$50000,"&lt;&gt;设计如此",缺陷明细!$AB$2:$AB$50000,"&lt;&gt;重复Bug")</f>
        <v>0</v>
      </c>
      <c r="Z48" s="71">
        <f>COUNTIFS(缺陷明细!$A$2:$A$50000,$B$4,缺陷明细!$G$2:$G$50000,$C48,缺陷明细!$Q$2:$Q$50000,"已关闭",缺陷明细!$J$2:$J$50000,"运维测试")</f>
        <v>0</v>
      </c>
      <c r="AA48" s="72">
        <f>COUNTIFS(缺陷明细!$A$2:$A$50000,$B$4,缺陷明细!$G$2:$G$50000,$C48,缺陷明细!$J$2:$J$50000,"运维测试",缺陷明细!$K$2:$K$50000,"致命",缺陷明细!$AB$2:$AB$50000,"&lt;&gt;丢弃",缺陷明细!$AB$2:$AB$50000,"&lt;&gt;设计如此",缺陷明细!$AB$2:$AB$50000,"&lt;&gt;重复Bug")+COUNTIFS(缺陷明细!$A$2:$A$50000,$B$4,缺陷明细!$G$2:$G$50000,$C48,缺陷明细!$J$2:$J$50000,"运维测试",缺陷明细!$K$2:$K$50000,"严重",缺陷明细!$AB$2:$AB$50000,"&lt;&gt;丢弃",缺陷明细!$AB$2:$AB$50000,"&lt;&gt;设计如此",缺陷明细!$AB$2:$AB$50000,"&lt;&gt;重复Bug")</f>
        <v>0</v>
      </c>
      <c r="AB48" s="73">
        <f>COUNTIFS(缺陷明细!$A$2:$A$50000,$B$4,缺陷明细!$G$2:$G$50000,$C48,缺陷明细!$Q$2:$Q$50000,"已关闭",缺陷明细!$J$2:$J$50000,"运维测试",缺陷明细!$K$2:$K$50000,"致命")+COUNTIFS(缺陷明细!$A$2:$A$50000,$B$4,缺陷明细!$G$2:$G$50000,$C48,缺陷明细!$Q$2:$Q$50000,"已关闭",缺陷明细!$J$2:$J$50000,"运维测试",缺陷明细!$K$2:$K$50000,"严重")</f>
        <v>0</v>
      </c>
      <c r="AC48" s="68">
        <f t="shared" si="0"/>
        <v>0</v>
      </c>
      <c r="AD48" s="60">
        <f t="shared" si="0"/>
        <v>0</v>
      </c>
      <c r="AE48" s="60">
        <f t="shared" si="1"/>
        <v>0</v>
      </c>
      <c r="AF48" s="60">
        <f t="shared" si="1"/>
        <v>0</v>
      </c>
      <c r="AG48" s="60">
        <f t="shared" si="2"/>
        <v>0</v>
      </c>
      <c r="AH48" s="60">
        <f t="shared" si="2"/>
        <v>0</v>
      </c>
      <c r="AI48" s="60">
        <f t="shared" si="3"/>
        <v>0</v>
      </c>
      <c r="AJ48" s="61">
        <f t="shared" si="3"/>
        <v>0</v>
      </c>
      <c r="AK48" s="144"/>
    </row>
    <row r="49" spans="1:37">
      <c r="A49">
        <v>45</v>
      </c>
      <c r="B49" s="57"/>
      <c r="C49" s="58"/>
      <c r="D49" s="84"/>
      <c r="E49" s="82"/>
      <c r="F49" s="158"/>
      <c r="G49" s="159"/>
      <c r="H49" s="281">
        <f>COUNTIFS(缺陷明细!$A$2:$A$50000,$B$4,缺陷明细!$G$2:$G$50000,$C49,缺陷明细!$J$2:$J$50000,"评审",缺陷明细!$AB$2:$AB$50000,"&lt;&gt;丢弃",缺陷明细!$AB$2:$AB$50000,"&lt;&gt;设计如此",缺陷明细!$AB$2:$AB$50000,"&lt;&gt;重复Bug")</f>
        <v>0</v>
      </c>
      <c r="I49" s="154">
        <f>COUNTIFS(缺陷明细!$A$2:$A$50000,$B$4,缺陷明细!$G$2:$G$50000,$C49,缺陷明细!$Q$2:$Q$50000,"已关闭",缺陷明细!$J$2:$J$50000,"评审")</f>
        <v>0</v>
      </c>
      <c r="J49" s="154">
        <f>COUNTIFS(缺陷明细!$A$2:$A$50000,$B$4,缺陷明细!$G$2:$G$50000,$C49,缺陷明细!$J$2:$J$50000,"单元测试",缺陷明细!$AB$2:$AB$50000,"&lt;&gt;丢弃",缺陷明细!$AB$2:$AB$50000,"&lt;&gt;设计如此",缺陷明细!$AB$2:$AB$50000,"&lt;&gt;重复Bug")</f>
        <v>0</v>
      </c>
      <c r="K49" s="155">
        <f>COUNTIFS(缺陷明细!$A$2:$A$50000,$B$4,缺陷明细!$G$2:$G$50000,$C49,缺陷明细!$Q$2:$Q$50000,"已关闭",缺陷明细!$J$2:$J$50000,"单元测试")</f>
        <v>0</v>
      </c>
      <c r="L49" s="156"/>
      <c r="M49" s="157"/>
      <c r="N49" s="72">
        <f>COUNTIFS(缺陷明细!$A$2:$A$50000,$B$4,缺陷明细!$G$2:$G$50000,$C49,缺陷明细!$J$2:$J$50000,"系统测试案例评审",缺陷明细!$AB$2:$AB$50000,"&lt;&gt;丢弃",缺陷明细!$AB$2:$AB$50000,"&lt;&gt;设计如此",缺陷明细!$AB$2:$AB$50000,"&lt;&gt;重复Bug")</f>
        <v>0</v>
      </c>
      <c r="O49" s="72">
        <f>COUNTIFS(缺陷明细!$A$2:$A$50000,$B$4,缺陷明细!$G$2:$G$50000,$C49,缺陷明细!$Q$2:$Q$50000,"已关闭",缺陷明细!$J$2:$J$50000,"系统测试案例评审")</f>
        <v>0</v>
      </c>
      <c r="P49" s="72">
        <f>COUNTIFS(缺陷明细!$A$2:$A$50000,$B$4,缺陷明细!$G$2:$G$50000,$C49,缺陷明细!$J$2:$J$50000,"系统测试",缺陷明细!$AB$2:$AB$50000,"&lt;&gt;丢弃",缺陷明细!$AB$2:$AB$50000,"&lt;&gt;设计如此",缺陷明细!$AB$2:$AB$50000,"&lt;&gt;重复Bug")</f>
        <v>0</v>
      </c>
      <c r="Q49" s="72">
        <f>COUNTIFS(缺陷明细!$A$2:$A$50000,$B$4,缺陷明细!$G$2:$G$50000,$C49,缺陷明细!$Q$2:$Q$50000,"已关闭",缺陷明细!$J$2:$J$50000,"系统测试")</f>
        <v>0</v>
      </c>
      <c r="R49" s="296">
        <f>COUNTIFS(缺陷明细!$A$2:$A$50000,$B$4,缺陷明细!$G$2:$G$50000,$C49,缺陷明细!$AB$2:$AB$50000,"丢弃",缺陷明细!$J$2:$J$50000,"系统测试")+COUNTIFS(缺陷明细!$A$2:$A$50000,$B$4,缺陷明细!$G$2:$G$50000,$C49,缺陷明细!$AB$2:$AB$50000,"设计如此",缺陷明细!$J$2:$J$50000,"系统测试")+COUNTIFS(缺陷明细!$A$2:$A$50000,$B$4,缺陷明细!$G$2:$G$50000,$C49,缺陷明细!$AB$2:$AB$50000,"重复Bug",缺陷明细!$J$2:$J$50000,"系统测试")</f>
        <v>0</v>
      </c>
      <c r="S49" s="72">
        <f>COUNTIFS(缺陷明细!$A$2:$A$50000,$B$4,缺陷明细!$G$2:$G$50000,$C49,缺陷明细!$J$2:$J$50000,"系统测试",缺陷明细!$K$2:$K$50000,"致命",缺陷明细!$AB$2:$AB$50000,"&lt;&gt;丢弃",缺陷明细!$AB$2:$AB$50000,"&lt;&gt;设计如此",缺陷明细!$AB$2:$AB$50000,"&lt;&gt;重复Bug")+COUNTIFS(缺陷明细!$A$2:$A$50000,$B$4,缺陷明细!$G$2:$G$50000,$C49,缺陷明细!$J$2:$J$50000,"系统测试",缺陷明细!$K$2:$K$50000,"严重",缺陷明细!$AB$2:$AB$50000,"&lt;&gt;丢弃",缺陷明细!$AB$2:$AB$50000,"&lt;&gt;设计如此",缺陷明细!$AB$2:$AB$50000,"&lt;&gt;重复Bug")</f>
        <v>0</v>
      </c>
      <c r="T49" s="73">
        <f>COUNTIFS(缺陷明细!$A$2:$A$50000,$B$4,缺陷明细!$G$2:$G$50000,$C49,缺陷明细!$Q$2:$Q$50000,"已关闭",缺陷明细!$J$2:$J$50000,"系统测试",缺陷明细!$K$2:$K$50000,"致命")+COUNTIFS(缺陷明细!$A$2:$A$50000,$B$4,缺陷明细!$G$2:$G$50000,$C49,缺陷明细!$Q$2:$Q$50000,"已关闭",缺陷明细!$J$2:$J$50000,"系统测试",缺陷明细!$K$2:$K$50000,"严重")</f>
        <v>0</v>
      </c>
      <c r="U49" s="74">
        <f>COUNTIFS(缺陷明细!$A$2:$A$50000,$B$4,缺陷明细!$G$2:$G$50000,$C49,缺陷明细!$J$2:$J$50000,"验收测试",缺陷明细!$AB$2:$AB$50000,"&lt;&gt;丢弃",缺陷明细!$AB$2:$AB$50000,"&lt;&gt;设计如此",缺陷明细!$AB$2:$AB$50000,"&lt;&gt;重复Bug")</f>
        <v>0</v>
      </c>
      <c r="V49" s="75">
        <f>COUNTIFS(缺陷明细!$A$2:$A$50000,$B$4,缺陷明细!$G$2:$G$50000,$C49,缺陷明细!$Q$2:$Q$50000,"已关闭",缺陷明细!$J$2:$J$50000,"验收测试")</f>
        <v>0</v>
      </c>
      <c r="W49" s="75">
        <f>COUNTIFS(缺陷明细!$A$2:$A$50000,$B$4,缺陷明细!$G$2:$G$50000,$C49,缺陷明细!$J$2:$J$50000,"验收测试",缺陷明细!$K$2:$K$50000,"致命",缺陷明细!$AB$2:$AB$50000,"&lt;&gt;丢弃",缺陷明细!$AB$2:$AB$50000,"&lt;&gt;设计如此",缺陷明细!$AB$2:$AB$50000,"&lt;&gt;重复Bug")+COUNTIFS(缺陷明细!$A$2:$A$50000,$B$4,缺陷明细!$G$2:$G$50000,$C49,缺陷明细!$J$2:$J$50000,"验收测试",缺陷明细!$K$2:$K$50000,"严重",缺陷明细!$AB$2:$AB$50000,"&lt;&gt;丢弃",缺陷明细!$AB$2:$AB$50000,"&lt;&gt;设计如此",缺陷明细!$AB$2:$AB$50000,"&lt;&gt;重复Bug")</f>
        <v>0</v>
      </c>
      <c r="X49" s="76">
        <f>COUNTIFS(缺陷明细!$A$2:$A$50000,$B$4,缺陷明细!$G$2:$G$50000,$C49,缺陷明细!$Q$2:$Q$50000,"已关闭",缺陷明细!$J$2:$J$50000,"验收测试",缺陷明细!$K$2:$K$50000,"致命")+COUNTIFS(缺陷明细!$A$2:$A$50000,$B$4,缺陷明细!$G$2:$G$50000,$C49,缺陷明细!$Q$2:$Q$50000,"已关闭",缺陷明细!$J$2:$J$50000,"验收测试",缺陷明细!$K$2:$K$50000,"严重")</f>
        <v>0</v>
      </c>
      <c r="Y49" s="70">
        <f>COUNTIFS(缺陷明细!$A$2:$A$50000,$B$4,缺陷明细!$G$2:$G$50000,$C49,缺陷明细!$J$2:$J$50000,"运维测试",缺陷明细!$AB$2:$AB$50000,"&lt;&gt;丢弃",缺陷明细!$AB$2:$AB$50000,"&lt;&gt;设计如此",缺陷明细!$AB$2:$AB$50000,"&lt;&gt;重复Bug")</f>
        <v>0</v>
      </c>
      <c r="Z49" s="71">
        <f>COUNTIFS(缺陷明细!$A$2:$A$50000,$B$4,缺陷明细!$G$2:$G$50000,$C49,缺陷明细!$Q$2:$Q$50000,"已关闭",缺陷明细!$J$2:$J$50000,"运维测试")</f>
        <v>0</v>
      </c>
      <c r="AA49" s="72">
        <f>COUNTIFS(缺陷明细!$A$2:$A$50000,$B$4,缺陷明细!$G$2:$G$50000,$C49,缺陷明细!$J$2:$J$50000,"运维测试",缺陷明细!$K$2:$K$50000,"致命",缺陷明细!$AB$2:$AB$50000,"&lt;&gt;丢弃",缺陷明细!$AB$2:$AB$50000,"&lt;&gt;设计如此",缺陷明细!$AB$2:$AB$50000,"&lt;&gt;重复Bug")+COUNTIFS(缺陷明细!$A$2:$A$50000,$B$4,缺陷明细!$G$2:$G$50000,$C49,缺陷明细!$J$2:$J$50000,"运维测试",缺陷明细!$K$2:$K$50000,"严重",缺陷明细!$AB$2:$AB$50000,"&lt;&gt;丢弃",缺陷明细!$AB$2:$AB$50000,"&lt;&gt;设计如此",缺陷明细!$AB$2:$AB$50000,"&lt;&gt;重复Bug")</f>
        <v>0</v>
      </c>
      <c r="AB49" s="73">
        <f>COUNTIFS(缺陷明细!$A$2:$A$50000,$B$4,缺陷明细!$G$2:$G$50000,$C49,缺陷明细!$Q$2:$Q$50000,"已关闭",缺陷明细!$J$2:$J$50000,"运维测试",缺陷明细!$K$2:$K$50000,"致命")+COUNTIFS(缺陷明细!$A$2:$A$50000,$B$4,缺陷明细!$G$2:$G$50000,$C49,缺陷明细!$Q$2:$Q$50000,"已关闭",缺陷明细!$J$2:$J$50000,"运维测试",缺陷明细!$K$2:$K$50000,"严重")</f>
        <v>0</v>
      </c>
      <c r="AC49" s="68">
        <f t="shared" si="0"/>
        <v>0</v>
      </c>
      <c r="AD49" s="60">
        <f t="shared" si="0"/>
        <v>0</v>
      </c>
      <c r="AE49" s="60">
        <f t="shared" si="1"/>
        <v>0</v>
      </c>
      <c r="AF49" s="60">
        <f t="shared" si="1"/>
        <v>0</v>
      </c>
      <c r="AG49" s="60">
        <f t="shared" si="2"/>
        <v>0</v>
      </c>
      <c r="AH49" s="60">
        <f t="shared" si="2"/>
        <v>0</v>
      </c>
      <c r="AI49" s="60">
        <f t="shared" si="3"/>
        <v>0</v>
      </c>
      <c r="AJ49" s="61">
        <f t="shared" si="3"/>
        <v>0</v>
      </c>
      <c r="AK49" s="144"/>
    </row>
    <row r="50" spans="1:37">
      <c r="A50">
        <v>46</v>
      </c>
      <c r="B50" s="57"/>
      <c r="C50" s="58"/>
      <c r="D50" s="84"/>
      <c r="E50" s="82"/>
      <c r="F50" s="158"/>
      <c r="G50" s="159"/>
      <c r="H50" s="281">
        <f>COUNTIFS(缺陷明细!$A$2:$A$50000,$B$4,缺陷明细!$G$2:$G$50000,$C50,缺陷明细!$J$2:$J$50000,"评审",缺陷明细!$AB$2:$AB$50000,"&lt;&gt;丢弃",缺陷明细!$AB$2:$AB$50000,"&lt;&gt;设计如此",缺陷明细!$AB$2:$AB$50000,"&lt;&gt;重复Bug")</f>
        <v>0</v>
      </c>
      <c r="I50" s="154">
        <f>COUNTIFS(缺陷明细!$A$2:$A$50000,$B$4,缺陷明细!$G$2:$G$50000,$C50,缺陷明细!$Q$2:$Q$50000,"已关闭",缺陷明细!$J$2:$J$50000,"评审")</f>
        <v>0</v>
      </c>
      <c r="J50" s="154">
        <f>COUNTIFS(缺陷明细!$A$2:$A$50000,$B$4,缺陷明细!$G$2:$G$50000,$C50,缺陷明细!$J$2:$J$50000,"单元测试",缺陷明细!$AB$2:$AB$50000,"&lt;&gt;丢弃",缺陷明细!$AB$2:$AB$50000,"&lt;&gt;设计如此",缺陷明细!$AB$2:$AB$50000,"&lt;&gt;重复Bug")</f>
        <v>0</v>
      </c>
      <c r="K50" s="155">
        <f>COUNTIFS(缺陷明细!$A$2:$A$50000,$B$4,缺陷明细!$G$2:$G$50000,$C50,缺陷明细!$Q$2:$Q$50000,"已关闭",缺陷明细!$J$2:$J$50000,"单元测试")</f>
        <v>0</v>
      </c>
      <c r="L50" s="156"/>
      <c r="M50" s="157"/>
      <c r="N50" s="72">
        <f>COUNTIFS(缺陷明细!$A$2:$A$50000,$B$4,缺陷明细!$G$2:$G$50000,$C50,缺陷明细!$J$2:$J$50000,"系统测试案例评审",缺陷明细!$AB$2:$AB$50000,"&lt;&gt;丢弃",缺陷明细!$AB$2:$AB$50000,"&lt;&gt;设计如此",缺陷明细!$AB$2:$AB$50000,"&lt;&gt;重复Bug")</f>
        <v>0</v>
      </c>
      <c r="O50" s="72">
        <f>COUNTIFS(缺陷明细!$A$2:$A$50000,$B$4,缺陷明细!$G$2:$G$50000,$C50,缺陷明细!$Q$2:$Q$50000,"已关闭",缺陷明细!$J$2:$J$50000,"系统测试案例评审")</f>
        <v>0</v>
      </c>
      <c r="P50" s="72">
        <f>COUNTIFS(缺陷明细!$A$2:$A$50000,$B$4,缺陷明细!$G$2:$G$50000,$C50,缺陷明细!$J$2:$J$50000,"系统测试",缺陷明细!$AB$2:$AB$50000,"&lt;&gt;丢弃",缺陷明细!$AB$2:$AB$50000,"&lt;&gt;设计如此",缺陷明细!$AB$2:$AB$50000,"&lt;&gt;重复Bug")</f>
        <v>0</v>
      </c>
      <c r="Q50" s="72">
        <f>COUNTIFS(缺陷明细!$A$2:$A$50000,$B$4,缺陷明细!$G$2:$G$50000,$C50,缺陷明细!$Q$2:$Q$50000,"已关闭",缺陷明细!$J$2:$J$50000,"系统测试")</f>
        <v>0</v>
      </c>
      <c r="R50" s="296">
        <f>COUNTIFS(缺陷明细!$A$2:$A$50000,$B$4,缺陷明细!$G$2:$G$50000,$C50,缺陷明细!$AB$2:$AB$50000,"丢弃",缺陷明细!$J$2:$J$50000,"系统测试")+COUNTIFS(缺陷明细!$A$2:$A$50000,$B$4,缺陷明细!$G$2:$G$50000,$C50,缺陷明细!$AB$2:$AB$50000,"设计如此",缺陷明细!$J$2:$J$50000,"系统测试")+COUNTIFS(缺陷明细!$A$2:$A$50000,$B$4,缺陷明细!$G$2:$G$50000,$C50,缺陷明细!$AB$2:$AB$50000,"重复Bug",缺陷明细!$J$2:$J$50000,"系统测试")</f>
        <v>0</v>
      </c>
      <c r="S50" s="72">
        <f>COUNTIFS(缺陷明细!$A$2:$A$50000,$B$4,缺陷明细!$G$2:$G$50000,$C50,缺陷明细!$J$2:$J$50000,"系统测试",缺陷明细!$K$2:$K$50000,"致命",缺陷明细!$AB$2:$AB$50000,"&lt;&gt;丢弃",缺陷明细!$AB$2:$AB$50000,"&lt;&gt;设计如此",缺陷明细!$AB$2:$AB$50000,"&lt;&gt;重复Bug")+COUNTIFS(缺陷明细!$A$2:$A$50000,$B$4,缺陷明细!$G$2:$G$50000,$C50,缺陷明细!$J$2:$J$50000,"系统测试",缺陷明细!$K$2:$K$50000,"严重",缺陷明细!$AB$2:$AB$50000,"&lt;&gt;丢弃",缺陷明细!$AB$2:$AB$50000,"&lt;&gt;设计如此",缺陷明细!$AB$2:$AB$50000,"&lt;&gt;重复Bug")</f>
        <v>0</v>
      </c>
      <c r="T50" s="73">
        <f>COUNTIFS(缺陷明细!$A$2:$A$50000,$B$4,缺陷明细!$G$2:$G$50000,$C50,缺陷明细!$Q$2:$Q$50000,"已关闭",缺陷明细!$J$2:$J$50000,"系统测试",缺陷明细!$K$2:$K$50000,"致命")+COUNTIFS(缺陷明细!$A$2:$A$50000,$B$4,缺陷明细!$G$2:$G$50000,$C50,缺陷明细!$Q$2:$Q$50000,"已关闭",缺陷明细!$J$2:$J$50000,"系统测试",缺陷明细!$K$2:$K$50000,"严重")</f>
        <v>0</v>
      </c>
      <c r="U50" s="74">
        <f>COUNTIFS(缺陷明细!$A$2:$A$50000,$B$4,缺陷明细!$G$2:$G$50000,$C50,缺陷明细!$J$2:$J$50000,"验收测试",缺陷明细!$AB$2:$AB$50000,"&lt;&gt;丢弃",缺陷明细!$AB$2:$AB$50000,"&lt;&gt;设计如此",缺陷明细!$AB$2:$AB$50000,"&lt;&gt;重复Bug")</f>
        <v>0</v>
      </c>
      <c r="V50" s="75">
        <f>COUNTIFS(缺陷明细!$A$2:$A$50000,$B$4,缺陷明细!$G$2:$G$50000,$C50,缺陷明细!$Q$2:$Q$50000,"已关闭",缺陷明细!$J$2:$J$50000,"验收测试")</f>
        <v>0</v>
      </c>
      <c r="W50" s="75">
        <f>COUNTIFS(缺陷明细!$A$2:$A$50000,$B$4,缺陷明细!$G$2:$G$50000,$C50,缺陷明细!$J$2:$J$50000,"验收测试",缺陷明细!$K$2:$K$50000,"致命",缺陷明细!$AB$2:$AB$50000,"&lt;&gt;丢弃",缺陷明细!$AB$2:$AB$50000,"&lt;&gt;设计如此",缺陷明细!$AB$2:$AB$50000,"&lt;&gt;重复Bug")+COUNTIFS(缺陷明细!$A$2:$A$50000,$B$4,缺陷明细!$G$2:$G$50000,$C50,缺陷明细!$J$2:$J$50000,"验收测试",缺陷明细!$K$2:$K$50000,"严重",缺陷明细!$AB$2:$AB$50000,"&lt;&gt;丢弃",缺陷明细!$AB$2:$AB$50000,"&lt;&gt;设计如此",缺陷明细!$AB$2:$AB$50000,"&lt;&gt;重复Bug")</f>
        <v>0</v>
      </c>
      <c r="X50" s="76">
        <f>COUNTIFS(缺陷明细!$A$2:$A$50000,$B$4,缺陷明细!$G$2:$G$50000,$C50,缺陷明细!$Q$2:$Q$50000,"已关闭",缺陷明细!$J$2:$J$50000,"验收测试",缺陷明细!$K$2:$K$50000,"致命")+COUNTIFS(缺陷明细!$A$2:$A$50000,$B$4,缺陷明细!$G$2:$G$50000,$C50,缺陷明细!$Q$2:$Q$50000,"已关闭",缺陷明细!$J$2:$J$50000,"验收测试",缺陷明细!$K$2:$K$50000,"严重")</f>
        <v>0</v>
      </c>
      <c r="Y50" s="70">
        <f>COUNTIFS(缺陷明细!$A$2:$A$50000,$B$4,缺陷明细!$G$2:$G$50000,$C50,缺陷明细!$J$2:$J$50000,"运维测试",缺陷明细!$AB$2:$AB$50000,"&lt;&gt;丢弃",缺陷明细!$AB$2:$AB$50000,"&lt;&gt;设计如此",缺陷明细!$AB$2:$AB$50000,"&lt;&gt;重复Bug")</f>
        <v>0</v>
      </c>
      <c r="Z50" s="71">
        <f>COUNTIFS(缺陷明细!$A$2:$A$50000,$B$4,缺陷明细!$G$2:$G$50000,$C50,缺陷明细!$Q$2:$Q$50000,"已关闭",缺陷明细!$J$2:$J$50000,"运维测试")</f>
        <v>0</v>
      </c>
      <c r="AA50" s="72">
        <f>COUNTIFS(缺陷明细!$A$2:$A$50000,$B$4,缺陷明细!$G$2:$G$50000,$C50,缺陷明细!$J$2:$J$50000,"运维测试",缺陷明细!$K$2:$K$50000,"致命",缺陷明细!$AB$2:$AB$50000,"&lt;&gt;丢弃",缺陷明细!$AB$2:$AB$50000,"&lt;&gt;设计如此",缺陷明细!$AB$2:$AB$50000,"&lt;&gt;重复Bug")+COUNTIFS(缺陷明细!$A$2:$A$50000,$B$4,缺陷明细!$G$2:$G$50000,$C50,缺陷明细!$J$2:$J$50000,"运维测试",缺陷明细!$K$2:$K$50000,"严重",缺陷明细!$AB$2:$AB$50000,"&lt;&gt;丢弃",缺陷明细!$AB$2:$AB$50000,"&lt;&gt;设计如此",缺陷明细!$AB$2:$AB$50000,"&lt;&gt;重复Bug")</f>
        <v>0</v>
      </c>
      <c r="AB50" s="73">
        <f>COUNTIFS(缺陷明细!$A$2:$A$50000,$B$4,缺陷明细!$G$2:$G$50000,$C50,缺陷明细!$Q$2:$Q$50000,"已关闭",缺陷明细!$J$2:$J$50000,"运维测试",缺陷明细!$K$2:$K$50000,"致命")+COUNTIFS(缺陷明细!$A$2:$A$50000,$B$4,缺陷明细!$G$2:$G$50000,$C50,缺陷明细!$Q$2:$Q$50000,"已关闭",缺陷明细!$J$2:$J$50000,"运维测试",缺陷明细!$K$2:$K$50000,"严重")</f>
        <v>0</v>
      </c>
      <c r="AC50" s="68">
        <f t="shared" si="0"/>
        <v>0</v>
      </c>
      <c r="AD50" s="60">
        <f t="shared" si="0"/>
        <v>0</v>
      </c>
      <c r="AE50" s="60">
        <f t="shared" si="1"/>
        <v>0</v>
      </c>
      <c r="AF50" s="60">
        <f t="shared" si="1"/>
        <v>0</v>
      </c>
      <c r="AG50" s="60">
        <f t="shared" si="2"/>
        <v>0</v>
      </c>
      <c r="AH50" s="60">
        <f t="shared" si="2"/>
        <v>0</v>
      </c>
      <c r="AI50" s="60">
        <f t="shared" si="3"/>
        <v>0</v>
      </c>
      <c r="AJ50" s="61">
        <f t="shared" si="3"/>
        <v>0</v>
      </c>
      <c r="AK50" s="144"/>
    </row>
    <row r="51" spans="1:37">
      <c r="A51">
        <v>47</v>
      </c>
      <c r="B51" s="57"/>
      <c r="C51" s="58"/>
      <c r="D51" s="84"/>
      <c r="E51" s="82"/>
      <c r="F51" s="158"/>
      <c r="G51" s="159"/>
      <c r="H51" s="281">
        <f>COUNTIFS(缺陷明细!$A$2:$A$50000,$B$4,缺陷明细!$G$2:$G$50000,$C51,缺陷明细!$J$2:$J$50000,"评审",缺陷明细!$AB$2:$AB$50000,"&lt;&gt;丢弃",缺陷明细!$AB$2:$AB$50000,"&lt;&gt;设计如此",缺陷明细!$AB$2:$AB$50000,"&lt;&gt;重复Bug")</f>
        <v>0</v>
      </c>
      <c r="I51" s="154">
        <f>COUNTIFS(缺陷明细!$A$2:$A$50000,$B$4,缺陷明细!$G$2:$G$50000,$C51,缺陷明细!$Q$2:$Q$50000,"已关闭",缺陷明细!$J$2:$J$50000,"评审")</f>
        <v>0</v>
      </c>
      <c r="J51" s="154">
        <f>COUNTIFS(缺陷明细!$A$2:$A$50000,$B$4,缺陷明细!$G$2:$G$50000,$C51,缺陷明细!$J$2:$J$50000,"单元测试",缺陷明细!$AB$2:$AB$50000,"&lt;&gt;丢弃",缺陷明细!$AB$2:$AB$50000,"&lt;&gt;设计如此",缺陷明细!$AB$2:$AB$50000,"&lt;&gt;重复Bug")</f>
        <v>0</v>
      </c>
      <c r="K51" s="155">
        <f>COUNTIFS(缺陷明细!$A$2:$A$50000,$B$4,缺陷明细!$G$2:$G$50000,$C51,缺陷明细!$Q$2:$Q$50000,"已关闭",缺陷明细!$J$2:$J$50000,"单元测试")</f>
        <v>0</v>
      </c>
      <c r="L51" s="156"/>
      <c r="M51" s="157"/>
      <c r="N51" s="72">
        <f>COUNTIFS(缺陷明细!$A$2:$A$50000,$B$4,缺陷明细!$G$2:$G$50000,$C51,缺陷明细!$J$2:$J$50000,"系统测试案例评审",缺陷明细!$AB$2:$AB$50000,"&lt;&gt;丢弃",缺陷明细!$AB$2:$AB$50000,"&lt;&gt;设计如此",缺陷明细!$AB$2:$AB$50000,"&lt;&gt;重复Bug")</f>
        <v>0</v>
      </c>
      <c r="O51" s="72">
        <f>COUNTIFS(缺陷明细!$A$2:$A$50000,$B$4,缺陷明细!$G$2:$G$50000,$C51,缺陷明细!$Q$2:$Q$50000,"已关闭",缺陷明细!$J$2:$J$50000,"系统测试案例评审")</f>
        <v>0</v>
      </c>
      <c r="P51" s="72">
        <f>COUNTIFS(缺陷明细!$A$2:$A$50000,$B$4,缺陷明细!$G$2:$G$50000,$C51,缺陷明细!$J$2:$J$50000,"系统测试",缺陷明细!$AB$2:$AB$50000,"&lt;&gt;丢弃",缺陷明细!$AB$2:$AB$50000,"&lt;&gt;设计如此",缺陷明细!$AB$2:$AB$50000,"&lt;&gt;重复Bug")</f>
        <v>0</v>
      </c>
      <c r="Q51" s="72">
        <f>COUNTIFS(缺陷明细!$A$2:$A$50000,$B$4,缺陷明细!$G$2:$G$50000,$C51,缺陷明细!$Q$2:$Q$50000,"已关闭",缺陷明细!$J$2:$J$50000,"系统测试")</f>
        <v>0</v>
      </c>
      <c r="R51" s="296">
        <f>COUNTIFS(缺陷明细!$A$2:$A$50000,$B$4,缺陷明细!$G$2:$G$50000,$C51,缺陷明细!$AB$2:$AB$50000,"丢弃",缺陷明细!$J$2:$J$50000,"系统测试")+COUNTIFS(缺陷明细!$A$2:$A$50000,$B$4,缺陷明细!$G$2:$G$50000,$C51,缺陷明细!$AB$2:$AB$50000,"设计如此",缺陷明细!$J$2:$J$50000,"系统测试")+COUNTIFS(缺陷明细!$A$2:$A$50000,$B$4,缺陷明细!$G$2:$G$50000,$C51,缺陷明细!$AB$2:$AB$50000,"重复Bug",缺陷明细!$J$2:$J$50000,"系统测试")</f>
        <v>0</v>
      </c>
      <c r="S51" s="72">
        <f>COUNTIFS(缺陷明细!$A$2:$A$50000,$B$4,缺陷明细!$G$2:$G$50000,$C51,缺陷明细!$J$2:$J$50000,"系统测试",缺陷明细!$K$2:$K$50000,"致命",缺陷明细!$AB$2:$AB$50000,"&lt;&gt;丢弃",缺陷明细!$AB$2:$AB$50000,"&lt;&gt;设计如此",缺陷明细!$AB$2:$AB$50000,"&lt;&gt;重复Bug")+COUNTIFS(缺陷明细!$A$2:$A$50000,$B$4,缺陷明细!$G$2:$G$50000,$C51,缺陷明细!$J$2:$J$50000,"系统测试",缺陷明细!$K$2:$K$50000,"严重",缺陷明细!$AB$2:$AB$50000,"&lt;&gt;丢弃",缺陷明细!$AB$2:$AB$50000,"&lt;&gt;设计如此",缺陷明细!$AB$2:$AB$50000,"&lt;&gt;重复Bug")</f>
        <v>0</v>
      </c>
      <c r="T51" s="73">
        <f>COUNTIFS(缺陷明细!$A$2:$A$50000,$B$4,缺陷明细!$G$2:$G$50000,$C51,缺陷明细!$Q$2:$Q$50000,"已关闭",缺陷明细!$J$2:$J$50000,"系统测试",缺陷明细!$K$2:$K$50000,"致命")+COUNTIFS(缺陷明细!$A$2:$A$50000,$B$4,缺陷明细!$G$2:$G$50000,$C51,缺陷明细!$Q$2:$Q$50000,"已关闭",缺陷明细!$J$2:$J$50000,"系统测试",缺陷明细!$K$2:$K$50000,"严重")</f>
        <v>0</v>
      </c>
      <c r="U51" s="74">
        <f>COUNTIFS(缺陷明细!$A$2:$A$50000,$B$4,缺陷明细!$G$2:$G$50000,$C51,缺陷明细!$J$2:$J$50000,"验收测试",缺陷明细!$AB$2:$AB$50000,"&lt;&gt;丢弃",缺陷明细!$AB$2:$AB$50000,"&lt;&gt;设计如此",缺陷明细!$AB$2:$AB$50000,"&lt;&gt;重复Bug")</f>
        <v>0</v>
      </c>
      <c r="V51" s="75">
        <f>COUNTIFS(缺陷明细!$A$2:$A$50000,$B$4,缺陷明细!$G$2:$G$50000,$C51,缺陷明细!$Q$2:$Q$50000,"已关闭",缺陷明细!$J$2:$J$50000,"验收测试")</f>
        <v>0</v>
      </c>
      <c r="W51" s="75">
        <f>COUNTIFS(缺陷明细!$A$2:$A$50000,$B$4,缺陷明细!$G$2:$G$50000,$C51,缺陷明细!$J$2:$J$50000,"验收测试",缺陷明细!$K$2:$K$50000,"致命",缺陷明细!$AB$2:$AB$50000,"&lt;&gt;丢弃",缺陷明细!$AB$2:$AB$50000,"&lt;&gt;设计如此",缺陷明细!$AB$2:$AB$50000,"&lt;&gt;重复Bug")+COUNTIFS(缺陷明细!$A$2:$A$50000,$B$4,缺陷明细!$G$2:$G$50000,$C51,缺陷明细!$J$2:$J$50000,"验收测试",缺陷明细!$K$2:$K$50000,"严重",缺陷明细!$AB$2:$AB$50000,"&lt;&gt;丢弃",缺陷明细!$AB$2:$AB$50000,"&lt;&gt;设计如此",缺陷明细!$AB$2:$AB$50000,"&lt;&gt;重复Bug")</f>
        <v>0</v>
      </c>
      <c r="X51" s="76">
        <f>COUNTIFS(缺陷明细!$A$2:$A$50000,$B$4,缺陷明细!$G$2:$G$50000,$C51,缺陷明细!$Q$2:$Q$50000,"已关闭",缺陷明细!$J$2:$J$50000,"验收测试",缺陷明细!$K$2:$K$50000,"致命")+COUNTIFS(缺陷明细!$A$2:$A$50000,$B$4,缺陷明细!$G$2:$G$50000,$C51,缺陷明细!$Q$2:$Q$50000,"已关闭",缺陷明细!$J$2:$J$50000,"验收测试",缺陷明细!$K$2:$K$50000,"严重")</f>
        <v>0</v>
      </c>
      <c r="Y51" s="70">
        <f>COUNTIFS(缺陷明细!$A$2:$A$50000,$B$4,缺陷明细!$G$2:$G$50000,$C51,缺陷明细!$J$2:$J$50000,"运维测试",缺陷明细!$AB$2:$AB$50000,"&lt;&gt;丢弃",缺陷明细!$AB$2:$AB$50000,"&lt;&gt;设计如此",缺陷明细!$AB$2:$AB$50000,"&lt;&gt;重复Bug")</f>
        <v>0</v>
      </c>
      <c r="Z51" s="71">
        <f>COUNTIFS(缺陷明细!$A$2:$A$50000,$B$4,缺陷明细!$G$2:$G$50000,$C51,缺陷明细!$Q$2:$Q$50000,"已关闭",缺陷明细!$J$2:$J$50000,"运维测试")</f>
        <v>0</v>
      </c>
      <c r="AA51" s="72">
        <f>COUNTIFS(缺陷明细!$A$2:$A$50000,$B$4,缺陷明细!$G$2:$G$50000,$C51,缺陷明细!$J$2:$J$50000,"运维测试",缺陷明细!$K$2:$K$50000,"致命",缺陷明细!$AB$2:$AB$50000,"&lt;&gt;丢弃",缺陷明细!$AB$2:$AB$50000,"&lt;&gt;设计如此",缺陷明细!$AB$2:$AB$50000,"&lt;&gt;重复Bug")+COUNTIFS(缺陷明细!$A$2:$A$50000,$B$4,缺陷明细!$G$2:$G$50000,$C51,缺陷明细!$J$2:$J$50000,"运维测试",缺陷明细!$K$2:$K$50000,"严重",缺陷明细!$AB$2:$AB$50000,"&lt;&gt;丢弃",缺陷明细!$AB$2:$AB$50000,"&lt;&gt;设计如此",缺陷明细!$AB$2:$AB$50000,"&lt;&gt;重复Bug")</f>
        <v>0</v>
      </c>
      <c r="AB51" s="73">
        <f>COUNTIFS(缺陷明细!$A$2:$A$50000,$B$4,缺陷明细!$G$2:$G$50000,$C51,缺陷明细!$Q$2:$Q$50000,"已关闭",缺陷明细!$J$2:$J$50000,"运维测试",缺陷明细!$K$2:$K$50000,"致命")+COUNTIFS(缺陷明细!$A$2:$A$50000,$B$4,缺陷明细!$G$2:$G$50000,$C51,缺陷明细!$Q$2:$Q$50000,"已关闭",缺陷明细!$J$2:$J$50000,"运维测试",缺陷明细!$K$2:$K$50000,"严重")</f>
        <v>0</v>
      </c>
      <c r="AC51" s="68">
        <f t="shared" si="0"/>
        <v>0</v>
      </c>
      <c r="AD51" s="60">
        <f t="shared" si="0"/>
        <v>0</v>
      </c>
      <c r="AE51" s="60">
        <f t="shared" si="1"/>
        <v>0</v>
      </c>
      <c r="AF51" s="60">
        <f t="shared" si="1"/>
        <v>0</v>
      </c>
      <c r="AG51" s="60">
        <f t="shared" si="2"/>
        <v>0</v>
      </c>
      <c r="AH51" s="60">
        <f t="shared" si="2"/>
        <v>0</v>
      </c>
      <c r="AI51" s="60">
        <f t="shared" si="3"/>
        <v>0</v>
      </c>
      <c r="AJ51" s="61">
        <f t="shared" si="3"/>
        <v>0</v>
      </c>
      <c r="AK51" s="144"/>
    </row>
    <row r="52" spans="1:37">
      <c r="A52">
        <v>48</v>
      </c>
      <c r="B52" s="57"/>
      <c r="C52" s="58"/>
      <c r="D52" s="84"/>
      <c r="E52" s="82"/>
      <c r="F52" s="158"/>
      <c r="G52" s="159"/>
      <c r="H52" s="281">
        <f>COUNTIFS(缺陷明细!$A$2:$A$50000,$B$4,缺陷明细!$G$2:$G$50000,$C52,缺陷明细!$J$2:$J$50000,"评审",缺陷明细!$AB$2:$AB$50000,"&lt;&gt;丢弃",缺陷明细!$AB$2:$AB$50000,"&lt;&gt;设计如此",缺陷明细!$AB$2:$AB$50000,"&lt;&gt;重复Bug")</f>
        <v>0</v>
      </c>
      <c r="I52" s="154">
        <f>COUNTIFS(缺陷明细!$A$2:$A$50000,$B$4,缺陷明细!$G$2:$G$50000,$C52,缺陷明细!$Q$2:$Q$50000,"已关闭",缺陷明细!$J$2:$J$50000,"评审")</f>
        <v>0</v>
      </c>
      <c r="J52" s="154">
        <f>COUNTIFS(缺陷明细!$A$2:$A$50000,$B$4,缺陷明细!$G$2:$G$50000,$C52,缺陷明细!$J$2:$J$50000,"单元测试",缺陷明细!$AB$2:$AB$50000,"&lt;&gt;丢弃",缺陷明细!$AB$2:$AB$50000,"&lt;&gt;设计如此",缺陷明细!$AB$2:$AB$50000,"&lt;&gt;重复Bug")</f>
        <v>0</v>
      </c>
      <c r="K52" s="155">
        <f>COUNTIFS(缺陷明细!$A$2:$A$50000,$B$4,缺陷明细!$G$2:$G$50000,$C52,缺陷明细!$Q$2:$Q$50000,"已关闭",缺陷明细!$J$2:$J$50000,"单元测试")</f>
        <v>0</v>
      </c>
      <c r="L52" s="156"/>
      <c r="M52" s="157"/>
      <c r="N52" s="72">
        <f>COUNTIFS(缺陷明细!$A$2:$A$50000,$B$4,缺陷明细!$G$2:$G$50000,$C52,缺陷明细!$J$2:$J$50000,"系统测试案例评审",缺陷明细!$AB$2:$AB$50000,"&lt;&gt;丢弃",缺陷明细!$AB$2:$AB$50000,"&lt;&gt;设计如此",缺陷明细!$AB$2:$AB$50000,"&lt;&gt;重复Bug")</f>
        <v>0</v>
      </c>
      <c r="O52" s="72">
        <f>COUNTIFS(缺陷明细!$A$2:$A$50000,$B$4,缺陷明细!$G$2:$G$50000,$C52,缺陷明细!$Q$2:$Q$50000,"已关闭",缺陷明细!$J$2:$J$50000,"系统测试案例评审")</f>
        <v>0</v>
      </c>
      <c r="P52" s="72">
        <f>COUNTIFS(缺陷明细!$A$2:$A$50000,$B$4,缺陷明细!$G$2:$G$50000,$C52,缺陷明细!$J$2:$J$50000,"系统测试",缺陷明细!$AB$2:$AB$50000,"&lt;&gt;丢弃",缺陷明细!$AB$2:$AB$50000,"&lt;&gt;设计如此",缺陷明细!$AB$2:$AB$50000,"&lt;&gt;重复Bug")</f>
        <v>0</v>
      </c>
      <c r="Q52" s="72">
        <f>COUNTIFS(缺陷明细!$A$2:$A$50000,$B$4,缺陷明细!$G$2:$G$50000,$C52,缺陷明细!$Q$2:$Q$50000,"已关闭",缺陷明细!$J$2:$J$50000,"系统测试")</f>
        <v>0</v>
      </c>
      <c r="R52" s="296">
        <f>COUNTIFS(缺陷明细!$A$2:$A$50000,$B$4,缺陷明细!$G$2:$G$50000,$C52,缺陷明细!$AB$2:$AB$50000,"丢弃",缺陷明细!$J$2:$J$50000,"系统测试")+COUNTIFS(缺陷明细!$A$2:$A$50000,$B$4,缺陷明细!$G$2:$G$50000,$C52,缺陷明细!$AB$2:$AB$50000,"设计如此",缺陷明细!$J$2:$J$50000,"系统测试")+COUNTIFS(缺陷明细!$A$2:$A$50000,$B$4,缺陷明细!$G$2:$G$50000,$C52,缺陷明细!$AB$2:$AB$50000,"重复Bug",缺陷明细!$J$2:$J$50000,"系统测试")</f>
        <v>0</v>
      </c>
      <c r="S52" s="72">
        <f>COUNTIFS(缺陷明细!$A$2:$A$50000,$B$4,缺陷明细!$G$2:$G$50000,$C52,缺陷明细!$J$2:$J$50000,"系统测试",缺陷明细!$K$2:$K$50000,"致命",缺陷明细!$AB$2:$AB$50000,"&lt;&gt;丢弃",缺陷明细!$AB$2:$AB$50000,"&lt;&gt;设计如此",缺陷明细!$AB$2:$AB$50000,"&lt;&gt;重复Bug")+COUNTIFS(缺陷明细!$A$2:$A$50000,$B$4,缺陷明细!$G$2:$G$50000,$C52,缺陷明细!$J$2:$J$50000,"系统测试",缺陷明细!$K$2:$K$50000,"严重",缺陷明细!$AB$2:$AB$50000,"&lt;&gt;丢弃",缺陷明细!$AB$2:$AB$50000,"&lt;&gt;设计如此",缺陷明细!$AB$2:$AB$50000,"&lt;&gt;重复Bug")</f>
        <v>0</v>
      </c>
      <c r="T52" s="73">
        <f>COUNTIFS(缺陷明细!$A$2:$A$50000,$B$4,缺陷明细!$G$2:$G$50000,$C52,缺陷明细!$Q$2:$Q$50000,"已关闭",缺陷明细!$J$2:$J$50000,"系统测试",缺陷明细!$K$2:$K$50000,"致命")+COUNTIFS(缺陷明细!$A$2:$A$50000,$B$4,缺陷明细!$G$2:$G$50000,$C52,缺陷明细!$Q$2:$Q$50000,"已关闭",缺陷明细!$J$2:$J$50000,"系统测试",缺陷明细!$K$2:$K$50000,"严重")</f>
        <v>0</v>
      </c>
      <c r="U52" s="74">
        <f>COUNTIFS(缺陷明细!$A$2:$A$50000,$B$4,缺陷明细!$G$2:$G$50000,$C52,缺陷明细!$J$2:$J$50000,"验收测试",缺陷明细!$AB$2:$AB$50000,"&lt;&gt;丢弃",缺陷明细!$AB$2:$AB$50000,"&lt;&gt;设计如此",缺陷明细!$AB$2:$AB$50000,"&lt;&gt;重复Bug")</f>
        <v>0</v>
      </c>
      <c r="V52" s="75">
        <f>COUNTIFS(缺陷明细!$A$2:$A$50000,$B$4,缺陷明细!$G$2:$G$50000,$C52,缺陷明细!$Q$2:$Q$50000,"已关闭",缺陷明细!$J$2:$J$50000,"验收测试")</f>
        <v>0</v>
      </c>
      <c r="W52" s="75">
        <f>COUNTIFS(缺陷明细!$A$2:$A$50000,$B$4,缺陷明细!$G$2:$G$50000,$C52,缺陷明细!$J$2:$J$50000,"验收测试",缺陷明细!$K$2:$K$50000,"致命",缺陷明细!$AB$2:$AB$50000,"&lt;&gt;丢弃",缺陷明细!$AB$2:$AB$50000,"&lt;&gt;设计如此",缺陷明细!$AB$2:$AB$50000,"&lt;&gt;重复Bug")+COUNTIFS(缺陷明细!$A$2:$A$50000,$B$4,缺陷明细!$G$2:$G$50000,$C52,缺陷明细!$J$2:$J$50000,"验收测试",缺陷明细!$K$2:$K$50000,"严重",缺陷明细!$AB$2:$AB$50000,"&lt;&gt;丢弃",缺陷明细!$AB$2:$AB$50000,"&lt;&gt;设计如此",缺陷明细!$AB$2:$AB$50000,"&lt;&gt;重复Bug")</f>
        <v>0</v>
      </c>
      <c r="X52" s="76">
        <f>COUNTIFS(缺陷明细!$A$2:$A$50000,$B$4,缺陷明细!$G$2:$G$50000,$C52,缺陷明细!$Q$2:$Q$50000,"已关闭",缺陷明细!$J$2:$J$50000,"验收测试",缺陷明细!$K$2:$K$50000,"致命")+COUNTIFS(缺陷明细!$A$2:$A$50000,$B$4,缺陷明细!$G$2:$G$50000,$C52,缺陷明细!$Q$2:$Q$50000,"已关闭",缺陷明细!$J$2:$J$50000,"验收测试",缺陷明细!$K$2:$K$50000,"严重")</f>
        <v>0</v>
      </c>
      <c r="Y52" s="70">
        <f>COUNTIFS(缺陷明细!$A$2:$A$50000,$B$4,缺陷明细!$G$2:$G$50000,$C52,缺陷明细!$J$2:$J$50000,"运维测试",缺陷明细!$AB$2:$AB$50000,"&lt;&gt;丢弃",缺陷明细!$AB$2:$AB$50000,"&lt;&gt;设计如此",缺陷明细!$AB$2:$AB$50000,"&lt;&gt;重复Bug")</f>
        <v>0</v>
      </c>
      <c r="Z52" s="71">
        <f>COUNTIFS(缺陷明细!$A$2:$A$50000,$B$4,缺陷明细!$G$2:$G$50000,$C52,缺陷明细!$Q$2:$Q$50000,"已关闭",缺陷明细!$J$2:$J$50000,"运维测试")</f>
        <v>0</v>
      </c>
      <c r="AA52" s="72">
        <f>COUNTIFS(缺陷明细!$A$2:$A$50000,$B$4,缺陷明细!$G$2:$G$50000,$C52,缺陷明细!$J$2:$J$50000,"运维测试",缺陷明细!$K$2:$K$50000,"致命",缺陷明细!$AB$2:$AB$50000,"&lt;&gt;丢弃",缺陷明细!$AB$2:$AB$50000,"&lt;&gt;设计如此",缺陷明细!$AB$2:$AB$50000,"&lt;&gt;重复Bug")+COUNTIFS(缺陷明细!$A$2:$A$50000,$B$4,缺陷明细!$G$2:$G$50000,$C52,缺陷明细!$J$2:$J$50000,"运维测试",缺陷明细!$K$2:$K$50000,"严重",缺陷明细!$AB$2:$AB$50000,"&lt;&gt;丢弃",缺陷明细!$AB$2:$AB$50000,"&lt;&gt;设计如此",缺陷明细!$AB$2:$AB$50000,"&lt;&gt;重复Bug")</f>
        <v>0</v>
      </c>
      <c r="AB52" s="73">
        <f>COUNTIFS(缺陷明细!$A$2:$A$50000,$B$4,缺陷明细!$G$2:$G$50000,$C52,缺陷明细!$Q$2:$Q$50000,"已关闭",缺陷明细!$J$2:$J$50000,"运维测试",缺陷明细!$K$2:$K$50000,"致命")+COUNTIFS(缺陷明细!$A$2:$A$50000,$B$4,缺陷明细!$G$2:$G$50000,$C52,缺陷明细!$Q$2:$Q$50000,"已关闭",缺陷明细!$J$2:$J$50000,"运维测试",缺陷明细!$K$2:$K$50000,"严重")</f>
        <v>0</v>
      </c>
      <c r="AC52" s="68">
        <f t="shared" si="0"/>
        <v>0</v>
      </c>
      <c r="AD52" s="60">
        <f t="shared" si="0"/>
        <v>0</v>
      </c>
      <c r="AE52" s="60">
        <f t="shared" si="1"/>
        <v>0</v>
      </c>
      <c r="AF52" s="60">
        <f t="shared" si="1"/>
        <v>0</v>
      </c>
      <c r="AG52" s="60">
        <f t="shared" si="2"/>
        <v>0</v>
      </c>
      <c r="AH52" s="60">
        <f t="shared" si="2"/>
        <v>0</v>
      </c>
      <c r="AI52" s="60">
        <f t="shared" si="3"/>
        <v>0</v>
      </c>
      <c r="AJ52" s="61">
        <f t="shared" si="3"/>
        <v>0</v>
      </c>
      <c r="AK52" s="144"/>
    </row>
    <row r="53" spans="1:37">
      <c r="A53">
        <v>49</v>
      </c>
      <c r="B53" s="57"/>
      <c r="C53" s="58"/>
      <c r="D53" s="84"/>
      <c r="E53" s="82"/>
      <c r="F53" s="158"/>
      <c r="G53" s="159"/>
      <c r="H53" s="281">
        <f>COUNTIFS(缺陷明细!$A$2:$A$50000,$B$4,缺陷明细!$G$2:$G$50000,$C53,缺陷明细!$J$2:$J$50000,"评审",缺陷明细!$AB$2:$AB$50000,"&lt;&gt;丢弃",缺陷明细!$AB$2:$AB$50000,"&lt;&gt;设计如此",缺陷明细!$AB$2:$AB$50000,"&lt;&gt;重复Bug")</f>
        <v>0</v>
      </c>
      <c r="I53" s="154">
        <f>COUNTIFS(缺陷明细!$A$2:$A$50000,$B$4,缺陷明细!$G$2:$G$50000,$C53,缺陷明细!$Q$2:$Q$50000,"已关闭",缺陷明细!$J$2:$J$50000,"评审")</f>
        <v>0</v>
      </c>
      <c r="J53" s="154">
        <f>COUNTIFS(缺陷明细!$A$2:$A$50000,$B$4,缺陷明细!$G$2:$G$50000,$C53,缺陷明细!$J$2:$J$50000,"单元测试",缺陷明细!$AB$2:$AB$50000,"&lt;&gt;丢弃",缺陷明细!$AB$2:$AB$50000,"&lt;&gt;设计如此",缺陷明细!$AB$2:$AB$50000,"&lt;&gt;重复Bug")</f>
        <v>0</v>
      </c>
      <c r="K53" s="155">
        <f>COUNTIFS(缺陷明细!$A$2:$A$50000,$B$4,缺陷明细!$G$2:$G$50000,$C53,缺陷明细!$Q$2:$Q$50000,"已关闭",缺陷明细!$J$2:$J$50000,"单元测试")</f>
        <v>0</v>
      </c>
      <c r="L53" s="156"/>
      <c r="M53" s="157"/>
      <c r="N53" s="72">
        <f>COUNTIFS(缺陷明细!$A$2:$A$50000,$B$4,缺陷明细!$G$2:$G$50000,$C53,缺陷明细!$J$2:$J$50000,"系统测试案例评审",缺陷明细!$AB$2:$AB$50000,"&lt;&gt;丢弃",缺陷明细!$AB$2:$AB$50000,"&lt;&gt;设计如此",缺陷明细!$AB$2:$AB$50000,"&lt;&gt;重复Bug")</f>
        <v>0</v>
      </c>
      <c r="O53" s="72">
        <f>COUNTIFS(缺陷明细!$A$2:$A$50000,$B$4,缺陷明细!$G$2:$G$50000,$C53,缺陷明细!$Q$2:$Q$50000,"已关闭",缺陷明细!$J$2:$J$50000,"系统测试案例评审")</f>
        <v>0</v>
      </c>
      <c r="P53" s="72">
        <f>COUNTIFS(缺陷明细!$A$2:$A$50000,$B$4,缺陷明细!$G$2:$G$50000,$C53,缺陷明细!$J$2:$J$50000,"系统测试",缺陷明细!$AB$2:$AB$50000,"&lt;&gt;丢弃",缺陷明细!$AB$2:$AB$50000,"&lt;&gt;设计如此",缺陷明细!$AB$2:$AB$50000,"&lt;&gt;重复Bug")</f>
        <v>0</v>
      </c>
      <c r="Q53" s="72">
        <f>COUNTIFS(缺陷明细!$A$2:$A$50000,$B$4,缺陷明细!$G$2:$G$50000,$C53,缺陷明细!$Q$2:$Q$50000,"已关闭",缺陷明细!$J$2:$J$50000,"系统测试")</f>
        <v>0</v>
      </c>
      <c r="R53" s="296">
        <f>COUNTIFS(缺陷明细!$A$2:$A$50000,$B$4,缺陷明细!$G$2:$G$50000,$C53,缺陷明细!$AB$2:$AB$50000,"丢弃",缺陷明细!$J$2:$J$50000,"系统测试")+COUNTIFS(缺陷明细!$A$2:$A$50000,$B$4,缺陷明细!$G$2:$G$50000,$C53,缺陷明细!$AB$2:$AB$50000,"设计如此",缺陷明细!$J$2:$J$50000,"系统测试")+COUNTIFS(缺陷明细!$A$2:$A$50000,$B$4,缺陷明细!$G$2:$G$50000,$C53,缺陷明细!$AB$2:$AB$50000,"重复Bug",缺陷明细!$J$2:$J$50000,"系统测试")</f>
        <v>0</v>
      </c>
      <c r="S53" s="72">
        <f>COUNTIFS(缺陷明细!$A$2:$A$50000,$B$4,缺陷明细!$G$2:$G$50000,$C53,缺陷明细!$J$2:$J$50000,"系统测试",缺陷明细!$K$2:$K$50000,"致命",缺陷明细!$AB$2:$AB$50000,"&lt;&gt;丢弃",缺陷明细!$AB$2:$AB$50000,"&lt;&gt;设计如此",缺陷明细!$AB$2:$AB$50000,"&lt;&gt;重复Bug")+COUNTIFS(缺陷明细!$A$2:$A$50000,$B$4,缺陷明细!$G$2:$G$50000,$C53,缺陷明细!$J$2:$J$50000,"系统测试",缺陷明细!$K$2:$K$50000,"严重",缺陷明细!$AB$2:$AB$50000,"&lt;&gt;丢弃",缺陷明细!$AB$2:$AB$50000,"&lt;&gt;设计如此",缺陷明细!$AB$2:$AB$50000,"&lt;&gt;重复Bug")</f>
        <v>0</v>
      </c>
      <c r="T53" s="73">
        <f>COUNTIFS(缺陷明细!$A$2:$A$50000,$B$4,缺陷明细!$G$2:$G$50000,$C53,缺陷明细!$Q$2:$Q$50000,"已关闭",缺陷明细!$J$2:$J$50000,"系统测试",缺陷明细!$K$2:$K$50000,"致命")+COUNTIFS(缺陷明细!$A$2:$A$50000,$B$4,缺陷明细!$G$2:$G$50000,$C53,缺陷明细!$Q$2:$Q$50000,"已关闭",缺陷明细!$J$2:$J$50000,"系统测试",缺陷明细!$K$2:$K$50000,"严重")</f>
        <v>0</v>
      </c>
      <c r="U53" s="74">
        <f>COUNTIFS(缺陷明细!$A$2:$A$50000,$B$4,缺陷明细!$G$2:$G$50000,$C53,缺陷明细!$J$2:$J$50000,"验收测试",缺陷明细!$AB$2:$AB$50000,"&lt;&gt;丢弃",缺陷明细!$AB$2:$AB$50000,"&lt;&gt;设计如此",缺陷明细!$AB$2:$AB$50000,"&lt;&gt;重复Bug")</f>
        <v>0</v>
      </c>
      <c r="V53" s="75">
        <f>COUNTIFS(缺陷明细!$A$2:$A$50000,$B$4,缺陷明细!$G$2:$G$50000,$C53,缺陷明细!$Q$2:$Q$50000,"已关闭",缺陷明细!$J$2:$J$50000,"验收测试")</f>
        <v>0</v>
      </c>
      <c r="W53" s="75">
        <f>COUNTIFS(缺陷明细!$A$2:$A$50000,$B$4,缺陷明细!$G$2:$G$50000,$C53,缺陷明细!$J$2:$J$50000,"验收测试",缺陷明细!$K$2:$K$50000,"致命",缺陷明细!$AB$2:$AB$50000,"&lt;&gt;丢弃",缺陷明细!$AB$2:$AB$50000,"&lt;&gt;设计如此",缺陷明细!$AB$2:$AB$50000,"&lt;&gt;重复Bug")+COUNTIFS(缺陷明细!$A$2:$A$50000,$B$4,缺陷明细!$G$2:$G$50000,$C53,缺陷明细!$J$2:$J$50000,"验收测试",缺陷明细!$K$2:$K$50000,"严重",缺陷明细!$AB$2:$AB$50000,"&lt;&gt;丢弃",缺陷明细!$AB$2:$AB$50000,"&lt;&gt;设计如此",缺陷明细!$AB$2:$AB$50000,"&lt;&gt;重复Bug")</f>
        <v>0</v>
      </c>
      <c r="X53" s="76">
        <f>COUNTIFS(缺陷明细!$A$2:$A$50000,$B$4,缺陷明细!$G$2:$G$50000,$C53,缺陷明细!$Q$2:$Q$50000,"已关闭",缺陷明细!$J$2:$J$50000,"验收测试",缺陷明细!$K$2:$K$50000,"致命")+COUNTIFS(缺陷明细!$A$2:$A$50000,$B$4,缺陷明细!$G$2:$G$50000,$C53,缺陷明细!$Q$2:$Q$50000,"已关闭",缺陷明细!$J$2:$J$50000,"验收测试",缺陷明细!$K$2:$K$50000,"严重")</f>
        <v>0</v>
      </c>
      <c r="Y53" s="70">
        <f>COUNTIFS(缺陷明细!$A$2:$A$50000,$B$4,缺陷明细!$G$2:$G$50000,$C53,缺陷明细!$J$2:$J$50000,"运维测试",缺陷明细!$AB$2:$AB$50000,"&lt;&gt;丢弃",缺陷明细!$AB$2:$AB$50000,"&lt;&gt;设计如此",缺陷明细!$AB$2:$AB$50000,"&lt;&gt;重复Bug")</f>
        <v>0</v>
      </c>
      <c r="Z53" s="71">
        <f>COUNTIFS(缺陷明细!$A$2:$A$50000,$B$4,缺陷明细!$G$2:$G$50000,$C53,缺陷明细!$Q$2:$Q$50000,"已关闭",缺陷明细!$J$2:$J$50000,"运维测试")</f>
        <v>0</v>
      </c>
      <c r="AA53" s="72">
        <f>COUNTIFS(缺陷明细!$A$2:$A$50000,$B$4,缺陷明细!$G$2:$G$50000,$C53,缺陷明细!$J$2:$J$50000,"运维测试",缺陷明细!$K$2:$K$50000,"致命",缺陷明细!$AB$2:$AB$50000,"&lt;&gt;丢弃",缺陷明细!$AB$2:$AB$50000,"&lt;&gt;设计如此",缺陷明细!$AB$2:$AB$50000,"&lt;&gt;重复Bug")+COUNTIFS(缺陷明细!$A$2:$A$50000,$B$4,缺陷明细!$G$2:$G$50000,$C53,缺陷明细!$J$2:$J$50000,"运维测试",缺陷明细!$K$2:$K$50000,"严重",缺陷明细!$AB$2:$AB$50000,"&lt;&gt;丢弃",缺陷明细!$AB$2:$AB$50000,"&lt;&gt;设计如此",缺陷明细!$AB$2:$AB$50000,"&lt;&gt;重复Bug")</f>
        <v>0</v>
      </c>
      <c r="AB53" s="73">
        <f>COUNTIFS(缺陷明细!$A$2:$A$50000,$B$4,缺陷明细!$G$2:$G$50000,$C53,缺陷明细!$Q$2:$Q$50000,"已关闭",缺陷明细!$J$2:$J$50000,"运维测试",缺陷明细!$K$2:$K$50000,"致命")+COUNTIFS(缺陷明细!$A$2:$A$50000,$B$4,缺陷明细!$G$2:$G$50000,$C53,缺陷明细!$Q$2:$Q$50000,"已关闭",缺陷明细!$J$2:$J$50000,"运维测试",缺陷明细!$K$2:$K$50000,"严重")</f>
        <v>0</v>
      </c>
      <c r="AC53" s="68">
        <f t="shared" si="0"/>
        <v>0</v>
      </c>
      <c r="AD53" s="60">
        <f t="shared" si="0"/>
        <v>0</v>
      </c>
      <c r="AE53" s="60">
        <f t="shared" si="1"/>
        <v>0</v>
      </c>
      <c r="AF53" s="60">
        <f t="shared" si="1"/>
        <v>0</v>
      </c>
      <c r="AG53" s="60">
        <f t="shared" si="2"/>
        <v>0</v>
      </c>
      <c r="AH53" s="60">
        <f t="shared" si="2"/>
        <v>0</v>
      </c>
      <c r="AI53" s="60">
        <f t="shared" si="3"/>
        <v>0</v>
      </c>
      <c r="AJ53" s="61">
        <f t="shared" si="3"/>
        <v>0</v>
      </c>
      <c r="AK53" s="144"/>
    </row>
    <row r="54" spans="1:37">
      <c r="A54">
        <v>50</v>
      </c>
      <c r="B54" s="57"/>
      <c r="C54" s="58"/>
      <c r="D54" s="84"/>
      <c r="E54" s="82"/>
      <c r="F54" s="158"/>
      <c r="G54" s="159"/>
      <c r="H54" s="281">
        <f>COUNTIFS(缺陷明细!$A$2:$A$50000,$B$4,缺陷明细!$G$2:$G$50000,$C54,缺陷明细!$J$2:$J$50000,"评审",缺陷明细!$AB$2:$AB$50000,"&lt;&gt;丢弃",缺陷明细!$AB$2:$AB$50000,"&lt;&gt;设计如此",缺陷明细!$AB$2:$AB$50000,"&lt;&gt;重复Bug")</f>
        <v>0</v>
      </c>
      <c r="I54" s="154">
        <f>COUNTIFS(缺陷明细!$A$2:$A$50000,$B$4,缺陷明细!$G$2:$G$50000,$C54,缺陷明细!$Q$2:$Q$50000,"已关闭",缺陷明细!$J$2:$J$50000,"评审")</f>
        <v>0</v>
      </c>
      <c r="J54" s="154">
        <f>COUNTIFS(缺陷明细!$A$2:$A$50000,$B$4,缺陷明细!$G$2:$G$50000,$C54,缺陷明细!$J$2:$J$50000,"单元测试",缺陷明细!$AB$2:$AB$50000,"&lt;&gt;丢弃",缺陷明细!$AB$2:$AB$50000,"&lt;&gt;设计如此",缺陷明细!$AB$2:$AB$50000,"&lt;&gt;重复Bug")</f>
        <v>0</v>
      </c>
      <c r="K54" s="155">
        <f>COUNTIFS(缺陷明细!$A$2:$A$50000,$B$4,缺陷明细!$G$2:$G$50000,$C54,缺陷明细!$Q$2:$Q$50000,"已关闭",缺陷明细!$J$2:$J$50000,"单元测试")</f>
        <v>0</v>
      </c>
      <c r="L54" s="156"/>
      <c r="M54" s="157"/>
      <c r="N54" s="72">
        <f>COUNTIFS(缺陷明细!$A$2:$A$50000,$B$4,缺陷明细!$G$2:$G$50000,$C54,缺陷明细!$J$2:$J$50000,"系统测试案例评审",缺陷明细!$AB$2:$AB$50000,"&lt;&gt;丢弃",缺陷明细!$AB$2:$AB$50000,"&lt;&gt;设计如此",缺陷明细!$AB$2:$AB$50000,"&lt;&gt;重复Bug")</f>
        <v>0</v>
      </c>
      <c r="O54" s="72">
        <f>COUNTIFS(缺陷明细!$A$2:$A$50000,$B$4,缺陷明细!$G$2:$G$50000,$C54,缺陷明细!$Q$2:$Q$50000,"已关闭",缺陷明细!$J$2:$J$50000,"系统测试案例评审")</f>
        <v>0</v>
      </c>
      <c r="P54" s="72">
        <f>COUNTIFS(缺陷明细!$A$2:$A$50000,$B$4,缺陷明细!$G$2:$G$50000,$C54,缺陷明细!$J$2:$J$50000,"系统测试",缺陷明细!$AB$2:$AB$50000,"&lt;&gt;丢弃",缺陷明细!$AB$2:$AB$50000,"&lt;&gt;设计如此",缺陷明细!$AB$2:$AB$50000,"&lt;&gt;重复Bug")</f>
        <v>0</v>
      </c>
      <c r="Q54" s="72">
        <f>COUNTIFS(缺陷明细!$A$2:$A$50000,$B$4,缺陷明细!$G$2:$G$50000,$C54,缺陷明细!$Q$2:$Q$50000,"已关闭",缺陷明细!$J$2:$J$50000,"系统测试")</f>
        <v>0</v>
      </c>
      <c r="R54" s="296">
        <f>COUNTIFS(缺陷明细!$A$2:$A$50000,$B$4,缺陷明细!$G$2:$G$50000,$C54,缺陷明细!$AB$2:$AB$50000,"丢弃",缺陷明细!$J$2:$J$50000,"系统测试")+COUNTIFS(缺陷明细!$A$2:$A$50000,$B$4,缺陷明细!$G$2:$G$50000,$C54,缺陷明细!$AB$2:$AB$50000,"设计如此",缺陷明细!$J$2:$J$50000,"系统测试")+COUNTIFS(缺陷明细!$A$2:$A$50000,$B$4,缺陷明细!$G$2:$G$50000,$C54,缺陷明细!$AB$2:$AB$50000,"重复Bug",缺陷明细!$J$2:$J$50000,"系统测试")</f>
        <v>0</v>
      </c>
      <c r="S54" s="72">
        <f>COUNTIFS(缺陷明细!$A$2:$A$50000,$B$4,缺陷明细!$G$2:$G$50000,$C54,缺陷明细!$J$2:$J$50000,"系统测试",缺陷明细!$K$2:$K$50000,"致命",缺陷明细!$AB$2:$AB$50000,"&lt;&gt;丢弃",缺陷明细!$AB$2:$AB$50000,"&lt;&gt;设计如此",缺陷明细!$AB$2:$AB$50000,"&lt;&gt;重复Bug")+COUNTIFS(缺陷明细!$A$2:$A$50000,$B$4,缺陷明细!$G$2:$G$50000,$C54,缺陷明细!$J$2:$J$50000,"系统测试",缺陷明细!$K$2:$K$50000,"严重",缺陷明细!$AB$2:$AB$50000,"&lt;&gt;丢弃",缺陷明细!$AB$2:$AB$50000,"&lt;&gt;设计如此",缺陷明细!$AB$2:$AB$50000,"&lt;&gt;重复Bug")</f>
        <v>0</v>
      </c>
      <c r="T54" s="73">
        <f>COUNTIFS(缺陷明细!$A$2:$A$50000,$B$4,缺陷明细!$G$2:$G$50000,$C54,缺陷明细!$Q$2:$Q$50000,"已关闭",缺陷明细!$J$2:$J$50000,"系统测试",缺陷明细!$K$2:$K$50000,"致命")+COUNTIFS(缺陷明细!$A$2:$A$50000,$B$4,缺陷明细!$G$2:$G$50000,$C54,缺陷明细!$Q$2:$Q$50000,"已关闭",缺陷明细!$J$2:$J$50000,"系统测试",缺陷明细!$K$2:$K$50000,"严重")</f>
        <v>0</v>
      </c>
      <c r="U54" s="74">
        <f>COUNTIFS(缺陷明细!$A$2:$A$50000,$B$4,缺陷明细!$G$2:$G$50000,$C54,缺陷明细!$J$2:$J$50000,"验收测试",缺陷明细!$AB$2:$AB$50000,"&lt;&gt;丢弃",缺陷明细!$AB$2:$AB$50000,"&lt;&gt;设计如此",缺陷明细!$AB$2:$AB$50000,"&lt;&gt;重复Bug")</f>
        <v>0</v>
      </c>
      <c r="V54" s="75">
        <f>COUNTIFS(缺陷明细!$A$2:$A$50000,$B$4,缺陷明细!$G$2:$G$50000,$C54,缺陷明细!$Q$2:$Q$50000,"已关闭",缺陷明细!$J$2:$J$50000,"验收测试")</f>
        <v>0</v>
      </c>
      <c r="W54" s="75">
        <f>COUNTIFS(缺陷明细!$A$2:$A$50000,$B$4,缺陷明细!$G$2:$G$50000,$C54,缺陷明细!$J$2:$J$50000,"验收测试",缺陷明细!$K$2:$K$50000,"致命",缺陷明细!$AB$2:$AB$50000,"&lt;&gt;丢弃",缺陷明细!$AB$2:$AB$50000,"&lt;&gt;设计如此",缺陷明细!$AB$2:$AB$50000,"&lt;&gt;重复Bug")+COUNTIFS(缺陷明细!$A$2:$A$50000,$B$4,缺陷明细!$G$2:$G$50000,$C54,缺陷明细!$J$2:$J$50000,"验收测试",缺陷明细!$K$2:$K$50000,"严重",缺陷明细!$AB$2:$AB$50000,"&lt;&gt;丢弃",缺陷明细!$AB$2:$AB$50000,"&lt;&gt;设计如此",缺陷明细!$AB$2:$AB$50000,"&lt;&gt;重复Bug")</f>
        <v>0</v>
      </c>
      <c r="X54" s="76">
        <f>COUNTIFS(缺陷明细!$A$2:$A$50000,$B$4,缺陷明细!$G$2:$G$50000,$C54,缺陷明细!$Q$2:$Q$50000,"已关闭",缺陷明细!$J$2:$J$50000,"验收测试",缺陷明细!$K$2:$K$50000,"致命")+COUNTIFS(缺陷明细!$A$2:$A$50000,$B$4,缺陷明细!$G$2:$G$50000,$C54,缺陷明细!$Q$2:$Q$50000,"已关闭",缺陷明细!$J$2:$J$50000,"验收测试",缺陷明细!$K$2:$K$50000,"严重")</f>
        <v>0</v>
      </c>
      <c r="Y54" s="70">
        <f>COUNTIFS(缺陷明细!$A$2:$A$50000,$B$4,缺陷明细!$G$2:$G$50000,$C54,缺陷明细!$J$2:$J$50000,"运维测试",缺陷明细!$AB$2:$AB$50000,"&lt;&gt;丢弃",缺陷明细!$AB$2:$AB$50000,"&lt;&gt;设计如此",缺陷明细!$AB$2:$AB$50000,"&lt;&gt;重复Bug")</f>
        <v>0</v>
      </c>
      <c r="Z54" s="71">
        <f>COUNTIFS(缺陷明细!$A$2:$A$50000,$B$4,缺陷明细!$G$2:$G$50000,$C54,缺陷明细!$Q$2:$Q$50000,"已关闭",缺陷明细!$J$2:$J$50000,"运维测试")</f>
        <v>0</v>
      </c>
      <c r="AA54" s="72">
        <f>COUNTIFS(缺陷明细!$A$2:$A$50000,$B$4,缺陷明细!$G$2:$G$50000,$C54,缺陷明细!$J$2:$J$50000,"运维测试",缺陷明细!$K$2:$K$50000,"致命",缺陷明细!$AB$2:$AB$50000,"&lt;&gt;丢弃",缺陷明细!$AB$2:$AB$50000,"&lt;&gt;设计如此",缺陷明细!$AB$2:$AB$50000,"&lt;&gt;重复Bug")+COUNTIFS(缺陷明细!$A$2:$A$50000,$B$4,缺陷明细!$G$2:$G$50000,$C54,缺陷明细!$J$2:$J$50000,"运维测试",缺陷明细!$K$2:$K$50000,"严重",缺陷明细!$AB$2:$AB$50000,"&lt;&gt;丢弃",缺陷明细!$AB$2:$AB$50000,"&lt;&gt;设计如此",缺陷明细!$AB$2:$AB$50000,"&lt;&gt;重复Bug")</f>
        <v>0</v>
      </c>
      <c r="AB54" s="73">
        <f>COUNTIFS(缺陷明细!$A$2:$A$50000,$B$4,缺陷明细!$G$2:$G$50000,$C54,缺陷明细!$Q$2:$Q$50000,"已关闭",缺陷明细!$J$2:$J$50000,"运维测试",缺陷明细!$K$2:$K$50000,"致命")+COUNTIFS(缺陷明细!$A$2:$A$50000,$B$4,缺陷明细!$G$2:$G$50000,$C54,缺陷明细!$Q$2:$Q$50000,"已关闭",缺陷明细!$J$2:$J$50000,"运维测试",缺陷明细!$K$2:$K$50000,"严重")</f>
        <v>0</v>
      </c>
      <c r="AC54" s="68">
        <f t="shared" si="0"/>
        <v>0</v>
      </c>
      <c r="AD54" s="60">
        <f t="shared" si="0"/>
        <v>0</v>
      </c>
      <c r="AE54" s="60">
        <f t="shared" si="1"/>
        <v>0</v>
      </c>
      <c r="AF54" s="60">
        <f t="shared" si="1"/>
        <v>0</v>
      </c>
      <c r="AG54" s="60">
        <f t="shared" si="2"/>
        <v>0</v>
      </c>
      <c r="AH54" s="60">
        <f t="shared" si="2"/>
        <v>0</v>
      </c>
      <c r="AI54" s="60">
        <f t="shared" si="3"/>
        <v>0</v>
      </c>
      <c r="AJ54" s="61">
        <f t="shared" si="3"/>
        <v>0</v>
      </c>
      <c r="AK54" s="144"/>
    </row>
    <row r="55" spans="1:37" ht="13.5" thickBot="1">
      <c r="B55" s="140"/>
      <c r="C55" s="102"/>
      <c r="D55" s="85"/>
      <c r="E55" s="149"/>
      <c r="F55" s="162"/>
      <c r="G55" s="163"/>
      <c r="H55" s="282">
        <f>COUNTIFS(缺陷明细!$A$2:$A$50000,$B$4,缺陷明细!$G$2:$G$50000,$C55,缺陷明细!$J$2:$J$50000,"评审",缺陷明细!$AB$2:$AB$50000,"&lt;&gt;丢弃",缺陷明细!$AB$2:$AB$50000,"&lt;&gt;设计如此",缺陷明细!$AB$2:$AB$50000,"&lt;&gt;重复Bug")</f>
        <v>0</v>
      </c>
      <c r="I55" s="283">
        <f>COUNTIFS(缺陷明细!$A$2:$A$50000,$B$4,缺陷明细!$G$2:$G$50000,$C55,缺陷明细!$Q$2:$Q$50000,"已关闭",缺陷明细!$J$2:$J$50000,"评审")</f>
        <v>0</v>
      </c>
      <c r="J55" s="283">
        <f>COUNTIFS(缺陷明细!$A$2:$A$50000,$B$4,缺陷明细!$G$2:$G$50000,$C55,缺陷明细!$J$2:$J$50000,"单元测试",缺陷明细!$AB$2:$AB$50000,"&lt;&gt;丢弃",缺陷明细!$AB$2:$AB$50000,"&lt;&gt;设计如此",缺陷明细!$AB$2:$AB$50000,"&lt;&gt;重复Bug")</f>
        <v>0</v>
      </c>
      <c r="K55" s="284">
        <f>COUNTIFS(缺陷明细!$A$2:$A$50000,$B$4,缺陷明细!$G$2:$G$50000,$C55,缺陷明细!$Q$2:$Q$50000,"已关闭",缺陷明细!$J$2:$J$50000,"单元测试")</f>
        <v>0</v>
      </c>
      <c r="L55" s="285"/>
      <c r="M55" s="286"/>
      <c r="N55" s="287">
        <f>COUNTIFS(缺陷明细!$A$2:$A$50000,$B$4,缺陷明细!$G$2:$G$50000,$C55,缺陷明细!$J$2:$J$50000,"系统测试案例评审",缺陷明细!$AB$2:$AB$50000,"&lt;&gt;丢弃",缺陷明细!$AB$2:$AB$50000,"&lt;&gt;设计如此",缺陷明细!$AB$2:$AB$50000,"&lt;&gt;重复Bug")</f>
        <v>0</v>
      </c>
      <c r="O55" s="287">
        <f>COUNTIFS(缺陷明细!$A$2:$A$50000,$B$4,缺陷明细!$G$2:$G$50000,$C55,缺陷明细!$Q$2:$Q$50000,"已关闭",缺陷明细!$J$2:$J$50000,"系统测试案例评审")</f>
        <v>0</v>
      </c>
      <c r="P55" s="287">
        <f>COUNTIFS(缺陷明细!$A$2:$A$50000,$B$4,缺陷明细!$G$2:$G$50000,$C55,缺陷明细!$J$2:$J$50000,"系统测试",缺陷明细!$AB$2:$AB$50000,"&lt;&gt;丢弃",缺陷明细!$AB$2:$AB$50000,"&lt;&gt;设计如此",缺陷明细!$AB$2:$AB$50000,"&lt;&gt;重复Bug")</f>
        <v>0</v>
      </c>
      <c r="Q55" s="287">
        <f>COUNTIFS(缺陷明细!$A$2:$A$50000,$B$4,缺陷明细!$G$2:$G$50000,$C55,缺陷明细!$Q$2:$Q$50000,"已关闭",缺陷明细!$J$2:$J$50000,"系统测试")</f>
        <v>0</v>
      </c>
      <c r="R55" s="297">
        <f>COUNTIFS(缺陷明细!$A$2:$A$50000,$B$4,缺陷明细!$G$2:$G$50000,$C55,缺陷明细!$AB$2:$AB$50000,"丢弃",缺陷明细!$J$2:$J$50000,"系统测试")+COUNTIFS(缺陷明细!$A$2:$A$50000,$B$4,缺陷明细!$G$2:$G$50000,$C55,缺陷明细!$AB$2:$AB$50000,"设计如此",缺陷明细!$J$2:$J$50000,"系统测试")+COUNTIFS(缺陷明细!$A$2:$A$50000,$B$4,缺陷明细!$G$2:$G$50000,$C55,缺陷明细!$AB$2:$AB$50000,"重复Bug",缺陷明细!$J$2:$J$50000,"系统测试")</f>
        <v>0</v>
      </c>
      <c r="S55" s="287">
        <f>COUNTIFS(缺陷明细!$A$2:$A$50000,$B$4,缺陷明细!$G$2:$G$50000,$C55,缺陷明细!$J$2:$J$50000,"系统测试",缺陷明细!$K$2:$K$50000,"致命",缺陷明细!$AB$2:$AB$50000,"&lt;&gt;丢弃",缺陷明细!$AB$2:$AB$50000,"&lt;&gt;设计如此",缺陷明细!$AB$2:$AB$50000,"&lt;&gt;重复Bug")+COUNTIFS(缺陷明细!$A$2:$A$50000,$B$4,缺陷明细!$G$2:$G$50000,$C55,缺陷明细!$J$2:$J$50000,"系统测试",缺陷明细!$K$2:$K$50000,"严重",缺陷明细!$AB$2:$AB$50000,"&lt;&gt;丢弃",缺陷明细!$AB$2:$AB$50000,"&lt;&gt;设计如此",缺陷明细!$AB$2:$AB$50000,"&lt;&gt;重复Bug")</f>
        <v>0</v>
      </c>
      <c r="T55" s="288">
        <f>COUNTIFS(缺陷明细!$A$2:$A$50000,$B$4,缺陷明细!$G$2:$G$50000,$C55,缺陷明细!$Q$2:$Q$50000,"已关闭",缺陷明细!$J$2:$J$50000,"系统测试",缺陷明细!$K$2:$K$50000,"致命")+COUNTIFS(缺陷明细!$A$2:$A$50000,$B$4,缺陷明细!$G$2:$G$50000,$C55,缺陷明细!$Q$2:$Q$50000,"已关闭",缺陷明细!$J$2:$J$50000,"系统测试",缺陷明细!$K$2:$K$50000,"严重")</f>
        <v>0</v>
      </c>
      <c r="U55" s="289">
        <f>COUNTIFS(缺陷明细!$A$2:$A$50000,$B$4,缺陷明细!$G$2:$G$50000,$C55,缺陷明细!$J$2:$J$50000,"验收测试",缺陷明细!$AB$2:$AB$50000,"&lt;&gt;丢弃",缺陷明细!$AB$2:$AB$50000,"&lt;&gt;设计如此",缺陷明细!$AB$2:$AB$50000,"&lt;&gt;重复Bug")</f>
        <v>0</v>
      </c>
      <c r="V55" s="290">
        <f>COUNTIFS(缺陷明细!$A$2:$A$50000,$B$4,缺陷明细!$G$2:$G$50000,$C55,缺陷明细!$Q$2:$Q$50000,"已关闭",缺陷明细!$J$2:$J$50000,"验收测试")</f>
        <v>0</v>
      </c>
      <c r="W55" s="290">
        <f>COUNTIFS(缺陷明细!$A$2:$A$50000,$B$4,缺陷明细!$G$2:$G$50000,$C55,缺陷明细!$J$2:$J$50000,"验收测试",缺陷明细!$K$2:$K$50000,"致命",缺陷明细!$AB$2:$AB$50000,"&lt;&gt;丢弃",缺陷明细!$AB$2:$AB$50000,"&lt;&gt;设计如此",缺陷明细!$AB$2:$AB$50000,"&lt;&gt;重复Bug")+COUNTIFS(缺陷明细!$A$2:$A$50000,$B$4,缺陷明细!$G$2:$G$50000,$C55,缺陷明细!$J$2:$J$50000,"验收测试",缺陷明细!$K$2:$K$50000,"严重",缺陷明细!$AB$2:$AB$50000,"&lt;&gt;丢弃",缺陷明细!$AB$2:$AB$50000,"&lt;&gt;设计如此",缺陷明细!$AB$2:$AB$50000,"&lt;&gt;重复Bug")</f>
        <v>0</v>
      </c>
      <c r="X55" s="291">
        <f>COUNTIFS(缺陷明细!$A$2:$A$50000,$B$4,缺陷明细!$G$2:$G$50000,$C55,缺陷明细!$Q$2:$Q$50000,"已关闭",缺陷明细!$J$2:$J$50000,"验收测试",缺陷明细!$K$2:$K$50000,"致命")+COUNTIFS(缺陷明细!$A$2:$A$50000,$B$4,缺陷明细!$G$2:$G$50000,$C55,缺陷明细!$Q$2:$Q$50000,"已关闭",缺陷明细!$J$2:$J$50000,"验收测试",缺陷明细!$K$2:$K$50000,"严重")</f>
        <v>0</v>
      </c>
      <c r="Y55" s="292">
        <f>COUNTIFS(缺陷明细!$A$2:$A$50000,$B$4,缺陷明细!$G$2:$G$50000,$C55,缺陷明细!$J$2:$J$50000,"运维测试",缺陷明细!$AB$2:$AB$50000,"&lt;&gt;丢弃",缺陷明细!$AB$2:$AB$50000,"&lt;&gt;设计如此",缺陷明细!$AB$2:$AB$50000,"&lt;&gt;重复Bug")</f>
        <v>0</v>
      </c>
      <c r="Z55" s="293">
        <f>COUNTIFS(缺陷明细!$A$2:$A$50000,$B$4,缺陷明细!$G$2:$G$50000,$C55,缺陷明细!$Q$2:$Q$50000,"已关闭",缺陷明细!$J$2:$J$50000,"运维测试")</f>
        <v>0</v>
      </c>
      <c r="AA55" s="287">
        <f>COUNTIFS(缺陷明细!$A$2:$A$50000,$B$4,缺陷明细!$G$2:$G$50000,$C55,缺陷明细!$J$2:$J$50000,"运维测试",缺陷明细!$K$2:$K$50000,"致命",缺陷明细!$AB$2:$AB$50000,"&lt;&gt;丢弃",缺陷明细!$AB$2:$AB$50000,"&lt;&gt;设计如此",缺陷明细!$AB$2:$AB$50000,"&lt;&gt;重复Bug")+COUNTIFS(缺陷明细!$A$2:$A$50000,$B$4,缺陷明细!$G$2:$G$50000,$C55,缺陷明细!$J$2:$J$50000,"运维测试",缺陷明细!$K$2:$K$50000,"严重",缺陷明细!$AB$2:$AB$50000,"&lt;&gt;丢弃",缺陷明细!$AB$2:$AB$50000,"&lt;&gt;设计如此",缺陷明细!$AB$2:$AB$50000,"&lt;&gt;重复Bug")</f>
        <v>0</v>
      </c>
      <c r="AB55" s="288">
        <f>COUNTIFS(缺陷明细!$A$2:$A$50000,$B$4,缺陷明细!$G$2:$G$50000,$C55,缺陷明细!$Q$2:$Q$50000,"已关闭",缺陷明细!$J$2:$J$50000,"运维测试",缺陷明细!$K$2:$K$50000,"致命")+COUNTIFS(缺陷明细!$A$2:$A$50000,$B$4,缺陷明细!$G$2:$G$50000,$C55,缺陷明细!$Q$2:$Q$50000,"已关闭",缺陷明细!$J$2:$J$50000,"运维测试",缺陷明细!$K$2:$K$50000,"严重")</f>
        <v>0</v>
      </c>
      <c r="AC55" s="150">
        <f t="shared" si="0"/>
        <v>0</v>
      </c>
      <c r="AD55" s="151">
        <f t="shared" si="0"/>
        <v>0</v>
      </c>
      <c r="AE55" s="151">
        <f t="shared" si="1"/>
        <v>0</v>
      </c>
      <c r="AF55" s="151">
        <f t="shared" si="1"/>
        <v>0</v>
      </c>
      <c r="AG55" s="151">
        <f t="shared" si="2"/>
        <v>0</v>
      </c>
      <c r="AH55" s="151">
        <f t="shared" si="2"/>
        <v>0</v>
      </c>
      <c r="AI55" s="151">
        <f t="shared" si="3"/>
        <v>0</v>
      </c>
      <c r="AJ55" s="141">
        <f t="shared" si="3"/>
        <v>0</v>
      </c>
      <c r="AK55" s="145"/>
    </row>
    <row r="56" spans="1:37">
      <c r="B56" s="417" t="s">
        <v>223</v>
      </c>
      <c r="C56" s="418"/>
      <c r="D56" s="135">
        <f>COUNTA(D5:D55)</f>
        <v>13</v>
      </c>
      <c r="E56" s="135">
        <f>COUNTIF(E2:E55,"是")</f>
        <v>0</v>
      </c>
      <c r="F56" s="135">
        <f>SUMIFS(F5:F500,$E$5:$E$500,"是")</f>
        <v>0</v>
      </c>
      <c r="G56" s="135">
        <f t="shared" ref="G56:AJ56" si="4">SUMIFS(G5:G500,$E$5:$E$500,"是")</f>
        <v>0</v>
      </c>
      <c r="H56" s="135">
        <f t="shared" si="4"/>
        <v>0</v>
      </c>
      <c r="I56" s="135">
        <f t="shared" si="4"/>
        <v>0</v>
      </c>
      <c r="J56" s="135">
        <f t="shared" si="4"/>
        <v>0</v>
      </c>
      <c r="K56" s="135">
        <f t="shared" si="4"/>
        <v>0</v>
      </c>
      <c r="L56" s="135">
        <f t="shared" si="4"/>
        <v>0</v>
      </c>
      <c r="M56" s="135">
        <f t="shared" si="4"/>
        <v>0</v>
      </c>
      <c r="N56" s="135">
        <f t="shared" si="4"/>
        <v>0</v>
      </c>
      <c r="O56" s="135">
        <f t="shared" si="4"/>
        <v>0</v>
      </c>
      <c r="P56" s="135">
        <f t="shared" si="4"/>
        <v>0</v>
      </c>
      <c r="Q56" s="135">
        <f t="shared" si="4"/>
        <v>0</v>
      </c>
      <c r="R56" s="135">
        <f t="shared" si="4"/>
        <v>0</v>
      </c>
      <c r="S56" s="135">
        <f t="shared" si="4"/>
        <v>0</v>
      </c>
      <c r="T56" s="135">
        <f t="shared" si="4"/>
        <v>0</v>
      </c>
      <c r="U56" s="135">
        <f t="shared" si="4"/>
        <v>0</v>
      </c>
      <c r="V56" s="135">
        <f t="shared" si="4"/>
        <v>0</v>
      </c>
      <c r="W56" s="135">
        <f t="shared" si="4"/>
        <v>0</v>
      </c>
      <c r="X56" s="135">
        <f t="shared" si="4"/>
        <v>0</v>
      </c>
      <c r="Y56" s="135">
        <f t="shared" si="4"/>
        <v>0</v>
      </c>
      <c r="Z56" s="135">
        <f t="shared" si="4"/>
        <v>0</v>
      </c>
      <c r="AA56" s="135">
        <f t="shared" si="4"/>
        <v>0</v>
      </c>
      <c r="AB56" s="135">
        <f t="shared" si="4"/>
        <v>0</v>
      </c>
      <c r="AC56" s="135">
        <f t="shared" si="4"/>
        <v>0</v>
      </c>
      <c r="AD56" s="135">
        <f t="shared" si="4"/>
        <v>0</v>
      </c>
      <c r="AE56" s="135">
        <f t="shared" si="4"/>
        <v>0</v>
      </c>
      <c r="AF56" s="135">
        <f t="shared" si="4"/>
        <v>0</v>
      </c>
      <c r="AG56" s="135">
        <f t="shared" si="4"/>
        <v>0</v>
      </c>
      <c r="AH56" s="135">
        <f t="shared" si="4"/>
        <v>0</v>
      </c>
      <c r="AI56" s="135">
        <f t="shared" si="4"/>
        <v>0</v>
      </c>
      <c r="AJ56" s="135">
        <f t="shared" si="4"/>
        <v>0</v>
      </c>
      <c r="AK56" s="30"/>
    </row>
    <row r="57" spans="1:37">
      <c r="C57" s="146"/>
      <c r="D57" s="147"/>
      <c r="E57" s="136"/>
      <c r="F57" s="136"/>
      <c r="G57" s="136"/>
      <c r="H57" s="137"/>
      <c r="I57" s="137"/>
      <c r="J57" s="137"/>
      <c r="K57" s="137"/>
      <c r="L57" s="137"/>
      <c r="M57" s="137"/>
      <c r="N57" s="137"/>
      <c r="O57" s="137"/>
      <c r="P57" s="137"/>
      <c r="Q57" s="137"/>
      <c r="R57" s="137"/>
      <c r="S57" s="137"/>
      <c r="T57" s="137"/>
      <c r="U57" s="137"/>
      <c r="V57" s="137"/>
      <c r="W57" s="137"/>
      <c r="X57" s="137"/>
      <c r="Y57" s="137"/>
      <c r="Z57" s="137"/>
      <c r="AA57" s="137"/>
      <c r="AB57" s="137"/>
      <c r="AC57" s="137"/>
      <c r="AD57" s="137"/>
      <c r="AE57" s="137"/>
      <c r="AF57" s="137"/>
      <c r="AG57" s="137"/>
      <c r="AH57" s="137"/>
      <c r="AI57" s="137"/>
      <c r="AJ57" s="137"/>
    </row>
    <row r="59" spans="1:37">
      <c r="F59" s="95"/>
    </row>
  </sheetData>
  <mergeCells count="13">
    <mergeCell ref="AC2:AJ2"/>
    <mergeCell ref="AK2:AK3"/>
    <mergeCell ref="U2:X2"/>
    <mergeCell ref="B56:C56"/>
    <mergeCell ref="B2:B3"/>
    <mergeCell ref="E2:E3"/>
    <mergeCell ref="H2:K2"/>
    <mergeCell ref="L2:T2"/>
    <mergeCell ref="H1:AB1"/>
    <mergeCell ref="F2:G2"/>
    <mergeCell ref="D2:D3"/>
    <mergeCell ref="C2:C3"/>
    <mergeCell ref="Y2:AB2"/>
  </mergeCells>
  <phoneticPr fontId="13" type="noConversion"/>
  <dataValidations count="1">
    <dataValidation type="list" allowBlank="1" showInputMessage="1" showErrorMessage="1" sqref="E5:E55">
      <formula1>"是,否"</formula1>
    </dataValidation>
  </dataValidations>
  <pageMargins left="0.69930555555555596" right="0.69930555555555596"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00FF"/>
  </sheetPr>
  <dimension ref="A1:AK126"/>
  <sheetViews>
    <sheetView workbookViewId="0">
      <selection activeCell="N122" sqref="N122"/>
    </sheetView>
  </sheetViews>
  <sheetFormatPr defaultColWidth="9" defaultRowHeight="12.75"/>
  <cols>
    <col min="1" max="1" width="5.140625" customWidth="1"/>
    <col min="3" max="3" width="29.28515625" customWidth="1"/>
    <col min="4" max="4" width="6.28515625" customWidth="1"/>
    <col min="5" max="5" width="5.85546875" style="38" customWidth="1"/>
    <col min="6" max="7" width="5.7109375" style="38" customWidth="1"/>
    <col min="8" max="36" width="5.7109375" customWidth="1"/>
    <col min="37" max="37" width="20" customWidth="1"/>
    <col min="38" max="38" width="8.140625" customWidth="1"/>
  </cols>
  <sheetData>
    <row r="1" spans="1:37" ht="13.5" customHeight="1" thickBot="1">
      <c r="A1" s="29"/>
      <c r="B1" s="259" t="s">
        <v>61</v>
      </c>
      <c r="C1" s="259"/>
      <c r="D1" s="259"/>
      <c r="E1" s="259"/>
      <c r="F1" s="260"/>
      <c r="G1" s="260"/>
      <c r="H1" s="402" t="s">
        <v>63</v>
      </c>
      <c r="I1" s="402"/>
      <c r="J1" s="402"/>
      <c r="K1" s="402"/>
      <c r="L1" s="402"/>
      <c r="M1" s="402"/>
      <c r="N1" s="402"/>
      <c r="O1" s="402"/>
      <c r="P1" s="402"/>
      <c r="Q1" s="402"/>
      <c r="R1" s="402"/>
      <c r="S1" s="402"/>
      <c r="T1" s="402"/>
      <c r="U1" s="402"/>
      <c r="V1" s="402"/>
      <c r="W1" s="402"/>
      <c r="X1" s="402"/>
      <c r="Y1" s="402"/>
      <c r="Z1" s="402"/>
      <c r="AA1" s="402"/>
      <c r="AB1" s="402"/>
      <c r="AC1" s="138"/>
      <c r="AD1" s="138"/>
      <c r="AE1" s="138"/>
      <c r="AF1" s="138"/>
      <c r="AG1" s="138"/>
      <c r="AH1" s="138"/>
      <c r="AI1" s="138"/>
      <c r="AJ1" s="139"/>
      <c r="AK1" s="148"/>
    </row>
    <row r="2" spans="1:37" ht="12.75" customHeight="1" thickBot="1">
      <c r="B2" s="419" t="s">
        <v>195</v>
      </c>
      <c r="C2" s="403" t="s">
        <v>60</v>
      </c>
      <c r="D2" s="405" t="s">
        <v>104</v>
      </c>
      <c r="E2" s="421" t="s">
        <v>196</v>
      </c>
      <c r="F2" s="403" t="s">
        <v>197</v>
      </c>
      <c r="G2" s="404"/>
      <c r="H2" s="423" t="s">
        <v>224</v>
      </c>
      <c r="I2" s="423"/>
      <c r="J2" s="423"/>
      <c r="K2" s="423"/>
      <c r="L2" s="424" t="s">
        <v>198</v>
      </c>
      <c r="M2" s="425"/>
      <c r="N2" s="425"/>
      <c r="O2" s="425"/>
      <c r="P2" s="425"/>
      <c r="Q2" s="425"/>
      <c r="R2" s="425"/>
      <c r="S2" s="425"/>
      <c r="T2" s="426"/>
      <c r="U2" s="415" t="s">
        <v>44</v>
      </c>
      <c r="V2" s="416"/>
      <c r="W2" s="416"/>
      <c r="X2" s="416"/>
      <c r="Y2" s="408" t="s">
        <v>64</v>
      </c>
      <c r="Z2" s="409"/>
      <c r="AA2" s="409"/>
      <c r="AB2" s="409"/>
      <c r="AC2" s="410" t="s">
        <v>2</v>
      </c>
      <c r="AD2" s="411"/>
      <c r="AE2" s="411"/>
      <c r="AF2" s="411"/>
      <c r="AG2" s="411"/>
      <c r="AH2" s="411"/>
      <c r="AI2" s="411"/>
      <c r="AJ2" s="412"/>
      <c r="AK2" s="413" t="s">
        <v>4</v>
      </c>
    </row>
    <row r="3" spans="1:37" ht="84.75" thickBot="1">
      <c r="B3" s="420"/>
      <c r="C3" s="407"/>
      <c r="D3" s="406"/>
      <c r="E3" s="422"/>
      <c r="F3" s="261" t="s">
        <v>284</v>
      </c>
      <c r="G3" s="262" t="s">
        <v>285</v>
      </c>
      <c r="H3" s="34" t="s">
        <v>105</v>
      </c>
      <c r="I3" s="34" t="s">
        <v>106</v>
      </c>
      <c r="J3" s="34" t="s">
        <v>107</v>
      </c>
      <c r="K3" s="34" t="s">
        <v>108</v>
      </c>
      <c r="L3" s="33" t="s">
        <v>200</v>
      </c>
      <c r="M3" s="34" t="s">
        <v>201</v>
      </c>
      <c r="N3" s="31" t="s">
        <v>45</v>
      </c>
      <c r="O3" s="31" t="s">
        <v>46</v>
      </c>
      <c r="P3" s="31" t="s">
        <v>34</v>
      </c>
      <c r="Q3" s="31" t="s">
        <v>36</v>
      </c>
      <c r="R3" s="31" t="s">
        <v>293</v>
      </c>
      <c r="S3" s="31" t="s">
        <v>35</v>
      </c>
      <c r="T3" s="32" t="s">
        <v>37</v>
      </c>
      <c r="U3" s="99" t="s">
        <v>125</v>
      </c>
      <c r="V3" s="35" t="s">
        <v>126</v>
      </c>
      <c r="W3" s="35" t="s">
        <v>202</v>
      </c>
      <c r="X3" s="35" t="s">
        <v>127</v>
      </c>
      <c r="Y3" s="99" t="s">
        <v>65</v>
      </c>
      <c r="Z3" s="35" t="s">
        <v>66</v>
      </c>
      <c r="AA3" s="35" t="s">
        <v>67</v>
      </c>
      <c r="AB3" s="36" t="s">
        <v>204</v>
      </c>
      <c r="AC3" s="33" t="s">
        <v>38</v>
      </c>
      <c r="AD3" s="31" t="s">
        <v>39</v>
      </c>
      <c r="AE3" s="31" t="s">
        <v>40</v>
      </c>
      <c r="AF3" s="31" t="s">
        <v>41</v>
      </c>
      <c r="AG3" s="31" t="s">
        <v>128</v>
      </c>
      <c r="AH3" s="31" t="s">
        <v>130</v>
      </c>
      <c r="AI3" s="31" t="s">
        <v>131</v>
      </c>
      <c r="AJ3" s="32" t="s">
        <v>129</v>
      </c>
      <c r="AK3" s="414"/>
    </row>
    <row r="4" spans="1:37" ht="13.5" thickBot="1">
      <c r="B4" s="96" t="s">
        <v>340</v>
      </c>
      <c r="C4" s="80" t="s">
        <v>341</v>
      </c>
      <c r="D4" s="134"/>
      <c r="E4" s="130"/>
      <c r="F4" s="100"/>
      <c r="G4" s="81"/>
      <c r="H4" s="69"/>
      <c r="I4" s="63"/>
      <c r="J4" s="63"/>
      <c r="K4" s="64"/>
      <c r="L4" s="77"/>
      <c r="M4" s="101"/>
      <c r="N4" s="63"/>
      <c r="O4" s="63"/>
      <c r="P4" s="63"/>
      <c r="Q4" s="63"/>
      <c r="R4" s="63"/>
      <c r="S4" s="63"/>
      <c r="T4" s="64"/>
      <c r="U4" s="62"/>
      <c r="V4" s="63"/>
      <c r="W4" s="63"/>
      <c r="X4" s="64"/>
      <c r="Y4" s="62"/>
      <c r="Z4" s="63"/>
      <c r="AA4" s="63"/>
      <c r="AB4" s="64"/>
      <c r="AC4" s="69"/>
      <c r="AD4" s="63"/>
      <c r="AE4" s="63"/>
      <c r="AF4" s="63"/>
      <c r="AG4" s="63"/>
      <c r="AH4" s="63"/>
      <c r="AI4" s="63"/>
      <c r="AJ4" s="64"/>
      <c r="AK4" s="142"/>
    </row>
    <row r="5" spans="1:37">
      <c r="A5">
        <v>1</v>
      </c>
      <c r="B5" s="78">
        <v>306</v>
      </c>
      <c r="C5" s="79" t="s">
        <v>342</v>
      </c>
      <c r="D5" s="82" t="s">
        <v>343</v>
      </c>
      <c r="E5" s="82" t="s">
        <v>344</v>
      </c>
      <c r="F5" s="152">
        <v>16</v>
      </c>
      <c r="G5" s="153">
        <v>0</v>
      </c>
      <c r="H5" s="271">
        <f>COUNTIFS(缺陷明细!$A$2:$A$50000,$B$4,缺陷明细!$G$2:$G$50000,$C5,缺陷明细!$J$2:$J$50000,"评审",缺陷明细!$AB$2:$AB$50000,"&lt;&gt;丢弃",缺陷明细!$AB$2:$AB$50000,"&lt;&gt;设计如此",缺陷明细!$AB$2:$AB$50000,"&lt;&gt;重复Bug")</f>
        <v>0</v>
      </c>
      <c r="I5" s="272">
        <f>COUNTIFS(缺陷明细!$A$2:$A$50000,$B$4,缺陷明细!$G$2:$G$50000,$C5,缺陷明细!$Q$2:$Q$50000,"已关闭",缺陷明细!$J$2:$J$50000,"评审")</f>
        <v>0</v>
      </c>
      <c r="J5" s="272">
        <f>COUNTIFS(缺陷明细!$A$2:$A$50000,$B$4,缺陷明细!$G$2:$G$50000,$C5,缺陷明细!$J$2:$J$50000,"单元测试",缺陷明细!$AB$2:$AB$50000,"&lt;&gt;丢弃",缺陷明细!$AB$2:$AB$50000,"&lt;&gt;设计如此",缺陷明细!$AB$2:$AB$50000,"&lt;&gt;重复Bug")</f>
        <v>0</v>
      </c>
      <c r="K5" s="273">
        <f>COUNTIFS(缺陷明细!$A$2:$A$50000,$B$4,缺陷明细!$G$2:$G$50000,$C5,缺陷明细!$Q$2:$Q$50000,"已关闭",缺陷明细!$J$2:$J$50000,"单元测试")</f>
        <v>0</v>
      </c>
      <c r="L5" s="156"/>
      <c r="M5" s="157"/>
      <c r="N5" s="72">
        <f>COUNTIFS(缺陷明细!$A$2:$A$50000,$B$4,缺陷明细!$G$2:$G$50000,$C5,缺陷明细!$J$2:$J$50000,"系统测试案例评审",缺陷明细!$AB$2:$AB$50000,"&lt;&gt;丢弃",缺陷明细!$AB$2:$AB$50000,"&lt;&gt;设计如此",缺陷明细!$AB$2:$AB$50000,"&lt;&gt;重复Bug")</f>
        <v>0</v>
      </c>
      <c r="O5" s="72">
        <f>COUNTIFS(缺陷明细!$A$2:$A$50000,$B$4,缺陷明细!$G$2:$G$50000,$C5,缺陷明细!$Q$2:$Q$50000,"已关闭",缺陷明细!$J$2:$J$50000,"系统测试案例评审")</f>
        <v>0</v>
      </c>
      <c r="P5" s="72">
        <f>COUNTIFS(缺陷明细!$A$2:$A$50000,$B$4,缺陷明细!$G$2:$G$50000,$C5,缺陷明细!$J$2:$J$50000,"系统测试",缺陷明细!$AB$2:$AB$50000,"&lt;&gt;丢弃",缺陷明细!$AB$2:$AB$50000,"&lt;&gt;设计如此",缺陷明细!$AB$2:$AB$50000,"&lt;&gt;重复Bug")</f>
        <v>0</v>
      </c>
      <c r="Q5" s="72">
        <f>COUNTIFS(缺陷明细!$A$2:$A$50000,$B$4,缺陷明细!$G$2:$G$50000,$C5,缺陷明细!$Q$2:$Q$50000,"已关闭",缺陷明细!$J$2:$J$50000,"系统测试")</f>
        <v>0</v>
      </c>
      <c r="R5" s="72">
        <f>COUNTIFS(缺陷明细!$A$2:$A$50000,$B$4,缺陷明细!$G$2:$G$50000,$C5,缺陷明细!$AB$2:$AB$50000,"丢弃",缺陷明细!$J$2:$J$50000,"系统测试")+COUNTIFS(缺陷明细!$A$2:$A$50000,$B$4,缺陷明细!$G$2:$G$50000,$C5,缺陷明细!$AB$2:$AB$50000,"设计如此",缺陷明细!$J$2:$J$50000,"系统测试")+COUNTIFS(缺陷明细!$A$2:$A$50000,$B$4,缺陷明细!$G$2:$G$50000,$C5,缺陷明细!$AB$2:$AB$50000,"重复Bug",缺陷明细!$J$2:$J$50000,"系统测试")</f>
        <v>0</v>
      </c>
      <c r="S5" s="72">
        <f>COUNTIFS(缺陷明细!$A$2:$A$50000,$B$4,缺陷明细!$G$2:$G$50000,$C5,缺陷明细!$J$2:$J$50000,"系统测试",缺陷明细!$K$2:$K$50000,"致命",缺陷明细!$AB$2:$AB$50000,"&lt;&gt;丢弃",缺陷明细!$AB$2:$AB$50000,"&lt;&gt;设计如此",缺陷明细!$AB$2:$AB$50000,"&lt;&gt;重复Bug")+COUNTIFS(缺陷明细!$A$2:$A$50000,$B$4,缺陷明细!$G$2:$G$50000,$C5,缺陷明细!$J$2:$J$50000,"系统测试",缺陷明细!$K$2:$K$50000,"严重",缺陷明细!$AB$2:$AB$50000,"&lt;&gt;丢弃",缺陷明细!$AB$2:$AB$50000,"&lt;&gt;设计如此",缺陷明细!$AB$2:$AB$50000,"&lt;&gt;重复Bug")</f>
        <v>0</v>
      </c>
      <c r="T5" s="73">
        <f>COUNTIFS(缺陷明细!$A$2:$A$50000,$B$4,缺陷明细!$G$2:$G$50000,$C5,缺陷明细!$Q$2:$Q$50000,"已关闭",缺陷明细!$J$2:$J$50000,"系统测试",缺陷明细!$K$2:$K$50000,"致命")+COUNTIFS(缺陷明细!$A$2:$A$50000,$B$4,缺陷明细!$G$2:$G$50000,$C5,缺陷明细!$Q$2:$Q$50000,"已关闭",缺陷明细!$J$2:$J$50000,"系统测试",缺陷明细!$K$2:$K$50000,"严重")</f>
        <v>0</v>
      </c>
      <c r="U5" s="276">
        <f>COUNTIFS(缺陷明细!$A$2:$A$50000,$B$4,缺陷明细!$G$2:$G$50000,$C5,缺陷明细!$J$2:$J$50000,"验收测试",缺陷明细!$AB$2:$AB$50000,"&lt;&gt;丢弃",缺陷明细!$AB$2:$AB$50000,"&lt;&gt;设计如此",缺陷明细!$AB$2:$AB$50000,"&lt;&gt;重复Bug")</f>
        <v>0</v>
      </c>
      <c r="V5" s="277">
        <f>COUNTIFS(缺陷明细!$A$2:$A$50000,$B$4,缺陷明细!$G$2:$G$50000,$C5,缺陷明细!$Q$2:$Q$50000,"已关闭",缺陷明细!$J$2:$J$50000,"验收测试")</f>
        <v>0</v>
      </c>
      <c r="W5" s="277">
        <f>COUNTIFS(缺陷明细!$A$2:$A$50000,$B$4,缺陷明细!$G$2:$G$50000,$C5,缺陷明细!$J$2:$J$50000,"验收测试",缺陷明细!$K$2:$K$50000,"致命",缺陷明细!$AB$2:$AB$50000,"&lt;&gt;丢弃",缺陷明细!$AB$2:$AB$50000,"&lt;&gt;设计如此",缺陷明细!$AB$2:$AB$50000,"&lt;&gt;重复Bug")+COUNTIFS(缺陷明细!$A$2:$A$50000,$B$4,缺陷明细!$G$2:$G$50000,$C5,缺陷明细!$J$2:$J$50000,"验收测试",缺陷明细!$K$2:$K$50000,"严重",缺陷明细!$AB$2:$AB$50000,"&lt;&gt;丢弃",缺陷明细!$AB$2:$AB$50000,"&lt;&gt;设计如此",缺陷明细!$AB$2:$AB$50000,"&lt;&gt;重复Bug")</f>
        <v>0</v>
      </c>
      <c r="X5" s="278">
        <f>COUNTIFS(缺陷明细!$A$2:$A$50000,$B$4,缺陷明细!$G$2:$G$50000,$C5,缺陷明细!$Q$2:$Q$50000,"已关闭",缺陷明细!$J$2:$J$50000,"验收测试",缺陷明细!$K$2:$K$50000,"致命")+COUNTIFS(缺陷明细!$A$2:$A$50000,$B$4,缺陷明细!$G$2:$G$50000,$C5,缺陷明细!$Q$2:$Q$50000,"已关闭",缺陷明细!$J$2:$J$50000,"验收测试",缺陷明细!$K$2:$K$50000,"严重")</f>
        <v>0</v>
      </c>
      <c r="Y5" s="279">
        <f>COUNTIFS(缺陷明细!$A$2:$A$50000,$B$4,缺陷明细!$G$2:$G$50000,$C5,缺陷明细!$J$2:$J$50000,"运维测试",缺陷明细!$AB$2:$AB$50000,"&lt;&gt;丢弃",缺陷明细!$AB$2:$AB$50000,"&lt;&gt;设计如此",缺陷明细!$AB$2:$AB$50000,"&lt;&gt;重复Bug")</f>
        <v>0</v>
      </c>
      <c r="Z5" s="280">
        <f>COUNTIFS(缺陷明细!$A$2:$A$50000,$B$4,缺陷明细!$G$2:$G$50000,$C5,缺陷明细!$Q$2:$Q$50000,"已关闭",缺陷明细!$J$2:$J$50000,"运维测试")</f>
        <v>0</v>
      </c>
      <c r="AA5" s="274">
        <f>COUNTIFS(缺陷明细!$A$2:$A$50000,$B$4,缺陷明细!$G$2:$G$50000,$C5,缺陷明细!$J$2:$J$50000,"运维测试",缺陷明细!$K$2:$K$50000,"致命",缺陷明细!$AB$2:$AB$50000,"&lt;&gt;丢弃",缺陷明细!$AB$2:$AB$50000,"&lt;&gt;设计如此",缺陷明细!$AB$2:$AB$50000,"&lt;&gt;重复Bug")+COUNTIFS(缺陷明细!$A$2:$A$50000,$B$4,缺陷明细!$G$2:$G$50000,$C5,缺陷明细!$J$2:$J$50000,"运维测试",缺陷明细!$K$2:$K$50000,"严重",缺陷明细!$AB$2:$AB$50000,"&lt;&gt;丢弃",缺陷明细!$AB$2:$AB$50000,"&lt;&gt;设计如此",缺陷明细!$AB$2:$AB$50000,"&lt;&gt;重复Bug")</f>
        <v>0</v>
      </c>
      <c r="AB5" s="275">
        <f>COUNTIFS(缺陷明细!$A$2:$A$50000,$B$4,缺陷明细!$G$2:$G$50000,$C5,缺陷明细!$Q$2:$Q$50000,"已关闭",缺陷明细!$J$2:$J$50000,"运维测试",缺陷明细!$K$2:$K$50000,"致命")+COUNTIFS(缺陷明细!$A$2:$A$50000,$B$4,缺陷明细!$G$2:$G$50000,$C5,缺陷明细!$Q$2:$Q$50000,"已关闭",缺陷明细!$J$2:$J$50000,"运维测试",缺陷明细!$K$2:$K$50000,"严重")</f>
        <v>0</v>
      </c>
      <c r="AC5" s="68">
        <f>H5</f>
        <v>0</v>
      </c>
      <c r="AD5" s="60">
        <f>I5</f>
        <v>0</v>
      </c>
      <c r="AE5" s="60">
        <f>H5+J5</f>
        <v>0</v>
      </c>
      <c r="AF5" s="60">
        <f>I5+K5</f>
        <v>0</v>
      </c>
      <c r="AG5" s="60">
        <f>H5+J5+P5</f>
        <v>0</v>
      </c>
      <c r="AH5" s="60">
        <f>I5+K5+Q5</f>
        <v>0</v>
      </c>
      <c r="AI5" s="60">
        <f>Y5</f>
        <v>0</v>
      </c>
      <c r="AJ5" s="61">
        <f>Z5</f>
        <v>0</v>
      </c>
      <c r="AK5" s="143"/>
    </row>
    <row r="6" spans="1:37">
      <c r="A6">
        <v>2</v>
      </c>
      <c r="B6" s="57">
        <v>324</v>
      </c>
      <c r="C6" s="58" t="s">
        <v>345</v>
      </c>
      <c r="D6" s="83" t="s">
        <v>343</v>
      </c>
      <c r="E6" s="82" t="s">
        <v>346</v>
      </c>
      <c r="F6" s="158">
        <v>4</v>
      </c>
      <c r="G6" s="159">
        <v>8</v>
      </c>
      <c r="H6" s="281">
        <f>COUNTIFS(缺陷明细!$A$2:$A$50000,$B$4,缺陷明细!$G$2:$G$50000,$C6,缺陷明细!$J$2:$J$50000,"评审",缺陷明细!$AB$2:$AB$50000,"&lt;&gt;丢弃",缺陷明细!$AB$2:$AB$50000,"&lt;&gt;设计如此",缺陷明细!$AB$2:$AB$50000,"&lt;&gt;重复Bug")</f>
        <v>0</v>
      </c>
      <c r="I6" s="154">
        <f>COUNTIFS(缺陷明细!$A$2:$A$50000,$B$4,缺陷明细!$G$2:$G$50000,$C6,缺陷明细!$Q$2:$Q$50000,"已关闭",缺陷明细!$J$2:$J$50000,"评审")</f>
        <v>0</v>
      </c>
      <c r="J6" s="154">
        <f>COUNTIFS(缺陷明细!$A$2:$A$50000,$B$4,缺陷明细!$G$2:$G$50000,$C6,缺陷明细!$J$2:$J$50000,"单元测试",缺陷明细!$AB$2:$AB$50000,"&lt;&gt;丢弃",缺陷明细!$AB$2:$AB$50000,"&lt;&gt;设计如此",缺陷明细!$AB$2:$AB$50000,"&lt;&gt;重复Bug")</f>
        <v>0</v>
      </c>
      <c r="K6" s="155">
        <f>COUNTIFS(缺陷明细!$A$2:$A$50000,$B$4,缺陷明细!$G$2:$G$50000,$C6,缺陷明细!$Q$2:$Q$50000,"已关闭",缺陷明细!$J$2:$J$50000,"单元测试")</f>
        <v>0</v>
      </c>
      <c r="L6" s="156"/>
      <c r="M6" s="157"/>
      <c r="N6" s="72">
        <f>COUNTIFS(缺陷明细!$A$2:$A$50000,$B$4,缺陷明细!$G$2:$G$50000,$C6,缺陷明细!$J$2:$J$50000,"系统测试案例评审",缺陷明细!$AB$2:$AB$50000,"&lt;&gt;丢弃",缺陷明细!$AB$2:$AB$50000,"&lt;&gt;设计如此",缺陷明细!$AB$2:$AB$50000,"&lt;&gt;重复Bug")</f>
        <v>0</v>
      </c>
      <c r="O6" s="72">
        <f>COUNTIFS(缺陷明细!$A$2:$A$50000,$B$4,缺陷明细!$G$2:$G$50000,$C6,缺陷明细!$Q$2:$Q$50000,"已关闭",缺陷明细!$J$2:$J$50000,"系统测试案例评审")</f>
        <v>0</v>
      </c>
      <c r="P6" s="72">
        <f>COUNTIFS(缺陷明细!$A$2:$A$50000,$B$4,缺陷明细!$G$2:$G$50000,$C6,缺陷明细!$J$2:$J$50000,"系统测试",缺陷明细!$AB$2:$AB$50000,"&lt;&gt;丢弃",缺陷明细!$AB$2:$AB$50000,"&lt;&gt;设计如此",缺陷明细!$AB$2:$AB$50000,"&lt;&gt;重复Bug")</f>
        <v>0</v>
      </c>
      <c r="Q6" s="72">
        <f>COUNTIFS(缺陷明细!$A$2:$A$50000,$B$4,缺陷明细!$G$2:$G$50000,$C6,缺陷明细!$Q$2:$Q$50000,"已关闭",缺陷明细!$J$2:$J$50000,"系统测试")</f>
        <v>0</v>
      </c>
      <c r="R6" s="296">
        <f>COUNTIFS(缺陷明细!$A$2:$A$50000,$B$4,缺陷明细!$G$2:$G$50000,$C6,缺陷明细!$AB$2:$AB$50000,"丢弃",缺陷明细!$J$2:$J$50000,"系统测试")+COUNTIFS(缺陷明细!$A$2:$A$50000,$B$4,缺陷明细!$G$2:$G$50000,$C6,缺陷明细!$AB$2:$AB$50000,"设计如此",缺陷明细!$J$2:$J$50000,"系统测试")+COUNTIFS(缺陷明细!$A$2:$A$50000,$B$4,缺陷明细!$G$2:$G$50000,$C6,缺陷明细!$AB$2:$AB$50000,"重复Bug",缺陷明细!$J$2:$J$50000,"系统测试")</f>
        <v>0</v>
      </c>
      <c r="S6" s="72">
        <f>COUNTIFS(缺陷明细!$A$2:$A$50000,$B$4,缺陷明细!$G$2:$G$50000,$C6,缺陷明细!$J$2:$J$50000,"系统测试",缺陷明细!$K$2:$K$50000,"致命",缺陷明细!$AB$2:$AB$50000,"&lt;&gt;丢弃",缺陷明细!$AB$2:$AB$50000,"&lt;&gt;设计如此",缺陷明细!$AB$2:$AB$50000,"&lt;&gt;重复Bug")+COUNTIFS(缺陷明细!$A$2:$A$50000,$B$4,缺陷明细!$G$2:$G$50000,$C6,缺陷明细!$J$2:$J$50000,"系统测试",缺陷明细!$K$2:$K$50000,"严重",缺陷明细!$AB$2:$AB$50000,"&lt;&gt;丢弃",缺陷明细!$AB$2:$AB$50000,"&lt;&gt;设计如此",缺陷明细!$AB$2:$AB$50000,"&lt;&gt;重复Bug")</f>
        <v>0</v>
      </c>
      <c r="T6" s="73">
        <f>COUNTIFS(缺陷明细!$A$2:$A$50000,$B$4,缺陷明细!$G$2:$G$50000,$C6,缺陷明细!$Q$2:$Q$50000,"已关闭",缺陷明细!$J$2:$J$50000,"系统测试",缺陷明细!$K$2:$K$50000,"致命")+COUNTIFS(缺陷明细!$A$2:$A$50000,$B$4,缺陷明细!$G$2:$G$50000,$C6,缺陷明细!$Q$2:$Q$50000,"已关闭",缺陷明细!$J$2:$J$50000,"系统测试",缺陷明细!$K$2:$K$50000,"严重")</f>
        <v>0</v>
      </c>
      <c r="U6" s="74">
        <f>COUNTIFS(缺陷明细!$A$2:$A$50000,$B$4,缺陷明细!$G$2:$G$50000,$C6,缺陷明细!$J$2:$J$50000,"验收测试",缺陷明细!$AB$2:$AB$50000,"&lt;&gt;丢弃",缺陷明细!$AB$2:$AB$50000,"&lt;&gt;设计如此",缺陷明细!$AB$2:$AB$50000,"&lt;&gt;重复Bug")</f>
        <v>0</v>
      </c>
      <c r="V6" s="75">
        <f>COUNTIFS(缺陷明细!$A$2:$A$50000,$B$4,缺陷明细!$G$2:$G$50000,$C6,缺陷明细!$Q$2:$Q$50000,"已关闭",缺陷明细!$J$2:$J$50000,"验收测试")</f>
        <v>0</v>
      </c>
      <c r="W6" s="75">
        <f>COUNTIFS(缺陷明细!$A$2:$A$50000,$B$4,缺陷明细!$G$2:$G$50000,$C6,缺陷明细!$J$2:$J$50000,"验收测试",缺陷明细!$K$2:$K$50000,"致命",缺陷明细!$AB$2:$AB$50000,"&lt;&gt;丢弃",缺陷明细!$AB$2:$AB$50000,"&lt;&gt;设计如此",缺陷明细!$AB$2:$AB$50000,"&lt;&gt;重复Bug")+COUNTIFS(缺陷明细!$A$2:$A$50000,$B$4,缺陷明细!$G$2:$G$50000,$C6,缺陷明细!$J$2:$J$50000,"验收测试",缺陷明细!$K$2:$K$50000,"严重",缺陷明细!$AB$2:$AB$50000,"&lt;&gt;丢弃",缺陷明细!$AB$2:$AB$50000,"&lt;&gt;设计如此",缺陷明细!$AB$2:$AB$50000,"&lt;&gt;重复Bug")</f>
        <v>0</v>
      </c>
      <c r="X6" s="76">
        <f>COUNTIFS(缺陷明细!$A$2:$A$50000,$B$4,缺陷明细!$G$2:$G$50000,$C6,缺陷明细!$Q$2:$Q$50000,"已关闭",缺陷明细!$J$2:$J$50000,"验收测试",缺陷明细!$K$2:$K$50000,"致命")+COUNTIFS(缺陷明细!$A$2:$A$50000,$B$4,缺陷明细!$G$2:$G$50000,$C6,缺陷明细!$Q$2:$Q$50000,"已关闭",缺陷明细!$J$2:$J$50000,"验收测试",缺陷明细!$K$2:$K$50000,"严重")</f>
        <v>0</v>
      </c>
      <c r="Y6" s="70">
        <f>COUNTIFS(缺陷明细!$A$2:$A$50000,$B$4,缺陷明细!$G$2:$G$50000,$C6,缺陷明细!$J$2:$J$50000,"运维测试",缺陷明细!$AB$2:$AB$50000,"&lt;&gt;丢弃",缺陷明细!$AB$2:$AB$50000,"&lt;&gt;设计如此",缺陷明细!$AB$2:$AB$50000,"&lt;&gt;重复Bug")</f>
        <v>0</v>
      </c>
      <c r="Z6" s="71">
        <f>COUNTIFS(缺陷明细!$A$2:$A$50000,$B$4,缺陷明细!$G$2:$G$50000,$C6,缺陷明细!$Q$2:$Q$50000,"已关闭",缺陷明细!$J$2:$J$50000,"运维测试")</f>
        <v>0</v>
      </c>
      <c r="AA6" s="72">
        <f>COUNTIFS(缺陷明细!$A$2:$A$50000,$B$4,缺陷明细!$G$2:$G$50000,$C6,缺陷明细!$J$2:$J$50000,"运维测试",缺陷明细!$K$2:$K$50000,"致命",缺陷明细!$AB$2:$AB$50000,"&lt;&gt;丢弃",缺陷明细!$AB$2:$AB$50000,"&lt;&gt;设计如此",缺陷明细!$AB$2:$AB$50000,"&lt;&gt;重复Bug")+COUNTIFS(缺陷明细!$A$2:$A$50000,$B$4,缺陷明细!$G$2:$G$50000,$C6,缺陷明细!$J$2:$J$50000,"运维测试",缺陷明细!$K$2:$K$50000,"严重",缺陷明细!$AB$2:$AB$50000,"&lt;&gt;丢弃",缺陷明细!$AB$2:$AB$50000,"&lt;&gt;设计如此",缺陷明细!$AB$2:$AB$50000,"&lt;&gt;重复Bug")</f>
        <v>0</v>
      </c>
      <c r="AB6" s="73">
        <f>COUNTIFS(缺陷明细!$A$2:$A$50000,$B$4,缺陷明细!$G$2:$G$50000,$C6,缺陷明细!$Q$2:$Q$50000,"已关闭",缺陷明细!$J$2:$J$50000,"运维测试",缺陷明细!$K$2:$K$50000,"致命")+COUNTIFS(缺陷明细!$A$2:$A$50000,$B$4,缺陷明细!$G$2:$G$50000,$C6,缺陷明细!$Q$2:$Q$50000,"已关闭",缺陷明细!$J$2:$J$50000,"运维测试",缺陷明细!$K$2:$K$50000,"严重")</f>
        <v>0</v>
      </c>
      <c r="AC6" s="68">
        <f t="shared" ref="AC6:AD122" si="0">H6</f>
        <v>0</v>
      </c>
      <c r="AD6" s="60">
        <f t="shared" si="0"/>
        <v>0</v>
      </c>
      <c r="AE6" s="60">
        <f t="shared" ref="AE6:AF122" si="1">H6+J6</f>
        <v>0</v>
      </c>
      <c r="AF6" s="60">
        <f t="shared" si="1"/>
        <v>0</v>
      </c>
      <c r="AG6" s="60">
        <f t="shared" ref="AG6:AH122" si="2">H6+J6+P6</f>
        <v>0</v>
      </c>
      <c r="AH6" s="60">
        <f t="shared" si="2"/>
        <v>0</v>
      </c>
      <c r="AI6" s="60">
        <f t="shared" ref="AI6:AJ122" si="3">Y6</f>
        <v>0</v>
      </c>
      <c r="AJ6" s="61">
        <f t="shared" si="3"/>
        <v>0</v>
      </c>
      <c r="AK6" s="144"/>
    </row>
    <row r="7" spans="1:37" ht="38.25">
      <c r="A7">
        <v>3</v>
      </c>
      <c r="B7" s="57">
        <v>415</v>
      </c>
      <c r="C7" s="58" t="s">
        <v>347</v>
      </c>
      <c r="D7" s="83" t="s">
        <v>343</v>
      </c>
      <c r="E7" s="82" t="s">
        <v>346</v>
      </c>
      <c r="F7" s="158">
        <v>4</v>
      </c>
      <c r="G7" s="159">
        <v>4</v>
      </c>
      <c r="H7" s="281">
        <f>COUNTIFS(缺陷明细!$A$2:$A$50000,$B$4,缺陷明细!$G$2:$G$50000,$C7,缺陷明细!$J$2:$J$50000,"评审",缺陷明细!$AB$2:$AB$50000,"&lt;&gt;丢弃",缺陷明细!$AB$2:$AB$50000,"&lt;&gt;设计如此",缺陷明细!$AB$2:$AB$50000,"&lt;&gt;重复Bug")</f>
        <v>0</v>
      </c>
      <c r="I7" s="154">
        <f>COUNTIFS(缺陷明细!$A$2:$A$50000,$B$4,缺陷明细!$G$2:$G$50000,$C7,缺陷明细!$Q$2:$Q$50000,"已关闭",缺陷明细!$J$2:$J$50000,"评审")</f>
        <v>0</v>
      </c>
      <c r="J7" s="154">
        <f>COUNTIFS(缺陷明细!$A$2:$A$50000,$B$4,缺陷明细!$G$2:$G$50000,$C7,缺陷明细!$J$2:$J$50000,"单元测试",缺陷明细!$AB$2:$AB$50000,"&lt;&gt;丢弃",缺陷明细!$AB$2:$AB$50000,"&lt;&gt;设计如此",缺陷明细!$AB$2:$AB$50000,"&lt;&gt;重复Bug")</f>
        <v>0</v>
      </c>
      <c r="K7" s="155">
        <f>COUNTIFS(缺陷明细!$A$2:$A$50000,$B$4,缺陷明细!$G$2:$G$50000,$C7,缺陷明细!$Q$2:$Q$50000,"已关闭",缺陷明细!$J$2:$J$50000,"单元测试")</f>
        <v>0</v>
      </c>
      <c r="L7" s="156"/>
      <c r="M7" s="157"/>
      <c r="N7" s="72">
        <f>COUNTIFS(缺陷明细!$A$2:$A$50000,$B$4,缺陷明细!$G$2:$G$50000,$C7,缺陷明细!$J$2:$J$50000,"系统测试案例评审",缺陷明细!$AB$2:$AB$50000,"&lt;&gt;丢弃",缺陷明细!$AB$2:$AB$50000,"&lt;&gt;设计如此",缺陷明细!$AB$2:$AB$50000,"&lt;&gt;重复Bug")</f>
        <v>0</v>
      </c>
      <c r="O7" s="72">
        <f>COUNTIFS(缺陷明细!$A$2:$A$50000,$B$4,缺陷明细!$G$2:$G$50000,$C7,缺陷明细!$Q$2:$Q$50000,"已关闭",缺陷明细!$J$2:$J$50000,"系统测试案例评审")</f>
        <v>0</v>
      </c>
      <c r="P7" s="72">
        <f>COUNTIFS(缺陷明细!$A$2:$A$50000,$B$4,缺陷明细!$G$2:$G$50000,$C7,缺陷明细!$J$2:$J$50000,"系统测试",缺陷明细!$AB$2:$AB$50000,"&lt;&gt;丢弃",缺陷明细!$AB$2:$AB$50000,"&lt;&gt;设计如此",缺陷明细!$AB$2:$AB$50000,"&lt;&gt;重复Bug")</f>
        <v>0</v>
      </c>
      <c r="Q7" s="72">
        <f>COUNTIFS(缺陷明细!$A$2:$A$50000,$B$4,缺陷明细!$G$2:$G$50000,$C7,缺陷明细!$Q$2:$Q$50000,"已关闭",缺陷明细!$J$2:$J$50000,"系统测试")</f>
        <v>0</v>
      </c>
      <c r="R7" s="296">
        <f>COUNTIFS(缺陷明细!$A$2:$A$50000,$B$4,缺陷明细!$G$2:$G$50000,$C7,缺陷明细!$AB$2:$AB$50000,"丢弃",缺陷明细!$J$2:$J$50000,"系统测试")+COUNTIFS(缺陷明细!$A$2:$A$50000,$B$4,缺陷明细!$G$2:$G$50000,$C7,缺陷明细!$AB$2:$AB$50000,"设计如此",缺陷明细!$J$2:$J$50000,"系统测试")+COUNTIFS(缺陷明细!$A$2:$A$50000,$B$4,缺陷明细!$G$2:$G$50000,$C7,缺陷明细!$AB$2:$AB$50000,"重复Bug",缺陷明细!$J$2:$J$50000,"系统测试")</f>
        <v>0</v>
      </c>
      <c r="S7" s="72">
        <f>COUNTIFS(缺陷明细!$A$2:$A$50000,$B$4,缺陷明细!$G$2:$G$50000,$C7,缺陷明细!$J$2:$J$50000,"系统测试",缺陷明细!$K$2:$K$50000,"致命",缺陷明细!$AB$2:$AB$50000,"&lt;&gt;丢弃",缺陷明细!$AB$2:$AB$50000,"&lt;&gt;设计如此",缺陷明细!$AB$2:$AB$50000,"&lt;&gt;重复Bug")+COUNTIFS(缺陷明细!$A$2:$A$50000,$B$4,缺陷明细!$G$2:$G$50000,$C7,缺陷明细!$J$2:$J$50000,"系统测试",缺陷明细!$K$2:$K$50000,"严重",缺陷明细!$AB$2:$AB$50000,"&lt;&gt;丢弃",缺陷明细!$AB$2:$AB$50000,"&lt;&gt;设计如此",缺陷明细!$AB$2:$AB$50000,"&lt;&gt;重复Bug")</f>
        <v>0</v>
      </c>
      <c r="T7" s="73">
        <f>COUNTIFS(缺陷明细!$A$2:$A$50000,$B$4,缺陷明细!$G$2:$G$50000,$C7,缺陷明细!$Q$2:$Q$50000,"已关闭",缺陷明细!$J$2:$J$50000,"系统测试",缺陷明细!$K$2:$K$50000,"致命")+COUNTIFS(缺陷明细!$A$2:$A$50000,$B$4,缺陷明细!$G$2:$G$50000,$C7,缺陷明细!$Q$2:$Q$50000,"已关闭",缺陷明细!$J$2:$J$50000,"系统测试",缺陷明细!$K$2:$K$50000,"严重")</f>
        <v>0</v>
      </c>
      <c r="U7" s="74">
        <f>COUNTIFS(缺陷明细!$A$2:$A$50000,$B$4,缺陷明细!$G$2:$G$50000,$C7,缺陷明细!$J$2:$J$50000,"验收测试",缺陷明细!$AB$2:$AB$50000,"&lt;&gt;丢弃",缺陷明细!$AB$2:$AB$50000,"&lt;&gt;设计如此",缺陷明细!$AB$2:$AB$50000,"&lt;&gt;重复Bug")</f>
        <v>0</v>
      </c>
      <c r="V7" s="75">
        <f>COUNTIFS(缺陷明细!$A$2:$A$50000,$B$4,缺陷明细!$G$2:$G$50000,$C7,缺陷明细!$Q$2:$Q$50000,"已关闭",缺陷明细!$J$2:$J$50000,"验收测试")</f>
        <v>0</v>
      </c>
      <c r="W7" s="75">
        <f>COUNTIFS(缺陷明细!$A$2:$A$50000,$B$4,缺陷明细!$G$2:$G$50000,$C7,缺陷明细!$J$2:$J$50000,"验收测试",缺陷明细!$K$2:$K$50000,"致命",缺陷明细!$AB$2:$AB$50000,"&lt;&gt;丢弃",缺陷明细!$AB$2:$AB$50000,"&lt;&gt;设计如此",缺陷明细!$AB$2:$AB$50000,"&lt;&gt;重复Bug")+COUNTIFS(缺陷明细!$A$2:$A$50000,$B$4,缺陷明细!$G$2:$G$50000,$C7,缺陷明细!$J$2:$J$50000,"验收测试",缺陷明细!$K$2:$K$50000,"严重",缺陷明细!$AB$2:$AB$50000,"&lt;&gt;丢弃",缺陷明细!$AB$2:$AB$50000,"&lt;&gt;设计如此",缺陷明细!$AB$2:$AB$50000,"&lt;&gt;重复Bug")</f>
        <v>0</v>
      </c>
      <c r="X7" s="76">
        <f>COUNTIFS(缺陷明细!$A$2:$A$50000,$B$4,缺陷明细!$G$2:$G$50000,$C7,缺陷明细!$Q$2:$Q$50000,"已关闭",缺陷明细!$J$2:$J$50000,"验收测试",缺陷明细!$K$2:$K$50000,"致命")+COUNTIFS(缺陷明细!$A$2:$A$50000,$B$4,缺陷明细!$G$2:$G$50000,$C7,缺陷明细!$Q$2:$Q$50000,"已关闭",缺陷明细!$J$2:$J$50000,"验收测试",缺陷明细!$K$2:$K$50000,"严重")</f>
        <v>0</v>
      </c>
      <c r="Y7" s="70">
        <f>COUNTIFS(缺陷明细!$A$2:$A$50000,$B$4,缺陷明细!$G$2:$G$50000,$C7,缺陷明细!$J$2:$J$50000,"运维测试",缺陷明细!$AB$2:$AB$50000,"&lt;&gt;丢弃",缺陷明细!$AB$2:$AB$50000,"&lt;&gt;设计如此",缺陷明细!$AB$2:$AB$50000,"&lt;&gt;重复Bug")</f>
        <v>0</v>
      </c>
      <c r="Z7" s="71">
        <f>COUNTIFS(缺陷明细!$A$2:$A$50000,$B$4,缺陷明细!$G$2:$G$50000,$C7,缺陷明细!$Q$2:$Q$50000,"已关闭",缺陷明细!$J$2:$J$50000,"运维测试")</f>
        <v>0</v>
      </c>
      <c r="AA7" s="72">
        <f>COUNTIFS(缺陷明细!$A$2:$A$50000,$B$4,缺陷明细!$G$2:$G$50000,$C7,缺陷明细!$J$2:$J$50000,"运维测试",缺陷明细!$K$2:$K$50000,"致命",缺陷明细!$AB$2:$AB$50000,"&lt;&gt;丢弃",缺陷明细!$AB$2:$AB$50000,"&lt;&gt;设计如此",缺陷明细!$AB$2:$AB$50000,"&lt;&gt;重复Bug")+COUNTIFS(缺陷明细!$A$2:$A$50000,$B$4,缺陷明细!$G$2:$G$50000,$C7,缺陷明细!$J$2:$J$50000,"运维测试",缺陷明细!$K$2:$K$50000,"严重",缺陷明细!$AB$2:$AB$50000,"&lt;&gt;丢弃",缺陷明细!$AB$2:$AB$50000,"&lt;&gt;设计如此",缺陷明细!$AB$2:$AB$50000,"&lt;&gt;重复Bug")</f>
        <v>0</v>
      </c>
      <c r="AB7" s="73">
        <f>COUNTIFS(缺陷明细!$A$2:$A$50000,$B$4,缺陷明细!$G$2:$G$50000,$C7,缺陷明细!$Q$2:$Q$50000,"已关闭",缺陷明细!$J$2:$J$50000,"运维测试",缺陷明细!$K$2:$K$50000,"致命")+COUNTIFS(缺陷明细!$A$2:$A$50000,$B$4,缺陷明细!$G$2:$G$50000,$C7,缺陷明细!$Q$2:$Q$50000,"已关闭",缺陷明细!$J$2:$J$50000,"运维测试",缺陷明细!$K$2:$K$50000,"严重")</f>
        <v>0</v>
      </c>
      <c r="AC7" s="68">
        <f t="shared" si="0"/>
        <v>0</v>
      </c>
      <c r="AD7" s="60">
        <f t="shared" si="0"/>
        <v>0</v>
      </c>
      <c r="AE7" s="60">
        <f t="shared" si="1"/>
        <v>0</v>
      </c>
      <c r="AF7" s="60">
        <f t="shared" si="1"/>
        <v>0</v>
      </c>
      <c r="AG7" s="60">
        <f t="shared" si="2"/>
        <v>0</v>
      </c>
      <c r="AH7" s="60">
        <f t="shared" si="2"/>
        <v>0</v>
      </c>
      <c r="AI7" s="60">
        <f t="shared" si="3"/>
        <v>0</v>
      </c>
      <c r="AJ7" s="61">
        <f t="shared" si="3"/>
        <v>0</v>
      </c>
      <c r="AK7" s="144"/>
    </row>
    <row r="8" spans="1:37" ht="38.25">
      <c r="A8">
        <v>4</v>
      </c>
      <c r="B8" s="57">
        <v>417</v>
      </c>
      <c r="C8" s="58" t="s">
        <v>348</v>
      </c>
      <c r="D8" s="83" t="s">
        <v>343</v>
      </c>
      <c r="E8" s="82" t="s">
        <v>346</v>
      </c>
      <c r="F8" s="158">
        <v>4</v>
      </c>
      <c r="G8" s="159">
        <v>4</v>
      </c>
      <c r="H8" s="281">
        <f>COUNTIFS(缺陷明细!$A$2:$A$50000,$B$4,缺陷明细!$G$2:$G$50000,$C8,缺陷明细!$J$2:$J$50000,"评审",缺陷明细!$AB$2:$AB$50000,"&lt;&gt;丢弃",缺陷明细!$AB$2:$AB$50000,"&lt;&gt;设计如此",缺陷明细!$AB$2:$AB$50000,"&lt;&gt;重复Bug")</f>
        <v>0</v>
      </c>
      <c r="I8" s="154">
        <f>COUNTIFS(缺陷明细!$A$2:$A$50000,$B$4,缺陷明细!$G$2:$G$50000,$C8,缺陷明细!$Q$2:$Q$50000,"已关闭",缺陷明细!$J$2:$J$50000,"评审")</f>
        <v>0</v>
      </c>
      <c r="J8" s="154">
        <f>COUNTIFS(缺陷明细!$A$2:$A$50000,$B$4,缺陷明细!$G$2:$G$50000,$C8,缺陷明细!$J$2:$J$50000,"单元测试",缺陷明细!$AB$2:$AB$50000,"&lt;&gt;丢弃",缺陷明细!$AB$2:$AB$50000,"&lt;&gt;设计如此",缺陷明细!$AB$2:$AB$50000,"&lt;&gt;重复Bug")</f>
        <v>0</v>
      </c>
      <c r="K8" s="155">
        <f>COUNTIFS(缺陷明细!$A$2:$A$50000,$B$4,缺陷明细!$G$2:$G$50000,$C8,缺陷明细!$Q$2:$Q$50000,"已关闭",缺陷明细!$J$2:$J$50000,"单元测试")</f>
        <v>0</v>
      </c>
      <c r="L8" s="156"/>
      <c r="M8" s="157"/>
      <c r="N8" s="72">
        <f>COUNTIFS(缺陷明细!$A$2:$A$50000,$B$4,缺陷明细!$G$2:$G$50000,$C8,缺陷明细!$J$2:$J$50000,"系统测试案例评审",缺陷明细!$AB$2:$AB$50000,"&lt;&gt;丢弃",缺陷明细!$AB$2:$AB$50000,"&lt;&gt;设计如此",缺陷明细!$AB$2:$AB$50000,"&lt;&gt;重复Bug")</f>
        <v>0</v>
      </c>
      <c r="O8" s="72">
        <f>COUNTIFS(缺陷明细!$A$2:$A$50000,$B$4,缺陷明细!$G$2:$G$50000,$C8,缺陷明细!$Q$2:$Q$50000,"已关闭",缺陷明细!$J$2:$J$50000,"系统测试案例评审")</f>
        <v>0</v>
      </c>
      <c r="P8" s="72">
        <f>COUNTIFS(缺陷明细!$A$2:$A$50000,$B$4,缺陷明细!$G$2:$G$50000,$C8,缺陷明细!$J$2:$J$50000,"系统测试",缺陷明细!$AB$2:$AB$50000,"&lt;&gt;丢弃",缺陷明细!$AB$2:$AB$50000,"&lt;&gt;设计如此",缺陷明细!$AB$2:$AB$50000,"&lt;&gt;重复Bug")</f>
        <v>0</v>
      </c>
      <c r="Q8" s="72">
        <f>COUNTIFS(缺陷明细!$A$2:$A$50000,$B$4,缺陷明细!$G$2:$G$50000,$C8,缺陷明细!$Q$2:$Q$50000,"已关闭",缺陷明细!$J$2:$J$50000,"系统测试")</f>
        <v>0</v>
      </c>
      <c r="R8" s="296">
        <f>COUNTIFS(缺陷明细!$A$2:$A$50000,$B$4,缺陷明细!$G$2:$G$50000,$C8,缺陷明细!$AB$2:$AB$50000,"丢弃",缺陷明细!$J$2:$J$50000,"系统测试")+COUNTIFS(缺陷明细!$A$2:$A$50000,$B$4,缺陷明细!$G$2:$G$50000,$C8,缺陷明细!$AB$2:$AB$50000,"设计如此",缺陷明细!$J$2:$J$50000,"系统测试")+COUNTIFS(缺陷明细!$A$2:$A$50000,$B$4,缺陷明细!$G$2:$G$50000,$C8,缺陷明细!$AB$2:$AB$50000,"重复Bug",缺陷明细!$J$2:$J$50000,"系统测试")</f>
        <v>0</v>
      </c>
      <c r="S8" s="72">
        <f>COUNTIFS(缺陷明细!$A$2:$A$50000,$B$4,缺陷明细!$G$2:$G$50000,$C8,缺陷明细!$J$2:$J$50000,"系统测试",缺陷明细!$K$2:$K$50000,"致命",缺陷明细!$AB$2:$AB$50000,"&lt;&gt;丢弃",缺陷明细!$AB$2:$AB$50000,"&lt;&gt;设计如此",缺陷明细!$AB$2:$AB$50000,"&lt;&gt;重复Bug")+COUNTIFS(缺陷明细!$A$2:$A$50000,$B$4,缺陷明细!$G$2:$G$50000,$C8,缺陷明细!$J$2:$J$50000,"系统测试",缺陷明细!$K$2:$K$50000,"严重",缺陷明细!$AB$2:$AB$50000,"&lt;&gt;丢弃",缺陷明细!$AB$2:$AB$50000,"&lt;&gt;设计如此",缺陷明细!$AB$2:$AB$50000,"&lt;&gt;重复Bug")</f>
        <v>0</v>
      </c>
      <c r="T8" s="73">
        <f>COUNTIFS(缺陷明细!$A$2:$A$50000,$B$4,缺陷明细!$G$2:$G$50000,$C8,缺陷明细!$Q$2:$Q$50000,"已关闭",缺陷明细!$J$2:$J$50000,"系统测试",缺陷明细!$K$2:$K$50000,"致命")+COUNTIFS(缺陷明细!$A$2:$A$50000,$B$4,缺陷明细!$G$2:$G$50000,$C8,缺陷明细!$Q$2:$Q$50000,"已关闭",缺陷明细!$J$2:$J$50000,"系统测试",缺陷明细!$K$2:$K$50000,"严重")</f>
        <v>0</v>
      </c>
      <c r="U8" s="74">
        <f>COUNTIFS(缺陷明细!$A$2:$A$50000,$B$4,缺陷明细!$G$2:$G$50000,$C8,缺陷明细!$J$2:$J$50000,"验收测试",缺陷明细!$AB$2:$AB$50000,"&lt;&gt;丢弃",缺陷明细!$AB$2:$AB$50000,"&lt;&gt;设计如此",缺陷明细!$AB$2:$AB$50000,"&lt;&gt;重复Bug")</f>
        <v>0</v>
      </c>
      <c r="V8" s="75">
        <f>COUNTIFS(缺陷明细!$A$2:$A$50000,$B$4,缺陷明细!$G$2:$G$50000,$C8,缺陷明细!$Q$2:$Q$50000,"已关闭",缺陷明细!$J$2:$J$50000,"验收测试")</f>
        <v>0</v>
      </c>
      <c r="W8" s="75">
        <f>COUNTIFS(缺陷明细!$A$2:$A$50000,$B$4,缺陷明细!$G$2:$G$50000,$C8,缺陷明细!$J$2:$J$50000,"验收测试",缺陷明细!$K$2:$K$50000,"致命",缺陷明细!$AB$2:$AB$50000,"&lt;&gt;丢弃",缺陷明细!$AB$2:$AB$50000,"&lt;&gt;设计如此",缺陷明细!$AB$2:$AB$50000,"&lt;&gt;重复Bug")+COUNTIFS(缺陷明细!$A$2:$A$50000,$B$4,缺陷明细!$G$2:$G$50000,$C8,缺陷明细!$J$2:$J$50000,"验收测试",缺陷明细!$K$2:$K$50000,"严重",缺陷明细!$AB$2:$AB$50000,"&lt;&gt;丢弃",缺陷明细!$AB$2:$AB$50000,"&lt;&gt;设计如此",缺陷明细!$AB$2:$AB$50000,"&lt;&gt;重复Bug")</f>
        <v>0</v>
      </c>
      <c r="X8" s="76">
        <f>COUNTIFS(缺陷明细!$A$2:$A$50000,$B$4,缺陷明细!$G$2:$G$50000,$C8,缺陷明细!$Q$2:$Q$50000,"已关闭",缺陷明细!$J$2:$J$50000,"验收测试",缺陷明细!$K$2:$K$50000,"致命")+COUNTIFS(缺陷明细!$A$2:$A$50000,$B$4,缺陷明细!$G$2:$G$50000,$C8,缺陷明细!$Q$2:$Q$50000,"已关闭",缺陷明细!$J$2:$J$50000,"验收测试",缺陷明细!$K$2:$K$50000,"严重")</f>
        <v>0</v>
      </c>
      <c r="Y8" s="70">
        <f>COUNTIFS(缺陷明细!$A$2:$A$50000,$B$4,缺陷明细!$G$2:$G$50000,$C8,缺陷明细!$J$2:$J$50000,"运维测试",缺陷明细!$AB$2:$AB$50000,"&lt;&gt;丢弃",缺陷明细!$AB$2:$AB$50000,"&lt;&gt;设计如此",缺陷明细!$AB$2:$AB$50000,"&lt;&gt;重复Bug")</f>
        <v>0</v>
      </c>
      <c r="Z8" s="71">
        <f>COUNTIFS(缺陷明细!$A$2:$A$50000,$B$4,缺陷明细!$G$2:$G$50000,$C8,缺陷明细!$Q$2:$Q$50000,"已关闭",缺陷明细!$J$2:$J$50000,"运维测试")</f>
        <v>0</v>
      </c>
      <c r="AA8" s="72">
        <f>COUNTIFS(缺陷明细!$A$2:$A$50000,$B$4,缺陷明细!$G$2:$G$50000,$C8,缺陷明细!$J$2:$J$50000,"运维测试",缺陷明细!$K$2:$K$50000,"致命",缺陷明细!$AB$2:$AB$50000,"&lt;&gt;丢弃",缺陷明细!$AB$2:$AB$50000,"&lt;&gt;设计如此",缺陷明细!$AB$2:$AB$50000,"&lt;&gt;重复Bug")+COUNTIFS(缺陷明细!$A$2:$A$50000,$B$4,缺陷明细!$G$2:$G$50000,$C8,缺陷明细!$J$2:$J$50000,"运维测试",缺陷明细!$K$2:$K$50000,"严重",缺陷明细!$AB$2:$AB$50000,"&lt;&gt;丢弃",缺陷明细!$AB$2:$AB$50000,"&lt;&gt;设计如此",缺陷明细!$AB$2:$AB$50000,"&lt;&gt;重复Bug")</f>
        <v>0</v>
      </c>
      <c r="AB8" s="73">
        <f>COUNTIFS(缺陷明细!$A$2:$A$50000,$B$4,缺陷明细!$G$2:$G$50000,$C8,缺陷明细!$Q$2:$Q$50000,"已关闭",缺陷明细!$J$2:$J$50000,"运维测试",缺陷明细!$K$2:$K$50000,"致命")+COUNTIFS(缺陷明细!$A$2:$A$50000,$B$4,缺陷明细!$G$2:$G$50000,$C8,缺陷明细!$Q$2:$Q$50000,"已关闭",缺陷明细!$J$2:$J$50000,"运维测试",缺陷明细!$K$2:$K$50000,"严重")</f>
        <v>0</v>
      </c>
      <c r="AC8" s="68">
        <f t="shared" si="0"/>
        <v>0</v>
      </c>
      <c r="AD8" s="60">
        <f t="shared" si="0"/>
        <v>0</v>
      </c>
      <c r="AE8" s="60">
        <f t="shared" si="1"/>
        <v>0</v>
      </c>
      <c r="AF8" s="60">
        <f t="shared" si="1"/>
        <v>0</v>
      </c>
      <c r="AG8" s="60">
        <f t="shared" si="2"/>
        <v>0</v>
      </c>
      <c r="AH8" s="60">
        <f t="shared" si="2"/>
        <v>0</v>
      </c>
      <c r="AI8" s="60">
        <f t="shared" si="3"/>
        <v>0</v>
      </c>
      <c r="AJ8" s="61">
        <f t="shared" si="3"/>
        <v>0</v>
      </c>
      <c r="AK8" s="144"/>
    </row>
    <row r="9" spans="1:37" ht="38.25">
      <c r="A9">
        <v>5</v>
      </c>
      <c r="B9" s="57">
        <v>418</v>
      </c>
      <c r="C9" s="59" t="s">
        <v>349</v>
      </c>
      <c r="D9" s="84" t="s">
        <v>343</v>
      </c>
      <c r="E9" s="82" t="s">
        <v>346</v>
      </c>
      <c r="F9" s="158">
        <v>0.25</v>
      </c>
      <c r="G9" s="159">
        <v>0.5</v>
      </c>
      <c r="H9" s="281">
        <f>COUNTIFS(缺陷明细!$A$2:$A$50000,$B$4,缺陷明细!$G$2:$G$50000,$C9,缺陷明细!$J$2:$J$50000,"评审",缺陷明细!$AB$2:$AB$50000,"&lt;&gt;丢弃",缺陷明细!$AB$2:$AB$50000,"&lt;&gt;设计如此",缺陷明细!$AB$2:$AB$50000,"&lt;&gt;重复Bug")</f>
        <v>0</v>
      </c>
      <c r="I9" s="154">
        <f>COUNTIFS(缺陷明细!$A$2:$A$50000,$B$4,缺陷明细!$G$2:$G$50000,$C9,缺陷明细!$Q$2:$Q$50000,"已关闭",缺陷明细!$J$2:$J$50000,"评审")</f>
        <v>0</v>
      </c>
      <c r="J9" s="154">
        <f>COUNTIFS(缺陷明细!$A$2:$A$50000,$B$4,缺陷明细!$G$2:$G$50000,$C9,缺陷明细!$J$2:$J$50000,"单元测试",缺陷明细!$AB$2:$AB$50000,"&lt;&gt;丢弃",缺陷明细!$AB$2:$AB$50000,"&lt;&gt;设计如此",缺陷明细!$AB$2:$AB$50000,"&lt;&gt;重复Bug")</f>
        <v>0</v>
      </c>
      <c r="K9" s="155">
        <f>COUNTIFS(缺陷明细!$A$2:$A$50000,$B$4,缺陷明细!$G$2:$G$50000,$C9,缺陷明细!$Q$2:$Q$50000,"已关闭",缺陷明细!$J$2:$J$50000,"单元测试")</f>
        <v>0</v>
      </c>
      <c r="L9" s="156"/>
      <c r="M9" s="157"/>
      <c r="N9" s="72">
        <f>COUNTIFS(缺陷明细!$A$2:$A$50000,$B$4,缺陷明细!$G$2:$G$50000,$C9,缺陷明细!$J$2:$J$50000,"系统测试案例评审",缺陷明细!$AB$2:$AB$50000,"&lt;&gt;丢弃",缺陷明细!$AB$2:$AB$50000,"&lt;&gt;设计如此",缺陷明细!$AB$2:$AB$50000,"&lt;&gt;重复Bug")</f>
        <v>0</v>
      </c>
      <c r="O9" s="72">
        <f>COUNTIFS(缺陷明细!$A$2:$A$50000,$B$4,缺陷明细!$G$2:$G$50000,$C9,缺陷明细!$Q$2:$Q$50000,"已关闭",缺陷明细!$J$2:$J$50000,"系统测试案例评审")</f>
        <v>0</v>
      </c>
      <c r="P9" s="72">
        <f>COUNTIFS(缺陷明细!$A$2:$A$50000,$B$4,缺陷明细!$G$2:$G$50000,$C9,缺陷明细!$J$2:$J$50000,"系统测试",缺陷明细!$AB$2:$AB$50000,"&lt;&gt;丢弃",缺陷明细!$AB$2:$AB$50000,"&lt;&gt;设计如此",缺陷明细!$AB$2:$AB$50000,"&lt;&gt;重复Bug")</f>
        <v>0</v>
      </c>
      <c r="Q9" s="72">
        <f>COUNTIFS(缺陷明细!$A$2:$A$50000,$B$4,缺陷明细!$G$2:$G$50000,$C9,缺陷明细!$Q$2:$Q$50000,"已关闭",缺陷明细!$J$2:$J$50000,"系统测试")</f>
        <v>0</v>
      </c>
      <c r="R9" s="296">
        <f>COUNTIFS(缺陷明细!$A$2:$A$50000,$B$4,缺陷明细!$G$2:$G$50000,$C9,缺陷明细!$AB$2:$AB$50000,"丢弃",缺陷明细!$J$2:$J$50000,"系统测试")+COUNTIFS(缺陷明细!$A$2:$A$50000,$B$4,缺陷明细!$G$2:$G$50000,$C9,缺陷明细!$AB$2:$AB$50000,"设计如此",缺陷明细!$J$2:$J$50000,"系统测试")+COUNTIFS(缺陷明细!$A$2:$A$50000,$B$4,缺陷明细!$G$2:$G$50000,$C9,缺陷明细!$AB$2:$AB$50000,"重复Bug",缺陷明细!$J$2:$J$50000,"系统测试")</f>
        <v>0</v>
      </c>
      <c r="S9" s="72">
        <f>COUNTIFS(缺陷明细!$A$2:$A$50000,$B$4,缺陷明细!$G$2:$G$50000,$C9,缺陷明细!$J$2:$J$50000,"系统测试",缺陷明细!$K$2:$K$50000,"致命",缺陷明细!$AB$2:$AB$50000,"&lt;&gt;丢弃",缺陷明细!$AB$2:$AB$50000,"&lt;&gt;设计如此",缺陷明细!$AB$2:$AB$50000,"&lt;&gt;重复Bug")+COUNTIFS(缺陷明细!$A$2:$A$50000,$B$4,缺陷明细!$G$2:$G$50000,$C9,缺陷明细!$J$2:$J$50000,"系统测试",缺陷明细!$K$2:$K$50000,"严重",缺陷明细!$AB$2:$AB$50000,"&lt;&gt;丢弃",缺陷明细!$AB$2:$AB$50000,"&lt;&gt;设计如此",缺陷明细!$AB$2:$AB$50000,"&lt;&gt;重复Bug")</f>
        <v>0</v>
      </c>
      <c r="T9" s="73">
        <f>COUNTIFS(缺陷明细!$A$2:$A$50000,$B$4,缺陷明细!$G$2:$G$50000,$C9,缺陷明细!$Q$2:$Q$50000,"已关闭",缺陷明细!$J$2:$J$50000,"系统测试",缺陷明细!$K$2:$K$50000,"致命")+COUNTIFS(缺陷明细!$A$2:$A$50000,$B$4,缺陷明细!$G$2:$G$50000,$C9,缺陷明细!$Q$2:$Q$50000,"已关闭",缺陷明细!$J$2:$J$50000,"系统测试",缺陷明细!$K$2:$K$50000,"严重")</f>
        <v>0</v>
      </c>
      <c r="U9" s="74">
        <f>COUNTIFS(缺陷明细!$A$2:$A$50000,$B$4,缺陷明细!$G$2:$G$50000,$C9,缺陷明细!$J$2:$J$50000,"验收测试",缺陷明细!$AB$2:$AB$50000,"&lt;&gt;丢弃",缺陷明细!$AB$2:$AB$50000,"&lt;&gt;设计如此",缺陷明细!$AB$2:$AB$50000,"&lt;&gt;重复Bug")</f>
        <v>0</v>
      </c>
      <c r="V9" s="75">
        <f>COUNTIFS(缺陷明细!$A$2:$A$50000,$B$4,缺陷明细!$G$2:$G$50000,$C9,缺陷明细!$Q$2:$Q$50000,"已关闭",缺陷明细!$J$2:$J$50000,"验收测试")</f>
        <v>0</v>
      </c>
      <c r="W9" s="75">
        <f>COUNTIFS(缺陷明细!$A$2:$A$50000,$B$4,缺陷明细!$G$2:$G$50000,$C9,缺陷明细!$J$2:$J$50000,"验收测试",缺陷明细!$K$2:$K$50000,"致命",缺陷明细!$AB$2:$AB$50000,"&lt;&gt;丢弃",缺陷明细!$AB$2:$AB$50000,"&lt;&gt;设计如此",缺陷明细!$AB$2:$AB$50000,"&lt;&gt;重复Bug")+COUNTIFS(缺陷明细!$A$2:$A$50000,$B$4,缺陷明细!$G$2:$G$50000,$C9,缺陷明细!$J$2:$J$50000,"验收测试",缺陷明细!$K$2:$K$50000,"严重",缺陷明细!$AB$2:$AB$50000,"&lt;&gt;丢弃",缺陷明细!$AB$2:$AB$50000,"&lt;&gt;设计如此",缺陷明细!$AB$2:$AB$50000,"&lt;&gt;重复Bug")</f>
        <v>0</v>
      </c>
      <c r="X9" s="76">
        <f>COUNTIFS(缺陷明细!$A$2:$A$50000,$B$4,缺陷明细!$G$2:$G$50000,$C9,缺陷明细!$Q$2:$Q$50000,"已关闭",缺陷明细!$J$2:$J$50000,"验收测试",缺陷明细!$K$2:$K$50000,"致命")+COUNTIFS(缺陷明细!$A$2:$A$50000,$B$4,缺陷明细!$G$2:$G$50000,$C9,缺陷明细!$Q$2:$Q$50000,"已关闭",缺陷明细!$J$2:$J$50000,"验收测试",缺陷明细!$K$2:$K$50000,"严重")</f>
        <v>0</v>
      </c>
      <c r="Y9" s="70">
        <f>COUNTIFS(缺陷明细!$A$2:$A$50000,$B$4,缺陷明细!$G$2:$G$50000,$C9,缺陷明细!$J$2:$J$50000,"运维测试",缺陷明细!$AB$2:$AB$50000,"&lt;&gt;丢弃",缺陷明细!$AB$2:$AB$50000,"&lt;&gt;设计如此",缺陷明细!$AB$2:$AB$50000,"&lt;&gt;重复Bug")</f>
        <v>0</v>
      </c>
      <c r="Z9" s="71">
        <f>COUNTIFS(缺陷明细!$A$2:$A$50000,$B$4,缺陷明细!$G$2:$G$50000,$C9,缺陷明细!$Q$2:$Q$50000,"已关闭",缺陷明细!$J$2:$J$50000,"运维测试")</f>
        <v>0</v>
      </c>
      <c r="AA9" s="72">
        <f>COUNTIFS(缺陷明细!$A$2:$A$50000,$B$4,缺陷明细!$G$2:$G$50000,$C9,缺陷明细!$J$2:$J$50000,"运维测试",缺陷明细!$K$2:$K$50000,"致命",缺陷明细!$AB$2:$AB$50000,"&lt;&gt;丢弃",缺陷明细!$AB$2:$AB$50000,"&lt;&gt;设计如此",缺陷明细!$AB$2:$AB$50000,"&lt;&gt;重复Bug")+COUNTIFS(缺陷明细!$A$2:$A$50000,$B$4,缺陷明细!$G$2:$G$50000,$C9,缺陷明细!$J$2:$J$50000,"运维测试",缺陷明细!$K$2:$K$50000,"严重",缺陷明细!$AB$2:$AB$50000,"&lt;&gt;丢弃",缺陷明细!$AB$2:$AB$50000,"&lt;&gt;设计如此",缺陷明细!$AB$2:$AB$50000,"&lt;&gt;重复Bug")</f>
        <v>0</v>
      </c>
      <c r="AB9" s="73">
        <f>COUNTIFS(缺陷明细!$A$2:$A$50000,$B$4,缺陷明细!$G$2:$G$50000,$C9,缺陷明细!$Q$2:$Q$50000,"已关闭",缺陷明细!$J$2:$J$50000,"运维测试",缺陷明细!$K$2:$K$50000,"致命")+COUNTIFS(缺陷明细!$A$2:$A$50000,$B$4,缺陷明细!$G$2:$G$50000,$C9,缺陷明细!$Q$2:$Q$50000,"已关闭",缺陷明细!$J$2:$J$50000,"运维测试",缺陷明细!$K$2:$K$50000,"严重")</f>
        <v>0</v>
      </c>
      <c r="AC9" s="68">
        <f t="shared" si="0"/>
        <v>0</v>
      </c>
      <c r="AD9" s="60">
        <f t="shared" si="0"/>
        <v>0</v>
      </c>
      <c r="AE9" s="60">
        <f t="shared" si="1"/>
        <v>0</v>
      </c>
      <c r="AF9" s="60">
        <f t="shared" si="1"/>
        <v>0</v>
      </c>
      <c r="AG9" s="60">
        <f t="shared" si="2"/>
        <v>0</v>
      </c>
      <c r="AH9" s="60">
        <f t="shared" si="2"/>
        <v>0</v>
      </c>
      <c r="AI9" s="60">
        <f t="shared" si="3"/>
        <v>0</v>
      </c>
      <c r="AJ9" s="61">
        <f t="shared" si="3"/>
        <v>0</v>
      </c>
      <c r="AK9" s="144"/>
    </row>
    <row r="10" spans="1:37">
      <c r="A10">
        <v>6</v>
      </c>
      <c r="B10" s="57">
        <v>419</v>
      </c>
      <c r="C10" s="58" t="s">
        <v>350</v>
      </c>
      <c r="D10" s="84" t="s">
        <v>343</v>
      </c>
      <c r="E10" s="82" t="s">
        <v>346</v>
      </c>
      <c r="F10" s="158">
        <v>0.5</v>
      </c>
      <c r="G10" s="159">
        <v>1</v>
      </c>
      <c r="H10" s="281">
        <f>COUNTIFS(缺陷明细!$A$2:$A$50000,$B$4,缺陷明细!$G$2:$G$50000,$C10,缺陷明细!$J$2:$J$50000,"评审",缺陷明细!$AB$2:$AB$50000,"&lt;&gt;丢弃",缺陷明细!$AB$2:$AB$50000,"&lt;&gt;设计如此",缺陷明细!$AB$2:$AB$50000,"&lt;&gt;重复Bug")</f>
        <v>0</v>
      </c>
      <c r="I10" s="154">
        <f>COUNTIFS(缺陷明细!$A$2:$A$50000,$B$4,缺陷明细!$G$2:$G$50000,$C10,缺陷明细!$Q$2:$Q$50000,"已关闭",缺陷明细!$J$2:$J$50000,"评审")</f>
        <v>0</v>
      </c>
      <c r="J10" s="154">
        <f>COUNTIFS(缺陷明细!$A$2:$A$50000,$B$4,缺陷明细!$G$2:$G$50000,$C10,缺陷明细!$J$2:$J$50000,"单元测试",缺陷明细!$AB$2:$AB$50000,"&lt;&gt;丢弃",缺陷明细!$AB$2:$AB$50000,"&lt;&gt;设计如此",缺陷明细!$AB$2:$AB$50000,"&lt;&gt;重复Bug")</f>
        <v>0</v>
      </c>
      <c r="K10" s="155">
        <f>COUNTIFS(缺陷明细!$A$2:$A$50000,$B$4,缺陷明细!$G$2:$G$50000,$C10,缺陷明细!$Q$2:$Q$50000,"已关闭",缺陷明细!$J$2:$J$50000,"单元测试")</f>
        <v>0</v>
      </c>
      <c r="L10" s="156"/>
      <c r="M10" s="157"/>
      <c r="N10" s="72">
        <f>COUNTIFS(缺陷明细!$A$2:$A$50000,$B$4,缺陷明细!$G$2:$G$50000,$C10,缺陷明细!$J$2:$J$50000,"系统测试案例评审",缺陷明细!$AB$2:$AB$50000,"&lt;&gt;丢弃",缺陷明细!$AB$2:$AB$50000,"&lt;&gt;设计如此",缺陷明细!$AB$2:$AB$50000,"&lt;&gt;重复Bug")</f>
        <v>0</v>
      </c>
      <c r="O10" s="72">
        <f>COUNTIFS(缺陷明细!$A$2:$A$50000,$B$4,缺陷明细!$G$2:$G$50000,$C10,缺陷明细!$Q$2:$Q$50000,"已关闭",缺陷明细!$J$2:$J$50000,"系统测试案例评审")</f>
        <v>0</v>
      </c>
      <c r="P10" s="72">
        <f>COUNTIFS(缺陷明细!$A$2:$A$50000,$B$4,缺陷明细!$G$2:$G$50000,$C10,缺陷明细!$J$2:$J$50000,"系统测试",缺陷明细!$AB$2:$AB$50000,"&lt;&gt;丢弃",缺陷明细!$AB$2:$AB$50000,"&lt;&gt;设计如此",缺陷明细!$AB$2:$AB$50000,"&lt;&gt;重复Bug")</f>
        <v>0</v>
      </c>
      <c r="Q10" s="72">
        <f>COUNTIFS(缺陷明细!$A$2:$A$50000,$B$4,缺陷明细!$G$2:$G$50000,$C10,缺陷明细!$Q$2:$Q$50000,"已关闭",缺陷明细!$J$2:$J$50000,"系统测试")</f>
        <v>0</v>
      </c>
      <c r="R10" s="296">
        <f>COUNTIFS(缺陷明细!$A$2:$A$50000,$B$4,缺陷明细!$G$2:$G$50000,$C10,缺陷明细!$AB$2:$AB$50000,"丢弃",缺陷明细!$J$2:$J$50000,"系统测试")+COUNTIFS(缺陷明细!$A$2:$A$50000,$B$4,缺陷明细!$G$2:$G$50000,$C10,缺陷明细!$AB$2:$AB$50000,"设计如此",缺陷明细!$J$2:$J$50000,"系统测试")+COUNTIFS(缺陷明细!$A$2:$A$50000,$B$4,缺陷明细!$G$2:$G$50000,$C10,缺陷明细!$AB$2:$AB$50000,"重复Bug",缺陷明细!$J$2:$J$50000,"系统测试")</f>
        <v>0</v>
      </c>
      <c r="S10" s="72">
        <f>COUNTIFS(缺陷明细!$A$2:$A$50000,$B$4,缺陷明细!$G$2:$G$50000,$C10,缺陷明细!$J$2:$J$50000,"系统测试",缺陷明细!$K$2:$K$50000,"致命",缺陷明细!$AB$2:$AB$50000,"&lt;&gt;丢弃",缺陷明细!$AB$2:$AB$50000,"&lt;&gt;设计如此",缺陷明细!$AB$2:$AB$50000,"&lt;&gt;重复Bug")+COUNTIFS(缺陷明细!$A$2:$A$50000,$B$4,缺陷明细!$G$2:$G$50000,$C10,缺陷明细!$J$2:$J$50000,"系统测试",缺陷明细!$K$2:$K$50000,"严重",缺陷明细!$AB$2:$AB$50000,"&lt;&gt;丢弃",缺陷明细!$AB$2:$AB$50000,"&lt;&gt;设计如此",缺陷明细!$AB$2:$AB$50000,"&lt;&gt;重复Bug")</f>
        <v>0</v>
      </c>
      <c r="T10" s="73">
        <f>COUNTIFS(缺陷明细!$A$2:$A$50000,$B$4,缺陷明细!$G$2:$G$50000,$C10,缺陷明细!$Q$2:$Q$50000,"已关闭",缺陷明细!$J$2:$J$50000,"系统测试",缺陷明细!$K$2:$K$50000,"致命")+COUNTIFS(缺陷明细!$A$2:$A$50000,$B$4,缺陷明细!$G$2:$G$50000,$C10,缺陷明细!$Q$2:$Q$50000,"已关闭",缺陷明细!$J$2:$J$50000,"系统测试",缺陷明细!$K$2:$K$50000,"严重")</f>
        <v>0</v>
      </c>
      <c r="U10" s="74">
        <f>COUNTIFS(缺陷明细!$A$2:$A$50000,$B$4,缺陷明细!$G$2:$G$50000,$C10,缺陷明细!$J$2:$J$50000,"验收测试",缺陷明细!$AB$2:$AB$50000,"&lt;&gt;丢弃",缺陷明细!$AB$2:$AB$50000,"&lt;&gt;设计如此",缺陷明细!$AB$2:$AB$50000,"&lt;&gt;重复Bug")</f>
        <v>0</v>
      </c>
      <c r="V10" s="75">
        <f>COUNTIFS(缺陷明细!$A$2:$A$50000,$B$4,缺陷明细!$G$2:$G$50000,$C10,缺陷明细!$Q$2:$Q$50000,"已关闭",缺陷明细!$J$2:$J$50000,"验收测试")</f>
        <v>0</v>
      </c>
      <c r="W10" s="75">
        <f>COUNTIFS(缺陷明细!$A$2:$A$50000,$B$4,缺陷明细!$G$2:$G$50000,$C10,缺陷明细!$J$2:$J$50000,"验收测试",缺陷明细!$K$2:$K$50000,"致命",缺陷明细!$AB$2:$AB$50000,"&lt;&gt;丢弃",缺陷明细!$AB$2:$AB$50000,"&lt;&gt;设计如此",缺陷明细!$AB$2:$AB$50000,"&lt;&gt;重复Bug")+COUNTIFS(缺陷明细!$A$2:$A$50000,$B$4,缺陷明细!$G$2:$G$50000,$C10,缺陷明细!$J$2:$J$50000,"验收测试",缺陷明细!$K$2:$K$50000,"严重",缺陷明细!$AB$2:$AB$50000,"&lt;&gt;丢弃",缺陷明细!$AB$2:$AB$50000,"&lt;&gt;设计如此",缺陷明细!$AB$2:$AB$50000,"&lt;&gt;重复Bug")</f>
        <v>0</v>
      </c>
      <c r="X10" s="76">
        <f>COUNTIFS(缺陷明细!$A$2:$A$50000,$B$4,缺陷明细!$G$2:$G$50000,$C10,缺陷明细!$Q$2:$Q$50000,"已关闭",缺陷明细!$J$2:$J$50000,"验收测试",缺陷明细!$K$2:$K$50000,"致命")+COUNTIFS(缺陷明细!$A$2:$A$50000,$B$4,缺陷明细!$G$2:$G$50000,$C10,缺陷明细!$Q$2:$Q$50000,"已关闭",缺陷明细!$J$2:$J$50000,"验收测试",缺陷明细!$K$2:$K$50000,"严重")</f>
        <v>0</v>
      </c>
      <c r="Y10" s="70">
        <f>COUNTIFS(缺陷明细!$A$2:$A$50000,$B$4,缺陷明细!$G$2:$G$50000,$C10,缺陷明细!$J$2:$J$50000,"运维测试",缺陷明细!$AB$2:$AB$50000,"&lt;&gt;丢弃",缺陷明细!$AB$2:$AB$50000,"&lt;&gt;设计如此",缺陷明细!$AB$2:$AB$50000,"&lt;&gt;重复Bug")</f>
        <v>0</v>
      </c>
      <c r="Z10" s="71">
        <f>COUNTIFS(缺陷明细!$A$2:$A$50000,$B$4,缺陷明细!$G$2:$G$50000,$C10,缺陷明细!$Q$2:$Q$50000,"已关闭",缺陷明细!$J$2:$J$50000,"运维测试")</f>
        <v>0</v>
      </c>
      <c r="AA10" s="72">
        <f>COUNTIFS(缺陷明细!$A$2:$A$50000,$B$4,缺陷明细!$G$2:$G$50000,$C10,缺陷明细!$J$2:$J$50000,"运维测试",缺陷明细!$K$2:$K$50000,"致命",缺陷明细!$AB$2:$AB$50000,"&lt;&gt;丢弃",缺陷明细!$AB$2:$AB$50000,"&lt;&gt;设计如此",缺陷明细!$AB$2:$AB$50000,"&lt;&gt;重复Bug")+COUNTIFS(缺陷明细!$A$2:$A$50000,$B$4,缺陷明细!$G$2:$G$50000,$C10,缺陷明细!$J$2:$J$50000,"运维测试",缺陷明细!$K$2:$K$50000,"严重",缺陷明细!$AB$2:$AB$50000,"&lt;&gt;丢弃",缺陷明细!$AB$2:$AB$50000,"&lt;&gt;设计如此",缺陷明细!$AB$2:$AB$50000,"&lt;&gt;重复Bug")</f>
        <v>0</v>
      </c>
      <c r="AB10" s="73">
        <f>COUNTIFS(缺陷明细!$A$2:$A$50000,$B$4,缺陷明细!$G$2:$G$50000,$C10,缺陷明细!$Q$2:$Q$50000,"已关闭",缺陷明细!$J$2:$J$50000,"运维测试",缺陷明细!$K$2:$K$50000,"致命")+COUNTIFS(缺陷明细!$A$2:$A$50000,$B$4,缺陷明细!$G$2:$G$50000,$C10,缺陷明细!$Q$2:$Q$50000,"已关闭",缺陷明细!$J$2:$J$50000,"运维测试",缺陷明细!$K$2:$K$50000,"严重")</f>
        <v>0</v>
      </c>
      <c r="AC10" s="68">
        <f t="shared" si="0"/>
        <v>0</v>
      </c>
      <c r="AD10" s="60">
        <f t="shared" si="0"/>
        <v>0</v>
      </c>
      <c r="AE10" s="60">
        <f t="shared" si="1"/>
        <v>0</v>
      </c>
      <c r="AF10" s="60">
        <f t="shared" si="1"/>
        <v>0</v>
      </c>
      <c r="AG10" s="60">
        <f t="shared" si="2"/>
        <v>0</v>
      </c>
      <c r="AH10" s="60">
        <f t="shared" si="2"/>
        <v>0</v>
      </c>
      <c r="AI10" s="60">
        <f t="shared" si="3"/>
        <v>0</v>
      </c>
      <c r="AJ10" s="61">
        <f t="shared" si="3"/>
        <v>0</v>
      </c>
      <c r="AK10" s="144"/>
    </row>
    <row r="11" spans="1:37" ht="25.5">
      <c r="A11">
        <v>7</v>
      </c>
      <c r="B11" s="57">
        <v>420</v>
      </c>
      <c r="C11" s="58" t="s">
        <v>351</v>
      </c>
      <c r="D11" s="84" t="s">
        <v>343</v>
      </c>
      <c r="E11" s="82" t="s">
        <v>346</v>
      </c>
      <c r="F11" s="158">
        <v>4</v>
      </c>
      <c r="G11" s="159">
        <v>4</v>
      </c>
      <c r="H11" s="281">
        <f>COUNTIFS(缺陷明细!$A$2:$A$50000,$B$4,缺陷明细!$G$2:$G$50000,$C11,缺陷明细!$J$2:$J$50000,"评审",缺陷明细!$AB$2:$AB$50000,"&lt;&gt;丢弃",缺陷明细!$AB$2:$AB$50000,"&lt;&gt;设计如此",缺陷明细!$AB$2:$AB$50000,"&lt;&gt;重复Bug")</f>
        <v>0</v>
      </c>
      <c r="I11" s="154">
        <f>COUNTIFS(缺陷明细!$A$2:$A$50000,$B$4,缺陷明细!$G$2:$G$50000,$C11,缺陷明细!$Q$2:$Q$50000,"已关闭",缺陷明细!$J$2:$J$50000,"评审")</f>
        <v>0</v>
      </c>
      <c r="J11" s="154">
        <f>COUNTIFS(缺陷明细!$A$2:$A$50000,$B$4,缺陷明细!$G$2:$G$50000,$C11,缺陷明细!$J$2:$J$50000,"单元测试",缺陷明细!$AB$2:$AB$50000,"&lt;&gt;丢弃",缺陷明细!$AB$2:$AB$50000,"&lt;&gt;设计如此",缺陷明细!$AB$2:$AB$50000,"&lt;&gt;重复Bug")</f>
        <v>0</v>
      </c>
      <c r="K11" s="155">
        <f>COUNTIFS(缺陷明细!$A$2:$A$50000,$B$4,缺陷明细!$G$2:$G$50000,$C11,缺陷明细!$Q$2:$Q$50000,"已关闭",缺陷明细!$J$2:$J$50000,"单元测试")</f>
        <v>0</v>
      </c>
      <c r="L11" s="156"/>
      <c r="M11" s="157"/>
      <c r="N11" s="72">
        <f>COUNTIFS(缺陷明细!$A$2:$A$50000,$B$4,缺陷明细!$G$2:$G$50000,$C11,缺陷明细!$J$2:$J$50000,"系统测试案例评审",缺陷明细!$AB$2:$AB$50000,"&lt;&gt;丢弃",缺陷明细!$AB$2:$AB$50000,"&lt;&gt;设计如此",缺陷明细!$AB$2:$AB$50000,"&lt;&gt;重复Bug")</f>
        <v>0</v>
      </c>
      <c r="O11" s="72">
        <f>COUNTIFS(缺陷明细!$A$2:$A$50000,$B$4,缺陷明细!$G$2:$G$50000,$C11,缺陷明细!$Q$2:$Q$50000,"已关闭",缺陷明细!$J$2:$J$50000,"系统测试案例评审")</f>
        <v>0</v>
      </c>
      <c r="P11" s="72">
        <f>COUNTIFS(缺陷明细!$A$2:$A$50000,$B$4,缺陷明细!$G$2:$G$50000,$C11,缺陷明细!$J$2:$J$50000,"系统测试",缺陷明细!$AB$2:$AB$50000,"&lt;&gt;丢弃",缺陷明细!$AB$2:$AB$50000,"&lt;&gt;设计如此",缺陷明细!$AB$2:$AB$50000,"&lt;&gt;重复Bug")</f>
        <v>0</v>
      </c>
      <c r="Q11" s="72">
        <f>COUNTIFS(缺陷明细!$A$2:$A$50000,$B$4,缺陷明细!$G$2:$G$50000,$C11,缺陷明细!$Q$2:$Q$50000,"已关闭",缺陷明细!$J$2:$J$50000,"系统测试")</f>
        <v>0</v>
      </c>
      <c r="R11" s="296">
        <f>COUNTIFS(缺陷明细!$A$2:$A$50000,$B$4,缺陷明细!$G$2:$G$50000,$C11,缺陷明细!$AB$2:$AB$50000,"丢弃",缺陷明细!$J$2:$J$50000,"系统测试")+COUNTIFS(缺陷明细!$A$2:$A$50000,$B$4,缺陷明细!$G$2:$G$50000,$C11,缺陷明细!$AB$2:$AB$50000,"设计如此",缺陷明细!$J$2:$J$50000,"系统测试")+COUNTIFS(缺陷明细!$A$2:$A$50000,$B$4,缺陷明细!$G$2:$G$50000,$C11,缺陷明细!$AB$2:$AB$50000,"重复Bug",缺陷明细!$J$2:$J$50000,"系统测试")</f>
        <v>0</v>
      </c>
      <c r="S11" s="72">
        <f>COUNTIFS(缺陷明细!$A$2:$A$50000,$B$4,缺陷明细!$G$2:$G$50000,$C11,缺陷明细!$J$2:$J$50000,"系统测试",缺陷明细!$K$2:$K$50000,"致命",缺陷明细!$AB$2:$AB$50000,"&lt;&gt;丢弃",缺陷明细!$AB$2:$AB$50000,"&lt;&gt;设计如此",缺陷明细!$AB$2:$AB$50000,"&lt;&gt;重复Bug")+COUNTIFS(缺陷明细!$A$2:$A$50000,$B$4,缺陷明细!$G$2:$G$50000,$C11,缺陷明细!$J$2:$J$50000,"系统测试",缺陷明细!$K$2:$K$50000,"严重",缺陷明细!$AB$2:$AB$50000,"&lt;&gt;丢弃",缺陷明细!$AB$2:$AB$50000,"&lt;&gt;设计如此",缺陷明细!$AB$2:$AB$50000,"&lt;&gt;重复Bug")</f>
        <v>0</v>
      </c>
      <c r="T11" s="73">
        <f>COUNTIFS(缺陷明细!$A$2:$A$50000,$B$4,缺陷明细!$G$2:$G$50000,$C11,缺陷明细!$Q$2:$Q$50000,"已关闭",缺陷明细!$J$2:$J$50000,"系统测试",缺陷明细!$K$2:$K$50000,"致命")+COUNTIFS(缺陷明细!$A$2:$A$50000,$B$4,缺陷明细!$G$2:$G$50000,$C11,缺陷明细!$Q$2:$Q$50000,"已关闭",缺陷明细!$J$2:$J$50000,"系统测试",缺陷明细!$K$2:$K$50000,"严重")</f>
        <v>0</v>
      </c>
      <c r="U11" s="74">
        <f>COUNTIFS(缺陷明细!$A$2:$A$50000,$B$4,缺陷明细!$G$2:$G$50000,$C11,缺陷明细!$J$2:$J$50000,"验收测试",缺陷明细!$AB$2:$AB$50000,"&lt;&gt;丢弃",缺陷明细!$AB$2:$AB$50000,"&lt;&gt;设计如此",缺陷明细!$AB$2:$AB$50000,"&lt;&gt;重复Bug")</f>
        <v>0</v>
      </c>
      <c r="V11" s="75">
        <f>COUNTIFS(缺陷明细!$A$2:$A$50000,$B$4,缺陷明细!$G$2:$G$50000,$C11,缺陷明细!$Q$2:$Q$50000,"已关闭",缺陷明细!$J$2:$J$50000,"验收测试")</f>
        <v>0</v>
      </c>
      <c r="W11" s="75">
        <f>COUNTIFS(缺陷明细!$A$2:$A$50000,$B$4,缺陷明细!$G$2:$G$50000,$C11,缺陷明细!$J$2:$J$50000,"验收测试",缺陷明细!$K$2:$K$50000,"致命",缺陷明细!$AB$2:$AB$50000,"&lt;&gt;丢弃",缺陷明细!$AB$2:$AB$50000,"&lt;&gt;设计如此",缺陷明细!$AB$2:$AB$50000,"&lt;&gt;重复Bug")+COUNTIFS(缺陷明细!$A$2:$A$50000,$B$4,缺陷明细!$G$2:$G$50000,$C11,缺陷明细!$J$2:$J$50000,"验收测试",缺陷明细!$K$2:$K$50000,"严重",缺陷明细!$AB$2:$AB$50000,"&lt;&gt;丢弃",缺陷明细!$AB$2:$AB$50000,"&lt;&gt;设计如此",缺陷明细!$AB$2:$AB$50000,"&lt;&gt;重复Bug")</f>
        <v>0</v>
      </c>
      <c r="X11" s="76">
        <f>COUNTIFS(缺陷明细!$A$2:$A$50000,$B$4,缺陷明细!$G$2:$G$50000,$C11,缺陷明细!$Q$2:$Q$50000,"已关闭",缺陷明细!$J$2:$J$50000,"验收测试",缺陷明细!$K$2:$K$50000,"致命")+COUNTIFS(缺陷明细!$A$2:$A$50000,$B$4,缺陷明细!$G$2:$G$50000,$C11,缺陷明细!$Q$2:$Q$50000,"已关闭",缺陷明细!$J$2:$J$50000,"验收测试",缺陷明细!$K$2:$K$50000,"严重")</f>
        <v>0</v>
      </c>
      <c r="Y11" s="70">
        <f>COUNTIFS(缺陷明细!$A$2:$A$50000,$B$4,缺陷明细!$G$2:$G$50000,$C11,缺陷明细!$J$2:$J$50000,"运维测试",缺陷明细!$AB$2:$AB$50000,"&lt;&gt;丢弃",缺陷明细!$AB$2:$AB$50000,"&lt;&gt;设计如此",缺陷明细!$AB$2:$AB$50000,"&lt;&gt;重复Bug")</f>
        <v>0</v>
      </c>
      <c r="Z11" s="71">
        <f>COUNTIFS(缺陷明细!$A$2:$A$50000,$B$4,缺陷明细!$G$2:$G$50000,$C11,缺陷明细!$Q$2:$Q$50000,"已关闭",缺陷明细!$J$2:$J$50000,"运维测试")</f>
        <v>0</v>
      </c>
      <c r="AA11" s="72">
        <f>COUNTIFS(缺陷明细!$A$2:$A$50000,$B$4,缺陷明细!$G$2:$G$50000,$C11,缺陷明细!$J$2:$J$50000,"运维测试",缺陷明细!$K$2:$K$50000,"致命",缺陷明细!$AB$2:$AB$50000,"&lt;&gt;丢弃",缺陷明细!$AB$2:$AB$50000,"&lt;&gt;设计如此",缺陷明细!$AB$2:$AB$50000,"&lt;&gt;重复Bug")+COUNTIFS(缺陷明细!$A$2:$A$50000,$B$4,缺陷明细!$G$2:$G$50000,$C11,缺陷明细!$J$2:$J$50000,"运维测试",缺陷明细!$K$2:$K$50000,"严重",缺陷明细!$AB$2:$AB$50000,"&lt;&gt;丢弃",缺陷明细!$AB$2:$AB$50000,"&lt;&gt;设计如此",缺陷明细!$AB$2:$AB$50000,"&lt;&gt;重复Bug")</f>
        <v>0</v>
      </c>
      <c r="AB11" s="73">
        <f>COUNTIFS(缺陷明细!$A$2:$A$50000,$B$4,缺陷明细!$G$2:$G$50000,$C11,缺陷明细!$Q$2:$Q$50000,"已关闭",缺陷明细!$J$2:$J$50000,"运维测试",缺陷明细!$K$2:$K$50000,"致命")+COUNTIFS(缺陷明细!$A$2:$A$50000,$B$4,缺陷明细!$G$2:$G$50000,$C11,缺陷明细!$Q$2:$Q$50000,"已关闭",缺陷明细!$J$2:$J$50000,"运维测试",缺陷明细!$K$2:$K$50000,"严重")</f>
        <v>0</v>
      </c>
      <c r="AC11" s="68">
        <f t="shared" si="0"/>
        <v>0</v>
      </c>
      <c r="AD11" s="60">
        <f t="shared" si="0"/>
        <v>0</v>
      </c>
      <c r="AE11" s="60">
        <f t="shared" si="1"/>
        <v>0</v>
      </c>
      <c r="AF11" s="60">
        <f t="shared" si="1"/>
        <v>0</v>
      </c>
      <c r="AG11" s="60">
        <f t="shared" si="2"/>
        <v>0</v>
      </c>
      <c r="AH11" s="60">
        <f t="shared" si="2"/>
        <v>0</v>
      </c>
      <c r="AI11" s="60">
        <f t="shared" si="3"/>
        <v>0</v>
      </c>
      <c r="AJ11" s="61">
        <f t="shared" si="3"/>
        <v>0</v>
      </c>
      <c r="AK11" s="144"/>
    </row>
    <row r="12" spans="1:37" ht="25.5">
      <c r="A12">
        <v>8</v>
      </c>
      <c r="B12" s="57">
        <v>421</v>
      </c>
      <c r="C12" s="58" t="s">
        <v>352</v>
      </c>
      <c r="D12" s="84" t="s">
        <v>343</v>
      </c>
      <c r="E12" s="82" t="s">
        <v>346</v>
      </c>
      <c r="F12" s="158">
        <v>0.25</v>
      </c>
      <c r="G12" s="159">
        <v>0.1</v>
      </c>
      <c r="H12" s="281">
        <f>COUNTIFS(缺陷明细!$A$2:$A$50000,$B$4,缺陷明细!$G$2:$G$50000,$C12,缺陷明细!$J$2:$J$50000,"评审",缺陷明细!$AB$2:$AB$50000,"&lt;&gt;丢弃",缺陷明细!$AB$2:$AB$50000,"&lt;&gt;设计如此",缺陷明细!$AB$2:$AB$50000,"&lt;&gt;重复Bug")</f>
        <v>0</v>
      </c>
      <c r="I12" s="154">
        <f>COUNTIFS(缺陷明细!$A$2:$A$50000,$B$4,缺陷明细!$G$2:$G$50000,$C12,缺陷明细!$Q$2:$Q$50000,"已关闭",缺陷明细!$J$2:$J$50000,"评审")</f>
        <v>0</v>
      </c>
      <c r="J12" s="154">
        <f>COUNTIFS(缺陷明细!$A$2:$A$50000,$B$4,缺陷明细!$G$2:$G$50000,$C12,缺陷明细!$J$2:$J$50000,"单元测试",缺陷明细!$AB$2:$AB$50000,"&lt;&gt;丢弃",缺陷明细!$AB$2:$AB$50000,"&lt;&gt;设计如此",缺陷明细!$AB$2:$AB$50000,"&lt;&gt;重复Bug")</f>
        <v>0</v>
      </c>
      <c r="K12" s="155">
        <f>COUNTIFS(缺陷明细!$A$2:$A$50000,$B$4,缺陷明细!$G$2:$G$50000,$C12,缺陷明细!$Q$2:$Q$50000,"已关闭",缺陷明细!$J$2:$J$50000,"单元测试")</f>
        <v>0</v>
      </c>
      <c r="L12" s="156"/>
      <c r="M12" s="157"/>
      <c r="N12" s="72">
        <f>COUNTIFS(缺陷明细!$A$2:$A$50000,$B$4,缺陷明细!$G$2:$G$50000,$C12,缺陷明细!$J$2:$J$50000,"系统测试案例评审",缺陷明细!$AB$2:$AB$50000,"&lt;&gt;丢弃",缺陷明细!$AB$2:$AB$50000,"&lt;&gt;设计如此",缺陷明细!$AB$2:$AB$50000,"&lt;&gt;重复Bug")</f>
        <v>0</v>
      </c>
      <c r="O12" s="72">
        <f>COUNTIFS(缺陷明细!$A$2:$A$50000,$B$4,缺陷明细!$G$2:$G$50000,$C12,缺陷明细!$Q$2:$Q$50000,"已关闭",缺陷明细!$J$2:$J$50000,"系统测试案例评审")</f>
        <v>0</v>
      </c>
      <c r="P12" s="72">
        <f>COUNTIFS(缺陷明细!$A$2:$A$50000,$B$4,缺陷明细!$G$2:$G$50000,$C12,缺陷明细!$J$2:$J$50000,"系统测试",缺陷明细!$AB$2:$AB$50000,"&lt;&gt;丢弃",缺陷明细!$AB$2:$AB$50000,"&lt;&gt;设计如此",缺陷明细!$AB$2:$AB$50000,"&lt;&gt;重复Bug")</f>
        <v>0</v>
      </c>
      <c r="Q12" s="72">
        <f>COUNTIFS(缺陷明细!$A$2:$A$50000,$B$4,缺陷明细!$G$2:$G$50000,$C12,缺陷明细!$Q$2:$Q$50000,"已关闭",缺陷明细!$J$2:$J$50000,"系统测试")</f>
        <v>0</v>
      </c>
      <c r="R12" s="296">
        <f>COUNTIFS(缺陷明细!$A$2:$A$50000,$B$4,缺陷明细!$G$2:$G$50000,$C12,缺陷明细!$AB$2:$AB$50000,"丢弃",缺陷明细!$J$2:$J$50000,"系统测试")+COUNTIFS(缺陷明细!$A$2:$A$50000,$B$4,缺陷明细!$G$2:$G$50000,$C12,缺陷明细!$AB$2:$AB$50000,"设计如此",缺陷明细!$J$2:$J$50000,"系统测试")+COUNTIFS(缺陷明细!$A$2:$A$50000,$B$4,缺陷明细!$G$2:$G$50000,$C12,缺陷明细!$AB$2:$AB$50000,"重复Bug",缺陷明细!$J$2:$J$50000,"系统测试")</f>
        <v>0</v>
      </c>
      <c r="S12" s="72">
        <f>COUNTIFS(缺陷明细!$A$2:$A$50000,$B$4,缺陷明细!$G$2:$G$50000,$C12,缺陷明细!$J$2:$J$50000,"系统测试",缺陷明细!$K$2:$K$50000,"致命",缺陷明细!$AB$2:$AB$50000,"&lt;&gt;丢弃",缺陷明细!$AB$2:$AB$50000,"&lt;&gt;设计如此",缺陷明细!$AB$2:$AB$50000,"&lt;&gt;重复Bug")+COUNTIFS(缺陷明细!$A$2:$A$50000,$B$4,缺陷明细!$G$2:$G$50000,$C12,缺陷明细!$J$2:$J$50000,"系统测试",缺陷明细!$K$2:$K$50000,"严重",缺陷明细!$AB$2:$AB$50000,"&lt;&gt;丢弃",缺陷明细!$AB$2:$AB$50000,"&lt;&gt;设计如此",缺陷明细!$AB$2:$AB$50000,"&lt;&gt;重复Bug")</f>
        <v>0</v>
      </c>
      <c r="T12" s="73">
        <f>COUNTIFS(缺陷明细!$A$2:$A$50000,$B$4,缺陷明细!$G$2:$G$50000,$C12,缺陷明细!$Q$2:$Q$50000,"已关闭",缺陷明细!$J$2:$J$50000,"系统测试",缺陷明细!$K$2:$K$50000,"致命")+COUNTIFS(缺陷明细!$A$2:$A$50000,$B$4,缺陷明细!$G$2:$G$50000,$C12,缺陷明细!$Q$2:$Q$50000,"已关闭",缺陷明细!$J$2:$J$50000,"系统测试",缺陷明细!$K$2:$K$50000,"严重")</f>
        <v>0</v>
      </c>
      <c r="U12" s="74">
        <f>COUNTIFS(缺陷明细!$A$2:$A$50000,$B$4,缺陷明细!$G$2:$G$50000,$C12,缺陷明细!$J$2:$J$50000,"验收测试",缺陷明细!$AB$2:$AB$50000,"&lt;&gt;丢弃",缺陷明细!$AB$2:$AB$50000,"&lt;&gt;设计如此",缺陷明细!$AB$2:$AB$50000,"&lt;&gt;重复Bug")</f>
        <v>0</v>
      </c>
      <c r="V12" s="75">
        <f>COUNTIFS(缺陷明细!$A$2:$A$50000,$B$4,缺陷明细!$G$2:$G$50000,$C12,缺陷明细!$Q$2:$Q$50000,"已关闭",缺陷明细!$J$2:$J$50000,"验收测试")</f>
        <v>0</v>
      </c>
      <c r="W12" s="75">
        <f>COUNTIFS(缺陷明细!$A$2:$A$50000,$B$4,缺陷明细!$G$2:$G$50000,$C12,缺陷明细!$J$2:$J$50000,"验收测试",缺陷明细!$K$2:$K$50000,"致命",缺陷明细!$AB$2:$AB$50000,"&lt;&gt;丢弃",缺陷明细!$AB$2:$AB$50000,"&lt;&gt;设计如此",缺陷明细!$AB$2:$AB$50000,"&lt;&gt;重复Bug")+COUNTIFS(缺陷明细!$A$2:$A$50000,$B$4,缺陷明细!$G$2:$G$50000,$C12,缺陷明细!$J$2:$J$50000,"验收测试",缺陷明细!$K$2:$K$50000,"严重",缺陷明细!$AB$2:$AB$50000,"&lt;&gt;丢弃",缺陷明细!$AB$2:$AB$50000,"&lt;&gt;设计如此",缺陷明细!$AB$2:$AB$50000,"&lt;&gt;重复Bug")</f>
        <v>0</v>
      </c>
      <c r="X12" s="76">
        <f>COUNTIFS(缺陷明细!$A$2:$A$50000,$B$4,缺陷明细!$G$2:$G$50000,$C12,缺陷明细!$Q$2:$Q$50000,"已关闭",缺陷明细!$J$2:$J$50000,"验收测试",缺陷明细!$K$2:$K$50000,"致命")+COUNTIFS(缺陷明细!$A$2:$A$50000,$B$4,缺陷明细!$G$2:$G$50000,$C12,缺陷明细!$Q$2:$Q$50000,"已关闭",缺陷明细!$J$2:$J$50000,"验收测试",缺陷明细!$K$2:$K$50000,"严重")</f>
        <v>0</v>
      </c>
      <c r="Y12" s="70">
        <f>COUNTIFS(缺陷明细!$A$2:$A$50000,$B$4,缺陷明细!$G$2:$G$50000,$C12,缺陷明细!$J$2:$J$50000,"运维测试",缺陷明细!$AB$2:$AB$50000,"&lt;&gt;丢弃",缺陷明细!$AB$2:$AB$50000,"&lt;&gt;设计如此",缺陷明细!$AB$2:$AB$50000,"&lt;&gt;重复Bug")</f>
        <v>0</v>
      </c>
      <c r="Z12" s="71">
        <f>COUNTIFS(缺陷明细!$A$2:$A$50000,$B$4,缺陷明细!$G$2:$G$50000,$C12,缺陷明细!$Q$2:$Q$50000,"已关闭",缺陷明细!$J$2:$J$50000,"运维测试")</f>
        <v>0</v>
      </c>
      <c r="AA12" s="72">
        <f>COUNTIFS(缺陷明细!$A$2:$A$50000,$B$4,缺陷明细!$G$2:$G$50000,$C12,缺陷明细!$J$2:$J$50000,"运维测试",缺陷明细!$K$2:$K$50000,"致命",缺陷明细!$AB$2:$AB$50000,"&lt;&gt;丢弃",缺陷明细!$AB$2:$AB$50000,"&lt;&gt;设计如此",缺陷明细!$AB$2:$AB$50000,"&lt;&gt;重复Bug")+COUNTIFS(缺陷明细!$A$2:$A$50000,$B$4,缺陷明细!$G$2:$G$50000,$C12,缺陷明细!$J$2:$J$50000,"运维测试",缺陷明细!$K$2:$K$50000,"严重",缺陷明细!$AB$2:$AB$50000,"&lt;&gt;丢弃",缺陷明细!$AB$2:$AB$50000,"&lt;&gt;设计如此",缺陷明细!$AB$2:$AB$50000,"&lt;&gt;重复Bug")</f>
        <v>0</v>
      </c>
      <c r="AB12" s="73">
        <f>COUNTIFS(缺陷明细!$A$2:$A$50000,$B$4,缺陷明细!$G$2:$G$50000,$C12,缺陷明细!$Q$2:$Q$50000,"已关闭",缺陷明细!$J$2:$J$50000,"运维测试",缺陷明细!$K$2:$K$50000,"致命")+COUNTIFS(缺陷明细!$A$2:$A$50000,$B$4,缺陷明细!$G$2:$G$50000,$C12,缺陷明细!$Q$2:$Q$50000,"已关闭",缺陷明细!$J$2:$J$50000,"运维测试",缺陷明细!$K$2:$K$50000,"严重")</f>
        <v>0</v>
      </c>
      <c r="AC12" s="68">
        <f t="shared" si="0"/>
        <v>0</v>
      </c>
      <c r="AD12" s="60">
        <f t="shared" si="0"/>
        <v>0</v>
      </c>
      <c r="AE12" s="60">
        <f t="shared" si="1"/>
        <v>0</v>
      </c>
      <c r="AF12" s="60">
        <f t="shared" si="1"/>
        <v>0</v>
      </c>
      <c r="AG12" s="60">
        <f t="shared" si="2"/>
        <v>0</v>
      </c>
      <c r="AH12" s="60">
        <f t="shared" si="2"/>
        <v>0</v>
      </c>
      <c r="AI12" s="60">
        <f t="shared" si="3"/>
        <v>0</v>
      </c>
      <c r="AJ12" s="61">
        <f t="shared" si="3"/>
        <v>0</v>
      </c>
      <c r="AK12" s="144"/>
    </row>
    <row r="13" spans="1:37" ht="38.25">
      <c r="A13">
        <v>9</v>
      </c>
      <c r="B13" s="57">
        <v>422</v>
      </c>
      <c r="C13" s="58" t="s">
        <v>353</v>
      </c>
      <c r="D13" s="84" t="s">
        <v>343</v>
      </c>
      <c r="E13" s="82" t="s">
        <v>346</v>
      </c>
      <c r="F13" s="158">
        <v>2</v>
      </c>
      <c r="G13" s="159">
        <v>1</v>
      </c>
      <c r="H13" s="281">
        <f>COUNTIFS(缺陷明细!$A$2:$A$50000,$B$4,缺陷明细!$G$2:$G$50000,$C13,缺陷明细!$J$2:$J$50000,"评审",缺陷明细!$AB$2:$AB$50000,"&lt;&gt;丢弃",缺陷明细!$AB$2:$AB$50000,"&lt;&gt;设计如此",缺陷明细!$AB$2:$AB$50000,"&lt;&gt;重复Bug")</f>
        <v>0</v>
      </c>
      <c r="I13" s="154">
        <f>COUNTIFS(缺陷明细!$A$2:$A$50000,$B$4,缺陷明细!$G$2:$G$50000,$C13,缺陷明细!$Q$2:$Q$50000,"已关闭",缺陷明细!$J$2:$J$50000,"评审")</f>
        <v>0</v>
      </c>
      <c r="J13" s="154">
        <f>COUNTIFS(缺陷明细!$A$2:$A$50000,$B$4,缺陷明细!$G$2:$G$50000,$C13,缺陷明细!$J$2:$J$50000,"单元测试",缺陷明细!$AB$2:$AB$50000,"&lt;&gt;丢弃",缺陷明细!$AB$2:$AB$50000,"&lt;&gt;设计如此",缺陷明细!$AB$2:$AB$50000,"&lt;&gt;重复Bug")</f>
        <v>0</v>
      </c>
      <c r="K13" s="155">
        <f>COUNTIFS(缺陷明细!$A$2:$A$50000,$B$4,缺陷明细!$G$2:$G$50000,$C13,缺陷明细!$Q$2:$Q$50000,"已关闭",缺陷明细!$J$2:$J$50000,"单元测试")</f>
        <v>0</v>
      </c>
      <c r="L13" s="156"/>
      <c r="M13" s="157"/>
      <c r="N13" s="72">
        <f>COUNTIFS(缺陷明细!$A$2:$A$50000,$B$4,缺陷明细!$G$2:$G$50000,$C13,缺陷明细!$J$2:$J$50000,"系统测试案例评审",缺陷明细!$AB$2:$AB$50000,"&lt;&gt;丢弃",缺陷明细!$AB$2:$AB$50000,"&lt;&gt;设计如此",缺陷明细!$AB$2:$AB$50000,"&lt;&gt;重复Bug")</f>
        <v>0</v>
      </c>
      <c r="O13" s="72">
        <f>COUNTIFS(缺陷明细!$A$2:$A$50000,$B$4,缺陷明细!$G$2:$G$50000,$C13,缺陷明细!$Q$2:$Q$50000,"已关闭",缺陷明细!$J$2:$J$50000,"系统测试案例评审")</f>
        <v>0</v>
      </c>
      <c r="P13" s="72">
        <f>COUNTIFS(缺陷明细!$A$2:$A$50000,$B$4,缺陷明细!$G$2:$G$50000,$C13,缺陷明细!$J$2:$J$50000,"系统测试",缺陷明细!$AB$2:$AB$50000,"&lt;&gt;丢弃",缺陷明细!$AB$2:$AB$50000,"&lt;&gt;设计如此",缺陷明细!$AB$2:$AB$50000,"&lt;&gt;重复Bug")</f>
        <v>0</v>
      </c>
      <c r="Q13" s="72">
        <f>COUNTIFS(缺陷明细!$A$2:$A$50000,$B$4,缺陷明细!$G$2:$G$50000,$C13,缺陷明细!$Q$2:$Q$50000,"已关闭",缺陷明细!$J$2:$J$50000,"系统测试")</f>
        <v>0</v>
      </c>
      <c r="R13" s="296">
        <f>COUNTIFS(缺陷明细!$A$2:$A$50000,$B$4,缺陷明细!$G$2:$G$50000,$C13,缺陷明细!$AB$2:$AB$50000,"丢弃",缺陷明细!$J$2:$J$50000,"系统测试")+COUNTIFS(缺陷明细!$A$2:$A$50000,$B$4,缺陷明细!$G$2:$G$50000,$C13,缺陷明细!$AB$2:$AB$50000,"设计如此",缺陷明细!$J$2:$J$50000,"系统测试")+COUNTIFS(缺陷明细!$A$2:$A$50000,$B$4,缺陷明细!$G$2:$G$50000,$C13,缺陷明细!$AB$2:$AB$50000,"重复Bug",缺陷明细!$J$2:$J$50000,"系统测试")</f>
        <v>0</v>
      </c>
      <c r="S13" s="72">
        <f>COUNTIFS(缺陷明细!$A$2:$A$50000,$B$4,缺陷明细!$G$2:$G$50000,$C13,缺陷明细!$J$2:$J$50000,"系统测试",缺陷明细!$K$2:$K$50000,"致命",缺陷明细!$AB$2:$AB$50000,"&lt;&gt;丢弃",缺陷明细!$AB$2:$AB$50000,"&lt;&gt;设计如此",缺陷明细!$AB$2:$AB$50000,"&lt;&gt;重复Bug")+COUNTIFS(缺陷明细!$A$2:$A$50000,$B$4,缺陷明细!$G$2:$G$50000,$C13,缺陷明细!$J$2:$J$50000,"系统测试",缺陷明细!$K$2:$K$50000,"严重",缺陷明细!$AB$2:$AB$50000,"&lt;&gt;丢弃",缺陷明细!$AB$2:$AB$50000,"&lt;&gt;设计如此",缺陷明细!$AB$2:$AB$50000,"&lt;&gt;重复Bug")</f>
        <v>0</v>
      </c>
      <c r="T13" s="73">
        <f>COUNTIFS(缺陷明细!$A$2:$A$50000,$B$4,缺陷明细!$G$2:$G$50000,$C13,缺陷明细!$Q$2:$Q$50000,"已关闭",缺陷明细!$J$2:$J$50000,"系统测试",缺陷明细!$K$2:$K$50000,"致命")+COUNTIFS(缺陷明细!$A$2:$A$50000,$B$4,缺陷明细!$G$2:$G$50000,$C13,缺陷明细!$Q$2:$Q$50000,"已关闭",缺陷明细!$J$2:$J$50000,"系统测试",缺陷明细!$K$2:$K$50000,"严重")</f>
        <v>0</v>
      </c>
      <c r="U13" s="74">
        <f>COUNTIFS(缺陷明细!$A$2:$A$50000,$B$4,缺陷明细!$G$2:$G$50000,$C13,缺陷明细!$J$2:$J$50000,"验收测试",缺陷明细!$AB$2:$AB$50000,"&lt;&gt;丢弃",缺陷明细!$AB$2:$AB$50000,"&lt;&gt;设计如此",缺陷明细!$AB$2:$AB$50000,"&lt;&gt;重复Bug")</f>
        <v>0</v>
      </c>
      <c r="V13" s="75">
        <f>COUNTIFS(缺陷明细!$A$2:$A$50000,$B$4,缺陷明细!$G$2:$G$50000,$C13,缺陷明细!$Q$2:$Q$50000,"已关闭",缺陷明细!$J$2:$J$50000,"验收测试")</f>
        <v>0</v>
      </c>
      <c r="W13" s="75">
        <f>COUNTIFS(缺陷明细!$A$2:$A$50000,$B$4,缺陷明细!$G$2:$G$50000,$C13,缺陷明细!$J$2:$J$50000,"验收测试",缺陷明细!$K$2:$K$50000,"致命",缺陷明细!$AB$2:$AB$50000,"&lt;&gt;丢弃",缺陷明细!$AB$2:$AB$50000,"&lt;&gt;设计如此",缺陷明细!$AB$2:$AB$50000,"&lt;&gt;重复Bug")+COUNTIFS(缺陷明细!$A$2:$A$50000,$B$4,缺陷明细!$G$2:$G$50000,$C13,缺陷明细!$J$2:$J$50000,"验收测试",缺陷明细!$K$2:$K$50000,"严重",缺陷明细!$AB$2:$AB$50000,"&lt;&gt;丢弃",缺陷明细!$AB$2:$AB$50000,"&lt;&gt;设计如此",缺陷明细!$AB$2:$AB$50000,"&lt;&gt;重复Bug")</f>
        <v>0</v>
      </c>
      <c r="X13" s="76">
        <f>COUNTIFS(缺陷明细!$A$2:$A$50000,$B$4,缺陷明细!$G$2:$G$50000,$C13,缺陷明细!$Q$2:$Q$50000,"已关闭",缺陷明细!$J$2:$J$50000,"验收测试",缺陷明细!$K$2:$K$50000,"致命")+COUNTIFS(缺陷明细!$A$2:$A$50000,$B$4,缺陷明细!$G$2:$G$50000,$C13,缺陷明细!$Q$2:$Q$50000,"已关闭",缺陷明细!$J$2:$J$50000,"验收测试",缺陷明细!$K$2:$K$50000,"严重")</f>
        <v>0</v>
      </c>
      <c r="Y13" s="70">
        <f>COUNTIFS(缺陷明细!$A$2:$A$50000,$B$4,缺陷明细!$G$2:$G$50000,$C13,缺陷明细!$J$2:$J$50000,"运维测试",缺陷明细!$AB$2:$AB$50000,"&lt;&gt;丢弃",缺陷明细!$AB$2:$AB$50000,"&lt;&gt;设计如此",缺陷明细!$AB$2:$AB$50000,"&lt;&gt;重复Bug")</f>
        <v>0</v>
      </c>
      <c r="Z13" s="71">
        <f>COUNTIFS(缺陷明细!$A$2:$A$50000,$B$4,缺陷明细!$G$2:$G$50000,$C13,缺陷明细!$Q$2:$Q$50000,"已关闭",缺陷明细!$J$2:$J$50000,"运维测试")</f>
        <v>0</v>
      </c>
      <c r="AA13" s="72">
        <f>COUNTIFS(缺陷明细!$A$2:$A$50000,$B$4,缺陷明细!$G$2:$G$50000,$C13,缺陷明细!$J$2:$J$50000,"运维测试",缺陷明细!$K$2:$K$50000,"致命",缺陷明细!$AB$2:$AB$50000,"&lt;&gt;丢弃",缺陷明细!$AB$2:$AB$50000,"&lt;&gt;设计如此",缺陷明细!$AB$2:$AB$50000,"&lt;&gt;重复Bug")+COUNTIFS(缺陷明细!$A$2:$A$50000,$B$4,缺陷明细!$G$2:$G$50000,$C13,缺陷明细!$J$2:$J$50000,"运维测试",缺陷明细!$K$2:$K$50000,"严重",缺陷明细!$AB$2:$AB$50000,"&lt;&gt;丢弃",缺陷明细!$AB$2:$AB$50000,"&lt;&gt;设计如此",缺陷明细!$AB$2:$AB$50000,"&lt;&gt;重复Bug")</f>
        <v>0</v>
      </c>
      <c r="AB13" s="73">
        <f>COUNTIFS(缺陷明细!$A$2:$A$50000,$B$4,缺陷明细!$G$2:$G$50000,$C13,缺陷明细!$Q$2:$Q$50000,"已关闭",缺陷明细!$J$2:$J$50000,"运维测试",缺陷明细!$K$2:$K$50000,"致命")+COUNTIFS(缺陷明细!$A$2:$A$50000,$B$4,缺陷明细!$G$2:$G$50000,$C13,缺陷明细!$Q$2:$Q$50000,"已关闭",缺陷明细!$J$2:$J$50000,"运维测试",缺陷明细!$K$2:$K$50000,"严重")</f>
        <v>0</v>
      </c>
      <c r="AC13" s="68">
        <f t="shared" si="0"/>
        <v>0</v>
      </c>
      <c r="AD13" s="60">
        <f t="shared" si="0"/>
        <v>0</v>
      </c>
      <c r="AE13" s="60">
        <f t="shared" si="1"/>
        <v>0</v>
      </c>
      <c r="AF13" s="60">
        <f t="shared" si="1"/>
        <v>0</v>
      </c>
      <c r="AG13" s="60">
        <f t="shared" si="2"/>
        <v>0</v>
      </c>
      <c r="AH13" s="60">
        <f t="shared" si="2"/>
        <v>0</v>
      </c>
      <c r="AI13" s="60">
        <f t="shared" si="3"/>
        <v>0</v>
      </c>
      <c r="AJ13" s="61">
        <f t="shared" si="3"/>
        <v>0</v>
      </c>
      <c r="AK13" s="144"/>
    </row>
    <row r="14" spans="1:37" ht="25.5">
      <c r="A14">
        <v>10</v>
      </c>
      <c r="B14" s="57">
        <v>423</v>
      </c>
      <c r="C14" s="58" t="s">
        <v>354</v>
      </c>
      <c r="D14" s="84" t="s">
        <v>343</v>
      </c>
      <c r="E14" s="82" t="s">
        <v>346</v>
      </c>
      <c r="F14" s="158">
        <v>0.5</v>
      </c>
      <c r="G14" s="159">
        <v>0.5</v>
      </c>
      <c r="H14" s="281">
        <f>COUNTIFS(缺陷明细!$A$2:$A$50000,$B$4,缺陷明细!$G$2:$G$50000,$C14,缺陷明细!$J$2:$J$50000,"评审",缺陷明细!$AB$2:$AB$50000,"&lt;&gt;丢弃",缺陷明细!$AB$2:$AB$50000,"&lt;&gt;设计如此",缺陷明细!$AB$2:$AB$50000,"&lt;&gt;重复Bug")</f>
        <v>0</v>
      </c>
      <c r="I14" s="154">
        <f>COUNTIFS(缺陷明细!$A$2:$A$50000,$B$4,缺陷明细!$G$2:$G$50000,$C14,缺陷明细!$Q$2:$Q$50000,"已关闭",缺陷明细!$J$2:$J$50000,"评审")</f>
        <v>0</v>
      </c>
      <c r="J14" s="154">
        <f>COUNTIFS(缺陷明细!$A$2:$A$50000,$B$4,缺陷明细!$G$2:$G$50000,$C14,缺陷明细!$J$2:$J$50000,"单元测试",缺陷明细!$AB$2:$AB$50000,"&lt;&gt;丢弃",缺陷明细!$AB$2:$AB$50000,"&lt;&gt;设计如此",缺陷明细!$AB$2:$AB$50000,"&lt;&gt;重复Bug")</f>
        <v>0</v>
      </c>
      <c r="K14" s="155">
        <f>COUNTIFS(缺陷明细!$A$2:$A$50000,$B$4,缺陷明细!$G$2:$G$50000,$C14,缺陷明细!$Q$2:$Q$50000,"已关闭",缺陷明细!$J$2:$J$50000,"单元测试")</f>
        <v>0</v>
      </c>
      <c r="L14" s="156"/>
      <c r="M14" s="157"/>
      <c r="N14" s="72">
        <f>COUNTIFS(缺陷明细!$A$2:$A$50000,$B$4,缺陷明细!$G$2:$G$50000,$C14,缺陷明细!$J$2:$J$50000,"系统测试案例评审",缺陷明细!$AB$2:$AB$50000,"&lt;&gt;丢弃",缺陷明细!$AB$2:$AB$50000,"&lt;&gt;设计如此",缺陷明细!$AB$2:$AB$50000,"&lt;&gt;重复Bug")</f>
        <v>0</v>
      </c>
      <c r="O14" s="72">
        <f>COUNTIFS(缺陷明细!$A$2:$A$50000,$B$4,缺陷明细!$G$2:$G$50000,$C14,缺陷明细!$Q$2:$Q$50000,"已关闭",缺陷明细!$J$2:$J$50000,"系统测试案例评审")</f>
        <v>0</v>
      </c>
      <c r="P14" s="72">
        <f>COUNTIFS(缺陷明细!$A$2:$A$50000,$B$4,缺陷明细!$G$2:$G$50000,$C14,缺陷明细!$J$2:$J$50000,"系统测试",缺陷明细!$AB$2:$AB$50000,"&lt;&gt;丢弃",缺陷明细!$AB$2:$AB$50000,"&lt;&gt;设计如此",缺陷明细!$AB$2:$AB$50000,"&lt;&gt;重复Bug")</f>
        <v>0</v>
      </c>
      <c r="Q14" s="72">
        <f>COUNTIFS(缺陷明细!$A$2:$A$50000,$B$4,缺陷明细!$G$2:$G$50000,$C14,缺陷明细!$Q$2:$Q$50000,"已关闭",缺陷明细!$J$2:$J$50000,"系统测试")</f>
        <v>0</v>
      </c>
      <c r="R14" s="296">
        <f>COUNTIFS(缺陷明细!$A$2:$A$50000,$B$4,缺陷明细!$G$2:$G$50000,$C14,缺陷明细!$AB$2:$AB$50000,"丢弃",缺陷明细!$J$2:$J$50000,"系统测试")+COUNTIFS(缺陷明细!$A$2:$A$50000,$B$4,缺陷明细!$G$2:$G$50000,$C14,缺陷明细!$AB$2:$AB$50000,"设计如此",缺陷明细!$J$2:$J$50000,"系统测试")+COUNTIFS(缺陷明细!$A$2:$A$50000,$B$4,缺陷明细!$G$2:$G$50000,$C14,缺陷明细!$AB$2:$AB$50000,"重复Bug",缺陷明细!$J$2:$J$50000,"系统测试")</f>
        <v>0</v>
      </c>
      <c r="S14" s="72">
        <f>COUNTIFS(缺陷明细!$A$2:$A$50000,$B$4,缺陷明细!$G$2:$G$50000,$C14,缺陷明细!$J$2:$J$50000,"系统测试",缺陷明细!$K$2:$K$50000,"致命",缺陷明细!$AB$2:$AB$50000,"&lt;&gt;丢弃",缺陷明细!$AB$2:$AB$50000,"&lt;&gt;设计如此",缺陷明细!$AB$2:$AB$50000,"&lt;&gt;重复Bug")+COUNTIFS(缺陷明细!$A$2:$A$50000,$B$4,缺陷明细!$G$2:$G$50000,$C14,缺陷明细!$J$2:$J$50000,"系统测试",缺陷明细!$K$2:$K$50000,"严重",缺陷明细!$AB$2:$AB$50000,"&lt;&gt;丢弃",缺陷明细!$AB$2:$AB$50000,"&lt;&gt;设计如此",缺陷明细!$AB$2:$AB$50000,"&lt;&gt;重复Bug")</f>
        <v>0</v>
      </c>
      <c r="T14" s="73">
        <f>COUNTIFS(缺陷明细!$A$2:$A$50000,$B$4,缺陷明细!$G$2:$G$50000,$C14,缺陷明细!$Q$2:$Q$50000,"已关闭",缺陷明细!$J$2:$J$50000,"系统测试",缺陷明细!$K$2:$K$50000,"致命")+COUNTIFS(缺陷明细!$A$2:$A$50000,$B$4,缺陷明细!$G$2:$G$50000,$C14,缺陷明细!$Q$2:$Q$50000,"已关闭",缺陷明细!$J$2:$J$50000,"系统测试",缺陷明细!$K$2:$K$50000,"严重")</f>
        <v>0</v>
      </c>
      <c r="U14" s="74">
        <f>COUNTIFS(缺陷明细!$A$2:$A$50000,$B$4,缺陷明细!$G$2:$G$50000,$C14,缺陷明细!$J$2:$J$50000,"验收测试",缺陷明细!$AB$2:$AB$50000,"&lt;&gt;丢弃",缺陷明细!$AB$2:$AB$50000,"&lt;&gt;设计如此",缺陷明细!$AB$2:$AB$50000,"&lt;&gt;重复Bug")</f>
        <v>0</v>
      </c>
      <c r="V14" s="75">
        <f>COUNTIFS(缺陷明细!$A$2:$A$50000,$B$4,缺陷明细!$G$2:$G$50000,$C14,缺陷明细!$Q$2:$Q$50000,"已关闭",缺陷明细!$J$2:$J$50000,"验收测试")</f>
        <v>0</v>
      </c>
      <c r="W14" s="75">
        <f>COUNTIFS(缺陷明细!$A$2:$A$50000,$B$4,缺陷明细!$G$2:$G$50000,$C14,缺陷明细!$J$2:$J$50000,"验收测试",缺陷明细!$K$2:$K$50000,"致命",缺陷明细!$AB$2:$AB$50000,"&lt;&gt;丢弃",缺陷明细!$AB$2:$AB$50000,"&lt;&gt;设计如此",缺陷明细!$AB$2:$AB$50000,"&lt;&gt;重复Bug")+COUNTIFS(缺陷明细!$A$2:$A$50000,$B$4,缺陷明细!$G$2:$G$50000,$C14,缺陷明细!$J$2:$J$50000,"验收测试",缺陷明细!$K$2:$K$50000,"严重",缺陷明细!$AB$2:$AB$50000,"&lt;&gt;丢弃",缺陷明细!$AB$2:$AB$50000,"&lt;&gt;设计如此",缺陷明细!$AB$2:$AB$50000,"&lt;&gt;重复Bug")</f>
        <v>0</v>
      </c>
      <c r="X14" s="76">
        <f>COUNTIFS(缺陷明细!$A$2:$A$50000,$B$4,缺陷明细!$G$2:$G$50000,$C14,缺陷明细!$Q$2:$Q$50000,"已关闭",缺陷明细!$J$2:$J$50000,"验收测试",缺陷明细!$K$2:$K$50000,"致命")+COUNTIFS(缺陷明细!$A$2:$A$50000,$B$4,缺陷明细!$G$2:$G$50000,$C14,缺陷明细!$Q$2:$Q$50000,"已关闭",缺陷明细!$J$2:$J$50000,"验收测试",缺陷明细!$K$2:$K$50000,"严重")</f>
        <v>0</v>
      </c>
      <c r="Y14" s="70">
        <f>COUNTIFS(缺陷明细!$A$2:$A$50000,$B$4,缺陷明细!$G$2:$G$50000,$C14,缺陷明细!$J$2:$J$50000,"运维测试",缺陷明细!$AB$2:$AB$50000,"&lt;&gt;丢弃",缺陷明细!$AB$2:$AB$50000,"&lt;&gt;设计如此",缺陷明细!$AB$2:$AB$50000,"&lt;&gt;重复Bug")</f>
        <v>0</v>
      </c>
      <c r="Z14" s="71">
        <f>COUNTIFS(缺陷明细!$A$2:$A$50000,$B$4,缺陷明细!$G$2:$G$50000,$C14,缺陷明细!$Q$2:$Q$50000,"已关闭",缺陷明细!$J$2:$J$50000,"运维测试")</f>
        <v>0</v>
      </c>
      <c r="AA14" s="72">
        <f>COUNTIFS(缺陷明细!$A$2:$A$50000,$B$4,缺陷明细!$G$2:$G$50000,$C14,缺陷明细!$J$2:$J$50000,"运维测试",缺陷明细!$K$2:$K$50000,"致命",缺陷明细!$AB$2:$AB$50000,"&lt;&gt;丢弃",缺陷明细!$AB$2:$AB$50000,"&lt;&gt;设计如此",缺陷明细!$AB$2:$AB$50000,"&lt;&gt;重复Bug")+COUNTIFS(缺陷明细!$A$2:$A$50000,$B$4,缺陷明细!$G$2:$G$50000,$C14,缺陷明细!$J$2:$J$50000,"运维测试",缺陷明细!$K$2:$K$50000,"严重",缺陷明细!$AB$2:$AB$50000,"&lt;&gt;丢弃",缺陷明细!$AB$2:$AB$50000,"&lt;&gt;设计如此",缺陷明细!$AB$2:$AB$50000,"&lt;&gt;重复Bug")</f>
        <v>0</v>
      </c>
      <c r="AB14" s="73">
        <f>COUNTIFS(缺陷明细!$A$2:$A$50000,$B$4,缺陷明细!$G$2:$G$50000,$C14,缺陷明细!$Q$2:$Q$50000,"已关闭",缺陷明细!$J$2:$J$50000,"运维测试",缺陷明细!$K$2:$K$50000,"致命")+COUNTIFS(缺陷明细!$A$2:$A$50000,$B$4,缺陷明细!$G$2:$G$50000,$C14,缺陷明细!$Q$2:$Q$50000,"已关闭",缺陷明细!$J$2:$J$50000,"运维测试",缺陷明细!$K$2:$K$50000,"严重")</f>
        <v>0</v>
      </c>
      <c r="AC14" s="68">
        <f t="shared" si="0"/>
        <v>0</v>
      </c>
      <c r="AD14" s="60">
        <f t="shared" si="0"/>
        <v>0</v>
      </c>
      <c r="AE14" s="60">
        <f t="shared" si="1"/>
        <v>0</v>
      </c>
      <c r="AF14" s="60">
        <f t="shared" si="1"/>
        <v>0</v>
      </c>
      <c r="AG14" s="60">
        <f t="shared" si="2"/>
        <v>0</v>
      </c>
      <c r="AH14" s="60">
        <f t="shared" si="2"/>
        <v>0</v>
      </c>
      <c r="AI14" s="60">
        <f t="shared" si="3"/>
        <v>0</v>
      </c>
      <c r="AJ14" s="61">
        <f t="shared" si="3"/>
        <v>0</v>
      </c>
      <c r="AK14" s="144"/>
    </row>
    <row r="15" spans="1:37" ht="38.25">
      <c r="A15">
        <v>11</v>
      </c>
      <c r="B15" s="57">
        <v>424</v>
      </c>
      <c r="C15" s="58" t="s">
        <v>355</v>
      </c>
      <c r="D15" s="84" t="s">
        <v>343</v>
      </c>
      <c r="E15" s="82" t="s">
        <v>346</v>
      </c>
      <c r="F15" s="158">
        <v>1</v>
      </c>
      <c r="G15" s="159">
        <v>2</v>
      </c>
      <c r="H15" s="281">
        <f>COUNTIFS(缺陷明细!$A$2:$A$50000,$B$4,缺陷明细!$G$2:$G$50000,$C15,缺陷明细!$J$2:$J$50000,"评审",缺陷明细!$AB$2:$AB$50000,"&lt;&gt;丢弃",缺陷明细!$AB$2:$AB$50000,"&lt;&gt;设计如此",缺陷明细!$AB$2:$AB$50000,"&lt;&gt;重复Bug")</f>
        <v>0</v>
      </c>
      <c r="I15" s="154">
        <f>COUNTIFS(缺陷明细!$A$2:$A$50000,$B$4,缺陷明细!$G$2:$G$50000,$C15,缺陷明细!$Q$2:$Q$50000,"已关闭",缺陷明细!$J$2:$J$50000,"评审")</f>
        <v>0</v>
      </c>
      <c r="J15" s="154">
        <f>COUNTIFS(缺陷明细!$A$2:$A$50000,$B$4,缺陷明细!$G$2:$G$50000,$C15,缺陷明细!$J$2:$J$50000,"单元测试",缺陷明细!$AB$2:$AB$50000,"&lt;&gt;丢弃",缺陷明细!$AB$2:$AB$50000,"&lt;&gt;设计如此",缺陷明细!$AB$2:$AB$50000,"&lt;&gt;重复Bug")</f>
        <v>0</v>
      </c>
      <c r="K15" s="155">
        <f>COUNTIFS(缺陷明细!$A$2:$A$50000,$B$4,缺陷明细!$G$2:$G$50000,$C15,缺陷明细!$Q$2:$Q$50000,"已关闭",缺陷明细!$J$2:$J$50000,"单元测试")</f>
        <v>0</v>
      </c>
      <c r="L15" s="156"/>
      <c r="M15" s="157"/>
      <c r="N15" s="72">
        <f>COUNTIFS(缺陷明细!$A$2:$A$50000,$B$4,缺陷明细!$G$2:$G$50000,$C15,缺陷明细!$J$2:$J$50000,"系统测试案例评审",缺陷明细!$AB$2:$AB$50000,"&lt;&gt;丢弃",缺陷明细!$AB$2:$AB$50000,"&lt;&gt;设计如此",缺陷明细!$AB$2:$AB$50000,"&lt;&gt;重复Bug")</f>
        <v>0</v>
      </c>
      <c r="O15" s="72">
        <f>COUNTIFS(缺陷明细!$A$2:$A$50000,$B$4,缺陷明细!$G$2:$G$50000,$C15,缺陷明细!$Q$2:$Q$50000,"已关闭",缺陷明细!$J$2:$J$50000,"系统测试案例评审")</f>
        <v>0</v>
      </c>
      <c r="P15" s="72">
        <f>COUNTIFS(缺陷明细!$A$2:$A$50000,$B$4,缺陷明细!$G$2:$G$50000,$C15,缺陷明细!$J$2:$J$50000,"系统测试",缺陷明细!$AB$2:$AB$50000,"&lt;&gt;丢弃",缺陷明细!$AB$2:$AB$50000,"&lt;&gt;设计如此",缺陷明细!$AB$2:$AB$50000,"&lt;&gt;重复Bug")</f>
        <v>0</v>
      </c>
      <c r="Q15" s="72">
        <f>COUNTIFS(缺陷明细!$A$2:$A$50000,$B$4,缺陷明细!$G$2:$G$50000,$C15,缺陷明细!$Q$2:$Q$50000,"已关闭",缺陷明细!$J$2:$J$50000,"系统测试")</f>
        <v>0</v>
      </c>
      <c r="R15" s="296">
        <f>COUNTIFS(缺陷明细!$A$2:$A$50000,$B$4,缺陷明细!$G$2:$G$50000,$C15,缺陷明细!$AB$2:$AB$50000,"丢弃",缺陷明细!$J$2:$J$50000,"系统测试")+COUNTIFS(缺陷明细!$A$2:$A$50000,$B$4,缺陷明细!$G$2:$G$50000,$C15,缺陷明细!$AB$2:$AB$50000,"设计如此",缺陷明细!$J$2:$J$50000,"系统测试")+COUNTIFS(缺陷明细!$A$2:$A$50000,$B$4,缺陷明细!$G$2:$G$50000,$C15,缺陷明细!$AB$2:$AB$50000,"重复Bug",缺陷明细!$J$2:$J$50000,"系统测试")</f>
        <v>0</v>
      </c>
      <c r="S15" s="72">
        <f>COUNTIFS(缺陷明细!$A$2:$A$50000,$B$4,缺陷明细!$G$2:$G$50000,$C15,缺陷明细!$J$2:$J$50000,"系统测试",缺陷明细!$K$2:$K$50000,"致命",缺陷明细!$AB$2:$AB$50000,"&lt;&gt;丢弃",缺陷明细!$AB$2:$AB$50000,"&lt;&gt;设计如此",缺陷明细!$AB$2:$AB$50000,"&lt;&gt;重复Bug")+COUNTIFS(缺陷明细!$A$2:$A$50000,$B$4,缺陷明细!$G$2:$G$50000,$C15,缺陷明细!$J$2:$J$50000,"系统测试",缺陷明细!$K$2:$K$50000,"严重",缺陷明细!$AB$2:$AB$50000,"&lt;&gt;丢弃",缺陷明细!$AB$2:$AB$50000,"&lt;&gt;设计如此",缺陷明细!$AB$2:$AB$50000,"&lt;&gt;重复Bug")</f>
        <v>0</v>
      </c>
      <c r="T15" s="73">
        <f>COUNTIFS(缺陷明细!$A$2:$A$50000,$B$4,缺陷明细!$G$2:$G$50000,$C15,缺陷明细!$Q$2:$Q$50000,"已关闭",缺陷明细!$J$2:$J$50000,"系统测试",缺陷明细!$K$2:$K$50000,"致命")+COUNTIFS(缺陷明细!$A$2:$A$50000,$B$4,缺陷明细!$G$2:$G$50000,$C15,缺陷明细!$Q$2:$Q$50000,"已关闭",缺陷明细!$J$2:$J$50000,"系统测试",缺陷明细!$K$2:$K$50000,"严重")</f>
        <v>0</v>
      </c>
      <c r="U15" s="74">
        <f>COUNTIFS(缺陷明细!$A$2:$A$50000,$B$4,缺陷明细!$G$2:$G$50000,$C15,缺陷明细!$J$2:$J$50000,"验收测试",缺陷明细!$AB$2:$AB$50000,"&lt;&gt;丢弃",缺陷明细!$AB$2:$AB$50000,"&lt;&gt;设计如此",缺陷明细!$AB$2:$AB$50000,"&lt;&gt;重复Bug")</f>
        <v>0</v>
      </c>
      <c r="V15" s="75">
        <f>COUNTIFS(缺陷明细!$A$2:$A$50000,$B$4,缺陷明细!$G$2:$G$50000,$C15,缺陷明细!$Q$2:$Q$50000,"已关闭",缺陷明细!$J$2:$J$50000,"验收测试")</f>
        <v>0</v>
      </c>
      <c r="W15" s="75">
        <f>COUNTIFS(缺陷明细!$A$2:$A$50000,$B$4,缺陷明细!$G$2:$G$50000,$C15,缺陷明细!$J$2:$J$50000,"验收测试",缺陷明细!$K$2:$K$50000,"致命",缺陷明细!$AB$2:$AB$50000,"&lt;&gt;丢弃",缺陷明细!$AB$2:$AB$50000,"&lt;&gt;设计如此",缺陷明细!$AB$2:$AB$50000,"&lt;&gt;重复Bug")+COUNTIFS(缺陷明细!$A$2:$A$50000,$B$4,缺陷明细!$G$2:$G$50000,$C15,缺陷明细!$J$2:$J$50000,"验收测试",缺陷明细!$K$2:$K$50000,"严重",缺陷明细!$AB$2:$AB$50000,"&lt;&gt;丢弃",缺陷明细!$AB$2:$AB$50000,"&lt;&gt;设计如此",缺陷明细!$AB$2:$AB$50000,"&lt;&gt;重复Bug")</f>
        <v>0</v>
      </c>
      <c r="X15" s="76">
        <f>COUNTIFS(缺陷明细!$A$2:$A$50000,$B$4,缺陷明细!$G$2:$G$50000,$C15,缺陷明细!$Q$2:$Q$50000,"已关闭",缺陷明细!$J$2:$J$50000,"验收测试",缺陷明细!$K$2:$K$50000,"致命")+COUNTIFS(缺陷明细!$A$2:$A$50000,$B$4,缺陷明细!$G$2:$G$50000,$C15,缺陷明细!$Q$2:$Q$50000,"已关闭",缺陷明细!$J$2:$J$50000,"验收测试",缺陷明细!$K$2:$K$50000,"严重")</f>
        <v>0</v>
      </c>
      <c r="Y15" s="70">
        <f>COUNTIFS(缺陷明细!$A$2:$A$50000,$B$4,缺陷明细!$G$2:$G$50000,$C15,缺陷明细!$J$2:$J$50000,"运维测试",缺陷明细!$AB$2:$AB$50000,"&lt;&gt;丢弃",缺陷明细!$AB$2:$AB$50000,"&lt;&gt;设计如此",缺陷明细!$AB$2:$AB$50000,"&lt;&gt;重复Bug")</f>
        <v>0</v>
      </c>
      <c r="Z15" s="71">
        <f>COUNTIFS(缺陷明细!$A$2:$A$50000,$B$4,缺陷明细!$G$2:$G$50000,$C15,缺陷明细!$Q$2:$Q$50000,"已关闭",缺陷明细!$J$2:$J$50000,"运维测试")</f>
        <v>0</v>
      </c>
      <c r="AA15" s="72">
        <f>COUNTIFS(缺陷明细!$A$2:$A$50000,$B$4,缺陷明细!$G$2:$G$50000,$C15,缺陷明细!$J$2:$J$50000,"运维测试",缺陷明细!$K$2:$K$50000,"致命",缺陷明细!$AB$2:$AB$50000,"&lt;&gt;丢弃",缺陷明细!$AB$2:$AB$50000,"&lt;&gt;设计如此",缺陷明细!$AB$2:$AB$50000,"&lt;&gt;重复Bug")+COUNTIFS(缺陷明细!$A$2:$A$50000,$B$4,缺陷明细!$G$2:$G$50000,$C15,缺陷明细!$J$2:$J$50000,"运维测试",缺陷明细!$K$2:$K$50000,"严重",缺陷明细!$AB$2:$AB$50000,"&lt;&gt;丢弃",缺陷明细!$AB$2:$AB$50000,"&lt;&gt;设计如此",缺陷明细!$AB$2:$AB$50000,"&lt;&gt;重复Bug")</f>
        <v>0</v>
      </c>
      <c r="AB15" s="73">
        <f>COUNTIFS(缺陷明细!$A$2:$A$50000,$B$4,缺陷明细!$G$2:$G$50000,$C15,缺陷明细!$Q$2:$Q$50000,"已关闭",缺陷明细!$J$2:$J$50000,"运维测试",缺陷明细!$K$2:$K$50000,"致命")+COUNTIFS(缺陷明细!$A$2:$A$50000,$B$4,缺陷明细!$G$2:$G$50000,$C15,缺陷明细!$Q$2:$Q$50000,"已关闭",缺陷明细!$J$2:$J$50000,"运维测试",缺陷明细!$K$2:$K$50000,"严重")</f>
        <v>0</v>
      </c>
      <c r="AC15" s="68">
        <f t="shared" si="0"/>
        <v>0</v>
      </c>
      <c r="AD15" s="60">
        <f t="shared" si="0"/>
        <v>0</v>
      </c>
      <c r="AE15" s="60">
        <f t="shared" si="1"/>
        <v>0</v>
      </c>
      <c r="AF15" s="60">
        <f t="shared" si="1"/>
        <v>0</v>
      </c>
      <c r="AG15" s="60">
        <f t="shared" si="2"/>
        <v>0</v>
      </c>
      <c r="AH15" s="60">
        <f t="shared" si="2"/>
        <v>0</v>
      </c>
      <c r="AI15" s="60">
        <f t="shared" si="3"/>
        <v>0</v>
      </c>
      <c r="AJ15" s="61">
        <f t="shared" si="3"/>
        <v>0</v>
      </c>
      <c r="AK15" s="144"/>
    </row>
    <row r="16" spans="1:37" ht="25.5">
      <c r="A16">
        <v>12</v>
      </c>
      <c r="B16" s="57">
        <v>425</v>
      </c>
      <c r="C16" s="58" t="s">
        <v>356</v>
      </c>
      <c r="D16" s="84" t="s">
        <v>343</v>
      </c>
      <c r="E16" s="82" t="s">
        <v>346</v>
      </c>
      <c r="F16" s="158">
        <v>4</v>
      </c>
      <c r="G16" s="159">
        <v>4</v>
      </c>
      <c r="H16" s="281">
        <f>COUNTIFS(缺陷明细!$A$2:$A$50000,$B$4,缺陷明细!$G$2:$G$50000,$C16,缺陷明细!$J$2:$J$50000,"评审",缺陷明细!$AB$2:$AB$50000,"&lt;&gt;丢弃",缺陷明细!$AB$2:$AB$50000,"&lt;&gt;设计如此",缺陷明细!$AB$2:$AB$50000,"&lt;&gt;重复Bug")</f>
        <v>0</v>
      </c>
      <c r="I16" s="154">
        <f>COUNTIFS(缺陷明细!$A$2:$A$50000,$B$4,缺陷明细!$G$2:$G$50000,$C16,缺陷明细!$Q$2:$Q$50000,"已关闭",缺陷明细!$J$2:$J$50000,"评审")</f>
        <v>0</v>
      </c>
      <c r="J16" s="154">
        <f>COUNTIFS(缺陷明细!$A$2:$A$50000,$B$4,缺陷明细!$G$2:$G$50000,$C16,缺陷明细!$J$2:$J$50000,"单元测试",缺陷明细!$AB$2:$AB$50000,"&lt;&gt;丢弃",缺陷明细!$AB$2:$AB$50000,"&lt;&gt;设计如此",缺陷明细!$AB$2:$AB$50000,"&lt;&gt;重复Bug")</f>
        <v>0</v>
      </c>
      <c r="K16" s="155">
        <f>COUNTIFS(缺陷明细!$A$2:$A$50000,$B$4,缺陷明细!$G$2:$G$50000,$C16,缺陷明细!$Q$2:$Q$50000,"已关闭",缺陷明细!$J$2:$J$50000,"单元测试")</f>
        <v>0</v>
      </c>
      <c r="L16" s="156"/>
      <c r="M16" s="157"/>
      <c r="N16" s="72">
        <f>COUNTIFS(缺陷明细!$A$2:$A$50000,$B$4,缺陷明细!$G$2:$G$50000,$C16,缺陷明细!$J$2:$J$50000,"系统测试案例评审",缺陷明细!$AB$2:$AB$50000,"&lt;&gt;丢弃",缺陷明细!$AB$2:$AB$50000,"&lt;&gt;设计如此",缺陷明细!$AB$2:$AB$50000,"&lt;&gt;重复Bug")</f>
        <v>0</v>
      </c>
      <c r="O16" s="72">
        <f>COUNTIFS(缺陷明细!$A$2:$A$50000,$B$4,缺陷明细!$G$2:$G$50000,$C16,缺陷明细!$Q$2:$Q$50000,"已关闭",缺陷明细!$J$2:$J$50000,"系统测试案例评审")</f>
        <v>0</v>
      </c>
      <c r="P16" s="72">
        <f>COUNTIFS(缺陷明细!$A$2:$A$50000,$B$4,缺陷明细!$G$2:$G$50000,$C16,缺陷明细!$J$2:$J$50000,"系统测试",缺陷明细!$AB$2:$AB$50000,"&lt;&gt;丢弃",缺陷明细!$AB$2:$AB$50000,"&lt;&gt;设计如此",缺陷明细!$AB$2:$AB$50000,"&lt;&gt;重复Bug")</f>
        <v>0</v>
      </c>
      <c r="Q16" s="72">
        <f>COUNTIFS(缺陷明细!$A$2:$A$50000,$B$4,缺陷明细!$G$2:$G$50000,$C16,缺陷明细!$Q$2:$Q$50000,"已关闭",缺陷明细!$J$2:$J$50000,"系统测试")</f>
        <v>0</v>
      </c>
      <c r="R16" s="296">
        <f>COUNTIFS(缺陷明细!$A$2:$A$50000,$B$4,缺陷明细!$G$2:$G$50000,$C16,缺陷明细!$AB$2:$AB$50000,"丢弃",缺陷明细!$J$2:$J$50000,"系统测试")+COUNTIFS(缺陷明细!$A$2:$A$50000,$B$4,缺陷明细!$G$2:$G$50000,$C16,缺陷明细!$AB$2:$AB$50000,"设计如此",缺陷明细!$J$2:$J$50000,"系统测试")+COUNTIFS(缺陷明细!$A$2:$A$50000,$B$4,缺陷明细!$G$2:$G$50000,$C16,缺陷明细!$AB$2:$AB$50000,"重复Bug",缺陷明细!$J$2:$J$50000,"系统测试")</f>
        <v>0</v>
      </c>
      <c r="S16" s="72">
        <f>COUNTIFS(缺陷明细!$A$2:$A$50000,$B$4,缺陷明细!$G$2:$G$50000,$C16,缺陷明细!$J$2:$J$50000,"系统测试",缺陷明细!$K$2:$K$50000,"致命",缺陷明细!$AB$2:$AB$50000,"&lt;&gt;丢弃",缺陷明细!$AB$2:$AB$50000,"&lt;&gt;设计如此",缺陷明细!$AB$2:$AB$50000,"&lt;&gt;重复Bug")+COUNTIFS(缺陷明细!$A$2:$A$50000,$B$4,缺陷明细!$G$2:$G$50000,$C16,缺陷明细!$J$2:$J$50000,"系统测试",缺陷明细!$K$2:$K$50000,"严重",缺陷明细!$AB$2:$AB$50000,"&lt;&gt;丢弃",缺陷明细!$AB$2:$AB$50000,"&lt;&gt;设计如此",缺陷明细!$AB$2:$AB$50000,"&lt;&gt;重复Bug")</f>
        <v>0</v>
      </c>
      <c r="T16" s="73">
        <f>COUNTIFS(缺陷明细!$A$2:$A$50000,$B$4,缺陷明细!$G$2:$G$50000,$C16,缺陷明细!$Q$2:$Q$50000,"已关闭",缺陷明细!$J$2:$J$50000,"系统测试",缺陷明细!$K$2:$K$50000,"致命")+COUNTIFS(缺陷明细!$A$2:$A$50000,$B$4,缺陷明细!$G$2:$G$50000,$C16,缺陷明细!$Q$2:$Q$50000,"已关闭",缺陷明细!$J$2:$J$50000,"系统测试",缺陷明细!$K$2:$K$50000,"严重")</f>
        <v>0</v>
      </c>
      <c r="U16" s="74">
        <f>COUNTIFS(缺陷明细!$A$2:$A$50000,$B$4,缺陷明细!$G$2:$G$50000,$C16,缺陷明细!$J$2:$J$50000,"验收测试",缺陷明细!$AB$2:$AB$50000,"&lt;&gt;丢弃",缺陷明细!$AB$2:$AB$50000,"&lt;&gt;设计如此",缺陷明细!$AB$2:$AB$50000,"&lt;&gt;重复Bug")</f>
        <v>0</v>
      </c>
      <c r="V16" s="75">
        <f>COUNTIFS(缺陷明细!$A$2:$A$50000,$B$4,缺陷明细!$G$2:$G$50000,$C16,缺陷明细!$Q$2:$Q$50000,"已关闭",缺陷明细!$J$2:$J$50000,"验收测试")</f>
        <v>0</v>
      </c>
      <c r="W16" s="75">
        <f>COUNTIFS(缺陷明细!$A$2:$A$50000,$B$4,缺陷明细!$G$2:$G$50000,$C16,缺陷明细!$J$2:$J$50000,"验收测试",缺陷明细!$K$2:$K$50000,"致命",缺陷明细!$AB$2:$AB$50000,"&lt;&gt;丢弃",缺陷明细!$AB$2:$AB$50000,"&lt;&gt;设计如此",缺陷明细!$AB$2:$AB$50000,"&lt;&gt;重复Bug")+COUNTIFS(缺陷明细!$A$2:$A$50000,$B$4,缺陷明细!$G$2:$G$50000,$C16,缺陷明细!$J$2:$J$50000,"验收测试",缺陷明细!$K$2:$K$50000,"严重",缺陷明细!$AB$2:$AB$50000,"&lt;&gt;丢弃",缺陷明细!$AB$2:$AB$50000,"&lt;&gt;设计如此",缺陷明细!$AB$2:$AB$50000,"&lt;&gt;重复Bug")</f>
        <v>0</v>
      </c>
      <c r="X16" s="76">
        <f>COUNTIFS(缺陷明细!$A$2:$A$50000,$B$4,缺陷明细!$G$2:$G$50000,$C16,缺陷明细!$Q$2:$Q$50000,"已关闭",缺陷明细!$J$2:$J$50000,"验收测试",缺陷明细!$K$2:$K$50000,"致命")+COUNTIFS(缺陷明细!$A$2:$A$50000,$B$4,缺陷明细!$G$2:$G$50000,$C16,缺陷明细!$Q$2:$Q$50000,"已关闭",缺陷明细!$J$2:$J$50000,"验收测试",缺陷明细!$K$2:$K$50000,"严重")</f>
        <v>0</v>
      </c>
      <c r="Y16" s="70">
        <f>COUNTIFS(缺陷明细!$A$2:$A$50000,$B$4,缺陷明细!$G$2:$G$50000,$C16,缺陷明细!$J$2:$J$50000,"运维测试",缺陷明细!$AB$2:$AB$50000,"&lt;&gt;丢弃",缺陷明细!$AB$2:$AB$50000,"&lt;&gt;设计如此",缺陷明细!$AB$2:$AB$50000,"&lt;&gt;重复Bug")</f>
        <v>0</v>
      </c>
      <c r="Z16" s="71">
        <f>COUNTIFS(缺陷明细!$A$2:$A$50000,$B$4,缺陷明细!$G$2:$G$50000,$C16,缺陷明细!$Q$2:$Q$50000,"已关闭",缺陷明细!$J$2:$J$50000,"运维测试")</f>
        <v>0</v>
      </c>
      <c r="AA16" s="72">
        <f>COUNTIFS(缺陷明细!$A$2:$A$50000,$B$4,缺陷明细!$G$2:$G$50000,$C16,缺陷明细!$J$2:$J$50000,"运维测试",缺陷明细!$K$2:$K$50000,"致命",缺陷明细!$AB$2:$AB$50000,"&lt;&gt;丢弃",缺陷明细!$AB$2:$AB$50000,"&lt;&gt;设计如此",缺陷明细!$AB$2:$AB$50000,"&lt;&gt;重复Bug")+COUNTIFS(缺陷明细!$A$2:$A$50000,$B$4,缺陷明细!$G$2:$G$50000,$C16,缺陷明细!$J$2:$J$50000,"运维测试",缺陷明细!$K$2:$K$50000,"严重",缺陷明细!$AB$2:$AB$50000,"&lt;&gt;丢弃",缺陷明细!$AB$2:$AB$50000,"&lt;&gt;设计如此",缺陷明细!$AB$2:$AB$50000,"&lt;&gt;重复Bug")</f>
        <v>0</v>
      </c>
      <c r="AB16" s="73">
        <f>COUNTIFS(缺陷明细!$A$2:$A$50000,$B$4,缺陷明细!$G$2:$G$50000,$C16,缺陷明细!$Q$2:$Q$50000,"已关闭",缺陷明细!$J$2:$J$50000,"运维测试",缺陷明细!$K$2:$K$50000,"致命")+COUNTIFS(缺陷明细!$A$2:$A$50000,$B$4,缺陷明细!$G$2:$G$50000,$C16,缺陷明细!$Q$2:$Q$50000,"已关闭",缺陷明细!$J$2:$J$50000,"运维测试",缺陷明细!$K$2:$K$50000,"严重")</f>
        <v>0</v>
      </c>
      <c r="AC16" s="68">
        <f t="shared" si="0"/>
        <v>0</v>
      </c>
      <c r="AD16" s="60">
        <f t="shared" si="0"/>
        <v>0</v>
      </c>
      <c r="AE16" s="60">
        <f t="shared" si="1"/>
        <v>0</v>
      </c>
      <c r="AF16" s="60">
        <f t="shared" si="1"/>
        <v>0</v>
      </c>
      <c r="AG16" s="60">
        <f t="shared" si="2"/>
        <v>0</v>
      </c>
      <c r="AH16" s="60">
        <f t="shared" si="2"/>
        <v>0</v>
      </c>
      <c r="AI16" s="60">
        <f t="shared" si="3"/>
        <v>0</v>
      </c>
      <c r="AJ16" s="61">
        <f t="shared" si="3"/>
        <v>0</v>
      </c>
      <c r="AK16" s="144"/>
    </row>
    <row r="17" spans="1:37" ht="25.5">
      <c r="A17">
        <v>13</v>
      </c>
      <c r="B17" s="57">
        <v>426</v>
      </c>
      <c r="C17" s="58" t="s">
        <v>357</v>
      </c>
      <c r="D17" s="84" t="s">
        <v>343</v>
      </c>
      <c r="E17" s="82" t="s">
        <v>346</v>
      </c>
      <c r="F17" s="158">
        <v>4</v>
      </c>
      <c r="G17" s="159">
        <v>2</v>
      </c>
      <c r="H17" s="281">
        <f>COUNTIFS(缺陷明细!$A$2:$A$50000,$B$4,缺陷明细!$G$2:$G$50000,$C17,缺陷明细!$J$2:$J$50000,"评审",缺陷明细!$AB$2:$AB$50000,"&lt;&gt;丢弃",缺陷明细!$AB$2:$AB$50000,"&lt;&gt;设计如此",缺陷明细!$AB$2:$AB$50000,"&lt;&gt;重复Bug")</f>
        <v>0</v>
      </c>
      <c r="I17" s="154">
        <f>COUNTIFS(缺陷明细!$A$2:$A$50000,$B$4,缺陷明细!$G$2:$G$50000,$C17,缺陷明细!$Q$2:$Q$50000,"已关闭",缺陷明细!$J$2:$J$50000,"评审")</f>
        <v>0</v>
      </c>
      <c r="J17" s="154">
        <f>COUNTIFS(缺陷明细!$A$2:$A$50000,$B$4,缺陷明细!$G$2:$G$50000,$C17,缺陷明细!$J$2:$J$50000,"单元测试",缺陷明细!$AB$2:$AB$50000,"&lt;&gt;丢弃",缺陷明细!$AB$2:$AB$50000,"&lt;&gt;设计如此",缺陷明细!$AB$2:$AB$50000,"&lt;&gt;重复Bug")</f>
        <v>0</v>
      </c>
      <c r="K17" s="155">
        <f>COUNTIFS(缺陷明细!$A$2:$A$50000,$B$4,缺陷明细!$G$2:$G$50000,$C17,缺陷明细!$Q$2:$Q$50000,"已关闭",缺陷明细!$J$2:$J$50000,"单元测试")</f>
        <v>0</v>
      </c>
      <c r="L17" s="156"/>
      <c r="M17" s="157"/>
      <c r="N17" s="72">
        <f>COUNTIFS(缺陷明细!$A$2:$A$50000,$B$4,缺陷明细!$G$2:$G$50000,$C17,缺陷明细!$J$2:$J$50000,"系统测试案例评审",缺陷明细!$AB$2:$AB$50000,"&lt;&gt;丢弃",缺陷明细!$AB$2:$AB$50000,"&lt;&gt;设计如此",缺陷明细!$AB$2:$AB$50000,"&lt;&gt;重复Bug")</f>
        <v>0</v>
      </c>
      <c r="O17" s="72">
        <f>COUNTIFS(缺陷明细!$A$2:$A$50000,$B$4,缺陷明细!$G$2:$G$50000,$C17,缺陷明细!$Q$2:$Q$50000,"已关闭",缺陷明细!$J$2:$J$50000,"系统测试案例评审")</f>
        <v>0</v>
      </c>
      <c r="P17" s="72">
        <f>COUNTIFS(缺陷明细!$A$2:$A$50000,$B$4,缺陷明细!$G$2:$G$50000,$C17,缺陷明细!$J$2:$J$50000,"系统测试",缺陷明细!$AB$2:$AB$50000,"&lt;&gt;丢弃",缺陷明细!$AB$2:$AB$50000,"&lt;&gt;设计如此",缺陷明细!$AB$2:$AB$50000,"&lt;&gt;重复Bug")</f>
        <v>0</v>
      </c>
      <c r="Q17" s="72">
        <f>COUNTIFS(缺陷明细!$A$2:$A$50000,$B$4,缺陷明细!$G$2:$G$50000,$C17,缺陷明细!$Q$2:$Q$50000,"已关闭",缺陷明细!$J$2:$J$50000,"系统测试")</f>
        <v>0</v>
      </c>
      <c r="R17" s="296">
        <f>COUNTIFS(缺陷明细!$A$2:$A$50000,$B$4,缺陷明细!$G$2:$G$50000,$C17,缺陷明细!$AB$2:$AB$50000,"丢弃",缺陷明细!$J$2:$J$50000,"系统测试")+COUNTIFS(缺陷明细!$A$2:$A$50000,$B$4,缺陷明细!$G$2:$G$50000,$C17,缺陷明细!$AB$2:$AB$50000,"设计如此",缺陷明细!$J$2:$J$50000,"系统测试")+COUNTIFS(缺陷明细!$A$2:$A$50000,$B$4,缺陷明细!$G$2:$G$50000,$C17,缺陷明细!$AB$2:$AB$50000,"重复Bug",缺陷明细!$J$2:$J$50000,"系统测试")</f>
        <v>0</v>
      </c>
      <c r="S17" s="72">
        <f>COUNTIFS(缺陷明细!$A$2:$A$50000,$B$4,缺陷明细!$G$2:$G$50000,$C17,缺陷明细!$J$2:$J$50000,"系统测试",缺陷明细!$K$2:$K$50000,"致命",缺陷明细!$AB$2:$AB$50000,"&lt;&gt;丢弃",缺陷明细!$AB$2:$AB$50000,"&lt;&gt;设计如此",缺陷明细!$AB$2:$AB$50000,"&lt;&gt;重复Bug")+COUNTIFS(缺陷明细!$A$2:$A$50000,$B$4,缺陷明细!$G$2:$G$50000,$C17,缺陷明细!$J$2:$J$50000,"系统测试",缺陷明细!$K$2:$K$50000,"严重",缺陷明细!$AB$2:$AB$50000,"&lt;&gt;丢弃",缺陷明细!$AB$2:$AB$50000,"&lt;&gt;设计如此",缺陷明细!$AB$2:$AB$50000,"&lt;&gt;重复Bug")</f>
        <v>0</v>
      </c>
      <c r="T17" s="73">
        <f>COUNTIFS(缺陷明细!$A$2:$A$50000,$B$4,缺陷明细!$G$2:$G$50000,$C17,缺陷明细!$Q$2:$Q$50000,"已关闭",缺陷明细!$J$2:$J$50000,"系统测试",缺陷明细!$K$2:$K$50000,"致命")+COUNTIFS(缺陷明细!$A$2:$A$50000,$B$4,缺陷明细!$G$2:$G$50000,$C17,缺陷明细!$Q$2:$Q$50000,"已关闭",缺陷明细!$J$2:$J$50000,"系统测试",缺陷明细!$K$2:$K$50000,"严重")</f>
        <v>0</v>
      </c>
      <c r="U17" s="74">
        <f>COUNTIFS(缺陷明细!$A$2:$A$50000,$B$4,缺陷明细!$G$2:$G$50000,$C17,缺陷明细!$J$2:$J$50000,"验收测试",缺陷明细!$AB$2:$AB$50000,"&lt;&gt;丢弃",缺陷明细!$AB$2:$AB$50000,"&lt;&gt;设计如此",缺陷明细!$AB$2:$AB$50000,"&lt;&gt;重复Bug")</f>
        <v>0</v>
      </c>
      <c r="V17" s="75">
        <f>COUNTIFS(缺陷明细!$A$2:$A$50000,$B$4,缺陷明细!$G$2:$G$50000,$C17,缺陷明细!$Q$2:$Q$50000,"已关闭",缺陷明细!$J$2:$J$50000,"验收测试")</f>
        <v>0</v>
      </c>
      <c r="W17" s="75">
        <f>COUNTIFS(缺陷明细!$A$2:$A$50000,$B$4,缺陷明细!$G$2:$G$50000,$C17,缺陷明细!$J$2:$J$50000,"验收测试",缺陷明细!$K$2:$K$50000,"致命",缺陷明细!$AB$2:$AB$50000,"&lt;&gt;丢弃",缺陷明细!$AB$2:$AB$50000,"&lt;&gt;设计如此",缺陷明细!$AB$2:$AB$50000,"&lt;&gt;重复Bug")+COUNTIFS(缺陷明细!$A$2:$A$50000,$B$4,缺陷明细!$G$2:$G$50000,$C17,缺陷明细!$J$2:$J$50000,"验收测试",缺陷明细!$K$2:$K$50000,"严重",缺陷明细!$AB$2:$AB$50000,"&lt;&gt;丢弃",缺陷明细!$AB$2:$AB$50000,"&lt;&gt;设计如此",缺陷明细!$AB$2:$AB$50000,"&lt;&gt;重复Bug")</f>
        <v>0</v>
      </c>
      <c r="X17" s="76">
        <f>COUNTIFS(缺陷明细!$A$2:$A$50000,$B$4,缺陷明细!$G$2:$G$50000,$C17,缺陷明细!$Q$2:$Q$50000,"已关闭",缺陷明细!$J$2:$J$50000,"验收测试",缺陷明细!$K$2:$K$50000,"致命")+COUNTIFS(缺陷明细!$A$2:$A$50000,$B$4,缺陷明细!$G$2:$G$50000,$C17,缺陷明细!$Q$2:$Q$50000,"已关闭",缺陷明细!$J$2:$J$50000,"验收测试",缺陷明细!$K$2:$K$50000,"严重")</f>
        <v>0</v>
      </c>
      <c r="Y17" s="70">
        <f>COUNTIFS(缺陷明细!$A$2:$A$50000,$B$4,缺陷明细!$G$2:$G$50000,$C17,缺陷明细!$J$2:$J$50000,"运维测试",缺陷明细!$AB$2:$AB$50000,"&lt;&gt;丢弃",缺陷明细!$AB$2:$AB$50000,"&lt;&gt;设计如此",缺陷明细!$AB$2:$AB$50000,"&lt;&gt;重复Bug")</f>
        <v>0</v>
      </c>
      <c r="Z17" s="71">
        <f>COUNTIFS(缺陷明细!$A$2:$A$50000,$B$4,缺陷明细!$G$2:$G$50000,$C17,缺陷明细!$Q$2:$Q$50000,"已关闭",缺陷明细!$J$2:$J$50000,"运维测试")</f>
        <v>0</v>
      </c>
      <c r="AA17" s="72">
        <f>COUNTIFS(缺陷明细!$A$2:$A$50000,$B$4,缺陷明细!$G$2:$G$50000,$C17,缺陷明细!$J$2:$J$50000,"运维测试",缺陷明细!$K$2:$K$50000,"致命",缺陷明细!$AB$2:$AB$50000,"&lt;&gt;丢弃",缺陷明细!$AB$2:$AB$50000,"&lt;&gt;设计如此",缺陷明细!$AB$2:$AB$50000,"&lt;&gt;重复Bug")+COUNTIFS(缺陷明细!$A$2:$A$50000,$B$4,缺陷明细!$G$2:$G$50000,$C17,缺陷明细!$J$2:$J$50000,"运维测试",缺陷明细!$K$2:$K$50000,"严重",缺陷明细!$AB$2:$AB$50000,"&lt;&gt;丢弃",缺陷明细!$AB$2:$AB$50000,"&lt;&gt;设计如此",缺陷明细!$AB$2:$AB$50000,"&lt;&gt;重复Bug")</f>
        <v>0</v>
      </c>
      <c r="AB17" s="73">
        <f>COUNTIFS(缺陷明细!$A$2:$A$50000,$B$4,缺陷明细!$G$2:$G$50000,$C17,缺陷明细!$Q$2:$Q$50000,"已关闭",缺陷明细!$J$2:$J$50000,"运维测试",缺陷明细!$K$2:$K$50000,"致命")+COUNTIFS(缺陷明细!$A$2:$A$50000,$B$4,缺陷明细!$G$2:$G$50000,$C17,缺陷明细!$Q$2:$Q$50000,"已关闭",缺陷明细!$J$2:$J$50000,"运维测试",缺陷明细!$K$2:$K$50000,"严重")</f>
        <v>0</v>
      </c>
      <c r="AC17" s="68">
        <f t="shared" si="0"/>
        <v>0</v>
      </c>
      <c r="AD17" s="60">
        <f t="shared" si="0"/>
        <v>0</v>
      </c>
      <c r="AE17" s="60">
        <f t="shared" si="1"/>
        <v>0</v>
      </c>
      <c r="AF17" s="60">
        <f t="shared" si="1"/>
        <v>0</v>
      </c>
      <c r="AG17" s="60">
        <f t="shared" si="2"/>
        <v>0</v>
      </c>
      <c r="AH17" s="60">
        <f t="shared" si="2"/>
        <v>0</v>
      </c>
      <c r="AI17" s="60">
        <f t="shared" si="3"/>
        <v>0</v>
      </c>
      <c r="AJ17" s="61">
        <f t="shared" si="3"/>
        <v>0</v>
      </c>
      <c r="AK17" s="144"/>
    </row>
    <row r="18" spans="1:37" ht="25.5">
      <c r="A18">
        <v>14</v>
      </c>
      <c r="B18" s="57">
        <v>427</v>
      </c>
      <c r="C18" s="58" t="s">
        <v>358</v>
      </c>
      <c r="D18" s="84" t="s">
        <v>343</v>
      </c>
      <c r="E18" s="82" t="s">
        <v>346</v>
      </c>
      <c r="F18" s="158">
        <v>1</v>
      </c>
      <c r="G18" s="159">
        <v>1</v>
      </c>
      <c r="H18" s="281">
        <f>COUNTIFS(缺陷明细!$A$2:$A$50000,$B$4,缺陷明细!$G$2:$G$50000,$C18,缺陷明细!$J$2:$J$50000,"评审",缺陷明细!$AB$2:$AB$50000,"&lt;&gt;丢弃",缺陷明细!$AB$2:$AB$50000,"&lt;&gt;设计如此",缺陷明细!$AB$2:$AB$50000,"&lt;&gt;重复Bug")</f>
        <v>0</v>
      </c>
      <c r="I18" s="154">
        <f>COUNTIFS(缺陷明细!$A$2:$A$50000,$B$4,缺陷明细!$G$2:$G$50000,$C18,缺陷明细!$Q$2:$Q$50000,"已关闭",缺陷明细!$J$2:$J$50000,"评审")</f>
        <v>0</v>
      </c>
      <c r="J18" s="154">
        <f>COUNTIFS(缺陷明细!$A$2:$A$50000,$B$4,缺陷明细!$G$2:$G$50000,$C18,缺陷明细!$J$2:$J$50000,"单元测试",缺陷明细!$AB$2:$AB$50000,"&lt;&gt;丢弃",缺陷明细!$AB$2:$AB$50000,"&lt;&gt;设计如此",缺陷明细!$AB$2:$AB$50000,"&lt;&gt;重复Bug")</f>
        <v>0</v>
      </c>
      <c r="K18" s="155">
        <f>COUNTIFS(缺陷明细!$A$2:$A$50000,$B$4,缺陷明细!$G$2:$G$50000,$C18,缺陷明细!$Q$2:$Q$50000,"已关闭",缺陷明细!$J$2:$J$50000,"单元测试")</f>
        <v>0</v>
      </c>
      <c r="L18" s="156"/>
      <c r="M18" s="157"/>
      <c r="N18" s="72">
        <f>COUNTIFS(缺陷明细!$A$2:$A$50000,$B$4,缺陷明细!$G$2:$G$50000,$C18,缺陷明细!$J$2:$J$50000,"系统测试案例评审",缺陷明细!$AB$2:$AB$50000,"&lt;&gt;丢弃",缺陷明细!$AB$2:$AB$50000,"&lt;&gt;设计如此",缺陷明细!$AB$2:$AB$50000,"&lt;&gt;重复Bug")</f>
        <v>0</v>
      </c>
      <c r="O18" s="72">
        <f>COUNTIFS(缺陷明细!$A$2:$A$50000,$B$4,缺陷明细!$G$2:$G$50000,$C18,缺陷明细!$Q$2:$Q$50000,"已关闭",缺陷明细!$J$2:$J$50000,"系统测试案例评审")</f>
        <v>0</v>
      </c>
      <c r="P18" s="72">
        <f>COUNTIFS(缺陷明细!$A$2:$A$50000,$B$4,缺陷明细!$G$2:$G$50000,$C18,缺陷明细!$J$2:$J$50000,"系统测试",缺陷明细!$AB$2:$AB$50000,"&lt;&gt;丢弃",缺陷明细!$AB$2:$AB$50000,"&lt;&gt;设计如此",缺陷明细!$AB$2:$AB$50000,"&lt;&gt;重复Bug")</f>
        <v>0</v>
      </c>
      <c r="Q18" s="72">
        <f>COUNTIFS(缺陷明细!$A$2:$A$50000,$B$4,缺陷明细!$G$2:$G$50000,$C18,缺陷明细!$Q$2:$Q$50000,"已关闭",缺陷明细!$J$2:$J$50000,"系统测试")</f>
        <v>0</v>
      </c>
      <c r="R18" s="296">
        <f>COUNTIFS(缺陷明细!$A$2:$A$50000,$B$4,缺陷明细!$G$2:$G$50000,$C18,缺陷明细!$AB$2:$AB$50000,"丢弃",缺陷明细!$J$2:$J$50000,"系统测试")+COUNTIFS(缺陷明细!$A$2:$A$50000,$B$4,缺陷明细!$G$2:$G$50000,$C18,缺陷明细!$AB$2:$AB$50000,"设计如此",缺陷明细!$J$2:$J$50000,"系统测试")+COUNTIFS(缺陷明细!$A$2:$A$50000,$B$4,缺陷明细!$G$2:$G$50000,$C18,缺陷明细!$AB$2:$AB$50000,"重复Bug",缺陷明细!$J$2:$J$50000,"系统测试")</f>
        <v>0</v>
      </c>
      <c r="S18" s="72">
        <f>COUNTIFS(缺陷明细!$A$2:$A$50000,$B$4,缺陷明细!$G$2:$G$50000,$C18,缺陷明细!$J$2:$J$50000,"系统测试",缺陷明细!$K$2:$K$50000,"致命",缺陷明细!$AB$2:$AB$50000,"&lt;&gt;丢弃",缺陷明细!$AB$2:$AB$50000,"&lt;&gt;设计如此",缺陷明细!$AB$2:$AB$50000,"&lt;&gt;重复Bug")+COUNTIFS(缺陷明细!$A$2:$A$50000,$B$4,缺陷明细!$G$2:$G$50000,$C18,缺陷明细!$J$2:$J$50000,"系统测试",缺陷明细!$K$2:$K$50000,"严重",缺陷明细!$AB$2:$AB$50000,"&lt;&gt;丢弃",缺陷明细!$AB$2:$AB$50000,"&lt;&gt;设计如此",缺陷明细!$AB$2:$AB$50000,"&lt;&gt;重复Bug")</f>
        <v>0</v>
      </c>
      <c r="T18" s="73">
        <f>COUNTIFS(缺陷明细!$A$2:$A$50000,$B$4,缺陷明细!$G$2:$G$50000,$C18,缺陷明细!$Q$2:$Q$50000,"已关闭",缺陷明细!$J$2:$J$50000,"系统测试",缺陷明细!$K$2:$K$50000,"致命")+COUNTIFS(缺陷明细!$A$2:$A$50000,$B$4,缺陷明细!$G$2:$G$50000,$C18,缺陷明细!$Q$2:$Q$50000,"已关闭",缺陷明细!$J$2:$J$50000,"系统测试",缺陷明细!$K$2:$K$50000,"严重")</f>
        <v>0</v>
      </c>
      <c r="U18" s="74">
        <f>COUNTIFS(缺陷明细!$A$2:$A$50000,$B$4,缺陷明细!$G$2:$G$50000,$C18,缺陷明细!$J$2:$J$50000,"验收测试",缺陷明细!$AB$2:$AB$50000,"&lt;&gt;丢弃",缺陷明细!$AB$2:$AB$50000,"&lt;&gt;设计如此",缺陷明细!$AB$2:$AB$50000,"&lt;&gt;重复Bug")</f>
        <v>0</v>
      </c>
      <c r="V18" s="75">
        <f>COUNTIFS(缺陷明细!$A$2:$A$50000,$B$4,缺陷明细!$G$2:$G$50000,$C18,缺陷明细!$Q$2:$Q$50000,"已关闭",缺陷明细!$J$2:$J$50000,"验收测试")</f>
        <v>0</v>
      </c>
      <c r="W18" s="75">
        <f>COUNTIFS(缺陷明细!$A$2:$A$50000,$B$4,缺陷明细!$G$2:$G$50000,$C18,缺陷明细!$J$2:$J$50000,"验收测试",缺陷明细!$K$2:$K$50000,"致命",缺陷明细!$AB$2:$AB$50000,"&lt;&gt;丢弃",缺陷明细!$AB$2:$AB$50000,"&lt;&gt;设计如此",缺陷明细!$AB$2:$AB$50000,"&lt;&gt;重复Bug")+COUNTIFS(缺陷明细!$A$2:$A$50000,$B$4,缺陷明细!$G$2:$G$50000,$C18,缺陷明细!$J$2:$J$50000,"验收测试",缺陷明细!$K$2:$K$50000,"严重",缺陷明细!$AB$2:$AB$50000,"&lt;&gt;丢弃",缺陷明细!$AB$2:$AB$50000,"&lt;&gt;设计如此",缺陷明细!$AB$2:$AB$50000,"&lt;&gt;重复Bug")</f>
        <v>0</v>
      </c>
      <c r="X18" s="76">
        <f>COUNTIFS(缺陷明细!$A$2:$A$50000,$B$4,缺陷明细!$G$2:$G$50000,$C18,缺陷明细!$Q$2:$Q$50000,"已关闭",缺陷明细!$J$2:$J$50000,"验收测试",缺陷明细!$K$2:$K$50000,"致命")+COUNTIFS(缺陷明细!$A$2:$A$50000,$B$4,缺陷明细!$G$2:$G$50000,$C18,缺陷明细!$Q$2:$Q$50000,"已关闭",缺陷明细!$J$2:$J$50000,"验收测试",缺陷明细!$K$2:$K$50000,"严重")</f>
        <v>0</v>
      </c>
      <c r="Y18" s="70">
        <f>COUNTIFS(缺陷明细!$A$2:$A$50000,$B$4,缺陷明细!$G$2:$G$50000,$C18,缺陷明细!$J$2:$J$50000,"运维测试",缺陷明细!$AB$2:$AB$50000,"&lt;&gt;丢弃",缺陷明细!$AB$2:$AB$50000,"&lt;&gt;设计如此",缺陷明细!$AB$2:$AB$50000,"&lt;&gt;重复Bug")</f>
        <v>0</v>
      </c>
      <c r="Z18" s="71">
        <f>COUNTIFS(缺陷明细!$A$2:$A$50000,$B$4,缺陷明细!$G$2:$G$50000,$C18,缺陷明细!$Q$2:$Q$50000,"已关闭",缺陷明细!$J$2:$J$50000,"运维测试")</f>
        <v>0</v>
      </c>
      <c r="AA18" s="72">
        <f>COUNTIFS(缺陷明细!$A$2:$A$50000,$B$4,缺陷明细!$G$2:$G$50000,$C18,缺陷明细!$J$2:$J$50000,"运维测试",缺陷明细!$K$2:$K$50000,"致命",缺陷明细!$AB$2:$AB$50000,"&lt;&gt;丢弃",缺陷明细!$AB$2:$AB$50000,"&lt;&gt;设计如此",缺陷明细!$AB$2:$AB$50000,"&lt;&gt;重复Bug")+COUNTIFS(缺陷明细!$A$2:$A$50000,$B$4,缺陷明细!$G$2:$G$50000,$C18,缺陷明细!$J$2:$J$50000,"运维测试",缺陷明细!$K$2:$K$50000,"严重",缺陷明细!$AB$2:$AB$50000,"&lt;&gt;丢弃",缺陷明细!$AB$2:$AB$50000,"&lt;&gt;设计如此",缺陷明细!$AB$2:$AB$50000,"&lt;&gt;重复Bug")</f>
        <v>0</v>
      </c>
      <c r="AB18" s="73">
        <f>COUNTIFS(缺陷明细!$A$2:$A$50000,$B$4,缺陷明细!$G$2:$G$50000,$C18,缺陷明细!$Q$2:$Q$50000,"已关闭",缺陷明细!$J$2:$J$50000,"运维测试",缺陷明细!$K$2:$K$50000,"致命")+COUNTIFS(缺陷明细!$A$2:$A$50000,$B$4,缺陷明细!$G$2:$G$50000,$C18,缺陷明细!$Q$2:$Q$50000,"已关闭",缺陷明细!$J$2:$J$50000,"运维测试",缺陷明细!$K$2:$K$50000,"严重")</f>
        <v>0</v>
      </c>
      <c r="AC18" s="68">
        <f t="shared" si="0"/>
        <v>0</v>
      </c>
      <c r="AD18" s="60">
        <f t="shared" si="0"/>
        <v>0</v>
      </c>
      <c r="AE18" s="60">
        <f t="shared" si="1"/>
        <v>0</v>
      </c>
      <c r="AF18" s="60">
        <f t="shared" si="1"/>
        <v>0</v>
      </c>
      <c r="AG18" s="60">
        <f t="shared" si="2"/>
        <v>0</v>
      </c>
      <c r="AH18" s="60">
        <f t="shared" si="2"/>
        <v>0</v>
      </c>
      <c r="AI18" s="60">
        <f t="shared" si="3"/>
        <v>0</v>
      </c>
      <c r="AJ18" s="61">
        <f t="shared" si="3"/>
        <v>0</v>
      </c>
      <c r="AK18" s="144"/>
    </row>
    <row r="19" spans="1:37" ht="51">
      <c r="A19">
        <v>15</v>
      </c>
      <c r="B19" s="57">
        <v>428</v>
      </c>
      <c r="C19" s="58" t="s">
        <v>359</v>
      </c>
      <c r="D19" s="84" t="s">
        <v>343</v>
      </c>
      <c r="E19" s="82" t="s">
        <v>346</v>
      </c>
      <c r="F19" s="158">
        <v>4</v>
      </c>
      <c r="G19" s="159">
        <v>4</v>
      </c>
      <c r="H19" s="281">
        <f>COUNTIFS(缺陷明细!$A$2:$A$50000,$B$4,缺陷明细!$G$2:$G$50000,$C19,缺陷明细!$J$2:$J$50000,"评审",缺陷明细!$AB$2:$AB$50000,"&lt;&gt;丢弃",缺陷明细!$AB$2:$AB$50000,"&lt;&gt;设计如此",缺陷明细!$AB$2:$AB$50000,"&lt;&gt;重复Bug")</f>
        <v>0</v>
      </c>
      <c r="I19" s="154">
        <f>COUNTIFS(缺陷明细!$A$2:$A$50000,$B$4,缺陷明细!$G$2:$G$50000,$C19,缺陷明细!$Q$2:$Q$50000,"已关闭",缺陷明细!$J$2:$J$50000,"评审")</f>
        <v>0</v>
      </c>
      <c r="J19" s="154">
        <f>COUNTIFS(缺陷明细!$A$2:$A$50000,$B$4,缺陷明细!$G$2:$G$50000,$C19,缺陷明细!$J$2:$J$50000,"单元测试",缺陷明细!$AB$2:$AB$50000,"&lt;&gt;丢弃",缺陷明细!$AB$2:$AB$50000,"&lt;&gt;设计如此",缺陷明细!$AB$2:$AB$50000,"&lt;&gt;重复Bug")</f>
        <v>0</v>
      </c>
      <c r="K19" s="155">
        <f>COUNTIFS(缺陷明细!$A$2:$A$50000,$B$4,缺陷明细!$G$2:$G$50000,$C19,缺陷明细!$Q$2:$Q$50000,"已关闭",缺陷明细!$J$2:$J$50000,"单元测试")</f>
        <v>0</v>
      </c>
      <c r="L19" s="156"/>
      <c r="M19" s="157"/>
      <c r="N19" s="72">
        <f>COUNTIFS(缺陷明细!$A$2:$A$50000,$B$4,缺陷明细!$G$2:$G$50000,$C19,缺陷明细!$J$2:$J$50000,"系统测试案例评审",缺陷明细!$AB$2:$AB$50000,"&lt;&gt;丢弃",缺陷明细!$AB$2:$AB$50000,"&lt;&gt;设计如此",缺陷明细!$AB$2:$AB$50000,"&lt;&gt;重复Bug")</f>
        <v>0</v>
      </c>
      <c r="O19" s="72">
        <f>COUNTIFS(缺陷明细!$A$2:$A$50000,$B$4,缺陷明细!$G$2:$G$50000,$C19,缺陷明细!$Q$2:$Q$50000,"已关闭",缺陷明细!$J$2:$J$50000,"系统测试案例评审")</f>
        <v>0</v>
      </c>
      <c r="P19" s="72">
        <f>COUNTIFS(缺陷明细!$A$2:$A$50000,$B$4,缺陷明细!$G$2:$G$50000,$C19,缺陷明细!$J$2:$J$50000,"系统测试",缺陷明细!$AB$2:$AB$50000,"&lt;&gt;丢弃",缺陷明细!$AB$2:$AB$50000,"&lt;&gt;设计如此",缺陷明细!$AB$2:$AB$50000,"&lt;&gt;重复Bug")</f>
        <v>0</v>
      </c>
      <c r="Q19" s="72">
        <f>COUNTIFS(缺陷明细!$A$2:$A$50000,$B$4,缺陷明细!$G$2:$G$50000,$C19,缺陷明细!$Q$2:$Q$50000,"已关闭",缺陷明细!$J$2:$J$50000,"系统测试")</f>
        <v>0</v>
      </c>
      <c r="R19" s="296">
        <f>COUNTIFS(缺陷明细!$A$2:$A$50000,$B$4,缺陷明细!$G$2:$G$50000,$C19,缺陷明细!$AB$2:$AB$50000,"丢弃",缺陷明细!$J$2:$J$50000,"系统测试")+COUNTIFS(缺陷明细!$A$2:$A$50000,$B$4,缺陷明细!$G$2:$G$50000,$C19,缺陷明细!$AB$2:$AB$50000,"设计如此",缺陷明细!$J$2:$J$50000,"系统测试")+COUNTIFS(缺陷明细!$A$2:$A$50000,$B$4,缺陷明细!$G$2:$G$50000,$C19,缺陷明细!$AB$2:$AB$50000,"重复Bug",缺陷明细!$J$2:$J$50000,"系统测试")</f>
        <v>0</v>
      </c>
      <c r="S19" s="72">
        <f>COUNTIFS(缺陷明细!$A$2:$A$50000,$B$4,缺陷明细!$G$2:$G$50000,$C19,缺陷明细!$J$2:$J$50000,"系统测试",缺陷明细!$K$2:$K$50000,"致命",缺陷明细!$AB$2:$AB$50000,"&lt;&gt;丢弃",缺陷明细!$AB$2:$AB$50000,"&lt;&gt;设计如此",缺陷明细!$AB$2:$AB$50000,"&lt;&gt;重复Bug")+COUNTIFS(缺陷明细!$A$2:$A$50000,$B$4,缺陷明细!$G$2:$G$50000,$C19,缺陷明细!$J$2:$J$50000,"系统测试",缺陷明细!$K$2:$K$50000,"严重",缺陷明细!$AB$2:$AB$50000,"&lt;&gt;丢弃",缺陷明细!$AB$2:$AB$50000,"&lt;&gt;设计如此",缺陷明细!$AB$2:$AB$50000,"&lt;&gt;重复Bug")</f>
        <v>0</v>
      </c>
      <c r="T19" s="73">
        <f>COUNTIFS(缺陷明细!$A$2:$A$50000,$B$4,缺陷明细!$G$2:$G$50000,$C19,缺陷明细!$Q$2:$Q$50000,"已关闭",缺陷明细!$J$2:$J$50000,"系统测试",缺陷明细!$K$2:$K$50000,"致命")+COUNTIFS(缺陷明细!$A$2:$A$50000,$B$4,缺陷明细!$G$2:$G$50000,$C19,缺陷明细!$Q$2:$Q$50000,"已关闭",缺陷明细!$J$2:$J$50000,"系统测试",缺陷明细!$K$2:$K$50000,"严重")</f>
        <v>0</v>
      </c>
      <c r="U19" s="74">
        <f>COUNTIFS(缺陷明细!$A$2:$A$50000,$B$4,缺陷明细!$G$2:$G$50000,$C19,缺陷明细!$J$2:$J$50000,"验收测试",缺陷明细!$AB$2:$AB$50000,"&lt;&gt;丢弃",缺陷明细!$AB$2:$AB$50000,"&lt;&gt;设计如此",缺陷明细!$AB$2:$AB$50000,"&lt;&gt;重复Bug")</f>
        <v>0</v>
      </c>
      <c r="V19" s="75">
        <f>COUNTIFS(缺陷明细!$A$2:$A$50000,$B$4,缺陷明细!$G$2:$G$50000,$C19,缺陷明细!$Q$2:$Q$50000,"已关闭",缺陷明细!$J$2:$J$50000,"验收测试")</f>
        <v>0</v>
      </c>
      <c r="W19" s="75">
        <f>COUNTIFS(缺陷明细!$A$2:$A$50000,$B$4,缺陷明细!$G$2:$G$50000,$C19,缺陷明细!$J$2:$J$50000,"验收测试",缺陷明细!$K$2:$K$50000,"致命",缺陷明细!$AB$2:$AB$50000,"&lt;&gt;丢弃",缺陷明细!$AB$2:$AB$50000,"&lt;&gt;设计如此",缺陷明细!$AB$2:$AB$50000,"&lt;&gt;重复Bug")+COUNTIFS(缺陷明细!$A$2:$A$50000,$B$4,缺陷明细!$G$2:$G$50000,$C19,缺陷明细!$J$2:$J$50000,"验收测试",缺陷明细!$K$2:$K$50000,"严重",缺陷明细!$AB$2:$AB$50000,"&lt;&gt;丢弃",缺陷明细!$AB$2:$AB$50000,"&lt;&gt;设计如此",缺陷明细!$AB$2:$AB$50000,"&lt;&gt;重复Bug")</f>
        <v>0</v>
      </c>
      <c r="X19" s="76">
        <f>COUNTIFS(缺陷明细!$A$2:$A$50000,$B$4,缺陷明细!$G$2:$G$50000,$C19,缺陷明细!$Q$2:$Q$50000,"已关闭",缺陷明细!$J$2:$J$50000,"验收测试",缺陷明细!$K$2:$K$50000,"致命")+COUNTIFS(缺陷明细!$A$2:$A$50000,$B$4,缺陷明细!$G$2:$G$50000,$C19,缺陷明细!$Q$2:$Q$50000,"已关闭",缺陷明细!$J$2:$J$50000,"验收测试",缺陷明细!$K$2:$K$50000,"严重")</f>
        <v>0</v>
      </c>
      <c r="Y19" s="70">
        <f>COUNTIFS(缺陷明细!$A$2:$A$50000,$B$4,缺陷明细!$G$2:$G$50000,$C19,缺陷明细!$J$2:$J$50000,"运维测试",缺陷明细!$AB$2:$AB$50000,"&lt;&gt;丢弃",缺陷明细!$AB$2:$AB$50000,"&lt;&gt;设计如此",缺陷明细!$AB$2:$AB$50000,"&lt;&gt;重复Bug")</f>
        <v>0</v>
      </c>
      <c r="Z19" s="71">
        <f>COUNTIFS(缺陷明细!$A$2:$A$50000,$B$4,缺陷明细!$G$2:$G$50000,$C19,缺陷明细!$Q$2:$Q$50000,"已关闭",缺陷明细!$J$2:$J$50000,"运维测试")</f>
        <v>0</v>
      </c>
      <c r="AA19" s="72">
        <f>COUNTIFS(缺陷明细!$A$2:$A$50000,$B$4,缺陷明细!$G$2:$G$50000,$C19,缺陷明细!$J$2:$J$50000,"运维测试",缺陷明细!$K$2:$K$50000,"致命",缺陷明细!$AB$2:$AB$50000,"&lt;&gt;丢弃",缺陷明细!$AB$2:$AB$50000,"&lt;&gt;设计如此",缺陷明细!$AB$2:$AB$50000,"&lt;&gt;重复Bug")+COUNTIFS(缺陷明细!$A$2:$A$50000,$B$4,缺陷明细!$G$2:$G$50000,$C19,缺陷明细!$J$2:$J$50000,"运维测试",缺陷明细!$K$2:$K$50000,"严重",缺陷明细!$AB$2:$AB$50000,"&lt;&gt;丢弃",缺陷明细!$AB$2:$AB$50000,"&lt;&gt;设计如此",缺陷明细!$AB$2:$AB$50000,"&lt;&gt;重复Bug")</f>
        <v>0</v>
      </c>
      <c r="AB19" s="73">
        <f>COUNTIFS(缺陷明细!$A$2:$A$50000,$B$4,缺陷明细!$G$2:$G$50000,$C19,缺陷明细!$Q$2:$Q$50000,"已关闭",缺陷明细!$J$2:$J$50000,"运维测试",缺陷明细!$K$2:$K$50000,"致命")+COUNTIFS(缺陷明细!$A$2:$A$50000,$B$4,缺陷明细!$G$2:$G$50000,$C19,缺陷明细!$Q$2:$Q$50000,"已关闭",缺陷明细!$J$2:$J$50000,"运维测试",缺陷明细!$K$2:$K$50000,"严重")</f>
        <v>0</v>
      </c>
      <c r="AC19" s="68">
        <f t="shared" si="0"/>
        <v>0</v>
      </c>
      <c r="AD19" s="60">
        <f t="shared" si="0"/>
        <v>0</v>
      </c>
      <c r="AE19" s="60">
        <f t="shared" si="1"/>
        <v>0</v>
      </c>
      <c r="AF19" s="60">
        <f t="shared" si="1"/>
        <v>0</v>
      </c>
      <c r="AG19" s="60">
        <f t="shared" si="2"/>
        <v>0</v>
      </c>
      <c r="AH19" s="60">
        <f t="shared" si="2"/>
        <v>0</v>
      </c>
      <c r="AI19" s="60">
        <f t="shared" si="3"/>
        <v>0</v>
      </c>
      <c r="AJ19" s="61">
        <f t="shared" si="3"/>
        <v>0</v>
      </c>
      <c r="AK19" s="144"/>
    </row>
    <row r="20" spans="1:37" ht="25.5">
      <c r="A20">
        <v>16</v>
      </c>
      <c r="B20" s="57">
        <v>429</v>
      </c>
      <c r="C20" s="58" t="s">
        <v>360</v>
      </c>
      <c r="D20" s="84" t="s">
        <v>343</v>
      </c>
      <c r="E20" s="82" t="s">
        <v>346</v>
      </c>
      <c r="F20" s="158">
        <v>0.5</v>
      </c>
      <c r="G20" s="159">
        <v>2</v>
      </c>
      <c r="H20" s="281">
        <f>COUNTIFS(缺陷明细!$A$2:$A$50000,$B$4,缺陷明细!$G$2:$G$50000,$C20,缺陷明细!$J$2:$J$50000,"评审",缺陷明细!$AB$2:$AB$50000,"&lt;&gt;丢弃",缺陷明细!$AB$2:$AB$50000,"&lt;&gt;设计如此",缺陷明细!$AB$2:$AB$50000,"&lt;&gt;重复Bug")</f>
        <v>0</v>
      </c>
      <c r="I20" s="154">
        <f>COUNTIFS(缺陷明细!$A$2:$A$50000,$B$4,缺陷明细!$G$2:$G$50000,$C20,缺陷明细!$Q$2:$Q$50000,"已关闭",缺陷明细!$J$2:$J$50000,"评审")</f>
        <v>0</v>
      </c>
      <c r="J20" s="154">
        <f>COUNTIFS(缺陷明细!$A$2:$A$50000,$B$4,缺陷明细!$G$2:$G$50000,$C20,缺陷明细!$J$2:$J$50000,"单元测试",缺陷明细!$AB$2:$AB$50000,"&lt;&gt;丢弃",缺陷明细!$AB$2:$AB$50000,"&lt;&gt;设计如此",缺陷明细!$AB$2:$AB$50000,"&lt;&gt;重复Bug")</f>
        <v>0</v>
      </c>
      <c r="K20" s="155">
        <f>COUNTIFS(缺陷明细!$A$2:$A$50000,$B$4,缺陷明细!$G$2:$G$50000,$C20,缺陷明细!$Q$2:$Q$50000,"已关闭",缺陷明细!$J$2:$J$50000,"单元测试")</f>
        <v>0</v>
      </c>
      <c r="L20" s="156"/>
      <c r="M20" s="157"/>
      <c r="N20" s="72">
        <f>COUNTIFS(缺陷明细!$A$2:$A$50000,$B$4,缺陷明细!$G$2:$G$50000,$C20,缺陷明细!$J$2:$J$50000,"系统测试案例评审",缺陷明细!$AB$2:$AB$50000,"&lt;&gt;丢弃",缺陷明细!$AB$2:$AB$50000,"&lt;&gt;设计如此",缺陷明细!$AB$2:$AB$50000,"&lt;&gt;重复Bug")</f>
        <v>0</v>
      </c>
      <c r="O20" s="72">
        <f>COUNTIFS(缺陷明细!$A$2:$A$50000,$B$4,缺陷明细!$G$2:$G$50000,$C20,缺陷明细!$Q$2:$Q$50000,"已关闭",缺陷明细!$J$2:$J$50000,"系统测试案例评审")</f>
        <v>0</v>
      </c>
      <c r="P20" s="72">
        <f>COUNTIFS(缺陷明细!$A$2:$A$50000,$B$4,缺陷明细!$G$2:$G$50000,$C20,缺陷明细!$J$2:$J$50000,"系统测试",缺陷明细!$AB$2:$AB$50000,"&lt;&gt;丢弃",缺陷明细!$AB$2:$AB$50000,"&lt;&gt;设计如此",缺陷明细!$AB$2:$AB$50000,"&lt;&gt;重复Bug")</f>
        <v>0</v>
      </c>
      <c r="Q20" s="72">
        <f>COUNTIFS(缺陷明细!$A$2:$A$50000,$B$4,缺陷明细!$G$2:$G$50000,$C20,缺陷明细!$Q$2:$Q$50000,"已关闭",缺陷明细!$J$2:$J$50000,"系统测试")</f>
        <v>0</v>
      </c>
      <c r="R20" s="296">
        <f>COUNTIFS(缺陷明细!$A$2:$A$50000,$B$4,缺陷明细!$G$2:$G$50000,$C20,缺陷明细!$AB$2:$AB$50000,"丢弃",缺陷明细!$J$2:$J$50000,"系统测试")+COUNTIFS(缺陷明细!$A$2:$A$50000,$B$4,缺陷明细!$G$2:$G$50000,$C20,缺陷明细!$AB$2:$AB$50000,"设计如此",缺陷明细!$J$2:$J$50000,"系统测试")+COUNTIFS(缺陷明细!$A$2:$A$50000,$B$4,缺陷明细!$G$2:$G$50000,$C20,缺陷明细!$AB$2:$AB$50000,"重复Bug",缺陷明细!$J$2:$J$50000,"系统测试")</f>
        <v>0</v>
      </c>
      <c r="S20" s="72">
        <f>COUNTIFS(缺陷明细!$A$2:$A$50000,$B$4,缺陷明细!$G$2:$G$50000,$C20,缺陷明细!$J$2:$J$50000,"系统测试",缺陷明细!$K$2:$K$50000,"致命",缺陷明细!$AB$2:$AB$50000,"&lt;&gt;丢弃",缺陷明细!$AB$2:$AB$50000,"&lt;&gt;设计如此",缺陷明细!$AB$2:$AB$50000,"&lt;&gt;重复Bug")+COUNTIFS(缺陷明细!$A$2:$A$50000,$B$4,缺陷明细!$G$2:$G$50000,$C20,缺陷明细!$J$2:$J$50000,"系统测试",缺陷明细!$K$2:$K$50000,"严重",缺陷明细!$AB$2:$AB$50000,"&lt;&gt;丢弃",缺陷明细!$AB$2:$AB$50000,"&lt;&gt;设计如此",缺陷明细!$AB$2:$AB$50000,"&lt;&gt;重复Bug")</f>
        <v>0</v>
      </c>
      <c r="T20" s="73">
        <f>COUNTIFS(缺陷明细!$A$2:$A$50000,$B$4,缺陷明细!$G$2:$G$50000,$C20,缺陷明细!$Q$2:$Q$50000,"已关闭",缺陷明细!$J$2:$J$50000,"系统测试",缺陷明细!$K$2:$K$50000,"致命")+COUNTIFS(缺陷明细!$A$2:$A$50000,$B$4,缺陷明细!$G$2:$G$50000,$C20,缺陷明细!$Q$2:$Q$50000,"已关闭",缺陷明细!$J$2:$J$50000,"系统测试",缺陷明细!$K$2:$K$50000,"严重")</f>
        <v>0</v>
      </c>
      <c r="U20" s="74">
        <f>COUNTIFS(缺陷明细!$A$2:$A$50000,$B$4,缺陷明细!$G$2:$G$50000,$C20,缺陷明细!$J$2:$J$50000,"验收测试",缺陷明细!$AB$2:$AB$50000,"&lt;&gt;丢弃",缺陷明细!$AB$2:$AB$50000,"&lt;&gt;设计如此",缺陷明细!$AB$2:$AB$50000,"&lt;&gt;重复Bug")</f>
        <v>0</v>
      </c>
      <c r="V20" s="75">
        <f>COUNTIFS(缺陷明细!$A$2:$A$50000,$B$4,缺陷明细!$G$2:$G$50000,$C20,缺陷明细!$Q$2:$Q$50000,"已关闭",缺陷明细!$J$2:$J$50000,"验收测试")</f>
        <v>0</v>
      </c>
      <c r="W20" s="75">
        <f>COUNTIFS(缺陷明细!$A$2:$A$50000,$B$4,缺陷明细!$G$2:$G$50000,$C20,缺陷明细!$J$2:$J$50000,"验收测试",缺陷明细!$K$2:$K$50000,"致命",缺陷明细!$AB$2:$AB$50000,"&lt;&gt;丢弃",缺陷明细!$AB$2:$AB$50000,"&lt;&gt;设计如此",缺陷明细!$AB$2:$AB$50000,"&lt;&gt;重复Bug")+COUNTIFS(缺陷明细!$A$2:$A$50000,$B$4,缺陷明细!$G$2:$G$50000,$C20,缺陷明细!$J$2:$J$50000,"验收测试",缺陷明细!$K$2:$K$50000,"严重",缺陷明细!$AB$2:$AB$50000,"&lt;&gt;丢弃",缺陷明细!$AB$2:$AB$50000,"&lt;&gt;设计如此",缺陷明细!$AB$2:$AB$50000,"&lt;&gt;重复Bug")</f>
        <v>0</v>
      </c>
      <c r="X20" s="76">
        <f>COUNTIFS(缺陷明细!$A$2:$A$50000,$B$4,缺陷明细!$G$2:$G$50000,$C20,缺陷明细!$Q$2:$Q$50000,"已关闭",缺陷明细!$J$2:$J$50000,"验收测试",缺陷明细!$K$2:$K$50000,"致命")+COUNTIFS(缺陷明细!$A$2:$A$50000,$B$4,缺陷明细!$G$2:$G$50000,$C20,缺陷明细!$Q$2:$Q$50000,"已关闭",缺陷明细!$J$2:$J$50000,"验收测试",缺陷明细!$K$2:$K$50000,"严重")</f>
        <v>0</v>
      </c>
      <c r="Y20" s="70">
        <f>COUNTIFS(缺陷明细!$A$2:$A$50000,$B$4,缺陷明细!$G$2:$G$50000,$C20,缺陷明细!$J$2:$J$50000,"运维测试",缺陷明细!$AB$2:$AB$50000,"&lt;&gt;丢弃",缺陷明细!$AB$2:$AB$50000,"&lt;&gt;设计如此",缺陷明细!$AB$2:$AB$50000,"&lt;&gt;重复Bug")</f>
        <v>0</v>
      </c>
      <c r="Z20" s="71">
        <f>COUNTIFS(缺陷明细!$A$2:$A$50000,$B$4,缺陷明细!$G$2:$G$50000,$C20,缺陷明细!$Q$2:$Q$50000,"已关闭",缺陷明细!$J$2:$J$50000,"运维测试")</f>
        <v>0</v>
      </c>
      <c r="AA20" s="72">
        <f>COUNTIFS(缺陷明细!$A$2:$A$50000,$B$4,缺陷明细!$G$2:$G$50000,$C20,缺陷明细!$J$2:$J$50000,"运维测试",缺陷明细!$K$2:$K$50000,"致命",缺陷明细!$AB$2:$AB$50000,"&lt;&gt;丢弃",缺陷明细!$AB$2:$AB$50000,"&lt;&gt;设计如此",缺陷明细!$AB$2:$AB$50000,"&lt;&gt;重复Bug")+COUNTIFS(缺陷明细!$A$2:$A$50000,$B$4,缺陷明细!$G$2:$G$50000,$C20,缺陷明细!$J$2:$J$50000,"运维测试",缺陷明细!$K$2:$K$50000,"严重",缺陷明细!$AB$2:$AB$50000,"&lt;&gt;丢弃",缺陷明细!$AB$2:$AB$50000,"&lt;&gt;设计如此",缺陷明细!$AB$2:$AB$50000,"&lt;&gt;重复Bug")</f>
        <v>0</v>
      </c>
      <c r="AB20" s="73">
        <f>COUNTIFS(缺陷明细!$A$2:$A$50000,$B$4,缺陷明细!$G$2:$G$50000,$C20,缺陷明细!$Q$2:$Q$50000,"已关闭",缺陷明细!$J$2:$J$50000,"运维测试",缺陷明细!$K$2:$K$50000,"致命")+COUNTIFS(缺陷明细!$A$2:$A$50000,$B$4,缺陷明细!$G$2:$G$50000,$C20,缺陷明细!$Q$2:$Q$50000,"已关闭",缺陷明细!$J$2:$J$50000,"运维测试",缺陷明细!$K$2:$K$50000,"严重")</f>
        <v>0</v>
      </c>
      <c r="AC20" s="68">
        <f t="shared" si="0"/>
        <v>0</v>
      </c>
      <c r="AD20" s="60">
        <f t="shared" si="0"/>
        <v>0</v>
      </c>
      <c r="AE20" s="60">
        <f t="shared" si="1"/>
        <v>0</v>
      </c>
      <c r="AF20" s="60">
        <f t="shared" si="1"/>
        <v>0</v>
      </c>
      <c r="AG20" s="60">
        <f t="shared" si="2"/>
        <v>0</v>
      </c>
      <c r="AH20" s="60">
        <f t="shared" si="2"/>
        <v>0</v>
      </c>
      <c r="AI20" s="60">
        <f t="shared" si="3"/>
        <v>0</v>
      </c>
      <c r="AJ20" s="61">
        <f t="shared" si="3"/>
        <v>0</v>
      </c>
      <c r="AK20" s="144"/>
    </row>
    <row r="21" spans="1:37" ht="38.25">
      <c r="A21">
        <v>17</v>
      </c>
      <c r="B21" s="57">
        <v>430</v>
      </c>
      <c r="C21" s="58" t="s">
        <v>361</v>
      </c>
      <c r="D21" s="84" t="s">
        <v>343</v>
      </c>
      <c r="E21" s="82" t="s">
        <v>346</v>
      </c>
      <c r="F21" s="158">
        <v>1</v>
      </c>
      <c r="G21" s="159">
        <v>1</v>
      </c>
      <c r="H21" s="281">
        <f>COUNTIFS(缺陷明细!$A$2:$A$50000,$B$4,缺陷明细!$G$2:$G$50000,$C21,缺陷明细!$J$2:$J$50000,"评审",缺陷明细!$AB$2:$AB$50000,"&lt;&gt;丢弃",缺陷明细!$AB$2:$AB$50000,"&lt;&gt;设计如此",缺陷明细!$AB$2:$AB$50000,"&lt;&gt;重复Bug")</f>
        <v>0</v>
      </c>
      <c r="I21" s="154">
        <f>COUNTIFS(缺陷明细!$A$2:$A$50000,$B$4,缺陷明细!$G$2:$G$50000,$C21,缺陷明细!$Q$2:$Q$50000,"已关闭",缺陷明细!$J$2:$J$50000,"评审")</f>
        <v>0</v>
      </c>
      <c r="J21" s="154">
        <f>COUNTIFS(缺陷明细!$A$2:$A$50000,$B$4,缺陷明细!$G$2:$G$50000,$C21,缺陷明细!$J$2:$J$50000,"单元测试",缺陷明细!$AB$2:$AB$50000,"&lt;&gt;丢弃",缺陷明细!$AB$2:$AB$50000,"&lt;&gt;设计如此",缺陷明细!$AB$2:$AB$50000,"&lt;&gt;重复Bug")</f>
        <v>0</v>
      </c>
      <c r="K21" s="155">
        <f>COUNTIFS(缺陷明细!$A$2:$A$50000,$B$4,缺陷明细!$G$2:$G$50000,$C21,缺陷明细!$Q$2:$Q$50000,"已关闭",缺陷明细!$J$2:$J$50000,"单元测试")</f>
        <v>0</v>
      </c>
      <c r="L21" s="156"/>
      <c r="M21" s="157"/>
      <c r="N21" s="72">
        <f>COUNTIFS(缺陷明细!$A$2:$A$50000,$B$4,缺陷明细!$G$2:$G$50000,$C21,缺陷明细!$J$2:$J$50000,"系统测试案例评审",缺陷明细!$AB$2:$AB$50000,"&lt;&gt;丢弃",缺陷明细!$AB$2:$AB$50000,"&lt;&gt;设计如此",缺陷明细!$AB$2:$AB$50000,"&lt;&gt;重复Bug")</f>
        <v>0</v>
      </c>
      <c r="O21" s="72">
        <f>COUNTIFS(缺陷明细!$A$2:$A$50000,$B$4,缺陷明细!$G$2:$G$50000,$C21,缺陷明细!$Q$2:$Q$50000,"已关闭",缺陷明细!$J$2:$J$50000,"系统测试案例评审")</f>
        <v>0</v>
      </c>
      <c r="P21" s="72">
        <f>COUNTIFS(缺陷明细!$A$2:$A$50000,$B$4,缺陷明细!$G$2:$G$50000,$C21,缺陷明细!$J$2:$J$50000,"系统测试",缺陷明细!$AB$2:$AB$50000,"&lt;&gt;丢弃",缺陷明细!$AB$2:$AB$50000,"&lt;&gt;设计如此",缺陷明细!$AB$2:$AB$50000,"&lt;&gt;重复Bug")</f>
        <v>0</v>
      </c>
      <c r="Q21" s="72">
        <f>COUNTIFS(缺陷明细!$A$2:$A$50000,$B$4,缺陷明细!$G$2:$G$50000,$C21,缺陷明细!$Q$2:$Q$50000,"已关闭",缺陷明细!$J$2:$J$50000,"系统测试")</f>
        <v>0</v>
      </c>
      <c r="R21" s="296">
        <f>COUNTIFS(缺陷明细!$A$2:$A$50000,$B$4,缺陷明细!$G$2:$G$50000,$C21,缺陷明细!$AB$2:$AB$50000,"丢弃",缺陷明细!$J$2:$J$50000,"系统测试")+COUNTIFS(缺陷明细!$A$2:$A$50000,$B$4,缺陷明细!$G$2:$G$50000,$C21,缺陷明细!$AB$2:$AB$50000,"设计如此",缺陷明细!$J$2:$J$50000,"系统测试")+COUNTIFS(缺陷明细!$A$2:$A$50000,$B$4,缺陷明细!$G$2:$G$50000,$C21,缺陷明细!$AB$2:$AB$50000,"重复Bug",缺陷明细!$J$2:$J$50000,"系统测试")</f>
        <v>0</v>
      </c>
      <c r="S21" s="72">
        <f>COUNTIFS(缺陷明细!$A$2:$A$50000,$B$4,缺陷明细!$G$2:$G$50000,$C21,缺陷明细!$J$2:$J$50000,"系统测试",缺陷明细!$K$2:$K$50000,"致命",缺陷明细!$AB$2:$AB$50000,"&lt;&gt;丢弃",缺陷明细!$AB$2:$AB$50000,"&lt;&gt;设计如此",缺陷明细!$AB$2:$AB$50000,"&lt;&gt;重复Bug")+COUNTIFS(缺陷明细!$A$2:$A$50000,$B$4,缺陷明细!$G$2:$G$50000,$C21,缺陷明细!$J$2:$J$50000,"系统测试",缺陷明细!$K$2:$K$50000,"严重",缺陷明细!$AB$2:$AB$50000,"&lt;&gt;丢弃",缺陷明细!$AB$2:$AB$50000,"&lt;&gt;设计如此",缺陷明细!$AB$2:$AB$50000,"&lt;&gt;重复Bug")</f>
        <v>0</v>
      </c>
      <c r="T21" s="73">
        <f>COUNTIFS(缺陷明细!$A$2:$A$50000,$B$4,缺陷明细!$G$2:$G$50000,$C21,缺陷明细!$Q$2:$Q$50000,"已关闭",缺陷明细!$J$2:$J$50000,"系统测试",缺陷明细!$K$2:$K$50000,"致命")+COUNTIFS(缺陷明细!$A$2:$A$50000,$B$4,缺陷明细!$G$2:$G$50000,$C21,缺陷明细!$Q$2:$Q$50000,"已关闭",缺陷明细!$J$2:$J$50000,"系统测试",缺陷明细!$K$2:$K$50000,"严重")</f>
        <v>0</v>
      </c>
      <c r="U21" s="74">
        <f>COUNTIFS(缺陷明细!$A$2:$A$50000,$B$4,缺陷明细!$G$2:$G$50000,$C21,缺陷明细!$J$2:$J$50000,"验收测试",缺陷明细!$AB$2:$AB$50000,"&lt;&gt;丢弃",缺陷明细!$AB$2:$AB$50000,"&lt;&gt;设计如此",缺陷明细!$AB$2:$AB$50000,"&lt;&gt;重复Bug")</f>
        <v>0</v>
      </c>
      <c r="V21" s="75">
        <f>COUNTIFS(缺陷明细!$A$2:$A$50000,$B$4,缺陷明细!$G$2:$G$50000,$C21,缺陷明细!$Q$2:$Q$50000,"已关闭",缺陷明细!$J$2:$J$50000,"验收测试")</f>
        <v>0</v>
      </c>
      <c r="W21" s="75">
        <f>COUNTIFS(缺陷明细!$A$2:$A$50000,$B$4,缺陷明细!$G$2:$G$50000,$C21,缺陷明细!$J$2:$J$50000,"验收测试",缺陷明细!$K$2:$K$50000,"致命",缺陷明细!$AB$2:$AB$50000,"&lt;&gt;丢弃",缺陷明细!$AB$2:$AB$50000,"&lt;&gt;设计如此",缺陷明细!$AB$2:$AB$50000,"&lt;&gt;重复Bug")+COUNTIFS(缺陷明细!$A$2:$A$50000,$B$4,缺陷明细!$G$2:$G$50000,$C21,缺陷明细!$J$2:$J$50000,"验收测试",缺陷明细!$K$2:$K$50000,"严重",缺陷明细!$AB$2:$AB$50000,"&lt;&gt;丢弃",缺陷明细!$AB$2:$AB$50000,"&lt;&gt;设计如此",缺陷明细!$AB$2:$AB$50000,"&lt;&gt;重复Bug")</f>
        <v>0</v>
      </c>
      <c r="X21" s="76">
        <f>COUNTIFS(缺陷明细!$A$2:$A$50000,$B$4,缺陷明细!$G$2:$G$50000,$C21,缺陷明细!$Q$2:$Q$50000,"已关闭",缺陷明细!$J$2:$J$50000,"验收测试",缺陷明细!$K$2:$K$50000,"致命")+COUNTIFS(缺陷明细!$A$2:$A$50000,$B$4,缺陷明细!$G$2:$G$50000,$C21,缺陷明细!$Q$2:$Q$50000,"已关闭",缺陷明细!$J$2:$J$50000,"验收测试",缺陷明细!$K$2:$K$50000,"严重")</f>
        <v>0</v>
      </c>
      <c r="Y21" s="70">
        <f>COUNTIFS(缺陷明细!$A$2:$A$50000,$B$4,缺陷明细!$G$2:$G$50000,$C21,缺陷明细!$J$2:$J$50000,"运维测试",缺陷明细!$AB$2:$AB$50000,"&lt;&gt;丢弃",缺陷明细!$AB$2:$AB$50000,"&lt;&gt;设计如此",缺陷明细!$AB$2:$AB$50000,"&lt;&gt;重复Bug")</f>
        <v>0</v>
      </c>
      <c r="Z21" s="71">
        <f>COUNTIFS(缺陷明细!$A$2:$A$50000,$B$4,缺陷明细!$G$2:$G$50000,$C21,缺陷明细!$Q$2:$Q$50000,"已关闭",缺陷明细!$J$2:$J$50000,"运维测试")</f>
        <v>0</v>
      </c>
      <c r="AA21" s="72">
        <f>COUNTIFS(缺陷明细!$A$2:$A$50000,$B$4,缺陷明细!$G$2:$G$50000,$C21,缺陷明细!$J$2:$J$50000,"运维测试",缺陷明细!$K$2:$K$50000,"致命",缺陷明细!$AB$2:$AB$50000,"&lt;&gt;丢弃",缺陷明细!$AB$2:$AB$50000,"&lt;&gt;设计如此",缺陷明细!$AB$2:$AB$50000,"&lt;&gt;重复Bug")+COUNTIFS(缺陷明细!$A$2:$A$50000,$B$4,缺陷明细!$G$2:$G$50000,$C21,缺陷明细!$J$2:$J$50000,"运维测试",缺陷明细!$K$2:$K$50000,"严重",缺陷明细!$AB$2:$AB$50000,"&lt;&gt;丢弃",缺陷明细!$AB$2:$AB$50000,"&lt;&gt;设计如此",缺陷明细!$AB$2:$AB$50000,"&lt;&gt;重复Bug")</f>
        <v>0</v>
      </c>
      <c r="AB21" s="73">
        <f>COUNTIFS(缺陷明细!$A$2:$A$50000,$B$4,缺陷明细!$G$2:$G$50000,$C21,缺陷明细!$Q$2:$Q$50000,"已关闭",缺陷明细!$J$2:$J$50000,"运维测试",缺陷明细!$K$2:$K$50000,"致命")+COUNTIFS(缺陷明细!$A$2:$A$50000,$B$4,缺陷明细!$G$2:$G$50000,$C21,缺陷明细!$Q$2:$Q$50000,"已关闭",缺陷明细!$J$2:$J$50000,"运维测试",缺陷明细!$K$2:$K$50000,"严重")</f>
        <v>0</v>
      </c>
      <c r="AC21" s="68">
        <f t="shared" si="0"/>
        <v>0</v>
      </c>
      <c r="AD21" s="60">
        <f t="shared" si="0"/>
        <v>0</v>
      </c>
      <c r="AE21" s="60">
        <f t="shared" si="1"/>
        <v>0</v>
      </c>
      <c r="AF21" s="60">
        <f t="shared" si="1"/>
        <v>0</v>
      </c>
      <c r="AG21" s="60">
        <f t="shared" si="2"/>
        <v>0</v>
      </c>
      <c r="AH21" s="60">
        <f t="shared" si="2"/>
        <v>0</v>
      </c>
      <c r="AI21" s="60">
        <f t="shared" si="3"/>
        <v>0</v>
      </c>
      <c r="AJ21" s="61">
        <f t="shared" si="3"/>
        <v>0</v>
      </c>
      <c r="AK21" s="144"/>
    </row>
    <row r="22" spans="1:37" ht="25.5">
      <c r="A22">
        <v>18</v>
      </c>
      <c r="B22" s="57">
        <v>431</v>
      </c>
      <c r="C22" s="58" t="s">
        <v>362</v>
      </c>
      <c r="D22" s="84" t="s">
        <v>343</v>
      </c>
      <c r="E22" s="82" t="s">
        <v>346</v>
      </c>
      <c r="F22" s="158">
        <v>8</v>
      </c>
      <c r="G22" s="159">
        <v>8</v>
      </c>
      <c r="H22" s="281">
        <f>COUNTIFS(缺陷明细!$A$2:$A$50000,$B$4,缺陷明细!$G$2:$G$50000,$C22,缺陷明细!$J$2:$J$50000,"评审",缺陷明细!$AB$2:$AB$50000,"&lt;&gt;丢弃",缺陷明细!$AB$2:$AB$50000,"&lt;&gt;设计如此",缺陷明细!$AB$2:$AB$50000,"&lt;&gt;重复Bug")</f>
        <v>0</v>
      </c>
      <c r="I22" s="154">
        <f>COUNTIFS(缺陷明细!$A$2:$A$50000,$B$4,缺陷明细!$G$2:$G$50000,$C22,缺陷明细!$Q$2:$Q$50000,"已关闭",缺陷明细!$J$2:$J$50000,"评审")</f>
        <v>0</v>
      </c>
      <c r="J22" s="154">
        <f>COUNTIFS(缺陷明细!$A$2:$A$50000,$B$4,缺陷明细!$G$2:$G$50000,$C22,缺陷明细!$J$2:$J$50000,"单元测试",缺陷明细!$AB$2:$AB$50000,"&lt;&gt;丢弃",缺陷明细!$AB$2:$AB$50000,"&lt;&gt;设计如此",缺陷明细!$AB$2:$AB$50000,"&lt;&gt;重复Bug")</f>
        <v>0</v>
      </c>
      <c r="K22" s="155">
        <f>COUNTIFS(缺陷明细!$A$2:$A$50000,$B$4,缺陷明细!$G$2:$G$50000,$C22,缺陷明细!$Q$2:$Q$50000,"已关闭",缺陷明细!$J$2:$J$50000,"单元测试")</f>
        <v>0</v>
      </c>
      <c r="L22" s="156"/>
      <c r="M22" s="157"/>
      <c r="N22" s="72">
        <f>COUNTIFS(缺陷明细!$A$2:$A$50000,$B$4,缺陷明细!$G$2:$G$50000,$C22,缺陷明细!$J$2:$J$50000,"系统测试案例评审",缺陷明细!$AB$2:$AB$50000,"&lt;&gt;丢弃",缺陷明细!$AB$2:$AB$50000,"&lt;&gt;设计如此",缺陷明细!$AB$2:$AB$50000,"&lt;&gt;重复Bug")</f>
        <v>0</v>
      </c>
      <c r="O22" s="72">
        <f>COUNTIFS(缺陷明细!$A$2:$A$50000,$B$4,缺陷明细!$G$2:$G$50000,$C22,缺陷明细!$Q$2:$Q$50000,"已关闭",缺陷明细!$J$2:$J$50000,"系统测试案例评审")</f>
        <v>0</v>
      </c>
      <c r="P22" s="72">
        <f>COUNTIFS(缺陷明细!$A$2:$A$50000,$B$4,缺陷明细!$G$2:$G$50000,$C22,缺陷明细!$J$2:$J$50000,"系统测试",缺陷明细!$AB$2:$AB$50000,"&lt;&gt;丢弃",缺陷明细!$AB$2:$AB$50000,"&lt;&gt;设计如此",缺陷明细!$AB$2:$AB$50000,"&lt;&gt;重复Bug")</f>
        <v>0</v>
      </c>
      <c r="Q22" s="72">
        <f>COUNTIFS(缺陷明细!$A$2:$A$50000,$B$4,缺陷明细!$G$2:$G$50000,$C22,缺陷明细!$Q$2:$Q$50000,"已关闭",缺陷明细!$J$2:$J$50000,"系统测试")</f>
        <v>0</v>
      </c>
      <c r="R22" s="296">
        <f>COUNTIFS(缺陷明细!$A$2:$A$50000,$B$4,缺陷明细!$G$2:$G$50000,$C22,缺陷明细!$AB$2:$AB$50000,"丢弃",缺陷明细!$J$2:$J$50000,"系统测试")+COUNTIFS(缺陷明细!$A$2:$A$50000,$B$4,缺陷明细!$G$2:$G$50000,$C22,缺陷明细!$AB$2:$AB$50000,"设计如此",缺陷明细!$J$2:$J$50000,"系统测试")+COUNTIFS(缺陷明细!$A$2:$A$50000,$B$4,缺陷明细!$G$2:$G$50000,$C22,缺陷明细!$AB$2:$AB$50000,"重复Bug",缺陷明细!$J$2:$J$50000,"系统测试")</f>
        <v>0</v>
      </c>
      <c r="S22" s="72">
        <f>COUNTIFS(缺陷明细!$A$2:$A$50000,$B$4,缺陷明细!$G$2:$G$50000,$C22,缺陷明细!$J$2:$J$50000,"系统测试",缺陷明细!$K$2:$K$50000,"致命",缺陷明细!$AB$2:$AB$50000,"&lt;&gt;丢弃",缺陷明细!$AB$2:$AB$50000,"&lt;&gt;设计如此",缺陷明细!$AB$2:$AB$50000,"&lt;&gt;重复Bug")+COUNTIFS(缺陷明细!$A$2:$A$50000,$B$4,缺陷明细!$G$2:$G$50000,$C22,缺陷明细!$J$2:$J$50000,"系统测试",缺陷明细!$K$2:$K$50000,"严重",缺陷明细!$AB$2:$AB$50000,"&lt;&gt;丢弃",缺陷明细!$AB$2:$AB$50000,"&lt;&gt;设计如此",缺陷明细!$AB$2:$AB$50000,"&lt;&gt;重复Bug")</f>
        <v>0</v>
      </c>
      <c r="T22" s="73">
        <f>COUNTIFS(缺陷明细!$A$2:$A$50000,$B$4,缺陷明细!$G$2:$G$50000,$C22,缺陷明细!$Q$2:$Q$50000,"已关闭",缺陷明细!$J$2:$J$50000,"系统测试",缺陷明细!$K$2:$K$50000,"致命")+COUNTIFS(缺陷明细!$A$2:$A$50000,$B$4,缺陷明细!$G$2:$G$50000,$C22,缺陷明细!$Q$2:$Q$50000,"已关闭",缺陷明细!$J$2:$J$50000,"系统测试",缺陷明细!$K$2:$K$50000,"严重")</f>
        <v>0</v>
      </c>
      <c r="U22" s="74">
        <f>COUNTIFS(缺陷明细!$A$2:$A$50000,$B$4,缺陷明细!$G$2:$G$50000,$C22,缺陷明细!$J$2:$J$50000,"验收测试",缺陷明细!$AB$2:$AB$50000,"&lt;&gt;丢弃",缺陷明细!$AB$2:$AB$50000,"&lt;&gt;设计如此",缺陷明细!$AB$2:$AB$50000,"&lt;&gt;重复Bug")</f>
        <v>0</v>
      </c>
      <c r="V22" s="75">
        <f>COUNTIFS(缺陷明细!$A$2:$A$50000,$B$4,缺陷明细!$G$2:$G$50000,$C22,缺陷明细!$Q$2:$Q$50000,"已关闭",缺陷明细!$J$2:$J$50000,"验收测试")</f>
        <v>0</v>
      </c>
      <c r="W22" s="75">
        <f>COUNTIFS(缺陷明细!$A$2:$A$50000,$B$4,缺陷明细!$G$2:$G$50000,$C22,缺陷明细!$J$2:$J$50000,"验收测试",缺陷明细!$K$2:$K$50000,"致命",缺陷明细!$AB$2:$AB$50000,"&lt;&gt;丢弃",缺陷明细!$AB$2:$AB$50000,"&lt;&gt;设计如此",缺陷明细!$AB$2:$AB$50000,"&lt;&gt;重复Bug")+COUNTIFS(缺陷明细!$A$2:$A$50000,$B$4,缺陷明细!$G$2:$G$50000,$C22,缺陷明细!$J$2:$J$50000,"验收测试",缺陷明细!$K$2:$K$50000,"严重",缺陷明细!$AB$2:$AB$50000,"&lt;&gt;丢弃",缺陷明细!$AB$2:$AB$50000,"&lt;&gt;设计如此",缺陷明细!$AB$2:$AB$50000,"&lt;&gt;重复Bug")</f>
        <v>0</v>
      </c>
      <c r="X22" s="76">
        <f>COUNTIFS(缺陷明细!$A$2:$A$50000,$B$4,缺陷明细!$G$2:$G$50000,$C22,缺陷明细!$Q$2:$Q$50000,"已关闭",缺陷明细!$J$2:$J$50000,"验收测试",缺陷明细!$K$2:$K$50000,"致命")+COUNTIFS(缺陷明细!$A$2:$A$50000,$B$4,缺陷明细!$G$2:$G$50000,$C22,缺陷明细!$Q$2:$Q$50000,"已关闭",缺陷明细!$J$2:$J$50000,"验收测试",缺陷明细!$K$2:$K$50000,"严重")</f>
        <v>0</v>
      </c>
      <c r="Y22" s="70">
        <f>COUNTIFS(缺陷明细!$A$2:$A$50000,$B$4,缺陷明细!$G$2:$G$50000,$C22,缺陷明细!$J$2:$J$50000,"运维测试",缺陷明细!$AB$2:$AB$50000,"&lt;&gt;丢弃",缺陷明细!$AB$2:$AB$50000,"&lt;&gt;设计如此",缺陷明细!$AB$2:$AB$50000,"&lt;&gt;重复Bug")</f>
        <v>0</v>
      </c>
      <c r="Z22" s="71">
        <f>COUNTIFS(缺陷明细!$A$2:$A$50000,$B$4,缺陷明细!$G$2:$G$50000,$C22,缺陷明细!$Q$2:$Q$50000,"已关闭",缺陷明细!$J$2:$J$50000,"运维测试")</f>
        <v>0</v>
      </c>
      <c r="AA22" s="72">
        <f>COUNTIFS(缺陷明细!$A$2:$A$50000,$B$4,缺陷明细!$G$2:$G$50000,$C22,缺陷明细!$J$2:$J$50000,"运维测试",缺陷明细!$K$2:$K$50000,"致命",缺陷明细!$AB$2:$AB$50000,"&lt;&gt;丢弃",缺陷明细!$AB$2:$AB$50000,"&lt;&gt;设计如此",缺陷明细!$AB$2:$AB$50000,"&lt;&gt;重复Bug")+COUNTIFS(缺陷明细!$A$2:$A$50000,$B$4,缺陷明细!$G$2:$G$50000,$C22,缺陷明细!$J$2:$J$50000,"运维测试",缺陷明细!$K$2:$K$50000,"严重",缺陷明细!$AB$2:$AB$50000,"&lt;&gt;丢弃",缺陷明细!$AB$2:$AB$50000,"&lt;&gt;设计如此",缺陷明细!$AB$2:$AB$50000,"&lt;&gt;重复Bug")</f>
        <v>0</v>
      </c>
      <c r="AB22" s="73">
        <f>COUNTIFS(缺陷明细!$A$2:$A$50000,$B$4,缺陷明细!$G$2:$G$50000,$C22,缺陷明细!$Q$2:$Q$50000,"已关闭",缺陷明细!$J$2:$J$50000,"运维测试",缺陷明细!$K$2:$K$50000,"致命")+COUNTIFS(缺陷明细!$A$2:$A$50000,$B$4,缺陷明细!$G$2:$G$50000,$C22,缺陷明细!$Q$2:$Q$50000,"已关闭",缺陷明细!$J$2:$J$50000,"运维测试",缺陷明细!$K$2:$K$50000,"严重")</f>
        <v>0</v>
      </c>
      <c r="AC22" s="68">
        <f t="shared" si="0"/>
        <v>0</v>
      </c>
      <c r="AD22" s="60">
        <f t="shared" si="0"/>
        <v>0</v>
      </c>
      <c r="AE22" s="60">
        <f t="shared" si="1"/>
        <v>0</v>
      </c>
      <c r="AF22" s="60">
        <f t="shared" si="1"/>
        <v>0</v>
      </c>
      <c r="AG22" s="60">
        <f t="shared" si="2"/>
        <v>0</v>
      </c>
      <c r="AH22" s="60">
        <f t="shared" si="2"/>
        <v>0</v>
      </c>
      <c r="AI22" s="60">
        <f t="shared" si="3"/>
        <v>0</v>
      </c>
      <c r="AJ22" s="61">
        <f t="shared" si="3"/>
        <v>0</v>
      </c>
      <c r="AK22" s="144"/>
    </row>
    <row r="23" spans="1:37" ht="25.5">
      <c r="A23">
        <v>19</v>
      </c>
      <c r="B23" s="57">
        <v>432</v>
      </c>
      <c r="C23" s="58" t="s">
        <v>363</v>
      </c>
      <c r="D23" s="84" t="s">
        <v>343</v>
      </c>
      <c r="E23" s="82" t="s">
        <v>346</v>
      </c>
      <c r="F23" s="158">
        <v>8</v>
      </c>
      <c r="G23" s="159">
        <v>4</v>
      </c>
      <c r="H23" s="281">
        <f>COUNTIFS(缺陷明细!$A$2:$A$50000,$B$4,缺陷明细!$G$2:$G$50000,$C23,缺陷明细!$J$2:$J$50000,"评审",缺陷明细!$AB$2:$AB$50000,"&lt;&gt;丢弃",缺陷明细!$AB$2:$AB$50000,"&lt;&gt;设计如此",缺陷明细!$AB$2:$AB$50000,"&lt;&gt;重复Bug")</f>
        <v>0</v>
      </c>
      <c r="I23" s="154">
        <f>COUNTIFS(缺陷明细!$A$2:$A$50000,$B$4,缺陷明细!$G$2:$G$50000,$C23,缺陷明细!$Q$2:$Q$50000,"已关闭",缺陷明细!$J$2:$J$50000,"评审")</f>
        <v>0</v>
      </c>
      <c r="J23" s="154">
        <f>COUNTIFS(缺陷明细!$A$2:$A$50000,$B$4,缺陷明细!$G$2:$G$50000,$C23,缺陷明细!$J$2:$J$50000,"单元测试",缺陷明细!$AB$2:$AB$50000,"&lt;&gt;丢弃",缺陷明细!$AB$2:$AB$50000,"&lt;&gt;设计如此",缺陷明细!$AB$2:$AB$50000,"&lt;&gt;重复Bug")</f>
        <v>0</v>
      </c>
      <c r="K23" s="155">
        <f>COUNTIFS(缺陷明细!$A$2:$A$50000,$B$4,缺陷明细!$G$2:$G$50000,$C23,缺陷明细!$Q$2:$Q$50000,"已关闭",缺陷明细!$J$2:$J$50000,"单元测试")</f>
        <v>0</v>
      </c>
      <c r="L23" s="156"/>
      <c r="M23" s="157"/>
      <c r="N23" s="72">
        <f>COUNTIFS(缺陷明细!$A$2:$A$50000,$B$4,缺陷明细!$G$2:$G$50000,$C23,缺陷明细!$J$2:$J$50000,"系统测试案例评审",缺陷明细!$AB$2:$AB$50000,"&lt;&gt;丢弃",缺陷明细!$AB$2:$AB$50000,"&lt;&gt;设计如此",缺陷明细!$AB$2:$AB$50000,"&lt;&gt;重复Bug")</f>
        <v>0</v>
      </c>
      <c r="O23" s="72">
        <f>COUNTIFS(缺陷明细!$A$2:$A$50000,$B$4,缺陷明细!$G$2:$G$50000,$C23,缺陷明细!$Q$2:$Q$50000,"已关闭",缺陷明细!$J$2:$J$50000,"系统测试案例评审")</f>
        <v>0</v>
      </c>
      <c r="P23" s="72">
        <f>COUNTIFS(缺陷明细!$A$2:$A$50000,$B$4,缺陷明细!$G$2:$G$50000,$C23,缺陷明细!$J$2:$J$50000,"系统测试",缺陷明细!$AB$2:$AB$50000,"&lt;&gt;丢弃",缺陷明细!$AB$2:$AB$50000,"&lt;&gt;设计如此",缺陷明细!$AB$2:$AB$50000,"&lt;&gt;重复Bug")</f>
        <v>0</v>
      </c>
      <c r="Q23" s="72">
        <f>COUNTIFS(缺陷明细!$A$2:$A$50000,$B$4,缺陷明细!$G$2:$G$50000,$C23,缺陷明细!$Q$2:$Q$50000,"已关闭",缺陷明细!$J$2:$J$50000,"系统测试")</f>
        <v>0</v>
      </c>
      <c r="R23" s="296">
        <f>COUNTIFS(缺陷明细!$A$2:$A$50000,$B$4,缺陷明细!$G$2:$G$50000,$C23,缺陷明细!$AB$2:$AB$50000,"丢弃",缺陷明细!$J$2:$J$50000,"系统测试")+COUNTIFS(缺陷明细!$A$2:$A$50000,$B$4,缺陷明细!$G$2:$G$50000,$C23,缺陷明细!$AB$2:$AB$50000,"设计如此",缺陷明细!$J$2:$J$50000,"系统测试")+COUNTIFS(缺陷明细!$A$2:$A$50000,$B$4,缺陷明细!$G$2:$G$50000,$C23,缺陷明细!$AB$2:$AB$50000,"重复Bug",缺陷明细!$J$2:$J$50000,"系统测试")</f>
        <v>0</v>
      </c>
      <c r="S23" s="72">
        <f>COUNTIFS(缺陷明细!$A$2:$A$50000,$B$4,缺陷明细!$G$2:$G$50000,$C23,缺陷明细!$J$2:$J$50000,"系统测试",缺陷明细!$K$2:$K$50000,"致命",缺陷明细!$AB$2:$AB$50000,"&lt;&gt;丢弃",缺陷明细!$AB$2:$AB$50000,"&lt;&gt;设计如此",缺陷明细!$AB$2:$AB$50000,"&lt;&gt;重复Bug")+COUNTIFS(缺陷明细!$A$2:$A$50000,$B$4,缺陷明细!$G$2:$G$50000,$C23,缺陷明细!$J$2:$J$50000,"系统测试",缺陷明细!$K$2:$K$50000,"严重",缺陷明细!$AB$2:$AB$50000,"&lt;&gt;丢弃",缺陷明细!$AB$2:$AB$50000,"&lt;&gt;设计如此",缺陷明细!$AB$2:$AB$50000,"&lt;&gt;重复Bug")</f>
        <v>0</v>
      </c>
      <c r="T23" s="73">
        <f>COUNTIFS(缺陷明细!$A$2:$A$50000,$B$4,缺陷明细!$G$2:$G$50000,$C23,缺陷明细!$Q$2:$Q$50000,"已关闭",缺陷明细!$J$2:$J$50000,"系统测试",缺陷明细!$K$2:$K$50000,"致命")+COUNTIFS(缺陷明细!$A$2:$A$50000,$B$4,缺陷明细!$G$2:$G$50000,$C23,缺陷明细!$Q$2:$Q$50000,"已关闭",缺陷明细!$J$2:$J$50000,"系统测试",缺陷明细!$K$2:$K$50000,"严重")</f>
        <v>0</v>
      </c>
      <c r="U23" s="74">
        <f>COUNTIFS(缺陷明细!$A$2:$A$50000,$B$4,缺陷明细!$G$2:$G$50000,$C23,缺陷明细!$J$2:$J$50000,"验收测试",缺陷明细!$AB$2:$AB$50000,"&lt;&gt;丢弃",缺陷明细!$AB$2:$AB$50000,"&lt;&gt;设计如此",缺陷明细!$AB$2:$AB$50000,"&lt;&gt;重复Bug")</f>
        <v>0</v>
      </c>
      <c r="V23" s="75">
        <f>COUNTIFS(缺陷明细!$A$2:$A$50000,$B$4,缺陷明细!$G$2:$G$50000,$C23,缺陷明细!$Q$2:$Q$50000,"已关闭",缺陷明细!$J$2:$J$50000,"验收测试")</f>
        <v>0</v>
      </c>
      <c r="W23" s="75">
        <f>COUNTIFS(缺陷明细!$A$2:$A$50000,$B$4,缺陷明细!$G$2:$G$50000,$C23,缺陷明细!$J$2:$J$50000,"验收测试",缺陷明细!$K$2:$K$50000,"致命",缺陷明细!$AB$2:$AB$50000,"&lt;&gt;丢弃",缺陷明细!$AB$2:$AB$50000,"&lt;&gt;设计如此",缺陷明细!$AB$2:$AB$50000,"&lt;&gt;重复Bug")+COUNTIFS(缺陷明细!$A$2:$A$50000,$B$4,缺陷明细!$G$2:$G$50000,$C23,缺陷明细!$J$2:$J$50000,"验收测试",缺陷明细!$K$2:$K$50000,"严重",缺陷明细!$AB$2:$AB$50000,"&lt;&gt;丢弃",缺陷明细!$AB$2:$AB$50000,"&lt;&gt;设计如此",缺陷明细!$AB$2:$AB$50000,"&lt;&gt;重复Bug")</f>
        <v>0</v>
      </c>
      <c r="X23" s="76">
        <f>COUNTIFS(缺陷明细!$A$2:$A$50000,$B$4,缺陷明细!$G$2:$G$50000,$C23,缺陷明细!$Q$2:$Q$50000,"已关闭",缺陷明细!$J$2:$J$50000,"验收测试",缺陷明细!$K$2:$K$50000,"致命")+COUNTIFS(缺陷明细!$A$2:$A$50000,$B$4,缺陷明细!$G$2:$G$50000,$C23,缺陷明细!$Q$2:$Q$50000,"已关闭",缺陷明细!$J$2:$J$50000,"验收测试",缺陷明细!$K$2:$K$50000,"严重")</f>
        <v>0</v>
      </c>
      <c r="Y23" s="70">
        <f>COUNTIFS(缺陷明细!$A$2:$A$50000,$B$4,缺陷明细!$G$2:$G$50000,$C23,缺陷明细!$J$2:$J$50000,"运维测试",缺陷明细!$AB$2:$AB$50000,"&lt;&gt;丢弃",缺陷明细!$AB$2:$AB$50000,"&lt;&gt;设计如此",缺陷明细!$AB$2:$AB$50000,"&lt;&gt;重复Bug")</f>
        <v>0</v>
      </c>
      <c r="Z23" s="71">
        <f>COUNTIFS(缺陷明细!$A$2:$A$50000,$B$4,缺陷明细!$G$2:$G$50000,$C23,缺陷明细!$Q$2:$Q$50000,"已关闭",缺陷明细!$J$2:$J$50000,"运维测试")</f>
        <v>0</v>
      </c>
      <c r="AA23" s="72">
        <f>COUNTIFS(缺陷明细!$A$2:$A$50000,$B$4,缺陷明细!$G$2:$G$50000,$C23,缺陷明细!$J$2:$J$50000,"运维测试",缺陷明细!$K$2:$K$50000,"致命",缺陷明细!$AB$2:$AB$50000,"&lt;&gt;丢弃",缺陷明细!$AB$2:$AB$50000,"&lt;&gt;设计如此",缺陷明细!$AB$2:$AB$50000,"&lt;&gt;重复Bug")+COUNTIFS(缺陷明细!$A$2:$A$50000,$B$4,缺陷明细!$G$2:$G$50000,$C23,缺陷明细!$J$2:$J$50000,"运维测试",缺陷明细!$K$2:$K$50000,"严重",缺陷明细!$AB$2:$AB$50000,"&lt;&gt;丢弃",缺陷明细!$AB$2:$AB$50000,"&lt;&gt;设计如此",缺陷明细!$AB$2:$AB$50000,"&lt;&gt;重复Bug")</f>
        <v>0</v>
      </c>
      <c r="AB23" s="73">
        <f>COUNTIFS(缺陷明细!$A$2:$A$50000,$B$4,缺陷明细!$G$2:$G$50000,$C23,缺陷明细!$Q$2:$Q$50000,"已关闭",缺陷明细!$J$2:$J$50000,"运维测试",缺陷明细!$K$2:$K$50000,"致命")+COUNTIFS(缺陷明细!$A$2:$A$50000,$B$4,缺陷明细!$G$2:$G$50000,$C23,缺陷明细!$Q$2:$Q$50000,"已关闭",缺陷明细!$J$2:$J$50000,"运维测试",缺陷明细!$K$2:$K$50000,"严重")</f>
        <v>0</v>
      </c>
      <c r="AC23" s="68">
        <f t="shared" si="0"/>
        <v>0</v>
      </c>
      <c r="AD23" s="60">
        <f t="shared" si="0"/>
        <v>0</v>
      </c>
      <c r="AE23" s="60">
        <f t="shared" si="1"/>
        <v>0</v>
      </c>
      <c r="AF23" s="60">
        <f t="shared" si="1"/>
        <v>0</v>
      </c>
      <c r="AG23" s="60">
        <f t="shared" si="2"/>
        <v>0</v>
      </c>
      <c r="AH23" s="60">
        <f t="shared" si="2"/>
        <v>0</v>
      </c>
      <c r="AI23" s="60">
        <f t="shared" si="3"/>
        <v>0</v>
      </c>
      <c r="AJ23" s="61">
        <f t="shared" si="3"/>
        <v>0</v>
      </c>
      <c r="AK23" s="144"/>
    </row>
    <row r="24" spans="1:37" ht="25.5">
      <c r="A24">
        <v>20</v>
      </c>
      <c r="B24" s="57">
        <v>434</v>
      </c>
      <c r="C24" s="58" t="s">
        <v>364</v>
      </c>
      <c r="D24" s="84" t="s">
        <v>343</v>
      </c>
      <c r="E24" s="82" t="s">
        <v>346</v>
      </c>
      <c r="F24" s="158">
        <v>1</v>
      </c>
      <c r="G24" s="159">
        <v>1.5</v>
      </c>
      <c r="H24" s="281">
        <f>COUNTIFS(缺陷明细!$A$2:$A$50000,$B$4,缺陷明细!$G$2:$G$50000,$C24,缺陷明细!$J$2:$J$50000,"评审",缺陷明细!$AB$2:$AB$50000,"&lt;&gt;丢弃",缺陷明细!$AB$2:$AB$50000,"&lt;&gt;设计如此",缺陷明细!$AB$2:$AB$50000,"&lt;&gt;重复Bug")</f>
        <v>0</v>
      </c>
      <c r="I24" s="154">
        <f>COUNTIFS(缺陷明细!$A$2:$A$50000,$B$4,缺陷明细!$G$2:$G$50000,$C24,缺陷明细!$Q$2:$Q$50000,"已关闭",缺陷明细!$J$2:$J$50000,"评审")</f>
        <v>0</v>
      </c>
      <c r="J24" s="154">
        <f>COUNTIFS(缺陷明细!$A$2:$A$50000,$B$4,缺陷明细!$G$2:$G$50000,$C24,缺陷明细!$J$2:$J$50000,"单元测试",缺陷明细!$AB$2:$AB$50000,"&lt;&gt;丢弃",缺陷明细!$AB$2:$AB$50000,"&lt;&gt;设计如此",缺陷明细!$AB$2:$AB$50000,"&lt;&gt;重复Bug")</f>
        <v>0</v>
      </c>
      <c r="K24" s="155">
        <f>COUNTIFS(缺陷明细!$A$2:$A$50000,$B$4,缺陷明细!$G$2:$G$50000,$C24,缺陷明细!$Q$2:$Q$50000,"已关闭",缺陷明细!$J$2:$J$50000,"单元测试")</f>
        <v>0</v>
      </c>
      <c r="L24" s="156"/>
      <c r="M24" s="157"/>
      <c r="N24" s="72">
        <f>COUNTIFS(缺陷明细!$A$2:$A$50000,$B$4,缺陷明细!$G$2:$G$50000,$C24,缺陷明细!$J$2:$J$50000,"系统测试案例评审",缺陷明细!$AB$2:$AB$50000,"&lt;&gt;丢弃",缺陷明细!$AB$2:$AB$50000,"&lt;&gt;设计如此",缺陷明细!$AB$2:$AB$50000,"&lt;&gt;重复Bug")</f>
        <v>0</v>
      </c>
      <c r="O24" s="72">
        <f>COUNTIFS(缺陷明细!$A$2:$A$50000,$B$4,缺陷明细!$G$2:$G$50000,$C24,缺陷明细!$Q$2:$Q$50000,"已关闭",缺陷明细!$J$2:$J$50000,"系统测试案例评审")</f>
        <v>0</v>
      </c>
      <c r="P24" s="72">
        <f>COUNTIFS(缺陷明细!$A$2:$A$50000,$B$4,缺陷明细!$G$2:$G$50000,$C24,缺陷明细!$J$2:$J$50000,"系统测试",缺陷明细!$AB$2:$AB$50000,"&lt;&gt;丢弃",缺陷明细!$AB$2:$AB$50000,"&lt;&gt;设计如此",缺陷明细!$AB$2:$AB$50000,"&lt;&gt;重复Bug")</f>
        <v>0</v>
      </c>
      <c r="Q24" s="72">
        <f>COUNTIFS(缺陷明细!$A$2:$A$50000,$B$4,缺陷明细!$G$2:$G$50000,$C24,缺陷明细!$Q$2:$Q$50000,"已关闭",缺陷明细!$J$2:$J$50000,"系统测试")</f>
        <v>0</v>
      </c>
      <c r="R24" s="296">
        <f>COUNTIFS(缺陷明细!$A$2:$A$50000,$B$4,缺陷明细!$G$2:$G$50000,$C24,缺陷明细!$AB$2:$AB$50000,"丢弃",缺陷明细!$J$2:$J$50000,"系统测试")+COUNTIFS(缺陷明细!$A$2:$A$50000,$B$4,缺陷明细!$G$2:$G$50000,$C24,缺陷明细!$AB$2:$AB$50000,"设计如此",缺陷明细!$J$2:$J$50000,"系统测试")+COUNTIFS(缺陷明细!$A$2:$A$50000,$B$4,缺陷明细!$G$2:$G$50000,$C24,缺陷明细!$AB$2:$AB$50000,"重复Bug",缺陷明细!$J$2:$J$50000,"系统测试")</f>
        <v>0</v>
      </c>
      <c r="S24" s="72">
        <f>COUNTIFS(缺陷明细!$A$2:$A$50000,$B$4,缺陷明细!$G$2:$G$50000,$C24,缺陷明细!$J$2:$J$50000,"系统测试",缺陷明细!$K$2:$K$50000,"致命",缺陷明细!$AB$2:$AB$50000,"&lt;&gt;丢弃",缺陷明细!$AB$2:$AB$50000,"&lt;&gt;设计如此",缺陷明细!$AB$2:$AB$50000,"&lt;&gt;重复Bug")+COUNTIFS(缺陷明细!$A$2:$A$50000,$B$4,缺陷明细!$G$2:$G$50000,$C24,缺陷明细!$J$2:$J$50000,"系统测试",缺陷明细!$K$2:$K$50000,"严重",缺陷明细!$AB$2:$AB$50000,"&lt;&gt;丢弃",缺陷明细!$AB$2:$AB$50000,"&lt;&gt;设计如此",缺陷明细!$AB$2:$AB$50000,"&lt;&gt;重复Bug")</f>
        <v>0</v>
      </c>
      <c r="T24" s="73">
        <f>COUNTIFS(缺陷明细!$A$2:$A$50000,$B$4,缺陷明细!$G$2:$G$50000,$C24,缺陷明细!$Q$2:$Q$50000,"已关闭",缺陷明细!$J$2:$J$50000,"系统测试",缺陷明细!$K$2:$K$50000,"致命")+COUNTIFS(缺陷明细!$A$2:$A$50000,$B$4,缺陷明细!$G$2:$G$50000,$C24,缺陷明细!$Q$2:$Q$50000,"已关闭",缺陷明细!$J$2:$J$50000,"系统测试",缺陷明细!$K$2:$K$50000,"严重")</f>
        <v>0</v>
      </c>
      <c r="U24" s="74">
        <f>COUNTIFS(缺陷明细!$A$2:$A$50000,$B$4,缺陷明细!$G$2:$G$50000,$C24,缺陷明细!$J$2:$J$50000,"验收测试",缺陷明细!$AB$2:$AB$50000,"&lt;&gt;丢弃",缺陷明细!$AB$2:$AB$50000,"&lt;&gt;设计如此",缺陷明细!$AB$2:$AB$50000,"&lt;&gt;重复Bug")</f>
        <v>0</v>
      </c>
      <c r="V24" s="75">
        <f>COUNTIFS(缺陷明细!$A$2:$A$50000,$B$4,缺陷明细!$G$2:$G$50000,$C24,缺陷明细!$Q$2:$Q$50000,"已关闭",缺陷明细!$J$2:$J$50000,"验收测试")</f>
        <v>0</v>
      </c>
      <c r="W24" s="75">
        <f>COUNTIFS(缺陷明细!$A$2:$A$50000,$B$4,缺陷明细!$G$2:$G$50000,$C24,缺陷明细!$J$2:$J$50000,"验收测试",缺陷明细!$K$2:$K$50000,"致命",缺陷明细!$AB$2:$AB$50000,"&lt;&gt;丢弃",缺陷明细!$AB$2:$AB$50000,"&lt;&gt;设计如此",缺陷明细!$AB$2:$AB$50000,"&lt;&gt;重复Bug")+COUNTIFS(缺陷明细!$A$2:$A$50000,$B$4,缺陷明细!$G$2:$G$50000,$C24,缺陷明细!$J$2:$J$50000,"验收测试",缺陷明细!$K$2:$K$50000,"严重",缺陷明细!$AB$2:$AB$50000,"&lt;&gt;丢弃",缺陷明细!$AB$2:$AB$50000,"&lt;&gt;设计如此",缺陷明细!$AB$2:$AB$50000,"&lt;&gt;重复Bug")</f>
        <v>0</v>
      </c>
      <c r="X24" s="76">
        <f>COUNTIFS(缺陷明细!$A$2:$A$50000,$B$4,缺陷明细!$G$2:$G$50000,$C24,缺陷明细!$Q$2:$Q$50000,"已关闭",缺陷明细!$J$2:$J$50000,"验收测试",缺陷明细!$K$2:$K$50000,"致命")+COUNTIFS(缺陷明细!$A$2:$A$50000,$B$4,缺陷明细!$G$2:$G$50000,$C24,缺陷明细!$Q$2:$Q$50000,"已关闭",缺陷明细!$J$2:$J$50000,"验收测试",缺陷明细!$K$2:$K$50000,"严重")</f>
        <v>0</v>
      </c>
      <c r="Y24" s="70">
        <f>COUNTIFS(缺陷明细!$A$2:$A$50000,$B$4,缺陷明细!$G$2:$G$50000,$C24,缺陷明细!$J$2:$J$50000,"运维测试",缺陷明细!$AB$2:$AB$50000,"&lt;&gt;丢弃",缺陷明细!$AB$2:$AB$50000,"&lt;&gt;设计如此",缺陷明细!$AB$2:$AB$50000,"&lt;&gt;重复Bug")</f>
        <v>0</v>
      </c>
      <c r="Z24" s="71">
        <f>COUNTIFS(缺陷明细!$A$2:$A$50000,$B$4,缺陷明细!$G$2:$G$50000,$C24,缺陷明细!$Q$2:$Q$50000,"已关闭",缺陷明细!$J$2:$J$50000,"运维测试")</f>
        <v>0</v>
      </c>
      <c r="AA24" s="72">
        <f>COUNTIFS(缺陷明细!$A$2:$A$50000,$B$4,缺陷明细!$G$2:$G$50000,$C24,缺陷明细!$J$2:$J$50000,"运维测试",缺陷明细!$K$2:$K$50000,"致命",缺陷明细!$AB$2:$AB$50000,"&lt;&gt;丢弃",缺陷明细!$AB$2:$AB$50000,"&lt;&gt;设计如此",缺陷明细!$AB$2:$AB$50000,"&lt;&gt;重复Bug")+COUNTIFS(缺陷明细!$A$2:$A$50000,$B$4,缺陷明细!$G$2:$G$50000,$C24,缺陷明细!$J$2:$J$50000,"运维测试",缺陷明细!$K$2:$K$50000,"严重",缺陷明细!$AB$2:$AB$50000,"&lt;&gt;丢弃",缺陷明细!$AB$2:$AB$50000,"&lt;&gt;设计如此",缺陷明细!$AB$2:$AB$50000,"&lt;&gt;重复Bug")</f>
        <v>0</v>
      </c>
      <c r="AB24" s="73">
        <f>COUNTIFS(缺陷明细!$A$2:$A$50000,$B$4,缺陷明细!$G$2:$G$50000,$C24,缺陷明细!$Q$2:$Q$50000,"已关闭",缺陷明细!$J$2:$J$50000,"运维测试",缺陷明细!$K$2:$K$50000,"致命")+COUNTIFS(缺陷明细!$A$2:$A$50000,$B$4,缺陷明细!$G$2:$G$50000,$C24,缺陷明细!$Q$2:$Q$50000,"已关闭",缺陷明细!$J$2:$J$50000,"运维测试",缺陷明细!$K$2:$K$50000,"严重")</f>
        <v>0</v>
      </c>
      <c r="AC24" s="68">
        <f t="shared" si="0"/>
        <v>0</v>
      </c>
      <c r="AD24" s="60">
        <f t="shared" si="0"/>
        <v>0</v>
      </c>
      <c r="AE24" s="60">
        <f t="shared" si="1"/>
        <v>0</v>
      </c>
      <c r="AF24" s="60">
        <f t="shared" si="1"/>
        <v>0</v>
      </c>
      <c r="AG24" s="60">
        <f t="shared" si="2"/>
        <v>0</v>
      </c>
      <c r="AH24" s="60">
        <f t="shared" si="2"/>
        <v>0</v>
      </c>
      <c r="AI24" s="60">
        <f t="shared" si="3"/>
        <v>0</v>
      </c>
      <c r="AJ24" s="61">
        <f t="shared" si="3"/>
        <v>0</v>
      </c>
      <c r="AK24" s="144"/>
    </row>
    <row r="25" spans="1:37" ht="25.5">
      <c r="A25">
        <v>21</v>
      </c>
      <c r="B25" s="57">
        <v>435</v>
      </c>
      <c r="C25" s="58" t="s">
        <v>365</v>
      </c>
      <c r="D25" s="84" t="s">
        <v>343</v>
      </c>
      <c r="E25" s="82" t="s">
        <v>346</v>
      </c>
      <c r="F25" s="158">
        <v>8</v>
      </c>
      <c r="G25" s="159">
        <v>2</v>
      </c>
      <c r="H25" s="281">
        <f>COUNTIFS(缺陷明细!$A$2:$A$50000,$B$4,缺陷明细!$G$2:$G$50000,$C25,缺陷明细!$J$2:$J$50000,"评审",缺陷明细!$AB$2:$AB$50000,"&lt;&gt;丢弃",缺陷明细!$AB$2:$AB$50000,"&lt;&gt;设计如此",缺陷明细!$AB$2:$AB$50000,"&lt;&gt;重复Bug")</f>
        <v>0</v>
      </c>
      <c r="I25" s="154">
        <f>COUNTIFS(缺陷明细!$A$2:$A$50000,$B$4,缺陷明细!$G$2:$G$50000,$C25,缺陷明细!$Q$2:$Q$50000,"已关闭",缺陷明细!$J$2:$J$50000,"评审")</f>
        <v>0</v>
      </c>
      <c r="J25" s="154">
        <f>COUNTIFS(缺陷明细!$A$2:$A$50000,$B$4,缺陷明细!$G$2:$G$50000,$C25,缺陷明细!$J$2:$J$50000,"单元测试",缺陷明细!$AB$2:$AB$50000,"&lt;&gt;丢弃",缺陷明细!$AB$2:$AB$50000,"&lt;&gt;设计如此",缺陷明细!$AB$2:$AB$50000,"&lt;&gt;重复Bug")</f>
        <v>0</v>
      </c>
      <c r="K25" s="155">
        <f>COUNTIFS(缺陷明细!$A$2:$A$50000,$B$4,缺陷明细!$G$2:$G$50000,$C25,缺陷明细!$Q$2:$Q$50000,"已关闭",缺陷明细!$J$2:$J$50000,"单元测试")</f>
        <v>0</v>
      </c>
      <c r="L25" s="156"/>
      <c r="M25" s="157"/>
      <c r="N25" s="72">
        <f>COUNTIFS(缺陷明细!$A$2:$A$50000,$B$4,缺陷明细!$G$2:$G$50000,$C25,缺陷明细!$J$2:$J$50000,"系统测试案例评审",缺陷明细!$AB$2:$AB$50000,"&lt;&gt;丢弃",缺陷明细!$AB$2:$AB$50000,"&lt;&gt;设计如此",缺陷明细!$AB$2:$AB$50000,"&lt;&gt;重复Bug")</f>
        <v>0</v>
      </c>
      <c r="O25" s="72">
        <f>COUNTIFS(缺陷明细!$A$2:$A$50000,$B$4,缺陷明细!$G$2:$G$50000,$C25,缺陷明细!$Q$2:$Q$50000,"已关闭",缺陷明细!$J$2:$J$50000,"系统测试案例评审")</f>
        <v>0</v>
      </c>
      <c r="P25" s="72">
        <f>COUNTIFS(缺陷明细!$A$2:$A$50000,$B$4,缺陷明细!$G$2:$G$50000,$C25,缺陷明细!$J$2:$J$50000,"系统测试",缺陷明细!$AB$2:$AB$50000,"&lt;&gt;丢弃",缺陷明细!$AB$2:$AB$50000,"&lt;&gt;设计如此",缺陷明细!$AB$2:$AB$50000,"&lt;&gt;重复Bug")</f>
        <v>0</v>
      </c>
      <c r="Q25" s="72">
        <f>COUNTIFS(缺陷明细!$A$2:$A$50000,$B$4,缺陷明细!$G$2:$G$50000,$C25,缺陷明细!$Q$2:$Q$50000,"已关闭",缺陷明细!$J$2:$J$50000,"系统测试")</f>
        <v>0</v>
      </c>
      <c r="R25" s="296">
        <f>COUNTIFS(缺陷明细!$A$2:$A$50000,$B$4,缺陷明细!$G$2:$G$50000,$C25,缺陷明细!$AB$2:$AB$50000,"丢弃",缺陷明细!$J$2:$J$50000,"系统测试")+COUNTIFS(缺陷明细!$A$2:$A$50000,$B$4,缺陷明细!$G$2:$G$50000,$C25,缺陷明细!$AB$2:$AB$50000,"设计如此",缺陷明细!$J$2:$J$50000,"系统测试")+COUNTIFS(缺陷明细!$A$2:$A$50000,$B$4,缺陷明细!$G$2:$G$50000,$C25,缺陷明细!$AB$2:$AB$50000,"重复Bug",缺陷明细!$J$2:$J$50000,"系统测试")</f>
        <v>0</v>
      </c>
      <c r="S25" s="72">
        <f>COUNTIFS(缺陷明细!$A$2:$A$50000,$B$4,缺陷明细!$G$2:$G$50000,$C25,缺陷明细!$J$2:$J$50000,"系统测试",缺陷明细!$K$2:$K$50000,"致命",缺陷明细!$AB$2:$AB$50000,"&lt;&gt;丢弃",缺陷明细!$AB$2:$AB$50000,"&lt;&gt;设计如此",缺陷明细!$AB$2:$AB$50000,"&lt;&gt;重复Bug")+COUNTIFS(缺陷明细!$A$2:$A$50000,$B$4,缺陷明细!$G$2:$G$50000,$C25,缺陷明细!$J$2:$J$50000,"系统测试",缺陷明细!$K$2:$K$50000,"严重",缺陷明细!$AB$2:$AB$50000,"&lt;&gt;丢弃",缺陷明细!$AB$2:$AB$50000,"&lt;&gt;设计如此",缺陷明细!$AB$2:$AB$50000,"&lt;&gt;重复Bug")</f>
        <v>0</v>
      </c>
      <c r="T25" s="73">
        <f>COUNTIFS(缺陷明细!$A$2:$A$50000,$B$4,缺陷明细!$G$2:$G$50000,$C25,缺陷明细!$Q$2:$Q$50000,"已关闭",缺陷明细!$J$2:$J$50000,"系统测试",缺陷明细!$K$2:$K$50000,"致命")+COUNTIFS(缺陷明细!$A$2:$A$50000,$B$4,缺陷明细!$G$2:$G$50000,$C25,缺陷明细!$Q$2:$Q$50000,"已关闭",缺陷明细!$J$2:$J$50000,"系统测试",缺陷明细!$K$2:$K$50000,"严重")</f>
        <v>0</v>
      </c>
      <c r="U25" s="74">
        <f>COUNTIFS(缺陷明细!$A$2:$A$50000,$B$4,缺陷明细!$G$2:$G$50000,$C25,缺陷明细!$J$2:$J$50000,"验收测试",缺陷明细!$AB$2:$AB$50000,"&lt;&gt;丢弃",缺陷明细!$AB$2:$AB$50000,"&lt;&gt;设计如此",缺陷明细!$AB$2:$AB$50000,"&lt;&gt;重复Bug")</f>
        <v>0</v>
      </c>
      <c r="V25" s="75">
        <f>COUNTIFS(缺陷明细!$A$2:$A$50000,$B$4,缺陷明细!$G$2:$G$50000,$C25,缺陷明细!$Q$2:$Q$50000,"已关闭",缺陷明细!$J$2:$J$50000,"验收测试")</f>
        <v>0</v>
      </c>
      <c r="W25" s="75">
        <f>COUNTIFS(缺陷明细!$A$2:$A$50000,$B$4,缺陷明细!$G$2:$G$50000,$C25,缺陷明细!$J$2:$J$50000,"验收测试",缺陷明细!$K$2:$K$50000,"致命",缺陷明细!$AB$2:$AB$50000,"&lt;&gt;丢弃",缺陷明细!$AB$2:$AB$50000,"&lt;&gt;设计如此",缺陷明细!$AB$2:$AB$50000,"&lt;&gt;重复Bug")+COUNTIFS(缺陷明细!$A$2:$A$50000,$B$4,缺陷明细!$G$2:$G$50000,$C25,缺陷明细!$J$2:$J$50000,"验收测试",缺陷明细!$K$2:$K$50000,"严重",缺陷明细!$AB$2:$AB$50000,"&lt;&gt;丢弃",缺陷明细!$AB$2:$AB$50000,"&lt;&gt;设计如此",缺陷明细!$AB$2:$AB$50000,"&lt;&gt;重复Bug")</f>
        <v>0</v>
      </c>
      <c r="X25" s="76">
        <f>COUNTIFS(缺陷明细!$A$2:$A$50000,$B$4,缺陷明细!$G$2:$G$50000,$C25,缺陷明细!$Q$2:$Q$50000,"已关闭",缺陷明细!$J$2:$J$50000,"验收测试",缺陷明细!$K$2:$K$50000,"致命")+COUNTIFS(缺陷明细!$A$2:$A$50000,$B$4,缺陷明细!$G$2:$G$50000,$C25,缺陷明细!$Q$2:$Q$50000,"已关闭",缺陷明细!$J$2:$J$50000,"验收测试",缺陷明细!$K$2:$K$50000,"严重")</f>
        <v>0</v>
      </c>
      <c r="Y25" s="70">
        <f>COUNTIFS(缺陷明细!$A$2:$A$50000,$B$4,缺陷明细!$G$2:$G$50000,$C25,缺陷明细!$J$2:$J$50000,"运维测试",缺陷明细!$AB$2:$AB$50000,"&lt;&gt;丢弃",缺陷明细!$AB$2:$AB$50000,"&lt;&gt;设计如此",缺陷明细!$AB$2:$AB$50000,"&lt;&gt;重复Bug")</f>
        <v>0</v>
      </c>
      <c r="Z25" s="71">
        <f>COUNTIFS(缺陷明细!$A$2:$A$50000,$B$4,缺陷明细!$G$2:$G$50000,$C25,缺陷明细!$Q$2:$Q$50000,"已关闭",缺陷明细!$J$2:$J$50000,"运维测试")</f>
        <v>0</v>
      </c>
      <c r="AA25" s="72">
        <f>COUNTIFS(缺陷明细!$A$2:$A$50000,$B$4,缺陷明细!$G$2:$G$50000,$C25,缺陷明细!$J$2:$J$50000,"运维测试",缺陷明细!$K$2:$K$50000,"致命",缺陷明细!$AB$2:$AB$50000,"&lt;&gt;丢弃",缺陷明细!$AB$2:$AB$50000,"&lt;&gt;设计如此",缺陷明细!$AB$2:$AB$50000,"&lt;&gt;重复Bug")+COUNTIFS(缺陷明细!$A$2:$A$50000,$B$4,缺陷明细!$G$2:$G$50000,$C25,缺陷明细!$J$2:$J$50000,"运维测试",缺陷明细!$K$2:$K$50000,"严重",缺陷明细!$AB$2:$AB$50000,"&lt;&gt;丢弃",缺陷明细!$AB$2:$AB$50000,"&lt;&gt;设计如此",缺陷明细!$AB$2:$AB$50000,"&lt;&gt;重复Bug")</f>
        <v>0</v>
      </c>
      <c r="AB25" s="73">
        <f>COUNTIFS(缺陷明细!$A$2:$A$50000,$B$4,缺陷明细!$G$2:$G$50000,$C25,缺陷明细!$Q$2:$Q$50000,"已关闭",缺陷明细!$J$2:$J$50000,"运维测试",缺陷明细!$K$2:$K$50000,"致命")+COUNTIFS(缺陷明细!$A$2:$A$50000,$B$4,缺陷明细!$G$2:$G$50000,$C25,缺陷明细!$Q$2:$Q$50000,"已关闭",缺陷明细!$J$2:$J$50000,"运维测试",缺陷明细!$K$2:$K$50000,"严重")</f>
        <v>0</v>
      </c>
      <c r="AC25" s="68">
        <f t="shared" si="0"/>
        <v>0</v>
      </c>
      <c r="AD25" s="60">
        <f t="shared" si="0"/>
        <v>0</v>
      </c>
      <c r="AE25" s="60">
        <f t="shared" si="1"/>
        <v>0</v>
      </c>
      <c r="AF25" s="60">
        <f t="shared" si="1"/>
        <v>0</v>
      </c>
      <c r="AG25" s="60">
        <f t="shared" si="2"/>
        <v>0</v>
      </c>
      <c r="AH25" s="60">
        <f t="shared" si="2"/>
        <v>0</v>
      </c>
      <c r="AI25" s="60">
        <f t="shared" si="3"/>
        <v>0</v>
      </c>
      <c r="AJ25" s="61">
        <f t="shared" si="3"/>
        <v>0</v>
      </c>
      <c r="AK25" s="144"/>
    </row>
    <row r="26" spans="1:37" ht="38.25">
      <c r="A26">
        <v>22</v>
      </c>
      <c r="B26" s="57">
        <v>437</v>
      </c>
      <c r="C26" s="58" t="s">
        <v>366</v>
      </c>
      <c r="D26" s="84" t="s">
        <v>343</v>
      </c>
      <c r="E26" s="82" t="s">
        <v>346</v>
      </c>
      <c r="F26" s="158">
        <v>1</v>
      </c>
      <c r="G26" s="159">
        <v>1.5</v>
      </c>
      <c r="H26" s="281">
        <f>COUNTIFS(缺陷明细!$A$2:$A$50000,$B$4,缺陷明细!$G$2:$G$50000,$C26,缺陷明细!$J$2:$J$50000,"评审",缺陷明细!$AB$2:$AB$50000,"&lt;&gt;丢弃",缺陷明细!$AB$2:$AB$50000,"&lt;&gt;设计如此",缺陷明细!$AB$2:$AB$50000,"&lt;&gt;重复Bug")</f>
        <v>0</v>
      </c>
      <c r="I26" s="154">
        <f>COUNTIFS(缺陷明细!$A$2:$A$50000,$B$4,缺陷明细!$G$2:$G$50000,$C26,缺陷明细!$Q$2:$Q$50000,"已关闭",缺陷明细!$J$2:$J$50000,"评审")</f>
        <v>0</v>
      </c>
      <c r="J26" s="154">
        <f>COUNTIFS(缺陷明细!$A$2:$A$50000,$B$4,缺陷明细!$G$2:$G$50000,$C26,缺陷明细!$J$2:$J$50000,"单元测试",缺陷明细!$AB$2:$AB$50000,"&lt;&gt;丢弃",缺陷明细!$AB$2:$AB$50000,"&lt;&gt;设计如此",缺陷明细!$AB$2:$AB$50000,"&lt;&gt;重复Bug")</f>
        <v>0</v>
      </c>
      <c r="K26" s="155">
        <f>COUNTIFS(缺陷明细!$A$2:$A$50000,$B$4,缺陷明细!$G$2:$G$50000,$C26,缺陷明细!$Q$2:$Q$50000,"已关闭",缺陷明细!$J$2:$J$50000,"单元测试")</f>
        <v>0</v>
      </c>
      <c r="L26" s="156"/>
      <c r="M26" s="157"/>
      <c r="N26" s="72">
        <f>COUNTIFS(缺陷明细!$A$2:$A$50000,$B$4,缺陷明细!$G$2:$G$50000,$C26,缺陷明细!$J$2:$J$50000,"系统测试案例评审",缺陷明细!$AB$2:$AB$50000,"&lt;&gt;丢弃",缺陷明细!$AB$2:$AB$50000,"&lt;&gt;设计如此",缺陷明细!$AB$2:$AB$50000,"&lt;&gt;重复Bug")</f>
        <v>0</v>
      </c>
      <c r="O26" s="72">
        <f>COUNTIFS(缺陷明细!$A$2:$A$50000,$B$4,缺陷明细!$G$2:$G$50000,$C26,缺陷明细!$Q$2:$Q$50000,"已关闭",缺陷明细!$J$2:$J$50000,"系统测试案例评审")</f>
        <v>0</v>
      </c>
      <c r="P26" s="72">
        <f>COUNTIFS(缺陷明细!$A$2:$A$50000,$B$4,缺陷明细!$G$2:$G$50000,$C26,缺陷明细!$J$2:$J$50000,"系统测试",缺陷明细!$AB$2:$AB$50000,"&lt;&gt;丢弃",缺陷明细!$AB$2:$AB$50000,"&lt;&gt;设计如此",缺陷明细!$AB$2:$AB$50000,"&lt;&gt;重复Bug")</f>
        <v>0</v>
      </c>
      <c r="Q26" s="72">
        <f>COUNTIFS(缺陷明细!$A$2:$A$50000,$B$4,缺陷明细!$G$2:$G$50000,$C26,缺陷明细!$Q$2:$Q$50000,"已关闭",缺陷明细!$J$2:$J$50000,"系统测试")</f>
        <v>0</v>
      </c>
      <c r="R26" s="296">
        <f>COUNTIFS(缺陷明细!$A$2:$A$50000,$B$4,缺陷明细!$G$2:$G$50000,$C26,缺陷明细!$AB$2:$AB$50000,"丢弃",缺陷明细!$J$2:$J$50000,"系统测试")+COUNTIFS(缺陷明细!$A$2:$A$50000,$B$4,缺陷明细!$G$2:$G$50000,$C26,缺陷明细!$AB$2:$AB$50000,"设计如此",缺陷明细!$J$2:$J$50000,"系统测试")+COUNTIFS(缺陷明细!$A$2:$A$50000,$B$4,缺陷明细!$G$2:$G$50000,$C26,缺陷明细!$AB$2:$AB$50000,"重复Bug",缺陷明细!$J$2:$J$50000,"系统测试")</f>
        <v>0</v>
      </c>
      <c r="S26" s="72">
        <f>COUNTIFS(缺陷明细!$A$2:$A$50000,$B$4,缺陷明细!$G$2:$G$50000,$C26,缺陷明细!$J$2:$J$50000,"系统测试",缺陷明细!$K$2:$K$50000,"致命",缺陷明细!$AB$2:$AB$50000,"&lt;&gt;丢弃",缺陷明细!$AB$2:$AB$50000,"&lt;&gt;设计如此",缺陷明细!$AB$2:$AB$50000,"&lt;&gt;重复Bug")+COUNTIFS(缺陷明细!$A$2:$A$50000,$B$4,缺陷明细!$G$2:$G$50000,$C26,缺陷明细!$J$2:$J$50000,"系统测试",缺陷明细!$K$2:$K$50000,"严重",缺陷明细!$AB$2:$AB$50000,"&lt;&gt;丢弃",缺陷明细!$AB$2:$AB$50000,"&lt;&gt;设计如此",缺陷明细!$AB$2:$AB$50000,"&lt;&gt;重复Bug")</f>
        <v>0</v>
      </c>
      <c r="T26" s="73">
        <f>COUNTIFS(缺陷明细!$A$2:$A$50000,$B$4,缺陷明细!$G$2:$G$50000,$C26,缺陷明细!$Q$2:$Q$50000,"已关闭",缺陷明细!$J$2:$J$50000,"系统测试",缺陷明细!$K$2:$K$50000,"致命")+COUNTIFS(缺陷明细!$A$2:$A$50000,$B$4,缺陷明细!$G$2:$G$50000,$C26,缺陷明细!$Q$2:$Q$50000,"已关闭",缺陷明细!$J$2:$J$50000,"系统测试",缺陷明细!$K$2:$K$50000,"严重")</f>
        <v>0</v>
      </c>
      <c r="U26" s="74">
        <f>COUNTIFS(缺陷明细!$A$2:$A$50000,$B$4,缺陷明细!$G$2:$G$50000,$C26,缺陷明细!$J$2:$J$50000,"验收测试",缺陷明细!$AB$2:$AB$50000,"&lt;&gt;丢弃",缺陷明细!$AB$2:$AB$50000,"&lt;&gt;设计如此",缺陷明细!$AB$2:$AB$50000,"&lt;&gt;重复Bug")</f>
        <v>0</v>
      </c>
      <c r="V26" s="75">
        <f>COUNTIFS(缺陷明细!$A$2:$A$50000,$B$4,缺陷明细!$G$2:$G$50000,$C26,缺陷明细!$Q$2:$Q$50000,"已关闭",缺陷明细!$J$2:$J$50000,"验收测试")</f>
        <v>0</v>
      </c>
      <c r="W26" s="75">
        <f>COUNTIFS(缺陷明细!$A$2:$A$50000,$B$4,缺陷明细!$G$2:$G$50000,$C26,缺陷明细!$J$2:$J$50000,"验收测试",缺陷明细!$K$2:$K$50000,"致命",缺陷明细!$AB$2:$AB$50000,"&lt;&gt;丢弃",缺陷明细!$AB$2:$AB$50000,"&lt;&gt;设计如此",缺陷明细!$AB$2:$AB$50000,"&lt;&gt;重复Bug")+COUNTIFS(缺陷明细!$A$2:$A$50000,$B$4,缺陷明细!$G$2:$G$50000,$C26,缺陷明细!$J$2:$J$50000,"验收测试",缺陷明细!$K$2:$K$50000,"严重",缺陷明细!$AB$2:$AB$50000,"&lt;&gt;丢弃",缺陷明细!$AB$2:$AB$50000,"&lt;&gt;设计如此",缺陷明细!$AB$2:$AB$50000,"&lt;&gt;重复Bug")</f>
        <v>0</v>
      </c>
      <c r="X26" s="76">
        <f>COUNTIFS(缺陷明细!$A$2:$A$50000,$B$4,缺陷明细!$G$2:$G$50000,$C26,缺陷明细!$Q$2:$Q$50000,"已关闭",缺陷明细!$J$2:$J$50000,"验收测试",缺陷明细!$K$2:$K$50000,"致命")+COUNTIFS(缺陷明细!$A$2:$A$50000,$B$4,缺陷明细!$G$2:$G$50000,$C26,缺陷明细!$Q$2:$Q$50000,"已关闭",缺陷明细!$J$2:$J$50000,"验收测试",缺陷明细!$K$2:$K$50000,"严重")</f>
        <v>0</v>
      </c>
      <c r="Y26" s="70">
        <f>COUNTIFS(缺陷明细!$A$2:$A$50000,$B$4,缺陷明细!$G$2:$G$50000,$C26,缺陷明细!$J$2:$J$50000,"运维测试",缺陷明细!$AB$2:$AB$50000,"&lt;&gt;丢弃",缺陷明细!$AB$2:$AB$50000,"&lt;&gt;设计如此",缺陷明细!$AB$2:$AB$50000,"&lt;&gt;重复Bug")</f>
        <v>0</v>
      </c>
      <c r="Z26" s="71">
        <f>COUNTIFS(缺陷明细!$A$2:$A$50000,$B$4,缺陷明细!$G$2:$G$50000,$C26,缺陷明细!$Q$2:$Q$50000,"已关闭",缺陷明细!$J$2:$J$50000,"运维测试")</f>
        <v>0</v>
      </c>
      <c r="AA26" s="72">
        <f>COUNTIFS(缺陷明细!$A$2:$A$50000,$B$4,缺陷明细!$G$2:$G$50000,$C26,缺陷明细!$J$2:$J$50000,"运维测试",缺陷明细!$K$2:$K$50000,"致命",缺陷明细!$AB$2:$AB$50000,"&lt;&gt;丢弃",缺陷明细!$AB$2:$AB$50000,"&lt;&gt;设计如此",缺陷明细!$AB$2:$AB$50000,"&lt;&gt;重复Bug")+COUNTIFS(缺陷明细!$A$2:$A$50000,$B$4,缺陷明细!$G$2:$G$50000,$C26,缺陷明细!$J$2:$J$50000,"运维测试",缺陷明细!$K$2:$K$50000,"严重",缺陷明细!$AB$2:$AB$50000,"&lt;&gt;丢弃",缺陷明细!$AB$2:$AB$50000,"&lt;&gt;设计如此",缺陷明细!$AB$2:$AB$50000,"&lt;&gt;重复Bug")</f>
        <v>0</v>
      </c>
      <c r="AB26" s="73">
        <f>COUNTIFS(缺陷明细!$A$2:$A$50000,$B$4,缺陷明细!$G$2:$G$50000,$C26,缺陷明细!$Q$2:$Q$50000,"已关闭",缺陷明细!$J$2:$J$50000,"运维测试",缺陷明细!$K$2:$K$50000,"致命")+COUNTIFS(缺陷明细!$A$2:$A$50000,$B$4,缺陷明细!$G$2:$G$50000,$C26,缺陷明细!$Q$2:$Q$50000,"已关闭",缺陷明细!$J$2:$J$50000,"运维测试",缺陷明细!$K$2:$K$50000,"严重")</f>
        <v>0</v>
      </c>
      <c r="AC26" s="68">
        <f t="shared" si="0"/>
        <v>0</v>
      </c>
      <c r="AD26" s="60">
        <f t="shared" si="0"/>
        <v>0</v>
      </c>
      <c r="AE26" s="60">
        <f t="shared" si="1"/>
        <v>0</v>
      </c>
      <c r="AF26" s="60">
        <f t="shared" si="1"/>
        <v>0</v>
      </c>
      <c r="AG26" s="60">
        <f t="shared" si="2"/>
        <v>0</v>
      </c>
      <c r="AH26" s="60">
        <f t="shared" si="2"/>
        <v>0</v>
      </c>
      <c r="AI26" s="60">
        <f t="shared" si="3"/>
        <v>0</v>
      </c>
      <c r="AJ26" s="61">
        <f t="shared" si="3"/>
        <v>0</v>
      </c>
      <c r="AK26" s="144"/>
    </row>
    <row r="27" spans="1:37" ht="25.5">
      <c r="A27">
        <v>23</v>
      </c>
      <c r="B27" s="57">
        <v>438</v>
      </c>
      <c r="C27" s="58" t="s">
        <v>367</v>
      </c>
      <c r="D27" s="84" t="s">
        <v>343</v>
      </c>
      <c r="E27" s="82" t="s">
        <v>346</v>
      </c>
      <c r="F27" s="158">
        <v>4</v>
      </c>
      <c r="G27" s="159">
        <v>2</v>
      </c>
      <c r="H27" s="281">
        <f>COUNTIFS(缺陷明细!$A$2:$A$50000,$B$4,缺陷明细!$G$2:$G$50000,$C27,缺陷明细!$J$2:$J$50000,"评审",缺陷明细!$AB$2:$AB$50000,"&lt;&gt;丢弃",缺陷明细!$AB$2:$AB$50000,"&lt;&gt;设计如此",缺陷明细!$AB$2:$AB$50000,"&lt;&gt;重复Bug")</f>
        <v>0</v>
      </c>
      <c r="I27" s="154">
        <f>COUNTIFS(缺陷明细!$A$2:$A$50000,$B$4,缺陷明细!$G$2:$G$50000,$C27,缺陷明细!$Q$2:$Q$50000,"已关闭",缺陷明细!$J$2:$J$50000,"评审")</f>
        <v>0</v>
      </c>
      <c r="J27" s="154">
        <f>COUNTIFS(缺陷明细!$A$2:$A$50000,$B$4,缺陷明细!$G$2:$G$50000,$C27,缺陷明细!$J$2:$J$50000,"单元测试",缺陷明细!$AB$2:$AB$50000,"&lt;&gt;丢弃",缺陷明细!$AB$2:$AB$50000,"&lt;&gt;设计如此",缺陷明细!$AB$2:$AB$50000,"&lt;&gt;重复Bug")</f>
        <v>0</v>
      </c>
      <c r="K27" s="155">
        <f>COUNTIFS(缺陷明细!$A$2:$A$50000,$B$4,缺陷明细!$G$2:$G$50000,$C27,缺陷明细!$Q$2:$Q$50000,"已关闭",缺陷明细!$J$2:$J$50000,"单元测试")</f>
        <v>0</v>
      </c>
      <c r="L27" s="156"/>
      <c r="M27" s="157"/>
      <c r="N27" s="72">
        <f>COUNTIFS(缺陷明细!$A$2:$A$50000,$B$4,缺陷明细!$G$2:$G$50000,$C27,缺陷明细!$J$2:$J$50000,"系统测试案例评审",缺陷明细!$AB$2:$AB$50000,"&lt;&gt;丢弃",缺陷明细!$AB$2:$AB$50000,"&lt;&gt;设计如此",缺陷明细!$AB$2:$AB$50000,"&lt;&gt;重复Bug")</f>
        <v>0</v>
      </c>
      <c r="O27" s="72">
        <f>COUNTIFS(缺陷明细!$A$2:$A$50000,$B$4,缺陷明细!$G$2:$G$50000,$C27,缺陷明细!$Q$2:$Q$50000,"已关闭",缺陷明细!$J$2:$J$50000,"系统测试案例评审")</f>
        <v>0</v>
      </c>
      <c r="P27" s="72">
        <f>COUNTIFS(缺陷明细!$A$2:$A$50000,$B$4,缺陷明细!$G$2:$G$50000,$C27,缺陷明细!$J$2:$J$50000,"系统测试",缺陷明细!$AB$2:$AB$50000,"&lt;&gt;丢弃",缺陷明细!$AB$2:$AB$50000,"&lt;&gt;设计如此",缺陷明细!$AB$2:$AB$50000,"&lt;&gt;重复Bug")</f>
        <v>0</v>
      </c>
      <c r="Q27" s="72">
        <f>COUNTIFS(缺陷明细!$A$2:$A$50000,$B$4,缺陷明细!$G$2:$G$50000,$C27,缺陷明细!$Q$2:$Q$50000,"已关闭",缺陷明细!$J$2:$J$50000,"系统测试")</f>
        <v>0</v>
      </c>
      <c r="R27" s="296">
        <f>COUNTIFS(缺陷明细!$A$2:$A$50000,$B$4,缺陷明细!$G$2:$G$50000,$C27,缺陷明细!$AB$2:$AB$50000,"丢弃",缺陷明细!$J$2:$J$50000,"系统测试")+COUNTIFS(缺陷明细!$A$2:$A$50000,$B$4,缺陷明细!$G$2:$G$50000,$C27,缺陷明细!$AB$2:$AB$50000,"设计如此",缺陷明细!$J$2:$J$50000,"系统测试")+COUNTIFS(缺陷明细!$A$2:$A$50000,$B$4,缺陷明细!$G$2:$G$50000,$C27,缺陷明细!$AB$2:$AB$50000,"重复Bug",缺陷明细!$J$2:$J$50000,"系统测试")</f>
        <v>0</v>
      </c>
      <c r="S27" s="72">
        <f>COUNTIFS(缺陷明细!$A$2:$A$50000,$B$4,缺陷明细!$G$2:$G$50000,$C27,缺陷明细!$J$2:$J$50000,"系统测试",缺陷明细!$K$2:$K$50000,"致命",缺陷明细!$AB$2:$AB$50000,"&lt;&gt;丢弃",缺陷明细!$AB$2:$AB$50000,"&lt;&gt;设计如此",缺陷明细!$AB$2:$AB$50000,"&lt;&gt;重复Bug")+COUNTIFS(缺陷明细!$A$2:$A$50000,$B$4,缺陷明细!$G$2:$G$50000,$C27,缺陷明细!$J$2:$J$50000,"系统测试",缺陷明细!$K$2:$K$50000,"严重",缺陷明细!$AB$2:$AB$50000,"&lt;&gt;丢弃",缺陷明细!$AB$2:$AB$50000,"&lt;&gt;设计如此",缺陷明细!$AB$2:$AB$50000,"&lt;&gt;重复Bug")</f>
        <v>0</v>
      </c>
      <c r="T27" s="73">
        <f>COUNTIFS(缺陷明细!$A$2:$A$50000,$B$4,缺陷明细!$G$2:$G$50000,$C27,缺陷明细!$Q$2:$Q$50000,"已关闭",缺陷明细!$J$2:$J$50000,"系统测试",缺陷明细!$K$2:$K$50000,"致命")+COUNTIFS(缺陷明细!$A$2:$A$50000,$B$4,缺陷明细!$G$2:$G$50000,$C27,缺陷明细!$Q$2:$Q$50000,"已关闭",缺陷明细!$J$2:$J$50000,"系统测试",缺陷明细!$K$2:$K$50000,"严重")</f>
        <v>0</v>
      </c>
      <c r="U27" s="74">
        <f>COUNTIFS(缺陷明细!$A$2:$A$50000,$B$4,缺陷明细!$G$2:$G$50000,$C27,缺陷明细!$J$2:$J$50000,"验收测试",缺陷明细!$AB$2:$AB$50000,"&lt;&gt;丢弃",缺陷明细!$AB$2:$AB$50000,"&lt;&gt;设计如此",缺陷明细!$AB$2:$AB$50000,"&lt;&gt;重复Bug")</f>
        <v>0</v>
      </c>
      <c r="V27" s="75">
        <f>COUNTIFS(缺陷明细!$A$2:$A$50000,$B$4,缺陷明细!$G$2:$G$50000,$C27,缺陷明细!$Q$2:$Q$50000,"已关闭",缺陷明细!$J$2:$J$50000,"验收测试")</f>
        <v>0</v>
      </c>
      <c r="W27" s="75">
        <f>COUNTIFS(缺陷明细!$A$2:$A$50000,$B$4,缺陷明细!$G$2:$G$50000,$C27,缺陷明细!$J$2:$J$50000,"验收测试",缺陷明细!$K$2:$K$50000,"致命",缺陷明细!$AB$2:$AB$50000,"&lt;&gt;丢弃",缺陷明细!$AB$2:$AB$50000,"&lt;&gt;设计如此",缺陷明细!$AB$2:$AB$50000,"&lt;&gt;重复Bug")+COUNTIFS(缺陷明细!$A$2:$A$50000,$B$4,缺陷明细!$G$2:$G$50000,$C27,缺陷明细!$J$2:$J$50000,"验收测试",缺陷明细!$K$2:$K$50000,"严重",缺陷明细!$AB$2:$AB$50000,"&lt;&gt;丢弃",缺陷明细!$AB$2:$AB$50000,"&lt;&gt;设计如此",缺陷明细!$AB$2:$AB$50000,"&lt;&gt;重复Bug")</f>
        <v>0</v>
      </c>
      <c r="X27" s="76">
        <f>COUNTIFS(缺陷明细!$A$2:$A$50000,$B$4,缺陷明细!$G$2:$G$50000,$C27,缺陷明细!$Q$2:$Q$50000,"已关闭",缺陷明细!$J$2:$J$50000,"验收测试",缺陷明细!$K$2:$K$50000,"致命")+COUNTIFS(缺陷明细!$A$2:$A$50000,$B$4,缺陷明细!$G$2:$G$50000,$C27,缺陷明细!$Q$2:$Q$50000,"已关闭",缺陷明细!$J$2:$J$50000,"验收测试",缺陷明细!$K$2:$K$50000,"严重")</f>
        <v>0</v>
      </c>
      <c r="Y27" s="70">
        <f>COUNTIFS(缺陷明细!$A$2:$A$50000,$B$4,缺陷明细!$G$2:$G$50000,$C27,缺陷明细!$J$2:$J$50000,"运维测试",缺陷明细!$AB$2:$AB$50000,"&lt;&gt;丢弃",缺陷明细!$AB$2:$AB$50000,"&lt;&gt;设计如此",缺陷明细!$AB$2:$AB$50000,"&lt;&gt;重复Bug")</f>
        <v>0</v>
      </c>
      <c r="Z27" s="71">
        <f>COUNTIFS(缺陷明细!$A$2:$A$50000,$B$4,缺陷明细!$G$2:$G$50000,$C27,缺陷明细!$Q$2:$Q$50000,"已关闭",缺陷明细!$J$2:$J$50000,"运维测试")</f>
        <v>0</v>
      </c>
      <c r="AA27" s="72">
        <f>COUNTIFS(缺陷明细!$A$2:$A$50000,$B$4,缺陷明细!$G$2:$G$50000,$C27,缺陷明细!$J$2:$J$50000,"运维测试",缺陷明细!$K$2:$K$50000,"致命",缺陷明细!$AB$2:$AB$50000,"&lt;&gt;丢弃",缺陷明细!$AB$2:$AB$50000,"&lt;&gt;设计如此",缺陷明细!$AB$2:$AB$50000,"&lt;&gt;重复Bug")+COUNTIFS(缺陷明细!$A$2:$A$50000,$B$4,缺陷明细!$G$2:$G$50000,$C27,缺陷明细!$J$2:$J$50000,"运维测试",缺陷明细!$K$2:$K$50000,"严重",缺陷明细!$AB$2:$AB$50000,"&lt;&gt;丢弃",缺陷明细!$AB$2:$AB$50000,"&lt;&gt;设计如此",缺陷明细!$AB$2:$AB$50000,"&lt;&gt;重复Bug")</f>
        <v>0</v>
      </c>
      <c r="AB27" s="73">
        <f>COUNTIFS(缺陷明细!$A$2:$A$50000,$B$4,缺陷明细!$G$2:$G$50000,$C27,缺陷明细!$Q$2:$Q$50000,"已关闭",缺陷明细!$J$2:$J$50000,"运维测试",缺陷明细!$K$2:$K$50000,"致命")+COUNTIFS(缺陷明细!$A$2:$A$50000,$B$4,缺陷明细!$G$2:$G$50000,$C27,缺陷明细!$Q$2:$Q$50000,"已关闭",缺陷明细!$J$2:$J$50000,"运维测试",缺陷明细!$K$2:$K$50000,"严重")</f>
        <v>0</v>
      </c>
      <c r="AC27" s="68">
        <f t="shared" si="0"/>
        <v>0</v>
      </c>
      <c r="AD27" s="60">
        <f t="shared" si="0"/>
        <v>0</v>
      </c>
      <c r="AE27" s="60">
        <f t="shared" si="1"/>
        <v>0</v>
      </c>
      <c r="AF27" s="60">
        <f t="shared" si="1"/>
        <v>0</v>
      </c>
      <c r="AG27" s="60">
        <f t="shared" si="2"/>
        <v>0</v>
      </c>
      <c r="AH27" s="60">
        <f t="shared" si="2"/>
        <v>0</v>
      </c>
      <c r="AI27" s="60">
        <f t="shared" si="3"/>
        <v>0</v>
      </c>
      <c r="AJ27" s="61">
        <f t="shared" si="3"/>
        <v>0</v>
      </c>
      <c r="AK27" s="144"/>
    </row>
    <row r="28" spans="1:37" ht="38.25">
      <c r="A28">
        <v>24</v>
      </c>
      <c r="B28" s="57">
        <v>439</v>
      </c>
      <c r="C28" s="58" t="s">
        <v>368</v>
      </c>
      <c r="D28" s="84" t="s">
        <v>343</v>
      </c>
      <c r="E28" s="82" t="s">
        <v>346</v>
      </c>
      <c r="F28" s="158">
        <v>4</v>
      </c>
      <c r="G28" s="159">
        <v>8</v>
      </c>
      <c r="H28" s="281">
        <f>COUNTIFS(缺陷明细!$A$2:$A$50000,$B$4,缺陷明细!$G$2:$G$50000,$C28,缺陷明细!$J$2:$J$50000,"评审",缺陷明细!$AB$2:$AB$50000,"&lt;&gt;丢弃",缺陷明细!$AB$2:$AB$50000,"&lt;&gt;设计如此",缺陷明细!$AB$2:$AB$50000,"&lt;&gt;重复Bug")</f>
        <v>0</v>
      </c>
      <c r="I28" s="154">
        <f>COUNTIFS(缺陷明细!$A$2:$A$50000,$B$4,缺陷明细!$G$2:$G$50000,$C28,缺陷明细!$Q$2:$Q$50000,"已关闭",缺陷明细!$J$2:$J$50000,"评审")</f>
        <v>0</v>
      </c>
      <c r="J28" s="154">
        <f>COUNTIFS(缺陷明细!$A$2:$A$50000,$B$4,缺陷明细!$G$2:$G$50000,$C28,缺陷明细!$J$2:$J$50000,"单元测试",缺陷明细!$AB$2:$AB$50000,"&lt;&gt;丢弃",缺陷明细!$AB$2:$AB$50000,"&lt;&gt;设计如此",缺陷明细!$AB$2:$AB$50000,"&lt;&gt;重复Bug")</f>
        <v>0</v>
      </c>
      <c r="K28" s="155">
        <f>COUNTIFS(缺陷明细!$A$2:$A$50000,$B$4,缺陷明细!$G$2:$G$50000,$C28,缺陷明细!$Q$2:$Q$50000,"已关闭",缺陷明细!$J$2:$J$50000,"单元测试")</f>
        <v>0</v>
      </c>
      <c r="L28" s="156"/>
      <c r="M28" s="157"/>
      <c r="N28" s="72">
        <f>COUNTIFS(缺陷明细!$A$2:$A$50000,$B$4,缺陷明细!$G$2:$G$50000,$C28,缺陷明细!$J$2:$J$50000,"系统测试案例评审",缺陷明细!$AB$2:$AB$50000,"&lt;&gt;丢弃",缺陷明细!$AB$2:$AB$50000,"&lt;&gt;设计如此",缺陷明细!$AB$2:$AB$50000,"&lt;&gt;重复Bug")</f>
        <v>0</v>
      </c>
      <c r="O28" s="72">
        <f>COUNTIFS(缺陷明细!$A$2:$A$50000,$B$4,缺陷明细!$G$2:$G$50000,$C28,缺陷明细!$Q$2:$Q$50000,"已关闭",缺陷明细!$J$2:$J$50000,"系统测试案例评审")</f>
        <v>0</v>
      </c>
      <c r="P28" s="72">
        <f>COUNTIFS(缺陷明细!$A$2:$A$50000,$B$4,缺陷明细!$G$2:$G$50000,$C28,缺陷明细!$J$2:$J$50000,"系统测试",缺陷明细!$AB$2:$AB$50000,"&lt;&gt;丢弃",缺陷明细!$AB$2:$AB$50000,"&lt;&gt;设计如此",缺陷明细!$AB$2:$AB$50000,"&lt;&gt;重复Bug")</f>
        <v>0</v>
      </c>
      <c r="Q28" s="72">
        <f>COUNTIFS(缺陷明细!$A$2:$A$50000,$B$4,缺陷明细!$G$2:$G$50000,$C28,缺陷明细!$Q$2:$Q$50000,"已关闭",缺陷明细!$J$2:$J$50000,"系统测试")</f>
        <v>0</v>
      </c>
      <c r="R28" s="296">
        <f>COUNTIFS(缺陷明细!$A$2:$A$50000,$B$4,缺陷明细!$G$2:$G$50000,$C28,缺陷明细!$AB$2:$AB$50000,"丢弃",缺陷明细!$J$2:$J$50000,"系统测试")+COUNTIFS(缺陷明细!$A$2:$A$50000,$B$4,缺陷明细!$G$2:$G$50000,$C28,缺陷明细!$AB$2:$AB$50000,"设计如此",缺陷明细!$J$2:$J$50000,"系统测试")+COUNTIFS(缺陷明细!$A$2:$A$50000,$B$4,缺陷明细!$G$2:$G$50000,$C28,缺陷明细!$AB$2:$AB$50000,"重复Bug",缺陷明细!$J$2:$J$50000,"系统测试")</f>
        <v>0</v>
      </c>
      <c r="S28" s="72">
        <f>COUNTIFS(缺陷明细!$A$2:$A$50000,$B$4,缺陷明细!$G$2:$G$50000,$C28,缺陷明细!$J$2:$J$50000,"系统测试",缺陷明细!$K$2:$K$50000,"致命",缺陷明细!$AB$2:$AB$50000,"&lt;&gt;丢弃",缺陷明细!$AB$2:$AB$50000,"&lt;&gt;设计如此",缺陷明细!$AB$2:$AB$50000,"&lt;&gt;重复Bug")+COUNTIFS(缺陷明细!$A$2:$A$50000,$B$4,缺陷明细!$G$2:$G$50000,$C28,缺陷明细!$J$2:$J$50000,"系统测试",缺陷明细!$K$2:$K$50000,"严重",缺陷明细!$AB$2:$AB$50000,"&lt;&gt;丢弃",缺陷明细!$AB$2:$AB$50000,"&lt;&gt;设计如此",缺陷明细!$AB$2:$AB$50000,"&lt;&gt;重复Bug")</f>
        <v>0</v>
      </c>
      <c r="T28" s="73">
        <f>COUNTIFS(缺陷明细!$A$2:$A$50000,$B$4,缺陷明细!$G$2:$G$50000,$C28,缺陷明细!$Q$2:$Q$50000,"已关闭",缺陷明细!$J$2:$J$50000,"系统测试",缺陷明细!$K$2:$K$50000,"致命")+COUNTIFS(缺陷明细!$A$2:$A$50000,$B$4,缺陷明细!$G$2:$G$50000,$C28,缺陷明细!$Q$2:$Q$50000,"已关闭",缺陷明细!$J$2:$J$50000,"系统测试",缺陷明细!$K$2:$K$50000,"严重")</f>
        <v>0</v>
      </c>
      <c r="U28" s="74">
        <f>COUNTIFS(缺陷明细!$A$2:$A$50000,$B$4,缺陷明细!$G$2:$G$50000,$C28,缺陷明细!$J$2:$J$50000,"验收测试",缺陷明细!$AB$2:$AB$50000,"&lt;&gt;丢弃",缺陷明细!$AB$2:$AB$50000,"&lt;&gt;设计如此",缺陷明细!$AB$2:$AB$50000,"&lt;&gt;重复Bug")</f>
        <v>0</v>
      </c>
      <c r="V28" s="75">
        <f>COUNTIFS(缺陷明细!$A$2:$A$50000,$B$4,缺陷明细!$G$2:$G$50000,$C28,缺陷明细!$Q$2:$Q$50000,"已关闭",缺陷明细!$J$2:$J$50000,"验收测试")</f>
        <v>0</v>
      </c>
      <c r="W28" s="75">
        <f>COUNTIFS(缺陷明细!$A$2:$A$50000,$B$4,缺陷明细!$G$2:$G$50000,$C28,缺陷明细!$J$2:$J$50000,"验收测试",缺陷明细!$K$2:$K$50000,"致命",缺陷明细!$AB$2:$AB$50000,"&lt;&gt;丢弃",缺陷明细!$AB$2:$AB$50000,"&lt;&gt;设计如此",缺陷明细!$AB$2:$AB$50000,"&lt;&gt;重复Bug")+COUNTIFS(缺陷明细!$A$2:$A$50000,$B$4,缺陷明细!$G$2:$G$50000,$C28,缺陷明细!$J$2:$J$50000,"验收测试",缺陷明细!$K$2:$K$50000,"严重",缺陷明细!$AB$2:$AB$50000,"&lt;&gt;丢弃",缺陷明细!$AB$2:$AB$50000,"&lt;&gt;设计如此",缺陷明细!$AB$2:$AB$50000,"&lt;&gt;重复Bug")</f>
        <v>0</v>
      </c>
      <c r="X28" s="76">
        <f>COUNTIFS(缺陷明细!$A$2:$A$50000,$B$4,缺陷明细!$G$2:$G$50000,$C28,缺陷明细!$Q$2:$Q$50000,"已关闭",缺陷明细!$J$2:$J$50000,"验收测试",缺陷明细!$K$2:$K$50000,"致命")+COUNTIFS(缺陷明细!$A$2:$A$50000,$B$4,缺陷明细!$G$2:$G$50000,$C28,缺陷明细!$Q$2:$Q$50000,"已关闭",缺陷明细!$J$2:$J$50000,"验收测试",缺陷明细!$K$2:$K$50000,"严重")</f>
        <v>0</v>
      </c>
      <c r="Y28" s="70">
        <f>COUNTIFS(缺陷明细!$A$2:$A$50000,$B$4,缺陷明细!$G$2:$G$50000,$C28,缺陷明细!$J$2:$J$50000,"运维测试",缺陷明细!$AB$2:$AB$50000,"&lt;&gt;丢弃",缺陷明细!$AB$2:$AB$50000,"&lt;&gt;设计如此",缺陷明细!$AB$2:$AB$50000,"&lt;&gt;重复Bug")</f>
        <v>0</v>
      </c>
      <c r="Z28" s="71">
        <f>COUNTIFS(缺陷明细!$A$2:$A$50000,$B$4,缺陷明细!$G$2:$G$50000,$C28,缺陷明细!$Q$2:$Q$50000,"已关闭",缺陷明细!$J$2:$J$50000,"运维测试")</f>
        <v>0</v>
      </c>
      <c r="AA28" s="72">
        <f>COUNTIFS(缺陷明细!$A$2:$A$50000,$B$4,缺陷明细!$G$2:$G$50000,$C28,缺陷明细!$J$2:$J$50000,"运维测试",缺陷明细!$K$2:$K$50000,"致命",缺陷明细!$AB$2:$AB$50000,"&lt;&gt;丢弃",缺陷明细!$AB$2:$AB$50000,"&lt;&gt;设计如此",缺陷明细!$AB$2:$AB$50000,"&lt;&gt;重复Bug")+COUNTIFS(缺陷明细!$A$2:$A$50000,$B$4,缺陷明细!$G$2:$G$50000,$C28,缺陷明细!$J$2:$J$50000,"运维测试",缺陷明细!$K$2:$K$50000,"严重",缺陷明细!$AB$2:$AB$50000,"&lt;&gt;丢弃",缺陷明细!$AB$2:$AB$50000,"&lt;&gt;设计如此",缺陷明细!$AB$2:$AB$50000,"&lt;&gt;重复Bug")</f>
        <v>0</v>
      </c>
      <c r="AB28" s="73">
        <f>COUNTIFS(缺陷明细!$A$2:$A$50000,$B$4,缺陷明细!$G$2:$G$50000,$C28,缺陷明细!$Q$2:$Q$50000,"已关闭",缺陷明细!$J$2:$J$50000,"运维测试",缺陷明细!$K$2:$K$50000,"致命")+COUNTIFS(缺陷明细!$A$2:$A$50000,$B$4,缺陷明细!$G$2:$G$50000,$C28,缺陷明细!$Q$2:$Q$50000,"已关闭",缺陷明细!$J$2:$J$50000,"运维测试",缺陷明细!$K$2:$K$50000,"严重")</f>
        <v>0</v>
      </c>
      <c r="AC28" s="68">
        <f t="shared" si="0"/>
        <v>0</v>
      </c>
      <c r="AD28" s="60">
        <f t="shared" si="0"/>
        <v>0</v>
      </c>
      <c r="AE28" s="60">
        <f t="shared" si="1"/>
        <v>0</v>
      </c>
      <c r="AF28" s="60">
        <f t="shared" si="1"/>
        <v>0</v>
      </c>
      <c r="AG28" s="60">
        <f t="shared" si="2"/>
        <v>0</v>
      </c>
      <c r="AH28" s="60">
        <f t="shared" si="2"/>
        <v>0</v>
      </c>
      <c r="AI28" s="60">
        <f t="shared" si="3"/>
        <v>0</v>
      </c>
      <c r="AJ28" s="61">
        <f t="shared" si="3"/>
        <v>0</v>
      </c>
      <c r="AK28" s="144"/>
    </row>
    <row r="29" spans="1:37" ht="38.25">
      <c r="A29">
        <v>25</v>
      </c>
      <c r="B29" s="57">
        <v>440</v>
      </c>
      <c r="C29" s="58" t="s">
        <v>369</v>
      </c>
      <c r="D29" s="84" t="s">
        <v>343</v>
      </c>
      <c r="E29" s="82" t="s">
        <v>346</v>
      </c>
      <c r="F29" s="158">
        <v>4</v>
      </c>
      <c r="G29" s="159">
        <v>6</v>
      </c>
      <c r="H29" s="281">
        <f>COUNTIFS(缺陷明细!$A$2:$A$50000,$B$4,缺陷明细!$G$2:$G$50000,$C29,缺陷明细!$J$2:$J$50000,"评审",缺陷明细!$AB$2:$AB$50000,"&lt;&gt;丢弃",缺陷明细!$AB$2:$AB$50000,"&lt;&gt;设计如此",缺陷明细!$AB$2:$AB$50000,"&lt;&gt;重复Bug")</f>
        <v>0</v>
      </c>
      <c r="I29" s="154">
        <f>COUNTIFS(缺陷明细!$A$2:$A$50000,$B$4,缺陷明细!$G$2:$G$50000,$C29,缺陷明细!$Q$2:$Q$50000,"已关闭",缺陷明细!$J$2:$J$50000,"评审")</f>
        <v>0</v>
      </c>
      <c r="J29" s="154">
        <f>COUNTIFS(缺陷明细!$A$2:$A$50000,$B$4,缺陷明细!$G$2:$G$50000,$C29,缺陷明细!$J$2:$J$50000,"单元测试",缺陷明细!$AB$2:$AB$50000,"&lt;&gt;丢弃",缺陷明细!$AB$2:$AB$50000,"&lt;&gt;设计如此",缺陷明细!$AB$2:$AB$50000,"&lt;&gt;重复Bug")</f>
        <v>0</v>
      </c>
      <c r="K29" s="155">
        <f>COUNTIFS(缺陷明细!$A$2:$A$50000,$B$4,缺陷明细!$G$2:$G$50000,$C29,缺陷明细!$Q$2:$Q$50000,"已关闭",缺陷明细!$J$2:$J$50000,"单元测试")</f>
        <v>0</v>
      </c>
      <c r="L29" s="156"/>
      <c r="M29" s="157"/>
      <c r="N29" s="72">
        <f>COUNTIFS(缺陷明细!$A$2:$A$50000,$B$4,缺陷明细!$G$2:$G$50000,$C29,缺陷明细!$J$2:$J$50000,"系统测试案例评审",缺陷明细!$AB$2:$AB$50000,"&lt;&gt;丢弃",缺陷明细!$AB$2:$AB$50000,"&lt;&gt;设计如此",缺陷明细!$AB$2:$AB$50000,"&lt;&gt;重复Bug")</f>
        <v>0</v>
      </c>
      <c r="O29" s="72">
        <f>COUNTIFS(缺陷明细!$A$2:$A$50000,$B$4,缺陷明细!$G$2:$G$50000,$C29,缺陷明细!$Q$2:$Q$50000,"已关闭",缺陷明细!$J$2:$J$50000,"系统测试案例评审")</f>
        <v>0</v>
      </c>
      <c r="P29" s="72">
        <f>COUNTIFS(缺陷明细!$A$2:$A$50000,$B$4,缺陷明细!$G$2:$G$50000,$C29,缺陷明细!$J$2:$J$50000,"系统测试",缺陷明细!$AB$2:$AB$50000,"&lt;&gt;丢弃",缺陷明细!$AB$2:$AB$50000,"&lt;&gt;设计如此",缺陷明细!$AB$2:$AB$50000,"&lt;&gt;重复Bug")</f>
        <v>0</v>
      </c>
      <c r="Q29" s="72">
        <f>COUNTIFS(缺陷明细!$A$2:$A$50000,$B$4,缺陷明细!$G$2:$G$50000,$C29,缺陷明细!$Q$2:$Q$50000,"已关闭",缺陷明细!$J$2:$J$50000,"系统测试")</f>
        <v>0</v>
      </c>
      <c r="R29" s="296">
        <f>COUNTIFS(缺陷明细!$A$2:$A$50000,$B$4,缺陷明细!$G$2:$G$50000,$C29,缺陷明细!$AB$2:$AB$50000,"丢弃",缺陷明细!$J$2:$J$50000,"系统测试")+COUNTIFS(缺陷明细!$A$2:$A$50000,$B$4,缺陷明细!$G$2:$G$50000,$C29,缺陷明细!$AB$2:$AB$50000,"设计如此",缺陷明细!$J$2:$J$50000,"系统测试")+COUNTIFS(缺陷明细!$A$2:$A$50000,$B$4,缺陷明细!$G$2:$G$50000,$C29,缺陷明细!$AB$2:$AB$50000,"重复Bug",缺陷明细!$J$2:$J$50000,"系统测试")</f>
        <v>0</v>
      </c>
      <c r="S29" s="72">
        <f>COUNTIFS(缺陷明细!$A$2:$A$50000,$B$4,缺陷明细!$G$2:$G$50000,$C29,缺陷明细!$J$2:$J$50000,"系统测试",缺陷明细!$K$2:$K$50000,"致命",缺陷明细!$AB$2:$AB$50000,"&lt;&gt;丢弃",缺陷明细!$AB$2:$AB$50000,"&lt;&gt;设计如此",缺陷明细!$AB$2:$AB$50000,"&lt;&gt;重复Bug")+COUNTIFS(缺陷明细!$A$2:$A$50000,$B$4,缺陷明细!$G$2:$G$50000,$C29,缺陷明细!$J$2:$J$50000,"系统测试",缺陷明细!$K$2:$K$50000,"严重",缺陷明细!$AB$2:$AB$50000,"&lt;&gt;丢弃",缺陷明细!$AB$2:$AB$50000,"&lt;&gt;设计如此",缺陷明细!$AB$2:$AB$50000,"&lt;&gt;重复Bug")</f>
        <v>0</v>
      </c>
      <c r="T29" s="73">
        <f>COUNTIFS(缺陷明细!$A$2:$A$50000,$B$4,缺陷明细!$G$2:$G$50000,$C29,缺陷明细!$Q$2:$Q$50000,"已关闭",缺陷明细!$J$2:$J$50000,"系统测试",缺陷明细!$K$2:$K$50000,"致命")+COUNTIFS(缺陷明细!$A$2:$A$50000,$B$4,缺陷明细!$G$2:$G$50000,$C29,缺陷明细!$Q$2:$Q$50000,"已关闭",缺陷明细!$J$2:$J$50000,"系统测试",缺陷明细!$K$2:$K$50000,"严重")</f>
        <v>0</v>
      </c>
      <c r="U29" s="74">
        <f>COUNTIFS(缺陷明细!$A$2:$A$50000,$B$4,缺陷明细!$G$2:$G$50000,$C29,缺陷明细!$J$2:$J$50000,"验收测试",缺陷明细!$AB$2:$AB$50000,"&lt;&gt;丢弃",缺陷明细!$AB$2:$AB$50000,"&lt;&gt;设计如此",缺陷明细!$AB$2:$AB$50000,"&lt;&gt;重复Bug")</f>
        <v>0</v>
      </c>
      <c r="V29" s="75">
        <f>COUNTIFS(缺陷明细!$A$2:$A$50000,$B$4,缺陷明细!$G$2:$G$50000,$C29,缺陷明细!$Q$2:$Q$50000,"已关闭",缺陷明细!$J$2:$J$50000,"验收测试")</f>
        <v>0</v>
      </c>
      <c r="W29" s="75">
        <f>COUNTIFS(缺陷明细!$A$2:$A$50000,$B$4,缺陷明细!$G$2:$G$50000,$C29,缺陷明细!$J$2:$J$50000,"验收测试",缺陷明细!$K$2:$K$50000,"致命",缺陷明细!$AB$2:$AB$50000,"&lt;&gt;丢弃",缺陷明细!$AB$2:$AB$50000,"&lt;&gt;设计如此",缺陷明细!$AB$2:$AB$50000,"&lt;&gt;重复Bug")+COUNTIFS(缺陷明细!$A$2:$A$50000,$B$4,缺陷明细!$G$2:$G$50000,$C29,缺陷明细!$J$2:$J$50000,"验收测试",缺陷明细!$K$2:$K$50000,"严重",缺陷明细!$AB$2:$AB$50000,"&lt;&gt;丢弃",缺陷明细!$AB$2:$AB$50000,"&lt;&gt;设计如此",缺陷明细!$AB$2:$AB$50000,"&lt;&gt;重复Bug")</f>
        <v>0</v>
      </c>
      <c r="X29" s="76">
        <f>COUNTIFS(缺陷明细!$A$2:$A$50000,$B$4,缺陷明细!$G$2:$G$50000,$C29,缺陷明细!$Q$2:$Q$50000,"已关闭",缺陷明细!$J$2:$J$50000,"验收测试",缺陷明细!$K$2:$K$50000,"致命")+COUNTIFS(缺陷明细!$A$2:$A$50000,$B$4,缺陷明细!$G$2:$G$50000,$C29,缺陷明细!$Q$2:$Q$50000,"已关闭",缺陷明细!$J$2:$J$50000,"验收测试",缺陷明细!$K$2:$K$50000,"严重")</f>
        <v>0</v>
      </c>
      <c r="Y29" s="70">
        <f>COUNTIFS(缺陷明细!$A$2:$A$50000,$B$4,缺陷明细!$G$2:$G$50000,$C29,缺陷明细!$J$2:$J$50000,"运维测试",缺陷明细!$AB$2:$AB$50000,"&lt;&gt;丢弃",缺陷明细!$AB$2:$AB$50000,"&lt;&gt;设计如此",缺陷明细!$AB$2:$AB$50000,"&lt;&gt;重复Bug")</f>
        <v>0</v>
      </c>
      <c r="Z29" s="71">
        <f>COUNTIFS(缺陷明细!$A$2:$A$50000,$B$4,缺陷明细!$G$2:$G$50000,$C29,缺陷明细!$Q$2:$Q$50000,"已关闭",缺陷明细!$J$2:$J$50000,"运维测试")</f>
        <v>0</v>
      </c>
      <c r="AA29" s="72">
        <f>COUNTIFS(缺陷明细!$A$2:$A$50000,$B$4,缺陷明细!$G$2:$G$50000,$C29,缺陷明细!$J$2:$J$50000,"运维测试",缺陷明细!$K$2:$K$50000,"致命",缺陷明细!$AB$2:$AB$50000,"&lt;&gt;丢弃",缺陷明细!$AB$2:$AB$50000,"&lt;&gt;设计如此",缺陷明细!$AB$2:$AB$50000,"&lt;&gt;重复Bug")+COUNTIFS(缺陷明细!$A$2:$A$50000,$B$4,缺陷明细!$G$2:$G$50000,$C29,缺陷明细!$J$2:$J$50000,"运维测试",缺陷明细!$K$2:$K$50000,"严重",缺陷明细!$AB$2:$AB$50000,"&lt;&gt;丢弃",缺陷明细!$AB$2:$AB$50000,"&lt;&gt;设计如此",缺陷明细!$AB$2:$AB$50000,"&lt;&gt;重复Bug")</f>
        <v>0</v>
      </c>
      <c r="AB29" s="73">
        <f>COUNTIFS(缺陷明细!$A$2:$A$50000,$B$4,缺陷明细!$G$2:$G$50000,$C29,缺陷明细!$Q$2:$Q$50000,"已关闭",缺陷明细!$J$2:$J$50000,"运维测试",缺陷明细!$K$2:$K$50000,"致命")+COUNTIFS(缺陷明细!$A$2:$A$50000,$B$4,缺陷明细!$G$2:$G$50000,$C29,缺陷明细!$Q$2:$Q$50000,"已关闭",缺陷明细!$J$2:$J$50000,"运维测试",缺陷明细!$K$2:$K$50000,"严重")</f>
        <v>0</v>
      </c>
      <c r="AC29" s="68">
        <f t="shared" si="0"/>
        <v>0</v>
      </c>
      <c r="AD29" s="60">
        <f t="shared" si="0"/>
        <v>0</v>
      </c>
      <c r="AE29" s="60">
        <f t="shared" si="1"/>
        <v>0</v>
      </c>
      <c r="AF29" s="60">
        <f t="shared" si="1"/>
        <v>0</v>
      </c>
      <c r="AG29" s="60">
        <f t="shared" si="2"/>
        <v>0</v>
      </c>
      <c r="AH29" s="60">
        <f t="shared" si="2"/>
        <v>0</v>
      </c>
      <c r="AI29" s="60">
        <f t="shared" si="3"/>
        <v>0</v>
      </c>
      <c r="AJ29" s="61">
        <f t="shared" si="3"/>
        <v>0</v>
      </c>
      <c r="AK29" s="144"/>
    </row>
    <row r="30" spans="1:37" ht="25.5">
      <c r="A30">
        <v>26</v>
      </c>
      <c r="B30" s="57">
        <v>444</v>
      </c>
      <c r="C30" s="58" t="s">
        <v>370</v>
      </c>
      <c r="D30" s="84" t="s">
        <v>343</v>
      </c>
      <c r="E30" s="82" t="s">
        <v>346</v>
      </c>
      <c r="F30" s="158">
        <v>16</v>
      </c>
      <c r="G30" s="159">
        <v>4</v>
      </c>
      <c r="H30" s="281">
        <f>COUNTIFS(缺陷明细!$A$2:$A$50000,$B$4,缺陷明细!$G$2:$G$50000,$C30,缺陷明细!$J$2:$J$50000,"评审",缺陷明细!$AB$2:$AB$50000,"&lt;&gt;丢弃",缺陷明细!$AB$2:$AB$50000,"&lt;&gt;设计如此",缺陷明细!$AB$2:$AB$50000,"&lt;&gt;重复Bug")</f>
        <v>0</v>
      </c>
      <c r="I30" s="154">
        <f>COUNTIFS(缺陷明细!$A$2:$A$50000,$B$4,缺陷明细!$G$2:$G$50000,$C30,缺陷明细!$Q$2:$Q$50000,"已关闭",缺陷明细!$J$2:$J$50000,"评审")</f>
        <v>0</v>
      </c>
      <c r="J30" s="154">
        <f>COUNTIFS(缺陷明细!$A$2:$A$50000,$B$4,缺陷明细!$G$2:$G$50000,$C30,缺陷明细!$J$2:$J$50000,"单元测试",缺陷明细!$AB$2:$AB$50000,"&lt;&gt;丢弃",缺陷明细!$AB$2:$AB$50000,"&lt;&gt;设计如此",缺陷明细!$AB$2:$AB$50000,"&lt;&gt;重复Bug")</f>
        <v>0</v>
      </c>
      <c r="K30" s="155">
        <f>COUNTIFS(缺陷明细!$A$2:$A$50000,$B$4,缺陷明细!$G$2:$G$50000,$C30,缺陷明细!$Q$2:$Q$50000,"已关闭",缺陷明细!$J$2:$J$50000,"单元测试")</f>
        <v>0</v>
      </c>
      <c r="L30" s="156"/>
      <c r="M30" s="157"/>
      <c r="N30" s="72">
        <f>COUNTIFS(缺陷明细!$A$2:$A$50000,$B$4,缺陷明细!$G$2:$G$50000,$C30,缺陷明细!$J$2:$J$50000,"系统测试案例评审",缺陷明细!$AB$2:$AB$50000,"&lt;&gt;丢弃",缺陷明细!$AB$2:$AB$50000,"&lt;&gt;设计如此",缺陷明细!$AB$2:$AB$50000,"&lt;&gt;重复Bug")</f>
        <v>0</v>
      </c>
      <c r="O30" s="72">
        <f>COUNTIFS(缺陷明细!$A$2:$A$50000,$B$4,缺陷明细!$G$2:$G$50000,$C30,缺陷明细!$Q$2:$Q$50000,"已关闭",缺陷明细!$J$2:$J$50000,"系统测试案例评审")</f>
        <v>0</v>
      </c>
      <c r="P30" s="72">
        <f>COUNTIFS(缺陷明细!$A$2:$A$50000,$B$4,缺陷明细!$G$2:$G$50000,$C30,缺陷明细!$J$2:$J$50000,"系统测试",缺陷明细!$AB$2:$AB$50000,"&lt;&gt;丢弃",缺陷明细!$AB$2:$AB$50000,"&lt;&gt;设计如此",缺陷明细!$AB$2:$AB$50000,"&lt;&gt;重复Bug")</f>
        <v>0</v>
      </c>
      <c r="Q30" s="72">
        <f>COUNTIFS(缺陷明细!$A$2:$A$50000,$B$4,缺陷明细!$G$2:$G$50000,$C30,缺陷明细!$Q$2:$Q$50000,"已关闭",缺陷明细!$J$2:$J$50000,"系统测试")</f>
        <v>0</v>
      </c>
      <c r="R30" s="296">
        <f>COUNTIFS(缺陷明细!$A$2:$A$50000,$B$4,缺陷明细!$G$2:$G$50000,$C30,缺陷明细!$AB$2:$AB$50000,"丢弃",缺陷明细!$J$2:$J$50000,"系统测试")+COUNTIFS(缺陷明细!$A$2:$A$50000,$B$4,缺陷明细!$G$2:$G$50000,$C30,缺陷明细!$AB$2:$AB$50000,"设计如此",缺陷明细!$J$2:$J$50000,"系统测试")+COUNTIFS(缺陷明细!$A$2:$A$50000,$B$4,缺陷明细!$G$2:$G$50000,$C30,缺陷明细!$AB$2:$AB$50000,"重复Bug",缺陷明细!$J$2:$J$50000,"系统测试")</f>
        <v>0</v>
      </c>
      <c r="S30" s="72">
        <f>COUNTIFS(缺陷明细!$A$2:$A$50000,$B$4,缺陷明细!$G$2:$G$50000,$C30,缺陷明细!$J$2:$J$50000,"系统测试",缺陷明细!$K$2:$K$50000,"致命",缺陷明细!$AB$2:$AB$50000,"&lt;&gt;丢弃",缺陷明细!$AB$2:$AB$50000,"&lt;&gt;设计如此",缺陷明细!$AB$2:$AB$50000,"&lt;&gt;重复Bug")+COUNTIFS(缺陷明细!$A$2:$A$50000,$B$4,缺陷明细!$G$2:$G$50000,$C30,缺陷明细!$J$2:$J$50000,"系统测试",缺陷明细!$K$2:$K$50000,"严重",缺陷明细!$AB$2:$AB$50000,"&lt;&gt;丢弃",缺陷明细!$AB$2:$AB$50000,"&lt;&gt;设计如此",缺陷明细!$AB$2:$AB$50000,"&lt;&gt;重复Bug")</f>
        <v>0</v>
      </c>
      <c r="T30" s="73">
        <f>COUNTIFS(缺陷明细!$A$2:$A$50000,$B$4,缺陷明细!$G$2:$G$50000,$C30,缺陷明细!$Q$2:$Q$50000,"已关闭",缺陷明细!$J$2:$J$50000,"系统测试",缺陷明细!$K$2:$K$50000,"致命")+COUNTIFS(缺陷明细!$A$2:$A$50000,$B$4,缺陷明细!$G$2:$G$50000,$C30,缺陷明细!$Q$2:$Q$50000,"已关闭",缺陷明细!$J$2:$J$50000,"系统测试",缺陷明细!$K$2:$K$50000,"严重")</f>
        <v>0</v>
      </c>
      <c r="U30" s="74">
        <f>COUNTIFS(缺陷明细!$A$2:$A$50000,$B$4,缺陷明细!$G$2:$G$50000,$C30,缺陷明细!$J$2:$J$50000,"验收测试",缺陷明细!$AB$2:$AB$50000,"&lt;&gt;丢弃",缺陷明细!$AB$2:$AB$50000,"&lt;&gt;设计如此",缺陷明细!$AB$2:$AB$50000,"&lt;&gt;重复Bug")</f>
        <v>0</v>
      </c>
      <c r="V30" s="75">
        <f>COUNTIFS(缺陷明细!$A$2:$A$50000,$B$4,缺陷明细!$G$2:$G$50000,$C30,缺陷明细!$Q$2:$Q$50000,"已关闭",缺陷明细!$J$2:$J$50000,"验收测试")</f>
        <v>0</v>
      </c>
      <c r="W30" s="75">
        <f>COUNTIFS(缺陷明细!$A$2:$A$50000,$B$4,缺陷明细!$G$2:$G$50000,$C30,缺陷明细!$J$2:$J$50000,"验收测试",缺陷明细!$K$2:$K$50000,"致命",缺陷明细!$AB$2:$AB$50000,"&lt;&gt;丢弃",缺陷明细!$AB$2:$AB$50000,"&lt;&gt;设计如此",缺陷明细!$AB$2:$AB$50000,"&lt;&gt;重复Bug")+COUNTIFS(缺陷明细!$A$2:$A$50000,$B$4,缺陷明细!$G$2:$G$50000,$C30,缺陷明细!$J$2:$J$50000,"验收测试",缺陷明细!$K$2:$K$50000,"严重",缺陷明细!$AB$2:$AB$50000,"&lt;&gt;丢弃",缺陷明细!$AB$2:$AB$50000,"&lt;&gt;设计如此",缺陷明细!$AB$2:$AB$50000,"&lt;&gt;重复Bug")</f>
        <v>0</v>
      </c>
      <c r="X30" s="76">
        <f>COUNTIFS(缺陷明细!$A$2:$A$50000,$B$4,缺陷明细!$G$2:$G$50000,$C30,缺陷明细!$Q$2:$Q$50000,"已关闭",缺陷明细!$J$2:$J$50000,"验收测试",缺陷明细!$K$2:$K$50000,"致命")+COUNTIFS(缺陷明细!$A$2:$A$50000,$B$4,缺陷明细!$G$2:$G$50000,$C30,缺陷明细!$Q$2:$Q$50000,"已关闭",缺陷明细!$J$2:$J$50000,"验收测试",缺陷明细!$K$2:$K$50000,"严重")</f>
        <v>0</v>
      </c>
      <c r="Y30" s="70">
        <f>COUNTIFS(缺陷明细!$A$2:$A$50000,$B$4,缺陷明细!$G$2:$G$50000,$C30,缺陷明细!$J$2:$J$50000,"运维测试",缺陷明细!$AB$2:$AB$50000,"&lt;&gt;丢弃",缺陷明细!$AB$2:$AB$50000,"&lt;&gt;设计如此",缺陷明细!$AB$2:$AB$50000,"&lt;&gt;重复Bug")</f>
        <v>0</v>
      </c>
      <c r="Z30" s="71">
        <f>COUNTIFS(缺陷明细!$A$2:$A$50000,$B$4,缺陷明细!$G$2:$G$50000,$C30,缺陷明细!$Q$2:$Q$50000,"已关闭",缺陷明细!$J$2:$J$50000,"运维测试")</f>
        <v>0</v>
      </c>
      <c r="AA30" s="72">
        <f>COUNTIFS(缺陷明细!$A$2:$A$50000,$B$4,缺陷明细!$G$2:$G$50000,$C30,缺陷明细!$J$2:$J$50000,"运维测试",缺陷明细!$K$2:$K$50000,"致命",缺陷明细!$AB$2:$AB$50000,"&lt;&gt;丢弃",缺陷明细!$AB$2:$AB$50000,"&lt;&gt;设计如此",缺陷明细!$AB$2:$AB$50000,"&lt;&gt;重复Bug")+COUNTIFS(缺陷明细!$A$2:$A$50000,$B$4,缺陷明细!$G$2:$G$50000,$C30,缺陷明细!$J$2:$J$50000,"运维测试",缺陷明细!$K$2:$K$50000,"严重",缺陷明细!$AB$2:$AB$50000,"&lt;&gt;丢弃",缺陷明细!$AB$2:$AB$50000,"&lt;&gt;设计如此",缺陷明细!$AB$2:$AB$50000,"&lt;&gt;重复Bug")</f>
        <v>0</v>
      </c>
      <c r="AB30" s="73">
        <f>COUNTIFS(缺陷明细!$A$2:$A$50000,$B$4,缺陷明细!$G$2:$G$50000,$C30,缺陷明细!$Q$2:$Q$50000,"已关闭",缺陷明细!$J$2:$J$50000,"运维测试",缺陷明细!$K$2:$K$50000,"致命")+COUNTIFS(缺陷明细!$A$2:$A$50000,$B$4,缺陷明细!$G$2:$G$50000,$C30,缺陷明细!$Q$2:$Q$50000,"已关闭",缺陷明细!$J$2:$J$50000,"运维测试",缺陷明细!$K$2:$K$50000,"严重")</f>
        <v>0</v>
      </c>
      <c r="AC30" s="68">
        <f t="shared" si="0"/>
        <v>0</v>
      </c>
      <c r="AD30" s="60">
        <f t="shared" si="0"/>
        <v>0</v>
      </c>
      <c r="AE30" s="60">
        <f t="shared" si="1"/>
        <v>0</v>
      </c>
      <c r="AF30" s="60">
        <f t="shared" si="1"/>
        <v>0</v>
      </c>
      <c r="AG30" s="60">
        <f t="shared" si="2"/>
        <v>0</v>
      </c>
      <c r="AH30" s="60">
        <f t="shared" si="2"/>
        <v>0</v>
      </c>
      <c r="AI30" s="60">
        <f t="shared" si="3"/>
        <v>0</v>
      </c>
      <c r="AJ30" s="61">
        <f t="shared" si="3"/>
        <v>0</v>
      </c>
      <c r="AK30" s="144"/>
    </row>
    <row r="31" spans="1:37">
      <c r="A31">
        <v>27</v>
      </c>
      <c r="B31" s="57">
        <v>445</v>
      </c>
      <c r="C31" s="58" t="s">
        <v>371</v>
      </c>
      <c r="D31" s="84" t="s">
        <v>343</v>
      </c>
      <c r="E31" s="82" t="s">
        <v>346</v>
      </c>
      <c r="F31" s="158">
        <v>0.5</v>
      </c>
      <c r="G31" s="159">
        <v>0.5</v>
      </c>
      <c r="H31" s="281">
        <f>COUNTIFS(缺陷明细!$A$2:$A$50000,$B$4,缺陷明细!$G$2:$G$50000,$C31,缺陷明细!$J$2:$J$50000,"评审",缺陷明细!$AB$2:$AB$50000,"&lt;&gt;丢弃",缺陷明细!$AB$2:$AB$50000,"&lt;&gt;设计如此",缺陷明细!$AB$2:$AB$50000,"&lt;&gt;重复Bug")</f>
        <v>0</v>
      </c>
      <c r="I31" s="154">
        <f>COUNTIFS(缺陷明细!$A$2:$A$50000,$B$4,缺陷明细!$G$2:$G$50000,$C31,缺陷明细!$Q$2:$Q$50000,"已关闭",缺陷明细!$J$2:$J$50000,"评审")</f>
        <v>0</v>
      </c>
      <c r="J31" s="154">
        <f>COUNTIFS(缺陷明细!$A$2:$A$50000,$B$4,缺陷明细!$G$2:$G$50000,$C31,缺陷明细!$J$2:$J$50000,"单元测试",缺陷明细!$AB$2:$AB$50000,"&lt;&gt;丢弃",缺陷明细!$AB$2:$AB$50000,"&lt;&gt;设计如此",缺陷明细!$AB$2:$AB$50000,"&lt;&gt;重复Bug")</f>
        <v>0</v>
      </c>
      <c r="K31" s="155">
        <f>COUNTIFS(缺陷明细!$A$2:$A$50000,$B$4,缺陷明细!$G$2:$G$50000,$C31,缺陷明细!$Q$2:$Q$50000,"已关闭",缺陷明细!$J$2:$J$50000,"单元测试")</f>
        <v>0</v>
      </c>
      <c r="L31" s="156"/>
      <c r="M31" s="157"/>
      <c r="N31" s="72">
        <f>COUNTIFS(缺陷明细!$A$2:$A$50000,$B$4,缺陷明细!$G$2:$G$50000,$C31,缺陷明细!$J$2:$J$50000,"系统测试案例评审",缺陷明细!$AB$2:$AB$50000,"&lt;&gt;丢弃",缺陷明细!$AB$2:$AB$50000,"&lt;&gt;设计如此",缺陷明细!$AB$2:$AB$50000,"&lt;&gt;重复Bug")</f>
        <v>0</v>
      </c>
      <c r="O31" s="72">
        <f>COUNTIFS(缺陷明细!$A$2:$A$50000,$B$4,缺陷明细!$G$2:$G$50000,$C31,缺陷明细!$Q$2:$Q$50000,"已关闭",缺陷明细!$J$2:$J$50000,"系统测试案例评审")</f>
        <v>0</v>
      </c>
      <c r="P31" s="72">
        <f>COUNTIFS(缺陷明细!$A$2:$A$50000,$B$4,缺陷明细!$G$2:$G$50000,$C31,缺陷明细!$J$2:$J$50000,"系统测试",缺陷明细!$AB$2:$AB$50000,"&lt;&gt;丢弃",缺陷明细!$AB$2:$AB$50000,"&lt;&gt;设计如此",缺陷明细!$AB$2:$AB$50000,"&lt;&gt;重复Bug")</f>
        <v>0</v>
      </c>
      <c r="Q31" s="72">
        <f>COUNTIFS(缺陷明细!$A$2:$A$50000,$B$4,缺陷明细!$G$2:$G$50000,$C31,缺陷明细!$Q$2:$Q$50000,"已关闭",缺陷明细!$J$2:$J$50000,"系统测试")</f>
        <v>0</v>
      </c>
      <c r="R31" s="296">
        <f>COUNTIFS(缺陷明细!$A$2:$A$50000,$B$4,缺陷明细!$G$2:$G$50000,$C31,缺陷明细!$AB$2:$AB$50000,"丢弃",缺陷明细!$J$2:$J$50000,"系统测试")+COUNTIFS(缺陷明细!$A$2:$A$50000,$B$4,缺陷明细!$G$2:$G$50000,$C31,缺陷明细!$AB$2:$AB$50000,"设计如此",缺陷明细!$J$2:$J$50000,"系统测试")+COUNTIFS(缺陷明细!$A$2:$A$50000,$B$4,缺陷明细!$G$2:$G$50000,$C31,缺陷明细!$AB$2:$AB$50000,"重复Bug",缺陷明细!$J$2:$J$50000,"系统测试")</f>
        <v>0</v>
      </c>
      <c r="S31" s="72">
        <f>COUNTIFS(缺陷明细!$A$2:$A$50000,$B$4,缺陷明细!$G$2:$G$50000,$C31,缺陷明细!$J$2:$J$50000,"系统测试",缺陷明细!$K$2:$K$50000,"致命",缺陷明细!$AB$2:$AB$50000,"&lt;&gt;丢弃",缺陷明细!$AB$2:$AB$50000,"&lt;&gt;设计如此",缺陷明细!$AB$2:$AB$50000,"&lt;&gt;重复Bug")+COUNTIFS(缺陷明细!$A$2:$A$50000,$B$4,缺陷明细!$G$2:$G$50000,$C31,缺陷明细!$J$2:$J$50000,"系统测试",缺陷明细!$K$2:$K$50000,"严重",缺陷明细!$AB$2:$AB$50000,"&lt;&gt;丢弃",缺陷明细!$AB$2:$AB$50000,"&lt;&gt;设计如此",缺陷明细!$AB$2:$AB$50000,"&lt;&gt;重复Bug")</f>
        <v>0</v>
      </c>
      <c r="T31" s="73">
        <f>COUNTIFS(缺陷明细!$A$2:$A$50000,$B$4,缺陷明细!$G$2:$G$50000,$C31,缺陷明细!$Q$2:$Q$50000,"已关闭",缺陷明细!$J$2:$J$50000,"系统测试",缺陷明细!$K$2:$K$50000,"致命")+COUNTIFS(缺陷明细!$A$2:$A$50000,$B$4,缺陷明细!$G$2:$G$50000,$C31,缺陷明细!$Q$2:$Q$50000,"已关闭",缺陷明细!$J$2:$J$50000,"系统测试",缺陷明细!$K$2:$K$50000,"严重")</f>
        <v>0</v>
      </c>
      <c r="U31" s="74">
        <f>COUNTIFS(缺陷明细!$A$2:$A$50000,$B$4,缺陷明细!$G$2:$G$50000,$C31,缺陷明细!$J$2:$J$50000,"验收测试",缺陷明细!$AB$2:$AB$50000,"&lt;&gt;丢弃",缺陷明细!$AB$2:$AB$50000,"&lt;&gt;设计如此",缺陷明细!$AB$2:$AB$50000,"&lt;&gt;重复Bug")</f>
        <v>0</v>
      </c>
      <c r="V31" s="75">
        <f>COUNTIFS(缺陷明细!$A$2:$A$50000,$B$4,缺陷明细!$G$2:$G$50000,$C31,缺陷明细!$Q$2:$Q$50000,"已关闭",缺陷明细!$J$2:$J$50000,"验收测试")</f>
        <v>0</v>
      </c>
      <c r="W31" s="75">
        <f>COUNTIFS(缺陷明细!$A$2:$A$50000,$B$4,缺陷明细!$G$2:$G$50000,$C31,缺陷明细!$J$2:$J$50000,"验收测试",缺陷明细!$K$2:$K$50000,"致命",缺陷明细!$AB$2:$AB$50000,"&lt;&gt;丢弃",缺陷明细!$AB$2:$AB$50000,"&lt;&gt;设计如此",缺陷明细!$AB$2:$AB$50000,"&lt;&gt;重复Bug")+COUNTIFS(缺陷明细!$A$2:$A$50000,$B$4,缺陷明细!$G$2:$G$50000,$C31,缺陷明细!$J$2:$J$50000,"验收测试",缺陷明细!$K$2:$K$50000,"严重",缺陷明细!$AB$2:$AB$50000,"&lt;&gt;丢弃",缺陷明细!$AB$2:$AB$50000,"&lt;&gt;设计如此",缺陷明细!$AB$2:$AB$50000,"&lt;&gt;重复Bug")</f>
        <v>0</v>
      </c>
      <c r="X31" s="76">
        <f>COUNTIFS(缺陷明细!$A$2:$A$50000,$B$4,缺陷明细!$G$2:$G$50000,$C31,缺陷明细!$Q$2:$Q$50000,"已关闭",缺陷明细!$J$2:$J$50000,"验收测试",缺陷明细!$K$2:$K$50000,"致命")+COUNTIFS(缺陷明细!$A$2:$A$50000,$B$4,缺陷明细!$G$2:$G$50000,$C31,缺陷明细!$Q$2:$Q$50000,"已关闭",缺陷明细!$J$2:$J$50000,"验收测试",缺陷明细!$K$2:$K$50000,"严重")</f>
        <v>0</v>
      </c>
      <c r="Y31" s="70">
        <f>COUNTIFS(缺陷明细!$A$2:$A$50000,$B$4,缺陷明细!$G$2:$G$50000,$C31,缺陷明细!$J$2:$J$50000,"运维测试",缺陷明细!$AB$2:$AB$50000,"&lt;&gt;丢弃",缺陷明细!$AB$2:$AB$50000,"&lt;&gt;设计如此",缺陷明细!$AB$2:$AB$50000,"&lt;&gt;重复Bug")</f>
        <v>0</v>
      </c>
      <c r="Z31" s="71">
        <f>COUNTIFS(缺陷明细!$A$2:$A$50000,$B$4,缺陷明细!$G$2:$G$50000,$C31,缺陷明细!$Q$2:$Q$50000,"已关闭",缺陷明细!$J$2:$J$50000,"运维测试")</f>
        <v>0</v>
      </c>
      <c r="AA31" s="72">
        <f>COUNTIFS(缺陷明细!$A$2:$A$50000,$B$4,缺陷明细!$G$2:$G$50000,$C31,缺陷明细!$J$2:$J$50000,"运维测试",缺陷明细!$K$2:$K$50000,"致命",缺陷明细!$AB$2:$AB$50000,"&lt;&gt;丢弃",缺陷明细!$AB$2:$AB$50000,"&lt;&gt;设计如此",缺陷明细!$AB$2:$AB$50000,"&lt;&gt;重复Bug")+COUNTIFS(缺陷明细!$A$2:$A$50000,$B$4,缺陷明细!$G$2:$G$50000,$C31,缺陷明细!$J$2:$J$50000,"运维测试",缺陷明细!$K$2:$K$50000,"严重",缺陷明细!$AB$2:$AB$50000,"&lt;&gt;丢弃",缺陷明细!$AB$2:$AB$50000,"&lt;&gt;设计如此",缺陷明细!$AB$2:$AB$50000,"&lt;&gt;重复Bug")</f>
        <v>0</v>
      </c>
      <c r="AB31" s="73">
        <f>COUNTIFS(缺陷明细!$A$2:$A$50000,$B$4,缺陷明细!$G$2:$G$50000,$C31,缺陷明细!$Q$2:$Q$50000,"已关闭",缺陷明细!$J$2:$J$50000,"运维测试",缺陷明细!$K$2:$K$50000,"致命")+COUNTIFS(缺陷明细!$A$2:$A$50000,$B$4,缺陷明细!$G$2:$G$50000,$C31,缺陷明细!$Q$2:$Q$50000,"已关闭",缺陷明细!$J$2:$J$50000,"运维测试",缺陷明细!$K$2:$K$50000,"严重")</f>
        <v>0</v>
      </c>
      <c r="AC31" s="68">
        <f t="shared" si="0"/>
        <v>0</v>
      </c>
      <c r="AD31" s="60">
        <f t="shared" si="0"/>
        <v>0</v>
      </c>
      <c r="AE31" s="60">
        <f t="shared" si="1"/>
        <v>0</v>
      </c>
      <c r="AF31" s="60">
        <f t="shared" si="1"/>
        <v>0</v>
      </c>
      <c r="AG31" s="60">
        <f t="shared" si="2"/>
        <v>0</v>
      </c>
      <c r="AH31" s="60">
        <f t="shared" si="2"/>
        <v>0</v>
      </c>
      <c r="AI31" s="60">
        <f t="shared" si="3"/>
        <v>0</v>
      </c>
      <c r="AJ31" s="61">
        <f t="shared" si="3"/>
        <v>0</v>
      </c>
      <c r="AK31" s="144"/>
    </row>
    <row r="32" spans="1:37">
      <c r="A32">
        <v>28</v>
      </c>
      <c r="B32" s="57">
        <v>446</v>
      </c>
      <c r="C32" s="58" t="s">
        <v>372</v>
      </c>
      <c r="D32" s="84" t="s">
        <v>343</v>
      </c>
      <c r="E32" s="82" t="s">
        <v>346</v>
      </c>
      <c r="F32" s="158">
        <v>4</v>
      </c>
      <c r="G32" s="159">
        <v>4</v>
      </c>
      <c r="H32" s="281">
        <f>COUNTIFS(缺陷明细!$A$2:$A$50000,$B$4,缺陷明细!$G$2:$G$50000,$C32,缺陷明细!$J$2:$J$50000,"评审",缺陷明细!$AB$2:$AB$50000,"&lt;&gt;丢弃",缺陷明细!$AB$2:$AB$50000,"&lt;&gt;设计如此",缺陷明细!$AB$2:$AB$50000,"&lt;&gt;重复Bug")</f>
        <v>0</v>
      </c>
      <c r="I32" s="154">
        <f>COUNTIFS(缺陷明细!$A$2:$A$50000,$B$4,缺陷明细!$G$2:$G$50000,$C32,缺陷明细!$Q$2:$Q$50000,"已关闭",缺陷明细!$J$2:$J$50000,"评审")</f>
        <v>0</v>
      </c>
      <c r="J32" s="154">
        <f>COUNTIFS(缺陷明细!$A$2:$A$50000,$B$4,缺陷明细!$G$2:$G$50000,$C32,缺陷明细!$J$2:$J$50000,"单元测试",缺陷明细!$AB$2:$AB$50000,"&lt;&gt;丢弃",缺陷明细!$AB$2:$AB$50000,"&lt;&gt;设计如此",缺陷明细!$AB$2:$AB$50000,"&lt;&gt;重复Bug")</f>
        <v>0</v>
      </c>
      <c r="K32" s="155">
        <f>COUNTIFS(缺陷明细!$A$2:$A$50000,$B$4,缺陷明细!$G$2:$G$50000,$C32,缺陷明细!$Q$2:$Q$50000,"已关闭",缺陷明细!$J$2:$J$50000,"单元测试")</f>
        <v>0</v>
      </c>
      <c r="L32" s="156"/>
      <c r="M32" s="157"/>
      <c r="N32" s="72">
        <f>COUNTIFS(缺陷明细!$A$2:$A$50000,$B$4,缺陷明细!$G$2:$G$50000,$C32,缺陷明细!$J$2:$J$50000,"系统测试案例评审",缺陷明细!$AB$2:$AB$50000,"&lt;&gt;丢弃",缺陷明细!$AB$2:$AB$50000,"&lt;&gt;设计如此",缺陷明细!$AB$2:$AB$50000,"&lt;&gt;重复Bug")</f>
        <v>0</v>
      </c>
      <c r="O32" s="72">
        <f>COUNTIFS(缺陷明细!$A$2:$A$50000,$B$4,缺陷明细!$G$2:$G$50000,$C32,缺陷明细!$Q$2:$Q$50000,"已关闭",缺陷明细!$J$2:$J$50000,"系统测试案例评审")</f>
        <v>0</v>
      </c>
      <c r="P32" s="72">
        <f>COUNTIFS(缺陷明细!$A$2:$A$50000,$B$4,缺陷明细!$G$2:$G$50000,$C32,缺陷明细!$J$2:$J$50000,"系统测试",缺陷明细!$AB$2:$AB$50000,"&lt;&gt;丢弃",缺陷明细!$AB$2:$AB$50000,"&lt;&gt;设计如此",缺陷明细!$AB$2:$AB$50000,"&lt;&gt;重复Bug")</f>
        <v>0</v>
      </c>
      <c r="Q32" s="72">
        <f>COUNTIFS(缺陷明细!$A$2:$A$50000,$B$4,缺陷明细!$G$2:$G$50000,$C32,缺陷明细!$Q$2:$Q$50000,"已关闭",缺陷明细!$J$2:$J$50000,"系统测试")</f>
        <v>0</v>
      </c>
      <c r="R32" s="296">
        <f>COUNTIFS(缺陷明细!$A$2:$A$50000,$B$4,缺陷明细!$G$2:$G$50000,$C32,缺陷明细!$AB$2:$AB$50000,"丢弃",缺陷明细!$J$2:$J$50000,"系统测试")+COUNTIFS(缺陷明细!$A$2:$A$50000,$B$4,缺陷明细!$G$2:$G$50000,$C32,缺陷明细!$AB$2:$AB$50000,"设计如此",缺陷明细!$J$2:$J$50000,"系统测试")+COUNTIFS(缺陷明细!$A$2:$A$50000,$B$4,缺陷明细!$G$2:$G$50000,$C32,缺陷明细!$AB$2:$AB$50000,"重复Bug",缺陷明细!$J$2:$J$50000,"系统测试")</f>
        <v>0</v>
      </c>
      <c r="S32" s="72">
        <f>COUNTIFS(缺陷明细!$A$2:$A$50000,$B$4,缺陷明细!$G$2:$G$50000,$C32,缺陷明细!$J$2:$J$50000,"系统测试",缺陷明细!$K$2:$K$50000,"致命",缺陷明细!$AB$2:$AB$50000,"&lt;&gt;丢弃",缺陷明细!$AB$2:$AB$50000,"&lt;&gt;设计如此",缺陷明细!$AB$2:$AB$50000,"&lt;&gt;重复Bug")+COUNTIFS(缺陷明细!$A$2:$A$50000,$B$4,缺陷明细!$G$2:$G$50000,$C32,缺陷明细!$J$2:$J$50000,"系统测试",缺陷明细!$K$2:$K$50000,"严重",缺陷明细!$AB$2:$AB$50000,"&lt;&gt;丢弃",缺陷明细!$AB$2:$AB$50000,"&lt;&gt;设计如此",缺陷明细!$AB$2:$AB$50000,"&lt;&gt;重复Bug")</f>
        <v>0</v>
      </c>
      <c r="T32" s="73">
        <f>COUNTIFS(缺陷明细!$A$2:$A$50000,$B$4,缺陷明细!$G$2:$G$50000,$C32,缺陷明细!$Q$2:$Q$50000,"已关闭",缺陷明细!$J$2:$J$50000,"系统测试",缺陷明细!$K$2:$K$50000,"致命")+COUNTIFS(缺陷明细!$A$2:$A$50000,$B$4,缺陷明细!$G$2:$G$50000,$C32,缺陷明细!$Q$2:$Q$50000,"已关闭",缺陷明细!$J$2:$J$50000,"系统测试",缺陷明细!$K$2:$K$50000,"严重")</f>
        <v>0</v>
      </c>
      <c r="U32" s="74">
        <f>COUNTIFS(缺陷明细!$A$2:$A$50000,$B$4,缺陷明细!$G$2:$G$50000,$C32,缺陷明细!$J$2:$J$50000,"验收测试",缺陷明细!$AB$2:$AB$50000,"&lt;&gt;丢弃",缺陷明细!$AB$2:$AB$50000,"&lt;&gt;设计如此",缺陷明细!$AB$2:$AB$50000,"&lt;&gt;重复Bug")</f>
        <v>0</v>
      </c>
      <c r="V32" s="75">
        <f>COUNTIFS(缺陷明细!$A$2:$A$50000,$B$4,缺陷明细!$G$2:$G$50000,$C32,缺陷明细!$Q$2:$Q$50000,"已关闭",缺陷明细!$J$2:$J$50000,"验收测试")</f>
        <v>0</v>
      </c>
      <c r="W32" s="75">
        <f>COUNTIFS(缺陷明细!$A$2:$A$50000,$B$4,缺陷明细!$G$2:$G$50000,$C32,缺陷明细!$J$2:$J$50000,"验收测试",缺陷明细!$K$2:$K$50000,"致命",缺陷明细!$AB$2:$AB$50000,"&lt;&gt;丢弃",缺陷明细!$AB$2:$AB$50000,"&lt;&gt;设计如此",缺陷明细!$AB$2:$AB$50000,"&lt;&gt;重复Bug")+COUNTIFS(缺陷明细!$A$2:$A$50000,$B$4,缺陷明细!$G$2:$G$50000,$C32,缺陷明细!$J$2:$J$50000,"验收测试",缺陷明细!$K$2:$K$50000,"严重",缺陷明细!$AB$2:$AB$50000,"&lt;&gt;丢弃",缺陷明细!$AB$2:$AB$50000,"&lt;&gt;设计如此",缺陷明细!$AB$2:$AB$50000,"&lt;&gt;重复Bug")</f>
        <v>0</v>
      </c>
      <c r="X32" s="76">
        <f>COUNTIFS(缺陷明细!$A$2:$A$50000,$B$4,缺陷明细!$G$2:$G$50000,$C32,缺陷明细!$Q$2:$Q$50000,"已关闭",缺陷明细!$J$2:$J$50000,"验收测试",缺陷明细!$K$2:$K$50000,"致命")+COUNTIFS(缺陷明细!$A$2:$A$50000,$B$4,缺陷明细!$G$2:$G$50000,$C32,缺陷明细!$Q$2:$Q$50000,"已关闭",缺陷明细!$J$2:$J$50000,"验收测试",缺陷明细!$K$2:$K$50000,"严重")</f>
        <v>0</v>
      </c>
      <c r="Y32" s="70">
        <f>COUNTIFS(缺陷明细!$A$2:$A$50000,$B$4,缺陷明细!$G$2:$G$50000,$C32,缺陷明细!$J$2:$J$50000,"运维测试",缺陷明细!$AB$2:$AB$50000,"&lt;&gt;丢弃",缺陷明细!$AB$2:$AB$50000,"&lt;&gt;设计如此",缺陷明细!$AB$2:$AB$50000,"&lt;&gt;重复Bug")</f>
        <v>0</v>
      </c>
      <c r="Z32" s="71">
        <f>COUNTIFS(缺陷明细!$A$2:$A$50000,$B$4,缺陷明细!$G$2:$G$50000,$C32,缺陷明细!$Q$2:$Q$50000,"已关闭",缺陷明细!$J$2:$J$50000,"运维测试")</f>
        <v>0</v>
      </c>
      <c r="AA32" s="72">
        <f>COUNTIFS(缺陷明细!$A$2:$A$50000,$B$4,缺陷明细!$G$2:$G$50000,$C32,缺陷明细!$J$2:$J$50000,"运维测试",缺陷明细!$K$2:$K$50000,"致命",缺陷明细!$AB$2:$AB$50000,"&lt;&gt;丢弃",缺陷明细!$AB$2:$AB$50000,"&lt;&gt;设计如此",缺陷明细!$AB$2:$AB$50000,"&lt;&gt;重复Bug")+COUNTIFS(缺陷明细!$A$2:$A$50000,$B$4,缺陷明细!$G$2:$G$50000,$C32,缺陷明细!$J$2:$J$50000,"运维测试",缺陷明细!$K$2:$K$50000,"严重",缺陷明细!$AB$2:$AB$50000,"&lt;&gt;丢弃",缺陷明细!$AB$2:$AB$50000,"&lt;&gt;设计如此",缺陷明细!$AB$2:$AB$50000,"&lt;&gt;重复Bug")</f>
        <v>0</v>
      </c>
      <c r="AB32" s="73">
        <f>COUNTIFS(缺陷明细!$A$2:$A$50000,$B$4,缺陷明细!$G$2:$G$50000,$C32,缺陷明细!$Q$2:$Q$50000,"已关闭",缺陷明细!$J$2:$J$50000,"运维测试",缺陷明细!$K$2:$K$50000,"致命")+COUNTIFS(缺陷明细!$A$2:$A$50000,$B$4,缺陷明细!$G$2:$G$50000,$C32,缺陷明细!$Q$2:$Q$50000,"已关闭",缺陷明细!$J$2:$J$50000,"运维测试",缺陷明细!$K$2:$K$50000,"严重")</f>
        <v>0</v>
      </c>
      <c r="AC32" s="68">
        <f t="shared" si="0"/>
        <v>0</v>
      </c>
      <c r="AD32" s="60">
        <f t="shared" si="0"/>
        <v>0</v>
      </c>
      <c r="AE32" s="60">
        <f t="shared" si="1"/>
        <v>0</v>
      </c>
      <c r="AF32" s="60">
        <f t="shared" si="1"/>
        <v>0</v>
      </c>
      <c r="AG32" s="60">
        <f t="shared" si="2"/>
        <v>0</v>
      </c>
      <c r="AH32" s="60">
        <f t="shared" si="2"/>
        <v>0</v>
      </c>
      <c r="AI32" s="60">
        <f t="shared" si="3"/>
        <v>0</v>
      </c>
      <c r="AJ32" s="61">
        <f t="shared" si="3"/>
        <v>0</v>
      </c>
      <c r="AK32" s="144"/>
    </row>
    <row r="33" spans="1:37" ht="25.5">
      <c r="A33">
        <v>29</v>
      </c>
      <c r="B33" s="57">
        <v>490</v>
      </c>
      <c r="C33" s="58" t="s">
        <v>373</v>
      </c>
      <c r="D33" s="84" t="s">
        <v>343</v>
      </c>
      <c r="E33" s="82" t="s">
        <v>346</v>
      </c>
      <c r="F33" s="158">
        <v>16</v>
      </c>
      <c r="G33" s="159">
        <v>6</v>
      </c>
      <c r="H33" s="281">
        <f>COUNTIFS(缺陷明细!$A$2:$A$50000,$B$4,缺陷明细!$G$2:$G$50000,$C33,缺陷明细!$J$2:$J$50000,"评审",缺陷明细!$AB$2:$AB$50000,"&lt;&gt;丢弃",缺陷明细!$AB$2:$AB$50000,"&lt;&gt;设计如此",缺陷明细!$AB$2:$AB$50000,"&lt;&gt;重复Bug")</f>
        <v>0</v>
      </c>
      <c r="I33" s="154">
        <f>COUNTIFS(缺陷明细!$A$2:$A$50000,$B$4,缺陷明细!$G$2:$G$50000,$C33,缺陷明细!$Q$2:$Q$50000,"已关闭",缺陷明细!$J$2:$J$50000,"评审")</f>
        <v>0</v>
      </c>
      <c r="J33" s="154">
        <f>COUNTIFS(缺陷明细!$A$2:$A$50000,$B$4,缺陷明细!$G$2:$G$50000,$C33,缺陷明细!$J$2:$J$50000,"单元测试",缺陷明细!$AB$2:$AB$50000,"&lt;&gt;丢弃",缺陷明细!$AB$2:$AB$50000,"&lt;&gt;设计如此",缺陷明细!$AB$2:$AB$50000,"&lt;&gt;重复Bug")</f>
        <v>0</v>
      </c>
      <c r="K33" s="155">
        <f>COUNTIFS(缺陷明细!$A$2:$A$50000,$B$4,缺陷明细!$G$2:$G$50000,$C33,缺陷明细!$Q$2:$Q$50000,"已关闭",缺陷明细!$J$2:$J$50000,"单元测试")</f>
        <v>0</v>
      </c>
      <c r="L33" s="156"/>
      <c r="M33" s="157"/>
      <c r="N33" s="72">
        <f>COUNTIFS(缺陷明细!$A$2:$A$50000,$B$4,缺陷明细!$G$2:$G$50000,$C33,缺陷明细!$J$2:$J$50000,"系统测试案例评审",缺陷明细!$AB$2:$AB$50000,"&lt;&gt;丢弃",缺陷明细!$AB$2:$AB$50000,"&lt;&gt;设计如此",缺陷明细!$AB$2:$AB$50000,"&lt;&gt;重复Bug")</f>
        <v>0</v>
      </c>
      <c r="O33" s="72">
        <f>COUNTIFS(缺陷明细!$A$2:$A$50000,$B$4,缺陷明细!$G$2:$G$50000,$C33,缺陷明细!$Q$2:$Q$50000,"已关闭",缺陷明细!$J$2:$J$50000,"系统测试案例评审")</f>
        <v>0</v>
      </c>
      <c r="P33" s="72">
        <f>COUNTIFS(缺陷明细!$A$2:$A$50000,$B$4,缺陷明细!$G$2:$G$50000,$C33,缺陷明细!$J$2:$J$50000,"系统测试",缺陷明细!$AB$2:$AB$50000,"&lt;&gt;丢弃",缺陷明细!$AB$2:$AB$50000,"&lt;&gt;设计如此",缺陷明细!$AB$2:$AB$50000,"&lt;&gt;重复Bug")</f>
        <v>0</v>
      </c>
      <c r="Q33" s="72">
        <f>COUNTIFS(缺陷明细!$A$2:$A$50000,$B$4,缺陷明细!$G$2:$G$50000,$C33,缺陷明细!$Q$2:$Q$50000,"已关闭",缺陷明细!$J$2:$J$50000,"系统测试")</f>
        <v>0</v>
      </c>
      <c r="R33" s="296">
        <f>COUNTIFS(缺陷明细!$A$2:$A$50000,$B$4,缺陷明细!$G$2:$G$50000,$C33,缺陷明细!$AB$2:$AB$50000,"丢弃",缺陷明细!$J$2:$J$50000,"系统测试")+COUNTIFS(缺陷明细!$A$2:$A$50000,$B$4,缺陷明细!$G$2:$G$50000,$C33,缺陷明细!$AB$2:$AB$50000,"设计如此",缺陷明细!$J$2:$J$50000,"系统测试")+COUNTIFS(缺陷明细!$A$2:$A$50000,$B$4,缺陷明细!$G$2:$G$50000,$C33,缺陷明细!$AB$2:$AB$50000,"重复Bug",缺陷明细!$J$2:$J$50000,"系统测试")</f>
        <v>0</v>
      </c>
      <c r="S33" s="72">
        <f>COUNTIFS(缺陷明细!$A$2:$A$50000,$B$4,缺陷明细!$G$2:$G$50000,$C33,缺陷明细!$J$2:$J$50000,"系统测试",缺陷明细!$K$2:$K$50000,"致命",缺陷明细!$AB$2:$AB$50000,"&lt;&gt;丢弃",缺陷明细!$AB$2:$AB$50000,"&lt;&gt;设计如此",缺陷明细!$AB$2:$AB$50000,"&lt;&gt;重复Bug")+COUNTIFS(缺陷明细!$A$2:$A$50000,$B$4,缺陷明细!$G$2:$G$50000,$C33,缺陷明细!$J$2:$J$50000,"系统测试",缺陷明细!$K$2:$K$50000,"严重",缺陷明细!$AB$2:$AB$50000,"&lt;&gt;丢弃",缺陷明细!$AB$2:$AB$50000,"&lt;&gt;设计如此",缺陷明细!$AB$2:$AB$50000,"&lt;&gt;重复Bug")</f>
        <v>0</v>
      </c>
      <c r="T33" s="73">
        <f>COUNTIFS(缺陷明细!$A$2:$A$50000,$B$4,缺陷明细!$G$2:$G$50000,$C33,缺陷明细!$Q$2:$Q$50000,"已关闭",缺陷明细!$J$2:$J$50000,"系统测试",缺陷明细!$K$2:$K$50000,"致命")+COUNTIFS(缺陷明细!$A$2:$A$50000,$B$4,缺陷明细!$G$2:$G$50000,$C33,缺陷明细!$Q$2:$Q$50000,"已关闭",缺陷明细!$J$2:$J$50000,"系统测试",缺陷明细!$K$2:$K$50000,"严重")</f>
        <v>0</v>
      </c>
      <c r="U33" s="74">
        <f>COUNTIFS(缺陷明细!$A$2:$A$50000,$B$4,缺陷明细!$G$2:$G$50000,$C33,缺陷明细!$J$2:$J$50000,"验收测试",缺陷明细!$AB$2:$AB$50000,"&lt;&gt;丢弃",缺陷明细!$AB$2:$AB$50000,"&lt;&gt;设计如此",缺陷明细!$AB$2:$AB$50000,"&lt;&gt;重复Bug")</f>
        <v>0</v>
      </c>
      <c r="V33" s="75">
        <f>COUNTIFS(缺陷明细!$A$2:$A$50000,$B$4,缺陷明细!$G$2:$G$50000,$C33,缺陷明细!$Q$2:$Q$50000,"已关闭",缺陷明细!$J$2:$J$50000,"验收测试")</f>
        <v>0</v>
      </c>
      <c r="W33" s="75">
        <f>COUNTIFS(缺陷明细!$A$2:$A$50000,$B$4,缺陷明细!$G$2:$G$50000,$C33,缺陷明细!$J$2:$J$50000,"验收测试",缺陷明细!$K$2:$K$50000,"致命",缺陷明细!$AB$2:$AB$50000,"&lt;&gt;丢弃",缺陷明细!$AB$2:$AB$50000,"&lt;&gt;设计如此",缺陷明细!$AB$2:$AB$50000,"&lt;&gt;重复Bug")+COUNTIFS(缺陷明细!$A$2:$A$50000,$B$4,缺陷明细!$G$2:$G$50000,$C33,缺陷明细!$J$2:$J$50000,"验收测试",缺陷明细!$K$2:$K$50000,"严重",缺陷明细!$AB$2:$AB$50000,"&lt;&gt;丢弃",缺陷明细!$AB$2:$AB$50000,"&lt;&gt;设计如此",缺陷明细!$AB$2:$AB$50000,"&lt;&gt;重复Bug")</f>
        <v>0</v>
      </c>
      <c r="X33" s="76">
        <f>COUNTIFS(缺陷明细!$A$2:$A$50000,$B$4,缺陷明细!$G$2:$G$50000,$C33,缺陷明细!$Q$2:$Q$50000,"已关闭",缺陷明细!$J$2:$J$50000,"验收测试",缺陷明细!$K$2:$K$50000,"致命")+COUNTIFS(缺陷明细!$A$2:$A$50000,$B$4,缺陷明细!$G$2:$G$50000,$C33,缺陷明细!$Q$2:$Q$50000,"已关闭",缺陷明细!$J$2:$J$50000,"验收测试",缺陷明细!$K$2:$K$50000,"严重")</f>
        <v>0</v>
      </c>
      <c r="Y33" s="70">
        <f>COUNTIFS(缺陷明细!$A$2:$A$50000,$B$4,缺陷明细!$G$2:$G$50000,$C33,缺陷明细!$J$2:$J$50000,"运维测试",缺陷明细!$AB$2:$AB$50000,"&lt;&gt;丢弃",缺陷明细!$AB$2:$AB$50000,"&lt;&gt;设计如此",缺陷明细!$AB$2:$AB$50000,"&lt;&gt;重复Bug")</f>
        <v>0</v>
      </c>
      <c r="Z33" s="71">
        <f>COUNTIFS(缺陷明细!$A$2:$A$50000,$B$4,缺陷明细!$G$2:$G$50000,$C33,缺陷明细!$Q$2:$Q$50000,"已关闭",缺陷明细!$J$2:$J$50000,"运维测试")</f>
        <v>0</v>
      </c>
      <c r="AA33" s="72">
        <f>COUNTIFS(缺陷明细!$A$2:$A$50000,$B$4,缺陷明细!$G$2:$G$50000,$C33,缺陷明细!$J$2:$J$50000,"运维测试",缺陷明细!$K$2:$K$50000,"致命",缺陷明细!$AB$2:$AB$50000,"&lt;&gt;丢弃",缺陷明细!$AB$2:$AB$50000,"&lt;&gt;设计如此",缺陷明细!$AB$2:$AB$50000,"&lt;&gt;重复Bug")+COUNTIFS(缺陷明细!$A$2:$A$50000,$B$4,缺陷明细!$G$2:$G$50000,$C33,缺陷明细!$J$2:$J$50000,"运维测试",缺陷明细!$K$2:$K$50000,"严重",缺陷明细!$AB$2:$AB$50000,"&lt;&gt;丢弃",缺陷明细!$AB$2:$AB$50000,"&lt;&gt;设计如此",缺陷明细!$AB$2:$AB$50000,"&lt;&gt;重复Bug")</f>
        <v>0</v>
      </c>
      <c r="AB33" s="73">
        <f>COUNTIFS(缺陷明细!$A$2:$A$50000,$B$4,缺陷明细!$G$2:$G$50000,$C33,缺陷明细!$Q$2:$Q$50000,"已关闭",缺陷明细!$J$2:$J$50000,"运维测试",缺陷明细!$K$2:$K$50000,"致命")+COUNTIFS(缺陷明细!$A$2:$A$50000,$B$4,缺陷明细!$G$2:$G$50000,$C33,缺陷明细!$Q$2:$Q$50000,"已关闭",缺陷明细!$J$2:$J$50000,"运维测试",缺陷明细!$K$2:$K$50000,"严重")</f>
        <v>0</v>
      </c>
      <c r="AC33" s="68">
        <f t="shared" si="0"/>
        <v>0</v>
      </c>
      <c r="AD33" s="60">
        <f t="shared" si="0"/>
        <v>0</v>
      </c>
      <c r="AE33" s="60">
        <f t="shared" si="1"/>
        <v>0</v>
      </c>
      <c r="AF33" s="60">
        <f t="shared" si="1"/>
        <v>0</v>
      </c>
      <c r="AG33" s="60">
        <f t="shared" si="2"/>
        <v>0</v>
      </c>
      <c r="AH33" s="60">
        <f t="shared" si="2"/>
        <v>0</v>
      </c>
      <c r="AI33" s="60">
        <f t="shared" si="3"/>
        <v>0</v>
      </c>
      <c r="AJ33" s="61">
        <f t="shared" si="3"/>
        <v>0</v>
      </c>
      <c r="AK33" s="144"/>
    </row>
    <row r="34" spans="1:37" ht="25.5">
      <c r="A34">
        <v>30</v>
      </c>
      <c r="B34" s="57">
        <v>491</v>
      </c>
      <c r="C34" s="58" t="s">
        <v>374</v>
      </c>
      <c r="D34" s="84" t="s">
        <v>375</v>
      </c>
      <c r="E34" s="82" t="s">
        <v>346</v>
      </c>
      <c r="F34" s="158">
        <v>16</v>
      </c>
      <c r="G34" s="159">
        <v>16</v>
      </c>
      <c r="H34" s="281">
        <f>COUNTIFS(缺陷明细!$A$2:$A$50000,$B$4,缺陷明细!$G$2:$G$50000,$C34,缺陷明细!$J$2:$J$50000,"评审",缺陷明细!$AB$2:$AB$50000,"&lt;&gt;丢弃",缺陷明细!$AB$2:$AB$50000,"&lt;&gt;设计如此",缺陷明细!$AB$2:$AB$50000,"&lt;&gt;重复Bug")</f>
        <v>0</v>
      </c>
      <c r="I34" s="154">
        <f>COUNTIFS(缺陷明细!$A$2:$A$50000,$B$4,缺陷明细!$G$2:$G$50000,$C34,缺陷明细!$Q$2:$Q$50000,"已关闭",缺陷明细!$J$2:$J$50000,"评审")</f>
        <v>0</v>
      </c>
      <c r="J34" s="154">
        <f>COUNTIFS(缺陷明细!$A$2:$A$50000,$B$4,缺陷明细!$G$2:$G$50000,$C34,缺陷明细!$J$2:$J$50000,"单元测试",缺陷明细!$AB$2:$AB$50000,"&lt;&gt;丢弃",缺陷明细!$AB$2:$AB$50000,"&lt;&gt;设计如此",缺陷明细!$AB$2:$AB$50000,"&lt;&gt;重复Bug")</f>
        <v>0</v>
      </c>
      <c r="K34" s="155">
        <f>COUNTIFS(缺陷明细!$A$2:$A$50000,$B$4,缺陷明细!$G$2:$G$50000,$C34,缺陷明细!$Q$2:$Q$50000,"已关闭",缺陷明细!$J$2:$J$50000,"单元测试")</f>
        <v>0</v>
      </c>
      <c r="L34" s="156"/>
      <c r="M34" s="157"/>
      <c r="N34" s="72">
        <f>COUNTIFS(缺陷明细!$A$2:$A$50000,$B$4,缺陷明细!$G$2:$G$50000,$C34,缺陷明细!$J$2:$J$50000,"系统测试案例评审",缺陷明细!$AB$2:$AB$50000,"&lt;&gt;丢弃",缺陷明细!$AB$2:$AB$50000,"&lt;&gt;设计如此",缺陷明细!$AB$2:$AB$50000,"&lt;&gt;重复Bug")</f>
        <v>0</v>
      </c>
      <c r="O34" s="72">
        <f>COUNTIFS(缺陷明细!$A$2:$A$50000,$B$4,缺陷明细!$G$2:$G$50000,$C34,缺陷明细!$Q$2:$Q$50000,"已关闭",缺陷明细!$J$2:$J$50000,"系统测试案例评审")</f>
        <v>0</v>
      </c>
      <c r="P34" s="72">
        <f>COUNTIFS(缺陷明细!$A$2:$A$50000,$B$4,缺陷明细!$G$2:$G$50000,$C34,缺陷明细!$J$2:$J$50000,"系统测试",缺陷明细!$AB$2:$AB$50000,"&lt;&gt;丢弃",缺陷明细!$AB$2:$AB$50000,"&lt;&gt;设计如此",缺陷明细!$AB$2:$AB$50000,"&lt;&gt;重复Bug")</f>
        <v>0</v>
      </c>
      <c r="Q34" s="72">
        <f>COUNTIFS(缺陷明细!$A$2:$A$50000,$B$4,缺陷明细!$G$2:$G$50000,$C34,缺陷明细!$Q$2:$Q$50000,"已关闭",缺陷明细!$J$2:$J$50000,"系统测试")</f>
        <v>0</v>
      </c>
      <c r="R34" s="296">
        <f>COUNTIFS(缺陷明细!$A$2:$A$50000,$B$4,缺陷明细!$G$2:$G$50000,$C34,缺陷明细!$AB$2:$AB$50000,"丢弃",缺陷明细!$J$2:$J$50000,"系统测试")+COUNTIFS(缺陷明细!$A$2:$A$50000,$B$4,缺陷明细!$G$2:$G$50000,$C34,缺陷明细!$AB$2:$AB$50000,"设计如此",缺陷明细!$J$2:$J$50000,"系统测试")+COUNTIFS(缺陷明细!$A$2:$A$50000,$B$4,缺陷明细!$G$2:$G$50000,$C34,缺陷明细!$AB$2:$AB$50000,"重复Bug",缺陷明细!$J$2:$J$50000,"系统测试")</f>
        <v>0</v>
      </c>
      <c r="S34" s="72">
        <f>COUNTIFS(缺陷明细!$A$2:$A$50000,$B$4,缺陷明细!$G$2:$G$50000,$C34,缺陷明细!$J$2:$J$50000,"系统测试",缺陷明细!$K$2:$K$50000,"致命",缺陷明细!$AB$2:$AB$50000,"&lt;&gt;丢弃",缺陷明细!$AB$2:$AB$50000,"&lt;&gt;设计如此",缺陷明细!$AB$2:$AB$50000,"&lt;&gt;重复Bug")+COUNTIFS(缺陷明细!$A$2:$A$50000,$B$4,缺陷明细!$G$2:$G$50000,$C34,缺陷明细!$J$2:$J$50000,"系统测试",缺陷明细!$K$2:$K$50000,"严重",缺陷明细!$AB$2:$AB$50000,"&lt;&gt;丢弃",缺陷明细!$AB$2:$AB$50000,"&lt;&gt;设计如此",缺陷明细!$AB$2:$AB$50000,"&lt;&gt;重复Bug")</f>
        <v>0</v>
      </c>
      <c r="T34" s="73">
        <f>COUNTIFS(缺陷明细!$A$2:$A$50000,$B$4,缺陷明细!$G$2:$G$50000,$C34,缺陷明细!$Q$2:$Q$50000,"已关闭",缺陷明细!$J$2:$J$50000,"系统测试",缺陷明细!$K$2:$K$50000,"致命")+COUNTIFS(缺陷明细!$A$2:$A$50000,$B$4,缺陷明细!$G$2:$G$50000,$C34,缺陷明细!$Q$2:$Q$50000,"已关闭",缺陷明细!$J$2:$J$50000,"系统测试",缺陷明细!$K$2:$K$50000,"严重")</f>
        <v>0</v>
      </c>
      <c r="U34" s="74">
        <f>COUNTIFS(缺陷明细!$A$2:$A$50000,$B$4,缺陷明细!$G$2:$G$50000,$C34,缺陷明细!$J$2:$J$50000,"验收测试",缺陷明细!$AB$2:$AB$50000,"&lt;&gt;丢弃",缺陷明细!$AB$2:$AB$50000,"&lt;&gt;设计如此",缺陷明细!$AB$2:$AB$50000,"&lt;&gt;重复Bug")</f>
        <v>0</v>
      </c>
      <c r="V34" s="75">
        <f>COUNTIFS(缺陷明细!$A$2:$A$50000,$B$4,缺陷明细!$G$2:$G$50000,$C34,缺陷明细!$Q$2:$Q$50000,"已关闭",缺陷明细!$J$2:$J$50000,"验收测试")</f>
        <v>0</v>
      </c>
      <c r="W34" s="75">
        <f>COUNTIFS(缺陷明细!$A$2:$A$50000,$B$4,缺陷明细!$G$2:$G$50000,$C34,缺陷明细!$J$2:$J$50000,"验收测试",缺陷明细!$K$2:$K$50000,"致命",缺陷明细!$AB$2:$AB$50000,"&lt;&gt;丢弃",缺陷明细!$AB$2:$AB$50000,"&lt;&gt;设计如此",缺陷明细!$AB$2:$AB$50000,"&lt;&gt;重复Bug")+COUNTIFS(缺陷明细!$A$2:$A$50000,$B$4,缺陷明细!$G$2:$G$50000,$C34,缺陷明细!$J$2:$J$50000,"验收测试",缺陷明细!$K$2:$K$50000,"严重",缺陷明细!$AB$2:$AB$50000,"&lt;&gt;丢弃",缺陷明细!$AB$2:$AB$50000,"&lt;&gt;设计如此",缺陷明细!$AB$2:$AB$50000,"&lt;&gt;重复Bug")</f>
        <v>0</v>
      </c>
      <c r="X34" s="76">
        <f>COUNTIFS(缺陷明细!$A$2:$A$50000,$B$4,缺陷明细!$G$2:$G$50000,$C34,缺陷明细!$Q$2:$Q$50000,"已关闭",缺陷明细!$J$2:$J$50000,"验收测试",缺陷明细!$K$2:$K$50000,"致命")+COUNTIFS(缺陷明细!$A$2:$A$50000,$B$4,缺陷明细!$G$2:$G$50000,$C34,缺陷明细!$Q$2:$Q$50000,"已关闭",缺陷明细!$J$2:$J$50000,"验收测试",缺陷明细!$K$2:$K$50000,"严重")</f>
        <v>0</v>
      </c>
      <c r="Y34" s="70">
        <f>COUNTIFS(缺陷明细!$A$2:$A$50000,$B$4,缺陷明细!$G$2:$G$50000,$C34,缺陷明细!$J$2:$J$50000,"运维测试",缺陷明细!$AB$2:$AB$50000,"&lt;&gt;丢弃",缺陷明细!$AB$2:$AB$50000,"&lt;&gt;设计如此",缺陷明细!$AB$2:$AB$50000,"&lt;&gt;重复Bug")</f>
        <v>0</v>
      </c>
      <c r="Z34" s="71">
        <f>COUNTIFS(缺陷明细!$A$2:$A$50000,$B$4,缺陷明细!$G$2:$G$50000,$C34,缺陷明细!$Q$2:$Q$50000,"已关闭",缺陷明细!$J$2:$J$50000,"运维测试")</f>
        <v>0</v>
      </c>
      <c r="AA34" s="72">
        <f>COUNTIFS(缺陷明细!$A$2:$A$50000,$B$4,缺陷明细!$G$2:$G$50000,$C34,缺陷明细!$J$2:$J$50000,"运维测试",缺陷明细!$K$2:$K$50000,"致命",缺陷明细!$AB$2:$AB$50000,"&lt;&gt;丢弃",缺陷明细!$AB$2:$AB$50000,"&lt;&gt;设计如此",缺陷明细!$AB$2:$AB$50000,"&lt;&gt;重复Bug")+COUNTIFS(缺陷明细!$A$2:$A$50000,$B$4,缺陷明细!$G$2:$G$50000,$C34,缺陷明细!$J$2:$J$50000,"运维测试",缺陷明细!$K$2:$K$50000,"严重",缺陷明细!$AB$2:$AB$50000,"&lt;&gt;丢弃",缺陷明细!$AB$2:$AB$50000,"&lt;&gt;设计如此",缺陷明细!$AB$2:$AB$50000,"&lt;&gt;重复Bug")</f>
        <v>0</v>
      </c>
      <c r="AB34" s="73">
        <f>COUNTIFS(缺陷明细!$A$2:$A$50000,$B$4,缺陷明细!$G$2:$G$50000,$C34,缺陷明细!$Q$2:$Q$50000,"已关闭",缺陷明细!$J$2:$J$50000,"运维测试",缺陷明细!$K$2:$K$50000,"致命")+COUNTIFS(缺陷明细!$A$2:$A$50000,$B$4,缺陷明细!$G$2:$G$50000,$C34,缺陷明细!$Q$2:$Q$50000,"已关闭",缺陷明细!$J$2:$J$50000,"运维测试",缺陷明细!$K$2:$K$50000,"严重")</f>
        <v>0</v>
      </c>
      <c r="AC34" s="68">
        <f t="shared" si="0"/>
        <v>0</v>
      </c>
      <c r="AD34" s="60">
        <f t="shared" si="0"/>
        <v>0</v>
      </c>
      <c r="AE34" s="60">
        <f t="shared" si="1"/>
        <v>0</v>
      </c>
      <c r="AF34" s="60">
        <f t="shared" si="1"/>
        <v>0</v>
      </c>
      <c r="AG34" s="60">
        <f t="shared" si="2"/>
        <v>0</v>
      </c>
      <c r="AH34" s="60">
        <f t="shared" si="2"/>
        <v>0</v>
      </c>
      <c r="AI34" s="60">
        <f t="shared" si="3"/>
        <v>0</v>
      </c>
      <c r="AJ34" s="61">
        <f t="shared" si="3"/>
        <v>0</v>
      </c>
      <c r="AK34" s="144"/>
    </row>
    <row r="35" spans="1:37" ht="25.5">
      <c r="A35">
        <v>31</v>
      </c>
      <c r="B35" s="57">
        <v>492</v>
      </c>
      <c r="C35" s="58" t="s">
        <v>376</v>
      </c>
      <c r="D35" s="84" t="s">
        <v>343</v>
      </c>
      <c r="E35" s="82" t="s">
        <v>346</v>
      </c>
      <c r="F35" s="158">
        <v>16</v>
      </c>
      <c r="G35" s="159">
        <v>16</v>
      </c>
      <c r="H35" s="281">
        <f>COUNTIFS(缺陷明细!$A$2:$A$50000,$B$4,缺陷明细!$G$2:$G$50000,$C35,缺陷明细!$J$2:$J$50000,"评审",缺陷明细!$AB$2:$AB$50000,"&lt;&gt;丢弃",缺陷明细!$AB$2:$AB$50000,"&lt;&gt;设计如此",缺陷明细!$AB$2:$AB$50000,"&lt;&gt;重复Bug")</f>
        <v>0</v>
      </c>
      <c r="I35" s="154">
        <f>COUNTIFS(缺陷明细!$A$2:$A$50000,$B$4,缺陷明细!$G$2:$G$50000,$C35,缺陷明细!$Q$2:$Q$50000,"已关闭",缺陷明细!$J$2:$J$50000,"评审")</f>
        <v>0</v>
      </c>
      <c r="J35" s="154">
        <f>COUNTIFS(缺陷明细!$A$2:$A$50000,$B$4,缺陷明细!$G$2:$G$50000,$C35,缺陷明细!$J$2:$J$50000,"单元测试",缺陷明细!$AB$2:$AB$50000,"&lt;&gt;丢弃",缺陷明细!$AB$2:$AB$50000,"&lt;&gt;设计如此",缺陷明细!$AB$2:$AB$50000,"&lt;&gt;重复Bug")</f>
        <v>0</v>
      </c>
      <c r="K35" s="155">
        <f>COUNTIFS(缺陷明细!$A$2:$A$50000,$B$4,缺陷明细!$G$2:$G$50000,$C35,缺陷明细!$Q$2:$Q$50000,"已关闭",缺陷明细!$J$2:$J$50000,"单元测试")</f>
        <v>0</v>
      </c>
      <c r="L35" s="156"/>
      <c r="M35" s="157"/>
      <c r="N35" s="72">
        <f>COUNTIFS(缺陷明细!$A$2:$A$50000,$B$4,缺陷明细!$G$2:$G$50000,$C35,缺陷明细!$J$2:$J$50000,"系统测试案例评审",缺陷明细!$AB$2:$AB$50000,"&lt;&gt;丢弃",缺陷明细!$AB$2:$AB$50000,"&lt;&gt;设计如此",缺陷明细!$AB$2:$AB$50000,"&lt;&gt;重复Bug")</f>
        <v>0</v>
      </c>
      <c r="O35" s="72">
        <f>COUNTIFS(缺陷明细!$A$2:$A$50000,$B$4,缺陷明细!$G$2:$G$50000,$C35,缺陷明细!$Q$2:$Q$50000,"已关闭",缺陷明细!$J$2:$J$50000,"系统测试案例评审")</f>
        <v>0</v>
      </c>
      <c r="P35" s="72">
        <f>COUNTIFS(缺陷明细!$A$2:$A$50000,$B$4,缺陷明细!$G$2:$G$50000,$C35,缺陷明细!$J$2:$J$50000,"系统测试",缺陷明细!$AB$2:$AB$50000,"&lt;&gt;丢弃",缺陷明细!$AB$2:$AB$50000,"&lt;&gt;设计如此",缺陷明细!$AB$2:$AB$50000,"&lt;&gt;重复Bug")</f>
        <v>0</v>
      </c>
      <c r="Q35" s="72">
        <f>COUNTIFS(缺陷明细!$A$2:$A$50000,$B$4,缺陷明细!$G$2:$G$50000,$C35,缺陷明细!$Q$2:$Q$50000,"已关闭",缺陷明细!$J$2:$J$50000,"系统测试")</f>
        <v>0</v>
      </c>
      <c r="R35" s="296">
        <f>COUNTIFS(缺陷明细!$A$2:$A$50000,$B$4,缺陷明细!$G$2:$G$50000,$C35,缺陷明细!$AB$2:$AB$50000,"丢弃",缺陷明细!$J$2:$J$50000,"系统测试")+COUNTIFS(缺陷明细!$A$2:$A$50000,$B$4,缺陷明细!$G$2:$G$50000,$C35,缺陷明细!$AB$2:$AB$50000,"设计如此",缺陷明细!$J$2:$J$50000,"系统测试")+COUNTIFS(缺陷明细!$A$2:$A$50000,$B$4,缺陷明细!$G$2:$G$50000,$C35,缺陷明细!$AB$2:$AB$50000,"重复Bug",缺陷明细!$J$2:$J$50000,"系统测试")</f>
        <v>0</v>
      </c>
      <c r="S35" s="72">
        <f>COUNTIFS(缺陷明细!$A$2:$A$50000,$B$4,缺陷明细!$G$2:$G$50000,$C35,缺陷明细!$J$2:$J$50000,"系统测试",缺陷明细!$K$2:$K$50000,"致命",缺陷明细!$AB$2:$AB$50000,"&lt;&gt;丢弃",缺陷明细!$AB$2:$AB$50000,"&lt;&gt;设计如此",缺陷明细!$AB$2:$AB$50000,"&lt;&gt;重复Bug")+COUNTIFS(缺陷明细!$A$2:$A$50000,$B$4,缺陷明细!$G$2:$G$50000,$C35,缺陷明细!$J$2:$J$50000,"系统测试",缺陷明细!$K$2:$K$50000,"严重",缺陷明细!$AB$2:$AB$50000,"&lt;&gt;丢弃",缺陷明细!$AB$2:$AB$50000,"&lt;&gt;设计如此",缺陷明细!$AB$2:$AB$50000,"&lt;&gt;重复Bug")</f>
        <v>0</v>
      </c>
      <c r="T35" s="73">
        <f>COUNTIFS(缺陷明细!$A$2:$A$50000,$B$4,缺陷明细!$G$2:$G$50000,$C35,缺陷明细!$Q$2:$Q$50000,"已关闭",缺陷明细!$J$2:$J$50000,"系统测试",缺陷明细!$K$2:$K$50000,"致命")+COUNTIFS(缺陷明细!$A$2:$A$50000,$B$4,缺陷明细!$G$2:$G$50000,$C35,缺陷明细!$Q$2:$Q$50000,"已关闭",缺陷明细!$J$2:$J$50000,"系统测试",缺陷明细!$K$2:$K$50000,"严重")</f>
        <v>0</v>
      </c>
      <c r="U35" s="74">
        <f>COUNTIFS(缺陷明细!$A$2:$A$50000,$B$4,缺陷明细!$G$2:$G$50000,$C35,缺陷明细!$J$2:$J$50000,"验收测试",缺陷明细!$AB$2:$AB$50000,"&lt;&gt;丢弃",缺陷明细!$AB$2:$AB$50000,"&lt;&gt;设计如此",缺陷明细!$AB$2:$AB$50000,"&lt;&gt;重复Bug")</f>
        <v>0</v>
      </c>
      <c r="V35" s="75">
        <f>COUNTIFS(缺陷明细!$A$2:$A$50000,$B$4,缺陷明细!$G$2:$G$50000,$C35,缺陷明细!$Q$2:$Q$50000,"已关闭",缺陷明细!$J$2:$J$50000,"验收测试")</f>
        <v>0</v>
      </c>
      <c r="W35" s="75">
        <f>COUNTIFS(缺陷明细!$A$2:$A$50000,$B$4,缺陷明细!$G$2:$G$50000,$C35,缺陷明细!$J$2:$J$50000,"验收测试",缺陷明细!$K$2:$K$50000,"致命",缺陷明细!$AB$2:$AB$50000,"&lt;&gt;丢弃",缺陷明细!$AB$2:$AB$50000,"&lt;&gt;设计如此",缺陷明细!$AB$2:$AB$50000,"&lt;&gt;重复Bug")+COUNTIFS(缺陷明细!$A$2:$A$50000,$B$4,缺陷明细!$G$2:$G$50000,$C35,缺陷明细!$J$2:$J$50000,"验收测试",缺陷明细!$K$2:$K$50000,"严重",缺陷明细!$AB$2:$AB$50000,"&lt;&gt;丢弃",缺陷明细!$AB$2:$AB$50000,"&lt;&gt;设计如此",缺陷明细!$AB$2:$AB$50000,"&lt;&gt;重复Bug")</f>
        <v>0</v>
      </c>
      <c r="X35" s="76">
        <f>COUNTIFS(缺陷明细!$A$2:$A$50000,$B$4,缺陷明细!$G$2:$G$50000,$C35,缺陷明细!$Q$2:$Q$50000,"已关闭",缺陷明细!$J$2:$J$50000,"验收测试",缺陷明细!$K$2:$K$50000,"致命")+COUNTIFS(缺陷明细!$A$2:$A$50000,$B$4,缺陷明细!$G$2:$G$50000,$C35,缺陷明细!$Q$2:$Q$50000,"已关闭",缺陷明细!$J$2:$J$50000,"验收测试",缺陷明细!$K$2:$K$50000,"严重")</f>
        <v>0</v>
      </c>
      <c r="Y35" s="70">
        <f>COUNTIFS(缺陷明细!$A$2:$A$50000,$B$4,缺陷明细!$G$2:$G$50000,$C35,缺陷明细!$J$2:$J$50000,"运维测试",缺陷明细!$AB$2:$AB$50000,"&lt;&gt;丢弃",缺陷明细!$AB$2:$AB$50000,"&lt;&gt;设计如此",缺陷明细!$AB$2:$AB$50000,"&lt;&gt;重复Bug")</f>
        <v>0</v>
      </c>
      <c r="Z35" s="71">
        <f>COUNTIFS(缺陷明细!$A$2:$A$50000,$B$4,缺陷明细!$G$2:$G$50000,$C35,缺陷明细!$Q$2:$Q$50000,"已关闭",缺陷明细!$J$2:$J$50000,"运维测试")</f>
        <v>0</v>
      </c>
      <c r="AA35" s="72">
        <f>COUNTIFS(缺陷明细!$A$2:$A$50000,$B$4,缺陷明细!$G$2:$G$50000,$C35,缺陷明细!$J$2:$J$50000,"运维测试",缺陷明细!$K$2:$K$50000,"致命",缺陷明细!$AB$2:$AB$50000,"&lt;&gt;丢弃",缺陷明细!$AB$2:$AB$50000,"&lt;&gt;设计如此",缺陷明细!$AB$2:$AB$50000,"&lt;&gt;重复Bug")+COUNTIFS(缺陷明细!$A$2:$A$50000,$B$4,缺陷明细!$G$2:$G$50000,$C35,缺陷明细!$J$2:$J$50000,"运维测试",缺陷明细!$K$2:$K$50000,"严重",缺陷明细!$AB$2:$AB$50000,"&lt;&gt;丢弃",缺陷明细!$AB$2:$AB$50000,"&lt;&gt;设计如此",缺陷明细!$AB$2:$AB$50000,"&lt;&gt;重复Bug")</f>
        <v>0</v>
      </c>
      <c r="AB35" s="73">
        <f>COUNTIFS(缺陷明细!$A$2:$A$50000,$B$4,缺陷明细!$G$2:$G$50000,$C35,缺陷明细!$Q$2:$Q$50000,"已关闭",缺陷明细!$J$2:$J$50000,"运维测试",缺陷明细!$K$2:$K$50000,"致命")+COUNTIFS(缺陷明细!$A$2:$A$50000,$B$4,缺陷明细!$G$2:$G$50000,$C35,缺陷明细!$Q$2:$Q$50000,"已关闭",缺陷明细!$J$2:$J$50000,"运维测试",缺陷明细!$K$2:$K$50000,"严重")</f>
        <v>0</v>
      </c>
      <c r="AC35" s="68">
        <f t="shared" si="0"/>
        <v>0</v>
      </c>
      <c r="AD35" s="60">
        <f t="shared" si="0"/>
        <v>0</v>
      </c>
      <c r="AE35" s="60">
        <f t="shared" si="1"/>
        <v>0</v>
      </c>
      <c r="AF35" s="60">
        <f t="shared" si="1"/>
        <v>0</v>
      </c>
      <c r="AG35" s="60">
        <f t="shared" si="2"/>
        <v>0</v>
      </c>
      <c r="AH35" s="60">
        <f t="shared" si="2"/>
        <v>0</v>
      </c>
      <c r="AI35" s="60">
        <f t="shared" si="3"/>
        <v>0</v>
      </c>
      <c r="AJ35" s="61">
        <f t="shared" si="3"/>
        <v>0</v>
      </c>
      <c r="AK35" s="144"/>
    </row>
    <row r="36" spans="1:37" ht="25.5">
      <c r="A36">
        <v>32</v>
      </c>
      <c r="B36" s="57">
        <v>493</v>
      </c>
      <c r="C36" s="58" t="s">
        <v>377</v>
      </c>
      <c r="D36" s="84" t="s">
        <v>375</v>
      </c>
      <c r="E36" s="82" t="s">
        <v>346</v>
      </c>
      <c r="F36" s="158">
        <v>8</v>
      </c>
      <c r="G36" s="159">
        <v>8</v>
      </c>
      <c r="H36" s="281">
        <f>COUNTIFS(缺陷明细!$A$2:$A$50000,$B$4,缺陷明细!$G$2:$G$50000,$C36,缺陷明细!$J$2:$J$50000,"评审",缺陷明细!$AB$2:$AB$50000,"&lt;&gt;丢弃",缺陷明细!$AB$2:$AB$50000,"&lt;&gt;设计如此",缺陷明细!$AB$2:$AB$50000,"&lt;&gt;重复Bug")</f>
        <v>0</v>
      </c>
      <c r="I36" s="154">
        <f>COUNTIFS(缺陷明细!$A$2:$A$50000,$B$4,缺陷明细!$G$2:$G$50000,$C36,缺陷明细!$Q$2:$Q$50000,"已关闭",缺陷明细!$J$2:$J$50000,"评审")</f>
        <v>0</v>
      </c>
      <c r="J36" s="154">
        <f>COUNTIFS(缺陷明细!$A$2:$A$50000,$B$4,缺陷明细!$G$2:$G$50000,$C36,缺陷明细!$J$2:$J$50000,"单元测试",缺陷明细!$AB$2:$AB$50000,"&lt;&gt;丢弃",缺陷明细!$AB$2:$AB$50000,"&lt;&gt;设计如此",缺陷明细!$AB$2:$AB$50000,"&lt;&gt;重复Bug")</f>
        <v>0</v>
      </c>
      <c r="K36" s="155">
        <f>COUNTIFS(缺陷明细!$A$2:$A$50000,$B$4,缺陷明细!$G$2:$G$50000,$C36,缺陷明细!$Q$2:$Q$50000,"已关闭",缺陷明细!$J$2:$J$50000,"单元测试")</f>
        <v>0</v>
      </c>
      <c r="L36" s="156"/>
      <c r="M36" s="157"/>
      <c r="N36" s="72">
        <f>COUNTIFS(缺陷明细!$A$2:$A$50000,$B$4,缺陷明细!$G$2:$G$50000,$C36,缺陷明细!$J$2:$J$50000,"系统测试案例评审",缺陷明细!$AB$2:$AB$50000,"&lt;&gt;丢弃",缺陷明细!$AB$2:$AB$50000,"&lt;&gt;设计如此",缺陷明细!$AB$2:$AB$50000,"&lt;&gt;重复Bug")</f>
        <v>0</v>
      </c>
      <c r="O36" s="72">
        <f>COUNTIFS(缺陷明细!$A$2:$A$50000,$B$4,缺陷明细!$G$2:$G$50000,$C36,缺陷明细!$Q$2:$Q$50000,"已关闭",缺陷明细!$J$2:$J$50000,"系统测试案例评审")</f>
        <v>0</v>
      </c>
      <c r="P36" s="72">
        <f>COUNTIFS(缺陷明细!$A$2:$A$50000,$B$4,缺陷明细!$G$2:$G$50000,$C36,缺陷明细!$J$2:$J$50000,"系统测试",缺陷明细!$AB$2:$AB$50000,"&lt;&gt;丢弃",缺陷明细!$AB$2:$AB$50000,"&lt;&gt;设计如此",缺陷明细!$AB$2:$AB$50000,"&lt;&gt;重复Bug")</f>
        <v>0</v>
      </c>
      <c r="Q36" s="72">
        <f>COUNTIFS(缺陷明细!$A$2:$A$50000,$B$4,缺陷明细!$G$2:$G$50000,$C36,缺陷明细!$Q$2:$Q$50000,"已关闭",缺陷明细!$J$2:$J$50000,"系统测试")</f>
        <v>0</v>
      </c>
      <c r="R36" s="296">
        <f>COUNTIFS(缺陷明细!$A$2:$A$50000,$B$4,缺陷明细!$G$2:$G$50000,$C36,缺陷明细!$AB$2:$AB$50000,"丢弃",缺陷明细!$J$2:$J$50000,"系统测试")+COUNTIFS(缺陷明细!$A$2:$A$50000,$B$4,缺陷明细!$G$2:$G$50000,$C36,缺陷明细!$AB$2:$AB$50000,"设计如此",缺陷明细!$J$2:$J$50000,"系统测试")+COUNTIFS(缺陷明细!$A$2:$A$50000,$B$4,缺陷明细!$G$2:$G$50000,$C36,缺陷明细!$AB$2:$AB$50000,"重复Bug",缺陷明细!$J$2:$J$50000,"系统测试")</f>
        <v>0</v>
      </c>
      <c r="S36" s="72">
        <f>COUNTIFS(缺陷明细!$A$2:$A$50000,$B$4,缺陷明细!$G$2:$G$50000,$C36,缺陷明细!$J$2:$J$50000,"系统测试",缺陷明细!$K$2:$K$50000,"致命",缺陷明细!$AB$2:$AB$50000,"&lt;&gt;丢弃",缺陷明细!$AB$2:$AB$50000,"&lt;&gt;设计如此",缺陷明细!$AB$2:$AB$50000,"&lt;&gt;重复Bug")+COUNTIFS(缺陷明细!$A$2:$A$50000,$B$4,缺陷明细!$G$2:$G$50000,$C36,缺陷明细!$J$2:$J$50000,"系统测试",缺陷明细!$K$2:$K$50000,"严重",缺陷明细!$AB$2:$AB$50000,"&lt;&gt;丢弃",缺陷明细!$AB$2:$AB$50000,"&lt;&gt;设计如此",缺陷明细!$AB$2:$AB$50000,"&lt;&gt;重复Bug")</f>
        <v>0</v>
      </c>
      <c r="T36" s="73">
        <f>COUNTIFS(缺陷明细!$A$2:$A$50000,$B$4,缺陷明细!$G$2:$G$50000,$C36,缺陷明细!$Q$2:$Q$50000,"已关闭",缺陷明细!$J$2:$J$50000,"系统测试",缺陷明细!$K$2:$K$50000,"致命")+COUNTIFS(缺陷明细!$A$2:$A$50000,$B$4,缺陷明细!$G$2:$G$50000,$C36,缺陷明细!$Q$2:$Q$50000,"已关闭",缺陷明细!$J$2:$J$50000,"系统测试",缺陷明细!$K$2:$K$50000,"严重")</f>
        <v>0</v>
      </c>
      <c r="U36" s="74">
        <f>COUNTIFS(缺陷明细!$A$2:$A$50000,$B$4,缺陷明细!$G$2:$G$50000,$C36,缺陷明细!$J$2:$J$50000,"验收测试",缺陷明细!$AB$2:$AB$50000,"&lt;&gt;丢弃",缺陷明细!$AB$2:$AB$50000,"&lt;&gt;设计如此",缺陷明细!$AB$2:$AB$50000,"&lt;&gt;重复Bug")</f>
        <v>0</v>
      </c>
      <c r="V36" s="75">
        <f>COUNTIFS(缺陷明细!$A$2:$A$50000,$B$4,缺陷明细!$G$2:$G$50000,$C36,缺陷明细!$Q$2:$Q$50000,"已关闭",缺陷明细!$J$2:$J$50000,"验收测试")</f>
        <v>0</v>
      </c>
      <c r="W36" s="75">
        <f>COUNTIFS(缺陷明细!$A$2:$A$50000,$B$4,缺陷明细!$G$2:$G$50000,$C36,缺陷明细!$J$2:$J$50000,"验收测试",缺陷明细!$K$2:$K$50000,"致命",缺陷明细!$AB$2:$AB$50000,"&lt;&gt;丢弃",缺陷明细!$AB$2:$AB$50000,"&lt;&gt;设计如此",缺陷明细!$AB$2:$AB$50000,"&lt;&gt;重复Bug")+COUNTIFS(缺陷明细!$A$2:$A$50000,$B$4,缺陷明细!$G$2:$G$50000,$C36,缺陷明细!$J$2:$J$50000,"验收测试",缺陷明细!$K$2:$K$50000,"严重",缺陷明细!$AB$2:$AB$50000,"&lt;&gt;丢弃",缺陷明细!$AB$2:$AB$50000,"&lt;&gt;设计如此",缺陷明细!$AB$2:$AB$50000,"&lt;&gt;重复Bug")</f>
        <v>0</v>
      </c>
      <c r="X36" s="76">
        <f>COUNTIFS(缺陷明细!$A$2:$A$50000,$B$4,缺陷明细!$G$2:$G$50000,$C36,缺陷明细!$Q$2:$Q$50000,"已关闭",缺陷明细!$J$2:$J$50000,"验收测试",缺陷明细!$K$2:$K$50000,"致命")+COUNTIFS(缺陷明细!$A$2:$A$50000,$B$4,缺陷明细!$G$2:$G$50000,$C36,缺陷明细!$Q$2:$Q$50000,"已关闭",缺陷明细!$J$2:$J$50000,"验收测试",缺陷明细!$K$2:$K$50000,"严重")</f>
        <v>0</v>
      </c>
      <c r="Y36" s="70">
        <f>COUNTIFS(缺陷明细!$A$2:$A$50000,$B$4,缺陷明细!$G$2:$G$50000,$C36,缺陷明细!$J$2:$J$50000,"运维测试",缺陷明细!$AB$2:$AB$50000,"&lt;&gt;丢弃",缺陷明细!$AB$2:$AB$50000,"&lt;&gt;设计如此",缺陷明细!$AB$2:$AB$50000,"&lt;&gt;重复Bug")</f>
        <v>0</v>
      </c>
      <c r="Z36" s="71">
        <f>COUNTIFS(缺陷明细!$A$2:$A$50000,$B$4,缺陷明细!$G$2:$G$50000,$C36,缺陷明细!$Q$2:$Q$50000,"已关闭",缺陷明细!$J$2:$J$50000,"运维测试")</f>
        <v>0</v>
      </c>
      <c r="AA36" s="72">
        <f>COUNTIFS(缺陷明细!$A$2:$A$50000,$B$4,缺陷明细!$G$2:$G$50000,$C36,缺陷明细!$J$2:$J$50000,"运维测试",缺陷明细!$K$2:$K$50000,"致命",缺陷明细!$AB$2:$AB$50000,"&lt;&gt;丢弃",缺陷明细!$AB$2:$AB$50000,"&lt;&gt;设计如此",缺陷明细!$AB$2:$AB$50000,"&lt;&gt;重复Bug")+COUNTIFS(缺陷明细!$A$2:$A$50000,$B$4,缺陷明细!$G$2:$G$50000,$C36,缺陷明细!$J$2:$J$50000,"运维测试",缺陷明细!$K$2:$K$50000,"严重",缺陷明细!$AB$2:$AB$50000,"&lt;&gt;丢弃",缺陷明细!$AB$2:$AB$50000,"&lt;&gt;设计如此",缺陷明细!$AB$2:$AB$50000,"&lt;&gt;重复Bug")</f>
        <v>0</v>
      </c>
      <c r="AB36" s="73">
        <f>COUNTIFS(缺陷明细!$A$2:$A$50000,$B$4,缺陷明细!$G$2:$G$50000,$C36,缺陷明细!$Q$2:$Q$50000,"已关闭",缺陷明细!$J$2:$J$50000,"运维测试",缺陷明细!$K$2:$K$50000,"致命")+COUNTIFS(缺陷明细!$A$2:$A$50000,$B$4,缺陷明细!$G$2:$G$50000,$C36,缺陷明细!$Q$2:$Q$50000,"已关闭",缺陷明细!$J$2:$J$50000,"运维测试",缺陷明细!$K$2:$K$50000,"严重")</f>
        <v>0</v>
      </c>
      <c r="AC36" s="68">
        <f t="shared" si="0"/>
        <v>0</v>
      </c>
      <c r="AD36" s="60">
        <f t="shared" si="0"/>
        <v>0</v>
      </c>
      <c r="AE36" s="60">
        <f t="shared" si="1"/>
        <v>0</v>
      </c>
      <c r="AF36" s="60">
        <f t="shared" si="1"/>
        <v>0</v>
      </c>
      <c r="AG36" s="60">
        <f t="shared" si="2"/>
        <v>0</v>
      </c>
      <c r="AH36" s="60">
        <f t="shared" si="2"/>
        <v>0</v>
      </c>
      <c r="AI36" s="60">
        <f t="shared" si="3"/>
        <v>0</v>
      </c>
      <c r="AJ36" s="61">
        <f t="shared" si="3"/>
        <v>0</v>
      </c>
      <c r="AK36" s="144"/>
    </row>
    <row r="37" spans="1:37" ht="25.5">
      <c r="A37">
        <v>33</v>
      </c>
      <c r="B37" s="57">
        <v>494</v>
      </c>
      <c r="C37" s="58" t="s">
        <v>378</v>
      </c>
      <c r="D37" s="84" t="s">
        <v>343</v>
      </c>
      <c r="E37" s="82" t="s">
        <v>346</v>
      </c>
      <c r="F37" s="158">
        <v>4</v>
      </c>
      <c r="G37" s="159">
        <v>4</v>
      </c>
      <c r="H37" s="281">
        <f>COUNTIFS(缺陷明细!$A$2:$A$50000,$B$4,缺陷明细!$G$2:$G$50000,$C37,缺陷明细!$J$2:$J$50000,"评审",缺陷明细!$AB$2:$AB$50000,"&lt;&gt;丢弃",缺陷明细!$AB$2:$AB$50000,"&lt;&gt;设计如此",缺陷明细!$AB$2:$AB$50000,"&lt;&gt;重复Bug")</f>
        <v>0</v>
      </c>
      <c r="I37" s="154">
        <f>COUNTIFS(缺陷明细!$A$2:$A$50000,$B$4,缺陷明细!$G$2:$G$50000,$C37,缺陷明细!$Q$2:$Q$50000,"已关闭",缺陷明细!$J$2:$J$50000,"评审")</f>
        <v>0</v>
      </c>
      <c r="J37" s="154">
        <f>COUNTIFS(缺陷明细!$A$2:$A$50000,$B$4,缺陷明细!$G$2:$G$50000,$C37,缺陷明细!$J$2:$J$50000,"单元测试",缺陷明细!$AB$2:$AB$50000,"&lt;&gt;丢弃",缺陷明细!$AB$2:$AB$50000,"&lt;&gt;设计如此",缺陷明细!$AB$2:$AB$50000,"&lt;&gt;重复Bug")</f>
        <v>0</v>
      </c>
      <c r="K37" s="155">
        <f>COUNTIFS(缺陷明细!$A$2:$A$50000,$B$4,缺陷明细!$G$2:$G$50000,$C37,缺陷明细!$Q$2:$Q$50000,"已关闭",缺陷明细!$J$2:$J$50000,"单元测试")</f>
        <v>0</v>
      </c>
      <c r="L37" s="156"/>
      <c r="M37" s="157"/>
      <c r="N37" s="72">
        <f>COUNTIFS(缺陷明细!$A$2:$A$50000,$B$4,缺陷明细!$G$2:$G$50000,$C37,缺陷明细!$J$2:$J$50000,"系统测试案例评审",缺陷明细!$AB$2:$AB$50000,"&lt;&gt;丢弃",缺陷明细!$AB$2:$AB$50000,"&lt;&gt;设计如此",缺陷明细!$AB$2:$AB$50000,"&lt;&gt;重复Bug")</f>
        <v>0</v>
      </c>
      <c r="O37" s="72">
        <f>COUNTIFS(缺陷明细!$A$2:$A$50000,$B$4,缺陷明细!$G$2:$G$50000,$C37,缺陷明细!$Q$2:$Q$50000,"已关闭",缺陷明细!$J$2:$J$50000,"系统测试案例评审")</f>
        <v>0</v>
      </c>
      <c r="P37" s="72">
        <f>COUNTIFS(缺陷明细!$A$2:$A$50000,$B$4,缺陷明细!$G$2:$G$50000,$C37,缺陷明细!$J$2:$J$50000,"系统测试",缺陷明细!$AB$2:$AB$50000,"&lt;&gt;丢弃",缺陷明细!$AB$2:$AB$50000,"&lt;&gt;设计如此",缺陷明细!$AB$2:$AB$50000,"&lt;&gt;重复Bug")</f>
        <v>0</v>
      </c>
      <c r="Q37" s="72">
        <f>COUNTIFS(缺陷明细!$A$2:$A$50000,$B$4,缺陷明细!$G$2:$G$50000,$C37,缺陷明细!$Q$2:$Q$50000,"已关闭",缺陷明细!$J$2:$J$50000,"系统测试")</f>
        <v>0</v>
      </c>
      <c r="R37" s="296">
        <f>COUNTIFS(缺陷明细!$A$2:$A$50000,$B$4,缺陷明细!$G$2:$G$50000,$C37,缺陷明细!$AB$2:$AB$50000,"丢弃",缺陷明细!$J$2:$J$50000,"系统测试")+COUNTIFS(缺陷明细!$A$2:$A$50000,$B$4,缺陷明细!$G$2:$G$50000,$C37,缺陷明细!$AB$2:$AB$50000,"设计如此",缺陷明细!$J$2:$J$50000,"系统测试")+COUNTIFS(缺陷明细!$A$2:$A$50000,$B$4,缺陷明细!$G$2:$G$50000,$C37,缺陷明细!$AB$2:$AB$50000,"重复Bug",缺陷明细!$J$2:$J$50000,"系统测试")</f>
        <v>0</v>
      </c>
      <c r="S37" s="72">
        <f>COUNTIFS(缺陷明细!$A$2:$A$50000,$B$4,缺陷明细!$G$2:$G$50000,$C37,缺陷明细!$J$2:$J$50000,"系统测试",缺陷明细!$K$2:$K$50000,"致命",缺陷明细!$AB$2:$AB$50000,"&lt;&gt;丢弃",缺陷明细!$AB$2:$AB$50000,"&lt;&gt;设计如此",缺陷明细!$AB$2:$AB$50000,"&lt;&gt;重复Bug")+COUNTIFS(缺陷明细!$A$2:$A$50000,$B$4,缺陷明细!$G$2:$G$50000,$C37,缺陷明细!$J$2:$J$50000,"系统测试",缺陷明细!$K$2:$K$50000,"严重",缺陷明细!$AB$2:$AB$50000,"&lt;&gt;丢弃",缺陷明细!$AB$2:$AB$50000,"&lt;&gt;设计如此",缺陷明细!$AB$2:$AB$50000,"&lt;&gt;重复Bug")</f>
        <v>0</v>
      </c>
      <c r="T37" s="73">
        <f>COUNTIFS(缺陷明细!$A$2:$A$50000,$B$4,缺陷明细!$G$2:$G$50000,$C37,缺陷明细!$Q$2:$Q$50000,"已关闭",缺陷明细!$J$2:$J$50000,"系统测试",缺陷明细!$K$2:$K$50000,"致命")+COUNTIFS(缺陷明细!$A$2:$A$50000,$B$4,缺陷明细!$G$2:$G$50000,$C37,缺陷明细!$Q$2:$Q$50000,"已关闭",缺陷明细!$J$2:$J$50000,"系统测试",缺陷明细!$K$2:$K$50000,"严重")</f>
        <v>0</v>
      </c>
      <c r="U37" s="74">
        <f>COUNTIFS(缺陷明细!$A$2:$A$50000,$B$4,缺陷明细!$G$2:$G$50000,$C37,缺陷明细!$J$2:$J$50000,"验收测试",缺陷明细!$AB$2:$AB$50000,"&lt;&gt;丢弃",缺陷明细!$AB$2:$AB$50000,"&lt;&gt;设计如此",缺陷明细!$AB$2:$AB$50000,"&lt;&gt;重复Bug")</f>
        <v>0</v>
      </c>
      <c r="V37" s="75">
        <f>COUNTIFS(缺陷明细!$A$2:$A$50000,$B$4,缺陷明细!$G$2:$G$50000,$C37,缺陷明细!$Q$2:$Q$50000,"已关闭",缺陷明细!$J$2:$J$50000,"验收测试")</f>
        <v>0</v>
      </c>
      <c r="W37" s="75">
        <f>COUNTIFS(缺陷明细!$A$2:$A$50000,$B$4,缺陷明细!$G$2:$G$50000,$C37,缺陷明细!$J$2:$J$50000,"验收测试",缺陷明细!$K$2:$K$50000,"致命",缺陷明细!$AB$2:$AB$50000,"&lt;&gt;丢弃",缺陷明细!$AB$2:$AB$50000,"&lt;&gt;设计如此",缺陷明细!$AB$2:$AB$50000,"&lt;&gt;重复Bug")+COUNTIFS(缺陷明细!$A$2:$A$50000,$B$4,缺陷明细!$G$2:$G$50000,$C37,缺陷明细!$J$2:$J$50000,"验收测试",缺陷明细!$K$2:$K$50000,"严重",缺陷明细!$AB$2:$AB$50000,"&lt;&gt;丢弃",缺陷明细!$AB$2:$AB$50000,"&lt;&gt;设计如此",缺陷明细!$AB$2:$AB$50000,"&lt;&gt;重复Bug")</f>
        <v>0</v>
      </c>
      <c r="X37" s="76">
        <f>COUNTIFS(缺陷明细!$A$2:$A$50000,$B$4,缺陷明细!$G$2:$G$50000,$C37,缺陷明细!$Q$2:$Q$50000,"已关闭",缺陷明细!$J$2:$J$50000,"验收测试",缺陷明细!$K$2:$K$50000,"致命")+COUNTIFS(缺陷明细!$A$2:$A$50000,$B$4,缺陷明细!$G$2:$G$50000,$C37,缺陷明细!$Q$2:$Q$50000,"已关闭",缺陷明细!$J$2:$J$50000,"验收测试",缺陷明细!$K$2:$K$50000,"严重")</f>
        <v>0</v>
      </c>
      <c r="Y37" s="70">
        <f>COUNTIFS(缺陷明细!$A$2:$A$50000,$B$4,缺陷明细!$G$2:$G$50000,$C37,缺陷明细!$J$2:$J$50000,"运维测试",缺陷明细!$AB$2:$AB$50000,"&lt;&gt;丢弃",缺陷明细!$AB$2:$AB$50000,"&lt;&gt;设计如此",缺陷明细!$AB$2:$AB$50000,"&lt;&gt;重复Bug")</f>
        <v>0</v>
      </c>
      <c r="Z37" s="71">
        <f>COUNTIFS(缺陷明细!$A$2:$A$50000,$B$4,缺陷明细!$G$2:$G$50000,$C37,缺陷明细!$Q$2:$Q$50000,"已关闭",缺陷明细!$J$2:$J$50000,"运维测试")</f>
        <v>0</v>
      </c>
      <c r="AA37" s="72">
        <f>COUNTIFS(缺陷明细!$A$2:$A$50000,$B$4,缺陷明细!$G$2:$G$50000,$C37,缺陷明细!$J$2:$J$50000,"运维测试",缺陷明细!$K$2:$K$50000,"致命",缺陷明细!$AB$2:$AB$50000,"&lt;&gt;丢弃",缺陷明细!$AB$2:$AB$50000,"&lt;&gt;设计如此",缺陷明细!$AB$2:$AB$50000,"&lt;&gt;重复Bug")+COUNTIFS(缺陷明细!$A$2:$A$50000,$B$4,缺陷明细!$G$2:$G$50000,$C37,缺陷明细!$J$2:$J$50000,"运维测试",缺陷明细!$K$2:$K$50000,"严重",缺陷明细!$AB$2:$AB$50000,"&lt;&gt;丢弃",缺陷明细!$AB$2:$AB$50000,"&lt;&gt;设计如此",缺陷明细!$AB$2:$AB$50000,"&lt;&gt;重复Bug")</f>
        <v>0</v>
      </c>
      <c r="AB37" s="73">
        <f>COUNTIFS(缺陷明细!$A$2:$A$50000,$B$4,缺陷明细!$G$2:$G$50000,$C37,缺陷明细!$Q$2:$Q$50000,"已关闭",缺陷明细!$J$2:$J$50000,"运维测试",缺陷明细!$K$2:$K$50000,"致命")+COUNTIFS(缺陷明细!$A$2:$A$50000,$B$4,缺陷明细!$G$2:$G$50000,$C37,缺陷明细!$Q$2:$Q$50000,"已关闭",缺陷明细!$J$2:$J$50000,"运维测试",缺陷明细!$K$2:$K$50000,"严重")</f>
        <v>0</v>
      </c>
      <c r="AC37" s="68">
        <f t="shared" si="0"/>
        <v>0</v>
      </c>
      <c r="AD37" s="60">
        <f t="shared" si="0"/>
        <v>0</v>
      </c>
      <c r="AE37" s="60">
        <f t="shared" si="1"/>
        <v>0</v>
      </c>
      <c r="AF37" s="60">
        <f t="shared" si="1"/>
        <v>0</v>
      </c>
      <c r="AG37" s="60">
        <f t="shared" si="2"/>
        <v>0</v>
      </c>
      <c r="AH37" s="60">
        <f t="shared" si="2"/>
        <v>0</v>
      </c>
      <c r="AI37" s="60">
        <f t="shared" si="3"/>
        <v>0</v>
      </c>
      <c r="AJ37" s="61">
        <f t="shared" si="3"/>
        <v>0</v>
      </c>
      <c r="AK37" s="144"/>
    </row>
    <row r="38" spans="1:37" ht="25.5">
      <c r="A38">
        <v>34</v>
      </c>
      <c r="B38" s="57">
        <v>495</v>
      </c>
      <c r="C38" s="58" t="s">
        <v>379</v>
      </c>
      <c r="D38" s="84" t="s">
        <v>343</v>
      </c>
      <c r="E38" s="82" t="s">
        <v>346</v>
      </c>
      <c r="F38" s="158">
        <v>12</v>
      </c>
      <c r="G38" s="159">
        <v>10</v>
      </c>
      <c r="H38" s="281">
        <f>COUNTIFS(缺陷明细!$A$2:$A$50000,$B$4,缺陷明细!$G$2:$G$50000,$C38,缺陷明细!$J$2:$J$50000,"评审",缺陷明细!$AB$2:$AB$50000,"&lt;&gt;丢弃",缺陷明细!$AB$2:$AB$50000,"&lt;&gt;设计如此",缺陷明细!$AB$2:$AB$50000,"&lt;&gt;重复Bug")</f>
        <v>0</v>
      </c>
      <c r="I38" s="154">
        <f>COUNTIFS(缺陷明细!$A$2:$A$50000,$B$4,缺陷明细!$G$2:$G$50000,$C38,缺陷明细!$Q$2:$Q$50000,"已关闭",缺陷明细!$J$2:$J$50000,"评审")</f>
        <v>0</v>
      </c>
      <c r="J38" s="154">
        <f>COUNTIFS(缺陷明细!$A$2:$A$50000,$B$4,缺陷明细!$G$2:$G$50000,$C38,缺陷明细!$J$2:$J$50000,"单元测试",缺陷明细!$AB$2:$AB$50000,"&lt;&gt;丢弃",缺陷明细!$AB$2:$AB$50000,"&lt;&gt;设计如此",缺陷明细!$AB$2:$AB$50000,"&lt;&gt;重复Bug")</f>
        <v>0</v>
      </c>
      <c r="K38" s="155">
        <f>COUNTIFS(缺陷明细!$A$2:$A$50000,$B$4,缺陷明细!$G$2:$G$50000,$C38,缺陷明细!$Q$2:$Q$50000,"已关闭",缺陷明细!$J$2:$J$50000,"单元测试")</f>
        <v>0</v>
      </c>
      <c r="L38" s="156"/>
      <c r="M38" s="157"/>
      <c r="N38" s="72">
        <f>COUNTIFS(缺陷明细!$A$2:$A$50000,$B$4,缺陷明细!$G$2:$G$50000,$C38,缺陷明细!$J$2:$J$50000,"系统测试案例评审",缺陷明细!$AB$2:$AB$50000,"&lt;&gt;丢弃",缺陷明细!$AB$2:$AB$50000,"&lt;&gt;设计如此",缺陷明细!$AB$2:$AB$50000,"&lt;&gt;重复Bug")</f>
        <v>0</v>
      </c>
      <c r="O38" s="72">
        <f>COUNTIFS(缺陷明细!$A$2:$A$50000,$B$4,缺陷明细!$G$2:$G$50000,$C38,缺陷明细!$Q$2:$Q$50000,"已关闭",缺陷明细!$J$2:$J$50000,"系统测试案例评审")</f>
        <v>0</v>
      </c>
      <c r="P38" s="72">
        <f>COUNTIFS(缺陷明细!$A$2:$A$50000,$B$4,缺陷明细!$G$2:$G$50000,$C38,缺陷明细!$J$2:$J$50000,"系统测试",缺陷明细!$AB$2:$AB$50000,"&lt;&gt;丢弃",缺陷明细!$AB$2:$AB$50000,"&lt;&gt;设计如此",缺陷明细!$AB$2:$AB$50000,"&lt;&gt;重复Bug")</f>
        <v>0</v>
      </c>
      <c r="Q38" s="72">
        <f>COUNTIFS(缺陷明细!$A$2:$A$50000,$B$4,缺陷明细!$G$2:$G$50000,$C38,缺陷明细!$Q$2:$Q$50000,"已关闭",缺陷明细!$J$2:$J$50000,"系统测试")</f>
        <v>0</v>
      </c>
      <c r="R38" s="296">
        <f>COUNTIFS(缺陷明细!$A$2:$A$50000,$B$4,缺陷明细!$G$2:$G$50000,$C38,缺陷明细!$AB$2:$AB$50000,"丢弃",缺陷明细!$J$2:$J$50000,"系统测试")+COUNTIFS(缺陷明细!$A$2:$A$50000,$B$4,缺陷明细!$G$2:$G$50000,$C38,缺陷明细!$AB$2:$AB$50000,"设计如此",缺陷明细!$J$2:$J$50000,"系统测试")+COUNTIFS(缺陷明细!$A$2:$A$50000,$B$4,缺陷明细!$G$2:$G$50000,$C38,缺陷明细!$AB$2:$AB$50000,"重复Bug",缺陷明细!$J$2:$J$50000,"系统测试")</f>
        <v>0</v>
      </c>
      <c r="S38" s="72">
        <f>COUNTIFS(缺陷明细!$A$2:$A$50000,$B$4,缺陷明细!$G$2:$G$50000,$C38,缺陷明细!$J$2:$J$50000,"系统测试",缺陷明细!$K$2:$K$50000,"致命",缺陷明细!$AB$2:$AB$50000,"&lt;&gt;丢弃",缺陷明细!$AB$2:$AB$50000,"&lt;&gt;设计如此",缺陷明细!$AB$2:$AB$50000,"&lt;&gt;重复Bug")+COUNTIFS(缺陷明细!$A$2:$A$50000,$B$4,缺陷明细!$G$2:$G$50000,$C38,缺陷明细!$J$2:$J$50000,"系统测试",缺陷明细!$K$2:$K$50000,"严重",缺陷明细!$AB$2:$AB$50000,"&lt;&gt;丢弃",缺陷明细!$AB$2:$AB$50000,"&lt;&gt;设计如此",缺陷明细!$AB$2:$AB$50000,"&lt;&gt;重复Bug")</f>
        <v>0</v>
      </c>
      <c r="T38" s="73">
        <f>COUNTIFS(缺陷明细!$A$2:$A$50000,$B$4,缺陷明细!$G$2:$G$50000,$C38,缺陷明细!$Q$2:$Q$50000,"已关闭",缺陷明细!$J$2:$J$50000,"系统测试",缺陷明细!$K$2:$K$50000,"致命")+COUNTIFS(缺陷明细!$A$2:$A$50000,$B$4,缺陷明细!$G$2:$G$50000,$C38,缺陷明细!$Q$2:$Q$50000,"已关闭",缺陷明细!$J$2:$J$50000,"系统测试",缺陷明细!$K$2:$K$50000,"严重")</f>
        <v>0</v>
      </c>
      <c r="U38" s="74">
        <f>COUNTIFS(缺陷明细!$A$2:$A$50000,$B$4,缺陷明细!$G$2:$G$50000,$C38,缺陷明细!$J$2:$J$50000,"验收测试",缺陷明细!$AB$2:$AB$50000,"&lt;&gt;丢弃",缺陷明细!$AB$2:$AB$50000,"&lt;&gt;设计如此",缺陷明细!$AB$2:$AB$50000,"&lt;&gt;重复Bug")</f>
        <v>0</v>
      </c>
      <c r="V38" s="75">
        <f>COUNTIFS(缺陷明细!$A$2:$A$50000,$B$4,缺陷明细!$G$2:$G$50000,$C38,缺陷明细!$Q$2:$Q$50000,"已关闭",缺陷明细!$J$2:$J$50000,"验收测试")</f>
        <v>0</v>
      </c>
      <c r="W38" s="75">
        <f>COUNTIFS(缺陷明细!$A$2:$A$50000,$B$4,缺陷明细!$G$2:$G$50000,$C38,缺陷明细!$J$2:$J$50000,"验收测试",缺陷明细!$K$2:$K$50000,"致命",缺陷明细!$AB$2:$AB$50000,"&lt;&gt;丢弃",缺陷明细!$AB$2:$AB$50000,"&lt;&gt;设计如此",缺陷明细!$AB$2:$AB$50000,"&lt;&gt;重复Bug")+COUNTIFS(缺陷明细!$A$2:$A$50000,$B$4,缺陷明细!$G$2:$G$50000,$C38,缺陷明细!$J$2:$J$50000,"验收测试",缺陷明细!$K$2:$K$50000,"严重",缺陷明细!$AB$2:$AB$50000,"&lt;&gt;丢弃",缺陷明细!$AB$2:$AB$50000,"&lt;&gt;设计如此",缺陷明细!$AB$2:$AB$50000,"&lt;&gt;重复Bug")</f>
        <v>0</v>
      </c>
      <c r="X38" s="76">
        <f>COUNTIFS(缺陷明细!$A$2:$A$50000,$B$4,缺陷明细!$G$2:$G$50000,$C38,缺陷明细!$Q$2:$Q$50000,"已关闭",缺陷明细!$J$2:$J$50000,"验收测试",缺陷明细!$K$2:$K$50000,"致命")+COUNTIFS(缺陷明细!$A$2:$A$50000,$B$4,缺陷明细!$G$2:$G$50000,$C38,缺陷明细!$Q$2:$Q$50000,"已关闭",缺陷明细!$J$2:$J$50000,"验收测试",缺陷明细!$K$2:$K$50000,"严重")</f>
        <v>0</v>
      </c>
      <c r="Y38" s="70">
        <f>COUNTIFS(缺陷明细!$A$2:$A$50000,$B$4,缺陷明细!$G$2:$G$50000,$C38,缺陷明细!$J$2:$J$50000,"运维测试",缺陷明细!$AB$2:$AB$50000,"&lt;&gt;丢弃",缺陷明细!$AB$2:$AB$50000,"&lt;&gt;设计如此",缺陷明细!$AB$2:$AB$50000,"&lt;&gt;重复Bug")</f>
        <v>0</v>
      </c>
      <c r="Z38" s="71">
        <f>COUNTIFS(缺陷明细!$A$2:$A$50000,$B$4,缺陷明细!$G$2:$G$50000,$C38,缺陷明细!$Q$2:$Q$50000,"已关闭",缺陷明细!$J$2:$J$50000,"运维测试")</f>
        <v>0</v>
      </c>
      <c r="AA38" s="72">
        <f>COUNTIFS(缺陷明细!$A$2:$A$50000,$B$4,缺陷明细!$G$2:$G$50000,$C38,缺陷明细!$J$2:$J$50000,"运维测试",缺陷明细!$K$2:$K$50000,"致命",缺陷明细!$AB$2:$AB$50000,"&lt;&gt;丢弃",缺陷明细!$AB$2:$AB$50000,"&lt;&gt;设计如此",缺陷明细!$AB$2:$AB$50000,"&lt;&gt;重复Bug")+COUNTIFS(缺陷明细!$A$2:$A$50000,$B$4,缺陷明细!$G$2:$G$50000,$C38,缺陷明细!$J$2:$J$50000,"运维测试",缺陷明细!$K$2:$K$50000,"严重",缺陷明细!$AB$2:$AB$50000,"&lt;&gt;丢弃",缺陷明细!$AB$2:$AB$50000,"&lt;&gt;设计如此",缺陷明细!$AB$2:$AB$50000,"&lt;&gt;重复Bug")</f>
        <v>0</v>
      </c>
      <c r="AB38" s="73">
        <f>COUNTIFS(缺陷明细!$A$2:$A$50000,$B$4,缺陷明细!$G$2:$G$50000,$C38,缺陷明细!$Q$2:$Q$50000,"已关闭",缺陷明细!$J$2:$J$50000,"运维测试",缺陷明细!$K$2:$K$50000,"致命")+COUNTIFS(缺陷明细!$A$2:$A$50000,$B$4,缺陷明细!$G$2:$G$50000,$C38,缺陷明细!$Q$2:$Q$50000,"已关闭",缺陷明细!$J$2:$J$50000,"运维测试",缺陷明细!$K$2:$K$50000,"严重")</f>
        <v>0</v>
      </c>
      <c r="AC38" s="68">
        <f t="shared" si="0"/>
        <v>0</v>
      </c>
      <c r="AD38" s="60">
        <f t="shared" si="0"/>
        <v>0</v>
      </c>
      <c r="AE38" s="60">
        <f t="shared" si="1"/>
        <v>0</v>
      </c>
      <c r="AF38" s="60">
        <f t="shared" si="1"/>
        <v>0</v>
      </c>
      <c r="AG38" s="60">
        <f t="shared" si="2"/>
        <v>0</v>
      </c>
      <c r="AH38" s="60">
        <f t="shared" si="2"/>
        <v>0</v>
      </c>
      <c r="AI38" s="60">
        <f t="shared" si="3"/>
        <v>0</v>
      </c>
      <c r="AJ38" s="61">
        <f t="shared" si="3"/>
        <v>0</v>
      </c>
      <c r="AK38" s="144"/>
    </row>
    <row r="39" spans="1:37">
      <c r="A39">
        <v>35</v>
      </c>
      <c r="B39" s="57">
        <v>497</v>
      </c>
      <c r="C39" s="58" t="s">
        <v>380</v>
      </c>
      <c r="D39" s="84" t="s">
        <v>375</v>
      </c>
      <c r="E39" s="82" t="s">
        <v>346</v>
      </c>
      <c r="F39" s="158">
        <v>12</v>
      </c>
      <c r="G39" s="159">
        <v>4</v>
      </c>
      <c r="H39" s="281">
        <f>COUNTIFS(缺陷明细!$A$2:$A$50000,$B$4,缺陷明细!$G$2:$G$50000,$C39,缺陷明细!$J$2:$J$50000,"评审",缺陷明细!$AB$2:$AB$50000,"&lt;&gt;丢弃",缺陷明细!$AB$2:$AB$50000,"&lt;&gt;设计如此",缺陷明细!$AB$2:$AB$50000,"&lt;&gt;重复Bug")</f>
        <v>0</v>
      </c>
      <c r="I39" s="154">
        <f>COUNTIFS(缺陷明细!$A$2:$A$50000,$B$4,缺陷明细!$G$2:$G$50000,$C39,缺陷明细!$Q$2:$Q$50000,"已关闭",缺陷明细!$J$2:$J$50000,"评审")</f>
        <v>0</v>
      </c>
      <c r="J39" s="154">
        <f>COUNTIFS(缺陷明细!$A$2:$A$50000,$B$4,缺陷明细!$G$2:$G$50000,$C39,缺陷明细!$J$2:$J$50000,"单元测试",缺陷明细!$AB$2:$AB$50000,"&lt;&gt;丢弃",缺陷明细!$AB$2:$AB$50000,"&lt;&gt;设计如此",缺陷明细!$AB$2:$AB$50000,"&lt;&gt;重复Bug")</f>
        <v>0</v>
      </c>
      <c r="K39" s="155">
        <f>COUNTIFS(缺陷明细!$A$2:$A$50000,$B$4,缺陷明细!$G$2:$G$50000,$C39,缺陷明细!$Q$2:$Q$50000,"已关闭",缺陷明细!$J$2:$J$50000,"单元测试")</f>
        <v>0</v>
      </c>
      <c r="L39" s="156"/>
      <c r="M39" s="157"/>
      <c r="N39" s="72">
        <f>COUNTIFS(缺陷明细!$A$2:$A$50000,$B$4,缺陷明细!$G$2:$G$50000,$C39,缺陷明细!$J$2:$J$50000,"系统测试案例评审",缺陷明细!$AB$2:$AB$50000,"&lt;&gt;丢弃",缺陷明细!$AB$2:$AB$50000,"&lt;&gt;设计如此",缺陷明细!$AB$2:$AB$50000,"&lt;&gt;重复Bug")</f>
        <v>0</v>
      </c>
      <c r="O39" s="72">
        <f>COUNTIFS(缺陷明细!$A$2:$A$50000,$B$4,缺陷明细!$G$2:$G$50000,$C39,缺陷明细!$Q$2:$Q$50000,"已关闭",缺陷明细!$J$2:$J$50000,"系统测试案例评审")</f>
        <v>0</v>
      </c>
      <c r="P39" s="72">
        <f>COUNTIFS(缺陷明细!$A$2:$A$50000,$B$4,缺陷明细!$G$2:$G$50000,$C39,缺陷明细!$J$2:$J$50000,"系统测试",缺陷明细!$AB$2:$AB$50000,"&lt;&gt;丢弃",缺陷明细!$AB$2:$AB$50000,"&lt;&gt;设计如此",缺陷明细!$AB$2:$AB$50000,"&lt;&gt;重复Bug")</f>
        <v>0</v>
      </c>
      <c r="Q39" s="72">
        <f>COUNTIFS(缺陷明细!$A$2:$A$50000,$B$4,缺陷明细!$G$2:$G$50000,$C39,缺陷明细!$Q$2:$Q$50000,"已关闭",缺陷明细!$J$2:$J$50000,"系统测试")</f>
        <v>0</v>
      </c>
      <c r="R39" s="296">
        <f>COUNTIFS(缺陷明细!$A$2:$A$50000,$B$4,缺陷明细!$G$2:$G$50000,$C39,缺陷明细!$AB$2:$AB$50000,"丢弃",缺陷明细!$J$2:$J$50000,"系统测试")+COUNTIFS(缺陷明细!$A$2:$A$50000,$B$4,缺陷明细!$G$2:$G$50000,$C39,缺陷明细!$AB$2:$AB$50000,"设计如此",缺陷明细!$J$2:$J$50000,"系统测试")+COUNTIFS(缺陷明细!$A$2:$A$50000,$B$4,缺陷明细!$G$2:$G$50000,$C39,缺陷明细!$AB$2:$AB$50000,"重复Bug",缺陷明细!$J$2:$J$50000,"系统测试")</f>
        <v>0</v>
      </c>
      <c r="S39" s="72">
        <f>COUNTIFS(缺陷明细!$A$2:$A$50000,$B$4,缺陷明细!$G$2:$G$50000,$C39,缺陷明细!$J$2:$J$50000,"系统测试",缺陷明细!$K$2:$K$50000,"致命",缺陷明细!$AB$2:$AB$50000,"&lt;&gt;丢弃",缺陷明细!$AB$2:$AB$50000,"&lt;&gt;设计如此",缺陷明细!$AB$2:$AB$50000,"&lt;&gt;重复Bug")+COUNTIFS(缺陷明细!$A$2:$A$50000,$B$4,缺陷明细!$G$2:$G$50000,$C39,缺陷明细!$J$2:$J$50000,"系统测试",缺陷明细!$K$2:$K$50000,"严重",缺陷明细!$AB$2:$AB$50000,"&lt;&gt;丢弃",缺陷明细!$AB$2:$AB$50000,"&lt;&gt;设计如此",缺陷明细!$AB$2:$AB$50000,"&lt;&gt;重复Bug")</f>
        <v>0</v>
      </c>
      <c r="T39" s="73">
        <f>COUNTIFS(缺陷明细!$A$2:$A$50000,$B$4,缺陷明细!$G$2:$G$50000,$C39,缺陷明细!$Q$2:$Q$50000,"已关闭",缺陷明细!$J$2:$J$50000,"系统测试",缺陷明细!$K$2:$K$50000,"致命")+COUNTIFS(缺陷明细!$A$2:$A$50000,$B$4,缺陷明细!$G$2:$G$50000,$C39,缺陷明细!$Q$2:$Q$50000,"已关闭",缺陷明细!$J$2:$J$50000,"系统测试",缺陷明细!$K$2:$K$50000,"严重")</f>
        <v>0</v>
      </c>
      <c r="U39" s="74">
        <f>COUNTIFS(缺陷明细!$A$2:$A$50000,$B$4,缺陷明细!$G$2:$G$50000,$C39,缺陷明细!$J$2:$J$50000,"验收测试",缺陷明细!$AB$2:$AB$50000,"&lt;&gt;丢弃",缺陷明细!$AB$2:$AB$50000,"&lt;&gt;设计如此",缺陷明细!$AB$2:$AB$50000,"&lt;&gt;重复Bug")</f>
        <v>0</v>
      </c>
      <c r="V39" s="75">
        <f>COUNTIFS(缺陷明细!$A$2:$A$50000,$B$4,缺陷明细!$G$2:$G$50000,$C39,缺陷明细!$Q$2:$Q$50000,"已关闭",缺陷明细!$J$2:$J$50000,"验收测试")</f>
        <v>0</v>
      </c>
      <c r="W39" s="75">
        <f>COUNTIFS(缺陷明细!$A$2:$A$50000,$B$4,缺陷明细!$G$2:$G$50000,$C39,缺陷明细!$J$2:$J$50000,"验收测试",缺陷明细!$K$2:$K$50000,"致命",缺陷明细!$AB$2:$AB$50000,"&lt;&gt;丢弃",缺陷明细!$AB$2:$AB$50000,"&lt;&gt;设计如此",缺陷明细!$AB$2:$AB$50000,"&lt;&gt;重复Bug")+COUNTIFS(缺陷明细!$A$2:$A$50000,$B$4,缺陷明细!$G$2:$G$50000,$C39,缺陷明细!$J$2:$J$50000,"验收测试",缺陷明细!$K$2:$K$50000,"严重",缺陷明细!$AB$2:$AB$50000,"&lt;&gt;丢弃",缺陷明细!$AB$2:$AB$50000,"&lt;&gt;设计如此",缺陷明细!$AB$2:$AB$50000,"&lt;&gt;重复Bug")</f>
        <v>0</v>
      </c>
      <c r="X39" s="76">
        <f>COUNTIFS(缺陷明细!$A$2:$A$50000,$B$4,缺陷明细!$G$2:$G$50000,$C39,缺陷明细!$Q$2:$Q$50000,"已关闭",缺陷明细!$J$2:$J$50000,"验收测试",缺陷明细!$K$2:$K$50000,"致命")+COUNTIFS(缺陷明细!$A$2:$A$50000,$B$4,缺陷明细!$G$2:$G$50000,$C39,缺陷明细!$Q$2:$Q$50000,"已关闭",缺陷明细!$J$2:$J$50000,"验收测试",缺陷明细!$K$2:$K$50000,"严重")</f>
        <v>0</v>
      </c>
      <c r="Y39" s="70">
        <f>COUNTIFS(缺陷明细!$A$2:$A$50000,$B$4,缺陷明细!$G$2:$G$50000,$C39,缺陷明细!$J$2:$J$50000,"运维测试",缺陷明细!$AB$2:$AB$50000,"&lt;&gt;丢弃",缺陷明细!$AB$2:$AB$50000,"&lt;&gt;设计如此",缺陷明细!$AB$2:$AB$50000,"&lt;&gt;重复Bug")</f>
        <v>0</v>
      </c>
      <c r="Z39" s="71">
        <f>COUNTIFS(缺陷明细!$A$2:$A$50000,$B$4,缺陷明细!$G$2:$G$50000,$C39,缺陷明细!$Q$2:$Q$50000,"已关闭",缺陷明细!$J$2:$J$50000,"运维测试")</f>
        <v>0</v>
      </c>
      <c r="AA39" s="72">
        <f>COUNTIFS(缺陷明细!$A$2:$A$50000,$B$4,缺陷明细!$G$2:$G$50000,$C39,缺陷明细!$J$2:$J$50000,"运维测试",缺陷明细!$K$2:$K$50000,"致命",缺陷明细!$AB$2:$AB$50000,"&lt;&gt;丢弃",缺陷明细!$AB$2:$AB$50000,"&lt;&gt;设计如此",缺陷明细!$AB$2:$AB$50000,"&lt;&gt;重复Bug")+COUNTIFS(缺陷明细!$A$2:$A$50000,$B$4,缺陷明细!$G$2:$G$50000,$C39,缺陷明细!$J$2:$J$50000,"运维测试",缺陷明细!$K$2:$K$50000,"严重",缺陷明细!$AB$2:$AB$50000,"&lt;&gt;丢弃",缺陷明细!$AB$2:$AB$50000,"&lt;&gt;设计如此",缺陷明细!$AB$2:$AB$50000,"&lt;&gt;重复Bug")</f>
        <v>0</v>
      </c>
      <c r="AB39" s="73">
        <f>COUNTIFS(缺陷明细!$A$2:$A$50000,$B$4,缺陷明细!$G$2:$G$50000,$C39,缺陷明细!$Q$2:$Q$50000,"已关闭",缺陷明细!$J$2:$J$50000,"运维测试",缺陷明细!$K$2:$K$50000,"致命")+COUNTIFS(缺陷明细!$A$2:$A$50000,$B$4,缺陷明细!$G$2:$G$50000,$C39,缺陷明细!$Q$2:$Q$50000,"已关闭",缺陷明细!$J$2:$J$50000,"运维测试",缺陷明细!$K$2:$K$50000,"严重")</f>
        <v>0</v>
      </c>
      <c r="AC39" s="68">
        <f t="shared" si="0"/>
        <v>0</v>
      </c>
      <c r="AD39" s="60">
        <f t="shared" si="0"/>
        <v>0</v>
      </c>
      <c r="AE39" s="60">
        <f t="shared" si="1"/>
        <v>0</v>
      </c>
      <c r="AF39" s="60">
        <f t="shared" si="1"/>
        <v>0</v>
      </c>
      <c r="AG39" s="60">
        <f t="shared" si="2"/>
        <v>0</v>
      </c>
      <c r="AH39" s="60">
        <f t="shared" si="2"/>
        <v>0</v>
      </c>
      <c r="AI39" s="60">
        <f t="shared" si="3"/>
        <v>0</v>
      </c>
      <c r="AJ39" s="61">
        <f t="shared" si="3"/>
        <v>0</v>
      </c>
      <c r="AK39" s="144"/>
    </row>
    <row r="40" spans="1:37">
      <c r="A40">
        <v>36</v>
      </c>
      <c r="B40" s="57">
        <v>499</v>
      </c>
      <c r="C40" s="58" t="s">
        <v>381</v>
      </c>
      <c r="D40" s="84" t="s">
        <v>343</v>
      </c>
      <c r="E40" s="82" t="s">
        <v>346</v>
      </c>
      <c r="F40" s="158">
        <v>24</v>
      </c>
      <c r="G40" s="159">
        <v>24</v>
      </c>
      <c r="H40" s="281">
        <f>COUNTIFS(缺陷明细!$A$2:$A$50000,$B$4,缺陷明细!$G$2:$G$50000,$C40,缺陷明细!$J$2:$J$50000,"评审",缺陷明细!$AB$2:$AB$50000,"&lt;&gt;丢弃",缺陷明细!$AB$2:$AB$50000,"&lt;&gt;设计如此",缺陷明细!$AB$2:$AB$50000,"&lt;&gt;重复Bug")</f>
        <v>0</v>
      </c>
      <c r="I40" s="154">
        <f>COUNTIFS(缺陷明细!$A$2:$A$50000,$B$4,缺陷明细!$G$2:$G$50000,$C40,缺陷明细!$Q$2:$Q$50000,"已关闭",缺陷明细!$J$2:$J$50000,"评审")</f>
        <v>0</v>
      </c>
      <c r="J40" s="154">
        <f>COUNTIFS(缺陷明细!$A$2:$A$50000,$B$4,缺陷明细!$G$2:$G$50000,$C40,缺陷明细!$J$2:$J$50000,"单元测试",缺陷明细!$AB$2:$AB$50000,"&lt;&gt;丢弃",缺陷明细!$AB$2:$AB$50000,"&lt;&gt;设计如此",缺陷明细!$AB$2:$AB$50000,"&lt;&gt;重复Bug")</f>
        <v>0</v>
      </c>
      <c r="K40" s="155">
        <f>COUNTIFS(缺陷明细!$A$2:$A$50000,$B$4,缺陷明细!$G$2:$G$50000,$C40,缺陷明细!$Q$2:$Q$50000,"已关闭",缺陷明细!$J$2:$J$50000,"单元测试")</f>
        <v>0</v>
      </c>
      <c r="L40" s="156"/>
      <c r="M40" s="157"/>
      <c r="N40" s="72">
        <f>COUNTIFS(缺陷明细!$A$2:$A$50000,$B$4,缺陷明细!$G$2:$G$50000,$C40,缺陷明细!$J$2:$J$50000,"系统测试案例评审",缺陷明细!$AB$2:$AB$50000,"&lt;&gt;丢弃",缺陷明细!$AB$2:$AB$50000,"&lt;&gt;设计如此",缺陷明细!$AB$2:$AB$50000,"&lt;&gt;重复Bug")</f>
        <v>0</v>
      </c>
      <c r="O40" s="72">
        <f>COUNTIFS(缺陷明细!$A$2:$A$50000,$B$4,缺陷明细!$G$2:$G$50000,$C40,缺陷明细!$Q$2:$Q$50000,"已关闭",缺陷明细!$J$2:$J$50000,"系统测试案例评审")</f>
        <v>0</v>
      </c>
      <c r="P40" s="72">
        <f>COUNTIFS(缺陷明细!$A$2:$A$50000,$B$4,缺陷明细!$G$2:$G$50000,$C40,缺陷明细!$J$2:$J$50000,"系统测试",缺陷明细!$AB$2:$AB$50000,"&lt;&gt;丢弃",缺陷明细!$AB$2:$AB$50000,"&lt;&gt;设计如此",缺陷明细!$AB$2:$AB$50000,"&lt;&gt;重复Bug")</f>
        <v>0</v>
      </c>
      <c r="Q40" s="72">
        <f>COUNTIFS(缺陷明细!$A$2:$A$50000,$B$4,缺陷明细!$G$2:$G$50000,$C40,缺陷明细!$Q$2:$Q$50000,"已关闭",缺陷明细!$J$2:$J$50000,"系统测试")</f>
        <v>0</v>
      </c>
      <c r="R40" s="296">
        <f>COUNTIFS(缺陷明细!$A$2:$A$50000,$B$4,缺陷明细!$G$2:$G$50000,$C40,缺陷明细!$AB$2:$AB$50000,"丢弃",缺陷明细!$J$2:$J$50000,"系统测试")+COUNTIFS(缺陷明细!$A$2:$A$50000,$B$4,缺陷明细!$G$2:$G$50000,$C40,缺陷明细!$AB$2:$AB$50000,"设计如此",缺陷明细!$J$2:$J$50000,"系统测试")+COUNTIFS(缺陷明细!$A$2:$A$50000,$B$4,缺陷明细!$G$2:$G$50000,$C40,缺陷明细!$AB$2:$AB$50000,"重复Bug",缺陷明细!$J$2:$J$50000,"系统测试")</f>
        <v>0</v>
      </c>
      <c r="S40" s="72">
        <f>COUNTIFS(缺陷明细!$A$2:$A$50000,$B$4,缺陷明细!$G$2:$G$50000,$C40,缺陷明细!$J$2:$J$50000,"系统测试",缺陷明细!$K$2:$K$50000,"致命",缺陷明细!$AB$2:$AB$50000,"&lt;&gt;丢弃",缺陷明细!$AB$2:$AB$50000,"&lt;&gt;设计如此",缺陷明细!$AB$2:$AB$50000,"&lt;&gt;重复Bug")+COUNTIFS(缺陷明细!$A$2:$A$50000,$B$4,缺陷明细!$G$2:$G$50000,$C40,缺陷明细!$J$2:$J$50000,"系统测试",缺陷明细!$K$2:$K$50000,"严重",缺陷明细!$AB$2:$AB$50000,"&lt;&gt;丢弃",缺陷明细!$AB$2:$AB$50000,"&lt;&gt;设计如此",缺陷明细!$AB$2:$AB$50000,"&lt;&gt;重复Bug")</f>
        <v>0</v>
      </c>
      <c r="T40" s="73">
        <f>COUNTIFS(缺陷明细!$A$2:$A$50000,$B$4,缺陷明细!$G$2:$G$50000,$C40,缺陷明细!$Q$2:$Q$50000,"已关闭",缺陷明细!$J$2:$J$50000,"系统测试",缺陷明细!$K$2:$K$50000,"致命")+COUNTIFS(缺陷明细!$A$2:$A$50000,$B$4,缺陷明细!$G$2:$G$50000,$C40,缺陷明细!$Q$2:$Q$50000,"已关闭",缺陷明细!$J$2:$J$50000,"系统测试",缺陷明细!$K$2:$K$50000,"严重")</f>
        <v>0</v>
      </c>
      <c r="U40" s="74">
        <f>COUNTIFS(缺陷明细!$A$2:$A$50000,$B$4,缺陷明细!$G$2:$G$50000,$C40,缺陷明细!$J$2:$J$50000,"验收测试",缺陷明细!$AB$2:$AB$50000,"&lt;&gt;丢弃",缺陷明细!$AB$2:$AB$50000,"&lt;&gt;设计如此",缺陷明细!$AB$2:$AB$50000,"&lt;&gt;重复Bug")</f>
        <v>0</v>
      </c>
      <c r="V40" s="75">
        <f>COUNTIFS(缺陷明细!$A$2:$A$50000,$B$4,缺陷明细!$G$2:$G$50000,$C40,缺陷明细!$Q$2:$Q$50000,"已关闭",缺陷明细!$J$2:$J$50000,"验收测试")</f>
        <v>0</v>
      </c>
      <c r="W40" s="75">
        <f>COUNTIFS(缺陷明细!$A$2:$A$50000,$B$4,缺陷明细!$G$2:$G$50000,$C40,缺陷明细!$J$2:$J$50000,"验收测试",缺陷明细!$K$2:$K$50000,"致命",缺陷明细!$AB$2:$AB$50000,"&lt;&gt;丢弃",缺陷明细!$AB$2:$AB$50000,"&lt;&gt;设计如此",缺陷明细!$AB$2:$AB$50000,"&lt;&gt;重复Bug")+COUNTIFS(缺陷明细!$A$2:$A$50000,$B$4,缺陷明细!$G$2:$G$50000,$C40,缺陷明细!$J$2:$J$50000,"验收测试",缺陷明细!$K$2:$K$50000,"严重",缺陷明细!$AB$2:$AB$50000,"&lt;&gt;丢弃",缺陷明细!$AB$2:$AB$50000,"&lt;&gt;设计如此",缺陷明细!$AB$2:$AB$50000,"&lt;&gt;重复Bug")</f>
        <v>0</v>
      </c>
      <c r="X40" s="76">
        <f>COUNTIFS(缺陷明细!$A$2:$A$50000,$B$4,缺陷明细!$G$2:$G$50000,$C40,缺陷明细!$Q$2:$Q$50000,"已关闭",缺陷明细!$J$2:$J$50000,"验收测试",缺陷明细!$K$2:$K$50000,"致命")+COUNTIFS(缺陷明细!$A$2:$A$50000,$B$4,缺陷明细!$G$2:$G$50000,$C40,缺陷明细!$Q$2:$Q$50000,"已关闭",缺陷明细!$J$2:$J$50000,"验收测试",缺陷明细!$K$2:$K$50000,"严重")</f>
        <v>0</v>
      </c>
      <c r="Y40" s="70">
        <f>COUNTIFS(缺陷明细!$A$2:$A$50000,$B$4,缺陷明细!$G$2:$G$50000,$C40,缺陷明细!$J$2:$J$50000,"运维测试",缺陷明细!$AB$2:$AB$50000,"&lt;&gt;丢弃",缺陷明细!$AB$2:$AB$50000,"&lt;&gt;设计如此",缺陷明细!$AB$2:$AB$50000,"&lt;&gt;重复Bug")</f>
        <v>0</v>
      </c>
      <c r="Z40" s="71">
        <f>COUNTIFS(缺陷明细!$A$2:$A$50000,$B$4,缺陷明细!$G$2:$G$50000,$C40,缺陷明细!$Q$2:$Q$50000,"已关闭",缺陷明细!$J$2:$J$50000,"运维测试")</f>
        <v>0</v>
      </c>
      <c r="AA40" s="72">
        <f>COUNTIFS(缺陷明细!$A$2:$A$50000,$B$4,缺陷明细!$G$2:$G$50000,$C40,缺陷明细!$J$2:$J$50000,"运维测试",缺陷明细!$K$2:$K$50000,"致命",缺陷明细!$AB$2:$AB$50000,"&lt;&gt;丢弃",缺陷明细!$AB$2:$AB$50000,"&lt;&gt;设计如此",缺陷明细!$AB$2:$AB$50000,"&lt;&gt;重复Bug")+COUNTIFS(缺陷明细!$A$2:$A$50000,$B$4,缺陷明细!$G$2:$G$50000,$C40,缺陷明细!$J$2:$J$50000,"运维测试",缺陷明细!$K$2:$K$50000,"严重",缺陷明细!$AB$2:$AB$50000,"&lt;&gt;丢弃",缺陷明细!$AB$2:$AB$50000,"&lt;&gt;设计如此",缺陷明细!$AB$2:$AB$50000,"&lt;&gt;重复Bug")</f>
        <v>0</v>
      </c>
      <c r="AB40" s="73">
        <f>COUNTIFS(缺陷明细!$A$2:$A$50000,$B$4,缺陷明细!$G$2:$G$50000,$C40,缺陷明细!$Q$2:$Q$50000,"已关闭",缺陷明细!$J$2:$J$50000,"运维测试",缺陷明细!$K$2:$K$50000,"致命")+COUNTIFS(缺陷明细!$A$2:$A$50000,$B$4,缺陷明细!$G$2:$G$50000,$C40,缺陷明细!$Q$2:$Q$50000,"已关闭",缺陷明细!$J$2:$J$50000,"运维测试",缺陷明细!$K$2:$K$50000,"严重")</f>
        <v>0</v>
      </c>
      <c r="AC40" s="68">
        <f t="shared" si="0"/>
        <v>0</v>
      </c>
      <c r="AD40" s="60">
        <f t="shared" si="0"/>
        <v>0</v>
      </c>
      <c r="AE40" s="60">
        <f t="shared" si="1"/>
        <v>0</v>
      </c>
      <c r="AF40" s="60">
        <f t="shared" si="1"/>
        <v>0</v>
      </c>
      <c r="AG40" s="60">
        <f t="shared" si="2"/>
        <v>0</v>
      </c>
      <c r="AH40" s="60">
        <f t="shared" si="2"/>
        <v>0</v>
      </c>
      <c r="AI40" s="60">
        <f t="shared" si="3"/>
        <v>0</v>
      </c>
      <c r="AJ40" s="61">
        <f t="shared" si="3"/>
        <v>0</v>
      </c>
      <c r="AK40" s="144"/>
    </row>
    <row r="41" spans="1:37">
      <c r="A41">
        <v>37</v>
      </c>
      <c r="B41" s="57">
        <v>500</v>
      </c>
      <c r="C41" s="58" t="s">
        <v>382</v>
      </c>
      <c r="D41" s="84" t="s">
        <v>375</v>
      </c>
      <c r="E41" s="82" t="s">
        <v>346</v>
      </c>
      <c r="F41" s="158">
        <v>16</v>
      </c>
      <c r="G41" s="159">
        <v>10</v>
      </c>
      <c r="H41" s="281">
        <f>COUNTIFS(缺陷明细!$A$2:$A$50000,$B$4,缺陷明细!$G$2:$G$50000,$C41,缺陷明细!$J$2:$J$50000,"评审",缺陷明细!$AB$2:$AB$50000,"&lt;&gt;丢弃",缺陷明细!$AB$2:$AB$50000,"&lt;&gt;设计如此",缺陷明细!$AB$2:$AB$50000,"&lt;&gt;重复Bug")</f>
        <v>0</v>
      </c>
      <c r="I41" s="154">
        <f>COUNTIFS(缺陷明细!$A$2:$A$50000,$B$4,缺陷明细!$G$2:$G$50000,$C41,缺陷明细!$Q$2:$Q$50000,"已关闭",缺陷明细!$J$2:$J$50000,"评审")</f>
        <v>0</v>
      </c>
      <c r="J41" s="154">
        <f>COUNTIFS(缺陷明细!$A$2:$A$50000,$B$4,缺陷明细!$G$2:$G$50000,$C41,缺陷明细!$J$2:$J$50000,"单元测试",缺陷明细!$AB$2:$AB$50000,"&lt;&gt;丢弃",缺陷明细!$AB$2:$AB$50000,"&lt;&gt;设计如此",缺陷明细!$AB$2:$AB$50000,"&lt;&gt;重复Bug")</f>
        <v>0</v>
      </c>
      <c r="K41" s="155">
        <f>COUNTIFS(缺陷明细!$A$2:$A$50000,$B$4,缺陷明细!$G$2:$G$50000,$C41,缺陷明细!$Q$2:$Q$50000,"已关闭",缺陷明细!$J$2:$J$50000,"单元测试")</f>
        <v>0</v>
      </c>
      <c r="L41" s="156"/>
      <c r="M41" s="157"/>
      <c r="N41" s="72">
        <f>COUNTIFS(缺陷明细!$A$2:$A$50000,$B$4,缺陷明细!$G$2:$G$50000,$C41,缺陷明细!$J$2:$J$50000,"系统测试案例评审",缺陷明细!$AB$2:$AB$50000,"&lt;&gt;丢弃",缺陷明细!$AB$2:$AB$50000,"&lt;&gt;设计如此",缺陷明细!$AB$2:$AB$50000,"&lt;&gt;重复Bug")</f>
        <v>0</v>
      </c>
      <c r="O41" s="72">
        <f>COUNTIFS(缺陷明细!$A$2:$A$50000,$B$4,缺陷明细!$G$2:$G$50000,$C41,缺陷明细!$Q$2:$Q$50000,"已关闭",缺陷明细!$J$2:$J$50000,"系统测试案例评审")</f>
        <v>0</v>
      </c>
      <c r="P41" s="72">
        <f>COUNTIFS(缺陷明细!$A$2:$A$50000,$B$4,缺陷明细!$G$2:$G$50000,$C41,缺陷明细!$J$2:$J$50000,"系统测试",缺陷明细!$AB$2:$AB$50000,"&lt;&gt;丢弃",缺陷明细!$AB$2:$AB$50000,"&lt;&gt;设计如此",缺陷明细!$AB$2:$AB$50000,"&lt;&gt;重复Bug")</f>
        <v>0</v>
      </c>
      <c r="Q41" s="72">
        <f>COUNTIFS(缺陷明细!$A$2:$A$50000,$B$4,缺陷明细!$G$2:$G$50000,$C41,缺陷明细!$Q$2:$Q$50000,"已关闭",缺陷明细!$J$2:$J$50000,"系统测试")</f>
        <v>0</v>
      </c>
      <c r="R41" s="296">
        <f>COUNTIFS(缺陷明细!$A$2:$A$50000,$B$4,缺陷明细!$G$2:$G$50000,$C41,缺陷明细!$AB$2:$AB$50000,"丢弃",缺陷明细!$J$2:$J$50000,"系统测试")+COUNTIFS(缺陷明细!$A$2:$A$50000,$B$4,缺陷明细!$G$2:$G$50000,$C41,缺陷明细!$AB$2:$AB$50000,"设计如此",缺陷明细!$J$2:$J$50000,"系统测试")+COUNTIFS(缺陷明细!$A$2:$A$50000,$B$4,缺陷明细!$G$2:$G$50000,$C41,缺陷明细!$AB$2:$AB$50000,"重复Bug",缺陷明细!$J$2:$J$50000,"系统测试")</f>
        <v>0</v>
      </c>
      <c r="S41" s="72">
        <f>COUNTIFS(缺陷明细!$A$2:$A$50000,$B$4,缺陷明细!$G$2:$G$50000,$C41,缺陷明细!$J$2:$J$50000,"系统测试",缺陷明细!$K$2:$K$50000,"致命",缺陷明细!$AB$2:$AB$50000,"&lt;&gt;丢弃",缺陷明细!$AB$2:$AB$50000,"&lt;&gt;设计如此",缺陷明细!$AB$2:$AB$50000,"&lt;&gt;重复Bug")+COUNTIFS(缺陷明细!$A$2:$A$50000,$B$4,缺陷明细!$G$2:$G$50000,$C41,缺陷明细!$J$2:$J$50000,"系统测试",缺陷明细!$K$2:$K$50000,"严重",缺陷明细!$AB$2:$AB$50000,"&lt;&gt;丢弃",缺陷明细!$AB$2:$AB$50000,"&lt;&gt;设计如此",缺陷明细!$AB$2:$AB$50000,"&lt;&gt;重复Bug")</f>
        <v>0</v>
      </c>
      <c r="T41" s="73">
        <f>COUNTIFS(缺陷明细!$A$2:$A$50000,$B$4,缺陷明细!$G$2:$G$50000,$C41,缺陷明细!$Q$2:$Q$50000,"已关闭",缺陷明细!$J$2:$J$50000,"系统测试",缺陷明细!$K$2:$K$50000,"致命")+COUNTIFS(缺陷明细!$A$2:$A$50000,$B$4,缺陷明细!$G$2:$G$50000,$C41,缺陷明细!$Q$2:$Q$50000,"已关闭",缺陷明细!$J$2:$J$50000,"系统测试",缺陷明细!$K$2:$K$50000,"严重")</f>
        <v>0</v>
      </c>
      <c r="U41" s="74">
        <f>COUNTIFS(缺陷明细!$A$2:$A$50000,$B$4,缺陷明细!$G$2:$G$50000,$C41,缺陷明细!$J$2:$J$50000,"验收测试",缺陷明细!$AB$2:$AB$50000,"&lt;&gt;丢弃",缺陷明细!$AB$2:$AB$50000,"&lt;&gt;设计如此",缺陷明细!$AB$2:$AB$50000,"&lt;&gt;重复Bug")</f>
        <v>0</v>
      </c>
      <c r="V41" s="75">
        <f>COUNTIFS(缺陷明细!$A$2:$A$50000,$B$4,缺陷明细!$G$2:$G$50000,$C41,缺陷明细!$Q$2:$Q$50000,"已关闭",缺陷明细!$J$2:$J$50000,"验收测试")</f>
        <v>0</v>
      </c>
      <c r="W41" s="75">
        <f>COUNTIFS(缺陷明细!$A$2:$A$50000,$B$4,缺陷明细!$G$2:$G$50000,$C41,缺陷明细!$J$2:$J$50000,"验收测试",缺陷明细!$K$2:$K$50000,"致命",缺陷明细!$AB$2:$AB$50000,"&lt;&gt;丢弃",缺陷明细!$AB$2:$AB$50000,"&lt;&gt;设计如此",缺陷明细!$AB$2:$AB$50000,"&lt;&gt;重复Bug")+COUNTIFS(缺陷明细!$A$2:$A$50000,$B$4,缺陷明细!$G$2:$G$50000,$C41,缺陷明细!$J$2:$J$50000,"验收测试",缺陷明细!$K$2:$K$50000,"严重",缺陷明细!$AB$2:$AB$50000,"&lt;&gt;丢弃",缺陷明细!$AB$2:$AB$50000,"&lt;&gt;设计如此",缺陷明细!$AB$2:$AB$50000,"&lt;&gt;重复Bug")</f>
        <v>0</v>
      </c>
      <c r="X41" s="76">
        <f>COUNTIFS(缺陷明细!$A$2:$A$50000,$B$4,缺陷明细!$G$2:$G$50000,$C41,缺陷明细!$Q$2:$Q$50000,"已关闭",缺陷明细!$J$2:$J$50000,"验收测试",缺陷明细!$K$2:$K$50000,"致命")+COUNTIFS(缺陷明细!$A$2:$A$50000,$B$4,缺陷明细!$G$2:$G$50000,$C41,缺陷明细!$Q$2:$Q$50000,"已关闭",缺陷明细!$J$2:$J$50000,"验收测试",缺陷明细!$K$2:$K$50000,"严重")</f>
        <v>0</v>
      </c>
      <c r="Y41" s="70">
        <f>COUNTIFS(缺陷明细!$A$2:$A$50000,$B$4,缺陷明细!$G$2:$G$50000,$C41,缺陷明细!$J$2:$J$50000,"运维测试",缺陷明细!$AB$2:$AB$50000,"&lt;&gt;丢弃",缺陷明细!$AB$2:$AB$50000,"&lt;&gt;设计如此",缺陷明细!$AB$2:$AB$50000,"&lt;&gt;重复Bug")</f>
        <v>0</v>
      </c>
      <c r="Z41" s="71">
        <f>COUNTIFS(缺陷明细!$A$2:$A$50000,$B$4,缺陷明细!$G$2:$G$50000,$C41,缺陷明细!$Q$2:$Q$50000,"已关闭",缺陷明细!$J$2:$J$50000,"运维测试")</f>
        <v>0</v>
      </c>
      <c r="AA41" s="72">
        <f>COUNTIFS(缺陷明细!$A$2:$A$50000,$B$4,缺陷明细!$G$2:$G$50000,$C41,缺陷明细!$J$2:$J$50000,"运维测试",缺陷明细!$K$2:$K$50000,"致命",缺陷明细!$AB$2:$AB$50000,"&lt;&gt;丢弃",缺陷明细!$AB$2:$AB$50000,"&lt;&gt;设计如此",缺陷明细!$AB$2:$AB$50000,"&lt;&gt;重复Bug")+COUNTIFS(缺陷明细!$A$2:$A$50000,$B$4,缺陷明细!$G$2:$G$50000,$C41,缺陷明细!$J$2:$J$50000,"运维测试",缺陷明细!$K$2:$K$50000,"严重",缺陷明细!$AB$2:$AB$50000,"&lt;&gt;丢弃",缺陷明细!$AB$2:$AB$50000,"&lt;&gt;设计如此",缺陷明细!$AB$2:$AB$50000,"&lt;&gt;重复Bug")</f>
        <v>0</v>
      </c>
      <c r="AB41" s="73">
        <f>COUNTIFS(缺陷明细!$A$2:$A$50000,$B$4,缺陷明细!$G$2:$G$50000,$C41,缺陷明细!$Q$2:$Q$50000,"已关闭",缺陷明细!$J$2:$J$50000,"运维测试",缺陷明细!$K$2:$K$50000,"致命")+COUNTIFS(缺陷明细!$A$2:$A$50000,$B$4,缺陷明细!$G$2:$G$50000,$C41,缺陷明细!$Q$2:$Q$50000,"已关闭",缺陷明细!$J$2:$J$50000,"运维测试",缺陷明细!$K$2:$K$50000,"严重")</f>
        <v>0</v>
      </c>
      <c r="AC41" s="68">
        <f t="shared" si="0"/>
        <v>0</v>
      </c>
      <c r="AD41" s="60">
        <f t="shared" si="0"/>
        <v>0</v>
      </c>
      <c r="AE41" s="60">
        <f t="shared" si="1"/>
        <v>0</v>
      </c>
      <c r="AF41" s="60">
        <f t="shared" si="1"/>
        <v>0</v>
      </c>
      <c r="AG41" s="60">
        <f t="shared" si="2"/>
        <v>0</v>
      </c>
      <c r="AH41" s="60">
        <f t="shared" si="2"/>
        <v>0</v>
      </c>
      <c r="AI41" s="60">
        <f t="shared" si="3"/>
        <v>0</v>
      </c>
      <c r="AJ41" s="61">
        <f t="shared" si="3"/>
        <v>0</v>
      </c>
      <c r="AK41" s="144"/>
    </row>
    <row r="42" spans="1:37" ht="25.5">
      <c r="A42">
        <v>38</v>
      </c>
      <c r="B42" s="57">
        <v>501</v>
      </c>
      <c r="C42" s="58" t="s">
        <v>383</v>
      </c>
      <c r="D42" s="84"/>
      <c r="E42" s="82" t="s">
        <v>346</v>
      </c>
      <c r="F42" s="158">
        <v>4</v>
      </c>
      <c r="G42" s="159">
        <v>3</v>
      </c>
      <c r="H42" s="281">
        <f>COUNTIFS(缺陷明细!$A$2:$A$50000,$B$4,缺陷明细!$G$2:$G$50000,$C42,缺陷明细!$J$2:$J$50000,"评审",缺陷明细!$AB$2:$AB$50000,"&lt;&gt;丢弃",缺陷明细!$AB$2:$AB$50000,"&lt;&gt;设计如此",缺陷明细!$AB$2:$AB$50000,"&lt;&gt;重复Bug")</f>
        <v>0</v>
      </c>
      <c r="I42" s="154">
        <f>COUNTIFS(缺陷明细!$A$2:$A$50000,$B$4,缺陷明细!$G$2:$G$50000,$C42,缺陷明细!$Q$2:$Q$50000,"已关闭",缺陷明细!$J$2:$J$50000,"评审")</f>
        <v>0</v>
      </c>
      <c r="J42" s="154">
        <f>COUNTIFS(缺陷明细!$A$2:$A$50000,$B$4,缺陷明细!$G$2:$G$50000,$C42,缺陷明细!$J$2:$J$50000,"单元测试",缺陷明细!$AB$2:$AB$50000,"&lt;&gt;丢弃",缺陷明细!$AB$2:$AB$50000,"&lt;&gt;设计如此",缺陷明细!$AB$2:$AB$50000,"&lt;&gt;重复Bug")</f>
        <v>0</v>
      </c>
      <c r="K42" s="155">
        <f>COUNTIFS(缺陷明细!$A$2:$A$50000,$B$4,缺陷明细!$G$2:$G$50000,$C42,缺陷明细!$Q$2:$Q$50000,"已关闭",缺陷明细!$J$2:$J$50000,"单元测试")</f>
        <v>0</v>
      </c>
      <c r="L42" s="156"/>
      <c r="M42" s="157"/>
      <c r="N42" s="72">
        <f>COUNTIFS(缺陷明细!$A$2:$A$50000,$B$4,缺陷明细!$G$2:$G$50000,$C42,缺陷明细!$J$2:$J$50000,"系统测试案例评审",缺陷明细!$AB$2:$AB$50000,"&lt;&gt;丢弃",缺陷明细!$AB$2:$AB$50000,"&lt;&gt;设计如此",缺陷明细!$AB$2:$AB$50000,"&lt;&gt;重复Bug")</f>
        <v>0</v>
      </c>
      <c r="O42" s="72">
        <f>COUNTIFS(缺陷明细!$A$2:$A$50000,$B$4,缺陷明细!$G$2:$G$50000,$C42,缺陷明细!$Q$2:$Q$50000,"已关闭",缺陷明细!$J$2:$J$50000,"系统测试案例评审")</f>
        <v>0</v>
      </c>
      <c r="P42" s="72">
        <f>COUNTIFS(缺陷明细!$A$2:$A$50000,$B$4,缺陷明细!$G$2:$G$50000,$C42,缺陷明细!$J$2:$J$50000,"系统测试",缺陷明细!$AB$2:$AB$50000,"&lt;&gt;丢弃",缺陷明细!$AB$2:$AB$50000,"&lt;&gt;设计如此",缺陷明细!$AB$2:$AB$50000,"&lt;&gt;重复Bug")</f>
        <v>0</v>
      </c>
      <c r="Q42" s="72">
        <f>COUNTIFS(缺陷明细!$A$2:$A$50000,$B$4,缺陷明细!$G$2:$G$50000,$C42,缺陷明细!$Q$2:$Q$50000,"已关闭",缺陷明细!$J$2:$J$50000,"系统测试")</f>
        <v>0</v>
      </c>
      <c r="R42" s="296">
        <f>COUNTIFS(缺陷明细!$A$2:$A$50000,$B$4,缺陷明细!$G$2:$G$50000,$C42,缺陷明细!$AB$2:$AB$50000,"丢弃",缺陷明细!$J$2:$J$50000,"系统测试")+COUNTIFS(缺陷明细!$A$2:$A$50000,$B$4,缺陷明细!$G$2:$G$50000,$C42,缺陷明细!$AB$2:$AB$50000,"设计如此",缺陷明细!$J$2:$J$50000,"系统测试")+COUNTIFS(缺陷明细!$A$2:$A$50000,$B$4,缺陷明细!$G$2:$G$50000,$C42,缺陷明细!$AB$2:$AB$50000,"重复Bug",缺陷明细!$J$2:$J$50000,"系统测试")</f>
        <v>0</v>
      </c>
      <c r="S42" s="72">
        <f>COUNTIFS(缺陷明细!$A$2:$A$50000,$B$4,缺陷明细!$G$2:$G$50000,$C42,缺陷明细!$J$2:$J$50000,"系统测试",缺陷明细!$K$2:$K$50000,"致命",缺陷明细!$AB$2:$AB$50000,"&lt;&gt;丢弃",缺陷明细!$AB$2:$AB$50000,"&lt;&gt;设计如此",缺陷明细!$AB$2:$AB$50000,"&lt;&gt;重复Bug")+COUNTIFS(缺陷明细!$A$2:$A$50000,$B$4,缺陷明细!$G$2:$G$50000,$C42,缺陷明细!$J$2:$J$50000,"系统测试",缺陷明细!$K$2:$K$50000,"严重",缺陷明细!$AB$2:$AB$50000,"&lt;&gt;丢弃",缺陷明细!$AB$2:$AB$50000,"&lt;&gt;设计如此",缺陷明细!$AB$2:$AB$50000,"&lt;&gt;重复Bug")</f>
        <v>0</v>
      </c>
      <c r="T42" s="73">
        <f>COUNTIFS(缺陷明细!$A$2:$A$50000,$B$4,缺陷明细!$G$2:$G$50000,$C42,缺陷明细!$Q$2:$Q$50000,"已关闭",缺陷明细!$J$2:$J$50000,"系统测试",缺陷明细!$K$2:$K$50000,"致命")+COUNTIFS(缺陷明细!$A$2:$A$50000,$B$4,缺陷明细!$G$2:$G$50000,$C42,缺陷明细!$Q$2:$Q$50000,"已关闭",缺陷明细!$J$2:$J$50000,"系统测试",缺陷明细!$K$2:$K$50000,"严重")</f>
        <v>0</v>
      </c>
      <c r="U42" s="74">
        <f>COUNTIFS(缺陷明细!$A$2:$A$50000,$B$4,缺陷明细!$G$2:$G$50000,$C42,缺陷明细!$J$2:$J$50000,"验收测试",缺陷明细!$AB$2:$AB$50000,"&lt;&gt;丢弃",缺陷明细!$AB$2:$AB$50000,"&lt;&gt;设计如此",缺陷明细!$AB$2:$AB$50000,"&lt;&gt;重复Bug")</f>
        <v>0</v>
      </c>
      <c r="V42" s="75">
        <f>COUNTIFS(缺陷明细!$A$2:$A$50000,$B$4,缺陷明细!$G$2:$G$50000,$C42,缺陷明细!$Q$2:$Q$50000,"已关闭",缺陷明细!$J$2:$J$50000,"验收测试")</f>
        <v>0</v>
      </c>
      <c r="W42" s="75">
        <f>COUNTIFS(缺陷明细!$A$2:$A$50000,$B$4,缺陷明细!$G$2:$G$50000,$C42,缺陷明细!$J$2:$J$50000,"验收测试",缺陷明细!$K$2:$K$50000,"致命",缺陷明细!$AB$2:$AB$50000,"&lt;&gt;丢弃",缺陷明细!$AB$2:$AB$50000,"&lt;&gt;设计如此",缺陷明细!$AB$2:$AB$50000,"&lt;&gt;重复Bug")+COUNTIFS(缺陷明细!$A$2:$A$50000,$B$4,缺陷明细!$G$2:$G$50000,$C42,缺陷明细!$J$2:$J$50000,"验收测试",缺陷明细!$K$2:$K$50000,"严重",缺陷明细!$AB$2:$AB$50000,"&lt;&gt;丢弃",缺陷明细!$AB$2:$AB$50000,"&lt;&gt;设计如此",缺陷明细!$AB$2:$AB$50000,"&lt;&gt;重复Bug")</f>
        <v>0</v>
      </c>
      <c r="X42" s="76">
        <f>COUNTIFS(缺陷明细!$A$2:$A$50000,$B$4,缺陷明细!$G$2:$G$50000,$C42,缺陷明细!$Q$2:$Q$50000,"已关闭",缺陷明细!$J$2:$J$50000,"验收测试",缺陷明细!$K$2:$K$50000,"致命")+COUNTIFS(缺陷明细!$A$2:$A$50000,$B$4,缺陷明细!$G$2:$G$50000,$C42,缺陷明细!$Q$2:$Q$50000,"已关闭",缺陷明细!$J$2:$J$50000,"验收测试",缺陷明细!$K$2:$K$50000,"严重")</f>
        <v>0</v>
      </c>
      <c r="Y42" s="70">
        <f>COUNTIFS(缺陷明细!$A$2:$A$50000,$B$4,缺陷明细!$G$2:$G$50000,$C42,缺陷明细!$J$2:$J$50000,"运维测试",缺陷明细!$AB$2:$AB$50000,"&lt;&gt;丢弃",缺陷明细!$AB$2:$AB$50000,"&lt;&gt;设计如此",缺陷明细!$AB$2:$AB$50000,"&lt;&gt;重复Bug")</f>
        <v>0</v>
      </c>
      <c r="Z42" s="71">
        <f>COUNTIFS(缺陷明细!$A$2:$A$50000,$B$4,缺陷明细!$G$2:$G$50000,$C42,缺陷明细!$Q$2:$Q$50000,"已关闭",缺陷明细!$J$2:$J$50000,"运维测试")</f>
        <v>0</v>
      </c>
      <c r="AA42" s="72">
        <f>COUNTIFS(缺陷明细!$A$2:$A$50000,$B$4,缺陷明细!$G$2:$G$50000,$C42,缺陷明细!$J$2:$J$50000,"运维测试",缺陷明细!$K$2:$K$50000,"致命",缺陷明细!$AB$2:$AB$50000,"&lt;&gt;丢弃",缺陷明细!$AB$2:$AB$50000,"&lt;&gt;设计如此",缺陷明细!$AB$2:$AB$50000,"&lt;&gt;重复Bug")+COUNTIFS(缺陷明细!$A$2:$A$50000,$B$4,缺陷明细!$G$2:$G$50000,$C42,缺陷明细!$J$2:$J$50000,"运维测试",缺陷明细!$K$2:$K$50000,"严重",缺陷明细!$AB$2:$AB$50000,"&lt;&gt;丢弃",缺陷明细!$AB$2:$AB$50000,"&lt;&gt;设计如此",缺陷明细!$AB$2:$AB$50000,"&lt;&gt;重复Bug")</f>
        <v>0</v>
      </c>
      <c r="AB42" s="73">
        <f>COUNTIFS(缺陷明细!$A$2:$A$50000,$B$4,缺陷明细!$G$2:$G$50000,$C42,缺陷明细!$Q$2:$Q$50000,"已关闭",缺陷明细!$J$2:$J$50000,"运维测试",缺陷明细!$K$2:$K$50000,"致命")+COUNTIFS(缺陷明细!$A$2:$A$50000,$B$4,缺陷明细!$G$2:$G$50000,$C42,缺陷明细!$Q$2:$Q$50000,"已关闭",缺陷明细!$J$2:$J$50000,"运维测试",缺陷明细!$K$2:$K$50000,"严重")</f>
        <v>0</v>
      </c>
      <c r="AC42" s="68">
        <f t="shared" si="0"/>
        <v>0</v>
      </c>
      <c r="AD42" s="60">
        <f t="shared" si="0"/>
        <v>0</v>
      </c>
      <c r="AE42" s="60">
        <f t="shared" si="1"/>
        <v>0</v>
      </c>
      <c r="AF42" s="60">
        <f t="shared" si="1"/>
        <v>0</v>
      </c>
      <c r="AG42" s="60">
        <f t="shared" si="2"/>
        <v>0</v>
      </c>
      <c r="AH42" s="60">
        <f t="shared" si="2"/>
        <v>0</v>
      </c>
      <c r="AI42" s="60">
        <f t="shared" si="3"/>
        <v>0</v>
      </c>
      <c r="AJ42" s="61">
        <f t="shared" si="3"/>
        <v>0</v>
      </c>
      <c r="AK42" s="144"/>
    </row>
    <row r="43" spans="1:37">
      <c r="A43">
        <v>39</v>
      </c>
      <c r="B43" s="57">
        <v>502</v>
      </c>
      <c r="C43" s="58" t="s">
        <v>384</v>
      </c>
      <c r="D43" s="84" t="s">
        <v>343</v>
      </c>
      <c r="E43" s="82" t="s">
        <v>346</v>
      </c>
      <c r="F43" s="158">
        <v>16</v>
      </c>
      <c r="G43" s="159">
        <v>12</v>
      </c>
      <c r="H43" s="281">
        <f>COUNTIFS(缺陷明细!$A$2:$A$50000,$B$4,缺陷明细!$G$2:$G$50000,$C43,缺陷明细!$J$2:$J$50000,"评审",缺陷明细!$AB$2:$AB$50000,"&lt;&gt;丢弃",缺陷明细!$AB$2:$AB$50000,"&lt;&gt;设计如此",缺陷明细!$AB$2:$AB$50000,"&lt;&gt;重复Bug")</f>
        <v>0</v>
      </c>
      <c r="I43" s="154">
        <f>COUNTIFS(缺陷明细!$A$2:$A$50000,$B$4,缺陷明细!$G$2:$G$50000,$C43,缺陷明细!$Q$2:$Q$50000,"已关闭",缺陷明细!$J$2:$J$50000,"评审")</f>
        <v>0</v>
      </c>
      <c r="J43" s="154">
        <f>COUNTIFS(缺陷明细!$A$2:$A$50000,$B$4,缺陷明细!$G$2:$G$50000,$C43,缺陷明细!$J$2:$J$50000,"单元测试",缺陷明细!$AB$2:$AB$50000,"&lt;&gt;丢弃",缺陷明细!$AB$2:$AB$50000,"&lt;&gt;设计如此",缺陷明细!$AB$2:$AB$50000,"&lt;&gt;重复Bug")</f>
        <v>0</v>
      </c>
      <c r="K43" s="155">
        <f>COUNTIFS(缺陷明细!$A$2:$A$50000,$B$4,缺陷明细!$G$2:$G$50000,$C43,缺陷明细!$Q$2:$Q$50000,"已关闭",缺陷明细!$J$2:$J$50000,"单元测试")</f>
        <v>0</v>
      </c>
      <c r="L43" s="156"/>
      <c r="M43" s="157"/>
      <c r="N43" s="72">
        <f>COUNTIFS(缺陷明细!$A$2:$A$50000,$B$4,缺陷明细!$G$2:$G$50000,$C43,缺陷明细!$J$2:$J$50000,"系统测试案例评审",缺陷明细!$AB$2:$AB$50000,"&lt;&gt;丢弃",缺陷明细!$AB$2:$AB$50000,"&lt;&gt;设计如此",缺陷明细!$AB$2:$AB$50000,"&lt;&gt;重复Bug")</f>
        <v>0</v>
      </c>
      <c r="O43" s="72">
        <f>COUNTIFS(缺陷明细!$A$2:$A$50000,$B$4,缺陷明细!$G$2:$G$50000,$C43,缺陷明细!$Q$2:$Q$50000,"已关闭",缺陷明细!$J$2:$J$50000,"系统测试案例评审")</f>
        <v>0</v>
      </c>
      <c r="P43" s="72">
        <f>COUNTIFS(缺陷明细!$A$2:$A$50000,$B$4,缺陷明细!$G$2:$G$50000,$C43,缺陷明细!$J$2:$J$50000,"系统测试",缺陷明细!$AB$2:$AB$50000,"&lt;&gt;丢弃",缺陷明细!$AB$2:$AB$50000,"&lt;&gt;设计如此",缺陷明细!$AB$2:$AB$50000,"&lt;&gt;重复Bug")</f>
        <v>0</v>
      </c>
      <c r="Q43" s="72">
        <f>COUNTIFS(缺陷明细!$A$2:$A$50000,$B$4,缺陷明细!$G$2:$G$50000,$C43,缺陷明细!$Q$2:$Q$50000,"已关闭",缺陷明细!$J$2:$J$50000,"系统测试")</f>
        <v>0</v>
      </c>
      <c r="R43" s="296">
        <f>COUNTIFS(缺陷明细!$A$2:$A$50000,$B$4,缺陷明细!$G$2:$G$50000,$C43,缺陷明细!$AB$2:$AB$50000,"丢弃",缺陷明细!$J$2:$J$50000,"系统测试")+COUNTIFS(缺陷明细!$A$2:$A$50000,$B$4,缺陷明细!$G$2:$G$50000,$C43,缺陷明细!$AB$2:$AB$50000,"设计如此",缺陷明细!$J$2:$J$50000,"系统测试")+COUNTIFS(缺陷明细!$A$2:$A$50000,$B$4,缺陷明细!$G$2:$G$50000,$C43,缺陷明细!$AB$2:$AB$50000,"重复Bug",缺陷明细!$J$2:$J$50000,"系统测试")</f>
        <v>0</v>
      </c>
      <c r="S43" s="72">
        <f>COUNTIFS(缺陷明细!$A$2:$A$50000,$B$4,缺陷明细!$G$2:$G$50000,$C43,缺陷明细!$J$2:$J$50000,"系统测试",缺陷明细!$K$2:$K$50000,"致命",缺陷明细!$AB$2:$AB$50000,"&lt;&gt;丢弃",缺陷明细!$AB$2:$AB$50000,"&lt;&gt;设计如此",缺陷明细!$AB$2:$AB$50000,"&lt;&gt;重复Bug")+COUNTIFS(缺陷明细!$A$2:$A$50000,$B$4,缺陷明细!$G$2:$G$50000,$C43,缺陷明细!$J$2:$J$50000,"系统测试",缺陷明细!$K$2:$K$50000,"严重",缺陷明细!$AB$2:$AB$50000,"&lt;&gt;丢弃",缺陷明细!$AB$2:$AB$50000,"&lt;&gt;设计如此",缺陷明细!$AB$2:$AB$50000,"&lt;&gt;重复Bug")</f>
        <v>0</v>
      </c>
      <c r="T43" s="73">
        <f>COUNTIFS(缺陷明细!$A$2:$A$50000,$B$4,缺陷明细!$G$2:$G$50000,$C43,缺陷明细!$Q$2:$Q$50000,"已关闭",缺陷明细!$J$2:$J$50000,"系统测试",缺陷明细!$K$2:$K$50000,"致命")+COUNTIFS(缺陷明细!$A$2:$A$50000,$B$4,缺陷明细!$G$2:$G$50000,$C43,缺陷明细!$Q$2:$Q$50000,"已关闭",缺陷明细!$J$2:$J$50000,"系统测试",缺陷明细!$K$2:$K$50000,"严重")</f>
        <v>0</v>
      </c>
      <c r="U43" s="74">
        <f>COUNTIFS(缺陷明细!$A$2:$A$50000,$B$4,缺陷明细!$G$2:$G$50000,$C43,缺陷明细!$J$2:$J$50000,"验收测试",缺陷明细!$AB$2:$AB$50000,"&lt;&gt;丢弃",缺陷明细!$AB$2:$AB$50000,"&lt;&gt;设计如此",缺陷明细!$AB$2:$AB$50000,"&lt;&gt;重复Bug")</f>
        <v>0</v>
      </c>
      <c r="V43" s="75">
        <f>COUNTIFS(缺陷明细!$A$2:$A$50000,$B$4,缺陷明细!$G$2:$G$50000,$C43,缺陷明细!$Q$2:$Q$50000,"已关闭",缺陷明细!$J$2:$J$50000,"验收测试")</f>
        <v>0</v>
      </c>
      <c r="W43" s="75">
        <f>COUNTIFS(缺陷明细!$A$2:$A$50000,$B$4,缺陷明细!$G$2:$G$50000,$C43,缺陷明细!$J$2:$J$50000,"验收测试",缺陷明细!$K$2:$K$50000,"致命",缺陷明细!$AB$2:$AB$50000,"&lt;&gt;丢弃",缺陷明细!$AB$2:$AB$50000,"&lt;&gt;设计如此",缺陷明细!$AB$2:$AB$50000,"&lt;&gt;重复Bug")+COUNTIFS(缺陷明细!$A$2:$A$50000,$B$4,缺陷明细!$G$2:$G$50000,$C43,缺陷明细!$J$2:$J$50000,"验收测试",缺陷明细!$K$2:$K$50000,"严重",缺陷明细!$AB$2:$AB$50000,"&lt;&gt;丢弃",缺陷明细!$AB$2:$AB$50000,"&lt;&gt;设计如此",缺陷明细!$AB$2:$AB$50000,"&lt;&gt;重复Bug")</f>
        <v>0</v>
      </c>
      <c r="X43" s="76">
        <f>COUNTIFS(缺陷明细!$A$2:$A$50000,$B$4,缺陷明细!$G$2:$G$50000,$C43,缺陷明细!$Q$2:$Q$50000,"已关闭",缺陷明细!$J$2:$J$50000,"验收测试",缺陷明细!$K$2:$K$50000,"致命")+COUNTIFS(缺陷明细!$A$2:$A$50000,$B$4,缺陷明细!$G$2:$G$50000,$C43,缺陷明细!$Q$2:$Q$50000,"已关闭",缺陷明细!$J$2:$J$50000,"验收测试",缺陷明细!$K$2:$K$50000,"严重")</f>
        <v>0</v>
      </c>
      <c r="Y43" s="70">
        <f>COUNTIFS(缺陷明细!$A$2:$A$50000,$B$4,缺陷明细!$G$2:$G$50000,$C43,缺陷明细!$J$2:$J$50000,"运维测试",缺陷明细!$AB$2:$AB$50000,"&lt;&gt;丢弃",缺陷明细!$AB$2:$AB$50000,"&lt;&gt;设计如此",缺陷明细!$AB$2:$AB$50000,"&lt;&gt;重复Bug")</f>
        <v>0</v>
      </c>
      <c r="Z43" s="71">
        <f>COUNTIFS(缺陷明细!$A$2:$A$50000,$B$4,缺陷明细!$G$2:$G$50000,$C43,缺陷明细!$Q$2:$Q$50000,"已关闭",缺陷明细!$J$2:$J$50000,"运维测试")</f>
        <v>0</v>
      </c>
      <c r="AA43" s="72">
        <f>COUNTIFS(缺陷明细!$A$2:$A$50000,$B$4,缺陷明细!$G$2:$G$50000,$C43,缺陷明细!$J$2:$J$50000,"运维测试",缺陷明细!$K$2:$K$50000,"致命",缺陷明细!$AB$2:$AB$50000,"&lt;&gt;丢弃",缺陷明细!$AB$2:$AB$50000,"&lt;&gt;设计如此",缺陷明细!$AB$2:$AB$50000,"&lt;&gt;重复Bug")+COUNTIFS(缺陷明细!$A$2:$A$50000,$B$4,缺陷明细!$G$2:$G$50000,$C43,缺陷明细!$J$2:$J$50000,"运维测试",缺陷明细!$K$2:$K$50000,"严重",缺陷明细!$AB$2:$AB$50000,"&lt;&gt;丢弃",缺陷明细!$AB$2:$AB$50000,"&lt;&gt;设计如此",缺陷明细!$AB$2:$AB$50000,"&lt;&gt;重复Bug")</f>
        <v>0</v>
      </c>
      <c r="AB43" s="73">
        <f>COUNTIFS(缺陷明细!$A$2:$A$50000,$B$4,缺陷明细!$G$2:$G$50000,$C43,缺陷明细!$Q$2:$Q$50000,"已关闭",缺陷明细!$J$2:$J$50000,"运维测试",缺陷明细!$K$2:$K$50000,"致命")+COUNTIFS(缺陷明细!$A$2:$A$50000,$B$4,缺陷明细!$G$2:$G$50000,$C43,缺陷明细!$Q$2:$Q$50000,"已关闭",缺陷明细!$J$2:$J$50000,"运维测试",缺陷明细!$K$2:$K$50000,"严重")</f>
        <v>0</v>
      </c>
      <c r="AC43" s="68">
        <f t="shared" si="0"/>
        <v>0</v>
      </c>
      <c r="AD43" s="60">
        <f t="shared" si="0"/>
        <v>0</v>
      </c>
      <c r="AE43" s="60">
        <f t="shared" si="1"/>
        <v>0</v>
      </c>
      <c r="AF43" s="60">
        <f t="shared" si="1"/>
        <v>0</v>
      </c>
      <c r="AG43" s="60">
        <f t="shared" si="2"/>
        <v>0</v>
      </c>
      <c r="AH43" s="60">
        <f t="shared" si="2"/>
        <v>0</v>
      </c>
      <c r="AI43" s="60">
        <f t="shared" si="3"/>
        <v>0</v>
      </c>
      <c r="AJ43" s="61">
        <f t="shared" si="3"/>
        <v>0</v>
      </c>
      <c r="AK43" s="144"/>
    </row>
    <row r="44" spans="1:37">
      <c r="A44">
        <v>40</v>
      </c>
      <c r="B44" s="57">
        <v>503</v>
      </c>
      <c r="C44" s="58" t="s">
        <v>385</v>
      </c>
      <c r="D44" s="84" t="s">
        <v>375</v>
      </c>
      <c r="E44" s="82" t="s">
        <v>346</v>
      </c>
      <c r="F44" s="158">
        <v>24</v>
      </c>
      <c r="G44" s="159">
        <v>0</v>
      </c>
      <c r="H44" s="281">
        <f>COUNTIFS(缺陷明细!$A$2:$A$50000,$B$4,缺陷明细!$G$2:$G$50000,$C44,缺陷明细!$J$2:$J$50000,"评审",缺陷明细!$AB$2:$AB$50000,"&lt;&gt;丢弃",缺陷明细!$AB$2:$AB$50000,"&lt;&gt;设计如此",缺陷明细!$AB$2:$AB$50000,"&lt;&gt;重复Bug")</f>
        <v>0</v>
      </c>
      <c r="I44" s="154">
        <f>COUNTIFS(缺陷明细!$A$2:$A$50000,$B$4,缺陷明细!$G$2:$G$50000,$C44,缺陷明细!$Q$2:$Q$50000,"已关闭",缺陷明细!$J$2:$J$50000,"评审")</f>
        <v>0</v>
      </c>
      <c r="J44" s="154">
        <f>COUNTIFS(缺陷明细!$A$2:$A$50000,$B$4,缺陷明细!$G$2:$G$50000,$C44,缺陷明细!$J$2:$J$50000,"单元测试",缺陷明细!$AB$2:$AB$50000,"&lt;&gt;丢弃",缺陷明细!$AB$2:$AB$50000,"&lt;&gt;设计如此",缺陷明细!$AB$2:$AB$50000,"&lt;&gt;重复Bug")</f>
        <v>0</v>
      </c>
      <c r="K44" s="155">
        <f>COUNTIFS(缺陷明细!$A$2:$A$50000,$B$4,缺陷明细!$G$2:$G$50000,$C44,缺陷明细!$Q$2:$Q$50000,"已关闭",缺陷明细!$J$2:$J$50000,"单元测试")</f>
        <v>0</v>
      </c>
      <c r="L44" s="156"/>
      <c r="M44" s="157"/>
      <c r="N44" s="72">
        <f>COUNTIFS(缺陷明细!$A$2:$A$50000,$B$4,缺陷明细!$G$2:$G$50000,$C44,缺陷明细!$J$2:$J$50000,"系统测试案例评审",缺陷明细!$AB$2:$AB$50000,"&lt;&gt;丢弃",缺陷明细!$AB$2:$AB$50000,"&lt;&gt;设计如此",缺陷明细!$AB$2:$AB$50000,"&lt;&gt;重复Bug")</f>
        <v>0</v>
      </c>
      <c r="O44" s="72">
        <f>COUNTIFS(缺陷明细!$A$2:$A$50000,$B$4,缺陷明细!$G$2:$G$50000,$C44,缺陷明细!$Q$2:$Q$50000,"已关闭",缺陷明细!$J$2:$J$50000,"系统测试案例评审")</f>
        <v>0</v>
      </c>
      <c r="P44" s="72">
        <f>COUNTIFS(缺陷明细!$A$2:$A$50000,$B$4,缺陷明细!$G$2:$G$50000,$C44,缺陷明细!$J$2:$J$50000,"系统测试",缺陷明细!$AB$2:$AB$50000,"&lt;&gt;丢弃",缺陷明细!$AB$2:$AB$50000,"&lt;&gt;设计如此",缺陷明细!$AB$2:$AB$50000,"&lt;&gt;重复Bug")</f>
        <v>0</v>
      </c>
      <c r="Q44" s="72">
        <f>COUNTIFS(缺陷明细!$A$2:$A$50000,$B$4,缺陷明细!$G$2:$G$50000,$C44,缺陷明细!$Q$2:$Q$50000,"已关闭",缺陷明细!$J$2:$J$50000,"系统测试")</f>
        <v>0</v>
      </c>
      <c r="R44" s="296">
        <f>COUNTIFS(缺陷明细!$A$2:$A$50000,$B$4,缺陷明细!$G$2:$G$50000,$C44,缺陷明细!$AB$2:$AB$50000,"丢弃",缺陷明细!$J$2:$J$50000,"系统测试")+COUNTIFS(缺陷明细!$A$2:$A$50000,$B$4,缺陷明细!$G$2:$G$50000,$C44,缺陷明细!$AB$2:$AB$50000,"设计如此",缺陷明细!$J$2:$J$50000,"系统测试")+COUNTIFS(缺陷明细!$A$2:$A$50000,$B$4,缺陷明细!$G$2:$G$50000,$C44,缺陷明细!$AB$2:$AB$50000,"重复Bug",缺陷明细!$J$2:$J$50000,"系统测试")</f>
        <v>0</v>
      </c>
      <c r="S44" s="72">
        <f>COUNTIFS(缺陷明细!$A$2:$A$50000,$B$4,缺陷明细!$G$2:$G$50000,$C44,缺陷明细!$J$2:$J$50000,"系统测试",缺陷明细!$K$2:$K$50000,"致命",缺陷明细!$AB$2:$AB$50000,"&lt;&gt;丢弃",缺陷明细!$AB$2:$AB$50000,"&lt;&gt;设计如此",缺陷明细!$AB$2:$AB$50000,"&lt;&gt;重复Bug")+COUNTIFS(缺陷明细!$A$2:$A$50000,$B$4,缺陷明细!$G$2:$G$50000,$C44,缺陷明细!$J$2:$J$50000,"系统测试",缺陷明细!$K$2:$K$50000,"严重",缺陷明细!$AB$2:$AB$50000,"&lt;&gt;丢弃",缺陷明细!$AB$2:$AB$50000,"&lt;&gt;设计如此",缺陷明细!$AB$2:$AB$50000,"&lt;&gt;重复Bug")</f>
        <v>0</v>
      </c>
      <c r="T44" s="73">
        <f>COUNTIFS(缺陷明细!$A$2:$A$50000,$B$4,缺陷明细!$G$2:$G$50000,$C44,缺陷明细!$Q$2:$Q$50000,"已关闭",缺陷明细!$J$2:$J$50000,"系统测试",缺陷明细!$K$2:$K$50000,"致命")+COUNTIFS(缺陷明细!$A$2:$A$50000,$B$4,缺陷明细!$G$2:$G$50000,$C44,缺陷明细!$Q$2:$Q$50000,"已关闭",缺陷明细!$J$2:$J$50000,"系统测试",缺陷明细!$K$2:$K$50000,"严重")</f>
        <v>0</v>
      </c>
      <c r="U44" s="74">
        <f>COUNTIFS(缺陷明细!$A$2:$A$50000,$B$4,缺陷明细!$G$2:$G$50000,$C44,缺陷明细!$J$2:$J$50000,"验收测试",缺陷明细!$AB$2:$AB$50000,"&lt;&gt;丢弃",缺陷明细!$AB$2:$AB$50000,"&lt;&gt;设计如此",缺陷明细!$AB$2:$AB$50000,"&lt;&gt;重复Bug")</f>
        <v>0</v>
      </c>
      <c r="V44" s="75">
        <f>COUNTIFS(缺陷明细!$A$2:$A$50000,$B$4,缺陷明细!$G$2:$G$50000,$C44,缺陷明细!$Q$2:$Q$50000,"已关闭",缺陷明细!$J$2:$J$50000,"验收测试")</f>
        <v>0</v>
      </c>
      <c r="W44" s="75">
        <f>COUNTIFS(缺陷明细!$A$2:$A$50000,$B$4,缺陷明细!$G$2:$G$50000,$C44,缺陷明细!$J$2:$J$50000,"验收测试",缺陷明细!$K$2:$K$50000,"致命",缺陷明细!$AB$2:$AB$50000,"&lt;&gt;丢弃",缺陷明细!$AB$2:$AB$50000,"&lt;&gt;设计如此",缺陷明细!$AB$2:$AB$50000,"&lt;&gt;重复Bug")+COUNTIFS(缺陷明细!$A$2:$A$50000,$B$4,缺陷明细!$G$2:$G$50000,$C44,缺陷明细!$J$2:$J$50000,"验收测试",缺陷明细!$K$2:$K$50000,"严重",缺陷明细!$AB$2:$AB$50000,"&lt;&gt;丢弃",缺陷明细!$AB$2:$AB$50000,"&lt;&gt;设计如此",缺陷明细!$AB$2:$AB$50000,"&lt;&gt;重复Bug")</f>
        <v>0</v>
      </c>
      <c r="X44" s="76">
        <f>COUNTIFS(缺陷明细!$A$2:$A$50000,$B$4,缺陷明细!$G$2:$G$50000,$C44,缺陷明细!$Q$2:$Q$50000,"已关闭",缺陷明细!$J$2:$J$50000,"验收测试",缺陷明细!$K$2:$K$50000,"致命")+COUNTIFS(缺陷明细!$A$2:$A$50000,$B$4,缺陷明细!$G$2:$G$50000,$C44,缺陷明细!$Q$2:$Q$50000,"已关闭",缺陷明细!$J$2:$J$50000,"验收测试",缺陷明细!$K$2:$K$50000,"严重")</f>
        <v>0</v>
      </c>
      <c r="Y44" s="70">
        <f>COUNTIFS(缺陷明细!$A$2:$A$50000,$B$4,缺陷明细!$G$2:$G$50000,$C44,缺陷明细!$J$2:$J$50000,"运维测试",缺陷明细!$AB$2:$AB$50000,"&lt;&gt;丢弃",缺陷明细!$AB$2:$AB$50000,"&lt;&gt;设计如此",缺陷明细!$AB$2:$AB$50000,"&lt;&gt;重复Bug")</f>
        <v>0</v>
      </c>
      <c r="Z44" s="71">
        <f>COUNTIFS(缺陷明细!$A$2:$A$50000,$B$4,缺陷明细!$G$2:$G$50000,$C44,缺陷明细!$Q$2:$Q$50000,"已关闭",缺陷明细!$J$2:$J$50000,"运维测试")</f>
        <v>0</v>
      </c>
      <c r="AA44" s="72">
        <f>COUNTIFS(缺陷明细!$A$2:$A$50000,$B$4,缺陷明细!$G$2:$G$50000,$C44,缺陷明细!$J$2:$J$50000,"运维测试",缺陷明细!$K$2:$K$50000,"致命",缺陷明细!$AB$2:$AB$50000,"&lt;&gt;丢弃",缺陷明细!$AB$2:$AB$50000,"&lt;&gt;设计如此",缺陷明细!$AB$2:$AB$50000,"&lt;&gt;重复Bug")+COUNTIFS(缺陷明细!$A$2:$A$50000,$B$4,缺陷明细!$G$2:$G$50000,$C44,缺陷明细!$J$2:$J$50000,"运维测试",缺陷明细!$K$2:$K$50000,"严重",缺陷明细!$AB$2:$AB$50000,"&lt;&gt;丢弃",缺陷明细!$AB$2:$AB$50000,"&lt;&gt;设计如此",缺陷明细!$AB$2:$AB$50000,"&lt;&gt;重复Bug")</f>
        <v>0</v>
      </c>
      <c r="AB44" s="73">
        <f>COUNTIFS(缺陷明细!$A$2:$A$50000,$B$4,缺陷明细!$G$2:$G$50000,$C44,缺陷明细!$Q$2:$Q$50000,"已关闭",缺陷明细!$J$2:$J$50000,"运维测试",缺陷明细!$K$2:$K$50000,"致命")+COUNTIFS(缺陷明细!$A$2:$A$50000,$B$4,缺陷明细!$G$2:$G$50000,$C44,缺陷明细!$Q$2:$Q$50000,"已关闭",缺陷明细!$J$2:$J$50000,"运维测试",缺陷明细!$K$2:$K$50000,"严重")</f>
        <v>0</v>
      </c>
      <c r="AC44" s="68">
        <f t="shared" si="0"/>
        <v>0</v>
      </c>
      <c r="AD44" s="60">
        <f t="shared" si="0"/>
        <v>0</v>
      </c>
      <c r="AE44" s="60">
        <f t="shared" si="1"/>
        <v>0</v>
      </c>
      <c r="AF44" s="60">
        <f t="shared" si="1"/>
        <v>0</v>
      </c>
      <c r="AG44" s="60">
        <f t="shared" si="2"/>
        <v>0</v>
      </c>
      <c r="AH44" s="60">
        <f t="shared" si="2"/>
        <v>0</v>
      </c>
      <c r="AI44" s="60">
        <f t="shared" si="3"/>
        <v>0</v>
      </c>
      <c r="AJ44" s="61">
        <f t="shared" si="3"/>
        <v>0</v>
      </c>
      <c r="AK44" s="144"/>
    </row>
    <row r="45" spans="1:37">
      <c r="A45">
        <v>41</v>
      </c>
      <c r="B45" s="57">
        <v>504</v>
      </c>
      <c r="C45" s="58" t="s">
        <v>386</v>
      </c>
      <c r="D45" s="84" t="s">
        <v>343</v>
      </c>
      <c r="E45" s="82" t="s">
        <v>346</v>
      </c>
      <c r="F45" s="158">
        <v>8</v>
      </c>
      <c r="G45" s="159">
        <v>8</v>
      </c>
      <c r="H45" s="281">
        <f>COUNTIFS(缺陷明细!$A$2:$A$50000,$B$4,缺陷明细!$G$2:$G$50000,$C45,缺陷明细!$J$2:$J$50000,"评审",缺陷明细!$AB$2:$AB$50000,"&lt;&gt;丢弃",缺陷明细!$AB$2:$AB$50000,"&lt;&gt;设计如此",缺陷明细!$AB$2:$AB$50000,"&lt;&gt;重复Bug")</f>
        <v>0</v>
      </c>
      <c r="I45" s="154">
        <f>COUNTIFS(缺陷明细!$A$2:$A$50000,$B$4,缺陷明细!$G$2:$G$50000,$C45,缺陷明细!$Q$2:$Q$50000,"已关闭",缺陷明细!$J$2:$J$50000,"评审")</f>
        <v>0</v>
      </c>
      <c r="J45" s="154">
        <f>COUNTIFS(缺陷明细!$A$2:$A$50000,$B$4,缺陷明细!$G$2:$G$50000,$C45,缺陷明细!$J$2:$J$50000,"单元测试",缺陷明细!$AB$2:$AB$50000,"&lt;&gt;丢弃",缺陷明细!$AB$2:$AB$50000,"&lt;&gt;设计如此",缺陷明细!$AB$2:$AB$50000,"&lt;&gt;重复Bug")</f>
        <v>0</v>
      </c>
      <c r="K45" s="155">
        <f>COUNTIFS(缺陷明细!$A$2:$A$50000,$B$4,缺陷明细!$G$2:$G$50000,$C45,缺陷明细!$Q$2:$Q$50000,"已关闭",缺陷明细!$J$2:$J$50000,"单元测试")</f>
        <v>0</v>
      </c>
      <c r="L45" s="156"/>
      <c r="M45" s="157"/>
      <c r="N45" s="72">
        <f>COUNTIFS(缺陷明细!$A$2:$A$50000,$B$4,缺陷明细!$G$2:$G$50000,$C45,缺陷明细!$J$2:$J$50000,"系统测试案例评审",缺陷明细!$AB$2:$AB$50000,"&lt;&gt;丢弃",缺陷明细!$AB$2:$AB$50000,"&lt;&gt;设计如此",缺陷明细!$AB$2:$AB$50000,"&lt;&gt;重复Bug")</f>
        <v>0</v>
      </c>
      <c r="O45" s="72">
        <f>COUNTIFS(缺陷明细!$A$2:$A$50000,$B$4,缺陷明细!$G$2:$G$50000,$C45,缺陷明细!$Q$2:$Q$50000,"已关闭",缺陷明细!$J$2:$J$50000,"系统测试案例评审")</f>
        <v>0</v>
      </c>
      <c r="P45" s="72">
        <f>COUNTIFS(缺陷明细!$A$2:$A$50000,$B$4,缺陷明细!$G$2:$G$50000,$C45,缺陷明细!$J$2:$J$50000,"系统测试",缺陷明细!$AB$2:$AB$50000,"&lt;&gt;丢弃",缺陷明细!$AB$2:$AB$50000,"&lt;&gt;设计如此",缺陷明细!$AB$2:$AB$50000,"&lt;&gt;重复Bug")</f>
        <v>0</v>
      </c>
      <c r="Q45" s="72">
        <f>COUNTIFS(缺陷明细!$A$2:$A$50000,$B$4,缺陷明细!$G$2:$G$50000,$C45,缺陷明细!$Q$2:$Q$50000,"已关闭",缺陷明细!$J$2:$J$50000,"系统测试")</f>
        <v>0</v>
      </c>
      <c r="R45" s="296">
        <f>COUNTIFS(缺陷明细!$A$2:$A$50000,$B$4,缺陷明细!$G$2:$G$50000,$C45,缺陷明细!$AB$2:$AB$50000,"丢弃",缺陷明细!$J$2:$J$50000,"系统测试")+COUNTIFS(缺陷明细!$A$2:$A$50000,$B$4,缺陷明细!$G$2:$G$50000,$C45,缺陷明细!$AB$2:$AB$50000,"设计如此",缺陷明细!$J$2:$J$50000,"系统测试")+COUNTIFS(缺陷明细!$A$2:$A$50000,$B$4,缺陷明细!$G$2:$G$50000,$C45,缺陷明细!$AB$2:$AB$50000,"重复Bug",缺陷明细!$J$2:$J$50000,"系统测试")</f>
        <v>0</v>
      </c>
      <c r="S45" s="72">
        <f>COUNTIFS(缺陷明细!$A$2:$A$50000,$B$4,缺陷明细!$G$2:$G$50000,$C45,缺陷明细!$J$2:$J$50000,"系统测试",缺陷明细!$K$2:$K$50000,"致命",缺陷明细!$AB$2:$AB$50000,"&lt;&gt;丢弃",缺陷明细!$AB$2:$AB$50000,"&lt;&gt;设计如此",缺陷明细!$AB$2:$AB$50000,"&lt;&gt;重复Bug")+COUNTIFS(缺陷明细!$A$2:$A$50000,$B$4,缺陷明细!$G$2:$G$50000,$C45,缺陷明细!$J$2:$J$50000,"系统测试",缺陷明细!$K$2:$K$50000,"严重",缺陷明细!$AB$2:$AB$50000,"&lt;&gt;丢弃",缺陷明细!$AB$2:$AB$50000,"&lt;&gt;设计如此",缺陷明细!$AB$2:$AB$50000,"&lt;&gt;重复Bug")</f>
        <v>0</v>
      </c>
      <c r="T45" s="73">
        <f>COUNTIFS(缺陷明细!$A$2:$A$50000,$B$4,缺陷明细!$G$2:$G$50000,$C45,缺陷明细!$Q$2:$Q$50000,"已关闭",缺陷明细!$J$2:$J$50000,"系统测试",缺陷明细!$K$2:$K$50000,"致命")+COUNTIFS(缺陷明细!$A$2:$A$50000,$B$4,缺陷明细!$G$2:$G$50000,$C45,缺陷明细!$Q$2:$Q$50000,"已关闭",缺陷明细!$J$2:$J$50000,"系统测试",缺陷明细!$K$2:$K$50000,"严重")</f>
        <v>0</v>
      </c>
      <c r="U45" s="74">
        <f>COUNTIFS(缺陷明细!$A$2:$A$50000,$B$4,缺陷明细!$G$2:$G$50000,$C45,缺陷明细!$J$2:$J$50000,"验收测试",缺陷明细!$AB$2:$AB$50000,"&lt;&gt;丢弃",缺陷明细!$AB$2:$AB$50000,"&lt;&gt;设计如此",缺陷明细!$AB$2:$AB$50000,"&lt;&gt;重复Bug")</f>
        <v>0</v>
      </c>
      <c r="V45" s="75">
        <f>COUNTIFS(缺陷明细!$A$2:$A$50000,$B$4,缺陷明细!$G$2:$G$50000,$C45,缺陷明细!$Q$2:$Q$50000,"已关闭",缺陷明细!$J$2:$J$50000,"验收测试")</f>
        <v>0</v>
      </c>
      <c r="W45" s="75">
        <f>COUNTIFS(缺陷明细!$A$2:$A$50000,$B$4,缺陷明细!$G$2:$G$50000,$C45,缺陷明细!$J$2:$J$50000,"验收测试",缺陷明细!$K$2:$K$50000,"致命",缺陷明细!$AB$2:$AB$50000,"&lt;&gt;丢弃",缺陷明细!$AB$2:$AB$50000,"&lt;&gt;设计如此",缺陷明细!$AB$2:$AB$50000,"&lt;&gt;重复Bug")+COUNTIFS(缺陷明细!$A$2:$A$50000,$B$4,缺陷明细!$G$2:$G$50000,$C45,缺陷明细!$J$2:$J$50000,"验收测试",缺陷明细!$K$2:$K$50000,"严重",缺陷明细!$AB$2:$AB$50000,"&lt;&gt;丢弃",缺陷明细!$AB$2:$AB$50000,"&lt;&gt;设计如此",缺陷明细!$AB$2:$AB$50000,"&lt;&gt;重复Bug")</f>
        <v>0</v>
      </c>
      <c r="X45" s="76">
        <f>COUNTIFS(缺陷明细!$A$2:$A$50000,$B$4,缺陷明细!$G$2:$G$50000,$C45,缺陷明细!$Q$2:$Q$50000,"已关闭",缺陷明细!$J$2:$J$50000,"验收测试",缺陷明细!$K$2:$K$50000,"致命")+COUNTIFS(缺陷明细!$A$2:$A$50000,$B$4,缺陷明细!$G$2:$G$50000,$C45,缺陷明细!$Q$2:$Q$50000,"已关闭",缺陷明细!$J$2:$J$50000,"验收测试",缺陷明细!$K$2:$K$50000,"严重")</f>
        <v>0</v>
      </c>
      <c r="Y45" s="70">
        <f>COUNTIFS(缺陷明细!$A$2:$A$50000,$B$4,缺陷明细!$G$2:$G$50000,$C45,缺陷明细!$J$2:$J$50000,"运维测试",缺陷明细!$AB$2:$AB$50000,"&lt;&gt;丢弃",缺陷明细!$AB$2:$AB$50000,"&lt;&gt;设计如此",缺陷明细!$AB$2:$AB$50000,"&lt;&gt;重复Bug")</f>
        <v>0</v>
      </c>
      <c r="Z45" s="71">
        <f>COUNTIFS(缺陷明细!$A$2:$A$50000,$B$4,缺陷明细!$G$2:$G$50000,$C45,缺陷明细!$Q$2:$Q$50000,"已关闭",缺陷明细!$J$2:$J$50000,"运维测试")</f>
        <v>0</v>
      </c>
      <c r="AA45" s="72">
        <f>COUNTIFS(缺陷明细!$A$2:$A$50000,$B$4,缺陷明细!$G$2:$G$50000,$C45,缺陷明细!$J$2:$J$50000,"运维测试",缺陷明细!$K$2:$K$50000,"致命",缺陷明细!$AB$2:$AB$50000,"&lt;&gt;丢弃",缺陷明细!$AB$2:$AB$50000,"&lt;&gt;设计如此",缺陷明细!$AB$2:$AB$50000,"&lt;&gt;重复Bug")+COUNTIFS(缺陷明细!$A$2:$A$50000,$B$4,缺陷明细!$G$2:$G$50000,$C45,缺陷明细!$J$2:$J$50000,"运维测试",缺陷明细!$K$2:$K$50000,"严重",缺陷明细!$AB$2:$AB$50000,"&lt;&gt;丢弃",缺陷明细!$AB$2:$AB$50000,"&lt;&gt;设计如此",缺陷明细!$AB$2:$AB$50000,"&lt;&gt;重复Bug")</f>
        <v>0</v>
      </c>
      <c r="AB45" s="73">
        <f>COUNTIFS(缺陷明细!$A$2:$A$50000,$B$4,缺陷明细!$G$2:$G$50000,$C45,缺陷明细!$Q$2:$Q$50000,"已关闭",缺陷明细!$J$2:$J$50000,"运维测试",缺陷明细!$K$2:$K$50000,"致命")+COUNTIFS(缺陷明细!$A$2:$A$50000,$B$4,缺陷明细!$G$2:$G$50000,$C45,缺陷明细!$Q$2:$Q$50000,"已关闭",缺陷明细!$J$2:$J$50000,"运维测试",缺陷明细!$K$2:$K$50000,"严重")</f>
        <v>0</v>
      </c>
      <c r="AC45" s="68">
        <f t="shared" si="0"/>
        <v>0</v>
      </c>
      <c r="AD45" s="60">
        <f t="shared" si="0"/>
        <v>0</v>
      </c>
      <c r="AE45" s="60">
        <f t="shared" si="1"/>
        <v>0</v>
      </c>
      <c r="AF45" s="60">
        <f t="shared" si="1"/>
        <v>0</v>
      </c>
      <c r="AG45" s="60">
        <f t="shared" si="2"/>
        <v>0</v>
      </c>
      <c r="AH45" s="60">
        <f t="shared" si="2"/>
        <v>0</v>
      </c>
      <c r="AI45" s="60">
        <f t="shared" si="3"/>
        <v>0</v>
      </c>
      <c r="AJ45" s="61">
        <f t="shared" si="3"/>
        <v>0</v>
      </c>
      <c r="AK45" s="144"/>
    </row>
    <row r="46" spans="1:37">
      <c r="A46">
        <v>42</v>
      </c>
      <c r="B46" s="57">
        <v>505</v>
      </c>
      <c r="C46" s="58" t="s">
        <v>387</v>
      </c>
      <c r="D46" s="84" t="s">
        <v>375</v>
      </c>
      <c r="E46" s="82" t="s">
        <v>346</v>
      </c>
      <c r="F46" s="158">
        <v>8</v>
      </c>
      <c r="G46" s="159">
        <v>8</v>
      </c>
      <c r="H46" s="281">
        <f>COUNTIFS(缺陷明细!$A$2:$A$50000,$B$4,缺陷明细!$G$2:$G$50000,$C46,缺陷明细!$J$2:$J$50000,"评审",缺陷明细!$AB$2:$AB$50000,"&lt;&gt;丢弃",缺陷明细!$AB$2:$AB$50000,"&lt;&gt;设计如此",缺陷明细!$AB$2:$AB$50000,"&lt;&gt;重复Bug")</f>
        <v>0</v>
      </c>
      <c r="I46" s="154">
        <f>COUNTIFS(缺陷明细!$A$2:$A$50000,$B$4,缺陷明细!$G$2:$G$50000,$C46,缺陷明细!$Q$2:$Q$50000,"已关闭",缺陷明细!$J$2:$J$50000,"评审")</f>
        <v>0</v>
      </c>
      <c r="J46" s="154">
        <f>COUNTIFS(缺陷明细!$A$2:$A$50000,$B$4,缺陷明细!$G$2:$G$50000,$C46,缺陷明细!$J$2:$J$50000,"单元测试",缺陷明细!$AB$2:$AB$50000,"&lt;&gt;丢弃",缺陷明细!$AB$2:$AB$50000,"&lt;&gt;设计如此",缺陷明细!$AB$2:$AB$50000,"&lt;&gt;重复Bug")</f>
        <v>0</v>
      </c>
      <c r="K46" s="155">
        <f>COUNTIFS(缺陷明细!$A$2:$A$50000,$B$4,缺陷明细!$G$2:$G$50000,$C46,缺陷明细!$Q$2:$Q$50000,"已关闭",缺陷明细!$J$2:$J$50000,"单元测试")</f>
        <v>0</v>
      </c>
      <c r="L46" s="156"/>
      <c r="M46" s="157"/>
      <c r="N46" s="72">
        <f>COUNTIFS(缺陷明细!$A$2:$A$50000,$B$4,缺陷明细!$G$2:$G$50000,$C46,缺陷明细!$J$2:$J$50000,"系统测试案例评审",缺陷明细!$AB$2:$AB$50000,"&lt;&gt;丢弃",缺陷明细!$AB$2:$AB$50000,"&lt;&gt;设计如此",缺陷明细!$AB$2:$AB$50000,"&lt;&gt;重复Bug")</f>
        <v>0</v>
      </c>
      <c r="O46" s="72">
        <f>COUNTIFS(缺陷明细!$A$2:$A$50000,$B$4,缺陷明细!$G$2:$G$50000,$C46,缺陷明细!$Q$2:$Q$50000,"已关闭",缺陷明细!$J$2:$J$50000,"系统测试案例评审")</f>
        <v>0</v>
      </c>
      <c r="P46" s="72">
        <f>COUNTIFS(缺陷明细!$A$2:$A$50000,$B$4,缺陷明细!$G$2:$G$50000,$C46,缺陷明细!$J$2:$J$50000,"系统测试",缺陷明细!$AB$2:$AB$50000,"&lt;&gt;丢弃",缺陷明细!$AB$2:$AB$50000,"&lt;&gt;设计如此",缺陷明细!$AB$2:$AB$50000,"&lt;&gt;重复Bug")</f>
        <v>0</v>
      </c>
      <c r="Q46" s="72">
        <f>COUNTIFS(缺陷明细!$A$2:$A$50000,$B$4,缺陷明细!$G$2:$G$50000,$C46,缺陷明细!$Q$2:$Q$50000,"已关闭",缺陷明细!$J$2:$J$50000,"系统测试")</f>
        <v>0</v>
      </c>
      <c r="R46" s="296">
        <f>COUNTIFS(缺陷明细!$A$2:$A$50000,$B$4,缺陷明细!$G$2:$G$50000,$C46,缺陷明细!$AB$2:$AB$50000,"丢弃",缺陷明细!$J$2:$J$50000,"系统测试")+COUNTIFS(缺陷明细!$A$2:$A$50000,$B$4,缺陷明细!$G$2:$G$50000,$C46,缺陷明细!$AB$2:$AB$50000,"设计如此",缺陷明细!$J$2:$J$50000,"系统测试")+COUNTIFS(缺陷明细!$A$2:$A$50000,$B$4,缺陷明细!$G$2:$G$50000,$C46,缺陷明细!$AB$2:$AB$50000,"重复Bug",缺陷明细!$J$2:$J$50000,"系统测试")</f>
        <v>0</v>
      </c>
      <c r="S46" s="72">
        <f>COUNTIFS(缺陷明细!$A$2:$A$50000,$B$4,缺陷明细!$G$2:$G$50000,$C46,缺陷明细!$J$2:$J$50000,"系统测试",缺陷明细!$K$2:$K$50000,"致命",缺陷明细!$AB$2:$AB$50000,"&lt;&gt;丢弃",缺陷明细!$AB$2:$AB$50000,"&lt;&gt;设计如此",缺陷明细!$AB$2:$AB$50000,"&lt;&gt;重复Bug")+COUNTIFS(缺陷明细!$A$2:$A$50000,$B$4,缺陷明细!$G$2:$G$50000,$C46,缺陷明细!$J$2:$J$50000,"系统测试",缺陷明细!$K$2:$K$50000,"严重",缺陷明细!$AB$2:$AB$50000,"&lt;&gt;丢弃",缺陷明细!$AB$2:$AB$50000,"&lt;&gt;设计如此",缺陷明细!$AB$2:$AB$50000,"&lt;&gt;重复Bug")</f>
        <v>0</v>
      </c>
      <c r="T46" s="73">
        <f>COUNTIFS(缺陷明细!$A$2:$A$50000,$B$4,缺陷明细!$G$2:$G$50000,$C46,缺陷明细!$Q$2:$Q$50000,"已关闭",缺陷明细!$J$2:$J$50000,"系统测试",缺陷明细!$K$2:$K$50000,"致命")+COUNTIFS(缺陷明细!$A$2:$A$50000,$B$4,缺陷明细!$G$2:$G$50000,$C46,缺陷明细!$Q$2:$Q$50000,"已关闭",缺陷明细!$J$2:$J$50000,"系统测试",缺陷明细!$K$2:$K$50000,"严重")</f>
        <v>0</v>
      </c>
      <c r="U46" s="74">
        <f>COUNTIFS(缺陷明细!$A$2:$A$50000,$B$4,缺陷明细!$G$2:$G$50000,$C46,缺陷明细!$J$2:$J$50000,"验收测试",缺陷明细!$AB$2:$AB$50000,"&lt;&gt;丢弃",缺陷明细!$AB$2:$AB$50000,"&lt;&gt;设计如此",缺陷明细!$AB$2:$AB$50000,"&lt;&gt;重复Bug")</f>
        <v>0</v>
      </c>
      <c r="V46" s="75">
        <f>COUNTIFS(缺陷明细!$A$2:$A$50000,$B$4,缺陷明细!$G$2:$G$50000,$C46,缺陷明细!$Q$2:$Q$50000,"已关闭",缺陷明细!$J$2:$J$50000,"验收测试")</f>
        <v>0</v>
      </c>
      <c r="W46" s="75">
        <f>COUNTIFS(缺陷明细!$A$2:$A$50000,$B$4,缺陷明细!$G$2:$G$50000,$C46,缺陷明细!$J$2:$J$50000,"验收测试",缺陷明细!$K$2:$K$50000,"致命",缺陷明细!$AB$2:$AB$50000,"&lt;&gt;丢弃",缺陷明细!$AB$2:$AB$50000,"&lt;&gt;设计如此",缺陷明细!$AB$2:$AB$50000,"&lt;&gt;重复Bug")+COUNTIFS(缺陷明细!$A$2:$A$50000,$B$4,缺陷明细!$G$2:$G$50000,$C46,缺陷明细!$J$2:$J$50000,"验收测试",缺陷明细!$K$2:$K$50000,"严重",缺陷明细!$AB$2:$AB$50000,"&lt;&gt;丢弃",缺陷明细!$AB$2:$AB$50000,"&lt;&gt;设计如此",缺陷明细!$AB$2:$AB$50000,"&lt;&gt;重复Bug")</f>
        <v>0</v>
      </c>
      <c r="X46" s="76">
        <f>COUNTIFS(缺陷明细!$A$2:$A$50000,$B$4,缺陷明细!$G$2:$G$50000,$C46,缺陷明细!$Q$2:$Q$50000,"已关闭",缺陷明细!$J$2:$J$50000,"验收测试",缺陷明细!$K$2:$K$50000,"致命")+COUNTIFS(缺陷明细!$A$2:$A$50000,$B$4,缺陷明细!$G$2:$G$50000,$C46,缺陷明细!$Q$2:$Q$50000,"已关闭",缺陷明细!$J$2:$J$50000,"验收测试",缺陷明细!$K$2:$K$50000,"严重")</f>
        <v>0</v>
      </c>
      <c r="Y46" s="70">
        <f>COUNTIFS(缺陷明细!$A$2:$A$50000,$B$4,缺陷明细!$G$2:$G$50000,$C46,缺陷明细!$J$2:$J$50000,"运维测试",缺陷明细!$AB$2:$AB$50000,"&lt;&gt;丢弃",缺陷明细!$AB$2:$AB$50000,"&lt;&gt;设计如此",缺陷明细!$AB$2:$AB$50000,"&lt;&gt;重复Bug")</f>
        <v>0</v>
      </c>
      <c r="Z46" s="71">
        <f>COUNTIFS(缺陷明细!$A$2:$A$50000,$B$4,缺陷明细!$G$2:$G$50000,$C46,缺陷明细!$Q$2:$Q$50000,"已关闭",缺陷明细!$J$2:$J$50000,"运维测试")</f>
        <v>0</v>
      </c>
      <c r="AA46" s="72">
        <f>COUNTIFS(缺陷明细!$A$2:$A$50000,$B$4,缺陷明细!$G$2:$G$50000,$C46,缺陷明细!$J$2:$J$50000,"运维测试",缺陷明细!$K$2:$K$50000,"致命",缺陷明细!$AB$2:$AB$50000,"&lt;&gt;丢弃",缺陷明细!$AB$2:$AB$50000,"&lt;&gt;设计如此",缺陷明细!$AB$2:$AB$50000,"&lt;&gt;重复Bug")+COUNTIFS(缺陷明细!$A$2:$A$50000,$B$4,缺陷明细!$G$2:$G$50000,$C46,缺陷明细!$J$2:$J$50000,"运维测试",缺陷明细!$K$2:$K$50000,"严重",缺陷明细!$AB$2:$AB$50000,"&lt;&gt;丢弃",缺陷明细!$AB$2:$AB$50000,"&lt;&gt;设计如此",缺陷明细!$AB$2:$AB$50000,"&lt;&gt;重复Bug")</f>
        <v>0</v>
      </c>
      <c r="AB46" s="73">
        <f>COUNTIFS(缺陷明细!$A$2:$A$50000,$B$4,缺陷明细!$G$2:$G$50000,$C46,缺陷明细!$Q$2:$Q$50000,"已关闭",缺陷明细!$J$2:$J$50000,"运维测试",缺陷明细!$K$2:$K$50000,"致命")+COUNTIFS(缺陷明细!$A$2:$A$50000,$B$4,缺陷明细!$G$2:$G$50000,$C46,缺陷明细!$Q$2:$Q$50000,"已关闭",缺陷明细!$J$2:$J$50000,"运维测试",缺陷明细!$K$2:$K$50000,"严重")</f>
        <v>0</v>
      </c>
      <c r="AC46" s="68">
        <f t="shared" si="0"/>
        <v>0</v>
      </c>
      <c r="AD46" s="60">
        <f t="shared" si="0"/>
        <v>0</v>
      </c>
      <c r="AE46" s="60">
        <f t="shared" si="1"/>
        <v>0</v>
      </c>
      <c r="AF46" s="60">
        <f t="shared" si="1"/>
        <v>0</v>
      </c>
      <c r="AG46" s="60">
        <f t="shared" si="2"/>
        <v>0</v>
      </c>
      <c r="AH46" s="60">
        <f t="shared" si="2"/>
        <v>0</v>
      </c>
      <c r="AI46" s="60">
        <f t="shared" si="3"/>
        <v>0</v>
      </c>
      <c r="AJ46" s="61">
        <f t="shared" si="3"/>
        <v>0</v>
      </c>
      <c r="AK46" s="144"/>
    </row>
    <row r="47" spans="1:37">
      <c r="A47">
        <v>43</v>
      </c>
      <c r="B47" s="57">
        <v>506</v>
      </c>
      <c r="C47" s="58" t="s">
        <v>388</v>
      </c>
      <c r="D47" s="84" t="s">
        <v>343</v>
      </c>
      <c r="E47" s="82" t="s">
        <v>344</v>
      </c>
      <c r="F47" s="158">
        <v>24</v>
      </c>
      <c r="G47" s="159">
        <v>0</v>
      </c>
      <c r="H47" s="281">
        <f>COUNTIFS(缺陷明细!$A$2:$A$50000,$B$4,缺陷明细!$G$2:$G$50000,$C47,缺陷明细!$J$2:$J$50000,"评审",缺陷明细!$AB$2:$AB$50000,"&lt;&gt;丢弃",缺陷明细!$AB$2:$AB$50000,"&lt;&gt;设计如此",缺陷明细!$AB$2:$AB$50000,"&lt;&gt;重复Bug")</f>
        <v>0</v>
      </c>
      <c r="I47" s="154">
        <f>COUNTIFS(缺陷明细!$A$2:$A$50000,$B$4,缺陷明细!$G$2:$G$50000,$C47,缺陷明细!$Q$2:$Q$50000,"已关闭",缺陷明细!$J$2:$J$50000,"评审")</f>
        <v>0</v>
      </c>
      <c r="J47" s="154">
        <f>COUNTIFS(缺陷明细!$A$2:$A$50000,$B$4,缺陷明细!$G$2:$G$50000,$C47,缺陷明细!$J$2:$J$50000,"单元测试",缺陷明细!$AB$2:$AB$50000,"&lt;&gt;丢弃",缺陷明细!$AB$2:$AB$50000,"&lt;&gt;设计如此",缺陷明细!$AB$2:$AB$50000,"&lt;&gt;重复Bug")</f>
        <v>0</v>
      </c>
      <c r="K47" s="155">
        <f>COUNTIFS(缺陷明细!$A$2:$A$50000,$B$4,缺陷明细!$G$2:$G$50000,$C47,缺陷明细!$Q$2:$Q$50000,"已关闭",缺陷明细!$J$2:$J$50000,"单元测试")</f>
        <v>0</v>
      </c>
      <c r="L47" s="156"/>
      <c r="M47" s="157"/>
      <c r="N47" s="72">
        <f>COUNTIFS(缺陷明细!$A$2:$A$50000,$B$4,缺陷明细!$G$2:$G$50000,$C47,缺陷明细!$J$2:$J$50000,"系统测试案例评审",缺陷明细!$AB$2:$AB$50000,"&lt;&gt;丢弃",缺陷明细!$AB$2:$AB$50000,"&lt;&gt;设计如此",缺陷明细!$AB$2:$AB$50000,"&lt;&gt;重复Bug")</f>
        <v>0</v>
      </c>
      <c r="O47" s="72">
        <f>COUNTIFS(缺陷明细!$A$2:$A$50000,$B$4,缺陷明细!$G$2:$G$50000,$C47,缺陷明细!$Q$2:$Q$50000,"已关闭",缺陷明细!$J$2:$J$50000,"系统测试案例评审")</f>
        <v>0</v>
      </c>
      <c r="P47" s="72">
        <f>COUNTIFS(缺陷明细!$A$2:$A$50000,$B$4,缺陷明细!$G$2:$G$50000,$C47,缺陷明细!$J$2:$J$50000,"系统测试",缺陷明细!$AB$2:$AB$50000,"&lt;&gt;丢弃",缺陷明细!$AB$2:$AB$50000,"&lt;&gt;设计如此",缺陷明细!$AB$2:$AB$50000,"&lt;&gt;重复Bug")</f>
        <v>0</v>
      </c>
      <c r="Q47" s="72">
        <f>COUNTIFS(缺陷明细!$A$2:$A$50000,$B$4,缺陷明细!$G$2:$G$50000,$C47,缺陷明细!$Q$2:$Q$50000,"已关闭",缺陷明细!$J$2:$J$50000,"系统测试")</f>
        <v>0</v>
      </c>
      <c r="R47" s="296">
        <f>COUNTIFS(缺陷明细!$A$2:$A$50000,$B$4,缺陷明细!$G$2:$G$50000,$C47,缺陷明细!$AB$2:$AB$50000,"丢弃",缺陷明细!$J$2:$J$50000,"系统测试")+COUNTIFS(缺陷明细!$A$2:$A$50000,$B$4,缺陷明细!$G$2:$G$50000,$C47,缺陷明细!$AB$2:$AB$50000,"设计如此",缺陷明细!$J$2:$J$50000,"系统测试")+COUNTIFS(缺陷明细!$A$2:$A$50000,$B$4,缺陷明细!$G$2:$G$50000,$C47,缺陷明细!$AB$2:$AB$50000,"重复Bug",缺陷明细!$J$2:$J$50000,"系统测试")</f>
        <v>0</v>
      </c>
      <c r="S47" s="72">
        <f>COUNTIFS(缺陷明细!$A$2:$A$50000,$B$4,缺陷明细!$G$2:$G$50000,$C47,缺陷明细!$J$2:$J$50000,"系统测试",缺陷明细!$K$2:$K$50000,"致命",缺陷明细!$AB$2:$AB$50000,"&lt;&gt;丢弃",缺陷明细!$AB$2:$AB$50000,"&lt;&gt;设计如此",缺陷明细!$AB$2:$AB$50000,"&lt;&gt;重复Bug")+COUNTIFS(缺陷明细!$A$2:$A$50000,$B$4,缺陷明细!$G$2:$G$50000,$C47,缺陷明细!$J$2:$J$50000,"系统测试",缺陷明细!$K$2:$K$50000,"严重",缺陷明细!$AB$2:$AB$50000,"&lt;&gt;丢弃",缺陷明细!$AB$2:$AB$50000,"&lt;&gt;设计如此",缺陷明细!$AB$2:$AB$50000,"&lt;&gt;重复Bug")</f>
        <v>0</v>
      </c>
      <c r="T47" s="73">
        <f>COUNTIFS(缺陷明细!$A$2:$A$50000,$B$4,缺陷明细!$G$2:$G$50000,$C47,缺陷明细!$Q$2:$Q$50000,"已关闭",缺陷明细!$J$2:$J$50000,"系统测试",缺陷明细!$K$2:$K$50000,"致命")+COUNTIFS(缺陷明细!$A$2:$A$50000,$B$4,缺陷明细!$G$2:$G$50000,$C47,缺陷明细!$Q$2:$Q$50000,"已关闭",缺陷明细!$J$2:$J$50000,"系统测试",缺陷明细!$K$2:$K$50000,"严重")</f>
        <v>0</v>
      </c>
      <c r="U47" s="74">
        <f>COUNTIFS(缺陷明细!$A$2:$A$50000,$B$4,缺陷明细!$G$2:$G$50000,$C47,缺陷明细!$J$2:$J$50000,"验收测试",缺陷明细!$AB$2:$AB$50000,"&lt;&gt;丢弃",缺陷明细!$AB$2:$AB$50000,"&lt;&gt;设计如此",缺陷明细!$AB$2:$AB$50000,"&lt;&gt;重复Bug")</f>
        <v>0</v>
      </c>
      <c r="V47" s="75">
        <f>COUNTIFS(缺陷明细!$A$2:$A$50000,$B$4,缺陷明细!$G$2:$G$50000,$C47,缺陷明细!$Q$2:$Q$50000,"已关闭",缺陷明细!$J$2:$J$50000,"验收测试")</f>
        <v>0</v>
      </c>
      <c r="W47" s="75">
        <f>COUNTIFS(缺陷明细!$A$2:$A$50000,$B$4,缺陷明细!$G$2:$G$50000,$C47,缺陷明细!$J$2:$J$50000,"验收测试",缺陷明细!$K$2:$K$50000,"致命",缺陷明细!$AB$2:$AB$50000,"&lt;&gt;丢弃",缺陷明细!$AB$2:$AB$50000,"&lt;&gt;设计如此",缺陷明细!$AB$2:$AB$50000,"&lt;&gt;重复Bug")+COUNTIFS(缺陷明细!$A$2:$A$50000,$B$4,缺陷明细!$G$2:$G$50000,$C47,缺陷明细!$J$2:$J$50000,"验收测试",缺陷明细!$K$2:$K$50000,"严重",缺陷明细!$AB$2:$AB$50000,"&lt;&gt;丢弃",缺陷明细!$AB$2:$AB$50000,"&lt;&gt;设计如此",缺陷明细!$AB$2:$AB$50000,"&lt;&gt;重复Bug")</f>
        <v>0</v>
      </c>
      <c r="X47" s="76">
        <f>COUNTIFS(缺陷明细!$A$2:$A$50000,$B$4,缺陷明细!$G$2:$G$50000,$C47,缺陷明细!$Q$2:$Q$50000,"已关闭",缺陷明细!$J$2:$J$50000,"验收测试",缺陷明细!$K$2:$K$50000,"致命")+COUNTIFS(缺陷明细!$A$2:$A$50000,$B$4,缺陷明细!$G$2:$G$50000,$C47,缺陷明细!$Q$2:$Q$50000,"已关闭",缺陷明细!$J$2:$J$50000,"验收测试",缺陷明细!$K$2:$K$50000,"严重")</f>
        <v>0</v>
      </c>
      <c r="Y47" s="70">
        <f>COUNTIFS(缺陷明细!$A$2:$A$50000,$B$4,缺陷明细!$G$2:$G$50000,$C47,缺陷明细!$J$2:$J$50000,"运维测试",缺陷明细!$AB$2:$AB$50000,"&lt;&gt;丢弃",缺陷明细!$AB$2:$AB$50000,"&lt;&gt;设计如此",缺陷明细!$AB$2:$AB$50000,"&lt;&gt;重复Bug")</f>
        <v>0</v>
      </c>
      <c r="Z47" s="71">
        <f>COUNTIFS(缺陷明细!$A$2:$A$50000,$B$4,缺陷明细!$G$2:$G$50000,$C47,缺陷明细!$Q$2:$Q$50000,"已关闭",缺陷明细!$J$2:$J$50000,"运维测试")</f>
        <v>0</v>
      </c>
      <c r="AA47" s="72">
        <f>COUNTIFS(缺陷明细!$A$2:$A$50000,$B$4,缺陷明细!$G$2:$G$50000,$C47,缺陷明细!$J$2:$J$50000,"运维测试",缺陷明细!$K$2:$K$50000,"致命",缺陷明细!$AB$2:$AB$50000,"&lt;&gt;丢弃",缺陷明细!$AB$2:$AB$50000,"&lt;&gt;设计如此",缺陷明细!$AB$2:$AB$50000,"&lt;&gt;重复Bug")+COUNTIFS(缺陷明细!$A$2:$A$50000,$B$4,缺陷明细!$G$2:$G$50000,$C47,缺陷明细!$J$2:$J$50000,"运维测试",缺陷明细!$K$2:$K$50000,"严重",缺陷明细!$AB$2:$AB$50000,"&lt;&gt;丢弃",缺陷明细!$AB$2:$AB$50000,"&lt;&gt;设计如此",缺陷明细!$AB$2:$AB$50000,"&lt;&gt;重复Bug")</f>
        <v>0</v>
      </c>
      <c r="AB47" s="73">
        <f>COUNTIFS(缺陷明细!$A$2:$A$50000,$B$4,缺陷明细!$G$2:$G$50000,$C47,缺陷明细!$Q$2:$Q$50000,"已关闭",缺陷明细!$J$2:$J$50000,"运维测试",缺陷明细!$K$2:$K$50000,"致命")+COUNTIFS(缺陷明细!$A$2:$A$50000,$B$4,缺陷明细!$G$2:$G$50000,$C47,缺陷明细!$Q$2:$Q$50000,"已关闭",缺陷明细!$J$2:$J$50000,"运维测试",缺陷明细!$K$2:$K$50000,"严重")</f>
        <v>0</v>
      </c>
      <c r="AC47" s="68">
        <f t="shared" si="0"/>
        <v>0</v>
      </c>
      <c r="AD47" s="60">
        <f t="shared" si="0"/>
        <v>0</v>
      </c>
      <c r="AE47" s="60">
        <f t="shared" si="1"/>
        <v>0</v>
      </c>
      <c r="AF47" s="60">
        <f t="shared" si="1"/>
        <v>0</v>
      </c>
      <c r="AG47" s="60">
        <f t="shared" si="2"/>
        <v>0</v>
      </c>
      <c r="AH47" s="60">
        <f t="shared" si="2"/>
        <v>0</v>
      </c>
      <c r="AI47" s="60">
        <f t="shared" si="3"/>
        <v>0</v>
      </c>
      <c r="AJ47" s="61">
        <f t="shared" si="3"/>
        <v>0</v>
      </c>
      <c r="AK47" s="144"/>
    </row>
    <row r="48" spans="1:37" ht="25.5">
      <c r="A48">
        <v>44</v>
      </c>
      <c r="B48" s="57">
        <v>507</v>
      </c>
      <c r="C48" s="58" t="s">
        <v>389</v>
      </c>
      <c r="D48" s="84"/>
      <c r="E48" s="82" t="s">
        <v>346</v>
      </c>
      <c r="F48" s="158">
        <v>8</v>
      </c>
      <c r="G48" s="159">
        <v>8</v>
      </c>
      <c r="H48" s="281">
        <f>COUNTIFS(缺陷明细!$A$2:$A$50000,$B$4,缺陷明细!$G$2:$G$50000,$C48,缺陷明细!$J$2:$J$50000,"评审",缺陷明细!$AB$2:$AB$50000,"&lt;&gt;丢弃",缺陷明细!$AB$2:$AB$50000,"&lt;&gt;设计如此",缺陷明细!$AB$2:$AB$50000,"&lt;&gt;重复Bug")</f>
        <v>0</v>
      </c>
      <c r="I48" s="154">
        <f>COUNTIFS(缺陷明细!$A$2:$A$50000,$B$4,缺陷明细!$G$2:$G$50000,$C48,缺陷明细!$Q$2:$Q$50000,"已关闭",缺陷明细!$J$2:$J$50000,"评审")</f>
        <v>0</v>
      </c>
      <c r="J48" s="154">
        <f>COUNTIFS(缺陷明细!$A$2:$A$50000,$B$4,缺陷明细!$G$2:$G$50000,$C48,缺陷明细!$J$2:$J$50000,"单元测试",缺陷明细!$AB$2:$AB$50000,"&lt;&gt;丢弃",缺陷明细!$AB$2:$AB$50000,"&lt;&gt;设计如此",缺陷明细!$AB$2:$AB$50000,"&lt;&gt;重复Bug")</f>
        <v>0</v>
      </c>
      <c r="K48" s="155">
        <f>COUNTIFS(缺陷明细!$A$2:$A$50000,$B$4,缺陷明细!$G$2:$G$50000,$C48,缺陷明细!$Q$2:$Q$50000,"已关闭",缺陷明细!$J$2:$J$50000,"单元测试")</f>
        <v>0</v>
      </c>
      <c r="L48" s="156"/>
      <c r="M48" s="157"/>
      <c r="N48" s="72">
        <f>COUNTIFS(缺陷明细!$A$2:$A$50000,$B$4,缺陷明细!$G$2:$G$50000,$C48,缺陷明细!$J$2:$J$50000,"系统测试案例评审",缺陷明细!$AB$2:$AB$50000,"&lt;&gt;丢弃",缺陷明细!$AB$2:$AB$50000,"&lt;&gt;设计如此",缺陷明细!$AB$2:$AB$50000,"&lt;&gt;重复Bug")</f>
        <v>0</v>
      </c>
      <c r="O48" s="72">
        <f>COUNTIFS(缺陷明细!$A$2:$A$50000,$B$4,缺陷明细!$G$2:$G$50000,$C48,缺陷明细!$Q$2:$Q$50000,"已关闭",缺陷明细!$J$2:$J$50000,"系统测试案例评审")</f>
        <v>0</v>
      </c>
      <c r="P48" s="72">
        <f>COUNTIFS(缺陷明细!$A$2:$A$50000,$B$4,缺陷明细!$G$2:$G$50000,$C48,缺陷明细!$J$2:$J$50000,"系统测试",缺陷明细!$AB$2:$AB$50000,"&lt;&gt;丢弃",缺陷明细!$AB$2:$AB$50000,"&lt;&gt;设计如此",缺陷明细!$AB$2:$AB$50000,"&lt;&gt;重复Bug")</f>
        <v>0</v>
      </c>
      <c r="Q48" s="72">
        <f>COUNTIFS(缺陷明细!$A$2:$A$50000,$B$4,缺陷明细!$G$2:$G$50000,$C48,缺陷明细!$Q$2:$Q$50000,"已关闭",缺陷明细!$J$2:$J$50000,"系统测试")</f>
        <v>0</v>
      </c>
      <c r="R48" s="296">
        <f>COUNTIFS(缺陷明细!$A$2:$A$50000,$B$4,缺陷明细!$G$2:$G$50000,$C48,缺陷明细!$AB$2:$AB$50000,"丢弃",缺陷明细!$J$2:$J$50000,"系统测试")+COUNTIFS(缺陷明细!$A$2:$A$50000,$B$4,缺陷明细!$G$2:$G$50000,$C48,缺陷明细!$AB$2:$AB$50000,"设计如此",缺陷明细!$J$2:$J$50000,"系统测试")+COUNTIFS(缺陷明细!$A$2:$A$50000,$B$4,缺陷明细!$G$2:$G$50000,$C48,缺陷明细!$AB$2:$AB$50000,"重复Bug",缺陷明细!$J$2:$J$50000,"系统测试")</f>
        <v>0</v>
      </c>
      <c r="S48" s="72">
        <f>COUNTIFS(缺陷明细!$A$2:$A$50000,$B$4,缺陷明细!$G$2:$G$50000,$C48,缺陷明细!$J$2:$J$50000,"系统测试",缺陷明细!$K$2:$K$50000,"致命",缺陷明细!$AB$2:$AB$50000,"&lt;&gt;丢弃",缺陷明细!$AB$2:$AB$50000,"&lt;&gt;设计如此",缺陷明细!$AB$2:$AB$50000,"&lt;&gt;重复Bug")+COUNTIFS(缺陷明细!$A$2:$A$50000,$B$4,缺陷明细!$G$2:$G$50000,$C48,缺陷明细!$J$2:$J$50000,"系统测试",缺陷明细!$K$2:$K$50000,"严重",缺陷明细!$AB$2:$AB$50000,"&lt;&gt;丢弃",缺陷明细!$AB$2:$AB$50000,"&lt;&gt;设计如此",缺陷明细!$AB$2:$AB$50000,"&lt;&gt;重复Bug")</f>
        <v>0</v>
      </c>
      <c r="T48" s="73">
        <f>COUNTIFS(缺陷明细!$A$2:$A$50000,$B$4,缺陷明细!$G$2:$G$50000,$C48,缺陷明细!$Q$2:$Q$50000,"已关闭",缺陷明细!$J$2:$J$50000,"系统测试",缺陷明细!$K$2:$K$50000,"致命")+COUNTIFS(缺陷明细!$A$2:$A$50000,$B$4,缺陷明细!$G$2:$G$50000,$C48,缺陷明细!$Q$2:$Q$50000,"已关闭",缺陷明细!$J$2:$J$50000,"系统测试",缺陷明细!$K$2:$K$50000,"严重")</f>
        <v>0</v>
      </c>
      <c r="U48" s="74">
        <f>COUNTIFS(缺陷明细!$A$2:$A$50000,$B$4,缺陷明细!$G$2:$G$50000,$C48,缺陷明细!$J$2:$J$50000,"验收测试",缺陷明细!$AB$2:$AB$50000,"&lt;&gt;丢弃",缺陷明细!$AB$2:$AB$50000,"&lt;&gt;设计如此",缺陷明细!$AB$2:$AB$50000,"&lt;&gt;重复Bug")</f>
        <v>0</v>
      </c>
      <c r="V48" s="75">
        <f>COUNTIFS(缺陷明细!$A$2:$A$50000,$B$4,缺陷明细!$G$2:$G$50000,$C48,缺陷明细!$Q$2:$Q$50000,"已关闭",缺陷明细!$J$2:$J$50000,"验收测试")</f>
        <v>0</v>
      </c>
      <c r="W48" s="75">
        <f>COUNTIFS(缺陷明细!$A$2:$A$50000,$B$4,缺陷明细!$G$2:$G$50000,$C48,缺陷明细!$J$2:$J$50000,"验收测试",缺陷明细!$K$2:$K$50000,"致命",缺陷明细!$AB$2:$AB$50000,"&lt;&gt;丢弃",缺陷明细!$AB$2:$AB$50000,"&lt;&gt;设计如此",缺陷明细!$AB$2:$AB$50000,"&lt;&gt;重复Bug")+COUNTIFS(缺陷明细!$A$2:$A$50000,$B$4,缺陷明细!$G$2:$G$50000,$C48,缺陷明细!$J$2:$J$50000,"验收测试",缺陷明细!$K$2:$K$50000,"严重",缺陷明细!$AB$2:$AB$50000,"&lt;&gt;丢弃",缺陷明细!$AB$2:$AB$50000,"&lt;&gt;设计如此",缺陷明细!$AB$2:$AB$50000,"&lt;&gt;重复Bug")</f>
        <v>0</v>
      </c>
      <c r="X48" s="76">
        <f>COUNTIFS(缺陷明细!$A$2:$A$50000,$B$4,缺陷明细!$G$2:$G$50000,$C48,缺陷明细!$Q$2:$Q$50000,"已关闭",缺陷明细!$J$2:$J$50000,"验收测试",缺陷明细!$K$2:$K$50000,"致命")+COUNTIFS(缺陷明细!$A$2:$A$50000,$B$4,缺陷明细!$G$2:$G$50000,$C48,缺陷明细!$Q$2:$Q$50000,"已关闭",缺陷明细!$J$2:$J$50000,"验收测试",缺陷明细!$K$2:$K$50000,"严重")</f>
        <v>0</v>
      </c>
      <c r="Y48" s="70">
        <f>COUNTIFS(缺陷明细!$A$2:$A$50000,$B$4,缺陷明细!$G$2:$G$50000,$C48,缺陷明细!$J$2:$J$50000,"运维测试",缺陷明细!$AB$2:$AB$50000,"&lt;&gt;丢弃",缺陷明细!$AB$2:$AB$50000,"&lt;&gt;设计如此",缺陷明细!$AB$2:$AB$50000,"&lt;&gt;重复Bug")</f>
        <v>0</v>
      </c>
      <c r="Z48" s="71">
        <f>COUNTIFS(缺陷明细!$A$2:$A$50000,$B$4,缺陷明细!$G$2:$G$50000,$C48,缺陷明细!$Q$2:$Q$50000,"已关闭",缺陷明细!$J$2:$J$50000,"运维测试")</f>
        <v>0</v>
      </c>
      <c r="AA48" s="72">
        <f>COUNTIFS(缺陷明细!$A$2:$A$50000,$B$4,缺陷明细!$G$2:$G$50000,$C48,缺陷明细!$J$2:$J$50000,"运维测试",缺陷明细!$K$2:$K$50000,"致命",缺陷明细!$AB$2:$AB$50000,"&lt;&gt;丢弃",缺陷明细!$AB$2:$AB$50000,"&lt;&gt;设计如此",缺陷明细!$AB$2:$AB$50000,"&lt;&gt;重复Bug")+COUNTIFS(缺陷明细!$A$2:$A$50000,$B$4,缺陷明细!$G$2:$G$50000,$C48,缺陷明细!$J$2:$J$50000,"运维测试",缺陷明细!$K$2:$K$50000,"严重",缺陷明细!$AB$2:$AB$50000,"&lt;&gt;丢弃",缺陷明细!$AB$2:$AB$50000,"&lt;&gt;设计如此",缺陷明细!$AB$2:$AB$50000,"&lt;&gt;重复Bug")</f>
        <v>0</v>
      </c>
      <c r="AB48" s="73">
        <f>COUNTIFS(缺陷明细!$A$2:$A$50000,$B$4,缺陷明细!$G$2:$G$50000,$C48,缺陷明细!$Q$2:$Q$50000,"已关闭",缺陷明细!$J$2:$J$50000,"运维测试",缺陷明细!$K$2:$K$50000,"致命")+COUNTIFS(缺陷明细!$A$2:$A$50000,$B$4,缺陷明细!$G$2:$G$50000,$C48,缺陷明细!$Q$2:$Q$50000,"已关闭",缺陷明细!$J$2:$J$50000,"运维测试",缺陷明细!$K$2:$K$50000,"严重")</f>
        <v>0</v>
      </c>
      <c r="AC48" s="68">
        <f t="shared" si="0"/>
        <v>0</v>
      </c>
      <c r="AD48" s="60">
        <f t="shared" si="0"/>
        <v>0</v>
      </c>
      <c r="AE48" s="60">
        <f t="shared" si="1"/>
        <v>0</v>
      </c>
      <c r="AF48" s="60">
        <f t="shared" si="1"/>
        <v>0</v>
      </c>
      <c r="AG48" s="60">
        <f t="shared" si="2"/>
        <v>0</v>
      </c>
      <c r="AH48" s="60">
        <f t="shared" si="2"/>
        <v>0</v>
      </c>
      <c r="AI48" s="60">
        <f t="shared" si="3"/>
        <v>0</v>
      </c>
      <c r="AJ48" s="61">
        <f t="shared" si="3"/>
        <v>0</v>
      </c>
      <c r="AK48" s="144"/>
    </row>
    <row r="49" spans="1:37" ht="25.5">
      <c r="A49">
        <v>45</v>
      </c>
      <c r="B49" s="57">
        <v>508</v>
      </c>
      <c r="C49" s="58" t="s">
        <v>390</v>
      </c>
      <c r="D49" s="84"/>
      <c r="E49" s="82" t="s">
        <v>346</v>
      </c>
      <c r="F49" s="158">
        <v>8</v>
      </c>
      <c r="G49" s="159">
        <v>8</v>
      </c>
      <c r="H49" s="281">
        <f>COUNTIFS(缺陷明细!$A$2:$A$50000,$B$4,缺陷明细!$G$2:$G$50000,$C49,缺陷明细!$J$2:$J$50000,"评审",缺陷明细!$AB$2:$AB$50000,"&lt;&gt;丢弃",缺陷明细!$AB$2:$AB$50000,"&lt;&gt;设计如此",缺陷明细!$AB$2:$AB$50000,"&lt;&gt;重复Bug")</f>
        <v>0</v>
      </c>
      <c r="I49" s="154">
        <f>COUNTIFS(缺陷明细!$A$2:$A$50000,$B$4,缺陷明细!$G$2:$G$50000,$C49,缺陷明细!$Q$2:$Q$50000,"已关闭",缺陷明细!$J$2:$J$50000,"评审")</f>
        <v>0</v>
      </c>
      <c r="J49" s="154">
        <f>COUNTIFS(缺陷明细!$A$2:$A$50000,$B$4,缺陷明细!$G$2:$G$50000,$C49,缺陷明细!$J$2:$J$50000,"单元测试",缺陷明细!$AB$2:$AB$50000,"&lt;&gt;丢弃",缺陷明细!$AB$2:$AB$50000,"&lt;&gt;设计如此",缺陷明细!$AB$2:$AB$50000,"&lt;&gt;重复Bug")</f>
        <v>0</v>
      </c>
      <c r="K49" s="155">
        <f>COUNTIFS(缺陷明细!$A$2:$A$50000,$B$4,缺陷明细!$G$2:$G$50000,$C49,缺陷明细!$Q$2:$Q$50000,"已关闭",缺陷明细!$J$2:$J$50000,"单元测试")</f>
        <v>0</v>
      </c>
      <c r="L49" s="156"/>
      <c r="M49" s="157"/>
      <c r="N49" s="72">
        <f>COUNTIFS(缺陷明细!$A$2:$A$50000,$B$4,缺陷明细!$G$2:$G$50000,$C49,缺陷明细!$J$2:$J$50000,"系统测试案例评审",缺陷明细!$AB$2:$AB$50000,"&lt;&gt;丢弃",缺陷明细!$AB$2:$AB$50000,"&lt;&gt;设计如此",缺陷明细!$AB$2:$AB$50000,"&lt;&gt;重复Bug")</f>
        <v>0</v>
      </c>
      <c r="O49" s="72">
        <f>COUNTIFS(缺陷明细!$A$2:$A$50000,$B$4,缺陷明细!$G$2:$G$50000,$C49,缺陷明细!$Q$2:$Q$50000,"已关闭",缺陷明细!$J$2:$J$50000,"系统测试案例评审")</f>
        <v>0</v>
      </c>
      <c r="P49" s="72">
        <f>COUNTIFS(缺陷明细!$A$2:$A$50000,$B$4,缺陷明细!$G$2:$G$50000,$C49,缺陷明细!$J$2:$J$50000,"系统测试",缺陷明细!$AB$2:$AB$50000,"&lt;&gt;丢弃",缺陷明细!$AB$2:$AB$50000,"&lt;&gt;设计如此",缺陷明细!$AB$2:$AB$50000,"&lt;&gt;重复Bug")</f>
        <v>0</v>
      </c>
      <c r="Q49" s="72">
        <f>COUNTIFS(缺陷明细!$A$2:$A$50000,$B$4,缺陷明细!$G$2:$G$50000,$C49,缺陷明细!$Q$2:$Q$50000,"已关闭",缺陷明细!$J$2:$J$50000,"系统测试")</f>
        <v>0</v>
      </c>
      <c r="R49" s="296">
        <f>COUNTIFS(缺陷明细!$A$2:$A$50000,$B$4,缺陷明细!$G$2:$G$50000,$C49,缺陷明细!$AB$2:$AB$50000,"丢弃",缺陷明细!$J$2:$J$50000,"系统测试")+COUNTIFS(缺陷明细!$A$2:$A$50000,$B$4,缺陷明细!$G$2:$G$50000,$C49,缺陷明细!$AB$2:$AB$50000,"设计如此",缺陷明细!$J$2:$J$50000,"系统测试")+COUNTIFS(缺陷明细!$A$2:$A$50000,$B$4,缺陷明细!$G$2:$G$50000,$C49,缺陷明细!$AB$2:$AB$50000,"重复Bug",缺陷明细!$J$2:$J$50000,"系统测试")</f>
        <v>0</v>
      </c>
      <c r="S49" s="72">
        <f>COUNTIFS(缺陷明细!$A$2:$A$50000,$B$4,缺陷明细!$G$2:$G$50000,$C49,缺陷明细!$J$2:$J$50000,"系统测试",缺陷明细!$K$2:$K$50000,"致命",缺陷明细!$AB$2:$AB$50000,"&lt;&gt;丢弃",缺陷明细!$AB$2:$AB$50000,"&lt;&gt;设计如此",缺陷明细!$AB$2:$AB$50000,"&lt;&gt;重复Bug")+COUNTIFS(缺陷明细!$A$2:$A$50000,$B$4,缺陷明细!$G$2:$G$50000,$C49,缺陷明细!$J$2:$J$50000,"系统测试",缺陷明细!$K$2:$K$50000,"严重",缺陷明细!$AB$2:$AB$50000,"&lt;&gt;丢弃",缺陷明细!$AB$2:$AB$50000,"&lt;&gt;设计如此",缺陷明细!$AB$2:$AB$50000,"&lt;&gt;重复Bug")</f>
        <v>0</v>
      </c>
      <c r="T49" s="73">
        <f>COUNTIFS(缺陷明细!$A$2:$A$50000,$B$4,缺陷明细!$G$2:$G$50000,$C49,缺陷明细!$Q$2:$Q$50000,"已关闭",缺陷明细!$J$2:$J$50000,"系统测试",缺陷明细!$K$2:$K$50000,"致命")+COUNTIFS(缺陷明细!$A$2:$A$50000,$B$4,缺陷明细!$G$2:$G$50000,$C49,缺陷明细!$Q$2:$Q$50000,"已关闭",缺陷明细!$J$2:$J$50000,"系统测试",缺陷明细!$K$2:$K$50000,"严重")</f>
        <v>0</v>
      </c>
      <c r="U49" s="74">
        <f>COUNTIFS(缺陷明细!$A$2:$A$50000,$B$4,缺陷明细!$G$2:$G$50000,$C49,缺陷明细!$J$2:$J$50000,"验收测试",缺陷明细!$AB$2:$AB$50000,"&lt;&gt;丢弃",缺陷明细!$AB$2:$AB$50000,"&lt;&gt;设计如此",缺陷明细!$AB$2:$AB$50000,"&lt;&gt;重复Bug")</f>
        <v>0</v>
      </c>
      <c r="V49" s="75">
        <f>COUNTIFS(缺陷明细!$A$2:$A$50000,$B$4,缺陷明细!$G$2:$G$50000,$C49,缺陷明细!$Q$2:$Q$50000,"已关闭",缺陷明细!$J$2:$J$50000,"验收测试")</f>
        <v>0</v>
      </c>
      <c r="W49" s="75">
        <f>COUNTIFS(缺陷明细!$A$2:$A$50000,$B$4,缺陷明细!$G$2:$G$50000,$C49,缺陷明细!$J$2:$J$50000,"验收测试",缺陷明细!$K$2:$K$50000,"致命",缺陷明细!$AB$2:$AB$50000,"&lt;&gt;丢弃",缺陷明细!$AB$2:$AB$50000,"&lt;&gt;设计如此",缺陷明细!$AB$2:$AB$50000,"&lt;&gt;重复Bug")+COUNTIFS(缺陷明细!$A$2:$A$50000,$B$4,缺陷明细!$G$2:$G$50000,$C49,缺陷明细!$J$2:$J$50000,"验收测试",缺陷明细!$K$2:$K$50000,"严重",缺陷明细!$AB$2:$AB$50000,"&lt;&gt;丢弃",缺陷明细!$AB$2:$AB$50000,"&lt;&gt;设计如此",缺陷明细!$AB$2:$AB$50000,"&lt;&gt;重复Bug")</f>
        <v>0</v>
      </c>
      <c r="X49" s="76">
        <f>COUNTIFS(缺陷明细!$A$2:$A$50000,$B$4,缺陷明细!$G$2:$G$50000,$C49,缺陷明细!$Q$2:$Q$50000,"已关闭",缺陷明细!$J$2:$J$50000,"验收测试",缺陷明细!$K$2:$K$50000,"致命")+COUNTIFS(缺陷明细!$A$2:$A$50000,$B$4,缺陷明细!$G$2:$G$50000,$C49,缺陷明细!$Q$2:$Q$50000,"已关闭",缺陷明细!$J$2:$J$50000,"验收测试",缺陷明细!$K$2:$K$50000,"严重")</f>
        <v>0</v>
      </c>
      <c r="Y49" s="70">
        <f>COUNTIFS(缺陷明细!$A$2:$A$50000,$B$4,缺陷明细!$G$2:$G$50000,$C49,缺陷明细!$J$2:$J$50000,"运维测试",缺陷明细!$AB$2:$AB$50000,"&lt;&gt;丢弃",缺陷明细!$AB$2:$AB$50000,"&lt;&gt;设计如此",缺陷明细!$AB$2:$AB$50000,"&lt;&gt;重复Bug")</f>
        <v>0</v>
      </c>
      <c r="Z49" s="71">
        <f>COUNTIFS(缺陷明细!$A$2:$A$50000,$B$4,缺陷明细!$G$2:$G$50000,$C49,缺陷明细!$Q$2:$Q$50000,"已关闭",缺陷明细!$J$2:$J$50000,"运维测试")</f>
        <v>0</v>
      </c>
      <c r="AA49" s="72">
        <f>COUNTIFS(缺陷明细!$A$2:$A$50000,$B$4,缺陷明细!$G$2:$G$50000,$C49,缺陷明细!$J$2:$J$50000,"运维测试",缺陷明细!$K$2:$K$50000,"致命",缺陷明细!$AB$2:$AB$50000,"&lt;&gt;丢弃",缺陷明细!$AB$2:$AB$50000,"&lt;&gt;设计如此",缺陷明细!$AB$2:$AB$50000,"&lt;&gt;重复Bug")+COUNTIFS(缺陷明细!$A$2:$A$50000,$B$4,缺陷明细!$G$2:$G$50000,$C49,缺陷明细!$J$2:$J$50000,"运维测试",缺陷明细!$K$2:$K$50000,"严重",缺陷明细!$AB$2:$AB$50000,"&lt;&gt;丢弃",缺陷明细!$AB$2:$AB$50000,"&lt;&gt;设计如此",缺陷明细!$AB$2:$AB$50000,"&lt;&gt;重复Bug")</f>
        <v>0</v>
      </c>
      <c r="AB49" s="73">
        <f>COUNTIFS(缺陷明细!$A$2:$A$50000,$B$4,缺陷明细!$G$2:$G$50000,$C49,缺陷明细!$Q$2:$Q$50000,"已关闭",缺陷明细!$J$2:$J$50000,"运维测试",缺陷明细!$K$2:$K$50000,"致命")+COUNTIFS(缺陷明细!$A$2:$A$50000,$B$4,缺陷明细!$G$2:$G$50000,$C49,缺陷明细!$Q$2:$Q$50000,"已关闭",缺陷明细!$J$2:$J$50000,"运维测试",缺陷明细!$K$2:$K$50000,"严重")</f>
        <v>0</v>
      </c>
      <c r="AC49" s="68">
        <f t="shared" si="0"/>
        <v>0</v>
      </c>
      <c r="AD49" s="60">
        <f t="shared" si="0"/>
        <v>0</v>
      </c>
      <c r="AE49" s="60">
        <f t="shared" si="1"/>
        <v>0</v>
      </c>
      <c r="AF49" s="60">
        <f t="shared" si="1"/>
        <v>0</v>
      </c>
      <c r="AG49" s="60">
        <f t="shared" si="2"/>
        <v>0</v>
      </c>
      <c r="AH49" s="60">
        <f t="shared" si="2"/>
        <v>0</v>
      </c>
      <c r="AI49" s="60">
        <f t="shared" si="3"/>
        <v>0</v>
      </c>
      <c r="AJ49" s="61">
        <f t="shared" si="3"/>
        <v>0</v>
      </c>
      <c r="AK49" s="144"/>
    </row>
    <row r="50" spans="1:37">
      <c r="A50">
        <v>46</v>
      </c>
      <c r="B50" s="57">
        <v>509</v>
      </c>
      <c r="C50" s="58" t="s">
        <v>391</v>
      </c>
      <c r="D50" s="84" t="s">
        <v>343</v>
      </c>
      <c r="E50" s="82" t="s">
        <v>346</v>
      </c>
      <c r="F50" s="158">
        <v>8</v>
      </c>
      <c r="G50" s="159">
        <v>12</v>
      </c>
      <c r="H50" s="281">
        <f>COUNTIFS(缺陷明细!$A$2:$A$50000,$B$4,缺陷明细!$G$2:$G$50000,$C50,缺陷明细!$J$2:$J$50000,"评审",缺陷明细!$AB$2:$AB$50000,"&lt;&gt;丢弃",缺陷明细!$AB$2:$AB$50000,"&lt;&gt;设计如此",缺陷明细!$AB$2:$AB$50000,"&lt;&gt;重复Bug")</f>
        <v>0</v>
      </c>
      <c r="I50" s="154">
        <f>COUNTIFS(缺陷明细!$A$2:$A$50000,$B$4,缺陷明细!$G$2:$G$50000,$C50,缺陷明细!$Q$2:$Q$50000,"已关闭",缺陷明细!$J$2:$J$50000,"评审")</f>
        <v>0</v>
      </c>
      <c r="J50" s="154">
        <f>COUNTIFS(缺陷明细!$A$2:$A$50000,$B$4,缺陷明细!$G$2:$G$50000,$C50,缺陷明细!$J$2:$J$50000,"单元测试",缺陷明细!$AB$2:$AB$50000,"&lt;&gt;丢弃",缺陷明细!$AB$2:$AB$50000,"&lt;&gt;设计如此",缺陷明细!$AB$2:$AB$50000,"&lt;&gt;重复Bug")</f>
        <v>0</v>
      </c>
      <c r="K50" s="155">
        <f>COUNTIFS(缺陷明细!$A$2:$A$50000,$B$4,缺陷明细!$G$2:$G$50000,$C50,缺陷明细!$Q$2:$Q$50000,"已关闭",缺陷明细!$J$2:$J$50000,"单元测试")</f>
        <v>0</v>
      </c>
      <c r="L50" s="156"/>
      <c r="M50" s="157"/>
      <c r="N50" s="72">
        <f>COUNTIFS(缺陷明细!$A$2:$A$50000,$B$4,缺陷明细!$G$2:$G$50000,$C50,缺陷明细!$J$2:$J$50000,"系统测试案例评审",缺陷明细!$AB$2:$AB$50000,"&lt;&gt;丢弃",缺陷明细!$AB$2:$AB$50000,"&lt;&gt;设计如此",缺陷明细!$AB$2:$AB$50000,"&lt;&gt;重复Bug")</f>
        <v>0</v>
      </c>
      <c r="O50" s="72">
        <f>COUNTIFS(缺陷明细!$A$2:$A$50000,$B$4,缺陷明细!$G$2:$G$50000,$C50,缺陷明细!$Q$2:$Q$50000,"已关闭",缺陷明细!$J$2:$J$50000,"系统测试案例评审")</f>
        <v>0</v>
      </c>
      <c r="P50" s="72">
        <f>COUNTIFS(缺陷明细!$A$2:$A$50000,$B$4,缺陷明细!$G$2:$G$50000,$C50,缺陷明细!$J$2:$J$50000,"系统测试",缺陷明细!$AB$2:$AB$50000,"&lt;&gt;丢弃",缺陷明细!$AB$2:$AB$50000,"&lt;&gt;设计如此",缺陷明细!$AB$2:$AB$50000,"&lt;&gt;重复Bug")</f>
        <v>0</v>
      </c>
      <c r="Q50" s="72">
        <f>COUNTIFS(缺陷明细!$A$2:$A$50000,$B$4,缺陷明细!$G$2:$G$50000,$C50,缺陷明细!$Q$2:$Q$50000,"已关闭",缺陷明细!$J$2:$J$50000,"系统测试")</f>
        <v>0</v>
      </c>
      <c r="R50" s="296">
        <f>COUNTIFS(缺陷明细!$A$2:$A$50000,$B$4,缺陷明细!$G$2:$G$50000,$C50,缺陷明细!$AB$2:$AB$50000,"丢弃",缺陷明细!$J$2:$J$50000,"系统测试")+COUNTIFS(缺陷明细!$A$2:$A$50000,$B$4,缺陷明细!$G$2:$G$50000,$C50,缺陷明细!$AB$2:$AB$50000,"设计如此",缺陷明细!$J$2:$J$50000,"系统测试")+COUNTIFS(缺陷明细!$A$2:$A$50000,$B$4,缺陷明细!$G$2:$G$50000,$C50,缺陷明细!$AB$2:$AB$50000,"重复Bug",缺陷明细!$J$2:$J$50000,"系统测试")</f>
        <v>0</v>
      </c>
      <c r="S50" s="72">
        <f>COUNTIFS(缺陷明细!$A$2:$A$50000,$B$4,缺陷明细!$G$2:$G$50000,$C50,缺陷明细!$J$2:$J$50000,"系统测试",缺陷明细!$K$2:$K$50000,"致命",缺陷明细!$AB$2:$AB$50000,"&lt;&gt;丢弃",缺陷明细!$AB$2:$AB$50000,"&lt;&gt;设计如此",缺陷明细!$AB$2:$AB$50000,"&lt;&gt;重复Bug")+COUNTIFS(缺陷明细!$A$2:$A$50000,$B$4,缺陷明细!$G$2:$G$50000,$C50,缺陷明细!$J$2:$J$50000,"系统测试",缺陷明细!$K$2:$K$50000,"严重",缺陷明细!$AB$2:$AB$50000,"&lt;&gt;丢弃",缺陷明细!$AB$2:$AB$50000,"&lt;&gt;设计如此",缺陷明细!$AB$2:$AB$50000,"&lt;&gt;重复Bug")</f>
        <v>0</v>
      </c>
      <c r="T50" s="73">
        <f>COUNTIFS(缺陷明细!$A$2:$A$50000,$B$4,缺陷明细!$G$2:$G$50000,$C50,缺陷明细!$Q$2:$Q$50000,"已关闭",缺陷明细!$J$2:$J$50000,"系统测试",缺陷明细!$K$2:$K$50000,"致命")+COUNTIFS(缺陷明细!$A$2:$A$50000,$B$4,缺陷明细!$G$2:$G$50000,$C50,缺陷明细!$Q$2:$Q$50000,"已关闭",缺陷明细!$J$2:$J$50000,"系统测试",缺陷明细!$K$2:$K$50000,"严重")</f>
        <v>0</v>
      </c>
      <c r="U50" s="74">
        <f>COUNTIFS(缺陷明细!$A$2:$A$50000,$B$4,缺陷明细!$G$2:$G$50000,$C50,缺陷明细!$J$2:$J$50000,"验收测试",缺陷明细!$AB$2:$AB$50000,"&lt;&gt;丢弃",缺陷明细!$AB$2:$AB$50000,"&lt;&gt;设计如此",缺陷明细!$AB$2:$AB$50000,"&lt;&gt;重复Bug")</f>
        <v>0</v>
      </c>
      <c r="V50" s="75">
        <f>COUNTIFS(缺陷明细!$A$2:$A$50000,$B$4,缺陷明细!$G$2:$G$50000,$C50,缺陷明细!$Q$2:$Q$50000,"已关闭",缺陷明细!$J$2:$J$50000,"验收测试")</f>
        <v>0</v>
      </c>
      <c r="W50" s="75">
        <f>COUNTIFS(缺陷明细!$A$2:$A$50000,$B$4,缺陷明细!$G$2:$G$50000,$C50,缺陷明细!$J$2:$J$50000,"验收测试",缺陷明细!$K$2:$K$50000,"致命",缺陷明细!$AB$2:$AB$50000,"&lt;&gt;丢弃",缺陷明细!$AB$2:$AB$50000,"&lt;&gt;设计如此",缺陷明细!$AB$2:$AB$50000,"&lt;&gt;重复Bug")+COUNTIFS(缺陷明细!$A$2:$A$50000,$B$4,缺陷明细!$G$2:$G$50000,$C50,缺陷明细!$J$2:$J$50000,"验收测试",缺陷明细!$K$2:$K$50000,"严重",缺陷明细!$AB$2:$AB$50000,"&lt;&gt;丢弃",缺陷明细!$AB$2:$AB$50000,"&lt;&gt;设计如此",缺陷明细!$AB$2:$AB$50000,"&lt;&gt;重复Bug")</f>
        <v>0</v>
      </c>
      <c r="X50" s="76">
        <f>COUNTIFS(缺陷明细!$A$2:$A$50000,$B$4,缺陷明细!$G$2:$G$50000,$C50,缺陷明细!$Q$2:$Q$50000,"已关闭",缺陷明细!$J$2:$J$50000,"验收测试",缺陷明细!$K$2:$K$50000,"致命")+COUNTIFS(缺陷明细!$A$2:$A$50000,$B$4,缺陷明细!$G$2:$G$50000,$C50,缺陷明细!$Q$2:$Q$50000,"已关闭",缺陷明细!$J$2:$J$50000,"验收测试",缺陷明细!$K$2:$K$50000,"严重")</f>
        <v>0</v>
      </c>
      <c r="Y50" s="70">
        <f>COUNTIFS(缺陷明细!$A$2:$A$50000,$B$4,缺陷明细!$G$2:$G$50000,$C50,缺陷明细!$J$2:$J$50000,"运维测试",缺陷明细!$AB$2:$AB$50000,"&lt;&gt;丢弃",缺陷明细!$AB$2:$AB$50000,"&lt;&gt;设计如此",缺陷明细!$AB$2:$AB$50000,"&lt;&gt;重复Bug")</f>
        <v>0</v>
      </c>
      <c r="Z50" s="71">
        <f>COUNTIFS(缺陷明细!$A$2:$A$50000,$B$4,缺陷明细!$G$2:$G$50000,$C50,缺陷明细!$Q$2:$Q$50000,"已关闭",缺陷明细!$J$2:$J$50000,"运维测试")</f>
        <v>0</v>
      </c>
      <c r="AA50" s="72">
        <f>COUNTIFS(缺陷明细!$A$2:$A$50000,$B$4,缺陷明细!$G$2:$G$50000,$C50,缺陷明细!$J$2:$J$50000,"运维测试",缺陷明细!$K$2:$K$50000,"致命",缺陷明细!$AB$2:$AB$50000,"&lt;&gt;丢弃",缺陷明细!$AB$2:$AB$50000,"&lt;&gt;设计如此",缺陷明细!$AB$2:$AB$50000,"&lt;&gt;重复Bug")+COUNTIFS(缺陷明细!$A$2:$A$50000,$B$4,缺陷明细!$G$2:$G$50000,$C50,缺陷明细!$J$2:$J$50000,"运维测试",缺陷明细!$K$2:$K$50000,"严重",缺陷明细!$AB$2:$AB$50000,"&lt;&gt;丢弃",缺陷明细!$AB$2:$AB$50000,"&lt;&gt;设计如此",缺陷明细!$AB$2:$AB$50000,"&lt;&gt;重复Bug")</f>
        <v>0</v>
      </c>
      <c r="AB50" s="73">
        <f>COUNTIFS(缺陷明细!$A$2:$A$50000,$B$4,缺陷明细!$G$2:$G$50000,$C50,缺陷明细!$Q$2:$Q$50000,"已关闭",缺陷明细!$J$2:$J$50000,"运维测试",缺陷明细!$K$2:$K$50000,"致命")+COUNTIFS(缺陷明细!$A$2:$A$50000,$B$4,缺陷明细!$G$2:$G$50000,$C50,缺陷明细!$Q$2:$Q$50000,"已关闭",缺陷明细!$J$2:$J$50000,"运维测试",缺陷明细!$K$2:$K$50000,"严重")</f>
        <v>0</v>
      </c>
      <c r="AC50" s="68">
        <f t="shared" si="0"/>
        <v>0</v>
      </c>
      <c r="AD50" s="60">
        <f t="shared" si="0"/>
        <v>0</v>
      </c>
      <c r="AE50" s="60">
        <f t="shared" si="1"/>
        <v>0</v>
      </c>
      <c r="AF50" s="60">
        <f t="shared" si="1"/>
        <v>0</v>
      </c>
      <c r="AG50" s="60">
        <f t="shared" si="2"/>
        <v>0</v>
      </c>
      <c r="AH50" s="60">
        <f t="shared" si="2"/>
        <v>0</v>
      </c>
      <c r="AI50" s="60">
        <f t="shared" si="3"/>
        <v>0</v>
      </c>
      <c r="AJ50" s="61">
        <f t="shared" si="3"/>
        <v>0</v>
      </c>
      <c r="AK50" s="144"/>
    </row>
    <row r="51" spans="1:37" ht="25.5">
      <c r="A51">
        <v>47</v>
      </c>
      <c r="B51" s="57">
        <v>510</v>
      </c>
      <c r="C51" s="58" t="s">
        <v>392</v>
      </c>
      <c r="D51" s="84"/>
      <c r="E51" s="82" t="s">
        <v>346</v>
      </c>
      <c r="F51" s="158">
        <v>8</v>
      </c>
      <c r="G51" s="159">
        <v>8</v>
      </c>
      <c r="H51" s="281">
        <f>COUNTIFS(缺陷明细!$A$2:$A$50000,$B$4,缺陷明细!$G$2:$G$50000,$C51,缺陷明细!$J$2:$J$50000,"评审",缺陷明细!$AB$2:$AB$50000,"&lt;&gt;丢弃",缺陷明细!$AB$2:$AB$50000,"&lt;&gt;设计如此",缺陷明细!$AB$2:$AB$50000,"&lt;&gt;重复Bug")</f>
        <v>0</v>
      </c>
      <c r="I51" s="154">
        <f>COUNTIFS(缺陷明细!$A$2:$A$50000,$B$4,缺陷明细!$G$2:$G$50000,$C51,缺陷明细!$Q$2:$Q$50000,"已关闭",缺陷明细!$J$2:$J$50000,"评审")</f>
        <v>0</v>
      </c>
      <c r="J51" s="154">
        <f>COUNTIFS(缺陷明细!$A$2:$A$50000,$B$4,缺陷明细!$G$2:$G$50000,$C51,缺陷明细!$J$2:$J$50000,"单元测试",缺陷明细!$AB$2:$AB$50000,"&lt;&gt;丢弃",缺陷明细!$AB$2:$AB$50000,"&lt;&gt;设计如此",缺陷明细!$AB$2:$AB$50000,"&lt;&gt;重复Bug")</f>
        <v>0</v>
      </c>
      <c r="K51" s="155">
        <f>COUNTIFS(缺陷明细!$A$2:$A$50000,$B$4,缺陷明细!$G$2:$G$50000,$C51,缺陷明细!$Q$2:$Q$50000,"已关闭",缺陷明细!$J$2:$J$50000,"单元测试")</f>
        <v>0</v>
      </c>
      <c r="L51" s="156"/>
      <c r="M51" s="157"/>
      <c r="N51" s="72">
        <f>COUNTIFS(缺陷明细!$A$2:$A$50000,$B$4,缺陷明细!$G$2:$G$50000,$C51,缺陷明细!$J$2:$J$50000,"系统测试案例评审",缺陷明细!$AB$2:$AB$50000,"&lt;&gt;丢弃",缺陷明细!$AB$2:$AB$50000,"&lt;&gt;设计如此",缺陷明细!$AB$2:$AB$50000,"&lt;&gt;重复Bug")</f>
        <v>0</v>
      </c>
      <c r="O51" s="72">
        <f>COUNTIFS(缺陷明细!$A$2:$A$50000,$B$4,缺陷明细!$G$2:$G$50000,$C51,缺陷明细!$Q$2:$Q$50000,"已关闭",缺陷明细!$J$2:$J$50000,"系统测试案例评审")</f>
        <v>0</v>
      </c>
      <c r="P51" s="72">
        <f>COUNTIFS(缺陷明细!$A$2:$A$50000,$B$4,缺陷明细!$G$2:$G$50000,$C51,缺陷明细!$J$2:$J$50000,"系统测试",缺陷明细!$AB$2:$AB$50000,"&lt;&gt;丢弃",缺陷明细!$AB$2:$AB$50000,"&lt;&gt;设计如此",缺陷明细!$AB$2:$AB$50000,"&lt;&gt;重复Bug")</f>
        <v>0</v>
      </c>
      <c r="Q51" s="72">
        <f>COUNTIFS(缺陷明细!$A$2:$A$50000,$B$4,缺陷明细!$G$2:$G$50000,$C51,缺陷明细!$Q$2:$Q$50000,"已关闭",缺陷明细!$J$2:$J$50000,"系统测试")</f>
        <v>0</v>
      </c>
      <c r="R51" s="296">
        <f>COUNTIFS(缺陷明细!$A$2:$A$50000,$B$4,缺陷明细!$G$2:$G$50000,$C51,缺陷明细!$AB$2:$AB$50000,"丢弃",缺陷明细!$J$2:$J$50000,"系统测试")+COUNTIFS(缺陷明细!$A$2:$A$50000,$B$4,缺陷明细!$G$2:$G$50000,$C51,缺陷明细!$AB$2:$AB$50000,"设计如此",缺陷明细!$J$2:$J$50000,"系统测试")+COUNTIFS(缺陷明细!$A$2:$A$50000,$B$4,缺陷明细!$G$2:$G$50000,$C51,缺陷明细!$AB$2:$AB$50000,"重复Bug",缺陷明细!$J$2:$J$50000,"系统测试")</f>
        <v>0</v>
      </c>
      <c r="S51" s="72">
        <f>COUNTIFS(缺陷明细!$A$2:$A$50000,$B$4,缺陷明细!$G$2:$G$50000,$C51,缺陷明细!$J$2:$J$50000,"系统测试",缺陷明细!$K$2:$K$50000,"致命",缺陷明细!$AB$2:$AB$50000,"&lt;&gt;丢弃",缺陷明细!$AB$2:$AB$50000,"&lt;&gt;设计如此",缺陷明细!$AB$2:$AB$50000,"&lt;&gt;重复Bug")+COUNTIFS(缺陷明细!$A$2:$A$50000,$B$4,缺陷明细!$G$2:$G$50000,$C51,缺陷明细!$J$2:$J$50000,"系统测试",缺陷明细!$K$2:$K$50000,"严重",缺陷明细!$AB$2:$AB$50000,"&lt;&gt;丢弃",缺陷明细!$AB$2:$AB$50000,"&lt;&gt;设计如此",缺陷明细!$AB$2:$AB$50000,"&lt;&gt;重复Bug")</f>
        <v>0</v>
      </c>
      <c r="T51" s="73">
        <f>COUNTIFS(缺陷明细!$A$2:$A$50000,$B$4,缺陷明细!$G$2:$G$50000,$C51,缺陷明细!$Q$2:$Q$50000,"已关闭",缺陷明细!$J$2:$J$50000,"系统测试",缺陷明细!$K$2:$K$50000,"致命")+COUNTIFS(缺陷明细!$A$2:$A$50000,$B$4,缺陷明细!$G$2:$G$50000,$C51,缺陷明细!$Q$2:$Q$50000,"已关闭",缺陷明细!$J$2:$J$50000,"系统测试",缺陷明细!$K$2:$K$50000,"严重")</f>
        <v>0</v>
      </c>
      <c r="U51" s="74">
        <f>COUNTIFS(缺陷明细!$A$2:$A$50000,$B$4,缺陷明细!$G$2:$G$50000,$C51,缺陷明细!$J$2:$J$50000,"验收测试",缺陷明细!$AB$2:$AB$50000,"&lt;&gt;丢弃",缺陷明细!$AB$2:$AB$50000,"&lt;&gt;设计如此",缺陷明细!$AB$2:$AB$50000,"&lt;&gt;重复Bug")</f>
        <v>0</v>
      </c>
      <c r="V51" s="75">
        <f>COUNTIFS(缺陷明细!$A$2:$A$50000,$B$4,缺陷明细!$G$2:$G$50000,$C51,缺陷明细!$Q$2:$Q$50000,"已关闭",缺陷明细!$J$2:$J$50000,"验收测试")</f>
        <v>0</v>
      </c>
      <c r="W51" s="75">
        <f>COUNTIFS(缺陷明细!$A$2:$A$50000,$B$4,缺陷明细!$G$2:$G$50000,$C51,缺陷明细!$J$2:$J$50000,"验收测试",缺陷明细!$K$2:$K$50000,"致命",缺陷明细!$AB$2:$AB$50000,"&lt;&gt;丢弃",缺陷明细!$AB$2:$AB$50000,"&lt;&gt;设计如此",缺陷明细!$AB$2:$AB$50000,"&lt;&gt;重复Bug")+COUNTIFS(缺陷明细!$A$2:$A$50000,$B$4,缺陷明细!$G$2:$G$50000,$C51,缺陷明细!$J$2:$J$50000,"验收测试",缺陷明细!$K$2:$K$50000,"严重",缺陷明细!$AB$2:$AB$50000,"&lt;&gt;丢弃",缺陷明细!$AB$2:$AB$50000,"&lt;&gt;设计如此",缺陷明细!$AB$2:$AB$50000,"&lt;&gt;重复Bug")</f>
        <v>0</v>
      </c>
      <c r="X51" s="76">
        <f>COUNTIFS(缺陷明细!$A$2:$A$50000,$B$4,缺陷明细!$G$2:$G$50000,$C51,缺陷明细!$Q$2:$Q$50000,"已关闭",缺陷明细!$J$2:$J$50000,"验收测试",缺陷明细!$K$2:$K$50000,"致命")+COUNTIFS(缺陷明细!$A$2:$A$50000,$B$4,缺陷明细!$G$2:$G$50000,$C51,缺陷明细!$Q$2:$Q$50000,"已关闭",缺陷明细!$J$2:$J$50000,"验收测试",缺陷明细!$K$2:$K$50000,"严重")</f>
        <v>0</v>
      </c>
      <c r="Y51" s="70">
        <f>COUNTIFS(缺陷明细!$A$2:$A$50000,$B$4,缺陷明细!$G$2:$G$50000,$C51,缺陷明细!$J$2:$J$50000,"运维测试",缺陷明细!$AB$2:$AB$50000,"&lt;&gt;丢弃",缺陷明细!$AB$2:$AB$50000,"&lt;&gt;设计如此",缺陷明细!$AB$2:$AB$50000,"&lt;&gt;重复Bug")</f>
        <v>0</v>
      </c>
      <c r="Z51" s="71">
        <f>COUNTIFS(缺陷明细!$A$2:$A$50000,$B$4,缺陷明细!$G$2:$G$50000,$C51,缺陷明细!$Q$2:$Q$50000,"已关闭",缺陷明细!$J$2:$J$50000,"运维测试")</f>
        <v>0</v>
      </c>
      <c r="AA51" s="72">
        <f>COUNTIFS(缺陷明细!$A$2:$A$50000,$B$4,缺陷明细!$G$2:$G$50000,$C51,缺陷明细!$J$2:$J$50000,"运维测试",缺陷明细!$K$2:$K$50000,"致命",缺陷明细!$AB$2:$AB$50000,"&lt;&gt;丢弃",缺陷明细!$AB$2:$AB$50000,"&lt;&gt;设计如此",缺陷明细!$AB$2:$AB$50000,"&lt;&gt;重复Bug")+COUNTIFS(缺陷明细!$A$2:$A$50000,$B$4,缺陷明细!$G$2:$G$50000,$C51,缺陷明细!$J$2:$J$50000,"运维测试",缺陷明细!$K$2:$K$50000,"严重",缺陷明细!$AB$2:$AB$50000,"&lt;&gt;丢弃",缺陷明细!$AB$2:$AB$50000,"&lt;&gt;设计如此",缺陷明细!$AB$2:$AB$50000,"&lt;&gt;重复Bug")</f>
        <v>0</v>
      </c>
      <c r="AB51" s="73">
        <f>COUNTIFS(缺陷明细!$A$2:$A$50000,$B$4,缺陷明细!$G$2:$G$50000,$C51,缺陷明细!$Q$2:$Q$50000,"已关闭",缺陷明细!$J$2:$J$50000,"运维测试",缺陷明细!$K$2:$K$50000,"致命")+COUNTIFS(缺陷明细!$A$2:$A$50000,$B$4,缺陷明细!$G$2:$G$50000,$C51,缺陷明细!$Q$2:$Q$50000,"已关闭",缺陷明细!$J$2:$J$50000,"运维测试",缺陷明细!$K$2:$K$50000,"严重")</f>
        <v>0</v>
      </c>
      <c r="AC51" s="68">
        <f t="shared" si="0"/>
        <v>0</v>
      </c>
      <c r="AD51" s="60">
        <f t="shared" si="0"/>
        <v>0</v>
      </c>
      <c r="AE51" s="60">
        <f t="shared" si="1"/>
        <v>0</v>
      </c>
      <c r="AF51" s="60">
        <f t="shared" si="1"/>
        <v>0</v>
      </c>
      <c r="AG51" s="60">
        <f t="shared" si="2"/>
        <v>0</v>
      </c>
      <c r="AH51" s="60">
        <f t="shared" si="2"/>
        <v>0</v>
      </c>
      <c r="AI51" s="60">
        <f t="shared" si="3"/>
        <v>0</v>
      </c>
      <c r="AJ51" s="61">
        <f t="shared" si="3"/>
        <v>0</v>
      </c>
      <c r="AK51" s="144"/>
    </row>
    <row r="52" spans="1:37" ht="25.5">
      <c r="A52">
        <v>48</v>
      </c>
      <c r="B52" s="57">
        <v>511</v>
      </c>
      <c r="C52" s="58" t="s">
        <v>393</v>
      </c>
      <c r="D52" s="84"/>
      <c r="E52" s="82" t="s">
        <v>346</v>
      </c>
      <c r="F52" s="158">
        <v>10</v>
      </c>
      <c r="G52" s="159">
        <v>5</v>
      </c>
      <c r="H52" s="281">
        <f>COUNTIFS(缺陷明细!$A$2:$A$50000,$B$4,缺陷明细!$G$2:$G$50000,$C52,缺陷明细!$J$2:$J$50000,"评审",缺陷明细!$AB$2:$AB$50000,"&lt;&gt;丢弃",缺陷明细!$AB$2:$AB$50000,"&lt;&gt;设计如此",缺陷明细!$AB$2:$AB$50000,"&lt;&gt;重复Bug")</f>
        <v>0</v>
      </c>
      <c r="I52" s="154">
        <f>COUNTIFS(缺陷明细!$A$2:$A$50000,$B$4,缺陷明细!$G$2:$G$50000,$C52,缺陷明细!$Q$2:$Q$50000,"已关闭",缺陷明细!$J$2:$J$50000,"评审")</f>
        <v>0</v>
      </c>
      <c r="J52" s="154">
        <f>COUNTIFS(缺陷明细!$A$2:$A$50000,$B$4,缺陷明细!$G$2:$G$50000,$C52,缺陷明细!$J$2:$J$50000,"单元测试",缺陷明细!$AB$2:$AB$50000,"&lt;&gt;丢弃",缺陷明细!$AB$2:$AB$50000,"&lt;&gt;设计如此",缺陷明细!$AB$2:$AB$50000,"&lt;&gt;重复Bug")</f>
        <v>0</v>
      </c>
      <c r="K52" s="155">
        <f>COUNTIFS(缺陷明细!$A$2:$A$50000,$B$4,缺陷明细!$G$2:$G$50000,$C52,缺陷明细!$Q$2:$Q$50000,"已关闭",缺陷明细!$J$2:$J$50000,"单元测试")</f>
        <v>0</v>
      </c>
      <c r="L52" s="156"/>
      <c r="M52" s="157"/>
      <c r="N52" s="72">
        <f>COUNTIFS(缺陷明细!$A$2:$A$50000,$B$4,缺陷明细!$G$2:$G$50000,$C52,缺陷明细!$J$2:$J$50000,"系统测试案例评审",缺陷明细!$AB$2:$AB$50000,"&lt;&gt;丢弃",缺陷明细!$AB$2:$AB$50000,"&lt;&gt;设计如此",缺陷明细!$AB$2:$AB$50000,"&lt;&gt;重复Bug")</f>
        <v>0</v>
      </c>
      <c r="O52" s="72">
        <f>COUNTIFS(缺陷明细!$A$2:$A$50000,$B$4,缺陷明细!$G$2:$G$50000,$C52,缺陷明细!$Q$2:$Q$50000,"已关闭",缺陷明细!$J$2:$J$50000,"系统测试案例评审")</f>
        <v>0</v>
      </c>
      <c r="P52" s="72">
        <f>COUNTIFS(缺陷明细!$A$2:$A$50000,$B$4,缺陷明细!$G$2:$G$50000,$C52,缺陷明细!$J$2:$J$50000,"系统测试",缺陷明细!$AB$2:$AB$50000,"&lt;&gt;丢弃",缺陷明细!$AB$2:$AB$50000,"&lt;&gt;设计如此",缺陷明细!$AB$2:$AB$50000,"&lt;&gt;重复Bug")</f>
        <v>0</v>
      </c>
      <c r="Q52" s="72">
        <f>COUNTIFS(缺陷明细!$A$2:$A$50000,$B$4,缺陷明细!$G$2:$G$50000,$C52,缺陷明细!$Q$2:$Q$50000,"已关闭",缺陷明细!$J$2:$J$50000,"系统测试")</f>
        <v>0</v>
      </c>
      <c r="R52" s="296">
        <f>COUNTIFS(缺陷明细!$A$2:$A$50000,$B$4,缺陷明细!$G$2:$G$50000,$C52,缺陷明细!$AB$2:$AB$50000,"丢弃",缺陷明细!$J$2:$J$50000,"系统测试")+COUNTIFS(缺陷明细!$A$2:$A$50000,$B$4,缺陷明细!$G$2:$G$50000,$C52,缺陷明细!$AB$2:$AB$50000,"设计如此",缺陷明细!$J$2:$J$50000,"系统测试")+COUNTIFS(缺陷明细!$A$2:$A$50000,$B$4,缺陷明细!$G$2:$G$50000,$C52,缺陷明细!$AB$2:$AB$50000,"重复Bug",缺陷明细!$J$2:$J$50000,"系统测试")</f>
        <v>0</v>
      </c>
      <c r="S52" s="72">
        <f>COUNTIFS(缺陷明细!$A$2:$A$50000,$B$4,缺陷明细!$G$2:$G$50000,$C52,缺陷明细!$J$2:$J$50000,"系统测试",缺陷明细!$K$2:$K$50000,"致命",缺陷明细!$AB$2:$AB$50000,"&lt;&gt;丢弃",缺陷明细!$AB$2:$AB$50000,"&lt;&gt;设计如此",缺陷明细!$AB$2:$AB$50000,"&lt;&gt;重复Bug")+COUNTIFS(缺陷明细!$A$2:$A$50000,$B$4,缺陷明细!$G$2:$G$50000,$C52,缺陷明细!$J$2:$J$50000,"系统测试",缺陷明细!$K$2:$K$50000,"严重",缺陷明细!$AB$2:$AB$50000,"&lt;&gt;丢弃",缺陷明细!$AB$2:$AB$50000,"&lt;&gt;设计如此",缺陷明细!$AB$2:$AB$50000,"&lt;&gt;重复Bug")</f>
        <v>0</v>
      </c>
      <c r="T52" s="73">
        <f>COUNTIFS(缺陷明细!$A$2:$A$50000,$B$4,缺陷明细!$G$2:$G$50000,$C52,缺陷明细!$Q$2:$Q$50000,"已关闭",缺陷明细!$J$2:$J$50000,"系统测试",缺陷明细!$K$2:$K$50000,"致命")+COUNTIFS(缺陷明细!$A$2:$A$50000,$B$4,缺陷明细!$G$2:$G$50000,$C52,缺陷明细!$Q$2:$Q$50000,"已关闭",缺陷明细!$J$2:$J$50000,"系统测试",缺陷明细!$K$2:$K$50000,"严重")</f>
        <v>0</v>
      </c>
      <c r="U52" s="74">
        <f>COUNTIFS(缺陷明细!$A$2:$A$50000,$B$4,缺陷明细!$G$2:$G$50000,$C52,缺陷明细!$J$2:$J$50000,"验收测试",缺陷明细!$AB$2:$AB$50000,"&lt;&gt;丢弃",缺陷明细!$AB$2:$AB$50000,"&lt;&gt;设计如此",缺陷明细!$AB$2:$AB$50000,"&lt;&gt;重复Bug")</f>
        <v>0</v>
      </c>
      <c r="V52" s="75">
        <f>COUNTIFS(缺陷明细!$A$2:$A$50000,$B$4,缺陷明细!$G$2:$G$50000,$C52,缺陷明细!$Q$2:$Q$50000,"已关闭",缺陷明细!$J$2:$J$50000,"验收测试")</f>
        <v>0</v>
      </c>
      <c r="W52" s="75">
        <f>COUNTIFS(缺陷明细!$A$2:$A$50000,$B$4,缺陷明细!$G$2:$G$50000,$C52,缺陷明细!$J$2:$J$50000,"验收测试",缺陷明细!$K$2:$K$50000,"致命",缺陷明细!$AB$2:$AB$50000,"&lt;&gt;丢弃",缺陷明细!$AB$2:$AB$50000,"&lt;&gt;设计如此",缺陷明细!$AB$2:$AB$50000,"&lt;&gt;重复Bug")+COUNTIFS(缺陷明细!$A$2:$A$50000,$B$4,缺陷明细!$G$2:$G$50000,$C52,缺陷明细!$J$2:$J$50000,"验收测试",缺陷明细!$K$2:$K$50000,"严重",缺陷明细!$AB$2:$AB$50000,"&lt;&gt;丢弃",缺陷明细!$AB$2:$AB$50000,"&lt;&gt;设计如此",缺陷明细!$AB$2:$AB$50000,"&lt;&gt;重复Bug")</f>
        <v>0</v>
      </c>
      <c r="X52" s="76">
        <f>COUNTIFS(缺陷明细!$A$2:$A$50000,$B$4,缺陷明细!$G$2:$G$50000,$C52,缺陷明细!$Q$2:$Q$50000,"已关闭",缺陷明细!$J$2:$J$50000,"验收测试",缺陷明细!$K$2:$K$50000,"致命")+COUNTIFS(缺陷明细!$A$2:$A$50000,$B$4,缺陷明细!$G$2:$G$50000,$C52,缺陷明细!$Q$2:$Q$50000,"已关闭",缺陷明细!$J$2:$J$50000,"验收测试",缺陷明细!$K$2:$K$50000,"严重")</f>
        <v>0</v>
      </c>
      <c r="Y52" s="70">
        <f>COUNTIFS(缺陷明细!$A$2:$A$50000,$B$4,缺陷明细!$G$2:$G$50000,$C52,缺陷明细!$J$2:$J$50000,"运维测试",缺陷明细!$AB$2:$AB$50000,"&lt;&gt;丢弃",缺陷明细!$AB$2:$AB$50000,"&lt;&gt;设计如此",缺陷明细!$AB$2:$AB$50000,"&lt;&gt;重复Bug")</f>
        <v>0</v>
      </c>
      <c r="Z52" s="71">
        <f>COUNTIFS(缺陷明细!$A$2:$A$50000,$B$4,缺陷明细!$G$2:$G$50000,$C52,缺陷明细!$Q$2:$Q$50000,"已关闭",缺陷明细!$J$2:$J$50000,"运维测试")</f>
        <v>0</v>
      </c>
      <c r="AA52" s="72">
        <f>COUNTIFS(缺陷明细!$A$2:$A$50000,$B$4,缺陷明细!$G$2:$G$50000,$C52,缺陷明细!$J$2:$J$50000,"运维测试",缺陷明细!$K$2:$K$50000,"致命",缺陷明细!$AB$2:$AB$50000,"&lt;&gt;丢弃",缺陷明细!$AB$2:$AB$50000,"&lt;&gt;设计如此",缺陷明细!$AB$2:$AB$50000,"&lt;&gt;重复Bug")+COUNTIFS(缺陷明细!$A$2:$A$50000,$B$4,缺陷明细!$G$2:$G$50000,$C52,缺陷明细!$J$2:$J$50000,"运维测试",缺陷明细!$K$2:$K$50000,"严重",缺陷明细!$AB$2:$AB$50000,"&lt;&gt;丢弃",缺陷明细!$AB$2:$AB$50000,"&lt;&gt;设计如此",缺陷明细!$AB$2:$AB$50000,"&lt;&gt;重复Bug")</f>
        <v>0</v>
      </c>
      <c r="AB52" s="73">
        <f>COUNTIFS(缺陷明细!$A$2:$A$50000,$B$4,缺陷明细!$G$2:$G$50000,$C52,缺陷明细!$Q$2:$Q$50000,"已关闭",缺陷明细!$J$2:$J$50000,"运维测试",缺陷明细!$K$2:$K$50000,"致命")+COUNTIFS(缺陷明细!$A$2:$A$50000,$B$4,缺陷明细!$G$2:$G$50000,$C52,缺陷明细!$Q$2:$Q$50000,"已关闭",缺陷明细!$J$2:$J$50000,"运维测试",缺陷明细!$K$2:$K$50000,"严重")</f>
        <v>0</v>
      </c>
      <c r="AC52" s="68">
        <f t="shared" si="0"/>
        <v>0</v>
      </c>
      <c r="AD52" s="60">
        <f t="shared" si="0"/>
        <v>0</v>
      </c>
      <c r="AE52" s="60">
        <f t="shared" si="1"/>
        <v>0</v>
      </c>
      <c r="AF52" s="60">
        <f t="shared" si="1"/>
        <v>0</v>
      </c>
      <c r="AG52" s="60">
        <f t="shared" si="2"/>
        <v>0</v>
      </c>
      <c r="AH52" s="60">
        <f t="shared" si="2"/>
        <v>0</v>
      </c>
      <c r="AI52" s="60">
        <f t="shared" si="3"/>
        <v>0</v>
      </c>
      <c r="AJ52" s="61">
        <f t="shared" si="3"/>
        <v>0</v>
      </c>
      <c r="AK52" s="144"/>
    </row>
    <row r="53" spans="1:37">
      <c r="A53">
        <v>49</v>
      </c>
      <c r="B53" s="57">
        <v>512</v>
      </c>
      <c r="C53" s="58" t="s">
        <v>394</v>
      </c>
      <c r="D53" s="84" t="s">
        <v>375</v>
      </c>
      <c r="E53" s="82" t="s">
        <v>346</v>
      </c>
      <c r="F53" s="158">
        <v>8</v>
      </c>
      <c r="G53" s="159">
        <v>0</v>
      </c>
      <c r="H53" s="281">
        <f>COUNTIFS(缺陷明细!$A$2:$A$50000,$B$4,缺陷明细!$G$2:$G$50000,$C53,缺陷明细!$J$2:$J$50000,"评审",缺陷明细!$AB$2:$AB$50000,"&lt;&gt;丢弃",缺陷明细!$AB$2:$AB$50000,"&lt;&gt;设计如此",缺陷明细!$AB$2:$AB$50000,"&lt;&gt;重复Bug")</f>
        <v>0</v>
      </c>
      <c r="I53" s="154">
        <f>COUNTIFS(缺陷明细!$A$2:$A$50000,$B$4,缺陷明细!$G$2:$G$50000,$C53,缺陷明细!$Q$2:$Q$50000,"已关闭",缺陷明细!$J$2:$J$50000,"评审")</f>
        <v>0</v>
      </c>
      <c r="J53" s="154">
        <f>COUNTIFS(缺陷明细!$A$2:$A$50000,$B$4,缺陷明细!$G$2:$G$50000,$C53,缺陷明细!$J$2:$J$50000,"单元测试",缺陷明细!$AB$2:$AB$50000,"&lt;&gt;丢弃",缺陷明细!$AB$2:$AB$50000,"&lt;&gt;设计如此",缺陷明细!$AB$2:$AB$50000,"&lt;&gt;重复Bug")</f>
        <v>0</v>
      </c>
      <c r="K53" s="155">
        <f>COUNTIFS(缺陷明细!$A$2:$A$50000,$B$4,缺陷明细!$G$2:$G$50000,$C53,缺陷明细!$Q$2:$Q$50000,"已关闭",缺陷明细!$J$2:$J$50000,"单元测试")</f>
        <v>0</v>
      </c>
      <c r="L53" s="156"/>
      <c r="M53" s="157"/>
      <c r="N53" s="72">
        <f>COUNTIFS(缺陷明细!$A$2:$A$50000,$B$4,缺陷明细!$G$2:$G$50000,$C53,缺陷明细!$J$2:$J$50000,"系统测试案例评审",缺陷明细!$AB$2:$AB$50000,"&lt;&gt;丢弃",缺陷明细!$AB$2:$AB$50000,"&lt;&gt;设计如此",缺陷明细!$AB$2:$AB$50000,"&lt;&gt;重复Bug")</f>
        <v>0</v>
      </c>
      <c r="O53" s="72">
        <f>COUNTIFS(缺陷明细!$A$2:$A$50000,$B$4,缺陷明细!$G$2:$G$50000,$C53,缺陷明细!$Q$2:$Q$50000,"已关闭",缺陷明细!$J$2:$J$50000,"系统测试案例评审")</f>
        <v>0</v>
      </c>
      <c r="P53" s="72">
        <f>COUNTIFS(缺陷明细!$A$2:$A$50000,$B$4,缺陷明细!$G$2:$G$50000,$C53,缺陷明细!$J$2:$J$50000,"系统测试",缺陷明细!$AB$2:$AB$50000,"&lt;&gt;丢弃",缺陷明细!$AB$2:$AB$50000,"&lt;&gt;设计如此",缺陷明细!$AB$2:$AB$50000,"&lt;&gt;重复Bug")</f>
        <v>0</v>
      </c>
      <c r="Q53" s="72">
        <f>COUNTIFS(缺陷明细!$A$2:$A$50000,$B$4,缺陷明细!$G$2:$G$50000,$C53,缺陷明细!$Q$2:$Q$50000,"已关闭",缺陷明细!$J$2:$J$50000,"系统测试")</f>
        <v>0</v>
      </c>
      <c r="R53" s="296">
        <f>COUNTIFS(缺陷明细!$A$2:$A$50000,$B$4,缺陷明细!$G$2:$G$50000,$C53,缺陷明细!$AB$2:$AB$50000,"丢弃",缺陷明细!$J$2:$J$50000,"系统测试")+COUNTIFS(缺陷明细!$A$2:$A$50000,$B$4,缺陷明细!$G$2:$G$50000,$C53,缺陷明细!$AB$2:$AB$50000,"设计如此",缺陷明细!$J$2:$J$50000,"系统测试")+COUNTIFS(缺陷明细!$A$2:$A$50000,$B$4,缺陷明细!$G$2:$G$50000,$C53,缺陷明细!$AB$2:$AB$50000,"重复Bug",缺陷明细!$J$2:$J$50000,"系统测试")</f>
        <v>0</v>
      </c>
      <c r="S53" s="72">
        <f>COUNTIFS(缺陷明细!$A$2:$A$50000,$B$4,缺陷明细!$G$2:$G$50000,$C53,缺陷明细!$J$2:$J$50000,"系统测试",缺陷明细!$K$2:$K$50000,"致命",缺陷明细!$AB$2:$AB$50000,"&lt;&gt;丢弃",缺陷明细!$AB$2:$AB$50000,"&lt;&gt;设计如此",缺陷明细!$AB$2:$AB$50000,"&lt;&gt;重复Bug")+COUNTIFS(缺陷明细!$A$2:$A$50000,$B$4,缺陷明细!$G$2:$G$50000,$C53,缺陷明细!$J$2:$J$50000,"系统测试",缺陷明细!$K$2:$K$50000,"严重",缺陷明细!$AB$2:$AB$50000,"&lt;&gt;丢弃",缺陷明细!$AB$2:$AB$50000,"&lt;&gt;设计如此",缺陷明细!$AB$2:$AB$50000,"&lt;&gt;重复Bug")</f>
        <v>0</v>
      </c>
      <c r="T53" s="73">
        <f>COUNTIFS(缺陷明细!$A$2:$A$50000,$B$4,缺陷明细!$G$2:$G$50000,$C53,缺陷明细!$Q$2:$Q$50000,"已关闭",缺陷明细!$J$2:$J$50000,"系统测试",缺陷明细!$K$2:$K$50000,"致命")+COUNTIFS(缺陷明细!$A$2:$A$50000,$B$4,缺陷明细!$G$2:$G$50000,$C53,缺陷明细!$Q$2:$Q$50000,"已关闭",缺陷明细!$J$2:$J$50000,"系统测试",缺陷明细!$K$2:$K$50000,"严重")</f>
        <v>0</v>
      </c>
      <c r="U53" s="74">
        <f>COUNTIFS(缺陷明细!$A$2:$A$50000,$B$4,缺陷明细!$G$2:$G$50000,$C53,缺陷明细!$J$2:$J$50000,"验收测试",缺陷明细!$AB$2:$AB$50000,"&lt;&gt;丢弃",缺陷明细!$AB$2:$AB$50000,"&lt;&gt;设计如此",缺陷明细!$AB$2:$AB$50000,"&lt;&gt;重复Bug")</f>
        <v>0</v>
      </c>
      <c r="V53" s="75">
        <f>COUNTIFS(缺陷明细!$A$2:$A$50000,$B$4,缺陷明细!$G$2:$G$50000,$C53,缺陷明细!$Q$2:$Q$50000,"已关闭",缺陷明细!$J$2:$J$50000,"验收测试")</f>
        <v>0</v>
      </c>
      <c r="W53" s="75">
        <f>COUNTIFS(缺陷明细!$A$2:$A$50000,$B$4,缺陷明细!$G$2:$G$50000,$C53,缺陷明细!$J$2:$J$50000,"验收测试",缺陷明细!$K$2:$K$50000,"致命",缺陷明细!$AB$2:$AB$50000,"&lt;&gt;丢弃",缺陷明细!$AB$2:$AB$50000,"&lt;&gt;设计如此",缺陷明细!$AB$2:$AB$50000,"&lt;&gt;重复Bug")+COUNTIFS(缺陷明细!$A$2:$A$50000,$B$4,缺陷明细!$G$2:$G$50000,$C53,缺陷明细!$J$2:$J$50000,"验收测试",缺陷明细!$K$2:$K$50000,"严重",缺陷明细!$AB$2:$AB$50000,"&lt;&gt;丢弃",缺陷明细!$AB$2:$AB$50000,"&lt;&gt;设计如此",缺陷明细!$AB$2:$AB$50000,"&lt;&gt;重复Bug")</f>
        <v>0</v>
      </c>
      <c r="X53" s="76">
        <f>COUNTIFS(缺陷明细!$A$2:$A$50000,$B$4,缺陷明细!$G$2:$G$50000,$C53,缺陷明细!$Q$2:$Q$50000,"已关闭",缺陷明细!$J$2:$J$50000,"验收测试",缺陷明细!$K$2:$K$50000,"致命")+COUNTIFS(缺陷明细!$A$2:$A$50000,$B$4,缺陷明细!$G$2:$G$50000,$C53,缺陷明细!$Q$2:$Q$50000,"已关闭",缺陷明细!$J$2:$J$50000,"验收测试",缺陷明细!$K$2:$K$50000,"严重")</f>
        <v>0</v>
      </c>
      <c r="Y53" s="70">
        <f>COUNTIFS(缺陷明细!$A$2:$A$50000,$B$4,缺陷明细!$G$2:$G$50000,$C53,缺陷明细!$J$2:$J$50000,"运维测试",缺陷明细!$AB$2:$AB$50000,"&lt;&gt;丢弃",缺陷明细!$AB$2:$AB$50000,"&lt;&gt;设计如此",缺陷明细!$AB$2:$AB$50000,"&lt;&gt;重复Bug")</f>
        <v>0</v>
      </c>
      <c r="Z53" s="71">
        <f>COUNTIFS(缺陷明细!$A$2:$A$50000,$B$4,缺陷明细!$G$2:$G$50000,$C53,缺陷明细!$Q$2:$Q$50000,"已关闭",缺陷明细!$J$2:$J$50000,"运维测试")</f>
        <v>0</v>
      </c>
      <c r="AA53" s="72">
        <f>COUNTIFS(缺陷明细!$A$2:$A$50000,$B$4,缺陷明细!$G$2:$G$50000,$C53,缺陷明细!$J$2:$J$50000,"运维测试",缺陷明细!$K$2:$K$50000,"致命",缺陷明细!$AB$2:$AB$50000,"&lt;&gt;丢弃",缺陷明细!$AB$2:$AB$50000,"&lt;&gt;设计如此",缺陷明细!$AB$2:$AB$50000,"&lt;&gt;重复Bug")+COUNTIFS(缺陷明细!$A$2:$A$50000,$B$4,缺陷明细!$G$2:$G$50000,$C53,缺陷明细!$J$2:$J$50000,"运维测试",缺陷明细!$K$2:$K$50000,"严重",缺陷明细!$AB$2:$AB$50000,"&lt;&gt;丢弃",缺陷明细!$AB$2:$AB$50000,"&lt;&gt;设计如此",缺陷明细!$AB$2:$AB$50000,"&lt;&gt;重复Bug")</f>
        <v>0</v>
      </c>
      <c r="AB53" s="73">
        <f>COUNTIFS(缺陷明细!$A$2:$A$50000,$B$4,缺陷明细!$G$2:$G$50000,$C53,缺陷明细!$Q$2:$Q$50000,"已关闭",缺陷明细!$J$2:$J$50000,"运维测试",缺陷明细!$K$2:$K$50000,"致命")+COUNTIFS(缺陷明细!$A$2:$A$50000,$B$4,缺陷明细!$G$2:$G$50000,$C53,缺陷明细!$Q$2:$Q$50000,"已关闭",缺陷明细!$J$2:$J$50000,"运维测试",缺陷明细!$K$2:$K$50000,"严重")</f>
        <v>0</v>
      </c>
      <c r="AC53" s="68">
        <f t="shared" si="0"/>
        <v>0</v>
      </c>
      <c r="AD53" s="60">
        <f t="shared" si="0"/>
        <v>0</v>
      </c>
      <c r="AE53" s="60">
        <f t="shared" si="1"/>
        <v>0</v>
      </c>
      <c r="AF53" s="60">
        <f t="shared" si="1"/>
        <v>0</v>
      </c>
      <c r="AG53" s="60">
        <f t="shared" si="2"/>
        <v>0</v>
      </c>
      <c r="AH53" s="60">
        <f t="shared" si="2"/>
        <v>0</v>
      </c>
      <c r="AI53" s="60">
        <f t="shared" si="3"/>
        <v>0</v>
      </c>
      <c r="AJ53" s="61">
        <f t="shared" si="3"/>
        <v>0</v>
      </c>
      <c r="AK53" s="144"/>
    </row>
    <row r="54" spans="1:37" ht="26.25" thickBot="1">
      <c r="A54">
        <v>50</v>
      </c>
      <c r="B54" s="57">
        <v>513</v>
      </c>
      <c r="C54" s="58" t="s">
        <v>395</v>
      </c>
      <c r="D54" s="84"/>
      <c r="E54" s="82" t="s">
        <v>346</v>
      </c>
      <c r="F54" s="158">
        <v>6</v>
      </c>
      <c r="G54" s="159">
        <v>8</v>
      </c>
      <c r="H54" s="281">
        <f>COUNTIFS(缺陷明细!$A$2:$A$50000,$B$4,缺陷明细!$G$2:$G$50000,$C54,缺陷明细!$J$2:$J$50000,"评审",缺陷明细!$AB$2:$AB$50000,"&lt;&gt;丢弃",缺陷明细!$AB$2:$AB$50000,"&lt;&gt;设计如此",缺陷明细!$AB$2:$AB$50000,"&lt;&gt;重复Bug")</f>
        <v>0</v>
      </c>
      <c r="I54" s="154">
        <f>COUNTIFS(缺陷明细!$A$2:$A$50000,$B$4,缺陷明细!$G$2:$G$50000,$C54,缺陷明细!$Q$2:$Q$50000,"已关闭",缺陷明细!$J$2:$J$50000,"评审")</f>
        <v>0</v>
      </c>
      <c r="J54" s="154">
        <f>COUNTIFS(缺陷明细!$A$2:$A$50000,$B$4,缺陷明细!$G$2:$G$50000,$C54,缺陷明细!$J$2:$J$50000,"单元测试",缺陷明细!$AB$2:$AB$50000,"&lt;&gt;丢弃",缺陷明细!$AB$2:$AB$50000,"&lt;&gt;设计如此",缺陷明细!$AB$2:$AB$50000,"&lt;&gt;重复Bug")</f>
        <v>0</v>
      </c>
      <c r="K54" s="155">
        <f>COUNTIFS(缺陷明细!$A$2:$A$50000,$B$4,缺陷明细!$G$2:$G$50000,$C54,缺陷明细!$Q$2:$Q$50000,"已关闭",缺陷明细!$J$2:$J$50000,"单元测试")</f>
        <v>0</v>
      </c>
      <c r="L54" s="156"/>
      <c r="M54" s="157"/>
      <c r="N54" s="72">
        <f>COUNTIFS(缺陷明细!$A$2:$A$50000,$B$4,缺陷明细!$G$2:$G$50000,$C54,缺陷明细!$J$2:$J$50000,"系统测试案例评审",缺陷明细!$AB$2:$AB$50000,"&lt;&gt;丢弃",缺陷明细!$AB$2:$AB$50000,"&lt;&gt;设计如此",缺陷明细!$AB$2:$AB$50000,"&lt;&gt;重复Bug")</f>
        <v>0</v>
      </c>
      <c r="O54" s="72">
        <f>COUNTIFS(缺陷明细!$A$2:$A$50000,$B$4,缺陷明细!$G$2:$G$50000,$C54,缺陷明细!$Q$2:$Q$50000,"已关闭",缺陷明细!$J$2:$J$50000,"系统测试案例评审")</f>
        <v>0</v>
      </c>
      <c r="P54" s="72">
        <f>COUNTIFS(缺陷明细!$A$2:$A$50000,$B$4,缺陷明细!$G$2:$G$50000,$C54,缺陷明细!$J$2:$J$50000,"系统测试",缺陷明细!$AB$2:$AB$50000,"&lt;&gt;丢弃",缺陷明细!$AB$2:$AB$50000,"&lt;&gt;设计如此",缺陷明细!$AB$2:$AB$50000,"&lt;&gt;重复Bug")</f>
        <v>0</v>
      </c>
      <c r="Q54" s="72">
        <f>COUNTIFS(缺陷明细!$A$2:$A$50000,$B$4,缺陷明细!$G$2:$G$50000,$C54,缺陷明细!$Q$2:$Q$50000,"已关闭",缺陷明细!$J$2:$J$50000,"系统测试")</f>
        <v>0</v>
      </c>
      <c r="R54" s="296">
        <f>COUNTIFS(缺陷明细!$A$2:$A$50000,$B$4,缺陷明细!$G$2:$G$50000,$C54,缺陷明细!$AB$2:$AB$50000,"丢弃",缺陷明细!$J$2:$J$50000,"系统测试")+COUNTIFS(缺陷明细!$A$2:$A$50000,$B$4,缺陷明细!$G$2:$G$50000,$C54,缺陷明细!$AB$2:$AB$50000,"设计如此",缺陷明细!$J$2:$J$50000,"系统测试")+COUNTIFS(缺陷明细!$A$2:$A$50000,$B$4,缺陷明细!$G$2:$G$50000,$C54,缺陷明细!$AB$2:$AB$50000,"重复Bug",缺陷明细!$J$2:$J$50000,"系统测试")</f>
        <v>0</v>
      </c>
      <c r="S54" s="72">
        <f>COUNTIFS(缺陷明细!$A$2:$A$50000,$B$4,缺陷明细!$G$2:$G$50000,$C54,缺陷明细!$J$2:$J$50000,"系统测试",缺陷明细!$K$2:$K$50000,"致命",缺陷明细!$AB$2:$AB$50000,"&lt;&gt;丢弃",缺陷明细!$AB$2:$AB$50000,"&lt;&gt;设计如此",缺陷明细!$AB$2:$AB$50000,"&lt;&gt;重复Bug")+COUNTIFS(缺陷明细!$A$2:$A$50000,$B$4,缺陷明细!$G$2:$G$50000,$C54,缺陷明细!$J$2:$J$50000,"系统测试",缺陷明细!$K$2:$K$50000,"严重",缺陷明细!$AB$2:$AB$50000,"&lt;&gt;丢弃",缺陷明细!$AB$2:$AB$50000,"&lt;&gt;设计如此",缺陷明细!$AB$2:$AB$50000,"&lt;&gt;重复Bug")</f>
        <v>0</v>
      </c>
      <c r="T54" s="73">
        <f>COUNTIFS(缺陷明细!$A$2:$A$50000,$B$4,缺陷明细!$G$2:$G$50000,$C54,缺陷明细!$Q$2:$Q$50000,"已关闭",缺陷明细!$J$2:$J$50000,"系统测试",缺陷明细!$K$2:$K$50000,"致命")+COUNTIFS(缺陷明细!$A$2:$A$50000,$B$4,缺陷明细!$G$2:$G$50000,$C54,缺陷明细!$Q$2:$Q$50000,"已关闭",缺陷明细!$J$2:$J$50000,"系统测试",缺陷明细!$K$2:$K$50000,"严重")</f>
        <v>0</v>
      </c>
      <c r="U54" s="74">
        <f>COUNTIFS(缺陷明细!$A$2:$A$50000,$B$4,缺陷明细!$G$2:$G$50000,$C54,缺陷明细!$J$2:$J$50000,"验收测试",缺陷明细!$AB$2:$AB$50000,"&lt;&gt;丢弃",缺陷明细!$AB$2:$AB$50000,"&lt;&gt;设计如此",缺陷明细!$AB$2:$AB$50000,"&lt;&gt;重复Bug")</f>
        <v>0</v>
      </c>
      <c r="V54" s="75">
        <f>COUNTIFS(缺陷明细!$A$2:$A$50000,$B$4,缺陷明细!$G$2:$G$50000,$C54,缺陷明细!$Q$2:$Q$50000,"已关闭",缺陷明细!$J$2:$J$50000,"验收测试")</f>
        <v>0</v>
      </c>
      <c r="W54" s="75">
        <f>COUNTIFS(缺陷明细!$A$2:$A$50000,$B$4,缺陷明细!$G$2:$G$50000,$C54,缺陷明细!$J$2:$J$50000,"验收测试",缺陷明细!$K$2:$K$50000,"致命",缺陷明细!$AB$2:$AB$50000,"&lt;&gt;丢弃",缺陷明细!$AB$2:$AB$50000,"&lt;&gt;设计如此",缺陷明细!$AB$2:$AB$50000,"&lt;&gt;重复Bug")+COUNTIFS(缺陷明细!$A$2:$A$50000,$B$4,缺陷明细!$G$2:$G$50000,$C54,缺陷明细!$J$2:$J$50000,"验收测试",缺陷明细!$K$2:$K$50000,"严重",缺陷明细!$AB$2:$AB$50000,"&lt;&gt;丢弃",缺陷明细!$AB$2:$AB$50000,"&lt;&gt;设计如此",缺陷明细!$AB$2:$AB$50000,"&lt;&gt;重复Bug")</f>
        <v>0</v>
      </c>
      <c r="X54" s="76">
        <f>COUNTIFS(缺陷明细!$A$2:$A$50000,$B$4,缺陷明细!$G$2:$G$50000,$C54,缺陷明细!$Q$2:$Q$50000,"已关闭",缺陷明细!$J$2:$J$50000,"验收测试",缺陷明细!$K$2:$K$50000,"致命")+COUNTIFS(缺陷明细!$A$2:$A$50000,$B$4,缺陷明细!$G$2:$G$50000,$C54,缺陷明细!$Q$2:$Q$50000,"已关闭",缺陷明细!$J$2:$J$50000,"验收测试",缺陷明细!$K$2:$K$50000,"严重")</f>
        <v>0</v>
      </c>
      <c r="Y54" s="70">
        <f>COUNTIFS(缺陷明细!$A$2:$A$50000,$B$4,缺陷明细!$G$2:$G$50000,$C54,缺陷明细!$J$2:$J$50000,"运维测试",缺陷明细!$AB$2:$AB$50000,"&lt;&gt;丢弃",缺陷明细!$AB$2:$AB$50000,"&lt;&gt;设计如此",缺陷明细!$AB$2:$AB$50000,"&lt;&gt;重复Bug")</f>
        <v>0</v>
      </c>
      <c r="Z54" s="71">
        <f>COUNTIFS(缺陷明细!$A$2:$A$50000,$B$4,缺陷明细!$G$2:$G$50000,$C54,缺陷明细!$Q$2:$Q$50000,"已关闭",缺陷明细!$J$2:$J$50000,"运维测试")</f>
        <v>0</v>
      </c>
      <c r="AA54" s="72">
        <f>COUNTIFS(缺陷明细!$A$2:$A$50000,$B$4,缺陷明细!$G$2:$G$50000,$C54,缺陷明细!$J$2:$J$50000,"运维测试",缺陷明细!$K$2:$K$50000,"致命",缺陷明细!$AB$2:$AB$50000,"&lt;&gt;丢弃",缺陷明细!$AB$2:$AB$50000,"&lt;&gt;设计如此",缺陷明细!$AB$2:$AB$50000,"&lt;&gt;重复Bug")+COUNTIFS(缺陷明细!$A$2:$A$50000,$B$4,缺陷明细!$G$2:$G$50000,$C54,缺陷明细!$J$2:$J$50000,"运维测试",缺陷明细!$K$2:$K$50000,"严重",缺陷明细!$AB$2:$AB$50000,"&lt;&gt;丢弃",缺陷明细!$AB$2:$AB$50000,"&lt;&gt;设计如此",缺陷明细!$AB$2:$AB$50000,"&lt;&gt;重复Bug")</f>
        <v>0</v>
      </c>
      <c r="AB54" s="73">
        <f>COUNTIFS(缺陷明细!$A$2:$A$50000,$B$4,缺陷明细!$G$2:$G$50000,$C54,缺陷明细!$Q$2:$Q$50000,"已关闭",缺陷明细!$J$2:$J$50000,"运维测试",缺陷明细!$K$2:$K$50000,"致命")+COUNTIFS(缺陷明细!$A$2:$A$50000,$B$4,缺陷明细!$G$2:$G$50000,$C54,缺陷明细!$Q$2:$Q$50000,"已关闭",缺陷明细!$J$2:$J$50000,"运维测试",缺陷明细!$K$2:$K$50000,"严重")</f>
        <v>0</v>
      </c>
      <c r="AC54" s="68">
        <f t="shared" si="0"/>
        <v>0</v>
      </c>
      <c r="AD54" s="60">
        <f t="shared" si="0"/>
        <v>0</v>
      </c>
      <c r="AE54" s="60">
        <f t="shared" si="1"/>
        <v>0</v>
      </c>
      <c r="AF54" s="60">
        <f t="shared" si="1"/>
        <v>0</v>
      </c>
      <c r="AG54" s="60">
        <f t="shared" si="2"/>
        <v>0</v>
      </c>
      <c r="AH54" s="60">
        <f t="shared" si="2"/>
        <v>0</v>
      </c>
      <c r="AI54" s="60">
        <f t="shared" si="3"/>
        <v>0</v>
      </c>
      <c r="AJ54" s="61">
        <f t="shared" si="3"/>
        <v>0</v>
      </c>
      <c r="AK54" s="144"/>
    </row>
    <row r="55" spans="1:37" ht="25.5">
      <c r="A55">
        <v>51</v>
      </c>
      <c r="B55" s="78">
        <v>514</v>
      </c>
      <c r="C55" s="79" t="s">
        <v>396</v>
      </c>
      <c r="D55" s="82" t="s">
        <v>343</v>
      </c>
      <c r="E55" s="82" t="s">
        <v>346</v>
      </c>
      <c r="F55" s="152">
        <v>0</v>
      </c>
      <c r="G55" s="153">
        <v>0</v>
      </c>
      <c r="H55" s="271">
        <f>COUNTIFS(缺陷明细!$A$2:$A$50000,$B$4,缺陷明细!$G$2:$G$50000,$C55,缺陷明细!$J$2:$J$50000,"评审",缺陷明细!$AB$2:$AB$50000,"&lt;&gt;丢弃",缺陷明细!$AB$2:$AB$50000,"&lt;&gt;设计如此",缺陷明细!$AB$2:$AB$50000,"&lt;&gt;重复Bug")</f>
        <v>0</v>
      </c>
      <c r="I55" s="272">
        <f>COUNTIFS(缺陷明细!$A$2:$A$50000,$B$4,缺陷明细!$G$2:$G$50000,$C55,缺陷明细!$Q$2:$Q$50000,"已关闭",缺陷明细!$J$2:$J$50000,"评审")</f>
        <v>0</v>
      </c>
      <c r="J55" s="272">
        <f>COUNTIFS(缺陷明细!$A$2:$A$50000,$B$4,缺陷明细!$G$2:$G$50000,$C55,缺陷明细!$J$2:$J$50000,"单元测试",缺陷明细!$AB$2:$AB$50000,"&lt;&gt;丢弃",缺陷明细!$AB$2:$AB$50000,"&lt;&gt;设计如此",缺陷明细!$AB$2:$AB$50000,"&lt;&gt;重复Bug")</f>
        <v>0</v>
      </c>
      <c r="K55" s="273">
        <f>COUNTIFS(缺陷明细!$A$2:$A$50000,$B$4,缺陷明细!$G$2:$G$50000,$C55,缺陷明细!$Q$2:$Q$50000,"已关闭",缺陷明细!$J$2:$J$50000,"单元测试")</f>
        <v>0</v>
      </c>
      <c r="L55" s="156"/>
      <c r="M55" s="157"/>
      <c r="N55" s="72">
        <f>COUNTIFS(缺陷明细!$A$2:$A$50000,$B$4,缺陷明细!$G$2:$G$50000,$C55,缺陷明细!$J$2:$J$50000,"系统测试案例评审",缺陷明细!$AB$2:$AB$50000,"&lt;&gt;丢弃",缺陷明细!$AB$2:$AB$50000,"&lt;&gt;设计如此",缺陷明细!$AB$2:$AB$50000,"&lt;&gt;重复Bug")</f>
        <v>0</v>
      </c>
      <c r="O55" s="72">
        <f>COUNTIFS(缺陷明细!$A$2:$A$50000,$B$4,缺陷明细!$G$2:$G$50000,$C55,缺陷明细!$Q$2:$Q$50000,"已关闭",缺陷明细!$J$2:$J$50000,"系统测试案例评审")</f>
        <v>0</v>
      </c>
      <c r="P55" s="72">
        <f>COUNTIFS(缺陷明细!$A$2:$A$50000,$B$4,缺陷明细!$G$2:$G$50000,$C55,缺陷明细!$J$2:$J$50000,"系统测试",缺陷明细!$AB$2:$AB$50000,"&lt;&gt;丢弃",缺陷明细!$AB$2:$AB$50000,"&lt;&gt;设计如此",缺陷明细!$AB$2:$AB$50000,"&lt;&gt;重复Bug")</f>
        <v>0</v>
      </c>
      <c r="Q55" s="72">
        <f>COUNTIFS(缺陷明细!$A$2:$A$50000,$B$4,缺陷明细!$G$2:$G$50000,$C55,缺陷明细!$Q$2:$Q$50000,"已关闭",缺陷明细!$J$2:$J$50000,"系统测试")</f>
        <v>0</v>
      </c>
      <c r="R55" s="72">
        <f>COUNTIFS(缺陷明细!$A$2:$A$50000,$B$4,缺陷明细!$G$2:$G$50000,$C55,缺陷明细!$AB$2:$AB$50000,"丢弃",缺陷明细!$J$2:$J$50000,"系统测试")+COUNTIFS(缺陷明细!$A$2:$A$50000,$B$4,缺陷明细!$G$2:$G$50000,$C55,缺陷明细!$AB$2:$AB$50000,"设计如此",缺陷明细!$J$2:$J$50000,"系统测试")+COUNTIFS(缺陷明细!$A$2:$A$50000,$B$4,缺陷明细!$G$2:$G$50000,$C55,缺陷明细!$AB$2:$AB$50000,"重复Bug",缺陷明细!$J$2:$J$50000,"系统测试")</f>
        <v>0</v>
      </c>
      <c r="S55" s="72">
        <f>COUNTIFS(缺陷明细!$A$2:$A$50000,$B$4,缺陷明细!$G$2:$G$50000,$C55,缺陷明细!$J$2:$J$50000,"系统测试",缺陷明细!$K$2:$K$50000,"致命",缺陷明细!$AB$2:$AB$50000,"&lt;&gt;丢弃",缺陷明细!$AB$2:$AB$50000,"&lt;&gt;设计如此",缺陷明细!$AB$2:$AB$50000,"&lt;&gt;重复Bug")+COUNTIFS(缺陷明细!$A$2:$A$50000,$B$4,缺陷明细!$G$2:$G$50000,$C55,缺陷明细!$J$2:$J$50000,"系统测试",缺陷明细!$K$2:$K$50000,"严重",缺陷明细!$AB$2:$AB$50000,"&lt;&gt;丢弃",缺陷明细!$AB$2:$AB$50000,"&lt;&gt;设计如此",缺陷明细!$AB$2:$AB$50000,"&lt;&gt;重复Bug")</f>
        <v>0</v>
      </c>
      <c r="T55" s="73">
        <f>COUNTIFS(缺陷明细!$A$2:$A$50000,$B$4,缺陷明细!$G$2:$G$50000,$C55,缺陷明细!$Q$2:$Q$50000,"已关闭",缺陷明细!$J$2:$J$50000,"系统测试",缺陷明细!$K$2:$K$50000,"致命")+COUNTIFS(缺陷明细!$A$2:$A$50000,$B$4,缺陷明细!$G$2:$G$50000,$C55,缺陷明细!$Q$2:$Q$50000,"已关闭",缺陷明细!$J$2:$J$50000,"系统测试",缺陷明细!$K$2:$K$50000,"严重")</f>
        <v>0</v>
      </c>
      <c r="U55" s="276">
        <f>COUNTIFS(缺陷明细!$A$2:$A$50000,$B$4,缺陷明细!$G$2:$G$50000,$C55,缺陷明细!$J$2:$J$50000,"验收测试",缺陷明细!$AB$2:$AB$50000,"&lt;&gt;丢弃",缺陷明细!$AB$2:$AB$50000,"&lt;&gt;设计如此",缺陷明细!$AB$2:$AB$50000,"&lt;&gt;重复Bug")</f>
        <v>0</v>
      </c>
      <c r="V55" s="277">
        <f>COUNTIFS(缺陷明细!$A$2:$A$50000,$B$4,缺陷明细!$G$2:$G$50000,$C55,缺陷明细!$Q$2:$Q$50000,"已关闭",缺陷明细!$J$2:$J$50000,"验收测试")</f>
        <v>0</v>
      </c>
      <c r="W55" s="277">
        <f>COUNTIFS(缺陷明细!$A$2:$A$50000,$B$4,缺陷明细!$G$2:$G$50000,$C55,缺陷明细!$J$2:$J$50000,"验收测试",缺陷明细!$K$2:$K$50000,"致命",缺陷明细!$AB$2:$AB$50000,"&lt;&gt;丢弃",缺陷明细!$AB$2:$AB$50000,"&lt;&gt;设计如此",缺陷明细!$AB$2:$AB$50000,"&lt;&gt;重复Bug")+COUNTIFS(缺陷明细!$A$2:$A$50000,$B$4,缺陷明细!$G$2:$G$50000,$C55,缺陷明细!$J$2:$J$50000,"验收测试",缺陷明细!$K$2:$K$50000,"严重",缺陷明细!$AB$2:$AB$50000,"&lt;&gt;丢弃",缺陷明细!$AB$2:$AB$50000,"&lt;&gt;设计如此",缺陷明细!$AB$2:$AB$50000,"&lt;&gt;重复Bug")</f>
        <v>0</v>
      </c>
      <c r="X55" s="278">
        <f>COUNTIFS(缺陷明细!$A$2:$A$50000,$B$4,缺陷明细!$G$2:$G$50000,$C55,缺陷明细!$Q$2:$Q$50000,"已关闭",缺陷明细!$J$2:$J$50000,"验收测试",缺陷明细!$K$2:$K$50000,"致命")+COUNTIFS(缺陷明细!$A$2:$A$50000,$B$4,缺陷明细!$G$2:$G$50000,$C55,缺陷明细!$Q$2:$Q$50000,"已关闭",缺陷明细!$J$2:$J$50000,"验收测试",缺陷明细!$K$2:$K$50000,"严重")</f>
        <v>0</v>
      </c>
      <c r="Y55" s="279">
        <f>COUNTIFS(缺陷明细!$A$2:$A$50000,$B$4,缺陷明细!$G$2:$G$50000,$C55,缺陷明细!$J$2:$J$50000,"运维测试",缺陷明细!$AB$2:$AB$50000,"&lt;&gt;丢弃",缺陷明细!$AB$2:$AB$50000,"&lt;&gt;设计如此",缺陷明细!$AB$2:$AB$50000,"&lt;&gt;重复Bug")</f>
        <v>0</v>
      </c>
      <c r="Z55" s="280">
        <f>COUNTIFS(缺陷明细!$A$2:$A$50000,$B$4,缺陷明细!$G$2:$G$50000,$C55,缺陷明细!$Q$2:$Q$50000,"已关闭",缺陷明细!$J$2:$J$50000,"运维测试")</f>
        <v>0</v>
      </c>
      <c r="AA55" s="274">
        <f>COUNTIFS(缺陷明细!$A$2:$A$50000,$B$4,缺陷明细!$G$2:$G$50000,$C55,缺陷明细!$J$2:$J$50000,"运维测试",缺陷明细!$K$2:$K$50000,"致命",缺陷明细!$AB$2:$AB$50000,"&lt;&gt;丢弃",缺陷明细!$AB$2:$AB$50000,"&lt;&gt;设计如此",缺陷明细!$AB$2:$AB$50000,"&lt;&gt;重复Bug")+COUNTIFS(缺陷明细!$A$2:$A$50000,$B$4,缺陷明细!$G$2:$G$50000,$C55,缺陷明细!$J$2:$J$50000,"运维测试",缺陷明细!$K$2:$K$50000,"严重",缺陷明细!$AB$2:$AB$50000,"&lt;&gt;丢弃",缺陷明细!$AB$2:$AB$50000,"&lt;&gt;设计如此",缺陷明细!$AB$2:$AB$50000,"&lt;&gt;重复Bug")</f>
        <v>0</v>
      </c>
      <c r="AB55" s="275">
        <f>COUNTIFS(缺陷明细!$A$2:$A$50000,$B$4,缺陷明细!$G$2:$G$50000,$C55,缺陷明细!$Q$2:$Q$50000,"已关闭",缺陷明细!$J$2:$J$50000,"运维测试",缺陷明细!$K$2:$K$50000,"致命")+COUNTIFS(缺陷明细!$A$2:$A$50000,$B$4,缺陷明细!$G$2:$G$50000,$C55,缺陷明细!$Q$2:$Q$50000,"已关闭",缺陷明细!$J$2:$J$50000,"运维测试",缺陷明细!$K$2:$K$50000,"严重")</f>
        <v>0</v>
      </c>
      <c r="AC55" s="68">
        <f>H55</f>
        <v>0</v>
      </c>
      <c r="AD55" s="60">
        <f>I55</f>
        <v>0</v>
      </c>
      <c r="AE55" s="60">
        <f>H55+J55</f>
        <v>0</v>
      </c>
      <c r="AF55" s="60">
        <f>I55+K55</f>
        <v>0</v>
      </c>
      <c r="AG55" s="60">
        <f>H55+J55+P55</f>
        <v>0</v>
      </c>
      <c r="AH55" s="60">
        <f>I55+K55+Q55</f>
        <v>0</v>
      </c>
      <c r="AI55" s="60">
        <f>Y55</f>
        <v>0</v>
      </c>
      <c r="AJ55" s="61">
        <f>Z55</f>
        <v>0</v>
      </c>
      <c r="AK55" s="143"/>
    </row>
    <row r="56" spans="1:37" ht="25.5">
      <c r="A56">
        <v>52</v>
      </c>
      <c r="B56" s="57">
        <v>515</v>
      </c>
      <c r="C56" s="58" t="s">
        <v>397</v>
      </c>
      <c r="D56" s="83" t="s">
        <v>343</v>
      </c>
      <c r="E56" s="82" t="s">
        <v>346</v>
      </c>
      <c r="F56" s="158">
        <v>8</v>
      </c>
      <c r="G56" s="159">
        <v>16</v>
      </c>
      <c r="H56" s="281">
        <f>COUNTIFS(缺陷明细!$A$2:$A$50000,$B$4,缺陷明细!$G$2:$G$50000,$C56,缺陷明细!$J$2:$J$50000,"评审",缺陷明细!$AB$2:$AB$50000,"&lt;&gt;丢弃",缺陷明细!$AB$2:$AB$50000,"&lt;&gt;设计如此",缺陷明细!$AB$2:$AB$50000,"&lt;&gt;重复Bug")</f>
        <v>0</v>
      </c>
      <c r="I56" s="154">
        <f>COUNTIFS(缺陷明细!$A$2:$A$50000,$B$4,缺陷明细!$G$2:$G$50000,$C56,缺陷明细!$Q$2:$Q$50000,"已关闭",缺陷明细!$J$2:$J$50000,"评审")</f>
        <v>0</v>
      </c>
      <c r="J56" s="154">
        <f>COUNTIFS(缺陷明细!$A$2:$A$50000,$B$4,缺陷明细!$G$2:$G$50000,$C56,缺陷明细!$J$2:$J$50000,"单元测试",缺陷明细!$AB$2:$AB$50000,"&lt;&gt;丢弃",缺陷明细!$AB$2:$AB$50000,"&lt;&gt;设计如此",缺陷明细!$AB$2:$AB$50000,"&lt;&gt;重复Bug")</f>
        <v>0</v>
      </c>
      <c r="K56" s="155">
        <f>COUNTIFS(缺陷明细!$A$2:$A$50000,$B$4,缺陷明细!$G$2:$G$50000,$C56,缺陷明细!$Q$2:$Q$50000,"已关闭",缺陷明细!$J$2:$J$50000,"单元测试")</f>
        <v>0</v>
      </c>
      <c r="L56" s="156"/>
      <c r="M56" s="157"/>
      <c r="N56" s="72">
        <f>COUNTIFS(缺陷明细!$A$2:$A$50000,$B$4,缺陷明细!$G$2:$G$50000,$C56,缺陷明细!$J$2:$J$50000,"系统测试案例评审",缺陷明细!$AB$2:$AB$50000,"&lt;&gt;丢弃",缺陷明细!$AB$2:$AB$50000,"&lt;&gt;设计如此",缺陷明细!$AB$2:$AB$50000,"&lt;&gt;重复Bug")</f>
        <v>0</v>
      </c>
      <c r="O56" s="72">
        <f>COUNTIFS(缺陷明细!$A$2:$A$50000,$B$4,缺陷明细!$G$2:$G$50000,$C56,缺陷明细!$Q$2:$Q$50000,"已关闭",缺陷明细!$J$2:$J$50000,"系统测试案例评审")</f>
        <v>0</v>
      </c>
      <c r="P56" s="72">
        <f>COUNTIFS(缺陷明细!$A$2:$A$50000,$B$4,缺陷明细!$G$2:$G$50000,$C56,缺陷明细!$J$2:$J$50000,"系统测试",缺陷明细!$AB$2:$AB$50000,"&lt;&gt;丢弃",缺陷明细!$AB$2:$AB$50000,"&lt;&gt;设计如此",缺陷明细!$AB$2:$AB$50000,"&lt;&gt;重复Bug")</f>
        <v>0</v>
      </c>
      <c r="Q56" s="72">
        <f>COUNTIFS(缺陷明细!$A$2:$A$50000,$B$4,缺陷明细!$G$2:$G$50000,$C56,缺陷明细!$Q$2:$Q$50000,"已关闭",缺陷明细!$J$2:$J$50000,"系统测试")</f>
        <v>0</v>
      </c>
      <c r="R56" s="296">
        <f>COUNTIFS(缺陷明细!$A$2:$A$50000,$B$4,缺陷明细!$G$2:$G$50000,$C56,缺陷明细!$AB$2:$AB$50000,"丢弃",缺陷明细!$J$2:$J$50000,"系统测试")+COUNTIFS(缺陷明细!$A$2:$A$50000,$B$4,缺陷明细!$G$2:$G$50000,$C56,缺陷明细!$AB$2:$AB$50000,"设计如此",缺陷明细!$J$2:$J$50000,"系统测试")+COUNTIFS(缺陷明细!$A$2:$A$50000,$B$4,缺陷明细!$G$2:$G$50000,$C56,缺陷明细!$AB$2:$AB$50000,"重复Bug",缺陷明细!$J$2:$J$50000,"系统测试")</f>
        <v>0</v>
      </c>
      <c r="S56" s="72">
        <f>COUNTIFS(缺陷明细!$A$2:$A$50000,$B$4,缺陷明细!$G$2:$G$50000,$C56,缺陷明细!$J$2:$J$50000,"系统测试",缺陷明细!$K$2:$K$50000,"致命",缺陷明细!$AB$2:$AB$50000,"&lt;&gt;丢弃",缺陷明细!$AB$2:$AB$50000,"&lt;&gt;设计如此",缺陷明细!$AB$2:$AB$50000,"&lt;&gt;重复Bug")+COUNTIFS(缺陷明细!$A$2:$A$50000,$B$4,缺陷明细!$G$2:$G$50000,$C56,缺陷明细!$J$2:$J$50000,"系统测试",缺陷明细!$K$2:$K$50000,"严重",缺陷明细!$AB$2:$AB$50000,"&lt;&gt;丢弃",缺陷明细!$AB$2:$AB$50000,"&lt;&gt;设计如此",缺陷明细!$AB$2:$AB$50000,"&lt;&gt;重复Bug")</f>
        <v>0</v>
      </c>
      <c r="T56" s="73">
        <f>COUNTIFS(缺陷明细!$A$2:$A$50000,$B$4,缺陷明细!$G$2:$G$50000,$C56,缺陷明细!$Q$2:$Q$50000,"已关闭",缺陷明细!$J$2:$J$50000,"系统测试",缺陷明细!$K$2:$K$50000,"致命")+COUNTIFS(缺陷明细!$A$2:$A$50000,$B$4,缺陷明细!$G$2:$G$50000,$C56,缺陷明细!$Q$2:$Q$50000,"已关闭",缺陷明细!$J$2:$J$50000,"系统测试",缺陷明细!$K$2:$K$50000,"严重")</f>
        <v>0</v>
      </c>
      <c r="U56" s="74">
        <f>COUNTIFS(缺陷明细!$A$2:$A$50000,$B$4,缺陷明细!$G$2:$G$50000,$C56,缺陷明细!$J$2:$J$50000,"验收测试",缺陷明细!$AB$2:$AB$50000,"&lt;&gt;丢弃",缺陷明细!$AB$2:$AB$50000,"&lt;&gt;设计如此",缺陷明细!$AB$2:$AB$50000,"&lt;&gt;重复Bug")</f>
        <v>0</v>
      </c>
      <c r="V56" s="75">
        <f>COUNTIFS(缺陷明细!$A$2:$A$50000,$B$4,缺陷明细!$G$2:$G$50000,$C56,缺陷明细!$Q$2:$Q$50000,"已关闭",缺陷明细!$J$2:$J$50000,"验收测试")</f>
        <v>0</v>
      </c>
      <c r="W56" s="75">
        <f>COUNTIFS(缺陷明细!$A$2:$A$50000,$B$4,缺陷明细!$G$2:$G$50000,$C56,缺陷明细!$J$2:$J$50000,"验收测试",缺陷明细!$K$2:$K$50000,"致命",缺陷明细!$AB$2:$AB$50000,"&lt;&gt;丢弃",缺陷明细!$AB$2:$AB$50000,"&lt;&gt;设计如此",缺陷明细!$AB$2:$AB$50000,"&lt;&gt;重复Bug")+COUNTIFS(缺陷明细!$A$2:$A$50000,$B$4,缺陷明细!$G$2:$G$50000,$C56,缺陷明细!$J$2:$J$50000,"验收测试",缺陷明细!$K$2:$K$50000,"严重",缺陷明细!$AB$2:$AB$50000,"&lt;&gt;丢弃",缺陷明细!$AB$2:$AB$50000,"&lt;&gt;设计如此",缺陷明细!$AB$2:$AB$50000,"&lt;&gt;重复Bug")</f>
        <v>0</v>
      </c>
      <c r="X56" s="76">
        <f>COUNTIFS(缺陷明细!$A$2:$A$50000,$B$4,缺陷明细!$G$2:$G$50000,$C56,缺陷明细!$Q$2:$Q$50000,"已关闭",缺陷明细!$J$2:$J$50000,"验收测试",缺陷明细!$K$2:$K$50000,"致命")+COUNTIFS(缺陷明细!$A$2:$A$50000,$B$4,缺陷明细!$G$2:$G$50000,$C56,缺陷明细!$Q$2:$Q$50000,"已关闭",缺陷明细!$J$2:$J$50000,"验收测试",缺陷明细!$K$2:$K$50000,"严重")</f>
        <v>0</v>
      </c>
      <c r="Y56" s="70">
        <f>COUNTIFS(缺陷明细!$A$2:$A$50000,$B$4,缺陷明细!$G$2:$G$50000,$C56,缺陷明细!$J$2:$J$50000,"运维测试",缺陷明细!$AB$2:$AB$50000,"&lt;&gt;丢弃",缺陷明细!$AB$2:$AB$50000,"&lt;&gt;设计如此",缺陷明细!$AB$2:$AB$50000,"&lt;&gt;重复Bug")</f>
        <v>0</v>
      </c>
      <c r="Z56" s="71">
        <f>COUNTIFS(缺陷明细!$A$2:$A$50000,$B$4,缺陷明细!$G$2:$G$50000,$C56,缺陷明细!$Q$2:$Q$50000,"已关闭",缺陷明细!$J$2:$J$50000,"运维测试")</f>
        <v>0</v>
      </c>
      <c r="AA56" s="72">
        <f>COUNTIFS(缺陷明细!$A$2:$A$50000,$B$4,缺陷明细!$G$2:$G$50000,$C56,缺陷明细!$J$2:$J$50000,"运维测试",缺陷明细!$K$2:$K$50000,"致命",缺陷明细!$AB$2:$AB$50000,"&lt;&gt;丢弃",缺陷明细!$AB$2:$AB$50000,"&lt;&gt;设计如此",缺陷明细!$AB$2:$AB$50000,"&lt;&gt;重复Bug")+COUNTIFS(缺陷明细!$A$2:$A$50000,$B$4,缺陷明细!$G$2:$G$50000,$C56,缺陷明细!$J$2:$J$50000,"运维测试",缺陷明细!$K$2:$K$50000,"严重",缺陷明细!$AB$2:$AB$50000,"&lt;&gt;丢弃",缺陷明细!$AB$2:$AB$50000,"&lt;&gt;设计如此",缺陷明细!$AB$2:$AB$50000,"&lt;&gt;重复Bug")</f>
        <v>0</v>
      </c>
      <c r="AB56" s="73">
        <f>COUNTIFS(缺陷明细!$A$2:$A$50000,$B$4,缺陷明细!$G$2:$G$50000,$C56,缺陷明细!$Q$2:$Q$50000,"已关闭",缺陷明细!$J$2:$J$50000,"运维测试",缺陷明细!$K$2:$K$50000,"致命")+COUNTIFS(缺陷明细!$A$2:$A$50000,$B$4,缺陷明细!$G$2:$G$50000,$C56,缺陷明细!$Q$2:$Q$50000,"已关闭",缺陷明细!$J$2:$J$50000,"运维测试",缺陷明细!$K$2:$K$50000,"严重")</f>
        <v>0</v>
      </c>
      <c r="AC56" s="68">
        <f t="shared" ref="AC56:AC104" si="4">H56</f>
        <v>0</v>
      </c>
      <c r="AD56" s="60">
        <f t="shared" ref="AD56:AD104" si="5">I56</f>
        <v>0</v>
      </c>
      <c r="AE56" s="60">
        <f t="shared" ref="AE56:AE104" si="6">H56+J56</f>
        <v>0</v>
      </c>
      <c r="AF56" s="60">
        <f t="shared" ref="AF56:AF104" si="7">I56+K56</f>
        <v>0</v>
      </c>
      <c r="AG56" s="60">
        <f t="shared" ref="AG56:AG104" si="8">H56+J56+P56</f>
        <v>0</v>
      </c>
      <c r="AH56" s="60">
        <f t="shared" ref="AH56:AH104" si="9">I56+K56+Q56</f>
        <v>0</v>
      </c>
      <c r="AI56" s="60">
        <f t="shared" ref="AI56:AI104" si="10">Y56</f>
        <v>0</v>
      </c>
      <c r="AJ56" s="61">
        <f t="shared" ref="AJ56:AJ104" si="11">Z56</f>
        <v>0</v>
      </c>
      <c r="AK56" s="144"/>
    </row>
    <row r="57" spans="1:37" ht="25.5">
      <c r="A57">
        <v>53</v>
      </c>
      <c r="B57" s="57">
        <v>516</v>
      </c>
      <c r="C57" s="58" t="s">
        <v>398</v>
      </c>
      <c r="D57" s="83" t="s">
        <v>343</v>
      </c>
      <c r="E57" s="82" t="s">
        <v>346</v>
      </c>
      <c r="F57" s="158">
        <v>0</v>
      </c>
      <c r="G57" s="159">
        <v>0</v>
      </c>
      <c r="H57" s="281">
        <f>COUNTIFS(缺陷明细!$A$2:$A$50000,$B$4,缺陷明细!$G$2:$G$50000,$C57,缺陷明细!$J$2:$J$50000,"评审",缺陷明细!$AB$2:$AB$50000,"&lt;&gt;丢弃",缺陷明细!$AB$2:$AB$50000,"&lt;&gt;设计如此",缺陷明细!$AB$2:$AB$50000,"&lt;&gt;重复Bug")</f>
        <v>0</v>
      </c>
      <c r="I57" s="154">
        <f>COUNTIFS(缺陷明细!$A$2:$A$50000,$B$4,缺陷明细!$G$2:$G$50000,$C57,缺陷明细!$Q$2:$Q$50000,"已关闭",缺陷明细!$J$2:$J$50000,"评审")</f>
        <v>0</v>
      </c>
      <c r="J57" s="154">
        <f>COUNTIFS(缺陷明细!$A$2:$A$50000,$B$4,缺陷明细!$G$2:$G$50000,$C57,缺陷明细!$J$2:$J$50000,"单元测试",缺陷明细!$AB$2:$AB$50000,"&lt;&gt;丢弃",缺陷明细!$AB$2:$AB$50000,"&lt;&gt;设计如此",缺陷明细!$AB$2:$AB$50000,"&lt;&gt;重复Bug")</f>
        <v>0</v>
      </c>
      <c r="K57" s="155">
        <f>COUNTIFS(缺陷明细!$A$2:$A$50000,$B$4,缺陷明细!$G$2:$G$50000,$C57,缺陷明细!$Q$2:$Q$50000,"已关闭",缺陷明细!$J$2:$J$50000,"单元测试")</f>
        <v>0</v>
      </c>
      <c r="L57" s="156"/>
      <c r="M57" s="157"/>
      <c r="N57" s="72">
        <f>COUNTIFS(缺陷明细!$A$2:$A$50000,$B$4,缺陷明细!$G$2:$G$50000,$C57,缺陷明细!$J$2:$J$50000,"系统测试案例评审",缺陷明细!$AB$2:$AB$50000,"&lt;&gt;丢弃",缺陷明细!$AB$2:$AB$50000,"&lt;&gt;设计如此",缺陷明细!$AB$2:$AB$50000,"&lt;&gt;重复Bug")</f>
        <v>0</v>
      </c>
      <c r="O57" s="72">
        <f>COUNTIFS(缺陷明细!$A$2:$A$50000,$B$4,缺陷明细!$G$2:$G$50000,$C57,缺陷明细!$Q$2:$Q$50000,"已关闭",缺陷明细!$J$2:$J$50000,"系统测试案例评审")</f>
        <v>0</v>
      </c>
      <c r="P57" s="72">
        <f>COUNTIFS(缺陷明细!$A$2:$A$50000,$B$4,缺陷明细!$G$2:$G$50000,$C57,缺陷明细!$J$2:$J$50000,"系统测试",缺陷明细!$AB$2:$AB$50000,"&lt;&gt;丢弃",缺陷明细!$AB$2:$AB$50000,"&lt;&gt;设计如此",缺陷明细!$AB$2:$AB$50000,"&lt;&gt;重复Bug")</f>
        <v>0</v>
      </c>
      <c r="Q57" s="72">
        <f>COUNTIFS(缺陷明细!$A$2:$A$50000,$B$4,缺陷明细!$G$2:$G$50000,$C57,缺陷明细!$Q$2:$Q$50000,"已关闭",缺陷明细!$J$2:$J$50000,"系统测试")</f>
        <v>0</v>
      </c>
      <c r="R57" s="296">
        <f>COUNTIFS(缺陷明细!$A$2:$A$50000,$B$4,缺陷明细!$G$2:$G$50000,$C57,缺陷明细!$AB$2:$AB$50000,"丢弃",缺陷明细!$J$2:$J$50000,"系统测试")+COUNTIFS(缺陷明细!$A$2:$A$50000,$B$4,缺陷明细!$G$2:$G$50000,$C57,缺陷明细!$AB$2:$AB$50000,"设计如此",缺陷明细!$J$2:$J$50000,"系统测试")+COUNTIFS(缺陷明细!$A$2:$A$50000,$B$4,缺陷明细!$G$2:$G$50000,$C57,缺陷明细!$AB$2:$AB$50000,"重复Bug",缺陷明细!$J$2:$J$50000,"系统测试")</f>
        <v>0</v>
      </c>
      <c r="S57" s="72">
        <f>COUNTIFS(缺陷明细!$A$2:$A$50000,$B$4,缺陷明细!$G$2:$G$50000,$C57,缺陷明细!$J$2:$J$50000,"系统测试",缺陷明细!$K$2:$K$50000,"致命",缺陷明细!$AB$2:$AB$50000,"&lt;&gt;丢弃",缺陷明细!$AB$2:$AB$50000,"&lt;&gt;设计如此",缺陷明细!$AB$2:$AB$50000,"&lt;&gt;重复Bug")+COUNTIFS(缺陷明细!$A$2:$A$50000,$B$4,缺陷明细!$G$2:$G$50000,$C57,缺陷明细!$J$2:$J$50000,"系统测试",缺陷明细!$K$2:$K$50000,"严重",缺陷明细!$AB$2:$AB$50000,"&lt;&gt;丢弃",缺陷明细!$AB$2:$AB$50000,"&lt;&gt;设计如此",缺陷明细!$AB$2:$AB$50000,"&lt;&gt;重复Bug")</f>
        <v>0</v>
      </c>
      <c r="T57" s="73">
        <f>COUNTIFS(缺陷明细!$A$2:$A$50000,$B$4,缺陷明细!$G$2:$G$50000,$C57,缺陷明细!$Q$2:$Q$50000,"已关闭",缺陷明细!$J$2:$J$50000,"系统测试",缺陷明细!$K$2:$K$50000,"致命")+COUNTIFS(缺陷明细!$A$2:$A$50000,$B$4,缺陷明细!$G$2:$G$50000,$C57,缺陷明细!$Q$2:$Q$50000,"已关闭",缺陷明细!$J$2:$J$50000,"系统测试",缺陷明细!$K$2:$K$50000,"严重")</f>
        <v>0</v>
      </c>
      <c r="U57" s="74">
        <f>COUNTIFS(缺陷明细!$A$2:$A$50000,$B$4,缺陷明细!$G$2:$G$50000,$C57,缺陷明细!$J$2:$J$50000,"验收测试",缺陷明细!$AB$2:$AB$50000,"&lt;&gt;丢弃",缺陷明细!$AB$2:$AB$50000,"&lt;&gt;设计如此",缺陷明细!$AB$2:$AB$50000,"&lt;&gt;重复Bug")</f>
        <v>0</v>
      </c>
      <c r="V57" s="75">
        <f>COUNTIFS(缺陷明细!$A$2:$A$50000,$B$4,缺陷明细!$G$2:$G$50000,$C57,缺陷明细!$Q$2:$Q$50000,"已关闭",缺陷明细!$J$2:$J$50000,"验收测试")</f>
        <v>0</v>
      </c>
      <c r="W57" s="75">
        <f>COUNTIFS(缺陷明细!$A$2:$A$50000,$B$4,缺陷明细!$G$2:$G$50000,$C57,缺陷明细!$J$2:$J$50000,"验收测试",缺陷明细!$K$2:$K$50000,"致命",缺陷明细!$AB$2:$AB$50000,"&lt;&gt;丢弃",缺陷明细!$AB$2:$AB$50000,"&lt;&gt;设计如此",缺陷明细!$AB$2:$AB$50000,"&lt;&gt;重复Bug")+COUNTIFS(缺陷明细!$A$2:$A$50000,$B$4,缺陷明细!$G$2:$G$50000,$C57,缺陷明细!$J$2:$J$50000,"验收测试",缺陷明细!$K$2:$K$50000,"严重",缺陷明细!$AB$2:$AB$50000,"&lt;&gt;丢弃",缺陷明细!$AB$2:$AB$50000,"&lt;&gt;设计如此",缺陷明细!$AB$2:$AB$50000,"&lt;&gt;重复Bug")</f>
        <v>0</v>
      </c>
      <c r="X57" s="76">
        <f>COUNTIFS(缺陷明细!$A$2:$A$50000,$B$4,缺陷明细!$G$2:$G$50000,$C57,缺陷明细!$Q$2:$Q$50000,"已关闭",缺陷明细!$J$2:$J$50000,"验收测试",缺陷明细!$K$2:$K$50000,"致命")+COUNTIFS(缺陷明细!$A$2:$A$50000,$B$4,缺陷明细!$G$2:$G$50000,$C57,缺陷明细!$Q$2:$Q$50000,"已关闭",缺陷明细!$J$2:$J$50000,"验收测试",缺陷明细!$K$2:$K$50000,"严重")</f>
        <v>0</v>
      </c>
      <c r="Y57" s="70">
        <f>COUNTIFS(缺陷明细!$A$2:$A$50000,$B$4,缺陷明细!$G$2:$G$50000,$C57,缺陷明细!$J$2:$J$50000,"运维测试",缺陷明细!$AB$2:$AB$50000,"&lt;&gt;丢弃",缺陷明细!$AB$2:$AB$50000,"&lt;&gt;设计如此",缺陷明细!$AB$2:$AB$50000,"&lt;&gt;重复Bug")</f>
        <v>0</v>
      </c>
      <c r="Z57" s="71">
        <f>COUNTIFS(缺陷明细!$A$2:$A$50000,$B$4,缺陷明细!$G$2:$G$50000,$C57,缺陷明细!$Q$2:$Q$50000,"已关闭",缺陷明细!$J$2:$J$50000,"运维测试")</f>
        <v>0</v>
      </c>
      <c r="AA57" s="72">
        <f>COUNTIFS(缺陷明细!$A$2:$A$50000,$B$4,缺陷明细!$G$2:$G$50000,$C57,缺陷明细!$J$2:$J$50000,"运维测试",缺陷明细!$K$2:$K$50000,"致命",缺陷明细!$AB$2:$AB$50000,"&lt;&gt;丢弃",缺陷明细!$AB$2:$AB$50000,"&lt;&gt;设计如此",缺陷明细!$AB$2:$AB$50000,"&lt;&gt;重复Bug")+COUNTIFS(缺陷明细!$A$2:$A$50000,$B$4,缺陷明细!$G$2:$G$50000,$C57,缺陷明细!$J$2:$J$50000,"运维测试",缺陷明细!$K$2:$K$50000,"严重",缺陷明细!$AB$2:$AB$50000,"&lt;&gt;丢弃",缺陷明细!$AB$2:$AB$50000,"&lt;&gt;设计如此",缺陷明细!$AB$2:$AB$50000,"&lt;&gt;重复Bug")</f>
        <v>0</v>
      </c>
      <c r="AB57" s="73">
        <f>COUNTIFS(缺陷明细!$A$2:$A$50000,$B$4,缺陷明细!$G$2:$G$50000,$C57,缺陷明细!$Q$2:$Q$50000,"已关闭",缺陷明细!$J$2:$J$50000,"运维测试",缺陷明细!$K$2:$K$50000,"致命")+COUNTIFS(缺陷明细!$A$2:$A$50000,$B$4,缺陷明细!$G$2:$G$50000,$C57,缺陷明细!$Q$2:$Q$50000,"已关闭",缺陷明细!$J$2:$J$50000,"运维测试",缺陷明细!$K$2:$K$50000,"严重")</f>
        <v>0</v>
      </c>
      <c r="AC57" s="68">
        <f t="shared" si="4"/>
        <v>0</v>
      </c>
      <c r="AD57" s="60">
        <f t="shared" si="5"/>
        <v>0</v>
      </c>
      <c r="AE57" s="60">
        <f t="shared" si="6"/>
        <v>0</v>
      </c>
      <c r="AF57" s="60">
        <f t="shared" si="7"/>
        <v>0</v>
      </c>
      <c r="AG57" s="60">
        <f t="shared" si="8"/>
        <v>0</v>
      </c>
      <c r="AH57" s="60">
        <f t="shared" si="9"/>
        <v>0</v>
      </c>
      <c r="AI57" s="60">
        <f t="shared" si="10"/>
        <v>0</v>
      </c>
      <c r="AJ57" s="61">
        <f t="shared" si="11"/>
        <v>0</v>
      </c>
      <c r="AK57" s="144"/>
    </row>
    <row r="58" spans="1:37">
      <c r="A58">
        <v>54</v>
      </c>
      <c r="B58" s="57">
        <v>518</v>
      </c>
      <c r="C58" s="58" t="s">
        <v>399</v>
      </c>
      <c r="D58" s="83" t="s">
        <v>343</v>
      </c>
      <c r="E58" s="82" t="s">
        <v>346</v>
      </c>
      <c r="F58" s="158">
        <v>8</v>
      </c>
      <c r="G58" s="159">
        <v>4</v>
      </c>
      <c r="H58" s="281">
        <f>COUNTIFS(缺陷明细!$A$2:$A$50000,$B$4,缺陷明细!$G$2:$G$50000,$C58,缺陷明细!$J$2:$J$50000,"评审",缺陷明细!$AB$2:$AB$50000,"&lt;&gt;丢弃",缺陷明细!$AB$2:$AB$50000,"&lt;&gt;设计如此",缺陷明细!$AB$2:$AB$50000,"&lt;&gt;重复Bug")</f>
        <v>0</v>
      </c>
      <c r="I58" s="154">
        <f>COUNTIFS(缺陷明细!$A$2:$A$50000,$B$4,缺陷明细!$G$2:$G$50000,$C58,缺陷明细!$Q$2:$Q$50000,"已关闭",缺陷明细!$J$2:$J$50000,"评审")</f>
        <v>0</v>
      </c>
      <c r="J58" s="154">
        <f>COUNTIFS(缺陷明细!$A$2:$A$50000,$B$4,缺陷明细!$G$2:$G$50000,$C58,缺陷明细!$J$2:$J$50000,"单元测试",缺陷明细!$AB$2:$AB$50000,"&lt;&gt;丢弃",缺陷明细!$AB$2:$AB$50000,"&lt;&gt;设计如此",缺陷明细!$AB$2:$AB$50000,"&lt;&gt;重复Bug")</f>
        <v>0</v>
      </c>
      <c r="K58" s="155">
        <f>COUNTIFS(缺陷明细!$A$2:$A$50000,$B$4,缺陷明细!$G$2:$G$50000,$C58,缺陷明细!$Q$2:$Q$50000,"已关闭",缺陷明细!$J$2:$J$50000,"单元测试")</f>
        <v>0</v>
      </c>
      <c r="L58" s="156"/>
      <c r="M58" s="157"/>
      <c r="N58" s="72">
        <f>COUNTIFS(缺陷明细!$A$2:$A$50000,$B$4,缺陷明细!$G$2:$G$50000,$C58,缺陷明细!$J$2:$J$50000,"系统测试案例评审",缺陷明细!$AB$2:$AB$50000,"&lt;&gt;丢弃",缺陷明细!$AB$2:$AB$50000,"&lt;&gt;设计如此",缺陷明细!$AB$2:$AB$50000,"&lt;&gt;重复Bug")</f>
        <v>0</v>
      </c>
      <c r="O58" s="72">
        <f>COUNTIFS(缺陷明细!$A$2:$A$50000,$B$4,缺陷明细!$G$2:$G$50000,$C58,缺陷明细!$Q$2:$Q$50000,"已关闭",缺陷明细!$J$2:$J$50000,"系统测试案例评审")</f>
        <v>0</v>
      </c>
      <c r="P58" s="72">
        <f>COUNTIFS(缺陷明细!$A$2:$A$50000,$B$4,缺陷明细!$G$2:$G$50000,$C58,缺陷明细!$J$2:$J$50000,"系统测试",缺陷明细!$AB$2:$AB$50000,"&lt;&gt;丢弃",缺陷明细!$AB$2:$AB$50000,"&lt;&gt;设计如此",缺陷明细!$AB$2:$AB$50000,"&lt;&gt;重复Bug")</f>
        <v>0</v>
      </c>
      <c r="Q58" s="72">
        <f>COUNTIFS(缺陷明细!$A$2:$A$50000,$B$4,缺陷明细!$G$2:$G$50000,$C58,缺陷明细!$Q$2:$Q$50000,"已关闭",缺陷明细!$J$2:$J$50000,"系统测试")</f>
        <v>0</v>
      </c>
      <c r="R58" s="296">
        <f>COUNTIFS(缺陷明细!$A$2:$A$50000,$B$4,缺陷明细!$G$2:$G$50000,$C58,缺陷明细!$AB$2:$AB$50000,"丢弃",缺陷明细!$J$2:$J$50000,"系统测试")+COUNTIFS(缺陷明细!$A$2:$A$50000,$B$4,缺陷明细!$G$2:$G$50000,$C58,缺陷明细!$AB$2:$AB$50000,"设计如此",缺陷明细!$J$2:$J$50000,"系统测试")+COUNTIFS(缺陷明细!$A$2:$A$50000,$B$4,缺陷明细!$G$2:$G$50000,$C58,缺陷明细!$AB$2:$AB$50000,"重复Bug",缺陷明细!$J$2:$J$50000,"系统测试")</f>
        <v>0</v>
      </c>
      <c r="S58" s="72">
        <f>COUNTIFS(缺陷明细!$A$2:$A$50000,$B$4,缺陷明细!$G$2:$G$50000,$C58,缺陷明细!$J$2:$J$50000,"系统测试",缺陷明细!$K$2:$K$50000,"致命",缺陷明细!$AB$2:$AB$50000,"&lt;&gt;丢弃",缺陷明细!$AB$2:$AB$50000,"&lt;&gt;设计如此",缺陷明细!$AB$2:$AB$50000,"&lt;&gt;重复Bug")+COUNTIFS(缺陷明细!$A$2:$A$50000,$B$4,缺陷明细!$G$2:$G$50000,$C58,缺陷明细!$J$2:$J$50000,"系统测试",缺陷明细!$K$2:$K$50000,"严重",缺陷明细!$AB$2:$AB$50000,"&lt;&gt;丢弃",缺陷明细!$AB$2:$AB$50000,"&lt;&gt;设计如此",缺陷明细!$AB$2:$AB$50000,"&lt;&gt;重复Bug")</f>
        <v>0</v>
      </c>
      <c r="T58" s="73">
        <f>COUNTIFS(缺陷明细!$A$2:$A$50000,$B$4,缺陷明细!$G$2:$G$50000,$C58,缺陷明细!$Q$2:$Q$50000,"已关闭",缺陷明细!$J$2:$J$50000,"系统测试",缺陷明细!$K$2:$K$50000,"致命")+COUNTIFS(缺陷明细!$A$2:$A$50000,$B$4,缺陷明细!$G$2:$G$50000,$C58,缺陷明细!$Q$2:$Q$50000,"已关闭",缺陷明细!$J$2:$J$50000,"系统测试",缺陷明细!$K$2:$K$50000,"严重")</f>
        <v>0</v>
      </c>
      <c r="U58" s="74">
        <f>COUNTIFS(缺陷明细!$A$2:$A$50000,$B$4,缺陷明细!$G$2:$G$50000,$C58,缺陷明细!$J$2:$J$50000,"验收测试",缺陷明细!$AB$2:$AB$50000,"&lt;&gt;丢弃",缺陷明细!$AB$2:$AB$50000,"&lt;&gt;设计如此",缺陷明细!$AB$2:$AB$50000,"&lt;&gt;重复Bug")</f>
        <v>0</v>
      </c>
      <c r="V58" s="75">
        <f>COUNTIFS(缺陷明细!$A$2:$A$50000,$B$4,缺陷明细!$G$2:$G$50000,$C58,缺陷明细!$Q$2:$Q$50000,"已关闭",缺陷明细!$J$2:$J$50000,"验收测试")</f>
        <v>0</v>
      </c>
      <c r="W58" s="75">
        <f>COUNTIFS(缺陷明细!$A$2:$A$50000,$B$4,缺陷明细!$G$2:$G$50000,$C58,缺陷明细!$J$2:$J$50000,"验收测试",缺陷明细!$K$2:$K$50000,"致命",缺陷明细!$AB$2:$AB$50000,"&lt;&gt;丢弃",缺陷明细!$AB$2:$AB$50000,"&lt;&gt;设计如此",缺陷明细!$AB$2:$AB$50000,"&lt;&gt;重复Bug")+COUNTIFS(缺陷明细!$A$2:$A$50000,$B$4,缺陷明细!$G$2:$G$50000,$C58,缺陷明细!$J$2:$J$50000,"验收测试",缺陷明细!$K$2:$K$50000,"严重",缺陷明细!$AB$2:$AB$50000,"&lt;&gt;丢弃",缺陷明细!$AB$2:$AB$50000,"&lt;&gt;设计如此",缺陷明细!$AB$2:$AB$50000,"&lt;&gt;重复Bug")</f>
        <v>0</v>
      </c>
      <c r="X58" s="76">
        <f>COUNTIFS(缺陷明细!$A$2:$A$50000,$B$4,缺陷明细!$G$2:$G$50000,$C58,缺陷明细!$Q$2:$Q$50000,"已关闭",缺陷明细!$J$2:$J$50000,"验收测试",缺陷明细!$K$2:$K$50000,"致命")+COUNTIFS(缺陷明细!$A$2:$A$50000,$B$4,缺陷明细!$G$2:$G$50000,$C58,缺陷明细!$Q$2:$Q$50000,"已关闭",缺陷明细!$J$2:$J$50000,"验收测试",缺陷明细!$K$2:$K$50000,"严重")</f>
        <v>0</v>
      </c>
      <c r="Y58" s="70">
        <f>COUNTIFS(缺陷明细!$A$2:$A$50000,$B$4,缺陷明细!$G$2:$G$50000,$C58,缺陷明细!$J$2:$J$50000,"运维测试",缺陷明细!$AB$2:$AB$50000,"&lt;&gt;丢弃",缺陷明细!$AB$2:$AB$50000,"&lt;&gt;设计如此",缺陷明细!$AB$2:$AB$50000,"&lt;&gt;重复Bug")</f>
        <v>0</v>
      </c>
      <c r="Z58" s="71">
        <f>COUNTIFS(缺陷明细!$A$2:$A$50000,$B$4,缺陷明细!$G$2:$G$50000,$C58,缺陷明细!$Q$2:$Q$50000,"已关闭",缺陷明细!$J$2:$J$50000,"运维测试")</f>
        <v>0</v>
      </c>
      <c r="AA58" s="72">
        <f>COUNTIFS(缺陷明细!$A$2:$A$50000,$B$4,缺陷明细!$G$2:$G$50000,$C58,缺陷明细!$J$2:$J$50000,"运维测试",缺陷明细!$K$2:$K$50000,"致命",缺陷明细!$AB$2:$AB$50000,"&lt;&gt;丢弃",缺陷明细!$AB$2:$AB$50000,"&lt;&gt;设计如此",缺陷明细!$AB$2:$AB$50000,"&lt;&gt;重复Bug")+COUNTIFS(缺陷明细!$A$2:$A$50000,$B$4,缺陷明细!$G$2:$G$50000,$C58,缺陷明细!$J$2:$J$50000,"运维测试",缺陷明细!$K$2:$K$50000,"严重",缺陷明细!$AB$2:$AB$50000,"&lt;&gt;丢弃",缺陷明细!$AB$2:$AB$50000,"&lt;&gt;设计如此",缺陷明细!$AB$2:$AB$50000,"&lt;&gt;重复Bug")</f>
        <v>0</v>
      </c>
      <c r="AB58" s="73">
        <f>COUNTIFS(缺陷明细!$A$2:$A$50000,$B$4,缺陷明细!$G$2:$G$50000,$C58,缺陷明细!$Q$2:$Q$50000,"已关闭",缺陷明细!$J$2:$J$50000,"运维测试",缺陷明细!$K$2:$K$50000,"致命")+COUNTIFS(缺陷明细!$A$2:$A$50000,$B$4,缺陷明细!$G$2:$G$50000,$C58,缺陷明细!$Q$2:$Q$50000,"已关闭",缺陷明细!$J$2:$J$50000,"运维测试",缺陷明细!$K$2:$K$50000,"严重")</f>
        <v>0</v>
      </c>
      <c r="AC58" s="68">
        <f t="shared" si="4"/>
        <v>0</v>
      </c>
      <c r="AD58" s="60">
        <f t="shared" si="5"/>
        <v>0</v>
      </c>
      <c r="AE58" s="60">
        <f t="shared" si="6"/>
        <v>0</v>
      </c>
      <c r="AF58" s="60">
        <f t="shared" si="7"/>
        <v>0</v>
      </c>
      <c r="AG58" s="60">
        <f t="shared" si="8"/>
        <v>0</v>
      </c>
      <c r="AH58" s="60">
        <f t="shared" si="9"/>
        <v>0</v>
      </c>
      <c r="AI58" s="60">
        <f t="shared" si="10"/>
        <v>0</v>
      </c>
      <c r="AJ58" s="61">
        <f t="shared" si="11"/>
        <v>0</v>
      </c>
      <c r="AK58" s="144"/>
    </row>
    <row r="59" spans="1:37" ht="25.5">
      <c r="A59">
        <v>55</v>
      </c>
      <c r="B59" s="57">
        <v>519</v>
      </c>
      <c r="C59" s="59" t="s">
        <v>400</v>
      </c>
      <c r="D59" s="84" t="s">
        <v>343</v>
      </c>
      <c r="E59" s="82" t="s">
        <v>346</v>
      </c>
      <c r="F59" s="158">
        <v>16</v>
      </c>
      <c r="G59" s="159">
        <v>8</v>
      </c>
      <c r="H59" s="281">
        <f>COUNTIFS(缺陷明细!$A$2:$A$50000,$B$4,缺陷明细!$G$2:$G$50000,$C59,缺陷明细!$J$2:$J$50000,"评审",缺陷明细!$AB$2:$AB$50000,"&lt;&gt;丢弃",缺陷明细!$AB$2:$AB$50000,"&lt;&gt;设计如此",缺陷明细!$AB$2:$AB$50000,"&lt;&gt;重复Bug")</f>
        <v>0</v>
      </c>
      <c r="I59" s="154">
        <f>COUNTIFS(缺陷明细!$A$2:$A$50000,$B$4,缺陷明细!$G$2:$G$50000,$C59,缺陷明细!$Q$2:$Q$50000,"已关闭",缺陷明细!$J$2:$J$50000,"评审")</f>
        <v>0</v>
      </c>
      <c r="J59" s="154">
        <f>COUNTIFS(缺陷明细!$A$2:$A$50000,$B$4,缺陷明细!$G$2:$G$50000,$C59,缺陷明细!$J$2:$J$50000,"单元测试",缺陷明细!$AB$2:$AB$50000,"&lt;&gt;丢弃",缺陷明细!$AB$2:$AB$50000,"&lt;&gt;设计如此",缺陷明细!$AB$2:$AB$50000,"&lt;&gt;重复Bug")</f>
        <v>0</v>
      </c>
      <c r="K59" s="155">
        <f>COUNTIFS(缺陷明细!$A$2:$A$50000,$B$4,缺陷明细!$G$2:$G$50000,$C59,缺陷明细!$Q$2:$Q$50000,"已关闭",缺陷明细!$J$2:$J$50000,"单元测试")</f>
        <v>0</v>
      </c>
      <c r="L59" s="156"/>
      <c r="M59" s="157"/>
      <c r="N59" s="72">
        <f>COUNTIFS(缺陷明细!$A$2:$A$50000,$B$4,缺陷明细!$G$2:$G$50000,$C59,缺陷明细!$J$2:$J$50000,"系统测试案例评审",缺陷明细!$AB$2:$AB$50000,"&lt;&gt;丢弃",缺陷明细!$AB$2:$AB$50000,"&lt;&gt;设计如此",缺陷明细!$AB$2:$AB$50000,"&lt;&gt;重复Bug")</f>
        <v>0</v>
      </c>
      <c r="O59" s="72">
        <f>COUNTIFS(缺陷明细!$A$2:$A$50000,$B$4,缺陷明细!$G$2:$G$50000,$C59,缺陷明细!$Q$2:$Q$50000,"已关闭",缺陷明细!$J$2:$J$50000,"系统测试案例评审")</f>
        <v>0</v>
      </c>
      <c r="P59" s="72">
        <f>COUNTIFS(缺陷明细!$A$2:$A$50000,$B$4,缺陷明细!$G$2:$G$50000,$C59,缺陷明细!$J$2:$J$50000,"系统测试",缺陷明细!$AB$2:$AB$50000,"&lt;&gt;丢弃",缺陷明细!$AB$2:$AB$50000,"&lt;&gt;设计如此",缺陷明细!$AB$2:$AB$50000,"&lt;&gt;重复Bug")</f>
        <v>0</v>
      </c>
      <c r="Q59" s="72">
        <f>COUNTIFS(缺陷明细!$A$2:$A$50000,$B$4,缺陷明细!$G$2:$G$50000,$C59,缺陷明细!$Q$2:$Q$50000,"已关闭",缺陷明细!$J$2:$J$50000,"系统测试")</f>
        <v>0</v>
      </c>
      <c r="R59" s="296">
        <f>COUNTIFS(缺陷明细!$A$2:$A$50000,$B$4,缺陷明细!$G$2:$G$50000,$C59,缺陷明细!$AB$2:$AB$50000,"丢弃",缺陷明细!$J$2:$J$50000,"系统测试")+COUNTIFS(缺陷明细!$A$2:$A$50000,$B$4,缺陷明细!$G$2:$G$50000,$C59,缺陷明细!$AB$2:$AB$50000,"设计如此",缺陷明细!$J$2:$J$50000,"系统测试")+COUNTIFS(缺陷明细!$A$2:$A$50000,$B$4,缺陷明细!$G$2:$G$50000,$C59,缺陷明细!$AB$2:$AB$50000,"重复Bug",缺陷明细!$J$2:$J$50000,"系统测试")</f>
        <v>0</v>
      </c>
      <c r="S59" s="72">
        <f>COUNTIFS(缺陷明细!$A$2:$A$50000,$B$4,缺陷明细!$G$2:$G$50000,$C59,缺陷明细!$J$2:$J$50000,"系统测试",缺陷明细!$K$2:$K$50000,"致命",缺陷明细!$AB$2:$AB$50000,"&lt;&gt;丢弃",缺陷明细!$AB$2:$AB$50000,"&lt;&gt;设计如此",缺陷明细!$AB$2:$AB$50000,"&lt;&gt;重复Bug")+COUNTIFS(缺陷明细!$A$2:$A$50000,$B$4,缺陷明细!$G$2:$G$50000,$C59,缺陷明细!$J$2:$J$50000,"系统测试",缺陷明细!$K$2:$K$50000,"严重",缺陷明细!$AB$2:$AB$50000,"&lt;&gt;丢弃",缺陷明细!$AB$2:$AB$50000,"&lt;&gt;设计如此",缺陷明细!$AB$2:$AB$50000,"&lt;&gt;重复Bug")</f>
        <v>0</v>
      </c>
      <c r="T59" s="73">
        <f>COUNTIFS(缺陷明细!$A$2:$A$50000,$B$4,缺陷明细!$G$2:$G$50000,$C59,缺陷明细!$Q$2:$Q$50000,"已关闭",缺陷明细!$J$2:$J$50000,"系统测试",缺陷明细!$K$2:$K$50000,"致命")+COUNTIFS(缺陷明细!$A$2:$A$50000,$B$4,缺陷明细!$G$2:$G$50000,$C59,缺陷明细!$Q$2:$Q$50000,"已关闭",缺陷明细!$J$2:$J$50000,"系统测试",缺陷明细!$K$2:$K$50000,"严重")</f>
        <v>0</v>
      </c>
      <c r="U59" s="74">
        <f>COUNTIFS(缺陷明细!$A$2:$A$50000,$B$4,缺陷明细!$G$2:$G$50000,$C59,缺陷明细!$J$2:$J$50000,"验收测试",缺陷明细!$AB$2:$AB$50000,"&lt;&gt;丢弃",缺陷明细!$AB$2:$AB$50000,"&lt;&gt;设计如此",缺陷明细!$AB$2:$AB$50000,"&lt;&gt;重复Bug")</f>
        <v>0</v>
      </c>
      <c r="V59" s="75">
        <f>COUNTIFS(缺陷明细!$A$2:$A$50000,$B$4,缺陷明细!$G$2:$G$50000,$C59,缺陷明细!$Q$2:$Q$50000,"已关闭",缺陷明细!$J$2:$J$50000,"验收测试")</f>
        <v>0</v>
      </c>
      <c r="W59" s="75">
        <f>COUNTIFS(缺陷明细!$A$2:$A$50000,$B$4,缺陷明细!$G$2:$G$50000,$C59,缺陷明细!$J$2:$J$50000,"验收测试",缺陷明细!$K$2:$K$50000,"致命",缺陷明细!$AB$2:$AB$50000,"&lt;&gt;丢弃",缺陷明细!$AB$2:$AB$50000,"&lt;&gt;设计如此",缺陷明细!$AB$2:$AB$50000,"&lt;&gt;重复Bug")+COUNTIFS(缺陷明细!$A$2:$A$50000,$B$4,缺陷明细!$G$2:$G$50000,$C59,缺陷明细!$J$2:$J$50000,"验收测试",缺陷明细!$K$2:$K$50000,"严重",缺陷明细!$AB$2:$AB$50000,"&lt;&gt;丢弃",缺陷明细!$AB$2:$AB$50000,"&lt;&gt;设计如此",缺陷明细!$AB$2:$AB$50000,"&lt;&gt;重复Bug")</f>
        <v>0</v>
      </c>
      <c r="X59" s="76">
        <f>COUNTIFS(缺陷明细!$A$2:$A$50000,$B$4,缺陷明细!$G$2:$G$50000,$C59,缺陷明细!$Q$2:$Q$50000,"已关闭",缺陷明细!$J$2:$J$50000,"验收测试",缺陷明细!$K$2:$K$50000,"致命")+COUNTIFS(缺陷明细!$A$2:$A$50000,$B$4,缺陷明细!$G$2:$G$50000,$C59,缺陷明细!$Q$2:$Q$50000,"已关闭",缺陷明细!$J$2:$J$50000,"验收测试",缺陷明细!$K$2:$K$50000,"严重")</f>
        <v>0</v>
      </c>
      <c r="Y59" s="70">
        <f>COUNTIFS(缺陷明细!$A$2:$A$50000,$B$4,缺陷明细!$G$2:$G$50000,$C59,缺陷明细!$J$2:$J$50000,"运维测试",缺陷明细!$AB$2:$AB$50000,"&lt;&gt;丢弃",缺陷明细!$AB$2:$AB$50000,"&lt;&gt;设计如此",缺陷明细!$AB$2:$AB$50000,"&lt;&gt;重复Bug")</f>
        <v>0</v>
      </c>
      <c r="Z59" s="71">
        <f>COUNTIFS(缺陷明细!$A$2:$A$50000,$B$4,缺陷明细!$G$2:$G$50000,$C59,缺陷明细!$Q$2:$Q$50000,"已关闭",缺陷明细!$J$2:$J$50000,"运维测试")</f>
        <v>0</v>
      </c>
      <c r="AA59" s="72">
        <f>COUNTIFS(缺陷明细!$A$2:$A$50000,$B$4,缺陷明细!$G$2:$G$50000,$C59,缺陷明细!$J$2:$J$50000,"运维测试",缺陷明细!$K$2:$K$50000,"致命",缺陷明细!$AB$2:$AB$50000,"&lt;&gt;丢弃",缺陷明细!$AB$2:$AB$50000,"&lt;&gt;设计如此",缺陷明细!$AB$2:$AB$50000,"&lt;&gt;重复Bug")+COUNTIFS(缺陷明细!$A$2:$A$50000,$B$4,缺陷明细!$G$2:$G$50000,$C59,缺陷明细!$J$2:$J$50000,"运维测试",缺陷明细!$K$2:$K$50000,"严重",缺陷明细!$AB$2:$AB$50000,"&lt;&gt;丢弃",缺陷明细!$AB$2:$AB$50000,"&lt;&gt;设计如此",缺陷明细!$AB$2:$AB$50000,"&lt;&gt;重复Bug")</f>
        <v>0</v>
      </c>
      <c r="AB59" s="73">
        <f>COUNTIFS(缺陷明细!$A$2:$A$50000,$B$4,缺陷明细!$G$2:$G$50000,$C59,缺陷明细!$Q$2:$Q$50000,"已关闭",缺陷明细!$J$2:$J$50000,"运维测试",缺陷明细!$K$2:$K$50000,"致命")+COUNTIFS(缺陷明细!$A$2:$A$50000,$B$4,缺陷明细!$G$2:$G$50000,$C59,缺陷明细!$Q$2:$Q$50000,"已关闭",缺陷明细!$J$2:$J$50000,"运维测试",缺陷明细!$K$2:$K$50000,"严重")</f>
        <v>0</v>
      </c>
      <c r="AC59" s="68">
        <f t="shared" si="4"/>
        <v>0</v>
      </c>
      <c r="AD59" s="60">
        <f t="shared" si="5"/>
        <v>0</v>
      </c>
      <c r="AE59" s="60">
        <f t="shared" si="6"/>
        <v>0</v>
      </c>
      <c r="AF59" s="60">
        <f t="shared" si="7"/>
        <v>0</v>
      </c>
      <c r="AG59" s="60">
        <f t="shared" si="8"/>
        <v>0</v>
      </c>
      <c r="AH59" s="60">
        <f t="shared" si="9"/>
        <v>0</v>
      </c>
      <c r="AI59" s="60">
        <f t="shared" si="10"/>
        <v>0</v>
      </c>
      <c r="AJ59" s="61">
        <f t="shared" si="11"/>
        <v>0</v>
      </c>
      <c r="AK59" s="144"/>
    </row>
    <row r="60" spans="1:37">
      <c r="A60">
        <v>56</v>
      </c>
      <c r="B60" s="57">
        <v>521</v>
      </c>
      <c r="C60" s="58" t="s">
        <v>401</v>
      </c>
      <c r="D60" s="84" t="s">
        <v>343</v>
      </c>
      <c r="E60" s="82" t="s">
        <v>346</v>
      </c>
      <c r="F60" s="158">
        <v>2</v>
      </c>
      <c r="G60" s="159">
        <v>2</v>
      </c>
      <c r="H60" s="281">
        <f>COUNTIFS(缺陷明细!$A$2:$A$50000,$B$4,缺陷明细!$G$2:$G$50000,$C60,缺陷明细!$J$2:$J$50000,"评审",缺陷明细!$AB$2:$AB$50000,"&lt;&gt;丢弃",缺陷明细!$AB$2:$AB$50000,"&lt;&gt;设计如此",缺陷明细!$AB$2:$AB$50000,"&lt;&gt;重复Bug")</f>
        <v>0</v>
      </c>
      <c r="I60" s="154">
        <f>COUNTIFS(缺陷明细!$A$2:$A$50000,$B$4,缺陷明细!$G$2:$G$50000,$C60,缺陷明细!$Q$2:$Q$50000,"已关闭",缺陷明细!$J$2:$J$50000,"评审")</f>
        <v>0</v>
      </c>
      <c r="J60" s="154">
        <f>COUNTIFS(缺陷明细!$A$2:$A$50000,$B$4,缺陷明细!$G$2:$G$50000,$C60,缺陷明细!$J$2:$J$50000,"单元测试",缺陷明细!$AB$2:$AB$50000,"&lt;&gt;丢弃",缺陷明细!$AB$2:$AB$50000,"&lt;&gt;设计如此",缺陷明细!$AB$2:$AB$50000,"&lt;&gt;重复Bug")</f>
        <v>0</v>
      </c>
      <c r="K60" s="155">
        <f>COUNTIFS(缺陷明细!$A$2:$A$50000,$B$4,缺陷明细!$G$2:$G$50000,$C60,缺陷明细!$Q$2:$Q$50000,"已关闭",缺陷明细!$J$2:$J$50000,"单元测试")</f>
        <v>0</v>
      </c>
      <c r="L60" s="156"/>
      <c r="M60" s="157"/>
      <c r="N60" s="72">
        <f>COUNTIFS(缺陷明细!$A$2:$A$50000,$B$4,缺陷明细!$G$2:$G$50000,$C60,缺陷明细!$J$2:$J$50000,"系统测试案例评审",缺陷明细!$AB$2:$AB$50000,"&lt;&gt;丢弃",缺陷明细!$AB$2:$AB$50000,"&lt;&gt;设计如此",缺陷明细!$AB$2:$AB$50000,"&lt;&gt;重复Bug")</f>
        <v>0</v>
      </c>
      <c r="O60" s="72">
        <f>COUNTIFS(缺陷明细!$A$2:$A$50000,$B$4,缺陷明细!$G$2:$G$50000,$C60,缺陷明细!$Q$2:$Q$50000,"已关闭",缺陷明细!$J$2:$J$50000,"系统测试案例评审")</f>
        <v>0</v>
      </c>
      <c r="P60" s="72">
        <f>COUNTIFS(缺陷明细!$A$2:$A$50000,$B$4,缺陷明细!$G$2:$G$50000,$C60,缺陷明细!$J$2:$J$50000,"系统测试",缺陷明细!$AB$2:$AB$50000,"&lt;&gt;丢弃",缺陷明细!$AB$2:$AB$50000,"&lt;&gt;设计如此",缺陷明细!$AB$2:$AB$50000,"&lt;&gt;重复Bug")</f>
        <v>0</v>
      </c>
      <c r="Q60" s="72">
        <f>COUNTIFS(缺陷明细!$A$2:$A$50000,$B$4,缺陷明细!$G$2:$G$50000,$C60,缺陷明细!$Q$2:$Q$50000,"已关闭",缺陷明细!$J$2:$J$50000,"系统测试")</f>
        <v>0</v>
      </c>
      <c r="R60" s="296">
        <f>COUNTIFS(缺陷明细!$A$2:$A$50000,$B$4,缺陷明细!$G$2:$G$50000,$C60,缺陷明细!$AB$2:$AB$50000,"丢弃",缺陷明细!$J$2:$J$50000,"系统测试")+COUNTIFS(缺陷明细!$A$2:$A$50000,$B$4,缺陷明细!$G$2:$G$50000,$C60,缺陷明细!$AB$2:$AB$50000,"设计如此",缺陷明细!$J$2:$J$50000,"系统测试")+COUNTIFS(缺陷明细!$A$2:$A$50000,$B$4,缺陷明细!$G$2:$G$50000,$C60,缺陷明细!$AB$2:$AB$50000,"重复Bug",缺陷明细!$J$2:$J$50000,"系统测试")</f>
        <v>0</v>
      </c>
      <c r="S60" s="72">
        <f>COUNTIFS(缺陷明细!$A$2:$A$50000,$B$4,缺陷明细!$G$2:$G$50000,$C60,缺陷明细!$J$2:$J$50000,"系统测试",缺陷明细!$K$2:$K$50000,"致命",缺陷明细!$AB$2:$AB$50000,"&lt;&gt;丢弃",缺陷明细!$AB$2:$AB$50000,"&lt;&gt;设计如此",缺陷明细!$AB$2:$AB$50000,"&lt;&gt;重复Bug")+COUNTIFS(缺陷明细!$A$2:$A$50000,$B$4,缺陷明细!$G$2:$G$50000,$C60,缺陷明细!$J$2:$J$50000,"系统测试",缺陷明细!$K$2:$K$50000,"严重",缺陷明细!$AB$2:$AB$50000,"&lt;&gt;丢弃",缺陷明细!$AB$2:$AB$50000,"&lt;&gt;设计如此",缺陷明细!$AB$2:$AB$50000,"&lt;&gt;重复Bug")</f>
        <v>0</v>
      </c>
      <c r="T60" s="73">
        <f>COUNTIFS(缺陷明细!$A$2:$A$50000,$B$4,缺陷明细!$G$2:$G$50000,$C60,缺陷明细!$Q$2:$Q$50000,"已关闭",缺陷明细!$J$2:$J$50000,"系统测试",缺陷明细!$K$2:$K$50000,"致命")+COUNTIFS(缺陷明细!$A$2:$A$50000,$B$4,缺陷明细!$G$2:$G$50000,$C60,缺陷明细!$Q$2:$Q$50000,"已关闭",缺陷明细!$J$2:$J$50000,"系统测试",缺陷明细!$K$2:$K$50000,"严重")</f>
        <v>0</v>
      </c>
      <c r="U60" s="74">
        <f>COUNTIFS(缺陷明细!$A$2:$A$50000,$B$4,缺陷明细!$G$2:$G$50000,$C60,缺陷明细!$J$2:$J$50000,"验收测试",缺陷明细!$AB$2:$AB$50000,"&lt;&gt;丢弃",缺陷明细!$AB$2:$AB$50000,"&lt;&gt;设计如此",缺陷明细!$AB$2:$AB$50000,"&lt;&gt;重复Bug")</f>
        <v>0</v>
      </c>
      <c r="V60" s="75">
        <f>COUNTIFS(缺陷明细!$A$2:$A$50000,$B$4,缺陷明细!$G$2:$G$50000,$C60,缺陷明细!$Q$2:$Q$50000,"已关闭",缺陷明细!$J$2:$J$50000,"验收测试")</f>
        <v>0</v>
      </c>
      <c r="W60" s="75">
        <f>COUNTIFS(缺陷明细!$A$2:$A$50000,$B$4,缺陷明细!$G$2:$G$50000,$C60,缺陷明细!$J$2:$J$50000,"验收测试",缺陷明细!$K$2:$K$50000,"致命",缺陷明细!$AB$2:$AB$50000,"&lt;&gt;丢弃",缺陷明细!$AB$2:$AB$50000,"&lt;&gt;设计如此",缺陷明细!$AB$2:$AB$50000,"&lt;&gt;重复Bug")+COUNTIFS(缺陷明细!$A$2:$A$50000,$B$4,缺陷明细!$G$2:$G$50000,$C60,缺陷明细!$J$2:$J$50000,"验收测试",缺陷明细!$K$2:$K$50000,"严重",缺陷明细!$AB$2:$AB$50000,"&lt;&gt;丢弃",缺陷明细!$AB$2:$AB$50000,"&lt;&gt;设计如此",缺陷明细!$AB$2:$AB$50000,"&lt;&gt;重复Bug")</f>
        <v>0</v>
      </c>
      <c r="X60" s="76">
        <f>COUNTIFS(缺陷明细!$A$2:$A$50000,$B$4,缺陷明细!$G$2:$G$50000,$C60,缺陷明细!$Q$2:$Q$50000,"已关闭",缺陷明细!$J$2:$J$50000,"验收测试",缺陷明细!$K$2:$K$50000,"致命")+COUNTIFS(缺陷明细!$A$2:$A$50000,$B$4,缺陷明细!$G$2:$G$50000,$C60,缺陷明细!$Q$2:$Q$50000,"已关闭",缺陷明细!$J$2:$J$50000,"验收测试",缺陷明细!$K$2:$K$50000,"严重")</f>
        <v>0</v>
      </c>
      <c r="Y60" s="70">
        <f>COUNTIFS(缺陷明细!$A$2:$A$50000,$B$4,缺陷明细!$G$2:$G$50000,$C60,缺陷明细!$J$2:$J$50000,"运维测试",缺陷明细!$AB$2:$AB$50000,"&lt;&gt;丢弃",缺陷明细!$AB$2:$AB$50000,"&lt;&gt;设计如此",缺陷明细!$AB$2:$AB$50000,"&lt;&gt;重复Bug")</f>
        <v>0</v>
      </c>
      <c r="Z60" s="71">
        <f>COUNTIFS(缺陷明细!$A$2:$A$50000,$B$4,缺陷明细!$G$2:$G$50000,$C60,缺陷明细!$Q$2:$Q$50000,"已关闭",缺陷明细!$J$2:$J$50000,"运维测试")</f>
        <v>0</v>
      </c>
      <c r="AA60" s="72">
        <f>COUNTIFS(缺陷明细!$A$2:$A$50000,$B$4,缺陷明细!$G$2:$G$50000,$C60,缺陷明细!$J$2:$J$50000,"运维测试",缺陷明细!$K$2:$K$50000,"致命",缺陷明细!$AB$2:$AB$50000,"&lt;&gt;丢弃",缺陷明细!$AB$2:$AB$50000,"&lt;&gt;设计如此",缺陷明细!$AB$2:$AB$50000,"&lt;&gt;重复Bug")+COUNTIFS(缺陷明细!$A$2:$A$50000,$B$4,缺陷明细!$G$2:$G$50000,$C60,缺陷明细!$J$2:$J$50000,"运维测试",缺陷明细!$K$2:$K$50000,"严重",缺陷明细!$AB$2:$AB$50000,"&lt;&gt;丢弃",缺陷明细!$AB$2:$AB$50000,"&lt;&gt;设计如此",缺陷明细!$AB$2:$AB$50000,"&lt;&gt;重复Bug")</f>
        <v>0</v>
      </c>
      <c r="AB60" s="73">
        <f>COUNTIFS(缺陷明细!$A$2:$A$50000,$B$4,缺陷明细!$G$2:$G$50000,$C60,缺陷明细!$Q$2:$Q$50000,"已关闭",缺陷明细!$J$2:$J$50000,"运维测试",缺陷明细!$K$2:$K$50000,"致命")+COUNTIFS(缺陷明细!$A$2:$A$50000,$B$4,缺陷明细!$G$2:$G$50000,$C60,缺陷明细!$Q$2:$Q$50000,"已关闭",缺陷明细!$J$2:$J$50000,"运维测试",缺陷明细!$K$2:$K$50000,"严重")</f>
        <v>0</v>
      </c>
      <c r="AC60" s="68">
        <f t="shared" si="4"/>
        <v>0</v>
      </c>
      <c r="AD60" s="60">
        <f t="shared" si="5"/>
        <v>0</v>
      </c>
      <c r="AE60" s="60">
        <f t="shared" si="6"/>
        <v>0</v>
      </c>
      <c r="AF60" s="60">
        <f t="shared" si="7"/>
        <v>0</v>
      </c>
      <c r="AG60" s="60">
        <f t="shared" si="8"/>
        <v>0</v>
      </c>
      <c r="AH60" s="60">
        <f t="shared" si="9"/>
        <v>0</v>
      </c>
      <c r="AI60" s="60">
        <f t="shared" si="10"/>
        <v>0</v>
      </c>
      <c r="AJ60" s="61">
        <f t="shared" si="11"/>
        <v>0</v>
      </c>
      <c r="AK60" s="144"/>
    </row>
    <row r="61" spans="1:37" ht="25.5">
      <c r="A61">
        <v>57</v>
      </c>
      <c r="B61" s="57">
        <v>522</v>
      </c>
      <c r="C61" s="58" t="s">
        <v>402</v>
      </c>
      <c r="D61" s="84" t="s">
        <v>343</v>
      </c>
      <c r="E61" s="82" t="s">
        <v>346</v>
      </c>
      <c r="F61" s="158">
        <v>8</v>
      </c>
      <c r="G61" s="159">
        <v>4</v>
      </c>
      <c r="H61" s="281">
        <f>COUNTIFS(缺陷明细!$A$2:$A$50000,$B$4,缺陷明细!$G$2:$G$50000,$C61,缺陷明细!$J$2:$J$50000,"评审",缺陷明细!$AB$2:$AB$50000,"&lt;&gt;丢弃",缺陷明细!$AB$2:$AB$50000,"&lt;&gt;设计如此",缺陷明细!$AB$2:$AB$50000,"&lt;&gt;重复Bug")</f>
        <v>0</v>
      </c>
      <c r="I61" s="154">
        <f>COUNTIFS(缺陷明细!$A$2:$A$50000,$B$4,缺陷明细!$G$2:$G$50000,$C61,缺陷明细!$Q$2:$Q$50000,"已关闭",缺陷明细!$J$2:$J$50000,"评审")</f>
        <v>0</v>
      </c>
      <c r="J61" s="154">
        <f>COUNTIFS(缺陷明细!$A$2:$A$50000,$B$4,缺陷明细!$G$2:$G$50000,$C61,缺陷明细!$J$2:$J$50000,"单元测试",缺陷明细!$AB$2:$AB$50000,"&lt;&gt;丢弃",缺陷明细!$AB$2:$AB$50000,"&lt;&gt;设计如此",缺陷明细!$AB$2:$AB$50000,"&lt;&gt;重复Bug")</f>
        <v>0</v>
      </c>
      <c r="K61" s="155">
        <f>COUNTIFS(缺陷明细!$A$2:$A$50000,$B$4,缺陷明细!$G$2:$G$50000,$C61,缺陷明细!$Q$2:$Q$50000,"已关闭",缺陷明细!$J$2:$J$50000,"单元测试")</f>
        <v>0</v>
      </c>
      <c r="L61" s="156"/>
      <c r="M61" s="157"/>
      <c r="N61" s="72">
        <f>COUNTIFS(缺陷明细!$A$2:$A$50000,$B$4,缺陷明细!$G$2:$G$50000,$C61,缺陷明细!$J$2:$J$50000,"系统测试案例评审",缺陷明细!$AB$2:$AB$50000,"&lt;&gt;丢弃",缺陷明细!$AB$2:$AB$50000,"&lt;&gt;设计如此",缺陷明细!$AB$2:$AB$50000,"&lt;&gt;重复Bug")</f>
        <v>0</v>
      </c>
      <c r="O61" s="72">
        <f>COUNTIFS(缺陷明细!$A$2:$A$50000,$B$4,缺陷明细!$G$2:$G$50000,$C61,缺陷明细!$Q$2:$Q$50000,"已关闭",缺陷明细!$J$2:$J$50000,"系统测试案例评审")</f>
        <v>0</v>
      </c>
      <c r="P61" s="72">
        <f>COUNTIFS(缺陷明细!$A$2:$A$50000,$B$4,缺陷明细!$G$2:$G$50000,$C61,缺陷明细!$J$2:$J$50000,"系统测试",缺陷明细!$AB$2:$AB$50000,"&lt;&gt;丢弃",缺陷明细!$AB$2:$AB$50000,"&lt;&gt;设计如此",缺陷明细!$AB$2:$AB$50000,"&lt;&gt;重复Bug")</f>
        <v>0</v>
      </c>
      <c r="Q61" s="72">
        <f>COUNTIFS(缺陷明细!$A$2:$A$50000,$B$4,缺陷明细!$G$2:$G$50000,$C61,缺陷明细!$Q$2:$Q$50000,"已关闭",缺陷明细!$J$2:$J$50000,"系统测试")</f>
        <v>0</v>
      </c>
      <c r="R61" s="296">
        <f>COUNTIFS(缺陷明细!$A$2:$A$50000,$B$4,缺陷明细!$G$2:$G$50000,$C61,缺陷明细!$AB$2:$AB$50000,"丢弃",缺陷明细!$J$2:$J$50000,"系统测试")+COUNTIFS(缺陷明细!$A$2:$A$50000,$B$4,缺陷明细!$G$2:$G$50000,$C61,缺陷明细!$AB$2:$AB$50000,"设计如此",缺陷明细!$J$2:$J$50000,"系统测试")+COUNTIFS(缺陷明细!$A$2:$A$50000,$B$4,缺陷明细!$G$2:$G$50000,$C61,缺陷明细!$AB$2:$AB$50000,"重复Bug",缺陷明细!$J$2:$J$50000,"系统测试")</f>
        <v>0</v>
      </c>
      <c r="S61" s="72">
        <f>COUNTIFS(缺陷明细!$A$2:$A$50000,$B$4,缺陷明细!$G$2:$G$50000,$C61,缺陷明细!$J$2:$J$50000,"系统测试",缺陷明细!$K$2:$K$50000,"致命",缺陷明细!$AB$2:$AB$50000,"&lt;&gt;丢弃",缺陷明细!$AB$2:$AB$50000,"&lt;&gt;设计如此",缺陷明细!$AB$2:$AB$50000,"&lt;&gt;重复Bug")+COUNTIFS(缺陷明细!$A$2:$A$50000,$B$4,缺陷明细!$G$2:$G$50000,$C61,缺陷明细!$J$2:$J$50000,"系统测试",缺陷明细!$K$2:$K$50000,"严重",缺陷明细!$AB$2:$AB$50000,"&lt;&gt;丢弃",缺陷明细!$AB$2:$AB$50000,"&lt;&gt;设计如此",缺陷明细!$AB$2:$AB$50000,"&lt;&gt;重复Bug")</f>
        <v>0</v>
      </c>
      <c r="T61" s="73">
        <f>COUNTIFS(缺陷明细!$A$2:$A$50000,$B$4,缺陷明细!$G$2:$G$50000,$C61,缺陷明细!$Q$2:$Q$50000,"已关闭",缺陷明细!$J$2:$J$50000,"系统测试",缺陷明细!$K$2:$K$50000,"致命")+COUNTIFS(缺陷明细!$A$2:$A$50000,$B$4,缺陷明细!$G$2:$G$50000,$C61,缺陷明细!$Q$2:$Q$50000,"已关闭",缺陷明细!$J$2:$J$50000,"系统测试",缺陷明细!$K$2:$K$50000,"严重")</f>
        <v>0</v>
      </c>
      <c r="U61" s="74">
        <f>COUNTIFS(缺陷明细!$A$2:$A$50000,$B$4,缺陷明细!$G$2:$G$50000,$C61,缺陷明细!$J$2:$J$50000,"验收测试",缺陷明细!$AB$2:$AB$50000,"&lt;&gt;丢弃",缺陷明细!$AB$2:$AB$50000,"&lt;&gt;设计如此",缺陷明细!$AB$2:$AB$50000,"&lt;&gt;重复Bug")</f>
        <v>0</v>
      </c>
      <c r="V61" s="75">
        <f>COUNTIFS(缺陷明细!$A$2:$A$50000,$B$4,缺陷明细!$G$2:$G$50000,$C61,缺陷明细!$Q$2:$Q$50000,"已关闭",缺陷明细!$J$2:$J$50000,"验收测试")</f>
        <v>0</v>
      </c>
      <c r="W61" s="75">
        <f>COUNTIFS(缺陷明细!$A$2:$A$50000,$B$4,缺陷明细!$G$2:$G$50000,$C61,缺陷明细!$J$2:$J$50000,"验收测试",缺陷明细!$K$2:$K$50000,"致命",缺陷明细!$AB$2:$AB$50000,"&lt;&gt;丢弃",缺陷明细!$AB$2:$AB$50000,"&lt;&gt;设计如此",缺陷明细!$AB$2:$AB$50000,"&lt;&gt;重复Bug")+COUNTIFS(缺陷明细!$A$2:$A$50000,$B$4,缺陷明细!$G$2:$G$50000,$C61,缺陷明细!$J$2:$J$50000,"验收测试",缺陷明细!$K$2:$K$50000,"严重",缺陷明细!$AB$2:$AB$50000,"&lt;&gt;丢弃",缺陷明细!$AB$2:$AB$50000,"&lt;&gt;设计如此",缺陷明细!$AB$2:$AB$50000,"&lt;&gt;重复Bug")</f>
        <v>0</v>
      </c>
      <c r="X61" s="76">
        <f>COUNTIFS(缺陷明细!$A$2:$A$50000,$B$4,缺陷明细!$G$2:$G$50000,$C61,缺陷明细!$Q$2:$Q$50000,"已关闭",缺陷明细!$J$2:$J$50000,"验收测试",缺陷明细!$K$2:$K$50000,"致命")+COUNTIFS(缺陷明细!$A$2:$A$50000,$B$4,缺陷明细!$G$2:$G$50000,$C61,缺陷明细!$Q$2:$Q$50000,"已关闭",缺陷明细!$J$2:$J$50000,"验收测试",缺陷明细!$K$2:$K$50000,"严重")</f>
        <v>0</v>
      </c>
      <c r="Y61" s="70">
        <f>COUNTIFS(缺陷明细!$A$2:$A$50000,$B$4,缺陷明细!$G$2:$G$50000,$C61,缺陷明细!$J$2:$J$50000,"运维测试",缺陷明细!$AB$2:$AB$50000,"&lt;&gt;丢弃",缺陷明细!$AB$2:$AB$50000,"&lt;&gt;设计如此",缺陷明细!$AB$2:$AB$50000,"&lt;&gt;重复Bug")</f>
        <v>0</v>
      </c>
      <c r="Z61" s="71">
        <f>COUNTIFS(缺陷明细!$A$2:$A$50000,$B$4,缺陷明细!$G$2:$G$50000,$C61,缺陷明细!$Q$2:$Q$50000,"已关闭",缺陷明细!$J$2:$J$50000,"运维测试")</f>
        <v>0</v>
      </c>
      <c r="AA61" s="72">
        <f>COUNTIFS(缺陷明细!$A$2:$A$50000,$B$4,缺陷明细!$G$2:$G$50000,$C61,缺陷明细!$J$2:$J$50000,"运维测试",缺陷明细!$K$2:$K$50000,"致命",缺陷明细!$AB$2:$AB$50000,"&lt;&gt;丢弃",缺陷明细!$AB$2:$AB$50000,"&lt;&gt;设计如此",缺陷明细!$AB$2:$AB$50000,"&lt;&gt;重复Bug")+COUNTIFS(缺陷明细!$A$2:$A$50000,$B$4,缺陷明细!$G$2:$G$50000,$C61,缺陷明细!$J$2:$J$50000,"运维测试",缺陷明细!$K$2:$K$50000,"严重",缺陷明细!$AB$2:$AB$50000,"&lt;&gt;丢弃",缺陷明细!$AB$2:$AB$50000,"&lt;&gt;设计如此",缺陷明细!$AB$2:$AB$50000,"&lt;&gt;重复Bug")</f>
        <v>0</v>
      </c>
      <c r="AB61" s="73">
        <f>COUNTIFS(缺陷明细!$A$2:$A$50000,$B$4,缺陷明细!$G$2:$G$50000,$C61,缺陷明细!$Q$2:$Q$50000,"已关闭",缺陷明细!$J$2:$J$50000,"运维测试",缺陷明细!$K$2:$K$50000,"致命")+COUNTIFS(缺陷明细!$A$2:$A$50000,$B$4,缺陷明细!$G$2:$G$50000,$C61,缺陷明细!$Q$2:$Q$50000,"已关闭",缺陷明细!$J$2:$J$50000,"运维测试",缺陷明细!$K$2:$K$50000,"严重")</f>
        <v>0</v>
      </c>
      <c r="AC61" s="68">
        <f t="shared" si="4"/>
        <v>0</v>
      </c>
      <c r="AD61" s="60">
        <f t="shared" si="5"/>
        <v>0</v>
      </c>
      <c r="AE61" s="60">
        <f t="shared" si="6"/>
        <v>0</v>
      </c>
      <c r="AF61" s="60">
        <f t="shared" si="7"/>
        <v>0</v>
      </c>
      <c r="AG61" s="60">
        <f t="shared" si="8"/>
        <v>0</v>
      </c>
      <c r="AH61" s="60">
        <f t="shared" si="9"/>
        <v>0</v>
      </c>
      <c r="AI61" s="60">
        <f t="shared" si="10"/>
        <v>0</v>
      </c>
      <c r="AJ61" s="61">
        <f t="shared" si="11"/>
        <v>0</v>
      </c>
      <c r="AK61" s="144"/>
    </row>
    <row r="62" spans="1:37" ht="25.5">
      <c r="A62">
        <v>58</v>
      </c>
      <c r="B62" s="57">
        <v>523</v>
      </c>
      <c r="C62" s="58" t="s">
        <v>403</v>
      </c>
      <c r="D62" s="84" t="s">
        <v>343</v>
      </c>
      <c r="E62" s="82" t="s">
        <v>346</v>
      </c>
      <c r="F62" s="158">
        <v>8</v>
      </c>
      <c r="G62" s="159">
        <v>2</v>
      </c>
      <c r="H62" s="281">
        <f>COUNTIFS(缺陷明细!$A$2:$A$50000,$B$4,缺陷明细!$G$2:$G$50000,$C62,缺陷明细!$J$2:$J$50000,"评审",缺陷明细!$AB$2:$AB$50000,"&lt;&gt;丢弃",缺陷明细!$AB$2:$AB$50000,"&lt;&gt;设计如此",缺陷明细!$AB$2:$AB$50000,"&lt;&gt;重复Bug")</f>
        <v>0</v>
      </c>
      <c r="I62" s="154">
        <f>COUNTIFS(缺陷明细!$A$2:$A$50000,$B$4,缺陷明细!$G$2:$G$50000,$C62,缺陷明细!$Q$2:$Q$50000,"已关闭",缺陷明细!$J$2:$J$50000,"评审")</f>
        <v>0</v>
      </c>
      <c r="J62" s="154">
        <f>COUNTIFS(缺陷明细!$A$2:$A$50000,$B$4,缺陷明细!$G$2:$G$50000,$C62,缺陷明细!$J$2:$J$50000,"单元测试",缺陷明细!$AB$2:$AB$50000,"&lt;&gt;丢弃",缺陷明细!$AB$2:$AB$50000,"&lt;&gt;设计如此",缺陷明细!$AB$2:$AB$50000,"&lt;&gt;重复Bug")</f>
        <v>0</v>
      </c>
      <c r="K62" s="155">
        <f>COUNTIFS(缺陷明细!$A$2:$A$50000,$B$4,缺陷明细!$G$2:$G$50000,$C62,缺陷明细!$Q$2:$Q$50000,"已关闭",缺陷明细!$J$2:$J$50000,"单元测试")</f>
        <v>0</v>
      </c>
      <c r="L62" s="156"/>
      <c r="M62" s="157"/>
      <c r="N62" s="72">
        <f>COUNTIFS(缺陷明细!$A$2:$A$50000,$B$4,缺陷明细!$G$2:$G$50000,$C62,缺陷明细!$J$2:$J$50000,"系统测试案例评审",缺陷明细!$AB$2:$AB$50000,"&lt;&gt;丢弃",缺陷明细!$AB$2:$AB$50000,"&lt;&gt;设计如此",缺陷明细!$AB$2:$AB$50000,"&lt;&gt;重复Bug")</f>
        <v>0</v>
      </c>
      <c r="O62" s="72">
        <f>COUNTIFS(缺陷明细!$A$2:$A$50000,$B$4,缺陷明细!$G$2:$G$50000,$C62,缺陷明细!$Q$2:$Q$50000,"已关闭",缺陷明细!$J$2:$J$50000,"系统测试案例评审")</f>
        <v>0</v>
      </c>
      <c r="P62" s="72">
        <f>COUNTIFS(缺陷明细!$A$2:$A$50000,$B$4,缺陷明细!$G$2:$G$50000,$C62,缺陷明细!$J$2:$J$50000,"系统测试",缺陷明细!$AB$2:$AB$50000,"&lt;&gt;丢弃",缺陷明细!$AB$2:$AB$50000,"&lt;&gt;设计如此",缺陷明细!$AB$2:$AB$50000,"&lt;&gt;重复Bug")</f>
        <v>0</v>
      </c>
      <c r="Q62" s="72">
        <f>COUNTIFS(缺陷明细!$A$2:$A$50000,$B$4,缺陷明细!$G$2:$G$50000,$C62,缺陷明细!$Q$2:$Q$50000,"已关闭",缺陷明细!$J$2:$J$50000,"系统测试")</f>
        <v>0</v>
      </c>
      <c r="R62" s="296">
        <f>COUNTIFS(缺陷明细!$A$2:$A$50000,$B$4,缺陷明细!$G$2:$G$50000,$C62,缺陷明细!$AB$2:$AB$50000,"丢弃",缺陷明细!$J$2:$J$50000,"系统测试")+COUNTIFS(缺陷明细!$A$2:$A$50000,$B$4,缺陷明细!$G$2:$G$50000,$C62,缺陷明细!$AB$2:$AB$50000,"设计如此",缺陷明细!$J$2:$J$50000,"系统测试")+COUNTIFS(缺陷明细!$A$2:$A$50000,$B$4,缺陷明细!$G$2:$G$50000,$C62,缺陷明细!$AB$2:$AB$50000,"重复Bug",缺陷明细!$J$2:$J$50000,"系统测试")</f>
        <v>0</v>
      </c>
      <c r="S62" s="72">
        <f>COUNTIFS(缺陷明细!$A$2:$A$50000,$B$4,缺陷明细!$G$2:$G$50000,$C62,缺陷明细!$J$2:$J$50000,"系统测试",缺陷明细!$K$2:$K$50000,"致命",缺陷明细!$AB$2:$AB$50000,"&lt;&gt;丢弃",缺陷明细!$AB$2:$AB$50000,"&lt;&gt;设计如此",缺陷明细!$AB$2:$AB$50000,"&lt;&gt;重复Bug")+COUNTIFS(缺陷明细!$A$2:$A$50000,$B$4,缺陷明细!$G$2:$G$50000,$C62,缺陷明细!$J$2:$J$50000,"系统测试",缺陷明细!$K$2:$K$50000,"严重",缺陷明细!$AB$2:$AB$50000,"&lt;&gt;丢弃",缺陷明细!$AB$2:$AB$50000,"&lt;&gt;设计如此",缺陷明细!$AB$2:$AB$50000,"&lt;&gt;重复Bug")</f>
        <v>0</v>
      </c>
      <c r="T62" s="73">
        <f>COUNTIFS(缺陷明细!$A$2:$A$50000,$B$4,缺陷明细!$G$2:$G$50000,$C62,缺陷明细!$Q$2:$Q$50000,"已关闭",缺陷明细!$J$2:$J$50000,"系统测试",缺陷明细!$K$2:$K$50000,"致命")+COUNTIFS(缺陷明细!$A$2:$A$50000,$B$4,缺陷明细!$G$2:$G$50000,$C62,缺陷明细!$Q$2:$Q$50000,"已关闭",缺陷明细!$J$2:$J$50000,"系统测试",缺陷明细!$K$2:$K$50000,"严重")</f>
        <v>0</v>
      </c>
      <c r="U62" s="74">
        <f>COUNTIFS(缺陷明细!$A$2:$A$50000,$B$4,缺陷明细!$G$2:$G$50000,$C62,缺陷明细!$J$2:$J$50000,"验收测试",缺陷明细!$AB$2:$AB$50000,"&lt;&gt;丢弃",缺陷明细!$AB$2:$AB$50000,"&lt;&gt;设计如此",缺陷明细!$AB$2:$AB$50000,"&lt;&gt;重复Bug")</f>
        <v>0</v>
      </c>
      <c r="V62" s="75">
        <f>COUNTIFS(缺陷明细!$A$2:$A$50000,$B$4,缺陷明细!$G$2:$G$50000,$C62,缺陷明细!$Q$2:$Q$50000,"已关闭",缺陷明细!$J$2:$J$50000,"验收测试")</f>
        <v>0</v>
      </c>
      <c r="W62" s="75">
        <f>COUNTIFS(缺陷明细!$A$2:$A$50000,$B$4,缺陷明细!$G$2:$G$50000,$C62,缺陷明细!$J$2:$J$50000,"验收测试",缺陷明细!$K$2:$K$50000,"致命",缺陷明细!$AB$2:$AB$50000,"&lt;&gt;丢弃",缺陷明细!$AB$2:$AB$50000,"&lt;&gt;设计如此",缺陷明细!$AB$2:$AB$50000,"&lt;&gt;重复Bug")+COUNTIFS(缺陷明细!$A$2:$A$50000,$B$4,缺陷明细!$G$2:$G$50000,$C62,缺陷明细!$J$2:$J$50000,"验收测试",缺陷明细!$K$2:$K$50000,"严重",缺陷明细!$AB$2:$AB$50000,"&lt;&gt;丢弃",缺陷明细!$AB$2:$AB$50000,"&lt;&gt;设计如此",缺陷明细!$AB$2:$AB$50000,"&lt;&gt;重复Bug")</f>
        <v>0</v>
      </c>
      <c r="X62" s="76">
        <f>COUNTIFS(缺陷明细!$A$2:$A$50000,$B$4,缺陷明细!$G$2:$G$50000,$C62,缺陷明细!$Q$2:$Q$50000,"已关闭",缺陷明细!$J$2:$J$50000,"验收测试",缺陷明细!$K$2:$K$50000,"致命")+COUNTIFS(缺陷明细!$A$2:$A$50000,$B$4,缺陷明细!$G$2:$G$50000,$C62,缺陷明细!$Q$2:$Q$50000,"已关闭",缺陷明细!$J$2:$J$50000,"验收测试",缺陷明细!$K$2:$K$50000,"严重")</f>
        <v>0</v>
      </c>
      <c r="Y62" s="70">
        <f>COUNTIFS(缺陷明细!$A$2:$A$50000,$B$4,缺陷明细!$G$2:$G$50000,$C62,缺陷明细!$J$2:$J$50000,"运维测试",缺陷明细!$AB$2:$AB$50000,"&lt;&gt;丢弃",缺陷明细!$AB$2:$AB$50000,"&lt;&gt;设计如此",缺陷明细!$AB$2:$AB$50000,"&lt;&gt;重复Bug")</f>
        <v>0</v>
      </c>
      <c r="Z62" s="71">
        <f>COUNTIFS(缺陷明细!$A$2:$A$50000,$B$4,缺陷明细!$G$2:$G$50000,$C62,缺陷明细!$Q$2:$Q$50000,"已关闭",缺陷明细!$J$2:$J$50000,"运维测试")</f>
        <v>0</v>
      </c>
      <c r="AA62" s="72">
        <f>COUNTIFS(缺陷明细!$A$2:$A$50000,$B$4,缺陷明细!$G$2:$G$50000,$C62,缺陷明细!$J$2:$J$50000,"运维测试",缺陷明细!$K$2:$K$50000,"致命",缺陷明细!$AB$2:$AB$50000,"&lt;&gt;丢弃",缺陷明细!$AB$2:$AB$50000,"&lt;&gt;设计如此",缺陷明细!$AB$2:$AB$50000,"&lt;&gt;重复Bug")+COUNTIFS(缺陷明细!$A$2:$A$50000,$B$4,缺陷明细!$G$2:$G$50000,$C62,缺陷明细!$J$2:$J$50000,"运维测试",缺陷明细!$K$2:$K$50000,"严重",缺陷明细!$AB$2:$AB$50000,"&lt;&gt;丢弃",缺陷明细!$AB$2:$AB$50000,"&lt;&gt;设计如此",缺陷明细!$AB$2:$AB$50000,"&lt;&gt;重复Bug")</f>
        <v>0</v>
      </c>
      <c r="AB62" s="73">
        <f>COUNTIFS(缺陷明细!$A$2:$A$50000,$B$4,缺陷明细!$G$2:$G$50000,$C62,缺陷明细!$Q$2:$Q$50000,"已关闭",缺陷明细!$J$2:$J$50000,"运维测试",缺陷明细!$K$2:$K$50000,"致命")+COUNTIFS(缺陷明细!$A$2:$A$50000,$B$4,缺陷明细!$G$2:$G$50000,$C62,缺陷明细!$Q$2:$Q$50000,"已关闭",缺陷明细!$J$2:$J$50000,"运维测试",缺陷明细!$K$2:$K$50000,"严重")</f>
        <v>0</v>
      </c>
      <c r="AC62" s="68">
        <f t="shared" si="4"/>
        <v>0</v>
      </c>
      <c r="AD62" s="60">
        <f t="shared" si="5"/>
        <v>0</v>
      </c>
      <c r="AE62" s="60">
        <f t="shared" si="6"/>
        <v>0</v>
      </c>
      <c r="AF62" s="60">
        <f t="shared" si="7"/>
        <v>0</v>
      </c>
      <c r="AG62" s="60">
        <f t="shared" si="8"/>
        <v>0</v>
      </c>
      <c r="AH62" s="60">
        <f t="shared" si="9"/>
        <v>0</v>
      </c>
      <c r="AI62" s="60">
        <f t="shared" si="10"/>
        <v>0</v>
      </c>
      <c r="AJ62" s="61">
        <f t="shared" si="11"/>
        <v>0</v>
      </c>
      <c r="AK62" s="144"/>
    </row>
    <row r="63" spans="1:37">
      <c r="A63">
        <v>59</v>
      </c>
      <c r="B63" s="57">
        <v>525</v>
      </c>
      <c r="C63" s="58" t="s">
        <v>404</v>
      </c>
      <c r="D63" s="84" t="s">
        <v>343</v>
      </c>
      <c r="E63" s="82" t="s">
        <v>346</v>
      </c>
      <c r="F63" s="158">
        <v>8</v>
      </c>
      <c r="G63" s="159">
        <v>5</v>
      </c>
      <c r="H63" s="281">
        <f>COUNTIFS(缺陷明细!$A$2:$A$50000,$B$4,缺陷明细!$G$2:$G$50000,$C63,缺陷明细!$J$2:$J$50000,"评审",缺陷明细!$AB$2:$AB$50000,"&lt;&gt;丢弃",缺陷明细!$AB$2:$AB$50000,"&lt;&gt;设计如此",缺陷明细!$AB$2:$AB$50000,"&lt;&gt;重复Bug")</f>
        <v>0</v>
      </c>
      <c r="I63" s="154">
        <f>COUNTIFS(缺陷明细!$A$2:$A$50000,$B$4,缺陷明细!$G$2:$G$50000,$C63,缺陷明细!$Q$2:$Q$50000,"已关闭",缺陷明细!$J$2:$J$50000,"评审")</f>
        <v>0</v>
      </c>
      <c r="J63" s="154">
        <f>COUNTIFS(缺陷明细!$A$2:$A$50000,$B$4,缺陷明细!$G$2:$G$50000,$C63,缺陷明细!$J$2:$J$50000,"单元测试",缺陷明细!$AB$2:$AB$50000,"&lt;&gt;丢弃",缺陷明细!$AB$2:$AB$50000,"&lt;&gt;设计如此",缺陷明细!$AB$2:$AB$50000,"&lt;&gt;重复Bug")</f>
        <v>0</v>
      </c>
      <c r="K63" s="155">
        <f>COUNTIFS(缺陷明细!$A$2:$A$50000,$B$4,缺陷明细!$G$2:$G$50000,$C63,缺陷明细!$Q$2:$Q$50000,"已关闭",缺陷明细!$J$2:$J$50000,"单元测试")</f>
        <v>0</v>
      </c>
      <c r="L63" s="156"/>
      <c r="M63" s="157"/>
      <c r="N63" s="72">
        <f>COUNTIFS(缺陷明细!$A$2:$A$50000,$B$4,缺陷明细!$G$2:$G$50000,$C63,缺陷明细!$J$2:$J$50000,"系统测试案例评审",缺陷明细!$AB$2:$AB$50000,"&lt;&gt;丢弃",缺陷明细!$AB$2:$AB$50000,"&lt;&gt;设计如此",缺陷明细!$AB$2:$AB$50000,"&lt;&gt;重复Bug")</f>
        <v>0</v>
      </c>
      <c r="O63" s="72">
        <f>COUNTIFS(缺陷明细!$A$2:$A$50000,$B$4,缺陷明细!$G$2:$G$50000,$C63,缺陷明细!$Q$2:$Q$50000,"已关闭",缺陷明细!$J$2:$J$50000,"系统测试案例评审")</f>
        <v>0</v>
      </c>
      <c r="P63" s="72">
        <f>COUNTIFS(缺陷明细!$A$2:$A$50000,$B$4,缺陷明细!$G$2:$G$50000,$C63,缺陷明细!$J$2:$J$50000,"系统测试",缺陷明细!$AB$2:$AB$50000,"&lt;&gt;丢弃",缺陷明细!$AB$2:$AB$50000,"&lt;&gt;设计如此",缺陷明细!$AB$2:$AB$50000,"&lt;&gt;重复Bug")</f>
        <v>0</v>
      </c>
      <c r="Q63" s="72">
        <f>COUNTIFS(缺陷明细!$A$2:$A$50000,$B$4,缺陷明细!$G$2:$G$50000,$C63,缺陷明细!$Q$2:$Q$50000,"已关闭",缺陷明细!$J$2:$J$50000,"系统测试")</f>
        <v>0</v>
      </c>
      <c r="R63" s="296">
        <f>COUNTIFS(缺陷明细!$A$2:$A$50000,$B$4,缺陷明细!$G$2:$G$50000,$C63,缺陷明细!$AB$2:$AB$50000,"丢弃",缺陷明细!$J$2:$J$50000,"系统测试")+COUNTIFS(缺陷明细!$A$2:$A$50000,$B$4,缺陷明细!$G$2:$G$50000,$C63,缺陷明细!$AB$2:$AB$50000,"设计如此",缺陷明细!$J$2:$J$50000,"系统测试")+COUNTIFS(缺陷明细!$A$2:$A$50000,$B$4,缺陷明细!$G$2:$G$50000,$C63,缺陷明细!$AB$2:$AB$50000,"重复Bug",缺陷明细!$J$2:$J$50000,"系统测试")</f>
        <v>0</v>
      </c>
      <c r="S63" s="72">
        <f>COUNTIFS(缺陷明细!$A$2:$A$50000,$B$4,缺陷明细!$G$2:$G$50000,$C63,缺陷明细!$J$2:$J$50000,"系统测试",缺陷明细!$K$2:$K$50000,"致命",缺陷明细!$AB$2:$AB$50000,"&lt;&gt;丢弃",缺陷明细!$AB$2:$AB$50000,"&lt;&gt;设计如此",缺陷明细!$AB$2:$AB$50000,"&lt;&gt;重复Bug")+COUNTIFS(缺陷明细!$A$2:$A$50000,$B$4,缺陷明细!$G$2:$G$50000,$C63,缺陷明细!$J$2:$J$50000,"系统测试",缺陷明细!$K$2:$K$50000,"严重",缺陷明细!$AB$2:$AB$50000,"&lt;&gt;丢弃",缺陷明细!$AB$2:$AB$50000,"&lt;&gt;设计如此",缺陷明细!$AB$2:$AB$50000,"&lt;&gt;重复Bug")</f>
        <v>0</v>
      </c>
      <c r="T63" s="73">
        <f>COUNTIFS(缺陷明细!$A$2:$A$50000,$B$4,缺陷明细!$G$2:$G$50000,$C63,缺陷明细!$Q$2:$Q$50000,"已关闭",缺陷明细!$J$2:$J$50000,"系统测试",缺陷明细!$K$2:$K$50000,"致命")+COUNTIFS(缺陷明细!$A$2:$A$50000,$B$4,缺陷明细!$G$2:$G$50000,$C63,缺陷明细!$Q$2:$Q$50000,"已关闭",缺陷明细!$J$2:$J$50000,"系统测试",缺陷明细!$K$2:$K$50000,"严重")</f>
        <v>0</v>
      </c>
      <c r="U63" s="74">
        <f>COUNTIFS(缺陷明细!$A$2:$A$50000,$B$4,缺陷明细!$G$2:$G$50000,$C63,缺陷明细!$J$2:$J$50000,"验收测试",缺陷明细!$AB$2:$AB$50000,"&lt;&gt;丢弃",缺陷明细!$AB$2:$AB$50000,"&lt;&gt;设计如此",缺陷明细!$AB$2:$AB$50000,"&lt;&gt;重复Bug")</f>
        <v>0</v>
      </c>
      <c r="V63" s="75">
        <f>COUNTIFS(缺陷明细!$A$2:$A$50000,$B$4,缺陷明细!$G$2:$G$50000,$C63,缺陷明细!$Q$2:$Q$50000,"已关闭",缺陷明细!$J$2:$J$50000,"验收测试")</f>
        <v>0</v>
      </c>
      <c r="W63" s="75">
        <f>COUNTIFS(缺陷明细!$A$2:$A$50000,$B$4,缺陷明细!$G$2:$G$50000,$C63,缺陷明细!$J$2:$J$50000,"验收测试",缺陷明细!$K$2:$K$50000,"致命",缺陷明细!$AB$2:$AB$50000,"&lt;&gt;丢弃",缺陷明细!$AB$2:$AB$50000,"&lt;&gt;设计如此",缺陷明细!$AB$2:$AB$50000,"&lt;&gt;重复Bug")+COUNTIFS(缺陷明细!$A$2:$A$50000,$B$4,缺陷明细!$G$2:$G$50000,$C63,缺陷明细!$J$2:$J$50000,"验收测试",缺陷明细!$K$2:$K$50000,"严重",缺陷明细!$AB$2:$AB$50000,"&lt;&gt;丢弃",缺陷明细!$AB$2:$AB$50000,"&lt;&gt;设计如此",缺陷明细!$AB$2:$AB$50000,"&lt;&gt;重复Bug")</f>
        <v>0</v>
      </c>
      <c r="X63" s="76">
        <f>COUNTIFS(缺陷明细!$A$2:$A$50000,$B$4,缺陷明细!$G$2:$G$50000,$C63,缺陷明细!$Q$2:$Q$50000,"已关闭",缺陷明细!$J$2:$J$50000,"验收测试",缺陷明细!$K$2:$K$50000,"致命")+COUNTIFS(缺陷明细!$A$2:$A$50000,$B$4,缺陷明细!$G$2:$G$50000,$C63,缺陷明细!$Q$2:$Q$50000,"已关闭",缺陷明细!$J$2:$J$50000,"验收测试",缺陷明细!$K$2:$K$50000,"严重")</f>
        <v>0</v>
      </c>
      <c r="Y63" s="70">
        <f>COUNTIFS(缺陷明细!$A$2:$A$50000,$B$4,缺陷明细!$G$2:$G$50000,$C63,缺陷明细!$J$2:$J$50000,"运维测试",缺陷明细!$AB$2:$AB$50000,"&lt;&gt;丢弃",缺陷明细!$AB$2:$AB$50000,"&lt;&gt;设计如此",缺陷明细!$AB$2:$AB$50000,"&lt;&gt;重复Bug")</f>
        <v>0</v>
      </c>
      <c r="Z63" s="71">
        <f>COUNTIFS(缺陷明细!$A$2:$A$50000,$B$4,缺陷明细!$G$2:$G$50000,$C63,缺陷明细!$Q$2:$Q$50000,"已关闭",缺陷明细!$J$2:$J$50000,"运维测试")</f>
        <v>0</v>
      </c>
      <c r="AA63" s="72">
        <f>COUNTIFS(缺陷明细!$A$2:$A$50000,$B$4,缺陷明细!$G$2:$G$50000,$C63,缺陷明细!$J$2:$J$50000,"运维测试",缺陷明细!$K$2:$K$50000,"致命",缺陷明细!$AB$2:$AB$50000,"&lt;&gt;丢弃",缺陷明细!$AB$2:$AB$50000,"&lt;&gt;设计如此",缺陷明细!$AB$2:$AB$50000,"&lt;&gt;重复Bug")+COUNTIFS(缺陷明细!$A$2:$A$50000,$B$4,缺陷明细!$G$2:$G$50000,$C63,缺陷明细!$J$2:$J$50000,"运维测试",缺陷明细!$K$2:$K$50000,"严重",缺陷明细!$AB$2:$AB$50000,"&lt;&gt;丢弃",缺陷明细!$AB$2:$AB$50000,"&lt;&gt;设计如此",缺陷明细!$AB$2:$AB$50000,"&lt;&gt;重复Bug")</f>
        <v>0</v>
      </c>
      <c r="AB63" s="73">
        <f>COUNTIFS(缺陷明细!$A$2:$A$50000,$B$4,缺陷明细!$G$2:$G$50000,$C63,缺陷明细!$Q$2:$Q$50000,"已关闭",缺陷明细!$J$2:$J$50000,"运维测试",缺陷明细!$K$2:$K$50000,"致命")+COUNTIFS(缺陷明细!$A$2:$A$50000,$B$4,缺陷明细!$G$2:$G$50000,$C63,缺陷明细!$Q$2:$Q$50000,"已关闭",缺陷明细!$J$2:$J$50000,"运维测试",缺陷明细!$K$2:$K$50000,"严重")</f>
        <v>0</v>
      </c>
      <c r="AC63" s="68">
        <f t="shared" si="4"/>
        <v>0</v>
      </c>
      <c r="AD63" s="60">
        <f t="shared" si="5"/>
        <v>0</v>
      </c>
      <c r="AE63" s="60">
        <f t="shared" si="6"/>
        <v>0</v>
      </c>
      <c r="AF63" s="60">
        <f t="shared" si="7"/>
        <v>0</v>
      </c>
      <c r="AG63" s="60">
        <f t="shared" si="8"/>
        <v>0</v>
      </c>
      <c r="AH63" s="60">
        <f t="shared" si="9"/>
        <v>0</v>
      </c>
      <c r="AI63" s="60">
        <f t="shared" si="10"/>
        <v>0</v>
      </c>
      <c r="AJ63" s="61">
        <f t="shared" si="11"/>
        <v>0</v>
      </c>
      <c r="AK63" s="144"/>
    </row>
    <row r="64" spans="1:37">
      <c r="A64">
        <v>60</v>
      </c>
      <c r="B64" s="57">
        <v>526</v>
      </c>
      <c r="C64" s="58" t="s">
        <v>405</v>
      </c>
      <c r="D64" s="84" t="s">
        <v>343</v>
      </c>
      <c r="E64" s="82" t="s">
        <v>346</v>
      </c>
      <c r="F64" s="158">
        <v>8</v>
      </c>
      <c r="G64" s="159">
        <v>0</v>
      </c>
      <c r="H64" s="281">
        <f>COUNTIFS(缺陷明细!$A$2:$A$50000,$B$4,缺陷明细!$G$2:$G$50000,$C64,缺陷明细!$J$2:$J$50000,"评审",缺陷明细!$AB$2:$AB$50000,"&lt;&gt;丢弃",缺陷明细!$AB$2:$AB$50000,"&lt;&gt;设计如此",缺陷明细!$AB$2:$AB$50000,"&lt;&gt;重复Bug")</f>
        <v>0</v>
      </c>
      <c r="I64" s="154">
        <f>COUNTIFS(缺陷明细!$A$2:$A$50000,$B$4,缺陷明细!$G$2:$G$50000,$C64,缺陷明细!$Q$2:$Q$50000,"已关闭",缺陷明细!$J$2:$J$50000,"评审")</f>
        <v>0</v>
      </c>
      <c r="J64" s="154">
        <f>COUNTIFS(缺陷明细!$A$2:$A$50000,$B$4,缺陷明细!$G$2:$G$50000,$C64,缺陷明细!$J$2:$J$50000,"单元测试",缺陷明细!$AB$2:$AB$50000,"&lt;&gt;丢弃",缺陷明细!$AB$2:$AB$50000,"&lt;&gt;设计如此",缺陷明细!$AB$2:$AB$50000,"&lt;&gt;重复Bug")</f>
        <v>0</v>
      </c>
      <c r="K64" s="155">
        <f>COUNTIFS(缺陷明细!$A$2:$A$50000,$B$4,缺陷明细!$G$2:$G$50000,$C64,缺陷明细!$Q$2:$Q$50000,"已关闭",缺陷明细!$J$2:$J$50000,"单元测试")</f>
        <v>0</v>
      </c>
      <c r="L64" s="156"/>
      <c r="M64" s="157"/>
      <c r="N64" s="72">
        <f>COUNTIFS(缺陷明细!$A$2:$A$50000,$B$4,缺陷明细!$G$2:$G$50000,$C64,缺陷明细!$J$2:$J$50000,"系统测试案例评审",缺陷明细!$AB$2:$AB$50000,"&lt;&gt;丢弃",缺陷明细!$AB$2:$AB$50000,"&lt;&gt;设计如此",缺陷明细!$AB$2:$AB$50000,"&lt;&gt;重复Bug")</f>
        <v>0</v>
      </c>
      <c r="O64" s="72">
        <f>COUNTIFS(缺陷明细!$A$2:$A$50000,$B$4,缺陷明细!$G$2:$G$50000,$C64,缺陷明细!$Q$2:$Q$50000,"已关闭",缺陷明细!$J$2:$J$50000,"系统测试案例评审")</f>
        <v>0</v>
      </c>
      <c r="P64" s="72">
        <f>COUNTIFS(缺陷明细!$A$2:$A$50000,$B$4,缺陷明细!$G$2:$G$50000,$C64,缺陷明细!$J$2:$J$50000,"系统测试",缺陷明细!$AB$2:$AB$50000,"&lt;&gt;丢弃",缺陷明细!$AB$2:$AB$50000,"&lt;&gt;设计如此",缺陷明细!$AB$2:$AB$50000,"&lt;&gt;重复Bug")</f>
        <v>0</v>
      </c>
      <c r="Q64" s="72">
        <f>COUNTIFS(缺陷明细!$A$2:$A$50000,$B$4,缺陷明细!$G$2:$G$50000,$C64,缺陷明细!$Q$2:$Q$50000,"已关闭",缺陷明细!$J$2:$J$50000,"系统测试")</f>
        <v>0</v>
      </c>
      <c r="R64" s="296">
        <f>COUNTIFS(缺陷明细!$A$2:$A$50000,$B$4,缺陷明细!$G$2:$G$50000,$C64,缺陷明细!$AB$2:$AB$50000,"丢弃",缺陷明细!$J$2:$J$50000,"系统测试")+COUNTIFS(缺陷明细!$A$2:$A$50000,$B$4,缺陷明细!$G$2:$G$50000,$C64,缺陷明细!$AB$2:$AB$50000,"设计如此",缺陷明细!$J$2:$J$50000,"系统测试")+COUNTIFS(缺陷明细!$A$2:$A$50000,$B$4,缺陷明细!$G$2:$G$50000,$C64,缺陷明细!$AB$2:$AB$50000,"重复Bug",缺陷明细!$J$2:$J$50000,"系统测试")</f>
        <v>0</v>
      </c>
      <c r="S64" s="72">
        <f>COUNTIFS(缺陷明细!$A$2:$A$50000,$B$4,缺陷明细!$G$2:$G$50000,$C64,缺陷明细!$J$2:$J$50000,"系统测试",缺陷明细!$K$2:$K$50000,"致命",缺陷明细!$AB$2:$AB$50000,"&lt;&gt;丢弃",缺陷明细!$AB$2:$AB$50000,"&lt;&gt;设计如此",缺陷明细!$AB$2:$AB$50000,"&lt;&gt;重复Bug")+COUNTIFS(缺陷明细!$A$2:$A$50000,$B$4,缺陷明细!$G$2:$G$50000,$C64,缺陷明细!$J$2:$J$50000,"系统测试",缺陷明细!$K$2:$K$50000,"严重",缺陷明细!$AB$2:$AB$50000,"&lt;&gt;丢弃",缺陷明细!$AB$2:$AB$50000,"&lt;&gt;设计如此",缺陷明细!$AB$2:$AB$50000,"&lt;&gt;重复Bug")</f>
        <v>0</v>
      </c>
      <c r="T64" s="73">
        <f>COUNTIFS(缺陷明细!$A$2:$A$50000,$B$4,缺陷明细!$G$2:$G$50000,$C64,缺陷明细!$Q$2:$Q$50000,"已关闭",缺陷明细!$J$2:$J$50000,"系统测试",缺陷明细!$K$2:$K$50000,"致命")+COUNTIFS(缺陷明细!$A$2:$A$50000,$B$4,缺陷明细!$G$2:$G$50000,$C64,缺陷明细!$Q$2:$Q$50000,"已关闭",缺陷明细!$J$2:$J$50000,"系统测试",缺陷明细!$K$2:$K$50000,"严重")</f>
        <v>0</v>
      </c>
      <c r="U64" s="74">
        <f>COUNTIFS(缺陷明细!$A$2:$A$50000,$B$4,缺陷明细!$G$2:$G$50000,$C64,缺陷明细!$J$2:$J$50000,"验收测试",缺陷明细!$AB$2:$AB$50000,"&lt;&gt;丢弃",缺陷明细!$AB$2:$AB$50000,"&lt;&gt;设计如此",缺陷明细!$AB$2:$AB$50000,"&lt;&gt;重复Bug")</f>
        <v>0</v>
      </c>
      <c r="V64" s="75">
        <f>COUNTIFS(缺陷明细!$A$2:$A$50000,$B$4,缺陷明细!$G$2:$G$50000,$C64,缺陷明细!$Q$2:$Q$50000,"已关闭",缺陷明细!$J$2:$J$50000,"验收测试")</f>
        <v>0</v>
      </c>
      <c r="W64" s="75">
        <f>COUNTIFS(缺陷明细!$A$2:$A$50000,$B$4,缺陷明细!$G$2:$G$50000,$C64,缺陷明细!$J$2:$J$50000,"验收测试",缺陷明细!$K$2:$K$50000,"致命",缺陷明细!$AB$2:$AB$50000,"&lt;&gt;丢弃",缺陷明细!$AB$2:$AB$50000,"&lt;&gt;设计如此",缺陷明细!$AB$2:$AB$50000,"&lt;&gt;重复Bug")+COUNTIFS(缺陷明细!$A$2:$A$50000,$B$4,缺陷明细!$G$2:$G$50000,$C64,缺陷明细!$J$2:$J$50000,"验收测试",缺陷明细!$K$2:$K$50000,"严重",缺陷明细!$AB$2:$AB$50000,"&lt;&gt;丢弃",缺陷明细!$AB$2:$AB$50000,"&lt;&gt;设计如此",缺陷明细!$AB$2:$AB$50000,"&lt;&gt;重复Bug")</f>
        <v>0</v>
      </c>
      <c r="X64" s="76">
        <f>COUNTIFS(缺陷明细!$A$2:$A$50000,$B$4,缺陷明细!$G$2:$G$50000,$C64,缺陷明细!$Q$2:$Q$50000,"已关闭",缺陷明细!$J$2:$J$50000,"验收测试",缺陷明细!$K$2:$K$50000,"致命")+COUNTIFS(缺陷明细!$A$2:$A$50000,$B$4,缺陷明细!$G$2:$G$50000,$C64,缺陷明细!$Q$2:$Q$50000,"已关闭",缺陷明细!$J$2:$J$50000,"验收测试",缺陷明细!$K$2:$K$50000,"严重")</f>
        <v>0</v>
      </c>
      <c r="Y64" s="70">
        <f>COUNTIFS(缺陷明细!$A$2:$A$50000,$B$4,缺陷明细!$G$2:$G$50000,$C64,缺陷明细!$J$2:$J$50000,"运维测试",缺陷明细!$AB$2:$AB$50000,"&lt;&gt;丢弃",缺陷明细!$AB$2:$AB$50000,"&lt;&gt;设计如此",缺陷明细!$AB$2:$AB$50000,"&lt;&gt;重复Bug")</f>
        <v>0</v>
      </c>
      <c r="Z64" s="71">
        <f>COUNTIFS(缺陷明细!$A$2:$A$50000,$B$4,缺陷明细!$G$2:$G$50000,$C64,缺陷明细!$Q$2:$Q$50000,"已关闭",缺陷明细!$J$2:$J$50000,"运维测试")</f>
        <v>0</v>
      </c>
      <c r="AA64" s="72">
        <f>COUNTIFS(缺陷明细!$A$2:$A$50000,$B$4,缺陷明细!$G$2:$G$50000,$C64,缺陷明细!$J$2:$J$50000,"运维测试",缺陷明细!$K$2:$K$50000,"致命",缺陷明细!$AB$2:$AB$50000,"&lt;&gt;丢弃",缺陷明细!$AB$2:$AB$50000,"&lt;&gt;设计如此",缺陷明细!$AB$2:$AB$50000,"&lt;&gt;重复Bug")+COUNTIFS(缺陷明细!$A$2:$A$50000,$B$4,缺陷明细!$G$2:$G$50000,$C64,缺陷明细!$J$2:$J$50000,"运维测试",缺陷明细!$K$2:$K$50000,"严重",缺陷明细!$AB$2:$AB$50000,"&lt;&gt;丢弃",缺陷明细!$AB$2:$AB$50000,"&lt;&gt;设计如此",缺陷明细!$AB$2:$AB$50000,"&lt;&gt;重复Bug")</f>
        <v>0</v>
      </c>
      <c r="AB64" s="73">
        <f>COUNTIFS(缺陷明细!$A$2:$A$50000,$B$4,缺陷明细!$G$2:$G$50000,$C64,缺陷明细!$Q$2:$Q$50000,"已关闭",缺陷明细!$J$2:$J$50000,"运维测试",缺陷明细!$K$2:$K$50000,"致命")+COUNTIFS(缺陷明细!$A$2:$A$50000,$B$4,缺陷明细!$G$2:$G$50000,$C64,缺陷明细!$Q$2:$Q$50000,"已关闭",缺陷明细!$J$2:$J$50000,"运维测试",缺陷明细!$K$2:$K$50000,"严重")</f>
        <v>0</v>
      </c>
      <c r="AC64" s="68">
        <f t="shared" si="4"/>
        <v>0</v>
      </c>
      <c r="AD64" s="60">
        <f t="shared" si="5"/>
        <v>0</v>
      </c>
      <c r="AE64" s="60">
        <f t="shared" si="6"/>
        <v>0</v>
      </c>
      <c r="AF64" s="60">
        <f t="shared" si="7"/>
        <v>0</v>
      </c>
      <c r="AG64" s="60">
        <f t="shared" si="8"/>
        <v>0</v>
      </c>
      <c r="AH64" s="60">
        <f t="shared" si="9"/>
        <v>0</v>
      </c>
      <c r="AI64" s="60">
        <f t="shared" si="10"/>
        <v>0</v>
      </c>
      <c r="AJ64" s="61">
        <f t="shared" si="11"/>
        <v>0</v>
      </c>
      <c r="AK64" s="144"/>
    </row>
    <row r="65" spans="1:37">
      <c r="A65">
        <v>61</v>
      </c>
      <c r="B65" s="57">
        <v>527</v>
      </c>
      <c r="C65" s="58" t="s">
        <v>406</v>
      </c>
      <c r="D65" s="84" t="s">
        <v>343</v>
      </c>
      <c r="E65" s="82" t="s">
        <v>346</v>
      </c>
      <c r="F65" s="158">
        <v>8</v>
      </c>
      <c r="G65" s="159">
        <v>5</v>
      </c>
      <c r="H65" s="281">
        <f>COUNTIFS(缺陷明细!$A$2:$A$50000,$B$4,缺陷明细!$G$2:$G$50000,$C65,缺陷明细!$J$2:$J$50000,"评审",缺陷明细!$AB$2:$AB$50000,"&lt;&gt;丢弃",缺陷明细!$AB$2:$AB$50000,"&lt;&gt;设计如此",缺陷明细!$AB$2:$AB$50000,"&lt;&gt;重复Bug")</f>
        <v>0</v>
      </c>
      <c r="I65" s="154">
        <f>COUNTIFS(缺陷明细!$A$2:$A$50000,$B$4,缺陷明细!$G$2:$G$50000,$C65,缺陷明细!$Q$2:$Q$50000,"已关闭",缺陷明细!$J$2:$J$50000,"评审")</f>
        <v>0</v>
      </c>
      <c r="J65" s="154">
        <f>COUNTIFS(缺陷明细!$A$2:$A$50000,$B$4,缺陷明细!$G$2:$G$50000,$C65,缺陷明细!$J$2:$J$50000,"单元测试",缺陷明细!$AB$2:$AB$50000,"&lt;&gt;丢弃",缺陷明细!$AB$2:$AB$50000,"&lt;&gt;设计如此",缺陷明细!$AB$2:$AB$50000,"&lt;&gt;重复Bug")</f>
        <v>0</v>
      </c>
      <c r="K65" s="155">
        <f>COUNTIFS(缺陷明细!$A$2:$A$50000,$B$4,缺陷明细!$G$2:$G$50000,$C65,缺陷明细!$Q$2:$Q$50000,"已关闭",缺陷明细!$J$2:$J$50000,"单元测试")</f>
        <v>0</v>
      </c>
      <c r="L65" s="156"/>
      <c r="M65" s="157"/>
      <c r="N65" s="72">
        <f>COUNTIFS(缺陷明细!$A$2:$A$50000,$B$4,缺陷明细!$G$2:$G$50000,$C65,缺陷明细!$J$2:$J$50000,"系统测试案例评审",缺陷明细!$AB$2:$AB$50000,"&lt;&gt;丢弃",缺陷明细!$AB$2:$AB$50000,"&lt;&gt;设计如此",缺陷明细!$AB$2:$AB$50000,"&lt;&gt;重复Bug")</f>
        <v>0</v>
      </c>
      <c r="O65" s="72">
        <f>COUNTIFS(缺陷明细!$A$2:$A$50000,$B$4,缺陷明细!$G$2:$G$50000,$C65,缺陷明细!$Q$2:$Q$50000,"已关闭",缺陷明细!$J$2:$J$50000,"系统测试案例评审")</f>
        <v>0</v>
      </c>
      <c r="P65" s="72">
        <f>COUNTIFS(缺陷明细!$A$2:$A$50000,$B$4,缺陷明细!$G$2:$G$50000,$C65,缺陷明细!$J$2:$J$50000,"系统测试",缺陷明细!$AB$2:$AB$50000,"&lt;&gt;丢弃",缺陷明细!$AB$2:$AB$50000,"&lt;&gt;设计如此",缺陷明细!$AB$2:$AB$50000,"&lt;&gt;重复Bug")</f>
        <v>0</v>
      </c>
      <c r="Q65" s="72">
        <f>COUNTIFS(缺陷明细!$A$2:$A$50000,$B$4,缺陷明细!$G$2:$G$50000,$C65,缺陷明细!$Q$2:$Q$50000,"已关闭",缺陷明细!$J$2:$J$50000,"系统测试")</f>
        <v>0</v>
      </c>
      <c r="R65" s="296">
        <f>COUNTIFS(缺陷明细!$A$2:$A$50000,$B$4,缺陷明细!$G$2:$G$50000,$C65,缺陷明细!$AB$2:$AB$50000,"丢弃",缺陷明细!$J$2:$J$50000,"系统测试")+COUNTIFS(缺陷明细!$A$2:$A$50000,$B$4,缺陷明细!$G$2:$G$50000,$C65,缺陷明细!$AB$2:$AB$50000,"设计如此",缺陷明细!$J$2:$J$50000,"系统测试")+COUNTIFS(缺陷明细!$A$2:$A$50000,$B$4,缺陷明细!$G$2:$G$50000,$C65,缺陷明细!$AB$2:$AB$50000,"重复Bug",缺陷明细!$J$2:$J$50000,"系统测试")</f>
        <v>0</v>
      </c>
      <c r="S65" s="72">
        <f>COUNTIFS(缺陷明细!$A$2:$A$50000,$B$4,缺陷明细!$G$2:$G$50000,$C65,缺陷明细!$J$2:$J$50000,"系统测试",缺陷明细!$K$2:$K$50000,"致命",缺陷明细!$AB$2:$AB$50000,"&lt;&gt;丢弃",缺陷明细!$AB$2:$AB$50000,"&lt;&gt;设计如此",缺陷明细!$AB$2:$AB$50000,"&lt;&gt;重复Bug")+COUNTIFS(缺陷明细!$A$2:$A$50000,$B$4,缺陷明细!$G$2:$G$50000,$C65,缺陷明细!$J$2:$J$50000,"系统测试",缺陷明细!$K$2:$K$50000,"严重",缺陷明细!$AB$2:$AB$50000,"&lt;&gt;丢弃",缺陷明细!$AB$2:$AB$50000,"&lt;&gt;设计如此",缺陷明细!$AB$2:$AB$50000,"&lt;&gt;重复Bug")</f>
        <v>0</v>
      </c>
      <c r="T65" s="73">
        <f>COUNTIFS(缺陷明细!$A$2:$A$50000,$B$4,缺陷明细!$G$2:$G$50000,$C65,缺陷明细!$Q$2:$Q$50000,"已关闭",缺陷明细!$J$2:$J$50000,"系统测试",缺陷明细!$K$2:$K$50000,"致命")+COUNTIFS(缺陷明细!$A$2:$A$50000,$B$4,缺陷明细!$G$2:$G$50000,$C65,缺陷明细!$Q$2:$Q$50000,"已关闭",缺陷明细!$J$2:$J$50000,"系统测试",缺陷明细!$K$2:$K$50000,"严重")</f>
        <v>0</v>
      </c>
      <c r="U65" s="74">
        <f>COUNTIFS(缺陷明细!$A$2:$A$50000,$B$4,缺陷明细!$G$2:$G$50000,$C65,缺陷明细!$J$2:$J$50000,"验收测试",缺陷明细!$AB$2:$AB$50000,"&lt;&gt;丢弃",缺陷明细!$AB$2:$AB$50000,"&lt;&gt;设计如此",缺陷明细!$AB$2:$AB$50000,"&lt;&gt;重复Bug")</f>
        <v>0</v>
      </c>
      <c r="V65" s="75">
        <f>COUNTIFS(缺陷明细!$A$2:$A$50000,$B$4,缺陷明细!$G$2:$G$50000,$C65,缺陷明细!$Q$2:$Q$50000,"已关闭",缺陷明细!$J$2:$J$50000,"验收测试")</f>
        <v>0</v>
      </c>
      <c r="W65" s="75">
        <f>COUNTIFS(缺陷明细!$A$2:$A$50000,$B$4,缺陷明细!$G$2:$G$50000,$C65,缺陷明细!$J$2:$J$50000,"验收测试",缺陷明细!$K$2:$K$50000,"致命",缺陷明细!$AB$2:$AB$50000,"&lt;&gt;丢弃",缺陷明细!$AB$2:$AB$50000,"&lt;&gt;设计如此",缺陷明细!$AB$2:$AB$50000,"&lt;&gt;重复Bug")+COUNTIFS(缺陷明细!$A$2:$A$50000,$B$4,缺陷明细!$G$2:$G$50000,$C65,缺陷明细!$J$2:$J$50000,"验收测试",缺陷明细!$K$2:$K$50000,"严重",缺陷明细!$AB$2:$AB$50000,"&lt;&gt;丢弃",缺陷明细!$AB$2:$AB$50000,"&lt;&gt;设计如此",缺陷明细!$AB$2:$AB$50000,"&lt;&gt;重复Bug")</f>
        <v>0</v>
      </c>
      <c r="X65" s="76">
        <f>COUNTIFS(缺陷明细!$A$2:$A$50000,$B$4,缺陷明细!$G$2:$G$50000,$C65,缺陷明细!$Q$2:$Q$50000,"已关闭",缺陷明细!$J$2:$J$50000,"验收测试",缺陷明细!$K$2:$K$50000,"致命")+COUNTIFS(缺陷明细!$A$2:$A$50000,$B$4,缺陷明细!$G$2:$G$50000,$C65,缺陷明细!$Q$2:$Q$50000,"已关闭",缺陷明细!$J$2:$J$50000,"验收测试",缺陷明细!$K$2:$K$50000,"严重")</f>
        <v>0</v>
      </c>
      <c r="Y65" s="70">
        <f>COUNTIFS(缺陷明细!$A$2:$A$50000,$B$4,缺陷明细!$G$2:$G$50000,$C65,缺陷明细!$J$2:$J$50000,"运维测试",缺陷明细!$AB$2:$AB$50000,"&lt;&gt;丢弃",缺陷明细!$AB$2:$AB$50000,"&lt;&gt;设计如此",缺陷明细!$AB$2:$AB$50000,"&lt;&gt;重复Bug")</f>
        <v>0</v>
      </c>
      <c r="Z65" s="71">
        <f>COUNTIFS(缺陷明细!$A$2:$A$50000,$B$4,缺陷明细!$G$2:$G$50000,$C65,缺陷明细!$Q$2:$Q$50000,"已关闭",缺陷明细!$J$2:$J$50000,"运维测试")</f>
        <v>0</v>
      </c>
      <c r="AA65" s="72">
        <f>COUNTIFS(缺陷明细!$A$2:$A$50000,$B$4,缺陷明细!$G$2:$G$50000,$C65,缺陷明细!$J$2:$J$50000,"运维测试",缺陷明细!$K$2:$K$50000,"致命",缺陷明细!$AB$2:$AB$50000,"&lt;&gt;丢弃",缺陷明细!$AB$2:$AB$50000,"&lt;&gt;设计如此",缺陷明细!$AB$2:$AB$50000,"&lt;&gt;重复Bug")+COUNTIFS(缺陷明细!$A$2:$A$50000,$B$4,缺陷明细!$G$2:$G$50000,$C65,缺陷明细!$J$2:$J$50000,"运维测试",缺陷明细!$K$2:$K$50000,"严重",缺陷明细!$AB$2:$AB$50000,"&lt;&gt;丢弃",缺陷明细!$AB$2:$AB$50000,"&lt;&gt;设计如此",缺陷明细!$AB$2:$AB$50000,"&lt;&gt;重复Bug")</f>
        <v>0</v>
      </c>
      <c r="AB65" s="73">
        <f>COUNTIFS(缺陷明细!$A$2:$A$50000,$B$4,缺陷明细!$G$2:$G$50000,$C65,缺陷明细!$Q$2:$Q$50000,"已关闭",缺陷明细!$J$2:$J$50000,"运维测试",缺陷明细!$K$2:$K$50000,"致命")+COUNTIFS(缺陷明细!$A$2:$A$50000,$B$4,缺陷明细!$G$2:$G$50000,$C65,缺陷明细!$Q$2:$Q$50000,"已关闭",缺陷明细!$J$2:$J$50000,"运维测试",缺陷明细!$K$2:$K$50000,"严重")</f>
        <v>0</v>
      </c>
      <c r="AC65" s="68">
        <f t="shared" si="4"/>
        <v>0</v>
      </c>
      <c r="AD65" s="60">
        <f t="shared" si="5"/>
        <v>0</v>
      </c>
      <c r="AE65" s="60">
        <f t="shared" si="6"/>
        <v>0</v>
      </c>
      <c r="AF65" s="60">
        <f t="shared" si="7"/>
        <v>0</v>
      </c>
      <c r="AG65" s="60">
        <f t="shared" si="8"/>
        <v>0</v>
      </c>
      <c r="AH65" s="60">
        <f t="shared" si="9"/>
        <v>0</v>
      </c>
      <c r="AI65" s="60">
        <f t="shared" si="10"/>
        <v>0</v>
      </c>
      <c r="AJ65" s="61">
        <f t="shared" si="11"/>
        <v>0</v>
      </c>
      <c r="AK65" s="144"/>
    </row>
    <row r="66" spans="1:37">
      <c r="A66">
        <v>62</v>
      </c>
      <c r="B66" s="57">
        <v>529</v>
      </c>
      <c r="C66" s="58" t="s">
        <v>407</v>
      </c>
      <c r="D66" s="84" t="s">
        <v>343</v>
      </c>
      <c r="E66" s="82" t="s">
        <v>346</v>
      </c>
      <c r="F66" s="158">
        <v>8</v>
      </c>
      <c r="G66" s="159">
        <v>6</v>
      </c>
      <c r="H66" s="281">
        <f>COUNTIFS(缺陷明细!$A$2:$A$50000,$B$4,缺陷明细!$G$2:$G$50000,$C66,缺陷明细!$J$2:$J$50000,"评审",缺陷明细!$AB$2:$AB$50000,"&lt;&gt;丢弃",缺陷明细!$AB$2:$AB$50000,"&lt;&gt;设计如此",缺陷明细!$AB$2:$AB$50000,"&lt;&gt;重复Bug")</f>
        <v>0</v>
      </c>
      <c r="I66" s="154">
        <f>COUNTIFS(缺陷明细!$A$2:$A$50000,$B$4,缺陷明细!$G$2:$G$50000,$C66,缺陷明细!$Q$2:$Q$50000,"已关闭",缺陷明细!$J$2:$J$50000,"评审")</f>
        <v>0</v>
      </c>
      <c r="J66" s="154">
        <f>COUNTIFS(缺陷明细!$A$2:$A$50000,$B$4,缺陷明细!$G$2:$G$50000,$C66,缺陷明细!$J$2:$J$50000,"单元测试",缺陷明细!$AB$2:$AB$50000,"&lt;&gt;丢弃",缺陷明细!$AB$2:$AB$50000,"&lt;&gt;设计如此",缺陷明细!$AB$2:$AB$50000,"&lt;&gt;重复Bug")</f>
        <v>0</v>
      </c>
      <c r="K66" s="155">
        <f>COUNTIFS(缺陷明细!$A$2:$A$50000,$B$4,缺陷明细!$G$2:$G$50000,$C66,缺陷明细!$Q$2:$Q$50000,"已关闭",缺陷明细!$J$2:$J$50000,"单元测试")</f>
        <v>0</v>
      </c>
      <c r="L66" s="156"/>
      <c r="M66" s="157"/>
      <c r="N66" s="72">
        <f>COUNTIFS(缺陷明细!$A$2:$A$50000,$B$4,缺陷明细!$G$2:$G$50000,$C66,缺陷明细!$J$2:$J$50000,"系统测试案例评审",缺陷明细!$AB$2:$AB$50000,"&lt;&gt;丢弃",缺陷明细!$AB$2:$AB$50000,"&lt;&gt;设计如此",缺陷明细!$AB$2:$AB$50000,"&lt;&gt;重复Bug")</f>
        <v>0</v>
      </c>
      <c r="O66" s="72">
        <f>COUNTIFS(缺陷明细!$A$2:$A$50000,$B$4,缺陷明细!$G$2:$G$50000,$C66,缺陷明细!$Q$2:$Q$50000,"已关闭",缺陷明细!$J$2:$J$50000,"系统测试案例评审")</f>
        <v>0</v>
      </c>
      <c r="P66" s="72">
        <f>COUNTIFS(缺陷明细!$A$2:$A$50000,$B$4,缺陷明细!$G$2:$G$50000,$C66,缺陷明细!$J$2:$J$50000,"系统测试",缺陷明细!$AB$2:$AB$50000,"&lt;&gt;丢弃",缺陷明细!$AB$2:$AB$50000,"&lt;&gt;设计如此",缺陷明细!$AB$2:$AB$50000,"&lt;&gt;重复Bug")</f>
        <v>0</v>
      </c>
      <c r="Q66" s="72">
        <f>COUNTIFS(缺陷明细!$A$2:$A$50000,$B$4,缺陷明细!$G$2:$G$50000,$C66,缺陷明细!$Q$2:$Q$50000,"已关闭",缺陷明细!$J$2:$J$50000,"系统测试")</f>
        <v>0</v>
      </c>
      <c r="R66" s="296">
        <f>COUNTIFS(缺陷明细!$A$2:$A$50000,$B$4,缺陷明细!$G$2:$G$50000,$C66,缺陷明细!$AB$2:$AB$50000,"丢弃",缺陷明细!$J$2:$J$50000,"系统测试")+COUNTIFS(缺陷明细!$A$2:$A$50000,$B$4,缺陷明细!$G$2:$G$50000,$C66,缺陷明细!$AB$2:$AB$50000,"设计如此",缺陷明细!$J$2:$J$50000,"系统测试")+COUNTIFS(缺陷明细!$A$2:$A$50000,$B$4,缺陷明细!$G$2:$G$50000,$C66,缺陷明细!$AB$2:$AB$50000,"重复Bug",缺陷明细!$J$2:$J$50000,"系统测试")</f>
        <v>0</v>
      </c>
      <c r="S66" s="72">
        <f>COUNTIFS(缺陷明细!$A$2:$A$50000,$B$4,缺陷明细!$G$2:$G$50000,$C66,缺陷明细!$J$2:$J$50000,"系统测试",缺陷明细!$K$2:$K$50000,"致命",缺陷明细!$AB$2:$AB$50000,"&lt;&gt;丢弃",缺陷明细!$AB$2:$AB$50000,"&lt;&gt;设计如此",缺陷明细!$AB$2:$AB$50000,"&lt;&gt;重复Bug")+COUNTIFS(缺陷明细!$A$2:$A$50000,$B$4,缺陷明细!$G$2:$G$50000,$C66,缺陷明细!$J$2:$J$50000,"系统测试",缺陷明细!$K$2:$K$50000,"严重",缺陷明细!$AB$2:$AB$50000,"&lt;&gt;丢弃",缺陷明细!$AB$2:$AB$50000,"&lt;&gt;设计如此",缺陷明细!$AB$2:$AB$50000,"&lt;&gt;重复Bug")</f>
        <v>0</v>
      </c>
      <c r="T66" s="73">
        <f>COUNTIFS(缺陷明细!$A$2:$A$50000,$B$4,缺陷明细!$G$2:$G$50000,$C66,缺陷明细!$Q$2:$Q$50000,"已关闭",缺陷明细!$J$2:$J$50000,"系统测试",缺陷明细!$K$2:$K$50000,"致命")+COUNTIFS(缺陷明细!$A$2:$A$50000,$B$4,缺陷明细!$G$2:$G$50000,$C66,缺陷明细!$Q$2:$Q$50000,"已关闭",缺陷明细!$J$2:$J$50000,"系统测试",缺陷明细!$K$2:$K$50000,"严重")</f>
        <v>0</v>
      </c>
      <c r="U66" s="74">
        <f>COUNTIFS(缺陷明细!$A$2:$A$50000,$B$4,缺陷明细!$G$2:$G$50000,$C66,缺陷明细!$J$2:$J$50000,"验收测试",缺陷明细!$AB$2:$AB$50000,"&lt;&gt;丢弃",缺陷明细!$AB$2:$AB$50000,"&lt;&gt;设计如此",缺陷明细!$AB$2:$AB$50000,"&lt;&gt;重复Bug")</f>
        <v>0</v>
      </c>
      <c r="V66" s="75">
        <f>COUNTIFS(缺陷明细!$A$2:$A$50000,$B$4,缺陷明细!$G$2:$G$50000,$C66,缺陷明细!$Q$2:$Q$50000,"已关闭",缺陷明细!$J$2:$J$50000,"验收测试")</f>
        <v>0</v>
      </c>
      <c r="W66" s="75">
        <f>COUNTIFS(缺陷明细!$A$2:$A$50000,$B$4,缺陷明细!$G$2:$G$50000,$C66,缺陷明细!$J$2:$J$50000,"验收测试",缺陷明细!$K$2:$K$50000,"致命",缺陷明细!$AB$2:$AB$50000,"&lt;&gt;丢弃",缺陷明细!$AB$2:$AB$50000,"&lt;&gt;设计如此",缺陷明细!$AB$2:$AB$50000,"&lt;&gt;重复Bug")+COUNTIFS(缺陷明细!$A$2:$A$50000,$B$4,缺陷明细!$G$2:$G$50000,$C66,缺陷明细!$J$2:$J$50000,"验收测试",缺陷明细!$K$2:$K$50000,"严重",缺陷明细!$AB$2:$AB$50000,"&lt;&gt;丢弃",缺陷明细!$AB$2:$AB$50000,"&lt;&gt;设计如此",缺陷明细!$AB$2:$AB$50000,"&lt;&gt;重复Bug")</f>
        <v>0</v>
      </c>
      <c r="X66" s="76">
        <f>COUNTIFS(缺陷明细!$A$2:$A$50000,$B$4,缺陷明细!$G$2:$G$50000,$C66,缺陷明细!$Q$2:$Q$50000,"已关闭",缺陷明细!$J$2:$J$50000,"验收测试",缺陷明细!$K$2:$K$50000,"致命")+COUNTIFS(缺陷明细!$A$2:$A$50000,$B$4,缺陷明细!$G$2:$G$50000,$C66,缺陷明细!$Q$2:$Q$50000,"已关闭",缺陷明细!$J$2:$J$50000,"验收测试",缺陷明细!$K$2:$K$50000,"严重")</f>
        <v>0</v>
      </c>
      <c r="Y66" s="70">
        <f>COUNTIFS(缺陷明细!$A$2:$A$50000,$B$4,缺陷明细!$G$2:$G$50000,$C66,缺陷明细!$J$2:$J$50000,"运维测试",缺陷明细!$AB$2:$AB$50000,"&lt;&gt;丢弃",缺陷明细!$AB$2:$AB$50000,"&lt;&gt;设计如此",缺陷明细!$AB$2:$AB$50000,"&lt;&gt;重复Bug")</f>
        <v>0</v>
      </c>
      <c r="Z66" s="71">
        <f>COUNTIFS(缺陷明细!$A$2:$A$50000,$B$4,缺陷明细!$G$2:$G$50000,$C66,缺陷明细!$Q$2:$Q$50000,"已关闭",缺陷明细!$J$2:$J$50000,"运维测试")</f>
        <v>0</v>
      </c>
      <c r="AA66" s="72">
        <f>COUNTIFS(缺陷明细!$A$2:$A$50000,$B$4,缺陷明细!$G$2:$G$50000,$C66,缺陷明细!$J$2:$J$50000,"运维测试",缺陷明细!$K$2:$K$50000,"致命",缺陷明细!$AB$2:$AB$50000,"&lt;&gt;丢弃",缺陷明细!$AB$2:$AB$50000,"&lt;&gt;设计如此",缺陷明细!$AB$2:$AB$50000,"&lt;&gt;重复Bug")+COUNTIFS(缺陷明细!$A$2:$A$50000,$B$4,缺陷明细!$G$2:$G$50000,$C66,缺陷明细!$J$2:$J$50000,"运维测试",缺陷明细!$K$2:$K$50000,"严重",缺陷明细!$AB$2:$AB$50000,"&lt;&gt;丢弃",缺陷明细!$AB$2:$AB$50000,"&lt;&gt;设计如此",缺陷明细!$AB$2:$AB$50000,"&lt;&gt;重复Bug")</f>
        <v>0</v>
      </c>
      <c r="AB66" s="73">
        <f>COUNTIFS(缺陷明细!$A$2:$A$50000,$B$4,缺陷明细!$G$2:$G$50000,$C66,缺陷明细!$Q$2:$Q$50000,"已关闭",缺陷明细!$J$2:$J$50000,"运维测试",缺陷明细!$K$2:$K$50000,"致命")+COUNTIFS(缺陷明细!$A$2:$A$50000,$B$4,缺陷明细!$G$2:$G$50000,$C66,缺陷明细!$Q$2:$Q$50000,"已关闭",缺陷明细!$J$2:$J$50000,"运维测试",缺陷明细!$K$2:$K$50000,"严重")</f>
        <v>0</v>
      </c>
      <c r="AC66" s="68">
        <f t="shared" si="4"/>
        <v>0</v>
      </c>
      <c r="AD66" s="60">
        <f t="shared" si="5"/>
        <v>0</v>
      </c>
      <c r="AE66" s="60">
        <f t="shared" si="6"/>
        <v>0</v>
      </c>
      <c r="AF66" s="60">
        <f t="shared" si="7"/>
        <v>0</v>
      </c>
      <c r="AG66" s="60">
        <f t="shared" si="8"/>
        <v>0</v>
      </c>
      <c r="AH66" s="60">
        <f t="shared" si="9"/>
        <v>0</v>
      </c>
      <c r="AI66" s="60">
        <f t="shared" si="10"/>
        <v>0</v>
      </c>
      <c r="AJ66" s="61">
        <f t="shared" si="11"/>
        <v>0</v>
      </c>
      <c r="AK66" s="144"/>
    </row>
    <row r="67" spans="1:37" ht="25.5">
      <c r="A67">
        <v>63</v>
      </c>
      <c r="B67" s="57">
        <v>530</v>
      </c>
      <c r="C67" s="58" t="s">
        <v>408</v>
      </c>
      <c r="D67" s="84" t="s">
        <v>343</v>
      </c>
      <c r="E67" s="82" t="s">
        <v>344</v>
      </c>
      <c r="F67" s="158">
        <v>8</v>
      </c>
      <c r="G67" s="159">
        <v>0</v>
      </c>
      <c r="H67" s="281">
        <f>COUNTIFS(缺陷明细!$A$2:$A$50000,$B$4,缺陷明细!$G$2:$G$50000,$C67,缺陷明细!$J$2:$J$50000,"评审",缺陷明细!$AB$2:$AB$50000,"&lt;&gt;丢弃",缺陷明细!$AB$2:$AB$50000,"&lt;&gt;设计如此",缺陷明细!$AB$2:$AB$50000,"&lt;&gt;重复Bug")</f>
        <v>0</v>
      </c>
      <c r="I67" s="154">
        <f>COUNTIFS(缺陷明细!$A$2:$A$50000,$B$4,缺陷明细!$G$2:$G$50000,$C67,缺陷明细!$Q$2:$Q$50000,"已关闭",缺陷明细!$J$2:$J$50000,"评审")</f>
        <v>0</v>
      </c>
      <c r="J67" s="154">
        <f>COUNTIFS(缺陷明细!$A$2:$A$50000,$B$4,缺陷明细!$G$2:$G$50000,$C67,缺陷明细!$J$2:$J$50000,"单元测试",缺陷明细!$AB$2:$AB$50000,"&lt;&gt;丢弃",缺陷明细!$AB$2:$AB$50000,"&lt;&gt;设计如此",缺陷明细!$AB$2:$AB$50000,"&lt;&gt;重复Bug")</f>
        <v>0</v>
      </c>
      <c r="K67" s="155">
        <f>COUNTIFS(缺陷明细!$A$2:$A$50000,$B$4,缺陷明细!$G$2:$G$50000,$C67,缺陷明细!$Q$2:$Q$50000,"已关闭",缺陷明细!$J$2:$J$50000,"单元测试")</f>
        <v>0</v>
      </c>
      <c r="L67" s="156"/>
      <c r="M67" s="157"/>
      <c r="N67" s="72">
        <f>COUNTIFS(缺陷明细!$A$2:$A$50000,$B$4,缺陷明细!$G$2:$G$50000,$C67,缺陷明细!$J$2:$J$50000,"系统测试案例评审",缺陷明细!$AB$2:$AB$50000,"&lt;&gt;丢弃",缺陷明细!$AB$2:$AB$50000,"&lt;&gt;设计如此",缺陷明细!$AB$2:$AB$50000,"&lt;&gt;重复Bug")</f>
        <v>0</v>
      </c>
      <c r="O67" s="72">
        <f>COUNTIFS(缺陷明细!$A$2:$A$50000,$B$4,缺陷明细!$G$2:$G$50000,$C67,缺陷明细!$Q$2:$Q$50000,"已关闭",缺陷明细!$J$2:$J$50000,"系统测试案例评审")</f>
        <v>0</v>
      </c>
      <c r="P67" s="72">
        <f>COUNTIFS(缺陷明细!$A$2:$A$50000,$B$4,缺陷明细!$G$2:$G$50000,$C67,缺陷明细!$J$2:$J$50000,"系统测试",缺陷明细!$AB$2:$AB$50000,"&lt;&gt;丢弃",缺陷明细!$AB$2:$AB$50000,"&lt;&gt;设计如此",缺陷明细!$AB$2:$AB$50000,"&lt;&gt;重复Bug")</f>
        <v>0</v>
      </c>
      <c r="Q67" s="72">
        <f>COUNTIFS(缺陷明细!$A$2:$A$50000,$B$4,缺陷明细!$G$2:$G$50000,$C67,缺陷明细!$Q$2:$Q$50000,"已关闭",缺陷明细!$J$2:$J$50000,"系统测试")</f>
        <v>0</v>
      </c>
      <c r="R67" s="296">
        <f>COUNTIFS(缺陷明细!$A$2:$A$50000,$B$4,缺陷明细!$G$2:$G$50000,$C67,缺陷明细!$AB$2:$AB$50000,"丢弃",缺陷明细!$J$2:$J$50000,"系统测试")+COUNTIFS(缺陷明细!$A$2:$A$50000,$B$4,缺陷明细!$G$2:$G$50000,$C67,缺陷明细!$AB$2:$AB$50000,"设计如此",缺陷明细!$J$2:$J$50000,"系统测试")+COUNTIFS(缺陷明细!$A$2:$A$50000,$B$4,缺陷明细!$G$2:$G$50000,$C67,缺陷明细!$AB$2:$AB$50000,"重复Bug",缺陷明细!$J$2:$J$50000,"系统测试")</f>
        <v>0</v>
      </c>
      <c r="S67" s="72">
        <f>COUNTIFS(缺陷明细!$A$2:$A$50000,$B$4,缺陷明细!$G$2:$G$50000,$C67,缺陷明细!$J$2:$J$50000,"系统测试",缺陷明细!$K$2:$K$50000,"致命",缺陷明细!$AB$2:$AB$50000,"&lt;&gt;丢弃",缺陷明细!$AB$2:$AB$50000,"&lt;&gt;设计如此",缺陷明细!$AB$2:$AB$50000,"&lt;&gt;重复Bug")+COUNTIFS(缺陷明细!$A$2:$A$50000,$B$4,缺陷明细!$G$2:$G$50000,$C67,缺陷明细!$J$2:$J$50000,"系统测试",缺陷明细!$K$2:$K$50000,"严重",缺陷明细!$AB$2:$AB$50000,"&lt;&gt;丢弃",缺陷明细!$AB$2:$AB$50000,"&lt;&gt;设计如此",缺陷明细!$AB$2:$AB$50000,"&lt;&gt;重复Bug")</f>
        <v>0</v>
      </c>
      <c r="T67" s="73">
        <f>COUNTIFS(缺陷明细!$A$2:$A$50000,$B$4,缺陷明细!$G$2:$G$50000,$C67,缺陷明细!$Q$2:$Q$50000,"已关闭",缺陷明细!$J$2:$J$50000,"系统测试",缺陷明细!$K$2:$K$50000,"致命")+COUNTIFS(缺陷明细!$A$2:$A$50000,$B$4,缺陷明细!$G$2:$G$50000,$C67,缺陷明细!$Q$2:$Q$50000,"已关闭",缺陷明细!$J$2:$J$50000,"系统测试",缺陷明细!$K$2:$K$50000,"严重")</f>
        <v>0</v>
      </c>
      <c r="U67" s="74">
        <f>COUNTIFS(缺陷明细!$A$2:$A$50000,$B$4,缺陷明细!$G$2:$G$50000,$C67,缺陷明细!$J$2:$J$50000,"验收测试",缺陷明细!$AB$2:$AB$50000,"&lt;&gt;丢弃",缺陷明细!$AB$2:$AB$50000,"&lt;&gt;设计如此",缺陷明细!$AB$2:$AB$50000,"&lt;&gt;重复Bug")</f>
        <v>0</v>
      </c>
      <c r="V67" s="75">
        <f>COUNTIFS(缺陷明细!$A$2:$A$50000,$B$4,缺陷明细!$G$2:$G$50000,$C67,缺陷明细!$Q$2:$Q$50000,"已关闭",缺陷明细!$J$2:$J$50000,"验收测试")</f>
        <v>0</v>
      </c>
      <c r="W67" s="75">
        <f>COUNTIFS(缺陷明细!$A$2:$A$50000,$B$4,缺陷明细!$G$2:$G$50000,$C67,缺陷明细!$J$2:$J$50000,"验收测试",缺陷明细!$K$2:$K$50000,"致命",缺陷明细!$AB$2:$AB$50000,"&lt;&gt;丢弃",缺陷明细!$AB$2:$AB$50000,"&lt;&gt;设计如此",缺陷明细!$AB$2:$AB$50000,"&lt;&gt;重复Bug")+COUNTIFS(缺陷明细!$A$2:$A$50000,$B$4,缺陷明细!$G$2:$G$50000,$C67,缺陷明细!$J$2:$J$50000,"验收测试",缺陷明细!$K$2:$K$50000,"严重",缺陷明细!$AB$2:$AB$50000,"&lt;&gt;丢弃",缺陷明细!$AB$2:$AB$50000,"&lt;&gt;设计如此",缺陷明细!$AB$2:$AB$50000,"&lt;&gt;重复Bug")</f>
        <v>0</v>
      </c>
      <c r="X67" s="76">
        <f>COUNTIFS(缺陷明细!$A$2:$A$50000,$B$4,缺陷明细!$G$2:$G$50000,$C67,缺陷明细!$Q$2:$Q$50000,"已关闭",缺陷明细!$J$2:$J$50000,"验收测试",缺陷明细!$K$2:$K$50000,"致命")+COUNTIFS(缺陷明细!$A$2:$A$50000,$B$4,缺陷明细!$G$2:$G$50000,$C67,缺陷明细!$Q$2:$Q$50000,"已关闭",缺陷明细!$J$2:$J$50000,"验收测试",缺陷明细!$K$2:$K$50000,"严重")</f>
        <v>0</v>
      </c>
      <c r="Y67" s="70">
        <f>COUNTIFS(缺陷明细!$A$2:$A$50000,$B$4,缺陷明细!$G$2:$G$50000,$C67,缺陷明细!$J$2:$J$50000,"运维测试",缺陷明细!$AB$2:$AB$50000,"&lt;&gt;丢弃",缺陷明细!$AB$2:$AB$50000,"&lt;&gt;设计如此",缺陷明细!$AB$2:$AB$50000,"&lt;&gt;重复Bug")</f>
        <v>0</v>
      </c>
      <c r="Z67" s="71">
        <f>COUNTIFS(缺陷明细!$A$2:$A$50000,$B$4,缺陷明细!$G$2:$G$50000,$C67,缺陷明细!$Q$2:$Q$50000,"已关闭",缺陷明细!$J$2:$J$50000,"运维测试")</f>
        <v>0</v>
      </c>
      <c r="AA67" s="72">
        <f>COUNTIFS(缺陷明细!$A$2:$A$50000,$B$4,缺陷明细!$G$2:$G$50000,$C67,缺陷明细!$J$2:$J$50000,"运维测试",缺陷明细!$K$2:$K$50000,"致命",缺陷明细!$AB$2:$AB$50000,"&lt;&gt;丢弃",缺陷明细!$AB$2:$AB$50000,"&lt;&gt;设计如此",缺陷明细!$AB$2:$AB$50000,"&lt;&gt;重复Bug")+COUNTIFS(缺陷明细!$A$2:$A$50000,$B$4,缺陷明细!$G$2:$G$50000,$C67,缺陷明细!$J$2:$J$50000,"运维测试",缺陷明细!$K$2:$K$50000,"严重",缺陷明细!$AB$2:$AB$50000,"&lt;&gt;丢弃",缺陷明细!$AB$2:$AB$50000,"&lt;&gt;设计如此",缺陷明细!$AB$2:$AB$50000,"&lt;&gt;重复Bug")</f>
        <v>0</v>
      </c>
      <c r="AB67" s="73">
        <f>COUNTIFS(缺陷明细!$A$2:$A$50000,$B$4,缺陷明细!$G$2:$G$50000,$C67,缺陷明细!$Q$2:$Q$50000,"已关闭",缺陷明细!$J$2:$J$50000,"运维测试",缺陷明细!$K$2:$K$50000,"致命")+COUNTIFS(缺陷明细!$A$2:$A$50000,$B$4,缺陷明细!$G$2:$G$50000,$C67,缺陷明细!$Q$2:$Q$50000,"已关闭",缺陷明细!$J$2:$J$50000,"运维测试",缺陷明细!$K$2:$K$50000,"严重")</f>
        <v>0</v>
      </c>
      <c r="AC67" s="68">
        <f t="shared" si="4"/>
        <v>0</v>
      </c>
      <c r="AD67" s="60">
        <f t="shared" si="5"/>
        <v>0</v>
      </c>
      <c r="AE67" s="60">
        <f t="shared" si="6"/>
        <v>0</v>
      </c>
      <c r="AF67" s="60">
        <f t="shared" si="7"/>
        <v>0</v>
      </c>
      <c r="AG67" s="60">
        <f t="shared" si="8"/>
        <v>0</v>
      </c>
      <c r="AH67" s="60">
        <f t="shared" si="9"/>
        <v>0</v>
      </c>
      <c r="AI67" s="60">
        <f t="shared" si="10"/>
        <v>0</v>
      </c>
      <c r="AJ67" s="61">
        <f t="shared" si="11"/>
        <v>0</v>
      </c>
      <c r="AK67" s="144"/>
    </row>
    <row r="68" spans="1:37">
      <c r="A68">
        <v>64</v>
      </c>
      <c r="B68" s="57">
        <v>531</v>
      </c>
      <c r="C68" s="58" t="s">
        <v>409</v>
      </c>
      <c r="D68" s="84" t="s">
        <v>343</v>
      </c>
      <c r="E68" s="82" t="s">
        <v>346</v>
      </c>
      <c r="F68" s="158">
        <v>8</v>
      </c>
      <c r="G68" s="159">
        <v>4</v>
      </c>
      <c r="H68" s="281">
        <f>COUNTIFS(缺陷明细!$A$2:$A$50000,$B$4,缺陷明细!$G$2:$G$50000,$C68,缺陷明细!$J$2:$J$50000,"评审",缺陷明细!$AB$2:$AB$50000,"&lt;&gt;丢弃",缺陷明细!$AB$2:$AB$50000,"&lt;&gt;设计如此",缺陷明细!$AB$2:$AB$50000,"&lt;&gt;重复Bug")</f>
        <v>0</v>
      </c>
      <c r="I68" s="154">
        <f>COUNTIFS(缺陷明细!$A$2:$A$50000,$B$4,缺陷明细!$G$2:$G$50000,$C68,缺陷明细!$Q$2:$Q$50000,"已关闭",缺陷明细!$J$2:$J$50000,"评审")</f>
        <v>0</v>
      </c>
      <c r="J68" s="154">
        <f>COUNTIFS(缺陷明细!$A$2:$A$50000,$B$4,缺陷明细!$G$2:$G$50000,$C68,缺陷明细!$J$2:$J$50000,"单元测试",缺陷明细!$AB$2:$AB$50000,"&lt;&gt;丢弃",缺陷明细!$AB$2:$AB$50000,"&lt;&gt;设计如此",缺陷明细!$AB$2:$AB$50000,"&lt;&gt;重复Bug")</f>
        <v>0</v>
      </c>
      <c r="K68" s="155">
        <f>COUNTIFS(缺陷明细!$A$2:$A$50000,$B$4,缺陷明细!$G$2:$G$50000,$C68,缺陷明细!$Q$2:$Q$50000,"已关闭",缺陷明细!$J$2:$J$50000,"单元测试")</f>
        <v>0</v>
      </c>
      <c r="L68" s="156"/>
      <c r="M68" s="157"/>
      <c r="N68" s="72">
        <f>COUNTIFS(缺陷明细!$A$2:$A$50000,$B$4,缺陷明细!$G$2:$G$50000,$C68,缺陷明细!$J$2:$J$50000,"系统测试案例评审",缺陷明细!$AB$2:$AB$50000,"&lt;&gt;丢弃",缺陷明细!$AB$2:$AB$50000,"&lt;&gt;设计如此",缺陷明细!$AB$2:$AB$50000,"&lt;&gt;重复Bug")</f>
        <v>0</v>
      </c>
      <c r="O68" s="72">
        <f>COUNTIFS(缺陷明细!$A$2:$A$50000,$B$4,缺陷明细!$G$2:$G$50000,$C68,缺陷明细!$Q$2:$Q$50000,"已关闭",缺陷明细!$J$2:$J$50000,"系统测试案例评审")</f>
        <v>0</v>
      </c>
      <c r="P68" s="72">
        <f>COUNTIFS(缺陷明细!$A$2:$A$50000,$B$4,缺陷明细!$G$2:$G$50000,$C68,缺陷明细!$J$2:$J$50000,"系统测试",缺陷明细!$AB$2:$AB$50000,"&lt;&gt;丢弃",缺陷明细!$AB$2:$AB$50000,"&lt;&gt;设计如此",缺陷明细!$AB$2:$AB$50000,"&lt;&gt;重复Bug")</f>
        <v>0</v>
      </c>
      <c r="Q68" s="72">
        <f>COUNTIFS(缺陷明细!$A$2:$A$50000,$B$4,缺陷明细!$G$2:$G$50000,$C68,缺陷明细!$Q$2:$Q$50000,"已关闭",缺陷明细!$J$2:$J$50000,"系统测试")</f>
        <v>0</v>
      </c>
      <c r="R68" s="296">
        <f>COUNTIFS(缺陷明细!$A$2:$A$50000,$B$4,缺陷明细!$G$2:$G$50000,$C68,缺陷明细!$AB$2:$AB$50000,"丢弃",缺陷明细!$J$2:$J$50000,"系统测试")+COUNTIFS(缺陷明细!$A$2:$A$50000,$B$4,缺陷明细!$G$2:$G$50000,$C68,缺陷明细!$AB$2:$AB$50000,"设计如此",缺陷明细!$J$2:$J$50000,"系统测试")+COUNTIFS(缺陷明细!$A$2:$A$50000,$B$4,缺陷明细!$G$2:$G$50000,$C68,缺陷明细!$AB$2:$AB$50000,"重复Bug",缺陷明细!$J$2:$J$50000,"系统测试")</f>
        <v>0</v>
      </c>
      <c r="S68" s="72">
        <f>COUNTIFS(缺陷明细!$A$2:$A$50000,$B$4,缺陷明细!$G$2:$G$50000,$C68,缺陷明细!$J$2:$J$50000,"系统测试",缺陷明细!$K$2:$K$50000,"致命",缺陷明细!$AB$2:$AB$50000,"&lt;&gt;丢弃",缺陷明细!$AB$2:$AB$50000,"&lt;&gt;设计如此",缺陷明细!$AB$2:$AB$50000,"&lt;&gt;重复Bug")+COUNTIFS(缺陷明细!$A$2:$A$50000,$B$4,缺陷明细!$G$2:$G$50000,$C68,缺陷明细!$J$2:$J$50000,"系统测试",缺陷明细!$K$2:$K$50000,"严重",缺陷明细!$AB$2:$AB$50000,"&lt;&gt;丢弃",缺陷明细!$AB$2:$AB$50000,"&lt;&gt;设计如此",缺陷明细!$AB$2:$AB$50000,"&lt;&gt;重复Bug")</f>
        <v>0</v>
      </c>
      <c r="T68" s="73">
        <f>COUNTIFS(缺陷明细!$A$2:$A$50000,$B$4,缺陷明细!$G$2:$G$50000,$C68,缺陷明细!$Q$2:$Q$50000,"已关闭",缺陷明细!$J$2:$J$50000,"系统测试",缺陷明细!$K$2:$K$50000,"致命")+COUNTIFS(缺陷明细!$A$2:$A$50000,$B$4,缺陷明细!$G$2:$G$50000,$C68,缺陷明细!$Q$2:$Q$50000,"已关闭",缺陷明细!$J$2:$J$50000,"系统测试",缺陷明细!$K$2:$K$50000,"严重")</f>
        <v>0</v>
      </c>
      <c r="U68" s="74">
        <f>COUNTIFS(缺陷明细!$A$2:$A$50000,$B$4,缺陷明细!$G$2:$G$50000,$C68,缺陷明细!$J$2:$J$50000,"验收测试",缺陷明细!$AB$2:$AB$50000,"&lt;&gt;丢弃",缺陷明细!$AB$2:$AB$50000,"&lt;&gt;设计如此",缺陷明细!$AB$2:$AB$50000,"&lt;&gt;重复Bug")</f>
        <v>0</v>
      </c>
      <c r="V68" s="75">
        <f>COUNTIFS(缺陷明细!$A$2:$A$50000,$B$4,缺陷明细!$G$2:$G$50000,$C68,缺陷明细!$Q$2:$Q$50000,"已关闭",缺陷明细!$J$2:$J$50000,"验收测试")</f>
        <v>0</v>
      </c>
      <c r="W68" s="75">
        <f>COUNTIFS(缺陷明细!$A$2:$A$50000,$B$4,缺陷明细!$G$2:$G$50000,$C68,缺陷明细!$J$2:$J$50000,"验收测试",缺陷明细!$K$2:$K$50000,"致命",缺陷明细!$AB$2:$AB$50000,"&lt;&gt;丢弃",缺陷明细!$AB$2:$AB$50000,"&lt;&gt;设计如此",缺陷明细!$AB$2:$AB$50000,"&lt;&gt;重复Bug")+COUNTIFS(缺陷明细!$A$2:$A$50000,$B$4,缺陷明细!$G$2:$G$50000,$C68,缺陷明细!$J$2:$J$50000,"验收测试",缺陷明细!$K$2:$K$50000,"严重",缺陷明细!$AB$2:$AB$50000,"&lt;&gt;丢弃",缺陷明细!$AB$2:$AB$50000,"&lt;&gt;设计如此",缺陷明细!$AB$2:$AB$50000,"&lt;&gt;重复Bug")</f>
        <v>0</v>
      </c>
      <c r="X68" s="76">
        <f>COUNTIFS(缺陷明细!$A$2:$A$50000,$B$4,缺陷明细!$G$2:$G$50000,$C68,缺陷明细!$Q$2:$Q$50000,"已关闭",缺陷明细!$J$2:$J$50000,"验收测试",缺陷明细!$K$2:$K$50000,"致命")+COUNTIFS(缺陷明细!$A$2:$A$50000,$B$4,缺陷明细!$G$2:$G$50000,$C68,缺陷明细!$Q$2:$Q$50000,"已关闭",缺陷明细!$J$2:$J$50000,"验收测试",缺陷明细!$K$2:$K$50000,"严重")</f>
        <v>0</v>
      </c>
      <c r="Y68" s="70">
        <f>COUNTIFS(缺陷明细!$A$2:$A$50000,$B$4,缺陷明细!$G$2:$G$50000,$C68,缺陷明细!$J$2:$J$50000,"运维测试",缺陷明细!$AB$2:$AB$50000,"&lt;&gt;丢弃",缺陷明细!$AB$2:$AB$50000,"&lt;&gt;设计如此",缺陷明细!$AB$2:$AB$50000,"&lt;&gt;重复Bug")</f>
        <v>0</v>
      </c>
      <c r="Z68" s="71">
        <f>COUNTIFS(缺陷明细!$A$2:$A$50000,$B$4,缺陷明细!$G$2:$G$50000,$C68,缺陷明细!$Q$2:$Q$50000,"已关闭",缺陷明细!$J$2:$J$50000,"运维测试")</f>
        <v>0</v>
      </c>
      <c r="AA68" s="72">
        <f>COUNTIFS(缺陷明细!$A$2:$A$50000,$B$4,缺陷明细!$G$2:$G$50000,$C68,缺陷明细!$J$2:$J$50000,"运维测试",缺陷明细!$K$2:$K$50000,"致命",缺陷明细!$AB$2:$AB$50000,"&lt;&gt;丢弃",缺陷明细!$AB$2:$AB$50000,"&lt;&gt;设计如此",缺陷明细!$AB$2:$AB$50000,"&lt;&gt;重复Bug")+COUNTIFS(缺陷明细!$A$2:$A$50000,$B$4,缺陷明细!$G$2:$G$50000,$C68,缺陷明细!$J$2:$J$50000,"运维测试",缺陷明细!$K$2:$K$50000,"严重",缺陷明细!$AB$2:$AB$50000,"&lt;&gt;丢弃",缺陷明细!$AB$2:$AB$50000,"&lt;&gt;设计如此",缺陷明细!$AB$2:$AB$50000,"&lt;&gt;重复Bug")</f>
        <v>0</v>
      </c>
      <c r="AB68" s="73">
        <f>COUNTIFS(缺陷明细!$A$2:$A$50000,$B$4,缺陷明细!$G$2:$G$50000,$C68,缺陷明细!$Q$2:$Q$50000,"已关闭",缺陷明细!$J$2:$J$50000,"运维测试",缺陷明细!$K$2:$K$50000,"致命")+COUNTIFS(缺陷明细!$A$2:$A$50000,$B$4,缺陷明细!$G$2:$G$50000,$C68,缺陷明细!$Q$2:$Q$50000,"已关闭",缺陷明细!$J$2:$J$50000,"运维测试",缺陷明细!$K$2:$K$50000,"严重")</f>
        <v>0</v>
      </c>
      <c r="AC68" s="68">
        <f t="shared" si="4"/>
        <v>0</v>
      </c>
      <c r="AD68" s="60">
        <f t="shared" si="5"/>
        <v>0</v>
      </c>
      <c r="AE68" s="60">
        <f t="shared" si="6"/>
        <v>0</v>
      </c>
      <c r="AF68" s="60">
        <f t="shared" si="7"/>
        <v>0</v>
      </c>
      <c r="AG68" s="60">
        <f t="shared" si="8"/>
        <v>0</v>
      </c>
      <c r="AH68" s="60">
        <f t="shared" si="9"/>
        <v>0</v>
      </c>
      <c r="AI68" s="60">
        <f t="shared" si="10"/>
        <v>0</v>
      </c>
      <c r="AJ68" s="61">
        <f t="shared" si="11"/>
        <v>0</v>
      </c>
      <c r="AK68" s="144"/>
    </row>
    <row r="69" spans="1:37">
      <c r="A69">
        <v>65</v>
      </c>
      <c r="B69" s="57">
        <v>532</v>
      </c>
      <c r="C69" s="58" t="s">
        <v>410</v>
      </c>
      <c r="D69" s="84" t="s">
        <v>343</v>
      </c>
      <c r="E69" s="82" t="s">
        <v>344</v>
      </c>
      <c r="F69" s="158">
        <v>16</v>
      </c>
      <c r="G69" s="159">
        <v>0</v>
      </c>
      <c r="H69" s="281">
        <f>COUNTIFS(缺陷明细!$A$2:$A$50000,$B$4,缺陷明细!$G$2:$G$50000,$C69,缺陷明细!$J$2:$J$50000,"评审",缺陷明细!$AB$2:$AB$50000,"&lt;&gt;丢弃",缺陷明细!$AB$2:$AB$50000,"&lt;&gt;设计如此",缺陷明细!$AB$2:$AB$50000,"&lt;&gt;重复Bug")</f>
        <v>0</v>
      </c>
      <c r="I69" s="154">
        <f>COUNTIFS(缺陷明细!$A$2:$A$50000,$B$4,缺陷明细!$G$2:$G$50000,$C69,缺陷明细!$Q$2:$Q$50000,"已关闭",缺陷明细!$J$2:$J$50000,"评审")</f>
        <v>0</v>
      </c>
      <c r="J69" s="154">
        <f>COUNTIFS(缺陷明细!$A$2:$A$50000,$B$4,缺陷明细!$G$2:$G$50000,$C69,缺陷明细!$J$2:$J$50000,"单元测试",缺陷明细!$AB$2:$AB$50000,"&lt;&gt;丢弃",缺陷明细!$AB$2:$AB$50000,"&lt;&gt;设计如此",缺陷明细!$AB$2:$AB$50000,"&lt;&gt;重复Bug")</f>
        <v>0</v>
      </c>
      <c r="K69" s="155">
        <f>COUNTIFS(缺陷明细!$A$2:$A$50000,$B$4,缺陷明细!$G$2:$G$50000,$C69,缺陷明细!$Q$2:$Q$50000,"已关闭",缺陷明细!$J$2:$J$50000,"单元测试")</f>
        <v>0</v>
      </c>
      <c r="L69" s="156"/>
      <c r="M69" s="157"/>
      <c r="N69" s="72">
        <f>COUNTIFS(缺陷明细!$A$2:$A$50000,$B$4,缺陷明细!$G$2:$G$50000,$C69,缺陷明细!$J$2:$J$50000,"系统测试案例评审",缺陷明细!$AB$2:$AB$50000,"&lt;&gt;丢弃",缺陷明细!$AB$2:$AB$50000,"&lt;&gt;设计如此",缺陷明细!$AB$2:$AB$50000,"&lt;&gt;重复Bug")</f>
        <v>0</v>
      </c>
      <c r="O69" s="72">
        <f>COUNTIFS(缺陷明细!$A$2:$A$50000,$B$4,缺陷明细!$G$2:$G$50000,$C69,缺陷明细!$Q$2:$Q$50000,"已关闭",缺陷明细!$J$2:$J$50000,"系统测试案例评审")</f>
        <v>0</v>
      </c>
      <c r="P69" s="72">
        <f>COUNTIFS(缺陷明细!$A$2:$A$50000,$B$4,缺陷明细!$G$2:$G$50000,$C69,缺陷明细!$J$2:$J$50000,"系统测试",缺陷明细!$AB$2:$AB$50000,"&lt;&gt;丢弃",缺陷明细!$AB$2:$AB$50000,"&lt;&gt;设计如此",缺陷明细!$AB$2:$AB$50000,"&lt;&gt;重复Bug")</f>
        <v>0</v>
      </c>
      <c r="Q69" s="72">
        <f>COUNTIFS(缺陷明细!$A$2:$A$50000,$B$4,缺陷明细!$G$2:$G$50000,$C69,缺陷明细!$Q$2:$Q$50000,"已关闭",缺陷明细!$J$2:$J$50000,"系统测试")</f>
        <v>0</v>
      </c>
      <c r="R69" s="296">
        <f>COUNTIFS(缺陷明细!$A$2:$A$50000,$B$4,缺陷明细!$G$2:$G$50000,$C69,缺陷明细!$AB$2:$AB$50000,"丢弃",缺陷明细!$J$2:$J$50000,"系统测试")+COUNTIFS(缺陷明细!$A$2:$A$50000,$B$4,缺陷明细!$G$2:$G$50000,$C69,缺陷明细!$AB$2:$AB$50000,"设计如此",缺陷明细!$J$2:$J$50000,"系统测试")+COUNTIFS(缺陷明细!$A$2:$A$50000,$B$4,缺陷明细!$G$2:$G$50000,$C69,缺陷明细!$AB$2:$AB$50000,"重复Bug",缺陷明细!$J$2:$J$50000,"系统测试")</f>
        <v>0</v>
      </c>
      <c r="S69" s="72">
        <f>COUNTIFS(缺陷明细!$A$2:$A$50000,$B$4,缺陷明细!$G$2:$G$50000,$C69,缺陷明细!$J$2:$J$50000,"系统测试",缺陷明细!$K$2:$K$50000,"致命",缺陷明细!$AB$2:$AB$50000,"&lt;&gt;丢弃",缺陷明细!$AB$2:$AB$50000,"&lt;&gt;设计如此",缺陷明细!$AB$2:$AB$50000,"&lt;&gt;重复Bug")+COUNTIFS(缺陷明细!$A$2:$A$50000,$B$4,缺陷明细!$G$2:$G$50000,$C69,缺陷明细!$J$2:$J$50000,"系统测试",缺陷明细!$K$2:$K$50000,"严重",缺陷明细!$AB$2:$AB$50000,"&lt;&gt;丢弃",缺陷明细!$AB$2:$AB$50000,"&lt;&gt;设计如此",缺陷明细!$AB$2:$AB$50000,"&lt;&gt;重复Bug")</f>
        <v>0</v>
      </c>
      <c r="T69" s="73">
        <f>COUNTIFS(缺陷明细!$A$2:$A$50000,$B$4,缺陷明细!$G$2:$G$50000,$C69,缺陷明细!$Q$2:$Q$50000,"已关闭",缺陷明细!$J$2:$J$50000,"系统测试",缺陷明细!$K$2:$K$50000,"致命")+COUNTIFS(缺陷明细!$A$2:$A$50000,$B$4,缺陷明细!$G$2:$G$50000,$C69,缺陷明细!$Q$2:$Q$50000,"已关闭",缺陷明细!$J$2:$J$50000,"系统测试",缺陷明细!$K$2:$K$50000,"严重")</f>
        <v>0</v>
      </c>
      <c r="U69" s="74">
        <f>COUNTIFS(缺陷明细!$A$2:$A$50000,$B$4,缺陷明细!$G$2:$G$50000,$C69,缺陷明细!$J$2:$J$50000,"验收测试",缺陷明细!$AB$2:$AB$50000,"&lt;&gt;丢弃",缺陷明细!$AB$2:$AB$50000,"&lt;&gt;设计如此",缺陷明细!$AB$2:$AB$50000,"&lt;&gt;重复Bug")</f>
        <v>0</v>
      </c>
      <c r="V69" s="75">
        <f>COUNTIFS(缺陷明细!$A$2:$A$50000,$B$4,缺陷明细!$G$2:$G$50000,$C69,缺陷明细!$Q$2:$Q$50000,"已关闭",缺陷明细!$J$2:$J$50000,"验收测试")</f>
        <v>0</v>
      </c>
      <c r="W69" s="75">
        <f>COUNTIFS(缺陷明细!$A$2:$A$50000,$B$4,缺陷明细!$G$2:$G$50000,$C69,缺陷明细!$J$2:$J$50000,"验收测试",缺陷明细!$K$2:$K$50000,"致命",缺陷明细!$AB$2:$AB$50000,"&lt;&gt;丢弃",缺陷明细!$AB$2:$AB$50000,"&lt;&gt;设计如此",缺陷明细!$AB$2:$AB$50000,"&lt;&gt;重复Bug")+COUNTIFS(缺陷明细!$A$2:$A$50000,$B$4,缺陷明细!$G$2:$G$50000,$C69,缺陷明细!$J$2:$J$50000,"验收测试",缺陷明细!$K$2:$K$50000,"严重",缺陷明细!$AB$2:$AB$50000,"&lt;&gt;丢弃",缺陷明细!$AB$2:$AB$50000,"&lt;&gt;设计如此",缺陷明细!$AB$2:$AB$50000,"&lt;&gt;重复Bug")</f>
        <v>0</v>
      </c>
      <c r="X69" s="76">
        <f>COUNTIFS(缺陷明细!$A$2:$A$50000,$B$4,缺陷明细!$G$2:$G$50000,$C69,缺陷明细!$Q$2:$Q$50000,"已关闭",缺陷明细!$J$2:$J$50000,"验收测试",缺陷明细!$K$2:$K$50000,"致命")+COUNTIFS(缺陷明细!$A$2:$A$50000,$B$4,缺陷明细!$G$2:$G$50000,$C69,缺陷明细!$Q$2:$Q$50000,"已关闭",缺陷明细!$J$2:$J$50000,"验收测试",缺陷明细!$K$2:$K$50000,"严重")</f>
        <v>0</v>
      </c>
      <c r="Y69" s="70">
        <f>COUNTIFS(缺陷明细!$A$2:$A$50000,$B$4,缺陷明细!$G$2:$G$50000,$C69,缺陷明细!$J$2:$J$50000,"运维测试",缺陷明细!$AB$2:$AB$50000,"&lt;&gt;丢弃",缺陷明细!$AB$2:$AB$50000,"&lt;&gt;设计如此",缺陷明细!$AB$2:$AB$50000,"&lt;&gt;重复Bug")</f>
        <v>0</v>
      </c>
      <c r="Z69" s="71">
        <f>COUNTIFS(缺陷明细!$A$2:$A$50000,$B$4,缺陷明细!$G$2:$G$50000,$C69,缺陷明细!$Q$2:$Q$50000,"已关闭",缺陷明细!$J$2:$J$50000,"运维测试")</f>
        <v>0</v>
      </c>
      <c r="AA69" s="72">
        <f>COUNTIFS(缺陷明细!$A$2:$A$50000,$B$4,缺陷明细!$G$2:$G$50000,$C69,缺陷明细!$J$2:$J$50000,"运维测试",缺陷明细!$K$2:$K$50000,"致命",缺陷明细!$AB$2:$AB$50000,"&lt;&gt;丢弃",缺陷明细!$AB$2:$AB$50000,"&lt;&gt;设计如此",缺陷明细!$AB$2:$AB$50000,"&lt;&gt;重复Bug")+COUNTIFS(缺陷明细!$A$2:$A$50000,$B$4,缺陷明细!$G$2:$G$50000,$C69,缺陷明细!$J$2:$J$50000,"运维测试",缺陷明细!$K$2:$K$50000,"严重",缺陷明细!$AB$2:$AB$50000,"&lt;&gt;丢弃",缺陷明细!$AB$2:$AB$50000,"&lt;&gt;设计如此",缺陷明细!$AB$2:$AB$50000,"&lt;&gt;重复Bug")</f>
        <v>0</v>
      </c>
      <c r="AB69" s="73">
        <f>COUNTIFS(缺陷明细!$A$2:$A$50000,$B$4,缺陷明细!$G$2:$G$50000,$C69,缺陷明细!$Q$2:$Q$50000,"已关闭",缺陷明细!$J$2:$J$50000,"运维测试",缺陷明细!$K$2:$K$50000,"致命")+COUNTIFS(缺陷明细!$A$2:$A$50000,$B$4,缺陷明细!$G$2:$G$50000,$C69,缺陷明细!$Q$2:$Q$50000,"已关闭",缺陷明细!$J$2:$J$50000,"运维测试",缺陷明细!$K$2:$K$50000,"严重")</f>
        <v>0</v>
      </c>
      <c r="AC69" s="68">
        <f t="shared" si="4"/>
        <v>0</v>
      </c>
      <c r="AD69" s="60">
        <f t="shared" si="5"/>
        <v>0</v>
      </c>
      <c r="AE69" s="60">
        <f t="shared" si="6"/>
        <v>0</v>
      </c>
      <c r="AF69" s="60">
        <f t="shared" si="7"/>
        <v>0</v>
      </c>
      <c r="AG69" s="60">
        <f t="shared" si="8"/>
        <v>0</v>
      </c>
      <c r="AH69" s="60">
        <f t="shared" si="9"/>
        <v>0</v>
      </c>
      <c r="AI69" s="60">
        <f t="shared" si="10"/>
        <v>0</v>
      </c>
      <c r="AJ69" s="61">
        <f t="shared" si="11"/>
        <v>0</v>
      </c>
      <c r="AK69" s="144"/>
    </row>
    <row r="70" spans="1:37" ht="25.5">
      <c r="A70">
        <v>66</v>
      </c>
      <c r="B70" s="57">
        <v>533</v>
      </c>
      <c r="C70" s="58" t="s">
        <v>411</v>
      </c>
      <c r="D70" s="84" t="s">
        <v>343</v>
      </c>
      <c r="E70" s="82" t="s">
        <v>344</v>
      </c>
      <c r="F70" s="158">
        <v>32</v>
      </c>
      <c r="G70" s="159">
        <v>0</v>
      </c>
      <c r="H70" s="281">
        <f>COUNTIFS(缺陷明细!$A$2:$A$50000,$B$4,缺陷明细!$G$2:$G$50000,$C70,缺陷明细!$J$2:$J$50000,"评审",缺陷明细!$AB$2:$AB$50000,"&lt;&gt;丢弃",缺陷明细!$AB$2:$AB$50000,"&lt;&gt;设计如此",缺陷明细!$AB$2:$AB$50000,"&lt;&gt;重复Bug")</f>
        <v>0</v>
      </c>
      <c r="I70" s="154">
        <f>COUNTIFS(缺陷明细!$A$2:$A$50000,$B$4,缺陷明细!$G$2:$G$50000,$C70,缺陷明细!$Q$2:$Q$50000,"已关闭",缺陷明细!$J$2:$J$50000,"评审")</f>
        <v>0</v>
      </c>
      <c r="J70" s="154">
        <f>COUNTIFS(缺陷明细!$A$2:$A$50000,$B$4,缺陷明细!$G$2:$G$50000,$C70,缺陷明细!$J$2:$J$50000,"单元测试",缺陷明细!$AB$2:$AB$50000,"&lt;&gt;丢弃",缺陷明细!$AB$2:$AB$50000,"&lt;&gt;设计如此",缺陷明细!$AB$2:$AB$50000,"&lt;&gt;重复Bug")</f>
        <v>0</v>
      </c>
      <c r="K70" s="155">
        <f>COUNTIFS(缺陷明细!$A$2:$A$50000,$B$4,缺陷明细!$G$2:$G$50000,$C70,缺陷明细!$Q$2:$Q$50000,"已关闭",缺陷明细!$J$2:$J$50000,"单元测试")</f>
        <v>0</v>
      </c>
      <c r="L70" s="156"/>
      <c r="M70" s="157"/>
      <c r="N70" s="72">
        <f>COUNTIFS(缺陷明细!$A$2:$A$50000,$B$4,缺陷明细!$G$2:$G$50000,$C70,缺陷明细!$J$2:$J$50000,"系统测试案例评审",缺陷明细!$AB$2:$AB$50000,"&lt;&gt;丢弃",缺陷明细!$AB$2:$AB$50000,"&lt;&gt;设计如此",缺陷明细!$AB$2:$AB$50000,"&lt;&gt;重复Bug")</f>
        <v>0</v>
      </c>
      <c r="O70" s="72">
        <f>COUNTIFS(缺陷明细!$A$2:$A$50000,$B$4,缺陷明细!$G$2:$G$50000,$C70,缺陷明细!$Q$2:$Q$50000,"已关闭",缺陷明细!$J$2:$J$50000,"系统测试案例评审")</f>
        <v>0</v>
      </c>
      <c r="P70" s="72">
        <f>COUNTIFS(缺陷明细!$A$2:$A$50000,$B$4,缺陷明细!$G$2:$G$50000,$C70,缺陷明细!$J$2:$J$50000,"系统测试",缺陷明细!$AB$2:$AB$50000,"&lt;&gt;丢弃",缺陷明细!$AB$2:$AB$50000,"&lt;&gt;设计如此",缺陷明细!$AB$2:$AB$50000,"&lt;&gt;重复Bug")</f>
        <v>0</v>
      </c>
      <c r="Q70" s="72">
        <f>COUNTIFS(缺陷明细!$A$2:$A$50000,$B$4,缺陷明细!$G$2:$G$50000,$C70,缺陷明细!$Q$2:$Q$50000,"已关闭",缺陷明细!$J$2:$J$50000,"系统测试")</f>
        <v>0</v>
      </c>
      <c r="R70" s="296">
        <f>COUNTIFS(缺陷明细!$A$2:$A$50000,$B$4,缺陷明细!$G$2:$G$50000,$C70,缺陷明细!$AB$2:$AB$50000,"丢弃",缺陷明细!$J$2:$J$50000,"系统测试")+COUNTIFS(缺陷明细!$A$2:$A$50000,$B$4,缺陷明细!$G$2:$G$50000,$C70,缺陷明细!$AB$2:$AB$50000,"设计如此",缺陷明细!$J$2:$J$50000,"系统测试")+COUNTIFS(缺陷明细!$A$2:$A$50000,$B$4,缺陷明细!$G$2:$G$50000,$C70,缺陷明细!$AB$2:$AB$50000,"重复Bug",缺陷明细!$J$2:$J$50000,"系统测试")</f>
        <v>0</v>
      </c>
      <c r="S70" s="72">
        <f>COUNTIFS(缺陷明细!$A$2:$A$50000,$B$4,缺陷明细!$G$2:$G$50000,$C70,缺陷明细!$J$2:$J$50000,"系统测试",缺陷明细!$K$2:$K$50000,"致命",缺陷明细!$AB$2:$AB$50000,"&lt;&gt;丢弃",缺陷明细!$AB$2:$AB$50000,"&lt;&gt;设计如此",缺陷明细!$AB$2:$AB$50000,"&lt;&gt;重复Bug")+COUNTIFS(缺陷明细!$A$2:$A$50000,$B$4,缺陷明细!$G$2:$G$50000,$C70,缺陷明细!$J$2:$J$50000,"系统测试",缺陷明细!$K$2:$K$50000,"严重",缺陷明细!$AB$2:$AB$50000,"&lt;&gt;丢弃",缺陷明细!$AB$2:$AB$50000,"&lt;&gt;设计如此",缺陷明细!$AB$2:$AB$50000,"&lt;&gt;重复Bug")</f>
        <v>0</v>
      </c>
      <c r="T70" s="73">
        <f>COUNTIFS(缺陷明细!$A$2:$A$50000,$B$4,缺陷明细!$G$2:$G$50000,$C70,缺陷明细!$Q$2:$Q$50000,"已关闭",缺陷明细!$J$2:$J$50000,"系统测试",缺陷明细!$K$2:$K$50000,"致命")+COUNTIFS(缺陷明细!$A$2:$A$50000,$B$4,缺陷明细!$G$2:$G$50000,$C70,缺陷明细!$Q$2:$Q$50000,"已关闭",缺陷明细!$J$2:$J$50000,"系统测试",缺陷明细!$K$2:$K$50000,"严重")</f>
        <v>0</v>
      </c>
      <c r="U70" s="74">
        <f>COUNTIFS(缺陷明细!$A$2:$A$50000,$B$4,缺陷明细!$G$2:$G$50000,$C70,缺陷明细!$J$2:$J$50000,"验收测试",缺陷明细!$AB$2:$AB$50000,"&lt;&gt;丢弃",缺陷明细!$AB$2:$AB$50000,"&lt;&gt;设计如此",缺陷明细!$AB$2:$AB$50000,"&lt;&gt;重复Bug")</f>
        <v>0</v>
      </c>
      <c r="V70" s="75">
        <f>COUNTIFS(缺陷明细!$A$2:$A$50000,$B$4,缺陷明细!$G$2:$G$50000,$C70,缺陷明细!$Q$2:$Q$50000,"已关闭",缺陷明细!$J$2:$J$50000,"验收测试")</f>
        <v>0</v>
      </c>
      <c r="W70" s="75">
        <f>COUNTIFS(缺陷明细!$A$2:$A$50000,$B$4,缺陷明细!$G$2:$G$50000,$C70,缺陷明细!$J$2:$J$50000,"验收测试",缺陷明细!$K$2:$K$50000,"致命",缺陷明细!$AB$2:$AB$50000,"&lt;&gt;丢弃",缺陷明细!$AB$2:$AB$50000,"&lt;&gt;设计如此",缺陷明细!$AB$2:$AB$50000,"&lt;&gt;重复Bug")+COUNTIFS(缺陷明细!$A$2:$A$50000,$B$4,缺陷明细!$G$2:$G$50000,$C70,缺陷明细!$J$2:$J$50000,"验收测试",缺陷明细!$K$2:$K$50000,"严重",缺陷明细!$AB$2:$AB$50000,"&lt;&gt;丢弃",缺陷明细!$AB$2:$AB$50000,"&lt;&gt;设计如此",缺陷明细!$AB$2:$AB$50000,"&lt;&gt;重复Bug")</f>
        <v>0</v>
      </c>
      <c r="X70" s="76">
        <f>COUNTIFS(缺陷明细!$A$2:$A$50000,$B$4,缺陷明细!$G$2:$G$50000,$C70,缺陷明细!$Q$2:$Q$50000,"已关闭",缺陷明细!$J$2:$J$50000,"验收测试",缺陷明细!$K$2:$K$50000,"致命")+COUNTIFS(缺陷明细!$A$2:$A$50000,$B$4,缺陷明细!$G$2:$G$50000,$C70,缺陷明细!$Q$2:$Q$50000,"已关闭",缺陷明细!$J$2:$J$50000,"验收测试",缺陷明细!$K$2:$K$50000,"严重")</f>
        <v>0</v>
      </c>
      <c r="Y70" s="70">
        <f>COUNTIFS(缺陷明细!$A$2:$A$50000,$B$4,缺陷明细!$G$2:$G$50000,$C70,缺陷明细!$J$2:$J$50000,"运维测试",缺陷明细!$AB$2:$AB$50000,"&lt;&gt;丢弃",缺陷明细!$AB$2:$AB$50000,"&lt;&gt;设计如此",缺陷明细!$AB$2:$AB$50000,"&lt;&gt;重复Bug")</f>
        <v>0</v>
      </c>
      <c r="Z70" s="71">
        <f>COUNTIFS(缺陷明细!$A$2:$A$50000,$B$4,缺陷明细!$G$2:$G$50000,$C70,缺陷明细!$Q$2:$Q$50000,"已关闭",缺陷明细!$J$2:$J$50000,"运维测试")</f>
        <v>0</v>
      </c>
      <c r="AA70" s="72">
        <f>COUNTIFS(缺陷明细!$A$2:$A$50000,$B$4,缺陷明细!$G$2:$G$50000,$C70,缺陷明细!$J$2:$J$50000,"运维测试",缺陷明细!$K$2:$K$50000,"致命",缺陷明细!$AB$2:$AB$50000,"&lt;&gt;丢弃",缺陷明细!$AB$2:$AB$50000,"&lt;&gt;设计如此",缺陷明细!$AB$2:$AB$50000,"&lt;&gt;重复Bug")+COUNTIFS(缺陷明细!$A$2:$A$50000,$B$4,缺陷明细!$G$2:$G$50000,$C70,缺陷明细!$J$2:$J$50000,"运维测试",缺陷明细!$K$2:$K$50000,"严重",缺陷明细!$AB$2:$AB$50000,"&lt;&gt;丢弃",缺陷明细!$AB$2:$AB$50000,"&lt;&gt;设计如此",缺陷明细!$AB$2:$AB$50000,"&lt;&gt;重复Bug")</f>
        <v>0</v>
      </c>
      <c r="AB70" s="73">
        <f>COUNTIFS(缺陷明细!$A$2:$A$50000,$B$4,缺陷明细!$G$2:$G$50000,$C70,缺陷明细!$Q$2:$Q$50000,"已关闭",缺陷明细!$J$2:$J$50000,"运维测试",缺陷明细!$K$2:$K$50000,"致命")+COUNTIFS(缺陷明细!$A$2:$A$50000,$B$4,缺陷明细!$G$2:$G$50000,$C70,缺陷明细!$Q$2:$Q$50000,"已关闭",缺陷明细!$J$2:$J$50000,"运维测试",缺陷明细!$K$2:$K$50000,"严重")</f>
        <v>0</v>
      </c>
      <c r="AC70" s="68">
        <f t="shared" si="4"/>
        <v>0</v>
      </c>
      <c r="AD70" s="60">
        <f t="shared" si="5"/>
        <v>0</v>
      </c>
      <c r="AE70" s="60">
        <f t="shared" si="6"/>
        <v>0</v>
      </c>
      <c r="AF70" s="60">
        <f t="shared" si="7"/>
        <v>0</v>
      </c>
      <c r="AG70" s="60">
        <f t="shared" si="8"/>
        <v>0</v>
      </c>
      <c r="AH70" s="60">
        <f t="shared" si="9"/>
        <v>0</v>
      </c>
      <c r="AI70" s="60">
        <f t="shared" si="10"/>
        <v>0</v>
      </c>
      <c r="AJ70" s="61">
        <f t="shared" si="11"/>
        <v>0</v>
      </c>
      <c r="AK70" s="144"/>
    </row>
    <row r="71" spans="1:37" ht="51">
      <c r="A71">
        <v>67</v>
      </c>
      <c r="B71" s="57">
        <v>534</v>
      </c>
      <c r="C71" s="58" t="s">
        <v>412</v>
      </c>
      <c r="D71" s="84" t="s">
        <v>343</v>
      </c>
      <c r="E71" s="82" t="s">
        <v>346</v>
      </c>
      <c r="F71" s="158">
        <v>0.5</v>
      </c>
      <c r="G71" s="159">
        <v>0.5</v>
      </c>
      <c r="H71" s="281">
        <f>COUNTIFS(缺陷明细!$A$2:$A$50000,$B$4,缺陷明细!$G$2:$G$50000,$C71,缺陷明细!$J$2:$J$50000,"评审",缺陷明细!$AB$2:$AB$50000,"&lt;&gt;丢弃",缺陷明细!$AB$2:$AB$50000,"&lt;&gt;设计如此",缺陷明细!$AB$2:$AB$50000,"&lt;&gt;重复Bug")</f>
        <v>0</v>
      </c>
      <c r="I71" s="154">
        <f>COUNTIFS(缺陷明细!$A$2:$A$50000,$B$4,缺陷明细!$G$2:$G$50000,$C71,缺陷明细!$Q$2:$Q$50000,"已关闭",缺陷明细!$J$2:$J$50000,"评审")</f>
        <v>0</v>
      </c>
      <c r="J71" s="154">
        <f>COUNTIFS(缺陷明细!$A$2:$A$50000,$B$4,缺陷明细!$G$2:$G$50000,$C71,缺陷明细!$J$2:$J$50000,"单元测试",缺陷明细!$AB$2:$AB$50000,"&lt;&gt;丢弃",缺陷明细!$AB$2:$AB$50000,"&lt;&gt;设计如此",缺陷明细!$AB$2:$AB$50000,"&lt;&gt;重复Bug")</f>
        <v>0</v>
      </c>
      <c r="K71" s="155">
        <f>COUNTIFS(缺陷明细!$A$2:$A$50000,$B$4,缺陷明细!$G$2:$G$50000,$C71,缺陷明细!$Q$2:$Q$50000,"已关闭",缺陷明细!$J$2:$J$50000,"单元测试")</f>
        <v>0</v>
      </c>
      <c r="L71" s="156"/>
      <c r="M71" s="157"/>
      <c r="N71" s="72">
        <f>COUNTIFS(缺陷明细!$A$2:$A$50000,$B$4,缺陷明细!$G$2:$G$50000,$C71,缺陷明细!$J$2:$J$50000,"系统测试案例评审",缺陷明细!$AB$2:$AB$50000,"&lt;&gt;丢弃",缺陷明细!$AB$2:$AB$50000,"&lt;&gt;设计如此",缺陷明细!$AB$2:$AB$50000,"&lt;&gt;重复Bug")</f>
        <v>0</v>
      </c>
      <c r="O71" s="72">
        <f>COUNTIFS(缺陷明细!$A$2:$A$50000,$B$4,缺陷明细!$G$2:$G$50000,$C71,缺陷明细!$Q$2:$Q$50000,"已关闭",缺陷明细!$J$2:$J$50000,"系统测试案例评审")</f>
        <v>0</v>
      </c>
      <c r="P71" s="72">
        <f>COUNTIFS(缺陷明细!$A$2:$A$50000,$B$4,缺陷明细!$G$2:$G$50000,$C71,缺陷明细!$J$2:$J$50000,"系统测试",缺陷明细!$AB$2:$AB$50000,"&lt;&gt;丢弃",缺陷明细!$AB$2:$AB$50000,"&lt;&gt;设计如此",缺陷明细!$AB$2:$AB$50000,"&lt;&gt;重复Bug")</f>
        <v>0</v>
      </c>
      <c r="Q71" s="72">
        <f>COUNTIFS(缺陷明细!$A$2:$A$50000,$B$4,缺陷明细!$G$2:$G$50000,$C71,缺陷明细!$Q$2:$Q$50000,"已关闭",缺陷明细!$J$2:$J$50000,"系统测试")</f>
        <v>0</v>
      </c>
      <c r="R71" s="296">
        <f>COUNTIFS(缺陷明细!$A$2:$A$50000,$B$4,缺陷明细!$G$2:$G$50000,$C71,缺陷明细!$AB$2:$AB$50000,"丢弃",缺陷明细!$J$2:$J$50000,"系统测试")+COUNTIFS(缺陷明细!$A$2:$A$50000,$B$4,缺陷明细!$G$2:$G$50000,$C71,缺陷明细!$AB$2:$AB$50000,"设计如此",缺陷明细!$J$2:$J$50000,"系统测试")+COUNTIFS(缺陷明细!$A$2:$A$50000,$B$4,缺陷明细!$G$2:$G$50000,$C71,缺陷明细!$AB$2:$AB$50000,"重复Bug",缺陷明细!$J$2:$J$50000,"系统测试")</f>
        <v>0</v>
      </c>
      <c r="S71" s="72">
        <f>COUNTIFS(缺陷明细!$A$2:$A$50000,$B$4,缺陷明细!$G$2:$G$50000,$C71,缺陷明细!$J$2:$J$50000,"系统测试",缺陷明细!$K$2:$K$50000,"致命",缺陷明细!$AB$2:$AB$50000,"&lt;&gt;丢弃",缺陷明细!$AB$2:$AB$50000,"&lt;&gt;设计如此",缺陷明细!$AB$2:$AB$50000,"&lt;&gt;重复Bug")+COUNTIFS(缺陷明细!$A$2:$A$50000,$B$4,缺陷明细!$G$2:$G$50000,$C71,缺陷明细!$J$2:$J$50000,"系统测试",缺陷明细!$K$2:$K$50000,"严重",缺陷明细!$AB$2:$AB$50000,"&lt;&gt;丢弃",缺陷明细!$AB$2:$AB$50000,"&lt;&gt;设计如此",缺陷明细!$AB$2:$AB$50000,"&lt;&gt;重复Bug")</f>
        <v>0</v>
      </c>
      <c r="T71" s="73">
        <f>COUNTIFS(缺陷明细!$A$2:$A$50000,$B$4,缺陷明细!$G$2:$G$50000,$C71,缺陷明细!$Q$2:$Q$50000,"已关闭",缺陷明细!$J$2:$J$50000,"系统测试",缺陷明细!$K$2:$K$50000,"致命")+COUNTIFS(缺陷明细!$A$2:$A$50000,$B$4,缺陷明细!$G$2:$G$50000,$C71,缺陷明细!$Q$2:$Q$50000,"已关闭",缺陷明细!$J$2:$J$50000,"系统测试",缺陷明细!$K$2:$K$50000,"严重")</f>
        <v>0</v>
      </c>
      <c r="U71" s="74">
        <f>COUNTIFS(缺陷明细!$A$2:$A$50000,$B$4,缺陷明细!$G$2:$G$50000,$C71,缺陷明细!$J$2:$J$50000,"验收测试",缺陷明细!$AB$2:$AB$50000,"&lt;&gt;丢弃",缺陷明细!$AB$2:$AB$50000,"&lt;&gt;设计如此",缺陷明细!$AB$2:$AB$50000,"&lt;&gt;重复Bug")</f>
        <v>0</v>
      </c>
      <c r="V71" s="75">
        <f>COUNTIFS(缺陷明细!$A$2:$A$50000,$B$4,缺陷明细!$G$2:$G$50000,$C71,缺陷明细!$Q$2:$Q$50000,"已关闭",缺陷明细!$J$2:$J$50000,"验收测试")</f>
        <v>0</v>
      </c>
      <c r="W71" s="75">
        <f>COUNTIFS(缺陷明细!$A$2:$A$50000,$B$4,缺陷明细!$G$2:$G$50000,$C71,缺陷明细!$J$2:$J$50000,"验收测试",缺陷明细!$K$2:$K$50000,"致命",缺陷明细!$AB$2:$AB$50000,"&lt;&gt;丢弃",缺陷明细!$AB$2:$AB$50000,"&lt;&gt;设计如此",缺陷明细!$AB$2:$AB$50000,"&lt;&gt;重复Bug")+COUNTIFS(缺陷明细!$A$2:$A$50000,$B$4,缺陷明细!$G$2:$G$50000,$C71,缺陷明细!$J$2:$J$50000,"验收测试",缺陷明细!$K$2:$K$50000,"严重",缺陷明细!$AB$2:$AB$50000,"&lt;&gt;丢弃",缺陷明细!$AB$2:$AB$50000,"&lt;&gt;设计如此",缺陷明细!$AB$2:$AB$50000,"&lt;&gt;重复Bug")</f>
        <v>0</v>
      </c>
      <c r="X71" s="76">
        <f>COUNTIFS(缺陷明细!$A$2:$A$50000,$B$4,缺陷明细!$G$2:$G$50000,$C71,缺陷明细!$Q$2:$Q$50000,"已关闭",缺陷明细!$J$2:$J$50000,"验收测试",缺陷明细!$K$2:$K$50000,"致命")+COUNTIFS(缺陷明细!$A$2:$A$50000,$B$4,缺陷明细!$G$2:$G$50000,$C71,缺陷明细!$Q$2:$Q$50000,"已关闭",缺陷明细!$J$2:$J$50000,"验收测试",缺陷明细!$K$2:$K$50000,"严重")</f>
        <v>0</v>
      </c>
      <c r="Y71" s="70">
        <f>COUNTIFS(缺陷明细!$A$2:$A$50000,$B$4,缺陷明细!$G$2:$G$50000,$C71,缺陷明细!$J$2:$J$50000,"运维测试",缺陷明细!$AB$2:$AB$50000,"&lt;&gt;丢弃",缺陷明细!$AB$2:$AB$50000,"&lt;&gt;设计如此",缺陷明细!$AB$2:$AB$50000,"&lt;&gt;重复Bug")</f>
        <v>0</v>
      </c>
      <c r="Z71" s="71">
        <f>COUNTIFS(缺陷明细!$A$2:$A$50000,$B$4,缺陷明细!$G$2:$G$50000,$C71,缺陷明细!$Q$2:$Q$50000,"已关闭",缺陷明细!$J$2:$J$50000,"运维测试")</f>
        <v>0</v>
      </c>
      <c r="AA71" s="72">
        <f>COUNTIFS(缺陷明细!$A$2:$A$50000,$B$4,缺陷明细!$G$2:$G$50000,$C71,缺陷明细!$J$2:$J$50000,"运维测试",缺陷明细!$K$2:$K$50000,"致命",缺陷明细!$AB$2:$AB$50000,"&lt;&gt;丢弃",缺陷明细!$AB$2:$AB$50000,"&lt;&gt;设计如此",缺陷明细!$AB$2:$AB$50000,"&lt;&gt;重复Bug")+COUNTIFS(缺陷明细!$A$2:$A$50000,$B$4,缺陷明细!$G$2:$G$50000,$C71,缺陷明细!$J$2:$J$50000,"运维测试",缺陷明细!$K$2:$K$50000,"严重",缺陷明细!$AB$2:$AB$50000,"&lt;&gt;丢弃",缺陷明细!$AB$2:$AB$50000,"&lt;&gt;设计如此",缺陷明细!$AB$2:$AB$50000,"&lt;&gt;重复Bug")</f>
        <v>0</v>
      </c>
      <c r="AB71" s="73">
        <f>COUNTIFS(缺陷明细!$A$2:$A$50000,$B$4,缺陷明细!$G$2:$G$50000,$C71,缺陷明细!$Q$2:$Q$50000,"已关闭",缺陷明细!$J$2:$J$50000,"运维测试",缺陷明细!$K$2:$K$50000,"致命")+COUNTIFS(缺陷明细!$A$2:$A$50000,$B$4,缺陷明细!$G$2:$G$50000,$C71,缺陷明细!$Q$2:$Q$50000,"已关闭",缺陷明细!$J$2:$J$50000,"运维测试",缺陷明细!$K$2:$K$50000,"严重")</f>
        <v>0</v>
      </c>
      <c r="AC71" s="68">
        <f t="shared" si="4"/>
        <v>0</v>
      </c>
      <c r="AD71" s="60">
        <f t="shared" si="5"/>
        <v>0</v>
      </c>
      <c r="AE71" s="60">
        <f t="shared" si="6"/>
        <v>0</v>
      </c>
      <c r="AF71" s="60">
        <f t="shared" si="7"/>
        <v>0</v>
      </c>
      <c r="AG71" s="60">
        <f t="shared" si="8"/>
        <v>0</v>
      </c>
      <c r="AH71" s="60">
        <f t="shared" si="9"/>
        <v>0</v>
      </c>
      <c r="AI71" s="60">
        <f t="shared" si="10"/>
        <v>0</v>
      </c>
      <c r="AJ71" s="61">
        <f t="shared" si="11"/>
        <v>0</v>
      </c>
      <c r="AK71" s="144"/>
    </row>
    <row r="72" spans="1:37">
      <c r="A72">
        <v>68</v>
      </c>
      <c r="B72" s="57">
        <v>535</v>
      </c>
      <c r="C72" s="58" t="s">
        <v>413</v>
      </c>
      <c r="D72" s="84" t="s">
        <v>343</v>
      </c>
      <c r="E72" s="82" t="s">
        <v>346</v>
      </c>
      <c r="F72" s="158">
        <v>0.25</v>
      </c>
      <c r="G72" s="159">
        <v>0.25</v>
      </c>
      <c r="H72" s="281">
        <f>COUNTIFS(缺陷明细!$A$2:$A$50000,$B$4,缺陷明细!$G$2:$G$50000,$C72,缺陷明细!$J$2:$J$50000,"评审",缺陷明细!$AB$2:$AB$50000,"&lt;&gt;丢弃",缺陷明细!$AB$2:$AB$50000,"&lt;&gt;设计如此",缺陷明细!$AB$2:$AB$50000,"&lt;&gt;重复Bug")</f>
        <v>0</v>
      </c>
      <c r="I72" s="154">
        <f>COUNTIFS(缺陷明细!$A$2:$A$50000,$B$4,缺陷明细!$G$2:$G$50000,$C72,缺陷明细!$Q$2:$Q$50000,"已关闭",缺陷明细!$J$2:$J$50000,"评审")</f>
        <v>0</v>
      </c>
      <c r="J72" s="154">
        <f>COUNTIFS(缺陷明细!$A$2:$A$50000,$B$4,缺陷明细!$G$2:$G$50000,$C72,缺陷明细!$J$2:$J$50000,"单元测试",缺陷明细!$AB$2:$AB$50000,"&lt;&gt;丢弃",缺陷明细!$AB$2:$AB$50000,"&lt;&gt;设计如此",缺陷明细!$AB$2:$AB$50000,"&lt;&gt;重复Bug")</f>
        <v>0</v>
      </c>
      <c r="K72" s="155">
        <f>COUNTIFS(缺陷明细!$A$2:$A$50000,$B$4,缺陷明细!$G$2:$G$50000,$C72,缺陷明细!$Q$2:$Q$50000,"已关闭",缺陷明细!$J$2:$J$50000,"单元测试")</f>
        <v>0</v>
      </c>
      <c r="L72" s="156"/>
      <c r="M72" s="157"/>
      <c r="N72" s="72">
        <f>COUNTIFS(缺陷明细!$A$2:$A$50000,$B$4,缺陷明细!$G$2:$G$50000,$C72,缺陷明细!$J$2:$J$50000,"系统测试案例评审",缺陷明细!$AB$2:$AB$50000,"&lt;&gt;丢弃",缺陷明细!$AB$2:$AB$50000,"&lt;&gt;设计如此",缺陷明细!$AB$2:$AB$50000,"&lt;&gt;重复Bug")</f>
        <v>0</v>
      </c>
      <c r="O72" s="72">
        <f>COUNTIFS(缺陷明细!$A$2:$A$50000,$B$4,缺陷明细!$G$2:$G$50000,$C72,缺陷明细!$Q$2:$Q$50000,"已关闭",缺陷明细!$J$2:$J$50000,"系统测试案例评审")</f>
        <v>0</v>
      </c>
      <c r="P72" s="72">
        <f>COUNTIFS(缺陷明细!$A$2:$A$50000,$B$4,缺陷明细!$G$2:$G$50000,$C72,缺陷明细!$J$2:$J$50000,"系统测试",缺陷明细!$AB$2:$AB$50000,"&lt;&gt;丢弃",缺陷明细!$AB$2:$AB$50000,"&lt;&gt;设计如此",缺陷明细!$AB$2:$AB$50000,"&lt;&gt;重复Bug")</f>
        <v>0</v>
      </c>
      <c r="Q72" s="72">
        <f>COUNTIFS(缺陷明细!$A$2:$A$50000,$B$4,缺陷明细!$G$2:$G$50000,$C72,缺陷明细!$Q$2:$Q$50000,"已关闭",缺陷明细!$J$2:$J$50000,"系统测试")</f>
        <v>0</v>
      </c>
      <c r="R72" s="296">
        <f>COUNTIFS(缺陷明细!$A$2:$A$50000,$B$4,缺陷明细!$G$2:$G$50000,$C72,缺陷明细!$AB$2:$AB$50000,"丢弃",缺陷明细!$J$2:$J$50000,"系统测试")+COUNTIFS(缺陷明细!$A$2:$A$50000,$B$4,缺陷明细!$G$2:$G$50000,$C72,缺陷明细!$AB$2:$AB$50000,"设计如此",缺陷明细!$J$2:$J$50000,"系统测试")+COUNTIFS(缺陷明细!$A$2:$A$50000,$B$4,缺陷明细!$G$2:$G$50000,$C72,缺陷明细!$AB$2:$AB$50000,"重复Bug",缺陷明细!$J$2:$J$50000,"系统测试")</f>
        <v>0</v>
      </c>
      <c r="S72" s="72">
        <f>COUNTIFS(缺陷明细!$A$2:$A$50000,$B$4,缺陷明细!$G$2:$G$50000,$C72,缺陷明细!$J$2:$J$50000,"系统测试",缺陷明细!$K$2:$K$50000,"致命",缺陷明细!$AB$2:$AB$50000,"&lt;&gt;丢弃",缺陷明细!$AB$2:$AB$50000,"&lt;&gt;设计如此",缺陷明细!$AB$2:$AB$50000,"&lt;&gt;重复Bug")+COUNTIFS(缺陷明细!$A$2:$A$50000,$B$4,缺陷明细!$G$2:$G$50000,$C72,缺陷明细!$J$2:$J$50000,"系统测试",缺陷明细!$K$2:$K$50000,"严重",缺陷明细!$AB$2:$AB$50000,"&lt;&gt;丢弃",缺陷明细!$AB$2:$AB$50000,"&lt;&gt;设计如此",缺陷明细!$AB$2:$AB$50000,"&lt;&gt;重复Bug")</f>
        <v>0</v>
      </c>
      <c r="T72" s="73">
        <f>COUNTIFS(缺陷明细!$A$2:$A$50000,$B$4,缺陷明细!$G$2:$G$50000,$C72,缺陷明细!$Q$2:$Q$50000,"已关闭",缺陷明细!$J$2:$J$50000,"系统测试",缺陷明细!$K$2:$K$50000,"致命")+COUNTIFS(缺陷明细!$A$2:$A$50000,$B$4,缺陷明细!$G$2:$G$50000,$C72,缺陷明细!$Q$2:$Q$50000,"已关闭",缺陷明细!$J$2:$J$50000,"系统测试",缺陷明细!$K$2:$K$50000,"严重")</f>
        <v>0</v>
      </c>
      <c r="U72" s="74">
        <f>COUNTIFS(缺陷明细!$A$2:$A$50000,$B$4,缺陷明细!$G$2:$G$50000,$C72,缺陷明细!$J$2:$J$50000,"验收测试",缺陷明细!$AB$2:$AB$50000,"&lt;&gt;丢弃",缺陷明细!$AB$2:$AB$50000,"&lt;&gt;设计如此",缺陷明细!$AB$2:$AB$50000,"&lt;&gt;重复Bug")</f>
        <v>0</v>
      </c>
      <c r="V72" s="75">
        <f>COUNTIFS(缺陷明细!$A$2:$A$50000,$B$4,缺陷明细!$G$2:$G$50000,$C72,缺陷明细!$Q$2:$Q$50000,"已关闭",缺陷明细!$J$2:$J$50000,"验收测试")</f>
        <v>0</v>
      </c>
      <c r="W72" s="75">
        <f>COUNTIFS(缺陷明细!$A$2:$A$50000,$B$4,缺陷明细!$G$2:$G$50000,$C72,缺陷明细!$J$2:$J$50000,"验收测试",缺陷明细!$K$2:$K$50000,"致命",缺陷明细!$AB$2:$AB$50000,"&lt;&gt;丢弃",缺陷明细!$AB$2:$AB$50000,"&lt;&gt;设计如此",缺陷明细!$AB$2:$AB$50000,"&lt;&gt;重复Bug")+COUNTIFS(缺陷明细!$A$2:$A$50000,$B$4,缺陷明细!$G$2:$G$50000,$C72,缺陷明细!$J$2:$J$50000,"验收测试",缺陷明细!$K$2:$K$50000,"严重",缺陷明细!$AB$2:$AB$50000,"&lt;&gt;丢弃",缺陷明细!$AB$2:$AB$50000,"&lt;&gt;设计如此",缺陷明细!$AB$2:$AB$50000,"&lt;&gt;重复Bug")</f>
        <v>0</v>
      </c>
      <c r="X72" s="76">
        <f>COUNTIFS(缺陷明细!$A$2:$A$50000,$B$4,缺陷明细!$G$2:$G$50000,$C72,缺陷明细!$Q$2:$Q$50000,"已关闭",缺陷明细!$J$2:$J$50000,"验收测试",缺陷明细!$K$2:$K$50000,"致命")+COUNTIFS(缺陷明细!$A$2:$A$50000,$B$4,缺陷明细!$G$2:$G$50000,$C72,缺陷明细!$Q$2:$Q$50000,"已关闭",缺陷明细!$J$2:$J$50000,"验收测试",缺陷明细!$K$2:$K$50000,"严重")</f>
        <v>0</v>
      </c>
      <c r="Y72" s="70">
        <f>COUNTIFS(缺陷明细!$A$2:$A$50000,$B$4,缺陷明细!$G$2:$G$50000,$C72,缺陷明细!$J$2:$J$50000,"运维测试",缺陷明细!$AB$2:$AB$50000,"&lt;&gt;丢弃",缺陷明细!$AB$2:$AB$50000,"&lt;&gt;设计如此",缺陷明细!$AB$2:$AB$50000,"&lt;&gt;重复Bug")</f>
        <v>0</v>
      </c>
      <c r="Z72" s="71">
        <f>COUNTIFS(缺陷明细!$A$2:$A$50000,$B$4,缺陷明细!$G$2:$G$50000,$C72,缺陷明细!$Q$2:$Q$50000,"已关闭",缺陷明细!$J$2:$J$50000,"运维测试")</f>
        <v>0</v>
      </c>
      <c r="AA72" s="72">
        <f>COUNTIFS(缺陷明细!$A$2:$A$50000,$B$4,缺陷明细!$G$2:$G$50000,$C72,缺陷明细!$J$2:$J$50000,"运维测试",缺陷明细!$K$2:$K$50000,"致命",缺陷明细!$AB$2:$AB$50000,"&lt;&gt;丢弃",缺陷明细!$AB$2:$AB$50000,"&lt;&gt;设计如此",缺陷明细!$AB$2:$AB$50000,"&lt;&gt;重复Bug")+COUNTIFS(缺陷明细!$A$2:$A$50000,$B$4,缺陷明细!$G$2:$G$50000,$C72,缺陷明细!$J$2:$J$50000,"运维测试",缺陷明细!$K$2:$K$50000,"严重",缺陷明细!$AB$2:$AB$50000,"&lt;&gt;丢弃",缺陷明细!$AB$2:$AB$50000,"&lt;&gt;设计如此",缺陷明细!$AB$2:$AB$50000,"&lt;&gt;重复Bug")</f>
        <v>0</v>
      </c>
      <c r="AB72" s="73">
        <f>COUNTIFS(缺陷明细!$A$2:$A$50000,$B$4,缺陷明细!$G$2:$G$50000,$C72,缺陷明细!$Q$2:$Q$50000,"已关闭",缺陷明细!$J$2:$J$50000,"运维测试",缺陷明细!$K$2:$K$50000,"致命")+COUNTIFS(缺陷明细!$A$2:$A$50000,$B$4,缺陷明细!$G$2:$G$50000,$C72,缺陷明细!$Q$2:$Q$50000,"已关闭",缺陷明细!$J$2:$J$50000,"运维测试",缺陷明细!$K$2:$K$50000,"严重")</f>
        <v>0</v>
      </c>
      <c r="AC72" s="68">
        <f t="shared" si="4"/>
        <v>0</v>
      </c>
      <c r="AD72" s="60">
        <f t="shared" si="5"/>
        <v>0</v>
      </c>
      <c r="AE72" s="60">
        <f t="shared" si="6"/>
        <v>0</v>
      </c>
      <c r="AF72" s="60">
        <f t="shared" si="7"/>
        <v>0</v>
      </c>
      <c r="AG72" s="60">
        <f t="shared" si="8"/>
        <v>0</v>
      </c>
      <c r="AH72" s="60">
        <f t="shared" si="9"/>
        <v>0</v>
      </c>
      <c r="AI72" s="60">
        <f t="shared" si="10"/>
        <v>0</v>
      </c>
      <c r="AJ72" s="61">
        <f t="shared" si="11"/>
        <v>0</v>
      </c>
      <c r="AK72" s="144"/>
    </row>
    <row r="73" spans="1:37" ht="38.25">
      <c r="A73">
        <v>69</v>
      </c>
      <c r="B73" s="57">
        <v>536</v>
      </c>
      <c r="C73" s="58" t="s">
        <v>414</v>
      </c>
      <c r="D73" s="84" t="s">
        <v>343</v>
      </c>
      <c r="E73" s="82" t="s">
        <v>346</v>
      </c>
      <c r="F73" s="158">
        <v>1</v>
      </c>
      <c r="G73" s="159">
        <v>1</v>
      </c>
      <c r="H73" s="281">
        <f>COUNTIFS(缺陷明细!$A$2:$A$50000,$B$4,缺陷明细!$G$2:$G$50000,$C73,缺陷明细!$J$2:$J$50000,"评审",缺陷明细!$AB$2:$AB$50000,"&lt;&gt;丢弃",缺陷明细!$AB$2:$AB$50000,"&lt;&gt;设计如此",缺陷明细!$AB$2:$AB$50000,"&lt;&gt;重复Bug")</f>
        <v>0</v>
      </c>
      <c r="I73" s="154">
        <f>COUNTIFS(缺陷明细!$A$2:$A$50000,$B$4,缺陷明细!$G$2:$G$50000,$C73,缺陷明细!$Q$2:$Q$50000,"已关闭",缺陷明细!$J$2:$J$50000,"评审")</f>
        <v>0</v>
      </c>
      <c r="J73" s="154">
        <f>COUNTIFS(缺陷明细!$A$2:$A$50000,$B$4,缺陷明细!$G$2:$G$50000,$C73,缺陷明细!$J$2:$J$50000,"单元测试",缺陷明细!$AB$2:$AB$50000,"&lt;&gt;丢弃",缺陷明细!$AB$2:$AB$50000,"&lt;&gt;设计如此",缺陷明细!$AB$2:$AB$50000,"&lt;&gt;重复Bug")</f>
        <v>0</v>
      </c>
      <c r="K73" s="155">
        <f>COUNTIFS(缺陷明细!$A$2:$A$50000,$B$4,缺陷明细!$G$2:$G$50000,$C73,缺陷明细!$Q$2:$Q$50000,"已关闭",缺陷明细!$J$2:$J$50000,"单元测试")</f>
        <v>0</v>
      </c>
      <c r="L73" s="156"/>
      <c r="M73" s="157"/>
      <c r="N73" s="72">
        <f>COUNTIFS(缺陷明细!$A$2:$A$50000,$B$4,缺陷明细!$G$2:$G$50000,$C73,缺陷明细!$J$2:$J$50000,"系统测试案例评审",缺陷明细!$AB$2:$AB$50000,"&lt;&gt;丢弃",缺陷明细!$AB$2:$AB$50000,"&lt;&gt;设计如此",缺陷明细!$AB$2:$AB$50000,"&lt;&gt;重复Bug")</f>
        <v>0</v>
      </c>
      <c r="O73" s="72">
        <f>COUNTIFS(缺陷明细!$A$2:$A$50000,$B$4,缺陷明细!$G$2:$G$50000,$C73,缺陷明细!$Q$2:$Q$50000,"已关闭",缺陷明细!$J$2:$J$50000,"系统测试案例评审")</f>
        <v>0</v>
      </c>
      <c r="P73" s="72">
        <f>COUNTIFS(缺陷明细!$A$2:$A$50000,$B$4,缺陷明细!$G$2:$G$50000,$C73,缺陷明细!$J$2:$J$50000,"系统测试",缺陷明细!$AB$2:$AB$50000,"&lt;&gt;丢弃",缺陷明细!$AB$2:$AB$50000,"&lt;&gt;设计如此",缺陷明细!$AB$2:$AB$50000,"&lt;&gt;重复Bug")</f>
        <v>0</v>
      </c>
      <c r="Q73" s="72">
        <f>COUNTIFS(缺陷明细!$A$2:$A$50000,$B$4,缺陷明细!$G$2:$G$50000,$C73,缺陷明细!$Q$2:$Q$50000,"已关闭",缺陷明细!$J$2:$J$50000,"系统测试")</f>
        <v>0</v>
      </c>
      <c r="R73" s="296">
        <f>COUNTIFS(缺陷明细!$A$2:$A$50000,$B$4,缺陷明细!$G$2:$G$50000,$C73,缺陷明细!$AB$2:$AB$50000,"丢弃",缺陷明细!$J$2:$J$50000,"系统测试")+COUNTIFS(缺陷明细!$A$2:$A$50000,$B$4,缺陷明细!$G$2:$G$50000,$C73,缺陷明细!$AB$2:$AB$50000,"设计如此",缺陷明细!$J$2:$J$50000,"系统测试")+COUNTIFS(缺陷明细!$A$2:$A$50000,$B$4,缺陷明细!$G$2:$G$50000,$C73,缺陷明细!$AB$2:$AB$50000,"重复Bug",缺陷明细!$J$2:$J$50000,"系统测试")</f>
        <v>0</v>
      </c>
      <c r="S73" s="72">
        <f>COUNTIFS(缺陷明细!$A$2:$A$50000,$B$4,缺陷明细!$G$2:$G$50000,$C73,缺陷明细!$J$2:$J$50000,"系统测试",缺陷明细!$K$2:$K$50000,"致命",缺陷明细!$AB$2:$AB$50000,"&lt;&gt;丢弃",缺陷明细!$AB$2:$AB$50000,"&lt;&gt;设计如此",缺陷明细!$AB$2:$AB$50000,"&lt;&gt;重复Bug")+COUNTIFS(缺陷明细!$A$2:$A$50000,$B$4,缺陷明细!$G$2:$G$50000,$C73,缺陷明细!$J$2:$J$50000,"系统测试",缺陷明细!$K$2:$K$50000,"严重",缺陷明细!$AB$2:$AB$50000,"&lt;&gt;丢弃",缺陷明细!$AB$2:$AB$50000,"&lt;&gt;设计如此",缺陷明细!$AB$2:$AB$50000,"&lt;&gt;重复Bug")</f>
        <v>0</v>
      </c>
      <c r="T73" s="73">
        <f>COUNTIFS(缺陷明细!$A$2:$A$50000,$B$4,缺陷明细!$G$2:$G$50000,$C73,缺陷明细!$Q$2:$Q$50000,"已关闭",缺陷明细!$J$2:$J$50000,"系统测试",缺陷明细!$K$2:$K$50000,"致命")+COUNTIFS(缺陷明细!$A$2:$A$50000,$B$4,缺陷明细!$G$2:$G$50000,$C73,缺陷明细!$Q$2:$Q$50000,"已关闭",缺陷明细!$J$2:$J$50000,"系统测试",缺陷明细!$K$2:$K$50000,"严重")</f>
        <v>0</v>
      </c>
      <c r="U73" s="74">
        <f>COUNTIFS(缺陷明细!$A$2:$A$50000,$B$4,缺陷明细!$G$2:$G$50000,$C73,缺陷明细!$J$2:$J$50000,"验收测试",缺陷明细!$AB$2:$AB$50000,"&lt;&gt;丢弃",缺陷明细!$AB$2:$AB$50000,"&lt;&gt;设计如此",缺陷明细!$AB$2:$AB$50000,"&lt;&gt;重复Bug")</f>
        <v>0</v>
      </c>
      <c r="V73" s="75">
        <f>COUNTIFS(缺陷明细!$A$2:$A$50000,$B$4,缺陷明细!$G$2:$G$50000,$C73,缺陷明细!$Q$2:$Q$50000,"已关闭",缺陷明细!$J$2:$J$50000,"验收测试")</f>
        <v>0</v>
      </c>
      <c r="W73" s="75">
        <f>COUNTIFS(缺陷明细!$A$2:$A$50000,$B$4,缺陷明细!$G$2:$G$50000,$C73,缺陷明细!$J$2:$J$50000,"验收测试",缺陷明细!$K$2:$K$50000,"致命",缺陷明细!$AB$2:$AB$50000,"&lt;&gt;丢弃",缺陷明细!$AB$2:$AB$50000,"&lt;&gt;设计如此",缺陷明细!$AB$2:$AB$50000,"&lt;&gt;重复Bug")+COUNTIFS(缺陷明细!$A$2:$A$50000,$B$4,缺陷明细!$G$2:$G$50000,$C73,缺陷明细!$J$2:$J$50000,"验收测试",缺陷明细!$K$2:$K$50000,"严重",缺陷明细!$AB$2:$AB$50000,"&lt;&gt;丢弃",缺陷明细!$AB$2:$AB$50000,"&lt;&gt;设计如此",缺陷明细!$AB$2:$AB$50000,"&lt;&gt;重复Bug")</f>
        <v>0</v>
      </c>
      <c r="X73" s="76">
        <f>COUNTIFS(缺陷明细!$A$2:$A$50000,$B$4,缺陷明细!$G$2:$G$50000,$C73,缺陷明细!$Q$2:$Q$50000,"已关闭",缺陷明细!$J$2:$J$50000,"验收测试",缺陷明细!$K$2:$K$50000,"致命")+COUNTIFS(缺陷明细!$A$2:$A$50000,$B$4,缺陷明细!$G$2:$G$50000,$C73,缺陷明细!$Q$2:$Q$50000,"已关闭",缺陷明细!$J$2:$J$50000,"验收测试",缺陷明细!$K$2:$K$50000,"严重")</f>
        <v>0</v>
      </c>
      <c r="Y73" s="70">
        <f>COUNTIFS(缺陷明细!$A$2:$A$50000,$B$4,缺陷明细!$G$2:$G$50000,$C73,缺陷明细!$J$2:$J$50000,"运维测试",缺陷明细!$AB$2:$AB$50000,"&lt;&gt;丢弃",缺陷明细!$AB$2:$AB$50000,"&lt;&gt;设计如此",缺陷明细!$AB$2:$AB$50000,"&lt;&gt;重复Bug")</f>
        <v>0</v>
      </c>
      <c r="Z73" s="71">
        <f>COUNTIFS(缺陷明细!$A$2:$A$50000,$B$4,缺陷明细!$G$2:$G$50000,$C73,缺陷明细!$Q$2:$Q$50000,"已关闭",缺陷明细!$J$2:$J$50000,"运维测试")</f>
        <v>0</v>
      </c>
      <c r="AA73" s="72">
        <f>COUNTIFS(缺陷明细!$A$2:$A$50000,$B$4,缺陷明细!$G$2:$G$50000,$C73,缺陷明细!$J$2:$J$50000,"运维测试",缺陷明细!$K$2:$K$50000,"致命",缺陷明细!$AB$2:$AB$50000,"&lt;&gt;丢弃",缺陷明细!$AB$2:$AB$50000,"&lt;&gt;设计如此",缺陷明细!$AB$2:$AB$50000,"&lt;&gt;重复Bug")+COUNTIFS(缺陷明细!$A$2:$A$50000,$B$4,缺陷明细!$G$2:$G$50000,$C73,缺陷明细!$J$2:$J$50000,"运维测试",缺陷明细!$K$2:$K$50000,"严重",缺陷明细!$AB$2:$AB$50000,"&lt;&gt;丢弃",缺陷明细!$AB$2:$AB$50000,"&lt;&gt;设计如此",缺陷明细!$AB$2:$AB$50000,"&lt;&gt;重复Bug")</f>
        <v>0</v>
      </c>
      <c r="AB73" s="73">
        <f>COUNTIFS(缺陷明细!$A$2:$A$50000,$B$4,缺陷明细!$G$2:$G$50000,$C73,缺陷明细!$Q$2:$Q$50000,"已关闭",缺陷明细!$J$2:$J$50000,"运维测试",缺陷明细!$K$2:$K$50000,"致命")+COUNTIFS(缺陷明细!$A$2:$A$50000,$B$4,缺陷明细!$G$2:$G$50000,$C73,缺陷明细!$Q$2:$Q$50000,"已关闭",缺陷明细!$J$2:$J$50000,"运维测试",缺陷明细!$K$2:$K$50000,"严重")</f>
        <v>0</v>
      </c>
      <c r="AC73" s="68">
        <f t="shared" si="4"/>
        <v>0</v>
      </c>
      <c r="AD73" s="60">
        <f t="shared" si="5"/>
        <v>0</v>
      </c>
      <c r="AE73" s="60">
        <f t="shared" si="6"/>
        <v>0</v>
      </c>
      <c r="AF73" s="60">
        <f t="shared" si="7"/>
        <v>0</v>
      </c>
      <c r="AG73" s="60">
        <f t="shared" si="8"/>
        <v>0</v>
      </c>
      <c r="AH73" s="60">
        <f t="shared" si="9"/>
        <v>0</v>
      </c>
      <c r="AI73" s="60">
        <f t="shared" si="10"/>
        <v>0</v>
      </c>
      <c r="AJ73" s="61">
        <f t="shared" si="11"/>
        <v>0</v>
      </c>
      <c r="AK73" s="144"/>
    </row>
    <row r="74" spans="1:37" ht="25.5">
      <c r="A74">
        <v>70</v>
      </c>
      <c r="B74" s="57">
        <v>537</v>
      </c>
      <c r="C74" s="58" t="s">
        <v>415</v>
      </c>
      <c r="D74" s="84" t="s">
        <v>343</v>
      </c>
      <c r="E74" s="82" t="s">
        <v>346</v>
      </c>
      <c r="F74" s="158">
        <v>0.5</v>
      </c>
      <c r="G74" s="159">
        <v>0.2</v>
      </c>
      <c r="H74" s="281">
        <f>COUNTIFS(缺陷明细!$A$2:$A$50000,$B$4,缺陷明细!$G$2:$G$50000,$C74,缺陷明细!$J$2:$J$50000,"评审",缺陷明细!$AB$2:$AB$50000,"&lt;&gt;丢弃",缺陷明细!$AB$2:$AB$50000,"&lt;&gt;设计如此",缺陷明细!$AB$2:$AB$50000,"&lt;&gt;重复Bug")</f>
        <v>0</v>
      </c>
      <c r="I74" s="154">
        <f>COUNTIFS(缺陷明细!$A$2:$A$50000,$B$4,缺陷明细!$G$2:$G$50000,$C74,缺陷明细!$Q$2:$Q$50000,"已关闭",缺陷明细!$J$2:$J$50000,"评审")</f>
        <v>0</v>
      </c>
      <c r="J74" s="154">
        <f>COUNTIFS(缺陷明细!$A$2:$A$50000,$B$4,缺陷明细!$G$2:$G$50000,$C74,缺陷明细!$J$2:$J$50000,"单元测试",缺陷明细!$AB$2:$AB$50000,"&lt;&gt;丢弃",缺陷明细!$AB$2:$AB$50000,"&lt;&gt;设计如此",缺陷明细!$AB$2:$AB$50000,"&lt;&gt;重复Bug")</f>
        <v>0</v>
      </c>
      <c r="K74" s="155">
        <f>COUNTIFS(缺陷明细!$A$2:$A$50000,$B$4,缺陷明细!$G$2:$G$50000,$C74,缺陷明细!$Q$2:$Q$50000,"已关闭",缺陷明细!$J$2:$J$50000,"单元测试")</f>
        <v>0</v>
      </c>
      <c r="L74" s="156"/>
      <c r="M74" s="157"/>
      <c r="N74" s="72">
        <f>COUNTIFS(缺陷明细!$A$2:$A$50000,$B$4,缺陷明细!$G$2:$G$50000,$C74,缺陷明细!$J$2:$J$50000,"系统测试案例评审",缺陷明细!$AB$2:$AB$50000,"&lt;&gt;丢弃",缺陷明细!$AB$2:$AB$50000,"&lt;&gt;设计如此",缺陷明细!$AB$2:$AB$50000,"&lt;&gt;重复Bug")</f>
        <v>0</v>
      </c>
      <c r="O74" s="72">
        <f>COUNTIFS(缺陷明细!$A$2:$A$50000,$B$4,缺陷明细!$G$2:$G$50000,$C74,缺陷明细!$Q$2:$Q$50000,"已关闭",缺陷明细!$J$2:$J$50000,"系统测试案例评审")</f>
        <v>0</v>
      </c>
      <c r="P74" s="72">
        <f>COUNTIFS(缺陷明细!$A$2:$A$50000,$B$4,缺陷明细!$G$2:$G$50000,$C74,缺陷明细!$J$2:$J$50000,"系统测试",缺陷明细!$AB$2:$AB$50000,"&lt;&gt;丢弃",缺陷明细!$AB$2:$AB$50000,"&lt;&gt;设计如此",缺陷明细!$AB$2:$AB$50000,"&lt;&gt;重复Bug")</f>
        <v>0</v>
      </c>
      <c r="Q74" s="72">
        <f>COUNTIFS(缺陷明细!$A$2:$A$50000,$B$4,缺陷明细!$G$2:$G$50000,$C74,缺陷明细!$Q$2:$Q$50000,"已关闭",缺陷明细!$J$2:$J$50000,"系统测试")</f>
        <v>0</v>
      </c>
      <c r="R74" s="296">
        <f>COUNTIFS(缺陷明细!$A$2:$A$50000,$B$4,缺陷明细!$G$2:$G$50000,$C74,缺陷明细!$AB$2:$AB$50000,"丢弃",缺陷明细!$J$2:$J$50000,"系统测试")+COUNTIFS(缺陷明细!$A$2:$A$50000,$B$4,缺陷明细!$G$2:$G$50000,$C74,缺陷明细!$AB$2:$AB$50000,"设计如此",缺陷明细!$J$2:$J$50000,"系统测试")+COUNTIFS(缺陷明细!$A$2:$A$50000,$B$4,缺陷明细!$G$2:$G$50000,$C74,缺陷明细!$AB$2:$AB$50000,"重复Bug",缺陷明细!$J$2:$J$50000,"系统测试")</f>
        <v>0</v>
      </c>
      <c r="S74" s="72">
        <f>COUNTIFS(缺陷明细!$A$2:$A$50000,$B$4,缺陷明细!$G$2:$G$50000,$C74,缺陷明细!$J$2:$J$50000,"系统测试",缺陷明细!$K$2:$K$50000,"致命",缺陷明细!$AB$2:$AB$50000,"&lt;&gt;丢弃",缺陷明细!$AB$2:$AB$50000,"&lt;&gt;设计如此",缺陷明细!$AB$2:$AB$50000,"&lt;&gt;重复Bug")+COUNTIFS(缺陷明细!$A$2:$A$50000,$B$4,缺陷明细!$G$2:$G$50000,$C74,缺陷明细!$J$2:$J$50000,"系统测试",缺陷明细!$K$2:$K$50000,"严重",缺陷明细!$AB$2:$AB$50000,"&lt;&gt;丢弃",缺陷明细!$AB$2:$AB$50000,"&lt;&gt;设计如此",缺陷明细!$AB$2:$AB$50000,"&lt;&gt;重复Bug")</f>
        <v>0</v>
      </c>
      <c r="T74" s="73">
        <f>COUNTIFS(缺陷明细!$A$2:$A$50000,$B$4,缺陷明细!$G$2:$G$50000,$C74,缺陷明细!$Q$2:$Q$50000,"已关闭",缺陷明细!$J$2:$J$50000,"系统测试",缺陷明细!$K$2:$K$50000,"致命")+COUNTIFS(缺陷明细!$A$2:$A$50000,$B$4,缺陷明细!$G$2:$G$50000,$C74,缺陷明细!$Q$2:$Q$50000,"已关闭",缺陷明细!$J$2:$J$50000,"系统测试",缺陷明细!$K$2:$K$50000,"严重")</f>
        <v>0</v>
      </c>
      <c r="U74" s="74">
        <f>COUNTIFS(缺陷明细!$A$2:$A$50000,$B$4,缺陷明细!$G$2:$G$50000,$C74,缺陷明细!$J$2:$J$50000,"验收测试",缺陷明细!$AB$2:$AB$50000,"&lt;&gt;丢弃",缺陷明细!$AB$2:$AB$50000,"&lt;&gt;设计如此",缺陷明细!$AB$2:$AB$50000,"&lt;&gt;重复Bug")</f>
        <v>0</v>
      </c>
      <c r="V74" s="75">
        <f>COUNTIFS(缺陷明细!$A$2:$A$50000,$B$4,缺陷明细!$G$2:$G$50000,$C74,缺陷明细!$Q$2:$Q$50000,"已关闭",缺陷明细!$J$2:$J$50000,"验收测试")</f>
        <v>0</v>
      </c>
      <c r="W74" s="75">
        <f>COUNTIFS(缺陷明细!$A$2:$A$50000,$B$4,缺陷明细!$G$2:$G$50000,$C74,缺陷明细!$J$2:$J$50000,"验收测试",缺陷明细!$K$2:$K$50000,"致命",缺陷明细!$AB$2:$AB$50000,"&lt;&gt;丢弃",缺陷明细!$AB$2:$AB$50000,"&lt;&gt;设计如此",缺陷明细!$AB$2:$AB$50000,"&lt;&gt;重复Bug")+COUNTIFS(缺陷明细!$A$2:$A$50000,$B$4,缺陷明细!$G$2:$G$50000,$C74,缺陷明细!$J$2:$J$50000,"验收测试",缺陷明细!$K$2:$K$50000,"严重",缺陷明细!$AB$2:$AB$50000,"&lt;&gt;丢弃",缺陷明细!$AB$2:$AB$50000,"&lt;&gt;设计如此",缺陷明细!$AB$2:$AB$50000,"&lt;&gt;重复Bug")</f>
        <v>0</v>
      </c>
      <c r="X74" s="76">
        <f>COUNTIFS(缺陷明细!$A$2:$A$50000,$B$4,缺陷明细!$G$2:$G$50000,$C74,缺陷明细!$Q$2:$Q$50000,"已关闭",缺陷明细!$J$2:$J$50000,"验收测试",缺陷明细!$K$2:$K$50000,"致命")+COUNTIFS(缺陷明细!$A$2:$A$50000,$B$4,缺陷明细!$G$2:$G$50000,$C74,缺陷明细!$Q$2:$Q$50000,"已关闭",缺陷明细!$J$2:$J$50000,"验收测试",缺陷明细!$K$2:$K$50000,"严重")</f>
        <v>0</v>
      </c>
      <c r="Y74" s="70">
        <f>COUNTIFS(缺陷明细!$A$2:$A$50000,$B$4,缺陷明细!$G$2:$G$50000,$C74,缺陷明细!$J$2:$J$50000,"运维测试",缺陷明细!$AB$2:$AB$50000,"&lt;&gt;丢弃",缺陷明细!$AB$2:$AB$50000,"&lt;&gt;设计如此",缺陷明细!$AB$2:$AB$50000,"&lt;&gt;重复Bug")</f>
        <v>0</v>
      </c>
      <c r="Z74" s="71">
        <f>COUNTIFS(缺陷明细!$A$2:$A$50000,$B$4,缺陷明细!$G$2:$G$50000,$C74,缺陷明细!$Q$2:$Q$50000,"已关闭",缺陷明细!$J$2:$J$50000,"运维测试")</f>
        <v>0</v>
      </c>
      <c r="AA74" s="72">
        <f>COUNTIFS(缺陷明细!$A$2:$A$50000,$B$4,缺陷明细!$G$2:$G$50000,$C74,缺陷明细!$J$2:$J$50000,"运维测试",缺陷明细!$K$2:$K$50000,"致命",缺陷明细!$AB$2:$AB$50000,"&lt;&gt;丢弃",缺陷明细!$AB$2:$AB$50000,"&lt;&gt;设计如此",缺陷明细!$AB$2:$AB$50000,"&lt;&gt;重复Bug")+COUNTIFS(缺陷明细!$A$2:$A$50000,$B$4,缺陷明细!$G$2:$G$50000,$C74,缺陷明细!$J$2:$J$50000,"运维测试",缺陷明细!$K$2:$K$50000,"严重",缺陷明细!$AB$2:$AB$50000,"&lt;&gt;丢弃",缺陷明细!$AB$2:$AB$50000,"&lt;&gt;设计如此",缺陷明细!$AB$2:$AB$50000,"&lt;&gt;重复Bug")</f>
        <v>0</v>
      </c>
      <c r="AB74" s="73">
        <f>COUNTIFS(缺陷明细!$A$2:$A$50000,$B$4,缺陷明细!$G$2:$G$50000,$C74,缺陷明细!$Q$2:$Q$50000,"已关闭",缺陷明细!$J$2:$J$50000,"运维测试",缺陷明细!$K$2:$K$50000,"致命")+COUNTIFS(缺陷明细!$A$2:$A$50000,$B$4,缺陷明细!$G$2:$G$50000,$C74,缺陷明细!$Q$2:$Q$50000,"已关闭",缺陷明细!$J$2:$J$50000,"运维测试",缺陷明细!$K$2:$K$50000,"严重")</f>
        <v>0</v>
      </c>
      <c r="AC74" s="68">
        <f t="shared" si="4"/>
        <v>0</v>
      </c>
      <c r="AD74" s="60">
        <f t="shared" si="5"/>
        <v>0</v>
      </c>
      <c r="AE74" s="60">
        <f t="shared" si="6"/>
        <v>0</v>
      </c>
      <c r="AF74" s="60">
        <f t="shared" si="7"/>
        <v>0</v>
      </c>
      <c r="AG74" s="60">
        <f t="shared" si="8"/>
        <v>0</v>
      </c>
      <c r="AH74" s="60">
        <f t="shared" si="9"/>
        <v>0</v>
      </c>
      <c r="AI74" s="60">
        <f t="shared" si="10"/>
        <v>0</v>
      </c>
      <c r="AJ74" s="61">
        <f t="shared" si="11"/>
        <v>0</v>
      </c>
      <c r="AK74" s="144"/>
    </row>
    <row r="75" spans="1:37" ht="38.25">
      <c r="A75">
        <v>71</v>
      </c>
      <c r="B75" s="57">
        <v>538</v>
      </c>
      <c r="C75" s="58" t="s">
        <v>416</v>
      </c>
      <c r="D75" s="84" t="s">
        <v>343</v>
      </c>
      <c r="E75" s="82" t="s">
        <v>346</v>
      </c>
      <c r="F75" s="158">
        <v>4</v>
      </c>
      <c r="G75" s="159">
        <v>2.5</v>
      </c>
      <c r="H75" s="281">
        <f>COUNTIFS(缺陷明细!$A$2:$A$50000,$B$4,缺陷明细!$G$2:$G$50000,$C75,缺陷明细!$J$2:$J$50000,"评审",缺陷明细!$AB$2:$AB$50000,"&lt;&gt;丢弃",缺陷明细!$AB$2:$AB$50000,"&lt;&gt;设计如此",缺陷明细!$AB$2:$AB$50000,"&lt;&gt;重复Bug")</f>
        <v>0</v>
      </c>
      <c r="I75" s="154">
        <f>COUNTIFS(缺陷明细!$A$2:$A$50000,$B$4,缺陷明细!$G$2:$G$50000,$C75,缺陷明细!$Q$2:$Q$50000,"已关闭",缺陷明细!$J$2:$J$50000,"评审")</f>
        <v>0</v>
      </c>
      <c r="J75" s="154">
        <f>COUNTIFS(缺陷明细!$A$2:$A$50000,$B$4,缺陷明细!$G$2:$G$50000,$C75,缺陷明细!$J$2:$J$50000,"单元测试",缺陷明细!$AB$2:$AB$50000,"&lt;&gt;丢弃",缺陷明细!$AB$2:$AB$50000,"&lt;&gt;设计如此",缺陷明细!$AB$2:$AB$50000,"&lt;&gt;重复Bug")</f>
        <v>0</v>
      </c>
      <c r="K75" s="155">
        <f>COUNTIFS(缺陷明细!$A$2:$A$50000,$B$4,缺陷明细!$G$2:$G$50000,$C75,缺陷明细!$Q$2:$Q$50000,"已关闭",缺陷明细!$J$2:$J$50000,"单元测试")</f>
        <v>0</v>
      </c>
      <c r="L75" s="156"/>
      <c r="M75" s="157"/>
      <c r="N75" s="72">
        <f>COUNTIFS(缺陷明细!$A$2:$A$50000,$B$4,缺陷明细!$G$2:$G$50000,$C75,缺陷明细!$J$2:$J$50000,"系统测试案例评审",缺陷明细!$AB$2:$AB$50000,"&lt;&gt;丢弃",缺陷明细!$AB$2:$AB$50000,"&lt;&gt;设计如此",缺陷明细!$AB$2:$AB$50000,"&lt;&gt;重复Bug")</f>
        <v>0</v>
      </c>
      <c r="O75" s="72">
        <f>COUNTIFS(缺陷明细!$A$2:$A$50000,$B$4,缺陷明细!$G$2:$G$50000,$C75,缺陷明细!$Q$2:$Q$50000,"已关闭",缺陷明细!$J$2:$J$50000,"系统测试案例评审")</f>
        <v>0</v>
      </c>
      <c r="P75" s="72">
        <f>COUNTIFS(缺陷明细!$A$2:$A$50000,$B$4,缺陷明细!$G$2:$G$50000,$C75,缺陷明细!$J$2:$J$50000,"系统测试",缺陷明细!$AB$2:$AB$50000,"&lt;&gt;丢弃",缺陷明细!$AB$2:$AB$50000,"&lt;&gt;设计如此",缺陷明细!$AB$2:$AB$50000,"&lt;&gt;重复Bug")</f>
        <v>0</v>
      </c>
      <c r="Q75" s="72">
        <f>COUNTIFS(缺陷明细!$A$2:$A$50000,$B$4,缺陷明细!$G$2:$G$50000,$C75,缺陷明细!$Q$2:$Q$50000,"已关闭",缺陷明细!$J$2:$J$50000,"系统测试")</f>
        <v>0</v>
      </c>
      <c r="R75" s="296">
        <f>COUNTIFS(缺陷明细!$A$2:$A$50000,$B$4,缺陷明细!$G$2:$G$50000,$C75,缺陷明细!$AB$2:$AB$50000,"丢弃",缺陷明细!$J$2:$J$50000,"系统测试")+COUNTIFS(缺陷明细!$A$2:$A$50000,$B$4,缺陷明细!$G$2:$G$50000,$C75,缺陷明细!$AB$2:$AB$50000,"设计如此",缺陷明细!$J$2:$J$50000,"系统测试")+COUNTIFS(缺陷明细!$A$2:$A$50000,$B$4,缺陷明细!$G$2:$G$50000,$C75,缺陷明细!$AB$2:$AB$50000,"重复Bug",缺陷明细!$J$2:$J$50000,"系统测试")</f>
        <v>0</v>
      </c>
      <c r="S75" s="72">
        <f>COUNTIFS(缺陷明细!$A$2:$A$50000,$B$4,缺陷明细!$G$2:$G$50000,$C75,缺陷明细!$J$2:$J$50000,"系统测试",缺陷明细!$K$2:$K$50000,"致命",缺陷明细!$AB$2:$AB$50000,"&lt;&gt;丢弃",缺陷明细!$AB$2:$AB$50000,"&lt;&gt;设计如此",缺陷明细!$AB$2:$AB$50000,"&lt;&gt;重复Bug")+COUNTIFS(缺陷明细!$A$2:$A$50000,$B$4,缺陷明细!$G$2:$G$50000,$C75,缺陷明细!$J$2:$J$50000,"系统测试",缺陷明细!$K$2:$K$50000,"严重",缺陷明细!$AB$2:$AB$50000,"&lt;&gt;丢弃",缺陷明细!$AB$2:$AB$50000,"&lt;&gt;设计如此",缺陷明细!$AB$2:$AB$50000,"&lt;&gt;重复Bug")</f>
        <v>0</v>
      </c>
      <c r="T75" s="73">
        <f>COUNTIFS(缺陷明细!$A$2:$A$50000,$B$4,缺陷明细!$G$2:$G$50000,$C75,缺陷明细!$Q$2:$Q$50000,"已关闭",缺陷明细!$J$2:$J$50000,"系统测试",缺陷明细!$K$2:$K$50000,"致命")+COUNTIFS(缺陷明细!$A$2:$A$50000,$B$4,缺陷明细!$G$2:$G$50000,$C75,缺陷明细!$Q$2:$Q$50000,"已关闭",缺陷明细!$J$2:$J$50000,"系统测试",缺陷明细!$K$2:$K$50000,"严重")</f>
        <v>0</v>
      </c>
      <c r="U75" s="74">
        <f>COUNTIFS(缺陷明细!$A$2:$A$50000,$B$4,缺陷明细!$G$2:$G$50000,$C75,缺陷明细!$J$2:$J$50000,"验收测试",缺陷明细!$AB$2:$AB$50000,"&lt;&gt;丢弃",缺陷明细!$AB$2:$AB$50000,"&lt;&gt;设计如此",缺陷明细!$AB$2:$AB$50000,"&lt;&gt;重复Bug")</f>
        <v>0</v>
      </c>
      <c r="V75" s="75">
        <f>COUNTIFS(缺陷明细!$A$2:$A$50000,$B$4,缺陷明细!$G$2:$G$50000,$C75,缺陷明细!$Q$2:$Q$50000,"已关闭",缺陷明细!$J$2:$J$50000,"验收测试")</f>
        <v>0</v>
      </c>
      <c r="W75" s="75">
        <f>COUNTIFS(缺陷明细!$A$2:$A$50000,$B$4,缺陷明细!$G$2:$G$50000,$C75,缺陷明细!$J$2:$J$50000,"验收测试",缺陷明细!$K$2:$K$50000,"致命",缺陷明细!$AB$2:$AB$50000,"&lt;&gt;丢弃",缺陷明细!$AB$2:$AB$50000,"&lt;&gt;设计如此",缺陷明细!$AB$2:$AB$50000,"&lt;&gt;重复Bug")+COUNTIFS(缺陷明细!$A$2:$A$50000,$B$4,缺陷明细!$G$2:$G$50000,$C75,缺陷明细!$J$2:$J$50000,"验收测试",缺陷明细!$K$2:$K$50000,"严重",缺陷明细!$AB$2:$AB$50000,"&lt;&gt;丢弃",缺陷明细!$AB$2:$AB$50000,"&lt;&gt;设计如此",缺陷明细!$AB$2:$AB$50000,"&lt;&gt;重复Bug")</f>
        <v>0</v>
      </c>
      <c r="X75" s="76">
        <f>COUNTIFS(缺陷明细!$A$2:$A$50000,$B$4,缺陷明细!$G$2:$G$50000,$C75,缺陷明细!$Q$2:$Q$50000,"已关闭",缺陷明细!$J$2:$J$50000,"验收测试",缺陷明细!$K$2:$K$50000,"致命")+COUNTIFS(缺陷明细!$A$2:$A$50000,$B$4,缺陷明细!$G$2:$G$50000,$C75,缺陷明细!$Q$2:$Q$50000,"已关闭",缺陷明细!$J$2:$J$50000,"验收测试",缺陷明细!$K$2:$K$50000,"严重")</f>
        <v>0</v>
      </c>
      <c r="Y75" s="70">
        <f>COUNTIFS(缺陷明细!$A$2:$A$50000,$B$4,缺陷明细!$G$2:$G$50000,$C75,缺陷明细!$J$2:$J$50000,"运维测试",缺陷明细!$AB$2:$AB$50000,"&lt;&gt;丢弃",缺陷明细!$AB$2:$AB$50000,"&lt;&gt;设计如此",缺陷明细!$AB$2:$AB$50000,"&lt;&gt;重复Bug")</f>
        <v>0</v>
      </c>
      <c r="Z75" s="71">
        <f>COUNTIFS(缺陷明细!$A$2:$A$50000,$B$4,缺陷明细!$G$2:$G$50000,$C75,缺陷明细!$Q$2:$Q$50000,"已关闭",缺陷明细!$J$2:$J$50000,"运维测试")</f>
        <v>0</v>
      </c>
      <c r="AA75" s="72">
        <f>COUNTIFS(缺陷明细!$A$2:$A$50000,$B$4,缺陷明细!$G$2:$G$50000,$C75,缺陷明细!$J$2:$J$50000,"运维测试",缺陷明细!$K$2:$K$50000,"致命",缺陷明细!$AB$2:$AB$50000,"&lt;&gt;丢弃",缺陷明细!$AB$2:$AB$50000,"&lt;&gt;设计如此",缺陷明细!$AB$2:$AB$50000,"&lt;&gt;重复Bug")+COUNTIFS(缺陷明细!$A$2:$A$50000,$B$4,缺陷明细!$G$2:$G$50000,$C75,缺陷明细!$J$2:$J$50000,"运维测试",缺陷明细!$K$2:$K$50000,"严重",缺陷明细!$AB$2:$AB$50000,"&lt;&gt;丢弃",缺陷明细!$AB$2:$AB$50000,"&lt;&gt;设计如此",缺陷明细!$AB$2:$AB$50000,"&lt;&gt;重复Bug")</f>
        <v>0</v>
      </c>
      <c r="AB75" s="73">
        <f>COUNTIFS(缺陷明细!$A$2:$A$50000,$B$4,缺陷明细!$G$2:$G$50000,$C75,缺陷明细!$Q$2:$Q$50000,"已关闭",缺陷明细!$J$2:$J$50000,"运维测试",缺陷明细!$K$2:$K$50000,"致命")+COUNTIFS(缺陷明细!$A$2:$A$50000,$B$4,缺陷明细!$G$2:$G$50000,$C75,缺陷明细!$Q$2:$Q$50000,"已关闭",缺陷明细!$J$2:$J$50000,"运维测试",缺陷明细!$K$2:$K$50000,"严重")</f>
        <v>0</v>
      </c>
      <c r="AC75" s="68">
        <f t="shared" si="4"/>
        <v>0</v>
      </c>
      <c r="AD75" s="60">
        <f t="shared" si="5"/>
        <v>0</v>
      </c>
      <c r="AE75" s="60">
        <f t="shared" si="6"/>
        <v>0</v>
      </c>
      <c r="AF75" s="60">
        <f t="shared" si="7"/>
        <v>0</v>
      </c>
      <c r="AG75" s="60">
        <f t="shared" si="8"/>
        <v>0</v>
      </c>
      <c r="AH75" s="60">
        <f t="shared" si="9"/>
        <v>0</v>
      </c>
      <c r="AI75" s="60">
        <f t="shared" si="10"/>
        <v>0</v>
      </c>
      <c r="AJ75" s="61">
        <f t="shared" si="11"/>
        <v>0</v>
      </c>
      <c r="AK75" s="144"/>
    </row>
    <row r="76" spans="1:37" ht="38.25">
      <c r="A76">
        <v>72</v>
      </c>
      <c r="B76" s="57">
        <v>551</v>
      </c>
      <c r="C76" s="58" t="s">
        <v>417</v>
      </c>
      <c r="D76" s="84" t="s">
        <v>343</v>
      </c>
      <c r="E76" s="82" t="s">
        <v>346</v>
      </c>
      <c r="F76" s="158">
        <v>0.5</v>
      </c>
      <c r="G76" s="159">
        <v>0.5</v>
      </c>
      <c r="H76" s="281">
        <f>COUNTIFS(缺陷明细!$A$2:$A$50000,$B$4,缺陷明细!$G$2:$G$50000,$C76,缺陷明细!$J$2:$J$50000,"评审",缺陷明细!$AB$2:$AB$50000,"&lt;&gt;丢弃",缺陷明细!$AB$2:$AB$50000,"&lt;&gt;设计如此",缺陷明细!$AB$2:$AB$50000,"&lt;&gt;重复Bug")</f>
        <v>0</v>
      </c>
      <c r="I76" s="154">
        <f>COUNTIFS(缺陷明细!$A$2:$A$50000,$B$4,缺陷明细!$G$2:$G$50000,$C76,缺陷明细!$Q$2:$Q$50000,"已关闭",缺陷明细!$J$2:$J$50000,"评审")</f>
        <v>0</v>
      </c>
      <c r="J76" s="154">
        <f>COUNTIFS(缺陷明细!$A$2:$A$50000,$B$4,缺陷明细!$G$2:$G$50000,$C76,缺陷明细!$J$2:$J$50000,"单元测试",缺陷明细!$AB$2:$AB$50000,"&lt;&gt;丢弃",缺陷明细!$AB$2:$AB$50000,"&lt;&gt;设计如此",缺陷明细!$AB$2:$AB$50000,"&lt;&gt;重复Bug")</f>
        <v>0</v>
      </c>
      <c r="K76" s="155">
        <f>COUNTIFS(缺陷明细!$A$2:$A$50000,$B$4,缺陷明细!$G$2:$G$50000,$C76,缺陷明细!$Q$2:$Q$50000,"已关闭",缺陷明细!$J$2:$J$50000,"单元测试")</f>
        <v>0</v>
      </c>
      <c r="L76" s="156"/>
      <c r="M76" s="157"/>
      <c r="N76" s="72">
        <f>COUNTIFS(缺陷明细!$A$2:$A$50000,$B$4,缺陷明细!$G$2:$G$50000,$C76,缺陷明细!$J$2:$J$50000,"系统测试案例评审",缺陷明细!$AB$2:$AB$50000,"&lt;&gt;丢弃",缺陷明细!$AB$2:$AB$50000,"&lt;&gt;设计如此",缺陷明细!$AB$2:$AB$50000,"&lt;&gt;重复Bug")</f>
        <v>0</v>
      </c>
      <c r="O76" s="72">
        <f>COUNTIFS(缺陷明细!$A$2:$A$50000,$B$4,缺陷明细!$G$2:$G$50000,$C76,缺陷明细!$Q$2:$Q$50000,"已关闭",缺陷明细!$J$2:$J$50000,"系统测试案例评审")</f>
        <v>0</v>
      </c>
      <c r="P76" s="72">
        <f>COUNTIFS(缺陷明细!$A$2:$A$50000,$B$4,缺陷明细!$G$2:$G$50000,$C76,缺陷明细!$J$2:$J$50000,"系统测试",缺陷明细!$AB$2:$AB$50000,"&lt;&gt;丢弃",缺陷明细!$AB$2:$AB$50000,"&lt;&gt;设计如此",缺陷明细!$AB$2:$AB$50000,"&lt;&gt;重复Bug")</f>
        <v>0</v>
      </c>
      <c r="Q76" s="72">
        <f>COUNTIFS(缺陷明细!$A$2:$A$50000,$B$4,缺陷明细!$G$2:$G$50000,$C76,缺陷明细!$Q$2:$Q$50000,"已关闭",缺陷明细!$J$2:$J$50000,"系统测试")</f>
        <v>0</v>
      </c>
      <c r="R76" s="296">
        <f>COUNTIFS(缺陷明细!$A$2:$A$50000,$B$4,缺陷明细!$G$2:$G$50000,$C76,缺陷明细!$AB$2:$AB$50000,"丢弃",缺陷明细!$J$2:$J$50000,"系统测试")+COUNTIFS(缺陷明细!$A$2:$A$50000,$B$4,缺陷明细!$G$2:$G$50000,$C76,缺陷明细!$AB$2:$AB$50000,"设计如此",缺陷明细!$J$2:$J$50000,"系统测试")+COUNTIFS(缺陷明细!$A$2:$A$50000,$B$4,缺陷明细!$G$2:$G$50000,$C76,缺陷明细!$AB$2:$AB$50000,"重复Bug",缺陷明细!$J$2:$J$50000,"系统测试")</f>
        <v>0</v>
      </c>
      <c r="S76" s="72">
        <f>COUNTIFS(缺陷明细!$A$2:$A$50000,$B$4,缺陷明细!$G$2:$G$50000,$C76,缺陷明细!$J$2:$J$50000,"系统测试",缺陷明细!$K$2:$K$50000,"致命",缺陷明细!$AB$2:$AB$50000,"&lt;&gt;丢弃",缺陷明细!$AB$2:$AB$50000,"&lt;&gt;设计如此",缺陷明细!$AB$2:$AB$50000,"&lt;&gt;重复Bug")+COUNTIFS(缺陷明细!$A$2:$A$50000,$B$4,缺陷明细!$G$2:$G$50000,$C76,缺陷明细!$J$2:$J$50000,"系统测试",缺陷明细!$K$2:$K$50000,"严重",缺陷明细!$AB$2:$AB$50000,"&lt;&gt;丢弃",缺陷明细!$AB$2:$AB$50000,"&lt;&gt;设计如此",缺陷明细!$AB$2:$AB$50000,"&lt;&gt;重复Bug")</f>
        <v>0</v>
      </c>
      <c r="T76" s="73">
        <f>COUNTIFS(缺陷明细!$A$2:$A$50000,$B$4,缺陷明细!$G$2:$G$50000,$C76,缺陷明细!$Q$2:$Q$50000,"已关闭",缺陷明细!$J$2:$J$50000,"系统测试",缺陷明细!$K$2:$K$50000,"致命")+COUNTIFS(缺陷明细!$A$2:$A$50000,$B$4,缺陷明细!$G$2:$G$50000,$C76,缺陷明细!$Q$2:$Q$50000,"已关闭",缺陷明细!$J$2:$J$50000,"系统测试",缺陷明细!$K$2:$K$50000,"严重")</f>
        <v>0</v>
      </c>
      <c r="U76" s="74">
        <f>COUNTIFS(缺陷明细!$A$2:$A$50000,$B$4,缺陷明细!$G$2:$G$50000,$C76,缺陷明细!$J$2:$J$50000,"验收测试",缺陷明细!$AB$2:$AB$50000,"&lt;&gt;丢弃",缺陷明细!$AB$2:$AB$50000,"&lt;&gt;设计如此",缺陷明细!$AB$2:$AB$50000,"&lt;&gt;重复Bug")</f>
        <v>0</v>
      </c>
      <c r="V76" s="75">
        <f>COUNTIFS(缺陷明细!$A$2:$A$50000,$B$4,缺陷明细!$G$2:$G$50000,$C76,缺陷明细!$Q$2:$Q$50000,"已关闭",缺陷明细!$J$2:$J$50000,"验收测试")</f>
        <v>0</v>
      </c>
      <c r="W76" s="75">
        <f>COUNTIFS(缺陷明细!$A$2:$A$50000,$B$4,缺陷明细!$G$2:$G$50000,$C76,缺陷明细!$J$2:$J$50000,"验收测试",缺陷明细!$K$2:$K$50000,"致命",缺陷明细!$AB$2:$AB$50000,"&lt;&gt;丢弃",缺陷明细!$AB$2:$AB$50000,"&lt;&gt;设计如此",缺陷明细!$AB$2:$AB$50000,"&lt;&gt;重复Bug")+COUNTIFS(缺陷明细!$A$2:$A$50000,$B$4,缺陷明细!$G$2:$G$50000,$C76,缺陷明细!$J$2:$J$50000,"验收测试",缺陷明细!$K$2:$K$50000,"严重",缺陷明细!$AB$2:$AB$50000,"&lt;&gt;丢弃",缺陷明细!$AB$2:$AB$50000,"&lt;&gt;设计如此",缺陷明细!$AB$2:$AB$50000,"&lt;&gt;重复Bug")</f>
        <v>0</v>
      </c>
      <c r="X76" s="76">
        <f>COUNTIFS(缺陷明细!$A$2:$A$50000,$B$4,缺陷明细!$G$2:$G$50000,$C76,缺陷明细!$Q$2:$Q$50000,"已关闭",缺陷明细!$J$2:$J$50000,"验收测试",缺陷明细!$K$2:$K$50000,"致命")+COUNTIFS(缺陷明细!$A$2:$A$50000,$B$4,缺陷明细!$G$2:$G$50000,$C76,缺陷明细!$Q$2:$Q$50000,"已关闭",缺陷明细!$J$2:$J$50000,"验收测试",缺陷明细!$K$2:$K$50000,"严重")</f>
        <v>0</v>
      </c>
      <c r="Y76" s="70">
        <f>COUNTIFS(缺陷明细!$A$2:$A$50000,$B$4,缺陷明细!$G$2:$G$50000,$C76,缺陷明细!$J$2:$J$50000,"运维测试",缺陷明细!$AB$2:$AB$50000,"&lt;&gt;丢弃",缺陷明细!$AB$2:$AB$50000,"&lt;&gt;设计如此",缺陷明细!$AB$2:$AB$50000,"&lt;&gt;重复Bug")</f>
        <v>0</v>
      </c>
      <c r="Z76" s="71">
        <f>COUNTIFS(缺陷明细!$A$2:$A$50000,$B$4,缺陷明细!$G$2:$G$50000,$C76,缺陷明细!$Q$2:$Q$50000,"已关闭",缺陷明细!$J$2:$J$50000,"运维测试")</f>
        <v>0</v>
      </c>
      <c r="AA76" s="72">
        <f>COUNTIFS(缺陷明细!$A$2:$A$50000,$B$4,缺陷明细!$G$2:$G$50000,$C76,缺陷明细!$J$2:$J$50000,"运维测试",缺陷明细!$K$2:$K$50000,"致命",缺陷明细!$AB$2:$AB$50000,"&lt;&gt;丢弃",缺陷明细!$AB$2:$AB$50000,"&lt;&gt;设计如此",缺陷明细!$AB$2:$AB$50000,"&lt;&gt;重复Bug")+COUNTIFS(缺陷明细!$A$2:$A$50000,$B$4,缺陷明细!$G$2:$G$50000,$C76,缺陷明细!$J$2:$J$50000,"运维测试",缺陷明细!$K$2:$K$50000,"严重",缺陷明细!$AB$2:$AB$50000,"&lt;&gt;丢弃",缺陷明细!$AB$2:$AB$50000,"&lt;&gt;设计如此",缺陷明细!$AB$2:$AB$50000,"&lt;&gt;重复Bug")</f>
        <v>0</v>
      </c>
      <c r="AB76" s="73">
        <f>COUNTIFS(缺陷明细!$A$2:$A$50000,$B$4,缺陷明细!$G$2:$G$50000,$C76,缺陷明细!$Q$2:$Q$50000,"已关闭",缺陷明细!$J$2:$J$50000,"运维测试",缺陷明细!$K$2:$K$50000,"致命")+COUNTIFS(缺陷明细!$A$2:$A$50000,$B$4,缺陷明细!$G$2:$G$50000,$C76,缺陷明细!$Q$2:$Q$50000,"已关闭",缺陷明细!$J$2:$J$50000,"运维测试",缺陷明细!$K$2:$K$50000,"严重")</f>
        <v>0</v>
      </c>
      <c r="AC76" s="68">
        <f t="shared" si="4"/>
        <v>0</v>
      </c>
      <c r="AD76" s="60">
        <f t="shared" si="5"/>
        <v>0</v>
      </c>
      <c r="AE76" s="60">
        <f t="shared" si="6"/>
        <v>0</v>
      </c>
      <c r="AF76" s="60">
        <f t="shared" si="7"/>
        <v>0</v>
      </c>
      <c r="AG76" s="60">
        <f t="shared" si="8"/>
        <v>0</v>
      </c>
      <c r="AH76" s="60">
        <f t="shared" si="9"/>
        <v>0</v>
      </c>
      <c r="AI76" s="60">
        <f t="shared" si="10"/>
        <v>0</v>
      </c>
      <c r="AJ76" s="61">
        <f t="shared" si="11"/>
        <v>0</v>
      </c>
      <c r="AK76" s="144"/>
    </row>
    <row r="77" spans="1:37" ht="25.5">
      <c r="A77">
        <v>73</v>
      </c>
      <c r="B77" s="57">
        <v>552</v>
      </c>
      <c r="C77" s="58" t="s">
        <v>418</v>
      </c>
      <c r="D77" s="84" t="s">
        <v>343</v>
      </c>
      <c r="E77" s="82" t="s">
        <v>346</v>
      </c>
      <c r="F77" s="158">
        <v>0.5</v>
      </c>
      <c r="G77" s="159">
        <v>0.5</v>
      </c>
      <c r="H77" s="281">
        <f>COUNTIFS(缺陷明细!$A$2:$A$50000,$B$4,缺陷明细!$G$2:$G$50000,$C77,缺陷明细!$J$2:$J$50000,"评审",缺陷明细!$AB$2:$AB$50000,"&lt;&gt;丢弃",缺陷明细!$AB$2:$AB$50000,"&lt;&gt;设计如此",缺陷明细!$AB$2:$AB$50000,"&lt;&gt;重复Bug")</f>
        <v>0</v>
      </c>
      <c r="I77" s="154">
        <f>COUNTIFS(缺陷明细!$A$2:$A$50000,$B$4,缺陷明细!$G$2:$G$50000,$C77,缺陷明细!$Q$2:$Q$50000,"已关闭",缺陷明细!$J$2:$J$50000,"评审")</f>
        <v>0</v>
      </c>
      <c r="J77" s="154">
        <f>COUNTIFS(缺陷明细!$A$2:$A$50000,$B$4,缺陷明细!$G$2:$G$50000,$C77,缺陷明细!$J$2:$J$50000,"单元测试",缺陷明细!$AB$2:$AB$50000,"&lt;&gt;丢弃",缺陷明细!$AB$2:$AB$50000,"&lt;&gt;设计如此",缺陷明细!$AB$2:$AB$50000,"&lt;&gt;重复Bug")</f>
        <v>0</v>
      </c>
      <c r="K77" s="155">
        <f>COUNTIFS(缺陷明细!$A$2:$A$50000,$B$4,缺陷明细!$G$2:$G$50000,$C77,缺陷明细!$Q$2:$Q$50000,"已关闭",缺陷明细!$J$2:$J$50000,"单元测试")</f>
        <v>0</v>
      </c>
      <c r="L77" s="156"/>
      <c r="M77" s="157"/>
      <c r="N77" s="72">
        <f>COUNTIFS(缺陷明细!$A$2:$A$50000,$B$4,缺陷明细!$G$2:$G$50000,$C77,缺陷明细!$J$2:$J$50000,"系统测试案例评审",缺陷明细!$AB$2:$AB$50000,"&lt;&gt;丢弃",缺陷明细!$AB$2:$AB$50000,"&lt;&gt;设计如此",缺陷明细!$AB$2:$AB$50000,"&lt;&gt;重复Bug")</f>
        <v>0</v>
      </c>
      <c r="O77" s="72">
        <f>COUNTIFS(缺陷明细!$A$2:$A$50000,$B$4,缺陷明细!$G$2:$G$50000,$C77,缺陷明细!$Q$2:$Q$50000,"已关闭",缺陷明细!$J$2:$J$50000,"系统测试案例评审")</f>
        <v>0</v>
      </c>
      <c r="P77" s="72">
        <f>COUNTIFS(缺陷明细!$A$2:$A$50000,$B$4,缺陷明细!$G$2:$G$50000,$C77,缺陷明细!$J$2:$J$50000,"系统测试",缺陷明细!$AB$2:$AB$50000,"&lt;&gt;丢弃",缺陷明细!$AB$2:$AB$50000,"&lt;&gt;设计如此",缺陷明细!$AB$2:$AB$50000,"&lt;&gt;重复Bug")</f>
        <v>0</v>
      </c>
      <c r="Q77" s="72">
        <f>COUNTIFS(缺陷明细!$A$2:$A$50000,$B$4,缺陷明细!$G$2:$G$50000,$C77,缺陷明细!$Q$2:$Q$50000,"已关闭",缺陷明细!$J$2:$J$50000,"系统测试")</f>
        <v>0</v>
      </c>
      <c r="R77" s="296">
        <f>COUNTIFS(缺陷明细!$A$2:$A$50000,$B$4,缺陷明细!$G$2:$G$50000,$C77,缺陷明细!$AB$2:$AB$50000,"丢弃",缺陷明细!$J$2:$J$50000,"系统测试")+COUNTIFS(缺陷明细!$A$2:$A$50000,$B$4,缺陷明细!$G$2:$G$50000,$C77,缺陷明细!$AB$2:$AB$50000,"设计如此",缺陷明细!$J$2:$J$50000,"系统测试")+COUNTIFS(缺陷明细!$A$2:$A$50000,$B$4,缺陷明细!$G$2:$G$50000,$C77,缺陷明细!$AB$2:$AB$50000,"重复Bug",缺陷明细!$J$2:$J$50000,"系统测试")</f>
        <v>0</v>
      </c>
      <c r="S77" s="72">
        <f>COUNTIFS(缺陷明细!$A$2:$A$50000,$B$4,缺陷明细!$G$2:$G$50000,$C77,缺陷明细!$J$2:$J$50000,"系统测试",缺陷明细!$K$2:$K$50000,"致命",缺陷明细!$AB$2:$AB$50000,"&lt;&gt;丢弃",缺陷明细!$AB$2:$AB$50000,"&lt;&gt;设计如此",缺陷明细!$AB$2:$AB$50000,"&lt;&gt;重复Bug")+COUNTIFS(缺陷明细!$A$2:$A$50000,$B$4,缺陷明细!$G$2:$G$50000,$C77,缺陷明细!$J$2:$J$50000,"系统测试",缺陷明细!$K$2:$K$50000,"严重",缺陷明细!$AB$2:$AB$50000,"&lt;&gt;丢弃",缺陷明细!$AB$2:$AB$50000,"&lt;&gt;设计如此",缺陷明细!$AB$2:$AB$50000,"&lt;&gt;重复Bug")</f>
        <v>0</v>
      </c>
      <c r="T77" s="73">
        <f>COUNTIFS(缺陷明细!$A$2:$A$50000,$B$4,缺陷明细!$G$2:$G$50000,$C77,缺陷明细!$Q$2:$Q$50000,"已关闭",缺陷明细!$J$2:$J$50000,"系统测试",缺陷明细!$K$2:$K$50000,"致命")+COUNTIFS(缺陷明细!$A$2:$A$50000,$B$4,缺陷明细!$G$2:$G$50000,$C77,缺陷明细!$Q$2:$Q$50000,"已关闭",缺陷明细!$J$2:$J$50000,"系统测试",缺陷明细!$K$2:$K$50000,"严重")</f>
        <v>0</v>
      </c>
      <c r="U77" s="74">
        <f>COUNTIFS(缺陷明细!$A$2:$A$50000,$B$4,缺陷明细!$G$2:$G$50000,$C77,缺陷明细!$J$2:$J$50000,"验收测试",缺陷明细!$AB$2:$AB$50000,"&lt;&gt;丢弃",缺陷明细!$AB$2:$AB$50000,"&lt;&gt;设计如此",缺陷明细!$AB$2:$AB$50000,"&lt;&gt;重复Bug")</f>
        <v>0</v>
      </c>
      <c r="V77" s="75">
        <f>COUNTIFS(缺陷明细!$A$2:$A$50000,$B$4,缺陷明细!$G$2:$G$50000,$C77,缺陷明细!$Q$2:$Q$50000,"已关闭",缺陷明细!$J$2:$J$50000,"验收测试")</f>
        <v>0</v>
      </c>
      <c r="W77" s="75">
        <f>COUNTIFS(缺陷明细!$A$2:$A$50000,$B$4,缺陷明细!$G$2:$G$50000,$C77,缺陷明细!$J$2:$J$50000,"验收测试",缺陷明细!$K$2:$K$50000,"致命",缺陷明细!$AB$2:$AB$50000,"&lt;&gt;丢弃",缺陷明细!$AB$2:$AB$50000,"&lt;&gt;设计如此",缺陷明细!$AB$2:$AB$50000,"&lt;&gt;重复Bug")+COUNTIFS(缺陷明细!$A$2:$A$50000,$B$4,缺陷明细!$G$2:$G$50000,$C77,缺陷明细!$J$2:$J$50000,"验收测试",缺陷明细!$K$2:$K$50000,"严重",缺陷明细!$AB$2:$AB$50000,"&lt;&gt;丢弃",缺陷明细!$AB$2:$AB$50000,"&lt;&gt;设计如此",缺陷明细!$AB$2:$AB$50000,"&lt;&gt;重复Bug")</f>
        <v>0</v>
      </c>
      <c r="X77" s="76">
        <f>COUNTIFS(缺陷明细!$A$2:$A$50000,$B$4,缺陷明细!$G$2:$G$50000,$C77,缺陷明细!$Q$2:$Q$50000,"已关闭",缺陷明细!$J$2:$J$50000,"验收测试",缺陷明细!$K$2:$K$50000,"致命")+COUNTIFS(缺陷明细!$A$2:$A$50000,$B$4,缺陷明细!$G$2:$G$50000,$C77,缺陷明细!$Q$2:$Q$50000,"已关闭",缺陷明细!$J$2:$J$50000,"验收测试",缺陷明细!$K$2:$K$50000,"严重")</f>
        <v>0</v>
      </c>
      <c r="Y77" s="70">
        <f>COUNTIFS(缺陷明细!$A$2:$A$50000,$B$4,缺陷明细!$G$2:$G$50000,$C77,缺陷明细!$J$2:$J$50000,"运维测试",缺陷明细!$AB$2:$AB$50000,"&lt;&gt;丢弃",缺陷明细!$AB$2:$AB$50000,"&lt;&gt;设计如此",缺陷明细!$AB$2:$AB$50000,"&lt;&gt;重复Bug")</f>
        <v>0</v>
      </c>
      <c r="Z77" s="71">
        <f>COUNTIFS(缺陷明细!$A$2:$A$50000,$B$4,缺陷明细!$G$2:$G$50000,$C77,缺陷明细!$Q$2:$Q$50000,"已关闭",缺陷明细!$J$2:$J$50000,"运维测试")</f>
        <v>0</v>
      </c>
      <c r="AA77" s="72">
        <f>COUNTIFS(缺陷明细!$A$2:$A$50000,$B$4,缺陷明细!$G$2:$G$50000,$C77,缺陷明细!$J$2:$J$50000,"运维测试",缺陷明细!$K$2:$K$50000,"致命",缺陷明细!$AB$2:$AB$50000,"&lt;&gt;丢弃",缺陷明细!$AB$2:$AB$50000,"&lt;&gt;设计如此",缺陷明细!$AB$2:$AB$50000,"&lt;&gt;重复Bug")+COUNTIFS(缺陷明细!$A$2:$A$50000,$B$4,缺陷明细!$G$2:$G$50000,$C77,缺陷明细!$J$2:$J$50000,"运维测试",缺陷明细!$K$2:$K$50000,"严重",缺陷明细!$AB$2:$AB$50000,"&lt;&gt;丢弃",缺陷明细!$AB$2:$AB$50000,"&lt;&gt;设计如此",缺陷明细!$AB$2:$AB$50000,"&lt;&gt;重复Bug")</f>
        <v>0</v>
      </c>
      <c r="AB77" s="73">
        <f>COUNTIFS(缺陷明细!$A$2:$A$50000,$B$4,缺陷明细!$G$2:$G$50000,$C77,缺陷明细!$Q$2:$Q$50000,"已关闭",缺陷明细!$J$2:$J$50000,"运维测试",缺陷明细!$K$2:$K$50000,"致命")+COUNTIFS(缺陷明细!$A$2:$A$50000,$B$4,缺陷明细!$G$2:$G$50000,$C77,缺陷明细!$Q$2:$Q$50000,"已关闭",缺陷明细!$J$2:$J$50000,"运维测试",缺陷明细!$K$2:$K$50000,"严重")</f>
        <v>0</v>
      </c>
      <c r="AC77" s="68">
        <f t="shared" si="4"/>
        <v>0</v>
      </c>
      <c r="AD77" s="60">
        <f t="shared" si="5"/>
        <v>0</v>
      </c>
      <c r="AE77" s="60">
        <f t="shared" si="6"/>
        <v>0</v>
      </c>
      <c r="AF77" s="60">
        <f t="shared" si="7"/>
        <v>0</v>
      </c>
      <c r="AG77" s="60">
        <f t="shared" si="8"/>
        <v>0</v>
      </c>
      <c r="AH77" s="60">
        <f t="shared" si="9"/>
        <v>0</v>
      </c>
      <c r="AI77" s="60">
        <f t="shared" si="10"/>
        <v>0</v>
      </c>
      <c r="AJ77" s="61">
        <f t="shared" si="11"/>
        <v>0</v>
      </c>
      <c r="AK77" s="144"/>
    </row>
    <row r="78" spans="1:37" ht="25.5">
      <c r="A78">
        <v>74</v>
      </c>
      <c r="B78" s="57">
        <v>555</v>
      </c>
      <c r="C78" s="58" t="s">
        <v>419</v>
      </c>
      <c r="D78" s="84" t="s">
        <v>343</v>
      </c>
      <c r="E78" s="82" t="s">
        <v>346</v>
      </c>
      <c r="F78" s="158">
        <v>4</v>
      </c>
      <c r="G78" s="159">
        <v>0</v>
      </c>
      <c r="H78" s="281">
        <f>COUNTIFS(缺陷明细!$A$2:$A$50000,$B$4,缺陷明细!$G$2:$G$50000,$C78,缺陷明细!$J$2:$J$50000,"评审",缺陷明细!$AB$2:$AB$50000,"&lt;&gt;丢弃",缺陷明细!$AB$2:$AB$50000,"&lt;&gt;设计如此",缺陷明细!$AB$2:$AB$50000,"&lt;&gt;重复Bug")</f>
        <v>0</v>
      </c>
      <c r="I78" s="154">
        <f>COUNTIFS(缺陷明细!$A$2:$A$50000,$B$4,缺陷明细!$G$2:$G$50000,$C78,缺陷明细!$Q$2:$Q$50000,"已关闭",缺陷明细!$J$2:$J$50000,"评审")</f>
        <v>0</v>
      </c>
      <c r="J78" s="154">
        <f>COUNTIFS(缺陷明细!$A$2:$A$50000,$B$4,缺陷明细!$G$2:$G$50000,$C78,缺陷明细!$J$2:$J$50000,"单元测试",缺陷明细!$AB$2:$AB$50000,"&lt;&gt;丢弃",缺陷明细!$AB$2:$AB$50000,"&lt;&gt;设计如此",缺陷明细!$AB$2:$AB$50000,"&lt;&gt;重复Bug")</f>
        <v>0</v>
      </c>
      <c r="K78" s="155">
        <f>COUNTIFS(缺陷明细!$A$2:$A$50000,$B$4,缺陷明细!$G$2:$G$50000,$C78,缺陷明细!$Q$2:$Q$50000,"已关闭",缺陷明细!$J$2:$J$50000,"单元测试")</f>
        <v>0</v>
      </c>
      <c r="L78" s="156"/>
      <c r="M78" s="157"/>
      <c r="N78" s="72">
        <f>COUNTIFS(缺陷明细!$A$2:$A$50000,$B$4,缺陷明细!$G$2:$G$50000,$C78,缺陷明细!$J$2:$J$50000,"系统测试案例评审",缺陷明细!$AB$2:$AB$50000,"&lt;&gt;丢弃",缺陷明细!$AB$2:$AB$50000,"&lt;&gt;设计如此",缺陷明细!$AB$2:$AB$50000,"&lt;&gt;重复Bug")</f>
        <v>0</v>
      </c>
      <c r="O78" s="72">
        <f>COUNTIFS(缺陷明细!$A$2:$A$50000,$B$4,缺陷明细!$G$2:$G$50000,$C78,缺陷明细!$Q$2:$Q$50000,"已关闭",缺陷明细!$J$2:$J$50000,"系统测试案例评审")</f>
        <v>0</v>
      </c>
      <c r="P78" s="72">
        <f>COUNTIFS(缺陷明细!$A$2:$A$50000,$B$4,缺陷明细!$G$2:$G$50000,$C78,缺陷明细!$J$2:$J$50000,"系统测试",缺陷明细!$AB$2:$AB$50000,"&lt;&gt;丢弃",缺陷明细!$AB$2:$AB$50000,"&lt;&gt;设计如此",缺陷明细!$AB$2:$AB$50000,"&lt;&gt;重复Bug")</f>
        <v>0</v>
      </c>
      <c r="Q78" s="72">
        <f>COUNTIFS(缺陷明细!$A$2:$A$50000,$B$4,缺陷明细!$G$2:$G$50000,$C78,缺陷明细!$Q$2:$Q$50000,"已关闭",缺陷明细!$J$2:$J$50000,"系统测试")</f>
        <v>0</v>
      </c>
      <c r="R78" s="296">
        <f>COUNTIFS(缺陷明细!$A$2:$A$50000,$B$4,缺陷明细!$G$2:$G$50000,$C78,缺陷明细!$AB$2:$AB$50000,"丢弃",缺陷明细!$J$2:$J$50000,"系统测试")+COUNTIFS(缺陷明细!$A$2:$A$50000,$B$4,缺陷明细!$G$2:$G$50000,$C78,缺陷明细!$AB$2:$AB$50000,"设计如此",缺陷明细!$J$2:$J$50000,"系统测试")+COUNTIFS(缺陷明细!$A$2:$A$50000,$B$4,缺陷明细!$G$2:$G$50000,$C78,缺陷明细!$AB$2:$AB$50000,"重复Bug",缺陷明细!$J$2:$J$50000,"系统测试")</f>
        <v>0</v>
      </c>
      <c r="S78" s="72">
        <f>COUNTIFS(缺陷明细!$A$2:$A$50000,$B$4,缺陷明细!$G$2:$G$50000,$C78,缺陷明细!$J$2:$J$50000,"系统测试",缺陷明细!$K$2:$K$50000,"致命",缺陷明细!$AB$2:$AB$50000,"&lt;&gt;丢弃",缺陷明细!$AB$2:$AB$50000,"&lt;&gt;设计如此",缺陷明细!$AB$2:$AB$50000,"&lt;&gt;重复Bug")+COUNTIFS(缺陷明细!$A$2:$A$50000,$B$4,缺陷明细!$G$2:$G$50000,$C78,缺陷明细!$J$2:$J$50000,"系统测试",缺陷明细!$K$2:$K$50000,"严重",缺陷明细!$AB$2:$AB$50000,"&lt;&gt;丢弃",缺陷明细!$AB$2:$AB$50000,"&lt;&gt;设计如此",缺陷明细!$AB$2:$AB$50000,"&lt;&gt;重复Bug")</f>
        <v>0</v>
      </c>
      <c r="T78" s="73">
        <f>COUNTIFS(缺陷明细!$A$2:$A$50000,$B$4,缺陷明细!$G$2:$G$50000,$C78,缺陷明细!$Q$2:$Q$50000,"已关闭",缺陷明细!$J$2:$J$50000,"系统测试",缺陷明细!$K$2:$K$50000,"致命")+COUNTIFS(缺陷明细!$A$2:$A$50000,$B$4,缺陷明细!$G$2:$G$50000,$C78,缺陷明细!$Q$2:$Q$50000,"已关闭",缺陷明细!$J$2:$J$50000,"系统测试",缺陷明细!$K$2:$K$50000,"严重")</f>
        <v>0</v>
      </c>
      <c r="U78" s="74">
        <f>COUNTIFS(缺陷明细!$A$2:$A$50000,$B$4,缺陷明细!$G$2:$G$50000,$C78,缺陷明细!$J$2:$J$50000,"验收测试",缺陷明细!$AB$2:$AB$50000,"&lt;&gt;丢弃",缺陷明细!$AB$2:$AB$50000,"&lt;&gt;设计如此",缺陷明细!$AB$2:$AB$50000,"&lt;&gt;重复Bug")</f>
        <v>0</v>
      </c>
      <c r="V78" s="75">
        <f>COUNTIFS(缺陷明细!$A$2:$A$50000,$B$4,缺陷明细!$G$2:$G$50000,$C78,缺陷明细!$Q$2:$Q$50000,"已关闭",缺陷明细!$J$2:$J$50000,"验收测试")</f>
        <v>0</v>
      </c>
      <c r="W78" s="75">
        <f>COUNTIFS(缺陷明细!$A$2:$A$50000,$B$4,缺陷明细!$G$2:$G$50000,$C78,缺陷明细!$J$2:$J$50000,"验收测试",缺陷明细!$K$2:$K$50000,"致命",缺陷明细!$AB$2:$AB$50000,"&lt;&gt;丢弃",缺陷明细!$AB$2:$AB$50000,"&lt;&gt;设计如此",缺陷明细!$AB$2:$AB$50000,"&lt;&gt;重复Bug")+COUNTIFS(缺陷明细!$A$2:$A$50000,$B$4,缺陷明细!$G$2:$G$50000,$C78,缺陷明细!$J$2:$J$50000,"验收测试",缺陷明细!$K$2:$K$50000,"严重",缺陷明细!$AB$2:$AB$50000,"&lt;&gt;丢弃",缺陷明细!$AB$2:$AB$50000,"&lt;&gt;设计如此",缺陷明细!$AB$2:$AB$50000,"&lt;&gt;重复Bug")</f>
        <v>0</v>
      </c>
      <c r="X78" s="76">
        <f>COUNTIFS(缺陷明细!$A$2:$A$50000,$B$4,缺陷明细!$G$2:$G$50000,$C78,缺陷明细!$Q$2:$Q$50000,"已关闭",缺陷明细!$J$2:$J$50000,"验收测试",缺陷明细!$K$2:$K$50000,"致命")+COUNTIFS(缺陷明细!$A$2:$A$50000,$B$4,缺陷明细!$G$2:$G$50000,$C78,缺陷明细!$Q$2:$Q$50000,"已关闭",缺陷明细!$J$2:$J$50000,"验收测试",缺陷明细!$K$2:$K$50000,"严重")</f>
        <v>0</v>
      </c>
      <c r="Y78" s="70">
        <f>COUNTIFS(缺陷明细!$A$2:$A$50000,$B$4,缺陷明细!$G$2:$G$50000,$C78,缺陷明细!$J$2:$J$50000,"运维测试",缺陷明细!$AB$2:$AB$50000,"&lt;&gt;丢弃",缺陷明细!$AB$2:$AB$50000,"&lt;&gt;设计如此",缺陷明细!$AB$2:$AB$50000,"&lt;&gt;重复Bug")</f>
        <v>0</v>
      </c>
      <c r="Z78" s="71">
        <f>COUNTIFS(缺陷明细!$A$2:$A$50000,$B$4,缺陷明细!$G$2:$G$50000,$C78,缺陷明细!$Q$2:$Q$50000,"已关闭",缺陷明细!$J$2:$J$50000,"运维测试")</f>
        <v>0</v>
      </c>
      <c r="AA78" s="72">
        <f>COUNTIFS(缺陷明细!$A$2:$A$50000,$B$4,缺陷明细!$G$2:$G$50000,$C78,缺陷明细!$J$2:$J$50000,"运维测试",缺陷明细!$K$2:$K$50000,"致命",缺陷明细!$AB$2:$AB$50000,"&lt;&gt;丢弃",缺陷明细!$AB$2:$AB$50000,"&lt;&gt;设计如此",缺陷明细!$AB$2:$AB$50000,"&lt;&gt;重复Bug")+COUNTIFS(缺陷明细!$A$2:$A$50000,$B$4,缺陷明细!$G$2:$G$50000,$C78,缺陷明细!$J$2:$J$50000,"运维测试",缺陷明细!$K$2:$K$50000,"严重",缺陷明细!$AB$2:$AB$50000,"&lt;&gt;丢弃",缺陷明细!$AB$2:$AB$50000,"&lt;&gt;设计如此",缺陷明细!$AB$2:$AB$50000,"&lt;&gt;重复Bug")</f>
        <v>0</v>
      </c>
      <c r="AB78" s="73">
        <f>COUNTIFS(缺陷明细!$A$2:$A$50000,$B$4,缺陷明细!$G$2:$G$50000,$C78,缺陷明细!$Q$2:$Q$50000,"已关闭",缺陷明细!$J$2:$J$50000,"运维测试",缺陷明细!$K$2:$K$50000,"致命")+COUNTIFS(缺陷明细!$A$2:$A$50000,$B$4,缺陷明细!$G$2:$G$50000,$C78,缺陷明细!$Q$2:$Q$50000,"已关闭",缺陷明细!$J$2:$J$50000,"运维测试",缺陷明细!$K$2:$K$50000,"严重")</f>
        <v>0</v>
      </c>
      <c r="AC78" s="68">
        <f t="shared" si="4"/>
        <v>0</v>
      </c>
      <c r="AD78" s="60">
        <f t="shared" si="5"/>
        <v>0</v>
      </c>
      <c r="AE78" s="60">
        <f t="shared" si="6"/>
        <v>0</v>
      </c>
      <c r="AF78" s="60">
        <f t="shared" si="7"/>
        <v>0</v>
      </c>
      <c r="AG78" s="60">
        <f t="shared" si="8"/>
        <v>0</v>
      </c>
      <c r="AH78" s="60">
        <f t="shared" si="9"/>
        <v>0</v>
      </c>
      <c r="AI78" s="60">
        <f t="shared" si="10"/>
        <v>0</v>
      </c>
      <c r="AJ78" s="61">
        <f t="shared" si="11"/>
        <v>0</v>
      </c>
      <c r="AK78" s="144"/>
    </row>
    <row r="79" spans="1:37">
      <c r="A79">
        <v>75</v>
      </c>
      <c r="B79" s="57">
        <v>556</v>
      </c>
      <c r="C79" s="58" t="s">
        <v>420</v>
      </c>
      <c r="D79" s="84" t="s">
        <v>343</v>
      </c>
      <c r="E79" s="82" t="s">
        <v>346</v>
      </c>
      <c r="F79" s="158">
        <v>2</v>
      </c>
      <c r="G79" s="159">
        <v>1</v>
      </c>
      <c r="H79" s="281">
        <f>COUNTIFS(缺陷明细!$A$2:$A$50000,$B$4,缺陷明细!$G$2:$G$50000,$C79,缺陷明细!$J$2:$J$50000,"评审",缺陷明细!$AB$2:$AB$50000,"&lt;&gt;丢弃",缺陷明细!$AB$2:$AB$50000,"&lt;&gt;设计如此",缺陷明细!$AB$2:$AB$50000,"&lt;&gt;重复Bug")</f>
        <v>0</v>
      </c>
      <c r="I79" s="154">
        <f>COUNTIFS(缺陷明细!$A$2:$A$50000,$B$4,缺陷明细!$G$2:$G$50000,$C79,缺陷明细!$Q$2:$Q$50000,"已关闭",缺陷明细!$J$2:$J$50000,"评审")</f>
        <v>0</v>
      </c>
      <c r="J79" s="154">
        <f>COUNTIFS(缺陷明细!$A$2:$A$50000,$B$4,缺陷明细!$G$2:$G$50000,$C79,缺陷明细!$J$2:$J$50000,"单元测试",缺陷明细!$AB$2:$AB$50000,"&lt;&gt;丢弃",缺陷明细!$AB$2:$AB$50000,"&lt;&gt;设计如此",缺陷明细!$AB$2:$AB$50000,"&lt;&gt;重复Bug")</f>
        <v>0</v>
      </c>
      <c r="K79" s="155">
        <f>COUNTIFS(缺陷明细!$A$2:$A$50000,$B$4,缺陷明细!$G$2:$G$50000,$C79,缺陷明细!$Q$2:$Q$50000,"已关闭",缺陷明细!$J$2:$J$50000,"单元测试")</f>
        <v>0</v>
      </c>
      <c r="L79" s="156"/>
      <c r="M79" s="157"/>
      <c r="N79" s="72">
        <f>COUNTIFS(缺陷明细!$A$2:$A$50000,$B$4,缺陷明细!$G$2:$G$50000,$C79,缺陷明细!$J$2:$J$50000,"系统测试案例评审",缺陷明细!$AB$2:$AB$50000,"&lt;&gt;丢弃",缺陷明细!$AB$2:$AB$50000,"&lt;&gt;设计如此",缺陷明细!$AB$2:$AB$50000,"&lt;&gt;重复Bug")</f>
        <v>0</v>
      </c>
      <c r="O79" s="72">
        <f>COUNTIFS(缺陷明细!$A$2:$A$50000,$B$4,缺陷明细!$G$2:$G$50000,$C79,缺陷明细!$Q$2:$Q$50000,"已关闭",缺陷明细!$J$2:$J$50000,"系统测试案例评审")</f>
        <v>0</v>
      </c>
      <c r="P79" s="72">
        <f>COUNTIFS(缺陷明细!$A$2:$A$50000,$B$4,缺陷明细!$G$2:$G$50000,$C79,缺陷明细!$J$2:$J$50000,"系统测试",缺陷明细!$AB$2:$AB$50000,"&lt;&gt;丢弃",缺陷明细!$AB$2:$AB$50000,"&lt;&gt;设计如此",缺陷明细!$AB$2:$AB$50000,"&lt;&gt;重复Bug")</f>
        <v>0</v>
      </c>
      <c r="Q79" s="72">
        <f>COUNTIFS(缺陷明细!$A$2:$A$50000,$B$4,缺陷明细!$G$2:$G$50000,$C79,缺陷明细!$Q$2:$Q$50000,"已关闭",缺陷明细!$J$2:$J$50000,"系统测试")</f>
        <v>0</v>
      </c>
      <c r="R79" s="296">
        <f>COUNTIFS(缺陷明细!$A$2:$A$50000,$B$4,缺陷明细!$G$2:$G$50000,$C79,缺陷明细!$AB$2:$AB$50000,"丢弃",缺陷明细!$J$2:$J$50000,"系统测试")+COUNTIFS(缺陷明细!$A$2:$A$50000,$B$4,缺陷明细!$G$2:$G$50000,$C79,缺陷明细!$AB$2:$AB$50000,"设计如此",缺陷明细!$J$2:$J$50000,"系统测试")+COUNTIFS(缺陷明细!$A$2:$A$50000,$B$4,缺陷明细!$G$2:$G$50000,$C79,缺陷明细!$AB$2:$AB$50000,"重复Bug",缺陷明细!$J$2:$J$50000,"系统测试")</f>
        <v>0</v>
      </c>
      <c r="S79" s="72">
        <f>COUNTIFS(缺陷明细!$A$2:$A$50000,$B$4,缺陷明细!$G$2:$G$50000,$C79,缺陷明细!$J$2:$J$50000,"系统测试",缺陷明细!$K$2:$K$50000,"致命",缺陷明细!$AB$2:$AB$50000,"&lt;&gt;丢弃",缺陷明细!$AB$2:$AB$50000,"&lt;&gt;设计如此",缺陷明细!$AB$2:$AB$50000,"&lt;&gt;重复Bug")+COUNTIFS(缺陷明细!$A$2:$A$50000,$B$4,缺陷明细!$G$2:$G$50000,$C79,缺陷明细!$J$2:$J$50000,"系统测试",缺陷明细!$K$2:$K$50000,"严重",缺陷明细!$AB$2:$AB$50000,"&lt;&gt;丢弃",缺陷明细!$AB$2:$AB$50000,"&lt;&gt;设计如此",缺陷明细!$AB$2:$AB$50000,"&lt;&gt;重复Bug")</f>
        <v>0</v>
      </c>
      <c r="T79" s="73">
        <f>COUNTIFS(缺陷明细!$A$2:$A$50000,$B$4,缺陷明细!$G$2:$G$50000,$C79,缺陷明细!$Q$2:$Q$50000,"已关闭",缺陷明细!$J$2:$J$50000,"系统测试",缺陷明细!$K$2:$K$50000,"致命")+COUNTIFS(缺陷明细!$A$2:$A$50000,$B$4,缺陷明细!$G$2:$G$50000,$C79,缺陷明细!$Q$2:$Q$50000,"已关闭",缺陷明细!$J$2:$J$50000,"系统测试",缺陷明细!$K$2:$K$50000,"严重")</f>
        <v>0</v>
      </c>
      <c r="U79" s="74">
        <f>COUNTIFS(缺陷明细!$A$2:$A$50000,$B$4,缺陷明细!$G$2:$G$50000,$C79,缺陷明细!$J$2:$J$50000,"验收测试",缺陷明细!$AB$2:$AB$50000,"&lt;&gt;丢弃",缺陷明细!$AB$2:$AB$50000,"&lt;&gt;设计如此",缺陷明细!$AB$2:$AB$50000,"&lt;&gt;重复Bug")</f>
        <v>0</v>
      </c>
      <c r="V79" s="75">
        <f>COUNTIFS(缺陷明细!$A$2:$A$50000,$B$4,缺陷明细!$G$2:$G$50000,$C79,缺陷明细!$Q$2:$Q$50000,"已关闭",缺陷明细!$J$2:$J$50000,"验收测试")</f>
        <v>0</v>
      </c>
      <c r="W79" s="75">
        <f>COUNTIFS(缺陷明细!$A$2:$A$50000,$B$4,缺陷明细!$G$2:$G$50000,$C79,缺陷明细!$J$2:$J$50000,"验收测试",缺陷明细!$K$2:$K$50000,"致命",缺陷明细!$AB$2:$AB$50000,"&lt;&gt;丢弃",缺陷明细!$AB$2:$AB$50000,"&lt;&gt;设计如此",缺陷明细!$AB$2:$AB$50000,"&lt;&gt;重复Bug")+COUNTIFS(缺陷明细!$A$2:$A$50000,$B$4,缺陷明细!$G$2:$G$50000,$C79,缺陷明细!$J$2:$J$50000,"验收测试",缺陷明细!$K$2:$K$50000,"严重",缺陷明细!$AB$2:$AB$50000,"&lt;&gt;丢弃",缺陷明细!$AB$2:$AB$50000,"&lt;&gt;设计如此",缺陷明细!$AB$2:$AB$50000,"&lt;&gt;重复Bug")</f>
        <v>0</v>
      </c>
      <c r="X79" s="76">
        <f>COUNTIFS(缺陷明细!$A$2:$A$50000,$B$4,缺陷明细!$G$2:$G$50000,$C79,缺陷明细!$Q$2:$Q$50000,"已关闭",缺陷明细!$J$2:$J$50000,"验收测试",缺陷明细!$K$2:$K$50000,"致命")+COUNTIFS(缺陷明细!$A$2:$A$50000,$B$4,缺陷明细!$G$2:$G$50000,$C79,缺陷明细!$Q$2:$Q$50000,"已关闭",缺陷明细!$J$2:$J$50000,"验收测试",缺陷明细!$K$2:$K$50000,"严重")</f>
        <v>0</v>
      </c>
      <c r="Y79" s="70">
        <f>COUNTIFS(缺陷明细!$A$2:$A$50000,$B$4,缺陷明细!$G$2:$G$50000,$C79,缺陷明细!$J$2:$J$50000,"运维测试",缺陷明细!$AB$2:$AB$50000,"&lt;&gt;丢弃",缺陷明细!$AB$2:$AB$50000,"&lt;&gt;设计如此",缺陷明细!$AB$2:$AB$50000,"&lt;&gt;重复Bug")</f>
        <v>0</v>
      </c>
      <c r="Z79" s="71">
        <f>COUNTIFS(缺陷明细!$A$2:$A$50000,$B$4,缺陷明细!$G$2:$G$50000,$C79,缺陷明细!$Q$2:$Q$50000,"已关闭",缺陷明细!$J$2:$J$50000,"运维测试")</f>
        <v>0</v>
      </c>
      <c r="AA79" s="72">
        <f>COUNTIFS(缺陷明细!$A$2:$A$50000,$B$4,缺陷明细!$G$2:$G$50000,$C79,缺陷明细!$J$2:$J$50000,"运维测试",缺陷明细!$K$2:$K$50000,"致命",缺陷明细!$AB$2:$AB$50000,"&lt;&gt;丢弃",缺陷明细!$AB$2:$AB$50000,"&lt;&gt;设计如此",缺陷明细!$AB$2:$AB$50000,"&lt;&gt;重复Bug")+COUNTIFS(缺陷明细!$A$2:$A$50000,$B$4,缺陷明细!$G$2:$G$50000,$C79,缺陷明细!$J$2:$J$50000,"运维测试",缺陷明细!$K$2:$K$50000,"严重",缺陷明细!$AB$2:$AB$50000,"&lt;&gt;丢弃",缺陷明细!$AB$2:$AB$50000,"&lt;&gt;设计如此",缺陷明细!$AB$2:$AB$50000,"&lt;&gt;重复Bug")</f>
        <v>0</v>
      </c>
      <c r="AB79" s="73">
        <f>COUNTIFS(缺陷明细!$A$2:$A$50000,$B$4,缺陷明细!$G$2:$G$50000,$C79,缺陷明细!$Q$2:$Q$50000,"已关闭",缺陷明细!$J$2:$J$50000,"运维测试",缺陷明细!$K$2:$K$50000,"致命")+COUNTIFS(缺陷明细!$A$2:$A$50000,$B$4,缺陷明细!$G$2:$G$50000,$C79,缺陷明细!$Q$2:$Q$50000,"已关闭",缺陷明细!$J$2:$J$50000,"运维测试",缺陷明细!$K$2:$K$50000,"严重")</f>
        <v>0</v>
      </c>
      <c r="AC79" s="68">
        <f t="shared" si="4"/>
        <v>0</v>
      </c>
      <c r="AD79" s="60">
        <f t="shared" si="5"/>
        <v>0</v>
      </c>
      <c r="AE79" s="60">
        <f t="shared" si="6"/>
        <v>0</v>
      </c>
      <c r="AF79" s="60">
        <f t="shared" si="7"/>
        <v>0</v>
      </c>
      <c r="AG79" s="60">
        <f t="shared" si="8"/>
        <v>0</v>
      </c>
      <c r="AH79" s="60">
        <f t="shared" si="9"/>
        <v>0</v>
      </c>
      <c r="AI79" s="60">
        <f t="shared" si="10"/>
        <v>0</v>
      </c>
      <c r="AJ79" s="61">
        <f t="shared" si="11"/>
        <v>0</v>
      </c>
      <c r="AK79" s="144"/>
    </row>
    <row r="80" spans="1:37" ht="25.5">
      <c r="A80">
        <v>76</v>
      </c>
      <c r="B80" s="57">
        <v>557</v>
      </c>
      <c r="C80" s="58" t="s">
        <v>421</v>
      </c>
      <c r="D80" s="84" t="s">
        <v>343</v>
      </c>
      <c r="E80" s="82" t="s">
        <v>346</v>
      </c>
      <c r="F80" s="158">
        <v>8</v>
      </c>
      <c r="G80" s="159">
        <v>6</v>
      </c>
      <c r="H80" s="281">
        <f>COUNTIFS(缺陷明细!$A$2:$A$50000,$B$4,缺陷明细!$G$2:$G$50000,$C80,缺陷明细!$J$2:$J$50000,"评审",缺陷明细!$AB$2:$AB$50000,"&lt;&gt;丢弃",缺陷明细!$AB$2:$AB$50000,"&lt;&gt;设计如此",缺陷明细!$AB$2:$AB$50000,"&lt;&gt;重复Bug")</f>
        <v>0</v>
      </c>
      <c r="I80" s="154">
        <f>COUNTIFS(缺陷明细!$A$2:$A$50000,$B$4,缺陷明细!$G$2:$G$50000,$C80,缺陷明细!$Q$2:$Q$50000,"已关闭",缺陷明细!$J$2:$J$50000,"评审")</f>
        <v>0</v>
      </c>
      <c r="J80" s="154">
        <f>COUNTIFS(缺陷明细!$A$2:$A$50000,$B$4,缺陷明细!$G$2:$G$50000,$C80,缺陷明细!$J$2:$J$50000,"单元测试",缺陷明细!$AB$2:$AB$50000,"&lt;&gt;丢弃",缺陷明细!$AB$2:$AB$50000,"&lt;&gt;设计如此",缺陷明细!$AB$2:$AB$50000,"&lt;&gt;重复Bug")</f>
        <v>0</v>
      </c>
      <c r="K80" s="155">
        <f>COUNTIFS(缺陷明细!$A$2:$A$50000,$B$4,缺陷明细!$G$2:$G$50000,$C80,缺陷明细!$Q$2:$Q$50000,"已关闭",缺陷明细!$J$2:$J$50000,"单元测试")</f>
        <v>0</v>
      </c>
      <c r="L80" s="156"/>
      <c r="M80" s="157"/>
      <c r="N80" s="72">
        <f>COUNTIFS(缺陷明细!$A$2:$A$50000,$B$4,缺陷明细!$G$2:$G$50000,$C80,缺陷明细!$J$2:$J$50000,"系统测试案例评审",缺陷明细!$AB$2:$AB$50000,"&lt;&gt;丢弃",缺陷明细!$AB$2:$AB$50000,"&lt;&gt;设计如此",缺陷明细!$AB$2:$AB$50000,"&lt;&gt;重复Bug")</f>
        <v>0</v>
      </c>
      <c r="O80" s="72">
        <f>COUNTIFS(缺陷明细!$A$2:$A$50000,$B$4,缺陷明细!$G$2:$G$50000,$C80,缺陷明细!$Q$2:$Q$50000,"已关闭",缺陷明细!$J$2:$J$50000,"系统测试案例评审")</f>
        <v>0</v>
      </c>
      <c r="P80" s="72">
        <f>COUNTIFS(缺陷明细!$A$2:$A$50000,$B$4,缺陷明细!$G$2:$G$50000,$C80,缺陷明细!$J$2:$J$50000,"系统测试",缺陷明细!$AB$2:$AB$50000,"&lt;&gt;丢弃",缺陷明细!$AB$2:$AB$50000,"&lt;&gt;设计如此",缺陷明细!$AB$2:$AB$50000,"&lt;&gt;重复Bug")</f>
        <v>0</v>
      </c>
      <c r="Q80" s="72">
        <f>COUNTIFS(缺陷明细!$A$2:$A$50000,$B$4,缺陷明细!$G$2:$G$50000,$C80,缺陷明细!$Q$2:$Q$50000,"已关闭",缺陷明细!$J$2:$J$50000,"系统测试")</f>
        <v>0</v>
      </c>
      <c r="R80" s="296">
        <f>COUNTIFS(缺陷明细!$A$2:$A$50000,$B$4,缺陷明细!$G$2:$G$50000,$C80,缺陷明细!$AB$2:$AB$50000,"丢弃",缺陷明细!$J$2:$J$50000,"系统测试")+COUNTIFS(缺陷明细!$A$2:$A$50000,$B$4,缺陷明细!$G$2:$G$50000,$C80,缺陷明细!$AB$2:$AB$50000,"设计如此",缺陷明细!$J$2:$J$50000,"系统测试")+COUNTIFS(缺陷明细!$A$2:$A$50000,$B$4,缺陷明细!$G$2:$G$50000,$C80,缺陷明细!$AB$2:$AB$50000,"重复Bug",缺陷明细!$J$2:$J$50000,"系统测试")</f>
        <v>0</v>
      </c>
      <c r="S80" s="72">
        <f>COUNTIFS(缺陷明细!$A$2:$A$50000,$B$4,缺陷明细!$G$2:$G$50000,$C80,缺陷明细!$J$2:$J$50000,"系统测试",缺陷明细!$K$2:$K$50000,"致命",缺陷明细!$AB$2:$AB$50000,"&lt;&gt;丢弃",缺陷明细!$AB$2:$AB$50000,"&lt;&gt;设计如此",缺陷明细!$AB$2:$AB$50000,"&lt;&gt;重复Bug")+COUNTIFS(缺陷明细!$A$2:$A$50000,$B$4,缺陷明细!$G$2:$G$50000,$C80,缺陷明细!$J$2:$J$50000,"系统测试",缺陷明细!$K$2:$K$50000,"严重",缺陷明细!$AB$2:$AB$50000,"&lt;&gt;丢弃",缺陷明细!$AB$2:$AB$50000,"&lt;&gt;设计如此",缺陷明细!$AB$2:$AB$50000,"&lt;&gt;重复Bug")</f>
        <v>0</v>
      </c>
      <c r="T80" s="73">
        <f>COUNTIFS(缺陷明细!$A$2:$A$50000,$B$4,缺陷明细!$G$2:$G$50000,$C80,缺陷明细!$Q$2:$Q$50000,"已关闭",缺陷明细!$J$2:$J$50000,"系统测试",缺陷明细!$K$2:$K$50000,"致命")+COUNTIFS(缺陷明细!$A$2:$A$50000,$B$4,缺陷明细!$G$2:$G$50000,$C80,缺陷明细!$Q$2:$Q$50000,"已关闭",缺陷明细!$J$2:$J$50000,"系统测试",缺陷明细!$K$2:$K$50000,"严重")</f>
        <v>0</v>
      </c>
      <c r="U80" s="74">
        <f>COUNTIFS(缺陷明细!$A$2:$A$50000,$B$4,缺陷明细!$G$2:$G$50000,$C80,缺陷明细!$J$2:$J$50000,"验收测试",缺陷明细!$AB$2:$AB$50000,"&lt;&gt;丢弃",缺陷明细!$AB$2:$AB$50000,"&lt;&gt;设计如此",缺陷明细!$AB$2:$AB$50000,"&lt;&gt;重复Bug")</f>
        <v>0</v>
      </c>
      <c r="V80" s="75">
        <f>COUNTIFS(缺陷明细!$A$2:$A$50000,$B$4,缺陷明细!$G$2:$G$50000,$C80,缺陷明细!$Q$2:$Q$50000,"已关闭",缺陷明细!$J$2:$J$50000,"验收测试")</f>
        <v>0</v>
      </c>
      <c r="W80" s="75">
        <f>COUNTIFS(缺陷明细!$A$2:$A$50000,$B$4,缺陷明细!$G$2:$G$50000,$C80,缺陷明细!$J$2:$J$50000,"验收测试",缺陷明细!$K$2:$K$50000,"致命",缺陷明细!$AB$2:$AB$50000,"&lt;&gt;丢弃",缺陷明细!$AB$2:$AB$50000,"&lt;&gt;设计如此",缺陷明细!$AB$2:$AB$50000,"&lt;&gt;重复Bug")+COUNTIFS(缺陷明细!$A$2:$A$50000,$B$4,缺陷明细!$G$2:$G$50000,$C80,缺陷明细!$J$2:$J$50000,"验收测试",缺陷明细!$K$2:$K$50000,"严重",缺陷明细!$AB$2:$AB$50000,"&lt;&gt;丢弃",缺陷明细!$AB$2:$AB$50000,"&lt;&gt;设计如此",缺陷明细!$AB$2:$AB$50000,"&lt;&gt;重复Bug")</f>
        <v>0</v>
      </c>
      <c r="X80" s="76">
        <f>COUNTIFS(缺陷明细!$A$2:$A$50000,$B$4,缺陷明细!$G$2:$G$50000,$C80,缺陷明细!$Q$2:$Q$50000,"已关闭",缺陷明细!$J$2:$J$50000,"验收测试",缺陷明细!$K$2:$K$50000,"致命")+COUNTIFS(缺陷明细!$A$2:$A$50000,$B$4,缺陷明细!$G$2:$G$50000,$C80,缺陷明细!$Q$2:$Q$50000,"已关闭",缺陷明细!$J$2:$J$50000,"验收测试",缺陷明细!$K$2:$K$50000,"严重")</f>
        <v>0</v>
      </c>
      <c r="Y80" s="70">
        <f>COUNTIFS(缺陷明细!$A$2:$A$50000,$B$4,缺陷明细!$G$2:$G$50000,$C80,缺陷明细!$J$2:$J$50000,"运维测试",缺陷明细!$AB$2:$AB$50000,"&lt;&gt;丢弃",缺陷明细!$AB$2:$AB$50000,"&lt;&gt;设计如此",缺陷明细!$AB$2:$AB$50000,"&lt;&gt;重复Bug")</f>
        <v>0</v>
      </c>
      <c r="Z80" s="71">
        <f>COUNTIFS(缺陷明细!$A$2:$A$50000,$B$4,缺陷明细!$G$2:$G$50000,$C80,缺陷明细!$Q$2:$Q$50000,"已关闭",缺陷明细!$J$2:$J$50000,"运维测试")</f>
        <v>0</v>
      </c>
      <c r="AA80" s="72">
        <f>COUNTIFS(缺陷明细!$A$2:$A$50000,$B$4,缺陷明细!$G$2:$G$50000,$C80,缺陷明细!$J$2:$J$50000,"运维测试",缺陷明细!$K$2:$K$50000,"致命",缺陷明细!$AB$2:$AB$50000,"&lt;&gt;丢弃",缺陷明细!$AB$2:$AB$50000,"&lt;&gt;设计如此",缺陷明细!$AB$2:$AB$50000,"&lt;&gt;重复Bug")+COUNTIFS(缺陷明细!$A$2:$A$50000,$B$4,缺陷明细!$G$2:$G$50000,$C80,缺陷明细!$J$2:$J$50000,"运维测试",缺陷明细!$K$2:$K$50000,"严重",缺陷明细!$AB$2:$AB$50000,"&lt;&gt;丢弃",缺陷明细!$AB$2:$AB$50000,"&lt;&gt;设计如此",缺陷明细!$AB$2:$AB$50000,"&lt;&gt;重复Bug")</f>
        <v>0</v>
      </c>
      <c r="AB80" s="73">
        <f>COUNTIFS(缺陷明细!$A$2:$A$50000,$B$4,缺陷明细!$G$2:$G$50000,$C80,缺陷明细!$Q$2:$Q$50000,"已关闭",缺陷明细!$J$2:$J$50000,"运维测试",缺陷明细!$K$2:$K$50000,"致命")+COUNTIFS(缺陷明细!$A$2:$A$50000,$B$4,缺陷明细!$G$2:$G$50000,$C80,缺陷明细!$Q$2:$Q$50000,"已关闭",缺陷明细!$J$2:$J$50000,"运维测试",缺陷明细!$K$2:$K$50000,"严重")</f>
        <v>0</v>
      </c>
      <c r="AC80" s="68">
        <f t="shared" si="4"/>
        <v>0</v>
      </c>
      <c r="AD80" s="60">
        <f t="shared" si="5"/>
        <v>0</v>
      </c>
      <c r="AE80" s="60">
        <f t="shared" si="6"/>
        <v>0</v>
      </c>
      <c r="AF80" s="60">
        <f t="shared" si="7"/>
        <v>0</v>
      </c>
      <c r="AG80" s="60">
        <f t="shared" si="8"/>
        <v>0</v>
      </c>
      <c r="AH80" s="60">
        <f t="shared" si="9"/>
        <v>0</v>
      </c>
      <c r="AI80" s="60">
        <f t="shared" si="10"/>
        <v>0</v>
      </c>
      <c r="AJ80" s="61">
        <f t="shared" si="11"/>
        <v>0</v>
      </c>
      <c r="AK80" s="144"/>
    </row>
    <row r="81" spans="1:37" ht="25.5">
      <c r="A81">
        <v>77</v>
      </c>
      <c r="B81" s="57">
        <v>558</v>
      </c>
      <c r="C81" s="58" t="s">
        <v>422</v>
      </c>
      <c r="D81" s="84" t="s">
        <v>343</v>
      </c>
      <c r="E81" s="82" t="s">
        <v>346</v>
      </c>
      <c r="F81" s="158">
        <v>8</v>
      </c>
      <c r="G81" s="159">
        <v>8</v>
      </c>
      <c r="H81" s="281">
        <f>COUNTIFS(缺陷明细!$A$2:$A$50000,$B$4,缺陷明细!$G$2:$G$50000,$C81,缺陷明细!$J$2:$J$50000,"评审",缺陷明细!$AB$2:$AB$50000,"&lt;&gt;丢弃",缺陷明细!$AB$2:$AB$50000,"&lt;&gt;设计如此",缺陷明细!$AB$2:$AB$50000,"&lt;&gt;重复Bug")</f>
        <v>0</v>
      </c>
      <c r="I81" s="154">
        <f>COUNTIFS(缺陷明细!$A$2:$A$50000,$B$4,缺陷明细!$G$2:$G$50000,$C81,缺陷明细!$Q$2:$Q$50000,"已关闭",缺陷明细!$J$2:$J$50000,"评审")</f>
        <v>0</v>
      </c>
      <c r="J81" s="154">
        <f>COUNTIFS(缺陷明细!$A$2:$A$50000,$B$4,缺陷明细!$G$2:$G$50000,$C81,缺陷明细!$J$2:$J$50000,"单元测试",缺陷明细!$AB$2:$AB$50000,"&lt;&gt;丢弃",缺陷明细!$AB$2:$AB$50000,"&lt;&gt;设计如此",缺陷明细!$AB$2:$AB$50000,"&lt;&gt;重复Bug")</f>
        <v>0</v>
      </c>
      <c r="K81" s="155">
        <f>COUNTIFS(缺陷明细!$A$2:$A$50000,$B$4,缺陷明细!$G$2:$G$50000,$C81,缺陷明细!$Q$2:$Q$50000,"已关闭",缺陷明细!$J$2:$J$50000,"单元测试")</f>
        <v>0</v>
      </c>
      <c r="L81" s="156"/>
      <c r="M81" s="157"/>
      <c r="N81" s="72">
        <f>COUNTIFS(缺陷明细!$A$2:$A$50000,$B$4,缺陷明细!$G$2:$G$50000,$C81,缺陷明细!$J$2:$J$50000,"系统测试案例评审",缺陷明细!$AB$2:$AB$50000,"&lt;&gt;丢弃",缺陷明细!$AB$2:$AB$50000,"&lt;&gt;设计如此",缺陷明细!$AB$2:$AB$50000,"&lt;&gt;重复Bug")</f>
        <v>0</v>
      </c>
      <c r="O81" s="72">
        <f>COUNTIFS(缺陷明细!$A$2:$A$50000,$B$4,缺陷明细!$G$2:$G$50000,$C81,缺陷明细!$Q$2:$Q$50000,"已关闭",缺陷明细!$J$2:$J$50000,"系统测试案例评审")</f>
        <v>0</v>
      </c>
      <c r="P81" s="72">
        <f>COUNTIFS(缺陷明细!$A$2:$A$50000,$B$4,缺陷明细!$G$2:$G$50000,$C81,缺陷明细!$J$2:$J$50000,"系统测试",缺陷明细!$AB$2:$AB$50000,"&lt;&gt;丢弃",缺陷明细!$AB$2:$AB$50000,"&lt;&gt;设计如此",缺陷明细!$AB$2:$AB$50000,"&lt;&gt;重复Bug")</f>
        <v>0</v>
      </c>
      <c r="Q81" s="72">
        <f>COUNTIFS(缺陷明细!$A$2:$A$50000,$B$4,缺陷明细!$G$2:$G$50000,$C81,缺陷明细!$Q$2:$Q$50000,"已关闭",缺陷明细!$J$2:$J$50000,"系统测试")</f>
        <v>0</v>
      </c>
      <c r="R81" s="296">
        <f>COUNTIFS(缺陷明细!$A$2:$A$50000,$B$4,缺陷明细!$G$2:$G$50000,$C81,缺陷明细!$AB$2:$AB$50000,"丢弃",缺陷明细!$J$2:$J$50000,"系统测试")+COUNTIFS(缺陷明细!$A$2:$A$50000,$B$4,缺陷明细!$G$2:$G$50000,$C81,缺陷明细!$AB$2:$AB$50000,"设计如此",缺陷明细!$J$2:$J$50000,"系统测试")+COUNTIFS(缺陷明细!$A$2:$A$50000,$B$4,缺陷明细!$G$2:$G$50000,$C81,缺陷明细!$AB$2:$AB$50000,"重复Bug",缺陷明细!$J$2:$J$50000,"系统测试")</f>
        <v>0</v>
      </c>
      <c r="S81" s="72">
        <f>COUNTIFS(缺陷明细!$A$2:$A$50000,$B$4,缺陷明细!$G$2:$G$50000,$C81,缺陷明细!$J$2:$J$50000,"系统测试",缺陷明细!$K$2:$K$50000,"致命",缺陷明细!$AB$2:$AB$50000,"&lt;&gt;丢弃",缺陷明细!$AB$2:$AB$50000,"&lt;&gt;设计如此",缺陷明细!$AB$2:$AB$50000,"&lt;&gt;重复Bug")+COUNTIFS(缺陷明细!$A$2:$A$50000,$B$4,缺陷明细!$G$2:$G$50000,$C81,缺陷明细!$J$2:$J$50000,"系统测试",缺陷明细!$K$2:$K$50000,"严重",缺陷明细!$AB$2:$AB$50000,"&lt;&gt;丢弃",缺陷明细!$AB$2:$AB$50000,"&lt;&gt;设计如此",缺陷明细!$AB$2:$AB$50000,"&lt;&gt;重复Bug")</f>
        <v>0</v>
      </c>
      <c r="T81" s="73">
        <f>COUNTIFS(缺陷明细!$A$2:$A$50000,$B$4,缺陷明细!$G$2:$G$50000,$C81,缺陷明细!$Q$2:$Q$50000,"已关闭",缺陷明细!$J$2:$J$50000,"系统测试",缺陷明细!$K$2:$K$50000,"致命")+COUNTIFS(缺陷明细!$A$2:$A$50000,$B$4,缺陷明细!$G$2:$G$50000,$C81,缺陷明细!$Q$2:$Q$50000,"已关闭",缺陷明细!$J$2:$J$50000,"系统测试",缺陷明细!$K$2:$K$50000,"严重")</f>
        <v>0</v>
      </c>
      <c r="U81" s="74">
        <f>COUNTIFS(缺陷明细!$A$2:$A$50000,$B$4,缺陷明细!$G$2:$G$50000,$C81,缺陷明细!$J$2:$J$50000,"验收测试",缺陷明细!$AB$2:$AB$50000,"&lt;&gt;丢弃",缺陷明细!$AB$2:$AB$50000,"&lt;&gt;设计如此",缺陷明细!$AB$2:$AB$50000,"&lt;&gt;重复Bug")</f>
        <v>0</v>
      </c>
      <c r="V81" s="75">
        <f>COUNTIFS(缺陷明细!$A$2:$A$50000,$B$4,缺陷明细!$G$2:$G$50000,$C81,缺陷明细!$Q$2:$Q$50000,"已关闭",缺陷明细!$J$2:$J$50000,"验收测试")</f>
        <v>0</v>
      </c>
      <c r="W81" s="75">
        <f>COUNTIFS(缺陷明细!$A$2:$A$50000,$B$4,缺陷明细!$G$2:$G$50000,$C81,缺陷明细!$J$2:$J$50000,"验收测试",缺陷明细!$K$2:$K$50000,"致命",缺陷明细!$AB$2:$AB$50000,"&lt;&gt;丢弃",缺陷明细!$AB$2:$AB$50000,"&lt;&gt;设计如此",缺陷明细!$AB$2:$AB$50000,"&lt;&gt;重复Bug")+COUNTIFS(缺陷明细!$A$2:$A$50000,$B$4,缺陷明细!$G$2:$G$50000,$C81,缺陷明细!$J$2:$J$50000,"验收测试",缺陷明细!$K$2:$K$50000,"严重",缺陷明细!$AB$2:$AB$50000,"&lt;&gt;丢弃",缺陷明细!$AB$2:$AB$50000,"&lt;&gt;设计如此",缺陷明细!$AB$2:$AB$50000,"&lt;&gt;重复Bug")</f>
        <v>0</v>
      </c>
      <c r="X81" s="76">
        <f>COUNTIFS(缺陷明细!$A$2:$A$50000,$B$4,缺陷明细!$G$2:$G$50000,$C81,缺陷明细!$Q$2:$Q$50000,"已关闭",缺陷明细!$J$2:$J$50000,"验收测试",缺陷明细!$K$2:$K$50000,"致命")+COUNTIFS(缺陷明细!$A$2:$A$50000,$B$4,缺陷明细!$G$2:$G$50000,$C81,缺陷明细!$Q$2:$Q$50000,"已关闭",缺陷明细!$J$2:$J$50000,"验收测试",缺陷明细!$K$2:$K$50000,"严重")</f>
        <v>0</v>
      </c>
      <c r="Y81" s="70">
        <f>COUNTIFS(缺陷明细!$A$2:$A$50000,$B$4,缺陷明细!$G$2:$G$50000,$C81,缺陷明细!$J$2:$J$50000,"运维测试",缺陷明细!$AB$2:$AB$50000,"&lt;&gt;丢弃",缺陷明细!$AB$2:$AB$50000,"&lt;&gt;设计如此",缺陷明细!$AB$2:$AB$50000,"&lt;&gt;重复Bug")</f>
        <v>0</v>
      </c>
      <c r="Z81" s="71">
        <f>COUNTIFS(缺陷明细!$A$2:$A$50000,$B$4,缺陷明细!$G$2:$G$50000,$C81,缺陷明细!$Q$2:$Q$50000,"已关闭",缺陷明细!$J$2:$J$50000,"运维测试")</f>
        <v>0</v>
      </c>
      <c r="AA81" s="72">
        <f>COUNTIFS(缺陷明细!$A$2:$A$50000,$B$4,缺陷明细!$G$2:$G$50000,$C81,缺陷明细!$J$2:$J$50000,"运维测试",缺陷明细!$K$2:$K$50000,"致命",缺陷明细!$AB$2:$AB$50000,"&lt;&gt;丢弃",缺陷明细!$AB$2:$AB$50000,"&lt;&gt;设计如此",缺陷明细!$AB$2:$AB$50000,"&lt;&gt;重复Bug")+COUNTIFS(缺陷明细!$A$2:$A$50000,$B$4,缺陷明细!$G$2:$G$50000,$C81,缺陷明细!$J$2:$J$50000,"运维测试",缺陷明细!$K$2:$K$50000,"严重",缺陷明细!$AB$2:$AB$50000,"&lt;&gt;丢弃",缺陷明细!$AB$2:$AB$50000,"&lt;&gt;设计如此",缺陷明细!$AB$2:$AB$50000,"&lt;&gt;重复Bug")</f>
        <v>0</v>
      </c>
      <c r="AB81" s="73">
        <f>COUNTIFS(缺陷明细!$A$2:$A$50000,$B$4,缺陷明细!$G$2:$G$50000,$C81,缺陷明细!$Q$2:$Q$50000,"已关闭",缺陷明细!$J$2:$J$50000,"运维测试",缺陷明细!$K$2:$K$50000,"致命")+COUNTIFS(缺陷明细!$A$2:$A$50000,$B$4,缺陷明细!$G$2:$G$50000,$C81,缺陷明细!$Q$2:$Q$50000,"已关闭",缺陷明细!$J$2:$J$50000,"运维测试",缺陷明细!$K$2:$K$50000,"严重")</f>
        <v>0</v>
      </c>
      <c r="AC81" s="68">
        <f t="shared" si="4"/>
        <v>0</v>
      </c>
      <c r="AD81" s="60">
        <f t="shared" si="5"/>
        <v>0</v>
      </c>
      <c r="AE81" s="60">
        <f t="shared" si="6"/>
        <v>0</v>
      </c>
      <c r="AF81" s="60">
        <f t="shared" si="7"/>
        <v>0</v>
      </c>
      <c r="AG81" s="60">
        <f t="shared" si="8"/>
        <v>0</v>
      </c>
      <c r="AH81" s="60">
        <f t="shared" si="9"/>
        <v>0</v>
      </c>
      <c r="AI81" s="60">
        <f t="shared" si="10"/>
        <v>0</v>
      </c>
      <c r="AJ81" s="61">
        <f t="shared" si="11"/>
        <v>0</v>
      </c>
      <c r="AK81" s="144"/>
    </row>
    <row r="82" spans="1:37" ht="25.5">
      <c r="A82">
        <v>78</v>
      </c>
      <c r="B82" s="57">
        <v>560</v>
      </c>
      <c r="C82" s="58" t="s">
        <v>423</v>
      </c>
      <c r="D82" s="84" t="s">
        <v>375</v>
      </c>
      <c r="E82" s="82" t="s">
        <v>346</v>
      </c>
      <c r="F82" s="158">
        <v>1</v>
      </c>
      <c r="G82" s="159">
        <v>2</v>
      </c>
      <c r="H82" s="281">
        <f>COUNTIFS(缺陷明细!$A$2:$A$50000,$B$4,缺陷明细!$G$2:$G$50000,$C82,缺陷明细!$J$2:$J$50000,"评审",缺陷明细!$AB$2:$AB$50000,"&lt;&gt;丢弃",缺陷明细!$AB$2:$AB$50000,"&lt;&gt;设计如此",缺陷明细!$AB$2:$AB$50000,"&lt;&gt;重复Bug")</f>
        <v>0</v>
      </c>
      <c r="I82" s="154">
        <f>COUNTIFS(缺陷明细!$A$2:$A$50000,$B$4,缺陷明细!$G$2:$G$50000,$C82,缺陷明细!$Q$2:$Q$50000,"已关闭",缺陷明细!$J$2:$J$50000,"评审")</f>
        <v>0</v>
      </c>
      <c r="J82" s="154">
        <f>COUNTIFS(缺陷明细!$A$2:$A$50000,$B$4,缺陷明细!$G$2:$G$50000,$C82,缺陷明细!$J$2:$J$50000,"单元测试",缺陷明细!$AB$2:$AB$50000,"&lt;&gt;丢弃",缺陷明细!$AB$2:$AB$50000,"&lt;&gt;设计如此",缺陷明细!$AB$2:$AB$50000,"&lt;&gt;重复Bug")</f>
        <v>0</v>
      </c>
      <c r="K82" s="155">
        <f>COUNTIFS(缺陷明细!$A$2:$A$50000,$B$4,缺陷明细!$G$2:$G$50000,$C82,缺陷明细!$Q$2:$Q$50000,"已关闭",缺陷明细!$J$2:$J$50000,"单元测试")</f>
        <v>0</v>
      </c>
      <c r="L82" s="156"/>
      <c r="M82" s="157"/>
      <c r="N82" s="72">
        <f>COUNTIFS(缺陷明细!$A$2:$A$50000,$B$4,缺陷明细!$G$2:$G$50000,$C82,缺陷明细!$J$2:$J$50000,"系统测试案例评审",缺陷明细!$AB$2:$AB$50000,"&lt;&gt;丢弃",缺陷明细!$AB$2:$AB$50000,"&lt;&gt;设计如此",缺陷明细!$AB$2:$AB$50000,"&lt;&gt;重复Bug")</f>
        <v>0</v>
      </c>
      <c r="O82" s="72">
        <f>COUNTIFS(缺陷明细!$A$2:$A$50000,$B$4,缺陷明细!$G$2:$G$50000,$C82,缺陷明细!$Q$2:$Q$50000,"已关闭",缺陷明细!$J$2:$J$50000,"系统测试案例评审")</f>
        <v>0</v>
      </c>
      <c r="P82" s="72">
        <f>COUNTIFS(缺陷明细!$A$2:$A$50000,$B$4,缺陷明细!$G$2:$G$50000,$C82,缺陷明细!$J$2:$J$50000,"系统测试",缺陷明细!$AB$2:$AB$50000,"&lt;&gt;丢弃",缺陷明细!$AB$2:$AB$50000,"&lt;&gt;设计如此",缺陷明细!$AB$2:$AB$50000,"&lt;&gt;重复Bug")</f>
        <v>0</v>
      </c>
      <c r="Q82" s="72">
        <f>COUNTIFS(缺陷明细!$A$2:$A$50000,$B$4,缺陷明细!$G$2:$G$50000,$C82,缺陷明细!$Q$2:$Q$50000,"已关闭",缺陷明细!$J$2:$J$50000,"系统测试")</f>
        <v>0</v>
      </c>
      <c r="R82" s="296">
        <f>COUNTIFS(缺陷明细!$A$2:$A$50000,$B$4,缺陷明细!$G$2:$G$50000,$C82,缺陷明细!$AB$2:$AB$50000,"丢弃",缺陷明细!$J$2:$J$50000,"系统测试")+COUNTIFS(缺陷明细!$A$2:$A$50000,$B$4,缺陷明细!$G$2:$G$50000,$C82,缺陷明细!$AB$2:$AB$50000,"设计如此",缺陷明细!$J$2:$J$50000,"系统测试")+COUNTIFS(缺陷明细!$A$2:$A$50000,$B$4,缺陷明细!$G$2:$G$50000,$C82,缺陷明细!$AB$2:$AB$50000,"重复Bug",缺陷明细!$J$2:$J$50000,"系统测试")</f>
        <v>0</v>
      </c>
      <c r="S82" s="72">
        <f>COUNTIFS(缺陷明细!$A$2:$A$50000,$B$4,缺陷明细!$G$2:$G$50000,$C82,缺陷明细!$J$2:$J$50000,"系统测试",缺陷明细!$K$2:$K$50000,"致命",缺陷明细!$AB$2:$AB$50000,"&lt;&gt;丢弃",缺陷明细!$AB$2:$AB$50000,"&lt;&gt;设计如此",缺陷明细!$AB$2:$AB$50000,"&lt;&gt;重复Bug")+COUNTIFS(缺陷明细!$A$2:$A$50000,$B$4,缺陷明细!$G$2:$G$50000,$C82,缺陷明细!$J$2:$J$50000,"系统测试",缺陷明细!$K$2:$K$50000,"严重",缺陷明细!$AB$2:$AB$50000,"&lt;&gt;丢弃",缺陷明细!$AB$2:$AB$50000,"&lt;&gt;设计如此",缺陷明细!$AB$2:$AB$50000,"&lt;&gt;重复Bug")</f>
        <v>0</v>
      </c>
      <c r="T82" s="73">
        <f>COUNTIFS(缺陷明细!$A$2:$A$50000,$B$4,缺陷明细!$G$2:$G$50000,$C82,缺陷明细!$Q$2:$Q$50000,"已关闭",缺陷明细!$J$2:$J$50000,"系统测试",缺陷明细!$K$2:$K$50000,"致命")+COUNTIFS(缺陷明细!$A$2:$A$50000,$B$4,缺陷明细!$G$2:$G$50000,$C82,缺陷明细!$Q$2:$Q$50000,"已关闭",缺陷明细!$J$2:$J$50000,"系统测试",缺陷明细!$K$2:$K$50000,"严重")</f>
        <v>0</v>
      </c>
      <c r="U82" s="74">
        <f>COUNTIFS(缺陷明细!$A$2:$A$50000,$B$4,缺陷明细!$G$2:$G$50000,$C82,缺陷明细!$J$2:$J$50000,"验收测试",缺陷明细!$AB$2:$AB$50000,"&lt;&gt;丢弃",缺陷明细!$AB$2:$AB$50000,"&lt;&gt;设计如此",缺陷明细!$AB$2:$AB$50000,"&lt;&gt;重复Bug")</f>
        <v>0</v>
      </c>
      <c r="V82" s="75">
        <f>COUNTIFS(缺陷明细!$A$2:$A$50000,$B$4,缺陷明细!$G$2:$G$50000,$C82,缺陷明细!$Q$2:$Q$50000,"已关闭",缺陷明细!$J$2:$J$50000,"验收测试")</f>
        <v>0</v>
      </c>
      <c r="W82" s="75">
        <f>COUNTIFS(缺陷明细!$A$2:$A$50000,$B$4,缺陷明细!$G$2:$G$50000,$C82,缺陷明细!$J$2:$J$50000,"验收测试",缺陷明细!$K$2:$K$50000,"致命",缺陷明细!$AB$2:$AB$50000,"&lt;&gt;丢弃",缺陷明细!$AB$2:$AB$50000,"&lt;&gt;设计如此",缺陷明细!$AB$2:$AB$50000,"&lt;&gt;重复Bug")+COUNTIFS(缺陷明细!$A$2:$A$50000,$B$4,缺陷明细!$G$2:$G$50000,$C82,缺陷明细!$J$2:$J$50000,"验收测试",缺陷明细!$K$2:$K$50000,"严重",缺陷明细!$AB$2:$AB$50000,"&lt;&gt;丢弃",缺陷明细!$AB$2:$AB$50000,"&lt;&gt;设计如此",缺陷明细!$AB$2:$AB$50000,"&lt;&gt;重复Bug")</f>
        <v>0</v>
      </c>
      <c r="X82" s="76">
        <f>COUNTIFS(缺陷明细!$A$2:$A$50000,$B$4,缺陷明细!$G$2:$G$50000,$C82,缺陷明细!$Q$2:$Q$50000,"已关闭",缺陷明细!$J$2:$J$50000,"验收测试",缺陷明细!$K$2:$K$50000,"致命")+COUNTIFS(缺陷明细!$A$2:$A$50000,$B$4,缺陷明细!$G$2:$G$50000,$C82,缺陷明细!$Q$2:$Q$50000,"已关闭",缺陷明细!$J$2:$J$50000,"验收测试",缺陷明细!$K$2:$K$50000,"严重")</f>
        <v>0</v>
      </c>
      <c r="Y82" s="70">
        <f>COUNTIFS(缺陷明细!$A$2:$A$50000,$B$4,缺陷明细!$G$2:$G$50000,$C82,缺陷明细!$J$2:$J$50000,"运维测试",缺陷明细!$AB$2:$AB$50000,"&lt;&gt;丢弃",缺陷明细!$AB$2:$AB$50000,"&lt;&gt;设计如此",缺陷明细!$AB$2:$AB$50000,"&lt;&gt;重复Bug")</f>
        <v>0</v>
      </c>
      <c r="Z82" s="71">
        <f>COUNTIFS(缺陷明细!$A$2:$A$50000,$B$4,缺陷明细!$G$2:$G$50000,$C82,缺陷明细!$Q$2:$Q$50000,"已关闭",缺陷明细!$J$2:$J$50000,"运维测试")</f>
        <v>0</v>
      </c>
      <c r="AA82" s="72">
        <f>COUNTIFS(缺陷明细!$A$2:$A$50000,$B$4,缺陷明细!$G$2:$G$50000,$C82,缺陷明细!$J$2:$J$50000,"运维测试",缺陷明细!$K$2:$K$50000,"致命",缺陷明细!$AB$2:$AB$50000,"&lt;&gt;丢弃",缺陷明细!$AB$2:$AB$50000,"&lt;&gt;设计如此",缺陷明细!$AB$2:$AB$50000,"&lt;&gt;重复Bug")+COUNTIFS(缺陷明细!$A$2:$A$50000,$B$4,缺陷明细!$G$2:$G$50000,$C82,缺陷明细!$J$2:$J$50000,"运维测试",缺陷明细!$K$2:$K$50000,"严重",缺陷明细!$AB$2:$AB$50000,"&lt;&gt;丢弃",缺陷明细!$AB$2:$AB$50000,"&lt;&gt;设计如此",缺陷明细!$AB$2:$AB$50000,"&lt;&gt;重复Bug")</f>
        <v>0</v>
      </c>
      <c r="AB82" s="73">
        <f>COUNTIFS(缺陷明细!$A$2:$A$50000,$B$4,缺陷明细!$G$2:$G$50000,$C82,缺陷明细!$Q$2:$Q$50000,"已关闭",缺陷明细!$J$2:$J$50000,"运维测试",缺陷明细!$K$2:$K$50000,"致命")+COUNTIFS(缺陷明细!$A$2:$A$50000,$B$4,缺陷明细!$G$2:$G$50000,$C82,缺陷明细!$Q$2:$Q$50000,"已关闭",缺陷明细!$J$2:$J$50000,"运维测试",缺陷明细!$K$2:$K$50000,"严重")</f>
        <v>0</v>
      </c>
      <c r="AC82" s="68">
        <f t="shared" si="4"/>
        <v>0</v>
      </c>
      <c r="AD82" s="60">
        <f t="shared" si="5"/>
        <v>0</v>
      </c>
      <c r="AE82" s="60">
        <f t="shared" si="6"/>
        <v>0</v>
      </c>
      <c r="AF82" s="60">
        <f t="shared" si="7"/>
        <v>0</v>
      </c>
      <c r="AG82" s="60">
        <f t="shared" si="8"/>
        <v>0</v>
      </c>
      <c r="AH82" s="60">
        <f t="shared" si="9"/>
        <v>0</v>
      </c>
      <c r="AI82" s="60">
        <f t="shared" si="10"/>
        <v>0</v>
      </c>
      <c r="AJ82" s="61">
        <f t="shared" si="11"/>
        <v>0</v>
      </c>
      <c r="AK82" s="144"/>
    </row>
    <row r="83" spans="1:37" ht="25.5">
      <c r="A83">
        <v>79</v>
      </c>
      <c r="B83" s="57">
        <v>561</v>
      </c>
      <c r="C83" s="58" t="s">
        <v>424</v>
      </c>
      <c r="D83" s="84" t="s">
        <v>343</v>
      </c>
      <c r="E83" s="82" t="s">
        <v>346</v>
      </c>
      <c r="F83" s="158">
        <v>8</v>
      </c>
      <c r="G83" s="159">
        <v>16</v>
      </c>
      <c r="H83" s="281">
        <f>COUNTIFS(缺陷明细!$A$2:$A$50000,$B$4,缺陷明细!$G$2:$G$50000,$C83,缺陷明细!$J$2:$J$50000,"评审",缺陷明细!$AB$2:$AB$50000,"&lt;&gt;丢弃",缺陷明细!$AB$2:$AB$50000,"&lt;&gt;设计如此",缺陷明细!$AB$2:$AB$50000,"&lt;&gt;重复Bug")</f>
        <v>0</v>
      </c>
      <c r="I83" s="154">
        <f>COUNTIFS(缺陷明细!$A$2:$A$50000,$B$4,缺陷明细!$G$2:$G$50000,$C83,缺陷明细!$Q$2:$Q$50000,"已关闭",缺陷明细!$J$2:$J$50000,"评审")</f>
        <v>0</v>
      </c>
      <c r="J83" s="154">
        <f>COUNTIFS(缺陷明细!$A$2:$A$50000,$B$4,缺陷明细!$G$2:$G$50000,$C83,缺陷明细!$J$2:$J$50000,"单元测试",缺陷明细!$AB$2:$AB$50000,"&lt;&gt;丢弃",缺陷明细!$AB$2:$AB$50000,"&lt;&gt;设计如此",缺陷明细!$AB$2:$AB$50000,"&lt;&gt;重复Bug")</f>
        <v>0</v>
      </c>
      <c r="K83" s="155">
        <f>COUNTIFS(缺陷明细!$A$2:$A$50000,$B$4,缺陷明细!$G$2:$G$50000,$C83,缺陷明细!$Q$2:$Q$50000,"已关闭",缺陷明细!$J$2:$J$50000,"单元测试")</f>
        <v>0</v>
      </c>
      <c r="L83" s="156"/>
      <c r="M83" s="157"/>
      <c r="N83" s="72">
        <f>COUNTIFS(缺陷明细!$A$2:$A$50000,$B$4,缺陷明细!$G$2:$G$50000,$C83,缺陷明细!$J$2:$J$50000,"系统测试案例评审",缺陷明细!$AB$2:$AB$50000,"&lt;&gt;丢弃",缺陷明细!$AB$2:$AB$50000,"&lt;&gt;设计如此",缺陷明细!$AB$2:$AB$50000,"&lt;&gt;重复Bug")</f>
        <v>0</v>
      </c>
      <c r="O83" s="72">
        <f>COUNTIFS(缺陷明细!$A$2:$A$50000,$B$4,缺陷明细!$G$2:$G$50000,$C83,缺陷明细!$Q$2:$Q$50000,"已关闭",缺陷明细!$J$2:$J$50000,"系统测试案例评审")</f>
        <v>0</v>
      </c>
      <c r="P83" s="72">
        <f>COUNTIFS(缺陷明细!$A$2:$A$50000,$B$4,缺陷明细!$G$2:$G$50000,$C83,缺陷明细!$J$2:$J$50000,"系统测试",缺陷明细!$AB$2:$AB$50000,"&lt;&gt;丢弃",缺陷明细!$AB$2:$AB$50000,"&lt;&gt;设计如此",缺陷明细!$AB$2:$AB$50000,"&lt;&gt;重复Bug")</f>
        <v>0</v>
      </c>
      <c r="Q83" s="72">
        <f>COUNTIFS(缺陷明细!$A$2:$A$50000,$B$4,缺陷明细!$G$2:$G$50000,$C83,缺陷明细!$Q$2:$Q$50000,"已关闭",缺陷明细!$J$2:$J$50000,"系统测试")</f>
        <v>0</v>
      </c>
      <c r="R83" s="296">
        <f>COUNTIFS(缺陷明细!$A$2:$A$50000,$B$4,缺陷明细!$G$2:$G$50000,$C83,缺陷明细!$AB$2:$AB$50000,"丢弃",缺陷明细!$J$2:$J$50000,"系统测试")+COUNTIFS(缺陷明细!$A$2:$A$50000,$B$4,缺陷明细!$G$2:$G$50000,$C83,缺陷明细!$AB$2:$AB$50000,"设计如此",缺陷明细!$J$2:$J$50000,"系统测试")+COUNTIFS(缺陷明细!$A$2:$A$50000,$B$4,缺陷明细!$G$2:$G$50000,$C83,缺陷明细!$AB$2:$AB$50000,"重复Bug",缺陷明细!$J$2:$J$50000,"系统测试")</f>
        <v>0</v>
      </c>
      <c r="S83" s="72">
        <f>COUNTIFS(缺陷明细!$A$2:$A$50000,$B$4,缺陷明细!$G$2:$G$50000,$C83,缺陷明细!$J$2:$J$50000,"系统测试",缺陷明细!$K$2:$K$50000,"致命",缺陷明细!$AB$2:$AB$50000,"&lt;&gt;丢弃",缺陷明细!$AB$2:$AB$50000,"&lt;&gt;设计如此",缺陷明细!$AB$2:$AB$50000,"&lt;&gt;重复Bug")+COUNTIFS(缺陷明细!$A$2:$A$50000,$B$4,缺陷明细!$G$2:$G$50000,$C83,缺陷明细!$J$2:$J$50000,"系统测试",缺陷明细!$K$2:$K$50000,"严重",缺陷明细!$AB$2:$AB$50000,"&lt;&gt;丢弃",缺陷明细!$AB$2:$AB$50000,"&lt;&gt;设计如此",缺陷明细!$AB$2:$AB$50000,"&lt;&gt;重复Bug")</f>
        <v>0</v>
      </c>
      <c r="T83" s="73">
        <f>COUNTIFS(缺陷明细!$A$2:$A$50000,$B$4,缺陷明细!$G$2:$G$50000,$C83,缺陷明细!$Q$2:$Q$50000,"已关闭",缺陷明细!$J$2:$J$50000,"系统测试",缺陷明细!$K$2:$K$50000,"致命")+COUNTIFS(缺陷明细!$A$2:$A$50000,$B$4,缺陷明细!$G$2:$G$50000,$C83,缺陷明细!$Q$2:$Q$50000,"已关闭",缺陷明细!$J$2:$J$50000,"系统测试",缺陷明细!$K$2:$K$50000,"严重")</f>
        <v>0</v>
      </c>
      <c r="U83" s="74">
        <f>COUNTIFS(缺陷明细!$A$2:$A$50000,$B$4,缺陷明细!$G$2:$G$50000,$C83,缺陷明细!$J$2:$J$50000,"验收测试",缺陷明细!$AB$2:$AB$50000,"&lt;&gt;丢弃",缺陷明细!$AB$2:$AB$50000,"&lt;&gt;设计如此",缺陷明细!$AB$2:$AB$50000,"&lt;&gt;重复Bug")</f>
        <v>0</v>
      </c>
      <c r="V83" s="75">
        <f>COUNTIFS(缺陷明细!$A$2:$A$50000,$B$4,缺陷明细!$G$2:$G$50000,$C83,缺陷明细!$Q$2:$Q$50000,"已关闭",缺陷明细!$J$2:$J$50000,"验收测试")</f>
        <v>0</v>
      </c>
      <c r="W83" s="75">
        <f>COUNTIFS(缺陷明细!$A$2:$A$50000,$B$4,缺陷明细!$G$2:$G$50000,$C83,缺陷明细!$J$2:$J$50000,"验收测试",缺陷明细!$K$2:$K$50000,"致命",缺陷明细!$AB$2:$AB$50000,"&lt;&gt;丢弃",缺陷明细!$AB$2:$AB$50000,"&lt;&gt;设计如此",缺陷明细!$AB$2:$AB$50000,"&lt;&gt;重复Bug")+COUNTIFS(缺陷明细!$A$2:$A$50000,$B$4,缺陷明细!$G$2:$G$50000,$C83,缺陷明细!$J$2:$J$50000,"验收测试",缺陷明细!$K$2:$K$50000,"严重",缺陷明细!$AB$2:$AB$50000,"&lt;&gt;丢弃",缺陷明细!$AB$2:$AB$50000,"&lt;&gt;设计如此",缺陷明细!$AB$2:$AB$50000,"&lt;&gt;重复Bug")</f>
        <v>0</v>
      </c>
      <c r="X83" s="76">
        <f>COUNTIFS(缺陷明细!$A$2:$A$50000,$B$4,缺陷明细!$G$2:$G$50000,$C83,缺陷明细!$Q$2:$Q$50000,"已关闭",缺陷明细!$J$2:$J$50000,"验收测试",缺陷明细!$K$2:$K$50000,"致命")+COUNTIFS(缺陷明细!$A$2:$A$50000,$B$4,缺陷明细!$G$2:$G$50000,$C83,缺陷明细!$Q$2:$Q$50000,"已关闭",缺陷明细!$J$2:$J$50000,"验收测试",缺陷明细!$K$2:$K$50000,"严重")</f>
        <v>0</v>
      </c>
      <c r="Y83" s="70">
        <f>COUNTIFS(缺陷明细!$A$2:$A$50000,$B$4,缺陷明细!$G$2:$G$50000,$C83,缺陷明细!$J$2:$J$50000,"运维测试",缺陷明细!$AB$2:$AB$50000,"&lt;&gt;丢弃",缺陷明细!$AB$2:$AB$50000,"&lt;&gt;设计如此",缺陷明细!$AB$2:$AB$50000,"&lt;&gt;重复Bug")</f>
        <v>0</v>
      </c>
      <c r="Z83" s="71">
        <f>COUNTIFS(缺陷明细!$A$2:$A$50000,$B$4,缺陷明细!$G$2:$G$50000,$C83,缺陷明细!$Q$2:$Q$50000,"已关闭",缺陷明细!$J$2:$J$50000,"运维测试")</f>
        <v>0</v>
      </c>
      <c r="AA83" s="72">
        <f>COUNTIFS(缺陷明细!$A$2:$A$50000,$B$4,缺陷明细!$G$2:$G$50000,$C83,缺陷明细!$J$2:$J$50000,"运维测试",缺陷明细!$K$2:$K$50000,"致命",缺陷明细!$AB$2:$AB$50000,"&lt;&gt;丢弃",缺陷明细!$AB$2:$AB$50000,"&lt;&gt;设计如此",缺陷明细!$AB$2:$AB$50000,"&lt;&gt;重复Bug")+COUNTIFS(缺陷明细!$A$2:$A$50000,$B$4,缺陷明细!$G$2:$G$50000,$C83,缺陷明细!$J$2:$J$50000,"运维测试",缺陷明细!$K$2:$K$50000,"严重",缺陷明细!$AB$2:$AB$50000,"&lt;&gt;丢弃",缺陷明细!$AB$2:$AB$50000,"&lt;&gt;设计如此",缺陷明细!$AB$2:$AB$50000,"&lt;&gt;重复Bug")</f>
        <v>0</v>
      </c>
      <c r="AB83" s="73">
        <f>COUNTIFS(缺陷明细!$A$2:$A$50000,$B$4,缺陷明细!$G$2:$G$50000,$C83,缺陷明细!$Q$2:$Q$50000,"已关闭",缺陷明细!$J$2:$J$50000,"运维测试",缺陷明细!$K$2:$K$50000,"致命")+COUNTIFS(缺陷明细!$A$2:$A$50000,$B$4,缺陷明细!$G$2:$G$50000,$C83,缺陷明细!$Q$2:$Q$50000,"已关闭",缺陷明细!$J$2:$J$50000,"运维测试",缺陷明细!$K$2:$K$50000,"严重")</f>
        <v>0</v>
      </c>
      <c r="AC83" s="68">
        <f t="shared" si="4"/>
        <v>0</v>
      </c>
      <c r="AD83" s="60">
        <f t="shared" si="5"/>
        <v>0</v>
      </c>
      <c r="AE83" s="60">
        <f t="shared" si="6"/>
        <v>0</v>
      </c>
      <c r="AF83" s="60">
        <f t="shared" si="7"/>
        <v>0</v>
      </c>
      <c r="AG83" s="60">
        <f t="shared" si="8"/>
        <v>0</v>
      </c>
      <c r="AH83" s="60">
        <f t="shared" si="9"/>
        <v>0</v>
      </c>
      <c r="AI83" s="60">
        <f t="shared" si="10"/>
        <v>0</v>
      </c>
      <c r="AJ83" s="61">
        <f t="shared" si="11"/>
        <v>0</v>
      </c>
      <c r="AK83" s="144"/>
    </row>
    <row r="84" spans="1:37" ht="25.5">
      <c r="A84">
        <v>80</v>
      </c>
      <c r="B84" s="57">
        <v>562</v>
      </c>
      <c r="C84" s="58" t="s">
        <v>425</v>
      </c>
      <c r="D84" s="84" t="s">
        <v>343</v>
      </c>
      <c r="E84" s="82" t="s">
        <v>346</v>
      </c>
      <c r="F84" s="158">
        <v>1</v>
      </c>
      <c r="G84" s="159">
        <v>1</v>
      </c>
      <c r="H84" s="281">
        <f>COUNTIFS(缺陷明细!$A$2:$A$50000,$B$4,缺陷明细!$G$2:$G$50000,$C84,缺陷明细!$J$2:$J$50000,"评审",缺陷明细!$AB$2:$AB$50000,"&lt;&gt;丢弃",缺陷明细!$AB$2:$AB$50000,"&lt;&gt;设计如此",缺陷明细!$AB$2:$AB$50000,"&lt;&gt;重复Bug")</f>
        <v>0</v>
      </c>
      <c r="I84" s="154">
        <f>COUNTIFS(缺陷明细!$A$2:$A$50000,$B$4,缺陷明细!$G$2:$G$50000,$C84,缺陷明细!$Q$2:$Q$50000,"已关闭",缺陷明细!$J$2:$J$50000,"评审")</f>
        <v>0</v>
      </c>
      <c r="J84" s="154">
        <f>COUNTIFS(缺陷明细!$A$2:$A$50000,$B$4,缺陷明细!$G$2:$G$50000,$C84,缺陷明细!$J$2:$J$50000,"单元测试",缺陷明细!$AB$2:$AB$50000,"&lt;&gt;丢弃",缺陷明细!$AB$2:$AB$50000,"&lt;&gt;设计如此",缺陷明细!$AB$2:$AB$50000,"&lt;&gt;重复Bug")</f>
        <v>0</v>
      </c>
      <c r="K84" s="155">
        <f>COUNTIFS(缺陷明细!$A$2:$A$50000,$B$4,缺陷明细!$G$2:$G$50000,$C84,缺陷明细!$Q$2:$Q$50000,"已关闭",缺陷明细!$J$2:$J$50000,"单元测试")</f>
        <v>0</v>
      </c>
      <c r="L84" s="156"/>
      <c r="M84" s="157"/>
      <c r="N84" s="72">
        <f>COUNTIFS(缺陷明细!$A$2:$A$50000,$B$4,缺陷明细!$G$2:$G$50000,$C84,缺陷明细!$J$2:$J$50000,"系统测试案例评审",缺陷明细!$AB$2:$AB$50000,"&lt;&gt;丢弃",缺陷明细!$AB$2:$AB$50000,"&lt;&gt;设计如此",缺陷明细!$AB$2:$AB$50000,"&lt;&gt;重复Bug")</f>
        <v>0</v>
      </c>
      <c r="O84" s="72">
        <f>COUNTIFS(缺陷明细!$A$2:$A$50000,$B$4,缺陷明细!$G$2:$G$50000,$C84,缺陷明细!$Q$2:$Q$50000,"已关闭",缺陷明细!$J$2:$J$50000,"系统测试案例评审")</f>
        <v>0</v>
      </c>
      <c r="P84" s="72">
        <f>COUNTIFS(缺陷明细!$A$2:$A$50000,$B$4,缺陷明细!$G$2:$G$50000,$C84,缺陷明细!$J$2:$J$50000,"系统测试",缺陷明细!$AB$2:$AB$50000,"&lt;&gt;丢弃",缺陷明细!$AB$2:$AB$50000,"&lt;&gt;设计如此",缺陷明细!$AB$2:$AB$50000,"&lt;&gt;重复Bug")</f>
        <v>0</v>
      </c>
      <c r="Q84" s="72">
        <f>COUNTIFS(缺陷明细!$A$2:$A$50000,$B$4,缺陷明细!$G$2:$G$50000,$C84,缺陷明细!$Q$2:$Q$50000,"已关闭",缺陷明细!$J$2:$J$50000,"系统测试")</f>
        <v>0</v>
      </c>
      <c r="R84" s="296">
        <f>COUNTIFS(缺陷明细!$A$2:$A$50000,$B$4,缺陷明细!$G$2:$G$50000,$C84,缺陷明细!$AB$2:$AB$50000,"丢弃",缺陷明细!$J$2:$J$50000,"系统测试")+COUNTIFS(缺陷明细!$A$2:$A$50000,$B$4,缺陷明细!$G$2:$G$50000,$C84,缺陷明细!$AB$2:$AB$50000,"设计如此",缺陷明细!$J$2:$J$50000,"系统测试")+COUNTIFS(缺陷明细!$A$2:$A$50000,$B$4,缺陷明细!$G$2:$G$50000,$C84,缺陷明细!$AB$2:$AB$50000,"重复Bug",缺陷明细!$J$2:$J$50000,"系统测试")</f>
        <v>0</v>
      </c>
      <c r="S84" s="72">
        <f>COUNTIFS(缺陷明细!$A$2:$A$50000,$B$4,缺陷明细!$G$2:$G$50000,$C84,缺陷明细!$J$2:$J$50000,"系统测试",缺陷明细!$K$2:$K$50000,"致命",缺陷明细!$AB$2:$AB$50000,"&lt;&gt;丢弃",缺陷明细!$AB$2:$AB$50000,"&lt;&gt;设计如此",缺陷明细!$AB$2:$AB$50000,"&lt;&gt;重复Bug")+COUNTIFS(缺陷明细!$A$2:$A$50000,$B$4,缺陷明细!$G$2:$G$50000,$C84,缺陷明细!$J$2:$J$50000,"系统测试",缺陷明细!$K$2:$K$50000,"严重",缺陷明细!$AB$2:$AB$50000,"&lt;&gt;丢弃",缺陷明细!$AB$2:$AB$50000,"&lt;&gt;设计如此",缺陷明细!$AB$2:$AB$50000,"&lt;&gt;重复Bug")</f>
        <v>0</v>
      </c>
      <c r="T84" s="73">
        <f>COUNTIFS(缺陷明细!$A$2:$A$50000,$B$4,缺陷明细!$G$2:$G$50000,$C84,缺陷明细!$Q$2:$Q$50000,"已关闭",缺陷明细!$J$2:$J$50000,"系统测试",缺陷明细!$K$2:$K$50000,"致命")+COUNTIFS(缺陷明细!$A$2:$A$50000,$B$4,缺陷明细!$G$2:$G$50000,$C84,缺陷明细!$Q$2:$Q$50000,"已关闭",缺陷明细!$J$2:$J$50000,"系统测试",缺陷明细!$K$2:$K$50000,"严重")</f>
        <v>0</v>
      </c>
      <c r="U84" s="74">
        <f>COUNTIFS(缺陷明细!$A$2:$A$50000,$B$4,缺陷明细!$G$2:$G$50000,$C84,缺陷明细!$J$2:$J$50000,"验收测试",缺陷明细!$AB$2:$AB$50000,"&lt;&gt;丢弃",缺陷明细!$AB$2:$AB$50000,"&lt;&gt;设计如此",缺陷明细!$AB$2:$AB$50000,"&lt;&gt;重复Bug")</f>
        <v>0</v>
      </c>
      <c r="V84" s="75">
        <f>COUNTIFS(缺陷明细!$A$2:$A$50000,$B$4,缺陷明细!$G$2:$G$50000,$C84,缺陷明细!$Q$2:$Q$50000,"已关闭",缺陷明细!$J$2:$J$50000,"验收测试")</f>
        <v>0</v>
      </c>
      <c r="W84" s="75">
        <f>COUNTIFS(缺陷明细!$A$2:$A$50000,$B$4,缺陷明细!$G$2:$G$50000,$C84,缺陷明细!$J$2:$J$50000,"验收测试",缺陷明细!$K$2:$K$50000,"致命",缺陷明细!$AB$2:$AB$50000,"&lt;&gt;丢弃",缺陷明细!$AB$2:$AB$50000,"&lt;&gt;设计如此",缺陷明细!$AB$2:$AB$50000,"&lt;&gt;重复Bug")+COUNTIFS(缺陷明细!$A$2:$A$50000,$B$4,缺陷明细!$G$2:$G$50000,$C84,缺陷明细!$J$2:$J$50000,"验收测试",缺陷明细!$K$2:$K$50000,"严重",缺陷明细!$AB$2:$AB$50000,"&lt;&gt;丢弃",缺陷明细!$AB$2:$AB$50000,"&lt;&gt;设计如此",缺陷明细!$AB$2:$AB$50000,"&lt;&gt;重复Bug")</f>
        <v>0</v>
      </c>
      <c r="X84" s="76">
        <f>COUNTIFS(缺陷明细!$A$2:$A$50000,$B$4,缺陷明细!$G$2:$G$50000,$C84,缺陷明细!$Q$2:$Q$50000,"已关闭",缺陷明细!$J$2:$J$50000,"验收测试",缺陷明细!$K$2:$K$50000,"致命")+COUNTIFS(缺陷明细!$A$2:$A$50000,$B$4,缺陷明细!$G$2:$G$50000,$C84,缺陷明细!$Q$2:$Q$50000,"已关闭",缺陷明细!$J$2:$J$50000,"验收测试",缺陷明细!$K$2:$K$50000,"严重")</f>
        <v>0</v>
      </c>
      <c r="Y84" s="70">
        <f>COUNTIFS(缺陷明细!$A$2:$A$50000,$B$4,缺陷明细!$G$2:$G$50000,$C84,缺陷明细!$J$2:$J$50000,"运维测试",缺陷明细!$AB$2:$AB$50000,"&lt;&gt;丢弃",缺陷明细!$AB$2:$AB$50000,"&lt;&gt;设计如此",缺陷明细!$AB$2:$AB$50000,"&lt;&gt;重复Bug")</f>
        <v>0</v>
      </c>
      <c r="Z84" s="71">
        <f>COUNTIFS(缺陷明细!$A$2:$A$50000,$B$4,缺陷明细!$G$2:$G$50000,$C84,缺陷明细!$Q$2:$Q$50000,"已关闭",缺陷明细!$J$2:$J$50000,"运维测试")</f>
        <v>0</v>
      </c>
      <c r="AA84" s="72">
        <f>COUNTIFS(缺陷明细!$A$2:$A$50000,$B$4,缺陷明细!$G$2:$G$50000,$C84,缺陷明细!$J$2:$J$50000,"运维测试",缺陷明细!$K$2:$K$50000,"致命",缺陷明细!$AB$2:$AB$50000,"&lt;&gt;丢弃",缺陷明细!$AB$2:$AB$50000,"&lt;&gt;设计如此",缺陷明细!$AB$2:$AB$50000,"&lt;&gt;重复Bug")+COUNTIFS(缺陷明细!$A$2:$A$50000,$B$4,缺陷明细!$G$2:$G$50000,$C84,缺陷明细!$J$2:$J$50000,"运维测试",缺陷明细!$K$2:$K$50000,"严重",缺陷明细!$AB$2:$AB$50000,"&lt;&gt;丢弃",缺陷明细!$AB$2:$AB$50000,"&lt;&gt;设计如此",缺陷明细!$AB$2:$AB$50000,"&lt;&gt;重复Bug")</f>
        <v>0</v>
      </c>
      <c r="AB84" s="73">
        <f>COUNTIFS(缺陷明细!$A$2:$A$50000,$B$4,缺陷明细!$G$2:$G$50000,$C84,缺陷明细!$Q$2:$Q$50000,"已关闭",缺陷明细!$J$2:$J$50000,"运维测试",缺陷明细!$K$2:$K$50000,"致命")+COUNTIFS(缺陷明细!$A$2:$A$50000,$B$4,缺陷明细!$G$2:$G$50000,$C84,缺陷明细!$Q$2:$Q$50000,"已关闭",缺陷明细!$J$2:$J$50000,"运维测试",缺陷明细!$K$2:$K$50000,"严重")</f>
        <v>0</v>
      </c>
      <c r="AC84" s="68">
        <f t="shared" si="4"/>
        <v>0</v>
      </c>
      <c r="AD84" s="60">
        <f t="shared" si="5"/>
        <v>0</v>
      </c>
      <c r="AE84" s="60">
        <f t="shared" si="6"/>
        <v>0</v>
      </c>
      <c r="AF84" s="60">
        <f t="shared" si="7"/>
        <v>0</v>
      </c>
      <c r="AG84" s="60">
        <f t="shared" si="8"/>
        <v>0</v>
      </c>
      <c r="AH84" s="60">
        <f t="shared" si="9"/>
        <v>0</v>
      </c>
      <c r="AI84" s="60">
        <f t="shared" si="10"/>
        <v>0</v>
      </c>
      <c r="AJ84" s="61">
        <f t="shared" si="11"/>
        <v>0</v>
      </c>
      <c r="AK84" s="144"/>
    </row>
    <row r="85" spans="1:37" ht="25.5">
      <c r="A85">
        <v>81</v>
      </c>
      <c r="B85" s="57">
        <v>564</v>
      </c>
      <c r="C85" s="58" t="s">
        <v>426</v>
      </c>
      <c r="D85" s="84" t="s">
        <v>343</v>
      </c>
      <c r="E85" s="82" t="s">
        <v>346</v>
      </c>
      <c r="F85" s="158">
        <v>0.5</v>
      </c>
      <c r="G85" s="159">
        <v>1.5</v>
      </c>
      <c r="H85" s="281">
        <f>COUNTIFS(缺陷明细!$A$2:$A$50000,$B$4,缺陷明细!$G$2:$G$50000,$C85,缺陷明细!$J$2:$J$50000,"评审",缺陷明细!$AB$2:$AB$50000,"&lt;&gt;丢弃",缺陷明细!$AB$2:$AB$50000,"&lt;&gt;设计如此",缺陷明细!$AB$2:$AB$50000,"&lt;&gt;重复Bug")</f>
        <v>0</v>
      </c>
      <c r="I85" s="154">
        <f>COUNTIFS(缺陷明细!$A$2:$A$50000,$B$4,缺陷明细!$G$2:$G$50000,$C85,缺陷明细!$Q$2:$Q$50000,"已关闭",缺陷明细!$J$2:$J$50000,"评审")</f>
        <v>0</v>
      </c>
      <c r="J85" s="154">
        <f>COUNTIFS(缺陷明细!$A$2:$A$50000,$B$4,缺陷明细!$G$2:$G$50000,$C85,缺陷明细!$J$2:$J$50000,"单元测试",缺陷明细!$AB$2:$AB$50000,"&lt;&gt;丢弃",缺陷明细!$AB$2:$AB$50000,"&lt;&gt;设计如此",缺陷明细!$AB$2:$AB$50000,"&lt;&gt;重复Bug")</f>
        <v>0</v>
      </c>
      <c r="K85" s="155">
        <f>COUNTIFS(缺陷明细!$A$2:$A$50000,$B$4,缺陷明细!$G$2:$G$50000,$C85,缺陷明细!$Q$2:$Q$50000,"已关闭",缺陷明细!$J$2:$J$50000,"单元测试")</f>
        <v>0</v>
      </c>
      <c r="L85" s="156"/>
      <c r="M85" s="157"/>
      <c r="N85" s="72">
        <f>COUNTIFS(缺陷明细!$A$2:$A$50000,$B$4,缺陷明细!$G$2:$G$50000,$C85,缺陷明细!$J$2:$J$50000,"系统测试案例评审",缺陷明细!$AB$2:$AB$50000,"&lt;&gt;丢弃",缺陷明细!$AB$2:$AB$50000,"&lt;&gt;设计如此",缺陷明细!$AB$2:$AB$50000,"&lt;&gt;重复Bug")</f>
        <v>0</v>
      </c>
      <c r="O85" s="72">
        <f>COUNTIFS(缺陷明细!$A$2:$A$50000,$B$4,缺陷明细!$G$2:$G$50000,$C85,缺陷明细!$Q$2:$Q$50000,"已关闭",缺陷明细!$J$2:$J$50000,"系统测试案例评审")</f>
        <v>0</v>
      </c>
      <c r="P85" s="72">
        <f>COUNTIFS(缺陷明细!$A$2:$A$50000,$B$4,缺陷明细!$G$2:$G$50000,$C85,缺陷明细!$J$2:$J$50000,"系统测试",缺陷明细!$AB$2:$AB$50000,"&lt;&gt;丢弃",缺陷明细!$AB$2:$AB$50000,"&lt;&gt;设计如此",缺陷明细!$AB$2:$AB$50000,"&lt;&gt;重复Bug")</f>
        <v>0</v>
      </c>
      <c r="Q85" s="72">
        <f>COUNTIFS(缺陷明细!$A$2:$A$50000,$B$4,缺陷明细!$G$2:$G$50000,$C85,缺陷明细!$Q$2:$Q$50000,"已关闭",缺陷明细!$J$2:$J$50000,"系统测试")</f>
        <v>0</v>
      </c>
      <c r="R85" s="296">
        <f>COUNTIFS(缺陷明细!$A$2:$A$50000,$B$4,缺陷明细!$G$2:$G$50000,$C85,缺陷明细!$AB$2:$AB$50000,"丢弃",缺陷明细!$J$2:$J$50000,"系统测试")+COUNTIFS(缺陷明细!$A$2:$A$50000,$B$4,缺陷明细!$G$2:$G$50000,$C85,缺陷明细!$AB$2:$AB$50000,"设计如此",缺陷明细!$J$2:$J$50000,"系统测试")+COUNTIFS(缺陷明细!$A$2:$A$50000,$B$4,缺陷明细!$G$2:$G$50000,$C85,缺陷明细!$AB$2:$AB$50000,"重复Bug",缺陷明细!$J$2:$J$50000,"系统测试")</f>
        <v>0</v>
      </c>
      <c r="S85" s="72">
        <f>COUNTIFS(缺陷明细!$A$2:$A$50000,$B$4,缺陷明细!$G$2:$G$50000,$C85,缺陷明细!$J$2:$J$50000,"系统测试",缺陷明细!$K$2:$K$50000,"致命",缺陷明细!$AB$2:$AB$50000,"&lt;&gt;丢弃",缺陷明细!$AB$2:$AB$50000,"&lt;&gt;设计如此",缺陷明细!$AB$2:$AB$50000,"&lt;&gt;重复Bug")+COUNTIFS(缺陷明细!$A$2:$A$50000,$B$4,缺陷明细!$G$2:$G$50000,$C85,缺陷明细!$J$2:$J$50000,"系统测试",缺陷明细!$K$2:$K$50000,"严重",缺陷明细!$AB$2:$AB$50000,"&lt;&gt;丢弃",缺陷明细!$AB$2:$AB$50000,"&lt;&gt;设计如此",缺陷明细!$AB$2:$AB$50000,"&lt;&gt;重复Bug")</f>
        <v>0</v>
      </c>
      <c r="T85" s="73">
        <f>COUNTIFS(缺陷明细!$A$2:$A$50000,$B$4,缺陷明细!$G$2:$G$50000,$C85,缺陷明细!$Q$2:$Q$50000,"已关闭",缺陷明细!$J$2:$J$50000,"系统测试",缺陷明细!$K$2:$K$50000,"致命")+COUNTIFS(缺陷明细!$A$2:$A$50000,$B$4,缺陷明细!$G$2:$G$50000,$C85,缺陷明细!$Q$2:$Q$50000,"已关闭",缺陷明细!$J$2:$J$50000,"系统测试",缺陷明细!$K$2:$K$50000,"严重")</f>
        <v>0</v>
      </c>
      <c r="U85" s="74">
        <f>COUNTIFS(缺陷明细!$A$2:$A$50000,$B$4,缺陷明细!$G$2:$G$50000,$C85,缺陷明细!$J$2:$J$50000,"验收测试",缺陷明细!$AB$2:$AB$50000,"&lt;&gt;丢弃",缺陷明细!$AB$2:$AB$50000,"&lt;&gt;设计如此",缺陷明细!$AB$2:$AB$50000,"&lt;&gt;重复Bug")</f>
        <v>0</v>
      </c>
      <c r="V85" s="75">
        <f>COUNTIFS(缺陷明细!$A$2:$A$50000,$B$4,缺陷明细!$G$2:$G$50000,$C85,缺陷明细!$Q$2:$Q$50000,"已关闭",缺陷明细!$J$2:$J$50000,"验收测试")</f>
        <v>0</v>
      </c>
      <c r="W85" s="75">
        <f>COUNTIFS(缺陷明细!$A$2:$A$50000,$B$4,缺陷明细!$G$2:$G$50000,$C85,缺陷明细!$J$2:$J$50000,"验收测试",缺陷明细!$K$2:$K$50000,"致命",缺陷明细!$AB$2:$AB$50000,"&lt;&gt;丢弃",缺陷明细!$AB$2:$AB$50000,"&lt;&gt;设计如此",缺陷明细!$AB$2:$AB$50000,"&lt;&gt;重复Bug")+COUNTIFS(缺陷明细!$A$2:$A$50000,$B$4,缺陷明细!$G$2:$G$50000,$C85,缺陷明细!$J$2:$J$50000,"验收测试",缺陷明细!$K$2:$K$50000,"严重",缺陷明细!$AB$2:$AB$50000,"&lt;&gt;丢弃",缺陷明细!$AB$2:$AB$50000,"&lt;&gt;设计如此",缺陷明细!$AB$2:$AB$50000,"&lt;&gt;重复Bug")</f>
        <v>0</v>
      </c>
      <c r="X85" s="76">
        <f>COUNTIFS(缺陷明细!$A$2:$A$50000,$B$4,缺陷明细!$G$2:$G$50000,$C85,缺陷明细!$Q$2:$Q$50000,"已关闭",缺陷明细!$J$2:$J$50000,"验收测试",缺陷明细!$K$2:$K$50000,"致命")+COUNTIFS(缺陷明细!$A$2:$A$50000,$B$4,缺陷明细!$G$2:$G$50000,$C85,缺陷明细!$Q$2:$Q$50000,"已关闭",缺陷明细!$J$2:$J$50000,"验收测试",缺陷明细!$K$2:$K$50000,"严重")</f>
        <v>0</v>
      </c>
      <c r="Y85" s="70">
        <f>COUNTIFS(缺陷明细!$A$2:$A$50000,$B$4,缺陷明细!$G$2:$G$50000,$C85,缺陷明细!$J$2:$J$50000,"运维测试",缺陷明细!$AB$2:$AB$50000,"&lt;&gt;丢弃",缺陷明细!$AB$2:$AB$50000,"&lt;&gt;设计如此",缺陷明细!$AB$2:$AB$50000,"&lt;&gt;重复Bug")</f>
        <v>0</v>
      </c>
      <c r="Z85" s="71">
        <f>COUNTIFS(缺陷明细!$A$2:$A$50000,$B$4,缺陷明细!$G$2:$G$50000,$C85,缺陷明细!$Q$2:$Q$50000,"已关闭",缺陷明细!$J$2:$J$50000,"运维测试")</f>
        <v>0</v>
      </c>
      <c r="AA85" s="72">
        <f>COUNTIFS(缺陷明细!$A$2:$A$50000,$B$4,缺陷明细!$G$2:$G$50000,$C85,缺陷明细!$J$2:$J$50000,"运维测试",缺陷明细!$K$2:$K$50000,"致命",缺陷明细!$AB$2:$AB$50000,"&lt;&gt;丢弃",缺陷明细!$AB$2:$AB$50000,"&lt;&gt;设计如此",缺陷明细!$AB$2:$AB$50000,"&lt;&gt;重复Bug")+COUNTIFS(缺陷明细!$A$2:$A$50000,$B$4,缺陷明细!$G$2:$G$50000,$C85,缺陷明细!$J$2:$J$50000,"运维测试",缺陷明细!$K$2:$K$50000,"严重",缺陷明细!$AB$2:$AB$50000,"&lt;&gt;丢弃",缺陷明细!$AB$2:$AB$50000,"&lt;&gt;设计如此",缺陷明细!$AB$2:$AB$50000,"&lt;&gt;重复Bug")</f>
        <v>0</v>
      </c>
      <c r="AB85" s="73">
        <f>COUNTIFS(缺陷明细!$A$2:$A$50000,$B$4,缺陷明细!$G$2:$G$50000,$C85,缺陷明细!$Q$2:$Q$50000,"已关闭",缺陷明细!$J$2:$J$50000,"运维测试",缺陷明细!$K$2:$K$50000,"致命")+COUNTIFS(缺陷明细!$A$2:$A$50000,$B$4,缺陷明细!$G$2:$G$50000,$C85,缺陷明细!$Q$2:$Q$50000,"已关闭",缺陷明细!$J$2:$J$50000,"运维测试",缺陷明细!$K$2:$K$50000,"严重")</f>
        <v>0</v>
      </c>
      <c r="AC85" s="68">
        <f t="shared" si="4"/>
        <v>0</v>
      </c>
      <c r="AD85" s="60">
        <f t="shared" si="5"/>
        <v>0</v>
      </c>
      <c r="AE85" s="60">
        <f t="shared" si="6"/>
        <v>0</v>
      </c>
      <c r="AF85" s="60">
        <f t="shared" si="7"/>
        <v>0</v>
      </c>
      <c r="AG85" s="60">
        <f t="shared" si="8"/>
        <v>0</v>
      </c>
      <c r="AH85" s="60">
        <f t="shared" si="9"/>
        <v>0</v>
      </c>
      <c r="AI85" s="60">
        <f t="shared" si="10"/>
        <v>0</v>
      </c>
      <c r="AJ85" s="61">
        <f t="shared" si="11"/>
        <v>0</v>
      </c>
      <c r="AK85" s="144"/>
    </row>
    <row r="86" spans="1:37" ht="25.5">
      <c r="A86">
        <v>82</v>
      </c>
      <c r="B86" s="57">
        <v>565</v>
      </c>
      <c r="C86" s="58" t="s">
        <v>427</v>
      </c>
      <c r="D86" s="84" t="s">
        <v>343</v>
      </c>
      <c r="E86" s="82" t="s">
        <v>346</v>
      </c>
      <c r="F86" s="158">
        <v>2</v>
      </c>
      <c r="G86" s="159">
        <v>3</v>
      </c>
      <c r="H86" s="281">
        <f>COUNTIFS(缺陷明细!$A$2:$A$50000,$B$4,缺陷明细!$G$2:$G$50000,$C86,缺陷明细!$J$2:$J$50000,"评审",缺陷明细!$AB$2:$AB$50000,"&lt;&gt;丢弃",缺陷明细!$AB$2:$AB$50000,"&lt;&gt;设计如此",缺陷明细!$AB$2:$AB$50000,"&lt;&gt;重复Bug")</f>
        <v>0</v>
      </c>
      <c r="I86" s="154">
        <f>COUNTIFS(缺陷明细!$A$2:$A$50000,$B$4,缺陷明细!$G$2:$G$50000,$C86,缺陷明细!$Q$2:$Q$50000,"已关闭",缺陷明细!$J$2:$J$50000,"评审")</f>
        <v>0</v>
      </c>
      <c r="J86" s="154">
        <f>COUNTIFS(缺陷明细!$A$2:$A$50000,$B$4,缺陷明细!$G$2:$G$50000,$C86,缺陷明细!$J$2:$J$50000,"单元测试",缺陷明细!$AB$2:$AB$50000,"&lt;&gt;丢弃",缺陷明细!$AB$2:$AB$50000,"&lt;&gt;设计如此",缺陷明细!$AB$2:$AB$50000,"&lt;&gt;重复Bug")</f>
        <v>0</v>
      </c>
      <c r="K86" s="155">
        <f>COUNTIFS(缺陷明细!$A$2:$A$50000,$B$4,缺陷明细!$G$2:$G$50000,$C86,缺陷明细!$Q$2:$Q$50000,"已关闭",缺陷明细!$J$2:$J$50000,"单元测试")</f>
        <v>0</v>
      </c>
      <c r="L86" s="156"/>
      <c r="M86" s="157"/>
      <c r="N86" s="72">
        <f>COUNTIFS(缺陷明细!$A$2:$A$50000,$B$4,缺陷明细!$G$2:$G$50000,$C86,缺陷明细!$J$2:$J$50000,"系统测试案例评审",缺陷明细!$AB$2:$AB$50000,"&lt;&gt;丢弃",缺陷明细!$AB$2:$AB$50000,"&lt;&gt;设计如此",缺陷明细!$AB$2:$AB$50000,"&lt;&gt;重复Bug")</f>
        <v>0</v>
      </c>
      <c r="O86" s="72">
        <f>COUNTIFS(缺陷明细!$A$2:$A$50000,$B$4,缺陷明细!$G$2:$G$50000,$C86,缺陷明细!$Q$2:$Q$50000,"已关闭",缺陷明细!$J$2:$J$50000,"系统测试案例评审")</f>
        <v>0</v>
      </c>
      <c r="P86" s="72">
        <f>COUNTIFS(缺陷明细!$A$2:$A$50000,$B$4,缺陷明细!$G$2:$G$50000,$C86,缺陷明细!$J$2:$J$50000,"系统测试",缺陷明细!$AB$2:$AB$50000,"&lt;&gt;丢弃",缺陷明细!$AB$2:$AB$50000,"&lt;&gt;设计如此",缺陷明细!$AB$2:$AB$50000,"&lt;&gt;重复Bug")</f>
        <v>0</v>
      </c>
      <c r="Q86" s="72">
        <f>COUNTIFS(缺陷明细!$A$2:$A$50000,$B$4,缺陷明细!$G$2:$G$50000,$C86,缺陷明细!$Q$2:$Q$50000,"已关闭",缺陷明细!$J$2:$J$50000,"系统测试")</f>
        <v>0</v>
      </c>
      <c r="R86" s="296">
        <f>COUNTIFS(缺陷明细!$A$2:$A$50000,$B$4,缺陷明细!$G$2:$G$50000,$C86,缺陷明细!$AB$2:$AB$50000,"丢弃",缺陷明细!$J$2:$J$50000,"系统测试")+COUNTIFS(缺陷明细!$A$2:$A$50000,$B$4,缺陷明细!$G$2:$G$50000,$C86,缺陷明细!$AB$2:$AB$50000,"设计如此",缺陷明细!$J$2:$J$50000,"系统测试")+COUNTIFS(缺陷明细!$A$2:$A$50000,$B$4,缺陷明细!$G$2:$G$50000,$C86,缺陷明细!$AB$2:$AB$50000,"重复Bug",缺陷明细!$J$2:$J$50000,"系统测试")</f>
        <v>0</v>
      </c>
      <c r="S86" s="72">
        <f>COUNTIFS(缺陷明细!$A$2:$A$50000,$B$4,缺陷明细!$G$2:$G$50000,$C86,缺陷明细!$J$2:$J$50000,"系统测试",缺陷明细!$K$2:$K$50000,"致命",缺陷明细!$AB$2:$AB$50000,"&lt;&gt;丢弃",缺陷明细!$AB$2:$AB$50000,"&lt;&gt;设计如此",缺陷明细!$AB$2:$AB$50000,"&lt;&gt;重复Bug")+COUNTIFS(缺陷明细!$A$2:$A$50000,$B$4,缺陷明细!$G$2:$G$50000,$C86,缺陷明细!$J$2:$J$50000,"系统测试",缺陷明细!$K$2:$K$50000,"严重",缺陷明细!$AB$2:$AB$50000,"&lt;&gt;丢弃",缺陷明细!$AB$2:$AB$50000,"&lt;&gt;设计如此",缺陷明细!$AB$2:$AB$50000,"&lt;&gt;重复Bug")</f>
        <v>0</v>
      </c>
      <c r="T86" s="73">
        <f>COUNTIFS(缺陷明细!$A$2:$A$50000,$B$4,缺陷明细!$G$2:$G$50000,$C86,缺陷明细!$Q$2:$Q$50000,"已关闭",缺陷明细!$J$2:$J$50000,"系统测试",缺陷明细!$K$2:$K$50000,"致命")+COUNTIFS(缺陷明细!$A$2:$A$50000,$B$4,缺陷明细!$G$2:$G$50000,$C86,缺陷明细!$Q$2:$Q$50000,"已关闭",缺陷明细!$J$2:$J$50000,"系统测试",缺陷明细!$K$2:$K$50000,"严重")</f>
        <v>0</v>
      </c>
      <c r="U86" s="74">
        <f>COUNTIFS(缺陷明细!$A$2:$A$50000,$B$4,缺陷明细!$G$2:$G$50000,$C86,缺陷明细!$J$2:$J$50000,"验收测试",缺陷明细!$AB$2:$AB$50000,"&lt;&gt;丢弃",缺陷明细!$AB$2:$AB$50000,"&lt;&gt;设计如此",缺陷明细!$AB$2:$AB$50000,"&lt;&gt;重复Bug")</f>
        <v>0</v>
      </c>
      <c r="V86" s="75">
        <f>COUNTIFS(缺陷明细!$A$2:$A$50000,$B$4,缺陷明细!$G$2:$G$50000,$C86,缺陷明细!$Q$2:$Q$50000,"已关闭",缺陷明细!$J$2:$J$50000,"验收测试")</f>
        <v>0</v>
      </c>
      <c r="W86" s="75">
        <f>COUNTIFS(缺陷明细!$A$2:$A$50000,$B$4,缺陷明细!$G$2:$G$50000,$C86,缺陷明细!$J$2:$J$50000,"验收测试",缺陷明细!$K$2:$K$50000,"致命",缺陷明细!$AB$2:$AB$50000,"&lt;&gt;丢弃",缺陷明细!$AB$2:$AB$50000,"&lt;&gt;设计如此",缺陷明细!$AB$2:$AB$50000,"&lt;&gt;重复Bug")+COUNTIFS(缺陷明细!$A$2:$A$50000,$B$4,缺陷明细!$G$2:$G$50000,$C86,缺陷明细!$J$2:$J$50000,"验收测试",缺陷明细!$K$2:$K$50000,"严重",缺陷明细!$AB$2:$AB$50000,"&lt;&gt;丢弃",缺陷明细!$AB$2:$AB$50000,"&lt;&gt;设计如此",缺陷明细!$AB$2:$AB$50000,"&lt;&gt;重复Bug")</f>
        <v>0</v>
      </c>
      <c r="X86" s="76">
        <f>COUNTIFS(缺陷明细!$A$2:$A$50000,$B$4,缺陷明细!$G$2:$G$50000,$C86,缺陷明细!$Q$2:$Q$50000,"已关闭",缺陷明细!$J$2:$J$50000,"验收测试",缺陷明细!$K$2:$K$50000,"致命")+COUNTIFS(缺陷明细!$A$2:$A$50000,$B$4,缺陷明细!$G$2:$G$50000,$C86,缺陷明细!$Q$2:$Q$50000,"已关闭",缺陷明细!$J$2:$J$50000,"验收测试",缺陷明细!$K$2:$K$50000,"严重")</f>
        <v>0</v>
      </c>
      <c r="Y86" s="70">
        <f>COUNTIFS(缺陷明细!$A$2:$A$50000,$B$4,缺陷明细!$G$2:$G$50000,$C86,缺陷明细!$J$2:$J$50000,"运维测试",缺陷明细!$AB$2:$AB$50000,"&lt;&gt;丢弃",缺陷明细!$AB$2:$AB$50000,"&lt;&gt;设计如此",缺陷明细!$AB$2:$AB$50000,"&lt;&gt;重复Bug")</f>
        <v>0</v>
      </c>
      <c r="Z86" s="71">
        <f>COUNTIFS(缺陷明细!$A$2:$A$50000,$B$4,缺陷明细!$G$2:$G$50000,$C86,缺陷明细!$Q$2:$Q$50000,"已关闭",缺陷明细!$J$2:$J$50000,"运维测试")</f>
        <v>0</v>
      </c>
      <c r="AA86" s="72">
        <f>COUNTIFS(缺陷明细!$A$2:$A$50000,$B$4,缺陷明细!$G$2:$G$50000,$C86,缺陷明细!$J$2:$J$50000,"运维测试",缺陷明细!$K$2:$K$50000,"致命",缺陷明细!$AB$2:$AB$50000,"&lt;&gt;丢弃",缺陷明细!$AB$2:$AB$50000,"&lt;&gt;设计如此",缺陷明细!$AB$2:$AB$50000,"&lt;&gt;重复Bug")+COUNTIFS(缺陷明细!$A$2:$A$50000,$B$4,缺陷明细!$G$2:$G$50000,$C86,缺陷明细!$J$2:$J$50000,"运维测试",缺陷明细!$K$2:$K$50000,"严重",缺陷明细!$AB$2:$AB$50000,"&lt;&gt;丢弃",缺陷明细!$AB$2:$AB$50000,"&lt;&gt;设计如此",缺陷明细!$AB$2:$AB$50000,"&lt;&gt;重复Bug")</f>
        <v>0</v>
      </c>
      <c r="AB86" s="73">
        <f>COUNTIFS(缺陷明细!$A$2:$A$50000,$B$4,缺陷明细!$G$2:$G$50000,$C86,缺陷明细!$Q$2:$Q$50000,"已关闭",缺陷明细!$J$2:$J$50000,"运维测试",缺陷明细!$K$2:$K$50000,"致命")+COUNTIFS(缺陷明细!$A$2:$A$50000,$B$4,缺陷明细!$G$2:$G$50000,$C86,缺陷明细!$Q$2:$Q$50000,"已关闭",缺陷明细!$J$2:$J$50000,"运维测试",缺陷明细!$K$2:$K$50000,"严重")</f>
        <v>0</v>
      </c>
      <c r="AC86" s="68">
        <f t="shared" si="4"/>
        <v>0</v>
      </c>
      <c r="AD86" s="60">
        <f t="shared" si="5"/>
        <v>0</v>
      </c>
      <c r="AE86" s="60">
        <f t="shared" si="6"/>
        <v>0</v>
      </c>
      <c r="AF86" s="60">
        <f t="shared" si="7"/>
        <v>0</v>
      </c>
      <c r="AG86" s="60">
        <f t="shared" si="8"/>
        <v>0</v>
      </c>
      <c r="AH86" s="60">
        <f t="shared" si="9"/>
        <v>0</v>
      </c>
      <c r="AI86" s="60">
        <f t="shared" si="10"/>
        <v>0</v>
      </c>
      <c r="AJ86" s="61">
        <f t="shared" si="11"/>
        <v>0</v>
      </c>
      <c r="AK86" s="144"/>
    </row>
    <row r="87" spans="1:37" ht="25.5">
      <c r="A87">
        <v>83</v>
      </c>
      <c r="B87" s="57">
        <v>566</v>
      </c>
      <c r="C87" s="58" t="s">
        <v>428</v>
      </c>
      <c r="D87" s="84" t="s">
        <v>343</v>
      </c>
      <c r="E87" s="82" t="s">
        <v>346</v>
      </c>
      <c r="F87" s="158">
        <v>8</v>
      </c>
      <c r="G87" s="159">
        <v>8</v>
      </c>
      <c r="H87" s="281">
        <f>COUNTIFS(缺陷明细!$A$2:$A$50000,$B$4,缺陷明细!$G$2:$G$50000,$C87,缺陷明细!$J$2:$J$50000,"评审",缺陷明细!$AB$2:$AB$50000,"&lt;&gt;丢弃",缺陷明细!$AB$2:$AB$50000,"&lt;&gt;设计如此",缺陷明细!$AB$2:$AB$50000,"&lt;&gt;重复Bug")</f>
        <v>0</v>
      </c>
      <c r="I87" s="154">
        <f>COUNTIFS(缺陷明细!$A$2:$A$50000,$B$4,缺陷明细!$G$2:$G$50000,$C87,缺陷明细!$Q$2:$Q$50000,"已关闭",缺陷明细!$J$2:$J$50000,"评审")</f>
        <v>0</v>
      </c>
      <c r="J87" s="154">
        <f>COUNTIFS(缺陷明细!$A$2:$A$50000,$B$4,缺陷明细!$G$2:$G$50000,$C87,缺陷明细!$J$2:$J$50000,"单元测试",缺陷明细!$AB$2:$AB$50000,"&lt;&gt;丢弃",缺陷明细!$AB$2:$AB$50000,"&lt;&gt;设计如此",缺陷明细!$AB$2:$AB$50000,"&lt;&gt;重复Bug")</f>
        <v>0</v>
      </c>
      <c r="K87" s="155">
        <f>COUNTIFS(缺陷明细!$A$2:$A$50000,$B$4,缺陷明细!$G$2:$G$50000,$C87,缺陷明细!$Q$2:$Q$50000,"已关闭",缺陷明细!$J$2:$J$50000,"单元测试")</f>
        <v>0</v>
      </c>
      <c r="L87" s="156"/>
      <c r="M87" s="157"/>
      <c r="N87" s="72">
        <f>COUNTIFS(缺陷明细!$A$2:$A$50000,$B$4,缺陷明细!$G$2:$G$50000,$C87,缺陷明细!$J$2:$J$50000,"系统测试案例评审",缺陷明细!$AB$2:$AB$50000,"&lt;&gt;丢弃",缺陷明细!$AB$2:$AB$50000,"&lt;&gt;设计如此",缺陷明细!$AB$2:$AB$50000,"&lt;&gt;重复Bug")</f>
        <v>0</v>
      </c>
      <c r="O87" s="72">
        <f>COUNTIFS(缺陷明细!$A$2:$A$50000,$B$4,缺陷明细!$G$2:$G$50000,$C87,缺陷明细!$Q$2:$Q$50000,"已关闭",缺陷明细!$J$2:$J$50000,"系统测试案例评审")</f>
        <v>0</v>
      </c>
      <c r="P87" s="72">
        <f>COUNTIFS(缺陷明细!$A$2:$A$50000,$B$4,缺陷明细!$G$2:$G$50000,$C87,缺陷明细!$J$2:$J$50000,"系统测试",缺陷明细!$AB$2:$AB$50000,"&lt;&gt;丢弃",缺陷明细!$AB$2:$AB$50000,"&lt;&gt;设计如此",缺陷明细!$AB$2:$AB$50000,"&lt;&gt;重复Bug")</f>
        <v>0</v>
      </c>
      <c r="Q87" s="72">
        <f>COUNTIFS(缺陷明细!$A$2:$A$50000,$B$4,缺陷明细!$G$2:$G$50000,$C87,缺陷明细!$Q$2:$Q$50000,"已关闭",缺陷明细!$J$2:$J$50000,"系统测试")</f>
        <v>0</v>
      </c>
      <c r="R87" s="296">
        <f>COUNTIFS(缺陷明细!$A$2:$A$50000,$B$4,缺陷明细!$G$2:$G$50000,$C87,缺陷明细!$AB$2:$AB$50000,"丢弃",缺陷明细!$J$2:$J$50000,"系统测试")+COUNTIFS(缺陷明细!$A$2:$A$50000,$B$4,缺陷明细!$G$2:$G$50000,$C87,缺陷明细!$AB$2:$AB$50000,"设计如此",缺陷明细!$J$2:$J$50000,"系统测试")+COUNTIFS(缺陷明细!$A$2:$A$50000,$B$4,缺陷明细!$G$2:$G$50000,$C87,缺陷明细!$AB$2:$AB$50000,"重复Bug",缺陷明细!$J$2:$J$50000,"系统测试")</f>
        <v>0</v>
      </c>
      <c r="S87" s="72">
        <f>COUNTIFS(缺陷明细!$A$2:$A$50000,$B$4,缺陷明细!$G$2:$G$50000,$C87,缺陷明细!$J$2:$J$50000,"系统测试",缺陷明细!$K$2:$K$50000,"致命",缺陷明细!$AB$2:$AB$50000,"&lt;&gt;丢弃",缺陷明细!$AB$2:$AB$50000,"&lt;&gt;设计如此",缺陷明细!$AB$2:$AB$50000,"&lt;&gt;重复Bug")+COUNTIFS(缺陷明细!$A$2:$A$50000,$B$4,缺陷明细!$G$2:$G$50000,$C87,缺陷明细!$J$2:$J$50000,"系统测试",缺陷明细!$K$2:$K$50000,"严重",缺陷明细!$AB$2:$AB$50000,"&lt;&gt;丢弃",缺陷明细!$AB$2:$AB$50000,"&lt;&gt;设计如此",缺陷明细!$AB$2:$AB$50000,"&lt;&gt;重复Bug")</f>
        <v>0</v>
      </c>
      <c r="T87" s="73">
        <f>COUNTIFS(缺陷明细!$A$2:$A$50000,$B$4,缺陷明细!$G$2:$G$50000,$C87,缺陷明细!$Q$2:$Q$50000,"已关闭",缺陷明细!$J$2:$J$50000,"系统测试",缺陷明细!$K$2:$K$50000,"致命")+COUNTIFS(缺陷明细!$A$2:$A$50000,$B$4,缺陷明细!$G$2:$G$50000,$C87,缺陷明细!$Q$2:$Q$50000,"已关闭",缺陷明细!$J$2:$J$50000,"系统测试",缺陷明细!$K$2:$K$50000,"严重")</f>
        <v>0</v>
      </c>
      <c r="U87" s="74">
        <f>COUNTIFS(缺陷明细!$A$2:$A$50000,$B$4,缺陷明细!$G$2:$G$50000,$C87,缺陷明细!$J$2:$J$50000,"验收测试",缺陷明细!$AB$2:$AB$50000,"&lt;&gt;丢弃",缺陷明细!$AB$2:$AB$50000,"&lt;&gt;设计如此",缺陷明细!$AB$2:$AB$50000,"&lt;&gt;重复Bug")</f>
        <v>0</v>
      </c>
      <c r="V87" s="75">
        <f>COUNTIFS(缺陷明细!$A$2:$A$50000,$B$4,缺陷明细!$G$2:$G$50000,$C87,缺陷明细!$Q$2:$Q$50000,"已关闭",缺陷明细!$J$2:$J$50000,"验收测试")</f>
        <v>0</v>
      </c>
      <c r="W87" s="75">
        <f>COUNTIFS(缺陷明细!$A$2:$A$50000,$B$4,缺陷明细!$G$2:$G$50000,$C87,缺陷明细!$J$2:$J$50000,"验收测试",缺陷明细!$K$2:$K$50000,"致命",缺陷明细!$AB$2:$AB$50000,"&lt;&gt;丢弃",缺陷明细!$AB$2:$AB$50000,"&lt;&gt;设计如此",缺陷明细!$AB$2:$AB$50000,"&lt;&gt;重复Bug")+COUNTIFS(缺陷明细!$A$2:$A$50000,$B$4,缺陷明细!$G$2:$G$50000,$C87,缺陷明细!$J$2:$J$50000,"验收测试",缺陷明细!$K$2:$K$50000,"严重",缺陷明细!$AB$2:$AB$50000,"&lt;&gt;丢弃",缺陷明细!$AB$2:$AB$50000,"&lt;&gt;设计如此",缺陷明细!$AB$2:$AB$50000,"&lt;&gt;重复Bug")</f>
        <v>0</v>
      </c>
      <c r="X87" s="76">
        <f>COUNTIFS(缺陷明细!$A$2:$A$50000,$B$4,缺陷明细!$G$2:$G$50000,$C87,缺陷明细!$Q$2:$Q$50000,"已关闭",缺陷明细!$J$2:$J$50000,"验收测试",缺陷明细!$K$2:$K$50000,"致命")+COUNTIFS(缺陷明细!$A$2:$A$50000,$B$4,缺陷明细!$G$2:$G$50000,$C87,缺陷明细!$Q$2:$Q$50000,"已关闭",缺陷明细!$J$2:$J$50000,"验收测试",缺陷明细!$K$2:$K$50000,"严重")</f>
        <v>0</v>
      </c>
      <c r="Y87" s="70">
        <f>COUNTIFS(缺陷明细!$A$2:$A$50000,$B$4,缺陷明细!$G$2:$G$50000,$C87,缺陷明细!$J$2:$J$50000,"运维测试",缺陷明细!$AB$2:$AB$50000,"&lt;&gt;丢弃",缺陷明细!$AB$2:$AB$50000,"&lt;&gt;设计如此",缺陷明细!$AB$2:$AB$50000,"&lt;&gt;重复Bug")</f>
        <v>0</v>
      </c>
      <c r="Z87" s="71">
        <f>COUNTIFS(缺陷明细!$A$2:$A$50000,$B$4,缺陷明细!$G$2:$G$50000,$C87,缺陷明细!$Q$2:$Q$50000,"已关闭",缺陷明细!$J$2:$J$50000,"运维测试")</f>
        <v>0</v>
      </c>
      <c r="AA87" s="72">
        <f>COUNTIFS(缺陷明细!$A$2:$A$50000,$B$4,缺陷明细!$G$2:$G$50000,$C87,缺陷明细!$J$2:$J$50000,"运维测试",缺陷明细!$K$2:$K$50000,"致命",缺陷明细!$AB$2:$AB$50000,"&lt;&gt;丢弃",缺陷明细!$AB$2:$AB$50000,"&lt;&gt;设计如此",缺陷明细!$AB$2:$AB$50000,"&lt;&gt;重复Bug")+COUNTIFS(缺陷明细!$A$2:$A$50000,$B$4,缺陷明细!$G$2:$G$50000,$C87,缺陷明细!$J$2:$J$50000,"运维测试",缺陷明细!$K$2:$K$50000,"严重",缺陷明细!$AB$2:$AB$50000,"&lt;&gt;丢弃",缺陷明细!$AB$2:$AB$50000,"&lt;&gt;设计如此",缺陷明细!$AB$2:$AB$50000,"&lt;&gt;重复Bug")</f>
        <v>0</v>
      </c>
      <c r="AB87" s="73">
        <f>COUNTIFS(缺陷明细!$A$2:$A$50000,$B$4,缺陷明细!$G$2:$G$50000,$C87,缺陷明细!$Q$2:$Q$50000,"已关闭",缺陷明细!$J$2:$J$50000,"运维测试",缺陷明细!$K$2:$K$50000,"致命")+COUNTIFS(缺陷明细!$A$2:$A$50000,$B$4,缺陷明细!$G$2:$G$50000,$C87,缺陷明细!$Q$2:$Q$50000,"已关闭",缺陷明细!$J$2:$J$50000,"运维测试",缺陷明细!$K$2:$K$50000,"严重")</f>
        <v>0</v>
      </c>
      <c r="AC87" s="68">
        <f t="shared" si="4"/>
        <v>0</v>
      </c>
      <c r="AD87" s="60">
        <f t="shared" si="5"/>
        <v>0</v>
      </c>
      <c r="AE87" s="60">
        <f t="shared" si="6"/>
        <v>0</v>
      </c>
      <c r="AF87" s="60">
        <f t="shared" si="7"/>
        <v>0</v>
      </c>
      <c r="AG87" s="60">
        <f t="shared" si="8"/>
        <v>0</v>
      </c>
      <c r="AH87" s="60">
        <f t="shared" si="9"/>
        <v>0</v>
      </c>
      <c r="AI87" s="60">
        <f t="shared" si="10"/>
        <v>0</v>
      </c>
      <c r="AJ87" s="61">
        <f t="shared" si="11"/>
        <v>0</v>
      </c>
      <c r="AK87" s="144"/>
    </row>
    <row r="88" spans="1:37">
      <c r="A88">
        <v>84</v>
      </c>
      <c r="B88" s="57">
        <v>568</v>
      </c>
      <c r="C88" s="58" t="s">
        <v>429</v>
      </c>
      <c r="D88" s="84"/>
      <c r="E88" s="82" t="s">
        <v>346</v>
      </c>
      <c r="F88" s="158">
        <v>0</v>
      </c>
      <c r="G88" s="159">
        <v>4</v>
      </c>
      <c r="H88" s="281">
        <f>COUNTIFS(缺陷明细!$A$2:$A$50000,$B$4,缺陷明细!$G$2:$G$50000,$C88,缺陷明细!$J$2:$J$50000,"评审",缺陷明细!$AB$2:$AB$50000,"&lt;&gt;丢弃",缺陷明细!$AB$2:$AB$50000,"&lt;&gt;设计如此",缺陷明细!$AB$2:$AB$50000,"&lt;&gt;重复Bug")</f>
        <v>0</v>
      </c>
      <c r="I88" s="154">
        <f>COUNTIFS(缺陷明细!$A$2:$A$50000,$B$4,缺陷明细!$G$2:$G$50000,$C88,缺陷明细!$Q$2:$Q$50000,"已关闭",缺陷明细!$J$2:$J$50000,"评审")</f>
        <v>0</v>
      </c>
      <c r="J88" s="154">
        <f>COUNTIFS(缺陷明细!$A$2:$A$50000,$B$4,缺陷明细!$G$2:$G$50000,$C88,缺陷明细!$J$2:$J$50000,"单元测试",缺陷明细!$AB$2:$AB$50000,"&lt;&gt;丢弃",缺陷明细!$AB$2:$AB$50000,"&lt;&gt;设计如此",缺陷明细!$AB$2:$AB$50000,"&lt;&gt;重复Bug")</f>
        <v>0</v>
      </c>
      <c r="K88" s="155">
        <f>COUNTIFS(缺陷明细!$A$2:$A$50000,$B$4,缺陷明细!$G$2:$G$50000,$C88,缺陷明细!$Q$2:$Q$50000,"已关闭",缺陷明细!$J$2:$J$50000,"单元测试")</f>
        <v>0</v>
      </c>
      <c r="L88" s="156"/>
      <c r="M88" s="157"/>
      <c r="N88" s="72">
        <f>COUNTIFS(缺陷明细!$A$2:$A$50000,$B$4,缺陷明细!$G$2:$G$50000,$C88,缺陷明细!$J$2:$J$50000,"系统测试案例评审",缺陷明细!$AB$2:$AB$50000,"&lt;&gt;丢弃",缺陷明细!$AB$2:$AB$50000,"&lt;&gt;设计如此",缺陷明细!$AB$2:$AB$50000,"&lt;&gt;重复Bug")</f>
        <v>0</v>
      </c>
      <c r="O88" s="72">
        <f>COUNTIFS(缺陷明细!$A$2:$A$50000,$B$4,缺陷明细!$G$2:$G$50000,$C88,缺陷明细!$Q$2:$Q$50000,"已关闭",缺陷明细!$J$2:$J$50000,"系统测试案例评审")</f>
        <v>0</v>
      </c>
      <c r="P88" s="72">
        <f>COUNTIFS(缺陷明细!$A$2:$A$50000,$B$4,缺陷明细!$G$2:$G$50000,$C88,缺陷明细!$J$2:$J$50000,"系统测试",缺陷明细!$AB$2:$AB$50000,"&lt;&gt;丢弃",缺陷明细!$AB$2:$AB$50000,"&lt;&gt;设计如此",缺陷明细!$AB$2:$AB$50000,"&lt;&gt;重复Bug")</f>
        <v>0</v>
      </c>
      <c r="Q88" s="72">
        <f>COUNTIFS(缺陷明细!$A$2:$A$50000,$B$4,缺陷明细!$G$2:$G$50000,$C88,缺陷明细!$Q$2:$Q$50000,"已关闭",缺陷明细!$J$2:$J$50000,"系统测试")</f>
        <v>0</v>
      </c>
      <c r="R88" s="296">
        <f>COUNTIFS(缺陷明细!$A$2:$A$50000,$B$4,缺陷明细!$G$2:$G$50000,$C88,缺陷明细!$AB$2:$AB$50000,"丢弃",缺陷明细!$J$2:$J$50000,"系统测试")+COUNTIFS(缺陷明细!$A$2:$A$50000,$B$4,缺陷明细!$G$2:$G$50000,$C88,缺陷明细!$AB$2:$AB$50000,"设计如此",缺陷明细!$J$2:$J$50000,"系统测试")+COUNTIFS(缺陷明细!$A$2:$A$50000,$B$4,缺陷明细!$G$2:$G$50000,$C88,缺陷明细!$AB$2:$AB$50000,"重复Bug",缺陷明细!$J$2:$J$50000,"系统测试")</f>
        <v>0</v>
      </c>
      <c r="S88" s="72">
        <f>COUNTIFS(缺陷明细!$A$2:$A$50000,$B$4,缺陷明细!$G$2:$G$50000,$C88,缺陷明细!$J$2:$J$50000,"系统测试",缺陷明细!$K$2:$K$50000,"致命",缺陷明细!$AB$2:$AB$50000,"&lt;&gt;丢弃",缺陷明细!$AB$2:$AB$50000,"&lt;&gt;设计如此",缺陷明细!$AB$2:$AB$50000,"&lt;&gt;重复Bug")+COUNTIFS(缺陷明细!$A$2:$A$50000,$B$4,缺陷明细!$G$2:$G$50000,$C88,缺陷明细!$J$2:$J$50000,"系统测试",缺陷明细!$K$2:$K$50000,"严重",缺陷明细!$AB$2:$AB$50000,"&lt;&gt;丢弃",缺陷明细!$AB$2:$AB$50000,"&lt;&gt;设计如此",缺陷明细!$AB$2:$AB$50000,"&lt;&gt;重复Bug")</f>
        <v>0</v>
      </c>
      <c r="T88" s="73">
        <f>COUNTIFS(缺陷明细!$A$2:$A$50000,$B$4,缺陷明细!$G$2:$G$50000,$C88,缺陷明细!$Q$2:$Q$50000,"已关闭",缺陷明细!$J$2:$J$50000,"系统测试",缺陷明细!$K$2:$K$50000,"致命")+COUNTIFS(缺陷明细!$A$2:$A$50000,$B$4,缺陷明细!$G$2:$G$50000,$C88,缺陷明细!$Q$2:$Q$50000,"已关闭",缺陷明细!$J$2:$J$50000,"系统测试",缺陷明细!$K$2:$K$50000,"严重")</f>
        <v>0</v>
      </c>
      <c r="U88" s="74">
        <f>COUNTIFS(缺陷明细!$A$2:$A$50000,$B$4,缺陷明细!$G$2:$G$50000,$C88,缺陷明细!$J$2:$J$50000,"验收测试",缺陷明细!$AB$2:$AB$50000,"&lt;&gt;丢弃",缺陷明细!$AB$2:$AB$50000,"&lt;&gt;设计如此",缺陷明细!$AB$2:$AB$50000,"&lt;&gt;重复Bug")</f>
        <v>0</v>
      </c>
      <c r="V88" s="75">
        <f>COUNTIFS(缺陷明细!$A$2:$A$50000,$B$4,缺陷明细!$G$2:$G$50000,$C88,缺陷明细!$Q$2:$Q$50000,"已关闭",缺陷明细!$J$2:$J$50000,"验收测试")</f>
        <v>0</v>
      </c>
      <c r="W88" s="75">
        <f>COUNTIFS(缺陷明细!$A$2:$A$50000,$B$4,缺陷明细!$G$2:$G$50000,$C88,缺陷明细!$J$2:$J$50000,"验收测试",缺陷明细!$K$2:$K$50000,"致命",缺陷明细!$AB$2:$AB$50000,"&lt;&gt;丢弃",缺陷明细!$AB$2:$AB$50000,"&lt;&gt;设计如此",缺陷明细!$AB$2:$AB$50000,"&lt;&gt;重复Bug")+COUNTIFS(缺陷明细!$A$2:$A$50000,$B$4,缺陷明细!$G$2:$G$50000,$C88,缺陷明细!$J$2:$J$50000,"验收测试",缺陷明细!$K$2:$K$50000,"严重",缺陷明细!$AB$2:$AB$50000,"&lt;&gt;丢弃",缺陷明细!$AB$2:$AB$50000,"&lt;&gt;设计如此",缺陷明细!$AB$2:$AB$50000,"&lt;&gt;重复Bug")</f>
        <v>0</v>
      </c>
      <c r="X88" s="76">
        <f>COUNTIFS(缺陷明细!$A$2:$A$50000,$B$4,缺陷明细!$G$2:$G$50000,$C88,缺陷明细!$Q$2:$Q$50000,"已关闭",缺陷明细!$J$2:$J$50000,"验收测试",缺陷明细!$K$2:$K$50000,"致命")+COUNTIFS(缺陷明细!$A$2:$A$50000,$B$4,缺陷明细!$G$2:$G$50000,$C88,缺陷明细!$Q$2:$Q$50000,"已关闭",缺陷明细!$J$2:$J$50000,"验收测试",缺陷明细!$K$2:$K$50000,"严重")</f>
        <v>0</v>
      </c>
      <c r="Y88" s="70">
        <f>COUNTIFS(缺陷明细!$A$2:$A$50000,$B$4,缺陷明细!$G$2:$G$50000,$C88,缺陷明细!$J$2:$J$50000,"运维测试",缺陷明细!$AB$2:$AB$50000,"&lt;&gt;丢弃",缺陷明细!$AB$2:$AB$50000,"&lt;&gt;设计如此",缺陷明细!$AB$2:$AB$50000,"&lt;&gt;重复Bug")</f>
        <v>0</v>
      </c>
      <c r="Z88" s="71">
        <f>COUNTIFS(缺陷明细!$A$2:$A$50000,$B$4,缺陷明细!$G$2:$G$50000,$C88,缺陷明细!$Q$2:$Q$50000,"已关闭",缺陷明细!$J$2:$J$50000,"运维测试")</f>
        <v>0</v>
      </c>
      <c r="AA88" s="72">
        <f>COUNTIFS(缺陷明细!$A$2:$A$50000,$B$4,缺陷明细!$G$2:$G$50000,$C88,缺陷明细!$J$2:$J$50000,"运维测试",缺陷明细!$K$2:$K$50000,"致命",缺陷明细!$AB$2:$AB$50000,"&lt;&gt;丢弃",缺陷明细!$AB$2:$AB$50000,"&lt;&gt;设计如此",缺陷明细!$AB$2:$AB$50000,"&lt;&gt;重复Bug")+COUNTIFS(缺陷明细!$A$2:$A$50000,$B$4,缺陷明细!$G$2:$G$50000,$C88,缺陷明细!$J$2:$J$50000,"运维测试",缺陷明细!$K$2:$K$50000,"严重",缺陷明细!$AB$2:$AB$50000,"&lt;&gt;丢弃",缺陷明细!$AB$2:$AB$50000,"&lt;&gt;设计如此",缺陷明细!$AB$2:$AB$50000,"&lt;&gt;重复Bug")</f>
        <v>0</v>
      </c>
      <c r="AB88" s="73">
        <f>COUNTIFS(缺陷明细!$A$2:$A$50000,$B$4,缺陷明细!$G$2:$G$50000,$C88,缺陷明细!$Q$2:$Q$50000,"已关闭",缺陷明细!$J$2:$J$50000,"运维测试",缺陷明细!$K$2:$K$50000,"致命")+COUNTIFS(缺陷明细!$A$2:$A$50000,$B$4,缺陷明细!$G$2:$G$50000,$C88,缺陷明细!$Q$2:$Q$50000,"已关闭",缺陷明细!$J$2:$J$50000,"运维测试",缺陷明细!$K$2:$K$50000,"严重")</f>
        <v>0</v>
      </c>
      <c r="AC88" s="68">
        <f t="shared" si="4"/>
        <v>0</v>
      </c>
      <c r="AD88" s="60">
        <f t="shared" si="5"/>
        <v>0</v>
      </c>
      <c r="AE88" s="60">
        <f t="shared" si="6"/>
        <v>0</v>
      </c>
      <c r="AF88" s="60">
        <f t="shared" si="7"/>
        <v>0</v>
      </c>
      <c r="AG88" s="60">
        <f t="shared" si="8"/>
        <v>0</v>
      </c>
      <c r="AH88" s="60">
        <f t="shared" si="9"/>
        <v>0</v>
      </c>
      <c r="AI88" s="60">
        <f t="shared" si="10"/>
        <v>0</v>
      </c>
      <c r="AJ88" s="61">
        <f t="shared" si="11"/>
        <v>0</v>
      </c>
      <c r="AK88" s="144"/>
    </row>
    <row r="89" spans="1:37">
      <c r="A89">
        <v>85</v>
      </c>
      <c r="B89" s="57">
        <v>569</v>
      </c>
      <c r="C89" s="58" t="s">
        <v>430</v>
      </c>
      <c r="D89" s="84" t="s">
        <v>343</v>
      </c>
      <c r="E89" s="82" t="s">
        <v>346</v>
      </c>
      <c r="F89" s="158">
        <v>4</v>
      </c>
      <c r="G89" s="159">
        <v>4</v>
      </c>
      <c r="H89" s="281">
        <f>COUNTIFS(缺陷明细!$A$2:$A$50000,$B$4,缺陷明细!$G$2:$G$50000,$C89,缺陷明细!$J$2:$J$50000,"评审",缺陷明细!$AB$2:$AB$50000,"&lt;&gt;丢弃",缺陷明细!$AB$2:$AB$50000,"&lt;&gt;设计如此",缺陷明细!$AB$2:$AB$50000,"&lt;&gt;重复Bug")</f>
        <v>0</v>
      </c>
      <c r="I89" s="154">
        <f>COUNTIFS(缺陷明细!$A$2:$A$50000,$B$4,缺陷明细!$G$2:$G$50000,$C89,缺陷明细!$Q$2:$Q$50000,"已关闭",缺陷明细!$J$2:$J$50000,"评审")</f>
        <v>0</v>
      </c>
      <c r="J89" s="154">
        <f>COUNTIFS(缺陷明细!$A$2:$A$50000,$B$4,缺陷明细!$G$2:$G$50000,$C89,缺陷明细!$J$2:$J$50000,"单元测试",缺陷明细!$AB$2:$AB$50000,"&lt;&gt;丢弃",缺陷明细!$AB$2:$AB$50000,"&lt;&gt;设计如此",缺陷明细!$AB$2:$AB$50000,"&lt;&gt;重复Bug")</f>
        <v>0</v>
      </c>
      <c r="K89" s="155">
        <f>COUNTIFS(缺陷明细!$A$2:$A$50000,$B$4,缺陷明细!$G$2:$G$50000,$C89,缺陷明细!$Q$2:$Q$50000,"已关闭",缺陷明细!$J$2:$J$50000,"单元测试")</f>
        <v>0</v>
      </c>
      <c r="L89" s="156"/>
      <c r="M89" s="157"/>
      <c r="N89" s="72">
        <f>COUNTIFS(缺陷明细!$A$2:$A$50000,$B$4,缺陷明细!$G$2:$G$50000,$C89,缺陷明细!$J$2:$J$50000,"系统测试案例评审",缺陷明细!$AB$2:$AB$50000,"&lt;&gt;丢弃",缺陷明细!$AB$2:$AB$50000,"&lt;&gt;设计如此",缺陷明细!$AB$2:$AB$50000,"&lt;&gt;重复Bug")</f>
        <v>0</v>
      </c>
      <c r="O89" s="72">
        <f>COUNTIFS(缺陷明细!$A$2:$A$50000,$B$4,缺陷明细!$G$2:$G$50000,$C89,缺陷明细!$Q$2:$Q$50000,"已关闭",缺陷明细!$J$2:$J$50000,"系统测试案例评审")</f>
        <v>0</v>
      </c>
      <c r="P89" s="72">
        <f>COUNTIFS(缺陷明细!$A$2:$A$50000,$B$4,缺陷明细!$G$2:$G$50000,$C89,缺陷明细!$J$2:$J$50000,"系统测试",缺陷明细!$AB$2:$AB$50000,"&lt;&gt;丢弃",缺陷明细!$AB$2:$AB$50000,"&lt;&gt;设计如此",缺陷明细!$AB$2:$AB$50000,"&lt;&gt;重复Bug")</f>
        <v>0</v>
      </c>
      <c r="Q89" s="72">
        <f>COUNTIFS(缺陷明细!$A$2:$A$50000,$B$4,缺陷明细!$G$2:$G$50000,$C89,缺陷明细!$Q$2:$Q$50000,"已关闭",缺陷明细!$J$2:$J$50000,"系统测试")</f>
        <v>0</v>
      </c>
      <c r="R89" s="296">
        <f>COUNTIFS(缺陷明细!$A$2:$A$50000,$B$4,缺陷明细!$G$2:$G$50000,$C89,缺陷明细!$AB$2:$AB$50000,"丢弃",缺陷明细!$J$2:$J$50000,"系统测试")+COUNTIFS(缺陷明细!$A$2:$A$50000,$B$4,缺陷明细!$G$2:$G$50000,$C89,缺陷明细!$AB$2:$AB$50000,"设计如此",缺陷明细!$J$2:$J$50000,"系统测试")+COUNTIFS(缺陷明细!$A$2:$A$50000,$B$4,缺陷明细!$G$2:$G$50000,$C89,缺陷明细!$AB$2:$AB$50000,"重复Bug",缺陷明细!$J$2:$J$50000,"系统测试")</f>
        <v>0</v>
      </c>
      <c r="S89" s="72">
        <f>COUNTIFS(缺陷明细!$A$2:$A$50000,$B$4,缺陷明细!$G$2:$G$50000,$C89,缺陷明细!$J$2:$J$50000,"系统测试",缺陷明细!$K$2:$K$50000,"致命",缺陷明细!$AB$2:$AB$50000,"&lt;&gt;丢弃",缺陷明细!$AB$2:$AB$50000,"&lt;&gt;设计如此",缺陷明细!$AB$2:$AB$50000,"&lt;&gt;重复Bug")+COUNTIFS(缺陷明细!$A$2:$A$50000,$B$4,缺陷明细!$G$2:$G$50000,$C89,缺陷明细!$J$2:$J$50000,"系统测试",缺陷明细!$K$2:$K$50000,"严重",缺陷明细!$AB$2:$AB$50000,"&lt;&gt;丢弃",缺陷明细!$AB$2:$AB$50000,"&lt;&gt;设计如此",缺陷明细!$AB$2:$AB$50000,"&lt;&gt;重复Bug")</f>
        <v>0</v>
      </c>
      <c r="T89" s="73">
        <f>COUNTIFS(缺陷明细!$A$2:$A$50000,$B$4,缺陷明细!$G$2:$G$50000,$C89,缺陷明细!$Q$2:$Q$50000,"已关闭",缺陷明细!$J$2:$J$50000,"系统测试",缺陷明细!$K$2:$K$50000,"致命")+COUNTIFS(缺陷明细!$A$2:$A$50000,$B$4,缺陷明细!$G$2:$G$50000,$C89,缺陷明细!$Q$2:$Q$50000,"已关闭",缺陷明细!$J$2:$J$50000,"系统测试",缺陷明细!$K$2:$K$50000,"严重")</f>
        <v>0</v>
      </c>
      <c r="U89" s="74">
        <f>COUNTIFS(缺陷明细!$A$2:$A$50000,$B$4,缺陷明细!$G$2:$G$50000,$C89,缺陷明细!$J$2:$J$50000,"验收测试",缺陷明细!$AB$2:$AB$50000,"&lt;&gt;丢弃",缺陷明细!$AB$2:$AB$50000,"&lt;&gt;设计如此",缺陷明细!$AB$2:$AB$50000,"&lt;&gt;重复Bug")</f>
        <v>0</v>
      </c>
      <c r="V89" s="75">
        <f>COUNTIFS(缺陷明细!$A$2:$A$50000,$B$4,缺陷明细!$G$2:$G$50000,$C89,缺陷明细!$Q$2:$Q$50000,"已关闭",缺陷明细!$J$2:$J$50000,"验收测试")</f>
        <v>0</v>
      </c>
      <c r="W89" s="75">
        <f>COUNTIFS(缺陷明细!$A$2:$A$50000,$B$4,缺陷明细!$G$2:$G$50000,$C89,缺陷明细!$J$2:$J$50000,"验收测试",缺陷明细!$K$2:$K$50000,"致命",缺陷明细!$AB$2:$AB$50000,"&lt;&gt;丢弃",缺陷明细!$AB$2:$AB$50000,"&lt;&gt;设计如此",缺陷明细!$AB$2:$AB$50000,"&lt;&gt;重复Bug")+COUNTIFS(缺陷明细!$A$2:$A$50000,$B$4,缺陷明细!$G$2:$G$50000,$C89,缺陷明细!$J$2:$J$50000,"验收测试",缺陷明细!$K$2:$K$50000,"严重",缺陷明细!$AB$2:$AB$50000,"&lt;&gt;丢弃",缺陷明细!$AB$2:$AB$50000,"&lt;&gt;设计如此",缺陷明细!$AB$2:$AB$50000,"&lt;&gt;重复Bug")</f>
        <v>0</v>
      </c>
      <c r="X89" s="76">
        <f>COUNTIFS(缺陷明细!$A$2:$A$50000,$B$4,缺陷明细!$G$2:$G$50000,$C89,缺陷明细!$Q$2:$Q$50000,"已关闭",缺陷明细!$J$2:$J$50000,"验收测试",缺陷明细!$K$2:$K$50000,"致命")+COUNTIFS(缺陷明细!$A$2:$A$50000,$B$4,缺陷明细!$G$2:$G$50000,$C89,缺陷明细!$Q$2:$Q$50000,"已关闭",缺陷明细!$J$2:$J$50000,"验收测试",缺陷明细!$K$2:$K$50000,"严重")</f>
        <v>0</v>
      </c>
      <c r="Y89" s="70">
        <f>COUNTIFS(缺陷明细!$A$2:$A$50000,$B$4,缺陷明细!$G$2:$G$50000,$C89,缺陷明细!$J$2:$J$50000,"运维测试",缺陷明细!$AB$2:$AB$50000,"&lt;&gt;丢弃",缺陷明细!$AB$2:$AB$50000,"&lt;&gt;设计如此",缺陷明细!$AB$2:$AB$50000,"&lt;&gt;重复Bug")</f>
        <v>0</v>
      </c>
      <c r="Z89" s="71">
        <f>COUNTIFS(缺陷明细!$A$2:$A$50000,$B$4,缺陷明细!$G$2:$G$50000,$C89,缺陷明细!$Q$2:$Q$50000,"已关闭",缺陷明细!$J$2:$J$50000,"运维测试")</f>
        <v>0</v>
      </c>
      <c r="AA89" s="72">
        <f>COUNTIFS(缺陷明细!$A$2:$A$50000,$B$4,缺陷明细!$G$2:$G$50000,$C89,缺陷明细!$J$2:$J$50000,"运维测试",缺陷明细!$K$2:$K$50000,"致命",缺陷明细!$AB$2:$AB$50000,"&lt;&gt;丢弃",缺陷明细!$AB$2:$AB$50000,"&lt;&gt;设计如此",缺陷明细!$AB$2:$AB$50000,"&lt;&gt;重复Bug")+COUNTIFS(缺陷明细!$A$2:$A$50000,$B$4,缺陷明细!$G$2:$G$50000,$C89,缺陷明细!$J$2:$J$50000,"运维测试",缺陷明细!$K$2:$K$50000,"严重",缺陷明细!$AB$2:$AB$50000,"&lt;&gt;丢弃",缺陷明细!$AB$2:$AB$50000,"&lt;&gt;设计如此",缺陷明细!$AB$2:$AB$50000,"&lt;&gt;重复Bug")</f>
        <v>0</v>
      </c>
      <c r="AB89" s="73">
        <f>COUNTIFS(缺陷明细!$A$2:$A$50000,$B$4,缺陷明细!$G$2:$G$50000,$C89,缺陷明细!$Q$2:$Q$50000,"已关闭",缺陷明细!$J$2:$J$50000,"运维测试",缺陷明细!$K$2:$K$50000,"致命")+COUNTIFS(缺陷明细!$A$2:$A$50000,$B$4,缺陷明细!$G$2:$G$50000,$C89,缺陷明细!$Q$2:$Q$50000,"已关闭",缺陷明细!$J$2:$J$50000,"运维测试",缺陷明细!$K$2:$K$50000,"严重")</f>
        <v>0</v>
      </c>
      <c r="AC89" s="68">
        <f t="shared" si="4"/>
        <v>0</v>
      </c>
      <c r="AD89" s="60">
        <f t="shared" si="5"/>
        <v>0</v>
      </c>
      <c r="AE89" s="60">
        <f t="shared" si="6"/>
        <v>0</v>
      </c>
      <c r="AF89" s="60">
        <f t="shared" si="7"/>
        <v>0</v>
      </c>
      <c r="AG89" s="60">
        <f t="shared" si="8"/>
        <v>0</v>
      </c>
      <c r="AH89" s="60">
        <f t="shared" si="9"/>
        <v>0</v>
      </c>
      <c r="AI89" s="60">
        <f t="shared" si="10"/>
        <v>0</v>
      </c>
      <c r="AJ89" s="61">
        <f t="shared" si="11"/>
        <v>0</v>
      </c>
      <c r="AK89" s="144"/>
    </row>
    <row r="90" spans="1:37">
      <c r="A90">
        <v>86</v>
      </c>
      <c r="B90" s="57">
        <v>571</v>
      </c>
      <c r="C90" s="58" t="s">
        <v>431</v>
      </c>
      <c r="D90" s="84" t="s">
        <v>343</v>
      </c>
      <c r="E90" s="82" t="s">
        <v>346</v>
      </c>
      <c r="F90" s="158">
        <v>6</v>
      </c>
      <c r="G90" s="159">
        <v>8</v>
      </c>
      <c r="H90" s="281">
        <f>COUNTIFS(缺陷明细!$A$2:$A$50000,$B$4,缺陷明细!$G$2:$G$50000,$C90,缺陷明细!$J$2:$J$50000,"评审",缺陷明细!$AB$2:$AB$50000,"&lt;&gt;丢弃",缺陷明细!$AB$2:$AB$50000,"&lt;&gt;设计如此",缺陷明细!$AB$2:$AB$50000,"&lt;&gt;重复Bug")</f>
        <v>0</v>
      </c>
      <c r="I90" s="154">
        <f>COUNTIFS(缺陷明细!$A$2:$A$50000,$B$4,缺陷明细!$G$2:$G$50000,$C90,缺陷明细!$Q$2:$Q$50000,"已关闭",缺陷明细!$J$2:$J$50000,"评审")</f>
        <v>0</v>
      </c>
      <c r="J90" s="154">
        <f>COUNTIFS(缺陷明细!$A$2:$A$50000,$B$4,缺陷明细!$G$2:$G$50000,$C90,缺陷明细!$J$2:$J$50000,"单元测试",缺陷明细!$AB$2:$AB$50000,"&lt;&gt;丢弃",缺陷明细!$AB$2:$AB$50000,"&lt;&gt;设计如此",缺陷明细!$AB$2:$AB$50000,"&lt;&gt;重复Bug")</f>
        <v>0</v>
      </c>
      <c r="K90" s="155">
        <f>COUNTIFS(缺陷明细!$A$2:$A$50000,$B$4,缺陷明细!$G$2:$G$50000,$C90,缺陷明细!$Q$2:$Q$50000,"已关闭",缺陷明细!$J$2:$J$50000,"单元测试")</f>
        <v>0</v>
      </c>
      <c r="L90" s="156"/>
      <c r="M90" s="157"/>
      <c r="N90" s="72">
        <f>COUNTIFS(缺陷明细!$A$2:$A$50000,$B$4,缺陷明细!$G$2:$G$50000,$C90,缺陷明细!$J$2:$J$50000,"系统测试案例评审",缺陷明细!$AB$2:$AB$50000,"&lt;&gt;丢弃",缺陷明细!$AB$2:$AB$50000,"&lt;&gt;设计如此",缺陷明细!$AB$2:$AB$50000,"&lt;&gt;重复Bug")</f>
        <v>0</v>
      </c>
      <c r="O90" s="72">
        <f>COUNTIFS(缺陷明细!$A$2:$A$50000,$B$4,缺陷明细!$G$2:$G$50000,$C90,缺陷明细!$Q$2:$Q$50000,"已关闭",缺陷明细!$J$2:$J$50000,"系统测试案例评审")</f>
        <v>0</v>
      </c>
      <c r="P90" s="72">
        <f>COUNTIFS(缺陷明细!$A$2:$A$50000,$B$4,缺陷明细!$G$2:$G$50000,$C90,缺陷明细!$J$2:$J$50000,"系统测试",缺陷明细!$AB$2:$AB$50000,"&lt;&gt;丢弃",缺陷明细!$AB$2:$AB$50000,"&lt;&gt;设计如此",缺陷明细!$AB$2:$AB$50000,"&lt;&gt;重复Bug")</f>
        <v>0</v>
      </c>
      <c r="Q90" s="72">
        <f>COUNTIFS(缺陷明细!$A$2:$A$50000,$B$4,缺陷明细!$G$2:$G$50000,$C90,缺陷明细!$Q$2:$Q$50000,"已关闭",缺陷明细!$J$2:$J$50000,"系统测试")</f>
        <v>0</v>
      </c>
      <c r="R90" s="296">
        <f>COUNTIFS(缺陷明细!$A$2:$A$50000,$B$4,缺陷明细!$G$2:$G$50000,$C90,缺陷明细!$AB$2:$AB$50000,"丢弃",缺陷明细!$J$2:$J$50000,"系统测试")+COUNTIFS(缺陷明细!$A$2:$A$50000,$B$4,缺陷明细!$G$2:$G$50000,$C90,缺陷明细!$AB$2:$AB$50000,"设计如此",缺陷明细!$J$2:$J$50000,"系统测试")+COUNTIFS(缺陷明细!$A$2:$A$50000,$B$4,缺陷明细!$G$2:$G$50000,$C90,缺陷明细!$AB$2:$AB$50000,"重复Bug",缺陷明细!$J$2:$J$50000,"系统测试")</f>
        <v>0</v>
      </c>
      <c r="S90" s="72">
        <f>COUNTIFS(缺陷明细!$A$2:$A$50000,$B$4,缺陷明细!$G$2:$G$50000,$C90,缺陷明细!$J$2:$J$50000,"系统测试",缺陷明细!$K$2:$K$50000,"致命",缺陷明细!$AB$2:$AB$50000,"&lt;&gt;丢弃",缺陷明细!$AB$2:$AB$50000,"&lt;&gt;设计如此",缺陷明细!$AB$2:$AB$50000,"&lt;&gt;重复Bug")+COUNTIFS(缺陷明细!$A$2:$A$50000,$B$4,缺陷明细!$G$2:$G$50000,$C90,缺陷明细!$J$2:$J$50000,"系统测试",缺陷明细!$K$2:$K$50000,"严重",缺陷明细!$AB$2:$AB$50000,"&lt;&gt;丢弃",缺陷明细!$AB$2:$AB$50000,"&lt;&gt;设计如此",缺陷明细!$AB$2:$AB$50000,"&lt;&gt;重复Bug")</f>
        <v>0</v>
      </c>
      <c r="T90" s="73">
        <f>COUNTIFS(缺陷明细!$A$2:$A$50000,$B$4,缺陷明细!$G$2:$G$50000,$C90,缺陷明细!$Q$2:$Q$50000,"已关闭",缺陷明细!$J$2:$J$50000,"系统测试",缺陷明细!$K$2:$K$50000,"致命")+COUNTIFS(缺陷明细!$A$2:$A$50000,$B$4,缺陷明细!$G$2:$G$50000,$C90,缺陷明细!$Q$2:$Q$50000,"已关闭",缺陷明细!$J$2:$J$50000,"系统测试",缺陷明细!$K$2:$K$50000,"严重")</f>
        <v>0</v>
      </c>
      <c r="U90" s="74">
        <f>COUNTIFS(缺陷明细!$A$2:$A$50000,$B$4,缺陷明细!$G$2:$G$50000,$C90,缺陷明细!$J$2:$J$50000,"验收测试",缺陷明细!$AB$2:$AB$50000,"&lt;&gt;丢弃",缺陷明细!$AB$2:$AB$50000,"&lt;&gt;设计如此",缺陷明细!$AB$2:$AB$50000,"&lt;&gt;重复Bug")</f>
        <v>0</v>
      </c>
      <c r="V90" s="75">
        <f>COUNTIFS(缺陷明细!$A$2:$A$50000,$B$4,缺陷明细!$G$2:$G$50000,$C90,缺陷明细!$Q$2:$Q$50000,"已关闭",缺陷明细!$J$2:$J$50000,"验收测试")</f>
        <v>0</v>
      </c>
      <c r="W90" s="75">
        <f>COUNTIFS(缺陷明细!$A$2:$A$50000,$B$4,缺陷明细!$G$2:$G$50000,$C90,缺陷明细!$J$2:$J$50000,"验收测试",缺陷明细!$K$2:$K$50000,"致命",缺陷明细!$AB$2:$AB$50000,"&lt;&gt;丢弃",缺陷明细!$AB$2:$AB$50000,"&lt;&gt;设计如此",缺陷明细!$AB$2:$AB$50000,"&lt;&gt;重复Bug")+COUNTIFS(缺陷明细!$A$2:$A$50000,$B$4,缺陷明细!$G$2:$G$50000,$C90,缺陷明细!$J$2:$J$50000,"验收测试",缺陷明细!$K$2:$K$50000,"严重",缺陷明细!$AB$2:$AB$50000,"&lt;&gt;丢弃",缺陷明细!$AB$2:$AB$50000,"&lt;&gt;设计如此",缺陷明细!$AB$2:$AB$50000,"&lt;&gt;重复Bug")</f>
        <v>0</v>
      </c>
      <c r="X90" s="76">
        <f>COUNTIFS(缺陷明细!$A$2:$A$50000,$B$4,缺陷明细!$G$2:$G$50000,$C90,缺陷明细!$Q$2:$Q$50000,"已关闭",缺陷明细!$J$2:$J$50000,"验收测试",缺陷明细!$K$2:$K$50000,"致命")+COUNTIFS(缺陷明细!$A$2:$A$50000,$B$4,缺陷明细!$G$2:$G$50000,$C90,缺陷明细!$Q$2:$Q$50000,"已关闭",缺陷明细!$J$2:$J$50000,"验收测试",缺陷明细!$K$2:$K$50000,"严重")</f>
        <v>0</v>
      </c>
      <c r="Y90" s="70">
        <f>COUNTIFS(缺陷明细!$A$2:$A$50000,$B$4,缺陷明细!$G$2:$G$50000,$C90,缺陷明细!$J$2:$J$50000,"运维测试",缺陷明细!$AB$2:$AB$50000,"&lt;&gt;丢弃",缺陷明细!$AB$2:$AB$50000,"&lt;&gt;设计如此",缺陷明细!$AB$2:$AB$50000,"&lt;&gt;重复Bug")</f>
        <v>0</v>
      </c>
      <c r="Z90" s="71">
        <f>COUNTIFS(缺陷明细!$A$2:$A$50000,$B$4,缺陷明细!$G$2:$G$50000,$C90,缺陷明细!$Q$2:$Q$50000,"已关闭",缺陷明细!$J$2:$J$50000,"运维测试")</f>
        <v>0</v>
      </c>
      <c r="AA90" s="72">
        <f>COUNTIFS(缺陷明细!$A$2:$A$50000,$B$4,缺陷明细!$G$2:$G$50000,$C90,缺陷明细!$J$2:$J$50000,"运维测试",缺陷明细!$K$2:$K$50000,"致命",缺陷明细!$AB$2:$AB$50000,"&lt;&gt;丢弃",缺陷明细!$AB$2:$AB$50000,"&lt;&gt;设计如此",缺陷明细!$AB$2:$AB$50000,"&lt;&gt;重复Bug")+COUNTIFS(缺陷明细!$A$2:$A$50000,$B$4,缺陷明细!$G$2:$G$50000,$C90,缺陷明细!$J$2:$J$50000,"运维测试",缺陷明细!$K$2:$K$50000,"严重",缺陷明细!$AB$2:$AB$50000,"&lt;&gt;丢弃",缺陷明细!$AB$2:$AB$50000,"&lt;&gt;设计如此",缺陷明细!$AB$2:$AB$50000,"&lt;&gt;重复Bug")</f>
        <v>0</v>
      </c>
      <c r="AB90" s="73">
        <f>COUNTIFS(缺陷明细!$A$2:$A$50000,$B$4,缺陷明细!$G$2:$G$50000,$C90,缺陷明细!$Q$2:$Q$50000,"已关闭",缺陷明细!$J$2:$J$50000,"运维测试",缺陷明细!$K$2:$K$50000,"致命")+COUNTIFS(缺陷明细!$A$2:$A$50000,$B$4,缺陷明细!$G$2:$G$50000,$C90,缺陷明细!$Q$2:$Q$50000,"已关闭",缺陷明细!$J$2:$J$50000,"运维测试",缺陷明细!$K$2:$K$50000,"严重")</f>
        <v>0</v>
      </c>
      <c r="AC90" s="68">
        <f t="shared" si="4"/>
        <v>0</v>
      </c>
      <c r="AD90" s="60">
        <f t="shared" si="5"/>
        <v>0</v>
      </c>
      <c r="AE90" s="60">
        <f t="shared" si="6"/>
        <v>0</v>
      </c>
      <c r="AF90" s="60">
        <f t="shared" si="7"/>
        <v>0</v>
      </c>
      <c r="AG90" s="60">
        <f t="shared" si="8"/>
        <v>0</v>
      </c>
      <c r="AH90" s="60">
        <f t="shared" si="9"/>
        <v>0</v>
      </c>
      <c r="AI90" s="60">
        <f t="shared" si="10"/>
        <v>0</v>
      </c>
      <c r="AJ90" s="61">
        <f t="shared" si="11"/>
        <v>0</v>
      </c>
      <c r="AK90" s="144"/>
    </row>
    <row r="91" spans="1:37" ht="38.25">
      <c r="A91">
        <v>87</v>
      </c>
      <c r="B91" s="57">
        <v>572</v>
      </c>
      <c r="C91" s="58" t="s">
        <v>432</v>
      </c>
      <c r="D91" s="84" t="s">
        <v>343</v>
      </c>
      <c r="E91" s="82" t="s">
        <v>346</v>
      </c>
      <c r="F91" s="158">
        <v>2</v>
      </c>
      <c r="G91" s="159">
        <v>2</v>
      </c>
      <c r="H91" s="281">
        <f>COUNTIFS(缺陷明细!$A$2:$A$50000,$B$4,缺陷明细!$G$2:$G$50000,$C91,缺陷明细!$J$2:$J$50000,"评审",缺陷明细!$AB$2:$AB$50000,"&lt;&gt;丢弃",缺陷明细!$AB$2:$AB$50000,"&lt;&gt;设计如此",缺陷明细!$AB$2:$AB$50000,"&lt;&gt;重复Bug")</f>
        <v>0</v>
      </c>
      <c r="I91" s="154">
        <f>COUNTIFS(缺陷明细!$A$2:$A$50000,$B$4,缺陷明细!$G$2:$G$50000,$C91,缺陷明细!$Q$2:$Q$50000,"已关闭",缺陷明细!$J$2:$J$50000,"评审")</f>
        <v>0</v>
      </c>
      <c r="J91" s="154">
        <f>COUNTIFS(缺陷明细!$A$2:$A$50000,$B$4,缺陷明细!$G$2:$G$50000,$C91,缺陷明细!$J$2:$J$50000,"单元测试",缺陷明细!$AB$2:$AB$50000,"&lt;&gt;丢弃",缺陷明细!$AB$2:$AB$50000,"&lt;&gt;设计如此",缺陷明细!$AB$2:$AB$50000,"&lt;&gt;重复Bug")</f>
        <v>0</v>
      </c>
      <c r="K91" s="155">
        <f>COUNTIFS(缺陷明细!$A$2:$A$50000,$B$4,缺陷明细!$G$2:$G$50000,$C91,缺陷明细!$Q$2:$Q$50000,"已关闭",缺陷明细!$J$2:$J$50000,"单元测试")</f>
        <v>0</v>
      </c>
      <c r="L91" s="156"/>
      <c r="M91" s="157"/>
      <c r="N91" s="72">
        <f>COUNTIFS(缺陷明细!$A$2:$A$50000,$B$4,缺陷明细!$G$2:$G$50000,$C91,缺陷明细!$J$2:$J$50000,"系统测试案例评审",缺陷明细!$AB$2:$AB$50000,"&lt;&gt;丢弃",缺陷明细!$AB$2:$AB$50000,"&lt;&gt;设计如此",缺陷明细!$AB$2:$AB$50000,"&lt;&gt;重复Bug")</f>
        <v>0</v>
      </c>
      <c r="O91" s="72">
        <f>COUNTIFS(缺陷明细!$A$2:$A$50000,$B$4,缺陷明细!$G$2:$G$50000,$C91,缺陷明细!$Q$2:$Q$50000,"已关闭",缺陷明细!$J$2:$J$50000,"系统测试案例评审")</f>
        <v>0</v>
      </c>
      <c r="P91" s="72">
        <f>COUNTIFS(缺陷明细!$A$2:$A$50000,$B$4,缺陷明细!$G$2:$G$50000,$C91,缺陷明细!$J$2:$J$50000,"系统测试",缺陷明细!$AB$2:$AB$50000,"&lt;&gt;丢弃",缺陷明细!$AB$2:$AB$50000,"&lt;&gt;设计如此",缺陷明细!$AB$2:$AB$50000,"&lt;&gt;重复Bug")</f>
        <v>0</v>
      </c>
      <c r="Q91" s="72">
        <f>COUNTIFS(缺陷明细!$A$2:$A$50000,$B$4,缺陷明细!$G$2:$G$50000,$C91,缺陷明细!$Q$2:$Q$50000,"已关闭",缺陷明细!$J$2:$J$50000,"系统测试")</f>
        <v>0</v>
      </c>
      <c r="R91" s="296">
        <f>COUNTIFS(缺陷明细!$A$2:$A$50000,$B$4,缺陷明细!$G$2:$G$50000,$C91,缺陷明细!$AB$2:$AB$50000,"丢弃",缺陷明细!$J$2:$J$50000,"系统测试")+COUNTIFS(缺陷明细!$A$2:$A$50000,$B$4,缺陷明细!$G$2:$G$50000,$C91,缺陷明细!$AB$2:$AB$50000,"设计如此",缺陷明细!$J$2:$J$50000,"系统测试")+COUNTIFS(缺陷明细!$A$2:$A$50000,$B$4,缺陷明细!$G$2:$G$50000,$C91,缺陷明细!$AB$2:$AB$50000,"重复Bug",缺陷明细!$J$2:$J$50000,"系统测试")</f>
        <v>0</v>
      </c>
      <c r="S91" s="72">
        <f>COUNTIFS(缺陷明细!$A$2:$A$50000,$B$4,缺陷明细!$G$2:$G$50000,$C91,缺陷明细!$J$2:$J$50000,"系统测试",缺陷明细!$K$2:$K$50000,"致命",缺陷明细!$AB$2:$AB$50000,"&lt;&gt;丢弃",缺陷明细!$AB$2:$AB$50000,"&lt;&gt;设计如此",缺陷明细!$AB$2:$AB$50000,"&lt;&gt;重复Bug")+COUNTIFS(缺陷明细!$A$2:$A$50000,$B$4,缺陷明细!$G$2:$G$50000,$C91,缺陷明细!$J$2:$J$50000,"系统测试",缺陷明细!$K$2:$K$50000,"严重",缺陷明细!$AB$2:$AB$50000,"&lt;&gt;丢弃",缺陷明细!$AB$2:$AB$50000,"&lt;&gt;设计如此",缺陷明细!$AB$2:$AB$50000,"&lt;&gt;重复Bug")</f>
        <v>0</v>
      </c>
      <c r="T91" s="73">
        <f>COUNTIFS(缺陷明细!$A$2:$A$50000,$B$4,缺陷明细!$G$2:$G$50000,$C91,缺陷明细!$Q$2:$Q$50000,"已关闭",缺陷明细!$J$2:$J$50000,"系统测试",缺陷明细!$K$2:$K$50000,"致命")+COUNTIFS(缺陷明细!$A$2:$A$50000,$B$4,缺陷明细!$G$2:$G$50000,$C91,缺陷明细!$Q$2:$Q$50000,"已关闭",缺陷明细!$J$2:$J$50000,"系统测试",缺陷明细!$K$2:$K$50000,"严重")</f>
        <v>0</v>
      </c>
      <c r="U91" s="74">
        <f>COUNTIFS(缺陷明细!$A$2:$A$50000,$B$4,缺陷明细!$G$2:$G$50000,$C91,缺陷明细!$J$2:$J$50000,"验收测试",缺陷明细!$AB$2:$AB$50000,"&lt;&gt;丢弃",缺陷明细!$AB$2:$AB$50000,"&lt;&gt;设计如此",缺陷明细!$AB$2:$AB$50000,"&lt;&gt;重复Bug")</f>
        <v>0</v>
      </c>
      <c r="V91" s="75">
        <f>COUNTIFS(缺陷明细!$A$2:$A$50000,$B$4,缺陷明细!$G$2:$G$50000,$C91,缺陷明细!$Q$2:$Q$50000,"已关闭",缺陷明细!$J$2:$J$50000,"验收测试")</f>
        <v>0</v>
      </c>
      <c r="W91" s="75">
        <f>COUNTIFS(缺陷明细!$A$2:$A$50000,$B$4,缺陷明细!$G$2:$G$50000,$C91,缺陷明细!$J$2:$J$50000,"验收测试",缺陷明细!$K$2:$K$50000,"致命",缺陷明细!$AB$2:$AB$50000,"&lt;&gt;丢弃",缺陷明细!$AB$2:$AB$50000,"&lt;&gt;设计如此",缺陷明细!$AB$2:$AB$50000,"&lt;&gt;重复Bug")+COUNTIFS(缺陷明细!$A$2:$A$50000,$B$4,缺陷明细!$G$2:$G$50000,$C91,缺陷明细!$J$2:$J$50000,"验收测试",缺陷明细!$K$2:$K$50000,"严重",缺陷明细!$AB$2:$AB$50000,"&lt;&gt;丢弃",缺陷明细!$AB$2:$AB$50000,"&lt;&gt;设计如此",缺陷明细!$AB$2:$AB$50000,"&lt;&gt;重复Bug")</f>
        <v>0</v>
      </c>
      <c r="X91" s="76">
        <f>COUNTIFS(缺陷明细!$A$2:$A$50000,$B$4,缺陷明细!$G$2:$G$50000,$C91,缺陷明细!$Q$2:$Q$50000,"已关闭",缺陷明细!$J$2:$J$50000,"验收测试",缺陷明细!$K$2:$K$50000,"致命")+COUNTIFS(缺陷明细!$A$2:$A$50000,$B$4,缺陷明细!$G$2:$G$50000,$C91,缺陷明细!$Q$2:$Q$50000,"已关闭",缺陷明细!$J$2:$J$50000,"验收测试",缺陷明细!$K$2:$K$50000,"严重")</f>
        <v>0</v>
      </c>
      <c r="Y91" s="70">
        <f>COUNTIFS(缺陷明细!$A$2:$A$50000,$B$4,缺陷明细!$G$2:$G$50000,$C91,缺陷明细!$J$2:$J$50000,"运维测试",缺陷明细!$AB$2:$AB$50000,"&lt;&gt;丢弃",缺陷明细!$AB$2:$AB$50000,"&lt;&gt;设计如此",缺陷明细!$AB$2:$AB$50000,"&lt;&gt;重复Bug")</f>
        <v>0</v>
      </c>
      <c r="Z91" s="71">
        <f>COUNTIFS(缺陷明细!$A$2:$A$50000,$B$4,缺陷明细!$G$2:$G$50000,$C91,缺陷明细!$Q$2:$Q$50000,"已关闭",缺陷明细!$J$2:$J$50000,"运维测试")</f>
        <v>0</v>
      </c>
      <c r="AA91" s="72">
        <f>COUNTIFS(缺陷明细!$A$2:$A$50000,$B$4,缺陷明细!$G$2:$G$50000,$C91,缺陷明细!$J$2:$J$50000,"运维测试",缺陷明细!$K$2:$K$50000,"致命",缺陷明细!$AB$2:$AB$50000,"&lt;&gt;丢弃",缺陷明细!$AB$2:$AB$50000,"&lt;&gt;设计如此",缺陷明细!$AB$2:$AB$50000,"&lt;&gt;重复Bug")+COUNTIFS(缺陷明细!$A$2:$A$50000,$B$4,缺陷明细!$G$2:$G$50000,$C91,缺陷明细!$J$2:$J$50000,"运维测试",缺陷明细!$K$2:$K$50000,"严重",缺陷明细!$AB$2:$AB$50000,"&lt;&gt;丢弃",缺陷明细!$AB$2:$AB$50000,"&lt;&gt;设计如此",缺陷明细!$AB$2:$AB$50000,"&lt;&gt;重复Bug")</f>
        <v>0</v>
      </c>
      <c r="AB91" s="73">
        <f>COUNTIFS(缺陷明细!$A$2:$A$50000,$B$4,缺陷明细!$G$2:$G$50000,$C91,缺陷明细!$Q$2:$Q$50000,"已关闭",缺陷明细!$J$2:$J$50000,"运维测试",缺陷明细!$K$2:$K$50000,"致命")+COUNTIFS(缺陷明细!$A$2:$A$50000,$B$4,缺陷明细!$G$2:$G$50000,$C91,缺陷明细!$Q$2:$Q$50000,"已关闭",缺陷明细!$J$2:$J$50000,"运维测试",缺陷明细!$K$2:$K$50000,"严重")</f>
        <v>0</v>
      </c>
      <c r="AC91" s="68">
        <f t="shared" si="4"/>
        <v>0</v>
      </c>
      <c r="AD91" s="60">
        <f t="shared" si="5"/>
        <v>0</v>
      </c>
      <c r="AE91" s="60">
        <f t="shared" si="6"/>
        <v>0</v>
      </c>
      <c r="AF91" s="60">
        <f t="shared" si="7"/>
        <v>0</v>
      </c>
      <c r="AG91" s="60">
        <f t="shared" si="8"/>
        <v>0</v>
      </c>
      <c r="AH91" s="60">
        <f t="shared" si="9"/>
        <v>0</v>
      </c>
      <c r="AI91" s="60">
        <f t="shared" si="10"/>
        <v>0</v>
      </c>
      <c r="AJ91" s="61">
        <f t="shared" si="11"/>
        <v>0</v>
      </c>
      <c r="AK91" s="144"/>
    </row>
    <row r="92" spans="1:37" ht="38.25">
      <c r="A92">
        <v>88</v>
      </c>
      <c r="B92" s="57">
        <v>573</v>
      </c>
      <c r="C92" s="58" t="s">
        <v>433</v>
      </c>
      <c r="D92" s="84" t="s">
        <v>343</v>
      </c>
      <c r="E92" s="82" t="s">
        <v>346</v>
      </c>
      <c r="F92" s="158">
        <v>2</v>
      </c>
      <c r="G92" s="159">
        <v>2</v>
      </c>
      <c r="H92" s="281">
        <f>COUNTIFS(缺陷明细!$A$2:$A$50000,$B$4,缺陷明细!$G$2:$G$50000,$C92,缺陷明细!$J$2:$J$50000,"评审",缺陷明细!$AB$2:$AB$50000,"&lt;&gt;丢弃",缺陷明细!$AB$2:$AB$50000,"&lt;&gt;设计如此",缺陷明细!$AB$2:$AB$50000,"&lt;&gt;重复Bug")</f>
        <v>0</v>
      </c>
      <c r="I92" s="154">
        <f>COUNTIFS(缺陷明细!$A$2:$A$50000,$B$4,缺陷明细!$G$2:$G$50000,$C92,缺陷明细!$Q$2:$Q$50000,"已关闭",缺陷明细!$J$2:$J$50000,"评审")</f>
        <v>0</v>
      </c>
      <c r="J92" s="154">
        <f>COUNTIFS(缺陷明细!$A$2:$A$50000,$B$4,缺陷明细!$G$2:$G$50000,$C92,缺陷明细!$J$2:$J$50000,"单元测试",缺陷明细!$AB$2:$AB$50000,"&lt;&gt;丢弃",缺陷明细!$AB$2:$AB$50000,"&lt;&gt;设计如此",缺陷明细!$AB$2:$AB$50000,"&lt;&gt;重复Bug")</f>
        <v>0</v>
      </c>
      <c r="K92" s="155">
        <f>COUNTIFS(缺陷明细!$A$2:$A$50000,$B$4,缺陷明细!$G$2:$G$50000,$C92,缺陷明细!$Q$2:$Q$50000,"已关闭",缺陷明细!$J$2:$J$50000,"单元测试")</f>
        <v>0</v>
      </c>
      <c r="L92" s="156"/>
      <c r="M92" s="157"/>
      <c r="N92" s="72">
        <f>COUNTIFS(缺陷明细!$A$2:$A$50000,$B$4,缺陷明细!$G$2:$G$50000,$C92,缺陷明细!$J$2:$J$50000,"系统测试案例评审",缺陷明细!$AB$2:$AB$50000,"&lt;&gt;丢弃",缺陷明细!$AB$2:$AB$50000,"&lt;&gt;设计如此",缺陷明细!$AB$2:$AB$50000,"&lt;&gt;重复Bug")</f>
        <v>0</v>
      </c>
      <c r="O92" s="72">
        <f>COUNTIFS(缺陷明细!$A$2:$A$50000,$B$4,缺陷明细!$G$2:$G$50000,$C92,缺陷明细!$Q$2:$Q$50000,"已关闭",缺陷明细!$J$2:$J$50000,"系统测试案例评审")</f>
        <v>0</v>
      </c>
      <c r="P92" s="72">
        <f>COUNTIFS(缺陷明细!$A$2:$A$50000,$B$4,缺陷明细!$G$2:$G$50000,$C92,缺陷明细!$J$2:$J$50000,"系统测试",缺陷明细!$AB$2:$AB$50000,"&lt;&gt;丢弃",缺陷明细!$AB$2:$AB$50000,"&lt;&gt;设计如此",缺陷明细!$AB$2:$AB$50000,"&lt;&gt;重复Bug")</f>
        <v>0</v>
      </c>
      <c r="Q92" s="72">
        <f>COUNTIFS(缺陷明细!$A$2:$A$50000,$B$4,缺陷明细!$G$2:$G$50000,$C92,缺陷明细!$Q$2:$Q$50000,"已关闭",缺陷明细!$J$2:$J$50000,"系统测试")</f>
        <v>0</v>
      </c>
      <c r="R92" s="296">
        <f>COUNTIFS(缺陷明细!$A$2:$A$50000,$B$4,缺陷明细!$G$2:$G$50000,$C92,缺陷明细!$AB$2:$AB$50000,"丢弃",缺陷明细!$J$2:$J$50000,"系统测试")+COUNTIFS(缺陷明细!$A$2:$A$50000,$B$4,缺陷明细!$G$2:$G$50000,$C92,缺陷明细!$AB$2:$AB$50000,"设计如此",缺陷明细!$J$2:$J$50000,"系统测试")+COUNTIFS(缺陷明细!$A$2:$A$50000,$B$4,缺陷明细!$G$2:$G$50000,$C92,缺陷明细!$AB$2:$AB$50000,"重复Bug",缺陷明细!$J$2:$J$50000,"系统测试")</f>
        <v>0</v>
      </c>
      <c r="S92" s="72">
        <f>COUNTIFS(缺陷明细!$A$2:$A$50000,$B$4,缺陷明细!$G$2:$G$50000,$C92,缺陷明细!$J$2:$J$50000,"系统测试",缺陷明细!$K$2:$K$50000,"致命",缺陷明细!$AB$2:$AB$50000,"&lt;&gt;丢弃",缺陷明细!$AB$2:$AB$50000,"&lt;&gt;设计如此",缺陷明细!$AB$2:$AB$50000,"&lt;&gt;重复Bug")+COUNTIFS(缺陷明细!$A$2:$A$50000,$B$4,缺陷明细!$G$2:$G$50000,$C92,缺陷明细!$J$2:$J$50000,"系统测试",缺陷明细!$K$2:$K$50000,"严重",缺陷明细!$AB$2:$AB$50000,"&lt;&gt;丢弃",缺陷明细!$AB$2:$AB$50000,"&lt;&gt;设计如此",缺陷明细!$AB$2:$AB$50000,"&lt;&gt;重复Bug")</f>
        <v>0</v>
      </c>
      <c r="T92" s="73">
        <f>COUNTIFS(缺陷明细!$A$2:$A$50000,$B$4,缺陷明细!$G$2:$G$50000,$C92,缺陷明细!$Q$2:$Q$50000,"已关闭",缺陷明细!$J$2:$J$50000,"系统测试",缺陷明细!$K$2:$K$50000,"致命")+COUNTIFS(缺陷明细!$A$2:$A$50000,$B$4,缺陷明细!$G$2:$G$50000,$C92,缺陷明细!$Q$2:$Q$50000,"已关闭",缺陷明细!$J$2:$J$50000,"系统测试",缺陷明细!$K$2:$K$50000,"严重")</f>
        <v>0</v>
      </c>
      <c r="U92" s="74">
        <f>COUNTIFS(缺陷明细!$A$2:$A$50000,$B$4,缺陷明细!$G$2:$G$50000,$C92,缺陷明细!$J$2:$J$50000,"验收测试",缺陷明细!$AB$2:$AB$50000,"&lt;&gt;丢弃",缺陷明细!$AB$2:$AB$50000,"&lt;&gt;设计如此",缺陷明细!$AB$2:$AB$50000,"&lt;&gt;重复Bug")</f>
        <v>0</v>
      </c>
      <c r="V92" s="75">
        <f>COUNTIFS(缺陷明细!$A$2:$A$50000,$B$4,缺陷明细!$G$2:$G$50000,$C92,缺陷明细!$Q$2:$Q$50000,"已关闭",缺陷明细!$J$2:$J$50000,"验收测试")</f>
        <v>0</v>
      </c>
      <c r="W92" s="75">
        <f>COUNTIFS(缺陷明细!$A$2:$A$50000,$B$4,缺陷明细!$G$2:$G$50000,$C92,缺陷明细!$J$2:$J$50000,"验收测试",缺陷明细!$K$2:$K$50000,"致命",缺陷明细!$AB$2:$AB$50000,"&lt;&gt;丢弃",缺陷明细!$AB$2:$AB$50000,"&lt;&gt;设计如此",缺陷明细!$AB$2:$AB$50000,"&lt;&gt;重复Bug")+COUNTIFS(缺陷明细!$A$2:$A$50000,$B$4,缺陷明细!$G$2:$G$50000,$C92,缺陷明细!$J$2:$J$50000,"验收测试",缺陷明细!$K$2:$K$50000,"严重",缺陷明细!$AB$2:$AB$50000,"&lt;&gt;丢弃",缺陷明细!$AB$2:$AB$50000,"&lt;&gt;设计如此",缺陷明细!$AB$2:$AB$50000,"&lt;&gt;重复Bug")</f>
        <v>0</v>
      </c>
      <c r="X92" s="76">
        <f>COUNTIFS(缺陷明细!$A$2:$A$50000,$B$4,缺陷明细!$G$2:$G$50000,$C92,缺陷明细!$Q$2:$Q$50000,"已关闭",缺陷明细!$J$2:$J$50000,"验收测试",缺陷明细!$K$2:$K$50000,"致命")+COUNTIFS(缺陷明细!$A$2:$A$50000,$B$4,缺陷明细!$G$2:$G$50000,$C92,缺陷明细!$Q$2:$Q$50000,"已关闭",缺陷明细!$J$2:$J$50000,"验收测试",缺陷明细!$K$2:$K$50000,"严重")</f>
        <v>0</v>
      </c>
      <c r="Y92" s="70">
        <f>COUNTIFS(缺陷明细!$A$2:$A$50000,$B$4,缺陷明细!$G$2:$G$50000,$C92,缺陷明细!$J$2:$J$50000,"运维测试",缺陷明细!$AB$2:$AB$50000,"&lt;&gt;丢弃",缺陷明细!$AB$2:$AB$50000,"&lt;&gt;设计如此",缺陷明细!$AB$2:$AB$50000,"&lt;&gt;重复Bug")</f>
        <v>0</v>
      </c>
      <c r="Z92" s="71">
        <f>COUNTIFS(缺陷明细!$A$2:$A$50000,$B$4,缺陷明细!$G$2:$G$50000,$C92,缺陷明细!$Q$2:$Q$50000,"已关闭",缺陷明细!$J$2:$J$50000,"运维测试")</f>
        <v>0</v>
      </c>
      <c r="AA92" s="72">
        <f>COUNTIFS(缺陷明细!$A$2:$A$50000,$B$4,缺陷明细!$G$2:$G$50000,$C92,缺陷明细!$J$2:$J$50000,"运维测试",缺陷明细!$K$2:$K$50000,"致命",缺陷明细!$AB$2:$AB$50000,"&lt;&gt;丢弃",缺陷明细!$AB$2:$AB$50000,"&lt;&gt;设计如此",缺陷明细!$AB$2:$AB$50000,"&lt;&gt;重复Bug")+COUNTIFS(缺陷明细!$A$2:$A$50000,$B$4,缺陷明细!$G$2:$G$50000,$C92,缺陷明细!$J$2:$J$50000,"运维测试",缺陷明细!$K$2:$K$50000,"严重",缺陷明细!$AB$2:$AB$50000,"&lt;&gt;丢弃",缺陷明细!$AB$2:$AB$50000,"&lt;&gt;设计如此",缺陷明细!$AB$2:$AB$50000,"&lt;&gt;重复Bug")</f>
        <v>0</v>
      </c>
      <c r="AB92" s="73">
        <f>COUNTIFS(缺陷明细!$A$2:$A$50000,$B$4,缺陷明细!$G$2:$G$50000,$C92,缺陷明细!$Q$2:$Q$50000,"已关闭",缺陷明细!$J$2:$J$50000,"运维测试",缺陷明细!$K$2:$K$50000,"致命")+COUNTIFS(缺陷明细!$A$2:$A$50000,$B$4,缺陷明细!$G$2:$G$50000,$C92,缺陷明细!$Q$2:$Q$50000,"已关闭",缺陷明细!$J$2:$J$50000,"运维测试",缺陷明细!$K$2:$K$50000,"严重")</f>
        <v>0</v>
      </c>
      <c r="AC92" s="68">
        <f t="shared" si="4"/>
        <v>0</v>
      </c>
      <c r="AD92" s="60">
        <f t="shared" si="5"/>
        <v>0</v>
      </c>
      <c r="AE92" s="60">
        <f t="shared" si="6"/>
        <v>0</v>
      </c>
      <c r="AF92" s="60">
        <f t="shared" si="7"/>
        <v>0</v>
      </c>
      <c r="AG92" s="60">
        <f t="shared" si="8"/>
        <v>0</v>
      </c>
      <c r="AH92" s="60">
        <f t="shared" si="9"/>
        <v>0</v>
      </c>
      <c r="AI92" s="60">
        <f t="shared" si="10"/>
        <v>0</v>
      </c>
      <c r="AJ92" s="61">
        <f t="shared" si="11"/>
        <v>0</v>
      </c>
      <c r="AK92" s="144"/>
    </row>
    <row r="93" spans="1:37" ht="38.25">
      <c r="A93">
        <v>89</v>
      </c>
      <c r="B93" s="57">
        <v>574</v>
      </c>
      <c r="C93" s="58" t="s">
        <v>434</v>
      </c>
      <c r="D93" s="84" t="s">
        <v>343</v>
      </c>
      <c r="E93" s="82" t="s">
        <v>346</v>
      </c>
      <c r="F93" s="158">
        <v>4</v>
      </c>
      <c r="G93" s="159">
        <v>4</v>
      </c>
      <c r="H93" s="281">
        <f>COUNTIFS(缺陷明细!$A$2:$A$50000,$B$4,缺陷明细!$G$2:$G$50000,$C93,缺陷明细!$J$2:$J$50000,"评审",缺陷明细!$AB$2:$AB$50000,"&lt;&gt;丢弃",缺陷明细!$AB$2:$AB$50000,"&lt;&gt;设计如此",缺陷明细!$AB$2:$AB$50000,"&lt;&gt;重复Bug")</f>
        <v>0</v>
      </c>
      <c r="I93" s="154">
        <f>COUNTIFS(缺陷明细!$A$2:$A$50000,$B$4,缺陷明细!$G$2:$G$50000,$C93,缺陷明细!$Q$2:$Q$50000,"已关闭",缺陷明细!$J$2:$J$50000,"评审")</f>
        <v>0</v>
      </c>
      <c r="J93" s="154">
        <f>COUNTIFS(缺陷明细!$A$2:$A$50000,$B$4,缺陷明细!$G$2:$G$50000,$C93,缺陷明细!$J$2:$J$50000,"单元测试",缺陷明细!$AB$2:$AB$50000,"&lt;&gt;丢弃",缺陷明细!$AB$2:$AB$50000,"&lt;&gt;设计如此",缺陷明细!$AB$2:$AB$50000,"&lt;&gt;重复Bug")</f>
        <v>0</v>
      </c>
      <c r="K93" s="155">
        <f>COUNTIFS(缺陷明细!$A$2:$A$50000,$B$4,缺陷明细!$G$2:$G$50000,$C93,缺陷明细!$Q$2:$Q$50000,"已关闭",缺陷明细!$J$2:$J$50000,"单元测试")</f>
        <v>0</v>
      </c>
      <c r="L93" s="156"/>
      <c r="M93" s="157"/>
      <c r="N93" s="72">
        <f>COUNTIFS(缺陷明细!$A$2:$A$50000,$B$4,缺陷明细!$G$2:$G$50000,$C93,缺陷明细!$J$2:$J$50000,"系统测试案例评审",缺陷明细!$AB$2:$AB$50000,"&lt;&gt;丢弃",缺陷明细!$AB$2:$AB$50000,"&lt;&gt;设计如此",缺陷明细!$AB$2:$AB$50000,"&lt;&gt;重复Bug")</f>
        <v>0</v>
      </c>
      <c r="O93" s="72">
        <f>COUNTIFS(缺陷明细!$A$2:$A$50000,$B$4,缺陷明细!$G$2:$G$50000,$C93,缺陷明细!$Q$2:$Q$50000,"已关闭",缺陷明细!$J$2:$J$50000,"系统测试案例评审")</f>
        <v>0</v>
      </c>
      <c r="P93" s="72">
        <f>COUNTIFS(缺陷明细!$A$2:$A$50000,$B$4,缺陷明细!$G$2:$G$50000,$C93,缺陷明细!$J$2:$J$50000,"系统测试",缺陷明细!$AB$2:$AB$50000,"&lt;&gt;丢弃",缺陷明细!$AB$2:$AB$50000,"&lt;&gt;设计如此",缺陷明细!$AB$2:$AB$50000,"&lt;&gt;重复Bug")</f>
        <v>0</v>
      </c>
      <c r="Q93" s="72">
        <f>COUNTIFS(缺陷明细!$A$2:$A$50000,$B$4,缺陷明细!$G$2:$G$50000,$C93,缺陷明细!$Q$2:$Q$50000,"已关闭",缺陷明细!$J$2:$J$50000,"系统测试")</f>
        <v>0</v>
      </c>
      <c r="R93" s="296">
        <f>COUNTIFS(缺陷明细!$A$2:$A$50000,$B$4,缺陷明细!$G$2:$G$50000,$C93,缺陷明细!$AB$2:$AB$50000,"丢弃",缺陷明细!$J$2:$J$50000,"系统测试")+COUNTIFS(缺陷明细!$A$2:$A$50000,$B$4,缺陷明细!$G$2:$G$50000,$C93,缺陷明细!$AB$2:$AB$50000,"设计如此",缺陷明细!$J$2:$J$50000,"系统测试")+COUNTIFS(缺陷明细!$A$2:$A$50000,$B$4,缺陷明细!$G$2:$G$50000,$C93,缺陷明细!$AB$2:$AB$50000,"重复Bug",缺陷明细!$J$2:$J$50000,"系统测试")</f>
        <v>0</v>
      </c>
      <c r="S93" s="72">
        <f>COUNTIFS(缺陷明细!$A$2:$A$50000,$B$4,缺陷明细!$G$2:$G$50000,$C93,缺陷明细!$J$2:$J$50000,"系统测试",缺陷明细!$K$2:$K$50000,"致命",缺陷明细!$AB$2:$AB$50000,"&lt;&gt;丢弃",缺陷明细!$AB$2:$AB$50000,"&lt;&gt;设计如此",缺陷明细!$AB$2:$AB$50000,"&lt;&gt;重复Bug")+COUNTIFS(缺陷明细!$A$2:$A$50000,$B$4,缺陷明细!$G$2:$G$50000,$C93,缺陷明细!$J$2:$J$50000,"系统测试",缺陷明细!$K$2:$K$50000,"严重",缺陷明细!$AB$2:$AB$50000,"&lt;&gt;丢弃",缺陷明细!$AB$2:$AB$50000,"&lt;&gt;设计如此",缺陷明细!$AB$2:$AB$50000,"&lt;&gt;重复Bug")</f>
        <v>0</v>
      </c>
      <c r="T93" s="73">
        <f>COUNTIFS(缺陷明细!$A$2:$A$50000,$B$4,缺陷明细!$G$2:$G$50000,$C93,缺陷明细!$Q$2:$Q$50000,"已关闭",缺陷明细!$J$2:$J$50000,"系统测试",缺陷明细!$K$2:$K$50000,"致命")+COUNTIFS(缺陷明细!$A$2:$A$50000,$B$4,缺陷明细!$G$2:$G$50000,$C93,缺陷明细!$Q$2:$Q$50000,"已关闭",缺陷明细!$J$2:$J$50000,"系统测试",缺陷明细!$K$2:$K$50000,"严重")</f>
        <v>0</v>
      </c>
      <c r="U93" s="74">
        <f>COUNTIFS(缺陷明细!$A$2:$A$50000,$B$4,缺陷明细!$G$2:$G$50000,$C93,缺陷明细!$J$2:$J$50000,"验收测试",缺陷明细!$AB$2:$AB$50000,"&lt;&gt;丢弃",缺陷明细!$AB$2:$AB$50000,"&lt;&gt;设计如此",缺陷明细!$AB$2:$AB$50000,"&lt;&gt;重复Bug")</f>
        <v>0</v>
      </c>
      <c r="V93" s="75">
        <f>COUNTIFS(缺陷明细!$A$2:$A$50000,$B$4,缺陷明细!$G$2:$G$50000,$C93,缺陷明细!$Q$2:$Q$50000,"已关闭",缺陷明细!$J$2:$J$50000,"验收测试")</f>
        <v>0</v>
      </c>
      <c r="W93" s="75">
        <f>COUNTIFS(缺陷明细!$A$2:$A$50000,$B$4,缺陷明细!$G$2:$G$50000,$C93,缺陷明细!$J$2:$J$50000,"验收测试",缺陷明细!$K$2:$K$50000,"致命",缺陷明细!$AB$2:$AB$50000,"&lt;&gt;丢弃",缺陷明细!$AB$2:$AB$50000,"&lt;&gt;设计如此",缺陷明细!$AB$2:$AB$50000,"&lt;&gt;重复Bug")+COUNTIFS(缺陷明细!$A$2:$A$50000,$B$4,缺陷明细!$G$2:$G$50000,$C93,缺陷明细!$J$2:$J$50000,"验收测试",缺陷明细!$K$2:$K$50000,"严重",缺陷明细!$AB$2:$AB$50000,"&lt;&gt;丢弃",缺陷明细!$AB$2:$AB$50000,"&lt;&gt;设计如此",缺陷明细!$AB$2:$AB$50000,"&lt;&gt;重复Bug")</f>
        <v>0</v>
      </c>
      <c r="X93" s="76">
        <f>COUNTIFS(缺陷明细!$A$2:$A$50000,$B$4,缺陷明细!$G$2:$G$50000,$C93,缺陷明细!$Q$2:$Q$50000,"已关闭",缺陷明细!$J$2:$J$50000,"验收测试",缺陷明细!$K$2:$K$50000,"致命")+COUNTIFS(缺陷明细!$A$2:$A$50000,$B$4,缺陷明细!$G$2:$G$50000,$C93,缺陷明细!$Q$2:$Q$50000,"已关闭",缺陷明细!$J$2:$J$50000,"验收测试",缺陷明细!$K$2:$K$50000,"严重")</f>
        <v>0</v>
      </c>
      <c r="Y93" s="70">
        <f>COUNTIFS(缺陷明细!$A$2:$A$50000,$B$4,缺陷明细!$G$2:$G$50000,$C93,缺陷明细!$J$2:$J$50000,"运维测试",缺陷明细!$AB$2:$AB$50000,"&lt;&gt;丢弃",缺陷明细!$AB$2:$AB$50000,"&lt;&gt;设计如此",缺陷明细!$AB$2:$AB$50000,"&lt;&gt;重复Bug")</f>
        <v>0</v>
      </c>
      <c r="Z93" s="71">
        <f>COUNTIFS(缺陷明细!$A$2:$A$50000,$B$4,缺陷明细!$G$2:$G$50000,$C93,缺陷明细!$Q$2:$Q$50000,"已关闭",缺陷明细!$J$2:$J$50000,"运维测试")</f>
        <v>0</v>
      </c>
      <c r="AA93" s="72">
        <f>COUNTIFS(缺陷明细!$A$2:$A$50000,$B$4,缺陷明细!$G$2:$G$50000,$C93,缺陷明细!$J$2:$J$50000,"运维测试",缺陷明细!$K$2:$K$50000,"致命",缺陷明细!$AB$2:$AB$50000,"&lt;&gt;丢弃",缺陷明细!$AB$2:$AB$50000,"&lt;&gt;设计如此",缺陷明细!$AB$2:$AB$50000,"&lt;&gt;重复Bug")+COUNTIFS(缺陷明细!$A$2:$A$50000,$B$4,缺陷明细!$G$2:$G$50000,$C93,缺陷明细!$J$2:$J$50000,"运维测试",缺陷明细!$K$2:$K$50000,"严重",缺陷明细!$AB$2:$AB$50000,"&lt;&gt;丢弃",缺陷明细!$AB$2:$AB$50000,"&lt;&gt;设计如此",缺陷明细!$AB$2:$AB$50000,"&lt;&gt;重复Bug")</f>
        <v>0</v>
      </c>
      <c r="AB93" s="73">
        <f>COUNTIFS(缺陷明细!$A$2:$A$50000,$B$4,缺陷明细!$G$2:$G$50000,$C93,缺陷明细!$Q$2:$Q$50000,"已关闭",缺陷明细!$J$2:$J$50000,"运维测试",缺陷明细!$K$2:$K$50000,"致命")+COUNTIFS(缺陷明细!$A$2:$A$50000,$B$4,缺陷明细!$G$2:$G$50000,$C93,缺陷明细!$Q$2:$Q$50000,"已关闭",缺陷明细!$J$2:$J$50000,"运维测试",缺陷明细!$K$2:$K$50000,"严重")</f>
        <v>0</v>
      </c>
      <c r="AC93" s="68">
        <f t="shared" si="4"/>
        <v>0</v>
      </c>
      <c r="AD93" s="60">
        <f t="shared" si="5"/>
        <v>0</v>
      </c>
      <c r="AE93" s="60">
        <f t="shared" si="6"/>
        <v>0</v>
      </c>
      <c r="AF93" s="60">
        <f t="shared" si="7"/>
        <v>0</v>
      </c>
      <c r="AG93" s="60">
        <f t="shared" si="8"/>
        <v>0</v>
      </c>
      <c r="AH93" s="60">
        <f t="shared" si="9"/>
        <v>0</v>
      </c>
      <c r="AI93" s="60">
        <f t="shared" si="10"/>
        <v>0</v>
      </c>
      <c r="AJ93" s="61">
        <f t="shared" si="11"/>
        <v>0</v>
      </c>
      <c r="AK93" s="144"/>
    </row>
    <row r="94" spans="1:37" ht="25.5">
      <c r="A94">
        <v>90</v>
      </c>
      <c r="B94" s="57">
        <v>575</v>
      </c>
      <c r="C94" s="58" t="s">
        <v>435</v>
      </c>
      <c r="D94" s="84" t="s">
        <v>375</v>
      </c>
      <c r="E94" s="82" t="s">
        <v>346</v>
      </c>
      <c r="F94" s="158">
        <v>8</v>
      </c>
      <c r="G94" s="159">
        <v>4</v>
      </c>
      <c r="H94" s="281">
        <f>COUNTIFS(缺陷明细!$A$2:$A$50000,$B$4,缺陷明细!$G$2:$G$50000,$C94,缺陷明细!$J$2:$J$50000,"评审",缺陷明细!$AB$2:$AB$50000,"&lt;&gt;丢弃",缺陷明细!$AB$2:$AB$50000,"&lt;&gt;设计如此",缺陷明细!$AB$2:$AB$50000,"&lt;&gt;重复Bug")</f>
        <v>0</v>
      </c>
      <c r="I94" s="154">
        <f>COUNTIFS(缺陷明细!$A$2:$A$50000,$B$4,缺陷明细!$G$2:$G$50000,$C94,缺陷明细!$Q$2:$Q$50000,"已关闭",缺陷明细!$J$2:$J$50000,"评审")</f>
        <v>0</v>
      </c>
      <c r="J94" s="154">
        <f>COUNTIFS(缺陷明细!$A$2:$A$50000,$B$4,缺陷明细!$G$2:$G$50000,$C94,缺陷明细!$J$2:$J$50000,"单元测试",缺陷明细!$AB$2:$AB$50000,"&lt;&gt;丢弃",缺陷明细!$AB$2:$AB$50000,"&lt;&gt;设计如此",缺陷明细!$AB$2:$AB$50000,"&lt;&gt;重复Bug")</f>
        <v>0</v>
      </c>
      <c r="K94" s="155">
        <f>COUNTIFS(缺陷明细!$A$2:$A$50000,$B$4,缺陷明细!$G$2:$G$50000,$C94,缺陷明细!$Q$2:$Q$50000,"已关闭",缺陷明细!$J$2:$J$50000,"单元测试")</f>
        <v>0</v>
      </c>
      <c r="L94" s="156"/>
      <c r="M94" s="157"/>
      <c r="N94" s="72">
        <f>COUNTIFS(缺陷明细!$A$2:$A$50000,$B$4,缺陷明细!$G$2:$G$50000,$C94,缺陷明细!$J$2:$J$50000,"系统测试案例评审",缺陷明细!$AB$2:$AB$50000,"&lt;&gt;丢弃",缺陷明细!$AB$2:$AB$50000,"&lt;&gt;设计如此",缺陷明细!$AB$2:$AB$50000,"&lt;&gt;重复Bug")</f>
        <v>0</v>
      </c>
      <c r="O94" s="72">
        <f>COUNTIFS(缺陷明细!$A$2:$A$50000,$B$4,缺陷明细!$G$2:$G$50000,$C94,缺陷明细!$Q$2:$Q$50000,"已关闭",缺陷明细!$J$2:$J$50000,"系统测试案例评审")</f>
        <v>0</v>
      </c>
      <c r="P94" s="72">
        <f>COUNTIFS(缺陷明细!$A$2:$A$50000,$B$4,缺陷明细!$G$2:$G$50000,$C94,缺陷明细!$J$2:$J$50000,"系统测试",缺陷明细!$AB$2:$AB$50000,"&lt;&gt;丢弃",缺陷明细!$AB$2:$AB$50000,"&lt;&gt;设计如此",缺陷明细!$AB$2:$AB$50000,"&lt;&gt;重复Bug")</f>
        <v>0</v>
      </c>
      <c r="Q94" s="72">
        <f>COUNTIFS(缺陷明细!$A$2:$A$50000,$B$4,缺陷明细!$G$2:$G$50000,$C94,缺陷明细!$Q$2:$Q$50000,"已关闭",缺陷明细!$J$2:$J$50000,"系统测试")</f>
        <v>0</v>
      </c>
      <c r="R94" s="296">
        <f>COUNTIFS(缺陷明细!$A$2:$A$50000,$B$4,缺陷明细!$G$2:$G$50000,$C94,缺陷明细!$AB$2:$AB$50000,"丢弃",缺陷明细!$J$2:$J$50000,"系统测试")+COUNTIFS(缺陷明细!$A$2:$A$50000,$B$4,缺陷明细!$G$2:$G$50000,$C94,缺陷明细!$AB$2:$AB$50000,"设计如此",缺陷明细!$J$2:$J$50000,"系统测试")+COUNTIFS(缺陷明细!$A$2:$A$50000,$B$4,缺陷明细!$G$2:$G$50000,$C94,缺陷明细!$AB$2:$AB$50000,"重复Bug",缺陷明细!$J$2:$J$50000,"系统测试")</f>
        <v>0</v>
      </c>
      <c r="S94" s="72">
        <f>COUNTIFS(缺陷明细!$A$2:$A$50000,$B$4,缺陷明细!$G$2:$G$50000,$C94,缺陷明细!$J$2:$J$50000,"系统测试",缺陷明细!$K$2:$K$50000,"致命",缺陷明细!$AB$2:$AB$50000,"&lt;&gt;丢弃",缺陷明细!$AB$2:$AB$50000,"&lt;&gt;设计如此",缺陷明细!$AB$2:$AB$50000,"&lt;&gt;重复Bug")+COUNTIFS(缺陷明细!$A$2:$A$50000,$B$4,缺陷明细!$G$2:$G$50000,$C94,缺陷明细!$J$2:$J$50000,"系统测试",缺陷明细!$K$2:$K$50000,"严重",缺陷明细!$AB$2:$AB$50000,"&lt;&gt;丢弃",缺陷明细!$AB$2:$AB$50000,"&lt;&gt;设计如此",缺陷明细!$AB$2:$AB$50000,"&lt;&gt;重复Bug")</f>
        <v>0</v>
      </c>
      <c r="T94" s="73">
        <f>COUNTIFS(缺陷明细!$A$2:$A$50000,$B$4,缺陷明细!$G$2:$G$50000,$C94,缺陷明细!$Q$2:$Q$50000,"已关闭",缺陷明细!$J$2:$J$50000,"系统测试",缺陷明细!$K$2:$K$50000,"致命")+COUNTIFS(缺陷明细!$A$2:$A$50000,$B$4,缺陷明细!$G$2:$G$50000,$C94,缺陷明细!$Q$2:$Q$50000,"已关闭",缺陷明细!$J$2:$J$50000,"系统测试",缺陷明细!$K$2:$K$50000,"严重")</f>
        <v>0</v>
      </c>
      <c r="U94" s="74">
        <f>COUNTIFS(缺陷明细!$A$2:$A$50000,$B$4,缺陷明细!$G$2:$G$50000,$C94,缺陷明细!$J$2:$J$50000,"验收测试",缺陷明细!$AB$2:$AB$50000,"&lt;&gt;丢弃",缺陷明细!$AB$2:$AB$50000,"&lt;&gt;设计如此",缺陷明细!$AB$2:$AB$50000,"&lt;&gt;重复Bug")</f>
        <v>0</v>
      </c>
      <c r="V94" s="75">
        <f>COUNTIFS(缺陷明细!$A$2:$A$50000,$B$4,缺陷明细!$G$2:$G$50000,$C94,缺陷明细!$Q$2:$Q$50000,"已关闭",缺陷明细!$J$2:$J$50000,"验收测试")</f>
        <v>0</v>
      </c>
      <c r="W94" s="75">
        <f>COUNTIFS(缺陷明细!$A$2:$A$50000,$B$4,缺陷明细!$G$2:$G$50000,$C94,缺陷明细!$J$2:$J$50000,"验收测试",缺陷明细!$K$2:$K$50000,"致命",缺陷明细!$AB$2:$AB$50000,"&lt;&gt;丢弃",缺陷明细!$AB$2:$AB$50000,"&lt;&gt;设计如此",缺陷明细!$AB$2:$AB$50000,"&lt;&gt;重复Bug")+COUNTIFS(缺陷明细!$A$2:$A$50000,$B$4,缺陷明细!$G$2:$G$50000,$C94,缺陷明细!$J$2:$J$50000,"验收测试",缺陷明细!$K$2:$K$50000,"严重",缺陷明细!$AB$2:$AB$50000,"&lt;&gt;丢弃",缺陷明细!$AB$2:$AB$50000,"&lt;&gt;设计如此",缺陷明细!$AB$2:$AB$50000,"&lt;&gt;重复Bug")</f>
        <v>0</v>
      </c>
      <c r="X94" s="76">
        <f>COUNTIFS(缺陷明细!$A$2:$A$50000,$B$4,缺陷明细!$G$2:$G$50000,$C94,缺陷明细!$Q$2:$Q$50000,"已关闭",缺陷明细!$J$2:$J$50000,"验收测试",缺陷明细!$K$2:$K$50000,"致命")+COUNTIFS(缺陷明细!$A$2:$A$50000,$B$4,缺陷明细!$G$2:$G$50000,$C94,缺陷明细!$Q$2:$Q$50000,"已关闭",缺陷明细!$J$2:$J$50000,"验收测试",缺陷明细!$K$2:$K$50000,"严重")</f>
        <v>0</v>
      </c>
      <c r="Y94" s="70">
        <f>COUNTIFS(缺陷明细!$A$2:$A$50000,$B$4,缺陷明细!$G$2:$G$50000,$C94,缺陷明细!$J$2:$J$50000,"运维测试",缺陷明细!$AB$2:$AB$50000,"&lt;&gt;丢弃",缺陷明细!$AB$2:$AB$50000,"&lt;&gt;设计如此",缺陷明细!$AB$2:$AB$50000,"&lt;&gt;重复Bug")</f>
        <v>0</v>
      </c>
      <c r="Z94" s="71">
        <f>COUNTIFS(缺陷明细!$A$2:$A$50000,$B$4,缺陷明细!$G$2:$G$50000,$C94,缺陷明细!$Q$2:$Q$50000,"已关闭",缺陷明细!$J$2:$J$50000,"运维测试")</f>
        <v>0</v>
      </c>
      <c r="AA94" s="72">
        <f>COUNTIFS(缺陷明细!$A$2:$A$50000,$B$4,缺陷明细!$G$2:$G$50000,$C94,缺陷明细!$J$2:$J$50000,"运维测试",缺陷明细!$K$2:$K$50000,"致命",缺陷明细!$AB$2:$AB$50000,"&lt;&gt;丢弃",缺陷明细!$AB$2:$AB$50000,"&lt;&gt;设计如此",缺陷明细!$AB$2:$AB$50000,"&lt;&gt;重复Bug")+COUNTIFS(缺陷明细!$A$2:$A$50000,$B$4,缺陷明细!$G$2:$G$50000,$C94,缺陷明细!$J$2:$J$50000,"运维测试",缺陷明细!$K$2:$K$50000,"严重",缺陷明细!$AB$2:$AB$50000,"&lt;&gt;丢弃",缺陷明细!$AB$2:$AB$50000,"&lt;&gt;设计如此",缺陷明细!$AB$2:$AB$50000,"&lt;&gt;重复Bug")</f>
        <v>0</v>
      </c>
      <c r="AB94" s="73">
        <f>COUNTIFS(缺陷明细!$A$2:$A$50000,$B$4,缺陷明细!$G$2:$G$50000,$C94,缺陷明细!$Q$2:$Q$50000,"已关闭",缺陷明细!$J$2:$J$50000,"运维测试",缺陷明细!$K$2:$K$50000,"致命")+COUNTIFS(缺陷明细!$A$2:$A$50000,$B$4,缺陷明细!$G$2:$G$50000,$C94,缺陷明细!$Q$2:$Q$50000,"已关闭",缺陷明细!$J$2:$J$50000,"运维测试",缺陷明细!$K$2:$K$50000,"严重")</f>
        <v>0</v>
      </c>
      <c r="AC94" s="68">
        <f t="shared" si="4"/>
        <v>0</v>
      </c>
      <c r="AD94" s="60">
        <f t="shared" si="5"/>
        <v>0</v>
      </c>
      <c r="AE94" s="60">
        <f t="shared" si="6"/>
        <v>0</v>
      </c>
      <c r="AF94" s="60">
        <f t="shared" si="7"/>
        <v>0</v>
      </c>
      <c r="AG94" s="60">
        <f t="shared" si="8"/>
        <v>0</v>
      </c>
      <c r="AH94" s="60">
        <f t="shared" si="9"/>
        <v>0</v>
      </c>
      <c r="AI94" s="60">
        <f t="shared" si="10"/>
        <v>0</v>
      </c>
      <c r="AJ94" s="61">
        <f t="shared" si="11"/>
        <v>0</v>
      </c>
      <c r="AK94" s="144"/>
    </row>
    <row r="95" spans="1:37" ht="38.25">
      <c r="A95">
        <v>91</v>
      </c>
      <c r="B95" s="57">
        <v>576</v>
      </c>
      <c r="C95" s="58" t="s">
        <v>436</v>
      </c>
      <c r="D95" s="84" t="s">
        <v>343</v>
      </c>
      <c r="E95" s="82" t="s">
        <v>346</v>
      </c>
      <c r="F95" s="158">
        <v>2</v>
      </c>
      <c r="G95" s="159">
        <v>2</v>
      </c>
      <c r="H95" s="281">
        <f>COUNTIFS(缺陷明细!$A$2:$A$50000,$B$4,缺陷明细!$G$2:$G$50000,$C95,缺陷明细!$J$2:$J$50000,"评审",缺陷明细!$AB$2:$AB$50000,"&lt;&gt;丢弃",缺陷明细!$AB$2:$AB$50000,"&lt;&gt;设计如此",缺陷明细!$AB$2:$AB$50000,"&lt;&gt;重复Bug")</f>
        <v>0</v>
      </c>
      <c r="I95" s="154">
        <f>COUNTIFS(缺陷明细!$A$2:$A$50000,$B$4,缺陷明细!$G$2:$G$50000,$C95,缺陷明细!$Q$2:$Q$50000,"已关闭",缺陷明细!$J$2:$J$50000,"评审")</f>
        <v>0</v>
      </c>
      <c r="J95" s="154">
        <f>COUNTIFS(缺陷明细!$A$2:$A$50000,$B$4,缺陷明细!$G$2:$G$50000,$C95,缺陷明细!$J$2:$J$50000,"单元测试",缺陷明细!$AB$2:$AB$50000,"&lt;&gt;丢弃",缺陷明细!$AB$2:$AB$50000,"&lt;&gt;设计如此",缺陷明细!$AB$2:$AB$50000,"&lt;&gt;重复Bug")</f>
        <v>0</v>
      </c>
      <c r="K95" s="155">
        <f>COUNTIFS(缺陷明细!$A$2:$A$50000,$B$4,缺陷明细!$G$2:$G$50000,$C95,缺陷明细!$Q$2:$Q$50000,"已关闭",缺陷明细!$J$2:$J$50000,"单元测试")</f>
        <v>0</v>
      </c>
      <c r="L95" s="156"/>
      <c r="M95" s="157"/>
      <c r="N95" s="72">
        <f>COUNTIFS(缺陷明细!$A$2:$A$50000,$B$4,缺陷明细!$G$2:$G$50000,$C95,缺陷明细!$J$2:$J$50000,"系统测试案例评审",缺陷明细!$AB$2:$AB$50000,"&lt;&gt;丢弃",缺陷明细!$AB$2:$AB$50000,"&lt;&gt;设计如此",缺陷明细!$AB$2:$AB$50000,"&lt;&gt;重复Bug")</f>
        <v>0</v>
      </c>
      <c r="O95" s="72">
        <f>COUNTIFS(缺陷明细!$A$2:$A$50000,$B$4,缺陷明细!$G$2:$G$50000,$C95,缺陷明细!$Q$2:$Q$50000,"已关闭",缺陷明细!$J$2:$J$50000,"系统测试案例评审")</f>
        <v>0</v>
      </c>
      <c r="P95" s="72">
        <f>COUNTIFS(缺陷明细!$A$2:$A$50000,$B$4,缺陷明细!$G$2:$G$50000,$C95,缺陷明细!$J$2:$J$50000,"系统测试",缺陷明细!$AB$2:$AB$50000,"&lt;&gt;丢弃",缺陷明细!$AB$2:$AB$50000,"&lt;&gt;设计如此",缺陷明细!$AB$2:$AB$50000,"&lt;&gt;重复Bug")</f>
        <v>0</v>
      </c>
      <c r="Q95" s="72">
        <f>COUNTIFS(缺陷明细!$A$2:$A$50000,$B$4,缺陷明细!$G$2:$G$50000,$C95,缺陷明细!$Q$2:$Q$50000,"已关闭",缺陷明细!$J$2:$J$50000,"系统测试")</f>
        <v>0</v>
      </c>
      <c r="R95" s="296">
        <f>COUNTIFS(缺陷明细!$A$2:$A$50000,$B$4,缺陷明细!$G$2:$G$50000,$C95,缺陷明细!$AB$2:$AB$50000,"丢弃",缺陷明细!$J$2:$J$50000,"系统测试")+COUNTIFS(缺陷明细!$A$2:$A$50000,$B$4,缺陷明细!$G$2:$G$50000,$C95,缺陷明细!$AB$2:$AB$50000,"设计如此",缺陷明细!$J$2:$J$50000,"系统测试")+COUNTIFS(缺陷明细!$A$2:$A$50000,$B$4,缺陷明细!$G$2:$G$50000,$C95,缺陷明细!$AB$2:$AB$50000,"重复Bug",缺陷明细!$J$2:$J$50000,"系统测试")</f>
        <v>0</v>
      </c>
      <c r="S95" s="72">
        <f>COUNTIFS(缺陷明细!$A$2:$A$50000,$B$4,缺陷明细!$G$2:$G$50000,$C95,缺陷明细!$J$2:$J$50000,"系统测试",缺陷明细!$K$2:$K$50000,"致命",缺陷明细!$AB$2:$AB$50000,"&lt;&gt;丢弃",缺陷明细!$AB$2:$AB$50000,"&lt;&gt;设计如此",缺陷明细!$AB$2:$AB$50000,"&lt;&gt;重复Bug")+COUNTIFS(缺陷明细!$A$2:$A$50000,$B$4,缺陷明细!$G$2:$G$50000,$C95,缺陷明细!$J$2:$J$50000,"系统测试",缺陷明细!$K$2:$K$50000,"严重",缺陷明细!$AB$2:$AB$50000,"&lt;&gt;丢弃",缺陷明细!$AB$2:$AB$50000,"&lt;&gt;设计如此",缺陷明细!$AB$2:$AB$50000,"&lt;&gt;重复Bug")</f>
        <v>0</v>
      </c>
      <c r="T95" s="73">
        <f>COUNTIFS(缺陷明细!$A$2:$A$50000,$B$4,缺陷明细!$G$2:$G$50000,$C95,缺陷明细!$Q$2:$Q$50000,"已关闭",缺陷明细!$J$2:$J$50000,"系统测试",缺陷明细!$K$2:$K$50000,"致命")+COUNTIFS(缺陷明细!$A$2:$A$50000,$B$4,缺陷明细!$G$2:$G$50000,$C95,缺陷明细!$Q$2:$Q$50000,"已关闭",缺陷明细!$J$2:$J$50000,"系统测试",缺陷明细!$K$2:$K$50000,"严重")</f>
        <v>0</v>
      </c>
      <c r="U95" s="74">
        <f>COUNTIFS(缺陷明细!$A$2:$A$50000,$B$4,缺陷明细!$G$2:$G$50000,$C95,缺陷明细!$J$2:$J$50000,"验收测试",缺陷明细!$AB$2:$AB$50000,"&lt;&gt;丢弃",缺陷明细!$AB$2:$AB$50000,"&lt;&gt;设计如此",缺陷明细!$AB$2:$AB$50000,"&lt;&gt;重复Bug")</f>
        <v>0</v>
      </c>
      <c r="V95" s="75">
        <f>COUNTIFS(缺陷明细!$A$2:$A$50000,$B$4,缺陷明细!$G$2:$G$50000,$C95,缺陷明细!$Q$2:$Q$50000,"已关闭",缺陷明细!$J$2:$J$50000,"验收测试")</f>
        <v>0</v>
      </c>
      <c r="W95" s="75">
        <f>COUNTIFS(缺陷明细!$A$2:$A$50000,$B$4,缺陷明细!$G$2:$G$50000,$C95,缺陷明细!$J$2:$J$50000,"验收测试",缺陷明细!$K$2:$K$50000,"致命",缺陷明细!$AB$2:$AB$50000,"&lt;&gt;丢弃",缺陷明细!$AB$2:$AB$50000,"&lt;&gt;设计如此",缺陷明细!$AB$2:$AB$50000,"&lt;&gt;重复Bug")+COUNTIFS(缺陷明细!$A$2:$A$50000,$B$4,缺陷明细!$G$2:$G$50000,$C95,缺陷明细!$J$2:$J$50000,"验收测试",缺陷明细!$K$2:$K$50000,"严重",缺陷明细!$AB$2:$AB$50000,"&lt;&gt;丢弃",缺陷明细!$AB$2:$AB$50000,"&lt;&gt;设计如此",缺陷明细!$AB$2:$AB$50000,"&lt;&gt;重复Bug")</f>
        <v>0</v>
      </c>
      <c r="X95" s="76">
        <f>COUNTIFS(缺陷明细!$A$2:$A$50000,$B$4,缺陷明细!$G$2:$G$50000,$C95,缺陷明细!$Q$2:$Q$50000,"已关闭",缺陷明细!$J$2:$J$50000,"验收测试",缺陷明细!$K$2:$K$50000,"致命")+COUNTIFS(缺陷明细!$A$2:$A$50000,$B$4,缺陷明细!$G$2:$G$50000,$C95,缺陷明细!$Q$2:$Q$50000,"已关闭",缺陷明细!$J$2:$J$50000,"验收测试",缺陷明细!$K$2:$K$50000,"严重")</f>
        <v>0</v>
      </c>
      <c r="Y95" s="70">
        <f>COUNTIFS(缺陷明细!$A$2:$A$50000,$B$4,缺陷明细!$G$2:$G$50000,$C95,缺陷明细!$J$2:$J$50000,"运维测试",缺陷明细!$AB$2:$AB$50000,"&lt;&gt;丢弃",缺陷明细!$AB$2:$AB$50000,"&lt;&gt;设计如此",缺陷明细!$AB$2:$AB$50000,"&lt;&gt;重复Bug")</f>
        <v>0</v>
      </c>
      <c r="Z95" s="71">
        <f>COUNTIFS(缺陷明细!$A$2:$A$50000,$B$4,缺陷明细!$G$2:$G$50000,$C95,缺陷明细!$Q$2:$Q$50000,"已关闭",缺陷明细!$J$2:$J$50000,"运维测试")</f>
        <v>0</v>
      </c>
      <c r="AA95" s="72">
        <f>COUNTIFS(缺陷明细!$A$2:$A$50000,$B$4,缺陷明细!$G$2:$G$50000,$C95,缺陷明细!$J$2:$J$50000,"运维测试",缺陷明细!$K$2:$K$50000,"致命",缺陷明细!$AB$2:$AB$50000,"&lt;&gt;丢弃",缺陷明细!$AB$2:$AB$50000,"&lt;&gt;设计如此",缺陷明细!$AB$2:$AB$50000,"&lt;&gt;重复Bug")+COUNTIFS(缺陷明细!$A$2:$A$50000,$B$4,缺陷明细!$G$2:$G$50000,$C95,缺陷明细!$J$2:$J$50000,"运维测试",缺陷明细!$K$2:$K$50000,"严重",缺陷明细!$AB$2:$AB$50000,"&lt;&gt;丢弃",缺陷明细!$AB$2:$AB$50000,"&lt;&gt;设计如此",缺陷明细!$AB$2:$AB$50000,"&lt;&gt;重复Bug")</f>
        <v>0</v>
      </c>
      <c r="AB95" s="73">
        <f>COUNTIFS(缺陷明细!$A$2:$A$50000,$B$4,缺陷明细!$G$2:$G$50000,$C95,缺陷明细!$Q$2:$Q$50000,"已关闭",缺陷明细!$J$2:$J$50000,"运维测试",缺陷明细!$K$2:$K$50000,"致命")+COUNTIFS(缺陷明细!$A$2:$A$50000,$B$4,缺陷明细!$G$2:$G$50000,$C95,缺陷明细!$Q$2:$Q$50000,"已关闭",缺陷明细!$J$2:$J$50000,"运维测试",缺陷明细!$K$2:$K$50000,"严重")</f>
        <v>0</v>
      </c>
      <c r="AC95" s="68">
        <f t="shared" si="4"/>
        <v>0</v>
      </c>
      <c r="AD95" s="60">
        <f t="shared" si="5"/>
        <v>0</v>
      </c>
      <c r="AE95" s="60">
        <f t="shared" si="6"/>
        <v>0</v>
      </c>
      <c r="AF95" s="60">
        <f t="shared" si="7"/>
        <v>0</v>
      </c>
      <c r="AG95" s="60">
        <f t="shared" si="8"/>
        <v>0</v>
      </c>
      <c r="AH95" s="60">
        <f t="shared" si="9"/>
        <v>0</v>
      </c>
      <c r="AI95" s="60">
        <f t="shared" si="10"/>
        <v>0</v>
      </c>
      <c r="AJ95" s="61">
        <f t="shared" si="11"/>
        <v>0</v>
      </c>
      <c r="AK95" s="144"/>
    </row>
    <row r="96" spans="1:37">
      <c r="A96">
        <v>92</v>
      </c>
      <c r="B96" s="57">
        <v>577</v>
      </c>
      <c r="C96" s="58" t="s">
        <v>437</v>
      </c>
      <c r="D96" s="84" t="s">
        <v>343</v>
      </c>
      <c r="E96" s="82" t="s">
        <v>346</v>
      </c>
      <c r="F96" s="158">
        <v>2</v>
      </c>
      <c r="G96" s="159">
        <v>3</v>
      </c>
      <c r="H96" s="281">
        <f>COUNTIFS(缺陷明细!$A$2:$A$50000,$B$4,缺陷明细!$G$2:$G$50000,$C96,缺陷明细!$J$2:$J$50000,"评审",缺陷明细!$AB$2:$AB$50000,"&lt;&gt;丢弃",缺陷明细!$AB$2:$AB$50000,"&lt;&gt;设计如此",缺陷明细!$AB$2:$AB$50000,"&lt;&gt;重复Bug")</f>
        <v>0</v>
      </c>
      <c r="I96" s="154">
        <f>COUNTIFS(缺陷明细!$A$2:$A$50000,$B$4,缺陷明细!$G$2:$G$50000,$C96,缺陷明细!$Q$2:$Q$50000,"已关闭",缺陷明细!$J$2:$J$50000,"评审")</f>
        <v>0</v>
      </c>
      <c r="J96" s="154">
        <f>COUNTIFS(缺陷明细!$A$2:$A$50000,$B$4,缺陷明细!$G$2:$G$50000,$C96,缺陷明细!$J$2:$J$50000,"单元测试",缺陷明细!$AB$2:$AB$50000,"&lt;&gt;丢弃",缺陷明细!$AB$2:$AB$50000,"&lt;&gt;设计如此",缺陷明细!$AB$2:$AB$50000,"&lt;&gt;重复Bug")</f>
        <v>0</v>
      </c>
      <c r="K96" s="155">
        <f>COUNTIFS(缺陷明细!$A$2:$A$50000,$B$4,缺陷明细!$G$2:$G$50000,$C96,缺陷明细!$Q$2:$Q$50000,"已关闭",缺陷明细!$J$2:$J$50000,"单元测试")</f>
        <v>0</v>
      </c>
      <c r="L96" s="156"/>
      <c r="M96" s="157"/>
      <c r="N96" s="72">
        <f>COUNTIFS(缺陷明细!$A$2:$A$50000,$B$4,缺陷明细!$G$2:$G$50000,$C96,缺陷明细!$J$2:$J$50000,"系统测试案例评审",缺陷明细!$AB$2:$AB$50000,"&lt;&gt;丢弃",缺陷明细!$AB$2:$AB$50000,"&lt;&gt;设计如此",缺陷明细!$AB$2:$AB$50000,"&lt;&gt;重复Bug")</f>
        <v>0</v>
      </c>
      <c r="O96" s="72">
        <f>COUNTIFS(缺陷明细!$A$2:$A$50000,$B$4,缺陷明细!$G$2:$G$50000,$C96,缺陷明细!$Q$2:$Q$50000,"已关闭",缺陷明细!$J$2:$J$50000,"系统测试案例评审")</f>
        <v>0</v>
      </c>
      <c r="P96" s="72">
        <f>COUNTIFS(缺陷明细!$A$2:$A$50000,$B$4,缺陷明细!$G$2:$G$50000,$C96,缺陷明细!$J$2:$J$50000,"系统测试",缺陷明细!$AB$2:$AB$50000,"&lt;&gt;丢弃",缺陷明细!$AB$2:$AB$50000,"&lt;&gt;设计如此",缺陷明细!$AB$2:$AB$50000,"&lt;&gt;重复Bug")</f>
        <v>0</v>
      </c>
      <c r="Q96" s="72">
        <f>COUNTIFS(缺陷明细!$A$2:$A$50000,$B$4,缺陷明细!$G$2:$G$50000,$C96,缺陷明细!$Q$2:$Q$50000,"已关闭",缺陷明细!$J$2:$J$50000,"系统测试")</f>
        <v>0</v>
      </c>
      <c r="R96" s="296">
        <f>COUNTIFS(缺陷明细!$A$2:$A$50000,$B$4,缺陷明细!$G$2:$G$50000,$C96,缺陷明细!$AB$2:$AB$50000,"丢弃",缺陷明细!$J$2:$J$50000,"系统测试")+COUNTIFS(缺陷明细!$A$2:$A$50000,$B$4,缺陷明细!$G$2:$G$50000,$C96,缺陷明细!$AB$2:$AB$50000,"设计如此",缺陷明细!$J$2:$J$50000,"系统测试")+COUNTIFS(缺陷明细!$A$2:$A$50000,$B$4,缺陷明细!$G$2:$G$50000,$C96,缺陷明细!$AB$2:$AB$50000,"重复Bug",缺陷明细!$J$2:$J$50000,"系统测试")</f>
        <v>0</v>
      </c>
      <c r="S96" s="72">
        <f>COUNTIFS(缺陷明细!$A$2:$A$50000,$B$4,缺陷明细!$G$2:$G$50000,$C96,缺陷明细!$J$2:$J$50000,"系统测试",缺陷明细!$K$2:$K$50000,"致命",缺陷明细!$AB$2:$AB$50000,"&lt;&gt;丢弃",缺陷明细!$AB$2:$AB$50000,"&lt;&gt;设计如此",缺陷明细!$AB$2:$AB$50000,"&lt;&gt;重复Bug")+COUNTIFS(缺陷明细!$A$2:$A$50000,$B$4,缺陷明细!$G$2:$G$50000,$C96,缺陷明细!$J$2:$J$50000,"系统测试",缺陷明细!$K$2:$K$50000,"严重",缺陷明细!$AB$2:$AB$50000,"&lt;&gt;丢弃",缺陷明细!$AB$2:$AB$50000,"&lt;&gt;设计如此",缺陷明细!$AB$2:$AB$50000,"&lt;&gt;重复Bug")</f>
        <v>0</v>
      </c>
      <c r="T96" s="73">
        <f>COUNTIFS(缺陷明细!$A$2:$A$50000,$B$4,缺陷明细!$G$2:$G$50000,$C96,缺陷明细!$Q$2:$Q$50000,"已关闭",缺陷明细!$J$2:$J$50000,"系统测试",缺陷明细!$K$2:$K$50000,"致命")+COUNTIFS(缺陷明细!$A$2:$A$50000,$B$4,缺陷明细!$G$2:$G$50000,$C96,缺陷明细!$Q$2:$Q$50000,"已关闭",缺陷明细!$J$2:$J$50000,"系统测试",缺陷明细!$K$2:$K$50000,"严重")</f>
        <v>0</v>
      </c>
      <c r="U96" s="74">
        <f>COUNTIFS(缺陷明细!$A$2:$A$50000,$B$4,缺陷明细!$G$2:$G$50000,$C96,缺陷明细!$J$2:$J$50000,"验收测试",缺陷明细!$AB$2:$AB$50000,"&lt;&gt;丢弃",缺陷明细!$AB$2:$AB$50000,"&lt;&gt;设计如此",缺陷明细!$AB$2:$AB$50000,"&lt;&gt;重复Bug")</f>
        <v>0</v>
      </c>
      <c r="V96" s="75">
        <f>COUNTIFS(缺陷明细!$A$2:$A$50000,$B$4,缺陷明细!$G$2:$G$50000,$C96,缺陷明细!$Q$2:$Q$50000,"已关闭",缺陷明细!$J$2:$J$50000,"验收测试")</f>
        <v>0</v>
      </c>
      <c r="W96" s="75">
        <f>COUNTIFS(缺陷明细!$A$2:$A$50000,$B$4,缺陷明细!$G$2:$G$50000,$C96,缺陷明细!$J$2:$J$50000,"验收测试",缺陷明细!$K$2:$K$50000,"致命",缺陷明细!$AB$2:$AB$50000,"&lt;&gt;丢弃",缺陷明细!$AB$2:$AB$50000,"&lt;&gt;设计如此",缺陷明细!$AB$2:$AB$50000,"&lt;&gt;重复Bug")+COUNTIFS(缺陷明细!$A$2:$A$50000,$B$4,缺陷明细!$G$2:$G$50000,$C96,缺陷明细!$J$2:$J$50000,"验收测试",缺陷明细!$K$2:$K$50000,"严重",缺陷明细!$AB$2:$AB$50000,"&lt;&gt;丢弃",缺陷明细!$AB$2:$AB$50000,"&lt;&gt;设计如此",缺陷明细!$AB$2:$AB$50000,"&lt;&gt;重复Bug")</f>
        <v>0</v>
      </c>
      <c r="X96" s="76">
        <f>COUNTIFS(缺陷明细!$A$2:$A$50000,$B$4,缺陷明细!$G$2:$G$50000,$C96,缺陷明细!$Q$2:$Q$50000,"已关闭",缺陷明细!$J$2:$J$50000,"验收测试",缺陷明细!$K$2:$K$50000,"致命")+COUNTIFS(缺陷明细!$A$2:$A$50000,$B$4,缺陷明细!$G$2:$G$50000,$C96,缺陷明细!$Q$2:$Q$50000,"已关闭",缺陷明细!$J$2:$J$50000,"验收测试",缺陷明细!$K$2:$K$50000,"严重")</f>
        <v>0</v>
      </c>
      <c r="Y96" s="70">
        <f>COUNTIFS(缺陷明细!$A$2:$A$50000,$B$4,缺陷明细!$G$2:$G$50000,$C96,缺陷明细!$J$2:$J$50000,"运维测试",缺陷明细!$AB$2:$AB$50000,"&lt;&gt;丢弃",缺陷明细!$AB$2:$AB$50000,"&lt;&gt;设计如此",缺陷明细!$AB$2:$AB$50000,"&lt;&gt;重复Bug")</f>
        <v>0</v>
      </c>
      <c r="Z96" s="71">
        <f>COUNTIFS(缺陷明细!$A$2:$A$50000,$B$4,缺陷明细!$G$2:$G$50000,$C96,缺陷明细!$Q$2:$Q$50000,"已关闭",缺陷明细!$J$2:$J$50000,"运维测试")</f>
        <v>0</v>
      </c>
      <c r="AA96" s="72">
        <f>COUNTIFS(缺陷明细!$A$2:$A$50000,$B$4,缺陷明细!$G$2:$G$50000,$C96,缺陷明细!$J$2:$J$50000,"运维测试",缺陷明细!$K$2:$K$50000,"致命",缺陷明细!$AB$2:$AB$50000,"&lt;&gt;丢弃",缺陷明细!$AB$2:$AB$50000,"&lt;&gt;设计如此",缺陷明细!$AB$2:$AB$50000,"&lt;&gt;重复Bug")+COUNTIFS(缺陷明细!$A$2:$A$50000,$B$4,缺陷明细!$G$2:$G$50000,$C96,缺陷明细!$J$2:$J$50000,"运维测试",缺陷明细!$K$2:$K$50000,"严重",缺陷明细!$AB$2:$AB$50000,"&lt;&gt;丢弃",缺陷明细!$AB$2:$AB$50000,"&lt;&gt;设计如此",缺陷明细!$AB$2:$AB$50000,"&lt;&gt;重复Bug")</f>
        <v>0</v>
      </c>
      <c r="AB96" s="73">
        <f>COUNTIFS(缺陷明细!$A$2:$A$50000,$B$4,缺陷明细!$G$2:$G$50000,$C96,缺陷明细!$Q$2:$Q$50000,"已关闭",缺陷明细!$J$2:$J$50000,"运维测试",缺陷明细!$K$2:$K$50000,"致命")+COUNTIFS(缺陷明细!$A$2:$A$50000,$B$4,缺陷明细!$G$2:$G$50000,$C96,缺陷明细!$Q$2:$Q$50000,"已关闭",缺陷明细!$J$2:$J$50000,"运维测试",缺陷明细!$K$2:$K$50000,"严重")</f>
        <v>0</v>
      </c>
      <c r="AC96" s="68">
        <f t="shared" si="4"/>
        <v>0</v>
      </c>
      <c r="AD96" s="60">
        <f t="shared" si="5"/>
        <v>0</v>
      </c>
      <c r="AE96" s="60">
        <f t="shared" si="6"/>
        <v>0</v>
      </c>
      <c r="AF96" s="60">
        <f t="shared" si="7"/>
        <v>0</v>
      </c>
      <c r="AG96" s="60">
        <f t="shared" si="8"/>
        <v>0</v>
      </c>
      <c r="AH96" s="60">
        <f t="shared" si="9"/>
        <v>0</v>
      </c>
      <c r="AI96" s="60">
        <f t="shared" si="10"/>
        <v>0</v>
      </c>
      <c r="AJ96" s="61">
        <f t="shared" si="11"/>
        <v>0</v>
      </c>
      <c r="AK96" s="144"/>
    </row>
    <row r="97" spans="1:37" ht="38.25">
      <c r="A97">
        <v>93</v>
      </c>
      <c r="B97" s="57">
        <v>578</v>
      </c>
      <c r="C97" s="58" t="s">
        <v>438</v>
      </c>
      <c r="D97" s="84" t="s">
        <v>343</v>
      </c>
      <c r="E97" s="82" t="s">
        <v>346</v>
      </c>
      <c r="F97" s="158">
        <v>2</v>
      </c>
      <c r="G97" s="159">
        <v>2</v>
      </c>
      <c r="H97" s="281">
        <f>COUNTIFS(缺陷明细!$A$2:$A$50000,$B$4,缺陷明细!$G$2:$G$50000,$C97,缺陷明细!$J$2:$J$50000,"评审",缺陷明细!$AB$2:$AB$50000,"&lt;&gt;丢弃",缺陷明细!$AB$2:$AB$50000,"&lt;&gt;设计如此",缺陷明细!$AB$2:$AB$50000,"&lt;&gt;重复Bug")</f>
        <v>0</v>
      </c>
      <c r="I97" s="154">
        <f>COUNTIFS(缺陷明细!$A$2:$A$50000,$B$4,缺陷明细!$G$2:$G$50000,$C97,缺陷明细!$Q$2:$Q$50000,"已关闭",缺陷明细!$J$2:$J$50000,"评审")</f>
        <v>0</v>
      </c>
      <c r="J97" s="154">
        <f>COUNTIFS(缺陷明细!$A$2:$A$50000,$B$4,缺陷明细!$G$2:$G$50000,$C97,缺陷明细!$J$2:$J$50000,"单元测试",缺陷明细!$AB$2:$AB$50000,"&lt;&gt;丢弃",缺陷明细!$AB$2:$AB$50000,"&lt;&gt;设计如此",缺陷明细!$AB$2:$AB$50000,"&lt;&gt;重复Bug")</f>
        <v>0</v>
      </c>
      <c r="K97" s="155">
        <f>COUNTIFS(缺陷明细!$A$2:$A$50000,$B$4,缺陷明细!$G$2:$G$50000,$C97,缺陷明细!$Q$2:$Q$50000,"已关闭",缺陷明细!$J$2:$J$50000,"单元测试")</f>
        <v>0</v>
      </c>
      <c r="L97" s="156"/>
      <c r="M97" s="157"/>
      <c r="N97" s="72">
        <f>COUNTIFS(缺陷明细!$A$2:$A$50000,$B$4,缺陷明细!$G$2:$G$50000,$C97,缺陷明细!$J$2:$J$50000,"系统测试案例评审",缺陷明细!$AB$2:$AB$50000,"&lt;&gt;丢弃",缺陷明细!$AB$2:$AB$50000,"&lt;&gt;设计如此",缺陷明细!$AB$2:$AB$50000,"&lt;&gt;重复Bug")</f>
        <v>0</v>
      </c>
      <c r="O97" s="72">
        <f>COUNTIFS(缺陷明细!$A$2:$A$50000,$B$4,缺陷明细!$G$2:$G$50000,$C97,缺陷明细!$Q$2:$Q$50000,"已关闭",缺陷明细!$J$2:$J$50000,"系统测试案例评审")</f>
        <v>0</v>
      </c>
      <c r="P97" s="72">
        <f>COUNTIFS(缺陷明细!$A$2:$A$50000,$B$4,缺陷明细!$G$2:$G$50000,$C97,缺陷明细!$J$2:$J$50000,"系统测试",缺陷明细!$AB$2:$AB$50000,"&lt;&gt;丢弃",缺陷明细!$AB$2:$AB$50000,"&lt;&gt;设计如此",缺陷明细!$AB$2:$AB$50000,"&lt;&gt;重复Bug")</f>
        <v>0</v>
      </c>
      <c r="Q97" s="72">
        <f>COUNTIFS(缺陷明细!$A$2:$A$50000,$B$4,缺陷明细!$G$2:$G$50000,$C97,缺陷明细!$Q$2:$Q$50000,"已关闭",缺陷明细!$J$2:$J$50000,"系统测试")</f>
        <v>0</v>
      </c>
      <c r="R97" s="296">
        <f>COUNTIFS(缺陷明细!$A$2:$A$50000,$B$4,缺陷明细!$G$2:$G$50000,$C97,缺陷明细!$AB$2:$AB$50000,"丢弃",缺陷明细!$J$2:$J$50000,"系统测试")+COUNTIFS(缺陷明细!$A$2:$A$50000,$B$4,缺陷明细!$G$2:$G$50000,$C97,缺陷明细!$AB$2:$AB$50000,"设计如此",缺陷明细!$J$2:$J$50000,"系统测试")+COUNTIFS(缺陷明细!$A$2:$A$50000,$B$4,缺陷明细!$G$2:$G$50000,$C97,缺陷明细!$AB$2:$AB$50000,"重复Bug",缺陷明细!$J$2:$J$50000,"系统测试")</f>
        <v>0</v>
      </c>
      <c r="S97" s="72">
        <f>COUNTIFS(缺陷明细!$A$2:$A$50000,$B$4,缺陷明细!$G$2:$G$50000,$C97,缺陷明细!$J$2:$J$50000,"系统测试",缺陷明细!$K$2:$K$50000,"致命",缺陷明细!$AB$2:$AB$50000,"&lt;&gt;丢弃",缺陷明细!$AB$2:$AB$50000,"&lt;&gt;设计如此",缺陷明细!$AB$2:$AB$50000,"&lt;&gt;重复Bug")+COUNTIFS(缺陷明细!$A$2:$A$50000,$B$4,缺陷明细!$G$2:$G$50000,$C97,缺陷明细!$J$2:$J$50000,"系统测试",缺陷明细!$K$2:$K$50000,"严重",缺陷明细!$AB$2:$AB$50000,"&lt;&gt;丢弃",缺陷明细!$AB$2:$AB$50000,"&lt;&gt;设计如此",缺陷明细!$AB$2:$AB$50000,"&lt;&gt;重复Bug")</f>
        <v>0</v>
      </c>
      <c r="T97" s="73">
        <f>COUNTIFS(缺陷明细!$A$2:$A$50000,$B$4,缺陷明细!$G$2:$G$50000,$C97,缺陷明细!$Q$2:$Q$50000,"已关闭",缺陷明细!$J$2:$J$50000,"系统测试",缺陷明细!$K$2:$K$50000,"致命")+COUNTIFS(缺陷明细!$A$2:$A$50000,$B$4,缺陷明细!$G$2:$G$50000,$C97,缺陷明细!$Q$2:$Q$50000,"已关闭",缺陷明细!$J$2:$J$50000,"系统测试",缺陷明细!$K$2:$K$50000,"严重")</f>
        <v>0</v>
      </c>
      <c r="U97" s="74">
        <f>COUNTIFS(缺陷明细!$A$2:$A$50000,$B$4,缺陷明细!$G$2:$G$50000,$C97,缺陷明细!$J$2:$J$50000,"验收测试",缺陷明细!$AB$2:$AB$50000,"&lt;&gt;丢弃",缺陷明细!$AB$2:$AB$50000,"&lt;&gt;设计如此",缺陷明细!$AB$2:$AB$50000,"&lt;&gt;重复Bug")</f>
        <v>0</v>
      </c>
      <c r="V97" s="75">
        <f>COUNTIFS(缺陷明细!$A$2:$A$50000,$B$4,缺陷明细!$G$2:$G$50000,$C97,缺陷明细!$Q$2:$Q$50000,"已关闭",缺陷明细!$J$2:$J$50000,"验收测试")</f>
        <v>0</v>
      </c>
      <c r="W97" s="75">
        <f>COUNTIFS(缺陷明细!$A$2:$A$50000,$B$4,缺陷明细!$G$2:$G$50000,$C97,缺陷明细!$J$2:$J$50000,"验收测试",缺陷明细!$K$2:$K$50000,"致命",缺陷明细!$AB$2:$AB$50000,"&lt;&gt;丢弃",缺陷明细!$AB$2:$AB$50000,"&lt;&gt;设计如此",缺陷明细!$AB$2:$AB$50000,"&lt;&gt;重复Bug")+COUNTIFS(缺陷明细!$A$2:$A$50000,$B$4,缺陷明细!$G$2:$G$50000,$C97,缺陷明细!$J$2:$J$50000,"验收测试",缺陷明细!$K$2:$K$50000,"严重",缺陷明细!$AB$2:$AB$50000,"&lt;&gt;丢弃",缺陷明细!$AB$2:$AB$50000,"&lt;&gt;设计如此",缺陷明细!$AB$2:$AB$50000,"&lt;&gt;重复Bug")</f>
        <v>0</v>
      </c>
      <c r="X97" s="76">
        <f>COUNTIFS(缺陷明细!$A$2:$A$50000,$B$4,缺陷明细!$G$2:$G$50000,$C97,缺陷明细!$Q$2:$Q$50000,"已关闭",缺陷明细!$J$2:$J$50000,"验收测试",缺陷明细!$K$2:$K$50000,"致命")+COUNTIFS(缺陷明细!$A$2:$A$50000,$B$4,缺陷明细!$G$2:$G$50000,$C97,缺陷明细!$Q$2:$Q$50000,"已关闭",缺陷明细!$J$2:$J$50000,"验收测试",缺陷明细!$K$2:$K$50000,"严重")</f>
        <v>0</v>
      </c>
      <c r="Y97" s="70">
        <f>COUNTIFS(缺陷明细!$A$2:$A$50000,$B$4,缺陷明细!$G$2:$G$50000,$C97,缺陷明细!$J$2:$J$50000,"运维测试",缺陷明细!$AB$2:$AB$50000,"&lt;&gt;丢弃",缺陷明细!$AB$2:$AB$50000,"&lt;&gt;设计如此",缺陷明细!$AB$2:$AB$50000,"&lt;&gt;重复Bug")</f>
        <v>0</v>
      </c>
      <c r="Z97" s="71">
        <f>COUNTIFS(缺陷明细!$A$2:$A$50000,$B$4,缺陷明细!$G$2:$G$50000,$C97,缺陷明细!$Q$2:$Q$50000,"已关闭",缺陷明细!$J$2:$J$50000,"运维测试")</f>
        <v>0</v>
      </c>
      <c r="AA97" s="72">
        <f>COUNTIFS(缺陷明细!$A$2:$A$50000,$B$4,缺陷明细!$G$2:$G$50000,$C97,缺陷明细!$J$2:$J$50000,"运维测试",缺陷明细!$K$2:$K$50000,"致命",缺陷明细!$AB$2:$AB$50000,"&lt;&gt;丢弃",缺陷明细!$AB$2:$AB$50000,"&lt;&gt;设计如此",缺陷明细!$AB$2:$AB$50000,"&lt;&gt;重复Bug")+COUNTIFS(缺陷明细!$A$2:$A$50000,$B$4,缺陷明细!$G$2:$G$50000,$C97,缺陷明细!$J$2:$J$50000,"运维测试",缺陷明细!$K$2:$K$50000,"严重",缺陷明细!$AB$2:$AB$50000,"&lt;&gt;丢弃",缺陷明细!$AB$2:$AB$50000,"&lt;&gt;设计如此",缺陷明细!$AB$2:$AB$50000,"&lt;&gt;重复Bug")</f>
        <v>0</v>
      </c>
      <c r="AB97" s="73">
        <f>COUNTIFS(缺陷明细!$A$2:$A$50000,$B$4,缺陷明细!$G$2:$G$50000,$C97,缺陷明细!$Q$2:$Q$50000,"已关闭",缺陷明细!$J$2:$J$50000,"运维测试",缺陷明细!$K$2:$K$50000,"致命")+COUNTIFS(缺陷明细!$A$2:$A$50000,$B$4,缺陷明细!$G$2:$G$50000,$C97,缺陷明细!$Q$2:$Q$50000,"已关闭",缺陷明细!$J$2:$J$50000,"运维测试",缺陷明细!$K$2:$K$50000,"严重")</f>
        <v>0</v>
      </c>
      <c r="AC97" s="68">
        <f t="shared" si="4"/>
        <v>0</v>
      </c>
      <c r="AD97" s="60">
        <f t="shared" si="5"/>
        <v>0</v>
      </c>
      <c r="AE97" s="60">
        <f t="shared" si="6"/>
        <v>0</v>
      </c>
      <c r="AF97" s="60">
        <f t="shared" si="7"/>
        <v>0</v>
      </c>
      <c r="AG97" s="60">
        <f t="shared" si="8"/>
        <v>0</v>
      </c>
      <c r="AH97" s="60">
        <f t="shared" si="9"/>
        <v>0</v>
      </c>
      <c r="AI97" s="60">
        <f t="shared" si="10"/>
        <v>0</v>
      </c>
      <c r="AJ97" s="61">
        <f t="shared" si="11"/>
        <v>0</v>
      </c>
      <c r="AK97" s="144"/>
    </row>
    <row r="98" spans="1:37" ht="25.5">
      <c r="A98">
        <v>94</v>
      </c>
      <c r="B98" s="57">
        <v>579</v>
      </c>
      <c r="C98" s="58" t="s">
        <v>439</v>
      </c>
      <c r="D98" s="84" t="s">
        <v>343</v>
      </c>
      <c r="E98" s="82" t="s">
        <v>346</v>
      </c>
      <c r="F98" s="158">
        <v>4</v>
      </c>
      <c r="G98" s="159">
        <v>2</v>
      </c>
      <c r="H98" s="281">
        <f>COUNTIFS(缺陷明细!$A$2:$A$50000,$B$4,缺陷明细!$G$2:$G$50000,$C98,缺陷明细!$J$2:$J$50000,"评审",缺陷明细!$AB$2:$AB$50000,"&lt;&gt;丢弃",缺陷明细!$AB$2:$AB$50000,"&lt;&gt;设计如此",缺陷明细!$AB$2:$AB$50000,"&lt;&gt;重复Bug")</f>
        <v>0</v>
      </c>
      <c r="I98" s="154">
        <f>COUNTIFS(缺陷明细!$A$2:$A$50000,$B$4,缺陷明细!$G$2:$G$50000,$C98,缺陷明细!$Q$2:$Q$50000,"已关闭",缺陷明细!$J$2:$J$50000,"评审")</f>
        <v>0</v>
      </c>
      <c r="J98" s="154">
        <f>COUNTIFS(缺陷明细!$A$2:$A$50000,$B$4,缺陷明细!$G$2:$G$50000,$C98,缺陷明细!$J$2:$J$50000,"单元测试",缺陷明细!$AB$2:$AB$50000,"&lt;&gt;丢弃",缺陷明细!$AB$2:$AB$50000,"&lt;&gt;设计如此",缺陷明细!$AB$2:$AB$50000,"&lt;&gt;重复Bug")</f>
        <v>0</v>
      </c>
      <c r="K98" s="155">
        <f>COUNTIFS(缺陷明细!$A$2:$A$50000,$B$4,缺陷明细!$G$2:$G$50000,$C98,缺陷明细!$Q$2:$Q$50000,"已关闭",缺陷明细!$J$2:$J$50000,"单元测试")</f>
        <v>0</v>
      </c>
      <c r="L98" s="156"/>
      <c r="M98" s="157"/>
      <c r="N98" s="72">
        <f>COUNTIFS(缺陷明细!$A$2:$A$50000,$B$4,缺陷明细!$G$2:$G$50000,$C98,缺陷明细!$J$2:$J$50000,"系统测试案例评审",缺陷明细!$AB$2:$AB$50000,"&lt;&gt;丢弃",缺陷明细!$AB$2:$AB$50000,"&lt;&gt;设计如此",缺陷明细!$AB$2:$AB$50000,"&lt;&gt;重复Bug")</f>
        <v>0</v>
      </c>
      <c r="O98" s="72">
        <f>COUNTIFS(缺陷明细!$A$2:$A$50000,$B$4,缺陷明细!$G$2:$G$50000,$C98,缺陷明细!$Q$2:$Q$50000,"已关闭",缺陷明细!$J$2:$J$50000,"系统测试案例评审")</f>
        <v>0</v>
      </c>
      <c r="P98" s="72">
        <f>COUNTIFS(缺陷明细!$A$2:$A$50000,$B$4,缺陷明细!$G$2:$G$50000,$C98,缺陷明细!$J$2:$J$50000,"系统测试",缺陷明细!$AB$2:$AB$50000,"&lt;&gt;丢弃",缺陷明细!$AB$2:$AB$50000,"&lt;&gt;设计如此",缺陷明细!$AB$2:$AB$50000,"&lt;&gt;重复Bug")</f>
        <v>0</v>
      </c>
      <c r="Q98" s="72">
        <f>COUNTIFS(缺陷明细!$A$2:$A$50000,$B$4,缺陷明细!$G$2:$G$50000,$C98,缺陷明细!$Q$2:$Q$50000,"已关闭",缺陷明细!$J$2:$J$50000,"系统测试")</f>
        <v>0</v>
      </c>
      <c r="R98" s="296">
        <f>COUNTIFS(缺陷明细!$A$2:$A$50000,$B$4,缺陷明细!$G$2:$G$50000,$C98,缺陷明细!$AB$2:$AB$50000,"丢弃",缺陷明细!$J$2:$J$50000,"系统测试")+COUNTIFS(缺陷明细!$A$2:$A$50000,$B$4,缺陷明细!$G$2:$G$50000,$C98,缺陷明细!$AB$2:$AB$50000,"设计如此",缺陷明细!$J$2:$J$50000,"系统测试")+COUNTIFS(缺陷明细!$A$2:$A$50000,$B$4,缺陷明细!$G$2:$G$50000,$C98,缺陷明细!$AB$2:$AB$50000,"重复Bug",缺陷明细!$J$2:$J$50000,"系统测试")</f>
        <v>0</v>
      </c>
      <c r="S98" s="72">
        <f>COUNTIFS(缺陷明细!$A$2:$A$50000,$B$4,缺陷明细!$G$2:$G$50000,$C98,缺陷明细!$J$2:$J$50000,"系统测试",缺陷明细!$K$2:$K$50000,"致命",缺陷明细!$AB$2:$AB$50000,"&lt;&gt;丢弃",缺陷明细!$AB$2:$AB$50000,"&lt;&gt;设计如此",缺陷明细!$AB$2:$AB$50000,"&lt;&gt;重复Bug")+COUNTIFS(缺陷明细!$A$2:$A$50000,$B$4,缺陷明细!$G$2:$G$50000,$C98,缺陷明细!$J$2:$J$50000,"系统测试",缺陷明细!$K$2:$K$50000,"严重",缺陷明细!$AB$2:$AB$50000,"&lt;&gt;丢弃",缺陷明细!$AB$2:$AB$50000,"&lt;&gt;设计如此",缺陷明细!$AB$2:$AB$50000,"&lt;&gt;重复Bug")</f>
        <v>0</v>
      </c>
      <c r="T98" s="73">
        <f>COUNTIFS(缺陷明细!$A$2:$A$50000,$B$4,缺陷明细!$G$2:$G$50000,$C98,缺陷明细!$Q$2:$Q$50000,"已关闭",缺陷明细!$J$2:$J$50000,"系统测试",缺陷明细!$K$2:$K$50000,"致命")+COUNTIFS(缺陷明细!$A$2:$A$50000,$B$4,缺陷明细!$G$2:$G$50000,$C98,缺陷明细!$Q$2:$Q$50000,"已关闭",缺陷明细!$J$2:$J$50000,"系统测试",缺陷明细!$K$2:$K$50000,"严重")</f>
        <v>0</v>
      </c>
      <c r="U98" s="74">
        <f>COUNTIFS(缺陷明细!$A$2:$A$50000,$B$4,缺陷明细!$G$2:$G$50000,$C98,缺陷明细!$J$2:$J$50000,"验收测试",缺陷明细!$AB$2:$AB$50000,"&lt;&gt;丢弃",缺陷明细!$AB$2:$AB$50000,"&lt;&gt;设计如此",缺陷明细!$AB$2:$AB$50000,"&lt;&gt;重复Bug")</f>
        <v>0</v>
      </c>
      <c r="V98" s="75">
        <f>COUNTIFS(缺陷明细!$A$2:$A$50000,$B$4,缺陷明细!$G$2:$G$50000,$C98,缺陷明细!$Q$2:$Q$50000,"已关闭",缺陷明细!$J$2:$J$50000,"验收测试")</f>
        <v>0</v>
      </c>
      <c r="W98" s="75">
        <f>COUNTIFS(缺陷明细!$A$2:$A$50000,$B$4,缺陷明细!$G$2:$G$50000,$C98,缺陷明细!$J$2:$J$50000,"验收测试",缺陷明细!$K$2:$K$50000,"致命",缺陷明细!$AB$2:$AB$50000,"&lt;&gt;丢弃",缺陷明细!$AB$2:$AB$50000,"&lt;&gt;设计如此",缺陷明细!$AB$2:$AB$50000,"&lt;&gt;重复Bug")+COUNTIFS(缺陷明细!$A$2:$A$50000,$B$4,缺陷明细!$G$2:$G$50000,$C98,缺陷明细!$J$2:$J$50000,"验收测试",缺陷明细!$K$2:$K$50000,"严重",缺陷明细!$AB$2:$AB$50000,"&lt;&gt;丢弃",缺陷明细!$AB$2:$AB$50000,"&lt;&gt;设计如此",缺陷明细!$AB$2:$AB$50000,"&lt;&gt;重复Bug")</f>
        <v>0</v>
      </c>
      <c r="X98" s="76">
        <f>COUNTIFS(缺陷明细!$A$2:$A$50000,$B$4,缺陷明细!$G$2:$G$50000,$C98,缺陷明细!$Q$2:$Q$50000,"已关闭",缺陷明细!$J$2:$J$50000,"验收测试",缺陷明细!$K$2:$K$50000,"致命")+COUNTIFS(缺陷明细!$A$2:$A$50000,$B$4,缺陷明细!$G$2:$G$50000,$C98,缺陷明细!$Q$2:$Q$50000,"已关闭",缺陷明细!$J$2:$J$50000,"验收测试",缺陷明细!$K$2:$K$50000,"严重")</f>
        <v>0</v>
      </c>
      <c r="Y98" s="70">
        <f>COUNTIFS(缺陷明细!$A$2:$A$50000,$B$4,缺陷明细!$G$2:$G$50000,$C98,缺陷明细!$J$2:$J$50000,"运维测试",缺陷明细!$AB$2:$AB$50000,"&lt;&gt;丢弃",缺陷明细!$AB$2:$AB$50000,"&lt;&gt;设计如此",缺陷明细!$AB$2:$AB$50000,"&lt;&gt;重复Bug")</f>
        <v>0</v>
      </c>
      <c r="Z98" s="71">
        <f>COUNTIFS(缺陷明细!$A$2:$A$50000,$B$4,缺陷明细!$G$2:$G$50000,$C98,缺陷明细!$Q$2:$Q$50000,"已关闭",缺陷明细!$J$2:$J$50000,"运维测试")</f>
        <v>0</v>
      </c>
      <c r="AA98" s="72">
        <f>COUNTIFS(缺陷明细!$A$2:$A$50000,$B$4,缺陷明细!$G$2:$G$50000,$C98,缺陷明细!$J$2:$J$50000,"运维测试",缺陷明细!$K$2:$K$50000,"致命",缺陷明细!$AB$2:$AB$50000,"&lt;&gt;丢弃",缺陷明细!$AB$2:$AB$50000,"&lt;&gt;设计如此",缺陷明细!$AB$2:$AB$50000,"&lt;&gt;重复Bug")+COUNTIFS(缺陷明细!$A$2:$A$50000,$B$4,缺陷明细!$G$2:$G$50000,$C98,缺陷明细!$J$2:$J$50000,"运维测试",缺陷明细!$K$2:$K$50000,"严重",缺陷明细!$AB$2:$AB$50000,"&lt;&gt;丢弃",缺陷明细!$AB$2:$AB$50000,"&lt;&gt;设计如此",缺陷明细!$AB$2:$AB$50000,"&lt;&gt;重复Bug")</f>
        <v>0</v>
      </c>
      <c r="AB98" s="73">
        <f>COUNTIFS(缺陷明细!$A$2:$A$50000,$B$4,缺陷明细!$G$2:$G$50000,$C98,缺陷明细!$Q$2:$Q$50000,"已关闭",缺陷明细!$J$2:$J$50000,"运维测试",缺陷明细!$K$2:$K$50000,"致命")+COUNTIFS(缺陷明细!$A$2:$A$50000,$B$4,缺陷明细!$G$2:$G$50000,$C98,缺陷明细!$Q$2:$Q$50000,"已关闭",缺陷明细!$J$2:$J$50000,"运维测试",缺陷明细!$K$2:$K$50000,"严重")</f>
        <v>0</v>
      </c>
      <c r="AC98" s="68">
        <f t="shared" si="4"/>
        <v>0</v>
      </c>
      <c r="AD98" s="60">
        <f t="shared" si="5"/>
        <v>0</v>
      </c>
      <c r="AE98" s="60">
        <f t="shared" si="6"/>
        <v>0</v>
      </c>
      <c r="AF98" s="60">
        <f t="shared" si="7"/>
        <v>0</v>
      </c>
      <c r="AG98" s="60">
        <f t="shared" si="8"/>
        <v>0</v>
      </c>
      <c r="AH98" s="60">
        <f t="shared" si="9"/>
        <v>0</v>
      </c>
      <c r="AI98" s="60">
        <f t="shared" si="10"/>
        <v>0</v>
      </c>
      <c r="AJ98" s="61">
        <f t="shared" si="11"/>
        <v>0</v>
      </c>
      <c r="AK98" s="144"/>
    </row>
    <row r="99" spans="1:37">
      <c r="A99">
        <v>95</v>
      </c>
      <c r="B99" s="57">
        <v>580</v>
      </c>
      <c r="C99" s="58" t="s">
        <v>440</v>
      </c>
      <c r="D99" s="84" t="s">
        <v>343</v>
      </c>
      <c r="E99" s="82" t="s">
        <v>346</v>
      </c>
      <c r="F99" s="158">
        <v>2</v>
      </c>
      <c r="G99" s="159">
        <v>2</v>
      </c>
      <c r="H99" s="281">
        <f>COUNTIFS(缺陷明细!$A$2:$A$50000,$B$4,缺陷明细!$G$2:$G$50000,$C99,缺陷明细!$J$2:$J$50000,"评审",缺陷明细!$AB$2:$AB$50000,"&lt;&gt;丢弃",缺陷明细!$AB$2:$AB$50000,"&lt;&gt;设计如此",缺陷明细!$AB$2:$AB$50000,"&lt;&gt;重复Bug")</f>
        <v>0</v>
      </c>
      <c r="I99" s="154">
        <f>COUNTIFS(缺陷明细!$A$2:$A$50000,$B$4,缺陷明细!$G$2:$G$50000,$C99,缺陷明细!$Q$2:$Q$50000,"已关闭",缺陷明细!$J$2:$J$50000,"评审")</f>
        <v>0</v>
      </c>
      <c r="J99" s="154">
        <f>COUNTIFS(缺陷明细!$A$2:$A$50000,$B$4,缺陷明细!$G$2:$G$50000,$C99,缺陷明细!$J$2:$J$50000,"单元测试",缺陷明细!$AB$2:$AB$50000,"&lt;&gt;丢弃",缺陷明细!$AB$2:$AB$50000,"&lt;&gt;设计如此",缺陷明细!$AB$2:$AB$50000,"&lt;&gt;重复Bug")</f>
        <v>0</v>
      </c>
      <c r="K99" s="155">
        <f>COUNTIFS(缺陷明细!$A$2:$A$50000,$B$4,缺陷明细!$G$2:$G$50000,$C99,缺陷明细!$Q$2:$Q$50000,"已关闭",缺陷明细!$J$2:$J$50000,"单元测试")</f>
        <v>0</v>
      </c>
      <c r="L99" s="156"/>
      <c r="M99" s="157"/>
      <c r="N99" s="72">
        <f>COUNTIFS(缺陷明细!$A$2:$A$50000,$B$4,缺陷明细!$G$2:$G$50000,$C99,缺陷明细!$J$2:$J$50000,"系统测试案例评审",缺陷明细!$AB$2:$AB$50000,"&lt;&gt;丢弃",缺陷明细!$AB$2:$AB$50000,"&lt;&gt;设计如此",缺陷明细!$AB$2:$AB$50000,"&lt;&gt;重复Bug")</f>
        <v>0</v>
      </c>
      <c r="O99" s="72">
        <f>COUNTIFS(缺陷明细!$A$2:$A$50000,$B$4,缺陷明细!$G$2:$G$50000,$C99,缺陷明细!$Q$2:$Q$50000,"已关闭",缺陷明细!$J$2:$J$50000,"系统测试案例评审")</f>
        <v>0</v>
      </c>
      <c r="P99" s="72">
        <f>COUNTIFS(缺陷明细!$A$2:$A$50000,$B$4,缺陷明细!$G$2:$G$50000,$C99,缺陷明细!$J$2:$J$50000,"系统测试",缺陷明细!$AB$2:$AB$50000,"&lt;&gt;丢弃",缺陷明细!$AB$2:$AB$50000,"&lt;&gt;设计如此",缺陷明细!$AB$2:$AB$50000,"&lt;&gt;重复Bug")</f>
        <v>0</v>
      </c>
      <c r="Q99" s="72">
        <f>COUNTIFS(缺陷明细!$A$2:$A$50000,$B$4,缺陷明细!$G$2:$G$50000,$C99,缺陷明细!$Q$2:$Q$50000,"已关闭",缺陷明细!$J$2:$J$50000,"系统测试")</f>
        <v>0</v>
      </c>
      <c r="R99" s="296">
        <f>COUNTIFS(缺陷明细!$A$2:$A$50000,$B$4,缺陷明细!$G$2:$G$50000,$C99,缺陷明细!$AB$2:$AB$50000,"丢弃",缺陷明细!$J$2:$J$50000,"系统测试")+COUNTIFS(缺陷明细!$A$2:$A$50000,$B$4,缺陷明细!$G$2:$G$50000,$C99,缺陷明细!$AB$2:$AB$50000,"设计如此",缺陷明细!$J$2:$J$50000,"系统测试")+COUNTIFS(缺陷明细!$A$2:$A$50000,$B$4,缺陷明细!$G$2:$G$50000,$C99,缺陷明细!$AB$2:$AB$50000,"重复Bug",缺陷明细!$J$2:$J$50000,"系统测试")</f>
        <v>0</v>
      </c>
      <c r="S99" s="72">
        <f>COUNTIFS(缺陷明细!$A$2:$A$50000,$B$4,缺陷明细!$G$2:$G$50000,$C99,缺陷明细!$J$2:$J$50000,"系统测试",缺陷明细!$K$2:$K$50000,"致命",缺陷明细!$AB$2:$AB$50000,"&lt;&gt;丢弃",缺陷明细!$AB$2:$AB$50000,"&lt;&gt;设计如此",缺陷明细!$AB$2:$AB$50000,"&lt;&gt;重复Bug")+COUNTIFS(缺陷明细!$A$2:$A$50000,$B$4,缺陷明细!$G$2:$G$50000,$C99,缺陷明细!$J$2:$J$50000,"系统测试",缺陷明细!$K$2:$K$50000,"严重",缺陷明细!$AB$2:$AB$50000,"&lt;&gt;丢弃",缺陷明细!$AB$2:$AB$50000,"&lt;&gt;设计如此",缺陷明细!$AB$2:$AB$50000,"&lt;&gt;重复Bug")</f>
        <v>0</v>
      </c>
      <c r="T99" s="73">
        <f>COUNTIFS(缺陷明细!$A$2:$A$50000,$B$4,缺陷明细!$G$2:$G$50000,$C99,缺陷明细!$Q$2:$Q$50000,"已关闭",缺陷明细!$J$2:$J$50000,"系统测试",缺陷明细!$K$2:$K$50000,"致命")+COUNTIFS(缺陷明细!$A$2:$A$50000,$B$4,缺陷明细!$G$2:$G$50000,$C99,缺陷明细!$Q$2:$Q$50000,"已关闭",缺陷明细!$J$2:$J$50000,"系统测试",缺陷明细!$K$2:$K$50000,"严重")</f>
        <v>0</v>
      </c>
      <c r="U99" s="74">
        <f>COUNTIFS(缺陷明细!$A$2:$A$50000,$B$4,缺陷明细!$G$2:$G$50000,$C99,缺陷明细!$J$2:$J$50000,"验收测试",缺陷明细!$AB$2:$AB$50000,"&lt;&gt;丢弃",缺陷明细!$AB$2:$AB$50000,"&lt;&gt;设计如此",缺陷明细!$AB$2:$AB$50000,"&lt;&gt;重复Bug")</f>
        <v>0</v>
      </c>
      <c r="V99" s="75">
        <f>COUNTIFS(缺陷明细!$A$2:$A$50000,$B$4,缺陷明细!$G$2:$G$50000,$C99,缺陷明细!$Q$2:$Q$50000,"已关闭",缺陷明细!$J$2:$J$50000,"验收测试")</f>
        <v>0</v>
      </c>
      <c r="W99" s="75">
        <f>COUNTIFS(缺陷明细!$A$2:$A$50000,$B$4,缺陷明细!$G$2:$G$50000,$C99,缺陷明细!$J$2:$J$50000,"验收测试",缺陷明细!$K$2:$K$50000,"致命",缺陷明细!$AB$2:$AB$50000,"&lt;&gt;丢弃",缺陷明细!$AB$2:$AB$50000,"&lt;&gt;设计如此",缺陷明细!$AB$2:$AB$50000,"&lt;&gt;重复Bug")+COUNTIFS(缺陷明细!$A$2:$A$50000,$B$4,缺陷明细!$G$2:$G$50000,$C99,缺陷明细!$J$2:$J$50000,"验收测试",缺陷明细!$K$2:$K$50000,"严重",缺陷明细!$AB$2:$AB$50000,"&lt;&gt;丢弃",缺陷明细!$AB$2:$AB$50000,"&lt;&gt;设计如此",缺陷明细!$AB$2:$AB$50000,"&lt;&gt;重复Bug")</f>
        <v>0</v>
      </c>
      <c r="X99" s="76">
        <f>COUNTIFS(缺陷明细!$A$2:$A$50000,$B$4,缺陷明细!$G$2:$G$50000,$C99,缺陷明细!$Q$2:$Q$50000,"已关闭",缺陷明细!$J$2:$J$50000,"验收测试",缺陷明细!$K$2:$K$50000,"致命")+COUNTIFS(缺陷明细!$A$2:$A$50000,$B$4,缺陷明细!$G$2:$G$50000,$C99,缺陷明细!$Q$2:$Q$50000,"已关闭",缺陷明细!$J$2:$J$50000,"验收测试",缺陷明细!$K$2:$K$50000,"严重")</f>
        <v>0</v>
      </c>
      <c r="Y99" s="70">
        <f>COUNTIFS(缺陷明细!$A$2:$A$50000,$B$4,缺陷明细!$G$2:$G$50000,$C99,缺陷明细!$J$2:$J$50000,"运维测试",缺陷明细!$AB$2:$AB$50000,"&lt;&gt;丢弃",缺陷明细!$AB$2:$AB$50000,"&lt;&gt;设计如此",缺陷明细!$AB$2:$AB$50000,"&lt;&gt;重复Bug")</f>
        <v>0</v>
      </c>
      <c r="Z99" s="71">
        <f>COUNTIFS(缺陷明细!$A$2:$A$50000,$B$4,缺陷明细!$G$2:$G$50000,$C99,缺陷明细!$Q$2:$Q$50000,"已关闭",缺陷明细!$J$2:$J$50000,"运维测试")</f>
        <v>0</v>
      </c>
      <c r="AA99" s="72">
        <f>COUNTIFS(缺陷明细!$A$2:$A$50000,$B$4,缺陷明细!$G$2:$G$50000,$C99,缺陷明细!$J$2:$J$50000,"运维测试",缺陷明细!$K$2:$K$50000,"致命",缺陷明细!$AB$2:$AB$50000,"&lt;&gt;丢弃",缺陷明细!$AB$2:$AB$50000,"&lt;&gt;设计如此",缺陷明细!$AB$2:$AB$50000,"&lt;&gt;重复Bug")+COUNTIFS(缺陷明细!$A$2:$A$50000,$B$4,缺陷明细!$G$2:$G$50000,$C99,缺陷明细!$J$2:$J$50000,"运维测试",缺陷明细!$K$2:$K$50000,"严重",缺陷明细!$AB$2:$AB$50000,"&lt;&gt;丢弃",缺陷明细!$AB$2:$AB$50000,"&lt;&gt;设计如此",缺陷明细!$AB$2:$AB$50000,"&lt;&gt;重复Bug")</f>
        <v>0</v>
      </c>
      <c r="AB99" s="73">
        <f>COUNTIFS(缺陷明细!$A$2:$A$50000,$B$4,缺陷明细!$G$2:$G$50000,$C99,缺陷明细!$Q$2:$Q$50000,"已关闭",缺陷明细!$J$2:$J$50000,"运维测试",缺陷明细!$K$2:$K$50000,"致命")+COUNTIFS(缺陷明细!$A$2:$A$50000,$B$4,缺陷明细!$G$2:$G$50000,$C99,缺陷明细!$Q$2:$Q$50000,"已关闭",缺陷明细!$J$2:$J$50000,"运维测试",缺陷明细!$K$2:$K$50000,"严重")</f>
        <v>0</v>
      </c>
      <c r="AC99" s="68">
        <f t="shared" si="4"/>
        <v>0</v>
      </c>
      <c r="AD99" s="60">
        <f t="shared" si="5"/>
        <v>0</v>
      </c>
      <c r="AE99" s="60">
        <f t="shared" si="6"/>
        <v>0</v>
      </c>
      <c r="AF99" s="60">
        <f t="shared" si="7"/>
        <v>0</v>
      </c>
      <c r="AG99" s="60">
        <f t="shared" si="8"/>
        <v>0</v>
      </c>
      <c r="AH99" s="60">
        <f t="shared" si="9"/>
        <v>0</v>
      </c>
      <c r="AI99" s="60">
        <f t="shared" si="10"/>
        <v>0</v>
      </c>
      <c r="AJ99" s="61">
        <f t="shared" si="11"/>
        <v>0</v>
      </c>
      <c r="AK99" s="144"/>
    </row>
    <row r="100" spans="1:37">
      <c r="A100">
        <v>96</v>
      </c>
      <c r="B100" s="57">
        <v>581</v>
      </c>
      <c r="C100" s="58" t="s">
        <v>441</v>
      </c>
      <c r="D100" s="84" t="s">
        <v>375</v>
      </c>
      <c r="E100" s="82" t="s">
        <v>346</v>
      </c>
      <c r="F100" s="158">
        <v>8</v>
      </c>
      <c r="G100" s="159">
        <v>8</v>
      </c>
      <c r="H100" s="281">
        <f>COUNTIFS(缺陷明细!$A$2:$A$50000,$B$4,缺陷明细!$G$2:$G$50000,$C100,缺陷明细!$J$2:$J$50000,"评审",缺陷明细!$AB$2:$AB$50000,"&lt;&gt;丢弃",缺陷明细!$AB$2:$AB$50000,"&lt;&gt;设计如此",缺陷明细!$AB$2:$AB$50000,"&lt;&gt;重复Bug")</f>
        <v>0</v>
      </c>
      <c r="I100" s="154">
        <f>COUNTIFS(缺陷明细!$A$2:$A$50000,$B$4,缺陷明细!$G$2:$G$50000,$C100,缺陷明细!$Q$2:$Q$50000,"已关闭",缺陷明细!$J$2:$J$50000,"评审")</f>
        <v>0</v>
      </c>
      <c r="J100" s="154">
        <f>COUNTIFS(缺陷明细!$A$2:$A$50000,$B$4,缺陷明细!$G$2:$G$50000,$C100,缺陷明细!$J$2:$J$50000,"单元测试",缺陷明细!$AB$2:$AB$50000,"&lt;&gt;丢弃",缺陷明细!$AB$2:$AB$50000,"&lt;&gt;设计如此",缺陷明细!$AB$2:$AB$50000,"&lt;&gt;重复Bug")</f>
        <v>0</v>
      </c>
      <c r="K100" s="155">
        <f>COUNTIFS(缺陷明细!$A$2:$A$50000,$B$4,缺陷明细!$G$2:$G$50000,$C100,缺陷明细!$Q$2:$Q$50000,"已关闭",缺陷明细!$J$2:$J$50000,"单元测试")</f>
        <v>0</v>
      </c>
      <c r="L100" s="156"/>
      <c r="M100" s="157"/>
      <c r="N100" s="72">
        <f>COUNTIFS(缺陷明细!$A$2:$A$50000,$B$4,缺陷明细!$G$2:$G$50000,$C100,缺陷明细!$J$2:$J$50000,"系统测试案例评审",缺陷明细!$AB$2:$AB$50000,"&lt;&gt;丢弃",缺陷明细!$AB$2:$AB$50000,"&lt;&gt;设计如此",缺陷明细!$AB$2:$AB$50000,"&lt;&gt;重复Bug")</f>
        <v>0</v>
      </c>
      <c r="O100" s="72">
        <f>COUNTIFS(缺陷明细!$A$2:$A$50000,$B$4,缺陷明细!$G$2:$G$50000,$C100,缺陷明细!$Q$2:$Q$50000,"已关闭",缺陷明细!$J$2:$J$50000,"系统测试案例评审")</f>
        <v>0</v>
      </c>
      <c r="P100" s="72">
        <f>COUNTIFS(缺陷明细!$A$2:$A$50000,$B$4,缺陷明细!$G$2:$G$50000,$C100,缺陷明细!$J$2:$J$50000,"系统测试",缺陷明细!$AB$2:$AB$50000,"&lt;&gt;丢弃",缺陷明细!$AB$2:$AB$50000,"&lt;&gt;设计如此",缺陷明细!$AB$2:$AB$50000,"&lt;&gt;重复Bug")</f>
        <v>0</v>
      </c>
      <c r="Q100" s="72">
        <f>COUNTIFS(缺陷明细!$A$2:$A$50000,$B$4,缺陷明细!$G$2:$G$50000,$C100,缺陷明细!$Q$2:$Q$50000,"已关闭",缺陷明细!$J$2:$J$50000,"系统测试")</f>
        <v>0</v>
      </c>
      <c r="R100" s="296">
        <f>COUNTIFS(缺陷明细!$A$2:$A$50000,$B$4,缺陷明细!$G$2:$G$50000,$C100,缺陷明细!$AB$2:$AB$50000,"丢弃",缺陷明细!$J$2:$J$50000,"系统测试")+COUNTIFS(缺陷明细!$A$2:$A$50000,$B$4,缺陷明细!$G$2:$G$50000,$C100,缺陷明细!$AB$2:$AB$50000,"设计如此",缺陷明细!$J$2:$J$50000,"系统测试")+COUNTIFS(缺陷明细!$A$2:$A$50000,$B$4,缺陷明细!$G$2:$G$50000,$C100,缺陷明细!$AB$2:$AB$50000,"重复Bug",缺陷明细!$J$2:$J$50000,"系统测试")</f>
        <v>0</v>
      </c>
      <c r="S100" s="72">
        <f>COUNTIFS(缺陷明细!$A$2:$A$50000,$B$4,缺陷明细!$G$2:$G$50000,$C100,缺陷明细!$J$2:$J$50000,"系统测试",缺陷明细!$K$2:$K$50000,"致命",缺陷明细!$AB$2:$AB$50000,"&lt;&gt;丢弃",缺陷明细!$AB$2:$AB$50000,"&lt;&gt;设计如此",缺陷明细!$AB$2:$AB$50000,"&lt;&gt;重复Bug")+COUNTIFS(缺陷明细!$A$2:$A$50000,$B$4,缺陷明细!$G$2:$G$50000,$C100,缺陷明细!$J$2:$J$50000,"系统测试",缺陷明细!$K$2:$K$50000,"严重",缺陷明细!$AB$2:$AB$50000,"&lt;&gt;丢弃",缺陷明细!$AB$2:$AB$50000,"&lt;&gt;设计如此",缺陷明细!$AB$2:$AB$50000,"&lt;&gt;重复Bug")</f>
        <v>0</v>
      </c>
      <c r="T100" s="73">
        <f>COUNTIFS(缺陷明细!$A$2:$A$50000,$B$4,缺陷明细!$G$2:$G$50000,$C100,缺陷明细!$Q$2:$Q$50000,"已关闭",缺陷明细!$J$2:$J$50000,"系统测试",缺陷明细!$K$2:$K$50000,"致命")+COUNTIFS(缺陷明细!$A$2:$A$50000,$B$4,缺陷明细!$G$2:$G$50000,$C100,缺陷明细!$Q$2:$Q$50000,"已关闭",缺陷明细!$J$2:$J$50000,"系统测试",缺陷明细!$K$2:$K$50000,"严重")</f>
        <v>0</v>
      </c>
      <c r="U100" s="74">
        <f>COUNTIFS(缺陷明细!$A$2:$A$50000,$B$4,缺陷明细!$G$2:$G$50000,$C100,缺陷明细!$J$2:$J$50000,"验收测试",缺陷明细!$AB$2:$AB$50000,"&lt;&gt;丢弃",缺陷明细!$AB$2:$AB$50000,"&lt;&gt;设计如此",缺陷明细!$AB$2:$AB$50000,"&lt;&gt;重复Bug")</f>
        <v>0</v>
      </c>
      <c r="V100" s="75">
        <f>COUNTIFS(缺陷明细!$A$2:$A$50000,$B$4,缺陷明细!$G$2:$G$50000,$C100,缺陷明细!$Q$2:$Q$50000,"已关闭",缺陷明细!$J$2:$J$50000,"验收测试")</f>
        <v>0</v>
      </c>
      <c r="W100" s="75">
        <f>COUNTIFS(缺陷明细!$A$2:$A$50000,$B$4,缺陷明细!$G$2:$G$50000,$C100,缺陷明细!$J$2:$J$50000,"验收测试",缺陷明细!$K$2:$K$50000,"致命",缺陷明细!$AB$2:$AB$50000,"&lt;&gt;丢弃",缺陷明细!$AB$2:$AB$50000,"&lt;&gt;设计如此",缺陷明细!$AB$2:$AB$50000,"&lt;&gt;重复Bug")+COUNTIFS(缺陷明细!$A$2:$A$50000,$B$4,缺陷明细!$G$2:$G$50000,$C100,缺陷明细!$J$2:$J$50000,"验收测试",缺陷明细!$K$2:$K$50000,"严重",缺陷明细!$AB$2:$AB$50000,"&lt;&gt;丢弃",缺陷明细!$AB$2:$AB$50000,"&lt;&gt;设计如此",缺陷明细!$AB$2:$AB$50000,"&lt;&gt;重复Bug")</f>
        <v>0</v>
      </c>
      <c r="X100" s="76">
        <f>COUNTIFS(缺陷明细!$A$2:$A$50000,$B$4,缺陷明细!$G$2:$G$50000,$C100,缺陷明细!$Q$2:$Q$50000,"已关闭",缺陷明细!$J$2:$J$50000,"验收测试",缺陷明细!$K$2:$K$50000,"致命")+COUNTIFS(缺陷明细!$A$2:$A$50000,$B$4,缺陷明细!$G$2:$G$50000,$C100,缺陷明细!$Q$2:$Q$50000,"已关闭",缺陷明细!$J$2:$J$50000,"验收测试",缺陷明细!$K$2:$K$50000,"严重")</f>
        <v>0</v>
      </c>
      <c r="Y100" s="70">
        <f>COUNTIFS(缺陷明细!$A$2:$A$50000,$B$4,缺陷明细!$G$2:$G$50000,$C100,缺陷明细!$J$2:$J$50000,"运维测试",缺陷明细!$AB$2:$AB$50000,"&lt;&gt;丢弃",缺陷明细!$AB$2:$AB$50000,"&lt;&gt;设计如此",缺陷明细!$AB$2:$AB$50000,"&lt;&gt;重复Bug")</f>
        <v>0</v>
      </c>
      <c r="Z100" s="71">
        <f>COUNTIFS(缺陷明细!$A$2:$A$50000,$B$4,缺陷明细!$G$2:$G$50000,$C100,缺陷明细!$Q$2:$Q$50000,"已关闭",缺陷明细!$J$2:$J$50000,"运维测试")</f>
        <v>0</v>
      </c>
      <c r="AA100" s="72">
        <f>COUNTIFS(缺陷明细!$A$2:$A$50000,$B$4,缺陷明细!$G$2:$G$50000,$C100,缺陷明细!$J$2:$J$50000,"运维测试",缺陷明细!$K$2:$K$50000,"致命",缺陷明细!$AB$2:$AB$50000,"&lt;&gt;丢弃",缺陷明细!$AB$2:$AB$50000,"&lt;&gt;设计如此",缺陷明细!$AB$2:$AB$50000,"&lt;&gt;重复Bug")+COUNTIFS(缺陷明细!$A$2:$A$50000,$B$4,缺陷明细!$G$2:$G$50000,$C100,缺陷明细!$J$2:$J$50000,"运维测试",缺陷明细!$K$2:$K$50000,"严重",缺陷明细!$AB$2:$AB$50000,"&lt;&gt;丢弃",缺陷明细!$AB$2:$AB$50000,"&lt;&gt;设计如此",缺陷明细!$AB$2:$AB$50000,"&lt;&gt;重复Bug")</f>
        <v>0</v>
      </c>
      <c r="AB100" s="73">
        <f>COUNTIFS(缺陷明细!$A$2:$A$50000,$B$4,缺陷明细!$G$2:$G$50000,$C100,缺陷明细!$Q$2:$Q$50000,"已关闭",缺陷明细!$J$2:$J$50000,"运维测试",缺陷明细!$K$2:$K$50000,"致命")+COUNTIFS(缺陷明细!$A$2:$A$50000,$B$4,缺陷明细!$G$2:$G$50000,$C100,缺陷明细!$Q$2:$Q$50000,"已关闭",缺陷明细!$J$2:$J$50000,"运维测试",缺陷明细!$K$2:$K$50000,"严重")</f>
        <v>0</v>
      </c>
      <c r="AC100" s="68">
        <f t="shared" si="4"/>
        <v>0</v>
      </c>
      <c r="AD100" s="60">
        <f t="shared" si="5"/>
        <v>0</v>
      </c>
      <c r="AE100" s="60">
        <f t="shared" si="6"/>
        <v>0</v>
      </c>
      <c r="AF100" s="60">
        <f t="shared" si="7"/>
        <v>0</v>
      </c>
      <c r="AG100" s="60">
        <f t="shared" si="8"/>
        <v>0</v>
      </c>
      <c r="AH100" s="60">
        <f t="shared" si="9"/>
        <v>0</v>
      </c>
      <c r="AI100" s="60">
        <f t="shared" si="10"/>
        <v>0</v>
      </c>
      <c r="AJ100" s="61">
        <f t="shared" si="11"/>
        <v>0</v>
      </c>
      <c r="AK100" s="144"/>
    </row>
    <row r="101" spans="1:37" ht="25.5">
      <c r="A101">
        <v>97</v>
      </c>
      <c r="B101" s="57">
        <v>596</v>
      </c>
      <c r="C101" s="58" t="s">
        <v>442</v>
      </c>
      <c r="D101" s="84" t="s">
        <v>343</v>
      </c>
      <c r="E101" s="82" t="s">
        <v>346</v>
      </c>
      <c r="F101" s="158">
        <v>16</v>
      </c>
      <c r="G101" s="159">
        <v>16</v>
      </c>
      <c r="H101" s="281">
        <f>COUNTIFS(缺陷明细!$A$2:$A$50000,$B$4,缺陷明细!$G$2:$G$50000,$C101,缺陷明细!$J$2:$J$50000,"评审",缺陷明细!$AB$2:$AB$50000,"&lt;&gt;丢弃",缺陷明细!$AB$2:$AB$50000,"&lt;&gt;设计如此",缺陷明细!$AB$2:$AB$50000,"&lt;&gt;重复Bug")</f>
        <v>0</v>
      </c>
      <c r="I101" s="154">
        <f>COUNTIFS(缺陷明细!$A$2:$A$50000,$B$4,缺陷明细!$G$2:$G$50000,$C101,缺陷明细!$Q$2:$Q$50000,"已关闭",缺陷明细!$J$2:$J$50000,"评审")</f>
        <v>0</v>
      </c>
      <c r="J101" s="154">
        <f>COUNTIFS(缺陷明细!$A$2:$A$50000,$B$4,缺陷明细!$G$2:$G$50000,$C101,缺陷明细!$J$2:$J$50000,"单元测试",缺陷明细!$AB$2:$AB$50000,"&lt;&gt;丢弃",缺陷明细!$AB$2:$AB$50000,"&lt;&gt;设计如此",缺陷明细!$AB$2:$AB$50000,"&lt;&gt;重复Bug")</f>
        <v>0</v>
      </c>
      <c r="K101" s="155">
        <f>COUNTIFS(缺陷明细!$A$2:$A$50000,$B$4,缺陷明细!$G$2:$G$50000,$C101,缺陷明细!$Q$2:$Q$50000,"已关闭",缺陷明细!$J$2:$J$50000,"单元测试")</f>
        <v>0</v>
      </c>
      <c r="L101" s="156"/>
      <c r="M101" s="157"/>
      <c r="N101" s="72">
        <f>COUNTIFS(缺陷明细!$A$2:$A$50000,$B$4,缺陷明细!$G$2:$G$50000,$C101,缺陷明细!$J$2:$J$50000,"系统测试案例评审",缺陷明细!$AB$2:$AB$50000,"&lt;&gt;丢弃",缺陷明细!$AB$2:$AB$50000,"&lt;&gt;设计如此",缺陷明细!$AB$2:$AB$50000,"&lt;&gt;重复Bug")</f>
        <v>0</v>
      </c>
      <c r="O101" s="72">
        <f>COUNTIFS(缺陷明细!$A$2:$A$50000,$B$4,缺陷明细!$G$2:$G$50000,$C101,缺陷明细!$Q$2:$Q$50000,"已关闭",缺陷明细!$J$2:$J$50000,"系统测试案例评审")</f>
        <v>0</v>
      </c>
      <c r="P101" s="72">
        <f>COUNTIFS(缺陷明细!$A$2:$A$50000,$B$4,缺陷明细!$G$2:$G$50000,$C101,缺陷明细!$J$2:$J$50000,"系统测试",缺陷明细!$AB$2:$AB$50000,"&lt;&gt;丢弃",缺陷明细!$AB$2:$AB$50000,"&lt;&gt;设计如此",缺陷明细!$AB$2:$AB$50000,"&lt;&gt;重复Bug")</f>
        <v>0</v>
      </c>
      <c r="Q101" s="72">
        <f>COUNTIFS(缺陷明细!$A$2:$A$50000,$B$4,缺陷明细!$G$2:$G$50000,$C101,缺陷明细!$Q$2:$Q$50000,"已关闭",缺陷明细!$J$2:$J$50000,"系统测试")</f>
        <v>0</v>
      </c>
      <c r="R101" s="296">
        <f>COUNTIFS(缺陷明细!$A$2:$A$50000,$B$4,缺陷明细!$G$2:$G$50000,$C101,缺陷明细!$AB$2:$AB$50000,"丢弃",缺陷明细!$J$2:$J$50000,"系统测试")+COUNTIFS(缺陷明细!$A$2:$A$50000,$B$4,缺陷明细!$G$2:$G$50000,$C101,缺陷明细!$AB$2:$AB$50000,"设计如此",缺陷明细!$J$2:$J$50000,"系统测试")+COUNTIFS(缺陷明细!$A$2:$A$50000,$B$4,缺陷明细!$G$2:$G$50000,$C101,缺陷明细!$AB$2:$AB$50000,"重复Bug",缺陷明细!$J$2:$J$50000,"系统测试")</f>
        <v>0</v>
      </c>
      <c r="S101" s="72">
        <f>COUNTIFS(缺陷明细!$A$2:$A$50000,$B$4,缺陷明细!$G$2:$G$50000,$C101,缺陷明细!$J$2:$J$50000,"系统测试",缺陷明细!$K$2:$K$50000,"致命",缺陷明细!$AB$2:$AB$50000,"&lt;&gt;丢弃",缺陷明细!$AB$2:$AB$50000,"&lt;&gt;设计如此",缺陷明细!$AB$2:$AB$50000,"&lt;&gt;重复Bug")+COUNTIFS(缺陷明细!$A$2:$A$50000,$B$4,缺陷明细!$G$2:$G$50000,$C101,缺陷明细!$J$2:$J$50000,"系统测试",缺陷明细!$K$2:$K$50000,"严重",缺陷明细!$AB$2:$AB$50000,"&lt;&gt;丢弃",缺陷明细!$AB$2:$AB$50000,"&lt;&gt;设计如此",缺陷明细!$AB$2:$AB$50000,"&lt;&gt;重复Bug")</f>
        <v>0</v>
      </c>
      <c r="T101" s="73">
        <f>COUNTIFS(缺陷明细!$A$2:$A$50000,$B$4,缺陷明细!$G$2:$G$50000,$C101,缺陷明细!$Q$2:$Q$50000,"已关闭",缺陷明细!$J$2:$J$50000,"系统测试",缺陷明细!$K$2:$K$50000,"致命")+COUNTIFS(缺陷明细!$A$2:$A$50000,$B$4,缺陷明细!$G$2:$G$50000,$C101,缺陷明细!$Q$2:$Q$50000,"已关闭",缺陷明细!$J$2:$J$50000,"系统测试",缺陷明细!$K$2:$K$50000,"严重")</f>
        <v>0</v>
      </c>
      <c r="U101" s="74">
        <f>COUNTIFS(缺陷明细!$A$2:$A$50000,$B$4,缺陷明细!$G$2:$G$50000,$C101,缺陷明细!$J$2:$J$50000,"验收测试",缺陷明细!$AB$2:$AB$50000,"&lt;&gt;丢弃",缺陷明细!$AB$2:$AB$50000,"&lt;&gt;设计如此",缺陷明细!$AB$2:$AB$50000,"&lt;&gt;重复Bug")</f>
        <v>0</v>
      </c>
      <c r="V101" s="75">
        <f>COUNTIFS(缺陷明细!$A$2:$A$50000,$B$4,缺陷明细!$G$2:$G$50000,$C101,缺陷明细!$Q$2:$Q$50000,"已关闭",缺陷明细!$J$2:$J$50000,"验收测试")</f>
        <v>0</v>
      </c>
      <c r="W101" s="75">
        <f>COUNTIFS(缺陷明细!$A$2:$A$50000,$B$4,缺陷明细!$G$2:$G$50000,$C101,缺陷明细!$J$2:$J$50000,"验收测试",缺陷明细!$K$2:$K$50000,"致命",缺陷明细!$AB$2:$AB$50000,"&lt;&gt;丢弃",缺陷明细!$AB$2:$AB$50000,"&lt;&gt;设计如此",缺陷明细!$AB$2:$AB$50000,"&lt;&gt;重复Bug")+COUNTIFS(缺陷明细!$A$2:$A$50000,$B$4,缺陷明细!$G$2:$G$50000,$C101,缺陷明细!$J$2:$J$50000,"验收测试",缺陷明细!$K$2:$K$50000,"严重",缺陷明细!$AB$2:$AB$50000,"&lt;&gt;丢弃",缺陷明细!$AB$2:$AB$50000,"&lt;&gt;设计如此",缺陷明细!$AB$2:$AB$50000,"&lt;&gt;重复Bug")</f>
        <v>0</v>
      </c>
      <c r="X101" s="76">
        <f>COUNTIFS(缺陷明细!$A$2:$A$50000,$B$4,缺陷明细!$G$2:$G$50000,$C101,缺陷明细!$Q$2:$Q$50000,"已关闭",缺陷明细!$J$2:$J$50000,"验收测试",缺陷明细!$K$2:$K$50000,"致命")+COUNTIFS(缺陷明细!$A$2:$A$50000,$B$4,缺陷明细!$G$2:$G$50000,$C101,缺陷明细!$Q$2:$Q$50000,"已关闭",缺陷明细!$J$2:$J$50000,"验收测试",缺陷明细!$K$2:$K$50000,"严重")</f>
        <v>0</v>
      </c>
      <c r="Y101" s="70">
        <f>COUNTIFS(缺陷明细!$A$2:$A$50000,$B$4,缺陷明细!$G$2:$G$50000,$C101,缺陷明细!$J$2:$J$50000,"运维测试",缺陷明细!$AB$2:$AB$50000,"&lt;&gt;丢弃",缺陷明细!$AB$2:$AB$50000,"&lt;&gt;设计如此",缺陷明细!$AB$2:$AB$50000,"&lt;&gt;重复Bug")</f>
        <v>0</v>
      </c>
      <c r="Z101" s="71">
        <f>COUNTIFS(缺陷明细!$A$2:$A$50000,$B$4,缺陷明细!$G$2:$G$50000,$C101,缺陷明细!$Q$2:$Q$50000,"已关闭",缺陷明细!$J$2:$J$50000,"运维测试")</f>
        <v>0</v>
      </c>
      <c r="AA101" s="72">
        <f>COUNTIFS(缺陷明细!$A$2:$A$50000,$B$4,缺陷明细!$G$2:$G$50000,$C101,缺陷明细!$J$2:$J$50000,"运维测试",缺陷明细!$K$2:$K$50000,"致命",缺陷明细!$AB$2:$AB$50000,"&lt;&gt;丢弃",缺陷明细!$AB$2:$AB$50000,"&lt;&gt;设计如此",缺陷明细!$AB$2:$AB$50000,"&lt;&gt;重复Bug")+COUNTIFS(缺陷明细!$A$2:$A$50000,$B$4,缺陷明细!$G$2:$G$50000,$C101,缺陷明细!$J$2:$J$50000,"运维测试",缺陷明细!$K$2:$K$50000,"严重",缺陷明细!$AB$2:$AB$50000,"&lt;&gt;丢弃",缺陷明细!$AB$2:$AB$50000,"&lt;&gt;设计如此",缺陷明细!$AB$2:$AB$50000,"&lt;&gt;重复Bug")</f>
        <v>0</v>
      </c>
      <c r="AB101" s="73">
        <f>COUNTIFS(缺陷明细!$A$2:$A$50000,$B$4,缺陷明细!$G$2:$G$50000,$C101,缺陷明细!$Q$2:$Q$50000,"已关闭",缺陷明细!$J$2:$J$50000,"运维测试",缺陷明细!$K$2:$K$50000,"致命")+COUNTIFS(缺陷明细!$A$2:$A$50000,$B$4,缺陷明细!$G$2:$G$50000,$C101,缺陷明细!$Q$2:$Q$50000,"已关闭",缺陷明细!$J$2:$J$50000,"运维测试",缺陷明细!$K$2:$K$50000,"严重")</f>
        <v>0</v>
      </c>
      <c r="AC101" s="68">
        <f t="shared" si="4"/>
        <v>0</v>
      </c>
      <c r="AD101" s="60">
        <f t="shared" si="5"/>
        <v>0</v>
      </c>
      <c r="AE101" s="60">
        <f t="shared" si="6"/>
        <v>0</v>
      </c>
      <c r="AF101" s="60">
        <f t="shared" si="7"/>
        <v>0</v>
      </c>
      <c r="AG101" s="60">
        <f t="shared" si="8"/>
        <v>0</v>
      </c>
      <c r="AH101" s="60">
        <f t="shared" si="9"/>
        <v>0</v>
      </c>
      <c r="AI101" s="60">
        <f t="shared" si="10"/>
        <v>0</v>
      </c>
      <c r="AJ101" s="61">
        <f t="shared" si="11"/>
        <v>0</v>
      </c>
      <c r="AK101" s="144"/>
    </row>
    <row r="102" spans="1:37">
      <c r="A102">
        <v>98</v>
      </c>
      <c r="B102" s="57">
        <v>597</v>
      </c>
      <c r="C102" s="58" t="s">
        <v>443</v>
      </c>
      <c r="D102" s="84" t="s">
        <v>343</v>
      </c>
      <c r="E102" s="82" t="s">
        <v>346</v>
      </c>
      <c r="F102" s="158">
        <v>8</v>
      </c>
      <c r="G102" s="159">
        <v>8</v>
      </c>
      <c r="H102" s="281">
        <f>COUNTIFS(缺陷明细!$A$2:$A$50000,$B$4,缺陷明细!$G$2:$G$50000,$C102,缺陷明细!$J$2:$J$50000,"评审",缺陷明细!$AB$2:$AB$50000,"&lt;&gt;丢弃",缺陷明细!$AB$2:$AB$50000,"&lt;&gt;设计如此",缺陷明细!$AB$2:$AB$50000,"&lt;&gt;重复Bug")</f>
        <v>0</v>
      </c>
      <c r="I102" s="154">
        <f>COUNTIFS(缺陷明细!$A$2:$A$50000,$B$4,缺陷明细!$G$2:$G$50000,$C102,缺陷明细!$Q$2:$Q$50000,"已关闭",缺陷明细!$J$2:$J$50000,"评审")</f>
        <v>0</v>
      </c>
      <c r="J102" s="154">
        <f>COUNTIFS(缺陷明细!$A$2:$A$50000,$B$4,缺陷明细!$G$2:$G$50000,$C102,缺陷明细!$J$2:$J$50000,"单元测试",缺陷明细!$AB$2:$AB$50000,"&lt;&gt;丢弃",缺陷明细!$AB$2:$AB$50000,"&lt;&gt;设计如此",缺陷明细!$AB$2:$AB$50000,"&lt;&gt;重复Bug")</f>
        <v>0</v>
      </c>
      <c r="K102" s="155">
        <f>COUNTIFS(缺陷明细!$A$2:$A$50000,$B$4,缺陷明细!$G$2:$G$50000,$C102,缺陷明细!$Q$2:$Q$50000,"已关闭",缺陷明细!$J$2:$J$50000,"单元测试")</f>
        <v>0</v>
      </c>
      <c r="L102" s="156"/>
      <c r="M102" s="157"/>
      <c r="N102" s="72">
        <f>COUNTIFS(缺陷明细!$A$2:$A$50000,$B$4,缺陷明细!$G$2:$G$50000,$C102,缺陷明细!$J$2:$J$50000,"系统测试案例评审",缺陷明细!$AB$2:$AB$50000,"&lt;&gt;丢弃",缺陷明细!$AB$2:$AB$50000,"&lt;&gt;设计如此",缺陷明细!$AB$2:$AB$50000,"&lt;&gt;重复Bug")</f>
        <v>0</v>
      </c>
      <c r="O102" s="72">
        <f>COUNTIFS(缺陷明细!$A$2:$A$50000,$B$4,缺陷明细!$G$2:$G$50000,$C102,缺陷明细!$Q$2:$Q$50000,"已关闭",缺陷明细!$J$2:$J$50000,"系统测试案例评审")</f>
        <v>0</v>
      </c>
      <c r="P102" s="72">
        <f>COUNTIFS(缺陷明细!$A$2:$A$50000,$B$4,缺陷明细!$G$2:$G$50000,$C102,缺陷明细!$J$2:$J$50000,"系统测试",缺陷明细!$AB$2:$AB$50000,"&lt;&gt;丢弃",缺陷明细!$AB$2:$AB$50000,"&lt;&gt;设计如此",缺陷明细!$AB$2:$AB$50000,"&lt;&gt;重复Bug")</f>
        <v>0</v>
      </c>
      <c r="Q102" s="72">
        <f>COUNTIFS(缺陷明细!$A$2:$A$50000,$B$4,缺陷明细!$G$2:$G$50000,$C102,缺陷明细!$Q$2:$Q$50000,"已关闭",缺陷明细!$J$2:$J$50000,"系统测试")</f>
        <v>0</v>
      </c>
      <c r="R102" s="296">
        <f>COUNTIFS(缺陷明细!$A$2:$A$50000,$B$4,缺陷明细!$G$2:$G$50000,$C102,缺陷明细!$AB$2:$AB$50000,"丢弃",缺陷明细!$J$2:$J$50000,"系统测试")+COUNTIFS(缺陷明细!$A$2:$A$50000,$B$4,缺陷明细!$G$2:$G$50000,$C102,缺陷明细!$AB$2:$AB$50000,"设计如此",缺陷明细!$J$2:$J$50000,"系统测试")+COUNTIFS(缺陷明细!$A$2:$A$50000,$B$4,缺陷明细!$G$2:$G$50000,$C102,缺陷明细!$AB$2:$AB$50000,"重复Bug",缺陷明细!$J$2:$J$50000,"系统测试")</f>
        <v>0</v>
      </c>
      <c r="S102" s="72">
        <f>COUNTIFS(缺陷明细!$A$2:$A$50000,$B$4,缺陷明细!$G$2:$G$50000,$C102,缺陷明细!$J$2:$J$50000,"系统测试",缺陷明细!$K$2:$K$50000,"致命",缺陷明细!$AB$2:$AB$50000,"&lt;&gt;丢弃",缺陷明细!$AB$2:$AB$50000,"&lt;&gt;设计如此",缺陷明细!$AB$2:$AB$50000,"&lt;&gt;重复Bug")+COUNTIFS(缺陷明细!$A$2:$A$50000,$B$4,缺陷明细!$G$2:$G$50000,$C102,缺陷明细!$J$2:$J$50000,"系统测试",缺陷明细!$K$2:$K$50000,"严重",缺陷明细!$AB$2:$AB$50000,"&lt;&gt;丢弃",缺陷明细!$AB$2:$AB$50000,"&lt;&gt;设计如此",缺陷明细!$AB$2:$AB$50000,"&lt;&gt;重复Bug")</f>
        <v>0</v>
      </c>
      <c r="T102" s="73">
        <f>COUNTIFS(缺陷明细!$A$2:$A$50000,$B$4,缺陷明细!$G$2:$G$50000,$C102,缺陷明细!$Q$2:$Q$50000,"已关闭",缺陷明细!$J$2:$J$50000,"系统测试",缺陷明细!$K$2:$K$50000,"致命")+COUNTIFS(缺陷明细!$A$2:$A$50000,$B$4,缺陷明细!$G$2:$G$50000,$C102,缺陷明细!$Q$2:$Q$50000,"已关闭",缺陷明细!$J$2:$J$50000,"系统测试",缺陷明细!$K$2:$K$50000,"严重")</f>
        <v>0</v>
      </c>
      <c r="U102" s="74">
        <f>COUNTIFS(缺陷明细!$A$2:$A$50000,$B$4,缺陷明细!$G$2:$G$50000,$C102,缺陷明细!$J$2:$J$50000,"验收测试",缺陷明细!$AB$2:$AB$50000,"&lt;&gt;丢弃",缺陷明细!$AB$2:$AB$50000,"&lt;&gt;设计如此",缺陷明细!$AB$2:$AB$50000,"&lt;&gt;重复Bug")</f>
        <v>0</v>
      </c>
      <c r="V102" s="75">
        <f>COUNTIFS(缺陷明细!$A$2:$A$50000,$B$4,缺陷明细!$G$2:$G$50000,$C102,缺陷明细!$Q$2:$Q$50000,"已关闭",缺陷明细!$J$2:$J$50000,"验收测试")</f>
        <v>0</v>
      </c>
      <c r="W102" s="75">
        <f>COUNTIFS(缺陷明细!$A$2:$A$50000,$B$4,缺陷明细!$G$2:$G$50000,$C102,缺陷明细!$J$2:$J$50000,"验收测试",缺陷明细!$K$2:$K$50000,"致命",缺陷明细!$AB$2:$AB$50000,"&lt;&gt;丢弃",缺陷明细!$AB$2:$AB$50000,"&lt;&gt;设计如此",缺陷明细!$AB$2:$AB$50000,"&lt;&gt;重复Bug")+COUNTIFS(缺陷明细!$A$2:$A$50000,$B$4,缺陷明细!$G$2:$G$50000,$C102,缺陷明细!$J$2:$J$50000,"验收测试",缺陷明细!$K$2:$K$50000,"严重",缺陷明细!$AB$2:$AB$50000,"&lt;&gt;丢弃",缺陷明细!$AB$2:$AB$50000,"&lt;&gt;设计如此",缺陷明细!$AB$2:$AB$50000,"&lt;&gt;重复Bug")</f>
        <v>0</v>
      </c>
      <c r="X102" s="76">
        <f>COUNTIFS(缺陷明细!$A$2:$A$50000,$B$4,缺陷明细!$G$2:$G$50000,$C102,缺陷明细!$Q$2:$Q$50000,"已关闭",缺陷明细!$J$2:$J$50000,"验收测试",缺陷明细!$K$2:$K$50000,"致命")+COUNTIFS(缺陷明细!$A$2:$A$50000,$B$4,缺陷明细!$G$2:$G$50000,$C102,缺陷明细!$Q$2:$Q$50000,"已关闭",缺陷明细!$J$2:$J$50000,"验收测试",缺陷明细!$K$2:$K$50000,"严重")</f>
        <v>0</v>
      </c>
      <c r="Y102" s="70">
        <f>COUNTIFS(缺陷明细!$A$2:$A$50000,$B$4,缺陷明细!$G$2:$G$50000,$C102,缺陷明细!$J$2:$J$50000,"运维测试",缺陷明细!$AB$2:$AB$50000,"&lt;&gt;丢弃",缺陷明细!$AB$2:$AB$50000,"&lt;&gt;设计如此",缺陷明细!$AB$2:$AB$50000,"&lt;&gt;重复Bug")</f>
        <v>0</v>
      </c>
      <c r="Z102" s="71">
        <f>COUNTIFS(缺陷明细!$A$2:$A$50000,$B$4,缺陷明细!$G$2:$G$50000,$C102,缺陷明细!$Q$2:$Q$50000,"已关闭",缺陷明细!$J$2:$J$50000,"运维测试")</f>
        <v>0</v>
      </c>
      <c r="AA102" s="72">
        <f>COUNTIFS(缺陷明细!$A$2:$A$50000,$B$4,缺陷明细!$G$2:$G$50000,$C102,缺陷明细!$J$2:$J$50000,"运维测试",缺陷明细!$K$2:$K$50000,"致命",缺陷明细!$AB$2:$AB$50000,"&lt;&gt;丢弃",缺陷明细!$AB$2:$AB$50000,"&lt;&gt;设计如此",缺陷明细!$AB$2:$AB$50000,"&lt;&gt;重复Bug")+COUNTIFS(缺陷明细!$A$2:$A$50000,$B$4,缺陷明细!$G$2:$G$50000,$C102,缺陷明细!$J$2:$J$50000,"运维测试",缺陷明细!$K$2:$K$50000,"严重",缺陷明细!$AB$2:$AB$50000,"&lt;&gt;丢弃",缺陷明细!$AB$2:$AB$50000,"&lt;&gt;设计如此",缺陷明细!$AB$2:$AB$50000,"&lt;&gt;重复Bug")</f>
        <v>0</v>
      </c>
      <c r="AB102" s="73">
        <f>COUNTIFS(缺陷明细!$A$2:$A$50000,$B$4,缺陷明细!$G$2:$G$50000,$C102,缺陷明细!$Q$2:$Q$50000,"已关闭",缺陷明细!$J$2:$J$50000,"运维测试",缺陷明细!$K$2:$K$50000,"致命")+COUNTIFS(缺陷明细!$A$2:$A$50000,$B$4,缺陷明细!$G$2:$G$50000,$C102,缺陷明细!$Q$2:$Q$50000,"已关闭",缺陷明细!$J$2:$J$50000,"运维测试",缺陷明细!$K$2:$K$50000,"严重")</f>
        <v>0</v>
      </c>
      <c r="AC102" s="68">
        <f t="shared" si="4"/>
        <v>0</v>
      </c>
      <c r="AD102" s="60">
        <f t="shared" si="5"/>
        <v>0</v>
      </c>
      <c r="AE102" s="60">
        <f t="shared" si="6"/>
        <v>0</v>
      </c>
      <c r="AF102" s="60">
        <f t="shared" si="7"/>
        <v>0</v>
      </c>
      <c r="AG102" s="60">
        <f t="shared" si="8"/>
        <v>0</v>
      </c>
      <c r="AH102" s="60">
        <f t="shared" si="9"/>
        <v>0</v>
      </c>
      <c r="AI102" s="60">
        <f t="shared" si="10"/>
        <v>0</v>
      </c>
      <c r="AJ102" s="61">
        <f t="shared" si="11"/>
        <v>0</v>
      </c>
      <c r="AK102" s="144"/>
    </row>
    <row r="103" spans="1:37">
      <c r="A103">
        <v>99</v>
      </c>
      <c r="B103" s="57">
        <v>598</v>
      </c>
      <c r="C103" s="58" t="s">
        <v>444</v>
      </c>
      <c r="D103" s="84" t="s">
        <v>343</v>
      </c>
      <c r="E103" s="82" t="s">
        <v>346</v>
      </c>
      <c r="F103" s="158">
        <v>0</v>
      </c>
      <c r="G103" s="159">
        <v>13</v>
      </c>
      <c r="H103" s="281">
        <f>COUNTIFS(缺陷明细!$A$2:$A$50000,$B$4,缺陷明细!$G$2:$G$50000,$C103,缺陷明细!$J$2:$J$50000,"评审",缺陷明细!$AB$2:$AB$50000,"&lt;&gt;丢弃",缺陷明细!$AB$2:$AB$50000,"&lt;&gt;设计如此",缺陷明细!$AB$2:$AB$50000,"&lt;&gt;重复Bug")</f>
        <v>0</v>
      </c>
      <c r="I103" s="154">
        <f>COUNTIFS(缺陷明细!$A$2:$A$50000,$B$4,缺陷明细!$G$2:$G$50000,$C103,缺陷明细!$Q$2:$Q$50000,"已关闭",缺陷明细!$J$2:$J$50000,"评审")</f>
        <v>0</v>
      </c>
      <c r="J103" s="154">
        <f>COUNTIFS(缺陷明细!$A$2:$A$50000,$B$4,缺陷明细!$G$2:$G$50000,$C103,缺陷明细!$J$2:$J$50000,"单元测试",缺陷明细!$AB$2:$AB$50000,"&lt;&gt;丢弃",缺陷明细!$AB$2:$AB$50000,"&lt;&gt;设计如此",缺陷明细!$AB$2:$AB$50000,"&lt;&gt;重复Bug")</f>
        <v>0</v>
      </c>
      <c r="K103" s="155">
        <f>COUNTIFS(缺陷明细!$A$2:$A$50000,$B$4,缺陷明细!$G$2:$G$50000,$C103,缺陷明细!$Q$2:$Q$50000,"已关闭",缺陷明细!$J$2:$J$50000,"单元测试")</f>
        <v>0</v>
      </c>
      <c r="L103" s="156"/>
      <c r="M103" s="157"/>
      <c r="N103" s="72">
        <f>COUNTIFS(缺陷明细!$A$2:$A$50000,$B$4,缺陷明细!$G$2:$G$50000,$C103,缺陷明细!$J$2:$J$50000,"系统测试案例评审",缺陷明细!$AB$2:$AB$50000,"&lt;&gt;丢弃",缺陷明细!$AB$2:$AB$50000,"&lt;&gt;设计如此",缺陷明细!$AB$2:$AB$50000,"&lt;&gt;重复Bug")</f>
        <v>0</v>
      </c>
      <c r="O103" s="72">
        <f>COUNTIFS(缺陷明细!$A$2:$A$50000,$B$4,缺陷明细!$G$2:$G$50000,$C103,缺陷明细!$Q$2:$Q$50000,"已关闭",缺陷明细!$J$2:$J$50000,"系统测试案例评审")</f>
        <v>0</v>
      </c>
      <c r="P103" s="72">
        <f>COUNTIFS(缺陷明细!$A$2:$A$50000,$B$4,缺陷明细!$G$2:$G$50000,$C103,缺陷明细!$J$2:$J$50000,"系统测试",缺陷明细!$AB$2:$AB$50000,"&lt;&gt;丢弃",缺陷明细!$AB$2:$AB$50000,"&lt;&gt;设计如此",缺陷明细!$AB$2:$AB$50000,"&lt;&gt;重复Bug")</f>
        <v>0</v>
      </c>
      <c r="Q103" s="72">
        <f>COUNTIFS(缺陷明细!$A$2:$A$50000,$B$4,缺陷明细!$G$2:$G$50000,$C103,缺陷明细!$Q$2:$Q$50000,"已关闭",缺陷明细!$J$2:$J$50000,"系统测试")</f>
        <v>0</v>
      </c>
      <c r="R103" s="296">
        <f>COUNTIFS(缺陷明细!$A$2:$A$50000,$B$4,缺陷明细!$G$2:$G$50000,$C103,缺陷明细!$AB$2:$AB$50000,"丢弃",缺陷明细!$J$2:$J$50000,"系统测试")+COUNTIFS(缺陷明细!$A$2:$A$50000,$B$4,缺陷明细!$G$2:$G$50000,$C103,缺陷明细!$AB$2:$AB$50000,"设计如此",缺陷明细!$J$2:$J$50000,"系统测试")+COUNTIFS(缺陷明细!$A$2:$A$50000,$B$4,缺陷明细!$G$2:$G$50000,$C103,缺陷明细!$AB$2:$AB$50000,"重复Bug",缺陷明细!$J$2:$J$50000,"系统测试")</f>
        <v>0</v>
      </c>
      <c r="S103" s="72">
        <f>COUNTIFS(缺陷明细!$A$2:$A$50000,$B$4,缺陷明细!$G$2:$G$50000,$C103,缺陷明细!$J$2:$J$50000,"系统测试",缺陷明细!$K$2:$K$50000,"致命",缺陷明细!$AB$2:$AB$50000,"&lt;&gt;丢弃",缺陷明细!$AB$2:$AB$50000,"&lt;&gt;设计如此",缺陷明细!$AB$2:$AB$50000,"&lt;&gt;重复Bug")+COUNTIFS(缺陷明细!$A$2:$A$50000,$B$4,缺陷明细!$G$2:$G$50000,$C103,缺陷明细!$J$2:$J$50000,"系统测试",缺陷明细!$K$2:$K$50000,"严重",缺陷明细!$AB$2:$AB$50000,"&lt;&gt;丢弃",缺陷明细!$AB$2:$AB$50000,"&lt;&gt;设计如此",缺陷明细!$AB$2:$AB$50000,"&lt;&gt;重复Bug")</f>
        <v>0</v>
      </c>
      <c r="T103" s="73">
        <f>COUNTIFS(缺陷明细!$A$2:$A$50000,$B$4,缺陷明细!$G$2:$G$50000,$C103,缺陷明细!$Q$2:$Q$50000,"已关闭",缺陷明细!$J$2:$J$50000,"系统测试",缺陷明细!$K$2:$K$50000,"致命")+COUNTIFS(缺陷明细!$A$2:$A$50000,$B$4,缺陷明细!$G$2:$G$50000,$C103,缺陷明细!$Q$2:$Q$50000,"已关闭",缺陷明细!$J$2:$J$50000,"系统测试",缺陷明细!$K$2:$K$50000,"严重")</f>
        <v>0</v>
      </c>
      <c r="U103" s="74">
        <f>COUNTIFS(缺陷明细!$A$2:$A$50000,$B$4,缺陷明细!$G$2:$G$50000,$C103,缺陷明细!$J$2:$J$50000,"验收测试",缺陷明细!$AB$2:$AB$50000,"&lt;&gt;丢弃",缺陷明细!$AB$2:$AB$50000,"&lt;&gt;设计如此",缺陷明细!$AB$2:$AB$50000,"&lt;&gt;重复Bug")</f>
        <v>0</v>
      </c>
      <c r="V103" s="75">
        <f>COUNTIFS(缺陷明细!$A$2:$A$50000,$B$4,缺陷明细!$G$2:$G$50000,$C103,缺陷明细!$Q$2:$Q$50000,"已关闭",缺陷明细!$J$2:$J$50000,"验收测试")</f>
        <v>0</v>
      </c>
      <c r="W103" s="75">
        <f>COUNTIFS(缺陷明细!$A$2:$A$50000,$B$4,缺陷明细!$G$2:$G$50000,$C103,缺陷明细!$J$2:$J$50000,"验收测试",缺陷明细!$K$2:$K$50000,"致命",缺陷明细!$AB$2:$AB$50000,"&lt;&gt;丢弃",缺陷明细!$AB$2:$AB$50000,"&lt;&gt;设计如此",缺陷明细!$AB$2:$AB$50000,"&lt;&gt;重复Bug")+COUNTIFS(缺陷明细!$A$2:$A$50000,$B$4,缺陷明细!$G$2:$G$50000,$C103,缺陷明细!$J$2:$J$50000,"验收测试",缺陷明细!$K$2:$K$50000,"严重",缺陷明细!$AB$2:$AB$50000,"&lt;&gt;丢弃",缺陷明细!$AB$2:$AB$50000,"&lt;&gt;设计如此",缺陷明细!$AB$2:$AB$50000,"&lt;&gt;重复Bug")</f>
        <v>0</v>
      </c>
      <c r="X103" s="76">
        <f>COUNTIFS(缺陷明细!$A$2:$A$50000,$B$4,缺陷明细!$G$2:$G$50000,$C103,缺陷明细!$Q$2:$Q$50000,"已关闭",缺陷明细!$J$2:$J$50000,"验收测试",缺陷明细!$K$2:$K$50000,"致命")+COUNTIFS(缺陷明细!$A$2:$A$50000,$B$4,缺陷明细!$G$2:$G$50000,$C103,缺陷明细!$Q$2:$Q$50000,"已关闭",缺陷明细!$J$2:$J$50000,"验收测试",缺陷明细!$K$2:$K$50000,"严重")</f>
        <v>0</v>
      </c>
      <c r="Y103" s="70">
        <f>COUNTIFS(缺陷明细!$A$2:$A$50000,$B$4,缺陷明细!$G$2:$G$50000,$C103,缺陷明细!$J$2:$J$50000,"运维测试",缺陷明细!$AB$2:$AB$50000,"&lt;&gt;丢弃",缺陷明细!$AB$2:$AB$50000,"&lt;&gt;设计如此",缺陷明细!$AB$2:$AB$50000,"&lt;&gt;重复Bug")</f>
        <v>0</v>
      </c>
      <c r="Z103" s="71">
        <f>COUNTIFS(缺陷明细!$A$2:$A$50000,$B$4,缺陷明细!$G$2:$G$50000,$C103,缺陷明细!$Q$2:$Q$50000,"已关闭",缺陷明细!$J$2:$J$50000,"运维测试")</f>
        <v>0</v>
      </c>
      <c r="AA103" s="72">
        <f>COUNTIFS(缺陷明细!$A$2:$A$50000,$B$4,缺陷明细!$G$2:$G$50000,$C103,缺陷明细!$J$2:$J$50000,"运维测试",缺陷明细!$K$2:$K$50000,"致命",缺陷明细!$AB$2:$AB$50000,"&lt;&gt;丢弃",缺陷明细!$AB$2:$AB$50000,"&lt;&gt;设计如此",缺陷明细!$AB$2:$AB$50000,"&lt;&gt;重复Bug")+COUNTIFS(缺陷明细!$A$2:$A$50000,$B$4,缺陷明细!$G$2:$G$50000,$C103,缺陷明细!$J$2:$J$50000,"运维测试",缺陷明细!$K$2:$K$50000,"严重",缺陷明细!$AB$2:$AB$50000,"&lt;&gt;丢弃",缺陷明细!$AB$2:$AB$50000,"&lt;&gt;设计如此",缺陷明细!$AB$2:$AB$50000,"&lt;&gt;重复Bug")</f>
        <v>0</v>
      </c>
      <c r="AB103" s="73">
        <f>COUNTIFS(缺陷明细!$A$2:$A$50000,$B$4,缺陷明细!$G$2:$G$50000,$C103,缺陷明细!$Q$2:$Q$50000,"已关闭",缺陷明细!$J$2:$J$50000,"运维测试",缺陷明细!$K$2:$K$50000,"致命")+COUNTIFS(缺陷明细!$A$2:$A$50000,$B$4,缺陷明细!$G$2:$G$50000,$C103,缺陷明细!$Q$2:$Q$50000,"已关闭",缺陷明细!$J$2:$J$50000,"运维测试",缺陷明细!$K$2:$K$50000,"严重")</f>
        <v>0</v>
      </c>
      <c r="AC103" s="68">
        <f t="shared" si="4"/>
        <v>0</v>
      </c>
      <c r="AD103" s="60">
        <f t="shared" si="5"/>
        <v>0</v>
      </c>
      <c r="AE103" s="60">
        <f t="shared" si="6"/>
        <v>0</v>
      </c>
      <c r="AF103" s="60">
        <f t="shared" si="7"/>
        <v>0</v>
      </c>
      <c r="AG103" s="60">
        <f t="shared" si="8"/>
        <v>0</v>
      </c>
      <c r="AH103" s="60">
        <f t="shared" si="9"/>
        <v>0</v>
      </c>
      <c r="AI103" s="60">
        <f t="shared" si="10"/>
        <v>0</v>
      </c>
      <c r="AJ103" s="61">
        <f t="shared" si="11"/>
        <v>0</v>
      </c>
      <c r="AK103" s="144"/>
    </row>
    <row r="104" spans="1:37">
      <c r="A104">
        <v>100</v>
      </c>
      <c r="B104" s="57">
        <v>599</v>
      </c>
      <c r="C104" s="58" t="s">
        <v>445</v>
      </c>
      <c r="D104" s="84" t="s">
        <v>343</v>
      </c>
      <c r="E104" s="82" t="s">
        <v>346</v>
      </c>
      <c r="F104" s="158">
        <v>4</v>
      </c>
      <c r="G104" s="159">
        <v>4</v>
      </c>
      <c r="H104" s="281">
        <f>COUNTIFS(缺陷明细!$A$2:$A$50000,$B$4,缺陷明细!$G$2:$G$50000,$C104,缺陷明细!$J$2:$J$50000,"评审",缺陷明细!$AB$2:$AB$50000,"&lt;&gt;丢弃",缺陷明细!$AB$2:$AB$50000,"&lt;&gt;设计如此",缺陷明细!$AB$2:$AB$50000,"&lt;&gt;重复Bug")</f>
        <v>0</v>
      </c>
      <c r="I104" s="154">
        <f>COUNTIFS(缺陷明细!$A$2:$A$50000,$B$4,缺陷明细!$G$2:$G$50000,$C104,缺陷明细!$Q$2:$Q$50000,"已关闭",缺陷明细!$J$2:$J$50000,"评审")</f>
        <v>0</v>
      </c>
      <c r="J104" s="154">
        <f>COUNTIFS(缺陷明细!$A$2:$A$50000,$B$4,缺陷明细!$G$2:$G$50000,$C104,缺陷明细!$J$2:$J$50000,"单元测试",缺陷明细!$AB$2:$AB$50000,"&lt;&gt;丢弃",缺陷明细!$AB$2:$AB$50000,"&lt;&gt;设计如此",缺陷明细!$AB$2:$AB$50000,"&lt;&gt;重复Bug")</f>
        <v>0</v>
      </c>
      <c r="K104" s="155">
        <f>COUNTIFS(缺陷明细!$A$2:$A$50000,$B$4,缺陷明细!$G$2:$G$50000,$C104,缺陷明细!$Q$2:$Q$50000,"已关闭",缺陷明细!$J$2:$J$50000,"单元测试")</f>
        <v>0</v>
      </c>
      <c r="L104" s="156"/>
      <c r="M104" s="157"/>
      <c r="N104" s="72">
        <f>COUNTIFS(缺陷明细!$A$2:$A$50000,$B$4,缺陷明细!$G$2:$G$50000,$C104,缺陷明细!$J$2:$J$50000,"系统测试案例评审",缺陷明细!$AB$2:$AB$50000,"&lt;&gt;丢弃",缺陷明细!$AB$2:$AB$50000,"&lt;&gt;设计如此",缺陷明细!$AB$2:$AB$50000,"&lt;&gt;重复Bug")</f>
        <v>0</v>
      </c>
      <c r="O104" s="72">
        <f>COUNTIFS(缺陷明细!$A$2:$A$50000,$B$4,缺陷明细!$G$2:$G$50000,$C104,缺陷明细!$Q$2:$Q$50000,"已关闭",缺陷明细!$J$2:$J$50000,"系统测试案例评审")</f>
        <v>0</v>
      </c>
      <c r="P104" s="72">
        <f>COUNTIFS(缺陷明细!$A$2:$A$50000,$B$4,缺陷明细!$G$2:$G$50000,$C104,缺陷明细!$J$2:$J$50000,"系统测试",缺陷明细!$AB$2:$AB$50000,"&lt;&gt;丢弃",缺陷明细!$AB$2:$AB$50000,"&lt;&gt;设计如此",缺陷明细!$AB$2:$AB$50000,"&lt;&gt;重复Bug")</f>
        <v>0</v>
      </c>
      <c r="Q104" s="72">
        <f>COUNTIFS(缺陷明细!$A$2:$A$50000,$B$4,缺陷明细!$G$2:$G$50000,$C104,缺陷明细!$Q$2:$Q$50000,"已关闭",缺陷明细!$J$2:$J$50000,"系统测试")</f>
        <v>0</v>
      </c>
      <c r="R104" s="296">
        <f>COUNTIFS(缺陷明细!$A$2:$A$50000,$B$4,缺陷明细!$G$2:$G$50000,$C104,缺陷明细!$AB$2:$AB$50000,"丢弃",缺陷明细!$J$2:$J$50000,"系统测试")+COUNTIFS(缺陷明细!$A$2:$A$50000,$B$4,缺陷明细!$G$2:$G$50000,$C104,缺陷明细!$AB$2:$AB$50000,"设计如此",缺陷明细!$J$2:$J$50000,"系统测试")+COUNTIFS(缺陷明细!$A$2:$A$50000,$B$4,缺陷明细!$G$2:$G$50000,$C104,缺陷明细!$AB$2:$AB$50000,"重复Bug",缺陷明细!$J$2:$J$50000,"系统测试")</f>
        <v>0</v>
      </c>
      <c r="S104" s="72">
        <f>COUNTIFS(缺陷明细!$A$2:$A$50000,$B$4,缺陷明细!$G$2:$G$50000,$C104,缺陷明细!$J$2:$J$50000,"系统测试",缺陷明细!$K$2:$K$50000,"致命",缺陷明细!$AB$2:$AB$50000,"&lt;&gt;丢弃",缺陷明细!$AB$2:$AB$50000,"&lt;&gt;设计如此",缺陷明细!$AB$2:$AB$50000,"&lt;&gt;重复Bug")+COUNTIFS(缺陷明细!$A$2:$A$50000,$B$4,缺陷明细!$G$2:$G$50000,$C104,缺陷明细!$J$2:$J$50000,"系统测试",缺陷明细!$K$2:$K$50000,"严重",缺陷明细!$AB$2:$AB$50000,"&lt;&gt;丢弃",缺陷明细!$AB$2:$AB$50000,"&lt;&gt;设计如此",缺陷明细!$AB$2:$AB$50000,"&lt;&gt;重复Bug")</f>
        <v>0</v>
      </c>
      <c r="T104" s="73">
        <f>COUNTIFS(缺陷明细!$A$2:$A$50000,$B$4,缺陷明细!$G$2:$G$50000,$C104,缺陷明细!$Q$2:$Q$50000,"已关闭",缺陷明细!$J$2:$J$50000,"系统测试",缺陷明细!$K$2:$K$50000,"致命")+COUNTIFS(缺陷明细!$A$2:$A$50000,$B$4,缺陷明细!$G$2:$G$50000,$C104,缺陷明细!$Q$2:$Q$50000,"已关闭",缺陷明细!$J$2:$J$50000,"系统测试",缺陷明细!$K$2:$K$50000,"严重")</f>
        <v>0</v>
      </c>
      <c r="U104" s="74">
        <f>COUNTIFS(缺陷明细!$A$2:$A$50000,$B$4,缺陷明细!$G$2:$G$50000,$C104,缺陷明细!$J$2:$J$50000,"验收测试",缺陷明细!$AB$2:$AB$50000,"&lt;&gt;丢弃",缺陷明细!$AB$2:$AB$50000,"&lt;&gt;设计如此",缺陷明细!$AB$2:$AB$50000,"&lt;&gt;重复Bug")</f>
        <v>0</v>
      </c>
      <c r="V104" s="75">
        <f>COUNTIFS(缺陷明细!$A$2:$A$50000,$B$4,缺陷明细!$G$2:$G$50000,$C104,缺陷明细!$Q$2:$Q$50000,"已关闭",缺陷明细!$J$2:$J$50000,"验收测试")</f>
        <v>0</v>
      </c>
      <c r="W104" s="75">
        <f>COUNTIFS(缺陷明细!$A$2:$A$50000,$B$4,缺陷明细!$G$2:$G$50000,$C104,缺陷明细!$J$2:$J$50000,"验收测试",缺陷明细!$K$2:$K$50000,"致命",缺陷明细!$AB$2:$AB$50000,"&lt;&gt;丢弃",缺陷明细!$AB$2:$AB$50000,"&lt;&gt;设计如此",缺陷明细!$AB$2:$AB$50000,"&lt;&gt;重复Bug")+COUNTIFS(缺陷明细!$A$2:$A$50000,$B$4,缺陷明细!$G$2:$G$50000,$C104,缺陷明细!$J$2:$J$50000,"验收测试",缺陷明细!$K$2:$K$50000,"严重",缺陷明细!$AB$2:$AB$50000,"&lt;&gt;丢弃",缺陷明细!$AB$2:$AB$50000,"&lt;&gt;设计如此",缺陷明细!$AB$2:$AB$50000,"&lt;&gt;重复Bug")</f>
        <v>0</v>
      </c>
      <c r="X104" s="76">
        <f>COUNTIFS(缺陷明细!$A$2:$A$50000,$B$4,缺陷明细!$G$2:$G$50000,$C104,缺陷明细!$Q$2:$Q$50000,"已关闭",缺陷明细!$J$2:$J$50000,"验收测试",缺陷明细!$K$2:$K$50000,"致命")+COUNTIFS(缺陷明细!$A$2:$A$50000,$B$4,缺陷明细!$G$2:$G$50000,$C104,缺陷明细!$Q$2:$Q$50000,"已关闭",缺陷明细!$J$2:$J$50000,"验收测试",缺陷明细!$K$2:$K$50000,"严重")</f>
        <v>0</v>
      </c>
      <c r="Y104" s="70">
        <f>COUNTIFS(缺陷明细!$A$2:$A$50000,$B$4,缺陷明细!$G$2:$G$50000,$C104,缺陷明细!$J$2:$J$50000,"运维测试",缺陷明细!$AB$2:$AB$50000,"&lt;&gt;丢弃",缺陷明细!$AB$2:$AB$50000,"&lt;&gt;设计如此",缺陷明细!$AB$2:$AB$50000,"&lt;&gt;重复Bug")</f>
        <v>0</v>
      </c>
      <c r="Z104" s="71">
        <f>COUNTIFS(缺陷明细!$A$2:$A$50000,$B$4,缺陷明细!$G$2:$G$50000,$C104,缺陷明细!$Q$2:$Q$50000,"已关闭",缺陷明细!$J$2:$J$50000,"运维测试")</f>
        <v>0</v>
      </c>
      <c r="AA104" s="72">
        <f>COUNTIFS(缺陷明细!$A$2:$A$50000,$B$4,缺陷明细!$G$2:$G$50000,$C104,缺陷明细!$J$2:$J$50000,"运维测试",缺陷明细!$K$2:$K$50000,"致命",缺陷明细!$AB$2:$AB$50000,"&lt;&gt;丢弃",缺陷明细!$AB$2:$AB$50000,"&lt;&gt;设计如此",缺陷明细!$AB$2:$AB$50000,"&lt;&gt;重复Bug")+COUNTIFS(缺陷明细!$A$2:$A$50000,$B$4,缺陷明细!$G$2:$G$50000,$C104,缺陷明细!$J$2:$J$50000,"运维测试",缺陷明细!$K$2:$K$50000,"严重",缺陷明细!$AB$2:$AB$50000,"&lt;&gt;丢弃",缺陷明细!$AB$2:$AB$50000,"&lt;&gt;设计如此",缺陷明细!$AB$2:$AB$50000,"&lt;&gt;重复Bug")</f>
        <v>0</v>
      </c>
      <c r="AB104" s="73">
        <f>COUNTIFS(缺陷明细!$A$2:$A$50000,$B$4,缺陷明细!$G$2:$G$50000,$C104,缺陷明细!$Q$2:$Q$50000,"已关闭",缺陷明细!$J$2:$J$50000,"运维测试",缺陷明细!$K$2:$K$50000,"致命")+COUNTIFS(缺陷明细!$A$2:$A$50000,$B$4,缺陷明细!$G$2:$G$50000,$C104,缺陷明细!$Q$2:$Q$50000,"已关闭",缺陷明细!$J$2:$J$50000,"运维测试",缺陷明细!$K$2:$K$50000,"严重")</f>
        <v>0</v>
      </c>
      <c r="AC104" s="68">
        <f t="shared" si="4"/>
        <v>0</v>
      </c>
      <c r="AD104" s="60">
        <f t="shared" si="5"/>
        <v>0</v>
      </c>
      <c r="AE104" s="60">
        <f t="shared" si="6"/>
        <v>0</v>
      </c>
      <c r="AF104" s="60">
        <f t="shared" si="7"/>
        <v>0</v>
      </c>
      <c r="AG104" s="60">
        <f t="shared" si="8"/>
        <v>0</v>
      </c>
      <c r="AH104" s="60">
        <f t="shared" si="9"/>
        <v>0</v>
      </c>
      <c r="AI104" s="60">
        <f t="shared" si="10"/>
        <v>0</v>
      </c>
      <c r="AJ104" s="61">
        <f t="shared" si="11"/>
        <v>0</v>
      </c>
      <c r="AK104" s="144"/>
    </row>
    <row r="105" spans="1:37" ht="25.5">
      <c r="A105">
        <v>101</v>
      </c>
      <c r="B105" s="57">
        <v>601</v>
      </c>
      <c r="C105" s="58" t="s">
        <v>446</v>
      </c>
      <c r="D105" s="84" t="s">
        <v>343</v>
      </c>
      <c r="E105" s="82" t="s">
        <v>346</v>
      </c>
      <c r="F105" s="158">
        <v>8</v>
      </c>
      <c r="G105" s="159">
        <v>0</v>
      </c>
      <c r="H105" s="281">
        <f>COUNTIFS(缺陷明细!$A$2:$A$50000,$B$4,缺陷明细!$G$2:$G$50000,$C105,缺陷明细!$J$2:$J$50000,"评审",缺陷明细!$AB$2:$AB$50000,"&lt;&gt;丢弃",缺陷明细!$AB$2:$AB$50000,"&lt;&gt;设计如此",缺陷明细!$AB$2:$AB$50000,"&lt;&gt;重复Bug")</f>
        <v>0</v>
      </c>
      <c r="I105" s="154">
        <f>COUNTIFS(缺陷明细!$A$2:$A$50000,$B$4,缺陷明细!$G$2:$G$50000,$C105,缺陷明细!$Q$2:$Q$50000,"已关闭",缺陷明细!$J$2:$J$50000,"评审")</f>
        <v>0</v>
      </c>
      <c r="J105" s="154">
        <f>COUNTIFS(缺陷明细!$A$2:$A$50000,$B$4,缺陷明细!$G$2:$G$50000,$C105,缺陷明细!$J$2:$J$50000,"单元测试",缺陷明细!$AB$2:$AB$50000,"&lt;&gt;丢弃",缺陷明细!$AB$2:$AB$50000,"&lt;&gt;设计如此",缺陷明细!$AB$2:$AB$50000,"&lt;&gt;重复Bug")</f>
        <v>0</v>
      </c>
      <c r="K105" s="155">
        <f>COUNTIFS(缺陷明细!$A$2:$A$50000,$B$4,缺陷明细!$G$2:$G$50000,$C105,缺陷明细!$Q$2:$Q$50000,"已关闭",缺陷明细!$J$2:$J$50000,"单元测试")</f>
        <v>0</v>
      </c>
      <c r="L105" s="156"/>
      <c r="M105" s="157"/>
      <c r="N105" s="72">
        <f>COUNTIFS(缺陷明细!$A$2:$A$50000,$B$4,缺陷明细!$G$2:$G$50000,$C105,缺陷明细!$J$2:$J$50000,"系统测试案例评审",缺陷明细!$AB$2:$AB$50000,"&lt;&gt;丢弃",缺陷明细!$AB$2:$AB$50000,"&lt;&gt;设计如此",缺陷明细!$AB$2:$AB$50000,"&lt;&gt;重复Bug")</f>
        <v>0</v>
      </c>
      <c r="O105" s="72">
        <f>COUNTIFS(缺陷明细!$A$2:$A$50000,$B$4,缺陷明细!$G$2:$G$50000,$C105,缺陷明细!$Q$2:$Q$50000,"已关闭",缺陷明细!$J$2:$J$50000,"系统测试案例评审")</f>
        <v>0</v>
      </c>
      <c r="P105" s="72">
        <f>COUNTIFS(缺陷明细!$A$2:$A$50000,$B$4,缺陷明细!$G$2:$G$50000,$C105,缺陷明细!$J$2:$J$50000,"系统测试",缺陷明细!$AB$2:$AB$50000,"&lt;&gt;丢弃",缺陷明细!$AB$2:$AB$50000,"&lt;&gt;设计如此",缺陷明细!$AB$2:$AB$50000,"&lt;&gt;重复Bug")</f>
        <v>0</v>
      </c>
      <c r="Q105" s="72">
        <f>COUNTIFS(缺陷明细!$A$2:$A$50000,$B$4,缺陷明细!$G$2:$G$50000,$C105,缺陷明细!$Q$2:$Q$50000,"已关闭",缺陷明细!$J$2:$J$50000,"系统测试")</f>
        <v>0</v>
      </c>
      <c r="R105" s="296">
        <f>COUNTIFS(缺陷明细!$A$2:$A$50000,$B$4,缺陷明细!$G$2:$G$50000,$C105,缺陷明细!$AB$2:$AB$50000,"丢弃",缺陷明细!$J$2:$J$50000,"系统测试")+COUNTIFS(缺陷明细!$A$2:$A$50000,$B$4,缺陷明细!$G$2:$G$50000,$C105,缺陷明细!$AB$2:$AB$50000,"设计如此",缺陷明细!$J$2:$J$50000,"系统测试")+COUNTIFS(缺陷明细!$A$2:$A$50000,$B$4,缺陷明细!$G$2:$G$50000,$C105,缺陷明细!$AB$2:$AB$50000,"重复Bug",缺陷明细!$J$2:$J$50000,"系统测试")</f>
        <v>0</v>
      </c>
      <c r="S105" s="72">
        <f>COUNTIFS(缺陷明细!$A$2:$A$50000,$B$4,缺陷明细!$G$2:$G$50000,$C105,缺陷明细!$J$2:$J$50000,"系统测试",缺陷明细!$K$2:$K$50000,"致命",缺陷明细!$AB$2:$AB$50000,"&lt;&gt;丢弃",缺陷明细!$AB$2:$AB$50000,"&lt;&gt;设计如此",缺陷明细!$AB$2:$AB$50000,"&lt;&gt;重复Bug")+COUNTIFS(缺陷明细!$A$2:$A$50000,$B$4,缺陷明细!$G$2:$G$50000,$C105,缺陷明细!$J$2:$J$50000,"系统测试",缺陷明细!$K$2:$K$50000,"严重",缺陷明细!$AB$2:$AB$50000,"&lt;&gt;丢弃",缺陷明细!$AB$2:$AB$50000,"&lt;&gt;设计如此",缺陷明细!$AB$2:$AB$50000,"&lt;&gt;重复Bug")</f>
        <v>0</v>
      </c>
      <c r="T105" s="73">
        <f>COUNTIFS(缺陷明细!$A$2:$A$50000,$B$4,缺陷明细!$G$2:$G$50000,$C105,缺陷明细!$Q$2:$Q$50000,"已关闭",缺陷明细!$J$2:$J$50000,"系统测试",缺陷明细!$K$2:$K$50000,"致命")+COUNTIFS(缺陷明细!$A$2:$A$50000,$B$4,缺陷明细!$G$2:$G$50000,$C105,缺陷明细!$Q$2:$Q$50000,"已关闭",缺陷明细!$J$2:$J$50000,"系统测试",缺陷明细!$K$2:$K$50000,"严重")</f>
        <v>0</v>
      </c>
      <c r="U105" s="74">
        <f>COUNTIFS(缺陷明细!$A$2:$A$50000,$B$4,缺陷明细!$G$2:$G$50000,$C105,缺陷明细!$J$2:$J$50000,"验收测试",缺陷明细!$AB$2:$AB$50000,"&lt;&gt;丢弃",缺陷明细!$AB$2:$AB$50000,"&lt;&gt;设计如此",缺陷明细!$AB$2:$AB$50000,"&lt;&gt;重复Bug")</f>
        <v>0</v>
      </c>
      <c r="V105" s="75">
        <f>COUNTIFS(缺陷明细!$A$2:$A$50000,$B$4,缺陷明细!$G$2:$G$50000,$C105,缺陷明细!$Q$2:$Q$50000,"已关闭",缺陷明细!$J$2:$J$50000,"验收测试")</f>
        <v>0</v>
      </c>
      <c r="W105" s="75">
        <f>COUNTIFS(缺陷明细!$A$2:$A$50000,$B$4,缺陷明细!$G$2:$G$50000,$C105,缺陷明细!$J$2:$J$50000,"验收测试",缺陷明细!$K$2:$K$50000,"致命",缺陷明细!$AB$2:$AB$50000,"&lt;&gt;丢弃",缺陷明细!$AB$2:$AB$50000,"&lt;&gt;设计如此",缺陷明细!$AB$2:$AB$50000,"&lt;&gt;重复Bug")+COUNTIFS(缺陷明细!$A$2:$A$50000,$B$4,缺陷明细!$G$2:$G$50000,$C105,缺陷明细!$J$2:$J$50000,"验收测试",缺陷明细!$K$2:$K$50000,"严重",缺陷明细!$AB$2:$AB$50000,"&lt;&gt;丢弃",缺陷明细!$AB$2:$AB$50000,"&lt;&gt;设计如此",缺陷明细!$AB$2:$AB$50000,"&lt;&gt;重复Bug")</f>
        <v>0</v>
      </c>
      <c r="X105" s="76">
        <f>COUNTIFS(缺陷明细!$A$2:$A$50000,$B$4,缺陷明细!$G$2:$G$50000,$C105,缺陷明细!$Q$2:$Q$50000,"已关闭",缺陷明细!$J$2:$J$50000,"验收测试",缺陷明细!$K$2:$K$50000,"致命")+COUNTIFS(缺陷明细!$A$2:$A$50000,$B$4,缺陷明细!$G$2:$G$50000,$C105,缺陷明细!$Q$2:$Q$50000,"已关闭",缺陷明细!$J$2:$J$50000,"验收测试",缺陷明细!$K$2:$K$50000,"严重")</f>
        <v>0</v>
      </c>
      <c r="Y105" s="70">
        <f>COUNTIFS(缺陷明细!$A$2:$A$50000,$B$4,缺陷明细!$G$2:$G$50000,$C105,缺陷明细!$J$2:$J$50000,"运维测试",缺陷明细!$AB$2:$AB$50000,"&lt;&gt;丢弃",缺陷明细!$AB$2:$AB$50000,"&lt;&gt;设计如此",缺陷明细!$AB$2:$AB$50000,"&lt;&gt;重复Bug")</f>
        <v>0</v>
      </c>
      <c r="Z105" s="71">
        <f>COUNTIFS(缺陷明细!$A$2:$A$50000,$B$4,缺陷明细!$G$2:$G$50000,$C105,缺陷明细!$Q$2:$Q$50000,"已关闭",缺陷明细!$J$2:$J$50000,"运维测试")</f>
        <v>0</v>
      </c>
      <c r="AA105" s="72">
        <f>COUNTIFS(缺陷明细!$A$2:$A$50000,$B$4,缺陷明细!$G$2:$G$50000,$C105,缺陷明细!$J$2:$J$50000,"运维测试",缺陷明细!$K$2:$K$50000,"致命",缺陷明细!$AB$2:$AB$50000,"&lt;&gt;丢弃",缺陷明细!$AB$2:$AB$50000,"&lt;&gt;设计如此",缺陷明细!$AB$2:$AB$50000,"&lt;&gt;重复Bug")+COUNTIFS(缺陷明细!$A$2:$A$50000,$B$4,缺陷明细!$G$2:$G$50000,$C105,缺陷明细!$J$2:$J$50000,"运维测试",缺陷明细!$K$2:$K$50000,"严重",缺陷明细!$AB$2:$AB$50000,"&lt;&gt;丢弃",缺陷明细!$AB$2:$AB$50000,"&lt;&gt;设计如此",缺陷明细!$AB$2:$AB$50000,"&lt;&gt;重复Bug")</f>
        <v>0</v>
      </c>
      <c r="AB105" s="73">
        <f>COUNTIFS(缺陷明细!$A$2:$A$50000,$B$4,缺陷明细!$G$2:$G$50000,$C105,缺陷明细!$Q$2:$Q$50000,"已关闭",缺陷明细!$J$2:$J$50000,"运维测试",缺陷明细!$K$2:$K$50000,"致命")+COUNTIFS(缺陷明细!$A$2:$A$50000,$B$4,缺陷明细!$G$2:$G$50000,$C105,缺陷明细!$Q$2:$Q$50000,"已关闭",缺陷明细!$J$2:$J$50000,"运维测试",缺陷明细!$K$2:$K$50000,"严重")</f>
        <v>0</v>
      </c>
      <c r="AC105" s="68">
        <f t="shared" ref="AC105:AC121" si="12">H105</f>
        <v>0</v>
      </c>
      <c r="AD105" s="60">
        <f t="shared" ref="AD105:AD121" si="13">I105</f>
        <v>0</v>
      </c>
      <c r="AE105" s="60">
        <f t="shared" ref="AE105:AE121" si="14">H105+J105</f>
        <v>0</v>
      </c>
      <c r="AF105" s="60">
        <f t="shared" ref="AF105:AF121" si="15">I105+K105</f>
        <v>0</v>
      </c>
      <c r="AG105" s="60">
        <f t="shared" ref="AG105:AG121" si="16">H105+J105+P105</f>
        <v>0</v>
      </c>
      <c r="AH105" s="60">
        <f t="shared" ref="AH105:AH121" si="17">I105+K105+Q105</f>
        <v>0</v>
      </c>
      <c r="AI105" s="60">
        <f t="shared" ref="AI105:AI121" si="18">Y105</f>
        <v>0</v>
      </c>
      <c r="AJ105" s="61">
        <f t="shared" ref="AJ105:AJ121" si="19">Z105</f>
        <v>0</v>
      </c>
      <c r="AK105" s="144"/>
    </row>
    <row r="106" spans="1:37" ht="25.5">
      <c r="A106">
        <v>102</v>
      </c>
      <c r="B106" s="57">
        <v>602</v>
      </c>
      <c r="C106" s="58" t="s">
        <v>447</v>
      </c>
      <c r="D106" s="84" t="s">
        <v>343</v>
      </c>
      <c r="E106" s="82" t="s">
        <v>346</v>
      </c>
      <c r="F106" s="158">
        <v>8</v>
      </c>
      <c r="G106" s="159">
        <v>0</v>
      </c>
      <c r="H106" s="281">
        <f>COUNTIFS(缺陷明细!$A$2:$A$50000,$B$4,缺陷明细!$G$2:$G$50000,$C106,缺陷明细!$J$2:$J$50000,"评审",缺陷明细!$AB$2:$AB$50000,"&lt;&gt;丢弃",缺陷明细!$AB$2:$AB$50000,"&lt;&gt;设计如此",缺陷明细!$AB$2:$AB$50000,"&lt;&gt;重复Bug")</f>
        <v>0</v>
      </c>
      <c r="I106" s="154">
        <f>COUNTIFS(缺陷明细!$A$2:$A$50000,$B$4,缺陷明细!$G$2:$G$50000,$C106,缺陷明细!$Q$2:$Q$50000,"已关闭",缺陷明细!$J$2:$J$50000,"评审")</f>
        <v>0</v>
      </c>
      <c r="J106" s="154">
        <f>COUNTIFS(缺陷明细!$A$2:$A$50000,$B$4,缺陷明细!$G$2:$G$50000,$C106,缺陷明细!$J$2:$J$50000,"单元测试",缺陷明细!$AB$2:$AB$50000,"&lt;&gt;丢弃",缺陷明细!$AB$2:$AB$50000,"&lt;&gt;设计如此",缺陷明细!$AB$2:$AB$50000,"&lt;&gt;重复Bug")</f>
        <v>0</v>
      </c>
      <c r="K106" s="155">
        <f>COUNTIFS(缺陷明细!$A$2:$A$50000,$B$4,缺陷明细!$G$2:$G$50000,$C106,缺陷明细!$Q$2:$Q$50000,"已关闭",缺陷明细!$J$2:$J$50000,"单元测试")</f>
        <v>0</v>
      </c>
      <c r="L106" s="156"/>
      <c r="M106" s="157"/>
      <c r="N106" s="72">
        <f>COUNTIFS(缺陷明细!$A$2:$A$50000,$B$4,缺陷明细!$G$2:$G$50000,$C106,缺陷明细!$J$2:$J$50000,"系统测试案例评审",缺陷明细!$AB$2:$AB$50000,"&lt;&gt;丢弃",缺陷明细!$AB$2:$AB$50000,"&lt;&gt;设计如此",缺陷明细!$AB$2:$AB$50000,"&lt;&gt;重复Bug")</f>
        <v>0</v>
      </c>
      <c r="O106" s="72">
        <f>COUNTIFS(缺陷明细!$A$2:$A$50000,$B$4,缺陷明细!$G$2:$G$50000,$C106,缺陷明细!$Q$2:$Q$50000,"已关闭",缺陷明细!$J$2:$J$50000,"系统测试案例评审")</f>
        <v>0</v>
      </c>
      <c r="P106" s="72">
        <f>COUNTIFS(缺陷明细!$A$2:$A$50000,$B$4,缺陷明细!$G$2:$G$50000,$C106,缺陷明细!$J$2:$J$50000,"系统测试",缺陷明细!$AB$2:$AB$50000,"&lt;&gt;丢弃",缺陷明细!$AB$2:$AB$50000,"&lt;&gt;设计如此",缺陷明细!$AB$2:$AB$50000,"&lt;&gt;重复Bug")</f>
        <v>0</v>
      </c>
      <c r="Q106" s="72">
        <f>COUNTIFS(缺陷明细!$A$2:$A$50000,$B$4,缺陷明细!$G$2:$G$50000,$C106,缺陷明细!$Q$2:$Q$50000,"已关闭",缺陷明细!$J$2:$J$50000,"系统测试")</f>
        <v>0</v>
      </c>
      <c r="R106" s="296">
        <f>COUNTIFS(缺陷明细!$A$2:$A$50000,$B$4,缺陷明细!$G$2:$G$50000,$C106,缺陷明细!$AB$2:$AB$50000,"丢弃",缺陷明细!$J$2:$J$50000,"系统测试")+COUNTIFS(缺陷明细!$A$2:$A$50000,$B$4,缺陷明细!$G$2:$G$50000,$C106,缺陷明细!$AB$2:$AB$50000,"设计如此",缺陷明细!$J$2:$J$50000,"系统测试")+COUNTIFS(缺陷明细!$A$2:$A$50000,$B$4,缺陷明细!$G$2:$G$50000,$C106,缺陷明细!$AB$2:$AB$50000,"重复Bug",缺陷明细!$J$2:$J$50000,"系统测试")</f>
        <v>0</v>
      </c>
      <c r="S106" s="72">
        <f>COUNTIFS(缺陷明细!$A$2:$A$50000,$B$4,缺陷明细!$G$2:$G$50000,$C106,缺陷明细!$J$2:$J$50000,"系统测试",缺陷明细!$K$2:$K$50000,"致命",缺陷明细!$AB$2:$AB$50000,"&lt;&gt;丢弃",缺陷明细!$AB$2:$AB$50000,"&lt;&gt;设计如此",缺陷明细!$AB$2:$AB$50000,"&lt;&gt;重复Bug")+COUNTIFS(缺陷明细!$A$2:$A$50000,$B$4,缺陷明细!$G$2:$G$50000,$C106,缺陷明细!$J$2:$J$50000,"系统测试",缺陷明细!$K$2:$K$50000,"严重",缺陷明细!$AB$2:$AB$50000,"&lt;&gt;丢弃",缺陷明细!$AB$2:$AB$50000,"&lt;&gt;设计如此",缺陷明细!$AB$2:$AB$50000,"&lt;&gt;重复Bug")</f>
        <v>0</v>
      </c>
      <c r="T106" s="73">
        <f>COUNTIFS(缺陷明细!$A$2:$A$50000,$B$4,缺陷明细!$G$2:$G$50000,$C106,缺陷明细!$Q$2:$Q$50000,"已关闭",缺陷明细!$J$2:$J$50000,"系统测试",缺陷明细!$K$2:$K$50000,"致命")+COUNTIFS(缺陷明细!$A$2:$A$50000,$B$4,缺陷明细!$G$2:$G$50000,$C106,缺陷明细!$Q$2:$Q$50000,"已关闭",缺陷明细!$J$2:$J$50000,"系统测试",缺陷明细!$K$2:$K$50000,"严重")</f>
        <v>0</v>
      </c>
      <c r="U106" s="74">
        <f>COUNTIFS(缺陷明细!$A$2:$A$50000,$B$4,缺陷明细!$G$2:$G$50000,$C106,缺陷明细!$J$2:$J$50000,"验收测试",缺陷明细!$AB$2:$AB$50000,"&lt;&gt;丢弃",缺陷明细!$AB$2:$AB$50000,"&lt;&gt;设计如此",缺陷明细!$AB$2:$AB$50000,"&lt;&gt;重复Bug")</f>
        <v>0</v>
      </c>
      <c r="V106" s="75">
        <f>COUNTIFS(缺陷明细!$A$2:$A$50000,$B$4,缺陷明细!$G$2:$G$50000,$C106,缺陷明细!$Q$2:$Q$50000,"已关闭",缺陷明细!$J$2:$J$50000,"验收测试")</f>
        <v>0</v>
      </c>
      <c r="W106" s="75">
        <f>COUNTIFS(缺陷明细!$A$2:$A$50000,$B$4,缺陷明细!$G$2:$G$50000,$C106,缺陷明细!$J$2:$J$50000,"验收测试",缺陷明细!$K$2:$K$50000,"致命",缺陷明细!$AB$2:$AB$50000,"&lt;&gt;丢弃",缺陷明细!$AB$2:$AB$50000,"&lt;&gt;设计如此",缺陷明细!$AB$2:$AB$50000,"&lt;&gt;重复Bug")+COUNTIFS(缺陷明细!$A$2:$A$50000,$B$4,缺陷明细!$G$2:$G$50000,$C106,缺陷明细!$J$2:$J$50000,"验收测试",缺陷明细!$K$2:$K$50000,"严重",缺陷明细!$AB$2:$AB$50000,"&lt;&gt;丢弃",缺陷明细!$AB$2:$AB$50000,"&lt;&gt;设计如此",缺陷明细!$AB$2:$AB$50000,"&lt;&gt;重复Bug")</f>
        <v>0</v>
      </c>
      <c r="X106" s="76">
        <f>COUNTIFS(缺陷明细!$A$2:$A$50000,$B$4,缺陷明细!$G$2:$G$50000,$C106,缺陷明细!$Q$2:$Q$50000,"已关闭",缺陷明细!$J$2:$J$50000,"验收测试",缺陷明细!$K$2:$K$50000,"致命")+COUNTIFS(缺陷明细!$A$2:$A$50000,$B$4,缺陷明细!$G$2:$G$50000,$C106,缺陷明细!$Q$2:$Q$50000,"已关闭",缺陷明细!$J$2:$J$50000,"验收测试",缺陷明细!$K$2:$K$50000,"严重")</f>
        <v>0</v>
      </c>
      <c r="Y106" s="70">
        <f>COUNTIFS(缺陷明细!$A$2:$A$50000,$B$4,缺陷明细!$G$2:$G$50000,$C106,缺陷明细!$J$2:$J$50000,"运维测试",缺陷明细!$AB$2:$AB$50000,"&lt;&gt;丢弃",缺陷明细!$AB$2:$AB$50000,"&lt;&gt;设计如此",缺陷明细!$AB$2:$AB$50000,"&lt;&gt;重复Bug")</f>
        <v>0</v>
      </c>
      <c r="Z106" s="71">
        <f>COUNTIFS(缺陷明细!$A$2:$A$50000,$B$4,缺陷明细!$G$2:$G$50000,$C106,缺陷明细!$Q$2:$Q$50000,"已关闭",缺陷明细!$J$2:$J$50000,"运维测试")</f>
        <v>0</v>
      </c>
      <c r="AA106" s="72">
        <f>COUNTIFS(缺陷明细!$A$2:$A$50000,$B$4,缺陷明细!$G$2:$G$50000,$C106,缺陷明细!$J$2:$J$50000,"运维测试",缺陷明细!$K$2:$K$50000,"致命",缺陷明细!$AB$2:$AB$50000,"&lt;&gt;丢弃",缺陷明细!$AB$2:$AB$50000,"&lt;&gt;设计如此",缺陷明细!$AB$2:$AB$50000,"&lt;&gt;重复Bug")+COUNTIFS(缺陷明细!$A$2:$A$50000,$B$4,缺陷明细!$G$2:$G$50000,$C106,缺陷明细!$J$2:$J$50000,"运维测试",缺陷明细!$K$2:$K$50000,"严重",缺陷明细!$AB$2:$AB$50000,"&lt;&gt;丢弃",缺陷明细!$AB$2:$AB$50000,"&lt;&gt;设计如此",缺陷明细!$AB$2:$AB$50000,"&lt;&gt;重复Bug")</f>
        <v>0</v>
      </c>
      <c r="AB106" s="73">
        <f>COUNTIFS(缺陷明细!$A$2:$A$50000,$B$4,缺陷明细!$G$2:$G$50000,$C106,缺陷明细!$Q$2:$Q$50000,"已关闭",缺陷明细!$J$2:$J$50000,"运维测试",缺陷明细!$K$2:$K$50000,"致命")+COUNTIFS(缺陷明细!$A$2:$A$50000,$B$4,缺陷明细!$G$2:$G$50000,$C106,缺陷明细!$Q$2:$Q$50000,"已关闭",缺陷明细!$J$2:$J$50000,"运维测试",缺陷明细!$K$2:$K$50000,"严重")</f>
        <v>0</v>
      </c>
      <c r="AC106" s="68">
        <f t="shared" si="12"/>
        <v>0</v>
      </c>
      <c r="AD106" s="60">
        <f t="shared" si="13"/>
        <v>0</v>
      </c>
      <c r="AE106" s="60">
        <f t="shared" si="14"/>
        <v>0</v>
      </c>
      <c r="AF106" s="60">
        <f t="shared" si="15"/>
        <v>0</v>
      </c>
      <c r="AG106" s="60">
        <f t="shared" si="16"/>
        <v>0</v>
      </c>
      <c r="AH106" s="60">
        <f t="shared" si="17"/>
        <v>0</v>
      </c>
      <c r="AI106" s="60">
        <f t="shared" si="18"/>
        <v>0</v>
      </c>
      <c r="AJ106" s="61">
        <f t="shared" si="19"/>
        <v>0</v>
      </c>
      <c r="AK106" s="144"/>
    </row>
    <row r="107" spans="1:37">
      <c r="A107">
        <v>103</v>
      </c>
      <c r="B107" s="57">
        <v>603</v>
      </c>
      <c r="C107" s="58" t="s">
        <v>448</v>
      </c>
      <c r="D107" s="84" t="s">
        <v>343</v>
      </c>
      <c r="E107" s="82" t="s">
        <v>346</v>
      </c>
      <c r="F107" s="158">
        <v>8</v>
      </c>
      <c r="G107" s="159">
        <v>0</v>
      </c>
      <c r="H107" s="281">
        <f>COUNTIFS(缺陷明细!$A$2:$A$50000,$B$4,缺陷明细!$G$2:$G$50000,$C107,缺陷明细!$J$2:$J$50000,"评审",缺陷明细!$AB$2:$AB$50000,"&lt;&gt;丢弃",缺陷明细!$AB$2:$AB$50000,"&lt;&gt;设计如此",缺陷明细!$AB$2:$AB$50000,"&lt;&gt;重复Bug")</f>
        <v>0</v>
      </c>
      <c r="I107" s="154">
        <f>COUNTIFS(缺陷明细!$A$2:$A$50000,$B$4,缺陷明细!$G$2:$G$50000,$C107,缺陷明细!$Q$2:$Q$50000,"已关闭",缺陷明细!$J$2:$J$50000,"评审")</f>
        <v>0</v>
      </c>
      <c r="J107" s="154">
        <f>COUNTIFS(缺陷明细!$A$2:$A$50000,$B$4,缺陷明细!$G$2:$G$50000,$C107,缺陷明细!$J$2:$J$50000,"单元测试",缺陷明细!$AB$2:$AB$50000,"&lt;&gt;丢弃",缺陷明细!$AB$2:$AB$50000,"&lt;&gt;设计如此",缺陷明细!$AB$2:$AB$50000,"&lt;&gt;重复Bug")</f>
        <v>0</v>
      </c>
      <c r="K107" s="155">
        <f>COUNTIFS(缺陷明细!$A$2:$A$50000,$B$4,缺陷明细!$G$2:$G$50000,$C107,缺陷明细!$Q$2:$Q$50000,"已关闭",缺陷明细!$J$2:$J$50000,"单元测试")</f>
        <v>0</v>
      </c>
      <c r="L107" s="156"/>
      <c r="M107" s="157"/>
      <c r="N107" s="72">
        <f>COUNTIFS(缺陷明细!$A$2:$A$50000,$B$4,缺陷明细!$G$2:$G$50000,$C107,缺陷明细!$J$2:$J$50000,"系统测试案例评审",缺陷明细!$AB$2:$AB$50000,"&lt;&gt;丢弃",缺陷明细!$AB$2:$AB$50000,"&lt;&gt;设计如此",缺陷明细!$AB$2:$AB$50000,"&lt;&gt;重复Bug")</f>
        <v>0</v>
      </c>
      <c r="O107" s="72">
        <f>COUNTIFS(缺陷明细!$A$2:$A$50000,$B$4,缺陷明细!$G$2:$G$50000,$C107,缺陷明细!$Q$2:$Q$50000,"已关闭",缺陷明细!$J$2:$J$50000,"系统测试案例评审")</f>
        <v>0</v>
      </c>
      <c r="P107" s="72">
        <f>COUNTIFS(缺陷明细!$A$2:$A$50000,$B$4,缺陷明细!$G$2:$G$50000,$C107,缺陷明细!$J$2:$J$50000,"系统测试",缺陷明细!$AB$2:$AB$50000,"&lt;&gt;丢弃",缺陷明细!$AB$2:$AB$50000,"&lt;&gt;设计如此",缺陷明细!$AB$2:$AB$50000,"&lt;&gt;重复Bug")</f>
        <v>0</v>
      </c>
      <c r="Q107" s="72">
        <f>COUNTIFS(缺陷明细!$A$2:$A$50000,$B$4,缺陷明细!$G$2:$G$50000,$C107,缺陷明细!$Q$2:$Q$50000,"已关闭",缺陷明细!$J$2:$J$50000,"系统测试")</f>
        <v>0</v>
      </c>
      <c r="R107" s="296">
        <f>COUNTIFS(缺陷明细!$A$2:$A$50000,$B$4,缺陷明细!$G$2:$G$50000,$C107,缺陷明细!$AB$2:$AB$50000,"丢弃",缺陷明细!$J$2:$J$50000,"系统测试")+COUNTIFS(缺陷明细!$A$2:$A$50000,$B$4,缺陷明细!$G$2:$G$50000,$C107,缺陷明细!$AB$2:$AB$50000,"设计如此",缺陷明细!$J$2:$J$50000,"系统测试")+COUNTIFS(缺陷明细!$A$2:$A$50000,$B$4,缺陷明细!$G$2:$G$50000,$C107,缺陷明细!$AB$2:$AB$50000,"重复Bug",缺陷明细!$J$2:$J$50000,"系统测试")</f>
        <v>0</v>
      </c>
      <c r="S107" s="72">
        <f>COUNTIFS(缺陷明细!$A$2:$A$50000,$B$4,缺陷明细!$G$2:$G$50000,$C107,缺陷明细!$J$2:$J$50000,"系统测试",缺陷明细!$K$2:$K$50000,"致命",缺陷明细!$AB$2:$AB$50000,"&lt;&gt;丢弃",缺陷明细!$AB$2:$AB$50000,"&lt;&gt;设计如此",缺陷明细!$AB$2:$AB$50000,"&lt;&gt;重复Bug")+COUNTIFS(缺陷明细!$A$2:$A$50000,$B$4,缺陷明细!$G$2:$G$50000,$C107,缺陷明细!$J$2:$J$50000,"系统测试",缺陷明细!$K$2:$K$50000,"严重",缺陷明细!$AB$2:$AB$50000,"&lt;&gt;丢弃",缺陷明细!$AB$2:$AB$50000,"&lt;&gt;设计如此",缺陷明细!$AB$2:$AB$50000,"&lt;&gt;重复Bug")</f>
        <v>0</v>
      </c>
      <c r="T107" s="73">
        <f>COUNTIFS(缺陷明细!$A$2:$A$50000,$B$4,缺陷明细!$G$2:$G$50000,$C107,缺陷明细!$Q$2:$Q$50000,"已关闭",缺陷明细!$J$2:$J$50000,"系统测试",缺陷明细!$K$2:$K$50000,"致命")+COUNTIFS(缺陷明细!$A$2:$A$50000,$B$4,缺陷明细!$G$2:$G$50000,$C107,缺陷明细!$Q$2:$Q$50000,"已关闭",缺陷明细!$J$2:$J$50000,"系统测试",缺陷明细!$K$2:$K$50000,"严重")</f>
        <v>0</v>
      </c>
      <c r="U107" s="74">
        <f>COUNTIFS(缺陷明细!$A$2:$A$50000,$B$4,缺陷明细!$G$2:$G$50000,$C107,缺陷明细!$J$2:$J$50000,"验收测试",缺陷明细!$AB$2:$AB$50000,"&lt;&gt;丢弃",缺陷明细!$AB$2:$AB$50000,"&lt;&gt;设计如此",缺陷明细!$AB$2:$AB$50000,"&lt;&gt;重复Bug")</f>
        <v>0</v>
      </c>
      <c r="V107" s="75">
        <f>COUNTIFS(缺陷明细!$A$2:$A$50000,$B$4,缺陷明细!$G$2:$G$50000,$C107,缺陷明细!$Q$2:$Q$50000,"已关闭",缺陷明细!$J$2:$J$50000,"验收测试")</f>
        <v>0</v>
      </c>
      <c r="W107" s="75">
        <f>COUNTIFS(缺陷明细!$A$2:$A$50000,$B$4,缺陷明细!$G$2:$G$50000,$C107,缺陷明细!$J$2:$J$50000,"验收测试",缺陷明细!$K$2:$K$50000,"致命",缺陷明细!$AB$2:$AB$50000,"&lt;&gt;丢弃",缺陷明细!$AB$2:$AB$50000,"&lt;&gt;设计如此",缺陷明细!$AB$2:$AB$50000,"&lt;&gt;重复Bug")+COUNTIFS(缺陷明细!$A$2:$A$50000,$B$4,缺陷明细!$G$2:$G$50000,$C107,缺陷明细!$J$2:$J$50000,"验收测试",缺陷明细!$K$2:$K$50000,"严重",缺陷明细!$AB$2:$AB$50000,"&lt;&gt;丢弃",缺陷明细!$AB$2:$AB$50000,"&lt;&gt;设计如此",缺陷明细!$AB$2:$AB$50000,"&lt;&gt;重复Bug")</f>
        <v>0</v>
      </c>
      <c r="X107" s="76">
        <f>COUNTIFS(缺陷明细!$A$2:$A$50000,$B$4,缺陷明细!$G$2:$G$50000,$C107,缺陷明细!$Q$2:$Q$50000,"已关闭",缺陷明细!$J$2:$J$50000,"验收测试",缺陷明细!$K$2:$K$50000,"致命")+COUNTIFS(缺陷明细!$A$2:$A$50000,$B$4,缺陷明细!$G$2:$G$50000,$C107,缺陷明细!$Q$2:$Q$50000,"已关闭",缺陷明细!$J$2:$J$50000,"验收测试",缺陷明细!$K$2:$K$50000,"严重")</f>
        <v>0</v>
      </c>
      <c r="Y107" s="70">
        <f>COUNTIFS(缺陷明细!$A$2:$A$50000,$B$4,缺陷明细!$G$2:$G$50000,$C107,缺陷明细!$J$2:$J$50000,"运维测试",缺陷明细!$AB$2:$AB$50000,"&lt;&gt;丢弃",缺陷明细!$AB$2:$AB$50000,"&lt;&gt;设计如此",缺陷明细!$AB$2:$AB$50000,"&lt;&gt;重复Bug")</f>
        <v>0</v>
      </c>
      <c r="Z107" s="71">
        <f>COUNTIFS(缺陷明细!$A$2:$A$50000,$B$4,缺陷明细!$G$2:$G$50000,$C107,缺陷明细!$Q$2:$Q$50000,"已关闭",缺陷明细!$J$2:$J$50000,"运维测试")</f>
        <v>0</v>
      </c>
      <c r="AA107" s="72">
        <f>COUNTIFS(缺陷明细!$A$2:$A$50000,$B$4,缺陷明细!$G$2:$G$50000,$C107,缺陷明细!$J$2:$J$50000,"运维测试",缺陷明细!$K$2:$K$50000,"致命",缺陷明细!$AB$2:$AB$50000,"&lt;&gt;丢弃",缺陷明细!$AB$2:$AB$50000,"&lt;&gt;设计如此",缺陷明细!$AB$2:$AB$50000,"&lt;&gt;重复Bug")+COUNTIFS(缺陷明细!$A$2:$A$50000,$B$4,缺陷明细!$G$2:$G$50000,$C107,缺陷明细!$J$2:$J$50000,"运维测试",缺陷明细!$K$2:$K$50000,"严重",缺陷明细!$AB$2:$AB$50000,"&lt;&gt;丢弃",缺陷明细!$AB$2:$AB$50000,"&lt;&gt;设计如此",缺陷明细!$AB$2:$AB$50000,"&lt;&gt;重复Bug")</f>
        <v>0</v>
      </c>
      <c r="AB107" s="73">
        <f>COUNTIFS(缺陷明细!$A$2:$A$50000,$B$4,缺陷明细!$G$2:$G$50000,$C107,缺陷明细!$Q$2:$Q$50000,"已关闭",缺陷明细!$J$2:$J$50000,"运维测试",缺陷明细!$K$2:$K$50000,"致命")+COUNTIFS(缺陷明细!$A$2:$A$50000,$B$4,缺陷明细!$G$2:$G$50000,$C107,缺陷明细!$Q$2:$Q$50000,"已关闭",缺陷明细!$J$2:$J$50000,"运维测试",缺陷明细!$K$2:$K$50000,"严重")</f>
        <v>0</v>
      </c>
      <c r="AC107" s="68">
        <f t="shared" si="12"/>
        <v>0</v>
      </c>
      <c r="AD107" s="60">
        <f t="shared" si="13"/>
        <v>0</v>
      </c>
      <c r="AE107" s="60">
        <f t="shared" si="14"/>
        <v>0</v>
      </c>
      <c r="AF107" s="60">
        <f t="shared" si="15"/>
        <v>0</v>
      </c>
      <c r="AG107" s="60">
        <f t="shared" si="16"/>
        <v>0</v>
      </c>
      <c r="AH107" s="60">
        <f t="shared" si="17"/>
        <v>0</v>
      </c>
      <c r="AI107" s="60">
        <f t="shared" si="18"/>
        <v>0</v>
      </c>
      <c r="AJ107" s="61">
        <f t="shared" si="19"/>
        <v>0</v>
      </c>
      <c r="AK107" s="144"/>
    </row>
    <row r="108" spans="1:37">
      <c r="A108">
        <v>104</v>
      </c>
      <c r="B108" s="57">
        <v>607</v>
      </c>
      <c r="C108" s="58" t="s">
        <v>449</v>
      </c>
      <c r="D108" s="84" t="s">
        <v>343</v>
      </c>
      <c r="E108" s="82" t="s">
        <v>346</v>
      </c>
      <c r="F108" s="158">
        <v>16</v>
      </c>
      <c r="G108" s="159">
        <v>0</v>
      </c>
      <c r="H108" s="281">
        <f>COUNTIFS(缺陷明细!$A$2:$A$50000,$B$4,缺陷明细!$G$2:$G$50000,$C108,缺陷明细!$J$2:$J$50000,"评审",缺陷明细!$AB$2:$AB$50000,"&lt;&gt;丢弃",缺陷明细!$AB$2:$AB$50000,"&lt;&gt;设计如此",缺陷明细!$AB$2:$AB$50000,"&lt;&gt;重复Bug")</f>
        <v>0</v>
      </c>
      <c r="I108" s="154">
        <f>COUNTIFS(缺陷明细!$A$2:$A$50000,$B$4,缺陷明细!$G$2:$G$50000,$C108,缺陷明细!$Q$2:$Q$50000,"已关闭",缺陷明细!$J$2:$J$50000,"评审")</f>
        <v>0</v>
      </c>
      <c r="J108" s="154">
        <f>COUNTIFS(缺陷明细!$A$2:$A$50000,$B$4,缺陷明细!$G$2:$G$50000,$C108,缺陷明细!$J$2:$J$50000,"单元测试",缺陷明细!$AB$2:$AB$50000,"&lt;&gt;丢弃",缺陷明细!$AB$2:$AB$50000,"&lt;&gt;设计如此",缺陷明细!$AB$2:$AB$50000,"&lt;&gt;重复Bug")</f>
        <v>0</v>
      </c>
      <c r="K108" s="155">
        <f>COUNTIFS(缺陷明细!$A$2:$A$50000,$B$4,缺陷明细!$G$2:$G$50000,$C108,缺陷明细!$Q$2:$Q$50000,"已关闭",缺陷明细!$J$2:$J$50000,"单元测试")</f>
        <v>0</v>
      </c>
      <c r="L108" s="156"/>
      <c r="M108" s="157"/>
      <c r="N108" s="72">
        <f>COUNTIFS(缺陷明细!$A$2:$A$50000,$B$4,缺陷明细!$G$2:$G$50000,$C108,缺陷明细!$J$2:$J$50000,"系统测试案例评审",缺陷明细!$AB$2:$AB$50000,"&lt;&gt;丢弃",缺陷明细!$AB$2:$AB$50000,"&lt;&gt;设计如此",缺陷明细!$AB$2:$AB$50000,"&lt;&gt;重复Bug")</f>
        <v>0</v>
      </c>
      <c r="O108" s="72">
        <f>COUNTIFS(缺陷明细!$A$2:$A$50000,$B$4,缺陷明细!$G$2:$G$50000,$C108,缺陷明细!$Q$2:$Q$50000,"已关闭",缺陷明细!$J$2:$J$50000,"系统测试案例评审")</f>
        <v>0</v>
      </c>
      <c r="P108" s="72">
        <f>COUNTIFS(缺陷明细!$A$2:$A$50000,$B$4,缺陷明细!$G$2:$G$50000,$C108,缺陷明细!$J$2:$J$50000,"系统测试",缺陷明细!$AB$2:$AB$50000,"&lt;&gt;丢弃",缺陷明细!$AB$2:$AB$50000,"&lt;&gt;设计如此",缺陷明细!$AB$2:$AB$50000,"&lt;&gt;重复Bug")</f>
        <v>0</v>
      </c>
      <c r="Q108" s="72">
        <f>COUNTIFS(缺陷明细!$A$2:$A$50000,$B$4,缺陷明细!$G$2:$G$50000,$C108,缺陷明细!$Q$2:$Q$50000,"已关闭",缺陷明细!$J$2:$J$50000,"系统测试")</f>
        <v>0</v>
      </c>
      <c r="R108" s="296">
        <f>COUNTIFS(缺陷明细!$A$2:$A$50000,$B$4,缺陷明细!$G$2:$G$50000,$C108,缺陷明细!$AB$2:$AB$50000,"丢弃",缺陷明细!$J$2:$J$50000,"系统测试")+COUNTIFS(缺陷明细!$A$2:$A$50000,$B$4,缺陷明细!$G$2:$G$50000,$C108,缺陷明细!$AB$2:$AB$50000,"设计如此",缺陷明细!$J$2:$J$50000,"系统测试")+COUNTIFS(缺陷明细!$A$2:$A$50000,$B$4,缺陷明细!$G$2:$G$50000,$C108,缺陷明细!$AB$2:$AB$50000,"重复Bug",缺陷明细!$J$2:$J$50000,"系统测试")</f>
        <v>0</v>
      </c>
      <c r="S108" s="72">
        <f>COUNTIFS(缺陷明细!$A$2:$A$50000,$B$4,缺陷明细!$G$2:$G$50000,$C108,缺陷明细!$J$2:$J$50000,"系统测试",缺陷明细!$K$2:$K$50000,"致命",缺陷明细!$AB$2:$AB$50000,"&lt;&gt;丢弃",缺陷明细!$AB$2:$AB$50000,"&lt;&gt;设计如此",缺陷明细!$AB$2:$AB$50000,"&lt;&gt;重复Bug")+COUNTIFS(缺陷明细!$A$2:$A$50000,$B$4,缺陷明细!$G$2:$G$50000,$C108,缺陷明细!$J$2:$J$50000,"系统测试",缺陷明细!$K$2:$K$50000,"严重",缺陷明细!$AB$2:$AB$50000,"&lt;&gt;丢弃",缺陷明细!$AB$2:$AB$50000,"&lt;&gt;设计如此",缺陷明细!$AB$2:$AB$50000,"&lt;&gt;重复Bug")</f>
        <v>0</v>
      </c>
      <c r="T108" s="73">
        <f>COUNTIFS(缺陷明细!$A$2:$A$50000,$B$4,缺陷明细!$G$2:$G$50000,$C108,缺陷明细!$Q$2:$Q$50000,"已关闭",缺陷明细!$J$2:$J$50000,"系统测试",缺陷明细!$K$2:$K$50000,"致命")+COUNTIFS(缺陷明细!$A$2:$A$50000,$B$4,缺陷明细!$G$2:$G$50000,$C108,缺陷明细!$Q$2:$Q$50000,"已关闭",缺陷明细!$J$2:$J$50000,"系统测试",缺陷明细!$K$2:$K$50000,"严重")</f>
        <v>0</v>
      </c>
      <c r="U108" s="74">
        <f>COUNTIFS(缺陷明细!$A$2:$A$50000,$B$4,缺陷明细!$G$2:$G$50000,$C108,缺陷明细!$J$2:$J$50000,"验收测试",缺陷明细!$AB$2:$AB$50000,"&lt;&gt;丢弃",缺陷明细!$AB$2:$AB$50000,"&lt;&gt;设计如此",缺陷明细!$AB$2:$AB$50000,"&lt;&gt;重复Bug")</f>
        <v>0</v>
      </c>
      <c r="V108" s="75">
        <f>COUNTIFS(缺陷明细!$A$2:$A$50000,$B$4,缺陷明细!$G$2:$G$50000,$C108,缺陷明细!$Q$2:$Q$50000,"已关闭",缺陷明细!$J$2:$J$50000,"验收测试")</f>
        <v>0</v>
      </c>
      <c r="W108" s="75">
        <f>COUNTIFS(缺陷明细!$A$2:$A$50000,$B$4,缺陷明细!$G$2:$G$50000,$C108,缺陷明细!$J$2:$J$50000,"验收测试",缺陷明细!$K$2:$K$50000,"致命",缺陷明细!$AB$2:$AB$50000,"&lt;&gt;丢弃",缺陷明细!$AB$2:$AB$50000,"&lt;&gt;设计如此",缺陷明细!$AB$2:$AB$50000,"&lt;&gt;重复Bug")+COUNTIFS(缺陷明细!$A$2:$A$50000,$B$4,缺陷明细!$G$2:$G$50000,$C108,缺陷明细!$J$2:$J$50000,"验收测试",缺陷明细!$K$2:$K$50000,"严重",缺陷明细!$AB$2:$AB$50000,"&lt;&gt;丢弃",缺陷明细!$AB$2:$AB$50000,"&lt;&gt;设计如此",缺陷明细!$AB$2:$AB$50000,"&lt;&gt;重复Bug")</f>
        <v>0</v>
      </c>
      <c r="X108" s="76">
        <f>COUNTIFS(缺陷明细!$A$2:$A$50000,$B$4,缺陷明细!$G$2:$G$50000,$C108,缺陷明细!$Q$2:$Q$50000,"已关闭",缺陷明细!$J$2:$J$50000,"验收测试",缺陷明细!$K$2:$K$50000,"致命")+COUNTIFS(缺陷明细!$A$2:$A$50000,$B$4,缺陷明细!$G$2:$G$50000,$C108,缺陷明细!$Q$2:$Q$50000,"已关闭",缺陷明细!$J$2:$J$50000,"验收测试",缺陷明细!$K$2:$K$50000,"严重")</f>
        <v>0</v>
      </c>
      <c r="Y108" s="70">
        <f>COUNTIFS(缺陷明细!$A$2:$A$50000,$B$4,缺陷明细!$G$2:$G$50000,$C108,缺陷明细!$J$2:$J$50000,"运维测试",缺陷明细!$AB$2:$AB$50000,"&lt;&gt;丢弃",缺陷明细!$AB$2:$AB$50000,"&lt;&gt;设计如此",缺陷明细!$AB$2:$AB$50000,"&lt;&gt;重复Bug")</f>
        <v>0</v>
      </c>
      <c r="Z108" s="71">
        <f>COUNTIFS(缺陷明细!$A$2:$A$50000,$B$4,缺陷明细!$G$2:$G$50000,$C108,缺陷明细!$Q$2:$Q$50000,"已关闭",缺陷明细!$J$2:$J$50000,"运维测试")</f>
        <v>0</v>
      </c>
      <c r="AA108" s="72">
        <f>COUNTIFS(缺陷明细!$A$2:$A$50000,$B$4,缺陷明细!$G$2:$G$50000,$C108,缺陷明细!$J$2:$J$50000,"运维测试",缺陷明细!$K$2:$K$50000,"致命",缺陷明细!$AB$2:$AB$50000,"&lt;&gt;丢弃",缺陷明细!$AB$2:$AB$50000,"&lt;&gt;设计如此",缺陷明细!$AB$2:$AB$50000,"&lt;&gt;重复Bug")+COUNTIFS(缺陷明细!$A$2:$A$50000,$B$4,缺陷明细!$G$2:$G$50000,$C108,缺陷明细!$J$2:$J$50000,"运维测试",缺陷明细!$K$2:$K$50000,"严重",缺陷明细!$AB$2:$AB$50000,"&lt;&gt;丢弃",缺陷明细!$AB$2:$AB$50000,"&lt;&gt;设计如此",缺陷明细!$AB$2:$AB$50000,"&lt;&gt;重复Bug")</f>
        <v>0</v>
      </c>
      <c r="AB108" s="73">
        <f>COUNTIFS(缺陷明细!$A$2:$A$50000,$B$4,缺陷明细!$G$2:$G$50000,$C108,缺陷明细!$Q$2:$Q$50000,"已关闭",缺陷明细!$J$2:$J$50000,"运维测试",缺陷明细!$K$2:$K$50000,"致命")+COUNTIFS(缺陷明细!$A$2:$A$50000,$B$4,缺陷明细!$G$2:$G$50000,$C108,缺陷明细!$Q$2:$Q$50000,"已关闭",缺陷明细!$J$2:$J$50000,"运维测试",缺陷明细!$K$2:$K$50000,"严重")</f>
        <v>0</v>
      </c>
      <c r="AC108" s="68">
        <f t="shared" si="12"/>
        <v>0</v>
      </c>
      <c r="AD108" s="60">
        <f t="shared" si="13"/>
        <v>0</v>
      </c>
      <c r="AE108" s="60">
        <f t="shared" si="14"/>
        <v>0</v>
      </c>
      <c r="AF108" s="60">
        <f t="shared" si="15"/>
        <v>0</v>
      </c>
      <c r="AG108" s="60">
        <f t="shared" si="16"/>
        <v>0</v>
      </c>
      <c r="AH108" s="60">
        <f t="shared" si="17"/>
        <v>0</v>
      </c>
      <c r="AI108" s="60">
        <f t="shared" si="18"/>
        <v>0</v>
      </c>
      <c r="AJ108" s="61">
        <f t="shared" si="19"/>
        <v>0</v>
      </c>
      <c r="AK108" s="144"/>
    </row>
    <row r="109" spans="1:37">
      <c r="A109">
        <v>105</v>
      </c>
      <c r="B109" s="57">
        <v>609</v>
      </c>
      <c r="C109" s="58" t="s">
        <v>450</v>
      </c>
      <c r="D109" s="84" t="s">
        <v>343</v>
      </c>
      <c r="E109" s="82" t="s">
        <v>346</v>
      </c>
      <c r="F109" s="158">
        <v>8</v>
      </c>
      <c r="G109" s="159">
        <v>8</v>
      </c>
      <c r="H109" s="281">
        <f>COUNTIFS(缺陷明细!$A$2:$A$50000,$B$4,缺陷明细!$G$2:$G$50000,$C109,缺陷明细!$J$2:$J$50000,"评审",缺陷明细!$AB$2:$AB$50000,"&lt;&gt;丢弃",缺陷明细!$AB$2:$AB$50000,"&lt;&gt;设计如此",缺陷明细!$AB$2:$AB$50000,"&lt;&gt;重复Bug")</f>
        <v>0</v>
      </c>
      <c r="I109" s="154">
        <f>COUNTIFS(缺陷明细!$A$2:$A$50000,$B$4,缺陷明细!$G$2:$G$50000,$C109,缺陷明细!$Q$2:$Q$50000,"已关闭",缺陷明细!$J$2:$J$50000,"评审")</f>
        <v>0</v>
      </c>
      <c r="J109" s="154">
        <f>COUNTIFS(缺陷明细!$A$2:$A$50000,$B$4,缺陷明细!$G$2:$G$50000,$C109,缺陷明细!$J$2:$J$50000,"单元测试",缺陷明细!$AB$2:$AB$50000,"&lt;&gt;丢弃",缺陷明细!$AB$2:$AB$50000,"&lt;&gt;设计如此",缺陷明细!$AB$2:$AB$50000,"&lt;&gt;重复Bug")</f>
        <v>0</v>
      </c>
      <c r="K109" s="155">
        <f>COUNTIFS(缺陷明细!$A$2:$A$50000,$B$4,缺陷明细!$G$2:$G$50000,$C109,缺陷明细!$Q$2:$Q$50000,"已关闭",缺陷明细!$J$2:$J$50000,"单元测试")</f>
        <v>0</v>
      </c>
      <c r="L109" s="156"/>
      <c r="M109" s="157"/>
      <c r="N109" s="72">
        <f>COUNTIFS(缺陷明细!$A$2:$A$50000,$B$4,缺陷明细!$G$2:$G$50000,$C109,缺陷明细!$J$2:$J$50000,"系统测试案例评审",缺陷明细!$AB$2:$AB$50000,"&lt;&gt;丢弃",缺陷明细!$AB$2:$AB$50000,"&lt;&gt;设计如此",缺陷明细!$AB$2:$AB$50000,"&lt;&gt;重复Bug")</f>
        <v>0</v>
      </c>
      <c r="O109" s="72">
        <f>COUNTIFS(缺陷明细!$A$2:$A$50000,$B$4,缺陷明细!$G$2:$G$50000,$C109,缺陷明细!$Q$2:$Q$50000,"已关闭",缺陷明细!$J$2:$J$50000,"系统测试案例评审")</f>
        <v>0</v>
      </c>
      <c r="P109" s="72">
        <f>COUNTIFS(缺陷明细!$A$2:$A$50000,$B$4,缺陷明细!$G$2:$G$50000,$C109,缺陷明细!$J$2:$J$50000,"系统测试",缺陷明细!$AB$2:$AB$50000,"&lt;&gt;丢弃",缺陷明细!$AB$2:$AB$50000,"&lt;&gt;设计如此",缺陷明细!$AB$2:$AB$50000,"&lt;&gt;重复Bug")</f>
        <v>0</v>
      </c>
      <c r="Q109" s="72">
        <f>COUNTIFS(缺陷明细!$A$2:$A$50000,$B$4,缺陷明细!$G$2:$G$50000,$C109,缺陷明细!$Q$2:$Q$50000,"已关闭",缺陷明细!$J$2:$J$50000,"系统测试")</f>
        <v>0</v>
      </c>
      <c r="R109" s="296">
        <f>COUNTIFS(缺陷明细!$A$2:$A$50000,$B$4,缺陷明细!$G$2:$G$50000,$C109,缺陷明细!$AB$2:$AB$50000,"丢弃",缺陷明细!$J$2:$J$50000,"系统测试")+COUNTIFS(缺陷明细!$A$2:$A$50000,$B$4,缺陷明细!$G$2:$G$50000,$C109,缺陷明细!$AB$2:$AB$50000,"设计如此",缺陷明细!$J$2:$J$50000,"系统测试")+COUNTIFS(缺陷明细!$A$2:$A$50000,$B$4,缺陷明细!$G$2:$G$50000,$C109,缺陷明细!$AB$2:$AB$50000,"重复Bug",缺陷明细!$J$2:$J$50000,"系统测试")</f>
        <v>0</v>
      </c>
      <c r="S109" s="72">
        <f>COUNTIFS(缺陷明细!$A$2:$A$50000,$B$4,缺陷明细!$G$2:$G$50000,$C109,缺陷明细!$J$2:$J$50000,"系统测试",缺陷明细!$K$2:$K$50000,"致命",缺陷明细!$AB$2:$AB$50000,"&lt;&gt;丢弃",缺陷明细!$AB$2:$AB$50000,"&lt;&gt;设计如此",缺陷明细!$AB$2:$AB$50000,"&lt;&gt;重复Bug")+COUNTIFS(缺陷明细!$A$2:$A$50000,$B$4,缺陷明细!$G$2:$G$50000,$C109,缺陷明细!$J$2:$J$50000,"系统测试",缺陷明细!$K$2:$K$50000,"严重",缺陷明细!$AB$2:$AB$50000,"&lt;&gt;丢弃",缺陷明细!$AB$2:$AB$50000,"&lt;&gt;设计如此",缺陷明细!$AB$2:$AB$50000,"&lt;&gt;重复Bug")</f>
        <v>0</v>
      </c>
      <c r="T109" s="73">
        <f>COUNTIFS(缺陷明细!$A$2:$A$50000,$B$4,缺陷明细!$G$2:$G$50000,$C109,缺陷明细!$Q$2:$Q$50000,"已关闭",缺陷明细!$J$2:$J$50000,"系统测试",缺陷明细!$K$2:$K$50000,"致命")+COUNTIFS(缺陷明细!$A$2:$A$50000,$B$4,缺陷明细!$G$2:$G$50000,$C109,缺陷明细!$Q$2:$Q$50000,"已关闭",缺陷明细!$J$2:$J$50000,"系统测试",缺陷明细!$K$2:$K$50000,"严重")</f>
        <v>0</v>
      </c>
      <c r="U109" s="74">
        <f>COUNTIFS(缺陷明细!$A$2:$A$50000,$B$4,缺陷明细!$G$2:$G$50000,$C109,缺陷明细!$J$2:$J$50000,"验收测试",缺陷明细!$AB$2:$AB$50000,"&lt;&gt;丢弃",缺陷明细!$AB$2:$AB$50000,"&lt;&gt;设计如此",缺陷明细!$AB$2:$AB$50000,"&lt;&gt;重复Bug")</f>
        <v>0</v>
      </c>
      <c r="V109" s="75">
        <f>COUNTIFS(缺陷明细!$A$2:$A$50000,$B$4,缺陷明细!$G$2:$G$50000,$C109,缺陷明细!$Q$2:$Q$50000,"已关闭",缺陷明细!$J$2:$J$50000,"验收测试")</f>
        <v>0</v>
      </c>
      <c r="W109" s="75">
        <f>COUNTIFS(缺陷明细!$A$2:$A$50000,$B$4,缺陷明细!$G$2:$G$50000,$C109,缺陷明细!$J$2:$J$50000,"验收测试",缺陷明细!$K$2:$K$50000,"致命",缺陷明细!$AB$2:$AB$50000,"&lt;&gt;丢弃",缺陷明细!$AB$2:$AB$50000,"&lt;&gt;设计如此",缺陷明细!$AB$2:$AB$50000,"&lt;&gt;重复Bug")+COUNTIFS(缺陷明细!$A$2:$A$50000,$B$4,缺陷明细!$G$2:$G$50000,$C109,缺陷明细!$J$2:$J$50000,"验收测试",缺陷明细!$K$2:$K$50000,"严重",缺陷明细!$AB$2:$AB$50000,"&lt;&gt;丢弃",缺陷明细!$AB$2:$AB$50000,"&lt;&gt;设计如此",缺陷明细!$AB$2:$AB$50000,"&lt;&gt;重复Bug")</f>
        <v>0</v>
      </c>
      <c r="X109" s="76">
        <f>COUNTIFS(缺陷明细!$A$2:$A$50000,$B$4,缺陷明细!$G$2:$G$50000,$C109,缺陷明细!$Q$2:$Q$50000,"已关闭",缺陷明细!$J$2:$J$50000,"验收测试",缺陷明细!$K$2:$K$50000,"致命")+COUNTIFS(缺陷明细!$A$2:$A$50000,$B$4,缺陷明细!$G$2:$G$50000,$C109,缺陷明细!$Q$2:$Q$50000,"已关闭",缺陷明细!$J$2:$J$50000,"验收测试",缺陷明细!$K$2:$K$50000,"严重")</f>
        <v>0</v>
      </c>
      <c r="Y109" s="70">
        <f>COUNTIFS(缺陷明细!$A$2:$A$50000,$B$4,缺陷明细!$G$2:$G$50000,$C109,缺陷明细!$J$2:$J$50000,"运维测试",缺陷明细!$AB$2:$AB$50000,"&lt;&gt;丢弃",缺陷明细!$AB$2:$AB$50000,"&lt;&gt;设计如此",缺陷明细!$AB$2:$AB$50000,"&lt;&gt;重复Bug")</f>
        <v>0</v>
      </c>
      <c r="Z109" s="71">
        <f>COUNTIFS(缺陷明细!$A$2:$A$50000,$B$4,缺陷明细!$G$2:$G$50000,$C109,缺陷明细!$Q$2:$Q$50000,"已关闭",缺陷明细!$J$2:$J$50000,"运维测试")</f>
        <v>0</v>
      </c>
      <c r="AA109" s="72">
        <f>COUNTIFS(缺陷明细!$A$2:$A$50000,$B$4,缺陷明细!$G$2:$G$50000,$C109,缺陷明细!$J$2:$J$50000,"运维测试",缺陷明细!$K$2:$K$50000,"致命",缺陷明细!$AB$2:$AB$50000,"&lt;&gt;丢弃",缺陷明细!$AB$2:$AB$50000,"&lt;&gt;设计如此",缺陷明细!$AB$2:$AB$50000,"&lt;&gt;重复Bug")+COUNTIFS(缺陷明细!$A$2:$A$50000,$B$4,缺陷明细!$G$2:$G$50000,$C109,缺陷明细!$J$2:$J$50000,"运维测试",缺陷明细!$K$2:$K$50000,"严重",缺陷明细!$AB$2:$AB$50000,"&lt;&gt;丢弃",缺陷明细!$AB$2:$AB$50000,"&lt;&gt;设计如此",缺陷明细!$AB$2:$AB$50000,"&lt;&gt;重复Bug")</f>
        <v>0</v>
      </c>
      <c r="AB109" s="73">
        <f>COUNTIFS(缺陷明细!$A$2:$A$50000,$B$4,缺陷明细!$G$2:$G$50000,$C109,缺陷明细!$Q$2:$Q$50000,"已关闭",缺陷明细!$J$2:$J$50000,"运维测试",缺陷明细!$K$2:$K$50000,"致命")+COUNTIFS(缺陷明细!$A$2:$A$50000,$B$4,缺陷明细!$G$2:$G$50000,$C109,缺陷明细!$Q$2:$Q$50000,"已关闭",缺陷明细!$J$2:$J$50000,"运维测试",缺陷明细!$K$2:$K$50000,"严重")</f>
        <v>0</v>
      </c>
      <c r="AC109" s="68">
        <f t="shared" si="12"/>
        <v>0</v>
      </c>
      <c r="AD109" s="60">
        <f t="shared" si="13"/>
        <v>0</v>
      </c>
      <c r="AE109" s="60">
        <f t="shared" si="14"/>
        <v>0</v>
      </c>
      <c r="AF109" s="60">
        <f t="shared" si="15"/>
        <v>0</v>
      </c>
      <c r="AG109" s="60">
        <f t="shared" si="16"/>
        <v>0</v>
      </c>
      <c r="AH109" s="60">
        <f t="shared" si="17"/>
        <v>0</v>
      </c>
      <c r="AI109" s="60">
        <f t="shared" si="18"/>
        <v>0</v>
      </c>
      <c r="AJ109" s="61">
        <f t="shared" si="19"/>
        <v>0</v>
      </c>
      <c r="AK109" s="144"/>
    </row>
    <row r="110" spans="1:37">
      <c r="A110">
        <v>106</v>
      </c>
      <c r="B110" s="57">
        <v>610</v>
      </c>
      <c r="C110" s="58" t="s">
        <v>451</v>
      </c>
      <c r="D110" s="84" t="s">
        <v>343</v>
      </c>
      <c r="E110" s="82" t="s">
        <v>346</v>
      </c>
      <c r="F110" s="158">
        <v>4</v>
      </c>
      <c r="G110" s="159">
        <v>2</v>
      </c>
      <c r="H110" s="281">
        <f>COUNTIFS(缺陷明细!$A$2:$A$50000,$B$4,缺陷明细!$G$2:$G$50000,$C110,缺陷明细!$J$2:$J$50000,"评审",缺陷明细!$AB$2:$AB$50000,"&lt;&gt;丢弃",缺陷明细!$AB$2:$AB$50000,"&lt;&gt;设计如此",缺陷明细!$AB$2:$AB$50000,"&lt;&gt;重复Bug")</f>
        <v>0</v>
      </c>
      <c r="I110" s="154">
        <f>COUNTIFS(缺陷明细!$A$2:$A$50000,$B$4,缺陷明细!$G$2:$G$50000,$C110,缺陷明细!$Q$2:$Q$50000,"已关闭",缺陷明细!$J$2:$J$50000,"评审")</f>
        <v>0</v>
      </c>
      <c r="J110" s="154">
        <f>COUNTIFS(缺陷明细!$A$2:$A$50000,$B$4,缺陷明细!$G$2:$G$50000,$C110,缺陷明细!$J$2:$J$50000,"单元测试",缺陷明细!$AB$2:$AB$50000,"&lt;&gt;丢弃",缺陷明细!$AB$2:$AB$50000,"&lt;&gt;设计如此",缺陷明细!$AB$2:$AB$50000,"&lt;&gt;重复Bug")</f>
        <v>0</v>
      </c>
      <c r="K110" s="155">
        <f>COUNTIFS(缺陷明细!$A$2:$A$50000,$B$4,缺陷明细!$G$2:$G$50000,$C110,缺陷明细!$Q$2:$Q$50000,"已关闭",缺陷明细!$J$2:$J$50000,"单元测试")</f>
        <v>0</v>
      </c>
      <c r="L110" s="156"/>
      <c r="M110" s="157"/>
      <c r="N110" s="72">
        <f>COUNTIFS(缺陷明细!$A$2:$A$50000,$B$4,缺陷明细!$G$2:$G$50000,$C110,缺陷明细!$J$2:$J$50000,"系统测试案例评审",缺陷明细!$AB$2:$AB$50000,"&lt;&gt;丢弃",缺陷明细!$AB$2:$AB$50000,"&lt;&gt;设计如此",缺陷明细!$AB$2:$AB$50000,"&lt;&gt;重复Bug")</f>
        <v>0</v>
      </c>
      <c r="O110" s="72">
        <f>COUNTIFS(缺陷明细!$A$2:$A$50000,$B$4,缺陷明细!$G$2:$G$50000,$C110,缺陷明细!$Q$2:$Q$50000,"已关闭",缺陷明细!$J$2:$J$50000,"系统测试案例评审")</f>
        <v>0</v>
      </c>
      <c r="P110" s="72">
        <f>COUNTIFS(缺陷明细!$A$2:$A$50000,$B$4,缺陷明细!$G$2:$G$50000,$C110,缺陷明细!$J$2:$J$50000,"系统测试",缺陷明细!$AB$2:$AB$50000,"&lt;&gt;丢弃",缺陷明细!$AB$2:$AB$50000,"&lt;&gt;设计如此",缺陷明细!$AB$2:$AB$50000,"&lt;&gt;重复Bug")</f>
        <v>0</v>
      </c>
      <c r="Q110" s="72">
        <f>COUNTIFS(缺陷明细!$A$2:$A$50000,$B$4,缺陷明细!$G$2:$G$50000,$C110,缺陷明细!$Q$2:$Q$50000,"已关闭",缺陷明细!$J$2:$J$50000,"系统测试")</f>
        <v>0</v>
      </c>
      <c r="R110" s="296">
        <f>COUNTIFS(缺陷明细!$A$2:$A$50000,$B$4,缺陷明细!$G$2:$G$50000,$C110,缺陷明细!$AB$2:$AB$50000,"丢弃",缺陷明细!$J$2:$J$50000,"系统测试")+COUNTIFS(缺陷明细!$A$2:$A$50000,$B$4,缺陷明细!$G$2:$G$50000,$C110,缺陷明细!$AB$2:$AB$50000,"设计如此",缺陷明细!$J$2:$J$50000,"系统测试")+COUNTIFS(缺陷明细!$A$2:$A$50000,$B$4,缺陷明细!$G$2:$G$50000,$C110,缺陷明细!$AB$2:$AB$50000,"重复Bug",缺陷明细!$J$2:$J$50000,"系统测试")</f>
        <v>0</v>
      </c>
      <c r="S110" s="72">
        <f>COUNTIFS(缺陷明细!$A$2:$A$50000,$B$4,缺陷明细!$G$2:$G$50000,$C110,缺陷明细!$J$2:$J$50000,"系统测试",缺陷明细!$K$2:$K$50000,"致命",缺陷明细!$AB$2:$AB$50000,"&lt;&gt;丢弃",缺陷明细!$AB$2:$AB$50000,"&lt;&gt;设计如此",缺陷明细!$AB$2:$AB$50000,"&lt;&gt;重复Bug")+COUNTIFS(缺陷明细!$A$2:$A$50000,$B$4,缺陷明细!$G$2:$G$50000,$C110,缺陷明细!$J$2:$J$50000,"系统测试",缺陷明细!$K$2:$K$50000,"严重",缺陷明细!$AB$2:$AB$50000,"&lt;&gt;丢弃",缺陷明细!$AB$2:$AB$50000,"&lt;&gt;设计如此",缺陷明细!$AB$2:$AB$50000,"&lt;&gt;重复Bug")</f>
        <v>0</v>
      </c>
      <c r="T110" s="73">
        <f>COUNTIFS(缺陷明细!$A$2:$A$50000,$B$4,缺陷明细!$G$2:$G$50000,$C110,缺陷明细!$Q$2:$Q$50000,"已关闭",缺陷明细!$J$2:$J$50000,"系统测试",缺陷明细!$K$2:$K$50000,"致命")+COUNTIFS(缺陷明细!$A$2:$A$50000,$B$4,缺陷明细!$G$2:$G$50000,$C110,缺陷明细!$Q$2:$Q$50000,"已关闭",缺陷明细!$J$2:$J$50000,"系统测试",缺陷明细!$K$2:$K$50000,"严重")</f>
        <v>0</v>
      </c>
      <c r="U110" s="74">
        <f>COUNTIFS(缺陷明细!$A$2:$A$50000,$B$4,缺陷明细!$G$2:$G$50000,$C110,缺陷明细!$J$2:$J$50000,"验收测试",缺陷明细!$AB$2:$AB$50000,"&lt;&gt;丢弃",缺陷明细!$AB$2:$AB$50000,"&lt;&gt;设计如此",缺陷明细!$AB$2:$AB$50000,"&lt;&gt;重复Bug")</f>
        <v>0</v>
      </c>
      <c r="V110" s="75">
        <f>COUNTIFS(缺陷明细!$A$2:$A$50000,$B$4,缺陷明细!$G$2:$G$50000,$C110,缺陷明细!$Q$2:$Q$50000,"已关闭",缺陷明细!$J$2:$J$50000,"验收测试")</f>
        <v>0</v>
      </c>
      <c r="W110" s="75">
        <f>COUNTIFS(缺陷明细!$A$2:$A$50000,$B$4,缺陷明细!$G$2:$G$50000,$C110,缺陷明细!$J$2:$J$50000,"验收测试",缺陷明细!$K$2:$K$50000,"致命",缺陷明细!$AB$2:$AB$50000,"&lt;&gt;丢弃",缺陷明细!$AB$2:$AB$50000,"&lt;&gt;设计如此",缺陷明细!$AB$2:$AB$50000,"&lt;&gt;重复Bug")+COUNTIFS(缺陷明细!$A$2:$A$50000,$B$4,缺陷明细!$G$2:$G$50000,$C110,缺陷明细!$J$2:$J$50000,"验收测试",缺陷明细!$K$2:$K$50000,"严重",缺陷明细!$AB$2:$AB$50000,"&lt;&gt;丢弃",缺陷明细!$AB$2:$AB$50000,"&lt;&gt;设计如此",缺陷明细!$AB$2:$AB$50000,"&lt;&gt;重复Bug")</f>
        <v>0</v>
      </c>
      <c r="X110" s="76">
        <f>COUNTIFS(缺陷明细!$A$2:$A$50000,$B$4,缺陷明细!$G$2:$G$50000,$C110,缺陷明细!$Q$2:$Q$50000,"已关闭",缺陷明细!$J$2:$J$50000,"验收测试",缺陷明细!$K$2:$K$50000,"致命")+COUNTIFS(缺陷明细!$A$2:$A$50000,$B$4,缺陷明细!$G$2:$G$50000,$C110,缺陷明细!$Q$2:$Q$50000,"已关闭",缺陷明细!$J$2:$J$50000,"验收测试",缺陷明细!$K$2:$K$50000,"严重")</f>
        <v>0</v>
      </c>
      <c r="Y110" s="70">
        <f>COUNTIFS(缺陷明细!$A$2:$A$50000,$B$4,缺陷明细!$G$2:$G$50000,$C110,缺陷明细!$J$2:$J$50000,"运维测试",缺陷明细!$AB$2:$AB$50000,"&lt;&gt;丢弃",缺陷明细!$AB$2:$AB$50000,"&lt;&gt;设计如此",缺陷明细!$AB$2:$AB$50000,"&lt;&gt;重复Bug")</f>
        <v>0</v>
      </c>
      <c r="Z110" s="71">
        <f>COUNTIFS(缺陷明细!$A$2:$A$50000,$B$4,缺陷明细!$G$2:$G$50000,$C110,缺陷明细!$Q$2:$Q$50000,"已关闭",缺陷明细!$J$2:$J$50000,"运维测试")</f>
        <v>0</v>
      </c>
      <c r="AA110" s="72">
        <f>COUNTIFS(缺陷明细!$A$2:$A$50000,$B$4,缺陷明细!$G$2:$G$50000,$C110,缺陷明细!$J$2:$J$50000,"运维测试",缺陷明细!$K$2:$K$50000,"致命",缺陷明细!$AB$2:$AB$50000,"&lt;&gt;丢弃",缺陷明细!$AB$2:$AB$50000,"&lt;&gt;设计如此",缺陷明细!$AB$2:$AB$50000,"&lt;&gt;重复Bug")+COUNTIFS(缺陷明细!$A$2:$A$50000,$B$4,缺陷明细!$G$2:$G$50000,$C110,缺陷明细!$J$2:$J$50000,"运维测试",缺陷明细!$K$2:$K$50000,"严重",缺陷明细!$AB$2:$AB$50000,"&lt;&gt;丢弃",缺陷明细!$AB$2:$AB$50000,"&lt;&gt;设计如此",缺陷明细!$AB$2:$AB$50000,"&lt;&gt;重复Bug")</f>
        <v>0</v>
      </c>
      <c r="AB110" s="73">
        <f>COUNTIFS(缺陷明细!$A$2:$A$50000,$B$4,缺陷明细!$G$2:$G$50000,$C110,缺陷明细!$Q$2:$Q$50000,"已关闭",缺陷明细!$J$2:$J$50000,"运维测试",缺陷明细!$K$2:$K$50000,"致命")+COUNTIFS(缺陷明细!$A$2:$A$50000,$B$4,缺陷明细!$G$2:$G$50000,$C110,缺陷明细!$Q$2:$Q$50000,"已关闭",缺陷明细!$J$2:$J$50000,"运维测试",缺陷明细!$K$2:$K$50000,"严重")</f>
        <v>0</v>
      </c>
      <c r="AC110" s="68">
        <f t="shared" si="12"/>
        <v>0</v>
      </c>
      <c r="AD110" s="60">
        <f t="shared" si="13"/>
        <v>0</v>
      </c>
      <c r="AE110" s="60">
        <f t="shared" si="14"/>
        <v>0</v>
      </c>
      <c r="AF110" s="60">
        <f t="shared" si="15"/>
        <v>0</v>
      </c>
      <c r="AG110" s="60">
        <f t="shared" si="16"/>
        <v>0</v>
      </c>
      <c r="AH110" s="60">
        <f t="shared" si="17"/>
        <v>0</v>
      </c>
      <c r="AI110" s="60">
        <f t="shared" si="18"/>
        <v>0</v>
      </c>
      <c r="AJ110" s="61">
        <f t="shared" si="19"/>
        <v>0</v>
      </c>
      <c r="AK110" s="144"/>
    </row>
    <row r="111" spans="1:37">
      <c r="A111">
        <v>107</v>
      </c>
      <c r="B111" s="57">
        <v>611</v>
      </c>
      <c r="C111" s="58" t="s">
        <v>452</v>
      </c>
      <c r="D111" s="84" t="s">
        <v>343</v>
      </c>
      <c r="E111" s="82" t="s">
        <v>346</v>
      </c>
      <c r="F111" s="158">
        <v>4</v>
      </c>
      <c r="G111" s="159">
        <v>4</v>
      </c>
      <c r="H111" s="281">
        <f>COUNTIFS(缺陷明细!$A$2:$A$50000,$B$4,缺陷明细!$G$2:$G$50000,$C111,缺陷明细!$J$2:$J$50000,"评审",缺陷明细!$AB$2:$AB$50000,"&lt;&gt;丢弃",缺陷明细!$AB$2:$AB$50000,"&lt;&gt;设计如此",缺陷明细!$AB$2:$AB$50000,"&lt;&gt;重复Bug")</f>
        <v>0</v>
      </c>
      <c r="I111" s="154">
        <f>COUNTIFS(缺陷明细!$A$2:$A$50000,$B$4,缺陷明细!$G$2:$G$50000,$C111,缺陷明细!$Q$2:$Q$50000,"已关闭",缺陷明细!$J$2:$J$50000,"评审")</f>
        <v>0</v>
      </c>
      <c r="J111" s="154">
        <f>COUNTIFS(缺陷明细!$A$2:$A$50000,$B$4,缺陷明细!$G$2:$G$50000,$C111,缺陷明细!$J$2:$J$50000,"单元测试",缺陷明细!$AB$2:$AB$50000,"&lt;&gt;丢弃",缺陷明细!$AB$2:$AB$50000,"&lt;&gt;设计如此",缺陷明细!$AB$2:$AB$50000,"&lt;&gt;重复Bug")</f>
        <v>0</v>
      </c>
      <c r="K111" s="155">
        <f>COUNTIFS(缺陷明细!$A$2:$A$50000,$B$4,缺陷明细!$G$2:$G$50000,$C111,缺陷明细!$Q$2:$Q$50000,"已关闭",缺陷明细!$J$2:$J$50000,"单元测试")</f>
        <v>0</v>
      </c>
      <c r="L111" s="156"/>
      <c r="M111" s="157"/>
      <c r="N111" s="72">
        <f>COUNTIFS(缺陷明细!$A$2:$A$50000,$B$4,缺陷明细!$G$2:$G$50000,$C111,缺陷明细!$J$2:$J$50000,"系统测试案例评审",缺陷明细!$AB$2:$AB$50000,"&lt;&gt;丢弃",缺陷明细!$AB$2:$AB$50000,"&lt;&gt;设计如此",缺陷明细!$AB$2:$AB$50000,"&lt;&gt;重复Bug")</f>
        <v>0</v>
      </c>
      <c r="O111" s="72">
        <f>COUNTIFS(缺陷明细!$A$2:$A$50000,$B$4,缺陷明细!$G$2:$G$50000,$C111,缺陷明细!$Q$2:$Q$50000,"已关闭",缺陷明细!$J$2:$J$50000,"系统测试案例评审")</f>
        <v>0</v>
      </c>
      <c r="P111" s="72">
        <f>COUNTIFS(缺陷明细!$A$2:$A$50000,$B$4,缺陷明细!$G$2:$G$50000,$C111,缺陷明细!$J$2:$J$50000,"系统测试",缺陷明细!$AB$2:$AB$50000,"&lt;&gt;丢弃",缺陷明细!$AB$2:$AB$50000,"&lt;&gt;设计如此",缺陷明细!$AB$2:$AB$50000,"&lt;&gt;重复Bug")</f>
        <v>0</v>
      </c>
      <c r="Q111" s="72">
        <f>COUNTIFS(缺陷明细!$A$2:$A$50000,$B$4,缺陷明细!$G$2:$G$50000,$C111,缺陷明细!$Q$2:$Q$50000,"已关闭",缺陷明细!$J$2:$J$50000,"系统测试")</f>
        <v>0</v>
      </c>
      <c r="R111" s="296">
        <f>COUNTIFS(缺陷明细!$A$2:$A$50000,$B$4,缺陷明细!$G$2:$G$50000,$C111,缺陷明细!$AB$2:$AB$50000,"丢弃",缺陷明细!$J$2:$J$50000,"系统测试")+COUNTIFS(缺陷明细!$A$2:$A$50000,$B$4,缺陷明细!$G$2:$G$50000,$C111,缺陷明细!$AB$2:$AB$50000,"设计如此",缺陷明细!$J$2:$J$50000,"系统测试")+COUNTIFS(缺陷明细!$A$2:$A$50000,$B$4,缺陷明细!$G$2:$G$50000,$C111,缺陷明细!$AB$2:$AB$50000,"重复Bug",缺陷明细!$J$2:$J$50000,"系统测试")</f>
        <v>0</v>
      </c>
      <c r="S111" s="72">
        <f>COUNTIFS(缺陷明细!$A$2:$A$50000,$B$4,缺陷明细!$G$2:$G$50000,$C111,缺陷明细!$J$2:$J$50000,"系统测试",缺陷明细!$K$2:$K$50000,"致命",缺陷明细!$AB$2:$AB$50000,"&lt;&gt;丢弃",缺陷明细!$AB$2:$AB$50000,"&lt;&gt;设计如此",缺陷明细!$AB$2:$AB$50000,"&lt;&gt;重复Bug")+COUNTIFS(缺陷明细!$A$2:$A$50000,$B$4,缺陷明细!$G$2:$G$50000,$C111,缺陷明细!$J$2:$J$50000,"系统测试",缺陷明细!$K$2:$K$50000,"严重",缺陷明细!$AB$2:$AB$50000,"&lt;&gt;丢弃",缺陷明细!$AB$2:$AB$50000,"&lt;&gt;设计如此",缺陷明细!$AB$2:$AB$50000,"&lt;&gt;重复Bug")</f>
        <v>0</v>
      </c>
      <c r="T111" s="73">
        <f>COUNTIFS(缺陷明细!$A$2:$A$50000,$B$4,缺陷明细!$G$2:$G$50000,$C111,缺陷明细!$Q$2:$Q$50000,"已关闭",缺陷明细!$J$2:$J$50000,"系统测试",缺陷明细!$K$2:$K$50000,"致命")+COUNTIFS(缺陷明细!$A$2:$A$50000,$B$4,缺陷明细!$G$2:$G$50000,$C111,缺陷明细!$Q$2:$Q$50000,"已关闭",缺陷明细!$J$2:$J$50000,"系统测试",缺陷明细!$K$2:$K$50000,"严重")</f>
        <v>0</v>
      </c>
      <c r="U111" s="74">
        <f>COUNTIFS(缺陷明细!$A$2:$A$50000,$B$4,缺陷明细!$G$2:$G$50000,$C111,缺陷明细!$J$2:$J$50000,"验收测试",缺陷明细!$AB$2:$AB$50000,"&lt;&gt;丢弃",缺陷明细!$AB$2:$AB$50000,"&lt;&gt;设计如此",缺陷明细!$AB$2:$AB$50000,"&lt;&gt;重复Bug")</f>
        <v>0</v>
      </c>
      <c r="V111" s="75">
        <f>COUNTIFS(缺陷明细!$A$2:$A$50000,$B$4,缺陷明细!$G$2:$G$50000,$C111,缺陷明细!$Q$2:$Q$50000,"已关闭",缺陷明细!$J$2:$J$50000,"验收测试")</f>
        <v>0</v>
      </c>
      <c r="W111" s="75">
        <f>COUNTIFS(缺陷明细!$A$2:$A$50000,$B$4,缺陷明细!$G$2:$G$50000,$C111,缺陷明细!$J$2:$J$50000,"验收测试",缺陷明细!$K$2:$K$50000,"致命",缺陷明细!$AB$2:$AB$50000,"&lt;&gt;丢弃",缺陷明细!$AB$2:$AB$50000,"&lt;&gt;设计如此",缺陷明细!$AB$2:$AB$50000,"&lt;&gt;重复Bug")+COUNTIFS(缺陷明细!$A$2:$A$50000,$B$4,缺陷明细!$G$2:$G$50000,$C111,缺陷明细!$J$2:$J$50000,"验收测试",缺陷明细!$K$2:$K$50000,"严重",缺陷明细!$AB$2:$AB$50000,"&lt;&gt;丢弃",缺陷明细!$AB$2:$AB$50000,"&lt;&gt;设计如此",缺陷明细!$AB$2:$AB$50000,"&lt;&gt;重复Bug")</f>
        <v>0</v>
      </c>
      <c r="X111" s="76">
        <f>COUNTIFS(缺陷明细!$A$2:$A$50000,$B$4,缺陷明细!$G$2:$G$50000,$C111,缺陷明细!$Q$2:$Q$50000,"已关闭",缺陷明细!$J$2:$J$50000,"验收测试",缺陷明细!$K$2:$K$50000,"致命")+COUNTIFS(缺陷明细!$A$2:$A$50000,$B$4,缺陷明细!$G$2:$G$50000,$C111,缺陷明细!$Q$2:$Q$50000,"已关闭",缺陷明细!$J$2:$J$50000,"验收测试",缺陷明细!$K$2:$K$50000,"严重")</f>
        <v>0</v>
      </c>
      <c r="Y111" s="70">
        <f>COUNTIFS(缺陷明细!$A$2:$A$50000,$B$4,缺陷明细!$G$2:$G$50000,$C111,缺陷明细!$J$2:$J$50000,"运维测试",缺陷明细!$AB$2:$AB$50000,"&lt;&gt;丢弃",缺陷明细!$AB$2:$AB$50000,"&lt;&gt;设计如此",缺陷明细!$AB$2:$AB$50000,"&lt;&gt;重复Bug")</f>
        <v>0</v>
      </c>
      <c r="Z111" s="71">
        <f>COUNTIFS(缺陷明细!$A$2:$A$50000,$B$4,缺陷明细!$G$2:$G$50000,$C111,缺陷明细!$Q$2:$Q$50000,"已关闭",缺陷明细!$J$2:$J$50000,"运维测试")</f>
        <v>0</v>
      </c>
      <c r="AA111" s="72">
        <f>COUNTIFS(缺陷明细!$A$2:$A$50000,$B$4,缺陷明细!$G$2:$G$50000,$C111,缺陷明细!$J$2:$J$50000,"运维测试",缺陷明细!$K$2:$K$50000,"致命",缺陷明细!$AB$2:$AB$50000,"&lt;&gt;丢弃",缺陷明细!$AB$2:$AB$50000,"&lt;&gt;设计如此",缺陷明细!$AB$2:$AB$50000,"&lt;&gt;重复Bug")+COUNTIFS(缺陷明细!$A$2:$A$50000,$B$4,缺陷明细!$G$2:$G$50000,$C111,缺陷明细!$J$2:$J$50000,"运维测试",缺陷明细!$K$2:$K$50000,"严重",缺陷明细!$AB$2:$AB$50000,"&lt;&gt;丢弃",缺陷明细!$AB$2:$AB$50000,"&lt;&gt;设计如此",缺陷明细!$AB$2:$AB$50000,"&lt;&gt;重复Bug")</f>
        <v>0</v>
      </c>
      <c r="AB111" s="73">
        <f>COUNTIFS(缺陷明细!$A$2:$A$50000,$B$4,缺陷明细!$G$2:$G$50000,$C111,缺陷明细!$Q$2:$Q$50000,"已关闭",缺陷明细!$J$2:$J$50000,"运维测试",缺陷明细!$K$2:$K$50000,"致命")+COUNTIFS(缺陷明细!$A$2:$A$50000,$B$4,缺陷明细!$G$2:$G$50000,$C111,缺陷明细!$Q$2:$Q$50000,"已关闭",缺陷明细!$J$2:$J$50000,"运维测试",缺陷明细!$K$2:$K$50000,"严重")</f>
        <v>0</v>
      </c>
      <c r="AC111" s="68">
        <f t="shared" si="12"/>
        <v>0</v>
      </c>
      <c r="AD111" s="60">
        <f t="shared" si="13"/>
        <v>0</v>
      </c>
      <c r="AE111" s="60">
        <f t="shared" si="14"/>
        <v>0</v>
      </c>
      <c r="AF111" s="60">
        <f t="shared" si="15"/>
        <v>0</v>
      </c>
      <c r="AG111" s="60">
        <f t="shared" si="16"/>
        <v>0</v>
      </c>
      <c r="AH111" s="60">
        <f t="shared" si="17"/>
        <v>0</v>
      </c>
      <c r="AI111" s="60">
        <f t="shared" si="18"/>
        <v>0</v>
      </c>
      <c r="AJ111" s="61">
        <f t="shared" si="19"/>
        <v>0</v>
      </c>
      <c r="AK111" s="144"/>
    </row>
    <row r="112" spans="1:37" ht="25.5">
      <c r="A112">
        <v>108</v>
      </c>
      <c r="B112" s="57">
        <v>613</v>
      </c>
      <c r="C112" s="58" t="s">
        <v>453</v>
      </c>
      <c r="D112" s="84" t="s">
        <v>343</v>
      </c>
      <c r="E112" s="82" t="s">
        <v>346</v>
      </c>
      <c r="F112" s="158">
        <v>4</v>
      </c>
      <c r="G112" s="159">
        <v>6</v>
      </c>
      <c r="H112" s="281">
        <f>COUNTIFS(缺陷明细!$A$2:$A$50000,$B$4,缺陷明细!$G$2:$G$50000,$C112,缺陷明细!$J$2:$J$50000,"评审",缺陷明细!$AB$2:$AB$50000,"&lt;&gt;丢弃",缺陷明细!$AB$2:$AB$50000,"&lt;&gt;设计如此",缺陷明细!$AB$2:$AB$50000,"&lt;&gt;重复Bug")</f>
        <v>0</v>
      </c>
      <c r="I112" s="154">
        <f>COUNTIFS(缺陷明细!$A$2:$A$50000,$B$4,缺陷明细!$G$2:$G$50000,$C112,缺陷明细!$Q$2:$Q$50000,"已关闭",缺陷明细!$J$2:$J$50000,"评审")</f>
        <v>0</v>
      </c>
      <c r="J112" s="154">
        <f>COUNTIFS(缺陷明细!$A$2:$A$50000,$B$4,缺陷明细!$G$2:$G$50000,$C112,缺陷明细!$J$2:$J$50000,"单元测试",缺陷明细!$AB$2:$AB$50000,"&lt;&gt;丢弃",缺陷明细!$AB$2:$AB$50000,"&lt;&gt;设计如此",缺陷明细!$AB$2:$AB$50000,"&lt;&gt;重复Bug")</f>
        <v>0</v>
      </c>
      <c r="K112" s="155">
        <f>COUNTIFS(缺陷明细!$A$2:$A$50000,$B$4,缺陷明细!$G$2:$G$50000,$C112,缺陷明细!$Q$2:$Q$50000,"已关闭",缺陷明细!$J$2:$J$50000,"单元测试")</f>
        <v>0</v>
      </c>
      <c r="L112" s="156"/>
      <c r="M112" s="157"/>
      <c r="N112" s="72">
        <f>COUNTIFS(缺陷明细!$A$2:$A$50000,$B$4,缺陷明细!$G$2:$G$50000,$C112,缺陷明细!$J$2:$J$50000,"系统测试案例评审",缺陷明细!$AB$2:$AB$50000,"&lt;&gt;丢弃",缺陷明细!$AB$2:$AB$50000,"&lt;&gt;设计如此",缺陷明细!$AB$2:$AB$50000,"&lt;&gt;重复Bug")</f>
        <v>0</v>
      </c>
      <c r="O112" s="72">
        <f>COUNTIFS(缺陷明细!$A$2:$A$50000,$B$4,缺陷明细!$G$2:$G$50000,$C112,缺陷明细!$Q$2:$Q$50000,"已关闭",缺陷明细!$J$2:$J$50000,"系统测试案例评审")</f>
        <v>0</v>
      </c>
      <c r="P112" s="72">
        <f>COUNTIFS(缺陷明细!$A$2:$A$50000,$B$4,缺陷明细!$G$2:$G$50000,$C112,缺陷明细!$J$2:$J$50000,"系统测试",缺陷明细!$AB$2:$AB$50000,"&lt;&gt;丢弃",缺陷明细!$AB$2:$AB$50000,"&lt;&gt;设计如此",缺陷明细!$AB$2:$AB$50000,"&lt;&gt;重复Bug")</f>
        <v>0</v>
      </c>
      <c r="Q112" s="72">
        <f>COUNTIFS(缺陷明细!$A$2:$A$50000,$B$4,缺陷明细!$G$2:$G$50000,$C112,缺陷明细!$Q$2:$Q$50000,"已关闭",缺陷明细!$J$2:$J$50000,"系统测试")</f>
        <v>0</v>
      </c>
      <c r="R112" s="296">
        <f>COUNTIFS(缺陷明细!$A$2:$A$50000,$B$4,缺陷明细!$G$2:$G$50000,$C112,缺陷明细!$AB$2:$AB$50000,"丢弃",缺陷明细!$J$2:$J$50000,"系统测试")+COUNTIFS(缺陷明细!$A$2:$A$50000,$B$4,缺陷明细!$G$2:$G$50000,$C112,缺陷明细!$AB$2:$AB$50000,"设计如此",缺陷明细!$J$2:$J$50000,"系统测试")+COUNTIFS(缺陷明细!$A$2:$A$50000,$B$4,缺陷明细!$G$2:$G$50000,$C112,缺陷明细!$AB$2:$AB$50000,"重复Bug",缺陷明细!$J$2:$J$50000,"系统测试")</f>
        <v>0</v>
      </c>
      <c r="S112" s="72">
        <f>COUNTIFS(缺陷明细!$A$2:$A$50000,$B$4,缺陷明细!$G$2:$G$50000,$C112,缺陷明细!$J$2:$J$50000,"系统测试",缺陷明细!$K$2:$K$50000,"致命",缺陷明细!$AB$2:$AB$50000,"&lt;&gt;丢弃",缺陷明细!$AB$2:$AB$50000,"&lt;&gt;设计如此",缺陷明细!$AB$2:$AB$50000,"&lt;&gt;重复Bug")+COUNTIFS(缺陷明细!$A$2:$A$50000,$B$4,缺陷明细!$G$2:$G$50000,$C112,缺陷明细!$J$2:$J$50000,"系统测试",缺陷明细!$K$2:$K$50000,"严重",缺陷明细!$AB$2:$AB$50000,"&lt;&gt;丢弃",缺陷明细!$AB$2:$AB$50000,"&lt;&gt;设计如此",缺陷明细!$AB$2:$AB$50000,"&lt;&gt;重复Bug")</f>
        <v>0</v>
      </c>
      <c r="T112" s="73">
        <f>COUNTIFS(缺陷明细!$A$2:$A$50000,$B$4,缺陷明细!$G$2:$G$50000,$C112,缺陷明细!$Q$2:$Q$50000,"已关闭",缺陷明细!$J$2:$J$50000,"系统测试",缺陷明细!$K$2:$K$50000,"致命")+COUNTIFS(缺陷明细!$A$2:$A$50000,$B$4,缺陷明细!$G$2:$G$50000,$C112,缺陷明细!$Q$2:$Q$50000,"已关闭",缺陷明细!$J$2:$J$50000,"系统测试",缺陷明细!$K$2:$K$50000,"严重")</f>
        <v>0</v>
      </c>
      <c r="U112" s="74">
        <f>COUNTIFS(缺陷明细!$A$2:$A$50000,$B$4,缺陷明细!$G$2:$G$50000,$C112,缺陷明细!$J$2:$J$50000,"验收测试",缺陷明细!$AB$2:$AB$50000,"&lt;&gt;丢弃",缺陷明细!$AB$2:$AB$50000,"&lt;&gt;设计如此",缺陷明细!$AB$2:$AB$50000,"&lt;&gt;重复Bug")</f>
        <v>0</v>
      </c>
      <c r="V112" s="75">
        <f>COUNTIFS(缺陷明细!$A$2:$A$50000,$B$4,缺陷明细!$G$2:$G$50000,$C112,缺陷明细!$Q$2:$Q$50000,"已关闭",缺陷明细!$J$2:$J$50000,"验收测试")</f>
        <v>0</v>
      </c>
      <c r="W112" s="75">
        <f>COUNTIFS(缺陷明细!$A$2:$A$50000,$B$4,缺陷明细!$G$2:$G$50000,$C112,缺陷明细!$J$2:$J$50000,"验收测试",缺陷明细!$K$2:$K$50000,"致命",缺陷明细!$AB$2:$AB$50000,"&lt;&gt;丢弃",缺陷明细!$AB$2:$AB$50000,"&lt;&gt;设计如此",缺陷明细!$AB$2:$AB$50000,"&lt;&gt;重复Bug")+COUNTIFS(缺陷明细!$A$2:$A$50000,$B$4,缺陷明细!$G$2:$G$50000,$C112,缺陷明细!$J$2:$J$50000,"验收测试",缺陷明细!$K$2:$K$50000,"严重",缺陷明细!$AB$2:$AB$50000,"&lt;&gt;丢弃",缺陷明细!$AB$2:$AB$50000,"&lt;&gt;设计如此",缺陷明细!$AB$2:$AB$50000,"&lt;&gt;重复Bug")</f>
        <v>0</v>
      </c>
      <c r="X112" s="76">
        <f>COUNTIFS(缺陷明细!$A$2:$A$50000,$B$4,缺陷明细!$G$2:$G$50000,$C112,缺陷明细!$Q$2:$Q$50000,"已关闭",缺陷明细!$J$2:$J$50000,"验收测试",缺陷明细!$K$2:$K$50000,"致命")+COUNTIFS(缺陷明细!$A$2:$A$50000,$B$4,缺陷明细!$G$2:$G$50000,$C112,缺陷明细!$Q$2:$Q$50000,"已关闭",缺陷明细!$J$2:$J$50000,"验收测试",缺陷明细!$K$2:$K$50000,"严重")</f>
        <v>0</v>
      </c>
      <c r="Y112" s="70">
        <f>COUNTIFS(缺陷明细!$A$2:$A$50000,$B$4,缺陷明细!$G$2:$G$50000,$C112,缺陷明细!$J$2:$J$50000,"运维测试",缺陷明细!$AB$2:$AB$50000,"&lt;&gt;丢弃",缺陷明细!$AB$2:$AB$50000,"&lt;&gt;设计如此",缺陷明细!$AB$2:$AB$50000,"&lt;&gt;重复Bug")</f>
        <v>0</v>
      </c>
      <c r="Z112" s="71">
        <f>COUNTIFS(缺陷明细!$A$2:$A$50000,$B$4,缺陷明细!$G$2:$G$50000,$C112,缺陷明细!$Q$2:$Q$50000,"已关闭",缺陷明细!$J$2:$J$50000,"运维测试")</f>
        <v>0</v>
      </c>
      <c r="AA112" s="72">
        <f>COUNTIFS(缺陷明细!$A$2:$A$50000,$B$4,缺陷明细!$G$2:$G$50000,$C112,缺陷明细!$J$2:$J$50000,"运维测试",缺陷明细!$K$2:$K$50000,"致命",缺陷明细!$AB$2:$AB$50000,"&lt;&gt;丢弃",缺陷明细!$AB$2:$AB$50000,"&lt;&gt;设计如此",缺陷明细!$AB$2:$AB$50000,"&lt;&gt;重复Bug")+COUNTIFS(缺陷明细!$A$2:$A$50000,$B$4,缺陷明细!$G$2:$G$50000,$C112,缺陷明细!$J$2:$J$50000,"运维测试",缺陷明细!$K$2:$K$50000,"严重",缺陷明细!$AB$2:$AB$50000,"&lt;&gt;丢弃",缺陷明细!$AB$2:$AB$50000,"&lt;&gt;设计如此",缺陷明细!$AB$2:$AB$50000,"&lt;&gt;重复Bug")</f>
        <v>0</v>
      </c>
      <c r="AB112" s="73">
        <f>COUNTIFS(缺陷明细!$A$2:$A$50000,$B$4,缺陷明细!$G$2:$G$50000,$C112,缺陷明细!$Q$2:$Q$50000,"已关闭",缺陷明细!$J$2:$J$50000,"运维测试",缺陷明细!$K$2:$K$50000,"致命")+COUNTIFS(缺陷明细!$A$2:$A$50000,$B$4,缺陷明细!$G$2:$G$50000,$C112,缺陷明细!$Q$2:$Q$50000,"已关闭",缺陷明细!$J$2:$J$50000,"运维测试",缺陷明细!$K$2:$K$50000,"严重")</f>
        <v>0</v>
      </c>
      <c r="AC112" s="68">
        <f t="shared" si="12"/>
        <v>0</v>
      </c>
      <c r="AD112" s="60">
        <f t="shared" si="13"/>
        <v>0</v>
      </c>
      <c r="AE112" s="60">
        <f t="shared" si="14"/>
        <v>0</v>
      </c>
      <c r="AF112" s="60">
        <f t="shared" si="15"/>
        <v>0</v>
      </c>
      <c r="AG112" s="60">
        <f t="shared" si="16"/>
        <v>0</v>
      </c>
      <c r="AH112" s="60">
        <f t="shared" si="17"/>
        <v>0</v>
      </c>
      <c r="AI112" s="60">
        <f t="shared" si="18"/>
        <v>0</v>
      </c>
      <c r="AJ112" s="61">
        <f t="shared" si="19"/>
        <v>0</v>
      </c>
      <c r="AK112" s="144"/>
    </row>
    <row r="113" spans="1:37">
      <c r="A113">
        <v>109</v>
      </c>
      <c r="B113" s="57">
        <v>622</v>
      </c>
      <c r="C113" s="58" t="s">
        <v>454</v>
      </c>
      <c r="D113" s="84" t="s">
        <v>343</v>
      </c>
      <c r="E113" s="82" t="s">
        <v>346</v>
      </c>
      <c r="F113" s="158">
        <v>8</v>
      </c>
      <c r="G113" s="159">
        <v>6</v>
      </c>
      <c r="H113" s="281">
        <f>COUNTIFS(缺陷明细!$A$2:$A$50000,$B$4,缺陷明细!$G$2:$G$50000,$C113,缺陷明细!$J$2:$J$50000,"评审",缺陷明细!$AB$2:$AB$50000,"&lt;&gt;丢弃",缺陷明细!$AB$2:$AB$50000,"&lt;&gt;设计如此",缺陷明细!$AB$2:$AB$50000,"&lt;&gt;重复Bug")</f>
        <v>0</v>
      </c>
      <c r="I113" s="154">
        <f>COUNTIFS(缺陷明细!$A$2:$A$50000,$B$4,缺陷明细!$G$2:$G$50000,$C113,缺陷明细!$Q$2:$Q$50000,"已关闭",缺陷明细!$J$2:$J$50000,"评审")</f>
        <v>0</v>
      </c>
      <c r="J113" s="154">
        <f>COUNTIFS(缺陷明细!$A$2:$A$50000,$B$4,缺陷明细!$G$2:$G$50000,$C113,缺陷明细!$J$2:$J$50000,"单元测试",缺陷明细!$AB$2:$AB$50000,"&lt;&gt;丢弃",缺陷明细!$AB$2:$AB$50000,"&lt;&gt;设计如此",缺陷明细!$AB$2:$AB$50000,"&lt;&gt;重复Bug")</f>
        <v>0</v>
      </c>
      <c r="K113" s="155">
        <f>COUNTIFS(缺陷明细!$A$2:$A$50000,$B$4,缺陷明细!$G$2:$G$50000,$C113,缺陷明细!$Q$2:$Q$50000,"已关闭",缺陷明细!$J$2:$J$50000,"单元测试")</f>
        <v>0</v>
      </c>
      <c r="L113" s="156"/>
      <c r="M113" s="157"/>
      <c r="N113" s="72">
        <f>COUNTIFS(缺陷明细!$A$2:$A$50000,$B$4,缺陷明细!$G$2:$G$50000,$C113,缺陷明细!$J$2:$J$50000,"系统测试案例评审",缺陷明细!$AB$2:$AB$50000,"&lt;&gt;丢弃",缺陷明细!$AB$2:$AB$50000,"&lt;&gt;设计如此",缺陷明细!$AB$2:$AB$50000,"&lt;&gt;重复Bug")</f>
        <v>0</v>
      </c>
      <c r="O113" s="72">
        <f>COUNTIFS(缺陷明细!$A$2:$A$50000,$B$4,缺陷明细!$G$2:$G$50000,$C113,缺陷明细!$Q$2:$Q$50000,"已关闭",缺陷明细!$J$2:$J$50000,"系统测试案例评审")</f>
        <v>0</v>
      </c>
      <c r="P113" s="72">
        <f>COUNTIFS(缺陷明细!$A$2:$A$50000,$B$4,缺陷明细!$G$2:$G$50000,$C113,缺陷明细!$J$2:$J$50000,"系统测试",缺陷明细!$AB$2:$AB$50000,"&lt;&gt;丢弃",缺陷明细!$AB$2:$AB$50000,"&lt;&gt;设计如此",缺陷明细!$AB$2:$AB$50000,"&lt;&gt;重复Bug")</f>
        <v>0</v>
      </c>
      <c r="Q113" s="72">
        <f>COUNTIFS(缺陷明细!$A$2:$A$50000,$B$4,缺陷明细!$G$2:$G$50000,$C113,缺陷明细!$Q$2:$Q$50000,"已关闭",缺陷明细!$J$2:$J$50000,"系统测试")</f>
        <v>0</v>
      </c>
      <c r="R113" s="296">
        <f>COUNTIFS(缺陷明细!$A$2:$A$50000,$B$4,缺陷明细!$G$2:$G$50000,$C113,缺陷明细!$AB$2:$AB$50000,"丢弃",缺陷明细!$J$2:$J$50000,"系统测试")+COUNTIFS(缺陷明细!$A$2:$A$50000,$B$4,缺陷明细!$G$2:$G$50000,$C113,缺陷明细!$AB$2:$AB$50000,"设计如此",缺陷明细!$J$2:$J$50000,"系统测试")+COUNTIFS(缺陷明细!$A$2:$A$50000,$B$4,缺陷明细!$G$2:$G$50000,$C113,缺陷明细!$AB$2:$AB$50000,"重复Bug",缺陷明细!$J$2:$J$50000,"系统测试")</f>
        <v>0</v>
      </c>
      <c r="S113" s="72">
        <f>COUNTIFS(缺陷明细!$A$2:$A$50000,$B$4,缺陷明细!$G$2:$G$50000,$C113,缺陷明细!$J$2:$J$50000,"系统测试",缺陷明细!$K$2:$K$50000,"致命",缺陷明细!$AB$2:$AB$50000,"&lt;&gt;丢弃",缺陷明细!$AB$2:$AB$50000,"&lt;&gt;设计如此",缺陷明细!$AB$2:$AB$50000,"&lt;&gt;重复Bug")+COUNTIFS(缺陷明细!$A$2:$A$50000,$B$4,缺陷明细!$G$2:$G$50000,$C113,缺陷明细!$J$2:$J$50000,"系统测试",缺陷明细!$K$2:$K$50000,"严重",缺陷明细!$AB$2:$AB$50000,"&lt;&gt;丢弃",缺陷明细!$AB$2:$AB$50000,"&lt;&gt;设计如此",缺陷明细!$AB$2:$AB$50000,"&lt;&gt;重复Bug")</f>
        <v>0</v>
      </c>
      <c r="T113" s="73">
        <f>COUNTIFS(缺陷明细!$A$2:$A$50000,$B$4,缺陷明细!$G$2:$G$50000,$C113,缺陷明细!$Q$2:$Q$50000,"已关闭",缺陷明细!$J$2:$J$50000,"系统测试",缺陷明细!$K$2:$K$50000,"致命")+COUNTIFS(缺陷明细!$A$2:$A$50000,$B$4,缺陷明细!$G$2:$G$50000,$C113,缺陷明细!$Q$2:$Q$50000,"已关闭",缺陷明细!$J$2:$J$50000,"系统测试",缺陷明细!$K$2:$K$50000,"严重")</f>
        <v>0</v>
      </c>
      <c r="U113" s="74">
        <f>COUNTIFS(缺陷明细!$A$2:$A$50000,$B$4,缺陷明细!$G$2:$G$50000,$C113,缺陷明细!$J$2:$J$50000,"验收测试",缺陷明细!$AB$2:$AB$50000,"&lt;&gt;丢弃",缺陷明细!$AB$2:$AB$50000,"&lt;&gt;设计如此",缺陷明细!$AB$2:$AB$50000,"&lt;&gt;重复Bug")</f>
        <v>0</v>
      </c>
      <c r="V113" s="75">
        <f>COUNTIFS(缺陷明细!$A$2:$A$50000,$B$4,缺陷明细!$G$2:$G$50000,$C113,缺陷明细!$Q$2:$Q$50000,"已关闭",缺陷明细!$J$2:$J$50000,"验收测试")</f>
        <v>0</v>
      </c>
      <c r="W113" s="75">
        <f>COUNTIFS(缺陷明细!$A$2:$A$50000,$B$4,缺陷明细!$G$2:$G$50000,$C113,缺陷明细!$J$2:$J$50000,"验收测试",缺陷明细!$K$2:$K$50000,"致命",缺陷明细!$AB$2:$AB$50000,"&lt;&gt;丢弃",缺陷明细!$AB$2:$AB$50000,"&lt;&gt;设计如此",缺陷明细!$AB$2:$AB$50000,"&lt;&gt;重复Bug")+COUNTIFS(缺陷明细!$A$2:$A$50000,$B$4,缺陷明细!$G$2:$G$50000,$C113,缺陷明细!$J$2:$J$50000,"验收测试",缺陷明细!$K$2:$K$50000,"严重",缺陷明细!$AB$2:$AB$50000,"&lt;&gt;丢弃",缺陷明细!$AB$2:$AB$50000,"&lt;&gt;设计如此",缺陷明细!$AB$2:$AB$50000,"&lt;&gt;重复Bug")</f>
        <v>0</v>
      </c>
      <c r="X113" s="76">
        <f>COUNTIFS(缺陷明细!$A$2:$A$50000,$B$4,缺陷明细!$G$2:$G$50000,$C113,缺陷明细!$Q$2:$Q$50000,"已关闭",缺陷明细!$J$2:$J$50000,"验收测试",缺陷明细!$K$2:$K$50000,"致命")+COUNTIFS(缺陷明细!$A$2:$A$50000,$B$4,缺陷明细!$G$2:$G$50000,$C113,缺陷明细!$Q$2:$Q$50000,"已关闭",缺陷明细!$J$2:$J$50000,"验收测试",缺陷明细!$K$2:$K$50000,"严重")</f>
        <v>0</v>
      </c>
      <c r="Y113" s="70">
        <f>COUNTIFS(缺陷明细!$A$2:$A$50000,$B$4,缺陷明细!$G$2:$G$50000,$C113,缺陷明细!$J$2:$J$50000,"运维测试",缺陷明细!$AB$2:$AB$50000,"&lt;&gt;丢弃",缺陷明细!$AB$2:$AB$50000,"&lt;&gt;设计如此",缺陷明细!$AB$2:$AB$50000,"&lt;&gt;重复Bug")</f>
        <v>0</v>
      </c>
      <c r="Z113" s="71">
        <f>COUNTIFS(缺陷明细!$A$2:$A$50000,$B$4,缺陷明细!$G$2:$G$50000,$C113,缺陷明细!$Q$2:$Q$50000,"已关闭",缺陷明细!$J$2:$J$50000,"运维测试")</f>
        <v>0</v>
      </c>
      <c r="AA113" s="72">
        <f>COUNTIFS(缺陷明细!$A$2:$A$50000,$B$4,缺陷明细!$G$2:$G$50000,$C113,缺陷明细!$J$2:$J$50000,"运维测试",缺陷明细!$K$2:$K$50000,"致命",缺陷明细!$AB$2:$AB$50000,"&lt;&gt;丢弃",缺陷明细!$AB$2:$AB$50000,"&lt;&gt;设计如此",缺陷明细!$AB$2:$AB$50000,"&lt;&gt;重复Bug")+COUNTIFS(缺陷明细!$A$2:$A$50000,$B$4,缺陷明细!$G$2:$G$50000,$C113,缺陷明细!$J$2:$J$50000,"运维测试",缺陷明细!$K$2:$K$50000,"严重",缺陷明细!$AB$2:$AB$50000,"&lt;&gt;丢弃",缺陷明细!$AB$2:$AB$50000,"&lt;&gt;设计如此",缺陷明细!$AB$2:$AB$50000,"&lt;&gt;重复Bug")</f>
        <v>0</v>
      </c>
      <c r="AB113" s="73">
        <f>COUNTIFS(缺陷明细!$A$2:$A$50000,$B$4,缺陷明细!$G$2:$G$50000,$C113,缺陷明细!$Q$2:$Q$50000,"已关闭",缺陷明细!$J$2:$J$50000,"运维测试",缺陷明细!$K$2:$K$50000,"致命")+COUNTIFS(缺陷明细!$A$2:$A$50000,$B$4,缺陷明细!$G$2:$G$50000,$C113,缺陷明细!$Q$2:$Q$50000,"已关闭",缺陷明细!$J$2:$J$50000,"运维测试",缺陷明细!$K$2:$K$50000,"严重")</f>
        <v>0</v>
      </c>
      <c r="AC113" s="68">
        <f t="shared" si="12"/>
        <v>0</v>
      </c>
      <c r="AD113" s="60">
        <f t="shared" si="13"/>
        <v>0</v>
      </c>
      <c r="AE113" s="60">
        <f t="shared" si="14"/>
        <v>0</v>
      </c>
      <c r="AF113" s="60">
        <f t="shared" si="15"/>
        <v>0</v>
      </c>
      <c r="AG113" s="60">
        <f t="shared" si="16"/>
        <v>0</v>
      </c>
      <c r="AH113" s="60">
        <f t="shared" si="17"/>
        <v>0</v>
      </c>
      <c r="AI113" s="60">
        <f t="shared" si="18"/>
        <v>0</v>
      </c>
      <c r="AJ113" s="61">
        <f t="shared" si="19"/>
        <v>0</v>
      </c>
      <c r="AK113" s="144"/>
    </row>
    <row r="114" spans="1:37" ht="25.5">
      <c r="A114">
        <v>110</v>
      </c>
      <c r="B114" s="57">
        <v>626</v>
      </c>
      <c r="C114" s="58" t="s">
        <v>455</v>
      </c>
      <c r="D114" s="84" t="s">
        <v>343</v>
      </c>
      <c r="E114" s="82" t="s">
        <v>346</v>
      </c>
      <c r="F114" s="158">
        <v>8</v>
      </c>
      <c r="G114" s="159">
        <v>8</v>
      </c>
      <c r="H114" s="281">
        <f>COUNTIFS(缺陷明细!$A$2:$A$50000,$B$4,缺陷明细!$G$2:$G$50000,$C114,缺陷明细!$J$2:$J$50000,"评审",缺陷明细!$AB$2:$AB$50000,"&lt;&gt;丢弃",缺陷明细!$AB$2:$AB$50000,"&lt;&gt;设计如此",缺陷明细!$AB$2:$AB$50000,"&lt;&gt;重复Bug")</f>
        <v>0</v>
      </c>
      <c r="I114" s="154">
        <f>COUNTIFS(缺陷明细!$A$2:$A$50000,$B$4,缺陷明细!$G$2:$G$50000,$C114,缺陷明细!$Q$2:$Q$50000,"已关闭",缺陷明细!$J$2:$J$50000,"评审")</f>
        <v>0</v>
      </c>
      <c r="J114" s="154">
        <f>COUNTIFS(缺陷明细!$A$2:$A$50000,$B$4,缺陷明细!$G$2:$G$50000,$C114,缺陷明细!$J$2:$J$50000,"单元测试",缺陷明细!$AB$2:$AB$50000,"&lt;&gt;丢弃",缺陷明细!$AB$2:$AB$50000,"&lt;&gt;设计如此",缺陷明细!$AB$2:$AB$50000,"&lt;&gt;重复Bug")</f>
        <v>0</v>
      </c>
      <c r="K114" s="155">
        <f>COUNTIFS(缺陷明细!$A$2:$A$50000,$B$4,缺陷明细!$G$2:$G$50000,$C114,缺陷明细!$Q$2:$Q$50000,"已关闭",缺陷明细!$J$2:$J$50000,"单元测试")</f>
        <v>0</v>
      </c>
      <c r="L114" s="156"/>
      <c r="M114" s="157"/>
      <c r="N114" s="72">
        <f>COUNTIFS(缺陷明细!$A$2:$A$50000,$B$4,缺陷明细!$G$2:$G$50000,$C114,缺陷明细!$J$2:$J$50000,"系统测试案例评审",缺陷明细!$AB$2:$AB$50000,"&lt;&gt;丢弃",缺陷明细!$AB$2:$AB$50000,"&lt;&gt;设计如此",缺陷明细!$AB$2:$AB$50000,"&lt;&gt;重复Bug")</f>
        <v>0</v>
      </c>
      <c r="O114" s="72">
        <f>COUNTIFS(缺陷明细!$A$2:$A$50000,$B$4,缺陷明细!$G$2:$G$50000,$C114,缺陷明细!$Q$2:$Q$50000,"已关闭",缺陷明细!$J$2:$J$50000,"系统测试案例评审")</f>
        <v>0</v>
      </c>
      <c r="P114" s="72">
        <f>COUNTIFS(缺陷明细!$A$2:$A$50000,$B$4,缺陷明细!$G$2:$G$50000,$C114,缺陷明细!$J$2:$J$50000,"系统测试",缺陷明细!$AB$2:$AB$50000,"&lt;&gt;丢弃",缺陷明细!$AB$2:$AB$50000,"&lt;&gt;设计如此",缺陷明细!$AB$2:$AB$50000,"&lt;&gt;重复Bug")</f>
        <v>0</v>
      </c>
      <c r="Q114" s="72">
        <f>COUNTIFS(缺陷明细!$A$2:$A$50000,$B$4,缺陷明细!$G$2:$G$50000,$C114,缺陷明细!$Q$2:$Q$50000,"已关闭",缺陷明细!$J$2:$J$50000,"系统测试")</f>
        <v>0</v>
      </c>
      <c r="R114" s="296">
        <f>COUNTIFS(缺陷明细!$A$2:$A$50000,$B$4,缺陷明细!$G$2:$G$50000,$C114,缺陷明细!$AB$2:$AB$50000,"丢弃",缺陷明细!$J$2:$J$50000,"系统测试")+COUNTIFS(缺陷明细!$A$2:$A$50000,$B$4,缺陷明细!$G$2:$G$50000,$C114,缺陷明细!$AB$2:$AB$50000,"设计如此",缺陷明细!$J$2:$J$50000,"系统测试")+COUNTIFS(缺陷明细!$A$2:$A$50000,$B$4,缺陷明细!$G$2:$G$50000,$C114,缺陷明细!$AB$2:$AB$50000,"重复Bug",缺陷明细!$J$2:$J$50000,"系统测试")</f>
        <v>0</v>
      </c>
      <c r="S114" s="72">
        <f>COUNTIFS(缺陷明细!$A$2:$A$50000,$B$4,缺陷明细!$G$2:$G$50000,$C114,缺陷明细!$J$2:$J$50000,"系统测试",缺陷明细!$K$2:$K$50000,"致命",缺陷明细!$AB$2:$AB$50000,"&lt;&gt;丢弃",缺陷明细!$AB$2:$AB$50000,"&lt;&gt;设计如此",缺陷明细!$AB$2:$AB$50000,"&lt;&gt;重复Bug")+COUNTIFS(缺陷明细!$A$2:$A$50000,$B$4,缺陷明细!$G$2:$G$50000,$C114,缺陷明细!$J$2:$J$50000,"系统测试",缺陷明细!$K$2:$K$50000,"严重",缺陷明细!$AB$2:$AB$50000,"&lt;&gt;丢弃",缺陷明细!$AB$2:$AB$50000,"&lt;&gt;设计如此",缺陷明细!$AB$2:$AB$50000,"&lt;&gt;重复Bug")</f>
        <v>0</v>
      </c>
      <c r="T114" s="73">
        <f>COUNTIFS(缺陷明细!$A$2:$A$50000,$B$4,缺陷明细!$G$2:$G$50000,$C114,缺陷明细!$Q$2:$Q$50000,"已关闭",缺陷明细!$J$2:$J$50000,"系统测试",缺陷明细!$K$2:$K$50000,"致命")+COUNTIFS(缺陷明细!$A$2:$A$50000,$B$4,缺陷明细!$G$2:$G$50000,$C114,缺陷明细!$Q$2:$Q$50000,"已关闭",缺陷明细!$J$2:$J$50000,"系统测试",缺陷明细!$K$2:$K$50000,"严重")</f>
        <v>0</v>
      </c>
      <c r="U114" s="74">
        <f>COUNTIFS(缺陷明细!$A$2:$A$50000,$B$4,缺陷明细!$G$2:$G$50000,$C114,缺陷明细!$J$2:$J$50000,"验收测试",缺陷明细!$AB$2:$AB$50000,"&lt;&gt;丢弃",缺陷明细!$AB$2:$AB$50000,"&lt;&gt;设计如此",缺陷明细!$AB$2:$AB$50000,"&lt;&gt;重复Bug")</f>
        <v>0</v>
      </c>
      <c r="V114" s="75">
        <f>COUNTIFS(缺陷明细!$A$2:$A$50000,$B$4,缺陷明细!$G$2:$G$50000,$C114,缺陷明细!$Q$2:$Q$50000,"已关闭",缺陷明细!$J$2:$J$50000,"验收测试")</f>
        <v>0</v>
      </c>
      <c r="W114" s="75">
        <f>COUNTIFS(缺陷明细!$A$2:$A$50000,$B$4,缺陷明细!$G$2:$G$50000,$C114,缺陷明细!$J$2:$J$50000,"验收测试",缺陷明细!$K$2:$K$50000,"致命",缺陷明细!$AB$2:$AB$50000,"&lt;&gt;丢弃",缺陷明细!$AB$2:$AB$50000,"&lt;&gt;设计如此",缺陷明细!$AB$2:$AB$50000,"&lt;&gt;重复Bug")+COUNTIFS(缺陷明细!$A$2:$A$50000,$B$4,缺陷明细!$G$2:$G$50000,$C114,缺陷明细!$J$2:$J$50000,"验收测试",缺陷明细!$K$2:$K$50000,"严重",缺陷明细!$AB$2:$AB$50000,"&lt;&gt;丢弃",缺陷明细!$AB$2:$AB$50000,"&lt;&gt;设计如此",缺陷明细!$AB$2:$AB$50000,"&lt;&gt;重复Bug")</f>
        <v>0</v>
      </c>
      <c r="X114" s="76">
        <f>COUNTIFS(缺陷明细!$A$2:$A$50000,$B$4,缺陷明细!$G$2:$G$50000,$C114,缺陷明细!$Q$2:$Q$50000,"已关闭",缺陷明细!$J$2:$J$50000,"验收测试",缺陷明细!$K$2:$K$50000,"致命")+COUNTIFS(缺陷明细!$A$2:$A$50000,$B$4,缺陷明细!$G$2:$G$50000,$C114,缺陷明细!$Q$2:$Q$50000,"已关闭",缺陷明细!$J$2:$J$50000,"验收测试",缺陷明细!$K$2:$K$50000,"严重")</f>
        <v>0</v>
      </c>
      <c r="Y114" s="70">
        <f>COUNTIFS(缺陷明细!$A$2:$A$50000,$B$4,缺陷明细!$G$2:$G$50000,$C114,缺陷明细!$J$2:$J$50000,"运维测试",缺陷明细!$AB$2:$AB$50000,"&lt;&gt;丢弃",缺陷明细!$AB$2:$AB$50000,"&lt;&gt;设计如此",缺陷明细!$AB$2:$AB$50000,"&lt;&gt;重复Bug")</f>
        <v>0</v>
      </c>
      <c r="Z114" s="71">
        <f>COUNTIFS(缺陷明细!$A$2:$A$50000,$B$4,缺陷明细!$G$2:$G$50000,$C114,缺陷明细!$Q$2:$Q$50000,"已关闭",缺陷明细!$J$2:$J$50000,"运维测试")</f>
        <v>0</v>
      </c>
      <c r="AA114" s="72">
        <f>COUNTIFS(缺陷明细!$A$2:$A$50000,$B$4,缺陷明细!$G$2:$G$50000,$C114,缺陷明细!$J$2:$J$50000,"运维测试",缺陷明细!$K$2:$K$50000,"致命",缺陷明细!$AB$2:$AB$50000,"&lt;&gt;丢弃",缺陷明细!$AB$2:$AB$50000,"&lt;&gt;设计如此",缺陷明细!$AB$2:$AB$50000,"&lt;&gt;重复Bug")+COUNTIFS(缺陷明细!$A$2:$A$50000,$B$4,缺陷明细!$G$2:$G$50000,$C114,缺陷明细!$J$2:$J$50000,"运维测试",缺陷明细!$K$2:$K$50000,"严重",缺陷明细!$AB$2:$AB$50000,"&lt;&gt;丢弃",缺陷明细!$AB$2:$AB$50000,"&lt;&gt;设计如此",缺陷明细!$AB$2:$AB$50000,"&lt;&gt;重复Bug")</f>
        <v>0</v>
      </c>
      <c r="AB114" s="73">
        <f>COUNTIFS(缺陷明细!$A$2:$A$50000,$B$4,缺陷明细!$G$2:$G$50000,$C114,缺陷明细!$Q$2:$Q$50000,"已关闭",缺陷明细!$J$2:$J$50000,"运维测试",缺陷明细!$K$2:$K$50000,"致命")+COUNTIFS(缺陷明细!$A$2:$A$50000,$B$4,缺陷明细!$G$2:$G$50000,$C114,缺陷明细!$Q$2:$Q$50000,"已关闭",缺陷明细!$J$2:$J$50000,"运维测试",缺陷明细!$K$2:$K$50000,"严重")</f>
        <v>0</v>
      </c>
      <c r="AC114" s="68">
        <f t="shared" si="12"/>
        <v>0</v>
      </c>
      <c r="AD114" s="60">
        <f t="shared" si="13"/>
        <v>0</v>
      </c>
      <c r="AE114" s="60">
        <f t="shared" si="14"/>
        <v>0</v>
      </c>
      <c r="AF114" s="60">
        <f t="shared" si="15"/>
        <v>0</v>
      </c>
      <c r="AG114" s="60">
        <f t="shared" si="16"/>
        <v>0</v>
      </c>
      <c r="AH114" s="60">
        <f t="shared" si="17"/>
        <v>0</v>
      </c>
      <c r="AI114" s="60">
        <f t="shared" si="18"/>
        <v>0</v>
      </c>
      <c r="AJ114" s="61">
        <f t="shared" si="19"/>
        <v>0</v>
      </c>
      <c r="AK114" s="144"/>
    </row>
    <row r="115" spans="1:37" ht="25.5">
      <c r="A115">
        <v>111</v>
      </c>
      <c r="B115" s="57">
        <v>627</v>
      </c>
      <c r="C115" s="58" t="s">
        <v>456</v>
      </c>
      <c r="D115" s="84" t="s">
        <v>343</v>
      </c>
      <c r="E115" s="82" t="s">
        <v>346</v>
      </c>
      <c r="F115" s="158">
        <v>8</v>
      </c>
      <c r="G115" s="159">
        <v>2</v>
      </c>
      <c r="H115" s="281">
        <f>COUNTIFS(缺陷明细!$A$2:$A$50000,$B$4,缺陷明细!$G$2:$G$50000,$C115,缺陷明细!$J$2:$J$50000,"评审",缺陷明细!$AB$2:$AB$50000,"&lt;&gt;丢弃",缺陷明细!$AB$2:$AB$50000,"&lt;&gt;设计如此",缺陷明细!$AB$2:$AB$50000,"&lt;&gt;重复Bug")</f>
        <v>0</v>
      </c>
      <c r="I115" s="154">
        <f>COUNTIFS(缺陷明细!$A$2:$A$50000,$B$4,缺陷明细!$G$2:$G$50000,$C115,缺陷明细!$Q$2:$Q$50000,"已关闭",缺陷明细!$J$2:$J$50000,"评审")</f>
        <v>0</v>
      </c>
      <c r="J115" s="154">
        <f>COUNTIFS(缺陷明细!$A$2:$A$50000,$B$4,缺陷明细!$G$2:$G$50000,$C115,缺陷明细!$J$2:$J$50000,"单元测试",缺陷明细!$AB$2:$AB$50000,"&lt;&gt;丢弃",缺陷明细!$AB$2:$AB$50000,"&lt;&gt;设计如此",缺陷明细!$AB$2:$AB$50000,"&lt;&gt;重复Bug")</f>
        <v>0</v>
      </c>
      <c r="K115" s="155">
        <f>COUNTIFS(缺陷明细!$A$2:$A$50000,$B$4,缺陷明细!$G$2:$G$50000,$C115,缺陷明细!$Q$2:$Q$50000,"已关闭",缺陷明细!$J$2:$J$50000,"单元测试")</f>
        <v>0</v>
      </c>
      <c r="L115" s="156"/>
      <c r="M115" s="157"/>
      <c r="N115" s="72">
        <f>COUNTIFS(缺陷明细!$A$2:$A$50000,$B$4,缺陷明细!$G$2:$G$50000,$C115,缺陷明细!$J$2:$J$50000,"系统测试案例评审",缺陷明细!$AB$2:$AB$50000,"&lt;&gt;丢弃",缺陷明细!$AB$2:$AB$50000,"&lt;&gt;设计如此",缺陷明细!$AB$2:$AB$50000,"&lt;&gt;重复Bug")</f>
        <v>0</v>
      </c>
      <c r="O115" s="72">
        <f>COUNTIFS(缺陷明细!$A$2:$A$50000,$B$4,缺陷明细!$G$2:$G$50000,$C115,缺陷明细!$Q$2:$Q$50000,"已关闭",缺陷明细!$J$2:$J$50000,"系统测试案例评审")</f>
        <v>0</v>
      </c>
      <c r="P115" s="72">
        <f>COUNTIFS(缺陷明细!$A$2:$A$50000,$B$4,缺陷明细!$G$2:$G$50000,$C115,缺陷明细!$J$2:$J$50000,"系统测试",缺陷明细!$AB$2:$AB$50000,"&lt;&gt;丢弃",缺陷明细!$AB$2:$AB$50000,"&lt;&gt;设计如此",缺陷明细!$AB$2:$AB$50000,"&lt;&gt;重复Bug")</f>
        <v>0</v>
      </c>
      <c r="Q115" s="72">
        <f>COUNTIFS(缺陷明细!$A$2:$A$50000,$B$4,缺陷明细!$G$2:$G$50000,$C115,缺陷明细!$Q$2:$Q$50000,"已关闭",缺陷明细!$J$2:$J$50000,"系统测试")</f>
        <v>0</v>
      </c>
      <c r="R115" s="296">
        <f>COUNTIFS(缺陷明细!$A$2:$A$50000,$B$4,缺陷明细!$G$2:$G$50000,$C115,缺陷明细!$AB$2:$AB$50000,"丢弃",缺陷明细!$J$2:$J$50000,"系统测试")+COUNTIFS(缺陷明细!$A$2:$A$50000,$B$4,缺陷明细!$G$2:$G$50000,$C115,缺陷明细!$AB$2:$AB$50000,"设计如此",缺陷明细!$J$2:$J$50000,"系统测试")+COUNTIFS(缺陷明细!$A$2:$A$50000,$B$4,缺陷明细!$G$2:$G$50000,$C115,缺陷明细!$AB$2:$AB$50000,"重复Bug",缺陷明细!$J$2:$J$50000,"系统测试")</f>
        <v>0</v>
      </c>
      <c r="S115" s="72">
        <f>COUNTIFS(缺陷明细!$A$2:$A$50000,$B$4,缺陷明细!$G$2:$G$50000,$C115,缺陷明细!$J$2:$J$50000,"系统测试",缺陷明细!$K$2:$K$50000,"致命",缺陷明细!$AB$2:$AB$50000,"&lt;&gt;丢弃",缺陷明细!$AB$2:$AB$50000,"&lt;&gt;设计如此",缺陷明细!$AB$2:$AB$50000,"&lt;&gt;重复Bug")+COUNTIFS(缺陷明细!$A$2:$A$50000,$B$4,缺陷明细!$G$2:$G$50000,$C115,缺陷明细!$J$2:$J$50000,"系统测试",缺陷明细!$K$2:$K$50000,"严重",缺陷明细!$AB$2:$AB$50000,"&lt;&gt;丢弃",缺陷明细!$AB$2:$AB$50000,"&lt;&gt;设计如此",缺陷明细!$AB$2:$AB$50000,"&lt;&gt;重复Bug")</f>
        <v>0</v>
      </c>
      <c r="T115" s="73">
        <f>COUNTIFS(缺陷明细!$A$2:$A$50000,$B$4,缺陷明细!$G$2:$G$50000,$C115,缺陷明细!$Q$2:$Q$50000,"已关闭",缺陷明细!$J$2:$J$50000,"系统测试",缺陷明细!$K$2:$K$50000,"致命")+COUNTIFS(缺陷明细!$A$2:$A$50000,$B$4,缺陷明细!$G$2:$G$50000,$C115,缺陷明细!$Q$2:$Q$50000,"已关闭",缺陷明细!$J$2:$J$50000,"系统测试",缺陷明细!$K$2:$K$50000,"严重")</f>
        <v>0</v>
      </c>
      <c r="U115" s="74">
        <f>COUNTIFS(缺陷明细!$A$2:$A$50000,$B$4,缺陷明细!$G$2:$G$50000,$C115,缺陷明细!$J$2:$J$50000,"验收测试",缺陷明细!$AB$2:$AB$50000,"&lt;&gt;丢弃",缺陷明细!$AB$2:$AB$50000,"&lt;&gt;设计如此",缺陷明细!$AB$2:$AB$50000,"&lt;&gt;重复Bug")</f>
        <v>0</v>
      </c>
      <c r="V115" s="75">
        <f>COUNTIFS(缺陷明细!$A$2:$A$50000,$B$4,缺陷明细!$G$2:$G$50000,$C115,缺陷明细!$Q$2:$Q$50000,"已关闭",缺陷明细!$J$2:$J$50000,"验收测试")</f>
        <v>0</v>
      </c>
      <c r="W115" s="75">
        <f>COUNTIFS(缺陷明细!$A$2:$A$50000,$B$4,缺陷明细!$G$2:$G$50000,$C115,缺陷明细!$J$2:$J$50000,"验收测试",缺陷明细!$K$2:$K$50000,"致命",缺陷明细!$AB$2:$AB$50000,"&lt;&gt;丢弃",缺陷明细!$AB$2:$AB$50000,"&lt;&gt;设计如此",缺陷明细!$AB$2:$AB$50000,"&lt;&gt;重复Bug")+COUNTIFS(缺陷明细!$A$2:$A$50000,$B$4,缺陷明细!$G$2:$G$50000,$C115,缺陷明细!$J$2:$J$50000,"验收测试",缺陷明细!$K$2:$K$50000,"严重",缺陷明细!$AB$2:$AB$50000,"&lt;&gt;丢弃",缺陷明细!$AB$2:$AB$50000,"&lt;&gt;设计如此",缺陷明细!$AB$2:$AB$50000,"&lt;&gt;重复Bug")</f>
        <v>0</v>
      </c>
      <c r="X115" s="76">
        <f>COUNTIFS(缺陷明细!$A$2:$A$50000,$B$4,缺陷明细!$G$2:$G$50000,$C115,缺陷明细!$Q$2:$Q$50000,"已关闭",缺陷明细!$J$2:$J$50000,"验收测试",缺陷明细!$K$2:$K$50000,"致命")+COUNTIFS(缺陷明细!$A$2:$A$50000,$B$4,缺陷明细!$G$2:$G$50000,$C115,缺陷明细!$Q$2:$Q$50000,"已关闭",缺陷明细!$J$2:$J$50000,"验收测试",缺陷明细!$K$2:$K$50000,"严重")</f>
        <v>0</v>
      </c>
      <c r="Y115" s="70">
        <f>COUNTIFS(缺陷明细!$A$2:$A$50000,$B$4,缺陷明细!$G$2:$G$50000,$C115,缺陷明细!$J$2:$J$50000,"运维测试",缺陷明细!$AB$2:$AB$50000,"&lt;&gt;丢弃",缺陷明细!$AB$2:$AB$50000,"&lt;&gt;设计如此",缺陷明细!$AB$2:$AB$50000,"&lt;&gt;重复Bug")</f>
        <v>0</v>
      </c>
      <c r="Z115" s="71">
        <f>COUNTIFS(缺陷明细!$A$2:$A$50000,$B$4,缺陷明细!$G$2:$G$50000,$C115,缺陷明细!$Q$2:$Q$50000,"已关闭",缺陷明细!$J$2:$J$50000,"运维测试")</f>
        <v>0</v>
      </c>
      <c r="AA115" s="72">
        <f>COUNTIFS(缺陷明细!$A$2:$A$50000,$B$4,缺陷明细!$G$2:$G$50000,$C115,缺陷明细!$J$2:$J$50000,"运维测试",缺陷明细!$K$2:$K$50000,"致命",缺陷明细!$AB$2:$AB$50000,"&lt;&gt;丢弃",缺陷明细!$AB$2:$AB$50000,"&lt;&gt;设计如此",缺陷明细!$AB$2:$AB$50000,"&lt;&gt;重复Bug")+COUNTIFS(缺陷明细!$A$2:$A$50000,$B$4,缺陷明细!$G$2:$G$50000,$C115,缺陷明细!$J$2:$J$50000,"运维测试",缺陷明细!$K$2:$K$50000,"严重",缺陷明细!$AB$2:$AB$50000,"&lt;&gt;丢弃",缺陷明细!$AB$2:$AB$50000,"&lt;&gt;设计如此",缺陷明细!$AB$2:$AB$50000,"&lt;&gt;重复Bug")</f>
        <v>0</v>
      </c>
      <c r="AB115" s="73">
        <f>COUNTIFS(缺陷明细!$A$2:$A$50000,$B$4,缺陷明细!$G$2:$G$50000,$C115,缺陷明细!$Q$2:$Q$50000,"已关闭",缺陷明细!$J$2:$J$50000,"运维测试",缺陷明细!$K$2:$K$50000,"致命")+COUNTIFS(缺陷明细!$A$2:$A$50000,$B$4,缺陷明细!$G$2:$G$50000,$C115,缺陷明细!$Q$2:$Q$50000,"已关闭",缺陷明细!$J$2:$J$50000,"运维测试",缺陷明细!$K$2:$K$50000,"严重")</f>
        <v>0</v>
      </c>
      <c r="AC115" s="68">
        <f t="shared" si="12"/>
        <v>0</v>
      </c>
      <c r="AD115" s="60">
        <f t="shared" si="13"/>
        <v>0</v>
      </c>
      <c r="AE115" s="60">
        <f t="shared" si="14"/>
        <v>0</v>
      </c>
      <c r="AF115" s="60">
        <f t="shared" si="15"/>
        <v>0</v>
      </c>
      <c r="AG115" s="60">
        <f t="shared" si="16"/>
        <v>0</v>
      </c>
      <c r="AH115" s="60">
        <f t="shared" si="17"/>
        <v>0</v>
      </c>
      <c r="AI115" s="60">
        <f t="shared" si="18"/>
        <v>0</v>
      </c>
      <c r="AJ115" s="61">
        <f t="shared" si="19"/>
        <v>0</v>
      </c>
      <c r="AK115" s="144"/>
    </row>
    <row r="116" spans="1:37">
      <c r="A116">
        <v>112</v>
      </c>
      <c r="B116" s="57">
        <v>629</v>
      </c>
      <c r="C116" s="58" t="s">
        <v>457</v>
      </c>
      <c r="D116" s="84" t="s">
        <v>343</v>
      </c>
      <c r="E116" s="82" t="s">
        <v>346</v>
      </c>
      <c r="F116" s="158">
        <v>4</v>
      </c>
      <c r="G116" s="159">
        <v>3</v>
      </c>
      <c r="H116" s="281">
        <f>COUNTIFS(缺陷明细!$A$2:$A$50000,$B$4,缺陷明细!$G$2:$G$50000,$C116,缺陷明细!$J$2:$J$50000,"评审",缺陷明细!$AB$2:$AB$50000,"&lt;&gt;丢弃",缺陷明细!$AB$2:$AB$50000,"&lt;&gt;设计如此",缺陷明细!$AB$2:$AB$50000,"&lt;&gt;重复Bug")</f>
        <v>0</v>
      </c>
      <c r="I116" s="154">
        <f>COUNTIFS(缺陷明细!$A$2:$A$50000,$B$4,缺陷明细!$G$2:$G$50000,$C116,缺陷明细!$Q$2:$Q$50000,"已关闭",缺陷明细!$J$2:$J$50000,"评审")</f>
        <v>0</v>
      </c>
      <c r="J116" s="154">
        <f>COUNTIFS(缺陷明细!$A$2:$A$50000,$B$4,缺陷明细!$G$2:$G$50000,$C116,缺陷明细!$J$2:$J$50000,"单元测试",缺陷明细!$AB$2:$AB$50000,"&lt;&gt;丢弃",缺陷明细!$AB$2:$AB$50000,"&lt;&gt;设计如此",缺陷明细!$AB$2:$AB$50000,"&lt;&gt;重复Bug")</f>
        <v>0</v>
      </c>
      <c r="K116" s="155">
        <f>COUNTIFS(缺陷明细!$A$2:$A$50000,$B$4,缺陷明细!$G$2:$G$50000,$C116,缺陷明细!$Q$2:$Q$50000,"已关闭",缺陷明细!$J$2:$J$50000,"单元测试")</f>
        <v>0</v>
      </c>
      <c r="L116" s="156"/>
      <c r="M116" s="157"/>
      <c r="N116" s="72">
        <f>COUNTIFS(缺陷明细!$A$2:$A$50000,$B$4,缺陷明细!$G$2:$G$50000,$C116,缺陷明细!$J$2:$J$50000,"系统测试案例评审",缺陷明细!$AB$2:$AB$50000,"&lt;&gt;丢弃",缺陷明细!$AB$2:$AB$50000,"&lt;&gt;设计如此",缺陷明细!$AB$2:$AB$50000,"&lt;&gt;重复Bug")</f>
        <v>0</v>
      </c>
      <c r="O116" s="72">
        <f>COUNTIFS(缺陷明细!$A$2:$A$50000,$B$4,缺陷明细!$G$2:$G$50000,$C116,缺陷明细!$Q$2:$Q$50000,"已关闭",缺陷明细!$J$2:$J$50000,"系统测试案例评审")</f>
        <v>0</v>
      </c>
      <c r="P116" s="72">
        <f>COUNTIFS(缺陷明细!$A$2:$A$50000,$B$4,缺陷明细!$G$2:$G$50000,$C116,缺陷明细!$J$2:$J$50000,"系统测试",缺陷明细!$AB$2:$AB$50000,"&lt;&gt;丢弃",缺陷明细!$AB$2:$AB$50000,"&lt;&gt;设计如此",缺陷明细!$AB$2:$AB$50000,"&lt;&gt;重复Bug")</f>
        <v>0</v>
      </c>
      <c r="Q116" s="72">
        <f>COUNTIFS(缺陷明细!$A$2:$A$50000,$B$4,缺陷明细!$G$2:$G$50000,$C116,缺陷明细!$Q$2:$Q$50000,"已关闭",缺陷明细!$J$2:$J$50000,"系统测试")</f>
        <v>0</v>
      </c>
      <c r="R116" s="296">
        <f>COUNTIFS(缺陷明细!$A$2:$A$50000,$B$4,缺陷明细!$G$2:$G$50000,$C116,缺陷明细!$AB$2:$AB$50000,"丢弃",缺陷明细!$J$2:$J$50000,"系统测试")+COUNTIFS(缺陷明细!$A$2:$A$50000,$B$4,缺陷明细!$G$2:$G$50000,$C116,缺陷明细!$AB$2:$AB$50000,"设计如此",缺陷明细!$J$2:$J$50000,"系统测试")+COUNTIFS(缺陷明细!$A$2:$A$50000,$B$4,缺陷明细!$G$2:$G$50000,$C116,缺陷明细!$AB$2:$AB$50000,"重复Bug",缺陷明细!$J$2:$J$50000,"系统测试")</f>
        <v>0</v>
      </c>
      <c r="S116" s="72">
        <f>COUNTIFS(缺陷明细!$A$2:$A$50000,$B$4,缺陷明细!$G$2:$G$50000,$C116,缺陷明细!$J$2:$J$50000,"系统测试",缺陷明细!$K$2:$K$50000,"致命",缺陷明细!$AB$2:$AB$50000,"&lt;&gt;丢弃",缺陷明细!$AB$2:$AB$50000,"&lt;&gt;设计如此",缺陷明细!$AB$2:$AB$50000,"&lt;&gt;重复Bug")+COUNTIFS(缺陷明细!$A$2:$A$50000,$B$4,缺陷明细!$G$2:$G$50000,$C116,缺陷明细!$J$2:$J$50000,"系统测试",缺陷明细!$K$2:$K$50000,"严重",缺陷明细!$AB$2:$AB$50000,"&lt;&gt;丢弃",缺陷明细!$AB$2:$AB$50000,"&lt;&gt;设计如此",缺陷明细!$AB$2:$AB$50000,"&lt;&gt;重复Bug")</f>
        <v>0</v>
      </c>
      <c r="T116" s="73">
        <f>COUNTIFS(缺陷明细!$A$2:$A$50000,$B$4,缺陷明细!$G$2:$G$50000,$C116,缺陷明细!$Q$2:$Q$50000,"已关闭",缺陷明细!$J$2:$J$50000,"系统测试",缺陷明细!$K$2:$K$50000,"致命")+COUNTIFS(缺陷明细!$A$2:$A$50000,$B$4,缺陷明细!$G$2:$G$50000,$C116,缺陷明细!$Q$2:$Q$50000,"已关闭",缺陷明细!$J$2:$J$50000,"系统测试",缺陷明细!$K$2:$K$50000,"严重")</f>
        <v>0</v>
      </c>
      <c r="U116" s="74">
        <f>COUNTIFS(缺陷明细!$A$2:$A$50000,$B$4,缺陷明细!$G$2:$G$50000,$C116,缺陷明细!$J$2:$J$50000,"验收测试",缺陷明细!$AB$2:$AB$50000,"&lt;&gt;丢弃",缺陷明细!$AB$2:$AB$50000,"&lt;&gt;设计如此",缺陷明细!$AB$2:$AB$50000,"&lt;&gt;重复Bug")</f>
        <v>0</v>
      </c>
      <c r="V116" s="75">
        <f>COUNTIFS(缺陷明细!$A$2:$A$50000,$B$4,缺陷明细!$G$2:$G$50000,$C116,缺陷明细!$Q$2:$Q$50000,"已关闭",缺陷明细!$J$2:$J$50000,"验收测试")</f>
        <v>0</v>
      </c>
      <c r="W116" s="75">
        <f>COUNTIFS(缺陷明细!$A$2:$A$50000,$B$4,缺陷明细!$G$2:$G$50000,$C116,缺陷明细!$J$2:$J$50000,"验收测试",缺陷明细!$K$2:$K$50000,"致命",缺陷明细!$AB$2:$AB$50000,"&lt;&gt;丢弃",缺陷明细!$AB$2:$AB$50000,"&lt;&gt;设计如此",缺陷明细!$AB$2:$AB$50000,"&lt;&gt;重复Bug")+COUNTIFS(缺陷明细!$A$2:$A$50000,$B$4,缺陷明细!$G$2:$G$50000,$C116,缺陷明细!$J$2:$J$50000,"验收测试",缺陷明细!$K$2:$K$50000,"严重",缺陷明细!$AB$2:$AB$50000,"&lt;&gt;丢弃",缺陷明细!$AB$2:$AB$50000,"&lt;&gt;设计如此",缺陷明细!$AB$2:$AB$50000,"&lt;&gt;重复Bug")</f>
        <v>0</v>
      </c>
      <c r="X116" s="76">
        <f>COUNTIFS(缺陷明细!$A$2:$A$50000,$B$4,缺陷明细!$G$2:$G$50000,$C116,缺陷明细!$Q$2:$Q$50000,"已关闭",缺陷明细!$J$2:$J$50000,"验收测试",缺陷明细!$K$2:$K$50000,"致命")+COUNTIFS(缺陷明细!$A$2:$A$50000,$B$4,缺陷明细!$G$2:$G$50000,$C116,缺陷明细!$Q$2:$Q$50000,"已关闭",缺陷明细!$J$2:$J$50000,"验收测试",缺陷明细!$K$2:$K$50000,"严重")</f>
        <v>0</v>
      </c>
      <c r="Y116" s="70">
        <f>COUNTIFS(缺陷明细!$A$2:$A$50000,$B$4,缺陷明细!$G$2:$G$50000,$C116,缺陷明细!$J$2:$J$50000,"运维测试",缺陷明细!$AB$2:$AB$50000,"&lt;&gt;丢弃",缺陷明细!$AB$2:$AB$50000,"&lt;&gt;设计如此",缺陷明细!$AB$2:$AB$50000,"&lt;&gt;重复Bug")</f>
        <v>0</v>
      </c>
      <c r="Z116" s="71">
        <f>COUNTIFS(缺陷明细!$A$2:$A$50000,$B$4,缺陷明细!$G$2:$G$50000,$C116,缺陷明细!$Q$2:$Q$50000,"已关闭",缺陷明细!$J$2:$J$50000,"运维测试")</f>
        <v>0</v>
      </c>
      <c r="AA116" s="72">
        <f>COUNTIFS(缺陷明细!$A$2:$A$50000,$B$4,缺陷明细!$G$2:$G$50000,$C116,缺陷明细!$J$2:$J$50000,"运维测试",缺陷明细!$K$2:$K$50000,"致命",缺陷明细!$AB$2:$AB$50000,"&lt;&gt;丢弃",缺陷明细!$AB$2:$AB$50000,"&lt;&gt;设计如此",缺陷明细!$AB$2:$AB$50000,"&lt;&gt;重复Bug")+COUNTIFS(缺陷明细!$A$2:$A$50000,$B$4,缺陷明细!$G$2:$G$50000,$C116,缺陷明细!$J$2:$J$50000,"运维测试",缺陷明细!$K$2:$K$50000,"严重",缺陷明细!$AB$2:$AB$50000,"&lt;&gt;丢弃",缺陷明细!$AB$2:$AB$50000,"&lt;&gt;设计如此",缺陷明细!$AB$2:$AB$50000,"&lt;&gt;重复Bug")</f>
        <v>0</v>
      </c>
      <c r="AB116" s="73">
        <f>COUNTIFS(缺陷明细!$A$2:$A$50000,$B$4,缺陷明细!$G$2:$G$50000,$C116,缺陷明细!$Q$2:$Q$50000,"已关闭",缺陷明细!$J$2:$J$50000,"运维测试",缺陷明细!$K$2:$K$50000,"致命")+COUNTIFS(缺陷明细!$A$2:$A$50000,$B$4,缺陷明细!$G$2:$G$50000,$C116,缺陷明细!$Q$2:$Q$50000,"已关闭",缺陷明细!$J$2:$J$50000,"运维测试",缺陷明细!$K$2:$K$50000,"严重")</f>
        <v>0</v>
      </c>
      <c r="AC116" s="68">
        <f t="shared" si="12"/>
        <v>0</v>
      </c>
      <c r="AD116" s="60">
        <f t="shared" si="13"/>
        <v>0</v>
      </c>
      <c r="AE116" s="60">
        <f t="shared" si="14"/>
        <v>0</v>
      </c>
      <c r="AF116" s="60">
        <f t="shared" si="15"/>
        <v>0</v>
      </c>
      <c r="AG116" s="60">
        <f t="shared" si="16"/>
        <v>0</v>
      </c>
      <c r="AH116" s="60">
        <f t="shared" si="17"/>
        <v>0</v>
      </c>
      <c r="AI116" s="60">
        <f t="shared" si="18"/>
        <v>0</v>
      </c>
      <c r="AJ116" s="61">
        <f t="shared" si="19"/>
        <v>0</v>
      </c>
      <c r="AK116" s="144"/>
    </row>
    <row r="117" spans="1:37" ht="25.5">
      <c r="A117">
        <v>113</v>
      </c>
      <c r="B117" s="57">
        <v>632</v>
      </c>
      <c r="C117" s="58" t="s">
        <v>458</v>
      </c>
      <c r="D117" s="84" t="s">
        <v>343</v>
      </c>
      <c r="E117" s="82" t="s">
        <v>346</v>
      </c>
      <c r="F117" s="158">
        <v>4</v>
      </c>
      <c r="G117" s="159">
        <v>4</v>
      </c>
      <c r="H117" s="281">
        <f>COUNTIFS(缺陷明细!$A$2:$A$50000,$B$4,缺陷明细!$G$2:$G$50000,$C117,缺陷明细!$J$2:$J$50000,"评审",缺陷明细!$AB$2:$AB$50000,"&lt;&gt;丢弃",缺陷明细!$AB$2:$AB$50000,"&lt;&gt;设计如此",缺陷明细!$AB$2:$AB$50000,"&lt;&gt;重复Bug")</f>
        <v>0</v>
      </c>
      <c r="I117" s="154">
        <f>COUNTIFS(缺陷明细!$A$2:$A$50000,$B$4,缺陷明细!$G$2:$G$50000,$C117,缺陷明细!$Q$2:$Q$50000,"已关闭",缺陷明细!$J$2:$J$50000,"评审")</f>
        <v>0</v>
      </c>
      <c r="J117" s="154">
        <f>COUNTIFS(缺陷明细!$A$2:$A$50000,$B$4,缺陷明细!$G$2:$G$50000,$C117,缺陷明细!$J$2:$J$50000,"单元测试",缺陷明细!$AB$2:$AB$50000,"&lt;&gt;丢弃",缺陷明细!$AB$2:$AB$50000,"&lt;&gt;设计如此",缺陷明细!$AB$2:$AB$50000,"&lt;&gt;重复Bug")</f>
        <v>0</v>
      </c>
      <c r="K117" s="155">
        <f>COUNTIFS(缺陷明细!$A$2:$A$50000,$B$4,缺陷明细!$G$2:$G$50000,$C117,缺陷明细!$Q$2:$Q$50000,"已关闭",缺陷明细!$J$2:$J$50000,"单元测试")</f>
        <v>0</v>
      </c>
      <c r="L117" s="156"/>
      <c r="M117" s="157"/>
      <c r="N117" s="72">
        <f>COUNTIFS(缺陷明细!$A$2:$A$50000,$B$4,缺陷明细!$G$2:$G$50000,$C117,缺陷明细!$J$2:$J$50000,"系统测试案例评审",缺陷明细!$AB$2:$AB$50000,"&lt;&gt;丢弃",缺陷明细!$AB$2:$AB$50000,"&lt;&gt;设计如此",缺陷明细!$AB$2:$AB$50000,"&lt;&gt;重复Bug")</f>
        <v>0</v>
      </c>
      <c r="O117" s="72">
        <f>COUNTIFS(缺陷明细!$A$2:$A$50000,$B$4,缺陷明细!$G$2:$G$50000,$C117,缺陷明细!$Q$2:$Q$50000,"已关闭",缺陷明细!$J$2:$J$50000,"系统测试案例评审")</f>
        <v>0</v>
      </c>
      <c r="P117" s="72">
        <f>COUNTIFS(缺陷明细!$A$2:$A$50000,$B$4,缺陷明细!$G$2:$G$50000,$C117,缺陷明细!$J$2:$J$50000,"系统测试",缺陷明细!$AB$2:$AB$50000,"&lt;&gt;丢弃",缺陷明细!$AB$2:$AB$50000,"&lt;&gt;设计如此",缺陷明细!$AB$2:$AB$50000,"&lt;&gt;重复Bug")</f>
        <v>0</v>
      </c>
      <c r="Q117" s="72">
        <f>COUNTIFS(缺陷明细!$A$2:$A$50000,$B$4,缺陷明细!$G$2:$G$50000,$C117,缺陷明细!$Q$2:$Q$50000,"已关闭",缺陷明细!$J$2:$J$50000,"系统测试")</f>
        <v>0</v>
      </c>
      <c r="R117" s="296">
        <f>COUNTIFS(缺陷明细!$A$2:$A$50000,$B$4,缺陷明细!$G$2:$G$50000,$C117,缺陷明细!$AB$2:$AB$50000,"丢弃",缺陷明细!$J$2:$J$50000,"系统测试")+COUNTIFS(缺陷明细!$A$2:$A$50000,$B$4,缺陷明细!$G$2:$G$50000,$C117,缺陷明细!$AB$2:$AB$50000,"设计如此",缺陷明细!$J$2:$J$50000,"系统测试")+COUNTIFS(缺陷明细!$A$2:$A$50000,$B$4,缺陷明细!$G$2:$G$50000,$C117,缺陷明细!$AB$2:$AB$50000,"重复Bug",缺陷明细!$J$2:$J$50000,"系统测试")</f>
        <v>0</v>
      </c>
      <c r="S117" s="72">
        <f>COUNTIFS(缺陷明细!$A$2:$A$50000,$B$4,缺陷明细!$G$2:$G$50000,$C117,缺陷明细!$J$2:$J$50000,"系统测试",缺陷明细!$K$2:$K$50000,"致命",缺陷明细!$AB$2:$AB$50000,"&lt;&gt;丢弃",缺陷明细!$AB$2:$AB$50000,"&lt;&gt;设计如此",缺陷明细!$AB$2:$AB$50000,"&lt;&gt;重复Bug")+COUNTIFS(缺陷明细!$A$2:$A$50000,$B$4,缺陷明细!$G$2:$G$50000,$C117,缺陷明细!$J$2:$J$50000,"系统测试",缺陷明细!$K$2:$K$50000,"严重",缺陷明细!$AB$2:$AB$50000,"&lt;&gt;丢弃",缺陷明细!$AB$2:$AB$50000,"&lt;&gt;设计如此",缺陷明细!$AB$2:$AB$50000,"&lt;&gt;重复Bug")</f>
        <v>0</v>
      </c>
      <c r="T117" s="73">
        <f>COUNTIFS(缺陷明细!$A$2:$A$50000,$B$4,缺陷明细!$G$2:$G$50000,$C117,缺陷明细!$Q$2:$Q$50000,"已关闭",缺陷明细!$J$2:$J$50000,"系统测试",缺陷明细!$K$2:$K$50000,"致命")+COUNTIFS(缺陷明细!$A$2:$A$50000,$B$4,缺陷明细!$G$2:$G$50000,$C117,缺陷明细!$Q$2:$Q$50000,"已关闭",缺陷明细!$J$2:$J$50000,"系统测试",缺陷明细!$K$2:$K$50000,"严重")</f>
        <v>0</v>
      </c>
      <c r="U117" s="74">
        <f>COUNTIFS(缺陷明细!$A$2:$A$50000,$B$4,缺陷明细!$G$2:$G$50000,$C117,缺陷明细!$J$2:$J$50000,"验收测试",缺陷明细!$AB$2:$AB$50000,"&lt;&gt;丢弃",缺陷明细!$AB$2:$AB$50000,"&lt;&gt;设计如此",缺陷明细!$AB$2:$AB$50000,"&lt;&gt;重复Bug")</f>
        <v>0</v>
      </c>
      <c r="V117" s="75">
        <f>COUNTIFS(缺陷明细!$A$2:$A$50000,$B$4,缺陷明细!$G$2:$G$50000,$C117,缺陷明细!$Q$2:$Q$50000,"已关闭",缺陷明细!$J$2:$J$50000,"验收测试")</f>
        <v>0</v>
      </c>
      <c r="W117" s="75">
        <f>COUNTIFS(缺陷明细!$A$2:$A$50000,$B$4,缺陷明细!$G$2:$G$50000,$C117,缺陷明细!$J$2:$J$50000,"验收测试",缺陷明细!$K$2:$K$50000,"致命",缺陷明细!$AB$2:$AB$50000,"&lt;&gt;丢弃",缺陷明细!$AB$2:$AB$50000,"&lt;&gt;设计如此",缺陷明细!$AB$2:$AB$50000,"&lt;&gt;重复Bug")+COUNTIFS(缺陷明细!$A$2:$A$50000,$B$4,缺陷明细!$G$2:$G$50000,$C117,缺陷明细!$J$2:$J$50000,"验收测试",缺陷明细!$K$2:$K$50000,"严重",缺陷明细!$AB$2:$AB$50000,"&lt;&gt;丢弃",缺陷明细!$AB$2:$AB$50000,"&lt;&gt;设计如此",缺陷明细!$AB$2:$AB$50000,"&lt;&gt;重复Bug")</f>
        <v>0</v>
      </c>
      <c r="X117" s="76">
        <f>COUNTIFS(缺陷明细!$A$2:$A$50000,$B$4,缺陷明细!$G$2:$G$50000,$C117,缺陷明细!$Q$2:$Q$50000,"已关闭",缺陷明细!$J$2:$J$50000,"验收测试",缺陷明细!$K$2:$K$50000,"致命")+COUNTIFS(缺陷明细!$A$2:$A$50000,$B$4,缺陷明细!$G$2:$G$50000,$C117,缺陷明细!$Q$2:$Q$50000,"已关闭",缺陷明细!$J$2:$J$50000,"验收测试",缺陷明细!$K$2:$K$50000,"严重")</f>
        <v>0</v>
      </c>
      <c r="Y117" s="70">
        <f>COUNTIFS(缺陷明细!$A$2:$A$50000,$B$4,缺陷明细!$G$2:$G$50000,$C117,缺陷明细!$J$2:$J$50000,"运维测试",缺陷明细!$AB$2:$AB$50000,"&lt;&gt;丢弃",缺陷明细!$AB$2:$AB$50000,"&lt;&gt;设计如此",缺陷明细!$AB$2:$AB$50000,"&lt;&gt;重复Bug")</f>
        <v>0</v>
      </c>
      <c r="Z117" s="71">
        <f>COUNTIFS(缺陷明细!$A$2:$A$50000,$B$4,缺陷明细!$G$2:$G$50000,$C117,缺陷明细!$Q$2:$Q$50000,"已关闭",缺陷明细!$J$2:$J$50000,"运维测试")</f>
        <v>0</v>
      </c>
      <c r="AA117" s="72">
        <f>COUNTIFS(缺陷明细!$A$2:$A$50000,$B$4,缺陷明细!$G$2:$G$50000,$C117,缺陷明细!$J$2:$J$50000,"运维测试",缺陷明细!$K$2:$K$50000,"致命",缺陷明细!$AB$2:$AB$50000,"&lt;&gt;丢弃",缺陷明细!$AB$2:$AB$50000,"&lt;&gt;设计如此",缺陷明细!$AB$2:$AB$50000,"&lt;&gt;重复Bug")+COUNTIFS(缺陷明细!$A$2:$A$50000,$B$4,缺陷明细!$G$2:$G$50000,$C117,缺陷明细!$J$2:$J$50000,"运维测试",缺陷明细!$K$2:$K$50000,"严重",缺陷明细!$AB$2:$AB$50000,"&lt;&gt;丢弃",缺陷明细!$AB$2:$AB$50000,"&lt;&gt;设计如此",缺陷明细!$AB$2:$AB$50000,"&lt;&gt;重复Bug")</f>
        <v>0</v>
      </c>
      <c r="AB117" s="73">
        <f>COUNTIFS(缺陷明细!$A$2:$A$50000,$B$4,缺陷明细!$G$2:$G$50000,$C117,缺陷明细!$Q$2:$Q$50000,"已关闭",缺陷明细!$J$2:$J$50000,"运维测试",缺陷明细!$K$2:$K$50000,"致命")+COUNTIFS(缺陷明细!$A$2:$A$50000,$B$4,缺陷明细!$G$2:$G$50000,$C117,缺陷明细!$Q$2:$Q$50000,"已关闭",缺陷明细!$J$2:$J$50000,"运维测试",缺陷明细!$K$2:$K$50000,"严重")</f>
        <v>0</v>
      </c>
      <c r="AC117" s="68">
        <f t="shared" si="12"/>
        <v>0</v>
      </c>
      <c r="AD117" s="60">
        <f t="shared" si="13"/>
        <v>0</v>
      </c>
      <c r="AE117" s="60">
        <f t="shared" si="14"/>
        <v>0</v>
      </c>
      <c r="AF117" s="60">
        <f t="shared" si="15"/>
        <v>0</v>
      </c>
      <c r="AG117" s="60">
        <f t="shared" si="16"/>
        <v>0</v>
      </c>
      <c r="AH117" s="60">
        <f t="shared" si="17"/>
        <v>0</v>
      </c>
      <c r="AI117" s="60">
        <f t="shared" si="18"/>
        <v>0</v>
      </c>
      <c r="AJ117" s="61">
        <f t="shared" si="19"/>
        <v>0</v>
      </c>
      <c r="AK117" s="144"/>
    </row>
    <row r="118" spans="1:37" ht="25.5">
      <c r="A118">
        <v>114</v>
      </c>
      <c r="B118" s="57">
        <v>636</v>
      </c>
      <c r="C118" s="58" t="s">
        <v>459</v>
      </c>
      <c r="D118" s="84" t="s">
        <v>375</v>
      </c>
      <c r="E118" s="82" t="s">
        <v>346</v>
      </c>
      <c r="F118" s="158">
        <v>0.5</v>
      </c>
      <c r="G118" s="159">
        <v>0.5</v>
      </c>
      <c r="H118" s="281">
        <f>COUNTIFS(缺陷明细!$A$2:$A$50000,$B$4,缺陷明细!$G$2:$G$50000,$C118,缺陷明细!$J$2:$J$50000,"评审",缺陷明细!$AB$2:$AB$50000,"&lt;&gt;丢弃",缺陷明细!$AB$2:$AB$50000,"&lt;&gt;设计如此",缺陷明细!$AB$2:$AB$50000,"&lt;&gt;重复Bug")</f>
        <v>0</v>
      </c>
      <c r="I118" s="154">
        <f>COUNTIFS(缺陷明细!$A$2:$A$50000,$B$4,缺陷明细!$G$2:$G$50000,$C118,缺陷明细!$Q$2:$Q$50000,"已关闭",缺陷明细!$J$2:$J$50000,"评审")</f>
        <v>0</v>
      </c>
      <c r="J118" s="154">
        <f>COUNTIFS(缺陷明细!$A$2:$A$50000,$B$4,缺陷明细!$G$2:$G$50000,$C118,缺陷明细!$J$2:$J$50000,"单元测试",缺陷明细!$AB$2:$AB$50000,"&lt;&gt;丢弃",缺陷明细!$AB$2:$AB$50000,"&lt;&gt;设计如此",缺陷明细!$AB$2:$AB$50000,"&lt;&gt;重复Bug")</f>
        <v>0</v>
      </c>
      <c r="K118" s="155">
        <f>COUNTIFS(缺陷明细!$A$2:$A$50000,$B$4,缺陷明细!$G$2:$G$50000,$C118,缺陷明细!$Q$2:$Q$50000,"已关闭",缺陷明细!$J$2:$J$50000,"单元测试")</f>
        <v>0</v>
      </c>
      <c r="L118" s="156"/>
      <c r="M118" s="157"/>
      <c r="N118" s="72">
        <f>COUNTIFS(缺陷明细!$A$2:$A$50000,$B$4,缺陷明细!$G$2:$G$50000,$C118,缺陷明细!$J$2:$J$50000,"系统测试案例评审",缺陷明细!$AB$2:$AB$50000,"&lt;&gt;丢弃",缺陷明细!$AB$2:$AB$50000,"&lt;&gt;设计如此",缺陷明细!$AB$2:$AB$50000,"&lt;&gt;重复Bug")</f>
        <v>0</v>
      </c>
      <c r="O118" s="72">
        <f>COUNTIFS(缺陷明细!$A$2:$A$50000,$B$4,缺陷明细!$G$2:$G$50000,$C118,缺陷明细!$Q$2:$Q$50000,"已关闭",缺陷明细!$J$2:$J$50000,"系统测试案例评审")</f>
        <v>0</v>
      </c>
      <c r="P118" s="72">
        <f>COUNTIFS(缺陷明细!$A$2:$A$50000,$B$4,缺陷明细!$G$2:$G$50000,$C118,缺陷明细!$J$2:$J$50000,"系统测试",缺陷明细!$AB$2:$AB$50000,"&lt;&gt;丢弃",缺陷明细!$AB$2:$AB$50000,"&lt;&gt;设计如此",缺陷明细!$AB$2:$AB$50000,"&lt;&gt;重复Bug")</f>
        <v>0</v>
      </c>
      <c r="Q118" s="72">
        <f>COUNTIFS(缺陷明细!$A$2:$A$50000,$B$4,缺陷明细!$G$2:$G$50000,$C118,缺陷明细!$Q$2:$Q$50000,"已关闭",缺陷明细!$J$2:$J$50000,"系统测试")</f>
        <v>0</v>
      </c>
      <c r="R118" s="296">
        <f>COUNTIFS(缺陷明细!$A$2:$A$50000,$B$4,缺陷明细!$G$2:$G$50000,$C118,缺陷明细!$AB$2:$AB$50000,"丢弃",缺陷明细!$J$2:$J$50000,"系统测试")+COUNTIFS(缺陷明细!$A$2:$A$50000,$B$4,缺陷明细!$G$2:$G$50000,$C118,缺陷明细!$AB$2:$AB$50000,"设计如此",缺陷明细!$J$2:$J$50000,"系统测试")+COUNTIFS(缺陷明细!$A$2:$A$50000,$B$4,缺陷明细!$G$2:$G$50000,$C118,缺陷明细!$AB$2:$AB$50000,"重复Bug",缺陷明细!$J$2:$J$50000,"系统测试")</f>
        <v>0</v>
      </c>
      <c r="S118" s="72">
        <f>COUNTIFS(缺陷明细!$A$2:$A$50000,$B$4,缺陷明细!$G$2:$G$50000,$C118,缺陷明细!$J$2:$J$50000,"系统测试",缺陷明细!$K$2:$K$50000,"致命",缺陷明细!$AB$2:$AB$50000,"&lt;&gt;丢弃",缺陷明细!$AB$2:$AB$50000,"&lt;&gt;设计如此",缺陷明细!$AB$2:$AB$50000,"&lt;&gt;重复Bug")+COUNTIFS(缺陷明细!$A$2:$A$50000,$B$4,缺陷明细!$G$2:$G$50000,$C118,缺陷明细!$J$2:$J$50000,"系统测试",缺陷明细!$K$2:$K$50000,"严重",缺陷明细!$AB$2:$AB$50000,"&lt;&gt;丢弃",缺陷明细!$AB$2:$AB$50000,"&lt;&gt;设计如此",缺陷明细!$AB$2:$AB$50000,"&lt;&gt;重复Bug")</f>
        <v>0</v>
      </c>
      <c r="T118" s="73">
        <f>COUNTIFS(缺陷明细!$A$2:$A$50000,$B$4,缺陷明细!$G$2:$G$50000,$C118,缺陷明细!$Q$2:$Q$50000,"已关闭",缺陷明细!$J$2:$J$50000,"系统测试",缺陷明细!$K$2:$K$50000,"致命")+COUNTIFS(缺陷明细!$A$2:$A$50000,$B$4,缺陷明细!$G$2:$G$50000,$C118,缺陷明细!$Q$2:$Q$50000,"已关闭",缺陷明细!$J$2:$J$50000,"系统测试",缺陷明细!$K$2:$K$50000,"严重")</f>
        <v>0</v>
      </c>
      <c r="U118" s="74">
        <f>COUNTIFS(缺陷明细!$A$2:$A$50000,$B$4,缺陷明细!$G$2:$G$50000,$C118,缺陷明细!$J$2:$J$50000,"验收测试",缺陷明细!$AB$2:$AB$50000,"&lt;&gt;丢弃",缺陷明细!$AB$2:$AB$50000,"&lt;&gt;设计如此",缺陷明细!$AB$2:$AB$50000,"&lt;&gt;重复Bug")</f>
        <v>0</v>
      </c>
      <c r="V118" s="75">
        <f>COUNTIFS(缺陷明细!$A$2:$A$50000,$B$4,缺陷明细!$G$2:$G$50000,$C118,缺陷明细!$Q$2:$Q$50000,"已关闭",缺陷明细!$J$2:$J$50000,"验收测试")</f>
        <v>0</v>
      </c>
      <c r="W118" s="75">
        <f>COUNTIFS(缺陷明细!$A$2:$A$50000,$B$4,缺陷明细!$G$2:$G$50000,$C118,缺陷明细!$J$2:$J$50000,"验收测试",缺陷明细!$K$2:$K$50000,"致命",缺陷明细!$AB$2:$AB$50000,"&lt;&gt;丢弃",缺陷明细!$AB$2:$AB$50000,"&lt;&gt;设计如此",缺陷明细!$AB$2:$AB$50000,"&lt;&gt;重复Bug")+COUNTIFS(缺陷明细!$A$2:$A$50000,$B$4,缺陷明细!$G$2:$G$50000,$C118,缺陷明细!$J$2:$J$50000,"验收测试",缺陷明细!$K$2:$K$50000,"严重",缺陷明细!$AB$2:$AB$50000,"&lt;&gt;丢弃",缺陷明细!$AB$2:$AB$50000,"&lt;&gt;设计如此",缺陷明细!$AB$2:$AB$50000,"&lt;&gt;重复Bug")</f>
        <v>0</v>
      </c>
      <c r="X118" s="76">
        <f>COUNTIFS(缺陷明细!$A$2:$A$50000,$B$4,缺陷明细!$G$2:$G$50000,$C118,缺陷明细!$Q$2:$Q$50000,"已关闭",缺陷明细!$J$2:$J$50000,"验收测试",缺陷明细!$K$2:$K$50000,"致命")+COUNTIFS(缺陷明细!$A$2:$A$50000,$B$4,缺陷明细!$G$2:$G$50000,$C118,缺陷明细!$Q$2:$Q$50000,"已关闭",缺陷明细!$J$2:$J$50000,"验收测试",缺陷明细!$K$2:$K$50000,"严重")</f>
        <v>0</v>
      </c>
      <c r="Y118" s="70">
        <f>COUNTIFS(缺陷明细!$A$2:$A$50000,$B$4,缺陷明细!$G$2:$G$50000,$C118,缺陷明细!$J$2:$J$50000,"运维测试",缺陷明细!$AB$2:$AB$50000,"&lt;&gt;丢弃",缺陷明细!$AB$2:$AB$50000,"&lt;&gt;设计如此",缺陷明细!$AB$2:$AB$50000,"&lt;&gt;重复Bug")</f>
        <v>0</v>
      </c>
      <c r="Z118" s="71">
        <f>COUNTIFS(缺陷明细!$A$2:$A$50000,$B$4,缺陷明细!$G$2:$G$50000,$C118,缺陷明细!$Q$2:$Q$50000,"已关闭",缺陷明细!$J$2:$J$50000,"运维测试")</f>
        <v>0</v>
      </c>
      <c r="AA118" s="72">
        <f>COUNTIFS(缺陷明细!$A$2:$A$50000,$B$4,缺陷明细!$G$2:$G$50000,$C118,缺陷明细!$J$2:$J$50000,"运维测试",缺陷明细!$K$2:$K$50000,"致命",缺陷明细!$AB$2:$AB$50000,"&lt;&gt;丢弃",缺陷明细!$AB$2:$AB$50000,"&lt;&gt;设计如此",缺陷明细!$AB$2:$AB$50000,"&lt;&gt;重复Bug")+COUNTIFS(缺陷明细!$A$2:$A$50000,$B$4,缺陷明细!$G$2:$G$50000,$C118,缺陷明细!$J$2:$J$50000,"运维测试",缺陷明细!$K$2:$K$50000,"严重",缺陷明细!$AB$2:$AB$50000,"&lt;&gt;丢弃",缺陷明细!$AB$2:$AB$50000,"&lt;&gt;设计如此",缺陷明细!$AB$2:$AB$50000,"&lt;&gt;重复Bug")</f>
        <v>0</v>
      </c>
      <c r="AB118" s="73">
        <f>COUNTIFS(缺陷明细!$A$2:$A$50000,$B$4,缺陷明细!$G$2:$G$50000,$C118,缺陷明细!$Q$2:$Q$50000,"已关闭",缺陷明细!$J$2:$J$50000,"运维测试",缺陷明细!$K$2:$K$50000,"致命")+COUNTIFS(缺陷明细!$A$2:$A$50000,$B$4,缺陷明细!$G$2:$G$50000,$C118,缺陷明细!$Q$2:$Q$50000,"已关闭",缺陷明细!$J$2:$J$50000,"运维测试",缺陷明细!$K$2:$K$50000,"严重")</f>
        <v>0</v>
      </c>
      <c r="AC118" s="68">
        <f t="shared" si="12"/>
        <v>0</v>
      </c>
      <c r="AD118" s="60">
        <f t="shared" si="13"/>
        <v>0</v>
      </c>
      <c r="AE118" s="60">
        <f t="shared" si="14"/>
        <v>0</v>
      </c>
      <c r="AF118" s="60">
        <f t="shared" si="15"/>
        <v>0</v>
      </c>
      <c r="AG118" s="60">
        <f t="shared" si="16"/>
        <v>0</v>
      </c>
      <c r="AH118" s="60">
        <f t="shared" si="17"/>
        <v>0</v>
      </c>
      <c r="AI118" s="60">
        <f t="shared" si="18"/>
        <v>0</v>
      </c>
      <c r="AJ118" s="61">
        <f t="shared" si="19"/>
        <v>0</v>
      </c>
      <c r="AK118" s="144"/>
    </row>
    <row r="119" spans="1:37" ht="38.25">
      <c r="A119">
        <v>115</v>
      </c>
      <c r="B119" s="57">
        <v>637</v>
      </c>
      <c r="C119" s="58" t="s">
        <v>460</v>
      </c>
      <c r="D119" s="84" t="s">
        <v>343</v>
      </c>
      <c r="E119" s="82" t="s">
        <v>346</v>
      </c>
      <c r="F119" s="158">
        <v>8</v>
      </c>
      <c r="G119" s="159">
        <v>6</v>
      </c>
      <c r="H119" s="281">
        <f>COUNTIFS(缺陷明细!$A$2:$A$50000,$B$4,缺陷明细!$G$2:$G$50000,$C119,缺陷明细!$J$2:$J$50000,"评审",缺陷明细!$AB$2:$AB$50000,"&lt;&gt;丢弃",缺陷明细!$AB$2:$AB$50000,"&lt;&gt;设计如此",缺陷明细!$AB$2:$AB$50000,"&lt;&gt;重复Bug")</f>
        <v>0</v>
      </c>
      <c r="I119" s="154">
        <f>COUNTIFS(缺陷明细!$A$2:$A$50000,$B$4,缺陷明细!$G$2:$G$50000,$C119,缺陷明细!$Q$2:$Q$50000,"已关闭",缺陷明细!$J$2:$J$50000,"评审")</f>
        <v>0</v>
      </c>
      <c r="J119" s="154">
        <f>COUNTIFS(缺陷明细!$A$2:$A$50000,$B$4,缺陷明细!$G$2:$G$50000,$C119,缺陷明细!$J$2:$J$50000,"单元测试",缺陷明细!$AB$2:$AB$50000,"&lt;&gt;丢弃",缺陷明细!$AB$2:$AB$50000,"&lt;&gt;设计如此",缺陷明细!$AB$2:$AB$50000,"&lt;&gt;重复Bug")</f>
        <v>0</v>
      </c>
      <c r="K119" s="155">
        <f>COUNTIFS(缺陷明细!$A$2:$A$50000,$B$4,缺陷明细!$G$2:$G$50000,$C119,缺陷明细!$Q$2:$Q$50000,"已关闭",缺陷明细!$J$2:$J$50000,"单元测试")</f>
        <v>0</v>
      </c>
      <c r="L119" s="156"/>
      <c r="M119" s="157"/>
      <c r="N119" s="72">
        <f>COUNTIFS(缺陷明细!$A$2:$A$50000,$B$4,缺陷明细!$G$2:$G$50000,$C119,缺陷明细!$J$2:$J$50000,"系统测试案例评审",缺陷明细!$AB$2:$AB$50000,"&lt;&gt;丢弃",缺陷明细!$AB$2:$AB$50000,"&lt;&gt;设计如此",缺陷明细!$AB$2:$AB$50000,"&lt;&gt;重复Bug")</f>
        <v>0</v>
      </c>
      <c r="O119" s="72">
        <f>COUNTIFS(缺陷明细!$A$2:$A$50000,$B$4,缺陷明细!$G$2:$G$50000,$C119,缺陷明细!$Q$2:$Q$50000,"已关闭",缺陷明细!$J$2:$J$50000,"系统测试案例评审")</f>
        <v>0</v>
      </c>
      <c r="P119" s="72">
        <f>COUNTIFS(缺陷明细!$A$2:$A$50000,$B$4,缺陷明细!$G$2:$G$50000,$C119,缺陷明细!$J$2:$J$50000,"系统测试",缺陷明细!$AB$2:$AB$50000,"&lt;&gt;丢弃",缺陷明细!$AB$2:$AB$50000,"&lt;&gt;设计如此",缺陷明细!$AB$2:$AB$50000,"&lt;&gt;重复Bug")</f>
        <v>0</v>
      </c>
      <c r="Q119" s="72">
        <f>COUNTIFS(缺陷明细!$A$2:$A$50000,$B$4,缺陷明细!$G$2:$G$50000,$C119,缺陷明细!$Q$2:$Q$50000,"已关闭",缺陷明细!$J$2:$J$50000,"系统测试")</f>
        <v>0</v>
      </c>
      <c r="R119" s="296">
        <f>COUNTIFS(缺陷明细!$A$2:$A$50000,$B$4,缺陷明细!$G$2:$G$50000,$C119,缺陷明细!$AB$2:$AB$50000,"丢弃",缺陷明细!$J$2:$J$50000,"系统测试")+COUNTIFS(缺陷明细!$A$2:$A$50000,$B$4,缺陷明细!$G$2:$G$50000,$C119,缺陷明细!$AB$2:$AB$50000,"设计如此",缺陷明细!$J$2:$J$50000,"系统测试")+COUNTIFS(缺陷明细!$A$2:$A$50000,$B$4,缺陷明细!$G$2:$G$50000,$C119,缺陷明细!$AB$2:$AB$50000,"重复Bug",缺陷明细!$J$2:$J$50000,"系统测试")</f>
        <v>0</v>
      </c>
      <c r="S119" s="72">
        <f>COUNTIFS(缺陷明细!$A$2:$A$50000,$B$4,缺陷明细!$G$2:$G$50000,$C119,缺陷明细!$J$2:$J$50000,"系统测试",缺陷明细!$K$2:$K$50000,"致命",缺陷明细!$AB$2:$AB$50000,"&lt;&gt;丢弃",缺陷明细!$AB$2:$AB$50000,"&lt;&gt;设计如此",缺陷明细!$AB$2:$AB$50000,"&lt;&gt;重复Bug")+COUNTIFS(缺陷明细!$A$2:$A$50000,$B$4,缺陷明细!$G$2:$G$50000,$C119,缺陷明细!$J$2:$J$50000,"系统测试",缺陷明细!$K$2:$K$50000,"严重",缺陷明细!$AB$2:$AB$50000,"&lt;&gt;丢弃",缺陷明细!$AB$2:$AB$50000,"&lt;&gt;设计如此",缺陷明细!$AB$2:$AB$50000,"&lt;&gt;重复Bug")</f>
        <v>0</v>
      </c>
      <c r="T119" s="73">
        <f>COUNTIFS(缺陷明细!$A$2:$A$50000,$B$4,缺陷明细!$G$2:$G$50000,$C119,缺陷明细!$Q$2:$Q$50000,"已关闭",缺陷明细!$J$2:$J$50000,"系统测试",缺陷明细!$K$2:$K$50000,"致命")+COUNTIFS(缺陷明细!$A$2:$A$50000,$B$4,缺陷明细!$G$2:$G$50000,$C119,缺陷明细!$Q$2:$Q$50000,"已关闭",缺陷明细!$J$2:$J$50000,"系统测试",缺陷明细!$K$2:$K$50000,"严重")</f>
        <v>0</v>
      </c>
      <c r="U119" s="74">
        <f>COUNTIFS(缺陷明细!$A$2:$A$50000,$B$4,缺陷明细!$G$2:$G$50000,$C119,缺陷明细!$J$2:$J$50000,"验收测试",缺陷明细!$AB$2:$AB$50000,"&lt;&gt;丢弃",缺陷明细!$AB$2:$AB$50000,"&lt;&gt;设计如此",缺陷明细!$AB$2:$AB$50000,"&lt;&gt;重复Bug")</f>
        <v>0</v>
      </c>
      <c r="V119" s="75">
        <f>COUNTIFS(缺陷明细!$A$2:$A$50000,$B$4,缺陷明细!$G$2:$G$50000,$C119,缺陷明细!$Q$2:$Q$50000,"已关闭",缺陷明细!$J$2:$J$50000,"验收测试")</f>
        <v>0</v>
      </c>
      <c r="W119" s="75">
        <f>COUNTIFS(缺陷明细!$A$2:$A$50000,$B$4,缺陷明细!$G$2:$G$50000,$C119,缺陷明细!$J$2:$J$50000,"验收测试",缺陷明细!$K$2:$K$50000,"致命",缺陷明细!$AB$2:$AB$50000,"&lt;&gt;丢弃",缺陷明细!$AB$2:$AB$50000,"&lt;&gt;设计如此",缺陷明细!$AB$2:$AB$50000,"&lt;&gt;重复Bug")+COUNTIFS(缺陷明细!$A$2:$A$50000,$B$4,缺陷明细!$G$2:$G$50000,$C119,缺陷明细!$J$2:$J$50000,"验收测试",缺陷明细!$K$2:$K$50000,"严重",缺陷明细!$AB$2:$AB$50000,"&lt;&gt;丢弃",缺陷明细!$AB$2:$AB$50000,"&lt;&gt;设计如此",缺陷明细!$AB$2:$AB$50000,"&lt;&gt;重复Bug")</f>
        <v>0</v>
      </c>
      <c r="X119" s="76">
        <f>COUNTIFS(缺陷明细!$A$2:$A$50000,$B$4,缺陷明细!$G$2:$G$50000,$C119,缺陷明细!$Q$2:$Q$50000,"已关闭",缺陷明细!$J$2:$J$50000,"验收测试",缺陷明细!$K$2:$K$50000,"致命")+COUNTIFS(缺陷明细!$A$2:$A$50000,$B$4,缺陷明细!$G$2:$G$50000,$C119,缺陷明细!$Q$2:$Q$50000,"已关闭",缺陷明细!$J$2:$J$50000,"验收测试",缺陷明细!$K$2:$K$50000,"严重")</f>
        <v>0</v>
      </c>
      <c r="Y119" s="70">
        <f>COUNTIFS(缺陷明细!$A$2:$A$50000,$B$4,缺陷明细!$G$2:$G$50000,$C119,缺陷明细!$J$2:$J$50000,"运维测试",缺陷明细!$AB$2:$AB$50000,"&lt;&gt;丢弃",缺陷明细!$AB$2:$AB$50000,"&lt;&gt;设计如此",缺陷明细!$AB$2:$AB$50000,"&lt;&gt;重复Bug")</f>
        <v>0</v>
      </c>
      <c r="Z119" s="71">
        <f>COUNTIFS(缺陷明细!$A$2:$A$50000,$B$4,缺陷明细!$G$2:$G$50000,$C119,缺陷明细!$Q$2:$Q$50000,"已关闭",缺陷明细!$J$2:$J$50000,"运维测试")</f>
        <v>0</v>
      </c>
      <c r="AA119" s="72">
        <f>COUNTIFS(缺陷明细!$A$2:$A$50000,$B$4,缺陷明细!$G$2:$G$50000,$C119,缺陷明细!$J$2:$J$50000,"运维测试",缺陷明细!$K$2:$K$50000,"致命",缺陷明细!$AB$2:$AB$50000,"&lt;&gt;丢弃",缺陷明细!$AB$2:$AB$50000,"&lt;&gt;设计如此",缺陷明细!$AB$2:$AB$50000,"&lt;&gt;重复Bug")+COUNTIFS(缺陷明细!$A$2:$A$50000,$B$4,缺陷明细!$G$2:$G$50000,$C119,缺陷明细!$J$2:$J$50000,"运维测试",缺陷明细!$K$2:$K$50000,"严重",缺陷明细!$AB$2:$AB$50000,"&lt;&gt;丢弃",缺陷明细!$AB$2:$AB$50000,"&lt;&gt;设计如此",缺陷明细!$AB$2:$AB$50000,"&lt;&gt;重复Bug")</f>
        <v>0</v>
      </c>
      <c r="AB119" s="73">
        <f>COUNTIFS(缺陷明细!$A$2:$A$50000,$B$4,缺陷明细!$G$2:$G$50000,$C119,缺陷明细!$Q$2:$Q$50000,"已关闭",缺陷明细!$J$2:$J$50000,"运维测试",缺陷明细!$K$2:$K$50000,"致命")+COUNTIFS(缺陷明细!$A$2:$A$50000,$B$4,缺陷明细!$G$2:$G$50000,$C119,缺陷明细!$Q$2:$Q$50000,"已关闭",缺陷明细!$J$2:$J$50000,"运维测试",缺陷明细!$K$2:$K$50000,"严重")</f>
        <v>0</v>
      </c>
      <c r="AC119" s="68">
        <f t="shared" si="12"/>
        <v>0</v>
      </c>
      <c r="AD119" s="60">
        <f t="shared" si="13"/>
        <v>0</v>
      </c>
      <c r="AE119" s="60">
        <f t="shared" si="14"/>
        <v>0</v>
      </c>
      <c r="AF119" s="60">
        <f t="shared" si="15"/>
        <v>0</v>
      </c>
      <c r="AG119" s="60">
        <f t="shared" si="16"/>
        <v>0</v>
      </c>
      <c r="AH119" s="60">
        <f t="shared" si="17"/>
        <v>0</v>
      </c>
      <c r="AI119" s="60">
        <f t="shared" si="18"/>
        <v>0</v>
      </c>
      <c r="AJ119" s="61">
        <f t="shared" si="19"/>
        <v>0</v>
      </c>
      <c r="AK119" s="144"/>
    </row>
    <row r="120" spans="1:37">
      <c r="A120">
        <v>116</v>
      </c>
      <c r="B120" s="57">
        <v>665</v>
      </c>
      <c r="C120" s="58" t="s">
        <v>461</v>
      </c>
      <c r="D120" s="84"/>
      <c r="E120" s="82" t="s">
        <v>344</v>
      </c>
      <c r="F120" s="158">
        <v>0</v>
      </c>
      <c r="G120" s="159">
        <v>0</v>
      </c>
      <c r="H120" s="281">
        <f>COUNTIFS(缺陷明细!$A$2:$A$50000,$B$4,缺陷明细!$G$2:$G$50000,$C120,缺陷明细!$J$2:$J$50000,"评审",缺陷明细!$AB$2:$AB$50000,"&lt;&gt;丢弃",缺陷明细!$AB$2:$AB$50000,"&lt;&gt;设计如此",缺陷明细!$AB$2:$AB$50000,"&lt;&gt;重复Bug")</f>
        <v>0</v>
      </c>
      <c r="I120" s="154">
        <f>COUNTIFS(缺陷明细!$A$2:$A$50000,$B$4,缺陷明细!$G$2:$G$50000,$C120,缺陷明细!$Q$2:$Q$50000,"已关闭",缺陷明细!$J$2:$J$50000,"评审")</f>
        <v>0</v>
      </c>
      <c r="J120" s="154">
        <f>COUNTIFS(缺陷明细!$A$2:$A$50000,$B$4,缺陷明细!$G$2:$G$50000,$C120,缺陷明细!$J$2:$J$50000,"单元测试",缺陷明细!$AB$2:$AB$50000,"&lt;&gt;丢弃",缺陷明细!$AB$2:$AB$50000,"&lt;&gt;设计如此",缺陷明细!$AB$2:$AB$50000,"&lt;&gt;重复Bug")</f>
        <v>0</v>
      </c>
      <c r="K120" s="155">
        <f>COUNTIFS(缺陷明细!$A$2:$A$50000,$B$4,缺陷明细!$G$2:$G$50000,$C120,缺陷明细!$Q$2:$Q$50000,"已关闭",缺陷明细!$J$2:$J$50000,"单元测试")</f>
        <v>0</v>
      </c>
      <c r="L120" s="156"/>
      <c r="M120" s="157"/>
      <c r="N120" s="72">
        <f>COUNTIFS(缺陷明细!$A$2:$A$50000,$B$4,缺陷明细!$G$2:$G$50000,$C120,缺陷明细!$J$2:$J$50000,"系统测试案例评审",缺陷明细!$AB$2:$AB$50000,"&lt;&gt;丢弃",缺陷明细!$AB$2:$AB$50000,"&lt;&gt;设计如此",缺陷明细!$AB$2:$AB$50000,"&lt;&gt;重复Bug")</f>
        <v>0</v>
      </c>
      <c r="O120" s="72">
        <f>COUNTIFS(缺陷明细!$A$2:$A$50000,$B$4,缺陷明细!$G$2:$G$50000,$C120,缺陷明细!$Q$2:$Q$50000,"已关闭",缺陷明细!$J$2:$J$50000,"系统测试案例评审")</f>
        <v>0</v>
      </c>
      <c r="P120" s="72">
        <f>COUNTIFS(缺陷明细!$A$2:$A$50000,$B$4,缺陷明细!$G$2:$G$50000,$C120,缺陷明细!$J$2:$J$50000,"系统测试",缺陷明细!$AB$2:$AB$50000,"&lt;&gt;丢弃",缺陷明细!$AB$2:$AB$50000,"&lt;&gt;设计如此",缺陷明细!$AB$2:$AB$50000,"&lt;&gt;重复Bug")</f>
        <v>0</v>
      </c>
      <c r="Q120" s="72">
        <f>COUNTIFS(缺陷明细!$A$2:$A$50000,$B$4,缺陷明细!$G$2:$G$50000,$C120,缺陷明细!$Q$2:$Q$50000,"已关闭",缺陷明细!$J$2:$J$50000,"系统测试")</f>
        <v>0</v>
      </c>
      <c r="R120" s="296">
        <f>COUNTIFS(缺陷明细!$A$2:$A$50000,$B$4,缺陷明细!$G$2:$G$50000,$C120,缺陷明细!$AB$2:$AB$50000,"丢弃",缺陷明细!$J$2:$J$50000,"系统测试")+COUNTIFS(缺陷明细!$A$2:$A$50000,$B$4,缺陷明细!$G$2:$G$50000,$C120,缺陷明细!$AB$2:$AB$50000,"设计如此",缺陷明细!$J$2:$J$50000,"系统测试")+COUNTIFS(缺陷明细!$A$2:$A$50000,$B$4,缺陷明细!$G$2:$G$50000,$C120,缺陷明细!$AB$2:$AB$50000,"重复Bug",缺陷明细!$J$2:$J$50000,"系统测试")</f>
        <v>0</v>
      </c>
      <c r="S120" s="72">
        <f>COUNTIFS(缺陷明细!$A$2:$A$50000,$B$4,缺陷明细!$G$2:$G$50000,$C120,缺陷明细!$J$2:$J$50000,"系统测试",缺陷明细!$K$2:$K$50000,"致命",缺陷明细!$AB$2:$AB$50000,"&lt;&gt;丢弃",缺陷明细!$AB$2:$AB$50000,"&lt;&gt;设计如此",缺陷明细!$AB$2:$AB$50000,"&lt;&gt;重复Bug")+COUNTIFS(缺陷明细!$A$2:$A$50000,$B$4,缺陷明细!$G$2:$G$50000,$C120,缺陷明细!$J$2:$J$50000,"系统测试",缺陷明细!$K$2:$K$50000,"严重",缺陷明细!$AB$2:$AB$50000,"&lt;&gt;丢弃",缺陷明细!$AB$2:$AB$50000,"&lt;&gt;设计如此",缺陷明细!$AB$2:$AB$50000,"&lt;&gt;重复Bug")</f>
        <v>0</v>
      </c>
      <c r="T120" s="73">
        <f>COUNTIFS(缺陷明细!$A$2:$A$50000,$B$4,缺陷明细!$G$2:$G$50000,$C120,缺陷明细!$Q$2:$Q$50000,"已关闭",缺陷明细!$J$2:$J$50000,"系统测试",缺陷明细!$K$2:$K$50000,"致命")+COUNTIFS(缺陷明细!$A$2:$A$50000,$B$4,缺陷明细!$G$2:$G$50000,$C120,缺陷明细!$Q$2:$Q$50000,"已关闭",缺陷明细!$J$2:$J$50000,"系统测试",缺陷明细!$K$2:$K$50000,"严重")</f>
        <v>0</v>
      </c>
      <c r="U120" s="74">
        <f>COUNTIFS(缺陷明细!$A$2:$A$50000,$B$4,缺陷明细!$G$2:$G$50000,$C120,缺陷明细!$J$2:$J$50000,"验收测试",缺陷明细!$AB$2:$AB$50000,"&lt;&gt;丢弃",缺陷明细!$AB$2:$AB$50000,"&lt;&gt;设计如此",缺陷明细!$AB$2:$AB$50000,"&lt;&gt;重复Bug")</f>
        <v>0</v>
      </c>
      <c r="V120" s="75">
        <f>COUNTIFS(缺陷明细!$A$2:$A$50000,$B$4,缺陷明细!$G$2:$G$50000,$C120,缺陷明细!$Q$2:$Q$50000,"已关闭",缺陷明细!$J$2:$J$50000,"验收测试")</f>
        <v>0</v>
      </c>
      <c r="W120" s="75">
        <f>COUNTIFS(缺陷明细!$A$2:$A$50000,$B$4,缺陷明细!$G$2:$G$50000,$C120,缺陷明细!$J$2:$J$50000,"验收测试",缺陷明细!$K$2:$K$50000,"致命",缺陷明细!$AB$2:$AB$50000,"&lt;&gt;丢弃",缺陷明细!$AB$2:$AB$50000,"&lt;&gt;设计如此",缺陷明细!$AB$2:$AB$50000,"&lt;&gt;重复Bug")+COUNTIFS(缺陷明细!$A$2:$A$50000,$B$4,缺陷明细!$G$2:$G$50000,$C120,缺陷明细!$J$2:$J$50000,"验收测试",缺陷明细!$K$2:$K$50000,"严重",缺陷明细!$AB$2:$AB$50000,"&lt;&gt;丢弃",缺陷明细!$AB$2:$AB$50000,"&lt;&gt;设计如此",缺陷明细!$AB$2:$AB$50000,"&lt;&gt;重复Bug")</f>
        <v>0</v>
      </c>
      <c r="X120" s="76">
        <f>COUNTIFS(缺陷明细!$A$2:$A$50000,$B$4,缺陷明细!$G$2:$G$50000,$C120,缺陷明细!$Q$2:$Q$50000,"已关闭",缺陷明细!$J$2:$J$50000,"验收测试",缺陷明细!$K$2:$K$50000,"致命")+COUNTIFS(缺陷明细!$A$2:$A$50000,$B$4,缺陷明细!$G$2:$G$50000,$C120,缺陷明细!$Q$2:$Q$50000,"已关闭",缺陷明细!$J$2:$J$50000,"验收测试",缺陷明细!$K$2:$K$50000,"严重")</f>
        <v>0</v>
      </c>
      <c r="Y120" s="70">
        <f>COUNTIFS(缺陷明细!$A$2:$A$50000,$B$4,缺陷明细!$G$2:$G$50000,$C120,缺陷明细!$J$2:$J$50000,"运维测试",缺陷明细!$AB$2:$AB$50000,"&lt;&gt;丢弃",缺陷明细!$AB$2:$AB$50000,"&lt;&gt;设计如此",缺陷明细!$AB$2:$AB$50000,"&lt;&gt;重复Bug")</f>
        <v>0</v>
      </c>
      <c r="Z120" s="71">
        <f>COUNTIFS(缺陷明细!$A$2:$A$50000,$B$4,缺陷明细!$G$2:$G$50000,$C120,缺陷明细!$Q$2:$Q$50000,"已关闭",缺陷明细!$J$2:$J$50000,"运维测试")</f>
        <v>0</v>
      </c>
      <c r="AA120" s="72">
        <f>COUNTIFS(缺陷明细!$A$2:$A$50000,$B$4,缺陷明细!$G$2:$G$50000,$C120,缺陷明细!$J$2:$J$50000,"运维测试",缺陷明细!$K$2:$K$50000,"致命",缺陷明细!$AB$2:$AB$50000,"&lt;&gt;丢弃",缺陷明细!$AB$2:$AB$50000,"&lt;&gt;设计如此",缺陷明细!$AB$2:$AB$50000,"&lt;&gt;重复Bug")+COUNTIFS(缺陷明细!$A$2:$A$50000,$B$4,缺陷明细!$G$2:$G$50000,$C120,缺陷明细!$J$2:$J$50000,"运维测试",缺陷明细!$K$2:$K$50000,"严重",缺陷明细!$AB$2:$AB$50000,"&lt;&gt;丢弃",缺陷明细!$AB$2:$AB$50000,"&lt;&gt;设计如此",缺陷明细!$AB$2:$AB$50000,"&lt;&gt;重复Bug")</f>
        <v>0</v>
      </c>
      <c r="AB120" s="73">
        <f>COUNTIFS(缺陷明细!$A$2:$A$50000,$B$4,缺陷明细!$G$2:$G$50000,$C120,缺陷明细!$Q$2:$Q$50000,"已关闭",缺陷明细!$J$2:$J$50000,"运维测试",缺陷明细!$K$2:$K$50000,"致命")+COUNTIFS(缺陷明细!$A$2:$A$50000,$B$4,缺陷明细!$G$2:$G$50000,$C120,缺陷明细!$Q$2:$Q$50000,"已关闭",缺陷明细!$J$2:$J$50000,"运维测试",缺陷明细!$K$2:$K$50000,"严重")</f>
        <v>0</v>
      </c>
      <c r="AC120" s="68">
        <f t="shared" si="12"/>
        <v>0</v>
      </c>
      <c r="AD120" s="60">
        <f t="shared" si="13"/>
        <v>0</v>
      </c>
      <c r="AE120" s="60">
        <f t="shared" si="14"/>
        <v>0</v>
      </c>
      <c r="AF120" s="60">
        <f t="shared" si="15"/>
        <v>0</v>
      </c>
      <c r="AG120" s="60">
        <f t="shared" si="16"/>
        <v>0</v>
      </c>
      <c r="AH120" s="60">
        <f t="shared" si="17"/>
        <v>0</v>
      </c>
      <c r="AI120" s="60">
        <f t="shared" si="18"/>
        <v>0</v>
      </c>
      <c r="AJ120" s="61">
        <f t="shared" si="19"/>
        <v>0</v>
      </c>
      <c r="AK120" s="144"/>
    </row>
    <row r="121" spans="1:37">
      <c r="A121">
        <v>117</v>
      </c>
      <c r="B121" s="57">
        <v>666</v>
      </c>
      <c r="C121" s="58" t="s">
        <v>461</v>
      </c>
      <c r="D121" s="84"/>
      <c r="E121" s="82" t="s">
        <v>344</v>
      </c>
      <c r="F121" s="158">
        <v>0</v>
      </c>
      <c r="G121" s="159">
        <v>0</v>
      </c>
      <c r="H121" s="281">
        <f>COUNTIFS(缺陷明细!$A$2:$A$50000,$B$4,缺陷明细!$G$2:$G$50000,$C121,缺陷明细!$J$2:$J$50000,"评审",缺陷明细!$AB$2:$AB$50000,"&lt;&gt;丢弃",缺陷明细!$AB$2:$AB$50000,"&lt;&gt;设计如此",缺陷明细!$AB$2:$AB$50000,"&lt;&gt;重复Bug")</f>
        <v>0</v>
      </c>
      <c r="I121" s="154">
        <f>COUNTIFS(缺陷明细!$A$2:$A$50000,$B$4,缺陷明细!$G$2:$G$50000,$C121,缺陷明细!$Q$2:$Q$50000,"已关闭",缺陷明细!$J$2:$J$50000,"评审")</f>
        <v>0</v>
      </c>
      <c r="J121" s="154">
        <f>COUNTIFS(缺陷明细!$A$2:$A$50000,$B$4,缺陷明细!$G$2:$G$50000,$C121,缺陷明细!$J$2:$J$50000,"单元测试",缺陷明细!$AB$2:$AB$50000,"&lt;&gt;丢弃",缺陷明细!$AB$2:$AB$50000,"&lt;&gt;设计如此",缺陷明细!$AB$2:$AB$50000,"&lt;&gt;重复Bug")</f>
        <v>0</v>
      </c>
      <c r="K121" s="155">
        <f>COUNTIFS(缺陷明细!$A$2:$A$50000,$B$4,缺陷明细!$G$2:$G$50000,$C121,缺陷明细!$Q$2:$Q$50000,"已关闭",缺陷明细!$J$2:$J$50000,"单元测试")</f>
        <v>0</v>
      </c>
      <c r="L121" s="156"/>
      <c r="M121" s="157"/>
      <c r="N121" s="72">
        <f>COUNTIFS(缺陷明细!$A$2:$A$50000,$B$4,缺陷明细!$G$2:$G$50000,$C121,缺陷明细!$J$2:$J$50000,"系统测试案例评审",缺陷明细!$AB$2:$AB$50000,"&lt;&gt;丢弃",缺陷明细!$AB$2:$AB$50000,"&lt;&gt;设计如此",缺陷明细!$AB$2:$AB$50000,"&lt;&gt;重复Bug")</f>
        <v>0</v>
      </c>
      <c r="O121" s="72">
        <f>COUNTIFS(缺陷明细!$A$2:$A$50000,$B$4,缺陷明细!$G$2:$G$50000,$C121,缺陷明细!$Q$2:$Q$50000,"已关闭",缺陷明细!$J$2:$J$50000,"系统测试案例评审")</f>
        <v>0</v>
      </c>
      <c r="P121" s="72">
        <f>COUNTIFS(缺陷明细!$A$2:$A$50000,$B$4,缺陷明细!$G$2:$G$50000,$C121,缺陷明细!$J$2:$J$50000,"系统测试",缺陷明细!$AB$2:$AB$50000,"&lt;&gt;丢弃",缺陷明细!$AB$2:$AB$50000,"&lt;&gt;设计如此",缺陷明细!$AB$2:$AB$50000,"&lt;&gt;重复Bug")</f>
        <v>0</v>
      </c>
      <c r="Q121" s="72">
        <f>COUNTIFS(缺陷明细!$A$2:$A$50000,$B$4,缺陷明细!$G$2:$G$50000,$C121,缺陷明细!$Q$2:$Q$50000,"已关闭",缺陷明细!$J$2:$J$50000,"系统测试")</f>
        <v>0</v>
      </c>
      <c r="R121" s="296">
        <f>COUNTIFS(缺陷明细!$A$2:$A$50000,$B$4,缺陷明细!$G$2:$G$50000,$C121,缺陷明细!$AB$2:$AB$50000,"丢弃",缺陷明细!$J$2:$J$50000,"系统测试")+COUNTIFS(缺陷明细!$A$2:$A$50000,$B$4,缺陷明细!$G$2:$G$50000,$C121,缺陷明细!$AB$2:$AB$50000,"设计如此",缺陷明细!$J$2:$J$50000,"系统测试")+COUNTIFS(缺陷明细!$A$2:$A$50000,$B$4,缺陷明细!$G$2:$G$50000,$C121,缺陷明细!$AB$2:$AB$50000,"重复Bug",缺陷明细!$J$2:$J$50000,"系统测试")</f>
        <v>0</v>
      </c>
      <c r="S121" s="72">
        <f>COUNTIFS(缺陷明细!$A$2:$A$50000,$B$4,缺陷明细!$G$2:$G$50000,$C121,缺陷明细!$J$2:$J$50000,"系统测试",缺陷明细!$K$2:$K$50000,"致命",缺陷明细!$AB$2:$AB$50000,"&lt;&gt;丢弃",缺陷明细!$AB$2:$AB$50000,"&lt;&gt;设计如此",缺陷明细!$AB$2:$AB$50000,"&lt;&gt;重复Bug")+COUNTIFS(缺陷明细!$A$2:$A$50000,$B$4,缺陷明细!$G$2:$G$50000,$C121,缺陷明细!$J$2:$J$50000,"系统测试",缺陷明细!$K$2:$K$50000,"严重",缺陷明细!$AB$2:$AB$50000,"&lt;&gt;丢弃",缺陷明细!$AB$2:$AB$50000,"&lt;&gt;设计如此",缺陷明细!$AB$2:$AB$50000,"&lt;&gt;重复Bug")</f>
        <v>0</v>
      </c>
      <c r="T121" s="73">
        <f>COUNTIFS(缺陷明细!$A$2:$A$50000,$B$4,缺陷明细!$G$2:$G$50000,$C121,缺陷明细!$Q$2:$Q$50000,"已关闭",缺陷明细!$J$2:$J$50000,"系统测试",缺陷明细!$K$2:$K$50000,"致命")+COUNTIFS(缺陷明细!$A$2:$A$50000,$B$4,缺陷明细!$G$2:$G$50000,$C121,缺陷明细!$Q$2:$Q$50000,"已关闭",缺陷明细!$J$2:$J$50000,"系统测试",缺陷明细!$K$2:$K$50000,"严重")</f>
        <v>0</v>
      </c>
      <c r="U121" s="74">
        <f>COUNTIFS(缺陷明细!$A$2:$A$50000,$B$4,缺陷明细!$G$2:$G$50000,$C121,缺陷明细!$J$2:$J$50000,"验收测试",缺陷明细!$AB$2:$AB$50000,"&lt;&gt;丢弃",缺陷明细!$AB$2:$AB$50000,"&lt;&gt;设计如此",缺陷明细!$AB$2:$AB$50000,"&lt;&gt;重复Bug")</f>
        <v>0</v>
      </c>
      <c r="V121" s="75">
        <f>COUNTIFS(缺陷明细!$A$2:$A$50000,$B$4,缺陷明细!$G$2:$G$50000,$C121,缺陷明细!$Q$2:$Q$50000,"已关闭",缺陷明细!$J$2:$J$50000,"验收测试")</f>
        <v>0</v>
      </c>
      <c r="W121" s="75">
        <f>COUNTIFS(缺陷明细!$A$2:$A$50000,$B$4,缺陷明细!$G$2:$G$50000,$C121,缺陷明细!$J$2:$J$50000,"验收测试",缺陷明细!$K$2:$K$50000,"致命",缺陷明细!$AB$2:$AB$50000,"&lt;&gt;丢弃",缺陷明细!$AB$2:$AB$50000,"&lt;&gt;设计如此",缺陷明细!$AB$2:$AB$50000,"&lt;&gt;重复Bug")+COUNTIFS(缺陷明细!$A$2:$A$50000,$B$4,缺陷明细!$G$2:$G$50000,$C121,缺陷明细!$J$2:$J$50000,"验收测试",缺陷明细!$K$2:$K$50000,"严重",缺陷明细!$AB$2:$AB$50000,"&lt;&gt;丢弃",缺陷明细!$AB$2:$AB$50000,"&lt;&gt;设计如此",缺陷明细!$AB$2:$AB$50000,"&lt;&gt;重复Bug")</f>
        <v>0</v>
      </c>
      <c r="X121" s="76">
        <f>COUNTIFS(缺陷明细!$A$2:$A$50000,$B$4,缺陷明细!$G$2:$G$50000,$C121,缺陷明细!$Q$2:$Q$50000,"已关闭",缺陷明细!$J$2:$J$50000,"验收测试",缺陷明细!$K$2:$K$50000,"致命")+COUNTIFS(缺陷明细!$A$2:$A$50000,$B$4,缺陷明细!$G$2:$G$50000,$C121,缺陷明细!$Q$2:$Q$50000,"已关闭",缺陷明细!$J$2:$J$50000,"验收测试",缺陷明细!$K$2:$K$50000,"严重")</f>
        <v>0</v>
      </c>
      <c r="Y121" s="70">
        <f>COUNTIFS(缺陷明细!$A$2:$A$50000,$B$4,缺陷明细!$G$2:$G$50000,$C121,缺陷明细!$J$2:$J$50000,"运维测试",缺陷明细!$AB$2:$AB$50000,"&lt;&gt;丢弃",缺陷明细!$AB$2:$AB$50000,"&lt;&gt;设计如此",缺陷明细!$AB$2:$AB$50000,"&lt;&gt;重复Bug")</f>
        <v>0</v>
      </c>
      <c r="Z121" s="71">
        <f>COUNTIFS(缺陷明细!$A$2:$A$50000,$B$4,缺陷明细!$G$2:$G$50000,$C121,缺陷明细!$Q$2:$Q$50000,"已关闭",缺陷明细!$J$2:$J$50000,"运维测试")</f>
        <v>0</v>
      </c>
      <c r="AA121" s="72">
        <f>COUNTIFS(缺陷明细!$A$2:$A$50000,$B$4,缺陷明细!$G$2:$G$50000,$C121,缺陷明细!$J$2:$J$50000,"运维测试",缺陷明细!$K$2:$K$50000,"致命",缺陷明细!$AB$2:$AB$50000,"&lt;&gt;丢弃",缺陷明细!$AB$2:$AB$50000,"&lt;&gt;设计如此",缺陷明细!$AB$2:$AB$50000,"&lt;&gt;重复Bug")+COUNTIFS(缺陷明细!$A$2:$A$50000,$B$4,缺陷明细!$G$2:$G$50000,$C121,缺陷明细!$J$2:$J$50000,"运维测试",缺陷明细!$K$2:$K$50000,"严重",缺陷明细!$AB$2:$AB$50000,"&lt;&gt;丢弃",缺陷明细!$AB$2:$AB$50000,"&lt;&gt;设计如此",缺陷明细!$AB$2:$AB$50000,"&lt;&gt;重复Bug")</f>
        <v>0</v>
      </c>
      <c r="AB121" s="73">
        <f>COUNTIFS(缺陷明细!$A$2:$A$50000,$B$4,缺陷明细!$G$2:$G$50000,$C121,缺陷明细!$Q$2:$Q$50000,"已关闭",缺陷明细!$J$2:$J$50000,"运维测试",缺陷明细!$K$2:$K$50000,"致命")+COUNTIFS(缺陷明细!$A$2:$A$50000,$B$4,缺陷明细!$G$2:$G$50000,$C121,缺陷明细!$Q$2:$Q$50000,"已关闭",缺陷明细!$J$2:$J$50000,"运维测试",缺陷明细!$K$2:$K$50000,"严重")</f>
        <v>0</v>
      </c>
      <c r="AC121" s="68">
        <f t="shared" si="12"/>
        <v>0</v>
      </c>
      <c r="AD121" s="60">
        <f t="shared" si="13"/>
        <v>0</v>
      </c>
      <c r="AE121" s="60">
        <f t="shared" si="14"/>
        <v>0</v>
      </c>
      <c r="AF121" s="60">
        <f t="shared" si="15"/>
        <v>0</v>
      </c>
      <c r="AG121" s="60">
        <f t="shared" si="16"/>
        <v>0</v>
      </c>
      <c r="AH121" s="60">
        <f t="shared" si="17"/>
        <v>0</v>
      </c>
      <c r="AI121" s="60">
        <f t="shared" si="18"/>
        <v>0</v>
      </c>
      <c r="AJ121" s="61">
        <f t="shared" si="19"/>
        <v>0</v>
      </c>
      <c r="AK121" s="144"/>
    </row>
    <row r="122" spans="1:37" ht="13.5" thickBot="1">
      <c r="B122" s="140"/>
      <c r="C122" s="102"/>
      <c r="D122" s="85"/>
      <c r="E122" s="149"/>
      <c r="F122" s="162"/>
      <c r="G122" s="163"/>
      <c r="H122" s="282">
        <f>COUNTIFS(缺陷明细!$A$2:$A$50000,$B$4,缺陷明细!$G$2:$G$50000,$C122,缺陷明细!$J$2:$J$50000,"评审",缺陷明细!$AB$2:$AB$50000,"&lt;&gt;丢弃",缺陷明细!$AB$2:$AB$50000,"&lt;&gt;设计如此",缺陷明细!$AB$2:$AB$50000,"&lt;&gt;重复Bug")</f>
        <v>0</v>
      </c>
      <c r="I122" s="283">
        <f>COUNTIFS(缺陷明细!$A$2:$A$50000,$B$4,缺陷明细!$G$2:$G$50000,$C122,缺陷明细!$Q$2:$Q$50000,"已关闭",缺陷明细!$J$2:$J$50000,"评审")</f>
        <v>0</v>
      </c>
      <c r="J122" s="283">
        <f>COUNTIFS(缺陷明细!$A$2:$A$50000,$B$4,缺陷明细!$G$2:$G$50000,$C122,缺陷明细!$J$2:$J$50000,"单元测试",缺陷明细!$AB$2:$AB$50000,"&lt;&gt;丢弃",缺陷明细!$AB$2:$AB$50000,"&lt;&gt;设计如此",缺陷明细!$AB$2:$AB$50000,"&lt;&gt;重复Bug")</f>
        <v>0</v>
      </c>
      <c r="K122" s="284">
        <f>COUNTIFS(缺陷明细!$A$2:$A$50000,$B$4,缺陷明细!$G$2:$G$50000,$C122,缺陷明细!$Q$2:$Q$50000,"已关闭",缺陷明细!$J$2:$J$50000,"单元测试")</f>
        <v>0</v>
      </c>
      <c r="L122" s="285"/>
      <c r="M122" s="286"/>
      <c r="N122" s="287">
        <f>COUNTIFS(缺陷明细!$A$2:$A$50000,$B$4,缺陷明细!$G$2:$G$50000,$C122,缺陷明细!$J$2:$J$50000,"系统测试案例评审",缺陷明细!$AB$2:$AB$50000,"&lt;&gt;丢弃",缺陷明细!$AB$2:$AB$50000,"&lt;&gt;设计如此",缺陷明细!$AB$2:$AB$50000,"&lt;&gt;重复Bug")</f>
        <v>0</v>
      </c>
      <c r="O122" s="287">
        <f>COUNTIFS(缺陷明细!$A$2:$A$50000,$B$4,缺陷明细!$G$2:$G$50000,$C122,缺陷明细!$Q$2:$Q$50000,"已关闭",缺陷明细!$J$2:$J$50000,"系统测试案例评审")</f>
        <v>0</v>
      </c>
      <c r="P122" s="287">
        <f>COUNTIFS(缺陷明细!$A$2:$A$50000,$B$4,缺陷明细!$G$2:$G$50000,$C122,缺陷明细!$J$2:$J$50000,"系统测试",缺陷明细!$AB$2:$AB$50000,"&lt;&gt;丢弃",缺陷明细!$AB$2:$AB$50000,"&lt;&gt;设计如此",缺陷明细!$AB$2:$AB$50000,"&lt;&gt;重复Bug")</f>
        <v>0</v>
      </c>
      <c r="Q122" s="287">
        <f>COUNTIFS(缺陷明细!$A$2:$A$50000,$B$4,缺陷明细!$G$2:$G$50000,$C122,缺陷明细!$Q$2:$Q$50000,"已关闭",缺陷明细!$J$2:$J$50000,"系统测试")</f>
        <v>0</v>
      </c>
      <c r="R122" s="297">
        <f>COUNTIFS(缺陷明细!$A$2:$A$50000,$B$4,缺陷明细!$G$2:$G$50000,$C122,缺陷明细!$AB$2:$AB$50000,"丢弃",缺陷明细!$J$2:$J$50000,"系统测试")+COUNTIFS(缺陷明细!$A$2:$A$50000,$B$4,缺陷明细!$G$2:$G$50000,$C122,缺陷明细!$AB$2:$AB$50000,"设计如此",缺陷明细!$J$2:$J$50000,"系统测试")+COUNTIFS(缺陷明细!$A$2:$A$50000,$B$4,缺陷明细!$G$2:$G$50000,$C122,缺陷明细!$AB$2:$AB$50000,"重复Bug",缺陷明细!$J$2:$J$50000,"系统测试")</f>
        <v>0</v>
      </c>
      <c r="S122" s="287">
        <f>COUNTIFS(缺陷明细!$A$2:$A$50000,$B$4,缺陷明细!$G$2:$G$50000,$C122,缺陷明细!$J$2:$J$50000,"系统测试",缺陷明细!$K$2:$K$50000,"致命",缺陷明细!$AB$2:$AB$50000,"&lt;&gt;丢弃",缺陷明细!$AB$2:$AB$50000,"&lt;&gt;设计如此",缺陷明细!$AB$2:$AB$50000,"&lt;&gt;重复Bug")+COUNTIFS(缺陷明细!$A$2:$A$50000,$B$4,缺陷明细!$G$2:$G$50000,$C122,缺陷明细!$J$2:$J$50000,"系统测试",缺陷明细!$K$2:$K$50000,"严重",缺陷明细!$AB$2:$AB$50000,"&lt;&gt;丢弃",缺陷明细!$AB$2:$AB$50000,"&lt;&gt;设计如此",缺陷明细!$AB$2:$AB$50000,"&lt;&gt;重复Bug")</f>
        <v>0</v>
      </c>
      <c r="T122" s="288">
        <f>COUNTIFS(缺陷明细!$A$2:$A$50000,$B$4,缺陷明细!$G$2:$G$50000,$C122,缺陷明细!$Q$2:$Q$50000,"已关闭",缺陷明细!$J$2:$J$50000,"系统测试",缺陷明细!$K$2:$K$50000,"致命")+COUNTIFS(缺陷明细!$A$2:$A$50000,$B$4,缺陷明细!$G$2:$G$50000,$C122,缺陷明细!$Q$2:$Q$50000,"已关闭",缺陷明细!$J$2:$J$50000,"系统测试",缺陷明细!$K$2:$K$50000,"严重")</f>
        <v>0</v>
      </c>
      <c r="U122" s="289">
        <f>COUNTIFS(缺陷明细!$A$2:$A$50000,$B$4,缺陷明细!$G$2:$G$50000,$C122,缺陷明细!$J$2:$J$50000,"验收测试",缺陷明细!$AB$2:$AB$50000,"&lt;&gt;丢弃",缺陷明细!$AB$2:$AB$50000,"&lt;&gt;设计如此",缺陷明细!$AB$2:$AB$50000,"&lt;&gt;重复Bug")</f>
        <v>0</v>
      </c>
      <c r="V122" s="290">
        <f>COUNTIFS(缺陷明细!$A$2:$A$50000,$B$4,缺陷明细!$G$2:$G$50000,$C122,缺陷明细!$Q$2:$Q$50000,"已关闭",缺陷明细!$J$2:$J$50000,"验收测试")</f>
        <v>0</v>
      </c>
      <c r="W122" s="290">
        <f>COUNTIFS(缺陷明细!$A$2:$A$50000,$B$4,缺陷明细!$G$2:$G$50000,$C122,缺陷明细!$J$2:$J$50000,"验收测试",缺陷明细!$K$2:$K$50000,"致命",缺陷明细!$AB$2:$AB$50000,"&lt;&gt;丢弃",缺陷明细!$AB$2:$AB$50000,"&lt;&gt;设计如此",缺陷明细!$AB$2:$AB$50000,"&lt;&gt;重复Bug")+COUNTIFS(缺陷明细!$A$2:$A$50000,$B$4,缺陷明细!$G$2:$G$50000,$C122,缺陷明细!$J$2:$J$50000,"验收测试",缺陷明细!$K$2:$K$50000,"严重",缺陷明细!$AB$2:$AB$50000,"&lt;&gt;丢弃",缺陷明细!$AB$2:$AB$50000,"&lt;&gt;设计如此",缺陷明细!$AB$2:$AB$50000,"&lt;&gt;重复Bug")</f>
        <v>0</v>
      </c>
      <c r="X122" s="291">
        <f>COUNTIFS(缺陷明细!$A$2:$A$50000,$B$4,缺陷明细!$G$2:$G$50000,$C122,缺陷明细!$Q$2:$Q$50000,"已关闭",缺陷明细!$J$2:$J$50000,"验收测试",缺陷明细!$K$2:$K$50000,"致命")+COUNTIFS(缺陷明细!$A$2:$A$50000,$B$4,缺陷明细!$G$2:$G$50000,$C122,缺陷明细!$Q$2:$Q$50000,"已关闭",缺陷明细!$J$2:$J$50000,"验收测试",缺陷明细!$K$2:$K$50000,"严重")</f>
        <v>0</v>
      </c>
      <c r="Y122" s="292">
        <f>COUNTIFS(缺陷明细!$A$2:$A$50000,$B$4,缺陷明细!$G$2:$G$50000,$C122,缺陷明细!$J$2:$J$50000,"运维测试",缺陷明细!$AB$2:$AB$50000,"&lt;&gt;丢弃",缺陷明细!$AB$2:$AB$50000,"&lt;&gt;设计如此",缺陷明细!$AB$2:$AB$50000,"&lt;&gt;重复Bug")</f>
        <v>0</v>
      </c>
      <c r="Z122" s="293">
        <f>COUNTIFS(缺陷明细!$A$2:$A$50000,$B$4,缺陷明细!$G$2:$G$50000,$C122,缺陷明细!$Q$2:$Q$50000,"已关闭",缺陷明细!$J$2:$J$50000,"运维测试")</f>
        <v>0</v>
      </c>
      <c r="AA122" s="287">
        <f>COUNTIFS(缺陷明细!$A$2:$A$50000,$B$4,缺陷明细!$G$2:$G$50000,$C122,缺陷明细!$J$2:$J$50000,"运维测试",缺陷明细!$K$2:$K$50000,"致命",缺陷明细!$AB$2:$AB$50000,"&lt;&gt;丢弃",缺陷明细!$AB$2:$AB$50000,"&lt;&gt;设计如此",缺陷明细!$AB$2:$AB$50000,"&lt;&gt;重复Bug")+COUNTIFS(缺陷明细!$A$2:$A$50000,$B$4,缺陷明细!$G$2:$G$50000,$C122,缺陷明细!$J$2:$J$50000,"运维测试",缺陷明细!$K$2:$K$50000,"严重",缺陷明细!$AB$2:$AB$50000,"&lt;&gt;丢弃",缺陷明细!$AB$2:$AB$50000,"&lt;&gt;设计如此",缺陷明细!$AB$2:$AB$50000,"&lt;&gt;重复Bug")</f>
        <v>0</v>
      </c>
      <c r="AB122" s="288">
        <f>COUNTIFS(缺陷明细!$A$2:$A$50000,$B$4,缺陷明细!$G$2:$G$50000,$C122,缺陷明细!$Q$2:$Q$50000,"已关闭",缺陷明细!$J$2:$J$50000,"运维测试",缺陷明细!$K$2:$K$50000,"致命")+COUNTIFS(缺陷明细!$A$2:$A$50000,$B$4,缺陷明细!$G$2:$G$50000,$C122,缺陷明细!$Q$2:$Q$50000,"已关闭",缺陷明细!$J$2:$J$50000,"运维测试",缺陷明细!$K$2:$K$50000,"严重")</f>
        <v>0</v>
      </c>
      <c r="AC122" s="150">
        <f t="shared" si="0"/>
        <v>0</v>
      </c>
      <c r="AD122" s="151">
        <f t="shared" si="0"/>
        <v>0</v>
      </c>
      <c r="AE122" s="151">
        <f t="shared" si="1"/>
        <v>0</v>
      </c>
      <c r="AF122" s="151">
        <f t="shared" si="1"/>
        <v>0</v>
      </c>
      <c r="AG122" s="151">
        <f t="shared" si="2"/>
        <v>0</v>
      </c>
      <c r="AH122" s="151">
        <f t="shared" si="2"/>
        <v>0</v>
      </c>
      <c r="AI122" s="151">
        <f t="shared" si="3"/>
        <v>0</v>
      </c>
      <c r="AJ122" s="141">
        <f t="shared" si="3"/>
        <v>0</v>
      </c>
      <c r="AK122" s="145"/>
    </row>
    <row r="123" spans="1:37">
      <c r="B123" s="417" t="s">
        <v>223</v>
      </c>
      <c r="C123" s="418"/>
      <c r="D123" s="135">
        <f>COUNTA(D5:D122)</f>
        <v>108</v>
      </c>
      <c r="E123" s="135">
        <f>COUNTIF(E2:E122,"是")</f>
        <v>110</v>
      </c>
      <c r="F123" s="135">
        <f t="shared" ref="F123:O123" si="20">SUMIFS(F5:F567,$E$5:$E$567,"是")</f>
        <v>647.75</v>
      </c>
      <c r="G123" s="135">
        <f t="shared" si="20"/>
        <v>504.05</v>
      </c>
      <c r="H123" s="135">
        <f t="shared" si="20"/>
        <v>0</v>
      </c>
      <c r="I123" s="135">
        <f t="shared" si="20"/>
        <v>0</v>
      </c>
      <c r="J123" s="135">
        <f t="shared" si="20"/>
        <v>0</v>
      </c>
      <c r="K123" s="135">
        <f t="shared" si="20"/>
        <v>0</v>
      </c>
      <c r="L123" s="135">
        <v>219</v>
      </c>
      <c r="M123" s="135">
        <v>216</v>
      </c>
      <c r="N123" s="135">
        <f t="shared" si="20"/>
        <v>0</v>
      </c>
      <c r="O123" s="135">
        <f t="shared" si="20"/>
        <v>0</v>
      </c>
      <c r="P123" s="135">
        <v>256</v>
      </c>
      <c r="Q123" s="135">
        <v>232</v>
      </c>
      <c r="R123" s="135">
        <v>33</v>
      </c>
      <c r="S123" s="135">
        <v>73</v>
      </c>
      <c r="T123" s="135">
        <v>67</v>
      </c>
      <c r="U123" s="135">
        <f t="shared" ref="U123:AJ123" si="21">SUMIFS(U5:U567,$E$5:$E$567,"是")</f>
        <v>0</v>
      </c>
      <c r="V123" s="135">
        <f t="shared" si="21"/>
        <v>0</v>
      </c>
      <c r="W123" s="135">
        <f t="shared" si="21"/>
        <v>0</v>
      </c>
      <c r="X123" s="135">
        <f t="shared" si="21"/>
        <v>0</v>
      </c>
      <c r="Y123" s="135">
        <f t="shared" si="21"/>
        <v>0</v>
      </c>
      <c r="Z123" s="135">
        <f t="shared" si="21"/>
        <v>0</v>
      </c>
      <c r="AA123" s="135">
        <f t="shared" si="21"/>
        <v>0</v>
      </c>
      <c r="AB123" s="135">
        <f t="shared" si="21"/>
        <v>0</v>
      </c>
      <c r="AC123" s="135">
        <f t="shared" si="21"/>
        <v>0</v>
      </c>
      <c r="AD123" s="135">
        <f t="shared" si="21"/>
        <v>0</v>
      </c>
      <c r="AE123" s="135">
        <f t="shared" si="21"/>
        <v>0</v>
      </c>
      <c r="AF123" s="135">
        <f t="shared" si="21"/>
        <v>0</v>
      </c>
      <c r="AG123" s="135">
        <f t="shared" si="21"/>
        <v>0</v>
      </c>
      <c r="AH123" s="135">
        <f t="shared" si="21"/>
        <v>0</v>
      </c>
      <c r="AI123" s="135">
        <f t="shared" si="21"/>
        <v>0</v>
      </c>
      <c r="AJ123" s="135">
        <f t="shared" si="21"/>
        <v>0</v>
      </c>
      <c r="AK123" s="30"/>
    </row>
    <row r="124" spans="1:37">
      <c r="C124" s="146"/>
      <c r="D124" s="147"/>
      <c r="E124" s="136"/>
      <c r="F124" s="136"/>
      <c r="G124" s="136"/>
      <c r="H124" s="137"/>
      <c r="I124" s="137"/>
      <c r="J124" s="137"/>
      <c r="K124" s="137"/>
      <c r="L124" s="137"/>
      <c r="M124" s="137"/>
      <c r="N124" s="137"/>
      <c r="O124" s="137"/>
      <c r="P124" s="137"/>
      <c r="Q124" s="137"/>
      <c r="R124" s="137"/>
      <c r="S124" s="137"/>
      <c r="T124" s="137"/>
      <c r="U124" s="137"/>
      <c r="V124" s="137"/>
      <c r="W124" s="137"/>
      <c r="X124" s="137"/>
      <c r="Y124" s="137"/>
      <c r="Z124" s="137"/>
      <c r="AA124" s="137"/>
      <c r="AB124" s="137"/>
      <c r="AC124" s="137"/>
      <c r="AD124" s="137"/>
      <c r="AE124" s="137"/>
      <c r="AF124" s="137"/>
      <c r="AG124" s="137"/>
      <c r="AH124" s="137"/>
      <c r="AI124" s="137"/>
      <c r="AJ124" s="137"/>
    </row>
    <row r="126" spans="1:37">
      <c r="F126" s="95"/>
    </row>
  </sheetData>
  <mergeCells count="13">
    <mergeCell ref="B123:C123"/>
    <mergeCell ref="B2:B3"/>
    <mergeCell ref="C2:C3"/>
    <mergeCell ref="D2:D3"/>
    <mergeCell ref="E2:E3"/>
    <mergeCell ref="AC2:AJ2"/>
    <mergeCell ref="AK2:AK3"/>
    <mergeCell ref="U2:X2"/>
    <mergeCell ref="H1:AB1"/>
    <mergeCell ref="F2:G2"/>
    <mergeCell ref="H2:K2"/>
    <mergeCell ref="L2:T2"/>
    <mergeCell ref="Y2:AB2"/>
  </mergeCells>
  <phoneticPr fontId="13" type="noConversion"/>
  <dataValidations count="1">
    <dataValidation type="list" allowBlank="1" showInputMessage="1" showErrorMessage="1" sqref="E5:E122">
      <formula1>"是,否"</formula1>
    </dataValidation>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00FF"/>
  </sheetPr>
  <dimension ref="A1:AK59"/>
  <sheetViews>
    <sheetView topLeftCell="A22" workbookViewId="0">
      <selection activeCell="L55" sqref="L55"/>
    </sheetView>
  </sheetViews>
  <sheetFormatPr defaultColWidth="9" defaultRowHeight="12.75"/>
  <cols>
    <col min="1" max="1" width="5.140625" customWidth="1"/>
    <col min="3" max="3" width="29.28515625" customWidth="1"/>
    <col min="4" max="4" width="6.28515625" customWidth="1"/>
    <col min="5" max="5" width="5.85546875" style="38" customWidth="1"/>
    <col min="6" max="7" width="5.7109375" style="38" customWidth="1"/>
    <col min="8" max="36" width="5.7109375" customWidth="1"/>
    <col min="37" max="37" width="20" customWidth="1"/>
    <col min="38" max="38" width="8.140625" customWidth="1"/>
  </cols>
  <sheetData>
    <row r="1" spans="1:37" ht="13.5" customHeight="1" thickBot="1">
      <c r="A1" s="29"/>
      <c r="B1" s="259" t="s">
        <v>61</v>
      </c>
      <c r="C1" s="259"/>
      <c r="D1" s="259"/>
      <c r="E1" s="259"/>
      <c r="F1" s="260"/>
      <c r="G1" s="260"/>
      <c r="H1" s="402" t="s">
        <v>63</v>
      </c>
      <c r="I1" s="402"/>
      <c r="J1" s="402"/>
      <c r="K1" s="402"/>
      <c r="L1" s="402"/>
      <c r="M1" s="402"/>
      <c r="N1" s="402"/>
      <c r="O1" s="402"/>
      <c r="P1" s="402"/>
      <c r="Q1" s="402"/>
      <c r="R1" s="402"/>
      <c r="S1" s="402"/>
      <c r="T1" s="402"/>
      <c r="U1" s="402"/>
      <c r="V1" s="402"/>
      <c r="W1" s="402"/>
      <c r="X1" s="402"/>
      <c r="Y1" s="402"/>
      <c r="Z1" s="402"/>
      <c r="AA1" s="402"/>
      <c r="AB1" s="402"/>
      <c r="AC1" s="138"/>
      <c r="AD1" s="138"/>
      <c r="AE1" s="138"/>
      <c r="AF1" s="138"/>
      <c r="AG1" s="138"/>
      <c r="AH1" s="138"/>
      <c r="AI1" s="138"/>
      <c r="AJ1" s="139"/>
      <c r="AK1" s="148"/>
    </row>
    <row r="2" spans="1:37" ht="12.75" customHeight="1" thickBot="1">
      <c r="B2" s="419" t="s">
        <v>195</v>
      </c>
      <c r="C2" s="403" t="s">
        <v>60</v>
      </c>
      <c r="D2" s="405" t="s">
        <v>104</v>
      </c>
      <c r="E2" s="421" t="s">
        <v>196</v>
      </c>
      <c r="F2" s="403" t="s">
        <v>197</v>
      </c>
      <c r="G2" s="404"/>
      <c r="H2" s="423" t="s">
        <v>224</v>
      </c>
      <c r="I2" s="423"/>
      <c r="J2" s="423"/>
      <c r="K2" s="423"/>
      <c r="L2" s="424" t="s">
        <v>198</v>
      </c>
      <c r="M2" s="425"/>
      <c r="N2" s="425"/>
      <c r="O2" s="425"/>
      <c r="P2" s="425"/>
      <c r="Q2" s="425"/>
      <c r="R2" s="425"/>
      <c r="S2" s="425"/>
      <c r="T2" s="426"/>
      <c r="U2" s="415" t="s">
        <v>44</v>
      </c>
      <c r="V2" s="416"/>
      <c r="W2" s="416"/>
      <c r="X2" s="416"/>
      <c r="Y2" s="408" t="s">
        <v>64</v>
      </c>
      <c r="Z2" s="409"/>
      <c r="AA2" s="409"/>
      <c r="AB2" s="409"/>
      <c r="AC2" s="410" t="s">
        <v>2</v>
      </c>
      <c r="AD2" s="411"/>
      <c r="AE2" s="411"/>
      <c r="AF2" s="411"/>
      <c r="AG2" s="411"/>
      <c r="AH2" s="411"/>
      <c r="AI2" s="411"/>
      <c r="AJ2" s="412"/>
      <c r="AK2" s="413" t="s">
        <v>4</v>
      </c>
    </row>
    <row r="3" spans="1:37" ht="84.75" thickBot="1">
      <c r="B3" s="420"/>
      <c r="C3" s="407"/>
      <c r="D3" s="406"/>
      <c r="E3" s="422"/>
      <c r="F3" s="261" t="s">
        <v>284</v>
      </c>
      <c r="G3" s="262" t="s">
        <v>285</v>
      </c>
      <c r="H3" s="34" t="s">
        <v>105</v>
      </c>
      <c r="I3" s="34" t="s">
        <v>106</v>
      </c>
      <c r="J3" s="34" t="s">
        <v>107</v>
      </c>
      <c r="K3" s="34" t="s">
        <v>108</v>
      </c>
      <c r="L3" s="33" t="s">
        <v>200</v>
      </c>
      <c r="M3" s="34" t="s">
        <v>201</v>
      </c>
      <c r="N3" s="31" t="s">
        <v>45</v>
      </c>
      <c r="O3" s="31" t="s">
        <v>46</v>
      </c>
      <c r="P3" s="31" t="s">
        <v>34</v>
      </c>
      <c r="Q3" s="31" t="s">
        <v>36</v>
      </c>
      <c r="R3" s="31" t="s">
        <v>293</v>
      </c>
      <c r="S3" s="31" t="s">
        <v>35</v>
      </c>
      <c r="T3" s="32" t="s">
        <v>37</v>
      </c>
      <c r="U3" s="99" t="s">
        <v>125</v>
      </c>
      <c r="V3" s="35" t="s">
        <v>126</v>
      </c>
      <c r="W3" s="35" t="s">
        <v>202</v>
      </c>
      <c r="X3" s="35" t="s">
        <v>127</v>
      </c>
      <c r="Y3" s="99" t="s">
        <v>65</v>
      </c>
      <c r="Z3" s="35" t="s">
        <v>66</v>
      </c>
      <c r="AA3" s="35" t="s">
        <v>67</v>
      </c>
      <c r="AB3" s="36" t="s">
        <v>204</v>
      </c>
      <c r="AC3" s="33" t="s">
        <v>38</v>
      </c>
      <c r="AD3" s="31" t="s">
        <v>39</v>
      </c>
      <c r="AE3" s="31" t="s">
        <v>40</v>
      </c>
      <c r="AF3" s="31" t="s">
        <v>41</v>
      </c>
      <c r="AG3" s="31" t="s">
        <v>128</v>
      </c>
      <c r="AH3" s="31" t="s">
        <v>130</v>
      </c>
      <c r="AI3" s="31" t="s">
        <v>131</v>
      </c>
      <c r="AJ3" s="32" t="s">
        <v>129</v>
      </c>
      <c r="AK3" s="414"/>
    </row>
    <row r="4" spans="1:37" ht="13.5" thickBot="1">
      <c r="B4" s="96" t="s">
        <v>267</v>
      </c>
      <c r="C4" s="80"/>
      <c r="D4" s="134"/>
      <c r="E4" s="130"/>
      <c r="F4" s="100"/>
      <c r="G4" s="81"/>
      <c r="H4" s="69"/>
      <c r="I4" s="63"/>
      <c r="J4" s="63"/>
      <c r="K4" s="64"/>
      <c r="L4" s="77"/>
      <c r="M4" s="101"/>
      <c r="N4" s="63"/>
      <c r="O4" s="63"/>
      <c r="P4" s="63"/>
      <c r="Q4" s="63"/>
      <c r="R4" s="63"/>
      <c r="S4" s="63"/>
      <c r="T4" s="64"/>
      <c r="U4" s="62"/>
      <c r="V4" s="63"/>
      <c r="W4" s="63"/>
      <c r="X4" s="64"/>
      <c r="Y4" s="62"/>
      <c r="Z4" s="63"/>
      <c r="AA4" s="63"/>
      <c r="AB4" s="64"/>
      <c r="AC4" s="69"/>
      <c r="AD4" s="63"/>
      <c r="AE4" s="63"/>
      <c r="AF4" s="63"/>
      <c r="AG4" s="63"/>
      <c r="AH4" s="63"/>
      <c r="AI4" s="63"/>
      <c r="AJ4" s="64"/>
      <c r="AK4" s="142"/>
    </row>
    <row r="5" spans="1:37">
      <c r="A5">
        <v>1</v>
      </c>
      <c r="B5" s="78"/>
      <c r="C5" s="79"/>
      <c r="D5" s="82"/>
      <c r="E5" s="82"/>
      <c r="F5" s="152"/>
      <c r="G5" s="153"/>
      <c r="H5" s="271">
        <f>COUNTIFS(缺陷明细!$A$2:$A$50000,$B$4,缺陷明细!$G$2:$G$50000,$C5,缺陷明细!$J$2:$J$50000,"评审",缺陷明细!$AB$2:$AB$50000,"&lt;&gt;丢弃",缺陷明细!$AB$2:$AB$50000,"&lt;&gt;设计如此",缺陷明细!$AB$2:$AB$50000,"&lt;&gt;重复Bug")</f>
        <v>0</v>
      </c>
      <c r="I5" s="272">
        <f>COUNTIFS(缺陷明细!$A$2:$A$50000,$B$4,缺陷明细!$G$2:$G$50000,$C5,缺陷明细!$Q$2:$Q$50000,"已关闭",缺陷明细!$J$2:$J$50000,"评审")</f>
        <v>0</v>
      </c>
      <c r="J5" s="272">
        <f>COUNTIFS(缺陷明细!$A$2:$A$50000,$B$4,缺陷明细!$G$2:$G$50000,$C5,缺陷明细!$J$2:$J$50000,"单元测试",缺陷明细!$AB$2:$AB$50000,"&lt;&gt;丢弃",缺陷明细!$AB$2:$AB$50000,"&lt;&gt;设计如此",缺陷明细!$AB$2:$AB$50000,"&lt;&gt;重复Bug")</f>
        <v>0</v>
      </c>
      <c r="K5" s="273">
        <f>COUNTIFS(缺陷明细!$A$2:$A$50000,$B$4,缺陷明细!$G$2:$G$50000,$C5,缺陷明细!$Q$2:$Q$50000,"已关闭",缺陷明细!$J$2:$J$50000,"单元测试")</f>
        <v>0</v>
      </c>
      <c r="L5" s="156"/>
      <c r="M5" s="157"/>
      <c r="N5" s="72">
        <f>COUNTIFS(缺陷明细!$A$2:$A$50000,$B$4,缺陷明细!$G$2:$G$50000,$C5,缺陷明细!$J$2:$J$50000,"系统测试案例评审",缺陷明细!$AB$2:$AB$50000,"&lt;&gt;丢弃",缺陷明细!$AB$2:$AB$50000,"&lt;&gt;设计如此",缺陷明细!$AB$2:$AB$50000,"&lt;&gt;重复Bug")</f>
        <v>0</v>
      </c>
      <c r="O5" s="72">
        <f>COUNTIFS(缺陷明细!$A$2:$A$50000,$B$4,缺陷明细!$G$2:$G$50000,$C5,缺陷明细!$Q$2:$Q$50000,"已关闭",缺陷明细!$J$2:$J$50000,"系统测试案例评审")</f>
        <v>0</v>
      </c>
      <c r="P5" s="72">
        <f>COUNTIFS(缺陷明细!$A$2:$A$50000,$B$4,缺陷明细!$G$2:$G$50000,$C5,缺陷明细!$J$2:$J$50000,"系统测试",缺陷明细!$AB$2:$AB$50000,"&lt;&gt;丢弃",缺陷明细!$AB$2:$AB$50000,"&lt;&gt;设计如此",缺陷明细!$AB$2:$AB$50000,"&lt;&gt;重复Bug")</f>
        <v>0</v>
      </c>
      <c r="Q5" s="72">
        <f>COUNTIFS(缺陷明细!$A$2:$A$50000,$B$4,缺陷明细!$G$2:$G$50000,$C5,缺陷明细!$Q$2:$Q$50000,"已关闭",缺陷明细!$J$2:$J$50000,"系统测试")</f>
        <v>0</v>
      </c>
      <c r="R5" s="72">
        <f>COUNTIFS(缺陷明细!$A$2:$A$50000,$B$4,缺陷明细!$G$2:$G$50000,$C5,缺陷明细!$AB$2:$AB$50000,"丢弃",缺陷明细!$J$2:$J$50000,"系统测试")+COUNTIFS(缺陷明细!$A$2:$A$50000,$B$4,缺陷明细!$G$2:$G$50000,$C5,缺陷明细!$AB$2:$AB$50000,"设计如此",缺陷明细!$J$2:$J$50000,"系统测试")+COUNTIFS(缺陷明细!$A$2:$A$50000,$B$4,缺陷明细!$G$2:$G$50000,$C5,缺陷明细!$AB$2:$AB$50000,"重复Bug",缺陷明细!$J$2:$J$50000,"系统测试")</f>
        <v>0</v>
      </c>
      <c r="S5" s="72">
        <f>COUNTIFS(缺陷明细!$A$2:$A$50000,$B$4,缺陷明细!$G$2:$G$50000,$C5,缺陷明细!$J$2:$J$50000,"系统测试",缺陷明细!$K$2:$K$50000,"致命",缺陷明细!$AB$2:$AB$50000,"&lt;&gt;丢弃",缺陷明细!$AB$2:$AB$50000,"&lt;&gt;设计如此",缺陷明细!$AB$2:$AB$50000,"&lt;&gt;重复Bug")+COUNTIFS(缺陷明细!$A$2:$A$50000,$B$4,缺陷明细!$G$2:$G$50000,$C5,缺陷明细!$J$2:$J$50000,"系统测试",缺陷明细!$K$2:$K$50000,"严重",缺陷明细!$AB$2:$AB$50000,"&lt;&gt;丢弃",缺陷明细!$AB$2:$AB$50000,"&lt;&gt;设计如此",缺陷明细!$AB$2:$AB$50000,"&lt;&gt;重复Bug")</f>
        <v>0</v>
      </c>
      <c r="T5" s="73">
        <f>COUNTIFS(缺陷明细!$A$2:$A$50000,$B$4,缺陷明细!$G$2:$G$50000,$C5,缺陷明细!$Q$2:$Q$50000,"已关闭",缺陷明细!$J$2:$J$50000,"系统测试",缺陷明细!$K$2:$K$50000,"致命")+COUNTIFS(缺陷明细!$A$2:$A$50000,$B$4,缺陷明细!$G$2:$G$50000,$C5,缺陷明细!$Q$2:$Q$50000,"已关闭",缺陷明细!$J$2:$J$50000,"系统测试",缺陷明细!$K$2:$K$50000,"严重")</f>
        <v>0</v>
      </c>
      <c r="U5" s="276">
        <f>COUNTIFS(缺陷明细!$A$2:$A$50000,$B$4,缺陷明细!$G$2:$G$50000,$C5,缺陷明细!$J$2:$J$50000,"验收测试",缺陷明细!$AB$2:$AB$50000,"&lt;&gt;丢弃",缺陷明细!$AB$2:$AB$50000,"&lt;&gt;设计如此",缺陷明细!$AB$2:$AB$50000,"&lt;&gt;重复Bug")</f>
        <v>0</v>
      </c>
      <c r="V5" s="277">
        <f>COUNTIFS(缺陷明细!$A$2:$A$50000,$B$4,缺陷明细!$G$2:$G$50000,$C5,缺陷明细!$Q$2:$Q$50000,"已关闭",缺陷明细!$J$2:$J$50000,"验收测试")</f>
        <v>0</v>
      </c>
      <c r="W5" s="277">
        <f>COUNTIFS(缺陷明细!$A$2:$A$50000,$B$4,缺陷明细!$G$2:$G$50000,$C5,缺陷明细!$J$2:$J$50000,"验收测试",缺陷明细!$K$2:$K$50000,"致命",缺陷明细!$AB$2:$AB$50000,"&lt;&gt;丢弃",缺陷明细!$AB$2:$AB$50000,"&lt;&gt;设计如此",缺陷明细!$AB$2:$AB$50000,"&lt;&gt;重复Bug")+COUNTIFS(缺陷明细!$A$2:$A$50000,$B$4,缺陷明细!$G$2:$G$50000,$C5,缺陷明细!$J$2:$J$50000,"验收测试",缺陷明细!$K$2:$K$50000,"严重",缺陷明细!$AB$2:$AB$50000,"&lt;&gt;丢弃",缺陷明细!$AB$2:$AB$50000,"&lt;&gt;设计如此",缺陷明细!$AB$2:$AB$50000,"&lt;&gt;重复Bug")</f>
        <v>0</v>
      </c>
      <c r="X5" s="278">
        <f>COUNTIFS(缺陷明细!$A$2:$A$50000,$B$4,缺陷明细!$G$2:$G$50000,$C5,缺陷明细!$Q$2:$Q$50000,"已关闭",缺陷明细!$J$2:$J$50000,"验收测试",缺陷明细!$K$2:$K$50000,"致命")+COUNTIFS(缺陷明细!$A$2:$A$50000,$B$4,缺陷明细!$G$2:$G$50000,$C5,缺陷明细!$Q$2:$Q$50000,"已关闭",缺陷明细!$J$2:$J$50000,"验收测试",缺陷明细!$K$2:$K$50000,"严重")</f>
        <v>0</v>
      </c>
      <c r="Y5" s="279">
        <f>COUNTIFS(缺陷明细!$A$2:$A$50000,$B$4,缺陷明细!$G$2:$G$50000,$C5,缺陷明细!$J$2:$J$50000,"运维测试",缺陷明细!$AB$2:$AB$50000,"&lt;&gt;丢弃",缺陷明细!$AB$2:$AB$50000,"&lt;&gt;设计如此",缺陷明细!$AB$2:$AB$50000,"&lt;&gt;重复Bug")</f>
        <v>0</v>
      </c>
      <c r="Z5" s="280">
        <f>COUNTIFS(缺陷明细!$A$2:$A$50000,$B$4,缺陷明细!$G$2:$G$50000,$C5,缺陷明细!$Q$2:$Q$50000,"已关闭",缺陷明细!$J$2:$J$50000,"运维测试")</f>
        <v>0</v>
      </c>
      <c r="AA5" s="274">
        <f>COUNTIFS(缺陷明细!$A$2:$A$50000,$B$4,缺陷明细!$G$2:$G$50000,$C5,缺陷明细!$J$2:$J$50000,"运维测试",缺陷明细!$K$2:$K$50000,"致命",缺陷明细!$AB$2:$AB$50000,"&lt;&gt;丢弃",缺陷明细!$AB$2:$AB$50000,"&lt;&gt;设计如此",缺陷明细!$AB$2:$AB$50000,"&lt;&gt;重复Bug")+COUNTIFS(缺陷明细!$A$2:$A$50000,$B$4,缺陷明细!$G$2:$G$50000,$C5,缺陷明细!$J$2:$J$50000,"运维测试",缺陷明细!$K$2:$K$50000,"严重",缺陷明细!$AB$2:$AB$50000,"&lt;&gt;丢弃",缺陷明细!$AB$2:$AB$50000,"&lt;&gt;设计如此",缺陷明细!$AB$2:$AB$50000,"&lt;&gt;重复Bug")</f>
        <v>0</v>
      </c>
      <c r="AB5" s="275">
        <f>COUNTIFS(缺陷明细!$A$2:$A$50000,$B$4,缺陷明细!$G$2:$G$50000,$C5,缺陷明细!$Q$2:$Q$50000,"已关闭",缺陷明细!$J$2:$J$50000,"运维测试",缺陷明细!$K$2:$K$50000,"致命")+COUNTIFS(缺陷明细!$A$2:$A$50000,$B$4,缺陷明细!$G$2:$G$50000,$C5,缺陷明细!$Q$2:$Q$50000,"已关闭",缺陷明细!$J$2:$J$50000,"运维测试",缺陷明细!$K$2:$K$50000,"严重")</f>
        <v>0</v>
      </c>
      <c r="AC5" s="68">
        <f>H5</f>
        <v>0</v>
      </c>
      <c r="AD5" s="60">
        <f>I5</f>
        <v>0</v>
      </c>
      <c r="AE5" s="60">
        <f>H5+J5</f>
        <v>0</v>
      </c>
      <c r="AF5" s="60">
        <f>I5+K5</f>
        <v>0</v>
      </c>
      <c r="AG5" s="60">
        <f>H5+J5+P5</f>
        <v>0</v>
      </c>
      <c r="AH5" s="60">
        <f>I5+K5+Q5</f>
        <v>0</v>
      </c>
      <c r="AI5" s="60">
        <f>Y5</f>
        <v>0</v>
      </c>
      <c r="AJ5" s="61">
        <f>Z5</f>
        <v>0</v>
      </c>
      <c r="AK5" s="143"/>
    </row>
    <row r="6" spans="1:37">
      <c r="A6">
        <v>2</v>
      </c>
      <c r="B6" s="57"/>
      <c r="C6" s="58"/>
      <c r="D6" s="83"/>
      <c r="E6" s="82"/>
      <c r="F6" s="158"/>
      <c r="G6" s="159"/>
      <c r="H6" s="281">
        <f>COUNTIFS(缺陷明细!$A$2:$A$50000,$B$4,缺陷明细!$G$2:$G$50000,$C6,缺陷明细!$J$2:$J$50000,"评审",缺陷明细!$AB$2:$AB$50000,"&lt;&gt;丢弃",缺陷明细!$AB$2:$AB$50000,"&lt;&gt;设计如此",缺陷明细!$AB$2:$AB$50000,"&lt;&gt;重复Bug")</f>
        <v>0</v>
      </c>
      <c r="I6" s="154">
        <f>COUNTIFS(缺陷明细!$A$2:$A$50000,$B$4,缺陷明细!$G$2:$G$50000,$C6,缺陷明细!$Q$2:$Q$50000,"已关闭",缺陷明细!$J$2:$J$50000,"评审")</f>
        <v>0</v>
      </c>
      <c r="J6" s="154">
        <f>COUNTIFS(缺陷明细!$A$2:$A$50000,$B$4,缺陷明细!$G$2:$G$50000,$C6,缺陷明细!$J$2:$J$50000,"单元测试",缺陷明细!$AB$2:$AB$50000,"&lt;&gt;丢弃",缺陷明细!$AB$2:$AB$50000,"&lt;&gt;设计如此",缺陷明细!$AB$2:$AB$50000,"&lt;&gt;重复Bug")</f>
        <v>0</v>
      </c>
      <c r="K6" s="155">
        <f>COUNTIFS(缺陷明细!$A$2:$A$50000,$B$4,缺陷明细!$G$2:$G$50000,$C6,缺陷明细!$Q$2:$Q$50000,"已关闭",缺陷明细!$J$2:$J$50000,"单元测试")</f>
        <v>0</v>
      </c>
      <c r="L6" s="156"/>
      <c r="M6" s="157"/>
      <c r="N6" s="72">
        <f>COUNTIFS(缺陷明细!$A$2:$A$50000,$B$4,缺陷明细!$G$2:$G$50000,$C6,缺陷明细!$J$2:$J$50000,"系统测试案例评审",缺陷明细!$AB$2:$AB$50000,"&lt;&gt;丢弃",缺陷明细!$AB$2:$AB$50000,"&lt;&gt;设计如此",缺陷明细!$AB$2:$AB$50000,"&lt;&gt;重复Bug")</f>
        <v>0</v>
      </c>
      <c r="O6" s="72">
        <f>COUNTIFS(缺陷明细!$A$2:$A$50000,$B$4,缺陷明细!$G$2:$G$50000,$C6,缺陷明细!$Q$2:$Q$50000,"已关闭",缺陷明细!$J$2:$J$50000,"系统测试案例评审")</f>
        <v>0</v>
      </c>
      <c r="P6" s="72">
        <f>COUNTIFS(缺陷明细!$A$2:$A$50000,$B$4,缺陷明细!$G$2:$G$50000,$C6,缺陷明细!$J$2:$J$50000,"系统测试",缺陷明细!$AB$2:$AB$50000,"&lt;&gt;丢弃",缺陷明细!$AB$2:$AB$50000,"&lt;&gt;设计如此",缺陷明细!$AB$2:$AB$50000,"&lt;&gt;重复Bug")</f>
        <v>0</v>
      </c>
      <c r="Q6" s="72">
        <f>COUNTIFS(缺陷明细!$A$2:$A$50000,$B$4,缺陷明细!$G$2:$G$50000,$C6,缺陷明细!$Q$2:$Q$50000,"已关闭",缺陷明细!$J$2:$J$50000,"系统测试")</f>
        <v>0</v>
      </c>
      <c r="R6" s="296">
        <f>COUNTIFS(缺陷明细!$A$2:$A$50000,$B$4,缺陷明细!$G$2:$G$50000,$C6,缺陷明细!$AB$2:$AB$50000,"丢弃",缺陷明细!$J$2:$J$50000,"系统测试")+COUNTIFS(缺陷明细!$A$2:$A$50000,$B$4,缺陷明细!$G$2:$G$50000,$C6,缺陷明细!$AB$2:$AB$50000,"设计如此",缺陷明细!$J$2:$J$50000,"系统测试")+COUNTIFS(缺陷明细!$A$2:$A$50000,$B$4,缺陷明细!$G$2:$G$50000,$C6,缺陷明细!$AB$2:$AB$50000,"重复Bug",缺陷明细!$J$2:$J$50000,"系统测试")</f>
        <v>0</v>
      </c>
      <c r="S6" s="72">
        <f>COUNTIFS(缺陷明细!$A$2:$A$50000,$B$4,缺陷明细!$G$2:$G$50000,$C6,缺陷明细!$J$2:$J$50000,"系统测试",缺陷明细!$K$2:$K$50000,"致命",缺陷明细!$AB$2:$AB$50000,"&lt;&gt;丢弃",缺陷明细!$AB$2:$AB$50000,"&lt;&gt;设计如此",缺陷明细!$AB$2:$AB$50000,"&lt;&gt;重复Bug")+COUNTIFS(缺陷明细!$A$2:$A$50000,$B$4,缺陷明细!$G$2:$G$50000,$C6,缺陷明细!$J$2:$J$50000,"系统测试",缺陷明细!$K$2:$K$50000,"严重",缺陷明细!$AB$2:$AB$50000,"&lt;&gt;丢弃",缺陷明细!$AB$2:$AB$50000,"&lt;&gt;设计如此",缺陷明细!$AB$2:$AB$50000,"&lt;&gt;重复Bug")</f>
        <v>0</v>
      </c>
      <c r="T6" s="73">
        <f>COUNTIFS(缺陷明细!$A$2:$A$50000,$B$4,缺陷明细!$G$2:$G$50000,$C6,缺陷明细!$Q$2:$Q$50000,"已关闭",缺陷明细!$J$2:$J$50000,"系统测试",缺陷明细!$K$2:$K$50000,"致命")+COUNTIFS(缺陷明细!$A$2:$A$50000,$B$4,缺陷明细!$G$2:$G$50000,$C6,缺陷明细!$Q$2:$Q$50000,"已关闭",缺陷明细!$J$2:$J$50000,"系统测试",缺陷明细!$K$2:$K$50000,"严重")</f>
        <v>0</v>
      </c>
      <c r="U6" s="74">
        <f>COUNTIFS(缺陷明细!$A$2:$A$50000,$B$4,缺陷明细!$G$2:$G$50000,$C6,缺陷明细!$J$2:$J$50000,"验收测试",缺陷明细!$AB$2:$AB$50000,"&lt;&gt;丢弃",缺陷明细!$AB$2:$AB$50000,"&lt;&gt;设计如此",缺陷明细!$AB$2:$AB$50000,"&lt;&gt;重复Bug")</f>
        <v>0</v>
      </c>
      <c r="V6" s="75">
        <f>COUNTIFS(缺陷明细!$A$2:$A$50000,$B$4,缺陷明细!$G$2:$G$50000,$C6,缺陷明细!$Q$2:$Q$50000,"已关闭",缺陷明细!$J$2:$J$50000,"验收测试")</f>
        <v>0</v>
      </c>
      <c r="W6" s="75">
        <f>COUNTIFS(缺陷明细!$A$2:$A$50000,$B$4,缺陷明细!$G$2:$G$50000,$C6,缺陷明细!$J$2:$J$50000,"验收测试",缺陷明细!$K$2:$K$50000,"致命",缺陷明细!$AB$2:$AB$50000,"&lt;&gt;丢弃",缺陷明细!$AB$2:$AB$50000,"&lt;&gt;设计如此",缺陷明细!$AB$2:$AB$50000,"&lt;&gt;重复Bug")+COUNTIFS(缺陷明细!$A$2:$A$50000,$B$4,缺陷明细!$G$2:$G$50000,$C6,缺陷明细!$J$2:$J$50000,"验收测试",缺陷明细!$K$2:$K$50000,"严重",缺陷明细!$AB$2:$AB$50000,"&lt;&gt;丢弃",缺陷明细!$AB$2:$AB$50000,"&lt;&gt;设计如此",缺陷明细!$AB$2:$AB$50000,"&lt;&gt;重复Bug")</f>
        <v>0</v>
      </c>
      <c r="X6" s="76">
        <f>COUNTIFS(缺陷明细!$A$2:$A$50000,$B$4,缺陷明细!$G$2:$G$50000,$C6,缺陷明细!$Q$2:$Q$50000,"已关闭",缺陷明细!$J$2:$J$50000,"验收测试",缺陷明细!$K$2:$K$50000,"致命")+COUNTIFS(缺陷明细!$A$2:$A$50000,$B$4,缺陷明细!$G$2:$G$50000,$C6,缺陷明细!$Q$2:$Q$50000,"已关闭",缺陷明细!$J$2:$J$50000,"验收测试",缺陷明细!$K$2:$K$50000,"严重")</f>
        <v>0</v>
      </c>
      <c r="Y6" s="70">
        <f>COUNTIFS(缺陷明细!$A$2:$A$50000,$B$4,缺陷明细!$G$2:$G$50000,$C6,缺陷明细!$J$2:$J$50000,"运维测试",缺陷明细!$AB$2:$AB$50000,"&lt;&gt;丢弃",缺陷明细!$AB$2:$AB$50000,"&lt;&gt;设计如此",缺陷明细!$AB$2:$AB$50000,"&lt;&gt;重复Bug")</f>
        <v>0</v>
      </c>
      <c r="Z6" s="71">
        <f>COUNTIFS(缺陷明细!$A$2:$A$50000,$B$4,缺陷明细!$G$2:$G$50000,$C6,缺陷明细!$Q$2:$Q$50000,"已关闭",缺陷明细!$J$2:$J$50000,"运维测试")</f>
        <v>0</v>
      </c>
      <c r="AA6" s="72">
        <f>COUNTIFS(缺陷明细!$A$2:$A$50000,$B$4,缺陷明细!$G$2:$G$50000,$C6,缺陷明细!$J$2:$J$50000,"运维测试",缺陷明细!$K$2:$K$50000,"致命",缺陷明细!$AB$2:$AB$50000,"&lt;&gt;丢弃",缺陷明细!$AB$2:$AB$50000,"&lt;&gt;设计如此",缺陷明细!$AB$2:$AB$50000,"&lt;&gt;重复Bug")+COUNTIFS(缺陷明细!$A$2:$A$50000,$B$4,缺陷明细!$G$2:$G$50000,$C6,缺陷明细!$J$2:$J$50000,"运维测试",缺陷明细!$K$2:$K$50000,"严重",缺陷明细!$AB$2:$AB$50000,"&lt;&gt;丢弃",缺陷明细!$AB$2:$AB$50000,"&lt;&gt;设计如此",缺陷明细!$AB$2:$AB$50000,"&lt;&gt;重复Bug")</f>
        <v>0</v>
      </c>
      <c r="AB6" s="73">
        <f>COUNTIFS(缺陷明细!$A$2:$A$50000,$B$4,缺陷明细!$G$2:$G$50000,$C6,缺陷明细!$Q$2:$Q$50000,"已关闭",缺陷明细!$J$2:$J$50000,"运维测试",缺陷明细!$K$2:$K$50000,"致命")+COUNTIFS(缺陷明细!$A$2:$A$50000,$B$4,缺陷明细!$G$2:$G$50000,$C6,缺陷明细!$Q$2:$Q$50000,"已关闭",缺陷明细!$J$2:$J$50000,"运维测试",缺陷明细!$K$2:$K$50000,"严重")</f>
        <v>0</v>
      </c>
      <c r="AC6" s="68">
        <f t="shared" ref="AC6:AD55" si="0">H6</f>
        <v>0</v>
      </c>
      <c r="AD6" s="60">
        <f t="shared" si="0"/>
        <v>0</v>
      </c>
      <c r="AE6" s="60">
        <f t="shared" ref="AE6:AF55" si="1">H6+J6</f>
        <v>0</v>
      </c>
      <c r="AF6" s="60">
        <f t="shared" si="1"/>
        <v>0</v>
      </c>
      <c r="AG6" s="60">
        <f t="shared" ref="AG6:AH55" si="2">H6+J6+P6</f>
        <v>0</v>
      </c>
      <c r="AH6" s="60">
        <f t="shared" si="2"/>
        <v>0</v>
      </c>
      <c r="AI6" s="60">
        <f t="shared" ref="AI6:AJ55" si="3">Y6</f>
        <v>0</v>
      </c>
      <c r="AJ6" s="61">
        <f t="shared" si="3"/>
        <v>0</v>
      </c>
      <c r="AK6" s="144"/>
    </row>
    <row r="7" spans="1:37">
      <c r="A7">
        <v>3</v>
      </c>
      <c r="B7" s="57"/>
      <c r="C7" s="58"/>
      <c r="D7" s="83"/>
      <c r="E7" s="82"/>
      <c r="F7" s="158"/>
      <c r="G7" s="159"/>
      <c r="H7" s="281">
        <f>COUNTIFS(缺陷明细!$A$2:$A$50000,$B$4,缺陷明细!$G$2:$G$50000,$C7,缺陷明细!$J$2:$J$50000,"评审",缺陷明细!$AB$2:$AB$50000,"&lt;&gt;丢弃",缺陷明细!$AB$2:$AB$50000,"&lt;&gt;设计如此",缺陷明细!$AB$2:$AB$50000,"&lt;&gt;重复Bug")</f>
        <v>0</v>
      </c>
      <c r="I7" s="154">
        <f>COUNTIFS(缺陷明细!$A$2:$A$50000,$B$4,缺陷明细!$G$2:$G$50000,$C7,缺陷明细!$Q$2:$Q$50000,"已关闭",缺陷明细!$J$2:$J$50000,"评审")</f>
        <v>0</v>
      </c>
      <c r="J7" s="154">
        <f>COUNTIFS(缺陷明细!$A$2:$A$50000,$B$4,缺陷明细!$G$2:$G$50000,$C7,缺陷明细!$J$2:$J$50000,"单元测试",缺陷明细!$AB$2:$AB$50000,"&lt;&gt;丢弃",缺陷明细!$AB$2:$AB$50000,"&lt;&gt;设计如此",缺陷明细!$AB$2:$AB$50000,"&lt;&gt;重复Bug")</f>
        <v>0</v>
      </c>
      <c r="K7" s="155">
        <f>COUNTIFS(缺陷明细!$A$2:$A$50000,$B$4,缺陷明细!$G$2:$G$50000,$C7,缺陷明细!$Q$2:$Q$50000,"已关闭",缺陷明细!$J$2:$J$50000,"单元测试")</f>
        <v>0</v>
      </c>
      <c r="L7" s="156"/>
      <c r="M7" s="157"/>
      <c r="N7" s="72">
        <f>COUNTIFS(缺陷明细!$A$2:$A$50000,$B$4,缺陷明细!$G$2:$G$50000,$C7,缺陷明细!$J$2:$J$50000,"系统测试案例评审",缺陷明细!$AB$2:$AB$50000,"&lt;&gt;丢弃",缺陷明细!$AB$2:$AB$50000,"&lt;&gt;设计如此",缺陷明细!$AB$2:$AB$50000,"&lt;&gt;重复Bug")</f>
        <v>0</v>
      </c>
      <c r="O7" s="72">
        <f>COUNTIFS(缺陷明细!$A$2:$A$50000,$B$4,缺陷明细!$G$2:$G$50000,$C7,缺陷明细!$Q$2:$Q$50000,"已关闭",缺陷明细!$J$2:$J$50000,"系统测试案例评审")</f>
        <v>0</v>
      </c>
      <c r="P7" s="72">
        <f>COUNTIFS(缺陷明细!$A$2:$A$50000,$B$4,缺陷明细!$G$2:$G$50000,$C7,缺陷明细!$J$2:$J$50000,"系统测试",缺陷明细!$AB$2:$AB$50000,"&lt;&gt;丢弃",缺陷明细!$AB$2:$AB$50000,"&lt;&gt;设计如此",缺陷明细!$AB$2:$AB$50000,"&lt;&gt;重复Bug")</f>
        <v>0</v>
      </c>
      <c r="Q7" s="72">
        <f>COUNTIFS(缺陷明细!$A$2:$A$50000,$B$4,缺陷明细!$G$2:$G$50000,$C7,缺陷明细!$Q$2:$Q$50000,"已关闭",缺陷明细!$J$2:$J$50000,"系统测试")</f>
        <v>0</v>
      </c>
      <c r="R7" s="296">
        <f>COUNTIFS(缺陷明细!$A$2:$A$50000,$B$4,缺陷明细!$G$2:$G$50000,$C7,缺陷明细!$AB$2:$AB$50000,"丢弃",缺陷明细!$J$2:$J$50000,"系统测试")+COUNTIFS(缺陷明细!$A$2:$A$50000,$B$4,缺陷明细!$G$2:$G$50000,$C7,缺陷明细!$AB$2:$AB$50000,"设计如此",缺陷明细!$J$2:$J$50000,"系统测试")+COUNTIFS(缺陷明细!$A$2:$A$50000,$B$4,缺陷明细!$G$2:$G$50000,$C7,缺陷明细!$AB$2:$AB$50000,"重复Bug",缺陷明细!$J$2:$J$50000,"系统测试")</f>
        <v>0</v>
      </c>
      <c r="S7" s="72">
        <f>COUNTIFS(缺陷明细!$A$2:$A$50000,$B$4,缺陷明细!$G$2:$G$50000,$C7,缺陷明细!$J$2:$J$50000,"系统测试",缺陷明细!$K$2:$K$50000,"致命",缺陷明细!$AB$2:$AB$50000,"&lt;&gt;丢弃",缺陷明细!$AB$2:$AB$50000,"&lt;&gt;设计如此",缺陷明细!$AB$2:$AB$50000,"&lt;&gt;重复Bug")+COUNTIFS(缺陷明细!$A$2:$A$50000,$B$4,缺陷明细!$G$2:$G$50000,$C7,缺陷明细!$J$2:$J$50000,"系统测试",缺陷明细!$K$2:$K$50000,"严重",缺陷明细!$AB$2:$AB$50000,"&lt;&gt;丢弃",缺陷明细!$AB$2:$AB$50000,"&lt;&gt;设计如此",缺陷明细!$AB$2:$AB$50000,"&lt;&gt;重复Bug")</f>
        <v>0</v>
      </c>
      <c r="T7" s="73">
        <f>COUNTIFS(缺陷明细!$A$2:$A$50000,$B$4,缺陷明细!$G$2:$G$50000,$C7,缺陷明细!$Q$2:$Q$50000,"已关闭",缺陷明细!$J$2:$J$50000,"系统测试",缺陷明细!$K$2:$K$50000,"致命")+COUNTIFS(缺陷明细!$A$2:$A$50000,$B$4,缺陷明细!$G$2:$G$50000,$C7,缺陷明细!$Q$2:$Q$50000,"已关闭",缺陷明细!$J$2:$J$50000,"系统测试",缺陷明细!$K$2:$K$50000,"严重")</f>
        <v>0</v>
      </c>
      <c r="U7" s="74">
        <f>COUNTIFS(缺陷明细!$A$2:$A$50000,$B$4,缺陷明细!$G$2:$G$50000,$C7,缺陷明细!$J$2:$J$50000,"验收测试",缺陷明细!$AB$2:$AB$50000,"&lt;&gt;丢弃",缺陷明细!$AB$2:$AB$50000,"&lt;&gt;设计如此",缺陷明细!$AB$2:$AB$50000,"&lt;&gt;重复Bug")</f>
        <v>0</v>
      </c>
      <c r="V7" s="75">
        <f>COUNTIFS(缺陷明细!$A$2:$A$50000,$B$4,缺陷明细!$G$2:$G$50000,$C7,缺陷明细!$Q$2:$Q$50000,"已关闭",缺陷明细!$J$2:$J$50000,"验收测试")</f>
        <v>0</v>
      </c>
      <c r="W7" s="75">
        <f>COUNTIFS(缺陷明细!$A$2:$A$50000,$B$4,缺陷明细!$G$2:$G$50000,$C7,缺陷明细!$J$2:$J$50000,"验收测试",缺陷明细!$K$2:$K$50000,"致命",缺陷明细!$AB$2:$AB$50000,"&lt;&gt;丢弃",缺陷明细!$AB$2:$AB$50000,"&lt;&gt;设计如此",缺陷明细!$AB$2:$AB$50000,"&lt;&gt;重复Bug")+COUNTIFS(缺陷明细!$A$2:$A$50000,$B$4,缺陷明细!$G$2:$G$50000,$C7,缺陷明细!$J$2:$J$50000,"验收测试",缺陷明细!$K$2:$K$50000,"严重",缺陷明细!$AB$2:$AB$50000,"&lt;&gt;丢弃",缺陷明细!$AB$2:$AB$50000,"&lt;&gt;设计如此",缺陷明细!$AB$2:$AB$50000,"&lt;&gt;重复Bug")</f>
        <v>0</v>
      </c>
      <c r="X7" s="76">
        <f>COUNTIFS(缺陷明细!$A$2:$A$50000,$B$4,缺陷明细!$G$2:$G$50000,$C7,缺陷明细!$Q$2:$Q$50000,"已关闭",缺陷明细!$J$2:$J$50000,"验收测试",缺陷明细!$K$2:$K$50000,"致命")+COUNTIFS(缺陷明细!$A$2:$A$50000,$B$4,缺陷明细!$G$2:$G$50000,$C7,缺陷明细!$Q$2:$Q$50000,"已关闭",缺陷明细!$J$2:$J$50000,"验收测试",缺陷明细!$K$2:$K$50000,"严重")</f>
        <v>0</v>
      </c>
      <c r="Y7" s="70">
        <f>COUNTIFS(缺陷明细!$A$2:$A$50000,$B$4,缺陷明细!$G$2:$G$50000,$C7,缺陷明细!$J$2:$J$50000,"运维测试",缺陷明细!$AB$2:$AB$50000,"&lt;&gt;丢弃",缺陷明细!$AB$2:$AB$50000,"&lt;&gt;设计如此",缺陷明细!$AB$2:$AB$50000,"&lt;&gt;重复Bug")</f>
        <v>0</v>
      </c>
      <c r="Z7" s="71">
        <f>COUNTIFS(缺陷明细!$A$2:$A$50000,$B$4,缺陷明细!$G$2:$G$50000,$C7,缺陷明细!$Q$2:$Q$50000,"已关闭",缺陷明细!$J$2:$J$50000,"运维测试")</f>
        <v>0</v>
      </c>
      <c r="AA7" s="72">
        <f>COUNTIFS(缺陷明细!$A$2:$A$50000,$B$4,缺陷明细!$G$2:$G$50000,$C7,缺陷明细!$J$2:$J$50000,"运维测试",缺陷明细!$K$2:$K$50000,"致命",缺陷明细!$AB$2:$AB$50000,"&lt;&gt;丢弃",缺陷明细!$AB$2:$AB$50000,"&lt;&gt;设计如此",缺陷明细!$AB$2:$AB$50000,"&lt;&gt;重复Bug")+COUNTIFS(缺陷明细!$A$2:$A$50000,$B$4,缺陷明细!$G$2:$G$50000,$C7,缺陷明细!$J$2:$J$50000,"运维测试",缺陷明细!$K$2:$K$50000,"严重",缺陷明细!$AB$2:$AB$50000,"&lt;&gt;丢弃",缺陷明细!$AB$2:$AB$50000,"&lt;&gt;设计如此",缺陷明细!$AB$2:$AB$50000,"&lt;&gt;重复Bug")</f>
        <v>0</v>
      </c>
      <c r="AB7" s="73">
        <f>COUNTIFS(缺陷明细!$A$2:$A$50000,$B$4,缺陷明细!$G$2:$G$50000,$C7,缺陷明细!$Q$2:$Q$50000,"已关闭",缺陷明细!$J$2:$J$50000,"运维测试",缺陷明细!$K$2:$K$50000,"致命")+COUNTIFS(缺陷明细!$A$2:$A$50000,$B$4,缺陷明细!$G$2:$G$50000,$C7,缺陷明细!$Q$2:$Q$50000,"已关闭",缺陷明细!$J$2:$J$50000,"运维测试",缺陷明细!$K$2:$K$50000,"严重")</f>
        <v>0</v>
      </c>
      <c r="AC7" s="68">
        <f t="shared" si="0"/>
        <v>0</v>
      </c>
      <c r="AD7" s="60">
        <f t="shared" si="0"/>
        <v>0</v>
      </c>
      <c r="AE7" s="60">
        <f t="shared" si="1"/>
        <v>0</v>
      </c>
      <c r="AF7" s="60">
        <f t="shared" si="1"/>
        <v>0</v>
      </c>
      <c r="AG7" s="60">
        <f t="shared" si="2"/>
        <v>0</v>
      </c>
      <c r="AH7" s="60">
        <f t="shared" si="2"/>
        <v>0</v>
      </c>
      <c r="AI7" s="60">
        <f t="shared" si="3"/>
        <v>0</v>
      </c>
      <c r="AJ7" s="61">
        <f t="shared" si="3"/>
        <v>0</v>
      </c>
      <c r="AK7" s="144"/>
    </row>
    <row r="8" spans="1:37">
      <c r="A8">
        <v>4</v>
      </c>
      <c r="B8" s="57"/>
      <c r="C8" s="58"/>
      <c r="D8" s="83"/>
      <c r="E8" s="82"/>
      <c r="F8" s="158"/>
      <c r="G8" s="159"/>
      <c r="H8" s="281">
        <f>COUNTIFS(缺陷明细!$A$2:$A$50000,$B$4,缺陷明细!$G$2:$G$50000,$C8,缺陷明细!$J$2:$J$50000,"评审",缺陷明细!$AB$2:$AB$50000,"&lt;&gt;丢弃",缺陷明细!$AB$2:$AB$50000,"&lt;&gt;设计如此",缺陷明细!$AB$2:$AB$50000,"&lt;&gt;重复Bug")</f>
        <v>0</v>
      </c>
      <c r="I8" s="154">
        <f>COUNTIFS(缺陷明细!$A$2:$A$50000,$B$4,缺陷明细!$G$2:$G$50000,$C8,缺陷明细!$Q$2:$Q$50000,"已关闭",缺陷明细!$J$2:$J$50000,"评审")</f>
        <v>0</v>
      </c>
      <c r="J8" s="154">
        <f>COUNTIFS(缺陷明细!$A$2:$A$50000,$B$4,缺陷明细!$G$2:$G$50000,$C8,缺陷明细!$J$2:$J$50000,"单元测试",缺陷明细!$AB$2:$AB$50000,"&lt;&gt;丢弃",缺陷明细!$AB$2:$AB$50000,"&lt;&gt;设计如此",缺陷明细!$AB$2:$AB$50000,"&lt;&gt;重复Bug")</f>
        <v>0</v>
      </c>
      <c r="K8" s="155">
        <f>COUNTIFS(缺陷明细!$A$2:$A$50000,$B$4,缺陷明细!$G$2:$G$50000,$C8,缺陷明细!$Q$2:$Q$50000,"已关闭",缺陷明细!$J$2:$J$50000,"单元测试")</f>
        <v>0</v>
      </c>
      <c r="L8" s="156"/>
      <c r="M8" s="157"/>
      <c r="N8" s="72">
        <f>COUNTIFS(缺陷明细!$A$2:$A$50000,$B$4,缺陷明细!$G$2:$G$50000,$C8,缺陷明细!$J$2:$J$50000,"系统测试案例评审",缺陷明细!$AB$2:$AB$50000,"&lt;&gt;丢弃",缺陷明细!$AB$2:$AB$50000,"&lt;&gt;设计如此",缺陷明细!$AB$2:$AB$50000,"&lt;&gt;重复Bug")</f>
        <v>0</v>
      </c>
      <c r="O8" s="72">
        <f>COUNTIFS(缺陷明细!$A$2:$A$50000,$B$4,缺陷明细!$G$2:$G$50000,$C8,缺陷明细!$Q$2:$Q$50000,"已关闭",缺陷明细!$J$2:$J$50000,"系统测试案例评审")</f>
        <v>0</v>
      </c>
      <c r="P8" s="72">
        <f>COUNTIFS(缺陷明细!$A$2:$A$50000,$B$4,缺陷明细!$G$2:$G$50000,$C8,缺陷明细!$J$2:$J$50000,"系统测试",缺陷明细!$AB$2:$AB$50000,"&lt;&gt;丢弃",缺陷明细!$AB$2:$AB$50000,"&lt;&gt;设计如此",缺陷明细!$AB$2:$AB$50000,"&lt;&gt;重复Bug")</f>
        <v>0</v>
      </c>
      <c r="Q8" s="72">
        <f>COUNTIFS(缺陷明细!$A$2:$A$50000,$B$4,缺陷明细!$G$2:$G$50000,$C8,缺陷明细!$Q$2:$Q$50000,"已关闭",缺陷明细!$J$2:$J$50000,"系统测试")</f>
        <v>0</v>
      </c>
      <c r="R8" s="296">
        <f>COUNTIFS(缺陷明细!$A$2:$A$50000,$B$4,缺陷明细!$G$2:$G$50000,$C8,缺陷明细!$AB$2:$AB$50000,"丢弃",缺陷明细!$J$2:$J$50000,"系统测试")+COUNTIFS(缺陷明细!$A$2:$A$50000,$B$4,缺陷明细!$G$2:$G$50000,$C8,缺陷明细!$AB$2:$AB$50000,"设计如此",缺陷明细!$J$2:$J$50000,"系统测试")+COUNTIFS(缺陷明细!$A$2:$A$50000,$B$4,缺陷明细!$G$2:$G$50000,$C8,缺陷明细!$AB$2:$AB$50000,"重复Bug",缺陷明细!$J$2:$J$50000,"系统测试")</f>
        <v>0</v>
      </c>
      <c r="S8" s="72">
        <f>COUNTIFS(缺陷明细!$A$2:$A$50000,$B$4,缺陷明细!$G$2:$G$50000,$C8,缺陷明细!$J$2:$J$50000,"系统测试",缺陷明细!$K$2:$K$50000,"致命",缺陷明细!$AB$2:$AB$50000,"&lt;&gt;丢弃",缺陷明细!$AB$2:$AB$50000,"&lt;&gt;设计如此",缺陷明细!$AB$2:$AB$50000,"&lt;&gt;重复Bug")+COUNTIFS(缺陷明细!$A$2:$A$50000,$B$4,缺陷明细!$G$2:$G$50000,$C8,缺陷明细!$J$2:$J$50000,"系统测试",缺陷明细!$K$2:$K$50000,"严重",缺陷明细!$AB$2:$AB$50000,"&lt;&gt;丢弃",缺陷明细!$AB$2:$AB$50000,"&lt;&gt;设计如此",缺陷明细!$AB$2:$AB$50000,"&lt;&gt;重复Bug")</f>
        <v>0</v>
      </c>
      <c r="T8" s="73">
        <f>COUNTIFS(缺陷明细!$A$2:$A$50000,$B$4,缺陷明细!$G$2:$G$50000,$C8,缺陷明细!$Q$2:$Q$50000,"已关闭",缺陷明细!$J$2:$J$50000,"系统测试",缺陷明细!$K$2:$K$50000,"致命")+COUNTIFS(缺陷明细!$A$2:$A$50000,$B$4,缺陷明细!$G$2:$G$50000,$C8,缺陷明细!$Q$2:$Q$50000,"已关闭",缺陷明细!$J$2:$J$50000,"系统测试",缺陷明细!$K$2:$K$50000,"严重")</f>
        <v>0</v>
      </c>
      <c r="U8" s="74">
        <f>COUNTIFS(缺陷明细!$A$2:$A$50000,$B$4,缺陷明细!$G$2:$G$50000,$C8,缺陷明细!$J$2:$J$50000,"验收测试",缺陷明细!$AB$2:$AB$50000,"&lt;&gt;丢弃",缺陷明细!$AB$2:$AB$50000,"&lt;&gt;设计如此",缺陷明细!$AB$2:$AB$50000,"&lt;&gt;重复Bug")</f>
        <v>0</v>
      </c>
      <c r="V8" s="75">
        <f>COUNTIFS(缺陷明细!$A$2:$A$50000,$B$4,缺陷明细!$G$2:$G$50000,$C8,缺陷明细!$Q$2:$Q$50000,"已关闭",缺陷明细!$J$2:$J$50000,"验收测试")</f>
        <v>0</v>
      </c>
      <c r="W8" s="75">
        <f>COUNTIFS(缺陷明细!$A$2:$A$50000,$B$4,缺陷明细!$G$2:$G$50000,$C8,缺陷明细!$J$2:$J$50000,"验收测试",缺陷明细!$K$2:$K$50000,"致命",缺陷明细!$AB$2:$AB$50000,"&lt;&gt;丢弃",缺陷明细!$AB$2:$AB$50000,"&lt;&gt;设计如此",缺陷明细!$AB$2:$AB$50000,"&lt;&gt;重复Bug")+COUNTIFS(缺陷明细!$A$2:$A$50000,$B$4,缺陷明细!$G$2:$G$50000,$C8,缺陷明细!$J$2:$J$50000,"验收测试",缺陷明细!$K$2:$K$50000,"严重",缺陷明细!$AB$2:$AB$50000,"&lt;&gt;丢弃",缺陷明细!$AB$2:$AB$50000,"&lt;&gt;设计如此",缺陷明细!$AB$2:$AB$50000,"&lt;&gt;重复Bug")</f>
        <v>0</v>
      </c>
      <c r="X8" s="76">
        <f>COUNTIFS(缺陷明细!$A$2:$A$50000,$B$4,缺陷明细!$G$2:$G$50000,$C8,缺陷明细!$Q$2:$Q$50000,"已关闭",缺陷明细!$J$2:$J$50000,"验收测试",缺陷明细!$K$2:$K$50000,"致命")+COUNTIFS(缺陷明细!$A$2:$A$50000,$B$4,缺陷明细!$G$2:$G$50000,$C8,缺陷明细!$Q$2:$Q$50000,"已关闭",缺陷明细!$J$2:$J$50000,"验收测试",缺陷明细!$K$2:$K$50000,"严重")</f>
        <v>0</v>
      </c>
      <c r="Y8" s="70">
        <f>COUNTIFS(缺陷明细!$A$2:$A$50000,$B$4,缺陷明细!$G$2:$G$50000,$C8,缺陷明细!$J$2:$J$50000,"运维测试",缺陷明细!$AB$2:$AB$50000,"&lt;&gt;丢弃",缺陷明细!$AB$2:$AB$50000,"&lt;&gt;设计如此",缺陷明细!$AB$2:$AB$50000,"&lt;&gt;重复Bug")</f>
        <v>0</v>
      </c>
      <c r="Z8" s="71">
        <f>COUNTIFS(缺陷明细!$A$2:$A$50000,$B$4,缺陷明细!$G$2:$G$50000,$C8,缺陷明细!$Q$2:$Q$50000,"已关闭",缺陷明细!$J$2:$J$50000,"运维测试")</f>
        <v>0</v>
      </c>
      <c r="AA8" s="72">
        <f>COUNTIFS(缺陷明细!$A$2:$A$50000,$B$4,缺陷明细!$G$2:$G$50000,$C8,缺陷明细!$J$2:$J$50000,"运维测试",缺陷明细!$K$2:$K$50000,"致命",缺陷明细!$AB$2:$AB$50000,"&lt;&gt;丢弃",缺陷明细!$AB$2:$AB$50000,"&lt;&gt;设计如此",缺陷明细!$AB$2:$AB$50000,"&lt;&gt;重复Bug")+COUNTIFS(缺陷明细!$A$2:$A$50000,$B$4,缺陷明细!$G$2:$G$50000,$C8,缺陷明细!$J$2:$J$50000,"运维测试",缺陷明细!$K$2:$K$50000,"严重",缺陷明细!$AB$2:$AB$50000,"&lt;&gt;丢弃",缺陷明细!$AB$2:$AB$50000,"&lt;&gt;设计如此",缺陷明细!$AB$2:$AB$50000,"&lt;&gt;重复Bug")</f>
        <v>0</v>
      </c>
      <c r="AB8" s="73">
        <f>COUNTIFS(缺陷明细!$A$2:$A$50000,$B$4,缺陷明细!$G$2:$G$50000,$C8,缺陷明细!$Q$2:$Q$50000,"已关闭",缺陷明细!$J$2:$J$50000,"运维测试",缺陷明细!$K$2:$K$50000,"致命")+COUNTIFS(缺陷明细!$A$2:$A$50000,$B$4,缺陷明细!$G$2:$G$50000,$C8,缺陷明细!$Q$2:$Q$50000,"已关闭",缺陷明细!$J$2:$J$50000,"运维测试",缺陷明细!$K$2:$K$50000,"严重")</f>
        <v>0</v>
      </c>
      <c r="AC8" s="68">
        <f t="shared" si="0"/>
        <v>0</v>
      </c>
      <c r="AD8" s="60">
        <f t="shared" si="0"/>
        <v>0</v>
      </c>
      <c r="AE8" s="60">
        <f t="shared" si="1"/>
        <v>0</v>
      </c>
      <c r="AF8" s="60">
        <f t="shared" si="1"/>
        <v>0</v>
      </c>
      <c r="AG8" s="60">
        <f t="shared" si="2"/>
        <v>0</v>
      </c>
      <c r="AH8" s="60">
        <f t="shared" si="2"/>
        <v>0</v>
      </c>
      <c r="AI8" s="60">
        <f t="shared" si="3"/>
        <v>0</v>
      </c>
      <c r="AJ8" s="61">
        <f t="shared" si="3"/>
        <v>0</v>
      </c>
      <c r="AK8" s="144"/>
    </row>
    <row r="9" spans="1:37">
      <c r="A9">
        <v>5</v>
      </c>
      <c r="B9" s="57"/>
      <c r="C9" s="59"/>
      <c r="D9" s="84"/>
      <c r="E9" s="82"/>
      <c r="F9" s="160"/>
      <c r="G9" s="161"/>
      <c r="H9" s="281">
        <f>COUNTIFS(缺陷明细!$A$2:$A$50000,$B$4,缺陷明细!$G$2:$G$50000,$C9,缺陷明细!$J$2:$J$50000,"评审",缺陷明细!$AB$2:$AB$50000,"&lt;&gt;丢弃",缺陷明细!$AB$2:$AB$50000,"&lt;&gt;设计如此",缺陷明细!$AB$2:$AB$50000,"&lt;&gt;重复Bug")</f>
        <v>0</v>
      </c>
      <c r="I9" s="154">
        <f>COUNTIFS(缺陷明细!$A$2:$A$50000,$B$4,缺陷明细!$G$2:$G$50000,$C9,缺陷明细!$Q$2:$Q$50000,"已关闭",缺陷明细!$J$2:$J$50000,"评审")</f>
        <v>0</v>
      </c>
      <c r="J9" s="154">
        <f>COUNTIFS(缺陷明细!$A$2:$A$50000,$B$4,缺陷明细!$G$2:$G$50000,$C9,缺陷明细!$J$2:$J$50000,"单元测试",缺陷明细!$AB$2:$AB$50000,"&lt;&gt;丢弃",缺陷明细!$AB$2:$AB$50000,"&lt;&gt;设计如此",缺陷明细!$AB$2:$AB$50000,"&lt;&gt;重复Bug")</f>
        <v>0</v>
      </c>
      <c r="K9" s="155">
        <f>COUNTIFS(缺陷明细!$A$2:$A$50000,$B$4,缺陷明细!$G$2:$G$50000,$C9,缺陷明细!$Q$2:$Q$50000,"已关闭",缺陷明细!$J$2:$J$50000,"单元测试")</f>
        <v>0</v>
      </c>
      <c r="L9" s="156"/>
      <c r="M9" s="157"/>
      <c r="N9" s="72">
        <f>COUNTIFS(缺陷明细!$A$2:$A$50000,$B$4,缺陷明细!$G$2:$G$50000,$C9,缺陷明细!$J$2:$J$50000,"系统测试案例评审",缺陷明细!$AB$2:$AB$50000,"&lt;&gt;丢弃",缺陷明细!$AB$2:$AB$50000,"&lt;&gt;设计如此",缺陷明细!$AB$2:$AB$50000,"&lt;&gt;重复Bug")</f>
        <v>0</v>
      </c>
      <c r="O9" s="72">
        <f>COUNTIFS(缺陷明细!$A$2:$A$50000,$B$4,缺陷明细!$G$2:$G$50000,$C9,缺陷明细!$Q$2:$Q$50000,"已关闭",缺陷明细!$J$2:$J$50000,"系统测试案例评审")</f>
        <v>0</v>
      </c>
      <c r="P9" s="72">
        <f>COUNTIFS(缺陷明细!$A$2:$A$50000,$B$4,缺陷明细!$G$2:$G$50000,$C9,缺陷明细!$J$2:$J$50000,"系统测试",缺陷明细!$AB$2:$AB$50000,"&lt;&gt;丢弃",缺陷明细!$AB$2:$AB$50000,"&lt;&gt;设计如此",缺陷明细!$AB$2:$AB$50000,"&lt;&gt;重复Bug")</f>
        <v>0</v>
      </c>
      <c r="Q9" s="72">
        <f>COUNTIFS(缺陷明细!$A$2:$A$50000,$B$4,缺陷明细!$G$2:$G$50000,$C9,缺陷明细!$Q$2:$Q$50000,"已关闭",缺陷明细!$J$2:$J$50000,"系统测试")</f>
        <v>0</v>
      </c>
      <c r="R9" s="296">
        <f>COUNTIFS(缺陷明细!$A$2:$A$50000,$B$4,缺陷明细!$G$2:$G$50000,$C9,缺陷明细!$AB$2:$AB$50000,"丢弃",缺陷明细!$J$2:$J$50000,"系统测试")+COUNTIFS(缺陷明细!$A$2:$A$50000,$B$4,缺陷明细!$G$2:$G$50000,$C9,缺陷明细!$AB$2:$AB$50000,"设计如此",缺陷明细!$J$2:$J$50000,"系统测试")+COUNTIFS(缺陷明细!$A$2:$A$50000,$B$4,缺陷明细!$G$2:$G$50000,$C9,缺陷明细!$AB$2:$AB$50000,"重复Bug",缺陷明细!$J$2:$J$50000,"系统测试")</f>
        <v>0</v>
      </c>
      <c r="S9" s="72">
        <f>COUNTIFS(缺陷明细!$A$2:$A$50000,$B$4,缺陷明细!$G$2:$G$50000,$C9,缺陷明细!$J$2:$J$50000,"系统测试",缺陷明细!$K$2:$K$50000,"致命",缺陷明细!$AB$2:$AB$50000,"&lt;&gt;丢弃",缺陷明细!$AB$2:$AB$50000,"&lt;&gt;设计如此",缺陷明细!$AB$2:$AB$50000,"&lt;&gt;重复Bug")+COUNTIFS(缺陷明细!$A$2:$A$50000,$B$4,缺陷明细!$G$2:$G$50000,$C9,缺陷明细!$J$2:$J$50000,"系统测试",缺陷明细!$K$2:$K$50000,"严重",缺陷明细!$AB$2:$AB$50000,"&lt;&gt;丢弃",缺陷明细!$AB$2:$AB$50000,"&lt;&gt;设计如此",缺陷明细!$AB$2:$AB$50000,"&lt;&gt;重复Bug")</f>
        <v>0</v>
      </c>
      <c r="T9" s="73">
        <f>COUNTIFS(缺陷明细!$A$2:$A$50000,$B$4,缺陷明细!$G$2:$G$50000,$C9,缺陷明细!$Q$2:$Q$50000,"已关闭",缺陷明细!$J$2:$J$50000,"系统测试",缺陷明细!$K$2:$K$50000,"致命")+COUNTIFS(缺陷明细!$A$2:$A$50000,$B$4,缺陷明细!$G$2:$G$50000,$C9,缺陷明细!$Q$2:$Q$50000,"已关闭",缺陷明细!$J$2:$J$50000,"系统测试",缺陷明细!$K$2:$K$50000,"严重")</f>
        <v>0</v>
      </c>
      <c r="U9" s="74">
        <f>COUNTIFS(缺陷明细!$A$2:$A$50000,$B$4,缺陷明细!$G$2:$G$50000,$C9,缺陷明细!$J$2:$J$50000,"验收测试",缺陷明细!$AB$2:$AB$50000,"&lt;&gt;丢弃",缺陷明细!$AB$2:$AB$50000,"&lt;&gt;设计如此",缺陷明细!$AB$2:$AB$50000,"&lt;&gt;重复Bug")</f>
        <v>0</v>
      </c>
      <c r="V9" s="75">
        <f>COUNTIFS(缺陷明细!$A$2:$A$50000,$B$4,缺陷明细!$G$2:$G$50000,$C9,缺陷明细!$Q$2:$Q$50000,"已关闭",缺陷明细!$J$2:$J$50000,"验收测试")</f>
        <v>0</v>
      </c>
      <c r="W9" s="75">
        <f>COUNTIFS(缺陷明细!$A$2:$A$50000,$B$4,缺陷明细!$G$2:$G$50000,$C9,缺陷明细!$J$2:$J$50000,"验收测试",缺陷明细!$K$2:$K$50000,"致命",缺陷明细!$AB$2:$AB$50000,"&lt;&gt;丢弃",缺陷明细!$AB$2:$AB$50000,"&lt;&gt;设计如此",缺陷明细!$AB$2:$AB$50000,"&lt;&gt;重复Bug")+COUNTIFS(缺陷明细!$A$2:$A$50000,$B$4,缺陷明细!$G$2:$G$50000,$C9,缺陷明细!$J$2:$J$50000,"验收测试",缺陷明细!$K$2:$K$50000,"严重",缺陷明细!$AB$2:$AB$50000,"&lt;&gt;丢弃",缺陷明细!$AB$2:$AB$50000,"&lt;&gt;设计如此",缺陷明细!$AB$2:$AB$50000,"&lt;&gt;重复Bug")</f>
        <v>0</v>
      </c>
      <c r="X9" s="76">
        <f>COUNTIFS(缺陷明细!$A$2:$A$50000,$B$4,缺陷明细!$G$2:$G$50000,$C9,缺陷明细!$Q$2:$Q$50000,"已关闭",缺陷明细!$J$2:$J$50000,"验收测试",缺陷明细!$K$2:$K$50000,"致命")+COUNTIFS(缺陷明细!$A$2:$A$50000,$B$4,缺陷明细!$G$2:$G$50000,$C9,缺陷明细!$Q$2:$Q$50000,"已关闭",缺陷明细!$J$2:$J$50000,"验收测试",缺陷明细!$K$2:$K$50000,"严重")</f>
        <v>0</v>
      </c>
      <c r="Y9" s="70">
        <f>COUNTIFS(缺陷明细!$A$2:$A$50000,$B$4,缺陷明细!$G$2:$G$50000,$C9,缺陷明细!$J$2:$J$50000,"运维测试",缺陷明细!$AB$2:$AB$50000,"&lt;&gt;丢弃",缺陷明细!$AB$2:$AB$50000,"&lt;&gt;设计如此",缺陷明细!$AB$2:$AB$50000,"&lt;&gt;重复Bug")</f>
        <v>0</v>
      </c>
      <c r="Z9" s="71">
        <f>COUNTIFS(缺陷明细!$A$2:$A$50000,$B$4,缺陷明细!$G$2:$G$50000,$C9,缺陷明细!$Q$2:$Q$50000,"已关闭",缺陷明细!$J$2:$J$50000,"运维测试")</f>
        <v>0</v>
      </c>
      <c r="AA9" s="72">
        <f>COUNTIFS(缺陷明细!$A$2:$A$50000,$B$4,缺陷明细!$G$2:$G$50000,$C9,缺陷明细!$J$2:$J$50000,"运维测试",缺陷明细!$K$2:$K$50000,"致命",缺陷明细!$AB$2:$AB$50000,"&lt;&gt;丢弃",缺陷明细!$AB$2:$AB$50000,"&lt;&gt;设计如此",缺陷明细!$AB$2:$AB$50000,"&lt;&gt;重复Bug")+COUNTIFS(缺陷明细!$A$2:$A$50000,$B$4,缺陷明细!$G$2:$G$50000,$C9,缺陷明细!$J$2:$J$50000,"运维测试",缺陷明细!$K$2:$K$50000,"严重",缺陷明细!$AB$2:$AB$50000,"&lt;&gt;丢弃",缺陷明细!$AB$2:$AB$50000,"&lt;&gt;设计如此",缺陷明细!$AB$2:$AB$50000,"&lt;&gt;重复Bug")</f>
        <v>0</v>
      </c>
      <c r="AB9" s="73">
        <f>COUNTIFS(缺陷明细!$A$2:$A$50000,$B$4,缺陷明细!$G$2:$G$50000,$C9,缺陷明细!$Q$2:$Q$50000,"已关闭",缺陷明细!$J$2:$J$50000,"运维测试",缺陷明细!$K$2:$K$50000,"致命")+COUNTIFS(缺陷明细!$A$2:$A$50000,$B$4,缺陷明细!$G$2:$G$50000,$C9,缺陷明细!$Q$2:$Q$50000,"已关闭",缺陷明细!$J$2:$J$50000,"运维测试",缺陷明细!$K$2:$K$50000,"严重")</f>
        <v>0</v>
      </c>
      <c r="AC9" s="68">
        <f t="shared" si="0"/>
        <v>0</v>
      </c>
      <c r="AD9" s="60">
        <f t="shared" si="0"/>
        <v>0</v>
      </c>
      <c r="AE9" s="60">
        <f t="shared" si="1"/>
        <v>0</v>
      </c>
      <c r="AF9" s="60">
        <f t="shared" si="1"/>
        <v>0</v>
      </c>
      <c r="AG9" s="60">
        <f t="shared" si="2"/>
        <v>0</v>
      </c>
      <c r="AH9" s="60">
        <f t="shared" si="2"/>
        <v>0</v>
      </c>
      <c r="AI9" s="60">
        <f t="shared" si="3"/>
        <v>0</v>
      </c>
      <c r="AJ9" s="61">
        <f t="shared" si="3"/>
        <v>0</v>
      </c>
      <c r="AK9" s="144"/>
    </row>
    <row r="10" spans="1:37">
      <c r="A10">
        <v>6</v>
      </c>
      <c r="B10" s="57"/>
      <c r="C10" s="58"/>
      <c r="D10" s="84"/>
      <c r="E10" s="82"/>
      <c r="F10" s="158"/>
      <c r="G10" s="159"/>
      <c r="H10" s="281">
        <f>COUNTIFS(缺陷明细!$A$2:$A$50000,$B$4,缺陷明细!$G$2:$G$50000,$C10,缺陷明细!$J$2:$J$50000,"评审",缺陷明细!$AB$2:$AB$50000,"&lt;&gt;丢弃",缺陷明细!$AB$2:$AB$50000,"&lt;&gt;设计如此",缺陷明细!$AB$2:$AB$50000,"&lt;&gt;重复Bug")</f>
        <v>0</v>
      </c>
      <c r="I10" s="154">
        <f>COUNTIFS(缺陷明细!$A$2:$A$50000,$B$4,缺陷明细!$G$2:$G$50000,$C10,缺陷明细!$Q$2:$Q$50000,"已关闭",缺陷明细!$J$2:$J$50000,"评审")</f>
        <v>0</v>
      </c>
      <c r="J10" s="154">
        <f>COUNTIFS(缺陷明细!$A$2:$A$50000,$B$4,缺陷明细!$G$2:$G$50000,$C10,缺陷明细!$J$2:$J$50000,"单元测试",缺陷明细!$AB$2:$AB$50000,"&lt;&gt;丢弃",缺陷明细!$AB$2:$AB$50000,"&lt;&gt;设计如此",缺陷明细!$AB$2:$AB$50000,"&lt;&gt;重复Bug")</f>
        <v>0</v>
      </c>
      <c r="K10" s="155">
        <f>COUNTIFS(缺陷明细!$A$2:$A$50000,$B$4,缺陷明细!$G$2:$G$50000,$C10,缺陷明细!$Q$2:$Q$50000,"已关闭",缺陷明细!$J$2:$J$50000,"单元测试")</f>
        <v>0</v>
      </c>
      <c r="L10" s="156"/>
      <c r="M10" s="157"/>
      <c r="N10" s="72">
        <f>COUNTIFS(缺陷明细!$A$2:$A$50000,$B$4,缺陷明细!$G$2:$G$50000,$C10,缺陷明细!$J$2:$J$50000,"系统测试案例评审",缺陷明细!$AB$2:$AB$50000,"&lt;&gt;丢弃",缺陷明细!$AB$2:$AB$50000,"&lt;&gt;设计如此",缺陷明细!$AB$2:$AB$50000,"&lt;&gt;重复Bug")</f>
        <v>0</v>
      </c>
      <c r="O10" s="72">
        <f>COUNTIFS(缺陷明细!$A$2:$A$50000,$B$4,缺陷明细!$G$2:$G$50000,$C10,缺陷明细!$Q$2:$Q$50000,"已关闭",缺陷明细!$J$2:$J$50000,"系统测试案例评审")</f>
        <v>0</v>
      </c>
      <c r="P10" s="72">
        <f>COUNTIFS(缺陷明细!$A$2:$A$50000,$B$4,缺陷明细!$G$2:$G$50000,$C10,缺陷明细!$J$2:$J$50000,"系统测试",缺陷明细!$AB$2:$AB$50000,"&lt;&gt;丢弃",缺陷明细!$AB$2:$AB$50000,"&lt;&gt;设计如此",缺陷明细!$AB$2:$AB$50000,"&lt;&gt;重复Bug")</f>
        <v>0</v>
      </c>
      <c r="Q10" s="72">
        <f>COUNTIFS(缺陷明细!$A$2:$A$50000,$B$4,缺陷明细!$G$2:$G$50000,$C10,缺陷明细!$Q$2:$Q$50000,"已关闭",缺陷明细!$J$2:$J$50000,"系统测试")</f>
        <v>0</v>
      </c>
      <c r="R10" s="296">
        <f>COUNTIFS(缺陷明细!$A$2:$A$50000,$B$4,缺陷明细!$G$2:$G$50000,$C10,缺陷明细!$AB$2:$AB$50000,"丢弃",缺陷明细!$J$2:$J$50000,"系统测试")+COUNTIFS(缺陷明细!$A$2:$A$50000,$B$4,缺陷明细!$G$2:$G$50000,$C10,缺陷明细!$AB$2:$AB$50000,"设计如此",缺陷明细!$J$2:$J$50000,"系统测试")+COUNTIFS(缺陷明细!$A$2:$A$50000,$B$4,缺陷明细!$G$2:$G$50000,$C10,缺陷明细!$AB$2:$AB$50000,"重复Bug",缺陷明细!$J$2:$J$50000,"系统测试")</f>
        <v>0</v>
      </c>
      <c r="S10" s="72">
        <f>COUNTIFS(缺陷明细!$A$2:$A$50000,$B$4,缺陷明细!$G$2:$G$50000,$C10,缺陷明细!$J$2:$J$50000,"系统测试",缺陷明细!$K$2:$K$50000,"致命",缺陷明细!$AB$2:$AB$50000,"&lt;&gt;丢弃",缺陷明细!$AB$2:$AB$50000,"&lt;&gt;设计如此",缺陷明细!$AB$2:$AB$50000,"&lt;&gt;重复Bug")+COUNTIFS(缺陷明细!$A$2:$A$50000,$B$4,缺陷明细!$G$2:$G$50000,$C10,缺陷明细!$J$2:$J$50000,"系统测试",缺陷明细!$K$2:$K$50000,"严重",缺陷明细!$AB$2:$AB$50000,"&lt;&gt;丢弃",缺陷明细!$AB$2:$AB$50000,"&lt;&gt;设计如此",缺陷明细!$AB$2:$AB$50000,"&lt;&gt;重复Bug")</f>
        <v>0</v>
      </c>
      <c r="T10" s="73">
        <f>COUNTIFS(缺陷明细!$A$2:$A$50000,$B$4,缺陷明细!$G$2:$G$50000,$C10,缺陷明细!$Q$2:$Q$50000,"已关闭",缺陷明细!$J$2:$J$50000,"系统测试",缺陷明细!$K$2:$K$50000,"致命")+COUNTIFS(缺陷明细!$A$2:$A$50000,$B$4,缺陷明细!$G$2:$G$50000,$C10,缺陷明细!$Q$2:$Q$50000,"已关闭",缺陷明细!$J$2:$J$50000,"系统测试",缺陷明细!$K$2:$K$50000,"严重")</f>
        <v>0</v>
      </c>
      <c r="U10" s="74">
        <f>COUNTIFS(缺陷明细!$A$2:$A$50000,$B$4,缺陷明细!$G$2:$G$50000,$C10,缺陷明细!$J$2:$J$50000,"验收测试",缺陷明细!$AB$2:$AB$50000,"&lt;&gt;丢弃",缺陷明细!$AB$2:$AB$50000,"&lt;&gt;设计如此",缺陷明细!$AB$2:$AB$50000,"&lt;&gt;重复Bug")</f>
        <v>0</v>
      </c>
      <c r="V10" s="75">
        <f>COUNTIFS(缺陷明细!$A$2:$A$50000,$B$4,缺陷明细!$G$2:$G$50000,$C10,缺陷明细!$Q$2:$Q$50000,"已关闭",缺陷明细!$J$2:$J$50000,"验收测试")</f>
        <v>0</v>
      </c>
      <c r="W10" s="75">
        <f>COUNTIFS(缺陷明细!$A$2:$A$50000,$B$4,缺陷明细!$G$2:$G$50000,$C10,缺陷明细!$J$2:$J$50000,"验收测试",缺陷明细!$K$2:$K$50000,"致命",缺陷明细!$AB$2:$AB$50000,"&lt;&gt;丢弃",缺陷明细!$AB$2:$AB$50000,"&lt;&gt;设计如此",缺陷明细!$AB$2:$AB$50000,"&lt;&gt;重复Bug")+COUNTIFS(缺陷明细!$A$2:$A$50000,$B$4,缺陷明细!$G$2:$G$50000,$C10,缺陷明细!$J$2:$J$50000,"验收测试",缺陷明细!$K$2:$K$50000,"严重",缺陷明细!$AB$2:$AB$50000,"&lt;&gt;丢弃",缺陷明细!$AB$2:$AB$50000,"&lt;&gt;设计如此",缺陷明细!$AB$2:$AB$50000,"&lt;&gt;重复Bug")</f>
        <v>0</v>
      </c>
      <c r="X10" s="76">
        <f>COUNTIFS(缺陷明细!$A$2:$A$50000,$B$4,缺陷明细!$G$2:$G$50000,$C10,缺陷明细!$Q$2:$Q$50000,"已关闭",缺陷明细!$J$2:$J$50000,"验收测试",缺陷明细!$K$2:$K$50000,"致命")+COUNTIFS(缺陷明细!$A$2:$A$50000,$B$4,缺陷明细!$G$2:$G$50000,$C10,缺陷明细!$Q$2:$Q$50000,"已关闭",缺陷明细!$J$2:$J$50000,"验收测试",缺陷明细!$K$2:$K$50000,"严重")</f>
        <v>0</v>
      </c>
      <c r="Y10" s="70">
        <f>COUNTIFS(缺陷明细!$A$2:$A$50000,$B$4,缺陷明细!$G$2:$G$50000,$C10,缺陷明细!$J$2:$J$50000,"运维测试",缺陷明细!$AB$2:$AB$50000,"&lt;&gt;丢弃",缺陷明细!$AB$2:$AB$50000,"&lt;&gt;设计如此",缺陷明细!$AB$2:$AB$50000,"&lt;&gt;重复Bug")</f>
        <v>0</v>
      </c>
      <c r="Z10" s="71">
        <f>COUNTIFS(缺陷明细!$A$2:$A$50000,$B$4,缺陷明细!$G$2:$G$50000,$C10,缺陷明细!$Q$2:$Q$50000,"已关闭",缺陷明细!$J$2:$J$50000,"运维测试")</f>
        <v>0</v>
      </c>
      <c r="AA10" s="72">
        <f>COUNTIFS(缺陷明细!$A$2:$A$50000,$B$4,缺陷明细!$G$2:$G$50000,$C10,缺陷明细!$J$2:$J$50000,"运维测试",缺陷明细!$K$2:$K$50000,"致命",缺陷明细!$AB$2:$AB$50000,"&lt;&gt;丢弃",缺陷明细!$AB$2:$AB$50000,"&lt;&gt;设计如此",缺陷明细!$AB$2:$AB$50000,"&lt;&gt;重复Bug")+COUNTIFS(缺陷明细!$A$2:$A$50000,$B$4,缺陷明细!$G$2:$G$50000,$C10,缺陷明细!$J$2:$J$50000,"运维测试",缺陷明细!$K$2:$K$50000,"严重",缺陷明细!$AB$2:$AB$50000,"&lt;&gt;丢弃",缺陷明细!$AB$2:$AB$50000,"&lt;&gt;设计如此",缺陷明细!$AB$2:$AB$50000,"&lt;&gt;重复Bug")</f>
        <v>0</v>
      </c>
      <c r="AB10" s="73">
        <f>COUNTIFS(缺陷明细!$A$2:$A$50000,$B$4,缺陷明细!$G$2:$G$50000,$C10,缺陷明细!$Q$2:$Q$50000,"已关闭",缺陷明细!$J$2:$J$50000,"运维测试",缺陷明细!$K$2:$K$50000,"致命")+COUNTIFS(缺陷明细!$A$2:$A$50000,$B$4,缺陷明细!$G$2:$G$50000,$C10,缺陷明细!$Q$2:$Q$50000,"已关闭",缺陷明细!$J$2:$J$50000,"运维测试",缺陷明细!$K$2:$K$50000,"严重")</f>
        <v>0</v>
      </c>
      <c r="AC10" s="68">
        <f t="shared" si="0"/>
        <v>0</v>
      </c>
      <c r="AD10" s="60">
        <f t="shared" si="0"/>
        <v>0</v>
      </c>
      <c r="AE10" s="60">
        <f t="shared" si="1"/>
        <v>0</v>
      </c>
      <c r="AF10" s="60">
        <f t="shared" si="1"/>
        <v>0</v>
      </c>
      <c r="AG10" s="60">
        <f t="shared" si="2"/>
        <v>0</v>
      </c>
      <c r="AH10" s="60">
        <f t="shared" si="2"/>
        <v>0</v>
      </c>
      <c r="AI10" s="60">
        <f t="shared" si="3"/>
        <v>0</v>
      </c>
      <c r="AJ10" s="61">
        <f t="shared" si="3"/>
        <v>0</v>
      </c>
      <c r="AK10" s="144"/>
    </row>
    <row r="11" spans="1:37">
      <c r="A11">
        <v>7</v>
      </c>
      <c r="B11" s="57"/>
      <c r="C11" s="58"/>
      <c r="D11" s="84"/>
      <c r="E11" s="82"/>
      <c r="F11" s="158"/>
      <c r="G11" s="159"/>
      <c r="H11" s="281">
        <f>COUNTIFS(缺陷明细!$A$2:$A$50000,$B$4,缺陷明细!$G$2:$G$50000,$C11,缺陷明细!$J$2:$J$50000,"评审",缺陷明细!$AB$2:$AB$50000,"&lt;&gt;丢弃",缺陷明细!$AB$2:$AB$50000,"&lt;&gt;设计如此",缺陷明细!$AB$2:$AB$50000,"&lt;&gt;重复Bug")</f>
        <v>0</v>
      </c>
      <c r="I11" s="154">
        <f>COUNTIFS(缺陷明细!$A$2:$A$50000,$B$4,缺陷明细!$G$2:$G$50000,$C11,缺陷明细!$Q$2:$Q$50000,"已关闭",缺陷明细!$J$2:$J$50000,"评审")</f>
        <v>0</v>
      </c>
      <c r="J11" s="154">
        <f>COUNTIFS(缺陷明细!$A$2:$A$50000,$B$4,缺陷明细!$G$2:$G$50000,$C11,缺陷明细!$J$2:$J$50000,"单元测试",缺陷明细!$AB$2:$AB$50000,"&lt;&gt;丢弃",缺陷明细!$AB$2:$AB$50000,"&lt;&gt;设计如此",缺陷明细!$AB$2:$AB$50000,"&lt;&gt;重复Bug")</f>
        <v>0</v>
      </c>
      <c r="K11" s="155">
        <f>COUNTIFS(缺陷明细!$A$2:$A$50000,$B$4,缺陷明细!$G$2:$G$50000,$C11,缺陷明细!$Q$2:$Q$50000,"已关闭",缺陷明细!$J$2:$J$50000,"单元测试")</f>
        <v>0</v>
      </c>
      <c r="L11" s="156"/>
      <c r="M11" s="157"/>
      <c r="N11" s="72">
        <f>COUNTIFS(缺陷明细!$A$2:$A$50000,$B$4,缺陷明细!$G$2:$G$50000,$C11,缺陷明细!$J$2:$J$50000,"系统测试案例评审",缺陷明细!$AB$2:$AB$50000,"&lt;&gt;丢弃",缺陷明细!$AB$2:$AB$50000,"&lt;&gt;设计如此",缺陷明细!$AB$2:$AB$50000,"&lt;&gt;重复Bug")</f>
        <v>0</v>
      </c>
      <c r="O11" s="72">
        <f>COUNTIFS(缺陷明细!$A$2:$A$50000,$B$4,缺陷明细!$G$2:$G$50000,$C11,缺陷明细!$Q$2:$Q$50000,"已关闭",缺陷明细!$J$2:$J$50000,"系统测试案例评审")</f>
        <v>0</v>
      </c>
      <c r="P11" s="72">
        <f>COUNTIFS(缺陷明细!$A$2:$A$50000,$B$4,缺陷明细!$G$2:$G$50000,$C11,缺陷明细!$J$2:$J$50000,"系统测试",缺陷明细!$AB$2:$AB$50000,"&lt;&gt;丢弃",缺陷明细!$AB$2:$AB$50000,"&lt;&gt;设计如此",缺陷明细!$AB$2:$AB$50000,"&lt;&gt;重复Bug")</f>
        <v>0</v>
      </c>
      <c r="Q11" s="72">
        <f>COUNTIFS(缺陷明细!$A$2:$A$50000,$B$4,缺陷明细!$G$2:$G$50000,$C11,缺陷明细!$Q$2:$Q$50000,"已关闭",缺陷明细!$J$2:$J$50000,"系统测试")</f>
        <v>0</v>
      </c>
      <c r="R11" s="296">
        <f>COUNTIFS(缺陷明细!$A$2:$A$50000,$B$4,缺陷明细!$G$2:$G$50000,$C11,缺陷明细!$AB$2:$AB$50000,"丢弃",缺陷明细!$J$2:$J$50000,"系统测试")+COUNTIFS(缺陷明细!$A$2:$A$50000,$B$4,缺陷明细!$G$2:$G$50000,$C11,缺陷明细!$AB$2:$AB$50000,"设计如此",缺陷明细!$J$2:$J$50000,"系统测试")+COUNTIFS(缺陷明细!$A$2:$A$50000,$B$4,缺陷明细!$G$2:$G$50000,$C11,缺陷明细!$AB$2:$AB$50000,"重复Bug",缺陷明细!$J$2:$J$50000,"系统测试")</f>
        <v>0</v>
      </c>
      <c r="S11" s="72">
        <f>COUNTIFS(缺陷明细!$A$2:$A$50000,$B$4,缺陷明细!$G$2:$G$50000,$C11,缺陷明细!$J$2:$J$50000,"系统测试",缺陷明细!$K$2:$K$50000,"致命",缺陷明细!$AB$2:$AB$50000,"&lt;&gt;丢弃",缺陷明细!$AB$2:$AB$50000,"&lt;&gt;设计如此",缺陷明细!$AB$2:$AB$50000,"&lt;&gt;重复Bug")+COUNTIFS(缺陷明细!$A$2:$A$50000,$B$4,缺陷明细!$G$2:$G$50000,$C11,缺陷明细!$J$2:$J$50000,"系统测试",缺陷明细!$K$2:$K$50000,"严重",缺陷明细!$AB$2:$AB$50000,"&lt;&gt;丢弃",缺陷明细!$AB$2:$AB$50000,"&lt;&gt;设计如此",缺陷明细!$AB$2:$AB$50000,"&lt;&gt;重复Bug")</f>
        <v>0</v>
      </c>
      <c r="T11" s="73">
        <f>COUNTIFS(缺陷明细!$A$2:$A$50000,$B$4,缺陷明细!$G$2:$G$50000,$C11,缺陷明细!$Q$2:$Q$50000,"已关闭",缺陷明细!$J$2:$J$50000,"系统测试",缺陷明细!$K$2:$K$50000,"致命")+COUNTIFS(缺陷明细!$A$2:$A$50000,$B$4,缺陷明细!$G$2:$G$50000,$C11,缺陷明细!$Q$2:$Q$50000,"已关闭",缺陷明细!$J$2:$J$50000,"系统测试",缺陷明细!$K$2:$K$50000,"严重")</f>
        <v>0</v>
      </c>
      <c r="U11" s="74">
        <f>COUNTIFS(缺陷明细!$A$2:$A$50000,$B$4,缺陷明细!$G$2:$G$50000,$C11,缺陷明细!$J$2:$J$50000,"验收测试",缺陷明细!$AB$2:$AB$50000,"&lt;&gt;丢弃",缺陷明细!$AB$2:$AB$50000,"&lt;&gt;设计如此",缺陷明细!$AB$2:$AB$50000,"&lt;&gt;重复Bug")</f>
        <v>0</v>
      </c>
      <c r="V11" s="75">
        <f>COUNTIFS(缺陷明细!$A$2:$A$50000,$B$4,缺陷明细!$G$2:$G$50000,$C11,缺陷明细!$Q$2:$Q$50000,"已关闭",缺陷明细!$J$2:$J$50000,"验收测试")</f>
        <v>0</v>
      </c>
      <c r="W11" s="75">
        <f>COUNTIFS(缺陷明细!$A$2:$A$50000,$B$4,缺陷明细!$G$2:$G$50000,$C11,缺陷明细!$J$2:$J$50000,"验收测试",缺陷明细!$K$2:$K$50000,"致命",缺陷明细!$AB$2:$AB$50000,"&lt;&gt;丢弃",缺陷明细!$AB$2:$AB$50000,"&lt;&gt;设计如此",缺陷明细!$AB$2:$AB$50000,"&lt;&gt;重复Bug")+COUNTIFS(缺陷明细!$A$2:$A$50000,$B$4,缺陷明细!$G$2:$G$50000,$C11,缺陷明细!$J$2:$J$50000,"验收测试",缺陷明细!$K$2:$K$50000,"严重",缺陷明细!$AB$2:$AB$50000,"&lt;&gt;丢弃",缺陷明细!$AB$2:$AB$50000,"&lt;&gt;设计如此",缺陷明细!$AB$2:$AB$50000,"&lt;&gt;重复Bug")</f>
        <v>0</v>
      </c>
      <c r="X11" s="76">
        <f>COUNTIFS(缺陷明细!$A$2:$A$50000,$B$4,缺陷明细!$G$2:$G$50000,$C11,缺陷明细!$Q$2:$Q$50000,"已关闭",缺陷明细!$J$2:$J$50000,"验收测试",缺陷明细!$K$2:$K$50000,"致命")+COUNTIFS(缺陷明细!$A$2:$A$50000,$B$4,缺陷明细!$G$2:$G$50000,$C11,缺陷明细!$Q$2:$Q$50000,"已关闭",缺陷明细!$J$2:$J$50000,"验收测试",缺陷明细!$K$2:$K$50000,"严重")</f>
        <v>0</v>
      </c>
      <c r="Y11" s="70">
        <f>COUNTIFS(缺陷明细!$A$2:$A$50000,$B$4,缺陷明细!$G$2:$G$50000,$C11,缺陷明细!$J$2:$J$50000,"运维测试",缺陷明细!$AB$2:$AB$50000,"&lt;&gt;丢弃",缺陷明细!$AB$2:$AB$50000,"&lt;&gt;设计如此",缺陷明细!$AB$2:$AB$50000,"&lt;&gt;重复Bug")</f>
        <v>0</v>
      </c>
      <c r="Z11" s="71">
        <f>COUNTIFS(缺陷明细!$A$2:$A$50000,$B$4,缺陷明细!$G$2:$G$50000,$C11,缺陷明细!$Q$2:$Q$50000,"已关闭",缺陷明细!$J$2:$J$50000,"运维测试")</f>
        <v>0</v>
      </c>
      <c r="AA11" s="72">
        <f>COUNTIFS(缺陷明细!$A$2:$A$50000,$B$4,缺陷明细!$G$2:$G$50000,$C11,缺陷明细!$J$2:$J$50000,"运维测试",缺陷明细!$K$2:$K$50000,"致命",缺陷明细!$AB$2:$AB$50000,"&lt;&gt;丢弃",缺陷明细!$AB$2:$AB$50000,"&lt;&gt;设计如此",缺陷明细!$AB$2:$AB$50000,"&lt;&gt;重复Bug")+COUNTIFS(缺陷明细!$A$2:$A$50000,$B$4,缺陷明细!$G$2:$G$50000,$C11,缺陷明细!$J$2:$J$50000,"运维测试",缺陷明细!$K$2:$K$50000,"严重",缺陷明细!$AB$2:$AB$50000,"&lt;&gt;丢弃",缺陷明细!$AB$2:$AB$50000,"&lt;&gt;设计如此",缺陷明细!$AB$2:$AB$50000,"&lt;&gt;重复Bug")</f>
        <v>0</v>
      </c>
      <c r="AB11" s="73">
        <f>COUNTIFS(缺陷明细!$A$2:$A$50000,$B$4,缺陷明细!$G$2:$G$50000,$C11,缺陷明细!$Q$2:$Q$50000,"已关闭",缺陷明细!$J$2:$J$50000,"运维测试",缺陷明细!$K$2:$K$50000,"致命")+COUNTIFS(缺陷明细!$A$2:$A$50000,$B$4,缺陷明细!$G$2:$G$50000,$C11,缺陷明细!$Q$2:$Q$50000,"已关闭",缺陷明细!$J$2:$J$50000,"运维测试",缺陷明细!$K$2:$K$50000,"严重")</f>
        <v>0</v>
      </c>
      <c r="AC11" s="68">
        <f t="shared" si="0"/>
        <v>0</v>
      </c>
      <c r="AD11" s="60">
        <f t="shared" si="0"/>
        <v>0</v>
      </c>
      <c r="AE11" s="60">
        <f t="shared" si="1"/>
        <v>0</v>
      </c>
      <c r="AF11" s="60">
        <f t="shared" si="1"/>
        <v>0</v>
      </c>
      <c r="AG11" s="60">
        <f t="shared" si="2"/>
        <v>0</v>
      </c>
      <c r="AH11" s="60">
        <f t="shared" si="2"/>
        <v>0</v>
      </c>
      <c r="AI11" s="60">
        <f t="shared" si="3"/>
        <v>0</v>
      </c>
      <c r="AJ11" s="61">
        <f t="shared" si="3"/>
        <v>0</v>
      </c>
      <c r="AK11" s="144"/>
    </row>
    <row r="12" spans="1:37">
      <c r="A12">
        <v>8</v>
      </c>
      <c r="B12" s="57"/>
      <c r="C12" s="58"/>
      <c r="D12" s="84"/>
      <c r="E12" s="82"/>
      <c r="F12" s="158"/>
      <c r="G12" s="159"/>
      <c r="H12" s="281">
        <f>COUNTIFS(缺陷明细!$A$2:$A$50000,$B$4,缺陷明细!$G$2:$G$50000,$C12,缺陷明细!$J$2:$J$50000,"评审",缺陷明细!$AB$2:$AB$50000,"&lt;&gt;丢弃",缺陷明细!$AB$2:$AB$50000,"&lt;&gt;设计如此",缺陷明细!$AB$2:$AB$50000,"&lt;&gt;重复Bug")</f>
        <v>0</v>
      </c>
      <c r="I12" s="154">
        <f>COUNTIFS(缺陷明细!$A$2:$A$50000,$B$4,缺陷明细!$G$2:$G$50000,$C12,缺陷明细!$Q$2:$Q$50000,"已关闭",缺陷明细!$J$2:$J$50000,"评审")</f>
        <v>0</v>
      </c>
      <c r="J12" s="154">
        <f>COUNTIFS(缺陷明细!$A$2:$A$50000,$B$4,缺陷明细!$G$2:$G$50000,$C12,缺陷明细!$J$2:$J$50000,"单元测试",缺陷明细!$AB$2:$AB$50000,"&lt;&gt;丢弃",缺陷明细!$AB$2:$AB$50000,"&lt;&gt;设计如此",缺陷明细!$AB$2:$AB$50000,"&lt;&gt;重复Bug")</f>
        <v>0</v>
      </c>
      <c r="K12" s="155">
        <f>COUNTIFS(缺陷明细!$A$2:$A$50000,$B$4,缺陷明细!$G$2:$G$50000,$C12,缺陷明细!$Q$2:$Q$50000,"已关闭",缺陷明细!$J$2:$J$50000,"单元测试")</f>
        <v>0</v>
      </c>
      <c r="L12" s="156"/>
      <c r="M12" s="157"/>
      <c r="N12" s="72">
        <f>COUNTIFS(缺陷明细!$A$2:$A$50000,$B$4,缺陷明细!$G$2:$G$50000,$C12,缺陷明细!$J$2:$J$50000,"系统测试案例评审",缺陷明细!$AB$2:$AB$50000,"&lt;&gt;丢弃",缺陷明细!$AB$2:$AB$50000,"&lt;&gt;设计如此",缺陷明细!$AB$2:$AB$50000,"&lt;&gt;重复Bug")</f>
        <v>0</v>
      </c>
      <c r="O12" s="72">
        <f>COUNTIFS(缺陷明细!$A$2:$A$50000,$B$4,缺陷明细!$G$2:$G$50000,$C12,缺陷明细!$Q$2:$Q$50000,"已关闭",缺陷明细!$J$2:$J$50000,"系统测试案例评审")</f>
        <v>0</v>
      </c>
      <c r="P12" s="72">
        <f>COUNTIFS(缺陷明细!$A$2:$A$50000,$B$4,缺陷明细!$G$2:$G$50000,$C12,缺陷明细!$J$2:$J$50000,"系统测试",缺陷明细!$AB$2:$AB$50000,"&lt;&gt;丢弃",缺陷明细!$AB$2:$AB$50000,"&lt;&gt;设计如此",缺陷明细!$AB$2:$AB$50000,"&lt;&gt;重复Bug")</f>
        <v>0</v>
      </c>
      <c r="Q12" s="72">
        <f>COUNTIFS(缺陷明细!$A$2:$A$50000,$B$4,缺陷明细!$G$2:$G$50000,$C12,缺陷明细!$Q$2:$Q$50000,"已关闭",缺陷明细!$J$2:$J$50000,"系统测试")</f>
        <v>0</v>
      </c>
      <c r="R12" s="296">
        <f>COUNTIFS(缺陷明细!$A$2:$A$50000,$B$4,缺陷明细!$G$2:$G$50000,$C12,缺陷明细!$AB$2:$AB$50000,"丢弃",缺陷明细!$J$2:$J$50000,"系统测试")+COUNTIFS(缺陷明细!$A$2:$A$50000,$B$4,缺陷明细!$G$2:$G$50000,$C12,缺陷明细!$AB$2:$AB$50000,"设计如此",缺陷明细!$J$2:$J$50000,"系统测试")+COUNTIFS(缺陷明细!$A$2:$A$50000,$B$4,缺陷明细!$G$2:$G$50000,$C12,缺陷明细!$AB$2:$AB$50000,"重复Bug",缺陷明细!$J$2:$J$50000,"系统测试")</f>
        <v>0</v>
      </c>
      <c r="S12" s="72">
        <f>COUNTIFS(缺陷明细!$A$2:$A$50000,$B$4,缺陷明细!$G$2:$G$50000,$C12,缺陷明细!$J$2:$J$50000,"系统测试",缺陷明细!$K$2:$K$50000,"致命",缺陷明细!$AB$2:$AB$50000,"&lt;&gt;丢弃",缺陷明细!$AB$2:$AB$50000,"&lt;&gt;设计如此",缺陷明细!$AB$2:$AB$50000,"&lt;&gt;重复Bug")+COUNTIFS(缺陷明细!$A$2:$A$50000,$B$4,缺陷明细!$G$2:$G$50000,$C12,缺陷明细!$J$2:$J$50000,"系统测试",缺陷明细!$K$2:$K$50000,"严重",缺陷明细!$AB$2:$AB$50000,"&lt;&gt;丢弃",缺陷明细!$AB$2:$AB$50000,"&lt;&gt;设计如此",缺陷明细!$AB$2:$AB$50000,"&lt;&gt;重复Bug")</f>
        <v>0</v>
      </c>
      <c r="T12" s="73">
        <f>COUNTIFS(缺陷明细!$A$2:$A$50000,$B$4,缺陷明细!$G$2:$G$50000,$C12,缺陷明细!$Q$2:$Q$50000,"已关闭",缺陷明细!$J$2:$J$50000,"系统测试",缺陷明细!$K$2:$K$50000,"致命")+COUNTIFS(缺陷明细!$A$2:$A$50000,$B$4,缺陷明细!$G$2:$G$50000,$C12,缺陷明细!$Q$2:$Q$50000,"已关闭",缺陷明细!$J$2:$J$50000,"系统测试",缺陷明细!$K$2:$K$50000,"严重")</f>
        <v>0</v>
      </c>
      <c r="U12" s="74">
        <f>COUNTIFS(缺陷明细!$A$2:$A$50000,$B$4,缺陷明细!$G$2:$G$50000,$C12,缺陷明细!$J$2:$J$50000,"验收测试",缺陷明细!$AB$2:$AB$50000,"&lt;&gt;丢弃",缺陷明细!$AB$2:$AB$50000,"&lt;&gt;设计如此",缺陷明细!$AB$2:$AB$50000,"&lt;&gt;重复Bug")</f>
        <v>0</v>
      </c>
      <c r="V12" s="75">
        <f>COUNTIFS(缺陷明细!$A$2:$A$50000,$B$4,缺陷明细!$G$2:$G$50000,$C12,缺陷明细!$Q$2:$Q$50000,"已关闭",缺陷明细!$J$2:$J$50000,"验收测试")</f>
        <v>0</v>
      </c>
      <c r="W12" s="75">
        <f>COUNTIFS(缺陷明细!$A$2:$A$50000,$B$4,缺陷明细!$G$2:$G$50000,$C12,缺陷明细!$J$2:$J$50000,"验收测试",缺陷明细!$K$2:$K$50000,"致命",缺陷明细!$AB$2:$AB$50000,"&lt;&gt;丢弃",缺陷明细!$AB$2:$AB$50000,"&lt;&gt;设计如此",缺陷明细!$AB$2:$AB$50000,"&lt;&gt;重复Bug")+COUNTIFS(缺陷明细!$A$2:$A$50000,$B$4,缺陷明细!$G$2:$G$50000,$C12,缺陷明细!$J$2:$J$50000,"验收测试",缺陷明细!$K$2:$K$50000,"严重",缺陷明细!$AB$2:$AB$50000,"&lt;&gt;丢弃",缺陷明细!$AB$2:$AB$50000,"&lt;&gt;设计如此",缺陷明细!$AB$2:$AB$50000,"&lt;&gt;重复Bug")</f>
        <v>0</v>
      </c>
      <c r="X12" s="76">
        <f>COUNTIFS(缺陷明细!$A$2:$A$50000,$B$4,缺陷明细!$G$2:$G$50000,$C12,缺陷明细!$Q$2:$Q$50000,"已关闭",缺陷明细!$J$2:$J$50000,"验收测试",缺陷明细!$K$2:$K$50000,"致命")+COUNTIFS(缺陷明细!$A$2:$A$50000,$B$4,缺陷明细!$G$2:$G$50000,$C12,缺陷明细!$Q$2:$Q$50000,"已关闭",缺陷明细!$J$2:$J$50000,"验收测试",缺陷明细!$K$2:$K$50000,"严重")</f>
        <v>0</v>
      </c>
      <c r="Y12" s="70">
        <f>COUNTIFS(缺陷明细!$A$2:$A$50000,$B$4,缺陷明细!$G$2:$G$50000,$C12,缺陷明细!$J$2:$J$50000,"运维测试",缺陷明细!$AB$2:$AB$50000,"&lt;&gt;丢弃",缺陷明细!$AB$2:$AB$50000,"&lt;&gt;设计如此",缺陷明细!$AB$2:$AB$50000,"&lt;&gt;重复Bug")</f>
        <v>0</v>
      </c>
      <c r="Z12" s="71">
        <f>COUNTIFS(缺陷明细!$A$2:$A$50000,$B$4,缺陷明细!$G$2:$G$50000,$C12,缺陷明细!$Q$2:$Q$50000,"已关闭",缺陷明细!$J$2:$J$50000,"运维测试")</f>
        <v>0</v>
      </c>
      <c r="AA12" s="72">
        <f>COUNTIFS(缺陷明细!$A$2:$A$50000,$B$4,缺陷明细!$G$2:$G$50000,$C12,缺陷明细!$J$2:$J$50000,"运维测试",缺陷明细!$K$2:$K$50000,"致命",缺陷明细!$AB$2:$AB$50000,"&lt;&gt;丢弃",缺陷明细!$AB$2:$AB$50000,"&lt;&gt;设计如此",缺陷明细!$AB$2:$AB$50000,"&lt;&gt;重复Bug")+COUNTIFS(缺陷明细!$A$2:$A$50000,$B$4,缺陷明细!$G$2:$G$50000,$C12,缺陷明细!$J$2:$J$50000,"运维测试",缺陷明细!$K$2:$K$50000,"严重",缺陷明细!$AB$2:$AB$50000,"&lt;&gt;丢弃",缺陷明细!$AB$2:$AB$50000,"&lt;&gt;设计如此",缺陷明细!$AB$2:$AB$50000,"&lt;&gt;重复Bug")</f>
        <v>0</v>
      </c>
      <c r="AB12" s="73">
        <f>COUNTIFS(缺陷明细!$A$2:$A$50000,$B$4,缺陷明细!$G$2:$G$50000,$C12,缺陷明细!$Q$2:$Q$50000,"已关闭",缺陷明细!$J$2:$J$50000,"运维测试",缺陷明细!$K$2:$K$50000,"致命")+COUNTIFS(缺陷明细!$A$2:$A$50000,$B$4,缺陷明细!$G$2:$G$50000,$C12,缺陷明细!$Q$2:$Q$50000,"已关闭",缺陷明细!$J$2:$J$50000,"运维测试",缺陷明细!$K$2:$K$50000,"严重")</f>
        <v>0</v>
      </c>
      <c r="AC12" s="68">
        <f t="shared" si="0"/>
        <v>0</v>
      </c>
      <c r="AD12" s="60">
        <f t="shared" si="0"/>
        <v>0</v>
      </c>
      <c r="AE12" s="60">
        <f t="shared" si="1"/>
        <v>0</v>
      </c>
      <c r="AF12" s="60">
        <f t="shared" si="1"/>
        <v>0</v>
      </c>
      <c r="AG12" s="60">
        <f t="shared" si="2"/>
        <v>0</v>
      </c>
      <c r="AH12" s="60">
        <f t="shared" si="2"/>
        <v>0</v>
      </c>
      <c r="AI12" s="60">
        <f t="shared" si="3"/>
        <v>0</v>
      </c>
      <c r="AJ12" s="61">
        <f t="shared" si="3"/>
        <v>0</v>
      </c>
      <c r="AK12" s="144"/>
    </row>
    <row r="13" spans="1:37">
      <c r="A13">
        <v>9</v>
      </c>
      <c r="B13" s="57"/>
      <c r="C13" s="58"/>
      <c r="D13" s="84"/>
      <c r="E13" s="82"/>
      <c r="F13" s="158"/>
      <c r="G13" s="159"/>
      <c r="H13" s="281">
        <f>COUNTIFS(缺陷明细!$A$2:$A$50000,$B$4,缺陷明细!$G$2:$G$50000,$C13,缺陷明细!$J$2:$J$50000,"评审",缺陷明细!$AB$2:$AB$50000,"&lt;&gt;丢弃",缺陷明细!$AB$2:$AB$50000,"&lt;&gt;设计如此",缺陷明细!$AB$2:$AB$50000,"&lt;&gt;重复Bug")</f>
        <v>0</v>
      </c>
      <c r="I13" s="154">
        <f>COUNTIFS(缺陷明细!$A$2:$A$50000,$B$4,缺陷明细!$G$2:$G$50000,$C13,缺陷明细!$Q$2:$Q$50000,"已关闭",缺陷明细!$J$2:$J$50000,"评审")</f>
        <v>0</v>
      </c>
      <c r="J13" s="154">
        <f>COUNTIFS(缺陷明细!$A$2:$A$50000,$B$4,缺陷明细!$G$2:$G$50000,$C13,缺陷明细!$J$2:$J$50000,"单元测试",缺陷明细!$AB$2:$AB$50000,"&lt;&gt;丢弃",缺陷明细!$AB$2:$AB$50000,"&lt;&gt;设计如此",缺陷明细!$AB$2:$AB$50000,"&lt;&gt;重复Bug")</f>
        <v>0</v>
      </c>
      <c r="K13" s="155">
        <f>COUNTIFS(缺陷明细!$A$2:$A$50000,$B$4,缺陷明细!$G$2:$G$50000,$C13,缺陷明细!$Q$2:$Q$50000,"已关闭",缺陷明细!$J$2:$J$50000,"单元测试")</f>
        <v>0</v>
      </c>
      <c r="L13" s="156"/>
      <c r="M13" s="157"/>
      <c r="N13" s="72">
        <f>COUNTIFS(缺陷明细!$A$2:$A$50000,$B$4,缺陷明细!$G$2:$G$50000,$C13,缺陷明细!$J$2:$J$50000,"系统测试案例评审",缺陷明细!$AB$2:$AB$50000,"&lt;&gt;丢弃",缺陷明细!$AB$2:$AB$50000,"&lt;&gt;设计如此",缺陷明细!$AB$2:$AB$50000,"&lt;&gt;重复Bug")</f>
        <v>0</v>
      </c>
      <c r="O13" s="72">
        <f>COUNTIFS(缺陷明细!$A$2:$A$50000,$B$4,缺陷明细!$G$2:$G$50000,$C13,缺陷明细!$Q$2:$Q$50000,"已关闭",缺陷明细!$J$2:$J$50000,"系统测试案例评审")</f>
        <v>0</v>
      </c>
      <c r="P13" s="72">
        <f>COUNTIFS(缺陷明细!$A$2:$A$50000,$B$4,缺陷明细!$G$2:$G$50000,$C13,缺陷明细!$J$2:$J$50000,"系统测试",缺陷明细!$AB$2:$AB$50000,"&lt;&gt;丢弃",缺陷明细!$AB$2:$AB$50000,"&lt;&gt;设计如此",缺陷明细!$AB$2:$AB$50000,"&lt;&gt;重复Bug")</f>
        <v>0</v>
      </c>
      <c r="Q13" s="72">
        <f>COUNTIFS(缺陷明细!$A$2:$A$50000,$B$4,缺陷明细!$G$2:$G$50000,$C13,缺陷明细!$Q$2:$Q$50000,"已关闭",缺陷明细!$J$2:$J$50000,"系统测试")</f>
        <v>0</v>
      </c>
      <c r="R13" s="296">
        <f>COUNTIFS(缺陷明细!$A$2:$A$50000,$B$4,缺陷明细!$G$2:$G$50000,$C13,缺陷明细!$AB$2:$AB$50000,"丢弃",缺陷明细!$J$2:$J$50000,"系统测试")+COUNTIFS(缺陷明细!$A$2:$A$50000,$B$4,缺陷明细!$G$2:$G$50000,$C13,缺陷明细!$AB$2:$AB$50000,"设计如此",缺陷明细!$J$2:$J$50000,"系统测试")+COUNTIFS(缺陷明细!$A$2:$A$50000,$B$4,缺陷明细!$G$2:$G$50000,$C13,缺陷明细!$AB$2:$AB$50000,"重复Bug",缺陷明细!$J$2:$J$50000,"系统测试")</f>
        <v>0</v>
      </c>
      <c r="S13" s="72">
        <f>COUNTIFS(缺陷明细!$A$2:$A$50000,$B$4,缺陷明细!$G$2:$G$50000,$C13,缺陷明细!$J$2:$J$50000,"系统测试",缺陷明细!$K$2:$K$50000,"致命",缺陷明细!$AB$2:$AB$50000,"&lt;&gt;丢弃",缺陷明细!$AB$2:$AB$50000,"&lt;&gt;设计如此",缺陷明细!$AB$2:$AB$50000,"&lt;&gt;重复Bug")+COUNTIFS(缺陷明细!$A$2:$A$50000,$B$4,缺陷明细!$G$2:$G$50000,$C13,缺陷明细!$J$2:$J$50000,"系统测试",缺陷明细!$K$2:$K$50000,"严重",缺陷明细!$AB$2:$AB$50000,"&lt;&gt;丢弃",缺陷明细!$AB$2:$AB$50000,"&lt;&gt;设计如此",缺陷明细!$AB$2:$AB$50000,"&lt;&gt;重复Bug")</f>
        <v>0</v>
      </c>
      <c r="T13" s="73">
        <f>COUNTIFS(缺陷明细!$A$2:$A$50000,$B$4,缺陷明细!$G$2:$G$50000,$C13,缺陷明细!$Q$2:$Q$50000,"已关闭",缺陷明细!$J$2:$J$50000,"系统测试",缺陷明细!$K$2:$K$50000,"致命")+COUNTIFS(缺陷明细!$A$2:$A$50000,$B$4,缺陷明细!$G$2:$G$50000,$C13,缺陷明细!$Q$2:$Q$50000,"已关闭",缺陷明细!$J$2:$J$50000,"系统测试",缺陷明细!$K$2:$K$50000,"严重")</f>
        <v>0</v>
      </c>
      <c r="U13" s="74">
        <f>COUNTIFS(缺陷明细!$A$2:$A$50000,$B$4,缺陷明细!$G$2:$G$50000,$C13,缺陷明细!$J$2:$J$50000,"验收测试",缺陷明细!$AB$2:$AB$50000,"&lt;&gt;丢弃",缺陷明细!$AB$2:$AB$50000,"&lt;&gt;设计如此",缺陷明细!$AB$2:$AB$50000,"&lt;&gt;重复Bug")</f>
        <v>0</v>
      </c>
      <c r="V13" s="75">
        <f>COUNTIFS(缺陷明细!$A$2:$A$50000,$B$4,缺陷明细!$G$2:$G$50000,$C13,缺陷明细!$Q$2:$Q$50000,"已关闭",缺陷明细!$J$2:$J$50000,"验收测试")</f>
        <v>0</v>
      </c>
      <c r="W13" s="75">
        <f>COUNTIFS(缺陷明细!$A$2:$A$50000,$B$4,缺陷明细!$G$2:$G$50000,$C13,缺陷明细!$J$2:$J$50000,"验收测试",缺陷明细!$K$2:$K$50000,"致命",缺陷明细!$AB$2:$AB$50000,"&lt;&gt;丢弃",缺陷明细!$AB$2:$AB$50000,"&lt;&gt;设计如此",缺陷明细!$AB$2:$AB$50000,"&lt;&gt;重复Bug")+COUNTIFS(缺陷明细!$A$2:$A$50000,$B$4,缺陷明细!$G$2:$G$50000,$C13,缺陷明细!$J$2:$J$50000,"验收测试",缺陷明细!$K$2:$K$50000,"严重",缺陷明细!$AB$2:$AB$50000,"&lt;&gt;丢弃",缺陷明细!$AB$2:$AB$50000,"&lt;&gt;设计如此",缺陷明细!$AB$2:$AB$50000,"&lt;&gt;重复Bug")</f>
        <v>0</v>
      </c>
      <c r="X13" s="76">
        <f>COUNTIFS(缺陷明细!$A$2:$A$50000,$B$4,缺陷明细!$G$2:$G$50000,$C13,缺陷明细!$Q$2:$Q$50000,"已关闭",缺陷明细!$J$2:$J$50000,"验收测试",缺陷明细!$K$2:$K$50000,"致命")+COUNTIFS(缺陷明细!$A$2:$A$50000,$B$4,缺陷明细!$G$2:$G$50000,$C13,缺陷明细!$Q$2:$Q$50000,"已关闭",缺陷明细!$J$2:$J$50000,"验收测试",缺陷明细!$K$2:$K$50000,"严重")</f>
        <v>0</v>
      </c>
      <c r="Y13" s="70">
        <f>COUNTIFS(缺陷明细!$A$2:$A$50000,$B$4,缺陷明细!$G$2:$G$50000,$C13,缺陷明细!$J$2:$J$50000,"运维测试",缺陷明细!$AB$2:$AB$50000,"&lt;&gt;丢弃",缺陷明细!$AB$2:$AB$50000,"&lt;&gt;设计如此",缺陷明细!$AB$2:$AB$50000,"&lt;&gt;重复Bug")</f>
        <v>0</v>
      </c>
      <c r="Z13" s="71">
        <f>COUNTIFS(缺陷明细!$A$2:$A$50000,$B$4,缺陷明细!$G$2:$G$50000,$C13,缺陷明细!$Q$2:$Q$50000,"已关闭",缺陷明细!$J$2:$J$50000,"运维测试")</f>
        <v>0</v>
      </c>
      <c r="AA13" s="72">
        <f>COUNTIFS(缺陷明细!$A$2:$A$50000,$B$4,缺陷明细!$G$2:$G$50000,$C13,缺陷明细!$J$2:$J$50000,"运维测试",缺陷明细!$K$2:$K$50000,"致命",缺陷明细!$AB$2:$AB$50000,"&lt;&gt;丢弃",缺陷明细!$AB$2:$AB$50000,"&lt;&gt;设计如此",缺陷明细!$AB$2:$AB$50000,"&lt;&gt;重复Bug")+COUNTIFS(缺陷明细!$A$2:$A$50000,$B$4,缺陷明细!$G$2:$G$50000,$C13,缺陷明细!$J$2:$J$50000,"运维测试",缺陷明细!$K$2:$K$50000,"严重",缺陷明细!$AB$2:$AB$50000,"&lt;&gt;丢弃",缺陷明细!$AB$2:$AB$50000,"&lt;&gt;设计如此",缺陷明细!$AB$2:$AB$50000,"&lt;&gt;重复Bug")</f>
        <v>0</v>
      </c>
      <c r="AB13" s="73">
        <f>COUNTIFS(缺陷明细!$A$2:$A$50000,$B$4,缺陷明细!$G$2:$G$50000,$C13,缺陷明细!$Q$2:$Q$50000,"已关闭",缺陷明细!$J$2:$J$50000,"运维测试",缺陷明细!$K$2:$K$50000,"致命")+COUNTIFS(缺陷明细!$A$2:$A$50000,$B$4,缺陷明细!$G$2:$G$50000,$C13,缺陷明细!$Q$2:$Q$50000,"已关闭",缺陷明细!$J$2:$J$50000,"运维测试",缺陷明细!$K$2:$K$50000,"严重")</f>
        <v>0</v>
      </c>
      <c r="AC13" s="68">
        <f t="shared" si="0"/>
        <v>0</v>
      </c>
      <c r="AD13" s="60">
        <f t="shared" si="0"/>
        <v>0</v>
      </c>
      <c r="AE13" s="60">
        <f t="shared" si="1"/>
        <v>0</v>
      </c>
      <c r="AF13" s="60">
        <f t="shared" si="1"/>
        <v>0</v>
      </c>
      <c r="AG13" s="60">
        <f t="shared" si="2"/>
        <v>0</v>
      </c>
      <c r="AH13" s="60">
        <f t="shared" si="2"/>
        <v>0</v>
      </c>
      <c r="AI13" s="60">
        <f t="shared" si="3"/>
        <v>0</v>
      </c>
      <c r="AJ13" s="61">
        <f t="shared" si="3"/>
        <v>0</v>
      </c>
      <c r="AK13" s="144"/>
    </row>
    <row r="14" spans="1:37">
      <c r="A14">
        <v>10</v>
      </c>
      <c r="B14" s="57"/>
      <c r="C14" s="58"/>
      <c r="D14" s="84"/>
      <c r="E14" s="82"/>
      <c r="F14" s="158"/>
      <c r="G14" s="159"/>
      <c r="H14" s="281">
        <f>COUNTIFS(缺陷明细!$A$2:$A$50000,$B$4,缺陷明细!$G$2:$G$50000,$C14,缺陷明细!$J$2:$J$50000,"评审",缺陷明细!$AB$2:$AB$50000,"&lt;&gt;丢弃",缺陷明细!$AB$2:$AB$50000,"&lt;&gt;设计如此",缺陷明细!$AB$2:$AB$50000,"&lt;&gt;重复Bug")</f>
        <v>0</v>
      </c>
      <c r="I14" s="154">
        <f>COUNTIFS(缺陷明细!$A$2:$A$50000,$B$4,缺陷明细!$G$2:$G$50000,$C14,缺陷明细!$Q$2:$Q$50000,"已关闭",缺陷明细!$J$2:$J$50000,"评审")</f>
        <v>0</v>
      </c>
      <c r="J14" s="154">
        <f>COUNTIFS(缺陷明细!$A$2:$A$50000,$B$4,缺陷明细!$G$2:$G$50000,$C14,缺陷明细!$J$2:$J$50000,"单元测试",缺陷明细!$AB$2:$AB$50000,"&lt;&gt;丢弃",缺陷明细!$AB$2:$AB$50000,"&lt;&gt;设计如此",缺陷明细!$AB$2:$AB$50000,"&lt;&gt;重复Bug")</f>
        <v>0</v>
      </c>
      <c r="K14" s="155">
        <f>COUNTIFS(缺陷明细!$A$2:$A$50000,$B$4,缺陷明细!$G$2:$G$50000,$C14,缺陷明细!$Q$2:$Q$50000,"已关闭",缺陷明细!$J$2:$J$50000,"单元测试")</f>
        <v>0</v>
      </c>
      <c r="L14" s="156"/>
      <c r="M14" s="157"/>
      <c r="N14" s="72">
        <f>COUNTIFS(缺陷明细!$A$2:$A$50000,$B$4,缺陷明细!$G$2:$G$50000,$C14,缺陷明细!$J$2:$J$50000,"系统测试案例评审",缺陷明细!$AB$2:$AB$50000,"&lt;&gt;丢弃",缺陷明细!$AB$2:$AB$50000,"&lt;&gt;设计如此",缺陷明细!$AB$2:$AB$50000,"&lt;&gt;重复Bug")</f>
        <v>0</v>
      </c>
      <c r="O14" s="72">
        <f>COUNTIFS(缺陷明细!$A$2:$A$50000,$B$4,缺陷明细!$G$2:$G$50000,$C14,缺陷明细!$Q$2:$Q$50000,"已关闭",缺陷明细!$J$2:$J$50000,"系统测试案例评审")</f>
        <v>0</v>
      </c>
      <c r="P14" s="72">
        <f>COUNTIFS(缺陷明细!$A$2:$A$50000,$B$4,缺陷明细!$G$2:$G$50000,$C14,缺陷明细!$J$2:$J$50000,"系统测试",缺陷明细!$AB$2:$AB$50000,"&lt;&gt;丢弃",缺陷明细!$AB$2:$AB$50000,"&lt;&gt;设计如此",缺陷明细!$AB$2:$AB$50000,"&lt;&gt;重复Bug")</f>
        <v>0</v>
      </c>
      <c r="Q14" s="72">
        <f>COUNTIFS(缺陷明细!$A$2:$A$50000,$B$4,缺陷明细!$G$2:$G$50000,$C14,缺陷明细!$Q$2:$Q$50000,"已关闭",缺陷明细!$J$2:$J$50000,"系统测试")</f>
        <v>0</v>
      </c>
      <c r="R14" s="296">
        <f>COUNTIFS(缺陷明细!$A$2:$A$50000,$B$4,缺陷明细!$G$2:$G$50000,$C14,缺陷明细!$AB$2:$AB$50000,"丢弃",缺陷明细!$J$2:$J$50000,"系统测试")+COUNTIFS(缺陷明细!$A$2:$A$50000,$B$4,缺陷明细!$G$2:$G$50000,$C14,缺陷明细!$AB$2:$AB$50000,"设计如此",缺陷明细!$J$2:$J$50000,"系统测试")+COUNTIFS(缺陷明细!$A$2:$A$50000,$B$4,缺陷明细!$G$2:$G$50000,$C14,缺陷明细!$AB$2:$AB$50000,"重复Bug",缺陷明细!$J$2:$J$50000,"系统测试")</f>
        <v>0</v>
      </c>
      <c r="S14" s="72">
        <f>COUNTIFS(缺陷明细!$A$2:$A$50000,$B$4,缺陷明细!$G$2:$G$50000,$C14,缺陷明细!$J$2:$J$50000,"系统测试",缺陷明细!$K$2:$K$50000,"致命",缺陷明细!$AB$2:$AB$50000,"&lt;&gt;丢弃",缺陷明细!$AB$2:$AB$50000,"&lt;&gt;设计如此",缺陷明细!$AB$2:$AB$50000,"&lt;&gt;重复Bug")+COUNTIFS(缺陷明细!$A$2:$A$50000,$B$4,缺陷明细!$G$2:$G$50000,$C14,缺陷明细!$J$2:$J$50000,"系统测试",缺陷明细!$K$2:$K$50000,"严重",缺陷明细!$AB$2:$AB$50000,"&lt;&gt;丢弃",缺陷明细!$AB$2:$AB$50000,"&lt;&gt;设计如此",缺陷明细!$AB$2:$AB$50000,"&lt;&gt;重复Bug")</f>
        <v>0</v>
      </c>
      <c r="T14" s="73">
        <f>COUNTIFS(缺陷明细!$A$2:$A$50000,$B$4,缺陷明细!$G$2:$G$50000,$C14,缺陷明细!$Q$2:$Q$50000,"已关闭",缺陷明细!$J$2:$J$50000,"系统测试",缺陷明细!$K$2:$K$50000,"致命")+COUNTIFS(缺陷明细!$A$2:$A$50000,$B$4,缺陷明细!$G$2:$G$50000,$C14,缺陷明细!$Q$2:$Q$50000,"已关闭",缺陷明细!$J$2:$J$50000,"系统测试",缺陷明细!$K$2:$K$50000,"严重")</f>
        <v>0</v>
      </c>
      <c r="U14" s="74">
        <f>COUNTIFS(缺陷明细!$A$2:$A$50000,$B$4,缺陷明细!$G$2:$G$50000,$C14,缺陷明细!$J$2:$J$50000,"验收测试",缺陷明细!$AB$2:$AB$50000,"&lt;&gt;丢弃",缺陷明细!$AB$2:$AB$50000,"&lt;&gt;设计如此",缺陷明细!$AB$2:$AB$50000,"&lt;&gt;重复Bug")</f>
        <v>0</v>
      </c>
      <c r="V14" s="75">
        <f>COUNTIFS(缺陷明细!$A$2:$A$50000,$B$4,缺陷明细!$G$2:$G$50000,$C14,缺陷明细!$Q$2:$Q$50000,"已关闭",缺陷明细!$J$2:$J$50000,"验收测试")</f>
        <v>0</v>
      </c>
      <c r="W14" s="75">
        <f>COUNTIFS(缺陷明细!$A$2:$A$50000,$B$4,缺陷明细!$G$2:$G$50000,$C14,缺陷明细!$J$2:$J$50000,"验收测试",缺陷明细!$K$2:$K$50000,"致命",缺陷明细!$AB$2:$AB$50000,"&lt;&gt;丢弃",缺陷明细!$AB$2:$AB$50000,"&lt;&gt;设计如此",缺陷明细!$AB$2:$AB$50000,"&lt;&gt;重复Bug")+COUNTIFS(缺陷明细!$A$2:$A$50000,$B$4,缺陷明细!$G$2:$G$50000,$C14,缺陷明细!$J$2:$J$50000,"验收测试",缺陷明细!$K$2:$K$50000,"严重",缺陷明细!$AB$2:$AB$50000,"&lt;&gt;丢弃",缺陷明细!$AB$2:$AB$50000,"&lt;&gt;设计如此",缺陷明细!$AB$2:$AB$50000,"&lt;&gt;重复Bug")</f>
        <v>0</v>
      </c>
      <c r="X14" s="76">
        <f>COUNTIFS(缺陷明细!$A$2:$A$50000,$B$4,缺陷明细!$G$2:$G$50000,$C14,缺陷明细!$Q$2:$Q$50000,"已关闭",缺陷明细!$J$2:$J$50000,"验收测试",缺陷明细!$K$2:$K$50000,"致命")+COUNTIFS(缺陷明细!$A$2:$A$50000,$B$4,缺陷明细!$G$2:$G$50000,$C14,缺陷明细!$Q$2:$Q$50000,"已关闭",缺陷明细!$J$2:$J$50000,"验收测试",缺陷明细!$K$2:$K$50000,"严重")</f>
        <v>0</v>
      </c>
      <c r="Y14" s="70">
        <f>COUNTIFS(缺陷明细!$A$2:$A$50000,$B$4,缺陷明细!$G$2:$G$50000,$C14,缺陷明细!$J$2:$J$50000,"运维测试",缺陷明细!$AB$2:$AB$50000,"&lt;&gt;丢弃",缺陷明细!$AB$2:$AB$50000,"&lt;&gt;设计如此",缺陷明细!$AB$2:$AB$50000,"&lt;&gt;重复Bug")</f>
        <v>0</v>
      </c>
      <c r="Z14" s="71">
        <f>COUNTIFS(缺陷明细!$A$2:$A$50000,$B$4,缺陷明细!$G$2:$G$50000,$C14,缺陷明细!$Q$2:$Q$50000,"已关闭",缺陷明细!$J$2:$J$50000,"运维测试")</f>
        <v>0</v>
      </c>
      <c r="AA14" s="72">
        <f>COUNTIFS(缺陷明细!$A$2:$A$50000,$B$4,缺陷明细!$G$2:$G$50000,$C14,缺陷明细!$J$2:$J$50000,"运维测试",缺陷明细!$K$2:$K$50000,"致命",缺陷明细!$AB$2:$AB$50000,"&lt;&gt;丢弃",缺陷明细!$AB$2:$AB$50000,"&lt;&gt;设计如此",缺陷明细!$AB$2:$AB$50000,"&lt;&gt;重复Bug")+COUNTIFS(缺陷明细!$A$2:$A$50000,$B$4,缺陷明细!$G$2:$G$50000,$C14,缺陷明细!$J$2:$J$50000,"运维测试",缺陷明细!$K$2:$K$50000,"严重",缺陷明细!$AB$2:$AB$50000,"&lt;&gt;丢弃",缺陷明细!$AB$2:$AB$50000,"&lt;&gt;设计如此",缺陷明细!$AB$2:$AB$50000,"&lt;&gt;重复Bug")</f>
        <v>0</v>
      </c>
      <c r="AB14" s="73">
        <f>COUNTIFS(缺陷明细!$A$2:$A$50000,$B$4,缺陷明细!$G$2:$G$50000,$C14,缺陷明细!$Q$2:$Q$50000,"已关闭",缺陷明细!$J$2:$J$50000,"运维测试",缺陷明细!$K$2:$K$50000,"致命")+COUNTIFS(缺陷明细!$A$2:$A$50000,$B$4,缺陷明细!$G$2:$G$50000,$C14,缺陷明细!$Q$2:$Q$50000,"已关闭",缺陷明细!$J$2:$J$50000,"运维测试",缺陷明细!$K$2:$K$50000,"严重")</f>
        <v>0</v>
      </c>
      <c r="AC14" s="68">
        <f t="shared" si="0"/>
        <v>0</v>
      </c>
      <c r="AD14" s="60">
        <f t="shared" si="0"/>
        <v>0</v>
      </c>
      <c r="AE14" s="60">
        <f t="shared" si="1"/>
        <v>0</v>
      </c>
      <c r="AF14" s="60">
        <f t="shared" si="1"/>
        <v>0</v>
      </c>
      <c r="AG14" s="60">
        <f t="shared" si="2"/>
        <v>0</v>
      </c>
      <c r="AH14" s="60">
        <f t="shared" si="2"/>
        <v>0</v>
      </c>
      <c r="AI14" s="60">
        <f t="shared" si="3"/>
        <v>0</v>
      </c>
      <c r="AJ14" s="61">
        <f t="shared" si="3"/>
        <v>0</v>
      </c>
      <c r="AK14" s="144"/>
    </row>
    <row r="15" spans="1:37">
      <c r="A15">
        <v>11</v>
      </c>
      <c r="B15" s="57"/>
      <c r="C15" s="58"/>
      <c r="D15" s="84"/>
      <c r="E15" s="82"/>
      <c r="F15" s="158"/>
      <c r="G15" s="159"/>
      <c r="H15" s="281">
        <f>COUNTIFS(缺陷明细!$A$2:$A$50000,$B$4,缺陷明细!$G$2:$G$50000,$C15,缺陷明细!$J$2:$J$50000,"评审",缺陷明细!$AB$2:$AB$50000,"&lt;&gt;丢弃",缺陷明细!$AB$2:$AB$50000,"&lt;&gt;设计如此",缺陷明细!$AB$2:$AB$50000,"&lt;&gt;重复Bug")</f>
        <v>0</v>
      </c>
      <c r="I15" s="154">
        <f>COUNTIFS(缺陷明细!$A$2:$A$50000,$B$4,缺陷明细!$G$2:$G$50000,$C15,缺陷明细!$Q$2:$Q$50000,"已关闭",缺陷明细!$J$2:$J$50000,"评审")</f>
        <v>0</v>
      </c>
      <c r="J15" s="154">
        <f>COUNTIFS(缺陷明细!$A$2:$A$50000,$B$4,缺陷明细!$G$2:$G$50000,$C15,缺陷明细!$J$2:$J$50000,"单元测试",缺陷明细!$AB$2:$AB$50000,"&lt;&gt;丢弃",缺陷明细!$AB$2:$AB$50000,"&lt;&gt;设计如此",缺陷明细!$AB$2:$AB$50000,"&lt;&gt;重复Bug")</f>
        <v>0</v>
      </c>
      <c r="K15" s="155">
        <f>COUNTIFS(缺陷明细!$A$2:$A$50000,$B$4,缺陷明细!$G$2:$G$50000,$C15,缺陷明细!$Q$2:$Q$50000,"已关闭",缺陷明细!$J$2:$J$50000,"单元测试")</f>
        <v>0</v>
      </c>
      <c r="L15" s="156"/>
      <c r="M15" s="157"/>
      <c r="N15" s="72">
        <f>COUNTIFS(缺陷明细!$A$2:$A$50000,$B$4,缺陷明细!$G$2:$G$50000,$C15,缺陷明细!$J$2:$J$50000,"系统测试案例评审",缺陷明细!$AB$2:$AB$50000,"&lt;&gt;丢弃",缺陷明细!$AB$2:$AB$50000,"&lt;&gt;设计如此",缺陷明细!$AB$2:$AB$50000,"&lt;&gt;重复Bug")</f>
        <v>0</v>
      </c>
      <c r="O15" s="72">
        <f>COUNTIFS(缺陷明细!$A$2:$A$50000,$B$4,缺陷明细!$G$2:$G$50000,$C15,缺陷明细!$Q$2:$Q$50000,"已关闭",缺陷明细!$J$2:$J$50000,"系统测试案例评审")</f>
        <v>0</v>
      </c>
      <c r="P15" s="72">
        <f>COUNTIFS(缺陷明细!$A$2:$A$50000,$B$4,缺陷明细!$G$2:$G$50000,$C15,缺陷明细!$J$2:$J$50000,"系统测试",缺陷明细!$AB$2:$AB$50000,"&lt;&gt;丢弃",缺陷明细!$AB$2:$AB$50000,"&lt;&gt;设计如此",缺陷明细!$AB$2:$AB$50000,"&lt;&gt;重复Bug")</f>
        <v>0</v>
      </c>
      <c r="Q15" s="72">
        <f>COUNTIFS(缺陷明细!$A$2:$A$50000,$B$4,缺陷明细!$G$2:$G$50000,$C15,缺陷明细!$Q$2:$Q$50000,"已关闭",缺陷明细!$J$2:$J$50000,"系统测试")</f>
        <v>0</v>
      </c>
      <c r="R15" s="296">
        <f>COUNTIFS(缺陷明细!$A$2:$A$50000,$B$4,缺陷明细!$G$2:$G$50000,$C15,缺陷明细!$AB$2:$AB$50000,"丢弃",缺陷明细!$J$2:$J$50000,"系统测试")+COUNTIFS(缺陷明细!$A$2:$A$50000,$B$4,缺陷明细!$G$2:$G$50000,$C15,缺陷明细!$AB$2:$AB$50000,"设计如此",缺陷明细!$J$2:$J$50000,"系统测试")+COUNTIFS(缺陷明细!$A$2:$A$50000,$B$4,缺陷明细!$G$2:$G$50000,$C15,缺陷明细!$AB$2:$AB$50000,"重复Bug",缺陷明细!$J$2:$J$50000,"系统测试")</f>
        <v>0</v>
      </c>
      <c r="S15" s="72">
        <f>COUNTIFS(缺陷明细!$A$2:$A$50000,$B$4,缺陷明细!$G$2:$G$50000,$C15,缺陷明细!$J$2:$J$50000,"系统测试",缺陷明细!$K$2:$K$50000,"致命",缺陷明细!$AB$2:$AB$50000,"&lt;&gt;丢弃",缺陷明细!$AB$2:$AB$50000,"&lt;&gt;设计如此",缺陷明细!$AB$2:$AB$50000,"&lt;&gt;重复Bug")+COUNTIFS(缺陷明细!$A$2:$A$50000,$B$4,缺陷明细!$G$2:$G$50000,$C15,缺陷明细!$J$2:$J$50000,"系统测试",缺陷明细!$K$2:$K$50000,"严重",缺陷明细!$AB$2:$AB$50000,"&lt;&gt;丢弃",缺陷明细!$AB$2:$AB$50000,"&lt;&gt;设计如此",缺陷明细!$AB$2:$AB$50000,"&lt;&gt;重复Bug")</f>
        <v>0</v>
      </c>
      <c r="T15" s="73">
        <f>COUNTIFS(缺陷明细!$A$2:$A$50000,$B$4,缺陷明细!$G$2:$G$50000,$C15,缺陷明细!$Q$2:$Q$50000,"已关闭",缺陷明细!$J$2:$J$50000,"系统测试",缺陷明细!$K$2:$K$50000,"致命")+COUNTIFS(缺陷明细!$A$2:$A$50000,$B$4,缺陷明细!$G$2:$G$50000,$C15,缺陷明细!$Q$2:$Q$50000,"已关闭",缺陷明细!$J$2:$J$50000,"系统测试",缺陷明细!$K$2:$K$50000,"严重")</f>
        <v>0</v>
      </c>
      <c r="U15" s="74">
        <f>COUNTIFS(缺陷明细!$A$2:$A$50000,$B$4,缺陷明细!$G$2:$G$50000,$C15,缺陷明细!$J$2:$J$50000,"验收测试",缺陷明细!$AB$2:$AB$50000,"&lt;&gt;丢弃",缺陷明细!$AB$2:$AB$50000,"&lt;&gt;设计如此",缺陷明细!$AB$2:$AB$50000,"&lt;&gt;重复Bug")</f>
        <v>0</v>
      </c>
      <c r="V15" s="75">
        <f>COUNTIFS(缺陷明细!$A$2:$A$50000,$B$4,缺陷明细!$G$2:$G$50000,$C15,缺陷明细!$Q$2:$Q$50000,"已关闭",缺陷明细!$J$2:$J$50000,"验收测试")</f>
        <v>0</v>
      </c>
      <c r="W15" s="75">
        <f>COUNTIFS(缺陷明细!$A$2:$A$50000,$B$4,缺陷明细!$G$2:$G$50000,$C15,缺陷明细!$J$2:$J$50000,"验收测试",缺陷明细!$K$2:$K$50000,"致命",缺陷明细!$AB$2:$AB$50000,"&lt;&gt;丢弃",缺陷明细!$AB$2:$AB$50000,"&lt;&gt;设计如此",缺陷明细!$AB$2:$AB$50000,"&lt;&gt;重复Bug")+COUNTIFS(缺陷明细!$A$2:$A$50000,$B$4,缺陷明细!$G$2:$G$50000,$C15,缺陷明细!$J$2:$J$50000,"验收测试",缺陷明细!$K$2:$K$50000,"严重",缺陷明细!$AB$2:$AB$50000,"&lt;&gt;丢弃",缺陷明细!$AB$2:$AB$50000,"&lt;&gt;设计如此",缺陷明细!$AB$2:$AB$50000,"&lt;&gt;重复Bug")</f>
        <v>0</v>
      </c>
      <c r="X15" s="76">
        <f>COUNTIFS(缺陷明细!$A$2:$A$50000,$B$4,缺陷明细!$G$2:$G$50000,$C15,缺陷明细!$Q$2:$Q$50000,"已关闭",缺陷明细!$J$2:$J$50000,"验收测试",缺陷明细!$K$2:$K$50000,"致命")+COUNTIFS(缺陷明细!$A$2:$A$50000,$B$4,缺陷明细!$G$2:$G$50000,$C15,缺陷明细!$Q$2:$Q$50000,"已关闭",缺陷明细!$J$2:$J$50000,"验收测试",缺陷明细!$K$2:$K$50000,"严重")</f>
        <v>0</v>
      </c>
      <c r="Y15" s="70">
        <f>COUNTIFS(缺陷明细!$A$2:$A$50000,$B$4,缺陷明细!$G$2:$G$50000,$C15,缺陷明细!$J$2:$J$50000,"运维测试",缺陷明细!$AB$2:$AB$50000,"&lt;&gt;丢弃",缺陷明细!$AB$2:$AB$50000,"&lt;&gt;设计如此",缺陷明细!$AB$2:$AB$50000,"&lt;&gt;重复Bug")</f>
        <v>0</v>
      </c>
      <c r="Z15" s="71">
        <f>COUNTIFS(缺陷明细!$A$2:$A$50000,$B$4,缺陷明细!$G$2:$G$50000,$C15,缺陷明细!$Q$2:$Q$50000,"已关闭",缺陷明细!$J$2:$J$50000,"运维测试")</f>
        <v>0</v>
      </c>
      <c r="AA15" s="72">
        <f>COUNTIFS(缺陷明细!$A$2:$A$50000,$B$4,缺陷明细!$G$2:$G$50000,$C15,缺陷明细!$J$2:$J$50000,"运维测试",缺陷明细!$K$2:$K$50000,"致命",缺陷明细!$AB$2:$AB$50000,"&lt;&gt;丢弃",缺陷明细!$AB$2:$AB$50000,"&lt;&gt;设计如此",缺陷明细!$AB$2:$AB$50000,"&lt;&gt;重复Bug")+COUNTIFS(缺陷明细!$A$2:$A$50000,$B$4,缺陷明细!$G$2:$G$50000,$C15,缺陷明细!$J$2:$J$50000,"运维测试",缺陷明细!$K$2:$K$50000,"严重",缺陷明细!$AB$2:$AB$50000,"&lt;&gt;丢弃",缺陷明细!$AB$2:$AB$50000,"&lt;&gt;设计如此",缺陷明细!$AB$2:$AB$50000,"&lt;&gt;重复Bug")</f>
        <v>0</v>
      </c>
      <c r="AB15" s="73">
        <f>COUNTIFS(缺陷明细!$A$2:$A$50000,$B$4,缺陷明细!$G$2:$G$50000,$C15,缺陷明细!$Q$2:$Q$50000,"已关闭",缺陷明细!$J$2:$J$50000,"运维测试",缺陷明细!$K$2:$K$50000,"致命")+COUNTIFS(缺陷明细!$A$2:$A$50000,$B$4,缺陷明细!$G$2:$G$50000,$C15,缺陷明细!$Q$2:$Q$50000,"已关闭",缺陷明细!$J$2:$J$50000,"运维测试",缺陷明细!$K$2:$K$50000,"严重")</f>
        <v>0</v>
      </c>
      <c r="AC15" s="68">
        <f t="shared" si="0"/>
        <v>0</v>
      </c>
      <c r="AD15" s="60">
        <f t="shared" si="0"/>
        <v>0</v>
      </c>
      <c r="AE15" s="60">
        <f t="shared" si="1"/>
        <v>0</v>
      </c>
      <c r="AF15" s="60">
        <f t="shared" si="1"/>
        <v>0</v>
      </c>
      <c r="AG15" s="60">
        <f t="shared" si="2"/>
        <v>0</v>
      </c>
      <c r="AH15" s="60">
        <f t="shared" si="2"/>
        <v>0</v>
      </c>
      <c r="AI15" s="60">
        <f t="shared" si="3"/>
        <v>0</v>
      </c>
      <c r="AJ15" s="61">
        <f t="shared" si="3"/>
        <v>0</v>
      </c>
      <c r="AK15" s="144"/>
    </row>
    <row r="16" spans="1:37">
      <c r="A16">
        <v>12</v>
      </c>
      <c r="B16" s="57"/>
      <c r="C16" s="58"/>
      <c r="D16" s="84"/>
      <c r="E16" s="82"/>
      <c r="F16" s="158"/>
      <c r="G16" s="159"/>
      <c r="H16" s="281">
        <f>COUNTIFS(缺陷明细!$A$2:$A$50000,$B$4,缺陷明细!$G$2:$G$50000,$C16,缺陷明细!$J$2:$J$50000,"评审",缺陷明细!$AB$2:$AB$50000,"&lt;&gt;丢弃",缺陷明细!$AB$2:$AB$50000,"&lt;&gt;设计如此",缺陷明细!$AB$2:$AB$50000,"&lt;&gt;重复Bug")</f>
        <v>0</v>
      </c>
      <c r="I16" s="154">
        <f>COUNTIFS(缺陷明细!$A$2:$A$50000,$B$4,缺陷明细!$G$2:$G$50000,$C16,缺陷明细!$Q$2:$Q$50000,"已关闭",缺陷明细!$J$2:$J$50000,"评审")</f>
        <v>0</v>
      </c>
      <c r="J16" s="154">
        <f>COUNTIFS(缺陷明细!$A$2:$A$50000,$B$4,缺陷明细!$G$2:$G$50000,$C16,缺陷明细!$J$2:$J$50000,"单元测试",缺陷明细!$AB$2:$AB$50000,"&lt;&gt;丢弃",缺陷明细!$AB$2:$AB$50000,"&lt;&gt;设计如此",缺陷明细!$AB$2:$AB$50000,"&lt;&gt;重复Bug")</f>
        <v>0</v>
      </c>
      <c r="K16" s="155">
        <f>COUNTIFS(缺陷明细!$A$2:$A$50000,$B$4,缺陷明细!$G$2:$G$50000,$C16,缺陷明细!$Q$2:$Q$50000,"已关闭",缺陷明细!$J$2:$J$50000,"单元测试")</f>
        <v>0</v>
      </c>
      <c r="L16" s="156"/>
      <c r="M16" s="157"/>
      <c r="N16" s="72">
        <f>COUNTIFS(缺陷明细!$A$2:$A$50000,$B$4,缺陷明细!$G$2:$G$50000,$C16,缺陷明细!$J$2:$J$50000,"系统测试案例评审",缺陷明细!$AB$2:$AB$50000,"&lt;&gt;丢弃",缺陷明细!$AB$2:$AB$50000,"&lt;&gt;设计如此",缺陷明细!$AB$2:$AB$50000,"&lt;&gt;重复Bug")</f>
        <v>0</v>
      </c>
      <c r="O16" s="72">
        <f>COUNTIFS(缺陷明细!$A$2:$A$50000,$B$4,缺陷明细!$G$2:$G$50000,$C16,缺陷明细!$Q$2:$Q$50000,"已关闭",缺陷明细!$J$2:$J$50000,"系统测试案例评审")</f>
        <v>0</v>
      </c>
      <c r="P16" s="72">
        <f>COUNTIFS(缺陷明细!$A$2:$A$50000,$B$4,缺陷明细!$G$2:$G$50000,$C16,缺陷明细!$J$2:$J$50000,"系统测试",缺陷明细!$AB$2:$AB$50000,"&lt;&gt;丢弃",缺陷明细!$AB$2:$AB$50000,"&lt;&gt;设计如此",缺陷明细!$AB$2:$AB$50000,"&lt;&gt;重复Bug")</f>
        <v>0</v>
      </c>
      <c r="Q16" s="72">
        <f>COUNTIFS(缺陷明细!$A$2:$A$50000,$B$4,缺陷明细!$G$2:$G$50000,$C16,缺陷明细!$Q$2:$Q$50000,"已关闭",缺陷明细!$J$2:$J$50000,"系统测试")</f>
        <v>0</v>
      </c>
      <c r="R16" s="296">
        <f>COUNTIFS(缺陷明细!$A$2:$A$50000,$B$4,缺陷明细!$G$2:$G$50000,$C16,缺陷明细!$AB$2:$AB$50000,"丢弃",缺陷明细!$J$2:$J$50000,"系统测试")+COUNTIFS(缺陷明细!$A$2:$A$50000,$B$4,缺陷明细!$G$2:$G$50000,$C16,缺陷明细!$AB$2:$AB$50000,"设计如此",缺陷明细!$J$2:$J$50000,"系统测试")+COUNTIFS(缺陷明细!$A$2:$A$50000,$B$4,缺陷明细!$G$2:$G$50000,$C16,缺陷明细!$AB$2:$AB$50000,"重复Bug",缺陷明细!$J$2:$J$50000,"系统测试")</f>
        <v>0</v>
      </c>
      <c r="S16" s="72">
        <f>COUNTIFS(缺陷明细!$A$2:$A$50000,$B$4,缺陷明细!$G$2:$G$50000,$C16,缺陷明细!$J$2:$J$50000,"系统测试",缺陷明细!$K$2:$K$50000,"致命",缺陷明细!$AB$2:$AB$50000,"&lt;&gt;丢弃",缺陷明细!$AB$2:$AB$50000,"&lt;&gt;设计如此",缺陷明细!$AB$2:$AB$50000,"&lt;&gt;重复Bug")+COUNTIFS(缺陷明细!$A$2:$A$50000,$B$4,缺陷明细!$G$2:$G$50000,$C16,缺陷明细!$J$2:$J$50000,"系统测试",缺陷明细!$K$2:$K$50000,"严重",缺陷明细!$AB$2:$AB$50000,"&lt;&gt;丢弃",缺陷明细!$AB$2:$AB$50000,"&lt;&gt;设计如此",缺陷明细!$AB$2:$AB$50000,"&lt;&gt;重复Bug")</f>
        <v>0</v>
      </c>
      <c r="T16" s="73">
        <f>COUNTIFS(缺陷明细!$A$2:$A$50000,$B$4,缺陷明细!$G$2:$G$50000,$C16,缺陷明细!$Q$2:$Q$50000,"已关闭",缺陷明细!$J$2:$J$50000,"系统测试",缺陷明细!$K$2:$K$50000,"致命")+COUNTIFS(缺陷明细!$A$2:$A$50000,$B$4,缺陷明细!$G$2:$G$50000,$C16,缺陷明细!$Q$2:$Q$50000,"已关闭",缺陷明细!$J$2:$J$50000,"系统测试",缺陷明细!$K$2:$K$50000,"严重")</f>
        <v>0</v>
      </c>
      <c r="U16" s="74">
        <f>COUNTIFS(缺陷明细!$A$2:$A$50000,$B$4,缺陷明细!$G$2:$G$50000,$C16,缺陷明细!$J$2:$J$50000,"验收测试",缺陷明细!$AB$2:$AB$50000,"&lt;&gt;丢弃",缺陷明细!$AB$2:$AB$50000,"&lt;&gt;设计如此",缺陷明细!$AB$2:$AB$50000,"&lt;&gt;重复Bug")</f>
        <v>0</v>
      </c>
      <c r="V16" s="75">
        <f>COUNTIFS(缺陷明细!$A$2:$A$50000,$B$4,缺陷明细!$G$2:$G$50000,$C16,缺陷明细!$Q$2:$Q$50000,"已关闭",缺陷明细!$J$2:$J$50000,"验收测试")</f>
        <v>0</v>
      </c>
      <c r="W16" s="75">
        <f>COUNTIFS(缺陷明细!$A$2:$A$50000,$B$4,缺陷明细!$G$2:$G$50000,$C16,缺陷明细!$J$2:$J$50000,"验收测试",缺陷明细!$K$2:$K$50000,"致命",缺陷明细!$AB$2:$AB$50000,"&lt;&gt;丢弃",缺陷明细!$AB$2:$AB$50000,"&lt;&gt;设计如此",缺陷明细!$AB$2:$AB$50000,"&lt;&gt;重复Bug")+COUNTIFS(缺陷明细!$A$2:$A$50000,$B$4,缺陷明细!$G$2:$G$50000,$C16,缺陷明细!$J$2:$J$50000,"验收测试",缺陷明细!$K$2:$K$50000,"严重",缺陷明细!$AB$2:$AB$50000,"&lt;&gt;丢弃",缺陷明细!$AB$2:$AB$50000,"&lt;&gt;设计如此",缺陷明细!$AB$2:$AB$50000,"&lt;&gt;重复Bug")</f>
        <v>0</v>
      </c>
      <c r="X16" s="76">
        <f>COUNTIFS(缺陷明细!$A$2:$A$50000,$B$4,缺陷明细!$G$2:$G$50000,$C16,缺陷明细!$Q$2:$Q$50000,"已关闭",缺陷明细!$J$2:$J$50000,"验收测试",缺陷明细!$K$2:$K$50000,"致命")+COUNTIFS(缺陷明细!$A$2:$A$50000,$B$4,缺陷明细!$G$2:$G$50000,$C16,缺陷明细!$Q$2:$Q$50000,"已关闭",缺陷明细!$J$2:$J$50000,"验收测试",缺陷明细!$K$2:$K$50000,"严重")</f>
        <v>0</v>
      </c>
      <c r="Y16" s="70">
        <f>COUNTIFS(缺陷明细!$A$2:$A$50000,$B$4,缺陷明细!$G$2:$G$50000,$C16,缺陷明细!$J$2:$J$50000,"运维测试",缺陷明细!$AB$2:$AB$50000,"&lt;&gt;丢弃",缺陷明细!$AB$2:$AB$50000,"&lt;&gt;设计如此",缺陷明细!$AB$2:$AB$50000,"&lt;&gt;重复Bug")</f>
        <v>0</v>
      </c>
      <c r="Z16" s="71">
        <f>COUNTIFS(缺陷明细!$A$2:$A$50000,$B$4,缺陷明细!$G$2:$G$50000,$C16,缺陷明细!$Q$2:$Q$50000,"已关闭",缺陷明细!$J$2:$J$50000,"运维测试")</f>
        <v>0</v>
      </c>
      <c r="AA16" s="72">
        <f>COUNTIFS(缺陷明细!$A$2:$A$50000,$B$4,缺陷明细!$G$2:$G$50000,$C16,缺陷明细!$J$2:$J$50000,"运维测试",缺陷明细!$K$2:$K$50000,"致命",缺陷明细!$AB$2:$AB$50000,"&lt;&gt;丢弃",缺陷明细!$AB$2:$AB$50000,"&lt;&gt;设计如此",缺陷明细!$AB$2:$AB$50000,"&lt;&gt;重复Bug")+COUNTIFS(缺陷明细!$A$2:$A$50000,$B$4,缺陷明细!$G$2:$G$50000,$C16,缺陷明细!$J$2:$J$50000,"运维测试",缺陷明细!$K$2:$K$50000,"严重",缺陷明细!$AB$2:$AB$50000,"&lt;&gt;丢弃",缺陷明细!$AB$2:$AB$50000,"&lt;&gt;设计如此",缺陷明细!$AB$2:$AB$50000,"&lt;&gt;重复Bug")</f>
        <v>0</v>
      </c>
      <c r="AB16" s="73">
        <f>COUNTIFS(缺陷明细!$A$2:$A$50000,$B$4,缺陷明细!$G$2:$G$50000,$C16,缺陷明细!$Q$2:$Q$50000,"已关闭",缺陷明细!$J$2:$J$50000,"运维测试",缺陷明细!$K$2:$K$50000,"致命")+COUNTIFS(缺陷明细!$A$2:$A$50000,$B$4,缺陷明细!$G$2:$G$50000,$C16,缺陷明细!$Q$2:$Q$50000,"已关闭",缺陷明细!$J$2:$J$50000,"运维测试",缺陷明细!$K$2:$K$50000,"严重")</f>
        <v>0</v>
      </c>
      <c r="AC16" s="68">
        <f t="shared" si="0"/>
        <v>0</v>
      </c>
      <c r="AD16" s="60">
        <f t="shared" si="0"/>
        <v>0</v>
      </c>
      <c r="AE16" s="60">
        <f t="shared" si="1"/>
        <v>0</v>
      </c>
      <c r="AF16" s="60">
        <f t="shared" si="1"/>
        <v>0</v>
      </c>
      <c r="AG16" s="60">
        <f t="shared" si="2"/>
        <v>0</v>
      </c>
      <c r="AH16" s="60">
        <f t="shared" si="2"/>
        <v>0</v>
      </c>
      <c r="AI16" s="60">
        <f t="shared" si="3"/>
        <v>0</v>
      </c>
      <c r="AJ16" s="61">
        <f t="shared" si="3"/>
        <v>0</v>
      </c>
      <c r="AK16" s="144"/>
    </row>
    <row r="17" spans="1:37">
      <c r="A17">
        <v>13</v>
      </c>
      <c r="B17" s="57"/>
      <c r="C17" s="58"/>
      <c r="D17" s="84"/>
      <c r="E17" s="82"/>
      <c r="F17" s="158"/>
      <c r="G17" s="159"/>
      <c r="H17" s="281">
        <f>COUNTIFS(缺陷明细!$A$2:$A$50000,$B$4,缺陷明细!$G$2:$G$50000,$C17,缺陷明细!$J$2:$J$50000,"评审",缺陷明细!$AB$2:$AB$50000,"&lt;&gt;丢弃",缺陷明细!$AB$2:$AB$50000,"&lt;&gt;设计如此",缺陷明细!$AB$2:$AB$50000,"&lt;&gt;重复Bug")</f>
        <v>0</v>
      </c>
      <c r="I17" s="154">
        <f>COUNTIFS(缺陷明细!$A$2:$A$50000,$B$4,缺陷明细!$G$2:$G$50000,$C17,缺陷明细!$Q$2:$Q$50000,"已关闭",缺陷明细!$J$2:$J$50000,"评审")</f>
        <v>0</v>
      </c>
      <c r="J17" s="154">
        <f>COUNTIFS(缺陷明细!$A$2:$A$50000,$B$4,缺陷明细!$G$2:$G$50000,$C17,缺陷明细!$J$2:$J$50000,"单元测试",缺陷明细!$AB$2:$AB$50000,"&lt;&gt;丢弃",缺陷明细!$AB$2:$AB$50000,"&lt;&gt;设计如此",缺陷明细!$AB$2:$AB$50000,"&lt;&gt;重复Bug")</f>
        <v>0</v>
      </c>
      <c r="K17" s="155">
        <f>COUNTIFS(缺陷明细!$A$2:$A$50000,$B$4,缺陷明细!$G$2:$G$50000,$C17,缺陷明细!$Q$2:$Q$50000,"已关闭",缺陷明细!$J$2:$J$50000,"单元测试")</f>
        <v>0</v>
      </c>
      <c r="L17" s="156"/>
      <c r="M17" s="157"/>
      <c r="N17" s="72">
        <f>COUNTIFS(缺陷明细!$A$2:$A$50000,$B$4,缺陷明细!$G$2:$G$50000,$C17,缺陷明细!$J$2:$J$50000,"系统测试案例评审",缺陷明细!$AB$2:$AB$50000,"&lt;&gt;丢弃",缺陷明细!$AB$2:$AB$50000,"&lt;&gt;设计如此",缺陷明细!$AB$2:$AB$50000,"&lt;&gt;重复Bug")</f>
        <v>0</v>
      </c>
      <c r="O17" s="72">
        <f>COUNTIFS(缺陷明细!$A$2:$A$50000,$B$4,缺陷明细!$G$2:$G$50000,$C17,缺陷明细!$Q$2:$Q$50000,"已关闭",缺陷明细!$J$2:$J$50000,"系统测试案例评审")</f>
        <v>0</v>
      </c>
      <c r="P17" s="72">
        <f>COUNTIFS(缺陷明细!$A$2:$A$50000,$B$4,缺陷明细!$G$2:$G$50000,$C17,缺陷明细!$J$2:$J$50000,"系统测试",缺陷明细!$AB$2:$AB$50000,"&lt;&gt;丢弃",缺陷明细!$AB$2:$AB$50000,"&lt;&gt;设计如此",缺陷明细!$AB$2:$AB$50000,"&lt;&gt;重复Bug")</f>
        <v>0</v>
      </c>
      <c r="Q17" s="72">
        <f>COUNTIFS(缺陷明细!$A$2:$A$50000,$B$4,缺陷明细!$G$2:$G$50000,$C17,缺陷明细!$Q$2:$Q$50000,"已关闭",缺陷明细!$J$2:$J$50000,"系统测试")</f>
        <v>0</v>
      </c>
      <c r="R17" s="296">
        <f>COUNTIFS(缺陷明细!$A$2:$A$50000,$B$4,缺陷明细!$G$2:$G$50000,$C17,缺陷明细!$AB$2:$AB$50000,"丢弃",缺陷明细!$J$2:$J$50000,"系统测试")+COUNTIFS(缺陷明细!$A$2:$A$50000,$B$4,缺陷明细!$G$2:$G$50000,$C17,缺陷明细!$AB$2:$AB$50000,"设计如此",缺陷明细!$J$2:$J$50000,"系统测试")+COUNTIFS(缺陷明细!$A$2:$A$50000,$B$4,缺陷明细!$G$2:$G$50000,$C17,缺陷明细!$AB$2:$AB$50000,"重复Bug",缺陷明细!$J$2:$J$50000,"系统测试")</f>
        <v>0</v>
      </c>
      <c r="S17" s="72">
        <f>COUNTIFS(缺陷明细!$A$2:$A$50000,$B$4,缺陷明细!$G$2:$G$50000,$C17,缺陷明细!$J$2:$J$50000,"系统测试",缺陷明细!$K$2:$K$50000,"致命",缺陷明细!$AB$2:$AB$50000,"&lt;&gt;丢弃",缺陷明细!$AB$2:$AB$50000,"&lt;&gt;设计如此",缺陷明细!$AB$2:$AB$50000,"&lt;&gt;重复Bug")+COUNTIFS(缺陷明细!$A$2:$A$50000,$B$4,缺陷明细!$G$2:$G$50000,$C17,缺陷明细!$J$2:$J$50000,"系统测试",缺陷明细!$K$2:$K$50000,"严重",缺陷明细!$AB$2:$AB$50000,"&lt;&gt;丢弃",缺陷明细!$AB$2:$AB$50000,"&lt;&gt;设计如此",缺陷明细!$AB$2:$AB$50000,"&lt;&gt;重复Bug")</f>
        <v>0</v>
      </c>
      <c r="T17" s="73">
        <f>COUNTIFS(缺陷明细!$A$2:$A$50000,$B$4,缺陷明细!$G$2:$G$50000,$C17,缺陷明细!$Q$2:$Q$50000,"已关闭",缺陷明细!$J$2:$J$50000,"系统测试",缺陷明细!$K$2:$K$50000,"致命")+COUNTIFS(缺陷明细!$A$2:$A$50000,$B$4,缺陷明细!$G$2:$G$50000,$C17,缺陷明细!$Q$2:$Q$50000,"已关闭",缺陷明细!$J$2:$J$50000,"系统测试",缺陷明细!$K$2:$K$50000,"严重")</f>
        <v>0</v>
      </c>
      <c r="U17" s="74">
        <f>COUNTIFS(缺陷明细!$A$2:$A$50000,$B$4,缺陷明细!$G$2:$G$50000,$C17,缺陷明细!$J$2:$J$50000,"验收测试",缺陷明细!$AB$2:$AB$50000,"&lt;&gt;丢弃",缺陷明细!$AB$2:$AB$50000,"&lt;&gt;设计如此",缺陷明细!$AB$2:$AB$50000,"&lt;&gt;重复Bug")</f>
        <v>0</v>
      </c>
      <c r="V17" s="75">
        <f>COUNTIFS(缺陷明细!$A$2:$A$50000,$B$4,缺陷明细!$G$2:$G$50000,$C17,缺陷明细!$Q$2:$Q$50000,"已关闭",缺陷明细!$J$2:$J$50000,"验收测试")</f>
        <v>0</v>
      </c>
      <c r="W17" s="75">
        <f>COUNTIFS(缺陷明细!$A$2:$A$50000,$B$4,缺陷明细!$G$2:$G$50000,$C17,缺陷明细!$J$2:$J$50000,"验收测试",缺陷明细!$K$2:$K$50000,"致命",缺陷明细!$AB$2:$AB$50000,"&lt;&gt;丢弃",缺陷明细!$AB$2:$AB$50000,"&lt;&gt;设计如此",缺陷明细!$AB$2:$AB$50000,"&lt;&gt;重复Bug")+COUNTIFS(缺陷明细!$A$2:$A$50000,$B$4,缺陷明细!$G$2:$G$50000,$C17,缺陷明细!$J$2:$J$50000,"验收测试",缺陷明细!$K$2:$K$50000,"严重",缺陷明细!$AB$2:$AB$50000,"&lt;&gt;丢弃",缺陷明细!$AB$2:$AB$50000,"&lt;&gt;设计如此",缺陷明细!$AB$2:$AB$50000,"&lt;&gt;重复Bug")</f>
        <v>0</v>
      </c>
      <c r="X17" s="76">
        <f>COUNTIFS(缺陷明细!$A$2:$A$50000,$B$4,缺陷明细!$G$2:$G$50000,$C17,缺陷明细!$Q$2:$Q$50000,"已关闭",缺陷明细!$J$2:$J$50000,"验收测试",缺陷明细!$K$2:$K$50000,"致命")+COUNTIFS(缺陷明细!$A$2:$A$50000,$B$4,缺陷明细!$G$2:$G$50000,$C17,缺陷明细!$Q$2:$Q$50000,"已关闭",缺陷明细!$J$2:$J$50000,"验收测试",缺陷明细!$K$2:$K$50000,"严重")</f>
        <v>0</v>
      </c>
      <c r="Y17" s="70">
        <f>COUNTIFS(缺陷明细!$A$2:$A$50000,$B$4,缺陷明细!$G$2:$G$50000,$C17,缺陷明细!$J$2:$J$50000,"运维测试",缺陷明细!$AB$2:$AB$50000,"&lt;&gt;丢弃",缺陷明细!$AB$2:$AB$50000,"&lt;&gt;设计如此",缺陷明细!$AB$2:$AB$50000,"&lt;&gt;重复Bug")</f>
        <v>0</v>
      </c>
      <c r="Z17" s="71">
        <f>COUNTIFS(缺陷明细!$A$2:$A$50000,$B$4,缺陷明细!$G$2:$G$50000,$C17,缺陷明细!$Q$2:$Q$50000,"已关闭",缺陷明细!$J$2:$J$50000,"运维测试")</f>
        <v>0</v>
      </c>
      <c r="AA17" s="72">
        <f>COUNTIFS(缺陷明细!$A$2:$A$50000,$B$4,缺陷明细!$G$2:$G$50000,$C17,缺陷明细!$J$2:$J$50000,"运维测试",缺陷明细!$K$2:$K$50000,"致命",缺陷明细!$AB$2:$AB$50000,"&lt;&gt;丢弃",缺陷明细!$AB$2:$AB$50000,"&lt;&gt;设计如此",缺陷明细!$AB$2:$AB$50000,"&lt;&gt;重复Bug")+COUNTIFS(缺陷明细!$A$2:$A$50000,$B$4,缺陷明细!$G$2:$G$50000,$C17,缺陷明细!$J$2:$J$50000,"运维测试",缺陷明细!$K$2:$K$50000,"严重",缺陷明细!$AB$2:$AB$50000,"&lt;&gt;丢弃",缺陷明细!$AB$2:$AB$50000,"&lt;&gt;设计如此",缺陷明细!$AB$2:$AB$50000,"&lt;&gt;重复Bug")</f>
        <v>0</v>
      </c>
      <c r="AB17" s="73">
        <f>COUNTIFS(缺陷明细!$A$2:$A$50000,$B$4,缺陷明细!$G$2:$G$50000,$C17,缺陷明细!$Q$2:$Q$50000,"已关闭",缺陷明细!$J$2:$J$50000,"运维测试",缺陷明细!$K$2:$K$50000,"致命")+COUNTIFS(缺陷明细!$A$2:$A$50000,$B$4,缺陷明细!$G$2:$G$50000,$C17,缺陷明细!$Q$2:$Q$50000,"已关闭",缺陷明细!$J$2:$J$50000,"运维测试",缺陷明细!$K$2:$K$50000,"严重")</f>
        <v>0</v>
      </c>
      <c r="AC17" s="68">
        <f t="shared" si="0"/>
        <v>0</v>
      </c>
      <c r="AD17" s="60">
        <f t="shared" si="0"/>
        <v>0</v>
      </c>
      <c r="AE17" s="60">
        <f t="shared" si="1"/>
        <v>0</v>
      </c>
      <c r="AF17" s="60">
        <f t="shared" si="1"/>
        <v>0</v>
      </c>
      <c r="AG17" s="60">
        <f t="shared" si="2"/>
        <v>0</v>
      </c>
      <c r="AH17" s="60">
        <f t="shared" si="2"/>
        <v>0</v>
      </c>
      <c r="AI17" s="60">
        <f t="shared" si="3"/>
        <v>0</v>
      </c>
      <c r="AJ17" s="61">
        <f t="shared" si="3"/>
        <v>0</v>
      </c>
      <c r="AK17" s="144"/>
    </row>
    <row r="18" spans="1:37">
      <c r="A18">
        <v>14</v>
      </c>
      <c r="B18" s="57"/>
      <c r="C18" s="58"/>
      <c r="D18" s="84"/>
      <c r="E18" s="82"/>
      <c r="F18" s="158"/>
      <c r="G18" s="159"/>
      <c r="H18" s="281">
        <f>COUNTIFS(缺陷明细!$A$2:$A$50000,$B$4,缺陷明细!$G$2:$G$50000,$C18,缺陷明细!$J$2:$J$50000,"评审",缺陷明细!$AB$2:$AB$50000,"&lt;&gt;丢弃",缺陷明细!$AB$2:$AB$50000,"&lt;&gt;设计如此",缺陷明细!$AB$2:$AB$50000,"&lt;&gt;重复Bug")</f>
        <v>0</v>
      </c>
      <c r="I18" s="154">
        <f>COUNTIFS(缺陷明细!$A$2:$A$50000,$B$4,缺陷明细!$G$2:$G$50000,$C18,缺陷明细!$Q$2:$Q$50000,"已关闭",缺陷明细!$J$2:$J$50000,"评审")</f>
        <v>0</v>
      </c>
      <c r="J18" s="154">
        <f>COUNTIFS(缺陷明细!$A$2:$A$50000,$B$4,缺陷明细!$G$2:$G$50000,$C18,缺陷明细!$J$2:$J$50000,"单元测试",缺陷明细!$AB$2:$AB$50000,"&lt;&gt;丢弃",缺陷明细!$AB$2:$AB$50000,"&lt;&gt;设计如此",缺陷明细!$AB$2:$AB$50000,"&lt;&gt;重复Bug")</f>
        <v>0</v>
      </c>
      <c r="K18" s="155">
        <f>COUNTIFS(缺陷明细!$A$2:$A$50000,$B$4,缺陷明细!$G$2:$G$50000,$C18,缺陷明细!$Q$2:$Q$50000,"已关闭",缺陷明细!$J$2:$J$50000,"单元测试")</f>
        <v>0</v>
      </c>
      <c r="L18" s="156"/>
      <c r="M18" s="157"/>
      <c r="N18" s="72">
        <f>COUNTIFS(缺陷明细!$A$2:$A$50000,$B$4,缺陷明细!$G$2:$G$50000,$C18,缺陷明细!$J$2:$J$50000,"系统测试案例评审",缺陷明细!$AB$2:$AB$50000,"&lt;&gt;丢弃",缺陷明细!$AB$2:$AB$50000,"&lt;&gt;设计如此",缺陷明细!$AB$2:$AB$50000,"&lt;&gt;重复Bug")</f>
        <v>0</v>
      </c>
      <c r="O18" s="72">
        <f>COUNTIFS(缺陷明细!$A$2:$A$50000,$B$4,缺陷明细!$G$2:$G$50000,$C18,缺陷明细!$Q$2:$Q$50000,"已关闭",缺陷明细!$J$2:$J$50000,"系统测试案例评审")</f>
        <v>0</v>
      </c>
      <c r="P18" s="72">
        <f>COUNTIFS(缺陷明细!$A$2:$A$50000,$B$4,缺陷明细!$G$2:$G$50000,$C18,缺陷明细!$J$2:$J$50000,"系统测试",缺陷明细!$AB$2:$AB$50000,"&lt;&gt;丢弃",缺陷明细!$AB$2:$AB$50000,"&lt;&gt;设计如此",缺陷明细!$AB$2:$AB$50000,"&lt;&gt;重复Bug")</f>
        <v>0</v>
      </c>
      <c r="Q18" s="72">
        <f>COUNTIFS(缺陷明细!$A$2:$A$50000,$B$4,缺陷明细!$G$2:$G$50000,$C18,缺陷明细!$Q$2:$Q$50000,"已关闭",缺陷明细!$J$2:$J$50000,"系统测试")</f>
        <v>0</v>
      </c>
      <c r="R18" s="296">
        <f>COUNTIFS(缺陷明细!$A$2:$A$50000,$B$4,缺陷明细!$G$2:$G$50000,$C18,缺陷明细!$AB$2:$AB$50000,"丢弃",缺陷明细!$J$2:$J$50000,"系统测试")+COUNTIFS(缺陷明细!$A$2:$A$50000,$B$4,缺陷明细!$G$2:$G$50000,$C18,缺陷明细!$AB$2:$AB$50000,"设计如此",缺陷明细!$J$2:$J$50000,"系统测试")+COUNTIFS(缺陷明细!$A$2:$A$50000,$B$4,缺陷明细!$G$2:$G$50000,$C18,缺陷明细!$AB$2:$AB$50000,"重复Bug",缺陷明细!$J$2:$J$50000,"系统测试")</f>
        <v>0</v>
      </c>
      <c r="S18" s="72">
        <f>COUNTIFS(缺陷明细!$A$2:$A$50000,$B$4,缺陷明细!$G$2:$G$50000,$C18,缺陷明细!$J$2:$J$50000,"系统测试",缺陷明细!$K$2:$K$50000,"致命",缺陷明细!$AB$2:$AB$50000,"&lt;&gt;丢弃",缺陷明细!$AB$2:$AB$50000,"&lt;&gt;设计如此",缺陷明细!$AB$2:$AB$50000,"&lt;&gt;重复Bug")+COUNTIFS(缺陷明细!$A$2:$A$50000,$B$4,缺陷明细!$G$2:$G$50000,$C18,缺陷明细!$J$2:$J$50000,"系统测试",缺陷明细!$K$2:$K$50000,"严重",缺陷明细!$AB$2:$AB$50000,"&lt;&gt;丢弃",缺陷明细!$AB$2:$AB$50000,"&lt;&gt;设计如此",缺陷明细!$AB$2:$AB$50000,"&lt;&gt;重复Bug")</f>
        <v>0</v>
      </c>
      <c r="T18" s="73">
        <f>COUNTIFS(缺陷明细!$A$2:$A$50000,$B$4,缺陷明细!$G$2:$G$50000,$C18,缺陷明细!$Q$2:$Q$50000,"已关闭",缺陷明细!$J$2:$J$50000,"系统测试",缺陷明细!$K$2:$K$50000,"致命")+COUNTIFS(缺陷明细!$A$2:$A$50000,$B$4,缺陷明细!$G$2:$G$50000,$C18,缺陷明细!$Q$2:$Q$50000,"已关闭",缺陷明细!$J$2:$J$50000,"系统测试",缺陷明细!$K$2:$K$50000,"严重")</f>
        <v>0</v>
      </c>
      <c r="U18" s="74">
        <f>COUNTIFS(缺陷明细!$A$2:$A$50000,$B$4,缺陷明细!$G$2:$G$50000,$C18,缺陷明细!$J$2:$J$50000,"验收测试",缺陷明细!$AB$2:$AB$50000,"&lt;&gt;丢弃",缺陷明细!$AB$2:$AB$50000,"&lt;&gt;设计如此",缺陷明细!$AB$2:$AB$50000,"&lt;&gt;重复Bug")</f>
        <v>0</v>
      </c>
      <c r="V18" s="75">
        <f>COUNTIFS(缺陷明细!$A$2:$A$50000,$B$4,缺陷明细!$G$2:$G$50000,$C18,缺陷明细!$Q$2:$Q$50000,"已关闭",缺陷明细!$J$2:$J$50000,"验收测试")</f>
        <v>0</v>
      </c>
      <c r="W18" s="75">
        <f>COUNTIFS(缺陷明细!$A$2:$A$50000,$B$4,缺陷明细!$G$2:$G$50000,$C18,缺陷明细!$J$2:$J$50000,"验收测试",缺陷明细!$K$2:$K$50000,"致命",缺陷明细!$AB$2:$AB$50000,"&lt;&gt;丢弃",缺陷明细!$AB$2:$AB$50000,"&lt;&gt;设计如此",缺陷明细!$AB$2:$AB$50000,"&lt;&gt;重复Bug")+COUNTIFS(缺陷明细!$A$2:$A$50000,$B$4,缺陷明细!$G$2:$G$50000,$C18,缺陷明细!$J$2:$J$50000,"验收测试",缺陷明细!$K$2:$K$50000,"严重",缺陷明细!$AB$2:$AB$50000,"&lt;&gt;丢弃",缺陷明细!$AB$2:$AB$50000,"&lt;&gt;设计如此",缺陷明细!$AB$2:$AB$50000,"&lt;&gt;重复Bug")</f>
        <v>0</v>
      </c>
      <c r="X18" s="76">
        <f>COUNTIFS(缺陷明细!$A$2:$A$50000,$B$4,缺陷明细!$G$2:$G$50000,$C18,缺陷明细!$Q$2:$Q$50000,"已关闭",缺陷明细!$J$2:$J$50000,"验收测试",缺陷明细!$K$2:$K$50000,"致命")+COUNTIFS(缺陷明细!$A$2:$A$50000,$B$4,缺陷明细!$G$2:$G$50000,$C18,缺陷明细!$Q$2:$Q$50000,"已关闭",缺陷明细!$J$2:$J$50000,"验收测试",缺陷明细!$K$2:$K$50000,"严重")</f>
        <v>0</v>
      </c>
      <c r="Y18" s="70">
        <f>COUNTIFS(缺陷明细!$A$2:$A$50000,$B$4,缺陷明细!$G$2:$G$50000,$C18,缺陷明细!$J$2:$J$50000,"运维测试",缺陷明细!$AB$2:$AB$50000,"&lt;&gt;丢弃",缺陷明细!$AB$2:$AB$50000,"&lt;&gt;设计如此",缺陷明细!$AB$2:$AB$50000,"&lt;&gt;重复Bug")</f>
        <v>0</v>
      </c>
      <c r="Z18" s="71">
        <f>COUNTIFS(缺陷明细!$A$2:$A$50000,$B$4,缺陷明细!$G$2:$G$50000,$C18,缺陷明细!$Q$2:$Q$50000,"已关闭",缺陷明细!$J$2:$J$50000,"运维测试")</f>
        <v>0</v>
      </c>
      <c r="AA18" s="72">
        <f>COUNTIFS(缺陷明细!$A$2:$A$50000,$B$4,缺陷明细!$G$2:$G$50000,$C18,缺陷明细!$J$2:$J$50000,"运维测试",缺陷明细!$K$2:$K$50000,"致命",缺陷明细!$AB$2:$AB$50000,"&lt;&gt;丢弃",缺陷明细!$AB$2:$AB$50000,"&lt;&gt;设计如此",缺陷明细!$AB$2:$AB$50000,"&lt;&gt;重复Bug")+COUNTIFS(缺陷明细!$A$2:$A$50000,$B$4,缺陷明细!$G$2:$G$50000,$C18,缺陷明细!$J$2:$J$50000,"运维测试",缺陷明细!$K$2:$K$50000,"严重",缺陷明细!$AB$2:$AB$50000,"&lt;&gt;丢弃",缺陷明细!$AB$2:$AB$50000,"&lt;&gt;设计如此",缺陷明细!$AB$2:$AB$50000,"&lt;&gt;重复Bug")</f>
        <v>0</v>
      </c>
      <c r="AB18" s="73">
        <f>COUNTIFS(缺陷明细!$A$2:$A$50000,$B$4,缺陷明细!$G$2:$G$50000,$C18,缺陷明细!$Q$2:$Q$50000,"已关闭",缺陷明细!$J$2:$J$50000,"运维测试",缺陷明细!$K$2:$K$50000,"致命")+COUNTIFS(缺陷明细!$A$2:$A$50000,$B$4,缺陷明细!$G$2:$G$50000,$C18,缺陷明细!$Q$2:$Q$50000,"已关闭",缺陷明细!$J$2:$J$50000,"运维测试",缺陷明细!$K$2:$K$50000,"严重")</f>
        <v>0</v>
      </c>
      <c r="AC18" s="68">
        <f t="shared" si="0"/>
        <v>0</v>
      </c>
      <c r="AD18" s="60">
        <f t="shared" si="0"/>
        <v>0</v>
      </c>
      <c r="AE18" s="60">
        <f t="shared" si="1"/>
        <v>0</v>
      </c>
      <c r="AF18" s="60">
        <f t="shared" si="1"/>
        <v>0</v>
      </c>
      <c r="AG18" s="60">
        <f t="shared" si="2"/>
        <v>0</v>
      </c>
      <c r="AH18" s="60">
        <f t="shared" si="2"/>
        <v>0</v>
      </c>
      <c r="AI18" s="60">
        <f t="shared" si="3"/>
        <v>0</v>
      </c>
      <c r="AJ18" s="61">
        <f t="shared" si="3"/>
        <v>0</v>
      </c>
      <c r="AK18" s="144"/>
    </row>
    <row r="19" spans="1:37">
      <c r="A19">
        <v>15</v>
      </c>
      <c r="B19" s="57"/>
      <c r="C19" s="58"/>
      <c r="D19" s="84"/>
      <c r="E19" s="82"/>
      <c r="F19" s="158"/>
      <c r="G19" s="159"/>
      <c r="H19" s="281">
        <f>COUNTIFS(缺陷明细!$A$2:$A$50000,$B$4,缺陷明细!$G$2:$G$50000,$C19,缺陷明细!$J$2:$J$50000,"评审",缺陷明细!$AB$2:$AB$50000,"&lt;&gt;丢弃",缺陷明细!$AB$2:$AB$50000,"&lt;&gt;设计如此",缺陷明细!$AB$2:$AB$50000,"&lt;&gt;重复Bug")</f>
        <v>0</v>
      </c>
      <c r="I19" s="154">
        <f>COUNTIFS(缺陷明细!$A$2:$A$50000,$B$4,缺陷明细!$G$2:$G$50000,$C19,缺陷明细!$Q$2:$Q$50000,"已关闭",缺陷明细!$J$2:$J$50000,"评审")</f>
        <v>0</v>
      </c>
      <c r="J19" s="154">
        <f>COUNTIFS(缺陷明细!$A$2:$A$50000,$B$4,缺陷明细!$G$2:$G$50000,$C19,缺陷明细!$J$2:$J$50000,"单元测试",缺陷明细!$AB$2:$AB$50000,"&lt;&gt;丢弃",缺陷明细!$AB$2:$AB$50000,"&lt;&gt;设计如此",缺陷明细!$AB$2:$AB$50000,"&lt;&gt;重复Bug")</f>
        <v>0</v>
      </c>
      <c r="K19" s="155">
        <f>COUNTIFS(缺陷明细!$A$2:$A$50000,$B$4,缺陷明细!$G$2:$G$50000,$C19,缺陷明细!$Q$2:$Q$50000,"已关闭",缺陷明细!$J$2:$J$50000,"单元测试")</f>
        <v>0</v>
      </c>
      <c r="L19" s="156"/>
      <c r="M19" s="157"/>
      <c r="N19" s="72">
        <f>COUNTIFS(缺陷明细!$A$2:$A$50000,$B$4,缺陷明细!$G$2:$G$50000,$C19,缺陷明细!$J$2:$J$50000,"系统测试案例评审",缺陷明细!$AB$2:$AB$50000,"&lt;&gt;丢弃",缺陷明细!$AB$2:$AB$50000,"&lt;&gt;设计如此",缺陷明细!$AB$2:$AB$50000,"&lt;&gt;重复Bug")</f>
        <v>0</v>
      </c>
      <c r="O19" s="72">
        <f>COUNTIFS(缺陷明细!$A$2:$A$50000,$B$4,缺陷明细!$G$2:$G$50000,$C19,缺陷明细!$Q$2:$Q$50000,"已关闭",缺陷明细!$J$2:$J$50000,"系统测试案例评审")</f>
        <v>0</v>
      </c>
      <c r="P19" s="72">
        <f>COUNTIFS(缺陷明细!$A$2:$A$50000,$B$4,缺陷明细!$G$2:$G$50000,$C19,缺陷明细!$J$2:$J$50000,"系统测试",缺陷明细!$AB$2:$AB$50000,"&lt;&gt;丢弃",缺陷明细!$AB$2:$AB$50000,"&lt;&gt;设计如此",缺陷明细!$AB$2:$AB$50000,"&lt;&gt;重复Bug")</f>
        <v>0</v>
      </c>
      <c r="Q19" s="72">
        <f>COUNTIFS(缺陷明细!$A$2:$A$50000,$B$4,缺陷明细!$G$2:$G$50000,$C19,缺陷明细!$Q$2:$Q$50000,"已关闭",缺陷明细!$J$2:$J$50000,"系统测试")</f>
        <v>0</v>
      </c>
      <c r="R19" s="296">
        <f>COUNTIFS(缺陷明细!$A$2:$A$50000,$B$4,缺陷明细!$G$2:$G$50000,$C19,缺陷明细!$AB$2:$AB$50000,"丢弃",缺陷明细!$J$2:$J$50000,"系统测试")+COUNTIFS(缺陷明细!$A$2:$A$50000,$B$4,缺陷明细!$G$2:$G$50000,$C19,缺陷明细!$AB$2:$AB$50000,"设计如此",缺陷明细!$J$2:$J$50000,"系统测试")+COUNTIFS(缺陷明细!$A$2:$A$50000,$B$4,缺陷明细!$G$2:$G$50000,$C19,缺陷明细!$AB$2:$AB$50000,"重复Bug",缺陷明细!$J$2:$J$50000,"系统测试")</f>
        <v>0</v>
      </c>
      <c r="S19" s="72">
        <f>COUNTIFS(缺陷明细!$A$2:$A$50000,$B$4,缺陷明细!$G$2:$G$50000,$C19,缺陷明细!$J$2:$J$50000,"系统测试",缺陷明细!$K$2:$K$50000,"致命",缺陷明细!$AB$2:$AB$50000,"&lt;&gt;丢弃",缺陷明细!$AB$2:$AB$50000,"&lt;&gt;设计如此",缺陷明细!$AB$2:$AB$50000,"&lt;&gt;重复Bug")+COUNTIFS(缺陷明细!$A$2:$A$50000,$B$4,缺陷明细!$G$2:$G$50000,$C19,缺陷明细!$J$2:$J$50000,"系统测试",缺陷明细!$K$2:$K$50000,"严重",缺陷明细!$AB$2:$AB$50000,"&lt;&gt;丢弃",缺陷明细!$AB$2:$AB$50000,"&lt;&gt;设计如此",缺陷明细!$AB$2:$AB$50000,"&lt;&gt;重复Bug")</f>
        <v>0</v>
      </c>
      <c r="T19" s="73">
        <f>COUNTIFS(缺陷明细!$A$2:$A$50000,$B$4,缺陷明细!$G$2:$G$50000,$C19,缺陷明细!$Q$2:$Q$50000,"已关闭",缺陷明细!$J$2:$J$50000,"系统测试",缺陷明细!$K$2:$K$50000,"致命")+COUNTIFS(缺陷明细!$A$2:$A$50000,$B$4,缺陷明细!$G$2:$G$50000,$C19,缺陷明细!$Q$2:$Q$50000,"已关闭",缺陷明细!$J$2:$J$50000,"系统测试",缺陷明细!$K$2:$K$50000,"严重")</f>
        <v>0</v>
      </c>
      <c r="U19" s="74">
        <f>COUNTIFS(缺陷明细!$A$2:$A$50000,$B$4,缺陷明细!$G$2:$G$50000,$C19,缺陷明细!$J$2:$J$50000,"验收测试",缺陷明细!$AB$2:$AB$50000,"&lt;&gt;丢弃",缺陷明细!$AB$2:$AB$50000,"&lt;&gt;设计如此",缺陷明细!$AB$2:$AB$50000,"&lt;&gt;重复Bug")</f>
        <v>0</v>
      </c>
      <c r="V19" s="75">
        <f>COUNTIFS(缺陷明细!$A$2:$A$50000,$B$4,缺陷明细!$G$2:$G$50000,$C19,缺陷明细!$Q$2:$Q$50000,"已关闭",缺陷明细!$J$2:$J$50000,"验收测试")</f>
        <v>0</v>
      </c>
      <c r="W19" s="75">
        <f>COUNTIFS(缺陷明细!$A$2:$A$50000,$B$4,缺陷明细!$G$2:$G$50000,$C19,缺陷明细!$J$2:$J$50000,"验收测试",缺陷明细!$K$2:$K$50000,"致命",缺陷明细!$AB$2:$AB$50000,"&lt;&gt;丢弃",缺陷明细!$AB$2:$AB$50000,"&lt;&gt;设计如此",缺陷明细!$AB$2:$AB$50000,"&lt;&gt;重复Bug")+COUNTIFS(缺陷明细!$A$2:$A$50000,$B$4,缺陷明细!$G$2:$G$50000,$C19,缺陷明细!$J$2:$J$50000,"验收测试",缺陷明细!$K$2:$K$50000,"严重",缺陷明细!$AB$2:$AB$50000,"&lt;&gt;丢弃",缺陷明细!$AB$2:$AB$50000,"&lt;&gt;设计如此",缺陷明细!$AB$2:$AB$50000,"&lt;&gt;重复Bug")</f>
        <v>0</v>
      </c>
      <c r="X19" s="76">
        <f>COUNTIFS(缺陷明细!$A$2:$A$50000,$B$4,缺陷明细!$G$2:$G$50000,$C19,缺陷明细!$Q$2:$Q$50000,"已关闭",缺陷明细!$J$2:$J$50000,"验收测试",缺陷明细!$K$2:$K$50000,"致命")+COUNTIFS(缺陷明细!$A$2:$A$50000,$B$4,缺陷明细!$G$2:$G$50000,$C19,缺陷明细!$Q$2:$Q$50000,"已关闭",缺陷明细!$J$2:$J$50000,"验收测试",缺陷明细!$K$2:$K$50000,"严重")</f>
        <v>0</v>
      </c>
      <c r="Y19" s="70">
        <f>COUNTIFS(缺陷明细!$A$2:$A$50000,$B$4,缺陷明细!$G$2:$G$50000,$C19,缺陷明细!$J$2:$J$50000,"运维测试",缺陷明细!$AB$2:$AB$50000,"&lt;&gt;丢弃",缺陷明细!$AB$2:$AB$50000,"&lt;&gt;设计如此",缺陷明细!$AB$2:$AB$50000,"&lt;&gt;重复Bug")</f>
        <v>0</v>
      </c>
      <c r="Z19" s="71">
        <f>COUNTIFS(缺陷明细!$A$2:$A$50000,$B$4,缺陷明细!$G$2:$G$50000,$C19,缺陷明细!$Q$2:$Q$50000,"已关闭",缺陷明细!$J$2:$J$50000,"运维测试")</f>
        <v>0</v>
      </c>
      <c r="AA19" s="72">
        <f>COUNTIFS(缺陷明细!$A$2:$A$50000,$B$4,缺陷明细!$G$2:$G$50000,$C19,缺陷明细!$J$2:$J$50000,"运维测试",缺陷明细!$K$2:$K$50000,"致命",缺陷明细!$AB$2:$AB$50000,"&lt;&gt;丢弃",缺陷明细!$AB$2:$AB$50000,"&lt;&gt;设计如此",缺陷明细!$AB$2:$AB$50000,"&lt;&gt;重复Bug")+COUNTIFS(缺陷明细!$A$2:$A$50000,$B$4,缺陷明细!$G$2:$G$50000,$C19,缺陷明细!$J$2:$J$50000,"运维测试",缺陷明细!$K$2:$K$50000,"严重",缺陷明细!$AB$2:$AB$50000,"&lt;&gt;丢弃",缺陷明细!$AB$2:$AB$50000,"&lt;&gt;设计如此",缺陷明细!$AB$2:$AB$50000,"&lt;&gt;重复Bug")</f>
        <v>0</v>
      </c>
      <c r="AB19" s="73">
        <f>COUNTIFS(缺陷明细!$A$2:$A$50000,$B$4,缺陷明细!$G$2:$G$50000,$C19,缺陷明细!$Q$2:$Q$50000,"已关闭",缺陷明细!$J$2:$J$50000,"运维测试",缺陷明细!$K$2:$K$50000,"致命")+COUNTIFS(缺陷明细!$A$2:$A$50000,$B$4,缺陷明细!$G$2:$G$50000,$C19,缺陷明细!$Q$2:$Q$50000,"已关闭",缺陷明细!$J$2:$J$50000,"运维测试",缺陷明细!$K$2:$K$50000,"严重")</f>
        <v>0</v>
      </c>
      <c r="AC19" s="68">
        <f t="shared" si="0"/>
        <v>0</v>
      </c>
      <c r="AD19" s="60">
        <f t="shared" si="0"/>
        <v>0</v>
      </c>
      <c r="AE19" s="60">
        <f t="shared" si="1"/>
        <v>0</v>
      </c>
      <c r="AF19" s="60">
        <f t="shared" si="1"/>
        <v>0</v>
      </c>
      <c r="AG19" s="60">
        <f t="shared" si="2"/>
        <v>0</v>
      </c>
      <c r="AH19" s="60">
        <f t="shared" si="2"/>
        <v>0</v>
      </c>
      <c r="AI19" s="60">
        <f t="shared" si="3"/>
        <v>0</v>
      </c>
      <c r="AJ19" s="61">
        <f t="shared" si="3"/>
        <v>0</v>
      </c>
      <c r="AK19" s="144"/>
    </row>
    <row r="20" spans="1:37">
      <c r="A20">
        <v>16</v>
      </c>
      <c r="B20" s="57"/>
      <c r="C20" s="58"/>
      <c r="D20" s="84"/>
      <c r="E20" s="82"/>
      <c r="F20" s="158"/>
      <c r="G20" s="159"/>
      <c r="H20" s="281">
        <f>COUNTIFS(缺陷明细!$A$2:$A$50000,$B$4,缺陷明细!$G$2:$G$50000,$C20,缺陷明细!$J$2:$J$50000,"评审",缺陷明细!$AB$2:$AB$50000,"&lt;&gt;丢弃",缺陷明细!$AB$2:$AB$50000,"&lt;&gt;设计如此",缺陷明细!$AB$2:$AB$50000,"&lt;&gt;重复Bug")</f>
        <v>0</v>
      </c>
      <c r="I20" s="154">
        <f>COUNTIFS(缺陷明细!$A$2:$A$50000,$B$4,缺陷明细!$G$2:$G$50000,$C20,缺陷明细!$Q$2:$Q$50000,"已关闭",缺陷明细!$J$2:$J$50000,"评审")</f>
        <v>0</v>
      </c>
      <c r="J20" s="154">
        <f>COUNTIFS(缺陷明细!$A$2:$A$50000,$B$4,缺陷明细!$G$2:$G$50000,$C20,缺陷明细!$J$2:$J$50000,"单元测试",缺陷明细!$AB$2:$AB$50000,"&lt;&gt;丢弃",缺陷明细!$AB$2:$AB$50000,"&lt;&gt;设计如此",缺陷明细!$AB$2:$AB$50000,"&lt;&gt;重复Bug")</f>
        <v>0</v>
      </c>
      <c r="K20" s="155">
        <f>COUNTIFS(缺陷明细!$A$2:$A$50000,$B$4,缺陷明细!$G$2:$G$50000,$C20,缺陷明细!$Q$2:$Q$50000,"已关闭",缺陷明细!$J$2:$J$50000,"单元测试")</f>
        <v>0</v>
      </c>
      <c r="L20" s="156"/>
      <c r="M20" s="157"/>
      <c r="N20" s="72">
        <f>COUNTIFS(缺陷明细!$A$2:$A$50000,$B$4,缺陷明细!$G$2:$G$50000,$C20,缺陷明细!$J$2:$J$50000,"系统测试案例评审",缺陷明细!$AB$2:$AB$50000,"&lt;&gt;丢弃",缺陷明细!$AB$2:$AB$50000,"&lt;&gt;设计如此",缺陷明细!$AB$2:$AB$50000,"&lt;&gt;重复Bug")</f>
        <v>0</v>
      </c>
      <c r="O20" s="72">
        <f>COUNTIFS(缺陷明细!$A$2:$A$50000,$B$4,缺陷明细!$G$2:$G$50000,$C20,缺陷明细!$Q$2:$Q$50000,"已关闭",缺陷明细!$J$2:$J$50000,"系统测试案例评审")</f>
        <v>0</v>
      </c>
      <c r="P20" s="72">
        <f>COUNTIFS(缺陷明细!$A$2:$A$50000,$B$4,缺陷明细!$G$2:$G$50000,$C20,缺陷明细!$J$2:$J$50000,"系统测试",缺陷明细!$AB$2:$AB$50000,"&lt;&gt;丢弃",缺陷明细!$AB$2:$AB$50000,"&lt;&gt;设计如此",缺陷明细!$AB$2:$AB$50000,"&lt;&gt;重复Bug")</f>
        <v>0</v>
      </c>
      <c r="Q20" s="72">
        <f>COUNTIFS(缺陷明细!$A$2:$A$50000,$B$4,缺陷明细!$G$2:$G$50000,$C20,缺陷明细!$Q$2:$Q$50000,"已关闭",缺陷明细!$J$2:$J$50000,"系统测试")</f>
        <v>0</v>
      </c>
      <c r="R20" s="296">
        <f>COUNTIFS(缺陷明细!$A$2:$A$50000,$B$4,缺陷明细!$G$2:$G$50000,$C20,缺陷明细!$AB$2:$AB$50000,"丢弃",缺陷明细!$J$2:$J$50000,"系统测试")+COUNTIFS(缺陷明细!$A$2:$A$50000,$B$4,缺陷明细!$G$2:$G$50000,$C20,缺陷明细!$AB$2:$AB$50000,"设计如此",缺陷明细!$J$2:$J$50000,"系统测试")+COUNTIFS(缺陷明细!$A$2:$A$50000,$B$4,缺陷明细!$G$2:$G$50000,$C20,缺陷明细!$AB$2:$AB$50000,"重复Bug",缺陷明细!$J$2:$J$50000,"系统测试")</f>
        <v>0</v>
      </c>
      <c r="S20" s="72">
        <f>COUNTIFS(缺陷明细!$A$2:$A$50000,$B$4,缺陷明细!$G$2:$G$50000,$C20,缺陷明细!$J$2:$J$50000,"系统测试",缺陷明细!$K$2:$K$50000,"致命",缺陷明细!$AB$2:$AB$50000,"&lt;&gt;丢弃",缺陷明细!$AB$2:$AB$50000,"&lt;&gt;设计如此",缺陷明细!$AB$2:$AB$50000,"&lt;&gt;重复Bug")+COUNTIFS(缺陷明细!$A$2:$A$50000,$B$4,缺陷明细!$G$2:$G$50000,$C20,缺陷明细!$J$2:$J$50000,"系统测试",缺陷明细!$K$2:$K$50000,"严重",缺陷明细!$AB$2:$AB$50000,"&lt;&gt;丢弃",缺陷明细!$AB$2:$AB$50000,"&lt;&gt;设计如此",缺陷明细!$AB$2:$AB$50000,"&lt;&gt;重复Bug")</f>
        <v>0</v>
      </c>
      <c r="T20" s="73">
        <f>COUNTIFS(缺陷明细!$A$2:$A$50000,$B$4,缺陷明细!$G$2:$G$50000,$C20,缺陷明细!$Q$2:$Q$50000,"已关闭",缺陷明细!$J$2:$J$50000,"系统测试",缺陷明细!$K$2:$K$50000,"致命")+COUNTIFS(缺陷明细!$A$2:$A$50000,$B$4,缺陷明细!$G$2:$G$50000,$C20,缺陷明细!$Q$2:$Q$50000,"已关闭",缺陷明细!$J$2:$J$50000,"系统测试",缺陷明细!$K$2:$K$50000,"严重")</f>
        <v>0</v>
      </c>
      <c r="U20" s="74">
        <f>COUNTIFS(缺陷明细!$A$2:$A$50000,$B$4,缺陷明细!$G$2:$G$50000,$C20,缺陷明细!$J$2:$J$50000,"验收测试",缺陷明细!$AB$2:$AB$50000,"&lt;&gt;丢弃",缺陷明细!$AB$2:$AB$50000,"&lt;&gt;设计如此",缺陷明细!$AB$2:$AB$50000,"&lt;&gt;重复Bug")</f>
        <v>0</v>
      </c>
      <c r="V20" s="75">
        <f>COUNTIFS(缺陷明细!$A$2:$A$50000,$B$4,缺陷明细!$G$2:$G$50000,$C20,缺陷明细!$Q$2:$Q$50000,"已关闭",缺陷明细!$J$2:$J$50000,"验收测试")</f>
        <v>0</v>
      </c>
      <c r="W20" s="75">
        <f>COUNTIFS(缺陷明细!$A$2:$A$50000,$B$4,缺陷明细!$G$2:$G$50000,$C20,缺陷明细!$J$2:$J$50000,"验收测试",缺陷明细!$K$2:$K$50000,"致命",缺陷明细!$AB$2:$AB$50000,"&lt;&gt;丢弃",缺陷明细!$AB$2:$AB$50000,"&lt;&gt;设计如此",缺陷明细!$AB$2:$AB$50000,"&lt;&gt;重复Bug")+COUNTIFS(缺陷明细!$A$2:$A$50000,$B$4,缺陷明细!$G$2:$G$50000,$C20,缺陷明细!$J$2:$J$50000,"验收测试",缺陷明细!$K$2:$K$50000,"严重",缺陷明细!$AB$2:$AB$50000,"&lt;&gt;丢弃",缺陷明细!$AB$2:$AB$50000,"&lt;&gt;设计如此",缺陷明细!$AB$2:$AB$50000,"&lt;&gt;重复Bug")</f>
        <v>0</v>
      </c>
      <c r="X20" s="76">
        <f>COUNTIFS(缺陷明细!$A$2:$A$50000,$B$4,缺陷明细!$G$2:$G$50000,$C20,缺陷明细!$Q$2:$Q$50000,"已关闭",缺陷明细!$J$2:$J$50000,"验收测试",缺陷明细!$K$2:$K$50000,"致命")+COUNTIFS(缺陷明细!$A$2:$A$50000,$B$4,缺陷明细!$G$2:$G$50000,$C20,缺陷明细!$Q$2:$Q$50000,"已关闭",缺陷明细!$J$2:$J$50000,"验收测试",缺陷明细!$K$2:$K$50000,"严重")</f>
        <v>0</v>
      </c>
      <c r="Y20" s="70">
        <f>COUNTIFS(缺陷明细!$A$2:$A$50000,$B$4,缺陷明细!$G$2:$G$50000,$C20,缺陷明细!$J$2:$J$50000,"运维测试",缺陷明细!$AB$2:$AB$50000,"&lt;&gt;丢弃",缺陷明细!$AB$2:$AB$50000,"&lt;&gt;设计如此",缺陷明细!$AB$2:$AB$50000,"&lt;&gt;重复Bug")</f>
        <v>0</v>
      </c>
      <c r="Z20" s="71">
        <f>COUNTIFS(缺陷明细!$A$2:$A$50000,$B$4,缺陷明细!$G$2:$G$50000,$C20,缺陷明细!$Q$2:$Q$50000,"已关闭",缺陷明细!$J$2:$J$50000,"运维测试")</f>
        <v>0</v>
      </c>
      <c r="AA20" s="72">
        <f>COUNTIFS(缺陷明细!$A$2:$A$50000,$B$4,缺陷明细!$G$2:$G$50000,$C20,缺陷明细!$J$2:$J$50000,"运维测试",缺陷明细!$K$2:$K$50000,"致命",缺陷明细!$AB$2:$AB$50000,"&lt;&gt;丢弃",缺陷明细!$AB$2:$AB$50000,"&lt;&gt;设计如此",缺陷明细!$AB$2:$AB$50000,"&lt;&gt;重复Bug")+COUNTIFS(缺陷明细!$A$2:$A$50000,$B$4,缺陷明细!$G$2:$G$50000,$C20,缺陷明细!$J$2:$J$50000,"运维测试",缺陷明细!$K$2:$K$50000,"严重",缺陷明细!$AB$2:$AB$50000,"&lt;&gt;丢弃",缺陷明细!$AB$2:$AB$50000,"&lt;&gt;设计如此",缺陷明细!$AB$2:$AB$50000,"&lt;&gt;重复Bug")</f>
        <v>0</v>
      </c>
      <c r="AB20" s="73">
        <f>COUNTIFS(缺陷明细!$A$2:$A$50000,$B$4,缺陷明细!$G$2:$G$50000,$C20,缺陷明细!$Q$2:$Q$50000,"已关闭",缺陷明细!$J$2:$J$50000,"运维测试",缺陷明细!$K$2:$K$50000,"致命")+COUNTIFS(缺陷明细!$A$2:$A$50000,$B$4,缺陷明细!$G$2:$G$50000,$C20,缺陷明细!$Q$2:$Q$50000,"已关闭",缺陷明细!$J$2:$J$50000,"运维测试",缺陷明细!$K$2:$K$50000,"严重")</f>
        <v>0</v>
      </c>
      <c r="AC20" s="68">
        <f t="shared" si="0"/>
        <v>0</v>
      </c>
      <c r="AD20" s="60">
        <f t="shared" si="0"/>
        <v>0</v>
      </c>
      <c r="AE20" s="60">
        <f t="shared" si="1"/>
        <v>0</v>
      </c>
      <c r="AF20" s="60">
        <f t="shared" si="1"/>
        <v>0</v>
      </c>
      <c r="AG20" s="60">
        <f t="shared" si="2"/>
        <v>0</v>
      </c>
      <c r="AH20" s="60">
        <f t="shared" si="2"/>
        <v>0</v>
      </c>
      <c r="AI20" s="60">
        <f t="shared" si="3"/>
        <v>0</v>
      </c>
      <c r="AJ20" s="61">
        <f t="shared" si="3"/>
        <v>0</v>
      </c>
      <c r="AK20" s="144"/>
    </row>
    <row r="21" spans="1:37">
      <c r="A21">
        <v>17</v>
      </c>
      <c r="B21" s="57"/>
      <c r="C21" s="58"/>
      <c r="D21" s="84"/>
      <c r="E21" s="82"/>
      <c r="F21" s="158"/>
      <c r="G21" s="159"/>
      <c r="H21" s="281">
        <f>COUNTIFS(缺陷明细!$A$2:$A$50000,$B$4,缺陷明细!$G$2:$G$50000,$C21,缺陷明细!$J$2:$J$50000,"评审",缺陷明细!$AB$2:$AB$50000,"&lt;&gt;丢弃",缺陷明细!$AB$2:$AB$50000,"&lt;&gt;设计如此",缺陷明细!$AB$2:$AB$50000,"&lt;&gt;重复Bug")</f>
        <v>0</v>
      </c>
      <c r="I21" s="154">
        <f>COUNTIFS(缺陷明细!$A$2:$A$50000,$B$4,缺陷明细!$G$2:$G$50000,$C21,缺陷明细!$Q$2:$Q$50000,"已关闭",缺陷明细!$J$2:$J$50000,"评审")</f>
        <v>0</v>
      </c>
      <c r="J21" s="154">
        <f>COUNTIFS(缺陷明细!$A$2:$A$50000,$B$4,缺陷明细!$G$2:$G$50000,$C21,缺陷明细!$J$2:$J$50000,"单元测试",缺陷明细!$AB$2:$AB$50000,"&lt;&gt;丢弃",缺陷明细!$AB$2:$AB$50000,"&lt;&gt;设计如此",缺陷明细!$AB$2:$AB$50000,"&lt;&gt;重复Bug")</f>
        <v>0</v>
      </c>
      <c r="K21" s="155">
        <f>COUNTIFS(缺陷明细!$A$2:$A$50000,$B$4,缺陷明细!$G$2:$G$50000,$C21,缺陷明细!$Q$2:$Q$50000,"已关闭",缺陷明细!$J$2:$J$50000,"单元测试")</f>
        <v>0</v>
      </c>
      <c r="L21" s="156"/>
      <c r="M21" s="157"/>
      <c r="N21" s="72">
        <f>COUNTIFS(缺陷明细!$A$2:$A$50000,$B$4,缺陷明细!$G$2:$G$50000,$C21,缺陷明细!$J$2:$J$50000,"系统测试案例评审",缺陷明细!$AB$2:$AB$50000,"&lt;&gt;丢弃",缺陷明细!$AB$2:$AB$50000,"&lt;&gt;设计如此",缺陷明细!$AB$2:$AB$50000,"&lt;&gt;重复Bug")</f>
        <v>0</v>
      </c>
      <c r="O21" s="72">
        <f>COUNTIFS(缺陷明细!$A$2:$A$50000,$B$4,缺陷明细!$G$2:$G$50000,$C21,缺陷明细!$Q$2:$Q$50000,"已关闭",缺陷明细!$J$2:$J$50000,"系统测试案例评审")</f>
        <v>0</v>
      </c>
      <c r="P21" s="72">
        <f>COUNTIFS(缺陷明细!$A$2:$A$50000,$B$4,缺陷明细!$G$2:$G$50000,$C21,缺陷明细!$J$2:$J$50000,"系统测试",缺陷明细!$AB$2:$AB$50000,"&lt;&gt;丢弃",缺陷明细!$AB$2:$AB$50000,"&lt;&gt;设计如此",缺陷明细!$AB$2:$AB$50000,"&lt;&gt;重复Bug")</f>
        <v>0</v>
      </c>
      <c r="Q21" s="72">
        <f>COUNTIFS(缺陷明细!$A$2:$A$50000,$B$4,缺陷明细!$G$2:$G$50000,$C21,缺陷明细!$Q$2:$Q$50000,"已关闭",缺陷明细!$J$2:$J$50000,"系统测试")</f>
        <v>0</v>
      </c>
      <c r="R21" s="296">
        <f>COUNTIFS(缺陷明细!$A$2:$A$50000,$B$4,缺陷明细!$G$2:$G$50000,$C21,缺陷明细!$AB$2:$AB$50000,"丢弃",缺陷明细!$J$2:$J$50000,"系统测试")+COUNTIFS(缺陷明细!$A$2:$A$50000,$B$4,缺陷明细!$G$2:$G$50000,$C21,缺陷明细!$AB$2:$AB$50000,"设计如此",缺陷明细!$J$2:$J$50000,"系统测试")+COUNTIFS(缺陷明细!$A$2:$A$50000,$B$4,缺陷明细!$G$2:$G$50000,$C21,缺陷明细!$AB$2:$AB$50000,"重复Bug",缺陷明细!$J$2:$J$50000,"系统测试")</f>
        <v>0</v>
      </c>
      <c r="S21" s="72">
        <f>COUNTIFS(缺陷明细!$A$2:$A$50000,$B$4,缺陷明细!$G$2:$G$50000,$C21,缺陷明细!$J$2:$J$50000,"系统测试",缺陷明细!$K$2:$K$50000,"致命",缺陷明细!$AB$2:$AB$50000,"&lt;&gt;丢弃",缺陷明细!$AB$2:$AB$50000,"&lt;&gt;设计如此",缺陷明细!$AB$2:$AB$50000,"&lt;&gt;重复Bug")+COUNTIFS(缺陷明细!$A$2:$A$50000,$B$4,缺陷明细!$G$2:$G$50000,$C21,缺陷明细!$J$2:$J$50000,"系统测试",缺陷明细!$K$2:$K$50000,"严重",缺陷明细!$AB$2:$AB$50000,"&lt;&gt;丢弃",缺陷明细!$AB$2:$AB$50000,"&lt;&gt;设计如此",缺陷明细!$AB$2:$AB$50000,"&lt;&gt;重复Bug")</f>
        <v>0</v>
      </c>
      <c r="T21" s="73">
        <f>COUNTIFS(缺陷明细!$A$2:$A$50000,$B$4,缺陷明细!$G$2:$G$50000,$C21,缺陷明细!$Q$2:$Q$50000,"已关闭",缺陷明细!$J$2:$J$50000,"系统测试",缺陷明细!$K$2:$K$50000,"致命")+COUNTIFS(缺陷明细!$A$2:$A$50000,$B$4,缺陷明细!$G$2:$G$50000,$C21,缺陷明细!$Q$2:$Q$50000,"已关闭",缺陷明细!$J$2:$J$50000,"系统测试",缺陷明细!$K$2:$K$50000,"严重")</f>
        <v>0</v>
      </c>
      <c r="U21" s="74">
        <f>COUNTIFS(缺陷明细!$A$2:$A$50000,$B$4,缺陷明细!$G$2:$G$50000,$C21,缺陷明细!$J$2:$J$50000,"验收测试",缺陷明细!$AB$2:$AB$50000,"&lt;&gt;丢弃",缺陷明细!$AB$2:$AB$50000,"&lt;&gt;设计如此",缺陷明细!$AB$2:$AB$50000,"&lt;&gt;重复Bug")</f>
        <v>0</v>
      </c>
      <c r="V21" s="75">
        <f>COUNTIFS(缺陷明细!$A$2:$A$50000,$B$4,缺陷明细!$G$2:$G$50000,$C21,缺陷明细!$Q$2:$Q$50000,"已关闭",缺陷明细!$J$2:$J$50000,"验收测试")</f>
        <v>0</v>
      </c>
      <c r="W21" s="75">
        <f>COUNTIFS(缺陷明细!$A$2:$A$50000,$B$4,缺陷明细!$G$2:$G$50000,$C21,缺陷明细!$J$2:$J$50000,"验收测试",缺陷明细!$K$2:$K$50000,"致命",缺陷明细!$AB$2:$AB$50000,"&lt;&gt;丢弃",缺陷明细!$AB$2:$AB$50000,"&lt;&gt;设计如此",缺陷明细!$AB$2:$AB$50000,"&lt;&gt;重复Bug")+COUNTIFS(缺陷明细!$A$2:$A$50000,$B$4,缺陷明细!$G$2:$G$50000,$C21,缺陷明细!$J$2:$J$50000,"验收测试",缺陷明细!$K$2:$K$50000,"严重",缺陷明细!$AB$2:$AB$50000,"&lt;&gt;丢弃",缺陷明细!$AB$2:$AB$50000,"&lt;&gt;设计如此",缺陷明细!$AB$2:$AB$50000,"&lt;&gt;重复Bug")</f>
        <v>0</v>
      </c>
      <c r="X21" s="76">
        <f>COUNTIFS(缺陷明细!$A$2:$A$50000,$B$4,缺陷明细!$G$2:$G$50000,$C21,缺陷明细!$Q$2:$Q$50000,"已关闭",缺陷明细!$J$2:$J$50000,"验收测试",缺陷明细!$K$2:$K$50000,"致命")+COUNTIFS(缺陷明细!$A$2:$A$50000,$B$4,缺陷明细!$G$2:$G$50000,$C21,缺陷明细!$Q$2:$Q$50000,"已关闭",缺陷明细!$J$2:$J$50000,"验收测试",缺陷明细!$K$2:$K$50000,"严重")</f>
        <v>0</v>
      </c>
      <c r="Y21" s="70">
        <f>COUNTIFS(缺陷明细!$A$2:$A$50000,$B$4,缺陷明细!$G$2:$G$50000,$C21,缺陷明细!$J$2:$J$50000,"运维测试",缺陷明细!$AB$2:$AB$50000,"&lt;&gt;丢弃",缺陷明细!$AB$2:$AB$50000,"&lt;&gt;设计如此",缺陷明细!$AB$2:$AB$50000,"&lt;&gt;重复Bug")</f>
        <v>0</v>
      </c>
      <c r="Z21" s="71">
        <f>COUNTIFS(缺陷明细!$A$2:$A$50000,$B$4,缺陷明细!$G$2:$G$50000,$C21,缺陷明细!$Q$2:$Q$50000,"已关闭",缺陷明细!$J$2:$J$50000,"运维测试")</f>
        <v>0</v>
      </c>
      <c r="AA21" s="72">
        <f>COUNTIFS(缺陷明细!$A$2:$A$50000,$B$4,缺陷明细!$G$2:$G$50000,$C21,缺陷明细!$J$2:$J$50000,"运维测试",缺陷明细!$K$2:$K$50000,"致命",缺陷明细!$AB$2:$AB$50000,"&lt;&gt;丢弃",缺陷明细!$AB$2:$AB$50000,"&lt;&gt;设计如此",缺陷明细!$AB$2:$AB$50000,"&lt;&gt;重复Bug")+COUNTIFS(缺陷明细!$A$2:$A$50000,$B$4,缺陷明细!$G$2:$G$50000,$C21,缺陷明细!$J$2:$J$50000,"运维测试",缺陷明细!$K$2:$K$50000,"严重",缺陷明细!$AB$2:$AB$50000,"&lt;&gt;丢弃",缺陷明细!$AB$2:$AB$50000,"&lt;&gt;设计如此",缺陷明细!$AB$2:$AB$50000,"&lt;&gt;重复Bug")</f>
        <v>0</v>
      </c>
      <c r="AB21" s="73">
        <f>COUNTIFS(缺陷明细!$A$2:$A$50000,$B$4,缺陷明细!$G$2:$G$50000,$C21,缺陷明细!$Q$2:$Q$50000,"已关闭",缺陷明细!$J$2:$J$50000,"运维测试",缺陷明细!$K$2:$K$50000,"致命")+COUNTIFS(缺陷明细!$A$2:$A$50000,$B$4,缺陷明细!$G$2:$G$50000,$C21,缺陷明细!$Q$2:$Q$50000,"已关闭",缺陷明细!$J$2:$J$50000,"运维测试",缺陷明细!$K$2:$K$50000,"严重")</f>
        <v>0</v>
      </c>
      <c r="AC21" s="68">
        <f t="shared" si="0"/>
        <v>0</v>
      </c>
      <c r="AD21" s="60">
        <f t="shared" si="0"/>
        <v>0</v>
      </c>
      <c r="AE21" s="60">
        <f t="shared" si="1"/>
        <v>0</v>
      </c>
      <c r="AF21" s="60">
        <f t="shared" si="1"/>
        <v>0</v>
      </c>
      <c r="AG21" s="60">
        <f t="shared" si="2"/>
        <v>0</v>
      </c>
      <c r="AH21" s="60">
        <f t="shared" si="2"/>
        <v>0</v>
      </c>
      <c r="AI21" s="60">
        <f t="shared" si="3"/>
        <v>0</v>
      </c>
      <c r="AJ21" s="61">
        <f t="shared" si="3"/>
        <v>0</v>
      </c>
      <c r="AK21" s="144"/>
    </row>
    <row r="22" spans="1:37">
      <c r="A22">
        <v>18</v>
      </c>
      <c r="B22" s="57"/>
      <c r="C22" s="58"/>
      <c r="D22" s="84"/>
      <c r="E22" s="82"/>
      <c r="F22" s="158"/>
      <c r="G22" s="159"/>
      <c r="H22" s="281">
        <f>COUNTIFS(缺陷明细!$A$2:$A$50000,$B$4,缺陷明细!$G$2:$G$50000,$C22,缺陷明细!$J$2:$J$50000,"评审",缺陷明细!$AB$2:$AB$50000,"&lt;&gt;丢弃",缺陷明细!$AB$2:$AB$50000,"&lt;&gt;设计如此",缺陷明细!$AB$2:$AB$50000,"&lt;&gt;重复Bug")</f>
        <v>0</v>
      </c>
      <c r="I22" s="154">
        <f>COUNTIFS(缺陷明细!$A$2:$A$50000,$B$4,缺陷明细!$G$2:$G$50000,$C22,缺陷明细!$Q$2:$Q$50000,"已关闭",缺陷明细!$J$2:$J$50000,"评审")</f>
        <v>0</v>
      </c>
      <c r="J22" s="154">
        <f>COUNTIFS(缺陷明细!$A$2:$A$50000,$B$4,缺陷明细!$G$2:$G$50000,$C22,缺陷明细!$J$2:$J$50000,"单元测试",缺陷明细!$AB$2:$AB$50000,"&lt;&gt;丢弃",缺陷明细!$AB$2:$AB$50000,"&lt;&gt;设计如此",缺陷明细!$AB$2:$AB$50000,"&lt;&gt;重复Bug")</f>
        <v>0</v>
      </c>
      <c r="K22" s="155">
        <f>COUNTIFS(缺陷明细!$A$2:$A$50000,$B$4,缺陷明细!$G$2:$G$50000,$C22,缺陷明细!$Q$2:$Q$50000,"已关闭",缺陷明细!$J$2:$J$50000,"单元测试")</f>
        <v>0</v>
      </c>
      <c r="L22" s="156"/>
      <c r="M22" s="157"/>
      <c r="N22" s="72">
        <f>COUNTIFS(缺陷明细!$A$2:$A$50000,$B$4,缺陷明细!$G$2:$G$50000,$C22,缺陷明细!$J$2:$J$50000,"系统测试案例评审",缺陷明细!$AB$2:$AB$50000,"&lt;&gt;丢弃",缺陷明细!$AB$2:$AB$50000,"&lt;&gt;设计如此",缺陷明细!$AB$2:$AB$50000,"&lt;&gt;重复Bug")</f>
        <v>0</v>
      </c>
      <c r="O22" s="72">
        <f>COUNTIFS(缺陷明细!$A$2:$A$50000,$B$4,缺陷明细!$G$2:$G$50000,$C22,缺陷明细!$Q$2:$Q$50000,"已关闭",缺陷明细!$J$2:$J$50000,"系统测试案例评审")</f>
        <v>0</v>
      </c>
      <c r="P22" s="72">
        <f>COUNTIFS(缺陷明细!$A$2:$A$50000,$B$4,缺陷明细!$G$2:$G$50000,$C22,缺陷明细!$J$2:$J$50000,"系统测试",缺陷明细!$AB$2:$AB$50000,"&lt;&gt;丢弃",缺陷明细!$AB$2:$AB$50000,"&lt;&gt;设计如此",缺陷明细!$AB$2:$AB$50000,"&lt;&gt;重复Bug")</f>
        <v>0</v>
      </c>
      <c r="Q22" s="72">
        <f>COUNTIFS(缺陷明细!$A$2:$A$50000,$B$4,缺陷明细!$G$2:$G$50000,$C22,缺陷明细!$Q$2:$Q$50000,"已关闭",缺陷明细!$J$2:$J$50000,"系统测试")</f>
        <v>0</v>
      </c>
      <c r="R22" s="296">
        <f>COUNTIFS(缺陷明细!$A$2:$A$50000,$B$4,缺陷明细!$G$2:$G$50000,$C22,缺陷明细!$AB$2:$AB$50000,"丢弃",缺陷明细!$J$2:$J$50000,"系统测试")+COUNTIFS(缺陷明细!$A$2:$A$50000,$B$4,缺陷明细!$G$2:$G$50000,$C22,缺陷明细!$AB$2:$AB$50000,"设计如此",缺陷明细!$J$2:$J$50000,"系统测试")+COUNTIFS(缺陷明细!$A$2:$A$50000,$B$4,缺陷明细!$G$2:$G$50000,$C22,缺陷明细!$AB$2:$AB$50000,"重复Bug",缺陷明细!$J$2:$J$50000,"系统测试")</f>
        <v>0</v>
      </c>
      <c r="S22" s="72">
        <f>COUNTIFS(缺陷明细!$A$2:$A$50000,$B$4,缺陷明细!$G$2:$G$50000,$C22,缺陷明细!$J$2:$J$50000,"系统测试",缺陷明细!$K$2:$K$50000,"致命",缺陷明细!$AB$2:$AB$50000,"&lt;&gt;丢弃",缺陷明细!$AB$2:$AB$50000,"&lt;&gt;设计如此",缺陷明细!$AB$2:$AB$50000,"&lt;&gt;重复Bug")+COUNTIFS(缺陷明细!$A$2:$A$50000,$B$4,缺陷明细!$G$2:$G$50000,$C22,缺陷明细!$J$2:$J$50000,"系统测试",缺陷明细!$K$2:$K$50000,"严重",缺陷明细!$AB$2:$AB$50000,"&lt;&gt;丢弃",缺陷明细!$AB$2:$AB$50000,"&lt;&gt;设计如此",缺陷明细!$AB$2:$AB$50000,"&lt;&gt;重复Bug")</f>
        <v>0</v>
      </c>
      <c r="T22" s="73">
        <f>COUNTIFS(缺陷明细!$A$2:$A$50000,$B$4,缺陷明细!$G$2:$G$50000,$C22,缺陷明细!$Q$2:$Q$50000,"已关闭",缺陷明细!$J$2:$J$50000,"系统测试",缺陷明细!$K$2:$K$50000,"致命")+COUNTIFS(缺陷明细!$A$2:$A$50000,$B$4,缺陷明细!$G$2:$G$50000,$C22,缺陷明细!$Q$2:$Q$50000,"已关闭",缺陷明细!$J$2:$J$50000,"系统测试",缺陷明细!$K$2:$K$50000,"严重")</f>
        <v>0</v>
      </c>
      <c r="U22" s="74">
        <f>COUNTIFS(缺陷明细!$A$2:$A$50000,$B$4,缺陷明细!$G$2:$G$50000,$C22,缺陷明细!$J$2:$J$50000,"验收测试",缺陷明细!$AB$2:$AB$50000,"&lt;&gt;丢弃",缺陷明细!$AB$2:$AB$50000,"&lt;&gt;设计如此",缺陷明细!$AB$2:$AB$50000,"&lt;&gt;重复Bug")</f>
        <v>0</v>
      </c>
      <c r="V22" s="75">
        <f>COUNTIFS(缺陷明细!$A$2:$A$50000,$B$4,缺陷明细!$G$2:$G$50000,$C22,缺陷明细!$Q$2:$Q$50000,"已关闭",缺陷明细!$J$2:$J$50000,"验收测试")</f>
        <v>0</v>
      </c>
      <c r="W22" s="75">
        <f>COUNTIFS(缺陷明细!$A$2:$A$50000,$B$4,缺陷明细!$G$2:$G$50000,$C22,缺陷明细!$J$2:$J$50000,"验收测试",缺陷明细!$K$2:$K$50000,"致命",缺陷明细!$AB$2:$AB$50000,"&lt;&gt;丢弃",缺陷明细!$AB$2:$AB$50000,"&lt;&gt;设计如此",缺陷明细!$AB$2:$AB$50000,"&lt;&gt;重复Bug")+COUNTIFS(缺陷明细!$A$2:$A$50000,$B$4,缺陷明细!$G$2:$G$50000,$C22,缺陷明细!$J$2:$J$50000,"验收测试",缺陷明细!$K$2:$K$50000,"严重",缺陷明细!$AB$2:$AB$50000,"&lt;&gt;丢弃",缺陷明细!$AB$2:$AB$50000,"&lt;&gt;设计如此",缺陷明细!$AB$2:$AB$50000,"&lt;&gt;重复Bug")</f>
        <v>0</v>
      </c>
      <c r="X22" s="76">
        <f>COUNTIFS(缺陷明细!$A$2:$A$50000,$B$4,缺陷明细!$G$2:$G$50000,$C22,缺陷明细!$Q$2:$Q$50000,"已关闭",缺陷明细!$J$2:$J$50000,"验收测试",缺陷明细!$K$2:$K$50000,"致命")+COUNTIFS(缺陷明细!$A$2:$A$50000,$B$4,缺陷明细!$G$2:$G$50000,$C22,缺陷明细!$Q$2:$Q$50000,"已关闭",缺陷明细!$J$2:$J$50000,"验收测试",缺陷明细!$K$2:$K$50000,"严重")</f>
        <v>0</v>
      </c>
      <c r="Y22" s="70">
        <f>COUNTIFS(缺陷明细!$A$2:$A$50000,$B$4,缺陷明细!$G$2:$G$50000,$C22,缺陷明细!$J$2:$J$50000,"运维测试",缺陷明细!$AB$2:$AB$50000,"&lt;&gt;丢弃",缺陷明细!$AB$2:$AB$50000,"&lt;&gt;设计如此",缺陷明细!$AB$2:$AB$50000,"&lt;&gt;重复Bug")</f>
        <v>0</v>
      </c>
      <c r="Z22" s="71">
        <f>COUNTIFS(缺陷明细!$A$2:$A$50000,$B$4,缺陷明细!$G$2:$G$50000,$C22,缺陷明细!$Q$2:$Q$50000,"已关闭",缺陷明细!$J$2:$J$50000,"运维测试")</f>
        <v>0</v>
      </c>
      <c r="AA22" s="72">
        <f>COUNTIFS(缺陷明细!$A$2:$A$50000,$B$4,缺陷明细!$G$2:$G$50000,$C22,缺陷明细!$J$2:$J$50000,"运维测试",缺陷明细!$K$2:$K$50000,"致命",缺陷明细!$AB$2:$AB$50000,"&lt;&gt;丢弃",缺陷明细!$AB$2:$AB$50000,"&lt;&gt;设计如此",缺陷明细!$AB$2:$AB$50000,"&lt;&gt;重复Bug")+COUNTIFS(缺陷明细!$A$2:$A$50000,$B$4,缺陷明细!$G$2:$G$50000,$C22,缺陷明细!$J$2:$J$50000,"运维测试",缺陷明细!$K$2:$K$50000,"严重",缺陷明细!$AB$2:$AB$50000,"&lt;&gt;丢弃",缺陷明细!$AB$2:$AB$50000,"&lt;&gt;设计如此",缺陷明细!$AB$2:$AB$50000,"&lt;&gt;重复Bug")</f>
        <v>0</v>
      </c>
      <c r="AB22" s="73">
        <f>COUNTIFS(缺陷明细!$A$2:$A$50000,$B$4,缺陷明细!$G$2:$G$50000,$C22,缺陷明细!$Q$2:$Q$50000,"已关闭",缺陷明细!$J$2:$J$50000,"运维测试",缺陷明细!$K$2:$K$50000,"致命")+COUNTIFS(缺陷明细!$A$2:$A$50000,$B$4,缺陷明细!$G$2:$G$50000,$C22,缺陷明细!$Q$2:$Q$50000,"已关闭",缺陷明细!$J$2:$J$50000,"运维测试",缺陷明细!$K$2:$K$50000,"严重")</f>
        <v>0</v>
      </c>
      <c r="AC22" s="68">
        <f t="shared" si="0"/>
        <v>0</v>
      </c>
      <c r="AD22" s="60">
        <f t="shared" si="0"/>
        <v>0</v>
      </c>
      <c r="AE22" s="60">
        <f t="shared" si="1"/>
        <v>0</v>
      </c>
      <c r="AF22" s="60">
        <f t="shared" si="1"/>
        <v>0</v>
      </c>
      <c r="AG22" s="60">
        <f t="shared" si="2"/>
        <v>0</v>
      </c>
      <c r="AH22" s="60">
        <f t="shared" si="2"/>
        <v>0</v>
      </c>
      <c r="AI22" s="60">
        <f t="shared" si="3"/>
        <v>0</v>
      </c>
      <c r="AJ22" s="61">
        <f t="shared" si="3"/>
        <v>0</v>
      </c>
      <c r="AK22" s="144"/>
    </row>
    <row r="23" spans="1:37">
      <c r="A23">
        <v>19</v>
      </c>
      <c r="B23" s="57"/>
      <c r="C23" s="58"/>
      <c r="D23" s="84"/>
      <c r="E23" s="82"/>
      <c r="F23" s="158"/>
      <c r="G23" s="159"/>
      <c r="H23" s="281">
        <f>COUNTIFS(缺陷明细!$A$2:$A$50000,$B$4,缺陷明细!$G$2:$G$50000,$C23,缺陷明细!$J$2:$J$50000,"评审",缺陷明细!$AB$2:$AB$50000,"&lt;&gt;丢弃",缺陷明细!$AB$2:$AB$50000,"&lt;&gt;设计如此",缺陷明细!$AB$2:$AB$50000,"&lt;&gt;重复Bug")</f>
        <v>0</v>
      </c>
      <c r="I23" s="154">
        <f>COUNTIFS(缺陷明细!$A$2:$A$50000,$B$4,缺陷明细!$G$2:$G$50000,$C23,缺陷明细!$Q$2:$Q$50000,"已关闭",缺陷明细!$J$2:$J$50000,"评审")</f>
        <v>0</v>
      </c>
      <c r="J23" s="154">
        <f>COUNTIFS(缺陷明细!$A$2:$A$50000,$B$4,缺陷明细!$G$2:$G$50000,$C23,缺陷明细!$J$2:$J$50000,"单元测试",缺陷明细!$AB$2:$AB$50000,"&lt;&gt;丢弃",缺陷明细!$AB$2:$AB$50000,"&lt;&gt;设计如此",缺陷明细!$AB$2:$AB$50000,"&lt;&gt;重复Bug")</f>
        <v>0</v>
      </c>
      <c r="K23" s="155">
        <f>COUNTIFS(缺陷明细!$A$2:$A$50000,$B$4,缺陷明细!$G$2:$G$50000,$C23,缺陷明细!$Q$2:$Q$50000,"已关闭",缺陷明细!$J$2:$J$50000,"单元测试")</f>
        <v>0</v>
      </c>
      <c r="L23" s="156"/>
      <c r="M23" s="157"/>
      <c r="N23" s="72">
        <f>COUNTIFS(缺陷明细!$A$2:$A$50000,$B$4,缺陷明细!$G$2:$G$50000,$C23,缺陷明细!$J$2:$J$50000,"系统测试案例评审",缺陷明细!$AB$2:$AB$50000,"&lt;&gt;丢弃",缺陷明细!$AB$2:$AB$50000,"&lt;&gt;设计如此",缺陷明细!$AB$2:$AB$50000,"&lt;&gt;重复Bug")</f>
        <v>0</v>
      </c>
      <c r="O23" s="72">
        <f>COUNTIFS(缺陷明细!$A$2:$A$50000,$B$4,缺陷明细!$G$2:$G$50000,$C23,缺陷明细!$Q$2:$Q$50000,"已关闭",缺陷明细!$J$2:$J$50000,"系统测试案例评审")</f>
        <v>0</v>
      </c>
      <c r="P23" s="72">
        <f>COUNTIFS(缺陷明细!$A$2:$A$50000,$B$4,缺陷明细!$G$2:$G$50000,$C23,缺陷明细!$J$2:$J$50000,"系统测试",缺陷明细!$AB$2:$AB$50000,"&lt;&gt;丢弃",缺陷明细!$AB$2:$AB$50000,"&lt;&gt;设计如此",缺陷明细!$AB$2:$AB$50000,"&lt;&gt;重复Bug")</f>
        <v>0</v>
      </c>
      <c r="Q23" s="72">
        <f>COUNTIFS(缺陷明细!$A$2:$A$50000,$B$4,缺陷明细!$G$2:$G$50000,$C23,缺陷明细!$Q$2:$Q$50000,"已关闭",缺陷明细!$J$2:$J$50000,"系统测试")</f>
        <v>0</v>
      </c>
      <c r="R23" s="296">
        <f>COUNTIFS(缺陷明细!$A$2:$A$50000,$B$4,缺陷明细!$G$2:$G$50000,$C23,缺陷明细!$AB$2:$AB$50000,"丢弃",缺陷明细!$J$2:$J$50000,"系统测试")+COUNTIFS(缺陷明细!$A$2:$A$50000,$B$4,缺陷明细!$G$2:$G$50000,$C23,缺陷明细!$AB$2:$AB$50000,"设计如此",缺陷明细!$J$2:$J$50000,"系统测试")+COUNTIFS(缺陷明细!$A$2:$A$50000,$B$4,缺陷明细!$G$2:$G$50000,$C23,缺陷明细!$AB$2:$AB$50000,"重复Bug",缺陷明细!$J$2:$J$50000,"系统测试")</f>
        <v>0</v>
      </c>
      <c r="S23" s="72">
        <f>COUNTIFS(缺陷明细!$A$2:$A$50000,$B$4,缺陷明细!$G$2:$G$50000,$C23,缺陷明细!$J$2:$J$50000,"系统测试",缺陷明细!$K$2:$K$50000,"致命",缺陷明细!$AB$2:$AB$50000,"&lt;&gt;丢弃",缺陷明细!$AB$2:$AB$50000,"&lt;&gt;设计如此",缺陷明细!$AB$2:$AB$50000,"&lt;&gt;重复Bug")+COUNTIFS(缺陷明细!$A$2:$A$50000,$B$4,缺陷明细!$G$2:$G$50000,$C23,缺陷明细!$J$2:$J$50000,"系统测试",缺陷明细!$K$2:$K$50000,"严重",缺陷明细!$AB$2:$AB$50000,"&lt;&gt;丢弃",缺陷明细!$AB$2:$AB$50000,"&lt;&gt;设计如此",缺陷明细!$AB$2:$AB$50000,"&lt;&gt;重复Bug")</f>
        <v>0</v>
      </c>
      <c r="T23" s="73">
        <f>COUNTIFS(缺陷明细!$A$2:$A$50000,$B$4,缺陷明细!$G$2:$G$50000,$C23,缺陷明细!$Q$2:$Q$50000,"已关闭",缺陷明细!$J$2:$J$50000,"系统测试",缺陷明细!$K$2:$K$50000,"致命")+COUNTIFS(缺陷明细!$A$2:$A$50000,$B$4,缺陷明细!$G$2:$G$50000,$C23,缺陷明细!$Q$2:$Q$50000,"已关闭",缺陷明细!$J$2:$J$50000,"系统测试",缺陷明细!$K$2:$K$50000,"严重")</f>
        <v>0</v>
      </c>
      <c r="U23" s="74">
        <f>COUNTIFS(缺陷明细!$A$2:$A$50000,$B$4,缺陷明细!$G$2:$G$50000,$C23,缺陷明细!$J$2:$J$50000,"验收测试",缺陷明细!$AB$2:$AB$50000,"&lt;&gt;丢弃",缺陷明细!$AB$2:$AB$50000,"&lt;&gt;设计如此",缺陷明细!$AB$2:$AB$50000,"&lt;&gt;重复Bug")</f>
        <v>0</v>
      </c>
      <c r="V23" s="75">
        <f>COUNTIFS(缺陷明细!$A$2:$A$50000,$B$4,缺陷明细!$G$2:$G$50000,$C23,缺陷明细!$Q$2:$Q$50000,"已关闭",缺陷明细!$J$2:$J$50000,"验收测试")</f>
        <v>0</v>
      </c>
      <c r="W23" s="75">
        <f>COUNTIFS(缺陷明细!$A$2:$A$50000,$B$4,缺陷明细!$G$2:$G$50000,$C23,缺陷明细!$J$2:$J$50000,"验收测试",缺陷明细!$K$2:$K$50000,"致命",缺陷明细!$AB$2:$AB$50000,"&lt;&gt;丢弃",缺陷明细!$AB$2:$AB$50000,"&lt;&gt;设计如此",缺陷明细!$AB$2:$AB$50000,"&lt;&gt;重复Bug")+COUNTIFS(缺陷明细!$A$2:$A$50000,$B$4,缺陷明细!$G$2:$G$50000,$C23,缺陷明细!$J$2:$J$50000,"验收测试",缺陷明细!$K$2:$K$50000,"严重",缺陷明细!$AB$2:$AB$50000,"&lt;&gt;丢弃",缺陷明细!$AB$2:$AB$50000,"&lt;&gt;设计如此",缺陷明细!$AB$2:$AB$50000,"&lt;&gt;重复Bug")</f>
        <v>0</v>
      </c>
      <c r="X23" s="76">
        <f>COUNTIFS(缺陷明细!$A$2:$A$50000,$B$4,缺陷明细!$G$2:$G$50000,$C23,缺陷明细!$Q$2:$Q$50000,"已关闭",缺陷明细!$J$2:$J$50000,"验收测试",缺陷明细!$K$2:$K$50000,"致命")+COUNTIFS(缺陷明细!$A$2:$A$50000,$B$4,缺陷明细!$G$2:$G$50000,$C23,缺陷明细!$Q$2:$Q$50000,"已关闭",缺陷明细!$J$2:$J$50000,"验收测试",缺陷明细!$K$2:$K$50000,"严重")</f>
        <v>0</v>
      </c>
      <c r="Y23" s="70">
        <f>COUNTIFS(缺陷明细!$A$2:$A$50000,$B$4,缺陷明细!$G$2:$G$50000,$C23,缺陷明细!$J$2:$J$50000,"运维测试",缺陷明细!$AB$2:$AB$50000,"&lt;&gt;丢弃",缺陷明细!$AB$2:$AB$50000,"&lt;&gt;设计如此",缺陷明细!$AB$2:$AB$50000,"&lt;&gt;重复Bug")</f>
        <v>0</v>
      </c>
      <c r="Z23" s="71">
        <f>COUNTIFS(缺陷明细!$A$2:$A$50000,$B$4,缺陷明细!$G$2:$G$50000,$C23,缺陷明细!$Q$2:$Q$50000,"已关闭",缺陷明细!$J$2:$J$50000,"运维测试")</f>
        <v>0</v>
      </c>
      <c r="AA23" s="72">
        <f>COUNTIFS(缺陷明细!$A$2:$A$50000,$B$4,缺陷明细!$G$2:$G$50000,$C23,缺陷明细!$J$2:$J$50000,"运维测试",缺陷明细!$K$2:$K$50000,"致命",缺陷明细!$AB$2:$AB$50000,"&lt;&gt;丢弃",缺陷明细!$AB$2:$AB$50000,"&lt;&gt;设计如此",缺陷明细!$AB$2:$AB$50000,"&lt;&gt;重复Bug")+COUNTIFS(缺陷明细!$A$2:$A$50000,$B$4,缺陷明细!$G$2:$G$50000,$C23,缺陷明细!$J$2:$J$50000,"运维测试",缺陷明细!$K$2:$K$50000,"严重",缺陷明细!$AB$2:$AB$50000,"&lt;&gt;丢弃",缺陷明细!$AB$2:$AB$50000,"&lt;&gt;设计如此",缺陷明细!$AB$2:$AB$50000,"&lt;&gt;重复Bug")</f>
        <v>0</v>
      </c>
      <c r="AB23" s="73">
        <f>COUNTIFS(缺陷明细!$A$2:$A$50000,$B$4,缺陷明细!$G$2:$G$50000,$C23,缺陷明细!$Q$2:$Q$50000,"已关闭",缺陷明细!$J$2:$J$50000,"运维测试",缺陷明细!$K$2:$K$50000,"致命")+COUNTIFS(缺陷明细!$A$2:$A$50000,$B$4,缺陷明细!$G$2:$G$50000,$C23,缺陷明细!$Q$2:$Q$50000,"已关闭",缺陷明细!$J$2:$J$50000,"运维测试",缺陷明细!$K$2:$K$50000,"严重")</f>
        <v>0</v>
      </c>
      <c r="AC23" s="68">
        <f t="shared" si="0"/>
        <v>0</v>
      </c>
      <c r="AD23" s="60">
        <f t="shared" si="0"/>
        <v>0</v>
      </c>
      <c r="AE23" s="60">
        <f t="shared" si="1"/>
        <v>0</v>
      </c>
      <c r="AF23" s="60">
        <f t="shared" si="1"/>
        <v>0</v>
      </c>
      <c r="AG23" s="60">
        <f t="shared" si="2"/>
        <v>0</v>
      </c>
      <c r="AH23" s="60">
        <f t="shared" si="2"/>
        <v>0</v>
      </c>
      <c r="AI23" s="60">
        <f t="shared" si="3"/>
        <v>0</v>
      </c>
      <c r="AJ23" s="61">
        <f t="shared" si="3"/>
        <v>0</v>
      </c>
      <c r="AK23" s="144"/>
    </row>
    <row r="24" spans="1:37">
      <c r="A24">
        <v>20</v>
      </c>
      <c r="B24" s="57"/>
      <c r="C24" s="58"/>
      <c r="D24" s="84"/>
      <c r="E24" s="82"/>
      <c r="F24" s="158"/>
      <c r="G24" s="159"/>
      <c r="H24" s="281">
        <f>COUNTIFS(缺陷明细!$A$2:$A$50000,$B$4,缺陷明细!$G$2:$G$50000,$C24,缺陷明细!$J$2:$J$50000,"评审",缺陷明细!$AB$2:$AB$50000,"&lt;&gt;丢弃",缺陷明细!$AB$2:$AB$50000,"&lt;&gt;设计如此",缺陷明细!$AB$2:$AB$50000,"&lt;&gt;重复Bug")</f>
        <v>0</v>
      </c>
      <c r="I24" s="154">
        <f>COUNTIFS(缺陷明细!$A$2:$A$50000,$B$4,缺陷明细!$G$2:$G$50000,$C24,缺陷明细!$Q$2:$Q$50000,"已关闭",缺陷明细!$J$2:$J$50000,"评审")</f>
        <v>0</v>
      </c>
      <c r="J24" s="154">
        <f>COUNTIFS(缺陷明细!$A$2:$A$50000,$B$4,缺陷明细!$G$2:$G$50000,$C24,缺陷明细!$J$2:$J$50000,"单元测试",缺陷明细!$AB$2:$AB$50000,"&lt;&gt;丢弃",缺陷明细!$AB$2:$AB$50000,"&lt;&gt;设计如此",缺陷明细!$AB$2:$AB$50000,"&lt;&gt;重复Bug")</f>
        <v>0</v>
      </c>
      <c r="K24" s="155">
        <f>COUNTIFS(缺陷明细!$A$2:$A$50000,$B$4,缺陷明细!$G$2:$G$50000,$C24,缺陷明细!$Q$2:$Q$50000,"已关闭",缺陷明细!$J$2:$J$50000,"单元测试")</f>
        <v>0</v>
      </c>
      <c r="L24" s="156"/>
      <c r="M24" s="157"/>
      <c r="N24" s="72">
        <f>COUNTIFS(缺陷明细!$A$2:$A$50000,$B$4,缺陷明细!$G$2:$G$50000,$C24,缺陷明细!$J$2:$J$50000,"系统测试案例评审",缺陷明细!$AB$2:$AB$50000,"&lt;&gt;丢弃",缺陷明细!$AB$2:$AB$50000,"&lt;&gt;设计如此",缺陷明细!$AB$2:$AB$50000,"&lt;&gt;重复Bug")</f>
        <v>0</v>
      </c>
      <c r="O24" s="72">
        <f>COUNTIFS(缺陷明细!$A$2:$A$50000,$B$4,缺陷明细!$G$2:$G$50000,$C24,缺陷明细!$Q$2:$Q$50000,"已关闭",缺陷明细!$J$2:$J$50000,"系统测试案例评审")</f>
        <v>0</v>
      </c>
      <c r="P24" s="72">
        <f>COUNTIFS(缺陷明细!$A$2:$A$50000,$B$4,缺陷明细!$G$2:$G$50000,$C24,缺陷明细!$J$2:$J$50000,"系统测试",缺陷明细!$AB$2:$AB$50000,"&lt;&gt;丢弃",缺陷明细!$AB$2:$AB$50000,"&lt;&gt;设计如此",缺陷明细!$AB$2:$AB$50000,"&lt;&gt;重复Bug")</f>
        <v>0</v>
      </c>
      <c r="Q24" s="72">
        <f>COUNTIFS(缺陷明细!$A$2:$A$50000,$B$4,缺陷明细!$G$2:$G$50000,$C24,缺陷明细!$Q$2:$Q$50000,"已关闭",缺陷明细!$J$2:$J$50000,"系统测试")</f>
        <v>0</v>
      </c>
      <c r="R24" s="296">
        <f>COUNTIFS(缺陷明细!$A$2:$A$50000,$B$4,缺陷明细!$G$2:$G$50000,$C24,缺陷明细!$AB$2:$AB$50000,"丢弃",缺陷明细!$J$2:$J$50000,"系统测试")+COUNTIFS(缺陷明细!$A$2:$A$50000,$B$4,缺陷明细!$G$2:$G$50000,$C24,缺陷明细!$AB$2:$AB$50000,"设计如此",缺陷明细!$J$2:$J$50000,"系统测试")+COUNTIFS(缺陷明细!$A$2:$A$50000,$B$4,缺陷明细!$G$2:$G$50000,$C24,缺陷明细!$AB$2:$AB$50000,"重复Bug",缺陷明细!$J$2:$J$50000,"系统测试")</f>
        <v>0</v>
      </c>
      <c r="S24" s="72">
        <f>COUNTIFS(缺陷明细!$A$2:$A$50000,$B$4,缺陷明细!$G$2:$G$50000,$C24,缺陷明细!$J$2:$J$50000,"系统测试",缺陷明细!$K$2:$K$50000,"致命",缺陷明细!$AB$2:$AB$50000,"&lt;&gt;丢弃",缺陷明细!$AB$2:$AB$50000,"&lt;&gt;设计如此",缺陷明细!$AB$2:$AB$50000,"&lt;&gt;重复Bug")+COUNTIFS(缺陷明细!$A$2:$A$50000,$B$4,缺陷明细!$G$2:$G$50000,$C24,缺陷明细!$J$2:$J$50000,"系统测试",缺陷明细!$K$2:$K$50000,"严重",缺陷明细!$AB$2:$AB$50000,"&lt;&gt;丢弃",缺陷明细!$AB$2:$AB$50000,"&lt;&gt;设计如此",缺陷明细!$AB$2:$AB$50000,"&lt;&gt;重复Bug")</f>
        <v>0</v>
      </c>
      <c r="T24" s="73">
        <f>COUNTIFS(缺陷明细!$A$2:$A$50000,$B$4,缺陷明细!$G$2:$G$50000,$C24,缺陷明细!$Q$2:$Q$50000,"已关闭",缺陷明细!$J$2:$J$50000,"系统测试",缺陷明细!$K$2:$K$50000,"致命")+COUNTIFS(缺陷明细!$A$2:$A$50000,$B$4,缺陷明细!$G$2:$G$50000,$C24,缺陷明细!$Q$2:$Q$50000,"已关闭",缺陷明细!$J$2:$J$50000,"系统测试",缺陷明细!$K$2:$K$50000,"严重")</f>
        <v>0</v>
      </c>
      <c r="U24" s="74">
        <f>COUNTIFS(缺陷明细!$A$2:$A$50000,$B$4,缺陷明细!$G$2:$G$50000,$C24,缺陷明细!$J$2:$J$50000,"验收测试",缺陷明细!$AB$2:$AB$50000,"&lt;&gt;丢弃",缺陷明细!$AB$2:$AB$50000,"&lt;&gt;设计如此",缺陷明细!$AB$2:$AB$50000,"&lt;&gt;重复Bug")</f>
        <v>0</v>
      </c>
      <c r="V24" s="75">
        <f>COUNTIFS(缺陷明细!$A$2:$A$50000,$B$4,缺陷明细!$G$2:$G$50000,$C24,缺陷明细!$Q$2:$Q$50000,"已关闭",缺陷明细!$J$2:$J$50000,"验收测试")</f>
        <v>0</v>
      </c>
      <c r="W24" s="75">
        <f>COUNTIFS(缺陷明细!$A$2:$A$50000,$B$4,缺陷明细!$G$2:$G$50000,$C24,缺陷明细!$J$2:$J$50000,"验收测试",缺陷明细!$K$2:$K$50000,"致命",缺陷明细!$AB$2:$AB$50000,"&lt;&gt;丢弃",缺陷明细!$AB$2:$AB$50000,"&lt;&gt;设计如此",缺陷明细!$AB$2:$AB$50000,"&lt;&gt;重复Bug")+COUNTIFS(缺陷明细!$A$2:$A$50000,$B$4,缺陷明细!$G$2:$G$50000,$C24,缺陷明细!$J$2:$J$50000,"验收测试",缺陷明细!$K$2:$K$50000,"严重",缺陷明细!$AB$2:$AB$50000,"&lt;&gt;丢弃",缺陷明细!$AB$2:$AB$50000,"&lt;&gt;设计如此",缺陷明细!$AB$2:$AB$50000,"&lt;&gt;重复Bug")</f>
        <v>0</v>
      </c>
      <c r="X24" s="76">
        <f>COUNTIFS(缺陷明细!$A$2:$A$50000,$B$4,缺陷明细!$G$2:$G$50000,$C24,缺陷明细!$Q$2:$Q$50000,"已关闭",缺陷明细!$J$2:$J$50000,"验收测试",缺陷明细!$K$2:$K$50000,"致命")+COUNTIFS(缺陷明细!$A$2:$A$50000,$B$4,缺陷明细!$G$2:$G$50000,$C24,缺陷明细!$Q$2:$Q$50000,"已关闭",缺陷明细!$J$2:$J$50000,"验收测试",缺陷明细!$K$2:$K$50000,"严重")</f>
        <v>0</v>
      </c>
      <c r="Y24" s="70">
        <f>COUNTIFS(缺陷明细!$A$2:$A$50000,$B$4,缺陷明细!$G$2:$G$50000,$C24,缺陷明细!$J$2:$J$50000,"运维测试",缺陷明细!$AB$2:$AB$50000,"&lt;&gt;丢弃",缺陷明细!$AB$2:$AB$50000,"&lt;&gt;设计如此",缺陷明细!$AB$2:$AB$50000,"&lt;&gt;重复Bug")</f>
        <v>0</v>
      </c>
      <c r="Z24" s="71">
        <f>COUNTIFS(缺陷明细!$A$2:$A$50000,$B$4,缺陷明细!$G$2:$G$50000,$C24,缺陷明细!$Q$2:$Q$50000,"已关闭",缺陷明细!$J$2:$J$50000,"运维测试")</f>
        <v>0</v>
      </c>
      <c r="AA24" s="72">
        <f>COUNTIFS(缺陷明细!$A$2:$A$50000,$B$4,缺陷明细!$G$2:$G$50000,$C24,缺陷明细!$J$2:$J$50000,"运维测试",缺陷明细!$K$2:$K$50000,"致命",缺陷明细!$AB$2:$AB$50000,"&lt;&gt;丢弃",缺陷明细!$AB$2:$AB$50000,"&lt;&gt;设计如此",缺陷明细!$AB$2:$AB$50000,"&lt;&gt;重复Bug")+COUNTIFS(缺陷明细!$A$2:$A$50000,$B$4,缺陷明细!$G$2:$G$50000,$C24,缺陷明细!$J$2:$J$50000,"运维测试",缺陷明细!$K$2:$K$50000,"严重",缺陷明细!$AB$2:$AB$50000,"&lt;&gt;丢弃",缺陷明细!$AB$2:$AB$50000,"&lt;&gt;设计如此",缺陷明细!$AB$2:$AB$50000,"&lt;&gt;重复Bug")</f>
        <v>0</v>
      </c>
      <c r="AB24" s="73">
        <f>COUNTIFS(缺陷明细!$A$2:$A$50000,$B$4,缺陷明细!$G$2:$G$50000,$C24,缺陷明细!$Q$2:$Q$50000,"已关闭",缺陷明细!$J$2:$J$50000,"运维测试",缺陷明细!$K$2:$K$50000,"致命")+COUNTIFS(缺陷明细!$A$2:$A$50000,$B$4,缺陷明细!$G$2:$G$50000,$C24,缺陷明细!$Q$2:$Q$50000,"已关闭",缺陷明细!$J$2:$J$50000,"运维测试",缺陷明细!$K$2:$K$50000,"严重")</f>
        <v>0</v>
      </c>
      <c r="AC24" s="68">
        <f t="shared" si="0"/>
        <v>0</v>
      </c>
      <c r="AD24" s="60">
        <f t="shared" si="0"/>
        <v>0</v>
      </c>
      <c r="AE24" s="60">
        <f t="shared" si="1"/>
        <v>0</v>
      </c>
      <c r="AF24" s="60">
        <f t="shared" si="1"/>
        <v>0</v>
      </c>
      <c r="AG24" s="60">
        <f t="shared" si="2"/>
        <v>0</v>
      </c>
      <c r="AH24" s="60">
        <f t="shared" si="2"/>
        <v>0</v>
      </c>
      <c r="AI24" s="60">
        <f t="shared" si="3"/>
        <v>0</v>
      </c>
      <c r="AJ24" s="61">
        <f t="shared" si="3"/>
        <v>0</v>
      </c>
      <c r="AK24" s="144"/>
    </row>
    <row r="25" spans="1:37">
      <c r="A25">
        <v>21</v>
      </c>
      <c r="B25" s="57"/>
      <c r="C25" s="58"/>
      <c r="D25" s="84"/>
      <c r="E25" s="82"/>
      <c r="F25" s="158"/>
      <c r="G25" s="159"/>
      <c r="H25" s="281">
        <f>COUNTIFS(缺陷明细!$A$2:$A$50000,$B$4,缺陷明细!$G$2:$G$50000,$C25,缺陷明细!$J$2:$J$50000,"评审",缺陷明细!$AB$2:$AB$50000,"&lt;&gt;丢弃",缺陷明细!$AB$2:$AB$50000,"&lt;&gt;设计如此",缺陷明细!$AB$2:$AB$50000,"&lt;&gt;重复Bug")</f>
        <v>0</v>
      </c>
      <c r="I25" s="154">
        <f>COUNTIFS(缺陷明细!$A$2:$A$50000,$B$4,缺陷明细!$G$2:$G$50000,$C25,缺陷明细!$Q$2:$Q$50000,"已关闭",缺陷明细!$J$2:$J$50000,"评审")</f>
        <v>0</v>
      </c>
      <c r="J25" s="154">
        <f>COUNTIFS(缺陷明细!$A$2:$A$50000,$B$4,缺陷明细!$G$2:$G$50000,$C25,缺陷明细!$J$2:$J$50000,"单元测试",缺陷明细!$AB$2:$AB$50000,"&lt;&gt;丢弃",缺陷明细!$AB$2:$AB$50000,"&lt;&gt;设计如此",缺陷明细!$AB$2:$AB$50000,"&lt;&gt;重复Bug")</f>
        <v>0</v>
      </c>
      <c r="K25" s="155">
        <f>COUNTIFS(缺陷明细!$A$2:$A$50000,$B$4,缺陷明细!$G$2:$G$50000,$C25,缺陷明细!$Q$2:$Q$50000,"已关闭",缺陷明细!$J$2:$J$50000,"单元测试")</f>
        <v>0</v>
      </c>
      <c r="L25" s="156"/>
      <c r="M25" s="157"/>
      <c r="N25" s="72">
        <f>COUNTIFS(缺陷明细!$A$2:$A$50000,$B$4,缺陷明细!$G$2:$G$50000,$C25,缺陷明细!$J$2:$J$50000,"系统测试案例评审",缺陷明细!$AB$2:$AB$50000,"&lt;&gt;丢弃",缺陷明细!$AB$2:$AB$50000,"&lt;&gt;设计如此",缺陷明细!$AB$2:$AB$50000,"&lt;&gt;重复Bug")</f>
        <v>0</v>
      </c>
      <c r="O25" s="72">
        <f>COUNTIFS(缺陷明细!$A$2:$A$50000,$B$4,缺陷明细!$G$2:$G$50000,$C25,缺陷明细!$Q$2:$Q$50000,"已关闭",缺陷明细!$J$2:$J$50000,"系统测试案例评审")</f>
        <v>0</v>
      </c>
      <c r="P25" s="72">
        <f>COUNTIFS(缺陷明细!$A$2:$A$50000,$B$4,缺陷明细!$G$2:$G$50000,$C25,缺陷明细!$J$2:$J$50000,"系统测试",缺陷明细!$AB$2:$AB$50000,"&lt;&gt;丢弃",缺陷明细!$AB$2:$AB$50000,"&lt;&gt;设计如此",缺陷明细!$AB$2:$AB$50000,"&lt;&gt;重复Bug")</f>
        <v>0</v>
      </c>
      <c r="Q25" s="72">
        <f>COUNTIFS(缺陷明细!$A$2:$A$50000,$B$4,缺陷明细!$G$2:$G$50000,$C25,缺陷明细!$Q$2:$Q$50000,"已关闭",缺陷明细!$J$2:$J$50000,"系统测试")</f>
        <v>0</v>
      </c>
      <c r="R25" s="296">
        <f>COUNTIFS(缺陷明细!$A$2:$A$50000,$B$4,缺陷明细!$G$2:$G$50000,$C25,缺陷明细!$AB$2:$AB$50000,"丢弃",缺陷明细!$J$2:$J$50000,"系统测试")+COUNTIFS(缺陷明细!$A$2:$A$50000,$B$4,缺陷明细!$G$2:$G$50000,$C25,缺陷明细!$AB$2:$AB$50000,"设计如此",缺陷明细!$J$2:$J$50000,"系统测试")+COUNTIFS(缺陷明细!$A$2:$A$50000,$B$4,缺陷明细!$G$2:$G$50000,$C25,缺陷明细!$AB$2:$AB$50000,"重复Bug",缺陷明细!$J$2:$J$50000,"系统测试")</f>
        <v>0</v>
      </c>
      <c r="S25" s="72">
        <f>COUNTIFS(缺陷明细!$A$2:$A$50000,$B$4,缺陷明细!$G$2:$G$50000,$C25,缺陷明细!$J$2:$J$50000,"系统测试",缺陷明细!$K$2:$K$50000,"致命",缺陷明细!$AB$2:$AB$50000,"&lt;&gt;丢弃",缺陷明细!$AB$2:$AB$50000,"&lt;&gt;设计如此",缺陷明细!$AB$2:$AB$50000,"&lt;&gt;重复Bug")+COUNTIFS(缺陷明细!$A$2:$A$50000,$B$4,缺陷明细!$G$2:$G$50000,$C25,缺陷明细!$J$2:$J$50000,"系统测试",缺陷明细!$K$2:$K$50000,"严重",缺陷明细!$AB$2:$AB$50000,"&lt;&gt;丢弃",缺陷明细!$AB$2:$AB$50000,"&lt;&gt;设计如此",缺陷明细!$AB$2:$AB$50000,"&lt;&gt;重复Bug")</f>
        <v>0</v>
      </c>
      <c r="T25" s="73">
        <f>COUNTIFS(缺陷明细!$A$2:$A$50000,$B$4,缺陷明细!$G$2:$G$50000,$C25,缺陷明细!$Q$2:$Q$50000,"已关闭",缺陷明细!$J$2:$J$50000,"系统测试",缺陷明细!$K$2:$K$50000,"致命")+COUNTIFS(缺陷明细!$A$2:$A$50000,$B$4,缺陷明细!$G$2:$G$50000,$C25,缺陷明细!$Q$2:$Q$50000,"已关闭",缺陷明细!$J$2:$J$50000,"系统测试",缺陷明细!$K$2:$K$50000,"严重")</f>
        <v>0</v>
      </c>
      <c r="U25" s="74">
        <f>COUNTIFS(缺陷明细!$A$2:$A$50000,$B$4,缺陷明细!$G$2:$G$50000,$C25,缺陷明细!$J$2:$J$50000,"验收测试",缺陷明细!$AB$2:$AB$50000,"&lt;&gt;丢弃",缺陷明细!$AB$2:$AB$50000,"&lt;&gt;设计如此",缺陷明细!$AB$2:$AB$50000,"&lt;&gt;重复Bug")</f>
        <v>0</v>
      </c>
      <c r="V25" s="75">
        <f>COUNTIFS(缺陷明细!$A$2:$A$50000,$B$4,缺陷明细!$G$2:$G$50000,$C25,缺陷明细!$Q$2:$Q$50000,"已关闭",缺陷明细!$J$2:$J$50000,"验收测试")</f>
        <v>0</v>
      </c>
      <c r="W25" s="75">
        <f>COUNTIFS(缺陷明细!$A$2:$A$50000,$B$4,缺陷明细!$G$2:$G$50000,$C25,缺陷明细!$J$2:$J$50000,"验收测试",缺陷明细!$K$2:$K$50000,"致命",缺陷明细!$AB$2:$AB$50000,"&lt;&gt;丢弃",缺陷明细!$AB$2:$AB$50000,"&lt;&gt;设计如此",缺陷明细!$AB$2:$AB$50000,"&lt;&gt;重复Bug")+COUNTIFS(缺陷明细!$A$2:$A$50000,$B$4,缺陷明细!$G$2:$G$50000,$C25,缺陷明细!$J$2:$J$50000,"验收测试",缺陷明细!$K$2:$K$50000,"严重",缺陷明细!$AB$2:$AB$50000,"&lt;&gt;丢弃",缺陷明细!$AB$2:$AB$50000,"&lt;&gt;设计如此",缺陷明细!$AB$2:$AB$50000,"&lt;&gt;重复Bug")</f>
        <v>0</v>
      </c>
      <c r="X25" s="76">
        <f>COUNTIFS(缺陷明细!$A$2:$A$50000,$B$4,缺陷明细!$G$2:$G$50000,$C25,缺陷明细!$Q$2:$Q$50000,"已关闭",缺陷明细!$J$2:$J$50000,"验收测试",缺陷明细!$K$2:$K$50000,"致命")+COUNTIFS(缺陷明细!$A$2:$A$50000,$B$4,缺陷明细!$G$2:$G$50000,$C25,缺陷明细!$Q$2:$Q$50000,"已关闭",缺陷明细!$J$2:$J$50000,"验收测试",缺陷明细!$K$2:$K$50000,"严重")</f>
        <v>0</v>
      </c>
      <c r="Y25" s="70">
        <f>COUNTIFS(缺陷明细!$A$2:$A$50000,$B$4,缺陷明细!$G$2:$G$50000,$C25,缺陷明细!$J$2:$J$50000,"运维测试",缺陷明细!$AB$2:$AB$50000,"&lt;&gt;丢弃",缺陷明细!$AB$2:$AB$50000,"&lt;&gt;设计如此",缺陷明细!$AB$2:$AB$50000,"&lt;&gt;重复Bug")</f>
        <v>0</v>
      </c>
      <c r="Z25" s="71">
        <f>COUNTIFS(缺陷明细!$A$2:$A$50000,$B$4,缺陷明细!$G$2:$G$50000,$C25,缺陷明细!$Q$2:$Q$50000,"已关闭",缺陷明细!$J$2:$J$50000,"运维测试")</f>
        <v>0</v>
      </c>
      <c r="AA25" s="72">
        <f>COUNTIFS(缺陷明细!$A$2:$A$50000,$B$4,缺陷明细!$G$2:$G$50000,$C25,缺陷明细!$J$2:$J$50000,"运维测试",缺陷明细!$K$2:$K$50000,"致命",缺陷明细!$AB$2:$AB$50000,"&lt;&gt;丢弃",缺陷明细!$AB$2:$AB$50000,"&lt;&gt;设计如此",缺陷明细!$AB$2:$AB$50000,"&lt;&gt;重复Bug")+COUNTIFS(缺陷明细!$A$2:$A$50000,$B$4,缺陷明细!$G$2:$G$50000,$C25,缺陷明细!$J$2:$J$50000,"运维测试",缺陷明细!$K$2:$K$50000,"严重",缺陷明细!$AB$2:$AB$50000,"&lt;&gt;丢弃",缺陷明细!$AB$2:$AB$50000,"&lt;&gt;设计如此",缺陷明细!$AB$2:$AB$50000,"&lt;&gt;重复Bug")</f>
        <v>0</v>
      </c>
      <c r="AB25" s="73">
        <f>COUNTIFS(缺陷明细!$A$2:$A$50000,$B$4,缺陷明细!$G$2:$G$50000,$C25,缺陷明细!$Q$2:$Q$50000,"已关闭",缺陷明细!$J$2:$J$50000,"运维测试",缺陷明细!$K$2:$K$50000,"致命")+COUNTIFS(缺陷明细!$A$2:$A$50000,$B$4,缺陷明细!$G$2:$G$50000,$C25,缺陷明细!$Q$2:$Q$50000,"已关闭",缺陷明细!$J$2:$J$50000,"运维测试",缺陷明细!$K$2:$K$50000,"严重")</f>
        <v>0</v>
      </c>
      <c r="AC25" s="68">
        <f t="shared" si="0"/>
        <v>0</v>
      </c>
      <c r="AD25" s="60">
        <f t="shared" si="0"/>
        <v>0</v>
      </c>
      <c r="AE25" s="60">
        <f t="shared" si="1"/>
        <v>0</v>
      </c>
      <c r="AF25" s="60">
        <f t="shared" si="1"/>
        <v>0</v>
      </c>
      <c r="AG25" s="60">
        <f t="shared" si="2"/>
        <v>0</v>
      </c>
      <c r="AH25" s="60">
        <f t="shared" si="2"/>
        <v>0</v>
      </c>
      <c r="AI25" s="60">
        <f t="shared" si="3"/>
        <v>0</v>
      </c>
      <c r="AJ25" s="61">
        <f t="shared" si="3"/>
        <v>0</v>
      </c>
      <c r="AK25" s="144"/>
    </row>
    <row r="26" spans="1:37">
      <c r="A26">
        <v>22</v>
      </c>
      <c r="B26" s="57"/>
      <c r="C26" s="58"/>
      <c r="D26" s="84"/>
      <c r="E26" s="82"/>
      <c r="F26" s="158"/>
      <c r="G26" s="159"/>
      <c r="H26" s="281">
        <f>COUNTIFS(缺陷明细!$A$2:$A$50000,$B$4,缺陷明细!$G$2:$G$50000,$C26,缺陷明细!$J$2:$J$50000,"评审",缺陷明细!$AB$2:$AB$50000,"&lt;&gt;丢弃",缺陷明细!$AB$2:$AB$50000,"&lt;&gt;设计如此",缺陷明细!$AB$2:$AB$50000,"&lt;&gt;重复Bug")</f>
        <v>0</v>
      </c>
      <c r="I26" s="154">
        <f>COUNTIFS(缺陷明细!$A$2:$A$50000,$B$4,缺陷明细!$G$2:$G$50000,$C26,缺陷明细!$Q$2:$Q$50000,"已关闭",缺陷明细!$J$2:$J$50000,"评审")</f>
        <v>0</v>
      </c>
      <c r="J26" s="154">
        <f>COUNTIFS(缺陷明细!$A$2:$A$50000,$B$4,缺陷明细!$G$2:$G$50000,$C26,缺陷明细!$J$2:$J$50000,"单元测试",缺陷明细!$AB$2:$AB$50000,"&lt;&gt;丢弃",缺陷明细!$AB$2:$AB$50000,"&lt;&gt;设计如此",缺陷明细!$AB$2:$AB$50000,"&lt;&gt;重复Bug")</f>
        <v>0</v>
      </c>
      <c r="K26" s="155">
        <f>COUNTIFS(缺陷明细!$A$2:$A$50000,$B$4,缺陷明细!$G$2:$G$50000,$C26,缺陷明细!$Q$2:$Q$50000,"已关闭",缺陷明细!$J$2:$J$50000,"单元测试")</f>
        <v>0</v>
      </c>
      <c r="L26" s="156"/>
      <c r="M26" s="157"/>
      <c r="N26" s="72">
        <f>COUNTIFS(缺陷明细!$A$2:$A$50000,$B$4,缺陷明细!$G$2:$G$50000,$C26,缺陷明细!$J$2:$J$50000,"系统测试案例评审",缺陷明细!$AB$2:$AB$50000,"&lt;&gt;丢弃",缺陷明细!$AB$2:$AB$50000,"&lt;&gt;设计如此",缺陷明细!$AB$2:$AB$50000,"&lt;&gt;重复Bug")</f>
        <v>0</v>
      </c>
      <c r="O26" s="72">
        <f>COUNTIFS(缺陷明细!$A$2:$A$50000,$B$4,缺陷明细!$G$2:$G$50000,$C26,缺陷明细!$Q$2:$Q$50000,"已关闭",缺陷明细!$J$2:$J$50000,"系统测试案例评审")</f>
        <v>0</v>
      </c>
      <c r="P26" s="72">
        <f>COUNTIFS(缺陷明细!$A$2:$A$50000,$B$4,缺陷明细!$G$2:$G$50000,$C26,缺陷明细!$J$2:$J$50000,"系统测试",缺陷明细!$AB$2:$AB$50000,"&lt;&gt;丢弃",缺陷明细!$AB$2:$AB$50000,"&lt;&gt;设计如此",缺陷明细!$AB$2:$AB$50000,"&lt;&gt;重复Bug")</f>
        <v>0</v>
      </c>
      <c r="Q26" s="72">
        <f>COUNTIFS(缺陷明细!$A$2:$A$50000,$B$4,缺陷明细!$G$2:$G$50000,$C26,缺陷明细!$Q$2:$Q$50000,"已关闭",缺陷明细!$J$2:$J$50000,"系统测试")</f>
        <v>0</v>
      </c>
      <c r="R26" s="296">
        <f>COUNTIFS(缺陷明细!$A$2:$A$50000,$B$4,缺陷明细!$G$2:$G$50000,$C26,缺陷明细!$AB$2:$AB$50000,"丢弃",缺陷明细!$J$2:$J$50000,"系统测试")+COUNTIFS(缺陷明细!$A$2:$A$50000,$B$4,缺陷明细!$G$2:$G$50000,$C26,缺陷明细!$AB$2:$AB$50000,"设计如此",缺陷明细!$J$2:$J$50000,"系统测试")+COUNTIFS(缺陷明细!$A$2:$A$50000,$B$4,缺陷明细!$G$2:$G$50000,$C26,缺陷明细!$AB$2:$AB$50000,"重复Bug",缺陷明细!$J$2:$J$50000,"系统测试")</f>
        <v>0</v>
      </c>
      <c r="S26" s="72">
        <f>COUNTIFS(缺陷明细!$A$2:$A$50000,$B$4,缺陷明细!$G$2:$G$50000,$C26,缺陷明细!$J$2:$J$50000,"系统测试",缺陷明细!$K$2:$K$50000,"致命",缺陷明细!$AB$2:$AB$50000,"&lt;&gt;丢弃",缺陷明细!$AB$2:$AB$50000,"&lt;&gt;设计如此",缺陷明细!$AB$2:$AB$50000,"&lt;&gt;重复Bug")+COUNTIFS(缺陷明细!$A$2:$A$50000,$B$4,缺陷明细!$G$2:$G$50000,$C26,缺陷明细!$J$2:$J$50000,"系统测试",缺陷明细!$K$2:$K$50000,"严重",缺陷明细!$AB$2:$AB$50000,"&lt;&gt;丢弃",缺陷明细!$AB$2:$AB$50000,"&lt;&gt;设计如此",缺陷明细!$AB$2:$AB$50000,"&lt;&gt;重复Bug")</f>
        <v>0</v>
      </c>
      <c r="T26" s="73">
        <f>COUNTIFS(缺陷明细!$A$2:$A$50000,$B$4,缺陷明细!$G$2:$G$50000,$C26,缺陷明细!$Q$2:$Q$50000,"已关闭",缺陷明细!$J$2:$J$50000,"系统测试",缺陷明细!$K$2:$K$50000,"致命")+COUNTIFS(缺陷明细!$A$2:$A$50000,$B$4,缺陷明细!$G$2:$G$50000,$C26,缺陷明细!$Q$2:$Q$50000,"已关闭",缺陷明细!$J$2:$J$50000,"系统测试",缺陷明细!$K$2:$K$50000,"严重")</f>
        <v>0</v>
      </c>
      <c r="U26" s="74">
        <f>COUNTIFS(缺陷明细!$A$2:$A$50000,$B$4,缺陷明细!$G$2:$G$50000,$C26,缺陷明细!$J$2:$J$50000,"验收测试",缺陷明细!$AB$2:$AB$50000,"&lt;&gt;丢弃",缺陷明细!$AB$2:$AB$50000,"&lt;&gt;设计如此",缺陷明细!$AB$2:$AB$50000,"&lt;&gt;重复Bug")</f>
        <v>0</v>
      </c>
      <c r="V26" s="75">
        <f>COUNTIFS(缺陷明细!$A$2:$A$50000,$B$4,缺陷明细!$G$2:$G$50000,$C26,缺陷明细!$Q$2:$Q$50000,"已关闭",缺陷明细!$J$2:$J$50000,"验收测试")</f>
        <v>0</v>
      </c>
      <c r="W26" s="75">
        <f>COUNTIFS(缺陷明细!$A$2:$A$50000,$B$4,缺陷明细!$G$2:$G$50000,$C26,缺陷明细!$J$2:$J$50000,"验收测试",缺陷明细!$K$2:$K$50000,"致命",缺陷明细!$AB$2:$AB$50000,"&lt;&gt;丢弃",缺陷明细!$AB$2:$AB$50000,"&lt;&gt;设计如此",缺陷明细!$AB$2:$AB$50000,"&lt;&gt;重复Bug")+COUNTIFS(缺陷明细!$A$2:$A$50000,$B$4,缺陷明细!$G$2:$G$50000,$C26,缺陷明细!$J$2:$J$50000,"验收测试",缺陷明细!$K$2:$K$50000,"严重",缺陷明细!$AB$2:$AB$50000,"&lt;&gt;丢弃",缺陷明细!$AB$2:$AB$50000,"&lt;&gt;设计如此",缺陷明细!$AB$2:$AB$50000,"&lt;&gt;重复Bug")</f>
        <v>0</v>
      </c>
      <c r="X26" s="76">
        <f>COUNTIFS(缺陷明细!$A$2:$A$50000,$B$4,缺陷明细!$G$2:$G$50000,$C26,缺陷明细!$Q$2:$Q$50000,"已关闭",缺陷明细!$J$2:$J$50000,"验收测试",缺陷明细!$K$2:$K$50000,"致命")+COUNTIFS(缺陷明细!$A$2:$A$50000,$B$4,缺陷明细!$G$2:$G$50000,$C26,缺陷明细!$Q$2:$Q$50000,"已关闭",缺陷明细!$J$2:$J$50000,"验收测试",缺陷明细!$K$2:$K$50000,"严重")</f>
        <v>0</v>
      </c>
      <c r="Y26" s="70">
        <f>COUNTIFS(缺陷明细!$A$2:$A$50000,$B$4,缺陷明细!$G$2:$G$50000,$C26,缺陷明细!$J$2:$J$50000,"运维测试",缺陷明细!$AB$2:$AB$50000,"&lt;&gt;丢弃",缺陷明细!$AB$2:$AB$50000,"&lt;&gt;设计如此",缺陷明细!$AB$2:$AB$50000,"&lt;&gt;重复Bug")</f>
        <v>0</v>
      </c>
      <c r="Z26" s="71">
        <f>COUNTIFS(缺陷明细!$A$2:$A$50000,$B$4,缺陷明细!$G$2:$G$50000,$C26,缺陷明细!$Q$2:$Q$50000,"已关闭",缺陷明细!$J$2:$J$50000,"运维测试")</f>
        <v>0</v>
      </c>
      <c r="AA26" s="72">
        <f>COUNTIFS(缺陷明细!$A$2:$A$50000,$B$4,缺陷明细!$G$2:$G$50000,$C26,缺陷明细!$J$2:$J$50000,"运维测试",缺陷明细!$K$2:$K$50000,"致命",缺陷明细!$AB$2:$AB$50000,"&lt;&gt;丢弃",缺陷明细!$AB$2:$AB$50000,"&lt;&gt;设计如此",缺陷明细!$AB$2:$AB$50000,"&lt;&gt;重复Bug")+COUNTIFS(缺陷明细!$A$2:$A$50000,$B$4,缺陷明细!$G$2:$G$50000,$C26,缺陷明细!$J$2:$J$50000,"运维测试",缺陷明细!$K$2:$K$50000,"严重",缺陷明细!$AB$2:$AB$50000,"&lt;&gt;丢弃",缺陷明细!$AB$2:$AB$50000,"&lt;&gt;设计如此",缺陷明细!$AB$2:$AB$50000,"&lt;&gt;重复Bug")</f>
        <v>0</v>
      </c>
      <c r="AB26" s="73">
        <f>COUNTIFS(缺陷明细!$A$2:$A$50000,$B$4,缺陷明细!$G$2:$G$50000,$C26,缺陷明细!$Q$2:$Q$50000,"已关闭",缺陷明细!$J$2:$J$50000,"运维测试",缺陷明细!$K$2:$K$50000,"致命")+COUNTIFS(缺陷明细!$A$2:$A$50000,$B$4,缺陷明细!$G$2:$G$50000,$C26,缺陷明细!$Q$2:$Q$50000,"已关闭",缺陷明细!$J$2:$J$50000,"运维测试",缺陷明细!$K$2:$K$50000,"严重")</f>
        <v>0</v>
      </c>
      <c r="AC26" s="68">
        <f t="shared" si="0"/>
        <v>0</v>
      </c>
      <c r="AD26" s="60">
        <f t="shared" si="0"/>
        <v>0</v>
      </c>
      <c r="AE26" s="60">
        <f t="shared" si="1"/>
        <v>0</v>
      </c>
      <c r="AF26" s="60">
        <f t="shared" si="1"/>
        <v>0</v>
      </c>
      <c r="AG26" s="60">
        <f t="shared" si="2"/>
        <v>0</v>
      </c>
      <c r="AH26" s="60">
        <f t="shared" si="2"/>
        <v>0</v>
      </c>
      <c r="AI26" s="60">
        <f t="shared" si="3"/>
        <v>0</v>
      </c>
      <c r="AJ26" s="61">
        <f t="shared" si="3"/>
        <v>0</v>
      </c>
      <c r="AK26" s="144"/>
    </row>
    <row r="27" spans="1:37">
      <c r="A27">
        <v>23</v>
      </c>
      <c r="B27" s="57"/>
      <c r="C27" s="58"/>
      <c r="D27" s="84"/>
      <c r="E27" s="82"/>
      <c r="F27" s="158"/>
      <c r="G27" s="159"/>
      <c r="H27" s="281">
        <f>COUNTIFS(缺陷明细!$A$2:$A$50000,$B$4,缺陷明细!$G$2:$G$50000,$C27,缺陷明细!$J$2:$J$50000,"评审",缺陷明细!$AB$2:$AB$50000,"&lt;&gt;丢弃",缺陷明细!$AB$2:$AB$50000,"&lt;&gt;设计如此",缺陷明细!$AB$2:$AB$50000,"&lt;&gt;重复Bug")</f>
        <v>0</v>
      </c>
      <c r="I27" s="154">
        <f>COUNTIFS(缺陷明细!$A$2:$A$50000,$B$4,缺陷明细!$G$2:$G$50000,$C27,缺陷明细!$Q$2:$Q$50000,"已关闭",缺陷明细!$J$2:$J$50000,"评审")</f>
        <v>0</v>
      </c>
      <c r="J27" s="154">
        <f>COUNTIFS(缺陷明细!$A$2:$A$50000,$B$4,缺陷明细!$G$2:$G$50000,$C27,缺陷明细!$J$2:$J$50000,"单元测试",缺陷明细!$AB$2:$AB$50000,"&lt;&gt;丢弃",缺陷明细!$AB$2:$AB$50000,"&lt;&gt;设计如此",缺陷明细!$AB$2:$AB$50000,"&lt;&gt;重复Bug")</f>
        <v>0</v>
      </c>
      <c r="K27" s="155">
        <f>COUNTIFS(缺陷明细!$A$2:$A$50000,$B$4,缺陷明细!$G$2:$G$50000,$C27,缺陷明细!$Q$2:$Q$50000,"已关闭",缺陷明细!$J$2:$J$50000,"单元测试")</f>
        <v>0</v>
      </c>
      <c r="L27" s="156"/>
      <c r="M27" s="157"/>
      <c r="N27" s="72">
        <f>COUNTIFS(缺陷明细!$A$2:$A$50000,$B$4,缺陷明细!$G$2:$G$50000,$C27,缺陷明细!$J$2:$J$50000,"系统测试案例评审",缺陷明细!$AB$2:$AB$50000,"&lt;&gt;丢弃",缺陷明细!$AB$2:$AB$50000,"&lt;&gt;设计如此",缺陷明细!$AB$2:$AB$50000,"&lt;&gt;重复Bug")</f>
        <v>0</v>
      </c>
      <c r="O27" s="72">
        <f>COUNTIFS(缺陷明细!$A$2:$A$50000,$B$4,缺陷明细!$G$2:$G$50000,$C27,缺陷明细!$Q$2:$Q$50000,"已关闭",缺陷明细!$J$2:$J$50000,"系统测试案例评审")</f>
        <v>0</v>
      </c>
      <c r="P27" s="72">
        <f>COUNTIFS(缺陷明细!$A$2:$A$50000,$B$4,缺陷明细!$G$2:$G$50000,$C27,缺陷明细!$J$2:$J$50000,"系统测试",缺陷明细!$AB$2:$AB$50000,"&lt;&gt;丢弃",缺陷明细!$AB$2:$AB$50000,"&lt;&gt;设计如此",缺陷明细!$AB$2:$AB$50000,"&lt;&gt;重复Bug")</f>
        <v>0</v>
      </c>
      <c r="Q27" s="72">
        <f>COUNTIFS(缺陷明细!$A$2:$A$50000,$B$4,缺陷明细!$G$2:$G$50000,$C27,缺陷明细!$Q$2:$Q$50000,"已关闭",缺陷明细!$J$2:$J$50000,"系统测试")</f>
        <v>0</v>
      </c>
      <c r="R27" s="296">
        <f>COUNTIFS(缺陷明细!$A$2:$A$50000,$B$4,缺陷明细!$G$2:$G$50000,$C27,缺陷明细!$AB$2:$AB$50000,"丢弃",缺陷明细!$J$2:$J$50000,"系统测试")+COUNTIFS(缺陷明细!$A$2:$A$50000,$B$4,缺陷明细!$G$2:$G$50000,$C27,缺陷明细!$AB$2:$AB$50000,"设计如此",缺陷明细!$J$2:$J$50000,"系统测试")+COUNTIFS(缺陷明细!$A$2:$A$50000,$B$4,缺陷明细!$G$2:$G$50000,$C27,缺陷明细!$AB$2:$AB$50000,"重复Bug",缺陷明细!$J$2:$J$50000,"系统测试")</f>
        <v>0</v>
      </c>
      <c r="S27" s="72">
        <f>COUNTIFS(缺陷明细!$A$2:$A$50000,$B$4,缺陷明细!$G$2:$G$50000,$C27,缺陷明细!$J$2:$J$50000,"系统测试",缺陷明细!$K$2:$K$50000,"致命",缺陷明细!$AB$2:$AB$50000,"&lt;&gt;丢弃",缺陷明细!$AB$2:$AB$50000,"&lt;&gt;设计如此",缺陷明细!$AB$2:$AB$50000,"&lt;&gt;重复Bug")+COUNTIFS(缺陷明细!$A$2:$A$50000,$B$4,缺陷明细!$G$2:$G$50000,$C27,缺陷明细!$J$2:$J$50000,"系统测试",缺陷明细!$K$2:$K$50000,"严重",缺陷明细!$AB$2:$AB$50000,"&lt;&gt;丢弃",缺陷明细!$AB$2:$AB$50000,"&lt;&gt;设计如此",缺陷明细!$AB$2:$AB$50000,"&lt;&gt;重复Bug")</f>
        <v>0</v>
      </c>
      <c r="T27" s="73">
        <f>COUNTIFS(缺陷明细!$A$2:$A$50000,$B$4,缺陷明细!$G$2:$G$50000,$C27,缺陷明细!$Q$2:$Q$50000,"已关闭",缺陷明细!$J$2:$J$50000,"系统测试",缺陷明细!$K$2:$K$50000,"致命")+COUNTIFS(缺陷明细!$A$2:$A$50000,$B$4,缺陷明细!$G$2:$G$50000,$C27,缺陷明细!$Q$2:$Q$50000,"已关闭",缺陷明细!$J$2:$J$50000,"系统测试",缺陷明细!$K$2:$K$50000,"严重")</f>
        <v>0</v>
      </c>
      <c r="U27" s="74">
        <f>COUNTIFS(缺陷明细!$A$2:$A$50000,$B$4,缺陷明细!$G$2:$G$50000,$C27,缺陷明细!$J$2:$J$50000,"验收测试",缺陷明细!$AB$2:$AB$50000,"&lt;&gt;丢弃",缺陷明细!$AB$2:$AB$50000,"&lt;&gt;设计如此",缺陷明细!$AB$2:$AB$50000,"&lt;&gt;重复Bug")</f>
        <v>0</v>
      </c>
      <c r="V27" s="75">
        <f>COUNTIFS(缺陷明细!$A$2:$A$50000,$B$4,缺陷明细!$G$2:$G$50000,$C27,缺陷明细!$Q$2:$Q$50000,"已关闭",缺陷明细!$J$2:$J$50000,"验收测试")</f>
        <v>0</v>
      </c>
      <c r="W27" s="75">
        <f>COUNTIFS(缺陷明细!$A$2:$A$50000,$B$4,缺陷明细!$G$2:$G$50000,$C27,缺陷明细!$J$2:$J$50000,"验收测试",缺陷明细!$K$2:$K$50000,"致命",缺陷明细!$AB$2:$AB$50000,"&lt;&gt;丢弃",缺陷明细!$AB$2:$AB$50000,"&lt;&gt;设计如此",缺陷明细!$AB$2:$AB$50000,"&lt;&gt;重复Bug")+COUNTIFS(缺陷明细!$A$2:$A$50000,$B$4,缺陷明细!$G$2:$G$50000,$C27,缺陷明细!$J$2:$J$50000,"验收测试",缺陷明细!$K$2:$K$50000,"严重",缺陷明细!$AB$2:$AB$50000,"&lt;&gt;丢弃",缺陷明细!$AB$2:$AB$50000,"&lt;&gt;设计如此",缺陷明细!$AB$2:$AB$50000,"&lt;&gt;重复Bug")</f>
        <v>0</v>
      </c>
      <c r="X27" s="76">
        <f>COUNTIFS(缺陷明细!$A$2:$A$50000,$B$4,缺陷明细!$G$2:$G$50000,$C27,缺陷明细!$Q$2:$Q$50000,"已关闭",缺陷明细!$J$2:$J$50000,"验收测试",缺陷明细!$K$2:$K$50000,"致命")+COUNTIFS(缺陷明细!$A$2:$A$50000,$B$4,缺陷明细!$G$2:$G$50000,$C27,缺陷明细!$Q$2:$Q$50000,"已关闭",缺陷明细!$J$2:$J$50000,"验收测试",缺陷明细!$K$2:$K$50000,"严重")</f>
        <v>0</v>
      </c>
      <c r="Y27" s="70">
        <f>COUNTIFS(缺陷明细!$A$2:$A$50000,$B$4,缺陷明细!$G$2:$G$50000,$C27,缺陷明细!$J$2:$J$50000,"运维测试",缺陷明细!$AB$2:$AB$50000,"&lt;&gt;丢弃",缺陷明细!$AB$2:$AB$50000,"&lt;&gt;设计如此",缺陷明细!$AB$2:$AB$50000,"&lt;&gt;重复Bug")</f>
        <v>0</v>
      </c>
      <c r="Z27" s="71">
        <f>COUNTIFS(缺陷明细!$A$2:$A$50000,$B$4,缺陷明细!$G$2:$G$50000,$C27,缺陷明细!$Q$2:$Q$50000,"已关闭",缺陷明细!$J$2:$J$50000,"运维测试")</f>
        <v>0</v>
      </c>
      <c r="AA27" s="72">
        <f>COUNTIFS(缺陷明细!$A$2:$A$50000,$B$4,缺陷明细!$G$2:$G$50000,$C27,缺陷明细!$J$2:$J$50000,"运维测试",缺陷明细!$K$2:$K$50000,"致命",缺陷明细!$AB$2:$AB$50000,"&lt;&gt;丢弃",缺陷明细!$AB$2:$AB$50000,"&lt;&gt;设计如此",缺陷明细!$AB$2:$AB$50000,"&lt;&gt;重复Bug")+COUNTIFS(缺陷明细!$A$2:$A$50000,$B$4,缺陷明细!$G$2:$G$50000,$C27,缺陷明细!$J$2:$J$50000,"运维测试",缺陷明细!$K$2:$K$50000,"严重",缺陷明细!$AB$2:$AB$50000,"&lt;&gt;丢弃",缺陷明细!$AB$2:$AB$50000,"&lt;&gt;设计如此",缺陷明细!$AB$2:$AB$50000,"&lt;&gt;重复Bug")</f>
        <v>0</v>
      </c>
      <c r="AB27" s="73">
        <f>COUNTIFS(缺陷明细!$A$2:$A$50000,$B$4,缺陷明细!$G$2:$G$50000,$C27,缺陷明细!$Q$2:$Q$50000,"已关闭",缺陷明细!$J$2:$J$50000,"运维测试",缺陷明细!$K$2:$K$50000,"致命")+COUNTIFS(缺陷明细!$A$2:$A$50000,$B$4,缺陷明细!$G$2:$G$50000,$C27,缺陷明细!$Q$2:$Q$50000,"已关闭",缺陷明细!$J$2:$J$50000,"运维测试",缺陷明细!$K$2:$K$50000,"严重")</f>
        <v>0</v>
      </c>
      <c r="AC27" s="68">
        <f t="shared" si="0"/>
        <v>0</v>
      </c>
      <c r="AD27" s="60">
        <f t="shared" si="0"/>
        <v>0</v>
      </c>
      <c r="AE27" s="60">
        <f t="shared" si="1"/>
        <v>0</v>
      </c>
      <c r="AF27" s="60">
        <f t="shared" si="1"/>
        <v>0</v>
      </c>
      <c r="AG27" s="60">
        <f t="shared" si="2"/>
        <v>0</v>
      </c>
      <c r="AH27" s="60">
        <f t="shared" si="2"/>
        <v>0</v>
      </c>
      <c r="AI27" s="60">
        <f t="shared" si="3"/>
        <v>0</v>
      </c>
      <c r="AJ27" s="61">
        <f t="shared" si="3"/>
        <v>0</v>
      </c>
      <c r="AK27" s="144"/>
    </row>
    <row r="28" spans="1:37">
      <c r="A28">
        <v>24</v>
      </c>
      <c r="B28" s="57"/>
      <c r="C28" s="58"/>
      <c r="D28" s="84"/>
      <c r="E28" s="82"/>
      <c r="F28" s="158"/>
      <c r="G28" s="159"/>
      <c r="H28" s="281">
        <f>COUNTIFS(缺陷明细!$A$2:$A$50000,$B$4,缺陷明细!$G$2:$G$50000,$C28,缺陷明细!$J$2:$J$50000,"评审",缺陷明细!$AB$2:$AB$50000,"&lt;&gt;丢弃",缺陷明细!$AB$2:$AB$50000,"&lt;&gt;设计如此",缺陷明细!$AB$2:$AB$50000,"&lt;&gt;重复Bug")</f>
        <v>0</v>
      </c>
      <c r="I28" s="154">
        <f>COUNTIFS(缺陷明细!$A$2:$A$50000,$B$4,缺陷明细!$G$2:$G$50000,$C28,缺陷明细!$Q$2:$Q$50000,"已关闭",缺陷明细!$J$2:$J$50000,"评审")</f>
        <v>0</v>
      </c>
      <c r="J28" s="154">
        <f>COUNTIFS(缺陷明细!$A$2:$A$50000,$B$4,缺陷明细!$G$2:$G$50000,$C28,缺陷明细!$J$2:$J$50000,"单元测试",缺陷明细!$AB$2:$AB$50000,"&lt;&gt;丢弃",缺陷明细!$AB$2:$AB$50000,"&lt;&gt;设计如此",缺陷明细!$AB$2:$AB$50000,"&lt;&gt;重复Bug")</f>
        <v>0</v>
      </c>
      <c r="K28" s="155">
        <f>COUNTIFS(缺陷明细!$A$2:$A$50000,$B$4,缺陷明细!$G$2:$G$50000,$C28,缺陷明细!$Q$2:$Q$50000,"已关闭",缺陷明细!$J$2:$J$50000,"单元测试")</f>
        <v>0</v>
      </c>
      <c r="L28" s="156"/>
      <c r="M28" s="157"/>
      <c r="N28" s="72">
        <f>COUNTIFS(缺陷明细!$A$2:$A$50000,$B$4,缺陷明细!$G$2:$G$50000,$C28,缺陷明细!$J$2:$J$50000,"系统测试案例评审",缺陷明细!$AB$2:$AB$50000,"&lt;&gt;丢弃",缺陷明细!$AB$2:$AB$50000,"&lt;&gt;设计如此",缺陷明细!$AB$2:$AB$50000,"&lt;&gt;重复Bug")</f>
        <v>0</v>
      </c>
      <c r="O28" s="72">
        <f>COUNTIFS(缺陷明细!$A$2:$A$50000,$B$4,缺陷明细!$G$2:$G$50000,$C28,缺陷明细!$Q$2:$Q$50000,"已关闭",缺陷明细!$J$2:$J$50000,"系统测试案例评审")</f>
        <v>0</v>
      </c>
      <c r="P28" s="72">
        <f>COUNTIFS(缺陷明细!$A$2:$A$50000,$B$4,缺陷明细!$G$2:$G$50000,$C28,缺陷明细!$J$2:$J$50000,"系统测试",缺陷明细!$AB$2:$AB$50000,"&lt;&gt;丢弃",缺陷明细!$AB$2:$AB$50000,"&lt;&gt;设计如此",缺陷明细!$AB$2:$AB$50000,"&lt;&gt;重复Bug")</f>
        <v>0</v>
      </c>
      <c r="Q28" s="72">
        <f>COUNTIFS(缺陷明细!$A$2:$A$50000,$B$4,缺陷明细!$G$2:$G$50000,$C28,缺陷明细!$Q$2:$Q$50000,"已关闭",缺陷明细!$J$2:$J$50000,"系统测试")</f>
        <v>0</v>
      </c>
      <c r="R28" s="296">
        <f>COUNTIFS(缺陷明细!$A$2:$A$50000,$B$4,缺陷明细!$G$2:$G$50000,$C28,缺陷明细!$AB$2:$AB$50000,"丢弃",缺陷明细!$J$2:$J$50000,"系统测试")+COUNTIFS(缺陷明细!$A$2:$A$50000,$B$4,缺陷明细!$G$2:$G$50000,$C28,缺陷明细!$AB$2:$AB$50000,"设计如此",缺陷明细!$J$2:$J$50000,"系统测试")+COUNTIFS(缺陷明细!$A$2:$A$50000,$B$4,缺陷明细!$G$2:$G$50000,$C28,缺陷明细!$AB$2:$AB$50000,"重复Bug",缺陷明细!$J$2:$J$50000,"系统测试")</f>
        <v>0</v>
      </c>
      <c r="S28" s="72">
        <f>COUNTIFS(缺陷明细!$A$2:$A$50000,$B$4,缺陷明细!$G$2:$G$50000,$C28,缺陷明细!$J$2:$J$50000,"系统测试",缺陷明细!$K$2:$K$50000,"致命",缺陷明细!$AB$2:$AB$50000,"&lt;&gt;丢弃",缺陷明细!$AB$2:$AB$50000,"&lt;&gt;设计如此",缺陷明细!$AB$2:$AB$50000,"&lt;&gt;重复Bug")+COUNTIFS(缺陷明细!$A$2:$A$50000,$B$4,缺陷明细!$G$2:$G$50000,$C28,缺陷明细!$J$2:$J$50000,"系统测试",缺陷明细!$K$2:$K$50000,"严重",缺陷明细!$AB$2:$AB$50000,"&lt;&gt;丢弃",缺陷明细!$AB$2:$AB$50000,"&lt;&gt;设计如此",缺陷明细!$AB$2:$AB$50000,"&lt;&gt;重复Bug")</f>
        <v>0</v>
      </c>
      <c r="T28" s="73">
        <f>COUNTIFS(缺陷明细!$A$2:$A$50000,$B$4,缺陷明细!$G$2:$G$50000,$C28,缺陷明细!$Q$2:$Q$50000,"已关闭",缺陷明细!$J$2:$J$50000,"系统测试",缺陷明细!$K$2:$K$50000,"致命")+COUNTIFS(缺陷明细!$A$2:$A$50000,$B$4,缺陷明细!$G$2:$G$50000,$C28,缺陷明细!$Q$2:$Q$50000,"已关闭",缺陷明细!$J$2:$J$50000,"系统测试",缺陷明细!$K$2:$K$50000,"严重")</f>
        <v>0</v>
      </c>
      <c r="U28" s="74">
        <f>COUNTIFS(缺陷明细!$A$2:$A$50000,$B$4,缺陷明细!$G$2:$G$50000,$C28,缺陷明细!$J$2:$J$50000,"验收测试",缺陷明细!$AB$2:$AB$50000,"&lt;&gt;丢弃",缺陷明细!$AB$2:$AB$50000,"&lt;&gt;设计如此",缺陷明细!$AB$2:$AB$50000,"&lt;&gt;重复Bug")</f>
        <v>0</v>
      </c>
      <c r="V28" s="75">
        <f>COUNTIFS(缺陷明细!$A$2:$A$50000,$B$4,缺陷明细!$G$2:$G$50000,$C28,缺陷明细!$Q$2:$Q$50000,"已关闭",缺陷明细!$J$2:$J$50000,"验收测试")</f>
        <v>0</v>
      </c>
      <c r="W28" s="75">
        <f>COUNTIFS(缺陷明细!$A$2:$A$50000,$B$4,缺陷明细!$G$2:$G$50000,$C28,缺陷明细!$J$2:$J$50000,"验收测试",缺陷明细!$K$2:$K$50000,"致命",缺陷明细!$AB$2:$AB$50000,"&lt;&gt;丢弃",缺陷明细!$AB$2:$AB$50000,"&lt;&gt;设计如此",缺陷明细!$AB$2:$AB$50000,"&lt;&gt;重复Bug")+COUNTIFS(缺陷明细!$A$2:$A$50000,$B$4,缺陷明细!$G$2:$G$50000,$C28,缺陷明细!$J$2:$J$50000,"验收测试",缺陷明细!$K$2:$K$50000,"严重",缺陷明细!$AB$2:$AB$50000,"&lt;&gt;丢弃",缺陷明细!$AB$2:$AB$50000,"&lt;&gt;设计如此",缺陷明细!$AB$2:$AB$50000,"&lt;&gt;重复Bug")</f>
        <v>0</v>
      </c>
      <c r="X28" s="76">
        <f>COUNTIFS(缺陷明细!$A$2:$A$50000,$B$4,缺陷明细!$G$2:$G$50000,$C28,缺陷明细!$Q$2:$Q$50000,"已关闭",缺陷明细!$J$2:$J$50000,"验收测试",缺陷明细!$K$2:$K$50000,"致命")+COUNTIFS(缺陷明细!$A$2:$A$50000,$B$4,缺陷明细!$G$2:$G$50000,$C28,缺陷明细!$Q$2:$Q$50000,"已关闭",缺陷明细!$J$2:$J$50000,"验收测试",缺陷明细!$K$2:$K$50000,"严重")</f>
        <v>0</v>
      </c>
      <c r="Y28" s="70">
        <f>COUNTIFS(缺陷明细!$A$2:$A$50000,$B$4,缺陷明细!$G$2:$G$50000,$C28,缺陷明细!$J$2:$J$50000,"运维测试",缺陷明细!$AB$2:$AB$50000,"&lt;&gt;丢弃",缺陷明细!$AB$2:$AB$50000,"&lt;&gt;设计如此",缺陷明细!$AB$2:$AB$50000,"&lt;&gt;重复Bug")</f>
        <v>0</v>
      </c>
      <c r="Z28" s="71">
        <f>COUNTIFS(缺陷明细!$A$2:$A$50000,$B$4,缺陷明细!$G$2:$G$50000,$C28,缺陷明细!$Q$2:$Q$50000,"已关闭",缺陷明细!$J$2:$J$50000,"运维测试")</f>
        <v>0</v>
      </c>
      <c r="AA28" s="72">
        <f>COUNTIFS(缺陷明细!$A$2:$A$50000,$B$4,缺陷明细!$G$2:$G$50000,$C28,缺陷明细!$J$2:$J$50000,"运维测试",缺陷明细!$K$2:$K$50000,"致命",缺陷明细!$AB$2:$AB$50000,"&lt;&gt;丢弃",缺陷明细!$AB$2:$AB$50000,"&lt;&gt;设计如此",缺陷明细!$AB$2:$AB$50000,"&lt;&gt;重复Bug")+COUNTIFS(缺陷明细!$A$2:$A$50000,$B$4,缺陷明细!$G$2:$G$50000,$C28,缺陷明细!$J$2:$J$50000,"运维测试",缺陷明细!$K$2:$K$50000,"严重",缺陷明细!$AB$2:$AB$50000,"&lt;&gt;丢弃",缺陷明细!$AB$2:$AB$50000,"&lt;&gt;设计如此",缺陷明细!$AB$2:$AB$50000,"&lt;&gt;重复Bug")</f>
        <v>0</v>
      </c>
      <c r="AB28" s="73">
        <f>COUNTIFS(缺陷明细!$A$2:$A$50000,$B$4,缺陷明细!$G$2:$G$50000,$C28,缺陷明细!$Q$2:$Q$50000,"已关闭",缺陷明细!$J$2:$J$50000,"运维测试",缺陷明细!$K$2:$K$50000,"致命")+COUNTIFS(缺陷明细!$A$2:$A$50000,$B$4,缺陷明细!$G$2:$G$50000,$C28,缺陷明细!$Q$2:$Q$50000,"已关闭",缺陷明细!$J$2:$J$50000,"运维测试",缺陷明细!$K$2:$K$50000,"严重")</f>
        <v>0</v>
      </c>
      <c r="AC28" s="68">
        <f t="shared" si="0"/>
        <v>0</v>
      </c>
      <c r="AD28" s="60">
        <f t="shared" si="0"/>
        <v>0</v>
      </c>
      <c r="AE28" s="60">
        <f t="shared" si="1"/>
        <v>0</v>
      </c>
      <c r="AF28" s="60">
        <f t="shared" si="1"/>
        <v>0</v>
      </c>
      <c r="AG28" s="60">
        <f t="shared" si="2"/>
        <v>0</v>
      </c>
      <c r="AH28" s="60">
        <f t="shared" si="2"/>
        <v>0</v>
      </c>
      <c r="AI28" s="60">
        <f t="shared" si="3"/>
        <v>0</v>
      </c>
      <c r="AJ28" s="61">
        <f t="shared" si="3"/>
        <v>0</v>
      </c>
      <c r="AK28" s="144"/>
    </row>
    <row r="29" spans="1:37">
      <c r="A29">
        <v>25</v>
      </c>
      <c r="B29" s="57"/>
      <c r="C29" s="58"/>
      <c r="D29" s="84"/>
      <c r="E29" s="82"/>
      <c r="F29" s="158"/>
      <c r="G29" s="159"/>
      <c r="H29" s="281">
        <f>COUNTIFS(缺陷明细!$A$2:$A$50000,$B$4,缺陷明细!$G$2:$G$50000,$C29,缺陷明细!$J$2:$J$50000,"评审",缺陷明细!$AB$2:$AB$50000,"&lt;&gt;丢弃",缺陷明细!$AB$2:$AB$50000,"&lt;&gt;设计如此",缺陷明细!$AB$2:$AB$50000,"&lt;&gt;重复Bug")</f>
        <v>0</v>
      </c>
      <c r="I29" s="154">
        <f>COUNTIFS(缺陷明细!$A$2:$A$50000,$B$4,缺陷明细!$G$2:$G$50000,$C29,缺陷明细!$Q$2:$Q$50000,"已关闭",缺陷明细!$J$2:$J$50000,"评审")</f>
        <v>0</v>
      </c>
      <c r="J29" s="154">
        <f>COUNTIFS(缺陷明细!$A$2:$A$50000,$B$4,缺陷明细!$G$2:$G$50000,$C29,缺陷明细!$J$2:$J$50000,"单元测试",缺陷明细!$AB$2:$AB$50000,"&lt;&gt;丢弃",缺陷明细!$AB$2:$AB$50000,"&lt;&gt;设计如此",缺陷明细!$AB$2:$AB$50000,"&lt;&gt;重复Bug")</f>
        <v>0</v>
      </c>
      <c r="K29" s="155">
        <f>COUNTIFS(缺陷明细!$A$2:$A$50000,$B$4,缺陷明细!$G$2:$G$50000,$C29,缺陷明细!$Q$2:$Q$50000,"已关闭",缺陷明细!$J$2:$J$50000,"单元测试")</f>
        <v>0</v>
      </c>
      <c r="L29" s="156"/>
      <c r="M29" s="157"/>
      <c r="N29" s="72">
        <f>COUNTIFS(缺陷明细!$A$2:$A$50000,$B$4,缺陷明细!$G$2:$G$50000,$C29,缺陷明细!$J$2:$J$50000,"系统测试案例评审",缺陷明细!$AB$2:$AB$50000,"&lt;&gt;丢弃",缺陷明细!$AB$2:$AB$50000,"&lt;&gt;设计如此",缺陷明细!$AB$2:$AB$50000,"&lt;&gt;重复Bug")</f>
        <v>0</v>
      </c>
      <c r="O29" s="72">
        <f>COUNTIFS(缺陷明细!$A$2:$A$50000,$B$4,缺陷明细!$G$2:$G$50000,$C29,缺陷明细!$Q$2:$Q$50000,"已关闭",缺陷明细!$J$2:$J$50000,"系统测试案例评审")</f>
        <v>0</v>
      </c>
      <c r="P29" s="72">
        <f>COUNTIFS(缺陷明细!$A$2:$A$50000,$B$4,缺陷明细!$G$2:$G$50000,$C29,缺陷明细!$J$2:$J$50000,"系统测试",缺陷明细!$AB$2:$AB$50000,"&lt;&gt;丢弃",缺陷明细!$AB$2:$AB$50000,"&lt;&gt;设计如此",缺陷明细!$AB$2:$AB$50000,"&lt;&gt;重复Bug")</f>
        <v>0</v>
      </c>
      <c r="Q29" s="72">
        <f>COUNTIFS(缺陷明细!$A$2:$A$50000,$B$4,缺陷明细!$G$2:$G$50000,$C29,缺陷明细!$Q$2:$Q$50000,"已关闭",缺陷明细!$J$2:$J$50000,"系统测试")</f>
        <v>0</v>
      </c>
      <c r="R29" s="296">
        <f>COUNTIFS(缺陷明细!$A$2:$A$50000,$B$4,缺陷明细!$G$2:$G$50000,$C29,缺陷明细!$AB$2:$AB$50000,"丢弃",缺陷明细!$J$2:$J$50000,"系统测试")+COUNTIFS(缺陷明细!$A$2:$A$50000,$B$4,缺陷明细!$G$2:$G$50000,$C29,缺陷明细!$AB$2:$AB$50000,"设计如此",缺陷明细!$J$2:$J$50000,"系统测试")+COUNTIFS(缺陷明细!$A$2:$A$50000,$B$4,缺陷明细!$G$2:$G$50000,$C29,缺陷明细!$AB$2:$AB$50000,"重复Bug",缺陷明细!$J$2:$J$50000,"系统测试")</f>
        <v>0</v>
      </c>
      <c r="S29" s="72">
        <f>COUNTIFS(缺陷明细!$A$2:$A$50000,$B$4,缺陷明细!$G$2:$G$50000,$C29,缺陷明细!$J$2:$J$50000,"系统测试",缺陷明细!$K$2:$K$50000,"致命",缺陷明细!$AB$2:$AB$50000,"&lt;&gt;丢弃",缺陷明细!$AB$2:$AB$50000,"&lt;&gt;设计如此",缺陷明细!$AB$2:$AB$50000,"&lt;&gt;重复Bug")+COUNTIFS(缺陷明细!$A$2:$A$50000,$B$4,缺陷明细!$G$2:$G$50000,$C29,缺陷明细!$J$2:$J$50000,"系统测试",缺陷明细!$K$2:$K$50000,"严重",缺陷明细!$AB$2:$AB$50000,"&lt;&gt;丢弃",缺陷明细!$AB$2:$AB$50000,"&lt;&gt;设计如此",缺陷明细!$AB$2:$AB$50000,"&lt;&gt;重复Bug")</f>
        <v>0</v>
      </c>
      <c r="T29" s="73">
        <f>COUNTIFS(缺陷明细!$A$2:$A$50000,$B$4,缺陷明细!$G$2:$G$50000,$C29,缺陷明细!$Q$2:$Q$50000,"已关闭",缺陷明细!$J$2:$J$50000,"系统测试",缺陷明细!$K$2:$K$50000,"致命")+COUNTIFS(缺陷明细!$A$2:$A$50000,$B$4,缺陷明细!$G$2:$G$50000,$C29,缺陷明细!$Q$2:$Q$50000,"已关闭",缺陷明细!$J$2:$J$50000,"系统测试",缺陷明细!$K$2:$K$50000,"严重")</f>
        <v>0</v>
      </c>
      <c r="U29" s="74">
        <f>COUNTIFS(缺陷明细!$A$2:$A$50000,$B$4,缺陷明细!$G$2:$G$50000,$C29,缺陷明细!$J$2:$J$50000,"验收测试",缺陷明细!$AB$2:$AB$50000,"&lt;&gt;丢弃",缺陷明细!$AB$2:$AB$50000,"&lt;&gt;设计如此",缺陷明细!$AB$2:$AB$50000,"&lt;&gt;重复Bug")</f>
        <v>0</v>
      </c>
      <c r="V29" s="75">
        <f>COUNTIFS(缺陷明细!$A$2:$A$50000,$B$4,缺陷明细!$G$2:$G$50000,$C29,缺陷明细!$Q$2:$Q$50000,"已关闭",缺陷明细!$J$2:$J$50000,"验收测试")</f>
        <v>0</v>
      </c>
      <c r="W29" s="75">
        <f>COUNTIFS(缺陷明细!$A$2:$A$50000,$B$4,缺陷明细!$G$2:$G$50000,$C29,缺陷明细!$J$2:$J$50000,"验收测试",缺陷明细!$K$2:$K$50000,"致命",缺陷明细!$AB$2:$AB$50000,"&lt;&gt;丢弃",缺陷明细!$AB$2:$AB$50000,"&lt;&gt;设计如此",缺陷明细!$AB$2:$AB$50000,"&lt;&gt;重复Bug")+COUNTIFS(缺陷明细!$A$2:$A$50000,$B$4,缺陷明细!$G$2:$G$50000,$C29,缺陷明细!$J$2:$J$50000,"验收测试",缺陷明细!$K$2:$K$50000,"严重",缺陷明细!$AB$2:$AB$50000,"&lt;&gt;丢弃",缺陷明细!$AB$2:$AB$50000,"&lt;&gt;设计如此",缺陷明细!$AB$2:$AB$50000,"&lt;&gt;重复Bug")</f>
        <v>0</v>
      </c>
      <c r="X29" s="76">
        <f>COUNTIFS(缺陷明细!$A$2:$A$50000,$B$4,缺陷明细!$G$2:$G$50000,$C29,缺陷明细!$Q$2:$Q$50000,"已关闭",缺陷明细!$J$2:$J$50000,"验收测试",缺陷明细!$K$2:$K$50000,"致命")+COUNTIFS(缺陷明细!$A$2:$A$50000,$B$4,缺陷明细!$G$2:$G$50000,$C29,缺陷明细!$Q$2:$Q$50000,"已关闭",缺陷明细!$J$2:$J$50000,"验收测试",缺陷明细!$K$2:$K$50000,"严重")</f>
        <v>0</v>
      </c>
      <c r="Y29" s="70">
        <f>COUNTIFS(缺陷明细!$A$2:$A$50000,$B$4,缺陷明细!$G$2:$G$50000,$C29,缺陷明细!$J$2:$J$50000,"运维测试",缺陷明细!$AB$2:$AB$50000,"&lt;&gt;丢弃",缺陷明细!$AB$2:$AB$50000,"&lt;&gt;设计如此",缺陷明细!$AB$2:$AB$50000,"&lt;&gt;重复Bug")</f>
        <v>0</v>
      </c>
      <c r="Z29" s="71">
        <f>COUNTIFS(缺陷明细!$A$2:$A$50000,$B$4,缺陷明细!$G$2:$G$50000,$C29,缺陷明细!$Q$2:$Q$50000,"已关闭",缺陷明细!$J$2:$J$50000,"运维测试")</f>
        <v>0</v>
      </c>
      <c r="AA29" s="72">
        <f>COUNTIFS(缺陷明细!$A$2:$A$50000,$B$4,缺陷明细!$G$2:$G$50000,$C29,缺陷明细!$J$2:$J$50000,"运维测试",缺陷明细!$K$2:$K$50000,"致命",缺陷明细!$AB$2:$AB$50000,"&lt;&gt;丢弃",缺陷明细!$AB$2:$AB$50000,"&lt;&gt;设计如此",缺陷明细!$AB$2:$AB$50000,"&lt;&gt;重复Bug")+COUNTIFS(缺陷明细!$A$2:$A$50000,$B$4,缺陷明细!$G$2:$G$50000,$C29,缺陷明细!$J$2:$J$50000,"运维测试",缺陷明细!$K$2:$K$50000,"严重",缺陷明细!$AB$2:$AB$50000,"&lt;&gt;丢弃",缺陷明细!$AB$2:$AB$50000,"&lt;&gt;设计如此",缺陷明细!$AB$2:$AB$50000,"&lt;&gt;重复Bug")</f>
        <v>0</v>
      </c>
      <c r="AB29" s="73">
        <f>COUNTIFS(缺陷明细!$A$2:$A$50000,$B$4,缺陷明细!$G$2:$G$50000,$C29,缺陷明细!$Q$2:$Q$50000,"已关闭",缺陷明细!$J$2:$J$50000,"运维测试",缺陷明细!$K$2:$K$50000,"致命")+COUNTIFS(缺陷明细!$A$2:$A$50000,$B$4,缺陷明细!$G$2:$G$50000,$C29,缺陷明细!$Q$2:$Q$50000,"已关闭",缺陷明细!$J$2:$J$50000,"运维测试",缺陷明细!$K$2:$K$50000,"严重")</f>
        <v>0</v>
      </c>
      <c r="AC29" s="68">
        <f t="shared" si="0"/>
        <v>0</v>
      </c>
      <c r="AD29" s="60">
        <f t="shared" si="0"/>
        <v>0</v>
      </c>
      <c r="AE29" s="60">
        <f t="shared" si="1"/>
        <v>0</v>
      </c>
      <c r="AF29" s="60">
        <f t="shared" si="1"/>
        <v>0</v>
      </c>
      <c r="AG29" s="60">
        <f t="shared" si="2"/>
        <v>0</v>
      </c>
      <c r="AH29" s="60">
        <f t="shared" si="2"/>
        <v>0</v>
      </c>
      <c r="AI29" s="60">
        <f t="shared" si="3"/>
        <v>0</v>
      </c>
      <c r="AJ29" s="61">
        <f t="shared" si="3"/>
        <v>0</v>
      </c>
      <c r="AK29" s="144"/>
    </row>
    <row r="30" spans="1:37">
      <c r="A30">
        <v>26</v>
      </c>
      <c r="B30" s="57"/>
      <c r="C30" s="58"/>
      <c r="D30" s="84"/>
      <c r="E30" s="82"/>
      <c r="F30" s="158"/>
      <c r="G30" s="159"/>
      <c r="H30" s="281">
        <f>COUNTIFS(缺陷明细!$A$2:$A$50000,$B$4,缺陷明细!$G$2:$G$50000,$C30,缺陷明细!$J$2:$J$50000,"评审",缺陷明细!$AB$2:$AB$50000,"&lt;&gt;丢弃",缺陷明细!$AB$2:$AB$50000,"&lt;&gt;设计如此",缺陷明细!$AB$2:$AB$50000,"&lt;&gt;重复Bug")</f>
        <v>0</v>
      </c>
      <c r="I30" s="154">
        <f>COUNTIFS(缺陷明细!$A$2:$A$50000,$B$4,缺陷明细!$G$2:$G$50000,$C30,缺陷明细!$Q$2:$Q$50000,"已关闭",缺陷明细!$J$2:$J$50000,"评审")</f>
        <v>0</v>
      </c>
      <c r="J30" s="154">
        <f>COUNTIFS(缺陷明细!$A$2:$A$50000,$B$4,缺陷明细!$G$2:$G$50000,$C30,缺陷明细!$J$2:$J$50000,"单元测试",缺陷明细!$AB$2:$AB$50000,"&lt;&gt;丢弃",缺陷明细!$AB$2:$AB$50000,"&lt;&gt;设计如此",缺陷明细!$AB$2:$AB$50000,"&lt;&gt;重复Bug")</f>
        <v>0</v>
      </c>
      <c r="K30" s="155">
        <f>COUNTIFS(缺陷明细!$A$2:$A$50000,$B$4,缺陷明细!$G$2:$G$50000,$C30,缺陷明细!$Q$2:$Q$50000,"已关闭",缺陷明细!$J$2:$J$50000,"单元测试")</f>
        <v>0</v>
      </c>
      <c r="L30" s="156"/>
      <c r="M30" s="157"/>
      <c r="N30" s="72">
        <f>COUNTIFS(缺陷明细!$A$2:$A$50000,$B$4,缺陷明细!$G$2:$G$50000,$C30,缺陷明细!$J$2:$J$50000,"系统测试案例评审",缺陷明细!$AB$2:$AB$50000,"&lt;&gt;丢弃",缺陷明细!$AB$2:$AB$50000,"&lt;&gt;设计如此",缺陷明细!$AB$2:$AB$50000,"&lt;&gt;重复Bug")</f>
        <v>0</v>
      </c>
      <c r="O30" s="72">
        <f>COUNTIFS(缺陷明细!$A$2:$A$50000,$B$4,缺陷明细!$G$2:$G$50000,$C30,缺陷明细!$Q$2:$Q$50000,"已关闭",缺陷明细!$J$2:$J$50000,"系统测试案例评审")</f>
        <v>0</v>
      </c>
      <c r="P30" s="72">
        <f>COUNTIFS(缺陷明细!$A$2:$A$50000,$B$4,缺陷明细!$G$2:$G$50000,$C30,缺陷明细!$J$2:$J$50000,"系统测试",缺陷明细!$AB$2:$AB$50000,"&lt;&gt;丢弃",缺陷明细!$AB$2:$AB$50000,"&lt;&gt;设计如此",缺陷明细!$AB$2:$AB$50000,"&lt;&gt;重复Bug")</f>
        <v>0</v>
      </c>
      <c r="Q30" s="72">
        <f>COUNTIFS(缺陷明细!$A$2:$A$50000,$B$4,缺陷明细!$G$2:$G$50000,$C30,缺陷明细!$Q$2:$Q$50000,"已关闭",缺陷明细!$J$2:$J$50000,"系统测试")</f>
        <v>0</v>
      </c>
      <c r="R30" s="296">
        <f>COUNTIFS(缺陷明细!$A$2:$A$50000,$B$4,缺陷明细!$G$2:$G$50000,$C30,缺陷明细!$AB$2:$AB$50000,"丢弃",缺陷明细!$J$2:$J$50000,"系统测试")+COUNTIFS(缺陷明细!$A$2:$A$50000,$B$4,缺陷明细!$G$2:$G$50000,$C30,缺陷明细!$AB$2:$AB$50000,"设计如此",缺陷明细!$J$2:$J$50000,"系统测试")+COUNTIFS(缺陷明细!$A$2:$A$50000,$B$4,缺陷明细!$G$2:$G$50000,$C30,缺陷明细!$AB$2:$AB$50000,"重复Bug",缺陷明细!$J$2:$J$50000,"系统测试")</f>
        <v>0</v>
      </c>
      <c r="S30" s="72">
        <f>COUNTIFS(缺陷明细!$A$2:$A$50000,$B$4,缺陷明细!$G$2:$G$50000,$C30,缺陷明细!$J$2:$J$50000,"系统测试",缺陷明细!$K$2:$K$50000,"致命",缺陷明细!$AB$2:$AB$50000,"&lt;&gt;丢弃",缺陷明细!$AB$2:$AB$50000,"&lt;&gt;设计如此",缺陷明细!$AB$2:$AB$50000,"&lt;&gt;重复Bug")+COUNTIFS(缺陷明细!$A$2:$A$50000,$B$4,缺陷明细!$G$2:$G$50000,$C30,缺陷明细!$J$2:$J$50000,"系统测试",缺陷明细!$K$2:$K$50000,"严重",缺陷明细!$AB$2:$AB$50000,"&lt;&gt;丢弃",缺陷明细!$AB$2:$AB$50000,"&lt;&gt;设计如此",缺陷明细!$AB$2:$AB$50000,"&lt;&gt;重复Bug")</f>
        <v>0</v>
      </c>
      <c r="T30" s="73">
        <f>COUNTIFS(缺陷明细!$A$2:$A$50000,$B$4,缺陷明细!$G$2:$G$50000,$C30,缺陷明细!$Q$2:$Q$50000,"已关闭",缺陷明细!$J$2:$J$50000,"系统测试",缺陷明细!$K$2:$K$50000,"致命")+COUNTIFS(缺陷明细!$A$2:$A$50000,$B$4,缺陷明细!$G$2:$G$50000,$C30,缺陷明细!$Q$2:$Q$50000,"已关闭",缺陷明细!$J$2:$J$50000,"系统测试",缺陷明细!$K$2:$K$50000,"严重")</f>
        <v>0</v>
      </c>
      <c r="U30" s="74">
        <f>COUNTIFS(缺陷明细!$A$2:$A$50000,$B$4,缺陷明细!$G$2:$G$50000,$C30,缺陷明细!$J$2:$J$50000,"验收测试",缺陷明细!$AB$2:$AB$50000,"&lt;&gt;丢弃",缺陷明细!$AB$2:$AB$50000,"&lt;&gt;设计如此",缺陷明细!$AB$2:$AB$50000,"&lt;&gt;重复Bug")</f>
        <v>0</v>
      </c>
      <c r="V30" s="75">
        <f>COUNTIFS(缺陷明细!$A$2:$A$50000,$B$4,缺陷明细!$G$2:$G$50000,$C30,缺陷明细!$Q$2:$Q$50000,"已关闭",缺陷明细!$J$2:$J$50000,"验收测试")</f>
        <v>0</v>
      </c>
      <c r="W30" s="75">
        <f>COUNTIFS(缺陷明细!$A$2:$A$50000,$B$4,缺陷明细!$G$2:$G$50000,$C30,缺陷明细!$J$2:$J$50000,"验收测试",缺陷明细!$K$2:$K$50000,"致命",缺陷明细!$AB$2:$AB$50000,"&lt;&gt;丢弃",缺陷明细!$AB$2:$AB$50000,"&lt;&gt;设计如此",缺陷明细!$AB$2:$AB$50000,"&lt;&gt;重复Bug")+COUNTIFS(缺陷明细!$A$2:$A$50000,$B$4,缺陷明细!$G$2:$G$50000,$C30,缺陷明细!$J$2:$J$50000,"验收测试",缺陷明细!$K$2:$K$50000,"严重",缺陷明细!$AB$2:$AB$50000,"&lt;&gt;丢弃",缺陷明细!$AB$2:$AB$50000,"&lt;&gt;设计如此",缺陷明细!$AB$2:$AB$50000,"&lt;&gt;重复Bug")</f>
        <v>0</v>
      </c>
      <c r="X30" s="76">
        <f>COUNTIFS(缺陷明细!$A$2:$A$50000,$B$4,缺陷明细!$G$2:$G$50000,$C30,缺陷明细!$Q$2:$Q$50000,"已关闭",缺陷明细!$J$2:$J$50000,"验收测试",缺陷明细!$K$2:$K$50000,"致命")+COUNTIFS(缺陷明细!$A$2:$A$50000,$B$4,缺陷明细!$G$2:$G$50000,$C30,缺陷明细!$Q$2:$Q$50000,"已关闭",缺陷明细!$J$2:$J$50000,"验收测试",缺陷明细!$K$2:$K$50000,"严重")</f>
        <v>0</v>
      </c>
      <c r="Y30" s="70">
        <f>COUNTIFS(缺陷明细!$A$2:$A$50000,$B$4,缺陷明细!$G$2:$G$50000,$C30,缺陷明细!$J$2:$J$50000,"运维测试",缺陷明细!$AB$2:$AB$50000,"&lt;&gt;丢弃",缺陷明细!$AB$2:$AB$50000,"&lt;&gt;设计如此",缺陷明细!$AB$2:$AB$50000,"&lt;&gt;重复Bug")</f>
        <v>0</v>
      </c>
      <c r="Z30" s="71">
        <f>COUNTIFS(缺陷明细!$A$2:$A$50000,$B$4,缺陷明细!$G$2:$G$50000,$C30,缺陷明细!$Q$2:$Q$50000,"已关闭",缺陷明细!$J$2:$J$50000,"运维测试")</f>
        <v>0</v>
      </c>
      <c r="AA30" s="72">
        <f>COUNTIFS(缺陷明细!$A$2:$A$50000,$B$4,缺陷明细!$G$2:$G$50000,$C30,缺陷明细!$J$2:$J$50000,"运维测试",缺陷明细!$K$2:$K$50000,"致命",缺陷明细!$AB$2:$AB$50000,"&lt;&gt;丢弃",缺陷明细!$AB$2:$AB$50000,"&lt;&gt;设计如此",缺陷明细!$AB$2:$AB$50000,"&lt;&gt;重复Bug")+COUNTIFS(缺陷明细!$A$2:$A$50000,$B$4,缺陷明细!$G$2:$G$50000,$C30,缺陷明细!$J$2:$J$50000,"运维测试",缺陷明细!$K$2:$K$50000,"严重",缺陷明细!$AB$2:$AB$50000,"&lt;&gt;丢弃",缺陷明细!$AB$2:$AB$50000,"&lt;&gt;设计如此",缺陷明细!$AB$2:$AB$50000,"&lt;&gt;重复Bug")</f>
        <v>0</v>
      </c>
      <c r="AB30" s="73">
        <f>COUNTIFS(缺陷明细!$A$2:$A$50000,$B$4,缺陷明细!$G$2:$G$50000,$C30,缺陷明细!$Q$2:$Q$50000,"已关闭",缺陷明细!$J$2:$J$50000,"运维测试",缺陷明细!$K$2:$K$50000,"致命")+COUNTIFS(缺陷明细!$A$2:$A$50000,$B$4,缺陷明细!$G$2:$G$50000,$C30,缺陷明细!$Q$2:$Q$50000,"已关闭",缺陷明细!$J$2:$J$50000,"运维测试",缺陷明细!$K$2:$K$50000,"严重")</f>
        <v>0</v>
      </c>
      <c r="AC30" s="68">
        <f t="shared" si="0"/>
        <v>0</v>
      </c>
      <c r="AD30" s="60">
        <f t="shared" si="0"/>
        <v>0</v>
      </c>
      <c r="AE30" s="60">
        <f t="shared" si="1"/>
        <v>0</v>
      </c>
      <c r="AF30" s="60">
        <f t="shared" si="1"/>
        <v>0</v>
      </c>
      <c r="AG30" s="60">
        <f t="shared" si="2"/>
        <v>0</v>
      </c>
      <c r="AH30" s="60">
        <f t="shared" si="2"/>
        <v>0</v>
      </c>
      <c r="AI30" s="60">
        <f t="shared" si="3"/>
        <v>0</v>
      </c>
      <c r="AJ30" s="61">
        <f t="shared" si="3"/>
        <v>0</v>
      </c>
      <c r="AK30" s="144"/>
    </row>
    <row r="31" spans="1:37">
      <c r="A31">
        <v>27</v>
      </c>
      <c r="B31" s="57"/>
      <c r="C31" s="58"/>
      <c r="D31" s="84"/>
      <c r="E31" s="82"/>
      <c r="F31" s="158"/>
      <c r="G31" s="159"/>
      <c r="H31" s="281">
        <f>COUNTIFS(缺陷明细!$A$2:$A$50000,$B$4,缺陷明细!$G$2:$G$50000,$C31,缺陷明细!$J$2:$J$50000,"评审",缺陷明细!$AB$2:$AB$50000,"&lt;&gt;丢弃",缺陷明细!$AB$2:$AB$50000,"&lt;&gt;设计如此",缺陷明细!$AB$2:$AB$50000,"&lt;&gt;重复Bug")</f>
        <v>0</v>
      </c>
      <c r="I31" s="154">
        <f>COUNTIFS(缺陷明细!$A$2:$A$50000,$B$4,缺陷明细!$G$2:$G$50000,$C31,缺陷明细!$Q$2:$Q$50000,"已关闭",缺陷明细!$J$2:$J$50000,"评审")</f>
        <v>0</v>
      </c>
      <c r="J31" s="154">
        <f>COUNTIFS(缺陷明细!$A$2:$A$50000,$B$4,缺陷明细!$G$2:$G$50000,$C31,缺陷明细!$J$2:$J$50000,"单元测试",缺陷明细!$AB$2:$AB$50000,"&lt;&gt;丢弃",缺陷明细!$AB$2:$AB$50000,"&lt;&gt;设计如此",缺陷明细!$AB$2:$AB$50000,"&lt;&gt;重复Bug")</f>
        <v>0</v>
      </c>
      <c r="K31" s="155">
        <f>COUNTIFS(缺陷明细!$A$2:$A$50000,$B$4,缺陷明细!$G$2:$G$50000,$C31,缺陷明细!$Q$2:$Q$50000,"已关闭",缺陷明细!$J$2:$J$50000,"单元测试")</f>
        <v>0</v>
      </c>
      <c r="L31" s="156"/>
      <c r="M31" s="157"/>
      <c r="N31" s="72">
        <f>COUNTIFS(缺陷明细!$A$2:$A$50000,$B$4,缺陷明细!$G$2:$G$50000,$C31,缺陷明细!$J$2:$J$50000,"系统测试案例评审",缺陷明细!$AB$2:$AB$50000,"&lt;&gt;丢弃",缺陷明细!$AB$2:$AB$50000,"&lt;&gt;设计如此",缺陷明细!$AB$2:$AB$50000,"&lt;&gt;重复Bug")</f>
        <v>0</v>
      </c>
      <c r="O31" s="72">
        <f>COUNTIFS(缺陷明细!$A$2:$A$50000,$B$4,缺陷明细!$G$2:$G$50000,$C31,缺陷明细!$Q$2:$Q$50000,"已关闭",缺陷明细!$J$2:$J$50000,"系统测试案例评审")</f>
        <v>0</v>
      </c>
      <c r="P31" s="72">
        <f>COUNTIFS(缺陷明细!$A$2:$A$50000,$B$4,缺陷明细!$G$2:$G$50000,$C31,缺陷明细!$J$2:$J$50000,"系统测试",缺陷明细!$AB$2:$AB$50000,"&lt;&gt;丢弃",缺陷明细!$AB$2:$AB$50000,"&lt;&gt;设计如此",缺陷明细!$AB$2:$AB$50000,"&lt;&gt;重复Bug")</f>
        <v>0</v>
      </c>
      <c r="Q31" s="72">
        <f>COUNTIFS(缺陷明细!$A$2:$A$50000,$B$4,缺陷明细!$G$2:$G$50000,$C31,缺陷明细!$Q$2:$Q$50000,"已关闭",缺陷明细!$J$2:$J$50000,"系统测试")</f>
        <v>0</v>
      </c>
      <c r="R31" s="296">
        <f>COUNTIFS(缺陷明细!$A$2:$A$50000,$B$4,缺陷明细!$G$2:$G$50000,$C31,缺陷明细!$AB$2:$AB$50000,"丢弃",缺陷明细!$J$2:$J$50000,"系统测试")+COUNTIFS(缺陷明细!$A$2:$A$50000,$B$4,缺陷明细!$G$2:$G$50000,$C31,缺陷明细!$AB$2:$AB$50000,"设计如此",缺陷明细!$J$2:$J$50000,"系统测试")+COUNTIFS(缺陷明细!$A$2:$A$50000,$B$4,缺陷明细!$G$2:$G$50000,$C31,缺陷明细!$AB$2:$AB$50000,"重复Bug",缺陷明细!$J$2:$J$50000,"系统测试")</f>
        <v>0</v>
      </c>
      <c r="S31" s="72">
        <f>COUNTIFS(缺陷明细!$A$2:$A$50000,$B$4,缺陷明细!$G$2:$G$50000,$C31,缺陷明细!$J$2:$J$50000,"系统测试",缺陷明细!$K$2:$K$50000,"致命",缺陷明细!$AB$2:$AB$50000,"&lt;&gt;丢弃",缺陷明细!$AB$2:$AB$50000,"&lt;&gt;设计如此",缺陷明细!$AB$2:$AB$50000,"&lt;&gt;重复Bug")+COUNTIFS(缺陷明细!$A$2:$A$50000,$B$4,缺陷明细!$G$2:$G$50000,$C31,缺陷明细!$J$2:$J$50000,"系统测试",缺陷明细!$K$2:$K$50000,"严重",缺陷明细!$AB$2:$AB$50000,"&lt;&gt;丢弃",缺陷明细!$AB$2:$AB$50000,"&lt;&gt;设计如此",缺陷明细!$AB$2:$AB$50000,"&lt;&gt;重复Bug")</f>
        <v>0</v>
      </c>
      <c r="T31" s="73">
        <f>COUNTIFS(缺陷明细!$A$2:$A$50000,$B$4,缺陷明细!$G$2:$G$50000,$C31,缺陷明细!$Q$2:$Q$50000,"已关闭",缺陷明细!$J$2:$J$50000,"系统测试",缺陷明细!$K$2:$K$50000,"致命")+COUNTIFS(缺陷明细!$A$2:$A$50000,$B$4,缺陷明细!$G$2:$G$50000,$C31,缺陷明细!$Q$2:$Q$50000,"已关闭",缺陷明细!$J$2:$J$50000,"系统测试",缺陷明细!$K$2:$K$50000,"严重")</f>
        <v>0</v>
      </c>
      <c r="U31" s="74">
        <f>COUNTIFS(缺陷明细!$A$2:$A$50000,$B$4,缺陷明细!$G$2:$G$50000,$C31,缺陷明细!$J$2:$J$50000,"验收测试",缺陷明细!$AB$2:$AB$50000,"&lt;&gt;丢弃",缺陷明细!$AB$2:$AB$50000,"&lt;&gt;设计如此",缺陷明细!$AB$2:$AB$50000,"&lt;&gt;重复Bug")</f>
        <v>0</v>
      </c>
      <c r="V31" s="75">
        <f>COUNTIFS(缺陷明细!$A$2:$A$50000,$B$4,缺陷明细!$G$2:$G$50000,$C31,缺陷明细!$Q$2:$Q$50000,"已关闭",缺陷明细!$J$2:$J$50000,"验收测试")</f>
        <v>0</v>
      </c>
      <c r="W31" s="75">
        <f>COUNTIFS(缺陷明细!$A$2:$A$50000,$B$4,缺陷明细!$G$2:$G$50000,$C31,缺陷明细!$J$2:$J$50000,"验收测试",缺陷明细!$K$2:$K$50000,"致命",缺陷明细!$AB$2:$AB$50000,"&lt;&gt;丢弃",缺陷明细!$AB$2:$AB$50000,"&lt;&gt;设计如此",缺陷明细!$AB$2:$AB$50000,"&lt;&gt;重复Bug")+COUNTIFS(缺陷明细!$A$2:$A$50000,$B$4,缺陷明细!$G$2:$G$50000,$C31,缺陷明细!$J$2:$J$50000,"验收测试",缺陷明细!$K$2:$K$50000,"严重",缺陷明细!$AB$2:$AB$50000,"&lt;&gt;丢弃",缺陷明细!$AB$2:$AB$50000,"&lt;&gt;设计如此",缺陷明细!$AB$2:$AB$50000,"&lt;&gt;重复Bug")</f>
        <v>0</v>
      </c>
      <c r="X31" s="76">
        <f>COUNTIFS(缺陷明细!$A$2:$A$50000,$B$4,缺陷明细!$G$2:$G$50000,$C31,缺陷明细!$Q$2:$Q$50000,"已关闭",缺陷明细!$J$2:$J$50000,"验收测试",缺陷明细!$K$2:$K$50000,"致命")+COUNTIFS(缺陷明细!$A$2:$A$50000,$B$4,缺陷明细!$G$2:$G$50000,$C31,缺陷明细!$Q$2:$Q$50000,"已关闭",缺陷明细!$J$2:$J$50000,"验收测试",缺陷明细!$K$2:$K$50000,"严重")</f>
        <v>0</v>
      </c>
      <c r="Y31" s="70">
        <f>COUNTIFS(缺陷明细!$A$2:$A$50000,$B$4,缺陷明细!$G$2:$G$50000,$C31,缺陷明细!$J$2:$J$50000,"运维测试",缺陷明细!$AB$2:$AB$50000,"&lt;&gt;丢弃",缺陷明细!$AB$2:$AB$50000,"&lt;&gt;设计如此",缺陷明细!$AB$2:$AB$50000,"&lt;&gt;重复Bug")</f>
        <v>0</v>
      </c>
      <c r="Z31" s="71">
        <f>COUNTIFS(缺陷明细!$A$2:$A$50000,$B$4,缺陷明细!$G$2:$G$50000,$C31,缺陷明细!$Q$2:$Q$50000,"已关闭",缺陷明细!$J$2:$J$50000,"运维测试")</f>
        <v>0</v>
      </c>
      <c r="AA31" s="72">
        <f>COUNTIFS(缺陷明细!$A$2:$A$50000,$B$4,缺陷明细!$G$2:$G$50000,$C31,缺陷明细!$J$2:$J$50000,"运维测试",缺陷明细!$K$2:$K$50000,"致命",缺陷明细!$AB$2:$AB$50000,"&lt;&gt;丢弃",缺陷明细!$AB$2:$AB$50000,"&lt;&gt;设计如此",缺陷明细!$AB$2:$AB$50000,"&lt;&gt;重复Bug")+COUNTIFS(缺陷明细!$A$2:$A$50000,$B$4,缺陷明细!$G$2:$G$50000,$C31,缺陷明细!$J$2:$J$50000,"运维测试",缺陷明细!$K$2:$K$50000,"严重",缺陷明细!$AB$2:$AB$50000,"&lt;&gt;丢弃",缺陷明细!$AB$2:$AB$50000,"&lt;&gt;设计如此",缺陷明细!$AB$2:$AB$50000,"&lt;&gt;重复Bug")</f>
        <v>0</v>
      </c>
      <c r="AB31" s="73">
        <f>COUNTIFS(缺陷明细!$A$2:$A$50000,$B$4,缺陷明细!$G$2:$G$50000,$C31,缺陷明细!$Q$2:$Q$50000,"已关闭",缺陷明细!$J$2:$J$50000,"运维测试",缺陷明细!$K$2:$K$50000,"致命")+COUNTIFS(缺陷明细!$A$2:$A$50000,$B$4,缺陷明细!$G$2:$G$50000,$C31,缺陷明细!$Q$2:$Q$50000,"已关闭",缺陷明细!$J$2:$J$50000,"运维测试",缺陷明细!$K$2:$K$50000,"严重")</f>
        <v>0</v>
      </c>
      <c r="AC31" s="68">
        <f t="shared" si="0"/>
        <v>0</v>
      </c>
      <c r="AD31" s="60">
        <f t="shared" si="0"/>
        <v>0</v>
      </c>
      <c r="AE31" s="60">
        <f t="shared" si="1"/>
        <v>0</v>
      </c>
      <c r="AF31" s="60">
        <f t="shared" si="1"/>
        <v>0</v>
      </c>
      <c r="AG31" s="60">
        <f t="shared" si="2"/>
        <v>0</v>
      </c>
      <c r="AH31" s="60">
        <f t="shared" si="2"/>
        <v>0</v>
      </c>
      <c r="AI31" s="60">
        <f t="shared" si="3"/>
        <v>0</v>
      </c>
      <c r="AJ31" s="61">
        <f t="shared" si="3"/>
        <v>0</v>
      </c>
      <c r="AK31" s="144"/>
    </row>
    <row r="32" spans="1:37">
      <c r="A32">
        <v>28</v>
      </c>
      <c r="B32" s="57"/>
      <c r="C32" s="58"/>
      <c r="D32" s="84"/>
      <c r="E32" s="82"/>
      <c r="F32" s="158"/>
      <c r="G32" s="159"/>
      <c r="H32" s="281">
        <f>COUNTIFS(缺陷明细!$A$2:$A$50000,$B$4,缺陷明细!$G$2:$G$50000,$C32,缺陷明细!$J$2:$J$50000,"评审",缺陷明细!$AB$2:$AB$50000,"&lt;&gt;丢弃",缺陷明细!$AB$2:$AB$50000,"&lt;&gt;设计如此",缺陷明细!$AB$2:$AB$50000,"&lt;&gt;重复Bug")</f>
        <v>0</v>
      </c>
      <c r="I32" s="154">
        <f>COUNTIFS(缺陷明细!$A$2:$A$50000,$B$4,缺陷明细!$G$2:$G$50000,$C32,缺陷明细!$Q$2:$Q$50000,"已关闭",缺陷明细!$J$2:$J$50000,"评审")</f>
        <v>0</v>
      </c>
      <c r="J32" s="154">
        <f>COUNTIFS(缺陷明细!$A$2:$A$50000,$B$4,缺陷明细!$G$2:$G$50000,$C32,缺陷明细!$J$2:$J$50000,"单元测试",缺陷明细!$AB$2:$AB$50000,"&lt;&gt;丢弃",缺陷明细!$AB$2:$AB$50000,"&lt;&gt;设计如此",缺陷明细!$AB$2:$AB$50000,"&lt;&gt;重复Bug")</f>
        <v>0</v>
      </c>
      <c r="K32" s="155">
        <f>COUNTIFS(缺陷明细!$A$2:$A$50000,$B$4,缺陷明细!$G$2:$G$50000,$C32,缺陷明细!$Q$2:$Q$50000,"已关闭",缺陷明细!$J$2:$J$50000,"单元测试")</f>
        <v>0</v>
      </c>
      <c r="L32" s="156"/>
      <c r="M32" s="157"/>
      <c r="N32" s="72">
        <f>COUNTIFS(缺陷明细!$A$2:$A$50000,$B$4,缺陷明细!$G$2:$G$50000,$C32,缺陷明细!$J$2:$J$50000,"系统测试案例评审",缺陷明细!$AB$2:$AB$50000,"&lt;&gt;丢弃",缺陷明细!$AB$2:$AB$50000,"&lt;&gt;设计如此",缺陷明细!$AB$2:$AB$50000,"&lt;&gt;重复Bug")</f>
        <v>0</v>
      </c>
      <c r="O32" s="72">
        <f>COUNTIFS(缺陷明细!$A$2:$A$50000,$B$4,缺陷明细!$G$2:$G$50000,$C32,缺陷明细!$Q$2:$Q$50000,"已关闭",缺陷明细!$J$2:$J$50000,"系统测试案例评审")</f>
        <v>0</v>
      </c>
      <c r="P32" s="72">
        <f>COUNTIFS(缺陷明细!$A$2:$A$50000,$B$4,缺陷明细!$G$2:$G$50000,$C32,缺陷明细!$J$2:$J$50000,"系统测试",缺陷明细!$AB$2:$AB$50000,"&lt;&gt;丢弃",缺陷明细!$AB$2:$AB$50000,"&lt;&gt;设计如此",缺陷明细!$AB$2:$AB$50000,"&lt;&gt;重复Bug")</f>
        <v>0</v>
      </c>
      <c r="Q32" s="72">
        <f>COUNTIFS(缺陷明细!$A$2:$A$50000,$B$4,缺陷明细!$G$2:$G$50000,$C32,缺陷明细!$Q$2:$Q$50000,"已关闭",缺陷明细!$J$2:$J$50000,"系统测试")</f>
        <v>0</v>
      </c>
      <c r="R32" s="296">
        <f>COUNTIFS(缺陷明细!$A$2:$A$50000,$B$4,缺陷明细!$G$2:$G$50000,$C32,缺陷明细!$AB$2:$AB$50000,"丢弃",缺陷明细!$J$2:$J$50000,"系统测试")+COUNTIFS(缺陷明细!$A$2:$A$50000,$B$4,缺陷明细!$G$2:$G$50000,$C32,缺陷明细!$AB$2:$AB$50000,"设计如此",缺陷明细!$J$2:$J$50000,"系统测试")+COUNTIFS(缺陷明细!$A$2:$A$50000,$B$4,缺陷明细!$G$2:$G$50000,$C32,缺陷明细!$AB$2:$AB$50000,"重复Bug",缺陷明细!$J$2:$J$50000,"系统测试")</f>
        <v>0</v>
      </c>
      <c r="S32" s="72">
        <f>COUNTIFS(缺陷明细!$A$2:$A$50000,$B$4,缺陷明细!$G$2:$G$50000,$C32,缺陷明细!$J$2:$J$50000,"系统测试",缺陷明细!$K$2:$K$50000,"致命",缺陷明细!$AB$2:$AB$50000,"&lt;&gt;丢弃",缺陷明细!$AB$2:$AB$50000,"&lt;&gt;设计如此",缺陷明细!$AB$2:$AB$50000,"&lt;&gt;重复Bug")+COUNTIFS(缺陷明细!$A$2:$A$50000,$B$4,缺陷明细!$G$2:$G$50000,$C32,缺陷明细!$J$2:$J$50000,"系统测试",缺陷明细!$K$2:$K$50000,"严重",缺陷明细!$AB$2:$AB$50000,"&lt;&gt;丢弃",缺陷明细!$AB$2:$AB$50000,"&lt;&gt;设计如此",缺陷明细!$AB$2:$AB$50000,"&lt;&gt;重复Bug")</f>
        <v>0</v>
      </c>
      <c r="T32" s="73">
        <f>COUNTIFS(缺陷明细!$A$2:$A$50000,$B$4,缺陷明细!$G$2:$G$50000,$C32,缺陷明细!$Q$2:$Q$50000,"已关闭",缺陷明细!$J$2:$J$50000,"系统测试",缺陷明细!$K$2:$K$50000,"致命")+COUNTIFS(缺陷明细!$A$2:$A$50000,$B$4,缺陷明细!$G$2:$G$50000,$C32,缺陷明细!$Q$2:$Q$50000,"已关闭",缺陷明细!$J$2:$J$50000,"系统测试",缺陷明细!$K$2:$K$50000,"严重")</f>
        <v>0</v>
      </c>
      <c r="U32" s="74">
        <f>COUNTIFS(缺陷明细!$A$2:$A$50000,$B$4,缺陷明细!$G$2:$G$50000,$C32,缺陷明细!$J$2:$J$50000,"验收测试",缺陷明细!$AB$2:$AB$50000,"&lt;&gt;丢弃",缺陷明细!$AB$2:$AB$50000,"&lt;&gt;设计如此",缺陷明细!$AB$2:$AB$50000,"&lt;&gt;重复Bug")</f>
        <v>0</v>
      </c>
      <c r="V32" s="75">
        <f>COUNTIFS(缺陷明细!$A$2:$A$50000,$B$4,缺陷明细!$G$2:$G$50000,$C32,缺陷明细!$Q$2:$Q$50000,"已关闭",缺陷明细!$J$2:$J$50000,"验收测试")</f>
        <v>0</v>
      </c>
      <c r="W32" s="75">
        <f>COUNTIFS(缺陷明细!$A$2:$A$50000,$B$4,缺陷明细!$G$2:$G$50000,$C32,缺陷明细!$J$2:$J$50000,"验收测试",缺陷明细!$K$2:$K$50000,"致命",缺陷明细!$AB$2:$AB$50000,"&lt;&gt;丢弃",缺陷明细!$AB$2:$AB$50000,"&lt;&gt;设计如此",缺陷明细!$AB$2:$AB$50000,"&lt;&gt;重复Bug")+COUNTIFS(缺陷明细!$A$2:$A$50000,$B$4,缺陷明细!$G$2:$G$50000,$C32,缺陷明细!$J$2:$J$50000,"验收测试",缺陷明细!$K$2:$K$50000,"严重",缺陷明细!$AB$2:$AB$50000,"&lt;&gt;丢弃",缺陷明细!$AB$2:$AB$50000,"&lt;&gt;设计如此",缺陷明细!$AB$2:$AB$50000,"&lt;&gt;重复Bug")</f>
        <v>0</v>
      </c>
      <c r="X32" s="76">
        <f>COUNTIFS(缺陷明细!$A$2:$A$50000,$B$4,缺陷明细!$G$2:$G$50000,$C32,缺陷明细!$Q$2:$Q$50000,"已关闭",缺陷明细!$J$2:$J$50000,"验收测试",缺陷明细!$K$2:$K$50000,"致命")+COUNTIFS(缺陷明细!$A$2:$A$50000,$B$4,缺陷明细!$G$2:$G$50000,$C32,缺陷明细!$Q$2:$Q$50000,"已关闭",缺陷明细!$J$2:$J$50000,"验收测试",缺陷明细!$K$2:$K$50000,"严重")</f>
        <v>0</v>
      </c>
      <c r="Y32" s="70">
        <f>COUNTIFS(缺陷明细!$A$2:$A$50000,$B$4,缺陷明细!$G$2:$G$50000,$C32,缺陷明细!$J$2:$J$50000,"运维测试",缺陷明细!$AB$2:$AB$50000,"&lt;&gt;丢弃",缺陷明细!$AB$2:$AB$50000,"&lt;&gt;设计如此",缺陷明细!$AB$2:$AB$50000,"&lt;&gt;重复Bug")</f>
        <v>0</v>
      </c>
      <c r="Z32" s="71">
        <f>COUNTIFS(缺陷明细!$A$2:$A$50000,$B$4,缺陷明细!$G$2:$G$50000,$C32,缺陷明细!$Q$2:$Q$50000,"已关闭",缺陷明细!$J$2:$J$50000,"运维测试")</f>
        <v>0</v>
      </c>
      <c r="AA32" s="72">
        <f>COUNTIFS(缺陷明细!$A$2:$A$50000,$B$4,缺陷明细!$G$2:$G$50000,$C32,缺陷明细!$J$2:$J$50000,"运维测试",缺陷明细!$K$2:$K$50000,"致命",缺陷明细!$AB$2:$AB$50000,"&lt;&gt;丢弃",缺陷明细!$AB$2:$AB$50000,"&lt;&gt;设计如此",缺陷明细!$AB$2:$AB$50000,"&lt;&gt;重复Bug")+COUNTIFS(缺陷明细!$A$2:$A$50000,$B$4,缺陷明细!$G$2:$G$50000,$C32,缺陷明细!$J$2:$J$50000,"运维测试",缺陷明细!$K$2:$K$50000,"严重",缺陷明细!$AB$2:$AB$50000,"&lt;&gt;丢弃",缺陷明细!$AB$2:$AB$50000,"&lt;&gt;设计如此",缺陷明细!$AB$2:$AB$50000,"&lt;&gt;重复Bug")</f>
        <v>0</v>
      </c>
      <c r="AB32" s="73">
        <f>COUNTIFS(缺陷明细!$A$2:$A$50000,$B$4,缺陷明细!$G$2:$G$50000,$C32,缺陷明细!$Q$2:$Q$50000,"已关闭",缺陷明细!$J$2:$J$50000,"运维测试",缺陷明细!$K$2:$K$50000,"致命")+COUNTIFS(缺陷明细!$A$2:$A$50000,$B$4,缺陷明细!$G$2:$G$50000,$C32,缺陷明细!$Q$2:$Q$50000,"已关闭",缺陷明细!$J$2:$J$50000,"运维测试",缺陷明细!$K$2:$K$50000,"严重")</f>
        <v>0</v>
      </c>
      <c r="AC32" s="68">
        <f t="shared" si="0"/>
        <v>0</v>
      </c>
      <c r="AD32" s="60">
        <f t="shared" si="0"/>
        <v>0</v>
      </c>
      <c r="AE32" s="60">
        <f t="shared" si="1"/>
        <v>0</v>
      </c>
      <c r="AF32" s="60">
        <f t="shared" si="1"/>
        <v>0</v>
      </c>
      <c r="AG32" s="60">
        <f t="shared" si="2"/>
        <v>0</v>
      </c>
      <c r="AH32" s="60">
        <f t="shared" si="2"/>
        <v>0</v>
      </c>
      <c r="AI32" s="60">
        <f t="shared" si="3"/>
        <v>0</v>
      </c>
      <c r="AJ32" s="61">
        <f t="shared" si="3"/>
        <v>0</v>
      </c>
      <c r="AK32" s="144"/>
    </row>
    <row r="33" spans="1:37">
      <c r="A33">
        <v>29</v>
      </c>
      <c r="B33" s="57"/>
      <c r="C33" s="58"/>
      <c r="D33" s="84"/>
      <c r="E33" s="82"/>
      <c r="F33" s="158"/>
      <c r="G33" s="159"/>
      <c r="H33" s="281">
        <f>COUNTIFS(缺陷明细!$A$2:$A$50000,$B$4,缺陷明细!$G$2:$G$50000,$C33,缺陷明细!$J$2:$J$50000,"评审",缺陷明细!$AB$2:$AB$50000,"&lt;&gt;丢弃",缺陷明细!$AB$2:$AB$50000,"&lt;&gt;设计如此",缺陷明细!$AB$2:$AB$50000,"&lt;&gt;重复Bug")</f>
        <v>0</v>
      </c>
      <c r="I33" s="154">
        <f>COUNTIFS(缺陷明细!$A$2:$A$50000,$B$4,缺陷明细!$G$2:$G$50000,$C33,缺陷明细!$Q$2:$Q$50000,"已关闭",缺陷明细!$J$2:$J$50000,"评审")</f>
        <v>0</v>
      </c>
      <c r="J33" s="154">
        <f>COUNTIFS(缺陷明细!$A$2:$A$50000,$B$4,缺陷明细!$G$2:$G$50000,$C33,缺陷明细!$J$2:$J$50000,"单元测试",缺陷明细!$AB$2:$AB$50000,"&lt;&gt;丢弃",缺陷明细!$AB$2:$AB$50000,"&lt;&gt;设计如此",缺陷明细!$AB$2:$AB$50000,"&lt;&gt;重复Bug")</f>
        <v>0</v>
      </c>
      <c r="K33" s="155">
        <f>COUNTIFS(缺陷明细!$A$2:$A$50000,$B$4,缺陷明细!$G$2:$G$50000,$C33,缺陷明细!$Q$2:$Q$50000,"已关闭",缺陷明细!$J$2:$J$50000,"单元测试")</f>
        <v>0</v>
      </c>
      <c r="L33" s="156"/>
      <c r="M33" s="157"/>
      <c r="N33" s="72">
        <f>COUNTIFS(缺陷明细!$A$2:$A$50000,$B$4,缺陷明细!$G$2:$G$50000,$C33,缺陷明细!$J$2:$J$50000,"系统测试案例评审",缺陷明细!$AB$2:$AB$50000,"&lt;&gt;丢弃",缺陷明细!$AB$2:$AB$50000,"&lt;&gt;设计如此",缺陷明细!$AB$2:$AB$50000,"&lt;&gt;重复Bug")</f>
        <v>0</v>
      </c>
      <c r="O33" s="72">
        <f>COUNTIFS(缺陷明细!$A$2:$A$50000,$B$4,缺陷明细!$G$2:$G$50000,$C33,缺陷明细!$Q$2:$Q$50000,"已关闭",缺陷明细!$J$2:$J$50000,"系统测试案例评审")</f>
        <v>0</v>
      </c>
      <c r="P33" s="72">
        <f>COUNTIFS(缺陷明细!$A$2:$A$50000,$B$4,缺陷明细!$G$2:$G$50000,$C33,缺陷明细!$J$2:$J$50000,"系统测试",缺陷明细!$AB$2:$AB$50000,"&lt;&gt;丢弃",缺陷明细!$AB$2:$AB$50000,"&lt;&gt;设计如此",缺陷明细!$AB$2:$AB$50000,"&lt;&gt;重复Bug")</f>
        <v>0</v>
      </c>
      <c r="Q33" s="72">
        <f>COUNTIFS(缺陷明细!$A$2:$A$50000,$B$4,缺陷明细!$G$2:$G$50000,$C33,缺陷明细!$Q$2:$Q$50000,"已关闭",缺陷明细!$J$2:$J$50000,"系统测试")</f>
        <v>0</v>
      </c>
      <c r="R33" s="296">
        <f>COUNTIFS(缺陷明细!$A$2:$A$50000,$B$4,缺陷明细!$G$2:$G$50000,$C33,缺陷明细!$AB$2:$AB$50000,"丢弃",缺陷明细!$J$2:$J$50000,"系统测试")+COUNTIFS(缺陷明细!$A$2:$A$50000,$B$4,缺陷明细!$G$2:$G$50000,$C33,缺陷明细!$AB$2:$AB$50000,"设计如此",缺陷明细!$J$2:$J$50000,"系统测试")+COUNTIFS(缺陷明细!$A$2:$A$50000,$B$4,缺陷明细!$G$2:$G$50000,$C33,缺陷明细!$AB$2:$AB$50000,"重复Bug",缺陷明细!$J$2:$J$50000,"系统测试")</f>
        <v>0</v>
      </c>
      <c r="S33" s="72">
        <f>COUNTIFS(缺陷明细!$A$2:$A$50000,$B$4,缺陷明细!$G$2:$G$50000,$C33,缺陷明细!$J$2:$J$50000,"系统测试",缺陷明细!$K$2:$K$50000,"致命",缺陷明细!$AB$2:$AB$50000,"&lt;&gt;丢弃",缺陷明细!$AB$2:$AB$50000,"&lt;&gt;设计如此",缺陷明细!$AB$2:$AB$50000,"&lt;&gt;重复Bug")+COUNTIFS(缺陷明细!$A$2:$A$50000,$B$4,缺陷明细!$G$2:$G$50000,$C33,缺陷明细!$J$2:$J$50000,"系统测试",缺陷明细!$K$2:$K$50000,"严重",缺陷明细!$AB$2:$AB$50000,"&lt;&gt;丢弃",缺陷明细!$AB$2:$AB$50000,"&lt;&gt;设计如此",缺陷明细!$AB$2:$AB$50000,"&lt;&gt;重复Bug")</f>
        <v>0</v>
      </c>
      <c r="T33" s="73">
        <f>COUNTIFS(缺陷明细!$A$2:$A$50000,$B$4,缺陷明细!$G$2:$G$50000,$C33,缺陷明细!$Q$2:$Q$50000,"已关闭",缺陷明细!$J$2:$J$50000,"系统测试",缺陷明细!$K$2:$K$50000,"致命")+COUNTIFS(缺陷明细!$A$2:$A$50000,$B$4,缺陷明细!$G$2:$G$50000,$C33,缺陷明细!$Q$2:$Q$50000,"已关闭",缺陷明细!$J$2:$J$50000,"系统测试",缺陷明细!$K$2:$K$50000,"严重")</f>
        <v>0</v>
      </c>
      <c r="U33" s="74">
        <f>COUNTIFS(缺陷明细!$A$2:$A$50000,$B$4,缺陷明细!$G$2:$G$50000,$C33,缺陷明细!$J$2:$J$50000,"验收测试",缺陷明细!$AB$2:$AB$50000,"&lt;&gt;丢弃",缺陷明细!$AB$2:$AB$50000,"&lt;&gt;设计如此",缺陷明细!$AB$2:$AB$50000,"&lt;&gt;重复Bug")</f>
        <v>0</v>
      </c>
      <c r="V33" s="75">
        <f>COUNTIFS(缺陷明细!$A$2:$A$50000,$B$4,缺陷明细!$G$2:$G$50000,$C33,缺陷明细!$Q$2:$Q$50000,"已关闭",缺陷明细!$J$2:$J$50000,"验收测试")</f>
        <v>0</v>
      </c>
      <c r="W33" s="75">
        <f>COUNTIFS(缺陷明细!$A$2:$A$50000,$B$4,缺陷明细!$G$2:$G$50000,$C33,缺陷明细!$J$2:$J$50000,"验收测试",缺陷明细!$K$2:$K$50000,"致命",缺陷明细!$AB$2:$AB$50000,"&lt;&gt;丢弃",缺陷明细!$AB$2:$AB$50000,"&lt;&gt;设计如此",缺陷明细!$AB$2:$AB$50000,"&lt;&gt;重复Bug")+COUNTIFS(缺陷明细!$A$2:$A$50000,$B$4,缺陷明细!$G$2:$G$50000,$C33,缺陷明细!$J$2:$J$50000,"验收测试",缺陷明细!$K$2:$K$50000,"严重",缺陷明细!$AB$2:$AB$50000,"&lt;&gt;丢弃",缺陷明细!$AB$2:$AB$50000,"&lt;&gt;设计如此",缺陷明细!$AB$2:$AB$50000,"&lt;&gt;重复Bug")</f>
        <v>0</v>
      </c>
      <c r="X33" s="76">
        <f>COUNTIFS(缺陷明细!$A$2:$A$50000,$B$4,缺陷明细!$G$2:$G$50000,$C33,缺陷明细!$Q$2:$Q$50000,"已关闭",缺陷明细!$J$2:$J$50000,"验收测试",缺陷明细!$K$2:$K$50000,"致命")+COUNTIFS(缺陷明细!$A$2:$A$50000,$B$4,缺陷明细!$G$2:$G$50000,$C33,缺陷明细!$Q$2:$Q$50000,"已关闭",缺陷明细!$J$2:$J$50000,"验收测试",缺陷明细!$K$2:$K$50000,"严重")</f>
        <v>0</v>
      </c>
      <c r="Y33" s="70">
        <f>COUNTIFS(缺陷明细!$A$2:$A$50000,$B$4,缺陷明细!$G$2:$G$50000,$C33,缺陷明细!$J$2:$J$50000,"运维测试",缺陷明细!$AB$2:$AB$50000,"&lt;&gt;丢弃",缺陷明细!$AB$2:$AB$50000,"&lt;&gt;设计如此",缺陷明细!$AB$2:$AB$50000,"&lt;&gt;重复Bug")</f>
        <v>0</v>
      </c>
      <c r="Z33" s="71">
        <f>COUNTIFS(缺陷明细!$A$2:$A$50000,$B$4,缺陷明细!$G$2:$G$50000,$C33,缺陷明细!$Q$2:$Q$50000,"已关闭",缺陷明细!$J$2:$J$50000,"运维测试")</f>
        <v>0</v>
      </c>
      <c r="AA33" s="72">
        <f>COUNTIFS(缺陷明细!$A$2:$A$50000,$B$4,缺陷明细!$G$2:$G$50000,$C33,缺陷明细!$J$2:$J$50000,"运维测试",缺陷明细!$K$2:$K$50000,"致命",缺陷明细!$AB$2:$AB$50000,"&lt;&gt;丢弃",缺陷明细!$AB$2:$AB$50000,"&lt;&gt;设计如此",缺陷明细!$AB$2:$AB$50000,"&lt;&gt;重复Bug")+COUNTIFS(缺陷明细!$A$2:$A$50000,$B$4,缺陷明细!$G$2:$G$50000,$C33,缺陷明细!$J$2:$J$50000,"运维测试",缺陷明细!$K$2:$K$50000,"严重",缺陷明细!$AB$2:$AB$50000,"&lt;&gt;丢弃",缺陷明细!$AB$2:$AB$50000,"&lt;&gt;设计如此",缺陷明细!$AB$2:$AB$50000,"&lt;&gt;重复Bug")</f>
        <v>0</v>
      </c>
      <c r="AB33" s="73">
        <f>COUNTIFS(缺陷明细!$A$2:$A$50000,$B$4,缺陷明细!$G$2:$G$50000,$C33,缺陷明细!$Q$2:$Q$50000,"已关闭",缺陷明细!$J$2:$J$50000,"运维测试",缺陷明细!$K$2:$K$50000,"致命")+COUNTIFS(缺陷明细!$A$2:$A$50000,$B$4,缺陷明细!$G$2:$G$50000,$C33,缺陷明细!$Q$2:$Q$50000,"已关闭",缺陷明细!$J$2:$J$50000,"运维测试",缺陷明细!$K$2:$K$50000,"严重")</f>
        <v>0</v>
      </c>
      <c r="AC33" s="68">
        <f t="shared" si="0"/>
        <v>0</v>
      </c>
      <c r="AD33" s="60">
        <f t="shared" si="0"/>
        <v>0</v>
      </c>
      <c r="AE33" s="60">
        <f t="shared" si="1"/>
        <v>0</v>
      </c>
      <c r="AF33" s="60">
        <f t="shared" si="1"/>
        <v>0</v>
      </c>
      <c r="AG33" s="60">
        <f t="shared" si="2"/>
        <v>0</v>
      </c>
      <c r="AH33" s="60">
        <f t="shared" si="2"/>
        <v>0</v>
      </c>
      <c r="AI33" s="60">
        <f t="shared" si="3"/>
        <v>0</v>
      </c>
      <c r="AJ33" s="61">
        <f t="shared" si="3"/>
        <v>0</v>
      </c>
      <c r="AK33" s="144"/>
    </row>
    <row r="34" spans="1:37">
      <c r="A34">
        <v>30</v>
      </c>
      <c r="B34" s="57"/>
      <c r="C34" s="58"/>
      <c r="D34" s="84"/>
      <c r="E34" s="82"/>
      <c r="F34" s="158"/>
      <c r="G34" s="159"/>
      <c r="H34" s="281">
        <f>COUNTIFS(缺陷明细!$A$2:$A$50000,$B$4,缺陷明细!$G$2:$G$50000,$C34,缺陷明细!$J$2:$J$50000,"评审",缺陷明细!$AB$2:$AB$50000,"&lt;&gt;丢弃",缺陷明细!$AB$2:$AB$50000,"&lt;&gt;设计如此",缺陷明细!$AB$2:$AB$50000,"&lt;&gt;重复Bug")</f>
        <v>0</v>
      </c>
      <c r="I34" s="154">
        <f>COUNTIFS(缺陷明细!$A$2:$A$50000,$B$4,缺陷明细!$G$2:$G$50000,$C34,缺陷明细!$Q$2:$Q$50000,"已关闭",缺陷明细!$J$2:$J$50000,"评审")</f>
        <v>0</v>
      </c>
      <c r="J34" s="154">
        <f>COUNTIFS(缺陷明细!$A$2:$A$50000,$B$4,缺陷明细!$G$2:$G$50000,$C34,缺陷明细!$J$2:$J$50000,"单元测试",缺陷明细!$AB$2:$AB$50000,"&lt;&gt;丢弃",缺陷明细!$AB$2:$AB$50000,"&lt;&gt;设计如此",缺陷明细!$AB$2:$AB$50000,"&lt;&gt;重复Bug")</f>
        <v>0</v>
      </c>
      <c r="K34" s="155">
        <f>COUNTIFS(缺陷明细!$A$2:$A$50000,$B$4,缺陷明细!$G$2:$G$50000,$C34,缺陷明细!$Q$2:$Q$50000,"已关闭",缺陷明细!$J$2:$J$50000,"单元测试")</f>
        <v>0</v>
      </c>
      <c r="L34" s="156"/>
      <c r="M34" s="157"/>
      <c r="N34" s="72">
        <f>COUNTIFS(缺陷明细!$A$2:$A$50000,$B$4,缺陷明细!$G$2:$G$50000,$C34,缺陷明细!$J$2:$J$50000,"系统测试案例评审",缺陷明细!$AB$2:$AB$50000,"&lt;&gt;丢弃",缺陷明细!$AB$2:$AB$50000,"&lt;&gt;设计如此",缺陷明细!$AB$2:$AB$50000,"&lt;&gt;重复Bug")</f>
        <v>0</v>
      </c>
      <c r="O34" s="72">
        <f>COUNTIFS(缺陷明细!$A$2:$A$50000,$B$4,缺陷明细!$G$2:$G$50000,$C34,缺陷明细!$Q$2:$Q$50000,"已关闭",缺陷明细!$J$2:$J$50000,"系统测试案例评审")</f>
        <v>0</v>
      </c>
      <c r="P34" s="72">
        <f>COUNTIFS(缺陷明细!$A$2:$A$50000,$B$4,缺陷明细!$G$2:$G$50000,$C34,缺陷明细!$J$2:$J$50000,"系统测试",缺陷明细!$AB$2:$AB$50000,"&lt;&gt;丢弃",缺陷明细!$AB$2:$AB$50000,"&lt;&gt;设计如此",缺陷明细!$AB$2:$AB$50000,"&lt;&gt;重复Bug")</f>
        <v>0</v>
      </c>
      <c r="Q34" s="72">
        <f>COUNTIFS(缺陷明细!$A$2:$A$50000,$B$4,缺陷明细!$G$2:$G$50000,$C34,缺陷明细!$Q$2:$Q$50000,"已关闭",缺陷明细!$J$2:$J$50000,"系统测试")</f>
        <v>0</v>
      </c>
      <c r="R34" s="296">
        <f>COUNTIFS(缺陷明细!$A$2:$A$50000,$B$4,缺陷明细!$G$2:$G$50000,$C34,缺陷明细!$AB$2:$AB$50000,"丢弃",缺陷明细!$J$2:$J$50000,"系统测试")+COUNTIFS(缺陷明细!$A$2:$A$50000,$B$4,缺陷明细!$G$2:$G$50000,$C34,缺陷明细!$AB$2:$AB$50000,"设计如此",缺陷明细!$J$2:$J$50000,"系统测试")+COUNTIFS(缺陷明细!$A$2:$A$50000,$B$4,缺陷明细!$G$2:$G$50000,$C34,缺陷明细!$AB$2:$AB$50000,"重复Bug",缺陷明细!$J$2:$J$50000,"系统测试")</f>
        <v>0</v>
      </c>
      <c r="S34" s="72">
        <f>COUNTIFS(缺陷明细!$A$2:$A$50000,$B$4,缺陷明细!$G$2:$G$50000,$C34,缺陷明细!$J$2:$J$50000,"系统测试",缺陷明细!$K$2:$K$50000,"致命",缺陷明细!$AB$2:$AB$50000,"&lt;&gt;丢弃",缺陷明细!$AB$2:$AB$50000,"&lt;&gt;设计如此",缺陷明细!$AB$2:$AB$50000,"&lt;&gt;重复Bug")+COUNTIFS(缺陷明细!$A$2:$A$50000,$B$4,缺陷明细!$G$2:$G$50000,$C34,缺陷明细!$J$2:$J$50000,"系统测试",缺陷明细!$K$2:$K$50000,"严重",缺陷明细!$AB$2:$AB$50000,"&lt;&gt;丢弃",缺陷明细!$AB$2:$AB$50000,"&lt;&gt;设计如此",缺陷明细!$AB$2:$AB$50000,"&lt;&gt;重复Bug")</f>
        <v>0</v>
      </c>
      <c r="T34" s="73">
        <f>COUNTIFS(缺陷明细!$A$2:$A$50000,$B$4,缺陷明细!$G$2:$G$50000,$C34,缺陷明细!$Q$2:$Q$50000,"已关闭",缺陷明细!$J$2:$J$50000,"系统测试",缺陷明细!$K$2:$K$50000,"致命")+COUNTIFS(缺陷明细!$A$2:$A$50000,$B$4,缺陷明细!$G$2:$G$50000,$C34,缺陷明细!$Q$2:$Q$50000,"已关闭",缺陷明细!$J$2:$J$50000,"系统测试",缺陷明细!$K$2:$K$50000,"严重")</f>
        <v>0</v>
      </c>
      <c r="U34" s="74">
        <f>COUNTIFS(缺陷明细!$A$2:$A$50000,$B$4,缺陷明细!$G$2:$G$50000,$C34,缺陷明细!$J$2:$J$50000,"验收测试",缺陷明细!$AB$2:$AB$50000,"&lt;&gt;丢弃",缺陷明细!$AB$2:$AB$50000,"&lt;&gt;设计如此",缺陷明细!$AB$2:$AB$50000,"&lt;&gt;重复Bug")</f>
        <v>0</v>
      </c>
      <c r="V34" s="75">
        <f>COUNTIFS(缺陷明细!$A$2:$A$50000,$B$4,缺陷明细!$G$2:$G$50000,$C34,缺陷明细!$Q$2:$Q$50000,"已关闭",缺陷明细!$J$2:$J$50000,"验收测试")</f>
        <v>0</v>
      </c>
      <c r="W34" s="75">
        <f>COUNTIFS(缺陷明细!$A$2:$A$50000,$B$4,缺陷明细!$G$2:$G$50000,$C34,缺陷明细!$J$2:$J$50000,"验收测试",缺陷明细!$K$2:$K$50000,"致命",缺陷明细!$AB$2:$AB$50000,"&lt;&gt;丢弃",缺陷明细!$AB$2:$AB$50000,"&lt;&gt;设计如此",缺陷明细!$AB$2:$AB$50000,"&lt;&gt;重复Bug")+COUNTIFS(缺陷明细!$A$2:$A$50000,$B$4,缺陷明细!$G$2:$G$50000,$C34,缺陷明细!$J$2:$J$50000,"验收测试",缺陷明细!$K$2:$K$50000,"严重",缺陷明细!$AB$2:$AB$50000,"&lt;&gt;丢弃",缺陷明细!$AB$2:$AB$50000,"&lt;&gt;设计如此",缺陷明细!$AB$2:$AB$50000,"&lt;&gt;重复Bug")</f>
        <v>0</v>
      </c>
      <c r="X34" s="76">
        <f>COUNTIFS(缺陷明细!$A$2:$A$50000,$B$4,缺陷明细!$G$2:$G$50000,$C34,缺陷明细!$Q$2:$Q$50000,"已关闭",缺陷明细!$J$2:$J$50000,"验收测试",缺陷明细!$K$2:$K$50000,"致命")+COUNTIFS(缺陷明细!$A$2:$A$50000,$B$4,缺陷明细!$G$2:$G$50000,$C34,缺陷明细!$Q$2:$Q$50000,"已关闭",缺陷明细!$J$2:$J$50000,"验收测试",缺陷明细!$K$2:$K$50000,"严重")</f>
        <v>0</v>
      </c>
      <c r="Y34" s="70">
        <f>COUNTIFS(缺陷明细!$A$2:$A$50000,$B$4,缺陷明细!$G$2:$G$50000,$C34,缺陷明细!$J$2:$J$50000,"运维测试",缺陷明细!$AB$2:$AB$50000,"&lt;&gt;丢弃",缺陷明细!$AB$2:$AB$50000,"&lt;&gt;设计如此",缺陷明细!$AB$2:$AB$50000,"&lt;&gt;重复Bug")</f>
        <v>0</v>
      </c>
      <c r="Z34" s="71">
        <f>COUNTIFS(缺陷明细!$A$2:$A$50000,$B$4,缺陷明细!$G$2:$G$50000,$C34,缺陷明细!$Q$2:$Q$50000,"已关闭",缺陷明细!$J$2:$J$50000,"运维测试")</f>
        <v>0</v>
      </c>
      <c r="AA34" s="72">
        <f>COUNTIFS(缺陷明细!$A$2:$A$50000,$B$4,缺陷明细!$G$2:$G$50000,$C34,缺陷明细!$J$2:$J$50000,"运维测试",缺陷明细!$K$2:$K$50000,"致命",缺陷明细!$AB$2:$AB$50000,"&lt;&gt;丢弃",缺陷明细!$AB$2:$AB$50000,"&lt;&gt;设计如此",缺陷明细!$AB$2:$AB$50000,"&lt;&gt;重复Bug")+COUNTIFS(缺陷明细!$A$2:$A$50000,$B$4,缺陷明细!$G$2:$G$50000,$C34,缺陷明细!$J$2:$J$50000,"运维测试",缺陷明细!$K$2:$K$50000,"严重",缺陷明细!$AB$2:$AB$50000,"&lt;&gt;丢弃",缺陷明细!$AB$2:$AB$50000,"&lt;&gt;设计如此",缺陷明细!$AB$2:$AB$50000,"&lt;&gt;重复Bug")</f>
        <v>0</v>
      </c>
      <c r="AB34" s="73">
        <f>COUNTIFS(缺陷明细!$A$2:$A$50000,$B$4,缺陷明细!$G$2:$G$50000,$C34,缺陷明细!$Q$2:$Q$50000,"已关闭",缺陷明细!$J$2:$J$50000,"运维测试",缺陷明细!$K$2:$K$50000,"致命")+COUNTIFS(缺陷明细!$A$2:$A$50000,$B$4,缺陷明细!$G$2:$G$50000,$C34,缺陷明细!$Q$2:$Q$50000,"已关闭",缺陷明细!$J$2:$J$50000,"运维测试",缺陷明细!$K$2:$K$50000,"严重")</f>
        <v>0</v>
      </c>
      <c r="AC34" s="68">
        <f t="shared" si="0"/>
        <v>0</v>
      </c>
      <c r="AD34" s="60">
        <f t="shared" si="0"/>
        <v>0</v>
      </c>
      <c r="AE34" s="60">
        <f t="shared" si="1"/>
        <v>0</v>
      </c>
      <c r="AF34" s="60">
        <f t="shared" si="1"/>
        <v>0</v>
      </c>
      <c r="AG34" s="60">
        <f t="shared" si="2"/>
        <v>0</v>
      </c>
      <c r="AH34" s="60">
        <f t="shared" si="2"/>
        <v>0</v>
      </c>
      <c r="AI34" s="60">
        <f t="shared" si="3"/>
        <v>0</v>
      </c>
      <c r="AJ34" s="61">
        <f t="shared" si="3"/>
        <v>0</v>
      </c>
      <c r="AK34" s="144"/>
    </row>
    <row r="35" spans="1:37">
      <c r="A35">
        <v>31</v>
      </c>
      <c r="B35" s="57"/>
      <c r="C35" s="58"/>
      <c r="D35" s="84"/>
      <c r="E35" s="82"/>
      <c r="F35" s="158"/>
      <c r="G35" s="159"/>
      <c r="H35" s="281">
        <f>COUNTIFS(缺陷明细!$A$2:$A$50000,$B$4,缺陷明细!$G$2:$G$50000,$C35,缺陷明细!$J$2:$J$50000,"评审",缺陷明细!$AB$2:$AB$50000,"&lt;&gt;丢弃",缺陷明细!$AB$2:$AB$50000,"&lt;&gt;设计如此",缺陷明细!$AB$2:$AB$50000,"&lt;&gt;重复Bug")</f>
        <v>0</v>
      </c>
      <c r="I35" s="154">
        <f>COUNTIFS(缺陷明细!$A$2:$A$50000,$B$4,缺陷明细!$G$2:$G$50000,$C35,缺陷明细!$Q$2:$Q$50000,"已关闭",缺陷明细!$J$2:$J$50000,"评审")</f>
        <v>0</v>
      </c>
      <c r="J35" s="154">
        <f>COUNTIFS(缺陷明细!$A$2:$A$50000,$B$4,缺陷明细!$G$2:$G$50000,$C35,缺陷明细!$J$2:$J$50000,"单元测试",缺陷明细!$AB$2:$AB$50000,"&lt;&gt;丢弃",缺陷明细!$AB$2:$AB$50000,"&lt;&gt;设计如此",缺陷明细!$AB$2:$AB$50000,"&lt;&gt;重复Bug")</f>
        <v>0</v>
      </c>
      <c r="K35" s="155">
        <f>COUNTIFS(缺陷明细!$A$2:$A$50000,$B$4,缺陷明细!$G$2:$G$50000,$C35,缺陷明细!$Q$2:$Q$50000,"已关闭",缺陷明细!$J$2:$J$50000,"单元测试")</f>
        <v>0</v>
      </c>
      <c r="L35" s="156"/>
      <c r="M35" s="157"/>
      <c r="N35" s="72">
        <f>COUNTIFS(缺陷明细!$A$2:$A$50000,$B$4,缺陷明细!$G$2:$G$50000,$C35,缺陷明细!$J$2:$J$50000,"系统测试案例评审",缺陷明细!$AB$2:$AB$50000,"&lt;&gt;丢弃",缺陷明细!$AB$2:$AB$50000,"&lt;&gt;设计如此",缺陷明细!$AB$2:$AB$50000,"&lt;&gt;重复Bug")</f>
        <v>0</v>
      </c>
      <c r="O35" s="72">
        <f>COUNTIFS(缺陷明细!$A$2:$A$50000,$B$4,缺陷明细!$G$2:$G$50000,$C35,缺陷明细!$Q$2:$Q$50000,"已关闭",缺陷明细!$J$2:$J$50000,"系统测试案例评审")</f>
        <v>0</v>
      </c>
      <c r="P35" s="72">
        <f>COUNTIFS(缺陷明细!$A$2:$A$50000,$B$4,缺陷明细!$G$2:$G$50000,$C35,缺陷明细!$J$2:$J$50000,"系统测试",缺陷明细!$AB$2:$AB$50000,"&lt;&gt;丢弃",缺陷明细!$AB$2:$AB$50000,"&lt;&gt;设计如此",缺陷明细!$AB$2:$AB$50000,"&lt;&gt;重复Bug")</f>
        <v>0</v>
      </c>
      <c r="Q35" s="72">
        <f>COUNTIFS(缺陷明细!$A$2:$A$50000,$B$4,缺陷明细!$G$2:$G$50000,$C35,缺陷明细!$Q$2:$Q$50000,"已关闭",缺陷明细!$J$2:$J$50000,"系统测试")</f>
        <v>0</v>
      </c>
      <c r="R35" s="296">
        <f>COUNTIFS(缺陷明细!$A$2:$A$50000,$B$4,缺陷明细!$G$2:$G$50000,$C35,缺陷明细!$AB$2:$AB$50000,"丢弃",缺陷明细!$J$2:$J$50000,"系统测试")+COUNTIFS(缺陷明细!$A$2:$A$50000,$B$4,缺陷明细!$G$2:$G$50000,$C35,缺陷明细!$AB$2:$AB$50000,"设计如此",缺陷明细!$J$2:$J$50000,"系统测试")+COUNTIFS(缺陷明细!$A$2:$A$50000,$B$4,缺陷明细!$G$2:$G$50000,$C35,缺陷明细!$AB$2:$AB$50000,"重复Bug",缺陷明细!$J$2:$J$50000,"系统测试")</f>
        <v>0</v>
      </c>
      <c r="S35" s="72">
        <f>COUNTIFS(缺陷明细!$A$2:$A$50000,$B$4,缺陷明细!$G$2:$G$50000,$C35,缺陷明细!$J$2:$J$50000,"系统测试",缺陷明细!$K$2:$K$50000,"致命",缺陷明细!$AB$2:$AB$50000,"&lt;&gt;丢弃",缺陷明细!$AB$2:$AB$50000,"&lt;&gt;设计如此",缺陷明细!$AB$2:$AB$50000,"&lt;&gt;重复Bug")+COUNTIFS(缺陷明细!$A$2:$A$50000,$B$4,缺陷明细!$G$2:$G$50000,$C35,缺陷明细!$J$2:$J$50000,"系统测试",缺陷明细!$K$2:$K$50000,"严重",缺陷明细!$AB$2:$AB$50000,"&lt;&gt;丢弃",缺陷明细!$AB$2:$AB$50000,"&lt;&gt;设计如此",缺陷明细!$AB$2:$AB$50000,"&lt;&gt;重复Bug")</f>
        <v>0</v>
      </c>
      <c r="T35" s="73">
        <f>COUNTIFS(缺陷明细!$A$2:$A$50000,$B$4,缺陷明细!$G$2:$G$50000,$C35,缺陷明细!$Q$2:$Q$50000,"已关闭",缺陷明细!$J$2:$J$50000,"系统测试",缺陷明细!$K$2:$K$50000,"致命")+COUNTIFS(缺陷明细!$A$2:$A$50000,$B$4,缺陷明细!$G$2:$G$50000,$C35,缺陷明细!$Q$2:$Q$50000,"已关闭",缺陷明细!$J$2:$J$50000,"系统测试",缺陷明细!$K$2:$K$50000,"严重")</f>
        <v>0</v>
      </c>
      <c r="U35" s="74">
        <f>COUNTIFS(缺陷明细!$A$2:$A$50000,$B$4,缺陷明细!$G$2:$G$50000,$C35,缺陷明细!$J$2:$J$50000,"验收测试",缺陷明细!$AB$2:$AB$50000,"&lt;&gt;丢弃",缺陷明细!$AB$2:$AB$50000,"&lt;&gt;设计如此",缺陷明细!$AB$2:$AB$50000,"&lt;&gt;重复Bug")</f>
        <v>0</v>
      </c>
      <c r="V35" s="75">
        <f>COUNTIFS(缺陷明细!$A$2:$A$50000,$B$4,缺陷明细!$G$2:$G$50000,$C35,缺陷明细!$Q$2:$Q$50000,"已关闭",缺陷明细!$J$2:$J$50000,"验收测试")</f>
        <v>0</v>
      </c>
      <c r="W35" s="75">
        <f>COUNTIFS(缺陷明细!$A$2:$A$50000,$B$4,缺陷明细!$G$2:$G$50000,$C35,缺陷明细!$J$2:$J$50000,"验收测试",缺陷明细!$K$2:$K$50000,"致命",缺陷明细!$AB$2:$AB$50000,"&lt;&gt;丢弃",缺陷明细!$AB$2:$AB$50000,"&lt;&gt;设计如此",缺陷明细!$AB$2:$AB$50000,"&lt;&gt;重复Bug")+COUNTIFS(缺陷明细!$A$2:$A$50000,$B$4,缺陷明细!$G$2:$G$50000,$C35,缺陷明细!$J$2:$J$50000,"验收测试",缺陷明细!$K$2:$K$50000,"严重",缺陷明细!$AB$2:$AB$50000,"&lt;&gt;丢弃",缺陷明细!$AB$2:$AB$50000,"&lt;&gt;设计如此",缺陷明细!$AB$2:$AB$50000,"&lt;&gt;重复Bug")</f>
        <v>0</v>
      </c>
      <c r="X35" s="76">
        <f>COUNTIFS(缺陷明细!$A$2:$A$50000,$B$4,缺陷明细!$G$2:$G$50000,$C35,缺陷明细!$Q$2:$Q$50000,"已关闭",缺陷明细!$J$2:$J$50000,"验收测试",缺陷明细!$K$2:$K$50000,"致命")+COUNTIFS(缺陷明细!$A$2:$A$50000,$B$4,缺陷明细!$G$2:$G$50000,$C35,缺陷明细!$Q$2:$Q$50000,"已关闭",缺陷明细!$J$2:$J$50000,"验收测试",缺陷明细!$K$2:$K$50000,"严重")</f>
        <v>0</v>
      </c>
      <c r="Y35" s="70">
        <f>COUNTIFS(缺陷明细!$A$2:$A$50000,$B$4,缺陷明细!$G$2:$G$50000,$C35,缺陷明细!$J$2:$J$50000,"运维测试",缺陷明细!$AB$2:$AB$50000,"&lt;&gt;丢弃",缺陷明细!$AB$2:$AB$50000,"&lt;&gt;设计如此",缺陷明细!$AB$2:$AB$50000,"&lt;&gt;重复Bug")</f>
        <v>0</v>
      </c>
      <c r="Z35" s="71">
        <f>COUNTIFS(缺陷明细!$A$2:$A$50000,$B$4,缺陷明细!$G$2:$G$50000,$C35,缺陷明细!$Q$2:$Q$50000,"已关闭",缺陷明细!$J$2:$J$50000,"运维测试")</f>
        <v>0</v>
      </c>
      <c r="AA35" s="72">
        <f>COUNTIFS(缺陷明细!$A$2:$A$50000,$B$4,缺陷明细!$G$2:$G$50000,$C35,缺陷明细!$J$2:$J$50000,"运维测试",缺陷明细!$K$2:$K$50000,"致命",缺陷明细!$AB$2:$AB$50000,"&lt;&gt;丢弃",缺陷明细!$AB$2:$AB$50000,"&lt;&gt;设计如此",缺陷明细!$AB$2:$AB$50000,"&lt;&gt;重复Bug")+COUNTIFS(缺陷明细!$A$2:$A$50000,$B$4,缺陷明细!$G$2:$G$50000,$C35,缺陷明细!$J$2:$J$50000,"运维测试",缺陷明细!$K$2:$K$50000,"严重",缺陷明细!$AB$2:$AB$50000,"&lt;&gt;丢弃",缺陷明细!$AB$2:$AB$50000,"&lt;&gt;设计如此",缺陷明细!$AB$2:$AB$50000,"&lt;&gt;重复Bug")</f>
        <v>0</v>
      </c>
      <c r="AB35" s="73">
        <f>COUNTIFS(缺陷明细!$A$2:$A$50000,$B$4,缺陷明细!$G$2:$G$50000,$C35,缺陷明细!$Q$2:$Q$50000,"已关闭",缺陷明细!$J$2:$J$50000,"运维测试",缺陷明细!$K$2:$K$50000,"致命")+COUNTIFS(缺陷明细!$A$2:$A$50000,$B$4,缺陷明细!$G$2:$G$50000,$C35,缺陷明细!$Q$2:$Q$50000,"已关闭",缺陷明细!$J$2:$J$50000,"运维测试",缺陷明细!$K$2:$K$50000,"严重")</f>
        <v>0</v>
      </c>
      <c r="AC35" s="68">
        <f t="shared" si="0"/>
        <v>0</v>
      </c>
      <c r="AD35" s="60">
        <f t="shared" si="0"/>
        <v>0</v>
      </c>
      <c r="AE35" s="60">
        <f t="shared" si="1"/>
        <v>0</v>
      </c>
      <c r="AF35" s="60">
        <f t="shared" si="1"/>
        <v>0</v>
      </c>
      <c r="AG35" s="60">
        <f t="shared" si="2"/>
        <v>0</v>
      </c>
      <c r="AH35" s="60">
        <f t="shared" si="2"/>
        <v>0</v>
      </c>
      <c r="AI35" s="60">
        <f t="shared" si="3"/>
        <v>0</v>
      </c>
      <c r="AJ35" s="61">
        <f t="shared" si="3"/>
        <v>0</v>
      </c>
      <c r="AK35" s="144"/>
    </row>
    <row r="36" spans="1:37">
      <c r="A36">
        <v>32</v>
      </c>
      <c r="B36" s="57"/>
      <c r="C36" s="58"/>
      <c r="D36" s="84"/>
      <c r="E36" s="82"/>
      <c r="F36" s="158"/>
      <c r="G36" s="159"/>
      <c r="H36" s="281">
        <f>COUNTIFS(缺陷明细!$A$2:$A$50000,$B$4,缺陷明细!$G$2:$G$50000,$C36,缺陷明细!$J$2:$J$50000,"评审",缺陷明细!$AB$2:$AB$50000,"&lt;&gt;丢弃",缺陷明细!$AB$2:$AB$50000,"&lt;&gt;设计如此",缺陷明细!$AB$2:$AB$50000,"&lt;&gt;重复Bug")</f>
        <v>0</v>
      </c>
      <c r="I36" s="154">
        <f>COUNTIFS(缺陷明细!$A$2:$A$50000,$B$4,缺陷明细!$G$2:$G$50000,$C36,缺陷明细!$Q$2:$Q$50000,"已关闭",缺陷明细!$J$2:$J$50000,"评审")</f>
        <v>0</v>
      </c>
      <c r="J36" s="154">
        <f>COUNTIFS(缺陷明细!$A$2:$A$50000,$B$4,缺陷明细!$G$2:$G$50000,$C36,缺陷明细!$J$2:$J$50000,"单元测试",缺陷明细!$AB$2:$AB$50000,"&lt;&gt;丢弃",缺陷明细!$AB$2:$AB$50000,"&lt;&gt;设计如此",缺陷明细!$AB$2:$AB$50000,"&lt;&gt;重复Bug")</f>
        <v>0</v>
      </c>
      <c r="K36" s="155">
        <f>COUNTIFS(缺陷明细!$A$2:$A$50000,$B$4,缺陷明细!$G$2:$G$50000,$C36,缺陷明细!$Q$2:$Q$50000,"已关闭",缺陷明细!$J$2:$J$50000,"单元测试")</f>
        <v>0</v>
      </c>
      <c r="L36" s="156"/>
      <c r="M36" s="157"/>
      <c r="N36" s="72">
        <f>COUNTIFS(缺陷明细!$A$2:$A$50000,$B$4,缺陷明细!$G$2:$G$50000,$C36,缺陷明细!$J$2:$J$50000,"系统测试案例评审",缺陷明细!$AB$2:$AB$50000,"&lt;&gt;丢弃",缺陷明细!$AB$2:$AB$50000,"&lt;&gt;设计如此",缺陷明细!$AB$2:$AB$50000,"&lt;&gt;重复Bug")</f>
        <v>0</v>
      </c>
      <c r="O36" s="72">
        <f>COUNTIFS(缺陷明细!$A$2:$A$50000,$B$4,缺陷明细!$G$2:$G$50000,$C36,缺陷明细!$Q$2:$Q$50000,"已关闭",缺陷明细!$J$2:$J$50000,"系统测试案例评审")</f>
        <v>0</v>
      </c>
      <c r="P36" s="72">
        <f>COUNTIFS(缺陷明细!$A$2:$A$50000,$B$4,缺陷明细!$G$2:$G$50000,$C36,缺陷明细!$J$2:$J$50000,"系统测试",缺陷明细!$AB$2:$AB$50000,"&lt;&gt;丢弃",缺陷明细!$AB$2:$AB$50000,"&lt;&gt;设计如此",缺陷明细!$AB$2:$AB$50000,"&lt;&gt;重复Bug")</f>
        <v>0</v>
      </c>
      <c r="Q36" s="72">
        <f>COUNTIFS(缺陷明细!$A$2:$A$50000,$B$4,缺陷明细!$G$2:$G$50000,$C36,缺陷明细!$Q$2:$Q$50000,"已关闭",缺陷明细!$J$2:$J$50000,"系统测试")</f>
        <v>0</v>
      </c>
      <c r="R36" s="296">
        <f>COUNTIFS(缺陷明细!$A$2:$A$50000,$B$4,缺陷明细!$G$2:$G$50000,$C36,缺陷明细!$AB$2:$AB$50000,"丢弃",缺陷明细!$J$2:$J$50000,"系统测试")+COUNTIFS(缺陷明细!$A$2:$A$50000,$B$4,缺陷明细!$G$2:$G$50000,$C36,缺陷明细!$AB$2:$AB$50000,"设计如此",缺陷明细!$J$2:$J$50000,"系统测试")+COUNTIFS(缺陷明细!$A$2:$A$50000,$B$4,缺陷明细!$G$2:$G$50000,$C36,缺陷明细!$AB$2:$AB$50000,"重复Bug",缺陷明细!$J$2:$J$50000,"系统测试")</f>
        <v>0</v>
      </c>
      <c r="S36" s="72">
        <f>COUNTIFS(缺陷明细!$A$2:$A$50000,$B$4,缺陷明细!$G$2:$G$50000,$C36,缺陷明细!$J$2:$J$50000,"系统测试",缺陷明细!$K$2:$K$50000,"致命",缺陷明细!$AB$2:$AB$50000,"&lt;&gt;丢弃",缺陷明细!$AB$2:$AB$50000,"&lt;&gt;设计如此",缺陷明细!$AB$2:$AB$50000,"&lt;&gt;重复Bug")+COUNTIFS(缺陷明细!$A$2:$A$50000,$B$4,缺陷明细!$G$2:$G$50000,$C36,缺陷明细!$J$2:$J$50000,"系统测试",缺陷明细!$K$2:$K$50000,"严重",缺陷明细!$AB$2:$AB$50000,"&lt;&gt;丢弃",缺陷明细!$AB$2:$AB$50000,"&lt;&gt;设计如此",缺陷明细!$AB$2:$AB$50000,"&lt;&gt;重复Bug")</f>
        <v>0</v>
      </c>
      <c r="T36" s="73">
        <f>COUNTIFS(缺陷明细!$A$2:$A$50000,$B$4,缺陷明细!$G$2:$G$50000,$C36,缺陷明细!$Q$2:$Q$50000,"已关闭",缺陷明细!$J$2:$J$50000,"系统测试",缺陷明细!$K$2:$K$50000,"致命")+COUNTIFS(缺陷明细!$A$2:$A$50000,$B$4,缺陷明细!$G$2:$G$50000,$C36,缺陷明细!$Q$2:$Q$50000,"已关闭",缺陷明细!$J$2:$J$50000,"系统测试",缺陷明细!$K$2:$K$50000,"严重")</f>
        <v>0</v>
      </c>
      <c r="U36" s="74">
        <f>COUNTIFS(缺陷明细!$A$2:$A$50000,$B$4,缺陷明细!$G$2:$G$50000,$C36,缺陷明细!$J$2:$J$50000,"验收测试",缺陷明细!$AB$2:$AB$50000,"&lt;&gt;丢弃",缺陷明细!$AB$2:$AB$50000,"&lt;&gt;设计如此",缺陷明细!$AB$2:$AB$50000,"&lt;&gt;重复Bug")</f>
        <v>0</v>
      </c>
      <c r="V36" s="75">
        <f>COUNTIFS(缺陷明细!$A$2:$A$50000,$B$4,缺陷明细!$G$2:$G$50000,$C36,缺陷明细!$Q$2:$Q$50000,"已关闭",缺陷明细!$J$2:$J$50000,"验收测试")</f>
        <v>0</v>
      </c>
      <c r="W36" s="75">
        <f>COUNTIFS(缺陷明细!$A$2:$A$50000,$B$4,缺陷明细!$G$2:$G$50000,$C36,缺陷明细!$J$2:$J$50000,"验收测试",缺陷明细!$K$2:$K$50000,"致命",缺陷明细!$AB$2:$AB$50000,"&lt;&gt;丢弃",缺陷明细!$AB$2:$AB$50000,"&lt;&gt;设计如此",缺陷明细!$AB$2:$AB$50000,"&lt;&gt;重复Bug")+COUNTIFS(缺陷明细!$A$2:$A$50000,$B$4,缺陷明细!$G$2:$G$50000,$C36,缺陷明细!$J$2:$J$50000,"验收测试",缺陷明细!$K$2:$K$50000,"严重",缺陷明细!$AB$2:$AB$50000,"&lt;&gt;丢弃",缺陷明细!$AB$2:$AB$50000,"&lt;&gt;设计如此",缺陷明细!$AB$2:$AB$50000,"&lt;&gt;重复Bug")</f>
        <v>0</v>
      </c>
      <c r="X36" s="76">
        <f>COUNTIFS(缺陷明细!$A$2:$A$50000,$B$4,缺陷明细!$G$2:$G$50000,$C36,缺陷明细!$Q$2:$Q$50000,"已关闭",缺陷明细!$J$2:$J$50000,"验收测试",缺陷明细!$K$2:$K$50000,"致命")+COUNTIFS(缺陷明细!$A$2:$A$50000,$B$4,缺陷明细!$G$2:$G$50000,$C36,缺陷明细!$Q$2:$Q$50000,"已关闭",缺陷明细!$J$2:$J$50000,"验收测试",缺陷明细!$K$2:$K$50000,"严重")</f>
        <v>0</v>
      </c>
      <c r="Y36" s="70">
        <f>COUNTIFS(缺陷明细!$A$2:$A$50000,$B$4,缺陷明细!$G$2:$G$50000,$C36,缺陷明细!$J$2:$J$50000,"运维测试",缺陷明细!$AB$2:$AB$50000,"&lt;&gt;丢弃",缺陷明细!$AB$2:$AB$50000,"&lt;&gt;设计如此",缺陷明细!$AB$2:$AB$50000,"&lt;&gt;重复Bug")</f>
        <v>0</v>
      </c>
      <c r="Z36" s="71">
        <f>COUNTIFS(缺陷明细!$A$2:$A$50000,$B$4,缺陷明细!$G$2:$G$50000,$C36,缺陷明细!$Q$2:$Q$50000,"已关闭",缺陷明细!$J$2:$J$50000,"运维测试")</f>
        <v>0</v>
      </c>
      <c r="AA36" s="72">
        <f>COUNTIFS(缺陷明细!$A$2:$A$50000,$B$4,缺陷明细!$G$2:$G$50000,$C36,缺陷明细!$J$2:$J$50000,"运维测试",缺陷明细!$K$2:$K$50000,"致命",缺陷明细!$AB$2:$AB$50000,"&lt;&gt;丢弃",缺陷明细!$AB$2:$AB$50000,"&lt;&gt;设计如此",缺陷明细!$AB$2:$AB$50000,"&lt;&gt;重复Bug")+COUNTIFS(缺陷明细!$A$2:$A$50000,$B$4,缺陷明细!$G$2:$G$50000,$C36,缺陷明细!$J$2:$J$50000,"运维测试",缺陷明细!$K$2:$K$50000,"严重",缺陷明细!$AB$2:$AB$50000,"&lt;&gt;丢弃",缺陷明细!$AB$2:$AB$50000,"&lt;&gt;设计如此",缺陷明细!$AB$2:$AB$50000,"&lt;&gt;重复Bug")</f>
        <v>0</v>
      </c>
      <c r="AB36" s="73">
        <f>COUNTIFS(缺陷明细!$A$2:$A$50000,$B$4,缺陷明细!$G$2:$G$50000,$C36,缺陷明细!$Q$2:$Q$50000,"已关闭",缺陷明细!$J$2:$J$50000,"运维测试",缺陷明细!$K$2:$K$50000,"致命")+COUNTIFS(缺陷明细!$A$2:$A$50000,$B$4,缺陷明细!$G$2:$G$50000,$C36,缺陷明细!$Q$2:$Q$50000,"已关闭",缺陷明细!$J$2:$J$50000,"运维测试",缺陷明细!$K$2:$K$50000,"严重")</f>
        <v>0</v>
      </c>
      <c r="AC36" s="68">
        <f t="shared" si="0"/>
        <v>0</v>
      </c>
      <c r="AD36" s="60">
        <f t="shared" si="0"/>
        <v>0</v>
      </c>
      <c r="AE36" s="60">
        <f t="shared" si="1"/>
        <v>0</v>
      </c>
      <c r="AF36" s="60">
        <f t="shared" si="1"/>
        <v>0</v>
      </c>
      <c r="AG36" s="60">
        <f t="shared" si="2"/>
        <v>0</v>
      </c>
      <c r="AH36" s="60">
        <f t="shared" si="2"/>
        <v>0</v>
      </c>
      <c r="AI36" s="60">
        <f t="shared" si="3"/>
        <v>0</v>
      </c>
      <c r="AJ36" s="61">
        <f t="shared" si="3"/>
        <v>0</v>
      </c>
      <c r="AK36" s="144"/>
    </row>
    <row r="37" spans="1:37">
      <c r="A37">
        <v>33</v>
      </c>
      <c r="B37" s="57"/>
      <c r="C37" s="58"/>
      <c r="D37" s="84"/>
      <c r="E37" s="82"/>
      <c r="F37" s="158"/>
      <c r="G37" s="159"/>
      <c r="H37" s="281">
        <f>COUNTIFS(缺陷明细!$A$2:$A$50000,$B$4,缺陷明细!$G$2:$G$50000,$C37,缺陷明细!$J$2:$J$50000,"评审",缺陷明细!$AB$2:$AB$50000,"&lt;&gt;丢弃",缺陷明细!$AB$2:$AB$50000,"&lt;&gt;设计如此",缺陷明细!$AB$2:$AB$50000,"&lt;&gt;重复Bug")</f>
        <v>0</v>
      </c>
      <c r="I37" s="154">
        <f>COUNTIFS(缺陷明细!$A$2:$A$50000,$B$4,缺陷明细!$G$2:$G$50000,$C37,缺陷明细!$Q$2:$Q$50000,"已关闭",缺陷明细!$J$2:$J$50000,"评审")</f>
        <v>0</v>
      </c>
      <c r="J37" s="154">
        <f>COUNTIFS(缺陷明细!$A$2:$A$50000,$B$4,缺陷明细!$G$2:$G$50000,$C37,缺陷明细!$J$2:$J$50000,"单元测试",缺陷明细!$AB$2:$AB$50000,"&lt;&gt;丢弃",缺陷明细!$AB$2:$AB$50000,"&lt;&gt;设计如此",缺陷明细!$AB$2:$AB$50000,"&lt;&gt;重复Bug")</f>
        <v>0</v>
      </c>
      <c r="K37" s="155">
        <f>COUNTIFS(缺陷明细!$A$2:$A$50000,$B$4,缺陷明细!$G$2:$G$50000,$C37,缺陷明细!$Q$2:$Q$50000,"已关闭",缺陷明细!$J$2:$J$50000,"单元测试")</f>
        <v>0</v>
      </c>
      <c r="L37" s="156"/>
      <c r="M37" s="157"/>
      <c r="N37" s="72">
        <f>COUNTIFS(缺陷明细!$A$2:$A$50000,$B$4,缺陷明细!$G$2:$G$50000,$C37,缺陷明细!$J$2:$J$50000,"系统测试案例评审",缺陷明细!$AB$2:$AB$50000,"&lt;&gt;丢弃",缺陷明细!$AB$2:$AB$50000,"&lt;&gt;设计如此",缺陷明细!$AB$2:$AB$50000,"&lt;&gt;重复Bug")</f>
        <v>0</v>
      </c>
      <c r="O37" s="72">
        <f>COUNTIFS(缺陷明细!$A$2:$A$50000,$B$4,缺陷明细!$G$2:$G$50000,$C37,缺陷明细!$Q$2:$Q$50000,"已关闭",缺陷明细!$J$2:$J$50000,"系统测试案例评审")</f>
        <v>0</v>
      </c>
      <c r="P37" s="72">
        <f>COUNTIFS(缺陷明细!$A$2:$A$50000,$B$4,缺陷明细!$G$2:$G$50000,$C37,缺陷明细!$J$2:$J$50000,"系统测试",缺陷明细!$AB$2:$AB$50000,"&lt;&gt;丢弃",缺陷明细!$AB$2:$AB$50000,"&lt;&gt;设计如此",缺陷明细!$AB$2:$AB$50000,"&lt;&gt;重复Bug")</f>
        <v>0</v>
      </c>
      <c r="Q37" s="72">
        <f>COUNTIFS(缺陷明细!$A$2:$A$50000,$B$4,缺陷明细!$G$2:$G$50000,$C37,缺陷明细!$Q$2:$Q$50000,"已关闭",缺陷明细!$J$2:$J$50000,"系统测试")</f>
        <v>0</v>
      </c>
      <c r="R37" s="296">
        <f>COUNTIFS(缺陷明细!$A$2:$A$50000,$B$4,缺陷明细!$G$2:$G$50000,$C37,缺陷明细!$AB$2:$AB$50000,"丢弃",缺陷明细!$J$2:$J$50000,"系统测试")+COUNTIFS(缺陷明细!$A$2:$A$50000,$B$4,缺陷明细!$G$2:$G$50000,$C37,缺陷明细!$AB$2:$AB$50000,"设计如此",缺陷明细!$J$2:$J$50000,"系统测试")+COUNTIFS(缺陷明细!$A$2:$A$50000,$B$4,缺陷明细!$G$2:$G$50000,$C37,缺陷明细!$AB$2:$AB$50000,"重复Bug",缺陷明细!$J$2:$J$50000,"系统测试")</f>
        <v>0</v>
      </c>
      <c r="S37" s="72">
        <f>COUNTIFS(缺陷明细!$A$2:$A$50000,$B$4,缺陷明细!$G$2:$G$50000,$C37,缺陷明细!$J$2:$J$50000,"系统测试",缺陷明细!$K$2:$K$50000,"致命",缺陷明细!$AB$2:$AB$50000,"&lt;&gt;丢弃",缺陷明细!$AB$2:$AB$50000,"&lt;&gt;设计如此",缺陷明细!$AB$2:$AB$50000,"&lt;&gt;重复Bug")+COUNTIFS(缺陷明细!$A$2:$A$50000,$B$4,缺陷明细!$G$2:$G$50000,$C37,缺陷明细!$J$2:$J$50000,"系统测试",缺陷明细!$K$2:$K$50000,"严重",缺陷明细!$AB$2:$AB$50000,"&lt;&gt;丢弃",缺陷明细!$AB$2:$AB$50000,"&lt;&gt;设计如此",缺陷明细!$AB$2:$AB$50000,"&lt;&gt;重复Bug")</f>
        <v>0</v>
      </c>
      <c r="T37" s="73">
        <f>COUNTIFS(缺陷明细!$A$2:$A$50000,$B$4,缺陷明细!$G$2:$G$50000,$C37,缺陷明细!$Q$2:$Q$50000,"已关闭",缺陷明细!$J$2:$J$50000,"系统测试",缺陷明细!$K$2:$K$50000,"致命")+COUNTIFS(缺陷明细!$A$2:$A$50000,$B$4,缺陷明细!$G$2:$G$50000,$C37,缺陷明细!$Q$2:$Q$50000,"已关闭",缺陷明细!$J$2:$J$50000,"系统测试",缺陷明细!$K$2:$K$50000,"严重")</f>
        <v>0</v>
      </c>
      <c r="U37" s="74">
        <f>COUNTIFS(缺陷明细!$A$2:$A$50000,$B$4,缺陷明细!$G$2:$G$50000,$C37,缺陷明细!$J$2:$J$50000,"验收测试",缺陷明细!$AB$2:$AB$50000,"&lt;&gt;丢弃",缺陷明细!$AB$2:$AB$50000,"&lt;&gt;设计如此",缺陷明细!$AB$2:$AB$50000,"&lt;&gt;重复Bug")</f>
        <v>0</v>
      </c>
      <c r="V37" s="75">
        <f>COUNTIFS(缺陷明细!$A$2:$A$50000,$B$4,缺陷明细!$G$2:$G$50000,$C37,缺陷明细!$Q$2:$Q$50000,"已关闭",缺陷明细!$J$2:$J$50000,"验收测试")</f>
        <v>0</v>
      </c>
      <c r="W37" s="75">
        <f>COUNTIFS(缺陷明细!$A$2:$A$50000,$B$4,缺陷明细!$G$2:$G$50000,$C37,缺陷明细!$J$2:$J$50000,"验收测试",缺陷明细!$K$2:$K$50000,"致命",缺陷明细!$AB$2:$AB$50000,"&lt;&gt;丢弃",缺陷明细!$AB$2:$AB$50000,"&lt;&gt;设计如此",缺陷明细!$AB$2:$AB$50000,"&lt;&gt;重复Bug")+COUNTIFS(缺陷明细!$A$2:$A$50000,$B$4,缺陷明细!$G$2:$G$50000,$C37,缺陷明细!$J$2:$J$50000,"验收测试",缺陷明细!$K$2:$K$50000,"严重",缺陷明细!$AB$2:$AB$50000,"&lt;&gt;丢弃",缺陷明细!$AB$2:$AB$50000,"&lt;&gt;设计如此",缺陷明细!$AB$2:$AB$50000,"&lt;&gt;重复Bug")</f>
        <v>0</v>
      </c>
      <c r="X37" s="76">
        <f>COUNTIFS(缺陷明细!$A$2:$A$50000,$B$4,缺陷明细!$G$2:$G$50000,$C37,缺陷明细!$Q$2:$Q$50000,"已关闭",缺陷明细!$J$2:$J$50000,"验收测试",缺陷明细!$K$2:$K$50000,"致命")+COUNTIFS(缺陷明细!$A$2:$A$50000,$B$4,缺陷明细!$G$2:$G$50000,$C37,缺陷明细!$Q$2:$Q$50000,"已关闭",缺陷明细!$J$2:$J$50000,"验收测试",缺陷明细!$K$2:$K$50000,"严重")</f>
        <v>0</v>
      </c>
      <c r="Y37" s="70">
        <f>COUNTIFS(缺陷明细!$A$2:$A$50000,$B$4,缺陷明细!$G$2:$G$50000,$C37,缺陷明细!$J$2:$J$50000,"运维测试",缺陷明细!$AB$2:$AB$50000,"&lt;&gt;丢弃",缺陷明细!$AB$2:$AB$50000,"&lt;&gt;设计如此",缺陷明细!$AB$2:$AB$50000,"&lt;&gt;重复Bug")</f>
        <v>0</v>
      </c>
      <c r="Z37" s="71">
        <f>COUNTIFS(缺陷明细!$A$2:$A$50000,$B$4,缺陷明细!$G$2:$G$50000,$C37,缺陷明细!$Q$2:$Q$50000,"已关闭",缺陷明细!$J$2:$J$50000,"运维测试")</f>
        <v>0</v>
      </c>
      <c r="AA37" s="72">
        <f>COUNTIFS(缺陷明细!$A$2:$A$50000,$B$4,缺陷明细!$G$2:$G$50000,$C37,缺陷明细!$J$2:$J$50000,"运维测试",缺陷明细!$K$2:$K$50000,"致命",缺陷明细!$AB$2:$AB$50000,"&lt;&gt;丢弃",缺陷明细!$AB$2:$AB$50000,"&lt;&gt;设计如此",缺陷明细!$AB$2:$AB$50000,"&lt;&gt;重复Bug")+COUNTIFS(缺陷明细!$A$2:$A$50000,$B$4,缺陷明细!$G$2:$G$50000,$C37,缺陷明细!$J$2:$J$50000,"运维测试",缺陷明细!$K$2:$K$50000,"严重",缺陷明细!$AB$2:$AB$50000,"&lt;&gt;丢弃",缺陷明细!$AB$2:$AB$50000,"&lt;&gt;设计如此",缺陷明细!$AB$2:$AB$50000,"&lt;&gt;重复Bug")</f>
        <v>0</v>
      </c>
      <c r="AB37" s="73">
        <f>COUNTIFS(缺陷明细!$A$2:$A$50000,$B$4,缺陷明细!$G$2:$G$50000,$C37,缺陷明细!$Q$2:$Q$50000,"已关闭",缺陷明细!$J$2:$J$50000,"运维测试",缺陷明细!$K$2:$K$50000,"致命")+COUNTIFS(缺陷明细!$A$2:$A$50000,$B$4,缺陷明细!$G$2:$G$50000,$C37,缺陷明细!$Q$2:$Q$50000,"已关闭",缺陷明细!$J$2:$J$50000,"运维测试",缺陷明细!$K$2:$K$50000,"严重")</f>
        <v>0</v>
      </c>
      <c r="AC37" s="68">
        <f t="shared" si="0"/>
        <v>0</v>
      </c>
      <c r="AD37" s="60">
        <f t="shared" si="0"/>
        <v>0</v>
      </c>
      <c r="AE37" s="60">
        <f t="shared" si="1"/>
        <v>0</v>
      </c>
      <c r="AF37" s="60">
        <f t="shared" si="1"/>
        <v>0</v>
      </c>
      <c r="AG37" s="60">
        <f t="shared" si="2"/>
        <v>0</v>
      </c>
      <c r="AH37" s="60">
        <f t="shared" si="2"/>
        <v>0</v>
      </c>
      <c r="AI37" s="60">
        <f t="shared" si="3"/>
        <v>0</v>
      </c>
      <c r="AJ37" s="61">
        <f t="shared" si="3"/>
        <v>0</v>
      </c>
      <c r="AK37" s="144"/>
    </row>
    <row r="38" spans="1:37">
      <c r="A38">
        <v>34</v>
      </c>
      <c r="B38" s="57"/>
      <c r="C38" s="58"/>
      <c r="D38" s="84"/>
      <c r="E38" s="82"/>
      <c r="F38" s="158"/>
      <c r="G38" s="159"/>
      <c r="H38" s="281">
        <f>COUNTIFS(缺陷明细!$A$2:$A$50000,$B$4,缺陷明细!$G$2:$G$50000,$C38,缺陷明细!$J$2:$J$50000,"评审",缺陷明细!$AB$2:$AB$50000,"&lt;&gt;丢弃",缺陷明细!$AB$2:$AB$50000,"&lt;&gt;设计如此",缺陷明细!$AB$2:$AB$50000,"&lt;&gt;重复Bug")</f>
        <v>0</v>
      </c>
      <c r="I38" s="154">
        <f>COUNTIFS(缺陷明细!$A$2:$A$50000,$B$4,缺陷明细!$G$2:$G$50000,$C38,缺陷明细!$Q$2:$Q$50000,"已关闭",缺陷明细!$J$2:$J$50000,"评审")</f>
        <v>0</v>
      </c>
      <c r="J38" s="154">
        <f>COUNTIFS(缺陷明细!$A$2:$A$50000,$B$4,缺陷明细!$G$2:$G$50000,$C38,缺陷明细!$J$2:$J$50000,"单元测试",缺陷明细!$AB$2:$AB$50000,"&lt;&gt;丢弃",缺陷明细!$AB$2:$AB$50000,"&lt;&gt;设计如此",缺陷明细!$AB$2:$AB$50000,"&lt;&gt;重复Bug")</f>
        <v>0</v>
      </c>
      <c r="K38" s="155">
        <f>COUNTIFS(缺陷明细!$A$2:$A$50000,$B$4,缺陷明细!$G$2:$G$50000,$C38,缺陷明细!$Q$2:$Q$50000,"已关闭",缺陷明细!$J$2:$J$50000,"单元测试")</f>
        <v>0</v>
      </c>
      <c r="L38" s="156"/>
      <c r="M38" s="157"/>
      <c r="N38" s="72">
        <f>COUNTIFS(缺陷明细!$A$2:$A$50000,$B$4,缺陷明细!$G$2:$G$50000,$C38,缺陷明细!$J$2:$J$50000,"系统测试案例评审",缺陷明细!$AB$2:$AB$50000,"&lt;&gt;丢弃",缺陷明细!$AB$2:$AB$50000,"&lt;&gt;设计如此",缺陷明细!$AB$2:$AB$50000,"&lt;&gt;重复Bug")</f>
        <v>0</v>
      </c>
      <c r="O38" s="72">
        <f>COUNTIFS(缺陷明细!$A$2:$A$50000,$B$4,缺陷明细!$G$2:$G$50000,$C38,缺陷明细!$Q$2:$Q$50000,"已关闭",缺陷明细!$J$2:$J$50000,"系统测试案例评审")</f>
        <v>0</v>
      </c>
      <c r="P38" s="72">
        <f>COUNTIFS(缺陷明细!$A$2:$A$50000,$B$4,缺陷明细!$G$2:$G$50000,$C38,缺陷明细!$J$2:$J$50000,"系统测试",缺陷明细!$AB$2:$AB$50000,"&lt;&gt;丢弃",缺陷明细!$AB$2:$AB$50000,"&lt;&gt;设计如此",缺陷明细!$AB$2:$AB$50000,"&lt;&gt;重复Bug")</f>
        <v>0</v>
      </c>
      <c r="Q38" s="72">
        <f>COUNTIFS(缺陷明细!$A$2:$A$50000,$B$4,缺陷明细!$G$2:$G$50000,$C38,缺陷明细!$Q$2:$Q$50000,"已关闭",缺陷明细!$J$2:$J$50000,"系统测试")</f>
        <v>0</v>
      </c>
      <c r="R38" s="296">
        <f>COUNTIFS(缺陷明细!$A$2:$A$50000,$B$4,缺陷明细!$G$2:$G$50000,$C38,缺陷明细!$AB$2:$AB$50000,"丢弃",缺陷明细!$J$2:$J$50000,"系统测试")+COUNTIFS(缺陷明细!$A$2:$A$50000,$B$4,缺陷明细!$G$2:$G$50000,$C38,缺陷明细!$AB$2:$AB$50000,"设计如此",缺陷明细!$J$2:$J$50000,"系统测试")+COUNTIFS(缺陷明细!$A$2:$A$50000,$B$4,缺陷明细!$G$2:$G$50000,$C38,缺陷明细!$AB$2:$AB$50000,"重复Bug",缺陷明细!$J$2:$J$50000,"系统测试")</f>
        <v>0</v>
      </c>
      <c r="S38" s="72">
        <f>COUNTIFS(缺陷明细!$A$2:$A$50000,$B$4,缺陷明细!$G$2:$G$50000,$C38,缺陷明细!$J$2:$J$50000,"系统测试",缺陷明细!$K$2:$K$50000,"致命",缺陷明细!$AB$2:$AB$50000,"&lt;&gt;丢弃",缺陷明细!$AB$2:$AB$50000,"&lt;&gt;设计如此",缺陷明细!$AB$2:$AB$50000,"&lt;&gt;重复Bug")+COUNTIFS(缺陷明细!$A$2:$A$50000,$B$4,缺陷明细!$G$2:$G$50000,$C38,缺陷明细!$J$2:$J$50000,"系统测试",缺陷明细!$K$2:$K$50000,"严重",缺陷明细!$AB$2:$AB$50000,"&lt;&gt;丢弃",缺陷明细!$AB$2:$AB$50000,"&lt;&gt;设计如此",缺陷明细!$AB$2:$AB$50000,"&lt;&gt;重复Bug")</f>
        <v>0</v>
      </c>
      <c r="T38" s="73">
        <f>COUNTIFS(缺陷明细!$A$2:$A$50000,$B$4,缺陷明细!$G$2:$G$50000,$C38,缺陷明细!$Q$2:$Q$50000,"已关闭",缺陷明细!$J$2:$J$50000,"系统测试",缺陷明细!$K$2:$K$50000,"致命")+COUNTIFS(缺陷明细!$A$2:$A$50000,$B$4,缺陷明细!$G$2:$G$50000,$C38,缺陷明细!$Q$2:$Q$50000,"已关闭",缺陷明细!$J$2:$J$50000,"系统测试",缺陷明细!$K$2:$K$50000,"严重")</f>
        <v>0</v>
      </c>
      <c r="U38" s="74">
        <f>COUNTIFS(缺陷明细!$A$2:$A$50000,$B$4,缺陷明细!$G$2:$G$50000,$C38,缺陷明细!$J$2:$J$50000,"验收测试",缺陷明细!$AB$2:$AB$50000,"&lt;&gt;丢弃",缺陷明细!$AB$2:$AB$50000,"&lt;&gt;设计如此",缺陷明细!$AB$2:$AB$50000,"&lt;&gt;重复Bug")</f>
        <v>0</v>
      </c>
      <c r="V38" s="75">
        <f>COUNTIFS(缺陷明细!$A$2:$A$50000,$B$4,缺陷明细!$G$2:$G$50000,$C38,缺陷明细!$Q$2:$Q$50000,"已关闭",缺陷明细!$J$2:$J$50000,"验收测试")</f>
        <v>0</v>
      </c>
      <c r="W38" s="75">
        <f>COUNTIFS(缺陷明细!$A$2:$A$50000,$B$4,缺陷明细!$G$2:$G$50000,$C38,缺陷明细!$J$2:$J$50000,"验收测试",缺陷明细!$K$2:$K$50000,"致命",缺陷明细!$AB$2:$AB$50000,"&lt;&gt;丢弃",缺陷明细!$AB$2:$AB$50000,"&lt;&gt;设计如此",缺陷明细!$AB$2:$AB$50000,"&lt;&gt;重复Bug")+COUNTIFS(缺陷明细!$A$2:$A$50000,$B$4,缺陷明细!$G$2:$G$50000,$C38,缺陷明细!$J$2:$J$50000,"验收测试",缺陷明细!$K$2:$K$50000,"严重",缺陷明细!$AB$2:$AB$50000,"&lt;&gt;丢弃",缺陷明细!$AB$2:$AB$50000,"&lt;&gt;设计如此",缺陷明细!$AB$2:$AB$50000,"&lt;&gt;重复Bug")</f>
        <v>0</v>
      </c>
      <c r="X38" s="76">
        <f>COUNTIFS(缺陷明细!$A$2:$A$50000,$B$4,缺陷明细!$G$2:$G$50000,$C38,缺陷明细!$Q$2:$Q$50000,"已关闭",缺陷明细!$J$2:$J$50000,"验收测试",缺陷明细!$K$2:$K$50000,"致命")+COUNTIFS(缺陷明细!$A$2:$A$50000,$B$4,缺陷明细!$G$2:$G$50000,$C38,缺陷明细!$Q$2:$Q$50000,"已关闭",缺陷明细!$J$2:$J$50000,"验收测试",缺陷明细!$K$2:$K$50000,"严重")</f>
        <v>0</v>
      </c>
      <c r="Y38" s="70">
        <f>COUNTIFS(缺陷明细!$A$2:$A$50000,$B$4,缺陷明细!$G$2:$G$50000,$C38,缺陷明细!$J$2:$J$50000,"运维测试",缺陷明细!$AB$2:$AB$50000,"&lt;&gt;丢弃",缺陷明细!$AB$2:$AB$50000,"&lt;&gt;设计如此",缺陷明细!$AB$2:$AB$50000,"&lt;&gt;重复Bug")</f>
        <v>0</v>
      </c>
      <c r="Z38" s="71">
        <f>COUNTIFS(缺陷明细!$A$2:$A$50000,$B$4,缺陷明细!$G$2:$G$50000,$C38,缺陷明细!$Q$2:$Q$50000,"已关闭",缺陷明细!$J$2:$J$50000,"运维测试")</f>
        <v>0</v>
      </c>
      <c r="AA38" s="72">
        <f>COUNTIFS(缺陷明细!$A$2:$A$50000,$B$4,缺陷明细!$G$2:$G$50000,$C38,缺陷明细!$J$2:$J$50000,"运维测试",缺陷明细!$K$2:$K$50000,"致命",缺陷明细!$AB$2:$AB$50000,"&lt;&gt;丢弃",缺陷明细!$AB$2:$AB$50000,"&lt;&gt;设计如此",缺陷明细!$AB$2:$AB$50000,"&lt;&gt;重复Bug")+COUNTIFS(缺陷明细!$A$2:$A$50000,$B$4,缺陷明细!$G$2:$G$50000,$C38,缺陷明细!$J$2:$J$50000,"运维测试",缺陷明细!$K$2:$K$50000,"严重",缺陷明细!$AB$2:$AB$50000,"&lt;&gt;丢弃",缺陷明细!$AB$2:$AB$50000,"&lt;&gt;设计如此",缺陷明细!$AB$2:$AB$50000,"&lt;&gt;重复Bug")</f>
        <v>0</v>
      </c>
      <c r="AB38" s="73">
        <f>COUNTIFS(缺陷明细!$A$2:$A$50000,$B$4,缺陷明细!$G$2:$G$50000,$C38,缺陷明细!$Q$2:$Q$50000,"已关闭",缺陷明细!$J$2:$J$50000,"运维测试",缺陷明细!$K$2:$K$50000,"致命")+COUNTIFS(缺陷明细!$A$2:$A$50000,$B$4,缺陷明细!$G$2:$G$50000,$C38,缺陷明细!$Q$2:$Q$50000,"已关闭",缺陷明细!$J$2:$J$50000,"运维测试",缺陷明细!$K$2:$K$50000,"严重")</f>
        <v>0</v>
      </c>
      <c r="AC38" s="68">
        <f t="shared" si="0"/>
        <v>0</v>
      </c>
      <c r="AD38" s="60">
        <f t="shared" si="0"/>
        <v>0</v>
      </c>
      <c r="AE38" s="60">
        <f t="shared" si="1"/>
        <v>0</v>
      </c>
      <c r="AF38" s="60">
        <f t="shared" si="1"/>
        <v>0</v>
      </c>
      <c r="AG38" s="60">
        <f t="shared" si="2"/>
        <v>0</v>
      </c>
      <c r="AH38" s="60">
        <f t="shared" si="2"/>
        <v>0</v>
      </c>
      <c r="AI38" s="60">
        <f t="shared" si="3"/>
        <v>0</v>
      </c>
      <c r="AJ38" s="61">
        <f t="shared" si="3"/>
        <v>0</v>
      </c>
      <c r="AK38" s="144"/>
    </row>
    <row r="39" spans="1:37">
      <c r="A39">
        <v>35</v>
      </c>
      <c r="B39" s="57"/>
      <c r="C39" s="58"/>
      <c r="D39" s="84"/>
      <c r="E39" s="82"/>
      <c r="F39" s="158"/>
      <c r="G39" s="159"/>
      <c r="H39" s="281">
        <f>COUNTIFS(缺陷明细!$A$2:$A$50000,$B$4,缺陷明细!$G$2:$G$50000,$C39,缺陷明细!$J$2:$J$50000,"评审",缺陷明细!$AB$2:$AB$50000,"&lt;&gt;丢弃",缺陷明细!$AB$2:$AB$50000,"&lt;&gt;设计如此",缺陷明细!$AB$2:$AB$50000,"&lt;&gt;重复Bug")</f>
        <v>0</v>
      </c>
      <c r="I39" s="154">
        <f>COUNTIFS(缺陷明细!$A$2:$A$50000,$B$4,缺陷明细!$G$2:$G$50000,$C39,缺陷明细!$Q$2:$Q$50000,"已关闭",缺陷明细!$J$2:$J$50000,"评审")</f>
        <v>0</v>
      </c>
      <c r="J39" s="154">
        <f>COUNTIFS(缺陷明细!$A$2:$A$50000,$B$4,缺陷明细!$G$2:$G$50000,$C39,缺陷明细!$J$2:$J$50000,"单元测试",缺陷明细!$AB$2:$AB$50000,"&lt;&gt;丢弃",缺陷明细!$AB$2:$AB$50000,"&lt;&gt;设计如此",缺陷明细!$AB$2:$AB$50000,"&lt;&gt;重复Bug")</f>
        <v>0</v>
      </c>
      <c r="K39" s="155">
        <f>COUNTIFS(缺陷明细!$A$2:$A$50000,$B$4,缺陷明细!$G$2:$G$50000,$C39,缺陷明细!$Q$2:$Q$50000,"已关闭",缺陷明细!$J$2:$J$50000,"单元测试")</f>
        <v>0</v>
      </c>
      <c r="L39" s="156"/>
      <c r="M39" s="157"/>
      <c r="N39" s="72">
        <f>COUNTIFS(缺陷明细!$A$2:$A$50000,$B$4,缺陷明细!$G$2:$G$50000,$C39,缺陷明细!$J$2:$J$50000,"系统测试案例评审",缺陷明细!$AB$2:$AB$50000,"&lt;&gt;丢弃",缺陷明细!$AB$2:$AB$50000,"&lt;&gt;设计如此",缺陷明细!$AB$2:$AB$50000,"&lt;&gt;重复Bug")</f>
        <v>0</v>
      </c>
      <c r="O39" s="72">
        <f>COUNTIFS(缺陷明细!$A$2:$A$50000,$B$4,缺陷明细!$G$2:$G$50000,$C39,缺陷明细!$Q$2:$Q$50000,"已关闭",缺陷明细!$J$2:$J$50000,"系统测试案例评审")</f>
        <v>0</v>
      </c>
      <c r="P39" s="72">
        <f>COUNTIFS(缺陷明细!$A$2:$A$50000,$B$4,缺陷明细!$G$2:$G$50000,$C39,缺陷明细!$J$2:$J$50000,"系统测试",缺陷明细!$AB$2:$AB$50000,"&lt;&gt;丢弃",缺陷明细!$AB$2:$AB$50000,"&lt;&gt;设计如此",缺陷明细!$AB$2:$AB$50000,"&lt;&gt;重复Bug")</f>
        <v>0</v>
      </c>
      <c r="Q39" s="72">
        <f>COUNTIFS(缺陷明细!$A$2:$A$50000,$B$4,缺陷明细!$G$2:$G$50000,$C39,缺陷明细!$Q$2:$Q$50000,"已关闭",缺陷明细!$J$2:$J$50000,"系统测试")</f>
        <v>0</v>
      </c>
      <c r="R39" s="296">
        <f>COUNTIFS(缺陷明细!$A$2:$A$50000,$B$4,缺陷明细!$G$2:$G$50000,$C39,缺陷明细!$AB$2:$AB$50000,"丢弃",缺陷明细!$J$2:$J$50000,"系统测试")+COUNTIFS(缺陷明细!$A$2:$A$50000,$B$4,缺陷明细!$G$2:$G$50000,$C39,缺陷明细!$AB$2:$AB$50000,"设计如此",缺陷明细!$J$2:$J$50000,"系统测试")+COUNTIFS(缺陷明细!$A$2:$A$50000,$B$4,缺陷明细!$G$2:$G$50000,$C39,缺陷明细!$AB$2:$AB$50000,"重复Bug",缺陷明细!$J$2:$J$50000,"系统测试")</f>
        <v>0</v>
      </c>
      <c r="S39" s="72">
        <f>COUNTIFS(缺陷明细!$A$2:$A$50000,$B$4,缺陷明细!$G$2:$G$50000,$C39,缺陷明细!$J$2:$J$50000,"系统测试",缺陷明细!$K$2:$K$50000,"致命",缺陷明细!$AB$2:$AB$50000,"&lt;&gt;丢弃",缺陷明细!$AB$2:$AB$50000,"&lt;&gt;设计如此",缺陷明细!$AB$2:$AB$50000,"&lt;&gt;重复Bug")+COUNTIFS(缺陷明细!$A$2:$A$50000,$B$4,缺陷明细!$G$2:$G$50000,$C39,缺陷明细!$J$2:$J$50000,"系统测试",缺陷明细!$K$2:$K$50000,"严重",缺陷明细!$AB$2:$AB$50000,"&lt;&gt;丢弃",缺陷明细!$AB$2:$AB$50000,"&lt;&gt;设计如此",缺陷明细!$AB$2:$AB$50000,"&lt;&gt;重复Bug")</f>
        <v>0</v>
      </c>
      <c r="T39" s="73">
        <f>COUNTIFS(缺陷明细!$A$2:$A$50000,$B$4,缺陷明细!$G$2:$G$50000,$C39,缺陷明细!$Q$2:$Q$50000,"已关闭",缺陷明细!$J$2:$J$50000,"系统测试",缺陷明细!$K$2:$K$50000,"致命")+COUNTIFS(缺陷明细!$A$2:$A$50000,$B$4,缺陷明细!$G$2:$G$50000,$C39,缺陷明细!$Q$2:$Q$50000,"已关闭",缺陷明细!$J$2:$J$50000,"系统测试",缺陷明细!$K$2:$K$50000,"严重")</f>
        <v>0</v>
      </c>
      <c r="U39" s="74">
        <f>COUNTIFS(缺陷明细!$A$2:$A$50000,$B$4,缺陷明细!$G$2:$G$50000,$C39,缺陷明细!$J$2:$J$50000,"验收测试",缺陷明细!$AB$2:$AB$50000,"&lt;&gt;丢弃",缺陷明细!$AB$2:$AB$50000,"&lt;&gt;设计如此",缺陷明细!$AB$2:$AB$50000,"&lt;&gt;重复Bug")</f>
        <v>0</v>
      </c>
      <c r="V39" s="75">
        <f>COUNTIFS(缺陷明细!$A$2:$A$50000,$B$4,缺陷明细!$G$2:$G$50000,$C39,缺陷明细!$Q$2:$Q$50000,"已关闭",缺陷明细!$J$2:$J$50000,"验收测试")</f>
        <v>0</v>
      </c>
      <c r="W39" s="75">
        <f>COUNTIFS(缺陷明细!$A$2:$A$50000,$B$4,缺陷明细!$G$2:$G$50000,$C39,缺陷明细!$J$2:$J$50000,"验收测试",缺陷明细!$K$2:$K$50000,"致命",缺陷明细!$AB$2:$AB$50000,"&lt;&gt;丢弃",缺陷明细!$AB$2:$AB$50000,"&lt;&gt;设计如此",缺陷明细!$AB$2:$AB$50000,"&lt;&gt;重复Bug")+COUNTIFS(缺陷明细!$A$2:$A$50000,$B$4,缺陷明细!$G$2:$G$50000,$C39,缺陷明细!$J$2:$J$50000,"验收测试",缺陷明细!$K$2:$K$50000,"严重",缺陷明细!$AB$2:$AB$50000,"&lt;&gt;丢弃",缺陷明细!$AB$2:$AB$50000,"&lt;&gt;设计如此",缺陷明细!$AB$2:$AB$50000,"&lt;&gt;重复Bug")</f>
        <v>0</v>
      </c>
      <c r="X39" s="76">
        <f>COUNTIFS(缺陷明细!$A$2:$A$50000,$B$4,缺陷明细!$G$2:$G$50000,$C39,缺陷明细!$Q$2:$Q$50000,"已关闭",缺陷明细!$J$2:$J$50000,"验收测试",缺陷明细!$K$2:$K$50000,"致命")+COUNTIFS(缺陷明细!$A$2:$A$50000,$B$4,缺陷明细!$G$2:$G$50000,$C39,缺陷明细!$Q$2:$Q$50000,"已关闭",缺陷明细!$J$2:$J$50000,"验收测试",缺陷明细!$K$2:$K$50000,"严重")</f>
        <v>0</v>
      </c>
      <c r="Y39" s="70">
        <f>COUNTIFS(缺陷明细!$A$2:$A$50000,$B$4,缺陷明细!$G$2:$G$50000,$C39,缺陷明细!$J$2:$J$50000,"运维测试",缺陷明细!$AB$2:$AB$50000,"&lt;&gt;丢弃",缺陷明细!$AB$2:$AB$50000,"&lt;&gt;设计如此",缺陷明细!$AB$2:$AB$50000,"&lt;&gt;重复Bug")</f>
        <v>0</v>
      </c>
      <c r="Z39" s="71">
        <f>COUNTIFS(缺陷明细!$A$2:$A$50000,$B$4,缺陷明细!$G$2:$G$50000,$C39,缺陷明细!$Q$2:$Q$50000,"已关闭",缺陷明细!$J$2:$J$50000,"运维测试")</f>
        <v>0</v>
      </c>
      <c r="AA39" s="72">
        <f>COUNTIFS(缺陷明细!$A$2:$A$50000,$B$4,缺陷明细!$G$2:$G$50000,$C39,缺陷明细!$J$2:$J$50000,"运维测试",缺陷明细!$K$2:$K$50000,"致命",缺陷明细!$AB$2:$AB$50000,"&lt;&gt;丢弃",缺陷明细!$AB$2:$AB$50000,"&lt;&gt;设计如此",缺陷明细!$AB$2:$AB$50000,"&lt;&gt;重复Bug")+COUNTIFS(缺陷明细!$A$2:$A$50000,$B$4,缺陷明细!$G$2:$G$50000,$C39,缺陷明细!$J$2:$J$50000,"运维测试",缺陷明细!$K$2:$K$50000,"严重",缺陷明细!$AB$2:$AB$50000,"&lt;&gt;丢弃",缺陷明细!$AB$2:$AB$50000,"&lt;&gt;设计如此",缺陷明细!$AB$2:$AB$50000,"&lt;&gt;重复Bug")</f>
        <v>0</v>
      </c>
      <c r="AB39" s="73">
        <f>COUNTIFS(缺陷明细!$A$2:$A$50000,$B$4,缺陷明细!$G$2:$G$50000,$C39,缺陷明细!$Q$2:$Q$50000,"已关闭",缺陷明细!$J$2:$J$50000,"运维测试",缺陷明细!$K$2:$K$50000,"致命")+COUNTIFS(缺陷明细!$A$2:$A$50000,$B$4,缺陷明细!$G$2:$G$50000,$C39,缺陷明细!$Q$2:$Q$50000,"已关闭",缺陷明细!$J$2:$J$50000,"运维测试",缺陷明细!$K$2:$K$50000,"严重")</f>
        <v>0</v>
      </c>
      <c r="AC39" s="68">
        <f t="shared" si="0"/>
        <v>0</v>
      </c>
      <c r="AD39" s="60">
        <f t="shared" si="0"/>
        <v>0</v>
      </c>
      <c r="AE39" s="60">
        <f t="shared" si="1"/>
        <v>0</v>
      </c>
      <c r="AF39" s="60">
        <f t="shared" si="1"/>
        <v>0</v>
      </c>
      <c r="AG39" s="60">
        <f t="shared" si="2"/>
        <v>0</v>
      </c>
      <c r="AH39" s="60">
        <f t="shared" si="2"/>
        <v>0</v>
      </c>
      <c r="AI39" s="60">
        <f t="shared" si="3"/>
        <v>0</v>
      </c>
      <c r="AJ39" s="61">
        <f t="shared" si="3"/>
        <v>0</v>
      </c>
      <c r="AK39" s="144"/>
    </row>
    <row r="40" spans="1:37">
      <c r="A40">
        <v>36</v>
      </c>
      <c r="B40" s="57"/>
      <c r="C40" s="58"/>
      <c r="D40" s="84"/>
      <c r="E40" s="82"/>
      <c r="F40" s="158"/>
      <c r="G40" s="159"/>
      <c r="H40" s="281">
        <f>COUNTIFS(缺陷明细!$A$2:$A$50000,$B$4,缺陷明细!$G$2:$G$50000,$C40,缺陷明细!$J$2:$J$50000,"评审",缺陷明细!$AB$2:$AB$50000,"&lt;&gt;丢弃",缺陷明细!$AB$2:$AB$50000,"&lt;&gt;设计如此",缺陷明细!$AB$2:$AB$50000,"&lt;&gt;重复Bug")</f>
        <v>0</v>
      </c>
      <c r="I40" s="154">
        <f>COUNTIFS(缺陷明细!$A$2:$A$50000,$B$4,缺陷明细!$G$2:$G$50000,$C40,缺陷明细!$Q$2:$Q$50000,"已关闭",缺陷明细!$J$2:$J$50000,"评审")</f>
        <v>0</v>
      </c>
      <c r="J40" s="154">
        <f>COUNTIFS(缺陷明细!$A$2:$A$50000,$B$4,缺陷明细!$G$2:$G$50000,$C40,缺陷明细!$J$2:$J$50000,"单元测试",缺陷明细!$AB$2:$AB$50000,"&lt;&gt;丢弃",缺陷明细!$AB$2:$AB$50000,"&lt;&gt;设计如此",缺陷明细!$AB$2:$AB$50000,"&lt;&gt;重复Bug")</f>
        <v>0</v>
      </c>
      <c r="K40" s="155">
        <f>COUNTIFS(缺陷明细!$A$2:$A$50000,$B$4,缺陷明细!$G$2:$G$50000,$C40,缺陷明细!$Q$2:$Q$50000,"已关闭",缺陷明细!$J$2:$J$50000,"单元测试")</f>
        <v>0</v>
      </c>
      <c r="L40" s="156"/>
      <c r="M40" s="157"/>
      <c r="N40" s="72">
        <f>COUNTIFS(缺陷明细!$A$2:$A$50000,$B$4,缺陷明细!$G$2:$G$50000,$C40,缺陷明细!$J$2:$J$50000,"系统测试案例评审",缺陷明细!$AB$2:$AB$50000,"&lt;&gt;丢弃",缺陷明细!$AB$2:$AB$50000,"&lt;&gt;设计如此",缺陷明细!$AB$2:$AB$50000,"&lt;&gt;重复Bug")</f>
        <v>0</v>
      </c>
      <c r="O40" s="72">
        <f>COUNTIFS(缺陷明细!$A$2:$A$50000,$B$4,缺陷明细!$G$2:$G$50000,$C40,缺陷明细!$Q$2:$Q$50000,"已关闭",缺陷明细!$J$2:$J$50000,"系统测试案例评审")</f>
        <v>0</v>
      </c>
      <c r="P40" s="72">
        <f>COUNTIFS(缺陷明细!$A$2:$A$50000,$B$4,缺陷明细!$G$2:$G$50000,$C40,缺陷明细!$J$2:$J$50000,"系统测试",缺陷明细!$AB$2:$AB$50000,"&lt;&gt;丢弃",缺陷明细!$AB$2:$AB$50000,"&lt;&gt;设计如此",缺陷明细!$AB$2:$AB$50000,"&lt;&gt;重复Bug")</f>
        <v>0</v>
      </c>
      <c r="Q40" s="72">
        <f>COUNTIFS(缺陷明细!$A$2:$A$50000,$B$4,缺陷明细!$G$2:$G$50000,$C40,缺陷明细!$Q$2:$Q$50000,"已关闭",缺陷明细!$J$2:$J$50000,"系统测试")</f>
        <v>0</v>
      </c>
      <c r="R40" s="296">
        <f>COUNTIFS(缺陷明细!$A$2:$A$50000,$B$4,缺陷明细!$G$2:$G$50000,$C40,缺陷明细!$AB$2:$AB$50000,"丢弃",缺陷明细!$J$2:$J$50000,"系统测试")+COUNTIFS(缺陷明细!$A$2:$A$50000,$B$4,缺陷明细!$G$2:$G$50000,$C40,缺陷明细!$AB$2:$AB$50000,"设计如此",缺陷明细!$J$2:$J$50000,"系统测试")+COUNTIFS(缺陷明细!$A$2:$A$50000,$B$4,缺陷明细!$G$2:$G$50000,$C40,缺陷明细!$AB$2:$AB$50000,"重复Bug",缺陷明细!$J$2:$J$50000,"系统测试")</f>
        <v>0</v>
      </c>
      <c r="S40" s="72">
        <f>COUNTIFS(缺陷明细!$A$2:$A$50000,$B$4,缺陷明细!$G$2:$G$50000,$C40,缺陷明细!$J$2:$J$50000,"系统测试",缺陷明细!$K$2:$K$50000,"致命",缺陷明细!$AB$2:$AB$50000,"&lt;&gt;丢弃",缺陷明细!$AB$2:$AB$50000,"&lt;&gt;设计如此",缺陷明细!$AB$2:$AB$50000,"&lt;&gt;重复Bug")+COUNTIFS(缺陷明细!$A$2:$A$50000,$B$4,缺陷明细!$G$2:$G$50000,$C40,缺陷明细!$J$2:$J$50000,"系统测试",缺陷明细!$K$2:$K$50000,"严重",缺陷明细!$AB$2:$AB$50000,"&lt;&gt;丢弃",缺陷明细!$AB$2:$AB$50000,"&lt;&gt;设计如此",缺陷明细!$AB$2:$AB$50000,"&lt;&gt;重复Bug")</f>
        <v>0</v>
      </c>
      <c r="T40" s="73">
        <f>COUNTIFS(缺陷明细!$A$2:$A$50000,$B$4,缺陷明细!$G$2:$G$50000,$C40,缺陷明细!$Q$2:$Q$50000,"已关闭",缺陷明细!$J$2:$J$50000,"系统测试",缺陷明细!$K$2:$K$50000,"致命")+COUNTIFS(缺陷明细!$A$2:$A$50000,$B$4,缺陷明细!$G$2:$G$50000,$C40,缺陷明细!$Q$2:$Q$50000,"已关闭",缺陷明细!$J$2:$J$50000,"系统测试",缺陷明细!$K$2:$K$50000,"严重")</f>
        <v>0</v>
      </c>
      <c r="U40" s="74">
        <f>COUNTIFS(缺陷明细!$A$2:$A$50000,$B$4,缺陷明细!$G$2:$G$50000,$C40,缺陷明细!$J$2:$J$50000,"验收测试",缺陷明细!$AB$2:$AB$50000,"&lt;&gt;丢弃",缺陷明细!$AB$2:$AB$50000,"&lt;&gt;设计如此",缺陷明细!$AB$2:$AB$50000,"&lt;&gt;重复Bug")</f>
        <v>0</v>
      </c>
      <c r="V40" s="75">
        <f>COUNTIFS(缺陷明细!$A$2:$A$50000,$B$4,缺陷明细!$G$2:$G$50000,$C40,缺陷明细!$Q$2:$Q$50000,"已关闭",缺陷明细!$J$2:$J$50000,"验收测试")</f>
        <v>0</v>
      </c>
      <c r="W40" s="75">
        <f>COUNTIFS(缺陷明细!$A$2:$A$50000,$B$4,缺陷明细!$G$2:$G$50000,$C40,缺陷明细!$J$2:$J$50000,"验收测试",缺陷明细!$K$2:$K$50000,"致命",缺陷明细!$AB$2:$AB$50000,"&lt;&gt;丢弃",缺陷明细!$AB$2:$AB$50000,"&lt;&gt;设计如此",缺陷明细!$AB$2:$AB$50000,"&lt;&gt;重复Bug")+COUNTIFS(缺陷明细!$A$2:$A$50000,$B$4,缺陷明细!$G$2:$G$50000,$C40,缺陷明细!$J$2:$J$50000,"验收测试",缺陷明细!$K$2:$K$50000,"严重",缺陷明细!$AB$2:$AB$50000,"&lt;&gt;丢弃",缺陷明细!$AB$2:$AB$50000,"&lt;&gt;设计如此",缺陷明细!$AB$2:$AB$50000,"&lt;&gt;重复Bug")</f>
        <v>0</v>
      </c>
      <c r="X40" s="76">
        <f>COUNTIFS(缺陷明细!$A$2:$A$50000,$B$4,缺陷明细!$G$2:$G$50000,$C40,缺陷明细!$Q$2:$Q$50000,"已关闭",缺陷明细!$J$2:$J$50000,"验收测试",缺陷明细!$K$2:$K$50000,"致命")+COUNTIFS(缺陷明细!$A$2:$A$50000,$B$4,缺陷明细!$G$2:$G$50000,$C40,缺陷明细!$Q$2:$Q$50000,"已关闭",缺陷明细!$J$2:$J$50000,"验收测试",缺陷明细!$K$2:$K$50000,"严重")</f>
        <v>0</v>
      </c>
      <c r="Y40" s="70">
        <f>COUNTIFS(缺陷明细!$A$2:$A$50000,$B$4,缺陷明细!$G$2:$G$50000,$C40,缺陷明细!$J$2:$J$50000,"运维测试",缺陷明细!$AB$2:$AB$50000,"&lt;&gt;丢弃",缺陷明细!$AB$2:$AB$50000,"&lt;&gt;设计如此",缺陷明细!$AB$2:$AB$50000,"&lt;&gt;重复Bug")</f>
        <v>0</v>
      </c>
      <c r="Z40" s="71">
        <f>COUNTIFS(缺陷明细!$A$2:$A$50000,$B$4,缺陷明细!$G$2:$G$50000,$C40,缺陷明细!$Q$2:$Q$50000,"已关闭",缺陷明细!$J$2:$J$50000,"运维测试")</f>
        <v>0</v>
      </c>
      <c r="AA40" s="72">
        <f>COUNTIFS(缺陷明细!$A$2:$A$50000,$B$4,缺陷明细!$G$2:$G$50000,$C40,缺陷明细!$J$2:$J$50000,"运维测试",缺陷明细!$K$2:$K$50000,"致命",缺陷明细!$AB$2:$AB$50000,"&lt;&gt;丢弃",缺陷明细!$AB$2:$AB$50000,"&lt;&gt;设计如此",缺陷明细!$AB$2:$AB$50000,"&lt;&gt;重复Bug")+COUNTIFS(缺陷明细!$A$2:$A$50000,$B$4,缺陷明细!$G$2:$G$50000,$C40,缺陷明细!$J$2:$J$50000,"运维测试",缺陷明细!$K$2:$K$50000,"严重",缺陷明细!$AB$2:$AB$50000,"&lt;&gt;丢弃",缺陷明细!$AB$2:$AB$50000,"&lt;&gt;设计如此",缺陷明细!$AB$2:$AB$50000,"&lt;&gt;重复Bug")</f>
        <v>0</v>
      </c>
      <c r="AB40" s="73">
        <f>COUNTIFS(缺陷明细!$A$2:$A$50000,$B$4,缺陷明细!$G$2:$G$50000,$C40,缺陷明细!$Q$2:$Q$50000,"已关闭",缺陷明细!$J$2:$J$50000,"运维测试",缺陷明细!$K$2:$K$50000,"致命")+COUNTIFS(缺陷明细!$A$2:$A$50000,$B$4,缺陷明细!$G$2:$G$50000,$C40,缺陷明细!$Q$2:$Q$50000,"已关闭",缺陷明细!$J$2:$J$50000,"运维测试",缺陷明细!$K$2:$K$50000,"严重")</f>
        <v>0</v>
      </c>
      <c r="AC40" s="68">
        <f t="shared" si="0"/>
        <v>0</v>
      </c>
      <c r="AD40" s="60">
        <f t="shared" si="0"/>
        <v>0</v>
      </c>
      <c r="AE40" s="60">
        <f t="shared" si="1"/>
        <v>0</v>
      </c>
      <c r="AF40" s="60">
        <f t="shared" si="1"/>
        <v>0</v>
      </c>
      <c r="AG40" s="60">
        <f t="shared" si="2"/>
        <v>0</v>
      </c>
      <c r="AH40" s="60">
        <f t="shared" si="2"/>
        <v>0</v>
      </c>
      <c r="AI40" s="60">
        <f t="shared" si="3"/>
        <v>0</v>
      </c>
      <c r="AJ40" s="61">
        <f t="shared" si="3"/>
        <v>0</v>
      </c>
      <c r="AK40" s="144"/>
    </row>
    <row r="41" spans="1:37">
      <c r="A41">
        <v>37</v>
      </c>
      <c r="B41" s="57"/>
      <c r="C41" s="58"/>
      <c r="D41" s="84"/>
      <c r="E41" s="82"/>
      <c r="F41" s="158"/>
      <c r="G41" s="159"/>
      <c r="H41" s="281">
        <f>COUNTIFS(缺陷明细!$A$2:$A$50000,$B$4,缺陷明细!$G$2:$G$50000,$C41,缺陷明细!$J$2:$J$50000,"评审",缺陷明细!$AB$2:$AB$50000,"&lt;&gt;丢弃",缺陷明细!$AB$2:$AB$50000,"&lt;&gt;设计如此",缺陷明细!$AB$2:$AB$50000,"&lt;&gt;重复Bug")</f>
        <v>0</v>
      </c>
      <c r="I41" s="154">
        <f>COUNTIFS(缺陷明细!$A$2:$A$50000,$B$4,缺陷明细!$G$2:$G$50000,$C41,缺陷明细!$Q$2:$Q$50000,"已关闭",缺陷明细!$J$2:$J$50000,"评审")</f>
        <v>0</v>
      </c>
      <c r="J41" s="154">
        <f>COUNTIFS(缺陷明细!$A$2:$A$50000,$B$4,缺陷明细!$G$2:$G$50000,$C41,缺陷明细!$J$2:$J$50000,"单元测试",缺陷明细!$AB$2:$AB$50000,"&lt;&gt;丢弃",缺陷明细!$AB$2:$AB$50000,"&lt;&gt;设计如此",缺陷明细!$AB$2:$AB$50000,"&lt;&gt;重复Bug")</f>
        <v>0</v>
      </c>
      <c r="K41" s="155">
        <f>COUNTIFS(缺陷明细!$A$2:$A$50000,$B$4,缺陷明细!$G$2:$G$50000,$C41,缺陷明细!$Q$2:$Q$50000,"已关闭",缺陷明细!$J$2:$J$50000,"单元测试")</f>
        <v>0</v>
      </c>
      <c r="L41" s="156"/>
      <c r="M41" s="157"/>
      <c r="N41" s="72">
        <f>COUNTIFS(缺陷明细!$A$2:$A$50000,$B$4,缺陷明细!$G$2:$G$50000,$C41,缺陷明细!$J$2:$J$50000,"系统测试案例评审",缺陷明细!$AB$2:$AB$50000,"&lt;&gt;丢弃",缺陷明细!$AB$2:$AB$50000,"&lt;&gt;设计如此",缺陷明细!$AB$2:$AB$50000,"&lt;&gt;重复Bug")</f>
        <v>0</v>
      </c>
      <c r="O41" s="72">
        <f>COUNTIFS(缺陷明细!$A$2:$A$50000,$B$4,缺陷明细!$G$2:$G$50000,$C41,缺陷明细!$Q$2:$Q$50000,"已关闭",缺陷明细!$J$2:$J$50000,"系统测试案例评审")</f>
        <v>0</v>
      </c>
      <c r="P41" s="72">
        <f>COUNTIFS(缺陷明细!$A$2:$A$50000,$B$4,缺陷明细!$G$2:$G$50000,$C41,缺陷明细!$J$2:$J$50000,"系统测试",缺陷明细!$AB$2:$AB$50000,"&lt;&gt;丢弃",缺陷明细!$AB$2:$AB$50000,"&lt;&gt;设计如此",缺陷明细!$AB$2:$AB$50000,"&lt;&gt;重复Bug")</f>
        <v>0</v>
      </c>
      <c r="Q41" s="72">
        <f>COUNTIFS(缺陷明细!$A$2:$A$50000,$B$4,缺陷明细!$G$2:$G$50000,$C41,缺陷明细!$Q$2:$Q$50000,"已关闭",缺陷明细!$J$2:$J$50000,"系统测试")</f>
        <v>0</v>
      </c>
      <c r="R41" s="296">
        <f>COUNTIFS(缺陷明细!$A$2:$A$50000,$B$4,缺陷明细!$G$2:$G$50000,$C41,缺陷明细!$AB$2:$AB$50000,"丢弃",缺陷明细!$J$2:$J$50000,"系统测试")+COUNTIFS(缺陷明细!$A$2:$A$50000,$B$4,缺陷明细!$G$2:$G$50000,$C41,缺陷明细!$AB$2:$AB$50000,"设计如此",缺陷明细!$J$2:$J$50000,"系统测试")+COUNTIFS(缺陷明细!$A$2:$A$50000,$B$4,缺陷明细!$G$2:$G$50000,$C41,缺陷明细!$AB$2:$AB$50000,"重复Bug",缺陷明细!$J$2:$J$50000,"系统测试")</f>
        <v>0</v>
      </c>
      <c r="S41" s="72">
        <f>COUNTIFS(缺陷明细!$A$2:$A$50000,$B$4,缺陷明细!$G$2:$G$50000,$C41,缺陷明细!$J$2:$J$50000,"系统测试",缺陷明细!$K$2:$K$50000,"致命",缺陷明细!$AB$2:$AB$50000,"&lt;&gt;丢弃",缺陷明细!$AB$2:$AB$50000,"&lt;&gt;设计如此",缺陷明细!$AB$2:$AB$50000,"&lt;&gt;重复Bug")+COUNTIFS(缺陷明细!$A$2:$A$50000,$B$4,缺陷明细!$G$2:$G$50000,$C41,缺陷明细!$J$2:$J$50000,"系统测试",缺陷明细!$K$2:$K$50000,"严重",缺陷明细!$AB$2:$AB$50000,"&lt;&gt;丢弃",缺陷明细!$AB$2:$AB$50000,"&lt;&gt;设计如此",缺陷明细!$AB$2:$AB$50000,"&lt;&gt;重复Bug")</f>
        <v>0</v>
      </c>
      <c r="T41" s="73">
        <f>COUNTIFS(缺陷明细!$A$2:$A$50000,$B$4,缺陷明细!$G$2:$G$50000,$C41,缺陷明细!$Q$2:$Q$50000,"已关闭",缺陷明细!$J$2:$J$50000,"系统测试",缺陷明细!$K$2:$K$50000,"致命")+COUNTIFS(缺陷明细!$A$2:$A$50000,$B$4,缺陷明细!$G$2:$G$50000,$C41,缺陷明细!$Q$2:$Q$50000,"已关闭",缺陷明细!$J$2:$J$50000,"系统测试",缺陷明细!$K$2:$K$50000,"严重")</f>
        <v>0</v>
      </c>
      <c r="U41" s="74">
        <f>COUNTIFS(缺陷明细!$A$2:$A$50000,$B$4,缺陷明细!$G$2:$G$50000,$C41,缺陷明细!$J$2:$J$50000,"验收测试",缺陷明细!$AB$2:$AB$50000,"&lt;&gt;丢弃",缺陷明细!$AB$2:$AB$50000,"&lt;&gt;设计如此",缺陷明细!$AB$2:$AB$50000,"&lt;&gt;重复Bug")</f>
        <v>0</v>
      </c>
      <c r="V41" s="75">
        <f>COUNTIFS(缺陷明细!$A$2:$A$50000,$B$4,缺陷明细!$G$2:$G$50000,$C41,缺陷明细!$Q$2:$Q$50000,"已关闭",缺陷明细!$J$2:$J$50000,"验收测试")</f>
        <v>0</v>
      </c>
      <c r="W41" s="75">
        <f>COUNTIFS(缺陷明细!$A$2:$A$50000,$B$4,缺陷明细!$G$2:$G$50000,$C41,缺陷明细!$J$2:$J$50000,"验收测试",缺陷明细!$K$2:$K$50000,"致命",缺陷明细!$AB$2:$AB$50000,"&lt;&gt;丢弃",缺陷明细!$AB$2:$AB$50000,"&lt;&gt;设计如此",缺陷明细!$AB$2:$AB$50000,"&lt;&gt;重复Bug")+COUNTIFS(缺陷明细!$A$2:$A$50000,$B$4,缺陷明细!$G$2:$G$50000,$C41,缺陷明细!$J$2:$J$50000,"验收测试",缺陷明细!$K$2:$K$50000,"严重",缺陷明细!$AB$2:$AB$50000,"&lt;&gt;丢弃",缺陷明细!$AB$2:$AB$50000,"&lt;&gt;设计如此",缺陷明细!$AB$2:$AB$50000,"&lt;&gt;重复Bug")</f>
        <v>0</v>
      </c>
      <c r="X41" s="76">
        <f>COUNTIFS(缺陷明细!$A$2:$A$50000,$B$4,缺陷明细!$G$2:$G$50000,$C41,缺陷明细!$Q$2:$Q$50000,"已关闭",缺陷明细!$J$2:$J$50000,"验收测试",缺陷明细!$K$2:$K$50000,"致命")+COUNTIFS(缺陷明细!$A$2:$A$50000,$B$4,缺陷明细!$G$2:$G$50000,$C41,缺陷明细!$Q$2:$Q$50000,"已关闭",缺陷明细!$J$2:$J$50000,"验收测试",缺陷明细!$K$2:$K$50000,"严重")</f>
        <v>0</v>
      </c>
      <c r="Y41" s="70">
        <f>COUNTIFS(缺陷明细!$A$2:$A$50000,$B$4,缺陷明细!$G$2:$G$50000,$C41,缺陷明细!$J$2:$J$50000,"运维测试",缺陷明细!$AB$2:$AB$50000,"&lt;&gt;丢弃",缺陷明细!$AB$2:$AB$50000,"&lt;&gt;设计如此",缺陷明细!$AB$2:$AB$50000,"&lt;&gt;重复Bug")</f>
        <v>0</v>
      </c>
      <c r="Z41" s="71">
        <f>COUNTIFS(缺陷明细!$A$2:$A$50000,$B$4,缺陷明细!$G$2:$G$50000,$C41,缺陷明细!$Q$2:$Q$50000,"已关闭",缺陷明细!$J$2:$J$50000,"运维测试")</f>
        <v>0</v>
      </c>
      <c r="AA41" s="72">
        <f>COUNTIFS(缺陷明细!$A$2:$A$50000,$B$4,缺陷明细!$G$2:$G$50000,$C41,缺陷明细!$J$2:$J$50000,"运维测试",缺陷明细!$K$2:$K$50000,"致命",缺陷明细!$AB$2:$AB$50000,"&lt;&gt;丢弃",缺陷明细!$AB$2:$AB$50000,"&lt;&gt;设计如此",缺陷明细!$AB$2:$AB$50000,"&lt;&gt;重复Bug")+COUNTIFS(缺陷明细!$A$2:$A$50000,$B$4,缺陷明细!$G$2:$G$50000,$C41,缺陷明细!$J$2:$J$50000,"运维测试",缺陷明细!$K$2:$K$50000,"严重",缺陷明细!$AB$2:$AB$50000,"&lt;&gt;丢弃",缺陷明细!$AB$2:$AB$50000,"&lt;&gt;设计如此",缺陷明细!$AB$2:$AB$50000,"&lt;&gt;重复Bug")</f>
        <v>0</v>
      </c>
      <c r="AB41" s="73">
        <f>COUNTIFS(缺陷明细!$A$2:$A$50000,$B$4,缺陷明细!$G$2:$G$50000,$C41,缺陷明细!$Q$2:$Q$50000,"已关闭",缺陷明细!$J$2:$J$50000,"运维测试",缺陷明细!$K$2:$K$50000,"致命")+COUNTIFS(缺陷明细!$A$2:$A$50000,$B$4,缺陷明细!$G$2:$G$50000,$C41,缺陷明细!$Q$2:$Q$50000,"已关闭",缺陷明细!$J$2:$J$50000,"运维测试",缺陷明细!$K$2:$K$50000,"严重")</f>
        <v>0</v>
      </c>
      <c r="AC41" s="68">
        <f t="shared" si="0"/>
        <v>0</v>
      </c>
      <c r="AD41" s="60">
        <f t="shared" si="0"/>
        <v>0</v>
      </c>
      <c r="AE41" s="60">
        <f t="shared" si="1"/>
        <v>0</v>
      </c>
      <c r="AF41" s="60">
        <f t="shared" si="1"/>
        <v>0</v>
      </c>
      <c r="AG41" s="60">
        <f t="shared" si="2"/>
        <v>0</v>
      </c>
      <c r="AH41" s="60">
        <f t="shared" si="2"/>
        <v>0</v>
      </c>
      <c r="AI41" s="60">
        <f t="shared" si="3"/>
        <v>0</v>
      </c>
      <c r="AJ41" s="61">
        <f t="shared" si="3"/>
        <v>0</v>
      </c>
      <c r="AK41" s="144"/>
    </row>
    <row r="42" spans="1:37">
      <c r="A42">
        <v>38</v>
      </c>
      <c r="B42" s="57"/>
      <c r="C42" s="58"/>
      <c r="D42" s="84"/>
      <c r="E42" s="82"/>
      <c r="F42" s="158"/>
      <c r="G42" s="159"/>
      <c r="H42" s="281">
        <f>COUNTIFS(缺陷明细!$A$2:$A$50000,$B$4,缺陷明细!$G$2:$G$50000,$C42,缺陷明细!$J$2:$J$50000,"评审",缺陷明细!$AB$2:$AB$50000,"&lt;&gt;丢弃",缺陷明细!$AB$2:$AB$50000,"&lt;&gt;设计如此",缺陷明细!$AB$2:$AB$50000,"&lt;&gt;重复Bug")</f>
        <v>0</v>
      </c>
      <c r="I42" s="154">
        <f>COUNTIFS(缺陷明细!$A$2:$A$50000,$B$4,缺陷明细!$G$2:$G$50000,$C42,缺陷明细!$Q$2:$Q$50000,"已关闭",缺陷明细!$J$2:$J$50000,"评审")</f>
        <v>0</v>
      </c>
      <c r="J42" s="154">
        <f>COUNTIFS(缺陷明细!$A$2:$A$50000,$B$4,缺陷明细!$G$2:$G$50000,$C42,缺陷明细!$J$2:$J$50000,"单元测试",缺陷明细!$AB$2:$AB$50000,"&lt;&gt;丢弃",缺陷明细!$AB$2:$AB$50000,"&lt;&gt;设计如此",缺陷明细!$AB$2:$AB$50000,"&lt;&gt;重复Bug")</f>
        <v>0</v>
      </c>
      <c r="K42" s="155">
        <f>COUNTIFS(缺陷明细!$A$2:$A$50000,$B$4,缺陷明细!$G$2:$G$50000,$C42,缺陷明细!$Q$2:$Q$50000,"已关闭",缺陷明细!$J$2:$J$50000,"单元测试")</f>
        <v>0</v>
      </c>
      <c r="L42" s="156"/>
      <c r="M42" s="157"/>
      <c r="N42" s="72">
        <f>COUNTIFS(缺陷明细!$A$2:$A$50000,$B$4,缺陷明细!$G$2:$G$50000,$C42,缺陷明细!$J$2:$J$50000,"系统测试案例评审",缺陷明细!$AB$2:$AB$50000,"&lt;&gt;丢弃",缺陷明细!$AB$2:$AB$50000,"&lt;&gt;设计如此",缺陷明细!$AB$2:$AB$50000,"&lt;&gt;重复Bug")</f>
        <v>0</v>
      </c>
      <c r="O42" s="72">
        <f>COUNTIFS(缺陷明细!$A$2:$A$50000,$B$4,缺陷明细!$G$2:$G$50000,$C42,缺陷明细!$Q$2:$Q$50000,"已关闭",缺陷明细!$J$2:$J$50000,"系统测试案例评审")</f>
        <v>0</v>
      </c>
      <c r="P42" s="72">
        <f>COUNTIFS(缺陷明细!$A$2:$A$50000,$B$4,缺陷明细!$G$2:$G$50000,$C42,缺陷明细!$J$2:$J$50000,"系统测试",缺陷明细!$AB$2:$AB$50000,"&lt;&gt;丢弃",缺陷明细!$AB$2:$AB$50000,"&lt;&gt;设计如此",缺陷明细!$AB$2:$AB$50000,"&lt;&gt;重复Bug")</f>
        <v>0</v>
      </c>
      <c r="Q42" s="72">
        <f>COUNTIFS(缺陷明细!$A$2:$A$50000,$B$4,缺陷明细!$G$2:$G$50000,$C42,缺陷明细!$Q$2:$Q$50000,"已关闭",缺陷明细!$J$2:$J$50000,"系统测试")</f>
        <v>0</v>
      </c>
      <c r="R42" s="296">
        <f>COUNTIFS(缺陷明细!$A$2:$A$50000,$B$4,缺陷明细!$G$2:$G$50000,$C42,缺陷明细!$AB$2:$AB$50000,"丢弃",缺陷明细!$J$2:$J$50000,"系统测试")+COUNTIFS(缺陷明细!$A$2:$A$50000,$B$4,缺陷明细!$G$2:$G$50000,$C42,缺陷明细!$AB$2:$AB$50000,"设计如此",缺陷明细!$J$2:$J$50000,"系统测试")+COUNTIFS(缺陷明细!$A$2:$A$50000,$B$4,缺陷明细!$G$2:$G$50000,$C42,缺陷明细!$AB$2:$AB$50000,"重复Bug",缺陷明细!$J$2:$J$50000,"系统测试")</f>
        <v>0</v>
      </c>
      <c r="S42" s="72">
        <f>COUNTIFS(缺陷明细!$A$2:$A$50000,$B$4,缺陷明细!$G$2:$G$50000,$C42,缺陷明细!$J$2:$J$50000,"系统测试",缺陷明细!$K$2:$K$50000,"致命",缺陷明细!$AB$2:$AB$50000,"&lt;&gt;丢弃",缺陷明细!$AB$2:$AB$50000,"&lt;&gt;设计如此",缺陷明细!$AB$2:$AB$50000,"&lt;&gt;重复Bug")+COUNTIFS(缺陷明细!$A$2:$A$50000,$B$4,缺陷明细!$G$2:$G$50000,$C42,缺陷明细!$J$2:$J$50000,"系统测试",缺陷明细!$K$2:$K$50000,"严重",缺陷明细!$AB$2:$AB$50000,"&lt;&gt;丢弃",缺陷明细!$AB$2:$AB$50000,"&lt;&gt;设计如此",缺陷明细!$AB$2:$AB$50000,"&lt;&gt;重复Bug")</f>
        <v>0</v>
      </c>
      <c r="T42" s="73">
        <f>COUNTIFS(缺陷明细!$A$2:$A$50000,$B$4,缺陷明细!$G$2:$G$50000,$C42,缺陷明细!$Q$2:$Q$50000,"已关闭",缺陷明细!$J$2:$J$50000,"系统测试",缺陷明细!$K$2:$K$50000,"致命")+COUNTIFS(缺陷明细!$A$2:$A$50000,$B$4,缺陷明细!$G$2:$G$50000,$C42,缺陷明细!$Q$2:$Q$50000,"已关闭",缺陷明细!$J$2:$J$50000,"系统测试",缺陷明细!$K$2:$K$50000,"严重")</f>
        <v>0</v>
      </c>
      <c r="U42" s="74">
        <f>COUNTIFS(缺陷明细!$A$2:$A$50000,$B$4,缺陷明细!$G$2:$G$50000,$C42,缺陷明细!$J$2:$J$50000,"验收测试",缺陷明细!$AB$2:$AB$50000,"&lt;&gt;丢弃",缺陷明细!$AB$2:$AB$50000,"&lt;&gt;设计如此",缺陷明细!$AB$2:$AB$50000,"&lt;&gt;重复Bug")</f>
        <v>0</v>
      </c>
      <c r="V42" s="75">
        <f>COUNTIFS(缺陷明细!$A$2:$A$50000,$B$4,缺陷明细!$G$2:$G$50000,$C42,缺陷明细!$Q$2:$Q$50000,"已关闭",缺陷明细!$J$2:$J$50000,"验收测试")</f>
        <v>0</v>
      </c>
      <c r="W42" s="75">
        <f>COUNTIFS(缺陷明细!$A$2:$A$50000,$B$4,缺陷明细!$G$2:$G$50000,$C42,缺陷明细!$J$2:$J$50000,"验收测试",缺陷明细!$K$2:$K$50000,"致命",缺陷明细!$AB$2:$AB$50000,"&lt;&gt;丢弃",缺陷明细!$AB$2:$AB$50000,"&lt;&gt;设计如此",缺陷明细!$AB$2:$AB$50000,"&lt;&gt;重复Bug")+COUNTIFS(缺陷明细!$A$2:$A$50000,$B$4,缺陷明细!$G$2:$G$50000,$C42,缺陷明细!$J$2:$J$50000,"验收测试",缺陷明细!$K$2:$K$50000,"严重",缺陷明细!$AB$2:$AB$50000,"&lt;&gt;丢弃",缺陷明细!$AB$2:$AB$50000,"&lt;&gt;设计如此",缺陷明细!$AB$2:$AB$50000,"&lt;&gt;重复Bug")</f>
        <v>0</v>
      </c>
      <c r="X42" s="76">
        <f>COUNTIFS(缺陷明细!$A$2:$A$50000,$B$4,缺陷明细!$G$2:$G$50000,$C42,缺陷明细!$Q$2:$Q$50000,"已关闭",缺陷明细!$J$2:$J$50000,"验收测试",缺陷明细!$K$2:$K$50000,"致命")+COUNTIFS(缺陷明细!$A$2:$A$50000,$B$4,缺陷明细!$G$2:$G$50000,$C42,缺陷明细!$Q$2:$Q$50000,"已关闭",缺陷明细!$J$2:$J$50000,"验收测试",缺陷明细!$K$2:$K$50000,"严重")</f>
        <v>0</v>
      </c>
      <c r="Y42" s="70">
        <f>COUNTIFS(缺陷明细!$A$2:$A$50000,$B$4,缺陷明细!$G$2:$G$50000,$C42,缺陷明细!$J$2:$J$50000,"运维测试",缺陷明细!$AB$2:$AB$50000,"&lt;&gt;丢弃",缺陷明细!$AB$2:$AB$50000,"&lt;&gt;设计如此",缺陷明细!$AB$2:$AB$50000,"&lt;&gt;重复Bug")</f>
        <v>0</v>
      </c>
      <c r="Z42" s="71">
        <f>COUNTIFS(缺陷明细!$A$2:$A$50000,$B$4,缺陷明细!$G$2:$G$50000,$C42,缺陷明细!$Q$2:$Q$50000,"已关闭",缺陷明细!$J$2:$J$50000,"运维测试")</f>
        <v>0</v>
      </c>
      <c r="AA42" s="72">
        <f>COUNTIFS(缺陷明细!$A$2:$A$50000,$B$4,缺陷明细!$G$2:$G$50000,$C42,缺陷明细!$J$2:$J$50000,"运维测试",缺陷明细!$K$2:$K$50000,"致命",缺陷明细!$AB$2:$AB$50000,"&lt;&gt;丢弃",缺陷明细!$AB$2:$AB$50000,"&lt;&gt;设计如此",缺陷明细!$AB$2:$AB$50000,"&lt;&gt;重复Bug")+COUNTIFS(缺陷明细!$A$2:$A$50000,$B$4,缺陷明细!$G$2:$G$50000,$C42,缺陷明细!$J$2:$J$50000,"运维测试",缺陷明细!$K$2:$K$50000,"严重",缺陷明细!$AB$2:$AB$50000,"&lt;&gt;丢弃",缺陷明细!$AB$2:$AB$50000,"&lt;&gt;设计如此",缺陷明细!$AB$2:$AB$50000,"&lt;&gt;重复Bug")</f>
        <v>0</v>
      </c>
      <c r="AB42" s="73">
        <f>COUNTIFS(缺陷明细!$A$2:$A$50000,$B$4,缺陷明细!$G$2:$G$50000,$C42,缺陷明细!$Q$2:$Q$50000,"已关闭",缺陷明细!$J$2:$J$50000,"运维测试",缺陷明细!$K$2:$K$50000,"致命")+COUNTIFS(缺陷明细!$A$2:$A$50000,$B$4,缺陷明细!$G$2:$G$50000,$C42,缺陷明细!$Q$2:$Q$50000,"已关闭",缺陷明细!$J$2:$J$50000,"运维测试",缺陷明细!$K$2:$K$50000,"严重")</f>
        <v>0</v>
      </c>
      <c r="AC42" s="68">
        <f t="shared" si="0"/>
        <v>0</v>
      </c>
      <c r="AD42" s="60">
        <f t="shared" si="0"/>
        <v>0</v>
      </c>
      <c r="AE42" s="60">
        <f t="shared" si="1"/>
        <v>0</v>
      </c>
      <c r="AF42" s="60">
        <f t="shared" si="1"/>
        <v>0</v>
      </c>
      <c r="AG42" s="60">
        <f t="shared" si="2"/>
        <v>0</v>
      </c>
      <c r="AH42" s="60">
        <f t="shared" si="2"/>
        <v>0</v>
      </c>
      <c r="AI42" s="60">
        <f t="shared" si="3"/>
        <v>0</v>
      </c>
      <c r="AJ42" s="61">
        <f t="shared" si="3"/>
        <v>0</v>
      </c>
      <c r="AK42" s="144"/>
    </row>
    <row r="43" spans="1:37">
      <c r="A43">
        <v>39</v>
      </c>
      <c r="B43" s="57"/>
      <c r="C43" s="58"/>
      <c r="D43" s="84"/>
      <c r="E43" s="82"/>
      <c r="F43" s="158"/>
      <c r="G43" s="159"/>
      <c r="H43" s="281">
        <f>COUNTIFS(缺陷明细!$A$2:$A$50000,$B$4,缺陷明细!$G$2:$G$50000,$C43,缺陷明细!$J$2:$J$50000,"评审",缺陷明细!$AB$2:$AB$50000,"&lt;&gt;丢弃",缺陷明细!$AB$2:$AB$50000,"&lt;&gt;设计如此",缺陷明细!$AB$2:$AB$50000,"&lt;&gt;重复Bug")</f>
        <v>0</v>
      </c>
      <c r="I43" s="154">
        <f>COUNTIFS(缺陷明细!$A$2:$A$50000,$B$4,缺陷明细!$G$2:$G$50000,$C43,缺陷明细!$Q$2:$Q$50000,"已关闭",缺陷明细!$J$2:$J$50000,"评审")</f>
        <v>0</v>
      </c>
      <c r="J43" s="154">
        <f>COUNTIFS(缺陷明细!$A$2:$A$50000,$B$4,缺陷明细!$G$2:$G$50000,$C43,缺陷明细!$J$2:$J$50000,"单元测试",缺陷明细!$AB$2:$AB$50000,"&lt;&gt;丢弃",缺陷明细!$AB$2:$AB$50000,"&lt;&gt;设计如此",缺陷明细!$AB$2:$AB$50000,"&lt;&gt;重复Bug")</f>
        <v>0</v>
      </c>
      <c r="K43" s="155">
        <f>COUNTIFS(缺陷明细!$A$2:$A$50000,$B$4,缺陷明细!$G$2:$G$50000,$C43,缺陷明细!$Q$2:$Q$50000,"已关闭",缺陷明细!$J$2:$J$50000,"单元测试")</f>
        <v>0</v>
      </c>
      <c r="L43" s="156"/>
      <c r="M43" s="157"/>
      <c r="N43" s="72">
        <f>COUNTIFS(缺陷明细!$A$2:$A$50000,$B$4,缺陷明细!$G$2:$G$50000,$C43,缺陷明细!$J$2:$J$50000,"系统测试案例评审",缺陷明细!$AB$2:$AB$50000,"&lt;&gt;丢弃",缺陷明细!$AB$2:$AB$50000,"&lt;&gt;设计如此",缺陷明细!$AB$2:$AB$50000,"&lt;&gt;重复Bug")</f>
        <v>0</v>
      </c>
      <c r="O43" s="72">
        <f>COUNTIFS(缺陷明细!$A$2:$A$50000,$B$4,缺陷明细!$G$2:$G$50000,$C43,缺陷明细!$Q$2:$Q$50000,"已关闭",缺陷明细!$J$2:$J$50000,"系统测试案例评审")</f>
        <v>0</v>
      </c>
      <c r="P43" s="72">
        <f>COUNTIFS(缺陷明细!$A$2:$A$50000,$B$4,缺陷明细!$G$2:$G$50000,$C43,缺陷明细!$J$2:$J$50000,"系统测试",缺陷明细!$AB$2:$AB$50000,"&lt;&gt;丢弃",缺陷明细!$AB$2:$AB$50000,"&lt;&gt;设计如此",缺陷明细!$AB$2:$AB$50000,"&lt;&gt;重复Bug")</f>
        <v>0</v>
      </c>
      <c r="Q43" s="72">
        <f>COUNTIFS(缺陷明细!$A$2:$A$50000,$B$4,缺陷明细!$G$2:$G$50000,$C43,缺陷明细!$Q$2:$Q$50000,"已关闭",缺陷明细!$J$2:$J$50000,"系统测试")</f>
        <v>0</v>
      </c>
      <c r="R43" s="296">
        <f>COUNTIFS(缺陷明细!$A$2:$A$50000,$B$4,缺陷明细!$G$2:$G$50000,$C43,缺陷明细!$AB$2:$AB$50000,"丢弃",缺陷明细!$J$2:$J$50000,"系统测试")+COUNTIFS(缺陷明细!$A$2:$A$50000,$B$4,缺陷明细!$G$2:$G$50000,$C43,缺陷明细!$AB$2:$AB$50000,"设计如此",缺陷明细!$J$2:$J$50000,"系统测试")+COUNTIFS(缺陷明细!$A$2:$A$50000,$B$4,缺陷明细!$G$2:$G$50000,$C43,缺陷明细!$AB$2:$AB$50000,"重复Bug",缺陷明细!$J$2:$J$50000,"系统测试")</f>
        <v>0</v>
      </c>
      <c r="S43" s="72">
        <f>COUNTIFS(缺陷明细!$A$2:$A$50000,$B$4,缺陷明细!$G$2:$G$50000,$C43,缺陷明细!$J$2:$J$50000,"系统测试",缺陷明细!$K$2:$K$50000,"致命",缺陷明细!$AB$2:$AB$50000,"&lt;&gt;丢弃",缺陷明细!$AB$2:$AB$50000,"&lt;&gt;设计如此",缺陷明细!$AB$2:$AB$50000,"&lt;&gt;重复Bug")+COUNTIFS(缺陷明细!$A$2:$A$50000,$B$4,缺陷明细!$G$2:$G$50000,$C43,缺陷明细!$J$2:$J$50000,"系统测试",缺陷明细!$K$2:$K$50000,"严重",缺陷明细!$AB$2:$AB$50000,"&lt;&gt;丢弃",缺陷明细!$AB$2:$AB$50000,"&lt;&gt;设计如此",缺陷明细!$AB$2:$AB$50000,"&lt;&gt;重复Bug")</f>
        <v>0</v>
      </c>
      <c r="T43" s="73">
        <f>COUNTIFS(缺陷明细!$A$2:$A$50000,$B$4,缺陷明细!$G$2:$G$50000,$C43,缺陷明细!$Q$2:$Q$50000,"已关闭",缺陷明细!$J$2:$J$50000,"系统测试",缺陷明细!$K$2:$K$50000,"致命")+COUNTIFS(缺陷明细!$A$2:$A$50000,$B$4,缺陷明细!$G$2:$G$50000,$C43,缺陷明细!$Q$2:$Q$50000,"已关闭",缺陷明细!$J$2:$J$50000,"系统测试",缺陷明细!$K$2:$K$50000,"严重")</f>
        <v>0</v>
      </c>
      <c r="U43" s="74">
        <f>COUNTIFS(缺陷明细!$A$2:$A$50000,$B$4,缺陷明细!$G$2:$G$50000,$C43,缺陷明细!$J$2:$J$50000,"验收测试",缺陷明细!$AB$2:$AB$50000,"&lt;&gt;丢弃",缺陷明细!$AB$2:$AB$50000,"&lt;&gt;设计如此",缺陷明细!$AB$2:$AB$50000,"&lt;&gt;重复Bug")</f>
        <v>0</v>
      </c>
      <c r="V43" s="75">
        <f>COUNTIFS(缺陷明细!$A$2:$A$50000,$B$4,缺陷明细!$G$2:$G$50000,$C43,缺陷明细!$Q$2:$Q$50000,"已关闭",缺陷明细!$J$2:$J$50000,"验收测试")</f>
        <v>0</v>
      </c>
      <c r="W43" s="75">
        <f>COUNTIFS(缺陷明细!$A$2:$A$50000,$B$4,缺陷明细!$G$2:$G$50000,$C43,缺陷明细!$J$2:$J$50000,"验收测试",缺陷明细!$K$2:$K$50000,"致命",缺陷明细!$AB$2:$AB$50000,"&lt;&gt;丢弃",缺陷明细!$AB$2:$AB$50000,"&lt;&gt;设计如此",缺陷明细!$AB$2:$AB$50000,"&lt;&gt;重复Bug")+COUNTIFS(缺陷明细!$A$2:$A$50000,$B$4,缺陷明细!$G$2:$G$50000,$C43,缺陷明细!$J$2:$J$50000,"验收测试",缺陷明细!$K$2:$K$50000,"严重",缺陷明细!$AB$2:$AB$50000,"&lt;&gt;丢弃",缺陷明细!$AB$2:$AB$50000,"&lt;&gt;设计如此",缺陷明细!$AB$2:$AB$50000,"&lt;&gt;重复Bug")</f>
        <v>0</v>
      </c>
      <c r="X43" s="76">
        <f>COUNTIFS(缺陷明细!$A$2:$A$50000,$B$4,缺陷明细!$G$2:$G$50000,$C43,缺陷明细!$Q$2:$Q$50000,"已关闭",缺陷明细!$J$2:$J$50000,"验收测试",缺陷明细!$K$2:$K$50000,"致命")+COUNTIFS(缺陷明细!$A$2:$A$50000,$B$4,缺陷明细!$G$2:$G$50000,$C43,缺陷明细!$Q$2:$Q$50000,"已关闭",缺陷明细!$J$2:$J$50000,"验收测试",缺陷明细!$K$2:$K$50000,"严重")</f>
        <v>0</v>
      </c>
      <c r="Y43" s="70">
        <f>COUNTIFS(缺陷明细!$A$2:$A$50000,$B$4,缺陷明细!$G$2:$G$50000,$C43,缺陷明细!$J$2:$J$50000,"运维测试",缺陷明细!$AB$2:$AB$50000,"&lt;&gt;丢弃",缺陷明细!$AB$2:$AB$50000,"&lt;&gt;设计如此",缺陷明细!$AB$2:$AB$50000,"&lt;&gt;重复Bug")</f>
        <v>0</v>
      </c>
      <c r="Z43" s="71">
        <f>COUNTIFS(缺陷明细!$A$2:$A$50000,$B$4,缺陷明细!$G$2:$G$50000,$C43,缺陷明细!$Q$2:$Q$50000,"已关闭",缺陷明细!$J$2:$J$50000,"运维测试")</f>
        <v>0</v>
      </c>
      <c r="AA43" s="72">
        <f>COUNTIFS(缺陷明细!$A$2:$A$50000,$B$4,缺陷明细!$G$2:$G$50000,$C43,缺陷明细!$J$2:$J$50000,"运维测试",缺陷明细!$K$2:$K$50000,"致命",缺陷明细!$AB$2:$AB$50000,"&lt;&gt;丢弃",缺陷明细!$AB$2:$AB$50000,"&lt;&gt;设计如此",缺陷明细!$AB$2:$AB$50000,"&lt;&gt;重复Bug")+COUNTIFS(缺陷明细!$A$2:$A$50000,$B$4,缺陷明细!$G$2:$G$50000,$C43,缺陷明细!$J$2:$J$50000,"运维测试",缺陷明细!$K$2:$K$50000,"严重",缺陷明细!$AB$2:$AB$50000,"&lt;&gt;丢弃",缺陷明细!$AB$2:$AB$50000,"&lt;&gt;设计如此",缺陷明细!$AB$2:$AB$50000,"&lt;&gt;重复Bug")</f>
        <v>0</v>
      </c>
      <c r="AB43" s="73">
        <f>COUNTIFS(缺陷明细!$A$2:$A$50000,$B$4,缺陷明细!$G$2:$G$50000,$C43,缺陷明细!$Q$2:$Q$50000,"已关闭",缺陷明细!$J$2:$J$50000,"运维测试",缺陷明细!$K$2:$K$50000,"致命")+COUNTIFS(缺陷明细!$A$2:$A$50000,$B$4,缺陷明细!$G$2:$G$50000,$C43,缺陷明细!$Q$2:$Q$50000,"已关闭",缺陷明细!$J$2:$J$50000,"运维测试",缺陷明细!$K$2:$K$50000,"严重")</f>
        <v>0</v>
      </c>
      <c r="AC43" s="68">
        <f t="shared" si="0"/>
        <v>0</v>
      </c>
      <c r="AD43" s="60">
        <f t="shared" si="0"/>
        <v>0</v>
      </c>
      <c r="AE43" s="60">
        <f t="shared" si="1"/>
        <v>0</v>
      </c>
      <c r="AF43" s="60">
        <f t="shared" si="1"/>
        <v>0</v>
      </c>
      <c r="AG43" s="60">
        <f t="shared" si="2"/>
        <v>0</v>
      </c>
      <c r="AH43" s="60">
        <f t="shared" si="2"/>
        <v>0</v>
      </c>
      <c r="AI43" s="60">
        <f t="shared" si="3"/>
        <v>0</v>
      </c>
      <c r="AJ43" s="61">
        <f t="shared" si="3"/>
        <v>0</v>
      </c>
      <c r="AK43" s="144"/>
    </row>
    <row r="44" spans="1:37">
      <c r="A44">
        <v>40</v>
      </c>
      <c r="B44" s="57"/>
      <c r="C44" s="58"/>
      <c r="D44" s="84"/>
      <c r="E44" s="82"/>
      <c r="F44" s="158"/>
      <c r="G44" s="159"/>
      <c r="H44" s="281">
        <f>COUNTIFS(缺陷明细!$A$2:$A$50000,$B$4,缺陷明细!$G$2:$G$50000,$C44,缺陷明细!$J$2:$J$50000,"评审",缺陷明细!$AB$2:$AB$50000,"&lt;&gt;丢弃",缺陷明细!$AB$2:$AB$50000,"&lt;&gt;设计如此",缺陷明细!$AB$2:$AB$50000,"&lt;&gt;重复Bug")</f>
        <v>0</v>
      </c>
      <c r="I44" s="154">
        <f>COUNTIFS(缺陷明细!$A$2:$A$50000,$B$4,缺陷明细!$G$2:$G$50000,$C44,缺陷明细!$Q$2:$Q$50000,"已关闭",缺陷明细!$J$2:$J$50000,"评审")</f>
        <v>0</v>
      </c>
      <c r="J44" s="154">
        <f>COUNTIFS(缺陷明细!$A$2:$A$50000,$B$4,缺陷明细!$G$2:$G$50000,$C44,缺陷明细!$J$2:$J$50000,"单元测试",缺陷明细!$AB$2:$AB$50000,"&lt;&gt;丢弃",缺陷明细!$AB$2:$AB$50000,"&lt;&gt;设计如此",缺陷明细!$AB$2:$AB$50000,"&lt;&gt;重复Bug")</f>
        <v>0</v>
      </c>
      <c r="K44" s="155">
        <f>COUNTIFS(缺陷明细!$A$2:$A$50000,$B$4,缺陷明细!$G$2:$G$50000,$C44,缺陷明细!$Q$2:$Q$50000,"已关闭",缺陷明细!$J$2:$J$50000,"单元测试")</f>
        <v>0</v>
      </c>
      <c r="L44" s="156"/>
      <c r="M44" s="157"/>
      <c r="N44" s="72">
        <f>COUNTIFS(缺陷明细!$A$2:$A$50000,$B$4,缺陷明细!$G$2:$G$50000,$C44,缺陷明细!$J$2:$J$50000,"系统测试案例评审",缺陷明细!$AB$2:$AB$50000,"&lt;&gt;丢弃",缺陷明细!$AB$2:$AB$50000,"&lt;&gt;设计如此",缺陷明细!$AB$2:$AB$50000,"&lt;&gt;重复Bug")</f>
        <v>0</v>
      </c>
      <c r="O44" s="72">
        <f>COUNTIFS(缺陷明细!$A$2:$A$50000,$B$4,缺陷明细!$G$2:$G$50000,$C44,缺陷明细!$Q$2:$Q$50000,"已关闭",缺陷明细!$J$2:$J$50000,"系统测试案例评审")</f>
        <v>0</v>
      </c>
      <c r="P44" s="72">
        <f>COUNTIFS(缺陷明细!$A$2:$A$50000,$B$4,缺陷明细!$G$2:$G$50000,$C44,缺陷明细!$J$2:$J$50000,"系统测试",缺陷明细!$AB$2:$AB$50000,"&lt;&gt;丢弃",缺陷明细!$AB$2:$AB$50000,"&lt;&gt;设计如此",缺陷明细!$AB$2:$AB$50000,"&lt;&gt;重复Bug")</f>
        <v>0</v>
      </c>
      <c r="Q44" s="72">
        <f>COUNTIFS(缺陷明细!$A$2:$A$50000,$B$4,缺陷明细!$G$2:$G$50000,$C44,缺陷明细!$Q$2:$Q$50000,"已关闭",缺陷明细!$J$2:$J$50000,"系统测试")</f>
        <v>0</v>
      </c>
      <c r="R44" s="296">
        <f>COUNTIFS(缺陷明细!$A$2:$A$50000,$B$4,缺陷明细!$G$2:$G$50000,$C44,缺陷明细!$AB$2:$AB$50000,"丢弃",缺陷明细!$J$2:$J$50000,"系统测试")+COUNTIFS(缺陷明细!$A$2:$A$50000,$B$4,缺陷明细!$G$2:$G$50000,$C44,缺陷明细!$AB$2:$AB$50000,"设计如此",缺陷明细!$J$2:$J$50000,"系统测试")+COUNTIFS(缺陷明细!$A$2:$A$50000,$B$4,缺陷明细!$G$2:$G$50000,$C44,缺陷明细!$AB$2:$AB$50000,"重复Bug",缺陷明细!$J$2:$J$50000,"系统测试")</f>
        <v>0</v>
      </c>
      <c r="S44" s="72">
        <f>COUNTIFS(缺陷明细!$A$2:$A$50000,$B$4,缺陷明细!$G$2:$G$50000,$C44,缺陷明细!$J$2:$J$50000,"系统测试",缺陷明细!$K$2:$K$50000,"致命",缺陷明细!$AB$2:$AB$50000,"&lt;&gt;丢弃",缺陷明细!$AB$2:$AB$50000,"&lt;&gt;设计如此",缺陷明细!$AB$2:$AB$50000,"&lt;&gt;重复Bug")+COUNTIFS(缺陷明细!$A$2:$A$50000,$B$4,缺陷明细!$G$2:$G$50000,$C44,缺陷明细!$J$2:$J$50000,"系统测试",缺陷明细!$K$2:$K$50000,"严重",缺陷明细!$AB$2:$AB$50000,"&lt;&gt;丢弃",缺陷明细!$AB$2:$AB$50000,"&lt;&gt;设计如此",缺陷明细!$AB$2:$AB$50000,"&lt;&gt;重复Bug")</f>
        <v>0</v>
      </c>
      <c r="T44" s="73">
        <f>COUNTIFS(缺陷明细!$A$2:$A$50000,$B$4,缺陷明细!$G$2:$G$50000,$C44,缺陷明细!$Q$2:$Q$50000,"已关闭",缺陷明细!$J$2:$J$50000,"系统测试",缺陷明细!$K$2:$K$50000,"致命")+COUNTIFS(缺陷明细!$A$2:$A$50000,$B$4,缺陷明细!$G$2:$G$50000,$C44,缺陷明细!$Q$2:$Q$50000,"已关闭",缺陷明细!$J$2:$J$50000,"系统测试",缺陷明细!$K$2:$K$50000,"严重")</f>
        <v>0</v>
      </c>
      <c r="U44" s="74">
        <f>COUNTIFS(缺陷明细!$A$2:$A$50000,$B$4,缺陷明细!$G$2:$G$50000,$C44,缺陷明细!$J$2:$J$50000,"验收测试",缺陷明细!$AB$2:$AB$50000,"&lt;&gt;丢弃",缺陷明细!$AB$2:$AB$50000,"&lt;&gt;设计如此",缺陷明细!$AB$2:$AB$50000,"&lt;&gt;重复Bug")</f>
        <v>0</v>
      </c>
      <c r="V44" s="75">
        <f>COUNTIFS(缺陷明细!$A$2:$A$50000,$B$4,缺陷明细!$G$2:$G$50000,$C44,缺陷明细!$Q$2:$Q$50000,"已关闭",缺陷明细!$J$2:$J$50000,"验收测试")</f>
        <v>0</v>
      </c>
      <c r="W44" s="75">
        <f>COUNTIFS(缺陷明细!$A$2:$A$50000,$B$4,缺陷明细!$G$2:$G$50000,$C44,缺陷明细!$J$2:$J$50000,"验收测试",缺陷明细!$K$2:$K$50000,"致命",缺陷明细!$AB$2:$AB$50000,"&lt;&gt;丢弃",缺陷明细!$AB$2:$AB$50000,"&lt;&gt;设计如此",缺陷明细!$AB$2:$AB$50000,"&lt;&gt;重复Bug")+COUNTIFS(缺陷明细!$A$2:$A$50000,$B$4,缺陷明细!$G$2:$G$50000,$C44,缺陷明细!$J$2:$J$50000,"验收测试",缺陷明细!$K$2:$K$50000,"严重",缺陷明细!$AB$2:$AB$50000,"&lt;&gt;丢弃",缺陷明细!$AB$2:$AB$50000,"&lt;&gt;设计如此",缺陷明细!$AB$2:$AB$50000,"&lt;&gt;重复Bug")</f>
        <v>0</v>
      </c>
      <c r="X44" s="76">
        <f>COUNTIFS(缺陷明细!$A$2:$A$50000,$B$4,缺陷明细!$G$2:$G$50000,$C44,缺陷明细!$Q$2:$Q$50000,"已关闭",缺陷明细!$J$2:$J$50000,"验收测试",缺陷明细!$K$2:$K$50000,"致命")+COUNTIFS(缺陷明细!$A$2:$A$50000,$B$4,缺陷明细!$G$2:$G$50000,$C44,缺陷明细!$Q$2:$Q$50000,"已关闭",缺陷明细!$J$2:$J$50000,"验收测试",缺陷明细!$K$2:$K$50000,"严重")</f>
        <v>0</v>
      </c>
      <c r="Y44" s="70">
        <f>COUNTIFS(缺陷明细!$A$2:$A$50000,$B$4,缺陷明细!$G$2:$G$50000,$C44,缺陷明细!$J$2:$J$50000,"运维测试",缺陷明细!$AB$2:$AB$50000,"&lt;&gt;丢弃",缺陷明细!$AB$2:$AB$50000,"&lt;&gt;设计如此",缺陷明细!$AB$2:$AB$50000,"&lt;&gt;重复Bug")</f>
        <v>0</v>
      </c>
      <c r="Z44" s="71">
        <f>COUNTIFS(缺陷明细!$A$2:$A$50000,$B$4,缺陷明细!$G$2:$G$50000,$C44,缺陷明细!$Q$2:$Q$50000,"已关闭",缺陷明细!$J$2:$J$50000,"运维测试")</f>
        <v>0</v>
      </c>
      <c r="AA44" s="72">
        <f>COUNTIFS(缺陷明细!$A$2:$A$50000,$B$4,缺陷明细!$G$2:$G$50000,$C44,缺陷明细!$J$2:$J$50000,"运维测试",缺陷明细!$K$2:$K$50000,"致命",缺陷明细!$AB$2:$AB$50000,"&lt;&gt;丢弃",缺陷明细!$AB$2:$AB$50000,"&lt;&gt;设计如此",缺陷明细!$AB$2:$AB$50000,"&lt;&gt;重复Bug")+COUNTIFS(缺陷明细!$A$2:$A$50000,$B$4,缺陷明细!$G$2:$G$50000,$C44,缺陷明细!$J$2:$J$50000,"运维测试",缺陷明细!$K$2:$K$50000,"严重",缺陷明细!$AB$2:$AB$50000,"&lt;&gt;丢弃",缺陷明细!$AB$2:$AB$50000,"&lt;&gt;设计如此",缺陷明细!$AB$2:$AB$50000,"&lt;&gt;重复Bug")</f>
        <v>0</v>
      </c>
      <c r="AB44" s="73">
        <f>COUNTIFS(缺陷明细!$A$2:$A$50000,$B$4,缺陷明细!$G$2:$G$50000,$C44,缺陷明细!$Q$2:$Q$50000,"已关闭",缺陷明细!$J$2:$J$50000,"运维测试",缺陷明细!$K$2:$K$50000,"致命")+COUNTIFS(缺陷明细!$A$2:$A$50000,$B$4,缺陷明细!$G$2:$G$50000,$C44,缺陷明细!$Q$2:$Q$50000,"已关闭",缺陷明细!$J$2:$J$50000,"运维测试",缺陷明细!$K$2:$K$50000,"严重")</f>
        <v>0</v>
      </c>
      <c r="AC44" s="68">
        <f t="shared" si="0"/>
        <v>0</v>
      </c>
      <c r="AD44" s="60">
        <f t="shared" si="0"/>
        <v>0</v>
      </c>
      <c r="AE44" s="60">
        <f t="shared" si="1"/>
        <v>0</v>
      </c>
      <c r="AF44" s="60">
        <f t="shared" si="1"/>
        <v>0</v>
      </c>
      <c r="AG44" s="60">
        <f t="shared" si="2"/>
        <v>0</v>
      </c>
      <c r="AH44" s="60">
        <f t="shared" si="2"/>
        <v>0</v>
      </c>
      <c r="AI44" s="60">
        <f t="shared" si="3"/>
        <v>0</v>
      </c>
      <c r="AJ44" s="61">
        <f t="shared" si="3"/>
        <v>0</v>
      </c>
      <c r="AK44" s="144"/>
    </row>
    <row r="45" spans="1:37">
      <c r="A45">
        <v>41</v>
      </c>
      <c r="B45" s="57"/>
      <c r="C45" s="58"/>
      <c r="D45" s="84"/>
      <c r="E45" s="82"/>
      <c r="F45" s="158"/>
      <c r="G45" s="159"/>
      <c r="H45" s="281">
        <f>COUNTIFS(缺陷明细!$A$2:$A$50000,$B$4,缺陷明细!$G$2:$G$50000,$C45,缺陷明细!$J$2:$J$50000,"评审",缺陷明细!$AB$2:$AB$50000,"&lt;&gt;丢弃",缺陷明细!$AB$2:$AB$50000,"&lt;&gt;设计如此",缺陷明细!$AB$2:$AB$50000,"&lt;&gt;重复Bug")</f>
        <v>0</v>
      </c>
      <c r="I45" s="154">
        <f>COUNTIFS(缺陷明细!$A$2:$A$50000,$B$4,缺陷明细!$G$2:$G$50000,$C45,缺陷明细!$Q$2:$Q$50000,"已关闭",缺陷明细!$J$2:$J$50000,"评审")</f>
        <v>0</v>
      </c>
      <c r="J45" s="154">
        <f>COUNTIFS(缺陷明细!$A$2:$A$50000,$B$4,缺陷明细!$G$2:$G$50000,$C45,缺陷明细!$J$2:$J$50000,"单元测试",缺陷明细!$AB$2:$AB$50000,"&lt;&gt;丢弃",缺陷明细!$AB$2:$AB$50000,"&lt;&gt;设计如此",缺陷明细!$AB$2:$AB$50000,"&lt;&gt;重复Bug")</f>
        <v>0</v>
      </c>
      <c r="K45" s="155">
        <f>COUNTIFS(缺陷明细!$A$2:$A$50000,$B$4,缺陷明细!$G$2:$G$50000,$C45,缺陷明细!$Q$2:$Q$50000,"已关闭",缺陷明细!$J$2:$J$50000,"单元测试")</f>
        <v>0</v>
      </c>
      <c r="L45" s="156"/>
      <c r="M45" s="157"/>
      <c r="N45" s="72">
        <f>COUNTIFS(缺陷明细!$A$2:$A$50000,$B$4,缺陷明细!$G$2:$G$50000,$C45,缺陷明细!$J$2:$J$50000,"系统测试案例评审",缺陷明细!$AB$2:$AB$50000,"&lt;&gt;丢弃",缺陷明细!$AB$2:$AB$50000,"&lt;&gt;设计如此",缺陷明细!$AB$2:$AB$50000,"&lt;&gt;重复Bug")</f>
        <v>0</v>
      </c>
      <c r="O45" s="72">
        <f>COUNTIFS(缺陷明细!$A$2:$A$50000,$B$4,缺陷明细!$G$2:$G$50000,$C45,缺陷明细!$Q$2:$Q$50000,"已关闭",缺陷明细!$J$2:$J$50000,"系统测试案例评审")</f>
        <v>0</v>
      </c>
      <c r="P45" s="72">
        <f>COUNTIFS(缺陷明细!$A$2:$A$50000,$B$4,缺陷明细!$G$2:$G$50000,$C45,缺陷明细!$J$2:$J$50000,"系统测试",缺陷明细!$AB$2:$AB$50000,"&lt;&gt;丢弃",缺陷明细!$AB$2:$AB$50000,"&lt;&gt;设计如此",缺陷明细!$AB$2:$AB$50000,"&lt;&gt;重复Bug")</f>
        <v>0</v>
      </c>
      <c r="Q45" s="72">
        <f>COUNTIFS(缺陷明细!$A$2:$A$50000,$B$4,缺陷明细!$G$2:$G$50000,$C45,缺陷明细!$Q$2:$Q$50000,"已关闭",缺陷明细!$J$2:$J$50000,"系统测试")</f>
        <v>0</v>
      </c>
      <c r="R45" s="296">
        <f>COUNTIFS(缺陷明细!$A$2:$A$50000,$B$4,缺陷明细!$G$2:$G$50000,$C45,缺陷明细!$AB$2:$AB$50000,"丢弃",缺陷明细!$J$2:$J$50000,"系统测试")+COUNTIFS(缺陷明细!$A$2:$A$50000,$B$4,缺陷明细!$G$2:$G$50000,$C45,缺陷明细!$AB$2:$AB$50000,"设计如此",缺陷明细!$J$2:$J$50000,"系统测试")+COUNTIFS(缺陷明细!$A$2:$A$50000,$B$4,缺陷明细!$G$2:$G$50000,$C45,缺陷明细!$AB$2:$AB$50000,"重复Bug",缺陷明细!$J$2:$J$50000,"系统测试")</f>
        <v>0</v>
      </c>
      <c r="S45" s="72">
        <f>COUNTIFS(缺陷明细!$A$2:$A$50000,$B$4,缺陷明细!$G$2:$G$50000,$C45,缺陷明细!$J$2:$J$50000,"系统测试",缺陷明细!$K$2:$K$50000,"致命",缺陷明细!$AB$2:$AB$50000,"&lt;&gt;丢弃",缺陷明细!$AB$2:$AB$50000,"&lt;&gt;设计如此",缺陷明细!$AB$2:$AB$50000,"&lt;&gt;重复Bug")+COUNTIFS(缺陷明细!$A$2:$A$50000,$B$4,缺陷明细!$G$2:$G$50000,$C45,缺陷明细!$J$2:$J$50000,"系统测试",缺陷明细!$K$2:$K$50000,"严重",缺陷明细!$AB$2:$AB$50000,"&lt;&gt;丢弃",缺陷明细!$AB$2:$AB$50000,"&lt;&gt;设计如此",缺陷明细!$AB$2:$AB$50000,"&lt;&gt;重复Bug")</f>
        <v>0</v>
      </c>
      <c r="T45" s="73">
        <f>COUNTIFS(缺陷明细!$A$2:$A$50000,$B$4,缺陷明细!$G$2:$G$50000,$C45,缺陷明细!$Q$2:$Q$50000,"已关闭",缺陷明细!$J$2:$J$50000,"系统测试",缺陷明细!$K$2:$K$50000,"致命")+COUNTIFS(缺陷明细!$A$2:$A$50000,$B$4,缺陷明细!$G$2:$G$50000,$C45,缺陷明细!$Q$2:$Q$50000,"已关闭",缺陷明细!$J$2:$J$50000,"系统测试",缺陷明细!$K$2:$K$50000,"严重")</f>
        <v>0</v>
      </c>
      <c r="U45" s="74">
        <f>COUNTIFS(缺陷明细!$A$2:$A$50000,$B$4,缺陷明细!$G$2:$G$50000,$C45,缺陷明细!$J$2:$J$50000,"验收测试",缺陷明细!$AB$2:$AB$50000,"&lt;&gt;丢弃",缺陷明细!$AB$2:$AB$50000,"&lt;&gt;设计如此",缺陷明细!$AB$2:$AB$50000,"&lt;&gt;重复Bug")</f>
        <v>0</v>
      </c>
      <c r="V45" s="75">
        <f>COUNTIFS(缺陷明细!$A$2:$A$50000,$B$4,缺陷明细!$G$2:$G$50000,$C45,缺陷明细!$Q$2:$Q$50000,"已关闭",缺陷明细!$J$2:$J$50000,"验收测试")</f>
        <v>0</v>
      </c>
      <c r="W45" s="75">
        <f>COUNTIFS(缺陷明细!$A$2:$A$50000,$B$4,缺陷明细!$G$2:$G$50000,$C45,缺陷明细!$J$2:$J$50000,"验收测试",缺陷明细!$K$2:$K$50000,"致命",缺陷明细!$AB$2:$AB$50000,"&lt;&gt;丢弃",缺陷明细!$AB$2:$AB$50000,"&lt;&gt;设计如此",缺陷明细!$AB$2:$AB$50000,"&lt;&gt;重复Bug")+COUNTIFS(缺陷明细!$A$2:$A$50000,$B$4,缺陷明细!$G$2:$G$50000,$C45,缺陷明细!$J$2:$J$50000,"验收测试",缺陷明细!$K$2:$K$50000,"严重",缺陷明细!$AB$2:$AB$50000,"&lt;&gt;丢弃",缺陷明细!$AB$2:$AB$50000,"&lt;&gt;设计如此",缺陷明细!$AB$2:$AB$50000,"&lt;&gt;重复Bug")</f>
        <v>0</v>
      </c>
      <c r="X45" s="76">
        <f>COUNTIFS(缺陷明细!$A$2:$A$50000,$B$4,缺陷明细!$G$2:$G$50000,$C45,缺陷明细!$Q$2:$Q$50000,"已关闭",缺陷明细!$J$2:$J$50000,"验收测试",缺陷明细!$K$2:$K$50000,"致命")+COUNTIFS(缺陷明细!$A$2:$A$50000,$B$4,缺陷明细!$G$2:$G$50000,$C45,缺陷明细!$Q$2:$Q$50000,"已关闭",缺陷明细!$J$2:$J$50000,"验收测试",缺陷明细!$K$2:$K$50000,"严重")</f>
        <v>0</v>
      </c>
      <c r="Y45" s="70">
        <f>COUNTIFS(缺陷明细!$A$2:$A$50000,$B$4,缺陷明细!$G$2:$G$50000,$C45,缺陷明细!$J$2:$J$50000,"运维测试",缺陷明细!$AB$2:$AB$50000,"&lt;&gt;丢弃",缺陷明细!$AB$2:$AB$50000,"&lt;&gt;设计如此",缺陷明细!$AB$2:$AB$50000,"&lt;&gt;重复Bug")</f>
        <v>0</v>
      </c>
      <c r="Z45" s="71">
        <f>COUNTIFS(缺陷明细!$A$2:$A$50000,$B$4,缺陷明细!$G$2:$G$50000,$C45,缺陷明细!$Q$2:$Q$50000,"已关闭",缺陷明细!$J$2:$J$50000,"运维测试")</f>
        <v>0</v>
      </c>
      <c r="AA45" s="72">
        <f>COUNTIFS(缺陷明细!$A$2:$A$50000,$B$4,缺陷明细!$G$2:$G$50000,$C45,缺陷明细!$J$2:$J$50000,"运维测试",缺陷明细!$K$2:$K$50000,"致命",缺陷明细!$AB$2:$AB$50000,"&lt;&gt;丢弃",缺陷明细!$AB$2:$AB$50000,"&lt;&gt;设计如此",缺陷明细!$AB$2:$AB$50000,"&lt;&gt;重复Bug")+COUNTIFS(缺陷明细!$A$2:$A$50000,$B$4,缺陷明细!$G$2:$G$50000,$C45,缺陷明细!$J$2:$J$50000,"运维测试",缺陷明细!$K$2:$K$50000,"严重",缺陷明细!$AB$2:$AB$50000,"&lt;&gt;丢弃",缺陷明细!$AB$2:$AB$50000,"&lt;&gt;设计如此",缺陷明细!$AB$2:$AB$50000,"&lt;&gt;重复Bug")</f>
        <v>0</v>
      </c>
      <c r="AB45" s="73">
        <f>COUNTIFS(缺陷明细!$A$2:$A$50000,$B$4,缺陷明细!$G$2:$G$50000,$C45,缺陷明细!$Q$2:$Q$50000,"已关闭",缺陷明细!$J$2:$J$50000,"运维测试",缺陷明细!$K$2:$K$50000,"致命")+COUNTIFS(缺陷明细!$A$2:$A$50000,$B$4,缺陷明细!$G$2:$G$50000,$C45,缺陷明细!$Q$2:$Q$50000,"已关闭",缺陷明细!$J$2:$J$50000,"运维测试",缺陷明细!$K$2:$K$50000,"严重")</f>
        <v>0</v>
      </c>
      <c r="AC45" s="68">
        <f t="shared" si="0"/>
        <v>0</v>
      </c>
      <c r="AD45" s="60">
        <f t="shared" si="0"/>
        <v>0</v>
      </c>
      <c r="AE45" s="60">
        <f t="shared" si="1"/>
        <v>0</v>
      </c>
      <c r="AF45" s="60">
        <f t="shared" si="1"/>
        <v>0</v>
      </c>
      <c r="AG45" s="60">
        <f t="shared" si="2"/>
        <v>0</v>
      </c>
      <c r="AH45" s="60">
        <f t="shared" si="2"/>
        <v>0</v>
      </c>
      <c r="AI45" s="60">
        <f t="shared" si="3"/>
        <v>0</v>
      </c>
      <c r="AJ45" s="61">
        <f t="shared" si="3"/>
        <v>0</v>
      </c>
      <c r="AK45" s="144"/>
    </row>
    <row r="46" spans="1:37">
      <c r="A46">
        <v>42</v>
      </c>
      <c r="B46" s="57"/>
      <c r="C46" s="58"/>
      <c r="D46" s="84"/>
      <c r="E46" s="82"/>
      <c r="F46" s="158"/>
      <c r="G46" s="159"/>
      <c r="H46" s="281">
        <f>COUNTIFS(缺陷明细!$A$2:$A$50000,$B$4,缺陷明细!$G$2:$G$50000,$C46,缺陷明细!$J$2:$J$50000,"评审",缺陷明细!$AB$2:$AB$50000,"&lt;&gt;丢弃",缺陷明细!$AB$2:$AB$50000,"&lt;&gt;设计如此",缺陷明细!$AB$2:$AB$50000,"&lt;&gt;重复Bug")</f>
        <v>0</v>
      </c>
      <c r="I46" s="154">
        <f>COUNTIFS(缺陷明细!$A$2:$A$50000,$B$4,缺陷明细!$G$2:$G$50000,$C46,缺陷明细!$Q$2:$Q$50000,"已关闭",缺陷明细!$J$2:$J$50000,"评审")</f>
        <v>0</v>
      </c>
      <c r="J46" s="154">
        <f>COUNTIFS(缺陷明细!$A$2:$A$50000,$B$4,缺陷明细!$G$2:$G$50000,$C46,缺陷明细!$J$2:$J$50000,"单元测试",缺陷明细!$AB$2:$AB$50000,"&lt;&gt;丢弃",缺陷明细!$AB$2:$AB$50000,"&lt;&gt;设计如此",缺陷明细!$AB$2:$AB$50000,"&lt;&gt;重复Bug")</f>
        <v>0</v>
      </c>
      <c r="K46" s="155">
        <f>COUNTIFS(缺陷明细!$A$2:$A$50000,$B$4,缺陷明细!$G$2:$G$50000,$C46,缺陷明细!$Q$2:$Q$50000,"已关闭",缺陷明细!$J$2:$J$50000,"单元测试")</f>
        <v>0</v>
      </c>
      <c r="L46" s="156"/>
      <c r="M46" s="157"/>
      <c r="N46" s="72">
        <f>COUNTIFS(缺陷明细!$A$2:$A$50000,$B$4,缺陷明细!$G$2:$G$50000,$C46,缺陷明细!$J$2:$J$50000,"系统测试案例评审",缺陷明细!$AB$2:$AB$50000,"&lt;&gt;丢弃",缺陷明细!$AB$2:$AB$50000,"&lt;&gt;设计如此",缺陷明细!$AB$2:$AB$50000,"&lt;&gt;重复Bug")</f>
        <v>0</v>
      </c>
      <c r="O46" s="72">
        <f>COUNTIFS(缺陷明细!$A$2:$A$50000,$B$4,缺陷明细!$G$2:$G$50000,$C46,缺陷明细!$Q$2:$Q$50000,"已关闭",缺陷明细!$J$2:$J$50000,"系统测试案例评审")</f>
        <v>0</v>
      </c>
      <c r="P46" s="72">
        <f>COUNTIFS(缺陷明细!$A$2:$A$50000,$B$4,缺陷明细!$G$2:$G$50000,$C46,缺陷明细!$J$2:$J$50000,"系统测试",缺陷明细!$AB$2:$AB$50000,"&lt;&gt;丢弃",缺陷明细!$AB$2:$AB$50000,"&lt;&gt;设计如此",缺陷明细!$AB$2:$AB$50000,"&lt;&gt;重复Bug")</f>
        <v>0</v>
      </c>
      <c r="Q46" s="72">
        <f>COUNTIFS(缺陷明细!$A$2:$A$50000,$B$4,缺陷明细!$G$2:$G$50000,$C46,缺陷明细!$Q$2:$Q$50000,"已关闭",缺陷明细!$J$2:$J$50000,"系统测试")</f>
        <v>0</v>
      </c>
      <c r="R46" s="296">
        <f>COUNTIFS(缺陷明细!$A$2:$A$50000,$B$4,缺陷明细!$G$2:$G$50000,$C46,缺陷明细!$AB$2:$AB$50000,"丢弃",缺陷明细!$J$2:$J$50000,"系统测试")+COUNTIFS(缺陷明细!$A$2:$A$50000,$B$4,缺陷明细!$G$2:$G$50000,$C46,缺陷明细!$AB$2:$AB$50000,"设计如此",缺陷明细!$J$2:$J$50000,"系统测试")+COUNTIFS(缺陷明细!$A$2:$A$50000,$B$4,缺陷明细!$G$2:$G$50000,$C46,缺陷明细!$AB$2:$AB$50000,"重复Bug",缺陷明细!$J$2:$J$50000,"系统测试")</f>
        <v>0</v>
      </c>
      <c r="S46" s="72">
        <f>COUNTIFS(缺陷明细!$A$2:$A$50000,$B$4,缺陷明细!$G$2:$G$50000,$C46,缺陷明细!$J$2:$J$50000,"系统测试",缺陷明细!$K$2:$K$50000,"致命",缺陷明细!$AB$2:$AB$50000,"&lt;&gt;丢弃",缺陷明细!$AB$2:$AB$50000,"&lt;&gt;设计如此",缺陷明细!$AB$2:$AB$50000,"&lt;&gt;重复Bug")+COUNTIFS(缺陷明细!$A$2:$A$50000,$B$4,缺陷明细!$G$2:$G$50000,$C46,缺陷明细!$J$2:$J$50000,"系统测试",缺陷明细!$K$2:$K$50000,"严重",缺陷明细!$AB$2:$AB$50000,"&lt;&gt;丢弃",缺陷明细!$AB$2:$AB$50000,"&lt;&gt;设计如此",缺陷明细!$AB$2:$AB$50000,"&lt;&gt;重复Bug")</f>
        <v>0</v>
      </c>
      <c r="T46" s="73">
        <f>COUNTIFS(缺陷明细!$A$2:$A$50000,$B$4,缺陷明细!$G$2:$G$50000,$C46,缺陷明细!$Q$2:$Q$50000,"已关闭",缺陷明细!$J$2:$J$50000,"系统测试",缺陷明细!$K$2:$K$50000,"致命")+COUNTIFS(缺陷明细!$A$2:$A$50000,$B$4,缺陷明细!$G$2:$G$50000,$C46,缺陷明细!$Q$2:$Q$50000,"已关闭",缺陷明细!$J$2:$J$50000,"系统测试",缺陷明细!$K$2:$K$50000,"严重")</f>
        <v>0</v>
      </c>
      <c r="U46" s="74">
        <f>COUNTIFS(缺陷明细!$A$2:$A$50000,$B$4,缺陷明细!$G$2:$G$50000,$C46,缺陷明细!$J$2:$J$50000,"验收测试",缺陷明细!$AB$2:$AB$50000,"&lt;&gt;丢弃",缺陷明细!$AB$2:$AB$50000,"&lt;&gt;设计如此",缺陷明细!$AB$2:$AB$50000,"&lt;&gt;重复Bug")</f>
        <v>0</v>
      </c>
      <c r="V46" s="75">
        <f>COUNTIFS(缺陷明细!$A$2:$A$50000,$B$4,缺陷明细!$G$2:$G$50000,$C46,缺陷明细!$Q$2:$Q$50000,"已关闭",缺陷明细!$J$2:$J$50000,"验收测试")</f>
        <v>0</v>
      </c>
      <c r="W46" s="75">
        <f>COUNTIFS(缺陷明细!$A$2:$A$50000,$B$4,缺陷明细!$G$2:$G$50000,$C46,缺陷明细!$J$2:$J$50000,"验收测试",缺陷明细!$K$2:$K$50000,"致命",缺陷明细!$AB$2:$AB$50000,"&lt;&gt;丢弃",缺陷明细!$AB$2:$AB$50000,"&lt;&gt;设计如此",缺陷明细!$AB$2:$AB$50000,"&lt;&gt;重复Bug")+COUNTIFS(缺陷明细!$A$2:$A$50000,$B$4,缺陷明细!$G$2:$G$50000,$C46,缺陷明细!$J$2:$J$50000,"验收测试",缺陷明细!$K$2:$K$50000,"严重",缺陷明细!$AB$2:$AB$50000,"&lt;&gt;丢弃",缺陷明细!$AB$2:$AB$50000,"&lt;&gt;设计如此",缺陷明细!$AB$2:$AB$50000,"&lt;&gt;重复Bug")</f>
        <v>0</v>
      </c>
      <c r="X46" s="76">
        <f>COUNTIFS(缺陷明细!$A$2:$A$50000,$B$4,缺陷明细!$G$2:$G$50000,$C46,缺陷明细!$Q$2:$Q$50000,"已关闭",缺陷明细!$J$2:$J$50000,"验收测试",缺陷明细!$K$2:$K$50000,"致命")+COUNTIFS(缺陷明细!$A$2:$A$50000,$B$4,缺陷明细!$G$2:$G$50000,$C46,缺陷明细!$Q$2:$Q$50000,"已关闭",缺陷明细!$J$2:$J$50000,"验收测试",缺陷明细!$K$2:$K$50000,"严重")</f>
        <v>0</v>
      </c>
      <c r="Y46" s="70">
        <f>COUNTIFS(缺陷明细!$A$2:$A$50000,$B$4,缺陷明细!$G$2:$G$50000,$C46,缺陷明细!$J$2:$J$50000,"运维测试",缺陷明细!$AB$2:$AB$50000,"&lt;&gt;丢弃",缺陷明细!$AB$2:$AB$50000,"&lt;&gt;设计如此",缺陷明细!$AB$2:$AB$50000,"&lt;&gt;重复Bug")</f>
        <v>0</v>
      </c>
      <c r="Z46" s="71">
        <f>COUNTIFS(缺陷明细!$A$2:$A$50000,$B$4,缺陷明细!$G$2:$G$50000,$C46,缺陷明细!$Q$2:$Q$50000,"已关闭",缺陷明细!$J$2:$J$50000,"运维测试")</f>
        <v>0</v>
      </c>
      <c r="AA46" s="72">
        <f>COUNTIFS(缺陷明细!$A$2:$A$50000,$B$4,缺陷明细!$G$2:$G$50000,$C46,缺陷明细!$J$2:$J$50000,"运维测试",缺陷明细!$K$2:$K$50000,"致命",缺陷明细!$AB$2:$AB$50000,"&lt;&gt;丢弃",缺陷明细!$AB$2:$AB$50000,"&lt;&gt;设计如此",缺陷明细!$AB$2:$AB$50000,"&lt;&gt;重复Bug")+COUNTIFS(缺陷明细!$A$2:$A$50000,$B$4,缺陷明细!$G$2:$G$50000,$C46,缺陷明细!$J$2:$J$50000,"运维测试",缺陷明细!$K$2:$K$50000,"严重",缺陷明细!$AB$2:$AB$50000,"&lt;&gt;丢弃",缺陷明细!$AB$2:$AB$50000,"&lt;&gt;设计如此",缺陷明细!$AB$2:$AB$50000,"&lt;&gt;重复Bug")</f>
        <v>0</v>
      </c>
      <c r="AB46" s="73">
        <f>COUNTIFS(缺陷明细!$A$2:$A$50000,$B$4,缺陷明细!$G$2:$G$50000,$C46,缺陷明细!$Q$2:$Q$50000,"已关闭",缺陷明细!$J$2:$J$50000,"运维测试",缺陷明细!$K$2:$K$50000,"致命")+COUNTIFS(缺陷明细!$A$2:$A$50000,$B$4,缺陷明细!$G$2:$G$50000,$C46,缺陷明细!$Q$2:$Q$50000,"已关闭",缺陷明细!$J$2:$J$50000,"运维测试",缺陷明细!$K$2:$K$50000,"严重")</f>
        <v>0</v>
      </c>
      <c r="AC46" s="68">
        <f t="shared" si="0"/>
        <v>0</v>
      </c>
      <c r="AD46" s="60">
        <f t="shared" si="0"/>
        <v>0</v>
      </c>
      <c r="AE46" s="60">
        <f t="shared" si="1"/>
        <v>0</v>
      </c>
      <c r="AF46" s="60">
        <f t="shared" si="1"/>
        <v>0</v>
      </c>
      <c r="AG46" s="60">
        <f t="shared" si="2"/>
        <v>0</v>
      </c>
      <c r="AH46" s="60">
        <f t="shared" si="2"/>
        <v>0</v>
      </c>
      <c r="AI46" s="60">
        <f t="shared" si="3"/>
        <v>0</v>
      </c>
      <c r="AJ46" s="61">
        <f t="shared" si="3"/>
        <v>0</v>
      </c>
      <c r="AK46" s="144"/>
    </row>
    <row r="47" spans="1:37">
      <c r="A47">
        <v>43</v>
      </c>
      <c r="B47" s="57"/>
      <c r="C47" s="58"/>
      <c r="D47" s="84"/>
      <c r="E47" s="82"/>
      <c r="F47" s="158"/>
      <c r="G47" s="159"/>
      <c r="H47" s="281">
        <f>COUNTIFS(缺陷明细!$A$2:$A$50000,$B$4,缺陷明细!$G$2:$G$50000,$C47,缺陷明细!$J$2:$J$50000,"评审",缺陷明细!$AB$2:$AB$50000,"&lt;&gt;丢弃",缺陷明细!$AB$2:$AB$50000,"&lt;&gt;设计如此",缺陷明细!$AB$2:$AB$50000,"&lt;&gt;重复Bug")</f>
        <v>0</v>
      </c>
      <c r="I47" s="154">
        <f>COUNTIFS(缺陷明细!$A$2:$A$50000,$B$4,缺陷明细!$G$2:$G$50000,$C47,缺陷明细!$Q$2:$Q$50000,"已关闭",缺陷明细!$J$2:$J$50000,"评审")</f>
        <v>0</v>
      </c>
      <c r="J47" s="154">
        <f>COUNTIFS(缺陷明细!$A$2:$A$50000,$B$4,缺陷明细!$G$2:$G$50000,$C47,缺陷明细!$J$2:$J$50000,"单元测试",缺陷明细!$AB$2:$AB$50000,"&lt;&gt;丢弃",缺陷明细!$AB$2:$AB$50000,"&lt;&gt;设计如此",缺陷明细!$AB$2:$AB$50000,"&lt;&gt;重复Bug")</f>
        <v>0</v>
      </c>
      <c r="K47" s="155">
        <f>COUNTIFS(缺陷明细!$A$2:$A$50000,$B$4,缺陷明细!$G$2:$G$50000,$C47,缺陷明细!$Q$2:$Q$50000,"已关闭",缺陷明细!$J$2:$J$50000,"单元测试")</f>
        <v>0</v>
      </c>
      <c r="L47" s="156"/>
      <c r="M47" s="157"/>
      <c r="N47" s="72">
        <f>COUNTIFS(缺陷明细!$A$2:$A$50000,$B$4,缺陷明细!$G$2:$G$50000,$C47,缺陷明细!$J$2:$J$50000,"系统测试案例评审",缺陷明细!$AB$2:$AB$50000,"&lt;&gt;丢弃",缺陷明细!$AB$2:$AB$50000,"&lt;&gt;设计如此",缺陷明细!$AB$2:$AB$50000,"&lt;&gt;重复Bug")</f>
        <v>0</v>
      </c>
      <c r="O47" s="72">
        <f>COUNTIFS(缺陷明细!$A$2:$A$50000,$B$4,缺陷明细!$G$2:$G$50000,$C47,缺陷明细!$Q$2:$Q$50000,"已关闭",缺陷明细!$J$2:$J$50000,"系统测试案例评审")</f>
        <v>0</v>
      </c>
      <c r="P47" s="72">
        <f>COUNTIFS(缺陷明细!$A$2:$A$50000,$B$4,缺陷明细!$G$2:$G$50000,$C47,缺陷明细!$J$2:$J$50000,"系统测试",缺陷明细!$AB$2:$AB$50000,"&lt;&gt;丢弃",缺陷明细!$AB$2:$AB$50000,"&lt;&gt;设计如此",缺陷明细!$AB$2:$AB$50000,"&lt;&gt;重复Bug")</f>
        <v>0</v>
      </c>
      <c r="Q47" s="72">
        <f>COUNTIFS(缺陷明细!$A$2:$A$50000,$B$4,缺陷明细!$G$2:$G$50000,$C47,缺陷明细!$Q$2:$Q$50000,"已关闭",缺陷明细!$J$2:$J$50000,"系统测试")</f>
        <v>0</v>
      </c>
      <c r="R47" s="296">
        <f>COUNTIFS(缺陷明细!$A$2:$A$50000,$B$4,缺陷明细!$G$2:$G$50000,$C47,缺陷明细!$AB$2:$AB$50000,"丢弃",缺陷明细!$J$2:$J$50000,"系统测试")+COUNTIFS(缺陷明细!$A$2:$A$50000,$B$4,缺陷明细!$G$2:$G$50000,$C47,缺陷明细!$AB$2:$AB$50000,"设计如此",缺陷明细!$J$2:$J$50000,"系统测试")+COUNTIFS(缺陷明细!$A$2:$A$50000,$B$4,缺陷明细!$G$2:$G$50000,$C47,缺陷明细!$AB$2:$AB$50000,"重复Bug",缺陷明细!$J$2:$J$50000,"系统测试")</f>
        <v>0</v>
      </c>
      <c r="S47" s="72">
        <f>COUNTIFS(缺陷明细!$A$2:$A$50000,$B$4,缺陷明细!$G$2:$G$50000,$C47,缺陷明细!$J$2:$J$50000,"系统测试",缺陷明细!$K$2:$K$50000,"致命",缺陷明细!$AB$2:$AB$50000,"&lt;&gt;丢弃",缺陷明细!$AB$2:$AB$50000,"&lt;&gt;设计如此",缺陷明细!$AB$2:$AB$50000,"&lt;&gt;重复Bug")+COUNTIFS(缺陷明细!$A$2:$A$50000,$B$4,缺陷明细!$G$2:$G$50000,$C47,缺陷明细!$J$2:$J$50000,"系统测试",缺陷明细!$K$2:$K$50000,"严重",缺陷明细!$AB$2:$AB$50000,"&lt;&gt;丢弃",缺陷明细!$AB$2:$AB$50000,"&lt;&gt;设计如此",缺陷明细!$AB$2:$AB$50000,"&lt;&gt;重复Bug")</f>
        <v>0</v>
      </c>
      <c r="T47" s="73">
        <f>COUNTIFS(缺陷明细!$A$2:$A$50000,$B$4,缺陷明细!$G$2:$G$50000,$C47,缺陷明细!$Q$2:$Q$50000,"已关闭",缺陷明细!$J$2:$J$50000,"系统测试",缺陷明细!$K$2:$K$50000,"致命")+COUNTIFS(缺陷明细!$A$2:$A$50000,$B$4,缺陷明细!$G$2:$G$50000,$C47,缺陷明细!$Q$2:$Q$50000,"已关闭",缺陷明细!$J$2:$J$50000,"系统测试",缺陷明细!$K$2:$K$50000,"严重")</f>
        <v>0</v>
      </c>
      <c r="U47" s="74">
        <f>COUNTIFS(缺陷明细!$A$2:$A$50000,$B$4,缺陷明细!$G$2:$G$50000,$C47,缺陷明细!$J$2:$J$50000,"验收测试",缺陷明细!$AB$2:$AB$50000,"&lt;&gt;丢弃",缺陷明细!$AB$2:$AB$50000,"&lt;&gt;设计如此",缺陷明细!$AB$2:$AB$50000,"&lt;&gt;重复Bug")</f>
        <v>0</v>
      </c>
      <c r="V47" s="75">
        <f>COUNTIFS(缺陷明细!$A$2:$A$50000,$B$4,缺陷明细!$G$2:$G$50000,$C47,缺陷明细!$Q$2:$Q$50000,"已关闭",缺陷明细!$J$2:$J$50000,"验收测试")</f>
        <v>0</v>
      </c>
      <c r="W47" s="75">
        <f>COUNTIFS(缺陷明细!$A$2:$A$50000,$B$4,缺陷明细!$G$2:$G$50000,$C47,缺陷明细!$J$2:$J$50000,"验收测试",缺陷明细!$K$2:$K$50000,"致命",缺陷明细!$AB$2:$AB$50000,"&lt;&gt;丢弃",缺陷明细!$AB$2:$AB$50000,"&lt;&gt;设计如此",缺陷明细!$AB$2:$AB$50000,"&lt;&gt;重复Bug")+COUNTIFS(缺陷明细!$A$2:$A$50000,$B$4,缺陷明细!$G$2:$G$50000,$C47,缺陷明细!$J$2:$J$50000,"验收测试",缺陷明细!$K$2:$K$50000,"严重",缺陷明细!$AB$2:$AB$50000,"&lt;&gt;丢弃",缺陷明细!$AB$2:$AB$50000,"&lt;&gt;设计如此",缺陷明细!$AB$2:$AB$50000,"&lt;&gt;重复Bug")</f>
        <v>0</v>
      </c>
      <c r="X47" s="76">
        <f>COUNTIFS(缺陷明细!$A$2:$A$50000,$B$4,缺陷明细!$G$2:$G$50000,$C47,缺陷明细!$Q$2:$Q$50000,"已关闭",缺陷明细!$J$2:$J$50000,"验收测试",缺陷明细!$K$2:$K$50000,"致命")+COUNTIFS(缺陷明细!$A$2:$A$50000,$B$4,缺陷明细!$G$2:$G$50000,$C47,缺陷明细!$Q$2:$Q$50000,"已关闭",缺陷明细!$J$2:$J$50000,"验收测试",缺陷明细!$K$2:$K$50000,"严重")</f>
        <v>0</v>
      </c>
      <c r="Y47" s="70">
        <f>COUNTIFS(缺陷明细!$A$2:$A$50000,$B$4,缺陷明细!$G$2:$G$50000,$C47,缺陷明细!$J$2:$J$50000,"运维测试",缺陷明细!$AB$2:$AB$50000,"&lt;&gt;丢弃",缺陷明细!$AB$2:$AB$50000,"&lt;&gt;设计如此",缺陷明细!$AB$2:$AB$50000,"&lt;&gt;重复Bug")</f>
        <v>0</v>
      </c>
      <c r="Z47" s="71">
        <f>COUNTIFS(缺陷明细!$A$2:$A$50000,$B$4,缺陷明细!$G$2:$G$50000,$C47,缺陷明细!$Q$2:$Q$50000,"已关闭",缺陷明细!$J$2:$J$50000,"运维测试")</f>
        <v>0</v>
      </c>
      <c r="AA47" s="72">
        <f>COUNTIFS(缺陷明细!$A$2:$A$50000,$B$4,缺陷明细!$G$2:$G$50000,$C47,缺陷明细!$J$2:$J$50000,"运维测试",缺陷明细!$K$2:$K$50000,"致命",缺陷明细!$AB$2:$AB$50000,"&lt;&gt;丢弃",缺陷明细!$AB$2:$AB$50000,"&lt;&gt;设计如此",缺陷明细!$AB$2:$AB$50000,"&lt;&gt;重复Bug")+COUNTIFS(缺陷明细!$A$2:$A$50000,$B$4,缺陷明细!$G$2:$G$50000,$C47,缺陷明细!$J$2:$J$50000,"运维测试",缺陷明细!$K$2:$K$50000,"严重",缺陷明细!$AB$2:$AB$50000,"&lt;&gt;丢弃",缺陷明细!$AB$2:$AB$50000,"&lt;&gt;设计如此",缺陷明细!$AB$2:$AB$50000,"&lt;&gt;重复Bug")</f>
        <v>0</v>
      </c>
      <c r="AB47" s="73">
        <f>COUNTIFS(缺陷明细!$A$2:$A$50000,$B$4,缺陷明细!$G$2:$G$50000,$C47,缺陷明细!$Q$2:$Q$50000,"已关闭",缺陷明细!$J$2:$J$50000,"运维测试",缺陷明细!$K$2:$K$50000,"致命")+COUNTIFS(缺陷明细!$A$2:$A$50000,$B$4,缺陷明细!$G$2:$G$50000,$C47,缺陷明细!$Q$2:$Q$50000,"已关闭",缺陷明细!$J$2:$J$50000,"运维测试",缺陷明细!$K$2:$K$50000,"严重")</f>
        <v>0</v>
      </c>
      <c r="AC47" s="68">
        <f t="shared" si="0"/>
        <v>0</v>
      </c>
      <c r="AD47" s="60">
        <f t="shared" si="0"/>
        <v>0</v>
      </c>
      <c r="AE47" s="60">
        <f t="shared" si="1"/>
        <v>0</v>
      </c>
      <c r="AF47" s="60">
        <f t="shared" si="1"/>
        <v>0</v>
      </c>
      <c r="AG47" s="60">
        <f t="shared" si="2"/>
        <v>0</v>
      </c>
      <c r="AH47" s="60">
        <f t="shared" si="2"/>
        <v>0</v>
      </c>
      <c r="AI47" s="60">
        <f t="shared" si="3"/>
        <v>0</v>
      </c>
      <c r="AJ47" s="61">
        <f t="shared" si="3"/>
        <v>0</v>
      </c>
      <c r="AK47" s="144"/>
    </row>
    <row r="48" spans="1:37">
      <c r="A48">
        <v>44</v>
      </c>
      <c r="B48" s="57"/>
      <c r="C48" s="58"/>
      <c r="D48" s="84"/>
      <c r="E48" s="82"/>
      <c r="F48" s="158"/>
      <c r="G48" s="159"/>
      <c r="H48" s="281">
        <f>COUNTIFS(缺陷明细!$A$2:$A$50000,$B$4,缺陷明细!$G$2:$G$50000,$C48,缺陷明细!$J$2:$J$50000,"评审",缺陷明细!$AB$2:$AB$50000,"&lt;&gt;丢弃",缺陷明细!$AB$2:$AB$50000,"&lt;&gt;设计如此",缺陷明细!$AB$2:$AB$50000,"&lt;&gt;重复Bug")</f>
        <v>0</v>
      </c>
      <c r="I48" s="154">
        <f>COUNTIFS(缺陷明细!$A$2:$A$50000,$B$4,缺陷明细!$G$2:$G$50000,$C48,缺陷明细!$Q$2:$Q$50000,"已关闭",缺陷明细!$J$2:$J$50000,"评审")</f>
        <v>0</v>
      </c>
      <c r="J48" s="154">
        <f>COUNTIFS(缺陷明细!$A$2:$A$50000,$B$4,缺陷明细!$G$2:$G$50000,$C48,缺陷明细!$J$2:$J$50000,"单元测试",缺陷明细!$AB$2:$AB$50000,"&lt;&gt;丢弃",缺陷明细!$AB$2:$AB$50000,"&lt;&gt;设计如此",缺陷明细!$AB$2:$AB$50000,"&lt;&gt;重复Bug")</f>
        <v>0</v>
      </c>
      <c r="K48" s="155">
        <f>COUNTIFS(缺陷明细!$A$2:$A$50000,$B$4,缺陷明细!$G$2:$G$50000,$C48,缺陷明细!$Q$2:$Q$50000,"已关闭",缺陷明细!$J$2:$J$50000,"单元测试")</f>
        <v>0</v>
      </c>
      <c r="L48" s="156"/>
      <c r="M48" s="157"/>
      <c r="N48" s="72">
        <f>COUNTIFS(缺陷明细!$A$2:$A$50000,$B$4,缺陷明细!$G$2:$G$50000,$C48,缺陷明细!$J$2:$J$50000,"系统测试案例评审",缺陷明细!$AB$2:$AB$50000,"&lt;&gt;丢弃",缺陷明细!$AB$2:$AB$50000,"&lt;&gt;设计如此",缺陷明细!$AB$2:$AB$50000,"&lt;&gt;重复Bug")</f>
        <v>0</v>
      </c>
      <c r="O48" s="72">
        <f>COUNTIFS(缺陷明细!$A$2:$A$50000,$B$4,缺陷明细!$G$2:$G$50000,$C48,缺陷明细!$Q$2:$Q$50000,"已关闭",缺陷明细!$J$2:$J$50000,"系统测试案例评审")</f>
        <v>0</v>
      </c>
      <c r="P48" s="72">
        <f>COUNTIFS(缺陷明细!$A$2:$A$50000,$B$4,缺陷明细!$G$2:$G$50000,$C48,缺陷明细!$J$2:$J$50000,"系统测试",缺陷明细!$AB$2:$AB$50000,"&lt;&gt;丢弃",缺陷明细!$AB$2:$AB$50000,"&lt;&gt;设计如此",缺陷明细!$AB$2:$AB$50000,"&lt;&gt;重复Bug")</f>
        <v>0</v>
      </c>
      <c r="Q48" s="72">
        <f>COUNTIFS(缺陷明细!$A$2:$A$50000,$B$4,缺陷明细!$G$2:$G$50000,$C48,缺陷明细!$Q$2:$Q$50000,"已关闭",缺陷明细!$J$2:$J$50000,"系统测试")</f>
        <v>0</v>
      </c>
      <c r="R48" s="296">
        <f>COUNTIFS(缺陷明细!$A$2:$A$50000,$B$4,缺陷明细!$G$2:$G$50000,$C48,缺陷明细!$AB$2:$AB$50000,"丢弃",缺陷明细!$J$2:$J$50000,"系统测试")+COUNTIFS(缺陷明细!$A$2:$A$50000,$B$4,缺陷明细!$G$2:$G$50000,$C48,缺陷明细!$AB$2:$AB$50000,"设计如此",缺陷明细!$J$2:$J$50000,"系统测试")+COUNTIFS(缺陷明细!$A$2:$A$50000,$B$4,缺陷明细!$G$2:$G$50000,$C48,缺陷明细!$AB$2:$AB$50000,"重复Bug",缺陷明细!$J$2:$J$50000,"系统测试")</f>
        <v>0</v>
      </c>
      <c r="S48" s="72">
        <f>COUNTIFS(缺陷明细!$A$2:$A$50000,$B$4,缺陷明细!$G$2:$G$50000,$C48,缺陷明细!$J$2:$J$50000,"系统测试",缺陷明细!$K$2:$K$50000,"致命",缺陷明细!$AB$2:$AB$50000,"&lt;&gt;丢弃",缺陷明细!$AB$2:$AB$50000,"&lt;&gt;设计如此",缺陷明细!$AB$2:$AB$50000,"&lt;&gt;重复Bug")+COUNTIFS(缺陷明细!$A$2:$A$50000,$B$4,缺陷明细!$G$2:$G$50000,$C48,缺陷明细!$J$2:$J$50000,"系统测试",缺陷明细!$K$2:$K$50000,"严重",缺陷明细!$AB$2:$AB$50000,"&lt;&gt;丢弃",缺陷明细!$AB$2:$AB$50000,"&lt;&gt;设计如此",缺陷明细!$AB$2:$AB$50000,"&lt;&gt;重复Bug")</f>
        <v>0</v>
      </c>
      <c r="T48" s="73">
        <f>COUNTIFS(缺陷明细!$A$2:$A$50000,$B$4,缺陷明细!$G$2:$G$50000,$C48,缺陷明细!$Q$2:$Q$50000,"已关闭",缺陷明细!$J$2:$J$50000,"系统测试",缺陷明细!$K$2:$K$50000,"致命")+COUNTIFS(缺陷明细!$A$2:$A$50000,$B$4,缺陷明细!$G$2:$G$50000,$C48,缺陷明细!$Q$2:$Q$50000,"已关闭",缺陷明细!$J$2:$J$50000,"系统测试",缺陷明细!$K$2:$K$50000,"严重")</f>
        <v>0</v>
      </c>
      <c r="U48" s="74">
        <f>COUNTIFS(缺陷明细!$A$2:$A$50000,$B$4,缺陷明细!$G$2:$G$50000,$C48,缺陷明细!$J$2:$J$50000,"验收测试",缺陷明细!$AB$2:$AB$50000,"&lt;&gt;丢弃",缺陷明细!$AB$2:$AB$50000,"&lt;&gt;设计如此",缺陷明细!$AB$2:$AB$50000,"&lt;&gt;重复Bug")</f>
        <v>0</v>
      </c>
      <c r="V48" s="75">
        <f>COUNTIFS(缺陷明细!$A$2:$A$50000,$B$4,缺陷明细!$G$2:$G$50000,$C48,缺陷明细!$Q$2:$Q$50000,"已关闭",缺陷明细!$J$2:$J$50000,"验收测试")</f>
        <v>0</v>
      </c>
      <c r="W48" s="75">
        <f>COUNTIFS(缺陷明细!$A$2:$A$50000,$B$4,缺陷明细!$G$2:$G$50000,$C48,缺陷明细!$J$2:$J$50000,"验收测试",缺陷明细!$K$2:$K$50000,"致命",缺陷明细!$AB$2:$AB$50000,"&lt;&gt;丢弃",缺陷明细!$AB$2:$AB$50000,"&lt;&gt;设计如此",缺陷明细!$AB$2:$AB$50000,"&lt;&gt;重复Bug")+COUNTIFS(缺陷明细!$A$2:$A$50000,$B$4,缺陷明细!$G$2:$G$50000,$C48,缺陷明细!$J$2:$J$50000,"验收测试",缺陷明细!$K$2:$K$50000,"严重",缺陷明细!$AB$2:$AB$50000,"&lt;&gt;丢弃",缺陷明细!$AB$2:$AB$50000,"&lt;&gt;设计如此",缺陷明细!$AB$2:$AB$50000,"&lt;&gt;重复Bug")</f>
        <v>0</v>
      </c>
      <c r="X48" s="76">
        <f>COUNTIFS(缺陷明细!$A$2:$A$50000,$B$4,缺陷明细!$G$2:$G$50000,$C48,缺陷明细!$Q$2:$Q$50000,"已关闭",缺陷明细!$J$2:$J$50000,"验收测试",缺陷明细!$K$2:$K$50000,"致命")+COUNTIFS(缺陷明细!$A$2:$A$50000,$B$4,缺陷明细!$G$2:$G$50000,$C48,缺陷明细!$Q$2:$Q$50000,"已关闭",缺陷明细!$J$2:$J$50000,"验收测试",缺陷明细!$K$2:$K$50000,"严重")</f>
        <v>0</v>
      </c>
      <c r="Y48" s="70">
        <f>COUNTIFS(缺陷明细!$A$2:$A$50000,$B$4,缺陷明细!$G$2:$G$50000,$C48,缺陷明细!$J$2:$J$50000,"运维测试",缺陷明细!$AB$2:$AB$50000,"&lt;&gt;丢弃",缺陷明细!$AB$2:$AB$50000,"&lt;&gt;设计如此",缺陷明细!$AB$2:$AB$50000,"&lt;&gt;重复Bug")</f>
        <v>0</v>
      </c>
      <c r="Z48" s="71">
        <f>COUNTIFS(缺陷明细!$A$2:$A$50000,$B$4,缺陷明细!$G$2:$G$50000,$C48,缺陷明细!$Q$2:$Q$50000,"已关闭",缺陷明细!$J$2:$J$50000,"运维测试")</f>
        <v>0</v>
      </c>
      <c r="AA48" s="72">
        <f>COUNTIFS(缺陷明细!$A$2:$A$50000,$B$4,缺陷明细!$G$2:$G$50000,$C48,缺陷明细!$J$2:$J$50000,"运维测试",缺陷明细!$K$2:$K$50000,"致命",缺陷明细!$AB$2:$AB$50000,"&lt;&gt;丢弃",缺陷明细!$AB$2:$AB$50000,"&lt;&gt;设计如此",缺陷明细!$AB$2:$AB$50000,"&lt;&gt;重复Bug")+COUNTIFS(缺陷明细!$A$2:$A$50000,$B$4,缺陷明细!$G$2:$G$50000,$C48,缺陷明细!$J$2:$J$50000,"运维测试",缺陷明细!$K$2:$K$50000,"严重",缺陷明细!$AB$2:$AB$50000,"&lt;&gt;丢弃",缺陷明细!$AB$2:$AB$50000,"&lt;&gt;设计如此",缺陷明细!$AB$2:$AB$50000,"&lt;&gt;重复Bug")</f>
        <v>0</v>
      </c>
      <c r="AB48" s="73">
        <f>COUNTIFS(缺陷明细!$A$2:$A$50000,$B$4,缺陷明细!$G$2:$G$50000,$C48,缺陷明细!$Q$2:$Q$50000,"已关闭",缺陷明细!$J$2:$J$50000,"运维测试",缺陷明细!$K$2:$K$50000,"致命")+COUNTIFS(缺陷明细!$A$2:$A$50000,$B$4,缺陷明细!$G$2:$G$50000,$C48,缺陷明细!$Q$2:$Q$50000,"已关闭",缺陷明细!$J$2:$J$50000,"运维测试",缺陷明细!$K$2:$K$50000,"严重")</f>
        <v>0</v>
      </c>
      <c r="AC48" s="68">
        <f t="shared" si="0"/>
        <v>0</v>
      </c>
      <c r="AD48" s="60">
        <f t="shared" si="0"/>
        <v>0</v>
      </c>
      <c r="AE48" s="60">
        <f t="shared" si="1"/>
        <v>0</v>
      </c>
      <c r="AF48" s="60">
        <f t="shared" si="1"/>
        <v>0</v>
      </c>
      <c r="AG48" s="60">
        <f t="shared" si="2"/>
        <v>0</v>
      </c>
      <c r="AH48" s="60">
        <f t="shared" si="2"/>
        <v>0</v>
      </c>
      <c r="AI48" s="60">
        <f t="shared" si="3"/>
        <v>0</v>
      </c>
      <c r="AJ48" s="61">
        <f t="shared" si="3"/>
        <v>0</v>
      </c>
      <c r="AK48" s="144"/>
    </row>
    <row r="49" spans="1:37">
      <c r="A49">
        <v>45</v>
      </c>
      <c r="B49" s="57"/>
      <c r="C49" s="58"/>
      <c r="D49" s="84"/>
      <c r="E49" s="82"/>
      <c r="F49" s="158"/>
      <c r="G49" s="159"/>
      <c r="H49" s="281">
        <f>COUNTIFS(缺陷明细!$A$2:$A$50000,$B$4,缺陷明细!$G$2:$G$50000,$C49,缺陷明细!$J$2:$J$50000,"评审",缺陷明细!$AB$2:$AB$50000,"&lt;&gt;丢弃",缺陷明细!$AB$2:$AB$50000,"&lt;&gt;设计如此",缺陷明细!$AB$2:$AB$50000,"&lt;&gt;重复Bug")</f>
        <v>0</v>
      </c>
      <c r="I49" s="154">
        <f>COUNTIFS(缺陷明细!$A$2:$A$50000,$B$4,缺陷明细!$G$2:$G$50000,$C49,缺陷明细!$Q$2:$Q$50000,"已关闭",缺陷明细!$J$2:$J$50000,"评审")</f>
        <v>0</v>
      </c>
      <c r="J49" s="154">
        <f>COUNTIFS(缺陷明细!$A$2:$A$50000,$B$4,缺陷明细!$G$2:$G$50000,$C49,缺陷明细!$J$2:$J$50000,"单元测试",缺陷明细!$AB$2:$AB$50000,"&lt;&gt;丢弃",缺陷明细!$AB$2:$AB$50000,"&lt;&gt;设计如此",缺陷明细!$AB$2:$AB$50000,"&lt;&gt;重复Bug")</f>
        <v>0</v>
      </c>
      <c r="K49" s="155">
        <f>COUNTIFS(缺陷明细!$A$2:$A$50000,$B$4,缺陷明细!$G$2:$G$50000,$C49,缺陷明细!$Q$2:$Q$50000,"已关闭",缺陷明细!$J$2:$J$50000,"单元测试")</f>
        <v>0</v>
      </c>
      <c r="L49" s="156"/>
      <c r="M49" s="157"/>
      <c r="N49" s="72">
        <f>COUNTIFS(缺陷明细!$A$2:$A$50000,$B$4,缺陷明细!$G$2:$G$50000,$C49,缺陷明细!$J$2:$J$50000,"系统测试案例评审",缺陷明细!$AB$2:$AB$50000,"&lt;&gt;丢弃",缺陷明细!$AB$2:$AB$50000,"&lt;&gt;设计如此",缺陷明细!$AB$2:$AB$50000,"&lt;&gt;重复Bug")</f>
        <v>0</v>
      </c>
      <c r="O49" s="72">
        <f>COUNTIFS(缺陷明细!$A$2:$A$50000,$B$4,缺陷明细!$G$2:$G$50000,$C49,缺陷明细!$Q$2:$Q$50000,"已关闭",缺陷明细!$J$2:$J$50000,"系统测试案例评审")</f>
        <v>0</v>
      </c>
      <c r="P49" s="72">
        <f>COUNTIFS(缺陷明细!$A$2:$A$50000,$B$4,缺陷明细!$G$2:$G$50000,$C49,缺陷明细!$J$2:$J$50000,"系统测试",缺陷明细!$AB$2:$AB$50000,"&lt;&gt;丢弃",缺陷明细!$AB$2:$AB$50000,"&lt;&gt;设计如此",缺陷明细!$AB$2:$AB$50000,"&lt;&gt;重复Bug")</f>
        <v>0</v>
      </c>
      <c r="Q49" s="72">
        <f>COUNTIFS(缺陷明细!$A$2:$A$50000,$B$4,缺陷明细!$G$2:$G$50000,$C49,缺陷明细!$Q$2:$Q$50000,"已关闭",缺陷明细!$J$2:$J$50000,"系统测试")</f>
        <v>0</v>
      </c>
      <c r="R49" s="296">
        <f>COUNTIFS(缺陷明细!$A$2:$A$50000,$B$4,缺陷明细!$G$2:$G$50000,$C49,缺陷明细!$AB$2:$AB$50000,"丢弃",缺陷明细!$J$2:$J$50000,"系统测试")+COUNTIFS(缺陷明细!$A$2:$A$50000,$B$4,缺陷明细!$G$2:$G$50000,$C49,缺陷明细!$AB$2:$AB$50000,"设计如此",缺陷明细!$J$2:$J$50000,"系统测试")+COUNTIFS(缺陷明细!$A$2:$A$50000,$B$4,缺陷明细!$G$2:$G$50000,$C49,缺陷明细!$AB$2:$AB$50000,"重复Bug",缺陷明细!$J$2:$J$50000,"系统测试")</f>
        <v>0</v>
      </c>
      <c r="S49" s="72">
        <f>COUNTIFS(缺陷明细!$A$2:$A$50000,$B$4,缺陷明细!$G$2:$G$50000,$C49,缺陷明细!$J$2:$J$50000,"系统测试",缺陷明细!$K$2:$K$50000,"致命",缺陷明细!$AB$2:$AB$50000,"&lt;&gt;丢弃",缺陷明细!$AB$2:$AB$50000,"&lt;&gt;设计如此",缺陷明细!$AB$2:$AB$50000,"&lt;&gt;重复Bug")+COUNTIFS(缺陷明细!$A$2:$A$50000,$B$4,缺陷明细!$G$2:$G$50000,$C49,缺陷明细!$J$2:$J$50000,"系统测试",缺陷明细!$K$2:$K$50000,"严重",缺陷明细!$AB$2:$AB$50000,"&lt;&gt;丢弃",缺陷明细!$AB$2:$AB$50000,"&lt;&gt;设计如此",缺陷明细!$AB$2:$AB$50000,"&lt;&gt;重复Bug")</f>
        <v>0</v>
      </c>
      <c r="T49" s="73">
        <f>COUNTIFS(缺陷明细!$A$2:$A$50000,$B$4,缺陷明细!$G$2:$G$50000,$C49,缺陷明细!$Q$2:$Q$50000,"已关闭",缺陷明细!$J$2:$J$50000,"系统测试",缺陷明细!$K$2:$K$50000,"致命")+COUNTIFS(缺陷明细!$A$2:$A$50000,$B$4,缺陷明细!$G$2:$G$50000,$C49,缺陷明细!$Q$2:$Q$50000,"已关闭",缺陷明细!$J$2:$J$50000,"系统测试",缺陷明细!$K$2:$K$50000,"严重")</f>
        <v>0</v>
      </c>
      <c r="U49" s="74">
        <f>COUNTIFS(缺陷明细!$A$2:$A$50000,$B$4,缺陷明细!$G$2:$G$50000,$C49,缺陷明细!$J$2:$J$50000,"验收测试",缺陷明细!$AB$2:$AB$50000,"&lt;&gt;丢弃",缺陷明细!$AB$2:$AB$50000,"&lt;&gt;设计如此",缺陷明细!$AB$2:$AB$50000,"&lt;&gt;重复Bug")</f>
        <v>0</v>
      </c>
      <c r="V49" s="75">
        <f>COUNTIFS(缺陷明细!$A$2:$A$50000,$B$4,缺陷明细!$G$2:$G$50000,$C49,缺陷明细!$Q$2:$Q$50000,"已关闭",缺陷明细!$J$2:$J$50000,"验收测试")</f>
        <v>0</v>
      </c>
      <c r="W49" s="75">
        <f>COUNTIFS(缺陷明细!$A$2:$A$50000,$B$4,缺陷明细!$G$2:$G$50000,$C49,缺陷明细!$J$2:$J$50000,"验收测试",缺陷明细!$K$2:$K$50000,"致命",缺陷明细!$AB$2:$AB$50000,"&lt;&gt;丢弃",缺陷明细!$AB$2:$AB$50000,"&lt;&gt;设计如此",缺陷明细!$AB$2:$AB$50000,"&lt;&gt;重复Bug")+COUNTIFS(缺陷明细!$A$2:$A$50000,$B$4,缺陷明细!$G$2:$G$50000,$C49,缺陷明细!$J$2:$J$50000,"验收测试",缺陷明细!$K$2:$K$50000,"严重",缺陷明细!$AB$2:$AB$50000,"&lt;&gt;丢弃",缺陷明细!$AB$2:$AB$50000,"&lt;&gt;设计如此",缺陷明细!$AB$2:$AB$50000,"&lt;&gt;重复Bug")</f>
        <v>0</v>
      </c>
      <c r="X49" s="76">
        <f>COUNTIFS(缺陷明细!$A$2:$A$50000,$B$4,缺陷明细!$G$2:$G$50000,$C49,缺陷明细!$Q$2:$Q$50000,"已关闭",缺陷明细!$J$2:$J$50000,"验收测试",缺陷明细!$K$2:$K$50000,"致命")+COUNTIFS(缺陷明细!$A$2:$A$50000,$B$4,缺陷明细!$G$2:$G$50000,$C49,缺陷明细!$Q$2:$Q$50000,"已关闭",缺陷明细!$J$2:$J$50000,"验收测试",缺陷明细!$K$2:$K$50000,"严重")</f>
        <v>0</v>
      </c>
      <c r="Y49" s="70">
        <f>COUNTIFS(缺陷明细!$A$2:$A$50000,$B$4,缺陷明细!$G$2:$G$50000,$C49,缺陷明细!$J$2:$J$50000,"运维测试",缺陷明细!$AB$2:$AB$50000,"&lt;&gt;丢弃",缺陷明细!$AB$2:$AB$50000,"&lt;&gt;设计如此",缺陷明细!$AB$2:$AB$50000,"&lt;&gt;重复Bug")</f>
        <v>0</v>
      </c>
      <c r="Z49" s="71">
        <f>COUNTIFS(缺陷明细!$A$2:$A$50000,$B$4,缺陷明细!$G$2:$G$50000,$C49,缺陷明细!$Q$2:$Q$50000,"已关闭",缺陷明细!$J$2:$J$50000,"运维测试")</f>
        <v>0</v>
      </c>
      <c r="AA49" s="72">
        <f>COUNTIFS(缺陷明细!$A$2:$A$50000,$B$4,缺陷明细!$G$2:$G$50000,$C49,缺陷明细!$J$2:$J$50000,"运维测试",缺陷明细!$K$2:$K$50000,"致命",缺陷明细!$AB$2:$AB$50000,"&lt;&gt;丢弃",缺陷明细!$AB$2:$AB$50000,"&lt;&gt;设计如此",缺陷明细!$AB$2:$AB$50000,"&lt;&gt;重复Bug")+COUNTIFS(缺陷明细!$A$2:$A$50000,$B$4,缺陷明细!$G$2:$G$50000,$C49,缺陷明细!$J$2:$J$50000,"运维测试",缺陷明细!$K$2:$K$50000,"严重",缺陷明细!$AB$2:$AB$50000,"&lt;&gt;丢弃",缺陷明细!$AB$2:$AB$50000,"&lt;&gt;设计如此",缺陷明细!$AB$2:$AB$50000,"&lt;&gt;重复Bug")</f>
        <v>0</v>
      </c>
      <c r="AB49" s="73">
        <f>COUNTIFS(缺陷明细!$A$2:$A$50000,$B$4,缺陷明细!$G$2:$G$50000,$C49,缺陷明细!$Q$2:$Q$50000,"已关闭",缺陷明细!$J$2:$J$50000,"运维测试",缺陷明细!$K$2:$K$50000,"致命")+COUNTIFS(缺陷明细!$A$2:$A$50000,$B$4,缺陷明细!$G$2:$G$50000,$C49,缺陷明细!$Q$2:$Q$50000,"已关闭",缺陷明细!$J$2:$J$50000,"运维测试",缺陷明细!$K$2:$K$50000,"严重")</f>
        <v>0</v>
      </c>
      <c r="AC49" s="68">
        <f t="shared" si="0"/>
        <v>0</v>
      </c>
      <c r="AD49" s="60">
        <f t="shared" si="0"/>
        <v>0</v>
      </c>
      <c r="AE49" s="60">
        <f t="shared" si="1"/>
        <v>0</v>
      </c>
      <c r="AF49" s="60">
        <f t="shared" si="1"/>
        <v>0</v>
      </c>
      <c r="AG49" s="60">
        <f t="shared" si="2"/>
        <v>0</v>
      </c>
      <c r="AH49" s="60">
        <f t="shared" si="2"/>
        <v>0</v>
      </c>
      <c r="AI49" s="60">
        <f t="shared" si="3"/>
        <v>0</v>
      </c>
      <c r="AJ49" s="61">
        <f t="shared" si="3"/>
        <v>0</v>
      </c>
      <c r="AK49" s="144"/>
    </row>
    <row r="50" spans="1:37">
      <c r="A50">
        <v>46</v>
      </c>
      <c r="B50" s="57"/>
      <c r="C50" s="58"/>
      <c r="D50" s="84"/>
      <c r="E50" s="82"/>
      <c r="F50" s="158"/>
      <c r="G50" s="159"/>
      <c r="H50" s="281">
        <f>COUNTIFS(缺陷明细!$A$2:$A$50000,$B$4,缺陷明细!$G$2:$G$50000,$C50,缺陷明细!$J$2:$J$50000,"评审",缺陷明细!$AB$2:$AB$50000,"&lt;&gt;丢弃",缺陷明细!$AB$2:$AB$50000,"&lt;&gt;设计如此",缺陷明细!$AB$2:$AB$50000,"&lt;&gt;重复Bug")</f>
        <v>0</v>
      </c>
      <c r="I50" s="154">
        <f>COUNTIFS(缺陷明细!$A$2:$A$50000,$B$4,缺陷明细!$G$2:$G$50000,$C50,缺陷明细!$Q$2:$Q$50000,"已关闭",缺陷明细!$J$2:$J$50000,"评审")</f>
        <v>0</v>
      </c>
      <c r="J50" s="154">
        <f>COUNTIFS(缺陷明细!$A$2:$A$50000,$B$4,缺陷明细!$G$2:$G$50000,$C50,缺陷明细!$J$2:$J$50000,"单元测试",缺陷明细!$AB$2:$AB$50000,"&lt;&gt;丢弃",缺陷明细!$AB$2:$AB$50000,"&lt;&gt;设计如此",缺陷明细!$AB$2:$AB$50000,"&lt;&gt;重复Bug")</f>
        <v>0</v>
      </c>
      <c r="K50" s="155">
        <f>COUNTIFS(缺陷明细!$A$2:$A$50000,$B$4,缺陷明细!$G$2:$G$50000,$C50,缺陷明细!$Q$2:$Q$50000,"已关闭",缺陷明细!$J$2:$J$50000,"单元测试")</f>
        <v>0</v>
      </c>
      <c r="L50" s="156"/>
      <c r="M50" s="157"/>
      <c r="N50" s="72">
        <f>COUNTIFS(缺陷明细!$A$2:$A$50000,$B$4,缺陷明细!$G$2:$G$50000,$C50,缺陷明细!$J$2:$J$50000,"系统测试案例评审",缺陷明细!$AB$2:$AB$50000,"&lt;&gt;丢弃",缺陷明细!$AB$2:$AB$50000,"&lt;&gt;设计如此",缺陷明细!$AB$2:$AB$50000,"&lt;&gt;重复Bug")</f>
        <v>0</v>
      </c>
      <c r="O50" s="72">
        <f>COUNTIFS(缺陷明细!$A$2:$A$50000,$B$4,缺陷明细!$G$2:$G$50000,$C50,缺陷明细!$Q$2:$Q$50000,"已关闭",缺陷明细!$J$2:$J$50000,"系统测试案例评审")</f>
        <v>0</v>
      </c>
      <c r="P50" s="72">
        <f>COUNTIFS(缺陷明细!$A$2:$A$50000,$B$4,缺陷明细!$G$2:$G$50000,$C50,缺陷明细!$J$2:$J$50000,"系统测试",缺陷明细!$AB$2:$AB$50000,"&lt;&gt;丢弃",缺陷明细!$AB$2:$AB$50000,"&lt;&gt;设计如此",缺陷明细!$AB$2:$AB$50000,"&lt;&gt;重复Bug")</f>
        <v>0</v>
      </c>
      <c r="Q50" s="72">
        <f>COUNTIFS(缺陷明细!$A$2:$A$50000,$B$4,缺陷明细!$G$2:$G$50000,$C50,缺陷明细!$Q$2:$Q$50000,"已关闭",缺陷明细!$J$2:$J$50000,"系统测试")</f>
        <v>0</v>
      </c>
      <c r="R50" s="296">
        <f>COUNTIFS(缺陷明细!$A$2:$A$50000,$B$4,缺陷明细!$G$2:$G$50000,$C50,缺陷明细!$AB$2:$AB$50000,"丢弃",缺陷明细!$J$2:$J$50000,"系统测试")+COUNTIFS(缺陷明细!$A$2:$A$50000,$B$4,缺陷明细!$G$2:$G$50000,$C50,缺陷明细!$AB$2:$AB$50000,"设计如此",缺陷明细!$J$2:$J$50000,"系统测试")+COUNTIFS(缺陷明细!$A$2:$A$50000,$B$4,缺陷明细!$G$2:$G$50000,$C50,缺陷明细!$AB$2:$AB$50000,"重复Bug",缺陷明细!$J$2:$J$50000,"系统测试")</f>
        <v>0</v>
      </c>
      <c r="S50" s="72">
        <f>COUNTIFS(缺陷明细!$A$2:$A$50000,$B$4,缺陷明细!$G$2:$G$50000,$C50,缺陷明细!$J$2:$J$50000,"系统测试",缺陷明细!$K$2:$K$50000,"致命",缺陷明细!$AB$2:$AB$50000,"&lt;&gt;丢弃",缺陷明细!$AB$2:$AB$50000,"&lt;&gt;设计如此",缺陷明细!$AB$2:$AB$50000,"&lt;&gt;重复Bug")+COUNTIFS(缺陷明细!$A$2:$A$50000,$B$4,缺陷明细!$G$2:$G$50000,$C50,缺陷明细!$J$2:$J$50000,"系统测试",缺陷明细!$K$2:$K$50000,"严重",缺陷明细!$AB$2:$AB$50000,"&lt;&gt;丢弃",缺陷明细!$AB$2:$AB$50000,"&lt;&gt;设计如此",缺陷明细!$AB$2:$AB$50000,"&lt;&gt;重复Bug")</f>
        <v>0</v>
      </c>
      <c r="T50" s="73">
        <f>COUNTIFS(缺陷明细!$A$2:$A$50000,$B$4,缺陷明细!$G$2:$G$50000,$C50,缺陷明细!$Q$2:$Q$50000,"已关闭",缺陷明细!$J$2:$J$50000,"系统测试",缺陷明细!$K$2:$K$50000,"致命")+COUNTIFS(缺陷明细!$A$2:$A$50000,$B$4,缺陷明细!$G$2:$G$50000,$C50,缺陷明细!$Q$2:$Q$50000,"已关闭",缺陷明细!$J$2:$J$50000,"系统测试",缺陷明细!$K$2:$K$50000,"严重")</f>
        <v>0</v>
      </c>
      <c r="U50" s="74">
        <f>COUNTIFS(缺陷明细!$A$2:$A$50000,$B$4,缺陷明细!$G$2:$G$50000,$C50,缺陷明细!$J$2:$J$50000,"验收测试",缺陷明细!$AB$2:$AB$50000,"&lt;&gt;丢弃",缺陷明细!$AB$2:$AB$50000,"&lt;&gt;设计如此",缺陷明细!$AB$2:$AB$50000,"&lt;&gt;重复Bug")</f>
        <v>0</v>
      </c>
      <c r="V50" s="75">
        <f>COUNTIFS(缺陷明细!$A$2:$A$50000,$B$4,缺陷明细!$G$2:$G$50000,$C50,缺陷明细!$Q$2:$Q$50000,"已关闭",缺陷明细!$J$2:$J$50000,"验收测试")</f>
        <v>0</v>
      </c>
      <c r="W50" s="75">
        <f>COUNTIFS(缺陷明细!$A$2:$A$50000,$B$4,缺陷明细!$G$2:$G$50000,$C50,缺陷明细!$J$2:$J$50000,"验收测试",缺陷明细!$K$2:$K$50000,"致命",缺陷明细!$AB$2:$AB$50000,"&lt;&gt;丢弃",缺陷明细!$AB$2:$AB$50000,"&lt;&gt;设计如此",缺陷明细!$AB$2:$AB$50000,"&lt;&gt;重复Bug")+COUNTIFS(缺陷明细!$A$2:$A$50000,$B$4,缺陷明细!$G$2:$G$50000,$C50,缺陷明细!$J$2:$J$50000,"验收测试",缺陷明细!$K$2:$K$50000,"严重",缺陷明细!$AB$2:$AB$50000,"&lt;&gt;丢弃",缺陷明细!$AB$2:$AB$50000,"&lt;&gt;设计如此",缺陷明细!$AB$2:$AB$50000,"&lt;&gt;重复Bug")</f>
        <v>0</v>
      </c>
      <c r="X50" s="76">
        <f>COUNTIFS(缺陷明细!$A$2:$A$50000,$B$4,缺陷明细!$G$2:$G$50000,$C50,缺陷明细!$Q$2:$Q$50000,"已关闭",缺陷明细!$J$2:$J$50000,"验收测试",缺陷明细!$K$2:$K$50000,"致命")+COUNTIFS(缺陷明细!$A$2:$A$50000,$B$4,缺陷明细!$G$2:$G$50000,$C50,缺陷明细!$Q$2:$Q$50000,"已关闭",缺陷明细!$J$2:$J$50000,"验收测试",缺陷明细!$K$2:$K$50000,"严重")</f>
        <v>0</v>
      </c>
      <c r="Y50" s="70">
        <f>COUNTIFS(缺陷明细!$A$2:$A$50000,$B$4,缺陷明细!$G$2:$G$50000,$C50,缺陷明细!$J$2:$J$50000,"运维测试",缺陷明细!$AB$2:$AB$50000,"&lt;&gt;丢弃",缺陷明细!$AB$2:$AB$50000,"&lt;&gt;设计如此",缺陷明细!$AB$2:$AB$50000,"&lt;&gt;重复Bug")</f>
        <v>0</v>
      </c>
      <c r="Z50" s="71">
        <f>COUNTIFS(缺陷明细!$A$2:$A$50000,$B$4,缺陷明细!$G$2:$G$50000,$C50,缺陷明细!$Q$2:$Q$50000,"已关闭",缺陷明细!$J$2:$J$50000,"运维测试")</f>
        <v>0</v>
      </c>
      <c r="AA50" s="72">
        <f>COUNTIFS(缺陷明细!$A$2:$A$50000,$B$4,缺陷明细!$G$2:$G$50000,$C50,缺陷明细!$J$2:$J$50000,"运维测试",缺陷明细!$K$2:$K$50000,"致命",缺陷明细!$AB$2:$AB$50000,"&lt;&gt;丢弃",缺陷明细!$AB$2:$AB$50000,"&lt;&gt;设计如此",缺陷明细!$AB$2:$AB$50000,"&lt;&gt;重复Bug")+COUNTIFS(缺陷明细!$A$2:$A$50000,$B$4,缺陷明细!$G$2:$G$50000,$C50,缺陷明细!$J$2:$J$50000,"运维测试",缺陷明细!$K$2:$K$50000,"严重",缺陷明细!$AB$2:$AB$50000,"&lt;&gt;丢弃",缺陷明细!$AB$2:$AB$50000,"&lt;&gt;设计如此",缺陷明细!$AB$2:$AB$50000,"&lt;&gt;重复Bug")</f>
        <v>0</v>
      </c>
      <c r="AB50" s="73">
        <f>COUNTIFS(缺陷明细!$A$2:$A$50000,$B$4,缺陷明细!$G$2:$G$50000,$C50,缺陷明细!$Q$2:$Q$50000,"已关闭",缺陷明细!$J$2:$J$50000,"运维测试",缺陷明细!$K$2:$K$50000,"致命")+COUNTIFS(缺陷明细!$A$2:$A$50000,$B$4,缺陷明细!$G$2:$G$50000,$C50,缺陷明细!$Q$2:$Q$50000,"已关闭",缺陷明细!$J$2:$J$50000,"运维测试",缺陷明细!$K$2:$K$50000,"严重")</f>
        <v>0</v>
      </c>
      <c r="AC50" s="68">
        <f t="shared" si="0"/>
        <v>0</v>
      </c>
      <c r="AD50" s="60">
        <f t="shared" si="0"/>
        <v>0</v>
      </c>
      <c r="AE50" s="60">
        <f t="shared" si="1"/>
        <v>0</v>
      </c>
      <c r="AF50" s="60">
        <f t="shared" si="1"/>
        <v>0</v>
      </c>
      <c r="AG50" s="60">
        <f t="shared" si="2"/>
        <v>0</v>
      </c>
      <c r="AH50" s="60">
        <f t="shared" si="2"/>
        <v>0</v>
      </c>
      <c r="AI50" s="60">
        <f t="shared" si="3"/>
        <v>0</v>
      </c>
      <c r="AJ50" s="61">
        <f t="shared" si="3"/>
        <v>0</v>
      </c>
      <c r="AK50" s="144"/>
    </row>
    <row r="51" spans="1:37">
      <c r="A51">
        <v>47</v>
      </c>
      <c r="B51" s="57"/>
      <c r="C51" s="58"/>
      <c r="D51" s="84"/>
      <c r="E51" s="82"/>
      <c r="F51" s="158"/>
      <c r="G51" s="159"/>
      <c r="H51" s="281">
        <f>COUNTIFS(缺陷明细!$A$2:$A$50000,$B$4,缺陷明细!$G$2:$G$50000,$C51,缺陷明细!$J$2:$J$50000,"评审",缺陷明细!$AB$2:$AB$50000,"&lt;&gt;丢弃",缺陷明细!$AB$2:$AB$50000,"&lt;&gt;设计如此",缺陷明细!$AB$2:$AB$50000,"&lt;&gt;重复Bug")</f>
        <v>0</v>
      </c>
      <c r="I51" s="154">
        <f>COUNTIFS(缺陷明细!$A$2:$A$50000,$B$4,缺陷明细!$G$2:$G$50000,$C51,缺陷明细!$Q$2:$Q$50000,"已关闭",缺陷明细!$J$2:$J$50000,"评审")</f>
        <v>0</v>
      </c>
      <c r="J51" s="154">
        <f>COUNTIFS(缺陷明细!$A$2:$A$50000,$B$4,缺陷明细!$G$2:$G$50000,$C51,缺陷明细!$J$2:$J$50000,"单元测试",缺陷明细!$AB$2:$AB$50000,"&lt;&gt;丢弃",缺陷明细!$AB$2:$AB$50000,"&lt;&gt;设计如此",缺陷明细!$AB$2:$AB$50000,"&lt;&gt;重复Bug")</f>
        <v>0</v>
      </c>
      <c r="K51" s="155">
        <f>COUNTIFS(缺陷明细!$A$2:$A$50000,$B$4,缺陷明细!$G$2:$G$50000,$C51,缺陷明细!$Q$2:$Q$50000,"已关闭",缺陷明细!$J$2:$J$50000,"单元测试")</f>
        <v>0</v>
      </c>
      <c r="L51" s="156"/>
      <c r="M51" s="157"/>
      <c r="N51" s="72">
        <f>COUNTIFS(缺陷明细!$A$2:$A$50000,$B$4,缺陷明细!$G$2:$G$50000,$C51,缺陷明细!$J$2:$J$50000,"系统测试案例评审",缺陷明细!$AB$2:$AB$50000,"&lt;&gt;丢弃",缺陷明细!$AB$2:$AB$50000,"&lt;&gt;设计如此",缺陷明细!$AB$2:$AB$50000,"&lt;&gt;重复Bug")</f>
        <v>0</v>
      </c>
      <c r="O51" s="72">
        <f>COUNTIFS(缺陷明细!$A$2:$A$50000,$B$4,缺陷明细!$G$2:$G$50000,$C51,缺陷明细!$Q$2:$Q$50000,"已关闭",缺陷明细!$J$2:$J$50000,"系统测试案例评审")</f>
        <v>0</v>
      </c>
      <c r="P51" s="72">
        <f>COUNTIFS(缺陷明细!$A$2:$A$50000,$B$4,缺陷明细!$G$2:$G$50000,$C51,缺陷明细!$J$2:$J$50000,"系统测试",缺陷明细!$AB$2:$AB$50000,"&lt;&gt;丢弃",缺陷明细!$AB$2:$AB$50000,"&lt;&gt;设计如此",缺陷明细!$AB$2:$AB$50000,"&lt;&gt;重复Bug")</f>
        <v>0</v>
      </c>
      <c r="Q51" s="72">
        <f>COUNTIFS(缺陷明细!$A$2:$A$50000,$B$4,缺陷明细!$G$2:$G$50000,$C51,缺陷明细!$Q$2:$Q$50000,"已关闭",缺陷明细!$J$2:$J$50000,"系统测试")</f>
        <v>0</v>
      </c>
      <c r="R51" s="296">
        <f>COUNTIFS(缺陷明细!$A$2:$A$50000,$B$4,缺陷明细!$G$2:$G$50000,$C51,缺陷明细!$AB$2:$AB$50000,"丢弃",缺陷明细!$J$2:$J$50000,"系统测试")+COUNTIFS(缺陷明细!$A$2:$A$50000,$B$4,缺陷明细!$G$2:$G$50000,$C51,缺陷明细!$AB$2:$AB$50000,"设计如此",缺陷明细!$J$2:$J$50000,"系统测试")+COUNTIFS(缺陷明细!$A$2:$A$50000,$B$4,缺陷明细!$G$2:$G$50000,$C51,缺陷明细!$AB$2:$AB$50000,"重复Bug",缺陷明细!$J$2:$J$50000,"系统测试")</f>
        <v>0</v>
      </c>
      <c r="S51" s="72">
        <f>COUNTIFS(缺陷明细!$A$2:$A$50000,$B$4,缺陷明细!$G$2:$G$50000,$C51,缺陷明细!$J$2:$J$50000,"系统测试",缺陷明细!$K$2:$K$50000,"致命",缺陷明细!$AB$2:$AB$50000,"&lt;&gt;丢弃",缺陷明细!$AB$2:$AB$50000,"&lt;&gt;设计如此",缺陷明细!$AB$2:$AB$50000,"&lt;&gt;重复Bug")+COUNTIFS(缺陷明细!$A$2:$A$50000,$B$4,缺陷明细!$G$2:$G$50000,$C51,缺陷明细!$J$2:$J$50000,"系统测试",缺陷明细!$K$2:$K$50000,"严重",缺陷明细!$AB$2:$AB$50000,"&lt;&gt;丢弃",缺陷明细!$AB$2:$AB$50000,"&lt;&gt;设计如此",缺陷明细!$AB$2:$AB$50000,"&lt;&gt;重复Bug")</f>
        <v>0</v>
      </c>
      <c r="T51" s="73">
        <f>COUNTIFS(缺陷明细!$A$2:$A$50000,$B$4,缺陷明细!$G$2:$G$50000,$C51,缺陷明细!$Q$2:$Q$50000,"已关闭",缺陷明细!$J$2:$J$50000,"系统测试",缺陷明细!$K$2:$K$50000,"致命")+COUNTIFS(缺陷明细!$A$2:$A$50000,$B$4,缺陷明细!$G$2:$G$50000,$C51,缺陷明细!$Q$2:$Q$50000,"已关闭",缺陷明细!$J$2:$J$50000,"系统测试",缺陷明细!$K$2:$K$50000,"严重")</f>
        <v>0</v>
      </c>
      <c r="U51" s="74">
        <f>COUNTIFS(缺陷明细!$A$2:$A$50000,$B$4,缺陷明细!$G$2:$G$50000,$C51,缺陷明细!$J$2:$J$50000,"验收测试",缺陷明细!$AB$2:$AB$50000,"&lt;&gt;丢弃",缺陷明细!$AB$2:$AB$50000,"&lt;&gt;设计如此",缺陷明细!$AB$2:$AB$50000,"&lt;&gt;重复Bug")</f>
        <v>0</v>
      </c>
      <c r="V51" s="75">
        <f>COUNTIFS(缺陷明细!$A$2:$A$50000,$B$4,缺陷明细!$G$2:$G$50000,$C51,缺陷明细!$Q$2:$Q$50000,"已关闭",缺陷明细!$J$2:$J$50000,"验收测试")</f>
        <v>0</v>
      </c>
      <c r="W51" s="75">
        <f>COUNTIFS(缺陷明细!$A$2:$A$50000,$B$4,缺陷明细!$G$2:$G$50000,$C51,缺陷明细!$J$2:$J$50000,"验收测试",缺陷明细!$K$2:$K$50000,"致命",缺陷明细!$AB$2:$AB$50000,"&lt;&gt;丢弃",缺陷明细!$AB$2:$AB$50000,"&lt;&gt;设计如此",缺陷明细!$AB$2:$AB$50000,"&lt;&gt;重复Bug")+COUNTIFS(缺陷明细!$A$2:$A$50000,$B$4,缺陷明细!$G$2:$G$50000,$C51,缺陷明细!$J$2:$J$50000,"验收测试",缺陷明细!$K$2:$K$50000,"严重",缺陷明细!$AB$2:$AB$50000,"&lt;&gt;丢弃",缺陷明细!$AB$2:$AB$50000,"&lt;&gt;设计如此",缺陷明细!$AB$2:$AB$50000,"&lt;&gt;重复Bug")</f>
        <v>0</v>
      </c>
      <c r="X51" s="76">
        <f>COUNTIFS(缺陷明细!$A$2:$A$50000,$B$4,缺陷明细!$G$2:$G$50000,$C51,缺陷明细!$Q$2:$Q$50000,"已关闭",缺陷明细!$J$2:$J$50000,"验收测试",缺陷明细!$K$2:$K$50000,"致命")+COUNTIFS(缺陷明细!$A$2:$A$50000,$B$4,缺陷明细!$G$2:$G$50000,$C51,缺陷明细!$Q$2:$Q$50000,"已关闭",缺陷明细!$J$2:$J$50000,"验收测试",缺陷明细!$K$2:$K$50000,"严重")</f>
        <v>0</v>
      </c>
      <c r="Y51" s="70">
        <f>COUNTIFS(缺陷明细!$A$2:$A$50000,$B$4,缺陷明细!$G$2:$G$50000,$C51,缺陷明细!$J$2:$J$50000,"运维测试",缺陷明细!$AB$2:$AB$50000,"&lt;&gt;丢弃",缺陷明细!$AB$2:$AB$50000,"&lt;&gt;设计如此",缺陷明细!$AB$2:$AB$50000,"&lt;&gt;重复Bug")</f>
        <v>0</v>
      </c>
      <c r="Z51" s="71">
        <f>COUNTIFS(缺陷明细!$A$2:$A$50000,$B$4,缺陷明细!$G$2:$G$50000,$C51,缺陷明细!$Q$2:$Q$50000,"已关闭",缺陷明细!$J$2:$J$50000,"运维测试")</f>
        <v>0</v>
      </c>
      <c r="AA51" s="72">
        <f>COUNTIFS(缺陷明细!$A$2:$A$50000,$B$4,缺陷明细!$G$2:$G$50000,$C51,缺陷明细!$J$2:$J$50000,"运维测试",缺陷明细!$K$2:$K$50000,"致命",缺陷明细!$AB$2:$AB$50000,"&lt;&gt;丢弃",缺陷明细!$AB$2:$AB$50000,"&lt;&gt;设计如此",缺陷明细!$AB$2:$AB$50000,"&lt;&gt;重复Bug")+COUNTIFS(缺陷明细!$A$2:$A$50000,$B$4,缺陷明细!$G$2:$G$50000,$C51,缺陷明细!$J$2:$J$50000,"运维测试",缺陷明细!$K$2:$K$50000,"严重",缺陷明细!$AB$2:$AB$50000,"&lt;&gt;丢弃",缺陷明细!$AB$2:$AB$50000,"&lt;&gt;设计如此",缺陷明细!$AB$2:$AB$50000,"&lt;&gt;重复Bug")</f>
        <v>0</v>
      </c>
      <c r="AB51" s="73">
        <f>COUNTIFS(缺陷明细!$A$2:$A$50000,$B$4,缺陷明细!$G$2:$G$50000,$C51,缺陷明细!$Q$2:$Q$50000,"已关闭",缺陷明细!$J$2:$J$50000,"运维测试",缺陷明细!$K$2:$K$50000,"致命")+COUNTIFS(缺陷明细!$A$2:$A$50000,$B$4,缺陷明细!$G$2:$G$50000,$C51,缺陷明细!$Q$2:$Q$50000,"已关闭",缺陷明细!$J$2:$J$50000,"运维测试",缺陷明细!$K$2:$K$50000,"严重")</f>
        <v>0</v>
      </c>
      <c r="AC51" s="68">
        <f t="shared" si="0"/>
        <v>0</v>
      </c>
      <c r="AD51" s="60">
        <f t="shared" si="0"/>
        <v>0</v>
      </c>
      <c r="AE51" s="60">
        <f t="shared" si="1"/>
        <v>0</v>
      </c>
      <c r="AF51" s="60">
        <f t="shared" si="1"/>
        <v>0</v>
      </c>
      <c r="AG51" s="60">
        <f t="shared" si="2"/>
        <v>0</v>
      </c>
      <c r="AH51" s="60">
        <f t="shared" si="2"/>
        <v>0</v>
      </c>
      <c r="AI51" s="60">
        <f t="shared" si="3"/>
        <v>0</v>
      </c>
      <c r="AJ51" s="61">
        <f t="shared" si="3"/>
        <v>0</v>
      </c>
      <c r="AK51" s="144"/>
    </row>
    <row r="52" spans="1:37">
      <c r="A52">
        <v>48</v>
      </c>
      <c r="B52" s="57"/>
      <c r="C52" s="58"/>
      <c r="D52" s="84"/>
      <c r="E52" s="82"/>
      <c r="F52" s="158"/>
      <c r="G52" s="159"/>
      <c r="H52" s="281">
        <f>COUNTIFS(缺陷明细!$A$2:$A$50000,$B$4,缺陷明细!$G$2:$G$50000,$C52,缺陷明细!$J$2:$J$50000,"评审",缺陷明细!$AB$2:$AB$50000,"&lt;&gt;丢弃",缺陷明细!$AB$2:$AB$50000,"&lt;&gt;设计如此",缺陷明细!$AB$2:$AB$50000,"&lt;&gt;重复Bug")</f>
        <v>0</v>
      </c>
      <c r="I52" s="154">
        <f>COUNTIFS(缺陷明细!$A$2:$A$50000,$B$4,缺陷明细!$G$2:$G$50000,$C52,缺陷明细!$Q$2:$Q$50000,"已关闭",缺陷明细!$J$2:$J$50000,"评审")</f>
        <v>0</v>
      </c>
      <c r="J52" s="154">
        <f>COUNTIFS(缺陷明细!$A$2:$A$50000,$B$4,缺陷明细!$G$2:$G$50000,$C52,缺陷明细!$J$2:$J$50000,"单元测试",缺陷明细!$AB$2:$AB$50000,"&lt;&gt;丢弃",缺陷明细!$AB$2:$AB$50000,"&lt;&gt;设计如此",缺陷明细!$AB$2:$AB$50000,"&lt;&gt;重复Bug")</f>
        <v>0</v>
      </c>
      <c r="K52" s="155">
        <f>COUNTIFS(缺陷明细!$A$2:$A$50000,$B$4,缺陷明细!$G$2:$G$50000,$C52,缺陷明细!$Q$2:$Q$50000,"已关闭",缺陷明细!$J$2:$J$50000,"单元测试")</f>
        <v>0</v>
      </c>
      <c r="L52" s="156"/>
      <c r="M52" s="157"/>
      <c r="N52" s="72">
        <f>COUNTIFS(缺陷明细!$A$2:$A$50000,$B$4,缺陷明细!$G$2:$G$50000,$C52,缺陷明细!$J$2:$J$50000,"系统测试案例评审",缺陷明细!$AB$2:$AB$50000,"&lt;&gt;丢弃",缺陷明细!$AB$2:$AB$50000,"&lt;&gt;设计如此",缺陷明细!$AB$2:$AB$50000,"&lt;&gt;重复Bug")</f>
        <v>0</v>
      </c>
      <c r="O52" s="72">
        <f>COUNTIFS(缺陷明细!$A$2:$A$50000,$B$4,缺陷明细!$G$2:$G$50000,$C52,缺陷明细!$Q$2:$Q$50000,"已关闭",缺陷明细!$J$2:$J$50000,"系统测试案例评审")</f>
        <v>0</v>
      </c>
      <c r="P52" s="72">
        <f>COUNTIFS(缺陷明细!$A$2:$A$50000,$B$4,缺陷明细!$G$2:$G$50000,$C52,缺陷明细!$J$2:$J$50000,"系统测试",缺陷明细!$AB$2:$AB$50000,"&lt;&gt;丢弃",缺陷明细!$AB$2:$AB$50000,"&lt;&gt;设计如此",缺陷明细!$AB$2:$AB$50000,"&lt;&gt;重复Bug")</f>
        <v>0</v>
      </c>
      <c r="Q52" s="72">
        <f>COUNTIFS(缺陷明细!$A$2:$A$50000,$B$4,缺陷明细!$G$2:$G$50000,$C52,缺陷明细!$Q$2:$Q$50000,"已关闭",缺陷明细!$J$2:$J$50000,"系统测试")</f>
        <v>0</v>
      </c>
      <c r="R52" s="296">
        <f>COUNTIFS(缺陷明细!$A$2:$A$50000,$B$4,缺陷明细!$G$2:$G$50000,$C52,缺陷明细!$AB$2:$AB$50000,"丢弃",缺陷明细!$J$2:$J$50000,"系统测试")+COUNTIFS(缺陷明细!$A$2:$A$50000,$B$4,缺陷明细!$G$2:$G$50000,$C52,缺陷明细!$AB$2:$AB$50000,"设计如此",缺陷明细!$J$2:$J$50000,"系统测试")+COUNTIFS(缺陷明细!$A$2:$A$50000,$B$4,缺陷明细!$G$2:$G$50000,$C52,缺陷明细!$AB$2:$AB$50000,"重复Bug",缺陷明细!$J$2:$J$50000,"系统测试")</f>
        <v>0</v>
      </c>
      <c r="S52" s="72">
        <f>COUNTIFS(缺陷明细!$A$2:$A$50000,$B$4,缺陷明细!$G$2:$G$50000,$C52,缺陷明细!$J$2:$J$50000,"系统测试",缺陷明细!$K$2:$K$50000,"致命",缺陷明细!$AB$2:$AB$50000,"&lt;&gt;丢弃",缺陷明细!$AB$2:$AB$50000,"&lt;&gt;设计如此",缺陷明细!$AB$2:$AB$50000,"&lt;&gt;重复Bug")+COUNTIFS(缺陷明细!$A$2:$A$50000,$B$4,缺陷明细!$G$2:$G$50000,$C52,缺陷明细!$J$2:$J$50000,"系统测试",缺陷明细!$K$2:$K$50000,"严重",缺陷明细!$AB$2:$AB$50000,"&lt;&gt;丢弃",缺陷明细!$AB$2:$AB$50000,"&lt;&gt;设计如此",缺陷明细!$AB$2:$AB$50000,"&lt;&gt;重复Bug")</f>
        <v>0</v>
      </c>
      <c r="T52" s="73">
        <f>COUNTIFS(缺陷明细!$A$2:$A$50000,$B$4,缺陷明细!$G$2:$G$50000,$C52,缺陷明细!$Q$2:$Q$50000,"已关闭",缺陷明细!$J$2:$J$50000,"系统测试",缺陷明细!$K$2:$K$50000,"致命")+COUNTIFS(缺陷明细!$A$2:$A$50000,$B$4,缺陷明细!$G$2:$G$50000,$C52,缺陷明细!$Q$2:$Q$50000,"已关闭",缺陷明细!$J$2:$J$50000,"系统测试",缺陷明细!$K$2:$K$50000,"严重")</f>
        <v>0</v>
      </c>
      <c r="U52" s="74">
        <f>COUNTIFS(缺陷明细!$A$2:$A$50000,$B$4,缺陷明细!$G$2:$G$50000,$C52,缺陷明细!$J$2:$J$50000,"验收测试",缺陷明细!$AB$2:$AB$50000,"&lt;&gt;丢弃",缺陷明细!$AB$2:$AB$50000,"&lt;&gt;设计如此",缺陷明细!$AB$2:$AB$50000,"&lt;&gt;重复Bug")</f>
        <v>0</v>
      </c>
      <c r="V52" s="75">
        <f>COUNTIFS(缺陷明细!$A$2:$A$50000,$B$4,缺陷明细!$G$2:$G$50000,$C52,缺陷明细!$Q$2:$Q$50000,"已关闭",缺陷明细!$J$2:$J$50000,"验收测试")</f>
        <v>0</v>
      </c>
      <c r="W52" s="75">
        <f>COUNTIFS(缺陷明细!$A$2:$A$50000,$B$4,缺陷明细!$G$2:$G$50000,$C52,缺陷明细!$J$2:$J$50000,"验收测试",缺陷明细!$K$2:$K$50000,"致命",缺陷明细!$AB$2:$AB$50000,"&lt;&gt;丢弃",缺陷明细!$AB$2:$AB$50000,"&lt;&gt;设计如此",缺陷明细!$AB$2:$AB$50000,"&lt;&gt;重复Bug")+COUNTIFS(缺陷明细!$A$2:$A$50000,$B$4,缺陷明细!$G$2:$G$50000,$C52,缺陷明细!$J$2:$J$50000,"验收测试",缺陷明细!$K$2:$K$50000,"严重",缺陷明细!$AB$2:$AB$50000,"&lt;&gt;丢弃",缺陷明细!$AB$2:$AB$50000,"&lt;&gt;设计如此",缺陷明细!$AB$2:$AB$50000,"&lt;&gt;重复Bug")</f>
        <v>0</v>
      </c>
      <c r="X52" s="76">
        <f>COUNTIFS(缺陷明细!$A$2:$A$50000,$B$4,缺陷明细!$G$2:$G$50000,$C52,缺陷明细!$Q$2:$Q$50000,"已关闭",缺陷明细!$J$2:$J$50000,"验收测试",缺陷明细!$K$2:$K$50000,"致命")+COUNTIFS(缺陷明细!$A$2:$A$50000,$B$4,缺陷明细!$G$2:$G$50000,$C52,缺陷明细!$Q$2:$Q$50000,"已关闭",缺陷明细!$J$2:$J$50000,"验收测试",缺陷明细!$K$2:$K$50000,"严重")</f>
        <v>0</v>
      </c>
      <c r="Y52" s="70">
        <f>COUNTIFS(缺陷明细!$A$2:$A$50000,$B$4,缺陷明细!$G$2:$G$50000,$C52,缺陷明细!$J$2:$J$50000,"运维测试",缺陷明细!$AB$2:$AB$50000,"&lt;&gt;丢弃",缺陷明细!$AB$2:$AB$50000,"&lt;&gt;设计如此",缺陷明细!$AB$2:$AB$50000,"&lt;&gt;重复Bug")</f>
        <v>0</v>
      </c>
      <c r="Z52" s="71">
        <f>COUNTIFS(缺陷明细!$A$2:$A$50000,$B$4,缺陷明细!$G$2:$G$50000,$C52,缺陷明细!$Q$2:$Q$50000,"已关闭",缺陷明细!$J$2:$J$50000,"运维测试")</f>
        <v>0</v>
      </c>
      <c r="AA52" s="72">
        <f>COUNTIFS(缺陷明细!$A$2:$A$50000,$B$4,缺陷明细!$G$2:$G$50000,$C52,缺陷明细!$J$2:$J$50000,"运维测试",缺陷明细!$K$2:$K$50000,"致命",缺陷明细!$AB$2:$AB$50000,"&lt;&gt;丢弃",缺陷明细!$AB$2:$AB$50000,"&lt;&gt;设计如此",缺陷明细!$AB$2:$AB$50000,"&lt;&gt;重复Bug")+COUNTIFS(缺陷明细!$A$2:$A$50000,$B$4,缺陷明细!$G$2:$G$50000,$C52,缺陷明细!$J$2:$J$50000,"运维测试",缺陷明细!$K$2:$K$50000,"严重",缺陷明细!$AB$2:$AB$50000,"&lt;&gt;丢弃",缺陷明细!$AB$2:$AB$50000,"&lt;&gt;设计如此",缺陷明细!$AB$2:$AB$50000,"&lt;&gt;重复Bug")</f>
        <v>0</v>
      </c>
      <c r="AB52" s="73">
        <f>COUNTIFS(缺陷明细!$A$2:$A$50000,$B$4,缺陷明细!$G$2:$G$50000,$C52,缺陷明细!$Q$2:$Q$50000,"已关闭",缺陷明细!$J$2:$J$50000,"运维测试",缺陷明细!$K$2:$K$50000,"致命")+COUNTIFS(缺陷明细!$A$2:$A$50000,$B$4,缺陷明细!$G$2:$G$50000,$C52,缺陷明细!$Q$2:$Q$50000,"已关闭",缺陷明细!$J$2:$J$50000,"运维测试",缺陷明细!$K$2:$K$50000,"严重")</f>
        <v>0</v>
      </c>
      <c r="AC52" s="68">
        <f t="shared" si="0"/>
        <v>0</v>
      </c>
      <c r="AD52" s="60">
        <f t="shared" si="0"/>
        <v>0</v>
      </c>
      <c r="AE52" s="60">
        <f t="shared" si="1"/>
        <v>0</v>
      </c>
      <c r="AF52" s="60">
        <f t="shared" si="1"/>
        <v>0</v>
      </c>
      <c r="AG52" s="60">
        <f t="shared" si="2"/>
        <v>0</v>
      </c>
      <c r="AH52" s="60">
        <f t="shared" si="2"/>
        <v>0</v>
      </c>
      <c r="AI52" s="60">
        <f t="shared" si="3"/>
        <v>0</v>
      </c>
      <c r="AJ52" s="61">
        <f t="shared" si="3"/>
        <v>0</v>
      </c>
      <c r="AK52" s="144"/>
    </row>
    <row r="53" spans="1:37">
      <c r="A53">
        <v>49</v>
      </c>
      <c r="B53" s="57"/>
      <c r="C53" s="58"/>
      <c r="D53" s="84"/>
      <c r="E53" s="82"/>
      <c r="F53" s="158"/>
      <c r="G53" s="159"/>
      <c r="H53" s="281">
        <f>COUNTIFS(缺陷明细!$A$2:$A$50000,$B$4,缺陷明细!$G$2:$G$50000,$C53,缺陷明细!$J$2:$J$50000,"评审",缺陷明细!$AB$2:$AB$50000,"&lt;&gt;丢弃",缺陷明细!$AB$2:$AB$50000,"&lt;&gt;设计如此",缺陷明细!$AB$2:$AB$50000,"&lt;&gt;重复Bug")</f>
        <v>0</v>
      </c>
      <c r="I53" s="154">
        <f>COUNTIFS(缺陷明细!$A$2:$A$50000,$B$4,缺陷明细!$G$2:$G$50000,$C53,缺陷明细!$Q$2:$Q$50000,"已关闭",缺陷明细!$J$2:$J$50000,"评审")</f>
        <v>0</v>
      </c>
      <c r="J53" s="154">
        <f>COUNTIFS(缺陷明细!$A$2:$A$50000,$B$4,缺陷明细!$G$2:$G$50000,$C53,缺陷明细!$J$2:$J$50000,"单元测试",缺陷明细!$AB$2:$AB$50000,"&lt;&gt;丢弃",缺陷明细!$AB$2:$AB$50000,"&lt;&gt;设计如此",缺陷明细!$AB$2:$AB$50000,"&lt;&gt;重复Bug")</f>
        <v>0</v>
      </c>
      <c r="K53" s="155">
        <f>COUNTIFS(缺陷明细!$A$2:$A$50000,$B$4,缺陷明细!$G$2:$G$50000,$C53,缺陷明细!$Q$2:$Q$50000,"已关闭",缺陷明细!$J$2:$J$50000,"单元测试")</f>
        <v>0</v>
      </c>
      <c r="L53" s="156"/>
      <c r="M53" s="157"/>
      <c r="N53" s="72">
        <f>COUNTIFS(缺陷明细!$A$2:$A$50000,$B$4,缺陷明细!$G$2:$G$50000,$C53,缺陷明细!$J$2:$J$50000,"系统测试案例评审",缺陷明细!$AB$2:$AB$50000,"&lt;&gt;丢弃",缺陷明细!$AB$2:$AB$50000,"&lt;&gt;设计如此",缺陷明细!$AB$2:$AB$50000,"&lt;&gt;重复Bug")</f>
        <v>0</v>
      </c>
      <c r="O53" s="72">
        <f>COUNTIFS(缺陷明细!$A$2:$A$50000,$B$4,缺陷明细!$G$2:$G$50000,$C53,缺陷明细!$Q$2:$Q$50000,"已关闭",缺陷明细!$J$2:$J$50000,"系统测试案例评审")</f>
        <v>0</v>
      </c>
      <c r="P53" s="72">
        <f>COUNTIFS(缺陷明细!$A$2:$A$50000,$B$4,缺陷明细!$G$2:$G$50000,$C53,缺陷明细!$J$2:$J$50000,"系统测试",缺陷明细!$AB$2:$AB$50000,"&lt;&gt;丢弃",缺陷明细!$AB$2:$AB$50000,"&lt;&gt;设计如此",缺陷明细!$AB$2:$AB$50000,"&lt;&gt;重复Bug")</f>
        <v>0</v>
      </c>
      <c r="Q53" s="72">
        <f>COUNTIFS(缺陷明细!$A$2:$A$50000,$B$4,缺陷明细!$G$2:$G$50000,$C53,缺陷明细!$Q$2:$Q$50000,"已关闭",缺陷明细!$J$2:$J$50000,"系统测试")</f>
        <v>0</v>
      </c>
      <c r="R53" s="296">
        <f>COUNTIFS(缺陷明细!$A$2:$A$50000,$B$4,缺陷明细!$G$2:$G$50000,$C53,缺陷明细!$AB$2:$AB$50000,"丢弃",缺陷明细!$J$2:$J$50000,"系统测试")+COUNTIFS(缺陷明细!$A$2:$A$50000,$B$4,缺陷明细!$G$2:$G$50000,$C53,缺陷明细!$AB$2:$AB$50000,"设计如此",缺陷明细!$J$2:$J$50000,"系统测试")+COUNTIFS(缺陷明细!$A$2:$A$50000,$B$4,缺陷明细!$G$2:$G$50000,$C53,缺陷明细!$AB$2:$AB$50000,"重复Bug",缺陷明细!$J$2:$J$50000,"系统测试")</f>
        <v>0</v>
      </c>
      <c r="S53" s="72">
        <f>COUNTIFS(缺陷明细!$A$2:$A$50000,$B$4,缺陷明细!$G$2:$G$50000,$C53,缺陷明细!$J$2:$J$50000,"系统测试",缺陷明细!$K$2:$K$50000,"致命",缺陷明细!$AB$2:$AB$50000,"&lt;&gt;丢弃",缺陷明细!$AB$2:$AB$50000,"&lt;&gt;设计如此",缺陷明细!$AB$2:$AB$50000,"&lt;&gt;重复Bug")+COUNTIFS(缺陷明细!$A$2:$A$50000,$B$4,缺陷明细!$G$2:$G$50000,$C53,缺陷明细!$J$2:$J$50000,"系统测试",缺陷明细!$K$2:$K$50000,"严重",缺陷明细!$AB$2:$AB$50000,"&lt;&gt;丢弃",缺陷明细!$AB$2:$AB$50000,"&lt;&gt;设计如此",缺陷明细!$AB$2:$AB$50000,"&lt;&gt;重复Bug")</f>
        <v>0</v>
      </c>
      <c r="T53" s="73">
        <f>COUNTIFS(缺陷明细!$A$2:$A$50000,$B$4,缺陷明细!$G$2:$G$50000,$C53,缺陷明细!$Q$2:$Q$50000,"已关闭",缺陷明细!$J$2:$J$50000,"系统测试",缺陷明细!$K$2:$K$50000,"致命")+COUNTIFS(缺陷明细!$A$2:$A$50000,$B$4,缺陷明细!$G$2:$G$50000,$C53,缺陷明细!$Q$2:$Q$50000,"已关闭",缺陷明细!$J$2:$J$50000,"系统测试",缺陷明细!$K$2:$K$50000,"严重")</f>
        <v>0</v>
      </c>
      <c r="U53" s="74">
        <f>COUNTIFS(缺陷明细!$A$2:$A$50000,$B$4,缺陷明细!$G$2:$G$50000,$C53,缺陷明细!$J$2:$J$50000,"验收测试",缺陷明细!$AB$2:$AB$50000,"&lt;&gt;丢弃",缺陷明细!$AB$2:$AB$50000,"&lt;&gt;设计如此",缺陷明细!$AB$2:$AB$50000,"&lt;&gt;重复Bug")</f>
        <v>0</v>
      </c>
      <c r="V53" s="75">
        <f>COUNTIFS(缺陷明细!$A$2:$A$50000,$B$4,缺陷明细!$G$2:$G$50000,$C53,缺陷明细!$Q$2:$Q$50000,"已关闭",缺陷明细!$J$2:$J$50000,"验收测试")</f>
        <v>0</v>
      </c>
      <c r="W53" s="75">
        <f>COUNTIFS(缺陷明细!$A$2:$A$50000,$B$4,缺陷明细!$G$2:$G$50000,$C53,缺陷明细!$J$2:$J$50000,"验收测试",缺陷明细!$K$2:$K$50000,"致命",缺陷明细!$AB$2:$AB$50000,"&lt;&gt;丢弃",缺陷明细!$AB$2:$AB$50000,"&lt;&gt;设计如此",缺陷明细!$AB$2:$AB$50000,"&lt;&gt;重复Bug")+COUNTIFS(缺陷明细!$A$2:$A$50000,$B$4,缺陷明细!$G$2:$G$50000,$C53,缺陷明细!$J$2:$J$50000,"验收测试",缺陷明细!$K$2:$K$50000,"严重",缺陷明细!$AB$2:$AB$50000,"&lt;&gt;丢弃",缺陷明细!$AB$2:$AB$50000,"&lt;&gt;设计如此",缺陷明细!$AB$2:$AB$50000,"&lt;&gt;重复Bug")</f>
        <v>0</v>
      </c>
      <c r="X53" s="76">
        <f>COUNTIFS(缺陷明细!$A$2:$A$50000,$B$4,缺陷明细!$G$2:$G$50000,$C53,缺陷明细!$Q$2:$Q$50000,"已关闭",缺陷明细!$J$2:$J$50000,"验收测试",缺陷明细!$K$2:$K$50000,"致命")+COUNTIFS(缺陷明细!$A$2:$A$50000,$B$4,缺陷明细!$G$2:$G$50000,$C53,缺陷明细!$Q$2:$Q$50000,"已关闭",缺陷明细!$J$2:$J$50000,"验收测试",缺陷明细!$K$2:$K$50000,"严重")</f>
        <v>0</v>
      </c>
      <c r="Y53" s="70">
        <f>COUNTIFS(缺陷明细!$A$2:$A$50000,$B$4,缺陷明细!$G$2:$G$50000,$C53,缺陷明细!$J$2:$J$50000,"运维测试",缺陷明细!$AB$2:$AB$50000,"&lt;&gt;丢弃",缺陷明细!$AB$2:$AB$50000,"&lt;&gt;设计如此",缺陷明细!$AB$2:$AB$50000,"&lt;&gt;重复Bug")</f>
        <v>0</v>
      </c>
      <c r="Z53" s="71">
        <f>COUNTIFS(缺陷明细!$A$2:$A$50000,$B$4,缺陷明细!$G$2:$G$50000,$C53,缺陷明细!$Q$2:$Q$50000,"已关闭",缺陷明细!$J$2:$J$50000,"运维测试")</f>
        <v>0</v>
      </c>
      <c r="AA53" s="72">
        <f>COUNTIFS(缺陷明细!$A$2:$A$50000,$B$4,缺陷明细!$G$2:$G$50000,$C53,缺陷明细!$J$2:$J$50000,"运维测试",缺陷明细!$K$2:$K$50000,"致命",缺陷明细!$AB$2:$AB$50000,"&lt;&gt;丢弃",缺陷明细!$AB$2:$AB$50000,"&lt;&gt;设计如此",缺陷明细!$AB$2:$AB$50000,"&lt;&gt;重复Bug")+COUNTIFS(缺陷明细!$A$2:$A$50000,$B$4,缺陷明细!$G$2:$G$50000,$C53,缺陷明细!$J$2:$J$50000,"运维测试",缺陷明细!$K$2:$K$50000,"严重",缺陷明细!$AB$2:$AB$50000,"&lt;&gt;丢弃",缺陷明细!$AB$2:$AB$50000,"&lt;&gt;设计如此",缺陷明细!$AB$2:$AB$50000,"&lt;&gt;重复Bug")</f>
        <v>0</v>
      </c>
      <c r="AB53" s="73">
        <f>COUNTIFS(缺陷明细!$A$2:$A$50000,$B$4,缺陷明细!$G$2:$G$50000,$C53,缺陷明细!$Q$2:$Q$50000,"已关闭",缺陷明细!$J$2:$J$50000,"运维测试",缺陷明细!$K$2:$K$50000,"致命")+COUNTIFS(缺陷明细!$A$2:$A$50000,$B$4,缺陷明细!$G$2:$G$50000,$C53,缺陷明细!$Q$2:$Q$50000,"已关闭",缺陷明细!$J$2:$J$50000,"运维测试",缺陷明细!$K$2:$K$50000,"严重")</f>
        <v>0</v>
      </c>
      <c r="AC53" s="68">
        <f t="shared" si="0"/>
        <v>0</v>
      </c>
      <c r="AD53" s="60">
        <f t="shared" si="0"/>
        <v>0</v>
      </c>
      <c r="AE53" s="60">
        <f t="shared" si="1"/>
        <v>0</v>
      </c>
      <c r="AF53" s="60">
        <f t="shared" si="1"/>
        <v>0</v>
      </c>
      <c r="AG53" s="60">
        <f t="shared" si="2"/>
        <v>0</v>
      </c>
      <c r="AH53" s="60">
        <f t="shared" si="2"/>
        <v>0</v>
      </c>
      <c r="AI53" s="60">
        <f t="shared" si="3"/>
        <v>0</v>
      </c>
      <c r="AJ53" s="61">
        <f t="shared" si="3"/>
        <v>0</v>
      </c>
      <c r="AK53" s="144"/>
    </row>
    <row r="54" spans="1:37">
      <c r="A54">
        <v>50</v>
      </c>
      <c r="B54" s="57"/>
      <c r="C54" s="58"/>
      <c r="D54" s="84"/>
      <c r="E54" s="82"/>
      <c r="F54" s="158"/>
      <c r="G54" s="159"/>
      <c r="H54" s="281">
        <f>COUNTIFS(缺陷明细!$A$2:$A$50000,$B$4,缺陷明细!$G$2:$G$50000,$C54,缺陷明细!$J$2:$J$50000,"评审",缺陷明细!$AB$2:$AB$50000,"&lt;&gt;丢弃",缺陷明细!$AB$2:$AB$50000,"&lt;&gt;设计如此",缺陷明细!$AB$2:$AB$50000,"&lt;&gt;重复Bug")</f>
        <v>0</v>
      </c>
      <c r="I54" s="154">
        <f>COUNTIFS(缺陷明细!$A$2:$A$50000,$B$4,缺陷明细!$G$2:$G$50000,$C54,缺陷明细!$Q$2:$Q$50000,"已关闭",缺陷明细!$J$2:$J$50000,"评审")</f>
        <v>0</v>
      </c>
      <c r="J54" s="154">
        <f>COUNTIFS(缺陷明细!$A$2:$A$50000,$B$4,缺陷明细!$G$2:$G$50000,$C54,缺陷明细!$J$2:$J$50000,"单元测试",缺陷明细!$AB$2:$AB$50000,"&lt;&gt;丢弃",缺陷明细!$AB$2:$AB$50000,"&lt;&gt;设计如此",缺陷明细!$AB$2:$AB$50000,"&lt;&gt;重复Bug")</f>
        <v>0</v>
      </c>
      <c r="K54" s="155">
        <f>COUNTIFS(缺陷明细!$A$2:$A$50000,$B$4,缺陷明细!$G$2:$G$50000,$C54,缺陷明细!$Q$2:$Q$50000,"已关闭",缺陷明细!$J$2:$J$50000,"单元测试")</f>
        <v>0</v>
      </c>
      <c r="L54" s="156"/>
      <c r="M54" s="157"/>
      <c r="N54" s="72">
        <f>COUNTIFS(缺陷明细!$A$2:$A$50000,$B$4,缺陷明细!$G$2:$G$50000,$C54,缺陷明细!$J$2:$J$50000,"系统测试案例评审",缺陷明细!$AB$2:$AB$50000,"&lt;&gt;丢弃",缺陷明细!$AB$2:$AB$50000,"&lt;&gt;设计如此",缺陷明细!$AB$2:$AB$50000,"&lt;&gt;重复Bug")</f>
        <v>0</v>
      </c>
      <c r="O54" s="72">
        <f>COUNTIFS(缺陷明细!$A$2:$A$50000,$B$4,缺陷明细!$G$2:$G$50000,$C54,缺陷明细!$Q$2:$Q$50000,"已关闭",缺陷明细!$J$2:$J$50000,"系统测试案例评审")</f>
        <v>0</v>
      </c>
      <c r="P54" s="72">
        <f>COUNTIFS(缺陷明细!$A$2:$A$50000,$B$4,缺陷明细!$G$2:$G$50000,$C54,缺陷明细!$J$2:$J$50000,"系统测试",缺陷明细!$AB$2:$AB$50000,"&lt;&gt;丢弃",缺陷明细!$AB$2:$AB$50000,"&lt;&gt;设计如此",缺陷明细!$AB$2:$AB$50000,"&lt;&gt;重复Bug")</f>
        <v>0</v>
      </c>
      <c r="Q54" s="72">
        <f>COUNTIFS(缺陷明细!$A$2:$A$50000,$B$4,缺陷明细!$G$2:$G$50000,$C54,缺陷明细!$Q$2:$Q$50000,"已关闭",缺陷明细!$J$2:$J$50000,"系统测试")</f>
        <v>0</v>
      </c>
      <c r="R54" s="296">
        <f>COUNTIFS(缺陷明细!$A$2:$A$50000,$B$4,缺陷明细!$G$2:$G$50000,$C54,缺陷明细!$AB$2:$AB$50000,"丢弃",缺陷明细!$J$2:$J$50000,"系统测试")+COUNTIFS(缺陷明细!$A$2:$A$50000,$B$4,缺陷明细!$G$2:$G$50000,$C54,缺陷明细!$AB$2:$AB$50000,"设计如此",缺陷明细!$J$2:$J$50000,"系统测试")+COUNTIFS(缺陷明细!$A$2:$A$50000,$B$4,缺陷明细!$G$2:$G$50000,$C54,缺陷明细!$AB$2:$AB$50000,"重复Bug",缺陷明细!$J$2:$J$50000,"系统测试")</f>
        <v>0</v>
      </c>
      <c r="S54" s="72">
        <f>COUNTIFS(缺陷明细!$A$2:$A$50000,$B$4,缺陷明细!$G$2:$G$50000,$C54,缺陷明细!$J$2:$J$50000,"系统测试",缺陷明细!$K$2:$K$50000,"致命",缺陷明细!$AB$2:$AB$50000,"&lt;&gt;丢弃",缺陷明细!$AB$2:$AB$50000,"&lt;&gt;设计如此",缺陷明细!$AB$2:$AB$50000,"&lt;&gt;重复Bug")+COUNTIFS(缺陷明细!$A$2:$A$50000,$B$4,缺陷明细!$G$2:$G$50000,$C54,缺陷明细!$J$2:$J$50000,"系统测试",缺陷明细!$K$2:$K$50000,"严重",缺陷明细!$AB$2:$AB$50000,"&lt;&gt;丢弃",缺陷明细!$AB$2:$AB$50000,"&lt;&gt;设计如此",缺陷明细!$AB$2:$AB$50000,"&lt;&gt;重复Bug")</f>
        <v>0</v>
      </c>
      <c r="T54" s="73">
        <f>COUNTIFS(缺陷明细!$A$2:$A$50000,$B$4,缺陷明细!$G$2:$G$50000,$C54,缺陷明细!$Q$2:$Q$50000,"已关闭",缺陷明细!$J$2:$J$50000,"系统测试",缺陷明细!$K$2:$K$50000,"致命")+COUNTIFS(缺陷明细!$A$2:$A$50000,$B$4,缺陷明细!$G$2:$G$50000,$C54,缺陷明细!$Q$2:$Q$50000,"已关闭",缺陷明细!$J$2:$J$50000,"系统测试",缺陷明细!$K$2:$K$50000,"严重")</f>
        <v>0</v>
      </c>
      <c r="U54" s="74">
        <f>COUNTIFS(缺陷明细!$A$2:$A$50000,$B$4,缺陷明细!$G$2:$G$50000,$C54,缺陷明细!$J$2:$J$50000,"验收测试",缺陷明细!$AB$2:$AB$50000,"&lt;&gt;丢弃",缺陷明细!$AB$2:$AB$50000,"&lt;&gt;设计如此",缺陷明细!$AB$2:$AB$50000,"&lt;&gt;重复Bug")</f>
        <v>0</v>
      </c>
      <c r="V54" s="75">
        <f>COUNTIFS(缺陷明细!$A$2:$A$50000,$B$4,缺陷明细!$G$2:$G$50000,$C54,缺陷明细!$Q$2:$Q$50000,"已关闭",缺陷明细!$J$2:$J$50000,"验收测试")</f>
        <v>0</v>
      </c>
      <c r="W54" s="75">
        <f>COUNTIFS(缺陷明细!$A$2:$A$50000,$B$4,缺陷明细!$G$2:$G$50000,$C54,缺陷明细!$J$2:$J$50000,"验收测试",缺陷明细!$K$2:$K$50000,"致命",缺陷明细!$AB$2:$AB$50000,"&lt;&gt;丢弃",缺陷明细!$AB$2:$AB$50000,"&lt;&gt;设计如此",缺陷明细!$AB$2:$AB$50000,"&lt;&gt;重复Bug")+COUNTIFS(缺陷明细!$A$2:$A$50000,$B$4,缺陷明细!$G$2:$G$50000,$C54,缺陷明细!$J$2:$J$50000,"验收测试",缺陷明细!$K$2:$K$50000,"严重",缺陷明细!$AB$2:$AB$50000,"&lt;&gt;丢弃",缺陷明细!$AB$2:$AB$50000,"&lt;&gt;设计如此",缺陷明细!$AB$2:$AB$50000,"&lt;&gt;重复Bug")</f>
        <v>0</v>
      </c>
      <c r="X54" s="76">
        <f>COUNTIFS(缺陷明细!$A$2:$A$50000,$B$4,缺陷明细!$G$2:$G$50000,$C54,缺陷明细!$Q$2:$Q$50000,"已关闭",缺陷明细!$J$2:$J$50000,"验收测试",缺陷明细!$K$2:$K$50000,"致命")+COUNTIFS(缺陷明细!$A$2:$A$50000,$B$4,缺陷明细!$G$2:$G$50000,$C54,缺陷明细!$Q$2:$Q$50000,"已关闭",缺陷明细!$J$2:$J$50000,"验收测试",缺陷明细!$K$2:$K$50000,"严重")</f>
        <v>0</v>
      </c>
      <c r="Y54" s="70">
        <f>COUNTIFS(缺陷明细!$A$2:$A$50000,$B$4,缺陷明细!$G$2:$G$50000,$C54,缺陷明细!$J$2:$J$50000,"运维测试",缺陷明细!$AB$2:$AB$50000,"&lt;&gt;丢弃",缺陷明细!$AB$2:$AB$50000,"&lt;&gt;设计如此",缺陷明细!$AB$2:$AB$50000,"&lt;&gt;重复Bug")</f>
        <v>0</v>
      </c>
      <c r="Z54" s="71">
        <f>COUNTIFS(缺陷明细!$A$2:$A$50000,$B$4,缺陷明细!$G$2:$G$50000,$C54,缺陷明细!$Q$2:$Q$50000,"已关闭",缺陷明细!$J$2:$J$50000,"运维测试")</f>
        <v>0</v>
      </c>
      <c r="AA54" s="72">
        <f>COUNTIFS(缺陷明细!$A$2:$A$50000,$B$4,缺陷明细!$G$2:$G$50000,$C54,缺陷明细!$J$2:$J$50000,"运维测试",缺陷明细!$K$2:$K$50000,"致命",缺陷明细!$AB$2:$AB$50000,"&lt;&gt;丢弃",缺陷明细!$AB$2:$AB$50000,"&lt;&gt;设计如此",缺陷明细!$AB$2:$AB$50000,"&lt;&gt;重复Bug")+COUNTIFS(缺陷明细!$A$2:$A$50000,$B$4,缺陷明细!$G$2:$G$50000,$C54,缺陷明细!$J$2:$J$50000,"运维测试",缺陷明细!$K$2:$K$50000,"严重",缺陷明细!$AB$2:$AB$50000,"&lt;&gt;丢弃",缺陷明细!$AB$2:$AB$50000,"&lt;&gt;设计如此",缺陷明细!$AB$2:$AB$50000,"&lt;&gt;重复Bug")</f>
        <v>0</v>
      </c>
      <c r="AB54" s="73">
        <f>COUNTIFS(缺陷明细!$A$2:$A$50000,$B$4,缺陷明细!$G$2:$G$50000,$C54,缺陷明细!$Q$2:$Q$50000,"已关闭",缺陷明细!$J$2:$J$50000,"运维测试",缺陷明细!$K$2:$K$50000,"致命")+COUNTIFS(缺陷明细!$A$2:$A$50000,$B$4,缺陷明细!$G$2:$G$50000,$C54,缺陷明细!$Q$2:$Q$50000,"已关闭",缺陷明细!$J$2:$J$50000,"运维测试",缺陷明细!$K$2:$K$50000,"严重")</f>
        <v>0</v>
      </c>
      <c r="AC54" s="68">
        <f t="shared" si="0"/>
        <v>0</v>
      </c>
      <c r="AD54" s="60">
        <f t="shared" si="0"/>
        <v>0</v>
      </c>
      <c r="AE54" s="60">
        <f t="shared" si="1"/>
        <v>0</v>
      </c>
      <c r="AF54" s="60">
        <f t="shared" si="1"/>
        <v>0</v>
      </c>
      <c r="AG54" s="60">
        <f t="shared" si="2"/>
        <v>0</v>
      </c>
      <c r="AH54" s="60">
        <f t="shared" si="2"/>
        <v>0</v>
      </c>
      <c r="AI54" s="60">
        <f t="shared" si="3"/>
        <v>0</v>
      </c>
      <c r="AJ54" s="61">
        <f t="shared" si="3"/>
        <v>0</v>
      </c>
      <c r="AK54" s="144"/>
    </row>
    <row r="55" spans="1:37" ht="13.5" thickBot="1">
      <c r="B55" s="140"/>
      <c r="C55" s="102"/>
      <c r="D55" s="85"/>
      <c r="E55" s="149"/>
      <c r="F55" s="162"/>
      <c r="G55" s="163"/>
      <c r="H55" s="282">
        <f>COUNTIFS(缺陷明细!$A$2:$A$50000,$B$4,缺陷明细!$G$2:$G$50000,$C55,缺陷明细!$J$2:$J$50000,"评审",缺陷明细!$AB$2:$AB$50000,"&lt;&gt;丢弃",缺陷明细!$AB$2:$AB$50000,"&lt;&gt;设计如此",缺陷明细!$AB$2:$AB$50000,"&lt;&gt;重复Bug")</f>
        <v>0</v>
      </c>
      <c r="I55" s="283">
        <f>COUNTIFS(缺陷明细!$A$2:$A$50000,$B$4,缺陷明细!$G$2:$G$50000,$C55,缺陷明细!$Q$2:$Q$50000,"已关闭",缺陷明细!$J$2:$J$50000,"评审")</f>
        <v>0</v>
      </c>
      <c r="J55" s="283">
        <f>COUNTIFS(缺陷明细!$A$2:$A$50000,$B$4,缺陷明细!$G$2:$G$50000,$C55,缺陷明细!$J$2:$J$50000,"单元测试",缺陷明细!$AB$2:$AB$50000,"&lt;&gt;丢弃",缺陷明细!$AB$2:$AB$50000,"&lt;&gt;设计如此",缺陷明细!$AB$2:$AB$50000,"&lt;&gt;重复Bug")</f>
        <v>0</v>
      </c>
      <c r="K55" s="284">
        <f>COUNTIFS(缺陷明细!$A$2:$A$50000,$B$4,缺陷明细!$G$2:$G$50000,$C55,缺陷明细!$Q$2:$Q$50000,"已关闭",缺陷明细!$J$2:$J$50000,"单元测试")</f>
        <v>0</v>
      </c>
      <c r="L55" s="285"/>
      <c r="M55" s="286"/>
      <c r="N55" s="287">
        <f>COUNTIFS(缺陷明细!$A$2:$A$50000,$B$4,缺陷明细!$G$2:$G$50000,$C55,缺陷明细!$J$2:$J$50000,"系统测试案例评审",缺陷明细!$AB$2:$AB$50000,"&lt;&gt;丢弃",缺陷明细!$AB$2:$AB$50000,"&lt;&gt;设计如此",缺陷明细!$AB$2:$AB$50000,"&lt;&gt;重复Bug")</f>
        <v>0</v>
      </c>
      <c r="O55" s="287">
        <f>COUNTIFS(缺陷明细!$A$2:$A$50000,$B$4,缺陷明细!$G$2:$G$50000,$C55,缺陷明细!$Q$2:$Q$50000,"已关闭",缺陷明细!$J$2:$J$50000,"系统测试案例评审")</f>
        <v>0</v>
      </c>
      <c r="P55" s="287">
        <f>COUNTIFS(缺陷明细!$A$2:$A$50000,$B$4,缺陷明细!$G$2:$G$50000,$C55,缺陷明细!$J$2:$J$50000,"系统测试",缺陷明细!$AB$2:$AB$50000,"&lt;&gt;丢弃",缺陷明细!$AB$2:$AB$50000,"&lt;&gt;设计如此",缺陷明细!$AB$2:$AB$50000,"&lt;&gt;重复Bug")</f>
        <v>0</v>
      </c>
      <c r="Q55" s="287">
        <f>COUNTIFS(缺陷明细!$A$2:$A$50000,$B$4,缺陷明细!$G$2:$G$50000,$C55,缺陷明细!$Q$2:$Q$50000,"已关闭",缺陷明细!$J$2:$J$50000,"系统测试")</f>
        <v>0</v>
      </c>
      <c r="R55" s="297">
        <f>COUNTIFS(缺陷明细!$A$2:$A$50000,$B$4,缺陷明细!$G$2:$G$50000,$C55,缺陷明细!$AB$2:$AB$50000,"丢弃",缺陷明细!$J$2:$J$50000,"系统测试")+COUNTIFS(缺陷明细!$A$2:$A$50000,$B$4,缺陷明细!$G$2:$G$50000,$C55,缺陷明细!$AB$2:$AB$50000,"设计如此",缺陷明细!$J$2:$J$50000,"系统测试")+COUNTIFS(缺陷明细!$A$2:$A$50000,$B$4,缺陷明细!$G$2:$G$50000,$C55,缺陷明细!$AB$2:$AB$50000,"重复Bug",缺陷明细!$J$2:$J$50000,"系统测试")</f>
        <v>0</v>
      </c>
      <c r="S55" s="287">
        <f>COUNTIFS(缺陷明细!$A$2:$A$50000,$B$4,缺陷明细!$G$2:$G$50000,$C55,缺陷明细!$J$2:$J$50000,"系统测试",缺陷明细!$K$2:$K$50000,"致命",缺陷明细!$AB$2:$AB$50000,"&lt;&gt;丢弃",缺陷明细!$AB$2:$AB$50000,"&lt;&gt;设计如此",缺陷明细!$AB$2:$AB$50000,"&lt;&gt;重复Bug")+COUNTIFS(缺陷明细!$A$2:$A$50000,$B$4,缺陷明细!$G$2:$G$50000,$C55,缺陷明细!$J$2:$J$50000,"系统测试",缺陷明细!$K$2:$K$50000,"严重",缺陷明细!$AB$2:$AB$50000,"&lt;&gt;丢弃",缺陷明细!$AB$2:$AB$50000,"&lt;&gt;设计如此",缺陷明细!$AB$2:$AB$50000,"&lt;&gt;重复Bug")</f>
        <v>0</v>
      </c>
      <c r="T55" s="288">
        <f>COUNTIFS(缺陷明细!$A$2:$A$50000,$B$4,缺陷明细!$G$2:$G$50000,$C55,缺陷明细!$Q$2:$Q$50000,"已关闭",缺陷明细!$J$2:$J$50000,"系统测试",缺陷明细!$K$2:$K$50000,"致命")+COUNTIFS(缺陷明细!$A$2:$A$50000,$B$4,缺陷明细!$G$2:$G$50000,$C55,缺陷明细!$Q$2:$Q$50000,"已关闭",缺陷明细!$J$2:$J$50000,"系统测试",缺陷明细!$K$2:$K$50000,"严重")</f>
        <v>0</v>
      </c>
      <c r="U55" s="289">
        <f>COUNTIFS(缺陷明细!$A$2:$A$50000,$B$4,缺陷明细!$G$2:$G$50000,$C55,缺陷明细!$J$2:$J$50000,"验收测试",缺陷明细!$AB$2:$AB$50000,"&lt;&gt;丢弃",缺陷明细!$AB$2:$AB$50000,"&lt;&gt;设计如此",缺陷明细!$AB$2:$AB$50000,"&lt;&gt;重复Bug")</f>
        <v>0</v>
      </c>
      <c r="V55" s="290">
        <f>COUNTIFS(缺陷明细!$A$2:$A$50000,$B$4,缺陷明细!$G$2:$G$50000,$C55,缺陷明细!$Q$2:$Q$50000,"已关闭",缺陷明细!$J$2:$J$50000,"验收测试")</f>
        <v>0</v>
      </c>
      <c r="W55" s="290">
        <f>COUNTIFS(缺陷明细!$A$2:$A$50000,$B$4,缺陷明细!$G$2:$G$50000,$C55,缺陷明细!$J$2:$J$50000,"验收测试",缺陷明细!$K$2:$K$50000,"致命",缺陷明细!$AB$2:$AB$50000,"&lt;&gt;丢弃",缺陷明细!$AB$2:$AB$50000,"&lt;&gt;设计如此",缺陷明细!$AB$2:$AB$50000,"&lt;&gt;重复Bug")+COUNTIFS(缺陷明细!$A$2:$A$50000,$B$4,缺陷明细!$G$2:$G$50000,$C55,缺陷明细!$J$2:$J$50000,"验收测试",缺陷明细!$K$2:$K$50000,"严重",缺陷明细!$AB$2:$AB$50000,"&lt;&gt;丢弃",缺陷明细!$AB$2:$AB$50000,"&lt;&gt;设计如此",缺陷明细!$AB$2:$AB$50000,"&lt;&gt;重复Bug")</f>
        <v>0</v>
      </c>
      <c r="X55" s="291">
        <f>COUNTIFS(缺陷明细!$A$2:$A$50000,$B$4,缺陷明细!$G$2:$G$50000,$C55,缺陷明细!$Q$2:$Q$50000,"已关闭",缺陷明细!$J$2:$J$50000,"验收测试",缺陷明细!$K$2:$K$50000,"致命")+COUNTIFS(缺陷明细!$A$2:$A$50000,$B$4,缺陷明细!$G$2:$G$50000,$C55,缺陷明细!$Q$2:$Q$50000,"已关闭",缺陷明细!$J$2:$J$50000,"验收测试",缺陷明细!$K$2:$K$50000,"严重")</f>
        <v>0</v>
      </c>
      <c r="Y55" s="292">
        <f>COUNTIFS(缺陷明细!$A$2:$A$50000,$B$4,缺陷明细!$G$2:$G$50000,$C55,缺陷明细!$J$2:$J$50000,"运维测试",缺陷明细!$AB$2:$AB$50000,"&lt;&gt;丢弃",缺陷明细!$AB$2:$AB$50000,"&lt;&gt;设计如此",缺陷明细!$AB$2:$AB$50000,"&lt;&gt;重复Bug")</f>
        <v>0</v>
      </c>
      <c r="Z55" s="293">
        <f>COUNTIFS(缺陷明细!$A$2:$A$50000,$B$4,缺陷明细!$G$2:$G$50000,$C55,缺陷明细!$Q$2:$Q$50000,"已关闭",缺陷明细!$J$2:$J$50000,"运维测试")</f>
        <v>0</v>
      </c>
      <c r="AA55" s="287">
        <f>COUNTIFS(缺陷明细!$A$2:$A$50000,$B$4,缺陷明细!$G$2:$G$50000,$C55,缺陷明细!$J$2:$J$50000,"运维测试",缺陷明细!$K$2:$K$50000,"致命",缺陷明细!$AB$2:$AB$50000,"&lt;&gt;丢弃",缺陷明细!$AB$2:$AB$50000,"&lt;&gt;设计如此",缺陷明细!$AB$2:$AB$50000,"&lt;&gt;重复Bug")+COUNTIFS(缺陷明细!$A$2:$A$50000,$B$4,缺陷明细!$G$2:$G$50000,$C55,缺陷明细!$J$2:$J$50000,"运维测试",缺陷明细!$K$2:$K$50000,"严重",缺陷明细!$AB$2:$AB$50000,"&lt;&gt;丢弃",缺陷明细!$AB$2:$AB$50000,"&lt;&gt;设计如此",缺陷明细!$AB$2:$AB$50000,"&lt;&gt;重复Bug")</f>
        <v>0</v>
      </c>
      <c r="AB55" s="288">
        <f>COUNTIFS(缺陷明细!$A$2:$A$50000,$B$4,缺陷明细!$G$2:$G$50000,$C55,缺陷明细!$Q$2:$Q$50000,"已关闭",缺陷明细!$J$2:$J$50000,"运维测试",缺陷明细!$K$2:$K$50000,"致命")+COUNTIFS(缺陷明细!$A$2:$A$50000,$B$4,缺陷明细!$G$2:$G$50000,$C55,缺陷明细!$Q$2:$Q$50000,"已关闭",缺陷明细!$J$2:$J$50000,"运维测试",缺陷明细!$K$2:$K$50000,"严重")</f>
        <v>0</v>
      </c>
      <c r="AC55" s="150">
        <f t="shared" si="0"/>
        <v>0</v>
      </c>
      <c r="AD55" s="151">
        <f t="shared" si="0"/>
        <v>0</v>
      </c>
      <c r="AE55" s="151">
        <f t="shared" si="1"/>
        <v>0</v>
      </c>
      <c r="AF55" s="151">
        <f t="shared" si="1"/>
        <v>0</v>
      </c>
      <c r="AG55" s="151">
        <f t="shared" si="2"/>
        <v>0</v>
      </c>
      <c r="AH55" s="151">
        <f t="shared" si="2"/>
        <v>0</v>
      </c>
      <c r="AI55" s="151">
        <f t="shared" si="3"/>
        <v>0</v>
      </c>
      <c r="AJ55" s="141">
        <f t="shared" si="3"/>
        <v>0</v>
      </c>
      <c r="AK55" s="145"/>
    </row>
    <row r="56" spans="1:37">
      <c r="B56" s="417" t="s">
        <v>223</v>
      </c>
      <c r="C56" s="418"/>
      <c r="D56" s="135">
        <f>COUNTA(D5:D55)</f>
        <v>0</v>
      </c>
      <c r="E56" s="135">
        <f>COUNTIF(E2:E55,"是")</f>
        <v>0</v>
      </c>
      <c r="F56" s="135">
        <f>SUMIFS(F5:F500,$E$5:$E$500,"是")</f>
        <v>0</v>
      </c>
      <c r="G56" s="135">
        <f t="shared" ref="G56:AJ56" si="4">SUMIFS(G5:G500,$E$5:$E$500,"是")</f>
        <v>0</v>
      </c>
      <c r="H56" s="135">
        <f t="shared" si="4"/>
        <v>0</v>
      </c>
      <c r="I56" s="135">
        <f t="shared" si="4"/>
        <v>0</v>
      </c>
      <c r="J56" s="135">
        <f t="shared" si="4"/>
        <v>0</v>
      </c>
      <c r="K56" s="135">
        <f t="shared" si="4"/>
        <v>0</v>
      </c>
      <c r="L56" s="135">
        <f t="shared" si="4"/>
        <v>0</v>
      </c>
      <c r="M56" s="135">
        <f t="shared" si="4"/>
        <v>0</v>
      </c>
      <c r="N56" s="135">
        <f t="shared" si="4"/>
        <v>0</v>
      </c>
      <c r="O56" s="135">
        <f t="shared" si="4"/>
        <v>0</v>
      </c>
      <c r="P56" s="135">
        <f t="shared" si="4"/>
        <v>0</v>
      </c>
      <c r="Q56" s="135">
        <f t="shared" si="4"/>
        <v>0</v>
      </c>
      <c r="R56" s="135">
        <f t="shared" si="4"/>
        <v>0</v>
      </c>
      <c r="S56" s="135">
        <f t="shared" si="4"/>
        <v>0</v>
      </c>
      <c r="T56" s="135">
        <f t="shared" si="4"/>
        <v>0</v>
      </c>
      <c r="U56" s="135">
        <f t="shared" si="4"/>
        <v>0</v>
      </c>
      <c r="V56" s="135">
        <f t="shared" si="4"/>
        <v>0</v>
      </c>
      <c r="W56" s="135">
        <f t="shared" si="4"/>
        <v>0</v>
      </c>
      <c r="X56" s="135">
        <f t="shared" si="4"/>
        <v>0</v>
      </c>
      <c r="Y56" s="135">
        <f t="shared" si="4"/>
        <v>0</v>
      </c>
      <c r="Z56" s="135">
        <f t="shared" si="4"/>
        <v>0</v>
      </c>
      <c r="AA56" s="135">
        <f t="shared" si="4"/>
        <v>0</v>
      </c>
      <c r="AB56" s="135">
        <f t="shared" si="4"/>
        <v>0</v>
      </c>
      <c r="AC56" s="135">
        <f t="shared" si="4"/>
        <v>0</v>
      </c>
      <c r="AD56" s="135">
        <f t="shared" si="4"/>
        <v>0</v>
      </c>
      <c r="AE56" s="135">
        <f t="shared" si="4"/>
        <v>0</v>
      </c>
      <c r="AF56" s="135">
        <f t="shared" si="4"/>
        <v>0</v>
      </c>
      <c r="AG56" s="135">
        <f t="shared" si="4"/>
        <v>0</v>
      </c>
      <c r="AH56" s="135">
        <f t="shared" si="4"/>
        <v>0</v>
      </c>
      <c r="AI56" s="135">
        <f t="shared" si="4"/>
        <v>0</v>
      </c>
      <c r="AJ56" s="135">
        <f t="shared" si="4"/>
        <v>0</v>
      </c>
      <c r="AK56" s="30"/>
    </row>
    <row r="57" spans="1:37">
      <c r="C57" s="146"/>
      <c r="D57" s="147"/>
      <c r="E57" s="136"/>
      <c r="F57" s="136"/>
      <c r="G57" s="136"/>
      <c r="H57" s="137"/>
      <c r="I57" s="137"/>
      <c r="J57" s="137"/>
      <c r="K57" s="137"/>
      <c r="L57" s="137"/>
      <c r="M57" s="137"/>
      <c r="N57" s="137"/>
      <c r="O57" s="137"/>
      <c r="P57" s="137"/>
      <c r="Q57" s="137"/>
      <c r="R57" s="137"/>
      <c r="S57" s="137"/>
      <c r="T57" s="137"/>
      <c r="U57" s="137"/>
      <c r="V57" s="137"/>
      <c r="W57" s="137"/>
      <c r="X57" s="137"/>
      <c r="Y57" s="137"/>
      <c r="Z57" s="137"/>
      <c r="AA57" s="137"/>
      <c r="AB57" s="137"/>
      <c r="AC57" s="137"/>
      <c r="AD57" s="137"/>
      <c r="AE57" s="137"/>
      <c r="AF57" s="137"/>
      <c r="AG57" s="137"/>
      <c r="AH57" s="137"/>
      <c r="AI57" s="137"/>
      <c r="AJ57" s="137"/>
    </row>
    <row r="59" spans="1:37">
      <c r="F59" s="95"/>
    </row>
  </sheetData>
  <mergeCells count="13">
    <mergeCell ref="B56:C56"/>
    <mergeCell ref="B2:B3"/>
    <mergeCell ref="C2:C3"/>
    <mergeCell ref="D2:D3"/>
    <mergeCell ref="E2:E3"/>
    <mergeCell ref="AC2:AJ2"/>
    <mergeCell ref="AK2:AK3"/>
    <mergeCell ref="U2:X2"/>
    <mergeCell ref="H1:AB1"/>
    <mergeCell ref="F2:G2"/>
    <mergeCell ref="H2:K2"/>
    <mergeCell ref="L2:T2"/>
    <mergeCell ref="Y2:AB2"/>
  </mergeCells>
  <phoneticPr fontId="13" type="noConversion"/>
  <dataValidations count="1">
    <dataValidation type="list" allowBlank="1" showInputMessage="1" showErrorMessage="1" sqref="E5:E55">
      <formula1>"是,否"</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00FF"/>
  </sheetPr>
  <dimension ref="A1:AK54"/>
  <sheetViews>
    <sheetView topLeftCell="A10" workbookViewId="0">
      <selection activeCell="M54" sqref="M54"/>
    </sheetView>
  </sheetViews>
  <sheetFormatPr defaultColWidth="9" defaultRowHeight="12.75"/>
  <cols>
    <col min="1" max="1" width="5.140625" customWidth="1"/>
    <col min="3" max="3" width="29.28515625" customWidth="1"/>
    <col min="4" max="4" width="6.28515625" customWidth="1"/>
    <col min="5" max="5" width="5.85546875" style="38" customWidth="1"/>
    <col min="6" max="7" width="5.7109375" style="38" customWidth="1"/>
    <col min="8" max="36" width="5.7109375" customWidth="1"/>
    <col min="37" max="37" width="20" customWidth="1"/>
    <col min="38" max="38" width="8.140625" customWidth="1"/>
  </cols>
  <sheetData>
    <row r="1" spans="1:37" ht="13.5" customHeight="1" thickBot="1">
      <c r="A1" s="29"/>
      <c r="B1" s="259" t="s">
        <v>61</v>
      </c>
      <c r="C1" s="259"/>
      <c r="D1" s="259"/>
      <c r="E1" s="259"/>
      <c r="F1" s="260"/>
      <c r="G1" s="260"/>
      <c r="H1" s="402" t="s">
        <v>63</v>
      </c>
      <c r="I1" s="402"/>
      <c r="J1" s="402"/>
      <c r="K1" s="402"/>
      <c r="L1" s="402"/>
      <c r="M1" s="402"/>
      <c r="N1" s="402"/>
      <c r="O1" s="402"/>
      <c r="P1" s="402"/>
      <c r="Q1" s="402"/>
      <c r="R1" s="402"/>
      <c r="S1" s="402"/>
      <c r="T1" s="402"/>
      <c r="U1" s="402"/>
      <c r="V1" s="402"/>
      <c r="W1" s="402"/>
      <c r="X1" s="402"/>
      <c r="Y1" s="402"/>
      <c r="Z1" s="402"/>
      <c r="AA1" s="402"/>
      <c r="AB1" s="402"/>
      <c r="AC1" s="138"/>
      <c r="AD1" s="138"/>
      <c r="AE1" s="138"/>
      <c r="AF1" s="138"/>
      <c r="AG1" s="138"/>
      <c r="AH1" s="138"/>
      <c r="AI1" s="138"/>
      <c r="AJ1" s="139"/>
      <c r="AK1" s="148"/>
    </row>
    <row r="2" spans="1:37" ht="12.75" customHeight="1" thickBot="1">
      <c r="B2" s="419" t="s">
        <v>195</v>
      </c>
      <c r="C2" s="403" t="s">
        <v>60</v>
      </c>
      <c r="D2" s="405" t="s">
        <v>104</v>
      </c>
      <c r="E2" s="421" t="s">
        <v>196</v>
      </c>
      <c r="F2" s="403" t="s">
        <v>197</v>
      </c>
      <c r="G2" s="404"/>
      <c r="H2" s="423" t="s">
        <v>224</v>
      </c>
      <c r="I2" s="423"/>
      <c r="J2" s="423"/>
      <c r="K2" s="423"/>
      <c r="L2" s="424" t="s">
        <v>198</v>
      </c>
      <c r="M2" s="425"/>
      <c r="N2" s="425"/>
      <c r="O2" s="425"/>
      <c r="P2" s="425"/>
      <c r="Q2" s="425"/>
      <c r="R2" s="425"/>
      <c r="S2" s="425"/>
      <c r="T2" s="426"/>
      <c r="U2" s="415" t="s">
        <v>44</v>
      </c>
      <c r="V2" s="416"/>
      <c r="W2" s="416"/>
      <c r="X2" s="416"/>
      <c r="Y2" s="408" t="s">
        <v>64</v>
      </c>
      <c r="Z2" s="409"/>
      <c r="AA2" s="409"/>
      <c r="AB2" s="409"/>
      <c r="AC2" s="410" t="s">
        <v>2</v>
      </c>
      <c r="AD2" s="411"/>
      <c r="AE2" s="411"/>
      <c r="AF2" s="411"/>
      <c r="AG2" s="411"/>
      <c r="AH2" s="411"/>
      <c r="AI2" s="411"/>
      <c r="AJ2" s="412"/>
      <c r="AK2" s="413" t="s">
        <v>4</v>
      </c>
    </row>
    <row r="3" spans="1:37" ht="84.75" thickBot="1">
      <c r="B3" s="420"/>
      <c r="C3" s="407"/>
      <c r="D3" s="406"/>
      <c r="E3" s="422"/>
      <c r="F3" s="261" t="s">
        <v>284</v>
      </c>
      <c r="G3" s="262" t="s">
        <v>285</v>
      </c>
      <c r="H3" s="34" t="s">
        <v>105</v>
      </c>
      <c r="I3" s="34" t="s">
        <v>106</v>
      </c>
      <c r="J3" s="34" t="s">
        <v>107</v>
      </c>
      <c r="K3" s="34" t="s">
        <v>108</v>
      </c>
      <c r="L3" s="33" t="s">
        <v>200</v>
      </c>
      <c r="M3" s="34" t="s">
        <v>201</v>
      </c>
      <c r="N3" s="31" t="s">
        <v>45</v>
      </c>
      <c r="O3" s="31" t="s">
        <v>46</v>
      </c>
      <c r="P3" s="31" t="s">
        <v>34</v>
      </c>
      <c r="Q3" s="31" t="s">
        <v>36</v>
      </c>
      <c r="R3" s="31" t="s">
        <v>293</v>
      </c>
      <c r="S3" s="31" t="s">
        <v>35</v>
      </c>
      <c r="T3" s="32" t="s">
        <v>37</v>
      </c>
      <c r="U3" s="99" t="s">
        <v>125</v>
      </c>
      <c r="V3" s="35" t="s">
        <v>126</v>
      </c>
      <c r="W3" s="35" t="s">
        <v>202</v>
      </c>
      <c r="X3" s="35" t="s">
        <v>127</v>
      </c>
      <c r="Y3" s="99" t="s">
        <v>65</v>
      </c>
      <c r="Z3" s="35" t="s">
        <v>66</v>
      </c>
      <c r="AA3" s="35" t="s">
        <v>67</v>
      </c>
      <c r="AB3" s="36" t="s">
        <v>204</v>
      </c>
      <c r="AC3" s="33" t="s">
        <v>38</v>
      </c>
      <c r="AD3" s="31" t="s">
        <v>39</v>
      </c>
      <c r="AE3" s="31" t="s">
        <v>40</v>
      </c>
      <c r="AF3" s="31" t="s">
        <v>41</v>
      </c>
      <c r="AG3" s="31" t="s">
        <v>128</v>
      </c>
      <c r="AH3" s="31" t="s">
        <v>130</v>
      </c>
      <c r="AI3" s="31" t="s">
        <v>131</v>
      </c>
      <c r="AJ3" s="32" t="s">
        <v>129</v>
      </c>
      <c r="AK3" s="414"/>
    </row>
    <row r="4" spans="1:37" ht="13.5" thickBot="1">
      <c r="B4" s="96" t="s">
        <v>266</v>
      </c>
      <c r="C4" s="80" t="s">
        <v>1589</v>
      </c>
      <c r="D4" s="134"/>
      <c r="E4" s="130"/>
      <c r="F4" s="100"/>
      <c r="G4" s="81"/>
      <c r="H4" s="69"/>
      <c r="I4" s="63"/>
      <c r="J4" s="63"/>
      <c r="K4" s="64"/>
      <c r="L4" s="77"/>
      <c r="M4" s="101"/>
      <c r="N4" s="63"/>
      <c r="O4" s="63"/>
      <c r="P4" s="63"/>
      <c r="Q4" s="63"/>
      <c r="R4" s="63"/>
      <c r="S4" s="63"/>
      <c r="T4" s="64"/>
      <c r="U4" s="62"/>
      <c r="V4" s="63"/>
      <c r="W4" s="63"/>
      <c r="X4" s="64"/>
      <c r="Y4" s="62"/>
      <c r="Z4" s="63"/>
      <c r="AA4" s="63"/>
      <c r="AB4" s="64"/>
      <c r="AC4" s="69"/>
      <c r="AD4" s="63"/>
      <c r="AE4" s="63"/>
      <c r="AF4" s="63"/>
      <c r="AG4" s="63"/>
      <c r="AH4" s="63"/>
      <c r="AI4" s="63"/>
      <c r="AJ4" s="64"/>
      <c r="AK4" s="142"/>
    </row>
    <row r="5" spans="1:37">
      <c r="A5">
        <v>1</v>
      </c>
      <c r="B5" s="78" t="s">
        <v>1627</v>
      </c>
      <c r="C5" s="79" t="s">
        <v>1628</v>
      </c>
      <c r="D5" s="82" t="s">
        <v>1673</v>
      </c>
      <c r="E5" s="82" t="s">
        <v>346</v>
      </c>
      <c r="F5" s="152"/>
      <c r="G5" s="153"/>
      <c r="H5" s="271">
        <f>COUNTIFS(缺陷明细!$A$2:$A$50000,$B$4,缺陷明细!$G$2:$G$50000,$C5,缺陷明细!$J$2:$J$50000,"评审",缺陷明细!$AB$2:$AB$50000,"&lt;&gt;丢弃",缺陷明细!$AB$2:$AB$50000,"&lt;&gt;设计如此",缺陷明细!$AB$2:$AB$50000,"&lt;&gt;重复Bug")</f>
        <v>0</v>
      </c>
      <c r="I5" s="272">
        <f>COUNTIFS(缺陷明细!$A$2:$A$50000,$B$4,缺陷明细!$G$2:$G$50000,$C5,缺陷明细!$Q$2:$Q$50000,"已关闭",缺陷明细!$J$2:$J$50000,"评审")</f>
        <v>0</v>
      </c>
      <c r="J5" s="272">
        <f>COUNTIFS(缺陷明细!$A$2:$A$50000,$B$4,缺陷明细!$G$2:$G$50000,$C5,缺陷明细!$J$2:$J$50000,"单元测试",缺陷明细!$AB$2:$AB$50000,"&lt;&gt;丢弃",缺陷明细!$AB$2:$AB$50000,"&lt;&gt;设计如此",缺陷明细!$AB$2:$AB$50000,"&lt;&gt;重复Bug")</f>
        <v>0</v>
      </c>
      <c r="K5" s="273">
        <f>COUNTIFS(缺陷明细!$A$2:$A$50000,$B$4,缺陷明细!$G$2:$G$50000,$C5,缺陷明细!$Q$2:$Q$50000,"已关闭",缺陷明细!$J$2:$J$50000,"单元测试")</f>
        <v>0</v>
      </c>
      <c r="L5" s="156">
        <v>0</v>
      </c>
      <c r="M5" s="157"/>
      <c r="N5" s="72">
        <f>COUNTIFS(缺陷明细!$A$2:$A$50000,$B$4,缺陷明细!$G$2:$G$50000,$C5,缺陷明细!$J$2:$J$50000,"系统测试案例评审",缺陷明细!$AB$2:$AB$50000,"&lt;&gt;丢弃",缺陷明细!$AB$2:$AB$50000,"&lt;&gt;设计如此",缺陷明细!$AB$2:$AB$50000,"&lt;&gt;重复Bug")</f>
        <v>0</v>
      </c>
      <c r="O5" s="72">
        <f>COUNTIFS(缺陷明细!$A$2:$A$50000,$B$4,缺陷明细!$G$2:$G$50000,$C5,缺陷明细!$Q$2:$Q$50000,"已关闭",缺陷明细!$J$2:$J$50000,"系统测试案例评审")</f>
        <v>0</v>
      </c>
      <c r="P5" s="72">
        <f>COUNTIFS(缺陷明细!$A$2:$A$50000,$B$4,缺陷明细!$G$2:$G$50000,$C5,缺陷明细!$J$2:$J$50000,"系统测试",缺陷明细!$AB$2:$AB$50000,"&lt;&gt;丢弃",缺陷明细!$AB$2:$AB$50000,"&lt;&gt;设计如此",缺陷明细!$AB$2:$AB$50000,"&lt;&gt;重复Bug")</f>
        <v>0</v>
      </c>
      <c r="Q5" s="72">
        <f>COUNTIFS(缺陷明细!$A$2:$A$50000,$B$4,缺陷明细!$G$2:$G$50000,$C5,缺陷明细!$Q$2:$Q$50000,"已关闭",缺陷明细!$J$2:$J$50000,"系统测试")</f>
        <v>0</v>
      </c>
      <c r="R5" s="72">
        <f>COUNTIFS(缺陷明细!$A$2:$A$50000,$B$4,缺陷明细!$G$2:$G$50000,$C5,缺陷明细!$AB$2:$AB$50000,"丢弃",缺陷明细!$J$2:$J$50000,"系统测试")+COUNTIFS(缺陷明细!$A$2:$A$50000,$B$4,缺陷明细!$G$2:$G$50000,$C5,缺陷明细!$AB$2:$AB$50000,"设计如此",缺陷明细!$J$2:$J$50000,"系统测试")+COUNTIFS(缺陷明细!$A$2:$A$50000,$B$4,缺陷明细!$G$2:$G$50000,$C5,缺陷明细!$AB$2:$AB$50000,"重复Bug",缺陷明细!$J$2:$J$50000,"系统测试")</f>
        <v>0</v>
      </c>
      <c r="S5" s="72">
        <f>COUNTIFS(缺陷明细!$A$2:$A$50000,$B$4,缺陷明细!$G$2:$G$50000,$C5,缺陷明细!$J$2:$J$50000,"系统测试",缺陷明细!$K$2:$K$50000,"致命",缺陷明细!$AB$2:$AB$50000,"&lt;&gt;丢弃",缺陷明细!$AB$2:$AB$50000,"&lt;&gt;设计如此",缺陷明细!$AB$2:$AB$50000,"&lt;&gt;重复Bug")+COUNTIFS(缺陷明细!$A$2:$A$50000,$B$4,缺陷明细!$G$2:$G$50000,$C5,缺陷明细!$J$2:$J$50000,"系统测试",缺陷明细!$K$2:$K$50000,"严重",缺陷明细!$AB$2:$AB$50000,"&lt;&gt;丢弃",缺陷明细!$AB$2:$AB$50000,"&lt;&gt;设计如此",缺陷明细!$AB$2:$AB$50000,"&lt;&gt;重复Bug")</f>
        <v>0</v>
      </c>
      <c r="T5" s="73">
        <f>COUNTIFS(缺陷明细!$A$2:$A$50000,$B$4,缺陷明细!$G$2:$G$50000,$C5,缺陷明细!$Q$2:$Q$50000,"已关闭",缺陷明细!$J$2:$J$50000,"系统测试",缺陷明细!$K$2:$K$50000,"致命")+COUNTIFS(缺陷明细!$A$2:$A$50000,$B$4,缺陷明细!$G$2:$G$50000,$C5,缺陷明细!$Q$2:$Q$50000,"已关闭",缺陷明细!$J$2:$J$50000,"系统测试",缺陷明细!$K$2:$K$50000,"严重")</f>
        <v>0</v>
      </c>
      <c r="U5" s="276">
        <f>COUNTIFS(缺陷明细!$A$2:$A$50000,$B$4,缺陷明细!$G$2:$G$50000,$C5,缺陷明细!$J$2:$J$50000,"验收测试",缺陷明细!$AB$2:$AB$50000,"&lt;&gt;丢弃",缺陷明细!$AB$2:$AB$50000,"&lt;&gt;设计如此",缺陷明细!$AB$2:$AB$50000,"&lt;&gt;重复Bug")</f>
        <v>0</v>
      </c>
      <c r="V5" s="277">
        <f>COUNTIFS(缺陷明细!$A$2:$A$50000,$B$4,缺陷明细!$G$2:$G$50000,$C5,缺陷明细!$Q$2:$Q$50000,"已关闭",缺陷明细!$J$2:$J$50000,"验收测试")</f>
        <v>0</v>
      </c>
      <c r="W5" s="277">
        <f>COUNTIFS(缺陷明细!$A$2:$A$50000,$B$4,缺陷明细!$G$2:$G$50000,$C5,缺陷明细!$J$2:$J$50000,"验收测试",缺陷明细!$K$2:$K$50000,"致命",缺陷明细!$AB$2:$AB$50000,"&lt;&gt;丢弃",缺陷明细!$AB$2:$AB$50000,"&lt;&gt;设计如此",缺陷明细!$AB$2:$AB$50000,"&lt;&gt;重复Bug")+COUNTIFS(缺陷明细!$A$2:$A$50000,$B$4,缺陷明细!$G$2:$G$50000,$C5,缺陷明细!$J$2:$J$50000,"验收测试",缺陷明细!$K$2:$K$50000,"严重",缺陷明细!$AB$2:$AB$50000,"&lt;&gt;丢弃",缺陷明细!$AB$2:$AB$50000,"&lt;&gt;设计如此",缺陷明细!$AB$2:$AB$50000,"&lt;&gt;重复Bug")</f>
        <v>0</v>
      </c>
      <c r="X5" s="278">
        <f>COUNTIFS(缺陷明细!$A$2:$A$50000,$B$4,缺陷明细!$G$2:$G$50000,$C5,缺陷明细!$Q$2:$Q$50000,"已关闭",缺陷明细!$J$2:$J$50000,"验收测试",缺陷明细!$K$2:$K$50000,"致命")+COUNTIFS(缺陷明细!$A$2:$A$50000,$B$4,缺陷明细!$G$2:$G$50000,$C5,缺陷明细!$Q$2:$Q$50000,"已关闭",缺陷明细!$J$2:$J$50000,"验收测试",缺陷明细!$K$2:$K$50000,"严重")</f>
        <v>0</v>
      </c>
      <c r="Y5" s="279">
        <f>COUNTIFS(缺陷明细!$A$2:$A$50000,$B$4,缺陷明细!$G$2:$G$50000,$C5,缺陷明细!$J$2:$J$50000,"运维测试",缺陷明细!$AB$2:$AB$50000,"&lt;&gt;丢弃",缺陷明细!$AB$2:$AB$50000,"&lt;&gt;设计如此",缺陷明细!$AB$2:$AB$50000,"&lt;&gt;重复Bug")</f>
        <v>0</v>
      </c>
      <c r="Z5" s="280">
        <f>COUNTIFS(缺陷明细!$A$2:$A$50000,$B$4,缺陷明细!$G$2:$G$50000,$C5,缺陷明细!$Q$2:$Q$50000,"已关闭",缺陷明细!$J$2:$J$50000,"运维测试")</f>
        <v>0</v>
      </c>
      <c r="AA5" s="274">
        <f>COUNTIFS(缺陷明细!$A$2:$A$50000,$B$4,缺陷明细!$G$2:$G$50000,$C5,缺陷明细!$J$2:$J$50000,"运维测试",缺陷明细!$K$2:$K$50000,"致命",缺陷明细!$AB$2:$AB$50000,"&lt;&gt;丢弃",缺陷明细!$AB$2:$AB$50000,"&lt;&gt;设计如此",缺陷明细!$AB$2:$AB$50000,"&lt;&gt;重复Bug")+COUNTIFS(缺陷明细!$A$2:$A$50000,$B$4,缺陷明细!$G$2:$G$50000,$C5,缺陷明细!$J$2:$J$50000,"运维测试",缺陷明细!$K$2:$K$50000,"严重",缺陷明细!$AB$2:$AB$50000,"&lt;&gt;丢弃",缺陷明细!$AB$2:$AB$50000,"&lt;&gt;设计如此",缺陷明细!$AB$2:$AB$50000,"&lt;&gt;重复Bug")</f>
        <v>0</v>
      </c>
      <c r="AB5" s="275">
        <f>COUNTIFS(缺陷明细!$A$2:$A$50000,$B$4,缺陷明细!$G$2:$G$50000,$C5,缺陷明细!$Q$2:$Q$50000,"已关闭",缺陷明细!$J$2:$J$50000,"运维测试",缺陷明细!$K$2:$K$50000,"致命")+COUNTIFS(缺陷明细!$A$2:$A$50000,$B$4,缺陷明细!$G$2:$G$50000,$C5,缺陷明细!$Q$2:$Q$50000,"已关闭",缺陷明细!$J$2:$J$50000,"运维测试",缺陷明细!$K$2:$K$50000,"严重")</f>
        <v>0</v>
      </c>
      <c r="AC5" s="68">
        <f>H5</f>
        <v>0</v>
      </c>
      <c r="AD5" s="60">
        <f>I5</f>
        <v>0</v>
      </c>
      <c r="AE5" s="60">
        <f>H5+J5</f>
        <v>0</v>
      </c>
      <c r="AF5" s="60">
        <f>I5+K5</f>
        <v>0</v>
      </c>
      <c r="AG5" s="60">
        <f>H5+J5+P5</f>
        <v>0</v>
      </c>
      <c r="AH5" s="60">
        <f>I5+K5+Q5</f>
        <v>0</v>
      </c>
      <c r="AI5" s="60">
        <f>Y5</f>
        <v>0</v>
      </c>
      <c r="AJ5" s="61">
        <f>Z5</f>
        <v>0</v>
      </c>
      <c r="AK5" s="143"/>
    </row>
    <row r="6" spans="1:37">
      <c r="A6">
        <v>2</v>
      </c>
      <c r="B6" s="57" t="s">
        <v>1626</v>
      </c>
      <c r="C6" s="58" t="s">
        <v>1629</v>
      </c>
      <c r="D6" s="83" t="s">
        <v>1673</v>
      </c>
      <c r="E6" s="82" t="s">
        <v>346</v>
      </c>
      <c r="F6" s="158"/>
      <c r="G6" s="159"/>
      <c r="H6" s="281">
        <f>COUNTIFS(缺陷明细!$A$2:$A$50000,$B$4,缺陷明细!$G$2:$G$50000,$C6,缺陷明细!$J$2:$J$50000,"评审",缺陷明细!$AB$2:$AB$50000,"&lt;&gt;丢弃",缺陷明细!$AB$2:$AB$50000,"&lt;&gt;设计如此",缺陷明细!$AB$2:$AB$50000,"&lt;&gt;重复Bug")</f>
        <v>0</v>
      </c>
      <c r="I6" s="154">
        <f>COUNTIFS(缺陷明细!$A$2:$A$50000,$B$4,缺陷明细!$G$2:$G$50000,$C6,缺陷明细!$Q$2:$Q$50000,"已关闭",缺陷明细!$J$2:$J$50000,"评审")</f>
        <v>0</v>
      </c>
      <c r="J6" s="154">
        <f>COUNTIFS(缺陷明细!$A$2:$A$50000,$B$4,缺陷明细!$G$2:$G$50000,$C6,缺陷明细!$J$2:$J$50000,"单元测试",缺陷明细!$AB$2:$AB$50000,"&lt;&gt;丢弃",缺陷明细!$AB$2:$AB$50000,"&lt;&gt;设计如此",缺陷明细!$AB$2:$AB$50000,"&lt;&gt;重复Bug")</f>
        <v>0</v>
      </c>
      <c r="K6" s="155">
        <f>COUNTIFS(缺陷明细!$A$2:$A$50000,$B$4,缺陷明细!$G$2:$G$50000,$C6,缺陷明细!$Q$2:$Q$50000,"已关闭",缺陷明细!$J$2:$J$50000,"单元测试")</f>
        <v>0</v>
      </c>
      <c r="L6" s="156">
        <v>12</v>
      </c>
      <c r="M6" s="157"/>
      <c r="N6" s="72">
        <f>COUNTIFS(缺陷明细!$A$2:$A$50000,$B$4,缺陷明细!$G$2:$G$50000,$C6,缺陷明细!$J$2:$J$50000,"系统测试案例评审",缺陷明细!$AB$2:$AB$50000,"&lt;&gt;丢弃",缺陷明细!$AB$2:$AB$50000,"&lt;&gt;设计如此",缺陷明细!$AB$2:$AB$50000,"&lt;&gt;重复Bug")</f>
        <v>0</v>
      </c>
      <c r="O6" s="72">
        <f>COUNTIFS(缺陷明细!$A$2:$A$50000,$B$4,缺陷明细!$G$2:$G$50000,$C6,缺陷明细!$Q$2:$Q$50000,"已关闭",缺陷明细!$J$2:$J$50000,"系统测试案例评审")</f>
        <v>0</v>
      </c>
      <c r="P6" s="72">
        <f>COUNTIFS(缺陷明细!$A$2:$A$50000,$B$4,缺陷明细!$G$2:$G$50000,$C6,缺陷明细!$J$2:$J$50000,"系统测试",缺陷明细!$AB$2:$AB$50000,"&lt;&gt;丢弃",缺陷明细!$AB$2:$AB$50000,"&lt;&gt;设计如此",缺陷明细!$AB$2:$AB$50000,"&lt;&gt;重复Bug")</f>
        <v>1</v>
      </c>
      <c r="Q6" s="72">
        <f>COUNTIFS(缺陷明细!$A$2:$A$50000,$B$4,缺陷明细!$G$2:$G$50000,$C6,缺陷明细!$Q$2:$Q$50000,"已关闭",缺陷明细!$J$2:$J$50000,"系统测试")</f>
        <v>0</v>
      </c>
      <c r="R6" s="296">
        <f>COUNTIFS(缺陷明细!$A$2:$A$50000,$B$4,缺陷明细!$G$2:$G$50000,$C6,缺陷明细!$AB$2:$AB$50000,"丢弃",缺陷明细!$J$2:$J$50000,"系统测试")+COUNTIFS(缺陷明细!$A$2:$A$50000,$B$4,缺陷明细!$G$2:$G$50000,$C6,缺陷明细!$AB$2:$AB$50000,"设计如此",缺陷明细!$J$2:$J$50000,"系统测试")+COUNTIFS(缺陷明细!$A$2:$A$50000,$B$4,缺陷明细!$G$2:$G$50000,$C6,缺陷明细!$AB$2:$AB$50000,"重复Bug",缺陷明细!$J$2:$J$50000,"系统测试")</f>
        <v>0</v>
      </c>
      <c r="S6" s="72">
        <f>COUNTIFS(缺陷明细!$A$2:$A$50000,$B$4,缺陷明细!$G$2:$G$50000,$C6,缺陷明细!$J$2:$J$50000,"系统测试",缺陷明细!$K$2:$K$50000,"致命",缺陷明细!$AB$2:$AB$50000,"&lt;&gt;丢弃",缺陷明细!$AB$2:$AB$50000,"&lt;&gt;设计如此",缺陷明细!$AB$2:$AB$50000,"&lt;&gt;重复Bug")+COUNTIFS(缺陷明细!$A$2:$A$50000,$B$4,缺陷明细!$G$2:$G$50000,$C6,缺陷明细!$J$2:$J$50000,"系统测试",缺陷明细!$K$2:$K$50000,"严重",缺陷明细!$AB$2:$AB$50000,"&lt;&gt;丢弃",缺陷明细!$AB$2:$AB$50000,"&lt;&gt;设计如此",缺陷明细!$AB$2:$AB$50000,"&lt;&gt;重复Bug")</f>
        <v>0</v>
      </c>
      <c r="T6" s="73">
        <f>COUNTIFS(缺陷明细!$A$2:$A$50000,$B$4,缺陷明细!$G$2:$G$50000,$C6,缺陷明细!$Q$2:$Q$50000,"已关闭",缺陷明细!$J$2:$J$50000,"系统测试",缺陷明细!$K$2:$K$50000,"致命")+COUNTIFS(缺陷明细!$A$2:$A$50000,$B$4,缺陷明细!$G$2:$G$50000,$C6,缺陷明细!$Q$2:$Q$50000,"已关闭",缺陷明细!$J$2:$J$50000,"系统测试",缺陷明细!$K$2:$K$50000,"严重")</f>
        <v>0</v>
      </c>
      <c r="U6" s="74">
        <f>COUNTIFS(缺陷明细!$A$2:$A$50000,$B$4,缺陷明细!$G$2:$G$50000,$C6,缺陷明细!$J$2:$J$50000,"验收测试",缺陷明细!$AB$2:$AB$50000,"&lt;&gt;丢弃",缺陷明细!$AB$2:$AB$50000,"&lt;&gt;设计如此",缺陷明细!$AB$2:$AB$50000,"&lt;&gt;重复Bug")</f>
        <v>0</v>
      </c>
      <c r="V6" s="75">
        <f>COUNTIFS(缺陷明细!$A$2:$A$50000,$B$4,缺陷明细!$G$2:$G$50000,$C6,缺陷明细!$Q$2:$Q$50000,"已关闭",缺陷明细!$J$2:$J$50000,"验收测试")</f>
        <v>0</v>
      </c>
      <c r="W6" s="75">
        <f>COUNTIFS(缺陷明细!$A$2:$A$50000,$B$4,缺陷明细!$G$2:$G$50000,$C6,缺陷明细!$J$2:$J$50000,"验收测试",缺陷明细!$K$2:$K$50000,"致命",缺陷明细!$AB$2:$AB$50000,"&lt;&gt;丢弃",缺陷明细!$AB$2:$AB$50000,"&lt;&gt;设计如此",缺陷明细!$AB$2:$AB$50000,"&lt;&gt;重复Bug")+COUNTIFS(缺陷明细!$A$2:$A$50000,$B$4,缺陷明细!$G$2:$G$50000,$C6,缺陷明细!$J$2:$J$50000,"验收测试",缺陷明细!$K$2:$K$50000,"严重",缺陷明细!$AB$2:$AB$50000,"&lt;&gt;丢弃",缺陷明细!$AB$2:$AB$50000,"&lt;&gt;设计如此",缺陷明细!$AB$2:$AB$50000,"&lt;&gt;重复Bug")</f>
        <v>0</v>
      </c>
      <c r="X6" s="76">
        <f>COUNTIFS(缺陷明细!$A$2:$A$50000,$B$4,缺陷明细!$G$2:$G$50000,$C6,缺陷明细!$Q$2:$Q$50000,"已关闭",缺陷明细!$J$2:$J$50000,"验收测试",缺陷明细!$K$2:$K$50000,"致命")+COUNTIFS(缺陷明细!$A$2:$A$50000,$B$4,缺陷明细!$G$2:$G$50000,$C6,缺陷明细!$Q$2:$Q$50000,"已关闭",缺陷明细!$J$2:$J$50000,"验收测试",缺陷明细!$K$2:$K$50000,"严重")</f>
        <v>0</v>
      </c>
      <c r="Y6" s="70">
        <f>COUNTIFS(缺陷明细!$A$2:$A$50000,$B$4,缺陷明细!$G$2:$G$50000,$C6,缺陷明细!$J$2:$J$50000,"运维测试",缺陷明细!$AB$2:$AB$50000,"&lt;&gt;丢弃",缺陷明细!$AB$2:$AB$50000,"&lt;&gt;设计如此",缺陷明细!$AB$2:$AB$50000,"&lt;&gt;重复Bug")</f>
        <v>0</v>
      </c>
      <c r="Z6" s="71">
        <f>COUNTIFS(缺陷明细!$A$2:$A$50000,$B$4,缺陷明细!$G$2:$G$50000,$C6,缺陷明细!$Q$2:$Q$50000,"已关闭",缺陷明细!$J$2:$J$50000,"运维测试")</f>
        <v>0</v>
      </c>
      <c r="AA6" s="72">
        <f>COUNTIFS(缺陷明细!$A$2:$A$50000,$B$4,缺陷明细!$G$2:$G$50000,$C6,缺陷明细!$J$2:$J$50000,"运维测试",缺陷明细!$K$2:$K$50000,"致命",缺陷明细!$AB$2:$AB$50000,"&lt;&gt;丢弃",缺陷明细!$AB$2:$AB$50000,"&lt;&gt;设计如此",缺陷明细!$AB$2:$AB$50000,"&lt;&gt;重复Bug")+COUNTIFS(缺陷明细!$A$2:$A$50000,$B$4,缺陷明细!$G$2:$G$50000,$C6,缺陷明细!$J$2:$J$50000,"运维测试",缺陷明细!$K$2:$K$50000,"严重",缺陷明细!$AB$2:$AB$50000,"&lt;&gt;丢弃",缺陷明细!$AB$2:$AB$50000,"&lt;&gt;设计如此",缺陷明细!$AB$2:$AB$50000,"&lt;&gt;重复Bug")</f>
        <v>0</v>
      </c>
      <c r="AB6" s="73">
        <f>COUNTIFS(缺陷明细!$A$2:$A$50000,$B$4,缺陷明细!$G$2:$G$50000,$C6,缺陷明细!$Q$2:$Q$50000,"已关闭",缺陷明细!$J$2:$J$50000,"运维测试",缺陷明细!$K$2:$K$50000,"致命")+COUNTIFS(缺陷明细!$A$2:$A$50000,$B$4,缺陷明细!$G$2:$G$50000,$C6,缺陷明细!$Q$2:$Q$50000,"已关闭",缺陷明细!$J$2:$J$50000,"运维测试",缺陷明细!$K$2:$K$50000,"严重")</f>
        <v>0</v>
      </c>
      <c r="AC6" s="68">
        <f t="shared" ref="AC6:AD50" si="0">H6</f>
        <v>0</v>
      </c>
      <c r="AD6" s="60">
        <f t="shared" si="0"/>
        <v>0</v>
      </c>
      <c r="AE6" s="60">
        <f t="shared" ref="AE6:AF50" si="1">H6+J6</f>
        <v>0</v>
      </c>
      <c r="AF6" s="60">
        <f t="shared" si="1"/>
        <v>0</v>
      </c>
      <c r="AG6" s="60">
        <f t="shared" ref="AG6:AH50" si="2">H6+J6+P6</f>
        <v>1</v>
      </c>
      <c r="AH6" s="60">
        <f t="shared" si="2"/>
        <v>0</v>
      </c>
      <c r="AI6" s="60">
        <f t="shared" ref="AI6:AJ50" si="3">Y6</f>
        <v>0</v>
      </c>
      <c r="AJ6" s="61">
        <f t="shared" si="3"/>
        <v>0</v>
      </c>
      <c r="AK6" s="144"/>
    </row>
    <row r="7" spans="1:37">
      <c r="A7">
        <v>3</v>
      </c>
      <c r="B7" s="57" t="s">
        <v>1625</v>
      </c>
      <c r="C7" s="58" t="s">
        <v>1630</v>
      </c>
      <c r="D7" s="83" t="s">
        <v>1674</v>
      </c>
      <c r="E7" s="82" t="s">
        <v>346</v>
      </c>
      <c r="F7" s="158"/>
      <c r="G7" s="159"/>
      <c r="H7" s="281">
        <f>COUNTIFS(缺陷明细!$A$2:$A$50000,$B$4,缺陷明细!$G$2:$G$50000,$C7,缺陷明细!$J$2:$J$50000,"评审",缺陷明细!$AB$2:$AB$50000,"&lt;&gt;丢弃",缺陷明细!$AB$2:$AB$50000,"&lt;&gt;设计如此",缺陷明细!$AB$2:$AB$50000,"&lt;&gt;重复Bug")</f>
        <v>0</v>
      </c>
      <c r="I7" s="154">
        <f>COUNTIFS(缺陷明细!$A$2:$A$50000,$B$4,缺陷明细!$G$2:$G$50000,$C7,缺陷明细!$Q$2:$Q$50000,"已关闭",缺陷明细!$J$2:$J$50000,"评审")</f>
        <v>0</v>
      </c>
      <c r="J7" s="154">
        <f>COUNTIFS(缺陷明细!$A$2:$A$50000,$B$4,缺陷明细!$G$2:$G$50000,$C7,缺陷明细!$J$2:$J$50000,"单元测试",缺陷明细!$AB$2:$AB$50000,"&lt;&gt;丢弃",缺陷明细!$AB$2:$AB$50000,"&lt;&gt;设计如此",缺陷明细!$AB$2:$AB$50000,"&lt;&gt;重复Bug")</f>
        <v>0</v>
      </c>
      <c r="K7" s="155">
        <f>COUNTIFS(缺陷明细!$A$2:$A$50000,$B$4,缺陷明细!$G$2:$G$50000,$C7,缺陷明细!$Q$2:$Q$50000,"已关闭",缺陷明细!$J$2:$J$50000,"单元测试")</f>
        <v>0</v>
      </c>
      <c r="L7" s="156">
        <v>3</v>
      </c>
      <c r="M7" s="157"/>
      <c r="N7" s="72">
        <f>COUNTIFS(缺陷明细!$A$2:$A$50000,$B$4,缺陷明细!$G$2:$G$50000,$C7,缺陷明细!$J$2:$J$50000,"系统测试案例评审",缺陷明细!$AB$2:$AB$50000,"&lt;&gt;丢弃",缺陷明细!$AB$2:$AB$50000,"&lt;&gt;设计如此",缺陷明细!$AB$2:$AB$50000,"&lt;&gt;重复Bug")</f>
        <v>0</v>
      </c>
      <c r="O7" s="72">
        <f>COUNTIFS(缺陷明细!$A$2:$A$50000,$B$4,缺陷明细!$G$2:$G$50000,$C7,缺陷明细!$Q$2:$Q$50000,"已关闭",缺陷明细!$J$2:$J$50000,"系统测试案例评审")</f>
        <v>0</v>
      </c>
      <c r="P7" s="72">
        <f>COUNTIFS(缺陷明细!$A$2:$A$50000,$B$4,缺陷明细!$G$2:$G$50000,$C7,缺陷明细!$J$2:$J$50000,"系统测试",缺陷明细!$AB$2:$AB$50000,"&lt;&gt;丢弃",缺陷明细!$AB$2:$AB$50000,"&lt;&gt;设计如此",缺陷明细!$AB$2:$AB$50000,"&lt;&gt;重复Bug")</f>
        <v>0</v>
      </c>
      <c r="Q7" s="72">
        <f>COUNTIFS(缺陷明细!$A$2:$A$50000,$B$4,缺陷明细!$G$2:$G$50000,$C7,缺陷明细!$Q$2:$Q$50000,"已关闭",缺陷明细!$J$2:$J$50000,"系统测试")</f>
        <v>0</v>
      </c>
      <c r="R7" s="296">
        <f>COUNTIFS(缺陷明细!$A$2:$A$50000,$B$4,缺陷明细!$G$2:$G$50000,$C7,缺陷明细!$AB$2:$AB$50000,"丢弃",缺陷明细!$J$2:$J$50000,"系统测试")+COUNTIFS(缺陷明细!$A$2:$A$50000,$B$4,缺陷明细!$G$2:$G$50000,$C7,缺陷明细!$AB$2:$AB$50000,"设计如此",缺陷明细!$J$2:$J$50000,"系统测试")+COUNTIFS(缺陷明细!$A$2:$A$50000,$B$4,缺陷明细!$G$2:$G$50000,$C7,缺陷明细!$AB$2:$AB$50000,"重复Bug",缺陷明细!$J$2:$J$50000,"系统测试")</f>
        <v>0</v>
      </c>
      <c r="S7" s="72">
        <f>COUNTIFS(缺陷明细!$A$2:$A$50000,$B$4,缺陷明细!$G$2:$G$50000,$C7,缺陷明细!$J$2:$J$50000,"系统测试",缺陷明细!$K$2:$K$50000,"致命",缺陷明细!$AB$2:$AB$50000,"&lt;&gt;丢弃",缺陷明细!$AB$2:$AB$50000,"&lt;&gt;设计如此",缺陷明细!$AB$2:$AB$50000,"&lt;&gt;重复Bug")+COUNTIFS(缺陷明细!$A$2:$A$50000,$B$4,缺陷明细!$G$2:$G$50000,$C7,缺陷明细!$J$2:$J$50000,"系统测试",缺陷明细!$K$2:$K$50000,"严重",缺陷明细!$AB$2:$AB$50000,"&lt;&gt;丢弃",缺陷明细!$AB$2:$AB$50000,"&lt;&gt;设计如此",缺陷明细!$AB$2:$AB$50000,"&lt;&gt;重复Bug")</f>
        <v>0</v>
      </c>
      <c r="T7" s="73">
        <f>COUNTIFS(缺陷明细!$A$2:$A$50000,$B$4,缺陷明细!$G$2:$G$50000,$C7,缺陷明细!$Q$2:$Q$50000,"已关闭",缺陷明细!$J$2:$J$50000,"系统测试",缺陷明细!$K$2:$K$50000,"致命")+COUNTIFS(缺陷明细!$A$2:$A$50000,$B$4,缺陷明细!$G$2:$G$50000,$C7,缺陷明细!$Q$2:$Q$50000,"已关闭",缺陷明细!$J$2:$J$50000,"系统测试",缺陷明细!$K$2:$K$50000,"严重")</f>
        <v>0</v>
      </c>
      <c r="U7" s="74">
        <f>COUNTIFS(缺陷明细!$A$2:$A$50000,$B$4,缺陷明细!$G$2:$G$50000,$C7,缺陷明细!$J$2:$J$50000,"验收测试",缺陷明细!$AB$2:$AB$50000,"&lt;&gt;丢弃",缺陷明细!$AB$2:$AB$50000,"&lt;&gt;设计如此",缺陷明细!$AB$2:$AB$50000,"&lt;&gt;重复Bug")</f>
        <v>0</v>
      </c>
      <c r="V7" s="75">
        <f>COUNTIFS(缺陷明细!$A$2:$A$50000,$B$4,缺陷明细!$G$2:$G$50000,$C7,缺陷明细!$Q$2:$Q$50000,"已关闭",缺陷明细!$J$2:$J$50000,"验收测试")</f>
        <v>0</v>
      </c>
      <c r="W7" s="75">
        <f>COUNTIFS(缺陷明细!$A$2:$A$50000,$B$4,缺陷明细!$G$2:$G$50000,$C7,缺陷明细!$J$2:$J$50000,"验收测试",缺陷明细!$K$2:$K$50000,"致命",缺陷明细!$AB$2:$AB$50000,"&lt;&gt;丢弃",缺陷明细!$AB$2:$AB$50000,"&lt;&gt;设计如此",缺陷明细!$AB$2:$AB$50000,"&lt;&gt;重复Bug")+COUNTIFS(缺陷明细!$A$2:$A$50000,$B$4,缺陷明细!$G$2:$G$50000,$C7,缺陷明细!$J$2:$J$50000,"验收测试",缺陷明细!$K$2:$K$50000,"严重",缺陷明细!$AB$2:$AB$50000,"&lt;&gt;丢弃",缺陷明细!$AB$2:$AB$50000,"&lt;&gt;设计如此",缺陷明细!$AB$2:$AB$50000,"&lt;&gt;重复Bug")</f>
        <v>0</v>
      </c>
      <c r="X7" s="76">
        <f>COUNTIFS(缺陷明细!$A$2:$A$50000,$B$4,缺陷明细!$G$2:$G$50000,$C7,缺陷明细!$Q$2:$Q$50000,"已关闭",缺陷明细!$J$2:$J$50000,"验收测试",缺陷明细!$K$2:$K$50000,"致命")+COUNTIFS(缺陷明细!$A$2:$A$50000,$B$4,缺陷明细!$G$2:$G$50000,$C7,缺陷明细!$Q$2:$Q$50000,"已关闭",缺陷明细!$J$2:$J$50000,"验收测试",缺陷明细!$K$2:$K$50000,"严重")</f>
        <v>0</v>
      </c>
      <c r="Y7" s="70">
        <f>COUNTIFS(缺陷明细!$A$2:$A$50000,$B$4,缺陷明细!$G$2:$G$50000,$C7,缺陷明细!$J$2:$J$50000,"运维测试",缺陷明细!$AB$2:$AB$50000,"&lt;&gt;丢弃",缺陷明细!$AB$2:$AB$50000,"&lt;&gt;设计如此",缺陷明细!$AB$2:$AB$50000,"&lt;&gt;重复Bug")</f>
        <v>0</v>
      </c>
      <c r="Z7" s="71">
        <f>COUNTIFS(缺陷明细!$A$2:$A$50000,$B$4,缺陷明细!$G$2:$G$50000,$C7,缺陷明细!$Q$2:$Q$50000,"已关闭",缺陷明细!$J$2:$J$50000,"运维测试")</f>
        <v>0</v>
      </c>
      <c r="AA7" s="72">
        <f>COUNTIFS(缺陷明细!$A$2:$A$50000,$B$4,缺陷明细!$G$2:$G$50000,$C7,缺陷明细!$J$2:$J$50000,"运维测试",缺陷明细!$K$2:$K$50000,"致命",缺陷明细!$AB$2:$AB$50000,"&lt;&gt;丢弃",缺陷明细!$AB$2:$AB$50000,"&lt;&gt;设计如此",缺陷明细!$AB$2:$AB$50000,"&lt;&gt;重复Bug")+COUNTIFS(缺陷明细!$A$2:$A$50000,$B$4,缺陷明细!$G$2:$G$50000,$C7,缺陷明细!$J$2:$J$50000,"运维测试",缺陷明细!$K$2:$K$50000,"严重",缺陷明细!$AB$2:$AB$50000,"&lt;&gt;丢弃",缺陷明细!$AB$2:$AB$50000,"&lt;&gt;设计如此",缺陷明细!$AB$2:$AB$50000,"&lt;&gt;重复Bug")</f>
        <v>0</v>
      </c>
      <c r="AB7" s="73">
        <f>COUNTIFS(缺陷明细!$A$2:$A$50000,$B$4,缺陷明细!$G$2:$G$50000,$C7,缺陷明细!$Q$2:$Q$50000,"已关闭",缺陷明细!$J$2:$J$50000,"运维测试",缺陷明细!$K$2:$K$50000,"致命")+COUNTIFS(缺陷明细!$A$2:$A$50000,$B$4,缺陷明细!$G$2:$G$50000,$C7,缺陷明细!$Q$2:$Q$50000,"已关闭",缺陷明细!$J$2:$J$50000,"运维测试",缺陷明细!$K$2:$K$50000,"严重")</f>
        <v>0</v>
      </c>
      <c r="AC7" s="68">
        <f t="shared" si="0"/>
        <v>0</v>
      </c>
      <c r="AD7" s="60">
        <f t="shared" si="0"/>
        <v>0</v>
      </c>
      <c r="AE7" s="60">
        <f t="shared" si="1"/>
        <v>0</v>
      </c>
      <c r="AF7" s="60">
        <f t="shared" si="1"/>
        <v>0</v>
      </c>
      <c r="AG7" s="60">
        <f t="shared" si="2"/>
        <v>0</v>
      </c>
      <c r="AH7" s="60">
        <f t="shared" si="2"/>
        <v>0</v>
      </c>
      <c r="AI7" s="60">
        <f t="shared" si="3"/>
        <v>0</v>
      </c>
      <c r="AJ7" s="61">
        <f t="shared" si="3"/>
        <v>0</v>
      </c>
      <c r="AK7" s="144"/>
    </row>
    <row r="8" spans="1:37">
      <c r="A8">
        <v>4</v>
      </c>
      <c r="B8" s="57" t="s">
        <v>1624</v>
      </c>
      <c r="C8" s="58" t="s">
        <v>1631</v>
      </c>
      <c r="D8" s="83" t="s">
        <v>1673</v>
      </c>
      <c r="E8" s="82" t="s">
        <v>346</v>
      </c>
      <c r="F8" s="158"/>
      <c r="G8" s="159"/>
      <c r="H8" s="281">
        <f>COUNTIFS(缺陷明细!$A$2:$A$50000,$B$4,缺陷明细!$G$2:$G$50000,$C8,缺陷明细!$J$2:$J$50000,"评审",缺陷明细!$AB$2:$AB$50000,"&lt;&gt;丢弃",缺陷明细!$AB$2:$AB$50000,"&lt;&gt;设计如此",缺陷明细!$AB$2:$AB$50000,"&lt;&gt;重复Bug")</f>
        <v>0</v>
      </c>
      <c r="I8" s="154">
        <f>COUNTIFS(缺陷明细!$A$2:$A$50000,$B$4,缺陷明细!$G$2:$G$50000,$C8,缺陷明细!$Q$2:$Q$50000,"已关闭",缺陷明细!$J$2:$J$50000,"评审")</f>
        <v>0</v>
      </c>
      <c r="J8" s="154">
        <f>COUNTIFS(缺陷明细!$A$2:$A$50000,$B$4,缺陷明细!$G$2:$G$50000,$C8,缺陷明细!$J$2:$J$50000,"单元测试",缺陷明细!$AB$2:$AB$50000,"&lt;&gt;丢弃",缺陷明细!$AB$2:$AB$50000,"&lt;&gt;设计如此",缺陷明细!$AB$2:$AB$50000,"&lt;&gt;重复Bug")</f>
        <v>0</v>
      </c>
      <c r="K8" s="155">
        <f>COUNTIFS(缺陷明细!$A$2:$A$50000,$B$4,缺陷明细!$G$2:$G$50000,$C8,缺陷明细!$Q$2:$Q$50000,"已关闭",缺陷明细!$J$2:$J$50000,"单元测试")</f>
        <v>0</v>
      </c>
      <c r="L8" s="156">
        <v>8</v>
      </c>
      <c r="M8" s="157"/>
      <c r="N8" s="72">
        <f>COUNTIFS(缺陷明细!$A$2:$A$50000,$B$4,缺陷明细!$G$2:$G$50000,$C8,缺陷明细!$J$2:$J$50000,"系统测试案例评审",缺陷明细!$AB$2:$AB$50000,"&lt;&gt;丢弃",缺陷明细!$AB$2:$AB$50000,"&lt;&gt;设计如此",缺陷明细!$AB$2:$AB$50000,"&lt;&gt;重复Bug")</f>
        <v>0</v>
      </c>
      <c r="O8" s="72">
        <f>COUNTIFS(缺陷明细!$A$2:$A$50000,$B$4,缺陷明细!$G$2:$G$50000,$C8,缺陷明细!$Q$2:$Q$50000,"已关闭",缺陷明细!$J$2:$J$50000,"系统测试案例评审")</f>
        <v>0</v>
      </c>
      <c r="P8" s="72">
        <f>COUNTIFS(缺陷明细!$A$2:$A$50000,$B$4,缺陷明细!$G$2:$G$50000,$C8,缺陷明细!$J$2:$J$50000,"系统测试",缺陷明细!$AB$2:$AB$50000,"&lt;&gt;丢弃",缺陷明细!$AB$2:$AB$50000,"&lt;&gt;设计如此",缺陷明细!$AB$2:$AB$50000,"&lt;&gt;重复Bug")</f>
        <v>0</v>
      </c>
      <c r="Q8" s="72">
        <f>COUNTIFS(缺陷明细!$A$2:$A$50000,$B$4,缺陷明细!$G$2:$G$50000,$C8,缺陷明细!$Q$2:$Q$50000,"已关闭",缺陷明细!$J$2:$J$50000,"系统测试")</f>
        <v>0</v>
      </c>
      <c r="R8" s="296">
        <f>COUNTIFS(缺陷明细!$A$2:$A$50000,$B$4,缺陷明细!$G$2:$G$50000,$C8,缺陷明细!$AB$2:$AB$50000,"丢弃",缺陷明细!$J$2:$J$50000,"系统测试")+COUNTIFS(缺陷明细!$A$2:$A$50000,$B$4,缺陷明细!$G$2:$G$50000,$C8,缺陷明细!$AB$2:$AB$50000,"设计如此",缺陷明细!$J$2:$J$50000,"系统测试")+COUNTIFS(缺陷明细!$A$2:$A$50000,$B$4,缺陷明细!$G$2:$G$50000,$C8,缺陷明细!$AB$2:$AB$50000,"重复Bug",缺陷明细!$J$2:$J$50000,"系统测试")</f>
        <v>0</v>
      </c>
      <c r="S8" s="72">
        <f>COUNTIFS(缺陷明细!$A$2:$A$50000,$B$4,缺陷明细!$G$2:$G$50000,$C8,缺陷明细!$J$2:$J$50000,"系统测试",缺陷明细!$K$2:$K$50000,"致命",缺陷明细!$AB$2:$AB$50000,"&lt;&gt;丢弃",缺陷明细!$AB$2:$AB$50000,"&lt;&gt;设计如此",缺陷明细!$AB$2:$AB$50000,"&lt;&gt;重复Bug")+COUNTIFS(缺陷明细!$A$2:$A$50000,$B$4,缺陷明细!$G$2:$G$50000,$C8,缺陷明细!$J$2:$J$50000,"系统测试",缺陷明细!$K$2:$K$50000,"严重",缺陷明细!$AB$2:$AB$50000,"&lt;&gt;丢弃",缺陷明细!$AB$2:$AB$50000,"&lt;&gt;设计如此",缺陷明细!$AB$2:$AB$50000,"&lt;&gt;重复Bug")</f>
        <v>0</v>
      </c>
      <c r="T8" s="73">
        <f>COUNTIFS(缺陷明细!$A$2:$A$50000,$B$4,缺陷明细!$G$2:$G$50000,$C8,缺陷明细!$Q$2:$Q$50000,"已关闭",缺陷明细!$J$2:$J$50000,"系统测试",缺陷明细!$K$2:$K$50000,"致命")+COUNTIFS(缺陷明细!$A$2:$A$50000,$B$4,缺陷明细!$G$2:$G$50000,$C8,缺陷明细!$Q$2:$Q$50000,"已关闭",缺陷明细!$J$2:$J$50000,"系统测试",缺陷明细!$K$2:$K$50000,"严重")</f>
        <v>0</v>
      </c>
      <c r="U8" s="74">
        <f>COUNTIFS(缺陷明细!$A$2:$A$50000,$B$4,缺陷明细!$G$2:$G$50000,$C8,缺陷明细!$J$2:$J$50000,"验收测试",缺陷明细!$AB$2:$AB$50000,"&lt;&gt;丢弃",缺陷明细!$AB$2:$AB$50000,"&lt;&gt;设计如此",缺陷明细!$AB$2:$AB$50000,"&lt;&gt;重复Bug")</f>
        <v>0</v>
      </c>
      <c r="V8" s="75">
        <f>COUNTIFS(缺陷明细!$A$2:$A$50000,$B$4,缺陷明细!$G$2:$G$50000,$C8,缺陷明细!$Q$2:$Q$50000,"已关闭",缺陷明细!$J$2:$J$50000,"验收测试")</f>
        <v>0</v>
      </c>
      <c r="W8" s="75">
        <f>COUNTIFS(缺陷明细!$A$2:$A$50000,$B$4,缺陷明细!$G$2:$G$50000,$C8,缺陷明细!$J$2:$J$50000,"验收测试",缺陷明细!$K$2:$K$50000,"致命",缺陷明细!$AB$2:$AB$50000,"&lt;&gt;丢弃",缺陷明细!$AB$2:$AB$50000,"&lt;&gt;设计如此",缺陷明细!$AB$2:$AB$50000,"&lt;&gt;重复Bug")+COUNTIFS(缺陷明细!$A$2:$A$50000,$B$4,缺陷明细!$G$2:$G$50000,$C8,缺陷明细!$J$2:$J$50000,"验收测试",缺陷明细!$K$2:$K$50000,"严重",缺陷明细!$AB$2:$AB$50000,"&lt;&gt;丢弃",缺陷明细!$AB$2:$AB$50000,"&lt;&gt;设计如此",缺陷明细!$AB$2:$AB$50000,"&lt;&gt;重复Bug")</f>
        <v>0</v>
      </c>
      <c r="X8" s="76">
        <f>COUNTIFS(缺陷明细!$A$2:$A$50000,$B$4,缺陷明细!$G$2:$G$50000,$C8,缺陷明细!$Q$2:$Q$50000,"已关闭",缺陷明细!$J$2:$J$50000,"验收测试",缺陷明细!$K$2:$K$50000,"致命")+COUNTIFS(缺陷明细!$A$2:$A$50000,$B$4,缺陷明细!$G$2:$G$50000,$C8,缺陷明细!$Q$2:$Q$50000,"已关闭",缺陷明细!$J$2:$J$50000,"验收测试",缺陷明细!$K$2:$K$50000,"严重")</f>
        <v>0</v>
      </c>
      <c r="Y8" s="70">
        <f>COUNTIFS(缺陷明细!$A$2:$A$50000,$B$4,缺陷明细!$G$2:$G$50000,$C8,缺陷明细!$J$2:$J$50000,"运维测试",缺陷明细!$AB$2:$AB$50000,"&lt;&gt;丢弃",缺陷明细!$AB$2:$AB$50000,"&lt;&gt;设计如此",缺陷明细!$AB$2:$AB$50000,"&lt;&gt;重复Bug")</f>
        <v>0</v>
      </c>
      <c r="Z8" s="71">
        <f>COUNTIFS(缺陷明细!$A$2:$A$50000,$B$4,缺陷明细!$G$2:$G$50000,$C8,缺陷明细!$Q$2:$Q$50000,"已关闭",缺陷明细!$J$2:$J$50000,"运维测试")</f>
        <v>0</v>
      </c>
      <c r="AA8" s="72">
        <f>COUNTIFS(缺陷明细!$A$2:$A$50000,$B$4,缺陷明细!$G$2:$G$50000,$C8,缺陷明细!$J$2:$J$50000,"运维测试",缺陷明细!$K$2:$K$50000,"致命",缺陷明细!$AB$2:$AB$50000,"&lt;&gt;丢弃",缺陷明细!$AB$2:$AB$50000,"&lt;&gt;设计如此",缺陷明细!$AB$2:$AB$50000,"&lt;&gt;重复Bug")+COUNTIFS(缺陷明细!$A$2:$A$50000,$B$4,缺陷明细!$G$2:$G$50000,$C8,缺陷明细!$J$2:$J$50000,"运维测试",缺陷明细!$K$2:$K$50000,"严重",缺陷明细!$AB$2:$AB$50000,"&lt;&gt;丢弃",缺陷明细!$AB$2:$AB$50000,"&lt;&gt;设计如此",缺陷明细!$AB$2:$AB$50000,"&lt;&gt;重复Bug")</f>
        <v>0</v>
      </c>
      <c r="AB8" s="73">
        <f>COUNTIFS(缺陷明细!$A$2:$A$50000,$B$4,缺陷明细!$G$2:$G$50000,$C8,缺陷明细!$Q$2:$Q$50000,"已关闭",缺陷明细!$J$2:$J$50000,"运维测试",缺陷明细!$K$2:$K$50000,"致命")+COUNTIFS(缺陷明细!$A$2:$A$50000,$B$4,缺陷明细!$G$2:$G$50000,$C8,缺陷明细!$Q$2:$Q$50000,"已关闭",缺陷明细!$J$2:$J$50000,"运维测试",缺陷明细!$K$2:$K$50000,"严重")</f>
        <v>0</v>
      </c>
      <c r="AC8" s="68">
        <f t="shared" si="0"/>
        <v>0</v>
      </c>
      <c r="AD8" s="60">
        <f t="shared" si="0"/>
        <v>0</v>
      </c>
      <c r="AE8" s="60">
        <f t="shared" si="1"/>
        <v>0</v>
      </c>
      <c r="AF8" s="60">
        <f t="shared" si="1"/>
        <v>0</v>
      </c>
      <c r="AG8" s="60">
        <f t="shared" si="2"/>
        <v>0</v>
      </c>
      <c r="AH8" s="60">
        <f t="shared" si="2"/>
        <v>0</v>
      </c>
      <c r="AI8" s="60">
        <f t="shared" si="3"/>
        <v>0</v>
      </c>
      <c r="AJ8" s="61">
        <f t="shared" si="3"/>
        <v>0</v>
      </c>
      <c r="AK8" s="144"/>
    </row>
    <row r="9" spans="1:37">
      <c r="A9">
        <v>5</v>
      </c>
      <c r="B9" s="57" t="s">
        <v>1623</v>
      </c>
      <c r="C9" s="59" t="s">
        <v>1632</v>
      </c>
      <c r="D9" s="84" t="s">
        <v>1673</v>
      </c>
      <c r="E9" s="82" t="s">
        <v>346</v>
      </c>
      <c r="F9" s="160"/>
      <c r="G9" s="161"/>
      <c r="H9" s="281">
        <f>COUNTIFS(缺陷明细!$A$2:$A$50000,$B$4,缺陷明细!$G$2:$G$50000,$C9,缺陷明细!$J$2:$J$50000,"评审",缺陷明细!$AB$2:$AB$50000,"&lt;&gt;丢弃",缺陷明细!$AB$2:$AB$50000,"&lt;&gt;设计如此",缺陷明细!$AB$2:$AB$50000,"&lt;&gt;重复Bug")</f>
        <v>0</v>
      </c>
      <c r="I9" s="154">
        <f>COUNTIFS(缺陷明细!$A$2:$A$50000,$B$4,缺陷明细!$G$2:$G$50000,$C9,缺陷明细!$Q$2:$Q$50000,"已关闭",缺陷明细!$J$2:$J$50000,"评审")</f>
        <v>0</v>
      </c>
      <c r="J9" s="154">
        <f>COUNTIFS(缺陷明细!$A$2:$A$50000,$B$4,缺陷明细!$G$2:$G$50000,$C9,缺陷明细!$J$2:$J$50000,"单元测试",缺陷明细!$AB$2:$AB$50000,"&lt;&gt;丢弃",缺陷明细!$AB$2:$AB$50000,"&lt;&gt;设计如此",缺陷明细!$AB$2:$AB$50000,"&lt;&gt;重复Bug")</f>
        <v>0</v>
      </c>
      <c r="K9" s="155">
        <f>COUNTIFS(缺陷明细!$A$2:$A$50000,$B$4,缺陷明细!$G$2:$G$50000,$C9,缺陷明细!$Q$2:$Q$50000,"已关闭",缺陷明细!$J$2:$J$50000,"单元测试")</f>
        <v>0</v>
      </c>
      <c r="L9" s="156">
        <v>17</v>
      </c>
      <c r="M9" s="157"/>
      <c r="N9" s="72">
        <f>COUNTIFS(缺陷明细!$A$2:$A$50000,$B$4,缺陷明细!$G$2:$G$50000,$C9,缺陷明细!$J$2:$J$50000,"系统测试案例评审",缺陷明细!$AB$2:$AB$50000,"&lt;&gt;丢弃",缺陷明细!$AB$2:$AB$50000,"&lt;&gt;设计如此",缺陷明细!$AB$2:$AB$50000,"&lt;&gt;重复Bug")</f>
        <v>0</v>
      </c>
      <c r="O9" s="72">
        <f>COUNTIFS(缺陷明细!$A$2:$A$50000,$B$4,缺陷明细!$G$2:$G$50000,$C9,缺陷明细!$Q$2:$Q$50000,"已关闭",缺陷明细!$J$2:$J$50000,"系统测试案例评审")</f>
        <v>0</v>
      </c>
      <c r="P9" s="72">
        <f>COUNTIFS(缺陷明细!$A$2:$A$50000,$B$4,缺陷明细!$G$2:$G$50000,$C9,缺陷明细!$J$2:$J$50000,"系统测试",缺陷明细!$AB$2:$AB$50000,"&lt;&gt;丢弃",缺陷明细!$AB$2:$AB$50000,"&lt;&gt;设计如此",缺陷明细!$AB$2:$AB$50000,"&lt;&gt;重复Bug")</f>
        <v>1</v>
      </c>
      <c r="Q9" s="72">
        <f>COUNTIFS(缺陷明细!$A$2:$A$50000,$B$4,缺陷明细!$G$2:$G$50000,$C9,缺陷明细!$Q$2:$Q$50000,"已关闭",缺陷明细!$J$2:$J$50000,"系统测试")</f>
        <v>0</v>
      </c>
      <c r="R9" s="296">
        <f>COUNTIFS(缺陷明细!$A$2:$A$50000,$B$4,缺陷明细!$G$2:$G$50000,$C9,缺陷明细!$AB$2:$AB$50000,"丢弃",缺陷明细!$J$2:$J$50000,"系统测试")+COUNTIFS(缺陷明细!$A$2:$A$50000,$B$4,缺陷明细!$G$2:$G$50000,$C9,缺陷明细!$AB$2:$AB$50000,"设计如此",缺陷明细!$J$2:$J$50000,"系统测试")+COUNTIFS(缺陷明细!$A$2:$A$50000,$B$4,缺陷明细!$G$2:$G$50000,$C9,缺陷明细!$AB$2:$AB$50000,"重复Bug",缺陷明细!$J$2:$J$50000,"系统测试")</f>
        <v>0</v>
      </c>
      <c r="S9" s="72">
        <f>COUNTIFS(缺陷明细!$A$2:$A$50000,$B$4,缺陷明细!$G$2:$G$50000,$C9,缺陷明细!$J$2:$J$50000,"系统测试",缺陷明细!$K$2:$K$50000,"致命",缺陷明细!$AB$2:$AB$50000,"&lt;&gt;丢弃",缺陷明细!$AB$2:$AB$50000,"&lt;&gt;设计如此",缺陷明细!$AB$2:$AB$50000,"&lt;&gt;重复Bug")+COUNTIFS(缺陷明细!$A$2:$A$50000,$B$4,缺陷明细!$G$2:$G$50000,$C9,缺陷明细!$J$2:$J$50000,"系统测试",缺陷明细!$K$2:$K$50000,"严重",缺陷明细!$AB$2:$AB$50000,"&lt;&gt;丢弃",缺陷明细!$AB$2:$AB$50000,"&lt;&gt;设计如此",缺陷明细!$AB$2:$AB$50000,"&lt;&gt;重复Bug")</f>
        <v>0</v>
      </c>
      <c r="T9" s="73">
        <f>COUNTIFS(缺陷明细!$A$2:$A$50000,$B$4,缺陷明细!$G$2:$G$50000,$C9,缺陷明细!$Q$2:$Q$50000,"已关闭",缺陷明细!$J$2:$J$50000,"系统测试",缺陷明细!$K$2:$K$50000,"致命")+COUNTIFS(缺陷明细!$A$2:$A$50000,$B$4,缺陷明细!$G$2:$G$50000,$C9,缺陷明细!$Q$2:$Q$50000,"已关闭",缺陷明细!$J$2:$J$50000,"系统测试",缺陷明细!$K$2:$K$50000,"严重")</f>
        <v>0</v>
      </c>
      <c r="U9" s="74">
        <f>COUNTIFS(缺陷明细!$A$2:$A$50000,$B$4,缺陷明细!$G$2:$G$50000,$C9,缺陷明细!$J$2:$J$50000,"验收测试",缺陷明细!$AB$2:$AB$50000,"&lt;&gt;丢弃",缺陷明细!$AB$2:$AB$50000,"&lt;&gt;设计如此",缺陷明细!$AB$2:$AB$50000,"&lt;&gt;重复Bug")</f>
        <v>0</v>
      </c>
      <c r="V9" s="75">
        <f>COUNTIFS(缺陷明细!$A$2:$A$50000,$B$4,缺陷明细!$G$2:$G$50000,$C9,缺陷明细!$Q$2:$Q$50000,"已关闭",缺陷明细!$J$2:$J$50000,"验收测试")</f>
        <v>0</v>
      </c>
      <c r="W9" s="75">
        <f>COUNTIFS(缺陷明细!$A$2:$A$50000,$B$4,缺陷明细!$G$2:$G$50000,$C9,缺陷明细!$J$2:$J$50000,"验收测试",缺陷明细!$K$2:$K$50000,"致命",缺陷明细!$AB$2:$AB$50000,"&lt;&gt;丢弃",缺陷明细!$AB$2:$AB$50000,"&lt;&gt;设计如此",缺陷明细!$AB$2:$AB$50000,"&lt;&gt;重复Bug")+COUNTIFS(缺陷明细!$A$2:$A$50000,$B$4,缺陷明细!$G$2:$G$50000,$C9,缺陷明细!$J$2:$J$50000,"验收测试",缺陷明细!$K$2:$K$50000,"严重",缺陷明细!$AB$2:$AB$50000,"&lt;&gt;丢弃",缺陷明细!$AB$2:$AB$50000,"&lt;&gt;设计如此",缺陷明细!$AB$2:$AB$50000,"&lt;&gt;重复Bug")</f>
        <v>0</v>
      </c>
      <c r="X9" s="76">
        <f>COUNTIFS(缺陷明细!$A$2:$A$50000,$B$4,缺陷明细!$G$2:$G$50000,$C9,缺陷明细!$Q$2:$Q$50000,"已关闭",缺陷明细!$J$2:$J$50000,"验收测试",缺陷明细!$K$2:$K$50000,"致命")+COUNTIFS(缺陷明细!$A$2:$A$50000,$B$4,缺陷明细!$G$2:$G$50000,$C9,缺陷明细!$Q$2:$Q$50000,"已关闭",缺陷明细!$J$2:$J$50000,"验收测试",缺陷明细!$K$2:$K$50000,"严重")</f>
        <v>0</v>
      </c>
      <c r="Y9" s="70">
        <f>COUNTIFS(缺陷明细!$A$2:$A$50000,$B$4,缺陷明细!$G$2:$G$50000,$C9,缺陷明细!$J$2:$J$50000,"运维测试",缺陷明细!$AB$2:$AB$50000,"&lt;&gt;丢弃",缺陷明细!$AB$2:$AB$50000,"&lt;&gt;设计如此",缺陷明细!$AB$2:$AB$50000,"&lt;&gt;重复Bug")</f>
        <v>0</v>
      </c>
      <c r="Z9" s="71">
        <f>COUNTIFS(缺陷明细!$A$2:$A$50000,$B$4,缺陷明细!$G$2:$G$50000,$C9,缺陷明细!$Q$2:$Q$50000,"已关闭",缺陷明细!$J$2:$J$50000,"运维测试")</f>
        <v>0</v>
      </c>
      <c r="AA9" s="72">
        <f>COUNTIFS(缺陷明细!$A$2:$A$50000,$B$4,缺陷明细!$G$2:$G$50000,$C9,缺陷明细!$J$2:$J$50000,"运维测试",缺陷明细!$K$2:$K$50000,"致命",缺陷明细!$AB$2:$AB$50000,"&lt;&gt;丢弃",缺陷明细!$AB$2:$AB$50000,"&lt;&gt;设计如此",缺陷明细!$AB$2:$AB$50000,"&lt;&gt;重复Bug")+COUNTIFS(缺陷明细!$A$2:$A$50000,$B$4,缺陷明细!$G$2:$G$50000,$C9,缺陷明细!$J$2:$J$50000,"运维测试",缺陷明细!$K$2:$K$50000,"严重",缺陷明细!$AB$2:$AB$50000,"&lt;&gt;丢弃",缺陷明细!$AB$2:$AB$50000,"&lt;&gt;设计如此",缺陷明细!$AB$2:$AB$50000,"&lt;&gt;重复Bug")</f>
        <v>0</v>
      </c>
      <c r="AB9" s="73">
        <f>COUNTIFS(缺陷明细!$A$2:$A$50000,$B$4,缺陷明细!$G$2:$G$50000,$C9,缺陷明细!$Q$2:$Q$50000,"已关闭",缺陷明细!$J$2:$J$50000,"运维测试",缺陷明细!$K$2:$K$50000,"致命")+COUNTIFS(缺陷明细!$A$2:$A$50000,$B$4,缺陷明细!$G$2:$G$50000,$C9,缺陷明细!$Q$2:$Q$50000,"已关闭",缺陷明细!$J$2:$J$50000,"运维测试",缺陷明细!$K$2:$K$50000,"严重")</f>
        <v>0</v>
      </c>
      <c r="AC9" s="68">
        <f t="shared" si="0"/>
        <v>0</v>
      </c>
      <c r="AD9" s="60">
        <f t="shared" si="0"/>
        <v>0</v>
      </c>
      <c r="AE9" s="60">
        <f t="shared" si="1"/>
        <v>0</v>
      </c>
      <c r="AF9" s="60">
        <f t="shared" si="1"/>
        <v>0</v>
      </c>
      <c r="AG9" s="60">
        <f t="shared" si="2"/>
        <v>1</v>
      </c>
      <c r="AH9" s="60">
        <f t="shared" si="2"/>
        <v>0</v>
      </c>
      <c r="AI9" s="60">
        <f t="shared" si="3"/>
        <v>0</v>
      </c>
      <c r="AJ9" s="61">
        <f t="shared" si="3"/>
        <v>0</v>
      </c>
      <c r="AK9" s="144"/>
    </row>
    <row r="10" spans="1:37">
      <c r="A10">
        <v>6</v>
      </c>
      <c r="B10" s="57" t="s">
        <v>1622</v>
      </c>
      <c r="C10" s="58" t="s">
        <v>1633</v>
      </c>
      <c r="D10" s="84" t="s">
        <v>1673</v>
      </c>
      <c r="E10" s="82" t="s">
        <v>346</v>
      </c>
      <c r="F10" s="158"/>
      <c r="G10" s="159"/>
      <c r="H10" s="281">
        <f>COUNTIFS(缺陷明细!$A$2:$A$50000,$B$4,缺陷明细!$G$2:$G$50000,$C10,缺陷明细!$J$2:$J$50000,"评审",缺陷明细!$AB$2:$AB$50000,"&lt;&gt;丢弃",缺陷明细!$AB$2:$AB$50000,"&lt;&gt;设计如此",缺陷明细!$AB$2:$AB$50000,"&lt;&gt;重复Bug")</f>
        <v>0</v>
      </c>
      <c r="I10" s="154">
        <f>COUNTIFS(缺陷明细!$A$2:$A$50000,$B$4,缺陷明细!$G$2:$G$50000,$C10,缺陷明细!$Q$2:$Q$50000,"已关闭",缺陷明细!$J$2:$J$50000,"评审")</f>
        <v>0</v>
      </c>
      <c r="J10" s="154">
        <f>COUNTIFS(缺陷明细!$A$2:$A$50000,$B$4,缺陷明细!$G$2:$G$50000,$C10,缺陷明细!$J$2:$J$50000,"单元测试",缺陷明细!$AB$2:$AB$50000,"&lt;&gt;丢弃",缺陷明细!$AB$2:$AB$50000,"&lt;&gt;设计如此",缺陷明细!$AB$2:$AB$50000,"&lt;&gt;重复Bug")</f>
        <v>0</v>
      </c>
      <c r="K10" s="155">
        <f>COUNTIFS(缺陷明细!$A$2:$A$50000,$B$4,缺陷明细!$G$2:$G$50000,$C10,缺陷明细!$Q$2:$Q$50000,"已关闭",缺陷明细!$J$2:$J$50000,"单元测试")</f>
        <v>0</v>
      </c>
      <c r="L10" s="156">
        <v>2</v>
      </c>
      <c r="M10" s="157"/>
      <c r="N10" s="72">
        <f>COUNTIFS(缺陷明细!$A$2:$A$50000,$B$4,缺陷明细!$G$2:$G$50000,$C10,缺陷明细!$J$2:$J$50000,"系统测试案例评审",缺陷明细!$AB$2:$AB$50000,"&lt;&gt;丢弃",缺陷明细!$AB$2:$AB$50000,"&lt;&gt;设计如此",缺陷明细!$AB$2:$AB$50000,"&lt;&gt;重复Bug")</f>
        <v>0</v>
      </c>
      <c r="O10" s="72">
        <f>COUNTIFS(缺陷明细!$A$2:$A$50000,$B$4,缺陷明细!$G$2:$G$50000,$C10,缺陷明细!$Q$2:$Q$50000,"已关闭",缺陷明细!$J$2:$J$50000,"系统测试案例评审")</f>
        <v>0</v>
      </c>
      <c r="P10" s="72">
        <f>COUNTIFS(缺陷明细!$A$2:$A$50000,$B$4,缺陷明细!$G$2:$G$50000,$C10,缺陷明细!$J$2:$J$50000,"系统测试",缺陷明细!$AB$2:$AB$50000,"&lt;&gt;丢弃",缺陷明细!$AB$2:$AB$50000,"&lt;&gt;设计如此",缺陷明细!$AB$2:$AB$50000,"&lt;&gt;重复Bug")</f>
        <v>0</v>
      </c>
      <c r="Q10" s="72">
        <f>COUNTIFS(缺陷明细!$A$2:$A$50000,$B$4,缺陷明细!$G$2:$G$50000,$C10,缺陷明细!$Q$2:$Q$50000,"已关闭",缺陷明细!$J$2:$J$50000,"系统测试")</f>
        <v>0</v>
      </c>
      <c r="R10" s="296">
        <f>COUNTIFS(缺陷明细!$A$2:$A$50000,$B$4,缺陷明细!$G$2:$G$50000,$C10,缺陷明细!$AB$2:$AB$50000,"丢弃",缺陷明细!$J$2:$J$50000,"系统测试")+COUNTIFS(缺陷明细!$A$2:$A$50000,$B$4,缺陷明细!$G$2:$G$50000,$C10,缺陷明细!$AB$2:$AB$50000,"设计如此",缺陷明细!$J$2:$J$50000,"系统测试")+COUNTIFS(缺陷明细!$A$2:$A$50000,$B$4,缺陷明细!$G$2:$G$50000,$C10,缺陷明细!$AB$2:$AB$50000,"重复Bug",缺陷明细!$J$2:$J$50000,"系统测试")</f>
        <v>0</v>
      </c>
      <c r="S10" s="72">
        <f>COUNTIFS(缺陷明细!$A$2:$A$50000,$B$4,缺陷明细!$G$2:$G$50000,$C10,缺陷明细!$J$2:$J$50000,"系统测试",缺陷明细!$K$2:$K$50000,"致命",缺陷明细!$AB$2:$AB$50000,"&lt;&gt;丢弃",缺陷明细!$AB$2:$AB$50000,"&lt;&gt;设计如此",缺陷明细!$AB$2:$AB$50000,"&lt;&gt;重复Bug")+COUNTIFS(缺陷明细!$A$2:$A$50000,$B$4,缺陷明细!$G$2:$G$50000,$C10,缺陷明细!$J$2:$J$50000,"系统测试",缺陷明细!$K$2:$K$50000,"严重",缺陷明细!$AB$2:$AB$50000,"&lt;&gt;丢弃",缺陷明细!$AB$2:$AB$50000,"&lt;&gt;设计如此",缺陷明细!$AB$2:$AB$50000,"&lt;&gt;重复Bug")</f>
        <v>0</v>
      </c>
      <c r="T10" s="73">
        <f>COUNTIFS(缺陷明细!$A$2:$A$50000,$B$4,缺陷明细!$G$2:$G$50000,$C10,缺陷明细!$Q$2:$Q$50000,"已关闭",缺陷明细!$J$2:$J$50000,"系统测试",缺陷明细!$K$2:$K$50000,"致命")+COUNTIFS(缺陷明细!$A$2:$A$50000,$B$4,缺陷明细!$G$2:$G$50000,$C10,缺陷明细!$Q$2:$Q$50000,"已关闭",缺陷明细!$J$2:$J$50000,"系统测试",缺陷明细!$K$2:$K$50000,"严重")</f>
        <v>0</v>
      </c>
      <c r="U10" s="74">
        <f>COUNTIFS(缺陷明细!$A$2:$A$50000,$B$4,缺陷明细!$G$2:$G$50000,$C10,缺陷明细!$J$2:$J$50000,"验收测试",缺陷明细!$AB$2:$AB$50000,"&lt;&gt;丢弃",缺陷明细!$AB$2:$AB$50000,"&lt;&gt;设计如此",缺陷明细!$AB$2:$AB$50000,"&lt;&gt;重复Bug")</f>
        <v>0</v>
      </c>
      <c r="V10" s="75">
        <f>COUNTIFS(缺陷明细!$A$2:$A$50000,$B$4,缺陷明细!$G$2:$G$50000,$C10,缺陷明细!$Q$2:$Q$50000,"已关闭",缺陷明细!$J$2:$J$50000,"验收测试")</f>
        <v>0</v>
      </c>
      <c r="W10" s="75">
        <f>COUNTIFS(缺陷明细!$A$2:$A$50000,$B$4,缺陷明细!$G$2:$G$50000,$C10,缺陷明细!$J$2:$J$50000,"验收测试",缺陷明细!$K$2:$K$50000,"致命",缺陷明细!$AB$2:$AB$50000,"&lt;&gt;丢弃",缺陷明细!$AB$2:$AB$50000,"&lt;&gt;设计如此",缺陷明细!$AB$2:$AB$50000,"&lt;&gt;重复Bug")+COUNTIFS(缺陷明细!$A$2:$A$50000,$B$4,缺陷明细!$G$2:$G$50000,$C10,缺陷明细!$J$2:$J$50000,"验收测试",缺陷明细!$K$2:$K$50000,"严重",缺陷明细!$AB$2:$AB$50000,"&lt;&gt;丢弃",缺陷明细!$AB$2:$AB$50000,"&lt;&gt;设计如此",缺陷明细!$AB$2:$AB$50000,"&lt;&gt;重复Bug")</f>
        <v>0</v>
      </c>
      <c r="X10" s="76">
        <f>COUNTIFS(缺陷明细!$A$2:$A$50000,$B$4,缺陷明细!$G$2:$G$50000,$C10,缺陷明细!$Q$2:$Q$50000,"已关闭",缺陷明细!$J$2:$J$50000,"验收测试",缺陷明细!$K$2:$K$50000,"致命")+COUNTIFS(缺陷明细!$A$2:$A$50000,$B$4,缺陷明细!$G$2:$G$50000,$C10,缺陷明细!$Q$2:$Q$50000,"已关闭",缺陷明细!$J$2:$J$50000,"验收测试",缺陷明细!$K$2:$K$50000,"严重")</f>
        <v>0</v>
      </c>
      <c r="Y10" s="70">
        <f>COUNTIFS(缺陷明细!$A$2:$A$50000,$B$4,缺陷明细!$G$2:$G$50000,$C10,缺陷明细!$J$2:$J$50000,"运维测试",缺陷明细!$AB$2:$AB$50000,"&lt;&gt;丢弃",缺陷明细!$AB$2:$AB$50000,"&lt;&gt;设计如此",缺陷明细!$AB$2:$AB$50000,"&lt;&gt;重复Bug")</f>
        <v>0</v>
      </c>
      <c r="Z10" s="71">
        <f>COUNTIFS(缺陷明细!$A$2:$A$50000,$B$4,缺陷明细!$G$2:$G$50000,$C10,缺陷明细!$Q$2:$Q$50000,"已关闭",缺陷明细!$J$2:$J$50000,"运维测试")</f>
        <v>0</v>
      </c>
      <c r="AA10" s="72">
        <f>COUNTIFS(缺陷明细!$A$2:$A$50000,$B$4,缺陷明细!$G$2:$G$50000,$C10,缺陷明细!$J$2:$J$50000,"运维测试",缺陷明细!$K$2:$K$50000,"致命",缺陷明细!$AB$2:$AB$50000,"&lt;&gt;丢弃",缺陷明细!$AB$2:$AB$50000,"&lt;&gt;设计如此",缺陷明细!$AB$2:$AB$50000,"&lt;&gt;重复Bug")+COUNTIFS(缺陷明细!$A$2:$A$50000,$B$4,缺陷明细!$G$2:$G$50000,$C10,缺陷明细!$J$2:$J$50000,"运维测试",缺陷明细!$K$2:$K$50000,"严重",缺陷明细!$AB$2:$AB$50000,"&lt;&gt;丢弃",缺陷明细!$AB$2:$AB$50000,"&lt;&gt;设计如此",缺陷明细!$AB$2:$AB$50000,"&lt;&gt;重复Bug")</f>
        <v>0</v>
      </c>
      <c r="AB10" s="73">
        <f>COUNTIFS(缺陷明细!$A$2:$A$50000,$B$4,缺陷明细!$G$2:$G$50000,$C10,缺陷明细!$Q$2:$Q$50000,"已关闭",缺陷明细!$J$2:$J$50000,"运维测试",缺陷明细!$K$2:$K$50000,"致命")+COUNTIFS(缺陷明细!$A$2:$A$50000,$B$4,缺陷明细!$G$2:$G$50000,$C10,缺陷明细!$Q$2:$Q$50000,"已关闭",缺陷明细!$J$2:$J$50000,"运维测试",缺陷明细!$K$2:$K$50000,"严重")</f>
        <v>0</v>
      </c>
      <c r="AC10" s="68">
        <f t="shared" si="0"/>
        <v>0</v>
      </c>
      <c r="AD10" s="60">
        <f t="shared" si="0"/>
        <v>0</v>
      </c>
      <c r="AE10" s="60">
        <f t="shared" si="1"/>
        <v>0</v>
      </c>
      <c r="AF10" s="60">
        <f t="shared" si="1"/>
        <v>0</v>
      </c>
      <c r="AG10" s="60">
        <f t="shared" si="2"/>
        <v>0</v>
      </c>
      <c r="AH10" s="60">
        <f t="shared" si="2"/>
        <v>0</v>
      </c>
      <c r="AI10" s="60">
        <f t="shared" si="3"/>
        <v>0</v>
      </c>
      <c r="AJ10" s="61">
        <f t="shared" si="3"/>
        <v>0</v>
      </c>
      <c r="AK10" s="144"/>
    </row>
    <row r="11" spans="1:37">
      <c r="A11">
        <v>7</v>
      </c>
      <c r="B11" s="57" t="s">
        <v>464</v>
      </c>
      <c r="C11" s="58" t="s">
        <v>1634</v>
      </c>
      <c r="D11" s="84" t="s">
        <v>1673</v>
      </c>
      <c r="E11" s="82" t="s">
        <v>346</v>
      </c>
      <c r="F11" s="158"/>
      <c r="G11" s="159"/>
      <c r="H11" s="281">
        <f>COUNTIFS(缺陷明细!$A$2:$A$50000,$B$4,缺陷明细!$G$2:$G$50000,$C11,缺陷明细!$J$2:$J$50000,"评审",缺陷明细!$AB$2:$AB$50000,"&lt;&gt;丢弃",缺陷明细!$AB$2:$AB$50000,"&lt;&gt;设计如此",缺陷明细!$AB$2:$AB$50000,"&lt;&gt;重复Bug")</f>
        <v>0</v>
      </c>
      <c r="I11" s="154">
        <f>COUNTIFS(缺陷明细!$A$2:$A$50000,$B$4,缺陷明细!$G$2:$G$50000,$C11,缺陷明细!$Q$2:$Q$50000,"已关闭",缺陷明细!$J$2:$J$50000,"评审")</f>
        <v>0</v>
      </c>
      <c r="J11" s="154">
        <f>COUNTIFS(缺陷明细!$A$2:$A$50000,$B$4,缺陷明细!$G$2:$G$50000,$C11,缺陷明细!$J$2:$J$50000,"单元测试",缺陷明细!$AB$2:$AB$50000,"&lt;&gt;丢弃",缺陷明细!$AB$2:$AB$50000,"&lt;&gt;设计如此",缺陷明细!$AB$2:$AB$50000,"&lt;&gt;重复Bug")</f>
        <v>0</v>
      </c>
      <c r="K11" s="155">
        <f>COUNTIFS(缺陷明细!$A$2:$A$50000,$B$4,缺陷明细!$G$2:$G$50000,$C11,缺陷明细!$Q$2:$Q$50000,"已关闭",缺陷明细!$J$2:$J$50000,"单元测试")</f>
        <v>0</v>
      </c>
      <c r="L11" s="156">
        <v>3</v>
      </c>
      <c r="M11" s="157"/>
      <c r="N11" s="72">
        <f>COUNTIFS(缺陷明细!$A$2:$A$50000,$B$4,缺陷明细!$G$2:$G$50000,$C11,缺陷明细!$J$2:$J$50000,"系统测试案例评审",缺陷明细!$AB$2:$AB$50000,"&lt;&gt;丢弃",缺陷明细!$AB$2:$AB$50000,"&lt;&gt;设计如此",缺陷明细!$AB$2:$AB$50000,"&lt;&gt;重复Bug")</f>
        <v>0</v>
      </c>
      <c r="O11" s="72">
        <f>COUNTIFS(缺陷明细!$A$2:$A$50000,$B$4,缺陷明细!$G$2:$G$50000,$C11,缺陷明细!$Q$2:$Q$50000,"已关闭",缺陷明细!$J$2:$J$50000,"系统测试案例评审")</f>
        <v>0</v>
      </c>
      <c r="P11" s="72">
        <f>COUNTIFS(缺陷明细!$A$2:$A$50000,$B$4,缺陷明细!$G$2:$G$50000,$C11,缺陷明细!$J$2:$J$50000,"系统测试",缺陷明细!$AB$2:$AB$50000,"&lt;&gt;丢弃",缺陷明细!$AB$2:$AB$50000,"&lt;&gt;设计如此",缺陷明细!$AB$2:$AB$50000,"&lt;&gt;重复Bug")</f>
        <v>0</v>
      </c>
      <c r="Q11" s="72">
        <f>COUNTIFS(缺陷明细!$A$2:$A$50000,$B$4,缺陷明细!$G$2:$G$50000,$C11,缺陷明细!$Q$2:$Q$50000,"已关闭",缺陷明细!$J$2:$J$50000,"系统测试")</f>
        <v>0</v>
      </c>
      <c r="R11" s="296">
        <f>COUNTIFS(缺陷明细!$A$2:$A$50000,$B$4,缺陷明细!$G$2:$G$50000,$C11,缺陷明细!$AB$2:$AB$50000,"丢弃",缺陷明细!$J$2:$J$50000,"系统测试")+COUNTIFS(缺陷明细!$A$2:$A$50000,$B$4,缺陷明细!$G$2:$G$50000,$C11,缺陷明细!$AB$2:$AB$50000,"设计如此",缺陷明细!$J$2:$J$50000,"系统测试")+COUNTIFS(缺陷明细!$A$2:$A$50000,$B$4,缺陷明细!$G$2:$G$50000,$C11,缺陷明细!$AB$2:$AB$50000,"重复Bug",缺陷明细!$J$2:$J$50000,"系统测试")</f>
        <v>0</v>
      </c>
      <c r="S11" s="72">
        <f>COUNTIFS(缺陷明细!$A$2:$A$50000,$B$4,缺陷明细!$G$2:$G$50000,$C11,缺陷明细!$J$2:$J$50000,"系统测试",缺陷明细!$K$2:$K$50000,"致命",缺陷明细!$AB$2:$AB$50000,"&lt;&gt;丢弃",缺陷明细!$AB$2:$AB$50000,"&lt;&gt;设计如此",缺陷明细!$AB$2:$AB$50000,"&lt;&gt;重复Bug")+COUNTIFS(缺陷明细!$A$2:$A$50000,$B$4,缺陷明细!$G$2:$G$50000,$C11,缺陷明细!$J$2:$J$50000,"系统测试",缺陷明细!$K$2:$K$50000,"严重",缺陷明细!$AB$2:$AB$50000,"&lt;&gt;丢弃",缺陷明细!$AB$2:$AB$50000,"&lt;&gt;设计如此",缺陷明细!$AB$2:$AB$50000,"&lt;&gt;重复Bug")</f>
        <v>0</v>
      </c>
      <c r="T11" s="73">
        <f>COUNTIFS(缺陷明细!$A$2:$A$50000,$B$4,缺陷明细!$G$2:$G$50000,$C11,缺陷明细!$Q$2:$Q$50000,"已关闭",缺陷明细!$J$2:$J$50000,"系统测试",缺陷明细!$K$2:$K$50000,"致命")+COUNTIFS(缺陷明细!$A$2:$A$50000,$B$4,缺陷明细!$G$2:$G$50000,$C11,缺陷明细!$Q$2:$Q$50000,"已关闭",缺陷明细!$J$2:$J$50000,"系统测试",缺陷明细!$K$2:$K$50000,"严重")</f>
        <v>0</v>
      </c>
      <c r="U11" s="74">
        <f>COUNTIFS(缺陷明细!$A$2:$A$50000,$B$4,缺陷明细!$G$2:$G$50000,$C11,缺陷明细!$J$2:$J$50000,"验收测试",缺陷明细!$AB$2:$AB$50000,"&lt;&gt;丢弃",缺陷明细!$AB$2:$AB$50000,"&lt;&gt;设计如此",缺陷明细!$AB$2:$AB$50000,"&lt;&gt;重复Bug")</f>
        <v>0</v>
      </c>
      <c r="V11" s="75">
        <f>COUNTIFS(缺陷明细!$A$2:$A$50000,$B$4,缺陷明细!$G$2:$G$50000,$C11,缺陷明细!$Q$2:$Q$50000,"已关闭",缺陷明细!$J$2:$J$50000,"验收测试")</f>
        <v>0</v>
      </c>
      <c r="W11" s="75">
        <f>COUNTIFS(缺陷明细!$A$2:$A$50000,$B$4,缺陷明细!$G$2:$G$50000,$C11,缺陷明细!$J$2:$J$50000,"验收测试",缺陷明细!$K$2:$K$50000,"致命",缺陷明细!$AB$2:$AB$50000,"&lt;&gt;丢弃",缺陷明细!$AB$2:$AB$50000,"&lt;&gt;设计如此",缺陷明细!$AB$2:$AB$50000,"&lt;&gt;重复Bug")+COUNTIFS(缺陷明细!$A$2:$A$50000,$B$4,缺陷明细!$G$2:$G$50000,$C11,缺陷明细!$J$2:$J$50000,"验收测试",缺陷明细!$K$2:$K$50000,"严重",缺陷明细!$AB$2:$AB$50000,"&lt;&gt;丢弃",缺陷明细!$AB$2:$AB$50000,"&lt;&gt;设计如此",缺陷明细!$AB$2:$AB$50000,"&lt;&gt;重复Bug")</f>
        <v>0</v>
      </c>
      <c r="X11" s="76">
        <f>COUNTIFS(缺陷明细!$A$2:$A$50000,$B$4,缺陷明细!$G$2:$G$50000,$C11,缺陷明细!$Q$2:$Q$50000,"已关闭",缺陷明细!$J$2:$J$50000,"验收测试",缺陷明细!$K$2:$K$50000,"致命")+COUNTIFS(缺陷明细!$A$2:$A$50000,$B$4,缺陷明细!$G$2:$G$50000,$C11,缺陷明细!$Q$2:$Q$50000,"已关闭",缺陷明细!$J$2:$J$50000,"验收测试",缺陷明细!$K$2:$K$50000,"严重")</f>
        <v>0</v>
      </c>
      <c r="Y11" s="70">
        <f>COUNTIFS(缺陷明细!$A$2:$A$50000,$B$4,缺陷明细!$G$2:$G$50000,$C11,缺陷明细!$J$2:$J$50000,"运维测试",缺陷明细!$AB$2:$AB$50000,"&lt;&gt;丢弃",缺陷明细!$AB$2:$AB$50000,"&lt;&gt;设计如此",缺陷明细!$AB$2:$AB$50000,"&lt;&gt;重复Bug")</f>
        <v>0</v>
      </c>
      <c r="Z11" s="71">
        <f>COUNTIFS(缺陷明细!$A$2:$A$50000,$B$4,缺陷明细!$G$2:$G$50000,$C11,缺陷明细!$Q$2:$Q$50000,"已关闭",缺陷明细!$J$2:$J$50000,"运维测试")</f>
        <v>0</v>
      </c>
      <c r="AA11" s="72">
        <f>COUNTIFS(缺陷明细!$A$2:$A$50000,$B$4,缺陷明细!$G$2:$G$50000,$C11,缺陷明细!$J$2:$J$50000,"运维测试",缺陷明细!$K$2:$K$50000,"致命",缺陷明细!$AB$2:$AB$50000,"&lt;&gt;丢弃",缺陷明细!$AB$2:$AB$50000,"&lt;&gt;设计如此",缺陷明细!$AB$2:$AB$50000,"&lt;&gt;重复Bug")+COUNTIFS(缺陷明细!$A$2:$A$50000,$B$4,缺陷明细!$G$2:$G$50000,$C11,缺陷明细!$J$2:$J$50000,"运维测试",缺陷明细!$K$2:$K$50000,"严重",缺陷明细!$AB$2:$AB$50000,"&lt;&gt;丢弃",缺陷明细!$AB$2:$AB$50000,"&lt;&gt;设计如此",缺陷明细!$AB$2:$AB$50000,"&lt;&gt;重复Bug")</f>
        <v>0</v>
      </c>
      <c r="AB11" s="73">
        <f>COUNTIFS(缺陷明细!$A$2:$A$50000,$B$4,缺陷明细!$G$2:$G$50000,$C11,缺陷明细!$Q$2:$Q$50000,"已关闭",缺陷明细!$J$2:$J$50000,"运维测试",缺陷明细!$K$2:$K$50000,"致命")+COUNTIFS(缺陷明细!$A$2:$A$50000,$B$4,缺陷明细!$G$2:$G$50000,$C11,缺陷明细!$Q$2:$Q$50000,"已关闭",缺陷明细!$J$2:$J$50000,"运维测试",缺陷明细!$K$2:$K$50000,"严重")</f>
        <v>0</v>
      </c>
      <c r="AC11" s="68">
        <f t="shared" si="0"/>
        <v>0</v>
      </c>
      <c r="AD11" s="60">
        <f t="shared" si="0"/>
        <v>0</v>
      </c>
      <c r="AE11" s="60">
        <f t="shared" si="1"/>
        <v>0</v>
      </c>
      <c r="AF11" s="60">
        <f t="shared" si="1"/>
        <v>0</v>
      </c>
      <c r="AG11" s="60">
        <f t="shared" si="2"/>
        <v>0</v>
      </c>
      <c r="AH11" s="60">
        <f t="shared" si="2"/>
        <v>0</v>
      </c>
      <c r="AI11" s="60">
        <f t="shared" si="3"/>
        <v>0</v>
      </c>
      <c r="AJ11" s="61">
        <f t="shared" si="3"/>
        <v>0</v>
      </c>
      <c r="AK11" s="144"/>
    </row>
    <row r="12" spans="1:37">
      <c r="A12">
        <v>8</v>
      </c>
      <c r="B12" s="57" t="s">
        <v>477</v>
      </c>
      <c r="C12" s="58" t="s">
        <v>1635</v>
      </c>
      <c r="D12" s="84" t="s">
        <v>1673</v>
      </c>
      <c r="E12" s="82" t="s">
        <v>346</v>
      </c>
      <c r="F12" s="158"/>
      <c r="G12" s="159"/>
      <c r="H12" s="281">
        <f>COUNTIFS(缺陷明细!$A$2:$A$50000,$B$4,缺陷明细!$G$2:$G$50000,$C12,缺陷明细!$J$2:$J$50000,"评审",缺陷明细!$AB$2:$AB$50000,"&lt;&gt;丢弃",缺陷明细!$AB$2:$AB$50000,"&lt;&gt;设计如此",缺陷明细!$AB$2:$AB$50000,"&lt;&gt;重复Bug")</f>
        <v>0</v>
      </c>
      <c r="I12" s="154">
        <f>COUNTIFS(缺陷明细!$A$2:$A$50000,$B$4,缺陷明细!$G$2:$G$50000,$C12,缺陷明细!$Q$2:$Q$50000,"已关闭",缺陷明细!$J$2:$J$50000,"评审")</f>
        <v>0</v>
      </c>
      <c r="J12" s="154">
        <f>COUNTIFS(缺陷明细!$A$2:$A$50000,$B$4,缺陷明细!$G$2:$G$50000,$C12,缺陷明细!$J$2:$J$50000,"单元测试",缺陷明细!$AB$2:$AB$50000,"&lt;&gt;丢弃",缺陷明细!$AB$2:$AB$50000,"&lt;&gt;设计如此",缺陷明细!$AB$2:$AB$50000,"&lt;&gt;重复Bug")</f>
        <v>0</v>
      </c>
      <c r="K12" s="155">
        <f>COUNTIFS(缺陷明细!$A$2:$A$50000,$B$4,缺陷明细!$G$2:$G$50000,$C12,缺陷明细!$Q$2:$Q$50000,"已关闭",缺陷明细!$J$2:$J$50000,"单元测试")</f>
        <v>0</v>
      </c>
      <c r="L12" s="156">
        <v>10</v>
      </c>
      <c r="M12" s="157"/>
      <c r="N12" s="72">
        <f>COUNTIFS(缺陷明细!$A$2:$A$50000,$B$4,缺陷明细!$G$2:$G$50000,$C12,缺陷明细!$J$2:$J$50000,"系统测试案例评审",缺陷明细!$AB$2:$AB$50000,"&lt;&gt;丢弃",缺陷明细!$AB$2:$AB$50000,"&lt;&gt;设计如此",缺陷明细!$AB$2:$AB$50000,"&lt;&gt;重复Bug")</f>
        <v>0</v>
      </c>
      <c r="O12" s="72">
        <f>COUNTIFS(缺陷明细!$A$2:$A$50000,$B$4,缺陷明细!$G$2:$G$50000,$C12,缺陷明细!$Q$2:$Q$50000,"已关闭",缺陷明细!$J$2:$J$50000,"系统测试案例评审")</f>
        <v>0</v>
      </c>
      <c r="P12" s="72">
        <f>COUNTIFS(缺陷明细!$A$2:$A$50000,$B$4,缺陷明细!$G$2:$G$50000,$C12,缺陷明细!$J$2:$J$50000,"系统测试",缺陷明细!$AB$2:$AB$50000,"&lt;&gt;丢弃",缺陷明细!$AB$2:$AB$50000,"&lt;&gt;设计如此",缺陷明细!$AB$2:$AB$50000,"&lt;&gt;重复Bug")</f>
        <v>2</v>
      </c>
      <c r="Q12" s="72">
        <f>COUNTIFS(缺陷明细!$A$2:$A$50000,$B$4,缺陷明细!$G$2:$G$50000,$C12,缺陷明细!$Q$2:$Q$50000,"已关闭",缺陷明细!$J$2:$J$50000,"系统测试")</f>
        <v>1</v>
      </c>
      <c r="R12" s="296">
        <f>COUNTIFS(缺陷明细!$A$2:$A$50000,$B$4,缺陷明细!$G$2:$G$50000,$C12,缺陷明细!$AB$2:$AB$50000,"丢弃",缺陷明细!$J$2:$J$50000,"系统测试")+COUNTIFS(缺陷明细!$A$2:$A$50000,$B$4,缺陷明细!$G$2:$G$50000,$C12,缺陷明细!$AB$2:$AB$50000,"设计如此",缺陷明细!$J$2:$J$50000,"系统测试")+COUNTIFS(缺陷明细!$A$2:$A$50000,$B$4,缺陷明细!$G$2:$G$50000,$C12,缺陷明细!$AB$2:$AB$50000,"重复Bug",缺陷明细!$J$2:$J$50000,"系统测试")</f>
        <v>0</v>
      </c>
      <c r="S12" s="72">
        <f>COUNTIFS(缺陷明细!$A$2:$A$50000,$B$4,缺陷明细!$G$2:$G$50000,$C12,缺陷明细!$J$2:$J$50000,"系统测试",缺陷明细!$K$2:$K$50000,"致命",缺陷明细!$AB$2:$AB$50000,"&lt;&gt;丢弃",缺陷明细!$AB$2:$AB$50000,"&lt;&gt;设计如此",缺陷明细!$AB$2:$AB$50000,"&lt;&gt;重复Bug")+COUNTIFS(缺陷明细!$A$2:$A$50000,$B$4,缺陷明细!$G$2:$G$50000,$C12,缺陷明细!$J$2:$J$50000,"系统测试",缺陷明细!$K$2:$K$50000,"严重",缺陷明细!$AB$2:$AB$50000,"&lt;&gt;丢弃",缺陷明细!$AB$2:$AB$50000,"&lt;&gt;设计如此",缺陷明细!$AB$2:$AB$50000,"&lt;&gt;重复Bug")</f>
        <v>1</v>
      </c>
      <c r="T12" s="73">
        <f>COUNTIFS(缺陷明细!$A$2:$A$50000,$B$4,缺陷明细!$G$2:$G$50000,$C12,缺陷明细!$Q$2:$Q$50000,"已关闭",缺陷明细!$J$2:$J$50000,"系统测试",缺陷明细!$K$2:$K$50000,"致命")+COUNTIFS(缺陷明细!$A$2:$A$50000,$B$4,缺陷明细!$G$2:$G$50000,$C12,缺陷明细!$Q$2:$Q$50000,"已关闭",缺陷明细!$J$2:$J$50000,"系统测试",缺陷明细!$K$2:$K$50000,"严重")</f>
        <v>1</v>
      </c>
      <c r="U12" s="74">
        <f>COUNTIFS(缺陷明细!$A$2:$A$50000,$B$4,缺陷明细!$G$2:$G$50000,$C12,缺陷明细!$J$2:$J$50000,"验收测试",缺陷明细!$AB$2:$AB$50000,"&lt;&gt;丢弃",缺陷明细!$AB$2:$AB$50000,"&lt;&gt;设计如此",缺陷明细!$AB$2:$AB$50000,"&lt;&gt;重复Bug")</f>
        <v>0</v>
      </c>
      <c r="V12" s="75">
        <f>COUNTIFS(缺陷明细!$A$2:$A$50000,$B$4,缺陷明细!$G$2:$G$50000,$C12,缺陷明细!$Q$2:$Q$50000,"已关闭",缺陷明细!$J$2:$J$50000,"验收测试")</f>
        <v>0</v>
      </c>
      <c r="W12" s="75">
        <f>COUNTIFS(缺陷明细!$A$2:$A$50000,$B$4,缺陷明细!$G$2:$G$50000,$C12,缺陷明细!$J$2:$J$50000,"验收测试",缺陷明细!$K$2:$K$50000,"致命",缺陷明细!$AB$2:$AB$50000,"&lt;&gt;丢弃",缺陷明细!$AB$2:$AB$50000,"&lt;&gt;设计如此",缺陷明细!$AB$2:$AB$50000,"&lt;&gt;重复Bug")+COUNTIFS(缺陷明细!$A$2:$A$50000,$B$4,缺陷明细!$G$2:$G$50000,$C12,缺陷明细!$J$2:$J$50000,"验收测试",缺陷明细!$K$2:$K$50000,"严重",缺陷明细!$AB$2:$AB$50000,"&lt;&gt;丢弃",缺陷明细!$AB$2:$AB$50000,"&lt;&gt;设计如此",缺陷明细!$AB$2:$AB$50000,"&lt;&gt;重复Bug")</f>
        <v>0</v>
      </c>
      <c r="X12" s="76">
        <f>COUNTIFS(缺陷明细!$A$2:$A$50000,$B$4,缺陷明细!$G$2:$G$50000,$C12,缺陷明细!$Q$2:$Q$50000,"已关闭",缺陷明细!$J$2:$J$50000,"验收测试",缺陷明细!$K$2:$K$50000,"致命")+COUNTIFS(缺陷明细!$A$2:$A$50000,$B$4,缺陷明细!$G$2:$G$50000,$C12,缺陷明细!$Q$2:$Q$50000,"已关闭",缺陷明细!$J$2:$J$50000,"验收测试",缺陷明细!$K$2:$K$50000,"严重")</f>
        <v>0</v>
      </c>
      <c r="Y12" s="70">
        <f>COUNTIFS(缺陷明细!$A$2:$A$50000,$B$4,缺陷明细!$G$2:$G$50000,$C12,缺陷明细!$J$2:$J$50000,"运维测试",缺陷明细!$AB$2:$AB$50000,"&lt;&gt;丢弃",缺陷明细!$AB$2:$AB$50000,"&lt;&gt;设计如此",缺陷明细!$AB$2:$AB$50000,"&lt;&gt;重复Bug")</f>
        <v>0</v>
      </c>
      <c r="Z12" s="71">
        <f>COUNTIFS(缺陷明细!$A$2:$A$50000,$B$4,缺陷明细!$G$2:$G$50000,$C12,缺陷明细!$Q$2:$Q$50000,"已关闭",缺陷明细!$J$2:$J$50000,"运维测试")</f>
        <v>0</v>
      </c>
      <c r="AA12" s="72">
        <f>COUNTIFS(缺陷明细!$A$2:$A$50000,$B$4,缺陷明细!$G$2:$G$50000,$C12,缺陷明细!$J$2:$J$50000,"运维测试",缺陷明细!$K$2:$K$50000,"致命",缺陷明细!$AB$2:$AB$50000,"&lt;&gt;丢弃",缺陷明细!$AB$2:$AB$50000,"&lt;&gt;设计如此",缺陷明细!$AB$2:$AB$50000,"&lt;&gt;重复Bug")+COUNTIFS(缺陷明细!$A$2:$A$50000,$B$4,缺陷明细!$G$2:$G$50000,$C12,缺陷明细!$J$2:$J$50000,"运维测试",缺陷明细!$K$2:$K$50000,"严重",缺陷明细!$AB$2:$AB$50000,"&lt;&gt;丢弃",缺陷明细!$AB$2:$AB$50000,"&lt;&gt;设计如此",缺陷明细!$AB$2:$AB$50000,"&lt;&gt;重复Bug")</f>
        <v>0</v>
      </c>
      <c r="AB12" s="73">
        <f>COUNTIFS(缺陷明细!$A$2:$A$50000,$B$4,缺陷明细!$G$2:$G$50000,$C12,缺陷明细!$Q$2:$Q$50000,"已关闭",缺陷明细!$J$2:$J$50000,"运维测试",缺陷明细!$K$2:$K$50000,"致命")+COUNTIFS(缺陷明细!$A$2:$A$50000,$B$4,缺陷明细!$G$2:$G$50000,$C12,缺陷明细!$Q$2:$Q$50000,"已关闭",缺陷明细!$J$2:$J$50000,"运维测试",缺陷明细!$K$2:$K$50000,"严重")</f>
        <v>0</v>
      </c>
      <c r="AC12" s="68">
        <f t="shared" si="0"/>
        <v>0</v>
      </c>
      <c r="AD12" s="60">
        <f t="shared" si="0"/>
        <v>0</v>
      </c>
      <c r="AE12" s="60">
        <f t="shared" si="1"/>
        <v>0</v>
      </c>
      <c r="AF12" s="60">
        <f t="shared" si="1"/>
        <v>0</v>
      </c>
      <c r="AG12" s="60">
        <f t="shared" si="2"/>
        <v>2</v>
      </c>
      <c r="AH12" s="60">
        <f t="shared" si="2"/>
        <v>1</v>
      </c>
      <c r="AI12" s="60">
        <f t="shared" si="3"/>
        <v>0</v>
      </c>
      <c r="AJ12" s="61">
        <f t="shared" si="3"/>
        <v>0</v>
      </c>
      <c r="AK12" s="144"/>
    </row>
    <row r="13" spans="1:37">
      <c r="A13">
        <v>9</v>
      </c>
      <c r="B13" s="57" t="s">
        <v>484</v>
      </c>
      <c r="C13" s="58" t="s">
        <v>1636</v>
      </c>
      <c r="D13" s="84" t="s">
        <v>1673</v>
      </c>
      <c r="E13" s="82" t="s">
        <v>346</v>
      </c>
      <c r="F13" s="158"/>
      <c r="G13" s="159"/>
      <c r="H13" s="281">
        <f>COUNTIFS(缺陷明细!$A$2:$A$50000,$B$4,缺陷明细!$G$2:$G$50000,$C13,缺陷明细!$J$2:$J$50000,"评审",缺陷明细!$AB$2:$AB$50000,"&lt;&gt;丢弃",缺陷明细!$AB$2:$AB$50000,"&lt;&gt;设计如此",缺陷明细!$AB$2:$AB$50000,"&lt;&gt;重复Bug")</f>
        <v>0</v>
      </c>
      <c r="I13" s="154">
        <f>COUNTIFS(缺陷明细!$A$2:$A$50000,$B$4,缺陷明细!$G$2:$G$50000,$C13,缺陷明细!$Q$2:$Q$50000,"已关闭",缺陷明细!$J$2:$J$50000,"评审")</f>
        <v>0</v>
      </c>
      <c r="J13" s="154">
        <f>COUNTIFS(缺陷明细!$A$2:$A$50000,$B$4,缺陷明细!$G$2:$G$50000,$C13,缺陷明细!$J$2:$J$50000,"单元测试",缺陷明细!$AB$2:$AB$50000,"&lt;&gt;丢弃",缺陷明细!$AB$2:$AB$50000,"&lt;&gt;设计如此",缺陷明细!$AB$2:$AB$50000,"&lt;&gt;重复Bug")</f>
        <v>0</v>
      </c>
      <c r="K13" s="155">
        <f>COUNTIFS(缺陷明细!$A$2:$A$50000,$B$4,缺陷明细!$G$2:$G$50000,$C13,缺陷明细!$Q$2:$Q$50000,"已关闭",缺陷明细!$J$2:$J$50000,"单元测试")</f>
        <v>0</v>
      </c>
      <c r="L13" s="156">
        <v>14</v>
      </c>
      <c r="M13" s="157"/>
      <c r="N13" s="72">
        <f>COUNTIFS(缺陷明细!$A$2:$A$50000,$B$4,缺陷明细!$G$2:$G$50000,$C13,缺陷明细!$J$2:$J$50000,"系统测试案例评审",缺陷明细!$AB$2:$AB$50000,"&lt;&gt;丢弃",缺陷明细!$AB$2:$AB$50000,"&lt;&gt;设计如此",缺陷明细!$AB$2:$AB$50000,"&lt;&gt;重复Bug")</f>
        <v>0</v>
      </c>
      <c r="O13" s="72">
        <f>COUNTIFS(缺陷明细!$A$2:$A$50000,$B$4,缺陷明细!$G$2:$G$50000,$C13,缺陷明细!$Q$2:$Q$50000,"已关闭",缺陷明细!$J$2:$J$50000,"系统测试案例评审")</f>
        <v>0</v>
      </c>
      <c r="P13" s="72">
        <f>COUNTIFS(缺陷明细!$A$2:$A$50000,$B$4,缺陷明细!$G$2:$G$50000,$C13,缺陷明细!$J$2:$J$50000,"系统测试",缺陷明细!$AB$2:$AB$50000,"&lt;&gt;丢弃",缺陷明细!$AB$2:$AB$50000,"&lt;&gt;设计如此",缺陷明细!$AB$2:$AB$50000,"&lt;&gt;重复Bug")</f>
        <v>0</v>
      </c>
      <c r="Q13" s="72">
        <f>COUNTIFS(缺陷明细!$A$2:$A$50000,$B$4,缺陷明细!$G$2:$G$50000,$C13,缺陷明细!$Q$2:$Q$50000,"已关闭",缺陷明细!$J$2:$J$50000,"系统测试")</f>
        <v>0</v>
      </c>
      <c r="R13" s="296">
        <f>COUNTIFS(缺陷明细!$A$2:$A$50000,$B$4,缺陷明细!$G$2:$G$50000,$C13,缺陷明细!$AB$2:$AB$50000,"丢弃",缺陷明细!$J$2:$J$50000,"系统测试")+COUNTIFS(缺陷明细!$A$2:$A$50000,$B$4,缺陷明细!$G$2:$G$50000,$C13,缺陷明细!$AB$2:$AB$50000,"设计如此",缺陷明细!$J$2:$J$50000,"系统测试")+COUNTIFS(缺陷明细!$A$2:$A$50000,$B$4,缺陷明细!$G$2:$G$50000,$C13,缺陷明细!$AB$2:$AB$50000,"重复Bug",缺陷明细!$J$2:$J$50000,"系统测试")</f>
        <v>0</v>
      </c>
      <c r="S13" s="72">
        <f>COUNTIFS(缺陷明细!$A$2:$A$50000,$B$4,缺陷明细!$G$2:$G$50000,$C13,缺陷明细!$J$2:$J$50000,"系统测试",缺陷明细!$K$2:$K$50000,"致命",缺陷明细!$AB$2:$AB$50000,"&lt;&gt;丢弃",缺陷明细!$AB$2:$AB$50000,"&lt;&gt;设计如此",缺陷明细!$AB$2:$AB$50000,"&lt;&gt;重复Bug")+COUNTIFS(缺陷明细!$A$2:$A$50000,$B$4,缺陷明细!$G$2:$G$50000,$C13,缺陷明细!$J$2:$J$50000,"系统测试",缺陷明细!$K$2:$K$50000,"严重",缺陷明细!$AB$2:$AB$50000,"&lt;&gt;丢弃",缺陷明细!$AB$2:$AB$50000,"&lt;&gt;设计如此",缺陷明细!$AB$2:$AB$50000,"&lt;&gt;重复Bug")</f>
        <v>0</v>
      </c>
      <c r="T13" s="73">
        <f>COUNTIFS(缺陷明细!$A$2:$A$50000,$B$4,缺陷明细!$G$2:$G$50000,$C13,缺陷明细!$Q$2:$Q$50000,"已关闭",缺陷明细!$J$2:$J$50000,"系统测试",缺陷明细!$K$2:$K$50000,"致命")+COUNTIFS(缺陷明细!$A$2:$A$50000,$B$4,缺陷明细!$G$2:$G$50000,$C13,缺陷明细!$Q$2:$Q$50000,"已关闭",缺陷明细!$J$2:$J$50000,"系统测试",缺陷明细!$K$2:$K$50000,"严重")</f>
        <v>0</v>
      </c>
      <c r="U13" s="74">
        <f>COUNTIFS(缺陷明细!$A$2:$A$50000,$B$4,缺陷明细!$G$2:$G$50000,$C13,缺陷明细!$J$2:$J$50000,"验收测试",缺陷明细!$AB$2:$AB$50000,"&lt;&gt;丢弃",缺陷明细!$AB$2:$AB$50000,"&lt;&gt;设计如此",缺陷明细!$AB$2:$AB$50000,"&lt;&gt;重复Bug")</f>
        <v>0</v>
      </c>
      <c r="V13" s="75">
        <f>COUNTIFS(缺陷明细!$A$2:$A$50000,$B$4,缺陷明细!$G$2:$G$50000,$C13,缺陷明细!$Q$2:$Q$50000,"已关闭",缺陷明细!$J$2:$J$50000,"验收测试")</f>
        <v>0</v>
      </c>
      <c r="W13" s="75">
        <f>COUNTIFS(缺陷明细!$A$2:$A$50000,$B$4,缺陷明细!$G$2:$G$50000,$C13,缺陷明细!$J$2:$J$50000,"验收测试",缺陷明细!$K$2:$K$50000,"致命",缺陷明细!$AB$2:$AB$50000,"&lt;&gt;丢弃",缺陷明细!$AB$2:$AB$50000,"&lt;&gt;设计如此",缺陷明细!$AB$2:$AB$50000,"&lt;&gt;重复Bug")+COUNTIFS(缺陷明细!$A$2:$A$50000,$B$4,缺陷明细!$G$2:$G$50000,$C13,缺陷明细!$J$2:$J$50000,"验收测试",缺陷明细!$K$2:$K$50000,"严重",缺陷明细!$AB$2:$AB$50000,"&lt;&gt;丢弃",缺陷明细!$AB$2:$AB$50000,"&lt;&gt;设计如此",缺陷明细!$AB$2:$AB$50000,"&lt;&gt;重复Bug")</f>
        <v>0</v>
      </c>
      <c r="X13" s="76">
        <f>COUNTIFS(缺陷明细!$A$2:$A$50000,$B$4,缺陷明细!$G$2:$G$50000,$C13,缺陷明细!$Q$2:$Q$50000,"已关闭",缺陷明细!$J$2:$J$50000,"验收测试",缺陷明细!$K$2:$K$50000,"致命")+COUNTIFS(缺陷明细!$A$2:$A$50000,$B$4,缺陷明细!$G$2:$G$50000,$C13,缺陷明细!$Q$2:$Q$50000,"已关闭",缺陷明细!$J$2:$J$50000,"验收测试",缺陷明细!$K$2:$K$50000,"严重")</f>
        <v>0</v>
      </c>
      <c r="Y13" s="70">
        <f>COUNTIFS(缺陷明细!$A$2:$A$50000,$B$4,缺陷明细!$G$2:$G$50000,$C13,缺陷明细!$J$2:$J$50000,"运维测试",缺陷明细!$AB$2:$AB$50000,"&lt;&gt;丢弃",缺陷明细!$AB$2:$AB$50000,"&lt;&gt;设计如此",缺陷明细!$AB$2:$AB$50000,"&lt;&gt;重复Bug")</f>
        <v>0</v>
      </c>
      <c r="Z13" s="71">
        <f>COUNTIFS(缺陷明细!$A$2:$A$50000,$B$4,缺陷明细!$G$2:$G$50000,$C13,缺陷明细!$Q$2:$Q$50000,"已关闭",缺陷明细!$J$2:$J$50000,"运维测试")</f>
        <v>0</v>
      </c>
      <c r="AA13" s="72">
        <f>COUNTIFS(缺陷明细!$A$2:$A$50000,$B$4,缺陷明细!$G$2:$G$50000,$C13,缺陷明细!$J$2:$J$50000,"运维测试",缺陷明细!$K$2:$K$50000,"致命",缺陷明细!$AB$2:$AB$50000,"&lt;&gt;丢弃",缺陷明细!$AB$2:$AB$50000,"&lt;&gt;设计如此",缺陷明细!$AB$2:$AB$50000,"&lt;&gt;重复Bug")+COUNTIFS(缺陷明细!$A$2:$A$50000,$B$4,缺陷明细!$G$2:$G$50000,$C13,缺陷明细!$J$2:$J$50000,"运维测试",缺陷明细!$K$2:$K$50000,"严重",缺陷明细!$AB$2:$AB$50000,"&lt;&gt;丢弃",缺陷明细!$AB$2:$AB$50000,"&lt;&gt;设计如此",缺陷明细!$AB$2:$AB$50000,"&lt;&gt;重复Bug")</f>
        <v>0</v>
      </c>
      <c r="AB13" s="73">
        <f>COUNTIFS(缺陷明细!$A$2:$A$50000,$B$4,缺陷明细!$G$2:$G$50000,$C13,缺陷明细!$Q$2:$Q$50000,"已关闭",缺陷明细!$J$2:$J$50000,"运维测试",缺陷明细!$K$2:$K$50000,"致命")+COUNTIFS(缺陷明细!$A$2:$A$50000,$B$4,缺陷明细!$G$2:$G$50000,$C13,缺陷明细!$Q$2:$Q$50000,"已关闭",缺陷明细!$J$2:$J$50000,"运维测试",缺陷明细!$K$2:$K$50000,"严重")</f>
        <v>0</v>
      </c>
      <c r="AC13" s="68">
        <f t="shared" si="0"/>
        <v>0</v>
      </c>
      <c r="AD13" s="60">
        <f t="shared" si="0"/>
        <v>0</v>
      </c>
      <c r="AE13" s="60">
        <f t="shared" si="1"/>
        <v>0</v>
      </c>
      <c r="AF13" s="60">
        <f t="shared" si="1"/>
        <v>0</v>
      </c>
      <c r="AG13" s="60">
        <f t="shared" si="2"/>
        <v>0</v>
      </c>
      <c r="AH13" s="60">
        <f t="shared" si="2"/>
        <v>0</v>
      </c>
      <c r="AI13" s="60">
        <f t="shared" si="3"/>
        <v>0</v>
      </c>
      <c r="AJ13" s="61">
        <f t="shared" si="3"/>
        <v>0</v>
      </c>
      <c r="AK13" s="144"/>
    </row>
    <row r="14" spans="1:37">
      <c r="A14">
        <v>10</v>
      </c>
      <c r="B14" s="57" t="s">
        <v>1621</v>
      </c>
      <c r="C14" s="58" t="s">
        <v>1637</v>
      </c>
      <c r="D14" s="84" t="s">
        <v>1673</v>
      </c>
      <c r="E14" s="82" t="s">
        <v>346</v>
      </c>
      <c r="F14" s="158"/>
      <c r="G14" s="159"/>
      <c r="H14" s="281">
        <f>COUNTIFS(缺陷明细!$A$2:$A$50000,$B$4,缺陷明细!$G$2:$G$50000,$C14,缺陷明细!$J$2:$J$50000,"评审",缺陷明细!$AB$2:$AB$50000,"&lt;&gt;丢弃",缺陷明细!$AB$2:$AB$50000,"&lt;&gt;设计如此",缺陷明细!$AB$2:$AB$50000,"&lt;&gt;重复Bug")</f>
        <v>0</v>
      </c>
      <c r="I14" s="154">
        <f>COUNTIFS(缺陷明细!$A$2:$A$50000,$B$4,缺陷明细!$G$2:$G$50000,$C14,缺陷明细!$Q$2:$Q$50000,"已关闭",缺陷明细!$J$2:$J$50000,"评审")</f>
        <v>0</v>
      </c>
      <c r="J14" s="154">
        <f>COUNTIFS(缺陷明细!$A$2:$A$50000,$B$4,缺陷明细!$G$2:$G$50000,$C14,缺陷明细!$J$2:$J$50000,"单元测试",缺陷明细!$AB$2:$AB$50000,"&lt;&gt;丢弃",缺陷明细!$AB$2:$AB$50000,"&lt;&gt;设计如此",缺陷明细!$AB$2:$AB$50000,"&lt;&gt;重复Bug")</f>
        <v>0</v>
      </c>
      <c r="K14" s="155">
        <f>COUNTIFS(缺陷明细!$A$2:$A$50000,$B$4,缺陷明细!$G$2:$G$50000,$C14,缺陷明细!$Q$2:$Q$50000,"已关闭",缺陷明细!$J$2:$J$50000,"单元测试")</f>
        <v>0</v>
      </c>
      <c r="L14" s="156">
        <v>2</v>
      </c>
      <c r="M14" s="157"/>
      <c r="N14" s="72">
        <f>COUNTIFS(缺陷明细!$A$2:$A$50000,$B$4,缺陷明细!$G$2:$G$50000,$C14,缺陷明细!$J$2:$J$50000,"系统测试案例评审",缺陷明细!$AB$2:$AB$50000,"&lt;&gt;丢弃",缺陷明细!$AB$2:$AB$50000,"&lt;&gt;设计如此",缺陷明细!$AB$2:$AB$50000,"&lt;&gt;重复Bug")</f>
        <v>0</v>
      </c>
      <c r="O14" s="72">
        <f>COUNTIFS(缺陷明细!$A$2:$A$50000,$B$4,缺陷明细!$G$2:$G$50000,$C14,缺陷明细!$Q$2:$Q$50000,"已关闭",缺陷明细!$J$2:$J$50000,"系统测试案例评审")</f>
        <v>0</v>
      </c>
      <c r="P14" s="72">
        <f>COUNTIFS(缺陷明细!$A$2:$A$50000,$B$4,缺陷明细!$G$2:$G$50000,$C14,缺陷明细!$J$2:$J$50000,"系统测试",缺陷明细!$AB$2:$AB$50000,"&lt;&gt;丢弃",缺陷明细!$AB$2:$AB$50000,"&lt;&gt;设计如此",缺陷明细!$AB$2:$AB$50000,"&lt;&gt;重复Bug")</f>
        <v>0</v>
      </c>
      <c r="Q14" s="72">
        <f>COUNTIFS(缺陷明细!$A$2:$A$50000,$B$4,缺陷明细!$G$2:$G$50000,$C14,缺陷明细!$Q$2:$Q$50000,"已关闭",缺陷明细!$J$2:$J$50000,"系统测试")</f>
        <v>0</v>
      </c>
      <c r="R14" s="296">
        <f>COUNTIFS(缺陷明细!$A$2:$A$50000,$B$4,缺陷明细!$G$2:$G$50000,$C14,缺陷明细!$AB$2:$AB$50000,"丢弃",缺陷明细!$J$2:$J$50000,"系统测试")+COUNTIFS(缺陷明细!$A$2:$A$50000,$B$4,缺陷明细!$G$2:$G$50000,$C14,缺陷明细!$AB$2:$AB$50000,"设计如此",缺陷明细!$J$2:$J$50000,"系统测试")+COUNTIFS(缺陷明细!$A$2:$A$50000,$B$4,缺陷明细!$G$2:$G$50000,$C14,缺陷明细!$AB$2:$AB$50000,"重复Bug",缺陷明细!$J$2:$J$50000,"系统测试")</f>
        <v>0</v>
      </c>
      <c r="S14" s="72">
        <f>COUNTIFS(缺陷明细!$A$2:$A$50000,$B$4,缺陷明细!$G$2:$G$50000,$C14,缺陷明细!$J$2:$J$50000,"系统测试",缺陷明细!$K$2:$K$50000,"致命",缺陷明细!$AB$2:$AB$50000,"&lt;&gt;丢弃",缺陷明细!$AB$2:$AB$50000,"&lt;&gt;设计如此",缺陷明细!$AB$2:$AB$50000,"&lt;&gt;重复Bug")+COUNTIFS(缺陷明细!$A$2:$A$50000,$B$4,缺陷明细!$G$2:$G$50000,$C14,缺陷明细!$J$2:$J$50000,"系统测试",缺陷明细!$K$2:$K$50000,"严重",缺陷明细!$AB$2:$AB$50000,"&lt;&gt;丢弃",缺陷明细!$AB$2:$AB$50000,"&lt;&gt;设计如此",缺陷明细!$AB$2:$AB$50000,"&lt;&gt;重复Bug")</f>
        <v>0</v>
      </c>
      <c r="T14" s="73">
        <f>COUNTIFS(缺陷明细!$A$2:$A$50000,$B$4,缺陷明细!$G$2:$G$50000,$C14,缺陷明细!$Q$2:$Q$50000,"已关闭",缺陷明细!$J$2:$J$50000,"系统测试",缺陷明细!$K$2:$K$50000,"致命")+COUNTIFS(缺陷明细!$A$2:$A$50000,$B$4,缺陷明细!$G$2:$G$50000,$C14,缺陷明细!$Q$2:$Q$50000,"已关闭",缺陷明细!$J$2:$J$50000,"系统测试",缺陷明细!$K$2:$K$50000,"严重")</f>
        <v>0</v>
      </c>
      <c r="U14" s="74">
        <f>COUNTIFS(缺陷明细!$A$2:$A$50000,$B$4,缺陷明细!$G$2:$G$50000,$C14,缺陷明细!$J$2:$J$50000,"验收测试",缺陷明细!$AB$2:$AB$50000,"&lt;&gt;丢弃",缺陷明细!$AB$2:$AB$50000,"&lt;&gt;设计如此",缺陷明细!$AB$2:$AB$50000,"&lt;&gt;重复Bug")</f>
        <v>0</v>
      </c>
      <c r="V14" s="75">
        <f>COUNTIFS(缺陷明细!$A$2:$A$50000,$B$4,缺陷明细!$G$2:$G$50000,$C14,缺陷明细!$Q$2:$Q$50000,"已关闭",缺陷明细!$J$2:$J$50000,"验收测试")</f>
        <v>0</v>
      </c>
      <c r="W14" s="75">
        <f>COUNTIFS(缺陷明细!$A$2:$A$50000,$B$4,缺陷明细!$G$2:$G$50000,$C14,缺陷明细!$J$2:$J$50000,"验收测试",缺陷明细!$K$2:$K$50000,"致命",缺陷明细!$AB$2:$AB$50000,"&lt;&gt;丢弃",缺陷明细!$AB$2:$AB$50000,"&lt;&gt;设计如此",缺陷明细!$AB$2:$AB$50000,"&lt;&gt;重复Bug")+COUNTIFS(缺陷明细!$A$2:$A$50000,$B$4,缺陷明细!$G$2:$G$50000,$C14,缺陷明细!$J$2:$J$50000,"验收测试",缺陷明细!$K$2:$K$50000,"严重",缺陷明细!$AB$2:$AB$50000,"&lt;&gt;丢弃",缺陷明细!$AB$2:$AB$50000,"&lt;&gt;设计如此",缺陷明细!$AB$2:$AB$50000,"&lt;&gt;重复Bug")</f>
        <v>0</v>
      </c>
      <c r="X14" s="76">
        <f>COUNTIFS(缺陷明细!$A$2:$A$50000,$B$4,缺陷明细!$G$2:$G$50000,$C14,缺陷明细!$Q$2:$Q$50000,"已关闭",缺陷明细!$J$2:$J$50000,"验收测试",缺陷明细!$K$2:$K$50000,"致命")+COUNTIFS(缺陷明细!$A$2:$A$50000,$B$4,缺陷明细!$G$2:$G$50000,$C14,缺陷明细!$Q$2:$Q$50000,"已关闭",缺陷明细!$J$2:$J$50000,"验收测试",缺陷明细!$K$2:$K$50000,"严重")</f>
        <v>0</v>
      </c>
      <c r="Y14" s="70">
        <f>COUNTIFS(缺陷明细!$A$2:$A$50000,$B$4,缺陷明细!$G$2:$G$50000,$C14,缺陷明细!$J$2:$J$50000,"运维测试",缺陷明细!$AB$2:$AB$50000,"&lt;&gt;丢弃",缺陷明细!$AB$2:$AB$50000,"&lt;&gt;设计如此",缺陷明细!$AB$2:$AB$50000,"&lt;&gt;重复Bug")</f>
        <v>0</v>
      </c>
      <c r="Z14" s="71">
        <f>COUNTIFS(缺陷明细!$A$2:$A$50000,$B$4,缺陷明细!$G$2:$G$50000,$C14,缺陷明细!$Q$2:$Q$50000,"已关闭",缺陷明细!$J$2:$J$50000,"运维测试")</f>
        <v>0</v>
      </c>
      <c r="AA14" s="72">
        <f>COUNTIFS(缺陷明细!$A$2:$A$50000,$B$4,缺陷明细!$G$2:$G$50000,$C14,缺陷明细!$J$2:$J$50000,"运维测试",缺陷明细!$K$2:$K$50000,"致命",缺陷明细!$AB$2:$AB$50000,"&lt;&gt;丢弃",缺陷明细!$AB$2:$AB$50000,"&lt;&gt;设计如此",缺陷明细!$AB$2:$AB$50000,"&lt;&gt;重复Bug")+COUNTIFS(缺陷明细!$A$2:$A$50000,$B$4,缺陷明细!$G$2:$G$50000,$C14,缺陷明细!$J$2:$J$50000,"运维测试",缺陷明细!$K$2:$K$50000,"严重",缺陷明细!$AB$2:$AB$50000,"&lt;&gt;丢弃",缺陷明细!$AB$2:$AB$50000,"&lt;&gt;设计如此",缺陷明细!$AB$2:$AB$50000,"&lt;&gt;重复Bug")</f>
        <v>0</v>
      </c>
      <c r="AB14" s="73">
        <f>COUNTIFS(缺陷明细!$A$2:$A$50000,$B$4,缺陷明细!$G$2:$G$50000,$C14,缺陷明细!$Q$2:$Q$50000,"已关闭",缺陷明细!$J$2:$J$50000,"运维测试",缺陷明细!$K$2:$K$50000,"致命")+COUNTIFS(缺陷明细!$A$2:$A$50000,$B$4,缺陷明细!$G$2:$G$50000,$C14,缺陷明细!$Q$2:$Q$50000,"已关闭",缺陷明细!$J$2:$J$50000,"运维测试",缺陷明细!$K$2:$K$50000,"严重")</f>
        <v>0</v>
      </c>
      <c r="AC14" s="68">
        <f t="shared" si="0"/>
        <v>0</v>
      </c>
      <c r="AD14" s="60">
        <f t="shared" si="0"/>
        <v>0</v>
      </c>
      <c r="AE14" s="60">
        <f t="shared" si="1"/>
        <v>0</v>
      </c>
      <c r="AF14" s="60">
        <f t="shared" si="1"/>
        <v>0</v>
      </c>
      <c r="AG14" s="60">
        <f t="shared" si="2"/>
        <v>0</v>
      </c>
      <c r="AH14" s="60">
        <f t="shared" si="2"/>
        <v>0</v>
      </c>
      <c r="AI14" s="60">
        <f t="shared" si="3"/>
        <v>0</v>
      </c>
      <c r="AJ14" s="61">
        <f t="shared" si="3"/>
        <v>0</v>
      </c>
      <c r="AK14" s="144"/>
    </row>
    <row r="15" spans="1:37">
      <c r="A15">
        <v>11</v>
      </c>
      <c r="B15" s="57" t="s">
        <v>488</v>
      </c>
      <c r="C15" s="58" t="s">
        <v>1638</v>
      </c>
      <c r="D15" s="84" t="s">
        <v>1673</v>
      </c>
      <c r="E15" s="82" t="s">
        <v>346</v>
      </c>
      <c r="F15" s="158"/>
      <c r="G15" s="159"/>
      <c r="H15" s="281">
        <f>COUNTIFS(缺陷明细!$A$2:$A$50000,$B$4,缺陷明细!$G$2:$G$50000,$C15,缺陷明细!$J$2:$J$50000,"评审",缺陷明细!$AB$2:$AB$50000,"&lt;&gt;丢弃",缺陷明细!$AB$2:$AB$50000,"&lt;&gt;设计如此",缺陷明细!$AB$2:$AB$50000,"&lt;&gt;重复Bug")</f>
        <v>0</v>
      </c>
      <c r="I15" s="154">
        <f>COUNTIFS(缺陷明细!$A$2:$A$50000,$B$4,缺陷明细!$G$2:$G$50000,$C15,缺陷明细!$Q$2:$Q$50000,"已关闭",缺陷明细!$J$2:$J$50000,"评审")</f>
        <v>0</v>
      </c>
      <c r="J15" s="154">
        <f>COUNTIFS(缺陷明细!$A$2:$A$50000,$B$4,缺陷明细!$G$2:$G$50000,$C15,缺陷明细!$J$2:$J$50000,"单元测试",缺陷明细!$AB$2:$AB$50000,"&lt;&gt;丢弃",缺陷明细!$AB$2:$AB$50000,"&lt;&gt;设计如此",缺陷明细!$AB$2:$AB$50000,"&lt;&gt;重复Bug")</f>
        <v>0</v>
      </c>
      <c r="K15" s="155">
        <f>COUNTIFS(缺陷明细!$A$2:$A$50000,$B$4,缺陷明细!$G$2:$G$50000,$C15,缺陷明细!$Q$2:$Q$50000,"已关闭",缺陷明细!$J$2:$J$50000,"单元测试")</f>
        <v>0</v>
      </c>
      <c r="L15" s="156">
        <v>7</v>
      </c>
      <c r="M15" s="157"/>
      <c r="N15" s="72">
        <f>COUNTIFS(缺陷明细!$A$2:$A$50000,$B$4,缺陷明细!$G$2:$G$50000,$C15,缺陷明细!$J$2:$J$50000,"系统测试案例评审",缺陷明细!$AB$2:$AB$50000,"&lt;&gt;丢弃",缺陷明细!$AB$2:$AB$50000,"&lt;&gt;设计如此",缺陷明细!$AB$2:$AB$50000,"&lt;&gt;重复Bug")</f>
        <v>0</v>
      </c>
      <c r="O15" s="72">
        <f>COUNTIFS(缺陷明细!$A$2:$A$50000,$B$4,缺陷明细!$G$2:$G$50000,$C15,缺陷明细!$Q$2:$Q$50000,"已关闭",缺陷明细!$J$2:$J$50000,"系统测试案例评审")</f>
        <v>0</v>
      </c>
      <c r="P15" s="72">
        <f>COUNTIFS(缺陷明细!$A$2:$A$50000,$B$4,缺陷明细!$G$2:$G$50000,$C15,缺陷明细!$J$2:$J$50000,"系统测试",缺陷明细!$AB$2:$AB$50000,"&lt;&gt;丢弃",缺陷明细!$AB$2:$AB$50000,"&lt;&gt;设计如此",缺陷明细!$AB$2:$AB$50000,"&lt;&gt;重复Bug")</f>
        <v>0</v>
      </c>
      <c r="Q15" s="72">
        <f>COUNTIFS(缺陷明细!$A$2:$A$50000,$B$4,缺陷明细!$G$2:$G$50000,$C15,缺陷明细!$Q$2:$Q$50000,"已关闭",缺陷明细!$J$2:$J$50000,"系统测试")</f>
        <v>0</v>
      </c>
      <c r="R15" s="296">
        <f>COUNTIFS(缺陷明细!$A$2:$A$50000,$B$4,缺陷明细!$G$2:$G$50000,$C15,缺陷明细!$AB$2:$AB$50000,"丢弃",缺陷明细!$J$2:$J$50000,"系统测试")+COUNTIFS(缺陷明细!$A$2:$A$50000,$B$4,缺陷明细!$G$2:$G$50000,$C15,缺陷明细!$AB$2:$AB$50000,"设计如此",缺陷明细!$J$2:$J$50000,"系统测试")+COUNTIFS(缺陷明细!$A$2:$A$50000,$B$4,缺陷明细!$G$2:$G$50000,$C15,缺陷明细!$AB$2:$AB$50000,"重复Bug",缺陷明细!$J$2:$J$50000,"系统测试")</f>
        <v>0</v>
      </c>
      <c r="S15" s="72">
        <f>COUNTIFS(缺陷明细!$A$2:$A$50000,$B$4,缺陷明细!$G$2:$G$50000,$C15,缺陷明细!$J$2:$J$50000,"系统测试",缺陷明细!$K$2:$K$50000,"致命",缺陷明细!$AB$2:$AB$50000,"&lt;&gt;丢弃",缺陷明细!$AB$2:$AB$50000,"&lt;&gt;设计如此",缺陷明细!$AB$2:$AB$50000,"&lt;&gt;重复Bug")+COUNTIFS(缺陷明细!$A$2:$A$50000,$B$4,缺陷明细!$G$2:$G$50000,$C15,缺陷明细!$J$2:$J$50000,"系统测试",缺陷明细!$K$2:$K$50000,"严重",缺陷明细!$AB$2:$AB$50000,"&lt;&gt;丢弃",缺陷明细!$AB$2:$AB$50000,"&lt;&gt;设计如此",缺陷明细!$AB$2:$AB$50000,"&lt;&gt;重复Bug")</f>
        <v>0</v>
      </c>
      <c r="T15" s="73">
        <f>COUNTIFS(缺陷明细!$A$2:$A$50000,$B$4,缺陷明细!$G$2:$G$50000,$C15,缺陷明细!$Q$2:$Q$50000,"已关闭",缺陷明细!$J$2:$J$50000,"系统测试",缺陷明细!$K$2:$K$50000,"致命")+COUNTIFS(缺陷明细!$A$2:$A$50000,$B$4,缺陷明细!$G$2:$G$50000,$C15,缺陷明细!$Q$2:$Q$50000,"已关闭",缺陷明细!$J$2:$J$50000,"系统测试",缺陷明细!$K$2:$K$50000,"严重")</f>
        <v>0</v>
      </c>
      <c r="U15" s="74">
        <f>COUNTIFS(缺陷明细!$A$2:$A$50000,$B$4,缺陷明细!$G$2:$G$50000,$C15,缺陷明细!$J$2:$J$50000,"验收测试",缺陷明细!$AB$2:$AB$50000,"&lt;&gt;丢弃",缺陷明细!$AB$2:$AB$50000,"&lt;&gt;设计如此",缺陷明细!$AB$2:$AB$50000,"&lt;&gt;重复Bug")</f>
        <v>0</v>
      </c>
      <c r="V15" s="75">
        <f>COUNTIFS(缺陷明细!$A$2:$A$50000,$B$4,缺陷明细!$G$2:$G$50000,$C15,缺陷明细!$Q$2:$Q$50000,"已关闭",缺陷明细!$J$2:$J$50000,"验收测试")</f>
        <v>0</v>
      </c>
      <c r="W15" s="75">
        <f>COUNTIFS(缺陷明细!$A$2:$A$50000,$B$4,缺陷明细!$G$2:$G$50000,$C15,缺陷明细!$J$2:$J$50000,"验收测试",缺陷明细!$K$2:$K$50000,"致命",缺陷明细!$AB$2:$AB$50000,"&lt;&gt;丢弃",缺陷明细!$AB$2:$AB$50000,"&lt;&gt;设计如此",缺陷明细!$AB$2:$AB$50000,"&lt;&gt;重复Bug")+COUNTIFS(缺陷明细!$A$2:$A$50000,$B$4,缺陷明细!$G$2:$G$50000,$C15,缺陷明细!$J$2:$J$50000,"验收测试",缺陷明细!$K$2:$K$50000,"严重",缺陷明细!$AB$2:$AB$50000,"&lt;&gt;丢弃",缺陷明细!$AB$2:$AB$50000,"&lt;&gt;设计如此",缺陷明细!$AB$2:$AB$50000,"&lt;&gt;重复Bug")</f>
        <v>0</v>
      </c>
      <c r="X15" s="76">
        <f>COUNTIFS(缺陷明细!$A$2:$A$50000,$B$4,缺陷明细!$G$2:$G$50000,$C15,缺陷明细!$Q$2:$Q$50000,"已关闭",缺陷明细!$J$2:$J$50000,"验收测试",缺陷明细!$K$2:$K$50000,"致命")+COUNTIFS(缺陷明细!$A$2:$A$50000,$B$4,缺陷明细!$G$2:$G$50000,$C15,缺陷明细!$Q$2:$Q$50000,"已关闭",缺陷明细!$J$2:$J$50000,"验收测试",缺陷明细!$K$2:$K$50000,"严重")</f>
        <v>0</v>
      </c>
      <c r="Y15" s="70">
        <f>COUNTIFS(缺陷明细!$A$2:$A$50000,$B$4,缺陷明细!$G$2:$G$50000,$C15,缺陷明细!$J$2:$J$50000,"运维测试",缺陷明细!$AB$2:$AB$50000,"&lt;&gt;丢弃",缺陷明细!$AB$2:$AB$50000,"&lt;&gt;设计如此",缺陷明细!$AB$2:$AB$50000,"&lt;&gt;重复Bug")</f>
        <v>0</v>
      </c>
      <c r="Z15" s="71">
        <f>COUNTIFS(缺陷明细!$A$2:$A$50000,$B$4,缺陷明细!$G$2:$G$50000,$C15,缺陷明细!$Q$2:$Q$50000,"已关闭",缺陷明细!$J$2:$J$50000,"运维测试")</f>
        <v>0</v>
      </c>
      <c r="AA15" s="72">
        <f>COUNTIFS(缺陷明细!$A$2:$A$50000,$B$4,缺陷明细!$G$2:$G$50000,$C15,缺陷明细!$J$2:$J$50000,"运维测试",缺陷明细!$K$2:$K$50000,"致命",缺陷明细!$AB$2:$AB$50000,"&lt;&gt;丢弃",缺陷明细!$AB$2:$AB$50000,"&lt;&gt;设计如此",缺陷明细!$AB$2:$AB$50000,"&lt;&gt;重复Bug")+COUNTIFS(缺陷明细!$A$2:$A$50000,$B$4,缺陷明细!$G$2:$G$50000,$C15,缺陷明细!$J$2:$J$50000,"运维测试",缺陷明细!$K$2:$K$50000,"严重",缺陷明细!$AB$2:$AB$50000,"&lt;&gt;丢弃",缺陷明细!$AB$2:$AB$50000,"&lt;&gt;设计如此",缺陷明细!$AB$2:$AB$50000,"&lt;&gt;重复Bug")</f>
        <v>0</v>
      </c>
      <c r="AB15" s="73">
        <f>COUNTIFS(缺陷明细!$A$2:$A$50000,$B$4,缺陷明细!$G$2:$G$50000,$C15,缺陷明细!$Q$2:$Q$50000,"已关闭",缺陷明细!$J$2:$J$50000,"运维测试",缺陷明细!$K$2:$K$50000,"致命")+COUNTIFS(缺陷明细!$A$2:$A$50000,$B$4,缺陷明细!$G$2:$G$50000,$C15,缺陷明细!$Q$2:$Q$50000,"已关闭",缺陷明细!$J$2:$J$50000,"运维测试",缺陷明细!$K$2:$K$50000,"严重")</f>
        <v>0</v>
      </c>
      <c r="AC15" s="68">
        <f t="shared" si="0"/>
        <v>0</v>
      </c>
      <c r="AD15" s="60">
        <f t="shared" si="0"/>
        <v>0</v>
      </c>
      <c r="AE15" s="60">
        <f t="shared" si="1"/>
        <v>0</v>
      </c>
      <c r="AF15" s="60">
        <f t="shared" si="1"/>
        <v>0</v>
      </c>
      <c r="AG15" s="60">
        <f t="shared" si="2"/>
        <v>0</v>
      </c>
      <c r="AH15" s="60">
        <f t="shared" si="2"/>
        <v>0</v>
      </c>
      <c r="AI15" s="60">
        <f t="shared" si="3"/>
        <v>0</v>
      </c>
      <c r="AJ15" s="61">
        <f t="shared" si="3"/>
        <v>0</v>
      </c>
      <c r="AK15" s="144"/>
    </row>
    <row r="16" spans="1:37">
      <c r="A16">
        <v>12</v>
      </c>
      <c r="B16" s="57" t="s">
        <v>495</v>
      </c>
      <c r="C16" s="58" t="s">
        <v>1639</v>
      </c>
      <c r="D16" s="84" t="s">
        <v>1673</v>
      </c>
      <c r="E16" s="82" t="s">
        <v>346</v>
      </c>
      <c r="F16" s="158"/>
      <c r="G16" s="159"/>
      <c r="H16" s="281">
        <f>COUNTIFS(缺陷明细!$A$2:$A$50000,$B$4,缺陷明细!$G$2:$G$50000,$C16,缺陷明细!$J$2:$J$50000,"评审",缺陷明细!$AB$2:$AB$50000,"&lt;&gt;丢弃",缺陷明细!$AB$2:$AB$50000,"&lt;&gt;设计如此",缺陷明细!$AB$2:$AB$50000,"&lt;&gt;重复Bug")</f>
        <v>0</v>
      </c>
      <c r="I16" s="154">
        <f>COUNTIFS(缺陷明细!$A$2:$A$50000,$B$4,缺陷明细!$G$2:$G$50000,$C16,缺陷明细!$Q$2:$Q$50000,"已关闭",缺陷明细!$J$2:$J$50000,"评审")</f>
        <v>0</v>
      </c>
      <c r="J16" s="154">
        <f>COUNTIFS(缺陷明细!$A$2:$A$50000,$B$4,缺陷明细!$G$2:$G$50000,$C16,缺陷明细!$J$2:$J$50000,"单元测试",缺陷明细!$AB$2:$AB$50000,"&lt;&gt;丢弃",缺陷明细!$AB$2:$AB$50000,"&lt;&gt;设计如此",缺陷明细!$AB$2:$AB$50000,"&lt;&gt;重复Bug")</f>
        <v>0</v>
      </c>
      <c r="K16" s="155">
        <f>COUNTIFS(缺陷明细!$A$2:$A$50000,$B$4,缺陷明细!$G$2:$G$50000,$C16,缺陷明细!$Q$2:$Q$50000,"已关闭",缺陷明细!$J$2:$J$50000,"单元测试")</f>
        <v>0</v>
      </c>
      <c r="L16" s="156">
        <v>11</v>
      </c>
      <c r="M16" s="157"/>
      <c r="N16" s="72">
        <f>COUNTIFS(缺陷明细!$A$2:$A$50000,$B$4,缺陷明细!$G$2:$G$50000,$C16,缺陷明细!$J$2:$J$50000,"系统测试案例评审",缺陷明细!$AB$2:$AB$50000,"&lt;&gt;丢弃",缺陷明细!$AB$2:$AB$50000,"&lt;&gt;设计如此",缺陷明细!$AB$2:$AB$50000,"&lt;&gt;重复Bug")</f>
        <v>0</v>
      </c>
      <c r="O16" s="72">
        <f>COUNTIFS(缺陷明细!$A$2:$A$50000,$B$4,缺陷明细!$G$2:$G$50000,$C16,缺陷明细!$Q$2:$Q$50000,"已关闭",缺陷明细!$J$2:$J$50000,"系统测试案例评审")</f>
        <v>0</v>
      </c>
      <c r="P16" s="72">
        <f>COUNTIFS(缺陷明细!$A$2:$A$50000,$B$4,缺陷明细!$G$2:$G$50000,$C16,缺陷明细!$J$2:$J$50000,"系统测试",缺陷明细!$AB$2:$AB$50000,"&lt;&gt;丢弃",缺陷明细!$AB$2:$AB$50000,"&lt;&gt;设计如此",缺陷明细!$AB$2:$AB$50000,"&lt;&gt;重复Bug")</f>
        <v>0</v>
      </c>
      <c r="Q16" s="72">
        <f>COUNTIFS(缺陷明细!$A$2:$A$50000,$B$4,缺陷明细!$G$2:$G$50000,$C16,缺陷明细!$Q$2:$Q$50000,"已关闭",缺陷明细!$J$2:$J$50000,"系统测试")</f>
        <v>0</v>
      </c>
      <c r="R16" s="296">
        <f>COUNTIFS(缺陷明细!$A$2:$A$50000,$B$4,缺陷明细!$G$2:$G$50000,$C16,缺陷明细!$AB$2:$AB$50000,"丢弃",缺陷明细!$J$2:$J$50000,"系统测试")+COUNTIFS(缺陷明细!$A$2:$A$50000,$B$4,缺陷明细!$G$2:$G$50000,$C16,缺陷明细!$AB$2:$AB$50000,"设计如此",缺陷明细!$J$2:$J$50000,"系统测试")+COUNTIFS(缺陷明细!$A$2:$A$50000,$B$4,缺陷明细!$G$2:$G$50000,$C16,缺陷明细!$AB$2:$AB$50000,"重复Bug",缺陷明细!$J$2:$J$50000,"系统测试")</f>
        <v>0</v>
      </c>
      <c r="S16" s="72">
        <f>COUNTIFS(缺陷明细!$A$2:$A$50000,$B$4,缺陷明细!$G$2:$G$50000,$C16,缺陷明细!$J$2:$J$50000,"系统测试",缺陷明细!$K$2:$K$50000,"致命",缺陷明细!$AB$2:$AB$50000,"&lt;&gt;丢弃",缺陷明细!$AB$2:$AB$50000,"&lt;&gt;设计如此",缺陷明细!$AB$2:$AB$50000,"&lt;&gt;重复Bug")+COUNTIFS(缺陷明细!$A$2:$A$50000,$B$4,缺陷明细!$G$2:$G$50000,$C16,缺陷明细!$J$2:$J$50000,"系统测试",缺陷明细!$K$2:$K$50000,"严重",缺陷明细!$AB$2:$AB$50000,"&lt;&gt;丢弃",缺陷明细!$AB$2:$AB$50000,"&lt;&gt;设计如此",缺陷明细!$AB$2:$AB$50000,"&lt;&gt;重复Bug")</f>
        <v>0</v>
      </c>
      <c r="T16" s="73">
        <f>COUNTIFS(缺陷明细!$A$2:$A$50000,$B$4,缺陷明细!$G$2:$G$50000,$C16,缺陷明细!$Q$2:$Q$50000,"已关闭",缺陷明细!$J$2:$J$50000,"系统测试",缺陷明细!$K$2:$K$50000,"致命")+COUNTIFS(缺陷明细!$A$2:$A$50000,$B$4,缺陷明细!$G$2:$G$50000,$C16,缺陷明细!$Q$2:$Q$50000,"已关闭",缺陷明细!$J$2:$J$50000,"系统测试",缺陷明细!$K$2:$K$50000,"严重")</f>
        <v>0</v>
      </c>
      <c r="U16" s="74">
        <f>COUNTIFS(缺陷明细!$A$2:$A$50000,$B$4,缺陷明细!$G$2:$G$50000,$C16,缺陷明细!$J$2:$J$50000,"验收测试",缺陷明细!$AB$2:$AB$50000,"&lt;&gt;丢弃",缺陷明细!$AB$2:$AB$50000,"&lt;&gt;设计如此",缺陷明细!$AB$2:$AB$50000,"&lt;&gt;重复Bug")</f>
        <v>0</v>
      </c>
      <c r="V16" s="75">
        <f>COUNTIFS(缺陷明细!$A$2:$A$50000,$B$4,缺陷明细!$G$2:$G$50000,$C16,缺陷明细!$Q$2:$Q$50000,"已关闭",缺陷明细!$J$2:$J$50000,"验收测试")</f>
        <v>0</v>
      </c>
      <c r="W16" s="75">
        <f>COUNTIFS(缺陷明细!$A$2:$A$50000,$B$4,缺陷明细!$G$2:$G$50000,$C16,缺陷明细!$J$2:$J$50000,"验收测试",缺陷明细!$K$2:$K$50000,"致命",缺陷明细!$AB$2:$AB$50000,"&lt;&gt;丢弃",缺陷明细!$AB$2:$AB$50000,"&lt;&gt;设计如此",缺陷明细!$AB$2:$AB$50000,"&lt;&gt;重复Bug")+COUNTIFS(缺陷明细!$A$2:$A$50000,$B$4,缺陷明细!$G$2:$G$50000,$C16,缺陷明细!$J$2:$J$50000,"验收测试",缺陷明细!$K$2:$K$50000,"严重",缺陷明细!$AB$2:$AB$50000,"&lt;&gt;丢弃",缺陷明细!$AB$2:$AB$50000,"&lt;&gt;设计如此",缺陷明细!$AB$2:$AB$50000,"&lt;&gt;重复Bug")</f>
        <v>0</v>
      </c>
      <c r="X16" s="76">
        <f>COUNTIFS(缺陷明细!$A$2:$A$50000,$B$4,缺陷明细!$G$2:$G$50000,$C16,缺陷明细!$Q$2:$Q$50000,"已关闭",缺陷明细!$J$2:$J$50000,"验收测试",缺陷明细!$K$2:$K$50000,"致命")+COUNTIFS(缺陷明细!$A$2:$A$50000,$B$4,缺陷明细!$G$2:$G$50000,$C16,缺陷明细!$Q$2:$Q$50000,"已关闭",缺陷明细!$J$2:$J$50000,"验收测试",缺陷明细!$K$2:$K$50000,"严重")</f>
        <v>0</v>
      </c>
      <c r="Y16" s="70">
        <f>COUNTIFS(缺陷明细!$A$2:$A$50000,$B$4,缺陷明细!$G$2:$G$50000,$C16,缺陷明细!$J$2:$J$50000,"运维测试",缺陷明细!$AB$2:$AB$50000,"&lt;&gt;丢弃",缺陷明细!$AB$2:$AB$50000,"&lt;&gt;设计如此",缺陷明细!$AB$2:$AB$50000,"&lt;&gt;重复Bug")</f>
        <v>0</v>
      </c>
      <c r="Z16" s="71">
        <f>COUNTIFS(缺陷明细!$A$2:$A$50000,$B$4,缺陷明细!$G$2:$G$50000,$C16,缺陷明细!$Q$2:$Q$50000,"已关闭",缺陷明细!$J$2:$J$50000,"运维测试")</f>
        <v>0</v>
      </c>
      <c r="AA16" s="72">
        <f>COUNTIFS(缺陷明细!$A$2:$A$50000,$B$4,缺陷明细!$G$2:$G$50000,$C16,缺陷明细!$J$2:$J$50000,"运维测试",缺陷明细!$K$2:$K$50000,"致命",缺陷明细!$AB$2:$AB$50000,"&lt;&gt;丢弃",缺陷明细!$AB$2:$AB$50000,"&lt;&gt;设计如此",缺陷明细!$AB$2:$AB$50000,"&lt;&gt;重复Bug")+COUNTIFS(缺陷明细!$A$2:$A$50000,$B$4,缺陷明细!$G$2:$G$50000,$C16,缺陷明细!$J$2:$J$50000,"运维测试",缺陷明细!$K$2:$K$50000,"严重",缺陷明细!$AB$2:$AB$50000,"&lt;&gt;丢弃",缺陷明细!$AB$2:$AB$50000,"&lt;&gt;设计如此",缺陷明细!$AB$2:$AB$50000,"&lt;&gt;重复Bug")</f>
        <v>0</v>
      </c>
      <c r="AB16" s="73">
        <f>COUNTIFS(缺陷明细!$A$2:$A$50000,$B$4,缺陷明细!$G$2:$G$50000,$C16,缺陷明细!$Q$2:$Q$50000,"已关闭",缺陷明细!$J$2:$J$50000,"运维测试",缺陷明细!$K$2:$K$50000,"致命")+COUNTIFS(缺陷明细!$A$2:$A$50000,$B$4,缺陷明细!$G$2:$G$50000,$C16,缺陷明细!$Q$2:$Q$50000,"已关闭",缺陷明细!$J$2:$J$50000,"运维测试",缺陷明细!$K$2:$K$50000,"严重")</f>
        <v>0</v>
      </c>
      <c r="AC16" s="68">
        <f t="shared" si="0"/>
        <v>0</v>
      </c>
      <c r="AD16" s="60">
        <f t="shared" si="0"/>
        <v>0</v>
      </c>
      <c r="AE16" s="60">
        <f t="shared" si="1"/>
        <v>0</v>
      </c>
      <c r="AF16" s="60">
        <f t="shared" si="1"/>
        <v>0</v>
      </c>
      <c r="AG16" s="60">
        <f t="shared" si="2"/>
        <v>0</v>
      </c>
      <c r="AH16" s="60">
        <f t="shared" si="2"/>
        <v>0</v>
      </c>
      <c r="AI16" s="60">
        <f t="shared" si="3"/>
        <v>0</v>
      </c>
      <c r="AJ16" s="61">
        <f t="shared" si="3"/>
        <v>0</v>
      </c>
      <c r="AK16" s="144"/>
    </row>
    <row r="17" spans="1:37">
      <c r="A17">
        <v>13</v>
      </c>
      <c r="B17" s="57" t="s">
        <v>502</v>
      </c>
      <c r="C17" s="58" t="s">
        <v>1640</v>
      </c>
      <c r="D17" s="84" t="s">
        <v>1673</v>
      </c>
      <c r="E17" s="82" t="s">
        <v>346</v>
      </c>
      <c r="F17" s="158"/>
      <c r="G17" s="159"/>
      <c r="H17" s="281">
        <f>COUNTIFS(缺陷明细!$A$2:$A$50000,$B$4,缺陷明细!$G$2:$G$50000,$C17,缺陷明细!$J$2:$J$50000,"评审",缺陷明细!$AB$2:$AB$50000,"&lt;&gt;丢弃",缺陷明细!$AB$2:$AB$50000,"&lt;&gt;设计如此",缺陷明细!$AB$2:$AB$50000,"&lt;&gt;重复Bug")</f>
        <v>0</v>
      </c>
      <c r="I17" s="154">
        <f>COUNTIFS(缺陷明细!$A$2:$A$50000,$B$4,缺陷明细!$G$2:$G$50000,$C17,缺陷明细!$Q$2:$Q$50000,"已关闭",缺陷明细!$J$2:$J$50000,"评审")</f>
        <v>0</v>
      </c>
      <c r="J17" s="154">
        <f>COUNTIFS(缺陷明细!$A$2:$A$50000,$B$4,缺陷明细!$G$2:$G$50000,$C17,缺陷明细!$J$2:$J$50000,"单元测试",缺陷明细!$AB$2:$AB$50000,"&lt;&gt;丢弃",缺陷明细!$AB$2:$AB$50000,"&lt;&gt;设计如此",缺陷明细!$AB$2:$AB$50000,"&lt;&gt;重复Bug")</f>
        <v>0</v>
      </c>
      <c r="K17" s="155">
        <f>COUNTIFS(缺陷明细!$A$2:$A$50000,$B$4,缺陷明细!$G$2:$G$50000,$C17,缺陷明细!$Q$2:$Q$50000,"已关闭",缺陷明细!$J$2:$J$50000,"单元测试")</f>
        <v>0</v>
      </c>
      <c r="L17" s="156">
        <v>3</v>
      </c>
      <c r="M17" s="157"/>
      <c r="N17" s="72">
        <f>COUNTIFS(缺陷明细!$A$2:$A$50000,$B$4,缺陷明细!$G$2:$G$50000,$C17,缺陷明细!$J$2:$J$50000,"系统测试案例评审",缺陷明细!$AB$2:$AB$50000,"&lt;&gt;丢弃",缺陷明细!$AB$2:$AB$50000,"&lt;&gt;设计如此",缺陷明细!$AB$2:$AB$50000,"&lt;&gt;重复Bug")</f>
        <v>0</v>
      </c>
      <c r="O17" s="72">
        <f>COUNTIFS(缺陷明细!$A$2:$A$50000,$B$4,缺陷明细!$G$2:$G$50000,$C17,缺陷明细!$Q$2:$Q$50000,"已关闭",缺陷明细!$J$2:$J$50000,"系统测试案例评审")</f>
        <v>0</v>
      </c>
      <c r="P17" s="72">
        <f>COUNTIFS(缺陷明细!$A$2:$A$50000,$B$4,缺陷明细!$G$2:$G$50000,$C17,缺陷明细!$J$2:$J$50000,"系统测试",缺陷明细!$AB$2:$AB$50000,"&lt;&gt;丢弃",缺陷明细!$AB$2:$AB$50000,"&lt;&gt;设计如此",缺陷明细!$AB$2:$AB$50000,"&lt;&gt;重复Bug")</f>
        <v>0</v>
      </c>
      <c r="Q17" s="72">
        <f>COUNTIFS(缺陷明细!$A$2:$A$50000,$B$4,缺陷明细!$G$2:$G$50000,$C17,缺陷明细!$Q$2:$Q$50000,"已关闭",缺陷明细!$J$2:$J$50000,"系统测试")</f>
        <v>0</v>
      </c>
      <c r="R17" s="296">
        <f>COUNTIFS(缺陷明细!$A$2:$A$50000,$B$4,缺陷明细!$G$2:$G$50000,$C17,缺陷明细!$AB$2:$AB$50000,"丢弃",缺陷明细!$J$2:$J$50000,"系统测试")+COUNTIFS(缺陷明细!$A$2:$A$50000,$B$4,缺陷明细!$G$2:$G$50000,$C17,缺陷明细!$AB$2:$AB$50000,"设计如此",缺陷明细!$J$2:$J$50000,"系统测试")+COUNTIFS(缺陷明细!$A$2:$A$50000,$B$4,缺陷明细!$G$2:$G$50000,$C17,缺陷明细!$AB$2:$AB$50000,"重复Bug",缺陷明细!$J$2:$J$50000,"系统测试")</f>
        <v>0</v>
      </c>
      <c r="S17" s="72">
        <f>COUNTIFS(缺陷明细!$A$2:$A$50000,$B$4,缺陷明细!$G$2:$G$50000,$C17,缺陷明细!$J$2:$J$50000,"系统测试",缺陷明细!$K$2:$K$50000,"致命",缺陷明细!$AB$2:$AB$50000,"&lt;&gt;丢弃",缺陷明细!$AB$2:$AB$50000,"&lt;&gt;设计如此",缺陷明细!$AB$2:$AB$50000,"&lt;&gt;重复Bug")+COUNTIFS(缺陷明细!$A$2:$A$50000,$B$4,缺陷明细!$G$2:$G$50000,$C17,缺陷明细!$J$2:$J$50000,"系统测试",缺陷明细!$K$2:$K$50000,"严重",缺陷明细!$AB$2:$AB$50000,"&lt;&gt;丢弃",缺陷明细!$AB$2:$AB$50000,"&lt;&gt;设计如此",缺陷明细!$AB$2:$AB$50000,"&lt;&gt;重复Bug")</f>
        <v>0</v>
      </c>
      <c r="T17" s="73">
        <f>COUNTIFS(缺陷明细!$A$2:$A$50000,$B$4,缺陷明细!$G$2:$G$50000,$C17,缺陷明细!$Q$2:$Q$50000,"已关闭",缺陷明细!$J$2:$J$50000,"系统测试",缺陷明细!$K$2:$K$50000,"致命")+COUNTIFS(缺陷明细!$A$2:$A$50000,$B$4,缺陷明细!$G$2:$G$50000,$C17,缺陷明细!$Q$2:$Q$50000,"已关闭",缺陷明细!$J$2:$J$50000,"系统测试",缺陷明细!$K$2:$K$50000,"严重")</f>
        <v>0</v>
      </c>
      <c r="U17" s="74">
        <f>COUNTIFS(缺陷明细!$A$2:$A$50000,$B$4,缺陷明细!$G$2:$G$50000,$C17,缺陷明细!$J$2:$J$50000,"验收测试",缺陷明细!$AB$2:$AB$50000,"&lt;&gt;丢弃",缺陷明细!$AB$2:$AB$50000,"&lt;&gt;设计如此",缺陷明细!$AB$2:$AB$50000,"&lt;&gt;重复Bug")</f>
        <v>0</v>
      </c>
      <c r="V17" s="75">
        <f>COUNTIFS(缺陷明细!$A$2:$A$50000,$B$4,缺陷明细!$G$2:$G$50000,$C17,缺陷明细!$Q$2:$Q$50000,"已关闭",缺陷明细!$J$2:$J$50000,"验收测试")</f>
        <v>0</v>
      </c>
      <c r="W17" s="75">
        <f>COUNTIFS(缺陷明细!$A$2:$A$50000,$B$4,缺陷明细!$G$2:$G$50000,$C17,缺陷明细!$J$2:$J$50000,"验收测试",缺陷明细!$K$2:$K$50000,"致命",缺陷明细!$AB$2:$AB$50000,"&lt;&gt;丢弃",缺陷明细!$AB$2:$AB$50000,"&lt;&gt;设计如此",缺陷明细!$AB$2:$AB$50000,"&lt;&gt;重复Bug")+COUNTIFS(缺陷明细!$A$2:$A$50000,$B$4,缺陷明细!$G$2:$G$50000,$C17,缺陷明细!$J$2:$J$50000,"验收测试",缺陷明细!$K$2:$K$50000,"严重",缺陷明细!$AB$2:$AB$50000,"&lt;&gt;丢弃",缺陷明细!$AB$2:$AB$50000,"&lt;&gt;设计如此",缺陷明细!$AB$2:$AB$50000,"&lt;&gt;重复Bug")</f>
        <v>0</v>
      </c>
      <c r="X17" s="76">
        <f>COUNTIFS(缺陷明细!$A$2:$A$50000,$B$4,缺陷明细!$G$2:$G$50000,$C17,缺陷明细!$Q$2:$Q$50000,"已关闭",缺陷明细!$J$2:$J$50000,"验收测试",缺陷明细!$K$2:$K$50000,"致命")+COUNTIFS(缺陷明细!$A$2:$A$50000,$B$4,缺陷明细!$G$2:$G$50000,$C17,缺陷明细!$Q$2:$Q$50000,"已关闭",缺陷明细!$J$2:$J$50000,"验收测试",缺陷明细!$K$2:$K$50000,"严重")</f>
        <v>0</v>
      </c>
      <c r="Y17" s="70">
        <f>COUNTIFS(缺陷明细!$A$2:$A$50000,$B$4,缺陷明细!$G$2:$G$50000,$C17,缺陷明细!$J$2:$J$50000,"运维测试",缺陷明细!$AB$2:$AB$50000,"&lt;&gt;丢弃",缺陷明细!$AB$2:$AB$50000,"&lt;&gt;设计如此",缺陷明细!$AB$2:$AB$50000,"&lt;&gt;重复Bug")</f>
        <v>0</v>
      </c>
      <c r="Z17" s="71">
        <f>COUNTIFS(缺陷明细!$A$2:$A$50000,$B$4,缺陷明细!$G$2:$G$50000,$C17,缺陷明细!$Q$2:$Q$50000,"已关闭",缺陷明细!$J$2:$J$50000,"运维测试")</f>
        <v>0</v>
      </c>
      <c r="AA17" s="72">
        <f>COUNTIFS(缺陷明细!$A$2:$A$50000,$B$4,缺陷明细!$G$2:$G$50000,$C17,缺陷明细!$J$2:$J$50000,"运维测试",缺陷明细!$K$2:$K$50000,"致命",缺陷明细!$AB$2:$AB$50000,"&lt;&gt;丢弃",缺陷明细!$AB$2:$AB$50000,"&lt;&gt;设计如此",缺陷明细!$AB$2:$AB$50000,"&lt;&gt;重复Bug")+COUNTIFS(缺陷明细!$A$2:$A$50000,$B$4,缺陷明细!$G$2:$G$50000,$C17,缺陷明细!$J$2:$J$50000,"运维测试",缺陷明细!$K$2:$K$50000,"严重",缺陷明细!$AB$2:$AB$50000,"&lt;&gt;丢弃",缺陷明细!$AB$2:$AB$50000,"&lt;&gt;设计如此",缺陷明细!$AB$2:$AB$50000,"&lt;&gt;重复Bug")</f>
        <v>0</v>
      </c>
      <c r="AB17" s="73">
        <f>COUNTIFS(缺陷明细!$A$2:$A$50000,$B$4,缺陷明细!$G$2:$G$50000,$C17,缺陷明细!$Q$2:$Q$50000,"已关闭",缺陷明细!$J$2:$J$50000,"运维测试",缺陷明细!$K$2:$K$50000,"致命")+COUNTIFS(缺陷明细!$A$2:$A$50000,$B$4,缺陷明细!$G$2:$G$50000,$C17,缺陷明细!$Q$2:$Q$50000,"已关闭",缺陷明细!$J$2:$J$50000,"运维测试",缺陷明细!$K$2:$K$50000,"严重")</f>
        <v>0</v>
      </c>
      <c r="AC17" s="68">
        <f t="shared" si="0"/>
        <v>0</v>
      </c>
      <c r="AD17" s="60">
        <f t="shared" si="0"/>
        <v>0</v>
      </c>
      <c r="AE17" s="60">
        <f t="shared" si="1"/>
        <v>0</v>
      </c>
      <c r="AF17" s="60">
        <f t="shared" si="1"/>
        <v>0</v>
      </c>
      <c r="AG17" s="60">
        <f t="shared" si="2"/>
        <v>0</v>
      </c>
      <c r="AH17" s="60">
        <f t="shared" si="2"/>
        <v>0</v>
      </c>
      <c r="AI17" s="60">
        <f t="shared" si="3"/>
        <v>0</v>
      </c>
      <c r="AJ17" s="61">
        <f t="shared" si="3"/>
        <v>0</v>
      </c>
      <c r="AK17" s="144"/>
    </row>
    <row r="18" spans="1:37">
      <c r="A18">
        <v>14</v>
      </c>
      <c r="B18" s="57" t="s">
        <v>506</v>
      </c>
      <c r="C18" s="58" t="s">
        <v>1641</v>
      </c>
      <c r="D18" s="84" t="s">
        <v>1674</v>
      </c>
      <c r="E18" s="82" t="s">
        <v>346</v>
      </c>
      <c r="F18" s="158"/>
      <c r="G18" s="159"/>
      <c r="H18" s="281">
        <f>COUNTIFS(缺陷明细!$A$2:$A$50000,$B$4,缺陷明细!$G$2:$G$50000,$C18,缺陷明细!$J$2:$J$50000,"评审",缺陷明细!$AB$2:$AB$50000,"&lt;&gt;丢弃",缺陷明细!$AB$2:$AB$50000,"&lt;&gt;设计如此",缺陷明细!$AB$2:$AB$50000,"&lt;&gt;重复Bug")</f>
        <v>0</v>
      </c>
      <c r="I18" s="154">
        <f>COUNTIFS(缺陷明细!$A$2:$A$50000,$B$4,缺陷明细!$G$2:$G$50000,$C18,缺陷明细!$Q$2:$Q$50000,"已关闭",缺陷明细!$J$2:$J$50000,"评审")</f>
        <v>0</v>
      </c>
      <c r="J18" s="154">
        <f>COUNTIFS(缺陷明细!$A$2:$A$50000,$B$4,缺陷明细!$G$2:$G$50000,$C18,缺陷明细!$J$2:$J$50000,"单元测试",缺陷明细!$AB$2:$AB$50000,"&lt;&gt;丢弃",缺陷明细!$AB$2:$AB$50000,"&lt;&gt;设计如此",缺陷明细!$AB$2:$AB$50000,"&lt;&gt;重复Bug")</f>
        <v>0</v>
      </c>
      <c r="K18" s="155">
        <f>COUNTIFS(缺陷明细!$A$2:$A$50000,$B$4,缺陷明细!$G$2:$G$50000,$C18,缺陷明细!$Q$2:$Q$50000,"已关闭",缺陷明细!$J$2:$J$50000,"单元测试")</f>
        <v>0</v>
      </c>
      <c r="L18" s="156">
        <v>3</v>
      </c>
      <c r="M18" s="157"/>
      <c r="N18" s="72">
        <f>COUNTIFS(缺陷明细!$A$2:$A$50000,$B$4,缺陷明细!$G$2:$G$50000,$C18,缺陷明细!$J$2:$J$50000,"系统测试案例评审",缺陷明细!$AB$2:$AB$50000,"&lt;&gt;丢弃",缺陷明细!$AB$2:$AB$50000,"&lt;&gt;设计如此",缺陷明细!$AB$2:$AB$50000,"&lt;&gt;重复Bug")</f>
        <v>0</v>
      </c>
      <c r="O18" s="72">
        <f>COUNTIFS(缺陷明细!$A$2:$A$50000,$B$4,缺陷明细!$G$2:$G$50000,$C18,缺陷明细!$Q$2:$Q$50000,"已关闭",缺陷明细!$J$2:$J$50000,"系统测试案例评审")</f>
        <v>0</v>
      </c>
      <c r="P18" s="72">
        <f>COUNTIFS(缺陷明细!$A$2:$A$50000,$B$4,缺陷明细!$G$2:$G$50000,$C18,缺陷明细!$J$2:$J$50000,"系统测试",缺陷明细!$AB$2:$AB$50000,"&lt;&gt;丢弃",缺陷明细!$AB$2:$AB$50000,"&lt;&gt;设计如此",缺陷明细!$AB$2:$AB$50000,"&lt;&gt;重复Bug")</f>
        <v>0</v>
      </c>
      <c r="Q18" s="72">
        <f>COUNTIFS(缺陷明细!$A$2:$A$50000,$B$4,缺陷明细!$G$2:$G$50000,$C18,缺陷明细!$Q$2:$Q$50000,"已关闭",缺陷明细!$J$2:$J$50000,"系统测试")</f>
        <v>0</v>
      </c>
      <c r="R18" s="296">
        <f>COUNTIFS(缺陷明细!$A$2:$A$50000,$B$4,缺陷明细!$G$2:$G$50000,$C18,缺陷明细!$AB$2:$AB$50000,"丢弃",缺陷明细!$J$2:$J$50000,"系统测试")+COUNTIFS(缺陷明细!$A$2:$A$50000,$B$4,缺陷明细!$G$2:$G$50000,$C18,缺陷明细!$AB$2:$AB$50000,"设计如此",缺陷明细!$J$2:$J$50000,"系统测试")+COUNTIFS(缺陷明细!$A$2:$A$50000,$B$4,缺陷明细!$G$2:$G$50000,$C18,缺陷明细!$AB$2:$AB$50000,"重复Bug",缺陷明细!$J$2:$J$50000,"系统测试")</f>
        <v>0</v>
      </c>
      <c r="S18" s="72">
        <f>COUNTIFS(缺陷明细!$A$2:$A$50000,$B$4,缺陷明细!$G$2:$G$50000,$C18,缺陷明细!$J$2:$J$50000,"系统测试",缺陷明细!$K$2:$K$50000,"致命",缺陷明细!$AB$2:$AB$50000,"&lt;&gt;丢弃",缺陷明细!$AB$2:$AB$50000,"&lt;&gt;设计如此",缺陷明细!$AB$2:$AB$50000,"&lt;&gt;重复Bug")+COUNTIFS(缺陷明细!$A$2:$A$50000,$B$4,缺陷明细!$G$2:$G$50000,$C18,缺陷明细!$J$2:$J$50000,"系统测试",缺陷明细!$K$2:$K$50000,"严重",缺陷明细!$AB$2:$AB$50000,"&lt;&gt;丢弃",缺陷明细!$AB$2:$AB$50000,"&lt;&gt;设计如此",缺陷明细!$AB$2:$AB$50000,"&lt;&gt;重复Bug")</f>
        <v>0</v>
      </c>
      <c r="T18" s="73">
        <f>COUNTIFS(缺陷明细!$A$2:$A$50000,$B$4,缺陷明细!$G$2:$G$50000,$C18,缺陷明细!$Q$2:$Q$50000,"已关闭",缺陷明细!$J$2:$J$50000,"系统测试",缺陷明细!$K$2:$K$50000,"致命")+COUNTIFS(缺陷明细!$A$2:$A$50000,$B$4,缺陷明细!$G$2:$G$50000,$C18,缺陷明细!$Q$2:$Q$50000,"已关闭",缺陷明细!$J$2:$J$50000,"系统测试",缺陷明细!$K$2:$K$50000,"严重")</f>
        <v>0</v>
      </c>
      <c r="U18" s="74">
        <f>COUNTIFS(缺陷明细!$A$2:$A$50000,$B$4,缺陷明细!$G$2:$G$50000,$C18,缺陷明细!$J$2:$J$50000,"验收测试",缺陷明细!$AB$2:$AB$50000,"&lt;&gt;丢弃",缺陷明细!$AB$2:$AB$50000,"&lt;&gt;设计如此",缺陷明细!$AB$2:$AB$50000,"&lt;&gt;重复Bug")</f>
        <v>0</v>
      </c>
      <c r="V18" s="75">
        <f>COUNTIFS(缺陷明细!$A$2:$A$50000,$B$4,缺陷明细!$G$2:$G$50000,$C18,缺陷明细!$Q$2:$Q$50000,"已关闭",缺陷明细!$J$2:$J$50000,"验收测试")</f>
        <v>0</v>
      </c>
      <c r="W18" s="75">
        <f>COUNTIFS(缺陷明细!$A$2:$A$50000,$B$4,缺陷明细!$G$2:$G$50000,$C18,缺陷明细!$J$2:$J$50000,"验收测试",缺陷明细!$K$2:$K$50000,"致命",缺陷明细!$AB$2:$AB$50000,"&lt;&gt;丢弃",缺陷明细!$AB$2:$AB$50000,"&lt;&gt;设计如此",缺陷明细!$AB$2:$AB$50000,"&lt;&gt;重复Bug")+COUNTIFS(缺陷明细!$A$2:$A$50000,$B$4,缺陷明细!$G$2:$G$50000,$C18,缺陷明细!$J$2:$J$50000,"验收测试",缺陷明细!$K$2:$K$50000,"严重",缺陷明细!$AB$2:$AB$50000,"&lt;&gt;丢弃",缺陷明细!$AB$2:$AB$50000,"&lt;&gt;设计如此",缺陷明细!$AB$2:$AB$50000,"&lt;&gt;重复Bug")</f>
        <v>0</v>
      </c>
      <c r="X18" s="76">
        <f>COUNTIFS(缺陷明细!$A$2:$A$50000,$B$4,缺陷明细!$G$2:$G$50000,$C18,缺陷明细!$Q$2:$Q$50000,"已关闭",缺陷明细!$J$2:$J$50000,"验收测试",缺陷明细!$K$2:$K$50000,"致命")+COUNTIFS(缺陷明细!$A$2:$A$50000,$B$4,缺陷明细!$G$2:$G$50000,$C18,缺陷明细!$Q$2:$Q$50000,"已关闭",缺陷明细!$J$2:$J$50000,"验收测试",缺陷明细!$K$2:$K$50000,"严重")</f>
        <v>0</v>
      </c>
      <c r="Y18" s="70">
        <f>COUNTIFS(缺陷明细!$A$2:$A$50000,$B$4,缺陷明细!$G$2:$G$50000,$C18,缺陷明细!$J$2:$J$50000,"运维测试",缺陷明细!$AB$2:$AB$50000,"&lt;&gt;丢弃",缺陷明细!$AB$2:$AB$50000,"&lt;&gt;设计如此",缺陷明细!$AB$2:$AB$50000,"&lt;&gt;重复Bug")</f>
        <v>0</v>
      </c>
      <c r="Z18" s="71">
        <f>COUNTIFS(缺陷明细!$A$2:$A$50000,$B$4,缺陷明细!$G$2:$G$50000,$C18,缺陷明细!$Q$2:$Q$50000,"已关闭",缺陷明细!$J$2:$J$50000,"运维测试")</f>
        <v>0</v>
      </c>
      <c r="AA18" s="72">
        <f>COUNTIFS(缺陷明细!$A$2:$A$50000,$B$4,缺陷明细!$G$2:$G$50000,$C18,缺陷明细!$J$2:$J$50000,"运维测试",缺陷明细!$K$2:$K$50000,"致命",缺陷明细!$AB$2:$AB$50000,"&lt;&gt;丢弃",缺陷明细!$AB$2:$AB$50000,"&lt;&gt;设计如此",缺陷明细!$AB$2:$AB$50000,"&lt;&gt;重复Bug")+COUNTIFS(缺陷明细!$A$2:$A$50000,$B$4,缺陷明细!$G$2:$G$50000,$C18,缺陷明细!$J$2:$J$50000,"运维测试",缺陷明细!$K$2:$K$50000,"严重",缺陷明细!$AB$2:$AB$50000,"&lt;&gt;丢弃",缺陷明细!$AB$2:$AB$50000,"&lt;&gt;设计如此",缺陷明细!$AB$2:$AB$50000,"&lt;&gt;重复Bug")</f>
        <v>0</v>
      </c>
      <c r="AB18" s="73">
        <f>COUNTIFS(缺陷明细!$A$2:$A$50000,$B$4,缺陷明细!$G$2:$G$50000,$C18,缺陷明细!$Q$2:$Q$50000,"已关闭",缺陷明细!$J$2:$J$50000,"运维测试",缺陷明细!$K$2:$K$50000,"致命")+COUNTIFS(缺陷明细!$A$2:$A$50000,$B$4,缺陷明细!$G$2:$G$50000,$C18,缺陷明细!$Q$2:$Q$50000,"已关闭",缺陷明细!$J$2:$J$50000,"运维测试",缺陷明细!$K$2:$K$50000,"严重")</f>
        <v>0</v>
      </c>
      <c r="AC18" s="68">
        <f t="shared" si="0"/>
        <v>0</v>
      </c>
      <c r="AD18" s="60">
        <f t="shared" si="0"/>
        <v>0</v>
      </c>
      <c r="AE18" s="60">
        <f t="shared" si="1"/>
        <v>0</v>
      </c>
      <c r="AF18" s="60">
        <f t="shared" si="1"/>
        <v>0</v>
      </c>
      <c r="AG18" s="60">
        <f t="shared" si="2"/>
        <v>0</v>
      </c>
      <c r="AH18" s="60">
        <f t="shared" si="2"/>
        <v>0</v>
      </c>
      <c r="AI18" s="60">
        <f t="shared" si="3"/>
        <v>0</v>
      </c>
      <c r="AJ18" s="61">
        <f t="shared" si="3"/>
        <v>0</v>
      </c>
      <c r="AK18" s="144"/>
    </row>
    <row r="19" spans="1:37">
      <c r="A19">
        <v>15</v>
      </c>
      <c r="B19" s="57" t="s">
        <v>1620</v>
      </c>
      <c r="C19" s="58" t="s">
        <v>1642</v>
      </c>
      <c r="D19" s="84" t="s">
        <v>1675</v>
      </c>
      <c r="E19" s="82" t="s">
        <v>346</v>
      </c>
      <c r="F19" s="158"/>
      <c r="G19" s="159"/>
      <c r="H19" s="281">
        <f>COUNTIFS(缺陷明细!$A$2:$A$50000,$B$4,缺陷明细!$G$2:$G$50000,$C19,缺陷明细!$J$2:$J$50000,"评审",缺陷明细!$AB$2:$AB$50000,"&lt;&gt;丢弃",缺陷明细!$AB$2:$AB$50000,"&lt;&gt;设计如此",缺陷明细!$AB$2:$AB$50000,"&lt;&gt;重复Bug")</f>
        <v>0</v>
      </c>
      <c r="I19" s="154">
        <f>COUNTIFS(缺陷明细!$A$2:$A$50000,$B$4,缺陷明细!$G$2:$G$50000,$C19,缺陷明细!$Q$2:$Q$50000,"已关闭",缺陷明细!$J$2:$J$50000,"评审")</f>
        <v>0</v>
      </c>
      <c r="J19" s="154">
        <f>COUNTIFS(缺陷明细!$A$2:$A$50000,$B$4,缺陷明细!$G$2:$G$50000,$C19,缺陷明细!$J$2:$J$50000,"单元测试",缺陷明细!$AB$2:$AB$50000,"&lt;&gt;丢弃",缺陷明细!$AB$2:$AB$50000,"&lt;&gt;设计如此",缺陷明细!$AB$2:$AB$50000,"&lt;&gt;重复Bug")</f>
        <v>0</v>
      </c>
      <c r="K19" s="155">
        <f>COUNTIFS(缺陷明细!$A$2:$A$50000,$B$4,缺陷明细!$G$2:$G$50000,$C19,缺陷明细!$Q$2:$Q$50000,"已关闭",缺陷明细!$J$2:$J$50000,"单元测试")</f>
        <v>0</v>
      </c>
      <c r="L19" s="156">
        <v>0</v>
      </c>
      <c r="M19" s="157"/>
      <c r="N19" s="72">
        <f>COUNTIFS(缺陷明细!$A$2:$A$50000,$B$4,缺陷明细!$G$2:$G$50000,$C19,缺陷明细!$J$2:$J$50000,"系统测试案例评审",缺陷明细!$AB$2:$AB$50000,"&lt;&gt;丢弃",缺陷明细!$AB$2:$AB$50000,"&lt;&gt;设计如此",缺陷明细!$AB$2:$AB$50000,"&lt;&gt;重复Bug")</f>
        <v>0</v>
      </c>
      <c r="O19" s="72">
        <f>COUNTIFS(缺陷明细!$A$2:$A$50000,$B$4,缺陷明细!$G$2:$G$50000,$C19,缺陷明细!$Q$2:$Q$50000,"已关闭",缺陷明细!$J$2:$J$50000,"系统测试案例评审")</f>
        <v>0</v>
      </c>
      <c r="P19" s="72">
        <f>COUNTIFS(缺陷明细!$A$2:$A$50000,$B$4,缺陷明细!$G$2:$G$50000,$C19,缺陷明细!$J$2:$J$50000,"系统测试",缺陷明细!$AB$2:$AB$50000,"&lt;&gt;丢弃",缺陷明细!$AB$2:$AB$50000,"&lt;&gt;设计如此",缺陷明细!$AB$2:$AB$50000,"&lt;&gt;重复Bug")</f>
        <v>0</v>
      </c>
      <c r="Q19" s="72">
        <f>COUNTIFS(缺陷明细!$A$2:$A$50000,$B$4,缺陷明细!$G$2:$G$50000,$C19,缺陷明细!$Q$2:$Q$50000,"已关闭",缺陷明细!$J$2:$J$50000,"系统测试")</f>
        <v>0</v>
      </c>
      <c r="R19" s="296">
        <f>COUNTIFS(缺陷明细!$A$2:$A$50000,$B$4,缺陷明细!$G$2:$G$50000,$C19,缺陷明细!$AB$2:$AB$50000,"丢弃",缺陷明细!$J$2:$J$50000,"系统测试")+COUNTIFS(缺陷明细!$A$2:$A$50000,$B$4,缺陷明细!$G$2:$G$50000,$C19,缺陷明细!$AB$2:$AB$50000,"设计如此",缺陷明细!$J$2:$J$50000,"系统测试")+COUNTIFS(缺陷明细!$A$2:$A$50000,$B$4,缺陷明细!$G$2:$G$50000,$C19,缺陷明细!$AB$2:$AB$50000,"重复Bug",缺陷明细!$J$2:$J$50000,"系统测试")</f>
        <v>0</v>
      </c>
      <c r="S19" s="72">
        <f>COUNTIFS(缺陷明细!$A$2:$A$50000,$B$4,缺陷明细!$G$2:$G$50000,$C19,缺陷明细!$J$2:$J$50000,"系统测试",缺陷明细!$K$2:$K$50000,"致命",缺陷明细!$AB$2:$AB$50000,"&lt;&gt;丢弃",缺陷明细!$AB$2:$AB$50000,"&lt;&gt;设计如此",缺陷明细!$AB$2:$AB$50000,"&lt;&gt;重复Bug")+COUNTIFS(缺陷明细!$A$2:$A$50000,$B$4,缺陷明细!$G$2:$G$50000,$C19,缺陷明细!$J$2:$J$50000,"系统测试",缺陷明细!$K$2:$K$50000,"严重",缺陷明细!$AB$2:$AB$50000,"&lt;&gt;丢弃",缺陷明细!$AB$2:$AB$50000,"&lt;&gt;设计如此",缺陷明细!$AB$2:$AB$50000,"&lt;&gt;重复Bug")</f>
        <v>0</v>
      </c>
      <c r="T19" s="73">
        <f>COUNTIFS(缺陷明细!$A$2:$A$50000,$B$4,缺陷明细!$G$2:$G$50000,$C19,缺陷明细!$Q$2:$Q$50000,"已关闭",缺陷明细!$J$2:$J$50000,"系统测试",缺陷明细!$K$2:$K$50000,"致命")+COUNTIFS(缺陷明细!$A$2:$A$50000,$B$4,缺陷明细!$G$2:$G$50000,$C19,缺陷明细!$Q$2:$Q$50000,"已关闭",缺陷明细!$J$2:$J$50000,"系统测试",缺陷明细!$K$2:$K$50000,"严重")</f>
        <v>0</v>
      </c>
      <c r="U19" s="74">
        <f>COUNTIFS(缺陷明细!$A$2:$A$50000,$B$4,缺陷明细!$G$2:$G$50000,$C19,缺陷明细!$J$2:$J$50000,"验收测试",缺陷明细!$AB$2:$AB$50000,"&lt;&gt;丢弃",缺陷明细!$AB$2:$AB$50000,"&lt;&gt;设计如此",缺陷明细!$AB$2:$AB$50000,"&lt;&gt;重复Bug")</f>
        <v>0</v>
      </c>
      <c r="V19" s="75">
        <f>COUNTIFS(缺陷明细!$A$2:$A$50000,$B$4,缺陷明细!$G$2:$G$50000,$C19,缺陷明细!$Q$2:$Q$50000,"已关闭",缺陷明细!$J$2:$J$50000,"验收测试")</f>
        <v>0</v>
      </c>
      <c r="W19" s="75">
        <f>COUNTIFS(缺陷明细!$A$2:$A$50000,$B$4,缺陷明细!$G$2:$G$50000,$C19,缺陷明细!$J$2:$J$50000,"验收测试",缺陷明细!$K$2:$K$50000,"致命",缺陷明细!$AB$2:$AB$50000,"&lt;&gt;丢弃",缺陷明细!$AB$2:$AB$50000,"&lt;&gt;设计如此",缺陷明细!$AB$2:$AB$50000,"&lt;&gt;重复Bug")+COUNTIFS(缺陷明细!$A$2:$A$50000,$B$4,缺陷明细!$G$2:$G$50000,$C19,缺陷明细!$J$2:$J$50000,"验收测试",缺陷明细!$K$2:$K$50000,"严重",缺陷明细!$AB$2:$AB$50000,"&lt;&gt;丢弃",缺陷明细!$AB$2:$AB$50000,"&lt;&gt;设计如此",缺陷明细!$AB$2:$AB$50000,"&lt;&gt;重复Bug")</f>
        <v>0</v>
      </c>
      <c r="X19" s="76">
        <f>COUNTIFS(缺陷明细!$A$2:$A$50000,$B$4,缺陷明细!$G$2:$G$50000,$C19,缺陷明细!$Q$2:$Q$50000,"已关闭",缺陷明细!$J$2:$J$50000,"验收测试",缺陷明细!$K$2:$K$50000,"致命")+COUNTIFS(缺陷明细!$A$2:$A$50000,$B$4,缺陷明细!$G$2:$G$50000,$C19,缺陷明细!$Q$2:$Q$50000,"已关闭",缺陷明细!$J$2:$J$50000,"验收测试",缺陷明细!$K$2:$K$50000,"严重")</f>
        <v>0</v>
      </c>
      <c r="Y19" s="70">
        <f>COUNTIFS(缺陷明细!$A$2:$A$50000,$B$4,缺陷明细!$G$2:$G$50000,$C19,缺陷明细!$J$2:$J$50000,"运维测试",缺陷明细!$AB$2:$AB$50000,"&lt;&gt;丢弃",缺陷明细!$AB$2:$AB$50000,"&lt;&gt;设计如此",缺陷明细!$AB$2:$AB$50000,"&lt;&gt;重复Bug")</f>
        <v>0</v>
      </c>
      <c r="Z19" s="71">
        <f>COUNTIFS(缺陷明细!$A$2:$A$50000,$B$4,缺陷明细!$G$2:$G$50000,$C19,缺陷明细!$Q$2:$Q$50000,"已关闭",缺陷明细!$J$2:$J$50000,"运维测试")</f>
        <v>0</v>
      </c>
      <c r="AA19" s="72">
        <f>COUNTIFS(缺陷明细!$A$2:$A$50000,$B$4,缺陷明细!$G$2:$G$50000,$C19,缺陷明细!$J$2:$J$50000,"运维测试",缺陷明细!$K$2:$K$50000,"致命",缺陷明细!$AB$2:$AB$50000,"&lt;&gt;丢弃",缺陷明细!$AB$2:$AB$50000,"&lt;&gt;设计如此",缺陷明细!$AB$2:$AB$50000,"&lt;&gt;重复Bug")+COUNTIFS(缺陷明细!$A$2:$A$50000,$B$4,缺陷明细!$G$2:$G$50000,$C19,缺陷明细!$J$2:$J$50000,"运维测试",缺陷明细!$K$2:$K$50000,"严重",缺陷明细!$AB$2:$AB$50000,"&lt;&gt;丢弃",缺陷明细!$AB$2:$AB$50000,"&lt;&gt;设计如此",缺陷明细!$AB$2:$AB$50000,"&lt;&gt;重复Bug")</f>
        <v>0</v>
      </c>
      <c r="AB19" s="73">
        <f>COUNTIFS(缺陷明细!$A$2:$A$50000,$B$4,缺陷明细!$G$2:$G$50000,$C19,缺陷明细!$Q$2:$Q$50000,"已关闭",缺陷明细!$J$2:$J$50000,"运维测试",缺陷明细!$K$2:$K$50000,"致命")+COUNTIFS(缺陷明细!$A$2:$A$50000,$B$4,缺陷明细!$G$2:$G$50000,$C19,缺陷明细!$Q$2:$Q$50000,"已关闭",缺陷明细!$J$2:$J$50000,"运维测试",缺陷明细!$K$2:$K$50000,"严重")</f>
        <v>0</v>
      </c>
      <c r="AC19" s="68">
        <f t="shared" si="0"/>
        <v>0</v>
      </c>
      <c r="AD19" s="60">
        <f t="shared" si="0"/>
        <v>0</v>
      </c>
      <c r="AE19" s="60">
        <f t="shared" si="1"/>
        <v>0</v>
      </c>
      <c r="AF19" s="60">
        <f t="shared" si="1"/>
        <v>0</v>
      </c>
      <c r="AG19" s="60">
        <f t="shared" si="2"/>
        <v>0</v>
      </c>
      <c r="AH19" s="60">
        <f t="shared" si="2"/>
        <v>0</v>
      </c>
      <c r="AI19" s="60">
        <f t="shared" si="3"/>
        <v>0</v>
      </c>
      <c r="AJ19" s="61">
        <f t="shared" si="3"/>
        <v>0</v>
      </c>
      <c r="AK19" s="144"/>
    </row>
    <row r="20" spans="1:37">
      <c r="A20">
        <v>16</v>
      </c>
      <c r="B20" s="57" t="s">
        <v>1619</v>
      </c>
      <c r="C20" s="58" t="s">
        <v>1643</v>
      </c>
      <c r="D20" s="84" t="s">
        <v>1673</v>
      </c>
      <c r="E20" s="82" t="s">
        <v>346</v>
      </c>
      <c r="F20" s="158"/>
      <c r="G20" s="159"/>
      <c r="H20" s="281">
        <f>COUNTIFS(缺陷明细!$A$2:$A$50000,$B$4,缺陷明细!$G$2:$G$50000,$C20,缺陷明细!$J$2:$J$50000,"评审",缺陷明细!$AB$2:$AB$50000,"&lt;&gt;丢弃",缺陷明细!$AB$2:$AB$50000,"&lt;&gt;设计如此",缺陷明细!$AB$2:$AB$50000,"&lt;&gt;重复Bug")</f>
        <v>0</v>
      </c>
      <c r="I20" s="154">
        <f>COUNTIFS(缺陷明细!$A$2:$A$50000,$B$4,缺陷明细!$G$2:$G$50000,$C20,缺陷明细!$Q$2:$Q$50000,"已关闭",缺陷明细!$J$2:$J$50000,"评审")</f>
        <v>0</v>
      </c>
      <c r="J20" s="154">
        <f>COUNTIFS(缺陷明细!$A$2:$A$50000,$B$4,缺陷明细!$G$2:$G$50000,$C20,缺陷明细!$J$2:$J$50000,"单元测试",缺陷明细!$AB$2:$AB$50000,"&lt;&gt;丢弃",缺陷明细!$AB$2:$AB$50000,"&lt;&gt;设计如此",缺陷明细!$AB$2:$AB$50000,"&lt;&gt;重复Bug")</f>
        <v>0</v>
      </c>
      <c r="K20" s="155">
        <f>COUNTIFS(缺陷明细!$A$2:$A$50000,$B$4,缺陷明细!$G$2:$G$50000,$C20,缺陷明细!$Q$2:$Q$50000,"已关闭",缺陷明细!$J$2:$J$50000,"单元测试")</f>
        <v>0</v>
      </c>
      <c r="L20" s="156">
        <v>1</v>
      </c>
      <c r="M20" s="157"/>
      <c r="N20" s="72">
        <f>COUNTIFS(缺陷明细!$A$2:$A$50000,$B$4,缺陷明细!$G$2:$G$50000,$C20,缺陷明细!$J$2:$J$50000,"系统测试案例评审",缺陷明细!$AB$2:$AB$50000,"&lt;&gt;丢弃",缺陷明细!$AB$2:$AB$50000,"&lt;&gt;设计如此",缺陷明细!$AB$2:$AB$50000,"&lt;&gt;重复Bug")</f>
        <v>0</v>
      </c>
      <c r="O20" s="72">
        <f>COUNTIFS(缺陷明细!$A$2:$A$50000,$B$4,缺陷明细!$G$2:$G$50000,$C20,缺陷明细!$Q$2:$Q$50000,"已关闭",缺陷明细!$J$2:$J$50000,"系统测试案例评审")</f>
        <v>0</v>
      </c>
      <c r="P20" s="72">
        <f>COUNTIFS(缺陷明细!$A$2:$A$50000,$B$4,缺陷明细!$G$2:$G$50000,$C20,缺陷明细!$J$2:$J$50000,"系统测试",缺陷明细!$AB$2:$AB$50000,"&lt;&gt;丢弃",缺陷明细!$AB$2:$AB$50000,"&lt;&gt;设计如此",缺陷明细!$AB$2:$AB$50000,"&lt;&gt;重复Bug")</f>
        <v>0</v>
      </c>
      <c r="Q20" s="72">
        <f>COUNTIFS(缺陷明细!$A$2:$A$50000,$B$4,缺陷明细!$G$2:$G$50000,$C20,缺陷明细!$Q$2:$Q$50000,"已关闭",缺陷明细!$J$2:$J$50000,"系统测试")</f>
        <v>0</v>
      </c>
      <c r="R20" s="296">
        <f>COUNTIFS(缺陷明细!$A$2:$A$50000,$B$4,缺陷明细!$G$2:$G$50000,$C20,缺陷明细!$AB$2:$AB$50000,"丢弃",缺陷明细!$J$2:$J$50000,"系统测试")+COUNTIFS(缺陷明细!$A$2:$A$50000,$B$4,缺陷明细!$G$2:$G$50000,$C20,缺陷明细!$AB$2:$AB$50000,"设计如此",缺陷明细!$J$2:$J$50000,"系统测试")+COUNTIFS(缺陷明细!$A$2:$A$50000,$B$4,缺陷明细!$G$2:$G$50000,$C20,缺陷明细!$AB$2:$AB$50000,"重复Bug",缺陷明细!$J$2:$J$50000,"系统测试")</f>
        <v>0</v>
      </c>
      <c r="S20" s="72">
        <f>COUNTIFS(缺陷明细!$A$2:$A$50000,$B$4,缺陷明细!$G$2:$G$50000,$C20,缺陷明细!$J$2:$J$50000,"系统测试",缺陷明细!$K$2:$K$50000,"致命",缺陷明细!$AB$2:$AB$50000,"&lt;&gt;丢弃",缺陷明细!$AB$2:$AB$50000,"&lt;&gt;设计如此",缺陷明细!$AB$2:$AB$50000,"&lt;&gt;重复Bug")+COUNTIFS(缺陷明细!$A$2:$A$50000,$B$4,缺陷明细!$G$2:$G$50000,$C20,缺陷明细!$J$2:$J$50000,"系统测试",缺陷明细!$K$2:$K$50000,"严重",缺陷明细!$AB$2:$AB$50000,"&lt;&gt;丢弃",缺陷明细!$AB$2:$AB$50000,"&lt;&gt;设计如此",缺陷明细!$AB$2:$AB$50000,"&lt;&gt;重复Bug")</f>
        <v>0</v>
      </c>
      <c r="T20" s="73">
        <f>COUNTIFS(缺陷明细!$A$2:$A$50000,$B$4,缺陷明细!$G$2:$G$50000,$C20,缺陷明细!$Q$2:$Q$50000,"已关闭",缺陷明细!$J$2:$J$50000,"系统测试",缺陷明细!$K$2:$K$50000,"致命")+COUNTIFS(缺陷明细!$A$2:$A$50000,$B$4,缺陷明细!$G$2:$G$50000,$C20,缺陷明细!$Q$2:$Q$50000,"已关闭",缺陷明细!$J$2:$J$50000,"系统测试",缺陷明细!$K$2:$K$50000,"严重")</f>
        <v>0</v>
      </c>
      <c r="U20" s="74">
        <f>COUNTIFS(缺陷明细!$A$2:$A$50000,$B$4,缺陷明细!$G$2:$G$50000,$C20,缺陷明细!$J$2:$J$50000,"验收测试",缺陷明细!$AB$2:$AB$50000,"&lt;&gt;丢弃",缺陷明细!$AB$2:$AB$50000,"&lt;&gt;设计如此",缺陷明细!$AB$2:$AB$50000,"&lt;&gt;重复Bug")</f>
        <v>0</v>
      </c>
      <c r="V20" s="75">
        <f>COUNTIFS(缺陷明细!$A$2:$A$50000,$B$4,缺陷明细!$G$2:$G$50000,$C20,缺陷明细!$Q$2:$Q$50000,"已关闭",缺陷明细!$J$2:$J$50000,"验收测试")</f>
        <v>0</v>
      </c>
      <c r="W20" s="75">
        <f>COUNTIFS(缺陷明细!$A$2:$A$50000,$B$4,缺陷明细!$G$2:$G$50000,$C20,缺陷明细!$J$2:$J$50000,"验收测试",缺陷明细!$K$2:$K$50000,"致命",缺陷明细!$AB$2:$AB$50000,"&lt;&gt;丢弃",缺陷明细!$AB$2:$AB$50000,"&lt;&gt;设计如此",缺陷明细!$AB$2:$AB$50000,"&lt;&gt;重复Bug")+COUNTIFS(缺陷明细!$A$2:$A$50000,$B$4,缺陷明细!$G$2:$G$50000,$C20,缺陷明细!$J$2:$J$50000,"验收测试",缺陷明细!$K$2:$K$50000,"严重",缺陷明细!$AB$2:$AB$50000,"&lt;&gt;丢弃",缺陷明细!$AB$2:$AB$50000,"&lt;&gt;设计如此",缺陷明细!$AB$2:$AB$50000,"&lt;&gt;重复Bug")</f>
        <v>0</v>
      </c>
      <c r="X20" s="76">
        <f>COUNTIFS(缺陷明细!$A$2:$A$50000,$B$4,缺陷明细!$G$2:$G$50000,$C20,缺陷明细!$Q$2:$Q$50000,"已关闭",缺陷明细!$J$2:$J$50000,"验收测试",缺陷明细!$K$2:$K$50000,"致命")+COUNTIFS(缺陷明细!$A$2:$A$50000,$B$4,缺陷明细!$G$2:$G$50000,$C20,缺陷明细!$Q$2:$Q$50000,"已关闭",缺陷明细!$J$2:$J$50000,"验收测试",缺陷明细!$K$2:$K$50000,"严重")</f>
        <v>0</v>
      </c>
      <c r="Y20" s="70">
        <f>COUNTIFS(缺陷明细!$A$2:$A$50000,$B$4,缺陷明细!$G$2:$G$50000,$C20,缺陷明细!$J$2:$J$50000,"运维测试",缺陷明细!$AB$2:$AB$50000,"&lt;&gt;丢弃",缺陷明细!$AB$2:$AB$50000,"&lt;&gt;设计如此",缺陷明细!$AB$2:$AB$50000,"&lt;&gt;重复Bug")</f>
        <v>0</v>
      </c>
      <c r="Z20" s="71">
        <f>COUNTIFS(缺陷明细!$A$2:$A$50000,$B$4,缺陷明细!$G$2:$G$50000,$C20,缺陷明细!$Q$2:$Q$50000,"已关闭",缺陷明细!$J$2:$J$50000,"运维测试")</f>
        <v>0</v>
      </c>
      <c r="AA20" s="72">
        <f>COUNTIFS(缺陷明细!$A$2:$A$50000,$B$4,缺陷明细!$G$2:$G$50000,$C20,缺陷明细!$J$2:$J$50000,"运维测试",缺陷明细!$K$2:$K$50000,"致命",缺陷明细!$AB$2:$AB$50000,"&lt;&gt;丢弃",缺陷明细!$AB$2:$AB$50000,"&lt;&gt;设计如此",缺陷明细!$AB$2:$AB$50000,"&lt;&gt;重复Bug")+COUNTIFS(缺陷明细!$A$2:$A$50000,$B$4,缺陷明细!$G$2:$G$50000,$C20,缺陷明细!$J$2:$J$50000,"运维测试",缺陷明细!$K$2:$K$50000,"严重",缺陷明细!$AB$2:$AB$50000,"&lt;&gt;丢弃",缺陷明细!$AB$2:$AB$50000,"&lt;&gt;设计如此",缺陷明细!$AB$2:$AB$50000,"&lt;&gt;重复Bug")</f>
        <v>0</v>
      </c>
      <c r="AB20" s="73">
        <f>COUNTIFS(缺陷明细!$A$2:$A$50000,$B$4,缺陷明细!$G$2:$G$50000,$C20,缺陷明细!$Q$2:$Q$50000,"已关闭",缺陷明细!$J$2:$J$50000,"运维测试",缺陷明细!$K$2:$K$50000,"致命")+COUNTIFS(缺陷明细!$A$2:$A$50000,$B$4,缺陷明细!$G$2:$G$50000,$C20,缺陷明细!$Q$2:$Q$50000,"已关闭",缺陷明细!$J$2:$J$50000,"运维测试",缺陷明细!$K$2:$K$50000,"严重")</f>
        <v>0</v>
      </c>
      <c r="AC20" s="68">
        <f t="shared" si="0"/>
        <v>0</v>
      </c>
      <c r="AD20" s="60">
        <f t="shared" si="0"/>
        <v>0</v>
      </c>
      <c r="AE20" s="60">
        <f t="shared" si="1"/>
        <v>0</v>
      </c>
      <c r="AF20" s="60">
        <f t="shared" si="1"/>
        <v>0</v>
      </c>
      <c r="AG20" s="60">
        <f t="shared" si="2"/>
        <v>0</v>
      </c>
      <c r="AH20" s="60">
        <f t="shared" si="2"/>
        <v>0</v>
      </c>
      <c r="AI20" s="60">
        <f t="shared" si="3"/>
        <v>0</v>
      </c>
      <c r="AJ20" s="61">
        <f t="shared" si="3"/>
        <v>0</v>
      </c>
      <c r="AK20" s="144"/>
    </row>
    <row r="21" spans="1:37">
      <c r="A21">
        <v>17</v>
      </c>
      <c r="B21" s="57" t="s">
        <v>1618</v>
      </c>
      <c r="C21" s="58" t="s">
        <v>1644</v>
      </c>
      <c r="D21" s="84" t="s">
        <v>1673</v>
      </c>
      <c r="E21" s="82" t="s">
        <v>346</v>
      </c>
      <c r="F21" s="158"/>
      <c r="G21" s="159"/>
      <c r="H21" s="281">
        <f>COUNTIFS(缺陷明细!$A$2:$A$50000,$B$4,缺陷明细!$G$2:$G$50000,$C21,缺陷明细!$J$2:$J$50000,"评审",缺陷明细!$AB$2:$AB$50000,"&lt;&gt;丢弃",缺陷明细!$AB$2:$AB$50000,"&lt;&gt;设计如此",缺陷明细!$AB$2:$AB$50000,"&lt;&gt;重复Bug")</f>
        <v>0</v>
      </c>
      <c r="I21" s="154">
        <f>COUNTIFS(缺陷明细!$A$2:$A$50000,$B$4,缺陷明细!$G$2:$G$50000,$C21,缺陷明细!$Q$2:$Q$50000,"已关闭",缺陷明细!$J$2:$J$50000,"评审")</f>
        <v>0</v>
      </c>
      <c r="J21" s="154">
        <f>COUNTIFS(缺陷明细!$A$2:$A$50000,$B$4,缺陷明细!$G$2:$G$50000,$C21,缺陷明细!$J$2:$J$50000,"单元测试",缺陷明细!$AB$2:$AB$50000,"&lt;&gt;丢弃",缺陷明细!$AB$2:$AB$50000,"&lt;&gt;设计如此",缺陷明细!$AB$2:$AB$50000,"&lt;&gt;重复Bug")</f>
        <v>0</v>
      </c>
      <c r="K21" s="155">
        <f>COUNTIFS(缺陷明细!$A$2:$A$50000,$B$4,缺陷明细!$G$2:$G$50000,$C21,缺陷明细!$Q$2:$Q$50000,"已关闭",缺陷明细!$J$2:$J$50000,"单元测试")</f>
        <v>0</v>
      </c>
      <c r="L21" s="156">
        <v>4</v>
      </c>
      <c r="M21" s="157"/>
      <c r="N21" s="72">
        <f>COUNTIFS(缺陷明细!$A$2:$A$50000,$B$4,缺陷明细!$G$2:$G$50000,$C21,缺陷明细!$J$2:$J$50000,"系统测试案例评审",缺陷明细!$AB$2:$AB$50000,"&lt;&gt;丢弃",缺陷明细!$AB$2:$AB$50000,"&lt;&gt;设计如此",缺陷明细!$AB$2:$AB$50000,"&lt;&gt;重复Bug")</f>
        <v>0</v>
      </c>
      <c r="O21" s="72">
        <f>COUNTIFS(缺陷明细!$A$2:$A$50000,$B$4,缺陷明细!$G$2:$G$50000,$C21,缺陷明细!$Q$2:$Q$50000,"已关闭",缺陷明细!$J$2:$J$50000,"系统测试案例评审")</f>
        <v>0</v>
      </c>
      <c r="P21" s="72">
        <f>COUNTIFS(缺陷明细!$A$2:$A$50000,$B$4,缺陷明细!$G$2:$G$50000,$C21,缺陷明细!$J$2:$J$50000,"系统测试",缺陷明细!$AB$2:$AB$50000,"&lt;&gt;丢弃",缺陷明细!$AB$2:$AB$50000,"&lt;&gt;设计如此",缺陷明细!$AB$2:$AB$50000,"&lt;&gt;重复Bug")</f>
        <v>1</v>
      </c>
      <c r="Q21" s="72">
        <f>COUNTIFS(缺陷明细!$A$2:$A$50000,$B$4,缺陷明细!$G$2:$G$50000,$C21,缺陷明细!$Q$2:$Q$50000,"已关闭",缺陷明细!$J$2:$J$50000,"系统测试")</f>
        <v>0</v>
      </c>
      <c r="R21" s="296">
        <f>COUNTIFS(缺陷明细!$A$2:$A$50000,$B$4,缺陷明细!$G$2:$G$50000,$C21,缺陷明细!$AB$2:$AB$50000,"丢弃",缺陷明细!$J$2:$J$50000,"系统测试")+COUNTIFS(缺陷明细!$A$2:$A$50000,$B$4,缺陷明细!$G$2:$G$50000,$C21,缺陷明细!$AB$2:$AB$50000,"设计如此",缺陷明细!$J$2:$J$50000,"系统测试")+COUNTIFS(缺陷明细!$A$2:$A$50000,$B$4,缺陷明细!$G$2:$G$50000,$C21,缺陷明细!$AB$2:$AB$50000,"重复Bug",缺陷明细!$J$2:$J$50000,"系统测试")</f>
        <v>0</v>
      </c>
      <c r="S21" s="72">
        <f>COUNTIFS(缺陷明细!$A$2:$A$50000,$B$4,缺陷明细!$G$2:$G$50000,$C21,缺陷明细!$J$2:$J$50000,"系统测试",缺陷明细!$K$2:$K$50000,"致命",缺陷明细!$AB$2:$AB$50000,"&lt;&gt;丢弃",缺陷明细!$AB$2:$AB$50000,"&lt;&gt;设计如此",缺陷明细!$AB$2:$AB$50000,"&lt;&gt;重复Bug")+COUNTIFS(缺陷明细!$A$2:$A$50000,$B$4,缺陷明细!$G$2:$G$50000,$C21,缺陷明细!$J$2:$J$50000,"系统测试",缺陷明细!$K$2:$K$50000,"严重",缺陷明细!$AB$2:$AB$50000,"&lt;&gt;丢弃",缺陷明细!$AB$2:$AB$50000,"&lt;&gt;设计如此",缺陷明细!$AB$2:$AB$50000,"&lt;&gt;重复Bug")</f>
        <v>0</v>
      </c>
      <c r="T21" s="73">
        <f>COUNTIFS(缺陷明细!$A$2:$A$50000,$B$4,缺陷明细!$G$2:$G$50000,$C21,缺陷明细!$Q$2:$Q$50000,"已关闭",缺陷明细!$J$2:$J$50000,"系统测试",缺陷明细!$K$2:$K$50000,"致命")+COUNTIFS(缺陷明细!$A$2:$A$50000,$B$4,缺陷明细!$G$2:$G$50000,$C21,缺陷明细!$Q$2:$Q$50000,"已关闭",缺陷明细!$J$2:$J$50000,"系统测试",缺陷明细!$K$2:$K$50000,"严重")</f>
        <v>0</v>
      </c>
      <c r="U21" s="74">
        <f>COUNTIFS(缺陷明细!$A$2:$A$50000,$B$4,缺陷明细!$G$2:$G$50000,$C21,缺陷明细!$J$2:$J$50000,"验收测试",缺陷明细!$AB$2:$AB$50000,"&lt;&gt;丢弃",缺陷明细!$AB$2:$AB$50000,"&lt;&gt;设计如此",缺陷明细!$AB$2:$AB$50000,"&lt;&gt;重复Bug")</f>
        <v>0</v>
      </c>
      <c r="V21" s="75">
        <f>COUNTIFS(缺陷明细!$A$2:$A$50000,$B$4,缺陷明细!$G$2:$G$50000,$C21,缺陷明细!$Q$2:$Q$50000,"已关闭",缺陷明细!$J$2:$J$50000,"验收测试")</f>
        <v>0</v>
      </c>
      <c r="W21" s="75">
        <f>COUNTIFS(缺陷明细!$A$2:$A$50000,$B$4,缺陷明细!$G$2:$G$50000,$C21,缺陷明细!$J$2:$J$50000,"验收测试",缺陷明细!$K$2:$K$50000,"致命",缺陷明细!$AB$2:$AB$50000,"&lt;&gt;丢弃",缺陷明细!$AB$2:$AB$50000,"&lt;&gt;设计如此",缺陷明细!$AB$2:$AB$50000,"&lt;&gt;重复Bug")+COUNTIFS(缺陷明细!$A$2:$A$50000,$B$4,缺陷明细!$G$2:$G$50000,$C21,缺陷明细!$J$2:$J$50000,"验收测试",缺陷明细!$K$2:$K$50000,"严重",缺陷明细!$AB$2:$AB$50000,"&lt;&gt;丢弃",缺陷明细!$AB$2:$AB$50000,"&lt;&gt;设计如此",缺陷明细!$AB$2:$AB$50000,"&lt;&gt;重复Bug")</f>
        <v>0</v>
      </c>
      <c r="X21" s="76">
        <f>COUNTIFS(缺陷明细!$A$2:$A$50000,$B$4,缺陷明细!$G$2:$G$50000,$C21,缺陷明细!$Q$2:$Q$50000,"已关闭",缺陷明细!$J$2:$J$50000,"验收测试",缺陷明细!$K$2:$K$50000,"致命")+COUNTIFS(缺陷明细!$A$2:$A$50000,$B$4,缺陷明细!$G$2:$G$50000,$C21,缺陷明细!$Q$2:$Q$50000,"已关闭",缺陷明细!$J$2:$J$50000,"验收测试",缺陷明细!$K$2:$K$50000,"严重")</f>
        <v>0</v>
      </c>
      <c r="Y21" s="70">
        <f>COUNTIFS(缺陷明细!$A$2:$A$50000,$B$4,缺陷明细!$G$2:$G$50000,$C21,缺陷明细!$J$2:$J$50000,"运维测试",缺陷明细!$AB$2:$AB$50000,"&lt;&gt;丢弃",缺陷明细!$AB$2:$AB$50000,"&lt;&gt;设计如此",缺陷明细!$AB$2:$AB$50000,"&lt;&gt;重复Bug")</f>
        <v>0</v>
      </c>
      <c r="Z21" s="71">
        <f>COUNTIFS(缺陷明细!$A$2:$A$50000,$B$4,缺陷明细!$G$2:$G$50000,$C21,缺陷明细!$Q$2:$Q$50000,"已关闭",缺陷明细!$J$2:$J$50000,"运维测试")</f>
        <v>0</v>
      </c>
      <c r="AA21" s="72">
        <f>COUNTIFS(缺陷明细!$A$2:$A$50000,$B$4,缺陷明细!$G$2:$G$50000,$C21,缺陷明细!$J$2:$J$50000,"运维测试",缺陷明细!$K$2:$K$50000,"致命",缺陷明细!$AB$2:$AB$50000,"&lt;&gt;丢弃",缺陷明细!$AB$2:$AB$50000,"&lt;&gt;设计如此",缺陷明细!$AB$2:$AB$50000,"&lt;&gt;重复Bug")+COUNTIFS(缺陷明细!$A$2:$A$50000,$B$4,缺陷明细!$G$2:$G$50000,$C21,缺陷明细!$J$2:$J$50000,"运维测试",缺陷明细!$K$2:$K$50000,"严重",缺陷明细!$AB$2:$AB$50000,"&lt;&gt;丢弃",缺陷明细!$AB$2:$AB$50000,"&lt;&gt;设计如此",缺陷明细!$AB$2:$AB$50000,"&lt;&gt;重复Bug")</f>
        <v>0</v>
      </c>
      <c r="AB21" s="73">
        <f>COUNTIFS(缺陷明细!$A$2:$A$50000,$B$4,缺陷明细!$G$2:$G$50000,$C21,缺陷明细!$Q$2:$Q$50000,"已关闭",缺陷明细!$J$2:$J$50000,"运维测试",缺陷明细!$K$2:$K$50000,"致命")+COUNTIFS(缺陷明细!$A$2:$A$50000,$B$4,缺陷明细!$G$2:$G$50000,$C21,缺陷明细!$Q$2:$Q$50000,"已关闭",缺陷明细!$J$2:$J$50000,"运维测试",缺陷明细!$K$2:$K$50000,"严重")</f>
        <v>0</v>
      </c>
      <c r="AC21" s="68">
        <f t="shared" si="0"/>
        <v>0</v>
      </c>
      <c r="AD21" s="60">
        <f t="shared" si="0"/>
        <v>0</v>
      </c>
      <c r="AE21" s="60">
        <f t="shared" si="1"/>
        <v>0</v>
      </c>
      <c r="AF21" s="60">
        <f t="shared" si="1"/>
        <v>0</v>
      </c>
      <c r="AG21" s="60">
        <f t="shared" si="2"/>
        <v>1</v>
      </c>
      <c r="AH21" s="60">
        <f t="shared" si="2"/>
        <v>0</v>
      </c>
      <c r="AI21" s="60">
        <f t="shared" si="3"/>
        <v>0</v>
      </c>
      <c r="AJ21" s="61">
        <f t="shared" si="3"/>
        <v>0</v>
      </c>
      <c r="AK21" s="144"/>
    </row>
    <row r="22" spans="1:37">
      <c r="A22">
        <v>18</v>
      </c>
      <c r="B22" s="57" t="s">
        <v>1617</v>
      </c>
      <c r="C22" s="58" t="s">
        <v>1645</v>
      </c>
      <c r="D22" s="84" t="s">
        <v>1673</v>
      </c>
      <c r="E22" s="82" t="s">
        <v>346</v>
      </c>
      <c r="F22" s="158"/>
      <c r="G22" s="159"/>
      <c r="H22" s="281">
        <f>COUNTIFS(缺陷明细!$A$2:$A$50000,$B$4,缺陷明细!$G$2:$G$50000,$C22,缺陷明细!$J$2:$J$50000,"评审",缺陷明细!$AB$2:$AB$50000,"&lt;&gt;丢弃",缺陷明细!$AB$2:$AB$50000,"&lt;&gt;设计如此",缺陷明细!$AB$2:$AB$50000,"&lt;&gt;重复Bug")</f>
        <v>0</v>
      </c>
      <c r="I22" s="154">
        <f>COUNTIFS(缺陷明细!$A$2:$A$50000,$B$4,缺陷明细!$G$2:$G$50000,$C22,缺陷明细!$Q$2:$Q$50000,"已关闭",缺陷明细!$J$2:$J$50000,"评审")</f>
        <v>0</v>
      </c>
      <c r="J22" s="154">
        <f>COUNTIFS(缺陷明细!$A$2:$A$50000,$B$4,缺陷明细!$G$2:$G$50000,$C22,缺陷明细!$J$2:$J$50000,"单元测试",缺陷明细!$AB$2:$AB$50000,"&lt;&gt;丢弃",缺陷明细!$AB$2:$AB$50000,"&lt;&gt;设计如此",缺陷明细!$AB$2:$AB$50000,"&lt;&gt;重复Bug")</f>
        <v>0</v>
      </c>
      <c r="K22" s="155">
        <f>COUNTIFS(缺陷明细!$A$2:$A$50000,$B$4,缺陷明细!$G$2:$G$50000,$C22,缺陷明细!$Q$2:$Q$50000,"已关闭",缺陷明细!$J$2:$J$50000,"单元测试")</f>
        <v>0</v>
      </c>
      <c r="L22" s="156">
        <v>2</v>
      </c>
      <c r="M22" s="157"/>
      <c r="N22" s="72">
        <f>COUNTIFS(缺陷明细!$A$2:$A$50000,$B$4,缺陷明细!$G$2:$G$50000,$C22,缺陷明细!$J$2:$J$50000,"系统测试案例评审",缺陷明细!$AB$2:$AB$50000,"&lt;&gt;丢弃",缺陷明细!$AB$2:$AB$50000,"&lt;&gt;设计如此",缺陷明细!$AB$2:$AB$50000,"&lt;&gt;重复Bug")</f>
        <v>0</v>
      </c>
      <c r="O22" s="72">
        <f>COUNTIFS(缺陷明细!$A$2:$A$50000,$B$4,缺陷明细!$G$2:$G$50000,$C22,缺陷明细!$Q$2:$Q$50000,"已关闭",缺陷明细!$J$2:$J$50000,"系统测试案例评审")</f>
        <v>0</v>
      </c>
      <c r="P22" s="72">
        <f>COUNTIFS(缺陷明细!$A$2:$A$50000,$B$4,缺陷明细!$G$2:$G$50000,$C22,缺陷明细!$J$2:$J$50000,"系统测试",缺陷明细!$AB$2:$AB$50000,"&lt;&gt;丢弃",缺陷明细!$AB$2:$AB$50000,"&lt;&gt;设计如此",缺陷明细!$AB$2:$AB$50000,"&lt;&gt;重复Bug")</f>
        <v>1</v>
      </c>
      <c r="Q22" s="72">
        <f>COUNTIFS(缺陷明细!$A$2:$A$50000,$B$4,缺陷明细!$G$2:$G$50000,$C22,缺陷明细!$Q$2:$Q$50000,"已关闭",缺陷明细!$J$2:$J$50000,"系统测试")</f>
        <v>0</v>
      </c>
      <c r="R22" s="296">
        <f>COUNTIFS(缺陷明细!$A$2:$A$50000,$B$4,缺陷明细!$G$2:$G$50000,$C22,缺陷明细!$AB$2:$AB$50000,"丢弃",缺陷明细!$J$2:$J$50000,"系统测试")+COUNTIFS(缺陷明细!$A$2:$A$50000,$B$4,缺陷明细!$G$2:$G$50000,$C22,缺陷明细!$AB$2:$AB$50000,"设计如此",缺陷明细!$J$2:$J$50000,"系统测试")+COUNTIFS(缺陷明细!$A$2:$A$50000,$B$4,缺陷明细!$G$2:$G$50000,$C22,缺陷明细!$AB$2:$AB$50000,"重复Bug",缺陷明细!$J$2:$J$50000,"系统测试")</f>
        <v>0</v>
      </c>
      <c r="S22" s="72">
        <f>COUNTIFS(缺陷明细!$A$2:$A$50000,$B$4,缺陷明细!$G$2:$G$50000,$C22,缺陷明细!$J$2:$J$50000,"系统测试",缺陷明细!$K$2:$K$50000,"致命",缺陷明细!$AB$2:$AB$50000,"&lt;&gt;丢弃",缺陷明细!$AB$2:$AB$50000,"&lt;&gt;设计如此",缺陷明细!$AB$2:$AB$50000,"&lt;&gt;重复Bug")+COUNTIFS(缺陷明细!$A$2:$A$50000,$B$4,缺陷明细!$G$2:$G$50000,$C22,缺陷明细!$J$2:$J$50000,"系统测试",缺陷明细!$K$2:$K$50000,"严重",缺陷明细!$AB$2:$AB$50000,"&lt;&gt;丢弃",缺陷明细!$AB$2:$AB$50000,"&lt;&gt;设计如此",缺陷明细!$AB$2:$AB$50000,"&lt;&gt;重复Bug")</f>
        <v>0</v>
      </c>
      <c r="T22" s="73">
        <f>COUNTIFS(缺陷明细!$A$2:$A$50000,$B$4,缺陷明细!$G$2:$G$50000,$C22,缺陷明细!$Q$2:$Q$50000,"已关闭",缺陷明细!$J$2:$J$50000,"系统测试",缺陷明细!$K$2:$K$50000,"致命")+COUNTIFS(缺陷明细!$A$2:$A$50000,$B$4,缺陷明细!$G$2:$G$50000,$C22,缺陷明细!$Q$2:$Q$50000,"已关闭",缺陷明细!$J$2:$J$50000,"系统测试",缺陷明细!$K$2:$K$50000,"严重")</f>
        <v>0</v>
      </c>
      <c r="U22" s="74">
        <f>COUNTIFS(缺陷明细!$A$2:$A$50000,$B$4,缺陷明细!$G$2:$G$50000,$C22,缺陷明细!$J$2:$J$50000,"验收测试",缺陷明细!$AB$2:$AB$50000,"&lt;&gt;丢弃",缺陷明细!$AB$2:$AB$50000,"&lt;&gt;设计如此",缺陷明细!$AB$2:$AB$50000,"&lt;&gt;重复Bug")</f>
        <v>0</v>
      </c>
      <c r="V22" s="75">
        <f>COUNTIFS(缺陷明细!$A$2:$A$50000,$B$4,缺陷明细!$G$2:$G$50000,$C22,缺陷明细!$Q$2:$Q$50000,"已关闭",缺陷明细!$J$2:$J$50000,"验收测试")</f>
        <v>0</v>
      </c>
      <c r="W22" s="75">
        <f>COUNTIFS(缺陷明细!$A$2:$A$50000,$B$4,缺陷明细!$G$2:$G$50000,$C22,缺陷明细!$J$2:$J$50000,"验收测试",缺陷明细!$K$2:$K$50000,"致命",缺陷明细!$AB$2:$AB$50000,"&lt;&gt;丢弃",缺陷明细!$AB$2:$AB$50000,"&lt;&gt;设计如此",缺陷明细!$AB$2:$AB$50000,"&lt;&gt;重复Bug")+COUNTIFS(缺陷明细!$A$2:$A$50000,$B$4,缺陷明细!$G$2:$G$50000,$C22,缺陷明细!$J$2:$J$50000,"验收测试",缺陷明细!$K$2:$K$50000,"严重",缺陷明细!$AB$2:$AB$50000,"&lt;&gt;丢弃",缺陷明细!$AB$2:$AB$50000,"&lt;&gt;设计如此",缺陷明细!$AB$2:$AB$50000,"&lt;&gt;重复Bug")</f>
        <v>0</v>
      </c>
      <c r="X22" s="76">
        <f>COUNTIFS(缺陷明细!$A$2:$A$50000,$B$4,缺陷明细!$G$2:$G$50000,$C22,缺陷明细!$Q$2:$Q$50000,"已关闭",缺陷明细!$J$2:$J$50000,"验收测试",缺陷明细!$K$2:$K$50000,"致命")+COUNTIFS(缺陷明细!$A$2:$A$50000,$B$4,缺陷明细!$G$2:$G$50000,$C22,缺陷明细!$Q$2:$Q$50000,"已关闭",缺陷明细!$J$2:$J$50000,"验收测试",缺陷明细!$K$2:$K$50000,"严重")</f>
        <v>0</v>
      </c>
      <c r="Y22" s="70">
        <f>COUNTIFS(缺陷明细!$A$2:$A$50000,$B$4,缺陷明细!$G$2:$G$50000,$C22,缺陷明细!$J$2:$J$50000,"运维测试",缺陷明细!$AB$2:$AB$50000,"&lt;&gt;丢弃",缺陷明细!$AB$2:$AB$50000,"&lt;&gt;设计如此",缺陷明细!$AB$2:$AB$50000,"&lt;&gt;重复Bug")</f>
        <v>0</v>
      </c>
      <c r="Z22" s="71">
        <f>COUNTIFS(缺陷明细!$A$2:$A$50000,$B$4,缺陷明细!$G$2:$G$50000,$C22,缺陷明细!$Q$2:$Q$50000,"已关闭",缺陷明细!$J$2:$J$50000,"运维测试")</f>
        <v>0</v>
      </c>
      <c r="AA22" s="72">
        <f>COUNTIFS(缺陷明细!$A$2:$A$50000,$B$4,缺陷明细!$G$2:$G$50000,$C22,缺陷明细!$J$2:$J$50000,"运维测试",缺陷明细!$K$2:$K$50000,"致命",缺陷明细!$AB$2:$AB$50000,"&lt;&gt;丢弃",缺陷明细!$AB$2:$AB$50000,"&lt;&gt;设计如此",缺陷明细!$AB$2:$AB$50000,"&lt;&gt;重复Bug")+COUNTIFS(缺陷明细!$A$2:$A$50000,$B$4,缺陷明细!$G$2:$G$50000,$C22,缺陷明细!$J$2:$J$50000,"运维测试",缺陷明细!$K$2:$K$50000,"严重",缺陷明细!$AB$2:$AB$50000,"&lt;&gt;丢弃",缺陷明细!$AB$2:$AB$50000,"&lt;&gt;设计如此",缺陷明细!$AB$2:$AB$50000,"&lt;&gt;重复Bug")</f>
        <v>0</v>
      </c>
      <c r="AB22" s="73">
        <f>COUNTIFS(缺陷明细!$A$2:$A$50000,$B$4,缺陷明细!$G$2:$G$50000,$C22,缺陷明细!$Q$2:$Q$50000,"已关闭",缺陷明细!$J$2:$J$50000,"运维测试",缺陷明细!$K$2:$K$50000,"致命")+COUNTIFS(缺陷明细!$A$2:$A$50000,$B$4,缺陷明细!$G$2:$G$50000,$C22,缺陷明细!$Q$2:$Q$50000,"已关闭",缺陷明细!$J$2:$J$50000,"运维测试",缺陷明细!$K$2:$K$50000,"严重")</f>
        <v>0</v>
      </c>
      <c r="AC22" s="68">
        <f t="shared" si="0"/>
        <v>0</v>
      </c>
      <c r="AD22" s="60">
        <f t="shared" si="0"/>
        <v>0</v>
      </c>
      <c r="AE22" s="60">
        <f t="shared" si="1"/>
        <v>0</v>
      </c>
      <c r="AF22" s="60">
        <f t="shared" si="1"/>
        <v>0</v>
      </c>
      <c r="AG22" s="60">
        <f t="shared" si="2"/>
        <v>1</v>
      </c>
      <c r="AH22" s="60">
        <f t="shared" si="2"/>
        <v>0</v>
      </c>
      <c r="AI22" s="60">
        <f t="shared" si="3"/>
        <v>0</v>
      </c>
      <c r="AJ22" s="61">
        <f t="shared" si="3"/>
        <v>0</v>
      </c>
      <c r="AK22" s="144"/>
    </row>
    <row r="23" spans="1:37">
      <c r="A23">
        <v>19</v>
      </c>
      <c r="B23" s="57" t="s">
        <v>1616</v>
      </c>
      <c r="C23" s="58" t="s">
        <v>1646</v>
      </c>
      <c r="D23" s="84" t="s">
        <v>1674</v>
      </c>
      <c r="E23" s="82" t="s">
        <v>346</v>
      </c>
      <c r="F23" s="158"/>
      <c r="G23" s="159"/>
      <c r="H23" s="281">
        <f>COUNTIFS(缺陷明细!$A$2:$A$50000,$B$4,缺陷明细!$G$2:$G$50000,$C23,缺陷明细!$J$2:$J$50000,"评审",缺陷明细!$AB$2:$AB$50000,"&lt;&gt;丢弃",缺陷明细!$AB$2:$AB$50000,"&lt;&gt;设计如此",缺陷明细!$AB$2:$AB$50000,"&lt;&gt;重复Bug")</f>
        <v>0</v>
      </c>
      <c r="I23" s="154">
        <f>COUNTIFS(缺陷明细!$A$2:$A$50000,$B$4,缺陷明细!$G$2:$G$50000,$C23,缺陷明细!$Q$2:$Q$50000,"已关闭",缺陷明细!$J$2:$J$50000,"评审")</f>
        <v>0</v>
      </c>
      <c r="J23" s="154">
        <f>COUNTIFS(缺陷明细!$A$2:$A$50000,$B$4,缺陷明细!$G$2:$G$50000,$C23,缺陷明细!$J$2:$J$50000,"单元测试",缺陷明细!$AB$2:$AB$50000,"&lt;&gt;丢弃",缺陷明细!$AB$2:$AB$50000,"&lt;&gt;设计如此",缺陷明细!$AB$2:$AB$50000,"&lt;&gt;重复Bug")</f>
        <v>0</v>
      </c>
      <c r="K23" s="155">
        <f>COUNTIFS(缺陷明细!$A$2:$A$50000,$B$4,缺陷明细!$G$2:$G$50000,$C23,缺陷明细!$Q$2:$Q$50000,"已关闭",缺陷明细!$J$2:$J$50000,"单元测试")</f>
        <v>0</v>
      </c>
      <c r="L23" s="156">
        <v>2</v>
      </c>
      <c r="M23" s="157"/>
      <c r="N23" s="72">
        <f>COUNTIFS(缺陷明细!$A$2:$A$50000,$B$4,缺陷明细!$G$2:$G$50000,$C23,缺陷明细!$J$2:$J$50000,"系统测试案例评审",缺陷明细!$AB$2:$AB$50000,"&lt;&gt;丢弃",缺陷明细!$AB$2:$AB$50000,"&lt;&gt;设计如此",缺陷明细!$AB$2:$AB$50000,"&lt;&gt;重复Bug")</f>
        <v>0</v>
      </c>
      <c r="O23" s="72">
        <f>COUNTIFS(缺陷明细!$A$2:$A$50000,$B$4,缺陷明细!$G$2:$G$50000,$C23,缺陷明细!$Q$2:$Q$50000,"已关闭",缺陷明细!$J$2:$J$50000,"系统测试案例评审")</f>
        <v>0</v>
      </c>
      <c r="P23" s="72">
        <f>COUNTIFS(缺陷明细!$A$2:$A$50000,$B$4,缺陷明细!$G$2:$G$50000,$C23,缺陷明细!$J$2:$J$50000,"系统测试",缺陷明细!$AB$2:$AB$50000,"&lt;&gt;丢弃",缺陷明细!$AB$2:$AB$50000,"&lt;&gt;设计如此",缺陷明细!$AB$2:$AB$50000,"&lt;&gt;重复Bug")</f>
        <v>0</v>
      </c>
      <c r="Q23" s="72">
        <f>COUNTIFS(缺陷明细!$A$2:$A$50000,$B$4,缺陷明细!$G$2:$G$50000,$C23,缺陷明细!$Q$2:$Q$50000,"已关闭",缺陷明细!$J$2:$J$50000,"系统测试")</f>
        <v>0</v>
      </c>
      <c r="R23" s="296">
        <f>COUNTIFS(缺陷明细!$A$2:$A$50000,$B$4,缺陷明细!$G$2:$G$50000,$C23,缺陷明细!$AB$2:$AB$50000,"丢弃",缺陷明细!$J$2:$J$50000,"系统测试")+COUNTIFS(缺陷明细!$A$2:$A$50000,$B$4,缺陷明细!$G$2:$G$50000,$C23,缺陷明细!$AB$2:$AB$50000,"设计如此",缺陷明细!$J$2:$J$50000,"系统测试")+COUNTIFS(缺陷明细!$A$2:$A$50000,$B$4,缺陷明细!$G$2:$G$50000,$C23,缺陷明细!$AB$2:$AB$50000,"重复Bug",缺陷明细!$J$2:$J$50000,"系统测试")</f>
        <v>0</v>
      </c>
      <c r="S23" s="72">
        <f>COUNTIFS(缺陷明细!$A$2:$A$50000,$B$4,缺陷明细!$G$2:$G$50000,$C23,缺陷明细!$J$2:$J$50000,"系统测试",缺陷明细!$K$2:$K$50000,"致命",缺陷明细!$AB$2:$AB$50000,"&lt;&gt;丢弃",缺陷明细!$AB$2:$AB$50000,"&lt;&gt;设计如此",缺陷明细!$AB$2:$AB$50000,"&lt;&gt;重复Bug")+COUNTIFS(缺陷明细!$A$2:$A$50000,$B$4,缺陷明细!$G$2:$G$50000,$C23,缺陷明细!$J$2:$J$50000,"系统测试",缺陷明细!$K$2:$K$50000,"严重",缺陷明细!$AB$2:$AB$50000,"&lt;&gt;丢弃",缺陷明细!$AB$2:$AB$50000,"&lt;&gt;设计如此",缺陷明细!$AB$2:$AB$50000,"&lt;&gt;重复Bug")</f>
        <v>0</v>
      </c>
      <c r="T23" s="73">
        <f>COUNTIFS(缺陷明细!$A$2:$A$50000,$B$4,缺陷明细!$G$2:$G$50000,$C23,缺陷明细!$Q$2:$Q$50000,"已关闭",缺陷明细!$J$2:$J$50000,"系统测试",缺陷明细!$K$2:$K$50000,"致命")+COUNTIFS(缺陷明细!$A$2:$A$50000,$B$4,缺陷明细!$G$2:$G$50000,$C23,缺陷明细!$Q$2:$Q$50000,"已关闭",缺陷明细!$J$2:$J$50000,"系统测试",缺陷明细!$K$2:$K$50000,"严重")</f>
        <v>0</v>
      </c>
      <c r="U23" s="74">
        <f>COUNTIFS(缺陷明细!$A$2:$A$50000,$B$4,缺陷明细!$G$2:$G$50000,$C23,缺陷明细!$J$2:$J$50000,"验收测试",缺陷明细!$AB$2:$AB$50000,"&lt;&gt;丢弃",缺陷明细!$AB$2:$AB$50000,"&lt;&gt;设计如此",缺陷明细!$AB$2:$AB$50000,"&lt;&gt;重复Bug")</f>
        <v>0</v>
      </c>
      <c r="V23" s="75">
        <f>COUNTIFS(缺陷明细!$A$2:$A$50000,$B$4,缺陷明细!$G$2:$G$50000,$C23,缺陷明细!$Q$2:$Q$50000,"已关闭",缺陷明细!$J$2:$J$50000,"验收测试")</f>
        <v>0</v>
      </c>
      <c r="W23" s="75">
        <f>COUNTIFS(缺陷明细!$A$2:$A$50000,$B$4,缺陷明细!$G$2:$G$50000,$C23,缺陷明细!$J$2:$J$50000,"验收测试",缺陷明细!$K$2:$K$50000,"致命",缺陷明细!$AB$2:$AB$50000,"&lt;&gt;丢弃",缺陷明细!$AB$2:$AB$50000,"&lt;&gt;设计如此",缺陷明细!$AB$2:$AB$50000,"&lt;&gt;重复Bug")+COUNTIFS(缺陷明细!$A$2:$A$50000,$B$4,缺陷明细!$G$2:$G$50000,$C23,缺陷明细!$J$2:$J$50000,"验收测试",缺陷明细!$K$2:$K$50000,"严重",缺陷明细!$AB$2:$AB$50000,"&lt;&gt;丢弃",缺陷明细!$AB$2:$AB$50000,"&lt;&gt;设计如此",缺陷明细!$AB$2:$AB$50000,"&lt;&gt;重复Bug")</f>
        <v>0</v>
      </c>
      <c r="X23" s="76">
        <f>COUNTIFS(缺陷明细!$A$2:$A$50000,$B$4,缺陷明细!$G$2:$G$50000,$C23,缺陷明细!$Q$2:$Q$50000,"已关闭",缺陷明细!$J$2:$J$50000,"验收测试",缺陷明细!$K$2:$K$50000,"致命")+COUNTIFS(缺陷明细!$A$2:$A$50000,$B$4,缺陷明细!$G$2:$G$50000,$C23,缺陷明细!$Q$2:$Q$50000,"已关闭",缺陷明细!$J$2:$J$50000,"验收测试",缺陷明细!$K$2:$K$50000,"严重")</f>
        <v>0</v>
      </c>
      <c r="Y23" s="70">
        <f>COUNTIFS(缺陷明细!$A$2:$A$50000,$B$4,缺陷明细!$G$2:$G$50000,$C23,缺陷明细!$J$2:$J$50000,"运维测试",缺陷明细!$AB$2:$AB$50000,"&lt;&gt;丢弃",缺陷明细!$AB$2:$AB$50000,"&lt;&gt;设计如此",缺陷明细!$AB$2:$AB$50000,"&lt;&gt;重复Bug")</f>
        <v>0</v>
      </c>
      <c r="Z23" s="71">
        <f>COUNTIFS(缺陷明细!$A$2:$A$50000,$B$4,缺陷明细!$G$2:$G$50000,$C23,缺陷明细!$Q$2:$Q$50000,"已关闭",缺陷明细!$J$2:$J$50000,"运维测试")</f>
        <v>0</v>
      </c>
      <c r="AA23" s="72">
        <f>COUNTIFS(缺陷明细!$A$2:$A$50000,$B$4,缺陷明细!$G$2:$G$50000,$C23,缺陷明细!$J$2:$J$50000,"运维测试",缺陷明细!$K$2:$K$50000,"致命",缺陷明细!$AB$2:$AB$50000,"&lt;&gt;丢弃",缺陷明细!$AB$2:$AB$50000,"&lt;&gt;设计如此",缺陷明细!$AB$2:$AB$50000,"&lt;&gt;重复Bug")+COUNTIFS(缺陷明细!$A$2:$A$50000,$B$4,缺陷明细!$G$2:$G$50000,$C23,缺陷明细!$J$2:$J$50000,"运维测试",缺陷明细!$K$2:$K$50000,"严重",缺陷明细!$AB$2:$AB$50000,"&lt;&gt;丢弃",缺陷明细!$AB$2:$AB$50000,"&lt;&gt;设计如此",缺陷明细!$AB$2:$AB$50000,"&lt;&gt;重复Bug")</f>
        <v>0</v>
      </c>
      <c r="AB23" s="73">
        <f>COUNTIFS(缺陷明细!$A$2:$A$50000,$B$4,缺陷明细!$G$2:$G$50000,$C23,缺陷明细!$Q$2:$Q$50000,"已关闭",缺陷明细!$J$2:$J$50000,"运维测试",缺陷明细!$K$2:$K$50000,"致命")+COUNTIFS(缺陷明细!$A$2:$A$50000,$B$4,缺陷明细!$G$2:$G$50000,$C23,缺陷明细!$Q$2:$Q$50000,"已关闭",缺陷明细!$J$2:$J$50000,"运维测试",缺陷明细!$K$2:$K$50000,"严重")</f>
        <v>0</v>
      </c>
      <c r="AC23" s="68">
        <f t="shared" si="0"/>
        <v>0</v>
      </c>
      <c r="AD23" s="60">
        <f t="shared" si="0"/>
        <v>0</v>
      </c>
      <c r="AE23" s="60">
        <f t="shared" si="1"/>
        <v>0</v>
      </c>
      <c r="AF23" s="60">
        <f t="shared" si="1"/>
        <v>0</v>
      </c>
      <c r="AG23" s="60">
        <f t="shared" si="2"/>
        <v>0</v>
      </c>
      <c r="AH23" s="60">
        <f t="shared" si="2"/>
        <v>0</v>
      </c>
      <c r="AI23" s="60">
        <f t="shared" si="3"/>
        <v>0</v>
      </c>
      <c r="AJ23" s="61">
        <f t="shared" si="3"/>
        <v>0</v>
      </c>
      <c r="AK23" s="144"/>
    </row>
    <row r="24" spans="1:37">
      <c r="A24">
        <v>20</v>
      </c>
      <c r="B24" s="57" t="s">
        <v>1615</v>
      </c>
      <c r="C24" s="58" t="s">
        <v>1647</v>
      </c>
      <c r="D24" s="84" t="s">
        <v>1673</v>
      </c>
      <c r="E24" s="82" t="s">
        <v>346</v>
      </c>
      <c r="F24" s="158"/>
      <c r="G24" s="159"/>
      <c r="H24" s="281">
        <f>COUNTIFS(缺陷明细!$A$2:$A$50000,$B$4,缺陷明细!$G$2:$G$50000,$C24,缺陷明细!$J$2:$J$50000,"评审",缺陷明细!$AB$2:$AB$50000,"&lt;&gt;丢弃",缺陷明细!$AB$2:$AB$50000,"&lt;&gt;设计如此",缺陷明细!$AB$2:$AB$50000,"&lt;&gt;重复Bug")</f>
        <v>0</v>
      </c>
      <c r="I24" s="154">
        <f>COUNTIFS(缺陷明细!$A$2:$A$50000,$B$4,缺陷明细!$G$2:$G$50000,$C24,缺陷明细!$Q$2:$Q$50000,"已关闭",缺陷明细!$J$2:$J$50000,"评审")</f>
        <v>0</v>
      </c>
      <c r="J24" s="154">
        <f>COUNTIFS(缺陷明细!$A$2:$A$50000,$B$4,缺陷明细!$G$2:$G$50000,$C24,缺陷明细!$J$2:$J$50000,"单元测试",缺陷明细!$AB$2:$AB$50000,"&lt;&gt;丢弃",缺陷明细!$AB$2:$AB$50000,"&lt;&gt;设计如此",缺陷明细!$AB$2:$AB$50000,"&lt;&gt;重复Bug")</f>
        <v>0</v>
      </c>
      <c r="K24" s="155">
        <f>COUNTIFS(缺陷明细!$A$2:$A$50000,$B$4,缺陷明细!$G$2:$G$50000,$C24,缺陷明细!$Q$2:$Q$50000,"已关闭",缺陷明细!$J$2:$J$50000,"单元测试")</f>
        <v>0</v>
      </c>
      <c r="L24" s="156">
        <v>2</v>
      </c>
      <c r="M24" s="157"/>
      <c r="N24" s="72">
        <f>COUNTIFS(缺陷明细!$A$2:$A$50000,$B$4,缺陷明细!$G$2:$G$50000,$C24,缺陷明细!$J$2:$J$50000,"系统测试案例评审",缺陷明细!$AB$2:$AB$50000,"&lt;&gt;丢弃",缺陷明细!$AB$2:$AB$50000,"&lt;&gt;设计如此",缺陷明细!$AB$2:$AB$50000,"&lt;&gt;重复Bug")</f>
        <v>0</v>
      </c>
      <c r="O24" s="72">
        <f>COUNTIFS(缺陷明细!$A$2:$A$50000,$B$4,缺陷明细!$G$2:$G$50000,$C24,缺陷明细!$Q$2:$Q$50000,"已关闭",缺陷明细!$J$2:$J$50000,"系统测试案例评审")</f>
        <v>0</v>
      </c>
      <c r="P24" s="72">
        <f>COUNTIFS(缺陷明细!$A$2:$A$50000,$B$4,缺陷明细!$G$2:$G$50000,$C24,缺陷明细!$J$2:$J$50000,"系统测试",缺陷明细!$AB$2:$AB$50000,"&lt;&gt;丢弃",缺陷明细!$AB$2:$AB$50000,"&lt;&gt;设计如此",缺陷明细!$AB$2:$AB$50000,"&lt;&gt;重复Bug")</f>
        <v>0</v>
      </c>
      <c r="Q24" s="72">
        <f>COUNTIFS(缺陷明细!$A$2:$A$50000,$B$4,缺陷明细!$G$2:$G$50000,$C24,缺陷明细!$Q$2:$Q$50000,"已关闭",缺陷明细!$J$2:$J$50000,"系统测试")</f>
        <v>0</v>
      </c>
      <c r="R24" s="296">
        <f>COUNTIFS(缺陷明细!$A$2:$A$50000,$B$4,缺陷明细!$G$2:$G$50000,$C24,缺陷明细!$AB$2:$AB$50000,"丢弃",缺陷明细!$J$2:$J$50000,"系统测试")+COUNTIFS(缺陷明细!$A$2:$A$50000,$B$4,缺陷明细!$G$2:$G$50000,$C24,缺陷明细!$AB$2:$AB$50000,"设计如此",缺陷明细!$J$2:$J$50000,"系统测试")+COUNTIFS(缺陷明细!$A$2:$A$50000,$B$4,缺陷明细!$G$2:$G$50000,$C24,缺陷明细!$AB$2:$AB$50000,"重复Bug",缺陷明细!$J$2:$J$50000,"系统测试")</f>
        <v>0</v>
      </c>
      <c r="S24" s="72">
        <f>COUNTIFS(缺陷明细!$A$2:$A$50000,$B$4,缺陷明细!$G$2:$G$50000,$C24,缺陷明细!$J$2:$J$50000,"系统测试",缺陷明细!$K$2:$K$50000,"致命",缺陷明细!$AB$2:$AB$50000,"&lt;&gt;丢弃",缺陷明细!$AB$2:$AB$50000,"&lt;&gt;设计如此",缺陷明细!$AB$2:$AB$50000,"&lt;&gt;重复Bug")+COUNTIFS(缺陷明细!$A$2:$A$50000,$B$4,缺陷明细!$G$2:$G$50000,$C24,缺陷明细!$J$2:$J$50000,"系统测试",缺陷明细!$K$2:$K$50000,"严重",缺陷明细!$AB$2:$AB$50000,"&lt;&gt;丢弃",缺陷明细!$AB$2:$AB$50000,"&lt;&gt;设计如此",缺陷明细!$AB$2:$AB$50000,"&lt;&gt;重复Bug")</f>
        <v>0</v>
      </c>
      <c r="T24" s="73">
        <f>COUNTIFS(缺陷明细!$A$2:$A$50000,$B$4,缺陷明细!$G$2:$G$50000,$C24,缺陷明细!$Q$2:$Q$50000,"已关闭",缺陷明细!$J$2:$J$50000,"系统测试",缺陷明细!$K$2:$K$50000,"致命")+COUNTIFS(缺陷明细!$A$2:$A$50000,$B$4,缺陷明细!$G$2:$G$50000,$C24,缺陷明细!$Q$2:$Q$50000,"已关闭",缺陷明细!$J$2:$J$50000,"系统测试",缺陷明细!$K$2:$K$50000,"严重")</f>
        <v>0</v>
      </c>
      <c r="U24" s="74">
        <f>COUNTIFS(缺陷明细!$A$2:$A$50000,$B$4,缺陷明细!$G$2:$G$50000,$C24,缺陷明细!$J$2:$J$50000,"验收测试",缺陷明细!$AB$2:$AB$50000,"&lt;&gt;丢弃",缺陷明细!$AB$2:$AB$50000,"&lt;&gt;设计如此",缺陷明细!$AB$2:$AB$50000,"&lt;&gt;重复Bug")</f>
        <v>0</v>
      </c>
      <c r="V24" s="75">
        <f>COUNTIFS(缺陷明细!$A$2:$A$50000,$B$4,缺陷明细!$G$2:$G$50000,$C24,缺陷明细!$Q$2:$Q$50000,"已关闭",缺陷明细!$J$2:$J$50000,"验收测试")</f>
        <v>0</v>
      </c>
      <c r="W24" s="75">
        <f>COUNTIFS(缺陷明细!$A$2:$A$50000,$B$4,缺陷明细!$G$2:$G$50000,$C24,缺陷明细!$J$2:$J$50000,"验收测试",缺陷明细!$K$2:$K$50000,"致命",缺陷明细!$AB$2:$AB$50000,"&lt;&gt;丢弃",缺陷明细!$AB$2:$AB$50000,"&lt;&gt;设计如此",缺陷明细!$AB$2:$AB$50000,"&lt;&gt;重复Bug")+COUNTIFS(缺陷明细!$A$2:$A$50000,$B$4,缺陷明细!$G$2:$G$50000,$C24,缺陷明细!$J$2:$J$50000,"验收测试",缺陷明细!$K$2:$K$50000,"严重",缺陷明细!$AB$2:$AB$50000,"&lt;&gt;丢弃",缺陷明细!$AB$2:$AB$50000,"&lt;&gt;设计如此",缺陷明细!$AB$2:$AB$50000,"&lt;&gt;重复Bug")</f>
        <v>0</v>
      </c>
      <c r="X24" s="76">
        <f>COUNTIFS(缺陷明细!$A$2:$A$50000,$B$4,缺陷明细!$G$2:$G$50000,$C24,缺陷明细!$Q$2:$Q$50000,"已关闭",缺陷明细!$J$2:$J$50000,"验收测试",缺陷明细!$K$2:$K$50000,"致命")+COUNTIFS(缺陷明细!$A$2:$A$50000,$B$4,缺陷明细!$G$2:$G$50000,$C24,缺陷明细!$Q$2:$Q$50000,"已关闭",缺陷明细!$J$2:$J$50000,"验收测试",缺陷明细!$K$2:$K$50000,"严重")</f>
        <v>0</v>
      </c>
      <c r="Y24" s="70">
        <f>COUNTIFS(缺陷明细!$A$2:$A$50000,$B$4,缺陷明细!$G$2:$G$50000,$C24,缺陷明细!$J$2:$J$50000,"运维测试",缺陷明细!$AB$2:$AB$50000,"&lt;&gt;丢弃",缺陷明细!$AB$2:$AB$50000,"&lt;&gt;设计如此",缺陷明细!$AB$2:$AB$50000,"&lt;&gt;重复Bug")</f>
        <v>0</v>
      </c>
      <c r="Z24" s="71">
        <f>COUNTIFS(缺陷明细!$A$2:$A$50000,$B$4,缺陷明细!$G$2:$G$50000,$C24,缺陷明细!$Q$2:$Q$50000,"已关闭",缺陷明细!$J$2:$J$50000,"运维测试")</f>
        <v>0</v>
      </c>
      <c r="AA24" s="72">
        <f>COUNTIFS(缺陷明细!$A$2:$A$50000,$B$4,缺陷明细!$G$2:$G$50000,$C24,缺陷明细!$J$2:$J$50000,"运维测试",缺陷明细!$K$2:$K$50000,"致命",缺陷明细!$AB$2:$AB$50000,"&lt;&gt;丢弃",缺陷明细!$AB$2:$AB$50000,"&lt;&gt;设计如此",缺陷明细!$AB$2:$AB$50000,"&lt;&gt;重复Bug")+COUNTIFS(缺陷明细!$A$2:$A$50000,$B$4,缺陷明细!$G$2:$G$50000,$C24,缺陷明细!$J$2:$J$50000,"运维测试",缺陷明细!$K$2:$K$50000,"严重",缺陷明细!$AB$2:$AB$50000,"&lt;&gt;丢弃",缺陷明细!$AB$2:$AB$50000,"&lt;&gt;设计如此",缺陷明细!$AB$2:$AB$50000,"&lt;&gt;重复Bug")</f>
        <v>0</v>
      </c>
      <c r="AB24" s="73">
        <f>COUNTIFS(缺陷明细!$A$2:$A$50000,$B$4,缺陷明细!$G$2:$G$50000,$C24,缺陷明细!$Q$2:$Q$50000,"已关闭",缺陷明细!$J$2:$J$50000,"运维测试",缺陷明细!$K$2:$K$50000,"致命")+COUNTIFS(缺陷明细!$A$2:$A$50000,$B$4,缺陷明细!$G$2:$G$50000,$C24,缺陷明细!$Q$2:$Q$50000,"已关闭",缺陷明细!$J$2:$J$50000,"运维测试",缺陷明细!$K$2:$K$50000,"严重")</f>
        <v>0</v>
      </c>
      <c r="AC24" s="68">
        <f t="shared" si="0"/>
        <v>0</v>
      </c>
      <c r="AD24" s="60">
        <f t="shared" si="0"/>
        <v>0</v>
      </c>
      <c r="AE24" s="60">
        <f t="shared" si="1"/>
        <v>0</v>
      </c>
      <c r="AF24" s="60">
        <f t="shared" si="1"/>
        <v>0</v>
      </c>
      <c r="AG24" s="60">
        <f t="shared" si="2"/>
        <v>0</v>
      </c>
      <c r="AH24" s="60">
        <f t="shared" si="2"/>
        <v>0</v>
      </c>
      <c r="AI24" s="60">
        <f t="shared" si="3"/>
        <v>0</v>
      </c>
      <c r="AJ24" s="61">
        <f t="shared" si="3"/>
        <v>0</v>
      </c>
      <c r="AK24" s="144"/>
    </row>
    <row r="25" spans="1:37">
      <c r="A25">
        <v>21</v>
      </c>
      <c r="B25" s="57" t="s">
        <v>1614</v>
      </c>
      <c r="C25" s="58" t="s">
        <v>1648</v>
      </c>
      <c r="D25" s="84" t="s">
        <v>1673</v>
      </c>
      <c r="E25" s="82" t="s">
        <v>346</v>
      </c>
      <c r="F25" s="158"/>
      <c r="G25" s="159"/>
      <c r="H25" s="281">
        <f>COUNTIFS(缺陷明细!$A$2:$A$50000,$B$4,缺陷明细!$G$2:$G$50000,$C25,缺陷明细!$J$2:$J$50000,"评审",缺陷明细!$AB$2:$AB$50000,"&lt;&gt;丢弃",缺陷明细!$AB$2:$AB$50000,"&lt;&gt;设计如此",缺陷明细!$AB$2:$AB$50000,"&lt;&gt;重复Bug")</f>
        <v>0</v>
      </c>
      <c r="I25" s="154">
        <f>COUNTIFS(缺陷明细!$A$2:$A$50000,$B$4,缺陷明细!$G$2:$G$50000,$C25,缺陷明细!$Q$2:$Q$50000,"已关闭",缺陷明细!$J$2:$J$50000,"评审")</f>
        <v>0</v>
      </c>
      <c r="J25" s="154">
        <f>COUNTIFS(缺陷明细!$A$2:$A$50000,$B$4,缺陷明细!$G$2:$G$50000,$C25,缺陷明细!$J$2:$J$50000,"单元测试",缺陷明细!$AB$2:$AB$50000,"&lt;&gt;丢弃",缺陷明细!$AB$2:$AB$50000,"&lt;&gt;设计如此",缺陷明细!$AB$2:$AB$50000,"&lt;&gt;重复Bug")</f>
        <v>0</v>
      </c>
      <c r="K25" s="155">
        <f>COUNTIFS(缺陷明细!$A$2:$A$50000,$B$4,缺陷明细!$G$2:$G$50000,$C25,缺陷明细!$Q$2:$Q$50000,"已关闭",缺陷明细!$J$2:$J$50000,"单元测试")</f>
        <v>0</v>
      </c>
      <c r="L25" s="156">
        <v>1</v>
      </c>
      <c r="M25" s="157"/>
      <c r="N25" s="72">
        <f>COUNTIFS(缺陷明细!$A$2:$A$50000,$B$4,缺陷明细!$G$2:$G$50000,$C25,缺陷明细!$J$2:$J$50000,"系统测试案例评审",缺陷明细!$AB$2:$AB$50000,"&lt;&gt;丢弃",缺陷明细!$AB$2:$AB$50000,"&lt;&gt;设计如此",缺陷明细!$AB$2:$AB$50000,"&lt;&gt;重复Bug")</f>
        <v>0</v>
      </c>
      <c r="O25" s="72">
        <f>COUNTIFS(缺陷明细!$A$2:$A$50000,$B$4,缺陷明细!$G$2:$G$50000,$C25,缺陷明细!$Q$2:$Q$50000,"已关闭",缺陷明细!$J$2:$J$50000,"系统测试案例评审")</f>
        <v>0</v>
      </c>
      <c r="P25" s="72">
        <f>COUNTIFS(缺陷明细!$A$2:$A$50000,$B$4,缺陷明细!$G$2:$G$50000,$C25,缺陷明细!$J$2:$J$50000,"系统测试",缺陷明细!$AB$2:$AB$50000,"&lt;&gt;丢弃",缺陷明细!$AB$2:$AB$50000,"&lt;&gt;设计如此",缺陷明细!$AB$2:$AB$50000,"&lt;&gt;重复Bug")</f>
        <v>0</v>
      </c>
      <c r="Q25" s="72">
        <f>COUNTIFS(缺陷明细!$A$2:$A$50000,$B$4,缺陷明细!$G$2:$G$50000,$C25,缺陷明细!$Q$2:$Q$50000,"已关闭",缺陷明细!$J$2:$J$50000,"系统测试")</f>
        <v>0</v>
      </c>
      <c r="R25" s="296">
        <f>COUNTIFS(缺陷明细!$A$2:$A$50000,$B$4,缺陷明细!$G$2:$G$50000,$C25,缺陷明细!$AB$2:$AB$50000,"丢弃",缺陷明细!$J$2:$J$50000,"系统测试")+COUNTIFS(缺陷明细!$A$2:$A$50000,$B$4,缺陷明细!$G$2:$G$50000,$C25,缺陷明细!$AB$2:$AB$50000,"设计如此",缺陷明细!$J$2:$J$50000,"系统测试")+COUNTIFS(缺陷明细!$A$2:$A$50000,$B$4,缺陷明细!$G$2:$G$50000,$C25,缺陷明细!$AB$2:$AB$50000,"重复Bug",缺陷明细!$J$2:$J$50000,"系统测试")</f>
        <v>0</v>
      </c>
      <c r="S25" s="72">
        <f>COUNTIFS(缺陷明细!$A$2:$A$50000,$B$4,缺陷明细!$G$2:$G$50000,$C25,缺陷明细!$J$2:$J$50000,"系统测试",缺陷明细!$K$2:$K$50000,"致命",缺陷明细!$AB$2:$AB$50000,"&lt;&gt;丢弃",缺陷明细!$AB$2:$AB$50000,"&lt;&gt;设计如此",缺陷明细!$AB$2:$AB$50000,"&lt;&gt;重复Bug")+COUNTIFS(缺陷明细!$A$2:$A$50000,$B$4,缺陷明细!$G$2:$G$50000,$C25,缺陷明细!$J$2:$J$50000,"系统测试",缺陷明细!$K$2:$K$50000,"严重",缺陷明细!$AB$2:$AB$50000,"&lt;&gt;丢弃",缺陷明细!$AB$2:$AB$50000,"&lt;&gt;设计如此",缺陷明细!$AB$2:$AB$50000,"&lt;&gt;重复Bug")</f>
        <v>0</v>
      </c>
      <c r="T25" s="73">
        <f>COUNTIFS(缺陷明细!$A$2:$A$50000,$B$4,缺陷明细!$G$2:$G$50000,$C25,缺陷明细!$Q$2:$Q$50000,"已关闭",缺陷明细!$J$2:$J$50000,"系统测试",缺陷明细!$K$2:$K$50000,"致命")+COUNTIFS(缺陷明细!$A$2:$A$50000,$B$4,缺陷明细!$G$2:$G$50000,$C25,缺陷明细!$Q$2:$Q$50000,"已关闭",缺陷明细!$J$2:$J$50000,"系统测试",缺陷明细!$K$2:$K$50000,"严重")</f>
        <v>0</v>
      </c>
      <c r="U25" s="74">
        <f>COUNTIFS(缺陷明细!$A$2:$A$50000,$B$4,缺陷明细!$G$2:$G$50000,$C25,缺陷明细!$J$2:$J$50000,"验收测试",缺陷明细!$AB$2:$AB$50000,"&lt;&gt;丢弃",缺陷明细!$AB$2:$AB$50000,"&lt;&gt;设计如此",缺陷明细!$AB$2:$AB$50000,"&lt;&gt;重复Bug")</f>
        <v>0</v>
      </c>
      <c r="V25" s="75">
        <f>COUNTIFS(缺陷明细!$A$2:$A$50000,$B$4,缺陷明细!$G$2:$G$50000,$C25,缺陷明细!$Q$2:$Q$50000,"已关闭",缺陷明细!$J$2:$J$50000,"验收测试")</f>
        <v>0</v>
      </c>
      <c r="W25" s="75">
        <f>COUNTIFS(缺陷明细!$A$2:$A$50000,$B$4,缺陷明细!$G$2:$G$50000,$C25,缺陷明细!$J$2:$J$50000,"验收测试",缺陷明细!$K$2:$K$50000,"致命",缺陷明细!$AB$2:$AB$50000,"&lt;&gt;丢弃",缺陷明细!$AB$2:$AB$50000,"&lt;&gt;设计如此",缺陷明细!$AB$2:$AB$50000,"&lt;&gt;重复Bug")+COUNTIFS(缺陷明细!$A$2:$A$50000,$B$4,缺陷明细!$G$2:$G$50000,$C25,缺陷明细!$J$2:$J$50000,"验收测试",缺陷明细!$K$2:$K$50000,"严重",缺陷明细!$AB$2:$AB$50000,"&lt;&gt;丢弃",缺陷明细!$AB$2:$AB$50000,"&lt;&gt;设计如此",缺陷明细!$AB$2:$AB$50000,"&lt;&gt;重复Bug")</f>
        <v>0</v>
      </c>
      <c r="X25" s="76">
        <f>COUNTIFS(缺陷明细!$A$2:$A$50000,$B$4,缺陷明细!$G$2:$G$50000,$C25,缺陷明细!$Q$2:$Q$50000,"已关闭",缺陷明细!$J$2:$J$50000,"验收测试",缺陷明细!$K$2:$K$50000,"致命")+COUNTIFS(缺陷明细!$A$2:$A$50000,$B$4,缺陷明细!$G$2:$G$50000,$C25,缺陷明细!$Q$2:$Q$50000,"已关闭",缺陷明细!$J$2:$J$50000,"验收测试",缺陷明细!$K$2:$K$50000,"严重")</f>
        <v>0</v>
      </c>
      <c r="Y25" s="70">
        <f>COUNTIFS(缺陷明细!$A$2:$A$50000,$B$4,缺陷明细!$G$2:$G$50000,$C25,缺陷明细!$J$2:$J$50000,"运维测试",缺陷明细!$AB$2:$AB$50000,"&lt;&gt;丢弃",缺陷明细!$AB$2:$AB$50000,"&lt;&gt;设计如此",缺陷明细!$AB$2:$AB$50000,"&lt;&gt;重复Bug")</f>
        <v>0</v>
      </c>
      <c r="Z25" s="71">
        <f>COUNTIFS(缺陷明细!$A$2:$A$50000,$B$4,缺陷明细!$G$2:$G$50000,$C25,缺陷明细!$Q$2:$Q$50000,"已关闭",缺陷明细!$J$2:$J$50000,"运维测试")</f>
        <v>0</v>
      </c>
      <c r="AA25" s="72">
        <f>COUNTIFS(缺陷明细!$A$2:$A$50000,$B$4,缺陷明细!$G$2:$G$50000,$C25,缺陷明细!$J$2:$J$50000,"运维测试",缺陷明细!$K$2:$K$50000,"致命",缺陷明细!$AB$2:$AB$50000,"&lt;&gt;丢弃",缺陷明细!$AB$2:$AB$50000,"&lt;&gt;设计如此",缺陷明细!$AB$2:$AB$50000,"&lt;&gt;重复Bug")+COUNTIFS(缺陷明细!$A$2:$A$50000,$B$4,缺陷明细!$G$2:$G$50000,$C25,缺陷明细!$J$2:$J$50000,"运维测试",缺陷明细!$K$2:$K$50000,"严重",缺陷明细!$AB$2:$AB$50000,"&lt;&gt;丢弃",缺陷明细!$AB$2:$AB$50000,"&lt;&gt;设计如此",缺陷明细!$AB$2:$AB$50000,"&lt;&gt;重复Bug")</f>
        <v>0</v>
      </c>
      <c r="AB25" s="73">
        <f>COUNTIFS(缺陷明细!$A$2:$A$50000,$B$4,缺陷明细!$G$2:$G$50000,$C25,缺陷明细!$Q$2:$Q$50000,"已关闭",缺陷明细!$J$2:$J$50000,"运维测试",缺陷明细!$K$2:$K$50000,"致命")+COUNTIFS(缺陷明细!$A$2:$A$50000,$B$4,缺陷明细!$G$2:$G$50000,$C25,缺陷明细!$Q$2:$Q$50000,"已关闭",缺陷明细!$J$2:$J$50000,"运维测试",缺陷明细!$K$2:$K$50000,"严重")</f>
        <v>0</v>
      </c>
      <c r="AC25" s="68">
        <f t="shared" si="0"/>
        <v>0</v>
      </c>
      <c r="AD25" s="60">
        <f t="shared" si="0"/>
        <v>0</v>
      </c>
      <c r="AE25" s="60">
        <f t="shared" si="1"/>
        <v>0</v>
      </c>
      <c r="AF25" s="60">
        <f t="shared" si="1"/>
        <v>0</v>
      </c>
      <c r="AG25" s="60">
        <f t="shared" si="2"/>
        <v>0</v>
      </c>
      <c r="AH25" s="60">
        <f t="shared" si="2"/>
        <v>0</v>
      </c>
      <c r="AI25" s="60">
        <f t="shared" si="3"/>
        <v>0</v>
      </c>
      <c r="AJ25" s="61">
        <f t="shared" si="3"/>
        <v>0</v>
      </c>
      <c r="AK25" s="144"/>
    </row>
    <row r="26" spans="1:37">
      <c r="A26">
        <v>22</v>
      </c>
      <c r="B26" s="57" t="s">
        <v>1613</v>
      </c>
      <c r="C26" s="58" t="s">
        <v>1649</v>
      </c>
      <c r="D26" s="84" t="s">
        <v>1673</v>
      </c>
      <c r="E26" s="82" t="s">
        <v>346</v>
      </c>
      <c r="F26" s="158"/>
      <c r="G26" s="159"/>
      <c r="H26" s="281">
        <f>COUNTIFS(缺陷明细!$A$2:$A$50000,$B$4,缺陷明细!$G$2:$G$50000,$C26,缺陷明细!$J$2:$J$50000,"评审",缺陷明细!$AB$2:$AB$50000,"&lt;&gt;丢弃",缺陷明细!$AB$2:$AB$50000,"&lt;&gt;设计如此",缺陷明细!$AB$2:$AB$50000,"&lt;&gt;重复Bug")</f>
        <v>0</v>
      </c>
      <c r="I26" s="154">
        <f>COUNTIFS(缺陷明细!$A$2:$A$50000,$B$4,缺陷明细!$G$2:$G$50000,$C26,缺陷明细!$Q$2:$Q$50000,"已关闭",缺陷明细!$J$2:$J$50000,"评审")</f>
        <v>0</v>
      </c>
      <c r="J26" s="154">
        <f>COUNTIFS(缺陷明细!$A$2:$A$50000,$B$4,缺陷明细!$G$2:$G$50000,$C26,缺陷明细!$J$2:$J$50000,"单元测试",缺陷明细!$AB$2:$AB$50000,"&lt;&gt;丢弃",缺陷明细!$AB$2:$AB$50000,"&lt;&gt;设计如此",缺陷明细!$AB$2:$AB$50000,"&lt;&gt;重复Bug")</f>
        <v>0</v>
      </c>
      <c r="K26" s="155">
        <f>COUNTIFS(缺陷明细!$A$2:$A$50000,$B$4,缺陷明细!$G$2:$G$50000,$C26,缺陷明细!$Q$2:$Q$50000,"已关闭",缺陷明细!$J$2:$J$50000,"单元测试")</f>
        <v>0</v>
      </c>
      <c r="L26" s="156">
        <v>1</v>
      </c>
      <c r="M26" s="157"/>
      <c r="N26" s="72">
        <f>COUNTIFS(缺陷明细!$A$2:$A$50000,$B$4,缺陷明细!$G$2:$G$50000,$C26,缺陷明细!$J$2:$J$50000,"系统测试案例评审",缺陷明细!$AB$2:$AB$50000,"&lt;&gt;丢弃",缺陷明细!$AB$2:$AB$50000,"&lt;&gt;设计如此",缺陷明细!$AB$2:$AB$50000,"&lt;&gt;重复Bug")</f>
        <v>0</v>
      </c>
      <c r="O26" s="72">
        <f>COUNTIFS(缺陷明细!$A$2:$A$50000,$B$4,缺陷明细!$G$2:$G$50000,$C26,缺陷明细!$Q$2:$Q$50000,"已关闭",缺陷明细!$J$2:$J$50000,"系统测试案例评审")</f>
        <v>0</v>
      </c>
      <c r="P26" s="72">
        <f>COUNTIFS(缺陷明细!$A$2:$A$50000,$B$4,缺陷明细!$G$2:$G$50000,$C26,缺陷明细!$J$2:$J$50000,"系统测试",缺陷明细!$AB$2:$AB$50000,"&lt;&gt;丢弃",缺陷明细!$AB$2:$AB$50000,"&lt;&gt;设计如此",缺陷明细!$AB$2:$AB$50000,"&lt;&gt;重复Bug")</f>
        <v>0</v>
      </c>
      <c r="Q26" s="72">
        <f>COUNTIFS(缺陷明细!$A$2:$A$50000,$B$4,缺陷明细!$G$2:$G$50000,$C26,缺陷明细!$Q$2:$Q$50000,"已关闭",缺陷明细!$J$2:$J$50000,"系统测试")</f>
        <v>0</v>
      </c>
      <c r="R26" s="296">
        <f>COUNTIFS(缺陷明细!$A$2:$A$50000,$B$4,缺陷明细!$G$2:$G$50000,$C26,缺陷明细!$AB$2:$AB$50000,"丢弃",缺陷明细!$J$2:$J$50000,"系统测试")+COUNTIFS(缺陷明细!$A$2:$A$50000,$B$4,缺陷明细!$G$2:$G$50000,$C26,缺陷明细!$AB$2:$AB$50000,"设计如此",缺陷明细!$J$2:$J$50000,"系统测试")+COUNTIFS(缺陷明细!$A$2:$A$50000,$B$4,缺陷明细!$G$2:$G$50000,$C26,缺陷明细!$AB$2:$AB$50000,"重复Bug",缺陷明细!$J$2:$J$50000,"系统测试")</f>
        <v>0</v>
      </c>
      <c r="S26" s="72">
        <f>COUNTIFS(缺陷明细!$A$2:$A$50000,$B$4,缺陷明细!$G$2:$G$50000,$C26,缺陷明细!$J$2:$J$50000,"系统测试",缺陷明细!$K$2:$K$50000,"致命",缺陷明细!$AB$2:$AB$50000,"&lt;&gt;丢弃",缺陷明细!$AB$2:$AB$50000,"&lt;&gt;设计如此",缺陷明细!$AB$2:$AB$50000,"&lt;&gt;重复Bug")+COUNTIFS(缺陷明细!$A$2:$A$50000,$B$4,缺陷明细!$G$2:$G$50000,$C26,缺陷明细!$J$2:$J$50000,"系统测试",缺陷明细!$K$2:$K$50000,"严重",缺陷明细!$AB$2:$AB$50000,"&lt;&gt;丢弃",缺陷明细!$AB$2:$AB$50000,"&lt;&gt;设计如此",缺陷明细!$AB$2:$AB$50000,"&lt;&gt;重复Bug")</f>
        <v>0</v>
      </c>
      <c r="T26" s="73">
        <f>COUNTIFS(缺陷明细!$A$2:$A$50000,$B$4,缺陷明细!$G$2:$G$50000,$C26,缺陷明细!$Q$2:$Q$50000,"已关闭",缺陷明细!$J$2:$J$50000,"系统测试",缺陷明细!$K$2:$K$50000,"致命")+COUNTIFS(缺陷明细!$A$2:$A$50000,$B$4,缺陷明细!$G$2:$G$50000,$C26,缺陷明细!$Q$2:$Q$50000,"已关闭",缺陷明细!$J$2:$J$50000,"系统测试",缺陷明细!$K$2:$K$50000,"严重")</f>
        <v>0</v>
      </c>
      <c r="U26" s="74">
        <f>COUNTIFS(缺陷明细!$A$2:$A$50000,$B$4,缺陷明细!$G$2:$G$50000,$C26,缺陷明细!$J$2:$J$50000,"验收测试",缺陷明细!$AB$2:$AB$50000,"&lt;&gt;丢弃",缺陷明细!$AB$2:$AB$50000,"&lt;&gt;设计如此",缺陷明细!$AB$2:$AB$50000,"&lt;&gt;重复Bug")</f>
        <v>0</v>
      </c>
      <c r="V26" s="75">
        <f>COUNTIFS(缺陷明细!$A$2:$A$50000,$B$4,缺陷明细!$G$2:$G$50000,$C26,缺陷明细!$Q$2:$Q$50000,"已关闭",缺陷明细!$J$2:$J$50000,"验收测试")</f>
        <v>0</v>
      </c>
      <c r="W26" s="75">
        <f>COUNTIFS(缺陷明细!$A$2:$A$50000,$B$4,缺陷明细!$G$2:$G$50000,$C26,缺陷明细!$J$2:$J$50000,"验收测试",缺陷明细!$K$2:$K$50000,"致命",缺陷明细!$AB$2:$AB$50000,"&lt;&gt;丢弃",缺陷明细!$AB$2:$AB$50000,"&lt;&gt;设计如此",缺陷明细!$AB$2:$AB$50000,"&lt;&gt;重复Bug")+COUNTIFS(缺陷明细!$A$2:$A$50000,$B$4,缺陷明细!$G$2:$G$50000,$C26,缺陷明细!$J$2:$J$50000,"验收测试",缺陷明细!$K$2:$K$50000,"严重",缺陷明细!$AB$2:$AB$50000,"&lt;&gt;丢弃",缺陷明细!$AB$2:$AB$50000,"&lt;&gt;设计如此",缺陷明细!$AB$2:$AB$50000,"&lt;&gt;重复Bug")</f>
        <v>0</v>
      </c>
      <c r="X26" s="76">
        <f>COUNTIFS(缺陷明细!$A$2:$A$50000,$B$4,缺陷明细!$G$2:$G$50000,$C26,缺陷明细!$Q$2:$Q$50000,"已关闭",缺陷明细!$J$2:$J$50000,"验收测试",缺陷明细!$K$2:$K$50000,"致命")+COUNTIFS(缺陷明细!$A$2:$A$50000,$B$4,缺陷明细!$G$2:$G$50000,$C26,缺陷明细!$Q$2:$Q$50000,"已关闭",缺陷明细!$J$2:$J$50000,"验收测试",缺陷明细!$K$2:$K$50000,"严重")</f>
        <v>0</v>
      </c>
      <c r="Y26" s="70">
        <f>COUNTIFS(缺陷明细!$A$2:$A$50000,$B$4,缺陷明细!$G$2:$G$50000,$C26,缺陷明细!$J$2:$J$50000,"运维测试",缺陷明细!$AB$2:$AB$50000,"&lt;&gt;丢弃",缺陷明细!$AB$2:$AB$50000,"&lt;&gt;设计如此",缺陷明细!$AB$2:$AB$50000,"&lt;&gt;重复Bug")</f>
        <v>0</v>
      </c>
      <c r="Z26" s="71">
        <f>COUNTIFS(缺陷明细!$A$2:$A$50000,$B$4,缺陷明细!$G$2:$G$50000,$C26,缺陷明细!$Q$2:$Q$50000,"已关闭",缺陷明细!$J$2:$J$50000,"运维测试")</f>
        <v>0</v>
      </c>
      <c r="AA26" s="72">
        <f>COUNTIFS(缺陷明细!$A$2:$A$50000,$B$4,缺陷明细!$G$2:$G$50000,$C26,缺陷明细!$J$2:$J$50000,"运维测试",缺陷明细!$K$2:$K$50000,"致命",缺陷明细!$AB$2:$AB$50000,"&lt;&gt;丢弃",缺陷明细!$AB$2:$AB$50000,"&lt;&gt;设计如此",缺陷明细!$AB$2:$AB$50000,"&lt;&gt;重复Bug")+COUNTIFS(缺陷明细!$A$2:$A$50000,$B$4,缺陷明细!$G$2:$G$50000,$C26,缺陷明细!$J$2:$J$50000,"运维测试",缺陷明细!$K$2:$K$50000,"严重",缺陷明细!$AB$2:$AB$50000,"&lt;&gt;丢弃",缺陷明细!$AB$2:$AB$50000,"&lt;&gt;设计如此",缺陷明细!$AB$2:$AB$50000,"&lt;&gt;重复Bug")</f>
        <v>0</v>
      </c>
      <c r="AB26" s="73">
        <f>COUNTIFS(缺陷明细!$A$2:$A$50000,$B$4,缺陷明细!$G$2:$G$50000,$C26,缺陷明细!$Q$2:$Q$50000,"已关闭",缺陷明细!$J$2:$J$50000,"运维测试",缺陷明细!$K$2:$K$50000,"致命")+COUNTIFS(缺陷明细!$A$2:$A$50000,$B$4,缺陷明细!$G$2:$G$50000,$C26,缺陷明细!$Q$2:$Q$50000,"已关闭",缺陷明细!$J$2:$J$50000,"运维测试",缺陷明细!$K$2:$K$50000,"严重")</f>
        <v>0</v>
      </c>
      <c r="AC26" s="68">
        <f t="shared" si="0"/>
        <v>0</v>
      </c>
      <c r="AD26" s="60">
        <f t="shared" si="0"/>
        <v>0</v>
      </c>
      <c r="AE26" s="60">
        <f t="shared" si="1"/>
        <v>0</v>
      </c>
      <c r="AF26" s="60">
        <f t="shared" si="1"/>
        <v>0</v>
      </c>
      <c r="AG26" s="60">
        <f t="shared" si="2"/>
        <v>0</v>
      </c>
      <c r="AH26" s="60">
        <f t="shared" si="2"/>
        <v>0</v>
      </c>
      <c r="AI26" s="60">
        <f t="shared" si="3"/>
        <v>0</v>
      </c>
      <c r="AJ26" s="61">
        <f t="shared" si="3"/>
        <v>0</v>
      </c>
      <c r="AK26" s="144"/>
    </row>
    <row r="27" spans="1:37">
      <c r="A27">
        <v>23</v>
      </c>
      <c r="B27" s="57" t="s">
        <v>1612</v>
      </c>
      <c r="C27" s="58" t="s">
        <v>1650</v>
      </c>
      <c r="D27" s="84" t="s">
        <v>1673</v>
      </c>
      <c r="E27" s="82" t="s">
        <v>346</v>
      </c>
      <c r="F27" s="158"/>
      <c r="G27" s="159"/>
      <c r="H27" s="281">
        <f>COUNTIFS(缺陷明细!$A$2:$A$50000,$B$4,缺陷明细!$G$2:$G$50000,$C27,缺陷明细!$J$2:$J$50000,"评审",缺陷明细!$AB$2:$AB$50000,"&lt;&gt;丢弃",缺陷明细!$AB$2:$AB$50000,"&lt;&gt;设计如此",缺陷明细!$AB$2:$AB$50000,"&lt;&gt;重复Bug")</f>
        <v>0</v>
      </c>
      <c r="I27" s="154">
        <f>COUNTIFS(缺陷明细!$A$2:$A$50000,$B$4,缺陷明细!$G$2:$G$50000,$C27,缺陷明细!$Q$2:$Q$50000,"已关闭",缺陷明细!$J$2:$J$50000,"评审")</f>
        <v>0</v>
      </c>
      <c r="J27" s="154">
        <f>COUNTIFS(缺陷明细!$A$2:$A$50000,$B$4,缺陷明细!$G$2:$G$50000,$C27,缺陷明细!$J$2:$J$50000,"单元测试",缺陷明细!$AB$2:$AB$50000,"&lt;&gt;丢弃",缺陷明细!$AB$2:$AB$50000,"&lt;&gt;设计如此",缺陷明细!$AB$2:$AB$50000,"&lt;&gt;重复Bug")</f>
        <v>0</v>
      </c>
      <c r="K27" s="155">
        <f>COUNTIFS(缺陷明细!$A$2:$A$50000,$B$4,缺陷明细!$G$2:$G$50000,$C27,缺陷明细!$Q$2:$Q$50000,"已关闭",缺陷明细!$J$2:$J$50000,"单元测试")</f>
        <v>0</v>
      </c>
      <c r="L27" s="156">
        <v>3</v>
      </c>
      <c r="M27" s="157"/>
      <c r="N27" s="72">
        <f>COUNTIFS(缺陷明细!$A$2:$A$50000,$B$4,缺陷明细!$G$2:$G$50000,$C27,缺陷明细!$J$2:$J$50000,"系统测试案例评审",缺陷明细!$AB$2:$AB$50000,"&lt;&gt;丢弃",缺陷明细!$AB$2:$AB$50000,"&lt;&gt;设计如此",缺陷明细!$AB$2:$AB$50000,"&lt;&gt;重复Bug")</f>
        <v>0</v>
      </c>
      <c r="O27" s="72">
        <f>COUNTIFS(缺陷明细!$A$2:$A$50000,$B$4,缺陷明细!$G$2:$G$50000,$C27,缺陷明细!$Q$2:$Q$50000,"已关闭",缺陷明细!$J$2:$J$50000,"系统测试案例评审")</f>
        <v>0</v>
      </c>
      <c r="P27" s="72">
        <f>COUNTIFS(缺陷明细!$A$2:$A$50000,$B$4,缺陷明细!$G$2:$G$50000,$C27,缺陷明细!$J$2:$J$50000,"系统测试",缺陷明细!$AB$2:$AB$50000,"&lt;&gt;丢弃",缺陷明细!$AB$2:$AB$50000,"&lt;&gt;设计如此",缺陷明细!$AB$2:$AB$50000,"&lt;&gt;重复Bug")</f>
        <v>0</v>
      </c>
      <c r="Q27" s="72">
        <f>COUNTIFS(缺陷明细!$A$2:$A$50000,$B$4,缺陷明细!$G$2:$G$50000,$C27,缺陷明细!$Q$2:$Q$50000,"已关闭",缺陷明细!$J$2:$J$50000,"系统测试")</f>
        <v>0</v>
      </c>
      <c r="R27" s="296">
        <f>COUNTIFS(缺陷明细!$A$2:$A$50000,$B$4,缺陷明细!$G$2:$G$50000,$C27,缺陷明细!$AB$2:$AB$50000,"丢弃",缺陷明细!$J$2:$J$50000,"系统测试")+COUNTIFS(缺陷明细!$A$2:$A$50000,$B$4,缺陷明细!$G$2:$G$50000,$C27,缺陷明细!$AB$2:$AB$50000,"设计如此",缺陷明细!$J$2:$J$50000,"系统测试")+COUNTIFS(缺陷明细!$A$2:$A$50000,$B$4,缺陷明细!$G$2:$G$50000,$C27,缺陷明细!$AB$2:$AB$50000,"重复Bug",缺陷明细!$J$2:$J$50000,"系统测试")</f>
        <v>0</v>
      </c>
      <c r="S27" s="72">
        <f>COUNTIFS(缺陷明细!$A$2:$A$50000,$B$4,缺陷明细!$G$2:$G$50000,$C27,缺陷明细!$J$2:$J$50000,"系统测试",缺陷明细!$K$2:$K$50000,"致命",缺陷明细!$AB$2:$AB$50000,"&lt;&gt;丢弃",缺陷明细!$AB$2:$AB$50000,"&lt;&gt;设计如此",缺陷明细!$AB$2:$AB$50000,"&lt;&gt;重复Bug")+COUNTIFS(缺陷明细!$A$2:$A$50000,$B$4,缺陷明细!$G$2:$G$50000,$C27,缺陷明细!$J$2:$J$50000,"系统测试",缺陷明细!$K$2:$K$50000,"严重",缺陷明细!$AB$2:$AB$50000,"&lt;&gt;丢弃",缺陷明细!$AB$2:$AB$50000,"&lt;&gt;设计如此",缺陷明细!$AB$2:$AB$50000,"&lt;&gt;重复Bug")</f>
        <v>0</v>
      </c>
      <c r="T27" s="73">
        <f>COUNTIFS(缺陷明细!$A$2:$A$50000,$B$4,缺陷明细!$G$2:$G$50000,$C27,缺陷明细!$Q$2:$Q$50000,"已关闭",缺陷明细!$J$2:$J$50000,"系统测试",缺陷明细!$K$2:$K$50000,"致命")+COUNTIFS(缺陷明细!$A$2:$A$50000,$B$4,缺陷明细!$G$2:$G$50000,$C27,缺陷明细!$Q$2:$Q$50000,"已关闭",缺陷明细!$J$2:$J$50000,"系统测试",缺陷明细!$K$2:$K$50000,"严重")</f>
        <v>0</v>
      </c>
      <c r="U27" s="74">
        <f>COUNTIFS(缺陷明细!$A$2:$A$50000,$B$4,缺陷明细!$G$2:$G$50000,$C27,缺陷明细!$J$2:$J$50000,"验收测试",缺陷明细!$AB$2:$AB$50000,"&lt;&gt;丢弃",缺陷明细!$AB$2:$AB$50000,"&lt;&gt;设计如此",缺陷明细!$AB$2:$AB$50000,"&lt;&gt;重复Bug")</f>
        <v>0</v>
      </c>
      <c r="V27" s="75">
        <f>COUNTIFS(缺陷明细!$A$2:$A$50000,$B$4,缺陷明细!$G$2:$G$50000,$C27,缺陷明细!$Q$2:$Q$50000,"已关闭",缺陷明细!$J$2:$J$50000,"验收测试")</f>
        <v>0</v>
      </c>
      <c r="W27" s="75">
        <f>COUNTIFS(缺陷明细!$A$2:$A$50000,$B$4,缺陷明细!$G$2:$G$50000,$C27,缺陷明细!$J$2:$J$50000,"验收测试",缺陷明细!$K$2:$K$50000,"致命",缺陷明细!$AB$2:$AB$50000,"&lt;&gt;丢弃",缺陷明细!$AB$2:$AB$50000,"&lt;&gt;设计如此",缺陷明细!$AB$2:$AB$50000,"&lt;&gt;重复Bug")+COUNTIFS(缺陷明细!$A$2:$A$50000,$B$4,缺陷明细!$G$2:$G$50000,$C27,缺陷明细!$J$2:$J$50000,"验收测试",缺陷明细!$K$2:$K$50000,"严重",缺陷明细!$AB$2:$AB$50000,"&lt;&gt;丢弃",缺陷明细!$AB$2:$AB$50000,"&lt;&gt;设计如此",缺陷明细!$AB$2:$AB$50000,"&lt;&gt;重复Bug")</f>
        <v>0</v>
      </c>
      <c r="X27" s="76">
        <f>COUNTIFS(缺陷明细!$A$2:$A$50000,$B$4,缺陷明细!$G$2:$G$50000,$C27,缺陷明细!$Q$2:$Q$50000,"已关闭",缺陷明细!$J$2:$J$50000,"验收测试",缺陷明细!$K$2:$K$50000,"致命")+COUNTIFS(缺陷明细!$A$2:$A$50000,$B$4,缺陷明细!$G$2:$G$50000,$C27,缺陷明细!$Q$2:$Q$50000,"已关闭",缺陷明细!$J$2:$J$50000,"验收测试",缺陷明细!$K$2:$K$50000,"严重")</f>
        <v>0</v>
      </c>
      <c r="Y27" s="70">
        <f>COUNTIFS(缺陷明细!$A$2:$A$50000,$B$4,缺陷明细!$G$2:$G$50000,$C27,缺陷明细!$J$2:$J$50000,"运维测试",缺陷明细!$AB$2:$AB$50000,"&lt;&gt;丢弃",缺陷明细!$AB$2:$AB$50000,"&lt;&gt;设计如此",缺陷明细!$AB$2:$AB$50000,"&lt;&gt;重复Bug")</f>
        <v>0</v>
      </c>
      <c r="Z27" s="71">
        <f>COUNTIFS(缺陷明细!$A$2:$A$50000,$B$4,缺陷明细!$G$2:$G$50000,$C27,缺陷明细!$Q$2:$Q$50000,"已关闭",缺陷明细!$J$2:$J$50000,"运维测试")</f>
        <v>0</v>
      </c>
      <c r="AA27" s="72">
        <f>COUNTIFS(缺陷明细!$A$2:$A$50000,$B$4,缺陷明细!$G$2:$G$50000,$C27,缺陷明细!$J$2:$J$50000,"运维测试",缺陷明细!$K$2:$K$50000,"致命",缺陷明细!$AB$2:$AB$50000,"&lt;&gt;丢弃",缺陷明细!$AB$2:$AB$50000,"&lt;&gt;设计如此",缺陷明细!$AB$2:$AB$50000,"&lt;&gt;重复Bug")+COUNTIFS(缺陷明细!$A$2:$A$50000,$B$4,缺陷明细!$G$2:$G$50000,$C27,缺陷明细!$J$2:$J$50000,"运维测试",缺陷明细!$K$2:$K$50000,"严重",缺陷明细!$AB$2:$AB$50000,"&lt;&gt;丢弃",缺陷明细!$AB$2:$AB$50000,"&lt;&gt;设计如此",缺陷明细!$AB$2:$AB$50000,"&lt;&gt;重复Bug")</f>
        <v>0</v>
      </c>
      <c r="AB27" s="73">
        <f>COUNTIFS(缺陷明细!$A$2:$A$50000,$B$4,缺陷明细!$G$2:$G$50000,$C27,缺陷明细!$Q$2:$Q$50000,"已关闭",缺陷明细!$J$2:$J$50000,"运维测试",缺陷明细!$K$2:$K$50000,"致命")+COUNTIFS(缺陷明细!$A$2:$A$50000,$B$4,缺陷明细!$G$2:$G$50000,$C27,缺陷明细!$Q$2:$Q$50000,"已关闭",缺陷明细!$J$2:$J$50000,"运维测试",缺陷明细!$K$2:$K$50000,"严重")</f>
        <v>0</v>
      </c>
      <c r="AC27" s="68">
        <f t="shared" si="0"/>
        <v>0</v>
      </c>
      <c r="AD27" s="60">
        <f t="shared" si="0"/>
        <v>0</v>
      </c>
      <c r="AE27" s="60">
        <f t="shared" si="1"/>
        <v>0</v>
      </c>
      <c r="AF27" s="60">
        <f t="shared" si="1"/>
        <v>0</v>
      </c>
      <c r="AG27" s="60">
        <f t="shared" si="2"/>
        <v>0</v>
      </c>
      <c r="AH27" s="60">
        <f t="shared" si="2"/>
        <v>0</v>
      </c>
      <c r="AI27" s="60">
        <f t="shared" si="3"/>
        <v>0</v>
      </c>
      <c r="AJ27" s="61">
        <f t="shared" si="3"/>
        <v>0</v>
      </c>
      <c r="AK27" s="144"/>
    </row>
    <row r="28" spans="1:37">
      <c r="A28">
        <v>24</v>
      </c>
      <c r="B28" s="57" t="s">
        <v>1611</v>
      </c>
      <c r="C28" s="58" t="s">
        <v>1651</v>
      </c>
      <c r="D28" s="84" t="s">
        <v>1673</v>
      </c>
      <c r="E28" s="82" t="s">
        <v>346</v>
      </c>
      <c r="F28" s="158"/>
      <c r="G28" s="159"/>
      <c r="H28" s="281">
        <f>COUNTIFS(缺陷明细!$A$2:$A$50000,$B$4,缺陷明细!$G$2:$G$50000,$C28,缺陷明细!$J$2:$J$50000,"评审",缺陷明细!$AB$2:$AB$50000,"&lt;&gt;丢弃",缺陷明细!$AB$2:$AB$50000,"&lt;&gt;设计如此",缺陷明细!$AB$2:$AB$50000,"&lt;&gt;重复Bug")</f>
        <v>0</v>
      </c>
      <c r="I28" s="154">
        <f>COUNTIFS(缺陷明细!$A$2:$A$50000,$B$4,缺陷明细!$G$2:$G$50000,$C28,缺陷明细!$Q$2:$Q$50000,"已关闭",缺陷明细!$J$2:$J$50000,"评审")</f>
        <v>0</v>
      </c>
      <c r="J28" s="154">
        <f>COUNTIFS(缺陷明细!$A$2:$A$50000,$B$4,缺陷明细!$G$2:$G$50000,$C28,缺陷明细!$J$2:$J$50000,"单元测试",缺陷明细!$AB$2:$AB$50000,"&lt;&gt;丢弃",缺陷明细!$AB$2:$AB$50000,"&lt;&gt;设计如此",缺陷明细!$AB$2:$AB$50000,"&lt;&gt;重复Bug")</f>
        <v>0</v>
      </c>
      <c r="K28" s="155">
        <f>COUNTIFS(缺陷明细!$A$2:$A$50000,$B$4,缺陷明细!$G$2:$G$50000,$C28,缺陷明细!$Q$2:$Q$50000,"已关闭",缺陷明细!$J$2:$J$50000,"单元测试")</f>
        <v>0</v>
      </c>
      <c r="L28" s="156">
        <v>1</v>
      </c>
      <c r="M28" s="157"/>
      <c r="N28" s="72">
        <f>COUNTIFS(缺陷明细!$A$2:$A$50000,$B$4,缺陷明细!$G$2:$G$50000,$C28,缺陷明细!$J$2:$J$50000,"系统测试案例评审",缺陷明细!$AB$2:$AB$50000,"&lt;&gt;丢弃",缺陷明细!$AB$2:$AB$50000,"&lt;&gt;设计如此",缺陷明细!$AB$2:$AB$50000,"&lt;&gt;重复Bug")</f>
        <v>0</v>
      </c>
      <c r="O28" s="72">
        <f>COUNTIFS(缺陷明细!$A$2:$A$50000,$B$4,缺陷明细!$G$2:$G$50000,$C28,缺陷明细!$Q$2:$Q$50000,"已关闭",缺陷明细!$J$2:$J$50000,"系统测试案例评审")</f>
        <v>0</v>
      </c>
      <c r="P28" s="72">
        <f>COUNTIFS(缺陷明细!$A$2:$A$50000,$B$4,缺陷明细!$G$2:$G$50000,$C28,缺陷明细!$J$2:$J$50000,"系统测试",缺陷明细!$AB$2:$AB$50000,"&lt;&gt;丢弃",缺陷明细!$AB$2:$AB$50000,"&lt;&gt;设计如此",缺陷明细!$AB$2:$AB$50000,"&lt;&gt;重复Bug")</f>
        <v>0</v>
      </c>
      <c r="Q28" s="72">
        <f>COUNTIFS(缺陷明细!$A$2:$A$50000,$B$4,缺陷明细!$G$2:$G$50000,$C28,缺陷明细!$Q$2:$Q$50000,"已关闭",缺陷明细!$J$2:$J$50000,"系统测试")</f>
        <v>0</v>
      </c>
      <c r="R28" s="296">
        <f>COUNTIFS(缺陷明细!$A$2:$A$50000,$B$4,缺陷明细!$G$2:$G$50000,$C28,缺陷明细!$AB$2:$AB$50000,"丢弃",缺陷明细!$J$2:$J$50000,"系统测试")+COUNTIFS(缺陷明细!$A$2:$A$50000,$B$4,缺陷明细!$G$2:$G$50000,$C28,缺陷明细!$AB$2:$AB$50000,"设计如此",缺陷明细!$J$2:$J$50000,"系统测试")+COUNTIFS(缺陷明细!$A$2:$A$50000,$B$4,缺陷明细!$G$2:$G$50000,$C28,缺陷明细!$AB$2:$AB$50000,"重复Bug",缺陷明细!$J$2:$J$50000,"系统测试")</f>
        <v>0</v>
      </c>
      <c r="S28" s="72">
        <f>COUNTIFS(缺陷明细!$A$2:$A$50000,$B$4,缺陷明细!$G$2:$G$50000,$C28,缺陷明细!$J$2:$J$50000,"系统测试",缺陷明细!$K$2:$K$50000,"致命",缺陷明细!$AB$2:$AB$50000,"&lt;&gt;丢弃",缺陷明细!$AB$2:$AB$50000,"&lt;&gt;设计如此",缺陷明细!$AB$2:$AB$50000,"&lt;&gt;重复Bug")+COUNTIFS(缺陷明细!$A$2:$A$50000,$B$4,缺陷明细!$G$2:$G$50000,$C28,缺陷明细!$J$2:$J$50000,"系统测试",缺陷明细!$K$2:$K$50000,"严重",缺陷明细!$AB$2:$AB$50000,"&lt;&gt;丢弃",缺陷明细!$AB$2:$AB$50000,"&lt;&gt;设计如此",缺陷明细!$AB$2:$AB$50000,"&lt;&gt;重复Bug")</f>
        <v>0</v>
      </c>
      <c r="T28" s="73">
        <f>COUNTIFS(缺陷明细!$A$2:$A$50000,$B$4,缺陷明细!$G$2:$G$50000,$C28,缺陷明细!$Q$2:$Q$50000,"已关闭",缺陷明细!$J$2:$J$50000,"系统测试",缺陷明细!$K$2:$K$50000,"致命")+COUNTIFS(缺陷明细!$A$2:$A$50000,$B$4,缺陷明细!$G$2:$G$50000,$C28,缺陷明细!$Q$2:$Q$50000,"已关闭",缺陷明细!$J$2:$J$50000,"系统测试",缺陷明细!$K$2:$K$50000,"严重")</f>
        <v>0</v>
      </c>
      <c r="U28" s="74">
        <f>COUNTIFS(缺陷明细!$A$2:$A$50000,$B$4,缺陷明细!$G$2:$G$50000,$C28,缺陷明细!$J$2:$J$50000,"验收测试",缺陷明细!$AB$2:$AB$50000,"&lt;&gt;丢弃",缺陷明细!$AB$2:$AB$50000,"&lt;&gt;设计如此",缺陷明细!$AB$2:$AB$50000,"&lt;&gt;重复Bug")</f>
        <v>0</v>
      </c>
      <c r="V28" s="75">
        <f>COUNTIFS(缺陷明细!$A$2:$A$50000,$B$4,缺陷明细!$G$2:$G$50000,$C28,缺陷明细!$Q$2:$Q$50000,"已关闭",缺陷明细!$J$2:$J$50000,"验收测试")</f>
        <v>0</v>
      </c>
      <c r="W28" s="75">
        <f>COUNTIFS(缺陷明细!$A$2:$A$50000,$B$4,缺陷明细!$G$2:$G$50000,$C28,缺陷明细!$J$2:$J$50000,"验收测试",缺陷明细!$K$2:$K$50000,"致命",缺陷明细!$AB$2:$AB$50000,"&lt;&gt;丢弃",缺陷明细!$AB$2:$AB$50000,"&lt;&gt;设计如此",缺陷明细!$AB$2:$AB$50000,"&lt;&gt;重复Bug")+COUNTIFS(缺陷明细!$A$2:$A$50000,$B$4,缺陷明细!$G$2:$G$50000,$C28,缺陷明细!$J$2:$J$50000,"验收测试",缺陷明细!$K$2:$K$50000,"严重",缺陷明细!$AB$2:$AB$50000,"&lt;&gt;丢弃",缺陷明细!$AB$2:$AB$50000,"&lt;&gt;设计如此",缺陷明细!$AB$2:$AB$50000,"&lt;&gt;重复Bug")</f>
        <v>0</v>
      </c>
      <c r="X28" s="76">
        <f>COUNTIFS(缺陷明细!$A$2:$A$50000,$B$4,缺陷明细!$G$2:$G$50000,$C28,缺陷明细!$Q$2:$Q$50000,"已关闭",缺陷明细!$J$2:$J$50000,"验收测试",缺陷明细!$K$2:$K$50000,"致命")+COUNTIFS(缺陷明细!$A$2:$A$50000,$B$4,缺陷明细!$G$2:$G$50000,$C28,缺陷明细!$Q$2:$Q$50000,"已关闭",缺陷明细!$J$2:$J$50000,"验收测试",缺陷明细!$K$2:$K$50000,"严重")</f>
        <v>0</v>
      </c>
      <c r="Y28" s="70">
        <f>COUNTIFS(缺陷明细!$A$2:$A$50000,$B$4,缺陷明细!$G$2:$G$50000,$C28,缺陷明细!$J$2:$J$50000,"运维测试",缺陷明细!$AB$2:$AB$50000,"&lt;&gt;丢弃",缺陷明细!$AB$2:$AB$50000,"&lt;&gt;设计如此",缺陷明细!$AB$2:$AB$50000,"&lt;&gt;重复Bug")</f>
        <v>0</v>
      </c>
      <c r="Z28" s="71">
        <f>COUNTIFS(缺陷明细!$A$2:$A$50000,$B$4,缺陷明细!$G$2:$G$50000,$C28,缺陷明细!$Q$2:$Q$50000,"已关闭",缺陷明细!$J$2:$J$50000,"运维测试")</f>
        <v>0</v>
      </c>
      <c r="AA28" s="72">
        <f>COUNTIFS(缺陷明细!$A$2:$A$50000,$B$4,缺陷明细!$G$2:$G$50000,$C28,缺陷明细!$J$2:$J$50000,"运维测试",缺陷明细!$K$2:$K$50000,"致命",缺陷明细!$AB$2:$AB$50000,"&lt;&gt;丢弃",缺陷明细!$AB$2:$AB$50000,"&lt;&gt;设计如此",缺陷明细!$AB$2:$AB$50000,"&lt;&gt;重复Bug")+COUNTIFS(缺陷明细!$A$2:$A$50000,$B$4,缺陷明细!$G$2:$G$50000,$C28,缺陷明细!$J$2:$J$50000,"运维测试",缺陷明细!$K$2:$K$50000,"严重",缺陷明细!$AB$2:$AB$50000,"&lt;&gt;丢弃",缺陷明细!$AB$2:$AB$50000,"&lt;&gt;设计如此",缺陷明细!$AB$2:$AB$50000,"&lt;&gt;重复Bug")</f>
        <v>0</v>
      </c>
      <c r="AB28" s="73">
        <f>COUNTIFS(缺陷明细!$A$2:$A$50000,$B$4,缺陷明细!$G$2:$G$50000,$C28,缺陷明细!$Q$2:$Q$50000,"已关闭",缺陷明细!$J$2:$J$50000,"运维测试",缺陷明细!$K$2:$K$50000,"致命")+COUNTIFS(缺陷明细!$A$2:$A$50000,$B$4,缺陷明细!$G$2:$G$50000,$C28,缺陷明细!$Q$2:$Q$50000,"已关闭",缺陷明细!$J$2:$J$50000,"运维测试",缺陷明细!$K$2:$K$50000,"严重")</f>
        <v>0</v>
      </c>
      <c r="AC28" s="68">
        <f t="shared" si="0"/>
        <v>0</v>
      </c>
      <c r="AD28" s="60">
        <f t="shared" si="0"/>
        <v>0</v>
      </c>
      <c r="AE28" s="60">
        <f t="shared" si="1"/>
        <v>0</v>
      </c>
      <c r="AF28" s="60">
        <f t="shared" si="1"/>
        <v>0</v>
      </c>
      <c r="AG28" s="60">
        <f t="shared" si="2"/>
        <v>0</v>
      </c>
      <c r="AH28" s="60">
        <f t="shared" si="2"/>
        <v>0</v>
      </c>
      <c r="AI28" s="60">
        <f t="shared" si="3"/>
        <v>0</v>
      </c>
      <c r="AJ28" s="61">
        <f t="shared" si="3"/>
        <v>0</v>
      </c>
      <c r="AK28" s="144"/>
    </row>
    <row r="29" spans="1:37">
      <c r="A29">
        <v>25</v>
      </c>
      <c r="B29" s="57" t="s">
        <v>1610</v>
      </c>
      <c r="C29" s="58" t="s">
        <v>1652</v>
      </c>
      <c r="D29" s="84" t="s">
        <v>1675</v>
      </c>
      <c r="E29" s="82" t="s">
        <v>346</v>
      </c>
      <c r="F29" s="158"/>
      <c r="G29" s="159"/>
      <c r="H29" s="281">
        <f>COUNTIFS(缺陷明细!$A$2:$A$50000,$B$4,缺陷明细!$G$2:$G$50000,$C29,缺陷明细!$J$2:$J$50000,"评审",缺陷明细!$AB$2:$AB$50000,"&lt;&gt;丢弃",缺陷明细!$AB$2:$AB$50000,"&lt;&gt;设计如此",缺陷明细!$AB$2:$AB$50000,"&lt;&gt;重复Bug")</f>
        <v>0</v>
      </c>
      <c r="I29" s="154">
        <f>COUNTIFS(缺陷明细!$A$2:$A$50000,$B$4,缺陷明细!$G$2:$G$50000,$C29,缺陷明细!$Q$2:$Q$50000,"已关闭",缺陷明细!$J$2:$J$50000,"评审")</f>
        <v>0</v>
      </c>
      <c r="J29" s="154">
        <f>COUNTIFS(缺陷明细!$A$2:$A$50000,$B$4,缺陷明细!$G$2:$G$50000,$C29,缺陷明细!$J$2:$J$50000,"单元测试",缺陷明细!$AB$2:$AB$50000,"&lt;&gt;丢弃",缺陷明细!$AB$2:$AB$50000,"&lt;&gt;设计如此",缺陷明细!$AB$2:$AB$50000,"&lt;&gt;重复Bug")</f>
        <v>0</v>
      </c>
      <c r="K29" s="155">
        <f>COUNTIFS(缺陷明细!$A$2:$A$50000,$B$4,缺陷明细!$G$2:$G$50000,$C29,缺陷明细!$Q$2:$Q$50000,"已关闭",缺陷明细!$J$2:$J$50000,"单元测试")</f>
        <v>0</v>
      </c>
      <c r="L29" s="156">
        <v>4</v>
      </c>
      <c r="M29" s="157"/>
      <c r="N29" s="72">
        <f>COUNTIFS(缺陷明细!$A$2:$A$50000,$B$4,缺陷明细!$G$2:$G$50000,$C29,缺陷明细!$J$2:$J$50000,"系统测试案例评审",缺陷明细!$AB$2:$AB$50000,"&lt;&gt;丢弃",缺陷明细!$AB$2:$AB$50000,"&lt;&gt;设计如此",缺陷明细!$AB$2:$AB$50000,"&lt;&gt;重复Bug")</f>
        <v>0</v>
      </c>
      <c r="O29" s="72">
        <f>COUNTIFS(缺陷明细!$A$2:$A$50000,$B$4,缺陷明细!$G$2:$G$50000,$C29,缺陷明细!$Q$2:$Q$50000,"已关闭",缺陷明细!$J$2:$J$50000,"系统测试案例评审")</f>
        <v>0</v>
      </c>
      <c r="P29" s="72">
        <f>COUNTIFS(缺陷明细!$A$2:$A$50000,$B$4,缺陷明细!$G$2:$G$50000,$C29,缺陷明细!$J$2:$J$50000,"系统测试",缺陷明细!$AB$2:$AB$50000,"&lt;&gt;丢弃",缺陷明细!$AB$2:$AB$50000,"&lt;&gt;设计如此",缺陷明细!$AB$2:$AB$50000,"&lt;&gt;重复Bug")</f>
        <v>0</v>
      </c>
      <c r="Q29" s="72">
        <f>COUNTIFS(缺陷明细!$A$2:$A$50000,$B$4,缺陷明细!$G$2:$G$50000,$C29,缺陷明细!$Q$2:$Q$50000,"已关闭",缺陷明细!$J$2:$J$50000,"系统测试")</f>
        <v>0</v>
      </c>
      <c r="R29" s="296">
        <f>COUNTIFS(缺陷明细!$A$2:$A$50000,$B$4,缺陷明细!$G$2:$G$50000,$C29,缺陷明细!$AB$2:$AB$50000,"丢弃",缺陷明细!$J$2:$J$50000,"系统测试")+COUNTIFS(缺陷明细!$A$2:$A$50000,$B$4,缺陷明细!$G$2:$G$50000,$C29,缺陷明细!$AB$2:$AB$50000,"设计如此",缺陷明细!$J$2:$J$50000,"系统测试")+COUNTIFS(缺陷明细!$A$2:$A$50000,$B$4,缺陷明细!$G$2:$G$50000,$C29,缺陷明细!$AB$2:$AB$50000,"重复Bug",缺陷明细!$J$2:$J$50000,"系统测试")</f>
        <v>0</v>
      </c>
      <c r="S29" s="72">
        <f>COUNTIFS(缺陷明细!$A$2:$A$50000,$B$4,缺陷明细!$G$2:$G$50000,$C29,缺陷明细!$J$2:$J$50000,"系统测试",缺陷明细!$K$2:$K$50000,"致命",缺陷明细!$AB$2:$AB$50000,"&lt;&gt;丢弃",缺陷明细!$AB$2:$AB$50000,"&lt;&gt;设计如此",缺陷明细!$AB$2:$AB$50000,"&lt;&gt;重复Bug")+COUNTIFS(缺陷明细!$A$2:$A$50000,$B$4,缺陷明细!$G$2:$G$50000,$C29,缺陷明细!$J$2:$J$50000,"系统测试",缺陷明细!$K$2:$K$50000,"严重",缺陷明细!$AB$2:$AB$50000,"&lt;&gt;丢弃",缺陷明细!$AB$2:$AB$50000,"&lt;&gt;设计如此",缺陷明细!$AB$2:$AB$50000,"&lt;&gt;重复Bug")</f>
        <v>0</v>
      </c>
      <c r="T29" s="73">
        <f>COUNTIFS(缺陷明细!$A$2:$A$50000,$B$4,缺陷明细!$G$2:$G$50000,$C29,缺陷明细!$Q$2:$Q$50000,"已关闭",缺陷明细!$J$2:$J$50000,"系统测试",缺陷明细!$K$2:$K$50000,"致命")+COUNTIFS(缺陷明细!$A$2:$A$50000,$B$4,缺陷明细!$G$2:$G$50000,$C29,缺陷明细!$Q$2:$Q$50000,"已关闭",缺陷明细!$J$2:$J$50000,"系统测试",缺陷明细!$K$2:$K$50000,"严重")</f>
        <v>0</v>
      </c>
      <c r="U29" s="74">
        <f>COUNTIFS(缺陷明细!$A$2:$A$50000,$B$4,缺陷明细!$G$2:$G$50000,$C29,缺陷明细!$J$2:$J$50000,"验收测试",缺陷明细!$AB$2:$AB$50000,"&lt;&gt;丢弃",缺陷明细!$AB$2:$AB$50000,"&lt;&gt;设计如此",缺陷明细!$AB$2:$AB$50000,"&lt;&gt;重复Bug")</f>
        <v>0</v>
      </c>
      <c r="V29" s="75">
        <f>COUNTIFS(缺陷明细!$A$2:$A$50000,$B$4,缺陷明细!$G$2:$G$50000,$C29,缺陷明细!$Q$2:$Q$50000,"已关闭",缺陷明细!$J$2:$J$50000,"验收测试")</f>
        <v>0</v>
      </c>
      <c r="W29" s="75">
        <f>COUNTIFS(缺陷明细!$A$2:$A$50000,$B$4,缺陷明细!$G$2:$G$50000,$C29,缺陷明细!$J$2:$J$50000,"验收测试",缺陷明细!$K$2:$K$50000,"致命",缺陷明细!$AB$2:$AB$50000,"&lt;&gt;丢弃",缺陷明细!$AB$2:$AB$50000,"&lt;&gt;设计如此",缺陷明细!$AB$2:$AB$50000,"&lt;&gt;重复Bug")+COUNTIFS(缺陷明细!$A$2:$A$50000,$B$4,缺陷明细!$G$2:$G$50000,$C29,缺陷明细!$J$2:$J$50000,"验收测试",缺陷明细!$K$2:$K$50000,"严重",缺陷明细!$AB$2:$AB$50000,"&lt;&gt;丢弃",缺陷明细!$AB$2:$AB$50000,"&lt;&gt;设计如此",缺陷明细!$AB$2:$AB$50000,"&lt;&gt;重复Bug")</f>
        <v>0</v>
      </c>
      <c r="X29" s="76">
        <f>COUNTIFS(缺陷明细!$A$2:$A$50000,$B$4,缺陷明细!$G$2:$G$50000,$C29,缺陷明细!$Q$2:$Q$50000,"已关闭",缺陷明细!$J$2:$J$50000,"验收测试",缺陷明细!$K$2:$K$50000,"致命")+COUNTIFS(缺陷明细!$A$2:$A$50000,$B$4,缺陷明细!$G$2:$G$50000,$C29,缺陷明细!$Q$2:$Q$50000,"已关闭",缺陷明细!$J$2:$J$50000,"验收测试",缺陷明细!$K$2:$K$50000,"严重")</f>
        <v>0</v>
      </c>
      <c r="Y29" s="70">
        <f>COUNTIFS(缺陷明细!$A$2:$A$50000,$B$4,缺陷明细!$G$2:$G$50000,$C29,缺陷明细!$J$2:$J$50000,"运维测试",缺陷明细!$AB$2:$AB$50000,"&lt;&gt;丢弃",缺陷明细!$AB$2:$AB$50000,"&lt;&gt;设计如此",缺陷明细!$AB$2:$AB$50000,"&lt;&gt;重复Bug")</f>
        <v>0</v>
      </c>
      <c r="Z29" s="71">
        <f>COUNTIFS(缺陷明细!$A$2:$A$50000,$B$4,缺陷明细!$G$2:$G$50000,$C29,缺陷明细!$Q$2:$Q$50000,"已关闭",缺陷明细!$J$2:$J$50000,"运维测试")</f>
        <v>0</v>
      </c>
      <c r="AA29" s="72">
        <f>COUNTIFS(缺陷明细!$A$2:$A$50000,$B$4,缺陷明细!$G$2:$G$50000,$C29,缺陷明细!$J$2:$J$50000,"运维测试",缺陷明细!$K$2:$K$50000,"致命",缺陷明细!$AB$2:$AB$50000,"&lt;&gt;丢弃",缺陷明细!$AB$2:$AB$50000,"&lt;&gt;设计如此",缺陷明细!$AB$2:$AB$50000,"&lt;&gt;重复Bug")+COUNTIFS(缺陷明细!$A$2:$A$50000,$B$4,缺陷明细!$G$2:$G$50000,$C29,缺陷明细!$J$2:$J$50000,"运维测试",缺陷明细!$K$2:$K$50000,"严重",缺陷明细!$AB$2:$AB$50000,"&lt;&gt;丢弃",缺陷明细!$AB$2:$AB$50000,"&lt;&gt;设计如此",缺陷明细!$AB$2:$AB$50000,"&lt;&gt;重复Bug")</f>
        <v>0</v>
      </c>
      <c r="AB29" s="73">
        <f>COUNTIFS(缺陷明细!$A$2:$A$50000,$B$4,缺陷明细!$G$2:$G$50000,$C29,缺陷明细!$Q$2:$Q$50000,"已关闭",缺陷明细!$J$2:$J$50000,"运维测试",缺陷明细!$K$2:$K$50000,"致命")+COUNTIFS(缺陷明细!$A$2:$A$50000,$B$4,缺陷明细!$G$2:$G$50000,$C29,缺陷明细!$Q$2:$Q$50000,"已关闭",缺陷明细!$J$2:$J$50000,"运维测试",缺陷明细!$K$2:$K$50000,"严重")</f>
        <v>0</v>
      </c>
      <c r="AC29" s="68">
        <f t="shared" si="0"/>
        <v>0</v>
      </c>
      <c r="AD29" s="60">
        <f t="shared" si="0"/>
        <v>0</v>
      </c>
      <c r="AE29" s="60">
        <f t="shared" si="1"/>
        <v>0</v>
      </c>
      <c r="AF29" s="60">
        <f t="shared" si="1"/>
        <v>0</v>
      </c>
      <c r="AG29" s="60">
        <f t="shared" si="2"/>
        <v>0</v>
      </c>
      <c r="AH29" s="60">
        <f t="shared" si="2"/>
        <v>0</v>
      </c>
      <c r="AI29" s="60">
        <f t="shared" si="3"/>
        <v>0</v>
      </c>
      <c r="AJ29" s="61">
        <f t="shared" si="3"/>
        <v>0</v>
      </c>
      <c r="AK29" s="144"/>
    </row>
    <row r="30" spans="1:37">
      <c r="A30">
        <v>26</v>
      </c>
      <c r="B30" s="57" t="s">
        <v>1609</v>
      </c>
      <c r="C30" s="58" t="s">
        <v>1653</v>
      </c>
      <c r="D30" s="84" t="s">
        <v>1674</v>
      </c>
      <c r="E30" s="82" t="s">
        <v>346</v>
      </c>
      <c r="F30" s="158"/>
      <c r="G30" s="159"/>
      <c r="H30" s="281">
        <f>COUNTIFS(缺陷明细!$A$2:$A$50000,$B$4,缺陷明细!$G$2:$G$50000,$C30,缺陷明细!$J$2:$J$50000,"评审",缺陷明细!$AB$2:$AB$50000,"&lt;&gt;丢弃",缺陷明细!$AB$2:$AB$50000,"&lt;&gt;设计如此",缺陷明细!$AB$2:$AB$50000,"&lt;&gt;重复Bug")</f>
        <v>0</v>
      </c>
      <c r="I30" s="154">
        <f>COUNTIFS(缺陷明细!$A$2:$A$50000,$B$4,缺陷明细!$G$2:$G$50000,$C30,缺陷明细!$Q$2:$Q$50000,"已关闭",缺陷明细!$J$2:$J$50000,"评审")</f>
        <v>0</v>
      </c>
      <c r="J30" s="154">
        <f>COUNTIFS(缺陷明细!$A$2:$A$50000,$B$4,缺陷明细!$G$2:$G$50000,$C30,缺陷明细!$J$2:$J$50000,"单元测试",缺陷明细!$AB$2:$AB$50000,"&lt;&gt;丢弃",缺陷明细!$AB$2:$AB$50000,"&lt;&gt;设计如此",缺陷明细!$AB$2:$AB$50000,"&lt;&gt;重复Bug")</f>
        <v>0</v>
      </c>
      <c r="K30" s="155">
        <f>COUNTIFS(缺陷明细!$A$2:$A$50000,$B$4,缺陷明细!$G$2:$G$50000,$C30,缺陷明细!$Q$2:$Q$50000,"已关闭",缺陷明细!$J$2:$J$50000,"单元测试")</f>
        <v>0</v>
      </c>
      <c r="L30" s="156">
        <v>1</v>
      </c>
      <c r="M30" s="157"/>
      <c r="N30" s="72">
        <f>COUNTIFS(缺陷明细!$A$2:$A$50000,$B$4,缺陷明细!$G$2:$G$50000,$C30,缺陷明细!$J$2:$J$50000,"系统测试案例评审",缺陷明细!$AB$2:$AB$50000,"&lt;&gt;丢弃",缺陷明细!$AB$2:$AB$50000,"&lt;&gt;设计如此",缺陷明细!$AB$2:$AB$50000,"&lt;&gt;重复Bug")</f>
        <v>0</v>
      </c>
      <c r="O30" s="72">
        <f>COUNTIFS(缺陷明细!$A$2:$A$50000,$B$4,缺陷明细!$G$2:$G$50000,$C30,缺陷明细!$Q$2:$Q$50000,"已关闭",缺陷明细!$J$2:$J$50000,"系统测试案例评审")</f>
        <v>0</v>
      </c>
      <c r="P30" s="72">
        <f>COUNTIFS(缺陷明细!$A$2:$A$50000,$B$4,缺陷明细!$G$2:$G$50000,$C30,缺陷明细!$J$2:$J$50000,"系统测试",缺陷明细!$AB$2:$AB$50000,"&lt;&gt;丢弃",缺陷明细!$AB$2:$AB$50000,"&lt;&gt;设计如此",缺陷明细!$AB$2:$AB$50000,"&lt;&gt;重复Bug")</f>
        <v>0</v>
      </c>
      <c r="Q30" s="72">
        <f>COUNTIFS(缺陷明细!$A$2:$A$50000,$B$4,缺陷明细!$G$2:$G$50000,$C30,缺陷明细!$Q$2:$Q$50000,"已关闭",缺陷明细!$J$2:$J$50000,"系统测试")</f>
        <v>0</v>
      </c>
      <c r="R30" s="296">
        <f>COUNTIFS(缺陷明细!$A$2:$A$50000,$B$4,缺陷明细!$G$2:$G$50000,$C30,缺陷明细!$AB$2:$AB$50000,"丢弃",缺陷明细!$J$2:$J$50000,"系统测试")+COUNTIFS(缺陷明细!$A$2:$A$50000,$B$4,缺陷明细!$G$2:$G$50000,$C30,缺陷明细!$AB$2:$AB$50000,"设计如此",缺陷明细!$J$2:$J$50000,"系统测试")+COUNTIFS(缺陷明细!$A$2:$A$50000,$B$4,缺陷明细!$G$2:$G$50000,$C30,缺陷明细!$AB$2:$AB$50000,"重复Bug",缺陷明细!$J$2:$J$50000,"系统测试")</f>
        <v>0</v>
      </c>
      <c r="S30" s="72">
        <f>COUNTIFS(缺陷明细!$A$2:$A$50000,$B$4,缺陷明细!$G$2:$G$50000,$C30,缺陷明细!$J$2:$J$50000,"系统测试",缺陷明细!$K$2:$K$50000,"致命",缺陷明细!$AB$2:$AB$50000,"&lt;&gt;丢弃",缺陷明细!$AB$2:$AB$50000,"&lt;&gt;设计如此",缺陷明细!$AB$2:$AB$50000,"&lt;&gt;重复Bug")+COUNTIFS(缺陷明细!$A$2:$A$50000,$B$4,缺陷明细!$G$2:$G$50000,$C30,缺陷明细!$J$2:$J$50000,"系统测试",缺陷明细!$K$2:$K$50000,"严重",缺陷明细!$AB$2:$AB$50000,"&lt;&gt;丢弃",缺陷明细!$AB$2:$AB$50000,"&lt;&gt;设计如此",缺陷明细!$AB$2:$AB$50000,"&lt;&gt;重复Bug")</f>
        <v>0</v>
      </c>
      <c r="T30" s="73">
        <f>COUNTIFS(缺陷明细!$A$2:$A$50000,$B$4,缺陷明细!$G$2:$G$50000,$C30,缺陷明细!$Q$2:$Q$50000,"已关闭",缺陷明细!$J$2:$J$50000,"系统测试",缺陷明细!$K$2:$K$50000,"致命")+COUNTIFS(缺陷明细!$A$2:$A$50000,$B$4,缺陷明细!$G$2:$G$50000,$C30,缺陷明细!$Q$2:$Q$50000,"已关闭",缺陷明细!$J$2:$J$50000,"系统测试",缺陷明细!$K$2:$K$50000,"严重")</f>
        <v>0</v>
      </c>
      <c r="U30" s="74">
        <f>COUNTIFS(缺陷明细!$A$2:$A$50000,$B$4,缺陷明细!$G$2:$G$50000,$C30,缺陷明细!$J$2:$J$50000,"验收测试",缺陷明细!$AB$2:$AB$50000,"&lt;&gt;丢弃",缺陷明细!$AB$2:$AB$50000,"&lt;&gt;设计如此",缺陷明细!$AB$2:$AB$50000,"&lt;&gt;重复Bug")</f>
        <v>0</v>
      </c>
      <c r="V30" s="75">
        <f>COUNTIFS(缺陷明细!$A$2:$A$50000,$B$4,缺陷明细!$G$2:$G$50000,$C30,缺陷明细!$Q$2:$Q$50000,"已关闭",缺陷明细!$J$2:$J$50000,"验收测试")</f>
        <v>0</v>
      </c>
      <c r="W30" s="75">
        <f>COUNTIFS(缺陷明细!$A$2:$A$50000,$B$4,缺陷明细!$G$2:$G$50000,$C30,缺陷明细!$J$2:$J$50000,"验收测试",缺陷明细!$K$2:$K$50000,"致命",缺陷明细!$AB$2:$AB$50000,"&lt;&gt;丢弃",缺陷明细!$AB$2:$AB$50000,"&lt;&gt;设计如此",缺陷明细!$AB$2:$AB$50000,"&lt;&gt;重复Bug")+COUNTIFS(缺陷明细!$A$2:$A$50000,$B$4,缺陷明细!$G$2:$G$50000,$C30,缺陷明细!$J$2:$J$50000,"验收测试",缺陷明细!$K$2:$K$50000,"严重",缺陷明细!$AB$2:$AB$50000,"&lt;&gt;丢弃",缺陷明细!$AB$2:$AB$50000,"&lt;&gt;设计如此",缺陷明细!$AB$2:$AB$50000,"&lt;&gt;重复Bug")</f>
        <v>0</v>
      </c>
      <c r="X30" s="76">
        <f>COUNTIFS(缺陷明细!$A$2:$A$50000,$B$4,缺陷明细!$G$2:$G$50000,$C30,缺陷明细!$Q$2:$Q$50000,"已关闭",缺陷明细!$J$2:$J$50000,"验收测试",缺陷明细!$K$2:$K$50000,"致命")+COUNTIFS(缺陷明细!$A$2:$A$50000,$B$4,缺陷明细!$G$2:$G$50000,$C30,缺陷明细!$Q$2:$Q$50000,"已关闭",缺陷明细!$J$2:$J$50000,"验收测试",缺陷明细!$K$2:$K$50000,"严重")</f>
        <v>0</v>
      </c>
      <c r="Y30" s="70">
        <f>COUNTIFS(缺陷明细!$A$2:$A$50000,$B$4,缺陷明细!$G$2:$G$50000,$C30,缺陷明细!$J$2:$J$50000,"运维测试",缺陷明细!$AB$2:$AB$50000,"&lt;&gt;丢弃",缺陷明细!$AB$2:$AB$50000,"&lt;&gt;设计如此",缺陷明细!$AB$2:$AB$50000,"&lt;&gt;重复Bug")</f>
        <v>0</v>
      </c>
      <c r="Z30" s="71">
        <f>COUNTIFS(缺陷明细!$A$2:$A$50000,$B$4,缺陷明细!$G$2:$G$50000,$C30,缺陷明细!$Q$2:$Q$50000,"已关闭",缺陷明细!$J$2:$J$50000,"运维测试")</f>
        <v>0</v>
      </c>
      <c r="AA30" s="72">
        <f>COUNTIFS(缺陷明细!$A$2:$A$50000,$B$4,缺陷明细!$G$2:$G$50000,$C30,缺陷明细!$J$2:$J$50000,"运维测试",缺陷明细!$K$2:$K$50000,"致命",缺陷明细!$AB$2:$AB$50000,"&lt;&gt;丢弃",缺陷明细!$AB$2:$AB$50000,"&lt;&gt;设计如此",缺陷明细!$AB$2:$AB$50000,"&lt;&gt;重复Bug")+COUNTIFS(缺陷明细!$A$2:$A$50000,$B$4,缺陷明细!$G$2:$G$50000,$C30,缺陷明细!$J$2:$J$50000,"运维测试",缺陷明细!$K$2:$K$50000,"严重",缺陷明细!$AB$2:$AB$50000,"&lt;&gt;丢弃",缺陷明细!$AB$2:$AB$50000,"&lt;&gt;设计如此",缺陷明细!$AB$2:$AB$50000,"&lt;&gt;重复Bug")</f>
        <v>0</v>
      </c>
      <c r="AB30" s="73">
        <f>COUNTIFS(缺陷明细!$A$2:$A$50000,$B$4,缺陷明细!$G$2:$G$50000,$C30,缺陷明细!$Q$2:$Q$50000,"已关闭",缺陷明细!$J$2:$J$50000,"运维测试",缺陷明细!$K$2:$K$50000,"致命")+COUNTIFS(缺陷明细!$A$2:$A$50000,$B$4,缺陷明细!$G$2:$G$50000,$C30,缺陷明细!$Q$2:$Q$50000,"已关闭",缺陷明细!$J$2:$J$50000,"运维测试",缺陷明细!$K$2:$K$50000,"严重")</f>
        <v>0</v>
      </c>
      <c r="AC30" s="68">
        <f t="shared" si="0"/>
        <v>0</v>
      </c>
      <c r="AD30" s="60">
        <f t="shared" si="0"/>
        <v>0</v>
      </c>
      <c r="AE30" s="60">
        <f t="shared" si="1"/>
        <v>0</v>
      </c>
      <c r="AF30" s="60">
        <f t="shared" si="1"/>
        <v>0</v>
      </c>
      <c r="AG30" s="60">
        <f t="shared" si="2"/>
        <v>0</v>
      </c>
      <c r="AH30" s="60">
        <f t="shared" si="2"/>
        <v>0</v>
      </c>
      <c r="AI30" s="60">
        <f t="shared" si="3"/>
        <v>0</v>
      </c>
      <c r="AJ30" s="61">
        <f t="shared" si="3"/>
        <v>0</v>
      </c>
      <c r="AK30" s="144"/>
    </row>
    <row r="31" spans="1:37">
      <c r="A31">
        <v>27</v>
      </c>
      <c r="B31" s="57" t="s">
        <v>1608</v>
      </c>
      <c r="C31" s="58" t="s">
        <v>1654</v>
      </c>
      <c r="D31" s="84" t="s">
        <v>1675</v>
      </c>
      <c r="E31" s="82" t="s">
        <v>346</v>
      </c>
      <c r="F31" s="158"/>
      <c r="G31" s="159"/>
      <c r="H31" s="281">
        <f>COUNTIFS(缺陷明细!$A$2:$A$50000,$B$4,缺陷明细!$G$2:$G$50000,$C31,缺陷明细!$J$2:$J$50000,"评审",缺陷明细!$AB$2:$AB$50000,"&lt;&gt;丢弃",缺陷明细!$AB$2:$AB$50000,"&lt;&gt;设计如此",缺陷明细!$AB$2:$AB$50000,"&lt;&gt;重复Bug")</f>
        <v>0</v>
      </c>
      <c r="I31" s="154">
        <f>COUNTIFS(缺陷明细!$A$2:$A$50000,$B$4,缺陷明细!$G$2:$G$50000,$C31,缺陷明细!$Q$2:$Q$50000,"已关闭",缺陷明细!$J$2:$J$50000,"评审")</f>
        <v>0</v>
      </c>
      <c r="J31" s="154">
        <f>COUNTIFS(缺陷明细!$A$2:$A$50000,$B$4,缺陷明细!$G$2:$G$50000,$C31,缺陷明细!$J$2:$J$50000,"单元测试",缺陷明细!$AB$2:$AB$50000,"&lt;&gt;丢弃",缺陷明细!$AB$2:$AB$50000,"&lt;&gt;设计如此",缺陷明细!$AB$2:$AB$50000,"&lt;&gt;重复Bug")</f>
        <v>0</v>
      </c>
      <c r="K31" s="155">
        <f>COUNTIFS(缺陷明细!$A$2:$A$50000,$B$4,缺陷明细!$G$2:$G$50000,$C31,缺陷明细!$Q$2:$Q$50000,"已关闭",缺陷明细!$J$2:$J$50000,"单元测试")</f>
        <v>0</v>
      </c>
      <c r="L31" s="156">
        <v>1</v>
      </c>
      <c r="M31" s="157"/>
      <c r="N31" s="72">
        <f>COUNTIFS(缺陷明细!$A$2:$A$50000,$B$4,缺陷明细!$G$2:$G$50000,$C31,缺陷明细!$J$2:$J$50000,"系统测试案例评审",缺陷明细!$AB$2:$AB$50000,"&lt;&gt;丢弃",缺陷明细!$AB$2:$AB$50000,"&lt;&gt;设计如此",缺陷明细!$AB$2:$AB$50000,"&lt;&gt;重复Bug")</f>
        <v>0</v>
      </c>
      <c r="O31" s="72">
        <f>COUNTIFS(缺陷明细!$A$2:$A$50000,$B$4,缺陷明细!$G$2:$G$50000,$C31,缺陷明细!$Q$2:$Q$50000,"已关闭",缺陷明细!$J$2:$J$50000,"系统测试案例评审")</f>
        <v>0</v>
      </c>
      <c r="P31" s="72">
        <f>COUNTIFS(缺陷明细!$A$2:$A$50000,$B$4,缺陷明细!$G$2:$G$50000,$C31,缺陷明细!$J$2:$J$50000,"系统测试",缺陷明细!$AB$2:$AB$50000,"&lt;&gt;丢弃",缺陷明细!$AB$2:$AB$50000,"&lt;&gt;设计如此",缺陷明细!$AB$2:$AB$50000,"&lt;&gt;重复Bug")</f>
        <v>0</v>
      </c>
      <c r="Q31" s="72">
        <f>COUNTIFS(缺陷明细!$A$2:$A$50000,$B$4,缺陷明细!$G$2:$G$50000,$C31,缺陷明细!$Q$2:$Q$50000,"已关闭",缺陷明细!$J$2:$J$50000,"系统测试")</f>
        <v>0</v>
      </c>
      <c r="R31" s="296">
        <f>COUNTIFS(缺陷明细!$A$2:$A$50000,$B$4,缺陷明细!$G$2:$G$50000,$C31,缺陷明细!$AB$2:$AB$50000,"丢弃",缺陷明细!$J$2:$J$50000,"系统测试")+COUNTIFS(缺陷明细!$A$2:$A$50000,$B$4,缺陷明细!$G$2:$G$50000,$C31,缺陷明细!$AB$2:$AB$50000,"设计如此",缺陷明细!$J$2:$J$50000,"系统测试")+COUNTIFS(缺陷明细!$A$2:$A$50000,$B$4,缺陷明细!$G$2:$G$50000,$C31,缺陷明细!$AB$2:$AB$50000,"重复Bug",缺陷明细!$J$2:$J$50000,"系统测试")</f>
        <v>0</v>
      </c>
      <c r="S31" s="72">
        <f>COUNTIFS(缺陷明细!$A$2:$A$50000,$B$4,缺陷明细!$G$2:$G$50000,$C31,缺陷明细!$J$2:$J$50000,"系统测试",缺陷明细!$K$2:$K$50000,"致命",缺陷明细!$AB$2:$AB$50000,"&lt;&gt;丢弃",缺陷明细!$AB$2:$AB$50000,"&lt;&gt;设计如此",缺陷明细!$AB$2:$AB$50000,"&lt;&gt;重复Bug")+COUNTIFS(缺陷明细!$A$2:$A$50000,$B$4,缺陷明细!$G$2:$G$50000,$C31,缺陷明细!$J$2:$J$50000,"系统测试",缺陷明细!$K$2:$K$50000,"严重",缺陷明细!$AB$2:$AB$50000,"&lt;&gt;丢弃",缺陷明细!$AB$2:$AB$50000,"&lt;&gt;设计如此",缺陷明细!$AB$2:$AB$50000,"&lt;&gt;重复Bug")</f>
        <v>0</v>
      </c>
      <c r="T31" s="73">
        <f>COUNTIFS(缺陷明细!$A$2:$A$50000,$B$4,缺陷明细!$G$2:$G$50000,$C31,缺陷明细!$Q$2:$Q$50000,"已关闭",缺陷明细!$J$2:$J$50000,"系统测试",缺陷明细!$K$2:$K$50000,"致命")+COUNTIFS(缺陷明细!$A$2:$A$50000,$B$4,缺陷明细!$G$2:$G$50000,$C31,缺陷明细!$Q$2:$Q$50000,"已关闭",缺陷明细!$J$2:$J$50000,"系统测试",缺陷明细!$K$2:$K$50000,"严重")</f>
        <v>0</v>
      </c>
      <c r="U31" s="74">
        <f>COUNTIFS(缺陷明细!$A$2:$A$50000,$B$4,缺陷明细!$G$2:$G$50000,$C31,缺陷明细!$J$2:$J$50000,"验收测试",缺陷明细!$AB$2:$AB$50000,"&lt;&gt;丢弃",缺陷明细!$AB$2:$AB$50000,"&lt;&gt;设计如此",缺陷明细!$AB$2:$AB$50000,"&lt;&gt;重复Bug")</f>
        <v>0</v>
      </c>
      <c r="V31" s="75">
        <f>COUNTIFS(缺陷明细!$A$2:$A$50000,$B$4,缺陷明细!$G$2:$G$50000,$C31,缺陷明细!$Q$2:$Q$50000,"已关闭",缺陷明细!$J$2:$J$50000,"验收测试")</f>
        <v>0</v>
      </c>
      <c r="W31" s="75">
        <f>COUNTIFS(缺陷明细!$A$2:$A$50000,$B$4,缺陷明细!$G$2:$G$50000,$C31,缺陷明细!$J$2:$J$50000,"验收测试",缺陷明细!$K$2:$K$50000,"致命",缺陷明细!$AB$2:$AB$50000,"&lt;&gt;丢弃",缺陷明细!$AB$2:$AB$50000,"&lt;&gt;设计如此",缺陷明细!$AB$2:$AB$50000,"&lt;&gt;重复Bug")+COUNTIFS(缺陷明细!$A$2:$A$50000,$B$4,缺陷明细!$G$2:$G$50000,$C31,缺陷明细!$J$2:$J$50000,"验收测试",缺陷明细!$K$2:$K$50000,"严重",缺陷明细!$AB$2:$AB$50000,"&lt;&gt;丢弃",缺陷明细!$AB$2:$AB$50000,"&lt;&gt;设计如此",缺陷明细!$AB$2:$AB$50000,"&lt;&gt;重复Bug")</f>
        <v>0</v>
      </c>
      <c r="X31" s="76">
        <f>COUNTIFS(缺陷明细!$A$2:$A$50000,$B$4,缺陷明细!$G$2:$G$50000,$C31,缺陷明细!$Q$2:$Q$50000,"已关闭",缺陷明细!$J$2:$J$50000,"验收测试",缺陷明细!$K$2:$K$50000,"致命")+COUNTIFS(缺陷明细!$A$2:$A$50000,$B$4,缺陷明细!$G$2:$G$50000,$C31,缺陷明细!$Q$2:$Q$50000,"已关闭",缺陷明细!$J$2:$J$50000,"验收测试",缺陷明细!$K$2:$K$50000,"严重")</f>
        <v>0</v>
      </c>
      <c r="Y31" s="70">
        <f>COUNTIFS(缺陷明细!$A$2:$A$50000,$B$4,缺陷明细!$G$2:$G$50000,$C31,缺陷明细!$J$2:$J$50000,"运维测试",缺陷明细!$AB$2:$AB$50000,"&lt;&gt;丢弃",缺陷明细!$AB$2:$AB$50000,"&lt;&gt;设计如此",缺陷明细!$AB$2:$AB$50000,"&lt;&gt;重复Bug")</f>
        <v>0</v>
      </c>
      <c r="Z31" s="71">
        <f>COUNTIFS(缺陷明细!$A$2:$A$50000,$B$4,缺陷明细!$G$2:$G$50000,$C31,缺陷明细!$Q$2:$Q$50000,"已关闭",缺陷明细!$J$2:$J$50000,"运维测试")</f>
        <v>0</v>
      </c>
      <c r="AA31" s="72">
        <f>COUNTIFS(缺陷明细!$A$2:$A$50000,$B$4,缺陷明细!$G$2:$G$50000,$C31,缺陷明细!$J$2:$J$50000,"运维测试",缺陷明细!$K$2:$K$50000,"致命",缺陷明细!$AB$2:$AB$50000,"&lt;&gt;丢弃",缺陷明细!$AB$2:$AB$50000,"&lt;&gt;设计如此",缺陷明细!$AB$2:$AB$50000,"&lt;&gt;重复Bug")+COUNTIFS(缺陷明细!$A$2:$A$50000,$B$4,缺陷明细!$G$2:$G$50000,$C31,缺陷明细!$J$2:$J$50000,"运维测试",缺陷明细!$K$2:$K$50000,"严重",缺陷明细!$AB$2:$AB$50000,"&lt;&gt;丢弃",缺陷明细!$AB$2:$AB$50000,"&lt;&gt;设计如此",缺陷明细!$AB$2:$AB$50000,"&lt;&gt;重复Bug")</f>
        <v>0</v>
      </c>
      <c r="AB31" s="73">
        <f>COUNTIFS(缺陷明细!$A$2:$A$50000,$B$4,缺陷明细!$G$2:$G$50000,$C31,缺陷明细!$Q$2:$Q$50000,"已关闭",缺陷明细!$J$2:$J$50000,"运维测试",缺陷明细!$K$2:$K$50000,"致命")+COUNTIFS(缺陷明细!$A$2:$A$50000,$B$4,缺陷明细!$G$2:$G$50000,$C31,缺陷明细!$Q$2:$Q$50000,"已关闭",缺陷明细!$J$2:$J$50000,"运维测试",缺陷明细!$K$2:$K$50000,"严重")</f>
        <v>0</v>
      </c>
      <c r="AC31" s="68">
        <f t="shared" si="0"/>
        <v>0</v>
      </c>
      <c r="AD31" s="60">
        <f t="shared" si="0"/>
        <v>0</v>
      </c>
      <c r="AE31" s="60">
        <f t="shared" si="1"/>
        <v>0</v>
      </c>
      <c r="AF31" s="60">
        <f t="shared" si="1"/>
        <v>0</v>
      </c>
      <c r="AG31" s="60">
        <f t="shared" si="2"/>
        <v>0</v>
      </c>
      <c r="AH31" s="60">
        <f t="shared" si="2"/>
        <v>0</v>
      </c>
      <c r="AI31" s="60">
        <f t="shared" si="3"/>
        <v>0</v>
      </c>
      <c r="AJ31" s="61">
        <f t="shared" si="3"/>
        <v>0</v>
      </c>
      <c r="AK31" s="144"/>
    </row>
    <row r="32" spans="1:37">
      <c r="A32">
        <v>28</v>
      </c>
      <c r="B32" s="57" t="s">
        <v>1607</v>
      </c>
      <c r="C32" s="58" t="s">
        <v>1655</v>
      </c>
      <c r="D32" s="84" t="s">
        <v>1673</v>
      </c>
      <c r="E32" s="82" t="s">
        <v>346</v>
      </c>
      <c r="F32" s="158"/>
      <c r="G32" s="159"/>
      <c r="H32" s="281">
        <f>COUNTIFS(缺陷明细!$A$2:$A$50000,$B$4,缺陷明细!$G$2:$G$50000,$C32,缺陷明细!$J$2:$J$50000,"评审",缺陷明细!$AB$2:$AB$50000,"&lt;&gt;丢弃",缺陷明细!$AB$2:$AB$50000,"&lt;&gt;设计如此",缺陷明细!$AB$2:$AB$50000,"&lt;&gt;重复Bug")</f>
        <v>0</v>
      </c>
      <c r="I32" s="154">
        <f>COUNTIFS(缺陷明细!$A$2:$A$50000,$B$4,缺陷明细!$G$2:$G$50000,$C32,缺陷明细!$Q$2:$Q$50000,"已关闭",缺陷明细!$J$2:$J$50000,"评审")</f>
        <v>0</v>
      </c>
      <c r="J32" s="154">
        <f>COUNTIFS(缺陷明细!$A$2:$A$50000,$B$4,缺陷明细!$G$2:$G$50000,$C32,缺陷明细!$J$2:$J$50000,"单元测试",缺陷明细!$AB$2:$AB$50000,"&lt;&gt;丢弃",缺陷明细!$AB$2:$AB$50000,"&lt;&gt;设计如此",缺陷明细!$AB$2:$AB$50000,"&lt;&gt;重复Bug")</f>
        <v>0</v>
      </c>
      <c r="K32" s="155">
        <f>COUNTIFS(缺陷明细!$A$2:$A$50000,$B$4,缺陷明细!$G$2:$G$50000,$C32,缺陷明细!$Q$2:$Q$50000,"已关闭",缺陷明细!$J$2:$J$50000,"单元测试")</f>
        <v>0</v>
      </c>
      <c r="L32" s="156">
        <v>3</v>
      </c>
      <c r="M32" s="157"/>
      <c r="N32" s="72">
        <f>COUNTIFS(缺陷明细!$A$2:$A$50000,$B$4,缺陷明细!$G$2:$G$50000,$C32,缺陷明细!$J$2:$J$50000,"系统测试案例评审",缺陷明细!$AB$2:$AB$50000,"&lt;&gt;丢弃",缺陷明细!$AB$2:$AB$50000,"&lt;&gt;设计如此",缺陷明细!$AB$2:$AB$50000,"&lt;&gt;重复Bug")</f>
        <v>0</v>
      </c>
      <c r="O32" s="72">
        <f>COUNTIFS(缺陷明细!$A$2:$A$50000,$B$4,缺陷明细!$G$2:$G$50000,$C32,缺陷明细!$Q$2:$Q$50000,"已关闭",缺陷明细!$J$2:$J$50000,"系统测试案例评审")</f>
        <v>0</v>
      </c>
      <c r="P32" s="72">
        <f>COUNTIFS(缺陷明细!$A$2:$A$50000,$B$4,缺陷明细!$G$2:$G$50000,$C32,缺陷明细!$J$2:$J$50000,"系统测试",缺陷明细!$AB$2:$AB$50000,"&lt;&gt;丢弃",缺陷明细!$AB$2:$AB$50000,"&lt;&gt;设计如此",缺陷明细!$AB$2:$AB$50000,"&lt;&gt;重复Bug")</f>
        <v>0</v>
      </c>
      <c r="Q32" s="72">
        <f>COUNTIFS(缺陷明细!$A$2:$A$50000,$B$4,缺陷明细!$G$2:$G$50000,$C32,缺陷明细!$Q$2:$Q$50000,"已关闭",缺陷明细!$J$2:$J$50000,"系统测试")</f>
        <v>0</v>
      </c>
      <c r="R32" s="296">
        <f>COUNTIFS(缺陷明细!$A$2:$A$50000,$B$4,缺陷明细!$G$2:$G$50000,$C32,缺陷明细!$AB$2:$AB$50000,"丢弃",缺陷明细!$J$2:$J$50000,"系统测试")+COUNTIFS(缺陷明细!$A$2:$A$50000,$B$4,缺陷明细!$G$2:$G$50000,$C32,缺陷明细!$AB$2:$AB$50000,"设计如此",缺陷明细!$J$2:$J$50000,"系统测试")+COUNTIFS(缺陷明细!$A$2:$A$50000,$B$4,缺陷明细!$G$2:$G$50000,$C32,缺陷明细!$AB$2:$AB$50000,"重复Bug",缺陷明细!$J$2:$J$50000,"系统测试")</f>
        <v>0</v>
      </c>
      <c r="S32" s="72">
        <f>COUNTIFS(缺陷明细!$A$2:$A$50000,$B$4,缺陷明细!$G$2:$G$50000,$C32,缺陷明细!$J$2:$J$50000,"系统测试",缺陷明细!$K$2:$K$50000,"致命",缺陷明细!$AB$2:$AB$50000,"&lt;&gt;丢弃",缺陷明细!$AB$2:$AB$50000,"&lt;&gt;设计如此",缺陷明细!$AB$2:$AB$50000,"&lt;&gt;重复Bug")+COUNTIFS(缺陷明细!$A$2:$A$50000,$B$4,缺陷明细!$G$2:$G$50000,$C32,缺陷明细!$J$2:$J$50000,"系统测试",缺陷明细!$K$2:$K$50000,"严重",缺陷明细!$AB$2:$AB$50000,"&lt;&gt;丢弃",缺陷明细!$AB$2:$AB$50000,"&lt;&gt;设计如此",缺陷明细!$AB$2:$AB$50000,"&lt;&gt;重复Bug")</f>
        <v>0</v>
      </c>
      <c r="T32" s="73">
        <f>COUNTIFS(缺陷明细!$A$2:$A$50000,$B$4,缺陷明细!$G$2:$G$50000,$C32,缺陷明细!$Q$2:$Q$50000,"已关闭",缺陷明细!$J$2:$J$50000,"系统测试",缺陷明细!$K$2:$K$50000,"致命")+COUNTIFS(缺陷明细!$A$2:$A$50000,$B$4,缺陷明细!$G$2:$G$50000,$C32,缺陷明细!$Q$2:$Q$50000,"已关闭",缺陷明细!$J$2:$J$50000,"系统测试",缺陷明细!$K$2:$K$50000,"严重")</f>
        <v>0</v>
      </c>
      <c r="U32" s="74">
        <f>COUNTIFS(缺陷明细!$A$2:$A$50000,$B$4,缺陷明细!$G$2:$G$50000,$C32,缺陷明细!$J$2:$J$50000,"验收测试",缺陷明细!$AB$2:$AB$50000,"&lt;&gt;丢弃",缺陷明细!$AB$2:$AB$50000,"&lt;&gt;设计如此",缺陷明细!$AB$2:$AB$50000,"&lt;&gt;重复Bug")</f>
        <v>0</v>
      </c>
      <c r="V32" s="75">
        <f>COUNTIFS(缺陷明细!$A$2:$A$50000,$B$4,缺陷明细!$G$2:$G$50000,$C32,缺陷明细!$Q$2:$Q$50000,"已关闭",缺陷明细!$J$2:$J$50000,"验收测试")</f>
        <v>0</v>
      </c>
      <c r="W32" s="75">
        <f>COUNTIFS(缺陷明细!$A$2:$A$50000,$B$4,缺陷明细!$G$2:$G$50000,$C32,缺陷明细!$J$2:$J$50000,"验收测试",缺陷明细!$K$2:$K$50000,"致命",缺陷明细!$AB$2:$AB$50000,"&lt;&gt;丢弃",缺陷明细!$AB$2:$AB$50000,"&lt;&gt;设计如此",缺陷明细!$AB$2:$AB$50000,"&lt;&gt;重复Bug")+COUNTIFS(缺陷明细!$A$2:$A$50000,$B$4,缺陷明细!$G$2:$G$50000,$C32,缺陷明细!$J$2:$J$50000,"验收测试",缺陷明细!$K$2:$K$50000,"严重",缺陷明细!$AB$2:$AB$50000,"&lt;&gt;丢弃",缺陷明细!$AB$2:$AB$50000,"&lt;&gt;设计如此",缺陷明细!$AB$2:$AB$50000,"&lt;&gt;重复Bug")</f>
        <v>0</v>
      </c>
      <c r="X32" s="76">
        <f>COUNTIFS(缺陷明细!$A$2:$A$50000,$B$4,缺陷明细!$G$2:$G$50000,$C32,缺陷明细!$Q$2:$Q$50000,"已关闭",缺陷明细!$J$2:$J$50000,"验收测试",缺陷明细!$K$2:$K$50000,"致命")+COUNTIFS(缺陷明细!$A$2:$A$50000,$B$4,缺陷明细!$G$2:$G$50000,$C32,缺陷明细!$Q$2:$Q$50000,"已关闭",缺陷明细!$J$2:$J$50000,"验收测试",缺陷明细!$K$2:$K$50000,"严重")</f>
        <v>0</v>
      </c>
      <c r="Y32" s="70">
        <f>COUNTIFS(缺陷明细!$A$2:$A$50000,$B$4,缺陷明细!$G$2:$G$50000,$C32,缺陷明细!$J$2:$J$50000,"运维测试",缺陷明细!$AB$2:$AB$50000,"&lt;&gt;丢弃",缺陷明细!$AB$2:$AB$50000,"&lt;&gt;设计如此",缺陷明细!$AB$2:$AB$50000,"&lt;&gt;重复Bug")</f>
        <v>0</v>
      </c>
      <c r="Z32" s="71">
        <f>COUNTIFS(缺陷明细!$A$2:$A$50000,$B$4,缺陷明细!$G$2:$G$50000,$C32,缺陷明细!$Q$2:$Q$50000,"已关闭",缺陷明细!$J$2:$J$50000,"运维测试")</f>
        <v>0</v>
      </c>
      <c r="AA32" s="72">
        <f>COUNTIFS(缺陷明细!$A$2:$A$50000,$B$4,缺陷明细!$G$2:$G$50000,$C32,缺陷明细!$J$2:$J$50000,"运维测试",缺陷明细!$K$2:$K$50000,"致命",缺陷明细!$AB$2:$AB$50000,"&lt;&gt;丢弃",缺陷明细!$AB$2:$AB$50000,"&lt;&gt;设计如此",缺陷明细!$AB$2:$AB$50000,"&lt;&gt;重复Bug")+COUNTIFS(缺陷明细!$A$2:$A$50000,$B$4,缺陷明细!$G$2:$G$50000,$C32,缺陷明细!$J$2:$J$50000,"运维测试",缺陷明细!$K$2:$K$50000,"严重",缺陷明细!$AB$2:$AB$50000,"&lt;&gt;丢弃",缺陷明细!$AB$2:$AB$50000,"&lt;&gt;设计如此",缺陷明细!$AB$2:$AB$50000,"&lt;&gt;重复Bug")</f>
        <v>0</v>
      </c>
      <c r="AB32" s="73">
        <f>COUNTIFS(缺陷明细!$A$2:$A$50000,$B$4,缺陷明细!$G$2:$G$50000,$C32,缺陷明细!$Q$2:$Q$50000,"已关闭",缺陷明细!$J$2:$J$50000,"运维测试",缺陷明细!$K$2:$K$50000,"致命")+COUNTIFS(缺陷明细!$A$2:$A$50000,$B$4,缺陷明细!$G$2:$G$50000,$C32,缺陷明细!$Q$2:$Q$50000,"已关闭",缺陷明细!$J$2:$J$50000,"运维测试",缺陷明细!$K$2:$K$50000,"严重")</f>
        <v>0</v>
      </c>
      <c r="AC32" s="68">
        <f t="shared" si="0"/>
        <v>0</v>
      </c>
      <c r="AD32" s="60">
        <f t="shared" si="0"/>
        <v>0</v>
      </c>
      <c r="AE32" s="60">
        <f t="shared" si="1"/>
        <v>0</v>
      </c>
      <c r="AF32" s="60">
        <f t="shared" si="1"/>
        <v>0</v>
      </c>
      <c r="AG32" s="60">
        <f t="shared" si="2"/>
        <v>0</v>
      </c>
      <c r="AH32" s="60">
        <f t="shared" si="2"/>
        <v>0</v>
      </c>
      <c r="AI32" s="60">
        <f t="shared" si="3"/>
        <v>0</v>
      </c>
      <c r="AJ32" s="61">
        <f t="shared" si="3"/>
        <v>0</v>
      </c>
      <c r="AK32" s="144"/>
    </row>
    <row r="33" spans="1:37">
      <c r="A33">
        <v>29</v>
      </c>
      <c r="B33" s="57" t="s">
        <v>1606</v>
      </c>
      <c r="C33" s="58" t="s">
        <v>1656</v>
      </c>
      <c r="D33" s="84" t="s">
        <v>1673</v>
      </c>
      <c r="E33" s="82" t="s">
        <v>346</v>
      </c>
      <c r="F33" s="158"/>
      <c r="G33" s="159"/>
      <c r="H33" s="281">
        <f>COUNTIFS(缺陷明细!$A$2:$A$50000,$B$4,缺陷明细!$G$2:$G$50000,$C33,缺陷明细!$J$2:$J$50000,"评审",缺陷明细!$AB$2:$AB$50000,"&lt;&gt;丢弃",缺陷明细!$AB$2:$AB$50000,"&lt;&gt;设计如此",缺陷明细!$AB$2:$AB$50000,"&lt;&gt;重复Bug")</f>
        <v>0</v>
      </c>
      <c r="I33" s="154">
        <f>COUNTIFS(缺陷明细!$A$2:$A$50000,$B$4,缺陷明细!$G$2:$G$50000,$C33,缺陷明细!$Q$2:$Q$50000,"已关闭",缺陷明细!$J$2:$J$50000,"评审")</f>
        <v>0</v>
      </c>
      <c r="J33" s="154">
        <f>COUNTIFS(缺陷明细!$A$2:$A$50000,$B$4,缺陷明细!$G$2:$G$50000,$C33,缺陷明细!$J$2:$J$50000,"单元测试",缺陷明细!$AB$2:$AB$50000,"&lt;&gt;丢弃",缺陷明细!$AB$2:$AB$50000,"&lt;&gt;设计如此",缺陷明细!$AB$2:$AB$50000,"&lt;&gt;重复Bug")</f>
        <v>0</v>
      </c>
      <c r="K33" s="155">
        <f>COUNTIFS(缺陷明细!$A$2:$A$50000,$B$4,缺陷明细!$G$2:$G$50000,$C33,缺陷明细!$Q$2:$Q$50000,"已关闭",缺陷明细!$J$2:$J$50000,"单元测试")</f>
        <v>0</v>
      </c>
      <c r="L33" s="156">
        <v>1</v>
      </c>
      <c r="M33" s="157"/>
      <c r="N33" s="72">
        <f>COUNTIFS(缺陷明细!$A$2:$A$50000,$B$4,缺陷明细!$G$2:$G$50000,$C33,缺陷明细!$J$2:$J$50000,"系统测试案例评审",缺陷明细!$AB$2:$AB$50000,"&lt;&gt;丢弃",缺陷明细!$AB$2:$AB$50000,"&lt;&gt;设计如此",缺陷明细!$AB$2:$AB$50000,"&lt;&gt;重复Bug")</f>
        <v>0</v>
      </c>
      <c r="O33" s="72">
        <f>COUNTIFS(缺陷明细!$A$2:$A$50000,$B$4,缺陷明细!$G$2:$G$50000,$C33,缺陷明细!$Q$2:$Q$50000,"已关闭",缺陷明细!$J$2:$J$50000,"系统测试案例评审")</f>
        <v>0</v>
      </c>
      <c r="P33" s="72">
        <f>COUNTIFS(缺陷明细!$A$2:$A$50000,$B$4,缺陷明细!$G$2:$G$50000,$C33,缺陷明细!$J$2:$J$50000,"系统测试",缺陷明细!$AB$2:$AB$50000,"&lt;&gt;丢弃",缺陷明细!$AB$2:$AB$50000,"&lt;&gt;设计如此",缺陷明细!$AB$2:$AB$50000,"&lt;&gt;重复Bug")</f>
        <v>0</v>
      </c>
      <c r="Q33" s="72">
        <f>COUNTIFS(缺陷明细!$A$2:$A$50000,$B$4,缺陷明细!$G$2:$G$50000,$C33,缺陷明细!$Q$2:$Q$50000,"已关闭",缺陷明细!$J$2:$J$50000,"系统测试")</f>
        <v>0</v>
      </c>
      <c r="R33" s="296">
        <f>COUNTIFS(缺陷明细!$A$2:$A$50000,$B$4,缺陷明细!$G$2:$G$50000,$C33,缺陷明细!$AB$2:$AB$50000,"丢弃",缺陷明细!$J$2:$J$50000,"系统测试")+COUNTIFS(缺陷明细!$A$2:$A$50000,$B$4,缺陷明细!$G$2:$G$50000,$C33,缺陷明细!$AB$2:$AB$50000,"设计如此",缺陷明细!$J$2:$J$50000,"系统测试")+COUNTIFS(缺陷明细!$A$2:$A$50000,$B$4,缺陷明细!$G$2:$G$50000,$C33,缺陷明细!$AB$2:$AB$50000,"重复Bug",缺陷明细!$J$2:$J$50000,"系统测试")</f>
        <v>0</v>
      </c>
      <c r="S33" s="72">
        <f>COUNTIFS(缺陷明细!$A$2:$A$50000,$B$4,缺陷明细!$G$2:$G$50000,$C33,缺陷明细!$J$2:$J$50000,"系统测试",缺陷明细!$K$2:$K$50000,"致命",缺陷明细!$AB$2:$AB$50000,"&lt;&gt;丢弃",缺陷明细!$AB$2:$AB$50000,"&lt;&gt;设计如此",缺陷明细!$AB$2:$AB$50000,"&lt;&gt;重复Bug")+COUNTIFS(缺陷明细!$A$2:$A$50000,$B$4,缺陷明细!$G$2:$G$50000,$C33,缺陷明细!$J$2:$J$50000,"系统测试",缺陷明细!$K$2:$K$50000,"严重",缺陷明细!$AB$2:$AB$50000,"&lt;&gt;丢弃",缺陷明细!$AB$2:$AB$50000,"&lt;&gt;设计如此",缺陷明细!$AB$2:$AB$50000,"&lt;&gt;重复Bug")</f>
        <v>0</v>
      </c>
      <c r="T33" s="73">
        <f>COUNTIFS(缺陷明细!$A$2:$A$50000,$B$4,缺陷明细!$G$2:$G$50000,$C33,缺陷明细!$Q$2:$Q$50000,"已关闭",缺陷明细!$J$2:$J$50000,"系统测试",缺陷明细!$K$2:$K$50000,"致命")+COUNTIFS(缺陷明细!$A$2:$A$50000,$B$4,缺陷明细!$G$2:$G$50000,$C33,缺陷明细!$Q$2:$Q$50000,"已关闭",缺陷明细!$J$2:$J$50000,"系统测试",缺陷明细!$K$2:$K$50000,"严重")</f>
        <v>0</v>
      </c>
      <c r="U33" s="74">
        <f>COUNTIFS(缺陷明细!$A$2:$A$50000,$B$4,缺陷明细!$G$2:$G$50000,$C33,缺陷明细!$J$2:$J$50000,"验收测试",缺陷明细!$AB$2:$AB$50000,"&lt;&gt;丢弃",缺陷明细!$AB$2:$AB$50000,"&lt;&gt;设计如此",缺陷明细!$AB$2:$AB$50000,"&lt;&gt;重复Bug")</f>
        <v>0</v>
      </c>
      <c r="V33" s="75">
        <f>COUNTIFS(缺陷明细!$A$2:$A$50000,$B$4,缺陷明细!$G$2:$G$50000,$C33,缺陷明细!$Q$2:$Q$50000,"已关闭",缺陷明细!$J$2:$J$50000,"验收测试")</f>
        <v>0</v>
      </c>
      <c r="W33" s="75">
        <f>COUNTIFS(缺陷明细!$A$2:$A$50000,$B$4,缺陷明细!$G$2:$G$50000,$C33,缺陷明细!$J$2:$J$50000,"验收测试",缺陷明细!$K$2:$K$50000,"致命",缺陷明细!$AB$2:$AB$50000,"&lt;&gt;丢弃",缺陷明细!$AB$2:$AB$50000,"&lt;&gt;设计如此",缺陷明细!$AB$2:$AB$50000,"&lt;&gt;重复Bug")+COUNTIFS(缺陷明细!$A$2:$A$50000,$B$4,缺陷明细!$G$2:$G$50000,$C33,缺陷明细!$J$2:$J$50000,"验收测试",缺陷明细!$K$2:$K$50000,"严重",缺陷明细!$AB$2:$AB$50000,"&lt;&gt;丢弃",缺陷明细!$AB$2:$AB$50000,"&lt;&gt;设计如此",缺陷明细!$AB$2:$AB$50000,"&lt;&gt;重复Bug")</f>
        <v>0</v>
      </c>
      <c r="X33" s="76">
        <f>COUNTIFS(缺陷明细!$A$2:$A$50000,$B$4,缺陷明细!$G$2:$G$50000,$C33,缺陷明细!$Q$2:$Q$50000,"已关闭",缺陷明细!$J$2:$J$50000,"验收测试",缺陷明细!$K$2:$K$50000,"致命")+COUNTIFS(缺陷明细!$A$2:$A$50000,$B$4,缺陷明细!$G$2:$G$50000,$C33,缺陷明细!$Q$2:$Q$50000,"已关闭",缺陷明细!$J$2:$J$50000,"验收测试",缺陷明细!$K$2:$K$50000,"严重")</f>
        <v>0</v>
      </c>
      <c r="Y33" s="70">
        <f>COUNTIFS(缺陷明细!$A$2:$A$50000,$B$4,缺陷明细!$G$2:$G$50000,$C33,缺陷明细!$J$2:$J$50000,"运维测试",缺陷明细!$AB$2:$AB$50000,"&lt;&gt;丢弃",缺陷明细!$AB$2:$AB$50000,"&lt;&gt;设计如此",缺陷明细!$AB$2:$AB$50000,"&lt;&gt;重复Bug")</f>
        <v>0</v>
      </c>
      <c r="Z33" s="71">
        <f>COUNTIFS(缺陷明细!$A$2:$A$50000,$B$4,缺陷明细!$G$2:$G$50000,$C33,缺陷明细!$Q$2:$Q$50000,"已关闭",缺陷明细!$J$2:$J$50000,"运维测试")</f>
        <v>0</v>
      </c>
      <c r="AA33" s="72">
        <f>COUNTIFS(缺陷明细!$A$2:$A$50000,$B$4,缺陷明细!$G$2:$G$50000,$C33,缺陷明细!$J$2:$J$50000,"运维测试",缺陷明细!$K$2:$K$50000,"致命",缺陷明细!$AB$2:$AB$50000,"&lt;&gt;丢弃",缺陷明细!$AB$2:$AB$50000,"&lt;&gt;设计如此",缺陷明细!$AB$2:$AB$50000,"&lt;&gt;重复Bug")+COUNTIFS(缺陷明细!$A$2:$A$50000,$B$4,缺陷明细!$G$2:$G$50000,$C33,缺陷明细!$J$2:$J$50000,"运维测试",缺陷明细!$K$2:$K$50000,"严重",缺陷明细!$AB$2:$AB$50000,"&lt;&gt;丢弃",缺陷明细!$AB$2:$AB$50000,"&lt;&gt;设计如此",缺陷明细!$AB$2:$AB$50000,"&lt;&gt;重复Bug")</f>
        <v>0</v>
      </c>
      <c r="AB33" s="73">
        <f>COUNTIFS(缺陷明细!$A$2:$A$50000,$B$4,缺陷明细!$G$2:$G$50000,$C33,缺陷明细!$Q$2:$Q$50000,"已关闭",缺陷明细!$J$2:$J$50000,"运维测试",缺陷明细!$K$2:$K$50000,"致命")+COUNTIFS(缺陷明细!$A$2:$A$50000,$B$4,缺陷明细!$G$2:$G$50000,$C33,缺陷明细!$Q$2:$Q$50000,"已关闭",缺陷明细!$J$2:$J$50000,"运维测试",缺陷明细!$K$2:$K$50000,"严重")</f>
        <v>0</v>
      </c>
      <c r="AC33" s="68">
        <f t="shared" si="0"/>
        <v>0</v>
      </c>
      <c r="AD33" s="60">
        <f t="shared" si="0"/>
        <v>0</v>
      </c>
      <c r="AE33" s="60">
        <f t="shared" si="1"/>
        <v>0</v>
      </c>
      <c r="AF33" s="60">
        <f t="shared" si="1"/>
        <v>0</v>
      </c>
      <c r="AG33" s="60">
        <f t="shared" si="2"/>
        <v>0</v>
      </c>
      <c r="AH33" s="60">
        <f t="shared" si="2"/>
        <v>0</v>
      </c>
      <c r="AI33" s="60">
        <f t="shared" si="3"/>
        <v>0</v>
      </c>
      <c r="AJ33" s="61">
        <f t="shared" si="3"/>
        <v>0</v>
      </c>
      <c r="AK33" s="144"/>
    </row>
    <row r="34" spans="1:37">
      <c r="A34">
        <v>30</v>
      </c>
      <c r="B34" s="57" t="s">
        <v>1605</v>
      </c>
      <c r="C34" s="58" t="s">
        <v>1657</v>
      </c>
      <c r="D34" s="84" t="s">
        <v>1673</v>
      </c>
      <c r="E34" s="82" t="s">
        <v>346</v>
      </c>
      <c r="F34" s="158"/>
      <c r="G34" s="159"/>
      <c r="H34" s="281">
        <f>COUNTIFS(缺陷明细!$A$2:$A$50000,$B$4,缺陷明细!$G$2:$G$50000,$C34,缺陷明细!$J$2:$J$50000,"评审",缺陷明细!$AB$2:$AB$50000,"&lt;&gt;丢弃",缺陷明细!$AB$2:$AB$50000,"&lt;&gt;设计如此",缺陷明细!$AB$2:$AB$50000,"&lt;&gt;重复Bug")</f>
        <v>0</v>
      </c>
      <c r="I34" s="154">
        <f>COUNTIFS(缺陷明细!$A$2:$A$50000,$B$4,缺陷明细!$G$2:$G$50000,$C34,缺陷明细!$Q$2:$Q$50000,"已关闭",缺陷明细!$J$2:$J$50000,"评审")</f>
        <v>0</v>
      </c>
      <c r="J34" s="154">
        <f>COUNTIFS(缺陷明细!$A$2:$A$50000,$B$4,缺陷明细!$G$2:$G$50000,$C34,缺陷明细!$J$2:$J$50000,"单元测试",缺陷明细!$AB$2:$AB$50000,"&lt;&gt;丢弃",缺陷明细!$AB$2:$AB$50000,"&lt;&gt;设计如此",缺陷明细!$AB$2:$AB$50000,"&lt;&gt;重复Bug")</f>
        <v>0</v>
      </c>
      <c r="K34" s="155">
        <f>COUNTIFS(缺陷明细!$A$2:$A$50000,$B$4,缺陷明细!$G$2:$G$50000,$C34,缺陷明细!$Q$2:$Q$50000,"已关闭",缺陷明细!$J$2:$J$50000,"单元测试")</f>
        <v>0</v>
      </c>
      <c r="L34" s="156">
        <v>2</v>
      </c>
      <c r="M34" s="157"/>
      <c r="N34" s="72">
        <f>COUNTIFS(缺陷明细!$A$2:$A$50000,$B$4,缺陷明细!$G$2:$G$50000,$C34,缺陷明细!$J$2:$J$50000,"系统测试案例评审",缺陷明细!$AB$2:$AB$50000,"&lt;&gt;丢弃",缺陷明细!$AB$2:$AB$50000,"&lt;&gt;设计如此",缺陷明细!$AB$2:$AB$50000,"&lt;&gt;重复Bug")</f>
        <v>0</v>
      </c>
      <c r="O34" s="72">
        <f>COUNTIFS(缺陷明细!$A$2:$A$50000,$B$4,缺陷明细!$G$2:$G$50000,$C34,缺陷明细!$Q$2:$Q$50000,"已关闭",缺陷明细!$J$2:$J$50000,"系统测试案例评审")</f>
        <v>0</v>
      </c>
      <c r="P34" s="72">
        <f>COUNTIFS(缺陷明细!$A$2:$A$50000,$B$4,缺陷明细!$G$2:$G$50000,$C34,缺陷明细!$J$2:$J$50000,"系统测试",缺陷明细!$AB$2:$AB$50000,"&lt;&gt;丢弃",缺陷明细!$AB$2:$AB$50000,"&lt;&gt;设计如此",缺陷明细!$AB$2:$AB$50000,"&lt;&gt;重复Bug")</f>
        <v>0</v>
      </c>
      <c r="Q34" s="72">
        <f>COUNTIFS(缺陷明细!$A$2:$A$50000,$B$4,缺陷明细!$G$2:$G$50000,$C34,缺陷明细!$Q$2:$Q$50000,"已关闭",缺陷明细!$J$2:$J$50000,"系统测试")</f>
        <v>0</v>
      </c>
      <c r="R34" s="296">
        <f>COUNTIFS(缺陷明细!$A$2:$A$50000,$B$4,缺陷明细!$G$2:$G$50000,$C34,缺陷明细!$AB$2:$AB$50000,"丢弃",缺陷明细!$J$2:$J$50000,"系统测试")+COUNTIFS(缺陷明细!$A$2:$A$50000,$B$4,缺陷明细!$G$2:$G$50000,$C34,缺陷明细!$AB$2:$AB$50000,"设计如此",缺陷明细!$J$2:$J$50000,"系统测试")+COUNTIFS(缺陷明细!$A$2:$A$50000,$B$4,缺陷明细!$G$2:$G$50000,$C34,缺陷明细!$AB$2:$AB$50000,"重复Bug",缺陷明细!$J$2:$J$50000,"系统测试")</f>
        <v>0</v>
      </c>
      <c r="S34" s="72">
        <f>COUNTIFS(缺陷明细!$A$2:$A$50000,$B$4,缺陷明细!$G$2:$G$50000,$C34,缺陷明细!$J$2:$J$50000,"系统测试",缺陷明细!$K$2:$K$50000,"致命",缺陷明细!$AB$2:$AB$50000,"&lt;&gt;丢弃",缺陷明细!$AB$2:$AB$50000,"&lt;&gt;设计如此",缺陷明细!$AB$2:$AB$50000,"&lt;&gt;重复Bug")+COUNTIFS(缺陷明细!$A$2:$A$50000,$B$4,缺陷明细!$G$2:$G$50000,$C34,缺陷明细!$J$2:$J$50000,"系统测试",缺陷明细!$K$2:$K$50000,"严重",缺陷明细!$AB$2:$AB$50000,"&lt;&gt;丢弃",缺陷明细!$AB$2:$AB$50000,"&lt;&gt;设计如此",缺陷明细!$AB$2:$AB$50000,"&lt;&gt;重复Bug")</f>
        <v>0</v>
      </c>
      <c r="T34" s="73">
        <f>COUNTIFS(缺陷明细!$A$2:$A$50000,$B$4,缺陷明细!$G$2:$G$50000,$C34,缺陷明细!$Q$2:$Q$50000,"已关闭",缺陷明细!$J$2:$J$50000,"系统测试",缺陷明细!$K$2:$K$50000,"致命")+COUNTIFS(缺陷明细!$A$2:$A$50000,$B$4,缺陷明细!$G$2:$G$50000,$C34,缺陷明细!$Q$2:$Q$50000,"已关闭",缺陷明细!$J$2:$J$50000,"系统测试",缺陷明细!$K$2:$K$50000,"严重")</f>
        <v>0</v>
      </c>
      <c r="U34" s="74">
        <f>COUNTIFS(缺陷明细!$A$2:$A$50000,$B$4,缺陷明细!$G$2:$G$50000,$C34,缺陷明细!$J$2:$J$50000,"验收测试",缺陷明细!$AB$2:$AB$50000,"&lt;&gt;丢弃",缺陷明细!$AB$2:$AB$50000,"&lt;&gt;设计如此",缺陷明细!$AB$2:$AB$50000,"&lt;&gt;重复Bug")</f>
        <v>0</v>
      </c>
      <c r="V34" s="75">
        <f>COUNTIFS(缺陷明细!$A$2:$A$50000,$B$4,缺陷明细!$G$2:$G$50000,$C34,缺陷明细!$Q$2:$Q$50000,"已关闭",缺陷明细!$J$2:$J$50000,"验收测试")</f>
        <v>0</v>
      </c>
      <c r="W34" s="75">
        <f>COUNTIFS(缺陷明细!$A$2:$A$50000,$B$4,缺陷明细!$G$2:$G$50000,$C34,缺陷明细!$J$2:$J$50000,"验收测试",缺陷明细!$K$2:$K$50000,"致命",缺陷明细!$AB$2:$AB$50000,"&lt;&gt;丢弃",缺陷明细!$AB$2:$AB$50000,"&lt;&gt;设计如此",缺陷明细!$AB$2:$AB$50000,"&lt;&gt;重复Bug")+COUNTIFS(缺陷明细!$A$2:$A$50000,$B$4,缺陷明细!$G$2:$G$50000,$C34,缺陷明细!$J$2:$J$50000,"验收测试",缺陷明细!$K$2:$K$50000,"严重",缺陷明细!$AB$2:$AB$50000,"&lt;&gt;丢弃",缺陷明细!$AB$2:$AB$50000,"&lt;&gt;设计如此",缺陷明细!$AB$2:$AB$50000,"&lt;&gt;重复Bug")</f>
        <v>0</v>
      </c>
      <c r="X34" s="76">
        <f>COUNTIFS(缺陷明细!$A$2:$A$50000,$B$4,缺陷明细!$G$2:$G$50000,$C34,缺陷明细!$Q$2:$Q$50000,"已关闭",缺陷明细!$J$2:$J$50000,"验收测试",缺陷明细!$K$2:$K$50000,"致命")+COUNTIFS(缺陷明细!$A$2:$A$50000,$B$4,缺陷明细!$G$2:$G$50000,$C34,缺陷明细!$Q$2:$Q$50000,"已关闭",缺陷明细!$J$2:$J$50000,"验收测试",缺陷明细!$K$2:$K$50000,"严重")</f>
        <v>0</v>
      </c>
      <c r="Y34" s="70">
        <f>COUNTIFS(缺陷明细!$A$2:$A$50000,$B$4,缺陷明细!$G$2:$G$50000,$C34,缺陷明细!$J$2:$J$50000,"运维测试",缺陷明细!$AB$2:$AB$50000,"&lt;&gt;丢弃",缺陷明细!$AB$2:$AB$50000,"&lt;&gt;设计如此",缺陷明细!$AB$2:$AB$50000,"&lt;&gt;重复Bug")</f>
        <v>0</v>
      </c>
      <c r="Z34" s="71">
        <f>COUNTIFS(缺陷明细!$A$2:$A$50000,$B$4,缺陷明细!$G$2:$G$50000,$C34,缺陷明细!$Q$2:$Q$50000,"已关闭",缺陷明细!$J$2:$J$50000,"运维测试")</f>
        <v>0</v>
      </c>
      <c r="AA34" s="72">
        <f>COUNTIFS(缺陷明细!$A$2:$A$50000,$B$4,缺陷明细!$G$2:$G$50000,$C34,缺陷明细!$J$2:$J$50000,"运维测试",缺陷明细!$K$2:$K$50000,"致命",缺陷明细!$AB$2:$AB$50000,"&lt;&gt;丢弃",缺陷明细!$AB$2:$AB$50000,"&lt;&gt;设计如此",缺陷明细!$AB$2:$AB$50000,"&lt;&gt;重复Bug")+COUNTIFS(缺陷明细!$A$2:$A$50000,$B$4,缺陷明细!$G$2:$G$50000,$C34,缺陷明细!$J$2:$J$50000,"运维测试",缺陷明细!$K$2:$K$50000,"严重",缺陷明细!$AB$2:$AB$50000,"&lt;&gt;丢弃",缺陷明细!$AB$2:$AB$50000,"&lt;&gt;设计如此",缺陷明细!$AB$2:$AB$50000,"&lt;&gt;重复Bug")</f>
        <v>0</v>
      </c>
      <c r="AB34" s="73">
        <f>COUNTIFS(缺陷明细!$A$2:$A$50000,$B$4,缺陷明细!$G$2:$G$50000,$C34,缺陷明细!$Q$2:$Q$50000,"已关闭",缺陷明细!$J$2:$J$50000,"运维测试",缺陷明细!$K$2:$K$50000,"致命")+COUNTIFS(缺陷明细!$A$2:$A$50000,$B$4,缺陷明细!$G$2:$G$50000,$C34,缺陷明细!$Q$2:$Q$50000,"已关闭",缺陷明细!$J$2:$J$50000,"运维测试",缺陷明细!$K$2:$K$50000,"严重")</f>
        <v>0</v>
      </c>
      <c r="AC34" s="68">
        <f t="shared" si="0"/>
        <v>0</v>
      </c>
      <c r="AD34" s="60">
        <f t="shared" si="0"/>
        <v>0</v>
      </c>
      <c r="AE34" s="60">
        <f t="shared" si="1"/>
        <v>0</v>
      </c>
      <c r="AF34" s="60">
        <f t="shared" si="1"/>
        <v>0</v>
      </c>
      <c r="AG34" s="60">
        <f t="shared" si="2"/>
        <v>0</v>
      </c>
      <c r="AH34" s="60">
        <f t="shared" si="2"/>
        <v>0</v>
      </c>
      <c r="AI34" s="60">
        <f t="shared" si="3"/>
        <v>0</v>
      </c>
      <c r="AJ34" s="61">
        <f t="shared" si="3"/>
        <v>0</v>
      </c>
      <c r="AK34" s="144"/>
    </row>
    <row r="35" spans="1:37">
      <c r="A35">
        <v>31</v>
      </c>
      <c r="B35" s="57" t="s">
        <v>1604</v>
      </c>
      <c r="C35" s="58" t="s">
        <v>1658</v>
      </c>
      <c r="D35" s="84" t="s">
        <v>1673</v>
      </c>
      <c r="E35" s="82" t="s">
        <v>346</v>
      </c>
      <c r="F35" s="158"/>
      <c r="G35" s="159"/>
      <c r="H35" s="281">
        <f>COUNTIFS(缺陷明细!$A$2:$A$50000,$B$4,缺陷明细!$G$2:$G$50000,$C35,缺陷明细!$J$2:$J$50000,"评审",缺陷明细!$AB$2:$AB$50000,"&lt;&gt;丢弃",缺陷明细!$AB$2:$AB$50000,"&lt;&gt;设计如此",缺陷明细!$AB$2:$AB$50000,"&lt;&gt;重复Bug")</f>
        <v>0</v>
      </c>
      <c r="I35" s="154">
        <f>COUNTIFS(缺陷明细!$A$2:$A$50000,$B$4,缺陷明细!$G$2:$G$50000,$C35,缺陷明细!$Q$2:$Q$50000,"已关闭",缺陷明细!$J$2:$J$50000,"评审")</f>
        <v>0</v>
      </c>
      <c r="J35" s="154">
        <f>COUNTIFS(缺陷明细!$A$2:$A$50000,$B$4,缺陷明细!$G$2:$G$50000,$C35,缺陷明细!$J$2:$J$50000,"单元测试",缺陷明细!$AB$2:$AB$50000,"&lt;&gt;丢弃",缺陷明细!$AB$2:$AB$50000,"&lt;&gt;设计如此",缺陷明细!$AB$2:$AB$50000,"&lt;&gt;重复Bug")</f>
        <v>0</v>
      </c>
      <c r="K35" s="155">
        <f>COUNTIFS(缺陷明细!$A$2:$A$50000,$B$4,缺陷明细!$G$2:$G$50000,$C35,缺陷明细!$Q$2:$Q$50000,"已关闭",缺陷明细!$J$2:$J$50000,"单元测试")</f>
        <v>0</v>
      </c>
      <c r="L35" s="156">
        <v>2</v>
      </c>
      <c r="M35" s="157"/>
      <c r="N35" s="72">
        <f>COUNTIFS(缺陷明细!$A$2:$A$50000,$B$4,缺陷明细!$G$2:$G$50000,$C35,缺陷明细!$J$2:$J$50000,"系统测试案例评审",缺陷明细!$AB$2:$AB$50000,"&lt;&gt;丢弃",缺陷明细!$AB$2:$AB$50000,"&lt;&gt;设计如此",缺陷明细!$AB$2:$AB$50000,"&lt;&gt;重复Bug")</f>
        <v>0</v>
      </c>
      <c r="O35" s="72">
        <f>COUNTIFS(缺陷明细!$A$2:$A$50000,$B$4,缺陷明细!$G$2:$G$50000,$C35,缺陷明细!$Q$2:$Q$50000,"已关闭",缺陷明细!$J$2:$J$50000,"系统测试案例评审")</f>
        <v>0</v>
      </c>
      <c r="P35" s="72">
        <f>COUNTIFS(缺陷明细!$A$2:$A$50000,$B$4,缺陷明细!$G$2:$G$50000,$C35,缺陷明细!$J$2:$J$50000,"系统测试",缺陷明细!$AB$2:$AB$50000,"&lt;&gt;丢弃",缺陷明细!$AB$2:$AB$50000,"&lt;&gt;设计如此",缺陷明细!$AB$2:$AB$50000,"&lt;&gt;重复Bug")</f>
        <v>0</v>
      </c>
      <c r="Q35" s="72">
        <f>COUNTIFS(缺陷明细!$A$2:$A$50000,$B$4,缺陷明细!$G$2:$G$50000,$C35,缺陷明细!$Q$2:$Q$50000,"已关闭",缺陷明细!$J$2:$J$50000,"系统测试")</f>
        <v>0</v>
      </c>
      <c r="R35" s="296">
        <f>COUNTIFS(缺陷明细!$A$2:$A$50000,$B$4,缺陷明细!$G$2:$G$50000,$C35,缺陷明细!$AB$2:$AB$50000,"丢弃",缺陷明细!$J$2:$J$50000,"系统测试")+COUNTIFS(缺陷明细!$A$2:$A$50000,$B$4,缺陷明细!$G$2:$G$50000,$C35,缺陷明细!$AB$2:$AB$50000,"设计如此",缺陷明细!$J$2:$J$50000,"系统测试")+COUNTIFS(缺陷明细!$A$2:$A$50000,$B$4,缺陷明细!$G$2:$G$50000,$C35,缺陷明细!$AB$2:$AB$50000,"重复Bug",缺陷明细!$J$2:$J$50000,"系统测试")</f>
        <v>0</v>
      </c>
      <c r="S35" s="72">
        <f>COUNTIFS(缺陷明细!$A$2:$A$50000,$B$4,缺陷明细!$G$2:$G$50000,$C35,缺陷明细!$J$2:$J$50000,"系统测试",缺陷明细!$K$2:$K$50000,"致命",缺陷明细!$AB$2:$AB$50000,"&lt;&gt;丢弃",缺陷明细!$AB$2:$AB$50000,"&lt;&gt;设计如此",缺陷明细!$AB$2:$AB$50000,"&lt;&gt;重复Bug")+COUNTIFS(缺陷明细!$A$2:$A$50000,$B$4,缺陷明细!$G$2:$G$50000,$C35,缺陷明细!$J$2:$J$50000,"系统测试",缺陷明细!$K$2:$K$50000,"严重",缺陷明细!$AB$2:$AB$50000,"&lt;&gt;丢弃",缺陷明细!$AB$2:$AB$50000,"&lt;&gt;设计如此",缺陷明细!$AB$2:$AB$50000,"&lt;&gt;重复Bug")</f>
        <v>0</v>
      </c>
      <c r="T35" s="73">
        <f>COUNTIFS(缺陷明细!$A$2:$A$50000,$B$4,缺陷明细!$G$2:$G$50000,$C35,缺陷明细!$Q$2:$Q$50000,"已关闭",缺陷明细!$J$2:$J$50000,"系统测试",缺陷明细!$K$2:$K$50000,"致命")+COUNTIFS(缺陷明细!$A$2:$A$50000,$B$4,缺陷明细!$G$2:$G$50000,$C35,缺陷明细!$Q$2:$Q$50000,"已关闭",缺陷明细!$J$2:$J$50000,"系统测试",缺陷明细!$K$2:$K$50000,"严重")</f>
        <v>0</v>
      </c>
      <c r="U35" s="74">
        <f>COUNTIFS(缺陷明细!$A$2:$A$50000,$B$4,缺陷明细!$G$2:$G$50000,$C35,缺陷明细!$J$2:$J$50000,"验收测试",缺陷明细!$AB$2:$AB$50000,"&lt;&gt;丢弃",缺陷明细!$AB$2:$AB$50000,"&lt;&gt;设计如此",缺陷明细!$AB$2:$AB$50000,"&lt;&gt;重复Bug")</f>
        <v>0</v>
      </c>
      <c r="V35" s="75">
        <f>COUNTIFS(缺陷明细!$A$2:$A$50000,$B$4,缺陷明细!$G$2:$G$50000,$C35,缺陷明细!$Q$2:$Q$50000,"已关闭",缺陷明细!$J$2:$J$50000,"验收测试")</f>
        <v>0</v>
      </c>
      <c r="W35" s="75">
        <f>COUNTIFS(缺陷明细!$A$2:$A$50000,$B$4,缺陷明细!$G$2:$G$50000,$C35,缺陷明细!$J$2:$J$50000,"验收测试",缺陷明细!$K$2:$K$50000,"致命",缺陷明细!$AB$2:$AB$50000,"&lt;&gt;丢弃",缺陷明细!$AB$2:$AB$50000,"&lt;&gt;设计如此",缺陷明细!$AB$2:$AB$50000,"&lt;&gt;重复Bug")+COUNTIFS(缺陷明细!$A$2:$A$50000,$B$4,缺陷明细!$G$2:$G$50000,$C35,缺陷明细!$J$2:$J$50000,"验收测试",缺陷明细!$K$2:$K$50000,"严重",缺陷明细!$AB$2:$AB$50000,"&lt;&gt;丢弃",缺陷明细!$AB$2:$AB$50000,"&lt;&gt;设计如此",缺陷明细!$AB$2:$AB$50000,"&lt;&gt;重复Bug")</f>
        <v>0</v>
      </c>
      <c r="X35" s="76">
        <f>COUNTIFS(缺陷明细!$A$2:$A$50000,$B$4,缺陷明细!$G$2:$G$50000,$C35,缺陷明细!$Q$2:$Q$50000,"已关闭",缺陷明细!$J$2:$J$50000,"验收测试",缺陷明细!$K$2:$K$50000,"致命")+COUNTIFS(缺陷明细!$A$2:$A$50000,$B$4,缺陷明细!$G$2:$G$50000,$C35,缺陷明细!$Q$2:$Q$50000,"已关闭",缺陷明细!$J$2:$J$50000,"验收测试",缺陷明细!$K$2:$K$50000,"严重")</f>
        <v>0</v>
      </c>
      <c r="Y35" s="70">
        <f>COUNTIFS(缺陷明细!$A$2:$A$50000,$B$4,缺陷明细!$G$2:$G$50000,$C35,缺陷明细!$J$2:$J$50000,"运维测试",缺陷明细!$AB$2:$AB$50000,"&lt;&gt;丢弃",缺陷明细!$AB$2:$AB$50000,"&lt;&gt;设计如此",缺陷明细!$AB$2:$AB$50000,"&lt;&gt;重复Bug")</f>
        <v>0</v>
      </c>
      <c r="Z35" s="71">
        <f>COUNTIFS(缺陷明细!$A$2:$A$50000,$B$4,缺陷明细!$G$2:$G$50000,$C35,缺陷明细!$Q$2:$Q$50000,"已关闭",缺陷明细!$J$2:$J$50000,"运维测试")</f>
        <v>0</v>
      </c>
      <c r="AA35" s="72">
        <f>COUNTIFS(缺陷明细!$A$2:$A$50000,$B$4,缺陷明细!$G$2:$G$50000,$C35,缺陷明细!$J$2:$J$50000,"运维测试",缺陷明细!$K$2:$K$50000,"致命",缺陷明细!$AB$2:$AB$50000,"&lt;&gt;丢弃",缺陷明细!$AB$2:$AB$50000,"&lt;&gt;设计如此",缺陷明细!$AB$2:$AB$50000,"&lt;&gt;重复Bug")+COUNTIFS(缺陷明细!$A$2:$A$50000,$B$4,缺陷明细!$G$2:$G$50000,$C35,缺陷明细!$J$2:$J$50000,"运维测试",缺陷明细!$K$2:$K$50000,"严重",缺陷明细!$AB$2:$AB$50000,"&lt;&gt;丢弃",缺陷明细!$AB$2:$AB$50000,"&lt;&gt;设计如此",缺陷明细!$AB$2:$AB$50000,"&lt;&gt;重复Bug")</f>
        <v>0</v>
      </c>
      <c r="AB35" s="73">
        <f>COUNTIFS(缺陷明细!$A$2:$A$50000,$B$4,缺陷明细!$G$2:$G$50000,$C35,缺陷明细!$Q$2:$Q$50000,"已关闭",缺陷明细!$J$2:$J$50000,"运维测试",缺陷明细!$K$2:$K$50000,"致命")+COUNTIFS(缺陷明细!$A$2:$A$50000,$B$4,缺陷明细!$G$2:$G$50000,$C35,缺陷明细!$Q$2:$Q$50000,"已关闭",缺陷明细!$J$2:$J$50000,"运维测试",缺陷明细!$K$2:$K$50000,"严重")</f>
        <v>0</v>
      </c>
      <c r="AC35" s="68">
        <f t="shared" si="0"/>
        <v>0</v>
      </c>
      <c r="AD35" s="60">
        <f t="shared" si="0"/>
        <v>0</v>
      </c>
      <c r="AE35" s="60">
        <f t="shared" si="1"/>
        <v>0</v>
      </c>
      <c r="AF35" s="60">
        <f t="shared" si="1"/>
        <v>0</v>
      </c>
      <c r="AG35" s="60">
        <f t="shared" si="2"/>
        <v>0</v>
      </c>
      <c r="AH35" s="60">
        <f t="shared" si="2"/>
        <v>0</v>
      </c>
      <c r="AI35" s="60">
        <f t="shared" si="3"/>
        <v>0</v>
      </c>
      <c r="AJ35" s="61">
        <f t="shared" si="3"/>
        <v>0</v>
      </c>
      <c r="AK35" s="144"/>
    </row>
    <row r="36" spans="1:37">
      <c r="A36">
        <v>32</v>
      </c>
      <c r="B36" s="57" t="s">
        <v>1603</v>
      </c>
      <c r="C36" s="58" t="s">
        <v>1659</v>
      </c>
      <c r="D36" s="84" t="s">
        <v>1673</v>
      </c>
      <c r="E36" s="82" t="s">
        <v>346</v>
      </c>
      <c r="F36" s="158"/>
      <c r="G36" s="159"/>
      <c r="H36" s="281">
        <f>COUNTIFS(缺陷明细!$A$2:$A$50000,$B$4,缺陷明细!$G$2:$G$50000,$C36,缺陷明细!$J$2:$J$50000,"评审",缺陷明细!$AB$2:$AB$50000,"&lt;&gt;丢弃",缺陷明细!$AB$2:$AB$50000,"&lt;&gt;设计如此",缺陷明细!$AB$2:$AB$50000,"&lt;&gt;重复Bug")</f>
        <v>0</v>
      </c>
      <c r="I36" s="154">
        <f>COUNTIFS(缺陷明细!$A$2:$A$50000,$B$4,缺陷明细!$G$2:$G$50000,$C36,缺陷明细!$Q$2:$Q$50000,"已关闭",缺陷明细!$J$2:$J$50000,"评审")</f>
        <v>0</v>
      </c>
      <c r="J36" s="154">
        <f>COUNTIFS(缺陷明细!$A$2:$A$50000,$B$4,缺陷明细!$G$2:$G$50000,$C36,缺陷明细!$J$2:$J$50000,"单元测试",缺陷明细!$AB$2:$AB$50000,"&lt;&gt;丢弃",缺陷明细!$AB$2:$AB$50000,"&lt;&gt;设计如此",缺陷明细!$AB$2:$AB$50000,"&lt;&gt;重复Bug")</f>
        <v>0</v>
      </c>
      <c r="K36" s="155">
        <f>COUNTIFS(缺陷明细!$A$2:$A$50000,$B$4,缺陷明细!$G$2:$G$50000,$C36,缺陷明细!$Q$2:$Q$50000,"已关闭",缺陷明细!$J$2:$J$50000,"单元测试")</f>
        <v>0</v>
      </c>
      <c r="L36" s="156">
        <v>1</v>
      </c>
      <c r="M36" s="157"/>
      <c r="N36" s="72">
        <f>COUNTIFS(缺陷明细!$A$2:$A$50000,$B$4,缺陷明细!$G$2:$G$50000,$C36,缺陷明细!$J$2:$J$50000,"系统测试案例评审",缺陷明细!$AB$2:$AB$50000,"&lt;&gt;丢弃",缺陷明细!$AB$2:$AB$50000,"&lt;&gt;设计如此",缺陷明细!$AB$2:$AB$50000,"&lt;&gt;重复Bug")</f>
        <v>0</v>
      </c>
      <c r="O36" s="72">
        <f>COUNTIFS(缺陷明细!$A$2:$A$50000,$B$4,缺陷明细!$G$2:$G$50000,$C36,缺陷明细!$Q$2:$Q$50000,"已关闭",缺陷明细!$J$2:$J$50000,"系统测试案例评审")</f>
        <v>0</v>
      </c>
      <c r="P36" s="72">
        <f>COUNTIFS(缺陷明细!$A$2:$A$50000,$B$4,缺陷明细!$G$2:$G$50000,$C36,缺陷明细!$J$2:$J$50000,"系统测试",缺陷明细!$AB$2:$AB$50000,"&lt;&gt;丢弃",缺陷明细!$AB$2:$AB$50000,"&lt;&gt;设计如此",缺陷明细!$AB$2:$AB$50000,"&lt;&gt;重复Bug")</f>
        <v>0</v>
      </c>
      <c r="Q36" s="72">
        <f>COUNTIFS(缺陷明细!$A$2:$A$50000,$B$4,缺陷明细!$G$2:$G$50000,$C36,缺陷明细!$Q$2:$Q$50000,"已关闭",缺陷明细!$J$2:$J$50000,"系统测试")</f>
        <v>0</v>
      </c>
      <c r="R36" s="296">
        <f>COUNTIFS(缺陷明细!$A$2:$A$50000,$B$4,缺陷明细!$G$2:$G$50000,$C36,缺陷明细!$AB$2:$AB$50000,"丢弃",缺陷明细!$J$2:$J$50000,"系统测试")+COUNTIFS(缺陷明细!$A$2:$A$50000,$B$4,缺陷明细!$G$2:$G$50000,$C36,缺陷明细!$AB$2:$AB$50000,"设计如此",缺陷明细!$J$2:$J$50000,"系统测试")+COUNTIFS(缺陷明细!$A$2:$A$50000,$B$4,缺陷明细!$G$2:$G$50000,$C36,缺陷明细!$AB$2:$AB$50000,"重复Bug",缺陷明细!$J$2:$J$50000,"系统测试")</f>
        <v>0</v>
      </c>
      <c r="S36" s="72">
        <f>COUNTIFS(缺陷明细!$A$2:$A$50000,$B$4,缺陷明细!$G$2:$G$50000,$C36,缺陷明细!$J$2:$J$50000,"系统测试",缺陷明细!$K$2:$K$50000,"致命",缺陷明细!$AB$2:$AB$50000,"&lt;&gt;丢弃",缺陷明细!$AB$2:$AB$50000,"&lt;&gt;设计如此",缺陷明细!$AB$2:$AB$50000,"&lt;&gt;重复Bug")+COUNTIFS(缺陷明细!$A$2:$A$50000,$B$4,缺陷明细!$G$2:$G$50000,$C36,缺陷明细!$J$2:$J$50000,"系统测试",缺陷明细!$K$2:$K$50000,"严重",缺陷明细!$AB$2:$AB$50000,"&lt;&gt;丢弃",缺陷明细!$AB$2:$AB$50000,"&lt;&gt;设计如此",缺陷明细!$AB$2:$AB$50000,"&lt;&gt;重复Bug")</f>
        <v>0</v>
      </c>
      <c r="T36" s="73">
        <f>COUNTIFS(缺陷明细!$A$2:$A$50000,$B$4,缺陷明细!$G$2:$G$50000,$C36,缺陷明细!$Q$2:$Q$50000,"已关闭",缺陷明细!$J$2:$J$50000,"系统测试",缺陷明细!$K$2:$K$50000,"致命")+COUNTIFS(缺陷明细!$A$2:$A$50000,$B$4,缺陷明细!$G$2:$G$50000,$C36,缺陷明细!$Q$2:$Q$50000,"已关闭",缺陷明细!$J$2:$J$50000,"系统测试",缺陷明细!$K$2:$K$50000,"严重")</f>
        <v>0</v>
      </c>
      <c r="U36" s="74">
        <f>COUNTIFS(缺陷明细!$A$2:$A$50000,$B$4,缺陷明细!$G$2:$G$50000,$C36,缺陷明细!$J$2:$J$50000,"验收测试",缺陷明细!$AB$2:$AB$50000,"&lt;&gt;丢弃",缺陷明细!$AB$2:$AB$50000,"&lt;&gt;设计如此",缺陷明细!$AB$2:$AB$50000,"&lt;&gt;重复Bug")</f>
        <v>0</v>
      </c>
      <c r="V36" s="75">
        <f>COUNTIFS(缺陷明细!$A$2:$A$50000,$B$4,缺陷明细!$G$2:$G$50000,$C36,缺陷明细!$Q$2:$Q$50000,"已关闭",缺陷明细!$J$2:$J$50000,"验收测试")</f>
        <v>0</v>
      </c>
      <c r="W36" s="75">
        <f>COUNTIFS(缺陷明细!$A$2:$A$50000,$B$4,缺陷明细!$G$2:$G$50000,$C36,缺陷明细!$J$2:$J$50000,"验收测试",缺陷明细!$K$2:$K$50000,"致命",缺陷明细!$AB$2:$AB$50000,"&lt;&gt;丢弃",缺陷明细!$AB$2:$AB$50000,"&lt;&gt;设计如此",缺陷明细!$AB$2:$AB$50000,"&lt;&gt;重复Bug")+COUNTIFS(缺陷明细!$A$2:$A$50000,$B$4,缺陷明细!$G$2:$G$50000,$C36,缺陷明细!$J$2:$J$50000,"验收测试",缺陷明细!$K$2:$K$50000,"严重",缺陷明细!$AB$2:$AB$50000,"&lt;&gt;丢弃",缺陷明细!$AB$2:$AB$50000,"&lt;&gt;设计如此",缺陷明细!$AB$2:$AB$50000,"&lt;&gt;重复Bug")</f>
        <v>0</v>
      </c>
      <c r="X36" s="76">
        <f>COUNTIFS(缺陷明细!$A$2:$A$50000,$B$4,缺陷明细!$G$2:$G$50000,$C36,缺陷明细!$Q$2:$Q$50000,"已关闭",缺陷明细!$J$2:$J$50000,"验收测试",缺陷明细!$K$2:$K$50000,"致命")+COUNTIFS(缺陷明细!$A$2:$A$50000,$B$4,缺陷明细!$G$2:$G$50000,$C36,缺陷明细!$Q$2:$Q$50000,"已关闭",缺陷明细!$J$2:$J$50000,"验收测试",缺陷明细!$K$2:$K$50000,"严重")</f>
        <v>0</v>
      </c>
      <c r="Y36" s="70">
        <f>COUNTIFS(缺陷明细!$A$2:$A$50000,$B$4,缺陷明细!$G$2:$G$50000,$C36,缺陷明细!$J$2:$J$50000,"运维测试",缺陷明细!$AB$2:$AB$50000,"&lt;&gt;丢弃",缺陷明细!$AB$2:$AB$50000,"&lt;&gt;设计如此",缺陷明细!$AB$2:$AB$50000,"&lt;&gt;重复Bug")</f>
        <v>0</v>
      </c>
      <c r="Z36" s="71">
        <f>COUNTIFS(缺陷明细!$A$2:$A$50000,$B$4,缺陷明细!$G$2:$G$50000,$C36,缺陷明细!$Q$2:$Q$50000,"已关闭",缺陷明细!$J$2:$J$50000,"运维测试")</f>
        <v>0</v>
      </c>
      <c r="AA36" s="72">
        <f>COUNTIFS(缺陷明细!$A$2:$A$50000,$B$4,缺陷明细!$G$2:$G$50000,$C36,缺陷明细!$J$2:$J$50000,"运维测试",缺陷明细!$K$2:$K$50000,"致命",缺陷明细!$AB$2:$AB$50000,"&lt;&gt;丢弃",缺陷明细!$AB$2:$AB$50000,"&lt;&gt;设计如此",缺陷明细!$AB$2:$AB$50000,"&lt;&gt;重复Bug")+COUNTIFS(缺陷明细!$A$2:$A$50000,$B$4,缺陷明细!$G$2:$G$50000,$C36,缺陷明细!$J$2:$J$50000,"运维测试",缺陷明细!$K$2:$K$50000,"严重",缺陷明细!$AB$2:$AB$50000,"&lt;&gt;丢弃",缺陷明细!$AB$2:$AB$50000,"&lt;&gt;设计如此",缺陷明细!$AB$2:$AB$50000,"&lt;&gt;重复Bug")</f>
        <v>0</v>
      </c>
      <c r="AB36" s="73">
        <f>COUNTIFS(缺陷明细!$A$2:$A$50000,$B$4,缺陷明细!$G$2:$G$50000,$C36,缺陷明细!$Q$2:$Q$50000,"已关闭",缺陷明细!$J$2:$J$50000,"运维测试",缺陷明细!$K$2:$K$50000,"致命")+COUNTIFS(缺陷明细!$A$2:$A$50000,$B$4,缺陷明细!$G$2:$G$50000,$C36,缺陷明细!$Q$2:$Q$50000,"已关闭",缺陷明细!$J$2:$J$50000,"运维测试",缺陷明细!$K$2:$K$50000,"严重")</f>
        <v>0</v>
      </c>
      <c r="AC36" s="68">
        <f t="shared" si="0"/>
        <v>0</v>
      </c>
      <c r="AD36" s="60">
        <f t="shared" si="0"/>
        <v>0</v>
      </c>
      <c r="AE36" s="60">
        <f t="shared" si="1"/>
        <v>0</v>
      </c>
      <c r="AF36" s="60">
        <f t="shared" si="1"/>
        <v>0</v>
      </c>
      <c r="AG36" s="60">
        <f t="shared" si="2"/>
        <v>0</v>
      </c>
      <c r="AH36" s="60">
        <f t="shared" si="2"/>
        <v>0</v>
      </c>
      <c r="AI36" s="60">
        <f t="shared" si="3"/>
        <v>0</v>
      </c>
      <c r="AJ36" s="61">
        <f t="shared" si="3"/>
        <v>0</v>
      </c>
      <c r="AK36" s="144"/>
    </row>
    <row r="37" spans="1:37">
      <c r="A37">
        <v>33</v>
      </c>
      <c r="B37" s="57" t="s">
        <v>1602</v>
      </c>
      <c r="C37" s="58" t="s">
        <v>1660</v>
      </c>
      <c r="D37" s="84" t="s">
        <v>1673</v>
      </c>
      <c r="E37" s="82" t="s">
        <v>346</v>
      </c>
      <c r="F37" s="158"/>
      <c r="G37" s="159"/>
      <c r="H37" s="281">
        <f>COUNTIFS(缺陷明细!$A$2:$A$50000,$B$4,缺陷明细!$G$2:$G$50000,$C37,缺陷明细!$J$2:$J$50000,"评审",缺陷明细!$AB$2:$AB$50000,"&lt;&gt;丢弃",缺陷明细!$AB$2:$AB$50000,"&lt;&gt;设计如此",缺陷明细!$AB$2:$AB$50000,"&lt;&gt;重复Bug")</f>
        <v>0</v>
      </c>
      <c r="I37" s="154">
        <f>COUNTIFS(缺陷明细!$A$2:$A$50000,$B$4,缺陷明细!$G$2:$G$50000,$C37,缺陷明细!$Q$2:$Q$50000,"已关闭",缺陷明细!$J$2:$J$50000,"评审")</f>
        <v>0</v>
      </c>
      <c r="J37" s="154">
        <f>COUNTIFS(缺陷明细!$A$2:$A$50000,$B$4,缺陷明细!$G$2:$G$50000,$C37,缺陷明细!$J$2:$J$50000,"单元测试",缺陷明细!$AB$2:$AB$50000,"&lt;&gt;丢弃",缺陷明细!$AB$2:$AB$50000,"&lt;&gt;设计如此",缺陷明细!$AB$2:$AB$50000,"&lt;&gt;重复Bug")</f>
        <v>0</v>
      </c>
      <c r="K37" s="155">
        <f>COUNTIFS(缺陷明细!$A$2:$A$50000,$B$4,缺陷明细!$G$2:$G$50000,$C37,缺陷明细!$Q$2:$Q$50000,"已关闭",缺陷明细!$J$2:$J$50000,"单元测试")</f>
        <v>0</v>
      </c>
      <c r="L37" s="156">
        <v>2</v>
      </c>
      <c r="M37" s="157"/>
      <c r="N37" s="72">
        <f>COUNTIFS(缺陷明细!$A$2:$A$50000,$B$4,缺陷明细!$G$2:$G$50000,$C37,缺陷明细!$J$2:$J$50000,"系统测试案例评审",缺陷明细!$AB$2:$AB$50000,"&lt;&gt;丢弃",缺陷明细!$AB$2:$AB$50000,"&lt;&gt;设计如此",缺陷明细!$AB$2:$AB$50000,"&lt;&gt;重复Bug")</f>
        <v>0</v>
      </c>
      <c r="O37" s="72">
        <f>COUNTIFS(缺陷明细!$A$2:$A$50000,$B$4,缺陷明细!$G$2:$G$50000,$C37,缺陷明细!$Q$2:$Q$50000,"已关闭",缺陷明细!$J$2:$J$50000,"系统测试案例评审")</f>
        <v>0</v>
      </c>
      <c r="P37" s="72">
        <f>COUNTIFS(缺陷明细!$A$2:$A$50000,$B$4,缺陷明细!$G$2:$G$50000,$C37,缺陷明细!$J$2:$J$50000,"系统测试",缺陷明细!$AB$2:$AB$50000,"&lt;&gt;丢弃",缺陷明细!$AB$2:$AB$50000,"&lt;&gt;设计如此",缺陷明细!$AB$2:$AB$50000,"&lt;&gt;重复Bug")</f>
        <v>0</v>
      </c>
      <c r="Q37" s="72">
        <f>COUNTIFS(缺陷明细!$A$2:$A$50000,$B$4,缺陷明细!$G$2:$G$50000,$C37,缺陷明细!$Q$2:$Q$50000,"已关闭",缺陷明细!$J$2:$J$50000,"系统测试")</f>
        <v>0</v>
      </c>
      <c r="R37" s="296">
        <f>COUNTIFS(缺陷明细!$A$2:$A$50000,$B$4,缺陷明细!$G$2:$G$50000,$C37,缺陷明细!$AB$2:$AB$50000,"丢弃",缺陷明细!$J$2:$J$50000,"系统测试")+COUNTIFS(缺陷明细!$A$2:$A$50000,$B$4,缺陷明细!$G$2:$G$50000,$C37,缺陷明细!$AB$2:$AB$50000,"设计如此",缺陷明细!$J$2:$J$50000,"系统测试")+COUNTIFS(缺陷明细!$A$2:$A$50000,$B$4,缺陷明细!$G$2:$G$50000,$C37,缺陷明细!$AB$2:$AB$50000,"重复Bug",缺陷明细!$J$2:$J$50000,"系统测试")</f>
        <v>0</v>
      </c>
      <c r="S37" s="72">
        <f>COUNTIFS(缺陷明细!$A$2:$A$50000,$B$4,缺陷明细!$G$2:$G$50000,$C37,缺陷明细!$J$2:$J$50000,"系统测试",缺陷明细!$K$2:$K$50000,"致命",缺陷明细!$AB$2:$AB$50000,"&lt;&gt;丢弃",缺陷明细!$AB$2:$AB$50000,"&lt;&gt;设计如此",缺陷明细!$AB$2:$AB$50000,"&lt;&gt;重复Bug")+COUNTIFS(缺陷明细!$A$2:$A$50000,$B$4,缺陷明细!$G$2:$G$50000,$C37,缺陷明细!$J$2:$J$50000,"系统测试",缺陷明细!$K$2:$K$50000,"严重",缺陷明细!$AB$2:$AB$50000,"&lt;&gt;丢弃",缺陷明细!$AB$2:$AB$50000,"&lt;&gt;设计如此",缺陷明细!$AB$2:$AB$50000,"&lt;&gt;重复Bug")</f>
        <v>0</v>
      </c>
      <c r="T37" s="73">
        <f>COUNTIFS(缺陷明细!$A$2:$A$50000,$B$4,缺陷明细!$G$2:$G$50000,$C37,缺陷明细!$Q$2:$Q$50000,"已关闭",缺陷明细!$J$2:$J$50000,"系统测试",缺陷明细!$K$2:$K$50000,"致命")+COUNTIFS(缺陷明细!$A$2:$A$50000,$B$4,缺陷明细!$G$2:$G$50000,$C37,缺陷明细!$Q$2:$Q$50000,"已关闭",缺陷明细!$J$2:$J$50000,"系统测试",缺陷明细!$K$2:$K$50000,"严重")</f>
        <v>0</v>
      </c>
      <c r="U37" s="74">
        <f>COUNTIFS(缺陷明细!$A$2:$A$50000,$B$4,缺陷明细!$G$2:$G$50000,$C37,缺陷明细!$J$2:$J$50000,"验收测试",缺陷明细!$AB$2:$AB$50000,"&lt;&gt;丢弃",缺陷明细!$AB$2:$AB$50000,"&lt;&gt;设计如此",缺陷明细!$AB$2:$AB$50000,"&lt;&gt;重复Bug")</f>
        <v>0</v>
      </c>
      <c r="V37" s="75">
        <f>COUNTIFS(缺陷明细!$A$2:$A$50000,$B$4,缺陷明细!$G$2:$G$50000,$C37,缺陷明细!$Q$2:$Q$50000,"已关闭",缺陷明细!$J$2:$J$50000,"验收测试")</f>
        <v>0</v>
      </c>
      <c r="W37" s="75">
        <f>COUNTIFS(缺陷明细!$A$2:$A$50000,$B$4,缺陷明细!$G$2:$G$50000,$C37,缺陷明细!$J$2:$J$50000,"验收测试",缺陷明细!$K$2:$K$50000,"致命",缺陷明细!$AB$2:$AB$50000,"&lt;&gt;丢弃",缺陷明细!$AB$2:$AB$50000,"&lt;&gt;设计如此",缺陷明细!$AB$2:$AB$50000,"&lt;&gt;重复Bug")+COUNTIFS(缺陷明细!$A$2:$A$50000,$B$4,缺陷明细!$G$2:$G$50000,$C37,缺陷明细!$J$2:$J$50000,"验收测试",缺陷明细!$K$2:$K$50000,"严重",缺陷明细!$AB$2:$AB$50000,"&lt;&gt;丢弃",缺陷明细!$AB$2:$AB$50000,"&lt;&gt;设计如此",缺陷明细!$AB$2:$AB$50000,"&lt;&gt;重复Bug")</f>
        <v>0</v>
      </c>
      <c r="X37" s="76">
        <f>COUNTIFS(缺陷明细!$A$2:$A$50000,$B$4,缺陷明细!$G$2:$G$50000,$C37,缺陷明细!$Q$2:$Q$50000,"已关闭",缺陷明细!$J$2:$J$50000,"验收测试",缺陷明细!$K$2:$K$50000,"致命")+COUNTIFS(缺陷明细!$A$2:$A$50000,$B$4,缺陷明细!$G$2:$G$50000,$C37,缺陷明细!$Q$2:$Q$50000,"已关闭",缺陷明细!$J$2:$J$50000,"验收测试",缺陷明细!$K$2:$K$50000,"严重")</f>
        <v>0</v>
      </c>
      <c r="Y37" s="70">
        <f>COUNTIFS(缺陷明细!$A$2:$A$50000,$B$4,缺陷明细!$G$2:$G$50000,$C37,缺陷明细!$J$2:$J$50000,"运维测试",缺陷明细!$AB$2:$AB$50000,"&lt;&gt;丢弃",缺陷明细!$AB$2:$AB$50000,"&lt;&gt;设计如此",缺陷明细!$AB$2:$AB$50000,"&lt;&gt;重复Bug")</f>
        <v>0</v>
      </c>
      <c r="Z37" s="71">
        <f>COUNTIFS(缺陷明细!$A$2:$A$50000,$B$4,缺陷明细!$G$2:$G$50000,$C37,缺陷明细!$Q$2:$Q$50000,"已关闭",缺陷明细!$J$2:$J$50000,"运维测试")</f>
        <v>0</v>
      </c>
      <c r="AA37" s="72">
        <f>COUNTIFS(缺陷明细!$A$2:$A$50000,$B$4,缺陷明细!$G$2:$G$50000,$C37,缺陷明细!$J$2:$J$50000,"运维测试",缺陷明细!$K$2:$K$50000,"致命",缺陷明细!$AB$2:$AB$50000,"&lt;&gt;丢弃",缺陷明细!$AB$2:$AB$50000,"&lt;&gt;设计如此",缺陷明细!$AB$2:$AB$50000,"&lt;&gt;重复Bug")+COUNTIFS(缺陷明细!$A$2:$A$50000,$B$4,缺陷明细!$G$2:$G$50000,$C37,缺陷明细!$J$2:$J$50000,"运维测试",缺陷明细!$K$2:$K$50000,"严重",缺陷明细!$AB$2:$AB$50000,"&lt;&gt;丢弃",缺陷明细!$AB$2:$AB$50000,"&lt;&gt;设计如此",缺陷明细!$AB$2:$AB$50000,"&lt;&gt;重复Bug")</f>
        <v>0</v>
      </c>
      <c r="AB37" s="73">
        <f>COUNTIFS(缺陷明细!$A$2:$A$50000,$B$4,缺陷明细!$G$2:$G$50000,$C37,缺陷明细!$Q$2:$Q$50000,"已关闭",缺陷明细!$J$2:$J$50000,"运维测试",缺陷明细!$K$2:$K$50000,"致命")+COUNTIFS(缺陷明细!$A$2:$A$50000,$B$4,缺陷明细!$G$2:$G$50000,$C37,缺陷明细!$Q$2:$Q$50000,"已关闭",缺陷明细!$J$2:$J$50000,"运维测试",缺陷明细!$K$2:$K$50000,"严重")</f>
        <v>0</v>
      </c>
      <c r="AC37" s="68">
        <f t="shared" si="0"/>
        <v>0</v>
      </c>
      <c r="AD37" s="60">
        <f t="shared" si="0"/>
        <v>0</v>
      </c>
      <c r="AE37" s="60">
        <f t="shared" si="1"/>
        <v>0</v>
      </c>
      <c r="AF37" s="60">
        <f t="shared" si="1"/>
        <v>0</v>
      </c>
      <c r="AG37" s="60">
        <f t="shared" si="2"/>
        <v>0</v>
      </c>
      <c r="AH37" s="60">
        <f t="shared" si="2"/>
        <v>0</v>
      </c>
      <c r="AI37" s="60">
        <f t="shared" si="3"/>
        <v>0</v>
      </c>
      <c r="AJ37" s="61">
        <f t="shared" si="3"/>
        <v>0</v>
      </c>
      <c r="AK37" s="144"/>
    </row>
    <row r="38" spans="1:37">
      <c r="A38">
        <v>34</v>
      </c>
      <c r="B38" s="57" t="s">
        <v>1601</v>
      </c>
      <c r="C38" s="58" t="s">
        <v>1661</v>
      </c>
      <c r="D38" s="84" t="s">
        <v>1673</v>
      </c>
      <c r="E38" s="82" t="s">
        <v>346</v>
      </c>
      <c r="F38" s="158"/>
      <c r="G38" s="159"/>
      <c r="H38" s="281">
        <f>COUNTIFS(缺陷明细!$A$2:$A$50000,$B$4,缺陷明细!$G$2:$G$50000,$C38,缺陷明细!$J$2:$J$50000,"评审",缺陷明细!$AB$2:$AB$50000,"&lt;&gt;丢弃",缺陷明细!$AB$2:$AB$50000,"&lt;&gt;设计如此",缺陷明细!$AB$2:$AB$50000,"&lt;&gt;重复Bug")</f>
        <v>0</v>
      </c>
      <c r="I38" s="154">
        <f>COUNTIFS(缺陷明细!$A$2:$A$50000,$B$4,缺陷明细!$G$2:$G$50000,$C38,缺陷明细!$Q$2:$Q$50000,"已关闭",缺陷明细!$J$2:$J$50000,"评审")</f>
        <v>0</v>
      </c>
      <c r="J38" s="154">
        <f>COUNTIFS(缺陷明细!$A$2:$A$50000,$B$4,缺陷明细!$G$2:$G$50000,$C38,缺陷明细!$J$2:$J$50000,"单元测试",缺陷明细!$AB$2:$AB$50000,"&lt;&gt;丢弃",缺陷明细!$AB$2:$AB$50000,"&lt;&gt;设计如此",缺陷明细!$AB$2:$AB$50000,"&lt;&gt;重复Bug")</f>
        <v>0</v>
      </c>
      <c r="K38" s="155">
        <f>COUNTIFS(缺陷明细!$A$2:$A$50000,$B$4,缺陷明细!$G$2:$G$50000,$C38,缺陷明细!$Q$2:$Q$50000,"已关闭",缺陷明细!$J$2:$J$50000,"单元测试")</f>
        <v>0</v>
      </c>
      <c r="L38" s="156">
        <v>0</v>
      </c>
      <c r="M38" s="157"/>
      <c r="N38" s="72">
        <f>COUNTIFS(缺陷明细!$A$2:$A$50000,$B$4,缺陷明细!$G$2:$G$50000,$C38,缺陷明细!$J$2:$J$50000,"系统测试案例评审",缺陷明细!$AB$2:$AB$50000,"&lt;&gt;丢弃",缺陷明细!$AB$2:$AB$50000,"&lt;&gt;设计如此",缺陷明细!$AB$2:$AB$50000,"&lt;&gt;重复Bug")</f>
        <v>0</v>
      </c>
      <c r="O38" s="72">
        <f>COUNTIFS(缺陷明细!$A$2:$A$50000,$B$4,缺陷明细!$G$2:$G$50000,$C38,缺陷明细!$Q$2:$Q$50000,"已关闭",缺陷明细!$J$2:$J$50000,"系统测试案例评审")</f>
        <v>0</v>
      </c>
      <c r="P38" s="72">
        <f>COUNTIFS(缺陷明细!$A$2:$A$50000,$B$4,缺陷明细!$G$2:$G$50000,$C38,缺陷明细!$J$2:$J$50000,"系统测试",缺陷明细!$AB$2:$AB$50000,"&lt;&gt;丢弃",缺陷明细!$AB$2:$AB$50000,"&lt;&gt;设计如此",缺陷明细!$AB$2:$AB$50000,"&lt;&gt;重复Bug")</f>
        <v>0</v>
      </c>
      <c r="Q38" s="72">
        <f>COUNTIFS(缺陷明细!$A$2:$A$50000,$B$4,缺陷明细!$G$2:$G$50000,$C38,缺陷明细!$Q$2:$Q$50000,"已关闭",缺陷明细!$J$2:$J$50000,"系统测试")</f>
        <v>0</v>
      </c>
      <c r="R38" s="296">
        <f>COUNTIFS(缺陷明细!$A$2:$A$50000,$B$4,缺陷明细!$G$2:$G$50000,$C38,缺陷明细!$AB$2:$AB$50000,"丢弃",缺陷明细!$J$2:$J$50000,"系统测试")+COUNTIFS(缺陷明细!$A$2:$A$50000,$B$4,缺陷明细!$G$2:$G$50000,$C38,缺陷明细!$AB$2:$AB$50000,"设计如此",缺陷明细!$J$2:$J$50000,"系统测试")+COUNTIFS(缺陷明细!$A$2:$A$50000,$B$4,缺陷明细!$G$2:$G$50000,$C38,缺陷明细!$AB$2:$AB$50000,"重复Bug",缺陷明细!$J$2:$J$50000,"系统测试")</f>
        <v>0</v>
      </c>
      <c r="S38" s="72">
        <f>COUNTIFS(缺陷明细!$A$2:$A$50000,$B$4,缺陷明细!$G$2:$G$50000,$C38,缺陷明细!$J$2:$J$50000,"系统测试",缺陷明细!$K$2:$K$50000,"致命",缺陷明细!$AB$2:$AB$50000,"&lt;&gt;丢弃",缺陷明细!$AB$2:$AB$50000,"&lt;&gt;设计如此",缺陷明细!$AB$2:$AB$50000,"&lt;&gt;重复Bug")+COUNTIFS(缺陷明细!$A$2:$A$50000,$B$4,缺陷明细!$G$2:$G$50000,$C38,缺陷明细!$J$2:$J$50000,"系统测试",缺陷明细!$K$2:$K$50000,"严重",缺陷明细!$AB$2:$AB$50000,"&lt;&gt;丢弃",缺陷明细!$AB$2:$AB$50000,"&lt;&gt;设计如此",缺陷明细!$AB$2:$AB$50000,"&lt;&gt;重复Bug")</f>
        <v>0</v>
      </c>
      <c r="T38" s="73">
        <f>COUNTIFS(缺陷明细!$A$2:$A$50000,$B$4,缺陷明细!$G$2:$G$50000,$C38,缺陷明细!$Q$2:$Q$50000,"已关闭",缺陷明细!$J$2:$J$50000,"系统测试",缺陷明细!$K$2:$K$50000,"致命")+COUNTIFS(缺陷明细!$A$2:$A$50000,$B$4,缺陷明细!$G$2:$G$50000,$C38,缺陷明细!$Q$2:$Q$50000,"已关闭",缺陷明细!$J$2:$J$50000,"系统测试",缺陷明细!$K$2:$K$50000,"严重")</f>
        <v>0</v>
      </c>
      <c r="U38" s="74">
        <f>COUNTIFS(缺陷明细!$A$2:$A$50000,$B$4,缺陷明细!$G$2:$G$50000,$C38,缺陷明细!$J$2:$J$50000,"验收测试",缺陷明细!$AB$2:$AB$50000,"&lt;&gt;丢弃",缺陷明细!$AB$2:$AB$50000,"&lt;&gt;设计如此",缺陷明细!$AB$2:$AB$50000,"&lt;&gt;重复Bug")</f>
        <v>0</v>
      </c>
      <c r="V38" s="75">
        <f>COUNTIFS(缺陷明细!$A$2:$A$50000,$B$4,缺陷明细!$G$2:$G$50000,$C38,缺陷明细!$Q$2:$Q$50000,"已关闭",缺陷明细!$J$2:$J$50000,"验收测试")</f>
        <v>0</v>
      </c>
      <c r="W38" s="75">
        <f>COUNTIFS(缺陷明细!$A$2:$A$50000,$B$4,缺陷明细!$G$2:$G$50000,$C38,缺陷明细!$J$2:$J$50000,"验收测试",缺陷明细!$K$2:$K$50000,"致命",缺陷明细!$AB$2:$AB$50000,"&lt;&gt;丢弃",缺陷明细!$AB$2:$AB$50000,"&lt;&gt;设计如此",缺陷明细!$AB$2:$AB$50000,"&lt;&gt;重复Bug")+COUNTIFS(缺陷明细!$A$2:$A$50000,$B$4,缺陷明细!$G$2:$G$50000,$C38,缺陷明细!$J$2:$J$50000,"验收测试",缺陷明细!$K$2:$K$50000,"严重",缺陷明细!$AB$2:$AB$50000,"&lt;&gt;丢弃",缺陷明细!$AB$2:$AB$50000,"&lt;&gt;设计如此",缺陷明细!$AB$2:$AB$50000,"&lt;&gt;重复Bug")</f>
        <v>0</v>
      </c>
      <c r="X38" s="76">
        <f>COUNTIFS(缺陷明细!$A$2:$A$50000,$B$4,缺陷明细!$G$2:$G$50000,$C38,缺陷明细!$Q$2:$Q$50000,"已关闭",缺陷明细!$J$2:$J$50000,"验收测试",缺陷明细!$K$2:$K$50000,"致命")+COUNTIFS(缺陷明细!$A$2:$A$50000,$B$4,缺陷明细!$G$2:$G$50000,$C38,缺陷明细!$Q$2:$Q$50000,"已关闭",缺陷明细!$J$2:$J$50000,"验收测试",缺陷明细!$K$2:$K$50000,"严重")</f>
        <v>0</v>
      </c>
      <c r="Y38" s="70">
        <f>COUNTIFS(缺陷明细!$A$2:$A$50000,$B$4,缺陷明细!$G$2:$G$50000,$C38,缺陷明细!$J$2:$J$50000,"运维测试",缺陷明细!$AB$2:$AB$50000,"&lt;&gt;丢弃",缺陷明细!$AB$2:$AB$50000,"&lt;&gt;设计如此",缺陷明细!$AB$2:$AB$50000,"&lt;&gt;重复Bug")</f>
        <v>0</v>
      </c>
      <c r="Z38" s="71">
        <f>COUNTIFS(缺陷明细!$A$2:$A$50000,$B$4,缺陷明细!$G$2:$G$50000,$C38,缺陷明细!$Q$2:$Q$50000,"已关闭",缺陷明细!$J$2:$J$50000,"运维测试")</f>
        <v>0</v>
      </c>
      <c r="AA38" s="72">
        <f>COUNTIFS(缺陷明细!$A$2:$A$50000,$B$4,缺陷明细!$G$2:$G$50000,$C38,缺陷明细!$J$2:$J$50000,"运维测试",缺陷明细!$K$2:$K$50000,"致命",缺陷明细!$AB$2:$AB$50000,"&lt;&gt;丢弃",缺陷明细!$AB$2:$AB$50000,"&lt;&gt;设计如此",缺陷明细!$AB$2:$AB$50000,"&lt;&gt;重复Bug")+COUNTIFS(缺陷明细!$A$2:$A$50000,$B$4,缺陷明细!$G$2:$G$50000,$C38,缺陷明细!$J$2:$J$50000,"运维测试",缺陷明细!$K$2:$K$50000,"严重",缺陷明细!$AB$2:$AB$50000,"&lt;&gt;丢弃",缺陷明细!$AB$2:$AB$50000,"&lt;&gt;设计如此",缺陷明细!$AB$2:$AB$50000,"&lt;&gt;重复Bug")</f>
        <v>0</v>
      </c>
      <c r="AB38" s="73">
        <f>COUNTIFS(缺陷明细!$A$2:$A$50000,$B$4,缺陷明细!$G$2:$G$50000,$C38,缺陷明细!$Q$2:$Q$50000,"已关闭",缺陷明细!$J$2:$J$50000,"运维测试",缺陷明细!$K$2:$K$50000,"致命")+COUNTIFS(缺陷明细!$A$2:$A$50000,$B$4,缺陷明细!$G$2:$G$50000,$C38,缺陷明细!$Q$2:$Q$50000,"已关闭",缺陷明细!$J$2:$J$50000,"运维测试",缺陷明细!$K$2:$K$50000,"严重")</f>
        <v>0</v>
      </c>
      <c r="AC38" s="68">
        <f t="shared" si="0"/>
        <v>0</v>
      </c>
      <c r="AD38" s="60">
        <f t="shared" si="0"/>
        <v>0</v>
      </c>
      <c r="AE38" s="60">
        <f t="shared" si="1"/>
        <v>0</v>
      </c>
      <c r="AF38" s="60">
        <f t="shared" si="1"/>
        <v>0</v>
      </c>
      <c r="AG38" s="60">
        <f t="shared" si="2"/>
        <v>0</v>
      </c>
      <c r="AH38" s="60">
        <f t="shared" si="2"/>
        <v>0</v>
      </c>
      <c r="AI38" s="60">
        <f t="shared" si="3"/>
        <v>0</v>
      </c>
      <c r="AJ38" s="61">
        <f t="shared" si="3"/>
        <v>0</v>
      </c>
      <c r="AK38" s="144"/>
    </row>
    <row r="39" spans="1:37">
      <c r="A39">
        <v>35</v>
      </c>
      <c r="B39" s="57" t="s">
        <v>1600</v>
      </c>
      <c r="C39" s="58" t="s">
        <v>1662</v>
      </c>
      <c r="D39" s="84" t="s">
        <v>1673</v>
      </c>
      <c r="E39" s="82" t="s">
        <v>346</v>
      </c>
      <c r="F39" s="158"/>
      <c r="G39" s="159"/>
      <c r="H39" s="281">
        <f>COUNTIFS(缺陷明细!$A$2:$A$50000,$B$4,缺陷明细!$G$2:$G$50000,$C39,缺陷明细!$J$2:$J$50000,"评审",缺陷明细!$AB$2:$AB$50000,"&lt;&gt;丢弃",缺陷明细!$AB$2:$AB$50000,"&lt;&gt;设计如此",缺陷明细!$AB$2:$AB$50000,"&lt;&gt;重复Bug")</f>
        <v>0</v>
      </c>
      <c r="I39" s="154">
        <f>COUNTIFS(缺陷明细!$A$2:$A$50000,$B$4,缺陷明细!$G$2:$G$50000,$C39,缺陷明细!$Q$2:$Q$50000,"已关闭",缺陷明细!$J$2:$J$50000,"评审")</f>
        <v>0</v>
      </c>
      <c r="J39" s="154">
        <f>COUNTIFS(缺陷明细!$A$2:$A$50000,$B$4,缺陷明细!$G$2:$G$50000,$C39,缺陷明细!$J$2:$J$50000,"单元测试",缺陷明细!$AB$2:$AB$50000,"&lt;&gt;丢弃",缺陷明细!$AB$2:$AB$50000,"&lt;&gt;设计如此",缺陷明细!$AB$2:$AB$50000,"&lt;&gt;重复Bug")</f>
        <v>0</v>
      </c>
      <c r="K39" s="155">
        <f>COUNTIFS(缺陷明细!$A$2:$A$50000,$B$4,缺陷明细!$G$2:$G$50000,$C39,缺陷明细!$Q$2:$Q$50000,"已关闭",缺陷明细!$J$2:$J$50000,"单元测试")</f>
        <v>0</v>
      </c>
      <c r="L39" s="156">
        <v>6</v>
      </c>
      <c r="M39" s="157"/>
      <c r="N39" s="72">
        <f>COUNTIFS(缺陷明细!$A$2:$A$50000,$B$4,缺陷明细!$G$2:$G$50000,$C39,缺陷明细!$J$2:$J$50000,"系统测试案例评审",缺陷明细!$AB$2:$AB$50000,"&lt;&gt;丢弃",缺陷明细!$AB$2:$AB$50000,"&lt;&gt;设计如此",缺陷明细!$AB$2:$AB$50000,"&lt;&gt;重复Bug")</f>
        <v>0</v>
      </c>
      <c r="O39" s="72">
        <f>COUNTIFS(缺陷明细!$A$2:$A$50000,$B$4,缺陷明细!$G$2:$G$50000,$C39,缺陷明细!$Q$2:$Q$50000,"已关闭",缺陷明细!$J$2:$J$50000,"系统测试案例评审")</f>
        <v>0</v>
      </c>
      <c r="P39" s="72">
        <f>COUNTIFS(缺陷明细!$A$2:$A$50000,$B$4,缺陷明细!$G$2:$G$50000,$C39,缺陷明细!$J$2:$J$50000,"系统测试",缺陷明细!$AB$2:$AB$50000,"&lt;&gt;丢弃",缺陷明细!$AB$2:$AB$50000,"&lt;&gt;设计如此",缺陷明细!$AB$2:$AB$50000,"&lt;&gt;重复Bug")</f>
        <v>0</v>
      </c>
      <c r="Q39" s="72">
        <f>COUNTIFS(缺陷明细!$A$2:$A$50000,$B$4,缺陷明细!$G$2:$G$50000,$C39,缺陷明细!$Q$2:$Q$50000,"已关闭",缺陷明细!$J$2:$J$50000,"系统测试")</f>
        <v>0</v>
      </c>
      <c r="R39" s="296">
        <f>COUNTIFS(缺陷明细!$A$2:$A$50000,$B$4,缺陷明细!$G$2:$G$50000,$C39,缺陷明细!$AB$2:$AB$50000,"丢弃",缺陷明细!$J$2:$J$50000,"系统测试")+COUNTIFS(缺陷明细!$A$2:$A$50000,$B$4,缺陷明细!$G$2:$G$50000,$C39,缺陷明细!$AB$2:$AB$50000,"设计如此",缺陷明细!$J$2:$J$50000,"系统测试")+COUNTIFS(缺陷明细!$A$2:$A$50000,$B$4,缺陷明细!$G$2:$G$50000,$C39,缺陷明细!$AB$2:$AB$50000,"重复Bug",缺陷明细!$J$2:$J$50000,"系统测试")</f>
        <v>0</v>
      </c>
      <c r="S39" s="72">
        <f>COUNTIFS(缺陷明细!$A$2:$A$50000,$B$4,缺陷明细!$G$2:$G$50000,$C39,缺陷明细!$J$2:$J$50000,"系统测试",缺陷明细!$K$2:$K$50000,"致命",缺陷明细!$AB$2:$AB$50000,"&lt;&gt;丢弃",缺陷明细!$AB$2:$AB$50000,"&lt;&gt;设计如此",缺陷明细!$AB$2:$AB$50000,"&lt;&gt;重复Bug")+COUNTIFS(缺陷明细!$A$2:$A$50000,$B$4,缺陷明细!$G$2:$G$50000,$C39,缺陷明细!$J$2:$J$50000,"系统测试",缺陷明细!$K$2:$K$50000,"严重",缺陷明细!$AB$2:$AB$50000,"&lt;&gt;丢弃",缺陷明细!$AB$2:$AB$50000,"&lt;&gt;设计如此",缺陷明细!$AB$2:$AB$50000,"&lt;&gt;重复Bug")</f>
        <v>0</v>
      </c>
      <c r="T39" s="73">
        <f>COUNTIFS(缺陷明细!$A$2:$A$50000,$B$4,缺陷明细!$G$2:$G$50000,$C39,缺陷明细!$Q$2:$Q$50000,"已关闭",缺陷明细!$J$2:$J$50000,"系统测试",缺陷明细!$K$2:$K$50000,"致命")+COUNTIFS(缺陷明细!$A$2:$A$50000,$B$4,缺陷明细!$G$2:$G$50000,$C39,缺陷明细!$Q$2:$Q$50000,"已关闭",缺陷明细!$J$2:$J$50000,"系统测试",缺陷明细!$K$2:$K$50000,"严重")</f>
        <v>0</v>
      </c>
      <c r="U39" s="74">
        <f>COUNTIFS(缺陷明细!$A$2:$A$50000,$B$4,缺陷明细!$G$2:$G$50000,$C39,缺陷明细!$J$2:$J$50000,"验收测试",缺陷明细!$AB$2:$AB$50000,"&lt;&gt;丢弃",缺陷明细!$AB$2:$AB$50000,"&lt;&gt;设计如此",缺陷明细!$AB$2:$AB$50000,"&lt;&gt;重复Bug")</f>
        <v>0</v>
      </c>
      <c r="V39" s="75">
        <f>COUNTIFS(缺陷明细!$A$2:$A$50000,$B$4,缺陷明细!$G$2:$G$50000,$C39,缺陷明细!$Q$2:$Q$50000,"已关闭",缺陷明细!$J$2:$J$50000,"验收测试")</f>
        <v>0</v>
      </c>
      <c r="W39" s="75">
        <f>COUNTIFS(缺陷明细!$A$2:$A$50000,$B$4,缺陷明细!$G$2:$G$50000,$C39,缺陷明细!$J$2:$J$50000,"验收测试",缺陷明细!$K$2:$K$50000,"致命",缺陷明细!$AB$2:$AB$50000,"&lt;&gt;丢弃",缺陷明细!$AB$2:$AB$50000,"&lt;&gt;设计如此",缺陷明细!$AB$2:$AB$50000,"&lt;&gt;重复Bug")+COUNTIFS(缺陷明细!$A$2:$A$50000,$B$4,缺陷明细!$G$2:$G$50000,$C39,缺陷明细!$J$2:$J$50000,"验收测试",缺陷明细!$K$2:$K$50000,"严重",缺陷明细!$AB$2:$AB$50000,"&lt;&gt;丢弃",缺陷明细!$AB$2:$AB$50000,"&lt;&gt;设计如此",缺陷明细!$AB$2:$AB$50000,"&lt;&gt;重复Bug")</f>
        <v>0</v>
      </c>
      <c r="X39" s="76">
        <f>COUNTIFS(缺陷明细!$A$2:$A$50000,$B$4,缺陷明细!$G$2:$G$50000,$C39,缺陷明细!$Q$2:$Q$50000,"已关闭",缺陷明细!$J$2:$J$50000,"验收测试",缺陷明细!$K$2:$K$50000,"致命")+COUNTIFS(缺陷明细!$A$2:$A$50000,$B$4,缺陷明细!$G$2:$G$50000,$C39,缺陷明细!$Q$2:$Q$50000,"已关闭",缺陷明细!$J$2:$J$50000,"验收测试",缺陷明细!$K$2:$K$50000,"严重")</f>
        <v>0</v>
      </c>
      <c r="Y39" s="70">
        <f>COUNTIFS(缺陷明细!$A$2:$A$50000,$B$4,缺陷明细!$G$2:$G$50000,$C39,缺陷明细!$J$2:$J$50000,"运维测试",缺陷明细!$AB$2:$AB$50000,"&lt;&gt;丢弃",缺陷明细!$AB$2:$AB$50000,"&lt;&gt;设计如此",缺陷明细!$AB$2:$AB$50000,"&lt;&gt;重复Bug")</f>
        <v>0</v>
      </c>
      <c r="Z39" s="71">
        <f>COUNTIFS(缺陷明细!$A$2:$A$50000,$B$4,缺陷明细!$G$2:$G$50000,$C39,缺陷明细!$Q$2:$Q$50000,"已关闭",缺陷明细!$J$2:$J$50000,"运维测试")</f>
        <v>0</v>
      </c>
      <c r="AA39" s="72">
        <f>COUNTIFS(缺陷明细!$A$2:$A$50000,$B$4,缺陷明细!$G$2:$G$50000,$C39,缺陷明细!$J$2:$J$50000,"运维测试",缺陷明细!$K$2:$K$50000,"致命",缺陷明细!$AB$2:$AB$50000,"&lt;&gt;丢弃",缺陷明细!$AB$2:$AB$50000,"&lt;&gt;设计如此",缺陷明细!$AB$2:$AB$50000,"&lt;&gt;重复Bug")+COUNTIFS(缺陷明细!$A$2:$A$50000,$B$4,缺陷明细!$G$2:$G$50000,$C39,缺陷明细!$J$2:$J$50000,"运维测试",缺陷明细!$K$2:$K$50000,"严重",缺陷明细!$AB$2:$AB$50000,"&lt;&gt;丢弃",缺陷明细!$AB$2:$AB$50000,"&lt;&gt;设计如此",缺陷明细!$AB$2:$AB$50000,"&lt;&gt;重复Bug")</f>
        <v>0</v>
      </c>
      <c r="AB39" s="73">
        <f>COUNTIFS(缺陷明细!$A$2:$A$50000,$B$4,缺陷明细!$G$2:$G$50000,$C39,缺陷明细!$Q$2:$Q$50000,"已关闭",缺陷明细!$J$2:$J$50000,"运维测试",缺陷明细!$K$2:$K$50000,"致命")+COUNTIFS(缺陷明细!$A$2:$A$50000,$B$4,缺陷明细!$G$2:$G$50000,$C39,缺陷明细!$Q$2:$Q$50000,"已关闭",缺陷明细!$J$2:$J$50000,"运维测试",缺陷明细!$K$2:$K$50000,"严重")</f>
        <v>0</v>
      </c>
      <c r="AC39" s="68">
        <f t="shared" si="0"/>
        <v>0</v>
      </c>
      <c r="AD39" s="60">
        <f t="shared" si="0"/>
        <v>0</v>
      </c>
      <c r="AE39" s="60">
        <f t="shared" si="1"/>
        <v>0</v>
      </c>
      <c r="AF39" s="60">
        <f t="shared" si="1"/>
        <v>0</v>
      </c>
      <c r="AG39" s="60">
        <f t="shared" si="2"/>
        <v>0</v>
      </c>
      <c r="AH39" s="60">
        <f t="shared" si="2"/>
        <v>0</v>
      </c>
      <c r="AI39" s="60">
        <f t="shared" si="3"/>
        <v>0</v>
      </c>
      <c r="AJ39" s="61">
        <f t="shared" si="3"/>
        <v>0</v>
      </c>
      <c r="AK39" s="144"/>
    </row>
    <row r="40" spans="1:37">
      <c r="A40">
        <v>36</v>
      </c>
      <c r="B40" s="57" t="s">
        <v>1599</v>
      </c>
      <c r="C40" s="58" t="s">
        <v>1663</v>
      </c>
      <c r="D40" s="84" t="s">
        <v>1675</v>
      </c>
      <c r="E40" s="82" t="s">
        <v>346</v>
      </c>
      <c r="F40" s="158"/>
      <c r="G40" s="159"/>
      <c r="H40" s="281">
        <f>COUNTIFS(缺陷明细!$A$2:$A$50000,$B$4,缺陷明细!$G$2:$G$50000,$C40,缺陷明细!$J$2:$J$50000,"评审",缺陷明细!$AB$2:$AB$50000,"&lt;&gt;丢弃",缺陷明细!$AB$2:$AB$50000,"&lt;&gt;设计如此",缺陷明细!$AB$2:$AB$50000,"&lt;&gt;重复Bug")</f>
        <v>0</v>
      </c>
      <c r="I40" s="154">
        <f>COUNTIFS(缺陷明细!$A$2:$A$50000,$B$4,缺陷明细!$G$2:$G$50000,$C40,缺陷明细!$Q$2:$Q$50000,"已关闭",缺陷明细!$J$2:$J$50000,"评审")</f>
        <v>0</v>
      </c>
      <c r="J40" s="154">
        <f>COUNTIFS(缺陷明细!$A$2:$A$50000,$B$4,缺陷明细!$G$2:$G$50000,$C40,缺陷明细!$J$2:$J$50000,"单元测试",缺陷明细!$AB$2:$AB$50000,"&lt;&gt;丢弃",缺陷明细!$AB$2:$AB$50000,"&lt;&gt;设计如此",缺陷明细!$AB$2:$AB$50000,"&lt;&gt;重复Bug")</f>
        <v>0</v>
      </c>
      <c r="K40" s="155">
        <f>COUNTIFS(缺陷明细!$A$2:$A$50000,$B$4,缺陷明细!$G$2:$G$50000,$C40,缺陷明细!$Q$2:$Q$50000,"已关闭",缺陷明细!$J$2:$J$50000,"单元测试")</f>
        <v>0</v>
      </c>
      <c r="L40" s="156">
        <v>2</v>
      </c>
      <c r="M40" s="157"/>
      <c r="N40" s="72">
        <f>COUNTIFS(缺陷明细!$A$2:$A$50000,$B$4,缺陷明细!$G$2:$G$50000,$C40,缺陷明细!$J$2:$J$50000,"系统测试案例评审",缺陷明细!$AB$2:$AB$50000,"&lt;&gt;丢弃",缺陷明细!$AB$2:$AB$50000,"&lt;&gt;设计如此",缺陷明细!$AB$2:$AB$50000,"&lt;&gt;重复Bug")</f>
        <v>0</v>
      </c>
      <c r="O40" s="72">
        <f>COUNTIFS(缺陷明细!$A$2:$A$50000,$B$4,缺陷明细!$G$2:$G$50000,$C40,缺陷明细!$Q$2:$Q$50000,"已关闭",缺陷明细!$J$2:$J$50000,"系统测试案例评审")</f>
        <v>0</v>
      </c>
      <c r="P40" s="72">
        <f>COUNTIFS(缺陷明细!$A$2:$A$50000,$B$4,缺陷明细!$G$2:$G$50000,$C40,缺陷明细!$J$2:$J$50000,"系统测试",缺陷明细!$AB$2:$AB$50000,"&lt;&gt;丢弃",缺陷明细!$AB$2:$AB$50000,"&lt;&gt;设计如此",缺陷明细!$AB$2:$AB$50000,"&lt;&gt;重复Bug")</f>
        <v>0</v>
      </c>
      <c r="Q40" s="72">
        <f>COUNTIFS(缺陷明细!$A$2:$A$50000,$B$4,缺陷明细!$G$2:$G$50000,$C40,缺陷明细!$Q$2:$Q$50000,"已关闭",缺陷明细!$J$2:$J$50000,"系统测试")</f>
        <v>0</v>
      </c>
      <c r="R40" s="296">
        <f>COUNTIFS(缺陷明细!$A$2:$A$50000,$B$4,缺陷明细!$G$2:$G$50000,$C40,缺陷明细!$AB$2:$AB$50000,"丢弃",缺陷明细!$J$2:$J$50000,"系统测试")+COUNTIFS(缺陷明细!$A$2:$A$50000,$B$4,缺陷明细!$G$2:$G$50000,$C40,缺陷明细!$AB$2:$AB$50000,"设计如此",缺陷明细!$J$2:$J$50000,"系统测试")+COUNTIFS(缺陷明细!$A$2:$A$50000,$B$4,缺陷明细!$G$2:$G$50000,$C40,缺陷明细!$AB$2:$AB$50000,"重复Bug",缺陷明细!$J$2:$J$50000,"系统测试")</f>
        <v>0</v>
      </c>
      <c r="S40" s="72">
        <f>COUNTIFS(缺陷明细!$A$2:$A$50000,$B$4,缺陷明细!$G$2:$G$50000,$C40,缺陷明细!$J$2:$J$50000,"系统测试",缺陷明细!$K$2:$K$50000,"致命",缺陷明细!$AB$2:$AB$50000,"&lt;&gt;丢弃",缺陷明细!$AB$2:$AB$50000,"&lt;&gt;设计如此",缺陷明细!$AB$2:$AB$50000,"&lt;&gt;重复Bug")+COUNTIFS(缺陷明细!$A$2:$A$50000,$B$4,缺陷明细!$G$2:$G$50000,$C40,缺陷明细!$J$2:$J$50000,"系统测试",缺陷明细!$K$2:$K$50000,"严重",缺陷明细!$AB$2:$AB$50000,"&lt;&gt;丢弃",缺陷明细!$AB$2:$AB$50000,"&lt;&gt;设计如此",缺陷明细!$AB$2:$AB$50000,"&lt;&gt;重复Bug")</f>
        <v>0</v>
      </c>
      <c r="T40" s="73">
        <f>COUNTIFS(缺陷明细!$A$2:$A$50000,$B$4,缺陷明细!$G$2:$G$50000,$C40,缺陷明细!$Q$2:$Q$50000,"已关闭",缺陷明细!$J$2:$J$50000,"系统测试",缺陷明细!$K$2:$K$50000,"致命")+COUNTIFS(缺陷明细!$A$2:$A$50000,$B$4,缺陷明细!$G$2:$G$50000,$C40,缺陷明细!$Q$2:$Q$50000,"已关闭",缺陷明细!$J$2:$J$50000,"系统测试",缺陷明细!$K$2:$K$50000,"严重")</f>
        <v>0</v>
      </c>
      <c r="U40" s="74">
        <f>COUNTIFS(缺陷明细!$A$2:$A$50000,$B$4,缺陷明细!$G$2:$G$50000,$C40,缺陷明细!$J$2:$J$50000,"验收测试",缺陷明细!$AB$2:$AB$50000,"&lt;&gt;丢弃",缺陷明细!$AB$2:$AB$50000,"&lt;&gt;设计如此",缺陷明细!$AB$2:$AB$50000,"&lt;&gt;重复Bug")</f>
        <v>0</v>
      </c>
      <c r="V40" s="75">
        <f>COUNTIFS(缺陷明细!$A$2:$A$50000,$B$4,缺陷明细!$G$2:$G$50000,$C40,缺陷明细!$Q$2:$Q$50000,"已关闭",缺陷明细!$J$2:$J$50000,"验收测试")</f>
        <v>0</v>
      </c>
      <c r="W40" s="75">
        <f>COUNTIFS(缺陷明细!$A$2:$A$50000,$B$4,缺陷明细!$G$2:$G$50000,$C40,缺陷明细!$J$2:$J$50000,"验收测试",缺陷明细!$K$2:$K$50000,"致命",缺陷明细!$AB$2:$AB$50000,"&lt;&gt;丢弃",缺陷明细!$AB$2:$AB$50000,"&lt;&gt;设计如此",缺陷明细!$AB$2:$AB$50000,"&lt;&gt;重复Bug")+COUNTIFS(缺陷明细!$A$2:$A$50000,$B$4,缺陷明细!$G$2:$G$50000,$C40,缺陷明细!$J$2:$J$50000,"验收测试",缺陷明细!$K$2:$K$50000,"严重",缺陷明细!$AB$2:$AB$50000,"&lt;&gt;丢弃",缺陷明细!$AB$2:$AB$50000,"&lt;&gt;设计如此",缺陷明细!$AB$2:$AB$50000,"&lt;&gt;重复Bug")</f>
        <v>0</v>
      </c>
      <c r="X40" s="76">
        <f>COUNTIFS(缺陷明细!$A$2:$A$50000,$B$4,缺陷明细!$G$2:$G$50000,$C40,缺陷明细!$Q$2:$Q$50000,"已关闭",缺陷明细!$J$2:$J$50000,"验收测试",缺陷明细!$K$2:$K$50000,"致命")+COUNTIFS(缺陷明细!$A$2:$A$50000,$B$4,缺陷明细!$G$2:$G$50000,$C40,缺陷明细!$Q$2:$Q$50000,"已关闭",缺陷明细!$J$2:$J$50000,"验收测试",缺陷明细!$K$2:$K$50000,"严重")</f>
        <v>0</v>
      </c>
      <c r="Y40" s="70">
        <f>COUNTIFS(缺陷明细!$A$2:$A$50000,$B$4,缺陷明细!$G$2:$G$50000,$C40,缺陷明细!$J$2:$J$50000,"运维测试",缺陷明细!$AB$2:$AB$50000,"&lt;&gt;丢弃",缺陷明细!$AB$2:$AB$50000,"&lt;&gt;设计如此",缺陷明细!$AB$2:$AB$50000,"&lt;&gt;重复Bug")</f>
        <v>0</v>
      </c>
      <c r="Z40" s="71">
        <f>COUNTIFS(缺陷明细!$A$2:$A$50000,$B$4,缺陷明细!$G$2:$G$50000,$C40,缺陷明细!$Q$2:$Q$50000,"已关闭",缺陷明细!$J$2:$J$50000,"运维测试")</f>
        <v>0</v>
      </c>
      <c r="AA40" s="72">
        <f>COUNTIFS(缺陷明细!$A$2:$A$50000,$B$4,缺陷明细!$G$2:$G$50000,$C40,缺陷明细!$J$2:$J$50000,"运维测试",缺陷明细!$K$2:$K$50000,"致命",缺陷明细!$AB$2:$AB$50000,"&lt;&gt;丢弃",缺陷明细!$AB$2:$AB$50000,"&lt;&gt;设计如此",缺陷明细!$AB$2:$AB$50000,"&lt;&gt;重复Bug")+COUNTIFS(缺陷明细!$A$2:$A$50000,$B$4,缺陷明细!$G$2:$G$50000,$C40,缺陷明细!$J$2:$J$50000,"运维测试",缺陷明细!$K$2:$K$50000,"严重",缺陷明细!$AB$2:$AB$50000,"&lt;&gt;丢弃",缺陷明细!$AB$2:$AB$50000,"&lt;&gt;设计如此",缺陷明细!$AB$2:$AB$50000,"&lt;&gt;重复Bug")</f>
        <v>0</v>
      </c>
      <c r="AB40" s="73">
        <f>COUNTIFS(缺陷明细!$A$2:$A$50000,$B$4,缺陷明细!$G$2:$G$50000,$C40,缺陷明细!$Q$2:$Q$50000,"已关闭",缺陷明细!$J$2:$J$50000,"运维测试",缺陷明细!$K$2:$K$50000,"致命")+COUNTIFS(缺陷明细!$A$2:$A$50000,$B$4,缺陷明细!$G$2:$G$50000,$C40,缺陷明细!$Q$2:$Q$50000,"已关闭",缺陷明细!$J$2:$J$50000,"运维测试",缺陷明细!$K$2:$K$50000,"严重")</f>
        <v>0</v>
      </c>
      <c r="AC40" s="68">
        <f t="shared" si="0"/>
        <v>0</v>
      </c>
      <c r="AD40" s="60">
        <f t="shared" si="0"/>
        <v>0</v>
      </c>
      <c r="AE40" s="60">
        <f t="shared" si="1"/>
        <v>0</v>
      </c>
      <c r="AF40" s="60">
        <f t="shared" si="1"/>
        <v>0</v>
      </c>
      <c r="AG40" s="60">
        <f t="shared" si="2"/>
        <v>0</v>
      </c>
      <c r="AH40" s="60">
        <f t="shared" si="2"/>
        <v>0</v>
      </c>
      <c r="AI40" s="60">
        <f t="shared" si="3"/>
        <v>0</v>
      </c>
      <c r="AJ40" s="61">
        <f t="shared" si="3"/>
        <v>0</v>
      </c>
      <c r="AK40" s="144"/>
    </row>
    <row r="41" spans="1:37">
      <c r="A41">
        <v>37</v>
      </c>
      <c r="B41" s="57" t="s">
        <v>1598</v>
      </c>
      <c r="C41" s="58" t="s">
        <v>1664</v>
      </c>
      <c r="D41" s="84" t="s">
        <v>1673</v>
      </c>
      <c r="E41" s="82" t="s">
        <v>346</v>
      </c>
      <c r="F41" s="158"/>
      <c r="G41" s="159"/>
      <c r="H41" s="281">
        <f>COUNTIFS(缺陷明细!$A$2:$A$50000,$B$4,缺陷明细!$G$2:$G$50000,$C41,缺陷明细!$J$2:$J$50000,"评审",缺陷明细!$AB$2:$AB$50000,"&lt;&gt;丢弃",缺陷明细!$AB$2:$AB$50000,"&lt;&gt;设计如此",缺陷明细!$AB$2:$AB$50000,"&lt;&gt;重复Bug")</f>
        <v>0</v>
      </c>
      <c r="I41" s="154">
        <f>COUNTIFS(缺陷明细!$A$2:$A$50000,$B$4,缺陷明细!$G$2:$G$50000,$C41,缺陷明细!$Q$2:$Q$50000,"已关闭",缺陷明细!$J$2:$J$50000,"评审")</f>
        <v>0</v>
      </c>
      <c r="J41" s="154">
        <f>COUNTIFS(缺陷明细!$A$2:$A$50000,$B$4,缺陷明细!$G$2:$G$50000,$C41,缺陷明细!$J$2:$J$50000,"单元测试",缺陷明细!$AB$2:$AB$50000,"&lt;&gt;丢弃",缺陷明细!$AB$2:$AB$50000,"&lt;&gt;设计如此",缺陷明细!$AB$2:$AB$50000,"&lt;&gt;重复Bug")</f>
        <v>0</v>
      </c>
      <c r="K41" s="155">
        <f>COUNTIFS(缺陷明细!$A$2:$A$50000,$B$4,缺陷明细!$G$2:$G$50000,$C41,缺陷明细!$Q$2:$Q$50000,"已关闭",缺陷明细!$J$2:$J$50000,"单元测试")</f>
        <v>0</v>
      </c>
      <c r="L41" s="156">
        <v>4</v>
      </c>
      <c r="M41" s="157"/>
      <c r="N41" s="72">
        <f>COUNTIFS(缺陷明细!$A$2:$A$50000,$B$4,缺陷明细!$G$2:$G$50000,$C41,缺陷明细!$J$2:$J$50000,"系统测试案例评审",缺陷明细!$AB$2:$AB$50000,"&lt;&gt;丢弃",缺陷明细!$AB$2:$AB$50000,"&lt;&gt;设计如此",缺陷明细!$AB$2:$AB$50000,"&lt;&gt;重复Bug")</f>
        <v>0</v>
      </c>
      <c r="O41" s="72">
        <f>COUNTIFS(缺陷明细!$A$2:$A$50000,$B$4,缺陷明细!$G$2:$G$50000,$C41,缺陷明细!$Q$2:$Q$50000,"已关闭",缺陷明细!$J$2:$J$50000,"系统测试案例评审")</f>
        <v>0</v>
      </c>
      <c r="P41" s="72">
        <f>COUNTIFS(缺陷明细!$A$2:$A$50000,$B$4,缺陷明细!$G$2:$G$50000,$C41,缺陷明细!$J$2:$J$50000,"系统测试",缺陷明细!$AB$2:$AB$50000,"&lt;&gt;丢弃",缺陷明细!$AB$2:$AB$50000,"&lt;&gt;设计如此",缺陷明细!$AB$2:$AB$50000,"&lt;&gt;重复Bug")</f>
        <v>0</v>
      </c>
      <c r="Q41" s="72">
        <f>COUNTIFS(缺陷明细!$A$2:$A$50000,$B$4,缺陷明细!$G$2:$G$50000,$C41,缺陷明细!$Q$2:$Q$50000,"已关闭",缺陷明细!$J$2:$J$50000,"系统测试")</f>
        <v>0</v>
      </c>
      <c r="R41" s="296">
        <f>COUNTIFS(缺陷明细!$A$2:$A$50000,$B$4,缺陷明细!$G$2:$G$50000,$C41,缺陷明细!$AB$2:$AB$50000,"丢弃",缺陷明细!$J$2:$J$50000,"系统测试")+COUNTIFS(缺陷明细!$A$2:$A$50000,$B$4,缺陷明细!$G$2:$G$50000,$C41,缺陷明细!$AB$2:$AB$50000,"设计如此",缺陷明细!$J$2:$J$50000,"系统测试")+COUNTIFS(缺陷明细!$A$2:$A$50000,$B$4,缺陷明细!$G$2:$G$50000,$C41,缺陷明细!$AB$2:$AB$50000,"重复Bug",缺陷明细!$J$2:$J$50000,"系统测试")</f>
        <v>0</v>
      </c>
      <c r="S41" s="72">
        <f>COUNTIFS(缺陷明细!$A$2:$A$50000,$B$4,缺陷明细!$G$2:$G$50000,$C41,缺陷明细!$J$2:$J$50000,"系统测试",缺陷明细!$K$2:$K$50000,"致命",缺陷明细!$AB$2:$AB$50000,"&lt;&gt;丢弃",缺陷明细!$AB$2:$AB$50000,"&lt;&gt;设计如此",缺陷明细!$AB$2:$AB$50000,"&lt;&gt;重复Bug")+COUNTIFS(缺陷明细!$A$2:$A$50000,$B$4,缺陷明细!$G$2:$G$50000,$C41,缺陷明细!$J$2:$J$50000,"系统测试",缺陷明细!$K$2:$K$50000,"严重",缺陷明细!$AB$2:$AB$50000,"&lt;&gt;丢弃",缺陷明细!$AB$2:$AB$50000,"&lt;&gt;设计如此",缺陷明细!$AB$2:$AB$50000,"&lt;&gt;重复Bug")</f>
        <v>0</v>
      </c>
      <c r="T41" s="73">
        <f>COUNTIFS(缺陷明细!$A$2:$A$50000,$B$4,缺陷明细!$G$2:$G$50000,$C41,缺陷明细!$Q$2:$Q$50000,"已关闭",缺陷明细!$J$2:$J$50000,"系统测试",缺陷明细!$K$2:$K$50000,"致命")+COUNTIFS(缺陷明细!$A$2:$A$50000,$B$4,缺陷明细!$G$2:$G$50000,$C41,缺陷明细!$Q$2:$Q$50000,"已关闭",缺陷明细!$J$2:$J$50000,"系统测试",缺陷明细!$K$2:$K$50000,"严重")</f>
        <v>0</v>
      </c>
      <c r="U41" s="74">
        <f>COUNTIFS(缺陷明细!$A$2:$A$50000,$B$4,缺陷明细!$G$2:$G$50000,$C41,缺陷明细!$J$2:$J$50000,"验收测试",缺陷明细!$AB$2:$AB$50000,"&lt;&gt;丢弃",缺陷明细!$AB$2:$AB$50000,"&lt;&gt;设计如此",缺陷明细!$AB$2:$AB$50000,"&lt;&gt;重复Bug")</f>
        <v>0</v>
      </c>
      <c r="V41" s="75">
        <f>COUNTIFS(缺陷明细!$A$2:$A$50000,$B$4,缺陷明细!$G$2:$G$50000,$C41,缺陷明细!$Q$2:$Q$50000,"已关闭",缺陷明细!$J$2:$J$50000,"验收测试")</f>
        <v>0</v>
      </c>
      <c r="W41" s="75">
        <f>COUNTIFS(缺陷明细!$A$2:$A$50000,$B$4,缺陷明细!$G$2:$G$50000,$C41,缺陷明细!$J$2:$J$50000,"验收测试",缺陷明细!$K$2:$K$50000,"致命",缺陷明细!$AB$2:$AB$50000,"&lt;&gt;丢弃",缺陷明细!$AB$2:$AB$50000,"&lt;&gt;设计如此",缺陷明细!$AB$2:$AB$50000,"&lt;&gt;重复Bug")+COUNTIFS(缺陷明细!$A$2:$A$50000,$B$4,缺陷明细!$G$2:$G$50000,$C41,缺陷明细!$J$2:$J$50000,"验收测试",缺陷明细!$K$2:$K$50000,"严重",缺陷明细!$AB$2:$AB$50000,"&lt;&gt;丢弃",缺陷明细!$AB$2:$AB$50000,"&lt;&gt;设计如此",缺陷明细!$AB$2:$AB$50000,"&lt;&gt;重复Bug")</f>
        <v>0</v>
      </c>
      <c r="X41" s="76">
        <f>COUNTIFS(缺陷明细!$A$2:$A$50000,$B$4,缺陷明细!$G$2:$G$50000,$C41,缺陷明细!$Q$2:$Q$50000,"已关闭",缺陷明细!$J$2:$J$50000,"验收测试",缺陷明细!$K$2:$K$50000,"致命")+COUNTIFS(缺陷明细!$A$2:$A$50000,$B$4,缺陷明细!$G$2:$G$50000,$C41,缺陷明细!$Q$2:$Q$50000,"已关闭",缺陷明细!$J$2:$J$50000,"验收测试",缺陷明细!$K$2:$K$50000,"严重")</f>
        <v>0</v>
      </c>
      <c r="Y41" s="70">
        <f>COUNTIFS(缺陷明细!$A$2:$A$50000,$B$4,缺陷明细!$G$2:$G$50000,$C41,缺陷明细!$J$2:$J$50000,"运维测试",缺陷明细!$AB$2:$AB$50000,"&lt;&gt;丢弃",缺陷明细!$AB$2:$AB$50000,"&lt;&gt;设计如此",缺陷明细!$AB$2:$AB$50000,"&lt;&gt;重复Bug")</f>
        <v>0</v>
      </c>
      <c r="Z41" s="71">
        <f>COUNTIFS(缺陷明细!$A$2:$A$50000,$B$4,缺陷明细!$G$2:$G$50000,$C41,缺陷明细!$Q$2:$Q$50000,"已关闭",缺陷明细!$J$2:$J$50000,"运维测试")</f>
        <v>0</v>
      </c>
      <c r="AA41" s="72">
        <f>COUNTIFS(缺陷明细!$A$2:$A$50000,$B$4,缺陷明细!$G$2:$G$50000,$C41,缺陷明细!$J$2:$J$50000,"运维测试",缺陷明细!$K$2:$K$50000,"致命",缺陷明细!$AB$2:$AB$50000,"&lt;&gt;丢弃",缺陷明细!$AB$2:$AB$50000,"&lt;&gt;设计如此",缺陷明细!$AB$2:$AB$50000,"&lt;&gt;重复Bug")+COUNTIFS(缺陷明细!$A$2:$A$50000,$B$4,缺陷明细!$G$2:$G$50000,$C41,缺陷明细!$J$2:$J$50000,"运维测试",缺陷明细!$K$2:$K$50000,"严重",缺陷明细!$AB$2:$AB$50000,"&lt;&gt;丢弃",缺陷明细!$AB$2:$AB$50000,"&lt;&gt;设计如此",缺陷明细!$AB$2:$AB$50000,"&lt;&gt;重复Bug")</f>
        <v>0</v>
      </c>
      <c r="AB41" s="73">
        <f>COUNTIFS(缺陷明细!$A$2:$A$50000,$B$4,缺陷明细!$G$2:$G$50000,$C41,缺陷明细!$Q$2:$Q$50000,"已关闭",缺陷明细!$J$2:$J$50000,"运维测试",缺陷明细!$K$2:$K$50000,"致命")+COUNTIFS(缺陷明细!$A$2:$A$50000,$B$4,缺陷明细!$G$2:$G$50000,$C41,缺陷明细!$Q$2:$Q$50000,"已关闭",缺陷明细!$J$2:$J$50000,"运维测试",缺陷明细!$K$2:$K$50000,"严重")</f>
        <v>0</v>
      </c>
      <c r="AC41" s="68">
        <f t="shared" si="0"/>
        <v>0</v>
      </c>
      <c r="AD41" s="60">
        <f t="shared" si="0"/>
        <v>0</v>
      </c>
      <c r="AE41" s="60">
        <f t="shared" si="1"/>
        <v>0</v>
      </c>
      <c r="AF41" s="60">
        <f t="shared" si="1"/>
        <v>0</v>
      </c>
      <c r="AG41" s="60">
        <f t="shared" si="2"/>
        <v>0</v>
      </c>
      <c r="AH41" s="60">
        <f t="shared" si="2"/>
        <v>0</v>
      </c>
      <c r="AI41" s="60">
        <f t="shared" si="3"/>
        <v>0</v>
      </c>
      <c r="AJ41" s="61">
        <f t="shared" si="3"/>
        <v>0</v>
      </c>
      <c r="AK41" s="144"/>
    </row>
    <row r="42" spans="1:37">
      <c r="A42">
        <v>38</v>
      </c>
      <c r="B42" s="57" t="s">
        <v>1597</v>
      </c>
      <c r="C42" s="58" t="s">
        <v>1665</v>
      </c>
      <c r="D42" s="84" t="s">
        <v>1674</v>
      </c>
      <c r="E42" s="82" t="s">
        <v>346</v>
      </c>
      <c r="F42" s="158"/>
      <c r="G42" s="159"/>
      <c r="H42" s="281">
        <f>COUNTIFS(缺陷明细!$A$2:$A$50000,$B$4,缺陷明细!$G$2:$G$50000,$C42,缺陷明细!$J$2:$J$50000,"评审",缺陷明细!$AB$2:$AB$50000,"&lt;&gt;丢弃",缺陷明细!$AB$2:$AB$50000,"&lt;&gt;设计如此",缺陷明细!$AB$2:$AB$50000,"&lt;&gt;重复Bug")</f>
        <v>0</v>
      </c>
      <c r="I42" s="154">
        <f>COUNTIFS(缺陷明细!$A$2:$A$50000,$B$4,缺陷明细!$G$2:$G$50000,$C42,缺陷明细!$Q$2:$Q$50000,"已关闭",缺陷明细!$J$2:$J$50000,"评审")</f>
        <v>0</v>
      </c>
      <c r="J42" s="154">
        <f>COUNTIFS(缺陷明细!$A$2:$A$50000,$B$4,缺陷明细!$G$2:$G$50000,$C42,缺陷明细!$J$2:$J$50000,"单元测试",缺陷明细!$AB$2:$AB$50000,"&lt;&gt;丢弃",缺陷明细!$AB$2:$AB$50000,"&lt;&gt;设计如此",缺陷明细!$AB$2:$AB$50000,"&lt;&gt;重复Bug")</f>
        <v>0</v>
      </c>
      <c r="K42" s="155">
        <f>COUNTIFS(缺陷明细!$A$2:$A$50000,$B$4,缺陷明细!$G$2:$G$50000,$C42,缺陷明细!$Q$2:$Q$50000,"已关闭",缺陷明细!$J$2:$J$50000,"单元测试")</f>
        <v>0</v>
      </c>
      <c r="L42" s="156">
        <v>1</v>
      </c>
      <c r="M42" s="157"/>
      <c r="N42" s="72">
        <f>COUNTIFS(缺陷明细!$A$2:$A$50000,$B$4,缺陷明细!$G$2:$G$50000,$C42,缺陷明细!$J$2:$J$50000,"系统测试案例评审",缺陷明细!$AB$2:$AB$50000,"&lt;&gt;丢弃",缺陷明细!$AB$2:$AB$50000,"&lt;&gt;设计如此",缺陷明细!$AB$2:$AB$50000,"&lt;&gt;重复Bug")</f>
        <v>0</v>
      </c>
      <c r="O42" s="72">
        <f>COUNTIFS(缺陷明细!$A$2:$A$50000,$B$4,缺陷明细!$G$2:$G$50000,$C42,缺陷明细!$Q$2:$Q$50000,"已关闭",缺陷明细!$J$2:$J$50000,"系统测试案例评审")</f>
        <v>0</v>
      </c>
      <c r="P42" s="72">
        <f>COUNTIFS(缺陷明细!$A$2:$A$50000,$B$4,缺陷明细!$G$2:$G$50000,$C42,缺陷明细!$J$2:$J$50000,"系统测试",缺陷明细!$AB$2:$AB$50000,"&lt;&gt;丢弃",缺陷明细!$AB$2:$AB$50000,"&lt;&gt;设计如此",缺陷明细!$AB$2:$AB$50000,"&lt;&gt;重复Bug")</f>
        <v>0</v>
      </c>
      <c r="Q42" s="72">
        <f>COUNTIFS(缺陷明细!$A$2:$A$50000,$B$4,缺陷明细!$G$2:$G$50000,$C42,缺陷明细!$Q$2:$Q$50000,"已关闭",缺陷明细!$J$2:$J$50000,"系统测试")</f>
        <v>0</v>
      </c>
      <c r="R42" s="296">
        <f>COUNTIFS(缺陷明细!$A$2:$A$50000,$B$4,缺陷明细!$G$2:$G$50000,$C42,缺陷明细!$AB$2:$AB$50000,"丢弃",缺陷明细!$J$2:$J$50000,"系统测试")+COUNTIFS(缺陷明细!$A$2:$A$50000,$B$4,缺陷明细!$G$2:$G$50000,$C42,缺陷明细!$AB$2:$AB$50000,"设计如此",缺陷明细!$J$2:$J$50000,"系统测试")+COUNTIFS(缺陷明细!$A$2:$A$50000,$B$4,缺陷明细!$G$2:$G$50000,$C42,缺陷明细!$AB$2:$AB$50000,"重复Bug",缺陷明细!$J$2:$J$50000,"系统测试")</f>
        <v>0</v>
      </c>
      <c r="S42" s="72">
        <f>COUNTIFS(缺陷明细!$A$2:$A$50000,$B$4,缺陷明细!$G$2:$G$50000,$C42,缺陷明细!$J$2:$J$50000,"系统测试",缺陷明细!$K$2:$K$50000,"致命",缺陷明细!$AB$2:$AB$50000,"&lt;&gt;丢弃",缺陷明细!$AB$2:$AB$50000,"&lt;&gt;设计如此",缺陷明细!$AB$2:$AB$50000,"&lt;&gt;重复Bug")+COUNTIFS(缺陷明细!$A$2:$A$50000,$B$4,缺陷明细!$G$2:$G$50000,$C42,缺陷明细!$J$2:$J$50000,"系统测试",缺陷明细!$K$2:$K$50000,"严重",缺陷明细!$AB$2:$AB$50000,"&lt;&gt;丢弃",缺陷明细!$AB$2:$AB$50000,"&lt;&gt;设计如此",缺陷明细!$AB$2:$AB$50000,"&lt;&gt;重复Bug")</f>
        <v>0</v>
      </c>
      <c r="T42" s="73">
        <f>COUNTIFS(缺陷明细!$A$2:$A$50000,$B$4,缺陷明细!$G$2:$G$50000,$C42,缺陷明细!$Q$2:$Q$50000,"已关闭",缺陷明细!$J$2:$J$50000,"系统测试",缺陷明细!$K$2:$K$50000,"致命")+COUNTIFS(缺陷明细!$A$2:$A$50000,$B$4,缺陷明细!$G$2:$G$50000,$C42,缺陷明细!$Q$2:$Q$50000,"已关闭",缺陷明细!$J$2:$J$50000,"系统测试",缺陷明细!$K$2:$K$50000,"严重")</f>
        <v>0</v>
      </c>
      <c r="U42" s="74">
        <f>COUNTIFS(缺陷明细!$A$2:$A$50000,$B$4,缺陷明细!$G$2:$G$50000,$C42,缺陷明细!$J$2:$J$50000,"验收测试",缺陷明细!$AB$2:$AB$50000,"&lt;&gt;丢弃",缺陷明细!$AB$2:$AB$50000,"&lt;&gt;设计如此",缺陷明细!$AB$2:$AB$50000,"&lt;&gt;重复Bug")</f>
        <v>0</v>
      </c>
      <c r="V42" s="75">
        <f>COUNTIFS(缺陷明细!$A$2:$A$50000,$B$4,缺陷明细!$G$2:$G$50000,$C42,缺陷明细!$Q$2:$Q$50000,"已关闭",缺陷明细!$J$2:$J$50000,"验收测试")</f>
        <v>0</v>
      </c>
      <c r="W42" s="75">
        <f>COUNTIFS(缺陷明细!$A$2:$A$50000,$B$4,缺陷明细!$G$2:$G$50000,$C42,缺陷明细!$J$2:$J$50000,"验收测试",缺陷明细!$K$2:$K$50000,"致命",缺陷明细!$AB$2:$AB$50000,"&lt;&gt;丢弃",缺陷明细!$AB$2:$AB$50000,"&lt;&gt;设计如此",缺陷明细!$AB$2:$AB$50000,"&lt;&gt;重复Bug")+COUNTIFS(缺陷明细!$A$2:$A$50000,$B$4,缺陷明细!$G$2:$G$50000,$C42,缺陷明细!$J$2:$J$50000,"验收测试",缺陷明细!$K$2:$K$50000,"严重",缺陷明细!$AB$2:$AB$50000,"&lt;&gt;丢弃",缺陷明细!$AB$2:$AB$50000,"&lt;&gt;设计如此",缺陷明细!$AB$2:$AB$50000,"&lt;&gt;重复Bug")</f>
        <v>0</v>
      </c>
      <c r="X42" s="76">
        <f>COUNTIFS(缺陷明细!$A$2:$A$50000,$B$4,缺陷明细!$G$2:$G$50000,$C42,缺陷明细!$Q$2:$Q$50000,"已关闭",缺陷明细!$J$2:$J$50000,"验收测试",缺陷明细!$K$2:$K$50000,"致命")+COUNTIFS(缺陷明细!$A$2:$A$50000,$B$4,缺陷明细!$G$2:$G$50000,$C42,缺陷明细!$Q$2:$Q$50000,"已关闭",缺陷明细!$J$2:$J$50000,"验收测试",缺陷明细!$K$2:$K$50000,"严重")</f>
        <v>0</v>
      </c>
      <c r="Y42" s="70">
        <f>COUNTIFS(缺陷明细!$A$2:$A$50000,$B$4,缺陷明细!$G$2:$G$50000,$C42,缺陷明细!$J$2:$J$50000,"运维测试",缺陷明细!$AB$2:$AB$50000,"&lt;&gt;丢弃",缺陷明细!$AB$2:$AB$50000,"&lt;&gt;设计如此",缺陷明细!$AB$2:$AB$50000,"&lt;&gt;重复Bug")</f>
        <v>0</v>
      </c>
      <c r="Z42" s="71">
        <f>COUNTIFS(缺陷明细!$A$2:$A$50000,$B$4,缺陷明细!$G$2:$G$50000,$C42,缺陷明细!$Q$2:$Q$50000,"已关闭",缺陷明细!$J$2:$J$50000,"运维测试")</f>
        <v>0</v>
      </c>
      <c r="AA42" s="72">
        <f>COUNTIFS(缺陷明细!$A$2:$A$50000,$B$4,缺陷明细!$G$2:$G$50000,$C42,缺陷明细!$J$2:$J$50000,"运维测试",缺陷明细!$K$2:$K$50000,"致命",缺陷明细!$AB$2:$AB$50000,"&lt;&gt;丢弃",缺陷明细!$AB$2:$AB$50000,"&lt;&gt;设计如此",缺陷明细!$AB$2:$AB$50000,"&lt;&gt;重复Bug")+COUNTIFS(缺陷明细!$A$2:$A$50000,$B$4,缺陷明细!$G$2:$G$50000,$C42,缺陷明细!$J$2:$J$50000,"运维测试",缺陷明细!$K$2:$K$50000,"严重",缺陷明细!$AB$2:$AB$50000,"&lt;&gt;丢弃",缺陷明细!$AB$2:$AB$50000,"&lt;&gt;设计如此",缺陷明细!$AB$2:$AB$50000,"&lt;&gt;重复Bug")</f>
        <v>0</v>
      </c>
      <c r="AB42" s="73">
        <f>COUNTIFS(缺陷明细!$A$2:$A$50000,$B$4,缺陷明细!$G$2:$G$50000,$C42,缺陷明细!$Q$2:$Q$50000,"已关闭",缺陷明细!$J$2:$J$50000,"运维测试",缺陷明细!$K$2:$K$50000,"致命")+COUNTIFS(缺陷明细!$A$2:$A$50000,$B$4,缺陷明细!$G$2:$G$50000,$C42,缺陷明细!$Q$2:$Q$50000,"已关闭",缺陷明细!$J$2:$J$50000,"运维测试",缺陷明细!$K$2:$K$50000,"严重")</f>
        <v>0</v>
      </c>
      <c r="AC42" s="68">
        <f t="shared" si="0"/>
        <v>0</v>
      </c>
      <c r="AD42" s="60">
        <f t="shared" si="0"/>
        <v>0</v>
      </c>
      <c r="AE42" s="60">
        <f t="shared" si="1"/>
        <v>0</v>
      </c>
      <c r="AF42" s="60">
        <f t="shared" si="1"/>
        <v>0</v>
      </c>
      <c r="AG42" s="60">
        <f t="shared" si="2"/>
        <v>0</v>
      </c>
      <c r="AH42" s="60">
        <f t="shared" si="2"/>
        <v>0</v>
      </c>
      <c r="AI42" s="60">
        <f t="shared" si="3"/>
        <v>0</v>
      </c>
      <c r="AJ42" s="61">
        <f t="shared" si="3"/>
        <v>0</v>
      </c>
      <c r="AK42" s="144"/>
    </row>
    <row r="43" spans="1:37">
      <c r="A43">
        <v>39</v>
      </c>
      <c r="B43" s="57" t="s">
        <v>1596</v>
      </c>
      <c r="C43" s="58" t="s">
        <v>1666</v>
      </c>
      <c r="D43" s="84" t="s">
        <v>1673</v>
      </c>
      <c r="E43" s="82" t="s">
        <v>346</v>
      </c>
      <c r="F43" s="158"/>
      <c r="G43" s="159"/>
      <c r="H43" s="281">
        <f>COUNTIFS(缺陷明细!$A$2:$A$50000,$B$4,缺陷明细!$G$2:$G$50000,$C43,缺陷明细!$J$2:$J$50000,"评审",缺陷明细!$AB$2:$AB$50000,"&lt;&gt;丢弃",缺陷明细!$AB$2:$AB$50000,"&lt;&gt;设计如此",缺陷明细!$AB$2:$AB$50000,"&lt;&gt;重复Bug")</f>
        <v>0</v>
      </c>
      <c r="I43" s="154">
        <f>COUNTIFS(缺陷明细!$A$2:$A$50000,$B$4,缺陷明细!$G$2:$G$50000,$C43,缺陷明细!$Q$2:$Q$50000,"已关闭",缺陷明细!$J$2:$J$50000,"评审")</f>
        <v>0</v>
      </c>
      <c r="J43" s="154">
        <f>COUNTIFS(缺陷明细!$A$2:$A$50000,$B$4,缺陷明细!$G$2:$G$50000,$C43,缺陷明细!$J$2:$J$50000,"单元测试",缺陷明细!$AB$2:$AB$50000,"&lt;&gt;丢弃",缺陷明细!$AB$2:$AB$50000,"&lt;&gt;设计如此",缺陷明细!$AB$2:$AB$50000,"&lt;&gt;重复Bug")</f>
        <v>0</v>
      </c>
      <c r="K43" s="155">
        <f>COUNTIFS(缺陷明细!$A$2:$A$50000,$B$4,缺陷明细!$G$2:$G$50000,$C43,缺陷明细!$Q$2:$Q$50000,"已关闭",缺陷明细!$J$2:$J$50000,"单元测试")</f>
        <v>0</v>
      </c>
      <c r="L43" s="156">
        <v>3</v>
      </c>
      <c r="M43" s="157"/>
      <c r="N43" s="72">
        <f>COUNTIFS(缺陷明细!$A$2:$A$50000,$B$4,缺陷明细!$G$2:$G$50000,$C43,缺陷明细!$J$2:$J$50000,"系统测试案例评审",缺陷明细!$AB$2:$AB$50000,"&lt;&gt;丢弃",缺陷明细!$AB$2:$AB$50000,"&lt;&gt;设计如此",缺陷明细!$AB$2:$AB$50000,"&lt;&gt;重复Bug")</f>
        <v>0</v>
      </c>
      <c r="O43" s="72">
        <f>COUNTIFS(缺陷明细!$A$2:$A$50000,$B$4,缺陷明细!$G$2:$G$50000,$C43,缺陷明细!$Q$2:$Q$50000,"已关闭",缺陷明细!$J$2:$J$50000,"系统测试案例评审")</f>
        <v>0</v>
      </c>
      <c r="P43" s="72">
        <f>COUNTIFS(缺陷明细!$A$2:$A$50000,$B$4,缺陷明细!$G$2:$G$50000,$C43,缺陷明细!$J$2:$J$50000,"系统测试",缺陷明细!$AB$2:$AB$50000,"&lt;&gt;丢弃",缺陷明细!$AB$2:$AB$50000,"&lt;&gt;设计如此",缺陷明细!$AB$2:$AB$50000,"&lt;&gt;重复Bug")</f>
        <v>0</v>
      </c>
      <c r="Q43" s="72">
        <f>COUNTIFS(缺陷明细!$A$2:$A$50000,$B$4,缺陷明细!$G$2:$G$50000,$C43,缺陷明细!$Q$2:$Q$50000,"已关闭",缺陷明细!$J$2:$J$50000,"系统测试")</f>
        <v>0</v>
      </c>
      <c r="R43" s="296">
        <f>COUNTIFS(缺陷明细!$A$2:$A$50000,$B$4,缺陷明细!$G$2:$G$50000,$C43,缺陷明细!$AB$2:$AB$50000,"丢弃",缺陷明细!$J$2:$J$50000,"系统测试")+COUNTIFS(缺陷明细!$A$2:$A$50000,$B$4,缺陷明细!$G$2:$G$50000,$C43,缺陷明细!$AB$2:$AB$50000,"设计如此",缺陷明细!$J$2:$J$50000,"系统测试")+COUNTIFS(缺陷明细!$A$2:$A$50000,$B$4,缺陷明细!$G$2:$G$50000,$C43,缺陷明细!$AB$2:$AB$50000,"重复Bug",缺陷明细!$J$2:$J$50000,"系统测试")</f>
        <v>0</v>
      </c>
      <c r="S43" s="72">
        <f>COUNTIFS(缺陷明细!$A$2:$A$50000,$B$4,缺陷明细!$G$2:$G$50000,$C43,缺陷明细!$J$2:$J$50000,"系统测试",缺陷明细!$K$2:$K$50000,"致命",缺陷明细!$AB$2:$AB$50000,"&lt;&gt;丢弃",缺陷明细!$AB$2:$AB$50000,"&lt;&gt;设计如此",缺陷明细!$AB$2:$AB$50000,"&lt;&gt;重复Bug")+COUNTIFS(缺陷明细!$A$2:$A$50000,$B$4,缺陷明细!$G$2:$G$50000,$C43,缺陷明细!$J$2:$J$50000,"系统测试",缺陷明细!$K$2:$K$50000,"严重",缺陷明细!$AB$2:$AB$50000,"&lt;&gt;丢弃",缺陷明细!$AB$2:$AB$50000,"&lt;&gt;设计如此",缺陷明细!$AB$2:$AB$50000,"&lt;&gt;重复Bug")</f>
        <v>0</v>
      </c>
      <c r="T43" s="73">
        <f>COUNTIFS(缺陷明细!$A$2:$A$50000,$B$4,缺陷明细!$G$2:$G$50000,$C43,缺陷明细!$Q$2:$Q$50000,"已关闭",缺陷明细!$J$2:$J$50000,"系统测试",缺陷明细!$K$2:$K$50000,"致命")+COUNTIFS(缺陷明细!$A$2:$A$50000,$B$4,缺陷明细!$G$2:$G$50000,$C43,缺陷明细!$Q$2:$Q$50000,"已关闭",缺陷明细!$J$2:$J$50000,"系统测试",缺陷明细!$K$2:$K$50000,"严重")</f>
        <v>0</v>
      </c>
      <c r="U43" s="74">
        <f>COUNTIFS(缺陷明细!$A$2:$A$50000,$B$4,缺陷明细!$G$2:$G$50000,$C43,缺陷明细!$J$2:$J$50000,"验收测试",缺陷明细!$AB$2:$AB$50000,"&lt;&gt;丢弃",缺陷明细!$AB$2:$AB$50000,"&lt;&gt;设计如此",缺陷明细!$AB$2:$AB$50000,"&lt;&gt;重复Bug")</f>
        <v>0</v>
      </c>
      <c r="V43" s="75">
        <f>COUNTIFS(缺陷明细!$A$2:$A$50000,$B$4,缺陷明细!$G$2:$G$50000,$C43,缺陷明细!$Q$2:$Q$50000,"已关闭",缺陷明细!$J$2:$J$50000,"验收测试")</f>
        <v>0</v>
      </c>
      <c r="W43" s="75">
        <f>COUNTIFS(缺陷明细!$A$2:$A$50000,$B$4,缺陷明细!$G$2:$G$50000,$C43,缺陷明细!$J$2:$J$50000,"验收测试",缺陷明细!$K$2:$K$50000,"致命",缺陷明细!$AB$2:$AB$50000,"&lt;&gt;丢弃",缺陷明细!$AB$2:$AB$50000,"&lt;&gt;设计如此",缺陷明细!$AB$2:$AB$50000,"&lt;&gt;重复Bug")+COUNTIFS(缺陷明细!$A$2:$A$50000,$B$4,缺陷明细!$G$2:$G$50000,$C43,缺陷明细!$J$2:$J$50000,"验收测试",缺陷明细!$K$2:$K$50000,"严重",缺陷明细!$AB$2:$AB$50000,"&lt;&gt;丢弃",缺陷明细!$AB$2:$AB$50000,"&lt;&gt;设计如此",缺陷明细!$AB$2:$AB$50000,"&lt;&gt;重复Bug")</f>
        <v>0</v>
      </c>
      <c r="X43" s="76">
        <f>COUNTIFS(缺陷明细!$A$2:$A$50000,$B$4,缺陷明细!$G$2:$G$50000,$C43,缺陷明细!$Q$2:$Q$50000,"已关闭",缺陷明细!$J$2:$J$50000,"验收测试",缺陷明细!$K$2:$K$50000,"致命")+COUNTIFS(缺陷明细!$A$2:$A$50000,$B$4,缺陷明细!$G$2:$G$50000,$C43,缺陷明细!$Q$2:$Q$50000,"已关闭",缺陷明细!$J$2:$J$50000,"验收测试",缺陷明细!$K$2:$K$50000,"严重")</f>
        <v>0</v>
      </c>
      <c r="Y43" s="70">
        <f>COUNTIFS(缺陷明细!$A$2:$A$50000,$B$4,缺陷明细!$G$2:$G$50000,$C43,缺陷明细!$J$2:$J$50000,"运维测试",缺陷明细!$AB$2:$AB$50000,"&lt;&gt;丢弃",缺陷明细!$AB$2:$AB$50000,"&lt;&gt;设计如此",缺陷明细!$AB$2:$AB$50000,"&lt;&gt;重复Bug")</f>
        <v>0</v>
      </c>
      <c r="Z43" s="71">
        <f>COUNTIFS(缺陷明细!$A$2:$A$50000,$B$4,缺陷明细!$G$2:$G$50000,$C43,缺陷明细!$Q$2:$Q$50000,"已关闭",缺陷明细!$J$2:$J$50000,"运维测试")</f>
        <v>0</v>
      </c>
      <c r="AA43" s="72">
        <f>COUNTIFS(缺陷明细!$A$2:$A$50000,$B$4,缺陷明细!$G$2:$G$50000,$C43,缺陷明细!$J$2:$J$50000,"运维测试",缺陷明细!$K$2:$K$50000,"致命",缺陷明细!$AB$2:$AB$50000,"&lt;&gt;丢弃",缺陷明细!$AB$2:$AB$50000,"&lt;&gt;设计如此",缺陷明细!$AB$2:$AB$50000,"&lt;&gt;重复Bug")+COUNTIFS(缺陷明细!$A$2:$A$50000,$B$4,缺陷明细!$G$2:$G$50000,$C43,缺陷明细!$J$2:$J$50000,"运维测试",缺陷明细!$K$2:$K$50000,"严重",缺陷明细!$AB$2:$AB$50000,"&lt;&gt;丢弃",缺陷明细!$AB$2:$AB$50000,"&lt;&gt;设计如此",缺陷明细!$AB$2:$AB$50000,"&lt;&gt;重复Bug")</f>
        <v>0</v>
      </c>
      <c r="AB43" s="73">
        <f>COUNTIFS(缺陷明细!$A$2:$A$50000,$B$4,缺陷明细!$G$2:$G$50000,$C43,缺陷明细!$Q$2:$Q$50000,"已关闭",缺陷明细!$J$2:$J$50000,"运维测试",缺陷明细!$K$2:$K$50000,"致命")+COUNTIFS(缺陷明细!$A$2:$A$50000,$B$4,缺陷明细!$G$2:$G$50000,$C43,缺陷明细!$Q$2:$Q$50000,"已关闭",缺陷明细!$J$2:$J$50000,"运维测试",缺陷明细!$K$2:$K$50000,"严重")</f>
        <v>0</v>
      </c>
      <c r="AC43" s="68">
        <f t="shared" si="0"/>
        <v>0</v>
      </c>
      <c r="AD43" s="60">
        <f t="shared" si="0"/>
        <v>0</v>
      </c>
      <c r="AE43" s="60">
        <f t="shared" si="1"/>
        <v>0</v>
      </c>
      <c r="AF43" s="60">
        <f t="shared" si="1"/>
        <v>0</v>
      </c>
      <c r="AG43" s="60">
        <f t="shared" si="2"/>
        <v>0</v>
      </c>
      <c r="AH43" s="60">
        <f t="shared" si="2"/>
        <v>0</v>
      </c>
      <c r="AI43" s="60">
        <f t="shared" si="3"/>
        <v>0</v>
      </c>
      <c r="AJ43" s="61">
        <f t="shared" si="3"/>
        <v>0</v>
      </c>
      <c r="AK43" s="144"/>
    </row>
    <row r="44" spans="1:37">
      <c r="A44">
        <v>40</v>
      </c>
      <c r="B44" s="57" t="s">
        <v>1595</v>
      </c>
      <c r="C44" s="58" t="s">
        <v>1667</v>
      </c>
      <c r="D44" s="84" t="s">
        <v>1673</v>
      </c>
      <c r="E44" s="82" t="s">
        <v>346</v>
      </c>
      <c r="F44" s="158"/>
      <c r="G44" s="159"/>
      <c r="H44" s="281">
        <f>COUNTIFS(缺陷明细!$A$2:$A$50000,$B$4,缺陷明细!$G$2:$G$50000,$C44,缺陷明细!$J$2:$J$50000,"评审",缺陷明细!$AB$2:$AB$50000,"&lt;&gt;丢弃",缺陷明细!$AB$2:$AB$50000,"&lt;&gt;设计如此",缺陷明细!$AB$2:$AB$50000,"&lt;&gt;重复Bug")</f>
        <v>0</v>
      </c>
      <c r="I44" s="154">
        <f>COUNTIFS(缺陷明细!$A$2:$A$50000,$B$4,缺陷明细!$G$2:$G$50000,$C44,缺陷明细!$Q$2:$Q$50000,"已关闭",缺陷明细!$J$2:$J$50000,"评审")</f>
        <v>0</v>
      </c>
      <c r="J44" s="154">
        <f>COUNTIFS(缺陷明细!$A$2:$A$50000,$B$4,缺陷明细!$G$2:$G$50000,$C44,缺陷明细!$J$2:$J$50000,"单元测试",缺陷明细!$AB$2:$AB$50000,"&lt;&gt;丢弃",缺陷明细!$AB$2:$AB$50000,"&lt;&gt;设计如此",缺陷明细!$AB$2:$AB$50000,"&lt;&gt;重复Bug")</f>
        <v>0</v>
      </c>
      <c r="K44" s="155">
        <f>COUNTIFS(缺陷明细!$A$2:$A$50000,$B$4,缺陷明细!$G$2:$G$50000,$C44,缺陷明细!$Q$2:$Q$50000,"已关闭",缺陷明细!$J$2:$J$50000,"单元测试")</f>
        <v>0</v>
      </c>
      <c r="L44" s="156">
        <v>1</v>
      </c>
      <c r="M44" s="157"/>
      <c r="N44" s="72">
        <f>COUNTIFS(缺陷明细!$A$2:$A$50000,$B$4,缺陷明细!$G$2:$G$50000,$C44,缺陷明细!$J$2:$J$50000,"系统测试案例评审",缺陷明细!$AB$2:$AB$50000,"&lt;&gt;丢弃",缺陷明细!$AB$2:$AB$50000,"&lt;&gt;设计如此",缺陷明细!$AB$2:$AB$50000,"&lt;&gt;重复Bug")</f>
        <v>0</v>
      </c>
      <c r="O44" s="72">
        <f>COUNTIFS(缺陷明细!$A$2:$A$50000,$B$4,缺陷明细!$G$2:$G$50000,$C44,缺陷明细!$Q$2:$Q$50000,"已关闭",缺陷明细!$J$2:$J$50000,"系统测试案例评审")</f>
        <v>0</v>
      </c>
      <c r="P44" s="72">
        <f>COUNTIFS(缺陷明细!$A$2:$A$50000,$B$4,缺陷明细!$G$2:$G$50000,$C44,缺陷明细!$J$2:$J$50000,"系统测试",缺陷明细!$AB$2:$AB$50000,"&lt;&gt;丢弃",缺陷明细!$AB$2:$AB$50000,"&lt;&gt;设计如此",缺陷明细!$AB$2:$AB$50000,"&lt;&gt;重复Bug")</f>
        <v>0</v>
      </c>
      <c r="Q44" s="72">
        <f>COUNTIFS(缺陷明细!$A$2:$A$50000,$B$4,缺陷明细!$G$2:$G$50000,$C44,缺陷明细!$Q$2:$Q$50000,"已关闭",缺陷明细!$J$2:$J$50000,"系统测试")</f>
        <v>0</v>
      </c>
      <c r="R44" s="296">
        <f>COUNTIFS(缺陷明细!$A$2:$A$50000,$B$4,缺陷明细!$G$2:$G$50000,$C44,缺陷明细!$AB$2:$AB$50000,"丢弃",缺陷明细!$J$2:$J$50000,"系统测试")+COUNTIFS(缺陷明细!$A$2:$A$50000,$B$4,缺陷明细!$G$2:$G$50000,$C44,缺陷明细!$AB$2:$AB$50000,"设计如此",缺陷明细!$J$2:$J$50000,"系统测试")+COUNTIFS(缺陷明细!$A$2:$A$50000,$B$4,缺陷明细!$G$2:$G$50000,$C44,缺陷明细!$AB$2:$AB$50000,"重复Bug",缺陷明细!$J$2:$J$50000,"系统测试")</f>
        <v>0</v>
      </c>
      <c r="S44" s="72">
        <f>COUNTIFS(缺陷明细!$A$2:$A$50000,$B$4,缺陷明细!$G$2:$G$50000,$C44,缺陷明细!$J$2:$J$50000,"系统测试",缺陷明细!$K$2:$K$50000,"致命",缺陷明细!$AB$2:$AB$50000,"&lt;&gt;丢弃",缺陷明细!$AB$2:$AB$50000,"&lt;&gt;设计如此",缺陷明细!$AB$2:$AB$50000,"&lt;&gt;重复Bug")+COUNTIFS(缺陷明细!$A$2:$A$50000,$B$4,缺陷明细!$G$2:$G$50000,$C44,缺陷明细!$J$2:$J$50000,"系统测试",缺陷明细!$K$2:$K$50000,"严重",缺陷明细!$AB$2:$AB$50000,"&lt;&gt;丢弃",缺陷明细!$AB$2:$AB$50000,"&lt;&gt;设计如此",缺陷明细!$AB$2:$AB$50000,"&lt;&gt;重复Bug")</f>
        <v>0</v>
      </c>
      <c r="T44" s="73">
        <f>COUNTIFS(缺陷明细!$A$2:$A$50000,$B$4,缺陷明细!$G$2:$G$50000,$C44,缺陷明细!$Q$2:$Q$50000,"已关闭",缺陷明细!$J$2:$J$50000,"系统测试",缺陷明细!$K$2:$K$50000,"致命")+COUNTIFS(缺陷明细!$A$2:$A$50000,$B$4,缺陷明细!$G$2:$G$50000,$C44,缺陷明细!$Q$2:$Q$50000,"已关闭",缺陷明细!$J$2:$J$50000,"系统测试",缺陷明细!$K$2:$K$50000,"严重")</f>
        <v>0</v>
      </c>
      <c r="U44" s="74">
        <f>COUNTIFS(缺陷明细!$A$2:$A$50000,$B$4,缺陷明细!$G$2:$G$50000,$C44,缺陷明细!$J$2:$J$50000,"验收测试",缺陷明细!$AB$2:$AB$50000,"&lt;&gt;丢弃",缺陷明细!$AB$2:$AB$50000,"&lt;&gt;设计如此",缺陷明细!$AB$2:$AB$50000,"&lt;&gt;重复Bug")</f>
        <v>0</v>
      </c>
      <c r="V44" s="75">
        <f>COUNTIFS(缺陷明细!$A$2:$A$50000,$B$4,缺陷明细!$G$2:$G$50000,$C44,缺陷明细!$Q$2:$Q$50000,"已关闭",缺陷明细!$J$2:$J$50000,"验收测试")</f>
        <v>0</v>
      </c>
      <c r="W44" s="75">
        <f>COUNTIFS(缺陷明细!$A$2:$A$50000,$B$4,缺陷明细!$G$2:$G$50000,$C44,缺陷明细!$J$2:$J$50000,"验收测试",缺陷明细!$K$2:$K$50000,"致命",缺陷明细!$AB$2:$AB$50000,"&lt;&gt;丢弃",缺陷明细!$AB$2:$AB$50000,"&lt;&gt;设计如此",缺陷明细!$AB$2:$AB$50000,"&lt;&gt;重复Bug")+COUNTIFS(缺陷明细!$A$2:$A$50000,$B$4,缺陷明细!$G$2:$G$50000,$C44,缺陷明细!$J$2:$J$50000,"验收测试",缺陷明细!$K$2:$K$50000,"严重",缺陷明细!$AB$2:$AB$50000,"&lt;&gt;丢弃",缺陷明细!$AB$2:$AB$50000,"&lt;&gt;设计如此",缺陷明细!$AB$2:$AB$50000,"&lt;&gt;重复Bug")</f>
        <v>0</v>
      </c>
      <c r="X44" s="76">
        <f>COUNTIFS(缺陷明细!$A$2:$A$50000,$B$4,缺陷明细!$G$2:$G$50000,$C44,缺陷明细!$Q$2:$Q$50000,"已关闭",缺陷明细!$J$2:$J$50000,"验收测试",缺陷明细!$K$2:$K$50000,"致命")+COUNTIFS(缺陷明细!$A$2:$A$50000,$B$4,缺陷明细!$G$2:$G$50000,$C44,缺陷明细!$Q$2:$Q$50000,"已关闭",缺陷明细!$J$2:$J$50000,"验收测试",缺陷明细!$K$2:$K$50000,"严重")</f>
        <v>0</v>
      </c>
      <c r="Y44" s="70">
        <f>COUNTIFS(缺陷明细!$A$2:$A$50000,$B$4,缺陷明细!$G$2:$G$50000,$C44,缺陷明细!$J$2:$J$50000,"运维测试",缺陷明细!$AB$2:$AB$50000,"&lt;&gt;丢弃",缺陷明细!$AB$2:$AB$50000,"&lt;&gt;设计如此",缺陷明细!$AB$2:$AB$50000,"&lt;&gt;重复Bug")</f>
        <v>0</v>
      </c>
      <c r="Z44" s="71">
        <f>COUNTIFS(缺陷明细!$A$2:$A$50000,$B$4,缺陷明细!$G$2:$G$50000,$C44,缺陷明细!$Q$2:$Q$50000,"已关闭",缺陷明细!$J$2:$J$50000,"运维测试")</f>
        <v>0</v>
      </c>
      <c r="AA44" s="72">
        <f>COUNTIFS(缺陷明细!$A$2:$A$50000,$B$4,缺陷明细!$G$2:$G$50000,$C44,缺陷明细!$J$2:$J$50000,"运维测试",缺陷明细!$K$2:$K$50000,"致命",缺陷明细!$AB$2:$AB$50000,"&lt;&gt;丢弃",缺陷明细!$AB$2:$AB$50000,"&lt;&gt;设计如此",缺陷明细!$AB$2:$AB$50000,"&lt;&gt;重复Bug")+COUNTIFS(缺陷明细!$A$2:$A$50000,$B$4,缺陷明细!$G$2:$G$50000,$C44,缺陷明细!$J$2:$J$50000,"运维测试",缺陷明细!$K$2:$K$50000,"严重",缺陷明细!$AB$2:$AB$50000,"&lt;&gt;丢弃",缺陷明细!$AB$2:$AB$50000,"&lt;&gt;设计如此",缺陷明细!$AB$2:$AB$50000,"&lt;&gt;重复Bug")</f>
        <v>0</v>
      </c>
      <c r="AB44" s="73">
        <f>COUNTIFS(缺陷明细!$A$2:$A$50000,$B$4,缺陷明细!$G$2:$G$50000,$C44,缺陷明细!$Q$2:$Q$50000,"已关闭",缺陷明细!$J$2:$J$50000,"运维测试",缺陷明细!$K$2:$K$50000,"致命")+COUNTIFS(缺陷明细!$A$2:$A$50000,$B$4,缺陷明细!$G$2:$G$50000,$C44,缺陷明细!$Q$2:$Q$50000,"已关闭",缺陷明细!$J$2:$J$50000,"运维测试",缺陷明细!$K$2:$K$50000,"严重")</f>
        <v>0</v>
      </c>
      <c r="AC44" s="68">
        <f t="shared" si="0"/>
        <v>0</v>
      </c>
      <c r="AD44" s="60">
        <f t="shared" si="0"/>
        <v>0</v>
      </c>
      <c r="AE44" s="60">
        <f t="shared" si="1"/>
        <v>0</v>
      </c>
      <c r="AF44" s="60">
        <f t="shared" si="1"/>
        <v>0</v>
      </c>
      <c r="AG44" s="60">
        <f t="shared" si="2"/>
        <v>0</v>
      </c>
      <c r="AH44" s="60">
        <f t="shared" si="2"/>
        <v>0</v>
      </c>
      <c r="AI44" s="60">
        <f t="shared" si="3"/>
        <v>0</v>
      </c>
      <c r="AJ44" s="61">
        <f t="shared" si="3"/>
        <v>0</v>
      </c>
      <c r="AK44" s="144"/>
    </row>
    <row r="45" spans="1:37">
      <c r="A45">
        <v>41</v>
      </c>
      <c r="B45" s="57" t="s">
        <v>1594</v>
      </c>
      <c r="C45" s="58" t="s">
        <v>1668</v>
      </c>
      <c r="D45" s="84" t="s">
        <v>1673</v>
      </c>
      <c r="E45" s="82" t="s">
        <v>346</v>
      </c>
      <c r="F45" s="158"/>
      <c r="G45" s="159"/>
      <c r="H45" s="281">
        <f>COUNTIFS(缺陷明细!$A$2:$A$50000,$B$4,缺陷明细!$G$2:$G$50000,$C45,缺陷明细!$J$2:$J$50000,"评审",缺陷明细!$AB$2:$AB$50000,"&lt;&gt;丢弃",缺陷明细!$AB$2:$AB$50000,"&lt;&gt;设计如此",缺陷明细!$AB$2:$AB$50000,"&lt;&gt;重复Bug")</f>
        <v>0</v>
      </c>
      <c r="I45" s="154">
        <f>COUNTIFS(缺陷明细!$A$2:$A$50000,$B$4,缺陷明细!$G$2:$G$50000,$C45,缺陷明细!$Q$2:$Q$50000,"已关闭",缺陷明细!$J$2:$J$50000,"评审")</f>
        <v>0</v>
      </c>
      <c r="J45" s="154">
        <f>COUNTIFS(缺陷明细!$A$2:$A$50000,$B$4,缺陷明细!$G$2:$G$50000,$C45,缺陷明细!$J$2:$J$50000,"单元测试",缺陷明细!$AB$2:$AB$50000,"&lt;&gt;丢弃",缺陷明细!$AB$2:$AB$50000,"&lt;&gt;设计如此",缺陷明细!$AB$2:$AB$50000,"&lt;&gt;重复Bug")</f>
        <v>0</v>
      </c>
      <c r="K45" s="155">
        <f>COUNTIFS(缺陷明细!$A$2:$A$50000,$B$4,缺陷明细!$G$2:$G$50000,$C45,缺陷明细!$Q$2:$Q$50000,"已关闭",缺陷明细!$J$2:$J$50000,"单元测试")</f>
        <v>0</v>
      </c>
      <c r="L45" s="156">
        <v>2</v>
      </c>
      <c r="M45" s="157"/>
      <c r="N45" s="72">
        <f>COUNTIFS(缺陷明细!$A$2:$A$50000,$B$4,缺陷明细!$G$2:$G$50000,$C45,缺陷明细!$J$2:$J$50000,"系统测试案例评审",缺陷明细!$AB$2:$AB$50000,"&lt;&gt;丢弃",缺陷明细!$AB$2:$AB$50000,"&lt;&gt;设计如此",缺陷明细!$AB$2:$AB$50000,"&lt;&gt;重复Bug")</f>
        <v>0</v>
      </c>
      <c r="O45" s="72">
        <f>COUNTIFS(缺陷明细!$A$2:$A$50000,$B$4,缺陷明细!$G$2:$G$50000,$C45,缺陷明细!$Q$2:$Q$50000,"已关闭",缺陷明细!$J$2:$J$50000,"系统测试案例评审")</f>
        <v>0</v>
      </c>
      <c r="P45" s="72">
        <f>COUNTIFS(缺陷明细!$A$2:$A$50000,$B$4,缺陷明细!$G$2:$G$50000,$C45,缺陷明细!$J$2:$J$50000,"系统测试",缺陷明细!$AB$2:$AB$50000,"&lt;&gt;丢弃",缺陷明细!$AB$2:$AB$50000,"&lt;&gt;设计如此",缺陷明细!$AB$2:$AB$50000,"&lt;&gt;重复Bug")</f>
        <v>0</v>
      </c>
      <c r="Q45" s="72">
        <f>COUNTIFS(缺陷明细!$A$2:$A$50000,$B$4,缺陷明细!$G$2:$G$50000,$C45,缺陷明细!$Q$2:$Q$50000,"已关闭",缺陷明细!$J$2:$J$50000,"系统测试")</f>
        <v>0</v>
      </c>
      <c r="R45" s="296">
        <f>COUNTIFS(缺陷明细!$A$2:$A$50000,$B$4,缺陷明细!$G$2:$G$50000,$C45,缺陷明细!$AB$2:$AB$50000,"丢弃",缺陷明细!$J$2:$J$50000,"系统测试")+COUNTIFS(缺陷明细!$A$2:$A$50000,$B$4,缺陷明细!$G$2:$G$50000,$C45,缺陷明细!$AB$2:$AB$50000,"设计如此",缺陷明细!$J$2:$J$50000,"系统测试")+COUNTIFS(缺陷明细!$A$2:$A$50000,$B$4,缺陷明细!$G$2:$G$50000,$C45,缺陷明细!$AB$2:$AB$50000,"重复Bug",缺陷明细!$J$2:$J$50000,"系统测试")</f>
        <v>0</v>
      </c>
      <c r="S45" s="72">
        <f>COUNTIFS(缺陷明细!$A$2:$A$50000,$B$4,缺陷明细!$G$2:$G$50000,$C45,缺陷明细!$J$2:$J$50000,"系统测试",缺陷明细!$K$2:$K$50000,"致命",缺陷明细!$AB$2:$AB$50000,"&lt;&gt;丢弃",缺陷明细!$AB$2:$AB$50000,"&lt;&gt;设计如此",缺陷明细!$AB$2:$AB$50000,"&lt;&gt;重复Bug")+COUNTIFS(缺陷明细!$A$2:$A$50000,$B$4,缺陷明细!$G$2:$G$50000,$C45,缺陷明细!$J$2:$J$50000,"系统测试",缺陷明细!$K$2:$K$50000,"严重",缺陷明细!$AB$2:$AB$50000,"&lt;&gt;丢弃",缺陷明细!$AB$2:$AB$50000,"&lt;&gt;设计如此",缺陷明细!$AB$2:$AB$50000,"&lt;&gt;重复Bug")</f>
        <v>0</v>
      </c>
      <c r="T45" s="73">
        <f>COUNTIFS(缺陷明细!$A$2:$A$50000,$B$4,缺陷明细!$G$2:$G$50000,$C45,缺陷明细!$Q$2:$Q$50000,"已关闭",缺陷明细!$J$2:$J$50000,"系统测试",缺陷明细!$K$2:$K$50000,"致命")+COUNTIFS(缺陷明细!$A$2:$A$50000,$B$4,缺陷明细!$G$2:$G$50000,$C45,缺陷明细!$Q$2:$Q$50000,"已关闭",缺陷明细!$J$2:$J$50000,"系统测试",缺陷明细!$K$2:$K$50000,"严重")</f>
        <v>0</v>
      </c>
      <c r="U45" s="74">
        <f>COUNTIFS(缺陷明细!$A$2:$A$50000,$B$4,缺陷明细!$G$2:$G$50000,$C45,缺陷明细!$J$2:$J$50000,"验收测试",缺陷明细!$AB$2:$AB$50000,"&lt;&gt;丢弃",缺陷明细!$AB$2:$AB$50000,"&lt;&gt;设计如此",缺陷明细!$AB$2:$AB$50000,"&lt;&gt;重复Bug")</f>
        <v>0</v>
      </c>
      <c r="V45" s="75">
        <f>COUNTIFS(缺陷明细!$A$2:$A$50000,$B$4,缺陷明细!$G$2:$G$50000,$C45,缺陷明细!$Q$2:$Q$50000,"已关闭",缺陷明细!$J$2:$J$50000,"验收测试")</f>
        <v>0</v>
      </c>
      <c r="W45" s="75">
        <f>COUNTIFS(缺陷明细!$A$2:$A$50000,$B$4,缺陷明细!$G$2:$G$50000,$C45,缺陷明细!$J$2:$J$50000,"验收测试",缺陷明细!$K$2:$K$50000,"致命",缺陷明细!$AB$2:$AB$50000,"&lt;&gt;丢弃",缺陷明细!$AB$2:$AB$50000,"&lt;&gt;设计如此",缺陷明细!$AB$2:$AB$50000,"&lt;&gt;重复Bug")+COUNTIFS(缺陷明细!$A$2:$A$50000,$B$4,缺陷明细!$G$2:$G$50000,$C45,缺陷明细!$J$2:$J$50000,"验收测试",缺陷明细!$K$2:$K$50000,"严重",缺陷明细!$AB$2:$AB$50000,"&lt;&gt;丢弃",缺陷明细!$AB$2:$AB$50000,"&lt;&gt;设计如此",缺陷明细!$AB$2:$AB$50000,"&lt;&gt;重复Bug")</f>
        <v>0</v>
      </c>
      <c r="X45" s="76">
        <f>COUNTIFS(缺陷明细!$A$2:$A$50000,$B$4,缺陷明细!$G$2:$G$50000,$C45,缺陷明细!$Q$2:$Q$50000,"已关闭",缺陷明细!$J$2:$J$50000,"验收测试",缺陷明细!$K$2:$K$50000,"致命")+COUNTIFS(缺陷明细!$A$2:$A$50000,$B$4,缺陷明细!$G$2:$G$50000,$C45,缺陷明细!$Q$2:$Q$50000,"已关闭",缺陷明细!$J$2:$J$50000,"验收测试",缺陷明细!$K$2:$K$50000,"严重")</f>
        <v>0</v>
      </c>
      <c r="Y45" s="70">
        <f>COUNTIFS(缺陷明细!$A$2:$A$50000,$B$4,缺陷明细!$G$2:$G$50000,$C45,缺陷明细!$J$2:$J$50000,"运维测试",缺陷明细!$AB$2:$AB$50000,"&lt;&gt;丢弃",缺陷明细!$AB$2:$AB$50000,"&lt;&gt;设计如此",缺陷明细!$AB$2:$AB$50000,"&lt;&gt;重复Bug")</f>
        <v>0</v>
      </c>
      <c r="Z45" s="71">
        <f>COUNTIFS(缺陷明细!$A$2:$A$50000,$B$4,缺陷明细!$G$2:$G$50000,$C45,缺陷明细!$Q$2:$Q$50000,"已关闭",缺陷明细!$J$2:$J$50000,"运维测试")</f>
        <v>0</v>
      </c>
      <c r="AA45" s="72">
        <f>COUNTIFS(缺陷明细!$A$2:$A$50000,$B$4,缺陷明细!$G$2:$G$50000,$C45,缺陷明细!$J$2:$J$50000,"运维测试",缺陷明细!$K$2:$K$50000,"致命",缺陷明细!$AB$2:$AB$50000,"&lt;&gt;丢弃",缺陷明细!$AB$2:$AB$50000,"&lt;&gt;设计如此",缺陷明细!$AB$2:$AB$50000,"&lt;&gt;重复Bug")+COUNTIFS(缺陷明细!$A$2:$A$50000,$B$4,缺陷明细!$G$2:$G$50000,$C45,缺陷明细!$J$2:$J$50000,"运维测试",缺陷明细!$K$2:$K$50000,"严重",缺陷明细!$AB$2:$AB$50000,"&lt;&gt;丢弃",缺陷明细!$AB$2:$AB$50000,"&lt;&gt;设计如此",缺陷明细!$AB$2:$AB$50000,"&lt;&gt;重复Bug")</f>
        <v>0</v>
      </c>
      <c r="AB45" s="73">
        <f>COUNTIFS(缺陷明细!$A$2:$A$50000,$B$4,缺陷明细!$G$2:$G$50000,$C45,缺陷明细!$Q$2:$Q$50000,"已关闭",缺陷明细!$J$2:$J$50000,"运维测试",缺陷明细!$K$2:$K$50000,"致命")+COUNTIFS(缺陷明细!$A$2:$A$50000,$B$4,缺陷明细!$G$2:$G$50000,$C45,缺陷明细!$Q$2:$Q$50000,"已关闭",缺陷明细!$J$2:$J$50000,"运维测试",缺陷明细!$K$2:$K$50000,"严重")</f>
        <v>0</v>
      </c>
      <c r="AC45" s="68">
        <f t="shared" si="0"/>
        <v>0</v>
      </c>
      <c r="AD45" s="60">
        <f t="shared" si="0"/>
        <v>0</v>
      </c>
      <c r="AE45" s="60">
        <f t="shared" si="1"/>
        <v>0</v>
      </c>
      <c r="AF45" s="60">
        <f t="shared" si="1"/>
        <v>0</v>
      </c>
      <c r="AG45" s="60">
        <f t="shared" si="2"/>
        <v>0</v>
      </c>
      <c r="AH45" s="60">
        <f t="shared" si="2"/>
        <v>0</v>
      </c>
      <c r="AI45" s="60">
        <f t="shared" si="3"/>
        <v>0</v>
      </c>
      <c r="AJ45" s="61">
        <f t="shared" si="3"/>
        <v>0</v>
      </c>
      <c r="AK45" s="144"/>
    </row>
    <row r="46" spans="1:37">
      <c r="A46">
        <v>42</v>
      </c>
      <c r="B46" s="57" t="s">
        <v>1593</v>
      </c>
      <c r="C46" s="58" t="s">
        <v>1669</v>
      </c>
      <c r="D46" s="84" t="s">
        <v>1675</v>
      </c>
      <c r="E46" s="82" t="s">
        <v>346</v>
      </c>
      <c r="F46" s="158"/>
      <c r="G46" s="159"/>
      <c r="H46" s="281">
        <f>COUNTIFS(缺陷明细!$A$2:$A$50000,$B$4,缺陷明细!$G$2:$G$50000,$C46,缺陷明细!$J$2:$J$50000,"评审",缺陷明细!$AB$2:$AB$50000,"&lt;&gt;丢弃",缺陷明细!$AB$2:$AB$50000,"&lt;&gt;设计如此",缺陷明细!$AB$2:$AB$50000,"&lt;&gt;重复Bug")</f>
        <v>0</v>
      </c>
      <c r="I46" s="154">
        <f>COUNTIFS(缺陷明细!$A$2:$A$50000,$B$4,缺陷明细!$G$2:$G$50000,$C46,缺陷明细!$Q$2:$Q$50000,"已关闭",缺陷明细!$J$2:$J$50000,"评审")</f>
        <v>0</v>
      </c>
      <c r="J46" s="154">
        <f>COUNTIFS(缺陷明细!$A$2:$A$50000,$B$4,缺陷明细!$G$2:$G$50000,$C46,缺陷明细!$J$2:$J$50000,"单元测试",缺陷明细!$AB$2:$AB$50000,"&lt;&gt;丢弃",缺陷明细!$AB$2:$AB$50000,"&lt;&gt;设计如此",缺陷明细!$AB$2:$AB$50000,"&lt;&gt;重复Bug")</f>
        <v>0</v>
      </c>
      <c r="K46" s="155">
        <f>COUNTIFS(缺陷明细!$A$2:$A$50000,$B$4,缺陷明细!$G$2:$G$50000,$C46,缺陷明细!$Q$2:$Q$50000,"已关闭",缺陷明细!$J$2:$J$50000,"单元测试")</f>
        <v>0</v>
      </c>
      <c r="L46" s="156">
        <v>6</v>
      </c>
      <c r="M46" s="157"/>
      <c r="N46" s="72">
        <f>COUNTIFS(缺陷明细!$A$2:$A$50000,$B$4,缺陷明细!$G$2:$G$50000,$C46,缺陷明细!$J$2:$J$50000,"系统测试案例评审",缺陷明细!$AB$2:$AB$50000,"&lt;&gt;丢弃",缺陷明细!$AB$2:$AB$50000,"&lt;&gt;设计如此",缺陷明细!$AB$2:$AB$50000,"&lt;&gt;重复Bug")</f>
        <v>0</v>
      </c>
      <c r="O46" s="72">
        <f>COUNTIFS(缺陷明细!$A$2:$A$50000,$B$4,缺陷明细!$G$2:$G$50000,$C46,缺陷明细!$Q$2:$Q$50000,"已关闭",缺陷明细!$J$2:$J$50000,"系统测试案例评审")</f>
        <v>0</v>
      </c>
      <c r="P46" s="72">
        <f>COUNTIFS(缺陷明细!$A$2:$A$50000,$B$4,缺陷明细!$G$2:$G$50000,$C46,缺陷明细!$J$2:$J$50000,"系统测试",缺陷明细!$AB$2:$AB$50000,"&lt;&gt;丢弃",缺陷明细!$AB$2:$AB$50000,"&lt;&gt;设计如此",缺陷明细!$AB$2:$AB$50000,"&lt;&gt;重复Bug")</f>
        <v>0</v>
      </c>
      <c r="Q46" s="72">
        <f>COUNTIFS(缺陷明细!$A$2:$A$50000,$B$4,缺陷明细!$G$2:$G$50000,$C46,缺陷明细!$Q$2:$Q$50000,"已关闭",缺陷明细!$J$2:$J$50000,"系统测试")</f>
        <v>0</v>
      </c>
      <c r="R46" s="296">
        <f>COUNTIFS(缺陷明细!$A$2:$A$50000,$B$4,缺陷明细!$G$2:$G$50000,$C46,缺陷明细!$AB$2:$AB$50000,"丢弃",缺陷明细!$J$2:$J$50000,"系统测试")+COUNTIFS(缺陷明细!$A$2:$A$50000,$B$4,缺陷明细!$G$2:$G$50000,$C46,缺陷明细!$AB$2:$AB$50000,"设计如此",缺陷明细!$J$2:$J$50000,"系统测试")+COUNTIFS(缺陷明细!$A$2:$A$50000,$B$4,缺陷明细!$G$2:$G$50000,$C46,缺陷明细!$AB$2:$AB$50000,"重复Bug",缺陷明细!$J$2:$J$50000,"系统测试")</f>
        <v>0</v>
      </c>
      <c r="S46" s="72">
        <f>COUNTIFS(缺陷明细!$A$2:$A$50000,$B$4,缺陷明细!$G$2:$G$50000,$C46,缺陷明细!$J$2:$J$50000,"系统测试",缺陷明细!$K$2:$K$50000,"致命",缺陷明细!$AB$2:$AB$50000,"&lt;&gt;丢弃",缺陷明细!$AB$2:$AB$50000,"&lt;&gt;设计如此",缺陷明细!$AB$2:$AB$50000,"&lt;&gt;重复Bug")+COUNTIFS(缺陷明细!$A$2:$A$50000,$B$4,缺陷明细!$G$2:$G$50000,$C46,缺陷明细!$J$2:$J$50000,"系统测试",缺陷明细!$K$2:$K$50000,"严重",缺陷明细!$AB$2:$AB$50000,"&lt;&gt;丢弃",缺陷明细!$AB$2:$AB$50000,"&lt;&gt;设计如此",缺陷明细!$AB$2:$AB$50000,"&lt;&gt;重复Bug")</f>
        <v>0</v>
      </c>
      <c r="T46" s="73">
        <f>COUNTIFS(缺陷明细!$A$2:$A$50000,$B$4,缺陷明细!$G$2:$G$50000,$C46,缺陷明细!$Q$2:$Q$50000,"已关闭",缺陷明细!$J$2:$J$50000,"系统测试",缺陷明细!$K$2:$K$50000,"致命")+COUNTIFS(缺陷明细!$A$2:$A$50000,$B$4,缺陷明细!$G$2:$G$50000,$C46,缺陷明细!$Q$2:$Q$50000,"已关闭",缺陷明细!$J$2:$J$50000,"系统测试",缺陷明细!$K$2:$K$50000,"严重")</f>
        <v>0</v>
      </c>
      <c r="U46" s="74">
        <f>COUNTIFS(缺陷明细!$A$2:$A$50000,$B$4,缺陷明细!$G$2:$G$50000,$C46,缺陷明细!$J$2:$J$50000,"验收测试",缺陷明细!$AB$2:$AB$50000,"&lt;&gt;丢弃",缺陷明细!$AB$2:$AB$50000,"&lt;&gt;设计如此",缺陷明细!$AB$2:$AB$50000,"&lt;&gt;重复Bug")</f>
        <v>0</v>
      </c>
      <c r="V46" s="75">
        <f>COUNTIFS(缺陷明细!$A$2:$A$50000,$B$4,缺陷明细!$G$2:$G$50000,$C46,缺陷明细!$Q$2:$Q$50000,"已关闭",缺陷明细!$J$2:$J$50000,"验收测试")</f>
        <v>0</v>
      </c>
      <c r="W46" s="75">
        <f>COUNTIFS(缺陷明细!$A$2:$A$50000,$B$4,缺陷明细!$G$2:$G$50000,$C46,缺陷明细!$J$2:$J$50000,"验收测试",缺陷明细!$K$2:$K$50000,"致命",缺陷明细!$AB$2:$AB$50000,"&lt;&gt;丢弃",缺陷明细!$AB$2:$AB$50000,"&lt;&gt;设计如此",缺陷明细!$AB$2:$AB$50000,"&lt;&gt;重复Bug")+COUNTIFS(缺陷明细!$A$2:$A$50000,$B$4,缺陷明细!$G$2:$G$50000,$C46,缺陷明细!$J$2:$J$50000,"验收测试",缺陷明细!$K$2:$K$50000,"严重",缺陷明细!$AB$2:$AB$50000,"&lt;&gt;丢弃",缺陷明细!$AB$2:$AB$50000,"&lt;&gt;设计如此",缺陷明细!$AB$2:$AB$50000,"&lt;&gt;重复Bug")</f>
        <v>0</v>
      </c>
      <c r="X46" s="76">
        <f>COUNTIFS(缺陷明细!$A$2:$A$50000,$B$4,缺陷明细!$G$2:$G$50000,$C46,缺陷明细!$Q$2:$Q$50000,"已关闭",缺陷明细!$J$2:$J$50000,"验收测试",缺陷明细!$K$2:$K$50000,"致命")+COUNTIFS(缺陷明细!$A$2:$A$50000,$B$4,缺陷明细!$G$2:$G$50000,$C46,缺陷明细!$Q$2:$Q$50000,"已关闭",缺陷明细!$J$2:$J$50000,"验收测试",缺陷明细!$K$2:$K$50000,"严重")</f>
        <v>0</v>
      </c>
      <c r="Y46" s="70">
        <f>COUNTIFS(缺陷明细!$A$2:$A$50000,$B$4,缺陷明细!$G$2:$G$50000,$C46,缺陷明细!$J$2:$J$50000,"运维测试",缺陷明细!$AB$2:$AB$50000,"&lt;&gt;丢弃",缺陷明细!$AB$2:$AB$50000,"&lt;&gt;设计如此",缺陷明细!$AB$2:$AB$50000,"&lt;&gt;重复Bug")</f>
        <v>0</v>
      </c>
      <c r="Z46" s="71">
        <f>COUNTIFS(缺陷明细!$A$2:$A$50000,$B$4,缺陷明细!$G$2:$G$50000,$C46,缺陷明细!$Q$2:$Q$50000,"已关闭",缺陷明细!$J$2:$J$50000,"运维测试")</f>
        <v>0</v>
      </c>
      <c r="AA46" s="72">
        <f>COUNTIFS(缺陷明细!$A$2:$A$50000,$B$4,缺陷明细!$G$2:$G$50000,$C46,缺陷明细!$J$2:$J$50000,"运维测试",缺陷明细!$K$2:$K$50000,"致命",缺陷明细!$AB$2:$AB$50000,"&lt;&gt;丢弃",缺陷明细!$AB$2:$AB$50000,"&lt;&gt;设计如此",缺陷明细!$AB$2:$AB$50000,"&lt;&gt;重复Bug")+COUNTIFS(缺陷明细!$A$2:$A$50000,$B$4,缺陷明细!$G$2:$G$50000,$C46,缺陷明细!$J$2:$J$50000,"运维测试",缺陷明细!$K$2:$K$50000,"严重",缺陷明细!$AB$2:$AB$50000,"&lt;&gt;丢弃",缺陷明细!$AB$2:$AB$50000,"&lt;&gt;设计如此",缺陷明细!$AB$2:$AB$50000,"&lt;&gt;重复Bug")</f>
        <v>0</v>
      </c>
      <c r="AB46" s="73">
        <f>COUNTIFS(缺陷明细!$A$2:$A$50000,$B$4,缺陷明细!$G$2:$G$50000,$C46,缺陷明细!$Q$2:$Q$50000,"已关闭",缺陷明细!$J$2:$J$50000,"运维测试",缺陷明细!$K$2:$K$50000,"致命")+COUNTIFS(缺陷明细!$A$2:$A$50000,$B$4,缺陷明细!$G$2:$G$50000,$C46,缺陷明细!$Q$2:$Q$50000,"已关闭",缺陷明细!$J$2:$J$50000,"运维测试",缺陷明细!$K$2:$K$50000,"严重")</f>
        <v>0</v>
      </c>
      <c r="AC46" s="68">
        <f t="shared" si="0"/>
        <v>0</v>
      </c>
      <c r="AD46" s="60">
        <f t="shared" si="0"/>
        <v>0</v>
      </c>
      <c r="AE46" s="60">
        <f t="shared" si="1"/>
        <v>0</v>
      </c>
      <c r="AF46" s="60">
        <f t="shared" si="1"/>
        <v>0</v>
      </c>
      <c r="AG46" s="60">
        <f t="shared" si="2"/>
        <v>0</v>
      </c>
      <c r="AH46" s="60">
        <f t="shared" si="2"/>
        <v>0</v>
      </c>
      <c r="AI46" s="60">
        <f t="shared" si="3"/>
        <v>0</v>
      </c>
      <c r="AJ46" s="61">
        <f t="shared" si="3"/>
        <v>0</v>
      </c>
      <c r="AK46" s="144"/>
    </row>
    <row r="47" spans="1:37">
      <c r="A47">
        <v>43</v>
      </c>
      <c r="B47" s="57" t="s">
        <v>1592</v>
      </c>
      <c r="C47" s="58" t="s">
        <v>1670</v>
      </c>
      <c r="D47" s="84" t="s">
        <v>1673</v>
      </c>
      <c r="E47" s="82" t="s">
        <v>346</v>
      </c>
      <c r="F47" s="158"/>
      <c r="G47" s="159"/>
      <c r="H47" s="281">
        <f>COUNTIFS(缺陷明细!$A$2:$A$50000,$B$4,缺陷明细!$G$2:$G$50000,$C47,缺陷明细!$J$2:$J$50000,"评审",缺陷明细!$AB$2:$AB$50000,"&lt;&gt;丢弃",缺陷明细!$AB$2:$AB$50000,"&lt;&gt;设计如此",缺陷明细!$AB$2:$AB$50000,"&lt;&gt;重复Bug")</f>
        <v>0</v>
      </c>
      <c r="I47" s="154">
        <f>COUNTIFS(缺陷明细!$A$2:$A$50000,$B$4,缺陷明细!$G$2:$G$50000,$C47,缺陷明细!$Q$2:$Q$50000,"已关闭",缺陷明细!$J$2:$J$50000,"评审")</f>
        <v>0</v>
      </c>
      <c r="J47" s="154">
        <f>COUNTIFS(缺陷明细!$A$2:$A$50000,$B$4,缺陷明细!$G$2:$G$50000,$C47,缺陷明细!$J$2:$J$50000,"单元测试",缺陷明细!$AB$2:$AB$50000,"&lt;&gt;丢弃",缺陷明细!$AB$2:$AB$50000,"&lt;&gt;设计如此",缺陷明细!$AB$2:$AB$50000,"&lt;&gt;重复Bug")</f>
        <v>0</v>
      </c>
      <c r="K47" s="155">
        <f>COUNTIFS(缺陷明细!$A$2:$A$50000,$B$4,缺陷明细!$G$2:$G$50000,$C47,缺陷明细!$Q$2:$Q$50000,"已关闭",缺陷明细!$J$2:$J$50000,"单元测试")</f>
        <v>0</v>
      </c>
      <c r="L47" s="156">
        <v>2</v>
      </c>
      <c r="M47" s="157"/>
      <c r="N47" s="72">
        <f>COUNTIFS(缺陷明细!$A$2:$A$50000,$B$4,缺陷明细!$G$2:$G$50000,$C47,缺陷明细!$J$2:$J$50000,"系统测试案例评审",缺陷明细!$AB$2:$AB$50000,"&lt;&gt;丢弃",缺陷明细!$AB$2:$AB$50000,"&lt;&gt;设计如此",缺陷明细!$AB$2:$AB$50000,"&lt;&gt;重复Bug")</f>
        <v>0</v>
      </c>
      <c r="O47" s="72">
        <f>COUNTIFS(缺陷明细!$A$2:$A$50000,$B$4,缺陷明细!$G$2:$G$50000,$C47,缺陷明细!$Q$2:$Q$50000,"已关闭",缺陷明细!$J$2:$J$50000,"系统测试案例评审")</f>
        <v>0</v>
      </c>
      <c r="P47" s="72">
        <f>COUNTIFS(缺陷明细!$A$2:$A$50000,$B$4,缺陷明细!$G$2:$G$50000,$C47,缺陷明细!$J$2:$J$50000,"系统测试",缺陷明细!$AB$2:$AB$50000,"&lt;&gt;丢弃",缺陷明细!$AB$2:$AB$50000,"&lt;&gt;设计如此",缺陷明细!$AB$2:$AB$50000,"&lt;&gt;重复Bug")</f>
        <v>0</v>
      </c>
      <c r="Q47" s="72">
        <f>COUNTIFS(缺陷明细!$A$2:$A$50000,$B$4,缺陷明细!$G$2:$G$50000,$C47,缺陷明细!$Q$2:$Q$50000,"已关闭",缺陷明细!$J$2:$J$50000,"系统测试")</f>
        <v>0</v>
      </c>
      <c r="R47" s="296">
        <f>COUNTIFS(缺陷明细!$A$2:$A$50000,$B$4,缺陷明细!$G$2:$G$50000,$C47,缺陷明细!$AB$2:$AB$50000,"丢弃",缺陷明细!$J$2:$J$50000,"系统测试")+COUNTIFS(缺陷明细!$A$2:$A$50000,$B$4,缺陷明细!$G$2:$G$50000,$C47,缺陷明细!$AB$2:$AB$50000,"设计如此",缺陷明细!$J$2:$J$50000,"系统测试")+COUNTIFS(缺陷明细!$A$2:$A$50000,$B$4,缺陷明细!$G$2:$G$50000,$C47,缺陷明细!$AB$2:$AB$50000,"重复Bug",缺陷明细!$J$2:$J$50000,"系统测试")</f>
        <v>0</v>
      </c>
      <c r="S47" s="72">
        <f>COUNTIFS(缺陷明细!$A$2:$A$50000,$B$4,缺陷明细!$G$2:$G$50000,$C47,缺陷明细!$J$2:$J$50000,"系统测试",缺陷明细!$K$2:$K$50000,"致命",缺陷明细!$AB$2:$AB$50000,"&lt;&gt;丢弃",缺陷明细!$AB$2:$AB$50000,"&lt;&gt;设计如此",缺陷明细!$AB$2:$AB$50000,"&lt;&gt;重复Bug")+COUNTIFS(缺陷明细!$A$2:$A$50000,$B$4,缺陷明细!$G$2:$G$50000,$C47,缺陷明细!$J$2:$J$50000,"系统测试",缺陷明细!$K$2:$K$50000,"严重",缺陷明细!$AB$2:$AB$50000,"&lt;&gt;丢弃",缺陷明细!$AB$2:$AB$50000,"&lt;&gt;设计如此",缺陷明细!$AB$2:$AB$50000,"&lt;&gt;重复Bug")</f>
        <v>0</v>
      </c>
      <c r="T47" s="73">
        <f>COUNTIFS(缺陷明细!$A$2:$A$50000,$B$4,缺陷明细!$G$2:$G$50000,$C47,缺陷明细!$Q$2:$Q$50000,"已关闭",缺陷明细!$J$2:$J$50000,"系统测试",缺陷明细!$K$2:$K$50000,"致命")+COUNTIFS(缺陷明细!$A$2:$A$50000,$B$4,缺陷明细!$G$2:$G$50000,$C47,缺陷明细!$Q$2:$Q$50000,"已关闭",缺陷明细!$J$2:$J$50000,"系统测试",缺陷明细!$K$2:$K$50000,"严重")</f>
        <v>0</v>
      </c>
      <c r="U47" s="74">
        <f>COUNTIFS(缺陷明细!$A$2:$A$50000,$B$4,缺陷明细!$G$2:$G$50000,$C47,缺陷明细!$J$2:$J$50000,"验收测试",缺陷明细!$AB$2:$AB$50000,"&lt;&gt;丢弃",缺陷明细!$AB$2:$AB$50000,"&lt;&gt;设计如此",缺陷明细!$AB$2:$AB$50000,"&lt;&gt;重复Bug")</f>
        <v>0</v>
      </c>
      <c r="V47" s="75">
        <f>COUNTIFS(缺陷明细!$A$2:$A$50000,$B$4,缺陷明细!$G$2:$G$50000,$C47,缺陷明细!$Q$2:$Q$50000,"已关闭",缺陷明细!$J$2:$J$50000,"验收测试")</f>
        <v>0</v>
      </c>
      <c r="W47" s="75">
        <f>COUNTIFS(缺陷明细!$A$2:$A$50000,$B$4,缺陷明细!$G$2:$G$50000,$C47,缺陷明细!$J$2:$J$50000,"验收测试",缺陷明细!$K$2:$K$50000,"致命",缺陷明细!$AB$2:$AB$50000,"&lt;&gt;丢弃",缺陷明细!$AB$2:$AB$50000,"&lt;&gt;设计如此",缺陷明细!$AB$2:$AB$50000,"&lt;&gt;重复Bug")+COUNTIFS(缺陷明细!$A$2:$A$50000,$B$4,缺陷明细!$G$2:$G$50000,$C47,缺陷明细!$J$2:$J$50000,"验收测试",缺陷明细!$K$2:$K$50000,"严重",缺陷明细!$AB$2:$AB$50000,"&lt;&gt;丢弃",缺陷明细!$AB$2:$AB$50000,"&lt;&gt;设计如此",缺陷明细!$AB$2:$AB$50000,"&lt;&gt;重复Bug")</f>
        <v>0</v>
      </c>
      <c r="X47" s="76">
        <f>COUNTIFS(缺陷明细!$A$2:$A$50000,$B$4,缺陷明细!$G$2:$G$50000,$C47,缺陷明细!$Q$2:$Q$50000,"已关闭",缺陷明细!$J$2:$J$50000,"验收测试",缺陷明细!$K$2:$K$50000,"致命")+COUNTIFS(缺陷明细!$A$2:$A$50000,$B$4,缺陷明细!$G$2:$G$50000,$C47,缺陷明细!$Q$2:$Q$50000,"已关闭",缺陷明细!$J$2:$J$50000,"验收测试",缺陷明细!$K$2:$K$50000,"严重")</f>
        <v>0</v>
      </c>
      <c r="Y47" s="70">
        <f>COUNTIFS(缺陷明细!$A$2:$A$50000,$B$4,缺陷明细!$G$2:$G$50000,$C47,缺陷明细!$J$2:$J$50000,"运维测试",缺陷明细!$AB$2:$AB$50000,"&lt;&gt;丢弃",缺陷明细!$AB$2:$AB$50000,"&lt;&gt;设计如此",缺陷明细!$AB$2:$AB$50000,"&lt;&gt;重复Bug")</f>
        <v>0</v>
      </c>
      <c r="Z47" s="71">
        <f>COUNTIFS(缺陷明细!$A$2:$A$50000,$B$4,缺陷明细!$G$2:$G$50000,$C47,缺陷明细!$Q$2:$Q$50000,"已关闭",缺陷明细!$J$2:$J$50000,"运维测试")</f>
        <v>0</v>
      </c>
      <c r="AA47" s="72">
        <f>COUNTIFS(缺陷明细!$A$2:$A$50000,$B$4,缺陷明细!$G$2:$G$50000,$C47,缺陷明细!$J$2:$J$50000,"运维测试",缺陷明细!$K$2:$K$50000,"致命",缺陷明细!$AB$2:$AB$50000,"&lt;&gt;丢弃",缺陷明细!$AB$2:$AB$50000,"&lt;&gt;设计如此",缺陷明细!$AB$2:$AB$50000,"&lt;&gt;重复Bug")+COUNTIFS(缺陷明细!$A$2:$A$50000,$B$4,缺陷明细!$G$2:$G$50000,$C47,缺陷明细!$J$2:$J$50000,"运维测试",缺陷明细!$K$2:$K$50000,"严重",缺陷明细!$AB$2:$AB$50000,"&lt;&gt;丢弃",缺陷明细!$AB$2:$AB$50000,"&lt;&gt;设计如此",缺陷明细!$AB$2:$AB$50000,"&lt;&gt;重复Bug")</f>
        <v>0</v>
      </c>
      <c r="AB47" s="73">
        <f>COUNTIFS(缺陷明细!$A$2:$A$50000,$B$4,缺陷明细!$G$2:$G$50000,$C47,缺陷明细!$Q$2:$Q$50000,"已关闭",缺陷明细!$J$2:$J$50000,"运维测试",缺陷明细!$K$2:$K$50000,"致命")+COUNTIFS(缺陷明细!$A$2:$A$50000,$B$4,缺陷明细!$G$2:$G$50000,$C47,缺陷明细!$Q$2:$Q$50000,"已关闭",缺陷明细!$J$2:$J$50000,"运维测试",缺陷明细!$K$2:$K$50000,"严重")</f>
        <v>0</v>
      </c>
      <c r="AC47" s="68">
        <f t="shared" si="0"/>
        <v>0</v>
      </c>
      <c r="AD47" s="60">
        <f t="shared" si="0"/>
        <v>0</v>
      </c>
      <c r="AE47" s="60">
        <f t="shared" si="1"/>
        <v>0</v>
      </c>
      <c r="AF47" s="60">
        <f t="shared" si="1"/>
        <v>0</v>
      </c>
      <c r="AG47" s="60">
        <f t="shared" si="2"/>
        <v>0</v>
      </c>
      <c r="AH47" s="60">
        <f t="shared" si="2"/>
        <v>0</v>
      </c>
      <c r="AI47" s="60">
        <f t="shared" si="3"/>
        <v>0</v>
      </c>
      <c r="AJ47" s="61">
        <f t="shared" si="3"/>
        <v>0</v>
      </c>
      <c r="AK47" s="144"/>
    </row>
    <row r="48" spans="1:37">
      <c r="A48">
        <v>44</v>
      </c>
      <c r="B48" s="57" t="s">
        <v>1591</v>
      </c>
      <c r="C48" s="58" t="s">
        <v>1671</v>
      </c>
      <c r="D48" s="84" t="s">
        <v>1673</v>
      </c>
      <c r="E48" s="82" t="s">
        <v>346</v>
      </c>
      <c r="F48" s="158"/>
      <c r="G48" s="159"/>
      <c r="H48" s="281">
        <f>COUNTIFS(缺陷明细!$A$2:$A$50000,$B$4,缺陷明细!$G$2:$G$50000,$C48,缺陷明细!$J$2:$J$50000,"评审",缺陷明细!$AB$2:$AB$50000,"&lt;&gt;丢弃",缺陷明细!$AB$2:$AB$50000,"&lt;&gt;设计如此",缺陷明细!$AB$2:$AB$50000,"&lt;&gt;重复Bug")</f>
        <v>0</v>
      </c>
      <c r="I48" s="154">
        <f>COUNTIFS(缺陷明细!$A$2:$A$50000,$B$4,缺陷明细!$G$2:$G$50000,$C48,缺陷明细!$Q$2:$Q$50000,"已关闭",缺陷明细!$J$2:$J$50000,"评审")</f>
        <v>0</v>
      </c>
      <c r="J48" s="154">
        <f>COUNTIFS(缺陷明细!$A$2:$A$50000,$B$4,缺陷明细!$G$2:$G$50000,$C48,缺陷明细!$J$2:$J$50000,"单元测试",缺陷明细!$AB$2:$AB$50000,"&lt;&gt;丢弃",缺陷明细!$AB$2:$AB$50000,"&lt;&gt;设计如此",缺陷明细!$AB$2:$AB$50000,"&lt;&gt;重复Bug")</f>
        <v>0</v>
      </c>
      <c r="K48" s="155">
        <f>COUNTIFS(缺陷明细!$A$2:$A$50000,$B$4,缺陷明细!$G$2:$G$50000,$C48,缺陷明细!$Q$2:$Q$50000,"已关闭",缺陷明细!$J$2:$J$50000,"单元测试")</f>
        <v>0</v>
      </c>
      <c r="L48" s="156">
        <v>1</v>
      </c>
      <c r="M48" s="157"/>
      <c r="N48" s="72">
        <f>COUNTIFS(缺陷明细!$A$2:$A$50000,$B$4,缺陷明细!$G$2:$G$50000,$C48,缺陷明细!$J$2:$J$50000,"系统测试案例评审",缺陷明细!$AB$2:$AB$50000,"&lt;&gt;丢弃",缺陷明细!$AB$2:$AB$50000,"&lt;&gt;设计如此",缺陷明细!$AB$2:$AB$50000,"&lt;&gt;重复Bug")</f>
        <v>0</v>
      </c>
      <c r="O48" s="72">
        <f>COUNTIFS(缺陷明细!$A$2:$A$50000,$B$4,缺陷明细!$G$2:$G$50000,$C48,缺陷明细!$Q$2:$Q$50000,"已关闭",缺陷明细!$J$2:$J$50000,"系统测试案例评审")</f>
        <v>0</v>
      </c>
      <c r="P48" s="72">
        <f>COUNTIFS(缺陷明细!$A$2:$A$50000,$B$4,缺陷明细!$G$2:$G$50000,$C48,缺陷明细!$J$2:$J$50000,"系统测试",缺陷明细!$AB$2:$AB$50000,"&lt;&gt;丢弃",缺陷明细!$AB$2:$AB$50000,"&lt;&gt;设计如此",缺陷明细!$AB$2:$AB$50000,"&lt;&gt;重复Bug")</f>
        <v>0</v>
      </c>
      <c r="Q48" s="72">
        <f>COUNTIFS(缺陷明细!$A$2:$A$50000,$B$4,缺陷明细!$G$2:$G$50000,$C48,缺陷明细!$Q$2:$Q$50000,"已关闭",缺陷明细!$J$2:$J$50000,"系统测试")</f>
        <v>0</v>
      </c>
      <c r="R48" s="296">
        <f>COUNTIFS(缺陷明细!$A$2:$A$50000,$B$4,缺陷明细!$G$2:$G$50000,$C48,缺陷明细!$AB$2:$AB$50000,"丢弃",缺陷明细!$J$2:$J$50000,"系统测试")+COUNTIFS(缺陷明细!$A$2:$A$50000,$B$4,缺陷明细!$G$2:$G$50000,$C48,缺陷明细!$AB$2:$AB$50000,"设计如此",缺陷明细!$J$2:$J$50000,"系统测试")+COUNTIFS(缺陷明细!$A$2:$A$50000,$B$4,缺陷明细!$G$2:$G$50000,$C48,缺陷明细!$AB$2:$AB$50000,"重复Bug",缺陷明细!$J$2:$J$50000,"系统测试")</f>
        <v>0</v>
      </c>
      <c r="S48" s="72">
        <f>COUNTIFS(缺陷明细!$A$2:$A$50000,$B$4,缺陷明细!$G$2:$G$50000,$C48,缺陷明细!$J$2:$J$50000,"系统测试",缺陷明细!$K$2:$K$50000,"致命",缺陷明细!$AB$2:$AB$50000,"&lt;&gt;丢弃",缺陷明细!$AB$2:$AB$50000,"&lt;&gt;设计如此",缺陷明细!$AB$2:$AB$50000,"&lt;&gt;重复Bug")+COUNTIFS(缺陷明细!$A$2:$A$50000,$B$4,缺陷明细!$G$2:$G$50000,$C48,缺陷明细!$J$2:$J$50000,"系统测试",缺陷明细!$K$2:$K$50000,"严重",缺陷明细!$AB$2:$AB$50000,"&lt;&gt;丢弃",缺陷明细!$AB$2:$AB$50000,"&lt;&gt;设计如此",缺陷明细!$AB$2:$AB$50000,"&lt;&gt;重复Bug")</f>
        <v>0</v>
      </c>
      <c r="T48" s="73">
        <f>COUNTIFS(缺陷明细!$A$2:$A$50000,$B$4,缺陷明细!$G$2:$G$50000,$C48,缺陷明细!$Q$2:$Q$50000,"已关闭",缺陷明细!$J$2:$J$50000,"系统测试",缺陷明细!$K$2:$K$50000,"致命")+COUNTIFS(缺陷明细!$A$2:$A$50000,$B$4,缺陷明细!$G$2:$G$50000,$C48,缺陷明细!$Q$2:$Q$50000,"已关闭",缺陷明细!$J$2:$J$50000,"系统测试",缺陷明细!$K$2:$K$50000,"严重")</f>
        <v>0</v>
      </c>
      <c r="U48" s="74">
        <f>COUNTIFS(缺陷明细!$A$2:$A$50000,$B$4,缺陷明细!$G$2:$G$50000,$C48,缺陷明细!$J$2:$J$50000,"验收测试",缺陷明细!$AB$2:$AB$50000,"&lt;&gt;丢弃",缺陷明细!$AB$2:$AB$50000,"&lt;&gt;设计如此",缺陷明细!$AB$2:$AB$50000,"&lt;&gt;重复Bug")</f>
        <v>0</v>
      </c>
      <c r="V48" s="75">
        <f>COUNTIFS(缺陷明细!$A$2:$A$50000,$B$4,缺陷明细!$G$2:$G$50000,$C48,缺陷明细!$Q$2:$Q$50000,"已关闭",缺陷明细!$J$2:$J$50000,"验收测试")</f>
        <v>0</v>
      </c>
      <c r="W48" s="75">
        <f>COUNTIFS(缺陷明细!$A$2:$A$50000,$B$4,缺陷明细!$G$2:$G$50000,$C48,缺陷明细!$J$2:$J$50000,"验收测试",缺陷明细!$K$2:$K$50000,"致命",缺陷明细!$AB$2:$AB$50000,"&lt;&gt;丢弃",缺陷明细!$AB$2:$AB$50000,"&lt;&gt;设计如此",缺陷明细!$AB$2:$AB$50000,"&lt;&gt;重复Bug")+COUNTIFS(缺陷明细!$A$2:$A$50000,$B$4,缺陷明细!$G$2:$G$50000,$C48,缺陷明细!$J$2:$J$50000,"验收测试",缺陷明细!$K$2:$K$50000,"严重",缺陷明细!$AB$2:$AB$50000,"&lt;&gt;丢弃",缺陷明细!$AB$2:$AB$50000,"&lt;&gt;设计如此",缺陷明细!$AB$2:$AB$50000,"&lt;&gt;重复Bug")</f>
        <v>0</v>
      </c>
      <c r="X48" s="76">
        <f>COUNTIFS(缺陷明细!$A$2:$A$50000,$B$4,缺陷明细!$G$2:$G$50000,$C48,缺陷明细!$Q$2:$Q$50000,"已关闭",缺陷明细!$J$2:$J$50000,"验收测试",缺陷明细!$K$2:$K$50000,"致命")+COUNTIFS(缺陷明细!$A$2:$A$50000,$B$4,缺陷明细!$G$2:$G$50000,$C48,缺陷明细!$Q$2:$Q$50000,"已关闭",缺陷明细!$J$2:$J$50000,"验收测试",缺陷明细!$K$2:$K$50000,"严重")</f>
        <v>0</v>
      </c>
      <c r="Y48" s="70">
        <f>COUNTIFS(缺陷明细!$A$2:$A$50000,$B$4,缺陷明细!$G$2:$G$50000,$C48,缺陷明细!$J$2:$J$50000,"运维测试",缺陷明细!$AB$2:$AB$50000,"&lt;&gt;丢弃",缺陷明细!$AB$2:$AB$50000,"&lt;&gt;设计如此",缺陷明细!$AB$2:$AB$50000,"&lt;&gt;重复Bug")</f>
        <v>0</v>
      </c>
      <c r="Z48" s="71">
        <f>COUNTIFS(缺陷明细!$A$2:$A$50000,$B$4,缺陷明细!$G$2:$G$50000,$C48,缺陷明细!$Q$2:$Q$50000,"已关闭",缺陷明细!$J$2:$J$50000,"运维测试")</f>
        <v>0</v>
      </c>
      <c r="AA48" s="72">
        <f>COUNTIFS(缺陷明细!$A$2:$A$50000,$B$4,缺陷明细!$G$2:$G$50000,$C48,缺陷明细!$J$2:$J$50000,"运维测试",缺陷明细!$K$2:$K$50000,"致命",缺陷明细!$AB$2:$AB$50000,"&lt;&gt;丢弃",缺陷明细!$AB$2:$AB$50000,"&lt;&gt;设计如此",缺陷明细!$AB$2:$AB$50000,"&lt;&gt;重复Bug")+COUNTIFS(缺陷明细!$A$2:$A$50000,$B$4,缺陷明细!$G$2:$G$50000,$C48,缺陷明细!$J$2:$J$50000,"运维测试",缺陷明细!$K$2:$K$50000,"严重",缺陷明细!$AB$2:$AB$50000,"&lt;&gt;丢弃",缺陷明细!$AB$2:$AB$50000,"&lt;&gt;设计如此",缺陷明细!$AB$2:$AB$50000,"&lt;&gt;重复Bug")</f>
        <v>0</v>
      </c>
      <c r="AB48" s="73">
        <f>COUNTIFS(缺陷明细!$A$2:$A$50000,$B$4,缺陷明细!$G$2:$G$50000,$C48,缺陷明细!$Q$2:$Q$50000,"已关闭",缺陷明细!$J$2:$J$50000,"运维测试",缺陷明细!$K$2:$K$50000,"致命")+COUNTIFS(缺陷明细!$A$2:$A$50000,$B$4,缺陷明细!$G$2:$G$50000,$C48,缺陷明细!$Q$2:$Q$50000,"已关闭",缺陷明细!$J$2:$J$50000,"运维测试",缺陷明细!$K$2:$K$50000,"严重")</f>
        <v>0</v>
      </c>
      <c r="AC48" s="68">
        <f t="shared" si="0"/>
        <v>0</v>
      </c>
      <c r="AD48" s="60">
        <f t="shared" si="0"/>
        <v>0</v>
      </c>
      <c r="AE48" s="60">
        <f t="shared" si="1"/>
        <v>0</v>
      </c>
      <c r="AF48" s="60">
        <f t="shared" si="1"/>
        <v>0</v>
      </c>
      <c r="AG48" s="60">
        <f t="shared" si="2"/>
        <v>0</v>
      </c>
      <c r="AH48" s="60">
        <f t="shared" si="2"/>
        <v>0</v>
      </c>
      <c r="AI48" s="60">
        <f t="shared" si="3"/>
        <v>0</v>
      </c>
      <c r="AJ48" s="61">
        <f t="shared" si="3"/>
        <v>0</v>
      </c>
      <c r="AK48" s="144"/>
    </row>
    <row r="49" spans="1:37">
      <c r="A49">
        <v>45</v>
      </c>
      <c r="B49" s="57" t="s">
        <v>1590</v>
      </c>
      <c r="C49" s="58" t="s">
        <v>1672</v>
      </c>
      <c r="D49" s="84" t="s">
        <v>1675</v>
      </c>
      <c r="E49" s="82" t="s">
        <v>346</v>
      </c>
      <c r="F49" s="158"/>
      <c r="G49" s="159"/>
      <c r="H49" s="281">
        <f>COUNTIFS(缺陷明细!$A$2:$A$50000,$B$4,缺陷明细!$G$2:$G$50000,$C49,缺陷明细!$J$2:$J$50000,"评审",缺陷明细!$AB$2:$AB$50000,"&lt;&gt;丢弃",缺陷明细!$AB$2:$AB$50000,"&lt;&gt;设计如此",缺陷明细!$AB$2:$AB$50000,"&lt;&gt;重复Bug")</f>
        <v>0</v>
      </c>
      <c r="I49" s="154">
        <f>COUNTIFS(缺陷明细!$A$2:$A$50000,$B$4,缺陷明细!$G$2:$G$50000,$C49,缺陷明细!$Q$2:$Q$50000,"已关闭",缺陷明细!$J$2:$J$50000,"评审")</f>
        <v>0</v>
      </c>
      <c r="J49" s="154">
        <f>COUNTIFS(缺陷明细!$A$2:$A$50000,$B$4,缺陷明细!$G$2:$G$50000,$C49,缺陷明细!$J$2:$J$50000,"单元测试",缺陷明细!$AB$2:$AB$50000,"&lt;&gt;丢弃",缺陷明细!$AB$2:$AB$50000,"&lt;&gt;设计如此",缺陷明细!$AB$2:$AB$50000,"&lt;&gt;重复Bug")</f>
        <v>0</v>
      </c>
      <c r="K49" s="155">
        <f>COUNTIFS(缺陷明细!$A$2:$A$50000,$B$4,缺陷明细!$G$2:$G$50000,$C49,缺陷明细!$Q$2:$Q$50000,"已关闭",缺陷明细!$J$2:$J$50000,"单元测试")</f>
        <v>0</v>
      </c>
      <c r="L49" s="156">
        <v>3</v>
      </c>
      <c r="M49" s="157"/>
      <c r="N49" s="72">
        <f>COUNTIFS(缺陷明细!$A$2:$A$50000,$B$4,缺陷明细!$G$2:$G$50000,$C49,缺陷明细!$J$2:$J$50000,"系统测试案例评审",缺陷明细!$AB$2:$AB$50000,"&lt;&gt;丢弃",缺陷明细!$AB$2:$AB$50000,"&lt;&gt;设计如此",缺陷明细!$AB$2:$AB$50000,"&lt;&gt;重复Bug")</f>
        <v>0</v>
      </c>
      <c r="O49" s="72">
        <f>COUNTIFS(缺陷明细!$A$2:$A$50000,$B$4,缺陷明细!$G$2:$G$50000,$C49,缺陷明细!$Q$2:$Q$50000,"已关闭",缺陷明细!$J$2:$J$50000,"系统测试案例评审")</f>
        <v>0</v>
      </c>
      <c r="P49" s="72">
        <f>COUNTIFS(缺陷明细!$A$2:$A$50000,$B$4,缺陷明细!$G$2:$G$50000,$C49,缺陷明细!$J$2:$J$50000,"系统测试",缺陷明细!$AB$2:$AB$50000,"&lt;&gt;丢弃",缺陷明细!$AB$2:$AB$50000,"&lt;&gt;设计如此",缺陷明细!$AB$2:$AB$50000,"&lt;&gt;重复Bug")</f>
        <v>0</v>
      </c>
      <c r="Q49" s="72">
        <f>COUNTIFS(缺陷明细!$A$2:$A$50000,$B$4,缺陷明细!$G$2:$G$50000,$C49,缺陷明细!$Q$2:$Q$50000,"已关闭",缺陷明细!$J$2:$J$50000,"系统测试")</f>
        <v>0</v>
      </c>
      <c r="R49" s="296">
        <f>COUNTIFS(缺陷明细!$A$2:$A$50000,$B$4,缺陷明细!$G$2:$G$50000,$C49,缺陷明细!$AB$2:$AB$50000,"丢弃",缺陷明细!$J$2:$J$50000,"系统测试")+COUNTIFS(缺陷明细!$A$2:$A$50000,$B$4,缺陷明细!$G$2:$G$50000,$C49,缺陷明细!$AB$2:$AB$50000,"设计如此",缺陷明细!$J$2:$J$50000,"系统测试")+COUNTIFS(缺陷明细!$A$2:$A$50000,$B$4,缺陷明细!$G$2:$G$50000,$C49,缺陷明细!$AB$2:$AB$50000,"重复Bug",缺陷明细!$J$2:$J$50000,"系统测试")</f>
        <v>0</v>
      </c>
      <c r="S49" s="72">
        <f>COUNTIFS(缺陷明细!$A$2:$A$50000,$B$4,缺陷明细!$G$2:$G$50000,$C49,缺陷明细!$J$2:$J$50000,"系统测试",缺陷明细!$K$2:$K$50000,"致命",缺陷明细!$AB$2:$AB$50000,"&lt;&gt;丢弃",缺陷明细!$AB$2:$AB$50000,"&lt;&gt;设计如此",缺陷明细!$AB$2:$AB$50000,"&lt;&gt;重复Bug")+COUNTIFS(缺陷明细!$A$2:$A$50000,$B$4,缺陷明细!$G$2:$G$50000,$C49,缺陷明细!$J$2:$J$50000,"系统测试",缺陷明细!$K$2:$K$50000,"严重",缺陷明细!$AB$2:$AB$50000,"&lt;&gt;丢弃",缺陷明细!$AB$2:$AB$50000,"&lt;&gt;设计如此",缺陷明细!$AB$2:$AB$50000,"&lt;&gt;重复Bug")</f>
        <v>0</v>
      </c>
      <c r="T49" s="73">
        <f>COUNTIFS(缺陷明细!$A$2:$A$50000,$B$4,缺陷明细!$G$2:$G$50000,$C49,缺陷明细!$Q$2:$Q$50000,"已关闭",缺陷明细!$J$2:$J$50000,"系统测试",缺陷明细!$K$2:$K$50000,"致命")+COUNTIFS(缺陷明细!$A$2:$A$50000,$B$4,缺陷明细!$G$2:$G$50000,$C49,缺陷明细!$Q$2:$Q$50000,"已关闭",缺陷明细!$J$2:$J$50000,"系统测试",缺陷明细!$K$2:$K$50000,"严重")</f>
        <v>0</v>
      </c>
      <c r="U49" s="74">
        <f>COUNTIFS(缺陷明细!$A$2:$A$50000,$B$4,缺陷明细!$G$2:$G$50000,$C49,缺陷明细!$J$2:$J$50000,"验收测试",缺陷明细!$AB$2:$AB$50000,"&lt;&gt;丢弃",缺陷明细!$AB$2:$AB$50000,"&lt;&gt;设计如此",缺陷明细!$AB$2:$AB$50000,"&lt;&gt;重复Bug")</f>
        <v>0</v>
      </c>
      <c r="V49" s="75">
        <f>COUNTIFS(缺陷明细!$A$2:$A$50000,$B$4,缺陷明细!$G$2:$G$50000,$C49,缺陷明细!$Q$2:$Q$50000,"已关闭",缺陷明细!$J$2:$J$50000,"验收测试")</f>
        <v>0</v>
      </c>
      <c r="W49" s="75">
        <f>COUNTIFS(缺陷明细!$A$2:$A$50000,$B$4,缺陷明细!$G$2:$G$50000,$C49,缺陷明细!$J$2:$J$50000,"验收测试",缺陷明细!$K$2:$K$50000,"致命",缺陷明细!$AB$2:$AB$50000,"&lt;&gt;丢弃",缺陷明细!$AB$2:$AB$50000,"&lt;&gt;设计如此",缺陷明细!$AB$2:$AB$50000,"&lt;&gt;重复Bug")+COUNTIFS(缺陷明细!$A$2:$A$50000,$B$4,缺陷明细!$G$2:$G$50000,$C49,缺陷明细!$J$2:$J$50000,"验收测试",缺陷明细!$K$2:$K$50000,"严重",缺陷明细!$AB$2:$AB$50000,"&lt;&gt;丢弃",缺陷明细!$AB$2:$AB$50000,"&lt;&gt;设计如此",缺陷明细!$AB$2:$AB$50000,"&lt;&gt;重复Bug")</f>
        <v>0</v>
      </c>
      <c r="X49" s="76">
        <f>COUNTIFS(缺陷明细!$A$2:$A$50000,$B$4,缺陷明细!$G$2:$G$50000,$C49,缺陷明细!$Q$2:$Q$50000,"已关闭",缺陷明细!$J$2:$J$50000,"验收测试",缺陷明细!$K$2:$K$50000,"致命")+COUNTIFS(缺陷明细!$A$2:$A$50000,$B$4,缺陷明细!$G$2:$G$50000,$C49,缺陷明细!$Q$2:$Q$50000,"已关闭",缺陷明细!$J$2:$J$50000,"验收测试",缺陷明细!$K$2:$K$50000,"严重")</f>
        <v>0</v>
      </c>
      <c r="Y49" s="70">
        <f>COUNTIFS(缺陷明细!$A$2:$A$50000,$B$4,缺陷明细!$G$2:$G$50000,$C49,缺陷明细!$J$2:$J$50000,"运维测试",缺陷明细!$AB$2:$AB$50000,"&lt;&gt;丢弃",缺陷明细!$AB$2:$AB$50000,"&lt;&gt;设计如此",缺陷明细!$AB$2:$AB$50000,"&lt;&gt;重复Bug")</f>
        <v>0</v>
      </c>
      <c r="Z49" s="71">
        <f>COUNTIFS(缺陷明细!$A$2:$A$50000,$B$4,缺陷明细!$G$2:$G$50000,$C49,缺陷明细!$Q$2:$Q$50000,"已关闭",缺陷明细!$J$2:$J$50000,"运维测试")</f>
        <v>0</v>
      </c>
      <c r="AA49" s="72">
        <f>COUNTIFS(缺陷明细!$A$2:$A$50000,$B$4,缺陷明细!$G$2:$G$50000,$C49,缺陷明细!$J$2:$J$50000,"运维测试",缺陷明细!$K$2:$K$50000,"致命",缺陷明细!$AB$2:$AB$50000,"&lt;&gt;丢弃",缺陷明细!$AB$2:$AB$50000,"&lt;&gt;设计如此",缺陷明细!$AB$2:$AB$50000,"&lt;&gt;重复Bug")+COUNTIFS(缺陷明细!$A$2:$A$50000,$B$4,缺陷明细!$G$2:$G$50000,$C49,缺陷明细!$J$2:$J$50000,"运维测试",缺陷明细!$K$2:$K$50000,"严重",缺陷明细!$AB$2:$AB$50000,"&lt;&gt;丢弃",缺陷明细!$AB$2:$AB$50000,"&lt;&gt;设计如此",缺陷明细!$AB$2:$AB$50000,"&lt;&gt;重复Bug")</f>
        <v>0</v>
      </c>
      <c r="AB49" s="73">
        <f>COUNTIFS(缺陷明细!$A$2:$A$50000,$B$4,缺陷明细!$G$2:$G$50000,$C49,缺陷明细!$Q$2:$Q$50000,"已关闭",缺陷明细!$J$2:$J$50000,"运维测试",缺陷明细!$K$2:$K$50000,"致命")+COUNTIFS(缺陷明细!$A$2:$A$50000,$B$4,缺陷明细!$G$2:$G$50000,$C49,缺陷明细!$Q$2:$Q$50000,"已关闭",缺陷明细!$J$2:$J$50000,"运维测试",缺陷明细!$K$2:$K$50000,"严重")</f>
        <v>0</v>
      </c>
      <c r="AC49" s="68">
        <f t="shared" si="0"/>
        <v>0</v>
      </c>
      <c r="AD49" s="60">
        <f t="shared" si="0"/>
        <v>0</v>
      </c>
      <c r="AE49" s="60">
        <f t="shared" si="1"/>
        <v>0</v>
      </c>
      <c r="AF49" s="60">
        <f t="shared" si="1"/>
        <v>0</v>
      </c>
      <c r="AG49" s="60">
        <f t="shared" si="2"/>
        <v>0</v>
      </c>
      <c r="AH49" s="60">
        <f t="shared" si="2"/>
        <v>0</v>
      </c>
      <c r="AI49" s="60">
        <f t="shared" si="3"/>
        <v>0</v>
      </c>
      <c r="AJ49" s="61">
        <f t="shared" si="3"/>
        <v>0</v>
      </c>
      <c r="AK49" s="144"/>
    </row>
    <row r="50" spans="1:37">
      <c r="A50">
        <v>46</v>
      </c>
      <c r="B50" s="374" t="s">
        <v>2127</v>
      </c>
      <c r="C50" s="372" t="s">
        <v>2125</v>
      </c>
      <c r="D50" s="84"/>
      <c r="E50" s="82"/>
      <c r="F50" s="158"/>
      <c r="G50" s="159"/>
      <c r="H50" s="281">
        <f>COUNTIFS(缺陷明细!$A$2:$A$50000,$B$4,缺陷明细!F$2:$F$50000,$C50,缺陷明细!$J$2:$J$50000,"评审",缺陷明细!$AB$2:$AB$50000,"&lt;&gt;丢弃",缺陷明细!$AB$2:$AB$50000,"&lt;&gt;设计如此",缺陷明细!$AB$2:$AB$50000,"&lt;&gt;重复Bug")</f>
        <v>20</v>
      </c>
      <c r="I50" s="154">
        <f>COUNTIFS(缺陷明细!$A$2:$A$50000,$B$4,缺陷明细!$F$2:$F$50000,$C50,缺陷明细!$Q$2:$Q$50000,"已关闭",缺陷明细!$J$2:$J$50000,"评审")</f>
        <v>0</v>
      </c>
      <c r="J50" s="154">
        <f>COUNTIFS(缺陷明细!$A$2:$A$50000,$B$4,缺陷明细!$F$2:$F$50000,$C50,缺陷明细!$J$2:$J$50000,"单元测试",缺陷明细!$AB$2:$AB$50000,"&lt;&gt;丢弃",缺陷明细!$AB$2:$AB$50000,"&lt;&gt;设计如此",缺陷明细!$AB$2:$AB$50000,"&lt;&gt;重复Bug")</f>
        <v>0</v>
      </c>
      <c r="K50" s="155">
        <f>COUNTIFS(缺陷明细!$A$2:$A$50000,$B$4,缺陷明细!$F$2:$F$50000,$C50,缺陷明细!$Q$2:$Q$50000,"已关闭",缺陷明细!$J$2:$J$50000,"单元测试")</f>
        <v>0</v>
      </c>
      <c r="L50" s="156"/>
      <c r="M50" s="157"/>
      <c r="N50" s="72">
        <f>COUNTIFS(缺陷明细!$A$2:$A$50000,$B$4,缺陷明细!$F$2:$F$50000,$C50,缺陷明细!$J$2:$J$50000,"系统测试案例评审",缺陷明细!$AB$2:$AB$50000,"&lt;&gt;丢弃",缺陷明细!$AB$2:$AB$50000,"&lt;&gt;设计如此",缺陷明细!$AB$2:$AB$50000,"&lt;&gt;重复Bug")</f>
        <v>0</v>
      </c>
      <c r="O50" s="72">
        <f>COUNTIFS(缺陷明细!$A$2:$A$50000,$B$4,缺陷明细!$F$2:$F$50000,$C50,缺陷明细!$Q$2:$Q$50000,"已关闭",缺陷明细!$J$2:$J$50000,"系统测试案例评审")</f>
        <v>0</v>
      </c>
      <c r="P50" s="72">
        <f>COUNTIFS(缺陷明细!$A$2:$A$50000,$B$4,缺陷明细!$F$2:$F$50000,$C50,缺陷明细!$J$2:$J$50000,"系统测试",缺陷明细!$AB$2:$AB$50000,"&lt;&gt;丢弃",缺陷明细!$AB$2:$AB$50000,"&lt;&gt;设计如此",缺陷明细!$AB$2:$AB$50000,"&lt;&gt;重复Bug")</f>
        <v>109</v>
      </c>
      <c r="Q50" s="72">
        <f>COUNTIFS(缺陷明细!$A$2:$A$50000,$B$4,缺陷明细!$F$2:$F$50000,$C50,缺陷明细!$Q$2:$Q$50000,"已关闭",缺陷明细!$J$2:$J$50000,"系统测试")</f>
        <v>46</v>
      </c>
      <c r="R50" s="296">
        <f>COUNTIFS(缺陷明细!$A$2:$A$50000,$B$4,缺陷明细!$F$2:$F$50000,$C50,缺陷明细!$AB$2:$AB$50000,"丢弃",缺陷明细!$J$2:$J$50000,"系统测试")+COUNTIFS(缺陷明细!$A$2:$A$50000,$B$4,缺陷明细!$F$2:$F$50000,$C50,缺陷明细!$AB$2:$AB$50000,"设计如此",缺陷明细!$J$2:$J$50000,"系统测试")+COUNTIFS(缺陷明细!$A$2:$A$50000,$B$4,缺陷明细!$F$2:$F$50000,$C50,缺陷明细!$AB$2:$AB$50000,"重复Bug",缺陷明细!$J$2:$J$50000,"系统测试")</f>
        <v>2</v>
      </c>
      <c r="S50" s="72">
        <f>COUNTIFS(缺陷明细!$A$2:$A$50000,$B$4,缺陷明细!$F$2:$F$50000,$C50,缺陷明细!$J$2:$J$50000,"系统测试",缺陷明细!$K$2:$K$50000,"致命",缺陷明细!$AB$2:$AB$50000,"&lt;&gt;丢弃",缺陷明细!$AB$2:$AB$50000,"&lt;&gt;设计如此",缺陷明细!$AB$2:$AB$50000,"&lt;&gt;重复Bug")+COUNTIFS(缺陷明细!$A$2:$A$50000,$B$4,缺陷明细!$F$2:$F$50000,$C50,缺陷明细!$J$2:$J$50000,"系统测试",缺陷明细!$K$2:$K$50000,"严重",缺陷明细!$AB$2:$AB$50000,"&lt;&gt;丢弃",缺陷明细!$AB$2:$AB$50000,"&lt;&gt;设计如此",缺陷明细!$AB$2:$AB$50000,"&lt;&gt;重复Bug")</f>
        <v>18</v>
      </c>
      <c r="T50" s="73">
        <f>COUNTIFS(缺陷明细!$A$2:$A$50000,$B$4,缺陷明细!$F$2:$F$50000,$C50,缺陷明细!$Q$2:$Q$50000,"已关闭",缺陷明细!$J$2:$J$50000,"系统测试",缺陷明细!$K$2:$K$50000,"致命")+COUNTIFS(缺陷明细!$A$2:$A$50000,$B$4,缺陷明细!$F$2:$F$50000,$C50,缺陷明细!$Q$2:$Q$50000,"已关闭",缺陷明细!$J$2:$J$50000,"系统测试",缺陷明细!$K$2:$K$50000,"严重")</f>
        <v>4</v>
      </c>
      <c r="U50" s="74">
        <f>COUNTIFS(缺陷明细!$A$2:$A$50000,$B$4,缺陷明细!$F$2:$F$50000,$C50,缺陷明细!$J$2:$J$50000,"验收测试",缺陷明细!$AB$2:$AB$50000,"&lt;&gt;丢弃",缺陷明细!$AB$2:$AB$50000,"&lt;&gt;设计如此",缺陷明细!$AB$2:$AB$50000,"&lt;&gt;重复Bug")</f>
        <v>0</v>
      </c>
      <c r="V50" s="75">
        <f>COUNTIFS(缺陷明细!$A$2:$A$50000,$B$4,缺陷明细!$F$2:$F$50000,$C50,缺陷明细!$Q$2:$Q$50000,"已关闭",缺陷明细!$J$2:$J$50000,"验收测试")</f>
        <v>0</v>
      </c>
      <c r="W50" s="75">
        <f>COUNTIFS(缺陷明细!$A$2:$A$50000,$B$4,缺陷明细!$F$2:$F$50000,$C50,缺陷明细!$J$2:$J$50000,"验收测试",缺陷明细!$K$2:$K$50000,"致命",缺陷明细!$AB$2:$AB$50000,"&lt;&gt;丢弃",缺陷明细!$AB$2:$AB$50000,"&lt;&gt;设计如此",缺陷明细!$AB$2:$AB$50000,"&lt;&gt;重复Bug")+COUNTIFS(缺陷明细!$A$2:$A$50000,$B$4,缺陷明细!$F$2:$F$50000,$C50,缺陷明细!$J$2:$J$50000,"验收测试",缺陷明细!$K$2:$K$50000,"严重",缺陷明细!$AB$2:$AB$50000,"&lt;&gt;丢弃",缺陷明细!$AB$2:$AB$50000,"&lt;&gt;设计如此",缺陷明细!$AB$2:$AB$50000,"&lt;&gt;重复Bug")</f>
        <v>0</v>
      </c>
      <c r="X50" s="76">
        <f>COUNTIFS(缺陷明细!$A$2:$A$50000,$B$4,缺陷明细!$F$2:$F$50000,$C50,缺陷明细!$Q$2:$Q$50000,"已关闭",缺陷明细!$J$2:$J$50000,"验收测试",缺陷明细!$K$2:$K$50000,"致命")+COUNTIFS(缺陷明细!$A$2:$A$50000,$B$4,缺陷明细!$F$2:$F$50000,$C50,缺陷明细!$Q$2:$Q$50000,"已关闭",缺陷明细!$J$2:$J$50000,"验收测试",缺陷明细!$K$2:$K$50000,"严重")</f>
        <v>0</v>
      </c>
      <c r="Y50" s="70">
        <f>COUNTIFS(缺陷明细!$A$2:$A$50000,$B$4,缺陷明细!$F$2:$F$50000,$C50,缺陷明细!$J$2:$J$50000,"运维测试",缺陷明细!$AB$2:$AB$50000,"&lt;&gt;丢弃",缺陷明细!$AB$2:$AB$50000,"&lt;&gt;设计如此",缺陷明细!$AB$2:$AB$50000,"&lt;&gt;重复Bug")</f>
        <v>0</v>
      </c>
      <c r="Z50" s="71">
        <f>COUNTIFS(缺陷明细!$A$2:$A$50000,$B$4,缺陷明细!$F$2:$F$50000,$C50,缺陷明细!$Q$2:$Q$50000,"已关闭",缺陷明细!$J$2:$J$50000,"运维测试")</f>
        <v>0</v>
      </c>
      <c r="AA50" s="72">
        <f>COUNTIFS(缺陷明细!$A$2:$A$50000,$B$4,缺陷明细!$F$2:$F$50000,$C50,缺陷明细!$J$2:$J$50000,"运维测试",缺陷明细!$K$2:$K$50000,"致命",缺陷明细!$AB$2:$AB$50000,"&lt;&gt;丢弃",缺陷明细!$AB$2:$AB$50000,"&lt;&gt;设计如此",缺陷明细!$AB$2:$AB$50000,"&lt;&gt;重复Bug")+COUNTIFS(缺陷明细!$A$2:$A$50000,$B$4,缺陷明细!$F$2:$F$50000,$C50,缺陷明细!$J$2:$J$50000,"运维测试",缺陷明细!$K$2:$K$50000,"严重",缺陷明细!$AB$2:$AB$50000,"&lt;&gt;丢弃",缺陷明细!$AB$2:$AB$50000,"&lt;&gt;设计如此",缺陷明细!$AB$2:$AB$50000,"&lt;&gt;重复Bug")</f>
        <v>0</v>
      </c>
      <c r="AB50" s="73">
        <f>COUNTIFS(缺陷明细!$A$2:$A$50000,$B$4,缺陷明细!$F$2:$F$50000,$C50,缺陷明细!$Q$2:$Q$50000,"已关闭",缺陷明细!$J$2:$J$50000,"运维测试",缺陷明细!$K$2:$K$50000,"致命")+COUNTIFS(缺陷明细!$A$2:$A$50000,$B$4,缺陷明细!$F$2:$F$50000,$C50,缺陷明细!$Q$2:$Q$50000,"已关闭",缺陷明细!$J$2:$J$50000,"运维测试",缺陷明细!$K$2:$K$50000,"严重")</f>
        <v>0</v>
      </c>
      <c r="AC50" s="68">
        <f t="shared" si="0"/>
        <v>20</v>
      </c>
      <c r="AD50" s="60">
        <f t="shared" si="0"/>
        <v>0</v>
      </c>
      <c r="AE50" s="60">
        <f t="shared" si="1"/>
        <v>20</v>
      </c>
      <c r="AF50" s="60">
        <f t="shared" si="1"/>
        <v>0</v>
      </c>
      <c r="AG50" s="60">
        <f t="shared" si="2"/>
        <v>129</v>
      </c>
      <c r="AH50" s="60">
        <f t="shared" si="2"/>
        <v>46</v>
      </c>
      <c r="AI50" s="60">
        <f t="shared" si="3"/>
        <v>0</v>
      </c>
      <c r="AJ50" s="61">
        <f t="shared" si="3"/>
        <v>0</v>
      </c>
      <c r="AK50" s="144"/>
    </row>
    <row r="51" spans="1:37">
      <c r="B51" s="417" t="s">
        <v>223</v>
      </c>
      <c r="C51" s="418"/>
      <c r="D51" s="135">
        <f>COUNTA(D5:D50)</f>
        <v>45</v>
      </c>
      <c r="E51" s="135">
        <f>COUNTIF(E2:E50,"是")</f>
        <v>45</v>
      </c>
      <c r="F51" s="135">
        <f>SUMIFS(F5:F495,$E$5:$E$495,"是")</f>
        <v>0</v>
      </c>
      <c r="G51" s="135">
        <f>SUMIFS(G5:G495,$E$5:$E$495,"是")</f>
        <v>0</v>
      </c>
      <c r="H51" s="135">
        <f>H50</f>
        <v>20</v>
      </c>
      <c r="I51" s="135">
        <f t="shared" ref="I51:K51" si="4">I50</f>
        <v>0</v>
      </c>
      <c r="J51" s="135">
        <f t="shared" si="4"/>
        <v>0</v>
      </c>
      <c r="K51" s="135">
        <f t="shared" si="4"/>
        <v>0</v>
      </c>
      <c r="L51" s="135">
        <f>SUMIFS(L5:L495,$E$5:$E$495,"是")</f>
        <v>160</v>
      </c>
      <c r="M51" s="135">
        <f>SUMIFS(M5:M495,$E$5:$E$495,"是")</f>
        <v>0</v>
      </c>
      <c r="N51" s="373">
        <f>N50</f>
        <v>0</v>
      </c>
      <c r="O51" s="373">
        <f t="shared" ref="O51:AB51" si="5">O50</f>
        <v>0</v>
      </c>
      <c r="P51" s="373">
        <f t="shared" si="5"/>
        <v>109</v>
      </c>
      <c r="Q51" s="373">
        <f t="shared" si="5"/>
        <v>46</v>
      </c>
      <c r="R51" s="373">
        <f t="shared" si="5"/>
        <v>2</v>
      </c>
      <c r="S51" s="373">
        <f t="shared" si="5"/>
        <v>18</v>
      </c>
      <c r="T51" s="373">
        <f t="shared" si="5"/>
        <v>4</v>
      </c>
      <c r="U51" s="373">
        <f t="shared" si="5"/>
        <v>0</v>
      </c>
      <c r="V51" s="373">
        <f t="shared" si="5"/>
        <v>0</v>
      </c>
      <c r="W51" s="373">
        <f t="shared" si="5"/>
        <v>0</v>
      </c>
      <c r="X51" s="373">
        <f t="shared" si="5"/>
        <v>0</v>
      </c>
      <c r="Y51" s="373">
        <f t="shared" si="5"/>
        <v>0</v>
      </c>
      <c r="Z51" s="373">
        <f t="shared" si="5"/>
        <v>0</v>
      </c>
      <c r="AA51" s="373">
        <f t="shared" si="5"/>
        <v>0</v>
      </c>
      <c r="AB51" s="373">
        <f t="shared" si="5"/>
        <v>0</v>
      </c>
      <c r="AC51" s="373">
        <f t="shared" ref="AC51" si="6">AC50</f>
        <v>20</v>
      </c>
      <c r="AD51" s="373">
        <f t="shared" ref="AD51" si="7">AD50</f>
        <v>0</v>
      </c>
      <c r="AE51" s="373">
        <f t="shared" ref="AE51" si="8">AE50</f>
        <v>20</v>
      </c>
      <c r="AF51" s="373">
        <f t="shared" ref="AF51" si="9">AF50</f>
        <v>0</v>
      </c>
      <c r="AG51" s="373">
        <f t="shared" ref="AG51" si="10">AG50</f>
        <v>129</v>
      </c>
      <c r="AH51" s="373">
        <f t="shared" ref="AH51" si="11">AH50</f>
        <v>46</v>
      </c>
      <c r="AI51" s="373">
        <f t="shared" ref="AI51" si="12">AI50</f>
        <v>0</v>
      </c>
      <c r="AJ51" s="373">
        <f t="shared" ref="AJ51" si="13">AJ50</f>
        <v>0</v>
      </c>
      <c r="AK51" s="30"/>
    </row>
    <row r="52" spans="1:37">
      <c r="C52" s="146"/>
      <c r="D52" s="147"/>
      <c r="E52" s="136"/>
      <c r="F52" s="136"/>
      <c r="G52" s="136"/>
      <c r="H52" s="137"/>
      <c r="I52" s="137"/>
      <c r="J52" s="137"/>
      <c r="K52" s="137"/>
      <c r="L52" s="137"/>
      <c r="M52" s="137"/>
      <c r="N52" s="137"/>
      <c r="O52" s="137"/>
      <c r="P52" s="137"/>
      <c r="Q52" s="137"/>
      <c r="R52" s="137"/>
      <c r="S52" s="137"/>
      <c r="T52" s="137"/>
      <c r="U52" s="137"/>
      <c r="V52" s="137"/>
      <c r="W52" s="137"/>
      <c r="X52" s="137"/>
      <c r="Y52" s="137"/>
      <c r="Z52" s="137"/>
      <c r="AA52" s="137"/>
      <c r="AB52" s="137"/>
      <c r="AC52" s="137"/>
      <c r="AD52" s="137"/>
      <c r="AE52" s="137"/>
      <c r="AF52" s="137"/>
      <c r="AG52" s="137"/>
      <c r="AH52" s="137"/>
      <c r="AI52" s="137"/>
      <c r="AJ52" s="137"/>
    </row>
    <row r="54" spans="1:37">
      <c r="F54" s="95"/>
    </row>
  </sheetData>
  <mergeCells count="13">
    <mergeCell ref="B51:C51"/>
    <mergeCell ref="B2:B3"/>
    <mergeCell ref="C2:C3"/>
    <mergeCell ref="D2:D3"/>
    <mergeCell ref="E2:E3"/>
    <mergeCell ref="AC2:AJ2"/>
    <mergeCell ref="AK2:AK3"/>
    <mergeCell ref="U2:X2"/>
    <mergeCell ref="H1:AB1"/>
    <mergeCell ref="F2:G2"/>
    <mergeCell ref="H2:K2"/>
    <mergeCell ref="L2:T2"/>
    <mergeCell ref="Y2:AB2"/>
  </mergeCells>
  <phoneticPr fontId="13" type="noConversion"/>
  <dataValidations count="1">
    <dataValidation type="list" allowBlank="1" showInputMessage="1" showErrorMessage="1" sqref="E5:E50">
      <formula1>"是,否"</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00FF"/>
  </sheetPr>
  <dimension ref="A1:AK59"/>
  <sheetViews>
    <sheetView workbookViewId="0">
      <selection activeCell="M14" sqref="M14"/>
    </sheetView>
  </sheetViews>
  <sheetFormatPr defaultColWidth="9" defaultRowHeight="12.75"/>
  <cols>
    <col min="1" max="1" width="5.140625" customWidth="1"/>
    <col min="3" max="3" width="29.28515625" customWidth="1"/>
    <col min="4" max="4" width="6.28515625" customWidth="1"/>
    <col min="5" max="5" width="5.85546875" style="38" customWidth="1"/>
    <col min="6" max="7" width="5.7109375" style="38" customWidth="1"/>
    <col min="8" max="36" width="5.7109375" customWidth="1"/>
    <col min="37" max="37" width="20" customWidth="1"/>
    <col min="38" max="38" width="8.140625" customWidth="1"/>
  </cols>
  <sheetData>
    <row r="1" spans="1:37" ht="13.5" customHeight="1" thickBot="1">
      <c r="A1" s="29"/>
      <c r="B1" s="259" t="s">
        <v>61</v>
      </c>
      <c r="C1" s="259"/>
      <c r="D1" s="259"/>
      <c r="E1" s="259"/>
      <c r="F1" s="260"/>
      <c r="G1" s="260"/>
      <c r="H1" s="402" t="s">
        <v>63</v>
      </c>
      <c r="I1" s="402"/>
      <c r="J1" s="402"/>
      <c r="K1" s="402"/>
      <c r="L1" s="402"/>
      <c r="M1" s="402"/>
      <c r="N1" s="402"/>
      <c r="O1" s="402"/>
      <c r="P1" s="402"/>
      <c r="Q1" s="402"/>
      <c r="R1" s="402"/>
      <c r="S1" s="402"/>
      <c r="T1" s="402"/>
      <c r="U1" s="402"/>
      <c r="V1" s="402"/>
      <c r="W1" s="402"/>
      <c r="X1" s="402"/>
      <c r="Y1" s="402"/>
      <c r="Z1" s="402"/>
      <c r="AA1" s="402"/>
      <c r="AB1" s="402"/>
      <c r="AC1" s="138"/>
      <c r="AD1" s="138"/>
      <c r="AE1" s="138"/>
      <c r="AF1" s="138"/>
      <c r="AG1" s="138"/>
      <c r="AH1" s="138"/>
      <c r="AI1" s="138"/>
      <c r="AJ1" s="139"/>
      <c r="AK1" s="148"/>
    </row>
    <row r="2" spans="1:37" ht="12.75" customHeight="1" thickBot="1">
      <c r="B2" s="419" t="s">
        <v>195</v>
      </c>
      <c r="C2" s="403" t="s">
        <v>60</v>
      </c>
      <c r="D2" s="405" t="s">
        <v>104</v>
      </c>
      <c r="E2" s="421" t="s">
        <v>196</v>
      </c>
      <c r="F2" s="403" t="s">
        <v>197</v>
      </c>
      <c r="G2" s="404"/>
      <c r="H2" s="423" t="s">
        <v>224</v>
      </c>
      <c r="I2" s="423"/>
      <c r="J2" s="423"/>
      <c r="K2" s="423"/>
      <c r="L2" s="424" t="s">
        <v>198</v>
      </c>
      <c r="M2" s="425"/>
      <c r="N2" s="425"/>
      <c r="O2" s="425"/>
      <c r="P2" s="425"/>
      <c r="Q2" s="425"/>
      <c r="R2" s="425"/>
      <c r="S2" s="425"/>
      <c r="T2" s="426"/>
      <c r="U2" s="415" t="s">
        <v>44</v>
      </c>
      <c r="V2" s="416"/>
      <c r="W2" s="416"/>
      <c r="X2" s="416"/>
      <c r="Y2" s="408" t="s">
        <v>64</v>
      </c>
      <c r="Z2" s="409"/>
      <c r="AA2" s="409"/>
      <c r="AB2" s="409"/>
      <c r="AC2" s="410" t="s">
        <v>2</v>
      </c>
      <c r="AD2" s="411"/>
      <c r="AE2" s="411"/>
      <c r="AF2" s="411"/>
      <c r="AG2" s="411"/>
      <c r="AH2" s="411"/>
      <c r="AI2" s="411"/>
      <c r="AJ2" s="412"/>
      <c r="AK2" s="413" t="s">
        <v>4</v>
      </c>
    </row>
    <row r="3" spans="1:37" ht="84.75" thickBot="1">
      <c r="B3" s="420"/>
      <c r="C3" s="407"/>
      <c r="D3" s="406"/>
      <c r="E3" s="422"/>
      <c r="F3" s="261" t="s">
        <v>284</v>
      </c>
      <c r="G3" s="262" t="s">
        <v>285</v>
      </c>
      <c r="H3" s="34" t="s">
        <v>105</v>
      </c>
      <c r="I3" s="34" t="s">
        <v>106</v>
      </c>
      <c r="J3" s="34" t="s">
        <v>107</v>
      </c>
      <c r="K3" s="34" t="s">
        <v>108</v>
      </c>
      <c r="L3" s="33" t="s">
        <v>200</v>
      </c>
      <c r="M3" s="34" t="s">
        <v>201</v>
      </c>
      <c r="N3" s="31" t="s">
        <v>45</v>
      </c>
      <c r="O3" s="31" t="s">
        <v>46</v>
      </c>
      <c r="P3" s="31" t="s">
        <v>34</v>
      </c>
      <c r="Q3" s="31" t="s">
        <v>36</v>
      </c>
      <c r="R3" s="31" t="s">
        <v>293</v>
      </c>
      <c r="S3" s="31" t="s">
        <v>35</v>
      </c>
      <c r="T3" s="32" t="s">
        <v>37</v>
      </c>
      <c r="U3" s="99" t="s">
        <v>125</v>
      </c>
      <c r="V3" s="35" t="s">
        <v>126</v>
      </c>
      <c r="W3" s="35" t="s">
        <v>202</v>
      </c>
      <c r="X3" s="35" t="s">
        <v>127</v>
      </c>
      <c r="Y3" s="99" t="s">
        <v>65</v>
      </c>
      <c r="Z3" s="35" t="s">
        <v>66</v>
      </c>
      <c r="AA3" s="35" t="s">
        <v>67</v>
      </c>
      <c r="AB3" s="36" t="s">
        <v>204</v>
      </c>
      <c r="AC3" s="33" t="s">
        <v>38</v>
      </c>
      <c r="AD3" s="31" t="s">
        <v>39</v>
      </c>
      <c r="AE3" s="31" t="s">
        <v>40</v>
      </c>
      <c r="AF3" s="31" t="s">
        <v>41</v>
      </c>
      <c r="AG3" s="31" t="s">
        <v>128</v>
      </c>
      <c r="AH3" s="31" t="s">
        <v>130</v>
      </c>
      <c r="AI3" s="31" t="s">
        <v>131</v>
      </c>
      <c r="AJ3" s="32" t="s">
        <v>129</v>
      </c>
      <c r="AK3" s="414"/>
    </row>
    <row r="4" spans="1:37" ht="13.5" thickBot="1">
      <c r="B4" s="96" t="s">
        <v>265</v>
      </c>
      <c r="C4" s="80" t="s">
        <v>221</v>
      </c>
      <c r="D4" s="134"/>
      <c r="E4" s="130"/>
      <c r="F4" s="100"/>
      <c r="G4" s="81"/>
      <c r="H4" s="69"/>
      <c r="I4" s="63"/>
      <c r="J4" s="63"/>
      <c r="K4" s="64"/>
      <c r="L4" s="77"/>
      <c r="M4" s="101"/>
      <c r="N4" s="63"/>
      <c r="O4" s="63"/>
      <c r="P4" s="63"/>
      <c r="Q4" s="63"/>
      <c r="R4" s="63"/>
      <c r="S4" s="63"/>
      <c r="T4" s="64"/>
      <c r="U4" s="62"/>
      <c r="V4" s="63"/>
      <c r="W4" s="63"/>
      <c r="X4" s="64"/>
      <c r="Y4" s="62"/>
      <c r="Z4" s="63"/>
      <c r="AA4" s="63"/>
      <c r="AB4" s="64"/>
      <c r="AC4" s="69"/>
      <c r="AD4" s="63"/>
      <c r="AE4" s="63"/>
      <c r="AF4" s="63"/>
      <c r="AG4" s="63"/>
      <c r="AH4" s="63"/>
      <c r="AI4" s="63"/>
      <c r="AJ4" s="64"/>
      <c r="AK4" s="142"/>
    </row>
    <row r="5" spans="1:37">
      <c r="A5">
        <v>1</v>
      </c>
      <c r="B5" s="78"/>
      <c r="C5" s="79"/>
      <c r="D5" s="82"/>
      <c r="E5" s="82"/>
      <c r="F5" s="152"/>
      <c r="G5" s="153"/>
      <c r="H5" s="271">
        <f>COUNTIFS(缺陷明细!$A$2:$A$50000,$B$4,缺陷明细!$G$2:$G$50000,$C5,缺陷明细!$J$2:$J$50000,"评审",缺陷明细!$AB$2:$AB$50000,"&lt;&gt;丢弃",缺陷明细!$AB$2:$AB$50000,"&lt;&gt;设计如此",缺陷明细!$AB$2:$AB$50000,"&lt;&gt;重复Bug")</f>
        <v>0</v>
      </c>
      <c r="I5" s="272">
        <f>COUNTIFS(缺陷明细!$A$2:$A$50000,$B$4,缺陷明细!$G$2:$G$50000,$C5,缺陷明细!$Q$2:$Q$50000,"已关闭",缺陷明细!$J$2:$J$50000,"评审")</f>
        <v>0</v>
      </c>
      <c r="J5" s="272">
        <f>COUNTIFS(缺陷明细!$A$2:$A$50000,$B$4,缺陷明细!$G$2:$G$50000,$C5,缺陷明细!$J$2:$J$50000,"单元测试",缺陷明细!$AB$2:$AB$50000,"&lt;&gt;丢弃",缺陷明细!$AB$2:$AB$50000,"&lt;&gt;设计如此",缺陷明细!$AB$2:$AB$50000,"&lt;&gt;重复Bug")</f>
        <v>0</v>
      </c>
      <c r="K5" s="273">
        <f>COUNTIFS(缺陷明细!$A$2:$A$50000,$B$4,缺陷明细!$G$2:$G$50000,$C5,缺陷明细!$Q$2:$Q$50000,"已关闭",缺陷明细!$J$2:$J$50000,"单元测试")</f>
        <v>0</v>
      </c>
      <c r="L5" s="156"/>
      <c r="M5" s="157"/>
      <c r="N5" s="72">
        <f>COUNTIFS(缺陷明细!$A$2:$A$50000,$B$4,缺陷明细!$G$2:$G$50000,$C5,缺陷明细!$J$2:$J$50000,"系统测试案例评审",缺陷明细!$AB$2:$AB$50000,"&lt;&gt;丢弃",缺陷明细!$AB$2:$AB$50000,"&lt;&gt;设计如此",缺陷明细!$AB$2:$AB$50000,"&lt;&gt;重复Bug")</f>
        <v>0</v>
      </c>
      <c r="O5" s="72">
        <f>COUNTIFS(缺陷明细!$A$2:$A$50000,$B$4,缺陷明细!$G$2:$G$50000,$C5,缺陷明细!$Q$2:$Q$50000,"已关闭",缺陷明细!$J$2:$J$50000,"系统测试案例评审")</f>
        <v>0</v>
      </c>
      <c r="P5" s="72">
        <f>COUNTIFS(缺陷明细!$A$2:$A$50000,$B$4,缺陷明细!$G$2:$G$50000,$C5,缺陷明细!$J$2:$J$50000,"系统测试",缺陷明细!$AB$2:$AB$50000,"&lt;&gt;丢弃",缺陷明细!$AB$2:$AB$50000,"&lt;&gt;设计如此",缺陷明细!$AB$2:$AB$50000,"&lt;&gt;重复Bug")</f>
        <v>0</v>
      </c>
      <c r="Q5" s="72">
        <f>COUNTIFS(缺陷明细!$A$2:$A$50000,$B$4,缺陷明细!$G$2:$G$50000,$C5,缺陷明细!$Q$2:$Q$50000,"已关闭",缺陷明细!$J$2:$J$50000,"系统测试")</f>
        <v>0</v>
      </c>
      <c r="R5" s="72">
        <f>COUNTIFS(缺陷明细!$A$2:$A$50000,$B$4,缺陷明细!$G$2:$G$50000,$C5,缺陷明细!$AB$2:$AB$50000,"丢弃",缺陷明细!$J$2:$J$50000,"系统测试")+COUNTIFS(缺陷明细!$A$2:$A$50000,$B$4,缺陷明细!$G$2:$G$50000,$C5,缺陷明细!$AB$2:$AB$50000,"设计如此",缺陷明细!$J$2:$J$50000,"系统测试")+COUNTIFS(缺陷明细!$A$2:$A$50000,$B$4,缺陷明细!$G$2:$G$50000,$C5,缺陷明细!$AB$2:$AB$50000,"重复Bug",缺陷明细!$J$2:$J$50000,"系统测试")</f>
        <v>0</v>
      </c>
      <c r="S5" s="72">
        <f>COUNTIFS(缺陷明细!$A$2:$A$50000,$B$4,缺陷明细!$G$2:$G$50000,$C5,缺陷明细!$J$2:$J$50000,"系统测试",缺陷明细!$K$2:$K$50000,"致命",缺陷明细!$AB$2:$AB$50000,"&lt;&gt;丢弃",缺陷明细!$AB$2:$AB$50000,"&lt;&gt;设计如此",缺陷明细!$AB$2:$AB$50000,"&lt;&gt;重复Bug")+COUNTIFS(缺陷明细!$A$2:$A$50000,$B$4,缺陷明细!$G$2:$G$50000,$C5,缺陷明细!$J$2:$J$50000,"系统测试",缺陷明细!$K$2:$K$50000,"严重",缺陷明细!$AB$2:$AB$50000,"&lt;&gt;丢弃",缺陷明细!$AB$2:$AB$50000,"&lt;&gt;设计如此",缺陷明细!$AB$2:$AB$50000,"&lt;&gt;重复Bug")</f>
        <v>0</v>
      </c>
      <c r="T5" s="73">
        <f>COUNTIFS(缺陷明细!$A$2:$A$50000,$B$4,缺陷明细!$G$2:$G$50000,$C5,缺陷明细!$Q$2:$Q$50000,"已关闭",缺陷明细!$J$2:$J$50000,"系统测试",缺陷明细!$K$2:$K$50000,"致命")+COUNTIFS(缺陷明细!$A$2:$A$50000,$B$4,缺陷明细!$G$2:$G$50000,$C5,缺陷明细!$Q$2:$Q$50000,"已关闭",缺陷明细!$J$2:$J$50000,"系统测试",缺陷明细!$K$2:$K$50000,"严重")</f>
        <v>0</v>
      </c>
      <c r="U5" s="276">
        <f>COUNTIFS(缺陷明细!$A$2:$A$50000,$B$4,缺陷明细!$G$2:$G$50000,$C5,缺陷明细!$J$2:$J$50000,"验收测试",缺陷明细!$AB$2:$AB$50000,"&lt;&gt;丢弃",缺陷明细!$AB$2:$AB$50000,"&lt;&gt;设计如此",缺陷明细!$AB$2:$AB$50000,"&lt;&gt;重复Bug")</f>
        <v>0</v>
      </c>
      <c r="V5" s="277">
        <f>COUNTIFS(缺陷明细!$A$2:$A$50000,$B$4,缺陷明细!$G$2:$G$50000,$C5,缺陷明细!$Q$2:$Q$50000,"已关闭",缺陷明细!$J$2:$J$50000,"验收测试")</f>
        <v>0</v>
      </c>
      <c r="W5" s="277">
        <f>COUNTIFS(缺陷明细!$A$2:$A$50000,$B$4,缺陷明细!$G$2:$G$50000,$C5,缺陷明细!$J$2:$J$50000,"验收测试",缺陷明细!$K$2:$K$50000,"致命",缺陷明细!$AB$2:$AB$50000,"&lt;&gt;丢弃",缺陷明细!$AB$2:$AB$50000,"&lt;&gt;设计如此",缺陷明细!$AB$2:$AB$50000,"&lt;&gt;重复Bug")+COUNTIFS(缺陷明细!$A$2:$A$50000,$B$4,缺陷明细!$G$2:$G$50000,$C5,缺陷明细!$J$2:$J$50000,"验收测试",缺陷明细!$K$2:$K$50000,"严重",缺陷明细!$AB$2:$AB$50000,"&lt;&gt;丢弃",缺陷明细!$AB$2:$AB$50000,"&lt;&gt;设计如此",缺陷明细!$AB$2:$AB$50000,"&lt;&gt;重复Bug")</f>
        <v>0</v>
      </c>
      <c r="X5" s="278">
        <f>COUNTIFS(缺陷明细!$A$2:$A$50000,$B$4,缺陷明细!$G$2:$G$50000,$C5,缺陷明细!$Q$2:$Q$50000,"已关闭",缺陷明细!$J$2:$J$50000,"验收测试",缺陷明细!$K$2:$K$50000,"致命")+COUNTIFS(缺陷明细!$A$2:$A$50000,$B$4,缺陷明细!$G$2:$G$50000,$C5,缺陷明细!$Q$2:$Q$50000,"已关闭",缺陷明细!$J$2:$J$50000,"验收测试",缺陷明细!$K$2:$K$50000,"严重")</f>
        <v>0</v>
      </c>
      <c r="Y5" s="279">
        <f>COUNTIFS(缺陷明细!$A$2:$A$50000,$B$4,缺陷明细!$G$2:$G$50000,$C5,缺陷明细!$J$2:$J$50000,"运维测试",缺陷明细!$AB$2:$AB$50000,"&lt;&gt;丢弃",缺陷明细!$AB$2:$AB$50000,"&lt;&gt;设计如此",缺陷明细!$AB$2:$AB$50000,"&lt;&gt;重复Bug")</f>
        <v>0</v>
      </c>
      <c r="Z5" s="280">
        <f>COUNTIFS(缺陷明细!$A$2:$A$50000,$B$4,缺陷明细!$G$2:$G$50000,$C5,缺陷明细!$Q$2:$Q$50000,"已关闭",缺陷明细!$J$2:$J$50000,"运维测试")</f>
        <v>0</v>
      </c>
      <c r="AA5" s="274">
        <f>COUNTIFS(缺陷明细!$A$2:$A$50000,$B$4,缺陷明细!$G$2:$G$50000,$C5,缺陷明细!$J$2:$J$50000,"运维测试",缺陷明细!$K$2:$K$50000,"致命",缺陷明细!$AB$2:$AB$50000,"&lt;&gt;丢弃",缺陷明细!$AB$2:$AB$50000,"&lt;&gt;设计如此",缺陷明细!$AB$2:$AB$50000,"&lt;&gt;重复Bug")+COUNTIFS(缺陷明细!$A$2:$A$50000,$B$4,缺陷明细!$G$2:$G$50000,$C5,缺陷明细!$J$2:$J$50000,"运维测试",缺陷明细!$K$2:$K$50000,"严重",缺陷明细!$AB$2:$AB$50000,"&lt;&gt;丢弃",缺陷明细!$AB$2:$AB$50000,"&lt;&gt;设计如此",缺陷明细!$AB$2:$AB$50000,"&lt;&gt;重复Bug")</f>
        <v>0</v>
      </c>
      <c r="AB5" s="275">
        <f>COUNTIFS(缺陷明细!$A$2:$A$50000,$B$4,缺陷明细!$G$2:$G$50000,$C5,缺陷明细!$Q$2:$Q$50000,"已关闭",缺陷明细!$J$2:$J$50000,"运维测试",缺陷明细!$K$2:$K$50000,"致命")+COUNTIFS(缺陷明细!$A$2:$A$50000,$B$4,缺陷明细!$G$2:$G$50000,$C5,缺陷明细!$Q$2:$Q$50000,"已关闭",缺陷明细!$J$2:$J$50000,"运维测试",缺陷明细!$K$2:$K$50000,"严重")</f>
        <v>0</v>
      </c>
      <c r="AC5" s="68">
        <f>H5</f>
        <v>0</v>
      </c>
      <c r="AD5" s="60">
        <f>I5</f>
        <v>0</v>
      </c>
      <c r="AE5" s="60">
        <f>H5+J5</f>
        <v>0</v>
      </c>
      <c r="AF5" s="60">
        <f>I5+K5</f>
        <v>0</v>
      </c>
      <c r="AG5" s="60">
        <f>H5+J5+P5</f>
        <v>0</v>
      </c>
      <c r="AH5" s="60">
        <f>I5+K5+Q5</f>
        <v>0</v>
      </c>
      <c r="AI5" s="60">
        <f>Y5</f>
        <v>0</v>
      </c>
      <c r="AJ5" s="61">
        <f>Z5</f>
        <v>0</v>
      </c>
      <c r="AK5" s="143"/>
    </row>
    <row r="6" spans="1:37">
      <c r="A6">
        <v>2</v>
      </c>
      <c r="B6" s="57"/>
      <c r="C6" s="58"/>
      <c r="D6" s="83"/>
      <c r="E6" s="82"/>
      <c r="F6" s="158"/>
      <c r="G6" s="159"/>
      <c r="H6" s="281">
        <f>COUNTIFS(缺陷明细!$A$2:$A$50000,$B$4,缺陷明细!$G$2:$G$50000,$C6,缺陷明细!$J$2:$J$50000,"评审",缺陷明细!$AB$2:$AB$50000,"&lt;&gt;丢弃",缺陷明细!$AB$2:$AB$50000,"&lt;&gt;设计如此",缺陷明细!$AB$2:$AB$50000,"&lt;&gt;重复Bug")</f>
        <v>0</v>
      </c>
      <c r="I6" s="154">
        <f>COUNTIFS(缺陷明细!$A$2:$A$50000,$B$4,缺陷明细!$G$2:$G$50000,$C6,缺陷明细!$Q$2:$Q$50000,"已关闭",缺陷明细!$J$2:$J$50000,"评审")</f>
        <v>0</v>
      </c>
      <c r="J6" s="154">
        <f>COUNTIFS(缺陷明细!$A$2:$A$50000,$B$4,缺陷明细!$G$2:$G$50000,$C6,缺陷明细!$J$2:$J$50000,"单元测试",缺陷明细!$AB$2:$AB$50000,"&lt;&gt;丢弃",缺陷明细!$AB$2:$AB$50000,"&lt;&gt;设计如此",缺陷明细!$AB$2:$AB$50000,"&lt;&gt;重复Bug")</f>
        <v>0</v>
      </c>
      <c r="K6" s="155">
        <f>COUNTIFS(缺陷明细!$A$2:$A$50000,$B$4,缺陷明细!$G$2:$G$50000,$C6,缺陷明细!$Q$2:$Q$50000,"已关闭",缺陷明细!$J$2:$J$50000,"单元测试")</f>
        <v>0</v>
      </c>
      <c r="L6" s="156"/>
      <c r="M6" s="157"/>
      <c r="N6" s="72">
        <f>COUNTIFS(缺陷明细!$A$2:$A$50000,$B$4,缺陷明细!$G$2:$G$50000,$C6,缺陷明细!$J$2:$J$50000,"系统测试案例评审",缺陷明细!$AB$2:$AB$50000,"&lt;&gt;丢弃",缺陷明细!$AB$2:$AB$50000,"&lt;&gt;设计如此",缺陷明细!$AB$2:$AB$50000,"&lt;&gt;重复Bug")</f>
        <v>0</v>
      </c>
      <c r="O6" s="72">
        <f>COUNTIFS(缺陷明细!$A$2:$A$50000,$B$4,缺陷明细!$G$2:$G$50000,$C6,缺陷明细!$Q$2:$Q$50000,"已关闭",缺陷明细!$J$2:$J$50000,"系统测试案例评审")</f>
        <v>0</v>
      </c>
      <c r="P6" s="72">
        <f>COUNTIFS(缺陷明细!$A$2:$A$50000,$B$4,缺陷明细!$G$2:$G$50000,$C6,缺陷明细!$J$2:$J$50000,"系统测试",缺陷明细!$AB$2:$AB$50000,"&lt;&gt;丢弃",缺陷明细!$AB$2:$AB$50000,"&lt;&gt;设计如此",缺陷明细!$AB$2:$AB$50000,"&lt;&gt;重复Bug")</f>
        <v>0</v>
      </c>
      <c r="Q6" s="72">
        <f>COUNTIFS(缺陷明细!$A$2:$A$50000,$B$4,缺陷明细!$G$2:$G$50000,$C6,缺陷明细!$Q$2:$Q$50000,"已关闭",缺陷明细!$J$2:$J$50000,"系统测试")</f>
        <v>0</v>
      </c>
      <c r="R6" s="296">
        <f>COUNTIFS(缺陷明细!$A$2:$A$50000,$B$4,缺陷明细!$G$2:$G$50000,$C6,缺陷明细!$AB$2:$AB$50000,"丢弃",缺陷明细!$J$2:$J$50000,"系统测试")+COUNTIFS(缺陷明细!$A$2:$A$50000,$B$4,缺陷明细!$G$2:$G$50000,$C6,缺陷明细!$AB$2:$AB$50000,"设计如此",缺陷明细!$J$2:$J$50000,"系统测试")+COUNTIFS(缺陷明细!$A$2:$A$50000,$B$4,缺陷明细!$G$2:$G$50000,$C6,缺陷明细!$AB$2:$AB$50000,"重复Bug",缺陷明细!$J$2:$J$50000,"系统测试")</f>
        <v>0</v>
      </c>
      <c r="S6" s="72">
        <f>COUNTIFS(缺陷明细!$A$2:$A$50000,$B$4,缺陷明细!$G$2:$G$50000,$C6,缺陷明细!$J$2:$J$50000,"系统测试",缺陷明细!$K$2:$K$50000,"致命",缺陷明细!$AB$2:$AB$50000,"&lt;&gt;丢弃",缺陷明细!$AB$2:$AB$50000,"&lt;&gt;设计如此",缺陷明细!$AB$2:$AB$50000,"&lt;&gt;重复Bug")+COUNTIFS(缺陷明细!$A$2:$A$50000,$B$4,缺陷明细!$G$2:$G$50000,$C6,缺陷明细!$J$2:$J$50000,"系统测试",缺陷明细!$K$2:$K$50000,"严重",缺陷明细!$AB$2:$AB$50000,"&lt;&gt;丢弃",缺陷明细!$AB$2:$AB$50000,"&lt;&gt;设计如此",缺陷明细!$AB$2:$AB$50000,"&lt;&gt;重复Bug")</f>
        <v>0</v>
      </c>
      <c r="T6" s="73">
        <f>COUNTIFS(缺陷明细!$A$2:$A$50000,$B$4,缺陷明细!$G$2:$G$50000,$C6,缺陷明细!$Q$2:$Q$50000,"已关闭",缺陷明细!$J$2:$J$50000,"系统测试",缺陷明细!$K$2:$K$50000,"致命")+COUNTIFS(缺陷明细!$A$2:$A$50000,$B$4,缺陷明细!$G$2:$G$50000,$C6,缺陷明细!$Q$2:$Q$50000,"已关闭",缺陷明细!$J$2:$J$50000,"系统测试",缺陷明细!$K$2:$K$50000,"严重")</f>
        <v>0</v>
      </c>
      <c r="U6" s="74">
        <f>COUNTIFS(缺陷明细!$A$2:$A$50000,$B$4,缺陷明细!$G$2:$G$50000,$C6,缺陷明细!$J$2:$J$50000,"验收测试",缺陷明细!$AB$2:$AB$50000,"&lt;&gt;丢弃",缺陷明细!$AB$2:$AB$50000,"&lt;&gt;设计如此",缺陷明细!$AB$2:$AB$50000,"&lt;&gt;重复Bug")</f>
        <v>0</v>
      </c>
      <c r="V6" s="75">
        <f>COUNTIFS(缺陷明细!$A$2:$A$50000,$B$4,缺陷明细!$G$2:$G$50000,$C6,缺陷明细!$Q$2:$Q$50000,"已关闭",缺陷明细!$J$2:$J$50000,"验收测试")</f>
        <v>0</v>
      </c>
      <c r="W6" s="75">
        <f>COUNTIFS(缺陷明细!$A$2:$A$50000,$B$4,缺陷明细!$G$2:$G$50000,$C6,缺陷明细!$J$2:$J$50000,"验收测试",缺陷明细!$K$2:$K$50000,"致命",缺陷明细!$AB$2:$AB$50000,"&lt;&gt;丢弃",缺陷明细!$AB$2:$AB$50000,"&lt;&gt;设计如此",缺陷明细!$AB$2:$AB$50000,"&lt;&gt;重复Bug")+COUNTIFS(缺陷明细!$A$2:$A$50000,$B$4,缺陷明细!$G$2:$G$50000,$C6,缺陷明细!$J$2:$J$50000,"验收测试",缺陷明细!$K$2:$K$50000,"严重",缺陷明细!$AB$2:$AB$50000,"&lt;&gt;丢弃",缺陷明细!$AB$2:$AB$50000,"&lt;&gt;设计如此",缺陷明细!$AB$2:$AB$50000,"&lt;&gt;重复Bug")</f>
        <v>0</v>
      </c>
      <c r="X6" s="76">
        <f>COUNTIFS(缺陷明细!$A$2:$A$50000,$B$4,缺陷明细!$G$2:$G$50000,$C6,缺陷明细!$Q$2:$Q$50000,"已关闭",缺陷明细!$J$2:$J$50000,"验收测试",缺陷明细!$K$2:$K$50000,"致命")+COUNTIFS(缺陷明细!$A$2:$A$50000,$B$4,缺陷明细!$G$2:$G$50000,$C6,缺陷明细!$Q$2:$Q$50000,"已关闭",缺陷明细!$J$2:$J$50000,"验收测试",缺陷明细!$K$2:$K$50000,"严重")</f>
        <v>0</v>
      </c>
      <c r="Y6" s="70">
        <f>COUNTIFS(缺陷明细!$A$2:$A$50000,$B$4,缺陷明细!$G$2:$G$50000,$C6,缺陷明细!$J$2:$J$50000,"运维测试",缺陷明细!$AB$2:$AB$50000,"&lt;&gt;丢弃",缺陷明细!$AB$2:$AB$50000,"&lt;&gt;设计如此",缺陷明细!$AB$2:$AB$50000,"&lt;&gt;重复Bug")</f>
        <v>0</v>
      </c>
      <c r="Z6" s="71">
        <f>COUNTIFS(缺陷明细!$A$2:$A$50000,$B$4,缺陷明细!$G$2:$G$50000,$C6,缺陷明细!$Q$2:$Q$50000,"已关闭",缺陷明细!$J$2:$J$50000,"运维测试")</f>
        <v>0</v>
      </c>
      <c r="AA6" s="72">
        <f>COUNTIFS(缺陷明细!$A$2:$A$50000,$B$4,缺陷明细!$G$2:$G$50000,$C6,缺陷明细!$J$2:$J$50000,"运维测试",缺陷明细!$K$2:$K$50000,"致命",缺陷明细!$AB$2:$AB$50000,"&lt;&gt;丢弃",缺陷明细!$AB$2:$AB$50000,"&lt;&gt;设计如此",缺陷明细!$AB$2:$AB$50000,"&lt;&gt;重复Bug")+COUNTIFS(缺陷明细!$A$2:$A$50000,$B$4,缺陷明细!$G$2:$G$50000,$C6,缺陷明细!$J$2:$J$50000,"运维测试",缺陷明细!$K$2:$K$50000,"严重",缺陷明细!$AB$2:$AB$50000,"&lt;&gt;丢弃",缺陷明细!$AB$2:$AB$50000,"&lt;&gt;设计如此",缺陷明细!$AB$2:$AB$50000,"&lt;&gt;重复Bug")</f>
        <v>0</v>
      </c>
      <c r="AB6" s="73">
        <f>COUNTIFS(缺陷明细!$A$2:$A$50000,$B$4,缺陷明细!$G$2:$G$50000,$C6,缺陷明细!$Q$2:$Q$50000,"已关闭",缺陷明细!$J$2:$J$50000,"运维测试",缺陷明细!$K$2:$K$50000,"致命")+COUNTIFS(缺陷明细!$A$2:$A$50000,$B$4,缺陷明细!$G$2:$G$50000,$C6,缺陷明细!$Q$2:$Q$50000,"已关闭",缺陷明细!$J$2:$J$50000,"运维测试",缺陷明细!$K$2:$K$50000,"严重")</f>
        <v>0</v>
      </c>
      <c r="AC6" s="68">
        <f t="shared" ref="AC6:AD55" si="0">H6</f>
        <v>0</v>
      </c>
      <c r="AD6" s="60">
        <f t="shared" si="0"/>
        <v>0</v>
      </c>
      <c r="AE6" s="60">
        <f t="shared" ref="AE6:AF55" si="1">H6+J6</f>
        <v>0</v>
      </c>
      <c r="AF6" s="60">
        <f t="shared" si="1"/>
        <v>0</v>
      </c>
      <c r="AG6" s="60">
        <f t="shared" ref="AG6:AH55" si="2">H6+J6+P6</f>
        <v>0</v>
      </c>
      <c r="AH6" s="60">
        <f t="shared" si="2"/>
        <v>0</v>
      </c>
      <c r="AI6" s="60">
        <f t="shared" ref="AI6:AJ55" si="3">Y6</f>
        <v>0</v>
      </c>
      <c r="AJ6" s="61">
        <f t="shared" si="3"/>
        <v>0</v>
      </c>
      <c r="AK6" s="144"/>
    </row>
    <row r="7" spans="1:37">
      <c r="A7">
        <v>3</v>
      </c>
      <c r="B7" s="57"/>
      <c r="C7" s="58"/>
      <c r="D7" s="83"/>
      <c r="E7" s="82"/>
      <c r="F7" s="158"/>
      <c r="G7" s="159"/>
      <c r="H7" s="281">
        <f>COUNTIFS(缺陷明细!$A$2:$A$50000,$B$4,缺陷明细!$G$2:$G$50000,$C7,缺陷明细!$J$2:$J$50000,"评审",缺陷明细!$AB$2:$AB$50000,"&lt;&gt;丢弃",缺陷明细!$AB$2:$AB$50000,"&lt;&gt;设计如此",缺陷明细!$AB$2:$AB$50000,"&lt;&gt;重复Bug")</f>
        <v>0</v>
      </c>
      <c r="I7" s="154">
        <f>COUNTIFS(缺陷明细!$A$2:$A$50000,$B$4,缺陷明细!$G$2:$G$50000,$C7,缺陷明细!$Q$2:$Q$50000,"已关闭",缺陷明细!$J$2:$J$50000,"评审")</f>
        <v>0</v>
      </c>
      <c r="J7" s="154">
        <f>COUNTIFS(缺陷明细!$A$2:$A$50000,$B$4,缺陷明细!$G$2:$G$50000,$C7,缺陷明细!$J$2:$J$50000,"单元测试",缺陷明细!$AB$2:$AB$50000,"&lt;&gt;丢弃",缺陷明细!$AB$2:$AB$50000,"&lt;&gt;设计如此",缺陷明细!$AB$2:$AB$50000,"&lt;&gt;重复Bug")</f>
        <v>0</v>
      </c>
      <c r="K7" s="155">
        <f>COUNTIFS(缺陷明细!$A$2:$A$50000,$B$4,缺陷明细!$G$2:$G$50000,$C7,缺陷明细!$Q$2:$Q$50000,"已关闭",缺陷明细!$J$2:$J$50000,"单元测试")</f>
        <v>0</v>
      </c>
      <c r="L7" s="156"/>
      <c r="M7" s="157"/>
      <c r="N7" s="72">
        <f>COUNTIFS(缺陷明细!$A$2:$A$50000,$B$4,缺陷明细!$G$2:$G$50000,$C7,缺陷明细!$J$2:$J$50000,"系统测试案例评审",缺陷明细!$AB$2:$AB$50000,"&lt;&gt;丢弃",缺陷明细!$AB$2:$AB$50000,"&lt;&gt;设计如此",缺陷明细!$AB$2:$AB$50000,"&lt;&gt;重复Bug")</f>
        <v>0</v>
      </c>
      <c r="O7" s="72">
        <f>COUNTIFS(缺陷明细!$A$2:$A$50000,$B$4,缺陷明细!$G$2:$G$50000,$C7,缺陷明细!$Q$2:$Q$50000,"已关闭",缺陷明细!$J$2:$J$50000,"系统测试案例评审")</f>
        <v>0</v>
      </c>
      <c r="P7" s="72">
        <f>COUNTIFS(缺陷明细!$A$2:$A$50000,$B$4,缺陷明细!$G$2:$G$50000,$C7,缺陷明细!$J$2:$J$50000,"系统测试",缺陷明细!$AB$2:$AB$50000,"&lt;&gt;丢弃",缺陷明细!$AB$2:$AB$50000,"&lt;&gt;设计如此",缺陷明细!$AB$2:$AB$50000,"&lt;&gt;重复Bug")</f>
        <v>0</v>
      </c>
      <c r="Q7" s="72">
        <f>COUNTIFS(缺陷明细!$A$2:$A$50000,$B$4,缺陷明细!$G$2:$G$50000,$C7,缺陷明细!$Q$2:$Q$50000,"已关闭",缺陷明细!$J$2:$J$50000,"系统测试")</f>
        <v>0</v>
      </c>
      <c r="R7" s="296">
        <f>COUNTIFS(缺陷明细!$A$2:$A$50000,$B$4,缺陷明细!$G$2:$G$50000,$C7,缺陷明细!$AB$2:$AB$50000,"丢弃",缺陷明细!$J$2:$J$50000,"系统测试")+COUNTIFS(缺陷明细!$A$2:$A$50000,$B$4,缺陷明细!$G$2:$G$50000,$C7,缺陷明细!$AB$2:$AB$50000,"设计如此",缺陷明细!$J$2:$J$50000,"系统测试")+COUNTIFS(缺陷明细!$A$2:$A$50000,$B$4,缺陷明细!$G$2:$G$50000,$C7,缺陷明细!$AB$2:$AB$50000,"重复Bug",缺陷明细!$J$2:$J$50000,"系统测试")</f>
        <v>0</v>
      </c>
      <c r="S7" s="72">
        <f>COUNTIFS(缺陷明细!$A$2:$A$50000,$B$4,缺陷明细!$G$2:$G$50000,$C7,缺陷明细!$J$2:$J$50000,"系统测试",缺陷明细!$K$2:$K$50000,"致命",缺陷明细!$AB$2:$AB$50000,"&lt;&gt;丢弃",缺陷明细!$AB$2:$AB$50000,"&lt;&gt;设计如此",缺陷明细!$AB$2:$AB$50000,"&lt;&gt;重复Bug")+COUNTIFS(缺陷明细!$A$2:$A$50000,$B$4,缺陷明细!$G$2:$G$50000,$C7,缺陷明细!$J$2:$J$50000,"系统测试",缺陷明细!$K$2:$K$50000,"严重",缺陷明细!$AB$2:$AB$50000,"&lt;&gt;丢弃",缺陷明细!$AB$2:$AB$50000,"&lt;&gt;设计如此",缺陷明细!$AB$2:$AB$50000,"&lt;&gt;重复Bug")</f>
        <v>0</v>
      </c>
      <c r="T7" s="73">
        <f>COUNTIFS(缺陷明细!$A$2:$A$50000,$B$4,缺陷明细!$G$2:$G$50000,$C7,缺陷明细!$Q$2:$Q$50000,"已关闭",缺陷明细!$J$2:$J$50000,"系统测试",缺陷明细!$K$2:$K$50000,"致命")+COUNTIFS(缺陷明细!$A$2:$A$50000,$B$4,缺陷明细!$G$2:$G$50000,$C7,缺陷明细!$Q$2:$Q$50000,"已关闭",缺陷明细!$J$2:$J$50000,"系统测试",缺陷明细!$K$2:$K$50000,"严重")</f>
        <v>0</v>
      </c>
      <c r="U7" s="74">
        <f>COUNTIFS(缺陷明细!$A$2:$A$50000,$B$4,缺陷明细!$G$2:$G$50000,$C7,缺陷明细!$J$2:$J$50000,"验收测试",缺陷明细!$AB$2:$AB$50000,"&lt;&gt;丢弃",缺陷明细!$AB$2:$AB$50000,"&lt;&gt;设计如此",缺陷明细!$AB$2:$AB$50000,"&lt;&gt;重复Bug")</f>
        <v>0</v>
      </c>
      <c r="V7" s="75">
        <f>COUNTIFS(缺陷明细!$A$2:$A$50000,$B$4,缺陷明细!$G$2:$G$50000,$C7,缺陷明细!$Q$2:$Q$50000,"已关闭",缺陷明细!$J$2:$J$50000,"验收测试")</f>
        <v>0</v>
      </c>
      <c r="W7" s="75">
        <f>COUNTIFS(缺陷明细!$A$2:$A$50000,$B$4,缺陷明细!$G$2:$G$50000,$C7,缺陷明细!$J$2:$J$50000,"验收测试",缺陷明细!$K$2:$K$50000,"致命",缺陷明细!$AB$2:$AB$50000,"&lt;&gt;丢弃",缺陷明细!$AB$2:$AB$50000,"&lt;&gt;设计如此",缺陷明细!$AB$2:$AB$50000,"&lt;&gt;重复Bug")+COUNTIFS(缺陷明细!$A$2:$A$50000,$B$4,缺陷明细!$G$2:$G$50000,$C7,缺陷明细!$J$2:$J$50000,"验收测试",缺陷明细!$K$2:$K$50000,"严重",缺陷明细!$AB$2:$AB$50000,"&lt;&gt;丢弃",缺陷明细!$AB$2:$AB$50000,"&lt;&gt;设计如此",缺陷明细!$AB$2:$AB$50000,"&lt;&gt;重复Bug")</f>
        <v>0</v>
      </c>
      <c r="X7" s="76">
        <f>COUNTIFS(缺陷明细!$A$2:$A$50000,$B$4,缺陷明细!$G$2:$G$50000,$C7,缺陷明细!$Q$2:$Q$50000,"已关闭",缺陷明细!$J$2:$J$50000,"验收测试",缺陷明细!$K$2:$K$50000,"致命")+COUNTIFS(缺陷明细!$A$2:$A$50000,$B$4,缺陷明细!$G$2:$G$50000,$C7,缺陷明细!$Q$2:$Q$50000,"已关闭",缺陷明细!$J$2:$J$50000,"验收测试",缺陷明细!$K$2:$K$50000,"严重")</f>
        <v>0</v>
      </c>
      <c r="Y7" s="70">
        <f>COUNTIFS(缺陷明细!$A$2:$A$50000,$B$4,缺陷明细!$G$2:$G$50000,$C7,缺陷明细!$J$2:$J$50000,"运维测试",缺陷明细!$AB$2:$AB$50000,"&lt;&gt;丢弃",缺陷明细!$AB$2:$AB$50000,"&lt;&gt;设计如此",缺陷明细!$AB$2:$AB$50000,"&lt;&gt;重复Bug")</f>
        <v>0</v>
      </c>
      <c r="Z7" s="71">
        <f>COUNTIFS(缺陷明细!$A$2:$A$50000,$B$4,缺陷明细!$G$2:$G$50000,$C7,缺陷明细!$Q$2:$Q$50000,"已关闭",缺陷明细!$J$2:$J$50000,"运维测试")</f>
        <v>0</v>
      </c>
      <c r="AA7" s="72">
        <f>COUNTIFS(缺陷明细!$A$2:$A$50000,$B$4,缺陷明细!$G$2:$G$50000,$C7,缺陷明细!$J$2:$J$50000,"运维测试",缺陷明细!$K$2:$K$50000,"致命",缺陷明细!$AB$2:$AB$50000,"&lt;&gt;丢弃",缺陷明细!$AB$2:$AB$50000,"&lt;&gt;设计如此",缺陷明细!$AB$2:$AB$50000,"&lt;&gt;重复Bug")+COUNTIFS(缺陷明细!$A$2:$A$50000,$B$4,缺陷明细!$G$2:$G$50000,$C7,缺陷明细!$J$2:$J$50000,"运维测试",缺陷明细!$K$2:$K$50000,"严重",缺陷明细!$AB$2:$AB$50000,"&lt;&gt;丢弃",缺陷明细!$AB$2:$AB$50000,"&lt;&gt;设计如此",缺陷明细!$AB$2:$AB$50000,"&lt;&gt;重复Bug")</f>
        <v>0</v>
      </c>
      <c r="AB7" s="73">
        <f>COUNTIFS(缺陷明细!$A$2:$A$50000,$B$4,缺陷明细!$G$2:$G$50000,$C7,缺陷明细!$Q$2:$Q$50000,"已关闭",缺陷明细!$J$2:$J$50000,"运维测试",缺陷明细!$K$2:$K$50000,"致命")+COUNTIFS(缺陷明细!$A$2:$A$50000,$B$4,缺陷明细!$G$2:$G$50000,$C7,缺陷明细!$Q$2:$Q$50000,"已关闭",缺陷明细!$J$2:$J$50000,"运维测试",缺陷明细!$K$2:$K$50000,"严重")</f>
        <v>0</v>
      </c>
      <c r="AC7" s="68">
        <f t="shared" si="0"/>
        <v>0</v>
      </c>
      <c r="AD7" s="60">
        <f t="shared" si="0"/>
        <v>0</v>
      </c>
      <c r="AE7" s="60">
        <f t="shared" si="1"/>
        <v>0</v>
      </c>
      <c r="AF7" s="60">
        <f t="shared" si="1"/>
        <v>0</v>
      </c>
      <c r="AG7" s="60">
        <f t="shared" si="2"/>
        <v>0</v>
      </c>
      <c r="AH7" s="60">
        <f t="shared" si="2"/>
        <v>0</v>
      </c>
      <c r="AI7" s="60">
        <f t="shared" si="3"/>
        <v>0</v>
      </c>
      <c r="AJ7" s="61">
        <f t="shared" si="3"/>
        <v>0</v>
      </c>
      <c r="AK7" s="144"/>
    </row>
    <row r="8" spans="1:37">
      <c r="A8">
        <v>4</v>
      </c>
      <c r="B8" s="57"/>
      <c r="C8" s="58"/>
      <c r="D8" s="83"/>
      <c r="E8" s="82"/>
      <c r="F8" s="158"/>
      <c r="G8" s="159"/>
      <c r="H8" s="281">
        <f>COUNTIFS(缺陷明细!$A$2:$A$50000,$B$4,缺陷明细!$G$2:$G$50000,$C8,缺陷明细!$J$2:$J$50000,"评审",缺陷明细!$AB$2:$AB$50000,"&lt;&gt;丢弃",缺陷明细!$AB$2:$AB$50000,"&lt;&gt;设计如此",缺陷明细!$AB$2:$AB$50000,"&lt;&gt;重复Bug")</f>
        <v>0</v>
      </c>
      <c r="I8" s="154">
        <f>COUNTIFS(缺陷明细!$A$2:$A$50000,$B$4,缺陷明细!$G$2:$G$50000,$C8,缺陷明细!$Q$2:$Q$50000,"已关闭",缺陷明细!$J$2:$J$50000,"评审")</f>
        <v>0</v>
      </c>
      <c r="J8" s="154">
        <f>COUNTIFS(缺陷明细!$A$2:$A$50000,$B$4,缺陷明细!$G$2:$G$50000,$C8,缺陷明细!$J$2:$J$50000,"单元测试",缺陷明细!$AB$2:$AB$50000,"&lt;&gt;丢弃",缺陷明细!$AB$2:$AB$50000,"&lt;&gt;设计如此",缺陷明细!$AB$2:$AB$50000,"&lt;&gt;重复Bug")</f>
        <v>0</v>
      </c>
      <c r="K8" s="155">
        <f>COUNTIFS(缺陷明细!$A$2:$A$50000,$B$4,缺陷明细!$G$2:$G$50000,$C8,缺陷明细!$Q$2:$Q$50000,"已关闭",缺陷明细!$J$2:$J$50000,"单元测试")</f>
        <v>0</v>
      </c>
      <c r="L8" s="156"/>
      <c r="M8" s="157"/>
      <c r="N8" s="72">
        <f>COUNTIFS(缺陷明细!$A$2:$A$50000,$B$4,缺陷明细!$G$2:$G$50000,$C8,缺陷明细!$J$2:$J$50000,"系统测试案例评审",缺陷明细!$AB$2:$AB$50000,"&lt;&gt;丢弃",缺陷明细!$AB$2:$AB$50000,"&lt;&gt;设计如此",缺陷明细!$AB$2:$AB$50000,"&lt;&gt;重复Bug")</f>
        <v>0</v>
      </c>
      <c r="O8" s="72">
        <f>COUNTIFS(缺陷明细!$A$2:$A$50000,$B$4,缺陷明细!$G$2:$G$50000,$C8,缺陷明细!$Q$2:$Q$50000,"已关闭",缺陷明细!$J$2:$J$50000,"系统测试案例评审")</f>
        <v>0</v>
      </c>
      <c r="P8" s="72">
        <f>COUNTIFS(缺陷明细!$A$2:$A$50000,$B$4,缺陷明细!$G$2:$G$50000,$C8,缺陷明细!$J$2:$J$50000,"系统测试",缺陷明细!$AB$2:$AB$50000,"&lt;&gt;丢弃",缺陷明细!$AB$2:$AB$50000,"&lt;&gt;设计如此",缺陷明细!$AB$2:$AB$50000,"&lt;&gt;重复Bug")</f>
        <v>0</v>
      </c>
      <c r="Q8" s="72">
        <f>COUNTIFS(缺陷明细!$A$2:$A$50000,$B$4,缺陷明细!$G$2:$G$50000,$C8,缺陷明细!$Q$2:$Q$50000,"已关闭",缺陷明细!$J$2:$J$50000,"系统测试")</f>
        <v>0</v>
      </c>
      <c r="R8" s="296">
        <f>COUNTIFS(缺陷明细!$A$2:$A$50000,$B$4,缺陷明细!$G$2:$G$50000,$C8,缺陷明细!$AB$2:$AB$50000,"丢弃",缺陷明细!$J$2:$J$50000,"系统测试")+COUNTIFS(缺陷明细!$A$2:$A$50000,$B$4,缺陷明细!$G$2:$G$50000,$C8,缺陷明细!$AB$2:$AB$50000,"设计如此",缺陷明细!$J$2:$J$50000,"系统测试")+COUNTIFS(缺陷明细!$A$2:$A$50000,$B$4,缺陷明细!$G$2:$G$50000,$C8,缺陷明细!$AB$2:$AB$50000,"重复Bug",缺陷明细!$J$2:$J$50000,"系统测试")</f>
        <v>0</v>
      </c>
      <c r="S8" s="72">
        <f>COUNTIFS(缺陷明细!$A$2:$A$50000,$B$4,缺陷明细!$G$2:$G$50000,$C8,缺陷明细!$J$2:$J$50000,"系统测试",缺陷明细!$K$2:$K$50000,"致命",缺陷明细!$AB$2:$AB$50000,"&lt;&gt;丢弃",缺陷明细!$AB$2:$AB$50000,"&lt;&gt;设计如此",缺陷明细!$AB$2:$AB$50000,"&lt;&gt;重复Bug")+COUNTIFS(缺陷明细!$A$2:$A$50000,$B$4,缺陷明细!$G$2:$G$50000,$C8,缺陷明细!$J$2:$J$50000,"系统测试",缺陷明细!$K$2:$K$50000,"严重",缺陷明细!$AB$2:$AB$50000,"&lt;&gt;丢弃",缺陷明细!$AB$2:$AB$50000,"&lt;&gt;设计如此",缺陷明细!$AB$2:$AB$50000,"&lt;&gt;重复Bug")</f>
        <v>0</v>
      </c>
      <c r="T8" s="73">
        <f>COUNTIFS(缺陷明细!$A$2:$A$50000,$B$4,缺陷明细!$G$2:$G$50000,$C8,缺陷明细!$Q$2:$Q$50000,"已关闭",缺陷明细!$J$2:$J$50000,"系统测试",缺陷明细!$K$2:$K$50000,"致命")+COUNTIFS(缺陷明细!$A$2:$A$50000,$B$4,缺陷明细!$G$2:$G$50000,$C8,缺陷明细!$Q$2:$Q$50000,"已关闭",缺陷明细!$J$2:$J$50000,"系统测试",缺陷明细!$K$2:$K$50000,"严重")</f>
        <v>0</v>
      </c>
      <c r="U8" s="74">
        <f>COUNTIFS(缺陷明细!$A$2:$A$50000,$B$4,缺陷明细!$G$2:$G$50000,$C8,缺陷明细!$J$2:$J$50000,"验收测试",缺陷明细!$AB$2:$AB$50000,"&lt;&gt;丢弃",缺陷明细!$AB$2:$AB$50000,"&lt;&gt;设计如此",缺陷明细!$AB$2:$AB$50000,"&lt;&gt;重复Bug")</f>
        <v>0</v>
      </c>
      <c r="V8" s="75">
        <f>COUNTIFS(缺陷明细!$A$2:$A$50000,$B$4,缺陷明细!$G$2:$G$50000,$C8,缺陷明细!$Q$2:$Q$50000,"已关闭",缺陷明细!$J$2:$J$50000,"验收测试")</f>
        <v>0</v>
      </c>
      <c r="W8" s="75">
        <f>COUNTIFS(缺陷明细!$A$2:$A$50000,$B$4,缺陷明细!$G$2:$G$50000,$C8,缺陷明细!$J$2:$J$50000,"验收测试",缺陷明细!$K$2:$K$50000,"致命",缺陷明细!$AB$2:$AB$50000,"&lt;&gt;丢弃",缺陷明细!$AB$2:$AB$50000,"&lt;&gt;设计如此",缺陷明细!$AB$2:$AB$50000,"&lt;&gt;重复Bug")+COUNTIFS(缺陷明细!$A$2:$A$50000,$B$4,缺陷明细!$G$2:$G$50000,$C8,缺陷明细!$J$2:$J$50000,"验收测试",缺陷明细!$K$2:$K$50000,"严重",缺陷明细!$AB$2:$AB$50000,"&lt;&gt;丢弃",缺陷明细!$AB$2:$AB$50000,"&lt;&gt;设计如此",缺陷明细!$AB$2:$AB$50000,"&lt;&gt;重复Bug")</f>
        <v>0</v>
      </c>
      <c r="X8" s="76">
        <f>COUNTIFS(缺陷明细!$A$2:$A$50000,$B$4,缺陷明细!$G$2:$G$50000,$C8,缺陷明细!$Q$2:$Q$50000,"已关闭",缺陷明细!$J$2:$J$50000,"验收测试",缺陷明细!$K$2:$K$50000,"致命")+COUNTIFS(缺陷明细!$A$2:$A$50000,$B$4,缺陷明细!$G$2:$G$50000,$C8,缺陷明细!$Q$2:$Q$50000,"已关闭",缺陷明细!$J$2:$J$50000,"验收测试",缺陷明细!$K$2:$K$50000,"严重")</f>
        <v>0</v>
      </c>
      <c r="Y8" s="70">
        <f>COUNTIFS(缺陷明细!$A$2:$A$50000,$B$4,缺陷明细!$G$2:$G$50000,$C8,缺陷明细!$J$2:$J$50000,"运维测试",缺陷明细!$AB$2:$AB$50000,"&lt;&gt;丢弃",缺陷明细!$AB$2:$AB$50000,"&lt;&gt;设计如此",缺陷明细!$AB$2:$AB$50000,"&lt;&gt;重复Bug")</f>
        <v>0</v>
      </c>
      <c r="Z8" s="71">
        <f>COUNTIFS(缺陷明细!$A$2:$A$50000,$B$4,缺陷明细!$G$2:$G$50000,$C8,缺陷明细!$Q$2:$Q$50000,"已关闭",缺陷明细!$J$2:$J$50000,"运维测试")</f>
        <v>0</v>
      </c>
      <c r="AA8" s="72">
        <f>COUNTIFS(缺陷明细!$A$2:$A$50000,$B$4,缺陷明细!$G$2:$G$50000,$C8,缺陷明细!$J$2:$J$50000,"运维测试",缺陷明细!$K$2:$K$50000,"致命",缺陷明细!$AB$2:$AB$50000,"&lt;&gt;丢弃",缺陷明细!$AB$2:$AB$50000,"&lt;&gt;设计如此",缺陷明细!$AB$2:$AB$50000,"&lt;&gt;重复Bug")+COUNTIFS(缺陷明细!$A$2:$A$50000,$B$4,缺陷明细!$G$2:$G$50000,$C8,缺陷明细!$J$2:$J$50000,"运维测试",缺陷明细!$K$2:$K$50000,"严重",缺陷明细!$AB$2:$AB$50000,"&lt;&gt;丢弃",缺陷明细!$AB$2:$AB$50000,"&lt;&gt;设计如此",缺陷明细!$AB$2:$AB$50000,"&lt;&gt;重复Bug")</f>
        <v>0</v>
      </c>
      <c r="AB8" s="73">
        <f>COUNTIFS(缺陷明细!$A$2:$A$50000,$B$4,缺陷明细!$G$2:$G$50000,$C8,缺陷明细!$Q$2:$Q$50000,"已关闭",缺陷明细!$J$2:$J$50000,"运维测试",缺陷明细!$K$2:$K$50000,"致命")+COUNTIFS(缺陷明细!$A$2:$A$50000,$B$4,缺陷明细!$G$2:$G$50000,$C8,缺陷明细!$Q$2:$Q$50000,"已关闭",缺陷明细!$J$2:$J$50000,"运维测试",缺陷明细!$K$2:$K$50000,"严重")</f>
        <v>0</v>
      </c>
      <c r="AC8" s="68">
        <f t="shared" si="0"/>
        <v>0</v>
      </c>
      <c r="AD8" s="60">
        <f t="shared" si="0"/>
        <v>0</v>
      </c>
      <c r="AE8" s="60">
        <f t="shared" si="1"/>
        <v>0</v>
      </c>
      <c r="AF8" s="60">
        <f t="shared" si="1"/>
        <v>0</v>
      </c>
      <c r="AG8" s="60">
        <f t="shared" si="2"/>
        <v>0</v>
      </c>
      <c r="AH8" s="60">
        <f t="shared" si="2"/>
        <v>0</v>
      </c>
      <c r="AI8" s="60">
        <f t="shared" si="3"/>
        <v>0</v>
      </c>
      <c r="AJ8" s="61">
        <f t="shared" si="3"/>
        <v>0</v>
      </c>
      <c r="AK8" s="144"/>
    </row>
    <row r="9" spans="1:37">
      <c r="A9">
        <v>5</v>
      </c>
      <c r="B9" s="57"/>
      <c r="C9" s="59"/>
      <c r="D9" s="84"/>
      <c r="E9" s="82"/>
      <c r="F9" s="160"/>
      <c r="G9" s="161"/>
      <c r="H9" s="281">
        <f>COUNTIFS(缺陷明细!$A$2:$A$50000,$B$4,缺陷明细!$G$2:$G$50000,$C9,缺陷明细!$J$2:$J$50000,"评审",缺陷明细!$AB$2:$AB$50000,"&lt;&gt;丢弃",缺陷明细!$AB$2:$AB$50000,"&lt;&gt;设计如此",缺陷明细!$AB$2:$AB$50000,"&lt;&gt;重复Bug")</f>
        <v>0</v>
      </c>
      <c r="I9" s="154">
        <f>COUNTIFS(缺陷明细!$A$2:$A$50000,$B$4,缺陷明细!$G$2:$G$50000,$C9,缺陷明细!$Q$2:$Q$50000,"已关闭",缺陷明细!$J$2:$J$50000,"评审")</f>
        <v>0</v>
      </c>
      <c r="J9" s="154">
        <f>COUNTIFS(缺陷明细!$A$2:$A$50000,$B$4,缺陷明细!$G$2:$G$50000,$C9,缺陷明细!$J$2:$J$50000,"单元测试",缺陷明细!$AB$2:$AB$50000,"&lt;&gt;丢弃",缺陷明细!$AB$2:$AB$50000,"&lt;&gt;设计如此",缺陷明细!$AB$2:$AB$50000,"&lt;&gt;重复Bug")</f>
        <v>0</v>
      </c>
      <c r="K9" s="155">
        <f>COUNTIFS(缺陷明细!$A$2:$A$50000,$B$4,缺陷明细!$G$2:$G$50000,$C9,缺陷明细!$Q$2:$Q$50000,"已关闭",缺陷明细!$J$2:$J$50000,"单元测试")</f>
        <v>0</v>
      </c>
      <c r="L9" s="156"/>
      <c r="M9" s="157"/>
      <c r="N9" s="72">
        <f>COUNTIFS(缺陷明细!$A$2:$A$50000,$B$4,缺陷明细!$G$2:$G$50000,$C9,缺陷明细!$J$2:$J$50000,"系统测试案例评审",缺陷明细!$AB$2:$AB$50000,"&lt;&gt;丢弃",缺陷明细!$AB$2:$AB$50000,"&lt;&gt;设计如此",缺陷明细!$AB$2:$AB$50000,"&lt;&gt;重复Bug")</f>
        <v>0</v>
      </c>
      <c r="O9" s="72">
        <f>COUNTIFS(缺陷明细!$A$2:$A$50000,$B$4,缺陷明细!$G$2:$G$50000,$C9,缺陷明细!$Q$2:$Q$50000,"已关闭",缺陷明细!$J$2:$J$50000,"系统测试案例评审")</f>
        <v>0</v>
      </c>
      <c r="P9" s="72">
        <f>COUNTIFS(缺陷明细!$A$2:$A$50000,$B$4,缺陷明细!$G$2:$G$50000,$C9,缺陷明细!$J$2:$J$50000,"系统测试",缺陷明细!$AB$2:$AB$50000,"&lt;&gt;丢弃",缺陷明细!$AB$2:$AB$50000,"&lt;&gt;设计如此",缺陷明细!$AB$2:$AB$50000,"&lt;&gt;重复Bug")</f>
        <v>0</v>
      </c>
      <c r="Q9" s="72">
        <f>COUNTIFS(缺陷明细!$A$2:$A$50000,$B$4,缺陷明细!$G$2:$G$50000,$C9,缺陷明细!$Q$2:$Q$50000,"已关闭",缺陷明细!$J$2:$J$50000,"系统测试")</f>
        <v>0</v>
      </c>
      <c r="R9" s="296">
        <f>COUNTIFS(缺陷明细!$A$2:$A$50000,$B$4,缺陷明细!$G$2:$G$50000,$C9,缺陷明细!$AB$2:$AB$50000,"丢弃",缺陷明细!$J$2:$J$50000,"系统测试")+COUNTIFS(缺陷明细!$A$2:$A$50000,$B$4,缺陷明细!$G$2:$G$50000,$C9,缺陷明细!$AB$2:$AB$50000,"设计如此",缺陷明细!$J$2:$J$50000,"系统测试")+COUNTIFS(缺陷明细!$A$2:$A$50000,$B$4,缺陷明细!$G$2:$G$50000,$C9,缺陷明细!$AB$2:$AB$50000,"重复Bug",缺陷明细!$J$2:$J$50000,"系统测试")</f>
        <v>0</v>
      </c>
      <c r="S9" s="72">
        <f>COUNTIFS(缺陷明细!$A$2:$A$50000,$B$4,缺陷明细!$G$2:$G$50000,$C9,缺陷明细!$J$2:$J$50000,"系统测试",缺陷明细!$K$2:$K$50000,"致命",缺陷明细!$AB$2:$AB$50000,"&lt;&gt;丢弃",缺陷明细!$AB$2:$AB$50000,"&lt;&gt;设计如此",缺陷明细!$AB$2:$AB$50000,"&lt;&gt;重复Bug")+COUNTIFS(缺陷明细!$A$2:$A$50000,$B$4,缺陷明细!$G$2:$G$50000,$C9,缺陷明细!$J$2:$J$50000,"系统测试",缺陷明细!$K$2:$K$50000,"严重",缺陷明细!$AB$2:$AB$50000,"&lt;&gt;丢弃",缺陷明细!$AB$2:$AB$50000,"&lt;&gt;设计如此",缺陷明细!$AB$2:$AB$50000,"&lt;&gt;重复Bug")</f>
        <v>0</v>
      </c>
      <c r="T9" s="73">
        <f>COUNTIFS(缺陷明细!$A$2:$A$50000,$B$4,缺陷明细!$G$2:$G$50000,$C9,缺陷明细!$Q$2:$Q$50000,"已关闭",缺陷明细!$J$2:$J$50000,"系统测试",缺陷明细!$K$2:$K$50000,"致命")+COUNTIFS(缺陷明细!$A$2:$A$50000,$B$4,缺陷明细!$G$2:$G$50000,$C9,缺陷明细!$Q$2:$Q$50000,"已关闭",缺陷明细!$J$2:$J$50000,"系统测试",缺陷明细!$K$2:$K$50000,"严重")</f>
        <v>0</v>
      </c>
      <c r="U9" s="74">
        <f>COUNTIFS(缺陷明细!$A$2:$A$50000,$B$4,缺陷明细!$G$2:$G$50000,$C9,缺陷明细!$J$2:$J$50000,"验收测试",缺陷明细!$AB$2:$AB$50000,"&lt;&gt;丢弃",缺陷明细!$AB$2:$AB$50000,"&lt;&gt;设计如此",缺陷明细!$AB$2:$AB$50000,"&lt;&gt;重复Bug")</f>
        <v>0</v>
      </c>
      <c r="V9" s="75">
        <f>COUNTIFS(缺陷明细!$A$2:$A$50000,$B$4,缺陷明细!$G$2:$G$50000,$C9,缺陷明细!$Q$2:$Q$50000,"已关闭",缺陷明细!$J$2:$J$50000,"验收测试")</f>
        <v>0</v>
      </c>
      <c r="W9" s="75">
        <f>COUNTIFS(缺陷明细!$A$2:$A$50000,$B$4,缺陷明细!$G$2:$G$50000,$C9,缺陷明细!$J$2:$J$50000,"验收测试",缺陷明细!$K$2:$K$50000,"致命",缺陷明细!$AB$2:$AB$50000,"&lt;&gt;丢弃",缺陷明细!$AB$2:$AB$50000,"&lt;&gt;设计如此",缺陷明细!$AB$2:$AB$50000,"&lt;&gt;重复Bug")+COUNTIFS(缺陷明细!$A$2:$A$50000,$B$4,缺陷明细!$G$2:$G$50000,$C9,缺陷明细!$J$2:$J$50000,"验收测试",缺陷明细!$K$2:$K$50000,"严重",缺陷明细!$AB$2:$AB$50000,"&lt;&gt;丢弃",缺陷明细!$AB$2:$AB$50000,"&lt;&gt;设计如此",缺陷明细!$AB$2:$AB$50000,"&lt;&gt;重复Bug")</f>
        <v>0</v>
      </c>
      <c r="X9" s="76">
        <f>COUNTIFS(缺陷明细!$A$2:$A$50000,$B$4,缺陷明细!$G$2:$G$50000,$C9,缺陷明细!$Q$2:$Q$50000,"已关闭",缺陷明细!$J$2:$J$50000,"验收测试",缺陷明细!$K$2:$K$50000,"致命")+COUNTIFS(缺陷明细!$A$2:$A$50000,$B$4,缺陷明细!$G$2:$G$50000,$C9,缺陷明细!$Q$2:$Q$50000,"已关闭",缺陷明细!$J$2:$J$50000,"验收测试",缺陷明细!$K$2:$K$50000,"严重")</f>
        <v>0</v>
      </c>
      <c r="Y9" s="70">
        <f>COUNTIFS(缺陷明细!$A$2:$A$50000,$B$4,缺陷明细!$G$2:$G$50000,$C9,缺陷明细!$J$2:$J$50000,"运维测试",缺陷明细!$AB$2:$AB$50000,"&lt;&gt;丢弃",缺陷明细!$AB$2:$AB$50000,"&lt;&gt;设计如此",缺陷明细!$AB$2:$AB$50000,"&lt;&gt;重复Bug")</f>
        <v>0</v>
      </c>
      <c r="Z9" s="71">
        <f>COUNTIFS(缺陷明细!$A$2:$A$50000,$B$4,缺陷明细!$G$2:$G$50000,$C9,缺陷明细!$Q$2:$Q$50000,"已关闭",缺陷明细!$J$2:$J$50000,"运维测试")</f>
        <v>0</v>
      </c>
      <c r="AA9" s="72">
        <f>COUNTIFS(缺陷明细!$A$2:$A$50000,$B$4,缺陷明细!$G$2:$G$50000,$C9,缺陷明细!$J$2:$J$50000,"运维测试",缺陷明细!$K$2:$K$50000,"致命",缺陷明细!$AB$2:$AB$50000,"&lt;&gt;丢弃",缺陷明细!$AB$2:$AB$50000,"&lt;&gt;设计如此",缺陷明细!$AB$2:$AB$50000,"&lt;&gt;重复Bug")+COUNTIFS(缺陷明细!$A$2:$A$50000,$B$4,缺陷明细!$G$2:$G$50000,$C9,缺陷明细!$J$2:$J$50000,"运维测试",缺陷明细!$K$2:$K$50000,"严重",缺陷明细!$AB$2:$AB$50000,"&lt;&gt;丢弃",缺陷明细!$AB$2:$AB$50000,"&lt;&gt;设计如此",缺陷明细!$AB$2:$AB$50000,"&lt;&gt;重复Bug")</f>
        <v>0</v>
      </c>
      <c r="AB9" s="73">
        <f>COUNTIFS(缺陷明细!$A$2:$A$50000,$B$4,缺陷明细!$G$2:$G$50000,$C9,缺陷明细!$Q$2:$Q$50000,"已关闭",缺陷明细!$J$2:$J$50000,"运维测试",缺陷明细!$K$2:$K$50000,"致命")+COUNTIFS(缺陷明细!$A$2:$A$50000,$B$4,缺陷明细!$G$2:$G$50000,$C9,缺陷明细!$Q$2:$Q$50000,"已关闭",缺陷明细!$J$2:$J$50000,"运维测试",缺陷明细!$K$2:$K$50000,"严重")</f>
        <v>0</v>
      </c>
      <c r="AC9" s="68">
        <f t="shared" si="0"/>
        <v>0</v>
      </c>
      <c r="AD9" s="60">
        <f t="shared" si="0"/>
        <v>0</v>
      </c>
      <c r="AE9" s="60">
        <f t="shared" si="1"/>
        <v>0</v>
      </c>
      <c r="AF9" s="60">
        <f t="shared" si="1"/>
        <v>0</v>
      </c>
      <c r="AG9" s="60">
        <f t="shared" si="2"/>
        <v>0</v>
      </c>
      <c r="AH9" s="60">
        <f t="shared" si="2"/>
        <v>0</v>
      </c>
      <c r="AI9" s="60">
        <f t="shared" si="3"/>
        <v>0</v>
      </c>
      <c r="AJ9" s="61">
        <f t="shared" si="3"/>
        <v>0</v>
      </c>
      <c r="AK9" s="144"/>
    </row>
    <row r="10" spans="1:37">
      <c r="A10">
        <v>6</v>
      </c>
      <c r="B10" s="57"/>
      <c r="C10" s="58"/>
      <c r="D10" s="84"/>
      <c r="E10" s="82"/>
      <c r="F10" s="158"/>
      <c r="G10" s="159"/>
      <c r="H10" s="281">
        <f>COUNTIFS(缺陷明细!$A$2:$A$50000,$B$4,缺陷明细!$G$2:$G$50000,$C10,缺陷明细!$J$2:$J$50000,"评审",缺陷明细!$AB$2:$AB$50000,"&lt;&gt;丢弃",缺陷明细!$AB$2:$AB$50000,"&lt;&gt;设计如此",缺陷明细!$AB$2:$AB$50000,"&lt;&gt;重复Bug")</f>
        <v>0</v>
      </c>
      <c r="I10" s="154">
        <f>COUNTIFS(缺陷明细!$A$2:$A$50000,$B$4,缺陷明细!$G$2:$G$50000,$C10,缺陷明细!$Q$2:$Q$50000,"已关闭",缺陷明细!$J$2:$J$50000,"评审")</f>
        <v>0</v>
      </c>
      <c r="J10" s="154">
        <f>COUNTIFS(缺陷明细!$A$2:$A$50000,$B$4,缺陷明细!$G$2:$G$50000,$C10,缺陷明细!$J$2:$J$50000,"单元测试",缺陷明细!$AB$2:$AB$50000,"&lt;&gt;丢弃",缺陷明细!$AB$2:$AB$50000,"&lt;&gt;设计如此",缺陷明细!$AB$2:$AB$50000,"&lt;&gt;重复Bug")</f>
        <v>0</v>
      </c>
      <c r="K10" s="155">
        <f>COUNTIFS(缺陷明细!$A$2:$A$50000,$B$4,缺陷明细!$G$2:$G$50000,$C10,缺陷明细!$Q$2:$Q$50000,"已关闭",缺陷明细!$J$2:$J$50000,"单元测试")</f>
        <v>0</v>
      </c>
      <c r="L10" s="156"/>
      <c r="M10" s="157"/>
      <c r="N10" s="72">
        <f>COUNTIFS(缺陷明细!$A$2:$A$50000,$B$4,缺陷明细!$G$2:$G$50000,$C10,缺陷明细!$J$2:$J$50000,"系统测试案例评审",缺陷明细!$AB$2:$AB$50000,"&lt;&gt;丢弃",缺陷明细!$AB$2:$AB$50000,"&lt;&gt;设计如此",缺陷明细!$AB$2:$AB$50000,"&lt;&gt;重复Bug")</f>
        <v>0</v>
      </c>
      <c r="O10" s="72">
        <f>COUNTIFS(缺陷明细!$A$2:$A$50000,$B$4,缺陷明细!$G$2:$G$50000,$C10,缺陷明细!$Q$2:$Q$50000,"已关闭",缺陷明细!$J$2:$J$50000,"系统测试案例评审")</f>
        <v>0</v>
      </c>
      <c r="P10" s="72">
        <f>COUNTIFS(缺陷明细!$A$2:$A$50000,$B$4,缺陷明细!$G$2:$G$50000,$C10,缺陷明细!$J$2:$J$50000,"系统测试",缺陷明细!$AB$2:$AB$50000,"&lt;&gt;丢弃",缺陷明细!$AB$2:$AB$50000,"&lt;&gt;设计如此",缺陷明细!$AB$2:$AB$50000,"&lt;&gt;重复Bug")</f>
        <v>0</v>
      </c>
      <c r="Q10" s="72">
        <f>COUNTIFS(缺陷明细!$A$2:$A$50000,$B$4,缺陷明细!$G$2:$G$50000,$C10,缺陷明细!$Q$2:$Q$50000,"已关闭",缺陷明细!$J$2:$J$50000,"系统测试")</f>
        <v>0</v>
      </c>
      <c r="R10" s="296">
        <f>COUNTIFS(缺陷明细!$A$2:$A$50000,$B$4,缺陷明细!$G$2:$G$50000,$C10,缺陷明细!$AB$2:$AB$50000,"丢弃",缺陷明细!$J$2:$J$50000,"系统测试")+COUNTIFS(缺陷明细!$A$2:$A$50000,$B$4,缺陷明细!$G$2:$G$50000,$C10,缺陷明细!$AB$2:$AB$50000,"设计如此",缺陷明细!$J$2:$J$50000,"系统测试")+COUNTIFS(缺陷明细!$A$2:$A$50000,$B$4,缺陷明细!$G$2:$G$50000,$C10,缺陷明细!$AB$2:$AB$50000,"重复Bug",缺陷明细!$J$2:$J$50000,"系统测试")</f>
        <v>0</v>
      </c>
      <c r="S10" s="72">
        <f>COUNTIFS(缺陷明细!$A$2:$A$50000,$B$4,缺陷明细!$G$2:$G$50000,$C10,缺陷明细!$J$2:$J$50000,"系统测试",缺陷明细!$K$2:$K$50000,"致命",缺陷明细!$AB$2:$AB$50000,"&lt;&gt;丢弃",缺陷明细!$AB$2:$AB$50000,"&lt;&gt;设计如此",缺陷明细!$AB$2:$AB$50000,"&lt;&gt;重复Bug")+COUNTIFS(缺陷明细!$A$2:$A$50000,$B$4,缺陷明细!$G$2:$G$50000,$C10,缺陷明细!$J$2:$J$50000,"系统测试",缺陷明细!$K$2:$K$50000,"严重",缺陷明细!$AB$2:$AB$50000,"&lt;&gt;丢弃",缺陷明细!$AB$2:$AB$50000,"&lt;&gt;设计如此",缺陷明细!$AB$2:$AB$50000,"&lt;&gt;重复Bug")</f>
        <v>0</v>
      </c>
      <c r="T10" s="73">
        <f>COUNTIFS(缺陷明细!$A$2:$A$50000,$B$4,缺陷明细!$G$2:$G$50000,$C10,缺陷明细!$Q$2:$Q$50000,"已关闭",缺陷明细!$J$2:$J$50000,"系统测试",缺陷明细!$K$2:$K$50000,"致命")+COUNTIFS(缺陷明细!$A$2:$A$50000,$B$4,缺陷明细!$G$2:$G$50000,$C10,缺陷明细!$Q$2:$Q$50000,"已关闭",缺陷明细!$J$2:$J$50000,"系统测试",缺陷明细!$K$2:$K$50000,"严重")</f>
        <v>0</v>
      </c>
      <c r="U10" s="74">
        <f>COUNTIFS(缺陷明细!$A$2:$A$50000,$B$4,缺陷明细!$G$2:$G$50000,$C10,缺陷明细!$J$2:$J$50000,"验收测试",缺陷明细!$AB$2:$AB$50000,"&lt;&gt;丢弃",缺陷明细!$AB$2:$AB$50000,"&lt;&gt;设计如此",缺陷明细!$AB$2:$AB$50000,"&lt;&gt;重复Bug")</f>
        <v>0</v>
      </c>
      <c r="V10" s="75">
        <f>COUNTIFS(缺陷明细!$A$2:$A$50000,$B$4,缺陷明细!$G$2:$G$50000,$C10,缺陷明细!$Q$2:$Q$50000,"已关闭",缺陷明细!$J$2:$J$50000,"验收测试")</f>
        <v>0</v>
      </c>
      <c r="W10" s="75">
        <f>COUNTIFS(缺陷明细!$A$2:$A$50000,$B$4,缺陷明细!$G$2:$G$50000,$C10,缺陷明细!$J$2:$J$50000,"验收测试",缺陷明细!$K$2:$K$50000,"致命",缺陷明细!$AB$2:$AB$50000,"&lt;&gt;丢弃",缺陷明细!$AB$2:$AB$50000,"&lt;&gt;设计如此",缺陷明细!$AB$2:$AB$50000,"&lt;&gt;重复Bug")+COUNTIFS(缺陷明细!$A$2:$A$50000,$B$4,缺陷明细!$G$2:$G$50000,$C10,缺陷明细!$J$2:$J$50000,"验收测试",缺陷明细!$K$2:$K$50000,"严重",缺陷明细!$AB$2:$AB$50000,"&lt;&gt;丢弃",缺陷明细!$AB$2:$AB$50000,"&lt;&gt;设计如此",缺陷明细!$AB$2:$AB$50000,"&lt;&gt;重复Bug")</f>
        <v>0</v>
      </c>
      <c r="X10" s="76">
        <f>COUNTIFS(缺陷明细!$A$2:$A$50000,$B$4,缺陷明细!$G$2:$G$50000,$C10,缺陷明细!$Q$2:$Q$50000,"已关闭",缺陷明细!$J$2:$J$50000,"验收测试",缺陷明细!$K$2:$K$50000,"致命")+COUNTIFS(缺陷明细!$A$2:$A$50000,$B$4,缺陷明细!$G$2:$G$50000,$C10,缺陷明细!$Q$2:$Q$50000,"已关闭",缺陷明细!$J$2:$J$50000,"验收测试",缺陷明细!$K$2:$K$50000,"严重")</f>
        <v>0</v>
      </c>
      <c r="Y10" s="70">
        <f>COUNTIFS(缺陷明细!$A$2:$A$50000,$B$4,缺陷明细!$G$2:$G$50000,$C10,缺陷明细!$J$2:$J$50000,"运维测试",缺陷明细!$AB$2:$AB$50000,"&lt;&gt;丢弃",缺陷明细!$AB$2:$AB$50000,"&lt;&gt;设计如此",缺陷明细!$AB$2:$AB$50000,"&lt;&gt;重复Bug")</f>
        <v>0</v>
      </c>
      <c r="Z10" s="71">
        <f>COUNTIFS(缺陷明细!$A$2:$A$50000,$B$4,缺陷明细!$G$2:$G$50000,$C10,缺陷明细!$Q$2:$Q$50000,"已关闭",缺陷明细!$J$2:$J$50000,"运维测试")</f>
        <v>0</v>
      </c>
      <c r="AA10" s="72">
        <f>COUNTIFS(缺陷明细!$A$2:$A$50000,$B$4,缺陷明细!$G$2:$G$50000,$C10,缺陷明细!$J$2:$J$50000,"运维测试",缺陷明细!$K$2:$K$50000,"致命",缺陷明细!$AB$2:$AB$50000,"&lt;&gt;丢弃",缺陷明细!$AB$2:$AB$50000,"&lt;&gt;设计如此",缺陷明细!$AB$2:$AB$50000,"&lt;&gt;重复Bug")+COUNTIFS(缺陷明细!$A$2:$A$50000,$B$4,缺陷明细!$G$2:$G$50000,$C10,缺陷明细!$J$2:$J$50000,"运维测试",缺陷明细!$K$2:$K$50000,"严重",缺陷明细!$AB$2:$AB$50000,"&lt;&gt;丢弃",缺陷明细!$AB$2:$AB$50000,"&lt;&gt;设计如此",缺陷明细!$AB$2:$AB$50000,"&lt;&gt;重复Bug")</f>
        <v>0</v>
      </c>
      <c r="AB10" s="73">
        <f>COUNTIFS(缺陷明细!$A$2:$A$50000,$B$4,缺陷明细!$G$2:$G$50000,$C10,缺陷明细!$Q$2:$Q$50000,"已关闭",缺陷明细!$J$2:$J$50000,"运维测试",缺陷明细!$K$2:$K$50000,"致命")+COUNTIFS(缺陷明细!$A$2:$A$50000,$B$4,缺陷明细!$G$2:$G$50000,$C10,缺陷明细!$Q$2:$Q$50000,"已关闭",缺陷明细!$J$2:$J$50000,"运维测试",缺陷明细!$K$2:$K$50000,"严重")</f>
        <v>0</v>
      </c>
      <c r="AC10" s="68">
        <f t="shared" si="0"/>
        <v>0</v>
      </c>
      <c r="AD10" s="60">
        <f t="shared" si="0"/>
        <v>0</v>
      </c>
      <c r="AE10" s="60">
        <f t="shared" si="1"/>
        <v>0</v>
      </c>
      <c r="AF10" s="60">
        <f t="shared" si="1"/>
        <v>0</v>
      </c>
      <c r="AG10" s="60">
        <f t="shared" si="2"/>
        <v>0</v>
      </c>
      <c r="AH10" s="60">
        <f t="shared" si="2"/>
        <v>0</v>
      </c>
      <c r="AI10" s="60">
        <f t="shared" si="3"/>
        <v>0</v>
      </c>
      <c r="AJ10" s="61">
        <f t="shared" si="3"/>
        <v>0</v>
      </c>
      <c r="AK10" s="144"/>
    </row>
    <row r="11" spans="1:37">
      <c r="A11">
        <v>7</v>
      </c>
      <c r="B11" s="57"/>
      <c r="C11" s="58"/>
      <c r="D11" s="84"/>
      <c r="E11" s="82"/>
      <c r="F11" s="158"/>
      <c r="G11" s="159"/>
      <c r="H11" s="281">
        <f>COUNTIFS(缺陷明细!$A$2:$A$50000,$B$4,缺陷明细!$G$2:$G$50000,$C11,缺陷明细!$J$2:$J$50000,"评审",缺陷明细!$AB$2:$AB$50000,"&lt;&gt;丢弃",缺陷明细!$AB$2:$AB$50000,"&lt;&gt;设计如此",缺陷明细!$AB$2:$AB$50000,"&lt;&gt;重复Bug")</f>
        <v>0</v>
      </c>
      <c r="I11" s="154">
        <f>COUNTIFS(缺陷明细!$A$2:$A$50000,$B$4,缺陷明细!$G$2:$G$50000,$C11,缺陷明细!$Q$2:$Q$50000,"已关闭",缺陷明细!$J$2:$J$50000,"评审")</f>
        <v>0</v>
      </c>
      <c r="J11" s="154">
        <f>COUNTIFS(缺陷明细!$A$2:$A$50000,$B$4,缺陷明细!$G$2:$G$50000,$C11,缺陷明细!$J$2:$J$50000,"单元测试",缺陷明细!$AB$2:$AB$50000,"&lt;&gt;丢弃",缺陷明细!$AB$2:$AB$50000,"&lt;&gt;设计如此",缺陷明细!$AB$2:$AB$50000,"&lt;&gt;重复Bug")</f>
        <v>0</v>
      </c>
      <c r="K11" s="155">
        <f>COUNTIFS(缺陷明细!$A$2:$A$50000,$B$4,缺陷明细!$G$2:$G$50000,$C11,缺陷明细!$Q$2:$Q$50000,"已关闭",缺陷明细!$J$2:$J$50000,"单元测试")</f>
        <v>0</v>
      </c>
      <c r="L11" s="156"/>
      <c r="M11" s="157"/>
      <c r="N11" s="72">
        <f>COUNTIFS(缺陷明细!$A$2:$A$50000,$B$4,缺陷明细!$G$2:$G$50000,$C11,缺陷明细!$J$2:$J$50000,"系统测试案例评审",缺陷明细!$AB$2:$AB$50000,"&lt;&gt;丢弃",缺陷明细!$AB$2:$AB$50000,"&lt;&gt;设计如此",缺陷明细!$AB$2:$AB$50000,"&lt;&gt;重复Bug")</f>
        <v>0</v>
      </c>
      <c r="O11" s="72">
        <f>COUNTIFS(缺陷明细!$A$2:$A$50000,$B$4,缺陷明细!$G$2:$G$50000,$C11,缺陷明细!$Q$2:$Q$50000,"已关闭",缺陷明细!$J$2:$J$50000,"系统测试案例评审")</f>
        <v>0</v>
      </c>
      <c r="P11" s="72">
        <f>COUNTIFS(缺陷明细!$A$2:$A$50000,$B$4,缺陷明细!$G$2:$G$50000,$C11,缺陷明细!$J$2:$J$50000,"系统测试",缺陷明细!$AB$2:$AB$50000,"&lt;&gt;丢弃",缺陷明细!$AB$2:$AB$50000,"&lt;&gt;设计如此",缺陷明细!$AB$2:$AB$50000,"&lt;&gt;重复Bug")</f>
        <v>0</v>
      </c>
      <c r="Q11" s="72">
        <f>COUNTIFS(缺陷明细!$A$2:$A$50000,$B$4,缺陷明细!$G$2:$G$50000,$C11,缺陷明细!$Q$2:$Q$50000,"已关闭",缺陷明细!$J$2:$J$50000,"系统测试")</f>
        <v>0</v>
      </c>
      <c r="R11" s="296">
        <f>COUNTIFS(缺陷明细!$A$2:$A$50000,$B$4,缺陷明细!$G$2:$G$50000,$C11,缺陷明细!$AB$2:$AB$50000,"丢弃",缺陷明细!$J$2:$J$50000,"系统测试")+COUNTIFS(缺陷明细!$A$2:$A$50000,$B$4,缺陷明细!$G$2:$G$50000,$C11,缺陷明细!$AB$2:$AB$50000,"设计如此",缺陷明细!$J$2:$J$50000,"系统测试")+COUNTIFS(缺陷明细!$A$2:$A$50000,$B$4,缺陷明细!$G$2:$G$50000,$C11,缺陷明细!$AB$2:$AB$50000,"重复Bug",缺陷明细!$J$2:$J$50000,"系统测试")</f>
        <v>0</v>
      </c>
      <c r="S11" s="72">
        <f>COUNTIFS(缺陷明细!$A$2:$A$50000,$B$4,缺陷明细!$G$2:$G$50000,$C11,缺陷明细!$J$2:$J$50000,"系统测试",缺陷明细!$K$2:$K$50000,"致命",缺陷明细!$AB$2:$AB$50000,"&lt;&gt;丢弃",缺陷明细!$AB$2:$AB$50000,"&lt;&gt;设计如此",缺陷明细!$AB$2:$AB$50000,"&lt;&gt;重复Bug")+COUNTIFS(缺陷明细!$A$2:$A$50000,$B$4,缺陷明细!$G$2:$G$50000,$C11,缺陷明细!$J$2:$J$50000,"系统测试",缺陷明细!$K$2:$K$50000,"严重",缺陷明细!$AB$2:$AB$50000,"&lt;&gt;丢弃",缺陷明细!$AB$2:$AB$50000,"&lt;&gt;设计如此",缺陷明细!$AB$2:$AB$50000,"&lt;&gt;重复Bug")</f>
        <v>0</v>
      </c>
      <c r="T11" s="73">
        <f>COUNTIFS(缺陷明细!$A$2:$A$50000,$B$4,缺陷明细!$G$2:$G$50000,$C11,缺陷明细!$Q$2:$Q$50000,"已关闭",缺陷明细!$J$2:$J$50000,"系统测试",缺陷明细!$K$2:$K$50000,"致命")+COUNTIFS(缺陷明细!$A$2:$A$50000,$B$4,缺陷明细!$G$2:$G$50000,$C11,缺陷明细!$Q$2:$Q$50000,"已关闭",缺陷明细!$J$2:$J$50000,"系统测试",缺陷明细!$K$2:$K$50000,"严重")</f>
        <v>0</v>
      </c>
      <c r="U11" s="74">
        <f>COUNTIFS(缺陷明细!$A$2:$A$50000,$B$4,缺陷明细!$G$2:$G$50000,$C11,缺陷明细!$J$2:$J$50000,"验收测试",缺陷明细!$AB$2:$AB$50000,"&lt;&gt;丢弃",缺陷明细!$AB$2:$AB$50000,"&lt;&gt;设计如此",缺陷明细!$AB$2:$AB$50000,"&lt;&gt;重复Bug")</f>
        <v>0</v>
      </c>
      <c r="V11" s="75">
        <f>COUNTIFS(缺陷明细!$A$2:$A$50000,$B$4,缺陷明细!$G$2:$G$50000,$C11,缺陷明细!$Q$2:$Q$50000,"已关闭",缺陷明细!$J$2:$J$50000,"验收测试")</f>
        <v>0</v>
      </c>
      <c r="W11" s="75">
        <f>COUNTIFS(缺陷明细!$A$2:$A$50000,$B$4,缺陷明细!$G$2:$G$50000,$C11,缺陷明细!$J$2:$J$50000,"验收测试",缺陷明细!$K$2:$K$50000,"致命",缺陷明细!$AB$2:$AB$50000,"&lt;&gt;丢弃",缺陷明细!$AB$2:$AB$50000,"&lt;&gt;设计如此",缺陷明细!$AB$2:$AB$50000,"&lt;&gt;重复Bug")+COUNTIFS(缺陷明细!$A$2:$A$50000,$B$4,缺陷明细!$G$2:$G$50000,$C11,缺陷明细!$J$2:$J$50000,"验收测试",缺陷明细!$K$2:$K$50000,"严重",缺陷明细!$AB$2:$AB$50000,"&lt;&gt;丢弃",缺陷明细!$AB$2:$AB$50000,"&lt;&gt;设计如此",缺陷明细!$AB$2:$AB$50000,"&lt;&gt;重复Bug")</f>
        <v>0</v>
      </c>
      <c r="X11" s="76">
        <f>COUNTIFS(缺陷明细!$A$2:$A$50000,$B$4,缺陷明细!$G$2:$G$50000,$C11,缺陷明细!$Q$2:$Q$50000,"已关闭",缺陷明细!$J$2:$J$50000,"验收测试",缺陷明细!$K$2:$K$50000,"致命")+COUNTIFS(缺陷明细!$A$2:$A$50000,$B$4,缺陷明细!$G$2:$G$50000,$C11,缺陷明细!$Q$2:$Q$50000,"已关闭",缺陷明细!$J$2:$J$50000,"验收测试",缺陷明细!$K$2:$K$50000,"严重")</f>
        <v>0</v>
      </c>
      <c r="Y11" s="70">
        <f>COUNTIFS(缺陷明细!$A$2:$A$50000,$B$4,缺陷明细!$G$2:$G$50000,$C11,缺陷明细!$J$2:$J$50000,"运维测试",缺陷明细!$AB$2:$AB$50000,"&lt;&gt;丢弃",缺陷明细!$AB$2:$AB$50000,"&lt;&gt;设计如此",缺陷明细!$AB$2:$AB$50000,"&lt;&gt;重复Bug")</f>
        <v>0</v>
      </c>
      <c r="Z11" s="71">
        <f>COUNTIFS(缺陷明细!$A$2:$A$50000,$B$4,缺陷明细!$G$2:$G$50000,$C11,缺陷明细!$Q$2:$Q$50000,"已关闭",缺陷明细!$J$2:$J$50000,"运维测试")</f>
        <v>0</v>
      </c>
      <c r="AA11" s="72">
        <f>COUNTIFS(缺陷明细!$A$2:$A$50000,$B$4,缺陷明细!$G$2:$G$50000,$C11,缺陷明细!$J$2:$J$50000,"运维测试",缺陷明细!$K$2:$K$50000,"致命",缺陷明细!$AB$2:$AB$50000,"&lt;&gt;丢弃",缺陷明细!$AB$2:$AB$50000,"&lt;&gt;设计如此",缺陷明细!$AB$2:$AB$50000,"&lt;&gt;重复Bug")+COUNTIFS(缺陷明细!$A$2:$A$50000,$B$4,缺陷明细!$G$2:$G$50000,$C11,缺陷明细!$J$2:$J$50000,"运维测试",缺陷明细!$K$2:$K$50000,"严重",缺陷明细!$AB$2:$AB$50000,"&lt;&gt;丢弃",缺陷明细!$AB$2:$AB$50000,"&lt;&gt;设计如此",缺陷明细!$AB$2:$AB$50000,"&lt;&gt;重复Bug")</f>
        <v>0</v>
      </c>
      <c r="AB11" s="73">
        <f>COUNTIFS(缺陷明细!$A$2:$A$50000,$B$4,缺陷明细!$G$2:$G$50000,$C11,缺陷明细!$Q$2:$Q$50000,"已关闭",缺陷明细!$J$2:$J$50000,"运维测试",缺陷明细!$K$2:$K$50000,"致命")+COUNTIFS(缺陷明细!$A$2:$A$50000,$B$4,缺陷明细!$G$2:$G$50000,$C11,缺陷明细!$Q$2:$Q$50000,"已关闭",缺陷明细!$J$2:$J$50000,"运维测试",缺陷明细!$K$2:$K$50000,"严重")</f>
        <v>0</v>
      </c>
      <c r="AC11" s="68">
        <f t="shared" si="0"/>
        <v>0</v>
      </c>
      <c r="AD11" s="60">
        <f t="shared" si="0"/>
        <v>0</v>
      </c>
      <c r="AE11" s="60">
        <f t="shared" si="1"/>
        <v>0</v>
      </c>
      <c r="AF11" s="60">
        <f t="shared" si="1"/>
        <v>0</v>
      </c>
      <c r="AG11" s="60">
        <f t="shared" si="2"/>
        <v>0</v>
      </c>
      <c r="AH11" s="60">
        <f t="shared" si="2"/>
        <v>0</v>
      </c>
      <c r="AI11" s="60">
        <f t="shared" si="3"/>
        <v>0</v>
      </c>
      <c r="AJ11" s="61">
        <f t="shared" si="3"/>
        <v>0</v>
      </c>
      <c r="AK11" s="144"/>
    </row>
    <row r="12" spans="1:37">
      <c r="A12">
        <v>8</v>
      </c>
      <c r="B12" s="57"/>
      <c r="C12" s="58"/>
      <c r="D12" s="84"/>
      <c r="E12" s="82"/>
      <c r="F12" s="158"/>
      <c r="G12" s="159"/>
      <c r="H12" s="281">
        <f>COUNTIFS(缺陷明细!$A$2:$A$50000,$B$4,缺陷明细!$G$2:$G$50000,$C12,缺陷明细!$J$2:$J$50000,"评审",缺陷明细!$AB$2:$AB$50000,"&lt;&gt;丢弃",缺陷明细!$AB$2:$AB$50000,"&lt;&gt;设计如此",缺陷明细!$AB$2:$AB$50000,"&lt;&gt;重复Bug")</f>
        <v>0</v>
      </c>
      <c r="I12" s="154">
        <f>COUNTIFS(缺陷明细!$A$2:$A$50000,$B$4,缺陷明细!$G$2:$G$50000,$C12,缺陷明细!$Q$2:$Q$50000,"已关闭",缺陷明细!$J$2:$J$50000,"评审")</f>
        <v>0</v>
      </c>
      <c r="J12" s="154">
        <f>COUNTIFS(缺陷明细!$A$2:$A$50000,$B$4,缺陷明细!$G$2:$G$50000,$C12,缺陷明细!$J$2:$J$50000,"单元测试",缺陷明细!$AB$2:$AB$50000,"&lt;&gt;丢弃",缺陷明细!$AB$2:$AB$50000,"&lt;&gt;设计如此",缺陷明细!$AB$2:$AB$50000,"&lt;&gt;重复Bug")</f>
        <v>0</v>
      </c>
      <c r="K12" s="155">
        <f>COUNTIFS(缺陷明细!$A$2:$A$50000,$B$4,缺陷明细!$G$2:$G$50000,$C12,缺陷明细!$Q$2:$Q$50000,"已关闭",缺陷明细!$J$2:$J$50000,"单元测试")</f>
        <v>0</v>
      </c>
      <c r="L12" s="156"/>
      <c r="M12" s="157"/>
      <c r="N12" s="72">
        <f>COUNTIFS(缺陷明细!$A$2:$A$50000,$B$4,缺陷明细!$G$2:$G$50000,$C12,缺陷明细!$J$2:$J$50000,"系统测试案例评审",缺陷明细!$AB$2:$AB$50000,"&lt;&gt;丢弃",缺陷明细!$AB$2:$AB$50000,"&lt;&gt;设计如此",缺陷明细!$AB$2:$AB$50000,"&lt;&gt;重复Bug")</f>
        <v>0</v>
      </c>
      <c r="O12" s="72">
        <f>COUNTIFS(缺陷明细!$A$2:$A$50000,$B$4,缺陷明细!$G$2:$G$50000,$C12,缺陷明细!$Q$2:$Q$50000,"已关闭",缺陷明细!$J$2:$J$50000,"系统测试案例评审")</f>
        <v>0</v>
      </c>
      <c r="P12" s="72">
        <f>COUNTIFS(缺陷明细!$A$2:$A$50000,$B$4,缺陷明细!$G$2:$G$50000,$C12,缺陷明细!$J$2:$J$50000,"系统测试",缺陷明细!$AB$2:$AB$50000,"&lt;&gt;丢弃",缺陷明细!$AB$2:$AB$50000,"&lt;&gt;设计如此",缺陷明细!$AB$2:$AB$50000,"&lt;&gt;重复Bug")</f>
        <v>0</v>
      </c>
      <c r="Q12" s="72">
        <f>COUNTIFS(缺陷明细!$A$2:$A$50000,$B$4,缺陷明细!$G$2:$G$50000,$C12,缺陷明细!$Q$2:$Q$50000,"已关闭",缺陷明细!$J$2:$J$50000,"系统测试")</f>
        <v>0</v>
      </c>
      <c r="R12" s="296">
        <f>COUNTIFS(缺陷明细!$A$2:$A$50000,$B$4,缺陷明细!$G$2:$G$50000,$C12,缺陷明细!$AB$2:$AB$50000,"丢弃",缺陷明细!$J$2:$J$50000,"系统测试")+COUNTIFS(缺陷明细!$A$2:$A$50000,$B$4,缺陷明细!$G$2:$G$50000,$C12,缺陷明细!$AB$2:$AB$50000,"设计如此",缺陷明细!$J$2:$J$50000,"系统测试")+COUNTIFS(缺陷明细!$A$2:$A$50000,$B$4,缺陷明细!$G$2:$G$50000,$C12,缺陷明细!$AB$2:$AB$50000,"重复Bug",缺陷明细!$J$2:$J$50000,"系统测试")</f>
        <v>0</v>
      </c>
      <c r="S12" s="72">
        <f>COUNTIFS(缺陷明细!$A$2:$A$50000,$B$4,缺陷明细!$G$2:$G$50000,$C12,缺陷明细!$J$2:$J$50000,"系统测试",缺陷明细!$K$2:$K$50000,"致命",缺陷明细!$AB$2:$AB$50000,"&lt;&gt;丢弃",缺陷明细!$AB$2:$AB$50000,"&lt;&gt;设计如此",缺陷明细!$AB$2:$AB$50000,"&lt;&gt;重复Bug")+COUNTIFS(缺陷明细!$A$2:$A$50000,$B$4,缺陷明细!$G$2:$G$50000,$C12,缺陷明细!$J$2:$J$50000,"系统测试",缺陷明细!$K$2:$K$50000,"严重",缺陷明细!$AB$2:$AB$50000,"&lt;&gt;丢弃",缺陷明细!$AB$2:$AB$50000,"&lt;&gt;设计如此",缺陷明细!$AB$2:$AB$50000,"&lt;&gt;重复Bug")</f>
        <v>0</v>
      </c>
      <c r="T12" s="73">
        <f>COUNTIFS(缺陷明细!$A$2:$A$50000,$B$4,缺陷明细!$G$2:$G$50000,$C12,缺陷明细!$Q$2:$Q$50000,"已关闭",缺陷明细!$J$2:$J$50000,"系统测试",缺陷明细!$K$2:$K$50000,"致命")+COUNTIFS(缺陷明细!$A$2:$A$50000,$B$4,缺陷明细!$G$2:$G$50000,$C12,缺陷明细!$Q$2:$Q$50000,"已关闭",缺陷明细!$J$2:$J$50000,"系统测试",缺陷明细!$K$2:$K$50000,"严重")</f>
        <v>0</v>
      </c>
      <c r="U12" s="74">
        <f>COUNTIFS(缺陷明细!$A$2:$A$50000,$B$4,缺陷明细!$G$2:$G$50000,$C12,缺陷明细!$J$2:$J$50000,"验收测试",缺陷明细!$AB$2:$AB$50000,"&lt;&gt;丢弃",缺陷明细!$AB$2:$AB$50000,"&lt;&gt;设计如此",缺陷明细!$AB$2:$AB$50000,"&lt;&gt;重复Bug")</f>
        <v>0</v>
      </c>
      <c r="V12" s="75">
        <f>COUNTIFS(缺陷明细!$A$2:$A$50000,$B$4,缺陷明细!$G$2:$G$50000,$C12,缺陷明细!$Q$2:$Q$50000,"已关闭",缺陷明细!$J$2:$J$50000,"验收测试")</f>
        <v>0</v>
      </c>
      <c r="W12" s="75">
        <f>COUNTIFS(缺陷明细!$A$2:$A$50000,$B$4,缺陷明细!$G$2:$G$50000,$C12,缺陷明细!$J$2:$J$50000,"验收测试",缺陷明细!$K$2:$K$50000,"致命",缺陷明细!$AB$2:$AB$50000,"&lt;&gt;丢弃",缺陷明细!$AB$2:$AB$50000,"&lt;&gt;设计如此",缺陷明细!$AB$2:$AB$50000,"&lt;&gt;重复Bug")+COUNTIFS(缺陷明细!$A$2:$A$50000,$B$4,缺陷明细!$G$2:$G$50000,$C12,缺陷明细!$J$2:$J$50000,"验收测试",缺陷明细!$K$2:$K$50000,"严重",缺陷明细!$AB$2:$AB$50000,"&lt;&gt;丢弃",缺陷明细!$AB$2:$AB$50000,"&lt;&gt;设计如此",缺陷明细!$AB$2:$AB$50000,"&lt;&gt;重复Bug")</f>
        <v>0</v>
      </c>
      <c r="X12" s="76">
        <f>COUNTIFS(缺陷明细!$A$2:$A$50000,$B$4,缺陷明细!$G$2:$G$50000,$C12,缺陷明细!$Q$2:$Q$50000,"已关闭",缺陷明细!$J$2:$J$50000,"验收测试",缺陷明细!$K$2:$K$50000,"致命")+COUNTIFS(缺陷明细!$A$2:$A$50000,$B$4,缺陷明细!$G$2:$G$50000,$C12,缺陷明细!$Q$2:$Q$50000,"已关闭",缺陷明细!$J$2:$J$50000,"验收测试",缺陷明细!$K$2:$K$50000,"严重")</f>
        <v>0</v>
      </c>
      <c r="Y12" s="70">
        <f>COUNTIFS(缺陷明细!$A$2:$A$50000,$B$4,缺陷明细!$G$2:$G$50000,$C12,缺陷明细!$J$2:$J$50000,"运维测试",缺陷明细!$AB$2:$AB$50000,"&lt;&gt;丢弃",缺陷明细!$AB$2:$AB$50000,"&lt;&gt;设计如此",缺陷明细!$AB$2:$AB$50000,"&lt;&gt;重复Bug")</f>
        <v>0</v>
      </c>
      <c r="Z12" s="71">
        <f>COUNTIFS(缺陷明细!$A$2:$A$50000,$B$4,缺陷明细!$G$2:$G$50000,$C12,缺陷明细!$Q$2:$Q$50000,"已关闭",缺陷明细!$J$2:$J$50000,"运维测试")</f>
        <v>0</v>
      </c>
      <c r="AA12" s="72">
        <f>COUNTIFS(缺陷明细!$A$2:$A$50000,$B$4,缺陷明细!$G$2:$G$50000,$C12,缺陷明细!$J$2:$J$50000,"运维测试",缺陷明细!$K$2:$K$50000,"致命",缺陷明细!$AB$2:$AB$50000,"&lt;&gt;丢弃",缺陷明细!$AB$2:$AB$50000,"&lt;&gt;设计如此",缺陷明细!$AB$2:$AB$50000,"&lt;&gt;重复Bug")+COUNTIFS(缺陷明细!$A$2:$A$50000,$B$4,缺陷明细!$G$2:$G$50000,$C12,缺陷明细!$J$2:$J$50000,"运维测试",缺陷明细!$K$2:$K$50000,"严重",缺陷明细!$AB$2:$AB$50000,"&lt;&gt;丢弃",缺陷明细!$AB$2:$AB$50000,"&lt;&gt;设计如此",缺陷明细!$AB$2:$AB$50000,"&lt;&gt;重复Bug")</f>
        <v>0</v>
      </c>
      <c r="AB12" s="73">
        <f>COUNTIFS(缺陷明细!$A$2:$A$50000,$B$4,缺陷明细!$G$2:$G$50000,$C12,缺陷明细!$Q$2:$Q$50000,"已关闭",缺陷明细!$J$2:$J$50000,"运维测试",缺陷明细!$K$2:$K$50000,"致命")+COUNTIFS(缺陷明细!$A$2:$A$50000,$B$4,缺陷明细!$G$2:$G$50000,$C12,缺陷明细!$Q$2:$Q$50000,"已关闭",缺陷明细!$J$2:$J$50000,"运维测试",缺陷明细!$K$2:$K$50000,"严重")</f>
        <v>0</v>
      </c>
      <c r="AC12" s="68">
        <f t="shared" si="0"/>
        <v>0</v>
      </c>
      <c r="AD12" s="60">
        <f t="shared" si="0"/>
        <v>0</v>
      </c>
      <c r="AE12" s="60">
        <f t="shared" si="1"/>
        <v>0</v>
      </c>
      <c r="AF12" s="60">
        <f t="shared" si="1"/>
        <v>0</v>
      </c>
      <c r="AG12" s="60">
        <f t="shared" si="2"/>
        <v>0</v>
      </c>
      <c r="AH12" s="60">
        <f t="shared" si="2"/>
        <v>0</v>
      </c>
      <c r="AI12" s="60">
        <f t="shared" si="3"/>
        <v>0</v>
      </c>
      <c r="AJ12" s="61">
        <f t="shared" si="3"/>
        <v>0</v>
      </c>
      <c r="AK12" s="144"/>
    </row>
    <row r="13" spans="1:37">
      <c r="A13">
        <v>9</v>
      </c>
      <c r="B13" s="57"/>
      <c r="C13" s="58"/>
      <c r="D13" s="84"/>
      <c r="E13" s="82"/>
      <c r="F13" s="158"/>
      <c r="G13" s="159"/>
      <c r="H13" s="281">
        <f>COUNTIFS(缺陷明细!$A$2:$A$50000,$B$4,缺陷明细!$G$2:$G$50000,$C13,缺陷明细!$J$2:$J$50000,"评审",缺陷明细!$AB$2:$AB$50000,"&lt;&gt;丢弃",缺陷明细!$AB$2:$AB$50000,"&lt;&gt;设计如此",缺陷明细!$AB$2:$AB$50000,"&lt;&gt;重复Bug")</f>
        <v>0</v>
      </c>
      <c r="I13" s="154">
        <f>COUNTIFS(缺陷明细!$A$2:$A$50000,$B$4,缺陷明细!$G$2:$G$50000,$C13,缺陷明细!$Q$2:$Q$50000,"已关闭",缺陷明细!$J$2:$J$50000,"评审")</f>
        <v>0</v>
      </c>
      <c r="J13" s="154">
        <f>COUNTIFS(缺陷明细!$A$2:$A$50000,$B$4,缺陷明细!$G$2:$G$50000,$C13,缺陷明细!$J$2:$J$50000,"单元测试",缺陷明细!$AB$2:$AB$50000,"&lt;&gt;丢弃",缺陷明细!$AB$2:$AB$50000,"&lt;&gt;设计如此",缺陷明细!$AB$2:$AB$50000,"&lt;&gt;重复Bug")</f>
        <v>0</v>
      </c>
      <c r="K13" s="155">
        <f>COUNTIFS(缺陷明细!$A$2:$A$50000,$B$4,缺陷明细!$G$2:$G$50000,$C13,缺陷明细!$Q$2:$Q$50000,"已关闭",缺陷明细!$J$2:$J$50000,"单元测试")</f>
        <v>0</v>
      </c>
      <c r="L13" s="156"/>
      <c r="M13" s="157"/>
      <c r="N13" s="72">
        <f>COUNTIFS(缺陷明细!$A$2:$A$50000,$B$4,缺陷明细!$G$2:$G$50000,$C13,缺陷明细!$J$2:$J$50000,"系统测试案例评审",缺陷明细!$AB$2:$AB$50000,"&lt;&gt;丢弃",缺陷明细!$AB$2:$AB$50000,"&lt;&gt;设计如此",缺陷明细!$AB$2:$AB$50000,"&lt;&gt;重复Bug")</f>
        <v>0</v>
      </c>
      <c r="O13" s="72">
        <f>COUNTIFS(缺陷明细!$A$2:$A$50000,$B$4,缺陷明细!$G$2:$G$50000,$C13,缺陷明细!$Q$2:$Q$50000,"已关闭",缺陷明细!$J$2:$J$50000,"系统测试案例评审")</f>
        <v>0</v>
      </c>
      <c r="P13" s="72">
        <f>COUNTIFS(缺陷明细!$A$2:$A$50000,$B$4,缺陷明细!$G$2:$G$50000,$C13,缺陷明细!$J$2:$J$50000,"系统测试",缺陷明细!$AB$2:$AB$50000,"&lt;&gt;丢弃",缺陷明细!$AB$2:$AB$50000,"&lt;&gt;设计如此",缺陷明细!$AB$2:$AB$50000,"&lt;&gt;重复Bug")</f>
        <v>0</v>
      </c>
      <c r="Q13" s="72">
        <f>COUNTIFS(缺陷明细!$A$2:$A$50000,$B$4,缺陷明细!$G$2:$G$50000,$C13,缺陷明细!$Q$2:$Q$50000,"已关闭",缺陷明细!$J$2:$J$50000,"系统测试")</f>
        <v>0</v>
      </c>
      <c r="R13" s="296">
        <f>COUNTIFS(缺陷明细!$A$2:$A$50000,$B$4,缺陷明细!$G$2:$G$50000,$C13,缺陷明细!$AB$2:$AB$50000,"丢弃",缺陷明细!$J$2:$J$50000,"系统测试")+COUNTIFS(缺陷明细!$A$2:$A$50000,$B$4,缺陷明细!$G$2:$G$50000,$C13,缺陷明细!$AB$2:$AB$50000,"设计如此",缺陷明细!$J$2:$J$50000,"系统测试")+COUNTIFS(缺陷明细!$A$2:$A$50000,$B$4,缺陷明细!$G$2:$G$50000,$C13,缺陷明细!$AB$2:$AB$50000,"重复Bug",缺陷明细!$J$2:$J$50000,"系统测试")</f>
        <v>0</v>
      </c>
      <c r="S13" s="72">
        <f>COUNTIFS(缺陷明细!$A$2:$A$50000,$B$4,缺陷明细!$G$2:$G$50000,$C13,缺陷明细!$J$2:$J$50000,"系统测试",缺陷明细!$K$2:$K$50000,"致命",缺陷明细!$AB$2:$AB$50000,"&lt;&gt;丢弃",缺陷明细!$AB$2:$AB$50000,"&lt;&gt;设计如此",缺陷明细!$AB$2:$AB$50000,"&lt;&gt;重复Bug")+COUNTIFS(缺陷明细!$A$2:$A$50000,$B$4,缺陷明细!$G$2:$G$50000,$C13,缺陷明细!$J$2:$J$50000,"系统测试",缺陷明细!$K$2:$K$50000,"严重",缺陷明细!$AB$2:$AB$50000,"&lt;&gt;丢弃",缺陷明细!$AB$2:$AB$50000,"&lt;&gt;设计如此",缺陷明细!$AB$2:$AB$50000,"&lt;&gt;重复Bug")</f>
        <v>0</v>
      </c>
      <c r="T13" s="73">
        <f>COUNTIFS(缺陷明细!$A$2:$A$50000,$B$4,缺陷明细!$G$2:$G$50000,$C13,缺陷明细!$Q$2:$Q$50000,"已关闭",缺陷明细!$J$2:$J$50000,"系统测试",缺陷明细!$K$2:$K$50000,"致命")+COUNTIFS(缺陷明细!$A$2:$A$50000,$B$4,缺陷明细!$G$2:$G$50000,$C13,缺陷明细!$Q$2:$Q$50000,"已关闭",缺陷明细!$J$2:$J$50000,"系统测试",缺陷明细!$K$2:$K$50000,"严重")</f>
        <v>0</v>
      </c>
      <c r="U13" s="74">
        <f>COUNTIFS(缺陷明细!$A$2:$A$50000,$B$4,缺陷明细!$G$2:$G$50000,$C13,缺陷明细!$J$2:$J$50000,"验收测试",缺陷明细!$AB$2:$AB$50000,"&lt;&gt;丢弃",缺陷明细!$AB$2:$AB$50000,"&lt;&gt;设计如此",缺陷明细!$AB$2:$AB$50000,"&lt;&gt;重复Bug")</f>
        <v>0</v>
      </c>
      <c r="V13" s="75">
        <f>COUNTIFS(缺陷明细!$A$2:$A$50000,$B$4,缺陷明细!$G$2:$G$50000,$C13,缺陷明细!$Q$2:$Q$50000,"已关闭",缺陷明细!$J$2:$J$50000,"验收测试")</f>
        <v>0</v>
      </c>
      <c r="W13" s="75">
        <f>COUNTIFS(缺陷明细!$A$2:$A$50000,$B$4,缺陷明细!$G$2:$G$50000,$C13,缺陷明细!$J$2:$J$50000,"验收测试",缺陷明细!$K$2:$K$50000,"致命",缺陷明细!$AB$2:$AB$50000,"&lt;&gt;丢弃",缺陷明细!$AB$2:$AB$50000,"&lt;&gt;设计如此",缺陷明细!$AB$2:$AB$50000,"&lt;&gt;重复Bug")+COUNTIFS(缺陷明细!$A$2:$A$50000,$B$4,缺陷明细!$G$2:$G$50000,$C13,缺陷明细!$J$2:$J$50000,"验收测试",缺陷明细!$K$2:$K$50000,"严重",缺陷明细!$AB$2:$AB$50000,"&lt;&gt;丢弃",缺陷明细!$AB$2:$AB$50000,"&lt;&gt;设计如此",缺陷明细!$AB$2:$AB$50000,"&lt;&gt;重复Bug")</f>
        <v>0</v>
      </c>
      <c r="X13" s="76">
        <f>COUNTIFS(缺陷明细!$A$2:$A$50000,$B$4,缺陷明细!$G$2:$G$50000,$C13,缺陷明细!$Q$2:$Q$50000,"已关闭",缺陷明细!$J$2:$J$50000,"验收测试",缺陷明细!$K$2:$K$50000,"致命")+COUNTIFS(缺陷明细!$A$2:$A$50000,$B$4,缺陷明细!$G$2:$G$50000,$C13,缺陷明细!$Q$2:$Q$50000,"已关闭",缺陷明细!$J$2:$J$50000,"验收测试",缺陷明细!$K$2:$K$50000,"严重")</f>
        <v>0</v>
      </c>
      <c r="Y13" s="70">
        <f>COUNTIFS(缺陷明细!$A$2:$A$50000,$B$4,缺陷明细!$G$2:$G$50000,$C13,缺陷明细!$J$2:$J$50000,"运维测试",缺陷明细!$AB$2:$AB$50000,"&lt;&gt;丢弃",缺陷明细!$AB$2:$AB$50000,"&lt;&gt;设计如此",缺陷明细!$AB$2:$AB$50000,"&lt;&gt;重复Bug")</f>
        <v>0</v>
      </c>
      <c r="Z13" s="71">
        <f>COUNTIFS(缺陷明细!$A$2:$A$50000,$B$4,缺陷明细!$G$2:$G$50000,$C13,缺陷明细!$Q$2:$Q$50000,"已关闭",缺陷明细!$J$2:$J$50000,"运维测试")</f>
        <v>0</v>
      </c>
      <c r="AA13" s="72">
        <f>COUNTIFS(缺陷明细!$A$2:$A$50000,$B$4,缺陷明细!$G$2:$G$50000,$C13,缺陷明细!$J$2:$J$50000,"运维测试",缺陷明细!$K$2:$K$50000,"致命",缺陷明细!$AB$2:$AB$50000,"&lt;&gt;丢弃",缺陷明细!$AB$2:$AB$50000,"&lt;&gt;设计如此",缺陷明细!$AB$2:$AB$50000,"&lt;&gt;重复Bug")+COUNTIFS(缺陷明细!$A$2:$A$50000,$B$4,缺陷明细!$G$2:$G$50000,$C13,缺陷明细!$J$2:$J$50000,"运维测试",缺陷明细!$K$2:$K$50000,"严重",缺陷明细!$AB$2:$AB$50000,"&lt;&gt;丢弃",缺陷明细!$AB$2:$AB$50000,"&lt;&gt;设计如此",缺陷明细!$AB$2:$AB$50000,"&lt;&gt;重复Bug")</f>
        <v>0</v>
      </c>
      <c r="AB13" s="73">
        <f>COUNTIFS(缺陷明细!$A$2:$A$50000,$B$4,缺陷明细!$G$2:$G$50000,$C13,缺陷明细!$Q$2:$Q$50000,"已关闭",缺陷明细!$J$2:$J$50000,"运维测试",缺陷明细!$K$2:$K$50000,"致命")+COUNTIFS(缺陷明细!$A$2:$A$50000,$B$4,缺陷明细!$G$2:$G$50000,$C13,缺陷明细!$Q$2:$Q$50000,"已关闭",缺陷明细!$J$2:$J$50000,"运维测试",缺陷明细!$K$2:$K$50000,"严重")</f>
        <v>0</v>
      </c>
      <c r="AC13" s="68">
        <f t="shared" si="0"/>
        <v>0</v>
      </c>
      <c r="AD13" s="60">
        <f t="shared" si="0"/>
        <v>0</v>
      </c>
      <c r="AE13" s="60">
        <f t="shared" si="1"/>
        <v>0</v>
      </c>
      <c r="AF13" s="60">
        <f t="shared" si="1"/>
        <v>0</v>
      </c>
      <c r="AG13" s="60">
        <f t="shared" si="2"/>
        <v>0</v>
      </c>
      <c r="AH13" s="60">
        <f t="shared" si="2"/>
        <v>0</v>
      </c>
      <c r="AI13" s="60">
        <f t="shared" si="3"/>
        <v>0</v>
      </c>
      <c r="AJ13" s="61">
        <f t="shared" si="3"/>
        <v>0</v>
      </c>
      <c r="AK13" s="144"/>
    </row>
    <row r="14" spans="1:37">
      <c r="A14">
        <v>10</v>
      </c>
      <c r="B14" s="57"/>
      <c r="C14" s="58"/>
      <c r="D14" s="84"/>
      <c r="E14" s="82"/>
      <c r="F14" s="158"/>
      <c r="G14" s="159"/>
      <c r="H14" s="281">
        <f>COUNTIFS(缺陷明细!$A$2:$A$50000,$B$4,缺陷明细!$G$2:$G$50000,$C14,缺陷明细!$J$2:$J$50000,"评审",缺陷明细!$AB$2:$AB$50000,"&lt;&gt;丢弃",缺陷明细!$AB$2:$AB$50000,"&lt;&gt;设计如此",缺陷明细!$AB$2:$AB$50000,"&lt;&gt;重复Bug")</f>
        <v>0</v>
      </c>
      <c r="I14" s="154">
        <f>COUNTIFS(缺陷明细!$A$2:$A$50000,$B$4,缺陷明细!$G$2:$G$50000,$C14,缺陷明细!$Q$2:$Q$50000,"已关闭",缺陷明细!$J$2:$J$50000,"评审")</f>
        <v>0</v>
      </c>
      <c r="J14" s="154">
        <f>COUNTIFS(缺陷明细!$A$2:$A$50000,$B$4,缺陷明细!$G$2:$G$50000,$C14,缺陷明细!$J$2:$J$50000,"单元测试",缺陷明细!$AB$2:$AB$50000,"&lt;&gt;丢弃",缺陷明细!$AB$2:$AB$50000,"&lt;&gt;设计如此",缺陷明细!$AB$2:$AB$50000,"&lt;&gt;重复Bug")</f>
        <v>0</v>
      </c>
      <c r="K14" s="155">
        <f>COUNTIFS(缺陷明细!$A$2:$A$50000,$B$4,缺陷明细!$G$2:$G$50000,$C14,缺陷明细!$Q$2:$Q$50000,"已关闭",缺陷明细!$J$2:$J$50000,"单元测试")</f>
        <v>0</v>
      </c>
      <c r="L14" s="156"/>
      <c r="M14" s="157"/>
      <c r="N14" s="72">
        <f>COUNTIFS(缺陷明细!$A$2:$A$50000,$B$4,缺陷明细!$G$2:$G$50000,$C14,缺陷明细!$J$2:$J$50000,"系统测试案例评审",缺陷明细!$AB$2:$AB$50000,"&lt;&gt;丢弃",缺陷明细!$AB$2:$AB$50000,"&lt;&gt;设计如此",缺陷明细!$AB$2:$AB$50000,"&lt;&gt;重复Bug")</f>
        <v>0</v>
      </c>
      <c r="O14" s="72">
        <f>COUNTIFS(缺陷明细!$A$2:$A$50000,$B$4,缺陷明细!$G$2:$G$50000,$C14,缺陷明细!$Q$2:$Q$50000,"已关闭",缺陷明细!$J$2:$J$50000,"系统测试案例评审")</f>
        <v>0</v>
      </c>
      <c r="P14" s="72">
        <f>COUNTIFS(缺陷明细!$A$2:$A$50000,$B$4,缺陷明细!$G$2:$G$50000,$C14,缺陷明细!$J$2:$J$50000,"系统测试",缺陷明细!$AB$2:$AB$50000,"&lt;&gt;丢弃",缺陷明细!$AB$2:$AB$50000,"&lt;&gt;设计如此",缺陷明细!$AB$2:$AB$50000,"&lt;&gt;重复Bug")</f>
        <v>0</v>
      </c>
      <c r="Q14" s="72">
        <f>COUNTIFS(缺陷明细!$A$2:$A$50000,$B$4,缺陷明细!$G$2:$G$50000,$C14,缺陷明细!$Q$2:$Q$50000,"已关闭",缺陷明细!$J$2:$J$50000,"系统测试")</f>
        <v>0</v>
      </c>
      <c r="R14" s="296">
        <f>COUNTIFS(缺陷明细!$A$2:$A$50000,$B$4,缺陷明细!$G$2:$G$50000,$C14,缺陷明细!$AB$2:$AB$50000,"丢弃",缺陷明细!$J$2:$J$50000,"系统测试")+COUNTIFS(缺陷明细!$A$2:$A$50000,$B$4,缺陷明细!$G$2:$G$50000,$C14,缺陷明细!$AB$2:$AB$50000,"设计如此",缺陷明细!$J$2:$J$50000,"系统测试")+COUNTIFS(缺陷明细!$A$2:$A$50000,$B$4,缺陷明细!$G$2:$G$50000,$C14,缺陷明细!$AB$2:$AB$50000,"重复Bug",缺陷明细!$J$2:$J$50000,"系统测试")</f>
        <v>0</v>
      </c>
      <c r="S14" s="72">
        <f>COUNTIFS(缺陷明细!$A$2:$A$50000,$B$4,缺陷明细!$G$2:$G$50000,$C14,缺陷明细!$J$2:$J$50000,"系统测试",缺陷明细!$K$2:$K$50000,"致命",缺陷明细!$AB$2:$AB$50000,"&lt;&gt;丢弃",缺陷明细!$AB$2:$AB$50000,"&lt;&gt;设计如此",缺陷明细!$AB$2:$AB$50000,"&lt;&gt;重复Bug")+COUNTIFS(缺陷明细!$A$2:$A$50000,$B$4,缺陷明细!$G$2:$G$50000,$C14,缺陷明细!$J$2:$J$50000,"系统测试",缺陷明细!$K$2:$K$50000,"严重",缺陷明细!$AB$2:$AB$50000,"&lt;&gt;丢弃",缺陷明细!$AB$2:$AB$50000,"&lt;&gt;设计如此",缺陷明细!$AB$2:$AB$50000,"&lt;&gt;重复Bug")</f>
        <v>0</v>
      </c>
      <c r="T14" s="73">
        <f>COUNTIFS(缺陷明细!$A$2:$A$50000,$B$4,缺陷明细!$G$2:$G$50000,$C14,缺陷明细!$Q$2:$Q$50000,"已关闭",缺陷明细!$J$2:$J$50000,"系统测试",缺陷明细!$K$2:$K$50000,"致命")+COUNTIFS(缺陷明细!$A$2:$A$50000,$B$4,缺陷明细!$G$2:$G$50000,$C14,缺陷明细!$Q$2:$Q$50000,"已关闭",缺陷明细!$J$2:$J$50000,"系统测试",缺陷明细!$K$2:$K$50000,"严重")</f>
        <v>0</v>
      </c>
      <c r="U14" s="74">
        <f>COUNTIFS(缺陷明细!$A$2:$A$50000,$B$4,缺陷明细!$G$2:$G$50000,$C14,缺陷明细!$J$2:$J$50000,"验收测试",缺陷明细!$AB$2:$AB$50000,"&lt;&gt;丢弃",缺陷明细!$AB$2:$AB$50000,"&lt;&gt;设计如此",缺陷明细!$AB$2:$AB$50000,"&lt;&gt;重复Bug")</f>
        <v>0</v>
      </c>
      <c r="V14" s="75">
        <f>COUNTIFS(缺陷明细!$A$2:$A$50000,$B$4,缺陷明细!$G$2:$G$50000,$C14,缺陷明细!$Q$2:$Q$50000,"已关闭",缺陷明细!$J$2:$J$50000,"验收测试")</f>
        <v>0</v>
      </c>
      <c r="W14" s="75">
        <f>COUNTIFS(缺陷明细!$A$2:$A$50000,$B$4,缺陷明细!$G$2:$G$50000,$C14,缺陷明细!$J$2:$J$50000,"验收测试",缺陷明细!$K$2:$K$50000,"致命",缺陷明细!$AB$2:$AB$50000,"&lt;&gt;丢弃",缺陷明细!$AB$2:$AB$50000,"&lt;&gt;设计如此",缺陷明细!$AB$2:$AB$50000,"&lt;&gt;重复Bug")+COUNTIFS(缺陷明细!$A$2:$A$50000,$B$4,缺陷明细!$G$2:$G$50000,$C14,缺陷明细!$J$2:$J$50000,"验收测试",缺陷明细!$K$2:$K$50000,"严重",缺陷明细!$AB$2:$AB$50000,"&lt;&gt;丢弃",缺陷明细!$AB$2:$AB$50000,"&lt;&gt;设计如此",缺陷明细!$AB$2:$AB$50000,"&lt;&gt;重复Bug")</f>
        <v>0</v>
      </c>
      <c r="X14" s="76">
        <f>COUNTIFS(缺陷明细!$A$2:$A$50000,$B$4,缺陷明细!$G$2:$G$50000,$C14,缺陷明细!$Q$2:$Q$50000,"已关闭",缺陷明细!$J$2:$J$50000,"验收测试",缺陷明细!$K$2:$K$50000,"致命")+COUNTIFS(缺陷明细!$A$2:$A$50000,$B$4,缺陷明细!$G$2:$G$50000,$C14,缺陷明细!$Q$2:$Q$50000,"已关闭",缺陷明细!$J$2:$J$50000,"验收测试",缺陷明细!$K$2:$K$50000,"严重")</f>
        <v>0</v>
      </c>
      <c r="Y14" s="70">
        <f>COUNTIFS(缺陷明细!$A$2:$A$50000,$B$4,缺陷明细!$G$2:$G$50000,$C14,缺陷明细!$J$2:$J$50000,"运维测试",缺陷明细!$AB$2:$AB$50000,"&lt;&gt;丢弃",缺陷明细!$AB$2:$AB$50000,"&lt;&gt;设计如此",缺陷明细!$AB$2:$AB$50000,"&lt;&gt;重复Bug")</f>
        <v>0</v>
      </c>
      <c r="Z14" s="71">
        <f>COUNTIFS(缺陷明细!$A$2:$A$50000,$B$4,缺陷明细!$G$2:$G$50000,$C14,缺陷明细!$Q$2:$Q$50000,"已关闭",缺陷明细!$J$2:$J$50000,"运维测试")</f>
        <v>0</v>
      </c>
      <c r="AA14" s="72">
        <f>COUNTIFS(缺陷明细!$A$2:$A$50000,$B$4,缺陷明细!$G$2:$G$50000,$C14,缺陷明细!$J$2:$J$50000,"运维测试",缺陷明细!$K$2:$K$50000,"致命",缺陷明细!$AB$2:$AB$50000,"&lt;&gt;丢弃",缺陷明细!$AB$2:$AB$50000,"&lt;&gt;设计如此",缺陷明细!$AB$2:$AB$50000,"&lt;&gt;重复Bug")+COUNTIFS(缺陷明细!$A$2:$A$50000,$B$4,缺陷明细!$G$2:$G$50000,$C14,缺陷明细!$J$2:$J$50000,"运维测试",缺陷明细!$K$2:$K$50000,"严重",缺陷明细!$AB$2:$AB$50000,"&lt;&gt;丢弃",缺陷明细!$AB$2:$AB$50000,"&lt;&gt;设计如此",缺陷明细!$AB$2:$AB$50000,"&lt;&gt;重复Bug")</f>
        <v>0</v>
      </c>
      <c r="AB14" s="73">
        <f>COUNTIFS(缺陷明细!$A$2:$A$50000,$B$4,缺陷明细!$G$2:$G$50000,$C14,缺陷明细!$Q$2:$Q$50000,"已关闭",缺陷明细!$J$2:$J$50000,"运维测试",缺陷明细!$K$2:$K$50000,"致命")+COUNTIFS(缺陷明细!$A$2:$A$50000,$B$4,缺陷明细!$G$2:$G$50000,$C14,缺陷明细!$Q$2:$Q$50000,"已关闭",缺陷明细!$J$2:$J$50000,"运维测试",缺陷明细!$K$2:$K$50000,"严重")</f>
        <v>0</v>
      </c>
      <c r="AC14" s="68">
        <f t="shared" si="0"/>
        <v>0</v>
      </c>
      <c r="AD14" s="60">
        <f t="shared" si="0"/>
        <v>0</v>
      </c>
      <c r="AE14" s="60">
        <f t="shared" si="1"/>
        <v>0</v>
      </c>
      <c r="AF14" s="60">
        <f t="shared" si="1"/>
        <v>0</v>
      </c>
      <c r="AG14" s="60">
        <f t="shared" si="2"/>
        <v>0</v>
      </c>
      <c r="AH14" s="60">
        <f t="shared" si="2"/>
        <v>0</v>
      </c>
      <c r="AI14" s="60">
        <f t="shared" si="3"/>
        <v>0</v>
      </c>
      <c r="AJ14" s="61">
        <f t="shared" si="3"/>
        <v>0</v>
      </c>
      <c r="AK14" s="144"/>
    </row>
    <row r="15" spans="1:37">
      <c r="A15">
        <v>11</v>
      </c>
      <c r="B15" s="57"/>
      <c r="C15" s="58"/>
      <c r="D15" s="84"/>
      <c r="E15" s="82"/>
      <c r="F15" s="158"/>
      <c r="G15" s="159"/>
      <c r="H15" s="281">
        <f>COUNTIFS(缺陷明细!$A$2:$A$50000,$B$4,缺陷明细!$G$2:$G$50000,$C15,缺陷明细!$J$2:$J$50000,"评审",缺陷明细!$AB$2:$AB$50000,"&lt;&gt;丢弃",缺陷明细!$AB$2:$AB$50000,"&lt;&gt;设计如此",缺陷明细!$AB$2:$AB$50000,"&lt;&gt;重复Bug")</f>
        <v>0</v>
      </c>
      <c r="I15" s="154">
        <f>COUNTIFS(缺陷明细!$A$2:$A$50000,$B$4,缺陷明细!$G$2:$G$50000,$C15,缺陷明细!$Q$2:$Q$50000,"已关闭",缺陷明细!$J$2:$J$50000,"评审")</f>
        <v>0</v>
      </c>
      <c r="J15" s="154">
        <f>COUNTIFS(缺陷明细!$A$2:$A$50000,$B$4,缺陷明细!$G$2:$G$50000,$C15,缺陷明细!$J$2:$J$50000,"单元测试",缺陷明细!$AB$2:$AB$50000,"&lt;&gt;丢弃",缺陷明细!$AB$2:$AB$50000,"&lt;&gt;设计如此",缺陷明细!$AB$2:$AB$50000,"&lt;&gt;重复Bug")</f>
        <v>0</v>
      </c>
      <c r="K15" s="155">
        <f>COUNTIFS(缺陷明细!$A$2:$A$50000,$B$4,缺陷明细!$G$2:$G$50000,$C15,缺陷明细!$Q$2:$Q$50000,"已关闭",缺陷明细!$J$2:$J$50000,"单元测试")</f>
        <v>0</v>
      </c>
      <c r="L15" s="156"/>
      <c r="M15" s="157"/>
      <c r="N15" s="72">
        <f>COUNTIFS(缺陷明细!$A$2:$A$50000,$B$4,缺陷明细!$G$2:$G$50000,$C15,缺陷明细!$J$2:$J$50000,"系统测试案例评审",缺陷明细!$AB$2:$AB$50000,"&lt;&gt;丢弃",缺陷明细!$AB$2:$AB$50000,"&lt;&gt;设计如此",缺陷明细!$AB$2:$AB$50000,"&lt;&gt;重复Bug")</f>
        <v>0</v>
      </c>
      <c r="O15" s="72">
        <f>COUNTIFS(缺陷明细!$A$2:$A$50000,$B$4,缺陷明细!$G$2:$G$50000,$C15,缺陷明细!$Q$2:$Q$50000,"已关闭",缺陷明细!$J$2:$J$50000,"系统测试案例评审")</f>
        <v>0</v>
      </c>
      <c r="P15" s="72">
        <f>COUNTIFS(缺陷明细!$A$2:$A$50000,$B$4,缺陷明细!$G$2:$G$50000,$C15,缺陷明细!$J$2:$J$50000,"系统测试",缺陷明细!$AB$2:$AB$50000,"&lt;&gt;丢弃",缺陷明细!$AB$2:$AB$50000,"&lt;&gt;设计如此",缺陷明细!$AB$2:$AB$50000,"&lt;&gt;重复Bug")</f>
        <v>0</v>
      </c>
      <c r="Q15" s="72">
        <f>COUNTIFS(缺陷明细!$A$2:$A$50000,$B$4,缺陷明细!$G$2:$G$50000,$C15,缺陷明细!$Q$2:$Q$50000,"已关闭",缺陷明细!$J$2:$J$50000,"系统测试")</f>
        <v>0</v>
      </c>
      <c r="R15" s="296">
        <f>COUNTIFS(缺陷明细!$A$2:$A$50000,$B$4,缺陷明细!$G$2:$G$50000,$C15,缺陷明细!$AB$2:$AB$50000,"丢弃",缺陷明细!$J$2:$J$50000,"系统测试")+COUNTIFS(缺陷明细!$A$2:$A$50000,$B$4,缺陷明细!$G$2:$G$50000,$C15,缺陷明细!$AB$2:$AB$50000,"设计如此",缺陷明细!$J$2:$J$50000,"系统测试")+COUNTIFS(缺陷明细!$A$2:$A$50000,$B$4,缺陷明细!$G$2:$G$50000,$C15,缺陷明细!$AB$2:$AB$50000,"重复Bug",缺陷明细!$J$2:$J$50000,"系统测试")</f>
        <v>0</v>
      </c>
      <c r="S15" s="72">
        <f>COUNTIFS(缺陷明细!$A$2:$A$50000,$B$4,缺陷明细!$G$2:$G$50000,$C15,缺陷明细!$J$2:$J$50000,"系统测试",缺陷明细!$K$2:$K$50000,"致命",缺陷明细!$AB$2:$AB$50000,"&lt;&gt;丢弃",缺陷明细!$AB$2:$AB$50000,"&lt;&gt;设计如此",缺陷明细!$AB$2:$AB$50000,"&lt;&gt;重复Bug")+COUNTIFS(缺陷明细!$A$2:$A$50000,$B$4,缺陷明细!$G$2:$G$50000,$C15,缺陷明细!$J$2:$J$50000,"系统测试",缺陷明细!$K$2:$K$50000,"严重",缺陷明细!$AB$2:$AB$50000,"&lt;&gt;丢弃",缺陷明细!$AB$2:$AB$50000,"&lt;&gt;设计如此",缺陷明细!$AB$2:$AB$50000,"&lt;&gt;重复Bug")</f>
        <v>0</v>
      </c>
      <c r="T15" s="73">
        <f>COUNTIFS(缺陷明细!$A$2:$A$50000,$B$4,缺陷明细!$G$2:$G$50000,$C15,缺陷明细!$Q$2:$Q$50000,"已关闭",缺陷明细!$J$2:$J$50000,"系统测试",缺陷明细!$K$2:$K$50000,"致命")+COUNTIFS(缺陷明细!$A$2:$A$50000,$B$4,缺陷明细!$G$2:$G$50000,$C15,缺陷明细!$Q$2:$Q$50000,"已关闭",缺陷明细!$J$2:$J$50000,"系统测试",缺陷明细!$K$2:$K$50000,"严重")</f>
        <v>0</v>
      </c>
      <c r="U15" s="74">
        <f>COUNTIFS(缺陷明细!$A$2:$A$50000,$B$4,缺陷明细!$G$2:$G$50000,$C15,缺陷明细!$J$2:$J$50000,"验收测试",缺陷明细!$AB$2:$AB$50000,"&lt;&gt;丢弃",缺陷明细!$AB$2:$AB$50000,"&lt;&gt;设计如此",缺陷明细!$AB$2:$AB$50000,"&lt;&gt;重复Bug")</f>
        <v>0</v>
      </c>
      <c r="V15" s="75">
        <f>COUNTIFS(缺陷明细!$A$2:$A$50000,$B$4,缺陷明细!$G$2:$G$50000,$C15,缺陷明细!$Q$2:$Q$50000,"已关闭",缺陷明细!$J$2:$J$50000,"验收测试")</f>
        <v>0</v>
      </c>
      <c r="W15" s="75">
        <f>COUNTIFS(缺陷明细!$A$2:$A$50000,$B$4,缺陷明细!$G$2:$G$50000,$C15,缺陷明细!$J$2:$J$50000,"验收测试",缺陷明细!$K$2:$K$50000,"致命",缺陷明细!$AB$2:$AB$50000,"&lt;&gt;丢弃",缺陷明细!$AB$2:$AB$50000,"&lt;&gt;设计如此",缺陷明细!$AB$2:$AB$50000,"&lt;&gt;重复Bug")+COUNTIFS(缺陷明细!$A$2:$A$50000,$B$4,缺陷明细!$G$2:$G$50000,$C15,缺陷明细!$J$2:$J$50000,"验收测试",缺陷明细!$K$2:$K$50000,"严重",缺陷明细!$AB$2:$AB$50000,"&lt;&gt;丢弃",缺陷明细!$AB$2:$AB$50000,"&lt;&gt;设计如此",缺陷明细!$AB$2:$AB$50000,"&lt;&gt;重复Bug")</f>
        <v>0</v>
      </c>
      <c r="X15" s="76">
        <f>COUNTIFS(缺陷明细!$A$2:$A$50000,$B$4,缺陷明细!$G$2:$G$50000,$C15,缺陷明细!$Q$2:$Q$50000,"已关闭",缺陷明细!$J$2:$J$50000,"验收测试",缺陷明细!$K$2:$K$50000,"致命")+COUNTIFS(缺陷明细!$A$2:$A$50000,$B$4,缺陷明细!$G$2:$G$50000,$C15,缺陷明细!$Q$2:$Q$50000,"已关闭",缺陷明细!$J$2:$J$50000,"验收测试",缺陷明细!$K$2:$K$50000,"严重")</f>
        <v>0</v>
      </c>
      <c r="Y15" s="70">
        <f>COUNTIFS(缺陷明细!$A$2:$A$50000,$B$4,缺陷明细!$G$2:$G$50000,$C15,缺陷明细!$J$2:$J$50000,"运维测试",缺陷明细!$AB$2:$AB$50000,"&lt;&gt;丢弃",缺陷明细!$AB$2:$AB$50000,"&lt;&gt;设计如此",缺陷明细!$AB$2:$AB$50000,"&lt;&gt;重复Bug")</f>
        <v>0</v>
      </c>
      <c r="Z15" s="71">
        <f>COUNTIFS(缺陷明细!$A$2:$A$50000,$B$4,缺陷明细!$G$2:$G$50000,$C15,缺陷明细!$Q$2:$Q$50000,"已关闭",缺陷明细!$J$2:$J$50000,"运维测试")</f>
        <v>0</v>
      </c>
      <c r="AA15" s="72">
        <f>COUNTIFS(缺陷明细!$A$2:$A$50000,$B$4,缺陷明细!$G$2:$G$50000,$C15,缺陷明细!$J$2:$J$50000,"运维测试",缺陷明细!$K$2:$K$50000,"致命",缺陷明细!$AB$2:$AB$50000,"&lt;&gt;丢弃",缺陷明细!$AB$2:$AB$50000,"&lt;&gt;设计如此",缺陷明细!$AB$2:$AB$50000,"&lt;&gt;重复Bug")+COUNTIFS(缺陷明细!$A$2:$A$50000,$B$4,缺陷明细!$G$2:$G$50000,$C15,缺陷明细!$J$2:$J$50000,"运维测试",缺陷明细!$K$2:$K$50000,"严重",缺陷明细!$AB$2:$AB$50000,"&lt;&gt;丢弃",缺陷明细!$AB$2:$AB$50000,"&lt;&gt;设计如此",缺陷明细!$AB$2:$AB$50000,"&lt;&gt;重复Bug")</f>
        <v>0</v>
      </c>
      <c r="AB15" s="73">
        <f>COUNTIFS(缺陷明细!$A$2:$A$50000,$B$4,缺陷明细!$G$2:$G$50000,$C15,缺陷明细!$Q$2:$Q$50000,"已关闭",缺陷明细!$J$2:$J$50000,"运维测试",缺陷明细!$K$2:$K$50000,"致命")+COUNTIFS(缺陷明细!$A$2:$A$50000,$B$4,缺陷明细!$G$2:$G$50000,$C15,缺陷明细!$Q$2:$Q$50000,"已关闭",缺陷明细!$J$2:$J$50000,"运维测试",缺陷明细!$K$2:$K$50000,"严重")</f>
        <v>0</v>
      </c>
      <c r="AC15" s="68">
        <f t="shared" si="0"/>
        <v>0</v>
      </c>
      <c r="AD15" s="60">
        <f t="shared" si="0"/>
        <v>0</v>
      </c>
      <c r="AE15" s="60">
        <f t="shared" si="1"/>
        <v>0</v>
      </c>
      <c r="AF15" s="60">
        <f t="shared" si="1"/>
        <v>0</v>
      </c>
      <c r="AG15" s="60">
        <f t="shared" si="2"/>
        <v>0</v>
      </c>
      <c r="AH15" s="60">
        <f t="shared" si="2"/>
        <v>0</v>
      </c>
      <c r="AI15" s="60">
        <f t="shared" si="3"/>
        <v>0</v>
      </c>
      <c r="AJ15" s="61">
        <f t="shared" si="3"/>
        <v>0</v>
      </c>
      <c r="AK15" s="144"/>
    </row>
    <row r="16" spans="1:37">
      <c r="A16">
        <v>12</v>
      </c>
      <c r="B16" s="57"/>
      <c r="C16" s="58"/>
      <c r="D16" s="84"/>
      <c r="E16" s="82"/>
      <c r="F16" s="158"/>
      <c r="G16" s="159"/>
      <c r="H16" s="281">
        <f>COUNTIFS(缺陷明细!$A$2:$A$50000,$B$4,缺陷明细!$G$2:$G$50000,$C16,缺陷明细!$J$2:$J$50000,"评审",缺陷明细!$AB$2:$AB$50000,"&lt;&gt;丢弃",缺陷明细!$AB$2:$AB$50000,"&lt;&gt;设计如此",缺陷明细!$AB$2:$AB$50000,"&lt;&gt;重复Bug")</f>
        <v>0</v>
      </c>
      <c r="I16" s="154">
        <f>COUNTIFS(缺陷明细!$A$2:$A$50000,$B$4,缺陷明细!$G$2:$G$50000,$C16,缺陷明细!$Q$2:$Q$50000,"已关闭",缺陷明细!$J$2:$J$50000,"评审")</f>
        <v>0</v>
      </c>
      <c r="J16" s="154">
        <f>COUNTIFS(缺陷明细!$A$2:$A$50000,$B$4,缺陷明细!$G$2:$G$50000,$C16,缺陷明细!$J$2:$J$50000,"单元测试",缺陷明细!$AB$2:$AB$50000,"&lt;&gt;丢弃",缺陷明细!$AB$2:$AB$50000,"&lt;&gt;设计如此",缺陷明细!$AB$2:$AB$50000,"&lt;&gt;重复Bug")</f>
        <v>0</v>
      </c>
      <c r="K16" s="155">
        <f>COUNTIFS(缺陷明细!$A$2:$A$50000,$B$4,缺陷明细!$G$2:$G$50000,$C16,缺陷明细!$Q$2:$Q$50000,"已关闭",缺陷明细!$J$2:$J$50000,"单元测试")</f>
        <v>0</v>
      </c>
      <c r="L16" s="156"/>
      <c r="M16" s="157"/>
      <c r="N16" s="72">
        <f>COUNTIFS(缺陷明细!$A$2:$A$50000,$B$4,缺陷明细!$G$2:$G$50000,$C16,缺陷明细!$J$2:$J$50000,"系统测试案例评审",缺陷明细!$AB$2:$AB$50000,"&lt;&gt;丢弃",缺陷明细!$AB$2:$AB$50000,"&lt;&gt;设计如此",缺陷明细!$AB$2:$AB$50000,"&lt;&gt;重复Bug")</f>
        <v>0</v>
      </c>
      <c r="O16" s="72">
        <f>COUNTIFS(缺陷明细!$A$2:$A$50000,$B$4,缺陷明细!$G$2:$G$50000,$C16,缺陷明细!$Q$2:$Q$50000,"已关闭",缺陷明细!$J$2:$J$50000,"系统测试案例评审")</f>
        <v>0</v>
      </c>
      <c r="P16" s="72">
        <f>COUNTIFS(缺陷明细!$A$2:$A$50000,$B$4,缺陷明细!$G$2:$G$50000,$C16,缺陷明细!$J$2:$J$50000,"系统测试",缺陷明细!$AB$2:$AB$50000,"&lt;&gt;丢弃",缺陷明细!$AB$2:$AB$50000,"&lt;&gt;设计如此",缺陷明细!$AB$2:$AB$50000,"&lt;&gt;重复Bug")</f>
        <v>0</v>
      </c>
      <c r="Q16" s="72">
        <f>COUNTIFS(缺陷明细!$A$2:$A$50000,$B$4,缺陷明细!$G$2:$G$50000,$C16,缺陷明细!$Q$2:$Q$50000,"已关闭",缺陷明细!$J$2:$J$50000,"系统测试")</f>
        <v>0</v>
      </c>
      <c r="R16" s="296">
        <f>COUNTIFS(缺陷明细!$A$2:$A$50000,$B$4,缺陷明细!$G$2:$G$50000,$C16,缺陷明细!$AB$2:$AB$50000,"丢弃",缺陷明细!$J$2:$J$50000,"系统测试")+COUNTIFS(缺陷明细!$A$2:$A$50000,$B$4,缺陷明细!$G$2:$G$50000,$C16,缺陷明细!$AB$2:$AB$50000,"设计如此",缺陷明细!$J$2:$J$50000,"系统测试")+COUNTIFS(缺陷明细!$A$2:$A$50000,$B$4,缺陷明细!$G$2:$G$50000,$C16,缺陷明细!$AB$2:$AB$50000,"重复Bug",缺陷明细!$J$2:$J$50000,"系统测试")</f>
        <v>0</v>
      </c>
      <c r="S16" s="72">
        <f>COUNTIFS(缺陷明细!$A$2:$A$50000,$B$4,缺陷明细!$G$2:$G$50000,$C16,缺陷明细!$J$2:$J$50000,"系统测试",缺陷明细!$K$2:$K$50000,"致命",缺陷明细!$AB$2:$AB$50000,"&lt;&gt;丢弃",缺陷明细!$AB$2:$AB$50000,"&lt;&gt;设计如此",缺陷明细!$AB$2:$AB$50000,"&lt;&gt;重复Bug")+COUNTIFS(缺陷明细!$A$2:$A$50000,$B$4,缺陷明细!$G$2:$G$50000,$C16,缺陷明细!$J$2:$J$50000,"系统测试",缺陷明细!$K$2:$K$50000,"严重",缺陷明细!$AB$2:$AB$50000,"&lt;&gt;丢弃",缺陷明细!$AB$2:$AB$50000,"&lt;&gt;设计如此",缺陷明细!$AB$2:$AB$50000,"&lt;&gt;重复Bug")</f>
        <v>0</v>
      </c>
      <c r="T16" s="73">
        <f>COUNTIFS(缺陷明细!$A$2:$A$50000,$B$4,缺陷明细!$G$2:$G$50000,$C16,缺陷明细!$Q$2:$Q$50000,"已关闭",缺陷明细!$J$2:$J$50000,"系统测试",缺陷明细!$K$2:$K$50000,"致命")+COUNTIFS(缺陷明细!$A$2:$A$50000,$B$4,缺陷明细!$G$2:$G$50000,$C16,缺陷明细!$Q$2:$Q$50000,"已关闭",缺陷明细!$J$2:$J$50000,"系统测试",缺陷明细!$K$2:$K$50000,"严重")</f>
        <v>0</v>
      </c>
      <c r="U16" s="74">
        <f>COUNTIFS(缺陷明细!$A$2:$A$50000,$B$4,缺陷明细!$G$2:$G$50000,$C16,缺陷明细!$J$2:$J$50000,"验收测试",缺陷明细!$AB$2:$AB$50000,"&lt;&gt;丢弃",缺陷明细!$AB$2:$AB$50000,"&lt;&gt;设计如此",缺陷明细!$AB$2:$AB$50000,"&lt;&gt;重复Bug")</f>
        <v>0</v>
      </c>
      <c r="V16" s="75">
        <f>COUNTIFS(缺陷明细!$A$2:$A$50000,$B$4,缺陷明细!$G$2:$G$50000,$C16,缺陷明细!$Q$2:$Q$50000,"已关闭",缺陷明细!$J$2:$J$50000,"验收测试")</f>
        <v>0</v>
      </c>
      <c r="W16" s="75">
        <f>COUNTIFS(缺陷明细!$A$2:$A$50000,$B$4,缺陷明细!$G$2:$G$50000,$C16,缺陷明细!$J$2:$J$50000,"验收测试",缺陷明细!$K$2:$K$50000,"致命",缺陷明细!$AB$2:$AB$50000,"&lt;&gt;丢弃",缺陷明细!$AB$2:$AB$50000,"&lt;&gt;设计如此",缺陷明细!$AB$2:$AB$50000,"&lt;&gt;重复Bug")+COUNTIFS(缺陷明细!$A$2:$A$50000,$B$4,缺陷明细!$G$2:$G$50000,$C16,缺陷明细!$J$2:$J$50000,"验收测试",缺陷明细!$K$2:$K$50000,"严重",缺陷明细!$AB$2:$AB$50000,"&lt;&gt;丢弃",缺陷明细!$AB$2:$AB$50000,"&lt;&gt;设计如此",缺陷明细!$AB$2:$AB$50000,"&lt;&gt;重复Bug")</f>
        <v>0</v>
      </c>
      <c r="X16" s="76">
        <f>COUNTIFS(缺陷明细!$A$2:$A$50000,$B$4,缺陷明细!$G$2:$G$50000,$C16,缺陷明细!$Q$2:$Q$50000,"已关闭",缺陷明细!$J$2:$J$50000,"验收测试",缺陷明细!$K$2:$K$50000,"致命")+COUNTIFS(缺陷明细!$A$2:$A$50000,$B$4,缺陷明细!$G$2:$G$50000,$C16,缺陷明细!$Q$2:$Q$50000,"已关闭",缺陷明细!$J$2:$J$50000,"验收测试",缺陷明细!$K$2:$K$50000,"严重")</f>
        <v>0</v>
      </c>
      <c r="Y16" s="70">
        <f>COUNTIFS(缺陷明细!$A$2:$A$50000,$B$4,缺陷明细!$G$2:$G$50000,$C16,缺陷明细!$J$2:$J$50000,"运维测试",缺陷明细!$AB$2:$AB$50000,"&lt;&gt;丢弃",缺陷明细!$AB$2:$AB$50000,"&lt;&gt;设计如此",缺陷明细!$AB$2:$AB$50000,"&lt;&gt;重复Bug")</f>
        <v>0</v>
      </c>
      <c r="Z16" s="71">
        <f>COUNTIFS(缺陷明细!$A$2:$A$50000,$B$4,缺陷明细!$G$2:$G$50000,$C16,缺陷明细!$Q$2:$Q$50000,"已关闭",缺陷明细!$J$2:$J$50000,"运维测试")</f>
        <v>0</v>
      </c>
      <c r="AA16" s="72">
        <f>COUNTIFS(缺陷明细!$A$2:$A$50000,$B$4,缺陷明细!$G$2:$G$50000,$C16,缺陷明细!$J$2:$J$50000,"运维测试",缺陷明细!$K$2:$K$50000,"致命",缺陷明细!$AB$2:$AB$50000,"&lt;&gt;丢弃",缺陷明细!$AB$2:$AB$50000,"&lt;&gt;设计如此",缺陷明细!$AB$2:$AB$50000,"&lt;&gt;重复Bug")+COUNTIFS(缺陷明细!$A$2:$A$50000,$B$4,缺陷明细!$G$2:$G$50000,$C16,缺陷明细!$J$2:$J$50000,"运维测试",缺陷明细!$K$2:$K$50000,"严重",缺陷明细!$AB$2:$AB$50000,"&lt;&gt;丢弃",缺陷明细!$AB$2:$AB$50000,"&lt;&gt;设计如此",缺陷明细!$AB$2:$AB$50000,"&lt;&gt;重复Bug")</f>
        <v>0</v>
      </c>
      <c r="AB16" s="73">
        <f>COUNTIFS(缺陷明细!$A$2:$A$50000,$B$4,缺陷明细!$G$2:$G$50000,$C16,缺陷明细!$Q$2:$Q$50000,"已关闭",缺陷明细!$J$2:$J$50000,"运维测试",缺陷明细!$K$2:$K$50000,"致命")+COUNTIFS(缺陷明细!$A$2:$A$50000,$B$4,缺陷明细!$G$2:$G$50000,$C16,缺陷明细!$Q$2:$Q$50000,"已关闭",缺陷明细!$J$2:$J$50000,"运维测试",缺陷明细!$K$2:$K$50000,"严重")</f>
        <v>0</v>
      </c>
      <c r="AC16" s="68">
        <f t="shared" si="0"/>
        <v>0</v>
      </c>
      <c r="AD16" s="60">
        <f t="shared" si="0"/>
        <v>0</v>
      </c>
      <c r="AE16" s="60">
        <f t="shared" si="1"/>
        <v>0</v>
      </c>
      <c r="AF16" s="60">
        <f t="shared" si="1"/>
        <v>0</v>
      </c>
      <c r="AG16" s="60">
        <f t="shared" si="2"/>
        <v>0</v>
      </c>
      <c r="AH16" s="60">
        <f t="shared" si="2"/>
        <v>0</v>
      </c>
      <c r="AI16" s="60">
        <f t="shared" si="3"/>
        <v>0</v>
      </c>
      <c r="AJ16" s="61">
        <f t="shared" si="3"/>
        <v>0</v>
      </c>
      <c r="AK16" s="144"/>
    </row>
    <row r="17" spans="1:37">
      <c r="A17">
        <v>13</v>
      </c>
      <c r="B17" s="57"/>
      <c r="C17" s="58"/>
      <c r="D17" s="84"/>
      <c r="E17" s="82"/>
      <c r="F17" s="158"/>
      <c r="G17" s="159"/>
      <c r="H17" s="281">
        <f>COUNTIFS(缺陷明细!$A$2:$A$50000,$B$4,缺陷明细!$G$2:$G$50000,$C17,缺陷明细!$J$2:$J$50000,"评审",缺陷明细!$AB$2:$AB$50000,"&lt;&gt;丢弃",缺陷明细!$AB$2:$AB$50000,"&lt;&gt;设计如此",缺陷明细!$AB$2:$AB$50000,"&lt;&gt;重复Bug")</f>
        <v>0</v>
      </c>
      <c r="I17" s="154">
        <f>COUNTIFS(缺陷明细!$A$2:$A$50000,$B$4,缺陷明细!$G$2:$G$50000,$C17,缺陷明细!$Q$2:$Q$50000,"已关闭",缺陷明细!$J$2:$J$50000,"评审")</f>
        <v>0</v>
      </c>
      <c r="J17" s="154">
        <f>COUNTIFS(缺陷明细!$A$2:$A$50000,$B$4,缺陷明细!$G$2:$G$50000,$C17,缺陷明细!$J$2:$J$50000,"单元测试",缺陷明细!$AB$2:$AB$50000,"&lt;&gt;丢弃",缺陷明细!$AB$2:$AB$50000,"&lt;&gt;设计如此",缺陷明细!$AB$2:$AB$50000,"&lt;&gt;重复Bug")</f>
        <v>0</v>
      </c>
      <c r="K17" s="155">
        <f>COUNTIFS(缺陷明细!$A$2:$A$50000,$B$4,缺陷明细!$G$2:$G$50000,$C17,缺陷明细!$Q$2:$Q$50000,"已关闭",缺陷明细!$J$2:$J$50000,"单元测试")</f>
        <v>0</v>
      </c>
      <c r="L17" s="156"/>
      <c r="M17" s="157"/>
      <c r="N17" s="72">
        <f>COUNTIFS(缺陷明细!$A$2:$A$50000,$B$4,缺陷明细!$G$2:$G$50000,$C17,缺陷明细!$J$2:$J$50000,"系统测试案例评审",缺陷明细!$AB$2:$AB$50000,"&lt;&gt;丢弃",缺陷明细!$AB$2:$AB$50000,"&lt;&gt;设计如此",缺陷明细!$AB$2:$AB$50000,"&lt;&gt;重复Bug")</f>
        <v>0</v>
      </c>
      <c r="O17" s="72">
        <f>COUNTIFS(缺陷明细!$A$2:$A$50000,$B$4,缺陷明细!$G$2:$G$50000,$C17,缺陷明细!$Q$2:$Q$50000,"已关闭",缺陷明细!$J$2:$J$50000,"系统测试案例评审")</f>
        <v>0</v>
      </c>
      <c r="P17" s="72">
        <f>COUNTIFS(缺陷明细!$A$2:$A$50000,$B$4,缺陷明细!$G$2:$G$50000,$C17,缺陷明细!$J$2:$J$50000,"系统测试",缺陷明细!$AB$2:$AB$50000,"&lt;&gt;丢弃",缺陷明细!$AB$2:$AB$50000,"&lt;&gt;设计如此",缺陷明细!$AB$2:$AB$50000,"&lt;&gt;重复Bug")</f>
        <v>0</v>
      </c>
      <c r="Q17" s="72">
        <f>COUNTIFS(缺陷明细!$A$2:$A$50000,$B$4,缺陷明细!$G$2:$G$50000,$C17,缺陷明细!$Q$2:$Q$50000,"已关闭",缺陷明细!$J$2:$J$50000,"系统测试")</f>
        <v>0</v>
      </c>
      <c r="R17" s="296">
        <f>COUNTIFS(缺陷明细!$A$2:$A$50000,$B$4,缺陷明细!$G$2:$G$50000,$C17,缺陷明细!$AB$2:$AB$50000,"丢弃",缺陷明细!$J$2:$J$50000,"系统测试")+COUNTIFS(缺陷明细!$A$2:$A$50000,$B$4,缺陷明细!$G$2:$G$50000,$C17,缺陷明细!$AB$2:$AB$50000,"设计如此",缺陷明细!$J$2:$J$50000,"系统测试")+COUNTIFS(缺陷明细!$A$2:$A$50000,$B$4,缺陷明细!$G$2:$G$50000,$C17,缺陷明细!$AB$2:$AB$50000,"重复Bug",缺陷明细!$J$2:$J$50000,"系统测试")</f>
        <v>0</v>
      </c>
      <c r="S17" s="72">
        <f>COUNTIFS(缺陷明细!$A$2:$A$50000,$B$4,缺陷明细!$G$2:$G$50000,$C17,缺陷明细!$J$2:$J$50000,"系统测试",缺陷明细!$K$2:$K$50000,"致命",缺陷明细!$AB$2:$AB$50000,"&lt;&gt;丢弃",缺陷明细!$AB$2:$AB$50000,"&lt;&gt;设计如此",缺陷明细!$AB$2:$AB$50000,"&lt;&gt;重复Bug")+COUNTIFS(缺陷明细!$A$2:$A$50000,$B$4,缺陷明细!$G$2:$G$50000,$C17,缺陷明细!$J$2:$J$50000,"系统测试",缺陷明细!$K$2:$K$50000,"严重",缺陷明细!$AB$2:$AB$50000,"&lt;&gt;丢弃",缺陷明细!$AB$2:$AB$50000,"&lt;&gt;设计如此",缺陷明细!$AB$2:$AB$50000,"&lt;&gt;重复Bug")</f>
        <v>0</v>
      </c>
      <c r="T17" s="73">
        <f>COUNTIFS(缺陷明细!$A$2:$A$50000,$B$4,缺陷明细!$G$2:$G$50000,$C17,缺陷明细!$Q$2:$Q$50000,"已关闭",缺陷明细!$J$2:$J$50000,"系统测试",缺陷明细!$K$2:$K$50000,"致命")+COUNTIFS(缺陷明细!$A$2:$A$50000,$B$4,缺陷明细!$G$2:$G$50000,$C17,缺陷明细!$Q$2:$Q$50000,"已关闭",缺陷明细!$J$2:$J$50000,"系统测试",缺陷明细!$K$2:$K$50000,"严重")</f>
        <v>0</v>
      </c>
      <c r="U17" s="74">
        <f>COUNTIFS(缺陷明细!$A$2:$A$50000,$B$4,缺陷明细!$G$2:$G$50000,$C17,缺陷明细!$J$2:$J$50000,"验收测试",缺陷明细!$AB$2:$AB$50000,"&lt;&gt;丢弃",缺陷明细!$AB$2:$AB$50000,"&lt;&gt;设计如此",缺陷明细!$AB$2:$AB$50000,"&lt;&gt;重复Bug")</f>
        <v>0</v>
      </c>
      <c r="V17" s="75">
        <f>COUNTIFS(缺陷明细!$A$2:$A$50000,$B$4,缺陷明细!$G$2:$G$50000,$C17,缺陷明细!$Q$2:$Q$50000,"已关闭",缺陷明细!$J$2:$J$50000,"验收测试")</f>
        <v>0</v>
      </c>
      <c r="W17" s="75">
        <f>COUNTIFS(缺陷明细!$A$2:$A$50000,$B$4,缺陷明细!$G$2:$G$50000,$C17,缺陷明细!$J$2:$J$50000,"验收测试",缺陷明细!$K$2:$K$50000,"致命",缺陷明细!$AB$2:$AB$50000,"&lt;&gt;丢弃",缺陷明细!$AB$2:$AB$50000,"&lt;&gt;设计如此",缺陷明细!$AB$2:$AB$50000,"&lt;&gt;重复Bug")+COUNTIFS(缺陷明细!$A$2:$A$50000,$B$4,缺陷明细!$G$2:$G$50000,$C17,缺陷明细!$J$2:$J$50000,"验收测试",缺陷明细!$K$2:$K$50000,"严重",缺陷明细!$AB$2:$AB$50000,"&lt;&gt;丢弃",缺陷明细!$AB$2:$AB$50000,"&lt;&gt;设计如此",缺陷明细!$AB$2:$AB$50000,"&lt;&gt;重复Bug")</f>
        <v>0</v>
      </c>
      <c r="X17" s="76">
        <f>COUNTIFS(缺陷明细!$A$2:$A$50000,$B$4,缺陷明细!$G$2:$G$50000,$C17,缺陷明细!$Q$2:$Q$50000,"已关闭",缺陷明细!$J$2:$J$50000,"验收测试",缺陷明细!$K$2:$K$50000,"致命")+COUNTIFS(缺陷明细!$A$2:$A$50000,$B$4,缺陷明细!$G$2:$G$50000,$C17,缺陷明细!$Q$2:$Q$50000,"已关闭",缺陷明细!$J$2:$J$50000,"验收测试",缺陷明细!$K$2:$K$50000,"严重")</f>
        <v>0</v>
      </c>
      <c r="Y17" s="70">
        <f>COUNTIFS(缺陷明细!$A$2:$A$50000,$B$4,缺陷明细!$G$2:$G$50000,$C17,缺陷明细!$J$2:$J$50000,"运维测试",缺陷明细!$AB$2:$AB$50000,"&lt;&gt;丢弃",缺陷明细!$AB$2:$AB$50000,"&lt;&gt;设计如此",缺陷明细!$AB$2:$AB$50000,"&lt;&gt;重复Bug")</f>
        <v>0</v>
      </c>
      <c r="Z17" s="71">
        <f>COUNTIFS(缺陷明细!$A$2:$A$50000,$B$4,缺陷明细!$G$2:$G$50000,$C17,缺陷明细!$Q$2:$Q$50000,"已关闭",缺陷明细!$J$2:$J$50000,"运维测试")</f>
        <v>0</v>
      </c>
      <c r="AA17" s="72">
        <f>COUNTIFS(缺陷明细!$A$2:$A$50000,$B$4,缺陷明细!$G$2:$G$50000,$C17,缺陷明细!$J$2:$J$50000,"运维测试",缺陷明细!$K$2:$K$50000,"致命",缺陷明细!$AB$2:$AB$50000,"&lt;&gt;丢弃",缺陷明细!$AB$2:$AB$50000,"&lt;&gt;设计如此",缺陷明细!$AB$2:$AB$50000,"&lt;&gt;重复Bug")+COUNTIFS(缺陷明细!$A$2:$A$50000,$B$4,缺陷明细!$G$2:$G$50000,$C17,缺陷明细!$J$2:$J$50000,"运维测试",缺陷明细!$K$2:$K$50000,"严重",缺陷明细!$AB$2:$AB$50000,"&lt;&gt;丢弃",缺陷明细!$AB$2:$AB$50000,"&lt;&gt;设计如此",缺陷明细!$AB$2:$AB$50000,"&lt;&gt;重复Bug")</f>
        <v>0</v>
      </c>
      <c r="AB17" s="73">
        <f>COUNTIFS(缺陷明细!$A$2:$A$50000,$B$4,缺陷明细!$G$2:$G$50000,$C17,缺陷明细!$Q$2:$Q$50000,"已关闭",缺陷明细!$J$2:$J$50000,"运维测试",缺陷明细!$K$2:$K$50000,"致命")+COUNTIFS(缺陷明细!$A$2:$A$50000,$B$4,缺陷明细!$G$2:$G$50000,$C17,缺陷明细!$Q$2:$Q$50000,"已关闭",缺陷明细!$J$2:$J$50000,"运维测试",缺陷明细!$K$2:$K$50000,"严重")</f>
        <v>0</v>
      </c>
      <c r="AC17" s="68">
        <f t="shared" si="0"/>
        <v>0</v>
      </c>
      <c r="AD17" s="60">
        <f t="shared" si="0"/>
        <v>0</v>
      </c>
      <c r="AE17" s="60">
        <f t="shared" si="1"/>
        <v>0</v>
      </c>
      <c r="AF17" s="60">
        <f t="shared" si="1"/>
        <v>0</v>
      </c>
      <c r="AG17" s="60">
        <f t="shared" si="2"/>
        <v>0</v>
      </c>
      <c r="AH17" s="60">
        <f t="shared" si="2"/>
        <v>0</v>
      </c>
      <c r="AI17" s="60">
        <f t="shared" si="3"/>
        <v>0</v>
      </c>
      <c r="AJ17" s="61">
        <f t="shared" si="3"/>
        <v>0</v>
      </c>
      <c r="AK17" s="144"/>
    </row>
    <row r="18" spans="1:37">
      <c r="A18">
        <v>14</v>
      </c>
      <c r="B18" s="57"/>
      <c r="C18" s="58"/>
      <c r="D18" s="84"/>
      <c r="E18" s="82"/>
      <c r="F18" s="158"/>
      <c r="G18" s="159"/>
      <c r="H18" s="281">
        <f>COUNTIFS(缺陷明细!$A$2:$A$50000,$B$4,缺陷明细!$G$2:$G$50000,$C18,缺陷明细!$J$2:$J$50000,"评审",缺陷明细!$AB$2:$AB$50000,"&lt;&gt;丢弃",缺陷明细!$AB$2:$AB$50000,"&lt;&gt;设计如此",缺陷明细!$AB$2:$AB$50000,"&lt;&gt;重复Bug")</f>
        <v>0</v>
      </c>
      <c r="I18" s="154">
        <f>COUNTIFS(缺陷明细!$A$2:$A$50000,$B$4,缺陷明细!$G$2:$G$50000,$C18,缺陷明细!$Q$2:$Q$50000,"已关闭",缺陷明细!$J$2:$J$50000,"评审")</f>
        <v>0</v>
      </c>
      <c r="J18" s="154">
        <f>COUNTIFS(缺陷明细!$A$2:$A$50000,$B$4,缺陷明细!$G$2:$G$50000,$C18,缺陷明细!$J$2:$J$50000,"单元测试",缺陷明细!$AB$2:$AB$50000,"&lt;&gt;丢弃",缺陷明细!$AB$2:$AB$50000,"&lt;&gt;设计如此",缺陷明细!$AB$2:$AB$50000,"&lt;&gt;重复Bug")</f>
        <v>0</v>
      </c>
      <c r="K18" s="155">
        <f>COUNTIFS(缺陷明细!$A$2:$A$50000,$B$4,缺陷明细!$G$2:$G$50000,$C18,缺陷明细!$Q$2:$Q$50000,"已关闭",缺陷明细!$J$2:$J$50000,"单元测试")</f>
        <v>0</v>
      </c>
      <c r="L18" s="156"/>
      <c r="M18" s="157"/>
      <c r="N18" s="72">
        <f>COUNTIFS(缺陷明细!$A$2:$A$50000,$B$4,缺陷明细!$G$2:$G$50000,$C18,缺陷明细!$J$2:$J$50000,"系统测试案例评审",缺陷明细!$AB$2:$AB$50000,"&lt;&gt;丢弃",缺陷明细!$AB$2:$AB$50000,"&lt;&gt;设计如此",缺陷明细!$AB$2:$AB$50000,"&lt;&gt;重复Bug")</f>
        <v>0</v>
      </c>
      <c r="O18" s="72">
        <f>COUNTIFS(缺陷明细!$A$2:$A$50000,$B$4,缺陷明细!$G$2:$G$50000,$C18,缺陷明细!$Q$2:$Q$50000,"已关闭",缺陷明细!$J$2:$J$50000,"系统测试案例评审")</f>
        <v>0</v>
      </c>
      <c r="P18" s="72">
        <f>COUNTIFS(缺陷明细!$A$2:$A$50000,$B$4,缺陷明细!$G$2:$G$50000,$C18,缺陷明细!$J$2:$J$50000,"系统测试",缺陷明细!$AB$2:$AB$50000,"&lt;&gt;丢弃",缺陷明细!$AB$2:$AB$50000,"&lt;&gt;设计如此",缺陷明细!$AB$2:$AB$50000,"&lt;&gt;重复Bug")</f>
        <v>0</v>
      </c>
      <c r="Q18" s="72">
        <f>COUNTIFS(缺陷明细!$A$2:$A$50000,$B$4,缺陷明细!$G$2:$G$50000,$C18,缺陷明细!$Q$2:$Q$50000,"已关闭",缺陷明细!$J$2:$J$50000,"系统测试")</f>
        <v>0</v>
      </c>
      <c r="R18" s="296">
        <f>COUNTIFS(缺陷明细!$A$2:$A$50000,$B$4,缺陷明细!$G$2:$G$50000,$C18,缺陷明细!$AB$2:$AB$50000,"丢弃",缺陷明细!$J$2:$J$50000,"系统测试")+COUNTIFS(缺陷明细!$A$2:$A$50000,$B$4,缺陷明细!$G$2:$G$50000,$C18,缺陷明细!$AB$2:$AB$50000,"设计如此",缺陷明细!$J$2:$J$50000,"系统测试")+COUNTIFS(缺陷明细!$A$2:$A$50000,$B$4,缺陷明细!$G$2:$G$50000,$C18,缺陷明细!$AB$2:$AB$50000,"重复Bug",缺陷明细!$J$2:$J$50000,"系统测试")</f>
        <v>0</v>
      </c>
      <c r="S18" s="72">
        <f>COUNTIFS(缺陷明细!$A$2:$A$50000,$B$4,缺陷明细!$G$2:$G$50000,$C18,缺陷明细!$J$2:$J$50000,"系统测试",缺陷明细!$K$2:$K$50000,"致命",缺陷明细!$AB$2:$AB$50000,"&lt;&gt;丢弃",缺陷明细!$AB$2:$AB$50000,"&lt;&gt;设计如此",缺陷明细!$AB$2:$AB$50000,"&lt;&gt;重复Bug")+COUNTIFS(缺陷明细!$A$2:$A$50000,$B$4,缺陷明细!$G$2:$G$50000,$C18,缺陷明细!$J$2:$J$50000,"系统测试",缺陷明细!$K$2:$K$50000,"严重",缺陷明细!$AB$2:$AB$50000,"&lt;&gt;丢弃",缺陷明细!$AB$2:$AB$50000,"&lt;&gt;设计如此",缺陷明细!$AB$2:$AB$50000,"&lt;&gt;重复Bug")</f>
        <v>0</v>
      </c>
      <c r="T18" s="73">
        <f>COUNTIFS(缺陷明细!$A$2:$A$50000,$B$4,缺陷明细!$G$2:$G$50000,$C18,缺陷明细!$Q$2:$Q$50000,"已关闭",缺陷明细!$J$2:$J$50000,"系统测试",缺陷明细!$K$2:$K$50000,"致命")+COUNTIFS(缺陷明细!$A$2:$A$50000,$B$4,缺陷明细!$G$2:$G$50000,$C18,缺陷明细!$Q$2:$Q$50000,"已关闭",缺陷明细!$J$2:$J$50000,"系统测试",缺陷明细!$K$2:$K$50000,"严重")</f>
        <v>0</v>
      </c>
      <c r="U18" s="74">
        <f>COUNTIFS(缺陷明细!$A$2:$A$50000,$B$4,缺陷明细!$G$2:$G$50000,$C18,缺陷明细!$J$2:$J$50000,"验收测试",缺陷明细!$AB$2:$AB$50000,"&lt;&gt;丢弃",缺陷明细!$AB$2:$AB$50000,"&lt;&gt;设计如此",缺陷明细!$AB$2:$AB$50000,"&lt;&gt;重复Bug")</f>
        <v>0</v>
      </c>
      <c r="V18" s="75">
        <f>COUNTIFS(缺陷明细!$A$2:$A$50000,$B$4,缺陷明细!$G$2:$G$50000,$C18,缺陷明细!$Q$2:$Q$50000,"已关闭",缺陷明细!$J$2:$J$50000,"验收测试")</f>
        <v>0</v>
      </c>
      <c r="W18" s="75">
        <f>COUNTIFS(缺陷明细!$A$2:$A$50000,$B$4,缺陷明细!$G$2:$G$50000,$C18,缺陷明细!$J$2:$J$50000,"验收测试",缺陷明细!$K$2:$K$50000,"致命",缺陷明细!$AB$2:$AB$50000,"&lt;&gt;丢弃",缺陷明细!$AB$2:$AB$50000,"&lt;&gt;设计如此",缺陷明细!$AB$2:$AB$50000,"&lt;&gt;重复Bug")+COUNTIFS(缺陷明细!$A$2:$A$50000,$B$4,缺陷明细!$G$2:$G$50000,$C18,缺陷明细!$J$2:$J$50000,"验收测试",缺陷明细!$K$2:$K$50000,"严重",缺陷明细!$AB$2:$AB$50000,"&lt;&gt;丢弃",缺陷明细!$AB$2:$AB$50000,"&lt;&gt;设计如此",缺陷明细!$AB$2:$AB$50000,"&lt;&gt;重复Bug")</f>
        <v>0</v>
      </c>
      <c r="X18" s="76">
        <f>COUNTIFS(缺陷明细!$A$2:$A$50000,$B$4,缺陷明细!$G$2:$G$50000,$C18,缺陷明细!$Q$2:$Q$50000,"已关闭",缺陷明细!$J$2:$J$50000,"验收测试",缺陷明细!$K$2:$K$50000,"致命")+COUNTIFS(缺陷明细!$A$2:$A$50000,$B$4,缺陷明细!$G$2:$G$50000,$C18,缺陷明细!$Q$2:$Q$50000,"已关闭",缺陷明细!$J$2:$J$50000,"验收测试",缺陷明细!$K$2:$K$50000,"严重")</f>
        <v>0</v>
      </c>
      <c r="Y18" s="70">
        <f>COUNTIFS(缺陷明细!$A$2:$A$50000,$B$4,缺陷明细!$G$2:$G$50000,$C18,缺陷明细!$J$2:$J$50000,"运维测试",缺陷明细!$AB$2:$AB$50000,"&lt;&gt;丢弃",缺陷明细!$AB$2:$AB$50000,"&lt;&gt;设计如此",缺陷明细!$AB$2:$AB$50000,"&lt;&gt;重复Bug")</f>
        <v>0</v>
      </c>
      <c r="Z18" s="71">
        <f>COUNTIFS(缺陷明细!$A$2:$A$50000,$B$4,缺陷明细!$G$2:$G$50000,$C18,缺陷明细!$Q$2:$Q$50000,"已关闭",缺陷明细!$J$2:$J$50000,"运维测试")</f>
        <v>0</v>
      </c>
      <c r="AA18" s="72">
        <f>COUNTIFS(缺陷明细!$A$2:$A$50000,$B$4,缺陷明细!$G$2:$G$50000,$C18,缺陷明细!$J$2:$J$50000,"运维测试",缺陷明细!$K$2:$K$50000,"致命",缺陷明细!$AB$2:$AB$50000,"&lt;&gt;丢弃",缺陷明细!$AB$2:$AB$50000,"&lt;&gt;设计如此",缺陷明细!$AB$2:$AB$50000,"&lt;&gt;重复Bug")+COUNTIFS(缺陷明细!$A$2:$A$50000,$B$4,缺陷明细!$G$2:$G$50000,$C18,缺陷明细!$J$2:$J$50000,"运维测试",缺陷明细!$K$2:$K$50000,"严重",缺陷明细!$AB$2:$AB$50000,"&lt;&gt;丢弃",缺陷明细!$AB$2:$AB$50000,"&lt;&gt;设计如此",缺陷明细!$AB$2:$AB$50000,"&lt;&gt;重复Bug")</f>
        <v>0</v>
      </c>
      <c r="AB18" s="73">
        <f>COUNTIFS(缺陷明细!$A$2:$A$50000,$B$4,缺陷明细!$G$2:$G$50000,$C18,缺陷明细!$Q$2:$Q$50000,"已关闭",缺陷明细!$J$2:$J$50000,"运维测试",缺陷明细!$K$2:$K$50000,"致命")+COUNTIFS(缺陷明细!$A$2:$A$50000,$B$4,缺陷明细!$G$2:$G$50000,$C18,缺陷明细!$Q$2:$Q$50000,"已关闭",缺陷明细!$J$2:$J$50000,"运维测试",缺陷明细!$K$2:$K$50000,"严重")</f>
        <v>0</v>
      </c>
      <c r="AC18" s="68">
        <f t="shared" si="0"/>
        <v>0</v>
      </c>
      <c r="AD18" s="60">
        <f t="shared" si="0"/>
        <v>0</v>
      </c>
      <c r="AE18" s="60">
        <f t="shared" si="1"/>
        <v>0</v>
      </c>
      <c r="AF18" s="60">
        <f t="shared" si="1"/>
        <v>0</v>
      </c>
      <c r="AG18" s="60">
        <f t="shared" si="2"/>
        <v>0</v>
      </c>
      <c r="AH18" s="60">
        <f t="shared" si="2"/>
        <v>0</v>
      </c>
      <c r="AI18" s="60">
        <f t="shared" si="3"/>
        <v>0</v>
      </c>
      <c r="AJ18" s="61">
        <f t="shared" si="3"/>
        <v>0</v>
      </c>
      <c r="AK18" s="144"/>
    </row>
    <row r="19" spans="1:37">
      <c r="A19">
        <v>15</v>
      </c>
      <c r="B19" s="57"/>
      <c r="C19" s="58"/>
      <c r="D19" s="84"/>
      <c r="E19" s="82"/>
      <c r="F19" s="158"/>
      <c r="G19" s="159"/>
      <c r="H19" s="281">
        <f>COUNTIFS(缺陷明细!$A$2:$A$50000,$B$4,缺陷明细!$G$2:$G$50000,$C19,缺陷明细!$J$2:$J$50000,"评审",缺陷明细!$AB$2:$AB$50000,"&lt;&gt;丢弃",缺陷明细!$AB$2:$AB$50000,"&lt;&gt;设计如此",缺陷明细!$AB$2:$AB$50000,"&lt;&gt;重复Bug")</f>
        <v>0</v>
      </c>
      <c r="I19" s="154">
        <f>COUNTIFS(缺陷明细!$A$2:$A$50000,$B$4,缺陷明细!$G$2:$G$50000,$C19,缺陷明细!$Q$2:$Q$50000,"已关闭",缺陷明细!$J$2:$J$50000,"评审")</f>
        <v>0</v>
      </c>
      <c r="J19" s="154">
        <f>COUNTIFS(缺陷明细!$A$2:$A$50000,$B$4,缺陷明细!$G$2:$G$50000,$C19,缺陷明细!$J$2:$J$50000,"单元测试",缺陷明细!$AB$2:$AB$50000,"&lt;&gt;丢弃",缺陷明细!$AB$2:$AB$50000,"&lt;&gt;设计如此",缺陷明细!$AB$2:$AB$50000,"&lt;&gt;重复Bug")</f>
        <v>0</v>
      </c>
      <c r="K19" s="155">
        <f>COUNTIFS(缺陷明细!$A$2:$A$50000,$B$4,缺陷明细!$G$2:$G$50000,$C19,缺陷明细!$Q$2:$Q$50000,"已关闭",缺陷明细!$J$2:$J$50000,"单元测试")</f>
        <v>0</v>
      </c>
      <c r="L19" s="156"/>
      <c r="M19" s="157"/>
      <c r="N19" s="72">
        <f>COUNTIFS(缺陷明细!$A$2:$A$50000,$B$4,缺陷明细!$G$2:$G$50000,$C19,缺陷明细!$J$2:$J$50000,"系统测试案例评审",缺陷明细!$AB$2:$AB$50000,"&lt;&gt;丢弃",缺陷明细!$AB$2:$AB$50000,"&lt;&gt;设计如此",缺陷明细!$AB$2:$AB$50000,"&lt;&gt;重复Bug")</f>
        <v>0</v>
      </c>
      <c r="O19" s="72">
        <f>COUNTIFS(缺陷明细!$A$2:$A$50000,$B$4,缺陷明细!$G$2:$G$50000,$C19,缺陷明细!$Q$2:$Q$50000,"已关闭",缺陷明细!$J$2:$J$50000,"系统测试案例评审")</f>
        <v>0</v>
      </c>
      <c r="P19" s="72">
        <f>COUNTIFS(缺陷明细!$A$2:$A$50000,$B$4,缺陷明细!$G$2:$G$50000,$C19,缺陷明细!$J$2:$J$50000,"系统测试",缺陷明细!$AB$2:$AB$50000,"&lt;&gt;丢弃",缺陷明细!$AB$2:$AB$50000,"&lt;&gt;设计如此",缺陷明细!$AB$2:$AB$50000,"&lt;&gt;重复Bug")</f>
        <v>0</v>
      </c>
      <c r="Q19" s="72">
        <f>COUNTIFS(缺陷明细!$A$2:$A$50000,$B$4,缺陷明细!$G$2:$G$50000,$C19,缺陷明细!$Q$2:$Q$50000,"已关闭",缺陷明细!$J$2:$J$50000,"系统测试")</f>
        <v>0</v>
      </c>
      <c r="R19" s="296">
        <f>COUNTIFS(缺陷明细!$A$2:$A$50000,$B$4,缺陷明细!$G$2:$G$50000,$C19,缺陷明细!$AB$2:$AB$50000,"丢弃",缺陷明细!$J$2:$J$50000,"系统测试")+COUNTIFS(缺陷明细!$A$2:$A$50000,$B$4,缺陷明细!$G$2:$G$50000,$C19,缺陷明细!$AB$2:$AB$50000,"设计如此",缺陷明细!$J$2:$J$50000,"系统测试")+COUNTIFS(缺陷明细!$A$2:$A$50000,$B$4,缺陷明细!$G$2:$G$50000,$C19,缺陷明细!$AB$2:$AB$50000,"重复Bug",缺陷明细!$J$2:$J$50000,"系统测试")</f>
        <v>0</v>
      </c>
      <c r="S19" s="72">
        <f>COUNTIFS(缺陷明细!$A$2:$A$50000,$B$4,缺陷明细!$G$2:$G$50000,$C19,缺陷明细!$J$2:$J$50000,"系统测试",缺陷明细!$K$2:$K$50000,"致命",缺陷明细!$AB$2:$AB$50000,"&lt;&gt;丢弃",缺陷明细!$AB$2:$AB$50000,"&lt;&gt;设计如此",缺陷明细!$AB$2:$AB$50000,"&lt;&gt;重复Bug")+COUNTIFS(缺陷明细!$A$2:$A$50000,$B$4,缺陷明细!$G$2:$G$50000,$C19,缺陷明细!$J$2:$J$50000,"系统测试",缺陷明细!$K$2:$K$50000,"严重",缺陷明细!$AB$2:$AB$50000,"&lt;&gt;丢弃",缺陷明细!$AB$2:$AB$50000,"&lt;&gt;设计如此",缺陷明细!$AB$2:$AB$50000,"&lt;&gt;重复Bug")</f>
        <v>0</v>
      </c>
      <c r="T19" s="73">
        <f>COUNTIFS(缺陷明细!$A$2:$A$50000,$B$4,缺陷明细!$G$2:$G$50000,$C19,缺陷明细!$Q$2:$Q$50000,"已关闭",缺陷明细!$J$2:$J$50000,"系统测试",缺陷明细!$K$2:$K$50000,"致命")+COUNTIFS(缺陷明细!$A$2:$A$50000,$B$4,缺陷明细!$G$2:$G$50000,$C19,缺陷明细!$Q$2:$Q$50000,"已关闭",缺陷明细!$J$2:$J$50000,"系统测试",缺陷明细!$K$2:$K$50000,"严重")</f>
        <v>0</v>
      </c>
      <c r="U19" s="74">
        <f>COUNTIFS(缺陷明细!$A$2:$A$50000,$B$4,缺陷明细!$G$2:$G$50000,$C19,缺陷明细!$J$2:$J$50000,"验收测试",缺陷明细!$AB$2:$AB$50000,"&lt;&gt;丢弃",缺陷明细!$AB$2:$AB$50000,"&lt;&gt;设计如此",缺陷明细!$AB$2:$AB$50000,"&lt;&gt;重复Bug")</f>
        <v>0</v>
      </c>
      <c r="V19" s="75">
        <f>COUNTIFS(缺陷明细!$A$2:$A$50000,$B$4,缺陷明细!$G$2:$G$50000,$C19,缺陷明细!$Q$2:$Q$50000,"已关闭",缺陷明细!$J$2:$J$50000,"验收测试")</f>
        <v>0</v>
      </c>
      <c r="W19" s="75">
        <f>COUNTIFS(缺陷明细!$A$2:$A$50000,$B$4,缺陷明细!$G$2:$G$50000,$C19,缺陷明细!$J$2:$J$50000,"验收测试",缺陷明细!$K$2:$K$50000,"致命",缺陷明细!$AB$2:$AB$50000,"&lt;&gt;丢弃",缺陷明细!$AB$2:$AB$50000,"&lt;&gt;设计如此",缺陷明细!$AB$2:$AB$50000,"&lt;&gt;重复Bug")+COUNTIFS(缺陷明细!$A$2:$A$50000,$B$4,缺陷明细!$G$2:$G$50000,$C19,缺陷明细!$J$2:$J$50000,"验收测试",缺陷明细!$K$2:$K$50000,"严重",缺陷明细!$AB$2:$AB$50000,"&lt;&gt;丢弃",缺陷明细!$AB$2:$AB$50000,"&lt;&gt;设计如此",缺陷明细!$AB$2:$AB$50000,"&lt;&gt;重复Bug")</f>
        <v>0</v>
      </c>
      <c r="X19" s="76">
        <f>COUNTIFS(缺陷明细!$A$2:$A$50000,$B$4,缺陷明细!$G$2:$G$50000,$C19,缺陷明细!$Q$2:$Q$50000,"已关闭",缺陷明细!$J$2:$J$50000,"验收测试",缺陷明细!$K$2:$K$50000,"致命")+COUNTIFS(缺陷明细!$A$2:$A$50000,$B$4,缺陷明细!$G$2:$G$50000,$C19,缺陷明细!$Q$2:$Q$50000,"已关闭",缺陷明细!$J$2:$J$50000,"验收测试",缺陷明细!$K$2:$K$50000,"严重")</f>
        <v>0</v>
      </c>
      <c r="Y19" s="70">
        <f>COUNTIFS(缺陷明细!$A$2:$A$50000,$B$4,缺陷明细!$G$2:$G$50000,$C19,缺陷明细!$J$2:$J$50000,"运维测试",缺陷明细!$AB$2:$AB$50000,"&lt;&gt;丢弃",缺陷明细!$AB$2:$AB$50000,"&lt;&gt;设计如此",缺陷明细!$AB$2:$AB$50000,"&lt;&gt;重复Bug")</f>
        <v>0</v>
      </c>
      <c r="Z19" s="71">
        <f>COUNTIFS(缺陷明细!$A$2:$A$50000,$B$4,缺陷明细!$G$2:$G$50000,$C19,缺陷明细!$Q$2:$Q$50000,"已关闭",缺陷明细!$J$2:$J$50000,"运维测试")</f>
        <v>0</v>
      </c>
      <c r="AA19" s="72">
        <f>COUNTIFS(缺陷明细!$A$2:$A$50000,$B$4,缺陷明细!$G$2:$G$50000,$C19,缺陷明细!$J$2:$J$50000,"运维测试",缺陷明细!$K$2:$K$50000,"致命",缺陷明细!$AB$2:$AB$50000,"&lt;&gt;丢弃",缺陷明细!$AB$2:$AB$50000,"&lt;&gt;设计如此",缺陷明细!$AB$2:$AB$50000,"&lt;&gt;重复Bug")+COUNTIFS(缺陷明细!$A$2:$A$50000,$B$4,缺陷明细!$G$2:$G$50000,$C19,缺陷明细!$J$2:$J$50000,"运维测试",缺陷明细!$K$2:$K$50000,"严重",缺陷明细!$AB$2:$AB$50000,"&lt;&gt;丢弃",缺陷明细!$AB$2:$AB$50000,"&lt;&gt;设计如此",缺陷明细!$AB$2:$AB$50000,"&lt;&gt;重复Bug")</f>
        <v>0</v>
      </c>
      <c r="AB19" s="73">
        <f>COUNTIFS(缺陷明细!$A$2:$A$50000,$B$4,缺陷明细!$G$2:$G$50000,$C19,缺陷明细!$Q$2:$Q$50000,"已关闭",缺陷明细!$J$2:$J$50000,"运维测试",缺陷明细!$K$2:$K$50000,"致命")+COUNTIFS(缺陷明细!$A$2:$A$50000,$B$4,缺陷明细!$G$2:$G$50000,$C19,缺陷明细!$Q$2:$Q$50000,"已关闭",缺陷明细!$J$2:$J$50000,"运维测试",缺陷明细!$K$2:$K$50000,"严重")</f>
        <v>0</v>
      </c>
      <c r="AC19" s="68">
        <f t="shared" si="0"/>
        <v>0</v>
      </c>
      <c r="AD19" s="60">
        <f t="shared" si="0"/>
        <v>0</v>
      </c>
      <c r="AE19" s="60">
        <f t="shared" si="1"/>
        <v>0</v>
      </c>
      <c r="AF19" s="60">
        <f t="shared" si="1"/>
        <v>0</v>
      </c>
      <c r="AG19" s="60">
        <f t="shared" si="2"/>
        <v>0</v>
      </c>
      <c r="AH19" s="60">
        <f t="shared" si="2"/>
        <v>0</v>
      </c>
      <c r="AI19" s="60">
        <f t="shared" si="3"/>
        <v>0</v>
      </c>
      <c r="AJ19" s="61">
        <f t="shared" si="3"/>
        <v>0</v>
      </c>
      <c r="AK19" s="144"/>
    </row>
    <row r="20" spans="1:37">
      <c r="A20">
        <v>16</v>
      </c>
      <c r="B20" s="57"/>
      <c r="C20" s="58"/>
      <c r="D20" s="84"/>
      <c r="E20" s="82"/>
      <c r="F20" s="158"/>
      <c r="G20" s="159"/>
      <c r="H20" s="281">
        <f>COUNTIFS(缺陷明细!$A$2:$A$50000,$B$4,缺陷明细!$G$2:$G$50000,$C20,缺陷明细!$J$2:$J$50000,"评审",缺陷明细!$AB$2:$AB$50000,"&lt;&gt;丢弃",缺陷明细!$AB$2:$AB$50000,"&lt;&gt;设计如此",缺陷明细!$AB$2:$AB$50000,"&lt;&gt;重复Bug")</f>
        <v>0</v>
      </c>
      <c r="I20" s="154">
        <f>COUNTIFS(缺陷明细!$A$2:$A$50000,$B$4,缺陷明细!$G$2:$G$50000,$C20,缺陷明细!$Q$2:$Q$50000,"已关闭",缺陷明细!$J$2:$J$50000,"评审")</f>
        <v>0</v>
      </c>
      <c r="J20" s="154">
        <f>COUNTIFS(缺陷明细!$A$2:$A$50000,$B$4,缺陷明细!$G$2:$G$50000,$C20,缺陷明细!$J$2:$J$50000,"单元测试",缺陷明细!$AB$2:$AB$50000,"&lt;&gt;丢弃",缺陷明细!$AB$2:$AB$50000,"&lt;&gt;设计如此",缺陷明细!$AB$2:$AB$50000,"&lt;&gt;重复Bug")</f>
        <v>0</v>
      </c>
      <c r="K20" s="155">
        <f>COUNTIFS(缺陷明细!$A$2:$A$50000,$B$4,缺陷明细!$G$2:$G$50000,$C20,缺陷明细!$Q$2:$Q$50000,"已关闭",缺陷明细!$J$2:$J$50000,"单元测试")</f>
        <v>0</v>
      </c>
      <c r="L20" s="156"/>
      <c r="M20" s="157"/>
      <c r="N20" s="72">
        <f>COUNTIFS(缺陷明细!$A$2:$A$50000,$B$4,缺陷明细!$G$2:$G$50000,$C20,缺陷明细!$J$2:$J$50000,"系统测试案例评审",缺陷明细!$AB$2:$AB$50000,"&lt;&gt;丢弃",缺陷明细!$AB$2:$AB$50000,"&lt;&gt;设计如此",缺陷明细!$AB$2:$AB$50000,"&lt;&gt;重复Bug")</f>
        <v>0</v>
      </c>
      <c r="O20" s="72">
        <f>COUNTIFS(缺陷明细!$A$2:$A$50000,$B$4,缺陷明细!$G$2:$G$50000,$C20,缺陷明细!$Q$2:$Q$50000,"已关闭",缺陷明细!$J$2:$J$50000,"系统测试案例评审")</f>
        <v>0</v>
      </c>
      <c r="P20" s="72">
        <f>COUNTIFS(缺陷明细!$A$2:$A$50000,$B$4,缺陷明细!$G$2:$G$50000,$C20,缺陷明细!$J$2:$J$50000,"系统测试",缺陷明细!$AB$2:$AB$50000,"&lt;&gt;丢弃",缺陷明细!$AB$2:$AB$50000,"&lt;&gt;设计如此",缺陷明细!$AB$2:$AB$50000,"&lt;&gt;重复Bug")</f>
        <v>0</v>
      </c>
      <c r="Q20" s="72">
        <f>COUNTIFS(缺陷明细!$A$2:$A$50000,$B$4,缺陷明细!$G$2:$G$50000,$C20,缺陷明细!$Q$2:$Q$50000,"已关闭",缺陷明细!$J$2:$J$50000,"系统测试")</f>
        <v>0</v>
      </c>
      <c r="R20" s="296">
        <f>COUNTIFS(缺陷明细!$A$2:$A$50000,$B$4,缺陷明细!$G$2:$G$50000,$C20,缺陷明细!$AB$2:$AB$50000,"丢弃",缺陷明细!$J$2:$J$50000,"系统测试")+COUNTIFS(缺陷明细!$A$2:$A$50000,$B$4,缺陷明细!$G$2:$G$50000,$C20,缺陷明细!$AB$2:$AB$50000,"设计如此",缺陷明细!$J$2:$J$50000,"系统测试")+COUNTIFS(缺陷明细!$A$2:$A$50000,$B$4,缺陷明细!$G$2:$G$50000,$C20,缺陷明细!$AB$2:$AB$50000,"重复Bug",缺陷明细!$J$2:$J$50000,"系统测试")</f>
        <v>0</v>
      </c>
      <c r="S20" s="72">
        <f>COUNTIFS(缺陷明细!$A$2:$A$50000,$B$4,缺陷明细!$G$2:$G$50000,$C20,缺陷明细!$J$2:$J$50000,"系统测试",缺陷明细!$K$2:$K$50000,"致命",缺陷明细!$AB$2:$AB$50000,"&lt;&gt;丢弃",缺陷明细!$AB$2:$AB$50000,"&lt;&gt;设计如此",缺陷明细!$AB$2:$AB$50000,"&lt;&gt;重复Bug")+COUNTIFS(缺陷明细!$A$2:$A$50000,$B$4,缺陷明细!$G$2:$G$50000,$C20,缺陷明细!$J$2:$J$50000,"系统测试",缺陷明细!$K$2:$K$50000,"严重",缺陷明细!$AB$2:$AB$50000,"&lt;&gt;丢弃",缺陷明细!$AB$2:$AB$50000,"&lt;&gt;设计如此",缺陷明细!$AB$2:$AB$50000,"&lt;&gt;重复Bug")</f>
        <v>0</v>
      </c>
      <c r="T20" s="73">
        <f>COUNTIFS(缺陷明细!$A$2:$A$50000,$B$4,缺陷明细!$G$2:$G$50000,$C20,缺陷明细!$Q$2:$Q$50000,"已关闭",缺陷明细!$J$2:$J$50000,"系统测试",缺陷明细!$K$2:$K$50000,"致命")+COUNTIFS(缺陷明细!$A$2:$A$50000,$B$4,缺陷明细!$G$2:$G$50000,$C20,缺陷明细!$Q$2:$Q$50000,"已关闭",缺陷明细!$J$2:$J$50000,"系统测试",缺陷明细!$K$2:$K$50000,"严重")</f>
        <v>0</v>
      </c>
      <c r="U20" s="74">
        <f>COUNTIFS(缺陷明细!$A$2:$A$50000,$B$4,缺陷明细!$G$2:$G$50000,$C20,缺陷明细!$J$2:$J$50000,"验收测试",缺陷明细!$AB$2:$AB$50000,"&lt;&gt;丢弃",缺陷明细!$AB$2:$AB$50000,"&lt;&gt;设计如此",缺陷明细!$AB$2:$AB$50000,"&lt;&gt;重复Bug")</f>
        <v>0</v>
      </c>
      <c r="V20" s="75">
        <f>COUNTIFS(缺陷明细!$A$2:$A$50000,$B$4,缺陷明细!$G$2:$G$50000,$C20,缺陷明细!$Q$2:$Q$50000,"已关闭",缺陷明细!$J$2:$J$50000,"验收测试")</f>
        <v>0</v>
      </c>
      <c r="W20" s="75">
        <f>COUNTIFS(缺陷明细!$A$2:$A$50000,$B$4,缺陷明细!$G$2:$G$50000,$C20,缺陷明细!$J$2:$J$50000,"验收测试",缺陷明细!$K$2:$K$50000,"致命",缺陷明细!$AB$2:$AB$50000,"&lt;&gt;丢弃",缺陷明细!$AB$2:$AB$50000,"&lt;&gt;设计如此",缺陷明细!$AB$2:$AB$50000,"&lt;&gt;重复Bug")+COUNTIFS(缺陷明细!$A$2:$A$50000,$B$4,缺陷明细!$G$2:$G$50000,$C20,缺陷明细!$J$2:$J$50000,"验收测试",缺陷明细!$K$2:$K$50000,"严重",缺陷明细!$AB$2:$AB$50000,"&lt;&gt;丢弃",缺陷明细!$AB$2:$AB$50000,"&lt;&gt;设计如此",缺陷明细!$AB$2:$AB$50000,"&lt;&gt;重复Bug")</f>
        <v>0</v>
      </c>
      <c r="X20" s="76">
        <f>COUNTIFS(缺陷明细!$A$2:$A$50000,$B$4,缺陷明细!$G$2:$G$50000,$C20,缺陷明细!$Q$2:$Q$50000,"已关闭",缺陷明细!$J$2:$J$50000,"验收测试",缺陷明细!$K$2:$K$50000,"致命")+COUNTIFS(缺陷明细!$A$2:$A$50000,$B$4,缺陷明细!$G$2:$G$50000,$C20,缺陷明细!$Q$2:$Q$50000,"已关闭",缺陷明细!$J$2:$J$50000,"验收测试",缺陷明细!$K$2:$K$50000,"严重")</f>
        <v>0</v>
      </c>
      <c r="Y20" s="70">
        <f>COUNTIFS(缺陷明细!$A$2:$A$50000,$B$4,缺陷明细!$G$2:$G$50000,$C20,缺陷明细!$J$2:$J$50000,"运维测试",缺陷明细!$AB$2:$AB$50000,"&lt;&gt;丢弃",缺陷明细!$AB$2:$AB$50000,"&lt;&gt;设计如此",缺陷明细!$AB$2:$AB$50000,"&lt;&gt;重复Bug")</f>
        <v>0</v>
      </c>
      <c r="Z20" s="71">
        <f>COUNTIFS(缺陷明细!$A$2:$A$50000,$B$4,缺陷明细!$G$2:$G$50000,$C20,缺陷明细!$Q$2:$Q$50000,"已关闭",缺陷明细!$J$2:$J$50000,"运维测试")</f>
        <v>0</v>
      </c>
      <c r="AA20" s="72">
        <f>COUNTIFS(缺陷明细!$A$2:$A$50000,$B$4,缺陷明细!$G$2:$G$50000,$C20,缺陷明细!$J$2:$J$50000,"运维测试",缺陷明细!$K$2:$K$50000,"致命",缺陷明细!$AB$2:$AB$50000,"&lt;&gt;丢弃",缺陷明细!$AB$2:$AB$50000,"&lt;&gt;设计如此",缺陷明细!$AB$2:$AB$50000,"&lt;&gt;重复Bug")+COUNTIFS(缺陷明细!$A$2:$A$50000,$B$4,缺陷明细!$G$2:$G$50000,$C20,缺陷明细!$J$2:$J$50000,"运维测试",缺陷明细!$K$2:$K$50000,"严重",缺陷明细!$AB$2:$AB$50000,"&lt;&gt;丢弃",缺陷明细!$AB$2:$AB$50000,"&lt;&gt;设计如此",缺陷明细!$AB$2:$AB$50000,"&lt;&gt;重复Bug")</f>
        <v>0</v>
      </c>
      <c r="AB20" s="73">
        <f>COUNTIFS(缺陷明细!$A$2:$A$50000,$B$4,缺陷明细!$G$2:$G$50000,$C20,缺陷明细!$Q$2:$Q$50000,"已关闭",缺陷明细!$J$2:$J$50000,"运维测试",缺陷明细!$K$2:$K$50000,"致命")+COUNTIFS(缺陷明细!$A$2:$A$50000,$B$4,缺陷明细!$G$2:$G$50000,$C20,缺陷明细!$Q$2:$Q$50000,"已关闭",缺陷明细!$J$2:$J$50000,"运维测试",缺陷明细!$K$2:$K$50000,"严重")</f>
        <v>0</v>
      </c>
      <c r="AC20" s="68">
        <f t="shared" si="0"/>
        <v>0</v>
      </c>
      <c r="AD20" s="60">
        <f t="shared" si="0"/>
        <v>0</v>
      </c>
      <c r="AE20" s="60">
        <f t="shared" si="1"/>
        <v>0</v>
      </c>
      <c r="AF20" s="60">
        <f t="shared" si="1"/>
        <v>0</v>
      </c>
      <c r="AG20" s="60">
        <f t="shared" si="2"/>
        <v>0</v>
      </c>
      <c r="AH20" s="60">
        <f t="shared" si="2"/>
        <v>0</v>
      </c>
      <c r="AI20" s="60">
        <f t="shared" si="3"/>
        <v>0</v>
      </c>
      <c r="AJ20" s="61">
        <f t="shared" si="3"/>
        <v>0</v>
      </c>
      <c r="AK20" s="144"/>
    </row>
    <row r="21" spans="1:37">
      <c r="A21">
        <v>17</v>
      </c>
      <c r="B21" s="57"/>
      <c r="C21" s="58"/>
      <c r="D21" s="84"/>
      <c r="E21" s="82"/>
      <c r="F21" s="158"/>
      <c r="G21" s="159"/>
      <c r="H21" s="281">
        <f>COUNTIFS(缺陷明细!$A$2:$A$50000,$B$4,缺陷明细!$G$2:$G$50000,$C21,缺陷明细!$J$2:$J$50000,"评审",缺陷明细!$AB$2:$AB$50000,"&lt;&gt;丢弃",缺陷明细!$AB$2:$AB$50000,"&lt;&gt;设计如此",缺陷明细!$AB$2:$AB$50000,"&lt;&gt;重复Bug")</f>
        <v>0</v>
      </c>
      <c r="I21" s="154">
        <f>COUNTIFS(缺陷明细!$A$2:$A$50000,$B$4,缺陷明细!$G$2:$G$50000,$C21,缺陷明细!$Q$2:$Q$50000,"已关闭",缺陷明细!$J$2:$J$50000,"评审")</f>
        <v>0</v>
      </c>
      <c r="J21" s="154">
        <f>COUNTIFS(缺陷明细!$A$2:$A$50000,$B$4,缺陷明细!$G$2:$G$50000,$C21,缺陷明细!$J$2:$J$50000,"单元测试",缺陷明细!$AB$2:$AB$50000,"&lt;&gt;丢弃",缺陷明细!$AB$2:$AB$50000,"&lt;&gt;设计如此",缺陷明细!$AB$2:$AB$50000,"&lt;&gt;重复Bug")</f>
        <v>0</v>
      </c>
      <c r="K21" s="155">
        <f>COUNTIFS(缺陷明细!$A$2:$A$50000,$B$4,缺陷明细!$G$2:$G$50000,$C21,缺陷明细!$Q$2:$Q$50000,"已关闭",缺陷明细!$J$2:$J$50000,"单元测试")</f>
        <v>0</v>
      </c>
      <c r="L21" s="156"/>
      <c r="M21" s="157"/>
      <c r="N21" s="72">
        <f>COUNTIFS(缺陷明细!$A$2:$A$50000,$B$4,缺陷明细!$G$2:$G$50000,$C21,缺陷明细!$J$2:$J$50000,"系统测试案例评审",缺陷明细!$AB$2:$AB$50000,"&lt;&gt;丢弃",缺陷明细!$AB$2:$AB$50000,"&lt;&gt;设计如此",缺陷明细!$AB$2:$AB$50000,"&lt;&gt;重复Bug")</f>
        <v>0</v>
      </c>
      <c r="O21" s="72">
        <f>COUNTIFS(缺陷明细!$A$2:$A$50000,$B$4,缺陷明细!$G$2:$G$50000,$C21,缺陷明细!$Q$2:$Q$50000,"已关闭",缺陷明细!$J$2:$J$50000,"系统测试案例评审")</f>
        <v>0</v>
      </c>
      <c r="P21" s="72">
        <f>COUNTIFS(缺陷明细!$A$2:$A$50000,$B$4,缺陷明细!$G$2:$G$50000,$C21,缺陷明细!$J$2:$J$50000,"系统测试",缺陷明细!$AB$2:$AB$50000,"&lt;&gt;丢弃",缺陷明细!$AB$2:$AB$50000,"&lt;&gt;设计如此",缺陷明细!$AB$2:$AB$50000,"&lt;&gt;重复Bug")</f>
        <v>0</v>
      </c>
      <c r="Q21" s="72">
        <f>COUNTIFS(缺陷明细!$A$2:$A$50000,$B$4,缺陷明细!$G$2:$G$50000,$C21,缺陷明细!$Q$2:$Q$50000,"已关闭",缺陷明细!$J$2:$J$50000,"系统测试")</f>
        <v>0</v>
      </c>
      <c r="R21" s="296">
        <f>COUNTIFS(缺陷明细!$A$2:$A$50000,$B$4,缺陷明细!$G$2:$G$50000,$C21,缺陷明细!$AB$2:$AB$50000,"丢弃",缺陷明细!$J$2:$J$50000,"系统测试")+COUNTIFS(缺陷明细!$A$2:$A$50000,$B$4,缺陷明细!$G$2:$G$50000,$C21,缺陷明细!$AB$2:$AB$50000,"设计如此",缺陷明细!$J$2:$J$50000,"系统测试")+COUNTIFS(缺陷明细!$A$2:$A$50000,$B$4,缺陷明细!$G$2:$G$50000,$C21,缺陷明细!$AB$2:$AB$50000,"重复Bug",缺陷明细!$J$2:$J$50000,"系统测试")</f>
        <v>0</v>
      </c>
      <c r="S21" s="72">
        <f>COUNTIFS(缺陷明细!$A$2:$A$50000,$B$4,缺陷明细!$G$2:$G$50000,$C21,缺陷明细!$J$2:$J$50000,"系统测试",缺陷明细!$K$2:$K$50000,"致命",缺陷明细!$AB$2:$AB$50000,"&lt;&gt;丢弃",缺陷明细!$AB$2:$AB$50000,"&lt;&gt;设计如此",缺陷明细!$AB$2:$AB$50000,"&lt;&gt;重复Bug")+COUNTIFS(缺陷明细!$A$2:$A$50000,$B$4,缺陷明细!$G$2:$G$50000,$C21,缺陷明细!$J$2:$J$50000,"系统测试",缺陷明细!$K$2:$K$50000,"严重",缺陷明细!$AB$2:$AB$50000,"&lt;&gt;丢弃",缺陷明细!$AB$2:$AB$50000,"&lt;&gt;设计如此",缺陷明细!$AB$2:$AB$50000,"&lt;&gt;重复Bug")</f>
        <v>0</v>
      </c>
      <c r="T21" s="73">
        <f>COUNTIFS(缺陷明细!$A$2:$A$50000,$B$4,缺陷明细!$G$2:$G$50000,$C21,缺陷明细!$Q$2:$Q$50000,"已关闭",缺陷明细!$J$2:$J$50000,"系统测试",缺陷明细!$K$2:$K$50000,"致命")+COUNTIFS(缺陷明细!$A$2:$A$50000,$B$4,缺陷明细!$G$2:$G$50000,$C21,缺陷明细!$Q$2:$Q$50000,"已关闭",缺陷明细!$J$2:$J$50000,"系统测试",缺陷明细!$K$2:$K$50000,"严重")</f>
        <v>0</v>
      </c>
      <c r="U21" s="74">
        <f>COUNTIFS(缺陷明细!$A$2:$A$50000,$B$4,缺陷明细!$G$2:$G$50000,$C21,缺陷明细!$J$2:$J$50000,"验收测试",缺陷明细!$AB$2:$AB$50000,"&lt;&gt;丢弃",缺陷明细!$AB$2:$AB$50000,"&lt;&gt;设计如此",缺陷明细!$AB$2:$AB$50000,"&lt;&gt;重复Bug")</f>
        <v>0</v>
      </c>
      <c r="V21" s="75">
        <f>COUNTIFS(缺陷明细!$A$2:$A$50000,$B$4,缺陷明细!$G$2:$G$50000,$C21,缺陷明细!$Q$2:$Q$50000,"已关闭",缺陷明细!$J$2:$J$50000,"验收测试")</f>
        <v>0</v>
      </c>
      <c r="W21" s="75">
        <f>COUNTIFS(缺陷明细!$A$2:$A$50000,$B$4,缺陷明细!$G$2:$G$50000,$C21,缺陷明细!$J$2:$J$50000,"验收测试",缺陷明细!$K$2:$K$50000,"致命",缺陷明细!$AB$2:$AB$50000,"&lt;&gt;丢弃",缺陷明细!$AB$2:$AB$50000,"&lt;&gt;设计如此",缺陷明细!$AB$2:$AB$50000,"&lt;&gt;重复Bug")+COUNTIFS(缺陷明细!$A$2:$A$50000,$B$4,缺陷明细!$G$2:$G$50000,$C21,缺陷明细!$J$2:$J$50000,"验收测试",缺陷明细!$K$2:$K$50000,"严重",缺陷明细!$AB$2:$AB$50000,"&lt;&gt;丢弃",缺陷明细!$AB$2:$AB$50000,"&lt;&gt;设计如此",缺陷明细!$AB$2:$AB$50000,"&lt;&gt;重复Bug")</f>
        <v>0</v>
      </c>
      <c r="X21" s="76">
        <f>COUNTIFS(缺陷明细!$A$2:$A$50000,$B$4,缺陷明细!$G$2:$G$50000,$C21,缺陷明细!$Q$2:$Q$50000,"已关闭",缺陷明细!$J$2:$J$50000,"验收测试",缺陷明细!$K$2:$K$50000,"致命")+COUNTIFS(缺陷明细!$A$2:$A$50000,$B$4,缺陷明细!$G$2:$G$50000,$C21,缺陷明细!$Q$2:$Q$50000,"已关闭",缺陷明细!$J$2:$J$50000,"验收测试",缺陷明细!$K$2:$K$50000,"严重")</f>
        <v>0</v>
      </c>
      <c r="Y21" s="70">
        <f>COUNTIFS(缺陷明细!$A$2:$A$50000,$B$4,缺陷明细!$G$2:$G$50000,$C21,缺陷明细!$J$2:$J$50000,"运维测试",缺陷明细!$AB$2:$AB$50000,"&lt;&gt;丢弃",缺陷明细!$AB$2:$AB$50000,"&lt;&gt;设计如此",缺陷明细!$AB$2:$AB$50000,"&lt;&gt;重复Bug")</f>
        <v>0</v>
      </c>
      <c r="Z21" s="71">
        <f>COUNTIFS(缺陷明细!$A$2:$A$50000,$B$4,缺陷明细!$G$2:$G$50000,$C21,缺陷明细!$Q$2:$Q$50000,"已关闭",缺陷明细!$J$2:$J$50000,"运维测试")</f>
        <v>0</v>
      </c>
      <c r="AA21" s="72">
        <f>COUNTIFS(缺陷明细!$A$2:$A$50000,$B$4,缺陷明细!$G$2:$G$50000,$C21,缺陷明细!$J$2:$J$50000,"运维测试",缺陷明细!$K$2:$K$50000,"致命",缺陷明细!$AB$2:$AB$50000,"&lt;&gt;丢弃",缺陷明细!$AB$2:$AB$50000,"&lt;&gt;设计如此",缺陷明细!$AB$2:$AB$50000,"&lt;&gt;重复Bug")+COUNTIFS(缺陷明细!$A$2:$A$50000,$B$4,缺陷明细!$G$2:$G$50000,$C21,缺陷明细!$J$2:$J$50000,"运维测试",缺陷明细!$K$2:$K$50000,"严重",缺陷明细!$AB$2:$AB$50000,"&lt;&gt;丢弃",缺陷明细!$AB$2:$AB$50000,"&lt;&gt;设计如此",缺陷明细!$AB$2:$AB$50000,"&lt;&gt;重复Bug")</f>
        <v>0</v>
      </c>
      <c r="AB21" s="73">
        <f>COUNTIFS(缺陷明细!$A$2:$A$50000,$B$4,缺陷明细!$G$2:$G$50000,$C21,缺陷明细!$Q$2:$Q$50000,"已关闭",缺陷明细!$J$2:$J$50000,"运维测试",缺陷明细!$K$2:$K$50000,"致命")+COUNTIFS(缺陷明细!$A$2:$A$50000,$B$4,缺陷明细!$G$2:$G$50000,$C21,缺陷明细!$Q$2:$Q$50000,"已关闭",缺陷明细!$J$2:$J$50000,"运维测试",缺陷明细!$K$2:$K$50000,"严重")</f>
        <v>0</v>
      </c>
      <c r="AC21" s="68">
        <f t="shared" si="0"/>
        <v>0</v>
      </c>
      <c r="AD21" s="60">
        <f t="shared" si="0"/>
        <v>0</v>
      </c>
      <c r="AE21" s="60">
        <f t="shared" si="1"/>
        <v>0</v>
      </c>
      <c r="AF21" s="60">
        <f t="shared" si="1"/>
        <v>0</v>
      </c>
      <c r="AG21" s="60">
        <f t="shared" si="2"/>
        <v>0</v>
      </c>
      <c r="AH21" s="60">
        <f t="shared" si="2"/>
        <v>0</v>
      </c>
      <c r="AI21" s="60">
        <f t="shared" si="3"/>
        <v>0</v>
      </c>
      <c r="AJ21" s="61">
        <f t="shared" si="3"/>
        <v>0</v>
      </c>
      <c r="AK21" s="144"/>
    </row>
    <row r="22" spans="1:37">
      <c r="A22">
        <v>18</v>
      </c>
      <c r="B22" s="57"/>
      <c r="C22" s="58"/>
      <c r="D22" s="84"/>
      <c r="E22" s="82"/>
      <c r="F22" s="158"/>
      <c r="G22" s="159"/>
      <c r="H22" s="281">
        <f>COUNTIFS(缺陷明细!$A$2:$A$50000,$B$4,缺陷明细!$G$2:$G$50000,$C22,缺陷明细!$J$2:$J$50000,"评审",缺陷明细!$AB$2:$AB$50000,"&lt;&gt;丢弃",缺陷明细!$AB$2:$AB$50000,"&lt;&gt;设计如此",缺陷明细!$AB$2:$AB$50000,"&lt;&gt;重复Bug")</f>
        <v>0</v>
      </c>
      <c r="I22" s="154">
        <f>COUNTIFS(缺陷明细!$A$2:$A$50000,$B$4,缺陷明细!$G$2:$G$50000,$C22,缺陷明细!$Q$2:$Q$50000,"已关闭",缺陷明细!$J$2:$J$50000,"评审")</f>
        <v>0</v>
      </c>
      <c r="J22" s="154">
        <f>COUNTIFS(缺陷明细!$A$2:$A$50000,$B$4,缺陷明细!$G$2:$G$50000,$C22,缺陷明细!$J$2:$J$50000,"单元测试",缺陷明细!$AB$2:$AB$50000,"&lt;&gt;丢弃",缺陷明细!$AB$2:$AB$50000,"&lt;&gt;设计如此",缺陷明细!$AB$2:$AB$50000,"&lt;&gt;重复Bug")</f>
        <v>0</v>
      </c>
      <c r="K22" s="155">
        <f>COUNTIFS(缺陷明细!$A$2:$A$50000,$B$4,缺陷明细!$G$2:$G$50000,$C22,缺陷明细!$Q$2:$Q$50000,"已关闭",缺陷明细!$J$2:$J$50000,"单元测试")</f>
        <v>0</v>
      </c>
      <c r="L22" s="156"/>
      <c r="M22" s="157"/>
      <c r="N22" s="72">
        <f>COUNTIFS(缺陷明细!$A$2:$A$50000,$B$4,缺陷明细!$G$2:$G$50000,$C22,缺陷明细!$J$2:$J$50000,"系统测试案例评审",缺陷明细!$AB$2:$AB$50000,"&lt;&gt;丢弃",缺陷明细!$AB$2:$AB$50000,"&lt;&gt;设计如此",缺陷明细!$AB$2:$AB$50000,"&lt;&gt;重复Bug")</f>
        <v>0</v>
      </c>
      <c r="O22" s="72">
        <f>COUNTIFS(缺陷明细!$A$2:$A$50000,$B$4,缺陷明细!$G$2:$G$50000,$C22,缺陷明细!$Q$2:$Q$50000,"已关闭",缺陷明细!$J$2:$J$50000,"系统测试案例评审")</f>
        <v>0</v>
      </c>
      <c r="P22" s="72">
        <f>COUNTIFS(缺陷明细!$A$2:$A$50000,$B$4,缺陷明细!$G$2:$G$50000,$C22,缺陷明细!$J$2:$J$50000,"系统测试",缺陷明细!$AB$2:$AB$50000,"&lt;&gt;丢弃",缺陷明细!$AB$2:$AB$50000,"&lt;&gt;设计如此",缺陷明细!$AB$2:$AB$50000,"&lt;&gt;重复Bug")</f>
        <v>0</v>
      </c>
      <c r="Q22" s="72">
        <f>COUNTIFS(缺陷明细!$A$2:$A$50000,$B$4,缺陷明细!$G$2:$G$50000,$C22,缺陷明细!$Q$2:$Q$50000,"已关闭",缺陷明细!$J$2:$J$50000,"系统测试")</f>
        <v>0</v>
      </c>
      <c r="R22" s="296">
        <f>COUNTIFS(缺陷明细!$A$2:$A$50000,$B$4,缺陷明细!$G$2:$G$50000,$C22,缺陷明细!$AB$2:$AB$50000,"丢弃",缺陷明细!$J$2:$J$50000,"系统测试")+COUNTIFS(缺陷明细!$A$2:$A$50000,$B$4,缺陷明细!$G$2:$G$50000,$C22,缺陷明细!$AB$2:$AB$50000,"设计如此",缺陷明细!$J$2:$J$50000,"系统测试")+COUNTIFS(缺陷明细!$A$2:$A$50000,$B$4,缺陷明细!$G$2:$G$50000,$C22,缺陷明细!$AB$2:$AB$50000,"重复Bug",缺陷明细!$J$2:$J$50000,"系统测试")</f>
        <v>0</v>
      </c>
      <c r="S22" s="72">
        <f>COUNTIFS(缺陷明细!$A$2:$A$50000,$B$4,缺陷明细!$G$2:$G$50000,$C22,缺陷明细!$J$2:$J$50000,"系统测试",缺陷明细!$K$2:$K$50000,"致命",缺陷明细!$AB$2:$AB$50000,"&lt;&gt;丢弃",缺陷明细!$AB$2:$AB$50000,"&lt;&gt;设计如此",缺陷明细!$AB$2:$AB$50000,"&lt;&gt;重复Bug")+COUNTIFS(缺陷明细!$A$2:$A$50000,$B$4,缺陷明细!$G$2:$G$50000,$C22,缺陷明细!$J$2:$J$50000,"系统测试",缺陷明细!$K$2:$K$50000,"严重",缺陷明细!$AB$2:$AB$50000,"&lt;&gt;丢弃",缺陷明细!$AB$2:$AB$50000,"&lt;&gt;设计如此",缺陷明细!$AB$2:$AB$50000,"&lt;&gt;重复Bug")</f>
        <v>0</v>
      </c>
      <c r="T22" s="73">
        <f>COUNTIFS(缺陷明细!$A$2:$A$50000,$B$4,缺陷明细!$G$2:$G$50000,$C22,缺陷明细!$Q$2:$Q$50000,"已关闭",缺陷明细!$J$2:$J$50000,"系统测试",缺陷明细!$K$2:$K$50000,"致命")+COUNTIFS(缺陷明细!$A$2:$A$50000,$B$4,缺陷明细!$G$2:$G$50000,$C22,缺陷明细!$Q$2:$Q$50000,"已关闭",缺陷明细!$J$2:$J$50000,"系统测试",缺陷明细!$K$2:$K$50000,"严重")</f>
        <v>0</v>
      </c>
      <c r="U22" s="74">
        <f>COUNTIFS(缺陷明细!$A$2:$A$50000,$B$4,缺陷明细!$G$2:$G$50000,$C22,缺陷明细!$J$2:$J$50000,"验收测试",缺陷明细!$AB$2:$AB$50000,"&lt;&gt;丢弃",缺陷明细!$AB$2:$AB$50000,"&lt;&gt;设计如此",缺陷明细!$AB$2:$AB$50000,"&lt;&gt;重复Bug")</f>
        <v>0</v>
      </c>
      <c r="V22" s="75">
        <f>COUNTIFS(缺陷明细!$A$2:$A$50000,$B$4,缺陷明细!$G$2:$G$50000,$C22,缺陷明细!$Q$2:$Q$50000,"已关闭",缺陷明细!$J$2:$J$50000,"验收测试")</f>
        <v>0</v>
      </c>
      <c r="W22" s="75">
        <f>COUNTIFS(缺陷明细!$A$2:$A$50000,$B$4,缺陷明细!$G$2:$G$50000,$C22,缺陷明细!$J$2:$J$50000,"验收测试",缺陷明细!$K$2:$K$50000,"致命",缺陷明细!$AB$2:$AB$50000,"&lt;&gt;丢弃",缺陷明细!$AB$2:$AB$50000,"&lt;&gt;设计如此",缺陷明细!$AB$2:$AB$50000,"&lt;&gt;重复Bug")+COUNTIFS(缺陷明细!$A$2:$A$50000,$B$4,缺陷明细!$G$2:$G$50000,$C22,缺陷明细!$J$2:$J$50000,"验收测试",缺陷明细!$K$2:$K$50000,"严重",缺陷明细!$AB$2:$AB$50000,"&lt;&gt;丢弃",缺陷明细!$AB$2:$AB$50000,"&lt;&gt;设计如此",缺陷明细!$AB$2:$AB$50000,"&lt;&gt;重复Bug")</f>
        <v>0</v>
      </c>
      <c r="X22" s="76">
        <f>COUNTIFS(缺陷明细!$A$2:$A$50000,$B$4,缺陷明细!$G$2:$G$50000,$C22,缺陷明细!$Q$2:$Q$50000,"已关闭",缺陷明细!$J$2:$J$50000,"验收测试",缺陷明细!$K$2:$K$50000,"致命")+COUNTIFS(缺陷明细!$A$2:$A$50000,$B$4,缺陷明细!$G$2:$G$50000,$C22,缺陷明细!$Q$2:$Q$50000,"已关闭",缺陷明细!$J$2:$J$50000,"验收测试",缺陷明细!$K$2:$K$50000,"严重")</f>
        <v>0</v>
      </c>
      <c r="Y22" s="70">
        <f>COUNTIFS(缺陷明细!$A$2:$A$50000,$B$4,缺陷明细!$G$2:$G$50000,$C22,缺陷明细!$J$2:$J$50000,"运维测试",缺陷明细!$AB$2:$AB$50000,"&lt;&gt;丢弃",缺陷明细!$AB$2:$AB$50000,"&lt;&gt;设计如此",缺陷明细!$AB$2:$AB$50000,"&lt;&gt;重复Bug")</f>
        <v>0</v>
      </c>
      <c r="Z22" s="71">
        <f>COUNTIFS(缺陷明细!$A$2:$A$50000,$B$4,缺陷明细!$G$2:$G$50000,$C22,缺陷明细!$Q$2:$Q$50000,"已关闭",缺陷明细!$J$2:$J$50000,"运维测试")</f>
        <v>0</v>
      </c>
      <c r="AA22" s="72">
        <f>COUNTIFS(缺陷明细!$A$2:$A$50000,$B$4,缺陷明细!$G$2:$G$50000,$C22,缺陷明细!$J$2:$J$50000,"运维测试",缺陷明细!$K$2:$K$50000,"致命",缺陷明细!$AB$2:$AB$50000,"&lt;&gt;丢弃",缺陷明细!$AB$2:$AB$50000,"&lt;&gt;设计如此",缺陷明细!$AB$2:$AB$50000,"&lt;&gt;重复Bug")+COUNTIFS(缺陷明细!$A$2:$A$50000,$B$4,缺陷明细!$G$2:$G$50000,$C22,缺陷明细!$J$2:$J$50000,"运维测试",缺陷明细!$K$2:$K$50000,"严重",缺陷明细!$AB$2:$AB$50000,"&lt;&gt;丢弃",缺陷明细!$AB$2:$AB$50000,"&lt;&gt;设计如此",缺陷明细!$AB$2:$AB$50000,"&lt;&gt;重复Bug")</f>
        <v>0</v>
      </c>
      <c r="AB22" s="73">
        <f>COUNTIFS(缺陷明细!$A$2:$A$50000,$B$4,缺陷明细!$G$2:$G$50000,$C22,缺陷明细!$Q$2:$Q$50000,"已关闭",缺陷明细!$J$2:$J$50000,"运维测试",缺陷明细!$K$2:$K$50000,"致命")+COUNTIFS(缺陷明细!$A$2:$A$50000,$B$4,缺陷明细!$G$2:$G$50000,$C22,缺陷明细!$Q$2:$Q$50000,"已关闭",缺陷明细!$J$2:$J$50000,"运维测试",缺陷明细!$K$2:$K$50000,"严重")</f>
        <v>0</v>
      </c>
      <c r="AC22" s="68">
        <f t="shared" si="0"/>
        <v>0</v>
      </c>
      <c r="AD22" s="60">
        <f t="shared" si="0"/>
        <v>0</v>
      </c>
      <c r="AE22" s="60">
        <f t="shared" si="1"/>
        <v>0</v>
      </c>
      <c r="AF22" s="60">
        <f t="shared" si="1"/>
        <v>0</v>
      </c>
      <c r="AG22" s="60">
        <f t="shared" si="2"/>
        <v>0</v>
      </c>
      <c r="AH22" s="60">
        <f t="shared" si="2"/>
        <v>0</v>
      </c>
      <c r="AI22" s="60">
        <f t="shared" si="3"/>
        <v>0</v>
      </c>
      <c r="AJ22" s="61">
        <f t="shared" si="3"/>
        <v>0</v>
      </c>
      <c r="AK22" s="144"/>
    </row>
    <row r="23" spans="1:37">
      <c r="A23">
        <v>19</v>
      </c>
      <c r="B23" s="57"/>
      <c r="C23" s="58"/>
      <c r="D23" s="84"/>
      <c r="E23" s="82"/>
      <c r="F23" s="158"/>
      <c r="G23" s="159"/>
      <c r="H23" s="281">
        <f>COUNTIFS(缺陷明细!$A$2:$A$50000,$B$4,缺陷明细!$G$2:$G$50000,$C23,缺陷明细!$J$2:$J$50000,"评审",缺陷明细!$AB$2:$AB$50000,"&lt;&gt;丢弃",缺陷明细!$AB$2:$AB$50000,"&lt;&gt;设计如此",缺陷明细!$AB$2:$AB$50000,"&lt;&gt;重复Bug")</f>
        <v>0</v>
      </c>
      <c r="I23" s="154">
        <f>COUNTIFS(缺陷明细!$A$2:$A$50000,$B$4,缺陷明细!$G$2:$G$50000,$C23,缺陷明细!$Q$2:$Q$50000,"已关闭",缺陷明细!$J$2:$J$50000,"评审")</f>
        <v>0</v>
      </c>
      <c r="J23" s="154">
        <f>COUNTIFS(缺陷明细!$A$2:$A$50000,$B$4,缺陷明细!$G$2:$G$50000,$C23,缺陷明细!$J$2:$J$50000,"单元测试",缺陷明细!$AB$2:$AB$50000,"&lt;&gt;丢弃",缺陷明细!$AB$2:$AB$50000,"&lt;&gt;设计如此",缺陷明细!$AB$2:$AB$50000,"&lt;&gt;重复Bug")</f>
        <v>0</v>
      </c>
      <c r="K23" s="155">
        <f>COUNTIFS(缺陷明细!$A$2:$A$50000,$B$4,缺陷明细!$G$2:$G$50000,$C23,缺陷明细!$Q$2:$Q$50000,"已关闭",缺陷明细!$J$2:$J$50000,"单元测试")</f>
        <v>0</v>
      </c>
      <c r="L23" s="156"/>
      <c r="M23" s="157"/>
      <c r="N23" s="72">
        <f>COUNTIFS(缺陷明细!$A$2:$A$50000,$B$4,缺陷明细!$G$2:$G$50000,$C23,缺陷明细!$J$2:$J$50000,"系统测试案例评审",缺陷明细!$AB$2:$AB$50000,"&lt;&gt;丢弃",缺陷明细!$AB$2:$AB$50000,"&lt;&gt;设计如此",缺陷明细!$AB$2:$AB$50000,"&lt;&gt;重复Bug")</f>
        <v>0</v>
      </c>
      <c r="O23" s="72">
        <f>COUNTIFS(缺陷明细!$A$2:$A$50000,$B$4,缺陷明细!$G$2:$G$50000,$C23,缺陷明细!$Q$2:$Q$50000,"已关闭",缺陷明细!$J$2:$J$50000,"系统测试案例评审")</f>
        <v>0</v>
      </c>
      <c r="P23" s="72">
        <f>COUNTIFS(缺陷明细!$A$2:$A$50000,$B$4,缺陷明细!$G$2:$G$50000,$C23,缺陷明细!$J$2:$J$50000,"系统测试",缺陷明细!$AB$2:$AB$50000,"&lt;&gt;丢弃",缺陷明细!$AB$2:$AB$50000,"&lt;&gt;设计如此",缺陷明细!$AB$2:$AB$50000,"&lt;&gt;重复Bug")</f>
        <v>0</v>
      </c>
      <c r="Q23" s="72">
        <f>COUNTIFS(缺陷明细!$A$2:$A$50000,$B$4,缺陷明细!$G$2:$G$50000,$C23,缺陷明细!$Q$2:$Q$50000,"已关闭",缺陷明细!$J$2:$J$50000,"系统测试")</f>
        <v>0</v>
      </c>
      <c r="R23" s="296">
        <f>COUNTIFS(缺陷明细!$A$2:$A$50000,$B$4,缺陷明细!$G$2:$G$50000,$C23,缺陷明细!$AB$2:$AB$50000,"丢弃",缺陷明细!$J$2:$J$50000,"系统测试")+COUNTIFS(缺陷明细!$A$2:$A$50000,$B$4,缺陷明细!$G$2:$G$50000,$C23,缺陷明细!$AB$2:$AB$50000,"设计如此",缺陷明细!$J$2:$J$50000,"系统测试")+COUNTIFS(缺陷明细!$A$2:$A$50000,$B$4,缺陷明细!$G$2:$G$50000,$C23,缺陷明细!$AB$2:$AB$50000,"重复Bug",缺陷明细!$J$2:$J$50000,"系统测试")</f>
        <v>0</v>
      </c>
      <c r="S23" s="72">
        <f>COUNTIFS(缺陷明细!$A$2:$A$50000,$B$4,缺陷明细!$G$2:$G$50000,$C23,缺陷明细!$J$2:$J$50000,"系统测试",缺陷明细!$K$2:$K$50000,"致命",缺陷明细!$AB$2:$AB$50000,"&lt;&gt;丢弃",缺陷明细!$AB$2:$AB$50000,"&lt;&gt;设计如此",缺陷明细!$AB$2:$AB$50000,"&lt;&gt;重复Bug")+COUNTIFS(缺陷明细!$A$2:$A$50000,$B$4,缺陷明细!$G$2:$G$50000,$C23,缺陷明细!$J$2:$J$50000,"系统测试",缺陷明细!$K$2:$K$50000,"严重",缺陷明细!$AB$2:$AB$50000,"&lt;&gt;丢弃",缺陷明细!$AB$2:$AB$50000,"&lt;&gt;设计如此",缺陷明细!$AB$2:$AB$50000,"&lt;&gt;重复Bug")</f>
        <v>0</v>
      </c>
      <c r="T23" s="73">
        <f>COUNTIFS(缺陷明细!$A$2:$A$50000,$B$4,缺陷明细!$G$2:$G$50000,$C23,缺陷明细!$Q$2:$Q$50000,"已关闭",缺陷明细!$J$2:$J$50000,"系统测试",缺陷明细!$K$2:$K$50000,"致命")+COUNTIFS(缺陷明细!$A$2:$A$50000,$B$4,缺陷明细!$G$2:$G$50000,$C23,缺陷明细!$Q$2:$Q$50000,"已关闭",缺陷明细!$J$2:$J$50000,"系统测试",缺陷明细!$K$2:$K$50000,"严重")</f>
        <v>0</v>
      </c>
      <c r="U23" s="74">
        <f>COUNTIFS(缺陷明细!$A$2:$A$50000,$B$4,缺陷明细!$G$2:$G$50000,$C23,缺陷明细!$J$2:$J$50000,"验收测试",缺陷明细!$AB$2:$AB$50000,"&lt;&gt;丢弃",缺陷明细!$AB$2:$AB$50000,"&lt;&gt;设计如此",缺陷明细!$AB$2:$AB$50000,"&lt;&gt;重复Bug")</f>
        <v>0</v>
      </c>
      <c r="V23" s="75">
        <f>COUNTIFS(缺陷明细!$A$2:$A$50000,$B$4,缺陷明细!$G$2:$G$50000,$C23,缺陷明细!$Q$2:$Q$50000,"已关闭",缺陷明细!$J$2:$J$50000,"验收测试")</f>
        <v>0</v>
      </c>
      <c r="W23" s="75">
        <f>COUNTIFS(缺陷明细!$A$2:$A$50000,$B$4,缺陷明细!$G$2:$G$50000,$C23,缺陷明细!$J$2:$J$50000,"验收测试",缺陷明细!$K$2:$K$50000,"致命",缺陷明细!$AB$2:$AB$50000,"&lt;&gt;丢弃",缺陷明细!$AB$2:$AB$50000,"&lt;&gt;设计如此",缺陷明细!$AB$2:$AB$50000,"&lt;&gt;重复Bug")+COUNTIFS(缺陷明细!$A$2:$A$50000,$B$4,缺陷明细!$G$2:$G$50000,$C23,缺陷明细!$J$2:$J$50000,"验收测试",缺陷明细!$K$2:$K$50000,"严重",缺陷明细!$AB$2:$AB$50000,"&lt;&gt;丢弃",缺陷明细!$AB$2:$AB$50000,"&lt;&gt;设计如此",缺陷明细!$AB$2:$AB$50000,"&lt;&gt;重复Bug")</f>
        <v>0</v>
      </c>
      <c r="X23" s="76">
        <f>COUNTIFS(缺陷明细!$A$2:$A$50000,$B$4,缺陷明细!$G$2:$G$50000,$C23,缺陷明细!$Q$2:$Q$50000,"已关闭",缺陷明细!$J$2:$J$50000,"验收测试",缺陷明细!$K$2:$K$50000,"致命")+COUNTIFS(缺陷明细!$A$2:$A$50000,$B$4,缺陷明细!$G$2:$G$50000,$C23,缺陷明细!$Q$2:$Q$50000,"已关闭",缺陷明细!$J$2:$J$50000,"验收测试",缺陷明细!$K$2:$K$50000,"严重")</f>
        <v>0</v>
      </c>
      <c r="Y23" s="70">
        <f>COUNTIFS(缺陷明细!$A$2:$A$50000,$B$4,缺陷明细!$G$2:$G$50000,$C23,缺陷明细!$J$2:$J$50000,"运维测试",缺陷明细!$AB$2:$AB$50000,"&lt;&gt;丢弃",缺陷明细!$AB$2:$AB$50000,"&lt;&gt;设计如此",缺陷明细!$AB$2:$AB$50000,"&lt;&gt;重复Bug")</f>
        <v>0</v>
      </c>
      <c r="Z23" s="71">
        <f>COUNTIFS(缺陷明细!$A$2:$A$50000,$B$4,缺陷明细!$G$2:$G$50000,$C23,缺陷明细!$Q$2:$Q$50000,"已关闭",缺陷明细!$J$2:$J$50000,"运维测试")</f>
        <v>0</v>
      </c>
      <c r="AA23" s="72">
        <f>COUNTIFS(缺陷明细!$A$2:$A$50000,$B$4,缺陷明细!$G$2:$G$50000,$C23,缺陷明细!$J$2:$J$50000,"运维测试",缺陷明细!$K$2:$K$50000,"致命",缺陷明细!$AB$2:$AB$50000,"&lt;&gt;丢弃",缺陷明细!$AB$2:$AB$50000,"&lt;&gt;设计如此",缺陷明细!$AB$2:$AB$50000,"&lt;&gt;重复Bug")+COUNTIFS(缺陷明细!$A$2:$A$50000,$B$4,缺陷明细!$G$2:$G$50000,$C23,缺陷明细!$J$2:$J$50000,"运维测试",缺陷明细!$K$2:$K$50000,"严重",缺陷明细!$AB$2:$AB$50000,"&lt;&gt;丢弃",缺陷明细!$AB$2:$AB$50000,"&lt;&gt;设计如此",缺陷明细!$AB$2:$AB$50000,"&lt;&gt;重复Bug")</f>
        <v>0</v>
      </c>
      <c r="AB23" s="73">
        <f>COUNTIFS(缺陷明细!$A$2:$A$50000,$B$4,缺陷明细!$G$2:$G$50000,$C23,缺陷明细!$Q$2:$Q$50000,"已关闭",缺陷明细!$J$2:$J$50000,"运维测试",缺陷明细!$K$2:$K$50000,"致命")+COUNTIFS(缺陷明细!$A$2:$A$50000,$B$4,缺陷明细!$G$2:$G$50000,$C23,缺陷明细!$Q$2:$Q$50000,"已关闭",缺陷明细!$J$2:$J$50000,"运维测试",缺陷明细!$K$2:$K$50000,"严重")</f>
        <v>0</v>
      </c>
      <c r="AC23" s="68">
        <f t="shared" si="0"/>
        <v>0</v>
      </c>
      <c r="AD23" s="60">
        <f t="shared" si="0"/>
        <v>0</v>
      </c>
      <c r="AE23" s="60">
        <f t="shared" si="1"/>
        <v>0</v>
      </c>
      <c r="AF23" s="60">
        <f t="shared" si="1"/>
        <v>0</v>
      </c>
      <c r="AG23" s="60">
        <f t="shared" si="2"/>
        <v>0</v>
      </c>
      <c r="AH23" s="60">
        <f t="shared" si="2"/>
        <v>0</v>
      </c>
      <c r="AI23" s="60">
        <f t="shared" si="3"/>
        <v>0</v>
      </c>
      <c r="AJ23" s="61">
        <f t="shared" si="3"/>
        <v>0</v>
      </c>
      <c r="AK23" s="144"/>
    </row>
    <row r="24" spans="1:37">
      <c r="A24">
        <v>20</v>
      </c>
      <c r="B24" s="57"/>
      <c r="C24" s="58"/>
      <c r="D24" s="84"/>
      <c r="E24" s="82"/>
      <c r="F24" s="158"/>
      <c r="G24" s="159"/>
      <c r="H24" s="281">
        <f>COUNTIFS(缺陷明细!$A$2:$A$50000,$B$4,缺陷明细!$G$2:$G$50000,$C24,缺陷明细!$J$2:$J$50000,"评审",缺陷明细!$AB$2:$AB$50000,"&lt;&gt;丢弃",缺陷明细!$AB$2:$AB$50000,"&lt;&gt;设计如此",缺陷明细!$AB$2:$AB$50000,"&lt;&gt;重复Bug")</f>
        <v>0</v>
      </c>
      <c r="I24" s="154">
        <f>COUNTIFS(缺陷明细!$A$2:$A$50000,$B$4,缺陷明细!$G$2:$G$50000,$C24,缺陷明细!$Q$2:$Q$50000,"已关闭",缺陷明细!$J$2:$J$50000,"评审")</f>
        <v>0</v>
      </c>
      <c r="J24" s="154">
        <f>COUNTIFS(缺陷明细!$A$2:$A$50000,$B$4,缺陷明细!$G$2:$G$50000,$C24,缺陷明细!$J$2:$J$50000,"单元测试",缺陷明细!$AB$2:$AB$50000,"&lt;&gt;丢弃",缺陷明细!$AB$2:$AB$50000,"&lt;&gt;设计如此",缺陷明细!$AB$2:$AB$50000,"&lt;&gt;重复Bug")</f>
        <v>0</v>
      </c>
      <c r="K24" s="155">
        <f>COUNTIFS(缺陷明细!$A$2:$A$50000,$B$4,缺陷明细!$G$2:$G$50000,$C24,缺陷明细!$Q$2:$Q$50000,"已关闭",缺陷明细!$J$2:$J$50000,"单元测试")</f>
        <v>0</v>
      </c>
      <c r="L24" s="156"/>
      <c r="M24" s="157"/>
      <c r="N24" s="72">
        <f>COUNTIFS(缺陷明细!$A$2:$A$50000,$B$4,缺陷明细!$G$2:$G$50000,$C24,缺陷明细!$J$2:$J$50000,"系统测试案例评审",缺陷明细!$AB$2:$AB$50000,"&lt;&gt;丢弃",缺陷明细!$AB$2:$AB$50000,"&lt;&gt;设计如此",缺陷明细!$AB$2:$AB$50000,"&lt;&gt;重复Bug")</f>
        <v>0</v>
      </c>
      <c r="O24" s="72">
        <f>COUNTIFS(缺陷明细!$A$2:$A$50000,$B$4,缺陷明细!$G$2:$G$50000,$C24,缺陷明细!$Q$2:$Q$50000,"已关闭",缺陷明细!$J$2:$J$50000,"系统测试案例评审")</f>
        <v>0</v>
      </c>
      <c r="P24" s="72">
        <f>COUNTIFS(缺陷明细!$A$2:$A$50000,$B$4,缺陷明细!$G$2:$G$50000,$C24,缺陷明细!$J$2:$J$50000,"系统测试",缺陷明细!$AB$2:$AB$50000,"&lt;&gt;丢弃",缺陷明细!$AB$2:$AB$50000,"&lt;&gt;设计如此",缺陷明细!$AB$2:$AB$50000,"&lt;&gt;重复Bug")</f>
        <v>0</v>
      </c>
      <c r="Q24" s="72">
        <f>COUNTIFS(缺陷明细!$A$2:$A$50000,$B$4,缺陷明细!$G$2:$G$50000,$C24,缺陷明细!$Q$2:$Q$50000,"已关闭",缺陷明细!$J$2:$J$50000,"系统测试")</f>
        <v>0</v>
      </c>
      <c r="R24" s="296">
        <f>COUNTIFS(缺陷明细!$A$2:$A$50000,$B$4,缺陷明细!$G$2:$G$50000,$C24,缺陷明细!$AB$2:$AB$50000,"丢弃",缺陷明细!$J$2:$J$50000,"系统测试")+COUNTIFS(缺陷明细!$A$2:$A$50000,$B$4,缺陷明细!$G$2:$G$50000,$C24,缺陷明细!$AB$2:$AB$50000,"设计如此",缺陷明细!$J$2:$J$50000,"系统测试")+COUNTIFS(缺陷明细!$A$2:$A$50000,$B$4,缺陷明细!$G$2:$G$50000,$C24,缺陷明细!$AB$2:$AB$50000,"重复Bug",缺陷明细!$J$2:$J$50000,"系统测试")</f>
        <v>0</v>
      </c>
      <c r="S24" s="72">
        <f>COUNTIFS(缺陷明细!$A$2:$A$50000,$B$4,缺陷明细!$G$2:$G$50000,$C24,缺陷明细!$J$2:$J$50000,"系统测试",缺陷明细!$K$2:$K$50000,"致命",缺陷明细!$AB$2:$AB$50000,"&lt;&gt;丢弃",缺陷明细!$AB$2:$AB$50000,"&lt;&gt;设计如此",缺陷明细!$AB$2:$AB$50000,"&lt;&gt;重复Bug")+COUNTIFS(缺陷明细!$A$2:$A$50000,$B$4,缺陷明细!$G$2:$G$50000,$C24,缺陷明细!$J$2:$J$50000,"系统测试",缺陷明细!$K$2:$K$50000,"严重",缺陷明细!$AB$2:$AB$50000,"&lt;&gt;丢弃",缺陷明细!$AB$2:$AB$50000,"&lt;&gt;设计如此",缺陷明细!$AB$2:$AB$50000,"&lt;&gt;重复Bug")</f>
        <v>0</v>
      </c>
      <c r="T24" s="73">
        <f>COUNTIFS(缺陷明细!$A$2:$A$50000,$B$4,缺陷明细!$G$2:$G$50000,$C24,缺陷明细!$Q$2:$Q$50000,"已关闭",缺陷明细!$J$2:$J$50000,"系统测试",缺陷明细!$K$2:$K$50000,"致命")+COUNTIFS(缺陷明细!$A$2:$A$50000,$B$4,缺陷明细!$G$2:$G$50000,$C24,缺陷明细!$Q$2:$Q$50000,"已关闭",缺陷明细!$J$2:$J$50000,"系统测试",缺陷明细!$K$2:$K$50000,"严重")</f>
        <v>0</v>
      </c>
      <c r="U24" s="74">
        <f>COUNTIFS(缺陷明细!$A$2:$A$50000,$B$4,缺陷明细!$G$2:$G$50000,$C24,缺陷明细!$J$2:$J$50000,"验收测试",缺陷明细!$AB$2:$AB$50000,"&lt;&gt;丢弃",缺陷明细!$AB$2:$AB$50000,"&lt;&gt;设计如此",缺陷明细!$AB$2:$AB$50000,"&lt;&gt;重复Bug")</f>
        <v>0</v>
      </c>
      <c r="V24" s="75">
        <f>COUNTIFS(缺陷明细!$A$2:$A$50000,$B$4,缺陷明细!$G$2:$G$50000,$C24,缺陷明细!$Q$2:$Q$50000,"已关闭",缺陷明细!$J$2:$J$50000,"验收测试")</f>
        <v>0</v>
      </c>
      <c r="W24" s="75">
        <f>COUNTIFS(缺陷明细!$A$2:$A$50000,$B$4,缺陷明细!$G$2:$G$50000,$C24,缺陷明细!$J$2:$J$50000,"验收测试",缺陷明细!$K$2:$K$50000,"致命",缺陷明细!$AB$2:$AB$50000,"&lt;&gt;丢弃",缺陷明细!$AB$2:$AB$50000,"&lt;&gt;设计如此",缺陷明细!$AB$2:$AB$50000,"&lt;&gt;重复Bug")+COUNTIFS(缺陷明细!$A$2:$A$50000,$B$4,缺陷明细!$G$2:$G$50000,$C24,缺陷明细!$J$2:$J$50000,"验收测试",缺陷明细!$K$2:$K$50000,"严重",缺陷明细!$AB$2:$AB$50000,"&lt;&gt;丢弃",缺陷明细!$AB$2:$AB$50000,"&lt;&gt;设计如此",缺陷明细!$AB$2:$AB$50000,"&lt;&gt;重复Bug")</f>
        <v>0</v>
      </c>
      <c r="X24" s="76">
        <f>COUNTIFS(缺陷明细!$A$2:$A$50000,$B$4,缺陷明细!$G$2:$G$50000,$C24,缺陷明细!$Q$2:$Q$50000,"已关闭",缺陷明细!$J$2:$J$50000,"验收测试",缺陷明细!$K$2:$K$50000,"致命")+COUNTIFS(缺陷明细!$A$2:$A$50000,$B$4,缺陷明细!$G$2:$G$50000,$C24,缺陷明细!$Q$2:$Q$50000,"已关闭",缺陷明细!$J$2:$J$50000,"验收测试",缺陷明细!$K$2:$K$50000,"严重")</f>
        <v>0</v>
      </c>
      <c r="Y24" s="70">
        <f>COUNTIFS(缺陷明细!$A$2:$A$50000,$B$4,缺陷明细!$G$2:$G$50000,$C24,缺陷明细!$J$2:$J$50000,"运维测试",缺陷明细!$AB$2:$AB$50000,"&lt;&gt;丢弃",缺陷明细!$AB$2:$AB$50000,"&lt;&gt;设计如此",缺陷明细!$AB$2:$AB$50000,"&lt;&gt;重复Bug")</f>
        <v>0</v>
      </c>
      <c r="Z24" s="71">
        <f>COUNTIFS(缺陷明细!$A$2:$A$50000,$B$4,缺陷明细!$G$2:$G$50000,$C24,缺陷明细!$Q$2:$Q$50000,"已关闭",缺陷明细!$J$2:$J$50000,"运维测试")</f>
        <v>0</v>
      </c>
      <c r="AA24" s="72">
        <f>COUNTIFS(缺陷明细!$A$2:$A$50000,$B$4,缺陷明细!$G$2:$G$50000,$C24,缺陷明细!$J$2:$J$50000,"运维测试",缺陷明细!$K$2:$K$50000,"致命",缺陷明细!$AB$2:$AB$50000,"&lt;&gt;丢弃",缺陷明细!$AB$2:$AB$50000,"&lt;&gt;设计如此",缺陷明细!$AB$2:$AB$50000,"&lt;&gt;重复Bug")+COUNTIFS(缺陷明细!$A$2:$A$50000,$B$4,缺陷明细!$G$2:$G$50000,$C24,缺陷明细!$J$2:$J$50000,"运维测试",缺陷明细!$K$2:$K$50000,"严重",缺陷明细!$AB$2:$AB$50000,"&lt;&gt;丢弃",缺陷明细!$AB$2:$AB$50000,"&lt;&gt;设计如此",缺陷明细!$AB$2:$AB$50000,"&lt;&gt;重复Bug")</f>
        <v>0</v>
      </c>
      <c r="AB24" s="73">
        <f>COUNTIFS(缺陷明细!$A$2:$A$50000,$B$4,缺陷明细!$G$2:$G$50000,$C24,缺陷明细!$Q$2:$Q$50000,"已关闭",缺陷明细!$J$2:$J$50000,"运维测试",缺陷明细!$K$2:$K$50000,"致命")+COUNTIFS(缺陷明细!$A$2:$A$50000,$B$4,缺陷明细!$G$2:$G$50000,$C24,缺陷明细!$Q$2:$Q$50000,"已关闭",缺陷明细!$J$2:$J$50000,"运维测试",缺陷明细!$K$2:$K$50000,"严重")</f>
        <v>0</v>
      </c>
      <c r="AC24" s="68">
        <f t="shared" si="0"/>
        <v>0</v>
      </c>
      <c r="AD24" s="60">
        <f t="shared" si="0"/>
        <v>0</v>
      </c>
      <c r="AE24" s="60">
        <f t="shared" si="1"/>
        <v>0</v>
      </c>
      <c r="AF24" s="60">
        <f t="shared" si="1"/>
        <v>0</v>
      </c>
      <c r="AG24" s="60">
        <f t="shared" si="2"/>
        <v>0</v>
      </c>
      <c r="AH24" s="60">
        <f t="shared" si="2"/>
        <v>0</v>
      </c>
      <c r="AI24" s="60">
        <f t="shared" si="3"/>
        <v>0</v>
      </c>
      <c r="AJ24" s="61">
        <f t="shared" si="3"/>
        <v>0</v>
      </c>
      <c r="AK24" s="144"/>
    </row>
    <row r="25" spans="1:37">
      <c r="A25">
        <v>21</v>
      </c>
      <c r="B25" s="57"/>
      <c r="C25" s="58"/>
      <c r="D25" s="84"/>
      <c r="E25" s="82"/>
      <c r="F25" s="158"/>
      <c r="G25" s="159"/>
      <c r="H25" s="281">
        <f>COUNTIFS(缺陷明细!$A$2:$A$50000,$B$4,缺陷明细!$G$2:$G$50000,$C25,缺陷明细!$J$2:$J$50000,"评审",缺陷明细!$AB$2:$AB$50000,"&lt;&gt;丢弃",缺陷明细!$AB$2:$AB$50000,"&lt;&gt;设计如此",缺陷明细!$AB$2:$AB$50000,"&lt;&gt;重复Bug")</f>
        <v>0</v>
      </c>
      <c r="I25" s="154">
        <f>COUNTIFS(缺陷明细!$A$2:$A$50000,$B$4,缺陷明细!$G$2:$G$50000,$C25,缺陷明细!$Q$2:$Q$50000,"已关闭",缺陷明细!$J$2:$J$50000,"评审")</f>
        <v>0</v>
      </c>
      <c r="J25" s="154">
        <f>COUNTIFS(缺陷明细!$A$2:$A$50000,$B$4,缺陷明细!$G$2:$G$50000,$C25,缺陷明细!$J$2:$J$50000,"单元测试",缺陷明细!$AB$2:$AB$50000,"&lt;&gt;丢弃",缺陷明细!$AB$2:$AB$50000,"&lt;&gt;设计如此",缺陷明细!$AB$2:$AB$50000,"&lt;&gt;重复Bug")</f>
        <v>0</v>
      </c>
      <c r="K25" s="155">
        <f>COUNTIFS(缺陷明细!$A$2:$A$50000,$B$4,缺陷明细!$G$2:$G$50000,$C25,缺陷明细!$Q$2:$Q$50000,"已关闭",缺陷明细!$J$2:$J$50000,"单元测试")</f>
        <v>0</v>
      </c>
      <c r="L25" s="156"/>
      <c r="M25" s="157"/>
      <c r="N25" s="72">
        <f>COUNTIFS(缺陷明细!$A$2:$A$50000,$B$4,缺陷明细!$G$2:$G$50000,$C25,缺陷明细!$J$2:$J$50000,"系统测试案例评审",缺陷明细!$AB$2:$AB$50000,"&lt;&gt;丢弃",缺陷明细!$AB$2:$AB$50000,"&lt;&gt;设计如此",缺陷明细!$AB$2:$AB$50000,"&lt;&gt;重复Bug")</f>
        <v>0</v>
      </c>
      <c r="O25" s="72">
        <f>COUNTIFS(缺陷明细!$A$2:$A$50000,$B$4,缺陷明细!$G$2:$G$50000,$C25,缺陷明细!$Q$2:$Q$50000,"已关闭",缺陷明细!$J$2:$J$50000,"系统测试案例评审")</f>
        <v>0</v>
      </c>
      <c r="P25" s="72">
        <f>COUNTIFS(缺陷明细!$A$2:$A$50000,$B$4,缺陷明细!$G$2:$G$50000,$C25,缺陷明细!$J$2:$J$50000,"系统测试",缺陷明细!$AB$2:$AB$50000,"&lt;&gt;丢弃",缺陷明细!$AB$2:$AB$50000,"&lt;&gt;设计如此",缺陷明细!$AB$2:$AB$50000,"&lt;&gt;重复Bug")</f>
        <v>0</v>
      </c>
      <c r="Q25" s="72">
        <f>COUNTIFS(缺陷明细!$A$2:$A$50000,$B$4,缺陷明细!$G$2:$G$50000,$C25,缺陷明细!$Q$2:$Q$50000,"已关闭",缺陷明细!$J$2:$J$50000,"系统测试")</f>
        <v>0</v>
      </c>
      <c r="R25" s="296">
        <f>COUNTIFS(缺陷明细!$A$2:$A$50000,$B$4,缺陷明细!$G$2:$G$50000,$C25,缺陷明细!$AB$2:$AB$50000,"丢弃",缺陷明细!$J$2:$J$50000,"系统测试")+COUNTIFS(缺陷明细!$A$2:$A$50000,$B$4,缺陷明细!$G$2:$G$50000,$C25,缺陷明细!$AB$2:$AB$50000,"设计如此",缺陷明细!$J$2:$J$50000,"系统测试")+COUNTIFS(缺陷明细!$A$2:$A$50000,$B$4,缺陷明细!$G$2:$G$50000,$C25,缺陷明细!$AB$2:$AB$50000,"重复Bug",缺陷明细!$J$2:$J$50000,"系统测试")</f>
        <v>0</v>
      </c>
      <c r="S25" s="72">
        <f>COUNTIFS(缺陷明细!$A$2:$A$50000,$B$4,缺陷明细!$G$2:$G$50000,$C25,缺陷明细!$J$2:$J$50000,"系统测试",缺陷明细!$K$2:$K$50000,"致命",缺陷明细!$AB$2:$AB$50000,"&lt;&gt;丢弃",缺陷明细!$AB$2:$AB$50000,"&lt;&gt;设计如此",缺陷明细!$AB$2:$AB$50000,"&lt;&gt;重复Bug")+COUNTIFS(缺陷明细!$A$2:$A$50000,$B$4,缺陷明细!$G$2:$G$50000,$C25,缺陷明细!$J$2:$J$50000,"系统测试",缺陷明细!$K$2:$K$50000,"严重",缺陷明细!$AB$2:$AB$50000,"&lt;&gt;丢弃",缺陷明细!$AB$2:$AB$50000,"&lt;&gt;设计如此",缺陷明细!$AB$2:$AB$50000,"&lt;&gt;重复Bug")</f>
        <v>0</v>
      </c>
      <c r="T25" s="73">
        <f>COUNTIFS(缺陷明细!$A$2:$A$50000,$B$4,缺陷明细!$G$2:$G$50000,$C25,缺陷明细!$Q$2:$Q$50000,"已关闭",缺陷明细!$J$2:$J$50000,"系统测试",缺陷明细!$K$2:$K$50000,"致命")+COUNTIFS(缺陷明细!$A$2:$A$50000,$B$4,缺陷明细!$G$2:$G$50000,$C25,缺陷明细!$Q$2:$Q$50000,"已关闭",缺陷明细!$J$2:$J$50000,"系统测试",缺陷明细!$K$2:$K$50000,"严重")</f>
        <v>0</v>
      </c>
      <c r="U25" s="74">
        <f>COUNTIFS(缺陷明细!$A$2:$A$50000,$B$4,缺陷明细!$G$2:$G$50000,$C25,缺陷明细!$J$2:$J$50000,"验收测试",缺陷明细!$AB$2:$AB$50000,"&lt;&gt;丢弃",缺陷明细!$AB$2:$AB$50000,"&lt;&gt;设计如此",缺陷明细!$AB$2:$AB$50000,"&lt;&gt;重复Bug")</f>
        <v>0</v>
      </c>
      <c r="V25" s="75">
        <f>COUNTIFS(缺陷明细!$A$2:$A$50000,$B$4,缺陷明细!$G$2:$G$50000,$C25,缺陷明细!$Q$2:$Q$50000,"已关闭",缺陷明细!$J$2:$J$50000,"验收测试")</f>
        <v>0</v>
      </c>
      <c r="W25" s="75">
        <f>COUNTIFS(缺陷明细!$A$2:$A$50000,$B$4,缺陷明细!$G$2:$G$50000,$C25,缺陷明细!$J$2:$J$50000,"验收测试",缺陷明细!$K$2:$K$50000,"致命",缺陷明细!$AB$2:$AB$50000,"&lt;&gt;丢弃",缺陷明细!$AB$2:$AB$50000,"&lt;&gt;设计如此",缺陷明细!$AB$2:$AB$50000,"&lt;&gt;重复Bug")+COUNTIFS(缺陷明细!$A$2:$A$50000,$B$4,缺陷明细!$G$2:$G$50000,$C25,缺陷明细!$J$2:$J$50000,"验收测试",缺陷明细!$K$2:$K$50000,"严重",缺陷明细!$AB$2:$AB$50000,"&lt;&gt;丢弃",缺陷明细!$AB$2:$AB$50000,"&lt;&gt;设计如此",缺陷明细!$AB$2:$AB$50000,"&lt;&gt;重复Bug")</f>
        <v>0</v>
      </c>
      <c r="X25" s="76">
        <f>COUNTIFS(缺陷明细!$A$2:$A$50000,$B$4,缺陷明细!$G$2:$G$50000,$C25,缺陷明细!$Q$2:$Q$50000,"已关闭",缺陷明细!$J$2:$J$50000,"验收测试",缺陷明细!$K$2:$K$50000,"致命")+COUNTIFS(缺陷明细!$A$2:$A$50000,$B$4,缺陷明细!$G$2:$G$50000,$C25,缺陷明细!$Q$2:$Q$50000,"已关闭",缺陷明细!$J$2:$J$50000,"验收测试",缺陷明细!$K$2:$K$50000,"严重")</f>
        <v>0</v>
      </c>
      <c r="Y25" s="70">
        <f>COUNTIFS(缺陷明细!$A$2:$A$50000,$B$4,缺陷明细!$G$2:$G$50000,$C25,缺陷明细!$J$2:$J$50000,"运维测试",缺陷明细!$AB$2:$AB$50000,"&lt;&gt;丢弃",缺陷明细!$AB$2:$AB$50000,"&lt;&gt;设计如此",缺陷明细!$AB$2:$AB$50000,"&lt;&gt;重复Bug")</f>
        <v>0</v>
      </c>
      <c r="Z25" s="71">
        <f>COUNTIFS(缺陷明细!$A$2:$A$50000,$B$4,缺陷明细!$G$2:$G$50000,$C25,缺陷明细!$Q$2:$Q$50000,"已关闭",缺陷明细!$J$2:$J$50000,"运维测试")</f>
        <v>0</v>
      </c>
      <c r="AA25" s="72">
        <f>COUNTIFS(缺陷明细!$A$2:$A$50000,$B$4,缺陷明细!$G$2:$G$50000,$C25,缺陷明细!$J$2:$J$50000,"运维测试",缺陷明细!$K$2:$K$50000,"致命",缺陷明细!$AB$2:$AB$50000,"&lt;&gt;丢弃",缺陷明细!$AB$2:$AB$50000,"&lt;&gt;设计如此",缺陷明细!$AB$2:$AB$50000,"&lt;&gt;重复Bug")+COUNTIFS(缺陷明细!$A$2:$A$50000,$B$4,缺陷明细!$G$2:$G$50000,$C25,缺陷明细!$J$2:$J$50000,"运维测试",缺陷明细!$K$2:$K$50000,"严重",缺陷明细!$AB$2:$AB$50000,"&lt;&gt;丢弃",缺陷明细!$AB$2:$AB$50000,"&lt;&gt;设计如此",缺陷明细!$AB$2:$AB$50000,"&lt;&gt;重复Bug")</f>
        <v>0</v>
      </c>
      <c r="AB25" s="73">
        <f>COUNTIFS(缺陷明细!$A$2:$A$50000,$B$4,缺陷明细!$G$2:$G$50000,$C25,缺陷明细!$Q$2:$Q$50000,"已关闭",缺陷明细!$J$2:$J$50000,"运维测试",缺陷明细!$K$2:$K$50000,"致命")+COUNTIFS(缺陷明细!$A$2:$A$50000,$B$4,缺陷明细!$G$2:$G$50000,$C25,缺陷明细!$Q$2:$Q$50000,"已关闭",缺陷明细!$J$2:$J$50000,"运维测试",缺陷明细!$K$2:$K$50000,"严重")</f>
        <v>0</v>
      </c>
      <c r="AC25" s="68">
        <f t="shared" si="0"/>
        <v>0</v>
      </c>
      <c r="AD25" s="60">
        <f t="shared" si="0"/>
        <v>0</v>
      </c>
      <c r="AE25" s="60">
        <f t="shared" si="1"/>
        <v>0</v>
      </c>
      <c r="AF25" s="60">
        <f t="shared" si="1"/>
        <v>0</v>
      </c>
      <c r="AG25" s="60">
        <f t="shared" si="2"/>
        <v>0</v>
      </c>
      <c r="AH25" s="60">
        <f t="shared" si="2"/>
        <v>0</v>
      </c>
      <c r="AI25" s="60">
        <f t="shared" si="3"/>
        <v>0</v>
      </c>
      <c r="AJ25" s="61">
        <f t="shared" si="3"/>
        <v>0</v>
      </c>
      <c r="AK25" s="144"/>
    </row>
    <row r="26" spans="1:37">
      <c r="A26">
        <v>22</v>
      </c>
      <c r="B26" s="57"/>
      <c r="C26" s="58"/>
      <c r="D26" s="84"/>
      <c r="E26" s="82"/>
      <c r="F26" s="158"/>
      <c r="G26" s="159"/>
      <c r="H26" s="281">
        <f>COUNTIFS(缺陷明细!$A$2:$A$50000,$B$4,缺陷明细!$G$2:$G$50000,$C26,缺陷明细!$J$2:$J$50000,"评审",缺陷明细!$AB$2:$AB$50000,"&lt;&gt;丢弃",缺陷明细!$AB$2:$AB$50000,"&lt;&gt;设计如此",缺陷明细!$AB$2:$AB$50000,"&lt;&gt;重复Bug")</f>
        <v>0</v>
      </c>
      <c r="I26" s="154">
        <f>COUNTIFS(缺陷明细!$A$2:$A$50000,$B$4,缺陷明细!$G$2:$G$50000,$C26,缺陷明细!$Q$2:$Q$50000,"已关闭",缺陷明细!$J$2:$J$50000,"评审")</f>
        <v>0</v>
      </c>
      <c r="J26" s="154">
        <f>COUNTIFS(缺陷明细!$A$2:$A$50000,$B$4,缺陷明细!$G$2:$G$50000,$C26,缺陷明细!$J$2:$J$50000,"单元测试",缺陷明细!$AB$2:$AB$50000,"&lt;&gt;丢弃",缺陷明细!$AB$2:$AB$50000,"&lt;&gt;设计如此",缺陷明细!$AB$2:$AB$50000,"&lt;&gt;重复Bug")</f>
        <v>0</v>
      </c>
      <c r="K26" s="155">
        <f>COUNTIFS(缺陷明细!$A$2:$A$50000,$B$4,缺陷明细!$G$2:$G$50000,$C26,缺陷明细!$Q$2:$Q$50000,"已关闭",缺陷明细!$J$2:$J$50000,"单元测试")</f>
        <v>0</v>
      </c>
      <c r="L26" s="156"/>
      <c r="M26" s="157"/>
      <c r="N26" s="72">
        <f>COUNTIFS(缺陷明细!$A$2:$A$50000,$B$4,缺陷明细!$G$2:$G$50000,$C26,缺陷明细!$J$2:$J$50000,"系统测试案例评审",缺陷明细!$AB$2:$AB$50000,"&lt;&gt;丢弃",缺陷明细!$AB$2:$AB$50000,"&lt;&gt;设计如此",缺陷明细!$AB$2:$AB$50000,"&lt;&gt;重复Bug")</f>
        <v>0</v>
      </c>
      <c r="O26" s="72">
        <f>COUNTIFS(缺陷明细!$A$2:$A$50000,$B$4,缺陷明细!$G$2:$G$50000,$C26,缺陷明细!$Q$2:$Q$50000,"已关闭",缺陷明细!$J$2:$J$50000,"系统测试案例评审")</f>
        <v>0</v>
      </c>
      <c r="P26" s="72">
        <f>COUNTIFS(缺陷明细!$A$2:$A$50000,$B$4,缺陷明细!$G$2:$G$50000,$C26,缺陷明细!$J$2:$J$50000,"系统测试",缺陷明细!$AB$2:$AB$50000,"&lt;&gt;丢弃",缺陷明细!$AB$2:$AB$50000,"&lt;&gt;设计如此",缺陷明细!$AB$2:$AB$50000,"&lt;&gt;重复Bug")</f>
        <v>0</v>
      </c>
      <c r="Q26" s="72">
        <f>COUNTIFS(缺陷明细!$A$2:$A$50000,$B$4,缺陷明细!$G$2:$G$50000,$C26,缺陷明细!$Q$2:$Q$50000,"已关闭",缺陷明细!$J$2:$J$50000,"系统测试")</f>
        <v>0</v>
      </c>
      <c r="R26" s="296">
        <f>COUNTIFS(缺陷明细!$A$2:$A$50000,$B$4,缺陷明细!$G$2:$G$50000,$C26,缺陷明细!$AB$2:$AB$50000,"丢弃",缺陷明细!$J$2:$J$50000,"系统测试")+COUNTIFS(缺陷明细!$A$2:$A$50000,$B$4,缺陷明细!$G$2:$G$50000,$C26,缺陷明细!$AB$2:$AB$50000,"设计如此",缺陷明细!$J$2:$J$50000,"系统测试")+COUNTIFS(缺陷明细!$A$2:$A$50000,$B$4,缺陷明细!$G$2:$G$50000,$C26,缺陷明细!$AB$2:$AB$50000,"重复Bug",缺陷明细!$J$2:$J$50000,"系统测试")</f>
        <v>0</v>
      </c>
      <c r="S26" s="72">
        <f>COUNTIFS(缺陷明细!$A$2:$A$50000,$B$4,缺陷明细!$G$2:$G$50000,$C26,缺陷明细!$J$2:$J$50000,"系统测试",缺陷明细!$K$2:$K$50000,"致命",缺陷明细!$AB$2:$AB$50000,"&lt;&gt;丢弃",缺陷明细!$AB$2:$AB$50000,"&lt;&gt;设计如此",缺陷明细!$AB$2:$AB$50000,"&lt;&gt;重复Bug")+COUNTIFS(缺陷明细!$A$2:$A$50000,$B$4,缺陷明细!$G$2:$G$50000,$C26,缺陷明细!$J$2:$J$50000,"系统测试",缺陷明细!$K$2:$K$50000,"严重",缺陷明细!$AB$2:$AB$50000,"&lt;&gt;丢弃",缺陷明细!$AB$2:$AB$50000,"&lt;&gt;设计如此",缺陷明细!$AB$2:$AB$50000,"&lt;&gt;重复Bug")</f>
        <v>0</v>
      </c>
      <c r="T26" s="73">
        <f>COUNTIFS(缺陷明细!$A$2:$A$50000,$B$4,缺陷明细!$G$2:$G$50000,$C26,缺陷明细!$Q$2:$Q$50000,"已关闭",缺陷明细!$J$2:$J$50000,"系统测试",缺陷明细!$K$2:$K$50000,"致命")+COUNTIFS(缺陷明细!$A$2:$A$50000,$B$4,缺陷明细!$G$2:$G$50000,$C26,缺陷明细!$Q$2:$Q$50000,"已关闭",缺陷明细!$J$2:$J$50000,"系统测试",缺陷明细!$K$2:$K$50000,"严重")</f>
        <v>0</v>
      </c>
      <c r="U26" s="74">
        <f>COUNTIFS(缺陷明细!$A$2:$A$50000,$B$4,缺陷明细!$G$2:$G$50000,$C26,缺陷明细!$J$2:$J$50000,"验收测试",缺陷明细!$AB$2:$AB$50000,"&lt;&gt;丢弃",缺陷明细!$AB$2:$AB$50000,"&lt;&gt;设计如此",缺陷明细!$AB$2:$AB$50000,"&lt;&gt;重复Bug")</f>
        <v>0</v>
      </c>
      <c r="V26" s="75">
        <f>COUNTIFS(缺陷明细!$A$2:$A$50000,$B$4,缺陷明细!$G$2:$G$50000,$C26,缺陷明细!$Q$2:$Q$50000,"已关闭",缺陷明细!$J$2:$J$50000,"验收测试")</f>
        <v>0</v>
      </c>
      <c r="W26" s="75">
        <f>COUNTIFS(缺陷明细!$A$2:$A$50000,$B$4,缺陷明细!$G$2:$G$50000,$C26,缺陷明细!$J$2:$J$50000,"验收测试",缺陷明细!$K$2:$K$50000,"致命",缺陷明细!$AB$2:$AB$50000,"&lt;&gt;丢弃",缺陷明细!$AB$2:$AB$50000,"&lt;&gt;设计如此",缺陷明细!$AB$2:$AB$50000,"&lt;&gt;重复Bug")+COUNTIFS(缺陷明细!$A$2:$A$50000,$B$4,缺陷明细!$G$2:$G$50000,$C26,缺陷明细!$J$2:$J$50000,"验收测试",缺陷明细!$K$2:$K$50000,"严重",缺陷明细!$AB$2:$AB$50000,"&lt;&gt;丢弃",缺陷明细!$AB$2:$AB$50000,"&lt;&gt;设计如此",缺陷明细!$AB$2:$AB$50000,"&lt;&gt;重复Bug")</f>
        <v>0</v>
      </c>
      <c r="X26" s="76">
        <f>COUNTIFS(缺陷明细!$A$2:$A$50000,$B$4,缺陷明细!$G$2:$G$50000,$C26,缺陷明细!$Q$2:$Q$50000,"已关闭",缺陷明细!$J$2:$J$50000,"验收测试",缺陷明细!$K$2:$K$50000,"致命")+COUNTIFS(缺陷明细!$A$2:$A$50000,$B$4,缺陷明细!$G$2:$G$50000,$C26,缺陷明细!$Q$2:$Q$50000,"已关闭",缺陷明细!$J$2:$J$50000,"验收测试",缺陷明细!$K$2:$K$50000,"严重")</f>
        <v>0</v>
      </c>
      <c r="Y26" s="70">
        <f>COUNTIFS(缺陷明细!$A$2:$A$50000,$B$4,缺陷明细!$G$2:$G$50000,$C26,缺陷明细!$J$2:$J$50000,"运维测试",缺陷明细!$AB$2:$AB$50000,"&lt;&gt;丢弃",缺陷明细!$AB$2:$AB$50000,"&lt;&gt;设计如此",缺陷明细!$AB$2:$AB$50000,"&lt;&gt;重复Bug")</f>
        <v>0</v>
      </c>
      <c r="Z26" s="71">
        <f>COUNTIFS(缺陷明细!$A$2:$A$50000,$B$4,缺陷明细!$G$2:$G$50000,$C26,缺陷明细!$Q$2:$Q$50000,"已关闭",缺陷明细!$J$2:$J$50000,"运维测试")</f>
        <v>0</v>
      </c>
      <c r="AA26" s="72">
        <f>COUNTIFS(缺陷明细!$A$2:$A$50000,$B$4,缺陷明细!$G$2:$G$50000,$C26,缺陷明细!$J$2:$J$50000,"运维测试",缺陷明细!$K$2:$K$50000,"致命",缺陷明细!$AB$2:$AB$50000,"&lt;&gt;丢弃",缺陷明细!$AB$2:$AB$50000,"&lt;&gt;设计如此",缺陷明细!$AB$2:$AB$50000,"&lt;&gt;重复Bug")+COUNTIFS(缺陷明细!$A$2:$A$50000,$B$4,缺陷明细!$G$2:$G$50000,$C26,缺陷明细!$J$2:$J$50000,"运维测试",缺陷明细!$K$2:$K$50000,"严重",缺陷明细!$AB$2:$AB$50000,"&lt;&gt;丢弃",缺陷明细!$AB$2:$AB$50000,"&lt;&gt;设计如此",缺陷明细!$AB$2:$AB$50000,"&lt;&gt;重复Bug")</f>
        <v>0</v>
      </c>
      <c r="AB26" s="73">
        <f>COUNTIFS(缺陷明细!$A$2:$A$50000,$B$4,缺陷明细!$G$2:$G$50000,$C26,缺陷明细!$Q$2:$Q$50000,"已关闭",缺陷明细!$J$2:$J$50000,"运维测试",缺陷明细!$K$2:$K$50000,"致命")+COUNTIFS(缺陷明细!$A$2:$A$50000,$B$4,缺陷明细!$G$2:$G$50000,$C26,缺陷明细!$Q$2:$Q$50000,"已关闭",缺陷明细!$J$2:$J$50000,"运维测试",缺陷明细!$K$2:$K$50000,"严重")</f>
        <v>0</v>
      </c>
      <c r="AC26" s="68">
        <f t="shared" si="0"/>
        <v>0</v>
      </c>
      <c r="AD26" s="60">
        <f t="shared" si="0"/>
        <v>0</v>
      </c>
      <c r="AE26" s="60">
        <f t="shared" si="1"/>
        <v>0</v>
      </c>
      <c r="AF26" s="60">
        <f t="shared" si="1"/>
        <v>0</v>
      </c>
      <c r="AG26" s="60">
        <f t="shared" si="2"/>
        <v>0</v>
      </c>
      <c r="AH26" s="60">
        <f t="shared" si="2"/>
        <v>0</v>
      </c>
      <c r="AI26" s="60">
        <f t="shared" si="3"/>
        <v>0</v>
      </c>
      <c r="AJ26" s="61">
        <f t="shared" si="3"/>
        <v>0</v>
      </c>
      <c r="AK26" s="144"/>
    </row>
    <row r="27" spans="1:37">
      <c r="A27">
        <v>23</v>
      </c>
      <c r="B27" s="57"/>
      <c r="C27" s="58"/>
      <c r="D27" s="84"/>
      <c r="E27" s="82"/>
      <c r="F27" s="158"/>
      <c r="G27" s="159"/>
      <c r="H27" s="281">
        <f>COUNTIFS(缺陷明细!$A$2:$A$50000,$B$4,缺陷明细!$G$2:$G$50000,$C27,缺陷明细!$J$2:$J$50000,"评审",缺陷明细!$AB$2:$AB$50000,"&lt;&gt;丢弃",缺陷明细!$AB$2:$AB$50000,"&lt;&gt;设计如此",缺陷明细!$AB$2:$AB$50000,"&lt;&gt;重复Bug")</f>
        <v>0</v>
      </c>
      <c r="I27" s="154">
        <f>COUNTIFS(缺陷明细!$A$2:$A$50000,$B$4,缺陷明细!$G$2:$G$50000,$C27,缺陷明细!$Q$2:$Q$50000,"已关闭",缺陷明细!$J$2:$J$50000,"评审")</f>
        <v>0</v>
      </c>
      <c r="J27" s="154">
        <f>COUNTIFS(缺陷明细!$A$2:$A$50000,$B$4,缺陷明细!$G$2:$G$50000,$C27,缺陷明细!$J$2:$J$50000,"单元测试",缺陷明细!$AB$2:$AB$50000,"&lt;&gt;丢弃",缺陷明细!$AB$2:$AB$50000,"&lt;&gt;设计如此",缺陷明细!$AB$2:$AB$50000,"&lt;&gt;重复Bug")</f>
        <v>0</v>
      </c>
      <c r="K27" s="155">
        <f>COUNTIFS(缺陷明细!$A$2:$A$50000,$B$4,缺陷明细!$G$2:$G$50000,$C27,缺陷明细!$Q$2:$Q$50000,"已关闭",缺陷明细!$J$2:$J$50000,"单元测试")</f>
        <v>0</v>
      </c>
      <c r="L27" s="156"/>
      <c r="M27" s="157"/>
      <c r="N27" s="72">
        <f>COUNTIFS(缺陷明细!$A$2:$A$50000,$B$4,缺陷明细!$G$2:$G$50000,$C27,缺陷明细!$J$2:$J$50000,"系统测试案例评审",缺陷明细!$AB$2:$AB$50000,"&lt;&gt;丢弃",缺陷明细!$AB$2:$AB$50000,"&lt;&gt;设计如此",缺陷明细!$AB$2:$AB$50000,"&lt;&gt;重复Bug")</f>
        <v>0</v>
      </c>
      <c r="O27" s="72">
        <f>COUNTIFS(缺陷明细!$A$2:$A$50000,$B$4,缺陷明细!$G$2:$G$50000,$C27,缺陷明细!$Q$2:$Q$50000,"已关闭",缺陷明细!$J$2:$J$50000,"系统测试案例评审")</f>
        <v>0</v>
      </c>
      <c r="P27" s="72">
        <f>COUNTIFS(缺陷明细!$A$2:$A$50000,$B$4,缺陷明细!$G$2:$G$50000,$C27,缺陷明细!$J$2:$J$50000,"系统测试",缺陷明细!$AB$2:$AB$50000,"&lt;&gt;丢弃",缺陷明细!$AB$2:$AB$50000,"&lt;&gt;设计如此",缺陷明细!$AB$2:$AB$50000,"&lt;&gt;重复Bug")</f>
        <v>0</v>
      </c>
      <c r="Q27" s="72">
        <f>COUNTIFS(缺陷明细!$A$2:$A$50000,$B$4,缺陷明细!$G$2:$G$50000,$C27,缺陷明细!$Q$2:$Q$50000,"已关闭",缺陷明细!$J$2:$J$50000,"系统测试")</f>
        <v>0</v>
      </c>
      <c r="R27" s="296">
        <f>COUNTIFS(缺陷明细!$A$2:$A$50000,$B$4,缺陷明细!$G$2:$G$50000,$C27,缺陷明细!$AB$2:$AB$50000,"丢弃",缺陷明细!$J$2:$J$50000,"系统测试")+COUNTIFS(缺陷明细!$A$2:$A$50000,$B$4,缺陷明细!$G$2:$G$50000,$C27,缺陷明细!$AB$2:$AB$50000,"设计如此",缺陷明细!$J$2:$J$50000,"系统测试")+COUNTIFS(缺陷明细!$A$2:$A$50000,$B$4,缺陷明细!$G$2:$G$50000,$C27,缺陷明细!$AB$2:$AB$50000,"重复Bug",缺陷明细!$J$2:$J$50000,"系统测试")</f>
        <v>0</v>
      </c>
      <c r="S27" s="72">
        <f>COUNTIFS(缺陷明细!$A$2:$A$50000,$B$4,缺陷明细!$G$2:$G$50000,$C27,缺陷明细!$J$2:$J$50000,"系统测试",缺陷明细!$K$2:$K$50000,"致命",缺陷明细!$AB$2:$AB$50000,"&lt;&gt;丢弃",缺陷明细!$AB$2:$AB$50000,"&lt;&gt;设计如此",缺陷明细!$AB$2:$AB$50000,"&lt;&gt;重复Bug")+COUNTIFS(缺陷明细!$A$2:$A$50000,$B$4,缺陷明细!$G$2:$G$50000,$C27,缺陷明细!$J$2:$J$50000,"系统测试",缺陷明细!$K$2:$K$50000,"严重",缺陷明细!$AB$2:$AB$50000,"&lt;&gt;丢弃",缺陷明细!$AB$2:$AB$50000,"&lt;&gt;设计如此",缺陷明细!$AB$2:$AB$50000,"&lt;&gt;重复Bug")</f>
        <v>0</v>
      </c>
      <c r="T27" s="73">
        <f>COUNTIFS(缺陷明细!$A$2:$A$50000,$B$4,缺陷明细!$G$2:$G$50000,$C27,缺陷明细!$Q$2:$Q$50000,"已关闭",缺陷明细!$J$2:$J$50000,"系统测试",缺陷明细!$K$2:$K$50000,"致命")+COUNTIFS(缺陷明细!$A$2:$A$50000,$B$4,缺陷明细!$G$2:$G$50000,$C27,缺陷明细!$Q$2:$Q$50000,"已关闭",缺陷明细!$J$2:$J$50000,"系统测试",缺陷明细!$K$2:$K$50000,"严重")</f>
        <v>0</v>
      </c>
      <c r="U27" s="74">
        <f>COUNTIFS(缺陷明细!$A$2:$A$50000,$B$4,缺陷明细!$G$2:$G$50000,$C27,缺陷明细!$J$2:$J$50000,"验收测试",缺陷明细!$AB$2:$AB$50000,"&lt;&gt;丢弃",缺陷明细!$AB$2:$AB$50000,"&lt;&gt;设计如此",缺陷明细!$AB$2:$AB$50000,"&lt;&gt;重复Bug")</f>
        <v>0</v>
      </c>
      <c r="V27" s="75">
        <f>COUNTIFS(缺陷明细!$A$2:$A$50000,$B$4,缺陷明细!$G$2:$G$50000,$C27,缺陷明细!$Q$2:$Q$50000,"已关闭",缺陷明细!$J$2:$J$50000,"验收测试")</f>
        <v>0</v>
      </c>
      <c r="W27" s="75">
        <f>COUNTIFS(缺陷明细!$A$2:$A$50000,$B$4,缺陷明细!$G$2:$G$50000,$C27,缺陷明细!$J$2:$J$50000,"验收测试",缺陷明细!$K$2:$K$50000,"致命",缺陷明细!$AB$2:$AB$50000,"&lt;&gt;丢弃",缺陷明细!$AB$2:$AB$50000,"&lt;&gt;设计如此",缺陷明细!$AB$2:$AB$50000,"&lt;&gt;重复Bug")+COUNTIFS(缺陷明细!$A$2:$A$50000,$B$4,缺陷明细!$G$2:$G$50000,$C27,缺陷明细!$J$2:$J$50000,"验收测试",缺陷明细!$K$2:$K$50000,"严重",缺陷明细!$AB$2:$AB$50000,"&lt;&gt;丢弃",缺陷明细!$AB$2:$AB$50000,"&lt;&gt;设计如此",缺陷明细!$AB$2:$AB$50000,"&lt;&gt;重复Bug")</f>
        <v>0</v>
      </c>
      <c r="X27" s="76">
        <f>COUNTIFS(缺陷明细!$A$2:$A$50000,$B$4,缺陷明细!$G$2:$G$50000,$C27,缺陷明细!$Q$2:$Q$50000,"已关闭",缺陷明细!$J$2:$J$50000,"验收测试",缺陷明细!$K$2:$K$50000,"致命")+COUNTIFS(缺陷明细!$A$2:$A$50000,$B$4,缺陷明细!$G$2:$G$50000,$C27,缺陷明细!$Q$2:$Q$50000,"已关闭",缺陷明细!$J$2:$J$50000,"验收测试",缺陷明细!$K$2:$K$50000,"严重")</f>
        <v>0</v>
      </c>
      <c r="Y27" s="70">
        <f>COUNTIFS(缺陷明细!$A$2:$A$50000,$B$4,缺陷明细!$G$2:$G$50000,$C27,缺陷明细!$J$2:$J$50000,"运维测试",缺陷明细!$AB$2:$AB$50000,"&lt;&gt;丢弃",缺陷明细!$AB$2:$AB$50000,"&lt;&gt;设计如此",缺陷明细!$AB$2:$AB$50000,"&lt;&gt;重复Bug")</f>
        <v>0</v>
      </c>
      <c r="Z27" s="71">
        <f>COUNTIFS(缺陷明细!$A$2:$A$50000,$B$4,缺陷明细!$G$2:$G$50000,$C27,缺陷明细!$Q$2:$Q$50000,"已关闭",缺陷明细!$J$2:$J$50000,"运维测试")</f>
        <v>0</v>
      </c>
      <c r="AA27" s="72">
        <f>COUNTIFS(缺陷明细!$A$2:$A$50000,$B$4,缺陷明细!$G$2:$G$50000,$C27,缺陷明细!$J$2:$J$50000,"运维测试",缺陷明细!$K$2:$K$50000,"致命",缺陷明细!$AB$2:$AB$50000,"&lt;&gt;丢弃",缺陷明细!$AB$2:$AB$50000,"&lt;&gt;设计如此",缺陷明细!$AB$2:$AB$50000,"&lt;&gt;重复Bug")+COUNTIFS(缺陷明细!$A$2:$A$50000,$B$4,缺陷明细!$G$2:$G$50000,$C27,缺陷明细!$J$2:$J$50000,"运维测试",缺陷明细!$K$2:$K$50000,"严重",缺陷明细!$AB$2:$AB$50000,"&lt;&gt;丢弃",缺陷明细!$AB$2:$AB$50000,"&lt;&gt;设计如此",缺陷明细!$AB$2:$AB$50000,"&lt;&gt;重复Bug")</f>
        <v>0</v>
      </c>
      <c r="AB27" s="73">
        <f>COUNTIFS(缺陷明细!$A$2:$A$50000,$B$4,缺陷明细!$G$2:$G$50000,$C27,缺陷明细!$Q$2:$Q$50000,"已关闭",缺陷明细!$J$2:$J$50000,"运维测试",缺陷明细!$K$2:$K$50000,"致命")+COUNTIFS(缺陷明细!$A$2:$A$50000,$B$4,缺陷明细!$G$2:$G$50000,$C27,缺陷明细!$Q$2:$Q$50000,"已关闭",缺陷明细!$J$2:$J$50000,"运维测试",缺陷明细!$K$2:$K$50000,"严重")</f>
        <v>0</v>
      </c>
      <c r="AC27" s="68">
        <f t="shared" si="0"/>
        <v>0</v>
      </c>
      <c r="AD27" s="60">
        <f t="shared" si="0"/>
        <v>0</v>
      </c>
      <c r="AE27" s="60">
        <f t="shared" si="1"/>
        <v>0</v>
      </c>
      <c r="AF27" s="60">
        <f t="shared" si="1"/>
        <v>0</v>
      </c>
      <c r="AG27" s="60">
        <f t="shared" si="2"/>
        <v>0</v>
      </c>
      <c r="AH27" s="60">
        <f t="shared" si="2"/>
        <v>0</v>
      </c>
      <c r="AI27" s="60">
        <f t="shared" si="3"/>
        <v>0</v>
      </c>
      <c r="AJ27" s="61">
        <f t="shared" si="3"/>
        <v>0</v>
      </c>
      <c r="AK27" s="144"/>
    </row>
    <row r="28" spans="1:37">
      <c r="A28">
        <v>24</v>
      </c>
      <c r="B28" s="57"/>
      <c r="C28" s="58"/>
      <c r="D28" s="84"/>
      <c r="E28" s="82"/>
      <c r="F28" s="158"/>
      <c r="G28" s="159"/>
      <c r="H28" s="281">
        <f>COUNTIFS(缺陷明细!$A$2:$A$50000,$B$4,缺陷明细!$G$2:$G$50000,$C28,缺陷明细!$J$2:$J$50000,"评审",缺陷明细!$AB$2:$AB$50000,"&lt;&gt;丢弃",缺陷明细!$AB$2:$AB$50000,"&lt;&gt;设计如此",缺陷明细!$AB$2:$AB$50000,"&lt;&gt;重复Bug")</f>
        <v>0</v>
      </c>
      <c r="I28" s="154">
        <f>COUNTIFS(缺陷明细!$A$2:$A$50000,$B$4,缺陷明细!$G$2:$G$50000,$C28,缺陷明细!$Q$2:$Q$50000,"已关闭",缺陷明细!$J$2:$J$50000,"评审")</f>
        <v>0</v>
      </c>
      <c r="J28" s="154">
        <f>COUNTIFS(缺陷明细!$A$2:$A$50000,$B$4,缺陷明细!$G$2:$G$50000,$C28,缺陷明细!$J$2:$J$50000,"单元测试",缺陷明细!$AB$2:$AB$50000,"&lt;&gt;丢弃",缺陷明细!$AB$2:$AB$50000,"&lt;&gt;设计如此",缺陷明细!$AB$2:$AB$50000,"&lt;&gt;重复Bug")</f>
        <v>0</v>
      </c>
      <c r="K28" s="155">
        <f>COUNTIFS(缺陷明细!$A$2:$A$50000,$B$4,缺陷明细!$G$2:$G$50000,$C28,缺陷明细!$Q$2:$Q$50000,"已关闭",缺陷明细!$J$2:$J$50000,"单元测试")</f>
        <v>0</v>
      </c>
      <c r="L28" s="156"/>
      <c r="M28" s="157"/>
      <c r="N28" s="72">
        <f>COUNTIFS(缺陷明细!$A$2:$A$50000,$B$4,缺陷明细!$G$2:$G$50000,$C28,缺陷明细!$J$2:$J$50000,"系统测试案例评审",缺陷明细!$AB$2:$AB$50000,"&lt;&gt;丢弃",缺陷明细!$AB$2:$AB$50000,"&lt;&gt;设计如此",缺陷明细!$AB$2:$AB$50000,"&lt;&gt;重复Bug")</f>
        <v>0</v>
      </c>
      <c r="O28" s="72">
        <f>COUNTIFS(缺陷明细!$A$2:$A$50000,$B$4,缺陷明细!$G$2:$G$50000,$C28,缺陷明细!$Q$2:$Q$50000,"已关闭",缺陷明细!$J$2:$J$50000,"系统测试案例评审")</f>
        <v>0</v>
      </c>
      <c r="P28" s="72">
        <f>COUNTIFS(缺陷明细!$A$2:$A$50000,$B$4,缺陷明细!$G$2:$G$50000,$C28,缺陷明细!$J$2:$J$50000,"系统测试",缺陷明细!$AB$2:$AB$50000,"&lt;&gt;丢弃",缺陷明细!$AB$2:$AB$50000,"&lt;&gt;设计如此",缺陷明细!$AB$2:$AB$50000,"&lt;&gt;重复Bug")</f>
        <v>0</v>
      </c>
      <c r="Q28" s="72">
        <f>COUNTIFS(缺陷明细!$A$2:$A$50000,$B$4,缺陷明细!$G$2:$G$50000,$C28,缺陷明细!$Q$2:$Q$50000,"已关闭",缺陷明细!$J$2:$J$50000,"系统测试")</f>
        <v>0</v>
      </c>
      <c r="R28" s="296">
        <f>COUNTIFS(缺陷明细!$A$2:$A$50000,$B$4,缺陷明细!$G$2:$G$50000,$C28,缺陷明细!$AB$2:$AB$50000,"丢弃",缺陷明细!$J$2:$J$50000,"系统测试")+COUNTIFS(缺陷明细!$A$2:$A$50000,$B$4,缺陷明细!$G$2:$G$50000,$C28,缺陷明细!$AB$2:$AB$50000,"设计如此",缺陷明细!$J$2:$J$50000,"系统测试")+COUNTIFS(缺陷明细!$A$2:$A$50000,$B$4,缺陷明细!$G$2:$G$50000,$C28,缺陷明细!$AB$2:$AB$50000,"重复Bug",缺陷明细!$J$2:$J$50000,"系统测试")</f>
        <v>0</v>
      </c>
      <c r="S28" s="72">
        <f>COUNTIFS(缺陷明细!$A$2:$A$50000,$B$4,缺陷明细!$G$2:$G$50000,$C28,缺陷明细!$J$2:$J$50000,"系统测试",缺陷明细!$K$2:$K$50000,"致命",缺陷明细!$AB$2:$AB$50000,"&lt;&gt;丢弃",缺陷明细!$AB$2:$AB$50000,"&lt;&gt;设计如此",缺陷明细!$AB$2:$AB$50000,"&lt;&gt;重复Bug")+COUNTIFS(缺陷明细!$A$2:$A$50000,$B$4,缺陷明细!$G$2:$G$50000,$C28,缺陷明细!$J$2:$J$50000,"系统测试",缺陷明细!$K$2:$K$50000,"严重",缺陷明细!$AB$2:$AB$50000,"&lt;&gt;丢弃",缺陷明细!$AB$2:$AB$50000,"&lt;&gt;设计如此",缺陷明细!$AB$2:$AB$50000,"&lt;&gt;重复Bug")</f>
        <v>0</v>
      </c>
      <c r="T28" s="73">
        <f>COUNTIFS(缺陷明细!$A$2:$A$50000,$B$4,缺陷明细!$G$2:$G$50000,$C28,缺陷明细!$Q$2:$Q$50000,"已关闭",缺陷明细!$J$2:$J$50000,"系统测试",缺陷明细!$K$2:$K$50000,"致命")+COUNTIFS(缺陷明细!$A$2:$A$50000,$B$4,缺陷明细!$G$2:$G$50000,$C28,缺陷明细!$Q$2:$Q$50000,"已关闭",缺陷明细!$J$2:$J$50000,"系统测试",缺陷明细!$K$2:$K$50000,"严重")</f>
        <v>0</v>
      </c>
      <c r="U28" s="74">
        <f>COUNTIFS(缺陷明细!$A$2:$A$50000,$B$4,缺陷明细!$G$2:$G$50000,$C28,缺陷明细!$J$2:$J$50000,"验收测试",缺陷明细!$AB$2:$AB$50000,"&lt;&gt;丢弃",缺陷明细!$AB$2:$AB$50000,"&lt;&gt;设计如此",缺陷明细!$AB$2:$AB$50000,"&lt;&gt;重复Bug")</f>
        <v>0</v>
      </c>
      <c r="V28" s="75">
        <f>COUNTIFS(缺陷明细!$A$2:$A$50000,$B$4,缺陷明细!$G$2:$G$50000,$C28,缺陷明细!$Q$2:$Q$50000,"已关闭",缺陷明细!$J$2:$J$50000,"验收测试")</f>
        <v>0</v>
      </c>
      <c r="W28" s="75">
        <f>COUNTIFS(缺陷明细!$A$2:$A$50000,$B$4,缺陷明细!$G$2:$G$50000,$C28,缺陷明细!$J$2:$J$50000,"验收测试",缺陷明细!$K$2:$K$50000,"致命",缺陷明细!$AB$2:$AB$50000,"&lt;&gt;丢弃",缺陷明细!$AB$2:$AB$50000,"&lt;&gt;设计如此",缺陷明细!$AB$2:$AB$50000,"&lt;&gt;重复Bug")+COUNTIFS(缺陷明细!$A$2:$A$50000,$B$4,缺陷明细!$G$2:$G$50000,$C28,缺陷明细!$J$2:$J$50000,"验收测试",缺陷明细!$K$2:$K$50000,"严重",缺陷明细!$AB$2:$AB$50000,"&lt;&gt;丢弃",缺陷明细!$AB$2:$AB$50000,"&lt;&gt;设计如此",缺陷明细!$AB$2:$AB$50000,"&lt;&gt;重复Bug")</f>
        <v>0</v>
      </c>
      <c r="X28" s="76">
        <f>COUNTIFS(缺陷明细!$A$2:$A$50000,$B$4,缺陷明细!$G$2:$G$50000,$C28,缺陷明细!$Q$2:$Q$50000,"已关闭",缺陷明细!$J$2:$J$50000,"验收测试",缺陷明细!$K$2:$K$50000,"致命")+COUNTIFS(缺陷明细!$A$2:$A$50000,$B$4,缺陷明细!$G$2:$G$50000,$C28,缺陷明细!$Q$2:$Q$50000,"已关闭",缺陷明细!$J$2:$J$50000,"验收测试",缺陷明细!$K$2:$K$50000,"严重")</f>
        <v>0</v>
      </c>
      <c r="Y28" s="70">
        <f>COUNTIFS(缺陷明细!$A$2:$A$50000,$B$4,缺陷明细!$G$2:$G$50000,$C28,缺陷明细!$J$2:$J$50000,"运维测试",缺陷明细!$AB$2:$AB$50000,"&lt;&gt;丢弃",缺陷明细!$AB$2:$AB$50000,"&lt;&gt;设计如此",缺陷明细!$AB$2:$AB$50000,"&lt;&gt;重复Bug")</f>
        <v>0</v>
      </c>
      <c r="Z28" s="71">
        <f>COUNTIFS(缺陷明细!$A$2:$A$50000,$B$4,缺陷明细!$G$2:$G$50000,$C28,缺陷明细!$Q$2:$Q$50000,"已关闭",缺陷明细!$J$2:$J$50000,"运维测试")</f>
        <v>0</v>
      </c>
      <c r="AA28" s="72">
        <f>COUNTIFS(缺陷明细!$A$2:$A$50000,$B$4,缺陷明细!$G$2:$G$50000,$C28,缺陷明细!$J$2:$J$50000,"运维测试",缺陷明细!$K$2:$K$50000,"致命",缺陷明细!$AB$2:$AB$50000,"&lt;&gt;丢弃",缺陷明细!$AB$2:$AB$50000,"&lt;&gt;设计如此",缺陷明细!$AB$2:$AB$50000,"&lt;&gt;重复Bug")+COUNTIFS(缺陷明细!$A$2:$A$50000,$B$4,缺陷明细!$G$2:$G$50000,$C28,缺陷明细!$J$2:$J$50000,"运维测试",缺陷明细!$K$2:$K$50000,"严重",缺陷明细!$AB$2:$AB$50000,"&lt;&gt;丢弃",缺陷明细!$AB$2:$AB$50000,"&lt;&gt;设计如此",缺陷明细!$AB$2:$AB$50000,"&lt;&gt;重复Bug")</f>
        <v>0</v>
      </c>
      <c r="AB28" s="73">
        <f>COUNTIFS(缺陷明细!$A$2:$A$50000,$B$4,缺陷明细!$G$2:$G$50000,$C28,缺陷明细!$Q$2:$Q$50000,"已关闭",缺陷明细!$J$2:$J$50000,"运维测试",缺陷明细!$K$2:$K$50000,"致命")+COUNTIFS(缺陷明细!$A$2:$A$50000,$B$4,缺陷明细!$G$2:$G$50000,$C28,缺陷明细!$Q$2:$Q$50000,"已关闭",缺陷明细!$J$2:$J$50000,"运维测试",缺陷明细!$K$2:$K$50000,"严重")</f>
        <v>0</v>
      </c>
      <c r="AC28" s="68">
        <f t="shared" si="0"/>
        <v>0</v>
      </c>
      <c r="AD28" s="60">
        <f t="shared" si="0"/>
        <v>0</v>
      </c>
      <c r="AE28" s="60">
        <f t="shared" si="1"/>
        <v>0</v>
      </c>
      <c r="AF28" s="60">
        <f t="shared" si="1"/>
        <v>0</v>
      </c>
      <c r="AG28" s="60">
        <f t="shared" si="2"/>
        <v>0</v>
      </c>
      <c r="AH28" s="60">
        <f t="shared" si="2"/>
        <v>0</v>
      </c>
      <c r="AI28" s="60">
        <f t="shared" si="3"/>
        <v>0</v>
      </c>
      <c r="AJ28" s="61">
        <f t="shared" si="3"/>
        <v>0</v>
      </c>
      <c r="AK28" s="144"/>
    </row>
    <row r="29" spans="1:37">
      <c r="A29">
        <v>25</v>
      </c>
      <c r="B29" s="57"/>
      <c r="C29" s="58"/>
      <c r="D29" s="84"/>
      <c r="E29" s="82"/>
      <c r="F29" s="158"/>
      <c r="G29" s="159"/>
      <c r="H29" s="281">
        <f>COUNTIFS(缺陷明细!$A$2:$A$50000,$B$4,缺陷明细!$G$2:$G$50000,$C29,缺陷明细!$J$2:$J$50000,"评审",缺陷明细!$AB$2:$AB$50000,"&lt;&gt;丢弃",缺陷明细!$AB$2:$AB$50000,"&lt;&gt;设计如此",缺陷明细!$AB$2:$AB$50000,"&lt;&gt;重复Bug")</f>
        <v>0</v>
      </c>
      <c r="I29" s="154">
        <f>COUNTIFS(缺陷明细!$A$2:$A$50000,$B$4,缺陷明细!$G$2:$G$50000,$C29,缺陷明细!$Q$2:$Q$50000,"已关闭",缺陷明细!$J$2:$J$50000,"评审")</f>
        <v>0</v>
      </c>
      <c r="J29" s="154">
        <f>COUNTIFS(缺陷明细!$A$2:$A$50000,$B$4,缺陷明细!$G$2:$G$50000,$C29,缺陷明细!$J$2:$J$50000,"单元测试",缺陷明细!$AB$2:$AB$50000,"&lt;&gt;丢弃",缺陷明细!$AB$2:$AB$50000,"&lt;&gt;设计如此",缺陷明细!$AB$2:$AB$50000,"&lt;&gt;重复Bug")</f>
        <v>0</v>
      </c>
      <c r="K29" s="155">
        <f>COUNTIFS(缺陷明细!$A$2:$A$50000,$B$4,缺陷明细!$G$2:$G$50000,$C29,缺陷明细!$Q$2:$Q$50000,"已关闭",缺陷明细!$J$2:$J$50000,"单元测试")</f>
        <v>0</v>
      </c>
      <c r="L29" s="156"/>
      <c r="M29" s="157"/>
      <c r="N29" s="72">
        <f>COUNTIFS(缺陷明细!$A$2:$A$50000,$B$4,缺陷明细!$G$2:$G$50000,$C29,缺陷明细!$J$2:$J$50000,"系统测试案例评审",缺陷明细!$AB$2:$AB$50000,"&lt;&gt;丢弃",缺陷明细!$AB$2:$AB$50000,"&lt;&gt;设计如此",缺陷明细!$AB$2:$AB$50000,"&lt;&gt;重复Bug")</f>
        <v>0</v>
      </c>
      <c r="O29" s="72">
        <f>COUNTIFS(缺陷明细!$A$2:$A$50000,$B$4,缺陷明细!$G$2:$G$50000,$C29,缺陷明细!$Q$2:$Q$50000,"已关闭",缺陷明细!$J$2:$J$50000,"系统测试案例评审")</f>
        <v>0</v>
      </c>
      <c r="P29" s="72">
        <f>COUNTIFS(缺陷明细!$A$2:$A$50000,$B$4,缺陷明细!$G$2:$G$50000,$C29,缺陷明细!$J$2:$J$50000,"系统测试",缺陷明细!$AB$2:$AB$50000,"&lt;&gt;丢弃",缺陷明细!$AB$2:$AB$50000,"&lt;&gt;设计如此",缺陷明细!$AB$2:$AB$50000,"&lt;&gt;重复Bug")</f>
        <v>0</v>
      </c>
      <c r="Q29" s="72">
        <f>COUNTIFS(缺陷明细!$A$2:$A$50000,$B$4,缺陷明细!$G$2:$G$50000,$C29,缺陷明细!$Q$2:$Q$50000,"已关闭",缺陷明细!$J$2:$J$50000,"系统测试")</f>
        <v>0</v>
      </c>
      <c r="R29" s="296">
        <f>COUNTIFS(缺陷明细!$A$2:$A$50000,$B$4,缺陷明细!$G$2:$G$50000,$C29,缺陷明细!$AB$2:$AB$50000,"丢弃",缺陷明细!$J$2:$J$50000,"系统测试")+COUNTIFS(缺陷明细!$A$2:$A$50000,$B$4,缺陷明细!$G$2:$G$50000,$C29,缺陷明细!$AB$2:$AB$50000,"设计如此",缺陷明细!$J$2:$J$50000,"系统测试")+COUNTIFS(缺陷明细!$A$2:$A$50000,$B$4,缺陷明细!$G$2:$G$50000,$C29,缺陷明细!$AB$2:$AB$50000,"重复Bug",缺陷明细!$J$2:$J$50000,"系统测试")</f>
        <v>0</v>
      </c>
      <c r="S29" s="72">
        <f>COUNTIFS(缺陷明细!$A$2:$A$50000,$B$4,缺陷明细!$G$2:$G$50000,$C29,缺陷明细!$J$2:$J$50000,"系统测试",缺陷明细!$K$2:$K$50000,"致命",缺陷明细!$AB$2:$AB$50000,"&lt;&gt;丢弃",缺陷明细!$AB$2:$AB$50000,"&lt;&gt;设计如此",缺陷明细!$AB$2:$AB$50000,"&lt;&gt;重复Bug")+COUNTIFS(缺陷明细!$A$2:$A$50000,$B$4,缺陷明细!$G$2:$G$50000,$C29,缺陷明细!$J$2:$J$50000,"系统测试",缺陷明细!$K$2:$K$50000,"严重",缺陷明细!$AB$2:$AB$50000,"&lt;&gt;丢弃",缺陷明细!$AB$2:$AB$50000,"&lt;&gt;设计如此",缺陷明细!$AB$2:$AB$50000,"&lt;&gt;重复Bug")</f>
        <v>0</v>
      </c>
      <c r="T29" s="73">
        <f>COUNTIFS(缺陷明细!$A$2:$A$50000,$B$4,缺陷明细!$G$2:$G$50000,$C29,缺陷明细!$Q$2:$Q$50000,"已关闭",缺陷明细!$J$2:$J$50000,"系统测试",缺陷明细!$K$2:$K$50000,"致命")+COUNTIFS(缺陷明细!$A$2:$A$50000,$B$4,缺陷明细!$G$2:$G$50000,$C29,缺陷明细!$Q$2:$Q$50000,"已关闭",缺陷明细!$J$2:$J$50000,"系统测试",缺陷明细!$K$2:$K$50000,"严重")</f>
        <v>0</v>
      </c>
      <c r="U29" s="74">
        <f>COUNTIFS(缺陷明细!$A$2:$A$50000,$B$4,缺陷明细!$G$2:$G$50000,$C29,缺陷明细!$J$2:$J$50000,"验收测试",缺陷明细!$AB$2:$AB$50000,"&lt;&gt;丢弃",缺陷明细!$AB$2:$AB$50000,"&lt;&gt;设计如此",缺陷明细!$AB$2:$AB$50000,"&lt;&gt;重复Bug")</f>
        <v>0</v>
      </c>
      <c r="V29" s="75">
        <f>COUNTIFS(缺陷明细!$A$2:$A$50000,$B$4,缺陷明细!$G$2:$G$50000,$C29,缺陷明细!$Q$2:$Q$50000,"已关闭",缺陷明细!$J$2:$J$50000,"验收测试")</f>
        <v>0</v>
      </c>
      <c r="W29" s="75">
        <f>COUNTIFS(缺陷明细!$A$2:$A$50000,$B$4,缺陷明细!$G$2:$G$50000,$C29,缺陷明细!$J$2:$J$50000,"验收测试",缺陷明细!$K$2:$K$50000,"致命",缺陷明细!$AB$2:$AB$50000,"&lt;&gt;丢弃",缺陷明细!$AB$2:$AB$50000,"&lt;&gt;设计如此",缺陷明细!$AB$2:$AB$50000,"&lt;&gt;重复Bug")+COUNTIFS(缺陷明细!$A$2:$A$50000,$B$4,缺陷明细!$G$2:$G$50000,$C29,缺陷明细!$J$2:$J$50000,"验收测试",缺陷明细!$K$2:$K$50000,"严重",缺陷明细!$AB$2:$AB$50000,"&lt;&gt;丢弃",缺陷明细!$AB$2:$AB$50000,"&lt;&gt;设计如此",缺陷明细!$AB$2:$AB$50000,"&lt;&gt;重复Bug")</f>
        <v>0</v>
      </c>
      <c r="X29" s="76">
        <f>COUNTIFS(缺陷明细!$A$2:$A$50000,$B$4,缺陷明细!$G$2:$G$50000,$C29,缺陷明细!$Q$2:$Q$50000,"已关闭",缺陷明细!$J$2:$J$50000,"验收测试",缺陷明细!$K$2:$K$50000,"致命")+COUNTIFS(缺陷明细!$A$2:$A$50000,$B$4,缺陷明细!$G$2:$G$50000,$C29,缺陷明细!$Q$2:$Q$50000,"已关闭",缺陷明细!$J$2:$J$50000,"验收测试",缺陷明细!$K$2:$K$50000,"严重")</f>
        <v>0</v>
      </c>
      <c r="Y29" s="70">
        <f>COUNTIFS(缺陷明细!$A$2:$A$50000,$B$4,缺陷明细!$G$2:$G$50000,$C29,缺陷明细!$J$2:$J$50000,"运维测试",缺陷明细!$AB$2:$AB$50000,"&lt;&gt;丢弃",缺陷明细!$AB$2:$AB$50000,"&lt;&gt;设计如此",缺陷明细!$AB$2:$AB$50000,"&lt;&gt;重复Bug")</f>
        <v>0</v>
      </c>
      <c r="Z29" s="71">
        <f>COUNTIFS(缺陷明细!$A$2:$A$50000,$B$4,缺陷明细!$G$2:$G$50000,$C29,缺陷明细!$Q$2:$Q$50000,"已关闭",缺陷明细!$J$2:$J$50000,"运维测试")</f>
        <v>0</v>
      </c>
      <c r="AA29" s="72">
        <f>COUNTIFS(缺陷明细!$A$2:$A$50000,$B$4,缺陷明细!$G$2:$G$50000,$C29,缺陷明细!$J$2:$J$50000,"运维测试",缺陷明细!$K$2:$K$50000,"致命",缺陷明细!$AB$2:$AB$50000,"&lt;&gt;丢弃",缺陷明细!$AB$2:$AB$50000,"&lt;&gt;设计如此",缺陷明细!$AB$2:$AB$50000,"&lt;&gt;重复Bug")+COUNTIFS(缺陷明细!$A$2:$A$50000,$B$4,缺陷明细!$G$2:$G$50000,$C29,缺陷明细!$J$2:$J$50000,"运维测试",缺陷明细!$K$2:$K$50000,"严重",缺陷明细!$AB$2:$AB$50000,"&lt;&gt;丢弃",缺陷明细!$AB$2:$AB$50000,"&lt;&gt;设计如此",缺陷明细!$AB$2:$AB$50000,"&lt;&gt;重复Bug")</f>
        <v>0</v>
      </c>
      <c r="AB29" s="73">
        <f>COUNTIFS(缺陷明细!$A$2:$A$50000,$B$4,缺陷明细!$G$2:$G$50000,$C29,缺陷明细!$Q$2:$Q$50000,"已关闭",缺陷明细!$J$2:$J$50000,"运维测试",缺陷明细!$K$2:$K$50000,"致命")+COUNTIFS(缺陷明细!$A$2:$A$50000,$B$4,缺陷明细!$G$2:$G$50000,$C29,缺陷明细!$Q$2:$Q$50000,"已关闭",缺陷明细!$J$2:$J$50000,"运维测试",缺陷明细!$K$2:$K$50000,"严重")</f>
        <v>0</v>
      </c>
      <c r="AC29" s="68">
        <f t="shared" si="0"/>
        <v>0</v>
      </c>
      <c r="AD29" s="60">
        <f t="shared" si="0"/>
        <v>0</v>
      </c>
      <c r="AE29" s="60">
        <f t="shared" si="1"/>
        <v>0</v>
      </c>
      <c r="AF29" s="60">
        <f t="shared" si="1"/>
        <v>0</v>
      </c>
      <c r="AG29" s="60">
        <f t="shared" si="2"/>
        <v>0</v>
      </c>
      <c r="AH29" s="60">
        <f t="shared" si="2"/>
        <v>0</v>
      </c>
      <c r="AI29" s="60">
        <f t="shared" si="3"/>
        <v>0</v>
      </c>
      <c r="AJ29" s="61">
        <f t="shared" si="3"/>
        <v>0</v>
      </c>
      <c r="AK29" s="144"/>
    </row>
    <row r="30" spans="1:37">
      <c r="A30">
        <v>26</v>
      </c>
      <c r="B30" s="57"/>
      <c r="C30" s="58"/>
      <c r="D30" s="84"/>
      <c r="E30" s="82"/>
      <c r="F30" s="158"/>
      <c r="G30" s="159"/>
      <c r="H30" s="281">
        <f>COUNTIFS(缺陷明细!$A$2:$A$50000,$B$4,缺陷明细!$G$2:$G$50000,$C30,缺陷明细!$J$2:$J$50000,"评审",缺陷明细!$AB$2:$AB$50000,"&lt;&gt;丢弃",缺陷明细!$AB$2:$AB$50000,"&lt;&gt;设计如此",缺陷明细!$AB$2:$AB$50000,"&lt;&gt;重复Bug")</f>
        <v>0</v>
      </c>
      <c r="I30" s="154">
        <f>COUNTIFS(缺陷明细!$A$2:$A$50000,$B$4,缺陷明细!$G$2:$G$50000,$C30,缺陷明细!$Q$2:$Q$50000,"已关闭",缺陷明细!$J$2:$J$50000,"评审")</f>
        <v>0</v>
      </c>
      <c r="J30" s="154">
        <f>COUNTIFS(缺陷明细!$A$2:$A$50000,$B$4,缺陷明细!$G$2:$G$50000,$C30,缺陷明细!$J$2:$J$50000,"单元测试",缺陷明细!$AB$2:$AB$50000,"&lt;&gt;丢弃",缺陷明细!$AB$2:$AB$50000,"&lt;&gt;设计如此",缺陷明细!$AB$2:$AB$50000,"&lt;&gt;重复Bug")</f>
        <v>0</v>
      </c>
      <c r="K30" s="155">
        <f>COUNTIFS(缺陷明细!$A$2:$A$50000,$B$4,缺陷明细!$G$2:$G$50000,$C30,缺陷明细!$Q$2:$Q$50000,"已关闭",缺陷明细!$J$2:$J$50000,"单元测试")</f>
        <v>0</v>
      </c>
      <c r="L30" s="156"/>
      <c r="M30" s="157"/>
      <c r="N30" s="72">
        <f>COUNTIFS(缺陷明细!$A$2:$A$50000,$B$4,缺陷明细!$G$2:$G$50000,$C30,缺陷明细!$J$2:$J$50000,"系统测试案例评审",缺陷明细!$AB$2:$AB$50000,"&lt;&gt;丢弃",缺陷明细!$AB$2:$AB$50000,"&lt;&gt;设计如此",缺陷明细!$AB$2:$AB$50000,"&lt;&gt;重复Bug")</f>
        <v>0</v>
      </c>
      <c r="O30" s="72">
        <f>COUNTIFS(缺陷明细!$A$2:$A$50000,$B$4,缺陷明细!$G$2:$G$50000,$C30,缺陷明细!$Q$2:$Q$50000,"已关闭",缺陷明细!$J$2:$J$50000,"系统测试案例评审")</f>
        <v>0</v>
      </c>
      <c r="P30" s="72">
        <f>COUNTIFS(缺陷明细!$A$2:$A$50000,$B$4,缺陷明细!$G$2:$G$50000,$C30,缺陷明细!$J$2:$J$50000,"系统测试",缺陷明细!$AB$2:$AB$50000,"&lt;&gt;丢弃",缺陷明细!$AB$2:$AB$50000,"&lt;&gt;设计如此",缺陷明细!$AB$2:$AB$50000,"&lt;&gt;重复Bug")</f>
        <v>0</v>
      </c>
      <c r="Q30" s="72">
        <f>COUNTIFS(缺陷明细!$A$2:$A$50000,$B$4,缺陷明细!$G$2:$G$50000,$C30,缺陷明细!$Q$2:$Q$50000,"已关闭",缺陷明细!$J$2:$J$50000,"系统测试")</f>
        <v>0</v>
      </c>
      <c r="R30" s="296">
        <f>COUNTIFS(缺陷明细!$A$2:$A$50000,$B$4,缺陷明细!$G$2:$G$50000,$C30,缺陷明细!$AB$2:$AB$50000,"丢弃",缺陷明细!$J$2:$J$50000,"系统测试")+COUNTIFS(缺陷明细!$A$2:$A$50000,$B$4,缺陷明细!$G$2:$G$50000,$C30,缺陷明细!$AB$2:$AB$50000,"设计如此",缺陷明细!$J$2:$J$50000,"系统测试")+COUNTIFS(缺陷明细!$A$2:$A$50000,$B$4,缺陷明细!$G$2:$G$50000,$C30,缺陷明细!$AB$2:$AB$50000,"重复Bug",缺陷明细!$J$2:$J$50000,"系统测试")</f>
        <v>0</v>
      </c>
      <c r="S30" s="72">
        <f>COUNTIFS(缺陷明细!$A$2:$A$50000,$B$4,缺陷明细!$G$2:$G$50000,$C30,缺陷明细!$J$2:$J$50000,"系统测试",缺陷明细!$K$2:$K$50000,"致命",缺陷明细!$AB$2:$AB$50000,"&lt;&gt;丢弃",缺陷明细!$AB$2:$AB$50000,"&lt;&gt;设计如此",缺陷明细!$AB$2:$AB$50000,"&lt;&gt;重复Bug")+COUNTIFS(缺陷明细!$A$2:$A$50000,$B$4,缺陷明细!$G$2:$G$50000,$C30,缺陷明细!$J$2:$J$50000,"系统测试",缺陷明细!$K$2:$K$50000,"严重",缺陷明细!$AB$2:$AB$50000,"&lt;&gt;丢弃",缺陷明细!$AB$2:$AB$50000,"&lt;&gt;设计如此",缺陷明细!$AB$2:$AB$50000,"&lt;&gt;重复Bug")</f>
        <v>0</v>
      </c>
      <c r="T30" s="73">
        <f>COUNTIFS(缺陷明细!$A$2:$A$50000,$B$4,缺陷明细!$G$2:$G$50000,$C30,缺陷明细!$Q$2:$Q$50000,"已关闭",缺陷明细!$J$2:$J$50000,"系统测试",缺陷明细!$K$2:$K$50000,"致命")+COUNTIFS(缺陷明细!$A$2:$A$50000,$B$4,缺陷明细!$G$2:$G$50000,$C30,缺陷明细!$Q$2:$Q$50000,"已关闭",缺陷明细!$J$2:$J$50000,"系统测试",缺陷明细!$K$2:$K$50000,"严重")</f>
        <v>0</v>
      </c>
      <c r="U30" s="74">
        <f>COUNTIFS(缺陷明细!$A$2:$A$50000,$B$4,缺陷明细!$G$2:$G$50000,$C30,缺陷明细!$J$2:$J$50000,"验收测试",缺陷明细!$AB$2:$AB$50000,"&lt;&gt;丢弃",缺陷明细!$AB$2:$AB$50000,"&lt;&gt;设计如此",缺陷明细!$AB$2:$AB$50000,"&lt;&gt;重复Bug")</f>
        <v>0</v>
      </c>
      <c r="V30" s="75">
        <f>COUNTIFS(缺陷明细!$A$2:$A$50000,$B$4,缺陷明细!$G$2:$G$50000,$C30,缺陷明细!$Q$2:$Q$50000,"已关闭",缺陷明细!$J$2:$J$50000,"验收测试")</f>
        <v>0</v>
      </c>
      <c r="W30" s="75">
        <f>COUNTIFS(缺陷明细!$A$2:$A$50000,$B$4,缺陷明细!$G$2:$G$50000,$C30,缺陷明细!$J$2:$J$50000,"验收测试",缺陷明细!$K$2:$K$50000,"致命",缺陷明细!$AB$2:$AB$50000,"&lt;&gt;丢弃",缺陷明细!$AB$2:$AB$50000,"&lt;&gt;设计如此",缺陷明细!$AB$2:$AB$50000,"&lt;&gt;重复Bug")+COUNTIFS(缺陷明细!$A$2:$A$50000,$B$4,缺陷明细!$G$2:$G$50000,$C30,缺陷明细!$J$2:$J$50000,"验收测试",缺陷明细!$K$2:$K$50000,"严重",缺陷明细!$AB$2:$AB$50000,"&lt;&gt;丢弃",缺陷明细!$AB$2:$AB$50000,"&lt;&gt;设计如此",缺陷明细!$AB$2:$AB$50000,"&lt;&gt;重复Bug")</f>
        <v>0</v>
      </c>
      <c r="X30" s="76">
        <f>COUNTIFS(缺陷明细!$A$2:$A$50000,$B$4,缺陷明细!$G$2:$G$50000,$C30,缺陷明细!$Q$2:$Q$50000,"已关闭",缺陷明细!$J$2:$J$50000,"验收测试",缺陷明细!$K$2:$K$50000,"致命")+COUNTIFS(缺陷明细!$A$2:$A$50000,$B$4,缺陷明细!$G$2:$G$50000,$C30,缺陷明细!$Q$2:$Q$50000,"已关闭",缺陷明细!$J$2:$J$50000,"验收测试",缺陷明细!$K$2:$K$50000,"严重")</f>
        <v>0</v>
      </c>
      <c r="Y30" s="70">
        <f>COUNTIFS(缺陷明细!$A$2:$A$50000,$B$4,缺陷明细!$G$2:$G$50000,$C30,缺陷明细!$J$2:$J$50000,"运维测试",缺陷明细!$AB$2:$AB$50000,"&lt;&gt;丢弃",缺陷明细!$AB$2:$AB$50000,"&lt;&gt;设计如此",缺陷明细!$AB$2:$AB$50000,"&lt;&gt;重复Bug")</f>
        <v>0</v>
      </c>
      <c r="Z30" s="71">
        <f>COUNTIFS(缺陷明细!$A$2:$A$50000,$B$4,缺陷明细!$G$2:$G$50000,$C30,缺陷明细!$Q$2:$Q$50000,"已关闭",缺陷明细!$J$2:$J$50000,"运维测试")</f>
        <v>0</v>
      </c>
      <c r="AA30" s="72">
        <f>COUNTIFS(缺陷明细!$A$2:$A$50000,$B$4,缺陷明细!$G$2:$G$50000,$C30,缺陷明细!$J$2:$J$50000,"运维测试",缺陷明细!$K$2:$K$50000,"致命",缺陷明细!$AB$2:$AB$50000,"&lt;&gt;丢弃",缺陷明细!$AB$2:$AB$50000,"&lt;&gt;设计如此",缺陷明细!$AB$2:$AB$50000,"&lt;&gt;重复Bug")+COUNTIFS(缺陷明细!$A$2:$A$50000,$B$4,缺陷明细!$G$2:$G$50000,$C30,缺陷明细!$J$2:$J$50000,"运维测试",缺陷明细!$K$2:$K$50000,"严重",缺陷明细!$AB$2:$AB$50000,"&lt;&gt;丢弃",缺陷明细!$AB$2:$AB$50000,"&lt;&gt;设计如此",缺陷明细!$AB$2:$AB$50000,"&lt;&gt;重复Bug")</f>
        <v>0</v>
      </c>
      <c r="AB30" s="73">
        <f>COUNTIFS(缺陷明细!$A$2:$A$50000,$B$4,缺陷明细!$G$2:$G$50000,$C30,缺陷明细!$Q$2:$Q$50000,"已关闭",缺陷明细!$J$2:$J$50000,"运维测试",缺陷明细!$K$2:$K$50000,"致命")+COUNTIFS(缺陷明细!$A$2:$A$50000,$B$4,缺陷明细!$G$2:$G$50000,$C30,缺陷明细!$Q$2:$Q$50000,"已关闭",缺陷明细!$J$2:$J$50000,"运维测试",缺陷明细!$K$2:$K$50000,"严重")</f>
        <v>0</v>
      </c>
      <c r="AC30" s="68">
        <f t="shared" si="0"/>
        <v>0</v>
      </c>
      <c r="AD30" s="60">
        <f t="shared" si="0"/>
        <v>0</v>
      </c>
      <c r="AE30" s="60">
        <f t="shared" si="1"/>
        <v>0</v>
      </c>
      <c r="AF30" s="60">
        <f t="shared" si="1"/>
        <v>0</v>
      </c>
      <c r="AG30" s="60">
        <f t="shared" si="2"/>
        <v>0</v>
      </c>
      <c r="AH30" s="60">
        <f t="shared" si="2"/>
        <v>0</v>
      </c>
      <c r="AI30" s="60">
        <f t="shared" si="3"/>
        <v>0</v>
      </c>
      <c r="AJ30" s="61">
        <f t="shared" si="3"/>
        <v>0</v>
      </c>
      <c r="AK30" s="144"/>
    </row>
    <row r="31" spans="1:37">
      <c r="A31">
        <v>27</v>
      </c>
      <c r="B31" s="57"/>
      <c r="C31" s="58"/>
      <c r="D31" s="84"/>
      <c r="E31" s="82"/>
      <c r="F31" s="158"/>
      <c r="G31" s="159"/>
      <c r="H31" s="281">
        <f>COUNTIFS(缺陷明细!$A$2:$A$50000,$B$4,缺陷明细!$G$2:$G$50000,$C31,缺陷明细!$J$2:$J$50000,"评审",缺陷明细!$AB$2:$AB$50000,"&lt;&gt;丢弃",缺陷明细!$AB$2:$AB$50000,"&lt;&gt;设计如此",缺陷明细!$AB$2:$AB$50000,"&lt;&gt;重复Bug")</f>
        <v>0</v>
      </c>
      <c r="I31" s="154">
        <f>COUNTIFS(缺陷明细!$A$2:$A$50000,$B$4,缺陷明细!$G$2:$G$50000,$C31,缺陷明细!$Q$2:$Q$50000,"已关闭",缺陷明细!$J$2:$J$50000,"评审")</f>
        <v>0</v>
      </c>
      <c r="J31" s="154">
        <f>COUNTIFS(缺陷明细!$A$2:$A$50000,$B$4,缺陷明细!$G$2:$G$50000,$C31,缺陷明细!$J$2:$J$50000,"单元测试",缺陷明细!$AB$2:$AB$50000,"&lt;&gt;丢弃",缺陷明细!$AB$2:$AB$50000,"&lt;&gt;设计如此",缺陷明细!$AB$2:$AB$50000,"&lt;&gt;重复Bug")</f>
        <v>0</v>
      </c>
      <c r="K31" s="155">
        <f>COUNTIFS(缺陷明细!$A$2:$A$50000,$B$4,缺陷明细!$G$2:$G$50000,$C31,缺陷明细!$Q$2:$Q$50000,"已关闭",缺陷明细!$J$2:$J$50000,"单元测试")</f>
        <v>0</v>
      </c>
      <c r="L31" s="156"/>
      <c r="M31" s="157"/>
      <c r="N31" s="72">
        <f>COUNTIFS(缺陷明细!$A$2:$A$50000,$B$4,缺陷明细!$G$2:$G$50000,$C31,缺陷明细!$J$2:$J$50000,"系统测试案例评审",缺陷明细!$AB$2:$AB$50000,"&lt;&gt;丢弃",缺陷明细!$AB$2:$AB$50000,"&lt;&gt;设计如此",缺陷明细!$AB$2:$AB$50000,"&lt;&gt;重复Bug")</f>
        <v>0</v>
      </c>
      <c r="O31" s="72">
        <f>COUNTIFS(缺陷明细!$A$2:$A$50000,$B$4,缺陷明细!$G$2:$G$50000,$C31,缺陷明细!$Q$2:$Q$50000,"已关闭",缺陷明细!$J$2:$J$50000,"系统测试案例评审")</f>
        <v>0</v>
      </c>
      <c r="P31" s="72">
        <f>COUNTIFS(缺陷明细!$A$2:$A$50000,$B$4,缺陷明细!$G$2:$G$50000,$C31,缺陷明细!$J$2:$J$50000,"系统测试",缺陷明细!$AB$2:$AB$50000,"&lt;&gt;丢弃",缺陷明细!$AB$2:$AB$50000,"&lt;&gt;设计如此",缺陷明细!$AB$2:$AB$50000,"&lt;&gt;重复Bug")</f>
        <v>0</v>
      </c>
      <c r="Q31" s="72">
        <f>COUNTIFS(缺陷明细!$A$2:$A$50000,$B$4,缺陷明细!$G$2:$G$50000,$C31,缺陷明细!$Q$2:$Q$50000,"已关闭",缺陷明细!$J$2:$J$50000,"系统测试")</f>
        <v>0</v>
      </c>
      <c r="R31" s="296">
        <f>COUNTIFS(缺陷明细!$A$2:$A$50000,$B$4,缺陷明细!$G$2:$G$50000,$C31,缺陷明细!$AB$2:$AB$50000,"丢弃",缺陷明细!$J$2:$J$50000,"系统测试")+COUNTIFS(缺陷明细!$A$2:$A$50000,$B$4,缺陷明细!$G$2:$G$50000,$C31,缺陷明细!$AB$2:$AB$50000,"设计如此",缺陷明细!$J$2:$J$50000,"系统测试")+COUNTIFS(缺陷明细!$A$2:$A$50000,$B$4,缺陷明细!$G$2:$G$50000,$C31,缺陷明细!$AB$2:$AB$50000,"重复Bug",缺陷明细!$J$2:$J$50000,"系统测试")</f>
        <v>0</v>
      </c>
      <c r="S31" s="72">
        <f>COUNTIFS(缺陷明细!$A$2:$A$50000,$B$4,缺陷明细!$G$2:$G$50000,$C31,缺陷明细!$J$2:$J$50000,"系统测试",缺陷明细!$K$2:$K$50000,"致命",缺陷明细!$AB$2:$AB$50000,"&lt;&gt;丢弃",缺陷明细!$AB$2:$AB$50000,"&lt;&gt;设计如此",缺陷明细!$AB$2:$AB$50000,"&lt;&gt;重复Bug")+COUNTIFS(缺陷明细!$A$2:$A$50000,$B$4,缺陷明细!$G$2:$G$50000,$C31,缺陷明细!$J$2:$J$50000,"系统测试",缺陷明细!$K$2:$K$50000,"严重",缺陷明细!$AB$2:$AB$50000,"&lt;&gt;丢弃",缺陷明细!$AB$2:$AB$50000,"&lt;&gt;设计如此",缺陷明细!$AB$2:$AB$50000,"&lt;&gt;重复Bug")</f>
        <v>0</v>
      </c>
      <c r="T31" s="73">
        <f>COUNTIFS(缺陷明细!$A$2:$A$50000,$B$4,缺陷明细!$G$2:$G$50000,$C31,缺陷明细!$Q$2:$Q$50000,"已关闭",缺陷明细!$J$2:$J$50000,"系统测试",缺陷明细!$K$2:$K$50000,"致命")+COUNTIFS(缺陷明细!$A$2:$A$50000,$B$4,缺陷明细!$G$2:$G$50000,$C31,缺陷明细!$Q$2:$Q$50000,"已关闭",缺陷明细!$J$2:$J$50000,"系统测试",缺陷明细!$K$2:$K$50000,"严重")</f>
        <v>0</v>
      </c>
      <c r="U31" s="74">
        <f>COUNTIFS(缺陷明细!$A$2:$A$50000,$B$4,缺陷明细!$G$2:$G$50000,$C31,缺陷明细!$J$2:$J$50000,"验收测试",缺陷明细!$AB$2:$AB$50000,"&lt;&gt;丢弃",缺陷明细!$AB$2:$AB$50000,"&lt;&gt;设计如此",缺陷明细!$AB$2:$AB$50000,"&lt;&gt;重复Bug")</f>
        <v>0</v>
      </c>
      <c r="V31" s="75">
        <f>COUNTIFS(缺陷明细!$A$2:$A$50000,$B$4,缺陷明细!$G$2:$G$50000,$C31,缺陷明细!$Q$2:$Q$50000,"已关闭",缺陷明细!$J$2:$J$50000,"验收测试")</f>
        <v>0</v>
      </c>
      <c r="W31" s="75">
        <f>COUNTIFS(缺陷明细!$A$2:$A$50000,$B$4,缺陷明细!$G$2:$G$50000,$C31,缺陷明细!$J$2:$J$50000,"验收测试",缺陷明细!$K$2:$K$50000,"致命",缺陷明细!$AB$2:$AB$50000,"&lt;&gt;丢弃",缺陷明细!$AB$2:$AB$50000,"&lt;&gt;设计如此",缺陷明细!$AB$2:$AB$50000,"&lt;&gt;重复Bug")+COUNTIFS(缺陷明细!$A$2:$A$50000,$B$4,缺陷明细!$G$2:$G$50000,$C31,缺陷明细!$J$2:$J$50000,"验收测试",缺陷明细!$K$2:$K$50000,"严重",缺陷明细!$AB$2:$AB$50000,"&lt;&gt;丢弃",缺陷明细!$AB$2:$AB$50000,"&lt;&gt;设计如此",缺陷明细!$AB$2:$AB$50000,"&lt;&gt;重复Bug")</f>
        <v>0</v>
      </c>
      <c r="X31" s="76">
        <f>COUNTIFS(缺陷明细!$A$2:$A$50000,$B$4,缺陷明细!$G$2:$G$50000,$C31,缺陷明细!$Q$2:$Q$50000,"已关闭",缺陷明细!$J$2:$J$50000,"验收测试",缺陷明细!$K$2:$K$50000,"致命")+COUNTIFS(缺陷明细!$A$2:$A$50000,$B$4,缺陷明细!$G$2:$G$50000,$C31,缺陷明细!$Q$2:$Q$50000,"已关闭",缺陷明细!$J$2:$J$50000,"验收测试",缺陷明细!$K$2:$K$50000,"严重")</f>
        <v>0</v>
      </c>
      <c r="Y31" s="70">
        <f>COUNTIFS(缺陷明细!$A$2:$A$50000,$B$4,缺陷明细!$G$2:$G$50000,$C31,缺陷明细!$J$2:$J$50000,"运维测试",缺陷明细!$AB$2:$AB$50000,"&lt;&gt;丢弃",缺陷明细!$AB$2:$AB$50000,"&lt;&gt;设计如此",缺陷明细!$AB$2:$AB$50000,"&lt;&gt;重复Bug")</f>
        <v>0</v>
      </c>
      <c r="Z31" s="71">
        <f>COUNTIFS(缺陷明细!$A$2:$A$50000,$B$4,缺陷明细!$G$2:$G$50000,$C31,缺陷明细!$Q$2:$Q$50000,"已关闭",缺陷明细!$J$2:$J$50000,"运维测试")</f>
        <v>0</v>
      </c>
      <c r="AA31" s="72">
        <f>COUNTIFS(缺陷明细!$A$2:$A$50000,$B$4,缺陷明细!$G$2:$G$50000,$C31,缺陷明细!$J$2:$J$50000,"运维测试",缺陷明细!$K$2:$K$50000,"致命",缺陷明细!$AB$2:$AB$50000,"&lt;&gt;丢弃",缺陷明细!$AB$2:$AB$50000,"&lt;&gt;设计如此",缺陷明细!$AB$2:$AB$50000,"&lt;&gt;重复Bug")+COUNTIFS(缺陷明细!$A$2:$A$50000,$B$4,缺陷明细!$G$2:$G$50000,$C31,缺陷明细!$J$2:$J$50000,"运维测试",缺陷明细!$K$2:$K$50000,"严重",缺陷明细!$AB$2:$AB$50000,"&lt;&gt;丢弃",缺陷明细!$AB$2:$AB$50000,"&lt;&gt;设计如此",缺陷明细!$AB$2:$AB$50000,"&lt;&gt;重复Bug")</f>
        <v>0</v>
      </c>
      <c r="AB31" s="73">
        <f>COUNTIFS(缺陷明细!$A$2:$A$50000,$B$4,缺陷明细!$G$2:$G$50000,$C31,缺陷明细!$Q$2:$Q$50000,"已关闭",缺陷明细!$J$2:$J$50000,"运维测试",缺陷明细!$K$2:$K$50000,"致命")+COUNTIFS(缺陷明细!$A$2:$A$50000,$B$4,缺陷明细!$G$2:$G$50000,$C31,缺陷明细!$Q$2:$Q$50000,"已关闭",缺陷明细!$J$2:$J$50000,"运维测试",缺陷明细!$K$2:$K$50000,"严重")</f>
        <v>0</v>
      </c>
      <c r="AC31" s="68">
        <f t="shared" si="0"/>
        <v>0</v>
      </c>
      <c r="AD31" s="60">
        <f t="shared" si="0"/>
        <v>0</v>
      </c>
      <c r="AE31" s="60">
        <f t="shared" si="1"/>
        <v>0</v>
      </c>
      <c r="AF31" s="60">
        <f t="shared" si="1"/>
        <v>0</v>
      </c>
      <c r="AG31" s="60">
        <f t="shared" si="2"/>
        <v>0</v>
      </c>
      <c r="AH31" s="60">
        <f t="shared" si="2"/>
        <v>0</v>
      </c>
      <c r="AI31" s="60">
        <f t="shared" si="3"/>
        <v>0</v>
      </c>
      <c r="AJ31" s="61">
        <f t="shared" si="3"/>
        <v>0</v>
      </c>
      <c r="AK31" s="144"/>
    </row>
    <row r="32" spans="1:37">
      <c r="A32">
        <v>28</v>
      </c>
      <c r="B32" s="57"/>
      <c r="C32" s="58"/>
      <c r="D32" s="84"/>
      <c r="E32" s="82"/>
      <c r="F32" s="158"/>
      <c r="G32" s="159"/>
      <c r="H32" s="281">
        <f>COUNTIFS(缺陷明细!$A$2:$A$50000,$B$4,缺陷明细!$G$2:$G$50000,$C32,缺陷明细!$J$2:$J$50000,"评审",缺陷明细!$AB$2:$AB$50000,"&lt;&gt;丢弃",缺陷明细!$AB$2:$AB$50000,"&lt;&gt;设计如此",缺陷明细!$AB$2:$AB$50000,"&lt;&gt;重复Bug")</f>
        <v>0</v>
      </c>
      <c r="I32" s="154">
        <f>COUNTIFS(缺陷明细!$A$2:$A$50000,$B$4,缺陷明细!$G$2:$G$50000,$C32,缺陷明细!$Q$2:$Q$50000,"已关闭",缺陷明细!$J$2:$J$50000,"评审")</f>
        <v>0</v>
      </c>
      <c r="J32" s="154">
        <f>COUNTIFS(缺陷明细!$A$2:$A$50000,$B$4,缺陷明细!$G$2:$G$50000,$C32,缺陷明细!$J$2:$J$50000,"单元测试",缺陷明细!$AB$2:$AB$50000,"&lt;&gt;丢弃",缺陷明细!$AB$2:$AB$50000,"&lt;&gt;设计如此",缺陷明细!$AB$2:$AB$50000,"&lt;&gt;重复Bug")</f>
        <v>0</v>
      </c>
      <c r="K32" s="155">
        <f>COUNTIFS(缺陷明细!$A$2:$A$50000,$B$4,缺陷明细!$G$2:$G$50000,$C32,缺陷明细!$Q$2:$Q$50000,"已关闭",缺陷明细!$J$2:$J$50000,"单元测试")</f>
        <v>0</v>
      </c>
      <c r="L32" s="156"/>
      <c r="M32" s="157"/>
      <c r="N32" s="72">
        <f>COUNTIFS(缺陷明细!$A$2:$A$50000,$B$4,缺陷明细!$G$2:$G$50000,$C32,缺陷明细!$J$2:$J$50000,"系统测试案例评审",缺陷明细!$AB$2:$AB$50000,"&lt;&gt;丢弃",缺陷明细!$AB$2:$AB$50000,"&lt;&gt;设计如此",缺陷明细!$AB$2:$AB$50000,"&lt;&gt;重复Bug")</f>
        <v>0</v>
      </c>
      <c r="O32" s="72">
        <f>COUNTIFS(缺陷明细!$A$2:$A$50000,$B$4,缺陷明细!$G$2:$G$50000,$C32,缺陷明细!$Q$2:$Q$50000,"已关闭",缺陷明细!$J$2:$J$50000,"系统测试案例评审")</f>
        <v>0</v>
      </c>
      <c r="P32" s="72">
        <f>COUNTIFS(缺陷明细!$A$2:$A$50000,$B$4,缺陷明细!$G$2:$G$50000,$C32,缺陷明细!$J$2:$J$50000,"系统测试",缺陷明细!$AB$2:$AB$50000,"&lt;&gt;丢弃",缺陷明细!$AB$2:$AB$50000,"&lt;&gt;设计如此",缺陷明细!$AB$2:$AB$50000,"&lt;&gt;重复Bug")</f>
        <v>0</v>
      </c>
      <c r="Q32" s="72">
        <f>COUNTIFS(缺陷明细!$A$2:$A$50000,$B$4,缺陷明细!$G$2:$G$50000,$C32,缺陷明细!$Q$2:$Q$50000,"已关闭",缺陷明细!$J$2:$J$50000,"系统测试")</f>
        <v>0</v>
      </c>
      <c r="R32" s="296">
        <f>COUNTIFS(缺陷明细!$A$2:$A$50000,$B$4,缺陷明细!$G$2:$G$50000,$C32,缺陷明细!$AB$2:$AB$50000,"丢弃",缺陷明细!$J$2:$J$50000,"系统测试")+COUNTIFS(缺陷明细!$A$2:$A$50000,$B$4,缺陷明细!$G$2:$G$50000,$C32,缺陷明细!$AB$2:$AB$50000,"设计如此",缺陷明细!$J$2:$J$50000,"系统测试")+COUNTIFS(缺陷明细!$A$2:$A$50000,$B$4,缺陷明细!$G$2:$G$50000,$C32,缺陷明细!$AB$2:$AB$50000,"重复Bug",缺陷明细!$J$2:$J$50000,"系统测试")</f>
        <v>0</v>
      </c>
      <c r="S32" s="72">
        <f>COUNTIFS(缺陷明细!$A$2:$A$50000,$B$4,缺陷明细!$G$2:$G$50000,$C32,缺陷明细!$J$2:$J$50000,"系统测试",缺陷明细!$K$2:$K$50000,"致命",缺陷明细!$AB$2:$AB$50000,"&lt;&gt;丢弃",缺陷明细!$AB$2:$AB$50000,"&lt;&gt;设计如此",缺陷明细!$AB$2:$AB$50000,"&lt;&gt;重复Bug")+COUNTIFS(缺陷明细!$A$2:$A$50000,$B$4,缺陷明细!$G$2:$G$50000,$C32,缺陷明细!$J$2:$J$50000,"系统测试",缺陷明细!$K$2:$K$50000,"严重",缺陷明细!$AB$2:$AB$50000,"&lt;&gt;丢弃",缺陷明细!$AB$2:$AB$50000,"&lt;&gt;设计如此",缺陷明细!$AB$2:$AB$50000,"&lt;&gt;重复Bug")</f>
        <v>0</v>
      </c>
      <c r="T32" s="73">
        <f>COUNTIFS(缺陷明细!$A$2:$A$50000,$B$4,缺陷明细!$G$2:$G$50000,$C32,缺陷明细!$Q$2:$Q$50000,"已关闭",缺陷明细!$J$2:$J$50000,"系统测试",缺陷明细!$K$2:$K$50000,"致命")+COUNTIFS(缺陷明细!$A$2:$A$50000,$B$4,缺陷明细!$G$2:$G$50000,$C32,缺陷明细!$Q$2:$Q$50000,"已关闭",缺陷明细!$J$2:$J$50000,"系统测试",缺陷明细!$K$2:$K$50000,"严重")</f>
        <v>0</v>
      </c>
      <c r="U32" s="74">
        <f>COUNTIFS(缺陷明细!$A$2:$A$50000,$B$4,缺陷明细!$G$2:$G$50000,$C32,缺陷明细!$J$2:$J$50000,"验收测试",缺陷明细!$AB$2:$AB$50000,"&lt;&gt;丢弃",缺陷明细!$AB$2:$AB$50000,"&lt;&gt;设计如此",缺陷明细!$AB$2:$AB$50000,"&lt;&gt;重复Bug")</f>
        <v>0</v>
      </c>
      <c r="V32" s="75">
        <f>COUNTIFS(缺陷明细!$A$2:$A$50000,$B$4,缺陷明细!$G$2:$G$50000,$C32,缺陷明细!$Q$2:$Q$50000,"已关闭",缺陷明细!$J$2:$J$50000,"验收测试")</f>
        <v>0</v>
      </c>
      <c r="W32" s="75">
        <f>COUNTIFS(缺陷明细!$A$2:$A$50000,$B$4,缺陷明细!$G$2:$G$50000,$C32,缺陷明细!$J$2:$J$50000,"验收测试",缺陷明细!$K$2:$K$50000,"致命",缺陷明细!$AB$2:$AB$50000,"&lt;&gt;丢弃",缺陷明细!$AB$2:$AB$50000,"&lt;&gt;设计如此",缺陷明细!$AB$2:$AB$50000,"&lt;&gt;重复Bug")+COUNTIFS(缺陷明细!$A$2:$A$50000,$B$4,缺陷明细!$G$2:$G$50000,$C32,缺陷明细!$J$2:$J$50000,"验收测试",缺陷明细!$K$2:$K$50000,"严重",缺陷明细!$AB$2:$AB$50000,"&lt;&gt;丢弃",缺陷明细!$AB$2:$AB$50000,"&lt;&gt;设计如此",缺陷明细!$AB$2:$AB$50000,"&lt;&gt;重复Bug")</f>
        <v>0</v>
      </c>
      <c r="X32" s="76">
        <f>COUNTIFS(缺陷明细!$A$2:$A$50000,$B$4,缺陷明细!$G$2:$G$50000,$C32,缺陷明细!$Q$2:$Q$50000,"已关闭",缺陷明细!$J$2:$J$50000,"验收测试",缺陷明细!$K$2:$K$50000,"致命")+COUNTIFS(缺陷明细!$A$2:$A$50000,$B$4,缺陷明细!$G$2:$G$50000,$C32,缺陷明细!$Q$2:$Q$50000,"已关闭",缺陷明细!$J$2:$J$50000,"验收测试",缺陷明细!$K$2:$K$50000,"严重")</f>
        <v>0</v>
      </c>
      <c r="Y32" s="70">
        <f>COUNTIFS(缺陷明细!$A$2:$A$50000,$B$4,缺陷明细!$G$2:$G$50000,$C32,缺陷明细!$J$2:$J$50000,"运维测试",缺陷明细!$AB$2:$AB$50000,"&lt;&gt;丢弃",缺陷明细!$AB$2:$AB$50000,"&lt;&gt;设计如此",缺陷明细!$AB$2:$AB$50000,"&lt;&gt;重复Bug")</f>
        <v>0</v>
      </c>
      <c r="Z32" s="71">
        <f>COUNTIFS(缺陷明细!$A$2:$A$50000,$B$4,缺陷明细!$G$2:$G$50000,$C32,缺陷明细!$Q$2:$Q$50000,"已关闭",缺陷明细!$J$2:$J$50000,"运维测试")</f>
        <v>0</v>
      </c>
      <c r="AA32" s="72">
        <f>COUNTIFS(缺陷明细!$A$2:$A$50000,$B$4,缺陷明细!$G$2:$G$50000,$C32,缺陷明细!$J$2:$J$50000,"运维测试",缺陷明细!$K$2:$K$50000,"致命",缺陷明细!$AB$2:$AB$50000,"&lt;&gt;丢弃",缺陷明细!$AB$2:$AB$50000,"&lt;&gt;设计如此",缺陷明细!$AB$2:$AB$50000,"&lt;&gt;重复Bug")+COUNTIFS(缺陷明细!$A$2:$A$50000,$B$4,缺陷明细!$G$2:$G$50000,$C32,缺陷明细!$J$2:$J$50000,"运维测试",缺陷明细!$K$2:$K$50000,"严重",缺陷明细!$AB$2:$AB$50000,"&lt;&gt;丢弃",缺陷明细!$AB$2:$AB$50000,"&lt;&gt;设计如此",缺陷明细!$AB$2:$AB$50000,"&lt;&gt;重复Bug")</f>
        <v>0</v>
      </c>
      <c r="AB32" s="73">
        <f>COUNTIFS(缺陷明细!$A$2:$A$50000,$B$4,缺陷明细!$G$2:$G$50000,$C32,缺陷明细!$Q$2:$Q$50000,"已关闭",缺陷明细!$J$2:$J$50000,"运维测试",缺陷明细!$K$2:$K$50000,"致命")+COUNTIFS(缺陷明细!$A$2:$A$50000,$B$4,缺陷明细!$G$2:$G$50000,$C32,缺陷明细!$Q$2:$Q$50000,"已关闭",缺陷明细!$J$2:$J$50000,"运维测试",缺陷明细!$K$2:$K$50000,"严重")</f>
        <v>0</v>
      </c>
      <c r="AC32" s="68">
        <f t="shared" si="0"/>
        <v>0</v>
      </c>
      <c r="AD32" s="60">
        <f t="shared" si="0"/>
        <v>0</v>
      </c>
      <c r="AE32" s="60">
        <f t="shared" si="1"/>
        <v>0</v>
      </c>
      <c r="AF32" s="60">
        <f t="shared" si="1"/>
        <v>0</v>
      </c>
      <c r="AG32" s="60">
        <f t="shared" si="2"/>
        <v>0</v>
      </c>
      <c r="AH32" s="60">
        <f t="shared" si="2"/>
        <v>0</v>
      </c>
      <c r="AI32" s="60">
        <f t="shared" si="3"/>
        <v>0</v>
      </c>
      <c r="AJ32" s="61">
        <f t="shared" si="3"/>
        <v>0</v>
      </c>
      <c r="AK32" s="144"/>
    </row>
    <row r="33" spans="1:37">
      <c r="A33">
        <v>29</v>
      </c>
      <c r="B33" s="57"/>
      <c r="C33" s="58"/>
      <c r="D33" s="84"/>
      <c r="E33" s="82"/>
      <c r="F33" s="158"/>
      <c r="G33" s="159"/>
      <c r="H33" s="281">
        <f>COUNTIFS(缺陷明细!$A$2:$A$50000,$B$4,缺陷明细!$G$2:$G$50000,$C33,缺陷明细!$J$2:$J$50000,"评审",缺陷明细!$AB$2:$AB$50000,"&lt;&gt;丢弃",缺陷明细!$AB$2:$AB$50000,"&lt;&gt;设计如此",缺陷明细!$AB$2:$AB$50000,"&lt;&gt;重复Bug")</f>
        <v>0</v>
      </c>
      <c r="I33" s="154">
        <f>COUNTIFS(缺陷明细!$A$2:$A$50000,$B$4,缺陷明细!$G$2:$G$50000,$C33,缺陷明细!$Q$2:$Q$50000,"已关闭",缺陷明细!$J$2:$J$50000,"评审")</f>
        <v>0</v>
      </c>
      <c r="J33" s="154">
        <f>COUNTIFS(缺陷明细!$A$2:$A$50000,$B$4,缺陷明细!$G$2:$G$50000,$C33,缺陷明细!$J$2:$J$50000,"单元测试",缺陷明细!$AB$2:$AB$50000,"&lt;&gt;丢弃",缺陷明细!$AB$2:$AB$50000,"&lt;&gt;设计如此",缺陷明细!$AB$2:$AB$50000,"&lt;&gt;重复Bug")</f>
        <v>0</v>
      </c>
      <c r="K33" s="155">
        <f>COUNTIFS(缺陷明细!$A$2:$A$50000,$B$4,缺陷明细!$G$2:$G$50000,$C33,缺陷明细!$Q$2:$Q$50000,"已关闭",缺陷明细!$J$2:$J$50000,"单元测试")</f>
        <v>0</v>
      </c>
      <c r="L33" s="156"/>
      <c r="M33" s="157"/>
      <c r="N33" s="72">
        <f>COUNTIFS(缺陷明细!$A$2:$A$50000,$B$4,缺陷明细!$G$2:$G$50000,$C33,缺陷明细!$J$2:$J$50000,"系统测试案例评审",缺陷明细!$AB$2:$AB$50000,"&lt;&gt;丢弃",缺陷明细!$AB$2:$AB$50000,"&lt;&gt;设计如此",缺陷明细!$AB$2:$AB$50000,"&lt;&gt;重复Bug")</f>
        <v>0</v>
      </c>
      <c r="O33" s="72">
        <f>COUNTIFS(缺陷明细!$A$2:$A$50000,$B$4,缺陷明细!$G$2:$G$50000,$C33,缺陷明细!$Q$2:$Q$50000,"已关闭",缺陷明细!$J$2:$J$50000,"系统测试案例评审")</f>
        <v>0</v>
      </c>
      <c r="P33" s="72">
        <f>COUNTIFS(缺陷明细!$A$2:$A$50000,$B$4,缺陷明细!$G$2:$G$50000,$C33,缺陷明细!$J$2:$J$50000,"系统测试",缺陷明细!$AB$2:$AB$50000,"&lt;&gt;丢弃",缺陷明细!$AB$2:$AB$50000,"&lt;&gt;设计如此",缺陷明细!$AB$2:$AB$50000,"&lt;&gt;重复Bug")</f>
        <v>0</v>
      </c>
      <c r="Q33" s="72">
        <f>COUNTIFS(缺陷明细!$A$2:$A$50000,$B$4,缺陷明细!$G$2:$G$50000,$C33,缺陷明细!$Q$2:$Q$50000,"已关闭",缺陷明细!$J$2:$J$50000,"系统测试")</f>
        <v>0</v>
      </c>
      <c r="R33" s="296">
        <f>COUNTIFS(缺陷明细!$A$2:$A$50000,$B$4,缺陷明细!$G$2:$G$50000,$C33,缺陷明细!$AB$2:$AB$50000,"丢弃",缺陷明细!$J$2:$J$50000,"系统测试")+COUNTIFS(缺陷明细!$A$2:$A$50000,$B$4,缺陷明细!$G$2:$G$50000,$C33,缺陷明细!$AB$2:$AB$50000,"设计如此",缺陷明细!$J$2:$J$50000,"系统测试")+COUNTIFS(缺陷明细!$A$2:$A$50000,$B$4,缺陷明细!$G$2:$G$50000,$C33,缺陷明细!$AB$2:$AB$50000,"重复Bug",缺陷明细!$J$2:$J$50000,"系统测试")</f>
        <v>0</v>
      </c>
      <c r="S33" s="72">
        <f>COUNTIFS(缺陷明细!$A$2:$A$50000,$B$4,缺陷明细!$G$2:$G$50000,$C33,缺陷明细!$J$2:$J$50000,"系统测试",缺陷明细!$K$2:$K$50000,"致命",缺陷明细!$AB$2:$AB$50000,"&lt;&gt;丢弃",缺陷明细!$AB$2:$AB$50000,"&lt;&gt;设计如此",缺陷明细!$AB$2:$AB$50000,"&lt;&gt;重复Bug")+COUNTIFS(缺陷明细!$A$2:$A$50000,$B$4,缺陷明细!$G$2:$G$50000,$C33,缺陷明细!$J$2:$J$50000,"系统测试",缺陷明细!$K$2:$K$50000,"严重",缺陷明细!$AB$2:$AB$50000,"&lt;&gt;丢弃",缺陷明细!$AB$2:$AB$50000,"&lt;&gt;设计如此",缺陷明细!$AB$2:$AB$50000,"&lt;&gt;重复Bug")</f>
        <v>0</v>
      </c>
      <c r="T33" s="73">
        <f>COUNTIFS(缺陷明细!$A$2:$A$50000,$B$4,缺陷明细!$G$2:$G$50000,$C33,缺陷明细!$Q$2:$Q$50000,"已关闭",缺陷明细!$J$2:$J$50000,"系统测试",缺陷明细!$K$2:$K$50000,"致命")+COUNTIFS(缺陷明细!$A$2:$A$50000,$B$4,缺陷明细!$G$2:$G$50000,$C33,缺陷明细!$Q$2:$Q$50000,"已关闭",缺陷明细!$J$2:$J$50000,"系统测试",缺陷明细!$K$2:$K$50000,"严重")</f>
        <v>0</v>
      </c>
      <c r="U33" s="74">
        <f>COUNTIFS(缺陷明细!$A$2:$A$50000,$B$4,缺陷明细!$G$2:$G$50000,$C33,缺陷明细!$J$2:$J$50000,"验收测试",缺陷明细!$AB$2:$AB$50000,"&lt;&gt;丢弃",缺陷明细!$AB$2:$AB$50000,"&lt;&gt;设计如此",缺陷明细!$AB$2:$AB$50000,"&lt;&gt;重复Bug")</f>
        <v>0</v>
      </c>
      <c r="V33" s="75">
        <f>COUNTIFS(缺陷明细!$A$2:$A$50000,$B$4,缺陷明细!$G$2:$G$50000,$C33,缺陷明细!$Q$2:$Q$50000,"已关闭",缺陷明细!$J$2:$J$50000,"验收测试")</f>
        <v>0</v>
      </c>
      <c r="W33" s="75">
        <f>COUNTIFS(缺陷明细!$A$2:$A$50000,$B$4,缺陷明细!$G$2:$G$50000,$C33,缺陷明细!$J$2:$J$50000,"验收测试",缺陷明细!$K$2:$K$50000,"致命",缺陷明细!$AB$2:$AB$50000,"&lt;&gt;丢弃",缺陷明细!$AB$2:$AB$50000,"&lt;&gt;设计如此",缺陷明细!$AB$2:$AB$50000,"&lt;&gt;重复Bug")+COUNTIFS(缺陷明细!$A$2:$A$50000,$B$4,缺陷明细!$G$2:$G$50000,$C33,缺陷明细!$J$2:$J$50000,"验收测试",缺陷明细!$K$2:$K$50000,"严重",缺陷明细!$AB$2:$AB$50000,"&lt;&gt;丢弃",缺陷明细!$AB$2:$AB$50000,"&lt;&gt;设计如此",缺陷明细!$AB$2:$AB$50000,"&lt;&gt;重复Bug")</f>
        <v>0</v>
      </c>
      <c r="X33" s="76">
        <f>COUNTIFS(缺陷明细!$A$2:$A$50000,$B$4,缺陷明细!$G$2:$G$50000,$C33,缺陷明细!$Q$2:$Q$50000,"已关闭",缺陷明细!$J$2:$J$50000,"验收测试",缺陷明细!$K$2:$K$50000,"致命")+COUNTIFS(缺陷明细!$A$2:$A$50000,$B$4,缺陷明细!$G$2:$G$50000,$C33,缺陷明细!$Q$2:$Q$50000,"已关闭",缺陷明细!$J$2:$J$50000,"验收测试",缺陷明细!$K$2:$K$50000,"严重")</f>
        <v>0</v>
      </c>
      <c r="Y33" s="70">
        <f>COUNTIFS(缺陷明细!$A$2:$A$50000,$B$4,缺陷明细!$G$2:$G$50000,$C33,缺陷明细!$J$2:$J$50000,"运维测试",缺陷明细!$AB$2:$AB$50000,"&lt;&gt;丢弃",缺陷明细!$AB$2:$AB$50000,"&lt;&gt;设计如此",缺陷明细!$AB$2:$AB$50000,"&lt;&gt;重复Bug")</f>
        <v>0</v>
      </c>
      <c r="Z33" s="71">
        <f>COUNTIFS(缺陷明细!$A$2:$A$50000,$B$4,缺陷明细!$G$2:$G$50000,$C33,缺陷明细!$Q$2:$Q$50000,"已关闭",缺陷明细!$J$2:$J$50000,"运维测试")</f>
        <v>0</v>
      </c>
      <c r="AA33" s="72">
        <f>COUNTIFS(缺陷明细!$A$2:$A$50000,$B$4,缺陷明细!$G$2:$G$50000,$C33,缺陷明细!$J$2:$J$50000,"运维测试",缺陷明细!$K$2:$K$50000,"致命",缺陷明细!$AB$2:$AB$50000,"&lt;&gt;丢弃",缺陷明细!$AB$2:$AB$50000,"&lt;&gt;设计如此",缺陷明细!$AB$2:$AB$50000,"&lt;&gt;重复Bug")+COUNTIFS(缺陷明细!$A$2:$A$50000,$B$4,缺陷明细!$G$2:$G$50000,$C33,缺陷明细!$J$2:$J$50000,"运维测试",缺陷明细!$K$2:$K$50000,"严重",缺陷明细!$AB$2:$AB$50000,"&lt;&gt;丢弃",缺陷明细!$AB$2:$AB$50000,"&lt;&gt;设计如此",缺陷明细!$AB$2:$AB$50000,"&lt;&gt;重复Bug")</f>
        <v>0</v>
      </c>
      <c r="AB33" s="73">
        <f>COUNTIFS(缺陷明细!$A$2:$A$50000,$B$4,缺陷明细!$G$2:$G$50000,$C33,缺陷明细!$Q$2:$Q$50000,"已关闭",缺陷明细!$J$2:$J$50000,"运维测试",缺陷明细!$K$2:$K$50000,"致命")+COUNTIFS(缺陷明细!$A$2:$A$50000,$B$4,缺陷明细!$G$2:$G$50000,$C33,缺陷明细!$Q$2:$Q$50000,"已关闭",缺陷明细!$J$2:$J$50000,"运维测试",缺陷明细!$K$2:$K$50000,"严重")</f>
        <v>0</v>
      </c>
      <c r="AC33" s="68">
        <f t="shared" si="0"/>
        <v>0</v>
      </c>
      <c r="AD33" s="60">
        <f t="shared" si="0"/>
        <v>0</v>
      </c>
      <c r="AE33" s="60">
        <f t="shared" si="1"/>
        <v>0</v>
      </c>
      <c r="AF33" s="60">
        <f t="shared" si="1"/>
        <v>0</v>
      </c>
      <c r="AG33" s="60">
        <f t="shared" si="2"/>
        <v>0</v>
      </c>
      <c r="AH33" s="60">
        <f t="shared" si="2"/>
        <v>0</v>
      </c>
      <c r="AI33" s="60">
        <f t="shared" si="3"/>
        <v>0</v>
      </c>
      <c r="AJ33" s="61">
        <f t="shared" si="3"/>
        <v>0</v>
      </c>
      <c r="AK33" s="144"/>
    </row>
    <row r="34" spans="1:37">
      <c r="A34">
        <v>30</v>
      </c>
      <c r="B34" s="57"/>
      <c r="C34" s="58"/>
      <c r="D34" s="84"/>
      <c r="E34" s="82"/>
      <c r="F34" s="158"/>
      <c r="G34" s="159"/>
      <c r="H34" s="281">
        <f>COUNTIFS(缺陷明细!$A$2:$A$50000,$B$4,缺陷明细!$G$2:$G$50000,$C34,缺陷明细!$J$2:$J$50000,"评审",缺陷明细!$AB$2:$AB$50000,"&lt;&gt;丢弃",缺陷明细!$AB$2:$AB$50000,"&lt;&gt;设计如此",缺陷明细!$AB$2:$AB$50000,"&lt;&gt;重复Bug")</f>
        <v>0</v>
      </c>
      <c r="I34" s="154">
        <f>COUNTIFS(缺陷明细!$A$2:$A$50000,$B$4,缺陷明细!$G$2:$G$50000,$C34,缺陷明细!$Q$2:$Q$50000,"已关闭",缺陷明细!$J$2:$J$50000,"评审")</f>
        <v>0</v>
      </c>
      <c r="J34" s="154">
        <f>COUNTIFS(缺陷明细!$A$2:$A$50000,$B$4,缺陷明细!$G$2:$G$50000,$C34,缺陷明细!$J$2:$J$50000,"单元测试",缺陷明细!$AB$2:$AB$50000,"&lt;&gt;丢弃",缺陷明细!$AB$2:$AB$50000,"&lt;&gt;设计如此",缺陷明细!$AB$2:$AB$50000,"&lt;&gt;重复Bug")</f>
        <v>0</v>
      </c>
      <c r="K34" s="155">
        <f>COUNTIFS(缺陷明细!$A$2:$A$50000,$B$4,缺陷明细!$G$2:$G$50000,$C34,缺陷明细!$Q$2:$Q$50000,"已关闭",缺陷明细!$J$2:$J$50000,"单元测试")</f>
        <v>0</v>
      </c>
      <c r="L34" s="156"/>
      <c r="M34" s="157"/>
      <c r="N34" s="72">
        <f>COUNTIFS(缺陷明细!$A$2:$A$50000,$B$4,缺陷明细!$G$2:$G$50000,$C34,缺陷明细!$J$2:$J$50000,"系统测试案例评审",缺陷明细!$AB$2:$AB$50000,"&lt;&gt;丢弃",缺陷明细!$AB$2:$AB$50000,"&lt;&gt;设计如此",缺陷明细!$AB$2:$AB$50000,"&lt;&gt;重复Bug")</f>
        <v>0</v>
      </c>
      <c r="O34" s="72">
        <f>COUNTIFS(缺陷明细!$A$2:$A$50000,$B$4,缺陷明细!$G$2:$G$50000,$C34,缺陷明细!$Q$2:$Q$50000,"已关闭",缺陷明细!$J$2:$J$50000,"系统测试案例评审")</f>
        <v>0</v>
      </c>
      <c r="P34" s="72">
        <f>COUNTIFS(缺陷明细!$A$2:$A$50000,$B$4,缺陷明细!$G$2:$G$50000,$C34,缺陷明细!$J$2:$J$50000,"系统测试",缺陷明细!$AB$2:$AB$50000,"&lt;&gt;丢弃",缺陷明细!$AB$2:$AB$50000,"&lt;&gt;设计如此",缺陷明细!$AB$2:$AB$50000,"&lt;&gt;重复Bug")</f>
        <v>0</v>
      </c>
      <c r="Q34" s="72">
        <f>COUNTIFS(缺陷明细!$A$2:$A$50000,$B$4,缺陷明细!$G$2:$G$50000,$C34,缺陷明细!$Q$2:$Q$50000,"已关闭",缺陷明细!$J$2:$J$50000,"系统测试")</f>
        <v>0</v>
      </c>
      <c r="R34" s="296">
        <f>COUNTIFS(缺陷明细!$A$2:$A$50000,$B$4,缺陷明细!$G$2:$G$50000,$C34,缺陷明细!$AB$2:$AB$50000,"丢弃",缺陷明细!$J$2:$J$50000,"系统测试")+COUNTIFS(缺陷明细!$A$2:$A$50000,$B$4,缺陷明细!$G$2:$G$50000,$C34,缺陷明细!$AB$2:$AB$50000,"设计如此",缺陷明细!$J$2:$J$50000,"系统测试")+COUNTIFS(缺陷明细!$A$2:$A$50000,$B$4,缺陷明细!$G$2:$G$50000,$C34,缺陷明细!$AB$2:$AB$50000,"重复Bug",缺陷明细!$J$2:$J$50000,"系统测试")</f>
        <v>0</v>
      </c>
      <c r="S34" s="72">
        <f>COUNTIFS(缺陷明细!$A$2:$A$50000,$B$4,缺陷明细!$G$2:$G$50000,$C34,缺陷明细!$J$2:$J$50000,"系统测试",缺陷明细!$K$2:$K$50000,"致命",缺陷明细!$AB$2:$AB$50000,"&lt;&gt;丢弃",缺陷明细!$AB$2:$AB$50000,"&lt;&gt;设计如此",缺陷明细!$AB$2:$AB$50000,"&lt;&gt;重复Bug")+COUNTIFS(缺陷明细!$A$2:$A$50000,$B$4,缺陷明细!$G$2:$G$50000,$C34,缺陷明细!$J$2:$J$50000,"系统测试",缺陷明细!$K$2:$K$50000,"严重",缺陷明细!$AB$2:$AB$50000,"&lt;&gt;丢弃",缺陷明细!$AB$2:$AB$50000,"&lt;&gt;设计如此",缺陷明细!$AB$2:$AB$50000,"&lt;&gt;重复Bug")</f>
        <v>0</v>
      </c>
      <c r="T34" s="73">
        <f>COUNTIFS(缺陷明细!$A$2:$A$50000,$B$4,缺陷明细!$G$2:$G$50000,$C34,缺陷明细!$Q$2:$Q$50000,"已关闭",缺陷明细!$J$2:$J$50000,"系统测试",缺陷明细!$K$2:$K$50000,"致命")+COUNTIFS(缺陷明细!$A$2:$A$50000,$B$4,缺陷明细!$G$2:$G$50000,$C34,缺陷明细!$Q$2:$Q$50000,"已关闭",缺陷明细!$J$2:$J$50000,"系统测试",缺陷明细!$K$2:$K$50000,"严重")</f>
        <v>0</v>
      </c>
      <c r="U34" s="74">
        <f>COUNTIFS(缺陷明细!$A$2:$A$50000,$B$4,缺陷明细!$G$2:$G$50000,$C34,缺陷明细!$J$2:$J$50000,"验收测试",缺陷明细!$AB$2:$AB$50000,"&lt;&gt;丢弃",缺陷明细!$AB$2:$AB$50000,"&lt;&gt;设计如此",缺陷明细!$AB$2:$AB$50000,"&lt;&gt;重复Bug")</f>
        <v>0</v>
      </c>
      <c r="V34" s="75">
        <f>COUNTIFS(缺陷明细!$A$2:$A$50000,$B$4,缺陷明细!$G$2:$G$50000,$C34,缺陷明细!$Q$2:$Q$50000,"已关闭",缺陷明细!$J$2:$J$50000,"验收测试")</f>
        <v>0</v>
      </c>
      <c r="W34" s="75">
        <f>COUNTIFS(缺陷明细!$A$2:$A$50000,$B$4,缺陷明细!$G$2:$G$50000,$C34,缺陷明细!$J$2:$J$50000,"验收测试",缺陷明细!$K$2:$K$50000,"致命",缺陷明细!$AB$2:$AB$50000,"&lt;&gt;丢弃",缺陷明细!$AB$2:$AB$50000,"&lt;&gt;设计如此",缺陷明细!$AB$2:$AB$50000,"&lt;&gt;重复Bug")+COUNTIFS(缺陷明细!$A$2:$A$50000,$B$4,缺陷明细!$G$2:$G$50000,$C34,缺陷明细!$J$2:$J$50000,"验收测试",缺陷明细!$K$2:$K$50000,"严重",缺陷明细!$AB$2:$AB$50000,"&lt;&gt;丢弃",缺陷明细!$AB$2:$AB$50000,"&lt;&gt;设计如此",缺陷明细!$AB$2:$AB$50000,"&lt;&gt;重复Bug")</f>
        <v>0</v>
      </c>
      <c r="X34" s="76">
        <f>COUNTIFS(缺陷明细!$A$2:$A$50000,$B$4,缺陷明细!$G$2:$G$50000,$C34,缺陷明细!$Q$2:$Q$50000,"已关闭",缺陷明细!$J$2:$J$50000,"验收测试",缺陷明细!$K$2:$K$50000,"致命")+COUNTIFS(缺陷明细!$A$2:$A$50000,$B$4,缺陷明细!$G$2:$G$50000,$C34,缺陷明细!$Q$2:$Q$50000,"已关闭",缺陷明细!$J$2:$J$50000,"验收测试",缺陷明细!$K$2:$K$50000,"严重")</f>
        <v>0</v>
      </c>
      <c r="Y34" s="70">
        <f>COUNTIFS(缺陷明细!$A$2:$A$50000,$B$4,缺陷明细!$G$2:$G$50000,$C34,缺陷明细!$J$2:$J$50000,"运维测试",缺陷明细!$AB$2:$AB$50000,"&lt;&gt;丢弃",缺陷明细!$AB$2:$AB$50000,"&lt;&gt;设计如此",缺陷明细!$AB$2:$AB$50000,"&lt;&gt;重复Bug")</f>
        <v>0</v>
      </c>
      <c r="Z34" s="71">
        <f>COUNTIFS(缺陷明细!$A$2:$A$50000,$B$4,缺陷明细!$G$2:$G$50000,$C34,缺陷明细!$Q$2:$Q$50000,"已关闭",缺陷明细!$J$2:$J$50000,"运维测试")</f>
        <v>0</v>
      </c>
      <c r="AA34" s="72">
        <f>COUNTIFS(缺陷明细!$A$2:$A$50000,$B$4,缺陷明细!$G$2:$G$50000,$C34,缺陷明细!$J$2:$J$50000,"运维测试",缺陷明细!$K$2:$K$50000,"致命",缺陷明细!$AB$2:$AB$50000,"&lt;&gt;丢弃",缺陷明细!$AB$2:$AB$50000,"&lt;&gt;设计如此",缺陷明细!$AB$2:$AB$50000,"&lt;&gt;重复Bug")+COUNTIFS(缺陷明细!$A$2:$A$50000,$B$4,缺陷明细!$G$2:$G$50000,$C34,缺陷明细!$J$2:$J$50000,"运维测试",缺陷明细!$K$2:$K$50000,"严重",缺陷明细!$AB$2:$AB$50000,"&lt;&gt;丢弃",缺陷明细!$AB$2:$AB$50000,"&lt;&gt;设计如此",缺陷明细!$AB$2:$AB$50000,"&lt;&gt;重复Bug")</f>
        <v>0</v>
      </c>
      <c r="AB34" s="73">
        <f>COUNTIFS(缺陷明细!$A$2:$A$50000,$B$4,缺陷明细!$G$2:$G$50000,$C34,缺陷明细!$Q$2:$Q$50000,"已关闭",缺陷明细!$J$2:$J$50000,"运维测试",缺陷明细!$K$2:$K$50000,"致命")+COUNTIFS(缺陷明细!$A$2:$A$50000,$B$4,缺陷明细!$G$2:$G$50000,$C34,缺陷明细!$Q$2:$Q$50000,"已关闭",缺陷明细!$J$2:$J$50000,"运维测试",缺陷明细!$K$2:$K$50000,"严重")</f>
        <v>0</v>
      </c>
      <c r="AC34" s="68">
        <f t="shared" si="0"/>
        <v>0</v>
      </c>
      <c r="AD34" s="60">
        <f t="shared" si="0"/>
        <v>0</v>
      </c>
      <c r="AE34" s="60">
        <f t="shared" si="1"/>
        <v>0</v>
      </c>
      <c r="AF34" s="60">
        <f t="shared" si="1"/>
        <v>0</v>
      </c>
      <c r="AG34" s="60">
        <f t="shared" si="2"/>
        <v>0</v>
      </c>
      <c r="AH34" s="60">
        <f t="shared" si="2"/>
        <v>0</v>
      </c>
      <c r="AI34" s="60">
        <f t="shared" si="3"/>
        <v>0</v>
      </c>
      <c r="AJ34" s="61">
        <f t="shared" si="3"/>
        <v>0</v>
      </c>
      <c r="AK34" s="144"/>
    </row>
    <row r="35" spans="1:37">
      <c r="A35">
        <v>31</v>
      </c>
      <c r="B35" s="57"/>
      <c r="C35" s="58"/>
      <c r="D35" s="84"/>
      <c r="E35" s="82"/>
      <c r="F35" s="158"/>
      <c r="G35" s="159"/>
      <c r="H35" s="281">
        <f>COUNTIFS(缺陷明细!$A$2:$A$50000,$B$4,缺陷明细!$G$2:$G$50000,$C35,缺陷明细!$J$2:$J$50000,"评审",缺陷明细!$AB$2:$AB$50000,"&lt;&gt;丢弃",缺陷明细!$AB$2:$AB$50000,"&lt;&gt;设计如此",缺陷明细!$AB$2:$AB$50000,"&lt;&gt;重复Bug")</f>
        <v>0</v>
      </c>
      <c r="I35" s="154">
        <f>COUNTIFS(缺陷明细!$A$2:$A$50000,$B$4,缺陷明细!$G$2:$G$50000,$C35,缺陷明细!$Q$2:$Q$50000,"已关闭",缺陷明细!$J$2:$J$50000,"评审")</f>
        <v>0</v>
      </c>
      <c r="J35" s="154">
        <f>COUNTIFS(缺陷明细!$A$2:$A$50000,$B$4,缺陷明细!$G$2:$G$50000,$C35,缺陷明细!$J$2:$J$50000,"单元测试",缺陷明细!$AB$2:$AB$50000,"&lt;&gt;丢弃",缺陷明细!$AB$2:$AB$50000,"&lt;&gt;设计如此",缺陷明细!$AB$2:$AB$50000,"&lt;&gt;重复Bug")</f>
        <v>0</v>
      </c>
      <c r="K35" s="155">
        <f>COUNTIFS(缺陷明细!$A$2:$A$50000,$B$4,缺陷明细!$G$2:$G$50000,$C35,缺陷明细!$Q$2:$Q$50000,"已关闭",缺陷明细!$J$2:$J$50000,"单元测试")</f>
        <v>0</v>
      </c>
      <c r="L35" s="156"/>
      <c r="M35" s="157"/>
      <c r="N35" s="72">
        <f>COUNTIFS(缺陷明细!$A$2:$A$50000,$B$4,缺陷明细!$G$2:$G$50000,$C35,缺陷明细!$J$2:$J$50000,"系统测试案例评审",缺陷明细!$AB$2:$AB$50000,"&lt;&gt;丢弃",缺陷明细!$AB$2:$AB$50000,"&lt;&gt;设计如此",缺陷明细!$AB$2:$AB$50000,"&lt;&gt;重复Bug")</f>
        <v>0</v>
      </c>
      <c r="O35" s="72">
        <f>COUNTIFS(缺陷明细!$A$2:$A$50000,$B$4,缺陷明细!$G$2:$G$50000,$C35,缺陷明细!$Q$2:$Q$50000,"已关闭",缺陷明细!$J$2:$J$50000,"系统测试案例评审")</f>
        <v>0</v>
      </c>
      <c r="P35" s="72">
        <f>COUNTIFS(缺陷明细!$A$2:$A$50000,$B$4,缺陷明细!$G$2:$G$50000,$C35,缺陷明细!$J$2:$J$50000,"系统测试",缺陷明细!$AB$2:$AB$50000,"&lt;&gt;丢弃",缺陷明细!$AB$2:$AB$50000,"&lt;&gt;设计如此",缺陷明细!$AB$2:$AB$50000,"&lt;&gt;重复Bug")</f>
        <v>0</v>
      </c>
      <c r="Q35" s="72">
        <f>COUNTIFS(缺陷明细!$A$2:$A$50000,$B$4,缺陷明细!$G$2:$G$50000,$C35,缺陷明细!$Q$2:$Q$50000,"已关闭",缺陷明细!$J$2:$J$50000,"系统测试")</f>
        <v>0</v>
      </c>
      <c r="R35" s="296">
        <f>COUNTIFS(缺陷明细!$A$2:$A$50000,$B$4,缺陷明细!$G$2:$G$50000,$C35,缺陷明细!$AB$2:$AB$50000,"丢弃",缺陷明细!$J$2:$J$50000,"系统测试")+COUNTIFS(缺陷明细!$A$2:$A$50000,$B$4,缺陷明细!$G$2:$G$50000,$C35,缺陷明细!$AB$2:$AB$50000,"设计如此",缺陷明细!$J$2:$J$50000,"系统测试")+COUNTIFS(缺陷明细!$A$2:$A$50000,$B$4,缺陷明细!$G$2:$G$50000,$C35,缺陷明细!$AB$2:$AB$50000,"重复Bug",缺陷明细!$J$2:$J$50000,"系统测试")</f>
        <v>0</v>
      </c>
      <c r="S35" s="72">
        <f>COUNTIFS(缺陷明细!$A$2:$A$50000,$B$4,缺陷明细!$G$2:$G$50000,$C35,缺陷明细!$J$2:$J$50000,"系统测试",缺陷明细!$K$2:$K$50000,"致命",缺陷明细!$AB$2:$AB$50000,"&lt;&gt;丢弃",缺陷明细!$AB$2:$AB$50000,"&lt;&gt;设计如此",缺陷明细!$AB$2:$AB$50000,"&lt;&gt;重复Bug")+COUNTIFS(缺陷明细!$A$2:$A$50000,$B$4,缺陷明细!$G$2:$G$50000,$C35,缺陷明细!$J$2:$J$50000,"系统测试",缺陷明细!$K$2:$K$50000,"严重",缺陷明细!$AB$2:$AB$50000,"&lt;&gt;丢弃",缺陷明细!$AB$2:$AB$50000,"&lt;&gt;设计如此",缺陷明细!$AB$2:$AB$50000,"&lt;&gt;重复Bug")</f>
        <v>0</v>
      </c>
      <c r="T35" s="73">
        <f>COUNTIFS(缺陷明细!$A$2:$A$50000,$B$4,缺陷明细!$G$2:$G$50000,$C35,缺陷明细!$Q$2:$Q$50000,"已关闭",缺陷明细!$J$2:$J$50000,"系统测试",缺陷明细!$K$2:$K$50000,"致命")+COUNTIFS(缺陷明细!$A$2:$A$50000,$B$4,缺陷明细!$G$2:$G$50000,$C35,缺陷明细!$Q$2:$Q$50000,"已关闭",缺陷明细!$J$2:$J$50000,"系统测试",缺陷明细!$K$2:$K$50000,"严重")</f>
        <v>0</v>
      </c>
      <c r="U35" s="74">
        <f>COUNTIFS(缺陷明细!$A$2:$A$50000,$B$4,缺陷明细!$G$2:$G$50000,$C35,缺陷明细!$J$2:$J$50000,"验收测试",缺陷明细!$AB$2:$AB$50000,"&lt;&gt;丢弃",缺陷明细!$AB$2:$AB$50000,"&lt;&gt;设计如此",缺陷明细!$AB$2:$AB$50000,"&lt;&gt;重复Bug")</f>
        <v>0</v>
      </c>
      <c r="V35" s="75">
        <f>COUNTIFS(缺陷明细!$A$2:$A$50000,$B$4,缺陷明细!$G$2:$G$50000,$C35,缺陷明细!$Q$2:$Q$50000,"已关闭",缺陷明细!$J$2:$J$50000,"验收测试")</f>
        <v>0</v>
      </c>
      <c r="W35" s="75">
        <f>COUNTIFS(缺陷明细!$A$2:$A$50000,$B$4,缺陷明细!$G$2:$G$50000,$C35,缺陷明细!$J$2:$J$50000,"验收测试",缺陷明细!$K$2:$K$50000,"致命",缺陷明细!$AB$2:$AB$50000,"&lt;&gt;丢弃",缺陷明细!$AB$2:$AB$50000,"&lt;&gt;设计如此",缺陷明细!$AB$2:$AB$50000,"&lt;&gt;重复Bug")+COUNTIFS(缺陷明细!$A$2:$A$50000,$B$4,缺陷明细!$G$2:$G$50000,$C35,缺陷明细!$J$2:$J$50000,"验收测试",缺陷明细!$K$2:$K$50000,"严重",缺陷明细!$AB$2:$AB$50000,"&lt;&gt;丢弃",缺陷明细!$AB$2:$AB$50000,"&lt;&gt;设计如此",缺陷明细!$AB$2:$AB$50000,"&lt;&gt;重复Bug")</f>
        <v>0</v>
      </c>
      <c r="X35" s="76">
        <f>COUNTIFS(缺陷明细!$A$2:$A$50000,$B$4,缺陷明细!$G$2:$G$50000,$C35,缺陷明细!$Q$2:$Q$50000,"已关闭",缺陷明细!$J$2:$J$50000,"验收测试",缺陷明细!$K$2:$K$50000,"致命")+COUNTIFS(缺陷明细!$A$2:$A$50000,$B$4,缺陷明细!$G$2:$G$50000,$C35,缺陷明细!$Q$2:$Q$50000,"已关闭",缺陷明细!$J$2:$J$50000,"验收测试",缺陷明细!$K$2:$K$50000,"严重")</f>
        <v>0</v>
      </c>
      <c r="Y35" s="70">
        <f>COUNTIFS(缺陷明细!$A$2:$A$50000,$B$4,缺陷明细!$G$2:$G$50000,$C35,缺陷明细!$J$2:$J$50000,"运维测试",缺陷明细!$AB$2:$AB$50000,"&lt;&gt;丢弃",缺陷明细!$AB$2:$AB$50000,"&lt;&gt;设计如此",缺陷明细!$AB$2:$AB$50000,"&lt;&gt;重复Bug")</f>
        <v>0</v>
      </c>
      <c r="Z35" s="71">
        <f>COUNTIFS(缺陷明细!$A$2:$A$50000,$B$4,缺陷明细!$G$2:$G$50000,$C35,缺陷明细!$Q$2:$Q$50000,"已关闭",缺陷明细!$J$2:$J$50000,"运维测试")</f>
        <v>0</v>
      </c>
      <c r="AA35" s="72">
        <f>COUNTIFS(缺陷明细!$A$2:$A$50000,$B$4,缺陷明细!$G$2:$G$50000,$C35,缺陷明细!$J$2:$J$50000,"运维测试",缺陷明细!$K$2:$K$50000,"致命",缺陷明细!$AB$2:$AB$50000,"&lt;&gt;丢弃",缺陷明细!$AB$2:$AB$50000,"&lt;&gt;设计如此",缺陷明细!$AB$2:$AB$50000,"&lt;&gt;重复Bug")+COUNTIFS(缺陷明细!$A$2:$A$50000,$B$4,缺陷明细!$G$2:$G$50000,$C35,缺陷明细!$J$2:$J$50000,"运维测试",缺陷明细!$K$2:$K$50000,"严重",缺陷明细!$AB$2:$AB$50000,"&lt;&gt;丢弃",缺陷明细!$AB$2:$AB$50000,"&lt;&gt;设计如此",缺陷明细!$AB$2:$AB$50000,"&lt;&gt;重复Bug")</f>
        <v>0</v>
      </c>
      <c r="AB35" s="73">
        <f>COUNTIFS(缺陷明细!$A$2:$A$50000,$B$4,缺陷明细!$G$2:$G$50000,$C35,缺陷明细!$Q$2:$Q$50000,"已关闭",缺陷明细!$J$2:$J$50000,"运维测试",缺陷明细!$K$2:$K$50000,"致命")+COUNTIFS(缺陷明细!$A$2:$A$50000,$B$4,缺陷明细!$G$2:$G$50000,$C35,缺陷明细!$Q$2:$Q$50000,"已关闭",缺陷明细!$J$2:$J$50000,"运维测试",缺陷明细!$K$2:$K$50000,"严重")</f>
        <v>0</v>
      </c>
      <c r="AC35" s="68">
        <f t="shared" si="0"/>
        <v>0</v>
      </c>
      <c r="AD35" s="60">
        <f t="shared" si="0"/>
        <v>0</v>
      </c>
      <c r="AE35" s="60">
        <f t="shared" si="1"/>
        <v>0</v>
      </c>
      <c r="AF35" s="60">
        <f t="shared" si="1"/>
        <v>0</v>
      </c>
      <c r="AG35" s="60">
        <f t="shared" si="2"/>
        <v>0</v>
      </c>
      <c r="AH35" s="60">
        <f t="shared" si="2"/>
        <v>0</v>
      </c>
      <c r="AI35" s="60">
        <f t="shared" si="3"/>
        <v>0</v>
      </c>
      <c r="AJ35" s="61">
        <f t="shared" si="3"/>
        <v>0</v>
      </c>
      <c r="AK35" s="144"/>
    </row>
    <row r="36" spans="1:37">
      <c r="A36">
        <v>32</v>
      </c>
      <c r="B36" s="57"/>
      <c r="C36" s="58"/>
      <c r="D36" s="84"/>
      <c r="E36" s="82"/>
      <c r="F36" s="158"/>
      <c r="G36" s="159"/>
      <c r="H36" s="281">
        <f>COUNTIFS(缺陷明细!$A$2:$A$50000,$B$4,缺陷明细!$G$2:$G$50000,$C36,缺陷明细!$J$2:$J$50000,"评审",缺陷明细!$AB$2:$AB$50000,"&lt;&gt;丢弃",缺陷明细!$AB$2:$AB$50000,"&lt;&gt;设计如此",缺陷明细!$AB$2:$AB$50000,"&lt;&gt;重复Bug")</f>
        <v>0</v>
      </c>
      <c r="I36" s="154">
        <f>COUNTIFS(缺陷明细!$A$2:$A$50000,$B$4,缺陷明细!$G$2:$G$50000,$C36,缺陷明细!$Q$2:$Q$50000,"已关闭",缺陷明细!$J$2:$J$50000,"评审")</f>
        <v>0</v>
      </c>
      <c r="J36" s="154">
        <f>COUNTIFS(缺陷明细!$A$2:$A$50000,$B$4,缺陷明细!$G$2:$G$50000,$C36,缺陷明细!$J$2:$J$50000,"单元测试",缺陷明细!$AB$2:$AB$50000,"&lt;&gt;丢弃",缺陷明细!$AB$2:$AB$50000,"&lt;&gt;设计如此",缺陷明细!$AB$2:$AB$50000,"&lt;&gt;重复Bug")</f>
        <v>0</v>
      </c>
      <c r="K36" s="155">
        <f>COUNTIFS(缺陷明细!$A$2:$A$50000,$B$4,缺陷明细!$G$2:$G$50000,$C36,缺陷明细!$Q$2:$Q$50000,"已关闭",缺陷明细!$J$2:$J$50000,"单元测试")</f>
        <v>0</v>
      </c>
      <c r="L36" s="156"/>
      <c r="M36" s="157"/>
      <c r="N36" s="72">
        <f>COUNTIFS(缺陷明细!$A$2:$A$50000,$B$4,缺陷明细!$G$2:$G$50000,$C36,缺陷明细!$J$2:$J$50000,"系统测试案例评审",缺陷明细!$AB$2:$AB$50000,"&lt;&gt;丢弃",缺陷明细!$AB$2:$AB$50000,"&lt;&gt;设计如此",缺陷明细!$AB$2:$AB$50000,"&lt;&gt;重复Bug")</f>
        <v>0</v>
      </c>
      <c r="O36" s="72">
        <f>COUNTIFS(缺陷明细!$A$2:$A$50000,$B$4,缺陷明细!$G$2:$G$50000,$C36,缺陷明细!$Q$2:$Q$50000,"已关闭",缺陷明细!$J$2:$J$50000,"系统测试案例评审")</f>
        <v>0</v>
      </c>
      <c r="P36" s="72">
        <f>COUNTIFS(缺陷明细!$A$2:$A$50000,$B$4,缺陷明细!$G$2:$G$50000,$C36,缺陷明细!$J$2:$J$50000,"系统测试",缺陷明细!$AB$2:$AB$50000,"&lt;&gt;丢弃",缺陷明细!$AB$2:$AB$50000,"&lt;&gt;设计如此",缺陷明细!$AB$2:$AB$50000,"&lt;&gt;重复Bug")</f>
        <v>0</v>
      </c>
      <c r="Q36" s="72">
        <f>COUNTIFS(缺陷明细!$A$2:$A$50000,$B$4,缺陷明细!$G$2:$G$50000,$C36,缺陷明细!$Q$2:$Q$50000,"已关闭",缺陷明细!$J$2:$J$50000,"系统测试")</f>
        <v>0</v>
      </c>
      <c r="R36" s="296">
        <f>COUNTIFS(缺陷明细!$A$2:$A$50000,$B$4,缺陷明细!$G$2:$G$50000,$C36,缺陷明细!$AB$2:$AB$50000,"丢弃",缺陷明细!$J$2:$J$50000,"系统测试")+COUNTIFS(缺陷明细!$A$2:$A$50000,$B$4,缺陷明细!$G$2:$G$50000,$C36,缺陷明细!$AB$2:$AB$50000,"设计如此",缺陷明细!$J$2:$J$50000,"系统测试")+COUNTIFS(缺陷明细!$A$2:$A$50000,$B$4,缺陷明细!$G$2:$G$50000,$C36,缺陷明细!$AB$2:$AB$50000,"重复Bug",缺陷明细!$J$2:$J$50000,"系统测试")</f>
        <v>0</v>
      </c>
      <c r="S36" s="72">
        <f>COUNTIFS(缺陷明细!$A$2:$A$50000,$B$4,缺陷明细!$G$2:$G$50000,$C36,缺陷明细!$J$2:$J$50000,"系统测试",缺陷明细!$K$2:$K$50000,"致命",缺陷明细!$AB$2:$AB$50000,"&lt;&gt;丢弃",缺陷明细!$AB$2:$AB$50000,"&lt;&gt;设计如此",缺陷明细!$AB$2:$AB$50000,"&lt;&gt;重复Bug")+COUNTIFS(缺陷明细!$A$2:$A$50000,$B$4,缺陷明细!$G$2:$G$50000,$C36,缺陷明细!$J$2:$J$50000,"系统测试",缺陷明细!$K$2:$K$50000,"严重",缺陷明细!$AB$2:$AB$50000,"&lt;&gt;丢弃",缺陷明细!$AB$2:$AB$50000,"&lt;&gt;设计如此",缺陷明细!$AB$2:$AB$50000,"&lt;&gt;重复Bug")</f>
        <v>0</v>
      </c>
      <c r="T36" s="73">
        <f>COUNTIFS(缺陷明细!$A$2:$A$50000,$B$4,缺陷明细!$G$2:$G$50000,$C36,缺陷明细!$Q$2:$Q$50000,"已关闭",缺陷明细!$J$2:$J$50000,"系统测试",缺陷明细!$K$2:$K$50000,"致命")+COUNTIFS(缺陷明细!$A$2:$A$50000,$B$4,缺陷明细!$G$2:$G$50000,$C36,缺陷明细!$Q$2:$Q$50000,"已关闭",缺陷明细!$J$2:$J$50000,"系统测试",缺陷明细!$K$2:$K$50000,"严重")</f>
        <v>0</v>
      </c>
      <c r="U36" s="74">
        <f>COUNTIFS(缺陷明细!$A$2:$A$50000,$B$4,缺陷明细!$G$2:$G$50000,$C36,缺陷明细!$J$2:$J$50000,"验收测试",缺陷明细!$AB$2:$AB$50000,"&lt;&gt;丢弃",缺陷明细!$AB$2:$AB$50000,"&lt;&gt;设计如此",缺陷明细!$AB$2:$AB$50000,"&lt;&gt;重复Bug")</f>
        <v>0</v>
      </c>
      <c r="V36" s="75">
        <f>COUNTIFS(缺陷明细!$A$2:$A$50000,$B$4,缺陷明细!$G$2:$G$50000,$C36,缺陷明细!$Q$2:$Q$50000,"已关闭",缺陷明细!$J$2:$J$50000,"验收测试")</f>
        <v>0</v>
      </c>
      <c r="W36" s="75">
        <f>COUNTIFS(缺陷明细!$A$2:$A$50000,$B$4,缺陷明细!$G$2:$G$50000,$C36,缺陷明细!$J$2:$J$50000,"验收测试",缺陷明细!$K$2:$K$50000,"致命",缺陷明细!$AB$2:$AB$50000,"&lt;&gt;丢弃",缺陷明细!$AB$2:$AB$50000,"&lt;&gt;设计如此",缺陷明细!$AB$2:$AB$50000,"&lt;&gt;重复Bug")+COUNTIFS(缺陷明细!$A$2:$A$50000,$B$4,缺陷明细!$G$2:$G$50000,$C36,缺陷明细!$J$2:$J$50000,"验收测试",缺陷明细!$K$2:$K$50000,"严重",缺陷明细!$AB$2:$AB$50000,"&lt;&gt;丢弃",缺陷明细!$AB$2:$AB$50000,"&lt;&gt;设计如此",缺陷明细!$AB$2:$AB$50000,"&lt;&gt;重复Bug")</f>
        <v>0</v>
      </c>
      <c r="X36" s="76">
        <f>COUNTIFS(缺陷明细!$A$2:$A$50000,$B$4,缺陷明细!$G$2:$G$50000,$C36,缺陷明细!$Q$2:$Q$50000,"已关闭",缺陷明细!$J$2:$J$50000,"验收测试",缺陷明细!$K$2:$K$50000,"致命")+COUNTIFS(缺陷明细!$A$2:$A$50000,$B$4,缺陷明细!$G$2:$G$50000,$C36,缺陷明细!$Q$2:$Q$50000,"已关闭",缺陷明细!$J$2:$J$50000,"验收测试",缺陷明细!$K$2:$K$50000,"严重")</f>
        <v>0</v>
      </c>
      <c r="Y36" s="70">
        <f>COUNTIFS(缺陷明细!$A$2:$A$50000,$B$4,缺陷明细!$G$2:$G$50000,$C36,缺陷明细!$J$2:$J$50000,"运维测试",缺陷明细!$AB$2:$AB$50000,"&lt;&gt;丢弃",缺陷明细!$AB$2:$AB$50000,"&lt;&gt;设计如此",缺陷明细!$AB$2:$AB$50000,"&lt;&gt;重复Bug")</f>
        <v>0</v>
      </c>
      <c r="Z36" s="71">
        <f>COUNTIFS(缺陷明细!$A$2:$A$50000,$B$4,缺陷明细!$G$2:$G$50000,$C36,缺陷明细!$Q$2:$Q$50000,"已关闭",缺陷明细!$J$2:$J$50000,"运维测试")</f>
        <v>0</v>
      </c>
      <c r="AA36" s="72">
        <f>COUNTIFS(缺陷明细!$A$2:$A$50000,$B$4,缺陷明细!$G$2:$G$50000,$C36,缺陷明细!$J$2:$J$50000,"运维测试",缺陷明细!$K$2:$K$50000,"致命",缺陷明细!$AB$2:$AB$50000,"&lt;&gt;丢弃",缺陷明细!$AB$2:$AB$50000,"&lt;&gt;设计如此",缺陷明细!$AB$2:$AB$50000,"&lt;&gt;重复Bug")+COUNTIFS(缺陷明细!$A$2:$A$50000,$B$4,缺陷明细!$G$2:$G$50000,$C36,缺陷明细!$J$2:$J$50000,"运维测试",缺陷明细!$K$2:$K$50000,"严重",缺陷明细!$AB$2:$AB$50000,"&lt;&gt;丢弃",缺陷明细!$AB$2:$AB$50000,"&lt;&gt;设计如此",缺陷明细!$AB$2:$AB$50000,"&lt;&gt;重复Bug")</f>
        <v>0</v>
      </c>
      <c r="AB36" s="73">
        <f>COUNTIFS(缺陷明细!$A$2:$A$50000,$B$4,缺陷明细!$G$2:$G$50000,$C36,缺陷明细!$Q$2:$Q$50000,"已关闭",缺陷明细!$J$2:$J$50000,"运维测试",缺陷明细!$K$2:$K$50000,"致命")+COUNTIFS(缺陷明细!$A$2:$A$50000,$B$4,缺陷明细!$G$2:$G$50000,$C36,缺陷明细!$Q$2:$Q$50000,"已关闭",缺陷明细!$J$2:$J$50000,"运维测试",缺陷明细!$K$2:$K$50000,"严重")</f>
        <v>0</v>
      </c>
      <c r="AC36" s="68">
        <f t="shared" si="0"/>
        <v>0</v>
      </c>
      <c r="AD36" s="60">
        <f t="shared" si="0"/>
        <v>0</v>
      </c>
      <c r="AE36" s="60">
        <f t="shared" si="1"/>
        <v>0</v>
      </c>
      <c r="AF36" s="60">
        <f t="shared" si="1"/>
        <v>0</v>
      </c>
      <c r="AG36" s="60">
        <f t="shared" si="2"/>
        <v>0</v>
      </c>
      <c r="AH36" s="60">
        <f t="shared" si="2"/>
        <v>0</v>
      </c>
      <c r="AI36" s="60">
        <f t="shared" si="3"/>
        <v>0</v>
      </c>
      <c r="AJ36" s="61">
        <f t="shared" si="3"/>
        <v>0</v>
      </c>
      <c r="AK36" s="144"/>
    </row>
    <row r="37" spans="1:37">
      <c r="A37">
        <v>33</v>
      </c>
      <c r="B37" s="57"/>
      <c r="C37" s="58"/>
      <c r="D37" s="84"/>
      <c r="E37" s="82"/>
      <c r="F37" s="158"/>
      <c r="G37" s="159"/>
      <c r="H37" s="281">
        <f>COUNTIFS(缺陷明细!$A$2:$A$50000,$B$4,缺陷明细!$G$2:$G$50000,$C37,缺陷明细!$J$2:$J$50000,"评审",缺陷明细!$AB$2:$AB$50000,"&lt;&gt;丢弃",缺陷明细!$AB$2:$AB$50000,"&lt;&gt;设计如此",缺陷明细!$AB$2:$AB$50000,"&lt;&gt;重复Bug")</f>
        <v>0</v>
      </c>
      <c r="I37" s="154">
        <f>COUNTIFS(缺陷明细!$A$2:$A$50000,$B$4,缺陷明细!$G$2:$G$50000,$C37,缺陷明细!$Q$2:$Q$50000,"已关闭",缺陷明细!$J$2:$J$50000,"评审")</f>
        <v>0</v>
      </c>
      <c r="J37" s="154">
        <f>COUNTIFS(缺陷明细!$A$2:$A$50000,$B$4,缺陷明细!$G$2:$G$50000,$C37,缺陷明细!$J$2:$J$50000,"单元测试",缺陷明细!$AB$2:$AB$50000,"&lt;&gt;丢弃",缺陷明细!$AB$2:$AB$50000,"&lt;&gt;设计如此",缺陷明细!$AB$2:$AB$50000,"&lt;&gt;重复Bug")</f>
        <v>0</v>
      </c>
      <c r="K37" s="155">
        <f>COUNTIFS(缺陷明细!$A$2:$A$50000,$B$4,缺陷明细!$G$2:$G$50000,$C37,缺陷明细!$Q$2:$Q$50000,"已关闭",缺陷明细!$J$2:$J$50000,"单元测试")</f>
        <v>0</v>
      </c>
      <c r="L37" s="156"/>
      <c r="M37" s="157"/>
      <c r="N37" s="72">
        <f>COUNTIFS(缺陷明细!$A$2:$A$50000,$B$4,缺陷明细!$G$2:$G$50000,$C37,缺陷明细!$J$2:$J$50000,"系统测试案例评审",缺陷明细!$AB$2:$AB$50000,"&lt;&gt;丢弃",缺陷明细!$AB$2:$AB$50000,"&lt;&gt;设计如此",缺陷明细!$AB$2:$AB$50000,"&lt;&gt;重复Bug")</f>
        <v>0</v>
      </c>
      <c r="O37" s="72">
        <f>COUNTIFS(缺陷明细!$A$2:$A$50000,$B$4,缺陷明细!$G$2:$G$50000,$C37,缺陷明细!$Q$2:$Q$50000,"已关闭",缺陷明细!$J$2:$J$50000,"系统测试案例评审")</f>
        <v>0</v>
      </c>
      <c r="P37" s="72">
        <f>COUNTIFS(缺陷明细!$A$2:$A$50000,$B$4,缺陷明细!$G$2:$G$50000,$C37,缺陷明细!$J$2:$J$50000,"系统测试",缺陷明细!$AB$2:$AB$50000,"&lt;&gt;丢弃",缺陷明细!$AB$2:$AB$50000,"&lt;&gt;设计如此",缺陷明细!$AB$2:$AB$50000,"&lt;&gt;重复Bug")</f>
        <v>0</v>
      </c>
      <c r="Q37" s="72">
        <f>COUNTIFS(缺陷明细!$A$2:$A$50000,$B$4,缺陷明细!$G$2:$G$50000,$C37,缺陷明细!$Q$2:$Q$50000,"已关闭",缺陷明细!$J$2:$J$50000,"系统测试")</f>
        <v>0</v>
      </c>
      <c r="R37" s="296">
        <f>COUNTIFS(缺陷明细!$A$2:$A$50000,$B$4,缺陷明细!$G$2:$G$50000,$C37,缺陷明细!$AB$2:$AB$50000,"丢弃",缺陷明细!$J$2:$J$50000,"系统测试")+COUNTIFS(缺陷明细!$A$2:$A$50000,$B$4,缺陷明细!$G$2:$G$50000,$C37,缺陷明细!$AB$2:$AB$50000,"设计如此",缺陷明细!$J$2:$J$50000,"系统测试")+COUNTIFS(缺陷明细!$A$2:$A$50000,$B$4,缺陷明细!$G$2:$G$50000,$C37,缺陷明细!$AB$2:$AB$50000,"重复Bug",缺陷明细!$J$2:$J$50000,"系统测试")</f>
        <v>0</v>
      </c>
      <c r="S37" s="72">
        <f>COUNTIFS(缺陷明细!$A$2:$A$50000,$B$4,缺陷明细!$G$2:$G$50000,$C37,缺陷明细!$J$2:$J$50000,"系统测试",缺陷明细!$K$2:$K$50000,"致命",缺陷明细!$AB$2:$AB$50000,"&lt;&gt;丢弃",缺陷明细!$AB$2:$AB$50000,"&lt;&gt;设计如此",缺陷明细!$AB$2:$AB$50000,"&lt;&gt;重复Bug")+COUNTIFS(缺陷明细!$A$2:$A$50000,$B$4,缺陷明细!$G$2:$G$50000,$C37,缺陷明细!$J$2:$J$50000,"系统测试",缺陷明细!$K$2:$K$50000,"严重",缺陷明细!$AB$2:$AB$50000,"&lt;&gt;丢弃",缺陷明细!$AB$2:$AB$50000,"&lt;&gt;设计如此",缺陷明细!$AB$2:$AB$50000,"&lt;&gt;重复Bug")</f>
        <v>0</v>
      </c>
      <c r="T37" s="73">
        <f>COUNTIFS(缺陷明细!$A$2:$A$50000,$B$4,缺陷明细!$G$2:$G$50000,$C37,缺陷明细!$Q$2:$Q$50000,"已关闭",缺陷明细!$J$2:$J$50000,"系统测试",缺陷明细!$K$2:$K$50000,"致命")+COUNTIFS(缺陷明细!$A$2:$A$50000,$B$4,缺陷明细!$G$2:$G$50000,$C37,缺陷明细!$Q$2:$Q$50000,"已关闭",缺陷明细!$J$2:$J$50000,"系统测试",缺陷明细!$K$2:$K$50000,"严重")</f>
        <v>0</v>
      </c>
      <c r="U37" s="74">
        <f>COUNTIFS(缺陷明细!$A$2:$A$50000,$B$4,缺陷明细!$G$2:$G$50000,$C37,缺陷明细!$J$2:$J$50000,"验收测试",缺陷明细!$AB$2:$AB$50000,"&lt;&gt;丢弃",缺陷明细!$AB$2:$AB$50000,"&lt;&gt;设计如此",缺陷明细!$AB$2:$AB$50000,"&lt;&gt;重复Bug")</f>
        <v>0</v>
      </c>
      <c r="V37" s="75">
        <f>COUNTIFS(缺陷明细!$A$2:$A$50000,$B$4,缺陷明细!$G$2:$G$50000,$C37,缺陷明细!$Q$2:$Q$50000,"已关闭",缺陷明细!$J$2:$J$50000,"验收测试")</f>
        <v>0</v>
      </c>
      <c r="W37" s="75">
        <f>COUNTIFS(缺陷明细!$A$2:$A$50000,$B$4,缺陷明细!$G$2:$G$50000,$C37,缺陷明细!$J$2:$J$50000,"验收测试",缺陷明细!$K$2:$K$50000,"致命",缺陷明细!$AB$2:$AB$50000,"&lt;&gt;丢弃",缺陷明细!$AB$2:$AB$50000,"&lt;&gt;设计如此",缺陷明细!$AB$2:$AB$50000,"&lt;&gt;重复Bug")+COUNTIFS(缺陷明细!$A$2:$A$50000,$B$4,缺陷明细!$G$2:$G$50000,$C37,缺陷明细!$J$2:$J$50000,"验收测试",缺陷明细!$K$2:$K$50000,"严重",缺陷明细!$AB$2:$AB$50000,"&lt;&gt;丢弃",缺陷明细!$AB$2:$AB$50000,"&lt;&gt;设计如此",缺陷明细!$AB$2:$AB$50000,"&lt;&gt;重复Bug")</f>
        <v>0</v>
      </c>
      <c r="X37" s="76">
        <f>COUNTIFS(缺陷明细!$A$2:$A$50000,$B$4,缺陷明细!$G$2:$G$50000,$C37,缺陷明细!$Q$2:$Q$50000,"已关闭",缺陷明细!$J$2:$J$50000,"验收测试",缺陷明细!$K$2:$K$50000,"致命")+COUNTIFS(缺陷明细!$A$2:$A$50000,$B$4,缺陷明细!$G$2:$G$50000,$C37,缺陷明细!$Q$2:$Q$50000,"已关闭",缺陷明细!$J$2:$J$50000,"验收测试",缺陷明细!$K$2:$K$50000,"严重")</f>
        <v>0</v>
      </c>
      <c r="Y37" s="70">
        <f>COUNTIFS(缺陷明细!$A$2:$A$50000,$B$4,缺陷明细!$G$2:$G$50000,$C37,缺陷明细!$J$2:$J$50000,"运维测试",缺陷明细!$AB$2:$AB$50000,"&lt;&gt;丢弃",缺陷明细!$AB$2:$AB$50000,"&lt;&gt;设计如此",缺陷明细!$AB$2:$AB$50000,"&lt;&gt;重复Bug")</f>
        <v>0</v>
      </c>
      <c r="Z37" s="71">
        <f>COUNTIFS(缺陷明细!$A$2:$A$50000,$B$4,缺陷明细!$G$2:$G$50000,$C37,缺陷明细!$Q$2:$Q$50000,"已关闭",缺陷明细!$J$2:$J$50000,"运维测试")</f>
        <v>0</v>
      </c>
      <c r="AA37" s="72">
        <f>COUNTIFS(缺陷明细!$A$2:$A$50000,$B$4,缺陷明细!$G$2:$G$50000,$C37,缺陷明细!$J$2:$J$50000,"运维测试",缺陷明细!$K$2:$K$50000,"致命",缺陷明细!$AB$2:$AB$50000,"&lt;&gt;丢弃",缺陷明细!$AB$2:$AB$50000,"&lt;&gt;设计如此",缺陷明细!$AB$2:$AB$50000,"&lt;&gt;重复Bug")+COUNTIFS(缺陷明细!$A$2:$A$50000,$B$4,缺陷明细!$G$2:$G$50000,$C37,缺陷明细!$J$2:$J$50000,"运维测试",缺陷明细!$K$2:$K$50000,"严重",缺陷明细!$AB$2:$AB$50000,"&lt;&gt;丢弃",缺陷明细!$AB$2:$AB$50000,"&lt;&gt;设计如此",缺陷明细!$AB$2:$AB$50000,"&lt;&gt;重复Bug")</f>
        <v>0</v>
      </c>
      <c r="AB37" s="73">
        <f>COUNTIFS(缺陷明细!$A$2:$A$50000,$B$4,缺陷明细!$G$2:$G$50000,$C37,缺陷明细!$Q$2:$Q$50000,"已关闭",缺陷明细!$J$2:$J$50000,"运维测试",缺陷明细!$K$2:$K$50000,"致命")+COUNTIFS(缺陷明细!$A$2:$A$50000,$B$4,缺陷明细!$G$2:$G$50000,$C37,缺陷明细!$Q$2:$Q$50000,"已关闭",缺陷明细!$J$2:$J$50000,"运维测试",缺陷明细!$K$2:$K$50000,"严重")</f>
        <v>0</v>
      </c>
      <c r="AC37" s="68">
        <f t="shared" si="0"/>
        <v>0</v>
      </c>
      <c r="AD37" s="60">
        <f t="shared" si="0"/>
        <v>0</v>
      </c>
      <c r="AE37" s="60">
        <f t="shared" si="1"/>
        <v>0</v>
      </c>
      <c r="AF37" s="60">
        <f t="shared" si="1"/>
        <v>0</v>
      </c>
      <c r="AG37" s="60">
        <f t="shared" si="2"/>
        <v>0</v>
      </c>
      <c r="AH37" s="60">
        <f t="shared" si="2"/>
        <v>0</v>
      </c>
      <c r="AI37" s="60">
        <f t="shared" si="3"/>
        <v>0</v>
      </c>
      <c r="AJ37" s="61">
        <f t="shared" si="3"/>
        <v>0</v>
      </c>
      <c r="AK37" s="144"/>
    </row>
    <row r="38" spans="1:37">
      <c r="A38">
        <v>34</v>
      </c>
      <c r="B38" s="57"/>
      <c r="C38" s="58"/>
      <c r="D38" s="84"/>
      <c r="E38" s="82"/>
      <c r="F38" s="158"/>
      <c r="G38" s="159"/>
      <c r="H38" s="281">
        <f>COUNTIFS(缺陷明细!$A$2:$A$50000,$B$4,缺陷明细!$G$2:$G$50000,$C38,缺陷明细!$J$2:$J$50000,"评审",缺陷明细!$AB$2:$AB$50000,"&lt;&gt;丢弃",缺陷明细!$AB$2:$AB$50000,"&lt;&gt;设计如此",缺陷明细!$AB$2:$AB$50000,"&lt;&gt;重复Bug")</f>
        <v>0</v>
      </c>
      <c r="I38" s="154">
        <f>COUNTIFS(缺陷明细!$A$2:$A$50000,$B$4,缺陷明细!$G$2:$G$50000,$C38,缺陷明细!$Q$2:$Q$50000,"已关闭",缺陷明细!$J$2:$J$50000,"评审")</f>
        <v>0</v>
      </c>
      <c r="J38" s="154">
        <f>COUNTIFS(缺陷明细!$A$2:$A$50000,$B$4,缺陷明细!$G$2:$G$50000,$C38,缺陷明细!$J$2:$J$50000,"单元测试",缺陷明细!$AB$2:$AB$50000,"&lt;&gt;丢弃",缺陷明细!$AB$2:$AB$50000,"&lt;&gt;设计如此",缺陷明细!$AB$2:$AB$50000,"&lt;&gt;重复Bug")</f>
        <v>0</v>
      </c>
      <c r="K38" s="155">
        <f>COUNTIFS(缺陷明细!$A$2:$A$50000,$B$4,缺陷明细!$G$2:$G$50000,$C38,缺陷明细!$Q$2:$Q$50000,"已关闭",缺陷明细!$J$2:$J$50000,"单元测试")</f>
        <v>0</v>
      </c>
      <c r="L38" s="156"/>
      <c r="M38" s="157"/>
      <c r="N38" s="72">
        <f>COUNTIFS(缺陷明细!$A$2:$A$50000,$B$4,缺陷明细!$G$2:$G$50000,$C38,缺陷明细!$J$2:$J$50000,"系统测试案例评审",缺陷明细!$AB$2:$AB$50000,"&lt;&gt;丢弃",缺陷明细!$AB$2:$AB$50000,"&lt;&gt;设计如此",缺陷明细!$AB$2:$AB$50000,"&lt;&gt;重复Bug")</f>
        <v>0</v>
      </c>
      <c r="O38" s="72">
        <f>COUNTIFS(缺陷明细!$A$2:$A$50000,$B$4,缺陷明细!$G$2:$G$50000,$C38,缺陷明细!$Q$2:$Q$50000,"已关闭",缺陷明细!$J$2:$J$50000,"系统测试案例评审")</f>
        <v>0</v>
      </c>
      <c r="P38" s="72">
        <f>COUNTIFS(缺陷明细!$A$2:$A$50000,$B$4,缺陷明细!$G$2:$G$50000,$C38,缺陷明细!$J$2:$J$50000,"系统测试",缺陷明细!$AB$2:$AB$50000,"&lt;&gt;丢弃",缺陷明细!$AB$2:$AB$50000,"&lt;&gt;设计如此",缺陷明细!$AB$2:$AB$50000,"&lt;&gt;重复Bug")</f>
        <v>0</v>
      </c>
      <c r="Q38" s="72">
        <f>COUNTIFS(缺陷明细!$A$2:$A$50000,$B$4,缺陷明细!$G$2:$G$50000,$C38,缺陷明细!$Q$2:$Q$50000,"已关闭",缺陷明细!$J$2:$J$50000,"系统测试")</f>
        <v>0</v>
      </c>
      <c r="R38" s="296">
        <f>COUNTIFS(缺陷明细!$A$2:$A$50000,$B$4,缺陷明细!$G$2:$G$50000,$C38,缺陷明细!$AB$2:$AB$50000,"丢弃",缺陷明细!$J$2:$J$50000,"系统测试")+COUNTIFS(缺陷明细!$A$2:$A$50000,$B$4,缺陷明细!$G$2:$G$50000,$C38,缺陷明细!$AB$2:$AB$50000,"设计如此",缺陷明细!$J$2:$J$50000,"系统测试")+COUNTIFS(缺陷明细!$A$2:$A$50000,$B$4,缺陷明细!$G$2:$G$50000,$C38,缺陷明细!$AB$2:$AB$50000,"重复Bug",缺陷明细!$J$2:$J$50000,"系统测试")</f>
        <v>0</v>
      </c>
      <c r="S38" s="72">
        <f>COUNTIFS(缺陷明细!$A$2:$A$50000,$B$4,缺陷明细!$G$2:$G$50000,$C38,缺陷明细!$J$2:$J$50000,"系统测试",缺陷明细!$K$2:$K$50000,"致命",缺陷明细!$AB$2:$AB$50000,"&lt;&gt;丢弃",缺陷明细!$AB$2:$AB$50000,"&lt;&gt;设计如此",缺陷明细!$AB$2:$AB$50000,"&lt;&gt;重复Bug")+COUNTIFS(缺陷明细!$A$2:$A$50000,$B$4,缺陷明细!$G$2:$G$50000,$C38,缺陷明细!$J$2:$J$50000,"系统测试",缺陷明细!$K$2:$K$50000,"严重",缺陷明细!$AB$2:$AB$50000,"&lt;&gt;丢弃",缺陷明细!$AB$2:$AB$50000,"&lt;&gt;设计如此",缺陷明细!$AB$2:$AB$50000,"&lt;&gt;重复Bug")</f>
        <v>0</v>
      </c>
      <c r="T38" s="73">
        <f>COUNTIFS(缺陷明细!$A$2:$A$50000,$B$4,缺陷明细!$G$2:$G$50000,$C38,缺陷明细!$Q$2:$Q$50000,"已关闭",缺陷明细!$J$2:$J$50000,"系统测试",缺陷明细!$K$2:$K$50000,"致命")+COUNTIFS(缺陷明细!$A$2:$A$50000,$B$4,缺陷明细!$G$2:$G$50000,$C38,缺陷明细!$Q$2:$Q$50000,"已关闭",缺陷明细!$J$2:$J$50000,"系统测试",缺陷明细!$K$2:$K$50000,"严重")</f>
        <v>0</v>
      </c>
      <c r="U38" s="74">
        <f>COUNTIFS(缺陷明细!$A$2:$A$50000,$B$4,缺陷明细!$G$2:$G$50000,$C38,缺陷明细!$J$2:$J$50000,"验收测试",缺陷明细!$AB$2:$AB$50000,"&lt;&gt;丢弃",缺陷明细!$AB$2:$AB$50000,"&lt;&gt;设计如此",缺陷明细!$AB$2:$AB$50000,"&lt;&gt;重复Bug")</f>
        <v>0</v>
      </c>
      <c r="V38" s="75">
        <f>COUNTIFS(缺陷明细!$A$2:$A$50000,$B$4,缺陷明细!$G$2:$G$50000,$C38,缺陷明细!$Q$2:$Q$50000,"已关闭",缺陷明细!$J$2:$J$50000,"验收测试")</f>
        <v>0</v>
      </c>
      <c r="W38" s="75">
        <f>COUNTIFS(缺陷明细!$A$2:$A$50000,$B$4,缺陷明细!$G$2:$G$50000,$C38,缺陷明细!$J$2:$J$50000,"验收测试",缺陷明细!$K$2:$K$50000,"致命",缺陷明细!$AB$2:$AB$50000,"&lt;&gt;丢弃",缺陷明细!$AB$2:$AB$50000,"&lt;&gt;设计如此",缺陷明细!$AB$2:$AB$50000,"&lt;&gt;重复Bug")+COUNTIFS(缺陷明细!$A$2:$A$50000,$B$4,缺陷明细!$G$2:$G$50000,$C38,缺陷明细!$J$2:$J$50000,"验收测试",缺陷明细!$K$2:$K$50000,"严重",缺陷明细!$AB$2:$AB$50000,"&lt;&gt;丢弃",缺陷明细!$AB$2:$AB$50000,"&lt;&gt;设计如此",缺陷明细!$AB$2:$AB$50000,"&lt;&gt;重复Bug")</f>
        <v>0</v>
      </c>
      <c r="X38" s="76">
        <f>COUNTIFS(缺陷明细!$A$2:$A$50000,$B$4,缺陷明细!$G$2:$G$50000,$C38,缺陷明细!$Q$2:$Q$50000,"已关闭",缺陷明细!$J$2:$J$50000,"验收测试",缺陷明细!$K$2:$K$50000,"致命")+COUNTIFS(缺陷明细!$A$2:$A$50000,$B$4,缺陷明细!$G$2:$G$50000,$C38,缺陷明细!$Q$2:$Q$50000,"已关闭",缺陷明细!$J$2:$J$50000,"验收测试",缺陷明细!$K$2:$K$50000,"严重")</f>
        <v>0</v>
      </c>
      <c r="Y38" s="70">
        <f>COUNTIFS(缺陷明细!$A$2:$A$50000,$B$4,缺陷明细!$G$2:$G$50000,$C38,缺陷明细!$J$2:$J$50000,"运维测试",缺陷明细!$AB$2:$AB$50000,"&lt;&gt;丢弃",缺陷明细!$AB$2:$AB$50000,"&lt;&gt;设计如此",缺陷明细!$AB$2:$AB$50000,"&lt;&gt;重复Bug")</f>
        <v>0</v>
      </c>
      <c r="Z38" s="71">
        <f>COUNTIFS(缺陷明细!$A$2:$A$50000,$B$4,缺陷明细!$G$2:$G$50000,$C38,缺陷明细!$Q$2:$Q$50000,"已关闭",缺陷明细!$J$2:$J$50000,"运维测试")</f>
        <v>0</v>
      </c>
      <c r="AA38" s="72">
        <f>COUNTIFS(缺陷明细!$A$2:$A$50000,$B$4,缺陷明细!$G$2:$G$50000,$C38,缺陷明细!$J$2:$J$50000,"运维测试",缺陷明细!$K$2:$K$50000,"致命",缺陷明细!$AB$2:$AB$50000,"&lt;&gt;丢弃",缺陷明细!$AB$2:$AB$50000,"&lt;&gt;设计如此",缺陷明细!$AB$2:$AB$50000,"&lt;&gt;重复Bug")+COUNTIFS(缺陷明细!$A$2:$A$50000,$B$4,缺陷明细!$G$2:$G$50000,$C38,缺陷明细!$J$2:$J$50000,"运维测试",缺陷明细!$K$2:$K$50000,"严重",缺陷明细!$AB$2:$AB$50000,"&lt;&gt;丢弃",缺陷明细!$AB$2:$AB$50000,"&lt;&gt;设计如此",缺陷明细!$AB$2:$AB$50000,"&lt;&gt;重复Bug")</f>
        <v>0</v>
      </c>
      <c r="AB38" s="73">
        <f>COUNTIFS(缺陷明细!$A$2:$A$50000,$B$4,缺陷明细!$G$2:$G$50000,$C38,缺陷明细!$Q$2:$Q$50000,"已关闭",缺陷明细!$J$2:$J$50000,"运维测试",缺陷明细!$K$2:$K$50000,"致命")+COUNTIFS(缺陷明细!$A$2:$A$50000,$B$4,缺陷明细!$G$2:$G$50000,$C38,缺陷明细!$Q$2:$Q$50000,"已关闭",缺陷明细!$J$2:$J$50000,"运维测试",缺陷明细!$K$2:$K$50000,"严重")</f>
        <v>0</v>
      </c>
      <c r="AC38" s="68">
        <f t="shared" si="0"/>
        <v>0</v>
      </c>
      <c r="AD38" s="60">
        <f t="shared" si="0"/>
        <v>0</v>
      </c>
      <c r="AE38" s="60">
        <f t="shared" si="1"/>
        <v>0</v>
      </c>
      <c r="AF38" s="60">
        <f t="shared" si="1"/>
        <v>0</v>
      </c>
      <c r="AG38" s="60">
        <f t="shared" si="2"/>
        <v>0</v>
      </c>
      <c r="AH38" s="60">
        <f t="shared" si="2"/>
        <v>0</v>
      </c>
      <c r="AI38" s="60">
        <f t="shared" si="3"/>
        <v>0</v>
      </c>
      <c r="AJ38" s="61">
        <f t="shared" si="3"/>
        <v>0</v>
      </c>
      <c r="AK38" s="144"/>
    </row>
    <row r="39" spans="1:37">
      <c r="A39">
        <v>35</v>
      </c>
      <c r="B39" s="57"/>
      <c r="C39" s="58"/>
      <c r="D39" s="84"/>
      <c r="E39" s="82"/>
      <c r="F39" s="158"/>
      <c r="G39" s="159"/>
      <c r="H39" s="281">
        <f>COUNTIFS(缺陷明细!$A$2:$A$50000,$B$4,缺陷明细!$G$2:$G$50000,$C39,缺陷明细!$J$2:$J$50000,"评审",缺陷明细!$AB$2:$AB$50000,"&lt;&gt;丢弃",缺陷明细!$AB$2:$AB$50000,"&lt;&gt;设计如此",缺陷明细!$AB$2:$AB$50000,"&lt;&gt;重复Bug")</f>
        <v>0</v>
      </c>
      <c r="I39" s="154">
        <f>COUNTIFS(缺陷明细!$A$2:$A$50000,$B$4,缺陷明细!$G$2:$G$50000,$C39,缺陷明细!$Q$2:$Q$50000,"已关闭",缺陷明细!$J$2:$J$50000,"评审")</f>
        <v>0</v>
      </c>
      <c r="J39" s="154">
        <f>COUNTIFS(缺陷明细!$A$2:$A$50000,$B$4,缺陷明细!$G$2:$G$50000,$C39,缺陷明细!$J$2:$J$50000,"单元测试",缺陷明细!$AB$2:$AB$50000,"&lt;&gt;丢弃",缺陷明细!$AB$2:$AB$50000,"&lt;&gt;设计如此",缺陷明细!$AB$2:$AB$50000,"&lt;&gt;重复Bug")</f>
        <v>0</v>
      </c>
      <c r="K39" s="155">
        <f>COUNTIFS(缺陷明细!$A$2:$A$50000,$B$4,缺陷明细!$G$2:$G$50000,$C39,缺陷明细!$Q$2:$Q$50000,"已关闭",缺陷明细!$J$2:$J$50000,"单元测试")</f>
        <v>0</v>
      </c>
      <c r="L39" s="156"/>
      <c r="M39" s="157"/>
      <c r="N39" s="72">
        <f>COUNTIFS(缺陷明细!$A$2:$A$50000,$B$4,缺陷明细!$G$2:$G$50000,$C39,缺陷明细!$J$2:$J$50000,"系统测试案例评审",缺陷明细!$AB$2:$AB$50000,"&lt;&gt;丢弃",缺陷明细!$AB$2:$AB$50000,"&lt;&gt;设计如此",缺陷明细!$AB$2:$AB$50000,"&lt;&gt;重复Bug")</f>
        <v>0</v>
      </c>
      <c r="O39" s="72">
        <f>COUNTIFS(缺陷明细!$A$2:$A$50000,$B$4,缺陷明细!$G$2:$G$50000,$C39,缺陷明细!$Q$2:$Q$50000,"已关闭",缺陷明细!$J$2:$J$50000,"系统测试案例评审")</f>
        <v>0</v>
      </c>
      <c r="P39" s="72">
        <f>COUNTIFS(缺陷明细!$A$2:$A$50000,$B$4,缺陷明细!$G$2:$G$50000,$C39,缺陷明细!$J$2:$J$50000,"系统测试",缺陷明细!$AB$2:$AB$50000,"&lt;&gt;丢弃",缺陷明细!$AB$2:$AB$50000,"&lt;&gt;设计如此",缺陷明细!$AB$2:$AB$50000,"&lt;&gt;重复Bug")</f>
        <v>0</v>
      </c>
      <c r="Q39" s="72">
        <f>COUNTIFS(缺陷明细!$A$2:$A$50000,$B$4,缺陷明细!$G$2:$G$50000,$C39,缺陷明细!$Q$2:$Q$50000,"已关闭",缺陷明细!$J$2:$J$50000,"系统测试")</f>
        <v>0</v>
      </c>
      <c r="R39" s="296">
        <f>COUNTIFS(缺陷明细!$A$2:$A$50000,$B$4,缺陷明细!$G$2:$G$50000,$C39,缺陷明细!$AB$2:$AB$50000,"丢弃",缺陷明细!$J$2:$J$50000,"系统测试")+COUNTIFS(缺陷明细!$A$2:$A$50000,$B$4,缺陷明细!$G$2:$G$50000,$C39,缺陷明细!$AB$2:$AB$50000,"设计如此",缺陷明细!$J$2:$J$50000,"系统测试")+COUNTIFS(缺陷明细!$A$2:$A$50000,$B$4,缺陷明细!$G$2:$G$50000,$C39,缺陷明细!$AB$2:$AB$50000,"重复Bug",缺陷明细!$J$2:$J$50000,"系统测试")</f>
        <v>0</v>
      </c>
      <c r="S39" s="72">
        <f>COUNTIFS(缺陷明细!$A$2:$A$50000,$B$4,缺陷明细!$G$2:$G$50000,$C39,缺陷明细!$J$2:$J$50000,"系统测试",缺陷明细!$K$2:$K$50000,"致命",缺陷明细!$AB$2:$AB$50000,"&lt;&gt;丢弃",缺陷明细!$AB$2:$AB$50000,"&lt;&gt;设计如此",缺陷明细!$AB$2:$AB$50000,"&lt;&gt;重复Bug")+COUNTIFS(缺陷明细!$A$2:$A$50000,$B$4,缺陷明细!$G$2:$G$50000,$C39,缺陷明细!$J$2:$J$50000,"系统测试",缺陷明细!$K$2:$K$50000,"严重",缺陷明细!$AB$2:$AB$50000,"&lt;&gt;丢弃",缺陷明细!$AB$2:$AB$50000,"&lt;&gt;设计如此",缺陷明细!$AB$2:$AB$50000,"&lt;&gt;重复Bug")</f>
        <v>0</v>
      </c>
      <c r="T39" s="73">
        <f>COUNTIFS(缺陷明细!$A$2:$A$50000,$B$4,缺陷明细!$G$2:$G$50000,$C39,缺陷明细!$Q$2:$Q$50000,"已关闭",缺陷明细!$J$2:$J$50000,"系统测试",缺陷明细!$K$2:$K$50000,"致命")+COUNTIFS(缺陷明细!$A$2:$A$50000,$B$4,缺陷明细!$G$2:$G$50000,$C39,缺陷明细!$Q$2:$Q$50000,"已关闭",缺陷明细!$J$2:$J$50000,"系统测试",缺陷明细!$K$2:$K$50000,"严重")</f>
        <v>0</v>
      </c>
      <c r="U39" s="74">
        <f>COUNTIFS(缺陷明细!$A$2:$A$50000,$B$4,缺陷明细!$G$2:$G$50000,$C39,缺陷明细!$J$2:$J$50000,"验收测试",缺陷明细!$AB$2:$AB$50000,"&lt;&gt;丢弃",缺陷明细!$AB$2:$AB$50000,"&lt;&gt;设计如此",缺陷明细!$AB$2:$AB$50000,"&lt;&gt;重复Bug")</f>
        <v>0</v>
      </c>
      <c r="V39" s="75">
        <f>COUNTIFS(缺陷明细!$A$2:$A$50000,$B$4,缺陷明细!$G$2:$G$50000,$C39,缺陷明细!$Q$2:$Q$50000,"已关闭",缺陷明细!$J$2:$J$50000,"验收测试")</f>
        <v>0</v>
      </c>
      <c r="W39" s="75">
        <f>COUNTIFS(缺陷明细!$A$2:$A$50000,$B$4,缺陷明细!$G$2:$G$50000,$C39,缺陷明细!$J$2:$J$50000,"验收测试",缺陷明细!$K$2:$K$50000,"致命",缺陷明细!$AB$2:$AB$50000,"&lt;&gt;丢弃",缺陷明细!$AB$2:$AB$50000,"&lt;&gt;设计如此",缺陷明细!$AB$2:$AB$50000,"&lt;&gt;重复Bug")+COUNTIFS(缺陷明细!$A$2:$A$50000,$B$4,缺陷明细!$G$2:$G$50000,$C39,缺陷明细!$J$2:$J$50000,"验收测试",缺陷明细!$K$2:$K$50000,"严重",缺陷明细!$AB$2:$AB$50000,"&lt;&gt;丢弃",缺陷明细!$AB$2:$AB$50000,"&lt;&gt;设计如此",缺陷明细!$AB$2:$AB$50000,"&lt;&gt;重复Bug")</f>
        <v>0</v>
      </c>
      <c r="X39" s="76">
        <f>COUNTIFS(缺陷明细!$A$2:$A$50000,$B$4,缺陷明细!$G$2:$G$50000,$C39,缺陷明细!$Q$2:$Q$50000,"已关闭",缺陷明细!$J$2:$J$50000,"验收测试",缺陷明细!$K$2:$K$50000,"致命")+COUNTIFS(缺陷明细!$A$2:$A$50000,$B$4,缺陷明细!$G$2:$G$50000,$C39,缺陷明细!$Q$2:$Q$50000,"已关闭",缺陷明细!$J$2:$J$50000,"验收测试",缺陷明细!$K$2:$K$50000,"严重")</f>
        <v>0</v>
      </c>
      <c r="Y39" s="70">
        <f>COUNTIFS(缺陷明细!$A$2:$A$50000,$B$4,缺陷明细!$G$2:$G$50000,$C39,缺陷明细!$J$2:$J$50000,"运维测试",缺陷明细!$AB$2:$AB$50000,"&lt;&gt;丢弃",缺陷明细!$AB$2:$AB$50000,"&lt;&gt;设计如此",缺陷明细!$AB$2:$AB$50000,"&lt;&gt;重复Bug")</f>
        <v>0</v>
      </c>
      <c r="Z39" s="71">
        <f>COUNTIFS(缺陷明细!$A$2:$A$50000,$B$4,缺陷明细!$G$2:$G$50000,$C39,缺陷明细!$Q$2:$Q$50000,"已关闭",缺陷明细!$J$2:$J$50000,"运维测试")</f>
        <v>0</v>
      </c>
      <c r="AA39" s="72">
        <f>COUNTIFS(缺陷明细!$A$2:$A$50000,$B$4,缺陷明细!$G$2:$G$50000,$C39,缺陷明细!$J$2:$J$50000,"运维测试",缺陷明细!$K$2:$K$50000,"致命",缺陷明细!$AB$2:$AB$50000,"&lt;&gt;丢弃",缺陷明细!$AB$2:$AB$50000,"&lt;&gt;设计如此",缺陷明细!$AB$2:$AB$50000,"&lt;&gt;重复Bug")+COUNTIFS(缺陷明细!$A$2:$A$50000,$B$4,缺陷明细!$G$2:$G$50000,$C39,缺陷明细!$J$2:$J$50000,"运维测试",缺陷明细!$K$2:$K$50000,"严重",缺陷明细!$AB$2:$AB$50000,"&lt;&gt;丢弃",缺陷明细!$AB$2:$AB$50000,"&lt;&gt;设计如此",缺陷明细!$AB$2:$AB$50000,"&lt;&gt;重复Bug")</f>
        <v>0</v>
      </c>
      <c r="AB39" s="73">
        <f>COUNTIFS(缺陷明细!$A$2:$A$50000,$B$4,缺陷明细!$G$2:$G$50000,$C39,缺陷明细!$Q$2:$Q$50000,"已关闭",缺陷明细!$J$2:$J$50000,"运维测试",缺陷明细!$K$2:$K$50000,"致命")+COUNTIFS(缺陷明细!$A$2:$A$50000,$B$4,缺陷明细!$G$2:$G$50000,$C39,缺陷明细!$Q$2:$Q$50000,"已关闭",缺陷明细!$J$2:$J$50000,"运维测试",缺陷明细!$K$2:$K$50000,"严重")</f>
        <v>0</v>
      </c>
      <c r="AC39" s="68">
        <f t="shared" si="0"/>
        <v>0</v>
      </c>
      <c r="AD39" s="60">
        <f t="shared" si="0"/>
        <v>0</v>
      </c>
      <c r="AE39" s="60">
        <f t="shared" si="1"/>
        <v>0</v>
      </c>
      <c r="AF39" s="60">
        <f t="shared" si="1"/>
        <v>0</v>
      </c>
      <c r="AG39" s="60">
        <f t="shared" si="2"/>
        <v>0</v>
      </c>
      <c r="AH39" s="60">
        <f t="shared" si="2"/>
        <v>0</v>
      </c>
      <c r="AI39" s="60">
        <f t="shared" si="3"/>
        <v>0</v>
      </c>
      <c r="AJ39" s="61">
        <f t="shared" si="3"/>
        <v>0</v>
      </c>
      <c r="AK39" s="144"/>
    </row>
    <row r="40" spans="1:37">
      <c r="A40">
        <v>36</v>
      </c>
      <c r="B40" s="57"/>
      <c r="C40" s="58"/>
      <c r="D40" s="84"/>
      <c r="E40" s="82"/>
      <c r="F40" s="158"/>
      <c r="G40" s="159"/>
      <c r="H40" s="281">
        <f>COUNTIFS(缺陷明细!$A$2:$A$50000,$B$4,缺陷明细!$G$2:$G$50000,$C40,缺陷明细!$J$2:$J$50000,"评审",缺陷明细!$AB$2:$AB$50000,"&lt;&gt;丢弃",缺陷明细!$AB$2:$AB$50000,"&lt;&gt;设计如此",缺陷明细!$AB$2:$AB$50000,"&lt;&gt;重复Bug")</f>
        <v>0</v>
      </c>
      <c r="I40" s="154">
        <f>COUNTIFS(缺陷明细!$A$2:$A$50000,$B$4,缺陷明细!$G$2:$G$50000,$C40,缺陷明细!$Q$2:$Q$50000,"已关闭",缺陷明细!$J$2:$J$50000,"评审")</f>
        <v>0</v>
      </c>
      <c r="J40" s="154">
        <f>COUNTIFS(缺陷明细!$A$2:$A$50000,$B$4,缺陷明细!$G$2:$G$50000,$C40,缺陷明细!$J$2:$J$50000,"单元测试",缺陷明细!$AB$2:$AB$50000,"&lt;&gt;丢弃",缺陷明细!$AB$2:$AB$50000,"&lt;&gt;设计如此",缺陷明细!$AB$2:$AB$50000,"&lt;&gt;重复Bug")</f>
        <v>0</v>
      </c>
      <c r="K40" s="155">
        <f>COUNTIFS(缺陷明细!$A$2:$A$50000,$B$4,缺陷明细!$G$2:$G$50000,$C40,缺陷明细!$Q$2:$Q$50000,"已关闭",缺陷明细!$J$2:$J$50000,"单元测试")</f>
        <v>0</v>
      </c>
      <c r="L40" s="156"/>
      <c r="M40" s="157"/>
      <c r="N40" s="72">
        <f>COUNTIFS(缺陷明细!$A$2:$A$50000,$B$4,缺陷明细!$G$2:$G$50000,$C40,缺陷明细!$J$2:$J$50000,"系统测试案例评审",缺陷明细!$AB$2:$AB$50000,"&lt;&gt;丢弃",缺陷明细!$AB$2:$AB$50000,"&lt;&gt;设计如此",缺陷明细!$AB$2:$AB$50000,"&lt;&gt;重复Bug")</f>
        <v>0</v>
      </c>
      <c r="O40" s="72">
        <f>COUNTIFS(缺陷明细!$A$2:$A$50000,$B$4,缺陷明细!$G$2:$G$50000,$C40,缺陷明细!$Q$2:$Q$50000,"已关闭",缺陷明细!$J$2:$J$50000,"系统测试案例评审")</f>
        <v>0</v>
      </c>
      <c r="P40" s="72">
        <f>COUNTIFS(缺陷明细!$A$2:$A$50000,$B$4,缺陷明细!$G$2:$G$50000,$C40,缺陷明细!$J$2:$J$50000,"系统测试",缺陷明细!$AB$2:$AB$50000,"&lt;&gt;丢弃",缺陷明细!$AB$2:$AB$50000,"&lt;&gt;设计如此",缺陷明细!$AB$2:$AB$50000,"&lt;&gt;重复Bug")</f>
        <v>0</v>
      </c>
      <c r="Q40" s="72">
        <f>COUNTIFS(缺陷明细!$A$2:$A$50000,$B$4,缺陷明细!$G$2:$G$50000,$C40,缺陷明细!$Q$2:$Q$50000,"已关闭",缺陷明细!$J$2:$J$50000,"系统测试")</f>
        <v>0</v>
      </c>
      <c r="R40" s="296">
        <f>COUNTIFS(缺陷明细!$A$2:$A$50000,$B$4,缺陷明细!$G$2:$G$50000,$C40,缺陷明细!$AB$2:$AB$50000,"丢弃",缺陷明细!$J$2:$J$50000,"系统测试")+COUNTIFS(缺陷明细!$A$2:$A$50000,$B$4,缺陷明细!$G$2:$G$50000,$C40,缺陷明细!$AB$2:$AB$50000,"设计如此",缺陷明细!$J$2:$J$50000,"系统测试")+COUNTIFS(缺陷明细!$A$2:$A$50000,$B$4,缺陷明细!$G$2:$G$50000,$C40,缺陷明细!$AB$2:$AB$50000,"重复Bug",缺陷明细!$J$2:$J$50000,"系统测试")</f>
        <v>0</v>
      </c>
      <c r="S40" s="72">
        <f>COUNTIFS(缺陷明细!$A$2:$A$50000,$B$4,缺陷明细!$G$2:$G$50000,$C40,缺陷明细!$J$2:$J$50000,"系统测试",缺陷明细!$K$2:$K$50000,"致命",缺陷明细!$AB$2:$AB$50000,"&lt;&gt;丢弃",缺陷明细!$AB$2:$AB$50000,"&lt;&gt;设计如此",缺陷明细!$AB$2:$AB$50000,"&lt;&gt;重复Bug")+COUNTIFS(缺陷明细!$A$2:$A$50000,$B$4,缺陷明细!$G$2:$G$50000,$C40,缺陷明细!$J$2:$J$50000,"系统测试",缺陷明细!$K$2:$K$50000,"严重",缺陷明细!$AB$2:$AB$50000,"&lt;&gt;丢弃",缺陷明细!$AB$2:$AB$50000,"&lt;&gt;设计如此",缺陷明细!$AB$2:$AB$50000,"&lt;&gt;重复Bug")</f>
        <v>0</v>
      </c>
      <c r="T40" s="73">
        <f>COUNTIFS(缺陷明细!$A$2:$A$50000,$B$4,缺陷明细!$G$2:$G$50000,$C40,缺陷明细!$Q$2:$Q$50000,"已关闭",缺陷明细!$J$2:$J$50000,"系统测试",缺陷明细!$K$2:$K$50000,"致命")+COUNTIFS(缺陷明细!$A$2:$A$50000,$B$4,缺陷明细!$G$2:$G$50000,$C40,缺陷明细!$Q$2:$Q$50000,"已关闭",缺陷明细!$J$2:$J$50000,"系统测试",缺陷明细!$K$2:$K$50000,"严重")</f>
        <v>0</v>
      </c>
      <c r="U40" s="74">
        <f>COUNTIFS(缺陷明细!$A$2:$A$50000,$B$4,缺陷明细!$G$2:$G$50000,$C40,缺陷明细!$J$2:$J$50000,"验收测试",缺陷明细!$AB$2:$AB$50000,"&lt;&gt;丢弃",缺陷明细!$AB$2:$AB$50000,"&lt;&gt;设计如此",缺陷明细!$AB$2:$AB$50000,"&lt;&gt;重复Bug")</f>
        <v>0</v>
      </c>
      <c r="V40" s="75">
        <f>COUNTIFS(缺陷明细!$A$2:$A$50000,$B$4,缺陷明细!$G$2:$G$50000,$C40,缺陷明细!$Q$2:$Q$50000,"已关闭",缺陷明细!$J$2:$J$50000,"验收测试")</f>
        <v>0</v>
      </c>
      <c r="W40" s="75">
        <f>COUNTIFS(缺陷明细!$A$2:$A$50000,$B$4,缺陷明细!$G$2:$G$50000,$C40,缺陷明细!$J$2:$J$50000,"验收测试",缺陷明细!$K$2:$K$50000,"致命",缺陷明细!$AB$2:$AB$50000,"&lt;&gt;丢弃",缺陷明细!$AB$2:$AB$50000,"&lt;&gt;设计如此",缺陷明细!$AB$2:$AB$50000,"&lt;&gt;重复Bug")+COUNTIFS(缺陷明细!$A$2:$A$50000,$B$4,缺陷明细!$G$2:$G$50000,$C40,缺陷明细!$J$2:$J$50000,"验收测试",缺陷明细!$K$2:$K$50000,"严重",缺陷明细!$AB$2:$AB$50000,"&lt;&gt;丢弃",缺陷明细!$AB$2:$AB$50000,"&lt;&gt;设计如此",缺陷明细!$AB$2:$AB$50000,"&lt;&gt;重复Bug")</f>
        <v>0</v>
      </c>
      <c r="X40" s="76">
        <f>COUNTIFS(缺陷明细!$A$2:$A$50000,$B$4,缺陷明细!$G$2:$G$50000,$C40,缺陷明细!$Q$2:$Q$50000,"已关闭",缺陷明细!$J$2:$J$50000,"验收测试",缺陷明细!$K$2:$K$50000,"致命")+COUNTIFS(缺陷明细!$A$2:$A$50000,$B$4,缺陷明细!$G$2:$G$50000,$C40,缺陷明细!$Q$2:$Q$50000,"已关闭",缺陷明细!$J$2:$J$50000,"验收测试",缺陷明细!$K$2:$K$50000,"严重")</f>
        <v>0</v>
      </c>
      <c r="Y40" s="70">
        <f>COUNTIFS(缺陷明细!$A$2:$A$50000,$B$4,缺陷明细!$G$2:$G$50000,$C40,缺陷明细!$J$2:$J$50000,"运维测试",缺陷明细!$AB$2:$AB$50000,"&lt;&gt;丢弃",缺陷明细!$AB$2:$AB$50000,"&lt;&gt;设计如此",缺陷明细!$AB$2:$AB$50000,"&lt;&gt;重复Bug")</f>
        <v>0</v>
      </c>
      <c r="Z40" s="71">
        <f>COUNTIFS(缺陷明细!$A$2:$A$50000,$B$4,缺陷明细!$G$2:$G$50000,$C40,缺陷明细!$Q$2:$Q$50000,"已关闭",缺陷明细!$J$2:$J$50000,"运维测试")</f>
        <v>0</v>
      </c>
      <c r="AA40" s="72">
        <f>COUNTIFS(缺陷明细!$A$2:$A$50000,$B$4,缺陷明细!$G$2:$G$50000,$C40,缺陷明细!$J$2:$J$50000,"运维测试",缺陷明细!$K$2:$K$50000,"致命",缺陷明细!$AB$2:$AB$50000,"&lt;&gt;丢弃",缺陷明细!$AB$2:$AB$50000,"&lt;&gt;设计如此",缺陷明细!$AB$2:$AB$50000,"&lt;&gt;重复Bug")+COUNTIFS(缺陷明细!$A$2:$A$50000,$B$4,缺陷明细!$G$2:$G$50000,$C40,缺陷明细!$J$2:$J$50000,"运维测试",缺陷明细!$K$2:$K$50000,"严重",缺陷明细!$AB$2:$AB$50000,"&lt;&gt;丢弃",缺陷明细!$AB$2:$AB$50000,"&lt;&gt;设计如此",缺陷明细!$AB$2:$AB$50000,"&lt;&gt;重复Bug")</f>
        <v>0</v>
      </c>
      <c r="AB40" s="73">
        <f>COUNTIFS(缺陷明细!$A$2:$A$50000,$B$4,缺陷明细!$G$2:$G$50000,$C40,缺陷明细!$Q$2:$Q$50000,"已关闭",缺陷明细!$J$2:$J$50000,"运维测试",缺陷明细!$K$2:$K$50000,"致命")+COUNTIFS(缺陷明细!$A$2:$A$50000,$B$4,缺陷明细!$G$2:$G$50000,$C40,缺陷明细!$Q$2:$Q$50000,"已关闭",缺陷明细!$J$2:$J$50000,"运维测试",缺陷明细!$K$2:$K$50000,"严重")</f>
        <v>0</v>
      </c>
      <c r="AC40" s="68">
        <f t="shared" si="0"/>
        <v>0</v>
      </c>
      <c r="AD40" s="60">
        <f t="shared" si="0"/>
        <v>0</v>
      </c>
      <c r="AE40" s="60">
        <f t="shared" si="1"/>
        <v>0</v>
      </c>
      <c r="AF40" s="60">
        <f t="shared" si="1"/>
        <v>0</v>
      </c>
      <c r="AG40" s="60">
        <f t="shared" si="2"/>
        <v>0</v>
      </c>
      <c r="AH40" s="60">
        <f t="shared" si="2"/>
        <v>0</v>
      </c>
      <c r="AI40" s="60">
        <f t="shared" si="3"/>
        <v>0</v>
      </c>
      <c r="AJ40" s="61">
        <f t="shared" si="3"/>
        <v>0</v>
      </c>
      <c r="AK40" s="144"/>
    </row>
    <row r="41" spans="1:37">
      <c r="A41">
        <v>37</v>
      </c>
      <c r="B41" s="57"/>
      <c r="C41" s="58"/>
      <c r="D41" s="84"/>
      <c r="E41" s="82"/>
      <c r="F41" s="158"/>
      <c r="G41" s="159"/>
      <c r="H41" s="281">
        <f>COUNTIFS(缺陷明细!$A$2:$A$50000,$B$4,缺陷明细!$G$2:$G$50000,$C41,缺陷明细!$J$2:$J$50000,"评审",缺陷明细!$AB$2:$AB$50000,"&lt;&gt;丢弃",缺陷明细!$AB$2:$AB$50000,"&lt;&gt;设计如此",缺陷明细!$AB$2:$AB$50000,"&lt;&gt;重复Bug")</f>
        <v>0</v>
      </c>
      <c r="I41" s="154">
        <f>COUNTIFS(缺陷明细!$A$2:$A$50000,$B$4,缺陷明细!$G$2:$G$50000,$C41,缺陷明细!$Q$2:$Q$50000,"已关闭",缺陷明细!$J$2:$J$50000,"评审")</f>
        <v>0</v>
      </c>
      <c r="J41" s="154">
        <f>COUNTIFS(缺陷明细!$A$2:$A$50000,$B$4,缺陷明细!$G$2:$G$50000,$C41,缺陷明细!$J$2:$J$50000,"单元测试",缺陷明细!$AB$2:$AB$50000,"&lt;&gt;丢弃",缺陷明细!$AB$2:$AB$50000,"&lt;&gt;设计如此",缺陷明细!$AB$2:$AB$50000,"&lt;&gt;重复Bug")</f>
        <v>0</v>
      </c>
      <c r="K41" s="155">
        <f>COUNTIFS(缺陷明细!$A$2:$A$50000,$B$4,缺陷明细!$G$2:$G$50000,$C41,缺陷明细!$Q$2:$Q$50000,"已关闭",缺陷明细!$J$2:$J$50000,"单元测试")</f>
        <v>0</v>
      </c>
      <c r="L41" s="156"/>
      <c r="M41" s="157"/>
      <c r="N41" s="72">
        <f>COUNTIFS(缺陷明细!$A$2:$A$50000,$B$4,缺陷明细!$G$2:$G$50000,$C41,缺陷明细!$J$2:$J$50000,"系统测试案例评审",缺陷明细!$AB$2:$AB$50000,"&lt;&gt;丢弃",缺陷明细!$AB$2:$AB$50000,"&lt;&gt;设计如此",缺陷明细!$AB$2:$AB$50000,"&lt;&gt;重复Bug")</f>
        <v>0</v>
      </c>
      <c r="O41" s="72">
        <f>COUNTIFS(缺陷明细!$A$2:$A$50000,$B$4,缺陷明细!$G$2:$G$50000,$C41,缺陷明细!$Q$2:$Q$50000,"已关闭",缺陷明细!$J$2:$J$50000,"系统测试案例评审")</f>
        <v>0</v>
      </c>
      <c r="P41" s="72">
        <f>COUNTIFS(缺陷明细!$A$2:$A$50000,$B$4,缺陷明细!$G$2:$G$50000,$C41,缺陷明细!$J$2:$J$50000,"系统测试",缺陷明细!$AB$2:$AB$50000,"&lt;&gt;丢弃",缺陷明细!$AB$2:$AB$50000,"&lt;&gt;设计如此",缺陷明细!$AB$2:$AB$50000,"&lt;&gt;重复Bug")</f>
        <v>0</v>
      </c>
      <c r="Q41" s="72">
        <f>COUNTIFS(缺陷明细!$A$2:$A$50000,$B$4,缺陷明细!$G$2:$G$50000,$C41,缺陷明细!$Q$2:$Q$50000,"已关闭",缺陷明细!$J$2:$J$50000,"系统测试")</f>
        <v>0</v>
      </c>
      <c r="R41" s="296">
        <f>COUNTIFS(缺陷明细!$A$2:$A$50000,$B$4,缺陷明细!$G$2:$G$50000,$C41,缺陷明细!$AB$2:$AB$50000,"丢弃",缺陷明细!$J$2:$J$50000,"系统测试")+COUNTIFS(缺陷明细!$A$2:$A$50000,$B$4,缺陷明细!$G$2:$G$50000,$C41,缺陷明细!$AB$2:$AB$50000,"设计如此",缺陷明细!$J$2:$J$50000,"系统测试")+COUNTIFS(缺陷明细!$A$2:$A$50000,$B$4,缺陷明细!$G$2:$G$50000,$C41,缺陷明细!$AB$2:$AB$50000,"重复Bug",缺陷明细!$J$2:$J$50000,"系统测试")</f>
        <v>0</v>
      </c>
      <c r="S41" s="72">
        <f>COUNTIFS(缺陷明细!$A$2:$A$50000,$B$4,缺陷明细!$G$2:$G$50000,$C41,缺陷明细!$J$2:$J$50000,"系统测试",缺陷明细!$K$2:$K$50000,"致命",缺陷明细!$AB$2:$AB$50000,"&lt;&gt;丢弃",缺陷明细!$AB$2:$AB$50000,"&lt;&gt;设计如此",缺陷明细!$AB$2:$AB$50000,"&lt;&gt;重复Bug")+COUNTIFS(缺陷明细!$A$2:$A$50000,$B$4,缺陷明细!$G$2:$G$50000,$C41,缺陷明细!$J$2:$J$50000,"系统测试",缺陷明细!$K$2:$K$50000,"严重",缺陷明细!$AB$2:$AB$50000,"&lt;&gt;丢弃",缺陷明细!$AB$2:$AB$50000,"&lt;&gt;设计如此",缺陷明细!$AB$2:$AB$50000,"&lt;&gt;重复Bug")</f>
        <v>0</v>
      </c>
      <c r="T41" s="73">
        <f>COUNTIFS(缺陷明细!$A$2:$A$50000,$B$4,缺陷明细!$G$2:$G$50000,$C41,缺陷明细!$Q$2:$Q$50000,"已关闭",缺陷明细!$J$2:$J$50000,"系统测试",缺陷明细!$K$2:$K$50000,"致命")+COUNTIFS(缺陷明细!$A$2:$A$50000,$B$4,缺陷明细!$G$2:$G$50000,$C41,缺陷明细!$Q$2:$Q$50000,"已关闭",缺陷明细!$J$2:$J$50000,"系统测试",缺陷明细!$K$2:$K$50000,"严重")</f>
        <v>0</v>
      </c>
      <c r="U41" s="74">
        <f>COUNTIFS(缺陷明细!$A$2:$A$50000,$B$4,缺陷明细!$G$2:$G$50000,$C41,缺陷明细!$J$2:$J$50000,"验收测试",缺陷明细!$AB$2:$AB$50000,"&lt;&gt;丢弃",缺陷明细!$AB$2:$AB$50000,"&lt;&gt;设计如此",缺陷明细!$AB$2:$AB$50000,"&lt;&gt;重复Bug")</f>
        <v>0</v>
      </c>
      <c r="V41" s="75">
        <f>COUNTIFS(缺陷明细!$A$2:$A$50000,$B$4,缺陷明细!$G$2:$G$50000,$C41,缺陷明细!$Q$2:$Q$50000,"已关闭",缺陷明细!$J$2:$J$50000,"验收测试")</f>
        <v>0</v>
      </c>
      <c r="W41" s="75">
        <f>COUNTIFS(缺陷明细!$A$2:$A$50000,$B$4,缺陷明细!$G$2:$G$50000,$C41,缺陷明细!$J$2:$J$50000,"验收测试",缺陷明细!$K$2:$K$50000,"致命",缺陷明细!$AB$2:$AB$50000,"&lt;&gt;丢弃",缺陷明细!$AB$2:$AB$50000,"&lt;&gt;设计如此",缺陷明细!$AB$2:$AB$50000,"&lt;&gt;重复Bug")+COUNTIFS(缺陷明细!$A$2:$A$50000,$B$4,缺陷明细!$G$2:$G$50000,$C41,缺陷明细!$J$2:$J$50000,"验收测试",缺陷明细!$K$2:$K$50000,"严重",缺陷明细!$AB$2:$AB$50000,"&lt;&gt;丢弃",缺陷明细!$AB$2:$AB$50000,"&lt;&gt;设计如此",缺陷明细!$AB$2:$AB$50000,"&lt;&gt;重复Bug")</f>
        <v>0</v>
      </c>
      <c r="X41" s="76">
        <f>COUNTIFS(缺陷明细!$A$2:$A$50000,$B$4,缺陷明细!$G$2:$G$50000,$C41,缺陷明细!$Q$2:$Q$50000,"已关闭",缺陷明细!$J$2:$J$50000,"验收测试",缺陷明细!$K$2:$K$50000,"致命")+COUNTIFS(缺陷明细!$A$2:$A$50000,$B$4,缺陷明细!$G$2:$G$50000,$C41,缺陷明细!$Q$2:$Q$50000,"已关闭",缺陷明细!$J$2:$J$50000,"验收测试",缺陷明细!$K$2:$K$50000,"严重")</f>
        <v>0</v>
      </c>
      <c r="Y41" s="70">
        <f>COUNTIFS(缺陷明细!$A$2:$A$50000,$B$4,缺陷明细!$G$2:$G$50000,$C41,缺陷明细!$J$2:$J$50000,"运维测试",缺陷明细!$AB$2:$AB$50000,"&lt;&gt;丢弃",缺陷明细!$AB$2:$AB$50000,"&lt;&gt;设计如此",缺陷明细!$AB$2:$AB$50000,"&lt;&gt;重复Bug")</f>
        <v>0</v>
      </c>
      <c r="Z41" s="71">
        <f>COUNTIFS(缺陷明细!$A$2:$A$50000,$B$4,缺陷明细!$G$2:$G$50000,$C41,缺陷明细!$Q$2:$Q$50000,"已关闭",缺陷明细!$J$2:$J$50000,"运维测试")</f>
        <v>0</v>
      </c>
      <c r="AA41" s="72">
        <f>COUNTIFS(缺陷明细!$A$2:$A$50000,$B$4,缺陷明细!$G$2:$G$50000,$C41,缺陷明细!$J$2:$J$50000,"运维测试",缺陷明细!$K$2:$K$50000,"致命",缺陷明细!$AB$2:$AB$50000,"&lt;&gt;丢弃",缺陷明细!$AB$2:$AB$50000,"&lt;&gt;设计如此",缺陷明细!$AB$2:$AB$50000,"&lt;&gt;重复Bug")+COUNTIFS(缺陷明细!$A$2:$A$50000,$B$4,缺陷明细!$G$2:$G$50000,$C41,缺陷明细!$J$2:$J$50000,"运维测试",缺陷明细!$K$2:$K$50000,"严重",缺陷明细!$AB$2:$AB$50000,"&lt;&gt;丢弃",缺陷明细!$AB$2:$AB$50000,"&lt;&gt;设计如此",缺陷明细!$AB$2:$AB$50000,"&lt;&gt;重复Bug")</f>
        <v>0</v>
      </c>
      <c r="AB41" s="73">
        <f>COUNTIFS(缺陷明细!$A$2:$A$50000,$B$4,缺陷明细!$G$2:$G$50000,$C41,缺陷明细!$Q$2:$Q$50000,"已关闭",缺陷明细!$J$2:$J$50000,"运维测试",缺陷明细!$K$2:$K$50000,"致命")+COUNTIFS(缺陷明细!$A$2:$A$50000,$B$4,缺陷明细!$G$2:$G$50000,$C41,缺陷明细!$Q$2:$Q$50000,"已关闭",缺陷明细!$J$2:$J$50000,"运维测试",缺陷明细!$K$2:$K$50000,"严重")</f>
        <v>0</v>
      </c>
      <c r="AC41" s="68">
        <f t="shared" si="0"/>
        <v>0</v>
      </c>
      <c r="AD41" s="60">
        <f t="shared" si="0"/>
        <v>0</v>
      </c>
      <c r="AE41" s="60">
        <f t="shared" si="1"/>
        <v>0</v>
      </c>
      <c r="AF41" s="60">
        <f t="shared" si="1"/>
        <v>0</v>
      </c>
      <c r="AG41" s="60">
        <f t="shared" si="2"/>
        <v>0</v>
      </c>
      <c r="AH41" s="60">
        <f t="shared" si="2"/>
        <v>0</v>
      </c>
      <c r="AI41" s="60">
        <f t="shared" si="3"/>
        <v>0</v>
      </c>
      <c r="AJ41" s="61">
        <f t="shared" si="3"/>
        <v>0</v>
      </c>
      <c r="AK41" s="144"/>
    </row>
    <row r="42" spans="1:37">
      <c r="A42">
        <v>38</v>
      </c>
      <c r="B42" s="57"/>
      <c r="C42" s="58"/>
      <c r="D42" s="84"/>
      <c r="E42" s="82"/>
      <c r="F42" s="158"/>
      <c r="G42" s="159"/>
      <c r="H42" s="281">
        <f>COUNTIFS(缺陷明细!$A$2:$A$50000,$B$4,缺陷明细!$G$2:$G$50000,$C42,缺陷明细!$J$2:$J$50000,"评审",缺陷明细!$AB$2:$AB$50000,"&lt;&gt;丢弃",缺陷明细!$AB$2:$AB$50000,"&lt;&gt;设计如此",缺陷明细!$AB$2:$AB$50000,"&lt;&gt;重复Bug")</f>
        <v>0</v>
      </c>
      <c r="I42" s="154">
        <f>COUNTIFS(缺陷明细!$A$2:$A$50000,$B$4,缺陷明细!$G$2:$G$50000,$C42,缺陷明细!$Q$2:$Q$50000,"已关闭",缺陷明细!$J$2:$J$50000,"评审")</f>
        <v>0</v>
      </c>
      <c r="J42" s="154">
        <f>COUNTIFS(缺陷明细!$A$2:$A$50000,$B$4,缺陷明细!$G$2:$G$50000,$C42,缺陷明细!$J$2:$J$50000,"单元测试",缺陷明细!$AB$2:$AB$50000,"&lt;&gt;丢弃",缺陷明细!$AB$2:$AB$50000,"&lt;&gt;设计如此",缺陷明细!$AB$2:$AB$50000,"&lt;&gt;重复Bug")</f>
        <v>0</v>
      </c>
      <c r="K42" s="155">
        <f>COUNTIFS(缺陷明细!$A$2:$A$50000,$B$4,缺陷明细!$G$2:$G$50000,$C42,缺陷明细!$Q$2:$Q$50000,"已关闭",缺陷明细!$J$2:$J$50000,"单元测试")</f>
        <v>0</v>
      </c>
      <c r="L42" s="156"/>
      <c r="M42" s="157"/>
      <c r="N42" s="72">
        <f>COUNTIFS(缺陷明细!$A$2:$A$50000,$B$4,缺陷明细!$G$2:$G$50000,$C42,缺陷明细!$J$2:$J$50000,"系统测试案例评审",缺陷明细!$AB$2:$AB$50000,"&lt;&gt;丢弃",缺陷明细!$AB$2:$AB$50000,"&lt;&gt;设计如此",缺陷明细!$AB$2:$AB$50000,"&lt;&gt;重复Bug")</f>
        <v>0</v>
      </c>
      <c r="O42" s="72">
        <f>COUNTIFS(缺陷明细!$A$2:$A$50000,$B$4,缺陷明细!$G$2:$G$50000,$C42,缺陷明细!$Q$2:$Q$50000,"已关闭",缺陷明细!$J$2:$J$50000,"系统测试案例评审")</f>
        <v>0</v>
      </c>
      <c r="P42" s="72">
        <f>COUNTIFS(缺陷明细!$A$2:$A$50000,$B$4,缺陷明细!$G$2:$G$50000,$C42,缺陷明细!$J$2:$J$50000,"系统测试",缺陷明细!$AB$2:$AB$50000,"&lt;&gt;丢弃",缺陷明细!$AB$2:$AB$50000,"&lt;&gt;设计如此",缺陷明细!$AB$2:$AB$50000,"&lt;&gt;重复Bug")</f>
        <v>0</v>
      </c>
      <c r="Q42" s="72">
        <f>COUNTIFS(缺陷明细!$A$2:$A$50000,$B$4,缺陷明细!$G$2:$G$50000,$C42,缺陷明细!$Q$2:$Q$50000,"已关闭",缺陷明细!$J$2:$J$50000,"系统测试")</f>
        <v>0</v>
      </c>
      <c r="R42" s="296">
        <f>COUNTIFS(缺陷明细!$A$2:$A$50000,$B$4,缺陷明细!$G$2:$G$50000,$C42,缺陷明细!$AB$2:$AB$50000,"丢弃",缺陷明细!$J$2:$J$50000,"系统测试")+COUNTIFS(缺陷明细!$A$2:$A$50000,$B$4,缺陷明细!$G$2:$G$50000,$C42,缺陷明细!$AB$2:$AB$50000,"设计如此",缺陷明细!$J$2:$J$50000,"系统测试")+COUNTIFS(缺陷明细!$A$2:$A$50000,$B$4,缺陷明细!$G$2:$G$50000,$C42,缺陷明细!$AB$2:$AB$50000,"重复Bug",缺陷明细!$J$2:$J$50000,"系统测试")</f>
        <v>0</v>
      </c>
      <c r="S42" s="72">
        <f>COUNTIFS(缺陷明细!$A$2:$A$50000,$B$4,缺陷明细!$G$2:$G$50000,$C42,缺陷明细!$J$2:$J$50000,"系统测试",缺陷明细!$K$2:$K$50000,"致命",缺陷明细!$AB$2:$AB$50000,"&lt;&gt;丢弃",缺陷明细!$AB$2:$AB$50000,"&lt;&gt;设计如此",缺陷明细!$AB$2:$AB$50000,"&lt;&gt;重复Bug")+COUNTIFS(缺陷明细!$A$2:$A$50000,$B$4,缺陷明细!$G$2:$G$50000,$C42,缺陷明细!$J$2:$J$50000,"系统测试",缺陷明细!$K$2:$K$50000,"严重",缺陷明细!$AB$2:$AB$50000,"&lt;&gt;丢弃",缺陷明细!$AB$2:$AB$50000,"&lt;&gt;设计如此",缺陷明细!$AB$2:$AB$50000,"&lt;&gt;重复Bug")</f>
        <v>0</v>
      </c>
      <c r="T42" s="73">
        <f>COUNTIFS(缺陷明细!$A$2:$A$50000,$B$4,缺陷明细!$G$2:$G$50000,$C42,缺陷明细!$Q$2:$Q$50000,"已关闭",缺陷明细!$J$2:$J$50000,"系统测试",缺陷明细!$K$2:$K$50000,"致命")+COUNTIFS(缺陷明细!$A$2:$A$50000,$B$4,缺陷明细!$G$2:$G$50000,$C42,缺陷明细!$Q$2:$Q$50000,"已关闭",缺陷明细!$J$2:$J$50000,"系统测试",缺陷明细!$K$2:$K$50000,"严重")</f>
        <v>0</v>
      </c>
      <c r="U42" s="74">
        <f>COUNTIFS(缺陷明细!$A$2:$A$50000,$B$4,缺陷明细!$G$2:$G$50000,$C42,缺陷明细!$J$2:$J$50000,"验收测试",缺陷明细!$AB$2:$AB$50000,"&lt;&gt;丢弃",缺陷明细!$AB$2:$AB$50000,"&lt;&gt;设计如此",缺陷明细!$AB$2:$AB$50000,"&lt;&gt;重复Bug")</f>
        <v>0</v>
      </c>
      <c r="V42" s="75">
        <f>COUNTIFS(缺陷明细!$A$2:$A$50000,$B$4,缺陷明细!$G$2:$G$50000,$C42,缺陷明细!$Q$2:$Q$50000,"已关闭",缺陷明细!$J$2:$J$50000,"验收测试")</f>
        <v>0</v>
      </c>
      <c r="W42" s="75">
        <f>COUNTIFS(缺陷明细!$A$2:$A$50000,$B$4,缺陷明细!$G$2:$G$50000,$C42,缺陷明细!$J$2:$J$50000,"验收测试",缺陷明细!$K$2:$K$50000,"致命",缺陷明细!$AB$2:$AB$50000,"&lt;&gt;丢弃",缺陷明细!$AB$2:$AB$50000,"&lt;&gt;设计如此",缺陷明细!$AB$2:$AB$50000,"&lt;&gt;重复Bug")+COUNTIFS(缺陷明细!$A$2:$A$50000,$B$4,缺陷明细!$G$2:$G$50000,$C42,缺陷明细!$J$2:$J$50000,"验收测试",缺陷明细!$K$2:$K$50000,"严重",缺陷明细!$AB$2:$AB$50000,"&lt;&gt;丢弃",缺陷明细!$AB$2:$AB$50000,"&lt;&gt;设计如此",缺陷明细!$AB$2:$AB$50000,"&lt;&gt;重复Bug")</f>
        <v>0</v>
      </c>
      <c r="X42" s="76">
        <f>COUNTIFS(缺陷明细!$A$2:$A$50000,$B$4,缺陷明细!$G$2:$G$50000,$C42,缺陷明细!$Q$2:$Q$50000,"已关闭",缺陷明细!$J$2:$J$50000,"验收测试",缺陷明细!$K$2:$K$50000,"致命")+COUNTIFS(缺陷明细!$A$2:$A$50000,$B$4,缺陷明细!$G$2:$G$50000,$C42,缺陷明细!$Q$2:$Q$50000,"已关闭",缺陷明细!$J$2:$J$50000,"验收测试",缺陷明细!$K$2:$K$50000,"严重")</f>
        <v>0</v>
      </c>
      <c r="Y42" s="70">
        <f>COUNTIFS(缺陷明细!$A$2:$A$50000,$B$4,缺陷明细!$G$2:$G$50000,$C42,缺陷明细!$J$2:$J$50000,"运维测试",缺陷明细!$AB$2:$AB$50000,"&lt;&gt;丢弃",缺陷明细!$AB$2:$AB$50000,"&lt;&gt;设计如此",缺陷明细!$AB$2:$AB$50000,"&lt;&gt;重复Bug")</f>
        <v>0</v>
      </c>
      <c r="Z42" s="71">
        <f>COUNTIFS(缺陷明细!$A$2:$A$50000,$B$4,缺陷明细!$G$2:$G$50000,$C42,缺陷明细!$Q$2:$Q$50000,"已关闭",缺陷明细!$J$2:$J$50000,"运维测试")</f>
        <v>0</v>
      </c>
      <c r="AA42" s="72">
        <f>COUNTIFS(缺陷明细!$A$2:$A$50000,$B$4,缺陷明细!$G$2:$G$50000,$C42,缺陷明细!$J$2:$J$50000,"运维测试",缺陷明细!$K$2:$K$50000,"致命",缺陷明细!$AB$2:$AB$50000,"&lt;&gt;丢弃",缺陷明细!$AB$2:$AB$50000,"&lt;&gt;设计如此",缺陷明细!$AB$2:$AB$50000,"&lt;&gt;重复Bug")+COUNTIFS(缺陷明细!$A$2:$A$50000,$B$4,缺陷明细!$G$2:$G$50000,$C42,缺陷明细!$J$2:$J$50000,"运维测试",缺陷明细!$K$2:$K$50000,"严重",缺陷明细!$AB$2:$AB$50000,"&lt;&gt;丢弃",缺陷明细!$AB$2:$AB$50000,"&lt;&gt;设计如此",缺陷明细!$AB$2:$AB$50000,"&lt;&gt;重复Bug")</f>
        <v>0</v>
      </c>
      <c r="AB42" s="73">
        <f>COUNTIFS(缺陷明细!$A$2:$A$50000,$B$4,缺陷明细!$G$2:$G$50000,$C42,缺陷明细!$Q$2:$Q$50000,"已关闭",缺陷明细!$J$2:$J$50000,"运维测试",缺陷明细!$K$2:$K$50000,"致命")+COUNTIFS(缺陷明细!$A$2:$A$50000,$B$4,缺陷明细!$G$2:$G$50000,$C42,缺陷明细!$Q$2:$Q$50000,"已关闭",缺陷明细!$J$2:$J$50000,"运维测试",缺陷明细!$K$2:$K$50000,"严重")</f>
        <v>0</v>
      </c>
      <c r="AC42" s="68">
        <f t="shared" si="0"/>
        <v>0</v>
      </c>
      <c r="AD42" s="60">
        <f t="shared" si="0"/>
        <v>0</v>
      </c>
      <c r="AE42" s="60">
        <f t="shared" si="1"/>
        <v>0</v>
      </c>
      <c r="AF42" s="60">
        <f t="shared" si="1"/>
        <v>0</v>
      </c>
      <c r="AG42" s="60">
        <f t="shared" si="2"/>
        <v>0</v>
      </c>
      <c r="AH42" s="60">
        <f t="shared" si="2"/>
        <v>0</v>
      </c>
      <c r="AI42" s="60">
        <f t="shared" si="3"/>
        <v>0</v>
      </c>
      <c r="AJ42" s="61">
        <f t="shared" si="3"/>
        <v>0</v>
      </c>
      <c r="AK42" s="144"/>
    </row>
    <row r="43" spans="1:37">
      <c r="A43">
        <v>39</v>
      </c>
      <c r="B43" s="57"/>
      <c r="C43" s="58"/>
      <c r="D43" s="84"/>
      <c r="E43" s="82"/>
      <c r="F43" s="158"/>
      <c r="G43" s="159"/>
      <c r="H43" s="281">
        <f>COUNTIFS(缺陷明细!$A$2:$A$50000,$B$4,缺陷明细!$G$2:$G$50000,$C43,缺陷明细!$J$2:$J$50000,"评审",缺陷明细!$AB$2:$AB$50000,"&lt;&gt;丢弃",缺陷明细!$AB$2:$AB$50000,"&lt;&gt;设计如此",缺陷明细!$AB$2:$AB$50000,"&lt;&gt;重复Bug")</f>
        <v>0</v>
      </c>
      <c r="I43" s="154">
        <f>COUNTIFS(缺陷明细!$A$2:$A$50000,$B$4,缺陷明细!$G$2:$G$50000,$C43,缺陷明细!$Q$2:$Q$50000,"已关闭",缺陷明细!$J$2:$J$50000,"评审")</f>
        <v>0</v>
      </c>
      <c r="J43" s="154">
        <f>COUNTIFS(缺陷明细!$A$2:$A$50000,$B$4,缺陷明细!$G$2:$G$50000,$C43,缺陷明细!$J$2:$J$50000,"单元测试",缺陷明细!$AB$2:$AB$50000,"&lt;&gt;丢弃",缺陷明细!$AB$2:$AB$50000,"&lt;&gt;设计如此",缺陷明细!$AB$2:$AB$50000,"&lt;&gt;重复Bug")</f>
        <v>0</v>
      </c>
      <c r="K43" s="155">
        <f>COUNTIFS(缺陷明细!$A$2:$A$50000,$B$4,缺陷明细!$G$2:$G$50000,$C43,缺陷明细!$Q$2:$Q$50000,"已关闭",缺陷明细!$J$2:$J$50000,"单元测试")</f>
        <v>0</v>
      </c>
      <c r="L43" s="156"/>
      <c r="M43" s="157"/>
      <c r="N43" s="72">
        <f>COUNTIFS(缺陷明细!$A$2:$A$50000,$B$4,缺陷明细!$G$2:$G$50000,$C43,缺陷明细!$J$2:$J$50000,"系统测试案例评审",缺陷明细!$AB$2:$AB$50000,"&lt;&gt;丢弃",缺陷明细!$AB$2:$AB$50000,"&lt;&gt;设计如此",缺陷明细!$AB$2:$AB$50000,"&lt;&gt;重复Bug")</f>
        <v>0</v>
      </c>
      <c r="O43" s="72">
        <f>COUNTIFS(缺陷明细!$A$2:$A$50000,$B$4,缺陷明细!$G$2:$G$50000,$C43,缺陷明细!$Q$2:$Q$50000,"已关闭",缺陷明细!$J$2:$J$50000,"系统测试案例评审")</f>
        <v>0</v>
      </c>
      <c r="P43" s="72">
        <f>COUNTIFS(缺陷明细!$A$2:$A$50000,$B$4,缺陷明细!$G$2:$G$50000,$C43,缺陷明细!$J$2:$J$50000,"系统测试",缺陷明细!$AB$2:$AB$50000,"&lt;&gt;丢弃",缺陷明细!$AB$2:$AB$50000,"&lt;&gt;设计如此",缺陷明细!$AB$2:$AB$50000,"&lt;&gt;重复Bug")</f>
        <v>0</v>
      </c>
      <c r="Q43" s="72">
        <f>COUNTIFS(缺陷明细!$A$2:$A$50000,$B$4,缺陷明细!$G$2:$G$50000,$C43,缺陷明细!$Q$2:$Q$50000,"已关闭",缺陷明细!$J$2:$J$50000,"系统测试")</f>
        <v>0</v>
      </c>
      <c r="R43" s="296">
        <f>COUNTIFS(缺陷明细!$A$2:$A$50000,$B$4,缺陷明细!$G$2:$G$50000,$C43,缺陷明细!$AB$2:$AB$50000,"丢弃",缺陷明细!$J$2:$J$50000,"系统测试")+COUNTIFS(缺陷明细!$A$2:$A$50000,$B$4,缺陷明细!$G$2:$G$50000,$C43,缺陷明细!$AB$2:$AB$50000,"设计如此",缺陷明细!$J$2:$J$50000,"系统测试")+COUNTIFS(缺陷明细!$A$2:$A$50000,$B$4,缺陷明细!$G$2:$G$50000,$C43,缺陷明细!$AB$2:$AB$50000,"重复Bug",缺陷明细!$J$2:$J$50000,"系统测试")</f>
        <v>0</v>
      </c>
      <c r="S43" s="72">
        <f>COUNTIFS(缺陷明细!$A$2:$A$50000,$B$4,缺陷明细!$G$2:$G$50000,$C43,缺陷明细!$J$2:$J$50000,"系统测试",缺陷明细!$K$2:$K$50000,"致命",缺陷明细!$AB$2:$AB$50000,"&lt;&gt;丢弃",缺陷明细!$AB$2:$AB$50000,"&lt;&gt;设计如此",缺陷明细!$AB$2:$AB$50000,"&lt;&gt;重复Bug")+COUNTIFS(缺陷明细!$A$2:$A$50000,$B$4,缺陷明细!$G$2:$G$50000,$C43,缺陷明细!$J$2:$J$50000,"系统测试",缺陷明细!$K$2:$K$50000,"严重",缺陷明细!$AB$2:$AB$50000,"&lt;&gt;丢弃",缺陷明细!$AB$2:$AB$50000,"&lt;&gt;设计如此",缺陷明细!$AB$2:$AB$50000,"&lt;&gt;重复Bug")</f>
        <v>0</v>
      </c>
      <c r="T43" s="73">
        <f>COUNTIFS(缺陷明细!$A$2:$A$50000,$B$4,缺陷明细!$G$2:$G$50000,$C43,缺陷明细!$Q$2:$Q$50000,"已关闭",缺陷明细!$J$2:$J$50000,"系统测试",缺陷明细!$K$2:$K$50000,"致命")+COUNTIFS(缺陷明细!$A$2:$A$50000,$B$4,缺陷明细!$G$2:$G$50000,$C43,缺陷明细!$Q$2:$Q$50000,"已关闭",缺陷明细!$J$2:$J$50000,"系统测试",缺陷明细!$K$2:$K$50000,"严重")</f>
        <v>0</v>
      </c>
      <c r="U43" s="74">
        <f>COUNTIFS(缺陷明细!$A$2:$A$50000,$B$4,缺陷明细!$G$2:$G$50000,$C43,缺陷明细!$J$2:$J$50000,"验收测试",缺陷明细!$AB$2:$AB$50000,"&lt;&gt;丢弃",缺陷明细!$AB$2:$AB$50000,"&lt;&gt;设计如此",缺陷明细!$AB$2:$AB$50000,"&lt;&gt;重复Bug")</f>
        <v>0</v>
      </c>
      <c r="V43" s="75">
        <f>COUNTIFS(缺陷明细!$A$2:$A$50000,$B$4,缺陷明细!$G$2:$G$50000,$C43,缺陷明细!$Q$2:$Q$50000,"已关闭",缺陷明细!$J$2:$J$50000,"验收测试")</f>
        <v>0</v>
      </c>
      <c r="W43" s="75">
        <f>COUNTIFS(缺陷明细!$A$2:$A$50000,$B$4,缺陷明细!$G$2:$G$50000,$C43,缺陷明细!$J$2:$J$50000,"验收测试",缺陷明细!$K$2:$K$50000,"致命",缺陷明细!$AB$2:$AB$50000,"&lt;&gt;丢弃",缺陷明细!$AB$2:$AB$50000,"&lt;&gt;设计如此",缺陷明细!$AB$2:$AB$50000,"&lt;&gt;重复Bug")+COUNTIFS(缺陷明细!$A$2:$A$50000,$B$4,缺陷明细!$G$2:$G$50000,$C43,缺陷明细!$J$2:$J$50000,"验收测试",缺陷明细!$K$2:$K$50000,"严重",缺陷明细!$AB$2:$AB$50000,"&lt;&gt;丢弃",缺陷明细!$AB$2:$AB$50000,"&lt;&gt;设计如此",缺陷明细!$AB$2:$AB$50000,"&lt;&gt;重复Bug")</f>
        <v>0</v>
      </c>
      <c r="X43" s="76">
        <f>COUNTIFS(缺陷明细!$A$2:$A$50000,$B$4,缺陷明细!$G$2:$G$50000,$C43,缺陷明细!$Q$2:$Q$50000,"已关闭",缺陷明细!$J$2:$J$50000,"验收测试",缺陷明细!$K$2:$K$50000,"致命")+COUNTIFS(缺陷明细!$A$2:$A$50000,$B$4,缺陷明细!$G$2:$G$50000,$C43,缺陷明细!$Q$2:$Q$50000,"已关闭",缺陷明细!$J$2:$J$50000,"验收测试",缺陷明细!$K$2:$K$50000,"严重")</f>
        <v>0</v>
      </c>
      <c r="Y43" s="70">
        <f>COUNTIFS(缺陷明细!$A$2:$A$50000,$B$4,缺陷明细!$G$2:$G$50000,$C43,缺陷明细!$J$2:$J$50000,"运维测试",缺陷明细!$AB$2:$AB$50000,"&lt;&gt;丢弃",缺陷明细!$AB$2:$AB$50000,"&lt;&gt;设计如此",缺陷明细!$AB$2:$AB$50000,"&lt;&gt;重复Bug")</f>
        <v>0</v>
      </c>
      <c r="Z43" s="71">
        <f>COUNTIFS(缺陷明细!$A$2:$A$50000,$B$4,缺陷明细!$G$2:$G$50000,$C43,缺陷明细!$Q$2:$Q$50000,"已关闭",缺陷明细!$J$2:$J$50000,"运维测试")</f>
        <v>0</v>
      </c>
      <c r="AA43" s="72">
        <f>COUNTIFS(缺陷明细!$A$2:$A$50000,$B$4,缺陷明细!$G$2:$G$50000,$C43,缺陷明细!$J$2:$J$50000,"运维测试",缺陷明细!$K$2:$K$50000,"致命",缺陷明细!$AB$2:$AB$50000,"&lt;&gt;丢弃",缺陷明细!$AB$2:$AB$50000,"&lt;&gt;设计如此",缺陷明细!$AB$2:$AB$50000,"&lt;&gt;重复Bug")+COUNTIFS(缺陷明细!$A$2:$A$50000,$B$4,缺陷明细!$G$2:$G$50000,$C43,缺陷明细!$J$2:$J$50000,"运维测试",缺陷明细!$K$2:$K$50000,"严重",缺陷明细!$AB$2:$AB$50000,"&lt;&gt;丢弃",缺陷明细!$AB$2:$AB$50000,"&lt;&gt;设计如此",缺陷明细!$AB$2:$AB$50000,"&lt;&gt;重复Bug")</f>
        <v>0</v>
      </c>
      <c r="AB43" s="73">
        <f>COUNTIFS(缺陷明细!$A$2:$A$50000,$B$4,缺陷明细!$G$2:$G$50000,$C43,缺陷明细!$Q$2:$Q$50000,"已关闭",缺陷明细!$J$2:$J$50000,"运维测试",缺陷明细!$K$2:$K$50000,"致命")+COUNTIFS(缺陷明细!$A$2:$A$50000,$B$4,缺陷明细!$G$2:$G$50000,$C43,缺陷明细!$Q$2:$Q$50000,"已关闭",缺陷明细!$J$2:$J$50000,"运维测试",缺陷明细!$K$2:$K$50000,"严重")</f>
        <v>0</v>
      </c>
      <c r="AC43" s="68">
        <f t="shared" si="0"/>
        <v>0</v>
      </c>
      <c r="AD43" s="60">
        <f t="shared" si="0"/>
        <v>0</v>
      </c>
      <c r="AE43" s="60">
        <f t="shared" si="1"/>
        <v>0</v>
      </c>
      <c r="AF43" s="60">
        <f t="shared" si="1"/>
        <v>0</v>
      </c>
      <c r="AG43" s="60">
        <f t="shared" si="2"/>
        <v>0</v>
      </c>
      <c r="AH43" s="60">
        <f t="shared" si="2"/>
        <v>0</v>
      </c>
      <c r="AI43" s="60">
        <f t="shared" si="3"/>
        <v>0</v>
      </c>
      <c r="AJ43" s="61">
        <f t="shared" si="3"/>
        <v>0</v>
      </c>
      <c r="AK43" s="144"/>
    </row>
    <row r="44" spans="1:37">
      <c r="A44">
        <v>40</v>
      </c>
      <c r="B44" s="57"/>
      <c r="C44" s="58"/>
      <c r="D44" s="84"/>
      <c r="E44" s="82"/>
      <c r="F44" s="158"/>
      <c r="G44" s="159"/>
      <c r="H44" s="281">
        <f>COUNTIFS(缺陷明细!$A$2:$A$50000,$B$4,缺陷明细!$G$2:$G$50000,$C44,缺陷明细!$J$2:$J$50000,"评审",缺陷明细!$AB$2:$AB$50000,"&lt;&gt;丢弃",缺陷明细!$AB$2:$AB$50000,"&lt;&gt;设计如此",缺陷明细!$AB$2:$AB$50000,"&lt;&gt;重复Bug")</f>
        <v>0</v>
      </c>
      <c r="I44" s="154">
        <f>COUNTIFS(缺陷明细!$A$2:$A$50000,$B$4,缺陷明细!$G$2:$G$50000,$C44,缺陷明细!$Q$2:$Q$50000,"已关闭",缺陷明细!$J$2:$J$50000,"评审")</f>
        <v>0</v>
      </c>
      <c r="J44" s="154">
        <f>COUNTIFS(缺陷明细!$A$2:$A$50000,$B$4,缺陷明细!$G$2:$G$50000,$C44,缺陷明细!$J$2:$J$50000,"单元测试",缺陷明细!$AB$2:$AB$50000,"&lt;&gt;丢弃",缺陷明细!$AB$2:$AB$50000,"&lt;&gt;设计如此",缺陷明细!$AB$2:$AB$50000,"&lt;&gt;重复Bug")</f>
        <v>0</v>
      </c>
      <c r="K44" s="155">
        <f>COUNTIFS(缺陷明细!$A$2:$A$50000,$B$4,缺陷明细!$G$2:$G$50000,$C44,缺陷明细!$Q$2:$Q$50000,"已关闭",缺陷明细!$J$2:$J$50000,"单元测试")</f>
        <v>0</v>
      </c>
      <c r="L44" s="156"/>
      <c r="M44" s="157"/>
      <c r="N44" s="72">
        <f>COUNTIFS(缺陷明细!$A$2:$A$50000,$B$4,缺陷明细!$G$2:$G$50000,$C44,缺陷明细!$J$2:$J$50000,"系统测试案例评审",缺陷明细!$AB$2:$AB$50000,"&lt;&gt;丢弃",缺陷明细!$AB$2:$AB$50000,"&lt;&gt;设计如此",缺陷明细!$AB$2:$AB$50000,"&lt;&gt;重复Bug")</f>
        <v>0</v>
      </c>
      <c r="O44" s="72">
        <f>COUNTIFS(缺陷明细!$A$2:$A$50000,$B$4,缺陷明细!$G$2:$G$50000,$C44,缺陷明细!$Q$2:$Q$50000,"已关闭",缺陷明细!$J$2:$J$50000,"系统测试案例评审")</f>
        <v>0</v>
      </c>
      <c r="P44" s="72">
        <f>COUNTIFS(缺陷明细!$A$2:$A$50000,$B$4,缺陷明细!$G$2:$G$50000,$C44,缺陷明细!$J$2:$J$50000,"系统测试",缺陷明细!$AB$2:$AB$50000,"&lt;&gt;丢弃",缺陷明细!$AB$2:$AB$50000,"&lt;&gt;设计如此",缺陷明细!$AB$2:$AB$50000,"&lt;&gt;重复Bug")</f>
        <v>0</v>
      </c>
      <c r="Q44" s="72">
        <f>COUNTIFS(缺陷明细!$A$2:$A$50000,$B$4,缺陷明细!$G$2:$G$50000,$C44,缺陷明细!$Q$2:$Q$50000,"已关闭",缺陷明细!$J$2:$J$50000,"系统测试")</f>
        <v>0</v>
      </c>
      <c r="R44" s="296">
        <f>COUNTIFS(缺陷明细!$A$2:$A$50000,$B$4,缺陷明细!$G$2:$G$50000,$C44,缺陷明细!$AB$2:$AB$50000,"丢弃",缺陷明细!$J$2:$J$50000,"系统测试")+COUNTIFS(缺陷明细!$A$2:$A$50000,$B$4,缺陷明细!$G$2:$G$50000,$C44,缺陷明细!$AB$2:$AB$50000,"设计如此",缺陷明细!$J$2:$J$50000,"系统测试")+COUNTIFS(缺陷明细!$A$2:$A$50000,$B$4,缺陷明细!$G$2:$G$50000,$C44,缺陷明细!$AB$2:$AB$50000,"重复Bug",缺陷明细!$J$2:$J$50000,"系统测试")</f>
        <v>0</v>
      </c>
      <c r="S44" s="72">
        <f>COUNTIFS(缺陷明细!$A$2:$A$50000,$B$4,缺陷明细!$G$2:$G$50000,$C44,缺陷明细!$J$2:$J$50000,"系统测试",缺陷明细!$K$2:$K$50000,"致命",缺陷明细!$AB$2:$AB$50000,"&lt;&gt;丢弃",缺陷明细!$AB$2:$AB$50000,"&lt;&gt;设计如此",缺陷明细!$AB$2:$AB$50000,"&lt;&gt;重复Bug")+COUNTIFS(缺陷明细!$A$2:$A$50000,$B$4,缺陷明细!$G$2:$G$50000,$C44,缺陷明细!$J$2:$J$50000,"系统测试",缺陷明细!$K$2:$K$50000,"严重",缺陷明细!$AB$2:$AB$50000,"&lt;&gt;丢弃",缺陷明细!$AB$2:$AB$50000,"&lt;&gt;设计如此",缺陷明细!$AB$2:$AB$50000,"&lt;&gt;重复Bug")</f>
        <v>0</v>
      </c>
      <c r="T44" s="73">
        <f>COUNTIFS(缺陷明细!$A$2:$A$50000,$B$4,缺陷明细!$G$2:$G$50000,$C44,缺陷明细!$Q$2:$Q$50000,"已关闭",缺陷明细!$J$2:$J$50000,"系统测试",缺陷明细!$K$2:$K$50000,"致命")+COUNTIFS(缺陷明细!$A$2:$A$50000,$B$4,缺陷明细!$G$2:$G$50000,$C44,缺陷明细!$Q$2:$Q$50000,"已关闭",缺陷明细!$J$2:$J$50000,"系统测试",缺陷明细!$K$2:$K$50000,"严重")</f>
        <v>0</v>
      </c>
      <c r="U44" s="74">
        <f>COUNTIFS(缺陷明细!$A$2:$A$50000,$B$4,缺陷明细!$G$2:$G$50000,$C44,缺陷明细!$J$2:$J$50000,"验收测试",缺陷明细!$AB$2:$AB$50000,"&lt;&gt;丢弃",缺陷明细!$AB$2:$AB$50000,"&lt;&gt;设计如此",缺陷明细!$AB$2:$AB$50000,"&lt;&gt;重复Bug")</f>
        <v>0</v>
      </c>
      <c r="V44" s="75">
        <f>COUNTIFS(缺陷明细!$A$2:$A$50000,$B$4,缺陷明细!$G$2:$G$50000,$C44,缺陷明细!$Q$2:$Q$50000,"已关闭",缺陷明细!$J$2:$J$50000,"验收测试")</f>
        <v>0</v>
      </c>
      <c r="W44" s="75">
        <f>COUNTIFS(缺陷明细!$A$2:$A$50000,$B$4,缺陷明细!$G$2:$G$50000,$C44,缺陷明细!$J$2:$J$50000,"验收测试",缺陷明细!$K$2:$K$50000,"致命",缺陷明细!$AB$2:$AB$50000,"&lt;&gt;丢弃",缺陷明细!$AB$2:$AB$50000,"&lt;&gt;设计如此",缺陷明细!$AB$2:$AB$50000,"&lt;&gt;重复Bug")+COUNTIFS(缺陷明细!$A$2:$A$50000,$B$4,缺陷明细!$G$2:$G$50000,$C44,缺陷明细!$J$2:$J$50000,"验收测试",缺陷明细!$K$2:$K$50000,"严重",缺陷明细!$AB$2:$AB$50000,"&lt;&gt;丢弃",缺陷明细!$AB$2:$AB$50000,"&lt;&gt;设计如此",缺陷明细!$AB$2:$AB$50000,"&lt;&gt;重复Bug")</f>
        <v>0</v>
      </c>
      <c r="X44" s="76">
        <f>COUNTIFS(缺陷明细!$A$2:$A$50000,$B$4,缺陷明细!$G$2:$G$50000,$C44,缺陷明细!$Q$2:$Q$50000,"已关闭",缺陷明细!$J$2:$J$50000,"验收测试",缺陷明细!$K$2:$K$50000,"致命")+COUNTIFS(缺陷明细!$A$2:$A$50000,$B$4,缺陷明细!$G$2:$G$50000,$C44,缺陷明细!$Q$2:$Q$50000,"已关闭",缺陷明细!$J$2:$J$50000,"验收测试",缺陷明细!$K$2:$K$50000,"严重")</f>
        <v>0</v>
      </c>
      <c r="Y44" s="70">
        <f>COUNTIFS(缺陷明细!$A$2:$A$50000,$B$4,缺陷明细!$G$2:$G$50000,$C44,缺陷明细!$J$2:$J$50000,"运维测试",缺陷明细!$AB$2:$AB$50000,"&lt;&gt;丢弃",缺陷明细!$AB$2:$AB$50000,"&lt;&gt;设计如此",缺陷明细!$AB$2:$AB$50000,"&lt;&gt;重复Bug")</f>
        <v>0</v>
      </c>
      <c r="Z44" s="71">
        <f>COUNTIFS(缺陷明细!$A$2:$A$50000,$B$4,缺陷明细!$G$2:$G$50000,$C44,缺陷明细!$Q$2:$Q$50000,"已关闭",缺陷明细!$J$2:$J$50000,"运维测试")</f>
        <v>0</v>
      </c>
      <c r="AA44" s="72">
        <f>COUNTIFS(缺陷明细!$A$2:$A$50000,$B$4,缺陷明细!$G$2:$G$50000,$C44,缺陷明细!$J$2:$J$50000,"运维测试",缺陷明细!$K$2:$K$50000,"致命",缺陷明细!$AB$2:$AB$50000,"&lt;&gt;丢弃",缺陷明细!$AB$2:$AB$50000,"&lt;&gt;设计如此",缺陷明细!$AB$2:$AB$50000,"&lt;&gt;重复Bug")+COUNTIFS(缺陷明细!$A$2:$A$50000,$B$4,缺陷明细!$G$2:$G$50000,$C44,缺陷明细!$J$2:$J$50000,"运维测试",缺陷明细!$K$2:$K$50000,"严重",缺陷明细!$AB$2:$AB$50000,"&lt;&gt;丢弃",缺陷明细!$AB$2:$AB$50000,"&lt;&gt;设计如此",缺陷明细!$AB$2:$AB$50000,"&lt;&gt;重复Bug")</f>
        <v>0</v>
      </c>
      <c r="AB44" s="73">
        <f>COUNTIFS(缺陷明细!$A$2:$A$50000,$B$4,缺陷明细!$G$2:$G$50000,$C44,缺陷明细!$Q$2:$Q$50000,"已关闭",缺陷明细!$J$2:$J$50000,"运维测试",缺陷明细!$K$2:$K$50000,"致命")+COUNTIFS(缺陷明细!$A$2:$A$50000,$B$4,缺陷明细!$G$2:$G$50000,$C44,缺陷明细!$Q$2:$Q$50000,"已关闭",缺陷明细!$J$2:$J$50000,"运维测试",缺陷明细!$K$2:$K$50000,"严重")</f>
        <v>0</v>
      </c>
      <c r="AC44" s="68">
        <f t="shared" si="0"/>
        <v>0</v>
      </c>
      <c r="AD44" s="60">
        <f t="shared" si="0"/>
        <v>0</v>
      </c>
      <c r="AE44" s="60">
        <f t="shared" si="1"/>
        <v>0</v>
      </c>
      <c r="AF44" s="60">
        <f t="shared" si="1"/>
        <v>0</v>
      </c>
      <c r="AG44" s="60">
        <f t="shared" si="2"/>
        <v>0</v>
      </c>
      <c r="AH44" s="60">
        <f t="shared" si="2"/>
        <v>0</v>
      </c>
      <c r="AI44" s="60">
        <f t="shared" si="3"/>
        <v>0</v>
      </c>
      <c r="AJ44" s="61">
        <f t="shared" si="3"/>
        <v>0</v>
      </c>
      <c r="AK44" s="144"/>
    </row>
    <row r="45" spans="1:37">
      <c r="A45">
        <v>41</v>
      </c>
      <c r="B45" s="57"/>
      <c r="C45" s="58"/>
      <c r="D45" s="84"/>
      <c r="E45" s="82"/>
      <c r="F45" s="158"/>
      <c r="G45" s="159"/>
      <c r="H45" s="281">
        <f>COUNTIFS(缺陷明细!$A$2:$A$50000,$B$4,缺陷明细!$G$2:$G$50000,$C45,缺陷明细!$J$2:$J$50000,"评审",缺陷明细!$AB$2:$AB$50000,"&lt;&gt;丢弃",缺陷明细!$AB$2:$AB$50000,"&lt;&gt;设计如此",缺陷明细!$AB$2:$AB$50000,"&lt;&gt;重复Bug")</f>
        <v>0</v>
      </c>
      <c r="I45" s="154">
        <f>COUNTIFS(缺陷明细!$A$2:$A$50000,$B$4,缺陷明细!$G$2:$G$50000,$C45,缺陷明细!$Q$2:$Q$50000,"已关闭",缺陷明细!$J$2:$J$50000,"评审")</f>
        <v>0</v>
      </c>
      <c r="J45" s="154">
        <f>COUNTIFS(缺陷明细!$A$2:$A$50000,$B$4,缺陷明细!$G$2:$G$50000,$C45,缺陷明细!$J$2:$J$50000,"单元测试",缺陷明细!$AB$2:$AB$50000,"&lt;&gt;丢弃",缺陷明细!$AB$2:$AB$50000,"&lt;&gt;设计如此",缺陷明细!$AB$2:$AB$50000,"&lt;&gt;重复Bug")</f>
        <v>0</v>
      </c>
      <c r="K45" s="155">
        <f>COUNTIFS(缺陷明细!$A$2:$A$50000,$B$4,缺陷明细!$G$2:$G$50000,$C45,缺陷明细!$Q$2:$Q$50000,"已关闭",缺陷明细!$J$2:$J$50000,"单元测试")</f>
        <v>0</v>
      </c>
      <c r="L45" s="156"/>
      <c r="M45" s="157"/>
      <c r="N45" s="72">
        <f>COUNTIFS(缺陷明细!$A$2:$A$50000,$B$4,缺陷明细!$G$2:$G$50000,$C45,缺陷明细!$J$2:$J$50000,"系统测试案例评审",缺陷明细!$AB$2:$AB$50000,"&lt;&gt;丢弃",缺陷明细!$AB$2:$AB$50000,"&lt;&gt;设计如此",缺陷明细!$AB$2:$AB$50000,"&lt;&gt;重复Bug")</f>
        <v>0</v>
      </c>
      <c r="O45" s="72">
        <f>COUNTIFS(缺陷明细!$A$2:$A$50000,$B$4,缺陷明细!$G$2:$G$50000,$C45,缺陷明细!$Q$2:$Q$50000,"已关闭",缺陷明细!$J$2:$J$50000,"系统测试案例评审")</f>
        <v>0</v>
      </c>
      <c r="P45" s="72">
        <f>COUNTIFS(缺陷明细!$A$2:$A$50000,$B$4,缺陷明细!$G$2:$G$50000,$C45,缺陷明细!$J$2:$J$50000,"系统测试",缺陷明细!$AB$2:$AB$50000,"&lt;&gt;丢弃",缺陷明细!$AB$2:$AB$50000,"&lt;&gt;设计如此",缺陷明细!$AB$2:$AB$50000,"&lt;&gt;重复Bug")</f>
        <v>0</v>
      </c>
      <c r="Q45" s="72">
        <f>COUNTIFS(缺陷明细!$A$2:$A$50000,$B$4,缺陷明细!$G$2:$G$50000,$C45,缺陷明细!$Q$2:$Q$50000,"已关闭",缺陷明细!$J$2:$J$50000,"系统测试")</f>
        <v>0</v>
      </c>
      <c r="R45" s="296">
        <f>COUNTIFS(缺陷明细!$A$2:$A$50000,$B$4,缺陷明细!$G$2:$G$50000,$C45,缺陷明细!$AB$2:$AB$50000,"丢弃",缺陷明细!$J$2:$J$50000,"系统测试")+COUNTIFS(缺陷明细!$A$2:$A$50000,$B$4,缺陷明细!$G$2:$G$50000,$C45,缺陷明细!$AB$2:$AB$50000,"设计如此",缺陷明细!$J$2:$J$50000,"系统测试")+COUNTIFS(缺陷明细!$A$2:$A$50000,$B$4,缺陷明细!$G$2:$G$50000,$C45,缺陷明细!$AB$2:$AB$50000,"重复Bug",缺陷明细!$J$2:$J$50000,"系统测试")</f>
        <v>0</v>
      </c>
      <c r="S45" s="72">
        <f>COUNTIFS(缺陷明细!$A$2:$A$50000,$B$4,缺陷明细!$G$2:$G$50000,$C45,缺陷明细!$J$2:$J$50000,"系统测试",缺陷明细!$K$2:$K$50000,"致命",缺陷明细!$AB$2:$AB$50000,"&lt;&gt;丢弃",缺陷明细!$AB$2:$AB$50000,"&lt;&gt;设计如此",缺陷明细!$AB$2:$AB$50000,"&lt;&gt;重复Bug")+COUNTIFS(缺陷明细!$A$2:$A$50000,$B$4,缺陷明细!$G$2:$G$50000,$C45,缺陷明细!$J$2:$J$50000,"系统测试",缺陷明细!$K$2:$K$50000,"严重",缺陷明细!$AB$2:$AB$50000,"&lt;&gt;丢弃",缺陷明细!$AB$2:$AB$50000,"&lt;&gt;设计如此",缺陷明细!$AB$2:$AB$50000,"&lt;&gt;重复Bug")</f>
        <v>0</v>
      </c>
      <c r="T45" s="73">
        <f>COUNTIFS(缺陷明细!$A$2:$A$50000,$B$4,缺陷明细!$G$2:$G$50000,$C45,缺陷明细!$Q$2:$Q$50000,"已关闭",缺陷明细!$J$2:$J$50000,"系统测试",缺陷明细!$K$2:$K$50000,"致命")+COUNTIFS(缺陷明细!$A$2:$A$50000,$B$4,缺陷明细!$G$2:$G$50000,$C45,缺陷明细!$Q$2:$Q$50000,"已关闭",缺陷明细!$J$2:$J$50000,"系统测试",缺陷明细!$K$2:$K$50000,"严重")</f>
        <v>0</v>
      </c>
      <c r="U45" s="74">
        <f>COUNTIFS(缺陷明细!$A$2:$A$50000,$B$4,缺陷明细!$G$2:$G$50000,$C45,缺陷明细!$J$2:$J$50000,"验收测试",缺陷明细!$AB$2:$AB$50000,"&lt;&gt;丢弃",缺陷明细!$AB$2:$AB$50000,"&lt;&gt;设计如此",缺陷明细!$AB$2:$AB$50000,"&lt;&gt;重复Bug")</f>
        <v>0</v>
      </c>
      <c r="V45" s="75">
        <f>COUNTIFS(缺陷明细!$A$2:$A$50000,$B$4,缺陷明细!$G$2:$G$50000,$C45,缺陷明细!$Q$2:$Q$50000,"已关闭",缺陷明细!$J$2:$J$50000,"验收测试")</f>
        <v>0</v>
      </c>
      <c r="W45" s="75">
        <f>COUNTIFS(缺陷明细!$A$2:$A$50000,$B$4,缺陷明细!$G$2:$G$50000,$C45,缺陷明细!$J$2:$J$50000,"验收测试",缺陷明细!$K$2:$K$50000,"致命",缺陷明细!$AB$2:$AB$50000,"&lt;&gt;丢弃",缺陷明细!$AB$2:$AB$50000,"&lt;&gt;设计如此",缺陷明细!$AB$2:$AB$50000,"&lt;&gt;重复Bug")+COUNTIFS(缺陷明细!$A$2:$A$50000,$B$4,缺陷明细!$G$2:$G$50000,$C45,缺陷明细!$J$2:$J$50000,"验收测试",缺陷明细!$K$2:$K$50000,"严重",缺陷明细!$AB$2:$AB$50000,"&lt;&gt;丢弃",缺陷明细!$AB$2:$AB$50000,"&lt;&gt;设计如此",缺陷明细!$AB$2:$AB$50000,"&lt;&gt;重复Bug")</f>
        <v>0</v>
      </c>
      <c r="X45" s="76">
        <f>COUNTIFS(缺陷明细!$A$2:$A$50000,$B$4,缺陷明细!$G$2:$G$50000,$C45,缺陷明细!$Q$2:$Q$50000,"已关闭",缺陷明细!$J$2:$J$50000,"验收测试",缺陷明细!$K$2:$K$50000,"致命")+COUNTIFS(缺陷明细!$A$2:$A$50000,$B$4,缺陷明细!$G$2:$G$50000,$C45,缺陷明细!$Q$2:$Q$50000,"已关闭",缺陷明细!$J$2:$J$50000,"验收测试",缺陷明细!$K$2:$K$50000,"严重")</f>
        <v>0</v>
      </c>
      <c r="Y45" s="70">
        <f>COUNTIFS(缺陷明细!$A$2:$A$50000,$B$4,缺陷明细!$G$2:$G$50000,$C45,缺陷明细!$J$2:$J$50000,"运维测试",缺陷明细!$AB$2:$AB$50000,"&lt;&gt;丢弃",缺陷明细!$AB$2:$AB$50000,"&lt;&gt;设计如此",缺陷明细!$AB$2:$AB$50000,"&lt;&gt;重复Bug")</f>
        <v>0</v>
      </c>
      <c r="Z45" s="71">
        <f>COUNTIFS(缺陷明细!$A$2:$A$50000,$B$4,缺陷明细!$G$2:$G$50000,$C45,缺陷明细!$Q$2:$Q$50000,"已关闭",缺陷明细!$J$2:$J$50000,"运维测试")</f>
        <v>0</v>
      </c>
      <c r="AA45" s="72">
        <f>COUNTIFS(缺陷明细!$A$2:$A$50000,$B$4,缺陷明细!$G$2:$G$50000,$C45,缺陷明细!$J$2:$J$50000,"运维测试",缺陷明细!$K$2:$K$50000,"致命",缺陷明细!$AB$2:$AB$50000,"&lt;&gt;丢弃",缺陷明细!$AB$2:$AB$50000,"&lt;&gt;设计如此",缺陷明细!$AB$2:$AB$50000,"&lt;&gt;重复Bug")+COUNTIFS(缺陷明细!$A$2:$A$50000,$B$4,缺陷明细!$G$2:$G$50000,$C45,缺陷明细!$J$2:$J$50000,"运维测试",缺陷明细!$K$2:$K$50000,"严重",缺陷明细!$AB$2:$AB$50000,"&lt;&gt;丢弃",缺陷明细!$AB$2:$AB$50000,"&lt;&gt;设计如此",缺陷明细!$AB$2:$AB$50000,"&lt;&gt;重复Bug")</f>
        <v>0</v>
      </c>
      <c r="AB45" s="73">
        <f>COUNTIFS(缺陷明细!$A$2:$A$50000,$B$4,缺陷明细!$G$2:$G$50000,$C45,缺陷明细!$Q$2:$Q$50000,"已关闭",缺陷明细!$J$2:$J$50000,"运维测试",缺陷明细!$K$2:$K$50000,"致命")+COUNTIFS(缺陷明细!$A$2:$A$50000,$B$4,缺陷明细!$G$2:$G$50000,$C45,缺陷明细!$Q$2:$Q$50000,"已关闭",缺陷明细!$J$2:$J$50000,"运维测试",缺陷明细!$K$2:$K$50000,"严重")</f>
        <v>0</v>
      </c>
      <c r="AC45" s="68">
        <f t="shared" si="0"/>
        <v>0</v>
      </c>
      <c r="AD45" s="60">
        <f t="shared" si="0"/>
        <v>0</v>
      </c>
      <c r="AE45" s="60">
        <f t="shared" si="1"/>
        <v>0</v>
      </c>
      <c r="AF45" s="60">
        <f t="shared" si="1"/>
        <v>0</v>
      </c>
      <c r="AG45" s="60">
        <f t="shared" si="2"/>
        <v>0</v>
      </c>
      <c r="AH45" s="60">
        <f t="shared" si="2"/>
        <v>0</v>
      </c>
      <c r="AI45" s="60">
        <f t="shared" si="3"/>
        <v>0</v>
      </c>
      <c r="AJ45" s="61">
        <f t="shared" si="3"/>
        <v>0</v>
      </c>
      <c r="AK45" s="144"/>
    </row>
    <row r="46" spans="1:37">
      <c r="A46">
        <v>42</v>
      </c>
      <c r="B46" s="57"/>
      <c r="C46" s="58"/>
      <c r="D46" s="84"/>
      <c r="E46" s="82"/>
      <c r="F46" s="158"/>
      <c r="G46" s="159"/>
      <c r="H46" s="281">
        <f>COUNTIFS(缺陷明细!$A$2:$A$50000,$B$4,缺陷明细!$G$2:$G$50000,$C46,缺陷明细!$J$2:$J$50000,"评审",缺陷明细!$AB$2:$AB$50000,"&lt;&gt;丢弃",缺陷明细!$AB$2:$AB$50000,"&lt;&gt;设计如此",缺陷明细!$AB$2:$AB$50000,"&lt;&gt;重复Bug")</f>
        <v>0</v>
      </c>
      <c r="I46" s="154">
        <f>COUNTIFS(缺陷明细!$A$2:$A$50000,$B$4,缺陷明细!$G$2:$G$50000,$C46,缺陷明细!$Q$2:$Q$50000,"已关闭",缺陷明细!$J$2:$J$50000,"评审")</f>
        <v>0</v>
      </c>
      <c r="J46" s="154">
        <f>COUNTIFS(缺陷明细!$A$2:$A$50000,$B$4,缺陷明细!$G$2:$G$50000,$C46,缺陷明细!$J$2:$J$50000,"单元测试",缺陷明细!$AB$2:$AB$50000,"&lt;&gt;丢弃",缺陷明细!$AB$2:$AB$50000,"&lt;&gt;设计如此",缺陷明细!$AB$2:$AB$50000,"&lt;&gt;重复Bug")</f>
        <v>0</v>
      </c>
      <c r="K46" s="155">
        <f>COUNTIFS(缺陷明细!$A$2:$A$50000,$B$4,缺陷明细!$G$2:$G$50000,$C46,缺陷明细!$Q$2:$Q$50000,"已关闭",缺陷明细!$J$2:$J$50000,"单元测试")</f>
        <v>0</v>
      </c>
      <c r="L46" s="156"/>
      <c r="M46" s="157"/>
      <c r="N46" s="72">
        <f>COUNTIFS(缺陷明细!$A$2:$A$50000,$B$4,缺陷明细!$G$2:$G$50000,$C46,缺陷明细!$J$2:$J$50000,"系统测试案例评审",缺陷明细!$AB$2:$AB$50000,"&lt;&gt;丢弃",缺陷明细!$AB$2:$AB$50000,"&lt;&gt;设计如此",缺陷明细!$AB$2:$AB$50000,"&lt;&gt;重复Bug")</f>
        <v>0</v>
      </c>
      <c r="O46" s="72">
        <f>COUNTIFS(缺陷明细!$A$2:$A$50000,$B$4,缺陷明细!$G$2:$G$50000,$C46,缺陷明细!$Q$2:$Q$50000,"已关闭",缺陷明细!$J$2:$J$50000,"系统测试案例评审")</f>
        <v>0</v>
      </c>
      <c r="P46" s="72">
        <f>COUNTIFS(缺陷明细!$A$2:$A$50000,$B$4,缺陷明细!$G$2:$G$50000,$C46,缺陷明细!$J$2:$J$50000,"系统测试",缺陷明细!$AB$2:$AB$50000,"&lt;&gt;丢弃",缺陷明细!$AB$2:$AB$50000,"&lt;&gt;设计如此",缺陷明细!$AB$2:$AB$50000,"&lt;&gt;重复Bug")</f>
        <v>0</v>
      </c>
      <c r="Q46" s="72">
        <f>COUNTIFS(缺陷明细!$A$2:$A$50000,$B$4,缺陷明细!$G$2:$G$50000,$C46,缺陷明细!$Q$2:$Q$50000,"已关闭",缺陷明细!$J$2:$J$50000,"系统测试")</f>
        <v>0</v>
      </c>
      <c r="R46" s="296">
        <f>COUNTIFS(缺陷明细!$A$2:$A$50000,$B$4,缺陷明细!$G$2:$G$50000,$C46,缺陷明细!$AB$2:$AB$50000,"丢弃",缺陷明细!$J$2:$J$50000,"系统测试")+COUNTIFS(缺陷明细!$A$2:$A$50000,$B$4,缺陷明细!$G$2:$G$50000,$C46,缺陷明细!$AB$2:$AB$50000,"设计如此",缺陷明细!$J$2:$J$50000,"系统测试")+COUNTIFS(缺陷明细!$A$2:$A$50000,$B$4,缺陷明细!$G$2:$G$50000,$C46,缺陷明细!$AB$2:$AB$50000,"重复Bug",缺陷明细!$J$2:$J$50000,"系统测试")</f>
        <v>0</v>
      </c>
      <c r="S46" s="72">
        <f>COUNTIFS(缺陷明细!$A$2:$A$50000,$B$4,缺陷明细!$G$2:$G$50000,$C46,缺陷明细!$J$2:$J$50000,"系统测试",缺陷明细!$K$2:$K$50000,"致命",缺陷明细!$AB$2:$AB$50000,"&lt;&gt;丢弃",缺陷明细!$AB$2:$AB$50000,"&lt;&gt;设计如此",缺陷明细!$AB$2:$AB$50000,"&lt;&gt;重复Bug")+COUNTIFS(缺陷明细!$A$2:$A$50000,$B$4,缺陷明细!$G$2:$G$50000,$C46,缺陷明细!$J$2:$J$50000,"系统测试",缺陷明细!$K$2:$K$50000,"严重",缺陷明细!$AB$2:$AB$50000,"&lt;&gt;丢弃",缺陷明细!$AB$2:$AB$50000,"&lt;&gt;设计如此",缺陷明细!$AB$2:$AB$50000,"&lt;&gt;重复Bug")</f>
        <v>0</v>
      </c>
      <c r="T46" s="73">
        <f>COUNTIFS(缺陷明细!$A$2:$A$50000,$B$4,缺陷明细!$G$2:$G$50000,$C46,缺陷明细!$Q$2:$Q$50000,"已关闭",缺陷明细!$J$2:$J$50000,"系统测试",缺陷明细!$K$2:$K$50000,"致命")+COUNTIFS(缺陷明细!$A$2:$A$50000,$B$4,缺陷明细!$G$2:$G$50000,$C46,缺陷明细!$Q$2:$Q$50000,"已关闭",缺陷明细!$J$2:$J$50000,"系统测试",缺陷明细!$K$2:$K$50000,"严重")</f>
        <v>0</v>
      </c>
      <c r="U46" s="74">
        <f>COUNTIFS(缺陷明细!$A$2:$A$50000,$B$4,缺陷明细!$G$2:$G$50000,$C46,缺陷明细!$J$2:$J$50000,"验收测试",缺陷明细!$AB$2:$AB$50000,"&lt;&gt;丢弃",缺陷明细!$AB$2:$AB$50000,"&lt;&gt;设计如此",缺陷明细!$AB$2:$AB$50000,"&lt;&gt;重复Bug")</f>
        <v>0</v>
      </c>
      <c r="V46" s="75">
        <f>COUNTIFS(缺陷明细!$A$2:$A$50000,$B$4,缺陷明细!$G$2:$G$50000,$C46,缺陷明细!$Q$2:$Q$50000,"已关闭",缺陷明细!$J$2:$J$50000,"验收测试")</f>
        <v>0</v>
      </c>
      <c r="W46" s="75">
        <f>COUNTIFS(缺陷明细!$A$2:$A$50000,$B$4,缺陷明细!$G$2:$G$50000,$C46,缺陷明细!$J$2:$J$50000,"验收测试",缺陷明细!$K$2:$K$50000,"致命",缺陷明细!$AB$2:$AB$50000,"&lt;&gt;丢弃",缺陷明细!$AB$2:$AB$50000,"&lt;&gt;设计如此",缺陷明细!$AB$2:$AB$50000,"&lt;&gt;重复Bug")+COUNTIFS(缺陷明细!$A$2:$A$50000,$B$4,缺陷明细!$G$2:$G$50000,$C46,缺陷明细!$J$2:$J$50000,"验收测试",缺陷明细!$K$2:$K$50000,"严重",缺陷明细!$AB$2:$AB$50000,"&lt;&gt;丢弃",缺陷明细!$AB$2:$AB$50000,"&lt;&gt;设计如此",缺陷明细!$AB$2:$AB$50000,"&lt;&gt;重复Bug")</f>
        <v>0</v>
      </c>
      <c r="X46" s="76">
        <f>COUNTIFS(缺陷明细!$A$2:$A$50000,$B$4,缺陷明细!$G$2:$G$50000,$C46,缺陷明细!$Q$2:$Q$50000,"已关闭",缺陷明细!$J$2:$J$50000,"验收测试",缺陷明细!$K$2:$K$50000,"致命")+COUNTIFS(缺陷明细!$A$2:$A$50000,$B$4,缺陷明细!$G$2:$G$50000,$C46,缺陷明细!$Q$2:$Q$50000,"已关闭",缺陷明细!$J$2:$J$50000,"验收测试",缺陷明细!$K$2:$K$50000,"严重")</f>
        <v>0</v>
      </c>
      <c r="Y46" s="70">
        <f>COUNTIFS(缺陷明细!$A$2:$A$50000,$B$4,缺陷明细!$G$2:$G$50000,$C46,缺陷明细!$J$2:$J$50000,"运维测试",缺陷明细!$AB$2:$AB$50000,"&lt;&gt;丢弃",缺陷明细!$AB$2:$AB$50000,"&lt;&gt;设计如此",缺陷明细!$AB$2:$AB$50000,"&lt;&gt;重复Bug")</f>
        <v>0</v>
      </c>
      <c r="Z46" s="71">
        <f>COUNTIFS(缺陷明细!$A$2:$A$50000,$B$4,缺陷明细!$G$2:$G$50000,$C46,缺陷明细!$Q$2:$Q$50000,"已关闭",缺陷明细!$J$2:$J$50000,"运维测试")</f>
        <v>0</v>
      </c>
      <c r="AA46" s="72">
        <f>COUNTIFS(缺陷明细!$A$2:$A$50000,$B$4,缺陷明细!$G$2:$G$50000,$C46,缺陷明细!$J$2:$J$50000,"运维测试",缺陷明细!$K$2:$K$50000,"致命",缺陷明细!$AB$2:$AB$50000,"&lt;&gt;丢弃",缺陷明细!$AB$2:$AB$50000,"&lt;&gt;设计如此",缺陷明细!$AB$2:$AB$50000,"&lt;&gt;重复Bug")+COUNTIFS(缺陷明细!$A$2:$A$50000,$B$4,缺陷明细!$G$2:$G$50000,$C46,缺陷明细!$J$2:$J$50000,"运维测试",缺陷明细!$K$2:$K$50000,"严重",缺陷明细!$AB$2:$AB$50000,"&lt;&gt;丢弃",缺陷明细!$AB$2:$AB$50000,"&lt;&gt;设计如此",缺陷明细!$AB$2:$AB$50000,"&lt;&gt;重复Bug")</f>
        <v>0</v>
      </c>
      <c r="AB46" s="73">
        <f>COUNTIFS(缺陷明细!$A$2:$A$50000,$B$4,缺陷明细!$G$2:$G$50000,$C46,缺陷明细!$Q$2:$Q$50000,"已关闭",缺陷明细!$J$2:$J$50000,"运维测试",缺陷明细!$K$2:$K$50000,"致命")+COUNTIFS(缺陷明细!$A$2:$A$50000,$B$4,缺陷明细!$G$2:$G$50000,$C46,缺陷明细!$Q$2:$Q$50000,"已关闭",缺陷明细!$J$2:$J$50000,"运维测试",缺陷明细!$K$2:$K$50000,"严重")</f>
        <v>0</v>
      </c>
      <c r="AC46" s="68">
        <f t="shared" si="0"/>
        <v>0</v>
      </c>
      <c r="AD46" s="60">
        <f t="shared" si="0"/>
        <v>0</v>
      </c>
      <c r="AE46" s="60">
        <f t="shared" si="1"/>
        <v>0</v>
      </c>
      <c r="AF46" s="60">
        <f t="shared" si="1"/>
        <v>0</v>
      </c>
      <c r="AG46" s="60">
        <f t="shared" si="2"/>
        <v>0</v>
      </c>
      <c r="AH46" s="60">
        <f t="shared" si="2"/>
        <v>0</v>
      </c>
      <c r="AI46" s="60">
        <f t="shared" si="3"/>
        <v>0</v>
      </c>
      <c r="AJ46" s="61">
        <f t="shared" si="3"/>
        <v>0</v>
      </c>
      <c r="AK46" s="144"/>
    </row>
    <row r="47" spans="1:37">
      <c r="A47">
        <v>43</v>
      </c>
      <c r="B47" s="57"/>
      <c r="C47" s="58"/>
      <c r="D47" s="84"/>
      <c r="E47" s="82"/>
      <c r="F47" s="158"/>
      <c r="G47" s="159"/>
      <c r="H47" s="281">
        <f>COUNTIFS(缺陷明细!$A$2:$A$50000,$B$4,缺陷明细!$G$2:$G$50000,$C47,缺陷明细!$J$2:$J$50000,"评审",缺陷明细!$AB$2:$AB$50000,"&lt;&gt;丢弃",缺陷明细!$AB$2:$AB$50000,"&lt;&gt;设计如此",缺陷明细!$AB$2:$AB$50000,"&lt;&gt;重复Bug")</f>
        <v>0</v>
      </c>
      <c r="I47" s="154">
        <f>COUNTIFS(缺陷明细!$A$2:$A$50000,$B$4,缺陷明细!$G$2:$G$50000,$C47,缺陷明细!$Q$2:$Q$50000,"已关闭",缺陷明细!$J$2:$J$50000,"评审")</f>
        <v>0</v>
      </c>
      <c r="J47" s="154">
        <f>COUNTIFS(缺陷明细!$A$2:$A$50000,$B$4,缺陷明细!$G$2:$G$50000,$C47,缺陷明细!$J$2:$J$50000,"单元测试",缺陷明细!$AB$2:$AB$50000,"&lt;&gt;丢弃",缺陷明细!$AB$2:$AB$50000,"&lt;&gt;设计如此",缺陷明细!$AB$2:$AB$50000,"&lt;&gt;重复Bug")</f>
        <v>0</v>
      </c>
      <c r="K47" s="155">
        <f>COUNTIFS(缺陷明细!$A$2:$A$50000,$B$4,缺陷明细!$G$2:$G$50000,$C47,缺陷明细!$Q$2:$Q$50000,"已关闭",缺陷明细!$J$2:$J$50000,"单元测试")</f>
        <v>0</v>
      </c>
      <c r="L47" s="156"/>
      <c r="M47" s="157"/>
      <c r="N47" s="72">
        <f>COUNTIFS(缺陷明细!$A$2:$A$50000,$B$4,缺陷明细!$G$2:$G$50000,$C47,缺陷明细!$J$2:$J$50000,"系统测试案例评审",缺陷明细!$AB$2:$AB$50000,"&lt;&gt;丢弃",缺陷明细!$AB$2:$AB$50000,"&lt;&gt;设计如此",缺陷明细!$AB$2:$AB$50000,"&lt;&gt;重复Bug")</f>
        <v>0</v>
      </c>
      <c r="O47" s="72">
        <f>COUNTIFS(缺陷明细!$A$2:$A$50000,$B$4,缺陷明细!$G$2:$G$50000,$C47,缺陷明细!$Q$2:$Q$50000,"已关闭",缺陷明细!$J$2:$J$50000,"系统测试案例评审")</f>
        <v>0</v>
      </c>
      <c r="P47" s="72">
        <f>COUNTIFS(缺陷明细!$A$2:$A$50000,$B$4,缺陷明细!$G$2:$G$50000,$C47,缺陷明细!$J$2:$J$50000,"系统测试",缺陷明细!$AB$2:$AB$50000,"&lt;&gt;丢弃",缺陷明细!$AB$2:$AB$50000,"&lt;&gt;设计如此",缺陷明细!$AB$2:$AB$50000,"&lt;&gt;重复Bug")</f>
        <v>0</v>
      </c>
      <c r="Q47" s="72">
        <f>COUNTIFS(缺陷明细!$A$2:$A$50000,$B$4,缺陷明细!$G$2:$G$50000,$C47,缺陷明细!$Q$2:$Q$50000,"已关闭",缺陷明细!$J$2:$J$50000,"系统测试")</f>
        <v>0</v>
      </c>
      <c r="R47" s="296">
        <f>COUNTIFS(缺陷明细!$A$2:$A$50000,$B$4,缺陷明细!$G$2:$G$50000,$C47,缺陷明细!$AB$2:$AB$50000,"丢弃",缺陷明细!$J$2:$J$50000,"系统测试")+COUNTIFS(缺陷明细!$A$2:$A$50000,$B$4,缺陷明细!$G$2:$G$50000,$C47,缺陷明细!$AB$2:$AB$50000,"设计如此",缺陷明细!$J$2:$J$50000,"系统测试")+COUNTIFS(缺陷明细!$A$2:$A$50000,$B$4,缺陷明细!$G$2:$G$50000,$C47,缺陷明细!$AB$2:$AB$50000,"重复Bug",缺陷明细!$J$2:$J$50000,"系统测试")</f>
        <v>0</v>
      </c>
      <c r="S47" s="72">
        <f>COUNTIFS(缺陷明细!$A$2:$A$50000,$B$4,缺陷明细!$G$2:$G$50000,$C47,缺陷明细!$J$2:$J$50000,"系统测试",缺陷明细!$K$2:$K$50000,"致命",缺陷明细!$AB$2:$AB$50000,"&lt;&gt;丢弃",缺陷明细!$AB$2:$AB$50000,"&lt;&gt;设计如此",缺陷明细!$AB$2:$AB$50000,"&lt;&gt;重复Bug")+COUNTIFS(缺陷明细!$A$2:$A$50000,$B$4,缺陷明细!$G$2:$G$50000,$C47,缺陷明细!$J$2:$J$50000,"系统测试",缺陷明细!$K$2:$K$50000,"严重",缺陷明细!$AB$2:$AB$50000,"&lt;&gt;丢弃",缺陷明细!$AB$2:$AB$50000,"&lt;&gt;设计如此",缺陷明细!$AB$2:$AB$50000,"&lt;&gt;重复Bug")</f>
        <v>0</v>
      </c>
      <c r="T47" s="73">
        <f>COUNTIFS(缺陷明细!$A$2:$A$50000,$B$4,缺陷明细!$G$2:$G$50000,$C47,缺陷明细!$Q$2:$Q$50000,"已关闭",缺陷明细!$J$2:$J$50000,"系统测试",缺陷明细!$K$2:$K$50000,"致命")+COUNTIFS(缺陷明细!$A$2:$A$50000,$B$4,缺陷明细!$G$2:$G$50000,$C47,缺陷明细!$Q$2:$Q$50000,"已关闭",缺陷明细!$J$2:$J$50000,"系统测试",缺陷明细!$K$2:$K$50000,"严重")</f>
        <v>0</v>
      </c>
      <c r="U47" s="74">
        <f>COUNTIFS(缺陷明细!$A$2:$A$50000,$B$4,缺陷明细!$G$2:$G$50000,$C47,缺陷明细!$J$2:$J$50000,"验收测试",缺陷明细!$AB$2:$AB$50000,"&lt;&gt;丢弃",缺陷明细!$AB$2:$AB$50000,"&lt;&gt;设计如此",缺陷明细!$AB$2:$AB$50000,"&lt;&gt;重复Bug")</f>
        <v>0</v>
      </c>
      <c r="V47" s="75">
        <f>COUNTIFS(缺陷明细!$A$2:$A$50000,$B$4,缺陷明细!$G$2:$G$50000,$C47,缺陷明细!$Q$2:$Q$50000,"已关闭",缺陷明细!$J$2:$J$50000,"验收测试")</f>
        <v>0</v>
      </c>
      <c r="W47" s="75">
        <f>COUNTIFS(缺陷明细!$A$2:$A$50000,$B$4,缺陷明细!$G$2:$G$50000,$C47,缺陷明细!$J$2:$J$50000,"验收测试",缺陷明细!$K$2:$K$50000,"致命",缺陷明细!$AB$2:$AB$50000,"&lt;&gt;丢弃",缺陷明细!$AB$2:$AB$50000,"&lt;&gt;设计如此",缺陷明细!$AB$2:$AB$50000,"&lt;&gt;重复Bug")+COUNTIFS(缺陷明细!$A$2:$A$50000,$B$4,缺陷明细!$G$2:$G$50000,$C47,缺陷明细!$J$2:$J$50000,"验收测试",缺陷明细!$K$2:$K$50000,"严重",缺陷明细!$AB$2:$AB$50000,"&lt;&gt;丢弃",缺陷明细!$AB$2:$AB$50000,"&lt;&gt;设计如此",缺陷明细!$AB$2:$AB$50000,"&lt;&gt;重复Bug")</f>
        <v>0</v>
      </c>
      <c r="X47" s="76">
        <f>COUNTIFS(缺陷明细!$A$2:$A$50000,$B$4,缺陷明细!$G$2:$G$50000,$C47,缺陷明细!$Q$2:$Q$50000,"已关闭",缺陷明细!$J$2:$J$50000,"验收测试",缺陷明细!$K$2:$K$50000,"致命")+COUNTIFS(缺陷明细!$A$2:$A$50000,$B$4,缺陷明细!$G$2:$G$50000,$C47,缺陷明细!$Q$2:$Q$50000,"已关闭",缺陷明细!$J$2:$J$50000,"验收测试",缺陷明细!$K$2:$K$50000,"严重")</f>
        <v>0</v>
      </c>
      <c r="Y47" s="70">
        <f>COUNTIFS(缺陷明细!$A$2:$A$50000,$B$4,缺陷明细!$G$2:$G$50000,$C47,缺陷明细!$J$2:$J$50000,"运维测试",缺陷明细!$AB$2:$AB$50000,"&lt;&gt;丢弃",缺陷明细!$AB$2:$AB$50000,"&lt;&gt;设计如此",缺陷明细!$AB$2:$AB$50000,"&lt;&gt;重复Bug")</f>
        <v>0</v>
      </c>
      <c r="Z47" s="71">
        <f>COUNTIFS(缺陷明细!$A$2:$A$50000,$B$4,缺陷明细!$G$2:$G$50000,$C47,缺陷明细!$Q$2:$Q$50000,"已关闭",缺陷明细!$J$2:$J$50000,"运维测试")</f>
        <v>0</v>
      </c>
      <c r="AA47" s="72">
        <f>COUNTIFS(缺陷明细!$A$2:$A$50000,$B$4,缺陷明细!$G$2:$G$50000,$C47,缺陷明细!$J$2:$J$50000,"运维测试",缺陷明细!$K$2:$K$50000,"致命",缺陷明细!$AB$2:$AB$50000,"&lt;&gt;丢弃",缺陷明细!$AB$2:$AB$50000,"&lt;&gt;设计如此",缺陷明细!$AB$2:$AB$50000,"&lt;&gt;重复Bug")+COUNTIFS(缺陷明细!$A$2:$A$50000,$B$4,缺陷明细!$G$2:$G$50000,$C47,缺陷明细!$J$2:$J$50000,"运维测试",缺陷明细!$K$2:$K$50000,"严重",缺陷明细!$AB$2:$AB$50000,"&lt;&gt;丢弃",缺陷明细!$AB$2:$AB$50000,"&lt;&gt;设计如此",缺陷明细!$AB$2:$AB$50000,"&lt;&gt;重复Bug")</f>
        <v>0</v>
      </c>
      <c r="AB47" s="73">
        <f>COUNTIFS(缺陷明细!$A$2:$A$50000,$B$4,缺陷明细!$G$2:$G$50000,$C47,缺陷明细!$Q$2:$Q$50000,"已关闭",缺陷明细!$J$2:$J$50000,"运维测试",缺陷明细!$K$2:$K$50000,"致命")+COUNTIFS(缺陷明细!$A$2:$A$50000,$B$4,缺陷明细!$G$2:$G$50000,$C47,缺陷明细!$Q$2:$Q$50000,"已关闭",缺陷明细!$J$2:$J$50000,"运维测试",缺陷明细!$K$2:$K$50000,"严重")</f>
        <v>0</v>
      </c>
      <c r="AC47" s="68">
        <f t="shared" si="0"/>
        <v>0</v>
      </c>
      <c r="AD47" s="60">
        <f t="shared" si="0"/>
        <v>0</v>
      </c>
      <c r="AE47" s="60">
        <f t="shared" si="1"/>
        <v>0</v>
      </c>
      <c r="AF47" s="60">
        <f t="shared" si="1"/>
        <v>0</v>
      </c>
      <c r="AG47" s="60">
        <f t="shared" si="2"/>
        <v>0</v>
      </c>
      <c r="AH47" s="60">
        <f t="shared" si="2"/>
        <v>0</v>
      </c>
      <c r="AI47" s="60">
        <f t="shared" si="3"/>
        <v>0</v>
      </c>
      <c r="AJ47" s="61">
        <f t="shared" si="3"/>
        <v>0</v>
      </c>
      <c r="AK47" s="144"/>
    </row>
    <row r="48" spans="1:37">
      <c r="A48">
        <v>44</v>
      </c>
      <c r="B48" s="57"/>
      <c r="C48" s="58"/>
      <c r="D48" s="84"/>
      <c r="E48" s="82"/>
      <c r="F48" s="158"/>
      <c r="G48" s="159"/>
      <c r="H48" s="281">
        <f>COUNTIFS(缺陷明细!$A$2:$A$50000,$B$4,缺陷明细!$G$2:$G$50000,$C48,缺陷明细!$J$2:$J$50000,"评审",缺陷明细!$AB$2:$AB$50000,"&lt;&gt;丢弃",缺陷明细!$AB$2:$AB$50000,"&lt;&gt;设计如此",缺陷明细!$AB$2:$AB$50000,"&lt;&gt;重复Bug")</f>
        <v>0</v>
      </c>
      <c r="I48" s="154">
        <f>COUNTIFS(缺陷明细!$A$2:$A$50000,$B$4,缺陷明细!$G$2:$G$50000,$C48,缺陷明细!$Q$2:$Q$50000,"已关闭",缺陷明细!$J$2:$J$50000,"评审")</f>
        <v>0</v>
      </c>
      <c r="J48" s="154">
        <f>COUNTIFS(缺陷明细!$A$2:$A$50000,$B$4,缺陷明细!$G$2:$G$50000,$C48,缺陷明细!$J$2:$J$50000,"单元测试",缺陷明细!$AB$2:$AB$50000,"&lt;&gt;丢弃",缺陷明细!$AB$2:$AB$50000,"&lt;&gt;设计如此",缺陷明细!$AB$2:$AB$50000,"&lt;&gt;重复Bug")</f>
        <v>0</v>
      </c>
      <c r="K48" s="155">
        <f>COUNTIFS(缺陷明细!$A$2:$A$50000,$B$4,缺陷明细!$G$2:$G$50000,$C48,缺陷明细!$Q$2:$Q$50000,"已关闭",缺陷明细!$J$2:$J$50000,"单元测试")</f>
        <v>0</v>
      </c>
      <c r="L48" s="156"/>
      <c r="M48" s="157"/>
      <c r="N48" s="72">
        <f>COUNTIFS(缺陷明细!$A$2:$A$50000,$B$4,缺陷明细!$G$2:$G$50000,$C48,缺陷明细!$J$2:$J$50000,"系统测试案例评审",缺陷明细!$AB$2:$AB$50000,"&lt;&gt;丢弃",缺陷明细!$AB$2:$AB$50000,"&lt;&gt;设计如此",缺陷明细!$AB$2:$AB$50000,"&lt;&gt;重复Bug")</f>
        <v>0</v>
      </c>
      <c r="O48" s="72">
        <f>COUNTIFS(缺陷明细!$A$2:$A$50000,$B$4,缺陷明细!$G$2:$G$50000,$C48,缺陷明细!$Q$2:$Q$50000,"已关闭",缺陷明细!$J$2:$J$50000,"系统测试案例评审")</f>
        <v>0</v>
      </c>
      <c r="P48" s="72">
        <f>COUNTIFS(缺陷明细!$A$2:$A$50000,$B$4,缺陷明细!$G$2:$G$50000,$C48,缺陷明细!$J$2:$J$50000,"系统测试",缺陷明细!$AB$2:$AB$50000,"&lt;&gt;丢弃",缺陷明细!$AB$2:$AB$50000,"&lt;&gt;设计如此",缺陷明细!$AB$2:$AB$50000,"&lt;&gt;重复Bug")</f>
        <v>0</v>
      </c>
      <c r="Q48" s="72">
        <f>COUNTIFS(缺陷明细!$A$2:$A$50000,$B$4,缺陷明细!$G$2:$G$50000,$C48,缺陷明细!$Q$2:$Q$50000,"已关闭",缺陷明细!$J$2:$J$50000,"系统测试")</f>
        <v>0</v>
      </c>
      <c r="R48" s="296">
        <f>COUNTIFS(缺陷明细!$A$2:$A$50000,$B$4,缺陷明细!$G$2:$G$50000,$C48,缺陷明细!$AB$2:$AB$50000,"丢弃",缺陷明细!$J$2:$J$50000,"系统测试")+COUNTIFS(缺陷明细!$A$2:$A$50000,$B$4,缺陷明细!$G$2:$G$50000,$C48,缺陷明细!$AB$2:$AB$50000,"设计如此",缺陷明细!$J$2:$J$50000,"系统测试")+COUNTIFS(缺陷明细!$A$2:$A$50000,$B$4,缺陷明细!$G$2:$G$50000,$C48,缺陷明细!$AB$2:$AB$50000,"重复Bug",缺陷明细!$J$2:$J$50000,"系统测试")</f>
        <v>0</v>
      </c>
      <c r="S48" s="72">
        <f>COUNTIFS(缺陷明细!$A$2:$A$50000,$B$4,缺陷明细!$G$2:$G$50000,$C48,缺陷明细!$J$2:$J$50000,"系统测试",缺陷明细!$K$2:$K$50000,"致命",缺陷明细!$AB$2:$AB$50000,"&lt;&gt;丢弃",缺陷明细!$AB$2:$AB$50000,"&lt;&gt;设计如此",缺陷明细!$AB$2:$AB$50000,"&lt;&gt;重复Bug")+COUNTIFS(缺陷明细!$A$2:$A$50000,$B$4,缺陷明细!$G$2:$G$50000,$C48,缺陷明细!$J$2:$J$50000,"系统测试",缺陷明细!$K$2:$K$50000,"严重",缺陷明细!$AB$2:$AB$50000,"&lt;&gt;丢弃",缺陷明细!$AB$2:$AB$50000,"&lt;&gt;设计如此",缺陷明细!$AB$2:$AB$50000,"&lt;&gt;重复Bug")</f>
        <v>0</v>
      </c>
      <c r="T48" s="73">
        <f>COUNTIFS(缺陷明细!$A$2:$A$50000,$B$4,缺陷明细!$G$2:$G$50000,$C48,缺陷明细!$Q$2:$Q$50000,"已关闭",缺陷明细!$J$2:$J$50000,"系统测试",缺陷明细!$K$2:$K$50000,"致命")+COUNTIFS(缺陷明细!$A$2:$A$50000,$B$4,缺陷明细!$G$2:$G$50000,$C48,缺陷明细!$Q$2:$Q$50000,"已关闭",缺陷明细!$J$2:$J$50000,"系统测试",缺陷明细!$K$2:$K$50000,"严重")</f>
        <v>0</v>
      </c>
      <c r="U48" s="74">
        <f>COUNTIFS(缺陷明细!$A$2:$A$50000,$B$4,缺陷明细!$G$2:$G$50000,$C48,缺陷明细!$J$2:$J$50000,"验收测试",缺陷明细!$AB$2:$AB$50000,"&lt;&gt;丢弃",缺陷明细!$AB$2:$AB$50000,"&lt;&gt;设计如此",缺陷明细!$AB$2:$AB$50000,"&lt;&gt;重复Bug")</f>
        <v>0</v>
      </c>
      <c r="V48" s="75">
        <f>COUNTIFS(缺陷明细!$A$2:$A$50000,$B$4,缺陷明细!$G$2:$G$50000,$C48,缺陷明细!$Q$2:$Q$50000,"已关闭",缺陷明细!$J$2:$J$50000,"验收测试")</f>
        <v>0</v>
      </c>
      <c r="W48" s="75">
        <f>COUNTIFS(缺陷明细!$A$2:$A$50000,$B$4,缺陷明细!$G$2:$G$50000,$C48,缺陷明细!$J$2:$J$50000,"验收测试",缺陷明细!$K$2:$K$50000,"致命",缺陷明细!$AB$2:$AB$50000,"&lt;&gt;丢弃",缺陷明细!$AB$2:$AB$50000,"&lt;&gt;设计如此",缺陷明细!$AB$2:$AB$50000,"&lt;&gt;重复Bug")+COUNTIFS(缺陷明细!$A$2:$A$50000,$B$4,缺陷明细!$G$2:$G$50000,$C48,缺陷明细!$J$2:$J$50000,"验收测试",缺陷明细!$K$2:$K$50000,"严重",缺陷明细!$AB$2:$AB$50000,"&lt;&gt;丢弃",缺陷明细!$AB$2:$AB$50000,"&lt;&gt;设计如此",缺陷明细!$AB$2:$AB$50000,"&lt;&gt;重复Bug")</f>
        <v>0</v>
      </c>
      <c r="X48" s="76">
        <f>COUNTIFS(缺陷明细!$A$2:$A$50000,$B$4,缺陷明细!$G$2:$G$50000,$C48,缺陷明细!$Q$2:$Q$50000,"已关闭",缺陷明细!$J$2:$J$50000,"验收测试",缺陷明细!$K$2:$K$50000,"致命")+COUNTIFS(缺陷明细!$A$2:$A$50000,$B$4,缺陷明细!$G$2:$G$50000,$C48,缺陷明细!$Q$2:$Q$50000,"已关闭",缺陷明细!$J$2:$J$50000,"验收测试",缺陷明细!$K$2:$K$50000,"严重")</f>
        <v>0</v>
      </c>
      <c r="Y48" s="70">
        <f>COUNTIFS(缺陷明细!$A$2:$A$50000,$B$4,缺陷明细!$G$2:$G$50000,$C48,缺陷明细!$J$2:$J$50000,"运维测试",缺陷明细!$AB$2:$AB$50000,"&lt;&gt;丢弃",缺陷明细!$AB$2:$AB$50000,"&lt;&gt;设计如此",缺陷明细!$AB$2:$AB$50000,"&lt;&gt;重复Bug")</f>
        <v>0</v>
      </c>
      <c r="Z48" s="71">
        <f>COUNTIFS(缺陷明细!$A$2:$A$50000,$B$4,缺陷明细!$G$2:$G$50000,$C48,缺陷明细!$Q$2:$Q$50000,"已关闭",缺陷明细!$J$2:$J$50000,"运维测试")</f>
        <v>0</v>
      </c>
      <c r="AA48" s="72">
        <f>COUNTIFS(缺陷明细!$A$2:$A$50000,$B$4,缺陷明细!$G$2:$G$50000,$C48,缺陷明细!$J$2:$J$50000,"运维测试",缺陷明细!$K$2:$K$50000,"致命",缺陷明细!$AB$2:$AB$50000,"&lt;&gt;丢弃",缺陷明细!$AB$2:$AB$50000,"&lt;&gt;设计如此",缺陷明细!$AB$2:$AB$50000,"&lt;&gt;重复Bug")+COUNTIFS(缺陷明细!$A$2:$A$50000,$B$4,缺陷明细!$G$2:$G$50000,$C48,缺陷明细!$J$2:$J$50000,"运维测试",缺陷明细!$K$2:$K$50000,"严重",缺陷明细!$AB$2:$AB$50000,"&lt;&gt;丢弃",缺陷明细!$AB$2:$AB$50000,"&lt;&gt;设计如此",缺陷明细!$AB$2:$AB$50000,"&lt;&gt;重复Bug")</f>
        <v>0</v>
      </c>
      <c r="AB48" s="73">
        <f>COUNTIFS(缺陷明细!$A$2:$A$50000,$B$4,缺陷明细!$G$2:$G$50000,$C48,缺陷明细!$Q$2:$Q$50000,"已关闭",缺陷明细!$J$2:$J$50000,"运维测试",缺陷明细!$K$2:$K$50000,"致命")+COUNTIFS(缺陷明细!$A$2:$A$50000,$B$4,缺陷明细!$G$2:$G$50000,$C48,缺陷明细!$Q$2:$Q$50000,"已关闭",缺陷明细!$J$2:$J$50000,"运维测试",缺陷明细!$K$2:$K$50000,"严重")</f>
        <v>0</v>
      </c>
      <c r="AC48" s="68">
        <f t="shared" si="0"/>
        <v>0</v>
      </c>
      <c r="AD48" s="60">
        <f t="shared" si="0"/>
        <v>0</v>
      </c>
      <c r="AE48" s="60">
        <f t="shared" si="1"/>
        <v>0</v>
      </c>
      <c r="AF48" s="60">
        <f t="shared" si="1"/>
        <v>0</v>
      </c>
      <c r="AG48" s="60">
        <f t="shared" si="2"/>
        <v>0</v>
      </c>
      <c r="AH48" s="60">
        <f t="shared" si="2"/>
        <v>0</v>
      </c>
      <c r="AI48" s="60">
        <f t="shared" si="3"/>
        <v>0</v>
      </c>
      <c r="AJ48" s="61">
        <f t="shared" si="3"/>
        <v>0</v>
      </c>
      <c r="AK48" s="144"/>
    </row>
    <row r="49" spans="1:37">
      <c r="A49">
        <v>45</v>
      </c>
      <c r="B49" s="57"/>
      <c r="C49" s="58"/>
      <c r="D49" s="84"/>
      <c r="E49" s="82"/>
      <c r="F49" s="158"/>
      <c r="G49" s="159"/>
      <c r="H49" s="281">
        <f>COUNTIFS(缺陷明细!$A$2:$A$50000,$B$4,缺陷明细!$G$2:$G$50000,$C49,缺陷明细!$J$2:$J$50000,"评审",缺陷明细!$AB$2:$AB$50000,"&lt;&gt;丢弃",缺陷明细!$AB$2:$AB$50000,"&lt;&gt;设计如此",缺陷明细!$AB$2:$AB$50000,"&lt;&gt;重复Bug")</f>
        <v>0</v>
      </c>
      <c r="I49" s="154">
        <f>COUNTIFS(缺陷明细!$A$2:$A$50000,$B$4,缺陷明细!$G$2:$G$50000,$C49,缺陷明细!$Q$2:$Q$50000,"已关闭",缺陷明细!$J$2:$J$50000,"评审")</f>
        <v>0</v>
      </c>
      <c r="J49" s="154">
        <f>COUNTIFS(缺陷明细!$A$2:$A$50000,$B$4,缺陷明细!$G$2:$G$50000,$C49,缺陷明细!$J$2:$J$50000,"单元测试",缺陷明细!$AB$2:$AB$50000,"&lt;&gt;丢弃",缺陷明细!$AB$2:$AB$50000,"&lt;&gt;设计如此",缺陷明细!$AB$2:$AB$50000,"&lt;&gt;重复Bug")</f>
        <v>0</v>
      </c>
      <c r="K49" s="155">
        <f>COUNTIFS(缺陷明细!$A$2:$A$50000,$B$4,缺陷明细!$G$2:$G$50000,$C49,缺陷明细!$Q$2:$Q$50000,"已关闭",缺陷明细!$J$2:$J$50000,"单元测试")</f>
        <v>0</v>
      </c>
      <c r="L49" s="156"/>
      <c r="M49" s="157"/>
      <c r="N49" s="72">
        <f>COUNTIFS(缺陷明细!$A$2:$A$50000,$B$4,缺陷明细!$G$2:$G$50000,$C49,缺陷明细!$J$2:$J$50000,"系统测试案例评审",缺陷明细!$AB$2:$AB$50000,"&lt;&gt;丢弃",缺陷明细!$AB$2:$AB$50000,"&lt;&gt;设计如此",缺陷明细!$AB$2:$AB$50000,"&lt;&gt;重复Bug")</f>
        <v>0</v>
      </c>
      <c r="O49" s="72">
        <f>COUNTIFS(缺陷明细!$A$2:$A$50000,$B$4,缺陷明细!$G$2:$G$50000,$C49,缺陷明细!$Q$2:$Q$50000,"已关闭",缺陷明细!$J$2:$J$50000,"系统测试案例评审")</f>
        <v>0</v>
      </c>
      <c r="P49" s="72">
        <f>COUNTIFS(缺陷明细!$A$2:$A$50000,$B$4,缺陷明细!$G$2:$G$50000,$C49,缺陷明细!$J$2:$J$50000,"系统测试",缺陷明细!$AB$2:$AB$50000,"&lt;&gt;丢弃",缺陷明细!$AB$2:$AB$50000,"&lt;&gt;设计如此",缺陷明细!$AB$2:$AB$50000,"&lt;&gt;重复Bug")</f>
        <v>0</v>
      </c>
      <c r="Q49" s="72">
        <f>COUNTIFS(缺陷明细!$A$2:$A$50000,$B$4,缺陷明细!$G$2:$G$50000,$C49,缺陷明细!$Q$2:$Q$50000,"已关闭",缺陷明细!$J$2:$J$50000,"系统测试")</f>
        <v>0</v>
      </c>
      <c r="R49" s="296">
        <f>COUNTIFS(缺陷明细!$A$2:$A$50000,$B$4,缺陷明细!$G$2:$G$50000,$C49,缺陷明细!$AB$2:$AB$50000,"丢弃",缺陷明细!$J$2:$J$50000,"系统测试")+COUNTIFS(缺陷明细!$A$2:$A$50000,$B$4,缺陷明细!$G$2:$G$50000,$C49,缺陷明细!$AB$2:$AB$50000,"设计如此",缺陷明细!$J$2:$J$50000,"系统测试")+COUNTIFS(缺陷明细!$A$2:$A$50000,$B$4,缺陷明细!$G$2:$G$50000,$C49,缺陷明细!$AB$2:$AB$50000,"重复Bug",缺陷明细!$J$2:$J$50000,"系统测试")</f>
        <v>0</v>
      </c>
      <c r="S49" s="72">
        <f>COUNTIFS(缺陷明细!$A$2:$A$50000,$B$4,缺陷明细!$G$2:$G$50000,$C49,缺陷明细!$J$2:$J$50000,"系统测试",缺陷明细!$K$2:$K$50000,"致命",缺陷明细!$AB$2:$AB$50000,"&lt;&gt;丢弃",缺陷明细!$AB$2:$AB$50000,"&lt;&gt;设计如此",缺陷明细!$AB$2:$AB$50000,"&lt;&gt;重复Bug")+COUNTIFS(缺陷明细!$A$2:$A$50000,$B$4,缺陷明细!$G$2:$G$50000,$C49,缺陷明细!$J$2:$J$50000,"系统测试",缺陷明细!$K$2:$K$50000,"严重",缺陷明细!$AB$2:$AB$50000,"&lt;&gt;丢弃",缺陷明细!$AB$2:$AB$50000,"&lt;&gt;设计如此",缺陷明细!$AB$2:$AB$50000,"&lt;&gt;重复Bug")</f>
        <v>0</v>
      </c>
      <c r="T49" s="73">
        <f>COUNTIFS(缺陷明细!$A$2:$A$50000,$B$4,缺陷明细!$G$2:$G$50000,$C49,缺陷明细!$Q$2:$Q$50000,"已关闭",缺陷明细!$J$2:$J$50000,"系统测试",缺陷明细!$K$2:$K$50000,"致命")+COUNTIFS(缺陷明细!$A$2:$A$50000,$B$4,缺陷明细!$G$2:$G$50000,$C49,缺陷明细!$Q$2:$Q$50000,"已关闭",缺陷明细!$J$2:$J$50000,"系统测试",缺陷明细!$K$2:$K$50000,"严重")</f>
        <v>0</v>
      </c>
      <c r="U49" s="74">
        <f>COUNTIFS(缺陷明细!$A$2:$A$50000,$B$4,缺陷明细!$G$2:$G$50000,$C49,缺陷明细!$J$2:$J$50000,"验收测试",缺陷明细!$AB$2:$AB$50000,"&lt;&gt;丢弃",缺陷明细!$AB$2:$AB$50000,"&lt;&gt;设计如此",缺陷明细!$AB$2:$AB$50000,"&lt;&gt;重复Bug")</f>
        <v>0</v>
      </c>
      <c r="V49" s="75">
        <f>COUNTIFS(缺陷明细!$A$2:$A$50000,$B$4,缺陷明细!$G$2:$G$50000,$C49,缺陷明细!$Q$2:$Q$50000,"已关闭",缺陷明细!$J$2:$J$50000,"验收测试")</f>
        <v>0</v>
      </c>
      <c r="W49" s="75">
        <f>COUNTIFS(缺陷明细!$A$2:$A$50000,$B$4,缺陷明细!$G$2:$G$50000,$C49,缺陷明细!$J$2:$J$50000,"验收测试",缺陷明细!$K$2:$K$50000,"致命",缺陷明细!$AB$2:$AB$50000,"&lt;&gt;丢弃",缺陷明细!$AB$2:$AB$50000,"&lt;&gt;设计如此",缺陷明细!$AB$2:$AB$50000,"&lt;&gt;重复Bug")+COUNTIFS(缺陷明细!$A$2:$A$50000,$B$4,缺陷明细!$G$2:$G$50000,$C49,缺陷明细!$J$2:$J$50000,"验收测试",缺陷明细!$K$2:$K$50000,"严重",缺陷明细!$AB$2:$AB$50000,"&lt;&gt;丢弃",缺陷明细!$AB$2:$AB$50000,"&lt;&gt;设计如此",缺陷明细!$AB$2:$AB$50000,"&lt;&gt;重复Bug")</f>
        <v>0</v>
      </c>
      <c r="X49" s="76">
        <f>COUNTIFS(缺陷明细!$A$2:$A$50000,$B$4,缺陷明细!$G$2:$G$50000,$C49,缺陷明细!$Q$2:$Q$50000,"已关闭",缺陷明细!$J$2:$J$50000,"验收测试",缺陷明细!$K$2:$K$50000,"致命")+COUNTIFS(缺陷明细!$A$2:$A$50000,$B$4,缺陷明细!$G$2:$G$50000,$C49,缺陷明细!$Q$2:$Q$50000,"已关闭",缺陷明细!$J$2:$J$50000,"验收测试",缺陷明细!$K$2:$K$50000,"严重")</f>
        <v>0</v>
      </c>
      <c r="Y49" s="70">
        <f>COUNTIFS(缺陷明细!$A$2:$A$50000,$B$4,缺陷明细!$G$2:$G$50000,$C49,缺陷明细!$J$2:$J$50000,"运维测试",缺陷明细!$AB$2:$AB$50000,"&lt;&gt;丢弃",缺陷明细!$AB$2:$AB$50000,"&lt;&gt;设计如此",缺陷明细!$AB$2:$AB$50000,"&lt;&gt;重复Bug")</f>
        <v>0</v>
      </c>
      <c r="Z49" s="71">
        <f>COUNTIFS(缺陷明细!$A$2:$A$50000,$B$4,缺陷明细!$G$2:$G$50000,$C49,缺陷明细!$Q$2:$Q$50000,"已关闭",缺陷明细!$J$2:$J$50000,"运维测试")</f>
        <v>0</v>
      </c>
      <c r="AA49" s="72">
        <f>COUNTIFS(缺陷明细!$A$2:$A$50000,$B$4,缺陷明细!$G$2:$G$50000,$C49,缺陷明细!$J$2:$J$50000,"运维测试",缺陷明细!$K$2:$K$50000,"致命",缺陷明细!$AB$2:$AB$50000,"&lt;&gt;丢弃",缺陷明细!$AB$2:$AB$50000,"&lt;&gt;设计如此",缺陷明细!$AB$2:$AB$50000,"&lt;&gt;重复Bug")+COUNTIFS(缺陷明细!$A$2:$A$50000,$B$4,缺陷明细!$G$2:$G$50000,$C49,缺陷明细!$J$2:$J$50000,"运维测试",缺陷明细!$K$2:$K$50000,"严重",缺陷明细!$AB$2:$AB$50000,"&lt;&gt;丢弃",缺陷明细!$AB$2:$AB$50000,"&lt;&gt;设计如此",缺陷明细!$AB$2:$AB$50000,"&lt;&gt;重复Bug")</f>
        <v>0</v>
      </c>
      <c r="AB49" s="73">
        <f>COUNTIFS(缺陷明细!$A$2:$A$50000,$B$4,缺陷明细!$G$2:$G$50000,$C49,缺陷明细!$Q$2:$Q$50000,"已关闭",缺陷明细!$J$2:$J$50000,"运维测试",缺陷明细!$K$2:$K$50000,"致命")+COUNTIFS(缺陷明细!$A$2:$A$50000,$B$4,缺陷明细!$G$2:$G$50000,$C49,缺陷明细!$Q$2:$Q$50000,"已关闭",缺陷明细!$J$2:$J$50000,"运维测试",缺陷明细!$K$2:$K$50000,"严重")</f>
        <v>0</v>
      </c>
      <c r="AC49" s="68">
        <f t="shared" si="0"/>
        <v>0</v>
      </c>
      <c r="AD49" s="60">
        <f t="shared" si="0"/>
        <v>0</v>
      </c>
      <c r="AE49" s="60">
        <f t="shared" si="1"/>
        <v>0</v>
      </c>
      <c r="AF49" s="60">
        <f t="shared" si="1"/>
        <v>0</v>
      </c>
      <c r="AG49" s="60">
        <f t="shared" si="2"/>
        <v>0</v>
      </c>
      <c r="AH49" s="60">
        <f t="shared" si="2"/>
        <v>0</v>
      </c>
      <c r="AI49" s="60">
        <f t="shared" si="3"/>
        <v>0</v>
      </c>
      <c r="AJ49" s="61">
        <f t="shared" si="3"/>
        <v>0</v>
      </c>
      <c r="AK49" s="144"/>
    </row>
    <row r="50" spans="1:37">
      <c r="A50">
        <v>46</v>
      </c>
      <c r="B50" s="57"/>
      <c r="C50" s="58"/>
      <c r="D50" s="84"/>
      <c r="E50" s="82"/>
      <c r="F50" s="158"/>
      <c r="G50" s="159"/>
      <c r="H50" s="281">
        <f>COUNTIFS(缺陷明细!$A$2:$A$50000,$B$4,缺陷明细!$G$2:$G$50000,$C50,缺陷明细!$J$2:$J$50000,"评审",缺陷明细!$AB$2:$AB$50000,"&lt;&gt;丢弃",缺陷明细!$AB$2:$AB$50000,"&lt;&gt;设计如此",缺陷明细!$AB$2:$AB$50000,"&lt;&gt;重复Bug")</f>
        <v>0</v>
      </c>
      <c r="I50" s="154">
        <f>COUNTIFS(缺陷明细!$A$2:$A$50000,$B$4,缺陷明细!$G$2:$G$50000,$C50,缺陷明细!$Q$2:$Q$50000,"已关闭",缺陷明细!$J$2:$J$50000,"评审")</f>
        <v>0</v>
      </c>
      <c r="J50" s="154">
        <f>COUNTIFS(缺陷明细!$A$2:$A$50000,$B$4,缺陷明细!$G$2:$G$50000,$C50,缺陷明细!$J$2:$J$50000,"单元测试",缺陷明细!$AB$2:$AB$50000,"&lt;&gt;丢弃",缺陷明细!$AB$2:$AB$50000,"&lt;&gt;设计如此",缺陷明细!$AB$2:$AB$50000,"&lt;&gt;重复Bug")</f>
        <v>0</v>
      </c>
      <c r="K50" s="155">
        <f>COUNTIFS(缺陷明细!$A$2:$A$50000,$B$4,缺陷明细!$G$2:$G$50000,$C50,缺陷明细!$Q$2:$Q$50000,"已关闭",缺陷明细!$J$2:$J$50000,"单元测试")</f>
        <v>0</v>
      </c>
      <c r="L50" s="156"/>
      <c r="M50" s="157"/>
      <c r="N50" s="72">
        <f>COUNTIFS(缺陷明细!$A$2:$A$50000,$B$4,缺陷明细!$G$2:$G$50000,$C50,缺陷明细!$J$2:$J$50000,"系统测试案例评审",缺陷明细!$AB$2:$AB$50000,"&lt;&gt;丢弃",缺陷明细!$AB$2:$AB$50000,"&lt;&gt;设计如此",缺陷明细!$AB$2:$AB$50000,"&lt;&gt;重复Bug")</f>
        <v>0</v>
      </c>
      <c r="O50" s="72">
        <f>COUNTIFS(缺陷明细!$A$2:$A$50000,$B$4,缺陷明细!$G$2:$G$50000,$C50,缺陷明细!$Q$2:$Q$50000,"已关闭",缺陷明细!$J$2:$J$50000,"系统测试案例评审")</f>
        <v>0</v>
      </c>
      <c r="P50" s="72">
        <f>COUNTIFS(缺陷明细!$A$2:$A$50000,$B$4,缺陷明细!$G$2:$G$50000,$C50,缺陷明细!$J$2:$J$50000,"系统测试",缺陷明细!$AB$2:$AB$50000,"&lt;&gt;丢弃",缺陷明细!$AB$2:$AB$50000,"&lt;&gt;设计如此",缺陷明细!$AB$2:$AB$50000,"&lt;&gt;重复Bug")</f>
        <v>0</v>
      </c>
      <c r="Q50" s="72">
        <f>COUNTIFS(缺陷明细!$A$2:$A$50000,$B$4,缺陷明细!$G$2:$G$50000,$C50,缺陷明细!$Q$2:$Q$50000,"已关闭",缺陷明细!$J$2:$J$50000,"系统测试")</f>
        <v>0</v>
      </c>
      <c r="R50" s="296">
        <f>COUNTIFS(缺陷明细!$A$2:$A$50000,$B$4,缺陷明细!$G$2:$G$50000,$C50,缺陷明细!$AB$2:$AB$50000,"丢弃",缺陷明细!$J$2:$J$50000,"系统测试")+COUNTIFS(缺陷明细!$A$2:$A$50000,$B$4,缺陷明细!$G$2:$G$50000,$C50,缺陷明细!$AB$2:$AB$50000,"设计如此",缺陷明细!$J$2:$J$50000,"系统测试")+COUNTIFS(缺陷明细!$A$2:$A$50000,$B$4,缺陷明细!$G$2:$G$50000,$C50,缺陷明细!$AB$2:$AB$50000,"重复Bug",缺陷明细!$J$2:$J$50000,"系统测试")</f>
        <v>0</v>
      </c>
      <c r="S50" s="72">
        <f>COUNTIFS(缺陷明细!$A$2:$A$50000,$B$4,缺陷明细!$G$2:$G$50000,$C50,缺陷明细!$J$2:$J$50000,"系统测试",缺陷明细!$K$2:$K$50000,"致命",缺陷明细!$AB$2:$AB$50000,"&lt;&gt;丢弃",缺陷明细!$AB$2:$AB$50000,"&lt;&gt;设计如此",缺陷明细!$AB$2:$AB$50000,"&lt;&gt;重复Bug")+COUNTIFS(缺陷明细!$A$2:$A$50000,$B$4,缺陷明细!$G$2:$G$50000,$C50,缺陷明细!$J$2:$J$50000,"系统测试",缺陷明细!$K$2:$K$50000,"严重",缺陷明细!$AB$2:$AB$50000,"&lt;&gt;丢弃",缺陷明细!$AB$2:$AB$50000,"&lt;&gt;设计如此",缺陷明细!$AB$2:$AB$50000,"&lt;&gt;重复Bug")</f>
        <v>0</v>
      </c>
      <c r="T50" s="73">
        <f>COUNTIFS(缺陷明细!$A$2:$A$50000,$B$4,缺陷明细!$G$2:$G$50000,$C50,缺陷明细!$Q$2:$Q$50000,"已关闭",缺陷明细!$J$2:$J$50000,"系统测试",缺陷明细!$K$2:$K$50000,"致命")+COUNTIFS(缺陷明细!$A$2:$A$50000,$B$4,缺陷明细!$G$2:$G$50000,$C50,缺陷明细!$Q$2:$Q$50000,"已关闭",缺陷明细!$J$2:$J$50000,"系统测试",缺陷明细!$K$2:$K$50000,"严重")</f>
        <v>0</v>
      </c>
      <c r="U50" s="74">
        <f>COUNTIFS(缺陷明细!$A$2:$A$50000,$B$4,缺陷明细!$G$2:$G$50000,$C50,缺陷明细!$J$2:$J$50000,"验收测试",缺陷明细!$AB$2:$AB$50000,"&lt;&gt;丢弃",缺陷明细!$AB$2:$AB$50000,"&lt;&gt;设计如此",缺陷明细!$AB$2:$AB$50000,"&lt;&gt;重复Bug")</f>
        <v>0</v>
      </c>
      <c r="V50" s="75">
        <f>COUNTIFS(缺陷明细!$A$2:$A$50000,$B$4,缺陷明细!$G$2:$G$50000,$C50,缺陷明细!$Q$2:$Q$50000,"已关闭",缺陷明细!$J$2:$J$50000,"验收测试")</f>
        <v>0</v>
      </c>
      <c r="W50" s="75">
        <f>COUNTIFS(缺陷明细!$A$2:$A$50000,$B$4,缺陷明细!$G$2:$G$50000,$C50,缺陷明细!$J$2:$J$50000,"验收测试",缺陷明细!$K$2:$K$50000,"致命",缺陷明细!$AB$2:$AB$50000,"&lt;&gt;丢弃",缺陷明细!$AB$2:$AB$50000,"&lt;&gt;设计如此",缺陷明细!$AB$2:$AB$50000,"&lt;&gt;重复Bug")+COUNTIFS(缺陷明细!$A$2:$A$50000,$B$4,缺陷明细!$G$2:$G$50000,$C50,缺陷明细!$J$2:$J$50000,"验收测试",缺陷明细!$K$2:$K$50000,"严重",缺陷明细!$AB$2:$AB$50000,"&lt;&gt;丢弃",缺陷明细!$AB$2:$AB$50000,"&lt;&gt;设计如此",缺陷明细!$AB$2:$AB$50000,"&lt;&gt;重复Bug")</f>
        <v>0</v>
      </c>
      <c r="X50" s="76">
        <f>COUNTIFS(缺陷明细!$A$2:$A$50000,$B$4,缺陷明细!$G$2:$G$50000,$C50,缺陷明细!$Q$2:$Q$50000,"已关闭",缺陷明细!$J$2:$J$50000,"验收测试",缺陷明细!$K$2:$K$50000,"致命")+COUNTIFS(缺陷明细!$A$2:$A$50000,$B$4,缺陷明细!$G$2:$G$50000,$C50,缺陷明细!$Q$2:$Q$50000,"已关闭",缺陷明细!$J$2:$J$50000,"验收测试",缺陷明细!$K$2:$K$50000,"严重")</f>
        <v>0</v>
      </c>
      <c r="Y50" s="70">
        <f>COUNTIFS(缺陷明细!$A$2:$A$50000,$B$4,缺陷明细!$G$2:$G$50000,$C50,缺陷明细!$J$2:$J$50000,"运维测试",缺陷明细!$AB$2:$AB$50000,"&lt;&gt;丢弃",缺陷明细!$AB$2:$AB$50000,"&lt;&gt;设计如此",缺陷明细!$AB$2:$AB$50000,"&lt;&gt;重复Bug")</f>
        <v>0</v>
      </c>
      <c r="Z50" s="71">
        <f>COUNTIFS(缺陷明细!$A$2:$A$50000,$B$4,缺陷明细!$G$2:$G$50000,$C50,缺陷明细!$Q$2:$Q$50000,"已关闭",缺陷明细!$J$2:$J$50000,"运维测试")</f>
        <v>0</v>
      </c>
      <c r="AA50" s="72">
        <f>COUNTIFS(缺陷明细!$A$2:$A$50000,$B$4,缺陷明细!$G$2:$G$50000,$C50,缺陷明细!$J$2:$J$50000,"运维测试",缺陷明细!$K$2:$K$50000,"致命",缺陷明细!$AB$2:$AB$50000,"&lt;&gt;丢弃",缺陷明细!$AB$2:$AB$50000,"&lt;&gt;设计如此",缺陷明细!$AB$2:$AB$50000,"&lt;&gt;重复Bug")+COUNTIFS(缺陷明细!$A$2:$A$50000,$B$4,缺陷明细!$G$2:$G$50000,$C50,缺陷明细!$J$2:$J$50000,"运维测试",缺陷明细!$K$2:$K$50000,"严重",缺陷明细!$AB$2:$AB$50000,"&lt;&gt;丢弃",缺陷明细!$AB$2:$AB$50000,"&lt;&gt;设计如此",缺陷明细!$AB$2:$AB$50000,"&lt;&gt;重复Bug")</f>
        <v>0</v>
      </c>
      <c r="AB50" s="73">
        <f>COUNTIFS(缺陷明细!$A$2:$A$50000,$B$4,缺陷明细!$G$2:$G$50000,$C50,缺陷明细!$Q$2:$Q$50000,"已关闭",缺陷明细!$J$2:$J$50000,"运维测试",缺陷明细!$K$2:$K$50000,"致命")+COUNTIFS(缺陷明细!$A$2:$A$50000,$B$4,缺陷明细!$G$2:$G$50000,$C50,缺陷明细!$Q$2:$Q$50000,"已关闭",缺陷明细!$J$2:$J$50000,"运维测试",缺陷明细!$K$2:$K$50000,"严重")</f>
        <v>0</v>
      </c>
      <c r="AC50" s="68">
        <f t="shared" si="0"/>
        <v>0</v>
      </c>
      <c r="AD50" s="60">
        <f t="shared" si="0"/>
        <v>0</v>
      </c>
      <c r="AE50" s="60">
        <f t="shared" si="1"/>
        <v>0</v>
      </c>
      <c r="AF50" s="60">
        <f t="shared" si="1"/>
        <v>0</v>
      </c>
      <c r="AG50" s="60">
        <f t="shared" si="2"/>
        <v>0</v>
      </c>
      <c r="AH50" s="60">
        <f t="shared" si="2"/>
        <v>0</v>
      </c>
      <c r="AI50" s="60">
        <f t="shared" si="3"/>
        <v>0</v>
      </c>
      <c r="AJ50" s="61">
        <f t="shared" si="3"/>
        <v>0</v>
      </c>
      <c r="AK50" s="144"/>
    </row>
    <row r="51" spans="1:37">
      <c r="A51">
        <v>47</v>
      </c>
      <c r="B51" s="57"/>
      <c r="C51" s="58"/>
      <c r="D51" s="84"/>
      <c r="E51" s="82"/>
      <c r="F51" s="158"/>
      <c r="G51" s="159"/>
      <c r="H51" s="281">
        <f>COUNTIFS(缺陷明细!$A$2:$A$50000,$B$4,缺陷明细!$G$2:$G$50000,$C51,缺陷明细!$J$2:$J$50000,"评审",缺陷明细!$AB$2:$AB$50000,"&lt;&gt;丢弃",缺陷明细!$AB$2:$AB$50000,"&lt;&gt;设计如此",缺陷明细!$AB$2:$AB$50000,"&lt;&gt;重复Bug")</f>
        <v>0</v>
      </c>
      <c r="I51" s="154">
        <f>COUNTIFS(缺陷明细!$A$2:$A$50000,$B$4,缺陷明细!$G$2:$G$50000,$C51,缺陷明细!$Q$2:$Q$50000,"已关闭",缺陷明细!$J$2:$J$50000,"评审")</f>
        <v>0</v>
      </c>
      <c r="J51" s="154">
        <f>COUNTIFS(缺陷明细!$A$2:$A$50000,$B$4,缺陷明细!$G$2:$G$50000,$C51,缺陷明细!$J$2:$J$50000,"单元测试",缺陷明细!$AB$2:$AB$50000,"&lt;&gt;丢弃",缺陷明细!$AB$2:$AB$50000,"&lt;&gt;设计如此",缺陷明细!$AB$2:$AB$50000,"&lt;&gt;重复Bug")</f>
        <v>0</v>
      </c>
      <c r="K51" s="155">
        <f>COUNTIFS(缺陷明细!$A$2:$A$50000,$B$4,缺陷明细!$G$2:$G$50000,$C51,缺陷明细!$Q$2:$Q$50000,"已关闭",缺陷明细!$J$2:$J$50000,"单元测试")</f>
        <v>0</v>
      </c>
      <c r="L51" s="156"/>
      <c r="M51" s="157"/>
      <c r="N51" s="72">
        <f>COUNTIFS(缺陷明细!$A$2:$A$50000,$B$4,缺陷明细!$G$2:$G$50000,$C51,缺陷明细!$J$2:$J$50000,"系统测试案例评审",缺陷明细!$AB$2:$AB$50000,"&lt;&gt;丢弃",缺陷明细!$AB$2:$AB$50000,"&lt;&gt;设计如此",缺陷明细!$AB$2:$AB$50000,"&lt;&gt;重复Bug")</f>
        <v>0</v>
      </c>
      <c r="O51" s="72">
        <f>COUNTIFS(缺陷明细!$A$2:$A$50000,$B$4,缺陷明细!$G$2:$G$50000,$C51,缺陷明细!$Q$2:$Q$50000,"已关闭",缺陷明细!$J$2:$J$50000,"系统测试案例评审")</f>
        <v>0</v>
      </c>
      <c r="P51" s="72">
        <f>COUNTIFS(缺陷明细!$A$2:$A$50000,$B$4,缺陷明细!$G$2:$G$50000,$C51,缺陷明细!$J$2:$J$50000,"系统测试",缺陷明细!$AB$2:$AB$50000,"&lt;&gt;丢弃",缺陷明细!$AB$2:$AB$50000,"&lt;&gt;设计如此",缺陷明细!$AB$2:$AB$50000,"&lt;&gt;重复Bug")</f>
        <v>0</v>
      </c>
      <c r="Q51" s="72">
        <f>COUNTIFS(缺陷明细!$A$2:$A$50000,$B$4,缺陷明细!$G$2:$G$50000,$C51,缺陷明细!$Q$2:$Q$50000,"已关闭",缺陷明细!$J$2:$J$50000,"系统测试")</f>
        <v>0</v>
      </c>
      <c r="R51" s="296">
        <f>COUNTIFS(缺陷明细!$A$2:$A$50000,$B$4,缺陷明细!$G$2:$G$50000,$C51,缺陷明细!$AB$2:$AB$50000,"丢弃",缺陷明细!$J$2:$J$50000,"系统测试")+COUNTIFS(缺陷明细!$A$2:$A$50000,$B$4,缺陷明细!$G$2:$G$50000,$C51,缺陷明细!$AB$2:$AB$50000,"设计如此",缺陷明细!$J$2:$J$50000,"系统测试")+COUNTIFS(缺陷明细!$A$2:$A$50000,$B$4,缺陷明细!$G$2:$G$50000,$C51,缺陷明细!$AB$2:$AB$50000,"重复Bug",缺陷明细!$J$2:$J$50000,"系统测试")</f>
        <v>0</v>
      </c>
      <c r="S51" s="72">
        <f>COUNTIFS(缺陷明细!$A$2:$A$50000,$B$4,缺陷明细!$G$2:$G$50000,$C51,缺陷明细!$J$2:$J$50000,"系统测试",缺陷明细!$K$2:$K$50000,"致命",缺陷明细!$AB$2:$AB$50000,"&lt;&gt;丢弃",缺陷明细!$AB$2:$AB$50000,"&lt;&gt;设计如此",缺陷明细!$AB$2:$AB$50000,"&lt;&gt;重复Bug")+COUNTIFS(缺陷明细!$A$2:$A$50000,$B$4,缺陷明细!$G$2:$G$50000,$C51,缺陷明细!$J$2:$J$50000,"系统测试",缺陷明细!$K$2:$K$50000,"严重",缺陷明细!$AB$2:$AB$50000,"&lt;&gt;丢弃",缺陷明细!$AB$2:$AB$50000,"&lt;&gt;设计如此",缺陷明细!$AB$2:$AB$50000,"&lt;&gt;重复Bug")</f>
        <v>0</v>
      </c>
      <c r="T51" s="73">
        <f>COUNTIFS(缺陷明细!$A$2:$A$50000,$B$4,缺陷明细!$G$2:$G$50000,$C51,缺陷明细!$Q$2:$Q$50000,"已关闭",缺陷明细!$J$2:$J$50000,"系统测试",缺陷明细!$K$2:$K$50000,"致命")+COUNTIFS(缺陷明细!$A$2:$A$50000,$B$4,缺陷明细!$G$2:$G$50000,$C51,缺陷明细!$Q$2:$Q$50000,"已关闭",缺陷明细!$J$2:$J$50000,"系统测试",缺陷明细!$K$2:$K$50000,"严重")</f>
        <v>0</v>
      </c>
      <c r="U51" s="74">
        <f>COUNTIFS(缺陷明细!$A$2:$A$50000,$B$4,缺陷明细!$G$2:$G$50000,$C51,缺陷明细!$J$2:$J$50000,"验收测试",缺陷明细!$AB$2:$AB$50000,"&lt;&gt;丢弃",缺陷明细!$AB$2:$AB$50000,"&lt;&gt;设计如此",缺陷明细!$AB$2:$AB$50000,"&lt;&gt;重复Bug")</f>
        <v>0</v>
      </c>
      <c r="V51" s="75">
        <f>COUNTIFS(缺陷明细!$A$2:$A$50000,$B$4,缺陷明细!$G$2:$G$50000,$C51,缺陷明细!$Q$2:$Q$50000,"已关闭",缺陷明细!$J$2:$J$50000,"验收测试")</f>
        <v>0</v>
      </c>
      <c r="W51" s="75">
        <f>COUNTIFS(缺陷明细!$A$2:$A$50000,$B$4,缺陷明细!$G$2:$G$50000,$C51,缺陷明细!$J$2:$J$50000,"验收测试",缺陷明细!$K$2:$K$50000,"致命",缺陷明细!$AB$2:$AB$50000,"&lt;&gt;丢弃",缺陷明细!$AB$2:$AB$50000,"&lt;&gt;设计如此",缺陷明细!$AB$2:$AB$50000,"&lt;&gt;重复Bug")+COUNTIFS(缺陷明细!$A$2:$A$50000,$B$4,缺陷明细!$G$2:$G$50000,$C51,缺陷明细!$J$2:$J$50000,"验收测试",缺陷明细!$K$2:$K$50000,"严重",缺陷明细!$AB$2:$AB$50000,"&lt;&gt;丢弃",缺陷明细!$AB$2:$AB$50000,"&lt;&gt;设计如此",缺陷明细!$AB$2:$AB$50000,"&lt;&gt;重复Bug")</f>
        <v>0</v>
      </c>
      <c r="X51" s="76">
        <f>COUNTIFS(缺陷明细!$A$2:$A$50000,$B$4,缺陷明细!$G$2:$G$50000,$C51,缺陷明细!$Q$2:$Q$50000,"已关闭",缺陷明细!$J$2:$J$50000,"验收测试",缺陷明细!$K$2:$K$50000,"致命")+COUNTIFS(缺陷明细!$A$2:$A$50000,$B$4,缺陷明细!$G$2:$G$50000,$C51,缺陷明细!$Q$2:$Q$50000,"已关闭",缺陷明细!$J$2:$J$50000,"验收测试",缺陷明细!$K$2:$K$50000,"严重")</f>
        <v>0</v>
      </c>
      <c r="Y51" s="70">
        <f>COUNTIFS(缺陷明细!$A$2:$A$50000,$B$4,缺陷明细!$G$2:$G$50000,$C51,缺陷明细!$J$2:$J$50000,"运维测试",缺陷明细!$AB$2:$AB$50000,"&lt;&gt;丢弃",缺陷明细!$AB$2:$AB$50000,"&lt;&gt;设计如此",缺陷明细!$AB$2:$AB$50000,"&lt;&gt;重复Bug")</f>
        <v>0</v>
      </c>
      <c r="Z51" s="71">
        <f>COUNTIFS(缺陷明细!$A$2:$A$50000,$B$4,缺陷明细!$G$2:$G$50000,$C51,缺陷明细!$Q$2:$Q$50000,"已关闭",缺陷明细!$J$2:$J$50000,"运维测试")</f>
        <v>0</v>
      </c>
      <c r="AA51" s="72">
        <f>COUNTIFS(缺陷明细!$A$2:$A$50000,$B$4,缺陷明细!$G$2:$G$50000,$C51,缺陷明细!$J$2:$J$50000,"运维测试",缺陷明细!$K$2:$K$50000,"致命",缺陷明细!$AB$2:$AB$50000,"&lt;&gt;丢弃",缺陷明细!$AB$2:$AB$50000,"&lt;&gt;设计如此",缺陷明细!$AB$2:$AB$50000,"&lt;&gt;重复Bug")+COUNTIFS(缺陷明细!$A$2:$A$50000,$B$4,缺陷明细!$G$2:$G$50000,$C51,缺陷明细!$J$2:$J$50000,"运维测试",缺陷明细!$K$2:$K$50000,"严重",缺陷明细!$AB$2:$AB$50000,"&lt;&gt;丢弃",缺陷明细!$AB$2:$AB$50000,"&lt;&gt;设计如此",缺陷明细!$AB$2:$AB$50000,"&lt;&gt;重复Bug")</f>
        <v>0</v>
      </c>
      <c r="AB51" s="73">
        <f>COUNTIFS(缺陷明细!$A$2:$A$50000,$B$4,缺陷明细!$G$2:$G$50000,$C51,缺陷明细!$Q$2:$Q$50000,"已关闭",缺陷明细!$J$2:$J$50000,"运维测试",缺陷明细!$K$2:$K$50000,"致命")+COUNTIFS(缺陷明细!$A$2:$A$50000,$B$4,缺陷明细!$G$2:$G$50000,$C51,缺陷明细!$Q$2:$Q$50000,"已关闭",缺陷明细!$J$2:$J$50000,"运维测试",缺陷明细!$K$2:$K$50000,"严重")</f>
        <v>0</v>
      </c>
      <c r="AC51" s="68">
        <f t="shared" si="0"/>
        <v>0</v>
      </c>
      <c r="AD51" s="60">
        <f t="shared" si="0"/>
        <v>0</v>
      </c>
      <c r="AE51" s="60">
        <f t="shared" si="1"/>
        <v>0</v>
      </c>
      <c r="AF51" s="60">
        <f t="shared" si="1"/>
        <v>0</v>
      </c>
      <c r="AG51" s="60">
        <f t="shared" si="2"/>
        <v>0</v>
      </c>
      <c r="AH51" s="60">
        <f t="shared" si="2"/>
        <v>0</v>
      </c>
      <c r="AI51" s="60">
        <f t="shared" si="3"/>
        <v>0</v>
      </c>
      <c r="AJ51" s="61">
        <f t="shared" si="3"/>
        <v>0</v>
      </c>
      <c r="AK51" s="144"/>
    </row>
    <row r="52" spans="1:37">
      <c r="A52">
        <v>48</v>
      </c>
      <c r="B52" s="57"/>
      <c r="C52" s="58"/>
      <c r="D52" s="84"/>
      <c r="E52" s="82"/>
      <c r="F52" s="158"/>
      <c r="G52" s="159"/>
      <c r="H52" s="281">
        <f>COUNTIFS(缺陷明细!$A$2:$A$50000,$B$4,缺陷明细!$G$2:$G$50000,$C52,缺陷明细!$J$2:$J$50000,"评审",缺陷明细!$AB$2:$AB$50000,"&lt;&gt;丢弃",缺陷明细!$AB$2:$AB$50000,"&lt;&gt;设计如此",缺陷明细!$AB$2:$AB$50000,"&lt;&gt;重复Bug")</f>
        <v>0</v>
      </c>
      <c r="I52" s="154">
        <f>COUNTIFS(缺陷明细!$A$2:$A$50000,$B$4,缺陷明细!$G$2:$G$50000,$C52,缺陷明细!$Q$2:$Q$50000,"已关闭",缺陷明细!$J$2:$J$50000,"评审")</f>
        <v>0</v>
      </c>
      <c r="J52" s="154">
        <f>COUNTIFS(缺陷明细!$A$2:$A$50000,$B$4,缺陷明细!$G$2:$G$50000,$C52,缺陷明细!$J$2:$J$50000,"单元测试",缺陷明细!$AB$2:$AB$50000,"&lt;&gt;丢弃",缺陷明细!$AB$2:$AB$50000,"&lt;&gt;设计如此",缺陷明细!$AB$2:$AB$50000,"&lt;&gt;重复Bug")</f>
        <v>0</v>
      </c>
      <c r="K52" s="155">
        <f>COUNTIFS(缺陷明细!$A$2:$A$50000,$B$4,缺陷明细!$G$2:$G$50000,$C52,缺陷明细!$Q$2:$Q$50000,"已关闭",缺陷明细!$J$2:$J$50000,"单元测试")</f>
        <v>0</v>
      </c>
      <c r="L52" s="156"/>
      <c r="M52" s="157"/>
      <c r="N52" s="72">
        <f>COUNTIFS(缺陷明细!$A$2:$A$50000,$B$4,缺陷明细!$G$2:$G$50000,$C52,缺陷明细!$J$2:$J$50000,"系统测试案例评审",缺陷明细!$AB$2:$AB$50000,"&lt;&gt;丢弃",缺陷明细!$AB$2:$AB$50000,"&lt;&gt;设计如此",缺陷明细!$AB$2:$AB$50000,"&lt;&gt;重复Bug")</f>
        <v>0</v>
      </c>
      <c r="O52" s="72">
        <f>COUNTIFS(缺陷明细!$A$2:$A$50000,$B$4,缺陷明细!$G$2:$G$50000,$C52,缺陷明细!$Q$2:$Q$50000,"已关闭",缺陷明细!$J$2:$J$50000,"系统测试案例评审")</f>
        <v>0</v>
      </c>
      <c r="P52" s="72">
        <f>COUNTIFS(缺陷明细!$A$2:$A$50000,$B$4,缺陷明细!$G$2:$G$50000,$C52,缺陷明细!$J$2:$J$50000,"系统测试",缺陷明细!$AB$2:$AB$50000,"&lt;&gt;丢弃",缺陷明细!$AB$2:$AB$50000,"&lt;&gt;设计如此",缺陷明细!$AB$2:$AB$50000,"&lt;&gt;重复Bug")</f>
        <v>0</v>
      </c>
      <c r="Q52" s="72">
        <f>COUNTIFS(缺陷明细!$A$2:$A$50000,$B$4,缺陷明细!$G$2:$G$50000,$C52,缺陷明细!$Q$2:$Q$50000,"已关闭",缺陷明细!$J$2:$J$50000,"系统测试")</f>
        <v>0</v>
      </c>
      <c r="R52" s="296">
        <f>COUNTIFS(缺陷明细!$A$2:$A$50000,$B$4,缺陷明细!$G$2:$G$50000,$C52,缺陷明细!$AB$2:$AB$50000,"丢弃",缺陷明细!$J$2:$J$50000,"系统测试")+COUNTIFS(缺陷明细!$A$2:$A$50000,$B$4,缺陷明细!$G$2:$G$50000,$C52,缺陷明细!$AB$2:$AB$50000,"设计如此",缺陷明细!$J$2:$J$50000,"系统测试")+COUNTIFS(缺陷明细!$A$2:$A$50000,$B$4,缺陷明细!$G$2:$G$50000,$C52,缺陷明细!$AB$2:$AB$50000,"重复Bug",缺陷明细!$J$2:$J$50000,"系统测试")</f>
        <v>0</v>
      </c>
      <c r="S52" s="72">
        <f>COUNTIFS(缺陷明细!$A$2:$A$50000,$B$4,缺陷明细!$G$2:$G$50000,$C52,缺陷明细!$J$2:$J$50000,"系统测试",缺陷明细!$K$2:$K$50000,"致命",缺陷明细!$AB$2:$AB$50000,"&lt;&gt;丢弃",缺陷明细!$AB$2:$AB$50000,"&lt;&gt;设计如此",缺陷明细!$AB$2:$AB$50000,"&lt;&gt;重复Bug")+COUNTIFS(缺陷明细!$A$2:$A$50000,$B$4,缺陷明细!$G$2:$G$50000,$C52,缺陷明细!$J$2:$J$50000,"系统测试",缺陷明细!$K$2:$K$50000,"严重",缺陷明细!$AB$2:$AB$50000,"&lt;&gt;丢弃",缺陷明细!$AB$2:$AB$50000,"&lt;&gt;设计如此",缺陷明细!$AB$2:$AB$50000,"&lt;&gt;重复Bug")</f>
        <v>0</v>
      </c>
      <c r="T52" s="73">
        <f>COUNTIFS(缺陷明细!$A$2:$A$50000,$B$4,缺陷明细!$G$2:$G$50000,$C52,缺陷明细!$Q$2:$Q$50000,"已关闭",缺陷明细!$J$2:$J$50000,"系统测试",缺陷明细!$K$2:$K$50000,"致命")+COUNTIFS(缺陷明细!$A$2:$A$50000,$B$4,缺陷明细!$G$2:$G$50000,$C52,缺陷明细!$Q$2:$Q$50000,"已关闭",缺陷明细!$J$2:$J$50000,"系统测试",缺陷明细!$K$2:$K$50000,"严重")</f>
        <v>0</v>
      </c>
      <c r="U52" s="74">
        <f>COUNTIFS(缺陷明细!$A$2:$A$50000,$B$4,缺陷明细!$G$2:$G$50000,$C52,缺陷明细!$J$2:$J$50000,"验收测试",缺陷明细!$AB$2:$AB$50000,"&lt;&gt;丢弃",缺陷明细!$AB$2:$AB$50000,"&lt;&gt;设计如此",缺陷明细!$AB$2:$AB$50000,"&lt;&gt;重复Bug")</f>
        <v>0</v>
      </c>
      <c r="V52" s="75">
        <f>COUNTIFS(缺陷明细!$A$2:$A$50000,$B$4,缺陷明细!$G$2:$G$50000,$C52,缺陷明细!$Q$2:$Q$50000,"已关闭",缺陷明细!$J$2:$J$50000,"验收测试")</f>
        <v>0</v>
      </c>
      <c r="W52" s="75">
        <f>COUNTIFS(缺陷明细!$A$2:$A$50000,$B$4,缺陷明细!$G$2:$G$50000,$C52,缺陷明细!$J$2:$J$50000,"验收测试",缺陷明细!$K$2:$K$50000,"致命",缺陷明细!$AB$2:$AB$50000,"&lt;&gt;丢弃",缺陷明细!$AB$2:$AB$50000,"&lt;&gt;设计如此",缺陷明细!$AB$2:$AB$50000,"&lt;&gt;重复Bug")+COUNTIFS(缺陷明细!$A$2:$A$50000,$B$4,缺陷明细!$G$2:$G$50000,$C52,缺陷明细!$J$2:$J$50000,"验收测试",缺陷明细!$K$2:$K$50000,"严重",缺陷明细!$AB$2:$AB$50000,"&lt;&gt;丢弃",缺陷明细!$AB$2:$AB$50000,"&lt;&gt;设计如此",缺陷明细!$AB$2:$AB$50000,"&lt;&gt;重复Bug")</f>
        <v>0</v>
      </c>
      <c r="X52" s="76">
        <f>COUNTIFS(缺陷明细!$A$2:$A$50000,$B$4,缺陷明细!$G$2:$G$50000,$C52,缺陷明细!$Q$2:$Q$50000,"已关闭",缺陷明细!$J$2:$J$50000,"验收测试",缺陷明细!$K$2:$K$50000,"致命")+COUNTIFS(缺陷明细!$A$2:$A$50000,$B$4,缺陷明细!$G$2:$G$50000,$C52,缺陷明细!$Q$2:$Q$50000,"已关闭",缺陷明细!$J$2:$J$50000,"验收测试",缺陷明细!$K$2:$K$50000,"严重")</f>
        <v>0</v>
      </c>
      <c r="Y52" s="70">
        <f>COUNTIFS(缺陷明细!$A$2:$A$50000,$B$4,缺陷明细!$G$2:$G$50000,$C52,缺陷明细!$J$2:$J$50000,"运维测试",缺陷明细!$AB$2:$AB$50000,"&lt;&gt;丢弃",缺陷明细!$AB$2:$AB$50000,"&lt;&gt;设计如此",缺陷明细!$AB$2:$AB$50000,"&lt;&gt;重复Bug")</f>
        <v>0</v>
      </c>
      <c r="Z52" s="71">
        <f>COUNTIFS(缺陷明细!$A$2:$A$50000,$B$4,缺陷明细!$G$2:$G$50000,$C52,缺陷明细!$Q$2:$Q$50000,"已关闭",缺陷明细!$J$2:$J$50000,"运维测试")</f>
        <v>0</v>
      </c>
      <c r="AA52" s="72">
        <f>COUNTIFS(缺陷明细!$A$2:$A$50000,$B$4,缺陷明细!$G$2:$G$50000,$C52,缺陷明细!$J$2:$J$50000,"运维测试",缺陷明细!$K$2:$K$50000,"致命",缺陷明细!$AB$2:$AB$50000,"&lt;&gt;丢弃",缺陷明细!$AB$2:$AB$50000,"&lt;&gt;设计如此",缺陷明细!$AB$2:$AB$50000,"&lt;&gt;重复Bug")+COUNTIFS(缺陷明细!$A$2:$A$50000,$B$4,缺陷明细!$G$2:$G$50000,$C52,缺陷明细!$J$2:$J$50000,"运维测试",缺陷明细!$K$2:$K$50000,"严重",缺陷明细!$AB$2:$AB$50000,"&lt;&gt;丢弃",缺陷明细!$AB$2:$AB$50000,"&lt;&gt;设计如此",缺陷明细!$AB$2:$AB$50000,"&lt;&gt;重复Bug")</f>
        <v>0</v>
      </c>
      <c r="AB52" s="73">
        <f>COUNTIFS(缺陷明细!$A$2:$A$50000,$B$4,缺陷明细!$G$2:$G$50000,$C52,缺陷明细!$Q$2:$Q$50000,"已关闭",缺陷明细!$J$2:$J$50000,"运维测试",缺陷明细!$K$2:$K$50000,"致命")+COUNTIFS(缺陷明细!$A$2:$A$50000,$B$4,缺陷明细!$G$2:$G$50000,$C52,缺陷明细!$Q$2:$Q$50000,"已关闭",缺陷明细!$J$2:$J$50000,"运维测试",缺陷明细!$K$2:$K$50000,"严重")</f>
        <v>0</v>
      </c>
      <c r="AC52" s="68">
        <f t="shared" si="0"/>
        <v>0</v>
      </c>
      <c r="AD52" s="60">
        <f t="shared" si="0"/>
        <v>0</v>
      </c>
      <c r="AE52" s="60">
        <f t="shared" si="1"/>
        <v>0</v>
      </c>
      <c r="AF52" s="60">
        <f t="shared" si="1"/>
        <v>0</v>
      </c>
      <c r="AG52" s="60">
        <f t="shared" si="2"/>
        <v>0</v>
      </c>
      <c r="AH52" s="60">
        <f t="shared" si="2"/>
        <v>0</v>
      </c>
      <c r="AI52" s="60">
        <f t="shared" si="3"/>
        <v>0</v>
      </c>
      <c r="AJ52" s="61">
        <f t="shared" si="3"/>
        <v>0</v>
      </c>
      <c r="AK52" s="144"/>
    </row>
    <row r="53" spans="1:37">
      <c r="A53">
        <v>49</v>
      </c>
      <c r="B53" s="57"/>
      <c r="C53" s="58"/>
      <c r="D53" s="84"/>
      <c r="E53" s="82"/>
      <c r="F53" s="158"/>
      <c r="G53" s="159"/>
      <c r="H53" s="281">
        <f>COUNTIFS(缺陷明细!$A$2:$A$50000,$B$4,缺陷明细!$G$2:$G$50000,$C53,缺陷明细!$J$2:$J$50000,"评审",缺陷明细!$AB$2:$AB$50000,"&lt;&gt;丢弃",缺陷明细!$AB$2:$AB$50000,"&lt;&gt;设计如此",缺陷明细!$AB$2:$AB$50000,"&lt;&gt;重复Bug")</f>
        <v>0</v>
      </c>
      <c r="I53" s="154">
        <f>COUNTIFS(缺陷明细!$A$2:$A$50000,$B$4,缺陷明细!$G$2:$G$50000,$C53,缺陷明细!$Q$2:$Q$50000,"已关闭",缺陷明细!$J$2:$J$50000,"评审")</f>
        <v>0</v>
      </c>
      <c r="J53" s="154">
        <f>COUNTIFS(缺陷明细!$A$2:$A$50000,$B$4,缺陷明细!$G$2:$G$50000,$C53,缺陷明细!$J$2:$J$50000,"单元测试",缺陷明细!$AB$2:$AB$50000,"&lt;&gt;丢弃",缺陷明细!$AB$2:$AB$50000,"&lt;&gt;设计如此",缺陷明细!$AB$2:$AB$50000,"&lt;&gt;重复Bug")</f>
        <v>0</v>
      </c>
      <c r="K53" s="155">
        <f>COUNTIFS(缺陷明细!$A$2:$A$50000,$B$4,缺陷明细!$G$2:$G$50000,$C53,缺陷明细!$Q$2:$Q$50000,"已关闭",缺陷明细!$J$2:$J$50000,"单元测试")</f>
        <v>0</v>
      </c>
      <c r="L53" s="156"/>
      <c r="M53" s="157"/>
      <c r="N53" s="72">
        <f>COUNTIFS(缺陷明细!$A$2:$A$50000,$B$4,缺陷明细!$G$2:$G$50000,$C53,缺陷明细!$J$2:$J$50000,"系统测试案例评审",缺陷明细!$AB$2:$AB$50000,"&lt;&gt;丢弃",缺陷明细!$AB$2:$AB$50000,"&lt;&gt;设计如此",缺陷明细!$AB$2:$AB$50000,"&lt;&gt;重复Bug")</f>
        <v>0</v>
      </c>
      <c r="O53" s="72">
        <f>COUNTIFS(缺陷明细!$A$2:$A$50000,$B$4,缺陷明细!$G$2:$G$50000,$C53,缺陷明细!$Q$2:$Q$50000,"已关闭",缺陷明细!$J$2:$J$50000,"系统测试案例评审")</f>
        <v>0</v>
      </c>
      <c r="P53" s="72">
        <f>COUNTIFS(缺陷明细!$A$2:$A$50000,$B$4,缺陷明细!$G$2:$G$50000,$C53,缺陷明细!$J$2:$J$50000,"系统测试",缺陷明细!$AB$2:$AB$50000,"&lt;&gt;丢弃",缺陷明细!$AB$2:$AB$50000,"&lt;&gt;设计如此",缺陷明细!$AB$2:$AB$50000,"&lt;&gt;重复Bug")</f>
        <v>0</v>
      </c>
      <c r="Q53" s="72">
        <f>COUNTIFS(缺陷明细!$A$2:$A$50000,$B$4,缺陷明细!$G$2:$G$50000,$C53,缺陷明细!$Q$2:$Q$50000,"已关闭",缺陷明细!$J$2:$J$50000,"系统测试")</f>
        <v>0</v>
      </c>
      <c r="R53" s="296">
        <f>COUNTIFS(缺陷明细!$A$2:$A$50000,$B$4,缺陷明细!$G$2:$G$50000,$C53,缺陷明细!$AB$2:$AB$50000,"丢弃",缺陷明细!$J$2:$J$50000,"系统测试")+COUNTIFS(缺陷明细!$A$2:$A$50000,$B$4,缺陷明细!$G$2:$G$50000,$C53,缺陷明细!$AB$2:$AB$50000,"设计如此",缺陷明细!$J$2:$J$50000,"系统测试")+COUNTIFS(缺陷明细!$A$2:$A$50000,$B$4,缺陷明细!$G$2:$G$50000,$C53,缺陷明细!$AB$2:$AB$50000,"重复Bug",缺陷明细!$J$2:$J$50000,"系统测试")</f>
        <v>0</v>
      </c>
      <c r="S53" s="72">
        <f>COUNTIFS(缺陷明细!$A$2:$A$50000,$B$4,缺陷明细!$G$2:$G$50000,$C53,缺陷明细!$J$2:$J$50000,"系统测试",缺陷明细!$K$2:$K$50000,"致命",缺陷明细!$AB$2:$AB$50000,"&lt;&gt;丢弃",缺陷明细!$AB$2:$AB$50000,"&lt;&gt;设计如此",缺陷明细!$AB$2:$AB$50000,"&lt;&gt;重复Bug")+COUNTIFS(缺陷明细!$A$2:$A$50000,$B$4,缺陷明细!$G$2:$G$50000,$C53,缺陷明细!$J$2:$J$50000,"系统测试",缺陷明细!$K$2:$K$50000,"严重",缺陷明细!$AB$2:$AB$50000,"&lt;&gt;丢弃",缺陷明细!$AB$2:$AB$50000,"&lt;&gt;设计如此",缺陷明细!$AB$2:$AB$50000,"&lt;&gt;重复Bug")</f>
        <v>0</v>
      </c>
      <c r="T53" s="73">
        <f>COUNTIFS(缺陷明细!$A$2:$A$50000,$B$4,缺陷明细!$G$2:$G$50000,$C53,缺陷明细!$Q$2:$Q$50000,"已关闭",缺陷明细!$J$2:$J$50000,"系统测试",缺陷明细!$K$2:$K$50000,"致命")+COUNTIFS(缺陷明细!$A$2:$A$50000,$B$4,缺陷明细!$G$2:$G$50000,$C53,缺陷明细!$Q$2:$Q$50000,"已关闭",缺陷明细!$J$2:$J$50000,"系统测试",缺陷明细!$K$2:$K$50000,"严重")</f>
        <v>0</v>
      </c>
      <c r="U53" s="74">
        <f>COUNTIFS(缺陷明细!$A$2:$A$50000,$B$4,缺陷明细!$G$2:$G$50000,$C53,缺陷明细!$J$2:$J$50000,"验收测试",缺陷明细!$AB$2:$AB$50000,"&lt;&gt;丢弃",缺陷明细!$AB$2:$AB$50000,"&lt;&gt;设计如此",缺陷明细!$AB$2:$AB$50000,"&lt;&gt;重复Bug")</f>
        <v>0</v>
      </c>
      <c r="V53" s="75">
        <f>COUNTIFS(缺陷明细!$A$2:$A$50000,$B$4,缺陷明细!$G$2:$G$50000,$C53,缺陷明细!$Q$2:$Q$50000,"已关闭",缺陷明细!$J$2:$J$50000,"验收测试")</f>
        <v>0</v>
      </c>
      <c r="W53" s="75">
        <f>COUNTIFS(缺陷明细!$A$2:$A$50000,$B$4,缺陷明细!$G$2:$G$50000,$C53,缺陷明细!$J$2:$J$50000,"验收测试",缺陷明细!$K$2:$K$50000,"致命",缺陷明细!$AB$2:$AB$50000,"&lt;&gt;丢弃",缺陷明细!$AB$2:$AB$50000,"&lt;&gt;设计如此",缺陷明细!$AB$2:$AB$50000,"&lt;&gt;重复Bug")+COUNTIFS(缺陷明细!$A$2:$A$50000,$B$4,缺陷明细!$G$2:$G$50000,$C53,缺陷明细!$J$2:$J$50000,"验收测试",缺陷明细!$K$2:$K$50000,"严重",缺陷明细!$AB$2:$AB$50000,"&lt;&gt;丢弃",缺陷明细!$AB$2:$AB$50000,"&lt;&gt;设计如此",缺陷明细!$AB$2:$AB$50000,"&lt;&gt;重复Bug")</f>
        <v>0</v>
      </c>
      <c r="X53" s="76">
        <f>COUNTIFS(缺陷明细!$A$2:$A$50000,$B$4,缺陷明细!$G$2:$G$50000,$C53,缺陷明细!$Q$2:$Q$50000,"已关闭",缺陷明细!$J$2:$J$50000,"验收测试",缺陷明细!$K$2:$K$50000,"致命")+COUNTIFS(缺陷明细!$A$2:$A$50000,$B$4,缺陷明细!$G$2:$G$50000,$C53,缺陷明细!$Q$2:$Q$50000,"已关闭",缺陷明细!$J$2:$J$50000,"验收测试",缺陷明细!$K$2:$K$50000,"严重")</f>
        <v>0</v>
      </c>
      <c r="Y53" s="70">
        <f>COUNTIFS(缺陷明细!$A$2:$A$50000,$B$4,缺陷明细!$G$2:$G$50000,$C53,缺陷明细!$J$2:$J$50000,"运维测试",缺陷明细!$AB$2:$AB$50000,"&lt;&gt;丢弃",缺陷明细!$AB$2:$AB$50000,"&lt;&gt;设计如此",缺陷明细!$AB$2:$AB$50000,"&lt;&gt;重复Bug")</f>
        <v>0</v>
      </c>
      <c r="Z53" s="71">
        <f>COUNTIFS(缺陷明细!$A$2:$A$50000,$B$4,缺陷明细!$G$2:$G$50000,$C53,缺陷明细!$Q$2:$Q$50000,"已关闭",缺陷明细!$J$2:$J$50000,"运维测试")</f>
        <v>0</v>
      </c>
      <c r="AA53" s="72">
        <f>COUNTIFS(缺陷明细!$A$2:$A$50000,$B$4,缺陷明细!$G$2:$G$50000,$C53,缺陷明细!$J$2:$J$50000,"运维测试",缺陷明细!$K$2:$K$50000,"致命",缺陷明细!$AB$2:$AB$50000,"&lt;&gt;丢弃",缺陷明细!$AB$2:$AB$50000,"&lt;&gt;设计如此",缺陷明细!$AB$2:$AB$50000,"&lt;&gt;重复Bug")+COUNTIFS(缺陷明细!$A$2:$A$50000,$B$4,缺陷明细!$G$2:$G$50000,$C53,缺陷明细!$J$2:$J$50000,"运维测试",缺陷明细!$K$2:$K$50000,"严重",缺陷明细!$AB$2:$AB$50000,"&lt;&gt;丢弃",缺陷明细!$AB$2:$AB$50000,"&lt;&gt;设计如此",缺陷明细!$AB$2:$AB$50000,"&lt;&gt;重复Bug")</f>
        <v>0</v>
      </c>
      <c r="AB53" s="73">
        <f>COUNTIFS(缺陷明细!$A$2:$A$50000,$B$4,缺陷明细!$G$2:$G$50000,$C53,缺陷明细!$Q$2:$Q$50000,"已关闭",缺陷明细!$J$2:$J$50000,"运维测试",缺陷明细!$K$2:$K$50000,"致命")+COUNTIFS(缺陷明细!$A$2:$A$50000,$B$4,缺陷明细!$G$2:$G$50000,$C53,缺陷明细!$Q$2:$Q$50000,"已关闭",缺陷明细!$J$2:$J$50000,"运维测试",缺陷明细!$K$2:$K$50000,"严重")</f>
        <v>0</v>
      </c>
      <c r="AC53" s="68">
        <f t="shared" si="0"/>
        <v>0</v>
      </c>
      <c r="AD53" s="60">
        <f t="shared" si="0"/>
        <v>0</v>
      </c>
      <c r="AE53" s="60">
        <f t="shared" si="1"/>
        <v>0</v>
      </c>
      <c r="AF53" s="60">
        <f t="shared" si="1"/>
        <v>0</v>
      </c>
      <c r="AG53" s="60">
        <f t="shared" si="2"/>
        <v>0</v>
      </c>
      <c r="AH53" s="60">
        <f t="shared" si="2"/>
        <v>0</v>
      </c>
      <c r="AI53" s="60">
        <f t="shared" si="3"/>
        <v>0</v>
      </c>
      <c r="AJ53" s="61">
        <f t="shared" si="3"/>
        <v>0</v>
      </c>
      <c r="AK53" s="144"/>
    </row>
    <row r="54" spans="1:37">
      <c r="A54">
        <v>50</v>
      </c>
      <c r="B54" s="57"/>
      <c r="C54" s="58"/>
      <c r="D54" s="84"/>
      <c r="E54" s="82"/>
      <c r="F54" s="158"/>
      <c r="G54" s="159"/>
      <c r="H54" s="281">
        <f>COUNTIFS(缺陷明细!$A$2:$A$50000,$B$4,缺陷明细!$G$2:$G$50000,$C54,缺陷明细!$J$2:$J$50000,"评审",缺陷明细!$AB$2:$AB$50000,"&lt;&gt;丢弃",缺陷明细!$AB$2:$AB$50000,"&lt;&gt;设计如此",缺陷明细!$AB$2:$AB$50000,"&lt;&gt;重复Bug")</f>
        <v>0</v>
      </c>
      <c r="I54" s="154">
        <f>COUNTIFS(缺陷明细!$A$2:$A$50000,$B$4,缺陷明细!$G$2:$G$50000,$C54,缺陷明细!$Q$2:$Q$50000,"已关闭",缺陷明细!$J$2:$J$50000,"评审")</f>
        <v>0</v>
      </c>
      <c r="J54" s="154">
        <f>COUNTIFS(缺陷明细!$A$2:$A$50000,$B$4,缺陷明细!$G$2:$G$50000,$C54,缺陷明细!$J$2:$J$50000,"单元测试",缺陷明细!$AB$2:$AB$50000,"&lt;&gt;丢弃",缺陷明细!$AB$2:$AB$50000,"&lt;&gt;设计如此",缺陷明细!$AB$2:$AB$50000,"&lt;&gt;重复Bug")</f>
        <v>0</v>
      </c>
      <c r="K54" s="155">
        <f>COUNTIFS(缺陷明细!$A$2:$A$50000,$B$4,缺陷明细!$G$2:$G$50000,$C54,缺陷明细!$Q$2:$Q$50000,"已关闭",缺陷明细!$J$2:$J$50000,"单元测试")</f>
        <v>0</v>
      </c>
      <c r="L54" s="156"/>
      <c r="M54" s="157"/>
      <c r="N54" s="72">
        <f>COUNTIFS(缺陷明细!$A$2:$A$50000,$B$4,缺陷明细!$G$2:$G$50000,$C54,缺陷明细!$J$2:$J$50000,"系统测试案例评审",缺陷明细!$AB$2:$AB$50000,"&lt;&gt;丢弃",缺陷明细!$AB$2:$AB$50000,"&lt;&gt;设计如此",缺陷明细!$AB$2:$AB$50000,"&lt;&gt;重复Bug")</f>
        <v>0</v>
      </c>
      <c r="O54" s="72">
        <f>COUNTIFS(缺陷明细!$A$2:$A$50000,$B$4,缺陷明细!$G$2:$G$50000,$C54,缺陷明细!$Q$2:$Q$50000,"已关闭",缺陷明细!$J$2:$J$50000,"系统测试案例评审")</f>
        <v>0</v>
      </c>
      <c r="P54" s="72">
        <f>COUNTIFS(缺陷明细!$A$2:$A$50000,$B$4,缺陷明细!$G$2:$G$50000,$C54,缺陷明细!$J$2:$J$50000,"系统测试",缺陷明细!$AB$2:$AB$50000,"&lt;&gt;丢弃",缺陷明细!$AB$2:$AB$50000,"&lt;&gt;设计如此",缺陷明细!$AB$2:$AB$50000,"&lt;&gt;重复Bug")</f>
        <v>0</v>
      </c>
      <c r="Q54" s="72">
        <f>COUNTIFS(缺陷明细!$A$2:$A$50000,$B$4,缺陷明细!$G$2:$G$50000,$C54,缺陷明细!$Q$2:$Q$50000,"已关闭",缺陷明细!$J$2:$J$50000,"系统测试")</f>
        <v>0</v>
      </c>
      <c r="R54" s="296">
        <f>COUNTIFS(缺陷明细!$A$2:$A$50000,$B$4,缺陷明细!$G$2:$G$50000,$C54,缺陷明细!$AB$2:$AB$50000,"丢弃",缺陷明细!$J$2:$J$50000,"系统测试")+COUNTIFS(缺陷明细!$A$2:$A$50000,$B$4,缺陷明细!$G$2:$G$50000,$C54,缺陷明细!$AB$2:$AB$50000,"设计如此",缺陷明细!$J$2:$J$50000,"系统测试")+COUNTIFS(缺陷明细!$A$2:$A$50000,$B$4,缺陷明细!$G$2:$G$50000,$C54,缺陷明细!$AB$2:$AB$50000,"重复Bug",缺陷明细!$J$2:$J$50000,"系统测试")</f>
        <v>0</v>
      </c>
      <c r="S54" s="72">
        <f>COUNTIFS(缺陷明细!$A$2:$A$50000,$B$4,缺陷明细!$G$2:$G$50000,$C54,缺陷明细!$J$2:$J$50000,"系统测试",缺陷明细!$K$2:$K$50000,"致命",缺陷明细!$AB$2:$AB$50000,"&lt;&gt;丢弃",缺陷明细!$AB$2:$AB$50000,"&lt;&gt;设计如此",缺陷明细!$AB$2:$AB$50000,"&lt;&gt;重复Bug")+COUNTIFS(缺陷明细!$A$2:$A$50000,$B$4,缺陷明细!$G$2:$G$50000,$C54,缺陷明细!$J$2:$J$50000,"系统测试",缺陷明细!$K$2:$K$50000,"严重",缺陷明细!$AB$2:$AB$50000,"&lt;&gt;丢弃",缺陷明细!$AB$2:$AB$50000,"&lt;&gt;设计如此",缺陷明细!$AB$2:$AB$50000,"&lt;&gt;重复Bug")</f>
        <v>0</v>
      </c>
      <c r="T54" s="73">
        <f>COUNTIFS(缺陷明细!$A$2:$A$50000,$B$4,缺陷明细!$G$2:$G$50000,$C54,缺陷明细!$Q$2:$Q$50000,"已关闭",缺陷明细!$J$2:$J$50000,"系统测试",缺陷明细!$K$2:$K$50000,"致命")+COUNTIFS(缺陷明细!$A$2:$A$50000,$B$4,缺陷明细!$G$2:$G$50000,$C54,缺陷明细!$Q$2:$Q$50000,"已关闭",缺陷明细!$J$2:$J$50000,"系统测试",缺陷明细!$K$2:$K$50000,"严重")</f>
        <v>0</v>
      </c>
      <c r="U54" s="74">
        <f>COUNTIFS(缺陷明细!$A$2:$A$50000,$B$4,缺陷明细!$G$2:$G$50000,$C54,缺陷明细!$J$2:$J$50000,"验收测试",缺陷明细!$AB$2:$AB$50000,"&lt;&gt;丢弃",缺陷明细!$AB$2:$AB$50000,"&lt;&gt;设计如此",缺陷明细!$AB$2:$AB$50000,"&lt;&gt;重复Bug")</f>
        <v>0</v>
      </c>
      <c r="V54" s="75">
        <f>COUNTIFS(缺陷明细!$A$2:$A$50000,$B$4,缺陷明细!$G$2:$G$50000,$C54,缺陷明细!$Q$2:$Q$50000,"已关闭",缺陷明细!$J$2:$J$50000,"验收测试")</f>
        <v>0</v>
      </c>
      <c r="W54" s="75">
        <f>COUNTIFS(缺陷明细!$A$2:$A$50000,$B$4,缺陷明细!$G$2:$G$50000,$C54,缺陷明细!$J$2:$J$50000,"验收测试",缺陷明细!$K$2:$K$50000,"致命",缺陷明细!$AB$2:$AB$50000,"&lt;&gt;丢弃",缺陷明细!$AB$2:$AB$50000,"&lt;&gt;设计如此",缺陷明细!$AB$2:$AB$50000,"&lt;&gt;重复Bug")+COUNTIFS(缺陷明细!$A$2:$A$50000,$B$4,缺陷明细!$G$2:$G$50000,$C54,缺陷明细!$J$2:$J$50000,"验收测试",缺陷明细!$K$2:$K$50000,"严重",缺陷明细!$AB$2:$AB$50000,"&lt;&gt;丢弃",缺陷明细!$AB$2:$AB$50000,"&lt;&gt;设计如此",缺陷明细!$AB$2:$AB$50000,"&lt;&gt;重复Bug")</f>
        <v>0</v>
      </c>
      <c r="X54" s="76">
        <f>COUNTIFS(缺陷明细!$A$2:$A$50000,$B$4,缺陷明细!$G$2:$G$50000,$C54,缺陷明细!$Q$2:$Q$50000,"已关闭",缺陷明细!$J$2:$J$50000,"验收测试",缺陷明细!$K$2:$K$50000,"致命")+COUNTIFS(缺陷明细!$A$2:$A$50000,$B$4,缺陷明细!$G$2:$G$50000,$C54,缺陷明细!$Q$2:$Q$50000,"已关闭",缺陷明细!$J$2:$J$50000,"验收测试",缺陷明细!$K$2:$K$50000,"严重")</f>
        <v>0</v>
      </c>
      <c r="Y54" s="70">
        <f>COUNTIFS(缺陷明细!$A$2:$A$50000,$B$4,缺陷明细!$G$2:$G$50000,$C54,缺陷明细!$J$2:$J$50000,"运维测试",缺陷明细!$AB$2:$AB$50000,"&lt;&gt;丢弃",缺陷明细!$AB$2:$AB$50000,"&lt;&gt;设计如此",缺陷明细!$AB$2:$AB$50000,"&lt;&gt;重复Bug")</f>
        <v>0</v>
      </c>
      <c r="Z54" s="71">
        <f>COUNTIFS(缺陷明细!$A$2:$A$50000,$B$4,缺陷明细!$G$2:$G$50000,$C54,缺陷明细!$Q$2:$Q$50000,"已关闭",缺陷明细!$J$2:$J$50000,"运维测试")</f>
        <v>0</v>
      </c>
      <c r="AA54" s="72">
        <f>COUNTIFS(缺陷明细!$A$2:$A$50000,$B$4,缺陷明细!$G$2:$G$50000,$C54,缺陷明细!$J$2:$J$50000,"运维测试",缺陷明细!$K$2:$K$50000,"致命",缺陷明细!$AB$2:$AB$50000,"&lt;&gt;丢弃",缺陷明细!$AB$2:$AB$50000,"&lt;&gt;设计如此",缺陷明细!$AB$2:$AB$50000,"&lt;&gt;重复Bug")+COUNTIFS(缺陷明细!$A$2:$A$50000,$B$4,缺陷明细!$G$2:$G$50000,$C54,缺陷明细!$J$2:$J$50000,"运维测试",缺陷明细!$K$2:$K$50000,"严重",缺陷明细!$AB$2:$AB$50000,"&lt;&gt;丢弃",缺陷明细!$AB$2:$AB$50000,"&lt;&gt;设计如此",缺陷明细!$AB$2:$AB$50000,"&lt;&gt;重复Bug")</f>
        <v>0</v>
      </c>
      <c r="AB54" s="73">
        <f>COUNTIFS(缺陷明细!$A$2:$A$50000,$B$4,缺陷明细!$G$2:$G$50000,$C54,缺陷明细!$Q$2:$Q$50000,"已关闭",缺陷明细!$J$2:$J$50000,"运维测试",缺陷明细!$K$2:$K$50000,"致命")+COUNTIFS(缺陷明细!$A$2:$A$50000,$B$4,缺陷明细!$G$2:$G$50000,$C54,缺陷明细!$Q$2:$Q$50000,"已关闭",缺陷明细!$J$2:$J$50000,"运维测试",缺陷明细!$K$2:$K$50000,"严重")</f>
        <v>0</v>
      </c>
      <c r="AC54" s="68">
        <f t="shared" si="0"/>
        <v>0</v>
      </c>
      <c r="AD54" s="60">
        <f t="shared" si="0"/>
        <v>0</v>
      </c>
      <c r="AE54" s="60">
        <f t="shared" si="1"/>
        <v>0</v>
      </c>
      <c r="AF54" s="60">
        <f t="shared" si="1"/>
        <v>0</v>
      </c>
      <c r="AG54" s="60">
        <f t="shared" si="2"/>
        <v>0</v>
      </c>
      <c r="AH54" s="60">
        <f t="shared" si="2"/>
        <v>0</v>
      </c>
      <c r="AI54" s="60">
        <f t="shared" si="3"/>
        <v>0</v>
      </c>
      <c r="AJ54" s="61">
        <f t="shared" si="3"/>
        <v>0</v>
      </c>
      <c r="AK54" s="144"/>
    </row>
    <row r="55" spans="1:37" ht="13.5" thickBot="1">
      <c r="B55" s="140"/>
      <c r="C55" s="102"/>
      <c r="D55" s="85"/>
      <c r="E55" s="149"/>
      <c r="F55" s="162"/>
      <c r="G55" s="163"/>
      <c r="H55" s="282">
        <f>COUNTIFS(缺陷明细!$A$2:$A$50000,$B$4,缺陷明细!$G$2:$G$50000,$C55,缺陷明细!$J$2:$J$50000,"评审",缺陷明细!$AB$2:$AB$50000,"&lt;&gt;丢弃",缺陷明细!$AB$2:$AB$50000,"&lt;&gt;设计如此",缺陷明细!$AB$2:$AB$50000,"&lt;&gt;重复Bug")</f>
        <v>0</v>
      </c>
      <c r="I55" s="283">
        <f>COUNTIFS(缺陷明细!$A$2:$A$50000,$B$4,缺陷明细!$G$2:$G$50000,$C55,缺陷明细!$Q$2:$Q$50000,"已关闭",缺陷明细!$J$2:$J$50000,"评审")</f>
        <v>0</v>
      </c>
      <c r="J55" s="283">
        <f>COUNTIFS(缺陷明细!$A$2:$A$50000,$B$4,缺陷明细!$G$2:$G$50000,$C55,缺陷明细!$J$2:$J$50000,"单元测试",缺陷明细!$AB$2:$AB$50000,"&lt;&gt;丢弃",缺陷明细!$AB$2:$AB$50000,"&lt;&gt;设计如此",缺陷明细!$AB$2:$AB$50000,"&lt;&gt;重复Bug")</f>
        <v>0</v>
      </c>
      <c r="K55" s="284">
        <f>COUNTIFS(缺陷明细!$A$2:$A$50000,$B$4,缺陷明细!$G$2:$G$50000,$C55,缺陷明细!$Q$2:$Q$50000,"已关闭",缺陷明细!$J$2:$J$50000,"单元测试")</f>
        <v>0</v>
      </c>
      <c r="L55" s="285"/>
      <c r="M55" s="286"/>
      <c r="N55" s="287">
        <f>COUNTIFS(缺陷明细!$A$2:$A$50000,$B$4,缺陷明细!$G$2:$G$50000,$C55,缺陷明细!$J$2:$J$50000,"系统测试案例评审",缺陷明细!$AB$2:$AB$50000,"&lt;&gt;丢弃",缺陷明细!$AB$2:$AB$50000,"&lt;&gt;设计如此",缺陷明细!$AB$2:$AB$50000,"&lt;&gt;重复Bug")</f>
        <v>0</v>
      </c>
      <c r="O55" s="287">
        <f>COUNTIFS(缺陷明细!$A$2:$A$50000,$B$4,缺陷明细!$G$2:$G$50000,$C55,缺陷明细!$Q$2:$Q$50000,"已关闭",缺陷明细!$J$2:$J$50000,"系统测试案例评审")</f>
        <v>0</v>
      </c>
      <c r="P55" s="287">
        <f>COUNTIFS(缺陷明细!$A$2:$A$50000,$B$4,缺陷明细!$G$2:$G$50000,$C55,缺陷明细!$J$2:$J$50000,"系统测试",缺陷明细!$AB$2:$AB$50000,"&lt;&gt;丢弃",缺陷明细!$AB$2:$AB$50000,"&lt;&gt;设计如此",缺陷明细!$AB$2:$AB$50000,"&lt;&gt;重复Bug")</f>
        <v>0</v>
      </c>
      <c r="Q55" s="287">
        <f>COUNTIFS(缺陷明细!$A$2:$A$50000,$B$4,缺陷明细!$G$2:$G$50000,$C55,缺陷明细!$Q$2:$Q$50000,"已关闭",缺陷明细!$J$2:$J$50000,"系统测试")</f>
        <v>0</v>
      </c>
      <c r="R55" s="297">
        <f>COUNTIFS(缺陷明细!$A$2:$A$50000,$B$4,缺陷明细!$G$2:$G$50000,$C55,缺陷明细!$AB$2:$AB$50000,"丢弃",缺陷明细!$J$2:$J$50000,"系统测试")+COUNTIFS(缺陷明细!$A$2:$A$50000,$B$4,缺陷明细!$G$2:$G$50000,$C55,缺陷明细!$AB$2:$AB$50000,"设计如此",缺陷明细!$J$2:$J$50000,"系统测试")+COUNTIFS(缺陷明细!$A$2:$A$50000,$B$4,缺陷明细!$G$2:$G$50000,$C55,缺陷明细!$AB$2:$AB$50000,"重复Bug",缺陷明细!$J$2:$J$50000,"系统测试")</f>
        <v>0</v>
      </c>
      <c r="S55" s="287">
        <f>COUNTIFS(缺陷明细!$A$2:$A$50000,$B$4,缺陷明细!$G$2:$G$50000,$C55,缺陷明细!$J$2:$J$50000,"系统测试",缺陷明细!$K$2:$K$50000,"致命",缺陷明细!$AB$2:$AB$50000,"&lt;&gt;丢弃",缺陷明细!$AB$2:$AB$50000,"&lt;&gt;设计如此",缺陷明细!$AB$2:$AB$50000,"&lt;&gt;重复Bug")+COUNTIFS(缺陷明细!$A$2:$A$50000,$B$4,缺陷明细!$G$2:$G$50000,$C55,缺陷明细!$J$2:$J$50000,"系统测试",缺陷明细!$K$2:$K$50000,"严重",缺陷明细!$AB$2:$AB$50000,"&lt;&gt;丢弃",缺陷明细!$AB$2:$AB$50000,"&lt;&gt;设计如此",缺陷明细!$AB$2:$AB$50000,"&lt;&gt;重复Bug")</f>
        <v>0</v>
      </c>
      <c r="T55" s="288">
        <f>COUNTIFS(缺陷明细!$A$2:$A$50000,$B$4,缺陷明细!$G$2:$G$50000,$C55,缺陷明细!$Q$2:$Q$50000,"已关闭",缺陷明细!$J$2:$J$50000,"系统测试",缺陷明细!$K$2:$K$50000,"致命")+COUNTIFS(缺陷明细!$A$2:$A$50000,$B$4,缺陷明细!$G$2:$G$50000,$C55,缺陷明细!$Q$2:$Q$50000,"已关闭",缺陷明细!$J$2:$J$50000,"系统测试",缺陷明细!$K$2:$K$50000,"严重")</f>
        <v>0</v>
      </c>
      <c r="U55" s="289">
        <f>COUNTIFS(缺陷明细!$A$2:$A$50000,$B$4,缺陷明细!$G$2:$G$50000,$C55,缺陷明细!$J$2:$J$50000,"验收测试",缺陷明细!$AB$2:$AB$50000,"&lt;&gt;丢弃",缺陷明细!$AB$2:$AB$50000,"&lt;&gt;设计如此",缺陷明细!$AB$2:$AB$50000,"&lt;&gt;重复Bug")</f>
        <v>0</v>
      </c>
      <c r="V55" s="290">
        <f>COUNTIFS(缺陷明细!$A$2:$A$50000,$B$4,缺陷明细!$G$2:$G$50000,$C55,缺陷明细!$Q$2:$Q$50000,"已关闭",缺陷明细!$J$2:$J$50000,"验收测试")</f>
        <v>0</v>
      </c>
      <c r="W55" s="290">
        <f>COUNTIFS(缺陷明细!$A$2:$A$50000,$B$4,缺陷明细!$G$2:$G$50000,$C55,缺陷明细!$J$2:$J$50000,"验收测试",缺陷明细!$K$2:$K$50000,"致命",缺陷明细!$AB$2:$AB$50000,"&lt;&gt;丢弃",缺陷明细!$AB$2:$AB$50000,"&lt;&gt;设计如此",缺陷明细!$AB$2:$AB$50000,"&lt;&gt;重复Bug")+COUNTIFS(缺陷明细!$A$2:$A$50000,$B$4,缺陷明细!$G$2:$G$50000,$C55,缺陷明细!$J$2:$J$50000,"验收测试",缺陷明细!$K$2:$K$50000,"严重",缺陷明细!$AB$2:$AB$50000,"&lt;&gt;丢弃",缺陷明细!$AB$2:$AB$50000,"&lt;&gt;设计如此",缺陷明细!$AB$2:$AB$50000,"&lt;&gt;重复Bug")</f>
        <v>0</v>
      </c>
      <c r="X55" s="291">
        <f>COUNTIFS(缺陷明细!$A$2:$A$50000,$B$4,缺陷明细!$G$2:$G$50000,$C55,缺陷明细!$Q$2:$Q$50000,"已关闭",缺陷明细!$J$2:$J$50000,"验收测试",缺陷明细!$K$2:$K$50000,"致命")+COUNTIFS(缺陷明细!$A$2:$A$50000,$B$4,缺陷明细!$G$2:$G$50000,$C55,缺陷明细!$Q$2:$Q$50000,"已关闭",缺陷明细!$J$2:$J$50000,"验收测试",缺陷明细!$K$2:$K$50000,"严重")</f>
        <v>0</v>
      </c>
      <c r="Y55" s="292">
        <f>COUNTIFS(缺陷明细!$A$2:$A$50000,$B$4,缺陷明细!$G$2:$G$50000,$C55,缺陷明细!$J$2:$J$50000,"运维测试",缺陷明细!$AB$2:$AB$50000,"&lt;&gt;丢弃",缺陷明细!$AB$2:$AB$50000,"&lt;&gt;设计如此",缺陷明细!$AB$2:$AB$50000,"&lt;&gt;重复Bug")</f>
        <v>0</v>
      </c>
      <c r="Z55" s="293">
        <f>COUNTIFS(缺陷明细!$A$2:$A$50000,$B$4,缺陷明细!$G$2:$G$50000,$C55,缺陷明细!$Q$2:$Q$50000,"已关闭",缺陷明细!$J$2:$J$50000,"运维测试")</f>
        <v>0</v>
      </c>
      <c r="AA55" s="287">
        <f>COUNTIFS(缺陷明细!$A$2:$A$50000,$B$4,缺陷明细!$G$2:$G$50000,$C55,缺陷明细!$J$2:$J$50000,"运维测试",缺陷明细!$K$2:$K$50000,"致命",缺陷明细!$AB$2:$AB$50000,"&lt;&gt;丢弃",缺陷明细!$AB$2:$AB$50000,"&lt;&gt;设计如此",缺陷明细!$AB$2:$AB$50000,"&lt;&gt;重复Bug")+COUNTIFS(缺陷明细!$A$2:$A$50000,$B$4,缺陷明细!$G$2:$G$50000,$C55,缺陷明细!$J$2:$J$50000,"运维测试",缺陷明细!$K$2:$K$50000,"严重",缺陷明细!$AB$2:$AB$50000,"&lt;&gt;丢弃",缺陷明细!$AB$2:$AB$50000,"&lt;&gt;设计如此",缺陷明细!$AB$2:$AB$50000,"&lt;&gt;重复Bug")</f>
        <v>0</v>
      </c>
      <c r="AB55" s="288">
        <f>COUNTIFS(缺陷明细!$A$2:$A$50000,$B$4,缺陷明细!$G$2:$G$50000,$C55,缺陷明细!$Q$2:$Q$50000,"已关闭",缺陷明细!$J$2:$J$50000,"运维测试",缺陷明细!$K$2:$K$50000,"致命")+COUNTIFS(缺陷明细!$A$2:$A$50000,$B$4,缺陷明细!$G$2:$G$50000,$C55,缺陷明细!$Q$2:$Q$50000,"已关闭",缺陷明细!$J$2:$J$50000,"运维测试",缺陷明细!$K$2:$K$50000,"严重")</f>
        <v>0</v>
      </c>
      <c r="AC55" s="150">
        <f t="shared" si="0"/>
        <v>0</v>
      </c>
      <c r="AD55" s="151">
        <f t="shared" si="0"/>
        <v>0</v>
      </c>
      <c r="AE55" s="151">
        <f t="shared" si="1"/>
        <v>0</v>
      </c>
      <c r="AF55" s="151">
        <f t="shared" si="1"/>
        <v>0</v>
      </c>
      <c r="AG55" s="151">
        <f t="shared" si="2"/>
        <v>0</v>
      </c>
      <c r="AH55" s="151">
        <f t="shared" si="2"/>
        <v>0</v>
      </c>
      <c r="AI55" s="151">
        <f t="shared" si="3"/>
        <v>0</v>
      </c>
      <c r="AJ55" s="141">
        <f t="shared" si="3"/>
        <v>0</v>
      </c>
      <c r="AK55" s="145"/>
    </row>
    <row r="56" spans="1:37">
      <c r="B56" s="417" t="s">
        <v>223</v>
      </c>
      <c r="C56" s="418"/>
      <c r="D56" s="135">
        <f>COUNTA(D5:D55)</f>
        <v>0</v>
      </c>
      <c r="E56" s="135">
        <f>COUNTIF(E2:E55,"是")</f>
        <v>0</v>
      </c>
      <c r="F56" s="135">
        <f>SUMIFS(F5:F500,$E$5:$E$500,"是")</f>
        <v>0</v>
      </c>
      <c r="G56" s="135">
        <f t="shared" ref="G56:AJ56" si="4">SUMIFS(G5:G500,$E$5:$E$500,"是")</f>
        <v>0</v>
      </c>
      <c r="H56" s="135">
        <f t="shared" si="4"/>
        <v>0</v>
      </c>
      <c r="I56" s="135">
        <f t="shared" si="4"/>
        <v>0</v>
      </c>
      <c r="J56" s="135">
        <f t="shared" si="4"/>
        <v>0</v>
      </c>
      <c r="K56" s="135">
        <f t="shared" si="4"/>
        <v>0</v>
      </c>
      <c r="L56" s="135">
        <f t="shared" si="4"/>
        <v>0</v>
      </c>
      <c r="M56" s="135">
        <f t="shared" si="4"/>
        <v>0</v>
      </c>
      <c r="N56" s="135">
        <f t="shared" si="4"/>
        <v>0</v>
      </c>
      <c r="O56" s="135">
        <f t="shared" si="4"/>
        <v>0</v>
      </c>
      <c r="P56" s="135">
        <f t="shared" si="4"/>
        <v>0</v>
      </c>
      <c r="Q56" s="135">
        <f t="shared" si="4"/>
        <v>0</v>
      </c>
      <c r="R56" s="135">
        <f t="shared" si="4"/>
        <v>0</v>
      </c>
      <c r="S56" s="135">
        <f t="shared" si="4"/>
        <v>0</v>
      </c>
      <c r="T56" s="135">
        <f t="shared" si="4"/>
        <v>0</v>
      </c>
      <c r="U56" s="135">
        <f t="shared" si="4"/>
        <v>0</v>
      </c>
      <c r="V56" s="135">
        <f t="shared" si="4"/>
        <v>0</v>
      </c>
      <c r="W56" s="135">
        <f t="shared" si="4"/>
        <v>0</v>
      </c>
      <c r="X56" s="135">
        <f t="shared" si="4"/>
        <v>0</v>
      </c>
      <c r="Y56" s="135">
        <f t="shared" si="4"/>
        <v>0</v>
      </c>
      <c r="Z56" s="135">
        <f t="shared" si="4"/>
        <v>0</v>
      </c>
      <c r="AA56" s="135">
        <f t="shared" si="4"/>
        <v>0</v>
      </c>
      <c r="AB56" s="135">
        <f t="shared" si="4"/>
        <v>0</v>
      </c>
      <c r="AC56" s="135">
        <f t="shared" si="4"/>
        <v>0</v>
      </c>
      <c r="AD56" s="135">
        <f t="shared" si="4"/>
        <v>0</v>
      </c>
      <c r="AE56" s="135">
        <f t="shared" si="4"/>
        <v>0</v>
      </c>
      <c r="AF56" s="135">
        <f t="shared" si="4"/>
        <v>0</v>
      </c>
      <c r="AG56" s="135">
        <f t="shared" si="4"/>
        <v>0</v>
      </c>
      <c r="AH56" s="135">
        <f t="shared" si="4"/>
        <v>0</v>
      </c>
      <c r="AI56" s="135">
        <f t="shared" si="4"/>
        <v>0</v>
      </c>
      <c r="AJ56" s="135">
        <f t="shared" si="4"/>
        <v>0</v>
      </c>
      <c r="AK56" s="30"/>
    </row>
    <row r="57" spans="1:37">
      <c r="C57" s="146"/>
      <c r="D57" s="147"/>
      <c r="E57" s="136"/>
      <c r="F57" s="136"/>
      <c r="G57" s="136"/>
      <c r="H57" s="137"/>
      <c r="I57" s="137"/>
      <c r="J57" s="137"/>
      <c r="K57" s="137"/>
      <c r="L57" s="137"/>
      <c r="M57" s="137"/>
      <c r="N57" s="137"/>
      <c r="O57" s="137"/>
      <c r="P57" s="137"/>
      <c r="Q57" s="137"/>
      <c r="R57" s="137"/>
      <c r="S57" s="137"/>
      <c r="T57" s="137"/>
      <c r="U57" s="137"/>
      <c r="V57" s="137"/>
      <c r="W57" s="137"/>
      <c r="X57" s="137"/>
      <c r="Y57" s="137"/>
      <c r="Z57" s="137"/>
      <c r="AA57" s="137"/>
      <c r="AB57" s="137"/>
      <c r="AC57" s="137"/>
      <c r="AD57" s="137"/>
      <c r="AE57" s="137"/>
      <c r="AF57" s="137"/>
      <c r="AG57" s="137"/>
      <c r="AH57" s="137"/>
      <c r="AI57" s="137"/>
      <c r="AJ57" s="137"/>
    </row>
    <row r="59" spans="1:37">
      <c r="F59" s="95"/>
    </row>
  </sheetData>
  <mergeCells count="13">
    <mergeCell ref="B56:C56"/>
    <mergeCell ref="B2:B3"/>
    <mergeCell ref="C2:C3"/>
    <mergeCell ref="D2:D3"/>
    <mergeCell ref="E2:E3"/>
    <mergeCell ref="AC2:AJ2"/>
    <mergeCell ref="AK2:AK3"/>
    <mergeCell ref="U2:X2"/>
    <mergeCell ref="H1:AB1"/>
    <mergeCell ref="F2:G2"/>
    <mergeCell ref="H2:K2"/>
    <mergeCell ref="L2:T2"/>
    <mergeCell ref="Y2:AB2"/>
  </mergeCells>
  <phoneticPr fontId="13" type="noConversion"/>
  <dataValidations count="1">
    <dataValidation type="list" allowBlank="1" showInputMessage="1" showErrorMessage="1" sqref="E5:E55">
      <formula1>"是,否"</formula1>
    </dataValidation>
  </dataValidation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00FF"/>
  </sheetPr>
  <dimension ref="A1:AK59"/>
  <sheetViews>
    <sheetView workbookViewId="0">
      <selection activeCell="M17" sqref="M17"/>
    </sheetView>
  </sheetViews>
  <sheetFormatPr defaultColWidth="9" defaultRowHeight="12.75"/>
  <cols>
    <col min="1" max="1" width="5.140625" customWidth="1"/>
    <col min="3" max="3" width="29.28515625" customWidth="1"/>
    <col min="4" max="4" width="6.28515625" customWidth="1"/>
    <col min="5" max="5" width="5.85546875" style="38" customWidth="1"/>
    <col min="6" max="7" width="5.7109375" style="38" customWidth="1"/>
    <col min="8" max="36" width="5.7109375" customWidth="1"/>
    <col min="37" max="37" width="20" customWidth="1"/>
    <col min="38" max="38" width="8.140625" customWidth="1"/>
  </cols>
  <sheetData>
    <row r="1" spans="1:37" ht="13.5" customHeight="1" thickBot="1">
      <c r="A1" s="29"/>
      <c r="B1" s="259" t="s">
        <v>61</v>
      </c>
      <c r="C1" s="259"/>
      <c r="D1" s="259"/>
      <c r="E1" s="259"/>
      <c r="F1" s="260"/>
      <c r="G1" s="260"/>
      <c r="H1" s="402" t="s">
        <v>63</v>
      </c>
      <c r="I1" s="402"/>
      <c r="J1" s="402"/>
      <c r="K1" s="402"/>
      <c r="L1" s="402"/>
      <c r="M1" s="402"/>
      <c r="N1" s="402"/>
      <c r="O1" s="402"/>
      <c r="P1" s="402"/>
      <c r="Q1" s="402"/>
      <c r="R1" s="402"/>
      <c r="S1" s="402"/>
      <c r="T1" s="402"/>
      <c r="U1" s="402"/>
      <c r="V1" s="402"/>
      <c r="W1" s="402"/>
      <c r="X1" s="402"/>
      <c r="Y1" s="402"/>
      <c r="Z1" s="402"/>
      <c r="AA1" s="402"/>
      <c r="AB1" s="402"/>
      <c r="AC1" s="138"/>
      <c r="AD1" s="138"/>
      <c r="AE1" s="138"/>
      <c r="AF1" s="138"/>
      <c r="AG1" s="138"/>
      <c r="AH1" s="138"/>
      <c r="AI1" s="138"/>
      <c r="AJ1" s="139"/>
      <c r="AK1" s="148"/>
    </row>
    <row r="2" spans="1:37" ht="12.75" customHeight="1" thickBot="1">
      <c r="B2" s="419" t="s">
        <v>195</v>
      </c>
      <c r="C2" s="403" t="s">
        <v>60</v>
      </c>
      <c r="D2" s="405" t="s">
        <v>104</v>
      </c>
      <c r="E2" s="421" t="s">
        <v>196</v>
      </c>
      <c r="F2" s="403" t="s">
        <v>197</v>
      </c>
      <c r="G2" s="404"/>
      <c r="H2" s="423" t="s">
        <v>224</v>
      </c>
      <c r="I2" s="423"/>
      <c r="J2" s="423"/>
      <c r="K2" s="423"/>
      <c r="L2" s="424" t="s">
        <v>198</v>
      </c>
      <c r="M2" s="425"/>
      <c r="N2" s="425"/>
      <c r="O2" s="425"/>
      <c r="P2" s="425"/>
      <c r="Q2" s="425"/>
      <c r="R2" s="425"/>
      <c r="S2" s="425"/>
      <c r="T2" s="426"/>
      <c r="U2" s="415" t="s">
        <v>44</v>
      </c>
      <c r="V2" s="416"/>
      <c r="W2" s="416"/>
      <c r="X2" s="416"/>
      <c r="Y2" s="408" t="s">
        <v>64</v>
      </c>
      <c r="Z2" s="409"/>
      <c r="AA2" s="409"/>
      <c r="AB2" s="409"/>
      <c r="AC2" s="410" t="s">
        <v>2</v>
      </c>
      <c r="AD2" s="411"/>
      <c r="AE2" s="411"/>
      <c r="AF2" s="411"/>
      <c r="AG2" s="411"/>
      <c r="AH2" s="411"/>
      <c r="AI2" s="411"/>
      <c r="AJ2" s="412"/>
      <c r="AK2" s="413" t="s">
        <v>4</v>
      </c>
    </row>
    <row r="3" spans="1:37" ht="84.75" thickBot="1">
      <c r="B3" s="420"/>
      <c r="C3" s="407"/>
      <c r="D3" s="406"/>
      <c r="E3" s="422"/>
      <c r="F3" s="261" t="s">
        <v>284</v>
      </c>
      <c r="G3" s="262" t="s">
        <v>285</v>
      </c>
      <c r="H3" s="34" t="s">
        <v>105</v>
      </c>
      <c r="I3" s="34" t="s">
        <v>106</v>
      </c>
      <c r="J3" s="34" t="s">
        <v>107</v>
      </c>
      <c r="K3" s="34" t="s">
        <v>108</v>
      </c>
      <c r="L3" s="33" t="s">
        <v>200</v>
      </c>
      <c r="M3" s="34" t="s">
        <v>201</v>
      </c>
      <c r="N3" s="31" t="s">
        <v>45</v>
      </c>
      <c r="O3" s="31" t="s">
        <v>46</v>
      </c>
      <c r="P3" s="31" t="s">
        <v>34</v>
      </c>
      <c r="Q3" s="31" t="s">
        <v>36</v>
      </c>
      <c r="R3" s="31" t="s">
        <v>293</v>
      </c>
      <c r="S3" s="31" t="s">
        <v>35</v>
      </c>
      <c r="T3" s="32" t="s">
        <v>37</v>
      </c>
      <c r="U3" s="99" t="s">
        <v>125</v>
      </c>
      <c r="V3" s="35" t="s">
        <v>126</v>
      </c>
      <c r="W3" s="35" t="s">
        <v>202</v>
      </c>
      <c r="X3" s="35" t="s">
        <v>127</v>
      </c>
      <c r="Y3" s="99" t="s">
        <v>65</v>
      </c>
      <c r="Z3" s="35" t="s">
        <v>66</v>
      </c>
      <c r="AA3" s="35" t="s">
        <v>67</v>
      </c>
      <c r="AB3" s="36" t="s">
        <v>204</v>
      </c>
      <c r="AC3" s="33" t="s">
        <v>38</v>
      </c>
      <c r="AD3" s="31" t="s">
        <v>39</v>
      </c>
      <c r="AE3" s="31" t="s">
        <v>40</v>
      </c>
      <c r="AF3" s="31" t="s">
        <v>41</v>
      </c>
      <c r="AG3" s="31" t="s">
        <v>128</v>
      </c>
      <c r="AH3" s="31" t="s">
        <v>130</v>
      </c>
      <c r="AI3" s="31" t="s">
        <v>131</v>
      </c>
      <c r="AJ3" s="32" t="s">
        <v>129</v>
      </c>
      <c r="AK3" s="414"/>
    </row>
    <row r="4" spans="1:37" ht="13.5" thickBot="1">
      <c r="B4" s="96" t="s">
        <v>264</v>
      </c>
      <c r="C4" s="80" t="s">
        <v>221</v>
      </c>
      <c r="D4" s="134"/>
      <c r="E4" s="130"/>
      <c r="F4" s="100"/>
      <c r="G4" s="81"/>
      <c r="H4" s="69"/>
      <c r="I4" s="63"/>
      <c r="J4" s="63"/>
      <c r="K4" s="64"/>
      <c r="L4" s="77"/>
      <c r="M4" s="101"/>
      <c r="N4" s="63"/>
      <c r="O4" s="63"/>
      <c r="P4" s="63"/>
      <c r="Q4" s="63"/>
      <c r="R4" s="63"/>
      <c r="S4" s="63"/>
      <c r="T4" s="64"/>
      <c r="U4" s="62"/>
      <c r="V4" s="63"/>
      <c r="W4" s="63"/>
      <c r="X4" s="64"/>
      <c r="Y4" s="62"/>
      <c r="Z4" s="63"/>
      <c r="AA4" s="63"/>
      <c r="AB4" s="64"/>
      <c r="AC4" s="69"/>
      <c r="AD4" s="63"/>
      <c r="AE4" s="63"/>
      <c r="AF4" s="63"/>
      <c r="AG4" s="63"/>
      <c r="AH4" s="63"/>
      <c r="AI4" s="63"/>
      <c r="AJ4" s="64"/>
      <c r="AK4" s="142"/>
    </row>
    <row r="5" spans="1:37">
      <c r="A5">
        <v>1</v>
      </c>
      <c r="B5" s="78"/>
      <c r="C5" s="79"/>
      <c r="D5" s="82"/>
      <c r="E5" s="82"/>
      <c r="F5" s="152"/>
      <c r="G5" s="153"/>
      <c r="H5" s="271">
        <f>COUNTIFS(缺陷明细!$A$2:$A$50000,$B$4,缺陷明细!$G$2:$G$50000,$C5,缺陷明细!$J$2:$J$50000,"评审",缺陷明细!$AB$2:$AB$50000,"&lt;&gt;丢弃",缺陷明细!$AB$2:$AB$50000,"&lt;&gt;设计如此",缺陷明细!$AB$2:$AB$50000,"&lt;&gt;重复Bug")</f>
        <v>0</v>
      </c>
      <c r="I5" s="272">
        <f>COUNTIFS(缺陷明细!$A$2:$A$50000,$B$4,缺陷明细!$G$2:$G$50000,$C5,缺陷明细!$Q$2:$Q$50000,"已关闭",缺陷明细!$J$2:$J$50000,"评审")</f>
        <v>0</v>
      </c>
      <c r="J5" s="272">
        <f>COUNTIFS(缺陷明细!$A$2:$A$50000,$B$4,缺陷明细!$G$2:$G$50000,$C5,缺陷明细!$J$2:$J$50000,"单元测试",缺陷明细!$AB$2:$AB$50000,"&lt;&gt;丢弃",缺陷明细!$AB$2:$AB$50000,"&lt;&gt;设计如此",缺陷明细!$AB$2:$AB$50000,"&lt;&gt;重复Bug")</f>
        <v>0</v>
      </c>
      <c r="K5" s="273">
        <f>COUNTIFS(缺陷明细!$A$2:$A$50000,$B$4,缺陷明细!$G$2:$G$50000,$C5,缺陷明细!$Q$2:$Q$50000,"已关闭",缺陷明细!$J$2:$J$50000,"单元测试")</f>
        <v>0</v>
      </c>
      <c r="L5" s="156"/>
      <c r="M5" s="157"/>
      <c r="N5" s="72">
        <f>COUNTIFS(缺陷明细!$A$2:$A$50000,$B$4,缺陷明细!$G$2:$G$50000,$C5,缺陷明细!$J$2:$J$50000,"系统测试案例评审",缺陷明细!$AB$2:$AB$50000,"&lt;&gt;丢弃",缺陷明细!$AB$2:$AB$50000,"&lt;&gt;设计如此",缺陷明细!$AB$2:$AB$50000,"&lt;&gt;重复Bug")</f>
        <v>0</v>
      </c>
      <c r="O5" s="72">
        <f>COUNTIFS(缺陷明细!$A$2:$A$50000,$B$4,缺陷明细!$G$2:$G$50000,$C5,缺陷明细!$Q$2:$Q$50000,"已关闭",缺陷明细!$J$2:$J$50000,"系统测试案例评审")</f>
        <v>0</v>
      </c>
      <c r="P5" s="72">
        <f>COUNTIFS(缺陷明细!$A$2:$A$50000,$B$4,缺陷明细!$G$2:$G$50000,$C5,缺陷明细!$J$2:$J$50000,"系统测试",缺陷明细!$AB$2:$AB$50000,"&lt;&gt;丢弃",缺陷明细!$AB$2:$AB$50000,"&lt;&gt;设计如此",缺陷明细!$AB$2:$AB$50000,"&lt;&gt;重复Bug")</f>
        <v>0</v>
      </c>
      <c r="Q5" s="72">
        <f>COUNTIFS(缺陷明细!$A$2:$A$50000,$B$4,缺陷明细!$G$2:$G$50000,$C5,缺陷明细!$Q$2:$Q$50000,"已关闭",缺陷明细!$J$2:$J$50000,"系统测试")</f>
        <v>0</v>
      </c>
      <c r="R5" s="72">
        <f>COUNTIFS(缺陷明细!$A$2:$A$50000,$B$4,缺陷明细!$G$2:$G$50000,$C5,缺陷明细!$AB$2:$AB$50000,"丢弃",缺陷明细!$J$2:$J$50000,"系统测试")+COUNTIFS(缺陷明细!$A$2:$A$50000,$B$4,缺陷明细!$G$2:$G$50000,$C5,缺陷明细!$AB$2:$AB$50000,"设计如此",缺陷明细!$J$2:$J$50000,"系统测试")+COUNTIFS(缺陷明细!$A$2:$A$50000,$B$4,缺陷明细!$G$2:$G$50000,$C5,缺陷明细!$AB$2:$AB$50000,"重复Bug",缺陷明细!$J$2:$J$50000,"系统测试")</f>
        <v>0</v>
      </c>
      <c r="S5" s="72">
        <f>COUNTIFS(缺陷明细!$A$2:$A$50000,$B$4,缺陷明细!$G$2:$G$50000,$C5,缺陷明细!$J$2:$J$50000,"系统测试",缺陷明细!$K$2:$K$50000,"致命",缺陷明细!$AB$2:$AB$50000,"&lt;&gt;丢弃",缺陷明细!$AB$2:$AB$50000,"&lt;&gt;设计如此",缺陷明细!$AB$2:$AB$50000,"&lt;&gt;重复Bug")+COUNTIFS(缺陷明细!$A$2:$A$50000,$B$4,缺陷明细!$G$2:$G$50000,$C5,缺陷明细!$J$2:$J$50000,"系统测试",缺陷明细!$K$2:$K$50000,"严重",缺陷明细!$AB$2:$AB$50000,"&lt;&gt;丢弃",缺陷明细!$AB$2:$AB$50000,"&lt;&gt;设计如此",缺陷明细!$AB$2:$AB$50000,"&lt;&gt;重复Bug")</f>
        <v>0</v>
      </c>
      <c r="T5" s="73">
        <f>COUNTIFS(缺陷明细!$A$2:$A$50000,$B$4,缺陷明细!$G$2:$G$50000,$C5,缺陷明细!$Q$2:$Q$50000,"已关闭",缺陷明细!$J$2:$J$50000,"系统测试",缺陷明细!$K$2:$K$50000,"致命")+COUNTIFS(缺陷明细!$A$2:$A$50000,$B$4,缺陷明细!$G$2:$G$50000,$C5,缺陷明细!$Q$2:$Q$50000,"已关闭",缺陷明细!$J$2:$J$50000,"系统测试",缺陷明细!$K$2:$K$50000,"严重")</f>
        <v>0</v>
      </c>
      <c r="U5" s="276">
        <f>COUNTIFS(缺陷明细!$A$2:$A$50000,$B$4,缺陷明细!$G$2:$G$50000,$C5,缺陷明细!$J$2:$J$50000,"验收测试",缺陷明细!$AB$2:$AB$50000,"&lt;&gt;丢弃",缺陷明细!$AB$2:$AB$50000,"&lt;&gt;设计如此",缺陷明细!$AB$2:$AB$50000,"&lt;&gt;重复Bug")</f>
        <v>0</v>
      </c>
      <c r="V5" s="277">
        <f>COUNTIFS(缺陷明细!$A$2:$A$50000,$B$4,缺陷明细!$G$2:$G$50000,$C5,缺陷明细!$Q$2:$Q$50000,"已关闭",缺陷明细!$J$2:$J$50000,"验收测试")</f>
        <v>0</v>
      </c>
      <c r="W5" s="277">
        <f>COUNTIFS(缺陷明细!$A$2:$A$50000,$B$4,缺陷明细!$G$2:$G$50000,$C5,缺陷明细!$J$2:$J$50000,"验收测试",缺陷明细!$K$2:$K$50000,"致命",缺陷明细!$AB$2:$AB$50000,"&lt;&gt;丢弃",缺陷明细!$AB$2:$AB$50000,"&lt;&gt;设计如此",缺陷明细!$AB$2:$AB$50000,"&lt;&gt;重复Bug")+COUNTIFS(缺陷明细!$A$2:$A$50000,$B$4,缺陷明细!$G$2:$G$50000,$C5,缺陷明细!$J$2:$J$50000,"验收测试",缺陷明细!$K$2:$K$50000,"严重",缺陷明细!$AB$2:$AB$50000,"&lt;&gt;丢弃",缺陷明细!$AB$2:$AB$50000,"&lt;&gt;设计如此",缺陷明细!$AB$2:$AB$50000,"&lt;&gt;重复Bug")</f>
        <v>0</v>
      </c>
      <c r="X5" s="278">
        <f>COUNTIFS(缺陷明细!$A$2:$A$50000,$B$4,缺陷明细!$G$2:$G$50000,$C5,缺陷明细!$Q$2:$Q$50000,"已关闭",缺陷明细!$J$2:$J$50000,"验收测试",缺陷明细!$K$2:$K$50000,"致命")+COUNTIFS(缺陷明细!$A$2:$A$50000,$B$4,缺陷明细!$G$2:$G$50000,$C5,缺陷明细!$Q$2:$Q$50000,"已关闭",缺陷明细!$J$2:$J$50000,"验收测试",缺陷明细!$K$2:$K$50000,"严重")</f>
        <v>0</v>
      </c>
      <c r="Y5" s="279">
        <f>COUNTIFS(缺陷明细!$A$2:$A$50000,$B$4,缺陷明细!$G$2:$G$50000,$C5,缺陷明细!$J$2:$J$50000,"运维测试",缺陷明细!$AB$2:$AB$50000,"&lt;&gt;丢弃",缺陷明细!$AB$2:$AB$50000,"&lt;&gt;设计如此",缺陷明细!$AB$2:$AB$50000,"&lt;&gt;重复Bug")</f>
        <v>0</v>
      </c>
      <c r="Z5" s="280">
        <f>COUNTIFS(缺陷明细!$A$2:$A$50000,$B$4,缺陷明细!$G$2:$G$50000,$C5,缺陷明细!$Q$2:$Q$50000,"已关闭",缺陷明细!$J$2:$J$50000,"运维测试")</f>
        <v>0</v>
      </c>
      <c r="AA5" s="274">
        <f>COUNTIFS(缺陷明细!$A$2:$A$50000,$B$4,缺陷明细!$G$2:$G$50000,$C5,缺陷明细!$J$2:$J$50000,"运维测试",缺陷明细!$K$2:$K$50000,"致命",缺陷明细!$AB$2:$AB$50000,"&lt;&gt;丢弃",缺陷明细!$AB$2:$AB$50000,"&lt;&gt;设计如此",缺陷明细!$AB$2:$AB$50000,"&lt;&gt;重复Bug")+COUNTIFS(缺陷明细!$A$2:$A$50000,$B$4,缺陷明细!$G$2:$G$50000,$C5,缺陷明细!$J$2:$J$50000,"运维测试",缺陷明细!$K$2:$K$50000,"严重",缺陷明细!$AB$2:$AB$50000,"&lt;&gt;丢弃",缺陷明细!$AB$2:$AB$50000,"&lt;&gt;设计如此",缺陷明细!$AB$2:$AB$50000,"&lt;&gt;重复Bug")</f>
        <v>0</v>
      </c>
      <c r="AB5" s="275">
        <f>COUNTIFS(缺陷明细!$A$2:$A$50000,$B$4,缺陷明细!$G$2:$G$50000,$C5,缺陷明细!$Q$2:$Q$50000,"已关闭",缺陷明细!$J$2:$J$50000,"运维测试",缺陷明细!$K$2:$K$50000,"致命")+COUNTIFS(缺陷明细!$A$2:$A$50000,$B$4,缺陷明细!$G$2:$G$50000,$C5,缺陷明细!$Q$2:$Q$50000,"已关闭",缺陷明细!$J$2:$J$50000,"运维测试",缺陷明细!$K$2:$K$50000,"严重")</f>
        <v>0</v>
      </c>
      <c r="AC5" s="68">
        <f>H5</f>
        <v>0</v>
      </c>
      <c r="AD5" s="60">
        <f>I5</f>
        <v>0</v>
      </c>
      <c r="AE5" s="60">
        <f>H5+J5</f>
        <v>0</v>
      </c>
      <c r="AF5" s="60">
        <f>I5+K5</f>
        <v>0</v>
      </c>
      <c r="AG5" s="60">
        <f>H5+J5+P5</f>
        <v>0</v>
      </c>
      <c r="AH5" s="60">
        <f>I5+K5+Q5</f>
        <v>0</v>
      </c>
      <c r="AI5" s="60">
        <f>Y5</f>
        <v>0</v>
      </c>
      <c r="AJ5" s="61">
        <f>Z5</f>
        <v>0</v>
      </c>
      <c r="AK5" s="143"/>
    </row>
    <row r="6" spans="1:37">
      <c r="A6">
        <v>2</v>
      </c>
      <c r="B6" s="57"/>
      <c r="C6" s="58"/>
      <c r="D6" s="83"/>
      <c r="E6" s="82"/>
      <c r="F6" s="158"/>
      <c r="G6" s="159"/>
      <c r="H6" s="281">
        <f>COUNTIFS(缺陷明细!$A$2:$A$50000,$B$4,缺陷明细!$G$2:$G$50000,$C6,缺陷明细!$J$2:$J$50000,"评审",缺陷明细!$AB$2:$AB$50000,"&lt;&gt;丢弃",缺陷明细!$AB$2:$AB$50000,"&lt;&gt;设计如此",缺陷明细!$AB$2:$AB$50000,"&lt;&gt;重复Bug")</f>
        <v>0</v>
      </c>
      <c r="I6" s="154">
        <f>COUNTIFS(缺陷明细!$A$2:$A$50000,$B$4,缺陷明细!$G$2:$G$50000,$C6,缺陷明细!$Q$2:$Q$50000,"已关闭",缺陷明细!$J$2:$J$50000,"评审")</f>
        <v>0</v>
      </c>
      <c r="J6" s="154">
        <f>COUNTIFS(缺陷明细!$A$2:$A$50000,$B$4,缺陷明细!$G$2:$G$50000,$C6,缺陷明细!$J$2:$J$50000,"单元测试",缺陷明细!$AB$2:$AB$50000,"&lt;&gt;丢弃",缺陷明细!$AB$2:$AB$50000,"&lt;&gt;设计如此",缺陷明细!$AB$2:$AB$50000,"&lt;&gt;重复Bug")</f>
        <v>0</v>
      </c>
      <c r="K6" s="155">
        <f>COUNTIFS(缺陷明细!$A$2:$A$50000,$B$4,缺陷明细!$G$2:$G$50000,$C6,缺陷明细!$Q$2:$Q$50000,"已关闭",缺陷明细!$J$2:$J$50000,"单元测试")</f>
        <v>0</v>
      </c>
      <c r="L6" s="156"/>
      <c r="M6" s="157"/>
      <c r="N6" s="72">
        <f>COUNTIFS(缺陷明细!$A$2:$A$50000,$B$4,缺陷明细!$G$2:$G$50000,$C6,缺陷明细!$J$2:$J$50000,"系统测试案例评审",缺陷明细!$AB$2:$AB$50000,"&lt;&gt;丢弃",缺陷明细!$AB$2:$AB$50000,"&lt;&gt;设计如此",缺陷明细!$AB$2:$AB$50000,"&lt;&gt;重复Bug")</f>
        <v>0</v>
      </c>
      <c r="O6" s="72">
        <f>COUNTIFS(缺陷明细!$A$2:$A$50000,$B$4,缺陷明细!$G$2:$G$50000,$C6,缺陷明细!$Q$2:$Q$50000,"已关闭",缺陷明细!$J$2:$J$50000,"系统测试案例评审")</f>
        <v>0</v>
      </c>
      <c r="P6" s="72">
        <f>COUNTIFS(缺陷明细!$A$2:$A$50000,$B$4,缺陷明细!$G$2:$G$50000,$C6,缺陷明细!$J$2:$J$50000,"系统测试",缺陷明细!$AB$2:$AB$50000,"&lt;&gt;丢弃",缺陷明细!$AB$2:$AB$50000,"&lt;&gt;设计如此",缺陷明细!$AB$2:$AB$50000,"&lt;&gt;重复Bug")</f>
        <v>0</v>
      </c>
      <c r="Q6" s="72">
        <f>COUNTIFS(缺陷明细!$A$2:$A$50000,$B$4,缺陷明细!$G$2:$G$50000,$C6,缺陷明细!$Q$2:$Q$50000,"已关闭",缺陷明细!$J$2:$J$50000,"系统测试")</f>
        <v>0</v>
      </c>
      <c r="R6" s="296">
        <f>COUNTIFS(缺陷明细!$A$2:$A$50000,$B$4,缺陷明细!$G$2:$G$50000,$C6,缺陷明细!$AB$2:$AB$50000,"丢弃",缺陷明细!$J$2:$J$50000,"系统测试")+COUNTIFS(缺陷明细!$A$2:$A$50000,$B$4,缺陷明细!$G$2:$G$50000,$C6,缺陷明细!$AB$2:$AB$50000,"设计如此",缺陷明细!$J$2:$J$50000,"系统测试")+COUNTIFS(缺陷明细!$A$2:$A$50000,$B$4,缺陷明细!$G$2:$G$50000,$C6,缺陷明细!$AB$2:$AB$50000,"重复Bug",缺陷明细!$J$2:$J$50000,"系统测试")</f>
        <v>0</v>
      </c>
      <c r="S6" s="72">
        <f>COUNTIFS(缺陷明细!$A$2:$A$50000,$B$4,缺陷明细!$G$2:$G$50000,$C6,缺陷明细!$J$2:$J$50000,"系统测试",缺陷明细!$K$2:$K$50000,"致命",缺陷明细!$AB$2:$AB$50000,"&lt;&gt;丢弃",缺陷明细!$AB$2:$AB$50000,"&lt;&gt;设计如此",缺陷明细!$AB$2:$AB$50000,"&lt;&gt;重复Bug")+COUNTIFS(缺陷明细!$A$2:$A$50000,$B$4,缺陷明细!$G$2:$G$50000,$C6,缺陷明细!$J$2:$J$50000,"系统测试",缺陷明细!$K$2:$K$50000,"严重",缺陷明细!$AB$2:$AB$50000,"&lt;&gt;丢弃",缺陷明细!$AB$2:$AB$50000,"&lt;&gt;设计如此",缺陷明细!$AB$2:$AB$50000,"&lt;&gt;重复Bug")</f>
        <v>0</v>
      </c>
      <c r="T6" s="73">
        <f>COUNTIFS(缺陷明细!$A$2:$A$50000,$B$4,缺陷明细!$G$2:$G$50000,$C6,缺陷明细!$Q$2:$Q$50000,"已关闭",缺陷明细!$J$2:$J$50000,"系统测试",缺陷明细!$K$2:$K$50000,"致命")+COUNTIFS(缺陷明细!$A$2:$A$50000,$B$4,缺陷明细!$G$2:$G$50000,$C6,缺陷明细!$Q$2:$Q$50000,"已关闭",缺陷明细!$J$2:$J$50000,"系统测试",缺陷明细!$K$2:$K$50000,"严重")</f>
        <v>0</v>
      </c>
      <c r="U6" s="74">
        <f>COUNTIFS(缺陷明细!$A$2:$A$50000,$B$4,缺陷明细!$G$2:$G$50000,$C6,缺陷明细!$J$2:$J$50000,"验收测试",缺陷明细!$AB$2:$AB$50000,"&lt;&gt;丢弃",缺陷明细!$AB$2:$AB$50000,"&lt;&gt;设计如此",缺陷明细!$AB$2:$AB$50000,"&lt;&gt;重复Bug")</f>
        <v>0</v>
      </c>
      <c r="V6" s="75">
        <f>COUNTIFS(缺陷明细!$A$2:$A$50000,$B$4,缺陷明细!$G$2:$G$50000,$C6,缺陷明细!$Q$2:$Q$50000,"已关闭",缺陷明细!$J$2:$J$50000,"验收测试")</f>
        <v>0</v>
      </c>
      <c r="W6" s="75">
        <f>COUNTIFS(缺陷明细!$A$2:$A$50000,$B$4,缺陷明细!$G$2:$G$50000,$C6,缺陷明细!$J$2:$J$50000,"验收测试",缺陷明细!$K$2:$K$50000,"致命",缺陷明细!$AB$2:$AB$50000,"&lt;&gt;丢弃",缺陷明细!$AB$2:$AB$50000,"&lt;&gt;设计如此",缺陷明细!$AB$2:$AB$50000,"&lt;&gt;重复Bug")+COUNTIFS(缺陷明细!$A$2:$A$50000,$B$4,缺陷明细!$G$2:$G$50000,$C6,缺陷明细!$J$2:$J$50000,"验收测试",缺陷明细!$K$2:$K$50000,"严重",缺陷明细!$AB$2:$AB$50000,"&lt;&gt;丢弃",缺陷明细!$AB$2:$AB$50000,"&lt;&gt;设计如此",缺陷明细!$AB$2:$AB$50000,"&lt;&gt;重复Bug")</f>
        <v>0</v>
      </c>
      <c r="X6" s="76">
        <f>COUNTIFS(缺陷明细!$A$2:$A$50000,$B$4,缺陷明细!$G$2:$G$50000,$C6,缺陷明细!$Q$2:$Q$50000,"已关闭",缺陷明细!$J$2:$J$50000,"验收测试",缺陷明细!$K$2:$K$50000,"致命")+COUNTIFS(缺陷明细!$A$2:$A$50000,$B$4,缺陷明细!$G$2:$G$50000,$C6,缺陷明细!$Q$2:$Q$50000,"已关闭",缺陷明细!$J$2:$J$50000,"验收测试",缺陷明细!$K$2:$K$50000,"严重")</f>
        <v>0</v>
      </c>
      <c r="Y6" s="70">
        <f>COUNTIFS(缺陷明细!$A$2:$A$50000,$B$4,缺陷明细!$G$2:$G$50000,$C6,缺陷明细!$J$2:$J$50000,"运维测试",缺陷明细!$AB$2:$AB$50000,"&lt;&gt;丢弃",缺陷明细!$AB$2:$AB$50000,"&lt;&gt;设计如此",缺陷明细!$AB$2:$AB$50000,"&lt;&gt;重复Bug")</f>
        <v>0</v>
      </c>
      <c r="Z6" s="71">
        <f>COUNTIFS(缺陷明细!$A$2:$A$50000,$B$4,缺陷明细!$G$2:$G$50000,$C6,缺陷明细!$Q$2:$Q$50000,"已关闭",缺陷明细!$J$2:$J$50000,"运维测试")</f>
        <v>0</v>
      </c>
      <c r="AA6" s="72">
        <f>COUNTIFS(缺陷明细!$A$2:$A$50000,$B$4,缺陷明细!$G$2:$G$50000,$C6,缺陷明细!$J$2:$J$50000,"运维测试",缺陷明细!$K$2:$K$50000,"致命",缺陷明细!$AB$2:$AB$50000,"&lt;&gt;丢弃",缺陷明细!$AB$2:$AB$50000,"&lt;&gt;设计如此",缺陷明细!$AB$2:$AB$50000,"&lt;&gt;重复Bug")+COUNTIFS(缺陷明细!$A$2:$A$50000,$B$4,缺陷明细!$G$2:$G$50000,$C6,缺陷明细!$J$2:$J$50000,"运维测试",缺陷明细!$K$2:$K$50000,"严重",缺陷明细!$AB$2:$AB$50000,"&lt;&gt;丢弃",缺陷明细!$AB$2:$AB$50000,"&lt;&gt;设计如此",缺陷明细!$AB$2:$AB$50000,"&lt;&gt;重复Bug")</f>
        <v>0</v>
      </c>
      <c r="AB6" s="73">
        <f>COUNTIFS(缺陷明细!$A$2:$A$50000,$B$4,缺陷明细!$G$2:$G$50000,$C6,缺陷明细!$Q$2:$Q$50000,"已关闭",缺陷明细!$J$2:$J$50000,"运维测试",缺陷明细!$K$2:$K$50000,"致命")+COUNTIFS(缺陷明细!$A$2:$A$50000,$B$4,缺陷明细!$G$2:$G$50000,$C6,缺陷明细!$Q$2:$Q$50000,"已关闭",缺陷明细!$J$2:$J$50000,"运维测试",缺陷明细!$K$2:$K$50000,"严重")</f>
        <v>0</v>
      </c>
      <c r="AC6" s="68">
        <f t="shared" ref="AC6:AD55" si="0">H6</f>
        <v>0</v>
      </c>
      <c r="AD6" s="60">
        <f t="shared" si="0"/>
        <v>0</v>
      </c>
      <c r="AE6" s="60">
        <f t="shared" ref="AE6:AF55" si="1">H6+J6</f>
        <v>0</v>
      </c>
      <c r="AF6" s="60">
        <f t="shared" si="1"/>
        <v>0</v>
      </c>
      <c r="AG6" s="60">
        <f t="shared" ref="AG6:AH55" si="2">H6+J6+P6</f>
        <v>0</v>
      </c>
      <c r="AH6" s="60">
        <f t="shared" si="2"/>
        <v>0</v>
      </c>
      <c r="AI6" s="60">
        <f t="shared" ref="AI6:AJ55" si="3">Y6</f>
        <v>0</v>
      </c>
      <c r="AJ6" s="61">
        <f t="shared" si="3"/>
        <v>0</v>
      </c>
      <c r="AK6" s="144"/>
    </row>
    <row r="7" spans="1:37">
      <c r="A7">
        <v>3</v>
      </c>
      <c r="B7" s="57"/>
      <c r="C7" s="58"/>
      <c r="D7" s="83"/>
      <c r="E7" s="82"/>
      <c r="F7" s="158"/>
      <c r="G7" s="159"/>
      <c r="H7" s="281">
        <f>COUNTIFS(缺陷明细!$A$2:$A$50000,$B$4,缺陷明细!$G$2:$G$50000,$C7,缺陷明细!$J$2:$J$50000,"评审",缺陷明细!$AB$2:$AB$50000,"&lt;&gt;丢弃",缺陷明细!$AB$2:$AB$50000,"&lt;&gt;设计如此",缺陷明细!$AB$2:$AB$50000,"&lt;&gt;重复Bug")</f>
        <v>0</v>
      </c>
      <c r="I7" s="154">
        <f>COUNTIFS(缺陷明细!$A$2:$A$50000,$B$4,缺陷明细!$G$2:$G$50000,$C7,缺陷明细!$Q$2:$Q$50000,"已关闭",缺陷明细!$J$2:$J$50000,"评审")</f>
        <v>0</v>
      </c>
      <c r="J7" s="154">
        <f>COUNTIFS(缺陷明细!$A$2:$A$50000,$B$4,缺陷明细!$G$2:$G$50000,$C7,缺陷明细!$J$2:$J$50000,"单元测试",缺陷明细!$AB$2:$AB$50000,"&lt;&gt;丢弃",缺陷明细!$AB$2:$AB$50000,"&lt;&gt;设计如此",缺陷明细!$AB$2:$AB$50000,"&lt;&gt;重复Bug")</f>
        <v>0</v>
      </c>
      <c r="K7" s="155">
        <f>COUNTIFS(缺陷明细!$A$2:$A$50000,$B$4,缺陷明细!$G$2:$G$50000,$C7,缺陷明细!$Q$2:$Q$50000,"已关闭",缺陷明细!$J$2:$J$50000,"单元测试")</f>
        <v>0</v>
      </c>
      <c r="L7" s="156"/>
      <c r="M7" s="157"/>
      <c r="N7" s="72">
        <f>COUNTIFS(缺陷明细!$A$2:$A$50000,$B$4,缺陷明细!$G$2:$G$50000,$C7,缺陷明细!$J$2:$J$50000,"系统测试案例评审",缺陷明细!$AB$2:$AB$50000,"&lt;&gt;丢弃",缺陷明细!$AB$2:$AB$50000,"&lt;&gt;设计如此",缺陷明细!$AB$2:$AB$50000,"&lt;&gt;重复Bug")</f>
        <v>0</v>
      </c>
      <c r="O7" s="72">
        <f>COUNTIFS(缺陷明细!$A$2:$A$50000,$B$4,缺陷明细!$G$2:$G$50000,$C7,缺陷明细!$Q$2:$Q$50000,"已关闭",缺陷明细!$J$2:$J$50000,"系统测试案例评审")</f>
        <v>0</v>
      </c>
      <c r="P7" s="72">
        <f>COUNTIFS(缺陷明细!$A$2:$A$50000,$B$4,缺陷明细!$G$2:$G$50000,$C7,缺陷明细!$J$2:$J$50000,"系统测试",缺陷明细!$AB$2:$AB$50000,"&lt;&gt;丢弃",缺陷明细!$AB$2:$AB$50000,"&lt;&gt;设计如此",缺陷明细!$AB$2:$AB$50000,"&lt;&gt;重复Bug")</f>
        <v>0</v>
      </c>
      <c r="Q7" s="72">
        <f>COUNTIFS(缺陷明细!$A$2:$A$50000,$B$4,缺陷明细!$G$2:$G$50000,$C7,缺陷明细!$Q$2:$Q$50000,"已关闭",缺陷明细!$J$2:$J$50000,"系统测试")</f>
        <v>0</v>
      </c>
      <c r="R7" s="296">
        <f>COUNTIFS(缺陷明细!$A$2:$A$50000,$B$4,缺陷明细!$G$2:$G$50000,$C7,缺陷明细!$AB$2:$AB$50000,"丢弃",缺陷明细!$J$2:$J$50000,"系统测试")+COUNTIFS(缺陷明细!$A$2:$A$50000,$B$4,缺陷明细!$G$2:$G$50000,$C7,缺陷明细!$AB$2:$AB$50000,"设计如此",缺陷明细!$J$2:$J$50000,"系统测试")+COUNTIFS(缺陷明细!$A$2:$A$50000,$B$4,缺陷明细!$G$2:$G$50000,$C7,缺陷明细!$AB$2:$AB$50000,"重复Bug",缺陷明细!$J$2:$J$50000,"系统测试")</f>
        <v>0</v>
      </c>
      <c r="S7" s="72">
        <f>COUNTIFS(缺陷明细!$A$2:$A$50000,$B$4,缺陷明细!$G$2:$G$50000,$C7,缺陷明细!$J$2:$J$50000,"系统测试",缺陷明细!$K$2:$K$50000,"致命",缺陷明细!$AB$2:$AB$50000,"&lt;&gt;丢弃",缺陷明细!$AB$2:$AB$50000,"&lt;&gt;设计如此",缺陷明细!$AB$2:$AB$50000,"&lt;&gt;重复Bug")+COUNTIFS(缺陷明细!$A$2:$A$50000,$B$4,缺陷明细!$G$2:$G$50000,$C7,缺陷明细!$J$2:$J$50000,"系统测试",缺陷明细!$K$2:$K$50000,"严重",缺陷明细!$AB$2:$AB$50000,"&lt;&gt;丢弃",缺陷明细!$AB$2:$AB$50000,"&lt;&gt;设计如此",缺陷明细!$AB$2:$AB$50000,"&lt;&gt;重复Bug")</f>
        <v>0</v>
      </c>
      <c r="T7" s="73">
        <f>COUNTIFS(缺陷明细!$A$2:$A$50000,$B$4,缺陷明细!$G$2:$G$50000,$C7,缺陷明细!$Q$2:$Q$50000,"已关闭",缺陷明细!$J$2:$J$50000,"系统测试",缺陷明细!$K$2:$K$50000,"致命")+COUNTIFS(缺陷明细!$A$2:$A$50000,$B$4,缺陷明细!$G$2:$G$50000,$C7,缺陷明细!$Q$2:$Q$50000,"已关闭",缺陷明细!$J$2:$J$50000,"系统测试",缺陷明细!$K$2:$K$50000,"严重")</f>
        <v>0</v>
      </c>
      <c r="U7" s="74">
        <f>COUNTIFS(缺陷明细!$A$2:$A$50000,$B$4,缺陷明细!$G$2:$G$50000,$C7,缺陷明细!$J$2:$J$50000,"验收测试",缺陷明细!$AB$2:$AB$50000,"&lt;&gt;丢弃",缺陷明细!$AB$2:$AB$50000,"&lt;&gt;设计如此",缺陷明细!$AB$2:$AB$50000,"&lt;&gt;重复Bug")</f>
        <v>0</v>
      </c>
      <c r="V7" s="75">
        <f>COUNTIFS(缺陷明细!$A$2:$A$50000,$B$4,缺陷明细!$G$2:$G$50000,$C7,缺陷明细!$Q$2:$Q$50000,"已关闭",缺陷明细!$J$2:$J$50000,"验收测试")</f>
        <v>0</v>
      </c>
      <c r="W7" s="75">
        <f>COUNTIFS(缺陷明细!$A$2:$A$50000,$B$4,缺陷明细!$G$2:$G$50000,$C7,缺陷明细!$J$2:$J$50000,"验收测试",缺陷明细!$K$2:$K$50000,"致命",缺陷明细!$AB$2:$AB$50000,"&lt;&gt;丢弃",缺陷明细!$AB$2:$AB$50000,"&lt;&gt;设计如此",缺陷明细!$AB$2:$AB$50000,"&lt;&gt;重复Bug")+COUNTIFS(缺陷明细!$A$2:$A$50000,$B$4,缺陷明细!$G$2:$G$50000,$C7,缺陷明细!$J$2:$J$50000,"验收测试",缺陷明细!$K$2:$K$50000,"严重",缺陷明细!$AB$2:$AB$50000,"&lt;&gt;丢弃",缺陷明细!$AB$2:$AB$50000,"&lt;&gt;设计如此",缺陷明细!$AB$2:$AB$50000,"&lt;&gt;重复Bug")</f>
        <v>0</v>
      </c>
      <c r="X7" s="76">
        <f>COUNTIFS(缺陷明细!$A$2:$A$50000,$B$4,缺陷明细!$G$2:$G$50000,$C7,缺陷明细!$Q$2:$Q$50000,"已关闭",缺陷明细!$J$2:$J$50000,"验收测试",缺陷明细!$K$2:$K$50000,"致命")+COUNTIFS(缺陷明细!$A$2:$A$50000,$B$4,缺陷明细!$G$2:$G$50000,$C7,缺陷明细!$Q$2:$Q$50000,"已关闭",缺陷明细!$J$2:$J$50000,"验收测试",缺陷明细!$K$2:$K$50000,"严重")</f>
        <v>0</v>
      </c>
      <c r="Y7" s="70">
        <f>COUNTIFS(缺陷明细!$A$2:$A$50000,$B$4,缺陷明细!$G$2:$G$50000,$C7,缺陷明细!$J$2:$J$50000,"运维测试",缺陷明细!$AB$2:$AB$50000,"&lt;&gt;丢弃",缺陷明细!$AB$2:$AB$50000,"&lt;&gt;设计如此",缺陷明细!$AB$2:$AB$50000,"&lt;&gt;重复Bug")</f>
        <v>0</v>
      </c>
      <c r="Z7" s="71">
        <f>COUNTIFS(缺陷明细!$A$2:$A$50000,$B$4,缺陷明细!$G$2:$G$50000,$C7,缺陷明细!$Q$2:$Q$50000,"已关闭",缺陷明细!$J$2:$J$50000,"运维测试")</f>
        <v>0</v>
      </c>
      <c r="AA7" s="72">
        <f>COUNTIFS(缺陷明细!$A$2:$A$50000,$B$4,缺陷明细!$G$2:$G$50000,$C7,缺陷明细!$J$2:$J$50000,"运维测试",缺陷明细!$K$2:$K$50000,"致命",缺陷明细!$AB$2:$AB$50000,"&lt;&gt;丢弃",缺陷明细!$AB$2:$AB$50000,"&lt;&gt;设计如此",缺陷明细!$AB$2:$AB$50000,"&lt;&gt;重复Bug")+COUNTIFS(缺陷明细!$A$2:$A$50000,$B$4,缺陷明细!$G$2:$G$50000,$C7,缺陷明细!$J$2:$J$50000,"运维测试",缺陷明细!$K$2:$K$50000,"严重",缺陷明细!$AB$2:$AB$50000,"&lt;&gt;丢弃",缺陷明细!$AB$2:$AB$50000,"&lt;&gt;设计如此",缺陷明细!$AB$2:$AB$50000,"&lt;&gt;重复Bug")</f>
        <v>0</v>
      </c>
      <c r="AB7" s="73">
        <f>COUNTIFS(缺陷明细!$A$2:$A$50000,$B$4,缺陷明细!$G$2:$G$50000,$C7,缺陷明细!$Q$2:$Q$50000,"已关闭",缺陷明细!$J$2:$J$50000,"运维测试",缺陷明细!$K$2:$K$50000,"致命")+COUNTIFS(缺陷明细!$A$2:$A$50000,$B$4,缺陷明细!$G$2:$G$50000,$C7,缺陷明细!$Q$2:$Q$50000,"已关闭",缺陷明细!$J$2:$J$50000,"运维测试",缺陷明细!$K$2:$K$50000,"严重")</f>
        <v>0</v>
      </c>
      <c r="AC7" s="68">
        <f t="shared" si="0"/>
        <v>0</v>
      </c>
      <c r="AD7" s="60">
        <f t="shared" si="0"/>
        <v>0</v>
      </c>
      <c r="AE7" s="60">
        <f t="shared" si="1"/>
        <v>0</v>
      </c>
      <c r="AF7" s="60">
        <f t="shared" si="1"/>
        <v>0</v>
      </c>
      <c r="AG7" s="60">
        <f t="shared" si="2"/>
        <v>0</v>
      </c>
      <c r="AH7" s="60">
        <f t="shared" si="2"/>
        <v>0</v>
      </c>
      <c r="AI7" s="60">
        <f t="shared" si="3"/>
        <v>0</v>
      </c>
      <c r="AJ7" s="61">
        <f t="shared" si="3"/>
        <v>0</v>
      </c>
      <c r="AK7" s="144"/>
    </row>
    <row r="8" spans="1:37">
      <c r="A8">
        <v>4</v>
      </c>
      <c r="B8" s="57"/>
      <c r="C8" s="58"/>
      <c r="D8" s="83"/>
      <c r="E8" s="82"/>
      <c r="F8" s="158"/>
      <c r="G8" s="159"/>
      <c r="H8" s="281">
        <f>COUNTIFS(缺陷明细!$A$2:$A$50000,$B$4,缺陷明细!$G$2:$G$50000,$C8,缺陷明细!$J$2:$J$50000,"评审",缺陷明细!$AB$2:$AB$50000,"&lt;&gt;丢弃",缺陷明细!$AB$2:$AB$50000,"&lt;&gt;设计如此",缺陷明细!$AB$2:$AB$50000,"&lt;&gt;重复Bug")</f>
        <v>0</v>
      </c>
      <c r="I8" s="154">
        <f>COUNTIFS(缺陷明细!$A$2:$A$50000,$B$4,缺陷明细!$G$2:$G$50000,$C8,缺陷明细!$Q$2:$Q$50000,"已关闭",缺陷明细!$J$2:$J$50000,"评审")</f>
        <v>0</v>
      </c>
      <c r="J8" s="154">
        <f>COUNTIFS(缺陷明细!$A$2:$A$50000,$B$4,缺陷明细!$G$2:$G$50000,$C8,缺陷明细!$J$2:$J$50000,"单元测试",缺陷明细!$AB$2:$AB$50000,"&lt;&gt;丢弃",缺陷明细!$AB$2:$AB$50000,"&lt;&gt;设计如此",缺陷明细!$AB$2:$AB$50000,"&lt;&gt;重复Bug")</f>
        <v>0</v>
      </c>
      <c r="K8" s="155">
        <f>COUNTIFS(缺陷明细!$A$2:$A$50000,$B$4,缺陷明细!$G$2:$G$50000,$C8,缺陷明细!$Q$2:$Q$50000,"已关闭",缺陷明细!$J$2:$J$50000,"单元测试")</f>
        <v>0</v>
      </c>
      <c r="L8" s="156"/>
      <c r="M8" s="157"/>
      <c r="N8" s="72">
        <f>COUNTIFS(缺陷明细!$A$2:$A$50000,$B$4,缺陷明细!$G$2:$G$50000,$C8,缺陷明细!$J$2:$J$50000,"系统测试案例评审",缺陷明细!$AB$2:$AB$50000,"&lt;&gt;丢弃",缺陷明细!$AB$2:$AB$50000,"&lt;&gt;设计如此",缺陷明细!$AB$2:$AB$50000,"&lt;&gt;重复Bug")</f>
        <v>0</v>
      </c>
      <c r="O8" s="72">
        <f>COUNTIFS(缺陷明细!$A$2:$A$50000,$B$4,缺陷明细!$G$2:$G$50000,$C8,缺陷明细!$Q$2:$Q$50000,"已关闭",缺陷明细!$J$2:$J$50000,"系统测试案例评审")</f>
        <v>0</v>
      </c>
      <c r="P8" s="72">
        <f>COUNTIFS(缺陷明细!$A$2:$A$50000,$B$4,缺陷明细!$G$2:$G$50000,$C8,缺陷明细!$J$2:$J$50000,"系统测试",缺陷明细!$AB$2:$AB$50000,"&lt;&gt;丢弃",缺陷明细!$AB$2:$AB$50000,"&lt;&gt;设计如此",缺陷明细!$AB$2:$AB$50000,"&lt;&gt;重复Bug")</f>
        <v>0</v>
      </c>
      <c r="Q8" s="72">
        <f>COUNTIFS(缺陷明细!$A$2:$A$50000,$B$4,缺陷明细!$G$2:$G$50000,$C8,缺陷明细!$Q$2:$Q$50000,"已关闭",缺陷明细!$J$2:$J$50000,"系统测试")</f>
        <v>0</v>
      </c>
      <c r="R8" s="296">
        <f>COUNTIFS(缺陷明细!$A$2:$A$50000,$B$4,缺陷明细!$G$2:$G$50000,$C8,缺陷明细!$AB$2:$AB$50000,"丢弃",缺陷明细!$J$2:$J$50000,"系统测试")+COUNTIFS(缺陷明细!$A$2:$A$50000,$B$4,缺陷明细!$G$2:$G$50000,$C8,缺陷明细!$AB$2:$AB$50000,"设计如此",缺陷明细!$J$2:$J$50000,"系统测试")+COUNTIFS(缺陷明细!$A$2:$A$50000,$B$4,缺陷明细!$G$2:$G$50000,$C8,缺陷明细!$AB$2:$AB$50000,"重复Bug",缺陷明细!$J$2:$J$50000,"系统测试")</f>
        <v>0</v>
      </c>
      <c r="S8" s="72">
        <f>COUNTIFS(缺陷明细!$A$2:$A$50000,$B$4,缺陷明细!$G$2:$G$50000,$C8,缺陷明细!$J$2:$J$50000,"系统测试",缺陷明细!$K$2:$K$50000,"致命",缺陷明细!$AB$2:$AB$50000,"&lt;&gt;丢弃",缺陷明细!$AB$2:$AB$50000,"&lt;&gt;设计如此",缺陷明细!$AB$2:$AB$50000,"&lt;&gt;重复Bug")+COUNTIFS(缺陷明细!$A$2:$A$50000,$B$4,缺陷明细!$G$2:$G$50000,$C8,缺陷明细!$J$2:$J$50000,"系统测试",缺陷明细!$K$2:$K$50000,"严重",缺陷明细!$AB$2:$AB$50000,"&lt;&gt;丢弃",缺陷明细!$AB$2:$AB$50000,"&lt;&gt;设计如此",缺陷明细!$AB$2:$AB$50000,"&lt;&gt;重复Bug")</f>
        <v>0</v>
      </c>
      <c r="T8" s="73">
        <f>COUNTIFS(缺陷明细!$A$2:$A$50000,$B$4,缺陷明细!$G$2:$G$50000,$C8,缺陷明细!$Q$2:$Q$50000,"已关闭",缺陷明细!$J$2:$J$50000,"系统测试",缺陷明细!$K$2:$K$50000,"致命")+COUNTIFS(缺陷明细!$A$2:$A$50000,$B$4,缺陷明细!$G$2:$G$50000,$C8,缺陷明细!$Q$2:$Q$50000,"已关闭",缺陷明细!$J$2:$J$50000,"系统测试",缺陷明细!$K$2:$K$50000,"严重")</f>
        <v>0</v>
      </c>
      <c r="U8" s="74">
        <f>COUNTIFS(缺陷明细!$A$2:$A$50000,$B$4,缺陷明细!$G$2:$G$50000,$C8,缺陷明细!$J$2:$J$50000,"验收测试",缺陷明细!$AB$2:$AB$50000,"&lt;&gt;丢弃",缺陷明细!$AB$2:$AB$50000,"&lt;&gt;设计如此",缺陷明细!$AB$2:$AB$50000,"&lt;&gt;重复Bug")</f>
        <v>0</v>
      </c>
      <c r="V8" s="75">
        <f>COUNTIFS(缺陷明细!$A$2:$A$50000,$B$4,缺陷明细!$G$2:$G$50000,$C8,缺陷明细!$Q$2:$Q$50000,"已关闭",缺陷明细!$J$2:$J$50000,"验收测试")</f>
        <v>0</v>
      </c>
      <c r="W8" s="75">
        <f>COUNTIFS(缺陷明细!$A$2:$A$50000,$B$4,缺陷明细!$G$2:$G$50000,$C8,缺陷明细!$J$2:$J$50000,"验收测试",缺陷明细!$K$2:$K$50000,"致命",缺陷明细!$AB$2:$AB$50000,"&lt;&gt;丢弃",缺陷明细!$AB$2:$AB$50000,"&lt;&gt;设计如此",缺陷明细!$AB$2:$AB$50000,"&lt;&gt;重复Bug")+COUNTIFS(缺陷明细!$A$2:$A$50000,$B$4,缺陷明细!$G$2:$G$50000,$C8,缺陷明细!$J$2:$J$50000,"验收测试",缺陷明细!$K$2:$K$50000,"严重",缺陷明细!$AB$2:$AB$50000,"&lt;&gt;丢弃",缺陷明细!$AB$2:$AB$50000,"&lt;&gt;设计如此",缺陷明细!$AB$2:$AB$50000,"&lt;&gt;重复Bug")</f>
        <v>0</v>
      </c>
      <c r="X8" s="76">
        <f>COUNTIFS(缺陷明细!$A$2:$A$50000,$B$4,缺陷明细!$G$2:$G$50000,$C8,缺陷明细!$Q$2:$Q$50000,"已关闭",缺陷明细!$J$2:$J$50000,"验收测试",缺陷明细!$K$2:$K$50000,"致命")+COUNTIFS(缺陷明细!$A$2:$A$50000,$B$4,缺陷明细!$G$2:$G$50000,$C8,缺陷明细!$Q$2:$Q$50000,"已关闭",缺陷明细!$J$2:$J$50000,"验收测试",缺陷明细!$K$2:$K$50000,"严重")</f>
        <v>0</v>
      </c>
      <c r="Y8" s="70">
        <f>COUNTIFS(缺陷明细!$A$2:$A$50000,$B$4,缺陷明细!$G$2:$G$50000,$C8,缺陷明细!$J$2:$J$50000,"运维测试",缺陷明细!$AB$2:$AB$50000,"&lt;&gt;丢弃",缺陷明细!$AB$2:$AB$50000,"&lt;&gt;设计如此",缺陷明细!$AB$2:$AB$50000,"&lt;&gt;重复Bug")</f>
        <v>0</v>
      </c>
      <c r="Z8" s="71">
        <f>COUNTIFS(缺陷明细!$A$2:$A$50000,$B$4,缺陷明细!$G$2:$G$50000,$C8,缺陷明细!$Q$2:$Q$50000,"已关闭",缺陷明细!$J$2:$J$50000,"运维测试")</f>
        <v>0</v>
      </c>
      <c r="AA8" s="72">
        <f>COUNTIFS(缺陷明细!$A$2:$A$50000,$B$4,缺陷明细!$G$2:$G$50000,$C8,缺陷明细!$J$2:$J$50000,"运维测试",缺陷明细!$K$2:$K$50000,"致命",缺陷明细!$AB$2:$AB$50000,"&lt;&gt;丢弃",缺陷明细!$AB$2:$AB$50000,"&lt;&gt;设计如此",缺陷明细!$AB$2:$AB$50000,"&lt;&gt;重复Bug")+COUNTIFS(缺陷明细!$A$2:$A$50000,$B$4,缺陷明细!$G$2:$G$50000,$C8,缺陷明细!$J$2:$J$50000,"运维测试",缺陷明细!$K$2:$K$50000,"严重",缺陷明细!$AB$2:$AB$50000,"&lt;&gt;丢弃",缺陷明细!$AB$2:$AB$50000,"&lt;&gt;设计如此",缺陷明细!$AB$2:$AB$50000,"&lt;&gt;重复Bug")</f>
        <v>0</v>
      </c>
      <c r="AB8" s="73">
        <f>COUNTIFS(缺陷明细!$A$2:$A$50000,$B$4,缺陷明细!$G$2:$G$50000,$C8,缺陷明细!$Q$2:$Q$50000,"已关闭",缺陷明细!$J$2:$J$50000,"运维测试",缺陷明细!$K$2:$K$50000,"致命")+COUNTIFS(缺陷明细!$A$2:$A$50000,$B$4,缺陷明细!$G$2:$G$50000,$C8,缺陷明细!$Q$2:$Q$50000,"已关闭",缺陷明细!$J$2:$J$50000,"运维测试",缺陷明细!$K$2:$K$50000,"严重")</f>
        <v>0</v>
      </c>
      <c r="AC8" s="68">
        <f t="shared" si="0"/>
        <v>0</v>
      </c>
      <c r="AD8" s="60">
        <f t="shared" si="0"/>
        <v>0</v>
      </c>
      <c r="AE8" s="60">
        <f t="shared" si="1"/>
        <v>0</v>
      </c>
      <c r="AF8" s="60">
        <f t="shared" si="1"/>
        <v>0</v>
      </c>
      <c r="AG8" s="60">
        <f t="shared" si="2"/>
        <v>0</v>
      </c>
      <c r="AH8" s="60">
        <f t="shared" si="2"/>
        <v>0</v>
      </c>
      <c r="AI8" s="60">
        <f t="shared" si="3"/>
        <v>0</v>
      </c>
      <c r="AJ8" s="61">
        <f t="shared" si="3"/>
        <v>0</v>
      </c>
      <c r="AK8" s="144"/>
    </row>
    <row r="9" spans="1:37">
      <c r="A9">
        <v>5</v>
      </c>
      <c r="B9" s="57"/>
      <c r="C9" s="59"/>
      <c r="D9" s="84"/>
      <c r="E9" s="82"/>
      <c r="F9" s="160"/>
      <c r="G9" s="161"/>
      <c r="H9" s="281">
        <f>COUNTIFS(缺陷明细!$A$2:$A$50000,$B$4,缺陷明细!$G$2:$G$50000,$C9,缺陷明细!$J$2:$J$50000,"评审",缺陷明细!$AB$2:$AB$50000,"&lt;&gt;丢弃",缺陷明细!$AB$2:$AB$50000,"&lt;&gt;设计如此",缺陷明细!$AB$2:$AB$50000,"&lt;&gt;重复Bug")</f>
        <v>0</v>
      </c>
      <c r="I9" s="154">
        <f>COUNTIFS(缺陷明细!$A$2:$A$50000,$B$4,缺陷明细!$G$2:$G$50000,$C9,缺陷明细!$Q$2:$Q$50000,"已关闭",缺陷明细!$J$2:$J$50000,"评审")</f>
        <v>0</v>
      </c>
      <c r="J9" s="154">
        <f>COUNTIFS(缺陷明细!$A$2:$A$50000,$B$4,缺陷明细!$G$2:$G$50000,$C9,缺陷明细!$J$2:$J$50000,"单元测试",缺陷明细!$AB$2:$AB$50000,"&lt;&gt;丢弃",缺陷明细!$AB$2:$AB$50000,"&lt;&gt;设计如此",缺陷明细!$AB$2:$AB$50000,"&lt;&gt;重复Bug")</f>
        <v>0</v>
      </c>
      <c r="K9" s="155">
        <f>COUNTIFS(缺陷明细!$A$2:$A$50000,$B$4,缺陷明细!$G$2:$G$50000,$C9,缺陷明细!$Q$2:$Q$50000,"已关闭",缺陷明细!$J$2:$J$50000,"单元测试")</f>
        <v>0</v>
      </c>
      <c r="L9" s="156"/>
      <c r="M9" s="157"/>
      <c r="N9" s="72">
        <f>COUNTIFS(缺陷明细!$A$2:$A$50000,$B$4,缺陷明细!$G$2:$G$50000,$C9,缺陷明细!$J$2:$J$50000,"系统测试案例评审",缺陷明细!$AB$2:$AB$50000,"&lt;&gt;丢弃",缺陷明细!$AB$2:$AB$50000,"&lt;&gt;设计如此",缺陷明细!$AB$2:$AB$50000,"&lt;&gt;重复Bug")</f>
        <v>0</v>
      </c>
      <c r="O9" s="72">
        <f>COUNTIFS(缺陷明细!$A$2:$A$50000,$B$4,缺陷明细!$G$2:$G$50000,$C9,缺陷明细!$Q$2:$Q$50000,"已关闭",缺陷明细!$J$2:$J$50000,"系统测试案例评审")</f>
        <v>0</v>
      </c>
      <c r="P9" s="72">
        <f>COUNTIFS(缺陷明细!$A$2:$A$50000,$B$4,缺陷明细!$G$2:$G$50000,$C9,缺陷明细!$J$2:$J$50000,"系统测试",缺陷明细!$AB$2:$AB$50000,"&lt;&gt;丢弃",缺陷明细!$AB$2:$AB$50000,"&lt;&gt;设计如此",缺陷明细!$AB$2:$AB$50000,"&lt;&gt;重复Bug")</f>
        <v>0</v>
      </c>
      <c r="Q9" s="72">
        <f>COUNTIFS(缺陷明细!$A$2:$A$50000,$B$4,缺陷明细!$G$2:$G$50000,$C9,缺陷明细!$Q$2:$Q$50000,"已关闭",缺陷明细!$J$2:$J$50000,"系统测试")</f>
        <v>0</v>
      </c>
      <c r="R9" s="296">
        <f>COUNTIFS(缺陷明细!$A$2:$A$50000,$B$4,缺陷明细!$G$2:$G$50000,$C9,缺陷明细!$AB$2:$AB$50000,"丢弃",缺陷明细!$J$2:$J$50000,"系统测试")+COUNTIFS(缺陷明细!$A$2:$A$50000,$B$4,缺陷明细!$G$2:$G$50000,$C9,缺陷明细!$AB$2:$AB$50000,"设计如此",缺陷明细!$J$2:$J$50000,"系统测试")+COUNTIFS(缺陷明细!$A$2:$A$50000,$B$4,缺陷明细!$G$2:$G$50000,$C9,缺陷明细!$AB$2:$AB$50000,"重复Bug",缺陷明细!$J$2:$J$50000,"系统测试")</f>
        <v>0</v>
      </c>
      <c r="S9" s="72">
        <f>COUNTIFS(缺陷明细!$A$2:$A$50000,$B$4,缺陷明细!$G$2:$G$50000,$C9,缺陷明细!$J$2:$J$50000,"系统测试",缺陷明细!$K$2:$K$50000,"致命",缺陷明细!$AB$2:$AB$50000,"&lt;&gt;丢弃",缺陷明细!$AB$2:$AB$50000,"&lt;&gt;设计如此",缺陷明细!$AB$2:$AB$50000,"&lt;&gt;重复Bug")+COUNTIFS(缺陷明细!$A$2:$A$50000,$B$4,缺陷明细!$G$2:$G$50000,$C9,缺陷明细!$J$2:$J$50000,"系统测试",缺陷明细!$K$2:$K$50000,"严重",缺陷明细!$AB$2:$AB$50000,"&lt;&gt;丢弃",缺陷明细!$AB$2:$AB$50000,"&lt;&gt;设计如此",缺陷明细!$AB$2:$AB$50000,"&lt;&gt;重复Bug")</f>
        <v>0</v>
      </c>
      <c r="T9" s="73">
        <f>COUNTIFS(缺陷明细!$A$2:$A$50000,$B$4,缺陷明细!$G$2:$G$50000,$C9,缺陷明细!$Q$2:$Q$50000,"已关闭",缺陷明细!$J$2:$J$50000,"系统测试",缺陷明细!$K$2:$K$50000,"致命")+COUNTIFS(缺陷明细!$A$2:$A$50000,$B$4,缺陷明细!$G$2:$G$50000,$C9,缺陷明细!$Q$2:$Q$50000,"已关闭",缺陷明细!$J$2:$J$50000,"系统测试",缺陷明细!$K$2:$K$50000,"严重")</f>
        <v>0</v>
      </c>
      <c r="U9" s="74">
        <f>COUNTIFS(缺陷明细!$A$2:$A$50000,$B$4,缺陷明细!$G$2:$G$50000,$C9,缺陷明细!$J$2:$J$50000,"验收测试",缺陷明细!$AB$2:$AB$50000,"&lt;&gt;丢弃",缺陷明细!$AB$2:$AB$50000,"&lt;&gt;设计如此",缺陷明细!$AB$2:$AB$50000,"&lt;&gt;重复Bug")</f>
        <v>0</v>
      </c>
      <c r="V9" s="75">
        <f>COUNTIFS(缺陷明细!$A$2:$A$50000,$B$4,缺陷明细!$G$2:$G$50000,$C9,缺陷明细!$Q$2:$Q$50000,"已关闭",缺陷明细!$J$2:$J$50000,"验收测试")</f>
        <v>0</v>
      </c>
      <c r="W9" s="75">
        <f>COUNTIFS(缺陷明细!$A$2:$A$50000,$B$4,缺陷明细!$G$2:$G$50000,$C9,缺陷明细!$J$2:$J$50000,"验收测试",缺陷明细!$K$2:$K$50000,"致命",缺陷明细!$AB$2:$AB$50000,"&lt;&gt;丢弃",缺陷明细!$AB$2:$AB$50000,"&lt;&gt;设计如此",缺陷明细!$AB$2:$AB$50000,"&lt;&gt;重复Bug")+COUNTIFS(缺陷明细!$A$2:$A$50000,$B$4,缺陷明细!$G$2:$G$50000,$C9,缺陷明细!$J$2:$J$50000,"验收测试",缺陷明细!$K$2:$K$50000,"严重",缺陷明细!$AB$2:$AB$50000,"&lt;&gt;丢弃",缺陷明细!$AB$2:$AB$50000,"&lt;&gt;设计如此",缺陷明细!$AB$2:$AB$50000,"&lt;&gt;重复Bug")</f>
        <v>0</v>
      </c>
      <c r="X9" s="76">
        <f>COUNTIFS(缺陷明细!$A$2:$A$50000,$B$4,缺陷明细!$G$2:$G$50000,$C9,缺陷明细!$Q$2:$Q$50000,"已关闭",缺陷明细!$J$2:$J$50000,"验收测试",缺陷明细!$K$2:$K$50000,"致命")+COUNTIFS(缺陷明细!$A$2:$A$50000,$B$4,缺陷明细!$G$2:$G$50000,$C9,缺陷明细!$Q$2:$Q$50000,"已关闭",缺陷明细!$J$2:$J$50000,"验收测试",缺陷明细!$K$2:$K$50000,"严重")</f>
        <v>0</v>
      </c>
      <c r="Y9" s="70">
        <f>COUNTIFS(缺陷明细!$A$2:$A$50000,$B$4,缺陷明细!$G$2:$G$50000,$C9,缺陷明细!$J$2:$J$50000,"运维测试",缺陷明细!$AB$2:$AB$50000,"&lt;&gt;丢弃",缺陷明细!$AB$2:$AB$50000,"&lt;&gt;设计如此",缺陷明细!$AB$2:$AB$50000,"&lt;&gt;重复Bug")</f>
        <v>0</v>
      </c>
      <c r="Z9" s="71">
        <f>COUNTIFS(缺陷明细!$A$2:$A$50000,$B$4,缺陷明细!$G$2:$G$50000,$C9,缺陷明细!$Q$2:$Q$50000,"已关闭",缺陷明细!$J$2:$J$50000,"运维测试")</f>
        <v>0</v>
      </c>
      <c r="AA9" s="72">
        <f>COUNTIFS(缺陷明细!$A$2:$A$50000,$B$4,缺陷明细!$G$2:$G$50000,$C9,缺陷明细!$J$2:$J$50000,"运维测试",缺陷明细!$K$2:$K$50000,"致命",缺陷明细!$AB$2:$AB$50000,"&lt;&gt;丢弃",缺陷明细!$AB$2:$AB$50000,"&lt;&gt;设计如此",缺陷明细!$AB$2:$AB$50000,"&lt;&gt;重复Bug")+COUNTIFS(缺陷明细!$A$2:$A$50000,$B$4,缺陷明细!$G$2:$G$50000,$C9,缺陷明细!$J$2:$J$50000,"运维测试",缺陷明细!$K$2:$K$50000,"严重",缺陷明细!$AB$2:$AB$50000,"&lt;&gt;丢弃",缺陷明细!$AB$2:$AB$50000,"&lt;&gt;设计如此",缺陷明细!$AB$2:$AB$50000,"&lt;&gt;重复Bug")</f>
        <v>0</v>
      </c>
      <c r="AB9" s="73">
        <f>COUNTIFS(缺陷明细!$A$2:$A$50000,$B$4,缺陷明细!$G$2:$G$50000,$C9,缺陷明细!$Q$2:$Q$50000,"已关闭",缺陷明细!$J$2:$J$50000,"运维测试",缺陷明细!$K$2:$K$50000,"致命")+COUNTIFS(缺陷明细!$A$2:$A$50000,$B$4,缺陷明细!$G$2:$G$50000,$C9,缺陷明细!$Q$2:$Q$50000,"已关闭",缺陷明细!$J$2:$J$50000,"运维测试",缺陷明细!$K$2:$K$50000,"严重")</f>
        <v>0</v>
      </c>
      <c r="AC9" s="68">
        <f t="shared" si="0"/>
        <v>0</v>
      </c>
      <c r="AD9" s="60">
        <f t="shared" si="0"/>
        <v>0</v>
      </c>
      <c r="AE9" s="60">
        <f t="shared" si="1"/>
        <v>0</v>
      </c>
      <c r="AF9" s="60">
        <f t="shared" si="1"/>
        <v>0</v>
      </c>
      <c r="AG9" s="60">
        <f t="shared" si="2"/>
        <v>0</v>
      </c>
      <c r="AH9" s="60">
        <f t="shared" si="2"/>
        <v>0</v>
      </c>
      <c r="AI9" s="60">
        <f t="shared" si="3"/>
        <v>0</v>
      </c>
      <c r="AJ9" s="61">
        <f t="shared" si="3"/>
        <v>0</v>
      </c>
      <c r="AK9" s="144"/>
    </row>
    <row r="10" spans="1:37">
      <c r="A10">
        <v>6</v>
      </c>
      <c r="B10" s="57"/>
      <c r="C10" s="58"/>
      <c r="D10" s="84"/>
      <c r="E10" s="82"/>
      <c r="F10" s="158"/>
      <c r="G10" s="159"/>
      <c r="H10" s="281">
        <f>COUNTIFS(缺陷明细!$A$2:$A$50000,$B$4,缺陷明细!$G$2:$G$50000,$C10,缺陷明细!$J$2:$J$50000,"评审",缺陷明细!$AB$2:$AB$50000,"&lt;&gt;丢弃",缺陷明细!$AB$2:$AB$50000,"&lt;&gt;设计如此",缺陷明细!$AB$2:$AB$50000,"&lt;&gt;重复Bug")</f>
        <v>0</v>
      </c>
      <c r="I10" s="154">
        <f>COUNTIFS(缺陷明细!$A$2:$A$50000,$B$4,缺陷明细!$G$2:$G$50000,$C10,缺陷明细!$Q$2:$Q$50000,"已关闭",缺陷明细!$J$2:$J$50000,"评审")</f>
        <v>0</v>
      </c>
      <c r="J10" s="154">
        <f>COUNTIFS(缺陷明细!$A$2:$A$50000,$B$4,缺陷明细!$G$2:$G$50000,$C10,缺陷明细!$J$2:$J$50000,"单元测试",缺陷明细!$AB$2:$AB$50000,"&lt;&gt;丢弃",缺陷明细!$AB$2:$AB$50000,"&lt;&gt;设计如此",缺陷明细!$AB$2:$AB$50000,"&lt;&gt;重复Bug")</f>
        <v>0</v>
      </c>
      <c r="K10" s="155">
        <f>COUNTIFS(缺陷明细!$A$2:$A$50000,$B$4,缺陷明细!$G$2:$G$50000,$C10,缺陷明细!$Q$2:$Q$50000,"已关闭",缺陷明细!$J$2:$J$50000,"单元测试")</f>
        <v>0</v>
      </c>
      <c r="L10" s="156"/>
      <c r="M10" s="157"/>
      <c r="N10" s="72">
        <f>COUNTIFS(缺陷明细!$A$2:$A$50000,$B$4,缺陷明细!$G$2:$G$50000,$C10,缺陷明细!$J$2:$J$50000,"系统测试案例评审",缺陷明细!$AB$2:$AB$50000,"&lt;&gt;丢弃",缺陷明细!$AB$2:$AB$50000,"&lt;&gt;设计如此",缺陷明细!$AB$2:$AB$50000,"&lt;&gt;重复Bug")</f>
        <v>0</v>
      </c>
      <c r="O10" s="72">
        <f>COUNTIFS(缺陷明细!$A$2:$A$50000,$B$4,缺陷明细!$G$2:$G$50000,$C10,缺陷明细!$Q$2:$Q$50000,"已关闭",缺陷明细!$J$2:$J$50000,"系统测试案例评审")</f>
        <v>0</v>
      </c>
      <c r="P10" s="72">
        <f>COUNTIFS(缺陷明细!$A$2:$A$50000,$B$4,缺陷明细!$G$2:$G$50000,$C10,缺陷明细!$J$2:$J$50000,"系统测试",缺陷明细!$AB$2:$AB$50000,"&lt;&gt;丢弃",缺陷明细!$AB$2:$AB$50000,"&lt;&gt;设计如此",缺陷明细!$AB$2:$AB$50000,"&lt;&gt;重复Bug")</f>
        <v>0</v>
      </c>
      <c r="Q10" s="72">
        <f>COUNTIFS(缺陷明细!$A$2:$A$50000,$B$4,缺陷明细!$G$2:$G$50000,$C10,缺陷明细!$Q$2:$Q$50000,"已关闭",缺陷明细!$J$2:$J$50000,"系统测试")</f>
        <v>0</v>
      </c>
      <c r="R10" s="296">
        <f>COUNTIFS(缺陷明细!$A$2:$A$50000,$B$4,缺陷明细!$G$2:$G$50000,$C10,缺陷明细!$AB$2:$AB$50000,"丢弃",缺陷明细!$J$2:$J$50000,"系统测试")+COUNTIFS(缺陷明细!$A$2:$A$50000,$B$4,缺陷明细!$G$2:$G$50000,$C10,缺陷明细!$AB$2:$AB$50000,"设计如此",缺陷明细!$J$2:$J$50000,"系统测试")+COUNTIFS(缺陷明细!$A$2:$A$50000,$B$4,缺陷明细!$G$2:$G$50000,$C10,缺陷明细!$AB$2:$AB$50000,"重复Bug",缺陷明细!$J$2:$J$50000,"系统测试")</f>
        <v>0</v>
      </c>
      <c r="S10" s="72">
        <f>COUNTIFS(缺陷明细!$A$2:$A$50000,$B$4,缺陷明细!$G$2:$G$50000,$C10,缺陷明细!$J$2:$J$50000,"系统测试",缺陷明细!$K$2:$K$50000,"致命",缺陷明细!$AB$2:$AB$50000,"&lt;&gt;丢弃",缺陷明细!$AB$2:$AB$50000,"&lt;&gt;设计如此",缺陷明细!$AB$2:$AB$50000,"&lt;&gt;重复Bug")+COUNTIFS(缺陷明细!$A$2:$A$50000,$B$4,缺陷明细!$G$2:$G$50000,$C10,缺陷明细!$J$2:$J$50000,"系统测试",缺陷明细!$K$2:$K$50000,"严重",缺陷明细!$AB$2:$AB$50000,"&lt;&gt;丢弃",缺陷明细!$AB$2:$AB$50000,"&lt;&gt;设计如此",缺陷明细!$AB$2:$AB$50000,"&lt;&gt;重复Bug")</f>
        <v>0</v>
      </c>
      <c r="T10" s="73">
        <f>COUNTIFS(缺陷明细!$A$2:$A$50000,$B$4,缺陷明细!$G$2:$G$50000,$C10,缺陷明细!$Q$2:$Q$50000,"已关闭",缺陷明细!$J$2:$J$50000,"系统测试",缺陷明细!$K$2:$K$50000,"致命")+COUNTIFS(缺陷明细!$A$2:$A$50000,$B$4,缺陷明细!$G$2:$G$50000,$C10,缺陷明细!$Q$2:$Q$50000,"已关闭",缺陷明细!$J$2:$J$50000,"系统测试",缺陷明细!$K$2:$K$50000,"严重")</f>
        <v>0</v>
      </c>
      <c r="U10" s="74">
        <f>COUNTIFS(缺陷明细!$A$2:$A$50000,$B$4,缺陷明细!$G$2:$G$50000,$C10,缺陷明细!$J$2:$J$50000,"验收测试",缺陷明细!$AB$2:$AB$50000,"&lt;&gt;丢弃",缺陷明细!$AB$2:$AB$50000,"&lt;&gt;设计如此",缺陷明细!$AB$2:$AB$50000,"&lt;&gt;重复Bug")</f>
        <v>0</v>
      </c>
      <c r="V10" s="75">
        <f>COUNTIFS(缺陷明细!$A$2:$A$50000,$B$4,缺陷明细!$G$2:$G$50000,$C10,缺陷明细!$Q$2:$Q$50000,"已关闭",缺陷明细!$J$2:$J$50000,"验收测试")</f>
        <v>0</v>
      </c>
      <c r="W10" s="75">
        <f>COUNTIFS(缺陷明细!$A$2:$A$50000,$B$4,缺陷明细!$G$2:$G$50000,$C10,缺陷明细!$J$2:$J$50000,"验收测试",缺陷明细!$K$2:$K$50000,"致命",缺陷明细!$AB$2:$AB$50000,"&lt;&gt;丢弃",缺陷明细!$AB$2:$AB$50000,"&lt;&gt;设计如此",缺陷明细!$AB$2:$AB$50000,"&lt;&gt;重复Bug")+COUNTIFS(缺陷明细!$A$2:$A$50000,$B$4,缺陷明细!$G$2:$G$50000,$C10,缺陷明细!$J$2:$J$50000,"验收测试",缺陷明细!$K$2:$K$50000,"严重",缺陷明细!$AB$2:$AB$50000,"&lt;&gt;丢弃",缺陷明细!$AB$2:$AB$50000,"&lt;&gt;设计如此",缺陷明细!$AB$2:$AB$50000,"&lt;&gt;重复Bug")</f>
        <v>0</v>
      </c>
      <c r="X10" s="76">
        <f>COUNTIFS(缺陷明细!$A$2:$A$50000,$B$4,缺陷明细!$G$2:$G$50000,$C10,缺陷明细!$Q$2:$Q$50000,"已关闭",缺陷明细!$J$2:$J$50000,"验收测试",缺陷明细!$K$2:$K$50000,"致命")+COUNTIFS(缺陷明细!$A$2:$A$50000,$B$4,缺陷明细!$G$2:$G$50000,$C10,缺陷明细!$Q$2:$Q$50000,"已关闭",缺陷明细!$J$2:$J$50000,"验收测试",缺陷明细!$K$2:$K$50000,"严重")</f>
        <v>0</v>
      </c>
      <c r="Y10" s="70">
        <f>COUNTIFS(缺陷明细!$A$2:$A$50000,$B$4,缺陷明细!$G$2:$G$50000,$C10,缺陷明细!$J$2:$J$50000,"运维测试",缺陷明细!$AB$2:$AB$50000,"&lt;&gt;丢弃",缺陷明细!$AB$2:$AB$50000,"&lt;&gt;设计如此",缺陷明细!$AB$2:$AB$50000,"&lt;&gt;重复Bug")</f>
        <v>0</v>
      </c>
      <c r="Z10" s="71">
        <f>COUNTIFS(缺陷明细!$A$2:$A$50000,$B$4,缺陷明细!$G$2:$G$50000,$C10,缺陷明细!$Q$2:$Q$50000,"已关闭",缺陷明细!$J$2:$J$50000,"运维测试")</f>
        <v>0</v>
      </c>
      <c r="AA10" s="72">
        <f>COUNTIFS(缺陷明细!$A$2:$A$50000,$B$4,缺陷明细!$G$2:$G$50000,$C10,缺陷明细!$J$2:$J$50000,"运维测试",缺陷明细!$K$2:$K$50000,"致命",缺陷明细!$AB$2:$AB$50000,"&lt;&gt;丢弃",缺陷明细!$AB$2:$AB$50000,"&lt;&gt;设计如此",缺陷明细!$AB$2:$AB$50000,"&lt;&gt;重复Bug")+COUNTIFS(缺陷明细!$A$2:$A$50000,$B$4,缺陷明细!$G$2:$G$50000,$C10,缺陷明细!$J$2:$J$50000,"运维测试",缺陷明细!$K$2:$K$50000,"严重",缺陷明细!$AB$2:$AB$50000,"&lt;&gt;丢弃",缺陷明细!$AB$2:$AB$50000,"&lt;&gt;设计如此",缺陷明细!$AB$2:$AB$50000,"&lt;&gt;重复Bug")</f>
        <v>0</v>
      </c>
      <c r="AB10" s="73">
        <f>COUNTIFS(缺陷明细!$A$2:$A$50000,$B$4,缺陷明细!$G$2:$G$50000,$C10,缺陷明细!$Q$2:$Q$50000,"已关闭",缺陷明细!$J$2:$J$50000,"运维测试",缺陷明细!$K$2:$K$50000,"致命")+COUNTIFS(缺陷明细!$A$2:$A$50000,$B$4,缺陷明细!$G$2:$G$50000,$C10,缺陷明细!$Q$2:$Q$50000,"已关闭",缺陷明细!$J$2:$J$50000,"运维测试",缺陷明细!$K$2:$K$50000,"严重")</f>
        <v>0</v>
      </c>
      <c r="AC10" s="68">
        <f t="shared" si="0"/>
        <v>0</v>
      </c>
      <c r="AD10" s="60">
        <f t="shared" si="0"/>
        <v>0</v>
      </c>
      <c r="AE10" s="60">
        <f t="shared" si="1"/>
        <v>0</v>
      </c>
      <c r="AF10" s="60">
        <f t="shared" si="1"/>
        <v>0</v>
      </c>
      <c r="AG10" s="60">
        <f t="shared" si="2"/>
        <v>0</v>
      </c>
      <c r="AH10" s="60">
        <f t="shared" si="2"/>
        <v>0</v>
      </c>
      <c r="AI10" s="60">
        <f t="shared" si="3"/>
        <v>0</v>
      </c>
      <c r="AJ10" s="61">
        <f t="shared" si="3"/>
        <v>0</v>
      </c>
      <c r="AK10" s="144"/>
    </row>
    <row r="11" spans="1:37">
      <c r="A11">
        <v>7</v>
      </c>
      <c r="B11" s="57"/>
      <c r="C11" s="58"/>
      <c r="D11" s="84"/>
      <c r="E11" s="82"/>
      <c r="F11" s="158"/>
      <c r="G11" s="159"/>
      <c r="H11" s="281">
        <f>COUNTIFS(缺陷明细!$A$2:$A$50000,$B$4,缺陷明细!$G$2:$G$50000,$C11,缺陷明细!$J$2:$J$50000,"评审",缺陷明细!$AB$2:$AB$50000,"&lt;&gt;丢弃",缺陷明细!$AB$2:$AB$50000,"&lt;&gt;设计如此",缺陷明细!$AB$2:$AB$50000,"&lt;&gt;重复Bug")</f>
        <v>0</v>
      </c>
      <c r="I11" s="154">
        <f>COUNTIFS(缺陷明细!$A$2:$A$50000,$B$4,缺陷明细!$G$2:$G$50000,$C11,缺陷明细!$Q$2:$Q$50000,"已关闭",缺陷明细!$J$2:$J$50000,"评审")</f>
        <v>0</v>
      </c>
      <c r="J11" s="154">
        <f>COUNTIFS(缺陷明细!$A$2:$A$50000,$B$4,缺陷明细!$G$2:$G$50000,$C11,缺陷明细!$J$2:$J$50000,"单元测试",缺陷明细!$AB$2:$AB$50000,"&lt;&gt;丢弃",缺陷明细!$AB$2:$AB$50000,"&lt;&gt;设计如此",缺陷明细!$AB$2:$AB$50000,"&lt;&gt;重复Bug")</f>
        <v>0</v>
      </c>
      <c r="K11" s="155">
        <f>COUNTIFS(缺陷明细!$A$2:$A$50000,$B$4,缺陷明细!$G$2:$G$50000,$C11,缺陷明细!$Q$2:$Q$50000,"已关闭",缺陷明细!$J$2:$J$50000,"单元测试")</f>
        <v>0</v>
      </c>
      <c r="L11" s="156"/>
      <c r="M11" s="157"/>
      <c r="N11" s="72">
        <f>COUNTIFS(缺陷明细!$A$2:$A$50000,$B$4,缺陷明细!$G$2:$G$50000,$C11,缺陷明细!$J$2:$J$50000,"系统测试案例评审",缺陷明细!$AB$2:$AB$50000,"&lt;&gt;丢弃",缺陷明细!$AB$2:$AB$50000,"&lt;&gt;设计如此",缺陷明细!$AB$2:$AB$50000,"&lt;&gt;重复Bug")</f>
        <v>0</v>
      </c>
      <c r="O11" s="72">
        <f>COUNTIFS(缺陷明细!$A$2:$A$50000,$B$4,缺陷明细!$G$2:$G$50000,$C11,缺陷明细!$Q$2:$Q$50000,"已关闭",缺陷明细!$J$2:$J$50000,"系统测试案例评审")</f>
        <v>0</v>
      </c>
      <c r="P11" s="72">
        <f>COUNTIFS(缺陷明细!$A$2:$A$50000,$B$4,缺陷明细!$G$2:$G$50000,$C11,缺陷明细!$J$2:$J$50000,"系统测试",缺陷明细!$AB$2:$AB$50000,"&lt;&gt;丢弃",缺陷明细!$AB$2:$AB$50000,"&lt;&gt;设计如此",缺陷明细!$AB$2:$AB$50000,"&lt;&gt;重复Bug")</f>
        <v>0</v>
      </c>
      <c r="Q11" s="72">
        <f>COUNTIFS(缺陷明细!$A$2:$A$50000,$B$4,缺陷明细!$G$2:$G$50000,$C11,缺陷明细!$Q$2:$Q$50000,"已关闭",缺陷明细!$J$2:$J$50000,"系统测试")</f>
        <v>0</v>
      </c>
      <c r="R11" s="296">
        <f>COUNTIFS(缺陷明细!$A$2:$A$50000,$B$4,缺陷明细!$G$2:$G$50000,$C11,缺陷明细!$AB$2:$AB$50000,"丢弃",缺陷明细!$J$2:$J$50000,"系统测试")+COUNTIFS(缺陷明细!$A$2:$A$50000,$B$4,缺陷明细!$G$2:$G$50000,$C11,缺陷明细!$AB$2:$AB$50000,"设计如此",缺陷明细!$J$2:$J$50000,"系统测试")+COUNTIFS(缺陷明细!$A$2:$A$50000,$B$4,缺陷明细!$G$2:$G$50000,$C11,缺陷明细!$AB$2:$AB$50000,"重复Bug",缺陷明细!$J$2:$J$50000,"系统测试")</f>
        <v>0</v>
      </c>
      <c r="S11" s="72">
        <f>COUNTIFS(缺陷明细!$A$2:$A$50000,$B$4,缺陷明细!$G$2:$G$50000,$C11,缺陷明细!$J$2:$J$50000,"系统测试",缺陷明细!$K$2:$K$50000,"致命",缺陷明细!$AB$2:$AB$50000,"&lt;&gt;丢弃",缺陷明细!$AB$2:$AB$50000,"&lt;&gt;设计如此",缺陷明细!$AB$2:$AB$50000,"&lt;&gt;重复Bug")+COUNTIFS(缺陷明细!$A$2:$A$50000,$B$4,缺陷明细!$G$2:$G$50000,$C11,缺陷明细!$J$2:$J$50000,"系统测试",缺陷明细!$K$2:$K$50000,"严重",缺陷明细!$AB$2:$AB$50000,"&lt;&gt;丢弃",缺陷明细!$AB$2:$AB$50000,"&lt;&gt;设计如此",缺陷明细!$AB$2:$AB$50000,"&lt;&gt;重复Bug")</f>
        <v>0</v>
      </c>
      <c r="T11" s="73">
        <f>COUNTIFS(缺陷明细!$A$2:$A$50000,$B$4,缺陷明细!$G$2:$G$50000,$C11,缺陷明细!$Q$2:$Q$50000,"已关闭",缺陷明细!$J$2:$J$50000,"系统测试",缺陷明细!$K$2:$K$50000,"致命")+COUNTIFS(缺陷明细!$A$2:$A$50000,$B$4,缺陷明细!$G$2:$G$50000,$C11,缺陷明细!$Q$2:$Q$50000,"已关闭",缺陷明细!$J$2:$J$50000,"系统测试",缺陷明细!$K$2:$K$50000,"严重")</f>
        <v>0</v>
      </c>
      <c r="U11" s="74">
        <f>COUNTIFS(缺陷明细!$A$2:$A$50000,$B$4,缺陷明细!$G$2:$G$50000,$C11,缺陷明细!$J$2:$J$50000,"验收测试",缺陷明细!$AB$2:$AB$50000,"&lt;&gt;丢弃",缺陷明细!$AB$2:$AB$50000,"&lt;&gt;设计如此",缺陷明细!$AB$2:$AB$50000,"&lt;&gt;重复Bug")</f>
        <v>0</v>
      </c>
      <c r="V11" s="75">
        <f>COUNTIFS(缺陷明细!$A$2:$A$50000,$B$4,缺陷明细!$G$2:$G$50000,$C11,缺陷明细!$Q$2:$Q$50000,"已关闭",缺陷明细!$J$2:$J$50000,"验收测试")</f>
        <v>0</v>
      </c>
      <c r="W11" s="75">
        <f>COUNTIFS(缺陷明细!$A$2:$A$50000,$B$4,缺陷明细!$G$2:$G$50000,$C11,缺陷明细!$J$2:$J$50000,"验收测试",缺陷明细!$K$2:$K$50000,"致命",缺陷明细!$AB$2:$AB$50000,"&lt;&gt;丢弃",缺陷明细!$AB$2:$AB$50000,"&lt;&gt;设计如此",缺陷明细!$AB$2:$AB$50000,"&lt;&gt;重复Bug")+COUNTIFS(缺陷明细!$A$2:$A$50000,$B$4,缺陷明细!$G$2:$G$50000,$C11,缺陷明细!$J$2:$J$50000,"验收测试",缺陷明细!$K$2:$K$50000,"严重",缺陷明细!$AB$2:$AB$50000,"&lt;&gt;丢弃",缺陷明细!$AB$2:$AB$50000,"&lt;&gt;设计如此",缺陷明细!$AB$2:$AB$50000,"&lt;&gt;重复Bug")</f>
        <v>0</v>
      </c>
      <c r="X11" s="76">
        <f>COUNTIFS(缺陷明细!$A$2:$A$50000,$B$4,缺陷明细!$G$2:$G$50000,$C11,缺陷明细!$Q$2:$Q$50000,"已关闭",缺陷明细!$J$2:$J$50000,"验收测试",缺陷明细!$K$2:$K$50000,"致命")+COUNTIFS(缺陷明细!$A$2:$A$50000,$B$4,缺陷明细!$G$2:$G$50000,$C11,缺陷明细!$Q$2:$Q$50000,"已关闭",缺陷明细!$J$2:$J$50000,"验收测试",缺陷明细!$K$2:$K$50000,"严重")</f>
        <v>0</v>
      </c>
      <c r="Y11" s="70">
        <f>COUNTIFS(缺陷明细!$A$2:$A$50000,$B$4,缺陷明细!$G$2:$G$50000,$C11,缺陷明细!$J$2:$J$50000,"运维测试",缺陷明细!$AB$2:$AB$50000,"&lt;&gt;丢弃",缺陷明细!$AB$2:$AB$50000,"&lt;&gt;设计如此",缺陷明细!$AB$2:$AB$50000,"&lt;&gt;重复Bug")</f>
        <v>0</v>
      </c>
      <c r="Z11" s="71">
        <f>COUNTIFS(缺陷明细!$A$2:$A$50000,$B$4,缺陷明细!$G$2:$G$50000,$C11,缺陷明细!$Q$2:$Q$50000,"已关闭",缺陷明细!$J$2:$J$50000,"运维测试")</f>
        <v>0</v>
      </c>
      <c r="AA11" s="72">
        <f>COUNTIFS(缺陷明细!$A$2:$A$50000,$B$4,缺陷明细!$G$2:$G$50000,$C11,缺陷明细!$J$2:$J$50000,"运维测试",缺陷明细!$K$2:$K$50000,"致命",缺陷明细!$AB$2:$AB$50000,"&lt;&gt;丢弃",缺陷明细!$AB$2:$AB$50000,"&lt;&gt;设计如此",缺陷明细!$AB$2:$AB$50000,"&lt;&gt;重复Bug")+COUNTIFS(缺陷明细!$A$2:$A$50000,$B$4,缺陷明细!$G$2:$G$50000,$C11,缺陷明细!$J$2:$J$50000,"运维测试",缺陷明细!$K$2:$K$50000,"严重",缺陷明细!$AB$2:$AB$50000,"&lt;&gt;丢弃",缺陷明细!$AB$2:$AB$50000,"&lt;&gt;设计如此",缺陷明细!$AB$2:$AB$50000,"&lt;&gt;重复Bug")</f>
        <v>0</v>
      </c>
      <c r="AB11" s="73">
        <f>COUNTIFS(缺陷明细!$A$2:$A$50000,$B$4,缺陷明细!$G$2:$G$50000,$C11,缺陷明细!$Q$2:$Q$50000,"已关闭",缺陷明细!$J$2:$J$50000,"运维测试",缺陷明细!$K$2:$K$50000,"致命")+COUNTIFS(缺陷明细!$A$2:$A$50000,$B$4,缺陷明细!$G$2:$G$50000,$C11,缺陷明细!$Q$2:$Q$50000,"已关闭",缺陷明细!$J$2:$J$50000,"运维测试",缺陷明细!$K$2:$K$50000,"严重")</f>
        <v>0</v>
      </c>
      <c r="AC11" s="68">
        <f t="shared" si="0"/>
        <v>0</v>
      </c>
      <c r="AD11" s="60">
        <f t="shared" si="0"/>
        <v>0</v>
      </c>
      <c r="AE11" s="60">
        <f t="shared" si="1"/>
        <v>0</v>
      </c>
      <c r="AF11" s="60">
        <f t="shared" si="1"/>
        <v>0</v>
      </c>
      <c r="AG11" s="60">
        <f t="shared" si="2"/>
        <v>0</v>
      </c>
      <c r="AH11" s="60">
        <f t="shared" si="2"/>
        <v>0</v>
      </c>
      <c r="AI11" s="60">
        <f t="shared" si="3"/>
        <v>0</v>
      </c>
      <c r="AJ11" s="61">
        <f t="shared" si="3"/>
        <v>0</v>
      </c>
      <c r="AK11" s="144"/>
    </row>
    <row r="12" spans="1:37">
      <c r="A12">
        <v>8</v>
      </c>
      <c r="B12" s="57"/>
      <c r="C12" s="58"/>
      <c r="D12" s="84"/>
      <c r="E12" s="82"/>
      <c r="F12" s="158"/>
      <c r="G12" s="159"/>
      <c r="H12" s="281">
        <f>COUNTIFS(缺陷明细!$A$2:$A$50000,$B$4,缺陷明细!$G$2:$G$50000,$C12,缺陷明细!$J$2:$J$50000,"评审",缺陷明细!$AB$2:$AB$50000,"&lt;&gt;丢弃",缺陷明细!$AB$2:$AB$50000,"&lt;&gt;设计如此",缺陷明细!$AB$2:$AB$50000,"&lt;&gt;重复Bug")</f>
        <v>0</v>
      </c>
      <c r="I12" s="154">
        <f>COUNTIFS(缺陷明细!$A$2:$A$50000,$B$4,缺陷明细!$G$2:$G$50000,$C12,缺陷明细!$Q$2:$Q$50000,"已关闭",缺陷明细!$J$2:$J$50000,"评审")</f>
        <v>0</v>
      </c>
      <c r="J12" s="154">
        <f>COUNTIFS(缺陷明细!$A$2:$A$50000,$B$4,缺陷明细!$G$2:$G$50000,$C12,缺陷明细!$J$2:$J$50000,"单元测试",缺陷明细!$AB$2:$AB$50000,"&lt;&gt;丢弃",缺陷明细!$AB$2:$AB$50000,"&lt;&gt;设计如此",缺陷明细!$AB$2:$AB$50000,"&lt;&gt;重复Bug")</f>
        <v>0</v>
      </c>
      <c r="K12" s="155">
        <f>COUNTIFS(缺陷明细!$A$2:$A$50000,$B$4,缺陷明细!$G$2:$G$50000,$C12,缺陷明细!$Q$2:$Q$50000,"已关闭",缺陷明细!$J$2:$J$50000,"单元测试")</f>
        <v>0</v>
      </c>
      <c r="L12" s="156"/>
      <c r="M12" s="157"/>
      <c r="N12" s="72">
        <f>COUNTIFS(缺陷明细!$A$2:$A$50000,$B$4,缺陷明细!$G$2:$G$50000,$C12,缺陷明细!$J$2:$J$50000,"系统测试案例评审",缺陷明细!$AB$2:$AB$50000,"&lt;&gt;丢弃",缺陷明细!$AB$2:$AB$50000,"&lt;&gt;设计如此",缺陷明细!$AB$2:$AB$50000,"&lt;&gt;重复Bug")</f>
        <v>0</v>
      </c>
      <c r="O12" s="72">
        <f>COUNTIFS(缺陷明细!$A$2:$A$50000,$B$4,缺陷明细!$G$2:$G$50000,$C12,缺陷明细!$Q$2:$Q$50000,"已关闭",缺陷明细!$J$2:$J$50000,"系统测试案例评审")</f>
        <v>0</v>
      </c>
      <c r="P12" s="72">
        <f>COUNTIFS(缺陷明细!$A$2:$A$50000,$B$4,缺陷明细!$G$2:$G$50000,$C12,缺陷明细!$J$2:$J$50000,"系统测试",缺陷明细!$AB$2:$AB$50000,"&lt;&gt;丢弃",缺陷明细!$AB$2:$AB$50000,"&lt;&gt;设计如此",缺陷明细!$AB$2:$AB$50000,"&lt;&gt;重复Bug")</f>
        <v>0</v>
      </c>
      <c r="Q12" s="72">
        <f>COUNTIFS(缺陷明细!$A$2:$A$50000,$B$4,缺陷明细!$G$2:$G$50000,$C12,缺陷明细!$Q$2:$Q$50000,"已关闭",缺陷明细!$J$2:$J$50000,"系统测试")</f>
        <v>0</v>
      </c>
      <c r="R12" s="296">
        <f>COUNTIFS(缺陷明细!$A$2:$A$50000,$B$4,缺陷明细!$G$2:$G$50000,$C12,缺陷明细!$AB$2:$AB$50000,"丢弃",缺陷明细!$J$2:$J$50000,"系统测试")+COUNTIFS(缺陷明细!$A$2:$A$50000,$B$4,缺陷明细!$G$2:$G$50000,$C12,缺陷明细!$AB$2:$AB$50000,"设计如此",缺陷明细!$J$2:$J$50000,"系统测试")+COUNTIFS(缺陷明细!$A$2:$A$50000,$B$4,缺陷明细!$G$2:$G$50000,$C12,缺陷明细!$AB$2:$AB$50000,"重复Bug",缺陷明细!$J$2:$J$50000,"系统测试")</f>
        <v>0</v>
      </c>
      <c r="S12" s="72">
        <f>COUNTIFS(缺陷明细!$A$2:$A$50000,$B$4,缺陷明细!$G$2:$G$50000,$C12,缺陷明细!$J$2:$J$50000,"系统测试",缺陷明细!$K$2:$K$50000,"致命",缺陷明细!$AB$2:$AB$50000,"&lt;&gt;丢弃",缺陷明细!$AB$2:$AB$50000,"&lt;&gt;设计如此",缺陷明细!$AB$2:$AB$50000,"&lt;&gt;重复Bug")+COUNTIFS(缺陷明细!$A$2:$A$50000,$B$4,缺陷明细!$G$2:$G$50000,$C12,缺陷明细!$J$2:$J$50000,"系统测试",缺陷明细!$K$2:$K$50000,"严重",缺陷明细!$AB$2:$AB$50000,"&lt;&gt;丢弃",缺陷明细!$AB$2:$AB$50000,"&lt;&gt;设计如此",缺陷明细!$AB$2:$AB$50000,"&lt;&gt;重复Bug")</f>
        <v>0</v>
      </c>
      <c r="T12" s="73">
        <f>COUNTIFS(缺陷明细!$A$2:$A$50000,$B$4,缺陷明细!$G$2:$G$50000,$C12,缺陷明细!$Q$2:$Q$50000,"已关闭",缺陷明细!$J$2:$J$50000,"系统测试",缺陷明细!$K$2:$K$50000,"致命")+COUNTIFS(缺陷明细!$A$2:$A$50000,$B$4,缺陷明细!$G$2:$G$50000,$C12,缺陷明细!$Q$2:$Q$50000,"已关闭",缺陷明细!$J$2:$J$50000,"系统测试",缺陷明细!$K$2:$K$50000,"严重")</f>
        <v>0</v>
      </c>
      <c r="U12" s="74">
        <f>COUNTIFS(缺陷明细!$A$2:$A$50000,$B$4,缺陷明细!$G$2:$G$50000,$C12,缺陷明细!$J$2:$J$50000,"验收测试",缺陷明细!$AB$2:$AB$50000,"&lt;&gt;丢弃",缺陷明细!$AB$2:$AB$50000,"&lt;&gt;设计如此",缺陷明细!$AB$2:$AB$50000,"&lt;&gt;重复Bug")</f>
        <v>0</v>
      </c>
      <c r="V12" s="75">
        <f>COUNTIFS(缺陷明细!$A$2:$A$50000,$B$4,缺陷明细!$G$2:$G$50000,$C12,缺陷明细!$Q$2:$Q$50000,"已关闭",缺陷明细!$J$2:$J$50000,"验收测试")</f>
        <v>0</v>
      </c>
      <c r="W12" s="75">
        <f>COUNTIFS(缺陷明细!$A$2:$A$50000,$B$4,缺陷明细!$G$2:$G$50000,$C12,缺陷明细!$J$2:$J$50000,"验收测试",缺陷明细!$K$2:$K$50000,"致命",缺陷明细!$AB$2:$AB$50000,"&lt;&gt;丢弃",缺陷明细!$AB$2:$AB$50000,"&lt;&gt;设计如此",缺陷明细!$AB$2:$AB$50000,"&lt;&gt;重复Bug")+COUNTIFS(缺陷明细!$A$2:$A$50000,$B$4,缺陷明细!$G$2:$G$50000,$C12,缺陷明细!$J$2:$J$50000,"验收测试",缺陷明细!$K$2:$K$50000,"严重",缺陷明细!$AB$2:$AB$50000,"&lt;&gt;丢弃",缺陷明细!$AB$2:$AB$50000,"&lt;&gt;设计如此",缺陷明细!$AB$2:$AB$50000,"&lt;&gt;重复Bug")</f>
        <v>0</v>
      </c>
      <c r="X12" s="76">
        <f>COUNTIFS(缺陷明细!$A$2:$A$50000,$B$4,缺陷明细!$G$2:$G$50000,$C12,缺陷明细!$Q$2:$Q$50000,"已关闭",缺陷明细!$J$2:$J$50000,"验收测试",缺陷明细!$K$2:$K$50000,"致命")+COUNTIFS(缺陷明细!$A$2:$A$50000,$B$4,缺陷明细!$G$2:$G$50000,$C12,缺陷明细!$Q$2:$Q$50000,"已关闭",缺陷明细!$J$2:$J$50000,"验收测试",缺陷明细!$K$2:$K$50000,"严重")</f>
        <v>0</v>
      </c>
      <c r="Y12" s="70">
        <f>COUNTIFS(缺陷明细!$A$2:$A$50000,$B$4,缺陷明细!$G$2:$G$50000,$C12,缺陷明细!$J$2:$J$50000,"运维测试",缺陷明细!$AB$2:$AB$50000,"&lt;&gt;丢弃",缺陷明细!$AB$2:$AB$50000,"&lt;&gt;设计如此",缺陷明细!$AB$2:$AB$50000,"&lt;&gt;重复Bug")</f>
        <v>0</v>
      </c>
      <c r="Z12" s="71">
        <f>COUNTIFS(缺陷明细!$A$2:$A$50000,$B$4,缺陷明细!$G$2:$G$50000,$C12,缺陷明细!$Q$2:$Q$50000,"已关闭",缺陷明细!$J$2:$J$50000,"运维测试")</f>
        <v>0</v>
      </c>
      <c r="AA12" s="72">
        <f>COUNTIFS(缺陷明细!$A$2:$A$50000,$B$4,缺陷明细!$G$2:$G$50000,$C12,缺陷明细!$J$2:$J$50000,"运维测试",缺陷明细!$K$2:$K$50000,"致命",缺陷明细!$AB$2:$AB$50000,"&lt;&gt;丢弃",缺陷明细!$AB$2:$AB$50000,"&lt;&gt;设计如此",缺陷明细!$AB$2:$AB$50000,"&lt;&gt;重复Bug")+COUNTIFS(缺陷明细!$A$2:$A$50000,$B$4,缺陷明细!$G$2:$G$50000,$C12,缺陷明细!$J$2:$J$50000,"运维测试",缺陷明细!$K$2:$K$50000,"严重",缺陷明细!$AB$2:$AB$50000,"&lt;&gt;丢弃",缺陷明细!$AB$2:$AB$50000,"&lt;&gt;设计如此",缺陷明细!$AB$2:$AB$50000,"&lt;&gt;重复Bug")</f>
        <v>0</v>
      </c>
      <c r="AB12" s="73">
        <f>COUNTIFS(缺陷明细!$A$2:$A$50000,$B$4,缺陷明细!$G$2:$G$50000,$C12,缺陷明细!$Q$2:$Q$50000,"已关闭",缺陷明细!$J$2:$J$50000,"运维测试",缺陷明细!$K$2:$K$50000,"致命")+COUNTIFS(缺陷明细!$A$2:$A$50000,$B$4,缺陷明细!$G$2:$G$50000,$C12,缺陷明细!$Q$2:$Q$50000,"已关闭",缺陷明细!$J$2:$J$50000,"运维测试",缺陷明细!$K$2:$K$50000,"严重")</f>
        <v>0</v>
      </c>
      <c r="AC12" s="68">
        <f t="shared" si="0"/>
        <v>0</v>
      </c>
      <c r="AD12" s="60">
        <f t="shared" si="0"/>
        <v>0</v>
      </c>
      <c r="AE12" s="60">
        <f t="shared" si="1"/>
        <v>0</v>
      </c>
      <c r="AF12" s="60">
        <f t="shared" si="1"/>
        <v>0</v>
      </c>
      <c r="AG12" s="60">
        <f t="shared" si="2"/>
        <v>0</v>
      </c>
      <c r="AH12" s="60">
        <f t="shared" si="2"/>
        <v>0</v>
      </c>
      <c r="AI12" s="60">
        <f t="shared" si="3"/>
        <v>0</v>
      </c>
      <c r="AJ12" s="61">
        <f t="shared" si="3"/>
        <v>0</v>
      </c>
      <c r="AK12" s="144"/>
    </row>
    <row r="13" spans="1:37">
      <c r="A13">
        <v>9</v>
      </c>
      <c r="B13" s="57"/>
      <c r="C13" s="58"/>
      <c r="D13" s="84"/>
      <c r="E13" s="82"/>
      <c r="F13" s="158"/>
      <c r="G13" s="159"/>
      <c r="H13" s="281">
        <f>COUNTIFS(缺陷明细!$A$2:$A$50000,$B$4,缺陷明细!$G$2:$G$50000,$C13,缺陷明细!$J$2:$J$50000,"评审",缺陷明细!$AB$2:$AB$50000,"&lt;&gt;丢弃",缺陷明细!$AB$2:$AB$50000,"&lt;&gt;设计如此",缺陷明细!$AB$2:$AB$50000,"&lt;&gt;重复Bug")</f>
        <v>0</v>
      </c>
      <c r="I13" s="154">
        <f>COUNTIFS(缺陷明细!$A$2:$A$50000,$B$4,缺陷明细!$G$2:$G$50000,$C13,缺陷明细!$Q$2:$Q$50000,"已关闭",缺陷明细!$J$2:$J$50000,"评审")</f>
        <v>0</v>
      </c>
      <c r="J13" s="154">
        <f>COUNTIFS(缺陷明细!$A$2:$A$50000,$B$4,缺陷明细!$G$2:$G$50000,$C13,缺陷明细!$J$2:$J$50000,"单元测试",缺陷明细!$AB$2:$AB$50000,"&lt;&gt;丢弃",缺陷明细!$AB$2:$AB$50000,"&lt;&gt;设计如此",缺陷明细!$AB$2:$AB$50000,"&lt;&gt;重复Bug")</f>
        <v>0</v>
      </c>
      <c r="K13" s="155">
        <f>COUNTIFS(缺陷明细!$A$2:$A$50000,$B$4,缺陷明细!$G$2:$G$50000,$C13,缺陷明细!$Q$2:$Q$50000,"已关闭",缺陷明细!$J$2:$J$50000,"单元测试")</f>
        <v>0</v>
      </c>
      <c r="L13" s="156"/>
      <c r="M13" s="157"/>
      <c r="N13" s="72">
        <f>COUNTIFS(缺陷明细!$A$2:$A$50000,$B$4,缺陷明细!$G$2:$G$50000,$C13,缺陷明细!$J$2:$J$50000,"系统测试案例评审",缺陷明细!$AB$2:$AB$50000,"&lt;&gt;丢弃",缺陷明细!$AB$2:$AB$50000,"&lt;&gt;设计如此",缺陷明细!$AB$2:$AB$50000,"&lt;&gt;重复Bug")</f>
        <v>0</v>
      </c>
      <c r="O13" s="72">
        <f>COUNTIFS(缺陷明细!$A$2:$A$50000,$B$4,缺陷明细!$G$2:$G$50000,$C13,缺陷明细!$Q$2:$Q$50000,"已关闭",缺陷明细!$J$2:$J$50000,"系统测试案例评审")</f>
        <v>0</v>
      </c>
      <c r="P13" s="72">
        <f>COUNTIFS(缺陷明细!$A$2:$A$50000,$B$4,缺陷明细!$G$2:$G$50000,$C13,缺陷明细!$J$2:$J$50000,"系统测试",缺陷明细!$AB$2:$AB$50000,"&lt;&gt;丢弃",缺陷明细!$AB$2:$AB$50000,"&lt;&gt;设计如此",缺陷明细!$AB$2:$AB$50000,"&lt;&gt;重复Bug")</f>
        <v>0</v>
      </c>
      <c r="Q13" s="72">
        <f>COUNTIFS(缺陷明细!$A$2:$A$50000,$B$4,缺陷明细!$G$2:$G$50000,$C13,缺陷明细!$Q$2:$Q$50000,"已关闭",缺陷明细!$J$2:$J$50000,"系统测试")</f>
        <v>0</v>
      </c>
      <c r="R13" s="296">
        <f>COUNTIFS(缺陷明细!$A$2:$A$50000,$B$4,缺陷明细!$G$2:$G$50000,$C13,缺陷明细!$AB$2:$AB$50000,"丢弃",缺陷明细!$J$2:$J$50000,"系统测试")+COUNTIFS(缺陷明细!$A$2:$A$50000,$B$4,缺陷明细!$G$2:$G$50000,$C13,缺陷明细!$AB$2:$AB$50000,"设计如此",缺陷明细!$J$2:$J$50000,"系统测试")+COUNTIFS(缺陷明细!$A$2:$A$50000,$B$4,缺陷明细!$G$2:$G$50000,$C13,缺陷明细!$AB$2:$AB$50000,"重复Bug",缺陷明细!$J$2:$J$50000,"系统测试")</f>
        <v>0</v>
      </c>
      <c r="S13" s="72">
        <f>COUNTIFS(缺陷明细!$A$2:$A$50000,$B$4,缺陷明细!$G$2:$G$50000,$C13,缺陷明细!$J$2:$J$50000,"系统测试",缺陷明细!$K$2:$K$50000,"致命",缺陷明细!$AB$2:$AB$50000,"&lt;&gt;丢弃",缺陷明细!$AB$2:$AB$50000,"&lt;&gt;设计如此",缺陷明细!$AB$2:$AB$50000,"&lt;&gt;重复Bug")+COUNTIFS(缺陷明细!$A$2:$A$50000,$B$4,缺陷明细!$G$2:$G$50000,$C13,缺陷明细!$J$2:$J$50000,"系统测试",缺陷明细!$K$2:$K$50000,"严重",缺陷明细!$AB$2:$AB$50000,"&lt;&gt;丢弃",缺陷明细!$AB$2:$AB$50000,"&lt;&gt;设计如此",缺陷明细!$AB$2:$AB$50000,"&lt;&gt;重复Bug")</f>
        <v>0</v>
      </c>
      <c r="T13" s="73">
        <f>COUNTIFS(缺陷明细!$A$2:$A$50000,$B$4,缺陷明细!$G$2:$G$50000,$C13,缺陷明细!$Q$2:$Q$50000,"已关闭",缺陷明细!$J$2:$J$50000,"系统测试",缺陷明细!$K$2:$K$50000,"致命")+COUNTIFS(缺陷明细!$A$2:$A$50000,$B$4,缺陷明细!$G$2:$G$50000,$C13,缺陷明细!$Q$2:$Q$50000,"已关闭",缺陷明细!$J$2:$J$50000,"系统测试",缺陷明细!$K$2:$K$50000,"严重")</f>
        <v>0</v>
      </c>
      <c r="U13" s="74">
        <f>COUNTIFS(缺陷明细!$A$2:$A$50000,$B$4,缺陷明细!$G$2:$G$50000,$C13,缺陷明细!$J$2:$J$50000,"验收测试",缺陷明细!$AB$2:$AB$50000,"&lt;&gt;丢弃",缺陷明细!$AB$2:$AB$50000,"&lt;&gt;设计如此",缺陷明细!$AB$2:$AB$50000,"&lt;&gt;重复Bug")</f>
        <v>0</v>
      </c>
      <c r="V13" s="75">
        <f>COUNTIFS(缺陷明细!$A$2:$A$50000,$B$4,缺陷明细!$G$2:$G$50000,$C13,缺陷明细!$Q$2:$Q$50000,"已关闭",缺陷明细!$J$2:$J$50000,"验收测试")</f>
        <v>0</v>
      </c>
      <c r="W13" s="75">
        <f>COUNTIFS(缺陷明细!$A$2:$A$50000,$B$4,缺陷明细!$G$2:$G$50000,$C13,缺陷明细!$J$2:$J$50000,"验收测试",缺陷明细!$K$2:$K$50000,"致命",缺陷明细!$AB$2:$AB$50000,"&lt;&gt;丢弃",缺陷明细!$AB$2:$AB$50000,"&lt;&gt;设计如此",缺陷明细!$AB$2:$AB$50000,"&lt;&gt;重复Bug")+COUNTIFS(缺陷明细!$A$2:$A$50000,$B$4,缺陷明细!$G$2:$G$50000,$C13,缺陷明细!$J$2:$J$50000,"验收测试",缺陷明细!$K$2:$K$50000,"严重",缺陷明细!$AB$2:$AB$50000,"&lt;&gt;丢弃",缺陷明细!$AB$2:$AB$50000,"&lt;&gt;设计如此",缺陷明细!$AB$2:$AB$50000,"&lt;&gt;重复Bug")</f>
        <v>0</v>
      </c>
      <c r="X13" s="76">
        <f>COUNTIFS(缺陷明细!$A$2:$A$50000,$B$4,缺陷明细!$G$2:$G$50000,$C13,缺陷明细!$Q$2:$Q$50000,"已关闭",缺陷明细!$J$2:$J$50000,"验收测试",缺陷明细!$K$2:$K$50000,"致命")+COUNTIFS(缺陷明细!$A$2:$A$50000,$B$4,缺陷明细!$G$2:$G$50000,$C13,缺陷明细!$Q$2:$Q$50000,"已关闭",缺陷明细!$J$2:$J$50000,"验收测试",缺陷明细!$K$2:$K$50000,"严重")</f>
        <v>0</v>
      </c>
      <c r="Y13" s="70">
        <f>COUNTIFS(缺陷明细!$A$2:$A$50000,$B$4,缺陷明细!$G$2:$G$50000,$C13,缺陷明细!$J$2:$J$50000,"运维测试",缺陷明细!$AB$2:$AB$50000,"&lt;&gt;丢弃",缺陷明细!$AB$2:$AB$50000,"&lt;&gt;设计如此",缺陷明细!$AB$2:$AB$50000,"&lt;&gt;重复Bug")</f>
        <v>0</v>
      </c>
      <c r="Z13" s="71">
        <f>COUNTIFS(缺陷明细!$A$2:$A$50000,$B$4,缺陷明细!$G$2:$G$50000,$C13,缺陷明细!$Q$2:$Q$50000,"已关闭",缺陷明细!$J$2:$J$50000,"运维测试")</f>
        <v>0</v>
      </c>
      <c r="AA13" s="72">
        <f>COUNTIFS(缺陷明细!$A$2:$A$50000,$B$4,缺陷明细!$G$2:$G$50000,$C13,缺陷明细!$J$2:$J$50000,"运维测试",缺陷明细!$K$2:$K$50000,"致命",缺陷明细!$AB$2:$AB$50000,"&lt;&gt;丢弃",缺陷明细!$AB$2:$AB$50000,"&lt;&gt;设计如此",缺陷明细!$AB$2:$AB$50000,"&lt;&gt;重复Bug")+COUNTIFS(缺陷明细!$A$2:$A$50000,$B$4,缺陷明细!$G$2:$G$50000,$C13,缺陷明细!$J$2:$J$50000,"运维测试",缺陷明细!$K$2:$K$50000,"严重",缺陷明细!$AB$2:$AB$50000,"&lt;&gt;丢弃",缺陷明细!$AB$2:$AB$50000,"&lt;&gt;设计如此",缺陷明细!$AB$2:$AB$50000,"&lt;&gt;重复Bug")</f>
        <v>0</v>
      </c>
      <c r="AB13" s="73">
        <f>COUNTIFS(缺陷明细!$A$2:$A$50000,$B$4,缺陷明细!$G$2:$G$50000,$C13,缺陷明细!$Q$2:$Q$50000,"已关闭",缺陷明细!$J$2:$J$50000,"运维测试",缺陷明细!$K$2:$K$50000,"致命")+COUNTIFS(缺陷明细!$A$2:$A$50000,$B$4,缺陷明细!$G$2:$G$50000,$C13,缺陷明细!$Q$2:$Q$50000,"已关闭",缺陷明细!$J$2:$J$50000,"运维测试",缺陷明细!$K$2:$K$50000,"严重")</f>
        <v>0</v>
      </c>
      <c r="AC13" s="68">
        <f t="shared" si="0"/>
        <v>0</v>
      </c>
      <c r="AD13" s="60">
        <f t="shared" si="0"/>
        <v>0</v>
      </c>
      <c r="AE13" s="60">
        <f t="shared" si="1"/>
        <v>0</v>
      </c>
      <c r="AF13" s="60">
        <f t="shared" si="1"/>
        <v>0</v>
      </c>
      <c r="AG13" s="60">
        <f t="shared" si="2"/>
        <v>0</v>
      </c>
      <c r="AH13" s="60">
        <f t="shared" si="2"/>
        <v>0</v>
      </c>
      <c r="AI13" s="60">
        <f t="shared" si="3"/>
        <v>0</v>
      </c>
      <c r="AJ13" s="61">
        <f t="shared" si="3"/>
        <v>0</v>
      </c>
      <c r="AK13" s="144"/>
    </row>
    <row r="14" spans="1:37">
      <c r="A14">
        <v>10</v>
      </c>
      <c r="B14" s="57"/>
      <c r="C14" s="58"/>
      <c r="D14" s="84"/>
      <c r="E14" s="82"/>
      <c r="F14" s="158"/>
      <c r="G14" s="159"/>
      <c r="H14" s="281">
        <f>COUNTIFS(缺陷明细!$A$2:$A$50000,$B$4,缺陷明细!$G$2:$G$50000,$C14,缺陷明细!$J$2:$J$50000,"评审",缺陷明细!$AB$2:$AB$50000,"&lt;&gt;丢弃",缺陷明细!$AB$2:$AB$50000,"&lt;&gt;设计如此",缺陷明细!$AB$2:$AB$50000,"&lt;&gt;重复Bug")</f>
        <v>0</v>
      </c>
      <c r="I14" s="154">
        <f>COUNTIFS(缺陷明细!$A$2:$A$50000,$B$4,缺陷明细!$G$2:$G$50000,$C14,缺陷明细!$Q$2:$Q$50000,"已关闭",缺陷明细!$J$2:$J$50000,"评审")</f>
        <v>0</v>
      </c>
      <c r="J14" s="154">
        <f>COUNTIFS(缺陷明细!$A$2:$A$50000,$B$4,缺陷明细!$G$2:$G$50000,$C14,缺陷明细!$J$2:$J$50000,"单元测试",缺陷明细!$AB$2:$AB$50000,"&lt;&gt;丢弃",缺陷明细!$AB$2:$AB$50000,"&lt;&gt;设计如此",缺陷明细!$AB$2:$AB$50000,"&lt;&gt;重复Bug")</f>
        <v>0</v>
      </c>
      <c r="K14" s="155">
        <f>COUNTIFS(缺陷明细!$A$2:$A$50000,$B$4,缺陷明细!$G$2:$G$50000,$C14,缺陷明细!$Q$2:$Q$50000,"已关闭",缺陷明细!$J$2:$J$50000,"单元测试")</f>
        <v>0</v>
      </c>
      <c r="L14" s="156"/>
      <c r="M14" s="157"/>
      <c r="N14" s="72">
        <f>COUNTIFS(缺陷明细!$A$2:$A$50000,$B$4,缺陷明细!$G$2:$G$50000,$C14,缺陷明细!$J$2:$J$50000,"系统测试案例评审",缺陷明细!$AB$2:$AB$50000,"&lt;&gt;丢弃",缺陷明细!$AB$2:$AB$50000,"&lt;&gt;设计如此",缺陷明细!$AB$2:$AB$50000,"&lt;&gt;重复Bug")</f>
        <v>0</v>
      </c>
      <c r="O14" s="72">
        <f>COUNTIFS(缺陷明细!$A$2:$A$50000,$B$4,缺陷明细!$G$2:$G$50000,$C14,缺陷明细!$Q$2:$Q$50000,"已关闭",缺陷明细!$J$2:$J$50000,"系统测试案例评审")</f>
        <v>0</v>
      </c>
      <c r="P14" s="72">
        <f>COUNTIFS(缺陷明细!$A$2:$A$50000,$B$4,缺陷明细!$G$2:$G$50000,$C14,缺陷明细!$J$2:$J$50000,"系统测试",缺陷明细!$AB$2:$AB$50000,"&lt;&gt;丢弃",缺陷明细!$AB$2:$AB$50000,"&lt;&gt;设计如此",缺陷明细!$AB$2:$AB$50000,"&lt;&gt;重复Bug")</f>
        <v>0</v>
      </c>
      <c r="Q14" s="72">
        <f>COUNTIFS(缺陷明细!$A$2:$A$50000,$B$4,缺陷明细!$G$2:$G$50000,$C14,缺陷明细!$Q$2:$Q$50000,"已关闭",缺陷明细!$J$2:$J$50000,"系统测试")</f>
        <v>0</v>
      </c>
      <c r="R14" s="296">
        <f>COUNTIFS(缺陷明细!$A$2:$A$50000,$B$4,缺陷明细!$G$2:$G$50000,$C14,缺陷明细!$AB$2:$AB$50000,"丢弃",缺陷明细!$J$2:$J$50000,"系统测试")+COUNTIFS(缺陷明细!$A$2:$A$50000,$B$4,缺陷明细!$G$2:$G$50000,$C14,缺陷明细!$AB$2:$AB$50000,"设计如此",缺陷明细!$J$2:$J$50000,"系统测试")+COUNTIFS(缺陷明细!$A$2:$A$50000,$B$4,缺陷明细!$G$2:$G$50000,$C14,缺陷明细!$AB$2:$AB$50000,"重复Bug",缺陷明细!$J$2:$J$50000,"系统测试")</f>
        <v>0</v>
      </c>
      <c r="S14" s="72">
        <f>COUNTIFS(缺陷明细!$A$2:$A$50000,$B$4,缺陷明细!$G$2:$G$50000,$C14,缺陷明细!$J$2:$J$50000,"系统测试",缺陷明细!$K$2:$K$50000,"致命",缺陷明细!$AB$2:$AB$50000,"&lt;&gt;丢弃",缺陷明细!$AB$2:$AB$50000,"&lt;&gt;设计如此",缺陷明细!$AB$2:$AB$50000,"&lt;&gt;重复Bug")+COUNTIFS(缺陷明细!$A$2:$A$50000,$B$4,缺陷明细!$G$2:$G$50000,$C14,缺陷明细!$J$2:$J$50000,"系统测试",缺陷明细!$K$2:$K$50000,"严重",缺陷明细!$AB$2:$AB$50000,"&lt;&gt;丢弃",缺陷明细!$AB$2:$AB$50000,"&lt;&gt;设计如此",缺陷明细!$AB$2:$AB$50000,"&lt;&gt;重复Bug")</f>
        <v>0</v>
      </c>
      <c r="T14" s="73">
        <f>COUNTIFS(缺陷明细!$A$2:$A$50000,$B$4,缺陷明细!$G$2:$G$50000,$C14,缺陷明细!$Q$2:$Q$50000,"已关闭",缺陷明细!$J$2:$J$50000,"系统测试",缺陷明细!$K$2:$K$50000,"致命")+COUNTIFS(缺陷明细!$A$2:$A$50000,$B$4,缺陷明细!$G$2:$G$50000,$C14,缺陷明细!$Q$2:$Q$50000,"已关闭",缺陷明细!$J$2:$J$50000,"系统测试",缺陷明细!$K$2:$K$50000,"严重")</f>
        <v>0</v>
      </c>
      <c r="U14" s="74">
        <f>COUNTIFS(缺陷明细!$A$2:$A$50000,$B$4,缺陷明细!$G$2:$G$50000,$C14,缺陷明细!$J$2:$J$50000,"验收测试",缺陷明细!$AB$2:$AB$50000,"&lt;&gt;丢弃",缺陷明细!$AB$2:$AB$50000,"&lt;&gt;设计如此",缺陷明细!$AB$2:$AB$50000,"&lt;&gt;重复Bug")</f>
        <v>0</v>
      </c>
      <c r="V14" s="75">
        <f>COUNTIFS(缺陷明细!$A$2:$A$50000,$B$4,缺陷明细!$G$2:$G$50000,$C14,缺陷明细!$Q$2:$Q$50000,"已关闭",缺陷明细!$J$2:$J$50000,"验收测试")</f>
        <v>0</v>
      </c>
      <c r="W14" s="75">
        <f>COUNTIFS(缺陷明细!$A$2:$A$50000,$B$4,缺陷明细!$G$2:$G$50000,$C14,缺陷明细!$J$2:$J$50000,"验收测试",缺陷明细!$K$2:$K$50000,"致命",缺陷明细!$AB$2:$AB$50000,"&lt;&gt;丢弃",缺陷明细!$AB$2:$AB$50000,"&lt;&gt;设计如此",缺陷明细!$AB$2:$AB$50000,"&lt;&gt;重复Bug")+COUNTIFS(缺陷明细!$A$2:$A$50000,$B$4,缺陷明细!$G$2:$G$50000,$C14,缺陷明细!$J$2:$J$50000,"验收测试",缺陷明细!$K$2:$K$50000,"严重",缺陷明细!$AB$2:$AB$50000,"&lt;&gt;丢弃",缺陷明细!$AB$2:$AB$50000,"&lt;&gt;设计如此",缺陷明细!$AB$2:$AB$50000,"&lt;&gt;重复Bug")</f>
        <v>0</v>
      </c>
      <c r="X14" s="76">
        <f>COUNTIFS(缺陷明细!$A$2:$A$50000,$B$4,缺陷明细!$G$2:$G$50000,$C14,缺陷明细!$Q$2:$Q$50000,"已关闭",缺陷明细!$J$2:$J$50000,"验收测试",缺陷明细!$K$2:$K$50000,"致命")+COUNTIFS(缺陷明细!$A$2:$A$50000,$B$4,缺陷明细!$G$2:$G$50000,$C14,缺陷明细!$Q$2:$Q$50000,"已关闭",缺陷明细!$J$2:$J$50000,"验收测试",缺陷明细!$K$2:$K$50000,"严重")</f>
        <v>0</v>
      </c>
      <c r="Y14" s="70">
        <f>COUNTIFS(缺陷明细!$A$2:$A$50000,$B$4,缺陷明细!$G$2:$G$50000,$C14,缺陷明细!$J$2:$J$50000,"运维测试",缺陷明细!$AB$2:$AB$50000,"&lt;&gt;丢弃",缺陷明细!$AB$2:$AB$50000,"&lt;&gt;设计如此",缺陷明细!$AB$2:$AB$50000,"&lt;&gt;重复Bug")</f>
        <v>0</v>
      </c>
      <c r="Z14" s="71">
        <f>COUNTIFS(缺陷明细!$A$2:$A$50000,$B$4,缺陷明细!$G$2:$G$50000,$C14,缺陷明细!$Q$2:$Q$50000,"已关闭",缺陷明细!$J$2:$J$50000,"运维测试")</f>
        <v>0</v>
      </c>
      <c r="AA14" s="72">
        <f>COUNTIFS(缺陷明细!$A$2:$A$50000,$B$4,缺陷明细!$G$2:$G$50000,$C14,缺陷明细!$J$2:$J$50000,"运维测试",缺陷明细!$K$2:$K$50000,"致命",缺陷明细!$AB$2:$AB$50000,"&lt;&gt;丢弃",缺陷明细!$AB$2:$AB$50000,"&lt;&gt;设计如此",缺陷明细!$AB$2:$AB$50000,"&lt;&gt;重复Bug")+COUNTIFS(缺陷明细!$A$2:$A$50000,$B$4,缺陷明细!$G$2:$G$50000,$C14,缺陷明细!$J$2:$J$50000,"运维测试",缺陷明细!$K$2:$K$50000,"严重",缺陷明细!$AB$2:$AB$50000,"&lt;&gt;丢弃",缺陷明细!$AB$2:$AB$50000,"&lt;&gt;设计如此",缺陷明细!$AB$2:$AB$50000,"&lt;&gt;重复Bug")</f>
        <v>0</v>
      </c>
      <c r="AB14" s="73">
        <f>COUNTIFS(缺陷明细!$A$2:$A$50000,$B$4,缺陷明细!$G$2:$G$50000,$C14,缺陷明细!$Q$2:$Q$50000,"已关闭",缺陷明细!$J$2:$J$50000,"运维测试",缺陷明细!$K$2:$K$50000,"致命")+COUNTIFS(缺陷明细!$A$2:$A$50000,$B$4,缺陷明细!$G$2:$G$50000,$C14,缺陷明细!$Q$2:$Q$50000,"已关闭",缺陷明细!$J$2:$J$50000,"运维测试",缺陷明细!$K$2:$K$50000,"严重")</f>
        <v>0</v>
      </c>
      <c r="AC14" s="68">
        <f t="shared" si="0"/>
        <v>0</v>
      </c>
      <c r="AD14" s="60">
        <f t="shared" si="0"/>
        <v>0</v>
      </c>
      <c r="AE14" s="60">
        <f t="shared" si="1"/>
        <v>0</v>
      </c>
      <c r="AF14" s="60">
        <f t="shared" si="1"/>
        <v>0</v>
      </c>
      <c r="AG14" s="60">
        <f t="shared" si="2"/>
        <v>0</v>
      </c>
      <c r="AH14" s="60">
        <f t="shared" si="2"/>
        <v>0</v>
      </c>
      <c r="AI14" s="60">
        <f t="shared" si="3"/>
        <v>0</v>
      </c>
      <c r="AJ14" s="61">
        <f t="shared" si="3"/>
        <v>0</v>
      </c>
      <c r="AK14" s="144"/>
    </row>
    <row r="15" spans="1:37">
      <c r="A15">
        <v>11</v>
      </c>
      <c r="B15" s="57"/>
      <c r="C15" s="58"/>
      <c r="D15" s="84"/>
      <c r="E15" s="82"/>
      <c r="F15" s="158"/>
      <c r="G15" s="159"/>
      <c r="H15" s="281">
        <f>COUNTIFS(缺陷明细!$A$2:$A$50000,$B$4,缺陷明细!$G$2:$G$50000,$C15,缺陷明细!$J$2:$J$50000,"评审",缺陷明细!$AB$2:$AB$50000,"&lt;&gt;丢弃",缺陷明细!$AB$2:$AB$50000,"&lt;&gt;设计如此",缺陷明细!$AB$2:$AB$50000,"&lt;&gt;重复Bug")</f>
        <v>0</v>
      </c>
      <c r="I15" s="154">
        <f>COUNTIFS(缺陷明细!$A$2:$A$50000,$B$4,缺陷明细!$G$2:$G$50000,$C15,缺陷明细!$Q$2:$Q$50000,"已关闭",缺陷明细!$J$2:$J$50000,"评审")</f>
        <v>0</v>
      </c>
      <c r="J15" s="154">
        <f>COUNTIFS(缺陷明细!$A$2:$A$50000,$B$4,缺陷明细!$G$2:$G$50000,$C15,缺陷明细!$J$2:$J$50000,"单元测试",缺陷明细!$AB$2:$AB$50000,"&lt;&gt;丢弃",缺陷明细!$AB$2:$AB$50000,"&lt;&gt;设计如此",缺陷明细!$AB$2:$AB$50000,"&lt;&gt;重复Bug")</f>
        <v>0</v>
      </c>
      <c r="K15" s="155">
        <f>COUNTIFS(缺陷明细!$A$2:$A$50000,$B$4,缺陷明细!$G$2:$G$50000,$C15,缺陷明细!$Q$2:$Q$50000,"已关闭",缺陷明细!$J$2:$J$50000,"单元测试")</f>
        <v>0</v>
      </c>
      <c r="L15" s="156"/>
      <c r="M15" s="157"/>
      <c r="N15" s="72">
        <f>COUNTIFS(缺陷明细!$A$2:$A$50000,$B$4,缺陷明细!$G$2:$G$50000,$C15,缺陷明细!$J$2:$J$50000,"系统测试案例评审",缺陷明细!$AB$2:$AB$50000,"&lt;&gt;丢弃",缺陷明细!$AB$2:$AB$50000,"&lt;&gt;设计如此",缺陷明细!$AB$2:$AB$50000,"&lt;&gt;重复Bug")</f>
        <v>0</v>
      </c>
      <c r="O15" s="72">
        <f>COUNTIFS(缺陷明细!$A$2:$A$50000,$B$4,缺陷明细!$G$2:$G$50000,$C15,缺陷明细!$Q$2:$Q$50000,"已关闭",缺陷明细!$J$2:$J$50000,"系统测试案例评审")</f>
        <v>0</v>
      </c>
      <c r="P15" s="72">
        <f>COUNTIFS(缺陷明细!$A$2:$A$50000,$B$4,缺陷明细!$G$2:$G$50000,$C15,缺陷明细!$J$2:$J$50000,"系统测试",缺陷明细!$AB$2:$AB$50000,"&lt;&gt;丢弃",缺陷明细!$AB$2:$AB$50000,"&lt;&gt;设计如此",缺陷明细!$AB$2:$AB$50000,"&lt;&gt;重复Bug")</f>
        <v>0</v>
      </c>
      <c r="Q15" s="72">
        <f>COUNTIFS(缺陷明细!$A$2:$A$50000,$B$4,缺陷明细!$G$2:$G$50000,$C15,缺陷明细!$Q$2:$Q$50000,"已关闭",缺陷明细!$J$2:$J$50000,"系统测试")</f>
        <v>0</v>
      </c>
      <c r="R15" s="296">
        <f>COUNTIFS(缺陷明细!$A$2:$A$50000,$B$4,缺陷明细!$G$2:$G$50000,$C15,缺陷明细!$AB$2:$AB$50000,"丢弃",缺陷明细!$J$2:$J$50000,"系统测试")+COUNTIFS(缺陷明细!$A$2:$A$50000,$B$4,缺陷明细!$G$2:$G$50000,$C15,缺陷明细!$AB$2:$AB$50000,"设计如此",缺陷明细!$J$2:$J$50000,"系统测试")+COUNTIFS(缺陷明细!$A$2:$A$50000,$B$4,缺陷明细!$G$2:$G$50000,$C15,缺陷明细!$AB$2:$AB$50000,"重复Bug",缺陷明细!$J$2:$J$50000,"系统测试")</f>
        <v>0</v>
      </c>
      <c r="S15" s="72">
        <f>COUNTIFS(缺陷明细!$A$2:$A$50000,$B$4,缺陷明细!$G$2:$G$50000,$C15,缺陷明细!$J$2:$J$50000,"系统测试",缺陷明细!$K$2:$K$50000,"致命",缺陷明细!$AB$2:$AB$50000,"&lt;&gt;丢弃",缺陷明细!$AB$2:$AB$50000,"&lt;&gt;设计如此",缺陷明细!$AB$2:$AB$50000,"&lt;&gt;重复Bug")+COUNTIFS(缺陷明细!$A$2:$A$50000,$B$4,缺陷明细!$G$2:$G$50000,$C15,缺陷明细!$J$2:$J$50000,"系统测试",缺陷明细!$K$2:$K$50000,"严重",缺陷明细!$AB$2:$AB$50000,"&lt;&gt;丢弃",缺陷明细!$AB$2:$AB$50000,"&lt;&gt;设计如此",缺陷明细!$AB$2:$AB$50000,"&lt;&gt;重复Bug")</f>
        <v>0</v>
      </c>
      <c r="T15" s="73">
        <f>COUNTIFS(缺陷明细!$A$2:$A$50000,$B$4,缺陷明细!$G$2:$G$50000,$C15,缺陷明细!$Q$2:$Q$50000,"已关闭",缺陷明细!$J$2:$J$50000,"系统测试",缺陷明细!$K$2:$K$50000,"致命")+COUNTIFS(缺陷明细!$A$2:$A$50000,$B$4,缺陷明细!$G$2:$G$50000,$C15,缺陷明细!$Q$2:$Q$50000,"已关闭",缺陷明细!$J$2:$J$50000,"系统测试",缺陷明细!$K$2:$K$50000,"严重")</f>
        <v>0</v>
      </c>
      <c r="U15" s="74">
        <f>COUNTIFS(缺陷明细!$A$2:$A$50000,$B$4,缺陷明细!$G$2:$G$50000,$C15,缺陷明细!$J$2:$J$50000,"验收测试",缺陷明细!$AB$2:$AB$50000,"&lt;&gt;丢弃",缺陷明细!$AB$2:$AB$50000,"&lt;&gt;设计如此",缺陷明细!$AB$2:$AB$50000,"&lt;&gt;重复Bug")</f>
        <v>0</v>
      </c>
      <c r="V15" s="75">
        <f>COUNTIFS(缺陷明细!$A$2:$A$50000,$B$4,缺陷明细!$G$2:$G$50000,$C15,缺陷明细!$Q$2:$Q$50000,"已关闭",缺陷明细!$J$2:$J$50000,"验收测试")</f>
        <v>0</v>
      </c>
      <c r="W15" s="75">
        <f>COUNTIFS(缺陷明细!$A$2:$A$50000,$B$4,缺陷明细!$G$2:$G$50000,$C15,缺陷明细!$J$2:$J$50000,"验收测试",缺陷明细!$K$2:$K$50000,"致命",缺陷明细!$AB$2:$AB$50000,"&lt;&gt;丢弃",缺陷明细!$AB$2:$AB$50000,"&lt;&gt;设计如此",缺陷明细!$AB$2:$AB$50000,"&lt;&gt;重复Bug")+COUNTIFS(缺陷明细!$A$2:$A$50000,$B$4,缺陷明细!$G$2:$G$50000,$C15,缺陷明细!$J$2:$J$50000,"验收测试",缺陷明细!$K$2:$K$50000,"严重",缺陷明细!$AB$2:$AB$50000,"&lt;&gt;丢弃",缺陷明细!$AB$2:$AB$50000,"&lt;&gt;设计如此",缺陷明细!$AB$2:$AB$50000,"&lt;&gt;重复Bug")</f>
        <v>0</v>
      </c>
      <c r="X15" s="76">
        <f>COUNTIFS(缺陷明细!$A$2:$A$50000,$B$4,缺陷明细!$G$2:$G$50000,$C15,缺陷明细!$Q$2:$Q$50000,"已关闭",缺陷明细!$J$2:$J$50000,"验收测试",缺陷明细!$K$2:$K$50000,"致命")+COUNTIFS(缺陷明细!$A$2:$A$50000,$B$4,缺陷明细!$G$2:$G$50000,$C15,缺陷明细!$Q$2:$Q$50000,"已关闭",缺陷明细!$J$2:$J$50000,"验收测试",缺陷明细!$K$2:$K$50000,"严重")</f>
        <v>0</v>
      </c>
      <c r="Y15" s="70">
        <f>COUNTIFS(缺陷明细!$A$2:$A$50000,$B$4,缺陷明细!$G$2:$G$50000,$C15,缺陷明细!$J$2:$J$50000,"运维测试",缺陷明细!$AB$2:$AB$50000,"&lt;&gt;丢弃",缺陷明细!$AB$2:$AB$50000,"&lt;&gt;设计如此",缺陷明细!$AB$2:$AB$50000,"&lt;&gt;重复Bug")</f>
        <v>0</v>
      </c>
      <c r="Z15" s="71">
        <f>COUNTIFS(缺陷明细!$A$2:$A$50000,$B$4,缺陷明细!$G$2:$G$50000,$C15,缺陷明细!$Q$2:$Q$50000,"已关闭",缺陷明细!$J$2:$J$50000,"运维测试")</f>
        <v>0</v>
      </c>
      <c r="AA15" s="72">
        <f>COUNTIFS(缺陷明细!$A$2:$A$50000,$B$4,缺陷明细!$G$2:$G$50000,$C15,缺陷明细!$J$2:$J$50000,"运维测试",缺陷明细!$K$2:$K$50000,"致命",缺陷明细!$AB$2:$AB$50000,"&lt;&gt;丢弃",缺陷明细!$AB$2:$AB$50000,"&lt;&gt;设计如此",缺陷明细!$AB$2:$AB$50000,"&lt;&gt;重复Bug")+COUNTIFS(缺陷明细!$A$2:$A$50000,$B$4,缺陷明细!$G$2:$G$50000,$C15,缺陷明细!$J$2:$J$50000,"运维测试",缺陷明细!$K$2:$K$50000,"严重",缺陷明细!$AB$2:$AB$50000,"&lt;&gt;丢弃",缺陷明细!$AB$2:$AB$50000,"&lt;&gt;设计如此",缺陷明细!$AB$2:$AB$50000,"&lt;&gt;重复Bug")</f>
        <v>0</v>
      </c>
      <c r="AB15" s="73">
        <f>COUNTIFS(缺陷明细!$A$2:$A$50000,$B$4,缺陷明细!$G$2:$G$50000,$C15,缺陷明细!$Q$2:$Q$50000,"已关闭",缺陷明细!$J$2:$J$50000,"运维测试",缺陷明细!$K$2:$K$50000,"致命")+COUNTIFS(缺陷明细!$A$2:$A$50000,$B$4,缺陷明细!$G$2:$G$50000,$C15,缺陷明细!$Q$2:$Q$50000,"已关闭",缺陷明细!$J$2:$J$50000,"运维测试",缺陷明细!$K$2:$K$50000,"严重")</f>
        <v>0</v>
      </c>
      <c r="AC15" s="68">
        <f t="shared" si="0"/>
        <v>0</v>
      </c>
      <c r="AD15" s="60">
        <f t="shared" si="0"/>
        <v>0</v>
      </c>
      <c r="AE15" s="60">
        <f t="shared" si="1"/>
        <v>0</v>
      </c>
      <c r="AF15" s="60">
        <f t="shared" si="1"/>
        <v>0</v>
      </c>
      <c r="AG15" s="60">
        <f t="shared" si="2"/>
        <v>0</v>
      </c>
      <c r="AH15" s="60">
        <f t="shared" si="2"/>
        <v>0</v>
      </c>
      <c r="AI15" s="60">
        <f t="shared" si="3"/>
        <v>0</v>
      </c>
      <c r="AJ15" s="61">
        <f t="shared" si="3"/>
        <v>0</v>
      </c>
      <c r="AK15" s="144"/>
    </row>
    <row r="16" spans="1:37">
      <c r="A16">
        <v>12</v>
      </c>
      <c r="B16" s="57"/>
      <c r="C16" s="58"/>
      <c r="D16" s="84"/>
      <c r="E16" s="82"/>
      <c r="F16" s="158"/>
      <c r="G16" s="159"/>
      <c r="H16" s="281">
        <f>COUNTIFS(缺陷明细!$A$2:$A$50000,$B$4,缺陷明细!$G$2:$G$50000,$C16,缺陷明细!$J$2:$J$50000,"评审",缺陷明细!$AB$2:$AB$50000,"&lt;&gt;丢弃",缺陷明细!$AB$2:$AB$50000,"&lt;&gt;设计如此",缺陷明细!$AB$2:$AB$50000,"&lt;&gt;重复Bug")</f>
        <v>0</v>
      </c>
      <c r="I16" s="154">
        <f>COUNTIFS(缺陷明细!$A$2:$A$50000,$B$4,缺陷明细!$G$2:$G$50000,$C16,缺陷明细!$Q$2:$Q$50000,"已关闭",缺陷明细!$J$2:$J$50000,"评审")</f>
        <v>0</v>
      </c>
      <c r="J16" s="154">
        <f>COUNTIFS(缺陷明细!$A$2:$A$50000,$B$4,缺陷明细!$G$2:$G$50000,$C16,缺陷明细!$J$2:$J$50000,"单元测试",缺陷明细!$AB$2:$AB$50000,"&lt;&gt;丢弃",缺陷明细!$AB$2:$AB$50000,"&lt;&gt;设计如此",缺陷明细!$AB$2:$AB$50000,"&lt;&gt;重复Bug")</f>
        <v>0</v>
      </c>
      <c r="K16" s="155">
        <f>COUNTIFS(缺陷明细!$A$2:$A$50000,$B$4,缺陷明细!$G$2:$G$50000,$C16,缺陷明细!$Q$2:$Q$50000,"已关闭",缺陷明细!$J$2:$J$50000,"单元测试")</f>
        <v>0</v>
      </c>
      <c r="L16" s="156"/>
      <c r="M16" s="157"/>
      <c r="N16" s="72">
        <f>COUNTIFS(缺陷明细!$A$2:$A$50000,$B$4,缺陷明细!$G$2:$G$50000,$C16,缺陷明细!$J$2:$J$50000,"系统测试案例评审",缺陷明细!$AB$2:$AB$50000,"&lt;&gt;丢弃",缺陷明细!$AB$2:$AB$50000,"&lt;&gt;设计如此",缺陷明细!$AB$2:$AB$50000,"&lt;&gt;重复Bug")</f>
        <v>0</v>
      </c>
      <c r="O16" s="72">
        <f>COUNTIFS(缺陷明细!$A$2:$A$50000,$B$4,缺陷明细!$G$2:$G$50000,$C16,缺陷明细!$Q$2:$Q$50000,"已关闭",缺陷明细!$J$2:$J$50000,"系统测试案例评审")</f>
        <v>0</v>
      </c>
      <c r="P16" s="72">
        <f>COUNTIFS(缺陷明细!$A$2:$A$50000,$B$4,缺陷明细!$G$2:$G$50000,$C16,缺陷明细!$J$2:$J$50000,"系统测试",缺陷明细!$AB$2:$AB$50000,"&lt;&gt;丢弃",缺陷明细!$AB$2:$AB$50000,"&lt;&gt;设计如此",缺陷明细!$AB$2:$AB$50000,"&lt;&gt;重复Bug")</f>
        <v>0</v>
      </c>
      <c r="Q16" s="72">
        <f>COUNTIFS(缺陷明细!$A$2:$A$50000,$B$4,缺陷明细!$G$2:$G$50000,$C16,缺陷明细!$Q$2:$Q$50000,"已关闭",缺陷明细!$J$2:$J$50000,"系统测试")</f>
        <v>0</v>
      </c>
      <c r="R16" s="296">
        <f>COUNTIFS(缺陷明细!$A$2:$A$50000,$B$4,缺陷明细!$G$2:$G$50000,$C16,缺陷明细!$AB$2:$AB$50000,"丢弃",缺陷明细!$J$2:$J$50000,"系统测试")+COUNTIFS(缺陷明细!$A$2:$A$50000,$B$4,缺陷明细!$G$2:$G$50000,$C16,缺陷明细!$AB$2:$AB$50000,"设计如此",缺陷明细!$J$2:$J$50000,"系统测试")+COUNTIFS(缺陷明细!$A$2:$A$50000,$B$4,缺陷明细!$G$2:$G$50000,$C16,缺陷明细!$AB$2:$AB$50000,"重复Bug",缺陷明细!$J$2:$J$50000,"系统测试")</f>
        <v>0</v>
      </c>
      <c r="S16" s="72">
        <f>COUNTIFS(缺陷明细!$A$2:$A$50000,$B$4,缺陷明细!$G$2:$G$50000,$C16,缺陷明细!$J$2:$J$50000,"系统测试",缺陷明细!$K$2:$K$50000,"致命",缺陷明细!$AB$2:$AB$50000,"&lt;&gt;丢弃",缺陷明细!$AB$2:$AB$50000,"&lt;&gt;设计如此",缺陷明细!$AB$2:$AB$50000,"&lt;&gt;重复Bug")+COUNTIFS(缺陷明细!$A$2:$A$50000,$B$4,缺陷明细!$G$2:$G$50000,$C16,缺陷明细!$J$2:$J$50000,"系统测试",缺陷明细!$K$2:$K$50000,"严重",缺陷明细!$AB$2:$AB$50000,"&lt;&gt;丢弃",缺陷明细!$AB$2:$AB$50000,"&lt;&gt;设计如此",缺陷明细!$AB$2:$AB$50000,"&lt;&gt;重复Bug")</f>
        <v>0</v>
      </c>
      <c r="T16" s="73">
        <f>COUNTIFS(缺陷明细!$A$2:$A$50000,$B$4,缺陷明细!$G$2:$G$50000,$C16,缺陷明细!$Q$2:$Q$50000,"已关闭",缺陷明细!$J$2:$J$50000,"系统测试",缺陷明细!$K$2:$K$50000,"致命")+COUNTIFS(缺陷明细!$A$2:$A$50000,$B$4,缺陷明细!$G$2:$G$50000,$C16,缺陷明细!$Q$2:$Q$50000,"已关闭",缺陷明细!$J$2:$J$50000,"系统测试",缺陷明细!$K$2:$K$50000,"严重")</f>
        <v>0</v>
      </c>
      <c r="U16" s="74">
        <f>COUNTIFS(缺陷明细!$A$2:$A$50000,$B$4,缺陷明细!$G$2:$G$50000,$C16,缺陷明细!$J$2:$J$50000,"验收测试",缺陷明细!$AB$2:$AB$50000,"&lt;&gt;丢弃",缺陷明细!$AB$2:$AB$50000,"&lt;&gt;设计如此",缺陷明细!$AB$2:$AB$50000,"&lt;&gt;重复Bug")</f>
        <v>0</v>
      </c>
      <c r="V16" s="75">
        <f>COUNTIFS(缺陷明细!$A$2:$A$50000,$B$4,缺陷明细!$G$2:$G$50000,$C16,缺陷明细!$Q$2:$Q$50000,"已关闭",缺陷明细!$J$2:$J$50000,"验收测试")</f>
        <v>0</v>
      </c>
      <c r="W16" s="75">
        <f>COUNTIFS(缺陷明细!$A$2:$A$50000,$B$4,缺陷明细!$G$2:$G$50000,$C16,缺陷明细!$J$2:$J$50000,"验收测试",缺陷明细!$K$2:$K$50000,"致命",缺陷明细!$AB$2:$AB$50000,"&lt;&gt;丢弃",缺陷明细!$AB$2:$AB$50000,"&lt;&gt;设计如此",缺陷明细!$AB$2:$AB$50000,"&lt;&gt;重复Bug")+COUNTIFS(缺陷明细!$A$2:$A$50000,$B$4,缺陷明细!$G$2:$G$50000,$C16,缺陷明细!$J$2:$J$50000,"验收测试",缺陷明细!$K$2:$K$50000,"严重",缺陷明细!$AB$2:$AB$50000,"&lt;&gt;丢弃",缺陷明细!$AB$2:$AB$50000,"&lt;&gt;设计如此",缺陷明细!$AB$2:$AB$50000,"&lt;&gt;重复Bug")</f>
        <v>0</v>
      </c>
      <c r="X16" s="76">
        <f>COUNTIFS(缺陷明细!$A$2:$A$50000,$B$4,缺陷明细!$G$2:$G$50000,$C16,缺陷明细!$Q$2:$Q$50000,"已关闭",缺陷明细!$J$2:$J$50000,"验收测试",缺陷明细!$K$2:$K$50000,"致命")+COUNTIFS(缺陷明细!$A$2:$A$50000,$B$4,缺陷明细!$G$2:$G$50000,$C16,缺陷明细!$Q$2:$Q$50000,"已关闭",缺陷明细!$J$2:$J$50000,"验收测试",缺陷明细!$K$2:$K$50000,"严重")</f>
        <v>0</v>
      </c>
      <c r="Y16" s="70">
        <f>COUNTIFS(缺陷明细!$A$2:$A$50000,$B$4,缺陷明细!$G$2:$G$50000,$C16,缺陷明细!$J$2:$J$50000,"运维测试",缺陷明细!$AB$2:$AB$50000,"&lt;&gt;丢弃",缺陷明细!$AB$2:$AB$50000,"&lt;&gt;设计如此",缺陷明细!$AB$2:$AB$50000,"&lt;&gt;重复Bug")</f>
        <v>0</v>
      </c>
      <c r="Z16" s="71">
        <f>COUNTIFS(缺陷明细!$A$2:$A$50000,$B$4,缺陷明细!$G$2:$G$50000,$C16,缺陷明细!$Q$2:$Q$50000,"已关闭",缺陷明细!$J$2:$J$50000,"运维测试")</f>
        <v>0</v>
      </c>
      <c r="AA16" s="72">
        <f>COUNTIFS(缺陷明细!$A$2:$A$50000,$B$4,缺陷明细!$G$2:$G$50000,$C16,缺陷明细!$J$2:$J$50000,"运维测试",缺陷明细!$K$2:$K$50000,"致命",缺陷明细!$AB$2:$AB$50000,"&lt;&gt;丢弃",缺陷明细!$AB$2:$AB$50000,"&lt;&gt;设计如此",缺陷明细!$AB$2:$AB$50000,"&lt;&gt;重复Bug")+COUNTIFS(缺陷明细!$A$2:$A$50000,$B$4,缺陷明细!$G$2:$G$50000,$C16,缺陷明细!$J$2:$J$50000,"运维测试",缺陷明细!$K$2:$K$50000,"严重",缺陷明细!$AB$2:$AB$50000,"&lt;&gt;丢弃",缺陷明细!$AB$2:$AB$50000,"&lt;&gt;设计如此",缺陷明细!$AB$2:$AB$50000,"&lt;&gt;重复Bug")</f>
        <v>0</v>
      </c>
      <c r="AB16" s="73">
        <f>COUNTIFS(缺陷明细!$A$2:$A$50000,$B$4,缺陷明细!$G$2:$G$50000,$C16,缺陷明细!$Q$2:$Q$50000,"已关闭",缺陷明细!$J$2:$J$50000,"运维测试",缺陷明细!$K$2:$K$50000,"致命")+COUNTIFS(缺陷明细!$A$2:$A$50000,$B$4,缺陷明细!$G$2:$G$50000,$C16,缺陷明细!$Q$2:$Q$50000,"已关闭",缺陷明细!$J$2:$J$50000,"运维测试",缺陷明细!$K$2:$K$50000,"严重")</f>
        <v>0</v>
      </c>
      <c r="AC16" s="68">
        <f t="shared" si="0"/>
        <v>0</v>
      </c>
      <c r="AD16" s="60">
        <f t="shared" si="0"/>
        <v>0</v>
      </c>
      <c r="AE16" s="60">
        <f t="shared" si="1"/>
        <v>0</v>
      </c>
      <c r="AF16" s="60">
        <f t="shared" si="1"/>
        <v>0</v>
      </c>
      <c r="AG16" s="60">
        <f t="shared" si="2"/>
        <v>0</v>
      </c>
      <c r="AH16" s="60">
        <f t="shared" si="2"/>
        <v>0</v>
      </c>
      <c r="AI16" s="60">
        <f t="shared" si="3"/>
        <v>0</v>
      </c>
      <c r="AJ16" s="61">
        <f t="shared" si="3"/>
        <v>0</v>
      </c>
      <c r="AK16" s="144"/>
    </row>
    <row r="17" spans="1:37">
      <c r="A17">
        <v>13</v>
      </c>
      <c r="B17" s="57"/>
      <c r="C17" s="58"/>
      <c r="D17" s="84"/>
      <c r="E17" s="82"/>
      <c r="F17" s="158"/>
      <c r="G17" s="159"/>
      <c r="H17" s="281">
        <f>COUNTIFS(缺陷明细!$A$2:$A$50000,$B$4,缺陷明细!$G$2:$G$50000,$C17,缺陷明细!$J$2:$J$50000,"评审",缺陷明细!$AB$2:$AB$50000,"&lt;&gt;丢弃",缺陷明细!$AB$2:$AB$50000,"&lt;&gt;设计如此",缺陷明细!$AB$2:$AB$50000,"&lt;&gt;重复Bug")</f>
        <v>0</v>
      </c>
      <c r="I17" s="154">
        <f>COUNTIFS(缺陷明细!$A$2:$A$50000,$B$4,缺陷明细!$G$2:$G$50000,$C17,缺陷明细!$Q$2:$Q$50000,"已关闭",缺陷明细!$J$2:$J$50000,"评审")</f>
        <v>0</v>
      </c>
      <c r="J17" s="154">
        <f>COUNTIFS(缺陷明细!$A$2:$A$50000,$B$4,缺陷明细!$G$2:$G$50000,$C17,缺陷明细!$J$2:$J$50000,"单元测试",缺陷明细!$AB$2:$AB$50000,"&lt;&gt;丢弃",缺陷明细!$AB$2:$AB$50000,"&lt;&gt;设计如此",缺陷明细!$AB$2:$AB$50000,"&lt;&gt;重复Bug")</f>
        <v>0</v>
      </c>
      <c r="K17" s="155">
        <f>COUNTIFS(缺陷明细!$A$2:$A$50000,$B$4,缺陷明细!$G$2:$G$50000,$C17,缺陷明细!$Q$2:$Q$50000,"已关闭",缺陷明细!$J$2:$J$50000,"单元测试")</f>
        <v>0</v>
      </c>
      <c r="L17" s="156"/>
      <c r="M17" s="157"/>
      <c r="N17" s="72">
        <f>COUNTIFS(缺陷明细!$A$2:$A$50000,$B$4,缺陷明细!$G$2:$G$50000,$C17,缺陷明细!$J$2:$J$50000,"系统测试案例评审",缺陷明细!$AB$2:$AB$50000,"&lt;&gt;丢弃",缺陷明细!$AB$2:$AB$50000,"&lt;&gt;设计如此",缺陷明细!$AB$2:$AB$50000,"&lt;&gt;重复Bug")</f>
        <v>0</v>
      </c>
      <c r="O17" s="72">
        <f>COUNTIFS(缺陷明细!$A$2:$A$50000,$B$4,缺陷明细!$G$2:$G$50000,$C17,缺陷明细!$Q$2:$Q$50000,"已关闭",缺陷明细!$J$2:$J$50000,"系统测试案例评审")</f>
        <v>0</v>
      </c>
      <c r="P17" s="72">
        <f>COUNTIFS(缺陷明细!$A$2:$A$50000,$B$4,缺陷明细!$G$2:$G$50000,$C17,缺陷明细!$J$2:$J$50000,"系统测试",缺陷明细!$AB$2:$AB$50000,"&lt;&gt;丢弃",缺陷明细!$AB$2:$AB$50000,"&lt;&gt;设计如此",缺陷明细!$AB$2:$AB$50000,"&lt;&gt;重复Bug")</f>
        <v>0</v>
      </c>
      <c r="Q17" s="72">
        <f>COUNTIFS(缺陷明细!$A$2:$A$50000,$B$4,缺陷明细!$G$2:$G$50000,$C17,缺陷明细!$Q$2:$Q$50000,"已关闭",缺陷明细!$J$2:$J$50000,"系统测试")</f>
        <v>0</v>
      </c>
      <c r="R17" s="296">
        <f>COUNTIFS(缺陷明细!$A$2:$A$50000,$B$4,缺陷明细!$G$2:$G$50000,$C17,缺陷明细!$AB$2:$AB$50000,"丢弃",缺陷明细!$J$2:$J$50000,"系统测试")+COUNTIFS(缺陷明细!$A$2:$A$50000,$B$4,缺陷明细!$G$2:$G$50000,$C17,缺陷明细!$AB$2:$AB$50000,"设计如此",缺陷明细!$J$2:$J$50000,"系统测试")+COUNTIFS(缺陷明细!$A$2:$A$50000,$B$4,缺陷明细!$G$2:$G$50000,$C17,缺陷明细!$AB$2:$AB$50000,"重复Bug",缺陷明细!$J$2:$J$50000,"系统测试")</f>
        <v>0</v>
      </c>
      <c r="S17" s="72">
        <f>COUNTIFS(缺陷明细!$A$2:$A$50000,$B$4,缺陷明细!$G$2:$G$50000,$C17,缺陷明细!$J$2:$J$50000,"系统测试",缺陷明细!$K$2:$K$50000,"致命",缺陷明细!$AB$2:$AB$50000,"&lt;&gt;丢弃",缺陷明细!$AB$2:$AB$50000,"&lt;&gt;设计如此",缺陷明细!$AB$2:$AB$50000,"&lt;&gt;重复Bug")+COUNTIFS(缺陷明细!$A$2:$A$50000,$B$4,缺陷明细!$G$2:$G$50000,$C17,缺陷明细!$J$2:$J$50000,"系统测试",缺陷明细!$K$2:$K$50000,"严重",缺陷明细!$AB$2:$AB$50000,"&lt;&gt;丢弃",缺陷明细!$AB$2:$AB$50000,"&lt;&gt;设计如此",缺陷明细!$AB$2:$AB$50000,"&lt;&gt;重复Bug")</f>
        <v>0</v>
      </c>
      <c r="T17" s="73">
        <f>COUNTIFS(缺陷明细!$A$2:$A$50000,$B$4,缺陷明细!$G$2:$G$50000,$C17,缺陷明细!$Q$2:$Q$50000,"已关闭",缺陷明细!$J$2:$J$50000,"系统测试",缺陷明细!$K$2:$K$50000,"致命")+COUNTIFS(缺陷明细!$A$2:$A$50000,$B$4,缺陷明细!$G$2:$G$50000,$C17,缺陷明细!$Q$2:$Q$50000,"已关闭",缺陷明细!$J$2:$J$50000,"系统测试",缺陷明细!$K$2:$K$50000,"严重")</f>
        <v>0</v>
      </c>
      <c r="U17" s="74">
        <f>COUNTIFS(缺陷明细!$A$2:$A$50000,$B$4,缺陷明细!$G$2:$G$50000,$C17,缺陷明细!$J$2:$J$50000,"验收测试",缺陷明细!$AB$2:$AB$50000,"&lt;&gt;丢弃",缺陷明细!$AB$2:$AB$50000,"&lt;&gt;设计如此",缺陷明细!$AB$2:$AB$50000,"&lt;&gt;重复Bug")</f>
        <v>0</v>
      </c>
      <c r="V17" s="75">
        <f>COUNTIFS(缺陷明细!$A$2:$A$50000,$B$4,缺陷明细!$G$2:$G$50000,$C17,缺陷明细!$Q$2:$Q$50000,"已关闭",缺陷明细!$J$2:$J$50000,"验收测试")</f>
        <v>0</v>
      </c>
      <c r="W17" s="75">
        <f>COUNTIFS(缺陷明细!$A$2:$A$50000,$B$4,缺陷明细!$G$2:$G$50000,$C17,缺陷明细!$J$2:$J$50000,"验收测试",缺陷明细!$K$2:$K$50000,"致命",缺陷明细!$AB$2:$AB$50000,"&lt;&gt;丢弃",缺陷明细!$AB$2:$AB$50000,"&lt;&gt;设计如此",缺陷明细!$AB$2:$AB$50000,"&lt;&gt;重复Bug")+COUNTIFS(缺陷明细!$A$2:$A$50000,$B$4,缺陷明细!$G$2:$G$50000,$C17,缺陷明细!$J$2:$J$50000,"验收测试",缺陷明细!$K$2:$K$50000,"严重",缺陷明细!$AB$2:$AB$50000,"&lt;&gt;丢弃",缺陷明细!$AB$2:$AB$50000,"&lt;&gt;设计如此",缺陷明细!$AB$2:$AB$50000,"&lt;&gt;重复Bug")</f>
        <v>0</v>
      </c>
      <c r="X17" s="76">
        <f>COUNTIFS(缺陷明细!$A$2:$A$50000,$B$4,缺陷明细!$G$2:$G$50000,$C17,缺陷明细!$Q$2:$Q$50000,"已关闭",缺陷明细!$J$2:$J$50000,"验收测试",缺陷明细!$K$2:$K$50000,"致命")+COUNTIFS(缺陷明细!$A$2:$A$50000,$B$4,缺陷明细!$G$2:$G$50000,$C17,缺陷明细!$Q$2:$Q$50000,"已关闭",缺陷明细!$J$2:$J$50000,"验收测试",缺陷明细!$K$2:$K$50000,"严重")</f>
        <v>0</v>
      </c>
      <c r="Y17" s="70">
        <f>COUNTIFS(缺陷明细!$A$2:$A$50000,$B$4,缺陷明细!$G$2:$G$50000,$C17,缺陷明细!$J$2:$J$50000,"运维测试",缺陷明细!$AB$2:$AB$50000,"&lt;&gt;丢弃",缺陷明细!$AB$2:$AB$50000,"&lt;&gt;设计如此",缺陷明细!$AB$2:$AB$50000,"&lt;&gt;重复Bug")</f>
        <v>0</v>
      </c>
      <c r="Z17" s="71">
        <f>COUNTIFS(缺陷明细!$A$2:$A$50000,$B$4,缺陷明细!$G$2:$G$50000,$C17,缺陷明细!$Q$2:$Q$50000,"已关闭",缺陷明细!$J$2:$J$50000,"运维测试")</f>
        <v>0</v>
      </c>
      <c r="AA17" s="72">
        <f>COUNTIFS(缺陷明细!$A$2:$A$50000,$B$4,缺陷明细!$G$2:$G$50000,$C17,缺陷明细!$J$2:$J$50000,"运维测试",缺陷明细!$K$2:$K$50000,"致命",缺陷明细!$AB$2:$AB$50000,"&lt;&gt;丢弃",缺陷明细!$AB$2:$AB$50000,"&lt;&gt;设计如此",缺陷明细!$AB$2:$AB$50000,"&lt;&gt;重复Bug")+COUNTIFS(缺陷明细!$A$2:$A$50000,$B$4,缺陷明细!$G$2:$G$50000,$C17,缺陷明细!$J$2:$J$50000,"运维测试",缺陷明细!$K$2:$K$50000,"严重",缺陷明细!$AB$2:$AB$50000,"&lt;&gt;丢弃",缺陷明细!$AB$2:$AB$50000,"&lt;&gt;设计如此",缺陷明细!$AB$2:$AB$50000,"&lt;&gt;重复Bug")</f>
        <v>0</v>
      </c>
      <c r="AB17" s="73">
        <f>COUNTIFS(缺陷明细!$A$2:$A$50000,$B$4,缺陷明细!$G$2:$G$50000,$C17,缺陷明细!$Q$2:$Q$50000,"已关闭",缺陷明细!$J$2:$J$50000,"运维测试",缺陷明细!$K$2:$K$50000,"致命")+COUNTIFS(缺陷明细!$A$2:$A$50000,$B$4,缺陷明细!$G$2:$G$50000,$C17,缺陷明细!$Q$2:$Q$50000,"已关闭",缺陷明细!$J$2:$J$50000,"运维测试",缺陷明细!$K$2:$K$50000,"严重")</f>
        <v>0</v>
      </c>
      <c r="AC17" s="68">
        <f t="shared" si="0"/>
        <v>0</v>
      </c>
      <c r="AD17" s="60">
        <f t="shared" si="0"/>
        <v>0</v>
      </c>
      <c r="AE17" s="60">
        <f t="shared" si="1"/>
        <v>0</v>
      </c>
      <c r="AF17" s="60">
        <f t="shared" si="1"/>
        <v>0</v>
      </c>
      <c r="AG17" s="60">
        <f t="shared" si="2"/>
        <v>0</v>
      </c>
      <c r="AH17" s="60">
        <f t="shared" si="2"/>
        <v>0</v>
      </c>
      <c r="AI17" s="60">
        <f t="shared" si="3"/>
        <v>0</v>
      </c>
      <c r="AJ17" s="61">
        <f t="shared" si="3"/>
        <v>0</v>
      </c>
      <c r="AK17" s="144"/>
    </row>
    <row r="18" spans="1:37">
      <c r="A18">
        <v>14</v>
      </c>
      <c r="B18" s="57"/>
      <c r="C18" s="58"/>
      <c r="D18" s="84"/>
      <c r="E18" s="82"/>
      <c r="F18" s="158"/>
      <c r="G18" s="159"/>
      <c r="H18" s="281">
        <f>COUNTIFS(缺陷明细!$A$2:$A$50000,$B$4,缺陷明细!$G$2:$G$50000,$C18,缺陷明细!$J$2:$J$50000,"评审",缺陷明细!$AB$2:$AB$50000,"&lt;&gt;丢弃",缺陷明细!$AB$2:$AB$50000,"&lt;&gt;设计如此",缺陷明细!$AB$2:$AB$50000,"&lt;&gt;重复Bug")</f>
        <v>0</v>
      </c>
      <c r="I18" s="154">
        <f>COUNTIFS(缺陷明细!$A$2:$A$50000,$B$4,缺陷明细!$G$2:$G$50000,$C18,缺陷明细!$Q$2:$Q$50000,"已关闭",缺陷明细!$J$2:$J$50000,"评审")</f>
        <v>0</v>
      </c>
      <c r="J18" s="154">
        <f>COUNTIFS(缺陷明细!$A$2:$A$50000,$B$4,缺陷明细!$G$2:$G$50000,$C18,缺陷明细!$J$2:$J$50000,"单元测试",缺陷明细!$AB$2:$AB$50000,"&lt;&gt;丢弃",缺陷明细!$AB$2:$AB$50000,"&lt;&gt;设计如此",缺陷明细!$AB$2:$AB$50000,"&lt;&gt;重复Bug")</f>
        <v>0</v>
      </c>
      <c r="K18" s="155">
        <f>COUNTIFS(缺陷明细!$A$2:$A$50000,$B$4,缺陷明细!$G$2:$G$50000,$C18,缺陷明细!$Q$2:$Q$50000,"已关闭",缺陷明细!$J$2:$J$50000,"单元测试")</f>
        <v>0</v>
      </c>
      <c r="L18" s="156"/>
      <c r="M18" s="157"/>
      <c r="N18" s="72">
        <f>COUNTIFS(缺陷明细!$A$2:$A$50000,$B$4,缺陷明细!$G$2:$G$50000,$C18,缺陷明细!$J$2:$J$50000,"系统测试案例评审",缺陷明细!$AB$2:$AB$50000,"&lt;&gt;丢弃",缺陷明细!$AB$2:$AB$50000,"&lt;&gt;设计如此",缺陷明细!$AB$2:$AB$50000,"&lt;&gt;重复Bug")</f>
        <v>0</v>
      </c>
      <c r="O18" s="72">
        <f>COUNTIFS(缺陷明细!$A$2:$A$50000,$B$4,缺陷明细!$G$2:$G$50000,$C18,缺陷明细!$Q$2:$Q$50000,"已关闭",缺陷明细!$J$2:$J$50000,"系统测试案例评审")</f>
        <v>0</v>
      </c>
      <c r="P18" s="72">
        <f>COUNTIFS(缺陷明细!$A$2:$A$50000,$B$4,缺陷明细!$G$2:$G$50000,$C18,缺陷明细!$J$2:$J$50000,"系统测试",缺陷明细!$AB$2:$AB$50000,"&lt;&gt;丢弃",缺陷明细!$AB$2:$AB$50000,"&lt;&gt;设计如此",缺陷明细!$AB$2:$AB$50000,"&lt;&gt;重复Bug")</f>
        <v>0</v>
      </c>
      <c r="Q18" s="72">
        <f>COUNTIFS(缺陷明细!$A$2:$A$50000,$B$4,缺陷明细!$G$2:$G$50000,$C18,缺陷明细!$Q$2:$Q$50000,"已关闭",缺陷明细!$J$2:$J$50000,"系统测试")</f>
        <v>0</v>
      </c>
      <c r="R18" s="296">
        <f>COUNTIFS(缺陷明细!$A$2:$A$50000,$B$4,缺陷明细!$G$2:$G$50000,$C18,缺陷明细!$AB$2:$AB$50000,"丢弃",缺陷明细!$J$2:$J$50000,"系统测试")+COUNTIFS(缺陷明细!$A$2:$A$50000,$B$4,缺陷明细!$G$2:$G$50000,$C18,缺陷明细!$AB$2:$AB$50000,"设计如此",缺陷明细!$J$2:$J$50000,"系统测试")+COUNTIFS(缺陷明细!$A$2:$A$50000,$B$4,缺陷明细!$G$2:$G$50000,$C18,缺陷明细!$AB$2:$AB$50000,"重复Bug",缺陷明细!$J$2:$J$50000,"系统测试")</f>
        <v>0</v>
      </c>
      <c r="S18" s="72">
        <f>COUNTIFS(缺陷明细!$A$2:$A$50000,$B$4,缺陷明细!$G$2:$G$50000,$C18,缺陷明细!$J$2:$J$50000,"系统测试",缺陷明细!$K$2:$K$50000,"致命",缺陷明细!$AB$2:$AB$50000,"&lt;&gt;丢弃",缺陷明细!$AB$2:$AB$50000,"&lt;&gt;设计如此",缺陷明细!$AB$2:$AB$50000,"&lt;&gt;重复Bug")+COUNTIFS(缺陷明细!$A$2:$A$50000,$B$4,缺陷明细!$G$2:$G$50000,$C18,缺陷明细!$J$2:$J$50000,"系统测试",缺陷明细!$K$2:$K$50000,"严重",缺陷明细!$AB$2:$AB$50000,"&lt;&gt;丢弃",缺陷明细!$AB$2:$AB$50000,"&lt;&gt;设计如此",缺陷明细!$AB$2:$AB$50000,"&lt;&gt;重复Bug")</f>
        <v>0</v>
      </c>
      <c r="T18" s="73">
        <f>COUNTIFS(缺陷明细!$A$2:$A$50000,$B$4,缺陷明细!$G$2:$G$50000,$C18,缺陷明细!$Q$2:$Q$50000,"已关闭",缺陷明细!$J$2:$J$50000,"系统测试",缺陷明细!$K$2:$K$50000,"致命")+COUNTIFS(缺陷明细!$A$2:$A$50000,$B$4,缺陷明细!$G$2:$G$50000,$C18,缺陷明细!$Q$2:$Q$50000,"已关闭",缺陷明细!$J$2:$J$50000,"系统测试",缺陷明细!$K$2:$K$50000,"严重")</f>
        <v>0</v>
      </c>
      <c r="U18" s="74">
        <f>COUNTIFS(缺陷明细!$A$2:$A$50000,$B$4,缺陷明细!$G$2:$G$50000,$C18,缺陷明细!$J$2:$J$50000,"验收测试",缺陷明细!$AB$2:$AB$50000,"&lt;&gt;丢弃",缺陷明细!$AB$2:$AB$50000,"&lt;&gt;设计如此",缺陷明细!$AB$2:$AB$50000,"&lt;&gt;重复Bug")</f>
        <v>0</v>
      </c>
      <c r="V18" s="75">
        <f>COUNTIFS(缺陷明细!$A$2:$A$50000,$B$4,缺陷明细!$G$2:$G$50000,$C18,缺陷明细!$Q$2:$Q$50000,"已关闭",缺陷明细!$J$2:$J$50000,"验收测试")</f>
        <v>0</v>
      </c>
      <c r="W18" s="75">
        <f>COUNTIFS(缺陷明细!$A$2:$A$50000,$B$4,缺陷明细!$G$2:$G$50000,$C18,缺陷明细!$J$2:$J$50000,"验收测试",缺陷明细!$K$2:$K$50000,"致命",缺陷明细!$AB$2:$AB$50000,"&lt;&gt;丢弃",缺陷明细!$AB$2:$AB$50000,"&lt;&gt;设计如此",缺陷明细!$AB$2:$AB$50000,"&lt;&gt;重复Bug")+COUNTIFS(缺陷明细!$A$2:$A$50000,$B$4,缺陷明细!$G$2:$G$50000,$C18,缺陷明细!$J$2:$J$50000,"验收测试",缺陷明细!$K$2:$K$50000,"严重",缺陷明细!$AB$2:$AB$50000,"&lt;&gt;丢弃",缺陷明细!$AB$2:$AB$50000,"&lt;&gt;设计如此",缺陷明细!$AB$2:$AB$50000,"&lt;&gt;重复Bug")</f>
        <v>0</v>
      </c>
      <c r="X18" s="76">
        <f>COUNTIFS(缺陷明细!$A$2:$A$50000,$B$4,缺陷明细!$G$2:$G$50000,$C18,缺陷明细!$Q$2:$Q$50000,"已关闭",缺陷明细!$J$2:$J$50000,"验收测试",缺陷明细!$K$2:$K$50000,"致命")+COUNTIFS(缺陷明细!$A$2:$A$50000,$B$4,缺陷明细!$G$2:$G$50000,$C18,缺陷明细!$Q$2:$Q$50000,"已关闭",缺陷明细!$J$2:$J$50000,"验收测试",缺陷明细!$K$2:$K$50000,"严重")</f>
        <v>0</v>
      </c>
      <c r="Y18" s="70">
        <f>COUNTIFS(缺陷明细!$A$2:$A$50000,$B$4,缺陷明细!$G$2:$G$50000,$C18,缺陷明细!$J$2:$J$50000,"运维测试",缺陷明细!$AB$2:$AB$50000,"&lt;&gt;丢弃",缺陷明细!$AB$2:$AB$50000,"&lt;&gt;设计如此",缺陷明细!$AB$2:$AB$50000,"&lt;&gt;重复Bug")</f>
        <v>0</v>
      </c>
      <c r="Z18" s="71">
        <f>COUNTIFS(缺陷明细!$A$2:$A$50000,$B$4,缺陷明细!$G$2:$G$50000,$C18,缺陷明细!$Q$2:$Q$50000,"已关闭",缺陷明细!$J$2:$J$50000,"运维测试")</f>
        <v>0</v>
      </c>
      <c r="AA18" s="72">
        <f>COUNTIFS(缺陷明细!$A$2:$A$50000,$B$4,缺陷明细!$G$2:$G$50000,$C18,缺陷明细!$J$2:$J$50000,"运维测试",缺陷明细!$K$2:$K$50000,"致命",缺陷明细!$AB$2:$AB$50000,"&lt;&gt;丢弃",缺陷明细!$AB$2:$AB$50000,"&lt;&gt;设计如此",缺陷明细!$AB$2:$AB$50000,"&lt;&gt;重复Bug")+COUNTIFS(缺陷明细!$A$2:$A$50000,$B$4,缺陷明细!$G$2:$G$50000,$C18,缺陷明细!$J$2:$J$50000,"运维测试",缺陷明细!$K$2:$K$50000,"严重",缺陷明细!$AB$2:$AB$50000,"&lt;&gt;丢弃",缺陷明细!$AB$2:$AB$50000,"&lt;&gt;设计如此",缺陷明细!$AB$2:$AB$50000,"&lt;&gt;重复Bug")</f>
        <v>0</v>
      </c>
      <c r="AB18" s="73">
        <f>COUNTIFS(缺陷明细!$A$2:$A$50000,$B$4,缺陷明细!$G$2:$G$50000,$C18,缺陷明细!$Q$2:$Q$50000,"已关闭",缺陷明细!$J$2:$J$50000,"运维测试",缺陷明细!$K$2:$K$50000,"致命")+COUNTIFS(缺陷明细!$A$2:$A$50000,$B$4,缺陷明细!$G$2:$G$50000,$C18,缺陷明细!$Q$2:$Q$50000,"已关闭",缺陷明细!$J$2:$J$50000,"运维测试",缺陷明细!$K$2:$K$50000,"严重")</f>
        <v>0</v>
      </c>
      <c r="AC18" s="68">
        <f t="shared" si="0"/>
        <v>0</v>
      </c>
      <c r="AD18" s="60">
        <f t="shared" si="0"/>
        <v>0</v>
      </c>
      <c r="AE18" s="60">
        <f t="shared" si="1"/>
        <v>0</v>
      </c>
      <c r="AF18" s="60">
        <f t="shared" si="1"/>
        <v>0</v>
      </c>
      <c r="AG18" s="60">
        <f t="shared" si="2"/>
        <v>0</v>
      </c>
      <c r="AH18" s="60">
        <f t="shared" si="2"/>
        <v>0</v>
      </c>
      <c r="AI18" s="60">
        <f t="shared" si="3"/>
        <v>0</v>
      </c>
      <c r="AJ18" s="61">
        <f t="shared" si="3"/>
        <v>0</v>
      </c>
      <c r="AK18" s="144"/>
    </row>
    <row r="19" spans="1:37">
      <c r="A19">
        <v>15</v>
      </c>
      <c r="B19" s="57"/>
      <c r="C19" s="58"/>
      <c r="D19" s="84"/>
      <c r="E19" s="82"/>
      <c r="F19" s="158"/>
      <c r="G19" s="159"/>
      <c r="H19" s="281">
        <f>COUNTIFS(缺陷明细!$A$2:$A$50000,$B$4,缺陷明细!$G$2:$G$50000,$C19,缺陷明细!$J$2:$J$50000,"评审",缺陷明细!$AB$2:$AB$50000,"&lt;&gt;丢弃",缺陷明细!$AB$2:$AB$50000,"&lt;&gt;设计如此",缺陷明细!$AB$2:$AB$50000,"&lt;&gt;重复Bug")</f>
        <v>0</v>
      </c>
      <c r="I19" s="154">
        <f>COUNTIFS(缺陷明细!$A$2:$A$50000,$B$4,缺陷明细!$G$2:$G$50000,$C19,缺陷明细!$Q$2:$Q$50000,"已关闭",缺陷明细!$J$2:$J$50000,"评审")</f>
        <v>0</v>
      </c>
      <c r="J19" s="154">
        <f>COUNTIFS(缺陷明细!$A$2:$A$50000,$B$4,缺陷明细!$G$2:$G$50000,$C19,缺陷明细!$J$2:$J$50000,"单元测试",缺陷明细!$AB$2:$AB$50000,"&lt;&gt;丢弃",缺陷明细!$AB$2:$AB$50000,"&lt;&gt;设计如此",缺陷明细!$AB$2:$AB$50000,"&lt;&gt;重复Bug")</f>
        <v>0</v>
      </c>
      <c r="K19" s="155">
        <f>COUNTIFS(缺陷明细!$A$2:$A$50000,$B$4,缺陷明细!$G$2:$G$50000,$C19,缺陷明细!$Q$2:$Q$50000,"已关闭",缺陷明细!$J$2:$J$50000,"单元测试")</f>
        <v>0</v>
      </c>
      <c r="L19" s="156"/>
      <c r="M19" s="157"/>
      <c r="N19" s="72">
        <f>COUNTIFS(缺陷明细!$A$2:$A$50000,$B$4,缺陷明细!$G$2:$G$50000,$C19,缺陷明细!$J$2:$J$50000,"系统测试案例评审",缺陷明细!$AB$2:$AB$50000,"&lt;&gt;丢弃",缺陷明细!$AB$2:$AB$50000,"&lt;&gt;设计如此",缺陷明细!$AB$2:$AB$50000,"&lt;&gt;重复Bug")</f>
        <v>0</v>
      </c>
      <c r="O19" s="72">
        <f>COUNTIFS(缺陷明细!$A$2:$A$50000,$B$4,缺陷明细!$G$2:$G$50000,$C19,缺陷明细!$Q$2:$Q$50000,"已关闭",缺陷明细!$J$2:$J$50000,"系统测试案例评审")</f>
        <v>0</v>
      </c>
      <c r="P19" s="72">
        <f>COUNTIFS(缺陷明细!$A$2:$A$50000,$B$4,缺陷明细!$G$2:$G$50000,$C19,缺陷明细!$J$2:$J$50000,"系统测试",缺陷明细!$AB$2:$AB$50000,"&lt;&gt;丢弃",缺陷明细!$AB$2:$AB$50000,"&lt;&gt;设计如此",缺陷明细!$AB$2:$AB$50000,"&lt;&gt;重复Bug")</f>
        <v>0</v>
      </c>
      <c r="Q19" s="72">
        <f>COUNTIFS(缺陷明细!$A$2:$A$50000,$B$4,缺陷明细!$G$2:$G$50000,$C19,缺陷明细!$Q$2:$Q$50000,"已关闭",缺陷明细!$J$2:$J$50000,"系统测试")</f>
        <v>0</v>
      </c>
      <c r="R19" s="296">
        <f>COUNTIFS(缺陷明细!$A$2:$A$50000,$B$4,缺陷明细!$G$2:$G$50000,$C19,缺陷明细!$AB$2:$AB$50000,"丢弃",缺陷明细!$J$2:$J$50000,"系统测试")+COUNTIFS(缺陷明细!$A$2:$A$50000,$B$4,缺陷明细!$G$2:$G$50000,$C19,缺陷明细!$AB$2:$AB$50000,"设计如此",缺陷明细!$J$2:$J$50000,"系统测试")+COUNTIFS(缺陷明细!$A$2:$A$50000,$B$4,缺陷明细!$G$2:$G$50000,$C19,缺陷明细!$AB$2:$AB$50000,"重复Bug",缺陷明细!$J$2:$J$50000,"系统测试")</f>
        <v>0</v>
      </c>
      <c r="S19" s="72">
        <f>COUNTIFS(缺陷明细!$A$2:$A$50000,$B$4,缺陷明细!$G$2:$G$50000,$C19,缺陷明细!$J$2:$J$50000,"系统测试",缺陷明细!$K$2:$K$50000,"致命",缺陷明细!$AB$2:$AB$50000,"&lt;&gt;丢弃",缺陷明细!$AB$2:$AB$50000,"&lt;&gt;设计如此",缺陷明细!$AB$2:$AB$50000,"&lt;&gt;重复Bug")+COUNTIFS(缺陷明细!$A$2:$A$50000,$B$4,缺陷明细!$G$2:$G$50000,$C19,缺陷明细!$J$2:$J$50000,"系统测试",缺陷明细!$K$2:$K$50000,"严重",缺陷明细!$AB$2:$AB$50000,"&lt;&gt;丢弃",缺陷明细!$AB$2:$AB$50000,"&lt;&gt;设计如此",缺陷明细!$AB$2:$AB$50000,"&lt;&gt;重复Bug")</f>
        <v>0</v>
      </c>
      <c r="T19" s="73">
        <f>COUNTIFS(缺陷明细!$A$2:$A$50000,$B$4,缺陷明细!$G$2:$G$50000,$C19,缺陷明细!$Q$2:$Q$50000,"已关闭",缺陷明细!$J$2:$J$50000,"系统测试",缺陷明细!$K$2:$K$50000,"致命")+COUNTIFS(缺陷明细!$A$2:$A$50000,$B$4,缺陷明细!$G$2:$G$50000,$C19,缺陷明细!$Q$2:$Q$50000,"已关闭",缺陷明细!$J$2:$J$50000,"系统测试",缺陷明细!$K$2:$K$50000,"严重")</f>
        <v>0</v>
      </c>
      <c r="U19" s="74">
        <f>COUNTIFS(缺陷明细!$A$2:$A$50000,$B$4,缺陷明细!$G$2:$G$50000,$C19,缺陷明细!$J$2:$J$50000,"验收测试",缺陷明细!$AB$2:$AB$50000,"&lt;&gt;丢弃",缺陷明细!$AB$2:$AB$50000,"&lt;&gt;设计如此",缺陷明细!$AB$2:$AB$50000,"&lt;&gt;重复Bug")</f>
        <v>0</v>
      </c>
      <c r="V19" s="75">
        <f>COUNTIFS(缺陷明细!$A$2:$A$50000,$B$4,缺陷明细!$G$2:$G$50000,$C19,缺陷明细!$Q$2:$Q$50000,"已关闭",缺陷明细!$J$2:$J$50000,"验收测试")</f>
        <v>0</v>
      </c>
      <c r="W19" s="75">
        <f>COUNTIFS(缺陷明细!$A$2:$A$50000,$B$4,缺陷明细!$G$2:$G$50000,$C19,缺陷明细!$J$2:$J$50000,"验收测试",缺陷明细!$K$2:$K$50000,"致命",缺陷明细!$AB$2:$AB$50000,"&lt;&gt;丢弃",缺陷明细!$AB$2:$AB$50000,"&lt;&gt;设计如此",缺陷明细!$AB$2:$AB$50000,"&lt;&gt;重复Bug")+COUNTIFS(缺陷明细!$A$2:$A$50000,$B$4,缺陷明细!$G$2:$G$50000,$C19,缺陷明细!$J$2:$J$50000,"验收测试",缺陷明细!$K$2:$K$50000,"严重",缺陷明细!$AB$2:$AB$50000,"&lt;&gt;丢弃",缺陷明细!$AB$2:$AB$50000,"&lt;&gt;设计如此",缺陷明细!$AB$2:$AB$50000,"&lt;&gt;重复Bug")</f>
        <v>0</v>
      </c>
      <c r="X19" s="76">
        <f>COUNTIFS(缺陷明细!$A$2:$A$50000,$B$4,缺陷明细!$G$2:$G$50000,$C19,缺陷明细!$Q$2:$Q$50000,"已关闭",缺陷明细!$J$2:$J$50000,"验收测试",缺陷明细!$K$2:$K$50000,"致命")+COUNTIFS(缺陷明细!$A$2:$A$50000,$B$4,缺陷明细!$G$2:$G$50000,$C19,缺陷明细!$Q$2:$Q$50000,"已关闭",缺陷明细!$J$2:$J$50000,"验收测试",缺陷明细!$K$2:$K$50000,"严重")</f>
        <v>0</v>
      </c>
      <c r="Y19" s="70">
        <f>COUNTIFS(缺陷明细!$A$2:$A$50000,$B$4,缺陷明细!$G$2:$G$50000,$C19,缺陷明细!$J$2:$J$50000,"运维测试",缺陷明细!$AB$2:$AB$50000,"&lt;&gt;丢弃",缺陷明细!$AB$2:$AB$50000,"&lt;&gt;设计如此",缺陷明细!$AB$2:$AB$50000,"&lt;&gt;重复Bug")</f>
        <v>0</v>
      </c>
      <c r="Z19" s="71">
        <f>COUNTIFS(缺陷明细!$A$2:$A$50000,$B$4,缺陷明细!$G$2:$G$50000,$C19,缺陷明细!$Q$2:$Q$50000,"已关闭",缺陷明细!$J$2:$J$50000,"运维测试")</f>
        <v>0</v>
      </c>
      <c r="AA19" s="72">
        <f>COUNTIFS(缺陷明细!$A$2:$A$50000,$B$4,缺陷明细!$G$2:$G$50000,$C19,缺陷明细!$J$2:$J$50000,"运维测试",缺陷明细!$K$2:$K$50000,"致命",缺陷明细!$AB$2:$AB$50000,"&lt;&gt;丢弃",缺陷明细!$AB$2:$AB$50000,"&lt;&gt;设计如此",缺陷明细!$AB$2:$AB$50000,"&lt;&gt;重复Bug")+COUNTIFS(缺陷明细!$A$2:$A$50000,$B$4,缺陷明细!$G$2:$G$50000,$C19,缺陷明细!$J$2:$J$50000,"运维测试",缺陷明细!$K$2:$K$50000,"严重",缺陷明细!$AB$2:$AB$50000,"&lt;&gt;丢弃",缺陷明细!$AB$2:$AB$50000,"&lt;&gt;设计如此",缺陷明细!$AB$2:$AB$50000,"&lt;&gt;重复Bug")</f>
        <v>0</v>
      </c>
      <c r="AB19" s="73">
        <f>COUNTIFS(缺陷明细!$A$2:$A$50000,$B$4,缺陷明细!$G$2:$G$50000,$C19,缺陷明细!$Q$2:$Q$50000,"已关闭",缺陷明细!$J$2:$J$50000,"运维测试",缺陷明细!$K$2:$K$50000,"致命")+COUNTIFS(缺陷明细!$A$2:$A$50000,$B$4,缺陷明细!$G$2:$G$50000,$C19,缺陷明细!$Q$2:$Q$50000,"已关闭",缺陷明细!$J$2:$J$50000,"运维测试",缺陷明细!$K$2:$K$50000,"严重")</f>
        <v>0</v>
      </c>
      <c r="AC19" s="68">
        <f t="shared" si="0"/>
        <v>0</v>
      </c>
      <c r="AD19" s="60">
        <f t="shared" si="0"/>
        <v>0</v>
      </c>
      <c r="AE19" s="60">
        <f t="shared" si="1"/>
        <v>0</v>
      </c>
      <c r="AF19" s="60">
        <f t="shared" si="1"/>
        <v>0</v>
      </c>
      <c r="AG19" s="60">
        <f t="shared" si="2"/>
        <v>0</v>
      </c>
      <c r="AH19" s="60">
        <f t="shared" si="2"/>
        <v>0</v>
      </c>
      <c r="AI19" s="60">
        <f t="shared" si="3"/>
        <v>0</v>
      </c>
      <c r="AJ19" s="61">
        <f t="shared" si="3"/>
        <v>0</v>
      </c>
      <c r="AK19" s="144"/>
    </row>
    <row r="20" spans="1:37">
      <c r="A20">
        <v>16</v>
      </c>
      <c r="B20" s="57"/>
      <c r="C20" s="58"/>
      <c r="D20" s="84"/>
      <c r="E20" s="82"/>
      <c r="F20" s="158"/>
      <c r="G20" s="159"/>
      <c r="H20" s="281">
        <f>COUNTIFS(缺陷明细!$A$2:$A$50000,$B$4,缺陷明细!$G$2:$G$50000,$C20,缺陷明细!$J$2:$J$50000,"评审",缺陷明细!$AB$2:$AB$50000,"&lt;&gt;丢弃",缺陷明细!$AB$2:$AB$50000,"&lt;&gt;设计如此",缺陷明细!$AB$2:$AB$50000,"&lt;&gt;重复Bug")</f>
        <v>0</v>
      </c>
      <c r="I20" s="154">
        <f>COUNTIFS(缺陷明细!$A$2:$A$50000,$B$4,缺陷明细!$G$2:$G$50000,$C20,缺陷明细!$Q$2:$Q$50000,"已关闭",缺陷明细!$J$2:$J$50000,"评审")</f>
        <v>0</v>
      </c>
      <c r="J20" s="154">
        <f>COUNTIFS(缺陷明细!$A$2:$A$50000,$B$4,缺陷明细!$G$2:$G$50000,$C20,缺陷明细!$J$2:$J$50000,"单元测试",缺陷明细!$AB$2:$AB$50000,"&lt;&gt;丢弃",缺陷明细!$AB$2:$AB$50000,"&lt;&gt;设计如此",缺陷明细!$AB$2:$AB$50000,"&lt;&gt;重复Bug")</f>
        <v>0</v>
      </c>
      <c r="K20" s="155">
        <f>COUNTIFS(缺陷明细!$A$2:$A$50000,$B$4,缺陷明细!$G$2:$G$50000,$C20,缺陷明细!$Q$2:$Q$50000,"已关闭",缺陷明细!$J$2:$J$50000,"单元测试")</f>
        <v>0</v>
      </c>
      <c r="L20" s="156"/>
      <c r="M20" s="157"/>
      <c r="N20" s="72">
        <f>COUNTIFS(缺陷明细!$A$2:$A$50000,$B$4,缺陷明细!$G$2:$G$50000,$C20,缺陷明细!$J$2:$J$50000,"系统测试案例评审",缺陷明细!$AB$2:$AB$50000,"&lt;&gt;丢弃",缺陷明细!$AB$2:$AB$50000,"&lt;&gt;设计如此",缺陷明细!$AB$2:$AB$50000,"&lt;&gt;重复Bug")</f>
        <v>0</v>
      </c>
      <c r="O20" s="72">
        <f>COUNTIFS(缺陷明细!$A$2:$A$50000,$B$4,缺陷明细!$G$2:$G$50000,$C20,缺陷明细!$Q$2:$Q$50000,"已关闭",缺陷明细!$J$2:$J$50000,"系统测试案例评审")</f>
        <v>0</v>
      </c>
      <c r="P20" s="72">
        <f>COUNTIFS(缺陷明细!$A$2:$A$50000,$B$4,缺陷明细!$G$2:$G$50000,$C20,缺陷明细!$J$2:$J$50000,"系统测试",缺陷明细!$AB$2:$AB$50000,"&lt;&gt;丢弃",缺陷明细!$AB$2:$AB$50000,"&lt;&gt;设计如此",缺陷明细!$AB$2:$AB$50000,"&lt;&gt;重复Bug")</f>
        <v>0</v>
      </c>
      <c r="Q20" s="72">
        <f>COUNTIFS(缺陷明细!$A$2:$A$50000,$B$4,缺陷明细!$G$2:$G$50000,$C20,缺陷明细!$Q$2:$Q$50000,"已关闭",缺陷明细!$J$2:$J$50000,"系统测试")</f>
        <v>0</v>
      </c>
      <c r="R20" s="296">
        <f>COUNTIFS(缺陷明细!$A$2:$A$50000,$B$4,缺陷明细!$G$2:$G$50000,$C20,缺陷明细!$AB$2:$AB$50000,"丢弃",缺陷明细!$J$2:$J$50000,"系统测试")+COUNTIFS(缺陷明细!$A$2:$A$50000,$B$4,缺陷明细!$G$2:$G$50000,$C20,缺陷明细!$AB$2:$AB$50000,"设计如此",缺陷明细!$J$2:$J$50000,"系统测试")+COUNTIFS(缺陷明细!$A$2:$A$50000,$B$4,缺陷明细!$G$2:$G$50000,$C20,缺陷明细!$AB$2:$AB$50000,"重复Bug",缺陷明细!$J$2:$J$50000,"系统测试")</f>
        <v>0</v>
      </c>
      <c r="S20" s="72">
        <f>COUNTIFS(缺陷明细!$A$2:$A$50000,$B$4,缺陷明细!$G$2:$G$50000,$C20,缺陷明细!$J$2:$J$50000,"系统测试",缺陷明细!$K$2:$K$50000,"致命",缺陷明细!$AB$2:$AB$50000,"&lt;&gt;丢弃",缺陷明细!$AB$2:$AB$50000,"&lt;&gt;设计如此",缺陷明细!$AB$2:$AB$50000,"&lt;&gt;重复Bug")+COUNTIFS(缺陷明细!$A$2:$A$50000,$B$4,缺陷明细!$G$2:$G$50000,$C20,缺陷明细!$J$2:$J$50000,"系统测试",缺陷明细!$K$2:$K$50000,"严重",缺陷明细!$AB$2:$AB$50000,"&lt;&gt;丢弃",缺陷明细!$AB$2:$AB$50000,"&lt;&gt;设计如此",缺陷明细!$AB$2:$AB$50000,"&lt;&gt;重复Bug")</f>
        <v>0</v>
      </c>
      <c r="T20" s="73">
        <f>COUNTIFS(缺陷明细!$A$2:$A$50000,$B$4,缺陷明细!$G$2:$G$50000,$C20,缺陷明细!$Q$2:$Q$50000,"已关闭",缺陷明细!$J$2:$J$50000,"系统测试",缺陷明细!$K$2:$K$50000,"致命")+COUNTIFS(缺陷明细!$A$2:$A$50000,$B$4,缺陷明细!$G$2:$G$50000,$C20,缺陷明细!$Q$2:$Q$50000,"已关闭",缺陷明细!$J$2:$J$50000,"系统测试",缺陷明细!$K$2:$K$50000,"严重")</f>
        <v>0</v>
      </c>
      <c r="U20" s="74">
        <f>COUNTIFS(缺陷明细!$A$2:$A$50000,$B$4,缺陷明细!$G$2:$G$50000,$C20,缺陷明细!$J$2:$J$50000,"验收测试",缺陷明细!$AB$2:$AB$50000,"&lt;&gt;丢弃",缺陷明细!$AB$2:$AB$50000,"&lt;&gt;设计如此",缺陷明细!$AB$2:$AB$50000,"&lt;&gt;重复Bug")</f>
        <v>0</v>
      </c>
      <c r="V20" s="75">
        <f>COUNTIFS(缺陷明细!$A$2:$A$50000,$B$4,缺陷明细!$G$2:$G$50000,$C20,缺陷明细!$Q$2:$Q$50000,"已关闭",缺陷明细!$J$2:$J$50000,"验收测试")</f>
        <v>0</v>
      </c>
      <c r="W20" s="75">
        <f>COUNTIFS(缺陷明细!$A$2:$A$50000,$B$4,缺陷明细!$G$2:$G$50000,$C20,缺陷明细!$J$2:$J$50000,"验收测试",缺陷明细!$K$2:$K$50000,"致命",缺陷明细!$AB$2:$AB$50000,"&lt;&gt;丢弃",缺陷明细!$AB$2:$AB$50000,"&lt;&gt;设计如此",缺陷明细!$AB$2:$AB$50000,"&lt;&gt;重复Bug")+COUNTIFS(缺陷明细!$A$2:$A$50000,$B$4,缺陷明细!$G$2:$G$50000,$C20,缺陷明细!$J$2:$J$50000,"验收测试",缺陷明细!$K$2:$K$50000,"严重",缺陷明细!$AB$2:$AB$50000,"&lt;&gt;丢弃",缺陷明细!$AB$2:$AB$50000,"&lt;&gt;设计如此",缺陷明细!$AB$2:$AB$50000,"&lt;&gt;重复Bug")</f>
        <v>0</v>
      </c>
      <c r="X20" s="76">
        <f>COUNTIFS(缺陷明细!$A$2:$A$50000,$B$4,缺陷明细!$G$2:$G$50000,$C20,缺陷明细!$Q$2:$Q$50000,"已关闭",缺陷明细!$J$2:$J$50000,"验收测试",缺陷明细!$K$2:$K$50000,"致命")+COUNTIFS(缺陷明细!$A$2:$A$50000,$B$4,缺陷明细!$G$2:$G$50000,$C20,缺陷明细!$Q$2:$Q$50000,"已关闭",缺陷明细!$J$2:$J$50000,"验收测试",缺陷明细!$K$2:$K$50000,"严重")</f>
        <v>0</v>
      </c>
      <c r="Y20" s="70">
        <f>COUNTIFS(缺陷明细!$A$2:$A$50000,$B$4,缺陷明细!$G$2:$G$50000,$C20,缺陷明细!$J$2:$J$50000,"运维测试",缺陷明细!$AB$2:$AB$50000,"&lt;&gt;丢弃",缺陷明细!$AB$2:$AB$50000,"&lt;&gt;设计如此",缺陷明细!$AB$2:$AB$50000,"&lt;&gt;重复Bug")</f>
        <v>0</v>
      </c>
      <c r="Z20" s="71">
        <f>COUNTIFS(缺陷明细!$A$2:$A$50000,$B$4,缺陷明细!$G$2:$G$50000,$C20,缺陷明细!$Q$2:$Q$50000,"已关闭",缺陷明细!$J$2:$J$50000,"运维测试")</f>
        <v>0</v>
      </c>
      <c r="AA20" s="72">
        <f>COUNTIFS(缺陷明细!$A$2:$A$50000,$B$4,缺陷明细!$G$2:$G$50000,$C20,缺陷明细!$J$2:$J$50000,"运维测试",缺陷明细!$K$2:$K$50000,"致命",缺陷明细!$AB$2:$AB$50000,"&lt;&gt;丢弃",缺陷明细!$AB$2:$AB$50000,"&lt;&gt;设计如此",缺陷明细!$AB$2:$AB$50000,"&lt;&gt;重复Bug")+COUNTIFS(缺陷明细!$A$2:$A$50000,$B$4,缺陷明细!$G$2:$G$50000,$C20,缺陷明细!$J$2:$J$50000,"运维测试",缺陷明细!$K$2:$K$50000,"严重",缺陷明细!$AB$2:$AB$50000,"&lt;&gt;丢弃",缺陷明细!$AB$2:$AB$50000,"&lt;&gt;设计如此",缺陷明细!$AB$2:$AB$50000,"&lt;&gt;重复Bug")</f>
        <v>0</v>
      </c>
      <c r="AB20" s="73">
        <f>COUNTIFS(缺陷明细!$A$2:$A$50000,$B$4,缺陷明细!$G$2:$G$50000,$C20,缺陷明细!$Q$2:$Q$50000,"已关闭",缺陷明细!$J$2:$J$50000,"运维测试",缺陷明细!$K$2:$K$50000,"致命")+COUNTIFS(缺陷明细!$A$2:$A$50000,$B$4,缺陷明细!$G$2:$G$50000,$C20,缺陷明细!$Q$2:$Q$50000,"已关闭",缺陷明细!$J$2:$J$50000,"运维测试",缺陷明细!$K$2:$K$50000,"严重")</f>
        <v>0</v>
      </c>
      <c r="AC20" s="68">
        <f t="shared" si="0"/>
        <v>0</v>
      </c>
      <c r="AD20" s="60">
        <f t="shared" si="0"/>
        <v>0</v>
      </c>
      <c r="AE20" s="60">
        <f t="shared" si="1"/>
        <v>0</v>
      </c>
      <c r="AF20" s="60">
        <f t="shared" si="1"/>
        <v>0</v>
      </c>
      <c r="AG20" s="60">
        <f t="shared" si="2"/>
        <v>0</v>
      </c>
      <c r="AH20" s="60">
        <f t="shared" si="2"/>
        <v>0</v>
      </c>
      <c r="AI20" s="60">
        <f t="shared" si="3"/>
        <v>0</v>
      </c>
      <c r="AJ20" s="61">
        <f t="shared" si="3"/>
        <v>0</v>
      </c>
      <c r="AK20" s="144"/>
    </row>
    <row r="21" spans="1:37">
      <c r="A21">
        <v>17</v>
      </c>
      <c r="B21" s="57"/>
      <c r="C21" s="58"/>
      <c r="D21" s="84"/>
      <c r="E21" s="82"/>
      <c r="F21" s="158"/>
      <c r="G21" s="159"/>
      <c r="H21" s="281">
        <f>COUNTIFS(缺陷明细!$A$2:$A$50000,$B$4,缺陷明细!$G$2:$G$50000,$C21,缺陷明细!$J$2:$J$50000,"评审",缺陷明细!$AB$2:$AB$50000,"&lt;&gt;丢弃",缺陷明细!$AB$2:$AB$50000,"&lt;&gt;设计如此",缺陷明细!$AB$2:$AB$50000,"&lt;&gt;重复Bug")</f>
        <v>0</v>
      </c>
      <c r="I21" s="154">
        <f>COUNTIFS(缺陷明细!$A$2:$A$50000,$B$4,缺陷明细!$G$2:$G$50000,$C21,缺陷明细!$Q$2:$Q$50000,"已关闭",缺陷明细!$J$2:$J$50000,"评审")</f>
        <v>0</v>
      </c>
      <c r="J21" s="154">
        <f>COUNTIFS(缺陷明细!$A$2:$A$50000,$B$4,缺陷明细!$G$2:$G$50000,$C21,缺陷明细!$J$2:$J$50000,"单元测试",缺陷明细!$AB$2:$AB$50000,"&lt;&gt;丢弃",缺陷明细!$AB$2:$AB$50000,"&lt;&gt;设计如此",缺陷明细!$AB$2:$AB$50000,"&lt;&gt;重复Bug")</f>
        <v>0</v>
      </c>
      <c r="K21" s="155">
        <f>COUNTIFS(缺陷明细!$A$2:$A$50000,$B$4,缺陷明细!$G$2:$G$50000,$C21,缺陷明细!$Q$2:$Q$50000,"已关闭",缺陷明细!$J$2:$J$50000,"单元测试")</f>
        <v>0</v>
      </c>
      <c r="L21" s="156"/>
      <c r="M21" s="157"/>
      <c r="N21" s="72">
        <f>COUNTIFS(缺陷明细!$A$2:$A$50000,$B$4,缺陷明细!$G$2:$G$50000,$C21,缺陷明细!$J$2:$J$50000,"系统测试案例评审",缺陷明细!$AB$2:$AB$50000,"&lt;&gt;丢弃",缺陷明细!$AB$2:$AB$50000,"&lt;&gt;设计如此",缺陷明细!$AB$2:$AB$50000,"&lt;&gt;重复Bug")</f>
        <v>0</v>
      </c>
      <c r="O21" s="72">
        <f>COUNTIFS(缺陷明细!$A$2:$A$50000,$B$4,缺陷明细!$G$2:$G$50000,$C21,缺陷明细!$Q$2:$Q$50000,"已关闭",缺陷明细!$J$2:$J$50000,"系统测试案例评审")</f>
        <v>0</v>
      </c>
      <c r="P21" s="72">
        <f>COUNTIFS(缺陷明细!$A$2:$A$50000,$B$4,缺陷明细!$G$2:$G$50000,$C21,缺陷明细!$J$2:$J$50000,"系统测试",缺陷明细!$AB$2:$AB$50000,"&lt;&gt;丢弃",缺陷明细!$AB$2:$AB$50000,"&lt;&gt;设计如此",缺陷明细!$AB$2:$AB$50000,"&lt;&gt;重复Bug")</f>
        <v>0</v>
      </c>
      <c r="Q21" s="72">
        <f>COUNTIFS(缺陷明细!$A$2:$A$50000,$B$4,缺陷明细!$G$2:$G$50000,$C21,缺陷明细!$Q$2:$Q$50000,"已关闭",缺陷明细!$J$2:$J$50000,"系统测试")</f>
        <v>0</v>
      </c>
      <c r="R21" s="296">
        <f>COUNTIFS(缺陷明细!$A$2:$A$50000,$B$4,缺陷明细!$G$2:$G$50000,$C21,缺陷明细!$AB$2:$AB$50000,"丢弃",缺陷明细!$J$2:$J$50000,"系统测试")+COUNTIFS(缺陷明细!$A$2:$A$50000,$B$4,缺陷明细!$G$2:$G$50000,$C21,缺陷明细!$AB$2:$AB$50000,"设计如此",缺陷明细!$J$2:$J$50000,"系统测试")+COUNTIFS(缺陷明细!$A$2:$A$50000,$B$4,缺陷明细!$G$2:$G$50000,$C21,缺陷明细!$AB$2:$AB$50000,"重复Bug",缺陷明细!$J$2:$J$50000,"系统测试")</f>
        <v>0</v>
      </c>
      <c r="S21" s="72">
        <f>COUNTIFS(缺陷明细!$A$2:$A$50000,$B$4,缺陷明细!$G$2:$G$50000,$C21,缺陷明细!$J$2:$J$50000,"系统测试",缺陷明细!$K$2:$K$50000,"致命",缺陷明细!$AB$2:$AB$50000,"&lt;&gt;丢弃",缺陷明细!$AB$2:$AB$50000,"&lt;&gt;设计如此",缺陷明细!$AB$2:$AB$50000,"&lt;&gt;重复Bug")+COUNTIFS(缺陷明细!$A$2:$A$50000,$B$4,缺陷明细!$G$2:$G$50000,$C21,缺陷明细!$J$2:$J$50000,"系统测试",缺陷明细!$K$2:$K$50000,"严重",缺陷明细!$AB$2:$AB$50000,"&lt;&gt;丢弃",缺陷明细!$AB$2:$AB$50000,"&lt;&gt;设计如此",缺陷明细!$AB$2:$AB$50000,"&lt;&gt;重复Bug")</f>
        <v>0</v>
      </c>
      <c r="T21" s="73">
        <f>COUNTIFS(缺陷明细!$A$2:$A$50000,$B$4,缺陷明细!$G$2:$G$50000,$C21,缺陷明细!$Q$2:$Q$50000,"已关闭",缺陷明细!$J$2:$J$50000,"系统测试",缺陷明细!$K$2:$K$50000,"致命")+COUNTIFS(缺陷明细!$A$2:$A$50000,$B$4,缺陷明细!$G$2:$G$50000,$C21,缺陷明细!$Q$2:$Q$50000,"已关闭",缺陷明细!$J$2:$J$50000,"系统测试",缺陷明细!$K$2:$K$50000,"严重")</f>
        <v>0</v>
      </c>
      <c r="U21" s="74">
        <f>COUNTIFS(缺陷明细!$A$2:$A$50000,$B$4,缺陷明细!$G$2:$G$50000,$C21,缺陷明细!$J$2:$J$50000,"验收测试",缺陷明细!$AB$2:$AB$50000,"&lt;&gt;丢弃",缺陷明细!$AB$2:$AB$50000,"&lt;&gt;设计如此",缺陷明细!$AB$2:$AB$50000,"&lt;&gt;重复Bug")</f>
        <v>0</v>
      </c>
      <c r="V21" s="75">
        <f>COUNTIFS(缺陷明细!$A$2:$A$50000,$B$4,缺陷明细!$G$2:$G$50000,$C21,缺陷明细!$Q$2:$Q$50000,"已关闭",缺陷明细!$J$2:$J$50000,"验收测试")</f>
        <v>0</v>
      </c>
      <c r="W21" s="75">
        <f>COUNTIFS(缺陷明细!$A$2:$A$50000,$B$4,缺陷明细!$G$2:$G$50000,$C21,缺陷明细!$J$2:$J$50000,"验收测试",缺陷明细!$K$2:$K$50000,"致命",缺陷明细!$AB$2:$AB$50000,"&lt;&gt;丢弃",缺陷明细!$AB$2:$AB$50000,"&lt;&gt;设计如此",缺陷明细!$AB$2:$AB$50000,"&lt;&gt;重复Bug")+COUNTIFS(缺陷明细!$A$2:$A$50000,$B$4,缺陷明细!$G$2:$G$50000,$C21,缺陷明细!$J$2:$J$50000,"验收测试",缺陷明细!$K$2:$K$50000,"严重",缺陷明细!$AB$2:$AB$50000,"&lt;&gt;丢弃",缺陷明细!$AB$2:$AB$50000,"&lt;&gt;设计如此",缺陷明细!$AB$2:$AB$50000,"&lt;&gt;重复Bug")</f>
        <v>0</v>
      </c>
      <c r="X21" s="76">
        <f>COUNTIFS(缺陷明细!$A$2:$A$50000,$B$4,缺陷明细!$G$2:$G$50000,$C21,缺陷明细!$Q$2:$Q$50000,"已关闭",缺陷明细!$J$2:$J$50000,"验收测试",缺陷明细!$K$2:$K$50000,"致命")+COUNTIFS(缺陷明细!$A$2:$A$50000,$B$4,缺陷明细!$G$2:$G$50000,$C21,缺陷明细!$Q$2:$Q$50000,"已关闭",缺陷明细!$J$2:$J$50000,"验收测试",缺陷明细!$K$2:$K$50000,"严重")</f>
        <v>0</v>
      </c>
      <c r="Y21" s="70">
        <f>COUNTIFS(缺陷明细!$A$2:$A$50000,$B$4,缺陷明细!$G$2:$G$50000,$C21,缺陷明细!$J$2:$J$50000,"运维测试",缺陷明细!$AB$2:$AB$50000,"&lt;&gt;丢弃",缺陷明细!$AB$2:$AB$50000,"&lt;&gt;设计如此",缺陷明细!$AB$2:$AB$50000,"&lt;&gt;重复Bug")</f>
        <v>0</v>
      </c>
      <c r="Z21" s="71">
        <f>COUNTIFS(缺陷明细!$A$2:$A$50000,$B$4,缺陷明细!$G$2:$G$50000,$C21,缺陷明细!$Q$2:$Q$50000,"已关闭",缺陷明细!$J$2:$J$50000,"运维测试")</f>
        <v>0</v>
      </c>
      <c r="AA21" s="72">
        <f>COUNTIFS(缺陷明细!$A$2:$A$50000,$B$4,缺陷明细!$G$2:$G$50000,$C21,缺陷明细!$J$2:$J$50000,"运维测试",缺陷明细!$K$2:$K$50000,"致命",缺陷明细!$AB$2:$AB$50000,"&lt;&gt;丢弃",缺陷明细!$AB$2:$AB$50000,"&lt;&gt;设计如此",缺陷明细!$AB$2:$AB$50000,"&lt;&gt;重复Bug")+COUNTIFS(缺陷明细!$A$2:$A$50000,$B$4,缺陷明细!$G$2:$G$50000,$C21,缺陷明细!$J$2:$J$50000,"运维测试",缺陷明细!$K$2:$K$50000,"严重",缺陷明细!$AB$2:$AB$50000,"&lt;&gt;丢弃",缺陷明细!$AB$2:$AB$50000,"&lt;&gt;设计如此",缺陷明细!$AB$2:$AB$50000,"&lt;&gt;重复Bug")</f>
        <v>0</v>
      </c>
      <c r="AB21" s="73">
        <f>COUNTIFS(缺陷明细!$A$2:$A$50000,$B$4,缺陷明细!$G$2:$G$50000,$C21,缺陷明细!$Q$2:$Q$50000,"已关闭",缺陷明细!$J$2:$J$50000,"运维测试",缺陷明细!$K$2:$K$50000,"致命")+COUNTIFS(缺陷明细!$A$2:$A$50000,$B$4,缺陷明细!$G$2:$G$50000,$C21,缺陷明细!$Q$2:$Q$50000,"已关闭",缺陷明细!$J$2:$J$50000,"运维测试",缺陷明细!$K$2:$K$50000,"严重")</f>
        <v>0</v>
      </c>
      <c r="AC21" s="68">
        <f t="shared" si="0"/>
        <v>0</v>
      </c>
      <c r="AD21" s="60">
        <f t="shared" si="0"/>
        <v>0</v>
      </c>
      <c r="AE21" s="60">
        <f t="shared" si="1"/>
        <v>0</v>
      </c>
      <c r="AF21" s="60">
        <f t="shared" si="1"/>
        <v>0</v>
      </c>
      <c r="AG21" s="60">
        <f t="shared" si="2"/>
        <v>0</v>
      </c>
      <c r="AH21" s="60">
        <f t="shared" si="2"/>
        <v>0</v>
      </c>
      <c r="AI21" s="60">
        <f t="shared" si="3"/>
        <v>0</v>
      </c>
      <c r="AJ21" s="61">
        <f t="shared" si="3"/>
        <v>0</v>
      </c>
      <c r="AK21" s="144"/>
    </row>
    <row r="22" spans="1:37">
      <c r="A22">
        <v>18</v>
      </c>
      <c r="B22" s="57"/>
      <c r="C22" s="58"/>
      <c r="D22" s="84"/>
      <c r="E22" s="82"/>
      <c r="F22" s="158"/>
      <c r="G22" s="159"/>
      <c r="H22" s="281">
        <f>COUNTIFS(缺陷明细!$A$2:$A$50000,$B$4,缺陷明细!$G$2:$G$50000,$C22,缺陷明细!$J$2:$J$50000,"评审",缺陷明细!$AB$2:$AB$50000,"&lt;&gt;丢弃",缺陷明细!$AB$2:$AB$50000,"&lt;&gt;设计如此",缺陷明细!$AB$2:$AB$50000,"&lt;&gt;重复Bug")</f>
        <v>0</v>
      </c>
      <c r="I22" s="154">
        <f>COUNTIFS(缺陷明细!$A$2:$A$50000,$B$4,缺陷明细!$G$2:$G$50000,$C22,缺陷明细!$Q$2:$Q$50000,"已关闭",缺陷明细!$J$2:$J$50000,"评审")</f>
        <v>0</v>
      </c>
      <c r="J22" s="154">
        <f>COUNTIFS(缺陷明细!$A$2:$A$50000,$B$4,缺陷明细!$G$2:$G$50000,$C22,缺陷明细!$J$2:$J$50000,"单元测试",缺陷明细!$AB$2:$AB$50000,"&lt;&gt;丢弃",缺陷明细!$AB$2:$AB$50000,"&lt;&gt;设计如此",缺陷明细!$AB$2:$AB$50000,"&lt;&gt;重复Bug")</f>
        <v>0</v>
      </c>
      <c r="K22" s="155">
        <f>COUNTIFS(缺陷明细!$A$2:$A$50000,$B$4,缺陷明细!$G$2:$G$50000,$C22,缺陷明细!$Q$2:$Q$50000,"已关闭",缺陷明细!$J$2:$J$50000,"单元测试")</f>
        <v>0</v>
      </c>
      <c r="L22" s="156"/>
      <c r="M22" s="157"/>
      <c r="N22" s="72">
        <f>COUNTIFS(缺陷明细!$A$2:$A$50000,$B$4,缺陷明细!$G$2:$G$50000,$C22,缺陷明细!$J$2:$J$50000,"系统测试案例评审",缺陷明细!$AB$2:$AB$50000,"&lt;&gt;丢弃",缺陷明细!$AB$2:$AB$50000,"&lt;&gt;设计如此",缺陷明细!$AB$2:$AB$50000,"&lt;&gt;重复Bug")</f>
        <v>0</v>
      </c>
      <c r="O22" s="72">
        <f>COUNTIFS(缺陷明细!$A$2:$A$50000,$B$4,缺陷明细!$G$2:$G$50000,$C22,缺陷明细!$Q$2:$Q$50000,"已关闭",缺陷明细!$J$2:$J$50000,"系统测试案例评审")</f>
        <v>0</v>
      </c>
      <c r="P22" s="72">
        <f>COUNTIFS(缺陷明细!$A$2:$A$50000,$B$4,缺陷明细!$G$2:$G$50000,$C22,缺陷明细!$J$2:$J$50000,"系统测试",缺陷明细!$AB$2:$AB$50000,"&lt;&gt;丢弃",缺陷明细!$AB$2:$AB$50000,"&lt;&gt;设计如此",缺陷明细!$AB$2:$AB$50000,"&lt;&gt;重复Bug")</f>
        <v>0</v>
      </c>
      <c r="Q22" s="72">
        <f>COUNTIFS(缺陷明细!$A$2:$A$50000,$B$4,缺陷明细!$G$2:$G$50000,$C22,缺陷明细!$Q$2:$Q$50000,"已关闭",缺陷明细!$J$2:$J$50000,"系统测试")</f>
        <v>0</v>
      </c>
      <c r="R22" s="296">
        <f>COUNTIFS(缺陷明细!$A$2:$A$50000,$B$4,缺陷明细!$G$2:$G$50000,$C22,缺陷明细!$AB$2:$AB$50000,"丢弃",缺陷明细!$J$2:$J$50000,"系统测试")+COUNTIFS(缺陷明细!$A$2:$A$50000,$B$4,缺陷明细!$G$2:$G$50000,$C22,缺陷明细!$AB$2:$AB$50000,"设计如此",缺陷明细!$J$2:$J$50000,"系统测试")+COUNTIFS(缺陷明细!$A$2:$A$50000,$B$4,缺陷明细!$G$2:$G$50000,$C22,缺陷明细!$AB$2:$AB$50000,"重复Bug",缺陷明细!$J$2:$J$50000,"系统测试")</f>
        <v>0</v>
      </c>
      <c r="S22" s="72">
        <f>COUNTIFS(缺陷明细!$A$2:$A$50000,$B$4,缺陷明细!$G$2:$G$50000,$C22,缺陷明细!$J$2:$J$50000,"系统测试",缺陷明细!$K$2:$K$50000,"致命",缺陷明细!$AB$2:$AB$50000,"&lt;&gt;丢弃",缺陷明细!$AB$2:$AB$50000,"&lt;&gt;设计如此",缺陷明细!$AB$2:$AB$50000,"&lt;&gt;重复Bug")+COUNTIFS(缺陷明细!$A$2:$A$50000,$B$4,缺陷明细!$G$2:$G$50000,$C22,缺陷明细!$J$2:$J$50000,"系统测试",缺陷明细!$K$2:$K$50000,"严重",缺陷明细!$AB$2:$AB$50000,"&lt;&gt;丢弃",缺陷明细!$AB$2:$AB$50000,"&lt;&gt;设计如此",缺陷明细!$AB$2:$AB$50000,"&lt;&gt;重复Bug")</f>
        <v>0</v>
      </c>
      <c r="T22" s="73">
        <f>COUNTIFS(缺陷明细!$A$2:$A$50000,$B$4,缺陷明细!$G$2:$G$50000,$C22,缺陷明细!$Q$2:$Q$50000,"已关闭",缺陷明细!$J$2:$J$50000,"系统测试",缺陷明细!$K$2:$K$50000,"致命")+COUNTIFS(缺陷明细!$A$2:$A$50000,$B$4,缺陷明细!$G$2:$G$50000,$C22,缺陷明细!$Q$2:$Q$50000,"已关闭",缺陷明细!$J$2:$J$50000,"系统测试",缺陷明细!$K$2:$K$50000,"严重")</f>
        <v>0</v>
      </c>
      <c r="U22" s="74">
        <f>COUNTIFS(缺陷明细!$A$2:$A$50000,$B$4,缺陷明细!$G$2:$G$50000,$C22,缺陷明细!$J$2:$J$50000,"验收测试",缺陷明细!$AB$2:$AB$50000,"&lt;&gt;丢弃",缺陷明细!$AB$2:$AB$50000,"&lt;&gt;设计如此",缺陷明细!$AB$2:$AB$50000,"&lt;&gt;重复Bug")</f>
        <v>0</v>
      </c>
      <c r="V22" s="75">
        <f>COUNTIFS(缺陷明细!$A$2:$A$50000,$B$4,缺陷明细!$G$2:$G$50000,$C22,缺陷明细!$Q$2:$Q$50000,"已关闭",缺陷明细!$J$2:$J$50000,"验收测试")</f>
        <v>0</v>
      </c>
      <c r="W22" s="75">
        <f>COUNTIFS(缺陷明细!$A$2:$A$50000,$B$4,缺陷明细!$G$2:$G$50000,$C22,缺陷明细!$J$2:$J$50000,"验收测试",缺陷明细!$K$2:$K$50000,"致命",缺陷明细!$AB$2:$AB$50000,"&lt;&gt;丢弃",缺陷明细!$AB$2:$AB$50000,"&lt;&gt;设计如此",缺陷明细!$AB$2:$AB$50000,"&lt;&gt;重复Bug")+COUNTIFS(缺陷明细!$A$2:$A$50000,$B$4,缺陷明细!$G$2:$G$50000,$C22,缺陷明细!$J$2:$J$50000,"验收测试",缺陷明细!$K$2:$K$50000,"严重",缺陷明细!$AB$2:$AB$50000,"&lt;&gt;丢弃",缺陷明细!$AB$2:$AB$50000,"&lt;&gt;设计如此",缺陷明细!$AB$2:$AB$50000,"&lt;&gt;重复Bug")</f>
        <v>0</v>
      </c>
      <c r="X22" s="76">
        <f>COUNTIFS(缺陷明细!$A$2:$A$50000,$B$4,缺陷明细!$G$2:$G$50000,$C22,缺陷明细!$Q$2:$Q$50000,"已关闭",缺陷明细!$J$2:$J$50000,"验收测试",缺陷明细!$K$2:$K$50000,"致命")+COUNTIFS(缺陷明细!$A$2:$A$50000,$B$4,缺陷明细!$G$2:$G$50000,$C22,缺陷明细!$Q$2:$Q$50000,"已关闭",缺陷明细!$J$2:$J$50000,"验收测试",缺陷明细!$K$2:$K$50000,"严重")</f>
        <v>0</v>
      </c>
      <c r="Y22" s="70">
        <f>COUNTIFS(缺陷明细!$A$2:$A$50000,$B$4,缺陷明细!$G$2:$G$50000,$C22,缺陷明细!$J$2:$J$50000,"运维测试",缺陷明细!$AB$2:$AB$50000,"&lt;&gt;丢弃",缺陷明细!$AB$2:$AB$50000,"&lt;&gt;设计如此",缺陷明细!$AB$2:$AB$50000,"&lt;&gt;重复Bug")</f>
        <v>0</v>
      </c>
      <c r="Z22" s="71">
        <f>COUNTIFS(缺陷明细!$A$2:$A$50000,$B$4,缺陷明细!$G$2:$G$50000,$C22,缺陷明细!$Q$2:$Q$50000,"已关闭",缺陷明细!$J$2:$J$50000,"运维测试")</f>
        <v>0</v>
      </c>
      <c r="AA22" s="72">
        <f>COUNTIFS(缺陷明细!$A$2:$A$50000,$B$4,缺陷明细!$G$2:$G$50000,$C22,缺陷明细!$J$2:$J$50000,"运维测试",缺陷明细!$K$2:$K$50000,"致命",缺陷明细!$AB$2:$AB$50000,"&lt;&gt;丢弃",缺陷明细!$AB$2:$AB$50000,"&lt;&gt;设计如此",缺陷明细!$AB$2:$AB$50000,"&lt;&gt;重复Bug")+COUNTIFS(缺陷明细!$A$2:$A$50000,$B$4,缺陷明细!$G$2:$G$50000,$C22,缺陷明细!$J$2:$J$50000,"运维测试",缺陷明细!$K$2:$K$50000,"严重",缺陷明细!$AB$2:$AB$50000,"&lt;&gt;丢弃",缺陷明细!$AB$2:$AB$50000,"&lt;&gt;设计如此",缺陷明细!$AB$2:$AB$50000,"&lt;&gt;重复Bug")</f>
        <v>0</v>
      </c>
      <c r="AB22" s="73">
        <f>COUNTIFS(缺陷明细!$A$2:$A$50000,$B$4,缺陷明细!$G$2:$G$50000,$C22,缺陷明细!$Q$2:$Q$50000,"已关闭",缺陷明细!$J$2:$J$50000,"运维测试",缺陷明细!$K$2:$K$50000,"致命")+COUNTIFS(缺陷明细!$A$2:$A$50000,$B$4,缺陷明细!$G$2:$G$50000,$C22,缺陷明细!$Q$2:$Q$50000,"已关闭",缺陷明细!$J$2:$J$50000,"运维测试",缺陷明细!$K$2:$K$50000,"严重")</f>
        <v>0</v>
      </c>
      <c r="AC22" s="68">
        <f t="shared" si="0"/>
        <v>0</v>
      </c>
      <c r="AD22" s="60">
        <f t="shared" si="0"/>
        <v>0</v>
      </c>
      <c r="AE22" s="60">
        <f t="shared" si="1"/>
        <v>0</v>
      </c>
      <c r="AF22" s="60">
        <f t="shared" si="1"/>
        <v>0</v>
      </c>
      <c r="AG22" s="60">
        <f t="shared" si="2"/>
        <v>0</v>
      </c>
      <c r="AH22" s="60">
        <f t="shared" si="2"/>
        <v>0</v>
      </c>
      <c r="AI22" s="60">
        <f t="shared" si="3"/>
        <v>0</v>
      </c>
      <c r="AJ22" s="61">
        <f t="shared" si="3"/>
        <v>0</v>
      </c>
      <c r="AK22" s="144"/>
    </row>
    <row r="23" spans="1:37">
      <c r="A23">
        <v>19</v>
      </c>
      <c r="B23" s="57"/>
      <c r="C23" s="58"/>
      <c r="D23" s="84"/>
      <c r="E23" s="82"/>
      <c r="F23" s="158"/>
      <c r="G23" s="159"/>
      <c r="H23" s="281">
        <f>COUNTIFS(缺陷明细!$A$2:$A$50000,$B$4,缺陷明细!$G$2:$G$50000,$C23,缺陷明细!$J$2:$J$50000,"评审",缺陷明细!$AB$2:$AB$50000,"&lt;&gt;丢弃",缺陷明细!$AB$2:$AB$50000,"&lt;&gt;设计如此",缺陷明细!$AB$2:$AB$50000,"&lt;&gt;重复Bug")</f>
        <v>0</v>
      </c>
      <c r="I23" s="154">
        <f>COUNTIFS(缺陷明细!$A$2:$A$50000,$B$4,缺陷明细!$G$2:$G$50000,$C23,缺陷明细!$Q$2:$Q$50000,"已关闭",缺陷明细!$J$2:$J$50000,"评审")</f>
        <v>0</v>
      </c>
      <c r="J23" s="154">
        <f>COUNTIFS(缺陷明细!$A$2:$A$50000,$B$4,缺陷明细!$G$2:$G$50000,$C23,缺陷明细!$J$2:$J$50000,"单元测试",缺陷明细!$AB$2:$AB$50000,"&lt;&gt;丢弃",缺陷明细!$AB$2:$AB$50000,"&lt;&gt;设计如此",缺陷明细!$AB$2:$AB$50000,"&lt;&gt;重复Bug")</f>
        <v>0</v>
      </c>
      <c r="K23" s="155">
        <f>COUNTIFS(缺陷明细!$A$2:$A$50000,$B$4,缺陷明细!$G$2:$G$50000,$C23,缺陷明细!$Q$2:$Q$50000,"已关闭",缺陷明细!$J$2:$J$50000,"单元测试")</f>
        <v>0</v>
      </c>
      <c r="L23" s="156"/>
      <c r="M23" s="157"/>
      <c r="N23" s="72">
        <f>COUNTIFS(缺陷明细!$A$2:$A$50000,$B$4,缺陷明细!$G$2:$G$50000,$C23,缺陷明细!$J$2:$J$50000,"系统测试案例评审",缺陷明细!$AB$2:$AB$50000,"&lt;&gt;丢弃",缺陷明细!$AB$2:$AB$50000,"&lt;&gt;设计如此",缺陷明细!$AB$2:$AB$50000,"&lt;&gt;重复Bug")</f>
        <v>0</v>
      </c>
      <c r="O23" s="72">
        <f>COUNTIFS(缺陷明细!$A$2:$A$50000,$B$4,缺陷明细!$G$2:$G$50000,$C23,缺陷明细!$Q$2:$Q$50000,"已关闭",缺陷明细!$J$2:$J$50000,"系统测试案例评审")</f>
        <v>0</v>
      </c>
      <c r="P23" s="72">
        <f>COUNTIFS(缺陷明细!$A$2:$A$50000,$B$4,缺陷明细!$G$2:$G$50000,$C23,缺陷明细!$J$2:$J$50000,"系统测试",缺陷明细!$AB$2:$AB$50000,"&lt;&gt;丢弃",缺陷明细!$AB$2:$AB$50000,"&lt;&gt;设计如此",缺陷明细!$AB$2:$AB$50000,"&lt;&gt;重复Bug")</f>
        <v>0</v>
      </c>
      <c r="Q23" s="72">
        <f>COUNTIFS(缺陷明细!$A$2:$A$50000,$B$4,缺陷明细!$G$2:$G$50000,$C23,缺陷明细!$Q$2:$Q$50000,"已关闭",缺陷明细!$J$2:$J$50000,"系统测试")</f>
        <v>0</v>
      </c>
      <c r="R23" s="296">
        <f>COUNTIFS(缺陷明细!$A$2:$A$50000,$B$4,缺陷明细!$G$2:$G$50000,$C23,缺陷明细!$AB$2:$AB$50000,"丢弃",缺陷明细!$J$2:$J$50000,"系统测试")+COUNTIFS(缺陷明细!$A$2:$A$50000,$B$4,缺陷明细!$G$2:$G$50000,$C23,缺陷明细!$AB$2:$AB$50000,"设计如此",缺陷明细!$J$2:$J$50000,"系统测试")+COUNTIFS(缺陷明细!$A$2:$A$50000,$B$4,缺陷明细!$G$2:$G$50000,$C23,缺陷明细!$AB$2:$AB$50000,"重复Bug",缺陷明细!$J$2:$J$50000,"系统测试")</f>
        <v>0</v>
      </c>
      <c r="S23" s="72">
        <f>COUNTIFS(缺陷明细!$A$2:$A$50000,$B$4,缺陷明细!$G$2:$G$50000,$C23,缺陷明细!$J$2:$J$50000,"系统测试",缺陷明细!$K$2:$K$50000,"致命",缺陷明细!$AB$2:$AB$50000,"&lt;&gt;丢弃",缺陷明细!$AB$2:$AB$50000,"&lt;&gt;设计如此",缺陷明细!$AB$2:$AB$50000,"&lt;&gt;重复Bug")+COUNTIFS(缺陷明细!$A$2:$A$50000,$B$4,缺陷明细!$G$2:$G$50000,$C23,缺陷明细!$J$2:$J$50000,"系统测试",缺陷明细!$K$2:$K$50000,"严重",缺陷明细!$AB$2:$AB$50000,"&lt;&gt;丢弃",缺陷明细!$AB$2:$AB$50000,"&lt;&gt;设计如此",缺陷明细!$AB$2:$AB$50000,"&lt;&gt;重复Bug")</f>
        <v>0</v>
      </c>
      <c r="T23" s="73">
        <f>COUNTIFS(缺陷明细!$A$2:$A$50000,$B$4,缺陷明细!$G$2:$G$50000,$C23,缺陷明细!$Q$2:$Q$50000,"已关闭",缺陷明细!$J$2:$J$50000,"系统测试",缺陷明细!$K$2:$K$50000,"致命")+COUNTIFS(缺陷明细!$A$2:$A$50000,$B$4,缺陷明细!$G$2:$G$50000,$C23,缺陷明细!$Q$2:$Q$50000,"已关闭",缺陷明细!$J$2:$J$50000,"系统测试",缺陷明细!$K$2:$K$50000,"严重")</f>
        <v>0</v>
      </c>
      <c r="U23" s="74">
        <f>COUNTIFS(缺陷明细!$A$2:$A$50000,$B$4,缺陷明细!$G$2:$G$50000,$C23,缺陷明细!$J$2:$J$50000,"验收测试",缺陷明细!$AB$2:$AB$50000,"&lt;&gt;丢弃",缺陷明细!$AB$2:$AB$50000,"&lt;&gt;设计如此",缺陷明细!$AB$2:$AB$50000,"&lt;&gt;重复Bug")</f>
        <v>0</v>
      </c>
      <c r="V23" s="75">
        <f>COUNTIFS(缺陷明细!$A$2:$A$50000,$B$4,缺陷明细!$G$2:$G$50000,$C23,缺陷明细!$Q$2:$Q$50000,"已关闭",缺陷明细!$J$2:$J$50000,"验收测试")</f>
        <v>0</v>
      </c>
      <c r="W23" s="75">
        <f>COUNTIFS(缺陷明细!$A$2:$A$50000,$B$4,缺陷明细!$G$2:$G$50000,$C23,缺陷明细!$J$2:$J$50000,"验收测试",缺陷明细!$K$2:$K$50000,"致命",缺陷明细!$AB$2:$AB$50000,"&lt;&gt;丢弃",缺陷明细!$AB$2:$AB$50000,"&lt;&gt;设计如此",缺陷明细!$AB$2:$AB$50000,"&lt;&gt;重复Bug")+COUNTIFS(缺陷明细!$A$2:$A$50000,$B$4,缺陷明细!$G$2:$G$50000,$C23,缺陷明细!$J$2:$J$50000,"验收测试",缺陷明细!$K$2:$K$50000,"严重",缺陷明细!$AB$2:$AB$50000,"&lt;&gt;丢弃",缺陷明细!$AB$2:$AB$50000,"&lt;&gt;设计如此",缺陷明细!$AB$2:$AB$50000,"&lt;&gt;重复Bug")</f>
        <v>0</v>
      </c>
      <c r="X23" s="76">
        <f>COUNTIFS(缺陷明细!$A$2:$A$50000,$B$4,缺陷明细!$G$2:$G$50000,$C23,缺陷明细!$Q$2:$Q$50000,"已关闭",缺陷明细!$J$2:$J$50000,"验收测试",缺陷明细!$K$2:$K$50000,"致命")+COUNTIFS(缺陷明细!$A$2:$A$50000,$B$4,缺陷明细!$G$2:$G$50000,$C23,缺陷明细!$Q$2:$Q$50000,"已关闭",缺陷明细!$J$2:$J$50000,"验收测试",缺陷明细!$K$2:$K$50000,"严重")</f>
        <v>0</v>
      </c>
      <c r="Y23" s="70">
        <f>COUNTIFS(缺陷明细!$A$2:$A$50000,$B$4,缺陷明细!$G$2:$G$50000,$C23,缺陷明细!$J$2:$J$50000,"运维测试",缺陷明细!$AB$2:$AB$50000,"&lt;&gt;丢弃",缺陷明细!$AB$2:$AB$50000,"&lt;&gt;设计如此",缺陷明细!$AB$2:$AB$50000,"&lt;&gt;重复Bug")</f>
        <v>0</v>
      </c>
      <c r="Z23" s="71">
        <f>COUNTIFS(缺陷明细!$A$2:$A$50000,$B$4,缺陷明细!$G$2:$G$50000,$C23,缺陷明细!$Q$2:$Q$50000,"已关闭",缺陷明细!$J$2:$J$50000,"运维测试")</f>
        <v>0</v>
      </c>
      <c r="AA23" s="72">
        <f>COUNTIFS(缺陷明细!$A$2:$A$50000,$B$4,缺陷明细!$G$2:$G$50000,$C23,缺陷明细!$J$2:$J$50000,"运维测试",缺陷明细!$K$2:$K$50000,"致命",缺陷明细!$AB$2:$AB$50000,"&lt;&gt;丢弃",缺陷明细!$AB$2:$AB$50000,"&lt;&gt;设计如此",缺陷明细!$AB$2:$AB$50000,"&lt;&gt;重复Bug")+COUNTIFS(缺陷明细!$A$2:$A$50000,$B$4,缺陷明细!$G$2:$G$50000,$C23,缺陷明细!$J$2:$J$50000,"运维测试",缺陷明细!$K$2:$K$50000,"严重",缺陷明细!$AB$2:$AB$50000,"&lt;&gt;丢弃",缺陷明细!$AB$2:$AB$50000,"&lt;&gt;设计如此",缺陷明细!$AB$2:$AB$50000,"&lt;&gt;重复Bug")</f>
        <v>0</v>
      </c>
      <c r="AB23" s="73">
        <f>COUNTIFS(缺陷明细!$A$2:$A$50000,$B$4,缺陷明细!$G$2:$G$50000,$C23,缺陷明细!$Q$2:$Q$50000,"已关闭",缺陷明细!$J$2:$J$50000,"运维测试",缺陷明细!$K$2:$K$50000,"致命")+COUNTIFS(缺陷明细!$A$2:$A$50000,$B$4,缺陷明细!$G$2:$G$50000,$C23,缺陷明细!$Q$2:$Q$50000,"已关闭",缺陷明细!$J$2:$J$50000,"运维测试",缺陷明细!$K$2:$K$50000,"严重")</f>
        <v>0</v>
      </c>
      <c r="AC23" s="68">
        <f t="shared" si="0"/>
        <v>0</v>
      </c>
      <c r="AD23" s="60">
        <f t="shared" si="0"/>
        <v>0</v>
      </c>
      <c r="AE23" s="60">
        <f t="shared" si="1"/>
        <v>0</v>
      </c>
      <c r="AF23" s="60">
        <f t="shared" si="1"/>
        <v>0</v>
      </c>
      <c r="AG23" s="60">
        <f t="shared" si="2"/>
        <v>0</v>
      </c>
      <c r="AH23" s="60">
        <f t="shared" si="2"/>
        <v>0</v>
      </c>
      <c r="AI23" s="60">
        <f t="shared" si="3"/>
        <v>0</v>
      </c>
      <c r="AJ23" s="61">
        <f t="shared" si="3"/>
        <v>0</v>
      </c>
      <c r="AK23" s="144"/>
    </row>
    <row r="24" spans="1:37">
      <c r="A24">
        <v>20</v>
      </c>
      <c r="B24" s="57"/>
      <c r="C24" s="58"/>
      <c r="D24" s="84"/>
      <c r="E24" s="82"/>
      <c r="F24" s="158"/>
      <c r="G24" s="159"/>
      <c r="H24" s="281">
        <f>COUNTIFS(缺陷明细!$A$2:$A$50000,$B$4,缺陷明细!$G$2:$G$50000,$C24,缺陷明细!$J$2:$J$50000,"评审",缺陷明细!$AB$2:$AB$50000,"&lt;&gt;丢弃",缺陷明细!$AB$2:$AB$50000,"&lt;&gt;设计如此",缺陷明细!$AB$2:$AB$50000,"&lt;&gt;重复Bug")</f>
        <v>0</v>
      </c>
      <c r="I24" s="154">
        <f>COUNTIFS(缺陷明细!$A$2:$A$50000,$B$4,缺陷明细!$G$2:$G$50000,$C24,缺陷明细!$Q$2:$Q$50000,"已关闭",缺陷明细!$J$2:$J$50000,"评审")</f>
        <v>0</v>
      </c>
      <c r="J24" s="154">
        <f>COUNTIFS(缺陷明细!$A$2:$A$50000,$B$4,缺陷明细!$G$2:$G$50000,$C24,缺陷明细!$J$2:$J$50000,"单元测试",缺陷明细!$AB$2:$AB$50000,"&lt;&gt;丢弃",缺陷明细!$AB$2:$AB$50000,"&lt;&gt;设计如此",缺陷明细!$AB$2:$AB$50000,"&lt;&gt;重复Bug")</f>
        <v>0</v>
      </c>
      <c r="K24" s="155">
        <f>COUNTIFS(缺陷明细!$A$2:$A$50000,$B$4,缺陷明细!$G$2:$G$50000,$C24,缺陷明细!$Q$2:$Q$50000,"已关闭",缺陷明细!$J$2:$J$50000,"单元测试")</f>
        <v>0</v>
      </c>
      <c r="L24" s="156"/>
      <c r="M24" s="157"/>
      <c r="N24" s="72">
        <f>COUNTIFS(缺陷明细!$A$2:$A$50000,$B$4,缺陷明细!$G$2:$G$50000,$C24,缺陷明细!$J$2:$J$50000,"系统测试案例评审",缺陷明细!$AB$2:$AB$50000,"&lt;&gt;丢弃",缺陷明细!$AB$2:$AB$50000,"&lt;&gt;设计如此",缺陷明细!$AB$2:$AB$50000,"&lt;&gt;重复Bug")</f>
        <v>0</v>
      </c>
      <c r="O24" s="72">
        <f>COUNTIFS(缺陷明细!$A$2:$A$50000,$B$4,缺陷明细!$G$2:$G$50000,$C24,缺陷明细!$Q$2:$Q$50000,"已关闭",缺陷明细!$J$2:$J$50000,"系统测试案例评审")</f>
        <v>0</v>
      </c>
      <c r="P24" s="72">
        <f>COUNTIFS(缺陷明细!$A$2:$A$50000,$B$4,缺陷明细!$G$2:$G$50000,$C24,缺陷明细!$J$2:$J$50000,"系统测试",缺陷明细!$AB$2:$AB$50000,"&lt;&gt;丢弃",缺陷明细!$AB$2:$AB$50000,"&lt;&gt;设计如此",缺陷明细!$AB$2:$AB$50000,"&lt;&gt;重复Bug")</f>
        <v>0</v>
      </c>
      <c r="Q24" s="72">
        <f>COUNTIFS(缺陷明细!$A$2:$A$50000,$B$4,缺陷明细!$G$2:$G$50000,$C24,缺陷明细!$Q$2:$Q$50000,"已关闭",缺陷明细!$J$2:$J$50000,"系统测试")</f>
        <v>0</v>
      </c>
      <c r="R24" s="296">
        <f>COUNTIFS(缺陷明细!$A$2:$A$50000,$B$4,缺陷明细!$G$2:$G$50000,$C24,缺陷明细!$AB$2:$AB$50000,"丢弃",缺陷明细!$J$2:$J$50000,"系统测试")+COUNTIFS(缺陷明细!$A$2:$A$50000,$B$4,缺陷明细!$G$2:$G$50000,$C24,缺陷明细!$AB$2:$AB$50000,"设计如此",缺陷明细!$J$2:$J$50000,"系统测试")+COUNTIFS(缺陷明细!$A$2:$A$50000,$B$4,缺陷明细!$G$2:$G$50000,$C24,缺陷明细!$AB$2:$AB$50000,"重复Bug",缺陷明细!$J$2:$J$50000,"系统测试")</f>
        <v>0</v>
      </c>
      <c r="S24" s="72">
        <f>COUNTIFS(缺陷明细!$A$2:$A$50000,$B$4,缺陷明细!$G$2:$G$50000,$C24,缺陷明细!$J$2:$J$50000,"系统测试",缺陷明细!$K$2:$K$50000,"致命",缺陷明细!$AB$2:$AB$50000,"&lt;&gt;丢弃",缺陷明细!$AB$2:$AB$50000,"&lt;&gt;设计如此",缺陷明细!$AB$2:$AB$50000,"&lt;&gt;重复Bug")+COUNTIFS(缺陷明细!$A$2:$A$50000,$B$4,缺陷明细!$G$2:$G$50000,$C24,缺陷明细!$J$2:$J$50000,"系统测试",缺陷明细!$K$2:$K$50000,"严重",缺陷明细!$AB$2:$AB$50000,"&lt;&gt;丢弃",缺陷明细!$AB$2:$AB$50000,"&lt;&gt;设计如此",缺陷明细!$AB$2:$AB$50000,"&lt;&gt;重复Bug")</f>
        <v>0</v>
      </c>
      <c r="T24" s="73">
        <f>COUNTIFS(缺陷明细!$A$2:$A$50000,$B$4,缺陷明细!$G$2:$G$50000,$C24,缺陷明细!$Q$2:$Q$50000,"已关闭",缺陷明细!$J$2:$J$50000,"系统测试",缺陷明细!$K$2:$K$50000,"致命")+COUNTIFS(缺陷明细!$A$2:$A$50000,$B$4,缺陷明细!$G$2:$G$50000,$C24,缺陷明细!$Q$2:$Q$50000,"已关闭",缺陷明细!$J$2:$J$50000,"系统测试",缺陷明细!$K$2:$K$50000,"严重")</f>
        <v>0</v>
      </c>
      <c r="U24" s="74">
        <f>COUNTIFS(缺陷明细!$A$2:$A$50000,$B$4,缺陷明细!$G$2:$G$50000,$C24,缺陷明细!$J$2:$J$50000,"验收测试",缺陷明细!$AB$2:$AB$50000,"&lt;&gt;丢弃",缺陷明细!$AB$2:$AB$50000,"&lt;&gt;设计如此",缺陷明细!$AB$2:$AB$50000,"&lt;&gt;重复Bug")</f>
        <v>0</v>
      </c>
      <c r="V24" s="75">
        <f>COUNTIFS(缺陷明细!$A$2:$A$50000,$B$4,缺陷明细!$G$2:$G$50000,$C24,缺陷明细!$Q$2:$Q$50000,"已关闭",缺陷明细!$J$2:$J$50000,"验收测试")</f>
        <v>0</v>
      </c>
      <c r="W24" s="75">
        <f>COUNTIFS(缺陷明细!$A$2:$A$50000,$B$4,缺陷明细!$G$2:$G$50000,$C24,缺陷明细!$J$2:$J$50000,"验收测试",缺陷明细!$K$2:$K$50000,"致命",缺陷明细!$AB$2:$AB$50000,"&lt;&gt;丢弃",缺陷明细!$AB$2:$AB$50000,"&lt;&gt;设计如此",缺陷明细!$AB$2:$AB$50000,"&lt;&gt;重复Bug")+COUNTIFS(缺陷明细!$A$2:$A$50000,$B$4,缺陷明细!$G$2:$G$50000,$C24,缺陷明细!$J$2:$J$50000,"验收测试",缺陷明细!$K$2:$K$50000,"严重",缺陷明细!$AB$2:$AB$50000,"&lt;&gt;丢弃",缺陷明细!$AB$2:$AB$50000,"&lt;&gt;设计如此",缺陷明细!$AB$2:$AB$50000,"&lt;&gt;重复Bug")</f>
        <v>0</v>
      </c>
      <c r="X24" s="76">
        <f>COUNTIFS(缺陷明细!$A$2:$A$50000,$B$4,缺陷明细!$G$2:$G$50000,$C24,缺陷明细!$Q$2:$Q$50000,"已关闭",缺陷明细!$J$2:$J$50000,"验收测试",缺陷明细!$K$2:$K$50000,"致命")+COUNTIFS(缺陷明细!$A$2:$A$50000,$B$4,缺陷明细!$G$2:$G$50000,$C24,缺陷明细!$Q$2:$Q$50000,"已关闭",缺陷明细!$J$2:$J$50000,"验收测试",缺陷明细!$K$2:$K$50000,"严重")</f>
        <v>0</v>
      </c>
      <c r="Y24" s="70">
        <f>COUNTIFS(缺陷明细!$A$2:$A$50000,$B$4,缺陷明细!$G$2:$G$50000,$C24,缺陷明细!$J$2:$J$50000,"运维测试",缺陷明细!$AB$2:$AB$50000,"&lt;&gt;丢弃",缺陷明细!$AB$2:$AB$50000,"&lt;&gt;设计如此",缺陷明细!$AB$2:$AB$50000,"&lt;&gt;重复Bug")</f>
        <v>0</v>
      </c>
      <c r="Z24" s="71">
        <f>COUNTIFS(缺陷明细!$A$2:$A$50000,$B$4,缺陷明细!$G$2:$G$50000,$C24,缺陷明细!$Q$2:$Q$50000,"已关闭",缺陷明细!$J$2:$J$50000,"运维测试")</f>
        <v>0</v>
      </c>
      <c r="AA24" s="72">
        <f>COUNTIFS(缺陷明细!$A$2:$A$50000,$B$4,缺陷明细!$G$2:$G$50000,$C24,缺陷明细!$J$2:$J$50000,"运维测试",缺陷明细!$K$2:$K$50000,"致命",缺陷明细!$AB$2:$AB$50000,"&lt;&gt;丢弃",缺陷明细!$AB$2:$AB$50000,"&lt;&gt;设计如此",缺陷明细!$AB$2:$AB$50000,"&lt;&gt;重复Bug")+COUNTIFS(缺陷明细!$A$2:$A$50000,$B$4,缺陷明细!$G$2:$G$50000,$C24,缺陷明细!$J$2:$J$50000,"运维测试",缺陷明细!$K$2:$K$50000,"严重",缺陷明细!$AB$2:$AB$50000,"&lt;&gt;丢弃",缺陷明细!$AB$2:$AB$50000,"&lt;&gt;设计如此",缺陷明细!$AB$2:$AB$50000,"&lt;&gt;重复Bug")</f>
        <v>0</v>
      </c>
      <c r="AB24" s="73">
        <f>COUNTIFS(缺陷明细!$A$2:$A$50000,$B$4,缺陷明细!$G$2:$G$50000,$C24,缺陷明细!$Q$2:$Q$50000,"已关闭",缺陷明细!$J$2:$J$50000,"运维测试",缺陷明细!$K$2:$K$50000,"致命")+COUNTIFS(缺陷明细!$A$2:$A$50000,$B$4,缺陷明细!$G$2:$G$50000,$C24,缺陷明细!$Q$2:$Q$50000,"已关闭",缺陷明细!$J$2:$J$50000,"运维测试",缺陷明细!$K$2:$K$50000,"严重")</f>
        <v>0</v>
      </c>
      <c r="AC24" s="68">
        <f t="shared" si="0"/>
        <v>0</v>
      </c>
      <c r="AD24" s="60">
        <f t="shared" si="0"/>
        <v>0</v>
      </c>
      <c r="AE24" s="60">
        <f t="shared" si="1"/>
        <v>0</v>
      </c>
      <c r="AF24" s="60">
        <f t="shared" si="1"/>
        <v>0</v>
      </c>
      <c r="AG24" s="60">
        <f t="shared" si="2"/>
        <v>0</v>
      </c>
      <c r="AH24" s="60">
        <f t="shared" si="2"/>
        <v>0</v>
      </c>
      <c r="AI24" s="60">
        <f t="shared" si="3"/>
        <v>0</v>
      </c>
      <c r="AJ24" s="61">
        <f t="shared" si="3"/>
        <v>0</v>
      </c>
      <c r="AK24" s="144"/>
    </row>
    <row r="25" spans="1:37">
      <c r="A25">
        <v>21</v>
      </c>
      <c r="B25" s="57"/>
      <c r="C25" s="58"/>
      <c r="D25" s="84"/>
      <c r="E25" s="82"/>
      <c r="F25" s="158"/>
      <c r="G25" s="159"/>
      <c r="H25" s="281">
        <f>COUNTIFS(缺陷明细!$A$2:$A$50000,$B$4,缺陷明细!$G$2:$G$50000,$C25,缺陷明细!$J$2:$J$50000,"评审",缺陷明细!$AB$2:$AB$50000,"&lt;&gt;丢弃",缺陷明细!$AB$2:$AB$50000,"&lt;&gt;设计如此",缺陷明细!$AB$2:$AB$50000,"&lt;&gt;重复Bug")</f>
        <v>0</v>
      </c>
      <c r="I25" s="154">
        <f>COUNTIFS(缺陷明细!$A$2:$A$50000,$B$4,缺陷明细!$G$2:$G$50000,$C25,缺陷明细!$Q$2:$Q$50000,"已关闭",缺陷明细!$J$2:$J$50000,"评审")</f>
        <v>0</v>
      </c>
      <c r="J25" s="154">
        <f>COUNTIFS(缺陷明细!$A$2:$A$50000,$B$4,缺陷明细!$G$2:$G$50000,$C25,缺陷明细!$J$2:$J$50000,"单元测试",缺陷明细!$AB$2:$AB$50000,"&lt;&gt;丢弃",缺陷明细!$AB$2:$AB$50000,"&lt;&gt;设计如此",缺陷明细!$AB$2:$AB$50000,"&lt;&gt;重复Bug")</f>
        <v>0</v>
      </c>
      <c r="K25" s="155">
        <f>COUNTIFS(缺陷明细!$A$2:$A$50000,$B$4,缺陷明细!$G$2:$G$50000,$C25,缺陷明细!$Q$2:$Q$50000,"已关闭",缺陷明细!$J$2:$J$50000,"单元测试")</f>
        <v>0</v>
      </c>
      <c r="L25" s="156"/>
      <c r="M25" s="157"/>
      <c r="N25" s="72">
        <f>COUNTIFS(缺陷明细!$A$2:$A$50000,$B$4,缺陷明细!$G$2:$G$50000,$C25,缺陷明细!$J$2:$J$50000,"系统测试案例评审",缺陷明细!$AB$2:$AB$50000,"&lt;&gt;丢弃",缺陷明细!$AB$2:$AB$50000,"&lt;&gt;设计如此",缺陷明细!$AB$2:$AB$50000,"&lt;&gt;重复Bug")</f>
        <v>0</v>
      </c>
      <c r="O25" s="72">
        <f>COUNTIFS(缺陷明细!$A$2:$A$50000,$B$4,缺陷明细!$G$2:$G$50000,$C25,缺陷明细!$Q$2:$Q$50000,"已关闭",缺陷明细!$J$2:$J$50000,"系统测试案例评审")</f>
        <v>0</v>
      </c>
      <c r="P25" s="72">
        <f>COUNTIFS(缺陷明细!$A$2:$A$50000,$B$4,缺陷明细!$G$2:$G$50000,$C25,缺陷明细!$J$2:$J$50000,"系统测试",缺陷明细!$AB$2:$AB$50000,"&lt;&gt;丢弃",缺陷明细!$AB$2:$AB$50000,"&lt;&gt;设计如此",缺陷明细!$AB$2:$AB$50000,"&lt;&gt;重复Bug")</f>
        <v>0</v>
      </c>
      <c r="Q25" s="72">
        <f>COUNTIFS(缺陷明细!$A$2:$A$50000,$B$4,缺陷明细!$G$2:$G$50000,$C25,缺陷明细!$Q$2:$Q$50000,"已关闭",缺陷明细!$J$2:$J$50000,"系统测试")</f>
        <v>0</v>
      </c>
      <c r="R25" s="296">
        <f>COUNTIFS(缺陷明细!$A$2:$A$50000,$B$4,缺陷明细!$G$2:$G$50000,$C25,缺陷明细!$AB$2:$AB$50000,"丢弃",缺陷明细!$J$2:$J$50000,"系统测试")+COUNTIFS(缺陷明细!$A$2:$A$50000,$B$4,缺陷明细!$G$2:$G$50000,$C25,缺陷明细!$AB$2:$AB$50000,"设计如此",缺陷明细!$J$2:$J$50000,"系统测试")+COUNTIFS(缺陷明细!$A$2:$A$50000,$B$4,缺陷明细!$G$2:$G$50000,$C25,缺陷明细!$AB$2:$AB$50000,"重复Bug",缺陷明细!$J$2:$J$50000,"系统测试")</f>
        <v>0</v>
      </c>
      <c r="S25" s="72">
        <f>COUNTIFS(缺陷明细!$A$2:$A$50000,$B$4,缺陷明细!$G$2:$G$50000,$C25,缺陷明细!$J$2:$J$50000,"系统测试",缺陷明细!$K$2:$K$50000,"致命",缺陷明细!$AB$2:$AB$50000,"&lt;&gt;丢弃",缺陷明细!$AB$2:$AB$50000,"&lt;&gt;设计如此",缺陷明细!$AB$2:$AB$50000,"&lt;&gt;重复Bug")+COUNTIFS(缺陷明细!$A$2:$A$50000,$B$4,缺陷明细!$G$2:$G$50000,$C25,缺陷明细!$J$2:$J$50000,"系统测试",缺陷明细!$K$2:$K$50000,"严重",缺陷明细!$AB$2:$AB$50000,"&lt;&gt;丢弃",缺陷明细!$AB$2:$AB$50000,"&lt;&gt;设计如此",缺陷明细!$AB$2:$AB$50000,"&lt;&gt;重复Bug")</f>
        <v>0</v>
      </c>
      <c r="T25" s="73">
        <f>COUNTIFS(缺陷明细!$A$2:$A$50000,$B$4,缺陷明细!$G$2:$G$50000,$C25,缺陷明细!$Q$2:$Q$50000,"已关闭",缺陷明细!$J$2:$J$50000,"系统测试",缺陷明细!$K$2:$K$50000,"致命")+COUNTIFS(缺陷明细!$A$2:$A$50000,$B$4,缺陷明细!$G$2:$G$50000,$C25,缺陷明细!$Q$2:$Q$50000,"已关闭",缺陷明细!$J$2:$J$50000,"系统测试",缺陷明细!$K$2:$K$50000,"严重")</f>
        <v>0</v>
      </c>
      <c r="U25" s="74">
        <f>COUNTIFS(缺陷明细!$A$2:$A$50000,$B$4,缺陷明细!$G$2:$G$50000,$C25,缺陷明细!$J$2:$J$50000,"验收测试",缺陷明细!$AB$2:$AB$50000,"&lt;&gt;丢弃",缺陷明细!$AB$2:$AB$50000,"&lt;&gt;设计如此",缺陷明细!$AB$2:$AB$50000,"&lt;&gt;重复Bug")</f>
        <v>0</v>
      </c>
      <c r="V25" s="75">
        <f>COUNTIFS(缺陷明细!$A$2:$A$50000,$B$4,缺陷明细!$G$2:$G$50000,$C25,缺陷明细!$Q$2:$Q$50000,"已关闭",缺陷明细!$J$2:$J$50000,"验收测试")</f>
        <v>0</v>
      </c>
      <c r="W25" s="75">
        <f>COUNTIFS(缺陷明细!$A$2:$A$50000,$B$4,缺陷明细!$G$2:$G$50000,$C25,缺陷明细!$J$2:$J$50000,"验收测试",缺陷明细!$K$2:$K$50000,"致命",缺陷明细!$AB$2:$AB$50000,"&lt;&gt;丢弃",缺陷明细!$AB$2:$AB$50000,"&lt;&gt;设计如此",缺陷明细!$AB$2:$AB$50000,"&lt;&gt;重复Bug")+COUNTIFS(缺陷明细!$A$2:$A$50000,$B$4,缺陷明细!$G$2:$G$50000,$C25,缺陷明细!$J$2:$J$50000,"验收测试",缺陷明细!$K$2:$K$50000,"严重",缺陷明细!$AB$2:$AB$50000,"&lt;&gt;丢弃",缺陷明细!$AB$2:$AB$50000,"&lt;&gt;设计如此",缺陷明细!$AB$2:$AB$50000,"&lt;&gt;重复Bug")</f>
        <v>0</v>
      </c>
      <c r="X25" s="76">
        <f>COUNTIFS(缺陷明细!$A$2:$A$50000,$B$4,缺陷明细!$G$2:$G$50000,$C25,缺陷明细!$Q$2:$Q$50000,"已关闭",缺陷明细!$J$2:$J$50000,"验收测试",缺陷明细!$K$2:$K$50000,"致命")+COUNTIFS(缺陷明细!$A$2:$A$50000,$B$4,缺陷明细!$G$2:$G$50000,$C25,缺陷明细!$Q$2:$Q$50000,"已关闭",缺陷明细!$J$2:$J$50000,"验收测试",缺陷明细!$K$2:$K$50000,"严重")</f>
        <v>0</v>
      </c>
      <c r="Y25" s="70">
        <f>COUNTIFS(缺陷明细!$A$2:$A$50000,$B$4,缺陷明细!$G$2:$G$50000,$C25,缺陷明细!$J$2:$J$50000,"运维测试",缺陷明细!$AB$2:$AB$50000,"&lt;&gt;丢弃",缺陷明细!$AB$2:$AB$50000,"&lt;&gt;设计如此",缺陷明细!$AB$2:$AB$50000,"&lt;&gt;重复Bug")</f>
        <v>0</v>
      </c>
      <c r="Z25" s="71">
        <f>COUNTIFS(缺陷明细!$A$2:$A$50000,$B$4,缺陷明细!$G$2:$G$50000,$C25,缺陷明细!$Q$2:$Q$50000,"已关闭",缺陷明细!$J$2:$J$50000,"运维测试")</f>
        <v>0</v>
      </c>
      <c r="AA25" s="72">
        <f>COUNTIFS(缺陷明细!$A$2:$A$50000,$B$4,缺陷明细!$G$2:$G$50000,$C25,缺陷明细!$J$2:$J$50000,"运维测试",缺陷明细!$K$2:$K$50000,"致命",缺陷明细!$AB$2:$AB$50000,"&lt;&gt;丢弃",缺陷明细!$AB$2:$AB$50000,"&lt;&gt;设计如此",缺陷明细!$AB$2:$AB$50000,"&lt;&gt;重复Bug")+COUNTIFS(缺陷明细!$A$2:$A$50000,$B$4,缺陷明细!$G$2:$G$50000,$C25,缺陷明细!$J$2:$J$50000,"运维测试",缺陷明细!$K$2:$K$50000,"严重",缺陷明细!$AB$2:$AB$50000,"&lt;&gt;丢弃",缺陷明细!$AB$2:$AB$50000,"&lt;&gt;设计如此",缺陷明细!$AB$2:$AB$50000,"&lt;&gt;重复Bug")</f>
        <v>0</v>
      </c>
      <c r="AB25" s="73">
        <f>COUNTIFS(缺陷明细!$A$2:$A$50000,$B$4,缺陷明细!$G$2:$G$50000,$C25,缺陷明细!$Q$2:$Q$50000,"已关闭",缺陷明细!$J$2:$J$50000,"运维测试",缺陷明细!$K$2:$K$50000,"致命")+COUNTIFS(缺陷明细!$A$2:$A$50000,$B$4,缺陷明细!$G$2:$G$50000,$C25,缺陷明细!$Q$2:$Q$50000,"已关闭",缺陷明细!$J$2:$J$50000,"运维测试",缺陷明细!$K$2:$K$50000,"严重")</f>
        <v>0</v>
      </c>
      <c r="AC25" s="68">
        <f t="shared" si="0"/>
        <v>0</v>
      </c>
      <c r="AD25" s="60">
        <f t="shared" si="0"/>
        <v>0</v>
      </c>
      <c r="AE25" s="60">
        <f t="shared" si="1"/>
        <v>0</v>
      </c>
      <c r="AF25" s="60">
        <f t="shared" si="1"/>
        <v>0</v>
      </c>
      <c r="AG25" s="60">
        <f t="shared" si="2"/>
        <v>0</v>
      </c>
      <c r="AH25" s="60">
        <f t="shared" si="2"/>
        <v>0</v>
      </c>
      <c r="AI25" s="60">
        <f t="shared" si="3"/>
        <v>0</v>
      </c>
      <c r="AJ25" s="61">
        <f t="shared" si="3"/>
        <v>0</v>
      </c>
      <c r="AK25" s="144"/>
    </row>
    <row r="26" spans="1:37">
      <c r="A26">
        <v>22</v>
      </c>
      <c r="B26" s="57"/>
      <c r="C26" s="58"/>
      <c r="D26" s="84"/>
      <c r="E26" s="82"/>
      <c r="F26" s="158"/>
      <c r="G26" s="159"/>
      <c r="H26" s="281">
        <f>COUNTIFS(缺陷明细!$A$2:$A$50000,$B$4,缺陷明细!$G$2:$G$50000,$C26,缺陷明细!$J$2:$J$50000,"评审",缺陷明细!$AB$2:$AB$50000,"&lt;&gt;丢弃",缺陷明细!$AB$2:$AB$50000,"&lt;&gt;设计如此",缺陷明细!$AB$2:$AB$50000,"&lt;&gt;重复Bug")</f>
        <v>0</v>
      </c>
      <c r="I26" s="154">
        <f>COUNTIFS(缺陷明细!$A$2:$A$50000,$B$4,缺陷明细!$G$2:$G$50000,$C26,缺陷明细!$Q$2:$Q$50000,"已关闭",缺陷明细!$J$2:$J$50000,"评审")</f>
        <v>0</v>
      </c>
      <c r="J26" s="154">
        <f>COUNTIFS(缺陷明细!$A$2:$A$50000,$B$4,缺陷明细!$G$2:$G$50000,$C26,缺陷明细!$J$2:$J$50000,"单元测试",缺陷明细!$AB$2:$AB$50000,"&lt;&gt;丢弃",缺陷明细!$AB$2:$AB$50000,"&lt;&gt;设计如此",缺陷明细!$AB$2:$AB$50000,"&lt;&gt;重复Bug")</f>
        <v>0</v>
      </c>
      <c r="K26" s="155">
        <f>COUNTIFS(缺陷明细!$A$2:$A$50000,$B$4,缺陷明细!$G$2:$G$50000,$C26,缺陷明细!$Q$2:$Q$50000,"已关闭",缺陷明细!$J$2:$J$50000,"单元测试")</f>
        <v>0</v>
      </c>
      <c r="L26" s="156"/>
      <c r="M26" s="157"/>
      <c r="N26" s="72">
        <f>COUNTIFS(缺陷明细!$A$2:$A$50000,$B$4,缺陷明细!$G$2:$G$50000,$C26,缺陷明细!$J$2:$J$50000,"系统测试案例评审",缺陷明细!$AB$2:$AB$50000,"&lt;&gt;丢弃",缺陷明细!$AB$2:$AB$50000,"&lt;&gt;设计如此",缺陷明细!$AB$2:$AB$50000,"&lt;&gt;重复Bug")</f>
        <v>0</v>
      </c>
      <c r="O26" s="72">
        <f>COUNTIFS(缺陷明细!$A$2:$A$50000,$B$4,缺陷明细!$G$2:$G$50000,$C26,缺陷明细!$Q$2:$Q$50000,"已关闭",缺陷明细!$J$2:$J$50000,"系统测试案例评审")</f>
        <v>0</v>
      </c>
      <c r="P26" s="72">
        <f>COUNTIFS(缺陷明细!$A$2:$A$50000,$B$4,缺陷明细!$G$2:$G$50000,$C26,缺陷明细!$J$2:$J$50000,"系统测试",缺陷明细!$AB$2:$AB$50000,"&lt;&gt;丢弃",缺陷明细!$AB$2:$AB$50000,"&lt;&gt;设计如此",缺陷明细!$AB$2:$AB$50000,"&lt;&gt;重复Bug")</f>
        <v>0</v>
      </c>
      <c r="Q26" s="72">
        <f>COUNTIFS(缺陷明细!$A$2:$A$50000,$B$4,缺陷明细!$G$2:$G$50000,$C26,缺陷明细!$Q$2:$Q$50000,"已关闭",缺陷明细!$J$2:$J$50000,"系统测试")</f>
        <v>0</v>
      </c>
      <c r="R26" s="296">
        <f>COUNTIFS(缺陷明细!$A$2:$A$50000,$B$4,缺陷明细!$G$2:$G$50000,$C26,缺陷明细!$AB$2:$AB$50000,"丢弃",缺陷明细!$J$2:$J$50000,"系统测试")+COUNTIFS(缺陷明细!$A$2:$A$50000,$B$4,缺陷明细!$G$2:$G$50000,$C26,缺陷明细!$AB$2:$AB$50000,"设计如此",缺陷明细!$J$2:$J$50000,"系统测试")+COUNTIFS(缺陷明细!$A$2:$A$50000,$B$4,缺陷明细!$G$2:$G$50000,$C26,缺陷明细!$AB$2:$AB$50000,"重复Bug",缺陷明细!$J$2:$J$50000,"系统测试")</f>
        <v>0</v>
      </c>
      <c r="S26" s="72">
        <f>COUNTIFS(缺陷明细!$A$2:$A$50000,$B$4,缺陷明细!$G$2:$G$50000,$C26,缺陷明细!$J$2:$J$50000,"系统测试",缺陷明细!$K$2:$K$50000,"致命",缺陷明细!$AB$2:$AB$50000,"&lt;&gt;丢弃",缺陷明细!$AB$2:$AB$50000,"&lt;&gt;设计如此",缺陷明细!$AB$2:$AB$50000,"&lt;&gt;重复Bug")+COUNTIFS(缺陷明细!$A$2:$A$50000,$B$4,缺陷明细!$G$2:$G$50000,$C26,缺陷明细!$J$2:$J$50000,"系统测试",缺陷明细!$K$2:$K$50000,"严重",缺陷明细!$AB$2:$AB$50000,"&lt;&gt;丢弃",缺陷明细!$AB$2:$AB$50000,"&lt;&gt;设计如此",缺陷明细!$AB$2:$AB$50000,"&lt;&gt;重复Bug")</f>
        <v>0</v>
      </c>
      <c r="T26" s="73">
        <f>COUNTIFS(缺陷明细!$A$2:$A$50000,$B$4,缺陷明细!$G$2:$G$50000,$C26,缺陷明细!$Q$2:$Q$50000,"已关闭",缺陷明细!$J$2:$J$50000,"系统测试",缺陷明细!$K$2:$K$50000,"致命")+COUNTIFS(缺陷明细!$A$2:$A$50000,$B$4,缺陷明细!$G$2:$G$50000,$C26,缺陷明细!$Q$2:$Q$50000,"已关闭",缺陷明细!$J$2:$J$50000,"系统测试",缺陷明细!$K$2:$K$50000,"严重")</f>
        <v>0</v>
      </c>
      <c r="U26" s="74">
        <f>COUNTIFS(缺陷明细!$A$2:$A$50000,$B$4,缺陷明细!$G$2:$G$50000,$C26,缺陷明细!$J$2:$J$50000,"验收测试",缺陷明细!$AB$2:$AB$50000,"&lt;&gt;丢弃",缺陷明细!$AB$2:$AB$50000,"&lt;&gt;设计如此",缺陷明细!$AB$2:$AB$50000,"&lt;&gt;重复Bug")</f>
        <v>0</v>
      </c>
      <c r="V26" s="75">
        <f>COUNTIFS(缺陷明细!$A$2:$A$50000,$B$4,缺陷明细!$G$2:$G$50000,$C26,缺陷明细!$Q$2:$Q$50000,"已关闭",缺陷明细!$J$2:$J$50000,"验收测试")</f>
        <v>0</v>
      </c>
      <c r="W26" s="75">
        <f>COUNTIFS(缺陷明细!$A$2:$A$50000,$B$4,缺陷明细!$G$2:$G$50000,$C26,缺陷明细!$J$2:$J$50000,"验收测试",缺陷明细!$K$2:$K$50000,"致命",缺陷明细!$AB$2:$AB$50000,"&lt;&gt;丢弃",缺陷明细!$AB$2:$AB$50000,"&lt;&gt;设计如此",缺陷明细!$AB$2:$AB$50000,"&lt;&gt;重复Bug")+COUNTIFS(缺陷明细!$A$2:$A$50000,$B$4,缺陷明细!$G$2:$G$50000,$C26,缺陷明细!$J$2:$J$50000,"验收测试",缺陷明细!$K$2:$K$50000,"严重",缺陷明细!$AB$2:$AB$50000,"&lt;&gt;丢弃",缺陷明细!$AB$2:$AB$50000,"&lt;&gt;设计如此",缺陷明细!$AB$2:$AB$50000,"&lt;&gt;重复Bug")</f>
        <v>0</v>
      </c>
      <c r="X26" s="76">
        <f>COUNTIFS(缺陷明细!$A$2:$A$50000,$B$4,缺陷明细!$G$2:$G$50000,$C26,缺陷明细!$Q$2:$Q$50000,"已关闭",缺陷明细!$J$2:$J$50000,"验收测试",缺陷明细!$K$2:$K$50000,"致命")+COUNTIFS(缺陷明细!$A$2:$A$50000,$B$4,缺陷明细!$G$2:$G$50000,$C26,缺陷明细!$Q$2:$Q$50000,"已关闭",缺陷明细!$J$2:$J$50000,"验收测试",缺陷明细!$K$2:$K$50000,"严重")</f>
        <v>0</v>
      </c>
      <c r="Y26" s="70">
        <f>COUNTIFS(缺陷明细!$A$2:$A$50000,$B$4,缺陷明细!$G$2:$G$50000,$C26,缺陷明细!$J$2:$J$50000,"运维测试",缺陷明细!$AB$2:$AB$50000,"&lt;&gt;丢弃",缺陷明细!$AB$2:$AB$50000,"&lt;&gt;设计如此",缺陷明细!$AB$2:$AB$50000,"&lt;&gt;重复Bug")</f>
        <v>0</v>
      </c>
      <c r="Z26" s="71">
        <f>COUNTIFS(缺陷明细!$A$2:$A$50000,$B$4,缺陷明细!$G$2:$G$50000,$C26,缺陷明细!$Q$2:$Q$50000,"已关闭",缺陷明细!$J$2:$J$50000,"运维测试")</f>
        <v>0</v>
      </c>
      <c r="AA26" s="72">
        <f>COUNTIFS(缺陷明细!$A$2:$A$50000,$B$4,缺陷明细!$G$2:$G$50000,$C26,缺陷明细!$J$2:$J$50000,"运维测试",缺陷明细!$K$2:$K$50000,"致命",缺陷明细!$AB$2:$AB$50000,"&lt;&gt;丢弃",缺陷明细!$AB$2:$AB$50000,"&lt;&gt;设计如此",缺陷明细!$AB$2:$AB$50000,"&lt;&gt;重复Bug")+COUNTIFS(缺陷明细!$A$2:$A$50000,$B$4,缺陷明细!$G$2:$G$50000,$C26,缺陷明细!$J$2:$J$50000,"运维测试",缺陷明细!$K$2:$K$50000,"严重",缺陷明细!$AB$2:$AB$50000,"&lt;&gt;丢弃",缺陷明细!$AB$2:$AB$50000,"&lt;&gt;设计如此",缺陷明细!$AB$2:$AB$50000,"&lt;&gt;重复Bug")</f>
        <v>0</v>
      </c>
      <c r="AB26" s="73">
        <f>COUNTIFS(缺陷明细!$A$2:$A$50000,$B$4,缺陷明细!$G$2:$G$50000,$C26,缺陷明细!$Q$2:$Q$50000,"已关闭",缺陷明细!$J$2:$J$50000,"运维测试",缺陷明细!$K$2:$K$50000,"致命")+COUNTIFS(缺陷明细!$A$2:$A$50000,$B$4,缺陷明细!$G$2:$G$50000,$C26,缺陷明细!$Q$2:$Q$50000,"已关闭",缺陷明细!$J$2:$J$50000,"运维测试",缺陷明细!$K$2:$K$50000,"严重")</f>
        <v>0</v>
      </c>
      <c r="AC26" s="68">
        <f t="shared" si="0"/>
        <v>0</v>
      </c>
      <c r="AD26" s="60">
        <f t="shared" si="0"/>
        <v>0</v>
      </c>
      <c r="AE26" s="60">
        <f t="shared" si="1"/>
        <v>0</v>
      </c>
      <c r="AF26" s="60">
        <f t="shared" si="1"/>
        <v>0</v>
      </c>
      <c r="AG26" s="60">
        <f t="shared" si="2"/>
        <v>0</v>
      </c>
      <c r="AH26" s="60">
        <f t="shared" si="2"/>
        <v>0</v>
      </c>
      <c r="AI26" s="60">
        <f t="shared" si="3"/>
        <v>0</v>
      </c>
      <c r="AJ26" s="61">
        <f t="shared" si="3"/>
        <v>0</v>
      </c>
      <c r="AK26" s="144"/>
    </row>
    <row r="27" spans="1:37">
      <c r="A27">
        <v>23</v>
      </c>
      <c r="B27" s="57"/>
      <c r="C27" s="58"/>
      <c r="D27" s="84"/>
      <c r="E27" s="82"/>
      <c r="F27" s="158"/>
      <c r="G27" s="159"/>
      <c r="H27" s="281">
        <f>COUNTIFS(缺陷明细!$A$2:$A$50000,$B$4,缺陷明细!$G$2:$G$50000,$C27,缺陷明细!$J$2:$J$50000,"评审",缺陷明细!$AB$2:$AB$50000,"&lt;&gt;丢弃",缺陷明细!$AB$2:$AB$50000,"&lt;&gt;设计如此",缺陷明细!$AB$2:$AB$50000,"&lt;&gt;重复Bug")</f>
        <v>0</v>
      </c>
      <c r="I27" s="154">
        <f>COUNTIFS(缺陷明细!$A$2:$A$50000,$B$4,缺陷明细!$G$2:$G$50000,$C27,缺陷明细!$Q$2:$Q$50000,"已关闭",缺陷明细!$J$2:$J$50000,"评审")</f>
        <v>0</v>
      </c>
      <c r="J27" s="154">
        <f>COUNTIFS(缺陷明细!$A$2:$A$50000,$B$4,缺陷明细!$G$2:$G$50000,$C27,缺陷明细!$J$2:$J$50000,"单元测试",缺陷明细!$AB$2:$AB$50000,"&lt;&gt;丢弃",缺陷明细!$AB$2:$AB$50000,"&lt;&gt;设计如此",缺陷明细!$AB$2:$AB$50000,"&lt;&gt;重复Bug")</f>
        <v>0</v>
      </c>
      <c r="K27" s="155">
        <f>COUNTIFS(缺陷明细!$A$2:$A$50000,$B$4,缺陷明细!$G$2:$G$50000,$C27,缺陷明细!$Q$2:$Q$50000,"已关闭",缺陷明细!$J$2:$J$50000,"单元测试")</f>
        <v>0</v>
      </c>
      <c r="L27" s="156"/>
      <c r="M27" s="157"/>
      <c r="N27" s="72">
        <f>COUNTIFS(缺陷明细!$A$2:$A$50000,$B$4,缺陷明细!$G$2:$G$50000,$C27,缺陷明细!$J$2:$J$50000,"系统测试案例评审",缺陷明细!$AB$2:$AB$50000,"&lt;&gt;丢弃",缺陷明细!$AB$2:$AB$50000,"&lt;&gt;设计如此",缺陷明细!$AB$2:$AB$50000,"&lt;&gt;重复Bug")</f>
        <v>0</v>
      </c>
      <c r="O27" s="72">
        <f>COUNTIFS(缺陷明细!$A$2:$A$50000,$B$4,缺陷明细!$G$2:$G$50000,$C27,缺陷明细!$Q$2:$Q$50000,"已关闭",缺陷明细!$J$2:$J$50000,"系统测试案例评审")</f>
        <v>0</v>
      </c>
      <c r="P27" s="72">
        <f>COUNTIFS(缺陷明细!$A$2:$A$50000,$B$4,缺陷明细!$G$2:$G$50000,$C27,缺陷明细!$J$2:$J$50000,"系统测试",缺陷明细!$AB$2:$AB$50000,"&lt;&gt;丢弃",缺陷明细!$AB$2:$AB$50000,"&lt;&gt;设计如此",缺陷明细!$AB$2:$AB$50000,"&lt;&gt;重复Bug")</f>
        <v>0</v>
      </c>
      <c r="Q27" s="72">
        <f>COUNTIFS(缺陷明细!$A$2:$A$50000,$B$4,缺陷明细!$G$2:$G$50000,$C27,缺陷明细!$Q$2:$Q$50000,"已关闭",缺陷明细!$J$2:$J$50000,"系统测试")</f>
        <v>0</v>
      </c>
      <c r="R27" s="296">
        <f>COUNTIFS(缺陷明细!$A$2:$A$50000,$B$4,缺陷明细!$G$2:$G$50000,$C27,缺陷明细!$AB$2:$AB$50000,"丢弃",缺陷明细!$J$2:$J$50000,"系统测试")+COUNTIFS(缺陷明细!$A$2:$A$50000,$B$4,缺陷明细!$G$2:$G$50000,$C27,缺陷明细!$AB$2:$AB$50000,"设计如此",缺陷明细!$J$2:$J$50000,"系统测试")+COUNTIFS(缺陷明细!$A$2:$A$50000,$B$4,缺陷明细!$G$2:$G$50000,$C27,缺陷明细!$AB$2:$AB$50000,"重复Bug",缺陷明细!$J$2:$J$50000,"系统测试")</f>
        <v>0</v>
      </c>
      <c r="S27" s="72">
        <f>COUNTIFS(缺陷明细!$A$2:$A$50000,$B$4,缺陷明细!$G$2:$G$50000,$C27,缺陷明细!$J$2:$J$50000,"系统测试",缺陷明细!$K$2:$K$50000,"致命",缺陷明细!$AB$2:$AB$50000,"&lt;&gt;丢弃",缺陷明细!$AB$2:$AB$50000,"&lt;&gt;设计如此",缺陷明细!$AB$2:$AB$50000,"&lt;&gt;重复Bug")+COUNTIFS(缺陷明细!$A$2:$A$50000,$B$4,缺陷明细!$G$2:$G$50000,$C27,缺陷明细!$J$2:$J$50000,"系统测试",缺陷明细!$K$2:$K$50000,"严重",缺陷明细!$AB$2:$AB$50000,"&lt;&gt;丢弃",缺陷明细!$AB$2:$AB$50000,"&lt;&gt;设计如此",缺陷明细!$AB$2:$AB$50000,"&lt;&gt;重复Bug")</f>
        <v>0</v>
      </c>
      <c r="T27" s="73">
        <f>COUNTIFS(缺陷明细!$A$2:$A$50000,$B$4,缺陷明细!$G$2:$G$50000,$C27,缺陷明细!$Q$2:$Q$50000,"已关闭",缺陷明细!$J$2:$J$50000,"系统测试",缺陷明细!$K$2:$K$50000,"致命")+COUNTIFS(缺陷明细!$A$2:$A$50000,$B$4,缺陷明细!$G$2:$G$50000,$C27,缺陷明细!$Q$2:$Q$50000,"已关闭",缺陷明细!$J$2:$J$50000,"系统测试",缺陷明细!$K$2:$K$50000,"严重")</f>
        <v>0</v>
      </c>
      <c r="U27" s="74">
        <f>COUNTIFS(缺陷明细!$A$2:$A$50000,$B$4,缺陷明细!$G$2:$G$50000,$C27,缺陷明细!$J$2:$J$50000,"验收测试",缺陷明细!$AB$2:$AB$50000,"&lt;&gt;丢弃",缺陷明细!$AB$2:$AB$50000,"&lt;&gt;设计如此",缺陷明细!$AB$2:$AB$50000,"&lt;&gt;重复Bug")</f>
        <v>0</v>
      </c>
      <c r="V27" s="75">
        <f>COUNTIFS(缺陷明细!$A$2:$A$50000,$B$4,缺陷明细!$G$2:$G$50000,$C27,缺陷明细!$Q$2:$Q$50000,"已关闭",缺陷明细!$J$2:$J$50000,"验收测试")</f>
        <v>0</v>
      </c>
      <c r="W27" s="75">
        <f>COUNTIFS(缺陷明细!$A$2:$A$50000,$B$4,缺陷明细!$G$2:$G$50000,$C27,缺陷明细!$J$2:$J$50000,"验收测试",缺陷明细!$K$2:$K$50000,"致命",缺陷明细!$AB$2:$AB$50000,"&lt;&gt;丢弃",缺陷明细!$AB$2:$AB$50000,"&lt;&gt;设计如此",缺陷明细!$AB$2:$AB$50000,"&lt;&gt;重复Bug")+COUNTIFS(缺陷明细!$A$2:$A$50000,$B$4,缺陷明细!$G$2:$G$50000,$C27,缺陷明细!$J$2:$J$50000,"验收测试",缺陷明细!$K$2:$K$50000,"严重",缺陷明细!$AB$2:$AB$50000,"&lt;&gt;丢弃",缺陷明细!$AB$2:$AB$50000,"&lt;&gt;设计如此",缺陷明细!$AB$2:$AB$50000,"&lt;&gt;重复Bug")</f>
        <v>0</v>
      </c>
      <c r="X27" s="76">
        <f>COUNTIFS(缺陷明细!$A$2:$A$50000,$B$4,缺陷明细!$G$2:$G$50000,$C27,缺陷明细!$Q$2:$Q$50000,"已关闭",缺陷明细!$J$2:$J$50000,"验收测试",缺陷明细!$K$2:$K$50000,"致命")+COUNTIFS(缺陷明细!$A$2:$A$50000,$B$4,缺陷明细!$G$2:$G$50000,$C27,缺陷明细!$Q$2:$Q$50000,"已关闭",缺陷明细!$J$2:$J$50000,"验收测试",缺陷明细!$K$2:$K$50000,"严重")</f>
        <v>0</v>
      </c>
      <c r="Y27" s="70">
        <f>COUNTIFS(缺陷明细!$A$2:$A$50000,$B$4,缺陷明细!$G$2:$G$50000,$C27,缺陷明细!$J$2:$J$50000,"运维测试",缺陷明细!$AB$2:$AB$50000,"&lt;&gt;丢弃",缺陷明细!$AB$2:$AB$50000,"&lt;&gt;设计如此",缺陷明细!$AB$2:$AB$50000,"&lt;&gt;重复Bug")</f>
        <v>0</v>
      </c>
      <c r="Z27" s="71">
        <f>COUNTIFS(缺陷明细!$A$2:$A$50000,$B$4,缺陷明细!$G$2:$G$50000,$C27,缺陷明细!$Q$2:$Q$50000,"已关闭",缺陷明细!$J$2:$J$50000,"运维测试")</f>
        <v>0</v>
      </c>
      <c r="AA27" s="72">
        <f>COUNTIFS(缺陷明细!$A$2:$A$50000,$B$4,缺陷明细!$G$2:$G$50000,$C27,缺陷明细!$J$2:$J$50000,"运维测试",缺陷明细!$K$2:$K$50000,"致命",缺陷明细!$AB$2:$AB$50000,"&lt;&gt;丢弃",缺陷明细!$AB$2:$AB$50000,"&lt;&gt;设计如此",缺陷明细!$AB$2:$AB$50000,"&lt;&gt;重复Bug")+COUNTIFS(缺陷明细!$A$2:$A$50000,$B$4,缺陷明细!$G$2:$G$50000,$C27,缺陷明细!$J$2:$J$50000,"运维测试",缺陷明细!$K$2:$K$50000,"严重",缺陷明细!$AB$2:$AB$50000,"&lt;&gt;丢弃",缺陷明细!$AB$2:$AB$50000,"&lt;&gt;设计如此",缺陷明细!$AB$2:$AB$50000,"&lt;&gt;重复Bug")</f>
        <v>0</v>
      </c>
      <c r="AB27" s="73">
        <f>COUNTIFS(缺陷明细!$A$2:$A$50000,$B$4,缺陷明细!$G$2:$G$50000,$C27,缺陷明细!$Q$2:$Q$50000,"已关闭",缺陷明细!$J$2:$J$50000,"运维测试",缺陷明细!$K$2:$K$50000,"致命")+COUNTIFS(缺陷明细!$A$2:$A$50000,$B$4,缺陷明细!$G$2:$G$50000,$C27,缺陷明细!$Q$2:$Q$50000,"已关闭",缺陷明细!$J$2:$J$50000,"运维测试",缺陷明细!$K$2:$K$50000,"严重")</f>
        <v>0</v>
      </c>
      <c r="AC27" s="68">
        <f t="shared" si="0"/>
        <v>0</v>
      </c>
      <c r="AD27" s="60">
        <f t="shared" si="0"/>
        <v>0</v>
      </c>
      <c r="AE27" s="60">
        <f t="shared" si="1"/>
        <v>0</v>
      </c>
      <c r="AF27" s="60">
        <f t="shared" si="1"/>
        <v>0</v>
      </c>
      <c r="AG27" s="60">
        <f t="shared" si="2"/>
        <v>0</v>
      </c>
      <c r="AH27" s="60">
        <f t="shared" si="2"/>
        <v>0</v>
      </c>
      <c r="AI27" s="60">
        <f t="shared" si="3"/>
        <v>0</v>
      </c>
      <c r="AJ27" s="61">
        <f t="shared" si="3"/>
        <v>0</v>
      </c>
      <c r="AK27" s="144"/>
    </row>
    <row r="28" spans="1:37">
      <c r="A28">
        <v>24</v>
      </c>
      <c r="B28" s="57"/>
      <c r="C28" s="58"/>
      <c r="D28" s="84"/>
      <c r="E28" s="82"/>
      <c r="F28" s="158"/>
      <c r="G28" s="159"/>
      <c r="H28" s="281">
        <f>COUNTIFS(缺陷明细!$A$2:$A$50000,$B$4,缺陷明细!$G$2:$G$50000,$C28,缺陷明细!$J$2:$J$50000,"评审",缺陷明细!$AB$2:$AB$50000,"&lt;&gt;丢弃",缺陷明细!$AB$2:$AB$50000,"&lt;&gt;设计如此",缺陷明细!$AB$2:$AB$50000,"&lt;&gt;重复Bug")</f>
        <v>0</v>
      </c>
      <c r="I28" s="154">
        <f>COUNTIFS(缺陷明细!$A$2:$A$50000,$B$4,缺陷明细!$G$2:$G$50000,$C28,缺陷明细!$Q$2:$Q$50000,"已关闭",缺陷明细!$J$2:$J$50000,"评审")</f>
        <v>0</v>
      </c>
      <c r="J28" s="154">
        <f>COUNTIFS(缺陷明细!$A$2:$A$50000,$B$4,缺陷明细!$G$2:$G$50000,$C28,缺陷明细!$J$2:$J$50000,"单元测试",缺陷明细!$AB$2:$AB$50000,"&lt;&gt;丢弃",缺陷明细!$AB$2:$AB$50000,"&lt;&gt;设计如此",缺陷明细!$AB$2:$AB$50000,"&lt;&gt;重复Bug")</f>
        <v>0</v>
      </c>
      <c r="K28" s="155">
        <f>COUNTIFS(缺陷明细!$A$2:$A$50000,$B$4,缺陷明细!$G$2:$G$50000,$C28,缺陷明细!$Q$2:$Q$50000,"已关闭",缺陷明细!$J$2:$J$50000,"单元测试")</f>
        <v>0</v>
      </c>
      <c r="L28" s="156"/>
      <c r="M28" s="157"/>
      <c r="N28" s="72">
        <f>COUNTIFS(缺陷明细!$A$2:$A$50000,$B$4,缺陷明细!$G$2:$G$50000,$C28,缺陷明细!$J$2:$J$50000,"系统测试案例评审",缺陷明细!$AB$2:$AB$50000,"&lt;&gt;丢弃",缺陷明细!$AB$2:$AB$50000,"&lt;&gt;设计如此",缺陷明细!$AB$2:$AB$50000,"&lt;&gt;重复Bug")</f>
        <v>0</v>
      </c>
      <c r="O28" s="72">
        <f>COUNTIFS(缺陷明细!$A$2:$A$50000,$B$4,缺陷明细!$G$2:$G$50000,$C28,缺陷明细!$Q$2:$Q$50000,"已关闭",缺陷明细!$J$2:$J$50000,"系统测试案例评审")</f>
        <v>0</v>
      </c>
      <c r="P28" s="72">
        <f>COUNTIFS(缺陷明细!$A$2:$A$50000,$B$4,缺陷明细!$G$2:$G$50000,$C28,缺陷明细!$J$2:$J$50000,"系统测试",缺陷明细!$AB$2:$AB$50000,"&lt;&gt;丢弃",缺陷明细!$AB$2:$AB$50000,"&lt;&gt;设计如此",缺陷明细!$AB$2:$AB$50000,"&lt;&gt;重复Bug")</f>
        <v>0</v>
      </c>
      <c r="Q28" s="72">
        <f>COUNTIFS(缺陷明细!$A$2:$A$50000,$B$4,缺陷明细!$G$2:$G$50000,$C28,缺陷明细!$Q$2:$Q$50000,"已关闭",缺陷明细!$J$2:$J$50000,"系统测试")</f>
        <v>0</v>
      </c>
      <c r="R28" s="296">
        <f>COUNTIFS(缺陷明细!$A$2:$A$50000,$B$4,缺陷明细!$G$2:$G$50000,$C28,缺陷明细!$AB$2:$AB$50000,"丢弃",缺陷明细!$J$2:$J$50000,"系统测试")+COUNTIFS(缺陷明细!$A$2:$A$50000,$B$4,缺陷明细!$G$2:$G$50000,$C28,缺陷明细!$AB$2:$AB$50000,"设计如此",缺陷明细!$J$2:$J$50000,"系统测试")+COUNTIFS(缺陷明细!$A$2:$A$50000,$B$4,缺陷明细!$G$2:$G$50000,$C28,缺陷明细!$AB$2:$AB$50000,"重复Bug",缺陷明细!$J$2:$J$50000,"系统测试")</f>
        <v>0</v>
      </c>
      <c r="S28" s="72">
        <f>COUNTIFS(缺陷明细!$A$2:$A$50000,$B$4,缺陷明细!$G$2:$G$50000,$C28,缺陷明细!$J$2:$J$50000,"系统测试",缺陷明细!$K$2:$K$50000,"致命",缺陷明细!$AB$2:$AB$50000,"&lt;&gt;丢弃",缺陷明细!$AB$2:$AB$50000,"&lt;&gt;设计如此",缺陷明细!$AB$2:$AB$50000,"&lt;&gt;重复Bug")+COUNTIFS(缺陷明细!$A$2:$A$50000,$B$4,缺陷明细!$G$2:$G$50000,$C28,缺陷明细!$J$2:$J$50000,"系统测试",缺陷明细!$K$2:$K$50000,"严重",缺陷明细!$AB$2:$AB$50000,"&lt;&gt;丢弃",缺陷明细!$AB$2:$AB$50000,"&lt;&gt;设计如此",缺陷明细!$AB$2:$AB$50000,"&lt;&gt;重复Bug")</f>
        <v>0</v>
      </c>
      <c r="T28" s="73">
        <f>COUNTIFS(缺陷明细!$A$2:$A$50000,$B$4,缺陷明细!$G$2:$G$50000,$C28,缺陷明细!$Q$2:$Q$50000,"已关闭",缺陷明细!$J$2:$J$50000,"系统测试",缺陷明细!$K$2:$K$50000,"致命")+COUNTIFS(缺陷明细!$A$2:$A$50000,$B$4,缺陷明细!$G$2:$G$50000,$C28,缺陷明细!$Q$2:$Q$50000,"已关闭",缺陷明细!$J$2:$J$50000,"系统测试",缺陷明细!$K$2:$K$50000,"严重")</f>
        <v>0</v>
      </c>
      <c r="U28" s="74">
        <f>COUNTIFS(缺陷明细!$A$2:$A$50000,$B$4,缺陷明细!$G$2:$G$50000,$C28,缺陷明细!$J$2:$J$50000,"验收测试",缺陷明细!$AB$2:$AB$50000,"&lt;&gt;丢弃",缺陷明细!$AB$2:$AB$50000,"&lt;&gt;设计如此",缺陷明细!$AB$2:$AB$50000,"&lt;&gt;重复Bug")</f>
        <v>0</v>
      </c>
      <c r="V28" s="75">
        <f>COUNTIFS(缺陷明细!$A$2:$A$50000,$B$4,缺陷明细!$G$2:$G$50000,$C28,缺陷明细!$Q$2:$Q$50000,"已关闭",缺陷明细!$J$2:$J$50000,"验收测试")</f>
        <v>0</v>
      </c>
      <c r="W28" s="75">
        <f>COUNTIFS(缺陷明细!$A$2:$A$50000,$B$4,缺陷明细!$G$2:$G$50000,$C28,缺陷明细!$J$2:$J$50000,"验收测试",缺陷明细!$K$2:$K$50000,"致命",缺陷明细!$AB$2:$AB$50000,"&lt;&gt;丢弃",缺陷明细!$AB$2:$AB$50000,"&lt;&gt;设计如此",缺陷明细!$AB$2:$AB$50000,"&lt;&gt;重复Bug")+COUNTIFS(缺陷明细!$A$2:$A$50000,$B$4,缺陷明细!$G$2:$G$50000,$C28,缺陷明细!$J$2:$J$50000,"验收测试",缺陷明细!$K$2:$K$50000,"严重",缺陷明细!$AB$2:$AB$50000,"&lt;&gt;丢弃",缺陷明细!$AB$2:$AB$50000,"&lt;&gt;设计如此",缺陷明细!$AB$2:$AB$50000,"&lt;&gt;重复Bug")</f>
        <v>0</v>
      </c>
      <c r="X28" s="76">
        <f>COUNTIFS(缺陷明细!$A$2:$A$50000,$B$4,缺陷明细!$G$2:$G$50000,$C28,缺陷明细!$Q$2:$Q$50000,"已关闭",缺陷明细!$J$2:$J$50000,"验收测试",缺陷明细!$K$2:$K$50000,"致命")+COUNTIFS(缺陷明细!$A$2:$A$50000,$B$4,缺陷明细!$G$2:$G$50000,$C28,缺陷明细!$Q$2:$Q$50000,"已关闭",缺陷明细!$J$2:$J$50000,"验收测试",缺陷明细!$K$2:$K$50000,"严重")</f>
        <v>0</v>
      </c>
      <c r="Y28" s="70">
        <f>COUNTIFS(缺陷明细!$A$2:$A$50000,$B$4,缺陷明细!$G$2:$G$50000,$C28,缺陷明细!$J$2:$J$50000,"运维测试",缺陷明细!$AB$2:$AB$50000,"&lt;&gt;丢弃",缺陷明细!$AB$2:$AB$50000,"&lt;&gt;设计如此",缺陷明细!$AB$2:$AB$50000,"&lt;&gt;重复Bug")</f>
        <v>0</v>
      </c>
      <c r="Z28" s="71">
        <f>COUNTIFS(缺陷明细!$A$2:$A$50000,$B$4,缺陷明细!$G$2:$G$50000,$C28,缺陷明细!$Q$2:$Q$50000,"已关闭",缺陷明细!$J$2:$J$50000,"运维测试")</f>
        <v>0</v>
      </c>
      <c r="AA28" s="72">
        <f>COUNTIFS(缺陷明细!$A$2:$A$50000,$B$4,缺陷明细!$G$2:$G$50000,$C28,缺陷明细!$J$2:$J$50000,"运维测试",缺陷明细!$K$2:$K$50000,"致命",缺陷明细!$AB$2:$AB$50000,"&lt;&gt;丢弃",缺陷明细!$AB$2:$AB$50000,"&lt;&gt;设计如此",缺陷明细!$AB$2:$AB$50000,"&lt;&gt;重复Bug")+COUNTIFS(缺陷明细!$A$2:$A$50000,$B$4,缺陷明细!$G$2:$G$50000,$C28,缺陷明细!$J$2:$J$50000,"运维测试",缺陷明细!$K$2:$K$50000,"严重",缺陷明细!$AB$2:$AB$50000,"&lt;&gt;丢弃",缺陷明细!$AB$2:$AB$50000,"&lt;&gt;设计如此",缺陷明细!$AB$2:$AB$50000,"&lt;&gt;重复Bug")</f>
        <v>0</v>
      </c>
      <c r="AB28" s="73">
        <f>COUNTIFS(缺陷明细!$A$2:$A$50000,$B$4,缺陷明细!$G$2:$G$50000,$C28,缺陷明细!$Q$2:$Q$50000,"已关闭",缺陷明细!$J$2:$J$50000,"运维测试",缺陷明细!$K$2:$K$50000,"致命")+COUNTIFS(缺陷明细!$A$2:$A$50000,$B$4,缺陷明细!$G$2:$G$50000,$C28,缺陷明细!$Q$2:$Q$50000,"已关闭",缺陷明细!$J$2:$J$50000,"运维测试",缺陷明细!$K$2:$K$50000,"严重")</f>
        <v>0</v>
      </c>
      <c r="AC28" s="68">
        <f t="shared" si="0"/>
        <v>0</v>
      </c>
      <c r="AD28" s="60">
        <f t="shared" si="0"/>
        <v>0</v>
      </c>
      <c r="AE28" s="60">
        <f t="shared" si="1"/>
        <v>0</v>
      </c>
      <c r="AF28" s="60">
        <f t="shared" si="1"/>
        <v>0</v>
      </c>
      <c r="AG28" s="60">
        <f t="shared" si="2"/>
        <v>0</v>
      </c>
      <c r="AH28" s="60">
        <f t="shared" si="2"/>
        <v>0</v>
      </c>
      <c r="AI28" s="60">
        <f t="shared" si="3"/>
        <v>0</v>
      </c>
      <c r="AJ28" s="61">
        <f t="shared" si="3"/>
        <v>0</v>
      </c>
      <c r="AK28" s="144"/>
    </row>
    <row r="29" spans="1:37">
      <c r="A29">
        <v>25</v>
      </c>
      <c r="B29" s="57"/>
      <c r="C29" s="58"/>
      <c r="D29" s="84"/>
      <c r="E29" s="82"/>
      <c r="F29" s="158"/>
      <c r="G29" s="159"/>
      <c r="H29" s="281">
        <f>COUNTIFS(缺陷明细!$A$2:$A$50000,$B$4,缺陷明细!$G$2:$G$50000,$C29,缺陷明细!$J$2:$J$50000,"评审",缺陷明细!$AB$2:$AB$50000,"&lt;&gt;丢弃",缺陷明细!$AB$2:$AB$50000,"&lt;&gt;设计如此",缺陷明细!$AB$2:$AB$50000,"&lt;&gt;重复Bug")</f>
        <v>0</v>
      </c>
      <c r="I29" s="154">
        <f>COUNTIFS(缺陷明细!$A$2:$A$50000,$B$4,缺陷明细!$G$2:$G$50000,$C29,缺陷明细!$Q$2:$Q$50000,"已关闭",缺陷明细!$J$2:$J$50000,"评审")</f>
        <v>0</v>
      </c>
      <c r="J29" s="154">
        <f>COUNTIFS(缺陷明细!$A$2:$A$50000,$B$4,缺陷明细!$G$2:$G$50000,$C29,缺陷明细!$J$2:$J$50000,"单元测试",缺陷明细!$AB$2:$AB$50000,"&lt;&gt;丢弃",缺陷明细!$AB$2:$AB$50000,"&lt;&gt;设计如此",缺陷明细!$AB$2:$AB$50000,"&lt;&gt;重复Bug")</f>
        <v>0</v>
      </c>
      <c r="K29" s="155">
        <f>COUNTIFS(缺陷明细!$A$2:$A$50000,$B$4,缺陷明细!$G$2:$G$50000,$C29,缺陷明细!$Q$2:$Q$50000,"已关闭",缺陷明细!$J$2:$J$50000,"单元测试")</f>
        <v>0</v>
      </c>
      <c r="L29" s="156"/>
      <c r="M29" s="157"/>
      <c r="N29" s="72">
        <f>COUNTIFS(缺陷明细!$A$2:$A$50000,$B$4,缺陷明细!$G$2:$G$50000,$C29,缺陷明细!$J$2:$J$50000,"系统测试案例评审",缺陷明细!$AB$2:$AB$50000,"&lt;&gt;丢弃",缺陷明细!$AB$2:$AB$50000,"&lt;&gt;设计如此",缺陷明细!$AB$2:$AB$50000,"&lt;&gt;重复Bug")</f>
        <v>0</v>
      </c>
      <c r="O29" s="72">
        <f>COUNTIFS(缺陷明细!$A$2:$A$50000,$B$4,缺陷明细!$G$2:$G$50000,$C29,缺陷明细!$Q$2:$Q$50000,"已关闭",缺陷明细!$J$2:$J$50000,"系统测试案例评审")</f>
        <v>0</v>
      </c>
      <c r="P29" s="72">
        <f>COUNTIFS(缺陷明细!$A$2:$A$50000,$B$4,缺陷明细!$G$2:$G$50000,$C29,缺陷明细!$J$2:$J$50000,"系统测试",缺陷明细!$AB$2:$AB$50000,"&lt;&gt;丢弃",缺陷明细!$AB$2:$AB$50000,"&lt;&gt;设计如此",缺陷明细!$AB$2:$AB$50000,"&lt;&gt;重复Bug")</f>
        <v>0</v>
      </c>
      <c r="Q29" s="72">
        <f>COUNTIFS(缺陷明细!$A$2:$A$50000,$B$4,缺陷明细!$G$2:$G$50000,$C29,缺陷明细!$Q$2:$Q$50000,"已关闭",缺陷明细!$J$2:$J$50000,"系统测试")</f>
        <v>0</v>
      </c>
      <c r="R29" s="296">
        <f>COUNTIFS(缺陷明细!$A$2:$A$50000,$B$4,缺陷明细!$G$2:$G$50000,$C29,缺陷明细!$AB$2:$AB$50000,"丢弃",缺陷明细!$J$2:$J$50000,"系统测试")+COUNTIFS(缺陷明细!$A$2:$A$50000,$B$4,缺陷明细!$G$2:$G$50000,$C29,缺陷明细!$AB$2:$AB$50000,"设计如此",缺陷明细!$J$2:$J$50000,"系统测试")+COUNTIFS(缺陷明细!$A$2:$A$50000,$B$4,缺陷明细!$G$2:$G$50000,$C29,缺陷明细!$AB$2:$AB$50000,"重复Bug",缺陷明细!$J$2:$J$50000,"系统测试")</f>
        <v>0</v>
      </c>
      <c r="S29" s="72">
        <f>COUNTIFS(缺陷明细!$A$2:$A$50000,$B$4,缺陷明细!$G$2:$G$50000,$C29,缺陷明细!$J$2:$J$50000,"系统测试",缺陷明细!$K$2:$K$50000,"致命",缺陷明细!$AB$2:$AB$50000,"&lt;&gt;丢弃",缺陷明细!$AB$2:$AB$50000,"&lt;&gt;设计如此",缺陷明细!$AB$2:$AB$50000,"&lt;&gt;重复Bug")+COUNTIFS(缺陷明细!$A$2:$A$50000,$B$4,缺陷明细!$G$2:$G$50000,$C29,缺陷明细!$J$2:$J$50000,"系统测试",缺陷明细!$K$2:$K$50000,"严重",缺陷明细!$AB$2:$AB$50000,"&lt;&gt;丢弃",缺陷明细!$AB$2:$AB$50000,"&lt;&gt;设计如此",缺陷明细!$AB$2:$AB$50000,"&lt;&gt;重复Bug")</f>
        <v>0</v>
      </c>
      <c r="T29" s="73">
        <f>COUNTIFS(缺陷明细!$A$2:$A$50000,$B$4,缺陷明细!$G$2:$G$50000,$C29,缺陷明细!$Q$2:$Q$50000,"已关闭",缺陷明细!$J$2:$J$50000,"系统测试",缺陷明细!$K$2:$K$50000,"致命")+COUNTIFS(缺陷明细!$A$2:$A$50000,$B$4,缺陷明细!$G$2:$G$50000,$C29,缺陷明细!$Q$2:$Q$50000,"已关闭",缺陷明细!$J$2:$J$50000,"系统测试",缺陷明细!$K$2:$K$50000,"严重")</f>
        <v>0</v>
      </c>
      <c r="U29" s="74">
        <f>COUNTIFS(缺陷明细!$A$2:$A$50000,$B$4,缺陷明细!$G$2:$G$50000,$C29,缺陷明细!$J$2:$J$50000,"验收测试",缺陷明细!$AB$2:$AB$50000,"&lt;&gt;丢弃",缺陷明细!$AB$2:$AB$50000,"&lt;&gt;设计如此",缺陷明细!$AB$2:$AB$50000,"&lt;&gt;重复Bug")</f>
        <v>0</v>
      </c>
      <c r="V29" s="75">
        <f>COUNTIFS(缺陷明细!$A$2:$A$50000,$B$4,缺陷明细!$G$2:$G$50000,$C29,缺陷明细!$Q$2:$Q$50000,"已关闭",缺陷明细!$J$2:$J$50000,"验收测试")</f>
        <v>0</v>
      </c>
      <c r="W29" s="75">
        <f>COUNTIFS(缺陷明细!$A$2:$A$50000,$B$4,缺陷明细!$G$2:$G$50000,$C29,缺陷明细!$J$2:$J$50000,"验收测试",缺陷明细!$K$2:$K$50000,"致命",缺陷明细!$AB$2:$AB$50000,"&lt;&gt;丢弃",缺陷明细!$AB$2:$AB$50000,"&lt;&gt;设计如此",缺陷明细!$AB$2:$AB$50000,"&lt;&gt;重复Bug")+COUNTIFS(缺陷明细!$A$2:$A$50000,$B$4,缺陷明细!$G$2:$G$50000,$C29,缺陷明细!$J$2:$J$50000,"验收测试",缺陷明细!$K$2:$K$50000,"严重",缺陷明细!$AB$2:$AB$50000,"&lt;&gt;丢弃",缺陷明细!$AB$2:$AB$50000,"&lt;&gt;设计如此",缺陷明细!$AB$2:$AB$50000,"&lt;&gt;重复Bug")</f>
        <v>0</v>
      </c>
      <c r="X29" s="76">
        <f>COUNTIFS(缺陷明细!$A$2:$A$50000,$B$4,缺陷明细!$G$2:$G$50000,$C29,缺陷明细!$Q$2:$Q$50000,"已关闭",缺陷明细!$J$2:$J$50000,"验收测试",缺陷明细!$K$2:$K$50000,"致命")+COUNTIFS(缺陷明细!$A$2:$A$50000,$B$4,缺陷明细!$G$2:$G$50000,$C29,缺陷明细!$Q$2:$Q$50000,"已关闭",缺陷明细!$J$2:$J$50000,"验收测试",缺陷明细!$K$2:$K$50000,"严重")</f>
        <v>0</v>
      </c>
      <c r="Y29" s="70">
        <f>COUNTIFS(缺陷明细!$A$2:$A$50000,$B$4,缺陷明细!$G$2:$G$50000,$C29,缺陷明细!$J$2:$J$50000,"运维测试",缺陷明细!$AB$2:$AB$50000,"&lt;&gt;丢弃",缺陷明细!$AB$2:$AB$50000,"&lt;&gt;设计如此",缺陷明细!$AB$2:$AB$50000,"&lt;&gt;重复Bug")</f>
        <v>0</v>
      </c>
      <c r="Z29" s="71">
        <f>COUNTIFS(缺陷明细!$A$2:$A$50000,$B$4,缺陷明细!$G$2:$G$50000,$C29,缺陷明细!$Q$2:$Q$50000,"已关闭",缺陷明细!$J$2:$J$50000,"运维测试")</f>
        <v>0</v>
      </c>
      <c r="AA29" s="72">
        <f>COUNTIFS(缺陷明细!$A$2:$A$50000,$B$4,缺陷明细!$G$2:$G$50000,$C29,缺陷明细!$J$2:$J$50000,"运维测试",缺陷明细!$K$2:$K$50000,"致命",缺陷明细!$AB$2:$AB$50000,"&lt;&gt;丢弃",缺陷明细!$AB$2:$AB$50000,"&lt;&gt;设计如此",缺陷明细!$AB$2:$AB$50000,"&lt;&gt;重复Bug")+COUNTIFS(缺陷明细!$A$2:$A$50000,$B$4,缺陷明细!$G$2:$G$50000,$C29,缺陷明细!$J$2:$J$50000,"运维测试",缺陷明细!$K$2:$K$50000,"严重",缺陷明细!$AB$2:$AB$50000,"&lt;&gt;丢弃",缺陷明细!$AB$2:$AB$50000,"&lt;&gt;设计如此",缺陷明细!$AB$2:$AB$50000,"&lt;&gt;重复Bug")</f>
        <v>0</v>
      </c>
      <c r="AB29" s="73">
        <f>COUNTIFS(缺陷明细!$A$2:$A$50000,$B$4,缺陷明细!$G$2:$G$50000,$C29,缺陷明细!$Q$2:$Q$50000,"已关闭",缺陷明细!$J$2:$J$50000,"运维测试",缺陷明细!$K$2:$K$50000,"致命")+COUNTIFS(缺陷明细!$A$2:$A$50000,$B$4,缺陷明细!$G$2:$G$50000,$C29,缺陷明细!$Q$2:$Q$50000,"已关闭",缺陷明细!$J$2:$J$50000,"运维测试",缺陷明细!$K$2:$K$50000,"严重")</f>
        <v>0</v>
      </c>
      <c r="AC29" s="68">
        <f t="shared" si="0"/>
        <v>0</v>
      </c>
      <c r="AD29" s="60">
        <f t="shared" si="0"/>
        <v>0</v>
      </c>
      <c r="AE29" s="60">
        <f t="shared" si="1"/>
        <v>0</v>
      </c>
      <c r="AF29" s="60">
        <f t="shared" si="1"/>
        <v>0</v>
      </c>
      <c r="AG29" s="60">
        <f t="shared" si="2"/>
        <v>0</v>
      </c>
      <c r="AH29" s="60">
        <f t="shared" si="2"/>
        <v>0</v>
      </c>
      <c r="AI29" s="60">
        <f t="shared" si="3"/>
        <v>0</v>
      </c>
      <c r="AJ29" s="61">
        <f t="shared" si="3"/>
        <v>0</v>
      </c>
      <c r="AK29" s="144"/>
    </row>
    <row r="30" spans="1:37">
      <c r="A30">
        <v>26</v>
      </c>
      <c r="B30" s="57"/>
      <c r="C30" s="58"/>
      <c r="D30" s="84"/>
      <c r="E30" s="82"/>
      <c r="F30" s="158"/>
      <c r="G30" s="159"/>
      <c r="H30" s="281">
        <f>COUNTIFS(缺陷明细!$A$2:$A$50000,$B$4,缺陷明细!$G$2:$G$50000,$C30,缺陷明细!$J$2:$J$50000,"评审",缺陷明细!$AB$2:$AB$50000,"&lt;&gt;丢弃",缺陷明细!$AB$2:$AB$50000,"&lt;&gt;设计如此",缺陷明细!$AB$2:$AB$50000,"&lt;&gt;重复Bug")</f>
        <v>0</v>
      </c>
      <c r="I30" s="154">
        <f>COUNTIFS(缺陷明细!$A$2:$A$50000,$B$4,缺陷明细!$G$2:$G$50000,$C30,缺陷明细!$Q$2:$Q$50000,"已关闭",缺陷明细!$J$2:$J$50000,"评审")</f>
        <v>0</v>
      </c>
      <c r="J30" s="154">
        <f>COUNTIFS(缺陷明细!$A$2:$A$50000,$B$4,缺陷明细!$G$2:$G$50000,$C30,缺陷明细!$J$2:$J$50000,"单元测试",缺陷明细!$AB$2:$AB$50000,"&lt;&gt;丢弃",缺陷明细!$AB$2:$AB$50000,"&lt;&gt;设计如此",缺陷明细!$AB$2:$AB$50000,"&lt;&gt;重复Bug")</f>
        <v>0</v>
      </c>
      <c r="K30" s="155">
        <f>COUNTIFS(缺陷明细!$A$2:$A$50000,$B$4,缺陷明细!$G$2:$G$50000,$C30,缺陷明细!$Q$2:$Q$50000,"已关闭",缺陷明细!$J$2:$J$50000,"单元测试")</f>
        <v>0</v>
      </c>
      <c r="L30" s="156"/>
      <c r="M30" s="157"/>
      <c r="N30" s="72">
        <f>COUNTIFS(缺陷明细!$A$2:$A$50000,$B$4,缺陷明细!$G$2:$G$50000,$C30,缺陷明细!$J$2:$J$50000,"系统测试案例评审",缺陷明细!$AB$2:$AB$50000,"&lt;&gt;丢弃",缺陷明细!$AB$2:$AB$50000,"&lt;&gt;设计如此",缺陷明细!$AB$2:$AB$50000,"&lt;&gt;重复Bug")</f>
        <v>0</v>
      </c>
      <c r="O30" s="72">
        <f>COUNTIFS(缺陷明细!$A$2:$A$50000,$B$4,缺陷明细!$G$2:$G$50000,$C30,缺陷明细!$Q$2:$Q$50000,"已关闭",缺陷明细!$J$2:$J$50000,"系统测试案例评审")</f>
        <v>0</v>
      </c>
      <c r="P30" s="72">
        <f>COUNTIFS(缺陷明细!$A$2:$A$50000,$B$4,缺陷明细!$G$2:$G$50000,$C30,缺陷明细!$J$2:$J$50000,"系统测试",缺陷明细!$AB$2:$AB$50000,"&lt;&gt;丢弃",缺陷明细!$AB$2:$AB$50000,"&lt;&gt;设计如此",缺陷明细!$AB$2:$AB$50000,"&lt;&gt;重复Bug")</f>
        <v>0</v>
      </c>
      <c r="Q30" s="72">
        <f>COUNTIFS(缺陷明细!$A$2:$A$50000,$B$4,缺陷明细!$G$2:$G$50000,$C30,缺陷明细!$Q$2:$Q$50000,"已关闭",缺陷明细!$J$2:$J$50000,"系统测试")</f>
        <v>0</v>
      </c>
      <c r="R30" s="296">
        <f>COUNTIFS(缺陷明细!$A$2:$A$50000,$B$4,缺陷明细!$G$2:$G$50000,$C30,缺陷明细!$AB$2:$AB$50000,"丢弃",缺陷明细!$J$2:$J$50000,"系统测试")+COUNTIFS(缺陷明细!$A$2:$A$50000,$B$4,缺陷明细!$G$2:$G$50000,$C30,缺陷明细!$AB$2:$AB$50000,"设计如此",缺陷明细!$J$2:$J$50000,"系统测试")+COUNTIFS(缺陷明细!$A$2:$A$50000,$B$4,缺陷明细!$G$2:$G$50000,$C30,缺陷明细!$AB$2:$AB$50000,"重复Bug",缺陷明细!$J$2:$J$50000,"系统测试")</f>
        <v>0</v>
      </c>
      <c r="S30" s="72">
        <f>COUNTIFS(缺陷明细!$A$2:$A$50000,$B$4,缺陷明细!$G$2:$G$50000,$C30,缺陷明细!$J$2:$J$50000,"系统测试",缺陷明细!$K$2:$K$50000,"致命",缺陷明细!$AB$2:$AB$50000,"&lt;&gt;丢弃",缺陷明细!$AB$2:$AB$50000,"&lt;&gt;设计如此",缺陷明细!$AB$2:$AB$50000,"&lt;&gt;重复Bug")+COUNTIFS(缺陷明细!$A$2:$A$50000,$B$4,缺陷明细!$G$2:$G$50000,$C30,缺陷明细!$J$2:$J$50000,"系统测试",缺陷明细!$K$2:$K$50000,"严重",缺陷明细!$AB$2:$AB$50000,"&lt;&gt;丢弃",缺陷明细!$AB$2:$AB$50000,"&lt;&gt;设计如此",缺陷明细!$AB$2:$AB$50000,"&lt;&gt;重复Bug")</f>
        <v>0</v>
      </c>
      <c r="T30" s="73">
        <f>COUNTIFS(缺陷明细!$A$2:$A$50000,$B$4,缺陷明细!$G$2:$G$50000,$C30,缺陷明细!$Q$2:$Q$50000,"已关闭",缺陷明细!$J$2:$J$50000,"系统测试",缺陷明细!$K$2:$K$50000,"致命")+COUNTIFS(缺陷明细!$A$2:$A$50000,$B$4,缺陷明细!$G$2:$G$50000,$C30,缺陷明细!$Q$2:$Q$50000,"已关闭",缺陷明细!$J$2:$J$50000,"系统测试",缺陷明细!$K$2:$K$50000,"严重")</f>
        <v>0</v>
      </c>
      <c r="U30" s="74">
        <f>COUNTIFS(缺陷明细!$A$2:$A$50000,$B$4,缺陷明细!$G$2:$G$50000,$C30,缺陷明细!$J$2:$J$50000,"验收测试",缺陷明细!$AB$2:$AB$50000,"&lt;&gt;丢弃",缺陷明细!$AB$2:$AB$50000,"&lt;&gt;设计如此",缺陷明细!$AB$2:$AB$50000,"&lt;&gt;重复Bug")</f>
        <v>0</v>
      </c>
      <c r="V30" s="75">
        <f>COUNTIFS(缺陷明细!$A$2:$A$50000,$B$4,缺陷明细!$G$2:$G$50000,$C30,缺陷明细!$Q$2:$Q$50000,"已关闭",缺陷明细!$J$2:$J$50000,"验收测试")</f>
        <v>0</v>
      </c>
      <c r="W30" s="75">
        <f>COUNTIFS(缺陷明细!$A$2:$A$50000,$B$4,缺陷明细!$G$2:$G$50000,$C30,缺陷明细!$J$2:$J$50000,"验收测试",缺陷明细!$K$2:$K$50000,"致命",缺陷明细!$AB$2:$AB$50000,"&lt;&gt;丢弃",缺陷明细!$AB$2:$AB$50000,"&lt;&gt;设计如此",缺陷明细!$AB$2:$AB$50000,"&lt;&gt;重复Bug")+COUNTIFS(缺陷明细!$A$2:$A$50000,$B$4,缺陷明细!$G$2:$G$50000,$C30,缺陷明细!$J$2:$J$50000,"验收测试",缺陷明细!$K$2:$K$50000,"严重",缺陷明细!$AB$2:$AB$50000,"&lt;&gt;丢弃",缺陷明细!$AB$2:$AB$50000,"&lt;&gt;设计如此",缺陷明细!$AB$2:$AB$50000,"&lt;&gt;重复Bug")</f>
        <v>0</v>
      </c>
      <c r="X30" s="76">
        <f>COUNTIFS(缺陷明细!$A$2:$A$50000,$B$4,缺陷明细!$G$2:$G$50000,$C30,缺陷明细!$Q$2:$Q$50000,"已关闭",缺陷明细!$J$2:$J$50000,"验收测试",缺陷明细!$K$2:$K$50000,"致命")+COUNTIFS(缺陷明细!$A$2:$A$50000,$B$4,缺陷明细!$G$2:$G$50000,$C30,缺陷明细!$Q$2:$Q$50000,"已关闭",缺陷明细!$J$2:$J$50000,"验收测试",缺陷明细!$K$2:$K$50000,"严重")</f>
        <v>0</v>
      </c>
      <c r="Y30" s="70">
        <f>COUNTIFS(缺陷明细!$A$2:$A$50000,$B$4,缺陷明细!$G$2:$G$50000,$C30,缺陷明细!$J$2:$J$50000,"运维测试",缺陷明细!$AB$2:$AB$50000,"&lt;&gt;丢弃",缺陷明细!$AB$2:$AB$50000,"&lt;&gt;设计如此",缺陷明细!$AB$2:$AB$50000,"&lt;&gt;重复Bug")</f>
        <v>0</v>
      </c>
      <c r="Z30" s="71">
        <f>COUNTIFS(缺陷明细!$A$2:$A$50000,$B$4,缺陷明细!$G$2:$G$50000,$C30,缺陷明细!$Q$2:$Q$50000,"已关闭",缺陷明细!$J$2:$J$50000,"运维测试")</f>
        <v>0</v>
      </c>
      <c r="AA30" s="72">
        <f>COUNTIFS(缺陷明细!$A$2:$A$50000,$B$4,缺陷明细!$G$2:$G$50000,$C30,缺陷明细!$J$2:$J$50000,"运维测试",缺陷明细!$K$2:$K$50000,"致命",缺陷明细!$AB$2:$AB$50000,"&lt;&gt;丢弃",缺陷明细!$AB$2:$AB$50000,"&lt;&gt;设计如此",缺陷明细!$AB$2:$AB$50000,"&lt;&gt;重复Bug")+COUNTIFS(缺陷明细!$A$2:$A$50000,$B$4,缺陷明细!$G$2:$G$50000,$C30,缺陷明细!$J$2:$J$50000,"运维测试",缺陷明细!$K$2:$K$50000,"严重",缺陷明细!$AB$2:$AB$50000,"&lt;&gt;丢弃",缺陷明细!$AB$2:$AB$50000,"&lt;&gt;设计如此",缺陷明细!$AB$2:$AB$50000,"&lt;&gt;重复Bug")</f>
        <v>0</v>
      </c>
      <c r="AB30" s="73">
        <f>COUNTIFS(缺陷明细!$A$2:$A$50000,$B$4,缺陷明细!$G$2:$G$50000,$C30,缺陷明细!$Q$2:$Q$50000,"已关闭",缺陷明细!$J$2:$J$50000,"运维测试",缺陷明细!$K$2:$K$50000,"致命")+COUNTIFS(缺陷明细!$A$2:$A$50000,$B$4,缺陷明细!$G$2:$G$50000,$C30,缺陷明细!$Q$2:$Q$50000,"已关闭",缺陷明细!$J$2:$J$50000,"运维测试",缺陷明细!$K$2:$K$50000,"严重")</f>
        <v>0</v>
      </c>
      <c r="AC30" s="68">
        <f t="shared" si="0"/>
        <v>0</v>
      </c>
      <c r="AD30" s="60">
        <f t="shared" si="0"/>
        <v>0</v>
      </c>
      <c r="AE30" s="60">
        <f t="shared" si="1"/>
        <v>0</v>
      </c>
      <c r="AF30" s="60">
        <f t="shared" si="1"/>
        <v>0</v>
      </c>
      <c r="AG30" s="60">
        <f t="shared" si="2"/>
        <v>0</v>
      </c>
      <c r="AH30" s="60">
        <f t="shared" si="2"/>
        <v>0</v>
      </c>
      <c r="AI30" s="60">
        <f t="shared" si="3"/>
        <v>0</v>
      </c>
      <c r="AJ30" s="61">
        <f t="shared" si="3"/>
        <v>0</v>
      </c>
      <c r="AK30" s="144"/>
    </row>
    <row r="31" spans="1:37">
      <c r="A31">
        <v>27</v>
      </c>
      <c r="B31" s="57"/>
      <c r="C31" s="58"/>
      <c r="D31" s="84"/>
      <c r="E31" s="82"/>
      <c r="F31" s="158"/>
      <c r="G31" s="159"/>
      <c r="H31" s="281">
        <f>COUNTIFS(缺陷明细!$A$2:$A$50000,$B$4,缺陷明细!$G$2:$G$50000,$C31,缺陷明细!$J$2:$J$50000,"评审",缺陷明细!$AB$2:$AB$50000,"&lt;&gt;丢弃",缺陷明细!$AB$2:$AB$50000,"&lt;&gt;设计如此",缺陷明细!$AB$2:$AB$50000,"&lt;&gt;重复Bug")</f>
        <v>0</v>
      </c>
      <c r="I31" s="154">
        <f>COUNTIFS(缺陷明细!$A$2:$A$50000,$B$4,缺陷明细!$G$2:$G$50000,$C31,缺陷明细!$Q$2:$Q$50000,"已关闭",缺陷明细!$J$2:$J$50000,"评审")</f>
        <v>0</v>
      </c>
      <c r="J31" s="154">
        <f>COUNTIFS(缺陷明细!$A$2:$A$50000,$B$4,缺陷明细!$G$2:$G$50000,$C31,缺陷明细!$J$2:$J$50000,"单元测试",缺陷明细!$AB$2:$AB$50000,"&lt;&gt;丢弃",缺陷明细!$AB$2:$AB$50000,"&lt;&gt;设计如此",缺陷明细!$AB$2:$AB$50000,"&lt;&gt;重复Bug")</f>
        <v>0</v>
      </c>
      <c r="K31" s="155">
        <f>COUNTIFS(缺陷明细!$A$2:$A$50000,$B$4,缺陷明细!$G$2:$G$50000,$C31,缺陷明细!$Q$2:$Q$50000,"已关闭",缺陷明细!$J$2:$J$50000,"单元测试")</f>
        <v>0</v>
      </c>
      <c r="L31" s="156"/>
      <c r="M31" s="157"/>
      <c r="N31" s="72">
        <f>COUNTIFS(缺陷明细!$A$2:$A$50000,$B$4,缺陷明细!$G$2:$G$50000,$C31,缺陷明细!$J$2:$J$50000,"系统测试案例评审",缺陷明细!$AB$2:$AB$50000,"&lt;&gt;丢弃",缺陷明细!$AB$2:$AB$50000,"&lt;&gt;设计如此",缺陷明细!$AB$2:$AB$50000,"&lt;&gt;重复Bug")</f>
        <v>0</v>
      </c>
      <c r="O31" s="72">
        <f>COUNTIFS(缺陷明细!$A$2:$A$50000,$B$4,缺陷明细!$G$2:$G$50000,$C31,缺陷明细!$Q$2:$Q$50000,"已关闭",缺陷明细!$J$2:$J$50000,"系统测试案例评审")</f>
        <v>0</v>
      </c>
      <c r="P31" s="72">
        <f>COUNTIFS(缺陷明细!$A$2:$A$50000,$B$4,缺陷明细!$G$2:$G$50000,$C31,缺陷明细!$J$2:$J$50000,"系统测试",缺陷明细!$AB$2:$AB$50000,"&lt;&gt;丢弃",缺陷明细!$AB$2:$AB$50000,"&lt;&gt;设计如此",缺陷明细!$AB$2:$AB$50000,"&lt;&gt;重复Bug")</f>
        <v>0</v>
      </c>
      <c r="Q31" s="72">
        <f>COUNTIFS(缺陷明细!$A$2:$A$50000,$B$4,缺陷明细!$G$2:$G$50000,$C31,缺陷明细!$Q$2:$Q$50000,"已关闭",缺陷明细!$J$2:$J$50000,"系统测试")</f>
        <v>0</v>
      </c>
      <c r="R31" s="296">
        <f>COUNTIFS(缺陷明细!$A$2:$A$50000,$B$4,缺陷明细!$G$2:$G$50000,$C31,缺陷明细!$AB$2:$AB$50000,"丢弃",缺陷明细!$J$2:$J$50000,"系统测试")+COUNTIFS(缺陷明细!$A$2:$A$50000,$B$4,缺陷明细!$G$2:$G$50000,$C31,缺陷明细!$AB$2:$AB$50000,"设计如此",缺陷明细!$J$2:$J$50000,"系统测试")+COUNTIFS(缺陷明细!$A$2:$A$50000,$B$4,缺陷明细!$G$2:$G$50000,$C31,缺陷明细!$AB$2:$AB$50000,"重复Bug",缺陷明细!$J$2:$J$50000,"系统测试")</f>
        <v>0</v>
      </c>
      <c r="S31" s="72">
        <f>COUNTIFS(缺陷明细!$A$2:$A$50000,$B$4,缺陷明细!$G$2:$G$50000,$C31,缺陷明细!$J$2:$J$50000,"系统测试",缺陷明细!$K$2:$K$50000,"致命",缺陷明细!$AB$2:$AB$50000,"&lt;&gt;丢弃",缺陷明细!$AB$2:$AB$50000,"&lt;&gt;设计如此",缺陷明细!$AB$2:$AB$50000,"&lt;&gt;重复Bug")+COUNTIFS(缺陷明细!$A$2:$A$50000,$B$4,缺陷明细!$G$2:$G$50000,$C31,缺陷明细!$J$2:$J$50000,"系统测试",缺陷明细!$K$2:$K$50000,"严重",缺陷明细!$AB$2:$AB$50000,"&lt;&gt;丢弃",缺陷明细!$AB$2:$AB$50000,"&lt;&gt;设计如此",缺陷明细!$AB$2:$AB$50000,"&lt;&gt;重复Bug")</f>
        <v>0</v>
      </c>
      <c r="T31" s="73">
        <f>COUNTIFS(缺陷明细!$A$2:$A$50000,$B$4,缺陷明细!$G$2:$G$50000,$C31,缺陷明细!$Q$2:$Q$50000,"已关闭",缺陷明细!$J$2:$J$50000,"系统测试",缺陷明细!$K$2:$K$50000,"致命")+COUNTIFS(缺陷明细!$A$2:$A$50000,$B$4,缺陷明细!$G$2:$G$50000,$C31,缺陷明细!$Q$2:$Q$50000,"已关闭",缺陷明细!$J$2:$J$50000,"系统测试",缺陷明细!$K$2:$K$50000,"严重")</f>
        <v>0</v>
      </c>
      <c r="U31" s="74">
        <f>COUNTIFS(缺陷明细!$A$2:$A$50000,$B$4,缺陷明细!$G$2:$G$50000,$C31,缺陷明细!$J$2:$J$50000,"验收测试",缺陷明细!$AB$2:$AB$50000,"&lt;&gt;丢弃",缺陷明细!$AB$2:$AB$50000,"&lt;&gt;设计如此",缺陷明细!$AB$2:$AB$50000,"&lt;&gt;重复Bug")</f>
        <v>0</v>
      </c>
      <c r="V31" s="75">
        <f>COUNTIFS(缺陷明细!$A$2:$A$50000,$B$4,缺陷明细!$G$2:$G$50000,$C31,缺陷明细!$Q$2:$Q$50000,"已关闭",缺陷明细!$J$2:$J$50000,"验收测试")</f>
        <v>0</v>
      </c>
      <c r="W31" s="75">
        <f>COUNTIFS(缺陷明细!$A$2:$A$50000,$B$4,缺陷明细!$G$2:$G$50000,$C31,缺陷明细!$J$2:$J$50000,"验收测试",缺陷明细!$K$2:$K$50000,"致命",缺陷明细!$AB$2:$AB$50000,"&lt;&gt;丢弃",缺陷明细!$AB$2:$AB$50000,"&lt;&gt;设计如此",缺陷明细!$AB$2:$AB$50000,"&lt;&gt;重复Bug")+COUNTIFS(缺陷明细!$A$2:$A$50000,$B$4,缺陷明细!$G$2:$G$50000,$C31,缺陷明细!$J$2:$J$50000,"验收测试",缺陷明细!$K$2:$K$50000,"严重",缺陷明细!$AB$2:$AB$50000,"&lt;&gt;丢弃",缺陷明细!$AB$2:$AB$50000,"&lt;&gt;设计如此",缺陷明细!$AB$2:$AB$50000,"&lt;&gt;重复Bug")</f>
        <v>0</v>
      </c>
      <c r="X31" s="76">
        <f>COUNTIFS(缺陷明细!$A$2:$A$50000,$B$4,缺陷明细!$G$2:$G$50000,$C31,缺陷明细!$Q$2:$Q$50000,"已关闭",缺陷明细!$J$2:$J$50000,"验收测试",缺陷明细!$K$2:$K$50000,"致命")+COUNTIFS(缺陷明细!$A$2:$A$50000,$B$4,缺陷明细!$G$2:$G$50000,$C31,缺陷明细!$Q$2:$Q$50000,"已关闭",缺陷明细!$J$2:$J$50000,"验收测试",缺陷明细!$K$2:$K$50000,"严重")</f>
        <v>0</v>
      </c>
      <c r="Y31" s="70">
        <f>COUNTIFS(缺陷明细!$A$2:$A$50000,$B$4,缺陷明细!$G$2:$G$50000,$C31,缺陷明细!$J$2:$J$50000,"运维测试",缺陷明细!$AB$2:$AB$50000,"&lt;&gt;丢弃",缺陷明细!$AB$2:$AB$50000,"&lt;&gt;设计如此",缺陷明细!$AB$2:$AB$50000,"&lt;&gt;重复Bug")</f>
        <v>0</v>
      </c>
      <c r="Z31" s="71">
        <f>COUNTIFS(缺陷明细!$A$2:$A$50000,$B$4,缺陷明细!$G$2:$G$50000,$C31,缺陷明细!$Q$2:$Q$50000,"已关闭",缺陷明细!$J$2:$J$50000,"运维测试")</f>
        <v>0</v>
      </c>
      <c r="AA31" s="72">
        <f>COUNTIFS(缺陷明细!$A$2:$A$50000,$B$4,缺陷明细!$G$2:$G$50000,$C31,缺陷明细!$J$2:$J$50000,"运维测试",缺陷明细!$K$2:$K$50000,"致命",缺陷明细!$AB$2:$AB$50000,"&lt;&gt;丢弃",缺陷明细!$AB$2:$AB$50000,"&lt;&gt;设计如此",缺陷明细!$AB$2:$AB$50000,"&lt;&gt;重复Bug")+COUNTIFS(缺陷明细!$A$2:$A$50000,$B$4,缺陷明细!$G$2:$G$50000,$C31,缺陷明细!$J$2:$J$50000,"运维测试",缺陷明细!$K$2:$K$50000,"严重",缺陷明细!$AB$2:$AB$50000,"&lt;&gt;丢弃",缺陷明细!$AB$2:$AB$50000,"&lt;&gt;设计如此",缺陷明细!$AB$2:$AB$50000,"&lt;&gt;重复Bug")</f>
        <v>0</v>
      </c>
      <c r="AB31" s="73">
        <f>COUNTIFS(缺陷明细!$A$2:$A$50000,$B$4,缺陷明细!$G$2:$G$50000,$C31,缺陷明细!$Q$2:$Q$50000,"已关闭",缺陷明细!$J$2:$J$50000,"运维测试",缺陷明细!$K$2:$K$50000,"致命")+COUNTIFS(缺陷明细!$A$2:$A$50000,$B$4,缺陷明细!$G$2:$G$50000,$C31,缺陷明细!$Q$2:$Q$50000,"已关闭",缺陷明细!$J$2:$J$50000,"运维测试",缺陷明细!$K$2:$K$50000,"严重")</f>
        <v>0</v>
      </c>
      <c r="AC31" s="68">
        <f t="shared" si="0"/>
        <v>0</v>
      </c>
      <c r="AD31" s="60">
        <f t="shared" si="0"/>
        <v>0</v>
      </c>
      <c r="AE31" s="60">
        <f t="shared" si="1"/>
        <v>0</v>
      </c>
      <c r="AF31" s="60">
        <f t="shared" si="1"/>
        <v>0</v>
      </c>
      <c r="AG31" s="60">
        <f t="shared" si="2"/>
        <v>0</v>
      </c>
      <c r="AH31" s="60">
        <f t="shared" si="2"/>
        <v>0</v>
      </c>
      <c r="AI31" s="60">
        <f t="shared" si="3"/>
        <v>0</v>
      </c>
      <c r="AJ31" s="61">
        <f t="shared" si="3"/>
        <v>0</v>
      </c>
      <c r="AK31" s="144"/>
    </row>
    <row r="32" spans="1:37">
      <c r="A32">
        <v>28</v>
      </c>
      <c r="B32" s="57"/>
      <c r="C32" s="58"/>
      <c r="D32" s="84"/>
      <c r="E32" s="82"/>
      <c r="F32" s="158"/>
      <c r="G32" s="159"/>
      <c r="H32" s="281">
        <f>COUNTIFS(缺陷明细!$A$2:$A$50000,$B$4,缺陷明细!$G$2:$G$50000,$C32,缺陷明细!$J$2:$J$50000,"评审",缺陷明细!$AB$2:$AB$50000,"&lt;&gt;丢弃",缺陷明细!$AB$2:$AB$50000,"&lt;&gt;设计如此",缺陷明细!$AB$2:$AB$50000,"&lt;&gt;重复Bug")</f>
        <v>0</v>
      </c>
      <c r="I32" s="154">
        <f>COUNTIFS(缺陷明细!$A$2:$A$50000,$B$4,缺陷明细!$G$2:$G$50000,$C32,缺陷明细!$Q$2:$Q$50000,"已关闭",缺陷明细!$J$2:$J$50000,"评审")</f>
        <v>0</v>
      </c>
      <c r="J32" s="154">
        <f>COUNTIFS(缺陷明细!$A$2:$A$50000,$B$4,缺陷明细!$G$2:$G$50000,$C32,缺陷明细!$J$2:$J$50000,"单元测试",缺陷明细!$AB$2:$AB$50000,"&lt;&gt;丢弃",缺陷明细!$AB$2:$AB$50000,"&lt;&gt;设计如此",缺陷明细!$AB$2:$AB$50000,"&lt;&gt;重复Bug")</f>
        <v>0</v>
      </c>
      <c r="K32" s="155">
        <f>COUNTIFS(缺陷明细!$A$2:$A$50000,$B$4,缺陷明细!$G$2:$G$50000,$C32,缺陷明细!$Q$2:$Q$50000,"已关闭",缺陷明细!$J$2:$J$50000,"单元测试")</f>
        <v>0</v>
      </c>
      <c r="L32" s="156"/>
      <c r="M32" s="157"/>
      <c r="N32" s="72">
        <f>COUNTIFS(缺陷明细!$A$2:$A$50000,$B$4,缺陷明细!$G$2:$G$50000,$C32,缺陷明细!$J$2:$J$50000,"系统测试案例评审",缺陷明细!$AB$2:$AB$50000,"&lt;&gt;丢弃",缺陷明细!$AB$2:$AB$50000,"&lt;&gt;设计如此",缺陷明细!$AB$2:$AB$50000,"&lt;&gt;重复Bug")</f>
        <v>0</v>
      </c>
      <c r="O32" s="72">
        <f>COUNTIFS(缺陷明细!$A$2:$A$50000,$B$4,缺陷明细!$G$2:$G$50000,$C32,缺陷明细!$Q$2:$Q$50000,"已关闭",缺陷明细!$J$2:$J$50000,"系统测试案例评审")</f>
        <v>0</v>
      </c>
      <c r="P32" s="72">
        <f>COUNTIFS(缺陷明细!$A$2:$A$50000,$B$4,缺陷明细!$G$2:$G$50000,$C32,缺陷明细!$J$2:$J$50000,"系统测试",缺陷明细!$AB$2:$AB$50000,"&lt;&gt;丢弃",缺陷明细!$AB$2:$AB$50000,"&lt;&gt;设计如此",缺陷明细!$AB$2:$AB$50000,"&lt;&gt;重复Bug")</f>
        <v>0</v>
      </c>
      <c r="Q32" s="72">
        <f>COUNTIFS(缺陷明细!$A$2:$A$50000,$B$4,缺陷明细!$G$2:$G$50000,$C32,缺陷明细!$Q$2:$Q$50000,"已关闭",缺陷明细!$J$2:$J$50000,"系统测试")</f>
        <v>0</v>
      </c>
      <c r="R32" s="296">
        <f>COUNTIFS(缺陷明细!$A$2:$A$50000,$B$4,缺陷明细!$G$2:$G$50000,$C32,缺陷明细!$AB$2:$AB$50000,"丢弃",缺陷明细!$J$2:$J$50000,"系统测试")+COUNTIFS(缺陷明细!$A$2:$A$50000,$B$4,缺陷明细!$G$2:$G$50000,$C32,缺陷明细!$AB$2:$AB$50000,"设计如此",缺陷明细!$J$2:$J$50000,"系统测试")+COUNTIFS(缺陷明细!$A$2:$A$50000,$B$4,缺陷明细!$G$2:$G$50000,$C32,缺陷明细!$AB$2:$AB$50000,"重复Bug",缺陷明细!$J$2:$J$50000,"系统测试")</f>
        <v>0</v>
      </c>
      <c r="S32" s="72">
        <f>COUNTIFS(缺陷明细!$A$2:$A$50000,$B$4,缺陷明细!$G$2:$G$50000,$C32,缺陷明细!$J$2:$J$50000,"系统测试",缺陷明细!$K$2:$K$50000,"致命",缺陷明细!$AB$2:$AB$50000,"&lt;&gt;丢弃",缺陷明细!$AB$2:$AB$50000,"&lt;&gt;设计如此",缺陷明细!$AB$2:$AB$50000,"&lt;&gt;重复Bug")+COUNTIFS(缺陷明细!$A$2:$A$50000,$B$4,缺陷明细!$G$2:$G$50000,$C32,缺陷明细!$J$2:$J$50000,"系统测试",缺陷明细!$K$2:$K$50000,"严重",缺陷明细!$AB$2:$AB$50000,"&lt;&gt;丢弃",缺陷明细!$AB$2:$AB$50000,"&lt;&gt;设计如此",缺陷明细!$AB$2:$AB$50000,"&lt;&gt;重复Bug")</f>
        <v>0</v>
      </c>
      <c r="T32" s="73">
        <f>COUNTIFS(缺陷明细!$A$2:$A$50000,$B$4,缺陷明细!$G$2:$G$50000,$C32,缺陷明细!$Q$2:$Q$50000,"已关闭",缺陷明细!$J$2:$J$50000,"系统测试",缺陷明细!$K$2:$K$50000,"致命")+COUNTIFS(缺陷明细!$A$2:$A$50000,$B$4,缺陷明细!$G$2:$G$50000,$C32,缺陷明细!$Q$2:$Q$50000,"已关闭",缺陷明细!$J$2:$J$50000,"系统测试",缺陷明细!$K$2:$K$50000,"严重")</f>
        <v>0</v>
      </c>
      <c r="U32" s="74">
        <f>COUNTIFS(缺陷明细!$A$2:$A$50000,$B$4,缺陷明细!$G$2:$G$50000,$C32,缺陷明细!$J$2:$J$50000,"验收测试",缺陷明细!$AB$2:$AB$50000,"&lt;&gt;丢弃",缺陷明细!$AB$2:$AB$50000,"&lt;&gt;设计如此",缺陷明细!$AB$2:$AB$50000,"&lt;&gt;重复Bug")</f>
        <v>0</v>
      </c>
      <c r="V32" s="75">
        <f>COUNTIFS(缺陷明细!$A$2:$A$50000,$B$4,缺陷明细!$G$2:$G$50000,$C32,缺陷明细!$Q$2:$Q$50000,"已关闭",缺陷明细!$J$2:$J$50000,"验收测试")</f>
        <v>0</v>
      </c>
      <c r="W32" s="75">
        <f>COUNTIFS(缺陷明细!$A$2:$A$50000,$B$4,缺陷明细!$G$2:$G$50000,$C32,缺陷明细!$J$2:$J$50000,"验收测试",缺陷明细!$K$2:$K$50000,"致命",缺陷明细!$AB$2:$AB$50000,"&lt;&gt;丢弃",缺陷明细!$AB$2:$AB$50000,"&lt;&gt;设计如此",缺陷明细!$AB$2:$AB$50000,"&lt;&gt;重复Bug")+COUNTIFS(缺陷明细!$A$2:$A$50000,$B$4,缺陷明细!$G$2:$G$50000,$C32,缺陷明细!$J$2:$J$50000,"验收测试",缺陷明细!$K$2:$K$50000,"严重",缺陷明细!$AB$2:$AB$50000,"&lt;&gt;丢弃",缺陷明细!$AB$2:$AB$50000,"&lt;&gt;设计如此",缺陷明细!$AB$2:$AB$50000,"&lt;&gt;重复Bug")</f>
        <v>0</v>
      </c>
      <c r="X32" s="76">
        <f>COUNTIFS(缺陷明细!$A$2:$A$50000,$B$4,缺陷明细!$G$2:$G$50000,$C32,缺陷明细!$Q$2:$Q$50000,"已关闭",缺陷明细!$J$2:$J$50000,"验收测试",缺陷明细!$K$2:$K$50000,"致命")+COUNTIFS(缺陷明细!$A$2:$A$50000,$B$4,缺陷明细!$G$2:$G$50000,$C32,缺陷明细!$Q$2:$Q$50000,"已关闭",缺陷明细!$J$2:$J$50000,"验收测试",缺陷明细!$K$2:$K$50000,"严重")</f>
        <v>0</v>
      </c>
      <c r="Y32" s="70">
        <f>COUNTIFS(缺陷明细!$A$2:$A$50000,$B$4,缺陷明细!$G$2:$G$50000,$C32,缺陷明细!$J$2:$J$50000,"运维测试",缺陷明细!$AB$2:$AB$50000,"&lt;&gt;丢弃",缺陷明细!$AB$2:$AB$50000,"&lt;&gt;设计如此",缺陷明细!$AB$2:$AB$50000,"&lt;&gt;重复Bug")</f>
        <v>0</v>
      </c>
      <c r="Z32" s="71">
        <f>COUNTIFS(缺陷明细!$A$2:$A$50000,$B$4,缺陷明细!$G$2:$G$50000,$C32,缺陷明细!$Q$2:$Q$50000,"已关闭",缺陷明细!$J$2:$J$50000,"运维测试")</f>
        <v>0</v>
      </c>
      <c r="AA32" s="72">
        <f>COUNTIFS(缺陷明细!$A$2:$A$50000,$B$4,缺陷明细!$G$2:$G$50000,$C32,缺陷明细!$J$2:$J$50000,"运维测试",缺陷明细!$K$2:$K$50000,"致命",缺陷明细!$AB$2:$AB$50000,"&lt;&gt;丢弃",缺陷明细!$AB$2:$AB$50000,"&lt;&gt;设计如此",缺陷明细!$AB$2:$AB$50000,"&lt;&gt;重复Bug")+COUNTIFS(缺陷明细!$A$2:$A$50000,$B$4,缺陷明细!$G$2:$G$50000,$C32,缺陷明细!$J$2:$J$50000,"运维测试",缺陷明细!$K$2:$K$50000,"严重",缺陷明细!$AB$2:$AB$50000,"&lt;&gt;丢弃",缺陷明细!$AB$2:$AB$50000,"&lt;&gt;设计如此",缺陷明细!$AB$2:$AB$50000,"&lt;&gt;重复Bug")</f>
        <v>0</v>
      </c>
      <c r="AB32" s="73">
        <f>COUNTIFS(缺陷明细!$A$2:$A$50000,$B$4,缺陷明细!$G$2:$G$50000,$C32,缺陷明细!$Q$2:$Q$50000,"已关闭",缺陷明细!$J$2:$J$50000,"运维测试",缺陷明细!$K$2:$K$50000,"致命")+COUNTIFS(缺陷明细!$A$2:$A$50000,$B$4,缺陷明细!$G$2:$G$50000,$C32,缺陷明细!$Q$2:$Q$50000,"已关闭",缺陷明细!$J$2:$J$50000,"运维测试",缺陷明细!$K$2:$K$50000,"严重")</f>
        <v>0</v>
      </c>
      <c r="AC32" s="68">
        <f t="shared" si="0"/>
        <v>0</v>
      </c>
      <c r="AD32" s="60">
        <f t="shared" si="0"/>
        <v>0</v>
      </c>
      <c r="AE32" s="60">
        <f t="shared" si="1"/>
        <v>0</v>
      </c>
      <c r="AF32" s="60">
        <f t="shared" si="1"/>
        <v>0</v>
      </c>
      <c r="AG32" s="60">
        <f t="shared" si="2"/>
        <v>0</v>
      </c>
      <c r="AH32" s="60">
        <f t="shared" si="2"/>
        <v>0</v>
      </c>
      <c r="AI32" s="60">
        <f t="shared" si="3"/>
        <v>0</v>
      </c>
      <c r="AJ32" s="61">
        <f t="shared" si="3"/>
        <v>0</v>
      </c>
      <c r="AK32" s="144"/>
    </row>
    <row r="33" spans="1:37">
      <c r="A33">
        <v>29</v>
      </c>
      <c r="B33" s="57"/>
      <c r="C33" s="58"/>
      <c r="D33" s="84"/>
      <c r="E33" s="82"/>
      <c r="F33" s="158"/>
      <c r="G33" s="159"/>
      <c r="H33" s="281">
        <f>COUNTIFS(缺陷明细!$A$2:$A$50000,$B$4,缺陷明细!$G$2:$G$50000,$C33,缺陷明细!$J$2:$J$50000,"评审",缺陷明细!$AB$2:$AB$50000,"&lt;&gt;丢弃",缺陷明细!$AB$2:$AB$50000,"&lt;&gt;设计如此",缺陷明细!$AB$2:$AB$50000,"&lt;&gt;重复Bug")</f>
        <v>0</v>
      </c>
      <c r="I33" s="154">
        <f>COUNTIFS(缺陷明细!$A$2:$A$50000,$B$4,缺陷明细!$G$2:$G$50000,$C33,缺陷明细!$Q$2:$Q$50000,"已关闭",缺陷明细!$J$2:$J$50000,"评审")</f>
        <v>0</v>
      </c>
      <c r="J33" s="154">
        <f>COUNTIFS(缺陷明细!$A$2:$A$50000,$B$4,缺陷明细!$G$2:$G$50000,$C33,缺陷明细!$J$2:$J$50000,"单元测试",缺陷明细!$AB$2:$AB$50000,"&lt;&gt;丢弃",缺陷明细!$AB$2:$AB$50000,"&lt;&gt;设计如此",缺陷明细!$AB$2:$AB$50000,"&lt;&gt;重复Bug")</f>
        <v>0</v>
      </c>
      <c r="K33" s="155">
        <f>COUNTIFS(缺陷明细!$A$2:$A$50000,$B$4,缺陷明细!$G$2:$G$50000,$C33,缺陷明细!$Q$2:$Q$50000,"已关闭",缺陷明细!$J$2:$J$50000,"单元测试")</f>
        <v>0</v>
      </c>
      <c r="L33" s="156"/>
      <c r="M33" s="157"/>
      <c r="N33" s="72">
        <f>COUNTIFS(缺陷明细!$A$2:$A$50000,$B$4,缺陷明细!$G$2:$G$50000,$C33,缺陷明细!$J$2:$J$50000,"系统测试案例评审",缺陷明细!$AB$2:$AB$50000,"&lt;&gt;丢弃",缺陷明细!$AB$2:$AB$50000,"&lt;&gt;设计如此",缺陷明细!$AB$2:$AB$50000,"&lt;&gt;重复Bug")</f>
        <v>0</v>
      </c>
      <c r="O33" s="72">
        <f>COUNTIFS(缺陷明细!$A$2:$A$50000,$B$4,缺陷明细!$G$2:$G$50000,$C33,缺陷明细!$Q$2:$Q$50000,"已关闭",缺陷明细!$J$2:$J$50000,"系统测试案例评审")</f>
        <v>0</v>
      </c>
      <c r="P33" s="72">
        <f>COUNTIFS(缺陷明细!$A$2:$A$50000,$B$4,缺陷明细!$G$2:$G$50000,$C33,缺陷明细!$J$2:$J$50000,"系统测试",缺陷明细!$AB$2:$AB$50000,"&lt;&gt;丢弃",缺陷明细!$AB$2:$AB$50000,"&lt;&gt;设计如此",缺陷明细!$AB$2:$AB$50000,"&lt;&gt;重复Bug")</f>
        <v>0</v>
      </c>
      <c r="Q33" s="72">
        <f>COUNTIFS(缺陷明细!$A$2:$A$50000,$B$4,缺陷明细!$G$2:$G$50000,$C33,缺陷明细!$Q$2:$Q$50000,"已关闭",缺陷明细!$J$2:$J$50000,"系统测试")</f>
        <v>0</v>
      </c>
      <c r="R33" s="296">
        <f>COUNTIFS(缺陷明细!$A$2:$A$50000,$B$4,缺陷明细!$G$2:$G$50000,$C33,缺陷明细!$AB$2:$AB$50000,"丢弃",缺陷明细!$J$2:$J$50000,"系统测试")+COUNTIFS(缺陷明细!$A$2:$A$50000,$B$4,缺陷明细!$G$2:$G$50000,$C33,缺陷明细!$AB$2:$AB$50000,"设计如此",缺陷明细!$J$2:$J$50000,"系统测试")+COUNTIFS(缺陷明细!$A$2:$A$50000,$B$4,缺陷明细!$G$2:$G$50000,$C33,缺陷明细!$AB$2:$AB$50000,"重复Bug",缺陷明细!$J$2:$J$50000,"系统测试")</f>
        <v>0</v>
      </c>
      <c r="S33" s="72">
        <f>COUNTIFS(缺陷明细!$A$2:$A$50000,$B$4,缺陷明细!$G$2:$G$50000,$C33,缺陷明细!$J$2:$J$50000,"系统测试",缺陷明细!$K$2:$K$50000,"致命",缺陷明细!$AB$2:$AB$50000,"&lt;&gt;丢弃",缺陷明细!$AB$2:$AB$50000,"&lt;&gt;设计如此",缺陷明细!$AB$2:$AB$50000,"&lt;&gt;重复Bug")+COUNTIFS(缺陷明细!$A$2:$A$50000,$B$4,缺陷明细!$G$2:$G$50000,$C33,缺陷明细!$J$2:$J$50000,"系统测试",缺陷明细!$K$2:$K$50000,"严重",缺陷明细!$AB$2:$AB$50000,"&lt;&gt;丢弃",缺陷明细!$AB$2:$AB$50000,"&lt;&gt;设计如此",缺陷明细!$AB$2:$AB$50000,"&lt;&gt;重复Bug")</f>
        <v>0</v>
      </c>
      <c r="T33" s="73">
        <f>COUNTIFS(缺陷明细!$A$2:$A$50000,$B$4,缺陷明细!$G$2:$G$50000,$C33,缺陷明细!$Q$2:$Q$50000,"已关闭",缺陷明细!$J$2:$J$50000,"系统测试",缺陷明细!$K$2:$K$50000,"致命")+COUNTIFS(缺陷明细!$A$2:$A$50000,$B$4,缺陷明细!$G$2:$G$50000,$C33,缺陷明细!$Q$2:$Q$50000,"已关闭",缺陷明细!$J$2:$J$50000,"系统测试",缺陷明细!$K$2:$K$50000,"严重")</f>
        <v>0</v>
      </c>
      <c r="U33" s="74">
        <f>COUNTIFS(缺陷明细!$A$2:$A$50000,$B$4,缺陷明细!$G$2:$G$50000,$C33,缺陷明细!$J$2:$J$50000,"验收测试",缺陷明细!$AB$2:$AB$50000,"&lt;&gt;丢弃",缺陷明细!$AB$2:$AB$50000,"&lt;&gt;设计如此",缺陷明细!$AB$2:$AB$50000,"&lt;&gt;重复Bug")</f>
        <v>0</v>
      </c>
      <c r="V33" s="75">
        <f>COUNTIFS(缺陷明细!$A$2:$A$50000,$B$4,缺陷明细!$G$2:$G$50000,$C33,缺陷明细!$Q$2:$Q$50000,"已关闭",缺陷明细!$J$2:$J$50000,"验收测试")</f>
        <v>0</v>
      </c>
      <c r="W33" s="75">
        <f>COUNTIFS(缺陷明细!$A$2:$A$50000,$B$4,缺陷明细!$G$2:$G$50000,$C33,缺陷明细!$J$2:$J$50000,"验收测试",缺陷明细!$K$2:$K$50000,"致命",缺陷明细!$AB$2:$AB$50000,"&lt;&gt;丢弃",缺陷明细!$AB$2:$AB$50000,"&lt;&gt;设计如此",缺陷明细!$AB$2:$AB$50000,"&lt;&gt;重复Bug")+COUNTIFS(缺陷明细!$A$2:$A$50000,$B$4,缺陷明细!$G$2:$G$50000,$C33,缺陷明细!$J$2:$J$50000,"验收测试",缺陷明细!$K$2:$K$50000,"严重",缺陷明细!$AB$2:$AB$50000,"&lt;&gt;丢弃",缺陷明细!$AB$2:$AB$50000,"&lt;&gt;设计如此",缺陷明细!$AB$2:$AB$50000,"&lt;&gt;重复Bug")</f>
        <v>0</v>
      </c>
      <c r="X33" s="76">
        <f>COUNTIFS(缺陷明细!$A$2:$A$50000,$B$4,缺陷明细!$G$2:$G$50000,$C33,缺陷明细!$Q$2:$Q$50000,"已关闭",缺陷明细!$J$2:$J$50000,"验收测试",缺陷明细!$K$2:$K$50000,"致命")+COUNTIFS(缺陷明细!$A$2:$A$50000,$B$4,缺陷明细!$G$2:$G$50000,$C33,缺陷明细!$Q$2:$Q$50000,"已关闭",缺陷明细!$J$2:$J$50000,"验收测试",缺陷明细!$K$2:$K$50000,"严重")</f>
        <v>0</v>
      </c>
      <c r="Y33" s="70">
        <f>COUNTIFS(缺陷明细!$A$2:$A$50000,$B$4,缺陷明细!$G$2:$G$50000,$C33,缺陷明细!$J$2:$J$50000,"运维测试",缺陷明细!$AB$2:$AB$50000,"&lt;&gt;丢弃",缺陷明细!$AB$2:$AB$50000,"&lt;&gt;设计如此",缺陷明细!$AB$2:$AB$50000,"&lt;&gt;重复Bug")</f>
        <v>0</v>
      </c>
      <c r="Z33" s="71">
        <f>COUNTIFS(缺陷明细!$A$2:$A$50000,$B$4,缺陷明细!$G$2:$G$50000,$C33,缺陷明细!$Q$2:$Q$50000,"已关闭",缺陷明细!$J$2:$J$50000,"运维测试")</f>
        <v>0</v>
      </c>
      <c r="AA33" s="72">
        <f>COUNTIFS(缺陷明细!$A$2:$A$50000,$B$4,缺陷明细!$G$2:$G$50000,$C33,缺陷明细!$J$2:$J$50000,"运维测试",缺陷明细!$K$2:$K$50000,"致命",缺陷明细!$AB$2:$AB$50000,"&lt;&gt;丢弃",缺陷明细!$AB$2:$AB$50000,"&lt;&gt;设计如此",缺陷明细!$AB$2:$AB$50000,"&lt;&gt;重复Bug")+COUNTIFS(缺陷明细!$A$2:$A$50000,$B$4,缺陷明细!$G$2:$G$50000,$C33,缺陷明细!$J$2:$J$50000,"运维测试",缺陷明细!$K$2:$K$50000,"严重",缺陷明细!$AB$2:$AB$50000,"&lt;&gt;丢弃",缺陷明细!$AB$2:$AB$50000,"&lt;&gt;设计如此",缺陷明细!$AB$2:$AB$50000,"&lt;&gt;重复Bug")</f>
        <v>0</v>
      </c>
      <c r="AB33" s="73">
        <f>COUNTIFS(缺陷明细!$A$2:$A$50000,$B$4,缺陷明细!$G$2:$G$50000,$C33,缺陷明细!$Q$2:$Q$50000,"已关闭",缺陷明细!$J$2:$J$50000,"运维测试",缺陷明细!$K$2:$K$50000,"致命")+COUNTIFS(缺陷明细!$A$2:$A$50000,$B$4,缺陷明细!$G$2:$G$50000,$C33,缺陷明细!$Q$2:$Q$50000,"已关闭",缺陷明细!$J$2:$J$50000,"运维测试",缺陷明细!$K$2:$K$50000,"严重")</f>
        <v>0</v>
      </c>
      <c r="AC33" s="68">
        <f t="shared" si="0"/>
        <v>0</v>
      </c>
      <c r="AD33" s="60">
        <f t="shared" si="0"/>
        <v>0</v>
      </c>
      <c r="AE33" s="60">
        <f t="shared" si="1"/>
        <v>0</v>
      </c>
      <c r="AF33" s="60">
        <f t="shared" si="1"/>
        <v>0</v>
      </c>
      <c r="AG33" s="60">
        <f t="shared" si="2"/>
        <v>0</v>
      </c>
      <c r="AH33" s="60">
        <f t="shared" si="2"/>
        <v>0</v>
      </c>
      <c r="AI33" s="60">
        <f t="shared" si="3"/>
        <v>0</v>
      </c>
      <c r="AJ33" s="61">
        <f t="shared" si="3"/>
        <v>0</v>
      </c>
      <c r="AK33" s="144"/>
    </row>
    <row r="34" spans="1:37">
      <c r="A34">
        <v>30</v>
      </c>
      <c r="B34" s="57"/>
      <c r="C34" s="58"/>
      <c r="D34" s="84"/>
      <c r="E34" s="82"/>
      <c r="F34" s="158"/>
      <c r="G34" s="159"/>
      <c r="H34" s="281">
        <f>COUNTIFS(缺陷明细!$A$2:$A$50000,$B$4,缺陷明细!$G$2:$G$50000,$C34,缺陷明细!$J$2:$J$50000,"评审",缺陷明细!$AB$2:$AB$50000,"&lt;&gt;丢弃",缺陷明细!$AB$2:$AB$50000,"&lt;&gt;设计如此",缺陷明细!$AB$2:$AB$50000,"&lt;&gt;重复Bug")</f>
        <v>0</v>
      </c>
      <c r="I34" s="154">
        <f>COUNTIFS(缺陷明细!$A$2:$A$50000,$B$4,缺陷明细!$G$2:$G$50000,$C34,缺陷明细!$Q$2:$Q$50000,"已关闭",缺陷明细!$J$2:$J$50000,"评审")</f>
        <v>0</v>
      </c>
      <c r="J34" s="154">
        <f>COUNTIFS(缺陷明细!$A$2:$A$50000,$B$4,缺陷明细!$G$2:$G$50000,$C34,缺陷明细!$J$2:$J$50000,"单元测试",缺陷明细!$AB$2:$AB$50000,"&lt;&gt;丢弃",缺陷明细!$AB$2:$AB$50000,"&lt;&gt;设计如此",缺陷明细!$AB$2:$AB$50000,"&lt;&gt;重复Bug")</f>
        <v>0</v>
      </c>
      <c r="K34" s="155">
        <f>COUNTIFS(缺陷明细!$A$2:$A$50000,$B$4,缺陷明细!$G$2:$G$50000,$C34,缺陷明细!$Q$2:$Q$50000,"已关闭",缺陷明细!$J$2:$J$50000,"单元测试")</f>
        <v>0</v>
      </c>
      <c r="L34" s="156"/>
      <c r="M34" s="157"/>
      <c r="N34" s="72">
        <f>COUNTIFS(缺陷明细!$A$2:$A$50000,$B$4,缺陷明细!$G$2:$G$50000,$C34,缺陷明细!$J$2:$J$50000,"系统测试案例评审",缺陷明细!$AB$2:$AB$50000,"&lt;&gt;丢弃",缺陷明细!$AB$2:$AB$50000,"&lt;&gt;设计如此",缺陷明细!$AB$2:$AB$50000,"&lt;&gt;重复Bug")</f>
        <v>0</v>
      </c>
      <c r="O34" s="72">
        <f>COUNTIFS(缺陷明细!$A$2:$A$50000,$B$4,缺陷明细!$G$2:$G$50000,$C34,缺陷明细!$Q$2:$Q$50000,"已关闭",缺陷明细!$J$2:$J$50000,"系统测试案例评审")</f>
        <v>0</v>
      </c>
      <c r="P34" s="72">
        <f>COUNTIFS(缺陷明细!$A$2:$A$50000,$B$4,缺陷明细!$G$2:$G$50000,$C34,缺陷明细!$J$2:$J$50000,"系统测试",缺陷明细!$AB$2:$AB$50000,"&lt;&gt;丢弃",缺陷明细!$AB$2:$AB$50000,"&lt;&gt;设计如此",缺陷明细!$AB$2:$AB$50000,"&lt;&gt;重复Bug")</f>
        <v>0</v>
      </c>
      <c r="Q34" s="72">
        <f>COUNTIFS(缺陷明细!$A$2:$A$50000,$B$4,缺陷明细!$G$2:$G$50000,$C34,缺陷明细!$Q$2:$Q$50000,"已关闭",缺陷明细!$J$2:$J$50000,"系统测试")</f>
        <v>0</v>
      </c>
      <c r="R34" s="296">
        <f>COUNTIFS(缺陷明细!$A$2:$A$50000,$B$4,缺陷明细!$G$2:$G$50000,$C34,缺陷明细!$AB$2:$AB$50000,"丢弃",缺陷明细!$J$2:$J$50000,"系统测试")+COUNTIFS(缺陷明细!$A$2:$A$50000,$B$4,缺陷明细!$G$2:$G$50000,$C34,缺陷明细!$AB$2:$AB$50000,"设计如此",缺陷明细!$J$2:$J$50000,"系统测试")+COUNTIFS(缺陷明细!$A$2:$A$50000,$B$4,缺陷明细!$G$2:$G$50000,$C34,缺陷明细!$AB$2:$AB$50000,"重复Bug",缺陷明细!$J$2:$J$50000,"系统测试")</f>
        <v>0</v>
      </c>
      <c r="S34" s="72">
        <f>COUNTIFS(缺陷明细!$A$2:$A$50000,$B$4,缺陷明细!$G$2:$G$50000,$C34,缺陷明细!$J$2:$J$50000,"系统测试",缺陷明细!$K$2:$K$50000,"致命",缺陷明细!$AB$2:$AB$50000,"&lt;&gt;丢弃",缺陷明细!$AB$2:$AB$50000,"&lt;&gt;设计如此",缺陷明细!$AB$2:$AB$50000,"&lt;&gt;重复Bug")+COUNTIFS(缺陷明细!$A$2:$A$50000,$B$4,缺陷明细!$G$2:$G$50000,$C34,缺陷明细!$J$2:$J$50000,"系统测试",缺陷明细!$K$2:$K$50000,"严重",缺陷明细!$AB$2:$AB$50000,"&lt;&gt;丢弃",缺陷明细!$AB$2:$AB$50000,"&lt;&gt;设计如此",缺陷明细!$AB$2:$AB$50000,"&lt;&gt;重复Bug")</f>
        <v>0</v>
      </c>
      <c r="T34" s="73">
        <f>COUNTIFS(缺陷明细!$A$2:$A$50000,$B$4,缺陷明细!$G$2:$G$50000,$C34,缺陷明细!$Q$2:$Q$50000,"已关闭",缺陷明细!$J$2:$J$50000,"系统测试",缺陷明细!$K$2:$K$50000,"致命")+COUNTIFS(缺陷明细!$A$2:$A$50000,$B$4,缺陷明细!$G$2:$G$50000,$C34,缺陷明细!$Q$2:$Q$50000,"已关闭",缺陷明细!$J$2:$J$50000,"系统测试",缺陷明细!$K$2:$K$50000,"严重")</f>
        <v>0</v>
      </c>
      <c r="U34" s="74">
        <f>COUNTIFS(缺陷明细!$A$2:$A$50000,$B$4,缺陷明细!$G$2:$G$50000,$C34,缺陷明细!$J$2:$J$50000,"验收测试",缺陷明细!$AB$2:$AB$50000,"&lt;&gt;丢弃",缺陷明细!$AB$2:$AB$50000,"&lt;&gt;设计如此",缺陷明细!$AB$2:$AB$50000,"&lt;&gt;重复Bug")</f>
        <v>0</v>
      </c>
      <c r="V34" s="75">
        <f>COUNTIFS(缺陷明细!$A$2:$A$50000,$B$4,缺陷明细!$G$2:$G$50000,$C34,缺陷明细!$Q$2:$Q$50000,"已关闭",缺陷明细!$J$2:$J$50000,"验收测试")</f>
        <v>0</v>
      </c>
      <c r="W34" s="75">
        <f>COUNTIFS(缺陷明细!$A$2:$A$50000,$B$4,缺陷明细!$G$2:$G$50000,$C34,缺陷明细!$J$2:$J$50000,"验收测试",缺陷明细!$K$2:$K$50000,"致命",缺陷明细!$AB$2:$AB$50000,"&lt;&gt;丢弃",缺陷明细!$AB$2:$AB$50000,"&lt;&gt;设计如此",缺陷明细!$AB$2:$AB$50000,"&lt;&gt;重复Bug")+COUNTIFS(缺陷明细!$A$2:$A$50000,$B$4,缺陷明细!$G$2:$G$50000,$C34,缺陷明细!$J$2:$J$50000,"验收测试",缺陷明细!$K$2:$K$50000,"严重",缺陷明细!$AB$2:$AB$50000,"&lt;&gt;丢弃",缺陷明细!$AB$2:$AB$50000,"&lt;&gt;设计如此",缺陷明细!$AB$2:$AB$50000,"&lt;&gt;重复Bug")</f>
        <v>0</v>
      </c>
      <c r="X34" s="76">
        <f>COUNTIFS(缺陷明细!$A$2:$A$50000,$B$4,缺陷明细!$G$2:$G$50000,$C34,缺陷明细!$Q$2:$Q$50000,"已关闭",缺陷明细!$J$2:$J$50000,"验收测试",缺陷明细!$K$2:$K$50000,"致命")+COUNTIFS(缺陷明细!$A$2:$A$50000,$B$4,缺陷明细!$G$2:$G$50000,$C34,缺陷明细!$Q$2:$Q$50000,"已关闭",缺陷明细!$J$2:$J$50000,"验收测试",缺陷明细!$K$2:$K$50000,"严重")</f>
        <v>0</v>
      </c>
      <c r="Y34" s="70">
        <f>COUNTIFS(缺陷明细!$A$2:$A$50000,$B$4,缺陷明细!$G$2:$G$50000,$C34,缺陷明细!$J$2:$J$50000,"运维测试",缺陷明细!$AB$2:$AB$50000,"&lt;&gt;丢弃",缺陷明细!$AB$2:$AB$50000,"&lt;&gt;设计如此",缺陷明细!$AB$2:$AB$50000,"&lt;&gt;重复Bug")</f>
        <v>0</v>
      </c>
      <c r="Z34" s="71">
        <f>COUNTIFS(缺陷明细!$A$2:$A$50000,$B$4,缺陷明细!$G$2:$G$50000,$C34,缺陷明细!$Q$2:$Q$50000,"已关闭",缺陷明细!$J$2:$J$50000,"运维测试")</f>
        <v>0</v>
      </c>
      <c r="AA34" s="72">
        <f>COUNTIFS(缺陷明细!$A$2:$A$50000,$B$4,缺陷明细!$G$2:$G$50000,$C34,缺陷明细!$J$2:$J$50000,"运维测试",缺陷明细!$K$2:$K$50000,"致命",缺陷明细!$AB$2:$AB$50000,"&lt;&gt;丢弃",缺陷明细!$AB$2:$AB$50000,"&lt;&gt;设计如此",缺陷明细!$AB$2:$AB$50000,"&lt;&gt;重复Bug")+COUNTIFS(缺陷明细!$A$2:$A$50000,$B$4,缺陷明细!$G$2:$G$50000,$C34,缺陷明细!$J$2:$J$50000,"运维测试",缺陷明细!$K$2:$K$50000,"严重",缺陷明细!$AB$2:$AB$50000,"&lt;&gt;丢弃",缺陷明细!$AB$2:$AB$50000,"&lt;&gt;设计如此",缺陷明细!$AB$2:$AB$50000,"&lt;&gt;重复Bug")</f>
        <v>0</v>
      </c>
      <c r="AB34" s="73">
        <f>COUNTIFS(缺陷明细!$A$2:$A$50000,$B$4,缺陷明细!$G$2:$G$50000,$C34,缺陷明细!$Q$2:$Q$50000,"已关闭",缺陷明细!$J$2:$J$50000,"运维测试",缺陷明细!$K$2:$K$50000,"致命")+COUNTIFS(缺陷明细!$A$2:$A$50000,$B$4,缺陷明细!$G$2:$G$50000,$C34,缺陷明细!$Q$2:$Q$50000,"已关闭",缺陷明细!$J$2:$J$50000,"运维测试",缺陷明细!$K$2:$K$50000,"严重")</f>
        <v>0</v>
      </c>
      <c r="AC34" s="68">
        <f t="shared" si="0"/>
        <v>0</v>
      </c>
      <c r="AD34" s="60">
        <f t="shared" si="0"/>
        <v>0</v>
      </c>
      <c r="AE34" s="60">
        <f t="shared" si="1"/>
        <v>0</v>
      </c>
      <c r="AF34" s="60">
        <f t="shared" si="1"/>
        <v>0</v>
      </c>
      <c r="AG34" s="60">
        <f t="shared" si="2"/>
        <v>0</v>
      </c>
      <c r="AH34" s="60">
        <f t="shared" si="2"/>
        <v>0</v>
      </c>
      <c r="AI34" s="60">
        <f t="shared" si="3"/>
        <v>0</v>
      </c>
      <c r="AJ34" s="61">
        <f t="shared" si="3"/>
        <v>0</v>
      </c>
      <c r="AK34" s="144"/>
    </row>
    <row r="35" spans="1:37">
      <c r="A35">
        <v>31</v>
      </c>
      <c r="B35" s="57"/>
      <c r="C35" s="58"/>
      <c r="D35" s="84"/>
      <c r="E35" s="82"/>
      <c r="F35" s="158"/>
      <c r="G35" s="159"/>
      <c r="H35" s="281">
        <f>COUNTIFS(缺陷明细!$A$2:$A$50000,$B$4,缺陷明细!$G$2:$G$50000,$C35,缺陷明细!$J$2:$J$50000,"评审",缺陷明细!$AB$2:$AB$50000,"&lt;&gt;丢弃",缺陷明细!$AB$2:$AB$50000,"&lt;&gt;设计如此",缺陷明细!$AB$2:$AB$50000,"&lt;&gt;重复Bug")</f>
        <v>0</v>
      </c>
      <c r="I35" s="154">
        <f>COUNTIFS(缺陷明细!$A$2:$A$50000,$B$4,缺陷明细!$G$2:$G$50000,$C35,缺陷明细!$Q$2:$Q$50000,"已关闭",缺陷明细!$J$2:$J$50000,"评审")</f>
        <v>0</v>
      </c>
      <c r="J35" s="154">
        <f>COUNTIFS(缺陷明细!$A$2:$A$50000,$B$4,缺陷明细!$G$2:$G$50000,$C35,缺陷明细!$J$2:$J$50000,"单元测试",缺陷明细!$AB$2:$AB$50000,"&lt;&gt;丢弃",缺陷明细!$AB$2:$AB$50000,"&lt;&gt;设计如此",缺陷明细!$AB$2:$AB$50000,"&lt;&gt;重复Bug")</f>
        <v>0</v>
      </c>
      <c r="K35" s="155">
        <f>COUNTIFS(缺陷明细!$A$2:$A$50000,$B$4,缺陷明细!$G$2:$G$50000,$C35,缺陷明细!$Q$2:$Q$50000,"已关闭",缺陷明细!$J$2:$J$50000,"单元测试")</f>
        <v>0</v>
      </c>
      <c r="L35" s="156"/>
      <c r="M35" s="157"/>
      <c r="N35" s="72">
        <f>COUNTIFS(缺陷明细!$A$2:$A$50000,$B$4,缺陷明细!$G$2:$G$50000,$C35,缺陷明细!$J$2:$J$50000,"系统测试案例评审",缺陷明细!$AB$2:$AB$50000,"&lt;&gt;丢弃",缺陷明细!$AB$2:$AB$50000,"&lt;&gt;设计如此",缺陷明细!$AB$2:$AB$50000,"&lt;&gt;重复Bug")</f>
        <v>0</v>
      </c>
      <c r="O35" s="72">
        <f>COUNTIFS(缺陷明细!$A$2:$A$50000,$B$4,缺陷明细!$G$2:$G$50000,$C35,缺陷明细!$Q$2:$Q$50000,"已关闭",缺陷明细!$J$2:$J$50000,"系统测试案例评审")</f>
        <v>0</v>
      </c>
      <c r="P35" s="72">
        <f>COUNTIFS(缺陷明细!$A$2:$A$50000,$B$4,缺陷明细!$G$2:$G$50000,$C35,缺陷明细!$J$2:$J$50000,"系统测试",缺陷明细!$AB$2:$AB$50000,"&lt;&gt;丢弃",缺陷明细!$AB$2:$AB$50000,"&lt;&gt;设计如此",缺陷明细!$AB$2:$AB$50000,"&lt;&gt;重复Bug")</f>
        <v>0</v>
      </c>
      <c r="Q35" s="72">
        <f>COUNTIFS(缺陷明细!$A$2:$A$50000,$B$4,缺陷明细!$G$2:$G$50000,$C35,缺陷明细!$Q$2:$Q$50000,"已关闭",缺陷明细!$J$2:$J$50000,"系统测试")</f>
        <v>0</v>
      </c>
      <c r="R35" s="296">
        <f>COUNTIFS(缺陷明细!$A$2:$A$50000,$B$4,缺陷明细!$G$2:$G$50000,$C35,缺陷明细!$AB$2:$AB$50000,"丢弃",缺陷明细!$J$2:$J$50000,"系统测试")+COUNTIFS(缺陷明细!$A$2:$A$50000,$B$4,缺陷明细!$G$2:$G$50000,$C35,缺陷明细!$AB$2:$AB$50000,"设计如此",缺陷明细!$J$2:$J$50000,"系统测试")+COUNTIFS(缺陷明细!$A$2:$A$50000,$B$4,缺陷明细!$G$2:$G$50000,$C35,缺陷明细!$AB$2:$AB$50000,"重复Bug",缺陷明细!$J$2:$J$50000,"系统测试")</f>
        <v>0</v>
      </c>
      <c r="S35" s="72">
        <f>COUNTIFS(缺陷明细!$A$2:$A$50000,$B$4,缺陷明细!$G$2:$G$50000,$C35,缺陷明细!$J$2:$J$50000,"系统测试",缺陷明细!$K$2:$K$50000,"致命",缺陷明细!$AB$2:$AB$50000,"&lt;&gt;丢弃",缺陷明细!$AB$2:$AB$50000,"&lt;&gt;设计如此",缺陷明细!$AB$2:$AB$50000,"&lt;&gt;重复Bug")+COUNTIFS(缺陷明细!$A$2:$A$50000,$B$4,缺陷明细!$G$2:$G$50000,$C35,缺陷明细!$J$2:$J$50000,"系统测试",缺陷明细!$K$2:$K$50000,"严重",缺陷明细!$AB$2:$AB$50000,"&lt;&gt;丢弃",缺陷明细!$AB$2:$AB$50000,"&lt;&gt;设计如此",缺陷明细!$AB$2:$AB$50000,"&lt;&gt;重复Bug")</f>
        <v>0</v>
      </c>
      <c r="T35" s="73">
        <f>COUNTIFS(缺陷明细!$A$2:$A$50000,$B$4,缺陷明细!$G$2:$G$50000,$C35,缺陷明细!$Q$2:$Q$50000,"已关闭",缺陷明细!$J$2:$J$50000,"系统测试",缺陷明细!$K$2:$K$50000,"致命")+COUNTIFS(缺陷明细!$A$2:$A$50000,$B$4,缺陷明细!$G$2:$G$50000,$C35,缺陷明细!$Q$2:$Q$50000,"已关闭",缺陷明细!$J$2:$J$50000,"系统测试",缺陷明细!$K$2:$K$50000,"严重")</f>
        <v>0</v>
      </c>
      <c r="U35" s="74">
        <f>COUNTIFS(缺陷明细!$A$2:$A$50000,$B$4,缺陷明细!$G$2:$G$50000,$C35,缺陷明细!$J$2:$J$50000,"验收测试",缺陷明细!$AB$2:$AB$50000,"&lt;&gt;丢弃",缺陷明细!$AB$2:$AB$50000,"&lt;&gt;设计如此",缺陷明细!$AB$2:$AB$50000,"&lt;&gt;重复Bug")</f>
        <v>0</v>
      </c>
      <c r="V35" s="75">
        <f>COUNTIFS(缺陷明细!$A$2:$A$50000,$B$4,缺陷明细!$G$2:$G$50000,$C35,缺陷明细!$Q$2:$Q$50000,"已关闭",缺陷明细!$J$2:$J$50000,"验收测试")</f>
        <v>0</v>
      </c>
      <c r="W35" s="75">
        <f>COUNTIFS(缺陷明细!$A$2:$A$50000,$B$4,缺陷明细!$G$2:$G$50000,$C35,缺陷明细!$J$2:$J$50000,"验收测试",缺陷明细!$K$2:$K$50000,"致命",缺陷明细!$AB$2:$AB$50000,"&lt;&gt;丢弃",缺陷明细!$AB$2:$AB$50000,"&lt;&gt;设计如此",缺陷明细!$AB$2:$AB$50000,"&lt;&gt;重复Bug")+COUNTIFS(缺陷明细!$A$2:$A$50000,$B$4,缺陷明细!$G$2:$G$50000,$C35,缺陷明细!$J$2:$J$50000,"验收测试",缺陷明细!$K$2:$K$50000,"严重",缺陷明细!$AB$2:$AB$50000,"&lt;&gt;丢弃",缺陷明细!$AB$2:$AB$50000,"&lt;&gt;设计如此",缺陷明细!$AB$2:$AB$50000,"&lt;&gt;重复Bug")</f>
        <v>0</v>
      </c>
      <c r="X35" s="76">
        <f>COUNTIFS(缺陷明细!$A$2:$A$50000,$B$4,缺陷明细!$G$2:$G$50000,$C35,缺陷明细!$Q$2:$Q$50000,"已关闭",缺陷明细!$J$2:$J$50000,"验收测试",缺陷明细!$K$2:$K$50000,"致命")+COUNTIFS(缺陷明细!$A$2:$A$50000,$B$4,缺陷明细!$G$2:$G$50000,$C35,缺陷明细!$Q$2:$Q$50000,"已关闭",缺陷明细!$J$2:$J$50000,"验收测试",缺陷明细!$K$2:$K$50000,"严重")</f>
        <v>0</v>
      </c>
      <c r="Y35" s="70">
        <f>COUNTIFS(缺陷明细!$A$2:$A$50000,$B$4,缺陷明细!$G$2:$G$50000,$C35,缺陷明细!$J$2:$J$50000,"运维测试",缺陷明细!$AB$2:$AB$50000,"&lt;&gt;丢弃",缺陷明细!$AB$2:$AB$50000,"&lt;&gt;设计如此",缺陷明细!$AB$2:$AB$50000,"&lt;&gt;重复Bug")</f>
        <v>0</v>
      </c>
      <c r="Z35" s="71">
        <f>COUNTIFS(缺陷明细!$A$2:$A$50000,$B$4,缺陷明细!$G$2:$G$50000,$C35,缺陷明细!$Q$2:$Q$50000,"已关闭",缺陷明细!$J$2:$J$50000,"运维测试")</f>
        <v>0</v>
      </c>
      <c r="AA35" s="72">
        <f>COUNTIFS(缺陷明细!$A$2:$A$50000,$B$4,缺陷明细!$G$2:$G$50000,$C35,缺陷明细!$J$2:$J$50000,"运维测试",缺陷明细!$K$2:$K$50000,"致命",缺陷明细!$AB$2:$AB$50000,"&lt;&gt;丢弃",缺陷明细!$AB$2:$AB$50000,"&lt;&gt;设计如此",缺陷明细!$AB$2:$AB$50000,"&lt;&gt;重复Bug")+COUNTIFS(缺陷明细!$A$2:$A$50000,$B$4,缺陷明细!$G$2:$G$50000,$C35,缺陷明细!$J$2:$J$50000,"运维测试",缺陷明细!$K$2:$K$50000,"严重",缺陷明细!$AB$2:$AB$50000,"&lt;&gt;丢弃",缺陷明细!$AB$2:$AB$50000,"&lt;&gt;设计如此",缺陷明细!$AB$2:$AB$50000,"&lt;&gt;重复Bug")</f>
        <v>0</v>
      </c>
      <c r="AB35" s="73">
        <f>COUNTIFS(缺陷明细!$A$2:$A$50000,$B$4,缺陷明细!$G$2:$G$50000,$C35,缺陷明细!$Q$2:$Q$50000,"已关闭",缺陷明细!$J$2:$J$50000,"运维测试",缺陷明细!$K$2:$K$50000,"致命")+COUNTIFS(缺陷明细!$A$2:$A$50000,$B$4,缺陷明细!$G$2:$G$50000,$C35,缺陷明细!$Q$2:$Q$50000,"已关闭",缺陷明细!$J$2:$J$50000,"运维测试",缺陷明细!$K$2:$K$50000,"严重")</f>
        <v>0</v>
      </c>
      <c r="AC35" s="68">
        <f t="shared" si="0"/>
        <v>0</v>
      </c>
      <c r="AD35" s="60">
        <f t="shared" si="0"/>
        <v>0</v>
      </c>
      <c r="AE35" s="60">
        <f t="shared" si="1"/>
        <v>0</v>
      </c>
      <c r="AF35" s="60">
        <f t="shared" si="1"/>
        <v>0</v>
      </c>
      <c r="AG35" s="60">
        <f t="shared" si="2"/>
        <v>0</v>
      </c>
      <c r="AH35" s="60">
        <f t="shared" si="2"/>
        <v>0</v>
      </c>
      <c r="AI35" s="60">
        <f t="shared" si="3"/>
        <v>0</v>
      </c>
      <c r="AJ35" s="61">
        <f t="shared" si="3"/>
        <v>0</v>
      </c>
      <c r="AK35" s="144"/>
    </row>
    <row r="36" spans="1:37">
      <c r="A36">
        <v>32</v>
      </c>
      <c r="B36" s="57"/>
      <c r="C36" s="58"/>
      <c r="D36" s="84"/>
      <c r="E36" s="82"/>
      <c r="F36" s="158"/>
      <c r="G36" s="159"/>
      <c r="H36" s="281">
        <f>COUNTIFS(缺陷明细!$A$2:$A$50000,$B$4,缺陷明细!$G$2:$G$50000,$C36,缺陷明细!$J$2:$J$50000,"评审",缺陷明细!$AB$2:$AB$50000,"&lt;&gt;丢弃",缺陷明细!$AB$2:$AB$50000,"&lt;&gt;设计如此",缺陷明细!$AB$2:$AB$50000,"&lt;&gt;重复Bug")</f>
        <v>0</v>
      </c>
      <c r="I36" s="154">
        <f>COUNTIFS(缺陷明细!$A$2:$A$50000,$B$4,缺陷明细!$G$2:$G$50000,$C36,缺陷明细!$Q$2:$Q$50000,"已关闭",缺陷明细!$J$2:$J$50000,"评审")</f>
        <v>0</v>
      </c>
      <c r="J36" s="154">
        <f>COUNTIFS(缺陷明细!$A$2:$A$50000,$B$4,缺陷明细!$G$2:$G$50000,$C36,缺陷明细!$J$2:$J$50000,"单元测试",缺陷明细!$AB$2:$AB$50000,"&lt;&gt;丢弃",缺陷明细!$AB$2:$AB$50000,"&lt;&gt;设计如此",缺陷明细!$AB$2:$AB$50000,"&lt;&gt;重复Bug")</f>
        <v>0</v>
      </c>
      <c r="K36" s="155">
        <f>COUNTIFS(缺陷明细!$A$2:$A$50000,$B$4,缺陷明细!$G$2:$G$50000,$C36,缺陷明细!$Q$2:$Q$50000,"已关闭",缺陷明细!$J$2:$J$50000,"单元测试")</f>
        <v>0</v>
      </c>
      <c r="L36" s="156"/>
      <c r="M36" s="157"/>
      <c r="N36" s="72">
        <f>COUNTIFS(缺陷明细!$A$2:$A$50000,$B$4,缺陷明细!$G$2:$G$50000,$C36,缺陷明细!$J$2:$J$50000,"系统测试案例评审",缺陷明细!$AB$2:$AB$50000,"&lt;&gt;丢弃",缺陷明细!$AB$2:$AB$50000,"&lt;&gt;设计如此",缺陷明细!$AB$2:$AB$50000,"&lt;&gt;重复Bug")</f>
        <v>0</v>
      </c>
      <c r="O36" s="72">
        <f>COUNTIFS(缺陷明细!$A$2:$A$50000,$B$4,缺陷明细!$G$2:$G$50000,$C36,缺陷明细!$Q$2:$Q$50000,"已关闭",缺陷明细!$J$2:$J$50000,"系统测试案例评审")</f>
        <v>0</v>
      </c>
      <c r="P36" s="72">
        <f>COUNTIFS(缺陷明细!$A$2:$A$50000,$B$4,缺陷明细!$G$2:$G$50000,$C36,缺陷明细!$J$2:$J$50000,"系统测试",缺陷明细!$AB$2:$AB$50000,"&lt;&gt;丢弃",缺陷明细!$AB$2:$AB$50000,"&lt;&gt;设计如此",缺陷明细!$AB$2:$AB$50000,"&lt;&gt;重复Bug")</f>
        <v>0</v>
      </c>
      <c r="Q36" s="72">
        <f>COUNTIFS(缺陷明细!$A$2:$A$50000,$B$4,缺陷明细!$G$2:$G$50000,$C36,缺陷明细!$Q$2:$Q$50000,"已关闭",缺陷明细!$J$2:$J$50000,"系统测试")</f>
        <v>0</v>
      </c>
      <c r="R36" s="296">
        <f>COUNTIFS(缺陷明细!$A$2:$A$50000,$B$4,缺陷明细!$G$2:$G$50000,$C36,缺陷明细!$AB$2:$AB$50000,"丢弃",缺陷明细!$J$2:$J$50000,"系统测试")+COUNTIFS(缺陷明细!$A$2:$A$50000,$B$4,缺陷明细!$G$2:$G$50000,$C36,缺陷明细!$AB$2:$AB$50000,"设计如此",缺陷明细!$J$2:$J$50000,"系统测试")+COUNTIFS(缺陷明细!$A$2:$A$50000,$B$4,缺陷明细!$G$2:$G$50000,$C36,缺陷明细!$AB$2:$AB$50000,"重复Bug",缺陷明细!$J$2:$J$50000,"系统测试")</f>
        <v>0</v>
      </c>
      <c r="S36" s="72">
        <f>COUNTIFS(缺陷明细!$A$2:$A$50000,$B$4,缺陷明细!$G$2:$G$50000,$C36,缺陷明细!$J$2:$J$50000,"系统测试",缺陷明细!$K$2:$K$50000,"致命",缺陷明细!$AB$2:$AB$50000,"&lt;&gt;丢弃",缺陷明细!$AB$2:$AB$50000,"&lt;&gt;设计如此",缺陷明细!$AB$2:$AB$50000,"&lt;&gt;重复Bug")+COUNTIFS(缺陷明细!$A$2:$A$50000,$B$4,缺陷明细!$G$2:$G$50000,$C36,缺陷明细!$J$2:$J$50000,"系统测试",缺陷明细!$K$2:$K$50000,"严重",缺陷明细!$AB$2:$AB$50000,"&lt;&gt;丢弃",缺陷明细!$AB$2:$AB$50000,"&lt;&gt;设计如此",缺陷明细!$AB$2:$AB$50000,"&lt;&gt;重复Bug")</f>
        <v>0</v>
      </c>
      <c r="T36" s="73">
        <f>COUNTIFS(缺陷明细!$A$2:$A$50000,$B$4,缺陷明细!$G$2:$G$50000,$C36,缺陷明细!$Q$2:$Q$50000,"已关闭",缺陷明细!$J$2:$J$50000,"系统测试",缺陷明细!$K$2:$K$50000,"致命")+COUNTIFS(缺陷明细!$A$2:$A$50000,$B$4,缺陷明细!$G$2:$G$50000,$C36,缺陷明细!$Q$2:$Q$50000,"已关闭",缺陷明细!$J$2:$J$50000,"系统测试",缺陷明细!$K$2:$K$50000,"严重")</f>
        <v>0</v>
      </c>
      <c r="U36" s="74">
        <f>COUNTIFS(缺陷明细!$A$2:$A$50000,$B$4,缺陷明细!$G$2:$G$50000,$C36,缺陷明细!$J$2:$J$50000,"验收测试",缺陷明细!$AB$2:$AB$50000,"&lt;&gt;丢弃",缺陷明细!$AB$2:$AB$50000,"&lt;&gt;设计如此",缺陷明细!$AB$2:$AB$50000,"&lt;&gt;重复Bug")</f>
        <v>0</v>
      </c>
      <c r="V36" s="75">
        <f>COUNTIFS(缺陷明细!$A$2:$A$50000,$B$4,缺陷明细!$G$2:$G$50000,$C36,缺陷明细!$Q$2:$Q$50000,"已关闭",缺陷明细!$J$2:$J$50000,"验收测试")</f>
        <v>0</v>
      </c>
      <c r="W36" s="75">
        <f>COUNTIFS(缺陷明细!$A$2:$A$50000,$B$4,缺陷明细!$G$2:$G$50000,$C36,缺陷明细!$J$2:$J$50000,"验收测试",缺陷明细!$K$2:$K$50000,"致命",缺陷明细!$AB$2:$AB$50000,"&lt;&gt;丢弃",缺陷明细!$AB$2:$AB$50000,"&lt;&gt;设计如此",缺陷明细!$AB$2:$AB$50000,"&lt;&gt;重复Bug")+COUNTIFS(缺陷明细!$A$2:$A$50000,$B$4,缺陷明细!$G$2:$G$50000,$C36,缺陷明细!$J$2:$J$50000,"验收测试",缺陷明细!$K$2:$K$50000,"严重",缺陷明细!$AB$2:$AB$50000,"&lt;&gt;丢弃",缺陷明细!$AB$2:$AB$50000,"&lt;&gt;设计如此",缺陷明细!$AB$2:$AB$50000,"&lt;&gt;重复Bug")</f>
        <v>0</v>
      </c>
      <c r="X36" s="76">
        <f>COUNTIFS(缺陷明细!$A$2:$A$50000,$B$4,缺陷明细!$G$2:$G$50000,$C36,缺陷明细!$Q$2:$Q$50000,"已关闭",缺陷明细!$J$2:$J$50000,"验收测试",缺陷明细!$K$2:$K$50000,"致命")+COUNTIFS(缺陷明细!$A$2:$A$50000,$B$4,缺陷明细!$G$2:$G$50000,$C36,缺陷明细!$Q$2:$Q$50000,"已关闭",缺陷明细!$J$2:$J$50000,"验收测试",缺陷明细!$K$2:$K$50000,"严重")</f>
        <v>0</v>
      </c>
      <c r="Y36" s="70">
        <f>COUNTIFS(缺陷明细!$A$2:$A$50000,$B$4,缺陷明细!$G$2:$G$50000,$C36,缺陷明细!$J$2:$J$50000,"运维测试",缺陷明细!$AB$2:$AB$50000,"&lt;&gt;丢弃",缺陷明细!$AB$2:$AB$50000,"&lt;&gt;设计如此",缺陷明细!$AB$2:$AB$50000,"&lt;&gt;重复Bug")</f>
        <v>0</v>
      </c>
      <c r="Z36" s="71">
        <f>COUNTIFS(缺陷明细!$A$2:$A$50000,$B$4,缺陷明细!$G$2:$G$50000,$C36,缺陷明细!$Q$2:$Q$50000,"已关闭",缺陷明细!$J$2:$J$50000,"运维测试")</f>
        <v>0</v>
      </c>
      <c r="AA36" s="72">
        <f>COUNTIFS(缺陷明细!$A$2:$A$50000,$B$4,缺陷明细!$G$2:$G$50000,$C36,缺陷明细!$J$2:$J$50000,"运维测试",缺陷明细!$K$2:$K$50000,"致命",缺陷明细!$AB$2:$AB$50000,"&lt;&gt;丢弃",缺陷明细!$AB$2:$AB$50000,"&lt;&gt;设计如此",缺陷明细!$AB$2:$AB$50000,"&lt;&gt;重复Bug")+COUNTIFS(缺陷明细!$A$2:$A$50000,$B$4,缺陷明细!$G$2:$G$50000,$C36,缺陷明细!$J$2:$J$50000,"运维测试",缺陷明细!$K$2:$K$50000,"严重",缺陷明细!$AB$2:$AB$50000,"&lt;&gt;丢弃",缺陷明细!$AB$2:$AB$50000,"&lt;&gt;设计如此",缺陷明细!$AB$2:$AB$50000,"&lt;&gt;重复Bug")</f>
        <v>0</v>
      </c>
      <c r="AB36" s="73">
        <f>COUNTIFS(缺陷明细!$A$2:$A$50000,$B$4,缺陷明细!$G$2:$G$50000,$C36,缺陷明细!$Q$2:$Q$50000,"已关闭",缺陷明细!$J$2:$J$50000,"运维测试",缺陷明细!$K$2:$K$50000,"致命")+COUNTIFS(缺陷明细!$A$2:$A$50000,$B$4,缺陷明细!$G$2:$G$50000,$C36,缺陷明细!$Q$2:$Q$50000,"已关闭",缺陷明细!$J$2:$J$50000,"运维测试",缺陷明细!$K$2:$K$50000,"严重")</f>
        <v>0</v>
      </c>
      <c r="AC36" s="68">
        <f t="shared" si="0"/>
        <v>0</v>
      </c>
      <c r="AD36" s="60">
        <f t="shared" si="0"/>
        <v>0</v>
      </c>
      <c r="AE36" s="60">
        <f t="shared" si="1"/>
        <v>0</v>
      </c>
      <c r="AF36" s="60">
        <f t="shared" si="1"/>
        <v>0</v>
      </c>
      <c r="AG36" s="60">
        <f t="shared" si="2"/>
        <v>0</v>
      </c>
      <c r="AH36" s="60">
        <f t="shared" si="2"/>
        <v>0</v>
      </c>
      <c r="AI36" s="60">
        <f t="shared" si="3"/>
        <v>0</v>
      </c>
      <c r="AJ36" s="61">
        <f t="shared" si="3"/>
        <v>0</v>
      </c>
      <c r="AK36" s="144"/>
    </row>
    <row r="37" spans="1:37">
      <c r="A37">
        <v>33</v>
      </c>
      <c r="B37" s="57"/>
      <c r="C37" s="58"/>
      <c r="D37" s="84"/>
      <c r="E37" s="82"/>
      <c r="F37" s="158"/>
      <c r="G37" s="159"/>
      <c r="H37" s="281">
        <f>COUNTIFS(缺陷明细!$A$2:$A$50000,$B$4,缺陷明细!$G$2:$G$50000,$C37,缺陷明细!$J$2:$J$50000,"评审",缺陷明细!$AB$2:$AB$50000,"&lt;&gt;丢弃",缺陷明细!$AB$2:$AB$50000,"&lt;&gt;设计如此",缺陷明细!$AB$2:$AB$50000,"&lt;&gt;重复Bug")</f>
        <v>0</v>
      </c>
      <c r="I37" s="154">
        <f>COUNTIFS(缺陷明细!$A$2:$A$50000,$B$4,缺陷明细!$G$2:$G$50000,$C37,缺陷明细!$Q$2:$Q$50000,"已关闭",缺陷明细!$J$2:$J$50000,"评审")</f>
        <v>0</v>
      </c>
      <c r="J37" s="154">
        <f>COUNTIFS(缺陷明细!$A$2:$A$50000,$B$4,缺陷明细!$G$2:$G$50000,$C37,缺陷明细!$J$2:$J$50000,"单元测试",缺陷明细!$AB$2:$AB$50000,"&lt;&gt;丢弃",缺陷明细!$AB$2:$AB$50000,"&lt;&gt;设计如此",缺陷明细!$AB$2:$AB$50000,"&lt;&gt;重复Bug")</f>
        <v>0</v>
      </c>
      <c r="K37" s="155">
        <f>COUNTIFS(缺陷明细!$A$2:$A$50000,$B$4,缺陷明细!$G$2:$G$50000,$C37,缺陷明细!$Q$2:$Q$50000,"已关闭",缺陷明细!$J$2:$J$50000,"单元测试")</f>
        <v>0</v>
      </c>
      <c r="L37" s="156"/>
      <c r="M37" s="157"/>
      <c r="N37" s="72">
        <f>COUNTIFS(缺陷明细!$A$2:$A$50000,$B$4,缺陷明细!$G$2:$G$50000,$C37,缺陷明细!$J$2:$J$50000,"系统测试案例评审",缺陷明细!$AB$2:$AB$50000,"&lt;&gt;丢弃",缺陷明细!$AB$2:$AB$50000,"&lt;&gt;设计如此",缺陷明细!$AB$2:$AB$50000,"&lt;&gt;重复Bug")</f>
        <v>0</v>
      </c>
      <c r="O37" s="72">
        <f>COUNTIFS(缺陷明细!$A$2:$A$50000,$B$4,缺陷明细!$G$2:$G$50000,$C37,缺陷明细!$Q$2:$Q$50000,"已关闭",缺陷明细!$J$2:$J$50000,"系统测试案例评审")</f>
        <v>0</v>
      </c>
      <c r="P37" s="72">
        <f>COUNTIFS(缺陷明细!$A$2:$A$50000,$B$4,缺陷明细!$G$2:$G$50000,$C37,缺陷明细!$J$2:$J$50000,"系统测试",缺陷明细!$AB$2:$AB$50000,"&lt;&gt;丢弃",缺陷明细!$AB$2:$AB$50000,"&lt;&gt;设计如此",缺陷明细!$AB$2:$AB$50000,"&lt;&gt;重复Bug")</f>
        <v>0</v>
      </c>
      <c r="Q37" s="72">
        <f>COUNTIFS(缺陷明细!$A$2:$A$50000,$B$4,缺陷明细!$G$2:$G$50000,$C37,缺陷明细!$Q$2:$Q$50000,"已关闭",缺陷明细!$J$2:$J$50000,"系统测试")</f>
        <v>0</v>
      </c>
      <c r="R37" s="296">
        <f>COUNTIFS(缺陷明细!$A$2:$A$50000,$B$4,缺陷明细!$G$2:$G$50000,$C37,缺陷明细!$AB$2:$AB$50000,"丢弃",缺陷明细!$J$2:$J$50000,"系统测试")+COUNTIFS(缺陷明细!$A$2:$A$50000,$B$4,缺陷明细!$G$2:$G$50000,$C37,缺陷明细!$AB$2:$AB$50000,"设计如此",缺陷明细!$J$2:$J$50000,"系统测试")+COUNTIFS(缺陷明细!$A$2:$A$50000,$B$4,缺陷明细!$G$2:$G$50000,$C37,缺陷明细!$AB$2:$AB$50000,"重复Bug",缺陷明细!$J$2:$J$50000,"系统测试")</f>
        <v>0</v>
      </c>
      <c r="S37" s="72">
        <f>COUNTIFS(缺陷明细!$A$2:$A$50000,$B$4,缺陷明细!$G$2:$G$50000,$C37,缺陷明细!$J$2:$J$50000,"系统测试",缺陷明细!$K$2:$K$50000,"致命",缺陷明细!$AB$2:$AB$50000,"&lt;&gt;丢弃",缺陷明细!$AB$2:$AB$50000,"&lt;&gt;设计如此",缺陷明细!$AB$2:$AB$50000,"&lt;&gt;重复Bug")+COUNTIFS(缺陷明细!$A$2:$A$50000,$B$4,缺陷明细!$G$2:$G$50000,$C37,缺陷明细!$J$2:$J$50000,"系统测试",缺陷明细!$K$2:$K$50000,"严重",缺陷明细!$AB$2:$AB$50000,"&lt;&gt;丢弃",缺陷明细!$AB$2:$AB$50000,"&lt;&gt;设计如此",缺陷明细!$AB$2:$AB$50000,"&lt;&gt;重复Bug")</f>
        <v>0</v>
      </c>
      <c r="T37" s="73">
        <f>COUNTIFS(缺陷明细!$A$2:$A$50000,$B$4,缺陷明细!$G$2:$G$50000,$C37,缺陷明细!$Q$2:$Q$50000,"已关闭",缺陷明细!$J$2:$J$50000,"系统测试",缺陷明细!$K$2:$K$50000,"致命")+COUNTIFS(缺陷明细!$A$2:$A$50000,$B$4,缺陷明细!$G$2:$G$50000,$C37,缺陷明细!$Q$2:$Q$50000,"已关闭",缺陷明细!$J$2:$J$50000,"系统测试",缺陷明细!$K$2:$K$50000,"严重")</f>
        <v>0</v>
      </c>
      <c r="U37" s="74">
        <f>COUNTIFS(缺陷明细!$A$2:$A$50000,$B$4,缺陷明细!$G$2:$G$50000,$C37,缺陷明细!$J$2:$J$50000,"验收测试",缺陷明细!$AB$2:$AB$50000,"&lt;&gt;丢弃",缺陷明细!$AB$2:$AB$50000,"&lt;&gt;设计如此",缺陷明细!$AB$2:$AB$50000,"&lt;&gt;重复Bug")</f>
        <v>0</v>
      </c>
      <c r="V37" s="75">
        <f>COUNTIFS(缺陷明细!$A$2:$A$50000,$B$4,缺陷明细!$G$2:$G$50000,$C37,缺陷明细!$Q$2:$Q$50000,"已关闭",缺陷明细!$J$2:$J$50000,"验收测试")</f>
        <v>0</v>
      </c>
      <c r="W37" s="75">
        <f>COUNTIFS(缺陷明细!$A$2:$A$50000,$B$4,缺陷明细!$G$2:$G$50000,$C37,缺陷明细!$J$2:$J$50000,"验收测试",缺陷明细!$K$2:$K$50000,"致命",缺陷明细!$AB$2:$AB$50000,"&lt;&gt;丢弃",缺陷明细!$AB$2:$AB$50000,"&lt;&gt;设计如此",缺陷明细!$AB$2:$AB$50000,"&lt;&gt;重复Bug")+COUNTIFS(缺陷明细!$A$2:$A$50000,$B$4,缺陷明细!$G$2:$G$50000,$C37,缺陷明细!$J$2:$J$50000,"验收测试",缺陷明细!$K$2:$K$50000,"严重",缺陷明细!$AB$2:$AB$50000,"&lt;&gt;丢弃",缺陷明细!$AB$2:$AB$50000,"&lt;&gt;设计如此",缺陷明细!$AB$2:$AB$50000,"&lt;&gt;重复Bug")</f>
        <v>0</v>
      </c>
      <c r="X37" s="76">
        <f>COUNTIFS(缺陷明细!$A$2:$A$50000,$B$4,缺陷明细!$G$2:$G$50000,$C37,缺陷明细!$Q$2:$Q$50000,"已关闭",缺陷明细!$J$2:$J$50000,"验收测试",缺陷明细!$K$2:$K$50000,"致命")+COUNTIFS(缺陷明细!$A$2:$A$50000,$B$4,缺陷明细!$G$2:$G$50000,$C37,缺陷明细!$Q$2:$Q$50000,"已关闭",缺陷明细!$J$2:$J$50000,"验收测试",缺陷明细!$K$2:$K$50000,"严重")</f>
        <v>0</v>
      </c>
      <c r="Y37" s="70">
        <f>COUNTIFS(缺陷明细!$A$2:$A$50000,$B$4,缺陷明细!$G$2:$G$50000,$C37,缺陷明细!$J$2:$J$50000,"运维测试",缺陷明细!$AB$2:$AB$50000,"&lt;&gt;丢弃",缺陷明细!$AB$2:$AB$50000,"&lt;&gt;设计如此",缺陷明细!$AB$2:$AB$50000,"&lt;&gt;重复Bug")</f>
        <v>0</v>
      </c>
      <c r="Z37" s="71">
        <f>COUNTIFS(缺陷明细!$A$2:$A$50000,$B$4,缺陷明细!$G$2:$G$50000,$C37,缺陷明细!$Q$2:$Q$50000,"已关闭",缺陷明细!$J$2:$J$50000,"运维测试")</f>
        <v>0</v>
      </c>
      <c r="AA37" s="72">
        <f>COUNTIFS(缺陷明细!$A$2:$A$50000,$B$4,缺陷明细!$G$2:$G$50000,$C37,缺陷明细!$J$2:$J$50000,"运维测试",缺陷明细!$K$2:$K$50000,"致命",缺陷明细!$AB$2:$AB$50000,"&lt;&gt;丢弃",缺陷明细!$AB$2:$AB$50000,"&lt;&gt;设计如此",缺陷明细!$AB$2:$AB$50000,"&lt;&gt;重复Bug")+COUNTIFS(缺陷明细!$A$2:$A$50000,$B$4,缺陷明细!$G$2:$G$50000,$C37,缺陷明细!$J$2:$J$50000,"运维测试",缺陷明细!$K$2:$K$50000,"严重",缺陷明细!$AB$2:$AB$50000,"&lt;&gt;丢弃",缺陷明细!$AB$2:$AB$50000,"&lt;&gt;设计如此",缺陷明细!$AB$2:$AB$50000,"&lt;&gt;重复Bug")</f>
        <v>0</v>
      </c>
      <c r="AB37" s="73">
        <f>COUNTIFS(缺陷明细!$A$2:$A$50000,$B$4,缺陷明细!$G$2:$G$50000,$C37,缺陷明细!$Q$2:$Q$50000,"已关闭",缺陷明细!$J$2:$J$50000,"运维测试",缺陷明细!$K$2:$K$50000,"致命")+COUNTIFS(缺陷明细!$A$2:$A$50000,$B$4,缺陷明细!$G$2:$G$50000,$C37,缺陷明细!$Q$2:$Q$50000,"已关闭",缺陷明细!$J$2:$J$50000,"运维测试",缺陷明细!$K$2:$K$50000,"严重")</f>
        <v>0</v>
      </c>
      <c r="AC37" s="68">
        <f t="shared" si="0"/>
        <v>0</v>
      </c>
      <c r="AD37" s="60">
        <f t="shared" si="0"/>
        <v>0</v>
      </c>
      <c r="AE37" s="60">
        <f t="shared" si="1"/>
        <v>0</v>
      </c>
      <c r="AF37" s="60">
        <f t="shared" si="1"/>
        <v>0</v>
      </c>
      <c r="AG37" s="60">
        <f t="shared" si="2"/>
        <v>0</v>
      </c>
      <c r="AH37" s="60">
        <f t="shared" si="2"/>
        <v>0</v>
      </c>
      <c r="AI37" s="60">
        <f t="shared" si="3"/>
        <v>0</v>
      </c>
      <c r="AJ37" s="61">
        <f t="shared" si="3"/>
        <v>0</v>
      </c>
      <c r="AK37" s="144"/>
    </row>
    <row r="38" spans="1:37">
      <c r="A38">
        <v>34</v>
      </c>
      <c r="B38" s="57"/>
      <c r="C38" s="58"/>
      <c r="D38" s="84"/>
      <c r="E38" s="82"/>
      <c r="F38" s="158"/>
      <c r="G38" s="159"/>
      <c r="H38" s="281">
        <f>COUNTIFS(缺陷明细!$A$2:$A$50000,$B$4,缺陷明细!$G$2:$G$50000,$C38,缺陷明细!$J$2:$J$50000,"评审",缺陷明细!$AB$2:$AB$50000,"&lt;&gt;丢弃",缺陷明细!$AB$2:$AB$50000,"&lt;&gt;设计如此",缺陷明细!$AB$2:$AB$50000,"&lt;&gt;重复Bug")</f>
        <v>0</v>
      </c>
      <c r="I38" s="154">
        <f>COUNTIFS(缺陷明细!$A$2:$A$50000,$B$4,缺陷明细!$G$2:$G$50000,$C38,缺陷明细!$Q$2:$Q$50000,"已关闭",缺陷明细!$J$2:$J$50000,"评审")</f>
        <v>0</v>
      </c>
      <c r="J38" s="154">
        <f>COUNTIFS(缺陷明细!$A$2:$A$50000,$B$4,缺陷明细!$G$2:$G$50000,$C38,缺陷明细!$J$2:$J$50000,"单元测试",缺陷明细!$AB$2:$AB$50000,"&lt;&gt;丢弃",缺陷明细!$AB$2:$AB$50000,"&lt;&gt;设计如此",缺陷明细!$AB$2:$AB$50000,"&lt;&gt;重复Bug")</f>
        <v>0</v>
      </c>
      <c r="K38" s="155">
        <f>COUNTIFS(缺陷明细!$A$2:$A$50000,$B$4,缺陷明细!$G$2:$G$50000,$C38,缺陷明细!$Q$2:$Q$50000,"已关闭",缺陷明细!$J$2:$J$50000,"单元测试")</f>
        <v>0</v>
      </c>
      <c r="L38" s="156"/>
      <c r="M38" s="157"/>
      <c r="N38" s="72">
        <f>COUNTIFS(缺陷明细!$A$2:$A$50000,$B$4,缺陷明细!$G$2:$G$50000,$C38,缺陷明细!$J$2:$J$50000,"系统测试案例评审",缺陷明细!$AB$2:$AB$50000,"&lt;&gt;丢弃",缺陷明细!$AB$2:$AB$50000,"&lt;&gt;设计如此",缺陷明细!$AB$2:$AB$50000,"&lt;&gt;重复Bug")</f>
        <v>0</v>
      </c>
      <c r="O38" s="72">
        <f>COUNTIFS(缺陷明细!$A$2:$A$50000,$B$4,缺陷明细!$G$2:$G$50000,$C38,缺陷明细!$Q$2:$Q$50000,"已关闭",缺陷明细!$J$2:$J$50000,"系统测试案例评审")</f>
        <v>0</v>
      </c>
      <c r="P38" s="72">
        <f>COUNTIFS(缺陷明细!$A$2:$A$50000,$B$4,缺陷明细!$G$2:$G$50000,$C38,缺陷明细!$J$2:$J$50000,"系统测试",缺陷明细!$AB$2:$AB$50000,"&lt;&gt;丢弃",缺陷明细!$AB$2:$AB$50000,"&lt;&gt;设计如此",缺陷明细!$AB$2:$AB$50000,"&lt;&gt;重复Bug")</f>
        <v>0</v>
      </c>
      <c r="Q38" s="72">
        <f>COUNTIFS(缺陷明细!$A$2:$A$50000,$B$4,缺陷明细!$G$2:$G$50000,$C38,缺陷明细!$Q$2:$Q$50000,"已关闭",缺陷明细!$J$2:$J$50000,"系统测试")</f>
        <v>0</v>
      </c>
      <c r="R38" s="296">
        <f>COUNTIFS(缺陷明细!$A$2:$A$50000,$B$4,缺陷明细!$G$2:$G$50000,$C38,缺陷明细!$AB$2:$AB$50000,"丢弃",缺陷明细!$J$2:$J$50000,"系统测试")+COUNTIFS(缺陷明细!$A$2:$A$50000,$B$4,缺陷明细!$G$2:$G$50000,$C38,缺陷明细!$AB$2:$AB$50000,"设计如此",缺陷明细!$J$2:$J$50000,"系统测试")+COUNTIFS(缺陷明细!$A$2:$A$50000,$B$4,缺陷明细!$G$2:$G$50000,$C38,缺陷明细!$AB$2:$AB$50000,"重复Bug",缺陷明细!$J$2:$J$50000,"系统测试")</f>
        <v>0</v>
      </c>
      <c r="S38" s="72">
        <f>COUNTIFS(缺陷明细!$A$2:$A$50000,$B$4,缺陷明细!$G$2:$G$50000,$C38,缺陷明细!$J$2:$J$50000,"系统测试",缺陷明细!$K$2:$K$50000,"致命",缺陷明细!$AB$2:$AB$50000,"&lt;&gt;丢弃",缺陷明细!$AB$2:$AB$50000,"&lt;&gt;设计如此",缺陷明细!$AB$2:$AB$50000,"&lt;&gt;重复Bug")+COUNTIFS(缺陷明细!$A$2:$A$50000,$B$4,缺陷明细!$G$2:$G$50000,$C38,缺陷明细!$J$2:$J$50000,"系统测试",缺陷明细!$K$2:$K$50000,"严重",缺陷明细!$AB$2:$AB$50000,"&lt;&gt;丢弃",缺陷明细!$AB$2:$AB$50000,"&lt;&gt;设计如此",缺陷明细!$AB$2:$AB$50000,"&lt;&gt;重复Bug")</f>
        <v>0</v>
      </c>
      <c r="T38" s="73">
        <f>COUNTIFS(缺陷明细!$A$2:$A$50000,$B$4,缺陷明细!$G$2:$G$50000,$C38,缺陷明细!$Q$2:$Q$50000,"已关闭",缺陷明细!$J$2:$J$50000,"系统测试",缺陷明细!$K$2:$K$50000,"致命")+COUNTIFS(缺陷明细!$A$2:$A$50000,$B$4,缺陷明细!$G$2:$G$50000,$C38,缺陷明细!$Q$2:$Q$50000,"已关闭",缺陷明细!$J$2:$J$50000,"系统测试",缺陷明细!$K$2:$K$50000,"严重")</f>
        <v>0</v>
      </c>
      <c r="U38" s="74">
        <f>COUNTIFS(缺陷明细!$A$2:$A$50000,$B$4,缺陷明细!$G$2:$G$50000,$C38,缺陷明细!$J$2:$J$50000,"验收测试",缺陷明细!$AB$2:$AB$50000,"&lt;&gt;丢弃",缺陷明细!$AB$2:$AB$50000,"&lt;&gt;设计如此",缺陷明细!$AB$2:$AB$50000,"&lt;&gt;重复Bug")</f>
        <v>0</v>
      </c>
      <c r="V38" s="75">
        <f>COUNTIFS(缺陷明细!$A$2:$A$50000,$B$4,缺陷明细!$G$2:$G$50000,$C38,缺陷明细!$Q$2:$Q$50000,"已关闭",缺陷明细!$J$2:$J$50000,"验收测试")</f>
        <v>0</v>
      </c>
      <c r="W38" s="75">
        <f>COUNTIFS(缺陷明细!$A$2:$A$50000,$B$4,缺陷明细!$G$2:$G$50000,$C38,缺陷明细!$J$2:$J$50000,"验收测试",缺陷明细!$K$2:$K$50000,"致命",缺陷明细!$AB$2:$AB$50000,"&lt;&gt;丢弃",缺陷明细!$AB$2:$AB$50000,"&lt;&gt;设计如此",缺陷明细!$AB$2:$AB$50000,"&lt;&gt;重复Bug")+COUNTIFS(缺陷明细!$A$2:$A$50000,$B$4,缺陷明细!$G$2:$G$50000,$C38,缺陷明细!$J$2:$J$50000,"验收测试",缺陷明细!$K$2:$K$50000,"严重",缺陷明细!$AB$2:$AB$50000,"&lt;&gt;丢弃",缺陷明细!$AB$2:$AB$50000,"&lt;&gt;设计如此",缺陷明细!$AB$2:$AB$50000,"&lt;&gt;重复Bug")</f>
        <v>0</v>
      </c>
      <c r="X38" s="76">
        <f>COUNTIFS(缺陷明细!$A$2:$A$50000,$B$4,缺陷明细!$G$2:$G$50000,$C38,缺陷明细!$Q$2:$Q$50000,"已关闭",缺陷明细!$J$2:$J$50000,"验收测试",缺陷明细!$K$2:$K$50000,"致命")+COUNTIFS(缺陷明细!$A$2:$A$50000,$B$4,缺陷明细!$G$2:$G$50000,$C38,缺陷明细!$Q$2:$Q$50000,"已关闭",缺陷明细!$J$2:$J$50000,"验收测试",缺陷明细!$K$2:$K$50000,"严重")</f>
        <v>0</v>
      </c>
      <c r="Y38" s="70">
        <f>COUNTIFS(缺陷明细!$A$2:$A$50000,$B$4,缺陷明细!$G$2:$G$50000,$C38,缺陷明细!$J$2:$J$50000,"运维测试",缺陷明细!$AB$2:$AB$50000,"&lt;&gt;丢弃",缺陷明细!$AB$2:$AB$50000,"&lt;&gt;设计如此",缺陷明细!$AB$2:$AB$50000,"&lt;&gt;重复Bug")</f>
        <v>0</v>
      </c>
      <c r="Z38" s="71">
        <f>COUNTIFS(缺陷明细!$A$2:$A$50000,$B$4,缺陷明细!$G$2:$G$50000,$C38,缺陷明细!$Q$2:$Q$50000,"已关闭",缺陷明细!$J$2:$J$50000,"运维测试")</f>
        <v>0</v>
      </c>
      <c r="AA38" s="72">
        <f>COUNTIFS(缺陷明细!$A$2:$A$50000,$B$4,缺陷明细!$G$2:$G$50000,$C38,缺陷明细!$J$2:$J$50000,"运维测试",缺陷明细!$K$2:$K$50000,"致命",缺陷明细!$AB$2:$AB$50000,"&lt;&gt;丢弃",缺陷明细!$AB$2:$AB$50000,"&lt;&gt;设计如此",缺陷明细!$AB$2:$AB$50000,"&lt;&gt;重复Bug")+COUNTIFS(缺陷明细!$A$2:$A$50000,$B$4,缺陷明细!$G$2:$G$50000,$C38,缺陷明细!$J$2:$J$50000,"运维测试",缺陷明细!$K$2:$K$50000,"严重",缺陷明细!$AB$2:$AB$50000,"&lt;&gt;丢弃",缺陷明细!$AB$2:$AB$50000,"&lt;&gt;设计如此",缺陷明细!$AB$2:$AB$50000,"&lt;&gt;重复Bug")</f>
        <v>0</v>
      </c>
      <c r="AB38" s="73">
        <f>COUNTIFS(缺陷明细!$A$2:$A$50000,$B$4,缺陷明细!$G$2:$G$50000,$C38,缺陷明细!$Q$2:$Q$50000,"已关闭",缺陷明细!$J$2:$J$50000,"运维测试",缺陷明细!$K$2:$K$50000,"致命")+COUNTIFS(缺陷明细!$A$2:$A$50000,$B$4,缺陷明细!$G$2:$G$50000,$C38,缺陷明细!$Q$2:$Q$50000,"已关闭",缺陷明细!$J$2:$J$50000,"运维测试",缺陷明细!$K$2:$K$50000,"严重")</f>
        <v>0</v>
      </c>
      <c r="AC38" s="68">
        <f t="shared" si="0"/>
        <v>0</v>
      </c>
      <c r="AD38" s="60">
        <f t="shared" si="0"/>
        <v>0</v>
      </c>
      <c r="AE38" s="60">
        <f t="shared" si="1"/>
        <v>0</v>
      </c>
      <c r="AF38" s="60">
        <f t="shared" si="1"/>
        <v>0</v>
      </c>
      <c r="AG38" s="60">
        <f t="shared" si="2"/>
        <v>0</v>
      </c>
      <c r="AH38" s="60">
        <f t="shared" si="2"/>
        <v>0</v>
      </c>
      <c r="AI38" s="60">
        <f t="shared" si="3"/>
        <v>0</v>
      </c>
      <c r="AJ38" s="61">
        <f t="shared" si="3"/>
        <v>0</v>
      </c>
      <c r="AK38" s="144"/>
    </row>
    <row r="39" spans="1:37">
      <c r="A39">
        <v>35</v>
      </c>
      <c r="B39" s="57"/>
      <c r="C39" s="58"/>
      <c r="D39" s="84"/>
      <c r="E39" s="82"/>
      <c r="F39" s="158"/>
      <c r="G39" s="159"/>
      <c r="H39" s="281">
        <f>COUNTIFS(缺陷明细!$A$2:$A$50000,$B$4,缺陷明细!$G$2:$G$50000,$C39,缺陷明细!$J$2:$J$50000,"评审",缺陷明细!$AB$2:$AB$50000,"&lt;&gt;丢弃",缺陷明细!$AB$2:$AB$50000,"&lt;&gt;设计如此",缺陷明细!$AB$2:$AB$50000,"&lt;&gt;重复Bug")</f>
        <v>0</v>
      </c>
      <c r="I39" s="154">
        <f>COUNTIFS(缺陷明细!$A$2:$A$50000,$B$4,缺陷明细!$G$2:$G$50000,$C39,缺陷明细!$Q$2:$Q$50000,"已关闭",缺陷明细!$J$2:$J$50000,"评审")</f>
        <v>0</v>
      </c>
      <c r="J39" s="154">
        <f>COUNTIFS(缺陷明细!$A$2:$A$50000,$B$4,缺陷明细!$G$2:$G$50000,$C39,缺陷明细!$J$2:$J$50000,"单元测试",缺陷明细!$AB$2:$AB$50000,"&lt;&gt;丢弃",缺陷明细!$AB$2:$AB$50000,"&lt;&gt;设计如此",缺陷明细!$AB$2:$AB$50000,"&lt;&gt;重复Bug")</f>
        <v>0</v>
      </c>
      <c r="K39" s="155">
        <f>COUNTIFS(缺陷明细!$A$2:$A$50000,$B$4,缺陷明细!$G$2:$G$50000,$C39,缺陷明细!$Q$2:$Q$50000,"已关闭",缺陷明细!$J$2:$J$50000,"单元测试")</f>
        <v>0</v>
      </c>
      <c r="L39" s="156"/>
      <c r="M39" s="157"/>
      <c r="N39" s="72">
        <f>COUNTIFS(缺陷明细!$A$2:$A$50000,$B$4,缺陷明细!$G$2:$G$50000,$C39,缺陷明细!$J$2:$J$50000,"系统测试案例评审",缺陷明细!$AB$2:$AB$50000,"&lt;&gt;丢弃",缺陷明细!$AB$2:$AB$50000,"&lt;&gt;设计如此",缺陷明细!$AB$2:$AB$50000,"&lt;&gt;重复Bug")</f>
        <v>0</v>
      </c>
      <c r="O39" s="72">
        <f>COUNTIFS(缺陷明细!$A$2:$A$50000,$B$4,缺陷明细!$G$2:$G$50000,$C39,缺陷明细!$Q$2:$Q$50000,"已关闭",缺陷明细!$J$2:$J$50000,"系统测试案例评审")</f>
        <v>0</v>
      </c>
      <c r="P39" s="72">
        <f>COUNTIFS(缺陷明细!$A$2:$A$50000,$B$4,缺陷明细!$G$2:$G$50000,$C39,缺陷明细!$J$2:$J$50000,"系统测试",缺陷明细!$AB$2:$AB$50000,"&lt;&gt;丢弃",缺陷明细!$AB$2:$AB$50000,"&lt;&gt;设计如此",缺陷明细!$AB$2:$AB$50000,"&lt;&gt;重复Bug")</f>
        <v>0</v>
      </c>
      <c r="Q39" s="72">
        <f>COUNTIFS(缺陷明细!$A$2:$A$50000,$B$4,缺陷明细!$G$2:$G$50000,$C39,缺陷明细!$Q$2:$Q$50000,"已关闭",缺陷明细!$J$2:$J$50000,"系统测试")</f>
        <v>0</v>
      </c>
      <c r="R39" s="296">
        <f>COUNTIFS(缺陷明细!$A$2:$A$50000,$B$4,缺陷明细!$G$2:$G$50000,$C39,缺陷明细!$AB$2:$AB$50000,"丢弃",缺陷明细!$J$2:$J$50000,"系统测试")+COUNTIFS(缺陷明细!$A$2:$A$50000,$B$4,缺陷明细!$G$2:$G$50000,$C39,缺陷明细!$AB$2:$AB$50000,"设计如此",缺陷明细!$J$2:$J$50000,"系统测试")+COUNTIFS(缺陷明细!$A$2:$A$50000,$B$4,缺陷明细!$G$2:$G$50000,$C39,缺陷明细!$AB$2:$AB$50000,"重复Bug",缺陷明细!$J$2:$J$50000,"系统测试")</f>
        <v>0</v>
      </c>
      <c r="S39" s="72">
        <f>COUNTIFS(缺陷明细!$A$2:$A$50000,$B$4,缺陷明细!$G$2:$G$50000,$C39,缺陷明细!$J$2:$J$50000,"系统测试",缺陷明细!$K$2:$K$50000,"致命",缺陷明细!$AB$2:$AB$50000,"&lt;&gt;丢弃",缺陷明细!$AB$2:$AB$50000,"&lt;&gt;设计如此",缺陷明细!$AB$2:$AB$50000,"&lt;&gt;重复Bug")+COUNTIFS(缺陷明细!$A$2:$A$50000,$B$4,缺陷明细!$G$2:$G$50000,$C39,缺陷明细!$J$2:$J$50000,"系统测试",缺陷明细!$K$2:$K$50000,"严重",缺陷明细!$AB$2:$AB$50000,"&lt;&gt;丢弃",缺陷明细!$AB$2:$AB$50000,"&lt;&gt;设计如此",缺陷明细!$AB$2:$AB$50000,"&lt;&gt;重复Bug")</f>
        <v>0</v>
      </c>
      <c r="T39" s="73">
        <f>COUNTIFS(缺陷明细!$A$2:$A$50000,$B$4,缺陷明细!$G$2:$G$50000,$C39,缺陷明细!$Q$2:$Q$50000,"已关闭",缺陷明细!$J$2:$J$50000,"系统测试",缺陷明细!$K$2:$K$50000,"致命")+COUNTIFS(缺陷明细!$A$2:$A$50000,$B$4,缺陷明细!$G$2:$G$50000,$C39,缺陷明细!$Q$2:$Q$50000,"已关闭",缺陷明细!$J$2:$J$50000,"系统测试",缺陷明细!$K$2:$K$50000,"严重")</f>
        <v>0</v>
      </c>
      <c r="U39" s="74">
        <f>COUNTIFS(缺陷明细!$A$2:$A$50000,$B$4,缺陷明细!$G$2:$G$50000,$C39,缺陷明细!$J$2:$J$50000,"验收测试",缺陷明细!$AB$2:$AB$50000,"&lt;&gt;丢弃",缺陷明细!$AB$2:$AB$50000,"&lt;&gt;设计如此",缺陷明细!$AB$2:$AB$50000,"&lt;&gt;重复Bug")</f>
        <v>0</v>
      </c>
      <c r="V39" s="75">
        <f>COUNTIFS(缺陷明细!$A$2:$A$50000,$B$4,缺陷明细!$G$2:$G$50000,$C39,缺陷明细!$Q$2:$Q$50000,"已关闭",缺陷明细!$J$2:$J$50000,"验收测试")</f>
        <v>0</v>
      </c>
      <c r="W39" s="75">
        <f>COUNTIFS(缺陷明细!$A$2:$A$50000,$B$4,缺陷明细!$G$2:$G$50000,$C39,缺陷明细!$J$2:$J$50000,"验收测试",缺陷明细!$K$2:$K$50000,"致命",缺陷明细!$AB$2:$AB$50000,"&lt;&gt;丢弃",缺陷明细!$AB$2:$AB$50000,"&lt;&gt;设计如此",缺陷明细!$AB$2:$AB$50000,"&lt;&gt;重复Bug")+COUNTIFS(缺陷明细!$A$2:$A$50000,$B$4,缺陷明细!$G$2:$G$50000,$C39,缺陷明细!$J$2:$J$50000,"验收测试",缺陷明细!$K$2:$K$50000,"严重",缺陷明细!$AB$2:$AB$50000,"&lt;&gt;丢弃",缺陷明细!$AB$2:$AB$50000,"&lt;&gt;设计如此",缺陷明细!$AB$2:$AB$50000,"&lt;&gt;重复Bug")</f>
        <v>0</v>
      </c>
      <c r="X39" s="76">
        <f>COUNTIFS(缺陷明细!$A$2:$A$50000,$B$4,缺陷明细!$G$2:$G$50000,$C39,缺陷明细!$Q$2:$Q$50000,"已关闭",缺陷明细!$J$2:$J$50000,"验收测试",缺陷明细!$K$2:$K$50000,"致命")+COUNTIFS(缺陷明细!$A$2:$A$50000,$B$4,缺陷明细!$G$2:$G$50000,$C39,缺陷明细!$Q$2:$Q$50000,"已关闭",缺陷明细!$J$2:$J$50000,"验收测试",缺陷明细!$K$2:$K$50000,"严重")</f>
        <v>0</v>
      </c>
      <c r="Y39" s="70">
        <f>COUNTIFS(缺陷明细!$A$2:$A$50000,$B$4,缺陷明细!$G$2:$G$50000,$C39,缺陷明细!$J$2:$J$50000,"运维测试",缺陷明细!$AB$2:$AB$50000,"&lt;&gt;丢弃",缺陷明细!$AB$2:$AB$50000,"&lt;&gt;设计如此",缺陷明细!$AB$2:$AB$50000,"&lt;&gt;重复Bug")</f>
        <v>0</v>
      </c>
      <c r="Z39" s="71">
        <f>COUNTIFS(缺陷明细!$A$2:$A$50000,$B$4,缺陷明细!$G$2:$G$50000,$C39,缺陷明细!$Q$2:$Q$50000,"已关闭",缺陷明细!$J$2:$J$50000,"运维测试")</f>
        <v>0</v>
      </c>
      <c r="AA39" s="72">
        <f>COUNTIFS(缺陷明细!$A$2:$A$50000,$B$4,缺陷明细!$G$2:$G$50000,$C39,缺陷明细!$J$2:$J$50000,"运维测试",缺陷明细!$K$2:$K$50000,"致命",缺陷明细!$AB$2:$AB$50000,"&lt;&gt;丢弃",缺陷明细!$AB$2:$AB$50000,"&lt;&gt;设计如此",缺陷明细!$AB$2:$AB$50000,"&lt;&gt;重复Bug")+COUNTIFS(缺陷明细!$A$2:$A$50000,$B$4,缺陷明细!$G$2:$G$50000,$C39,缺陷明细!$J$2:$J$50000,"运维测试",缺陷明细!$K$2:$K$50000,"严重",缺陷明细!$AB$2:$AB$50000,"&lt;&gt;丢弃",缺陷明细!$AB$2:$AB$50000,"&lt;&gt;设计如此",缺陷明细!$AB$2:$AB$50000,"&lt;&gt;重复Bug")</f>
        <v>0</v>
      </c>
      <c r="AB39" s="73">
        <f>COUNTIFS(缺陷明细!$A$2:$A$50000,$B$4,缺陷明细!$G$2:$G$50000,$C39,缺陷明细!$Q$2:$Q$50000,"已关闭",缺陷明细!$J$2:$J$50000,"运维测试",缺陷明细!$K$2:$K$50000,"致命")+COUNTIFS(缺陷明细!$A$2:$A$50000,$B$4,缺陷明细!$G$2:$G$50000,$C39,缺陷明细!$Q$2:$Q$50000,"已关闭",缺陷明细!$J$2:$J$50000,"运维测试",缺陷明细!$K$2:$K$50000,"严重")</f>
        <v>0</v>
      </c>
      <c r="AC39" s="68">
        <f t="shared" si="0"/>
        <v>0</v>
      </c>
      <c r="AD39" s="60">
        <f t="shared" si="0"/>
        <v>0</v>
      </c>
      <c r="AE39" s="60">
        <f t="shared" si="1"/>
        <v>0</v>
      </c>
      <c r="AF39" s="60">
        <f t="shared" si="1"/>
        <v>0</v>
      </c>
      <c r="AG39" s="60">
        <f t="shared" si="2"/>
        <v>0</v>
      </c>
      <c r="AH39" s="60">
        <f t="shared" si="2"/>
        <v>0</v>
      </c>
      <c r="AI39" s="60">
        <f t="shared" si="3"/>
        <v>0</v>
      </c>
      <c r="AJ39" s="61">
        <f t="shared" si="3"/>
        <v>0</v>
      </c>
      <c r="AK39" s="144"/>
    </row>
    <row r="40" spans="1:37">
      <c r="A40">
        <v>36</v>
      </c>
      <c r="B40" s="57"/>
      <c r="C40" s="58"/>
      <c r="D40" s="84"/>
      <c r="E40" s="82"/>
      <c r="F40" s="158"/>
      <c r="G40" s="159"/>
      <c r="H40" s="281">
        <f>COUNTIFS(缺陷明细!$A$2:$A$50000,$B$4,缺陷明细!$G$2:$G$50000,$C40,缺陷明细!$J$2:$J$50000,"评审",缺陷明细!$AB$2:$AB$50000,"&lt;&gt;丢弃",缺陷明细!$AB$2:$AB$50000,"&lt;&gt;设计如此",缺陷明细!$AB$2:$AB$50000,"&lt;&gt;重复Bug")</f>
        <v>0</v>
      </c>
      <c r="I40" s="154">
        <f>COUNTIFS(缺陷明细!$A$2:$A$50000,$B$4,缺陷明细!$G$2:$G$50000,$C40,缺陷明细!$Q$2:$Q$50000,"已关闭",缺陷明细!$J$2:$J$50000,"评审")</f>
        <v>0</v>
      </c>
      <c r="J40" s="154">
        <f>COUNTIFS(缺陷明细!$A$2:$A$50000,$B$4,缺陷明细!$G$2:$G$50000,$C40,缺陷明细!$J$2:$J$50000,"单元测试",缺陷明细!$AB$2:$AB$50000,"&lt;&gt;丢弃",缺陷明细!$AB$2:$AB$50000,"&lt;&gt;设计如此",缺陷明细!$AB$2:$AB$50000,"&lt;&gt;重复Bug")</f>
        <v>0</v>
      </c>
      <c r="K40" s="155">
        <f>COUNTIFS(缺陷明细!$A$2:$A$50000,$B$4,缺陷明细!$G$2:$G$50000,$C40,缺陷明细!$Q$2:$Q$50000,"已关闭",缺陷明细!$J$2:$J$50000,"单元测试")</f>
        <v>0</v>
      </c>
      <c r="L40" s="156"/>
      <c r="M40" s="157"/>
      <c r="N40" s="72">
        <f>COUNTIFS(缺陷明细!$A$2:$A$50000,$B$4,缺陷明细!$G$2:$G$50000,$C40,缺陷明细!$J$2:$J$50000,"系统测试案例评审",缺陷明细!$AB$2:$AB$50000,"&lt;&gt;丢弃",缺陷明细!$AB$2:$AB$50000,"&lt;&gt;设计如此",缺陷明细!$AB$2:$AB$50000,"&lt;&gt;重复Bug")</f>
        <v>0</v>
      </c>
      <c r="O40" s="72">
        <f>COUNTIFS(缺陷明细!$A$2:$A$50000,$B$4,缺陷明细!$G$2:$G$50000,$C40,缺陷明细!$Q$2:$Q$50000,"已关闭",缺陷明细!$J$2:$J$50000,"系统测试案例评审")</f>
        <v>0</v>
      </c>
      <c r="P40" s="72">
        <f>COUNTIFS(缺陷明细!$A$2:$A$50000,$B$4,缺陷明细!$G$2:$G$50000,$C40,缺陷明细!$J$2:$J$50000,"系统测试",缺陷明细!$AB$2:$AB$50000,"&lt;&gt;丢弃",缺陷明细!$AB$2:$AB$50000,"&lt;&gt;设计如此",缺陷明细!$AB$2:$AB$50000,"&lt;&gt;重复Bug")</f>
        <v>0</v>
      </c>
      <c r="Q40" s="72">
        <f>COUNTIFS(缺陷明细!$A$2:$A$50000,$B$4,缺陷明细!$G$2:$G$50000,$C40,缺陷明细!$Q$2:$Q$50000,"已关闭",缺陷明细!$J$2:$J$50000,"系统测试")</f>
        <v>0</v>
      </c>
      <c r="R40" s="296">
        <f>COUNTIFS(缺陷明细!$A$2:$A$50000,$B$4,缺陷明细!$G$2:$G$50000,$C40,缺陷明细!$AB$2:$AB$50000,"丢弃",缺陷明细!$J$2:$J$50000,"系统测试")+COUNTIFS(缺陷明细!$A$2:$A$50000,$B$4,缺陷明细!$G$2:$G$50000,$C40,缺陷明细!$AB$2:$AB$50000,"设计如此",缺陷明细!$J$2:$J$50000,"系统测试")+COUNTIFS(缺陷明细!$A$2:$A$50000,$B$4,缺陷明细!$G$2:$G$50000,$C40,缺陷明细!$AB$2:$AB$50000,"重复Bug",缺陷明细!$J$2:$J$50000,"系统测试")</f>
        <v>0</v>
      </c>
      <c r="S40" s="72">
        <f>COUNTIFS(缺陷明细!$A$2:$A$50000,$B$4,缺陷明细!$G$2:$G$50000,$C40,缺陷明细!$J$2:$J$50000,"系统测试",缺陷明细!$K$2:$K$50000,"致命",缺陷明细!$AB$2:$AB$50000,"&lt;&gt;丢弃",缺陷明细!$AB$2:$AB$50000,"&lt;&gt;设计如此",缺陷明细!$AB$2:$AB$50000,"&lt;&gt;重复Bug")+COUNTIFS(缺陷明细!$A$2:$A$50000,$B$4,缺陷明细!$G$2:$G$50000,$C40,缺陷明细!$J$2:$J$50000,"系统测试",缺陷明细!$K$2:$K$50000,"严重",缺陷明细!$AB$2:$AB$50000,"&lt;&gt;丢弃",缺陷明细!$AB$2:$AB$50000,"&lt;&gt;设计如此",缺陷明细!$AB$2:$AB$50000,"&lt;&gt;重复Bug")</f>
        <v>0</v>
      </c>
      <c r="T40" s="73">
        <f>COUNTIFS(缺陷明细!$A$2:$A$50000,$B$4,缺陷明细!$G$2:$G$50000,$C40,缺陷明细!$Q$2:$Q$50000,"已关闭",缺陷明细!$J$2:$J$50000,"系统测试",缺陷明细!$K$2:$K$50000,"致命")+COUNTIFS(缺陷明细!$A$2:$A$50000,$B$4,缺陷明细!$G$2:$G$50000,$C40,缺陷明细!$Q$2:$Q$50000,"已关闭",缺陷明细!$J$2:$J$50000,"系统测试",缺陷明细!$K$2:$K$50000,"严重")</f>
        <v>0</v>
      </c>
      <c r="U40" s="74">
        <f>COUNTIFS(缺陷明细!$A$2:$A$50000,$B$4,缺陷明细!$G$2:$G$50000,$C40,缺陷明细!$J$2:$J$50000,"验收测试",缺陷明细!$AB$2:$AB$50000,"&lt;&gt;丢弃",缺陷明细!$AB$2:$AB$50000,"&lt;&gt;设计如此",缺陷明细!$AB$2:$AB$50000,"&lt;&gt;重复Bug")</f>
        <v>0</v>
      </c>
      <c r="V40" s="75">
        <f>COUNTIFS(缺陷明细!$A$2:$A$50000,$B$4,缺陷明细!$G$2:$G$50000,$C40,缺陷明细!$Q$2:$Q$50000,"已关闭",缺陷明细!$J$2:$J$50000,"验收测试")</f>
        <v>0</v>
      </c>
      <c r="W40" s="75">
        <f>COUNTIFS(缺陷明细!$A$2:$A$50000,$B$4,缺陷明细!$G$2:$G$50000,$C40,缺陷明细!$J$2:$J$50000,"验收测试",缺陷明细!$K$2:$K$50000,"致命",缺陷明细!$AB$2:$AB$50000,"&lt;&gt;丢弃",缺陷明细!$AB$2:$AB$50000,"&lt;&gt;设计如此",缺陷明细!$AB$2:$AB$50000,"&lt;&gt;重复Bug")+COUNTIFS(缺陷明细!$A$2:$A$50000,$B$4,缺陷明细!$G$2:$G$50000,$C40,缺陷明细!$J$2:$J$50000,"验收测试",缺陷明细!$K$2:$K$50000,"严重",缺陷明细!$AB$2:$AB$50000,"&lt;&gt;丢弃",缺陷明细!$AB$2:$AB$50000,"&lt;&gt;设计如此",缺陷明细!$AB$2:$AB$50000,"&lt;&gt;重复Bug")</f>
        <v>0</v>
      </c>
      <c r="X40" s="76">
        <f>COUNTIFS(缺陷明细!$A$2:$A$50000,$B$4,缺陷明细!$G$2:$G$50000,$C40,缺陷明细!$Q$2:$Q$50000,"已关闭",缺陷明细!$J$2:$J$50000,"验收测试",缺陷明细!$K$2:$K$50000,"致命")+COUNTIFS(缺陷明细!$A$2:$A$50000,$B$4,缺陷明细!$G$2:$G$50000,$C40,缺陷明细!$Q$2:$Q$50000,"已关闭",缺陷明细!$J$2:$J$50000,"验收测试",缺陷明细!$K$2:$K$50000,"严重")</f>
        <v>0</v>
      </c>
      <c r="Y40" s="70">
        <f>COUNTIFS(缺陷明细!$A$2:$A$50000,$B$4,缺陷明细!$G$2:$G$50000,$C40,缺陷明细!$J$2:$J$50000,"运维测试",缺陷明细!$AB$2:$AB$50000,"&lt;&gt;丢弃",缺陷明细!$AB$2:$AB$50000,"&lt;&gt;设计如此",缺陷明细!$AB$2:$AB$50000,"&lt;&gt;重复Bug")</f>
        <v>0</v>
      </c>
      <c r="Z40" s="71">
        <f>COUNTIFS(缺陷明细!$A$2:$A$50000,$B$4,缺陷明细!$G$2:$G$50000,$C40,缺陷明细!$Q$2:$Q$50000,"已关闭",缺陷明细!$J$2:$J$50000,"运维测试")</f>
        <v>0</v>
      </c>
      <c r="AA40" s="72">
        <f>COUNTIFS(缺陷明细!$A$2:$A$50000,$B$4,缺陷明细!$G$2:$G$50000,$C40,缺陷明细!$J$2:$J$50000,"运维测试",缺陷明细!$K$2:$K$50000,"致命",缺陷明细!$AB$2:$AB$50000,"&lt;&gt;丢弃",缺陷明细!$AB$2:$AB$50000,"&lt;&gt;设计如此",缺陷明细!$AB$2:$AB$50000,"&lt;&gt;重复Bug")+COUNTIFS(缺陷明细!$A$2:$A$50000,$B$4,缺陷明细!$G$2:$G$50000,$C40,缺陷明细!$J$2:$J$50000,"运维测试",缺陷明细!$K$2:$K$50000,"严重",缺陷明细!$AB$2:$AB$50000,"&lt;&gt;丢弃",缺陷明细!$AB$2:$AB$50000,"&lt;&gt;设计如此",缺陷明细!$AB$2:$AB$50000,"&lt;&gt;重复Bug")</f>
        <v>0</v>
      </c>
      <c r="AB40" s="73">
        <f>COUNTIFS(缺陷明细!$A$2:$A$50000,$B$4,缺陷明细!$G$2:$G$50000,$C40,缺陷明细!$Q$2:$Q$50000,"已关闭",缺陷明细!$J$2:$J$50000,"运维测试",缺陷明细!$K$2:$K$50000,"致命")+COUNTIFS(缺陷明细!$A$2:$A$50000,$B$4,缺陷明细!$G$2:$G$50000,$C40,缺陷明细!$Q$2:$Q$50000,"已关闭",缺陷明细!$J$2:$J$50000,"运维测试",缺陷明细!$K$2:$K$50000,"严重")</f>
        <v>0</v>
      </c>
      <c r="AC40" s="68">
        <f t="shared" si="0"/>
        <v>0</v>
      </c>
      <c r="AD40" s="60">
        <f t="shared" si="0"/>
        <v>0</v>
      </c>
      <c r="AE40" s="60">
        <f t="shared" si="1"/>
        <v>0</v>
      </c>
      <c r="AF40" s="60">
        <f t="shared" si="1"/>
        <v>0</v>
      </c>
      <c r="AG40" s="60">
        <f t="shared" si="2"/>
        <v>0</v>
      </c>
      <c r="AH40" s="60">
        <f t="shared" si="2"/>
        <v>0</v>
      </c>
      <c r="AI40" s="60">
        <f t="shared" si="3"/>
        <v>0</v>
      </c>
      <c r="AJ40" s="61">
        <f t="shared" si="3"/>
        <v>0</v>
      </c>
      <c r="AK40" s="144"/>
    </row>
    <row r="41" spans="1:37">
      <c r="A41">
        <v>37</v>
      </c>
      <c r="B41" s="57"/>
      <c r="C41" s="58"/>
      <c r="D41" s="84"/>
      <c r="E41" s="82"/>
      <c r="F41" s="158"/>
      <c r="G41" s="159"/>
      <c r="H41" s="281">
        <f>COUNTIFS(缺陷明细!$A$2:$A$50000,$B$4,缺陷明细!$G$2:$G$50000,$C41,缺陷明细!$J$2:$J$50000,"评审",缺陷明细!$AB$2:$AB$50000,"&lt;&gt;丢弃",缺陷明细!$AB$2:$AB$50000,"&lt;&gt;设计如此",缺陷明细!$AB$2:$AB$50000,"&lt;&gt;重复Bug")</f>
        <v>0</v>
      </c>
      <c r="I41" s="154">
        <f>COUNTIFS(缺陷明细!$A$2:$A$50000,$B$4,缺陷明细!$G$2:$G$50000,$C41,缺陷明细!$Q$2:$Q$50000,"已关闭",缺陷明细!$J$2:$J$50000,"评审")</f>
        <v>0</v>
      </c>
      <c r="J41" s="154">
        <f>COUNTIFS(缺陷明细!$A$2:$A$50000,$B$4,缺陷明细!$G$2:$G$50000,$C41,缺陷明细!$J$2:$J$50000,"单元测试",缺陷明细!$AB$2:$AB$50000,"&lt;&gt;丢弃",缺陷明细!$AB$2:$AB$50000,"&lt;&gt;设计如此",缺陷明细!$AB$2:$AB$50000,"&lt;&gt;重复Bug")</f>
        <v>0</v>
      </c>
      <c r="K41" s="155">
        <f>COUNTIFS(缺陷明细!$A$2:$A$50000,$B$4,缺陷明细!$G$2:$G$50000,$C41,缺陷明细!$Q$2:$Q$50000,"已关闭",缺陷明细!$J$2:$J$50000,"单元测试")</f>
        <v>0</v>
      </c>
      <c r="L41" s="156"/>
      <c r="M41" s="157"/>
      <c r="N41" s="72">
        <f>COUNTIFS(缺陷明细!$A$2:$A$50000,$B$4,缺陷明细!$G$2:$G$50000,$C41,缺陷明细!$J$2:$J$50000,"系统测试案例评审",缺陷明细!$AB$2:$AB$50000,"&lt;&gt;丢弃",缺陷明细!$AB$2:$AB$50000,"&lt;&gt;设计如此",缺陷明细!$AB$2:$AB$50000,"&lt;&gt;重复Bug")</f>
        <v>0</v>
      </c>
      <c r="O41" s="72">
        <f>COUNTIFS(缺陷明细!$A$2:$A$50000,$B$4,缺陷明细!$G$2:$G$50000,$C41,缺陷明细!$Q$2:$Q$50000,"已关闭",缺陷明细!$J$2:$J$50000,"系统测试案例评审")</f>
        <v>0</v>
      </c>
      <c r="P41" s="72">
        <f>COUNTIFS(缺陷明细!$A$2:$A$50000,$B$4,缺陷明细!$G$2:$G$50000,$C41,缺陷明细!$J$2:$J$50000,"系统测试",缺陷明细!$AB$2:$AB$50000,"&lt;&gt;丢弃",缺陷明细!$AB$2:$AB$50000,"&lt;&gt;设计如此",缺陷明细!$AB$2:$AB$50000,"&lt;&gt;重复Bug")</f>
        <v>0</v>
      </c>
      <c r="Q41" s="72">
        <f>COUNTIFS(缺陷明细!$A$2:$A$50000,$B$4,缺陷明细!$G$2:$G$50000,$C41,缺陷明细!$Q$2:$Q$50000,"已关闭",缺陷明细!$J$2:$J$50000,"系统测试")</f>
        <v>0</v>
      </c>
      <c r="R41" s="296">
        <f>COUNTIFS(缺陷明细!$A$2:$A$50000,$B$4,缺陷明细!$G$2:$G$50000,$C41,缺陷明细!$AB$2:$AB$50000,"丢弃",缺陷明细!$J$2:$J$50000,"系统测试")+COUNTIFS(缺陷明细!$A$2:$A$50000,$B$4,缺陷明细!$G$2:$G$50000,$C41,缺陷明细!$AB$2:$AB$50000,"设计如此",缺陷明细!$J$2:$J$50000,"系统测试")+COUNTIFS(缺陷明细!$A$2:$A$50000,$B$4,缺陷明细!$G$2:$G$50000,$C41,缺陷明细!$AB$2:$AB$50000,"重复Bug",缺陷明细!$J$2:$J$50000,"系统测试")</f>
        <v>0</v>
      </c>
      <c r="S41" s="72">
        <f>COUNTIFS(缺陷明细!$A$2:$A$50000,$B$4,缺陷明细!$G$2:$G$50000,$C41,缺陷明细!$J$2:$J$50000,"系统测试",缺陷明细!$K$2:$K$50000,"致命",缺陷明细!$AB$2:$AB$50000,"&lt;&gt;丢弃",缺陷明细!$AB$2:$AB$50000,"&lt;&gt;设计如此",缺陷明细!$AB$2:$AB$50000,"&lt;&gt;重复Bug")+COUNTIFS(缺陷明细!$A$2:$A$50000,$B$4,缺陷明细!$G$2:$G$50000,$C41,缺陷明细!$J$2:$J$50000,"系统测试",缺陷明细!$K$2:$K$50000,"严重",缺陷明细!$AB$2:$AB$50000,"&lt;&gt;丢弃",缺陷明细!$AB$2:$AB$50000,"&lt;&gt;设计如此",缺陷明细!$AB$2:$AB$50000,"&lt;&gt;重复Bug")</f>
        <v>0</v>
      </c>
      <c r="T41" s="73">
        <f>COUNTIFS(缺陷明细!$A$2:$A$50000,$B$4,缺陷明细!$G$2:$G$50000,$C41,缺陷明细!$Q$2:$Q$50000,"已关闭",缺陷明细!$J$2:$J$50000,"系统测试",缺陷明细!$K$2:$K$50000,"致命")+COUNTIFS(缺陷明细!$A$2:$A$50000,$B$4,缺陷明细!$G$2:$G$50000,$C41,缺陷明细!$Q$2:$Q$50000,"已关闭",缺陷明细!$J$2:$J$50000,"系统测试",缺陷明细!$K$2:$K$50000,"严重")</f>
        <v>0</v>
      </c>
      <c r="U41" s="74">
        <f>COUNTIFS(缺陷明细!$A$2:$A$50000,$B$4,缺陷明细!$G$2:$G$50000,$C41,缺陷明细!$J$2:$J$50000,"验收测试",缺陷明细!$AB$2:$AB$50000,"&lt;&gt;丢弃",缺陷明细!$AB$2:$AB$50000,"&lt;&gt;设计如此",缺陷明细!$AB$2:$AB$50000,"&lt;&gt;重复Bug")</f>
        <v>0</v>
      </c>
      <c r="V41" s="75">
        <f>COUNTIFS(缺陷明细!$A$2:$A$50000,$B$4,缺陷明细!$G$2:$G$50000,$C41,缺陷明细!$Q$2:$Q$50000,"已关闭",缺陷明细!$J$2:$J$50000,"验收测试")</f>
        <v>0</v>
      </c>
      <c r="W41" s="75">
        <f>COUNTIFS(缺陷明细!$A$2:$A$50000,$B$4,缺陷明细!$G$2:$G$50000,$C41,缺陷明细!$J$2:$J$50000,"验收测试",缺陷明细!$K$2:$K$50000,"致命",缺陷明细!$AB$2:$AB$50000,"&lt;&gt;丢弃",缺陷明细!$AB$2:$AB$50000,"&lt;&gt;设计如此",缺陷明细!$AB$2:$AB$50000,"&lt;&gt;重复Bug")+COUNTIFS(缺陷明细!$A$2:$A$50000,$B$4,缺陷明细!$G$2:$G$50000,$C41,缺陷明细!$J$2:$J$50000,"验收测试",缺陷明细!$K$2:$K$50000,"严重",缺陷明细!$AB$2:$AB$50000,"&lt;&gt;丢弃",缺陷明细!$AB$2:$AB$50000,"&lt;&gt;设计如此",缺陷明细!$AB$2:$AB$50000,"&lt;&gt;重复Bug")</f>
        <v>0</v>
      </c>
      <c r="X41" s="76">
        <f>COUNTIFS(缺陷明细!$A$2:$A$50000,$B$4,缺陷明细!$G$2:$G$50000,$C41,缺陷明细!$Q$2:$Q$50000,"已关闭",缺陷明细!$J$2:$J$50000,"验收测试",缺陷明细!$K$2:$K$50000,"致命")+COUNTIFS(缺陷明细!$A$2:$A$50000,$B$4,缺陷明细!$G$2:$G$50000,$C41,缺陷明细!$Q$2:$Q$50000,"已关闭",缺陷明细!$J$2:$J$50000,"验收测试",缺陷明细!$K$2:$K$50000,"严重")</f>
        <v>0</v>
      </c>
      <c r="Y41" s="70">
        <f>COUNTIFS(缺陷明细!$A$2:$A$50000,$B$4,缺陷明细!$G$2:$G$50000,$C41,缺陷明细!$J$2:$J$50000,"运维测试",缺陷明细!$AB$2:$AB$50000,"&lt;&gt;丢弃",缺陷明细!$AB$2:$AB$50000,"&lt;&gt;设计如此",缺陷明细!$AB$2:$AB$50000,"&lt;&gt;重复Bug")</f>
        <v>0</v>
      </c>
      <c r="Z41" s="71">
        <f>COUNTIFS(缺陷明细!$A$2:$A$50000,$B$4,缺陷明细!$G$2:$G$50000,$C41,缺陷明细!$Q$2:$Q$50000,"已关闭",缺陷明细!$J$2:$J$50000,"运维测试")</f>
        <v>0</v>
      </c>
      <c r="AA41" s="72">
        <f>COUNTIFS(缺陷明细!$A$2:$A$50000,$B$4,缺陷明细!$G$2:$G$50000,$C41,缺陷明细!$J$2:$J$50000,"运维测试",缺陷明细!$K$2:$K$50000,"致命",缺陷明细!$AB$2:$AB$50000,"&lt;&gt;丢弃",缺陷明细!$AB$2:$AB$50000,"&lt;&gt;设计如此",缺陷明细!$AB$2:$AB$50000,"&lt;&gt;重复Bug")+COUNTIFS(缺陷明细!$A$2:$A$50000,$B$4,缺陷明细!$G$2:$G$50000,$C41,缺陷明细!$J$2:$J$50000,"运维测试",缺陷明细!$K$2:$K$50000,"严重",缺陷明细!$AB$2:$AB$50000,"&lt;&gt;丢弃",缺陷明细!$AB$2:$AB$50000,"&lt;&gt;设计如此",缺陷明细!$AB$2:$AB$50000,"&lt;&gt;重复Bug")</f>
        <v>0</v>
      </c>
      <c r="AB41" s="73">
        <f>COUNTIFS(缺陷明细!$A$2:$A$50000,$B$4,缺陷明细!$G$2:$G$50000,$C41,缺陷明细!$Q$2:$Q$50000,"已关闭",缺陷明细!$J$2:$J$50000,"运维测试",缺陷明细!$K$2:$K$50000,"致命")+COUNTIFS(缺陷明细!$A$2:$A$50000,$B$4,缺陷明细!$G$2:$G$50000,$C41,缺陷明细!$Q$2:$Q$50000,"已关闭",缺陷明细!$J$2:$J$50000,"运维测试",缺陷明细!$K$2:$K$50000,"严重")</f>
        <v>0</v>
      </c>
      <c r="AC41" s="68">
        <f t="shared" si="0"/>
        <v>0</v>
      </c>
      <c r="AD41" s="60">
        <f t="shared" si="0"/>
        <v>0</v>
      </c>
      <c r="AE41" s="60">
        <f t="shared" si="1"/>
        <v>0</v>
      </c>
      <c r="AF41" s="60">
        <f t="shared" si="1"/>
        <v>0</v>
      </c>
      <c r="AG41" s="60">
        <f t="shared" si="2"/>
        <v>0</v>
      </c>
      <c r="AH41" s="60">
        <f t="shared" si="2"/>
        <v>0</v>
      </c>
      <c r="AI41" s="60">
        <f t="shared" si="3"/>
        <v>0</v>
      </c>
      <c r="AJ41" s="61">
        <f t="shared" si="3"/>
        <v>0</v>
      </c>
      <c r="AK41" s="144"/>
    </row>
    <row r="42" spans="1:37">
      <c r="A42">
        <v>38</v>
      </c>
      <c r="B42" s="57"/>
      <c r="C42" s="58"/>
      <c r="D42" s="84"/>
      <c r="E42" s="82"/>
      <c r="F42" s="158"/>
      <c r="G42" s="159"/>
      <c r="H42" s="281">
        <f>COUNTIFS(缺陷明细!$A$2:$A$50000,$B$4,缺陷明细!$G$2:$G$50000,$C42,缺陷明细!$J$2:$J$50000,"评审",缺陷明细!$AB$2:$AB$50000,"&lt;&gt;丢弃",缺陷明细!$AB$2:$AB$50000,"&lt;&gt;设计如此",缺陷明细!$AB$2:$AB$50000,"&lt;&gt;重复Bug")</f>
        <v>0</v>
      </c>
      <c r="I42" s="154">
        <f>COUNTIFS(缺陷明细!$A$2:$A$50000,$B$4,缺陷明细!$G$2:$G$50000,$C42,缺陷明细!$Q$2:$Q$50000,"已关闭",缺陷明细!$J$2:$J$50000,"评审")</f>
        <v>0</v>
      </c>
      <c r="J42" s="154">
        <f>COUNTIFS(缺陷明细!$A$2:$A$50000,$B$4,缺陷明细!$G$2:$G$50000,$C42,缺陷明细!$J$2:$J$50000,"单元测试",缺陷明细!$AB$2:$AB$50000,"&lt;&gt;丢弃",缺陷明细!$AB$2:$AB$50000,"&lt;&gt;设计如此",缺陷明细!$AB$2:$AB$50000,"&lt;&gt;重复Bug")</f>
        <v>0</v>
      </c>
      <c r="K42" s="155">
        <f>COUNTIFS(缺陷明细!$A$2:$A$50000,$B$4,缺陷明细!$G$2:$G$50000,$C42,缺陷明细!$Q$2:$Q$50000,"已关闭",缺陷明细!$J$2:$J$50000,"单元测试")</f>
        <v>0</v>
      </c>
      <c r="L42" s="156"/>
      <c r="M42" s="157"/>
      <c r="N42" s="72">
        <f>COUNTIFS(缺陷明细!$A$2:$A$50000,$B$4,缺陷明细!$G$2:$G$50000,$C42,缺陷明细!$J$2:$J$50000,"系统测试案例评审",缺陷明细!$AB$2:$AB$50000,"&lt;&gt;丢弃",缺陷明细!$AB$2:$AB$50000,"&lt;&gt;设计如此",缺陷明细!$AB$2:$AB$50000,"&lt;&gt;重复Bug")</f>
        <v>0</v>
      </c>
      <c r="O42" s="72">
        <f>COUNTIFS(缺陷明细!$A$2:$A$50000,$B$4,缺陷明细!$G$2:$G$50000,$C42,缺陷明细!$Q$2:$Q$50000,"已关闭",缺陷明细!$J$2:$J$50000,"系统测试案例评审")</f>
        <v>0</v>
      </c>
      <c r="P42" s="72">
        <f>COUNTIFS(缺陷明细!$A$2:$A$50000,$B$4,缺陷明细!$G$2:$G$50000,$C42,缺陷明细!$J$2:$J$50000,"系统测试",缺陷明细!$AB$2:$AB$50000,"&lt;&gt;丢弃",缺陷明细!$AB$2:$AB$50000,"&lt;&gt;设计如此",缺陷明细!$AB$2:$AB$50000,"&lt;&gt;重复Bug")</f>
        <v>0</v>
      </c>
      <c r="Q42" s="72">
        <f>COUNTIFS(缺陷明细!$A$2:$A$50000,$B$4,缺陷明细!$G$2:$G$50000,$C42,缺陷明细!$Q$2:$Q$50000,"已关闭",缺陷明细!$J$2:$J$50000,"系统测试")</f>
        <v>0</v>
      </c>
      <c r="R42" s="296">
        <f>COUNTIFS(缺陷明细!$A$2:$A$50000,$B$4,缺陷明细!$G$2:$G$50000,$C42,缺陷明细!$AB$2:$AB$50000,"丢弃",缺陷明细!$J$2:$J$50000,"系统测试")+COUNTIFS(缺陷明细!$A$2:$A$50000,$B$4,缺陷明细!$G$2:$G$50000,$C42,缺陷明细!$AB$2:$AB$50000,"设计如此",缺陷明细!$J$2:$J$50000,"系统测试")+COUNTIFS(缺陷明细!$A$2:$A$50000,$B$4,缺陷明细!$G$2:$G$50000,$C42,缺陷明细!$AB$2:$AB$50000,"重复Bug",缺陷明细!$J$2:$J$50000,"系统测试")</f>
        <v>0</v>
      </c>
      <c r="S42" s="72">
        <f>COUNTIFS(缺陷明细!$A$2:$A$50000,$B$4,缺陷明细!$G$2:$G$50000,$C42,缺陷明细!$J$2:$J$50000,"系统测试",缺陷明细!$K$2:$K$50000,"致命",缺陷明细!$AB$2:$AB$50000,"&lt;&gt;丢弃",缺陷明细!$AB$2:$AB$50000,"&lt;&gt;设计如此",缺陷明细!$AB$2:$AB$50000,"&lt;&gt;重复Bug")+COUNTIFS(缺陷明细!$A$2:$A$50000,$B$4,缺陷明细!$G$2:$G$50000,$C42,缺陷明细!$J$2:$J$50000,"系统测试",缺陷明细!$K$2:$K$50000,"严重",缺陷明细!$AB$2:$AB$50000,"&lt;&gt;丢弃",缺陷明细!$AB$2:$AB$50000,"&lt;&gt;设计如此",缺陷明细!$AB$2:$AB$50000,"&lt;&gt;重复Bug")</f>
        <v>0</v>
      </c>
      <c r="T42" s="73">
        <f>COUNTIFS(缺陷明细!$A$2:$A$50000,$B$4,缺陷明细!$G$2:$G$50000,$C42,缺陷明细!$Q$2:$Q$50000,"已关闭",缺陷明细!$J$2:$J$50000,"系统测试",缺陷明细!$K$2:$K$50000,"致命")+COUNTIFS(缺陷明细!$A$2:$A$50000,$B$4,缺陷明细!$G$2:$G$50000,$C42,缺陷明细!$Q$2:$Q$50000,"已关闭",缺陷明细!$J$2:$J$50000,"系统测试",缺陷明细!$K$2:$K$50000,"严重")</f>
        <v>0</v>
      </c>
      <c r="U42" s="74">
        <f>COUNTIFS(缺陷明细!$A$2:$A$50000,$B$4,缺陷明细!$G$2:$G$50000,$C42,缺陷明细!$J$2:$J$50000,"验收测试",缺陷明细!$AB$2:$AB$50000,"&lt;&gt;丢弃",缺陷明细!$AB$2:$AB$50000,"&lt;&gt;设计如此",缺陷明细!$AB$2:$AB$50000,"&lt;&gt;重复Bug")</f>
        <v>0</v>
      </c>
      <c r="V42" s="75">
        <f>COUNTIFS(缺陷明细!$A$2:$A$50000,$B$4,缺陷明细!$G$2:$G$50000,$C42,缺陷明细!$Q$2:$Q$50000,"已关闭",缺陷明细!$J$2:$J$50000,"验收测试")</f>
        <v>0</v>
      </c>
      <c r="W42" s="75">
        <f>COUNTIFS(缺陷明细!$A$2:$A$50000,$B$4,缺陷明细!$G$2:$G$50000,$C42,缺陷明细!$J$2:$J$50000,"验收测试",缺陷明细!$K$2:$K$50000,"致命",缺陷明细!$AB$2:$AB$50000,"&lt;&gt;丢弃",缺陷明细!$AB$2:$AB$50000,"&lt;&gt;设计如此",缺陷明细!$AB$2:$AB$50000,"&lt;&gt;重复Bug")+COUNTIFS(缺陷明细!$A$2:$A$50000,$B$4,缺陷明细!$G$2:$G$50000,$C42,缺陷明细!$J$2:$J$50000,"验收测试",缺陷明细!$K$2:$K$50000,"严重",缺陷明细!$AB$2:$AB$50000,"&lt;&gt;丢弃",缺陷明细!$AB$2:$AB$50000,"&lt;&gt;设计如此",缺陷明细!$AB$2:$AB$50000,"&lt;&gt;重复Bug")</f>
        <v>0</v>
      </c>
      <c r="X42" s="76">
        <f>COUNTIFS(缺陷明细!$A$2:$A$50000,$B$4,缺陷明细!$G$2:$G$50000,$C42,缺陷明细!$Q$2:$Q$50000,"已关闭",缺陷明细!$J$2:$J$50000,"验收测试",缺陷明细!$K$2:$K$50000,"致命")+COUNTIFS(缺陷明细!$A$2:$A$50000,$B$4,缺陷明细!$G$2:$G$50000,$C42,缺陷明细!$Q$2:$Q$50000,"已关闭",缺陷明细!$J$2:$J$50000,"验收测试",缺陷明细!$K$2:$K$50000,"严重")</f>
        <v>0</v>
      </c>
      <c r="Y42" s="70">
        <f>COUNTIFS(缺陷明细!$A$2:$A$50000,$B$4,缺陷明细!$G$2:$G$50000,$C42,缺陷明细!$J$2:$J$50000,"运维测试",缺陷明细!$AB$2:$AB$50000,"&lt;&gt;丢弃",缺陷明细!$AB$2:$AB$50000,"&lt;&gt;设计如此",缺陷明细!$AB$2:$AB$50000,"&lt;&gt;重复Bug")</f>
        <v>0</v>
      </c>
      <c r="Z42" s="71">
        <f>COUNTIFS(缺陷明细!$A$2:$A$50000,$B$4,缺陷明细!$G$2:$G$50000,$C42,缺陷明细!$Q$2:$Q$50000,"已关闭",缺陷明细!$J$2:$J$50000,"运维测试")</f>
        <v>0</v>
      </c>
      <c r="AA42" s="72">
        <f>COUNTIFS(缺陷明细!$A$2:$A$50000,$B$4,缺陷明细!$G$2:$G$50000,$C42,缺陷明细!$J$2:$J$50000,"运维测试",缺陷明细!$K$2:$K$50000,"致命",缺陷明细!$AB$2:$AB$50000,"&lt;&gt;丢弃",缺陷明细!$AB$2:$AB$50000,"&lt;&gt;设计如此",缺陷明细!$AB$2:$AB$50000,"&lt;&gt;重复Bug")+COUNTIFS(缺陷明细!$A$2:$A$50000,$B$4,缺陷明细!$G$2:$G$50000,$C42,缺陷明细!$J$2:$J$50000,"运维测试",缺陷明细!$K$2:$K$50000,"严重",缺陷明细!$AB$2:$AB$50000,"&lt;&gt;丢弃",缺陷明细!$AB$2:$AB$50000,"&lt;&gt;设计如此",缺陷明细!$AB$2:$AB$50000,"&lt;&gt;重复Bug")</f>
        <v>0</v>
      </c>
      <c r="AB42" s="73">
        <f>COUNTIFS(缺陷明细!$A$2:$A$50000,$B$4,缺陷明细!$G$2:$G$50000,$C42,缺陷明细!$Q$2:$Q$50000,"已关闭",缺陷明细!$J$2:$J$50000,"运维测试",缺陷明细!$K$2:$K$50000,"致命")+COUNTIFS(缺陷明细!$A$2:$A$50000,$B$4,缺陷明细!$G$2:$G$50000,$C42,缺陷明细!$Q$2:$Q$50000,"已关闭",缺陷明细!$J$2:$J$50000,"运维测试",缺陷明细!$K$2:$K$50000,"严重")</f>
        <v>0</v>
      </c>
      <c r="AC42" s="68">
        <f t="shared" si="0"/>
        <v>0</v>
      </c>
      <c r="AD42" s="60">
        <f t="shared" si="0"/>
        <v>0</v>
      </c>
      <c r="AE42" s="60">
        <f t="shared" si="1"/>
        <v>0</v>
      </c>
      <c r="AF42" s="60">
        <f t="shared" si="1"/>
        <v>0</v>
      </c>
      <c r="AG42" s="60">
        <f t="shared" si="2"/>
        <v>0</v>
      </c>
      <c r="AH42" s="60">
        <f t="shared" si="2"/>
        <v>0</v>
      </c>
      <c r="AI42" s="60">
        <f t="shared" si="3"/>
        <v>0</v>
      </c>
      <c r="AJ42" s="61">
        <f t="shared" si="3"/>
        <v>0</v>
      </c>
      <c r="AK42" s="144"/>
    </row>
    <row r="43" spans="1:37">
      <c r="A43">
        <v>39</v>
      </c>
      <c r="B43" s="57"/>
      <c r="C43" s="58"/>
      <c r="D43" s="84"/>
      <c r="E43" s="82"/>
      <c r="F43" s="158"/>
      <c r="G43" s="159"/>
      <c r="H43" s="281">
        <f>COUNTIFS(缺陷明细!$A$2:$A$50000,$B$4,缺陷明细!$G$2:$G$50000,$C43,缺陷明细!$J$2:$J$50000,"评审",缺陷明细!$AB$2:$AB$50000,"&lt;&gt;丢弃",缺陷明细!$AB$2:$AB$50000,"&lt;&gt;设计如此",缺陷明细!$AB$2:$AB$50000,"&lt;&gt;重复Bug")</f>
        <v>0</v>
      </c>
      <c r="I43" s="154">
        <f>COUNTIFS(缺陷明细!$A$2:$A$50000,$B$4,缺陷明细!$G$2:$G$50000,$C43,缺陷明细!$Q$2:$Q$50000,"已关闭",缺陷明细!$J$2:$J$50000,"评审")</f>
        <v>0</v>
      </c>
      <c r="J43" s="154">
        <f>COUNTIFS(缺陷明细!$A$2:$A$50000,$B$4,缺陷明细!$G$2:$G$50000,$C43,缺陷明细!$J$2:$J$50000,"单元测试",缺陷明细!$AB$2:$AB$50000,"&lt;&gt;丢弃",缺陷明细!$AB$2:$AB$50000,"&lt;&gt;设计如此",缺陷明细!$AB$2:$AB$50000,"&lt;&gt;重复Bug")</f>
        <v>0</v>
      </c>
      <c r="K43" s="155">
        <f>COUNTIFS(缺陷明细!$A$2:$A$50000,$B$4,缺陷明细!$G$2:$G$50000,$C43,缺陷明细!$Q$2:$Q$50000,"已关闭",缺陷明细!$J$2:$J$50000,"单元测试")</f>
        <v>0</v>
      </c>
      <c r="L43" s="156"/>
      <c r="M43" s="157"/>
      <c r="N43" s="72">
        <f>COUNTIFS(缺陷明细!$A$2:$A$50000,$B$4,缺陷明细!$G$2:$G$50000,$C43,缺陷明细!$J$2:$J$50000,"系统测试案例评审",缺陷明细!$AB$2:$AB$50000,"&lt;&gt;丢弃",缺陷明细!$AB$2:$AB$50000,"&lt;&gt;设计如此",缺陷明细!$AB$2:$AB$50000,"&lt;&gt;重复Bug")</f>
        <v>0</v>
      </c>
      <c r="O43" s="72">
        <f>COUNTIFS(缺陷明细!$A$2:$A$50000,$B$4,缺陷明细!$G$2:$G$50000,$C43,缺陷明细!$Q$2:$Q$50000,"已关闭",缺陷明细!$J$2:$J$50000,"系统测试案例评审")</f>
        <v>0</v>
      </c>
      <c r="P43" s="72">
        <f>COUNTIFS(缺陷明细!$A$2:$A$50000,$B$4,缺陷明细!$G$2:$G$50000,$C43,缺陷明细!$J$2:$J$50000,"系统测试",缺陷明细!$AB$2:$AB$50000,"&lt;&gt;丢弃",缺陷明细!$AB$2:$AB$50000,"&lt;&gt;设计如此",缺陷明细!$AB$2:$AB$50000,"&lt;&gt;重复Bug")</f>
        <v>0</v>
      </c>
      <c r="Q43" s="72">
        <f>COUNTIFS(缺陷明细!$A$2:$A$50000,$B$4,缺陷明细!$G$2:$G$50000,$C43,缺陷明细!$Q$2:$Q$50000,"已关闭",缺陷明细!$J$2:$J$50000,"系统测试")</f>
        <v>0</v>
      </c>
      <c r="R43" s="296">
        <f>COUNTIFS(缺陷明细!$A$2:$A$50000,$B$4,缺陷明细!$G$2:$G$50000,$C43,缺陷明细!$AB$2:$AB$50000,"丢弃",缺陷明细!$J$2:$J$50000,"系统测试")+COUNTIFS(缺陷明细!$A$2:$A$50000,$B$4,缺陷明细!$G$2:$G$50000,$C43,缺陷明细!$AB$2:$AB$50000,"设计如此",缺陷明细!$J$2:$J$50000,"系统测试")+COUNTIFS(缺陷明细!$A$2:$A$50000,$B$4,缺陷明细!$G$2:$G$50000,$C43,缺陷明细!$AB$2:$AB$50000,"重复Bug",缺陷明细!$J$2:$J$50000,"系统测试")</f>
        <v>0</v>
      </c>
      <c r="S43" s="72">
        <f>COUNTIFS(缺陷明细!$A$2:$A$50000,$B$4,缺陷明细!$G$2:$G$50000,$C43,缺陷明细!$J$2:$J$50000,"系统测试",缺陷明细!$K$2:$K$50000,"致命",缺陷明细!$AB$2:$AB$50000,"&lt;&gt;丢弃",缺陷明细!$AB$2:$AB$50000,"&lt;&gt;设计如此",缺陷明细!$AB$2:$AB$50000,"&lt;&gt;重复Bug")+COUNTIFS(缺陷明细!$A$2:$A$50000,$B$4,缺陷明细!$G$2:$G$50000,$C43,缺陷明细!$J$2:$J$50000,"系统测试",缺陷明细!$K$2:$K$50000,"严重",缺陷明细!$AB$2:$AB$50000,"&lt;&gt;丢弃",缺陷明细!$AB$2:$AB$50000,"&lt;&gt;设计如此",缺陷明细!$AB$2:$AB$50000,"&lt;&gt;重复Bug")</f>
        <v>0</v>
      </c>
      <c r="T43" s="73">
        <f>COUNTIFS(缺陷明细!$A$2:$A$50000,$B$4,缺陷明细!$G$2:$G$50000,$C43,缺陷明细!$Q$2:$Q$50000,"已关闭",缺陷明细!$J$2:$J$50000,"系统测试",缺陷明细!$K$2:$K$50000,"致命")+COUNTIFS(缺陷明细!$A$2:$A$50000,$B$4,缺陷明细!$G$2:$G$50000,$C43,缺陷明细!$Q$2:$Q$50000,"已关闭",缺陷明细!$J$2:$J$50000,"系统测试",缺陷明细!$K$2:$K$50000,"严重")</f>
        <v>0</v>
      </c>
      <c r="U43" s="74">
        <f>COUNTIFS(缺陷明细!$A$2:$A$50000,$B$4,缺陷明细!$G$2:$G$50000,$C43,缺陷明细!$J$2:$J$50000,"验收测试",缺陷明细!$AB$2:$AB$50000,"&lt;&gt;丢弃",缺陷明细!$AB$2:$AB$50000,"&lt;&gt;设计如此",缺陷明细!$AB$2:$AB$50000,"&lt;&gt;重复Bug")</f>
        <v>0</v>
      </c>
      <c r="V43" s="75">
        <f>COUNTIFS(缺陷明细!$A$2:$A$50000,$B$4,缺陷明细!$G$2:$G$50000,$C43,缺陷明细!$Q$2:$Q$50000,"已关闭",缺陷明细!$J$2:$J$50000,"验收测试")</f>
        <v>0</v>
      </c>
      <c r="W43" s="75">
        <f>COUNTIFS(缺陷明细!$A$2:$A$50000,$B$4,缺陷明细!$G$2:$G$50000,$C43,缺陷明细!$J$2:$J$50000,"验收测试",缺陷明细!$K$2:$K$50000,"致命",缺陷明细!$AB$2:$AB$50000,"&lt;&gt;丢弃",缺陷明细!$AB$2:$AB$50000,"&lt;&gt;设计如此",缺陷明细!$AB$2:$AB$50000,"&lt;&gt;重复Bug")+COUNTIFS(缺陷明细!$A$2:$A$50000,$B$4,缺陷明细!$G$2:$G$50000,$C43,缺陷明细!$J$2:$J$50000,"验收测试",缺陷明细!$K$2:$K$50000,"严重",缺陷明细!$AB$2:$AB$50000,"&lt;&gt;丢弃",缺陷明细!$AB$2:$AB$50000,"&lt;&gt;设计如此",缺陷明细!$AB$2:$AB$50000,"&lt;&gt;重复Bug")</f>
        <v>0</v>
      </c>
      <c r="X43" s="76">
        <f>COUNTIFS(缺陷明细!$A$2:$A$50000,$B$4,缺陷明细!$G$2:$G$50000,$C43,缺陷明细!$Q$2:$Q$50000,"已关闭",缺陷明细!$J$2:$J$50000,"验收测试",缺陷明细!$K$2:$K$50000,"致命")+COUNTIFS(缺陷明细!$A$2:$A$50000,$B$4,缺陷明细!$G$2:$G$50000,$C43,缺陷明细!$Q$2:$Q$50000,"已关闭",缺陷明细!$J$2:$J$50000,"验收测试",缺陷明细!$K$2:$K$50000,"严重")</f>
        <v>0</v>
      </c>
      <c r="Y43" s="70">
        <f>COUNTIFS(缺陷明细!$A$2:$A$50000,$B$4,缺陷明细!$G$2:$G$50000,$C43,缺陷明细!$J$2:$J$50000,"运维测试",缺陷明细!$AB$2:$AB$50000,"&lt;&gt;丢弃",缺陷明细!$AB$2:$AB$50000,"&lt;&gt;设计如此",缺陷明细!$AB$2:$AB$50000,"&lt;&gt;重复Bug")</f>
        <v>0</v>
      </c>
      <c r="Z43" s="71">
        <f>COUNTIFS(缺陷明细!$A$2:$A$50000,$B$4,缺陷明细!$G$2:$G$50000,$C43,缺陷明细!$Q$2:$Q$50000,"已关闭",缺陷明细!$J$2:$J$50000,"运维测试")</f>
        <v>0</v>
      </c>
      <c r="AA43" s="72">
        <f>COUNTIFS(缺陷明细!$A$2:$A$50000,$B$4,缺陷明细!$G$2:$G$50000,$C43,缺陷明细!$J$2:$J$50000,"运维测试",缺陷明细!$K$2:$K$50000,"致命",缺陷明细!$AB$2:$AB$50000,"&lt;&gt;丢弃",缺陷明细!$AB$2:$AB$50000,"&lt;&gt;设计如此",缺陷明细!$AB$2:$AB$50000,"&lt;&gt;重复Bug")+COUNTIFS(缺陷明细!$A$2:$A$50000,$B$4,缺陷明细!$G$2:$G$50000,$C43,缺陷明细!$J$2:$J$50000,"运维测试",缺陷明细!$K$2:$K$50000,"严重",缺陷明细!$AB$2:$AB$50000,"&lt;&gt;丢弃",缺陷明细!$AB$2:$AB$50000,"&lt;&gt;设计如此",缺陷明细!$AB$2:$AB$50000,"&lt;&gt;重复Bug")</f>
        <v>0</v>
      </c>
      <c r="AB43" s="73">
        <f>COUNTIFS(缺陷明细!$A$2:$A$50000,$B$4,缺陷明细!$G$2:$G$50000,$C43,缺陷明细!$Q$2:$Q$50000,"已关闭",缺陷明细!$J$2:$J$50000,"运维测试",缺陷明细!$K$2:$K$50000,"致命")+COUNTIFS(缺陷明细!$A$2:$A$50000,$B$4,缺陷明细!$G$2:$G$50000,$C43,缺陷明细!$Q$2:$Q$50000,"已关闭",缺陷明细!$J$2:$J$50000,"运维测试",缺陷明细!$K$2:$K$50000,"严重")</f>
        <v>0</v>
      </c>
      <c r="AC43" s="68">
        <f t="shared" si="0"/>
        <v>0</v>
      </c>
      <c r="AD43" s="60">
        <f t="shared" si="0"/>
        <v>0</v>
      </c>
      <c r="AE43" s="60">
        <f t="shared" si="1"/>
        <v>0</v>
      </c>
      <c r="AF43" s="60">
        <f t="shared" si="1"/>
        <v>0</v>
      </c>
      <c r="AG43" s="60">
        <f t="shared" si="2"/>
        <v>0</v>
      </c>
      <c r="AH43" s="60">
        <f t="shared" si="2"/>
        <v>0</v>
      </c>
      <c r="AI43" s="60">
        <f t="shared" si="3"/>
        <v>0</v>
      </c>
      <c r="AJ43" s="61">
        <f t="shared" si="3"/>
        <v>0</v>
      </c>
      <c r="AK43" s="144"/>
    </row>
    <row r="44" spans="1:37">
      <c r="A44">
        <v>40</v>
      </c>
      <c r="B44" s="57"/>
      <c r="C44" s="58"/>
      <c r="D44" s="84"/>
      <c r="E44" s="82"/>
      <c r="F44" s="158"/>
      <c r="G44" s="159"/>
      <c r="H44" s="281">
        <f>COUNTIFS(缺陷明细!$A$2:$A$50000,$B$4,缺陷明细!$G$2:$G$50000,$C44,缺陷明细!$J$2:$J$50000,"评审",缺陷明细!$AB$2:$AB$50000,"&lt;&gt;丢弃",缺陷明细!$AB$2:$AB$50000,"&lt;&gt;设计如此",缺陷明细!$AB$2:$AB$50000,"&lt;&gt;重复Bug")</f>
        <v>0</v>
      </c>
      <c r="I44" s="154">
        <f>COUNTIFS(缺陷明细!$A$2:$A$50000,$B$4,缺陷明细!$G$2:$G$50000,$C44,缺陷明细!$Q$2:$Q$50000,"已关闭",缺陷明细!$J$2:$J$50000,"评审")</f>
        <v>0</v>
      </c>
      <c r="J44" s="154">
        <f>COUNTIFS(缺陷明细!$A$2:$A$50000,$B$4,缺陷明细!$G$2:$G$50000,$C44,缺陷明细!$J$2:$J$50000,"单元测试",缺陷明细!$AB$2:$AB$50000,"&lt;&gt;丢弃",缺陷明细!$AB$2:$AB$50000,"&lt;&gt;设计如此",缺陷明细!$AB$2:$AB$50000,"&lt;&gt;重复Bug")</f>
        <v>0</v>
      </c>
      <c r="K44" s="155">
        <f>COUNTIFS(缺陷明细!$A$2:$A$50000,$B$4,缺陷明细!$G$2:$G$50000,$C44,缺陷明细!$Q$2:$Q$50000,"已关闭",缺陷明细!$J$2:$J$50000,"单元测试")</f>
        <v>0</v>
      </c>
      <c r="L44" s="156"/>
      <c r="M44" s="157"/>
      <c r="N44" s="72">
        <f>COUNTIFS(缺陷明细!$A$2:$A$50000,$B$4,缺陷明细!$G$2:$G$50000,$C44,缺陷明细!$J$2:$J$50000,"系统测试案例评审",缺陷明细!$AB$2:$AB$50000,"&lt;&gt;丢弃",缺陷明细!$AB$2:$AB$50000,"&lt;&gt;设计如此",缺陷明细!$AB$2:$AB$50000,"&lt;&gt;重复Bug")</f>
        <v>0</v>
      </c>
      <c r="O44" s="72">
        <f>COUNTIFS(缺陷明细!$A$2:$A$50000,$B$4,缺陷明细!$G$2:$G$50000,$C44,缺陷明细!$Q$2:$Q$50000,"已关闭",缺陷明细!$J$2:$J$50000,"系统测试案例评审")</f>
        <v>0</v>
      </c>
      <c r="P44" s="72">
        <f>COUNTIFS(缺陷明细!$A$2:$A$50000,$B$4,缺陷明细!$G$2:$G$50000,$C44,缺陷明细!$J$2:$J$50000,"系统测试",缺陷明细!$AB$2:$AB$50000,"&lt;&gt;丢弃",缺陷明细!$AB$2:$AB$50000,"&lt;&gt;设计如此",缺陷明细!$AB$2:$AB$50000,"&lt;&gt;重复Bug")</f>
        <v>0</v>
      </c>
      <c r="Q44" s="72">
        <f>COUNTIFS(缺陷明细!$A$2:$A$50000,$B$4,缺陷明细!$G$2:$G$50000,$C44,缺陷明细!$Q$2:$Q$50000,"已关闭",缺陷明细!$J$2:$J$50000,"系统测试")</f>
        <v>0</v>
      </c>
      <c r="R44" s="296">
        <f>COUNTIFS(缺陷明细!$A$2:$A$50000,$B$4,缺陷明细!$G$2:$G$50000,$C44,缺陷明细!$AB$2:$AB$50000,"丢弃",缺陷明细!$J$2:$J$50000,"系统测试")+COUNTIFS(缺陷明细!$A$2:$A$50000,$B$4,缺陷明细!$G$2:$G$50000,$C44,缺陷明细!$AB$2:$AB$50000,"设计如此",缺陷明细!$J$2:$J$50000,"系统测试")+COUNTIFS(缺陷明细!$A$2:$A$50000,$B$4,缺陷明细!$G$2:$G$50000,$C44,缺陷明细!$AB$2:$AB$50000,"重复Bug",缺陷明细!$J$2:$J$50000,"系统测试")</f>
        <v>0</v>
      </c>
      <c r="S44" s="72">
        <f>COUNTIFS(缺陷明细!$A$2:$A$50000,$B$4,缺陷明细!$G$2:$G$50000,$C44,缺陷明细!$J$2:$J$50000,"系统测试",缺陷明细!$K$2:$K$50000,"致命",缺陷明细!$AB$2:$AB$50000,"&lt;&gt;丢弃",缺陷明细!$AB$2:$AB$50000,"&lt;&gt;设计如此",缺陷明细!$AB$2:$AB$50000,"&lt;&gt;重复Bug")+COUNTIFS(缺陷明细!$A$2:$A$50000,$B$4,缺陷明细!$G$2:$G$50000,$C44,缺陷明细!$J$2:$J$50000,"系统测试",缺陷明细!$K$2:$K$50000,"严重",缺陷明细!$AB$2:$AB$50000,"&lt;&gt;丢弃",缺陷明细!$AB$2:$AB$50000,"&lt;&gt;设计如此",缺陷明细!$AB$2:$AB$50000,"&lt;&gt;重复Bug")</f>
        <v>0</v>
      </c>
      <c r="T44" s="73">
        <f>COUNTIFS(缺陷明细!$A$2:$A$50000,$B$4,缺陷明细!$G$2:$G$50000,$C44,缺陷明细!$Q$2:$Q$50000,"已关闭",缺陷明细!$J$2:$J$50000,"系统测试",缺陷明细!$K$2:$K$50000,"致命")+COUNTIFS(缺陷明细!$A$2:$A$50000,$B$4,缺陷明细!$G$2:$G$50000,$C44,缺陷明细!$Q$2:$Q$50000,"已关闭",缺陷明细!$J$2:$J$50000,"系统测试",缺陷明细!$K$2:$K$50000,"严重")</f>
        <v>0</v>
      </c>
      <c r="U44" s="74">
        <f>COUNTIFS(缺陷明细!$A$2:$A$50000,$B$4,缺陷明细!$G$2:$G$50000,$C44,缺陷明细!$J$2:$J$50000,"验收测试",缺陷明细!$AB$2:$AB$50000,"&lt;&gt;丢弃",缺陷明细!$AB$2:$AB$50000,"&lt;&gt;设计如此",缺陷明细!$AB$2:$AB$50000,"&lt;&gt;重复Bug")</f>
        <v>0</v>
      </c>
      <c r="V44" s="75">
        <f>COUNTIFS(缺陷明细!$A$2:$A$50000,$B$4,缺陷明细!$G$2:$G$50000,$C44,缺陷明细!$Q$2:$Q$50000,"已关闭",缺陷明细!$J$2:$J$50000,"验收测试")</f>
        <v>0</v>
      </c>
      <c r="W44" s="75">
        <f>COUNTIFS(缺陷明细!$A$2:$A$50000,$B$4,缺陷明细!$G$2:$G$50000,$C44,缺陷明细!$J$2:$J$50000,"验收测试",缺陷明细!$K$2:$K$50000,"致命",缺陷明细!$AB$2:$AB$50000,"&lt;&gt;丢弃",缺陷明细!$AB$2:$AB$50000,"&lt;&gt;设计如此",缺陷明细!$AB$2:$AB$50000,"&lt;&gt;重复Bug")+COUNTIFS(缺陷明细!$A$2:$A$50000,$B$4,缺陷明细!$G$2:$G$50000,$C44,缺陷明细!$J$2:$J$50000,"验收测试",缺陷明细!$K$2:$K$50000,"严重",缺陷明细!$AB$2:$AB$50000,"&lt;&gt;丢弃",缺陷明细!$AB$2:$AB$50000,"&lt;&gt;设计如此",缺陷明细!$AB$2:$AB$50000,"&lt;&gt;重复Bug")</f>
        <v>0</v>
      </c>
      <c r="X44" s="76">
        <f>COUNTIFS(缺陷明细!$A$2:$A$50000,$B$4,缺陷明细!$G$2:$G$50000,$C44,缺陷明细!$Q$2:$Q$50000,"已关闭",缺陷明细!$J$2:$J$50000,"验收测试",缺陷明细!$K$2:$K$50000,"致命")+COUNTIFS(缺陷明细!$A$2:$A$50000,$B$4,缺陷明细!$G$2:$G$50000,$C44,缺陷明细!$Q$2:$Q$50000,"已关闭",缺陷明细!$J$2:$J$50000,"验收测试",缺陷明细!$K$2:$K$50000,"严重")</f>
        <v>0</v>
      </c>
      <c r="Y44" s="70">
        <f>COUNTIFS(缺陷明细!$A$2:$A$50000,$B$4,缺陷明细!$G$2:$G$50000,$C44,缺陷明细!$J$2:$J$50000,"运维测试",缺陷明细!$AB$2:$AB$50000,"&lt;&gt;丢弃",缺陷明细!$AB$2:$AB$50000,"&lt;&gt;设计如此",缺陷明细!$AB$2:$AB$50000,"&lt;&gt;重复Bug")</f>
        <v>0</v>
      </c>
      <c r="Z44" s="71">
        <f>COUNTIFS(缺陷明细!$A$2:$A$50000,$B$4,缺陷明细!$G$2:$G$50000,$C44,缺陷明细!$Q$2:$Q$50000,"已关闭",缺陷明细!$J$2:$J$50000,"运维测试")</f>
        <v>0</v>
      </c>
      <c r="AA44" s="72">
        <f>COUNTIFS(缺陷明细!$A$2:$A$50000,$B$4,缺陷明细!$G$2:$G$50000,$C44,缺陷明细!$J$2:$J$50000,"运维测试",缺陷明细!$K$2:$K$50000,"致命",缺陷明细!$AB$2:$AB$50000,"&lt;&gt;丢弃",缺陷明细!$AB$2:$AB$50000,"&lt;&gt;设计如此",缺陷明细!$AB$2:$AB$50000,"&lt;&gt;重复Bug")+COUNTIFS(缺陷明细!$A$2:$A$50000,$B$4,缺陷明细!$G$2:$G$50000,$C44,缺陷明细!$J$2:$J$50000,"运维测试",缺陷明细!$K$2:$K$50000,"严重",缺陷明细!$AB$2:$AB$50000,"&lt;&gt;丢弃",缺陷明细!$AB$2:$AB$50000,"&lt;&gt;设计如此",缺陷明细!$AB$2:$AB$50000,"&lt;&gt;重复Bug")</f>
        <v>0</v>
      </c>
      <c r="AB44" s="73">
        <f>COUNTIFS(缺陷明细!$A$2:$A$50000,$B$4,缺陷明细!$G$2:$G$50000,$C44,缺陷明细!$Q$2:$Q$50000,"已关闭",缺陷明细!$J$2:$J$50000,"运维测试",缺陷明细!$K$2:$K$50000,"致命")+COUNTIFS(缺陷明细!$A$2:$A$50000,$B$4,缺陷明细!$G$2:$G$50000,$C44,缺陷明细!$Q$2:$Q$50000,"已关闭",缺陷明细!$J$2:$J$50000,"运维测试",缺陷明细!$K$2:$K$50000,"严重")</f>
        <v>0</v>
      </c>
      <c r="AC44" s="68">
        <f t="shared" si="0"/>
        <v>0</v>
      </c>
      <c r="AD44" s="60">
        <f t="shared" si="0"/>
        <v>0</v>
      </c>
      <c r="AE44" s="60">
        <f t="shared" si="1"/>
        <v>0</v>
      </c>
      <c r="AF44" s="60">
        <f t="shared" si="1"/>
        <v>0</v>
      </c>
      <c r="AG44" s="60">
        <f t="shared" si="2"/>
        <v>0</v>
      </c>
      <c r="AH44" s="60">
        <f t="shared" si="2"/>
        <v>0</v>
      </c>
      <c r="AI44" s="60">
        <f t="shared" si="3"/>
        <v>0</v>
      </c>
      <c r="AJ44" s="61">
        <f t="shared" si="3"/>
        <v>0</v>
      </c>
      <c r="AK44" s="144"/>
    </row>
    <row r="45" spans="1:37">
      <c r="A45">
        <v>41</v>
      </c>
      <c r="B45" s="57"/>
      <c r="C45" s="58"/>
      <c r="D45" s="84"/>
      <c r="E45" s="82"/>
      <c r="F45" s="158"/>
      <c r="G45" s="159"/>
      <c r="H45" s="281">
        <f>COUNTIFS(缺陷明细!$A$2:$A$50000,$B$4,缺陷明细!$G$2:$G$50000,$C45,缺陷明细!$J$2:$J$50000,"评审",缺陷明细!$AB$2:$AB$50000,"&lt;&gt;丢弃",缺陷明细!$AB$2:$AB$50000,"&lt;&gt;设计如此",缺陷明细!$AB$2:$AB$50000,"&lt;&gt;重复Bug")</f>
        <v>0</v>
      </c>
      <c r="I45" s="154">
        <f>COUNTIFS(缺陷明细!$A$2:$A$50000,$B$4,缺陷明细!$G$2:$G$50000,$C45,缺陷明细!$Q$2:$Q$50000,"已关闭",缺陷明细!$J$2:$J$50000,"评审")</f>
        <v>0</v>
      </c>
      <c r="J45" s="154">
        <f>COUNTIFS(缺陷明细!$A$2:$A$50000,$B$4,缺陷明细!$G$2:$G$50000,$C45,缺陷明细!$J$2:$J$50000,"单元测试",缺陷明细!$AB$2:$AB$50000,"&lt;&gt;丢弃",缺陷明细!$AB$2:$AB$50000,"&lt;&gt;设计如此",缺陷明细!$AB$2:$AB$50000,"&lt;&gt;重复Bug")</f>
        <v>0</v>
      </c>
      <c r="K45" s="155">
        <f>COUNTIFS(缺陷明细!$A$2:$A$50000,$B$4,缺陷明细!$G$2:$G$50000,$C45,缺陷明细!$Q$2:$Q$50000,"已关闭",缺陷明细!$J$2:$J$50000,"单元测试")</f>
        <v>0</v>
      </c>
      <c r="L45" s="156"/>
      <c r="M45" s="157"/>
      <c r="N45" s="72">
        <f>COUNTIFS(缺陷明细!$A$2:$A$50000,$B$4,缺陷明细!$G$2:$G$50000,$C45,缺陷明细!$J$2:$J$50000,"系统测试案例评审",缺陷明细!$AB$2:$AB$50000,"&lt;&gt;丢弃",缺陷明细!$AB$2:$AB$50000,"&lt;&gt;设计如此",缺陷明细!$AB$2:$AB$50000,"&lt;&gt;重复Bug")</f>
        <v>0</v>
      </c>
      <c r="O45" s="72">
        <f>COUNTIFS(缺陷明细!$A$2:$A$50000,$B$4,缺陷明细!$G$2:$G$50000,$C45,缺陷明细!$Q$2:$Q$50000,"已关闭",缺陷明细!$J$2:$J$50000,"系统测试案例评审")</f>
        <v>0</v>
      </c>
      <c r="P45" s="72">
        <f>COUNTIFS(缺陷明细!$A$2:$A$50000,$B$4,缺陷明细!$G$2:$G$50000,$C45,缺陷明细!$J$2:$J$50000,"系统测试",缺陷明细!$AB$2:$AB$50000,"&lt;&gt;丢弃",缺陷明细!$AB$2:$AB$50000,"&lt;&gt;设计如此",缺陷明细!$AB$2:$AB$50000,"&lt;&gt;重复Bug")</f>
        <v>0</v>
      </c>
      <c r="Q45" s="72">
        <f>COUNTIFS(缺陷明细!$A$2:$A$50000,$B$4,缺陷明细!$G$2:$G$50000,$C45,缺陷明细!$Q$2:$Q$50000,"已关闭",缺陷明细!$J$2:$J$50000,"系统测试")</f>
        <v>0</v>
      </c>
      <c r="R45" s="296">
        <f>COUNTIFS(缺陷明细!$A$2:$A$50000,$B$4,缺陷明细!$G$2:$G$50000,$C45,缺陷明细!$AB$2:$AB$50000,"丢弃",缺陷明细!$J$2:$J$50000,"系统测试")+COUNTIFS(缺陷明细!$A$2:$A$50000,$B$4,缺陷明细!$G$2:$G$50000,$C45,缺陷明细!$AB$2:$AB$50000,"设计如此",缺陷明细!$J$2:$J$50000,"系统测试")+COUNTIFS(缺陷明细!$A$2:$A$50000,$B$4,缺陷明细!$G$2:$G$50000,$C45,缺陷明细!$AB$2:$AB$50000,"重复Bug",缺陷明细!$J$2:$J$50000,"系统测试")</f>
        <v>0</v>
      </c>
      <c r="S45" s="72">
        <f>COUNTIFS(缺陷明细!$A$2:$A$50000,$B$4,缺陷明细!$G$2:$G$50000,$C45,缺陷明细!$J$2:$J$50000,"系统测试",缺陷明细!$K$2:$K$50000,"致命",缺陷明细!$AB$2:$AB$50000,"&lt;&gt;丢弃",缺陷明细!$AB$2:$AB$50000,"&lt;&gt;设计如此",缺陷明细!$AB$2:$AB$50000,"&lt;&gt;重复Bug")+COUNTIFS(缺陷明细!$A$2:$A$50000,$B$4,缺陷明细!$G$2:$G$50000,$C45,缺陷明细!$J$2:$J$50000,"系统测试",缺陷明细!$K$2:$K$50000,"严重",缺陷明细!$AB$2:$AB$50000,"&lt;&gt;丢弃",缺陷明细!$AB$2:$AB$50000,"&lt;&gt;设计如此",缺陷明细!$AB$2:$AB$50000,"&lt;&gt;重复Bug")</f>
        <v>0</v>
      </c>
      <c r="T45" s="73">
        <f>COUNTIFS(缺陷明细!$A$2:$A$50000,$B$4,缺陷明细!$G$2:$G$50000,$C45,缺陷明细!$Q$2:$Q$50000,"已关闭",缺陷明细!$J$2:$J$50000,"系统测试",缺陷明细!$K$2:$K$50000,"致命")+COUNTIFS(缺陷明细!$A$2:$A$50000,$B$4,缺陷明细!$G$2:$G$50000,$C45,缺陷明细!$Q$2:$Q$50000,"已关闭",缺陷明细!$J$2:$J$50000,"系统测试",缺陷明细!$K$2:$K$50000,"严重")</f>
        <v>0</v>
      </c>
      <c r="U45" s="74">
        <f>COUNTIFS(缺陷明细!$A$2:$A$50000,$B$4,缺陷明细!$G$2:$G$50000,$C45,缺陷明细!$J$2:$J$50000,"验收测试",缺陷明细!$AB$2:$AB$50000,"&lt;&gt;丢弃",缺陷明细!$AB$2:$AB$50000,"&lt;&gt;设计如此",缺陷明细!$AB$2:$AB$50000,"&lt;&gt;重复Bug")</f>
        <v>0</v>
      </c>
      <c r="V45" s="75">
        <f>COUNTIFS(缺陷明细!$A$2:$A$50000,$B$4,缺陷明细!$G$2:$G$50000,$C45,缺陷明细!$Q$2:$Q$50000,"已关闭",缺陷明细!$J$2:$J$50000,"验收测试")</f>
        <v>0</v>
      </c>
      <c r="W45" s="75">
        <f>COUNTIFS(缺陷明细!$A$2:$A$50000,$B$4,缺陷明细!$G$2:$G$50000,$C45,缺陷明细!$J$2:$J$50000,"验收测试",缺陷明细!$K$2:$K$50000,"致命",缺陷明细!$AB$2:$AB$50000,"&lt;&gt;丢弃",缺陷明细!$AB$2:$AB$50000,"&lt;&gt;设计如此",缺陷明细!$AB$2:$AB$50000,"&lt;&gt;重复Bug")+COUNTIFS(缺陷明细!$A$2:$A$50000,$B$4,缺陷明细!$G$2:$G$50000,$C45,缺陷明细!$J$2:$J$50000,"验收测试",缺陷明细!$K$2:$K$50000,"严重",缺陷明细!$AB$2:$AB$50000,"&lt;&gt;丢弃",缺陷明细!$AB$2:$AB$50000,"&lt;&gt;设计如此",缺陷明细!$AB$2:$AB$50000,"&lt;&gt;重复Bug")</f>
        <v>0</v>
      </c>
      <c r="X45" s="76">
        <f>COUNTIFS(缺陷明细!$A$2:$A$50000,$B$4,缺陷明细!$G$2:$G$50000,$C45,缺陷明细!$Q$2:$Q$50000,"已关闭",缺陷明细!$J$2:$J$50000,"验收测试",缺陷明细!$K$2:$K$50000,"致命")+COUNTIFS(缺陷明细!$A$2:$A$50000,$B$4,缺陷明细!$G$2:$G$50000,$C45,缺陷明细!$Q$2:$Q$50000,"已关闭",缺陷明细!$J$2:$J$50000,"验收测试",缺陷明细!$K$2:$K$50000,"严重")</f>
        <v>0</v>
      </c>
      <c r="Y45" s="70">
        <f>COUNTIFS(缺陷明细!$A$2:$A$50000,$B$4,缺陷明细!$G$2:$G$50000,$C45,缺陷明细!$J$2:$J$50000,"运维测试",缺陷明细!$AB$2:$AB$50000,"&lt;&gt;丢弃",缺陷明细!$AB$2:$AB$50000,"&lt;&gt;设计如此",缺陷明细!$AB$2:$AB$50000,"&lt;&gt;重复Bug")</f>
        <v>0</v>
      </c>
      <c r="Z45" s="71">
        <f>COUNTIFS(缺陷明细!$A$2:$A$50000,$B$4,缺陷明细!$G$2:$G$50000,$C45,缺陷明细!$Q$2:$Q$50000,"已关闭",缺陷明细!$J$2:$J$50000,"运维测试")</f>
        <v>0</v>
      </c>
      <c r="AA45" s="72">
        <f>COUNTIFS(缺陷明细!$A$2:$A$50000,$B$4,缺陷明细!$G$2:$G$50000,$C45,缺陷明细!$J$2:$J$50000,"运维测试",缺陷明细!$K$2:$K$50000,"致命",缺陷明细!$AB$2:$AB$50000,"&lt;&gt;丢弃",缺陷明细!$AB$2:$AB$50000,"&lt;&gt;设计如此",缺陷明细!$AB$2:$AB$50000,"&lt;&gt;重复Bug")+COUNTIFS(缺陷明细!$A$2:$A$50000,$B$4,缺陷明细!$G$2:$G$50000,$C45,缺陷明细!$J$2:$J$50000,"运维测试",缺陷明细!$K$2:$K$50000,"严重",缺陷明细!$AB$2:$AB$50000,"&lt;&gt;丢弃",缺陷明细!$AB$2:$AB$50000,"&lt;&gt;设计如此",缺陷明细!$AB$2:$AB$50000,"&lt;&gt;重复Bug")</f>
        <v>0</v>
      </c>
      <c r="AB45" s="73">
        <f>COUNTIFS(缺陷明细!$A$2:$A$50000,$B$4,缺陷明细!$G$2:$G$50000,$C45,缺陷明细!$Q$2:$Q$50000,"已关闭",缺陷明细!$J$2:$J$50000,"运维测试",缺陷明细!$K$2:$K$50000,"致命")+COUNTIFS(缺陷明细!$A$2:$A$50000,$B$4,缺陷明细!$G$2:$G$50000,$C45,缺陷明细!$Q$2:$Q$50000,"已关闭",缺陷明细!$J$2:$J$50000,"运维测试",缺陷明细!$K$2:$K$50000,"严重")</f>
        <v>0</v>
      </c>
      <c r="AC45" s="68">
        <f t="shared" si="0"/>
        <v>0</v>
      </c>
      <c r="AD45" s="60">
        <f t="shared" si="0"/>
        <v>0</v>
      </c>
      <c r="AE45" s="60">
        <f t="shared" si="1"/>
        <v>0</v>
      </c>
      <c r="AF45" s="60">
        <f t="shared" si="1"/>
        <v>0</v>
      </c>
      <c r="AG45" s="60">
        <f t="shared" si="2"/>
        <v>0</v>
      </c>
      <c r="AH45" s="60">
        <f t="shared" si="2"/>
        <v>0</v>
      </c>
      <c r="AI45" s="60">
        <f t="shared" si="3"/>
        <v>0</v>
      </c>
      <c r="AJ45" s="61">
        <f t="shared" si="3"/>
        <v>0</v>
      </c>
      <c r="AK45" s="144"/>
    </row>
    <row r="46" spans="1:37">
      <c r="A46">
        <v>42</v>
      </c>
      <c r="B46" s="57"/>
      <c r="C46" s="58"/>
      <c r="D46" s="84"/>
      <c r="E46" s="82"/>
      <c r="F46" s="158"/>
      <c r="G46" s="159"/>
      <c r="H46" s="281">
        <f>COUNTIFS(缺陷明细!$A$2:$A$50000,$B$4,缺陷明细!$G$2:$G$50000,$C46,缺陷明细!$J$2:$J$50000,"评审",缺陷明细!$AB$2:$AB$50000,"&lt;&gt;丢弃",缺陷明细!$AB$2:$AB$50000,"&lt;&gt;设计如此",缺陷明细!$AB$2:$AB$50000,"&lt;&gt;重复Bug")</f>
        <v>0</v>
      </c>
      <c r="I46" s="154">
        <f>COUNTIFS(缺陷明细!$A$2:$A$50000,$B$4,缺陷明细!$G$2:$G$50000,$C46,缺陷明细!$Q$2:$Q$50000,"已关闭",缺陷明细!$J$2:$J$50000,"评审")</f>
        <v>0</v>
      </c>
      <c r="J46" s="154">
        <f>COUNTIFS(缺陷明细!$A$2:$A$50000,$B$4,缺陷明细!$G$2:$G$50000,$C46,缺陷明细!$J$2:$J$50000,"单元测试",缺陷明细!$AB$2:$AB$50000,"&lt;&gt;丢弃",缺陷明细!$AB$2:$AB$50000,"&lt;&gt;设计如此",缺陷明细!$AB$2:$AB$50000,"&lt;&gt;重复Bug")</f>
        <v>0</v>
      </c>
      <c r="K46" s="155">
        <f>COUNTIFS(缺陷明细!$A$2:$A$50000,$B$4,缺陷明细!$G$2:$G$50000,$C46,缺陷明细!$Q$2:$Q$50000,"已关闭",缺陷明细!$J$2:$J$50000,"单元测试")</f>
        <v>0</v>
      </c>
      <c r="L46" s="156"/>
      <c r="M46" s="157"/>
      <c r="N46" s="72">
        <f>COUNTIFS(缺陷明细!$A$2:$A$50000,$B$4,缺陷明细!$G$2:$G$50000,$C46,缺陷明细!$J$2:$J$50000,"系统测试案例评审",缺陷明细!$AB$2:$AB$50000,"&lt;&gt;丢弃",缺陷明细!$AB$2:$AB$50000,"&lt;&gt;设计如此",缺陷明细!$AB$2:$AB$50000,"&lt;&gt;重复Bug")</f>
        <v>0</v>
      </c>
      <c r="O46" s="72">
        <f>COUNTIFS(缺陷明细!$A$2:$A$50000,$B$4,缺陷明细!$G$2:$G$50000,$C46,缺陷明细!$Q$2:$Q$50000,"已关闭",缺陷明细!$J$2:$J$50000,"系统测试案例评审")</f>
        <v>0</v>
      </c>
      <c r="P46" s="72">
        <f>COUNTIFS(缺陷明细!$A$2:$A$50000,$B$4,缺陷明细!$G$2:$G$50000,$C46,缺陷明细!$J$2:$J$50000,"系统测试",缺陷明细!$AB$2:$AB$50000,"&lt;&gt;丢弃",缺陷明细!$AB$2:$AB$50000,"&lt;&gt;设计如此",缺陷明细!$AB$2:$AB$50000,"&lt;&gt;重复Bug")</f>
        <v>0</v>
      </c>
      <c r="Q46" s="72">
        <f>COUNTIFS(缺陷明细!$A$2:$A$50000,$B$4,缺陷明细!$G$2:$G$50000,$C46,缺陷明细!$Q$2:$Q$50000,"已关闭",缺陷明细!$J$2:$J$50000,"系统测试")</f>
        <v>0</v>
      </c>
      <c r="R46" s="296">
        <f>COUNTIFS(缺陷明细!$A$2:$A$50000,$B$4,缺陷明细!$G$2:$G$50000,$C46,缺陷明细!$AB$2:$AB$50000,"丢弃",缺陷明细!$J$2:$J$50000,"系统测试")+COUNTIFS(缺陷明细!$A$2:$A$50000,$B$4,缺陷明细!$G$2:$G$50000,$C46,缺陷明细!$AB$2:$AB$50000,"设计如此",缺陷明细!$J$2:$J$50000,"系统测试")+COUNTIFS(缺陷明细!$A$2:$A$50000,$B$4,缺陷明细!$G$2:$G$50000,$C46,缺陷明细!$AB$2:$AB$50000,"重复Bug",缺陷明细!$J$2:$J$50000,"系统测试")</f>
        <v>0</v>
      </c>
      <c r="S46" s="72">
        <f>COUNTIFS(缺陷明细!$A$2:$A$50000,$B$4,缺陷明细!$G$2:$G$50000,$C46,缺陷明细!$J$2:$J$50000,"系统测试",缺陷明细!$K$2:$K$50000,"致命",缺陷明细!$AB$2:$AB$50000,"&lt;&gt;丢弃",缺陷明细!$AB$2:$AB$50000,"&lt;&gt;设计如此",缺陷明细!$AB$2:$AB$50000,"&lt;&gt;重复Bug")+COUNTIFS(缺陷明细!$A$2:$A$50000,$B$4,缺陷明细!$G$2:$G$50000,$C46,缺陷明细!$J$2:$J$50000,"系统测试",缺陷明细!$K$2:$K$50000,"严重",缺陷明细!$AB$2:$AB$50000,"&lt;&gt;丢弃",缺陷明细!$AB$2:$AB$50000,"&lt;&gt;设计如此",缺陷明细!$AB$2:$AB$50000,"&lt;&gt;重复Bug")</f>
        <v>0</v>
      </c>
      <c r="T46" s="73">
        <f>COUNTIFS(缺陷明细!$A$2:$A$50000,$B$4,缺陷明细!$G$2:$G$50000,$C46,缺陷明细!$Q$2:$Q$50000,"已关闭",缺陷明细!$J$2:$J$50000,"系统测试",缺陷明细!$K$2:$K$50000,"致命")+COUNTIFS(缺陷明细!$A$2:$A$50000,$B$4,缺陷明细!$G$2:$G$50000,$C46,缺陷明细!$Q$2:$Q$50000,"已关闭",缺陷明细!$J$2:$J$50000,"系统测试",缺陷明细!$K$2:$K$50000,"严重")</f>
        <v>0</v>
      </c>
      <c r="U46" s="74">
        <f>COUNTIFS(缺陷明细!$A$2:$A$50000,$B$4,缺陷明细!$G$2:$G$50000,$C46,缺陷明细!$J$2:$J$50000,"验收测试",缺陷明细!$AB$2:$AB$50000,"&lt;&gt;丢弃",缺陷明细!$AB$2:$AB$50000,"&lt;&gt;设计如此",缺陷明细!$AB$2:$AB$50000,"&lt;&gt;重复Bug")</f>
        <v>0</v>
      </c>
      <c r="V46" s="75">
        <f>COUNTIFS(缺陷明细!$A$2:$A$50000,$B$4,缺陷明细!$G$2:$G$50000,$C46,缺陷明细!$Q$2:$Q$50000,"已关闭",缺陷明细!$J$2:$J$50000,"验收测试")</f>
        <v>0</v>
      </c>
      <c r="W46" s="75">
        <f>COUNTIFS(缺陷明细!$A$2:$A$50000,$B$4,缺陷明细!$G$2:$G$50000,$C46,缺陷明细!$J$2:$J$50000,"验收测试",缺陷明细!$K$2:$K$50000,"致命",缺陷明细!$AB$2:$AB$50000,"&lt;&gt;丢弃",缺陷明细!$AB$2:$AB$50000,"&lt;&gt;设计如此",缺陷明细!$AB$2:$AB$50000,"&lt;&gt;重复Bug")+COUNTIFS(缺陷明细!$A$2:$A$50000,$B$4,缺陷明细!$G$2:$G$50000,$C46,缺陷明细!$J$2:$J$50000,"验收测试",缺陷明细!$K$2:$K$50000,"严重",缺陷明细!$AB$2:$AB$50000,"&lt;&gt;丢弃",缺陷明细!$AB$2:$AB$50000,"&lt;&gt;设计如此",缺陷明细!$AB$2:$AB$50000,"&lt;&gt;重复Bug")</f>
        <v>0</v>
      </c>
      <c r="X46" s="76">
        <f>COUNTIFS(缺陷明细!$A$2:$A$50000,$B$4,缺陷明细!$G$2:$G$50000,$C46,缺陷明细!$Q$2:$Q$50000,"已关闭",缺陷明细!$J$2:$J$50000,"验收测试",缺陷明细!$K$2:$K$50000,"致命")+COUNTIFS(缺陷明细!$A$2:$A$50000,$B$4,缺陷明细!$G$2:$G$50000,$C46,缺陷明细!$Q$2:$Q$50000,"已关闭",缺陷明细!$J$2:$J$50000,"验收测试",缺陷明细!$K$2:$K$50000,"严重")</f>
        <v>0</v>
      </c>
      <c r="Y46" s="70">
        <f>COUNTIFS(缺陷明细!$A$2:$A$50000,$B$4,缺陷明细!$G$2:$G$50000,$C46,缺陷明细!$J$2:$J$50000,"运维测试",缺陷明细!$AB$2:$AB$50000,"&lt;&gt;丢弃",缺陷明细!$AB$2:$AB$50000,"&lt;&gt;设计如此",缺陷明细!$AB$2:$AB$50000,"&lt;&gt;重复Bug")</f>
        <v>0</v>
      </c>
      <c r="Z46" s="71">
        <f>COUNTIFS(缺陷明细!$A$2:$A$50000,$B$4,缺陷明细!$G$2:$G$50000,$C46,缺陷明细!$Q$2:$Q$50000,"已关闭",缺陷明细!$J$2:$J$50000,"运维测试")</f>
        <v>0</v>
      </c>
      <c r="AA46" s="72">
        <f>COUNTIFS(缺陷明细!$A$2:$A$50000,$B$4,缺陷明细!$G$2:$G$50000,$C46,缺陷明细!$J$2:$J$50000,"运维测试",缺陷明细!$K$2:$K$50000,"致命",缺陷明细!$AB$2:$AB$50000,"&lt;&gt;丢弃",缺陷明细!$AB$2:$AB$50000,"&lt;&gt;设计如此",缺陷明细!$AB$2:$AB$50000,"&lt;&gt;重复Bug")+COUNTIFS(缺陷明细!$A$2:$A$50000,$B$4,缺陷明细!$G$2:$G$50000,$C46,缺陷明细!$J$2:$J$50000,"运维测试",缺陷明细!$K$2:$K$50000,"严重",缺陷明细!$AB$2:$AB$50000,"&lt;&gt;丢弃",缺陷明细!$AB$2:$AB$50000,"&lt;&gt;设计如此",缺陷明细!$AB$2:$AB$50000,"&lt;&gt;重复Bug")</f>
        <v>0</v>
      </c>
      <c r="AB46" s="73">
        <f>COUNTIFS(缺陷明细!$A$2:$A$50000,$B$4,缺陷明细!$G$2:$G$50000,$C46,缺陷明细!$Q$2:$Q$50000,"已关闭",缺陷明细!$J$2:$J$50000,"运维测试",缺陷明细!$K$2:$K$50000,"致命")+COUNTIFS(缺陷明细!$A$2:$A$50000,$B$4,缺陷明细!$G$2:$G$50000,$C46,缺陷明细!$Q$2:$Q$50000,"已关闭",缺陷明细!$J$2:$J$50000,"运维测试",缺陷明细!$K$2:$K$50000,"严重")</f>
        <v>0</v>
      </c>
      <c r="AC46" s="68">
        <f t="shared" si="0"/>
        <v>0</v>
      </c>
      <c r="AD46" s="60">
        <f t="shared" si="0"/>
        <v>0</v>
      </c>
      <c r="AE46" s="60">
        <f t="shared" si="1"/>
        <v>0</v>
      </c>
      <c r="AF46" s="60">
        <f t="shared" si="1"/>
        <v>0</v>
      </c>
      <c r="AG46" s="60">
        <f t="shared" si="2"/>
        <v>0</v>
      </c>
      <c r="AH46" s="60">
        <f t="shared" si="2"/>
        <v>0</v>
      </c>
      <c r="AI46" s="60">
        <f t="shared" si="3"/>
        <v>0</v>
      </c>
      <c r="AJ46" s="61">
        <f t="shared" si="3"/>
        <v>0</v>
      </c>
      <c r="AK46" s="144"/>
    </row>
    <row r="47" spans="1:37">
      <c r="A47">
        <v>43</v>
      </c>
      <c r="B47" s="57"/>
      <c r="C47" s="58"/>
      <c r="D47" s="84"/>
      <c r="E47" s="82"/>
      <c r="F47" s="158"/>
      <c r="G47" s="159"/>
      <c r="H47" s="281">
        <f>COUNTIFS(缺陷明细!$A$2:$A$50000,$B$4,缺陷明细!$G$2:$G$50000,$C47,缺陷明细!$J$2:$J$50000,"评审",缺陷明细!$AB$2:$AB$50000,"&lt;&gt;丢弃",缺陷明细!$AB$2:$AB$50000,"&lt;&gt;设计如此",缺陷明细!$AB$2:$AB$50000,"&lt;&gt;重复Bug")</f>
        <v>0</v>
      </c>
      <c r="I47" s="154">
        <f>COUNTIFS(缺陷明细!$A$2:$A$50000,$B$4,缺陷明细!$G$2:$G$50000,$C47,缺陷明细!$Q$2:$Q$50000,"已关闭",缺陷明细!$J$2:$J$50000,"评审")</f>
        <v>0</v>
      </c>
      <c r="J47" s="154">
        <f>COUNTIFS(缺陷明细!$A$2:$A$50000,$B$4,缺陷明细!$G$2:$G$50000,$C47,缺陷明细!$J$2:$J$50000,"单元测试",缺陷明细!$AB$2:$AB$50000,"&lt;&gt;丢弃",缺陷明细!$AB$2:$AB$50000,"&lt;&gt;设计如此",缺陷明细!$AB$2:$AB$50000,"&lt;&gt;重复Bug")</f>
        <v>0</v>
      </c>
      <c r="K47" s="155">
        <f>COUNTIFS(缺陷明细!$A$2:$A$50000,$B$4,缺陷明细!$G$2:$G$50000,$C47,缺陷明细!$Q$2:$Q$50000,"已关闭",缺陷明细!$J$2:$J$50000,"单元测试")</f>
        <v>0</v>
      </c>
      <c r="L47" s="156"/>
      <c r="M47" s="157"/>
      <c r="N47" s="72">
        <f>COUNTIFS(缺陷明细!$A$2:$A$50000,$B$4,缺陷明细!$G$2:$G$50000,$C47,缺陷明细!$J$2:$J$50000,"系统测试案例评审",缺陷明细!$AB$2:$AB$50000,"&lt;&gt;丢弃",缺陷明细!$AB$2:$AB$50000,"&lt;&gt;设计如此",缺陷明细!$AB$2:$AB$50000,"&lt;&gt;重复Bug")</f>
        <v>0</v>
      </c>
      <c r="O47" s="72">
        <f>COUNTIFS(缺陷明细!$A$2:$A$50000,$B$4,缺陷明细!$G$2:$G$50000,$C47,缺陷明细!$Q$2:$Q$50000,"已关闭",缺陷明细!$J$2:$J$50000,"系统测试案例评审")</f>
        <v>0</v>
      </c>
      <c r="P47" s="72">
        <f>COUNTIFS(缺陷明细!$A$2:$A$50000,$B$4,缺陷明细!$G$2:$G$50000,$C47,缺陷明细!$J$2:$J$50000,"系统测试",缺陷明细!$AB$2:$AB$50000,"&lt;&gt;丢弃",缺陷明细!$AB$2:$AB$50000,"&lt;&gt;设计如此",缺陷明细!$AB$2:$AB$50000,"&lt;&gt;重复Bug")</f>
        <v>0</v>
      </c>
      <c r="Q47" s="72">
        <f>COUNTIFS(缺陷明细!$A$2:$A$50000,$B$4,缺陷明细!$G$2:$G$50000,$C47,缺陷明细!$Q$2:$Q$50000,"已关闭",缺陷明细!$J$2:$J$50000,"系统测试")</f>
        <v>0</v>
      </c>
      <c r="R47" s="296">
        <f>COUNTIFS(缺陷明细!$A$2:$A$50000,$B$4,缺陷明细!$G$2:$G$50000,$C47,缺陷明细!$AB$2:$AB$50000,"丢弃",缺陷明细!$J$2:$J$50000,"系统测试")+COUNTIFS(缺陷明细!$A$2:$A$50000,$B$4,缺陷明细!$G$2:$G$50000,$C47,缺陷明细!$AB$2:$AB$50000,"设计如此",缺陷明细!$J$2:$J$50000,"系统测试")+COUNTIFS(缺陷明细!$A$2:$A$50000,$B$4,缺陷明细!$G$2:$G$50000,$C47,缺陷明细!$AB$2:$AB$50000,"重复Bug",缺陷明细!$J$2:$J$50000,"系统测试")</f>
        <v>0</v>
      </c>
      <c r="S47" s="72">
        <f>COUNTIFS(缺陷明细!$A$2:$A$50000,$B$4,缺陷明细!$G$2:$G$50000,$C47,缺陷明细!$J$2:$J$50000,"系统测试",缺陷明细!$K$2:$K$50000,"致命",缺陷明细!$AB$2:$AB$50000,"&lt;&gt;丢弃",缺陷明细!$AB$2:$AB$50000,"&lt;&gt;设计如此",缺陷明细!$AB$2:$AB$50000,"&lt;&gt;重复Bug")+COUNTIFS(缺陷明细!$A$2:$A$50000,$B$4,缺陷明细!$G$2:$G$50000,$C47,缺陷明细!$J$2:$J$50000,"系统测试",缺陷明细!$K$2:$K$50000,"严重",缺陷明细!$AB$2:$AB$50000,"&lt;&gt;丢弃",缺陷明细!$AB$2:$AB$50000,"&lt;&gt;设计如此",缺陷明细!$AB$2:$AB$50000,"&lt;&gt;重复Bug")</f>
        <v>0</v>
      </c>
      <c r="T47" s="73">
        <f>COUNTIFS(缺陷明细!$A$2:$A$50000,$B$4,缺陷明细!$G$2:$G$50000,$C47,缺陷明细!$Q$2:$Q$50000,"已关闭",缺陷明细!$J$2:$J$50000,"系统测试",缺陷明细!$K$2:$K$50000,"致命")+COUNTIFS(缺陷明细!$A$2:$A$50000,$B$4,缺陷明细!$G$2:$G$50000,$C47,缺陷明细!$Q$2:$Q$50000,"已关闭",缺陷明细!$J$2:$J$50000,"系统测试",缺陷明细!$K$2:$K$50000,"严重")</f>
        <v>0</v>
      </c>
      <c r="U47" s="74">
        <f>COUNTIFS(缺陷明细!$A$2:$A$50000,$B$4,缺陷明细!$G$2:$G$50000,$C47,缺陷明细!$J$2:$J$50000,"验收测试",缺陷明细!$AB$2:$AB$50000,"&lt;&gt;丢弃",缺陷明细!$AB$2:$AB$50000,"&lt;&gt;设计如此",缺陷明细!$AB$2:$AB$50000,"&lt;&gt;重复Bug")</f>
        <v>0</v>
      </c>
      <c r="V47" s="75">
        <f>COUNTIFS(缺陷明细!$A$2:$A$50000,$B$4,缺陷明细!$G$2:$G$50000,$C47,缺陷明细!$Q$2:$Q$50000,"已关闭",缺陷明细!$J$2:$J$50000,"验收测试")</f>
        <v>0</v>
      </c>
      <c r="W47" s="75">
        <f>COUNTIFS(缺陷明细!$A$2:$A$50000,$B$4,缺陷明细!$G$2:$G$50000,$C47,缺陷明细!$J$2:$J$50000,"验收测试",缺陷明细!$K$2:$K$50000,"致命",缺陷明细!$AB$2:$AB$50000,"&lt;&gt;丢弃",缺陷明细!$AB$2:$AB$50000,"&lt;&gt;设计如此",缺陷明细!$AB$2:$AB$50000,"&lt;&gt;重复Bug")+COUNTIFS(缺陷明细!$A$2:$A$50000,$B$4,缺陷明细!$G$2:$G$50000,$C47,缺陷明细!$J$2:$J$50000,"验收测试",缺陷明细!$K$2:$K$50000,"严重",缺陷明细!$AB$2:$AB$50000,"&lt;&gt;丢弃",缺陷明细!$AB$2:$AB$50000,"&lt;&gt;设计如此",缺陷明细!$AB$2:$AB$50000,"&lt;&gt;重复Bug")</f>
        <v>0</v>
      </c>
      <c r="X47" s="76">
        <f>COUNTIFS(缺陷明细!$A$2:$A$50000,$B$4,缺陷明细!$G$2:$G$50000,$C47,缺陷明细!$Q$2:$Q$50000,"已关闭",缺陷明细!$J$2:$J$50000,"验收测试",缺陷明细!$K$2:$K$50000,"致命")+COUNTIFS(缺陷明细!$A$2:$A$50000,$B$4,缺陷明细!$G$2:$G$50000,$C47,缺陷明细!$Q$2:$Q$50000,"已关闭",缺陷明细!$J$2:$J$50000,"验收测试",缺陷明细!$K$2:$K$50000,"严重")</f>
        <v>0</v>
      </c>
      <c r="Y47" s="70">
        <f>COUNTIFS(缺陷明细!$A$2:$A$50000,$B$4,缺陷明细!$G$2:$G$50000,$C47,缺陷明细!$J$2:$J$50000,"运维测试",缺陷明细!$AB$2:$AB$50000,"&lt;&gt;丢弃",缺陷明细!$AB$2:$AB$50000,"&lt;&gt;设计如此",缺陷明细!$AB$2:$AB$50000,"&lt;&gt;重复Bug")</f>
        <v>0</v>
      </c>
      <c r="Z47" s="71">
        <f>COUNTIFS(缺陷明细!$A$2:$A$50000,$B$4,缺陷明细!$G$2:$G$50000,$C47,缺陷明细!$Q$2:$Q$50000,"已关闭",缺陷明细!$J$2:$J$50000,"运维测试")</f>
        <v>0</v>
      </c>
      <c r="AA47" s="72">
        <f>COUNTIFS(缺陷明细!$A$2:$A$50000,$B$4,缺陷明细!$G$2:$G$50000,$C47,缺陷明细!$J$2:$J$50000,"运维测试",缺陷明细!$K$2:$K$50000,"致命",缺陷明细!$AB$2:$AB$50000,"&lt;&gt;丢弃",缺陷明细!$AB$2:$AB$50000,"&lt;&gt;设计如此",缺陷明细!$AB$2:$AB$50000,"&lt;&gt;重复Bug")+COUNTIFS(缺陷明细!$A$2:$A$50000,$B$4,缺陷明细!$G$2:$G$50000,$C47,缺陷明细!$J$2:$J$50000,"运维测试",缺陷明细!$K$2:$K$50000,"严重",缺陷明细!$AB$2:$AB$50000,"&lt;&gt;丢弃",缺陷明细!$AB$2:$AB$50000,"&lt;&gt;设计如此",缺陷明细!$AB$2:$AB$50000,"&lt;&gt;重复Bug")</f>
        <v>0</v>
      </c>
      <c r="AB47" s="73">
        <f>COUNTIFS(缺陷明细!$A$2:$A$50000,$B$4,缺陷明细!$G$2:$G$50000,$C47,缺陷明细!$Q$2:$Q$50000,"已关闭",缺陷明细!$J$2:$J$50000,"运维测试",缺陷明细!$K$2:$K$50000,"致命")+COUNTIFS(缺陷明细!$A$2:$A$50000,$B$4,缺陷明细!$G$2:$G$50000,$C47,缺陷明细!$Q$2:$Q$50000,"已关闭",缺陷明细!$J$2:$J$50000,"运维测试",缺陷明细!$K$2:$K$50000,"严重")</f>
        <v>0</v>
      </c>
      <c r="AC47" s="68">
        <f t="shared" si="0"/>
        <v>0</v>
      </c>
      <c r="AD47" s="60">
        <f t="shared" si="0"/>
        <v>0</v>
      </c>
      <c r="AE47" s="60">
        <f t="shared" si="1"/>
        <v>0</v>
      </c>
      <c r="AF47" s="60">
        <f t="shared" si="1"/>
        <v>0</v>
      </c>
      <c r="AG47" s="60">
        <f t="shared" si="2"/>
        <v>0</v>
      </c>
      <c r="AH47" s="60">
        <f t="shared" si="2"/>
        <v>0</v>
      </c>
      <c r="AI47" s="60">
        <f t="shared" si="3"/>
        <v>0</v>
      </c>
      <c r="AJ47" s="61">
        <f t="shared" si="3"/>
        <v>0</v>
      </c>
      <c r="AK47" s="144"/>
    </row>
    <row r="48" spans="1:37">
      <c r="A48">
        <v>44</v>
      </c>
      <c r="B48" s="57"/>
      <c r="C48" s="58"/>
      <c r="D48" s="84"/>
      <c r="E48" s="82"/>
      <c r="F48" s="158"/>
      <c r="G48" s="159"/>
      <c r="H48" s="281">
        <f>COUNTIFS(缺陷明细!$A$2:$A$50000,$B$4,缺陷明细!$G$2:$G$50000,$C48,缺陷明细!$J$2:$J$50000,"评审",缺陷明细!$AB$2:$AB$50000,"&lt;&gt;丢弃",缺陷明细!$AB$2:$AB$50000,"&lt;&gt;设计如此",缺陷明细!$AB$2:$AB$50000,"&lt;&gt;重复Bug")</f>
        <v>0</v>
      </c>
      <c r="I48" s="154">
        <f>COUNTIFS(缺陷明细!$A$2:$A$50000,$B$4,缺陷明细!$G$2:$G$50000,$C48,缺陷明细!$Q$2:$Q$50000,"已关闭",缺陷明细!$J$2:$J$50000,"评审")</f>
        <v>0</v>
      </c>
      <c r="J48" s="154">
        <f>COUNTIFS(缺陷明细!$A$2:$A$50000,$B$4,缺陷明细!$G$2:$G$50000,$C48,缺陷明细!$J$2:$J$50000,"单元测试",缺陷明细!$AB$2:$AB$50000,"&lt;&gt;丢弃",缺陷明细!$AB$2:$AB$50000,"&lt;&gt;设计如此",缺陷明细!$AB$2:$AB$50000,"&lt;&gt;重复Bug")</f>
        <v>0</v>
      </c>
      <c r="K48" s="155">
        <f>COUNTIFS(缺陷明细!$A$2:$A$50000,$B$4,缺陷明细!$G$2:$G$50000,$C48,缺陷明细!$Q$2:$Q$50000,"已关闭",缺陷明细!$J$2:$J$50000,"单元测试")</f>
        <v>0</v>
      </c>
      <c r="L48" s="156"/>
      <c r="M48" s="157"/>
      <c r="N48" s="72">
        <f>COUNTIFS(缺陷明细!$A$2:$A$50000,$B$4,缺陷明细!$G$2:$G$50000,$C48,缺陷明细!$J$2:$J$50000,"系统测试案例评审",缺陷明细!$AB$2:$AB$50000,"&lt;&gt;丢弃",缺陷明细!$AB$2:$AB$50000,"&lt;&gt;设计如此",缺陷明细!$AB$2:$AB$50000,"&lt;&gt;重复Bug")</f>
        <v>0</v>
      </c>
      <c r="O48" s="72">
        <f>COUNTIFS(缺陷明细!$A$2:$A$50000,$B$4,缺陷明细!$G$2:$G$50000,$C48,缺陷明细!$Q$2:$Q$50000,"已关闭",缺陷明细!$J$2:$J$50000,"系统测试案例评审")</f>
        <v>0</v>
      </c>
      <c r="P48" s="72">
        <f>COUNTIFS(缺陷明细!$A$2:$A$50000,$B$4,缺陷明细!$G$2:$G$50000,$C48,缺陷明细!$J$2:$J$50000,"系统测试",缺陷明细!$AB$2:$AB$50000,"&lt;&gt;丢弃",缺陷明细!$AB$2:$AB$50000,"&lt;&gt;设计如此",缺陷明细!$AB$2:$AB$50000,"&lt;&gt;重复Bug")</f>
        <v>0</v>
      </c>
      <c r="Q48" s="72">
        <f>COUNTIFS(缺陷明细!$A$2:$A$50000,$B$4,缺陷明细!$G$2:$G$50000,$C48,缺陷明细!$Q$2:$Q$50000,"已关闭",缺陷明细!$J$2:$J$50000,"系统测试")</f>
        <v>0</v>
      </c>
      <c r="R48" s="296">
        <f>COUNTIFS(缺陷明细!$A$2:$A$50000,$B$4,缺陷明细!$G$2:$G$50000,$C48,缺陷明细!$AB$2:$AB$50000,"丢弃",缺陷明细!$J$2:$J$50000,"系统测试")+COUNTIFS(缺陷明细!$A$2:$A$50000,$B$4,缺陷明细!$G$2:$G$50000,$C48,缺陷明细!$AB$2:$AB$50000,"设计如此",缺陷明细!$J$2:$J$50000,"系统测试")+COUNTIFS(缺陷明细!$A$2:$A$50000,$B$4,缺陷明细!$G$2:$G$50000,$C48,缺陷明细!$AB$2:$AB$50000,"重复Bug",缺陷明细!$J$2:$J$50000,"系统测试")</f>
        <v>0</v>
      </c>
      <c r="S48" s="72">
        <f>COUNTIFS(缺陷明细!$A$2:$A$50000,$B$4,缺陷明细!$G$2:$G$50000,$C48,缺陷明细!$J$2:$J$50000,"系统测试",缺陷明细!$K$2:$K$50000,"致命",缺陷明细!$AB$2:$AB$50000,"&lt;&gt;丢弃",缺陷明细!$AB$2:$AB$50000,"&lt;&gt;设计如此",缺陷明细!$AB$2:$AB$50000,"&lt;&gt;重复Bug")+COUNTIFS(缺陷明细!$A$2:$A$50000,$B$4,缺陷明细!$G$2:$G$50000,$C48,缺陷明细!$J$2:$J$50000,"系统测试",缺陷明细!$K$2:$K$50000,"严重",缺陷明细!$AB$2:$AB$50000,"&lt;&gt;丢弃",缺陷明细!$AB$2:$AB$50000,"&lt;&gt;设计如此",缺陷明细!$AB$2:$AB$50000,"&lt;&gt;重复Bug")</f>
        <v>0</v>
      </c>
      <c r="T48" s="73">
        <f>COUNTIFS(缺陷明细!$A$2:$A$50000,$B$4,缺陷明细!$G$2:$G$50000,$C48,缺陷明细!$Q$2:$Q$50000,"已关闭",缺陷明细!$J$2:$J$50000,"系统测试",缺陷明细!$K$2:$K$50000,"致命")+COUNTIFS(缺陷明细!$A$2:$A$50000,$B$4,缺陷明细!$G$2:$G$50000,$C48,缺陷明细!$Q$2:$Q$50000,"已关闭",缺陷明细!$J$2:$J$50000,"系统测试",缺陷明细!$K$2:$K$50000,"严重")</f>
        <v>0</v>
      </c>
      <c r="U48" s="74">
        <f>COUNTIFS(缺陷明细!$A$2:$A$50000,$B$4,缺陷明细!$G$2:$G$50000,$C48,缺陷明细!$J$2:$J$50000,"验收测试",缺陷明细!$AB$2:$AB$50000,"&lt;&gt;丢弃",缺陷明细!$AB$2:$AB$50000,"&lt;&gt;设计如此",缺陷明细!$AB$2:$AB$50000,"&lt;&gt;重复Bug")</f>
        <v>0</v>
      </c>
      <c r="V48" s="75">
        <f>COUNTIFS(缺陷明细!$A$2:$A$50000,$B$4,缺陷明细!$G$2:$G$50000,$C48,缺陷明细!$Q$2:$Q$50000,"已关闭",缺陷明细!$J$2:$J$50000,"验收测试")</f>
        <v>0</v>
      </c>
      <c r="W48" s="75">
        <f>COUNTIFS(缺陷明细!$A$2:$A$50000,$B$4,缺陷明细!$G$2:$G$50000,$C48,缺陷明细!$J$2:$J$50000,"验收测试",缺陷明细!$K$2:$K$50000,"致命",缺陷明细!$AB$2:$AB$50000,"&lt;&gt;丢弃",缺陷明细!$AB$2:$AB$50000,"&lt;&gt;设计如此",缺陷明细!$AB$2:$AB$50000,"&lt;&gt;重复Bug")+COUNTIFS(缺陷明细!$A$2:$A$50000,$B$4,缺陷明细!$G$2:$G$50000,$C48,缺陷明细!$J$2:$J$50000,"验收测试",缺陷明细!$K$2:$K$50000,"严重",缺陷明细!$AB$2:$AB$50000,"&lt;&gt;丢弃",缺陷明细!$AB$2:$AB$50000,"&lt;&gt;设计如此",缺陷明细!$AB$2:$AB$50000,"&lt;&gt;重复Bug")</f>
        <v>0</v>
      </c>
      <c r="X48" s="76">
        <f>COUNTIFS(缺陷明细!$A$2:$A$50000,$B$4,缺陷明细!$G$2:$G$50000,$C48,缺陷明细!$Q$2:$Q$50000,"已关闭",缺陷明细!$J$2:$J$50000,"验收测试",缺陷明细!$K$2:$K$50000,"致命")+COUNTIFS(缺陷明细!$A$2:$A$50000,$B$4,缺陷明细!$G$2:$G$50000,$C48,缺陷明细!$Q$2:$Q$50000,"已关闭",缺陷明细!$J$2:$J$50000,"验收测试",缺陷明细!$K$2:$K$50000,"严重")</f>
        <v>0</v>
      </c>
      <c r="Y48" s="70">
        <f>COUNTIFS(缺陷明细!$A$2:$A$50000,$B$4,缺陷明细!$G$2:$G$50000,$C48,缺陷明细!$J$2:$J$50000,"运维测试",缺陷明细!$AB$2:$AB$50000,"&lt;&gt;丢弃",缺陷明细!$AB$2:$AB$50000,"&lt;&gt;设计如此",缺陷明细!$AB$2:$AB$50000,"&lt;&gt;重复Bug")</f>
        <v>0</v>
      </c>
      <c r="Z48" s="71">
        <f>COUNTIFS(缺陷明细!$A$2:$A$50000,$B$4,缺陷明细!$G$2:$G$50000,$C48,缺陷明细!$Q$2:$Q$50000,"已关闭",缺陷明细!$J$2:$J$50000,"运维测试")</f>
        <v>0</v>
      </c>
      <c r="AA48" s="72">
        <f>COUNTIFS(缺陷明细!$A$2:$A$50000,$B$4,缺陷明细!$G$2:$G$50000,$C48,缺陷明细!$J$2:$J$50000,"运维测试",缺陷明细!$K$2:$K$50000,"致命",缺陷明细!$AB$2:$AB$50000,"&lt;&gt;丢弃",缺陷明细!$AB$2:$AB$50000,"&lt;&gt;设计如此",缺陷明细!$AB$2:$AB$50000,"&lt;&gt;重复Bug")+COUNTIFS(缺陷明细!$A$2:$A$50000,$B$4,缺陷明细!$G$2:$G$50000,$C48,缺陷明细!$J$2:$J$50000,"运维测试",缺陷明细!$K$2:$K$50000,"严重",缺陷明细!$AB$2:$AB$50000,"&lt;&gt;丢弃",缺陷明细!$AB$2:$AB$50000,"&lt;&gt;设计如此",缺陷明细!$AB$2:$AB$50000,"&lt;&gt;重复Bug")</f>
        <v>0</v>
      </c>
      <c r="AB48" s="73">
        <f>COUNTIFS(缺陷明细!$A$2:$A$50000,$B$4,缺陷明细!$G$2:$G$50000,$C48,缺陷明细!$Q$2:$Q$50000,"已关闭",缺陷明细!$J$2:$J$50000,"运维测试",缺陷明细!$K$2:$K$50000,"致命")+COUNTIFS(缺陷明细!$A$2:$A$50000,$B$4,缺陷明细!$G$2:$G$50000,$C48,缺陷明细!$Q$2:$Q$50000,"已关闭",缺陷明细!$J$2:$J$50000,"运维测试",缺陷明细!$K$2:$K$50000,"严重")</f>
        <v>0</v>
      </c>
      <c r="AC48" s="68">
        <f t="shared" si="0"/>
        <v>0</v>
      </c>
      <c r="AD48" s="60">
        <f t="shared" si="0"/>
        <v>0</v>
      </c>
      <c r="AE48" s="60">
        <f t="shared" si="1"/>
        <v>0</v>
      </c>
      <c r="AF48" s="60">
        <f t="shared" si="1"/>
        <v>0</v>
      </c>
      <c r="AG48" s="60">
        <f t="shared" si="2"/>
        <v>0</v>
      </c>
      <c r="AH48" s="60">
        <f t="shared" si="2"/>
        <v>0</v>
      </c>
      <c r="AI48" s="60">
        <f t="shared" si="3"/>
        <v>0</v>
      </c>
      <c r="AJ48" s="61">
        <f t="shared" si="3"/>
        <v>0</v>
      </c>
      <c r="AK48" s="144"/>
    </row>
    <row r="49" spans="1:37">
      <c r="A49">
        <v>45</v>
      </c>
      <c r="B49" s="57"/>
      <c r="C49" s="58"/>
      <c r="D49" s="84"/>
      <c r="E49" s="82"/>
      <c r="F49" s="158"/>
      <c r="G49" s="159"/>
      <c r="H49" s="281">
        <f>COUNTIFS(缺陷明细!$A$2:$A$50000,$B$4,缺陷明细!$G$2:$G$50000,$C49,缺陷明细!$J$2:$J$50000,"评审",缺陷明细!$AB$2:$AB$50000,"&lt;&gt;丢弃",缺陷明细!$AB$2:$AB$50000,"&lt;&gt;设计如此",缺陷明细!$AB$2:$AB$50000,"&lt;&gt;重复Bug")</f>
        <v>0</v>
      </c>
      <c r="I49" s="154">
        <f>COUNTIFS(缺陷明细!$A$2:$A$50000,$B$4,缺陷明细!$G$2:$G$50000,$C49,缺陷明细!$Q$2:$Q$50000,"已关闭",缺陷明细!$J$2:$J$50000,"评审")</f>
        <v>0</v>
      </c>
      <c r="J49" s="154">
        <f>COUNTIFS(缺陷明细!$A$2:$A$50000,$B$4,缺陷明细!$G$2:$G$50000,$C49,缺陷明细!$J$2:$J$50000,"单元测试",缺陷明细!$AB$2:$AB$50000,"&lt;&gt;丢弃",缺陷明细!$AB$2:$AB$50000,"&lt;&gt;设计如此",缺陷明细!$AB$2:$AB$50000,"&lt;&gt;重复Bug")</f>
        <v>0</v>
      </c>
      <c r="K49" s="155">
        <f>COUNTIFS(缺陷明细!$A$2:$A$50000,$B$4,缺陷明细!$G$2:$G$50000,$C49,缺陷明细!$Q$2:$Q$50000,"已关闭",缺陷明细!$J$2:$J$50000,"单元测试")</f>
        <v>0</v>
      </c>
      <c r="L49" s="156"/>
      <c r="M49" s="157"/>
      <c r="N49" s="72">
        <f>COUNTIFS(缺陷明细!$A$2:$A$50000,$B$4,缺陷明细!$G$2:$G$50000,$C49,缺陷明细!$J$2:$J$50000,"系统测试案例评审",缺陷明细!$AB$2:$AB$50000,"&lt;&gt;丢弃",缺陷明细!$AB$2:$AB$50000,"&lt;&gt;设计如此",缺陷明细!$AB$2:$AB$50000,"&lt;&gt;重复Bug")</f>
        <v>0</v>
      </c>
      <c r="O49" s="72">
        <f>COUNTIFS(缺陷明细!$A$2:$A$50000,$B$4,缺陷明细!$G$2:$G$50000,$C49,缺陷明细!$Q$2:$Q$50000,"已关闭",缺陷明细!$J$2:$J$50000,"系统测试案例评审")</f>
        <v>0</v>
      </c>
      <c r="P49" s="72">
        <f>COUNTIFS(缺陷明细!$A$2:$A$50000,$B$4,缺陷明细!$G$2:$G$50000,$C49,缺陷明细!$J$2:$J$50000,"系统测试",缺陷明细!$AB$2:$AB$50000,"&lt;&gt;丢弃",缺陷明细!$AB$2:$AB$50000,"&lt;&gt;设计如此",缺陷明细!$AB$2:$AB$50000,"&lt;&gt;重复Bug")</f>
        <v>0</v>
      </c>
      <c r="Q49" s="72">
        <f>COUNTIFS(缺陷明细!$A$2:$A$50000,$B$4,缺陷明细!$G$2:$G$50000,$C49,缺陷明细!$Q$2:$Q$50000,"已关闭",缺陷明细!$J$2:$J$50000,"系统测试")</f>
        <v>0</v>
      </c>
      <c r="R49" s="296">
        <f>COUNTIFS(缺陷明细!$A$2:$A$50000,$B$4,缺陷明细!$G$2:$G$50000,$C49,缺陷明细!$AB$2:$AB$50000,"丢弃",缺陷明细!$J$2:$J$50000,"系统测试")+COUNTIFS(缺陷明细!$A$2:$A$50000,$B$4,缺陷明细!$G$2:$G$50000,$C49,缺陷明细!$AB$2:$AB$50000,"设计如此",缺陷明细!$J$2:$J$50000,"系统测试")+COUNTIFS(缺陷明细!$A$2:$A$50000,$B$4,缺陷明细!$G$2:$G$50000,$C49,缺陷明细!$AB$2:$AB$50000,"重复Bug",缺陷明细!$J$2:$J$50000,"系统测试")</f>
        <v>0</v>
      </c>
      <c r="S49" s="72">
        <f>COUNTIFS(缺陷明细!$A$2:$A$50000,$B$4,缺陷明细!$G$2:$G$50000,$C49,缺陷明细!$J$2:$J$50000,"系统测试",缺陷明细!$K$2:$K$50000,"致命",缺陷明细!$AB$2:$AB$50000,"&lt;&gt;丢弃",缺陷明细!$AB$2:$AB$50000,"&lt;&gt;设计如此",缺陷明细!$AB$2:$AB$50000,"&lt;&gt;重复Bug")+COUNTIFS(缺陷明细!$A$2:$A$50000,$B$4,缺陷明细!$G$2:$G$50000,$C49,缺陷明细!$J$2:$J$50000,"系统测试",缺陷明细!$K$2:$K$50000,"严重",缺陷明细!$AB$2:$AB$50000,"&lt;&gt;丢弃",缺陷明细!$AB$2:$AB$50000,"&lt;&gt;设计如此",缺陷明细!$AB$2:$AB$50000,"&lt;&gt;重复Bug")</f>
        <v>0</v>
      </c>
      <c r="T49" s="73">
        <f>COUNTIFS(缺陷明细!$A$2:$A$50000,$B$4,缺陷明细!$G$2:$G$50000,$C49,缺陷明细!$Q$2:$Q$50000,"已关闭",缺陷明细!$J$2:$J$50000,"系统测试",缺陷明细!$K$2:$K$50000,"致命")+COUNTIFS(缺陷明细!$A$2:$A$50000,$B$4,缺陷明细!$G$2:$G$50000,$C49,缺陷明细!$Q$2:$Q$50000,"已关闭",缺陷明细!$J$2:$J$50000,"系统测试",缺陷明细!$K$2:$K$50000,"严重")</f>
        <v>0</v>
      </c>
      <c r="U49" s="74">
        <f>COUNTIFS(缺陷明细!$A$2:$A$50000,$B$4,缺陷明细!$G$2:$G$50000,$C49,缺陷明细!$J$2:$J$50000,"验收测试",缺陷明细!$AB$2:$AB$50000,"&lt;&gt;丢弃",缺陷明细!$AB$2:$AB$50000,"&lt;&gt;设计如此",缺陷明细!$AB$2:$AB$50000,"&lt;&gt;重复Bug")</f>
        <v>0</v>
      </c>
      <c r="V49" s="75">
        <f>COUNTIFS(缺陷明细!$A$2:$A$50000,$B$4,缺陷明细!$G$2:$G$50000,$C49,缺陷明细!$Q$2:$Q$50000,"已关闭",缺陷明细!$J$2:$J$50000,"验收测试")</f>
        <v>0</v>
      </c>
      <c r="W49" s="75">
        <f>COUNTIFS(缺陷明细!$A$2:$A$50000,$B$4,缺陷明细!$G$2:$G$50000,$C49,缺陷明细!$J$2:$J$50000,"验收测试",缺陷明细!$K$2:$K$50000,"致命",缺陷明细!$AB$2:$AB$50000,"&lt;&gt;丢弃",缺陷明细!$AB$2:$AB$50000,"&lt;&gt;设计如此",缺陷明细!$AB$2:$AB$50000,"&lt;&gt;重复Bug")+COUNTIFS(缺陷明细!$A$2:$A$50000,$B$4,缺陷明细!$G$2:$G$50000,$C49,缺陷明细!$J$2:$J$50000,"验收测试",缺陷明细!$K$2:$K$50000,"严重",缺陷明细!$AB$2:$AB$50000,"&lt;&gt;丢弃",缺陷明细!$AB$2:$AB$50000,"&lt;&gt;设计如此",缺陷明细!$AB$2:$AB$50000,"&lt;&gt;重复Bug")</f>
        <v>0</v>
      </c>
      <c r="X49" s="76">
        <f>COUNTIFS(缺陷明细!$A$2:$A$50000,$B$4,缺陷明细!$G$2:$G$50000,$C49,缺陷明细!$Q$2:$Q$50000,"已关闭",缺陷明细!$J$2:$J$50000,"验收测试",缺陷明细!$K$2:$K$50000,"致命")+COUNTIFS(缺陷明细!$A$2:$A$50000,$B$4,缺陷明细!$G$2:$G$50000,$C49,缺陷明细!$Q$2:$Q$50000,"已关闭",缺陷明细!$J$2:$J$50000,"验收测试",缺陷明细!$K$2:$K$50000,"严重")</f>
        <v>0</v>
      </c>
      <c r="Y49" s="70">
        <f>COUNTIFS(缺陷明细!$A$2:$A$50000,$B$4,缺陷明细!$G$2:$G$50000,$C49,缺陷明细!$J$2:$J$50000,"运维测试",缺陷明细!$AB$2:$AB$50000,"&lt;&gt;丢弃",缺陷明细!$AB$2:$AB$50000,"&lt;&gt;设计如此",缺陷明细!$AB$2:$AB$50000,"&lt;&gt;重复Bug")</f>
        <v>0</v>
      </c>
      <c r="Z49" s="71">
        <f>COUNTIFS(缺陷明细!$A$2:$A$50000,$B$4,缺陷明细!$G$2:$G$50000,$C49,缺陷明细!$Q$2:$Q$50000,"已关闭",缺陷明细!$J$2:$J$50000,"运维测试")</f>
        <v>0</v>
      </c>
      <c r="AA49" s="72">
        <f>COUNTIFS(缺陷明细!$A$2:$A$50000,$B$4,缺陷明细!$G$2:$G$50000,$C49,缺陷明细!$J$2:$J$50000,"运维测试",缺陷明细!$K$2:$K$50000,"致命",缺陷明细!$AB$2:$AB$50000,"&lt;&gt;丢弃",缺陷明细!$AB$2:$AB$50000,"&lt;&gt;设计如此",缺陷明细!$AB$2:$AB$50000,"&lt;&gt;重复Bug")+COUNTIFS(缺陷明细!$A$2:$A$50000,$B$4,缺陷明细!$G$2:$G$50000,$C49,缺陷明细!$J$2:$J$50000,"运维测试",缺陷明细!$K$2:$K$50000,"严重",缺陷明细!$AB$2:$AB$50000,"&lt;&gt;丢弃",缺陷明细!$AB$2:$AB$50000,"&lt;&gt;设计如此",缺陷明细!$AB$2:$AB$50000,"&lt;&gt;重复Bug")</f>
        <v>0</v>
      </c>
      <c r="AB49" s="73">
        <f>COUNTIFS(缺陷明细!$A$2:$A$50000,$B$4,缺陷明细!$G$2:$G$50000,$C49,缺陷明细!$Q$2:$Q$50000,"已关闭",缺陷明细!$J$2:$J$50000,"运维测试",缺陷明细!$K$2:$K$50000,"致命")+COUNTIFS(缺陷明细!$A$2:$A$50000,$B$4,缺陷明细!$G$2:$G$50000,$C49,缺陷明细!$Q$2:$Q$50000,"已关闭",缺陷明细!$J$2:$J$50000,"运维测试",缺陷明细!$K$2:$K$50000,"严重")</f>
        <v>0</v>
      </c>
      <c r="AC49" s="68">
        <f t="shared" si="0"/>
        <v>0</v>
      </c>
      <c r="AD49" s="60">
        <f t="shared" si="0"/>
        <v>0</v>
      </c>
      <c r="AE49" s="60">
        <f t="shared" si="1"/>
        <v>0</v>
      </c>
      <c r="AF49" s="60">
        <f t="shared" si="1"/>
        <v>0</v>
      </c>
      <c r="AG49" s="60">
        <f t="shared" si="2"/>
        <v>0</v>
      </c>
      <c r="AH49" s="60">
        <f t="shared" si="2"/>
        <v>0</v>
      </c>
      <c r="AI49" s="60">
        <f t="shared" si="3"/>
        <v>0</v>
      </c>
      <c r="AJ49" s="61">
        <f t="shared" si="3"/>
        <v>0</v>
      </c>
      <c r="AK49" s="144"/>
    </row>
    <row r="50" spans="1:37">
      <c r="A50">
        <v>46</v>
      </c>
      <c r="B50" s="57"/>
      <c r="C50" s="58"/>
      <c r="D50" s="84"/>
      <c r="E50" s="82"/>
      <c r="F50" s="158"/>
      <c r="G50" s="159"/>
      <c r="H50" s="281">
        <f>COUNTIFS(缺陷明细!$A$2:$A$50000,$B$4,缺陷明细!$G$2:$G$50000,$C50,缺陷明细!$J$2:$J$50000,"评审",缺陷明细!$AB$2:$AB$50000,"&lt;&gt;丢弃",缺陷明细!$AB$2:$AB$50000,"&lt;&gt;设计如此",缺陷明细!$AB$2:$AB$50000,"&lt;&gt;重复Bug")</f>
        <v>0</v>
      </c>
      <c r="I50" s="154">
        <f>COUNTIFS(缺陷明细!$A$2:$A$50000,$B$4,缺陷明细!$G$2:$G$50000,$C50,缺陷明细!$Q$2:$Q$50000,"已关闭",缺陷明细!$J$2:$J$50000,"评审")</f>
        <v>0</v>
      </c>
      <c r="J50" s="154">
        <f>COUNTIFS(缺陷明细!$A$2:$A$50000,$B$4,缺陷明细!$G$2:$G$50000,$C50,缺陷明细!$J$2:$J$50000,"单元测试",缺陷明细!$AB$2:$AB$50000,"&lt;&gt;丢弃",缺陷明细!$AB$2:$AB$50000,"&lt;&gt;设计如此",缺陷明细!$AB$2:$AB$50000,"&lt;&gt;重复Bug")</f>
        <v>0</v>
      </c>
      <c r="K50" s="155">
        <f>COUNTIFS(缺陷明细!$A$2:$A$50000,$B$4,缺陷明细!$G$2:$G$50000,$C50,缺陷明细!$Q$2:$Q$50000,"已关闭",缺陷明细!$J$2:$J$50000,"单元测试")</f>
        <v>0</v>
      </c>
      <c r="L50" s="156"/>
      <c r="M50" s="157"/>
      <c r="N50" s="72">
        <f>COUNTIFS(缺陷明细!$A$2:$A$50000,$B$4,缺陷明细!$G$2:$G$50000,$C50,缺陷明细!$J$2:$J$50000,"系统测试案例评审",缺陷明细!$AB$2:$AB$50000,"&lt;&gt;丢弃",缺陷明细!$AB$2:$AB$50000,"&lt;&gt;设计如此",缺陷明细!$AB$2:$AB$50000,"&lt;&gt;重复Bug")</f>
        <v>0</v>
      </c>
      <c r="O50" s="72">
        <f>COUNTIFS(缺陷明细!$A$2:$A$50000,$B$4,缺陷明细!$G$2:$G$50000,$C50,缺陷明细!$Q$2:$Q$50000,"已关闭",缺陷明细!$J$2:$J$50000,"系统测试案例评审")</f>
        <v>0</v>
      </c>
      <c r="P50" s="72">
        <f>COUNTIFS(缺陷明细!$A$2:$A$50000,$B$4,缺陷明细!$G$2:$G$50000,$C50,缺陷明细!$J$2:$J$50000,"系统测试",缺陷明细!$AB$2:$AB$50000,"&lt;&gt;丢弃",缺陷明细!$AB$2:$AB$50000,"&lt;&gt;设计如此",缺陷明细!$AB$2:$AB$50000,"&lt;&gt;重复Bug")</f>
        <v>0</v>
      </c>
      <c r="Q50" s="72">
        <f>COUNTIFS(缺陷明细!$A$2:$A$50000,$B$4,缺陷明细!$G$2:$G$50000,$C50,缺陷明细!$Q$2:$Q$50000,"已关闭",缺陷明细!$J$2:$J$50000,"系统测试")</f>
        <v>0</v>
      </c>
      <c r="R50" s="296">
        <f>COUNTIFS(缺陷明细!$A$2:$A$50000,$B$4,缺陷明细!$G$2:$G$50000,$C50,缺陷明细!$AB$2:$AB$50000,"丢弃",缺陷明细!$J$2:$J$50000,"系统测试")+COUNTIFS(缺陷明细!$A$2:$A$50000,$B$4,缺陷明细!$G$2:$G$50000,$C50,缺陷明细!$AB$2:$AB$50000,"设计如此",缺陷明细!$J$2:$J$50000,"系统测试")+COUNTIFS(缺陷明细!$A$2:$A$50000,$B$4,缺陷明细!$G$2:$G$50000,$C50,缺陷明细!$AB$2:$AB$50000,"重复Bug",缺陷明细!$J$2:$J$50000,"系统测试")</f>
        <v>0</v>
      </c>
      <c r="S50" s="72">
        <f>COUNTIFS(缺陷明细!$A$2:$A$50000,$B$4,缺陷明细!$G$2:$G$50000,$C50,缺陷明细!$J$2:$J$50000,"系统测试",缺陷明细!$K$2:$K$50000,"致命",缺陷明细!$AB$2:$AB$50000,"&lt;&gt;丢弃",缺陷明细!$AB$2:$AB$50000,"&lt;&gt;设计如此",缺陷明细!$AB$2:$AB$50000,"&lt;&gt;重复Bug")+COUNTIFS(缺陷明细!$A$2:$A$50000,$B$4,缺陷明细!$G$2:$G$50000,$C50,缺陷明细!$J$2:$J$50000,"系统测试",缺陷明细!$K$2:$K$50000,"严重",缺陷明细!$AB$2:$AB$50000,"&lt;&gt;丢弃",缺陷明细!$AB$2:$AB$50000,"&lt;&gt;设计如此",缺陷明细!$AB$2:$AB$50000,"&lt;&gt;重复Bug")</f>
        <v>0</v>
      </c>
      <c r="T50" s="73">
        <f>COUNTIFS(缺陷明细!$A$2:$A$50000,$B$4,缺陷明细!$G$2:$G$50000,$C50,缺陷明细!$Q$2:$Q$50000,"已关闭",缺陷明细!$J$2:$J$50000,"系统测试",缺陷明细!$K$2:$K$50000,"致命")+COUNTIFS(缺陷明细!$A$2:$A$50000,$B$4,缺陷明细!$G$2:$G$50000,$C50,缺陷明细!$Q$2:$Q$50000,"已关闭",缺陷明细!$J$2:$J$50000,"系统测试",缺陷明细!$K$2:$K$50000,"严重")</f>
        <v>0</v>
      </c>
      <c r="U50" s="74">
        <f>COUNTIFS(缺陷明细!$A$2:$A$50000,$B$4,缺陷明细!$G$2:$G$50000,$C50,缺陷明细!$J$2:$J$50000,"验收测试",缺陷明细!$AB$2:$AB$50000,"&lt;&gt;丢弃",缺陷明细!$AB$2:$AB$50000,"&lt;&gt;设计如此",缺陷明细!$AB$2:$AB$50000,"&lt;&gt;重复Bug")</f>
        <v>0</v>
      </c>
      <c r="V50" s="75">
        <f>COUNTIFS(缺陷明细!$A$2:$A$50000,$B$4,缺陷明细!$G$2:$G$50000,$C50,缺陷明细!$Q$2:$Q$50000,"已关闭",缺陷明细!$J$2:$J$50000,"验收测试")</f>
        <v>0</v>
      </c>
      <c r="W50" s="75">
        <f>COUNTIFS(缺陷明细!$A$2:$A$50000,$B$4,缺陷明细!$G$2:$G$50000,$C50,缺陷明细!$J$2:$J$50000,"验收测试",缺陷明细!$K$2:$K$50000,"致命",缺陷明细!$AB$2:$AB$50000,"&lt;&gt;丢弃",缺陷明细!$AB$2:$AB$50000,"&lt;&gt;设计如此",缺陷明细!$AB$2:$AB$50000,"&lt;&gt;重复Bug")+COUNTIFS(缺陷明细!$A$2:$A$50000,$B$4,缺陷明细!$G$2:$G$50000,$C50,缺陷明细!$J$2:$J$50000,"验收测试",缺陷明细!$K$2:$K$50000,"严重",缺陷明细!$AB$2:$AB$50000,"&lt;&gt;丢弃",缺陷明细!$AB$2:$AB$50000,"&lt;&gt;设计如此",缺陷明细!$AB$2:$AB$50000,"&lt;&gt;重复Bug")</f>
        <v>0</v>
      </c>
      <c r="X50" s="76">
        <f>COUNTIFS(缺陷明细!$A$2:$A$50000,$B$4,缺陷明细!$G$2:$G$50000,$C50,缺陷明细!$Q$2:$Q$50000,"已关闭",缺陷明细!$J$2:$J$50000,"验收测试",缺陷明细!$K$2:$K$50000,"致命")+COUNTIFS(缺陷明细!$A$2:$A$50000,$B$4,缺陷明细!$G$2:$G$50000,$C50,缺陷明细!$Q$2:$Q$50000,"已关闭",缺陷明细!$J$2:$J$50000,"验收测试",缺陷明细!$K$2:$K$50000,"严重")</f>
        <v>0</v>
      </c>
      <c r="Y50" s="70">
        <f>COUNTIFS(缺陷明细!$A$2:$A$50000,$B$4,缺陷明细!$G$2:$G$50000,$C50,缺陷明细!$J$2:$J$50000,"运维测试",缺陷明细!$AB$2:$AB$50000,"&lt;&gt;丢弃",缺陷明细!$AB$2:$AB$50000,"&lt;&gt;设计如此",缺陷明细!$AB$2:$AB$50000,"&lt;&gt;重复Bug")</f>
        <v>0</v>
      </c>
      <c r="Z50" s="71">
        <f>COUNTIFS(缺陷明细!$A$2:$A$50000,$B$4,缺陷明细!$G$2:$G$50000,$C50,缺陷明细!$Q$2:$Q$50000,"已关闭",缺陷明细!$J$2:$J$50000,"运维测试")</f>
        <v>0</v>
      </c>
      <c r="AA50" s="72">
        <f>COUNTIFS(缺陷明细!$A$2:$A$50000,$B$4,缺陷明细!$G$2:$G$50000,$C50,缺陷明细!$J$2:$J$50000,"运维测试",缺陷明细!$K$2:$K$50000,"致命",缺陷明细!$AB$2:$AB$50000,"&lt;&gt;丢弃",缺陷明细!$AB$2:$AB$50000,"&lt;&gt;设计如此",缺陷明细!$AB$2:$AB$50000,"&lt;&gt;重复Bug")+COUNTIFS(缺陷明细!$A$2:$A$50000,$B$4,缺陷明细!$G$2:$G$50000,$C50,缺陷明细!$J$2:$J$50000,"运维测试",缺陷明细!$K$2:$K$50000,"严重",缺陷明细!$AB$2:$AB$50000,"&lt;&gt;丢弃",缺陷明细!$AB$2:$AB$50000,"&lt;&gt;设计如此",缺陷明细!$AB$2:$AB$50000,"&lt;&gt;重复Bug")</f>
        <v>0</v>
      </c>
      <c r="AB50" s="73">
        <f>COUNTIFS(缺陷明细!$A$2:$A$50000,$B$4,缺陷明细!$G$2:$G$50000,$C50,缺陷明细!$Q$2:$Q$50000,"已关闭",缺陷明细!$J$2:$J$50000,"运维测试",缺陷明细!$K$2:$K$50000,"致命")+COUNTIFS(缺陷明细!$A$2:$A$50000,$B$4,缺陷明细!$G$2:$G$50000,$C50,缺陷明细!$Q$2:$Q$50000,"已关闭",缺陷明细!$J$2:$J$50000,"运维测试",缺陷明细!$K$2:$K$50000,"严重")</f>
        <v>0</v>
      </c>
      <c r="AC50" s="68">
        <f t="shared" si="0"/>
        <v>0</v>
      </c>
      <c r="AD50" s="60">
        <f t="shared" si="0"/>
        <v>0</v>
      </c>
      <c r="AE50" s="60">
        <f t="shared" si="1"/>
        <v>0</v>
      </c>
      <c r="AF50" s="60">
        <f t="shared" si="1"/>
        <v>0</v>
      </c>
      <c r="AG50" s="60">
        <f t="shared" si="2"/>
        <v>0</v>
      </c>
      <c r="AH50" s="60">
        <f t="shared" si="2"/>
        <v>0</v>
      </c>
      <c r="AI50" s="60">
        <f t="shared" si="3"/>
        <v>0</v>
      </c>
      <c r="AJ50" s="61">
        <f t="shared" si="3"/>
        <v>0</v>
      </c>
      <c r="AK50" s="144"/>
    </row>
    <row r="51" spans="1:37">
      <c r="A51">
        <v>47</v>
      </c>
      <c r="B51" s="57"/>
      <c r="C51" s="58"/>
      <c r="D51" s="84"/>
      <c r="E51" s="82"/>
      <c r="F51" s="158"/>
      <c r="G51" s="159"/>
      <c r="H51" s="281">
        <f>COUNTIFS(缺陷明细!$A$2:$A$50000,$B$4,缺陷明细!$G$2:$G$50000,$C51,缺陷明细!$J$2:$J$50000,"评审",缺陷明细!$AB$2:$AB$50000,"&lt;&gt;丢弃",缺陷明细!$AB$2:$AB$50000,"&lt;&gt;设计如此",缺陷明细!$AB$2:$AB$50000,"&lt;&gt;重复Bug")</f>
        <v>0</v>
      </c>
      <c r="I51" s="154">
        <f>COUNTIFS(缺陷明细!$A$2:$A$50000,$B$4,缺陷明细!$G$2:$G$50000,$C51,缺陷明细!$Q$2:$Q$50000,"已关闭",缺陷明细!$J$2:$J$50000,"评审")</f>
        <v>0</v>
      </c>
      <c r="J51" s="154">
        <f>COUNTIFS(缺陷明细!$A$2:$A$50000,$B$4,缺陷明细!$G$2:$G$50000,$C51,缺陷明细!$J$2:$J$50000,"单元测试",缺陷明细!$AB$2:$AB$50000,"&lt;&gt;丢弃",缺陷明细!$AB$2:$AB$50000,"&lt;&gt;设计如此",缺陷明细!$AB$2:$AB$50000,"&lt;&gt;重复Bug")</f>
        <v>0</v>
      </c>
      <c r="K51" s="155">
        <f>COUNTIFS(缺陷明细!$A$2:$A$50000,$B$4,缺陷明细!$G$2:$G$50000,$C51,缺陷明细!$Q$2:$Q$50000,"已关闭",缺陷明细!$J$2:$J$50000,"单元测试")</f>
        <v>0</v>
      </c>
      <c r="L51" s="156"/>
      <c r="M51" s="157"/>
      <c r="N51" s="72">
        <f>COUNTIFS(缺陷明细!$A$2:$A$50000,$B$4,缺陷明细!$G$2:$G$50000,$C51,缺陷明细!$J$2:$J$50000,"系统测试案例评审",缺陷明细!$AB$2:$AB$50000,"&lt;&gt;丢弃",缺陷明细!$AB$2:$AB$50000,"&lt;&gt;设计如此",缺陷明细!$AB$2:$AB$50000,"&lt;&gt;重复Bug")</f>
        <v>0</v>
      </c>
      <c r="O51" s="72">
        <f>COUNTIFS(缺陷明细!$A$2:$A$50000,$B$4,缺陷明细!$G$2:$G$50000,$C51,缺陷明细!$Q$2:$Q$50000,"已关闭",缺陷明细!$J$2:$J$50000,"系统测试案例评审")</f>
        <v>0</v>
      </c>
      <c r="P51" s="72">
        <f>COUNTIFS(缺陷明细!$A$2:$A$50000,$B$4,缺陷明细!$G$2:$G$50000,$C51,缺陷明细!$J$2:$J$50000,"系统测试",缺陷明细!$AB$2:$AB$50000,"&lt;&gt;丢弃",缺陷明细!$AB$2:$AB$50000,"&lt;&gt;设计如此",缺陷明细!$AB$2:$AB$50000,"&lt;&gt;重复Bug")</f>
        <v>0</v>
      </c>
      <c r="Q51" s="72">
        <f>COUNTIFS(缺陷明细!$A$2:$A$50000,$B$4,缺陷明细!$G$2:$G$50000,$C51,缺陷明细!$Q$2:$Q$50000,"已关闭",缺陷明细!$J$2:$J$50000,"系统测试")</f>
        <v>0</v>
      </c>
      <c r="R51" s="296">
        <f>COUNTIFS(缺陷明细!$A$2:$A$50000,$B$4,缺陷明细!$G$2:$G$50000,$C51,缺陷明细!$AB$2:$AB$50000,"丢弃",缺陷明细!$J$2:$J$50000,"系统测试")+COUNTIFS(缺陷明细!$A$2:$A$50000,$B$4,缺陷明细!$G$2:$G$50000,$C51,缺陷明细!$AB$2:$AB$50000,"设计如此",缺陷明细!$J$2:$J$50000,"系统测试")+COUNTIFS(缺陷明细!$A$2:$A$50000,$B$4,缺陷明细!$G$2:$G$50000,$C51,缺陷明细!$AB$2:$AB$50000,"重复Bug",缺陷明细!$J$2:$J$50000,"系统测试")</f>
        <v>0</v>
      </c>
      <c r="S51" s="72">
        <f>COUNTIFS(缺陷明细!$A$2:$A$50000,$B$4,缺陷明细!$G$2:$G$50000,$C51,缺陷明细!$J$2:$J$50000,"系统测试",缺陷明细!$K$2:$K$50000,"致命",缺陷明细!$AB$2:$AB$50000,"&lt;&gt;丢弃",缺陷明细!$AB$2:$AB$50000,"&lt;&gt;设计如此",缺陷明细!$AB$2:$AB$50000,"&lt;&gt;重复Bug")+COUNTIFS(缺陷明细!$A$2:$A$50000,$B$4,缺陷明细!$G$2:$G$50000,$C51,缺陷明细!$J$2:$J$50000,"系统测试",缺陷明细!$K$2:$K$50000,"严重",缺陷明细!$AB$2:$AB$50000,"&lt;&gt;丢弃",缺陷明细!$AB$2:$AB$50000,"&lt;&gt;设计如此",缺陷明细!$AB$2:$AB$50000,"&lt;&gt;重复Bug")</f>
        <v>0</v>
      </c>
      <c r="T51" s="73">
        <f>COUNTIFS(缺陷明细!$A$2:$A$50000,$B$4,缺陷明细!$G$2:$G$50000,$C51,缺陷明细!$Q$2:$Q$50000,"已关闭",缺陷明细!$J$2:$J$50000,"系统测试",缺陷明细!$K$2:$K$50000,"致命")+COUNTIFS(缺陷明细!$A$2:$A$50000,$B$4,缺陷明细!$G$2:$G$50000,$C51,缺陷明细!$Q$2:$Q$50000,"已关闭",缺陷明细!$J$2:$J$50000,"系统测试",缺陷明细!$K$2:$K$50000,"严重")</f>
        <v>0</v>
      </c>
      <c r="U51" s="74">
        <f>COUNTIFS(缺陷明细!$A$2:$A$50000,$B$4,缺陷明细!$G$2:$G$50000,$C51,缺陷明细!$J$2:$J$50000,"验收测试",缺陷明细!$AB$2:$AB$50000,"&lt;&gt;丢弃",缺陷明细!$AB$2:$AB$50000,"&lt;&gt;设计如此",缺陷明细!$AB$2:$AB$50000,"&lt;&gt;重复Bug")</f>
        <v>0</v>
      </c>
      <c r="V51" s="75">
        <f>COUNTIFS(缺陷明细!$A$2:$A$50000,$B$4,缺陷明细!$G$2:$G$50000,$C51,缺陷明细!$Q$2:$Q$50000,"已关闭",缺陷明细!$J$2:$J$50000,"验收测试")</f>
        <v>0</v>
      </c>
      <c r="W51" s="75">
        <f>COUNTIFS(缺陷明细!$A$2:$A$50000,$B$4,缺陷明细!$G$2:$G$50000,$C51,缺陷明细!$J$2:$J$50000,"验收测试",缺陷明细!$K$2:$K$50000,"致命",缺陷明细!$AB$2:$AB$50000,"&lt;&gt;丢弃",缺陷明细!$AB$2:$AB$50000,"&lt;&gt;设计如此",缺陷明细!$AB$2:$AB$50000,"&lt;&gt;重复Bug")+COUNTIFS(缺陷明细!$A$2:$A$50000,$B$4,缺陷明细!$G$2:$G$50000,$C51,缺陷明细!$J$2:$J$50000,"验收测试",缺陷明细!$K$2:$K$50000,"严重",缺陷明细!$AB$2:$AB$50000,"&lt;&gt;丢弃",缺陷明细!$AB$2:$AB$50000,"&lt;&gt;设计如此",缺陷明细!$AB$2:$AB$50000,"&lt;&gt;重复Bug")</f>
        <v>0</v>
      </c>
      <c r="X51" s="76">
        <f>COUNTIFS(缺陷明细!$A$2:$A$50000,$B$4,缺陷明细!$G$2:$G$50000,$C51,缺陷明细!$Q$2:$Q$50000,"已关闭",缺陷明细!$J$2:$J$50000,"验收测试",缺陷明细!$K$2:$K$50000,"致命")+COUNTIFS(缺陷明细!$A$2:$A$50000,$B$4,缺陷明细!$G$2:$G$50000,$C51,缺陷明细!$Q$2:$Q$50000,"已关闭",缺陷明细!$J$2:$J$50000,"验收测试",缺陷明细!$K$2:$K$50000,"严重")</f>
        <v>0</v>
      </c>
      <c r="Y51" s="70">
        <f>COUNTIFS(缺陷明细!$A$2:$A$50000,$B$4,缺陷明细!$G$2:$G$50000,$C51,缺陷明细!$J$2:$J$50000,"运维测试",缺陷明细!$AB$2:$AB$50000,"&lt;&gt;丢弃",缺陷明细!$AB$2:$AB$50000,"&lt;&gt;设计如此",缺陷明细!$AB$2:$AB$50000,"&lt;&gt;重复Bug")</f>
        <v>0</v>
      </c>
      <c r="Z51" s="71">
        <f>COUNTIFS(缺陷明细!$A$2:$A$50000,$B$4,缺陷明细!$G$2:$G$50000,$C51,缺陷明细!$Q$2:$Q$50000,"已关闭",缺陷明细!$J$2:$J$50000,"运维测试")</f>
        <v>0</v>
      </c>
      <c r="AA51" s="72">
        <f>COUNTIFS(缺陷明细!$A$2:$A$50000,$B$4,缺陷明细!$G$2:$G$50000,$C51,缺陷明细!$J$2:$J$50000,"运维测试",缺陷明细!$K$2:$K$50000,"致命",缺陷明细!$AB$2:$AB$50000,"&lt;&gt;丢弃",缺陷明细!$AB$2:$AB$50000,"&lt;&gt;设计如此",缺陷明细!$AB$2:$AB$50000,"&lt;&gt;重复Bug")+COUNTIFS(缺陷明细!$A$2:$A$50000,$B$4,缺陷明细!$G$2:$G$50000,$C51,缺陷明细!$J$2:$J$50000,"运维测试",缺陷明细!$K$2:$K$50000,"严重",缺陷明细!$AB$2:$AB$50000,"&lt;&gt;丢弃",缺陷明细!$AB$2:$AB$50000,"&lt;&gt;设计如此",缺陷明细!$AB$2:$AB$50000,"&lt;&gt;重复Bug")</f>
        <v>0</v>
      </c>
      <c r="AB51" s="73">
        <f>COUNTIFS(缺陷明细!$A$2:$A$50000,$B$4,缺陷明细!$G$2:$G$50000,$C51,缺陷明细!$Q$2:$Q$50000,"已关闭",缺陷明细!$J$2:$J$50000,"运维测试",缺陷明细!$K$2:$K$50000,"致命")+COUNTIFS(缺陷明细!$A$2:$A$50000,$B$4,缺陷明细!$G$2:$G$50000,$C51,缺陷明细!$Q$2:$Q$50000,"已关闭",缺陷明细!$J$2:$J$50000,"运维测试",缺陷明细!$K$2:$K$50000,"严重")</f>
        <v>0</v>
      </c>
      <c r="AC51" s="68">
        <f t="shared" si="0"/>
        <v>0</v>
      </c>
      <c r="AD51" s="60">
        <f t="shared" si="0"/>
        <v>0</v>
      </c>
      <c r="AE51" s="60">
        <f t="shared" si="1"/>
        <v>0</v>
      </c>
      <c r="AF51" s="60">
        <f t="shared" si="1"/>
        <v>0</v>
      </c>
      <c r="AG51" s="60">
        <f t="shared" si="2"/>
        <v>0</v>
      </c>
      <c r="AH51" s="60">
        <f t="shared" si="2"/>
        <v>0</v>
      </c>
      <c r="AI51" s="60">
        <f t="shared" si="3"/>
        <v>0</v>
      </c>
      <c r="AJ51" s="61">
        <f t="shared" si="3"/>
        <v>0</v>
      </c>
      <c r="AK51" s="144"/>
    </row>
    <row r="52" spans="1:37">
      <c r="A52">
        <v>48</v>
      </c>
      <c r="B52" s="57"/>
      <c r="C52" s="58"/>
      <c r="D52" s="84"/>
      <c r="E52" s="82"/>
      <c r="F52" s="158"/>
      <c r="G52" s="159"/>
      <c r="H52" s="281">
        <f>COUNTIFS(缺陷明细!$A$2:$A$50000,$B$4,缺陷明细!$G$2:$G$50000,$C52,缺陷明细!$J$2:$J$50000,"评审",缺陷明细!$AB$2:$AB$50000,"&lt;&gt;丢弃",缺陷明细!$AB$2:$AB$50000,"&lt;&gt;设计如此",缺陷明细!$AB$2:$AB$50000,"&lt;&gt;重复Bug")</f>
        <v>0</v>
      </c>
      <c r="I52" s="154">
        <f>COUNTIFS(缺陷明细!$A$2:$A$50000,$B$4,缺陷明细!$G$2:$G$50000,$C52,缺陷明细!$Q$2:$Q$50000,"已关闭",缺陷明细!$J$2:$J$50000,"评审")</f>
        <v>0</v>
      </c>
      <c r="J52" s="154">
        <f>COUNTIFS(缺陷明细!$A$2:$A$50000,$B$4,缺陷明细!$G$2:$G$50000,$C52,缺陷明细!$J$2:$J$50000,"单元测试",缺陷明细!$AB$2:$AB$50000,"&lt;&gt;丢弃",缺陷明细!$AB$2:$AB$50000,"&lt;&gt;设计如此",缺陷明细!$AB$2:$AB$50000,"&lt;&gt;重复Bug")</f>
        <v>0</v>
      </c>
      <c r="K52" s="155">
        <f>COUNTIFS(缺陷明细!$A$2:$A$50000,$B$4,缺陷明细!$G$2:$G$50000,$C52,缺陷明细!$Q$2:$Q$50000,"已关闭",缺陷明细!$J$2:$J$50000,"单元测试")</f>
        <v>0</v>
      </c>
      <c r="L52" s="156"/>
      <c r="M52" s="157"/>
      <c r="N52" s="72">
        <f>COUNTIFS(缺陷明细!$A$2:$A$50000,$B$4,缺陷明细!$G$2:$G$50000,$C52,缺陷明细!$J$2:$J$50000,"系统测试案例评审",缺陷明细!$AB$2:$AB$50000,"&lt;&gt;丢弃",缺陷明细!$AB$2:$AB$50000,"&lt;&gt;设计如此",缺陷明细!$AB$2:$AB$50000,"&lt;&gt;重复Bug")</f>
        <v>0</v>
      </c>
      <c r="O52" s="72">
        <f>COUNTIFS(缺陷明细!$A$2:$A$50000,$B$4,缺陷明细!$G$2:$G$50000,$C52,缺陷明细!$Q$2:$Q$50000,"已关闭",缺陷明细!$J$2:$J$50000,"系统测试案例评审")</f>
        <v>0</v>
      </c>
      <c r="P52" s="72">
        <f>COUNTIFS(缺陷明细!$A$2:$A$50000,$B$4,缺陷明细!$G$2:$G$50000,$C52,缺陷明细!$J$2:$J$50000,"系统测试",缺陷明细!$AB$2:$AB$50000,"&lt;&gt;丢弃",缺陷明细!$AB$2:$AB$50000,"&lt;&gt;设计如此",缺陷明细!$AB$2:$AB$50000,"&lt;&gt;重复Bug")</f>
        <v>0</v>
      </c>
      <c r="Q52" s="72">
        <f>COUNTIFS(缺陷明细!$A$2:$A$50000,$B$4,缺陷明细!$G$2:$G$50000,$C52,缺陷明细!$Q$2:$Q$50000,"已关闭",缺陷明细!$J$2:$J$50000,"系统测试")</f>
        <v>0</v>
      </c>
      <c r="R52" s="296">
        <f>COUNTIFS(缺陷明细!$A$2:$A$50000,$B$4,缺陷明细!$G$2:$G$50000,$C52,缺陷明细!$AB$2:$AB$50000,"丢弃",缺陷明细!$J$2:$J$50000,"系统测试")+COUNTIFS(缺陷明细!$A$2:$A$50000,$B$4,缺陷明细!$G$2:$G$50000,$C52,缺陷明细!$AB$2:$AB$50000,"设计如此",缺陷明细!$J$2:$J$50000,"系统测试")+COUNTIFS(缺陷明细!$A$2:$A$50000,$B$4,缺陷明细!$G$2:$G$50000,$C52,缺陷明细!$AB$2:$AB$50000,"重复Bug",缺陷明细!$J$2:$J$50000,"系统测试")</f>
        <v>0</v>
      </c>
      <c r="S52" s="72">
        <f>COUNTIFS(缺陷明细!$A$2:$A$50000,$B$4,缺陷明细!$G$2:$G$50000,$C52,缺陷明细!$J$2:$J$50000,"系统测试",缺陷明细!$K$2:$K$50000,"致命",缺陷明细!$AB$2:$AB$50000,"&lt;&gt;丢弃",缺陷明细!$AB$2:$AB$50000,"&lt;&gt;设计如此",缺陷明细!$AB$2:$AB$50000,"&lt;&gt;重复Bug")+COUNTIFS(缺陷明细!$A$2:$A$50000,$B$4,缺陷明细!$G$2:$G$50000,$C52,缺陷明细!$J$2:$J$50000,"系统测试",缺陷明细!$K$2:$K$50000,"严重",缺陷明细!$AB$2:$AB$50000,"&lt;&gt;丢弃",缺陷明细!$AB$2:$AB$50000,"&lt;&gt;设计如此",缺陷明细!$AB$2:$AB$50000,"&lt;&gt;重复Bug")</f>
        <v>0</v>
      </c>
      <c r="T52" s="73">
        <f>COUNTIFS(缺陷明细!$A$2:$A$50000,$B$4,缺陷明细!$G$2:$G$50000,$C52,缺陷明细!$Q$2:$Q$50000,"已关闭",缺陷明细!$J$2:$J$50000,"系统测试",缺陷明细!$K$2:$K$50000,"致命")+COUNTIFS(缺陷明细!$A$2:$A$50000,$B$4,缺陷明细!$G$2:$G$50000,$C52,缺陷明细!$Q$2:$Q$50000,"已关闭",缺陷明细!$J$2:$J$50000,"系统测试",缺陷明细!$K$2:$K$50000,"严重")</f>
        <v>0</v>
      </c>
      <c r="U52" s="74">
        <f>COUNTIFS(缺陷明细!$A$2:$A$50000,$B$4,缺陷明细!$G$2:$G$50000,$C52,缺陷明细!$J$2:$J$50000,"验收测试",缺陷明细!$AB$2:$AB$50000,"&lt;&gt;丢弃",缺陷明细!$AB$2:$AB$50000,"&lt;&gt;设计如此",缺陷明细!$AB$2:$AB$50000,"&lt;&gt;重复Bug")</f>
        <v>0</v>
      </c>
      <c r="V52" s="75">
        <f>COUNTIFS(缺陷明细!$A$2:$A$50000,$B$4,缺陷明细!$G$2:$G$50000,$C52,缺陷明细!$Q$2:$Q$50000,"已关闭",缺陷明细!$J$2:$J$50000,"验收测试")</f>
        <v>0</v>
      </c>
      <c r="W52" s="75">
        <f>COUNTIFS(缺陷明细!$A$2:$A$50000,$B$4,缺陷明细!$G$2:$G$50000,$C52,缺陷明细!$J$2:$J$50000,"验收测试",缺陷明细!$K$2:$K$50000,"致命",缺陷明细!$AB$2:$AB$50000,"&lt;&gt;丢弃",缺陷明细!$AB$2:$AB$50000,"&lt;&gt;设计如此",缺陷明细!$AB$2:$AB$50000,"&lt;&gt;重复Bug")+COUNTIFS(缺陷明细!$A$2:$A$50000,$B$4,缺陷明细!$G$2:$G$50000,$C52,缺陷明细!$J$2:$J$50000,"验收测试",缺陷明细!$K$2:$K$50000,"严重",缺陷明细!$AB$2:$AB$50000,"&lt;&gt;丢弃",缺陷明细!$AB$2:$AB$50000,"&lt;&gt;设计如此",缺陷明细!$AB$2:$AB$50000,"&lt;&gt;重复Bug")</f>
        <v>0</v>
      </c>
      <c r="X52" s="76">
        <f>COUNTIFS(缺陷明细!$A$2:$A$50000,$B$4,缺陷明细!$G$2:$G$50000,$C52,缺陷明细!$Q$2:$Q$50000,"已关闭",缺陷明细!$J$2:$J$50000,"验收测试",缺陷明细!$K$2:$K$50000,"致命")+COUNTIFS(缺陷明细!$A$2:$A$50000,$B$4,缺陷明细!$G$2:$G$50000,$C52,缺陷明细!$Q$2:$Q$50000,"已关闭",缺陷明细!$J$2:$J$50000,"验收测试",缺陷明细!$K$2:$K$50000,"严重")</f>
        <v>0</v>
      </c>
      <c r="Y52" s="70">
        <f>COUNTIFS(缺陷明细!$A$2:$A$50000,$B$4,缺陷明细!$G$2:$G$50000,$C52,缺陷明细!$J$2:$J$50000,"运维测试",缺陷明细!$AB$2:$AB$50000,"&lt;&gt;丢弃",缺陷明细!$AB$2:$AB$50000,"&lt;&gt;设计如此",缺陷明细!$AB$2:$AB$50000,"&lt;&gt;重复Bug")</f>
        <v>0</v>
      </c>
      <c r="Z52" s="71">
        <f>COUNTIFS(缺陷明细!$A$2:$A$50000,$B$4,缺陷明细!$G$2:$G$50000,$C52,缺陷明细!$Q$2:$Q$50000,"已关闭",缺陷明细!$J$2:$J$50000,"运维测试")</f>
        <v>0</v>
      </c>
      <c r="AA52" s="72">
        <f>COUNTIFS(缺陷明细!$A$2:$A$50000,$B$4,缺陷明细!$G$2:$G$50000,$C52,缺陷明细!$J$2:$J$50000,"运维测试",缺陷明细!$K$2:$K$50000,"致命",缺陷明细!$AB$2:$AB$50000,"&lt;&gt;丢弃",缺陷明细!$AB$2:$AB$50000,"&lt;&gt;设计如此",缺陷明细!$AB$2:$AB$50000,"&lt;&gt;重复Bug")+COUNTIFS(缺陷明细!$A$2:$A$50000,$B$4,缺陷明细!$G$2:$G$50000,$C52,缺陷明细!$J$2:$J$50000,"运维测试",缺陷明细!$K$2:$K$50000,"严重",缺陷明细!$AB$2:$AB$50000,"&lt;&gt;丢弃",缺陷明细!$AB$2:$AB$50000,"&lt;&gt;设计如此",缺陷明细!$AB$2:$AB$50000,"&lt;&gt;重复Bug")</f>
        <v>0</v>
      </c>
      <c r="AB52" s="73">
        <f>COUNTIFS(缺陷明细!$A$2:$A$50000,$B$4,缺陷明细!$G$2:$G$50000,$C52,缺陷明细!$Q$2:$Q$50000,"已关闭",缺陷明细!$J$2:$J$50000,"运维测试",缺陷明细!$K$2:$K$50000,"致命")+COUNTIFS(缺陷明细!$A$2:$A$50000,$B$4,缺陷明细!$G$2:$G$50000,$C52,缺陷明细!$Q$2:$Q$50000,"已关闭",缺陷明细!$J$2:$J$50000,"运维测试",缺陷明细!$K$2:$K$50000,"严重")</f>
        <v>0</v>
      </c>
      <c r="AC52" s="68">
        <f t="shared" si="0"/>
        <v>0</v>
      </c>
      <c r="AD52" s="60">
        <f t="shared" si="0"/>
        <v>0</v>
      </c>
      <c r="AE52" s="60">
        <f t="shared" si="1"/>
        <v>0</v>
      </c>
      <c r="AF52" s="60">
        <f t="shared" si="1"/>
        <v>0</v>
      </c>
      <c r="AG52" s="60">
        <f t="shared" si="2"/>
        <v>0</v>
      </c>
      <c r="AH52" s="60">
        <f t="shared" si="2"/>
        <v>0</v>
      </c>
      <c r="AI52" s="60">
        <f t="shared" si="3"/>
        <v>0</v>
      </c>
      <c r="AJ52" s="61">
        <f t="shared" si="3"/>
        <v>0</v>
      </c>
      <c r="AK52" s="144"/>
    </row>
    <row r="53" spans="1:37">
      <c r="A53">
        <v>49</v>
      </c>
      <c r="B53" s="57"/>
      <c r="C53" s="58"/>
      <c r="D53" s="84"/>
      <c r="E53" s="82"/>
      <c r="F53" s="158"/>
      <c r="G53" s="159"/>
      <c r="H53" s="281">
        <f>COUNTIFS(缺陷明细!$A$2:$A$50000,$B$4,缺陷明细!$G$2:$G$50000,$C53,缺陷明细!$J$2:$J$50000,"评审",缺陷明细!$AB$2:$AB$50000,"&lt;&gt;丢弃",缺陷明细!$AB$2:$AB$50000,"&lt;&gt;设计如此",缺陷明细!$AB$2:$AB$50000,"&lt;&gt;重复Bug")</f>
        <v>0</v>
      </c>
      <c r="I53" s="154">
        <f>COUNTIFS(缺陷明细!$A$2:$A$50000,$B$4,缺陷明细!$G$2:$G$50000,$C53,缺陷明细!$Q$2:$Q$50000,"已关闭",缺陷明细!$J$2:$J$50000,"评审")</f>
        <v>0</v>
      </c>
      <c r="J53" s="154">
        <f>COUNTIFS(缺陷明细!$A$2:$A$50000,$B$4,缺陷明细!$G$2:$G$50000,$C53,缺陷明细!$J$2:$J$50000,"单元测试",缺陷明细!$AB$2:$AB$50000,"&lt;&gt;丢弃",缺陷明细!$AB$2:$AB$50000,"&lt;&gt;设计如此",缺陷明细!$AB$2:$AB$50000,"&lt;&gt;重复Bug")</f>
        <v>0</v>
      </c>
      <c r="K53" s="155">
        <f>COUNTIFS(缺陷明细!$A$2:$A$50000,$B$4,缺陷明细!$G$2:$G$50000,$C53,缺陷明细!$Q$2:$Q$50000,"已关闭",缺陷明细!$J$2:$J$50000,"单元测试")</f>
        <v>0</v>
      </c>
      <c r="L53" s="156"/>
      <c r="M53" s="157"/>
      <c r="N53" s="72">
        <f>COUNTIFS(缺陷明细!$A$2:$A$50000,$B$4,缺陷明细!$G$2:$G$50000,$C53,缺陷明细!$J$2:$J$50000,"系统测试案例评审",缺陷明细!$AB$2:$AB$50000,"&lt;&gt;丢弃",缺陷明细!$AB$2:$AB$50000,"&lt;&gt;设计如此",缺陷明细!$AB$2:$AB$50000,"&lt;&gt;重复Bug")</f>
        <v>0</v>
      </c>
      <c r="O53" s="72">
        <f>COUNTIFS(缺陷明细!$A$2:$A$50000,$B$4,缺陷明细!$G$2:$G$50000,$C53,缺陷明细!$Q$2:$Q$50000,"已关闭",缺陷明细!$J$2:$J$50000,"系统测试案例评审")</f>
        <v>0</v>
      </c>
      <c r="P53" s="72">
        <f>COUNTIFS(缺陷明细!$A$2:$A$50000,$B$4,缺陷明细!$G$2:$G$50000,$C53,缺陷明细!$J$2:$J$50000,"系统测试",缺陷明细!$AB$2:$AB$50000,"&lt;&gt;丢弃",缺陷明细!$AB$2:$AB$50000,"&lt;&gt;设计如此",缺陷明细!$AB$2:$AB$50000,"&lt;&gt;重复Bug")</f>
        <v>0</v>
      </c>
      <c r="Q53" s="72">
        <f>COUNTIFS(缺陷明细!$A$2:$A$50000,$B$4,缺陷明细!$G$2:$G$50000,$C53,缺陷明细!$Q$2:$Q$50000,"已关闭",缺陷明细!$J$2:$J$50000,"系统测试")</f>
        <v>0</v>
      </c>
      <c r="R53" s="296">
        <f>COUNTIFS(缺陷明细!$A$2:$A$50000,$B$4,缺陷明细!$G$2:$G$50000,$C53,缺陷明细!$AB$2:$AB$50000,"丢弃",缺陷明细!$J$2:$J$50000,"系统测试")+COUNTIFS(缺陷明细!$A$2:$A$50000,$B$4,缺陷明细!$G$2:$G$50000,$C53,缺陷明细!$AB$2:$AB$50000,"设计如此",缺陷明细!$J$2:$J$50000,"系统测试")+COUNTIFS(缺陷明细!$A$2:$A$50000,$B$4,缺陷明细!$G$2:$G$50000,$C53,缺陷明细!$AB$2:$AB$50000,"重复Bug",缺陷明细!$J$2:$J$50000,"系统测试")</f>
        <v>0</v>
      </c>
      <c r="S53" s="72">
        <f>COUNTIFS(缺陷明细!$A$2:$A$50000,$B$4,缺陷明细!$G$2:$G$50000,$C53,缺陷明细!$J$2:$J$50000,"系统测试",缺陷明细!$K$2:$K$50000,"致命",缺陷明细!$AB$2:$AB$50000,"&lt;&gt;丢弃",缺陷明细!$AB$2:$AB$50000,"&lt;&gt;设计如此",缺陷明细!$AB$2:$AB$50000,"&lt;&gt;重复Bug")+COUNTIFS(缺陷明细!$A$2:$A$50000,$B$4,缺陷明细!$G$2:$G$50000,$C53,缺陷明细!$J$2:$J$50000,"系统测试",缺陷明细!$K$2:$K$50000,"严重",缺陷明细!$AB$2:$AB$50000,"&lt;&gt;丢弃",缺陷明细!$AB$2:$AB$50000,"&lt;&gt;设计如此",缺陷明细!$AB$2:$AB$50000,"&lt;&gt;重复Bug")</f>
        <v>0</v>
      </c>
      <c r="T53" s="73">
        <f>COUNTIFS(缺陷明细!$A$2:$A$50000,$B$4,缺陷明细!$G$2:$G$50000,$C53,缺陷明细!$Q$2:$Q$50000,"已关闭",缺陷明细!$J$2:$J$50000,"系统测试",缺陷明细!$K$2:$K$50000,"致命")+COUNTIFS(缺陷明细!$A$2:$A$50000,$B$4,缺陷明细!$G$2:$G$50000,$C53,缺陷明细!$Q$2:$Q$50000,"已关闭",缺陷明细!$J$2:$J$50000,"系统测试",缺陷明细!$K$2:$K$50000,"严重")</f>
        <v>0</v>
      </c>
      <c r="U53" s="74">
        <f>COUNTIFS(缺陷明细!$A$2:$A$50000,$B$4,缺陷明细!$G$2:$G$50000,$C53,缺陷明细!$J$2:$J$50000,"验收测试",缺陷明细!$AB$2:$AB$50000,"&lt;&gt;丢弃",缺陷明细!$AB$2:$AB$50000,"&lt;&gt;设计如此",缺陷明细!$AB$2:$AB$50000,"&lt;&gt;重复Bug")</f>
        <v>0</v>
      </c>
      <c r="V53" s="75">
        <f>COUNTIFS(缺陷明细!$A$2:$A$50000,$B$4,缺陷明细!$G$2:$G$50000,$C53,缺陷明细!$Q$2:$Q$50000,"已关闭",缺陷明细!$J$2:$J$50000,"验收测试")</f>
        <v>0</v>
      </c>
      <c r="W53" s="75">
        <f>COUNTIFS(缺陷明细!$A$2:$A$50000,$B$4,缺陷明细!$G$2:$G$50000,$C53,缺陷明细!$J$2:$J$50000,"验收测试",缺陷明细!$K$2:$K$50000,"致命",缺陷明细!$AB$2:$AB$50000,"&lt;&gt;丢弃",缺陷明细!$AB$2:$AB$50000,"&lt;&gt;设计如此",缺陷明细!$AB$2:$AB$50000,"&lt;&gt;重复Bug")+COUNTIFS(缺陷明细!$A$2:$A$50000,$B$4,缺陷明细!$G$2:$G$50000,$C53,缺陷明细!$J$2:$J$50000,"验收测试",缺陷明细!$K$2:$K$50000,"严重",缺陷明细!$AB$2:$AB$50000,"&lt;&gt;丢弃",缺陷明细!$AB$2:$AB$50000,"&lt;&gt;设计如此",缺陷明细!$AB$2:$AB$50000,"&lt;&gt;重复Bug")</f>
        <v>0</v>
      </c>
      <c r="X53" s="76">
        <f>COUNTIFS(缺陷明细!$A$2:$A$50000,$B$4,缺陷明细!$G$2:$G$50000,$C53,缺陷明细!$Q$2:$Q$50000,"已关闭",缺陷明细!$J$2:$J$50000,"验收测试",缺陷明细!$K$2:$K$50000,"致命")+COUNTIFS(缺陷明细!$A$2:$A$50000,$B$4,缺陷明细!$G$2:$G$50000,$C53,缺陷明细!$Q$2:$Q$50000,"已关闭",缺陷明细!$J$2:$J$50000,"验收测试",缺陷明细!$K$2:$K$50000,"严重")</f>
        <v>0</v>
      </c>
      <c r="Y53" s="70">
        <f>COUNTIFS(缺陷明细!$A$2:$A$50000,$B$4,缺陷明细!$G$2:$G$50000,$C53,缺陷明细!$J$2:$J$50000,"运维测试",缺陷明细!$AB$2:$AB$50000,"&lt;&gt;丢弃",缺陷明细!$AB$2:$AB$50000,"&lt;&gt;设计如此",缺陷明细!$AB$2:$AB$50000,"&lt;&gt;重复Bug")</f>
        <v>0</v>
      </c>
      <c r="Z53" s="71">
        <f>COUNTIFS(缺陷明细!$A$2:$A$50000,$B$4,缺陷明细!$G$2:$G$50000,$C53,缺陷明细!$Q$2:$Q$50000,"已关闭",缺陷明细!$J$2:$J$50000,"运维测试")</f>
        <v>0</v>
      </c>
      <c r="AA53" s="72">
        <f>COUNTIFS(缺陷明细!$A$2:$A$50000,$B$4,缺陷明细!$G$2:$G$50000,$C53,缺陷明细!$J$2:$J$50000,"运维测试",缺陷明细!$K$2:$K$50000,"致命",缺陷明细!$AB$2:$AB$50000,"&lt;&gt;丢弃",缺陷明细!$AB$2:$AB$50000,"&lt;&gt;设计如此",缺陷明细!$AB$2:$AB$50000,"&lt;&gt;重复Bug")+COUNTIFS(缺陷明细!$A$2:$A$50000,$B$4,缺陷明细!$G$2:$G$50000,$C53,缺陷明细!$J$2:$J$50000,"运维测试",缺陷明细!$K$2:$K$50000,"严重",缺陷明细!$AB$2:$AB$50000,"&lt;&gt;丢弃",缺陷明细!$AB$2:$AB$50000,"&lt;&gt;设计如此",缺陷明细!$AB$2:$AB$50000,"&lt;&gt;重复Bug")</f>
        <v>0</v>
      </c>
      <c r="AB53" s="73">
        <f>COUNTIFS(缺陷明细!$A$2:$A$50000,$B$4,缺陷明细!$G$2:$G$50000,$C53,缺陷明细!$Q$2:$Q$50000,"已关闭",缺陷明细!$J$2:$J$50000,"运维测试",缺陷明细!$K$2:$K$50000,"致命")+COUNTIFS(缺陷明细!$A$2:$A$50000,$B$4,缺陷明细!$G$2:$G$50000,$C53,缺陷明细!$Q$2:$Q$50000,"已关闭",缺陷明细!$J$2:$J$50000,"运维测试",缺陷明细!$K$2:$K$50000,"严重")</f>
        <v>0</v>
      </c>
      <c r="AC53" s="68">
        <f t="shared" si="0"/>
        <v>0</v>
      </c>
      <c r="AD53" s="60">
        <f t="shared" si="0"/>
        <v>0</v>
      </c>
      <c r="AE53" s="60">
        <f t="shared" si="1"/>
        <v>0</v>
      </c>
      <c r="AF53" s="60">
        <f t="shared" si="1"/>
        <v>0</v>
      </c>
      <c r="AG53" s="60">
        <f t="shared" si="2"/>
        <v>0</v>
      </c>
      <c r="AH53" s="60">
        <f t="shared" si="2"/>
        <v>0</v>
      </c>
      <c r="AI53" s="60">
        <f t="shared" si="3"/>
        <v>0</v>
      </c>
      <c r="AJ53" s="61">
        <f t="shared" si="3"/>
        <v>0</v>
      </c>
      <c r="AK53" s="144"/>
    </row>
    <row r="54" spans="1:37">
      <c r="A54">
        <v>50</v>
      </c>
      <c r="B54" s="57"/>
      <c r="C54" s="58"/>
      <c r="D54" s="84"/>
      <c r="E54" s="82"/>
      <c r="F54" s="158"/>
      <c r="G54" s="159"/>
      <c r="H54" s="281">
        <f>COUNTIFS(缺陷明细!$A$2:$A$50000,$B$4,缺陷明细!$G$2:$G$50000,$C54,缺陷明细!$J$2:$J$50000,"评审",缺陷明细!$AB$2:$AB$50000,"&lt;&gt;丢弃",缺陷明细!$AB$2:$AB$50000,"&lt;&gt;设计如此",缺陷明细!$AB$2:$AB$50000,"&lt;&gt;重复Bug")</f>
        <v>0</v>
      </c>
      <c r="I54" s="154">
        <f>COUNTIFS(缺陷明细!$A$2:$A$50000,$B$4,缺陷明细!$G$2:$G$50000,$C54,缺陷明细!$Q$2:$Q$50000,"已关闭",缺陷明细!$J$2:$J$50000,"评审")</f>
        <v>0</v>
      </c>
      <c r="J54" s="154">
        <f>COUNTIFS(缺陷明细!$A$2:$A$50000,$B$4,缺陷明细!$G$2:$G$50000,$C54,缺陷明细!$J$2:$J$50000,"单元测试",缺陷明细!$AB$2:$AB$50000,"&lt;&gt;丢弃",缺陷明细!$AB$2:$AB$50000,"&lt;&gt;设计如此",缺陷明细!$AB$2:$AB$50000,"&lt;&gt;重复Bug")</f>
        <v>0</v>
      </c>
      <c r="K54" s="155">
        <f>COUNTIFS(缺陷明细!$A$2:$A$50000,$B$4,缺陷明细!$G$2:$G$50000,$C54,缺陷明细!$Q$2:$Q$50000,"已关闭",缺陷明细!$J$2:$J$50000,"单元测试")</f>
        <v>0</v>
      </c>
      <c r="L54" s="156"/>
      <c r="M54" s="157"/>
      <c r="N54" s="72">
        <f>COUNTIFS(缺陷明细!$A$2:$A$50000,$B$4,缺陷明细!$G$2:$G$50000,$C54,缺陷明细!$J$2:$J$50000,"系统测试案例评审",缺陷明细!$AB$2:$AB$50000,"&lt;&gt;丢弃",缺陷明细!$AB$2:$AB$50000,"&lt;&gt;设计如此",缺陷明细!$AB$2:$AB$50000,"&lt;&gt;重复Bug")</f>
        <v>0</v>
      </c>
      <c r="O54" s="72">
        <f>COUNTIFS(缺陷明细!$A$2:$A$50000,$B$4,缺陷明细!$G$2:$G$50000,$C54,缺陷明细!$Q$2:$Q$50000,"已关闭",缺陷明细!$J$2:$J$50000,"系统测试案例评审")</f>
        <v>0</v>
      </c>
      <c r="P54" s="72">
        <f>COUNTIFS(缺陷明细!$A$2:$A$50000,$B$4,缺陷明细!$G$2:$G$50000,$C54,缺陷明细!$J$2:$J$50000,"系统测试",缺陷明细!$AB$2:$AB$50000,"&lt;&gt;丢弃",缺陷明细!$AB$2:$AB$50000,"&lt;&gt;设计如此",缺陷明细!$AB$2:$AB$50000,"&lt;&gt;重复Bug")</f>
        <v>0</v>
      </c>
      <c r="Q54" s="72">
        <f>COUNTIFS(缺陷明细!$A$2:$A$50000,$B$4,缺陷明细!$G$2:$G$50000,$C54,缺陷明细!$Q$2:$Q$50000,"已关闭",缺陷明细!$J$2:$J$50000,"系统测试")</f>
        <v>0</v>
      </c>
      <c r="R54" s="296">
        <f>COUNTIFS(缺陷明细!$A$2:$A$50000,$B$4,缺陷明细!$G$2:$G$50000,$C54,缺陷明细!$AB$2:$AB$50000,"丢弃",缺陷明细!$J$2:$J$50000,"系统测试")+COUNTIFS(缺陷明细!$A$2:$A$50000,$B$4,缺陷明细!$G$2:$G$50000,$C54,缺陷明细!$AB$2:$AB$50000,"设计如此",缺陷明细!$J$2:$J$50000,"系统测试")+COUNTIFS(缺陷明细!$A$2:$A$50000,$B$4,缺陷明细!$G$2:$G$50000,$C54,缺陷明细!$AB$2:$AB$50000,"重复Bug",缺陷明细!$J$2:$J$50000,"系统测试")</f>
        <v>0</v>
      </c>
      <c r="S54" s="72">
        <f>COUNTIFS(缺陷明细!$A$2:$A$50000,$B$4,缺陷明细!$G$2:$G$50000,$C54,缺陷明细!$J$2:$J$50000,"系统测试",缺陷明细!$K$2:$K$50000,"致命",缺陷明细!$AB$2:$AB$50000,"&lt;&gt;丢弃",缺陷明细!$AB$2:$AB$50000,"&lt;&gt;设计如此",缺陷明细!$AB$2:$AB$50000,"&lt;&gt;重复Bug")+COUNTIFS(缺陷明细!$A$2:$A$50000,$B$4,缺陷明细!$G$2:$G$50000,$C54,缺陷明细!$J$2:$J$50000,"系统测试",缺陷明细!$K$2:$K$50000,"严重",缺陷明细!$AB$2:$AB$50000,"&lt;&gt;丢弃",缺陷明细!$AB$2:$AB$50000,"&lt;&gt;设计如此",缺陷明细!$AB$2:$AB$50000,"&lt;&gt;重复Bug")</f>
        <v>0</v>
      </c>
      <c r="T54" s="73">
        <f>COUNTIFS(缺陷明细!$A$2:$A$50000,$B$4,缺陷明细!$G$2:$G$50000,$C54,缺陷明细!$Q$2:$Q$50000,"已关闭",缺陷明细!$J$2:$J$50000,"系统测试",缺陷明细!$K$2:$K$50000,"致命")+COUNTIFS(缺陷明细!$A$2:$A$50000,$B$4,缺陷明细!$G$2:$G$50000,$C54,缺陷明细!$Q$2:$Q$50000,"已关闭",缺陷明细!$J$2:$J$50000,"系统测试",缺陷明细!$K$2:$K$50000,"严重")</f>
        <v>0</v>
      </c>
      <c r="U54" s="74">
        <f>COUNTIFS(缺陷明细!$A$2:$A$50000,$B$4,缺陷明细!$G$2:$G$50000,$C54,缺陷明细!$J$2:$J$50000,"验收测试",缺陷明细!$AB$2:$AB$50000,"&lt;&gt;丢弃",缺陷明细!$AB$2:$AB$50000,"&lt;&gt;设计如此",缺陷明细!$AB$2:$AB$50000,"&lt;&gt;重复Bug")</f>
        <v>0</v>
      </c>
      <c r="V54" s="75">
        <f>COUNTIFS(缺陷明细!$A$2:$A$50000,$B$4,缺陷明细!$G$2:$G$50000,$C54,缺陷明细!$Q$2:$Q$50000,"已关闭",缺陷明细!$J$2:$J$50000,"验收测试")</f>
        <v>0</v>
      </c>
      <c r="W54" s="75">
        <f>COUNTIFS(缺陷明细!$A$2:$A$50000,$B$4,缺陷明细!$G$2:$G$50000,$C54,缺陷明细!$J$2:$J$50000,"验收测试",缺陷明细!$K$2:$K$50000,"致命",缺陷明细!$AB$2:$AB$50000,"&lt;&gt;丢弃",缺陷明细!$AB$2:$AB$50000,"&lt;&gt;设计如此",缺陷明细!$AB$2:$AB$50000,"&lt;&gt;重复Bug")+COUNTIFS(缺陷明细!$A$2:$A$50000,$B$4,缺陷明细!$G$2:$G$50000,$C54,缺陷明细!$J$2:$J$50000,"验收测试",缺陷明细!$K$2:$K$50000,"严重",缺陷明细!$AB$2:$AB$50000,"&lt;&gt;丢弃",缺陷明细!$AB$2:$AB$50000,"&lt;&gt;设计如此",缺陷明细!$AB$2:$AB$50000,"&lt;&gt;重复Bug")</f>
        <v>0</v>
      </c>
      <c r="X54" s="76">
        <f>COUNTIFS(缺陷明细!$A$2:$A$50000,$B$4,缺陷明细!$G$2:$G$50000,$C54,缺陷明细!$Q$2:$Q$50000,"已关闭",缺陷明细!$J$2:$J$50000,"验收测试",缺陷明细!$K$2:$K$50000,"致命")+COUNTIFS(缺陷明细!$A$2:$A$50000,$B$4,缺陷明细!$G$2:$G$50000,$C54,缺陷明细!$Q$2:$Q$50000,"已关闭",缺陷明细!$J$2:$J$50000,"验收测试",缺陷明细!$K$2:$K$50000,"严重")</f>
        <v>0</v>
      </c>
      <c r="Y54" s="70">
        <f>COUNTIFS(缺陷明细!$A$2:$A$50000,$B$4,缺陷明细!$G$2:$G$50000,$C54,缺陷明细!$J$2:$J$50000,"运维测试",缺陷明细!$AB$2:$AB$50000,"&lt;&gt;丢弃",缺陷明细!$AB$2:$AB$50000,"&lt;&gt;设计如此",缺陷明细!$AB$2:$AB$50000,"&lt;&gt;重复Bug")</f>
        <v>0</v>
      </c>
      <c r="Z54" s="71">
        <f>COUNTIFS(缺陷明细!$A$2:$A$50000,$B$4,缺陷明细!$G$2:$G$50000,$C54,缺陷明细!$Q$2:$Q$50000,"已关闭",缺陷明细!$J$2:$J$50000,"运维测试")</f>
        <v>0</v>
      </c>
      <c r="AA54" s="72">
        <f>COUNTIFS(缺陷明细!$A$2:$A$50000,$B$4,缺陷明细!$G$2:$G$50000,$C54,缺陷明细!$J$2:$J$50000,"运维测试",缺陷明细!$K$2:$K$50000,"致命",缺陷明细!$AB$2:$AB$50000,"&lt;&gt;丢弃",缺陷明细!$AB$2:$AB$50000,"&lt;&gt;设计如此",缺陷明细!$AB$2:$AB$50000,"&lt;&gt;重复Bug")+COUNTIFS(缺陷明细!$A$2:$A$50000,$B$4,缺陷明细!$G$2:$G$50000,$C54,缺陷明细!$J$2:$J$50000,"运维测试",缺陷明细!$K$2:$K$50000,"严重",缺陷明细!$AB$2:$AB$50000,"&lt;&gt;丢弃",缺陷明细!$AB$2:$AB$50000,"&lt;&gt;设计如此",缺陷明细!$AB$2:$AB$50000,"&lt;&gt;重复Bug")</f>
        <v>0</v>
      </c>
      <c r="AB54" s="73">
        <f>COUNTIFS(缺陷明细!$A$2:$A$50000,$B$4,缺陷明细!$G$2:$G$50000,$C54,缺陷明细!$Q$2:$Q$50000,"已关闭",缺陷明细!$J$2:$J$50000,"运维测试",缺陷明细!$K$2:$K$50000,"致命")+COUNTIFS(缺陷明细!$A$2:$A$50000,$B$4,缺陷明细!$G$2:$G$50000,$C54,缺陷明细!$Q$2:$Q$50000,"已关闭",缺陷明细!$J$2:$J$50000,"运维测试",缺陷明细!$K$2:$K$50000,"严重")</f>
        <v>0</v>
      </c>
      <c r="AC54" s="68">
        <f t="shared" si="0"/>
        <v>0</v>
      </c>
      <c r="AD54" s="60">
        <f t="shared" si="0"/>
        <v>0</v>
      </c>
      <c r="AE54" s="60">
        <f t="shared" si="1"/>
        <v>0</v>
      </c>
      <c r="AF54" s="60">
        <f t="shared" si="1"/>
        <v>0</v>
      </c>
      <c r="AG54" s="60">
        <f t="shared" si="2"/>
        <v>0</v>
      </c>
      <c r="AH54" s="60">
        <f t="shared" si="2"/>
        <v>0</v>
      </c>
      <c r="AI54" s="60">
        <f t="shared" si="3"/>
        <v>0</v>
      </c>
      <c r="AJ54" s="61">
        <f t="shared" si="3"/>
        <v>0</v>
      </c>
      <c r="AK54" s="144"/>
    </row>
    <row r="55" spans="1:37" ht="13.5" thickBot="1">
      <c r="B55" s="140"/>
      <c r="C55" s="102"/>
      <c r="D55" s="85"/>
      <c r="E55" s="149"/>
      <c r="F55" s="162"/>
      <c r="G55" s="163"/>
      <c r="H55" s="282">
        <f>COUNTIFS(缺陷明细!$A$2:$A$50000,$B$4,缺陷明细!$G$2:$G$50000,$C55,缺陷明细!$J$2:$J$50000,"评审",缺陷明细!$AB$2:$AB$50000,"&lt;&gt;丢弃",缺陷明细!$AB$2:$AB$50000,"&lt;&gt;设计如此",缺陷明细!$AB$2:$AB$50000,"&lt;&gt;重复Bug")</f>
        <v>0</v>
      </c>
      <c r="I55" s="283">
        <f>COUNTIFS(缺陷明细!$A$2:$A$50000,$B$4,缺陷明细!$G$2:$G$50000,$C55,缺陷明细!$Q$2:$Q$50000,"已关闭",缺陷明细!$J$2:$J$50000,"评审")</f>
        <v>0</v>
      </c>
      <c r="J55" s="283">
        <f>COUNTIFS(缺陷明细!$A$2:$A$50000,$B$4,缺陷明细!$G$2:$G$50000,$C55,缺陷明细!$J$2:$J$50000,"单元测试",缺陷明细!$AB$2:$AB$50000,"&lt;&gt;丢弃",缺陷明细!$AB$2:$AB$50000,"&lt;&gt;设计如此",缺陷明细!$AB$2:$AB$50000,"&lt;&gt;重复Bug")</f>
        <v>0</v>
      </c>
      <c r="K55" s="284">
        <f>COUNTIFS(缺陷明细!$A$2:$A$50000,$B$4,缺陷明细!$G$2:$G$50000,$C55,缺陷明细!$Q$2:$Q$50000,"已关闭",缺陷明细!$J$2:$J$50000,"单元测试")</f>
        <v>0</v>
      </c>
      <c r="L55" s="285"/>
      <c r="M55" s="286"/>
      <c r="N55" s="287">
        <f>COUNTIFS(缺陷明细!$A$2:$A$50000,$B$4,缺陷明细!$G$2:$G$50000,$C55,缺陷明细!$J$2:$J$50000,"系统测试案例评审",缺陷明细!$AB$2:$AB$50000,"&lt;&gt;丢弃",缺陷明细!$AB$2:$AB$50000,"&lt;&gt;设计如此",缺陷明细!$AB$2:$AB$50000,"&lt;&gt;重复Bug")</f>
        <v>0</v>
      </c>
      <c r="O55" s="287">
        <f>COUNTIFS(缺陷明细!$A$2:$A$50000,$B$4,缺陷明细!$G$2:$G$50000,$C55,缺陷明细!$Q$2:$Q$50000,"已关闭",缺陷明细!$J$2:$J$50000,"系统测试案例评审")</f>
        <v>0</v>
      </c>
      <c r="P55" s="287">
        <f>COUNTIFS(缺陷明细!$A$2:$A$50000,$B$4,缺陷明细!$G$2:$G$50000,$C55,缺陷明细!$J$2:$J$50000,"系统测试",缺陷明细!$AB$2:$AB$50000,"&lt;&gt;丢弃",缺陷明细!$AB$2:$AB$50000,"&lt;&gt;设计如此",缺陷明细!$AB$2:$AB$50000,"&lt;&gt;重复Bug")</f>
        <v>0</v>
      </c>
      <c r="Q55" s="287">
        <f>COUNTIFS(缺陷明细!$A$2:$A$50000,$B$4,缺陷明细!$G$2:$G$50000,$C55,缺陷明细!$Q$2:$Q$50000,"已关闭",缺陷明细!$J$2:$J$50000,"系统测试")</f>
        <v>0</v>
      </c>
      <c r="R55" s="297">
        <f>COUNTIFS(缺陷明细!$A$2:$A$50000,$B$4,缺陷明细!$G$2:$G$50000,$C55,缺陷明细!$AB$2:$AB$50000,"丢弃",缺陷明细!$J$2:$J$50000,"系统测试")+COUNTIFS(缺陷明细!$A$2:$A$50000,$B$4,缺陷明细!$G$2:$G$50000,$C55,缺陷明细!$AB$2:$AB$50000,"设计如此",缺陷明细!$J$2:$J$50000,"系统测试")+COUNTIFS(缺陷明细!$A$2:$A$50000,$B$4,缺陷明细!$G$2:$G$50000,$C55,缺陷明细!$AB$2:$AB$50000,"重复Bug",缺陷明细!$J$2:$J$50000,"系统测试")</f>
        <v>0</v>
      </c>
      <c r="S55" s="287">
        <f>COUNTIFS(缺陷明细!$A$2:$A$50000,$B$4,缺陷明细!$G$2:$G$50000,$C55,缺陷明细!$J$2:$J$50000,"系统测试",缺陷明细!$K$2:$K$50000,"致命",缺陷明细!$AB$2:$AB$50000,"&lt;&gt;丢弃",缺陷明细!$AB$2:$AB$50000,"&lt;&gt;设计如此",缺陷明细!$AB$2:$AB$50000,"&lt;&gt;重复Bug")+COUNTIFS(缺陷明细!$A$2:$A$50000,$B$4,缺陷明细!$G$2:$G$50000,$C55,缺陷明细!$J$2:$J$50000,"系统测试",缺陷明细!$K$2:$K$50000,"严重",缺陷明细!$AB$2:$AB$50000,"&lt;&gt;丢弃",缺陷明细!$AB$2:$AB$50000,"&lt;&gt;设计如此",缺陷明细!$AB$2:$AB$50000,"&lt;&gt;重复Bug")</f>
        <v>0</v>
      </c>
      <c r="T55" s="288">
        <f>COUNTIFS(缺陷明细!$A$2:$A$50000,$B$4,缺陷明细!$G$2:$G$50000,$C55,缺陷明细!$Q$2:$Q$50000,"已关闭",缺陷明细!$J$2:$J$50000,"系统测试",缺陷明细!$K$2:$K$50000,"致命")+COUNTIFS(缺陷明细!$A$2:$A$50000,$B$4,缺陷明细!$G$2:$G$50000,$C55,缺陷明细!$Q$2:$Q$50000,"已关闭",缺陷明细!$J$2:$J$50000,"系统测试",缺陷明细!$K$2:$K$50000,"严重")</f>
        <v>0</v>
      </c>
      <c r="U55" s="289">
        <f>COUNTIFS(缺陷明细!$A$2:$A$50000,$B$4,缺陷明细!$G$2:$G$50000,$C55,缺陷明细!$J$2:$J$50000,"验收测试",缺陷明细!$AB$2:$AB$50000,"&lt;&gt;丢弃",缺陷明细!$AB$2:$AB$50000,"&lt;&gt;设计如此",缺陷明细!$AB$2:$AB$50000,"&lt;&gt;重复Bug")</f>
        <v>0</v>
      </c>
      <c r="V55" s="290">
        <f>COUNTIFS(缺陷明细!$A$2:$A$50000,$B$4,缺陷明细!$G$2:$G$50000,$C55,缺陷明细!$Q$2:$Q$50000,"已关闭",缺陷明细!$J$2:$J$50000,"验收测试")</f>
        <v>0</v>
      </c>
      <c r="W55" s="290">
        <f>COUNTIFS(缺陷明细!$A$2:$A$50000,$B$4,缺陷明细!$G$2:$G$50000,$C55,缺陷明细!$J$2:$J$50000,"验收测试",缺陷明细!$K$2:$K$50000,"致命",缺陷明细!$AB$2:$AB$50000,"&lt;&gt;丢弃",缺陷明细!$AB$2:$AB$50000,"&lt;&gt;设计如此",缺陷明细!$AB$2:$AB$50000,"&lt;&gt;重复Bug")+COUNTIFS(缺陷明细!$A$2:$A$50000,$B$4,缺陷明细!$G$2:$G$50000,$C55,缺陷明细!$J$2:$J$50000,"验收测试",缺陷明细!$K$2:$K$50000,"严重",缺陷明细!$AB$2:$AB$50000,"&lt;&gt;丢弃",缺陷明细!$AB$2:$AB$50000,"&lt;&gt;设计如此",缺陷明细!$AB$2:$AB$50000,"&lt;&gt;重复Bug")</f>
        <v>0</v>
      </c>
      <c r="X55" s="291">
        <f>COUNTIFS(缺陷明细!$A$2:$A$50000,$B$4,缺陷明细!$G$2:$G$50000,$C55,缺陷明细!$Q$2:$Q$50000,"已关闭",缺陷明细!$J$2:$J$50000,"验收测试",缺陷明细!$K$2:$K$50000,"致命")+COUNTIFS(缺陷明细!$A$2:$A$50000,$B$4,缺陷明细!$G$2:$G$50000,$C55,缺陷明细!$Q$2:$Q$50000,"已关闭",缺陷明细!$J$2:$J$50000,"验收测试",缺陷明细!$K$2:$K$50000,"严重")</f>
        <v>0</v>
      </c>
      <c r="Y55" s="292">
        <f>COUNTIFS(缺陷明细!$A$2:$A$50000,$B$4,缺陷明细!$G$2:$G$50000,$C55,缺陷明细!$J$2:$J$50000,"运维测试",缺陷明细!$AB$2:$AB$50000,"&lt;&gt;丢弃",缺陷明细!$AB$2:$AB$50000,"&lt;&gt;设计如此",缺陷明细!$AB$2:$AB$50000,"&lt;&gt;重复Bug")</f>
        <v>0</v>
      </c>
      <c r="Z55" s="293">
        <f>COUNTIFS(缺陷明细!$A$2:$A$50000,$B$4,缺陷明细!$G$2:$G$50000,$C55,缺陷明细!$Q$2:$Q$50000,"已关闭",缺陷明细!$J$2:$J$50000,"运维测试")</f>
        <v>0</v>
      </c>
      <c r="AA55" s="287">
        <f>COUNTIFS(缺陷明细!$A$2:$A$50000,$B$4,缺陷明细!$G$2:$G$50000,$C55,缺陷明细!$J$2:$J$50000,"运维测试",缺陷明细!$K$2:$K$50000,"致命",缺陷明细!$AB$2:$AB$50000,"&lt;&gt;丢弃",缺陷明细!$AB$2:$AB$50000,"&lt;&gt;设计如此",缺陷明细!$AB$2:$AB$50000,"&lt;&gt;重复Bug")+COUNTIFS(缺陷明细!$A$2:$A$50000,$B$4,缺陷明细!$G$2:$G$50000,$C55,缺陷明细!$J$2:$J$50000,"运维测试",缺陷明细!$K$2:$K$50000,"严重",缺陷明细!$AB$2:$AB$50000,"&lt;&gt;丢弃",缺陷明细!$AB$2:$AB$50000,"&lt;&gt;设计如此",缺陷明细!$AB$2:$AB$50000,"&lt;&gt;重复Bug")</f>
        <v>0</v>
      </c>
      <c r="AB55" s="288">
        <f>COUNTIFS(缺陷明细!$A$2:$A$50000,$B$4,缺陷明细!$G$2:$G$50000,$C55,缺陷明细!$Q$2:$Q$50000,"已关闭",缺陷明细!$J$2:$J$50000,"运维测试",缺陷明细!$K$2:$K$50000,"致命")+COUNTIFS(缺陷明细!$A$2:$A$50000,$B$4,缺陷明细!$G$2:$G$50000,$C55,缺陷明细!$Q$2:$Q$50000,"已关闭",缺陷明细!$J$2:$J$50000,"运维测试",缺陷明细!$K$2:$K$50000,"严重")</f>
        <v>0</v>
      </c>
      <c r="AC55" s="150">
        <f t="shared" si="0"/>
        <v>0</v>
      </c>
      <c r="AD55" s="151">
        <f t="shared" si="0"/>
        <v>0</v>
      </c>
      <c r="AE55" s="151">
        <f t="shared" si="1"/>
        <v>0</v>
      </c>
      <c r="AF55" s="151">
        <f t="shared" si="1"/>
        <v>0</v>
      </c>
      <c r="AG55" s="151">
        <f t="shared" si="2"/>
        <v>0</v>
      </c>
      <c r="AH55" s="151">
        <f t="shared" si="2"/>
        <v>0</v>
      </c>
      <c r="AI55" s="151">
        <f t="shared" si="3"/>
        <v>0</v>
      </c>
      <c r="AJ55" s="141">
        <f t="shared" si="3"/>
        <v>0</v>
      </c>
      <c r="AK55" s="145"/>
    </row>
    <row r="56" spans="1:37">
      <c r="B56" s="417" t="s">
        <v>223</v>
      </c>
      <c r="C56" s="418"/>
      <c r="D56" s="135">
        <f>COUNTA(D5:D55)</f>
        <v>0</v>
      </c>
      <c r="E56" s="135">
        <f>COUNTIF(E2:E55,"是")</f>
        <v>0</v>
      </c>
      <c r="F56" s="135">
        <f>SUMIFS(F5:F500,$E$5:$E$500,"是")</f>
        <v>0</v>
      </c>
      <c r="G56" s="135">
        <f t="shared" ref="G56:AJ56" si="4">SUMIFS(G5:G500,$E$5:$E$500,"是")</f>
        <v>0</v>
      </c>
      <c r="H56" s="135">
        <f t="shared" si="4"/>
        <v>0</v>
      </c>
      <c r="I56" s="135">
        <f t="shared" si="4"/>
        <v>0</v>
      </c>
      <c r="J56" s="135">
        <f t="shared" si="4"/>
        <v>0</v>
      </c>
      <c r="K56" s="135">
        <f t="shared" si="4"/>
        <v>0</v>
      </c>
      <c r="L56" s="135">
        <f t="shared" si="4"/>
        <v>0</v>
      </c>
      <c r="M56" s="135">
        <f t="shared" si="4"/>
        <v>0</v>
      </c>
      <c r="N56" s="135">
        <f t="shared" si="4"/>
        <v>0</v>
      </c>
      <c r="O56" s="135">
        <f t="shared" si="4"/>
        <v>0</v>
      </c>
      <c r="P56" s="135">
        <f t="shared" si="4"/>
        <v>0</v>
      </c>
      <c r="Q56" s="135">
        <f t="shared" si="4"/>
        <v>0</v>
      </c>
      <c r="R56" s="135">
        <f t="shared" si="4"/>
        <v>0</v>
      </c>
      <c r="S56" s="135">
        <f t="shared" si="4"/>
        <v>0</v>
      </c>
      <c r="T56" s="135">
        <f t="shared" si="4"/>
        <v>0</v>
      </c>
      <c r="U56" s="135">
        <f t="shared" si="4"/>
        <v>0</v>
      </c>
      <c r="V56" s="135">
        <f t="shared" si="4"/>
        <v>0</v>
      </c>
      <c r="W56" s="135">
        <f t="shared" si="4"/>
        <v>0</v>
      </c>
      <c r="X56" s="135">
        <f t="shared" si="4"/>
        <v>0</v>
      </c>
      <c r="Y56" s="135">
        <f t="shared" si="4"/>
        <v>0</v>
      </c>
      <c r="Z56" s="135">
        <f t="shared" si="4"/>
        <v>0</v>
      </c>
      <c r="AA56" s="135">
        <f t="shared" si="4"/>
        <v>0</v>
      </c>
      <c r="AB56" s="135">
        <f t="shared" si="4"/>
        <v>0</v>
      </c>
      <c r="AC56" s="135">
        <f t="shared" si="4"/>
        <v>0</v>
      </c>
      <c r="AD56" s="135">
        <f t="shared" si="4"/>
        <v>0</v>
      </c>
      <c r="AE56" s="135">
        <f t="shared" si="4"/>
        <v>0</v>
      </c>
      <c r="AF56" s="135">
        <f t="shared" si="4"/>
        <v>0</v>
      </c>
      <c r="AG56" s="135">
        <f t="shared" si="4"/>
        <v>0</v>
      </c>
      <c r="AH56" s="135">
        <f t="shared" si="4"/>
        <v>0</v>
      </c>
      <c r="AI56" s="135">
        <f t="shared" si="4"/>
        <v>0</v>
      </c>
      <c r="AJ56" s="135">
        <f t="shared" si="4"/>
        <v>0</v>
      </c>
      <c r="AK56" s="30"/>
    </row>
    <row r="57" spans="1:37">
      <c r="C57" s="146"/>
      <c r="D57" s="147"/>
      <c r="E57" s="136"/>
      <c r="F57" s="136"/>
      <c r="G57" s="136"/>
      <c r="H57" s="137"/>
      <c r="I57" s="137"/>
      <c r="J57" s="137"/>
      <c r="K57" s="137"/>
      <c r="L57" s="137"/>
      <c r="M57" s="137"/>
      <c r="N57" s="137"/>
      <c r="O57" s="137"/>
      <c r="P57" s="137"/>
      <c r="Q57" s="137"/>
      <c r="R57" s="137"/>
      <c r="S57" s="137"/>
      <c r="T57" s="137"/>
      <c r="U57" s="137"/>
      <c r="V57" s="137"/>
      <c r="W57" s="137"/>
      <c r="X57" s="137"/>
      <c r="Y57" s="137"/>
      <c r="Z57" s="137"/>
      <c r="AA57" s="137"/>
      <c r="AB57" s="137"/>
      <c r="AC57" s="137"/>
      <c r="AD57" s="137"/>
      <c r="AE57" s="137"/>
      <c r="AF57" s="137"/>
      <c r="AG57" s="137"/>
      <c r="AH57" s="137"/>
      <c r="AI57" s="137"/>
      <c r="AJ57" s="137"/>
    </row>
    <row r="59" spans="1:37">
      <c r="F59" s="95"/>
    </row>
  </sheetData>
  <mergeCells count="13">
    <mergeCell ref="B56:C56"/>
    <mergeCell ref="B2:B3"/>
    <mergeCell ref="C2:C3"/>
    <mergeCell ref="D2:D3"/>
    <mergeCell ref="E2:E3"/>
    <mergeCell ref="AC2:AJ2"/>
    <mergeCell ref="AK2:AK3"/>
    <mergeCell ref="U2:X2"/>
    <mergeCell ref="H1:AB1"/>
    <mergeCell ref="F2:G2"/>
    <mergeCell ref="H2:K2"/>
    <mergeCell ref="L2:T2"/>
    <mergeCell ref="Y2:AB2"/>
  </mergeCells>
  <phoneticPr fontId="13" type="noConversion"/>
  <dataValidations count="1">
    <dataValidation type="list" allowBlank="1" showInputMessage="1" showErrorMessage="1" sqref="E5:E55">
      <formula1>"是,否"</formula1>
    </dataValidation>
  </dataValidation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00FF"/>
  </sheetPr>
  <dimension ref="A1:AK59"/>
  <sheetViews>
    <sheetView workbookViewId="0">
      <selection activeCell="M16" sqref="M16"/>
    </sheetView>
  </sheetViews>
  <sheetFormatPr defaultColWidth="9" defaultRowHeight="12.75"/>
  <cols>
    <col min="1" max="1" width="5.140625" customWidth="1"/>
    <col min="3" max="3" width="29.28515625" customWidth="1"/>
    <col min="4" max="4" width="6.28515625" customWidth="1"/>
    <col min="5" max="5" width="5.85546875" style="38" customWidth="1"/>
    <col min="6" max="7" width="5.7109375" style="38" customWidth="1"/>
    <col min="8" max="36" width="5.7109375" customWidth="1"/>
    <col min="37" max="37" width="20" customWidth="1"/>
    <col min="38" max="38" width="8.140625" customWidth="1"/>
  </cols>
  <sheetData>
    <row r="1" spans="1:37" ht="13.5" customHeight="1" thickBot="1">
      <c r="A1" s="29"/>
      <c r="B1" s="259" t="s">
        <v>61</v>
      </c>
      <c r="C1" s="259"/>
      <c r="D1" s="259"/>
      <c r="E1" s="259"/>
      <c r="F1" s="260"/>
      <c r="G1" s="260"/>
      <c r="H1" s="402" t="s">
        <v>63</v>
      </c>
      <c r="I1" s="402"/>
      <c r="J1" s="402"/>
      <c r="K1" s="402"/>
      <c r="L1" s="402"/>
      <c r="M1" s="402"/>
      <c r="N1" s="402"/>
      <c r="O1" s="402"/>
      <c r="P1" s="402"/>
      <c r="Q1" s="402"/>
      <c r="R1" s="402"/>
      <c r="S1" s="402"/>
      <c r="T1" s="402"/>
      <c r="U1" s="402"/>
      <c r="V1" s="402"/>
      <c r="W1" s="402"/>
      <c r="X1" s="402"/>
      <c r="Y1" s="402"/>
      <c r="Z1" s="402"/>
      <c r="AA1" s="402"/>
      <c r="AB1" s="402"/>
      <c r="AC1" s="138"/>
      <c r="AD1" s="138"/>
      <c r="AE1" s="138"/>
      <c r="AF1" s="138"/>
      <c r="AG1" s="138"/>
      <c r="AH1" s="138"/>
      <c r="AI1" s="138"/>
      <c r="AJ1" s="139"/>
      <c r="AK1" s="148"/>
    </row>
    <row r="2" spans="1:37" ht="12.75" customHeight="1" thickBot="1">
      <c r="B2" s="419" t="s">
        <v>195</v>
      </c>
      <c r="C2" s="403" t="s">
        <v>60</v>
      </c>
      <c r="D2" s="405" t="s">
        <v>104</v>
      </c>
      <c r="E2" s="421" t="s">
        <v>196</v>
      </c>
      <c r="F2" s="403" t="s">
        <v>197</v>
      </c>
      <c r="G2" s="404"/>
      <c r="H2" s="423" t="s">
        <v>224</v>
      </c>
      <c r="I2" s="423"/>
      <c r="J2" s="423"/>
      <c r="K2" s="423"/>
      <c r="L2" s="424" t="s">
        <v>198</v>
      </c>
      <c r="M2" s="425"/>
      <c r="N2" s="425"/>
      <c r="O2" s="425"/>
      <c r="P2" s="425"/>
      <c r="Q2" s="425"/>
      <c r="R2" s="425"/>
      <c r="S2" s="425"/>
      <c r="T2" s="426"/>
      <c r="U2" s="415" t="s">
        <v>44</v>
      </c>
      <c r="V2" s="416"/>
      <c r="W2" s="416"/>
      <c r="X2" s="416"/>
      <c r="Y2" s="408" t="s">
        <v>64</v>
      </c>
      <c r="Z2" s="409"/>
      <c r="AA2" s="409"/>
      <c r="AB2" s="409"/>
      <c r="AC2" s="410" t="s">
        <v>2</v>
      </c>
      <c r="AD2" s="411"/>
      <c r="AE2" s="411"/>
      <c r="AF2" s="411"/>
      <c r="AG2" s="411"/>
      <c r="AH2" s="411"/>
      <c r="AI2" s="411"/>
      <c r="AJ2" s="412"/>
      <c r="AK2" s="413" t="s">
        <v>4</v>
      </c>
    </row>
    <row r="3" spans="1:37" ht="84.75" thickBot="1">
      <c r="B3" s="420"/>
      <c r="C3" s="407"/>
      <c r="D3" s="406"/>
      <c r="E3" s="422"/>
      <c r="F3" s="261" t="s">
        <v>284</v>
      </c>
      <c r="G3" s="262" t="s">
        <v>285</v>
      </c>
      <c r="H3" s="34" t="s">
        <v>105</v>
      </c>
      <c r="I3" s="34" t="s">
        <v>106</v>
      </c>
      <c r="J3" s="34" t="s">
        <v>107</v>
      </c>
      <c r="K3" s="34" t="s">
        <v>108</v>
      </c>
      <c r="L3" s="33" t="s">
        <v>200</v>
      </c>
      <c r="M3" s="34" t="s">
        <v>201</v>
      </c>
      <c r="N3" s="31" t="s">
        <v>45</v>
      </c>
      <c r="O3" s="31" t="s">
        <v>46</v>
      </c>
      <c r="P3" s="31" t="s">
        <v>34</v>
      </c>
      <c r="Q3" s="31" t="s">
        <v>36</v>
      </c>
      <c r="R3" s="31" t="s">
        <v>293</v>
      </c>
      <c r="S3" s="31" t="s">
        <v>35</v>
      </c>
      <c r="T3" s="32" t="s">
        <v>37</v>
      </c>
      <c r="U3" s="99" t="s">
        <v>125</v>
      </c>
      <c r="V3" s="35" t="s">
        <v>126</v>
      </c>
      <c r="W3" s="35" t="s">
        <v>202</v>
      </c>
      <c r="X3" s="35" t="s">
        <v>127</v>
      </c>
      <c r="Y3" s="99" t="s">
        <v>65</v>
      </c>
      <c r="Z3" s="35" t="s">
        <v>66</v>
      </c>
      <c r="AA3" s="35" t="s">
        <v>67</v>
      </c>
      <c r="AB3" s="36" t="s">
        <v>204</v>
      </c>
      <c r="AC3" s="33" t="s">
        <v>38</v>
      </c>
      <c r="AD3" s="31" t="s">
        <v>39</v>
      </c>
      <c r="AE3" s="31" t="s">
        <v>40</v>
      </c>
      <c r="AF3" s="31" t="s">
        <v>41</v>
      </c>
      <c r="AG3" s="31" t="s">
        <v>128</v>
      </c>
      <c r="AH3" s="31" t="s">
        <v>130</v>
      </c>
      <c r="AI3" s="31" t="s">
        <v>131</v>
      </c>
      <c r="AJ3" s="32" t="s">
        <v>129</v>
      </c>
      <c r="AK3" s="414"/>
    </row>
    <row r="4" spans="1:37" ht="13.5" thickBot="1">
      <c r="B4" s="96" t="s">
        <v>282</v>
      </c>
      <c r="C4" s="80" t="s">
        <v>221</v>
      </c>
      <c r="D4" s="134"/>
      <c r="E4" s="130"/>
      <c r="F4" s="100"/>
      <c r="G4" s="81"/>
      <c r="H4" s="69"/>
      <c r="I4" s="63"/>
      <c r="J4" s="63"/>
      <c r="K4" s="64"/>
      <c r="L4" s="77"/>
      <c r="M4" s="101"/>
      <c r="N4" s="63"/>
      <c r="O4" s="63"/>
      <c r="P4" s="63"/>
      <c r="Q4" s="63"/>
      <c r="R4" s="63"/>
      <c r="S4" s="63"/>
      <c r="T4" s="64"/>
      <c r="U4" s="62"/>
      <c r="V4" s="63"/>
      <c r="W4" s="63"/>
      <c r="X4" s="64"/>
      <c r="Y4" s="62"/>
      <c r="Z4" s="63"/>
      <c r="AA4" s="63"/>
      <c r="AB4" s="64"/>
      <c r="AC4" s="69"/>
      <c r="AD4" s="63"/>
      <c r="AE4" s="63"/>
      <c r="AF4" s="63"/>
      <c r="AG4" s="63"/>
      <c r="AH4" s="63"/>
      <c r="AI4" s="63"/>
      <c r="AJ4" s="64"/>
      <c r="AK4" s="142"/>
    </row>
    <row r="5" spans="1:37">
      <c r="A5">
        <v>1</v>
      </c>
      <c r="B5" s="78"/>
      <c r="C5" s="79"/>
      <c r="D5" s="82"/>
      <c r="E5" s="82"/>
      <c r="F5" s="152"/>
      <c r="G5" s="153"/>
      <c r="H5" s="271">
        <f>COUNTIFS(缺陷明细!$A$2:$A$50000,$B$4,缺陷明细!$G$2:$G$50000,$C5,缺陷明细!$J$2:$J$50000,"评审",缺陷明细!$AB$2:$AB$50000,"&lt;&gt;丢弃",缺陷明细!$AB$2:$AB$50000,"&lt;&gt;设计如此",缺陷明细!$AB$2:$AB$50000,"&lt;&gt;重复Bug")</f>
        <v>0</v>
      </c>
      <c r="I5" s="272">
        <f>COUNTIFS(缺陷明细!$A$2:$A$50000,$B$4,缺陷明细!$G$2:$G$50000,$C5,缺陷明细!$Q$2:$Q$50000,"已关闭",缺陷明细!$J$2:$J$50000,"评审")</f>
        <v>0</v>
      </c>
      <c r="J5" s="272">
        <f>COUNTIFS(缺陷明细!$A$2:$A$50000,$B$4,缺陷明细!$G$2:$G$50000,$C5,缺陷明细!$J$2:$J$50000,"单元测试",缺陷明细!$AB$2:$AB$50000,"&lt;&gt;丢弃",缺陷明细!$AB$2:$AB$50000,"&lt;&gt;设计如此",缺陷明细!$AB$2:$AB$50000,"&lt;&gt;重复Bug")</f>
        <v>0</v>
      </c>
      <c r="K5" s="273">
        <f>COUNTIFS(缺陷明细!$A$2:$A$50000,$B$4,缺陷明细!$G$2:$G$50000,$C5,缺陷明细!$Q$2:$Q$50000,"已关闭",缺陷明细!$J$2:$J$50000,"单元测试")</f>
        <v>0</v>
      </c>
      <c r="L5" s="156"/>
      <c r="M5" s="157"/>
      <c r="N5" s="72">
        <f>COUNTIFS(缺陷明细!$A$2:$A$50000,$B$4,缺陷明细!$G$2:$G$50000,$C5,缺陷明细!$J$2:$J$50000,"系统测试案例评审",缺陷明细!$AB$2:$AB$50000,"&lt;&gt;丢弃",缺陷明细!$AB$2:$AB$50000,"&lt;&gt;设计如此",缺陷明细!$AB$2:$AB$50000,"&lt;&gt;重复Bug")</f>
        <v>0</v>
      </c>
      <c r="O5" s="72">
        <f>COUNTIFS(缺陷明细!$A$2:$A$50000,$B$4,缺陷明细!$G$2:$G$50000,$C5,缺陷明细!$Q$2:$Q$50000,"已关闭",缺陷明细!$J$2:$J$50000,"系统测试案例评审")</f>
        <v>0</v>
      </c>
      <c r="P5" s="72">
        <f>COUNTIFS(缺陷明细!$A$2:$A$50000,$B$4,缺陷明细!$G$2:$G$50000,$C5,缺陷明细!$J$2:$J$50000,"系统测试",缺陷明细!$AB$2:$AB$50000,"&lt;&gt;丢弃",缺陷明细!$AB$2:$AB$50000,"&lt;&gt;设计如此",缺陷明细!$AB$2:$AB$50000,"&lt;&gt;重复Bug")</f>
        <v>0</v>
      </c>
      <c r="Q5" s="72">
        <f>COUNTIFS(缺陷明细!$A$2:$A$50000,$B$4,缺陷明细!$G$2:$G$50000,$C5,缺陷明细!$Q$2:$Q$50000,"已关闭",缺陷明细!$J$2:$J$50000,"系统测试")</f>
        <v>0</v>
      </c>
      <c r="R5" s="72">
        <f>COUNTIFS(缺陷明细!$A$2:$A$50000,$B$4,缺陷明细!$G$2:$G$50000,$C5,缺陷明细!$AB$2:$AB$50000,"丢弃",缺陷明细!$J$2:$J$50000,"系统测试")+COUNTIFS(缺陷明细!$A$2:$A$50000,$B$4,缺陷明细!$G$2:$G$50000,$C5,缺陷明细!$AB$2:$AB$50000,"设计如此",缺陷明细!$J$2:$J$50000,"系统测试")+COUNTIFS(缺陷明细!$A$2:$A$50000,$B$4,缺陷明细!$G$2:$G$50000,$C5,缺陷明细!$AB$2:$AB$50000,"重复Bug",缺陷明细!$J$2:$J$50000,"系统测试")</f>
        <v>0</v>
      </c>
      <c r="S5" s="72">
        <f>COUNTIFS(缺陷明细!$A$2:$A$50000,$B$4,缺陷明细!$G$2:$G$50000,$C5,缺陷明细!$J$2:$J$50000,"系统测试",缺陷明细!$K$2:$K$50000,"致命",缺陷明细!$AB$2:$AB$50000,"&lt;&gt;丢弃",缺陷明细!$AB$2:$AB$50000,"&lt;&gt;设计如此",缺陷明细!$AB$2:$AB$50000,"&lt;&gt;重复Bug")+COUNTIFS(缺陷明细!$A$2:$A$50000,$B$4,缺陷明细!$G$2:$G$50000,$C5,缺陷明细!$J$2:$J$50000,"系统测试",缺陷明细!$K$2:$K$50000,"严重",缺陷明细!$AB$2:$AB$50000,"&lt;&gt;丢弃",缺陷明细!$AB$2:$AB$50000,"&lt;&gt;设计如此",缺陷明细!$AB$2:$AB$50000,"&lt;&gt;重复Bug")</f>
        <v>0</v>
      </c>
      <c r="T5" s="73">
        <f>COUNTIFS(缺陷明细!$A$2:$A$50000,$B$4,缺陷明细!$G$2:$G$50000,$C5,缺陷明细!$Q$2:$Q$50000,"已关闭",缺陷明细!$J$2:$J$50000,"系统测试",缺陷明细!$K$2:$K$50000,"致命")+COUNTIFS(缺陷明细!$A$2:$A$50000,$B$4,缺陷明细!$G$2:$G$50000,$C5,缺陷明细!$Q$2:$Q$50000,"已关闭",缺陷明细!$J$2:$J$50000,"系统测试",缺陷明细!$K$2:$K$50000,"严重")</f>
        <v>0</v>
      </c>
      <c r="U5" s="276">
        <f>COUNTIFS(缺陷明细!$A$2:$A$50000,$B$4,缺陷明细!$G$2:$G$50000,$C5,缺陷明细!$J$2:$J$50000,"验收测试",缺陷明细!$AB$2:$AB$50000,"&lt;&gt;丢弃",缺陷明细!$AB$2:$AB$50000,"&lt;&gt;设计如此",缺陷明细!$AB$2:$AB$50000,"&lt;&gt;重复Bug")</f>
        <v>0</v>
      </c>
      <c r="V5" s="277">
        <f>COUNTIFS(缺陷明细!$A$2:$A$50000,$B$4,缺陷明细!$G$2:$G$50000,$C5,缺陷明细!$Q$2:$Q$50000,"已关闭",缺陷明细!$J$2:$J$50000,"验收测试")</f>
        <v>0</v>
      </c>
      <c r="W5" s="277">
        <f>COUNTIFS(缺陷明细!$A$2:$A$50000,$B$4,缺陷明细!$G$2:$G$50000,$C5,缺陷明细!$J$2:$J$50000,"验收测试",缺陷明细!$K$2:$K$50000,"致命",缺陷明细!$AB$2:$AB$50000,"&lt;&gt;丢弃",缺陷明细!$AB$2:$AB$50000,"&lt;&gt;设计如此",缺陷明细!$AB$2:$AB$50000,"&lt;&gt;重复Bug")+COUNTIFS(缺陷明细!$A$2:$A$50000,$B$4,缺陷明细!$G$2:$G$50000,$C5,缺陷明细!$J$2:$J$50000,"验收测试",缺陷明细!$K$2:$K$50000,"严重",缺陷明细!$AB$2:$AB$50000,"&lt;&gt;丢弃",缺陷明细!$AB$2:$AB$50000,"&lt;&gt;设计如此",缺陷明细!$AB$2:$AB$50000,"&lt;&gt;重复Bug")</f>
        <v>0</v>
      </c>
      <c r="X5" s="278">
        <f>COUNTIFS(缺陷明细!$A$2:$A$50000,$B$4,缺陷明细!$G$2:$G$50000,$C5,缺陷明细!$Q$2:$Q$50000,"已关闭",缺陷明细!$J$2:$J$50000,"验收测试",缺陷明细!$K$2:$K$50000,"致命")+COUNTIFS(缺陷明细!$A$2:$A$50000,$B$4,缺陷明细!$G$2:$G$50000,$C5,缺陷明细!$Q$2:$Q$50000,"已关闭",缺陷明细!$J$2:$J$50000,"验收测试",缺陷明细!$K$2:$K$50000,"严重")</f>
        <v>0</v>
      </c>
      <c r="Y5" s="279">
        <f>COUNTIFS(缺陷明细!$A$2:$A$50000,$B$4,缺陷明细!$G$2:$G$50000,$C5,缺陷明细!$J$2:$J$50000,"运维测试",缺陷明细!$AB$2:$AB$50000,"&lt;&gt;丢弃",缺陷明细!$AB$2:$AB$50000,"&lt;&gt;设计如此",缺陷明细!$AB$2:$AB$50000,"&lt;&gt;重复Bug")</f>
        <v>0</v>
      </c>
      <c r="Z5" s="280">
        <f>COUNTIFS(缺陷明细!$A$2:$A$50000,$B$4,缺陷明细!$G$2:$G$50000,$C5,缺陷明细!$Q$2:$Q$50000,"已关闭",缺陷明细!$J$2:$J$50000,"运维测试")</f>
        <v>0</v>
      </c>
      <c r="AA5" s="274">
        <f>COUNTIFS(缺陷明细!$A$2:$A$50000,$B$4,缺陷明细!$G$2:$G$50000,$C5,缺陷明细!$J$2:$J$50000,"运维测试",缺陷明细!$K$2:$K$50000,"致命",缺陷明细!$AB$2:$AB$50000,"&lt;&gt;丢弃",缺陷明细!$AB$2:$AB$50000,"&lt;&gt;设计如此",缺陷明细!$AB$2:$AB$50000,"&lt;&gt;重复Bug")+COUNTIFS(缺陷明细!$A$2:$A$50000,$B$4,缺陷明细!$G$2:$G$50000,$C5,缺陷明细!$J$2:$J$50000,"运维测试",缺陷明细!$K$2:$K$50000,"严重",缺陷明细!$AB$2:$AB$50000,"&lt;&gt;丢弃",缺陷明细!$AB$2:$AB$50000,"&lt;&gt;设计如此",缺陷明细!$AB$2:$AB$50000,"&lt;&gt;重复Bug")</f>
        <v>0</v>
      </c>
      <c r="AB5" s="275">
        <f>COUNTIFS(缺陷明细!$A$2:$A$50000,$B$4,缺陷明细!$G$2:$G$50000,$C5,缺陷明细!$Q$2:$Q$50000,"已关闭",缺陷明细!$J$2:$J$50000,"运维测试",缺陷明细!$K$2:$K$50000,"致命")+COUNTIFS(缺陷明细!$A$2:$A$50000,$B$4,缺陷明细!$G$2:$G$50000,$C5,缺陷明细!$Q$2:$Q$50000,"已关闭",缺陷明细!$J$2:$J$50000,"运维测试",缺陷明细!$K$2:$K$50000,"严重")</f>
        <v>0</v>
      </c>
      <c r="AC5" s="68">
        <f>H5</f>
        <v>0</v>
      </c>
      <c r="AD5" s="60">
        <f>I5</f>
        <v>0</v>
      </c>
      <c r="AE5" s="60">
        <f>H5+J5</f>
        <v>0</v>
      </c>
      <c r="AF5" s="60">
        <f>I5+K5</f>
        <v>0</v>
      </c>
      <c r="AG5" s="60">
        <f>H5+J5+P5</f>
        <v>0</v>
      </c>
      <c r="AH5" s="60">
        <f>I5+K5+Q5</f>
        <v>0</v>
      </c>
      <c r="AI5" s="60">
        <f>Y5</f>
        <v>0</v>
      </c>
      <c r="AJ5" s="61">
        <f>Z5</f>
        <v>0</v>
      </c>
      <c r="AK5" s="143"/>
    </row>
    <row r="6" spans="1:37">
      <c r="A6">
        <v>2</v>
      </c>
      <c r="B6" s="57"/>
      <c r="C6" s="58"/>
      <c r="D6" s="83"/>
      <c r="E6" s="82"/>
      <c r="F6" s="158"/>
      <c r="G6" s="159"/>
      <c r="H6" s="281">
        <f>COUNTIFS(缺陷明细!$A$2:$A$50000,$B$4,缺陷明细!$G$2:$G$50000,$C6,缺陷明细!$J$2:$J$50000,"评审",缺陷明细!$AB$2:$AB$50000,"&lt;&gt;丢弃",缺陷明细!$AB$2:$AB$50000,"&lt;&gt;设计如此",缺陷明细!$AB$2:$AB$50000,"&lt;&gt;重复Bug")</f>
        <v>0</v>
      </c>
      <c r="I6" s="154">
        <f>COUNTIFS(缺陷明细!$A$2:$A$50000,$B$4,缺陷明细!$G$2:$G$50000,$C6,缺陷明细!$Q$2:$Q$50000,"已关闭",缺陷明细!$J$2:$J$50000,"评审")</f>
        <v>0</v>
      </c>
      <c r="J6" s="154">
        <f>COUNTIFS(缺陷明细!$A$2:$A$50000,$B$4,缺陷明细!$G$2:$G$50000,$C6,缺陷明细!$J$2:$J$50000,"单元测试",缺陷明细!$AB$2:$AB$50000,"&lt;&gt;丢弃",缺陷明细!$AB$2:$AB$50000,"&lt;&gt;设计如此",缺陷明细!$AB$2:$AB$50000,"&lt;&gt;重复Bug")</f>
        <v>0</v>
      </c>
      <c r="K6" s="155">
        <f>COUNTIFS(缺陷明细!$A$2:$A$50000,$B$4,缺陷明细!$G$2:$G$50000,$C6,缺陷明细!$Q$2:$Q$50000,"已关闭",缺陷明细!$J$2:$J$50000,"单元测试")</f>
        <v>0</v>
      </c>
      <c r="L6" s="156"/>
      <c r="M6" s="157"/>
      <c r="N6" s="72">
        <f>COUNTIFS(缺陷明细!$A$2:$A$50000,$B$4,缺陷明细!$G$2:$G$50000,$C6,缺陷明细!$J$2:$J$50000,"系统测试案例评审",缺陷明细!$AB$2:$AB$50000,"&lt;&gt;丢弃",缺陷明细!$AB$2:$AB$50000,"&lt;&gt;设计如此",缺陷明细!$AB$2:$AB$50000,"&lt;&gt;重复Bug")</f>
        <v>0</v>
      </c>
      <c r="O6" s="72">
        <f>COUNTIFS(缺陷明细!$A$2:$A$50000,$B$4,缺陷明细!$G$2:$G$50000,$C6,缺陷明细!$Q$2:$Q$50000,"已关闭",缺陷明细!$J$2:$J$50000,"系统测试案例评审")</f>
        <v>0</v>
      </c>
      <c r="P6" s="72">
        <f>COUNTIFS(缺陷明细!$A$2:$A$50000,$B$4,缺陷明细!$G$2:$G$50000,$C6,缺陷明细!$J$2:$J$50000,"系统测试",缺陷明细!$AB$2:$AB$50000,"&lt;&gt;丢弃",缺陷明细!$AB$2:$AB$50000,"&lt;&gt;设计如此",缺陷明细!$AB$2:$AB$50000,"&lt;&gt;重复Bug")</f>
        <v>0</v>
      </c>
      <c r="Q6" s="72">
        <f>COUNTIFS(缺陷明细!$A$2:$A$50000,$B$4,缺陷明细!$G$2:$G$50000,$C6,缺陷明细!$Q$2:$Q$50000,"已关闭",缺陷明细!$J$2:$J$50000,"系统测试")</f>
        <v>0</v>
      </c>
      <c r="R6" s="296">
        <f>COUNTIFS(缺陷明细!$A$2:$A$50000,$B$4,缺陷明细!$G$2:$G$50000,$C6,缺陷明细!$AB$2:$AB$50000,"丢弃",缺陷明细!$J$2:$J$50000,"系统测试")+COUNTIFS(缺陷明细!$A$2:$A$50000,$B$4,缺陷明细!$G$2:$G$50000,$C6,缺陷明细!$AB$2:$AB$50000,"设计如此",缺陷明细!$J$2:$J$50000,"系统测试")+COUNTIFS(缺陷明细!$A$2:$A$50000,$B$4,缺陷明细!$G$2:$G$50000,$C6,缺陷明细!$AB$2:$AB$50000,"重复Bug",缺陷明细!$J$2:$J$50000,"系统测试")</f>
        <v>0</v>
      </c>
      <c r="S6" s="72">
        <f>COUNTIFS(缺陷明细!$A$2:$A$50000,$B$4,缺陷明细!$G$2:$G$50000,$C6,缺陷明细!$J$2:$J$50000,"系统测试",缺陷明细!$K$2:$K$50000,"致命",缺陷明细!$AB$2:$AB$50000,"&lt;&gt;丢弃",缺陷明细!$AB$2:$AB$50000,"&lt;&gt;设计如此",缺陷明细!$AB$2:$AB$50000,"&lt;&gt;重复Bug")+COUNTIFS(缺陷明细!$A$2:$A$50000,$B$4,缺陷明细!$G$2:$G$50000,$C6,缺陷明细!$J$2:$J$50000,"系统测试",缺陷明细!$K$2:$K$50000,"严重",缺陷明细!$AB$2:$AB$50000,"&lt;&gt;丢弃",缺陷明细!$AB$2:$AB$50000,"&lt;&gt;设计如此",缺陷明细!$AB$2:$AB$50000,"&lt;&gt;重复Bug")</f>
        <v>0</v>
      </c>
      <c r="T6" s="73">
        <f>COUNTIFS(缺陷明细!$A$2:$A$50000,$B$4,缺陷明细!$G$2:$G$50000,$C6,缺陷明细!$Q$2:$Q$50000,"已关闭",缺陷明细!$J$2:$J$50000,"系统测试",缺陷明细!$K$2:$K$50000,"致命")+COUNTIFS(缺陷明细!$A$2:$A$50000,$B$4,缺陷明细!$G$2:$G$50000,$C6,缺陷明细!$Q$2:$Q$50000,"已关闭",缺陷明细!$J$2:$J$50000,"系统测试",缺陷明细!$K$2:$K$50000,"严重")</f>
        <v>0</v>
      </c>
      <c r="U6" s="74">
        <f>COUNTIFS(缺陷明细!$A$2:$A$50000,$B$4,缺陷明细!$G$2:$G$50000,$C6,缺陷明细!$J$2:$J$50000,"验收测试",缺陷明细!$AB$2:$AB$50000,"&lt;&gt;丢弃",缺陷明细!$AB$2:$AB$50000,"&lt;&gt;设计如此",缺陷明细!$AB$2:$AB$50000,"&lt;&gt;重复Bug")</f>
        <v>0</v>
      </c>
      <c r="V6" s="75">
        <f>COUNTIFS(缺陷明细!$A$2:$A$50000,$B$4,缺陷明细!$G$2:$G$50000,$C6,缺陷明细!$Q$2:$Q$50000,"已关闭",缺陷明细!$J$2:$J$50000,"验收测试")</f>
        <v>0</v>
      </c>
      <c r="W6" s="75">
        <f>COUNTIFS(缺陷明细!$A$2:$A$50000,$B$4,缺陷明细!$G$2:$G$50000,$C6,缺陷明细!$J$2:$J$50000,"验收测试",缺陷明细!$K$2:$K$50000,"致命",缺陷明细!$AB$2:$AB$50000,"&lt;&gt;丢弃",缺陷明细!$AB$2:$AB$50000,"&lt;&gt;设计如此",缺陷明细!$AB$2:$AB$50000,"&lt;&gt;重复Bug")+COUNTIFS(缺陷明细!$A$2:$A$50000,$B$4,缺陷明细!$G$2:$G$50000,$C6,缺陷明细!$J$2:$J$50000,"验收测试",缺陷明细!$K$2:$K$50000,"严重",缺陷明细!$AB$2:$AB$50000,"&lt;&gt;丢弃",缺陷明细!$AB$2:$AB$50000,"&lt;&gt;设计如此",缺陷明细!$AB$2:$AB$50000,"&lt;&gt;重复Bug")</f>
        <v>0</v>
      </c>
      <c r="X6" s="76">
        <f>COUNTIFS(缺陷明细!$A$2:$A$50000,$B$4,缺陷明细!$G$2:$G$50000,$C6,缺陷明细!$Q$2:$Q$50000,"已关闭",缺陷明细!$J$2:$J$50000,"验收测试",缺陷明细!$K$2:$K$50000,"致命")+COUNTIFS(缺陷明细!$A$2:$A$50000,$B$4,缺陷明细!$G$2:$G$50000,$C6,缺陷明细!$Q$2:$Q$50000,"已关闭",缺陷明细!$J$2:$J$50000,"验收测试",缺陷明细!$K$2:$K$50000,"严重")</f>
        <v>0</v>
      </c>
      <c r="Y6" s="70">
        <f>COUNTIFS(缺陷明细!$A$2:$A$50000,$B$4,缺陷明细!$G$2:$G$50000,$C6,缺陷明细!$J$2:$J$50000,"运维测试",缺陷明细!$AB$2:$AB$50000,"&lt;&gt;丢弃",缺陷明细!$AB$2:$AB$50000,"&lt;&gt;设计如此",缺陷明细!$AB$2:$AB$50000,"&lt;&gt;重复Bug")</f>
        <v>0</v>
      </c>
      <c r="Z6" s="71">
        <f>COUNTIFS(缺陷明细!$A$2:$A$50000,$B$4,缺陷明细!$G$2:$G$50000,$C6,缺陷明细!$Q$2:$Q$50000,"已关闭",缺陷明细!$J$2:$J$50000,"运维测试")</f>
        <v>0</v>
      </c>
      <c r="AA6" s="72">
        <f>COUNTIFS(缺陷明细!$A$2:$A$50000,$B$4,缺陷明细!$G$2:$G$50000,$C6,缺陷明细!$J$2:$J$50000,"运维测试",缺陷明细!$K$2:$K$50000,"致命",缺陷明细!$AB$2:$AB$50000,"&lt;&gt;丢弃",缺陷明细!$AB$2:$AB$50000,"&lt;&gt;设计如此",缺陷明细!$AB$2:$AB$50000,"&lt;&gt;重复Bug")+COUNTIFS(缺陷明细!$A$2:$A$50000,$B$4,缺陷明细!$G$2:$G$50000,$C6,缺陷明细!$J$2:$J$50000,"运维测试",缺陷明细!$K$2:$K$50000,"严重",缺陷明细!$AB$2:$AB$50000,"&lt;&gt;丢弃",缺陷明细!$AB$2:$AB$50000,"&lt;&gt;设计如此",缺陷明细!$AB$2:$AB$50000,"&lt;&gt;重复Bug")</f>
        <v>0</v>
      </c>
      <c r="AB6" s="73">
        <f>COUNTIFS(缺陷明细!$A$2:$A$50000,$B$4,缺陷明细!$G$2:$G$50000,$C6,缺陷明细!$Q$2:$Q$50000,"已关闭",缺陷明细!$J$2:$J$50000,"运维测试",缺陷明细!$K$2:$K$50000,"致命")+COUNTIFS(缺陷明细!$A$2:$A$50000,$B$4,缺陷明细!$G$2:$G$50000,$C6,缺陷明细!$Q$2:$Q$50000,"已关闭",缺陷明细!$J$2:$J$50000,"运维测试",缺陷明细!$K$2:$K$50000,"严重")</f>
        <v>0</v>
      </c>
      <c r="AC6" s="68">
        <f t="shared" ref="AC6:AD55" si="0">H6</f>
        <v>0</v>
      </c>
      <c r="AD6" s="60">
        <f t="shared" si="0"/>
        <v>0</v>
      </c>
      <c r="AE6" s="60">
        <f t="shared" ref="AE6:AF55" si="1">H6+J6</f>
        <v>0</v>
      </c>
      <c r="AF6" s="60">
        <f t="shared" si="1"/>
        <v>0</v>
      </c>
      <c r="AG6" s="60">
        <f t="shared" ref="AG6:AH55" si="2">H6+J6+P6</f>
        <v>0</v>
      </c>
      <c r="AH6" s="60">
        <f t="shared" si="2"/>
        <v>0</v>
      </c>
      <c r="AI6" s="60">
        <f t="shared" ref="AI6:AJ55" si="3">Y6</f>
        <v>0</v>
      </c>
      <c r="AJ6" s="61">
        <f t="shared" si="3"/>
        <v>0</v>
      </c>
      <c r="AK6" s="144"/>
    </row>
    <row r="7" spans="1:37">
      <c r="A7">
        <v>3</v>
      </c>
      <c r="B7" s="57"/>
      <c r="C7" s="58"/>
      <c r="D7" s="83"/>
      <c r="E7" s="82"/>
      <c r="F7" s="158"/>
      <c r="G7" s="159"/>
      <c r="H7" s="281">
        <f>COUNTIFS(缺陷明细!$A$2:$A$50000,$B$4,缺陷明细!$G$2:$G$50000,$C7,缺陷明细!$J$2:$J$50000,"评审",缺陷明细!$AB$2:$AB$50000,"&lt;&gt;丢弃",缺陷明细!$AB$2:$AB$50000,"&lt;&gt;设计如此",缺陷明细!$AB$2:$AB$50000,"&lt;&gt;重复Bug")</f>
        <v>0</v>
      </c>
      <c r="I7" s="154">
        <f>COUNTIFS(缺陷明细!$A$2:$A$50000,$B$4,缺陷明细!$G$2:$G$50000,$C7,缺陷明细!$Q$2:$Q$50000,"已关闭",缺陷明细!$J$2:$J$50000,"评审")</f>
        <v>0</v>
      </c>
      <c r="J7" s="154">
        <f>COUNTIFS(缺陷明细!$A$2:$A$50000,$B$4,缺陷明细!$G$2:$G$50000,$C7,缺陷明细!$J$2:$J$50000,"单元测试",缺陷明细!$AB$2:$AB$50000,"&lt;&gt;丢弃",缺陷明细!$AB$2:$AB$50000,"&lt;&gt;设计如此",缺陷明细!$AB$2:$AB$50000,"&lt;&gt;重复Bug")</f>
        <v>0</v>
      </c>
      <c r="K7" s="155">
        <f>COUNTIFS(缺陷明细!$A$2:$A$50000,$B$4,缺陷明细!$G$2:$G$50000,$C7,缺陷明细!$Q$2:$Q$50000,"已关闭",缺陷明细!$J$2:$J$50000,"单元测试")</f>
        <v>0</v>
      </c>
      <c r="L7" s="156"/>
      <c r="M7" s="157"/>
      <c r="N7" s="72">
        <f>COUNTIFS(缺陷明细!$A$2:$A$50000,$B$4,缺陷明细!$G$2:$G$50000,$C7,缺陷明细!$J$2:$J$50000,"系统测试案例评审",缺陷明细!$AB$2:$AB$50000,"&lt;&gt;丢弃",缺陷明细!$AB$2:$AB$50000,"&lt;&gt;设计如此",缺陷明细!$AB$2:$AB$50000,"&lt;&gt;重复Bug")</f>
        <v>0</v>
      </c>
      <c r="O7" s="72">
        <f>COUNTIFS(缺陷明细!$A$2:$A$50000,$B$4,缺陷明细!$G$2:$G$50000,$C7,缺陷明细!$Q$2:$Q$50000,"已关闭",缺陷明细!$J$2:$J$50000,"系统测试案例评审")</f>
        <v>0</v>
      </c>
      <c r="P7" s="72">
        <f>COUNTIFS(缺陷明细!$A$2:$A$50000,$B$4,缺陷明细!$G$2:$G$50000,$C7,缺陷明细!$J$2:$J$50000,"系统测试",缺陷明细!$AB$2:$AB$50000,"&lt;&gt;丢弃",缺陷明细!$AB$2:$AB$50000,"&lt;&gt;设计如此",缺陷明细!$AB$2:$AB$50000,"&lt;&gt;重复Bug")</f>
        <v>0</v>
      </c>
      <c r="Q7" s="72">
        <f>COUNTIFS(缺陷明细!$A$2:$A$50000,$B$4,缺陷明细!$G$2:$G$50000,$C7,缺陷明细!$Q$2:$Q$50000,"已关闭",缺陷明细!$J$2:$J$50000,"系统测试")</f>
        <v>0</v>
      </c>
      <c r="R7" s="296">
        <f>COUNTIFS(缺陷明细!$A$2:$A$50000,$B$4,缺陷明细!$G$2:$G$50000,$C7,缺陷明细!$AB$2:$AB$50000,"丢弃",缺陷明细!$J$2:$J$50000,"系统测试")+COUNTIFS(缺陷明细!$A$2:$A$50000,$B$4,缺陷明细!$G$2:$G$50000,$C7,缺陷明细!$AB$2:$AB$50000,"设计如此",缺陷明细!$J$2:$J$50000,"系统测试")+COUNTIFS(缺陷明细!$A$2:$A$50000,$B$4,缺陷明细!$G$2:$G$50000,$C7,缺陷明细!$AB$2:$AB$50000,"重复Bug",缺陷明细!$J$2:$J$50000,"系统测试")</f>
        <v>0</v>
      </c>
      <c r="S7" s="72">
        <f>COUNTIFS(缺陷明细!$A$2:$A$50000,$B$4,缺陷明细!$G$2:$G$50000,$C7,缺陷明细!$J$2:$J$50000,"系统测试",缺陷明细!$K$2:$K$50000,"致命",缺陷明细!$AB$2:$AB$50000,"&lt;&gt;丢弃",缺陷明细!$AB$2:$AB$50000,"&lt;&gt;设计如此",缺陷明细!$AB$2:$AB$50000,"&lt;&gt;重复Bug")+COUNTIFS(缺陷明细!$A$2:$A$50000,$B$4,缺陷明细!$G$2:$G$50000,$C7,缺陷明细!$J$2:$J$50000,"系统测试",缺陷明细!$K$2:$K$50000,"严重",缺陷明细!$AB$2:$AB$50000,"&lt;&gt;丢弃",缺陷明细!$AB$2:$AB$50000,"&lt;&gt;设计如此",缺陷明细!$AB$2:$AB$50000,"&lt;&gt;重复Bug")</f>
        <v>0</v>
      </c>
      <c r="T7" s="73">
        <f>COUNTIFS(缺陷明细!$A$2:$A$50000,$B$4,缺陷明细!$G$2:$G$50000,$C7,缺陷明细!$Q$2:$Q$50000,"已关闭",缺陷明细!$J$2:$J$50000,"系统测试",缺陷明细!$K$2:$K$50000,"致命")+COUNTIFS(缺陷明细!$A$2:$A$50000,$B$4,缺陷明细!$G$2:$G$50000,$C7,缺陷明细!$Q$2:$Q$50000,"已关闭",缺陷明细!$J$2:$J$50000,"系统测试",缺陷明细!$K$2:$K$50000,"严重")</f>
        <v>0</v>
      </c>
      <c r="U7" s="74">
        <f>COUNTIFS(缺陷明细!$A$2:$A$50000,$B$4,缺陷明细!$G$2:$G$50000,$C7,缺陷明细!$J$2:$J$50000,"验收测试",缺陷明细!$AB$2:$AB$50000,"&lt;&gt;丢弃",缺陷明细!$AB$2:$AB$50000,"&lt;&gt;设计如此",缺陷明细!$AB$2:$AB$50000,"&lt;&gt;重复Bug")</f>
        <v>0</v>
      </c>
      <c r="V7" s="75">
        <f>COUNTIFS(缺陷明细!$A$2:$A$50000,$B$4,缺陷明细!$G$2:$G$50000,$C7,缺陷明细!$Q$2:$Q$50000,"已关闭",缺陷明细!$J$2:$J$50000,"验收测试")</f>
        <v>0</v>
      </c>
      <c r="W7" s="75">
        <f>COUNTIFS(缺陷明细!$A$2:$A$50000,$B$4,缺陷明细!$G$2:$G$50000,$C7,缺陷明细!$J$2:$J$50000,"验收测试",缺陷明细!$K$2:$K$50000,"致命",缺陷明细!$AB$2:$AB$50000,"&lt;&gt;丢弃",缺陷明细!$AB$2:$AB$50000,"&lt;&gt;设计如此",缺陷明细!$AB$2:$AB$50000,"&lt;&gt;重复Bug")+COUNTIFS(缺陷明细!$A$2:$A$50000,$B$4,缺陷明细!$G$2:$G$50000,$C7,缺陷明细!$J$2:$J$50000,"验收测试",缺陷明细!$K$2:$K$50000,"严重",缺陷明细!$AB$2:$AB$50000,"&lt;&gt;丢弃",缺陷明细!$AB$2:$AB$50000,"&lt;&gt;设计如此",缺陷明细!$AB$2:$AB$50000,"&lt;&gt;重复Bug")</f>
        <v>0</v>
      </c>
      <c r="X7" s="76">
        <f>COUNTIFS(缺陷明细!$A$2:$A$50000,$B$4,缺陷明细!$G$2:$G$50000,$C7,缺陷明细!$Q$2:$Q$50000,"已关闭",缺陷明细!$J$2:$J$50000,"验收测试",缺陷明细!$K$2:$K$50000,"致命")+COUNTIFS(缺陷明细!$A$2:$A$50000,$B$4,缺陷明细!$G$2:$G$50000,$C7,缺陷明细!$Q$2:$Q$50000,"已关闭",缺陷明细!$J$2:$J$50000,"验收测试",缺陷明细!$K$2:$K$50000,"严重")</f>
        <v>0</v>
      </c>
      <c r="Y7" s="70">
        <f>COUNTIFS(缺陷明细!$A$2:$A$50000,$B$4,缺陷明细!$G$2:$G$50000,$C7,缺陷明细!$J$2:$J$50000,"运维测试",缺陷明细!$AB$2:$AB$50000,"&lt;&gt;丢弃",缺陷明细!$AB$2:$AB$50000,"&lt;&gt;设计如此",缺陷明细!$AB$2:$AB$50000,"&lt;&gt;重复Bug")</f>
        <v>0</v>
      </c>
      <c r="Z7" s="71">
        <f>COUNTIFS(缺陷明细!$A$2:$A$50000,$B$4,缺陷明细!$G$2:$G$50000,$C7,缺陷明细!$Q$2:$Q$50000,"已关闭",缺陷明细!$J$2:$J$50000,"运维测试")</f>
        <v>0</v>
      </c>
      <c r="AA7" s="72">
        <f>COUNTIFS(缺陷明细!$A$2:$A$50000,$B$4,缺陷明细!$G$2:$G$50000,$C7,缺陷明细!$J$2:$J$50000,"运维测试",缺陷明细!$K$2:$K$50000,"致命",缺陷明细!$AB$2:$AB$50000,"&lt;&gt;丢弃",缺陷明细!$AB$2:$AB$50000,"&lt;&gt;设计如此",缺陷明细!$AB$2:$AB$50000,"&lt;&gt;重复Bug")+COUNTIFS(缺陷明细!$A$2:$A$50000,$B$4,缺陷明细!$G$2:$G$50000,$C7,缺陷明细!$J$2:$J$50000,"运维测试",缺陷明细!$K$2:$K$50000,"严重",缺陷明细!$AB$2:$AB$50000,"&lt;&gt;丢弃",缺陷明细!$AB$2:$AB$50000,"&lt;&gt;设计如此",缺陷明细!$AB$2:$AB$50000,"&lt;&gt;重复Bug")</f>
        <v>0</v>
      </c>
      <c r="AB7" s="73">
        <f>COUNTIFS(缺陷明细!$A$2:$A$50000,$B$4,缺陷明细!$G$2:$G$50000,$C7,缺陷明细!$Q$2:$Q$50000,"已关闭",缺陷明细!$J$2:$J$50000,"运维测试",缺陷明细!$K$2:$K$50000,"致命")+COUNTIFS(缺陷明细!$A$2:$A$50000,$B$4,缺陷明细!$G$2:$G$50000,$C7,缺陷明细!$Q$2:$Q$50000,"已关闭",缺陷明细!$J$2:$J$50000,"运维测试",缺陷明细!$K$2:$K$50000,"严重")</f>
        <v>0</v>
      </c>
      <c r="AC7" s="68">
        <f t="shared" si="0"/>
        <v>0</v>
      </c>
      <c r="AD7" s="60">
        <f t="shared" si="0"/>
        <v>0</v>
      </c>
      <c r="AE7" s="60">
        <f t="shared" si="1"/>
        <v>0</v>
      </c>
      <c r="AF7" s="60">
        <f t="shared" si="1"/>
        <v>0</v>
      </c>
      <c r="AG7" s="60">
        <f t="shared" si="2"/>
        <v>0</v>
      </c>
      <c r="AH7" s="60">
        <f t="shared" si="2"/>
        <v>0</v>
      </c>
      <c r="AI7" s="60">
        <f t="shared" si="3"/>
        <v>0</v>
      </c>
      <c r="AJ7" s="61">
        <f t="shared" si="3"/>
        <v>0</v>
      </c>
      <c r="AK7" s="144"/>
    </row>
    <row r="8" spans="1:37">
      <c r="A8">
        <v>4</v>
      </c>
      <c r="B8" s="57"/>
      <c r="C8" s="58"/>
      <c r="D8" s="83"/>
      <c r="E8" s="82"/>
      <c r="F8" s="158"/>
      <c r="G8" s="159"/>
      <c r="H8" s="281">
        <f>COUNTIFS(缺陷明细!$A$2:$A$50000,$B$4,缺陷明细!$G$2:$G$50000,$C8,缺陷明细!$J$2:$J$50000,"评审",缺陷明细!$AB$2:$AB$50000,"&lt;&gt;丢弃",缺陷明细!$AB$2:$AB$50000,"&lt;&gt;设计如此",缺陷明细!$AB$2:$AB$50000,"&lt;&gt;重复Bug")</f>
        <v>0</v>
      </c>
      <c r="I8" s="154">
        <f>COUNTIFS(缺陷明细!$A$2:$A$50000,$B$4,缺陷明细!$G$2:$G$50000,$C8,缺陷明细!$Q$2:$Q$50000,"已关闭",缺陷明细!$J$2:$J$50000,"评审")</f>
        <v>0</v>
      </c>
      <c r="J8" s="154">
        <f>COUNTIFS(缺陷明细!$A$2:$A$50000,$B$4,缺陷明细!$G$2:$G$50000,$C8,缺陷明细!$J$2:$J$50000,"单元测试",缺陷明细!$AB$2:$AB$50000,"&lt;&gt;丢弃",缺陷明细!$AB$2:$AB$50000,"&lt;&gt;设计如此",缺陷明细!$AB$2:$AB$50000,"&lt;&gt;重复Bug")</f>
        <v>0</v>
      </c>
      <c r="K8" s="155">
        <f>COUNTIFS(缺陷明细!$A$2:$A$50000,$B$4,缺陷明细!$G$2:$G$50000,$C8,缺陷明细!$Q$2:$Q$50000,"已关闭",缺陷明细!$J$2:$J$50000,"单元测试")</f>
        <v>0</v>
      </c>
      <c r="L8" s="156"/>
      <c r="M8" s="157"/>
      <c r="N8" s="72">
        <f>COUNTIFS(缺陷明细!$A$2:$A$50000,$B$4,缺陷明细!$G$2:$G$50000,$C8,缺陷明细!$J$2:$J$50000,"系统测试案例评审",缺陷明细!$AB$2:$AB$50000,"&lt;&gt;丢弃",缺陷明细!$AB$2:$AB$50000,"&lt;&gt;设计如此",缺陷明细!$AB$2:$AB$50000,"&lt;&gt;重复Bug")</f>
        <v>0</v>
      </c>
      <c r="O8" s="72">
        <f>COUNTIFS(缺陷明细!$A$2:$A$50000,$B$4,缺陷明细!$G$2:$G$50000,$C8,缺陷明细!$Q$2:$Q$50000,"已关闭",缺陷明细!$J$2:$J$50000,"系统测试案例评审")</f>
        <v>0</v>
      </c>
      <c r="P8" s="72">
        <f>COUNTIFS(缺陷明细!$A$2:$A$50000,$B$4,缺陷明细!$G$2:$G$50000,$C8,缺陷明细!$J$2:$J$50000,"系统测试",缺陷明细!$AB$2:$AB$50000,"&lt;&gt;丢弃",缺陷明细!$AB$2:$AB$50000,"&lt;&gt;设计如此",缺陷明细!$AB$2:$AB$50000,"&lt;&gt;重复Bug")</f>
        <v>0</v>
      </c>
      <c r="Q8" s="72">
        <f>COUNTIFS(缺陷明细!$A$2:$A$50000,$B$4,缺陷明细!$G$2:$G$50000,$C8,缺陷明细!$Q$2:$Q$50000,"已关闭",缺陷明细!$J$2:$J$50000,"系统测试")</f>
        <v>0</v>
      </c>
      <c r="R8" s="296">
        <f>COUNTIFS(缺陷明细!$A$2:$A$50000,$B$4,缺陷明细!$G$2:$G$50000,$C8,缺陷明细!$AB$2:$AB$50000,"丢弃",缺陷明细!$J$2:$J$50000,"系统测试")+COUNTIFS(缺陷明细!$A$2:$A$50000,$B$4,缺陷明细!$G$2:$G$50000,$C8,缺陷明细!$AB$2:$AB$50000,"设计如此",缺陷明细!$J$2:$J$50000,"系统测试")+COUNTIFS(缺陷明细!$A$2:$A$50000,$B$4,缺陷明细!$G$2:$G$50000,$C8,缺陷明细!$AB$2:$AB$50000,"重复Bug",缺陷明细!$J$2:$J$50000,"系统测试")</f>
        <v>0</v>
      </c>
      <c r="S8" s="72">
        <f>COUNTIFS(缺陷明细!$A$2:$A$50000,$B$4,缺陷明细!$G$2:$G$50000,$C8,缺陷明细!$J$2:$J$50000,"系统测试",缺陷明细!$K$2:$K$50000,"致命",缺陷明细!$AB$2:$AB$50000,"&lt;&gt;丢弃",缺陷明细!$AB$2:$AB$50000,"&lt;&gt;设计如此",缺陷明细!$AB$2:$AB$50000,"&lt;&gt;重复Bug")+COUNTIFS(缺陷明细!$A$2:$A$50000,$B$4,缺陷明细!$G$2:$G$50000,$C8,缺陷明细!$J$2:$J$50000,"系统测试",缺陷明细!$K$2:$K$50000,"严重",缺陷明细!$AB$2:$AB$50000,"&lt;&gt;丢弃",缺陷明细!$AB$2:$AB$50000,"&lt;&gt;设计如此",缺陷明细!$AB$2:$AB$50000,"&lt;&gt;重复Bug")</f>
        <v>0</v>
      </c>
      <c r="T8" s="73">
        <f>COUNTIFS(缺陷明细!$A$2:$A$50000,$B$4,缺陷明细!$G$2:$G$50000,$C8,缺陷明细!$Q$2:$Q$50000,"已关闭",缺陷明细!$J$2:$J$50000,"系统测试",缺陷明细!$K$2:$K$50000,"致命")+COUNTIFS(缺陷明细!$A$2:$A$50000,$B$4,缺陷明细!$G$2:$G$50000,$C8,缺陷明细!$Q$2:$Q$50000,"已关闭",缺陷明细!$J$2:$J$50000,"系统测试",缺陷明细!$K$2:$K$50000,"严重")</f>
        <v>0</v>
      </c>
      <c r="U8" s="74">
        <f>COUNTIFS(缺陷明细!$A$2:$A$50000,$B$4,缺陷明细!$G$2:$G$50000,$C8,缺陷明细!$J$2:$J$50000,"验收测试",缺陷明细!$AB$2:$AB$50000,"&lt;&gt;丢弃",缺陷明细!$AB$2:$AB$50000,"&lt;&gt;设计如此",缺陷明细!$AB$2:$AB$50000,"&lt;&gt;重复Bug")</f>
        <v>0</v>
      </c>
      <c r="V8" s="75">
        <f>COUNTIFS(缺陷明细!$A$2:$A$50000,$B$4,缺陷明细!$G$2:$G$50000,$C8,缺陷明细!$Q$2:$Q$50000,"已关闭",缺陷明细!$J$2:$J$50000,"验收测试")</f>
        <v>0</v>
      </c>
      <c r="W8" s="75">
        <f>COUNTIFS(缺陷明细!$A$2:$A$50000,$B$4,缺陷明细!$G$2:$G$50000,$C8,缺陷明细!$J$2:$J$50000,"验收测试",缺陷明细!$K$2:$K$50000,"致命",缺陷明细!$AB$2:$AB$50000,"&lt;&gt;丢弃",缺陷明细!$AB$2:$AB$50000,"&lt;&gt;设计如此",缺陷明细!$AB$2:$AB$50000,"&lt;&gt;重复Bug")+COUNTIFS(缺陷明细!$A$2:$A$50000,$B$4,缺陷明细!$G$2:$G$50000,$C8,缺陷明细!$J$2:$J$50000,"验收测试",缺陷明细!$K$2:$K$50000,"严重",缺陷明细!$AB$2:$AB$50000,"&lt;&gt;丢弃",缺陷明细!$AB$2:$AB$50000,"&lt;&gt;设计如此",缺陷明细!$AB$2:$AB$50000,"&lt;&gt;重复Bug")</f>
        <v>0</v>
      </c>
      <c r="X8" s="76">
        <f>COUNTIFS(缺陷明细!$A$2:$A$50000,$B$4,缺陷明细!$G$2:$G$50000,$C8,缺陷明细!$Q$2:$Q$50000,"已关闭",缺陷明细!$J$2:$J$50000,"验收测试",缺陷明细!$K$2:$K$50000,"致命")+COUNTIFS(缺陷明细!$A$2:$A$50000,$B$4,缺陷明细!$G$2:$G$50000,$C8,缺陷明细!$Q$2:$Q$50000,"已关闭",缺陷明细!$J$2:$J$50000,"验收测试",缺陷明细!$K$2:$K$50000,"严重")</f>
        <v>0</v>
      </c>
      <c r="Y8" s="70">
        <f>COUNTIFS(缺陷明细!$A$2:$A$50000,$B$4,缺陷明细!$G$2:$G$50000,$C8,缺陷明细!$J$2:$J$50000,"运维测试",缺陷明细!$AB$2:$AB$50000,"&lt;&gt;丢弃",缺陷明细!$AB$2:$AB$50000,"&lt;&gt;设计如此",缺陷明细!$AB$2:$AB$50000,"&lt;&gt;重复Bug")</f>
        <v>0</v>
      </c>
      <c r="Z8" s="71">
        <f>COUNTIFS(缺陷明细!$A$2:$A$50000,$B$4,缺陷明细!$G$2:$G$50000,$C8,缺陷明细!$Q$2:$Q$50000,"已关闭",缺陷明细!$J$2:$J$50000,"运维测试")</f>
        <v>0</v>
      </c>
      <c r="AA8" s="72">
        <f>COUNTIFS(缺陷明细!$A$2:$A$50000,$B$4,缺陷明细!$G$2:$G$50000,$C8,缺陷明细!$J$2:$J$50000,"运维测试",缺陷明细!$K$2:$K$50000,"致命",缺陷明细!$AB$2:$AB$50000,"&lt;&gt;丢弃",缺陷明细!$AB$2:$AB$50000,"&lt;&gt;设计如此",缺陷明细!$AB$2:$AB$50000,"&lt;&gt;重复Bug")+COUNTIFS(缺陷明细!$A$2:$A$50000,$B$4,缺陷明细!$G$2:$G$50000,$C8,缺陷明细!$J$2:$J$50000,"运维测试",缺陷明细!$K$2:$K$50000,"严重",缺陷明细!$AB$2:$AB$50000,"&lt;&gt;丢弃",缺陷明细!$AB$2:$AB$50000,"&lt;&gt;设计如此",缺陷明细!$AB$2:$AB$50000,"&lt;&gt;重复Bug")</f>
        <v>0</v>
      </c>
      <c r="AB8" s="73">
        <f>COUNTIFS(缺陷明细!$A$2:$A$50000,$B$4,缺陷明细!$G$2:$G$50000,$C8,缺陷明细!$Q$2:$Q$50000,"已关闭",缺陷明细!$J$2:$J$50000,"运维测试",缺陷明细!$K$2:$K$50000,"致命")+COUNTIFS(缺陷明细!$A$2:$A$50000,$B$4,缺陷明细!$G$2:$G$50000,$C8,缺陷明细!$Q$2:$Q$50000,"已关闭",缺陷明细!$J$2:$J$50000,"运维测试",缺陷明细!$K$2:$K$50000,"严重")</f>
        <v>0</v>
      </c>
      <c r="AC8" s="68">
        <f t="shared" si="0"/>
        <v>0</v>
      </c>
      <c r="AD8" s="60">
        <f t="shared" si="0"/>
        <v>0</v>
      </c>
      <c r="AE8" s="60">
        <f t="shared" si="1"/>
        <v>0</v>
      </c>
      <c r="AF8" s="60">
        <f t="shared" si="1"/>
        <v>0</v>
      </c>
      <c r="AG8" s="60">
        <f t="shared" si="2"/>
        <v>0</v>
      </c>
      <c r="AH8" s="60">
        <f t="shared" si="2"/>
        <v>0</v>
      </c>
      <c r="AI8" s="60">
        <f t="shared" si="3"/>
        <v>0</v>
      </c>
      <c r="AJ8" s="61">
        <f t="shared" si="3"/>
        <v>0</v>
      </c>
      <c r="AK8" s="144"/>
    </row>
    <row r="9" spans="1:37">
      <c r="A9">
        <v>5</v>
      </c>
      <c r="B9" s="57"/>
      <c r="C9" s="59"/>
      <c r="D9" s="84"/>
      <c r="E9" s="82"/>
      <c r="F9" s="160"/>
      <c r="G9" s="161"/>
      <c r="H9" s="281">
        <f>COUNTIFS(缺陷明细!$A$2:$A$50000,$B$4,缺陷明细!$G$2:$G$50000,$C9,缺陷明细!$J$2:$J$50000,"评审",缺陷明细!$AB$2:$AB$50000,"&lt;&gt;丢弃",缺陷明细!$AB$2:$AB$50000,"&lt;&gt;设计如此",缺陷明细!$AB$2:$AB$50000,"&lt;&gt;重复Bug")</f>
        <v>0</v>
      </c>
      <c r="I9" s="154">
        <f>COUNTIFS(缺陷明细!$A$2:$A$50000,$B$4,缺陷明细!$G$2:$G$50000,$C9,缺陷明细!$Q$2:$Q$50000,"已关闭",缺陷明细!$J$2:$J$50000,"评审")</f>
        <v>0</v>
      </c>
      <c r="J9" s="154">
        <f>COUNTIFS(缺陷明细!$A$2:$A$50000,$B$4,缺陷明细!$G$2:$G$50000,$C9,缺陷明细!$J$2:$J$50000,"单元测试",缺陷明细!$AB$2:$AB$50000,"&lt;&gt;丢弃",缺陷明细!$AB$2:$AB$50000,"&lt;&gt;设计如此",缺陷明细!$AB$2:$AB$50000,"&lt;&gt;重复Bug")</f>
        <v>0</v>
      </c>
      <c r="K9" s="155">
        <f>COUNTIFS(缺陷明细!$A$2:$A$50000,$B$4,缺陷明细!$G$2:$G$50000,$C9,缺陷明细!$Q$2:$Q$50000,"已关闭",缺陷明细!$J$2:$J$50000,"单元测试")</f>
        <v>0</v>
      </c>
      <c r="L9" s="156"/>
      <c r="M9" s="157"/>
      <c r="N9" s="72">
        <f>COUNTIFS(缺陷明细!$A$2:$A$50000,$B$4,缺陷明细!$G$2:$G$50000,$C9,缺陷明细!$J$2:$J$50000,"系统测试案例评审",缺陷明细!$AB$2:$AB$50000,"&lt;&gt;丢弃",缺陷明细!$AB$2:$AB$50000,"&lt;&gt;设计如此",缺陷明细!$AB$2:$AB$50000,"&lt;&gt;重复Bug")</f>
        <v>0</v>
      </c>
      <c r="O9" s="72">
        <f>COUNTIFS(缺陷明细!$A$2:$A$50000,$B$4,缺陷明细!$G$2:$G$50000,$C9,缺陷明细!$Q$2:$Q$50000,"已关闭",缺陷明细!$J$2:$J$50000,"系统测试案例评审")</f>
        <v>0</v>
      </c>
      <c r="P9" s="72">
        <f>COUNTIFS(缺陷明细!$A$2:$A$50000,$B$4,缺陷明细!$G$2:$G$50000,$C9,缺陷明细!$J$2:$J$50000,"系统测试",缺陷明细!$AB$2:$AB$50000,"&lt;&gt;丢弃",缺陷明细!$AB$2:$AB$50000,"&lt;&gt;设计如此",缺陷明细!$AB$2:$AB$50000,"&lt;&gt;重复Bug")</f>
        <v>0</v>
      </c>
      <c r="Q9" s="72">
        <f>COUNTIFS(缺陷明细!$A$2:$A$50000,$B$4,缺陷明细!$G$2:$G$50000,$C9,缺陷明细!$Q$2:$Q$50000,"已关闭",缺陷明细!$J$2:$J$50000,"系统测试")</f>
        <v>0</v>
      </c>
      <c r="R9" s="296">
        <f>COUNTIFS(缺陷明细!$A$2:$A$50000,$B$4,缺陷明细!$G$2:$G$50000,$C9,缺陷明细!$AB$2:$AB$50000,"丢弃",缺陷明细!$J$2:$J$50000,"系统测试")+COUNTIFS(缺陷明细!$A$2:$A$50000,$B$4,缺陷明细!$G$2:$G$50000,$C9,缺陷明细!$AB$2:$AB$50000,"设计如此",缺陷明细!$J$2:$J$50000,"系统测试")+COUNTIFS(缺陷明细!$A$2:$A$50000,$B$4,缺陷明细!$G$2:$G$50000,$C9,缺陷明细!$AB$2:$AB$50000,"重复Bug",缺陷明细!$J$2:$J$50000,"系统测试")</f>
        <v>0</v>
      </c>
      <c r="S9" s="72">
        <f>COUNTIFS(缺陷明细!$A$2:$A$50000,$B$4,缺陷明细!$G$2:$G$50000,$C9,缺陷明细!$J$2:$J$50000,"系统测试",缺陷明细!$K$2:$K$50000,"致命",缺陷明细!$AB$2:$AB$50000,"&lt;&gt;丢弃",缺陷明细!$AB$2:$AB$50000,"&lt;&gt;设计如此",缺陷明细!$AB$2:$AB$50000,"&lt;&gt;重复Bug")+COUNTIFS(缺陷明细!$A$2:$A$50000,$B$4,缺陷明细!$G$2:$G$50000,$C9,缺陷明细!$J$2:$J$50000,"系统测试",缺陷明细!$K$2:$K$50000,"严重",缺陷明细!$AB$2:$AB$50000,"&lt;&gt;丢弃",缺陷明细!$AB$2:$AB$50000,"&lt;&gt;设计如此",缺陷明细!$AB$2:$AB$50000,"&lt;&gt;重复Bug")</f>
        <v>0</v>
      </c>
      <c r="T9" s="73">
        <f>COUNTIFS(缺陷明细!$A$2:$A$50000,$B$4,缺陷明细!$G$2:$G$50000,$C9,缺陷明细!$Q$2:$Q$50000,"已关闭",缺陷明细!$J$2:$J$50000,"系统测试",缺陷明细!$K$2:$K$50000,"致命")+COUNTIFS(缺陷明细!$A$2:$A$50000,$B$4,缺陷明细!$G$2:$G$50000,$C9,缺陷明细!$Q$2:$Q$50000,"已关闭",缺陷明细!$J$2:$J$50000,"系统测试",缺陷明细!$K$2:$K$50000,"严重")</f>
        <v>0</v>
      </c>
      <c r="U9" s="74">
        <f>COUNTIFS(缺陷明细!$A$2:$A$50000,$B$4,缺陷明细!$G$2:$G$50000,$C9,缺陷明细!$J$2:$J$50000,"验收测试",缺陷明细!$AB$2:$AB$50000,"&lt;&gt;丢弃",缺陷明细!$AB$2:$AB$50000,"&lt;&gt;设计如此",缺陷明细!$AB$2:$AB$50000,"&lt;&gt;重复Bug")</f>
        <v>0</v>
      </c>
      <c r="V9" s="75">
        <f>COUNTIFS(缺陷明细!$A$2:$A$50000,$B$4,缺陷明细!$G$2:$G$50000,$C9,缺陷明细!$Q$2:$Q$50000,"已关闭",缺陷明细!$J$2:$J$50000,"验收测试")</f>
        <v>0</v>
      </c>
      <c r="W9" s="75">
        <f>COUNTIFS(缺陷明细!$A$2:$A$50000,$B$4,缺陷明细!$G$2:$G$50000,$C9,缺陷明细!$J$2:$J$50000,"验收测试",缺陷明细!$K$2:$K$50000,"致命",缺陷明细!$AB$2:$AB$50000,"&lt;&gt;丢弃",缺陷明细!$AB$2:$AB$50000,"&lt;&gt;设计如此",缺陷明细!$AB$2:$AB$50000,"&lt;&gt;重复Bug")+COUNTIFS(缺陷明细!$A$2:$A$50000,$B$4,缺陷明细!$G$2:$G$50000,$C9,缺陷明细!$J$2:$J$50000,"验收测试",缺陷明细!$K$2:$K$50000,"严重",缺陷明细!$AB$2:$AB$50000,"&lt;&gt;丢弃",缺陷明细!$AB$2:$AB$50000,"&lt;&gt;设计如此",缺陷明细!$AB$2:$AB$50000,"&lt;&gt;重复Bug")</f>
        <v>0</v>
      </c>
      <c r="X9" s="76">
        <f>COUNTIFS(缺陷明细!$A$2:$A$50000,$B$4,缺陷明细!$G$2:$G$50000,$C9,缺陷明细!$Q$2:$Q$50000,"已关闭",缺陷明细!$J$2:$J$50000,"验收测试",缺陷明细!$K$2:$K$50000,"致命")+COUNTIFS(缺陷明细!$A$2:$A$50000,$B$4,缺陷明细!$G$2:$G$50000,$C9,缺陷明细!$Q$2:$Q$50000,"已关闭",缺陷明细!$J$2:$J$50000,"验收测试",缺陷明细!$K$2:$K$50000,"严重")</f>
        <v>0</v>
      </c>
      <c r="Y9" s="70">
        <f>COUNTIFS(缺陷明细!$A$2:$A$50000,$B$4,缺陷明细!$G$2:$G$50000,$C9,缺陷明细!$J$2:$J$50000,"运维测试",缺陷明细!$AB$2:$AB$50000,"&lt;&gt;丢弃",缺陷明细!$AB$2:$AB$50000,"&lt;&gt;设计如此",缺陷明细!$AB$2:$AB$50000,"&lt;&gt;重复Bug")</f>
        <v>0</v>
      </c>
      <c r="Z9" s="71">
        <f>COUNTIFS(缺陷明细!$A$2:$A$50000,$B$4,缺陷明细!$G$2:$G$50000,$C9,缺陷明细!$Q$2:$Q$50000,"已关闭",缺陷明细!$J$2:$J$50000,"运维测试")</f>
        <v>0</v>
      </c>
      <c r="AA9" s="72">
        <f>COUNTIFS(缺陷明细!$A$2:$A$50000,$B$4,缺陷明细!$G$2:$G$50000,$C9,缺陷明细!$J$2:$J$50000,"运维测试",缺陷明细!$K$2:$K$50000,"致命",缺陷明细!$AB$2:$AB$50000,"&lt;&gt;丢弃",缺陷明细!$AB$2:$AB$50000,"&lt;&gt;设计如此",缺陷明细!$AB$2:$AB$50000,"&lt;&gt;重复Bug")+COUNTIFS(缺陷明细!$A$2:$A$50000,$B$4,缺陷明细!$G$2:$G$50000,$C9,缺陷明细!$J$2:$J$50000,"运维测试",缺陷明细!$K$2:$K$50000,"严重",缺陷明细!$AB$2:$AB$50000,"&lt;&gt;丢弃",缺陷明细!$AB$2:$AB$50000,"&lt;&gt;设计如此",缺陷明细!$AB$2:$AB$50000,"&lt;&gt;重复Bug")</f>
        <v>0</v>
      </c>
      <c r="AB9" s="73">
        <f>COUNTIFS(缺陷明细!$A$2:$A$50000,$B$4,缺陷明细!$G$2:$G$50000,$C9,缺陷明细!$Q$2:$Q$50000,"已关闭",缺陷明细!$J$2:$J$50000,"运维测试",缺陷明细!$K$2:$K$50000,"致命")+COUNTIFS(缺陷明细!$A$2:$A$50000,$B$4,缺陷明细!$G$2:$G$50000,$C9,缺陷明细!$Q$2:$Q$50000,"已关闭",缺陷明细!$J$2:$J$50000,"运维测试",缺陷明细!$K$2:$K$50000,"严重")</f>
        <v>0</v>
      </c>
      <c r="AC9" s="68">
        <f t="shared" si="0"/>
        <v>0</v>
      </c>
      <c r="AD9" s="60">
        <f t="shared" si="0"/>
        <v>0</v>
      </c>
      <c r="AE9" s="60">
        <f t="shared" si="1"/>
        <v>0</v>
      </c>
      <c r="AF9" s="60">
        <f t="shared" si="1"/>
        <v>0</v>
      </c>
      <c r="AG9" s="60">
        <f t="shared" si="2"/>
        <v>0</v>
      </c>
      <c r="AH9" s="60">
        <f t="shared" si="2"/>
        <v>0</v>
      </c>
      <c r="AI9" s="60">
        <f t="shared" si="3"/>
        <v>0</v>
      </c>
      <c r="AJ9" s="61">
        <f t="shared" si="3"/>
        <v>0</v>
      </c>
      <c r="AK9" s="144"/>
    </row>
    <row r="10" spans="1:37">
      <c r="A10">
        <v>6</v>
      </c>
      <c r="B10" s="57"/>
      <c r="C10" s="58"/>
      <c r="D10" s="84"/>
      <c r="E10" s="82"/>
      <c r="F10" s="158"/>
      <c r="G10" s="159"/>
      <c r="H10" s="281">
        <f>COUNTIFS(缺陷明细!$A$2:$A$50000,$B$4,缺陷明细!$G$2:$G$50000,$C10,缺陷明细!$J$2:$J$50000,"评审",缺陷明细!$AB$2:$AB$50000,"&lt;&gt;丢弃",缺陷明细!$AB$2:$AB$50000,"&lt;&gt;设计如此",缺陷明细!$AB$2:$AB$50000,"&lt;&gt;重复Bug")</f>
        <v>0</v>
      </c>
      <c r="I10" s="154">
        <f>COUNTIFS(缺陷明细!$A$2:$A$50000,$B$4,缺陷明细!$G$2:$G$50000,$C10,缺陷明细!$Q$2:$Q$50000,"已关闭",缺陷明细!$J$2:$J$50000,"评审")</f>
        <v>0</v>
      </c>
      <c r="J10" s="154">
        <f>COUNTIFS(缺陷明细!$A$2:$A$50000,$B$4,缺陷明细!$G$2:$G$50000,$C10,缺陷明细!$J$2:$J$50000,"单元测试",缺陷明细!$AB$2:$AB$50000,"&lt;&gt;丢弃",缺陷明细!$AB$2:$AB$50000,"&lt;&gt;设计如此",缺陷明细!$AB$2:$AB$50000,"&lt;&gt;重复Bug")</f>
        <v>0</v>
      </c>
      <c r="K10" s="155">
        <f>COUNTIFS(缺陷明细!$A$2:$A$50000,$B$4,缺陷明细!$G$2:$G$50000,$C10,缺陷明细!$Q$2:$Q$50000,"已关闭",缺陷明细!$J$2:$J$50000,"单元测试")</f>
        <v>0</v>
      </c>
      <c r="L10" s="156"/>
      <c r="M10" s="157"/>
      <c r="N10" s="72">
        <f>COUNTIFS(缺陷明细!$A$2:$A$50000,$B$4,缺陷明细!$G$2:$G$50000,$C10,缺陷明细!$J$2:$J$50000,"系统测试案例评审",缺陷明细!$AB$2:$AB$50000,"&lt;&gt;丢弃",缺陷明细!$AB$2:$AB$50000,"&lt;&gt;设计如此",缺陷明细!$AB$2:$AB$50000,"&lt;&gt;重复Bug")</f>
        <v>0</v>
      </c>
      <c r="O10" s="72">
        <f>COUNTIFS(缺陷明细!$A$2:$A$50000,$B$4,缺陷明细!$G$2:$G$50000,$C10,缺陷明细!$Q$2:$Q$50000,"已关闭",缺陷明细!$J$2:$J$50000,"系统测试案例评审")</f>
        <v>0</v>
      </c>
      <c r="P10" s="72">
        <f>COUNTIFS(缺陷明细!$A$2:$A$50000,$B$4,缺陷明细!$G$2:$G$50000,$C10,缺陷明细!$J$2:$J$50000,"系统测试",缺陷明细!$AB$2:$AB$50000,"&lt;&gt;丢弃",缺陷明细!$AB$2:$AB$50000,"&lt;&gt;设计如此",缺陷明细!$AB$2:$AB$50000,"&lt;&gt;重复Bug")</f>
        <v>0</v>
      </c>
      <c r="Q10" s="72">
        <f>COUNTIFS(缺陷明细!$A$2:$A$50000,$B$4,缺陷明细!$G$2:$G$50000,$C10,缺陷明细!$Q$2:$Q$50000,"已关闭",缺陷明细!$J$2:$J$50000,"系统测试")</f>
        <v>0</v>
      </c>
      <c r="R10" s="296">
        <f>COUNTIFS(缺陷明细!$A$2:$A$50000,$B$4,缺陷明细!$G$2:$G$50000,$C10,缺陷明细!$AB$2:$AB$50000,"丢弃",缺陷明细!$J$2:$J$50000,"系统测试")+COUNTIFS(缺陷明细!$A$2:$A$50000,$B$4,缺陷明细!$G$2:$G$50000,$C10,缺陷明细!$AB$2:$AB$50000,"设计如此",缺陷明细!$J$2:$J$50000,"系统测试")+COUNTIFS(缺陷明细!$A$2:$A$50000,$B$4,缺陷明细!$G$2:$G$50000,$C10,缺陷明细!$AB$2:$AB$50000,"重复Bug",缺陷明细!$J$2:$J$50000,"系统测试")</f>
        <v>0</v>
      </c>
      <c r="S10" s="72">
        <f>COUNTIFS(缺陷明细!$A$2:$A$50000,$B$4,缺陷明细!$G$2:$G$50000,$C10,缺陷明细!$J$2:$J$50000,"系统测试",缺陷明细!$K$2:$K$50000,"致命",缺陷明细!$AB$2:$AB$50000,"&lt;&gt;丢弃",缺陷明细!$AB$2:$AB$50000,"&lt;&gt;设计如此",缺陷明细!$AB$2:$AB$50000,"&lt;&gt;重复Bug")+COUNTIFS(缺陷明细!$A$2:$A$50000,$B$4,缺陷明细!$G$2:$G$50000,$C10,缺陷明细!$J$2:$J$50000,"系统测试",缺陷明细!$K$2:$K$50000,"严重",缺陷明细!$AB$2:$AB$50000,"&lt;&gt;丢弃",缺陷明细!$AB$2:$AB$50000,"&lt;&gt;设计如此",缺陷明细!$AB$2:$AB$50000,"&lt;&gt;重复Bug")</f>
        <v>0</v>
      </c>
      <c r="T10" s="73">
        <f>COUNTIFS(缺陷明细!$A$2:$A$50000,$B$4,缺陷明细!$G$2:$G$50000,$C10,缺陷明细!$Q$2:$Q$50000,"已关闭",缺陷明细!$J$2:$J$50000,"系统测试",缺陷明细!$K$2:$K$50000,"致命")+COUNTIFS(缺陷明细!$A$2:$A$50000,$B$4,缺陷明细!$G$2:$G$50000,$C10,缺陷明细!$Q$2:$Q$50000,"已关闭",缺陷明细!$J$2:$J$50000,"系统测试",缺陷明细!$K$2:$K$50000,"严重")</f>
        <v>0</v>
      </c>
      <c r="U10" s="74">
        <f>COUNTIFS(缺陷明细!$A$2:$A$50000,$B$4,缺陷明细!$G$2:$G$50000,$C10,缺陷明细!$J$2:$J$50000,"验收测试",缺陷明细!$AB$2:$AB$50000,"&lt;&gt;丢弃",缺陷明细!$AB$2:$AB$50000,"&lt;&gt;设计如此",缺陷明细!$AB$2:$AB$50000,"&lt;&gt;重复Bug")</f>
        <v>0</v>
      </c>
      <c r="V10" s="75">
        <f>COUNTIFS(缺陷明细!$A$2:$A$50000,$B$4,缺陷明细!$G$2:$G$50000,$C10,缺陷明细!$Q$2:$Q$50000,"已关闭",缺陷明细!$J$2:$J$50000,"验收测试")</f>
        <v>0</v>
      </c>
      <c r="W10" s="75">
        <f>COUNTIFS(缺陷明细!$A$2:$A$50000,$B$4,缺陷明细!$G$2:$G$50000,$C10,缺陷明细!$J$2:$J$50000,"验收测试",缺陷明细!$K$2:$K$50000,"致命",缺陷明细!$AB$2:$AB$50000,"&lt;&gt;丢弃",缺陷明细!$AB$2:$AB$50000,"&lt;&gt;设计如此",缺陷明细!$AB$2:$AB$50000,"&lt;&gt;重复Bug")+COUNTIFS(缺陷明细!$A$2:$A$50000,$B$4,缺陷明细!$G$2:$G$50000,$C10,缺陷明细!$J$2:$J$50000,"验收测试",缺陷明细!$K$2:$K$50000,"严重",缺陷明细!$AB$2:$AB$50000,"&lt;&gt;丢弃",缺陷明细!$AB$2:$AB$50000,"&lt;&gt;设计如此",缺陷明细!$AB$2:$AB$50000,"&lt;&gt;重复Bug")</f>
        <v>0</v>
      </c>
      <c r="X10" s="76">
        <f>COUNTIFS(缺陷明细!$A$2:$A$50000,$B$4,缺陷明细!$G$2:$G$50000,$C10,缺陷明细!$Q$2:$Q$50000,"已关闭",缺陷明细!$J$2:$J$50000,"验收测试",缺陷明细!$K$2:$K$50000,"致命")+COUNTIFS(缺陷明细!$A$2:$A$50000,$B$4,缺陷明细!$G$2:$G$50000,$C10,缺陷明细!$Q$2:$Q$50000,"已关闭",缺陷明细!$J$2:$J$50000,"验收测试",缺陷明细!$K$2:$K$50000,"严重")</f>
        <v>0</v>
      </c>
      <c r="Y10" s="70">
        <f>COUNTIFS(缺陷明细!$A$2:$A$50000,$B$4,缺陷明细!$G$2:$G$50000,$C10,缺陷明细!$J$2:$J$50000,"运维测试",缺陷明细!$AB$2:$AB$50000,"&lt;&gt;丢弃",缺陷明细!$AB$2:$AB$50000,"&lt;&gt;设计如此",缺陷明细!$AB$2:$AB$50000,"&lt;&gt;重复Bug")</f>
        <v>0</v>
      </c>
      <c r="Z10" s="71">
        <f>COUNTIFS(缺陷明细!$A$2:$A$50000,$B$4,缺陷明细!$G$2:$G$50000,$C10,缺陷明细!$Q$2:$Q$50000,"已关闭",缺陷明细!$J$2:$J$50000,"运维测试")</f>
        <v>0</v>
      </c>
      <c r="AA10" s="72">
        <f>COUNTIFS(缺陷明细!$A$2:$A$50000,$B$4,缺陷明细!$G$2:$G$50000,$C10,缺陷明细!$J$2:$J$50000,"运维测试",缺陷明细!$K$2:$K$50000,"致命",缺陷明细!$AB$2:$AB$50000,"&lt;&gt;丢弃",缺陷明细!$AB$2:$AB$50000,"&lt;&gt;设计如此",缺陷明细!$AB$2:$AB$50000,"&lt;&gt;重复Bug")+COUNTIFS(缺陷明细!$A$2:$A$50000,$B$4,缺陷明细!$G$2:$G$50000,$C10,缺陷明细!$J$2:$J$50000,"运维测试",缺陷明细!$K$2:$K$50000,"严重",缺陷明细!$AB$2:$AB$50000,"&lt;&gt;丢弃",缺陷明细!$AB$2:$AB$50000,"&lt;&gt;设计如此",缺陷明细!$AB$2:$AB$50000,"&lt;&gt;重复Bug")</f>
        <v>0</v>
      </c>
      <c r="AB10" s="73">
        <f>COUNTIFS(缺陷明细!$A$2:$A$50000,$B$4,缺陷明细!$G$2:$G$50000,$C10,缺陷明细!$Q$2:$Q$50000,"已关闭",缺陷明细!$J$2:$J$50000,"运维测试",缺陷明细!$K$2:$K$50000,"致命")+COUNTIFS(缺陷明细!$A$2:$A$50000,$B$4,缺陷明细!$G$2:$G$50000,$C10,缺陷明细!$Q$2:$Q$50000,"已关闭",缺陷明细!$J$2:$J$50000,"运维测试",缺陷明细!$K$2:$K$50000,"严重")</f>
        <v>0</v>
      </c>
      <c r="AC10" s="68">
        <f t="shared" si="0"/>
        <v>0</v>
      </c>
      <c r="AD10" s="60">
        <f t="shared" si="0"/>
        <v>0</v>
      </c>
      <c r="AE10" s="60">
        <f t="shared" si="1"/>
        <v>0</v>
      </c>
      <c r="AF10" s="60">
        <f t="shared" si="1"/>
        <v>0</v>
      </c>
      <c r="AG10" s="60">
        <f t="shared" si="2"/>
        <v>0</v>
      </c>
      <c r="AH10" s="60">
        <f t="shared" si="2"/>
        <v>0</v>
      </c>
      <c r="AI10" s="60">
        <f t="shared" si="3"/>
        <v>0</v>
      </c>
      <c r="AJ10" s="61">
        <f t="shared" si="3"/>
        <v>0</v>
      </c>
      <c r="AK10" s="144"/>
    </row>
    <row r="11" spans="1:37">
      <c r="A11">
        <v>7</v>
      </c>
      <c r="B11" s="57"/>
      <c r="C11" s="58"/>
      <c r="D11" s="84"/>
      <c r="E11" s="82"/>
      <c r="F11" s="158"/>
      <c r="G11" s="159"/>
      <c r="H11" s="281">
        <f>COUNTIFS(缺陷明细!$A$2:$A$50000,$B$4,缺陷明细!$G$2:$G$50000,$C11,缺陷明细!$J$2:$J$50000,"评审",缺陷明细!$AB$2:$AB$50000,"&lt;&gt;丢弃",缺陷明细!$AB$2:$AB$50000,"&lt;&gt;设计如此",缺陷明细!$AB$2:$AB$50000,"&lt;&gt;重复Bug")</f>
        <v>0</v>
      </c>
      <c r="I11" s="154">
        <f>COUNTIFS(缺陷明细!$A$2:$A$50000,$B$4,缺陷明细!$G$2:$G$50000,$C11,缺陷明细!$Q$2:$Q$50000,"已关闭",缺陷明细!$J$2:$J$50000,"评审")</f>
        <v>0</v>
      </c>
      <c r="J11" s="154">
        <f>COUNTIFS(缺陷明细!$A$2:$A$50000,$B$4,缺陷明细!$G$2:$G$50000,$C11,缺陷明细!$J$2:$J$50000,"单元测试",缺陷明细!$AB$2:$AB$50000,"&lt;&gt;丢弃",缺陷明细!$AB$2:$AB$50000,"&lt;&gt;设计如此",缺陷明细!$AB$2:$AB$50000,"&lt;&gt;重复Bug")</f>
        <v>0</v>
      </c>
      <c r="K11" s="155">
        <f>COUNTIFS(缺陷明细!$A$2:$A$50000,$B$4,缺陷明细!$G$2:$G$50000,$C11,缺陷明细!$Q$2:$Q$50000,"已关闭",缺陷明细!$J$2:$J$50000,"单元测试")</f>
        <v>0</v>
      </c>
      <c r="L11" s="156"/>
      <c r="M11" s="157"/>
      <c r="N11" s="72">
        <f>COUNTIFS(缺陷明细!$A$2:$A$50000,$B$4,缺陷明细!$G$2:$G$50000,$C11,缺陷明细!$J$2:$J$50000,"系统测试案例评审",缺陷明细!$AB$2:$AB$50000,"&lt;&gt;丢弃",缺陷明细!$AB$2:$AB$50000,"&lt;&gt;设计如此",缺陷明细!$AB$2:$AB$50000,"&lt;&gt;重复Bug")</f>
        <v>0</v>
      </c>
      <c r="O11" s="72">
        <f>COUNTIFS(缺陷明细!$A$2:$A$50000,$B$4,缺陷明细!$G$2:$G$50000,$C11,缺陷明细!$Q$2:$Q$50000,"已关闭",缺陷明细!$J$2:$J$50000,"系统测试案例评审")</f>
        <v>0</v>
      </c>
      <c r="P11" s="72">
        <f>COUNTIFS(缺陷明细!$A$2:$A$50000,$B$4,缺陷明细!$G$2:$G$50000,$C11,缺陷明细!$J$2:$J$50000,"系统测试",缺陷明细!$AB$2:$AB$50000,"&lt;&gt;丢弃",缺陷明细!$AB$2:$AB$50000,"&lt;&gt;设计如此",缺陷明细!$AB$2:$AB$50000,"&lt;&gt;重复Bug")</f>
        <v>0</v>
      </c>
      <c r="Q11" s="72">
        <f>COUNTIFS(缺陷明细!$A$2:$A$50000,$B$4,缺陷明细!$G$2:$G$50000,$C11,缺陷明细!$Q$2:$Q$50000,"已关闭",缺陷明细!$J$2:$J$50000,"系统测试")</f>
        <v>0</v>
      </c>
      <c r="R11" s="296">
        <f>COUNTIFS(缺陷明细!$A$2:$A$50000,$B$4,缺陷明细!$G$2:$G$50000,$C11,缺陷明细!$AB$2:$AB$50000,"丢弃",缺陷明细!$J$2:$J$50000,"系统测试")+COUNTIFS(缺陷明细!$A$2:$A$50000,$B$4,缺陷明细!$G$2:$G$50000,$C11,缺陷明细!$AB$2:$AB$50000,"设计如此",缺陷明细!$J$2:$J$50000,"系统测试")+COUNTIFS(缺陷明细!$A$2:$A$50000,$B$4,缺陷明细!$G$2:$G$50000,$C11,缺陷明细!$AB$2:$AB$50000,"重复Bug",缺陷明细!$J$2:$J$50000,"系统测试")</f>
        <v>0</v>
      </c>
      <c r="S11" s="72">
        <f>COUNTIFS(缺陷明细!$A$2:$A$50000,$B$4,缺陷明细!$G$2:$G$50000,$C11,缺陷明细!$J$2:$J$50000,"系统测试",缺陷明细!$K$2:$K$50000,"致命",缺陷明细!$AB$2:$AB$50000,"&lt;&gt;丢弃",缺陷明细!$AB$2:$AB$50000,"&lt;&gt;设计如此",缺陷明细!$AB$2:$AB$50000,"&lt;&gt;重复Bug")+COUNTIFS(缺陷明细!$A$2:$A$50000,$B$4,缺陷明细!$G$2:$G$50000,$C11,缺陷明细!$J$2:$J$50000,"系统测试",缺陷明细!$K$2:$K$50000,"严重",缺陷明细!$AB$2:$AB$50000,"&lt;&gt;丢弃",缺陷明细!$AB$2:$AB$50000,"&lt;&gt;设计如此",缺陷明细!$AB$2:$AB$50000,"&lt;&gt;重复Bug")</f>
        <v>0</v>
      </c>
      <c r="T11" s="73">
        <f>COUNTIFS(缺陷明细!$A$2:$A$50000,$B$4,缺陷明细!$G$2:$G$50000,$C11,缺陷明细!$Q$2:$Q$50000,"已关闭",缺陷明细!$J$2:$J$50000,"系统测试",缺陷明细!$K$2:$K$50000,"致命")+COUNTIFS(缺陷明细!$A$2:$A$50000,$B$4,缺陷明细!$G$2:$G$50000,$C11,缺陷明细!$Q$2:$Q$50000,"已关闭",缺陷明细!$J$2:$J$50000,"系统测试",缺陷明细!$K$2:$K$50000,"严重")</f>
        <v>0</v>
      </c>
      <c r="U11" s="74">
        <f>COUNTIFS(缺陷明细!$A$2:$A$50000,$B$4,缺陷明细!$G$2:$G$50000,$C11,缺陷明细!$J$2:$J$50000,"验收测试",缺陷明细!$AB$2:$AB$50000,"&lt;&gt;丢弃",缺陷明细!$AB$2:$AB$50000,"&lt;&gt;设计如此",缺陷明细!$AB$2:$AB$50000,"&lt;&gt;重复Bug")</f>
        <v>0</v>
      </c>
      <c r="V11" s="75">
        <f>COUNTIFS(缺陷明细!$A$2:$A$50000,$B$4,缺陷明细!$G$2:$G$50000,$C11,缺陷明细!$Q$2:$Q$50000,"已关闭",缺陷明细!$J$2:$J$50000,"验收测试")</f>
        <v>0</v>
      </c>
      <c r="W11" s="75">
        <f>COUNTIFS(缺陷明细!$A$2:$A$50000,$B$4,缺陷明细!$G$2:$G$50000,$C11,缺陷明细!$J$2:$J$50000,"验收测试",缺陷明细!$K$2:$K$50000,"致命",缺陷明细!$AB$2:$AB$50000,"&lt;&gt;丢弃",缺陷明细!$AB$2:$AB$50000,"&lt;&gt;设计如此",缺陷明细!$AB$2:$AB$50000,"&lt;&gt;重复Bug")+COUNTIFS(缺陷明细!$A$2:$A$50000,$B$4,缺陷明细!$G$2:$G$50000,$C11,缺陷明细!$J$2:$J$50000,"验收测试",缺陷明细!$K$2:$K$50000,"严重",缺陷明细!$AB$2:$AB$50000,"&lt;&gt;丢弃",缺陷明细!$AB$2:$AB$50000,"&lt;&gt;设计如此",缺陷明细!$AB$2:$AB$50000,"&lt;&gt;重复Bug")</f>
        <v>0</v>
      </c>
      <c r="X11" s="76">
        <f>COUNTIFS(缺陷明细!$A$2:$A$50000,$B$4,缺陷明细!$G$2:$G$50000,$C11,缺陷明细!$Q$2:$Q$50000,"已关闭",缺陷明细!$J$2:$J$50000,"验收测试",缺陷明细!$K$2:$K$50000,"致命")+COUNTIFS(缺陷明细!$A$2:$A$50000,$B$4,缺陷明细!$G$2:$G$50000,$C11,缺陷明细!$Q$2:$Q$50000,"已关闭",缺陷明细!$J$2:$J$50000,"验收测试",缺陷明细!$K$2:$K$50000,"严重")</f>
        <v>0</v>
      </c>
      <c r="Y11" s="70">
        <f>COUNTIFS(缺陷明细!$A$2:$A$50000,$B$4,缺陷明细!$G$2:$G$50000,$C11,缺陷明细!$J$2:$J$50000,"运维测试",缺陷明细!$AB$2:$AB$50000,"&lt;&gt;丢弃",缺陷明细!$AB$2:$AB$50000,"&lt;&gt;设计如此",缺陷明细!$AB$2:$AB$50000,"&lt;&gt;重复Bug")</f>
        <v>0</v>
      </c>
      <c r="Z11" s="71">
        <f>COUNTIFS(缺陷明细!$A$2:$A$50000,$B$4,缺陷明细!$G$2:$G$50000,$C11,缺陷明细!$Q$2:$Q$50000,"已关闭",缺陷明细!$J$2:$J$50000,"运维测试")</f>
        <v>0</v>
      </c>
      <c r="AA11" s="72">
        <f>COUNTIFS(缺陷明细!$A$2:$A$50000,$B$4,缺陷明细!$G$2:$G$50000,$C11,缺陷明细!$J$2:$J$50000,"运维测试",缺陷明细!$K$2:$K$50000,"致命",缺陷明细!$AB$2:$AB$50000,"&lt;&gt;丢弃",缺陷明细!$AB$2:$AB$50000,"&lt;&gt;设计如此",缺陷明细!$AB$2:$AB$50000,"&lt;&gt;重复Bug")+COUNTIFS(缺陷明细!$A$2:$A$50000,$B$4,缺陷明细!$G$2:$G$50000,$C11,缺陷明细!$J$2:$J$50000,"运维测试",缺陷明细!$K$2:$K$50000,"严重",缺陷明细!$AB$2:$AB$50000,"&lt;&gt;丢弃",缺陷明细!$AB$2:$AB$50000,"&lt;&gt;设计如此",缺陷明细!$AB$2:$AB$50000,"&lt;&gt;重复Bug")</f>
        <v>0</v>
      </c>
      <c r="AB11" s="73">
        <f>COUNTIFS(缺陷明细!$A$2:$A$50000,$B$4,缺陷明细!$G$2:$G$50000,$C11,缺陷明细!$Q$2:$Q$50000,"已关闭",缺陷明细!$J$2:$J$50000,"运维测试",缺陷明细!$K$2:$K$50000,"致命")+COUNTIFS(缺陷明细!$A$2:$A$50000,$B$4,缺陷明细!$G$2:$G$50000,$C11,缺陷明细!$Q$2:$Q$50000,"已关闭",缺陷明细!$J$2:$J$50000,"运维测试",缺陷明细!$K$2:$K$50000,"严重")</f>
        <v>0</v>
      </c>
      <c r="AC11" s="68">
        <f t="shared" si="0"/>
        <v>0</v>
      </c>
      <c r="AD11" s="60">
        <f t="shared" si="0"/>
        <v>0</v>
      </c>
      <c r="AE11" s="60">
        <f t="shared" si="1"/>
        <v>0</v>
      </c>
      <c r="AF11" s="60">
        <f t="shared" si="1"/>
        <v>0</v>
      </c>
      <c r="AG11" s="60">
        <f t="shared" si="2"/>
        <v>0</v>
      </c>
      <c r="AH11" s="60">
        <f t="shared" si="2"/>
        <v>0</v>
      </c>
      <c r="AI11" s="60">
        <f t="shared" si="3"/>
        <v>0</v>
      </c>
      <c r="AJ11" s="61">
        <f t="shared" si="3"/>
        <v>0</v>
      </c>
      <c r="AK11" s="144"/>
    </row>
    <row r="12" spans="1:37">
      <c r="A12">
        <v>8</v>
      </c>
      <c r="B12" s="57"/>
      <c r="C12" s="58"/>
      <c r="D12" s="84"/>
      <c r="E12" s="82"/>
      <c r="F12" s="158"/>
      <c r="G12" s="159"/>
      <c r="H12" s="281">
        <f>COUNTIFS(缺陷明细!$A$2:$A$50000,$B$4,缺陷明细!$G$2:$G$50000,$C12,缺陷明细!$J$2:$J$50000,"评审",缺陷明细!$AB$2:$AB$50000,"&lt;&gt;丢弃",缺陷明细!$AB$2:$AB$50000,"&lt;&gt;设计如此",缺陷明细!$AB$2:$AB$50000,"&lt;&gt;重复Bug")</f>
        <v>0</v>
      </c>
      <c r="I12" s="154">
        <f>COUNTIFS(缺陷明细!$A$2:$A$50000,$B$4,缺陷明细!$G$2:$G$50000,$C12,缺陷明细!$Q$2:$Q$50000,"已关闭",缺陷明细!$J$2:$J$50000,"评审")</f>
        <v>0</v>
      </c>
      <c r="J12" s="154">
        <f>COUNTIFS(缺陷明细!$A$2:$A$50000,$B$4,缺陷明细!$G$2:$G$50000,$C12,缺陷明细!$J$2:$J$50000,"单元测试",缺陷明细!$AB$2:$AB$50000,"&lt;&gt;丢弃",缺陷明细!$AB$2:$AB$50000,"&lt;&gt;设计如此",缺陷明细!$AB$2:$AB$50000,"&lt;&gt;重复Bug")</f>
        <v>0</v>
      </c>
      <c r="K12" s="155">
        <f>COUNTIFS(缺陷明细!$A$2:$A$50000,$B$4,缺陷明细!$G$2:$G$50000,$C12,缺陷明细!$Q$2:$Q$50000,"已关闭",缺陷明细!$J$2:$J$50000,"单元测试")</f>
        <v>0</v>
      </c>
      <c r="L12" s="156"/>
      <c r="M12" s="157"/>
      <c r="N12" s="72">
        <f>COUNTIFS(缺陷明细!$A$2:$A$50000,$B$4,缺陷明细!$G$2:$G$50000,$C12,缺陷明细!$J$2:$J$50000,"系统测试案例评审",缺陷明细!$AB$2:$AB$50000,"&lt;&gt;丢弃",缺陷明细!$AB$2:$AB$50000,"&lt;&gt;设计如此",缺陷明细!$AB$2:$AB$50000,"&lt;&gt;重复Bug")</f>
        <v>0</v>
      </c>
      <c r="O12" s="72">
        <f>COUNTIFS(缺陷明细!$A$2:$A$50000,$B$4,缺陷明细!$G$2:$G$50000,$C12,缺陷明细!$Q$2:$Q$50000,"已关闭",缺陷明细!$J$2:$J$50000,"系统测试案例评审")</f>
        <v>0</v>
      </c>
      <c r="P12" s="72">
        <f>COUNTIFS(缺陷明细!$A$2:$A$50000,$B$4,缺陷明细!$G$2:$G$50000,$C12,缺陷明细!$J$2:$J$50000,"系统测试",缺陷明细!$AB$2:$AB$50000,"&lt;&gt;丢弃",缺陷明细!$AB$2:$AB$50000,"&lt;&gt;设计如此",缺陷明细!$AB$2:$AB$50000,"&lt;&gt;重复Bug")</f>
        <v>0</v>
      </c>
      <c r="Q12" s="72">
        <f>COUNTIFS(缺陷明细!$A$2:$A$50000,$B$4,缺陷明细!$G$2:$G$50000,$C12,缺陷明细!$Q$2:$Q$50000,"已关闭",缺陷明细!$J$2:$J$50000,"系统测试")</f>
        <v>0</v>
      </c>
      <c r="R12" s="296">
        <f>COUNTIFS(缺陷明细!$A$2:$A$50000,$B$4,缺陷明细!$G$2:$G$50000,$C12,缺陷明细!$AB$2:$AB$50000,"丢弃",缺陷明细!$J$2:$J$50000,"系统测试")+COUNTIFS(缺陷明细!$A$2:$A$50000,$B$4,缺陷明细!$G$2:$G$50000,$C12,缺陷明细!$AB$2:$AB$50000,"设计如此",缺陷明细!$J$2:$J$50000,"系统测试")+COUNTIFS(缺陷明细!$A$2:$A$50000,$B$4,缺陷明细!$G$2:$G$50000,$C12,缺陷明细!$AB$2:$AB$50000,"重复Bug",缺陷明细!$J$2:$J$50000,"系统测试")</f>
        <v>0</v>
      </c>
      <c r="S12" s="72">
        <f>COUNTIFS(缺陷明细!$A$2:$A$50000,$B$4,缺陷明细!$G$2:$G$50000,$C12,缺陷明细!$J$2:$J$50000,"系统测试",缺陷明细!$K$2:$K$50000,"致命",缺陷明细!$AB$2:$AB$50000,"&lt;&gt;丢弃",缺陷明细!$AB$2:$AB$50000,"&lt;&gt;设计如此",缺陷明细!$AB$2:$AB$50000,"&lt;&gt;重复Bug")+COUNTIFS(缺陷明细!$A$2:$A$50000,$B$4,缺陷明细!$G$2:$G$50000,$C12,缺陷明细!$J$2:$J$50000,"系统测试",缺陷明细!$K$2:$K$50000,"严重",缺陷明细!$AB$2:$AB$50000,"&lt;&gt;丢弃",缺陷明细!$AB$2:$AB$50000,"&lt;&gt;设计如此",缺陷明细!$AB$2:$AB$50000,"&lt;&gt;重复Bug")</f>
        <v>0</v>
      </c>
      <c r="T12" s="73">
        <f>COUNTIFS(缺陷明细!$A$2:$A$50000,$B$4,缺陷明细!$G$2:$G$50000,$C12,缺陷明细!$Q$2:$Q$50000,"已关闭",缺陷明细!$J$2:$J$50000,"系统测试",缺陷明细!$K$2:$K$50000,"致命")+COUNTIFS(缺陷明细!$A$2:$A$50000,$B$4,缺陷明细!$G$2:$G$50000,$C12,缺陷明细!$Q$2:$Q$50000,"已关闭",缺陷明细!$J$2:$J$50000,"系统测试",缺陷明细!$K$2:$K$50000,"严重")</f>
        <v>0</v>
      </c>
      <c r="U12" s="74">
        <f>COUNTIFS(缺陷明细!$A$2:$A$50000,$B$4,缺陷明细!$G$2:$G$50000,$C12,缺陷明细!$J$2:$J$50000,"验收测试",缺陷明细!$AB$2:$AB$50000,"&lt;&gt;丢弃",缺陷明细!$AB$2:$AB$50000,"&lt;&gt;设计如此",缺陷明细!$AB$2:$AB$50000,"&lt;&gt;重复Bug")</f>
        <v>0</v>
      </c>
      <c r="V12" s="75">
        <f>COUNTIFS(缺陷明细!$A$2:$A$50000,$B$4,缺陷明细!$G$2:$G$50000,$C12,缺陷明细!$Q$2:$Q$50000,"已关闭",缺陷明细!$J$2:$J$50000,"验收测试")</f>
        <v>0</v>
      </c>
      <c r="W12" s="75">
        <f>COUNTIFS(缺陷明细!$A$2:$A$50000,$B$4,缺陷明细!$G$2:$G$50000,$C12,缺陷明细!$J$2:$J$50000,"验收测试",缺陷明细!$K$2:$K$50000,"致命",缺陷明细!$AB$2:$AB$50000,"&lt;&gt;丢弃",缺陷明细!$AB$2:$AB$50000,"&lt;&gt;设计如此",缺陷明细!$AB$2:$AB$50000,"&lt;&gt;重复Bug")+COUNTIFS(缺陷明细!$A$2:$A$50000,$B$4,缺陷明细!$G$2:$G$50000,$C12,缺陷明细!$J$2:$J$50000,"验收测试",缺陷明细!$K$2:$K$50000,"严重",缺陷明细!$AB$2:$AB$50000,"&lt;&gt;丢弃",缺陷明细!$AB$2:$AB$50000,"&lt;&gt;设计如此",缺陷明细!$AB$2:$AB$50000,"&lt;&gt;重复Bug")</f>
        <v>0</v>
      </c>
      <c r="X12" s="76">
        <f>COUNTIFS(缺陷明细!$A$2:$A$50000,$B$4,缺陷明细!$G$2:$G$50000,$C12,缺陷明细!$Q$2:$Q$50000,"已关闭",缺陷明细!$J$2:$J$50000,"验收测试",缺陷明细!$K$2:$K$50000,"致命")+COUNTIFS(缺陷明细!$A$2:$A$50000,$B$4,缺陷明细!$G$2:$G$50000,$C12,缺陷明细!$Q$2:$Q$50000,"已关闭",缺陷明细!$J$2:$J$50000,"验收测试",缺陷明细!$K$2:$K$50000,"严重")</f>
        <v>0</v>
      </c>
      <c r="Y12" s="70">
        <f>COUNTIFS(缺陷明细!$A$2:$A$50000,$B$4,缺陷明细!$G$2:$G$50000,$C12,缺陷明细!$J$2:$J$50000,"运维测试",缺陷明细!$AB$2:$AB$50000,"&lt;&gt;丢弃",缺陷明细!$AB$2:$AB$50000,"&lt;&gt;设计如此",缺陷明细!$AB$2:$AB$50000,"&lt;&gt;重复Bug")</f>
        <v>0</v>
      </c>
      <c r="Z12" s="71">
        <f>COUNTIFS(缺陷明细!$A$2:$A$50000,$B$4,缺陷明细!$G$2:$G$50000,$C12,缺陷明细!$Q$2:$Q$50000,"已关闭",缺陷明细!$J$2:$J$50000,"运维测试")</f>
        <v>0</v>
      </c>
      <c r="AA12" s="72">
        <f>COUNTIFS(缺陷明细!$A$2:$A$50000,$B$4,缺陷明细!$G$2:$G$50000,$C12,缺陷明细!$J$2:$J$50000,"运维测试",缺陷明细!$K$2:$K$50000,"致命",缺陷明细!$AB$2:$AB$50000,"&lt;&gt;丢弃",缺陷明细!$AB$2:$AB$50000,"&lt;&gt;设计如此",缺陷明细!$AB$2:$AB$50000,"&lt;&gt;重复Bug")+COUNTIFS(缺陷明细!$A$2:$A$50000,$B$4,缺陷明细!$G$2:$G$50000,$C12,缺陷明细!$J$2:$J$50000,"运维测试",缺陷明细!$K$2:$K$50000,"严重",缺陷明细!$AB$2:$AB$50000,"&lt;&gt;丢弃",缺陷明细!$AB$2:$AB$50000,"&lt;&gt;设计如此",缺陷明细!$AB$2:$AB$50000,"&lt;&gt;重复Bug")</f>
        <v>0</v>
      </c>
      <c r="AB12" s="73">
        <f>COUNTIFS(缺陷明细!$A$2:$A$50000,$B$4,缺陷明细!$G$2:$G$50000,$C12,缺陷明细!$Q$2:$Q$50000,"已关闭",缺陷明细!$J$2:$J$50000,"运维测试",缺陷明细!$K$2:$K$50000,"致命")+COUNTIFS(缺陷明细!$A$2:$A$50000,$B$4,缺陷明细!$G$2:$G$50000,$C12,缺陷明细!$Q$2:$Q$50000,"已关闭",缺陷明细!$J$2:$J$50000,"运维测试",缺陷明细!$K$2:$K$50000,"严重")</f>
        <v>0</v>
      </c>
      <c r="AC12" s="68">
        <f t="shared" si="0"/>
        <v>0</v>
      </c>
      <c r="AD12" s="60">
        <f t="shared" si="0"/>
        <v>0</v>
      </c>
      <c r="AE12" s="60">
        <f t="shared" si="1"/>
        <v>0</v>
      </c>
      <c r="AF12" s="60">
        <f t="shared" si="1"/>
        <v>0</v>
      </c>
      <c r="AG12" s="60">
        <f t="shared" si="2"/>
        <v>0</v>
      </c>
      <c r="AH12" s="60">
        <f t="shared" si="2"/>
        <v>0</v>
      </c>
      <c r="AI12" s="60">
        <f t="shared" si="3"/>
        <v>0</v>
      </c>
      <c r="AJ12" s="61">
        <f t="shared" si="3"/>
        <v>0</v>
      </c>
      <c r="AK12" s="144"/>
    </row>
    <row r="13" spans="1:37">
      <c r="A13">
        <v>9</v>
      </c>
      <c r="B13" s="57"/>
      <c r="C13" s="58"/>
      <c r="D13" s="84"/>
      <c r="E13" s="82"/>
      <c r="F13" s="158"/>
      <c r="G13" s="159"/>
      <c r="H13" s="281">
        <f>COUNTIFS(缺陷明细!$A$2:$A$50000,$B$4,缺陷明细!$G$2:$G$50000,$C13,缺陷明细!$J$2:$J$50000,"评审",缺陷明细!$AB$2:$AB$50000,"&lt;&gt;丢弃",缺陷明细!$AB$2:$AB$50000,"&lt;&gt;设计如此",缺陷明细!$AB$2:$AB$50000,"&lt;&gt;重复Bug")</f>
        <v>0</v>
      </c>
      <c r="I13" s="154">
        <f>COUNTIFS(缺陷明细!$A$2:$A$50000,$B$4,缺陷明细!$G$2:$G$50000,$C13,缺陷明细!$Q$2:$Q$50000,"已关闭",缺陷明细!$J$2:$J$50000,"评审")</f>
        <v>0</v>
      </c>
      <c r="J13" s="154">
        <f>COUNTIFS(缺陷明细!$A$2:$A$50000,$B$4,缺陷明细!$G$2:$G$50000,$C13,缺陷明细!$J$2:$J$50000,"单元测试",缺陷明细!$AB$2:$AB$50000,"&lt;&gt;丢弃",缺陷明细!$AB$2:$AB$50000,"&lt;&gt;设计如此",缺陷明细!$AB$2:$AB$50000,"&lt;&gt;重复Bug")</f>
        <v>0</v>
      </c>
      <c r="K13" s="155">
        <f>COUNTIFS(缺陷明细!$A$2:$A$50000,$B$4,缺陷明细!$G$2:$G$50000,$C13,缺陷明细!$Q$2:$Q$50000,"已关闭",缺陷明细!$J$2:$J$50000,"单元测试")</f>
        <v>0</v>
      </c>
      <c r="L13" s="156"/>
      <c r="M13" s="157"/>
      <c r="N13" s="72">
        <f>COUNTIFS(缺陷明细!$A$2:$A$50000,$B$4,缺陷明细!$G$2:$G$50000,$C13,缺陷明细!$J$2:$J$50000,"系统测试案例评审",缺陷明细!$AB$2:$AB$50000,"&lt;&gt;丢弃",缺陷明细!$AB$2:$AB$50000,"&lt;&gt;设计如此",缺陷明细!$AB$2:$AB$50000,"&lt;&gt;重复Bug")</f>
        <v>0</v>
      </c>
      <c r="O13" s="72">
        <f>COUNTIFS(缺陷明细!$A$2:$A$50000,$B$4,缺陷明细!$G$2:$G$50000,$C13,缺陷明细!$Q$2:$Q$50000,"已关闭",缺陷明细!$J$2:$J$50000,"系统测试案例评审")</f>
        <v>0</v>
      </c>
      <c r="P13" s="72">
        <f>COUNTIFS(缺陷明细!$A$2:$A$50000,$B$4,缺陷明细!$G$2:$G$50000,$C13,缺陷明细!$J$2:$J$50000,"系统测试",缺陷明细!$AB$2:$AB$50000,"&lt;&gt;丢弃",缺陷明细!$AB$2:$AB$50000,"&lt;&gt;设计如此",缺陷明细!$AB$2:$AB$50000,"&lt;&gt;重复Bug")</f>
        <v>0</v>
      </c>
      <c r="Q13" s="72">
        <f>COUNTIFS(缺陷明细!$A$2:$A$50000,$B$4,缺陷明细!$G$2:$G$50000,$C13,缺陷明细!$Q$2:$Q$50000,"已关闭",缺陷明细!$J$2:$J$50000,"系统测试")</f>
        <v>0</v>
      </c>
      <c r="R13" s="296">
        <f>COUNTIFS(缺陷明细!$A$2:$A$50000,$B$4,缺陷明细!$G$2:$G$50000,$C13,缺陷明细!$AB$2:$AB$50000,"丢弃",缺陷明细!$J$2:$J$50000,"系统测试")+COUNTIFS(缺陷明细!$A$2:$A$50000,$B$4,缺陷明细!$G$2:$G$50000,$C13,缺陷明细!$AB$2:$AB$50000,"设计如此",缺陷明细!$J$2:$J$50000,"系统测试")+COUNTIFS(缺陷明细!$A$2:$A$50000,$B$4,缺陷明细!$G$2:$G$50000,$C13,缺陷明细!$AB$2:$AB$50000,"重复Bug",缺陷明细!$J$2:$J$50000,"系统测试")</f>
        <v>0</v>
      </c>
      <c r="S13" s="72">
        <f>COUNTIFS(缺陷明细!$A$2:$A$50000,$B$4,缺陷明细!$G$2:$G$50000,$C13,缺陷明细!$J$2:$J$50000,"系统测试",缺陷明细!$K$2:$K$50000,"致命",缺陷明细!$AB$2:$AB$50000,"&lt;&gt;丢弃",缺陷明细!$AB$2:$AB$50000,"&lt;&gt;设计如此",缺陷明细!$AB$2:$AB$50000,"&lt;&gt;重复Bug")+COUNTIFS(缺陷明细!$A$2:$A$50000,$B$4,缺陷明细!$G$2:$G$50000,$C13,缺陷明细!$J$2:$J$50000,"系统测试",缺陷明细!$K$2:$K$50000,"严重",缺陷明细!$AB$2:$AB$50000,"&lt;&gt;丢弃",缺陷明细!$AB$2:$AB$50000,"&lt;&gt;设计如此",缺陷明细!$AB$2:$AB$50000,"&lt;&gt;重复Bug")</f>
        <v>0</v>
      </c>
      <c r="T13" s="73">
        <f>COUNTIFS(缺陷明细!$A$2:$A$50000,$B$4,缺陷明细!$G$2:$G$50000,$C13,缺陷明细!$Q$2:$Q$50000,"已关闭",缺陷明细!$J$2:$J$50000,"系统测试",缺陷明细!$K$2:$K$50000,"致命")+COUNTIFS(缺陷明细!$A$2:$A$50000,$B$4,缺陷明细!$G$2:$G$50000,$C13,缺陷明细!$Q$2:$Q$50000,"已关闭",缺陷明细!$J$2:$J$50000,"系统测试",缺陷明细!$K$2:$K$50000,"严重")</f>
        <v>0</v>
      </c>
      <c r="U13" s="74">
        <f>COUNTIFS(缺陷明细!$A$2:$A$50000,$B$4,缺陷明细!$G$2:$G$50000,$C13,缺陷明细!$J$2:$J$50000,"验收测试",缺陷明细!$AB$2:$AB$50000,"&lt;&gt;丢弃",缺陷明细!$AB$2:$AB$50000,"&lt;&gt;设计如此",缺陷明细!$AB$2:$AB$50000,"&lt;&gt;重复Bug")</f>
        <v>0</v>
      </c>
      <c r="V13" s="75">
        <f>COUNTIFS(缺陷明细!$A$2:$A$50000,$B$4,缺陷明细!$G$2:$G$50000,$C13,缺陷明细!$Q$2:$Q$50000,"已关闭",缺陷明细!$J$2:$J$50000,"验收测试")</f>
        <v>0</v>
      </c>
      <c r="W13" s="75">
        <f>COUNTIFS(缺陷明细!$A$2:$A$50000,$B$4,缺陷明细!$G$2:$G$50000,$C13,缺陷明细!$J$2:$J$50000,"验收测试",缺陷明细!$K$2:$K$50000,"致命",缺陷明细!$AB$2:$AB$50000,"&lt;&gt;丢弃",缺陷明细!$AB$2:$AB$50000,"&lt;&gt;设计如此",缺陷明细!$AB$2:$AB$50000,"&lt;&gt;重复Bug")+COUNTIFS(缺陷明细!$A$2:$A$50000,$B$4,缺陷明细!$G$2:$G$50000,$C13,缺陷明细!$J$2:$J$50000,"验收测试",缺陷明细!$K$2:$K$50000,"严重",缺陷明细!$AB$2:$AB$50000,"&lt;&gt;丢弃",缺陷明细!$AB$2:$AB$50000,"&lt;&gt;设计如此",缺陷明细!$AB$2:$AB$50000,"&lt;&gt;重复Bug")</f>
        <v>0</v>
      </c>
      <c r="X13" s="76">
        <f>COUNTIFS(缺陷明细!$A$2:$A$50000,$B$4,缺陷明细!$G$2:$G$50000,$C13,缺陷明细!$Q$2:$Q$50000,"已关闭",缺陷明细!$J$2:$J$50000,"验收测试",缺陷明细!$K$2:$K$50000,"致命")+COUNTIFS(缺陷明细!$A$2:$A$50000,$B$4,缺陷明细!$G$2:$G$50000,$C13,缺陷明细!$Q$2:$Q$50000,"已关闭",缺陷明细!$J$2:$J$50000,"验收测试",缺陷明细!$K$2:$K$50000,"严重")</f>
        <v>0</v>
      </c>
      <c r="Y13" s="70">
        <f>COUNTIFS(缺陷明细!$A$2:$A$50000,$B$4,缺陷明细!$G$2:$G$50000,$C13,缺陷明细!$J$2:$J$50000,"运维测试",缺陷明细!$AB$2:$AB$50000,"&lt;&gt;丢弃",缺陷明细!$AB$2:$AB$50000,"&lt;&gt;设计如此",缺陷明细!$AB$2:$AB$50000,"&lt;&gt;重复Bug")</f>
        <v>0</v>
      </c>
      <c r="Z13" s="71">
        <f>COUNTIFS(缺陷明细!$A$2:$A$50000,$B$4,缺陷明细!$G$2:$G$50000,$C13,缺陷明细!$Q$2:$Q$50000,"已关闭",缺陷明细!$J$2:$J$50000,"运维测试")</f>
        <v>0</v>
      </c>
      <c r="AA13" s="72">
        <f>COUNTIFS(缺陷明细!$A$2:$A$50000,$B$4,缺陷明细!$G$2:$G$50000,$C13,缺陷明细!$J$2:$J$50000,"运维测试",缺陷明细!$K$2:$K$50000,"致命",缺陷明细!$AB$2:$AB$50000,"&lt;&gt;丢弃",缺陷明细!$AB$2:$AB$50000,"&lt;&gt;设计如此",缺陷明细!$AB$2:$AB$50000,"&lt;&gt;重复Bug")+COUNTIFS(缺陷明细!$A$2:$A$50000,$B$4,缺陷明细!$G$2:$G$50000,$C13,缺陷明细!$J$2:$J$50000,"运维测试",缺陷明细!$K$2:$K$50000,"严重",缺陷明细!$AB$2:$AB$50000,"&lt;&gt;丢弃",缺陷明细!$AB$2:$AB$50000,"&lt;&gt;设计如此",缺陷明细!$AB$2:$AB$50000,"&lt;&gt;重复Bug")</f>
        <v>0</v>
      </c>
      <c r="AB13" s="73">
        <f>COUNTIFS(缺陷明细!$A$2:$A$50000,$B$4,缺陷明细!$G$2:$G$50000,$C13,缺陷明细!$Q$2:$Q$50000,"已关闭",缺陷明细!$J$2:$J$50000,"运维测试",缺陷明细!$K$2:$K$50000,"致命")+COUNTIFS(缺陷明细!$A$2:$A$50000,$B$4,缺陷明细!$G$2:$G$50000,$C13,缺陷明细!$Q$2:$Q$50000,"已关闭",缺陷明细!$J$2:$J$50000,"运维测试",缺陷明细!$K$2:$K$50000,"严重")</f>
        <v>0</v>
      </c>
      <c r="AC13" s="68">
        <f t="shared" si="0"/>
        <v>0</v>
      </c>
      <c r="AD13" s="60">
        <f t="shared" si="0"/>
        <v>0</v>
      </c>
      <c r="AE13" s="60">
        <f t="shared" si="1"/>
        <v>0</v>
      </c>
      <c r="AF13" s="60">
        <f t="shared" si="1"/>
        <v>0</v>
      </c>
      <c r="AG13" s="60">
        <f t="shared" si="2"/>
        <v>0</v>
      </c>
      <c r="AH13" s="60">
        <f t="shared" si="2"/>
        <v>0</v>
      </c>
      <c r="AI13" s="60">
        <f t="shared" si="3"/>
        <v>0</v>
      </c>
      <c r="AJ13" s="61">
        <f t="shared" si="3"/>
        <v>0</v>
      </c>
      <c r="AK13" s="144"/>
    </row>
    <row r="14" spans="1:37">
      <c r="A14">
        <v>10</v>
      </c>
      <c r="B14" s="57"/>
      <c r="C14" s="58"/>
      <c r="D14" s="84"/>
      <c r="E14" s="82"/>
      <c r="F14" s="158"/>
      <c r="G14" s="159"/>
      <c r="H14" s="281">
        <f>COUNTIFS(缺陷明细!$A$2:$A$50000,$B$4,缺陷明细!$G$2:$G$50000,$C14,缺陷明细!$J$2:$J$50000,"评审",缺陷明细!$AB$2:$AB$50000,"&lt;&gt;丢弃",缺陷明细!$AB$2:$AB$50000,"&lt;&gt;设计如此",缺陷明细!$AB$2:$AB$50000,"&lt;&gt;重复Bug")</f>
        <v>0</v>
      </c>
      <c r="I14" s="154">
        <f>COUNTIFS(缺陷明细!$A$2:$A$50000,$B$4,缺陷明细!$G$2:$G$50000,$C14,缺陷明细!$Q$2:$Q$50000,"已关闭",缺陷明细!$J$2:$J$50000,"评审")</f>
        <v>0</v>
      </c>
      <c r="J14" s="154">
        <f>COUNTIFS(缺陷明细!$A$2:$A$50000,$B$4,缺陷明细!$G$2:$G$50000,$C14,缺陷明细!$J$2:$J$50000,"单元测试",缺陷明细!$AB$2:$AB$50000,"&lt;&gt;丢弃",缺陷明细!$AB$2:$AB$50000,"&lt;&gt;设计如此",缺陷明细!$AB$2:$AB$50000,"&lt;&gt;重复Bug")</f>
        <v>0</v>
      </c>
      <c r="K14" s="155">
        <f>COUNTIFS(缺陷明细!$A$2:$A$50000,$B$4,缺陷明细!$G$2:$G$50000,$C14,缺陷明细!$Q$2:$Q$50000,"已关闭",缺陷明细!$J$2:$J$50000,"单元测试")</f>
        <v>0</v>
      </c>
      <c r="L14" s="156"/>
      <c r="M14" s="157"/>
      <c r="N14" s="72">
        <f>COUNTIFS(缺陷明细!$A$2:$A$50000,$B$4,缺陷明细!$G$2:$G$50000,$C14,缺陷明细!$J$2:$J$50000,"系统测试案例评审",缺陷明细!$AB$2:$AB$50000,"&lt;&gt;丢弃",缺陷明细!$AB$2:$AB$50000,"&lt;&gt;设计如此",缺陷明细!$AB$2:$AB$50000,"&lt;&gt;重复Bug")</f>
        <v>0</v>
      </c>
      <c r="O14" s="72">
        <f>COUNTIFS(缺陷明细!$A$2:$A$50000,$B$4,缺陷明细!$G$2:$G$50000,$C14,缺陷明细!$Q$2:$Q$50000,"已关闭",缺陷明细!$J$2:$J$50000,"系统测试案例评审")</f>
        <v>0</v>
      </c>
      <c r="P14" s="72">
        <f>COUNTIFS(缺陷明细!$A$2:$A$50000,$B$4,缺陷明细!$G$2:$G$50000,$C14,缺陷明细!$J$2:$J$50000,"系统测试",缺陷明细!$AB$2:$AB$50000,"&lt;&gt;丢弃",缺陷明细!$AB$2:$AB$50000,"&lt;&gt;设计如此",缺陷明细!$AB$2:$AB$50000,"&lt;&gt;重复Bug")</f>
        <v>0</v>
      </c>
      <c r="Q14" s="72">
        <f>COUNTIFS(缺陷明细!$A$2:$A$50000,$B$4,缺陷明细!$G$2:$G$50000,$C14,缺陷明细!$Q$2:$Q$50000,"已关闭",缺陷明细!$J$2:$J$50000,"系统测试")</f>
        <v>0</v>
      </c>
      <c r="R14" s="296">
        <f>COUNTIFS(缺陷明细!$A$2:$A$50000,$B$4,缺陷明细!$G$2:$G$50000,$C14,缺陷明细!$AB$2:$AB$50000,"丢弃",缺陷明细!$J$2:$J$50000,"系统测试")+COUNTIFS(缺陷明细!$A$2:$A$50000,$B$4,缺陷明细!$G$2:$G$50000,$C14,缺陷明细!$AB$2:$AB$50000,"设计如此",缺陷明细!$J$2:$J$50000,"系统测试")+COUNTIFS(缺陷明细!$A$2:$A$50000,$B$4,缺陷明细!$G$2:$G$50000,$C14,缺陷明细!$AB$2:$AB$50000,"重复Bug",缺陷明细!$J$2:$J$50000,"系统测试")</f>
        <v>0</v>
      </c>
      <c r="S14" s="72">
        <f>COUNTIFS(缺陷明细!$A$2:$A$50000,$B$4,缺陷明细!$G$2:$G$50000,$C14,缺陷明细!$J$2:$J$50000,"系统测试",缺陷明细!$K$2:$K$50000,"致命",缺陷明细!$AB$2:$AB$50000,"&lt;&gt;丢弃",缺陷明细!$AB$2:$AB$50000,"&lt;&gt;设计如此",缺陷明细!$AB$2:$AB$50000,"&lt;&gt;重复Bug")+COUNTIFS(缺陷明细!$A$2:$A$50000,$B$4,缺陷明细!$G$2:$G$50000,$C14,缺陷明细!$J$2:$J$50000,"系统测试",缺陷明细!$K$2:$K$50000,"严重",缺陷明细!$AB$2:$AB$50000,"&lt;&gt;丢弃",缺陷明细!$AB$2:$AB$50000,"&lt;&gt;设计如此",缺陷明细!$AB$2:$AB$50000,"&lt;&gt;重复Bug")</f>
        <v>0</v>
      </c>
      <c r="T14" s="73">
        <f>COUNTIFS(缺陷明细!$A$2:$A$50000,$B$4,缺陷明细!$G$2:$G$50000,$C14,缺陷明细!$Q$2:$Q$50000,"已关闭",缺陷明细!$J$2:$J$50000,"系统测试",缺陷明细!$K$2:$K$50000,"致命")+COUNTIFS(缺陷明细!$A$2:$A$50000,$B$4,缺陷明细!$G$2:$G$50000,$C14,缺陷明细!$Q$2:$Q$50000,"已关闭",缺陷明细!$J$2:$J$50000,"系统测试",缺陷明细!$K$2:$K$50000,"严重")</f>
        <v>0</v>
      </c>
      <c r="U14" s="74">
        <f>COUNTIFS(缺陷明细!$A$2:$A$50000,$B$4,缺陷明细!$G$2:$G$50000,$C14,缺陷明细!$J$2:$J$50000,"验收测试",缺陷明细!$AB$2:$AB$50000,"&lt;&gt;丢弃",缺陷明细!$AB$2:$AB$50000,"&lt;&gt;设计如此",缺陷明细!$AB$2:$AB$50000,"&lt;&gt;重复Bug")</f>
        <v>0</v>
      </c>
      <c r="V14" s="75">
        <f>COUNTIFS(缺陷明细!$A$2:$A$50000,$B$4,缺陷明细!$G$2:$G$50000,$C14,缺陷明细!$Q$2:$Q$50000,"已关闭",缺陷明细!$J$2:$J$50000,"验收测试")</f>
        <v>0</v>
      </c>
      <c r="W14" s="75">
        <f>COUNTIFS(缺陷明细!$A$2:$A$50000,$B$4,缺陷明细!$G$2:$G$50000,$C14,缺陷明细!$J$2:$J$50000,"验收测试",缺陷明细!$K$2:$K$50000,"致命",缺陷明细!$AB$2:$AB$50000,"&lt;&gt;丢弃",缺陷明细!$AB$2:$AB$50000,"&lt;&gt;设计如此",缺陷明细!$AB$2:$AB$50000,"&lt;&gt;重复Bug")+COUNTIFS(缺陷明细!$A$2:$A$50000,$B$4,缺陷明细!$G$2:$G$50000,$C14,缺陷明细!$J$2:$J$50000,"验收测试",缺陷明细!$K$2:$K$50000,"严重",缺陷明细!$AB$2:$AB$50000,"&lt;&gt;丢弃",缺陷明细!$AB$2:$AB$50000,"&lt;&gt;设计如此",缺陷明细!$AB$2:$AB$50000,"&lt;&gt;重复Bug")</f>
        <v>0</v>
      </c>
      <c r="X14" s="76">
        <f>COUNTIFS(缺陷明细!$A$2:$A$50000,$B$4,缺陷明细!$G$2:$G$50000,$C14,缺陷明细!$Q$2:$Q$50000,"已关闭",缺陷明细!$J$2:$J$50000,"验收测试",缺陷明细!$K$2:$K$50000,"致命")+COUNTIFS(缺陷明细!$A$2:$A$50000,$B$4,缺陷明细!$G$2:$G$50000,$C14,缺陷明细!$Q$2:$Q$50000,"已关闭",缺陷明细!$J$2:$J$50000,"验收测试",缺陷明细!$K$2:$K$50000,"严重")</f>
        <v>0</v>
      </c>
      <c r="Y14" s="70">
        <f>COUNTIFS(缺陷明细!$A$2:$A$50000,$B$4,缺陷明细!$G$2:$G$50000,$C14,缺陷明细!$J$2:$J$50000,"运维测试",缺陷明细!$AB$2:$AB$50000,"&lt;&gt;丢弃",缺陷明细!$AB$2:$AB$50000,"&lt;&gt;设计如此",缺陷明细!$AB$2:$AB$50000,"&lt;&gt;重复Bug")</f>
        <v>0</v>
      </c>
      <c r="Z14" s="71">
        <f>COUNTIFS(缺陷明细!$A$2:$A$50000,$B$4,缺陷明细!$G$2:$G$50000,$C14,缺陷明细!$Q$2:$Q$50000,"已关闭",缺陷明细!$J$2:$J$50000,"运维测试")</f>
        <v>0</v>
      </c>
      <c r="AA14" s="72">
        <f>COUNTIFS(缺陷明细!$A$2:$A$50000,$B$4,缺陷明细!$G$2:$G$50000,$C14,缺陷明细!$J$2:$J$50000,"运维测试",缺陷明细!$K$2:$K$50000,"致命",缺陷明细!$AB$2:$AB$50000,"&lt;&gt;丢弃",缺陷明细!$AB$2:$AB$50000,"&lt;&gt;设计如此",缺陷明细!$AB$2:$AB$50000,"&lt;&gt;重复Bug")+COUNTIFS(缺陷明细!$A$2:$A$50000,$B$4,缺陷明细!$G$2:$G$50000,$C14,缺陷明细!$J$2:$J$50000,"运维测试",缺陷明细!$K$2:$K$50000,"严重",缺陷明细!$AB$2:$AB$50000,"&lt;&gt;丢弃",缺陷明细!$AB$2:$AB$50000,"&lt;&gt;设计如此",缺陷明细!$AB$2:$AB$50000,"&lt;&gt;重复Bug")</f>
        <v>0</v>
      </c>
      <c r="AB14" s="73">
        <f>COUNTIFS(缺陷明细!$A$2:$A$50000,$B$4,缺陷明细!$G$2:$G$50000,$C14,缺陷明细!$Q$2:$Q$50000,"已关闭",缺陷明细!$J$2:$J$50000,"运维测试",缺陷明细!$K$2:$K$50000,"致命")+COUNTIFS(缺陷明细!$A$2:$A$50000,$B$4,缺陷明细!$G$2:$G$50000,$C14,缺陷明细!$Q$2:$Q$50000,"已关闭",缺陷明细!$J$2:$J$50000,"运维测试",缺陷明细!$K$2:$K$50000,"严重")</f>
        <v>0</v>
      </c>
      <c r="AC14" s="68">
        <f t="shared" si="0"/>
        <v>0</v>
      </c>
      <c r="AD14" s="60">
        <f t="shared" si="0"/>
        <v>0</v>
      </c>
      <c r="AE14" s="60">
        <f t="shared" si="1"/>
        <v>0</v>
      </c>
      <c r="AF14" s="60">
        <f t="shared" si="1"/>
        <v>0</v>
      </c>
      <c r="AG14" s="60">
        <f t="shared" si="2"/>
        <v>0</v>
      </c>
      <c r="AH14" s="60">
        <f t="shared" si="2"/>
        <v>0</v>
      </c>
      <c r="AI14" s="60">
        <f t="shared" si="3"/>
        <v>0</v>
      </c>
      <c r="AJ14" s="61">
        <f t="shared" si="3"/>
        <v>0</v>
      </c>
      <c r="AK14" s="144"/>
    </row>
    <row r="15" spans="1:37">
      <c r="A15">
        <v>11</v>
      </c>
      <c r="B15" s="57"/>
      <c r="C15" s="58"/>
      <c r="D15" s="84"/>
      <c r="E15" s="82"/>
      <c r="F15" s="158"/>
      <c r="G15" s="159"/>
      <c r="H15" s="281">
        <f>COUNTIFS(缺陷明细!$A$2:$A$50000,$B$4,缺陷明细!$G$2:$G$50000,$C15,缺陷明细!$J$2:$J$50000,"评审",缺陷明细!$AB$2:$AB$50000,"&lt;&gt;丢弃",缺陷明细!$AB$2:$AB$50000,"&lt;&gt;设计如此",缺陷明细!$AB$2:$AB$50000,"&lt;&gt;重复Bug")</f>
        <v>0</v>
      </c>
      <c r="I15" s="154">
        <f>COUNTIFS(缺陷明细!$A$2:$A$50000,$B$4,缺陷明细!$G$2:$G$50000,$C15,缺陷明细!$Q$2:$Q$50000,"已关闭",缺陷明细!$J$2:$J$50000,"评审")</f>
        <v>0</v>
      </c>
      <c r="J15" s="154">
        <f>COUNTIFS(缺陷明细!$A$2:$A$50000,$B$4,缺陷明细!$G$2:$G$50000,$C15,缺陷明细!$J$2:$J$50000,"单元测试",缺陷明细!$AB$2:$AB$50000,"&lt;&gt;丢弃",缺陷明细!$AB$2:$AB$50000,"&lt;&gt;设计如此",缺陷明细!$AB$2:$AB$50000,"&lt;&gt;重复Bug")</f>
        <v>0</v>
      </c>
      <c r="K15" s="155">
        <f>COUNTIFS(缺陷明细!$A$2:$A$50000,$B$4,缺陷明细!$G$2:$G$50000,$C15,缺陷明细!$Q$2:$Q$50000,"已关闭",缺陷明细!$J$2:$J$50000,"单元测试")</f>
        <v>0</v>
      </c>
      <c r="L15" s="156"/>
      <c r="M15" s="157"/>
      <c r="N15" s="72">
        <f>COUNTIFS(缺陷明细!$A$2:$A$50000,$B$4,缺陷明细!$G$2:$G$50000,$C15,缺陷明细!$J$2:$J$50000,"系统测试案例评审",缺陷明细!$AB$2:$AB$50000,"&lt;&gt;丢弃",缺陷明细!$AB$2:$AB$50000,"&lt;&gt;设计如此",缺陷明细!$AB$2:$AB$50000,"&lt;&gt;重复Bug")</f>
        <v>0</v>
      </c>
      <c r="O15" s="72">
        <f>COUNTIFS(缺陷明细!$A$2:$A$50000,$B$4,缺陷明细!$G$2:$G$50000,$C15,缺陷明细!$Q$2:$Q$50000,"已关闭",缺陷明细!$J$2:$J$50000,"系统测试案例评审")</f>
        <v>0</v>
      </c>
      <c r="P15" s="72">
        <f>COUNTIFS(缺陷明细!$A$2:$A$50000,$B$4,缺陷明细!$G$2:$G$50000,$C15,缺陷明细!$J$2:$J$50000,"系统测试",缺陷明细!$AB$2:$AB$50000,"&lt;&gt;丢弃",缺陷明细!$AB$2:$AB$50000,"&lt;&gt;设计如此",缺陷明细!$AB$2:$AB$50000,"&lt;&gt;重复Bug")</f>
        <v>0</v>
      </c>
      <c r="Q15" s="72">
        <f>COUNTIFS(缺陷明细!$A$2:$A$50000,$B$4,缺陷明细!$G$2:$G$50000,$C15,缺陷明细!$Q$2:$Q$50000,"已关闭",缺陷明细!$J$2:$J$50000,"系统测试")</f>
        <v>0</v>
      </c>
      <c r="R15" s="296">
        <f>COUNTIFS(缺陷明细!$A$2:$A$50000,$B$4,缺陷明细!$G$2:$G$50000,$C15,缺陷明细!$AB$2:$AB$50000,"丢弃",缺陷明细!$J$2:$J$50000,"系统测试")+COUNTIFS(缺陷明细!$A$2:$A$50000,$B$4,缺陷明细!$G$2:$G$50000,$C15,缺陷明细!$AB$2:$AB$50000,"设计如此",缺陷明细!$J$2:$J$50000,"系统测试")+COUNTIFS(缺陷明细!$A$2:$A$50000,$B$4,缺陷明细!$G$2:$G$50000,$C15,缺陷明细!$AB$2:$AB$50000,"重复Bug",缺陷明细!$J$2:$J$50000,"系统测试")</f>
        <v>0</v>
      </c>
      <c r="S15" s="72">
        <f>COUNTIFS(缺陷明细!$A$2:$A$50000,$B$4,缺陷明细!$G$2:$G$50000,$C15,缺陷明细!$J$2:$J$50000,"系统测试",缺陷明细!$K$2:$K$50000,"致命",缺陷明细!$AB$2:$AB$50000,"&lt;&gt;丢弃",缺陷明细!$AB$2:$AB$50000,"&lt;&gt;设计如此",缺陷明细!$AB$2:$AB$50000,"&lt;&gt;重复Bug")+COUNTIFS(缺陷明细!$A$2:$A$50000,$B$4,缺陷明细!$G$2:$G$50000,$C15,缺陷明细!$J$2:$J$50000,"系统测试",缺陷明细!$K$2:$K$50000,"严重",缺陷明细!$AB$2:$AB$50000,"&lt;&gt;丢弃",缺陷明细!$AB$2:$AB$50000,"&lt;&gt;设计如此",缺陷明细!$AB$2:$AB$50000,"&lt;&gt;重复Bug")</f>
        <v>0</v>
      </c>
      <c r="T15" s="73">
        <f>COUNTIFS(缺陷明细!$A$2:$A$50000,$B$4,缺陷明细!$G$2:$G$50000,$C15,缺陷明细!$Q$2:$Q$50000,"已关闭",缺陷明细!$J$2:$J$50000,"系统测试",缺陷明细!$K$2:$K$50000,"致命")+COUNTIFS(缺陷明细!$A$2:$A$50000,$B$4,缺陷明细!$G$2:$G$50000,$C15,缺陷明细!$Q$2:$Q$50000,"已关闭",缺陷明细!$J$2:$J$50000,"系统测试",缺陷明细!$K$2:$K$50000,"严重")</f>
        <v>0</v>
      </c>
      <c r="U15" s="74">
        <f>COUNTIFS(缺陷明细!$A$2:$A$50000,$B$4,缺陷明细!$G$2:$G$50000,$C15,缺陷明细!$J$2:$J$50000,"验收测试",缺陷明细!$AB$2:$AB$50000,"&lt;&gt;丢弃",缺陷明细!$AB$2:$AB$50000,"&lt;&gt;设计如此",缺陷明细!$AB$2:$AB$50000,"&lt;&gt;重复Bug")</f>
        <v>0</v>
      </c>
      <c r="V15" s="75">
        <f>COUNTIFS(缺陷明细!$A$2:$A$50000,$B$4,缺陷明细!$G$2:$G$50000,$C15,缺陷明细!$Q$2:$Q$50000,"已关闭",缺陷明细!$J$2:$J$50000,"验收测试")</f>
        <v>0</v>
      </c>
      <c r="W15" s="75">
        <f>COUNTIFS(缺陷明细!$A$2:$A$50000,$B$4,缺陷明细!$G$2:$G$50000,$C15,缺陷明细!$J$2:$J$50000,"验收测试",缺陷明细!$K$2:$K$50000,"致命",缺陷明细!$AB$2:$AB$50000,"&lt;&gt;丢弃",缺陷明细!$AB$2:$AB$50000,"&lt;&gt;设计如此",缺陷明细!$AB$2:$AB$50000,"&lt;&gt;重复Bug")+COUNTIFS(缺陷明细!$A$2:$A$50000,$B$4,缺陷明细!$G$2:$G$50000,$C15,缺陷明细!$J$2:$J$50000,"验收测试",缺陷明细!$K$2:$K$50000,"严重",缺陷明细!$AB$2:$AB$50000,"&lt;&gt;丢弃",缺陷明细!$AB$2:$AB$50000,"&lt;&gt;设计如此",缺陷明细!$AB$2:$AB$50000,"&lt;&gt;重复Bug")</f>
        <v>0</v>
      </c>
      <c r="X15" s="76">
        <f>COUNTIFS(缺陷明细!$A$2:$A$50000,$B$4,缺陷明细!$G$2:$G$50000,$C15,缺陷明细!$Q$2:$Q$50000,"已关闭",缺陷明细!$J$2:$J$50000,"验收测试",缺陷明细!$K$2:$K$50000,"致命")+COUNTIFS(缺陷明细!$A$2:$A$50000,$B$4,缺陷明细!$G$2:$G$50000,$C15,缺陷明细!$Q$2:$Q$50000,"已关闭",缺陷明细!$J$2:$J$50000,"验收测试",缺陷明细!$K$2:$K$50000,"严重")</f>
        <v>0</v>
      </c>
      <c r="Y15" s="70">
        <f>COUNTIFS(缺陷明细!$A$2:$A$50000,$B$4,缺陷明细!$G$2:$G$50000,$C15,缺陷明细!$J$2:$J$50000,"运维测试",缺陷明细!$AB$2:$AB$50000,"&lt;&gt;丢弃",缺陷明细!$AB$2:$AB$50000,"&lt;&gt;设计如此",缺陷明细!$AB$2:$AB$50000,"&lt;&gt;重复Bug")</f>
        <v>0</v>
      </c>
      <c r="Z15" s="71">
        <f>COUNTIFS(缺陷明细!$A$2:$A$50000,$B$4,缺陷明细!$G$2:$G$50000,$C15,缺陷明细!$Q$2:$Q$50000,"已关闭",缺陷明细!$J$2:$J$50000,"运维测试")</f>
        <v>0</v>
      </c>
      <c r="AA15" s="72">
        <f>COUNTIFS(缺陷明细!$A$2:$A$50000,$B$4,缺陷明细!$G$2:$G$50000,$C15,缺陷明细!$J$2:$J$50000,"运维测试",缺陷明细!$K$2:$K$50000,"致命",缺陷明细!$AB$2:$AB$50000,"&lt;&gt;丢弃",缺陷明细!$AB$2:$AB$50000,"&lt;&gt;设计如此",缺陷明细!$AB$2:$AB$50000,"&lt;&gt;重复Bug")+COUNTIFS(缺陷明细!$A$2:$A$50000,$B$4,缺陷明细!$G$2:$G$50000,$C15,缺陷明细!$J$2:$J$50000,"运维测试",缺陷明细!$K$2:$K$50000,"严重",缺陷明细!$AB$2:$AB$50000,"&lt;&gt;丢弃",缺陷明细!$AB$2:$AB$50000,"&lt;&gt;设计如此",缺陷明细!$AB$2:$AB$50000,"&lt;&gt;重复Bug")</f>
        <v>0</v>
      </c>
      <c r="AB15" s="73">
        <f>COUNTIFS(缺陷明细!$A$2:$A$50000,$B$4,缺陷明细!$G$2:$G$50000,$C15,缺陷明细!$Q$2:$Q$50000,"已关闭",缺陷明细!$J$2:$J$50000,"运维测试",缺陷明细!$K$2:$K$50000,"致命")+COUNTIFS(缺陷明细!$A$2:$A$50000,$B$4,缺陷明细!$G$2:$G$50000,$C15,缺陷明细!$Q$2:$Q$50000,"已关闭",缺陷明细!$J$2:$J$50000,"运维测试",缺陷明细!$K$2:$K$50000,"严重")</f>
        <v>0</v>
      </c>
      <c r="AC15" s="68">
        <f t="shared" si="0"/>
        <v>0</v>
      </c>
      <c r="AD15" s="60">
        <f t="shared" si="0"/>
        <v>0</v>
      </c>
      <c r="AE15" s="60">
        <f t="shared" si="1"/>
        <v>0</v>
      </c>
      <c r="AF15" s="60">
        <f t="shared" si="1"/>
        <v>0</v>
      </c>
      <c r="AG15" s="60">
        <f t="shared" si="2"/>
        <v>0</v>
      </c>
      <c r="AH15" s="60">
        <f t="shared" si="2"/>
        <v>0</v>
      </c>
      <c r="AI15" s="60">
        <f t="shared" si="3"/>
        <v>0</v>
      </c>
      <c r="AJ15" s="61">
        <f t="shared" si="3"/>
        <v>0</v>
      </c>
      <c r="AK15" s="144"/>
    </row>
    <row r="16" spans="1:37">
      <c r="A16">
        <v>12</v>
      </c>
      <c r="B16" s="57"/>
      <c r="C16" s="58"/>
      <c r="D16" s="84"/>
      <c r="E16" s="82"/>
      <c r="F16" s="158"/>
      <c r="G16" s="159"/>
      <c r="H16" s="281">
        <f>COUNTIFS(缺陷明细!$A$2:$A$50000,$B$4,缺陷明细!$G$2:$G$50000,$C16,缺陷明细!$J$2:$J$50000,"评审",缺陷明细!$AB$2:$AB$50000,"&lt;&gt;丢弃",缺陷明细!$AB$2:$AB$50000,"&lt;&gt;设计如此",缺陷明细!$AB$2:$AB$50000,"&lt;&gt;重复Bug")</f>
        <v>0</v>
      </c>
      <c r="I16" s="154">
        <f>COUNTIFS(缺陷明细!$A$2:$A$50000,$B$4,缺陷明细!$G$2:$G$50000,$C16,缺陷明细!$Q$2:$Q$50000,"已关闭",缺陷明细!$J$2:$J$50000,"评审")</f>
        <v>0</v>
      </c>
      <c r="J16" s="154">
        <f>COUNTIFS(缺陷明细!$A$2:$A$50000,$B$4,缺陷明细!$G$2:$G$50000,$C16,缺陷明细!$J$2:$J$50000,"单元测试",缺陷明细!$AB$2:$AB$50000,"&lt;&gt;丢弃",缺陷明细!$AB$2:$AB$50000,"&lt;&gt;设计如此",缺陷明细!$AB$2:$AB$50000,"&lt;&gt;重复Bug")</f>
        <v>0</v>
      </c>
      <c r="K16" s="155">
        <f>COUNTIFS(缺陷明细!$A$2:$A$50000,$B$4,缺陷明细!$G$2:$G$50000,$C16,缺陷明细!$Q$2:$Q$50000,"已关闭",缺陷明细!$J$2:$J$50000,"单元测试")</f>
        <v>0</v>
      </c>
      <c r="L16" s="156"/>
      <c r="M16" s="157"/>
      <c r="N16" s="72">
        <f>COUNTIFS(缺陷明细!$A$2:$A$50000,$B$4,缺陷明细!$G$2:$G$50000,$C16,缺陷明细!$J$2:$J$50000,"系统测试案例评审",缺陷明细!$AB$2:$AB$50000,"&lt;&gt;丢弃",缺陷明细!$AB$2:$AB$50000,"&lt;&gt;设计如此",缺陷明细!$AB$2:$AB$50000,"&lt;&gt;重复Bug")</f>
        <v>0</v>
      </c>
      <c r="O16" s="72">
        <f>COUNTIFS(缺陷明细!$A$2:$A$50000,$B$4,缺陷明细!$G$2:$G$50000,$C16,缺陷明细!$Q$2:$Q$50000,"已关闭",缺陷明细!$J$2:$J$50000,"系统测试案例评审")</f>
        <v>0</v>
      </c>
      <c r="P16" s="72">
        <f>COUNTIFS(缺陷明细!$A$2:$A$50000,$B$4,缺陷明细!$G$2:$G$50000,$C16,缺陷明细!$J$2:$J$50000,"系统测试",缺陷明细!$AB$2:$AB$50000,"&lt;&gt;丢弃",缺陷明细!$AB$2:$AB$50000,"&lt;&gt;设计如此",缺陷明细!$AB$2:$AB$50000,"&lt;&gt;重复Bug")</f>
        <v>0</v>
      </c>
      <c r="Q16" s="72">
        <f>COUNTIFS(缺陷明细!$A$2:$A$50000,$B$4,缺陷明细!$G$2:$G$50000,$C16,缺陷明细!$Q$2:$Q$50000,"已关闭",缺陷明细!$J$2:$J$50000,"系统测试")</f>
        <v>0</v>
      </c>
      <c r="R16" s="296">
        <f>COUNTIFS(缺陷明细!$A$2:$A$50000,$B$4,缺陷明细!$G$2:$G$50000,$C16,缺陷明细!$AB$2:$AB$50000,"丢弃",缺陷明细!$J$2:$J$50000,"系统测试")+COUNTIFS(缺陷明细!$A$2:$A$50000,$B$4,缺陷明细!$G$2:$G$50000,$C16,缺陷明细!$AB$2:$AB$50000,"设计如此",缺陷明细!$J$2:$J$50000,"系统测试")+COUNTIFS(缺陷明细!$A$2:$A$50000,$B$4,缺陷明细!$G$2:$G$50000,$C16,缺陷明细!$AB$2:$AB$50000,"重复Bug",缺陷明细!$J$2:$J$50000,"系统测试")</f>
        <v>0</v>
      </c>
      <c r="S16" s="72">
        <f>COUNTIFS(缺陷明细!$A$2:$A$50000,$B$4,缺陷明细!$G$2:$G$50000,$C16,缺陷明细!$J$2:$J$50000,"系统测试",缺陷明细!$K$2:$K$50000,"致命",缺陷明细!$AB$2:$AB$50000,"&lt;&gt;丢弃",缺陷明细!$AB$2:$AB$50000,"&lt;&gt;设计如此",缺陷明细!$AB$2:$AB$50000,"&lt;&gt;重复Bug")+COUNTIFS(缺陷明细!$A$2:$A$50000,$B$4,缺陷明细!$G$2:$G$50000,$C16,缺陷明细!$J$2:$J$50000,"系统测试",缺陷明细!$K$2:$K$50000,"严重",缺陷明细!$AB$2:$AB$50000,"&lt;&gt;丢弃",缺陷明细!$AB$2:$AB$50000,"&lt;&gt;设计如此",缺陷明细!$AB$2:$AB$50000,"&lt;&gt;重复Bug")</f>
        <v>0</v>
      </c>
      <c r="T16" s="73">
        <f>COUNTIFS(缺陷明细!$A$2:$A$50000,$B$4,缺陷明细!$G$2:$G$50000,$C16,缺陷明细!$Q$2:$Q$50000,"已关闭",缺陷明细!$J$2:$J$50000,"系统测试",缺陷明细!$K$2:$K$50000,"致命")+COUNTIFS(缺陷明细!$A$2:$A$50000,$B$4,缺陷明细!$G$2:$G$50000,$C16,缺陷明细!$Q$2:$Q$50000,"已关闭",缺陷明细!$J$2:$J$50000,"系统测试",缺陷明细!$K$2:$K$50000,"严重")</f>
        <v>0</v>
      </c>
      <c r="U16" s="74">
        <f>COUNTIFS(缺陷明细!$A$2:$A$50000,$B$4,缺陷明细!$G$2:$G$50000,$C16,缺陷明细!$J$2:$J$50000,"验收测试",缺陷明细!$AB$2:$AB$50000,"&lt;&gt;丢弃",缺陷明细!$AB$2:$AB$50000,"&lt;&gt;设计如此",缺陷明细!$AB$2:$AB$50000,"&lt;&gt;重复Bug")</f>
        <v>0</v>
      </c>
      <c r="V16" s="75">
        <f>COUNTIFS(缺陷明细!$A$2:$A$50000,$B$4,缺陷明细!$G$2:$G$50000,$C16,缺陷明细!$Q$2:$Q$50000,"已关闭",缺陷明细!$J$2:$J$50000,"验收测试")</f>
        <v>0</v>
      </c>
      <c r="W16" s="75">
        <f>COUNTIFS(缺陷明细!$A$2:$A$50000,$B$4,缺陷明细!$G$2:$G$50000,$C16,缺陷明细!$J$2:$J$50000,"验收测试",缺陷明细!$K$2:$K$50000,"致命",缺陷明细!$AB$2:$AB$50000,"&lt;&gt;丢弃",缺陷明细!$AB$2:$AB$50000,"&lt;&gt;设计如此",缺陷明细!$AB$2:$AB$50000,"&lt;&gt;重复Bug")+COUNTIFS(缺陷明细!$A$2:$A$50000,$B$4,缺陷明细!$G$2:$G$50000,$C16,缺陷明细!$J$2:$J$50000,"验收测试",缺陷明细!$K$2:$K$50000,"严重",缺陷明细!$AB$2:$AB$50000,"&lt;&gt;丢弃",缺陷明细!$AB$2:$AB$50000,"&lt;&gt;设计如此",缺陷明细!$AB$2:$AB$50000,"&lt;&gt;重复Bug")</f>
        <v>0</v>
      </c>
      <c r="X16" s="76">
        <f>COUNTIFS(缺陷明细!$A$2:$A$50000,$B$4,缺陷明细!$G$2:$G$50000,$C16,缺陷明细!$Q$2:$Q$50000,"已关闭",缺陷明细!$J$2:$J$50000,"验收测试",缺陷明细!$K$2:$K$50000,"致命")+COUNTIFS(缺陷明细!$A$2:$A$50000,$B$4,缺陷明细!$G$2:$G$50000,$C16,缺陷明细!$Q$2:$Q$50000,"已关闭",缺陷明细!$J$2:$J$50000,"验收测试",缺陷明细!$K$2:$K$50000,"严重")</f>
        <v>0</v>
      </c>
      <c r="Y16" s="70">
        <f>COUNTIFS(缺陷明细!$A$2:$A$50000,$B$4,缺陷明细!$G$2:$G$50000,$C16,缺陷明细!$J$2:$J$50000,"运维测试",缺陷明细!$AB$2:$AB$50000,"&lt;&gt;丢弃",缺陷明细!$AB$2:$AB$50000,"&lt;&gt;设计如此",缺陷明细!$AB$2:$AB$50000,"&lt;&gt;重复Bug")</f>
        <v>0</v>
      </c>
      <c r="Z16" s="71">
        <f>COUNTIFS(缺陷明细!$A$2:$A$50000,$B$4,缺陷明细!$G$2:$G$50000,$C16,缺陷明细!$Q$2:$Q$50000,"已关闭",缺陷明细!$J$2:$J$50000,"运维测试")</f>
        <v>0</v>
      </c>
      <c r="AA16" s="72">
        <f>COUNTIFS(缺陷明细!$A$2:$A$50000,$B$4,缺陷明细!$G$2:$G$50000,$C16,缺陷明细!$J$2:$J$50000,"运维测试",缺陷明细!$K$2:$K$50000,"致命",缺陷明细!$AB$2:$AB$50000,"&lt;&gt;丢弃",缺陷明细!$AB$2:$AB$50000,"&lt;&gt;设计如此",缺陷明细!$AB$2:$AB$50000,"&lt;&gt;重复Bug")+COUNTIFS(缺陷明细!$A$2:$A$50000,$B$4,缺陷明细!$G$2:$G$50000,$C16,缺陷明细!$J$2:$J$50000,"运维测试",缺陷明细!$K$2:$K$50000,"严重",缺陷明细!$AB$2:$AB$50000,"&lt;&gt;丢弃",缺陷明细!$AB$2:$AB$50000,"&lt;&gt;设计如此",缺陷明细!$AB$2:$AB$50000,"&lt;&gt;重复Bug")</f>
        <v>0</v>
      </c>
      <c r="AB16" s="73">
        <f>COUNTIFS(缺陷明细!$A$2:$A$50000,$B$4,缺陷明细!$G$2:$G$50000,$C16,缺陷明细!$Q$2:$Q$50000,"已关闭",缺陷明细!$J$2:$J$50000,"运维测试",缺陷明细!$K$2:$K$50000,"致命")+COUNTIFS(缺陷明细!$A$2:$A$50000,$B$4,缺陷明细!$G$2:$G$50000,$C16,缺陷明细!$Q$2:$Q$50000,"已关闭",缺陷明细!$J$2:$J$50000,"运维测试",缺陷明细!$K$2:$K$50000,"严重")</f>
        <v>0</v>
      </c>
      <c r="AC16" s="68">
        <f t="shared" si="0"/>
        <v>0</v>
      </c>
      <c r="AD16" s="60">
        <f t="shared" si="0"/>
        <v>0</v>
      </c>
      <c r="AE16" s="60">
        <f t="shared" si="1"/>
        <v>0</v>
      </c>
      <c r="AF16" s="60">
        <f t="shared" si="1"/>
        <v>0</v>
      </c>
      <c r="AG16" s="60">
        <f t="shared" si="2"/>
        <v>0</v>
      </c>
      <c r="AH16" s="60">
        <f t="shared" si="2"/>
        <v>0</v>
      </c>
      <c r="AI16" s="60">
        <f t="shared" si="3"/>
        <v>0</v>
      </c>
      <c r="AJ16" s="61">
        <f t="shared" si="3"/>
        <v>0</v>
      </c>
      <c r="AK16" s="144"/>
    </row>
    <row r="17" spans="1:37">
      <c r="A17">
        <v>13</v>
      </c>
      <c r="B17" s="57"/>
      <c r="C17" s="58"/>
      <c r="D17" s="84"/>
      <c r="E17" s="82"/>
      <c r="F17" s="158"/>
      <c r="G17" s="159"/>
      <c r="H17" s="281">
        <f>COUNTIFS(缺陷明细!$A$2:$A$50000,$B$4,缺陷明细!$G$2:$G$50000,$C17,缺陷明细!$J$2:$J$50000,"评审",缺陷明细!$AB$2:$AB$50000,"&lt;&gt;丢弃",缺陷明细!$AB$2:$AB$50000,"&lt;&gt;设计如此",缺陷明细!$AB$2:$AB$50000,"&lt;&gt;重复Bug")</f>
        <v>0</v>
      </c>
      <c r="I17" s="154">
        <f>COUNTIFS(缺陷明细!$A$2:$A$50000,$B$4,缺陷明细!$G$2:$G$50000,$C17,缺陷明细!$Q$2:$Q$50000,"已关闭",缺陷明细!$J$2:$J$50000,"评审")</f>
        <v>0</v>
      </c>
      <c r="J17" s="154">
        <f>COUNTIFS(缺陷明细!$A$2:$A$50000,$B$4,缺陷明细!$G$2:$G$50000,$C17,缺陷明细!$J$2:$J$50000,"单元测试",缺陷明细!$AB$2:$AB$50000,"&lt;&gt;丢弃",缺陷明细!$AB$2:$AB$50000,"&lt;&gt;设计如此",缺陷明细!$AB$2:$AB$50000,"&lt;&gt;重复Bug")</f>
        <v>0</v>
      </c>
      <c r="K17" s="155">
        <f>COUNTIFS(缺陷明细!$A$2:$A$50000,$B$4,缺陷明细!$G$2:$G$50000,$C17,缺陷明细!$Q$2:$Q$50000,"已关闭",缺陷明细!$J$2:$J$50000,"单元测试")</f>
        <v>0</v>
      </c>
      <c r="L17" s="156"/>
      <c r="M17" s="157"/>
      <c r="N17" s="72">
        <f>COUNTIFS(缺陷明细!$A$2:$A$50000,$B$4,缺陷明细!$G$2:$G$50000,$C17,缺陷明细!$J$2:$J$50000,"系统测试案例评审",缺陷明细!$AB$2:$AB$50000,"&lt;&gt;丢弃",缺陷明细!$AB$2:$AB$50000,"&lt;&gt;设计如此",缺陷明细!$AB$2:$AB$50000,"&lt;&gt;重复Bug")</f>
        <v>0</v>
      </c>
      <c r="O17" s="72">
        <f>COUNTIFS(缺陷明细!$A$2:$A$50000,$B$4,缺陷明细!$G$2:$G$50000,$C17,缺陷明细!$Q$2:$Q$50000,"已关闭",缺陷明细!$J$2:$J$50000,"系统测试案例评审")</f>
        <v>0</v>
      </c>
      <c r="P17" s="72">
        <f>COUNTIFS(缺陷明细!$A$2:$A$50000,$B$4,缺陷明细!$G$2:$G$50000,$C17,缺陷明细!$J$2:$J$50000,"系统测试",缺陷明细!$AB$2:$AB$50000,"&lt;&gt;丢弃",缺陷明细!$AB$2:$AB$50000,"&lt;&gt;设计如此",缺陷明细!$AB$2:$AB$50000,"&lt;&gt;重复Bug")</f>
        <v>0</v>
      </c>
      <c r="Q17" s="72">
        <f>COUNTIFS(缺陷明细!$A$2:$A$50000,$B$4,缺陷明细!$G$2:$G$50000,$C17,缺陷明细!$Q$2:$Q$50000,"已关闭",缺陷明细!$J$2:$J$50000,"系统测试")</f>
        <v>0</v>
      </c>
      <c r="R17" s="296">
        <f>COUNTIFS(缺陷明细!$A$2:$A$50000,$B$4,缺陷明细!$G$2:$G$50000,$C17,缺陷明细!$AB$2:$AB$50000,"丢弃",缺陷明细!$J$2:$J$50000,"系统测试")+COUNTIFS(缺陷明细!$A$2:$A$50000,$B$4,缺陷明细!$G$2:$G$50000,$C17,缺陷明细!$AB$2:$AB$50000,"设计如此",缺陷明细!$J$2:$J$50000,"系统测试")+COUNTIFS(缺陷明细!$A$2:$A$50000,$B$4,缺陷明细!$G$2:$G$50000,$C17,缺陷明细!$AB$2:$AB$50000,"重复Bug",缺陷明细!$J$2:$J$50000,"系统测试")</f>
        <v>0</v>
      </c>
      <c r="S17" s="72">
        <f>COUNTIFS(缺陷明细!$A$2:$A$50000,$B$4,缺陷明细!$G$2:$G$50000,$C17,缺陷明细!$J$2:$J$50000,"系统测试",缺陷明细!$K$2:$K$50000,"致命",缺陷明细!$AB$2:$AB$50000,"&lt;&gt;丢弃",缺陷明细!$AB$2:$AB$50000,"&lt;&gt;设计如此",缺陷明细!$AB$2:$AB$50000,"&lt;&gt;重复Bug")+COUNTIFS(缺陷明细!$A$2:$A$50000,$B$4,缺陷明细!$G$2:$G$50000,$C17,缺陷明细!$J$2:$J$50000,"系统测试",缺陷明细!$K$2:$K$50000,"严重",缺陷明细!$AB$2:$AB$50000,"&lt;&gt;丢弃",缺陷明细!$AB$2:$AB$50000,"&lt;&gt;设计如此",缺陷明细!$AB$2:$AB$50000,"&lt;&gt;重复Bug")</f>
        <v>0</v>
      </c>
      <c r="T17" s="73">
        <f>COUNTIFS(缺陷明细!$A$2:$A$50000,$B$4,缺陷明细!$G$2:$G$50000,$C17,缺陷明细!$Q$2:$Q$50000,"已关闭",缺陷明细!$J$2:$J$50000,"系统测试",缺陷明细!$K$2:$K$50000,"致命")+COUNTIFS(缺陷明细!$A$2:$A$50000,$B$4,缺陷明细!$G$2:$G$50000,$C17,缺陷明细!$Q$2:$Q$50000,"已关闭",缺陷明细!$J$2:$J$50000,"系统测试",缺陷明细!$K$2:$K$50000,"严重")</f>
        <v>0</v>
      </c>
      <c r="U17" s="74">
        <f>COUNTIFS(缺陷明细!$A$2:$A$50000,$B$4,缺陷明细!$G$2:$G$50000,$C17,缺陷明细!$J$2:$J$50000,"验收测试",缺陷明细!$AB$2:$AB$50000,"&lt;&gt;丢弃",缺陷明细!$AB$2:$AB$50000,"&lt;&gt;设计如此",缺陷明细!$AB$2:$AB$50000,"&lt;&gt;重复Bug")</f>
        <v>0</v>
      </c>
      <c r="V17" s="75">
        <f>COUNTIFS(缺陷明细!$A$2:$A$50000,$B$4,缺陷明细!$G$2:$G$50000,$C17,缺陷明细!$Q$2:$Q$50000,"已关闭",缺陷明细!$J$2:$J$50000,"验收测试")</f>
        <v>0</v>
      </c>
      <c r="W17" s="75">
        <f>COUNTIFS(缺陷明细!$A$2:$A$50000,$B$4,缺陷明细!$G$2:$G$50000,$C17,缺陷明细!$J$2:$J$50000,"验收测试",缺陷明细!$K$2:$K$50000,"致命",缺陷明细!$AB$2:$AB$50000,"&lt;&gt;丢弃",缺陷明细!$AB$2:$AB$50000,"&lt;&gt;设计如此",缺陷明细!$AB$2:$AB$50000,"&lt;&gt;重复Bug")+COUNTIFS(缺陷明细!$A$2:$A$50000,$B$4,缺陷明细!$G$2:$G$50000,$C17,缺陷明细!$J$2:$J$50000,"验收测试",缺陷明细!$K$2:$K$50000,"严重",缺陷明细!$AB$2:$AB$50000,"&lt;&gt;丢弃",缺陷明细!$AB$2:$AB$50000,"&lt;&gt;设计如此",缺陷明细!$AB$2:$AB$50000,"&lt;&gt;重复Bug")</f>
        <v>0</v>
      </c>
      <c r="X17" s="76">
        <f>COUNTIFS(缺陷明细!$A$2:$A$50000,$B$4,缺陷明细!$G$2:$G$50000,$C17,缺陷明细!$Q$2:$Q$50000,"已关闭",缺陷明细!$J$2:$J$50000,"验收测试",缺陷明细!$K$2:$K$50000,"致命")+COUNTIFS(缺陷明细!$A$2:$A$50000,$B$4,缺陷明细!$G$2:$G$50000,$C17,缺陷明细!$Q$2:$Q$50000,"已关闭",缺陷明细!$J$2:$J$50000,"验收测试",缺陷明细!$K$2:$K$50000,"严重")</f>
        <v>0</v>
      </c>
      <c r="Y17" s="70">
        <f>COUNTIFS(缺陷明细!$A$2:$A$50000,$B$4,缺陷明细!$G$2:$G$50000,$C17,缺陷明细!$J$2:$J$50000,"运维测试",缺陷明细!$AB$2:$AB$50000,"&lt;&gt;丢弃",缺陷明细!$AB$2:$AB$50000,"&lt;&gt;设计如此",缺陷明细!$AB$2:$AB$50000,"&lt;&gt;重复Bug")</f>
        <v>0</v>
      </c>
      <c r="Z17" s="71">
        <f>COUNTIFS(缺陷明细!$A$2:$A$50000,$B$4,缺陷明细!$G$2:$G$50000,$C17,缺陷明细!$Q$2:$Q$50000,"已关闭",缺陷明细!$J$2:$J$50000,"运维测试")</f>
        <v>0</v>
      </c>
      <c r="AA17" s="72">
        <f>COUNTIFS(缺陷明细!$A$2:$A$50000,$B$4,缺陷明细!$G$2:$G$50000,$C17,缺陷明细!$J$2:$J$50000,"运维测试",缺陷明细!$K$2:$K$50000,"致命",缺陷明细!$AB$2:$AB$50000,"&lt;&gt;丢弃",缺陷明细!$AB$2:$AB$50000,"&lt;&gt;设计如此",缺陷明细!$AB$2:$AB$50000,"&lt;&gt;重复Bug")+COUNTIFS(缺陷明细!$A$2:$A$50000,$B$4,缺陷明细!$G$2:$G$50000,$C17,缺陷明细!$J$2:$J$50000,"运维测试",缺陷明细!$K$2:$K$50000,"严重",缺陷明细!$AB$2:$AB$50000,"&lt;&gt;丢弃",缺陷明细!$AB$2:$AB$50000,"&lt;&gt;设计如此",缺陷明细!$AB$2:$AB$50000,"&lt;&gt;重复Bug")</f>
        <v>0</v>
      </c>
      <c r="AB17" s="73">
        <f>COUNTIFS(缺陷明细!$A$2:$A$50000,$B$4,缺陷明细!$G$2:$G$50000,$C17,缺陷明细!$Q$2:$Q$50000,"已关闭",缺陷明细!$J$2:$J$50000,"运维测试",缺陷明细!$K$2:$K$50000,"致命")+COUNTIFS(缺陷明细!$A$2:$A$50000,$B$4,缺陷明细!$G$2:$G$50000,$C17,缺陷明细!$Q$2:$Q$50000,"已关闭",缺陷明细!$J$2:$J$50000,"运维测试",缺陷明细!$K$2:$K$50000,"严重")</f>
        <v>0</v>
      </c>
      <c r="AC17" s="68">
        <f t="shared" si="0"/>
        <v>0</v>
      </c>
      <c r="AD17" s="60">
        <f t="shared" si="0"/>
        <v>0</v>
      </c>
      <c r="AE17" s="60">
        <f t="shared" si="1"/>
        <v>0</v>
      </c>
      <c r="AF17" s="60">
        <f t="shared" si="1"/>
        <v>0</v>
      </c>
      <c r="AG17" s="60">
        <f t="shared" si="2"/>
        <v>0</v>
      </c>
      <c r="AH17" s="60">
        <f t="shared" si="2"/>
        <v>0</v>
      </c>
      <c r="AI17" s="60">
        <f t="shared" si="3"/>
        <v>0</v>
      </c>
      <c r="AJ17" s="61">
        <f t="shared" si="3"/>
        <v>0</v>
      </c>
      <c r="AK17" s="144"/>
    </row>
    <row r="18" spans="1:37">
      <c r="A18">
        <v>14</v>
      </c>
      <c r="B18" s="57"/>
      <c r="C18" s="58"/>
      <c r="D18" s="84"/>
      <c r="E18" s="82"/>
      <c r="F18" s="158"/>
      <c r="G18" s="159"/>
      <c r="H18" s="281">
        <f>COUNTIFS(缺陷明细!$A$2:$A$50000,$B$4,缺陷明细!$G$2:$G$50000,$C18,缺陷明细!$J$2:$J$50000,"评审",缺陷明细!$AB$2:$AB$50000,"&lt;&gt;丢弃",缺陷明细!$AB$2:$AB$50000,"&lt;&gt;设计如此",缺陷明细!$AB$2:$AB$50000,"&lt;&gt;重复Bug")</f>
        <v>0</v>
      </c>
      <c r="I18" s="154">
        <f>COUNTIFS(缺陷明细!$A$2:$A$50000,$B$4,缺陷明细!$G$2:$G$50000,$C18,缺陷明细!$Q$2:$Q$50000,"已关闭",缺陷明细!$J$2:$J$50000,"评审")</f>
        <v>0</v>
      </c>
      <c r="J18" s="154">
        <f>COUNTIFS(缺陷明细!$A$2:$A$50000,$B$4,缺陷明细!$G$2:$G$50000,$C18,缺陷明细!$J$2:$J$50000,"单元测试",缺陷明细!$AB$2:$AB$50000,"&lt;&gt;丢弃",缺陷明细!$AB$2:$AB$50000,"&lt;&gt;设计如此",缺陷明细!$AB$2:$AB$50000,"&lt;&gt;重复Bug")</f>
        <v>0</v>
      </c>
      <c r="K18" s="155">
        <f>COUNTIFS(缺陷明细!$A$2:$A$50000,$B$4,缺陷明细!$G$2:$G$50000,$C18,缺陷明细!$Q$2:$Q$50000,"已关闭",缺陷明细!$J$2:$J$50000,"单元测试")</f>
        <v>0</v>
      </c>
      <c r="L18" s="156"/>
      <c r="M18" s="157"/>
      <c r="N18" s="72">
        <f>COUNTIFS(缺陷明细!$A$2:$A$50000,$B$4,缺陷明细!$G$2:$G$50000,$C18,缺陷明细!$J$2:$J$50000,"系统测试案例评审",缺陷明细!$AB$2:$AB$50000,"&lt;&gt;丢弃",缺陷明细!$AB$2:$AB$50000,"&lt;&gt;设计如此",缺陷明细!$AB$2:$AB$50000,"&lt;&gt;重复Bug")</f>
        <v>0</v>
      </c>
      <c r="O18" s="72">
        <f>COUNTIFS(缺陷明细!$A$2:$A$50000,$B$4,缺陷明细!$G$2:$G$50000,$C18,缺陷明细!$Q$2:$Q$50000,"已关闭",缺陷明细!$J$2:$J$50000,"系统测试案例评审")</f>
        <v>0</v>
      </c>
      <c r="P18" s="72">
        <f>COUNTIFS(缺陷明细!$A$2:$A$50000,$B$4,缺陷明细!$G$2:$G$50000,$C18,缺陷明细!$J$2:$J$50000,"系统测试",缺陷明细!$AB$2:$AB$50000,"&lt;&gt;丢弃",缺陷明细!$AB$2:$AB$50000,"&lt;&gt;设计如此",缺陷明细!$AB$2:$AB$50000,"&lt;&gt;重复Bug")</f>
        <v>0</v>
      </c>
      <c r="Q18" s="72">
        <f>COUNTIFS(缺陷明细!$A$2:$A$50000,$B$4,缺陷明细!$G$2:$G$50000,$C18,缺陷明细!$Q$2:$Q$50000,"已关闭",缺陷明细!$J$2:$J$50000,"系统测试")</f>
        <v>0</v>
      </c>
      <c r="R18" s="296">
        <f>COUNTIFS(缺陷明细!$A$2:$A$50000,$B$4,缺陷明细!$G$2:$G$50000,$C18,缺陷明细!$AB$2:$AB$50000,"丢弃",缺陷明细!$J$2:$J$50000,"系统测试")+COUNTIFS(缺陷明细!$A$2:$A$50000,$B$4,缺陷明细!$G$2:$G$50000,$C18,缺陷明细!$AB$2:$AB$50000,"设计如此",缺陷明细!$J$2:$J$50000,"系统测试")+COUNTIFS(缺陷明细!$A$2:$A$50000,$B$4,缺陷明细!$G$2:$G$50000,$C18,缺陷明细!$AB$2:$AB$50000,"重复Bug",缺陷明细!$J$2:$J$50000,"系统测试")</f>
        <v>0</v>
      </c>
      <c r="S18" s="72">
        <f>COUNTIFS(缺陷明细!$A$2:$A$50000,$B$4,缺陷明细!$G$2:$G$50000,$C18,缺陷明细!$J$2:$J$50000,"系统测试",缺陷明细!$K$2:$K$50000,"致命",缺陷明细!$AB$2:$AB$50000,"&lt;&gt;丢弃",缺陷明细!$AB$2:$AB$50000,"&lt;&gt;设计如此",缺陷明细!$AB$2:$AB$50000,"&lt;&gt;重复Bug")+COUNTIFS(缺陷明细!$A$2:$A$50000,$B$4,缺陷明细!$G$2:$G$50000,$C18,缺陷明细!$J$2:$J$50000,"系统测试",缺陷明细!$K$2:$K$50000,"严重",缺陷明细!$AB$2:$AB$50000,"&lt;&gt;丢弃",缺陷明细!$AB$2:$AB$50000,"&lt;&gt;设计如此",缺陷明细!$AB$2:$AB$50000,"&lt;&gt;重复Bug")</f>
        <v>0</v>
      </c>
      <c r="T18" s="73">
        <f>COUNTIFS(缺陷明细!$A$2:$A$50000,$B$4,缺陷明细!$G$2:$G$50000,$C18,缺陷明细!$Q$2:$Q$50000,"已关闭",缺陷明细!$J$2:$J$50000,"系统测试",缺陷明细!$K$2:$K$50000,"致命")+COUNTIFS(缺陷明细!$A$2:$A$50000,$B$4,缺陷明细!$G$2:$G$50000,$C18,缺陷明细!$Q$2:$Q$50000,"已关闭",缺陷明细!$J$2:$J$50000,"系统测试",缺陷明细!$K$2:$K$50000,"严重")</f>
        <v>0</v>
      </c>
      <c r="U18" s="74">
        <f>COUNTIFS(缺陷明细!$A$2:$A$50000,$B$4,缺陷明细!$G$2:$G$50000,$C18,缺陷明细!$J$2:$J$50000,"验收测试",缺陷明细!$AB$2:$AB$50000,"&lt;&gt;丢弃",缺陷明细!$AB$2:$AB$50000,"&lt;&gt;设计如此",缺陷明细!$AB$2:$AB$50000,"&lt;&gt;重复Bug")</f>
        <v>0</v>
      </c>
      <c r="V18" s="75">
        <f>COUNTIFS(缺陷明细!$A$2:$A$50000,$B$4,缺陷明细!$G$2:$G$50000,$C18,缺陷明细!$Q$2:$Q$50000,"已关闭",缺陷明细!$J$2:$J$50000,"验收测试")</f>
        <v>0</v>
      </c>
      <c r="W18" s="75">
        <f>COUNTIFS(缺陷明细!$A$2:$A$50000,$B$4,缺陷明细!$G$2:$G$50000,$C18,缺陷明细!$J$2:$J$50000,"验收测试",缺陷明细!$K$2:$K$50000,"致命",缺陷明细!$AB$2:$AB$50000,"&lt;&gt;丢弃",缺陷明细!$AB$2:$AB$50000,"&lt;&gt;设计如此",缺陷明细!$AB$2:$AB$50000,"&lt;&gt;重复Bug")+COUNTIFS(缺陷明细!$A$2:$A$50000,$B$4,缺陷明细!$G$2:$G$50000,$C18,缺陷明细!$J$2:$J$50000,"验收测试",缺陷明细!$K$2:$K$50000,"严重",缺陷明细!$AB$2:$AB$50000,"&lt;&gt;丢弃",缺陷明细!$AB$2:$AB$50000,"&lt;&gt;设计如此",缺陷明细!$AB$2:$AB$50000,"&lt;&gt;重复Bug")</f>
        <v>0</v>
      </c>
      <c r="X18" s="76">
        <f>COUNTIFS(缺陷明细!$A$2:$A$50000,$B$4,缺陷明细!$G$2:$G$50000,$C18,缺陷明细!$Q$2:$Q$50000,"已关闭",缺陷明细!$J$2:$J$50000,"验收测试",缺陷明细!$K$2:$K$50000,"致命")+COUNTIFS(缺陷明细!$A$2:$A$50000,$B$4,缺陷明细!$G$2:$G$50000,$C18,缺陷明细!$Q$2:$Q$50000,"已关闭",缺陷明细!$J$2:$J$50000,"验收测试",缺陷明细!$K$2:$K$50000,"严重")</f>
        <v>0</v>
      </c>
      <c r="Y18" s="70">
        <f>COUNTIFS(缺陷明细!$A$2:$A$50000,$B$4,缺陷明细!$G$2:$G$50000,$C18,缺陷明细!$J$2:$J$50000,"运维测试",缺陷明细!$AB$2:$AB$50000,"&lt;&gt;丢弃",缺陷明细!$AB$2:$AB$50000,"&lt;&gt;设计如此",缺陷明细!$AB$2:$AB$50000,"&lt;&gt;重复Bug")</f>
        <v>0</v>
      </c>
      <c r="Z18" s="71">
        <f>COUNTIFS(缺陷明细!$A$2:$A$50000,$B$4,缺陷明细!$G$2:$G$50000,$C18,缺陷明细!$Q$2:$Q$50000,"已关闭",缺陷明细!$J$2:$J$50000,"运维测试")</f>
        <v>0</v>
      </c>
      <c r="AA18" s="72">
        <f>COUNTIFS(缺陷明细!$A$2:$A$50000,$B$4,缺陷明细!$G$2:$G$50000,$C18,缺陷明细!$J$2:$J$50000,"运维测试",缺陷明细!$K$2:$K$50000,"致命",缺陷明细!$AB$2:$AB$50000,"&lt;&gt;丢弃",缺陷明细!$AB$2:$AB$50000,"&lt;&gt;设计如此",缺陷明细!$AB$2:$AB$50000,"&lt;&gt;重复Bug")+COUNTIFS(缺陷明细!$A$2:$A$50000,$B$4,缺陷明细!$G$2:$G$50000,$C18,缺陷明细!$J$2:$J$50000,"运维测试",缺陷明细!$K$2:$K$50000,"严重",缺陷明细!$AB$2:$AB$50000,"&lt;&gt;丢弃",缺陷明细!$AB$2:$AB$50000,"&lt;&gt;设计如此",缺陷明细!$AB$2:$AB$50000,"&lt;&gt;重复Bug")</f>
        <v>0</v>
      </c>
      <c r="AB18" s="73">
        <f>COUNTIFS(缺陷明细!$A$2:$A$50000,$B$4,缺陷明细!$G$2:$G$50000,$C18,缺陷明细!$Q$2:$Q$50000,"已关闭",缺陷明细!$J$2:$J$50000,"运维测试",缺陷明细!$K$2:$K$50000,"致命")+COUNTIFS(缺陷明细!$A$2:$A$50000,$B$4,缺陷明细!$G$2:$G$50000,$C18,缺陷明细!$Q$2:$Q$50000,"已关闭",缺陷明细!$J$2:$J$50000,"运维测试",缺陷明细!$K$2:$K$50000,"严重")</f>
        <v>0</v>
      </c>
      <c r="AC18" s="68">
        <f t="shared" si="0"/>
        <v>0</v>
      </c>
      <c r="AD18" s="60">
        <f t="shared" si="0"/>
        <v>0</v>
      </c>
      <c r="AE18" s="60">
        <f t="shared" si="1"/>
        <v>0</v>
      </c>
      <c r="AF18" s="60">
        <f t="shared" si="1"/>
        <v>0</v>
      </c>
      <c r="AG18" s="60">
        <f t="shared" si="2"/>
        <v>0</v>
      </c>
      <c r="AH18" s="60">
        <f t="shared" si="2"/>
        <v>0</v>
      </c>
      <c r="AI18" s="60">
        <f t="shared" si="3"/>
        <v>0</v>
      </c>
      <c r="AJ18" s="61">
        <f t="shared" si="3"/>
        <v>0</v>
      </c>
      <c r="AK18" s="144"/>
    </row>
    <row r="19" spans="1:37">
      <c r="A19">
        <v>15</v>
      </c>
      <c r="B19" s="57"/>
      <c r="C19" s="58"/>
      <c r="D19" s="84"/>
      <c r="E19" s="82"/>
      <c r="F19" s="158"/>
      <c r="G19" s="159"/>
      <c r="H19" s="281">
        <f>COUNTIFS(缺陷明细!$A$2:$A$50000,$B$4,缺陷明细!$G$2:$G$50000,$C19,缺陷明细!$J$2:$J$50000,"评审",缺陷明细!$AB$2:$AB$50000,"&lt;&gt;丢弃",缺陷明细!$AB$2:$AB$50000,"&lt;&gt;设计如此",缺陷明细!$AB$2:$AB$50000,"&lt;&gt;重复Bug")</f>
        <v>0</v>
      </c>
      <c r="I19" s="154">
        <f>COUNTIFS(缺陷明细!$A$2:$A$50000,$B$4,缺陷明细!$G$2:$G$50000,$C19,缺陷明细!$Q$2:$Q$50000,"已关闭",缺陷明细!$J$2:$J$50000,"评审")</f>
        <v>0</v>
      </c>
      <c r="J19" s="154">
        <f>COUNTIFS(缺陷明细!$A$2:$A$50000,$B$4,缺陷明细!$G$2:$G$50000,$C19,缺陷明细!$J$2:$J$50000,"单元测试",缺陷明细!$AB$2:$AB$50000,"&lt;&gt;丢弃",缺陷明细!$AB$2:$AB$50000,"&lt;&gt;设计如此",缺陷明细!$AB$2:$AB$50000,"&lt;&gt;重复Bug")</f>
        <v>0</v>
      </c>
      <c r="K19" s="155">
        <f>COUNTIFS(缺陷明细!$A$2:$A$50000,$B$4,缺陷明细!$G$2:$G$50000,$C19,缺陷明细!$Q$2:$Q$50000,"已关闭",缺陷明细!$J$2:$J$50000,"单元测试")</f>
        <v>0</v>
      </c>
      <c r="L19" s="156"/>
      <c r="M19" s="157"/>
      <c r="N19" s="72">
        <f>COUNTIFS(缺陷明细!$A$2:$A$50000,$B$4,缺陷明细!$G$2:$G$50000,$C19,缺陷明细!$J$2:$J$50000,"系统测试案例评审",缺陷明细!$AB$2:$AB$50000,"&lt;&gt;丢弃",缺陷明细!$AB$2:$AB$50000,"&lt;&gt;设计如此",缺陷明细!$AB$2:$AB$50000,"&lt;&gt;重复Bug")</f>
        <v>0</v>
      </c>
      <c r="O19" s="72">
        <f>COUNTIFS(缺陷明细!$A$2:$A$50000,$B$4,缺陷明细!$G$2:$G$50000,$C19,缺陷明细!$Q$2:$Q$50000,"已关闭",缺陷明细!$J$2:$J$50000,"系统测试案例评审")</f>
        <v>0</v>
      </c>
      <c r="P19" s="72">
        <f>COUNTIFS(缺陷明细!$A$2:$A$50000,$B$4,缺陷明细!$G$2:$G$50000,$C19,缺陷明细!$J$2:$J$50000,"系统测试",缺陷明细!$AB$2:$AB$50000,"&lt;&gt;丢弃",缺陷明细!$AB$2:$AB$50000,"&lt;&gt;设计如此",缺陷明细!$AB$2:$AB$50000,"&lt;&gt;重复Bug")</f>
        <v>0</v>
      </c>
      <c r="Q19" s="72">
        <f>COUNTIFS(缺陷明细!$A$2:$A$50000,$B$4,缺陷明细!$G$2:$G$50000,$C19,缺陷明细!$Q$2:$Q$50000,"已关闭",缺陷明细!$J$2:$J$50000,"系统测试")</f>
        <v>0</v>
      </c>
      <c r="R19" s="296">
        <f>COUNTIFS(缺陷明细!$A$2:$A$50000,$B$4,缺陷明细!$G$2:$G$50000,$C19,缺陷明细!$AB$2:$AB$50000,"丢弃",缺陷明细!$J$2:$J$50000,"系统测试")+COUNTIFS(缺陷明细!$A$2:$A$50000,$B$4,缺陷明细!$G$2:$G$50000,$C19,缺陷明细!$AB$2:$AB$50000,"设计如此",缺陷明细!$J$2:$J$50000,"系统测试")+COUNTIFS(缺陷明细!$A$2:$A$50000,$B$4,缺陷明细!$G$2:$G$50000,$C19,缺陷明细!$AB$2:$AB$50000,"重复Bug",缺陷明细!$J$2:$J$50000,"系统测试")</f>
        <v>0</v>
      </c>
      <c r="S19" s="72">
        <f>COUNTIFS(缺陷明细!$A$2:$A$50000,$B$4,缺陷明细!$G$2:$G$50000,$C19,缺陷明细!$J$2:$J$50000,"系统测试",缺陷明细!$K$2:$K$50000,"致命",缺陷明细!$AB$2:$AB$50000,"&lt;&gt;丢弃",缺陷明细!$AB$2:$AB$50000,"&lt;&gt;设计如此",缺陷明细!$AB$2:$AB$50000,"&lt;&gt;重复Bug")+COUNTIFS(缺陷明细!$A$2:$A$50000,$B$4,缺陷明细!$G$2:$G$50000,$C19,缺陷明细!$J$2:$J$50000,"系统测试",缺陷明细!$K$2:$K$50000,"严重",缺陷明细!$AB$2:$AB$50000,"&lt;&gt;丢弃",缺陷明细!$AB$2:$AB$50000,"&lt;&gt;设计如此",缺陷明细!$AB$2:$AB$50000,"&lt;&gt;重复Bug")</f>
        <v>0</v>
      </c>
      <c r="T19" s="73">
        <f>COUNTIFS(缺陷明细!$A$2:$A$50000,$B$4,缺陷明细!$G$2:$G$50000,$C19,缺陷明细!$Q$2:$Q$50000,"已关闭",缺陷明细!$J$2:$J$50000,"系统测试",缺陷明细!$K$2:$K$50000,"致命")+COUNTIFS(缺陷明细!$A$2:$A$50000,$B$4,缺陷明细!$G$2:$G$50000,$C19,缺陷明细!$Q$2:$Q$50000,"已关闭",缺陷明细!$J$2:$J$50000,"系统测试",缺陷明细!$K$2:$K$50000,"严重")</f>
        <v>0</v>
      </c>
      <c r="U19" s="74">
        <f>COUNTIFS(缺陷明细!$A$2:$A$50000,$B$4,缺陷明细!$G$2:$G$50000,$C19,缺陷明细!$J$2:$J$50000,"验收测试",缺陷明细!$AB$2:$AB$50000,"&lt;&gt;丢弃",缺陷明细!$AB$2:$AB$50000,"&lt;&gt;设计如此",缺陷明细!$AB$2:$AB$50000,"&lt;&gt;重复Bug")</f>
        <v>0</v>
      </c>
      <c r="V19" s="75">
        <f>COUNTIFS(缺陷明细!$A$2:$A$50000,$B$4,缺陷明细!$G$2:$G$50000,$C19,缺陷明细!$Q$2:$Q$50000,"已关闭",缺陷明细!$J$2:$J$50000,"验收测试")</f>
        <v>0</v>
      </c>
      <c r="W19" s="75">
        <f>COUNTIFS(缺陷明细!$A$2:$A$50000,$B$4,缺陷明细!$G$2:$G$50000,$C19,缺陷明细!$J$2:$J$50000,"验收测试",缺陷明细!$K$2:$K$50000,"致命",缺陷明细!$AB$2:$AB$50000,"&lt;&gt;丢弃",缺陷明细!$AB$2:$AB$50000,"&lt;&gt;设计如此",缺陷明细!$AB$2:$AB$50000,"&lt;&gt;重复Bug")+COUNTIFS(缺陷明细!$A$2:$A$50000,$B$4,缺陷明细!$G$2:$G$50000,$C19,缺陷明细!$J$2:$J$50000,"验收测试",缺陷明细!$K$2:$K$50000,"严重",缺陷明细!$AB$2:$AB$50000,"&lt;&gt;丢弃",缺陷明细!$AB$2:$AB$50000,"&lt;&gt;设计如此",缺陷明细!$AB$2:$AB$50000,"&lt;&gt;重复Bug")</f>
        <v>0</v>
      </c>
      <c r="X19" s="76">
        <f>COUNTIFS(缺陷明细!$A$2:$A$50000,$B$4,缺陷明细!$G$2:$G$50000,$C19,缺陷明细!$Q$2:$Q$50000,"已关闭",缺陷明细!$J$2:$J$50000,"验收测试",缺陷明细!$K$2:$K$50000,"致命")+COUNTIFS(缺陷明细!$A$2:$A$50000,$B$4,缺陷明细!$G$2:$G$50000,$C19,缺陷明细!$Q$2:$Q$50000,"已关闭",缺陷明细!$J$2:$J$50000,"验收测试",缺陷明细!$K$2:$K$50000,"严重")</f>
        <v>0</v>
      </c>
      <c r="Y19" s="70">
        <f>COUNTIFS(缺陷明细!$A$2:$A$50000,$B$4,缺陷明细!$G$2:$G$50000,$C19,缺陷明细!$J$2:$J$50000,"运维测试",缺陷明细!$AB$2:$AB$50000,"&lt;&gt;丢弃",缺陷明细!$AB$2:$AB$50000,"&lt;&gt;设计如此",缺陷明细!$AB$2:$AB$50000,"&lt;&gt;重复Bug")</f>
        <v>0</v>
      </c>
      <c r="Z19" s="71">
        <f>COUNTIFS(缺陷明细!$A$2:$A$50000,$B$4,缺陷明细!$G$2:$G$50000,$C19,缺陷明细!$Q$2:$Q$50000,"已关闭",缺陷明细!$J$2:$J$50000,"运维测试")</f>
        <v>0</v>
      </c>
      <c r="AA19" s="72">
        <f>COUNTIFS(缺陷明细!$A$2:$A$50000,$B$4,缺陷明细!$G$2:$G$50000,$C19,缺陷明细!$J$2:$J$50000,"运维测试",缺陷明细!$K$2:$K$50000,"致命",缺陷明细!$AB$2:$AB$50000,"&lt;&gt;丢弃",缺陷明细!$AB$2:$AB$50000,"&lt;&gt;设计如此",缺陷明细!$AB$2:$AB$50000,"&lt;&gt;重复Bug")+COUNTIFS(缺陷明细!$A$2:$A$50000,$B$4,缺陷明细!$G$2:$G$50000,$C19,缺陷明细!$J$2:$J$50000,"运维测试",缺陷明细!$K$2:$K$50000,"严重",缺陷明细!$AB$2:$AB$50000,"&lt;&gt;丢弃",缺陷明细!$AB$2:$AB$50000,"&lt;&gt;设计如此",缺陷明细!$AB$2:$AB$50000,"&lt;&gt;重复Bug")</f>
        <v>0</v>
      </c>
      <c r="AB19" s="73">
        <f>COUNTIFS(缺陷明细!$A$2:$A$50000,$B$4,缺陷明细!$G$2:$G$50000,$C19,缺陷明细!$Q$2:$Q$50000,"已关闭",缺陷明细!$J$2:$J$50000,"运维测试",缺陷明细!$K$2:$K$50000,"致命")+COUNTIFS(缺陷明细!$A$2:$A$50000,$B$4,缺陷明细!$G$2:$G$50000,$C19,缺陷明细!$Q$2:$Q$50000,"已关闭",缺陷明细!$J$2:$J$50000,"运维测试",缺陷明细!$K$2:$K$50000,"严重")</f>
        <v>0</v>
      </c>
      <c r="AC19" s="68">
        <f t="shared" si="0"/>
        <v>0</v>
      </c>
      <c r="AD19" s="60">
        <f t="shared" si="0"/>
        <v>0</v>
      </c>
      <c r="AE19" s="60">
        <f t="shared" si="1"/>
        <v>0</v>
      </c>
      <c r="AF19" s="60">
        <f t="shared" si="1"/>
        <v>0</v>
      </c>
      <c r="AG19" s="60">
        <f t="shared" si="2"/>
        <v>0</v>
      </c>
      <c r="AH19" s="60">
        <f t="shared" si="2"/>
        <v>0</v>
      </c>
      <c r="AI19" s="60">
        <f t="shared" si="3"/>
        <v>0</v>
      </c>
      <c r="AJ19" s="61">
        <f t="shared" si="3"/>
        <v>0</v>
      </c>
      <c r="AK19" s="144"/>
    </row>
    <row r="20" spans="1:37">
      <c r="A20">
        <v>16</v>
      </c>
      <c r="B20" s="57"/>
      <c r="C20" s="58"/>
      <c r="D20" s="84"/>
      <c r="E20" s="82"/>
      <c r="F20" s="158"/>
      <c r="G20" s="159"/>
      <c r="H20" s="281">
        <f>COUNTIFS(缺陷明细!$A$2:$A$50000,$B$4,缺陷明细!$G$2:$G$50000,$C20,缺陷明细!$J$2:$J$50000,"评审",缺陷明细!$AB$2:$AB$50000,"&lt;&gt;丢弃",缺陷明细!$AB$2:$AB$50000,"&lt;&gt;设计如此",缺陷明细!$AB$2:$AB$50000,"&lt;&gt;重复Bug")</f>
        <v>0</v>
      </c>
      <c r="I20" s="154">
        <f>COUNTIFS(缺陷明细!$A$2:$A$50000,$B$4,缺陷明细!$G$2:$G$50000,$C20,缺陷明细!$Q$2:$Q$50000,"已关闭",缺陷明细!$J$2:$J$50000,"评审")</f>
        <v>0</v>
      </c>
      <c r="J20" s="154">
        <f>COUNTIFS(缺陷明细!$A$2:$A$50000,$B$4,缺陷明细!$G$2:$G$50000,$C20,缺陷明细!$J$2:$J$50000,"单元测试",缺陷明细!$AB$2:$AB$50000,"&lt;&gt;丢弃",缺陷明细!$AB$2:$AB$50000,"&lt;&gt;设计如此",缺陷明细!$AB$2:$AB$50000,"&lt;&gt;重复Bug")</f>
        <v>0</v>
      </c>
      <c r="K20" s="155">
        <f>COUNTIFS(缺陷明细!$A$2:$A$50000,$B$4,缺陷明细!$G$2:$G$50000,$C20,缺陷明细!$Q$2:$Q$50000,"已关闭",缺陷明细!$J$2:$J$50000,"单元测试")</f>
        <v>0</v>
      </c>
      <c r="L20" s="156"/>
      <c r="M20" s="157"/>
      <c r="N20" s="72">
        <f>COUNTIFS(缺陷明细!$A$2:$A$50000,$B$4,缺陷明细!$G$2:$G$50000,$C20,缺陷明细!$J$2:$J$50000,"系统测试案例评审",缺陷明细!$AB$2:$AB$50000,"&lt;&gt;丢弃",缺陷明细!$AB$2:$AB$50000,"&lt;&gt;设计如此",缺陷明细!$AB$2:$AB$50000,"&lt;&gt;重复Bug")</f>
        <v>0</v>
      </c>
      <c r="O20" s="72">
        <f>COUNTIFS(缺陷明细!$A$2:$A$50000,$B$4,缺陷明细!$G$2:$G$50000,$C20,缺陷明细!$Q$2:$Q$50000,"已关闭",缺陷明细!$J$2:$J$50000,"系统测试案例评审")</f>
        <v>0</v>
      </c>
      <c r="P20" s="72">
        <f>COUNTIFS(缺陷明细!$A$2:$A$50000,$B$4,缺陷明细!$G$2:$G$50000,$C20,缺陷明细!$J$2:$J$50000,"系统测试",缺陷明细!$AB$2:$AB$50000,"&lt;&gt;丢弃",缺陷明细!$AB$2:$AB$50000,"&lt;&gt;设计如此",缺陷明细!$AB$2:$AB$50000,"&lt;&gt;重复Bug")</f>
        <v>0</v>
      </c>
      <c r="Q20" s="72">
        <f>COUNTIFS(缺陷明细!$A$2:$A$50000,$B$4,缺陷明细!$G$2:$G$50000,$C20,缺陷明细!$Q$2:$Q$50000,"已关闭",缺陷明细!$J$2:$J$50000,"系统测试")</f>
        <v>0</v>
      </c>
      <c r="R20" s="296">
        <f>COUNTIFS(缺陷明细!$A$2:$A$50000,$B$4,缺陷明细!$G$2:$G$50000,$C20,缺陷明细!$AB$2:$AB$50000,"丢弃",缺陷明细!$J$2:$J$50000,"系统测试")+COUNTIFS(缺陷明细!$A$2:$A$50000,$B$4,缺陷明细!$G$2:$G$50000,$C20,缺陷明细!$AB$2:$AB$50000,"设计如此",缺陷明细!$J$2:$J$50000,"系统测试")+COUNTIFS(缺陷明细!$A$2:$A$50000,$B$4,缺陷明细!$G$2:$G$50000,$C20,缺陷明细!$AB$2:$AB$50000,"重复Bug",缺陷明细!$J$2:$J$50000,"系统测试")</f>
        <v>0</v>
      </c>
      <c r="S20" s="72">
        <f>COUNTIFS(缺陷明细!$A$2:$A$50000,$B$4,缺陷明细!$G$2:$G$50000,$C20,缺陷明细!$J$2:$J$50000,"系统测试",缺陷明细!$K$2:$K$50000,"致命",缺陷明细!$AB$2:$AB$50000,"&lt;&gt;丢弃",缺陷明细!$AB$2:$AB$50000,"&lt;&gt;设计如此",缺陷明细!$AB$2:$AB$50000,"&lt;&gt;重复Bug")+COUNTIFS(缺陷明细!$A$2:$A$50000,$B$4,缺陷明细!$G$2:$G$50000,$C20,缺陷明细!$J$2:$J$50000,"系统测试",缺陷明细!$K$2:$K$50000,"严重",缺陷明细!$AB$2:$AB$50000,"&lt;&gt;丢弃",缺陷明细!$AB$2:$AB$50000,"&lt;&gt;设计如此",缺陷明细!$AB$2:$AB$50000,"&lt;&gt;重复Bug")</f>
        <v>0</v>
      </c>
      <c r="T20" s="73">
        <f>COUNTIFS(缺陷明细!$A$2:$A$50000,$B$4,缺陷明细!$G$2:$G$50000,$C20,缺陷明细!$Q$2:$Q$50000,"已关闭",缺陷明细!$J$2:$J$50000,"系统测试",缺陷明细!$K$2:$K$50000,"致命")+COUNTIFS(缺陷明细!$A$2:$A$50000,$B$4,缺陷明细!$G$2:$G$50000,$C20,缺陷明细!$Q$2:$Q$50000,"已关闭",缺陷明细!$J$2:$J$50000,"系统测试",缺陷明细!$K$2:$K$50000,"严重")</f>
        <v>0</v>
      </c>
      <c r="U20" s="74">
        <f>COUNTIFS(缺陷明细!$A$2:$A$50000,$B$4,缺陷明细!$G$2:$G$50000,$C20,缺陷明细!$J$2:$J$50000,"验收测试",缺陷明细!$AB$2:$AB$50000,"&lt;&gt;丢弃",缺陷明细!$AB$2:$AB$50000,"&lt;&gt;设计如此",缺陷明细!$AB$2:$AB$50000,"&lt;&gt;重复Bug")</f>
        <v>0</v>
      </c>
      <c r="V20" s="75">
        <f>COUNTIFS(缺陷明细!$A$2:$A$50000,$B$4,缺陷明细!$G$2:$G$50000,$C20,缺陷明细!$Q$2:$Q$50000,"已关闭",缺陷明细!$J$2:$J$50000,"验收测试")</f>
        <v>0</v>
      </c>
      <c r="W20" s="75">
        <f>COUNTIFS(缺陷明细!$A$2:$A$50000,$B$4,缺陷明细!$G$2:$G$50000,$C20,缺陷明细!$J$2:$J$50000,"验收测试",缺陷明细!$K$2:$K$50000,"致命",缺陷明细!$AB$2:$AB$50000,"&lt;&gt;丢弃",缺陷明细!$AB$2:$AB$50000,"&lt;&gt;设计如此",缺陷明细!$AB$2:$AB$50000,"&lt;&gt;重复Bug")+COUNTIFS(缺陷明细!$A$2:$A$50000,$B$4,缺陷明细!$G$2:$G$50000,$C20,缺陷明细!$J$2:$J$50000,"验收测试",缺陷明细!$K$2:$K$50000,"严重",缺陷明细!$AB$2:$AB$50000,"&lt;&gt;丢弃",缺陷明细!$AB$2:$AB$50000,"&lt;&gt;设计如此",缺陷明细!$AB$2:$AB$50000,"&lt;&gt;重复Bug")</f>
        <v>0</v>
      </c>
      <c r="X20" s="76">
        <f>COUNTIFS(缺陷明细!$A$2:$A$50000,$B$4,缺陷明细!$G$2:$G$50000,$C20,缺陷明细!$Q$2:$Q$50000,"已关闭",缺陷明细!$J$2:$J$50000,"验收测试",缺陷明细!$K$2:$K$50000,"致命")+COUNTIFS(缺陷明细!$A$2:$A$50000,$B$4,缺陷明细!$G$2:$G$50000,$C20,缺陷明细!$Q$2:$Q$50000,"已关闭",缺陷明细!$J$2:$J$50000,"验收测试",缺陷明细!$K$2:$K$50000,"严重")</f>
        <v>0</v>
      </c>
      <c r="Y20" s="70">
        <f>COUNTIFS(缺陷明细!$A$2:$A$50000,$B$4,缺陷明细!$G$2:$G$50000,$C20,缺陷明细!$J$2:$J$50000,"运维测试",缺陷明细!$AB$2:$AB$50000,"&lt;&gt;丢弃",缺陷明细!$AB$2:$AB$50000,"&lt;&gt;设计如此",缺陷明细!$AB$2:$AB$50000,"&lt;&gt;重复Bug")</f>
        <v>0</v>
      </c>
      <c r="Z20" s="71">
        <f>COUNTIFS(缺陷明细!$A$2:$A$50000,$B$4,缺陷明细!$G$2:$G$50000,$C20,缺陷明细!$Q$2:$Q$50000,"已关闭",缺陷明细!$J$2:$J$50000,"运维测试")</f>
        <v>0</v>
      </c>
      <c r="AA20" s="72">
        <f>COUNTIFS(缺陷明细!$A$2:$A$50000,$B$4,缺陷明细!$G$2:$G$50000,$C20,缺陷明细!$J$2:$J$50000,"运维测试",缺陷明细!$K$2:$K$50000,"致命",缺陷明细!$AB$2:$AB$50000,"&lt;&gt;丢弃",缺陷明细!$AB$2:$AB$50000,"&lt;&gt;设计如此",缺陷明细!$AB$2:$AB$50000,"&lt;&gt;重复Bug")+COUNTIFS(缺陷明细!$A$2:$A$50000,$B$4,缺陷明细!$G$2:$G$50000,$C20,缺陷明细!$J$2:$J$50000,"运维测试",缺陷明细!$K$2:$K$50000,"严重",缺陷明细!$AB$2:$AB$50000,"&lt;&gt;丢弃",缺陷明细!$AB$2:$AB$50000,"&lt;&gt;设计如此",缺陷明细!$AB$2:$AB$50000,"&lt;&gt;重复Bug")</f>
        <v>0</v>
      </c>
      <c r="AB20" s="73">
        <f>COUNTIFS(缺陷明细!$A$2:$A$50000,$B$4,缺陷明细!$G$2:$G$50000,$C20,缺陷明细!$Q$2:$Q$50000,"已关闭",缺陷明细!$J$2:$J$50000,"运维测试",缺陷明细!$K$2:$K$50000,"致命")+COUNTIFS(缺陷明细!$A$2:$A$50000,$B$4,缺陷明细!$G$2:$G$50000,$C20,缺陷明细!$Q$2:$Q$50000,"已关闭",缺陷明细!$J$2:$J$50000,"运维测试",缺陷明细!$K$2:$K$50000,"严重")</f>
        <v>0</v>
      </c>
      <c r="AC20" s="68">
        <f t="shared" si="0"/>
        <v>0</v>
      </c>
      <c r="AD20" s="60">
        <f t="shared" si="0"/>
        <v>0</v>
      </c>
      <c r="AE20" s="60">
        <f t="shared" si="1"/>
        <v>0</v>
      </c>
      <c r="AF20" s="60">
        <f t="shared" si="1"/>
        <v>0</v>
      </c>
      <c r="AG20" s="60">
        <f t="shared" si="2"/>
        <v>0</v>
      </c>
      <c r="AH20" s="60">
        <f t="shared" si="2"/>
        <v>0</v>
      </c>
      <c r="AI20" s="60">
        <f t="shared" si="3"/>
        <v>0</v>
      </c>
      <c r="AJ20" s="61">
        <f t="shared" si="3"/>
        <v>0</v>
      </c>
      <c r="AK20" s="144"/>
    </row>
    <row r="21" spans="1:37">
      <c r="A21">
        <v>17</v>
      </c>
      <c r="B21" s="57"/>
      <c r="C21" s="58"/>
      <c r="D21" s="84"/>
      <c r="E21" s="82"/>
      <c r="F21" s="158"/>
      <c r="G21" s="159"/>
      <c r="H21" s="281">
        <f>COUNTIFS(缺陷明细!$A$2:$A$50000,$B$4,缺陷明细!$G$2:$G$50000,$C21,缺陷明细!$J$2:$J$50000,"评审",缺陷明细!$AB$2:$AB$50000,"&lt;&gt;丢弃",缺陷明细!$AB$2:$AB$50000,"&lt;&gt;设计如此",缺陷明细!$AB$2:$AB$50000,"&lt;&gt;重复Bug")</f>
        <v>0</v>
      </c>
      <c r="I21" s="154">
        <f>COUNTIFS(缺陷明细!$A$2:$A$50000,$B$4,缺陷明细!$G$2:$G$50000,$C21,缺陷明细!$Q$2:$Q$50000,"已关闭",缺陷明细!$J$2:$J$50000,"评审")</f>
        <v>0</v>
      </c>
      <c r="J21" s="154">
        <f>COUNTIFS(缺陷明细!$A$2:$A$50000,$B$4,缺陷明细!$G$2:$G$50000,$C21,缺陷明细!$J$2:$J$50000,"单元测试",缺陷明细!$AB$2:$AB$50000,"&lt;&gt;丢弃",缺陷明细!$AB$2:$AB$50000,"&lt;&gt;设计如此",缺陷明细!$AB$2:$AB$50000,"&lt;&gt;重复Bug")</f>
        <v>0</v>
      </c>
      <c r="K21" s="155">
        <f>COUNTIFS(缺陷明细!$A$2:$A$50000,$B$4,缺陷明细!$G$2:$G$50000,$C21,缺陷明细!$Q$2:$Q$50000,"已关闭",缺陷明细!$J$2:$J$50000,"单元测试")</f>
        <v>0</v>
      </c>
      <c r="L21" s="156"/>
      <c r="M21" s="157"/>
      <c r="N21" s="72">
        <f>COUNTIFS(缺陷明细!$A$2:$A$50000,$B$4,缺陷明细!$G$2:$G$50000,$C21,缺陷明细!$J$2:$J$50000,"系统测试案例评审",缺陷明细!$AB$2:$AB$50000,"&lt;&gt;丢弃",缺陷明细!$AB$2:$AB$50000,"&lt;&gt;设计如此",缺陷明细!$AB$2:$AB$50000,"&lt;&gt;重复Bug")</f>
        <v>0</v>
      </c>
      <c r="O21" s="72">
        <f>COUNTIFS(缺陷明细!$A$2:$A$50000,$B$4,缺陷明细!$G$2:$G$50000,$C21,缺陷明细!$Q$2:$Q$50000,"已关闭",缺陷明细!$J$2:$J$50000,"系统测试案例评审")</f>
        <v>0</v>
      </c>
      <c r="P21" s="72">
        <f>COUNTIFS(缺陷明细!$A$2:$A$50000,$B$4,缺陷明细!$G$2:$G$50000,$C21,缺陷明细!$J$2:$J$50000,"系统测试",缺陷明细!$AB$2:$AB$50000,"&lt;&gt;丢弃",缺陷明细!$AB$2:$AB$50000,"&lt;&gt;设计如此",缺陷明细!$AB$2:$AB$50000,"&lt;&gt;重复Bug")</f>
        <v>0</v>
      </c>
      <c r="Q21" s="72">
        <f>COUNTIFS(缺陷明细!$A$2:$A$50000,$B$4,缺陷明细!$G$2:$G$50000,$C21,缺陷明细!$Q$2:$Q$50000,"已关闭",缺陷明细!$J$2:$J$50000,"系统测试")</f>
        <v>0</v>
      </c>
      <c r="R21" s="296">
        <f>COUNTIFS(缺陷明细!$A$2:$A$50000,$B$4,缺陷明细!$G$2:$G$50000,$C21,缺陷明细!$AB$2:$AB$50000,"丢弃",缺陷明细!$J$2:$J$50000,"系统测试")+COUNTIFS(缺陷明细!$A$2:$A$50000,$B$4,缺陷明细!$G$2:$G$50000,$C21,缺陷明细!$AB$2:$AB$50000,"设计如此",缺陷明细!$J$2:$J$50000,"系统测试")+COUNTIFS(缺陷明细!$A$2:$A$50000,$B$4,缺陷明细!$G$2:$G$50000,$C21,缺陷明细!$AB$2:$AB$50000,"重复Bug",缺陷明细!$J$2:$J$50000,"系统测试")</f>
        <v>0</v>
      </c>
      <c r="S21" s="72">
        <f>COUNTIFS(缺陷明细!$A$2:$A$50000,$B$4,缺陷明细!$G$2:$G$50000,$C21,缺陷明细!$J$2:$J$50000,"系统测试",缺陷明细!$K$2:$K$50000,"致命",缺陷明细!$AB$2:$AB$50000,"&lt;&gt;丢弃",缺陷明细!$AB$2:$AB$50000,"&lt;&gt;设计如此",缺陷明细!$AB$2:$AB$50000,"&lt;&gt;重复Bug")+COUNTIFS(缺陷明细!$A$2:$A$50000,$B$4,缺陷明细!$G$2:$G$50000,$C21,缺陷明细!$J$2:$J$50000,"系统测试",缺陷明细!$K$2:$K$50000,"严重",缺陷明细!$AB$2:$AB$50000,"&lt;&gt;丢弃",缺陷明细!$AB$2:$AB$50000,"&lt;&gt;设计如此",缺陷明细!$AB$2:$AB$50000,"&lt;&gt;重复Bug")</f>
        <v>0</v>
      </c>
      <c r="T21" s="73">
        <f>COUNTIFS(缺陷明细!$A$2:$A$50000,$B$4,缺陷明细!$G$2:$G$50000,$C21,缺陷明细!$Q$2:$Q$50000,"已关闭",缺陷明细!$J$2:$J$50000,"系统测试",缺陷明细!$K$2:$K$50000,"致命")+COUNTIFS(缺陷明细!$A$2:$A$50000,$B$4,缺陷明细!$G$2:$G$50000,$C21,缺陷明细!$Q$2:$Q$50000,"已关闭",缺陷明细!$J$2:$J$50000,"系统测试",缺陷明细!$K$2:$K$50000,"严重")</f>
        <v>0</v>
      </c>
      <c r="U21" s="74">
        <f>COUNTIFS(缺陷明细!$A$2:$A$50000,$B$4,缺陷明细!$G$2:$G$50000,$C21,缺陷明细!$J$2:$J$50000,"验收测试",缺陷明细!$AB$2:$AB$50000,"&lt;&gt;丢弃",缺陷明细!$AB$2:$AB$50000,"&lt;&gt;设计如此",缺陷明细!$AB$2:$AB$50000,"&lt;&gt;重复Bug")</f>
        <v>0</v>
      </c>
      <c r="V21" s="75">
        <f>COUNTIFS(缺陷明细!$A$2:$A$50000,$B$4,缺陷明细!$G$2:$G$50000,$C21,缺陷明细!$Q$2:$Q$50000,"已关闭",缺陷明细!$J$2:$J$50000,"验收测试")</f>
        <v>0</v>
      </c>
      <c r="W21" s="75">
        <f>COUNTIFS(缺陷明细!$A$2:$A$50000,$B$4,缺陷明细!$G$2:$G$50000,$C21,缺陷明细!$J$2:$J$50000,"验收测试",缺陷明细!$K$2:$K$50000,"致命",缺陷明细!$AB$2:$AB$50000,"&lt;&gt;丢弃",缺陷明细!$AB$2:$AB$50000,"&lt;&gt;设计如此",缺陷明细!$AB$2:$AB$50000,"&lt;&gt;重复Bug")+COUNTIFS(缺陷明细!$A$2:$A$50000,$B$4,缺陷明细!$G$2:$G$50000,$C21,缺陷明细!$J$2:$J$50000,"验收测试",缺陷明细!$K$2:$K$50000,"严重",缺陷明细!$AB$2:$AB$50000,"&lt;&gt;丢弃",缺陷明细!$AB$2:$AB$50000,"&lt;&gt;设计如此",缺陷明细!$AB$2:$AB$50000,"&lt;&gt;重复Bug")</f>
        <v>0</v>
      </c>
      <c r="X21" s="76">
        <f>COUNTIFS(缺陷明细!$A$2:$A$50000,$B$4,缺陷明细!$G$2:$G$50000,$C21,缺陷明细!$Q$2:$Q$50000,"已关闭",缺陷明细!$J$2:$J$50000,"验收测试",缺陷明细!$K$2:$K$50000,"致命")+COUNTIFS(缺陷明细!$A$2:$A$50000,$B$4,缺陷明细!$G$2:$G$50000,$C21,缺陷明细!$Q$2:$Q$50000,"已关闭",缺陷明细!$J$2:$J$50000,"验收测试",缺陷明细!$K$2:$K$50000,"严重")</f>
        <v>0</v>
      </c>
      <c r="Y21" s="70">
        <f>COUNTIFS(缺陷明细!$A$2:$A$50000,$B$4,缺陷明细!$G$2:$G$50000,$C21,缺陷明细!$J$2:$J$50000,"运维测试",缺陷明细!$AB$2:$AB$50000,"&lt;&gt;丢弃",缺陷明细!$AB$2:$AB$50000,"&lt;&gt;设计如此",缺陷明细!$AB$2:$AB$50000,"&lt;&gt;重复Bug")</f>
        <v>0</v>
      </c>
      <c r="Z21" s="71">
        <f>COUNTIFS(缺陷明细!$A$2:$A$50000,$B$4,缺陷明细!$G$2:$G$50000,$C21,缺陷明细!$Q$2:$Q$50000,"已关闭",缺陷明细!$J$2:$J$50000,"运维测试")</f>
        <v>0</v>
      </c>
      <c r="AA21" s="72">
        <f>COUNTIFS(缺陷明细!$A$2:$A$50000,$B$4,缺陷明细!$G$2:$G$50000,$C21,缺陷明细!$J$2:$J$50000,"运维测试",缺陷明细!$K$2:$K$50000,"致命",缺陷明细!$AB$2:$AB$50000,"&lt;&gt;丢弃",缺陷明细!$AB$2:$AB$50000,"&lt;&gt;设计如此",缺陷明细!$AB$2:$AB$50000,"&lt;&gt;重复Bug")+COUNTIFS(缺陷明细!$A$2:$A$50000,$B$4,缺陷明细!$G$2:$G$50000,$C21,缺陷明细!$J$2:$J$50000,"运维测试",缺陷明细!$K$2:$K$50000,"严重",缺陷明细!$AB$2:$AB$50000,"&lt;&gt;丢弃",缺陷明细!$AB$2:$AB$50000,"&lt;&gt;设计如此",缺陷明细!$AB$2:$AB$50000,"&lt;&gt;重复Bug")</f>
        <v>0</v>
      </c>
      <c r="AB21" s="73">
        <f>COUNTIFS(缺陷明细!$A$2:$A$50000,$B$4,缺陷明细!$G$2:$G$50000,$C21,缺陷明细!$Q$2:$Q$50000,"已关闭",缺陷明细!$J$2:$J$50000,"运维测试",缺陷明细!$K$2:$K$50000,"致命")+COUNTIFS(缺陷明细!$A$2:$A$50000,$B$4,缺陷明细!$G$2:$G$50000,$C21,缺陷明细!$Q$2:$Q$50000,"已关闭",缺陷明细!$J$2:$J$50000,"运维测试",缺陷明细!$K$2:$K$50000,"严重")</f>
        <v>0</v>
      </c>
      <c r="AC21" s="68">
        <f t="shared" si="0"/>
        <v>0</v>
      </c>
      <c r="AD21" s="60">
        <f t="shared" si="0"/>
        <v>0</v>
      </c>
      <c r="AE21" s="60">
        <f t="shared" si="1"/>
        <v>0</v>
      </c>
      <c r="AF21" s="60">
        <f t="shared" si="1"/>
        <v>0</v>
      </c>
      <c r="AG21" s="60">
        <f t="shared" si="2"/>
        <v>0</v>
      </c>
      <c r="AH21" s="60">
        <f t="shared" si="2"/>
        <v>0</v>
      </c>
      <c r="AI21" s="60">
        <f t="shared" si="3"/>
        <v>0</v>
      </c>
      <c r="AJ21" s="61">
        <f t="shared" si="3"/>
        <v>0</v>
      </c>
      <c r="AK21" s="144"/>
    </row>
    <row r="22" spans="1:37">
      <c r="A22">
        <v>18</v>
      </c>
      <c r="B22" s="57"/>
      <c r="C22" s="58"/>
      <c r="D22" s="84"/>
      <c r="E22" s="82"/>
      <c r="F22" s="158"/>
      <c r="G22" s="159"/>
      <c r="H22" s="281">
        <f>COUNTIFS(缺陷明细!$A$2:$A$50000,$B$4,缺陷明细!$G$2:$G$50000,$C22,缺陷明细!$J$2:$J$50000,"评审",缺陷明细!$AB$2:$AB$50000,"&lt;&gt;丢弃",缺陷明细!$AB$2:$AB$50000,"&lt;&gt;设计如此",缺陷明细!$AB$2:$AB$50000,"&lt;&gt;重复Bug")</f>
        <v>0</v>
      </c>
      <c r="I22" s="154">
        <f>COUNTIFS(缺陷明细!$A$2:$A$50000,$B$4,缺陷明细!$G$2:$G$50000,$C22,缺陷明细!$Q$2:$Q$50000,"已关闭",缺陷明细!$J$2:$J$50000,"评审")</f>
        <v>0</v>
      </c>
      <c r="J22" s="154">
        <f>COUNTIFS(缺陷明细!$A$2:$A$50000,$B$4,缺陷明细!$G$2:$G$50000,$C22,缺陷明细!$J$2:$J$50000,"单元测试",缺陷明细!$AB$2:$AB$50000,"&lt;&gt;丢弃",缺陷明细!$AB$2:$AB$50000,"&lt;&gt;设计如此",缺陷明细!$AB$2:$AB$50000,"&lt;&gt;重复Bug")</f>
        <v>0</v>
      </c>
      <c r="K22" s="155">
        <f>COUNTIFS(缺陷明细!$A$2:$A$50000,$B$4,缺陷明细!$G$2:$G$50000,$C22,缺陷明细!$Q$2:$Q$50000,"已关闭",缺陷明细!$J$2:$J$50000,"单元测试")</f>
        <v>0</v>
      </c>
      <c r="L22" s="156"/>
      <c r="M22" s="157"/>
      <c r="N22" s="72">
        <f>COUNTIFS(缺陷明细!$A$2:$A$50000,$B$4,缺陷明细!$G$2:$G$50000,$C22,缺陷明细!$J$2:$J$50000,"系统测试案例评审",缺陷明细!$AB$2:$AB$50000,"&lt;&gt;丢弃",缺陷明细!$AB$2:$AB$50000,"&lt;&gt;设计如此",缺陷明细!$AB$2:$AB$50000,"&lt;&gt;重复Bug")</f>
        <v>0</v>
      </c>
      <c r="O22" s="72">
        <f>COUNTIFS(缺陷明细!$A$2:$A$50000,$B$4,缺陷明细!$G$2:$G$50000,$C22,缺陷明细!$Q$2:$Q$50000,"已关闭",缺陷明细!$J$2:$J$50000,"系统测试案例评审")</f>
        <v>0</v>
      </c>
      <c r="P22" s="72">
        <f>COUNTIFS(缺陷明细!$A$2:$A$50000,$B$4,缺陷明细!$G$2:$G$50000,$C22,缺陷明细!$J$2:$J$50000,"系统测试",缺陷明细!$AB$2:$AB$50000,"&lt;&gt;丢弃",缺陷明细!$AB$2:$AB$50000,"&lt;&gt;设计如此",缺陷明细!$AB$2:$AB$50000,"&lt;&gt;重复Bug")</f>
        <v>0</v>
      </c>
      <c r="Q22" s="72">
        <f>COUNTIFS(缺陷明细!$A$2:$A$50000,$B$4,缺陷明细!$G$2:$G$50000,$C22,缺陷明细!$Q$2:$Q$50000,"已关闭",缺陷明细!$J$2:$J$50000,"系统测试")</f>
        <v>0</v>
      </c>
      <c r="R22" s="296">
        <f>COUNTIFS(缺陷明细!$A$2:$A$50000,$B$4,缺陷明细!$G$2:$G$50000,$C22,缺陷明细!$AB$2:$AB$50000,"丢弃",缺陷明细!$J$2:$J$50000,"系统测试")+COUNTIFS(缺陷明细!$A$2:$A$50000,$B$4,缺陷明细!$G$2:$G$50000,$C22,缺陷明细!$AB$2:$AB$50000,"设计如此",缺陷明细!$J$2:$J$50000,"系统测试")+COUNTIFS(缺陷明细!$A$2:$A$50000,$B$4,缺陷明细!$G$2:$G$50000,$C22,缺陷明细!$AB$2:$AB$50000,"重复Bug",缺陷明细!$J$2:$J$50000,"系统测试")</f>
        <v>0</v>
      </c>
      <c r="S22" s="72">
        <f>COUNTIFS(缺陷明细!$A$2:$A$50000,$B$4,缺陷明细!$G$2:$G$50000,$C22,缺陷明细!$J$2:$J$50000,"系统测试",缺陷明细!$K$2:$K$50000,"致命",缺陷明细!$AB$2:$AB$50000,"&lt;&gt;丢弃",缺陷明细!$AB$2:$AB$50000,"&lt;&gt;设计如此",缺陷明细!$AB$2:$AB$50000,"&lt;&gt;重复Bug")+COUNTIFS(缺陷明细!$A$2:$A$50000,$B$4,缺陷明细!$G$2:$G$50000,$C22,缺陷明细!$J$2:$J$50000,"系统测试",缺陷明细!$K$2:$K$50000,"严重",缺陷明细!$AB$2:$AB$50000,"&lt;&gt;丢弃",缺陷明细!$AB$2:$AB$50000,"&lt;&gt;设计如此",缺陷明细!$AB$2:$AB$50000,"&lt;&gt;重复Bug")</f>
        <v>0</v>
      </c>
      <c r="T22" s="73">
        <f>COUNTIFS(缺陷明细!$A$2:$A$50000,$B$4,缺陷明细!$G$2:$G$50000,$C22,缺陷明细!$Q$2:$Q$50000,"已关闭",缺陷明细!$J$2:$J$50000,"系统测试",缺陷明细!$K$2:$K$50000,"致命")+COUNTIFS(缺陷明细!$A$2:$A$50000,$B$4,缺陷明细!$G$2:$G$50000,$C22,缺陷明细!$Q$2:$Q$50000,"已关闭",缺陷明细!$J$2:$J$50000,"系统测试",缺陷明细!$K$2:$K$50000,"严重")</f>
        <v>0</v>
      </c>
      <c r="U22" s="74">
        <f>COUNTIFS(缺陷明细!$A$2:$A$50000,$B$4,缺陷明细!$G$2:$G$50000,$C22,缺陷明细!$J$2:$J$50000,"验收测试",缺陷明细!$AB$2:$AB$50000,"&lt;&gt;丢弃",缺陷明细!$AB$2:$AB$50000,"&lt;&gt;设计如此",缺陷明细!$AB$2:$AB$50000,"&lt;&gt;重复Bug")</f>
        <v>0</v>
      </c>
      <c r="V22" s="75">
        <f>COUNTIFS(缺陷明细!$A$2:$A$50000,$B$4,缺陷明细!$G$2:$G$50000,$C22,缺陷明细!$Q$2:$Q$50000,"已关闭",缺陷明细!$J$2:$J$50000,"验收测试")</f>
        <v>0</v>
      </c>
      <c r="W22" s="75">
        <f>COUNTIFS(缺陷明细!$A$2:$A$50000,$B$4,缺陷明细!$G$2:$G$50000,$C22,缺陷明细!$J$2:$J$50000,"验收测试",缺陷明细!$K$2:$K$50000,"致命",缺陷明细!$AB$2:$AB$50000,"&lt;&gt;丢弃",缺陷明细!$AB$2:$AB$50000,"&lt;&gt;设计如此",缺陷明细!$AB$2:$AB$50000,"&lt;&gt;重复Bug")+COUNTIFS(缺陷明细!$A$2:$A$50000,$B$4,缺陷明细!$G$2:$G$50000,$C22,缺陷明细!$J$2:$J$50000,"验收测试",缺陷明细!$K$2:$K$50000,"严重",缺陷明细!$AB$2:$AB$50000,"&lt;&gt;丢弃",缺陷明细!$AB$2:$AB$50000,"&lt;&gt;设计如此",缺陷明细!$AB$2:$AB$50000,"&lt;&gt;重复Bug")</f>
        <v>0</v>
      </c>
      <c r="X22" s="76">
        <f>COUNTIFS(缺陷明细!$A$2:$A$50000,$B$4,缺陷明细!$G$2:$G$50000,$C22,缺陷明细!$Q$2:$Q$50000,"已关闭",缺陷明细!$J$2:$J$50000,"验收测试",缺陷明细!$K$2:$K$50000,"致命")+COUNTIFS(缺陷明细!$A$2:$A$50000,$B$4,缺陷明细!$G$2:$G$50000,$C22,缺陷明细!$Q$2:$Q$50000,"已关闭",缺陷明细!$J$2:$J$50000,"验收测试",缺陷明细!$K$2:$K$50000,"严重")</f>
        <v>0</v>
      </c>
      <c r="Y22" s="70">
        <f>COUNTIFS(缺陷明细!$A$2:$A$50000,$B$4,缺陷明细!$G$2:$G$50000,$C22,缺陷明细!$J$2:$J$50000,"运维测试",缺陷明细!$AB$2:$AB$50000,"&lt;&gt;丢弃",缺陷明细!$AB$2:$AB$50000,"&lt;&gt;设计如此",缺陷明细!$AB$2:$AB$50000,"&lt;&gt;重复Bug")</f>
        <v>0</v>
      </c>
      <c r="Z22" s="71">
        <f>COUNTIFS(缺陷明细!$A$2:$A$50000,$B$4,缺陷明细!$G$2:$G$50000,$C22,缺陷明细!$Q$2:$Q$50000,"已关闭",缺陷明细!$J$2:$J$50000,"运维测试")</f>
        <v>0</v>
      </c>
      <c r="AA22" s="72">
        <f>COUNTIFS(缺陷明细!$A$2:$A$50000,$B$4,缺陷明细!$G$2:$G$50000,$C22,缺陷明细!$J$2:$J$50000,"运维测试",缺陷明细!$K$2:$K$50000,"致命",缺陷明细!$AB$2:$AB$50000,"&lt;&gt;丢弃",缺陷明细!$AB$2:$AB$50000,"&lt;&gt;设计如此",缺陷明细!$AB$2:$AB$50000,"&lt;&gt;重复Bug")+COUNTIFS(缺陷明细!$A$2:$A$50000,$B$4,缺陷明细!$G$2:$G$50000,$C22,缺陷明细!$J$2:$J$50000,"运维测试",缺陷明细!$K$2:$K$50000,"严重",缺陷明细!$AB$2:$AB$50000,"&lt;&gt;丢弃",缺陷明细!$AB$2:$AB$50000,"&lt;&gt;设计如此",缺陷明细!$AB$2:$AB$50000,"&lt;&gt;重复Bug")</f>
        <v>0</v>
      </c>
      <c r="AB22" s="73">
        <f>COUNTIFS(缺陷明细!$A$2:$A$50000,$B$4,缺陷明细!$G$2:$G$50000,$C22,缺陷明细!$Q$2:$Q$50000,"已关闭",缺陷明细!$J$2:$J$50000,"运维测试",缺陷明细!$K$2:$K$50000,"致命")+COUNTIFS(缺陷明细!$A$2:$A$50000,$B$4,缺陷明细!$G$2:$G$50000,$C22,缺陷明细!$Q$2:$Q$50000,"已关闭",缺陷明细!$J$2:$J$50000,"运维测试",缺陷明细!$K$2:$K$50000,"严重")</f>
        <v>0</v>
      </c>
      <c r="AC22" s="68">
        <f t="shared" si="0"/>
        <v>0</v>
      </c>
      <c r="AD22" s="60">
        <f t="shared" si="0"/>
        <v>0</v>
      </c>
      <c r="AE22" s="60">
        <f t="shared" si="1"/>
        <v>0</v>
      </c>
      <c r="AF22" s="60">
        <f t="shared" si="1"/>
        <v>0</v>
      </c>
      <c r="AG22" s="60">
        <f t="shared" si="2"/>
        <v>0</v>
      </c>
      <c r="AH22" s="60">
        <f t="shared" si="2"/>
        <v>0</v>
      </c>
      <c r="AI22" s="60">
        <f t="shared" si="3"/>
        <v>0</v>
      </c>
      <c r="AJ22" s="61">
        <f t="shared" si="3"/>
        <v>0</v>
      </c>
      <c r="AK22" s="144"/>
    </row>
    <row r="23" spans="1:37">
      <c r="A23">
        <v>19</v>
      </c>
      <c r="B23" s="57"/>
      <c r="C23" s="58"/>
      <c r="D23" s="84"/>
      <c r="E23" s="82"/>
      <c r="F23" s="158"/>
      <c r="G23" s="159"/>
      <c r="H23" s="281">
        <f>COUNTIFS(缺陷明细!$A$2:$A$50000,$B$4,缺陷明细!$G$2:$G$50000,$C23,缺陷明细!$J$2:$J$50000,"评审",缺陷明细!$AB$2:$AB$50000,"&lt;&gt;丢弃",缺陷明细!$AB$2:$AB$50000,"&lt;&gt;设计如此",缺陷明细!$AB$2:$AB$50000,"&lt;&gt;重复Bug")</f>
        <v>0</v>
      </c>
      <c r="I23" s="154">
        <f>COUNTIFS(缺陷明细!$A$2:$A$50000,$B$4,缺陷明细!$G$2:$G$50000,$C23,缺陷明细!$Q$2:$Q$50000,"已关闭",缺陷明细!$J$2:$J$50000,"评审")</f>
        <v>0</v>
      </c>
      <c r="J23" s="154">
        <f>COUNTIFS(缺陷明细!$A$2:$A$50000,$B$4,缺陷明细!$G$2:$G$50000,$C23,缺陷明细!$J$2:$J$50000,"单元测试",缺陷明细!$AB$2:$AB$50000,"&lt;&gt;丢弃",缺陷明细!$AB$2:$AB$50000,"&lt;&gt;设计如此",缺陷明细!$AB$2:$AB$50000,"&lt;&gt;重复Bug")</f>
        <v>0</v>
      </c>
      <c r="K23" s="155">
        <f>COUNTIFS(缺陷明细!$A$2:$A$50000,$B$4,缺陷明细!$G$2:$G$50000,$C23,缺陷明细!$Q$2:$Q$50000,"已关闭",缺陷明细!$J$2:$J$50000,"单元测试")</f>
        <v>0</v>
      </c>
      <c r="L23" s="156"/>
      <c r="M23" s="157"/>
      <c r="N23" s="72">
        <f>COUNTIFS(缺陷明细!$A$2:$A$50000,$B$4,缺陷明细!$G$2:$G$50000,$C23,缺陷明细!$J$2:$J$50000,"系统测试案例评审",缺陷明细!$AB$2:$AB$50000,"&lt;&gt;丢弃",缺陷明细!$AB$2:$AB$50000,"&lt;&gt;设计如此",缺陷明细!$AB$2:$AB$50000,"&lt;&gt;重复Bug")</f>
        <v>0</v>
      </c>
      <c r="O23" s="72">
        <f>COUNTIFS(缺陷明细!$A$2:$A$50000,$B$4,缺陷明细!$G$2:$G$50000,$C23,缺陷明细!$Q$2:$Q$50000,"已关闭",缺陷明细!$J$2:$J$50000,"系统测试案例评审")</f>
        <v>0</v>
      </c>
      <c r="P23" s="72">
        <f>COUNTIFS(缺陷明细!$A$2:$A$50000,$B$4,缺陷明细!$G$2:$G$50000,$C23,缺陷明细!$J$2:$J$50000,"系统测试",缺陷明细!$AB$2:$AB$50000,"&lt;&gt;丢弃",缺陷明细!$AB$2:$AB$50000,"&lt;&gt;设计如此",缺陷明细!$AB$2:$AB$50000,"&lt;&gt;重复Bug")</f>
        <v>0</v>
      </c>
      <c r="Q23" s="72">
        <f>COUNTIFS(缺陷明细!$A$2:$A$50000,$B$4,缺陷明细!$G$2:$G$50000,$C23,缺陷明细!$Q$2:$Q$50000,"已关闭",缺陷明细!$J$2:$J$50000,"系统测试")</f>
        <v>0</v>
      </c>
      <c r="R23" s="296">
        <f>COUNTIFS(缺陷明细!$A$2:$A$50000,$B$4,缺陷明细!$G$2:$G$50000,$C23,缺陷明细!$AB$2:$AB$50000,"丢弃",缺陷明细!$J$2:$J$50000,"系统测试")+COUNTIFS(缺陷明细!$A$2:$A$50000,$B$4,缺陷明细!$G$2:$G$50000,$C23,缺陷明细!$AB$2:$AB$50000,"设计如此",缺陷明细!$J$2:$J$50000,"系统测试")+COUNTIFS(缺陷明细!$A$2:$A$50000,$B$4,缺陷明细!$G$2:$G$50000,$C23,缺陷明细!$AB$2:$AB$50000,"重复Bug",缺陷明细!$J$2:$J$50000,"系统测试")</f>
        <v>0</v>
      </c>
      <c r="S23" s="72">
        <f>COUNTIFS(缺陷明细!$A$2:$A$50000,$B$4,缺陷明细!$G$2:$G$50000,$C23,缺陷明细!$J$2:$J$50000,"系统测试",缺陷明细!$K$2:$K$50000,"致命",缺陷明细!$AB$2:$AB$50000,"&lt;&gt;丢弃",缺陷明细!$AB$2:$AB$50000,"&lt;&gt;设计如此",缺陷明细!$AB$2:$AB$50000,"&lt;&gt;重复Bug")+COUNTIFS(缺陷明细!$A$2:$A$50000,$B$4,缺陷明细!$G$2:$G$50000,$C23,缺陷明细!$J$2:$J$50000,"系统测试",缺陷明细!$K$2:$K$50000,"严重",缺陷明细!$AB$2:$AB$50000,"&lt;&gt;丢弃",缺陷明细!$AB$2:$AB$50000,"&lt;&gt;设计如此",缺陷明细!$AB$2:$AB$50000,"&lt;&gt;重复Bug")</f>
        <v>0</v>
      </c>
      <c r="T23" s="73">
        <f>COUNTIFS(缺陷明细!$A$2:$A$50000,$B$4,缺陷明细!$G$2:$G$50000,$C23,缺陷明细!$Q$2:$Q$50000,"已关闭",缺陷明细!$J$2:$J$50000,"系统测试",缺陷明细!$K$2:$K$50000,"致命")+COUNTIFS(缺陷明细!$A$2:$A$50000,$B$4,缺陷明细!$G$2:$G$50000,$C23,缺陷明细!$Q$2:$Q$50000,"已关闭",缺陷明细!$J$2:$J$50000,"系统测试",缺陷明细!$K$2:$K$50000,"严重")</f>
        <v>0</v>
      </c>
      <c r="U23" s="74">
        <f>COUNTIFS(缺陷明细!$A$2:$A$50000,$B$4,缺陷明细!$G$2:$G$50000,$C23,缺陷明细!$J$2:$J$50000,"验收测试",缺陷明细!$AB$2:$AB$50000,"&lt;&gt;丢弃",缺陷明细!$AB$2:$AB$50000,"&lt;&gt;设计如此",缺陷明细!$AB$2:$AB$50000,"&lt;&gt;重复Bug")</f>
        <v>0</v>
      </c>
      <c r="V23" s="75">
        <f>COUNTIFS(缺陷明细!$A$2:$A$50000,$B$4,缺陷明细!$G$2:$G$50000,$C23,缺陷明细!$Q$2:$Q$50000,"已关闭",缺陷明细!$J$2:$J$50000,"验收测试")</f>
        <v>0</v>
      </c>
      <c r="W23" s="75">
        <f>COUNTIFS(缺陷明细!$A$2:$A$50000,$B$4,缺陷明细!$G$2:$G$50000,$C23,缺陷明细!$J$2:$J$50000,"验收测试",缺陷明细!$K$2:$K$50000,"致命",缺陷明细!$AB$2:$AB$50000,"&lt;&gt;丢弃",缺陷明细!$AB$2:$AB$50000,"&lt;&gt;设计如此",缺陷明细!$AB$2:$AB$50000,"&lt;&gt;重复Bug")+COUNTIFS(缺陷明细!$A$2:$A$50000,$B$4,缺陷明细!$G$2:$G$50000,$C23,缺陷明细!$J$2:$J$50000,"验收测试",缺陷明细!$K$2:$K$50000,"严重",缺陷明细!$AB$2:$AB$50000,"&lt;&gt;丢弃",缺陷明细!$AB$2:$AB$50000,"&lt;&gt;设计如此",缺陷明细!$AB$2:$AB$50000,"&lt;&gt;重复Bug")</f>
        <v>0</v>
      </c>
      <c r="X23" s="76">
        <f>COUNTIFS(缺陷明细!$A$2:$A$50000,$B$4,缺陷明细!$G$2:$G$50000,$C23,缺陷明细!$Q$2:$Q$50000,"已关闭",缺陷明细!$J$2:$J$50000,"验收测试",缺陷明细!$K$2:$K$50000,"致命")+COUNTIFS(缺陷明细!$A$2:$A$50000,$B$4,缺陷明细!$G$2:$G$50000,$C23,缺陷明细!$Q$2:$Q$50000,"已关闭",缺陷明细!$J$2:$J$50000,"验收测试",缺陷明细!$K$2:$K$50000,"严重")</f>
        <v>0</v>
      </c>
      <c r="Y23" s="70">
        <f>COUNTIFS(缺陷明细!$A$2:$A$50000,$B$4,缺陷明细!$G$2:$G$50000,$C23,缺陷明细!$J$2:$J$50000,"运维测试",缺陷明细!$AB$2:$AB$50000,"&lt;&gt;丢弃",缺陷明细!$AB$2:$AB$50000,"&lt;&gt;设计如此",缺陷明细!$AB$2:$AB$50000,"&lt;&gt;重复Bug")</f>
        <v>0</v>
      </c>
      <c r="Z23" s="71">
        <f>COUNTIFS(缺陷明细!$A$2:$A$50000,$B$4,缺陷明细!$G$2:$G$50000,$C23,缺陷明细!$Q$2:$Q$50000,"已关闭",缺陷明细!$J$2:$J$50000,"运维测试")</f>
        <v>0</v>
      </c>
      <c r="AA23" s="72">
        <f>COUNTIFS(缺陷明细!$A$2:$A$50000,$B$4,缺陷明细!$G$2:$G$50000,$C23,缺陷明细!$J$2:$J$50000,"运维测试",缺陷明细!$K$2:$K$50000,"致命",缺陷明细!$AB$2:$AB$50000,"&lt;&gt;丢弃",缺陷明细!$AB$2:$AB$50000,"&lt;&gt;设计如此",缺陷明细!$AB$2:$AB$50000,"&lt;&gt;重复Bug")+COUNTIFS(缺陷明细!$A$2:$A$50000,$B$4,缺陷明细!$G$2:$G$50000,$C23,缺陷明细!$J$2:$J$50000,"运维测试",缺陷明细!$K$2:$K$50000,"严重",缺陷明细!$AB$2:$AB$50000,"&lt;&gt;丢弃",缺陷明细!$AB$2:$AB$50000,"&lt;&gt;设计如此",缺陷明细!$AB$2:$AB$50000,"&lt;&gt;重复Bug")</f>
        <v>0</v>
      </c>
      <c r="AB23" s="73">
        <f>COUNTIFS(缺陷明细!$A$2:$A$50000,$B$4,缺陷明细!$G$2:$G$50000,$C23,缺陷明细!$Q$2:$Q$50000,"已关闭",缺陷明细!$J$2:$J$50000,"运维测试",缺陷明细!$K$2:$K$50000,"致命")+COUNTIFS(缺陷明细!$A$2:$A$50000,$B$4,缺陷明细!$G$2:$G$50000,$C23,缺陷明细!$Q$2:$Q$50000,"已关闭",缺陷明细!$J$2:$J$50000,"运维测试",缺陷明细!$K$2:$K$50000,"严重")</f>
        <v>0</v>
      </c>
      <c r="AC23" s="68">
        <f t="shared" si="0"/>
        <v>0</v>
      </c>
      <c r="AD23" s="60">
        <f t="shared" si="0"/>
        <v>0</v>
      </c>
      <c r="AE23" s="60">
        <f t="shared" si="1"/>
        <v>0</v>
      </c>
      <c r="AF23" s="60">
        <f t="shared" si="1"/>
        <v>0</v>
      </c>
      <c r="AG23" s="60">
        <f t="shared" si="2"/>
        <v>0</v>
      </c>
      <c r="AH23" s="60">
        <f t="shared" si="2"/>
        <v>0</v>
      </c>
      <c r="AI23" s="60">
        <f t="shared" si="3"/>
        <v>0</v>
      </c>
      <c r="AJ23" s="61">
        <f t="shared" si="3"/>
        <v>0</v>
      </c>
      <c r="AK23" s="144"/>
    </row>
    <row r="24" spans="1:37">
      <c r="A24">
        <v>20</v>
      </c>
      <c r="B24" s="57"/>
      <c r="C24" s="58"/>
      <c r="D24" s="84"/>
      <c r="E24" s="82"/>
      <c r="F24" s="158"/>
      <c r="G24" s="159"/>
      <c r="H24" s="281">
        <f>COUNTIFS(缺陷明细!$A$2:$A$50000,$B$4,缺陷明细!$G$2:$G$50000,$C24,缺陷明细!$J$2:$J$50000,"评审",缺陷明细!$AB$2:$AB$50000,"&lt;&gt;丢弃",缺陷明细!$AB$2:$AB$50000,"&lt;&gt;设计如此",缺陷明细!$AB$2:$AB$50000,"&lt;&gt;重复Bug")</f>
        <v>0</v>
      </c>
      <c r="I24" s="154">
        <f>COUNTIFS(缺陷明细!$A$2:$A$50000,$B$4,缺陷明细!$G$2:$G$50000,$C24,缺陷明细!$Q$2:$Q$50000,"已关闭",缺陷明细!$J$2:$J$50000,"评审")</f>
        <v>0</v>
      </c>
      <c r="J24" s="154">
        <f>COUNTIFS(缺陷明细!$A$2:$A$50000,$B$4,缺陷明细!$G$2:$G$50000,$C24,缺陷明细!$J$2:$J$50000,"单元测试",缺陷明细!$AB$2:$AB$50000,"&lt;&gt;丢弃",缺陷明细!$AB$2:$AB$50000,"&lt;&gt;设计如此",缺陷明细!$AB$2:$AB$50000,"&lt;&gt;重复Bug")</f>
        <v>0</v>
      </c>
      <c r="K24" s="155">
        <f>COUNTIFS(缺陷明细!$A$2:$A$50000,$B$4,缺陷明细!$G$2:$G$50000,$C24,缺陷明细!$Q$2:$Q$50000,"已关闭",缺陷明细!$J$2:$J$50000,"单元测试")</f>
        <v>0</v>
      </c>
      <c r="L24" s="156"/>
      <c r="M24" s="157"/>
      <c r="N24" s="72">
        <f>COUNTIFS(缺陷明细!$A$2:$A$50000,$B$4,缺陷明细!$G$2:$G$50000,$C24,缺陷明细!$J$2:$J$50000,"系统测试案例评审",缺陷明细!$AB$2:$AB$50000,"&lt;&gt;丢弃",缺陷明细!$AB$2:$AB$50000,"&lt;&gt;设计如此",缺陷明细!$AB$2:$AB$50000,"&lt;&gt;重复Bug")</f>
        <v>0</v>
      </c>
      <c r="O24" s="72">
        <f>COUNTIFS(缺陷明细!$A$2:$A$50000,$B$4,缺陷明细!$G$2:$G$50000,$C24,缺陷明细!$Q$2:$Q$50000,"已关闭",缺陷明细!$J$2:$J$50000,"系统测试案例评审")</f>
        <v>0</v>
      </c>
      <c r="P24" s="72">
        <f>COUNTIFS(缺陷明细!$A$2:$A$50000,$B$4,缺陷明细!$G$2:$G$50000,$C24,缺陷明细!$J$2:$J$50000,"系统测试",缺陷明细!$AB$2:$AB$50000,"&lt;&gt;丢弃",缺陷明细!$AB$2:$AB$50000,"&lt;&gt;设计如此",缺陷明细!$AB$2:$AB$50000,"&lt;&gt;重复Bug")</f>
        <v>0</v>
      </c>
      <c r="Q24" s="72">
        <f>COUNTIFS(缺陷明细!$A$2:$A$50000,$B$4,缺陷明细!$G$2:$G$50000,$C24,缺陷明细!$Q$2:$Q$50000,"已关闭",缺陷明细!$J$2:$J$50000,"系统测试")</f>
        <v>0</v>
      </c>
      <c r="R24" s="296">
        <f>COUNTIFS(缺陷明细!$A$2:$A$50000,$B$4,缺陷明细!$G$2:$G$50000,$C24,缺陷明细!$AB$2:$AB$50000,"丢弃",缺陷明细!$J$2:$J$50000,"系统测试")+COUNTIFS(缺陷明细!$A$2:$A$50000,$B$4,缺陷明细!$G$2:$G$50000,$C24,缺陷明细!$AB$2:$AB$50000,"设计如此",缺陷明细!$J$2:$J$50000,"系统测试")+COUNTIFS(缺陷明细!$A$2:$A$50000,$B$4,缺陷明细!$G$2:$G$50000,$C24,缺陷明细!$AB$2:$AB$50000,"重复Bug",缺陷明细!$J$2:$J$50000,"系统测试")</f>
        <v>0</v>
      </c>
      <c r="S24" s="72">
        <f>COUNTIFS(缺陷明细!$A$2:$A$50000,$B$4,缺陷明细!$G$2:$G$50000,$C24,缺陷明细!$J$2:$J$50000,"系统测试",缺陷明细!$K$2:$K$50000,"致命",缺陷明细!$AB$2:$AB$50000,"&lt;&gt;丢弃",缺陷明细!$AB$2:$AB$50000,"&lt;&gt;设计如此",缺陷明细!$AB$2:$AB$50000,"&lt;&gt;重复Bug")+COUNTIFS(缺陷明细!$A$2:$A$50000,$B$4,缺陷明细!$G$2:$G$50000,$C24,缺陷明细!$J$2:$J$50000,"系统测试",缺陷明细!$K$2:$K$50000,"严重",缺陷明细!$AB$2:$AB$50000,"&lt;&gt;丢弃",缺陷明细!$AB$2:$AB$50000,"&lt;&gt;设计如此",缺陷明细!$AB$2:$AB$50000,"&lt;&gt;重复Bug")</f>
        <v>0</v>
      </c>
      <c r="T24" s="73">
        <f>COUNTIFS(缺陷明细!$A$2:$A$50000,$B$4,缺陷明细!$G$2:$G$50000,$C24,缺陷明细!$Q$2:$Q$50000,"已关闭",缺陷明细!$J$2:$J$50000,"系统测试",缺陷明细!$K$2:$K$50000,"致命")+COUNTIFS(缺陷明细!$A$2:$A$50000,$B$4,缺陷明细!$G$2:$G$50000,$C24,缺陷明细!$Q$2:$Q$50000,"已关闭",缺陷明细!$J$2:$J$50000,"系统测试",缺陷明细!$K$2:$K$50000,"严重")</f>
        <v>0</v>
      </c>
      <c r="U24" s="74">
        <f>COUNTIFS(缺陷明细!$A$2:$A$50000,$B$4,缺陷明细!$G$2:$G$50000,$C24,缺陷明细!$J$2:$J$50000,"验收测试",缺陷明细!$AB$2:$AB$50000,"&lt;&gt;丢弃",缺陷明细!$AB$2:$AB$50000,"&lt;&gt;设计如此",缺陷明细!$AB$2:$AB$50000,"&lt;&gt;重复Bug")</f>
        <v>0</v>
      </c>
      <c r="V24" s="75">
        <f>COUNTIFS(缺陷明细!$A$2:$A$50000,$B$4,缺陷明细!$G$2:$G$50000,$C24,缺陷明细!$Q$2:$Q$50000,"已关闭",缺陷明细!$J$2:$J$50000,"验收测试")</f>
        <v>0</v>
      </c>
      <c r="W24" s="75">
        <f>COUNTIFS(缺陷明细!$A$2:$A$50000,$B$4,缺陷明细!$G$2:$G$50000,$C24,缺陷明细!$J$2:$J$50000,"验收测试",缺陷明细!$K$2:$K$50000,"致命",缺陷明细!$AB$2:$AB$50000,"&lt;&gt;丢弃",缺陷明细!$AB$2:$AB$50000,"&lt;&gt;设计如此",缺陷明细!$AB$2:$AB$50000,"&lt;&gt;重复Bug")+COUNTIFS(缺陷明细!$A$2:$A$50000,$B$4,缺陷明细!$G$2:$G$50000,$C24,缺陷明细!$J$2:$J$50000,"验收测试",缺陷明细!$K$2:$K$50000,"严重",缺陷明细!$AB$2:$AB$50000,"&lt;&gt;丢弃",缺陷明细!$AB$2:$AB$50000,"&lt;&gt;设计如此",缺陷明细!$AB$2:$AB$50000,"&lt;&gt;重复Bug")</f>
        <v>0</v>
      </c>
      <c r="X24" s="76">
        <f>COUNTIFS(缺陷明细!$A$2:$A$50000,$B$4,缺陷明细!$G$2:$G$50000,$C24,缺陷明细!$Q$2:$Q$50000,"已关闭",缺陷明细!$J$2:$J$50000,"验收测试",缺陷明细!$K$2:$K$50000,"致命")+COUNTIFS(缺陷明细!$A$2:$A$50000,$B$4,缺陷明细!$G$2:$G$50000,$C24,缺陷明细!$Q$2:$Q$50000,"已关闭",缺陷明细!$J$2:$J$50000,"验收测试",缺陷明细!$K$2:$K$50000,"严重")</f>
        <v>0</v>
      </c>
      <c r="Y24" s="70">
        <f>COUNTIFS(缺陷明细!$A$2:$A$50000,$B$4,缺陷明细!$G$2:$G$50000,$C24,缺陷明细!$J$2:$J$50000,"运维测试",缺陷明细!$AB$2:$AB$50000,"&lt;&gt;丢弃",缺陷明细!$AB$2:$AB$50000,"&lt;&gt;设计如此",缺陷明细!$AB$2:$AB$50000,"&lt;&gt;重复Bug")</f>
        <v>0</v>
      </c>
      <c r="Z24" s="71">
        <f>COUNTIFS(缺陷明细!$A$2:$A$50000,$B$4,缺陷明细!$G$2:$G$50000,$C24,缺陷明细!$Q$2:$Q$50000,"已关闭",缺陷明细!$J$2:$J$50000,"运维测试")</f>
        <v>0</v>
      </c>
      <c r="AA24" s="72">
        <f>COUNTIFS(缺陷明细!$A$2:$A$50000,$B$4,缺陷明细!$G$2:$G$50000,$C24,缺陷明细!$J$2:$J$50000,"运维测试",缺陷明细!$K$2:$K$50000,"致命",缺陷明细!$AB$2:$AB$50000,"&lt;&gt;丢弃",缺陷明细!$AB$2:$AB$50000,"&lt;&gt;设计如此",缺陷明细!$AB$2:$AB$50000,"&lt;&gt;重复Bug")+COUNTIFS(缺陷明细!$A$2:$A$50000,$B$4,缺陷明细!$G$2:$G$50000,$C24,缺陷明细!$J$2:$J$50000,"运维测试",缺陷明细!$K$2:$K$50000,"严重",缺陷明细!$AB$2:$AB$50000,"&lt;&gt;丢弃",缺陷明细!$AB$2:$AB$50000,"&lt;&gt;设计如此",缺陷明细!$AB$2:$AB$50000,"&lt;&gt;重复Bug")</f>
        <v>0</v>
      </c>
      <c r="AB24" s="73">
        <f>COUNTIFS(缺陷明细!$A$2:$A$50000,$B$4,缺陷明细!$G$2:$G$50000,$C24,缺陷明细!$Q$2:$Q$50000,"已关闭",缺陷明细!$J$2:$J$50000,"运维测试",缺陷明细!$K$2:$K$50000,"致命")+COUNTIFS(缺陷明细!$A$2:$A$50000,$B$4,缺陷明细!$G$2:$G$50000,$C24,缺陷明细!$Q$2:$Q$50000,"已关闭",缺陷明细!$J$2:$J$50000,"运维测试",缺陷明细!$K$2:$K$50000,"严重")</f>
        <v>0</v>
      </c>
      <c r="AC24" s="68">
        <f t="shared" si="0"/>
        <v>0</v>
      </c>
      <c r="AD24" s="60">
        <f t="shared" si="0"/>
        <v>0</v>
      </c>
      <c r="AE24" s="60">
        <f t="shared" si="1"/>
        <v>0</v>
      </c>
      <c r="AF24" s="60">
        <f t="shared" si="1"/>
        <v>0</v>
      </c>
      <c r="AG24" s="60">
        <f t="shared" si="2"/>
        <v>0</v>
      </c>
      <c r="AH24" s="60">
        <f t="shared" si="2"/>
        <v>0</v>
      </c>
      <c r="AI24" s="60">
        <f t="shared" si="3"/>
        <v>0</v>
      </c>
      <c r="AJ24" s="61">
        <f t="shared" si="3"/>
        <v>0</v>
      </c>
      <c r="AK24" s="144"/>
    </row>
    <row r="25" spans="1:37">
      <c r="A25">
        <v>21</v>
      </c>
      <c r="B25" s="57"/>
      <c r="C25" s="58"/>
      <c r="D25" s="84"/>
      <c r="E25" s="82"/>
      <c r="F25" s="158"/>
      <c r="G25" s="159"/>
      <c r="H25" s="281">
        <f>COUNTIFS(缺陷明细!$A$2:$A$50000,$B$4,缺陷明细!$G$2:$G$50000,$C25,缺陷明细!$J$2:$J$50000,"评审",缺陷明细!$AB$2:$AB$50000,"&lt;&gt;丢弃",缺陷明细!$AB$2:$AB$50000,"&lt;&gt;设计如此",缺陷明细!$AB$2:$AB$50000,"&lt;&gt;重复Bug")</f>
        <v>0</v>
      </c>
      <c r="I25" s="154">
        <f>COUNTIFS(缺陷明细!$A$2:$A$50000,$B$4,缺陷明细!$G$2:$G$50000,$C25,缺陷明细!$Q$2:$Q$50000,"已关闭",缺陷明细!$J$2:$J$50000,"评审")</f>
        <v>0</v>
      </c>
      <c r="J25" s="154">
        <f>COUNTIFS(缺陷明细!$A$2:$A$50000,$B$4,缺陷明细!$G$2:$G$50000,$C25,缺陷明细!$J$2:$J$50000,"单元测试",缺陷明细!$AB$2:$AB$50000,"&lt;&gt;丢弃",缺陷明细!$AB$2:$AB$50000,"&lt;&gt;设计如此",缺陷明细!$AB$2:$AB$50000,"&lt;&gt;重复Bug")</f>
        <v>0</v>
      </c>
      <c r="K25" s="155">
        <f>COUNTIFS(缺陷明细!$A$2:$A$50000,$B$4,缺陷明细!$G$2:$G$50000,$C25,缺陷明细!$Q$2:$Q$50000,"已关闭",缺陷明细!$J$2:$J$50000,"单元测试")</f>
        <v>0</v>
      </c>
      <c r="L25" s="156"/>
      <c r="M25" s="157"/>
      <c r="N25" s="72">
        <f>COUNTIFS(缺陷明细!$A$2:$A$50000,$B$4,缺陷明细!$G$2:$G$50000,$C25,缺陷明细!$J$2:$J$50000,"系统测试案例评审",缺陷明细!$AB$2:$AB$50000,"&lt;&gt;丢弃",缺陷明细!$AB$2:$AB$50000,"&lt;&gt;设计如此",缺陷明细!$AB$2:$AB$50000,"&lt;&gt;重复Bug")</f>
        <v>0</v>
      </c>
      <c r="O25" s="72">
        <f>COUNTIFS(缺陷明细!$A$2:$A$50000,$B$4,缺陷明细!$G$2:$G$50000,$C25,缺陷明细!$Q$2:$Q$50000,"已关闭",缺陷明细!$J$2:$J$50000,"系统测试案例评审")</f>
        <v>0</v>
      </c>
      <c r="P25" s="72">
        <f>COUNTIFS(缺陷明细!$A$2:$A$50000,$B$4,缺陷明细!$G$2:$G$50000,$C25,缺陷明细!$J$2:$J$50000,"系统测试",缺陷明细!$AB$2:$AB$50000,"&lt;&gt;丢弃",缺陷明细!$AB$2:$AB$50000,"&lt;&gt;设计如此",缺陷明细!$AB$2:$AB$50000,"&lt;&gt;重复Bug")</f>
        <v>0</v>
      </c>
      <c r="Q25" s="72">
        <f>COUNTIFS(缺陷明细!$A$2:$A$50000,$B$4,缺陷明细!$G$2:$G$50000,$C25,缺陷明细!$Q$2:$Q$50000,"已关闭",缺陷明细!$J$2:$J$50000,"系统测试")</f>
        <v>0</v>
      </c>
      <c r="R25" s="296">
        <f>COUNTIFS(缺陷明细!$A$2:$A$50000,$B$4,缺陷明细!$G$2:$G$50000,$C25,缺陷明细!$AB$2:$AB$50000,"丢弃",缺陷明细!$J$2:$J$50000,"系统测试")+COUNTIFS(缺陷明细!$A$2:$A$50000,$B$4,缺陷明细!$G$2:$G$50000,$C25,缺陷明细!$AB$2:$AB$50000,"设计如此",缺陷明细!$J$2:$J$50000,"系统测试")+COUNTIFS(缺陷明细!$A$2:$A$50000,$B$4,缺陷明细!$G$2:$G$50000,$C25,缺陷明细!$AB$2:$AB$50000,"重复Bug",缺陷明细!$J$2:$J$50000,"系统测试")</f>
        <v>0</v>
      </c>
      <c r="S25" s="72">
        <f>COUNTIFS(缺陷明细!$A$2:$A$50000,$B$4,缺陷明细!$G$2:$G$50000,$C25,缺陷明细!$J$2:$J$50000,"系统测试",缺陷明细!$K$2:$K$50000,"致命",缺陷明细!$AB$2:$AB$50000,"&lt;&gt;丢弃",缺陷明细!$AB$2:$AB$50000,"&lt;&gt;设计如此",缺陷明细!$AB$2:$AB$50000,"&lt;&gt;重复Bug")+COUNTIFS(缺陷明细!$A$2:$A$50000,$B$4,缺陷明细!$G$2:$G$50000,$C25,缺陷明细!$J$2:$J$50000,"系统测试",缺陷明细!$K$2:$K$50000,"严重",缺陷明细!$AB$2:$AB$50000,"&lt;&gt;丢弃",缺陷明细!$AB$2:$AB$50000,"&lt;&gt;设计如此",缺陷明细!$AB$2:$AB$50000,"&lt;&gt;重复Bug")</f>
        <v>0</v>
      </c>
      <c r="T25" s="73">
        <f>COUNTIFS(缺陷明细!$A$2:$A$50000,$B$4,缺陷明细!$G$2:$G$50000,$C25,缺陷明细!$Q$2:$Q$50000,"已关闭",缺陷明细!$J$2:$J$50000,"系统测试",缺陷明细!$K$2:$K$50000,"致命")+COUNTIFS(缺陷明细!$A$2:$A$50000,$B$4,缺陷明细!$G$2:$G$50000,$C25,缺陷明细!$Q$2:$Q$50000,"已关闭",缺陷明细!$J$2:$J$50000,"系统测试",缺陷明细!$K$2:$K$50000,"严重")</f>
        <v>0</v>
      </c>
      <c r="U25" s="74">
        <f>COUNTIFS(缺陷明细!$A$2:$A$50000,$B$4,缺陷明细!$G$2:$G$50000,$C25,缺陷明细!$J$2:$J$50000,"验收测试",缺陷明细!$AB$2:$AB$50000,"&lt;&gt;丢弃",缺陷明细!$AB$2:$AB$50000,"&lt;&gt;设计如此",缺陷明细!$AB$2:$AB$50000,"&lt;&gt;重复Bug")</f>
        <v>0</v>
      </c>
      <c r="V25" s="75">
        <f>COUNTIFS(缺陷明细!$A$2:$A$50000,$B$4,缺陷明细!$G$2:$G$50000,$C25,缺陷明细!$Q$2:$Q$50000,"已关闭",缺陷明细!$J$2:$J$50000,"验收测试")</f>
        <v>0</v>
      </c>
      <c r="W25" s="75">
        <f>COUNTIFS(缺陷明细!$A$2:$A$50000,$B$4,缺陷明细!$G$2:$G$50000,$C25,缺陷明细!$J$2:$J$50000,"验收测试",缺陷明细!$K$2:$K$50000,"致命",缺陷明细!$AB$2:$AB$50000,"&lt;&gt;丢弃",缺陷明细!$AB$2:$AB$50000,"&lt;&gt;设计如此",缺陷明细!$AB$2:$AB$50000,"&lt;&gt;重复Bug")+COUNTIFS(缺陷明细!$A$2:$A$50000,$B$4,缺陷明细!$G$2:$G$50000,$C25,缺陷明细!$J$2:$J$50000,"验收测试",缺陷明细!$K$2:$K$50000,"严重",缺陷明细!$AB$2:$AB$50000,"&lt;&gt;丢弃",缺陷明细!$AB$2:$AB$50000,"&lt;&gt;设计如此",缺陷明细!$AB$2:$AB$50000,"&lt;&gt;重复Bug")</f>
        <v>0</v>
      </c>
      <c r="X25" s="76">
        <f>COUNTIFS(缺陷明细!$A$2:$A$50000,$B$4,缺陷明细!$G$2:$G$50000,$C25,缺陷明细!$Q$2:$Q$50000,"已关闭",缺陷明细!$J$2:$J$50000,"验收测试",缺陷明细!$K$2:$K$50000,"致命")+COUNTIFS(缺陷明细!$A$2:$A$50000,$B$4,缺陷明细!$G$2:$G$50000,$C25,缺陷明细!$Q$2:$Q$50000,"已关闭",缺陷明细!$J$2:$J$50000,"验收测试",缺陷明细!$K$2:$K$50000,"严重")</f>
        <v>0</v>
      </c>
      <c r="Y25" s="70">
        <f>COUNTIFS(缺陷明细!$A$2:$A$50000,$B$4,缺陷明细!$G$2:$G$50000,$C25,缺陷明细!$J$2:$J$50000,"运维测试",缺陷明细!$AB$2:$AB$50000,"&lt;&gt;丢弃",缺陷明细!$AB$2:$AB$50000,"&lt;&gt;设计如此",缺陷明细!$AB$2:$AB$50000,"&lt;&gt;重复Bug")</f>
        <v>0</v>
      </c>
      <c r="Z25" s="71">
        <f>COUNTIFS(缺陷明细!$A$2:$A$50000,$B$4,缺陷明细!$G$2:$G$50000,$C25,缺陷明细!$Q$2:$Q$50000,"已关闭",缺陷明细!$J$2:$J$50000,"运维测试")</f>
        <v>0</v>
      </c>
      <c r="AA25" s="72">
        <f>COUNTIFS(缺陷明细!$A$2:$A$50000,$B$4,缺陷明细!$G$2:$G$50000,$C25,缺陷明细!$J$2:$J$50000,"运维测试",缺陷明细!$K$2:$K$50000,"致命",缺陷明细!$AB$2:$AB$50000,"&lt;&gt;丢弃",缺陷明细!$AB$2:$AB$50000,"&lt;&gt;设计如此",缺陷明细!$AB$2:$AB$50000,"&lt;&gt;重复Bug")+COUNTIFS(缺陷明细!$A$2:$A$50000,$B$4,缺陷明细!$G$2:$G$50000,$C25,缺陷明细!$J$2:$J$50000,"运维测试",缺陷明细!$K$2:$K$50000,"严重",缺陷明细!$AB$2:$AB$50000,"&lt;&gt;丢弃",缺陷明细!$AB$2:$AB$50000,"&lt;&gt;设计如此",缺陷明细!$AB$2:$AB$50000,"&lt;&gt;重复Bug")</f>
        <v>0</v>
      </c>
      <c r="AB25" s="73">
        <f>COUNTIFS(缺陷明细!$A$2:$A$50000,$B$4,缺陷明细!$G$2:$G$50000,$C25,缺陷明细!$Q$2:$Q$50000,"已关闭",缺陷明细!$J$2:$J$50000,"运维测试",缺陷明细!$K$2:$K$50000,"致命")+COUNTIFS(缺陷明细!$A$2:$A$50000,$B$4,缺陷明细!$G$2:$G$50000,$C25,缺陷明细!$Q$2:$Q$50000,"已关闭",缺陷明细!$J$2:$J$50000,"运维测试",缺陷明细!$K$2:$K$50000,"严重")</f>
        <v>0</v>
      </c>
      <c r="AC25" s="68">
        <f t="shared" si="0"/>
        <v>0</v>
      </c>
      <c r="AD25" s="60">
        <f t="shared" si="0"/>
        <v>0</v>
      </c>
      <c r="AE25" s="60">
        <f t="shared" si="1"/>
        <v>0</v>
      </c>
      <c r="AF25" s="60">
        <f t="shared" si="1"/>
        <v>0</v>
      </c>
      <c r="AG25" s="60">
        <f t="shared" si="2"/>
        <v>0</v>
      </c>
      <c r="AH25" s="60">
        <f t="shared" si="2"/>
        <v>0</v>
      </c>
      <c r="AI25" s="60">
        <f t="shared" si="3"/>
        <v>0</v>
      </c>
      <c r="AJ25" s="61">
        <f t="shared" si="3"/>
        <v>0</v>
      </c>
      <c r="AK25" s="144"/>
    </row>
    <row r="26" spans="1:37">
      <c r="A26">
        <v>22</v>
      </c>
      <c r="B26" s="57"/>
      <c r="C26" s="58"/>
      <c r="D26" s="84"/>
      <c r="E26" s="82"/>
      <c r="F26" s="158"/>
      <c r="G26" s="159"/>
      <c r="H26" s="281">
        <f>COUNTIFS(缺陷明细!$A$2:$A$50000,$B$4,缺陷明细!$G$2:$G$50000,$C26,缺陷明细!$J$2:$J$50000,"评审",缺陷明细!$AB$2:$AB$50000,"&lt;&gt;丢弃",缺陷明细!$AB$2:$AB$50000,"&lt;&gt;设计如此",缺陷明细!$AB$2:$AB$50000,"&lt;&gt;重复Bug")</f>
        <v>0</v>
      </c>
      <c r="I26" s="154">
        <f>COUNTIFS(缺陷明细!$A$2:$A$50000,$B$4,缺陷明细!$G$2:$G$50000,$C26,缺陷明细!$Q$2:$Q$50000,"已关闭",缺陷明细!$J$2:$J$50000,"评审")</f>
        <v>0</v>
      </c>
      <c r="J26" s="154">
        <f>COUNTIFS(缺陷明细!$A$2:$A$50000,$B$4,缺陷明细!$G$2:$G$50000,$C26,缺陷明细!$J$2:$J$50000,"单元测试",缺陷明细!$AB$2:$AB$50000,"&lt;&gt;丢弃",缺陷明细!$AB$2:$AB$50000,"&lt;&gt;设计如此",缺陷明细!$AB$2:$AB$50000,"&lt;&gt;重复Bug")</f>
        <v>0</v>
      </c>
      <c r="K26" s="155">
        <f>COUNTIFS(缺陷明细!$A$2:$A$50000,$B$4,缺陷明细!$G$2:$G$50000,$C26,缺陷明细!$Q$2:$Q$50000,"已关闭",缺陷明细!$J$2:$J$50000,"单元测试")</f>
        <v>0</v>
      </c>
      <c r="L26" s="156"/>
      <c r="M26" s="157"/>
      <c r="N26" s="72">
        <f>COUNTIFS(缺陷明细!$A$2:$A$50000,$B$4,缺陷明细!$G$2:$G$50000,$C26,缺陷明细!$J$2:$J$50000,"系统测试案例评审",缺陷明细!$AB$2:$AB$50000,"&lt;&gt;丢弃",缺陷明细!$AB$2:$AB$50000,"&lt;&gt;设计如此",缺陷明细!$AB$2:$AB$50000,"&lt;&gt;重复Bug")</f>
        <v>0</v>
      </c>
      <c r="O26" s="72">
        <f>COUNTIFS(缺陷明细!$A$2:$A$50000,$B$4,缺陷明细!$G$2:$G$50000,$C26,缺陷明细!$Q$2:$Q$50000,"已关闭",缺陷明细!$J$2:$J$50000,"系统测试案例评审")</f>
        <v>0</v>
      </c>
      <c r="P26" s="72">
        <f>COUNTIFS(缺陷明细!$A$2:$A$50000,$B$4,缺陷明细!$G$2:$G$50000,$C26,缺陷明细!$J$2:$J$50000,"系统测试",缺陷明细!$AB$2:$AB$50000,"&lt;&gt;丢弃",缺陷明细!$AB$2:$AB$50000,"&lt;&gt;设计如此",缺陷明细!$AB$2:$AB$50000,"&lt;&gt;重复Bug")</f>
        <v>0</v>
      </c>
      <c r="Q26" s="72">
        <f>COUNTIFS(缺陷明细!$A$2:$A$50000,$B$4,缺陷明细!$G$2:$G$50000,$C26,缺陷明细!$Q$2:$Q$50000,"已关闭",缺陷明细!$J$2:$J$50000,"系统测试")</f>
        <v>0</v>
      </c>
      <c r="R26" s="296">
        <f>COUNTIFS(缺陷明细!$A$2:$A$50000,$B$4,缺陷明细!$G$2:$G$50000,$C26,缺陷明细!$AB$2:$AB$50000,"丢弃",缺陷明细!$J$2:$J$50000,"系统测试")+COUNTIFS(缺陷明细!$A$2:$A$50000,$B$4,缺陷明细!$G$2:$G$50000,$C26,缺陷明细!$AB$2:$AB$50000,"设计如此",缺陷明细!$J$2:$J$50000,"系统测试")+COUNTIFS(缺陷明细!$A$2:$A$50000,$B$4,缺陷明细!$G$2:$G$50000,$C26,缺陷明细!$AB$2:$AB$50000,"重复Bug",缺陷明细!$J$2:$J$50000,"系统测试")</f>
        <v>0</v>
      </c>
      <c r="S26" s="72">
        <f>COUNTIFS(缺陷明细!$A$2:$A$50000,$B$4,缺陷明细!$G$2:$G$50000,$C26,缺陷明细!$J$2:$J$50000,"系统测试",缺陷明细!$K$2:$K$50000,"致命",缺陷明细!$AB$2:$AB$50000,"&lt;&gt;丢弃",缺陷明细!$AB$2:$AB$50000,"&lt;&gt;设计如此",缺陷明细!$AB$2:$AB$50000,"&lt;&gt;重复Bug")+COUNTIFS(缺陷明细!$A$2:$A$50000,$B$4,缺陷明细!$G$2:$G$50000,$C26,缺陷明细!$J$2:$J$50000,"系统测试",缺陷明细!$K$2:$K$50000,"严重",缺陷明细!$AB$2:$AB$50000,"&lt;&gt;丢弃",缺陷明细!$AB$2:$AB$50000,"&lt;&gt;设计如此",缺陷明细!$AB$2:$AB$50000,"&lt;&gt;重复Bug")</f>
        <v>0</v>
      </c>
      <c r="T26" s="73">
        <f>COUNTIFS(缺陷明细!$A$2:$A$50000,$B$4,缺陷明细!$G$2:$G$50000,$C26,缺陷明细!$Q$2:$Q$50000,"已关闭",缺陷明细!$J$2:$J$50000,"系统测试",缺陷明细!$K$2:$K$50000,"致命")+COUNTIFS(缺陷明细!$A$2:$A$50000,$B$4,缺陷明细!$G$2:$G$50000,$C26,缺陷明细!$Q$2:$Q$50000,"已关闭",缺陷明细!$J$2:$J$50000,"系统测试",缺陷明细!$K$2:$K$50000,"严重")</f>
        <v>0</v>
      </c>
      <c r="U26" s="74">
        <f>COUNTIFS(缺陷明细!$A$2:$A$50000,$B$4,缺陷明细!$G$2:$G$50000,$C26,缺陷明细!$J$2:$J$50000,"验收测试",缺陷明细!$AB$2:$AB$50000,"&lt;&gt;丢弃",缺陷明细!$AB$2:$AB$50000,"&lt;&gt;设计如此",缺陷明细!$AB$2:$AB$50000,"&lt;&gt;重复Bug")</f>
        <v>0</v>
      </c>
      <c r="V26" s="75">
        <f>COUNTIFS(缺陷明细!$A$2:$A$50000,$B$4,缺陷明细!$G$2:$G$50000,$C26,缺陷明细!$Q$2:$Q$50000,"已关闭",缺陷明细!$J$2:$J$50000,"验收测试")</f>
        <v>0</v>
      </c>
      <c r="W26" s="75">
        <f>COUNTIFS(缺陷明细!$A$2:$A$50000,$B$4,缺陷明细!$G$2:$G$50000,$C26,缺陷明细!$J$2:$J$50000,"验收测试",缺陷明细!$K$2:$K$50000,"致命",缺陷明细!$AB$2:$AB$50000,"&lt;&gt;丢弃",缺陷明细!$AB$2:$AB$50000,"&lt;&gt;设计如此",缺陷明细!$AB$2:$AB$50000,"&lt;&gt;重复Bug")+COUNTIFS(缺陷明细!$A$2:$A$50000,$B$4,缺陷明细!$G$2:$G$50000,$C26,缺陷明细!$J$2:$J$50000,"验收测试",缺陷明细!$K$2:$K$50000,"严重",缺陷明细!$AB$2:$AB$50000,"&lt;&gt;丢弃",缺陷明细!$AB$2:$AB$50000,"&lt;&gt;设计如此",缺陷明细!$AB$2:$AB$50000,"&lt;&gt;重复Bug")</f>
        <v>0</v>
      </c>
      <c r="X26" s="76">
        <f>COUNTIFS(缺陷明细!$A$2:$A$50000,$B$4,缺陷明细!$G$2:$G$50000,$C26,缺陷明细!$Q$2:$Q$50000,"已关闭",缺陷明细!$J$2:$J$50000,"验收测试",缺陷明细!$K$2:$K$50000,"致命")+COUNTIFS(缺陷明细!$A$2:$A$50000,$B$4,缺陷明细!$G$2:$G$50000,$C26,缺陷明细!$Q$2:$Q$50000,"已关闭",缺陷明细!$J$2:$J$50000,"验收测试",缺陷明细!$K$2:$K$50000,"严重")</f>
        <v>0</v>
      </c>
      <c r="Y26" s="70">
        <f>COUNTIFS(缺陷明细!$A$2:$A$50000,$B$4,缺陷明细!$G$2:$G$50000,$C26,缺陷明细!$J$2:$J$50000,"运维测试",缺陷明细!$AB$2:$AB$50000,"&lt;&gt;丢弃",缺陷明细!$AB$2:$AB$50000,"&lt;&gt;设计如此",缺陷明细!$AB$2:$AB$50000,"&lt;&gt;重复Bug")</f>
        <v>0</v>
      </c>
      <c r="Z26" s="71">
        <f>COUNTIFS(缺陷明细!$A$2:$A$50000,$B$4,缺陷明细!$G$2:$G$50000,$C26,缺陷明细!$Q$2:$Q$50000,"已关闭",缺陷明细!$J$2:$J$50000,"运维测试")</f>
        <v>0</v>
      </c>
      <c r="AA26" s="72">
        <f>COUNTIFS(缺陷明细!$A$2:$A$50000,$B$4,缺陷明细!$G$2:$G$50000,$C26,缺陷明细!$J$2:$J$50000,"运维测试",缺陷明细!$K$2:$K$50000,"致命",缺陷明细!$AB$2:$AB$50000,"&lt;&gt;丢弃",缺陷明细!$AB$2:$AB$50000,"&lt;&gt;设计如此",缺陷明细!$AB$2:$AB$50000,"&lt;&gt;重复Bug")+COUNTIFS(缺陷明细!$A$2:$A$50000,$B$4,缺陷明细!$G$2:$G$50000,$C26,缺陷明细!$J$2:$J$50000,"运维测试",缺陷明细!$K$2:$K$50000,"严重",缺陷明细!$AB$2:$AB$50000,"&lt;&gt;丢弃",缺陷明细!$AB$2:$AB$50000,"&lt;&gt;设计如此",缺陷明细!$AB$2:$AB$50000,"&lt;&gt;重复Bug")</f>
        <v>0</v>
      </c>
      <c r="AB26" s="73">
        <f>COUNTIFS(缺陷明细!$A$2:$A$50000,$B$4,缺陷明细!$G$2:$G$50000,$C26,缺陷明细!$Q$2:$Q$50000,"已关闭",缺陷明细!$J$2:$J$50000,"运维测试",缺陷明细!$K$2:$K$50000,"致命")+COUNTIFS(缺陷明细!$A$2:$A$50000,$B$4,缺陷明细!$G$2:$G$50000,$C26,缺陷明细!$Q$2:$Q$50000,"已关闭",缺陷明细!$J$2:$J$50000,"运维测试",缺陷明细!$K$2:$K$50000,"严重")</f>
        <v>0</v>
      </c>
      <c r="AC26" s="68">
        <f t="shared" si="0"/>
        <v>0</v>
      </c>
      <c r="AD26" s="60">
        <f t="shared" si="0"/>
        <v>0</v>
      </c>
      <c r="AE26" s="60">
        <f t="shared" si="1"/>
        <v>0</v>
      </c>
      <c r="AF26" s="60">
        <f t="shared" si="1"/>
        <v>0</v>
      </c>
      <c r="AG26" s="60">
        <f t="shared" si="2"/>
        <v>0</v>
      </c>
      <c r="AH26" s="60">
        <f t="shared" si="2"/>
        <v>0</v>
      </c>
      <c r="AI26" s="60">
        <f t="shared" si="3"/>
        <v>0</v>
      </c>
      <c r="AJ26" s="61">
        <f t="shared" si="3"/>
        <v>0</v>
      </c>
      <c r="AK26" s="144"/>
    </row>
    <row r="27" spans="1:37">
      <c r="A27">
        <v>23</v>
      </c>
      <c r="B27" s="57"/>
      <c r="C27" s="58"/>
      <c r="D27" s="84"/>
      <c r="E27" s="82"/>
      <c r="F27" s="158"/>
      <c r="G27" s="159"/>
      <c r="H27" s="281">
        <f>COUNTIFS(缺陷明细!$A$2:$A$50000,$B$4,缺陷明细!$G$2:$G$50000,$C27,缺陷明细!$J$2:$J$50000,"评审",缺陷明细!$AB$2:$AB$50000,"&lt;&gt;丢弃",缺陷明细!$AB$2:$AB$50000,"&lt;&gt;设计如此",缺陷明细!$AB$2:$AB$50000,"&lt;&gt;重复Bug")</f>
        <v>0</v>
      </c>
      <c r="I27" s="154">
        <f>COUNTIFS(缺陷明细!$A$2:$A$50000,$B$4,缺陷明细!$G$2:$G$50000,$C27,缺陷明细!$Q$2:$Q$50000,"已关闭",缺陷明细!$J$2:$J$50000,"评审")</f>
        <v>0</v>
      </c>
      <c r="J27" s="154">
        <f>COUNTIFS(缺陷明细!$A$2:$A$50000,$B$4,缺陷明细!$G$2:$G$50000,$C27,缺陷明细!$J$2:$J$50000,"单元测试",缺陷明细!$AB$2:$AB$50000,"&lt;&gt;丢弃",缺陷明细!$AB$2:$AB$50000,"&lt;&gt;设计如此",缺陷明细!$AB$2:$AB$50000,"&lt;&gt;重复Bug")</f>
        <v>0</v>
      </c>
      <c r="K27" s="155">
        <f>COUNTIFS(缺陷明细!$A$2:$A$50000,$B$4,缺陷明细!$G$2:$G$50000,$C27,缺陷明细!$Q$2:$Q$50000,"已关闭",缺陷明细!$J$2:$J$50000,"单元测试")</f>
        <v>0</v>
      </c>
      <c r="L27" s="156"/>
      <c r="M27" s="157"/>
      <c r="N27" s="72">
        <f>COUNTIFS(缺陷明细!$A$2:$A$50000,$B$4,缺陷明细!$G$2:$G$50000,$C27,缺陷明细!$J$2:$J$50000,"系统测试案例评审",缺陷明细!$AB$2:$AB$50000,"&lt;&gt;丢弃",缺陷明细!$AB$2:$AB$50000,"&lt;&gt;设计如此",缺陷明细!$AB$2:$AB$50000,"&lt;&gt;重复Bug")</f>
        <v>0</v>
      </c>
      <c r="O27" s="72">
        <f>COUNTIFS(缺陷明细!$A$2:$A$50000,$B$4,缺陷明细!$G$2:$G$50000,$C27,缺陷明细!$Q$2:$Q$50000,"已关闭",缺陷明细!$J$2:$J$50000,"系统测试案例评审")</f>
        <v>0</v>
      </c>
      <c r="P27" s="72">
        <f>COUNTIFS(缺陷明细!$A$2:$A$50000,$B$4,缺陷明细!$G$2:$G$50000,$C27,缺陷明细!$J$2:$J$50000,"系统测试",缺陷明细!$AB$2:$AB$50000,"&lt;&gt;丢弃",缺陷明细!$AB$2:$AB$50000,"&lt;&gt;设计如此",缺陷明细!$AB$2:$AB$50000,"&lt;&gt;重复Bug")</f>
        <v>0</v>
      </c>
      <c r="Q27" s="72">
        <f>COUNTIFS(缺陷明细!$A$2:$A$50000,$B$4,缺陷明细!$G$2:$G$50000,$C27,缺陷明细!$Q$2:$Q$50000,"已关闭",缺陷明细!$J$2:$J$50000,"系统测试")</f>
        <v>0</v>
      </c>
      <c r="R27" s="296">
        <f>COUNTIFS(缺陷明细!$A$2:$A$50000,$B$4,缺陷明细!$G$2:$G$50000,$C27,缺陷明细!$AB$2:$AB$50000,"丢弃",缺陷明细!$J$2:$J$50000,"系统测试")+COUNTIFS(缺陷明细!$A$2:$A$50000,$B$4,缺陷明细!$G$2:$G$50000,$C27,缺陷明细!$AB$2:$AB$50000,"设计如此",缺陷明细!$J$2:$J$50000,"系统测试")+COUNTIFS(缺陷明细!$A$2:$A$50000,$B$4,缺陷明细!$G$2:$G$50000,$C27,缺陷明细!$AB$2:$AB$50000,"重复Bug",缺陷明细!$J$2:$J$50000,"系统测试")</f>
        <v>0</v>
      </c>
      <c r="S27" s="72">
        <f>COUNTIFS(缺陷明细!$A$2:$A$50000,$B$4,缺陷明细!$G$2:$G$50000,$C27,缺陷明细!$J$2:$J$50000,"系统测试",缺陷明细!$K$2:$K$50000,"致命",缺陷明细!$AB$2:$AB$50000,"&lt;&gt;丢弃",缺陷明细!$AB$2:$AB$50000,"&lt;&gt;设计如此",缺陷明细!$AB$2:$AB$50000,"&lt;&gt;重复Bug")+COUNTIFS(缺陷明细!$A$2:$A$50000,$B$4,缺陷明细!$G$2:$G$50000,$C27,缺陷明细!$J$2:$J$50000,"系统测试",缺陷明细!$K$2:$K$50000,"严重",缺陷明细!$AB$2:$AB$50000,"&lt;&gt;丢弃",缺陷明细!$AB$2:$AB$50000,"&lt;&gt;设计如此",缺陷明细!$AB$2:$AB$50000,"&lt;&gt;重复Bug")</f>
        <v>0</v>
      </c>
      <c r="T27" s="73">
        <f>COUNTIFS(缺陷明细!$A$2:$A$50000,$B$4,缺陷明细!$G$2:$G$50000,$C27,缺陷明细!$Q$2:$Q$50000,"已关闭",缺陷明细!$J$2:$J$50000,"系统测试",缺陷明细!$K$2:$K$50000,"致命")+COUNTIFS(缺陷明细!$A$2:$A$50000,$B$4,缺陷明细!$G$2:$G$50000,$C27,缺陷明细!$Q$2:$Q$50000,"已关闭",缺陷明细!$J$2:$J$50000,"系统测试",缺陷明细!$K$2:$K$50000,"严重")</f>
        <v>0</v>
      </c>
      <c r="U27" s="74">
        <f>COUNTIFS(缺陷明细!$A$2:$A$50000,$B$4,缺陷明细!$G$2:$G$50000,$C27,缺陷明细!$J$2:$J$50000,"验收测试",缺陷明细!$AB$2:$AB$50000,"&lt;&gt;丢弃",缺陷明细!$AB$2:$AB$50000,"&lt;&gt;设计如此",缺陷明细!$AB$2:$AB$50000,"&lt;&gt;重复Bug")</f>
        <v>0</v>
      </c>
      <c r="V27" s="75">
        <f>COUNTIFS(缺陷明细!$A$2:$A$50000,$B$4,缺陷明细!$G$2:$G$50000,$C27,缺陷明细!$Q$2:$Q$50000,"已关闭",缺陷明细!$J$2:$J$50000,"验收测试")</f>
        <v>0</v>
      </c>
      <c r="W27" s="75">
        <f>COUNTIFS(缺陷明细!$A$2:$A$50000,$B$4,缺陷明细!$G$2:$G$50000,$C27,缺陷明细!$J$2:$J$50000,"验收测试",缺陷明细!$K$2:$K$50000,"致命",缺陷明细!$AB$2:$AB$50000,"&lt;&gt;丢弃",缺陷明细!$AB$2:$AB$50000,"&lt;&gt;设计如此",缺陷明细!$AB$2:$AB$50000,"&lt;&gt;重复Bug")+COUNTIFS(缺陷明细!$A$2:$A$50000,$B$4,缺陷明细!$G$2:$G$50000,$C27,缺陷明细!$J$2:$J$50000,"验收测试",缺陷明细!$K$2:$K$50000,"严重",缺陷明细!$AB$2:$AB$50000,"&lt;&gt;丢弃",缺陷明细!$AB$2:$AB$50000,"&lt;&gt;设计如此",缺陷明细!$AB$2:$AB$50000,"&lt;&gt;重复Bug")</f>
        <v>0</v>
      </c>
      <c r="X27" s="76">
        <f>COUNTIFS(缺陷明细!$A$2:$A$50000,$B$4,缺陷明细!$G$2:$G$50000,$C27,缺陷明细!$Q$2:$Q$50000,"已关闭",缺陷明细!$J$2:$J$50000,"验收测试",缺陷明细!$K$2:$K$50000,"致命")+COUNTIFS(缺陷明细!$A$2:$A$50000,$B$4,缺陷明细!$G$2:$G$50000,$C27,缺陷明细!$Q$2:$Q$50000,"已关闭",缺陷明细!$J$2:$J$50000,"验收测试",缺陷明细!$K$2:$K$50000,"严重")</f>
        <v>0</v>
      </c>
      <c r="Y27" s="70">
        <f>COUNTIFS(缺陷明细!$A$2:$A$50000,$B$4,缺陷明细!$G$2:$G$50000,$C27,缺陷明细!$J$2:$J$50000,"运维测试",缺陷明细!$AB$2:$AB$50000,"&lt;&gt;丢弃",缺陷明细!$AB$2:$AB$50000,"&lt;&gt;设计如此",缺陷明细!$AB$2:$AB$50000,"&lt;&gt;重复Bug")</f>
        <v>0</v>
      </c>
      <c r="Z27" s="71">
        <f>COUNTIFS(缺陷明细!$A$2:$A$50000,$B$4,缺陷明细!$G$2:$G$50000,$C27,缺陷明细!$Q$2:$Q$50000,"已关闭",缺陷明细!$J$2:$J$50000,"运维测试")</f>
        <v>0</v>
      </c>
      <c r="AA27" s="72">
        <f>COUNTIFS(缺陷明细!$A$2:$A$50000,$B$4,缺陷明细!$G$2:$G$50000,$C27,缺陷明细!$J$2:$J$50000,"运维测试",缺陷明细!$K$2:$K$50000,"致命",缺陷明细!$AB$2:$AB$50000,"&lt;&gt;丢弃",缺陷明细!$AB$2:$AB$50000,"&lt;&gt;设计如此",缺陷明细!$AB$2:$AB$50000,"&lt;&gt;重复Bug")+COUNTIFS(缺陷明细!$A$2:$A$50000,$B$4,缺陷明细!$G$2:$G$50000,$C27,缺陷明细!$J$2:$J$50000,"运维测试",缺陷明细!$K$2:$K$50000,"严重",缺陷明细!$AB$2:$AB$50000,"&lt;&gt;丢弃",缺陷明细!$AB$2:$AB$50000,"&lt;&gt;设计如此",缺陷明细!$AB$2:$AB$50000,"&lt;&gt;重复Bug")</f>
        <v>0</v>
      </c>
      <c r="AB27" s="73">
        <f>COUNTIFS(缺陷明细!$A$2:$A$50000,$B$4,缺陷明细!$G$2:$G$50000,$C27,缺陷明细!$Q$2:$Q$50000,"已关闭",缺陷明细!$J$2:$J$50000,"运维测试",缺陷明细!$K$2:$K$50000,"致命")+COUNTIFS(缺陷明细!$A$2:$A$50000,$B$4,缺陷明细!$G$2:$G$50000,$C27,缺陷明细!$Q$2:$Q$50000,"已关闭",缺陷明细!$J$2:$J$50000,"运维测试",缺陷明细!$K$2:$K$50000,"严重")</f>
        <v>0</v>
      </c>
      <c r="AC27" s="68">
        <f t="shared" si="0"/>
        <v>0</v>
      </c>
      <c r="AD27" s="60">
        <f t="shared" si="0"/>
        <v>0</v>
      </c>
      <c r="AE27" s="60">
        <f t="shared" si="1"/>
        <v>0</v>
      </c>
      <c r="AF27" s="60">
        <f t="shared" si="1"/>
        <v>0</v>
      </c>
      <c r="AG27" s="60">
        <f t="shared" si="2"/>
        <v>0</v>
      </c>
      <c r="AH27" s="60">
        <f t="shared" si="2"/>
        <v>0</v>
      </c>
      <c r="AI27" s="60">
        <f t="shared" si="3"/>
        <v>0</v>
      </c>
      <c r="AJ27" s="61">
        <f t="shared" si="3"/>
        <v>0</v>
      </c>
      <c r="AK27" s="144"/>
    </row>
    <row r="28" spans="1:37">
      <c r="A28">
        <v>24</v>
      </c>
      <c r="B28" s="57"/>
      <c r="C28" s="58"/>
      <c r="D28" s="84"/>
      <c r="E28" s="82"/>
      <c r="F28" s="158"/>
      <c r="G28" s="159"/>
      <c r="H28" s="281">
        <f>COUNTIFS(缺陷明细!$A$2:$A$50000,$B$4,缺陷明细!$G$2:$G$50000,$C28,缺陷明细!$J$2:$J$50000,"评审",缺陷明细!$AB$2:$AB$50000,"&lt;&gt;丢弃",缺陷明细!$AB$2:$AB$50000,"&lt;&gt;设计如此",缺陷明细!$AB$2:$AB$50000,"&lt;&gt;重复Bug")</f>
        <v>0</v>
      </c>
      <c r="I28" s="154">
        <f>COUNTIFS(缺陷明细!$A$2:$A$50000,$B$4,缺陷明细!$G$2:$G$50000,$C28,缺陷明细!$Q$2:$Q$50000,"已关闭",缺陷明细!$J$2:$J$50000,"评审")</f>
        <v>0</v>
      </c>
      <c r="J28" s="154">
        <f>COUNTIFS(缺陷明细!$A$2:$A$50000,$B$4,缺陷明细!$G$2:$G$50000,$C28,缺陷明细!$J$2:$J$50000,"单元测试",缺陷明细!$AB$2:$AB$50000,"&lt;&gt;丢弃",缺陷明细!$AB$2:$AB$50000,"&lt;&gt;设计如此",缺陷明细!$AB$2:$AB$50000,"&lt;&gt;重复Bug")</f>
        <v>0</v>
      </c>
      <c r="K28" s="155">
        <f>COUNTIFS(缺陷明细!$A$2:$A$50000,$B$4,缺陷明细!$G$2:$G$50000,$C28,缺陷明细!$Q$2:$Q$50000,"已关闭",缺陷明细!$J$2:$J$50000,"单元测试")</f>
        <v>0</v>
      </c>
      <c r="L28" s="156"/>
      <c r="M28" s="157"/>
      <c r="N28" s="72">
        <f>COUNTIFS(缺陷明细!$A$2:$A$50000,$B$4,缺陷明细!$G$2:$G$50000,$C28,缺陷明细!$J$2:$J$50000,"系统测试案例评审",缺陷明细!$AB$2:$AB$50000,"&lt;&gt;丢弃",缺陷明细!$AB$2:$AB$50000,"&lt;&gt;设计如此",缺陷明细!$AB$2:$AB$50000,"&lt;&gt;重复Bug")</f>
        <v>0</v>
      </c>
      <c r="O28" s="72">
        <f>COUNTIFS(缺陷明细!$A$2:$A$50000,$B$4,缺陷明细!$G$2:$G$50000,$C28,缺陷明细!$Q$2:$Q$50000,"已关闭",缺陷明细!$J$2:$J$50000,"系统测试案例评审")</f>
        <v>0</v>
      </c>
      <c r="P28" s="72">
        <f>COUNTIFS(缺陷明细!$A$2:$A$50000,$B$4,缺陷明细!$G$2:$G$50000,$C28,缺陷明细!$J$2:$J$50000,"系统测试",缺陷明细!$AB$2:$AB$50000,"&lt;&gt;丢弃",缺陷明细!$AB$2:$AB$50000,"&lt;&gt;设计如此",缺陷明细!$AB$2:$AB$50000,"&lt;&gt;重复Bug")</f>
        <v>0</v>
      </c>
      <c r="Q28" s="72">
        <f>COUNTIFS(缺陷明细!$A$2:$A$50000,$B$4,缺陷明细!$G$2:$G$50000,$C28,缺陷明细!$Q$2:$Q$50000,"已关闭",缺陷明细!$J$2:$J$50000,"系统测试")</f>
        <v>0</v>
      </c>
      <c r="R28" s="296">
        <f>COUNTIFS(缺陷明细!$A$2:$A$50000,$B$4,缺陷明细!$G$2:$G$50000,$C28,缺陷明细!$AB$2:$AB$50000,"丢弃",缺陷明细!$J$2:$J$50000,"系统测试")+COUNTIFS(缺陷明细!$A$2:$A$50000,$B$4,缺陷明细!$G$2:$G$50000,$C28,缺陷明细!$AB$2:$AB$50000,"设计如此",缺陷明细!$J$2:$J$50000,"系统测试")+COUNTIFS(缺陷明细!$A$2:$A$50000,$B$4,缺陷明细!$G$2:$G$50000,$C28,缺陷明细!$AB$2:$AB$50000,"重复Bug",缺陷明细!$J$2:$J$50000,"系统测试")</f>
        <v>0</v>
      </c>
      <c r="S28" s="72">
        <f>COUNTIFS(缺陷明细!$A$2:$A$50000,$B$4,缺陷明细!$G$2:$G$50000,$C28,缺陷明细!$J$2:$J$50000,"系统测试",缺陷明细!$K$2:$K$50000,"致命",缺陷明细!$AB$2:$AB$50000,"&lt;&gt;丢弃",缺陷明细!$AB$2:$AB$50000,"&lt;&gt;设计如此",缺陷明细!$AB$2:$AB$50000,"&lt;&gt;重复Bug")+COUNTIFS(缺陷明细!$A$2:$A$50000,$B$4,缺陷明细!$G$2:$G$50000,$C28,缺陷明细!$J$2:$J$50000,"系统测试",缺陷明细!$K$2:$K$50000,"严重",缺陷明细!$AB$2:$AB$50000,"&lt;&gt;丢弃",缺陷明细!$AB$2:$AB$50000,"&lt;&gt;设计如此",缺陷明细!$AB$2:$AB$50000,"&lt;&gt;重复Bug")</f>
        <v>0</v>
      </c>
      <c r="T28" s="73">
        <f>COUNTIFS(缺陷明细!$A$2:$A$50000,$B$4,缺陷明细!$G$2:$G$50000,$C28,缺陷明细!$Q$2:$Q$50000,"已关闭",缺陷明细!$J$2:$J$50000,"系统测试",缺陷明细!$K$2:$K$50000,"致命")+COUNTIFS(缺陷明细!$A$2:$A$50000,$B$4,缺陷明细!$G$2:$G$50000,$C28,缺陷明细!$Q$2:$Q$50000,"已关闭",缺陷明细!$J$2:$J$50000,"系统测试",缺陷明细!$K$2:$K$50000,"严重")</f>
        <v>0</v>
      </c>
      <c r="U28" s="74">
        <f>COUNTIFS(缺陷明细!$A$2:$A$50000,$B$4,缺陷明细!$G$2:$G$50000,$C28,缺陷明细!$J$2:$J$50000,"验收测试",缺陷明细!$AB$2:$AB$50000,"&lt;&gt;丢弃",缺陷明细!$AB$2:$AB$50000,"&lt;&gt;设计如此",缺陷明细!$AB$2:$AB$50000,"&lt;&gt;重复Bug")</f>
        <v>0</v>
      </c>
      <c r="V28" s="75">
        <f>COUNTIFS(缺陷明细!$A$2:$A$50000,$B$4,缺陷明细!$G$2:$G$50000,$C28,缺陷明细!$Q$2:$Q$50000,"已关闭",缺陷明细!$J$2:$J$50000,"验收测试")</f>
        <v>0</v>
      </c>
      <c r="W28" s="75">
        <f>COUNTIFS(缺陷明细!$A$2:$A$50000,$B$4,缺陷明细!$G$2:$G$50000,$C28,缺陷明细!$J$2:$J$50000,"验收测试",缺陷明细!$K$2:$K$50000,"致命",缺陷明细!$AB$2:$AB$50000,"&lt;&gt;丢弃",缺陷明细!$AB$2:$AB$50000,"&lt;&gt;设计如此",缺陷明细!$AB$2:$AB$50000,"&lt;&gt;重复Bug")+COUNTIFS(缺陷明细!$A$2:$A$50000,$B$4,缺陷明细!$G$2:$G$50000,$C28,缺陷明细!$J$2:$J$50000,"验收测试",缺陷明细!$K$2:$K$50000,"严重",缺陷明细!$AB$2:$AB$50000,"&lt;&gt;丢弃",缺陷明细!$AB$2:$AB$50000,"&lt;&gt;设计如此",缺陷明细!$AB$2:$AB$50000,"&lt;&gt;重复Bug")</f>
        <v>0</v>
      </c>
      <c r="X28" s="76">
        <f>COUNTIFS(缺陷明细!$A$2:$A$50000,$B$4,缺陷明细!$G$2:$G$50000,$C28,缺陷明细!$Q$2:$Q$50000,"已关闭",缺陷明细!$J$2:$J$50000,"验收测试",缺陷明细!$K$2:$K$50000,"致命")+COUNTIFS(缺陷明细!$A$2:$A$50000,$B$4,缺陷明细!$G$2:$G$50000,$C28,缺陷明细!$Q$2:$Q$50000,"已关闭",缺陷明细!$J$2:$J$50000,"验收测试",缺陷明细!$K$2:$K$50000,"严重")</f>
        <v>0</v>
      </c>
      <c r="Y28" s="70">
        <f>COUNTIFS(缺陷明细!$A$2:$A$50000,$B$4,缺陷明细!$G$2:$G$50000,$C28,缺陷明细!$J$2:$J$50000,"运维测试",缺陷明细!$AB$2:$AB$50000,"&lt;&gt;丢弃",缺陷明细!$AB$2:$AB$50000,"&lt;&gt;设计如此",缺陷明细!$AB$2:$AB$50000,"&lt;&gt;重复Bug")</f>
        <v>0</v>
      </c>
      <c r="Z28" s="71">
        <f>COUNTIFS(缺陷明细!$A$2:$A$50000,$B$4,缺陷明细!$G$2:$G$50000,$C28,缺陷明细!$Q$2:$Q$50000,"已关闭",缺陷明细!$J$2:$J$50000,"运维测试")</f>
        <v>0</v>
      </c>
      <c r="AA28" s="72">
        <f>COUNTIFS(缺陷明细!$A$2:$A$50000,$B$4,缺陷明细!$G$2:$G$50000,$C28,缺陷明细!$J$2:$J$50000,"运维测试",缺陷明细!$K$2:$K$50000,"致命",缺陷明细!$AB$2:$AB$50000,"&lt;&gt;丢弃",缺陷明细!$AB$2:$AB$50000,"&lt;&gt;设计如此",缺陷明细!$AB$2:$AB$50000,"&lt;&gt;重复Bug")+COUNTIFS(缺陷明细!$A$2:$A$50000,$B$4,缺陷明细!$G$2:$G$50000,$C28,缺陷明细!$J$2:$J$50000,"运维测试",缺陷明细!$K$2:$K$50000,"严重",缺陷明细!$AB$2:$AB$50000,"&lt;&gt;丢弃",缺陷明细!$AB$2:$AB$50000,"&lt;&gt;设计如此",缺陷明细!$AB$2:$AB$50000,"&lt;&gt;重复Bug")</f>
        <v>0</v>
      </c>
      <c r="AB28" s="73">
        <f>COUNTIFS(缺陷明细!$A$2:$A$50000,$B$4,缺陷明细!$G$2:$G$50000,$C28,缺陷明细!$Q$2:$Q$50000,"已关闭",缺陷明细!$J$2:$J$50000,"运维测试",缺陷明细!$K$2:$K$50000,"致命")+COUNTIFS(缺陷明细!$A$2:$A$50000,$B$4,缺陷明细!$G$2:$G$50000,$C28,缺陷明细!$Q$2:$Q$50000,"已关闭",缺陷明细!$J$2:$J$50000,"运维测试",缺陷明细!$K$2:$K$50000,"严重")</f>
        <v>0</v>
      </c>
      <c r="AC28" s="68">
        <f t="shared" si="0"/>
        <v>0</v>
      </c>
      <c r="AD28" s="60">
        <f t="shared" si="0"/>
        <v>0</v>
      </c>
      <c r="AE28" s="60">
        <f t="shared" si="1"/>
        <v>0</v>
      </c>
      <c r="AF28" s="60">
        <f t="shared" si="1"/>
        <v>0</v>
      </c>
      <c r="AG28" s="60">
        <f t="shared" si="2"/>
        <v>0</v>
      </c>
      <c r="AH28" s="60">
        <f t="shared" si="2"/>
        <v>0</v>
      </c>
      <c r="AI28" s="60">
        <f t="shared" si="3"/>
        <v>0</v>
      </c>
      <c r="AJ28" s="61">
        <f t="shared" si="3"/>
        <v>0</v>
      </c>
      <c r="AK28" s="144"/>
    </row>
    <row r="29" spans="1:37">
      <c r="A29">
        <v>25</v>
      </c>
      <c r="B29" s="57"/>
      <c r="C29" s="58"/>
      <c r="D29" s="84"/>
      <c r="E29" s="82"/>
      <c r="F29" s="158"/>
      <c r="G29" s="159"/>
      <c r="H29" s="281">
        <f>COUNTIFS(缺陷明细!$A$2:$A$50000,$B$4,缺陷明细!$G$2:$G$50000,$C29,缺陷明细!$J$2:$J$50000,"评审",缺陷明细!$AB$2:$AB$50000,"&lt;&gt;丢弃",缺陷明细!$AB$2:$AB$50000,"&lt;&gt;设计如此",缺陷明细!$AB$2:$AB$50000,"&lt;&gt;重复Bug")</f>
        <v>0</v>
      </c>
      <c r="I29" s="154">
        <f>COUNTIFS(缺陷明细!$A$2:$A$50000,$B$4,缺陷明细!$G$2:$G$50000,$C29,缺陷明细!$Q$2:$Q$50000,"已关闭",缺陷明细!$J$2:$J$50000,"评审")</f>
        <v>0</v>
      </c>
      <c r="J29" s="154">
        <f>COUNTIFS(缺陷明细!$A$2:$A$50000,$B$4,缺陷明细!$G$2:$G$50000,$C29,缺陷明细!$J$2:$J$50000,"单元测试",缺陷明细!$AB$2:$AB$50000,"&lt;&gt;丢弃",缺陷明细!$AB$2:$AB$50000,"&lt;&gt;设计如此",缺陷明细!$AB$2:$AB$50000,"&lt;&gt;重复Bug")</f>
        <v>0</v>
      </c>
      <c r="K29" s="155">
        <f>COUNTIFS(缺陷明细!$A$2:$A$50000,$B$4,缺陷明细!$G$2:$G$50000,$C29,缺陷明细!$Q$2:$Q$50000,"已关闭",缺陷明细!$J$2:$J$50000,"单元测试")</f>
        <v>0</v>
      </c>
      <c r="L29" s="156"/>
      <c r="M29" s="157"/>
      <c r="N29" s="72">
        <f>COUNTIFS(缺陷明细!$A$2:$A$50000,$B$4,缺陷明细!$G$2:$G$50000,$C29,缺陷明细!$J$2:$J$50000,"系统测试案例评审",缺陷明细!$AB$2:$AB$50000,"&lt;&gt;丢弃",缺陷明细!$AB$2:$AB$50000,"&lt;&gt;设计如此",缺陷明细!$AB$2:$AB$50000,"&lt;&gt;重复Bug")</f>
        <v>0</v>
      </c>
      <c r="O29" s="72">
        <f>COUNTIFS(缺陷明细!$A$2:$A$50000,$B$4,缺陷明细!$G$2:$G$50000,$C29,缺陷明细!$Q$2:$Q$50000,"已关闭",缺陷明细!$J$2:$J$50000,"系统测试案例评审")</f>
        <v>0</v>
      </c>
      <c r="P29" s="72">
        <f>COUNTIFS(缺陷明细!$A$2:$A$50000,$B$4,缺陷明细!$G$2:$G$50000,$C29,缺陷明细!$J$2:$J$50000,"系统测试",缺陷明细!$AB$2:$AB$50000,"&lt;&gt;丢弃",缺陷明细!$AB$2:$AB$50000,"&lt;&gt;设计如此",缺陷明细!$AB$2:$AB$50000,"&lt;&gt;重复Bug")</f>
        <v>0</v>
      </c>
      <c r="Q29" s="72">
        <f>COUNTIFS(缺陷明细!$A$2:$A$50000,$B$4,缺陷明细!$G$2:$G$50000,$C29,缺陷明细!$Q$2:$Q$50000,"已关闭",缺陷明细!$J$2:$J$50000,"系统测试")</f>
        <v>0</v>
      </c>
      <c r="R29" s="296">
        <f>COUNTIFS(缺陷明细!$A$2:$A$50000,$B$4,缺陷明细!$G$2:$G$50000,$C29,缺陷明细!$AB$2:$AB$50000,"丢弃",缺陷明细!$J$2:$J$50000,"系统测试")+COUNTIFS(缺陷明细!$A$2:$A$50000,$B$4,缺陷明细!$G$2:$G$50000,$C29,缺陷明细!$AB$2:$AB$50000,"设计如此",缺陷明细!$J$2:$J$50000,"系统测试")+COUNTIFS(缺陷明细!$A$2:$A$50000,$B$4,缺陷明细!$G$2:$G$50000,$C29,缺陷明细!$AB$2:$AB$50000,"重复Bug",缺陷明细!$J$2:$J$50000,"系统测试")</f>
        <v>0</v>
      </c>
      <c r="S29" s="72">
        <f>COUNTIFS(缺陷明细!$A$2:$A$50000,$B$4,缺陷明细!$G$2:$G$50000,$C29,缺陷明细!$J$2:$J$50000,"系统测试",缺陷明细!$K$2:$K$50000,"致命",缺陷明细!$AB$2:$AB$50000,"&lt;&gt;丢弃",缺陷明细!$AB$2:$AB$50000,"&lt;&gt;设计如此",缺陷明细!$AB$2:$AB$50000,"&lt;&gt;重复Bug")+COUNTIFS(缺陷明细!$A$2:$A$50000,$B$4,缺陷明细!$G$2:$G$50000,$C29,缺陷明细!$J$2:$J$50000,"系统测试",缺陷明细!$K$2:$K$50000,"严重",缺陷明细!$AB$2:$AB$50000,"&lt;&gt;丢弃",缺陷明细!$AB$2:$AB$50000,"&lt;&gt;设计如此",缺陷明细!$AB$2:$AB$50000,"&lt;&gt;重复Bug")</f>
        <v>0</v>
      </c>
      <c r="T29" s="73">
        <f>COUNTIFS(缺陷明细!$A$2:$A$50000,$B$4,缺陷明细!$G$2:$G$50000,$C29,缺陷明细!$Q$2:$Q$50000,"已关闭",缺陷明细!$J$2:$J$50000,"系统测试",缺陷明细!$K$2:$K$50000,"致命")+COUNTIFS(缺陷明细!$A$2:$A$50000,$B$4,缺陷明细!$G$2:$G$50000,$C29,缺陷明细!$Q$2:$Q$50000,"已关闭",缺陷明细!$J$2:$J$50000,"系统测试",缺陷明细!$K$2:$K$50000,"严重")</f>
        <v>0</v>
      </c>
      <c r="U29" s="74">
        <f>COUNTIFS(缺陷明细!$A$2:$A$50000,$B$4,缺陷明细!$G$2:$G$50000,$C29,缺陷明细!$J$2:$J$50000,"验收测试",缺陷明细!$AB$2:$AB$50000,"&lt;&gt;丢弃",缺陷明细!$AB$2:$AB$50000,"&lt;&gt;设计如此",缺陷明细!$AB$2:$AB$50000,"&lt;&gt;重复Bug")</f>
        <v>0</v>
      </c>
      <c r="V29" s="75">
        <f>COUNTIFS(缺陷明细!$A$2:$A$50000,$B$4,缺陷明细!$G$2:$G$50000,$C29,缺陷明细!$Q$2:$Q$50000,"已关闭",缺陷明细!$J$2:$J$50000,"验收测试")</f>
        <v>0</v>
      </c>
      <c r="W29" s="75">
        <f>COUNTIFS(缺陷明细!$A$2:$A$50000,$B$4,缺陷明细!$G$2:$G$50000,$C29,缺陷明细!$J$2:$J$50000,"验收测试",缺陷明细!$K$2:$K$50000,"致命",缺陷明细!$AB$2:$AB$50000,"&lt;&gt;丢弃",缺陷明细!$AB$2:$AB$50000,"&lt;&gt;设计如此",缺陷明细!$AB$2:$AB$50000,"&lt;&gt;重复Bug")+COUNTIFS(缺陷明细!$A$2:$A$50000,$B$4,缺陷明细!$G$2:$G$50000,$C29,缺陷明细!$J$2:$J$50000,"验收测试",缺陷明细!$K$2:$K$50000,"严重",缺陷明细!$AB$2:$AB$50000,"&lt;&gt;丢弃",缺陷明细!$AB$2:$AB$50000,"&lt;&gt;设计如此",缺陷明细!$AB$2:$AB$50000,"&lt;&gt;重复Bug")</f>
        <v>0</v>
      </c>
      <c r="X29" s="76">
        <f>COUNTIFS(缺陷明细!$A$2:$A$50000,$B$4,缺陷明细!$G$2:$G$50000,$C29,缺陷明细!$Q$2:$Q$50000,"已关闭",缺陷明细!$J$2:$J$50000,"验收测试",缺陷明细!$K$2:$K$50000,"致命")+COUNTIFS(缺陷明细!$A$2:$A$50000,$B$4,缺陷明细!$G$2:$G$50000,$C29,缺陷明细!$Q$2:$Q$50000,"已关闭",缺陷明细!$J$2:$J$50000,"验收测试",缺陷明细!$K$2:$K$50000,"严重")</f>
        <v>0</v>
      </c>
      <c r="Y29" s="70">
        <f>COUNTIFS(缺陷明细!$A$2:$A$50000,$B$4,缺陷明细!$G$2:$G$50000,$C29,缺陷明细!$J$2:$J$50000,"运维测试",缺陷明细!$AB$2:$AB$50000,"&lt;&gt;丢弃",缺陷明细!$AB$2:$AB$50000,"&lt;&gt;设计如此",缺陷明细!$AB$2:$AB$50000,"&lt;&gt;重复Bug")</f>
        <v>0</v>
      </c>
      <c r="Z29" s="71">
        <f>COUNTIFS(缺陷明细!$A$2:$A$50000,$B$4,缺陷明细!$G$2:$G$50000,$C29,缺陷明细!$Q$2:$Q$50000,"已关闭",缺陷明细!$J$2:$J$50000,"运维测试")</f>
        <v>0</v>
      </c>
      <c r="AA29" s="72">
        <f>COUNTIFS(缺陷明细!$A$2:$A$50000,$B$4,缺陷明细!$G$2:$G$50000,$C29,缺陷明细!$J$2:$J$50000,"运维测试",缺陷明细!$K$2:$K$50000,"致命",缺陷明细!$AB$2:$AB$50000,"&lt;&gt;丢弃",缺陷明细!$AB$2:$AB$50000,"&lt;&gt;设计如此",缺陷明细!$AB$2:$AB$50000,"&lt;&gt;重复Bug")+COUNTIFS(缺陷明细!$A$2:$A$50000,$B$4,缺陷明细!$G$2:$G$50000,$C29,缺陷明细!$J$2:$J$50000,"运维测试",缺陷明细!$K$2:$K$50000,"严重",缺陷明细!$AB$2:$AB$50000,"&lt;&gt;丢弃",缺陷明细!$AB$2:$AB$50000,"&lt;&gt;设计如此",缺陷明细!$AB$2:$AB$50000,"&lt;&gt;重复Bug")</f>
        <v>0</v>
      </c>
      <c r="AB29" s="73">
        <f>COUNTIFS(缺陷明细!$A$2:$A$50000,$B$4,缺陷明细!$G$2:$G$50000,$C29,缺陷明细!$Q$2:$Q$50000,"已关闭",缺陷明细!$J$2:$J$50000,"运维测试",缺陷明细!$K$2:$K$50000,"致命")+COUNTIFS(缺陷明细!$A$2:$A$50000,$B$4,缺陷明细!$G$2:$G$50000,$C29,缺陷明细!$Q$2:$Q$50000,"已关闭",缺陷明细!$J$2:$J$50000,"运维测试",缺陷明细!$K$2:$K$50000,"严重")</f>
        <v>0</v>
      </c>
      <c r="AC29" s="68">
        <f t="shared" si="0"/>
        <v>0</v>
      </c>
      <c r="AD29" s="60">
        <f t="shared" si="0"/>
        <v>0</v>
      </c>
      <c r="AE29" s="60">
        <f t="shared" si="1"/>
        <v>0</v>
      </c>
      <c r="AF29" s="60">
        <f t="shared" si="1"/>
        <v>0</v>
      </c>
      <c r="AG29" s="60">
        <f t="shared" si="2"/>
        <v>0</v>
      </c>
      <c r="AH29" s="60">
        <f t="shared" si="2"/>
        <v>0</v>
      </c>
      <c r="AI29" s="60">
        <f t="shared" si="3"/>
        <v>0</v>
      </c>
      <c r="AJ29" s="61">
        <f t="shared" si="3"/>
        <v>0</v>
      </c>
      <c r="AK29" s="144"/>
    </row>
    <row r="30" spans="1:37">
      <c r="A30">
        <v>26</v>
      </c>
      <c r="B30" s="57"/>
      <c r="C30" s="58"/>
      <c r="D30" s="84"/>
      <c r="E30" s="82"/>
      <c r="F30" s="158"/>
      <c r="G30" s="159"/>
      <c r="H30" s="281">
        <f>COUNTIFS(缺陷明细!$A$2:$A$50000,$B$4,缺陷明细!$G$2:$G$50000,$C30,缺陷明细!$J$2:$J$50000,"评审",缺陷明细!$AB$2:$AB$50000,"&lt;&gt;丢弃",缺陷明细!$AB$2:$AB$50000,"&lt;&gt;设计如此",缺陷明细!$AB$2:$AB$50000,"&lt;&gt;重复Bug")</f>
        <v>0</v>
      </c>
      <c r="I30" s="154">
        <f>COUNTIFS(缺陷明细!$A$2:$A$50000,$B$4,缺陷明细!$G$2:$G$50000,$C30,缺陷明细!$Q$2:$Q$50000,"已关闭",缺陷明细!$J$2:$J$50000,"评审")</f>
        <v>0</v>
      </c>
      <c r="J30" s="154">
        <f>COUNTIFS(缺陷明细!$A$2:$A$50000,$B$4,缺陷明细!$G$2:$G$50000,$C30,缺陷明细!$J$2:$J$50000,"单元测试",缺陷明细!$AB$2:$AB$50000,"&lt;&gt;丢弃",缺陷明细!$AB$2:$AB$50000,"&lt;&gt;设计如此",缺陷明细!$AB$2:$AB$50000,"&lt;&gt;重复Bug")</f>
        <v>0</v>
      </c>
      <c r="K30" s="155">
        <f>COUNTIFS(缺陷明细!$A$2:$A$50000,$B$4,缺陷明细!$G$2:$G$50000,$C30,缺陷明细!$Q$2:$Q$50000,"已关闭",缺陷明细!$J$2:$J$50000,"单元测试")</f>
        <v>0</v>
      </c>
      <c r="L30" s="156"/>
      <c r="M30" s="157"/>
      <c r="N30" s="72">
        <f>COUNTIFS(缺陷明细!$A$2:$A$50000,$B$4,缺陷明细!$G$2:$G$50000,$C30,缺陷明细!$J$2:$J$50000,"系统测试案例评审",缺陷明细!$AB$2:$AB$50000,"&lt;&gt;丢弃",缺陷明细!$AB$2:$AB$50000,"&lt;&gt;设计如此",缺陷明细!$AB$2:$AB$50000,"&lt;&gt;重复Bug")</f>
        <v>0</v>
      </c>
      <c r="O30" s="72">
        <f>COUNTIFS(缺陷明细!$A$2:$A$50000,$B$4,缺陷明细!$G$2:$G$50000,$C30,缺陷明细!$Q$2:$Q$50000,"已关闭",缺陷明细!$J$2:$J$50000,"系统测试案例评审")</f>
        <v>0</v>
      </c>
      <c r="P30" s="72">
        <f>COUNTIFS(缺陷明细!$A$2:$A$50000,$B$4,缺陷明细!$G$2:$G$50000,$C30,缺陷明细!$J$2:$J$50000,"系统测试",缺陷明细!$AB$2:$AB$50000,"&lt;&gt;丢弃",缺陷明细!$AB$2:$AB$50000,"&lt;&gt;设计如此",缺陷明细!$AB$2:$AB$50000,"&lt;&gt;重复Bug")</f>
        <v>0</v>
      </c>
      <c r="Q30" s="72">
        <f>COUNTIFS(缺陷明细!$A$2:$A$50000,$B$4,缺陷明细!$G$2:$G$50000,$C30,缺陷明细!$Q$2:$Q$50000,"已关闭",缺陷明细!$J$2:$J$50000,"系统测试")</f>
        <v>0</v>
      </c>
      <c r="R30" s="296">
        <f>COUNTIFS(缺陷明细!$A$2:$A$50000,$B$4,缺陷明细!$G$2:$G$50000,$C30,缺陷明细!$AB$2:$AB$50000,"丢弃",缺陷明细!$J$2:$J$50000,"系统测试")+COUNTIFS(缺陷明细!$A$2:$A$50000,$B$4,缺陷明细!$G$2:$G$50000,$C30,缺陷明细!$AB$2:$AB$50000,"设计如此",缺陷明细!$J$2:$J$50000,"系统测试")+COUNTIFS(缺陷明细!$A$2:$A$50000,$B$4,缺陷明细!$G$2:$G$50000,$C30,缺陷明细!$AB$2:$AB$50000,"重复Bug",缺陷明细!$J$2:$J$50000,"系统测试")</f>
        <v>0</v>
      </c>
      <c r="S30" s="72">
        <f>COUNTIFS(缺陷明细!$A$2:$A$50000,$B$4,缺陷明细!$G$2:$G$50000,$C30,缺陷明细!$J$2:$J$50000,"系统测试",缺陷明细!$K$2:$K$50000,"致命",缺陷明细!$AB$2:$AB$50000,"&lt;&gt;丢弃",缺陷明细!$AB$2:$AB$50000,"&lt;&gt;设计如此",缺陷明细!$AB$2:$AB$50000,"&lt;&gt;重复Bug")+COUNTIFS(缺陷明细!$A$2:$A$50000,$B$4,缺陷明细!$G$2:$G$50000,$C30,缺陷明细!$J$2:$J$50000,"系统测试",缺陷明细!$K$2:$K$50000,"严重",缺陷明细!$AB$2:$AB$50000,"&lt;&gt;丢弃",缺陷明细!$AB$2:$AB$50000,"&lt;&gt;设计如此",缺陷明细!$AB$2:$AB$50000,"&lt;&gt;重复Bug")</f>
        <v>0</v>
      </c>
      <c r="T30" s="73">
        <f>COUNTIFS(缺陷明细!$A$2:$A$50000,$B$4,缺陷明细!$G$2:$G$50000,$C30,缺陷明细!$Q$2:$Q$50000,"已关闭",缺陷明细!$J$2:$J$50000,"系统测试",缺陷明细!$K$2:$K$50000,"致命")+COUNTIFS(缺陷明细!$A$2:$A$50000,$B$4,缺陷明细!$G$2:$G$50000,$C30,缺陷明细!$Q$2:$Q$50000,"已关闭",缺陷明细!$J$2:$J$50000,"系统测试",缺陷明细!$K$2:$K$50000,"严重")</f>
        <v>0</v>
      </c>
      <c r="U30" s="74">
        <f>COUNTIFS(缺陷明细!$A$2:$A$50000,$B$4,缺陷明细!$G$2:$G$50000,$C30,缺陷明细!$J$2:$J$50000,"验收测试",缺陷明细!$AB$2:$AB$50000,"&lt;&gt;丢弃",缺陷明细!$AB$2:$AB$50000,"&lt;&gt;设计如此",缺陷明细!$AB$2:$AB$50000,"&lt;&gt;重复Bug")</f>
        <v>0</v>
      </c>
      <c r="V30" s="75">
        <f>COUNTIFS(缺陷明细!$A$2:$A$50000,$B$4,缺陷明细!$G$2:$G$50000,$C30,缺陷明细!$Q$2:$Q$50000,"已关闭",缺陷明细!$J$2:$J$50000,"验收测试")</f>
        <v>0</v>
      </c>
      <c r="W30" s="75">
        <f>COUNTIFS(缺陷明细!$A$2:$A$50000,$B$4,缺陷明细!$G$2:$G$50000,$C30,缺陷明细!$J$2:$J$50000,"验收测试",缺陷明细!$K$2:$K$50000,"致命",缺陷明细!$AB$2:$AB$50000,"&lt;&gt;丢弃",缺陷明细!$AB$2:$AB$50000,"&lt;&gt;设计如此",缺陷明细!$AB$2:$AB$50000,"&lt;&gt;重复Bug")+COUNTIFS(缺陷明细!$A$2:$A$50000,$B$4,缺陷明细!$G$2:$G$50000,$C30,缺陷明细!$J$2:$J$50000,"验收测试",缺陷明细!$K$2:$K$50000,"严重",缺陷明细!$AB$2:$AB$50000,"&lt;&gt;丢弃",缺陷明细!$AB$2:$AB$50000,"&lt;&gt;设计如此",缺陷明细!$AB$2:$AB$50000,"&lt;&gt;重复Bug")</f>
        <v>0</v>
      </c>
      <c r="X30" s="76">
        <f>COUNTIFS(缺陷明细!$A$2:$A$50000,$B$4,缺陷明细!$G$2:$G$50000,$C30,缺陷明细!$Q$2:$Q$50000,"已关闭",缺陷明细!$J$2:$J$50000,"验收测试",缺陷明细!$K$2:$K$50000,"致命")+COUNTIFS(缺陷明细!$A$2:$A$50000,$B$4,缺陷明细!$G$2:$G$50000,$C30,缺陷明细!$Q$2:$Q$50000,"已关闭",缺陷明细!$J$2:$J$50000,"验收测试",缺陷明细!$K$2:$K$50000,"严重")</f>
        <v>0</v>
      </c>
      <c r="Y30" s="70">
        <f>COUNTIFS(缺陷明细!$A$2:$A$50000,$B$4,缺陷明细!$G$2:$G$50000,$C30,缺陷明细!$J$2:$J$50000,"运维测试",缺陷明细!$AB$2:$AB$50000,"&lt;&gt;丢弃",缺陷明细!$AB$2:$AB$50000,"&lt;&gt;设计如此",缺陷明细!$AB$2:$AB$50000,"&lt;&gt;重复Bug")</f>
        <v>0</v>
      </c>
      <c r="Z30" s="71">
        <f>COUNTIFS(缺陷明细!$A$2:$A$50000,$B$4,缺陷明细!$G$2:$G$50000,$C30,缺陷明细!$Q$2:$Q$50000,"已关闭",缺陷明细!$J$2:$J$50000,"运维测试")</f>
        <v>0</v>
      </c>
      <c r="AA30" s="72">
        <f>COUNTIFS(缺陷明细!$A$2:$A$50000,$B$4,缺陷明细!$G$2:$G$50000,$C30,缺陷明细!$J$2:$J$50000,"运维测试",缺陷明细!$K$2:$K$50000,"致命",缺陷明细!$AB$2:$AB$50000,"&lt;&gt;丢弃",缺陷明细!$AB$2:$AB$50000,"&lt;&gt;设计如此",缺陷明细!$AB$2:$AB$50000,"&lt;&gt;重复Bug")+COUNTIFS(缺陷明细!$A$2:$A$50000,$B$4,缺陷明细!$G$2:$G$50000,$C30,缺陷明细!$J$2:$J$50000,"运维测试",缺陷明细!$K$2:$K$50000,"严重",缺陷明细!$AB$2:$AB$50000,"&lt;&gt;丢弃",缺陷明细!$AB$2:$AB$50000,"&lt;&gt;设计如此",缺陷明细!$AB$2:$AB$50000,"&lt;&gt;重复Bug")</f>
        <v>0</v>
      </c>
      <c r="AB30" s="73">
        <f>COUNTIFS(缺陷明细!$A$2:$A$50000,$B$4,缺陷明细!$G$2:$G$50000,$C30,缺陷明细!$Q$2:$Q$50000,"已关闭",缺陷明细!$J$2:$J$50000,"运维测试",缺陷明细!$K$2:$K$50000,"致命")+COUNTIFS(缺陷明细!$A$2:$A$50000,$B$4,缺陷明细!$G$2:$G$50000,$C30,缺陷明细!$Q$2:$Q$50000,"已关闭",缺陷明细!$J$2:$J$50000,"运维测试",缺陷明细!$K$2:$K$50000,"严重")</f>
        <v>0</v>
      </c>
      <c r="AC30" s="68">
        <f t="shared" si="0"/>
        <v>0</v>
      </c>
      <c r="AD30" s="60">
        <f t="shared" si="0"/>
        <v>0</v>
      </c>
      <c r="AE30" s="60">
        <f t="shared" si="1"/>
        <v>0</v>
      </c>
      <c r="AF30" s="60">
        <f t="shared" si="1"/>
        <v>0</v>
      </c>
      <c r="AG30" s="60">
        <f t="shared" si="2"/>
        <v>0</v>
      </c>
      <c r="AH30" s="60">
        <f t="shared" si="2"/>
        <v>0</v>
      </c>
      <c r="AI30" s="60">
        <f t="shared" si="3"/>
        <v>0</v>
      </c>
      <c r="AJ30" s="61">
        <f t="shared" si="3"/>
        <v>0</v>
      </c>
      <c r="AK30" s="144"/>
    </row>
    <row r="31" spans="1:37">
      <c r="A31">
        <v>27</v>
      </c>
      <c r="B31" s="57"/>
      <c r="C31" s="58"/>
      <c r="D31" s="84"/>
      <c r="E31" s="82"/>
      <c r="F31" s="158"/>
      <c r="G31" s="159"/>
      <c r="H31" s="281">
        <f>COUNTIFS(缺陷明细!$A$2:$A$50000,$B$4,缺陷明细!$G$2:$G$50000,$C31,缺陷明细!$J$2:$J$50000,"评审",缺陷明细!$AB$2:$AB$50000,"&lt;&gt;丢弃",缺陷明细!$AB$2:$AB$50000,"&lt;&gt;设计如此",缺陷明细!$AB$2:$AB$50000,"&lt;&gt;重复Bug")</f>
        <v>0</v>
      </c>
      <c r="I31" s="154">
        <f>COUNTIFS(缺陷明细!$A$2:$A$50000,$B$4,缺陷明细!$G$2:$G$50000,$C31,缺陷明细!$Q$2:$Q$50000,"已关闭",缺陷明细!$J$2:$J$50000,"评审")</f>
        <v>0</v>
      </c>
      <c r="J31" s="154">
        <f>COUNTIFS(缺陷明细!$A$2:$A$50000,$B$4,缺陷明细!$G$2:$G$50000,$C31,缺陷明细!$J$2:$J$50000,"单元测试",缺陷明细!$AB$2:$AB$50000,"&lt;&gt;丢弃",缺陷明细!$AB$2:$AB$50000,"&lt;&gt;设计如此",缺陷明细!$AB$2:$AB$50000,"&lt;&gt;重复Bug")</f>
        <v>0</v>
      </c>
      <c r="K31" s="155">
        <f>COUNTIFS(缺陷明细!$A$2:$A$50000,$B$4,缺陷明细!$G$2:$G$50000,$C31,缺陷明细!$Q$2:$Q$50000,"已关闭",缺陷明细!$J$2:$J$50000,"单元测试")</f>
        <v>0</v>
      </c>
      <c r="L31" s="156"/>
      <c r="M31" s="157"/>
      <c r="N31" s="72">
        <f>COUNTIFS(缺陷明细!$A$2:$A$50000,$B$4,缺陷明细!$G$2:$G$50000,$C31,缺陷明细!$J$2:$J$50000,"系统测试案例评审",缺陷明细!$AB$2:$AB$50000,"&lt;&gt;丢弃",缺陷明细!$AB$2:$AB$50000,"&lt;&gt;设计如此",缺陷明细!$AB$2:$AB$50000,"&lt;&gt;重复Bug")</f>
        <v>0</v>
      </c>
      <c r="O31" s="72">
        <f>COUNTIFS(缺陷明细!$A$2:$A$50000,$B$4,缺陷明细!$G$2:$G$50000,$C31,缺陷明细!$Q$2:$Q$50000,"已关闭",缺陷明细!$J$2:$J$50000,"系统测试案例评审")</f>
        <v>0</v>
      </c>
      <c r="P31" s="72">
        <f>COUNTIFS(缺陷明细!$A$2:$A$50000,$B$4,缺陷明细!$G$2:$G$50000,$C31,缺陷明细!$J$2:$J$50000,"系统测试",缺陷明细!$AB$2:$AB$50000,"&lt;&gt;丢弃",缺陷明细!$AB$2:$AB$50000,"&lt;&gt;设计如此",缺陷明细!$AB$2:$AB$50000,"&lt;&gt;重复Bug")</f>
        <v>0</v>
      </c>
      <c r="Q31" s="72">
        <f>COUNTIFS(缺陷明细!$A$2:$A$50000,$B$4,缺陷明细!$G$2:$G$50000,$C31,缺陷明细!$Q$2:$Q$50000,"已关闭",缺陷明细!$J$2:$J$50000,"系统测试")</f>
        <v>0</v>
      </c>
      <c r="R31" s="296">
        <f>COUNTIFS(缺陷明细!$A$2:$A$50000,$B$4,缺陷明细!$G$2:$G$50000,$C31,缺陷明细!$AB$2:$AB$50000,"丢弃",缺陷明细!$J$2:$J$50000,"系统测试")+COUNTIFS(缺陷明细!$A$2:$A$50000,$B$4,缺陷明细!$G$2:$G$50000,$C31,缺陷明细!$AB$2:$AB$50000,"设计如此",缺陷明细!$J$2:$J$50000,"系统测试")+COUNTIFS(缺陷明细!$A$2:$A$50000,$B$4,缺陷明细!$G$2:$G$50000,$C31,缺陷明细!$AB$2:$AB$50000,"重复Bug",缺陷明细!$J$2:$J$50000,"系统测试")</f>
        <v>0</v>
      </c>
      <c r="S31" s="72">
        <f>COUNTIFS(缺陷明细!$A$2:$A$50000,$B$4,缺陷明细!$G$2:$G$50000,$C31,缺陷明细!$J$2:$J$50000,"系统测试",缺陷明细!$K$2:$K$50000,"致命",缺陷明细!$AB$2:$AB$50000,"&lt;&gt;丢弃",缺陷明细!$AB$2:$AB$50000,"&lt;&gt;设计如此",缺陷明细!$AB$2:$AB$50000,"&lt;&gt;重复Bug")+COUNTIFS(缺陷明细!$A$2:$A$50000,$B$4,缺陷明细!$G$2:$G$50000,$C31,缺陷明细!$J$2:$J$50000,"系统测试",缺陷明细!$K$2:$K$50000,"严重",缺陷明细!$AB$2:$AB$50000,"&lt;&gt;丢弃",缺陷明细!$AB$2:$AB$50000,"&lt;&gt;设计如此",缺陷明细!$AB$2:$AB$50000,"&lt;&gt;重复Bug")</f>
        <v>0</v>
      </c>
      <c r="T31" s="73">
        <f>COUNTIFS(缺陷明细!$A$2:$A$50000,$B$4,缺陷明细!$G$2:$G$50000,$C31,缺陷明细!$Q$2:$Q$50000,"已关闭",缺陷明细!$J$2:$J$50000,"系统测试",缺陷明细!$K$2:$K$50000,"致命")+COUNTIFS(缺陷明细!$A$2:$A$50000,$B$4,缺陷明细!$G$2:$G$50000,$C31,缺陷明细!$Q$2:$Q$50000,"已关闭",缺陷明细!$J$2:$J$50000,"系统测试",缺陷明细!$K$2:$K$50000,"严重")</f>
        <v>0</v>
      </c>
      <c r="U31" s="74">
        <f>COUNTIFS(缺陷明细!$A$2:$A$50000,$B$4,缺陷明细!$G$2:$G$50000,$C31,缺陷明细!$J$2:$J$50000,"验收测试",缺陷明细!$AB$2:$AB$50000,"&lt;&gt;丢弃",缺陷明细!$AB$2:$AB$50000,"&lt;&gt;设计如此",缺陷明细!$AB$2:$AB$50000,"&lt;&gt;重复Bug")</f>
        <v>0</v>
      </c>
      <c r="V31" s="75">
        <f>COUNTIFS(缺陷明细!$A$2:$A$50000,$B$4,缺陷明细!$G$2:$G$50000,$C31,缺陷明细!$Q$2:$Q$50000,"已关闭",缺陷明细!$J$2:$J$50000,"验收测试")</f>
        <v>0</v>
      </c>
      <c r="W31" s="75">
        <f>COUNTIFS(缺陷明细!$A$2:$A$50000,$B$4,缺陷明细!$G$2:$G$50000,$C31,缺陷明细!$J$2:$J$50000,"验收测试",缺陷明细!$K$2:$K$50000,"致命",缺陷明细!$AB$2:$AB$50000,"&lt;&gt;丢弃",缺陷明细!$AB$2:$AB$50000,"&lt;&gt;设计如此",缺陷明细!$AB$2:$AB$50000,"&lt;&gt;重复Bug")+COUNTIFS(缺陷明细!$A$2:$A$50000,$B$4,缺陷明细!$G$2:$G$50000,$C31,缺陷明细!$J$2:$J$50000,"验收测试",缺陷明细!$K$2:$K$50000,"严重",缺陷明细!$AB$2:$AB$50000,"&lt;&gt;丢弃",缺陷明细!$AB$2:$AB$50000,"&lt;&gt;设计如此",缺陷明细!$AB$2:$AB$50000,"&lt;&gt;重复Bug")</f>
        <v>0</v>
      </c>
      <c r="X31" s="76">
        <f>COUNTIFS(缺陷明细!$A$2:$A$50000,$B$4,缺陷明细!$G$2:$G$50000,$C31,缺陷明细!$Q$2:$Q$50000,"已关闭",缺陷明细!$J$2:$J$50000,"验收测试",缺陷明细!$K$2:$K$50000,"致命")+COUNTIFS(缺陷明细!$A$2:$A$50000,$B$4,缺陷明细!$G$2:$G$50000,$C31,缺陷明细!$Q$2:$Q$50000,"已关闭",缺陷明细!$J$2:$J$50000,"验收测试",缺陷明细!$K$2:$K$50000,"严重")</f>
        <v>0</v>
      </c>
      <c r="Y31" s="70">
        <f>COUNTIFS(缺陷明细!$A$2:$A$50000,$B$4,缺陷明细!$G$2:$G$50000,$C31,缺陷明细!$J$2:$J$50000,"运维测试",缺陷明细!$AB$2:$AB$50000,"&lt;&gt;丢弃",缺陷明细!$AB$2:$AB$50000,"&lt;&gt;设计如此",缺陷明细!$AB$2:$AB$50000,"&lt;&gt;重复Bug")</f>
        <v>0</v>
      </c>
      <c r="Z31" s="71">
        <f>COUNTIFS(缺陷明细!$A$2:$A$50000,$B$4,缺陷明细!$G$2:$G$50000,$C31,缺陷明细!$Q$2:$Q$50000,"已关闭",缺陷明细!$J$2:$J$50000,"运维测试")</f>
        <v>0</v>
      </c>
      <c r="AA31" s="72">
        <f>COUNTIFS(缺陷明细!$A$2:$A$50000,$B$4,缺陷明细!$G$2:$G$50000,$C31,缺陷明细!$J$2:$J$50000,"运维测试",缺陷明细!$K$2:$K$50000,"致命",缺陷明细!$AB$2:$AB$50000,"&lt;&gt;丢弃",缺陷明细!$AB$2:$AB$50000,"&lt;&gt;设计如此",缺陷明细!$AB$2:$AB$50000,"&lt;&gt;重复Bug")+COUNTIFS(缺陷明细!$A$2:$A$50000,$B$4,缺陷明细!$G$2:$G$50000,$C31,缺陷明细!$J$2:$J$50000,"运维测试",缺陷明细!$K$2:$K$50000,"严重",缺陷明细!$AB$2:$AB$50000,"&lt;&gt;丢弃",缺陷明细!$AB$2:$AB$50000,"&lt;&gt;设计如此",缺陷明细!$AB$2:$AB$50000,"&lt;&gt;重复Bug")</f>
        <v>0</v>
      </c>
      <c r="AB31" s="73">
        <f>COUNTIFS(缺陷明细!$A$2:$A$50000,$B$4,缺陷明细!$G$2:$G$50000,$C31,缺陷明细!$Q$2:$Q$50000,"已关闭",缺陷明细!$J$2:$J$50000,"运维测试",缺陷明细!$K$2:$K$50000,"致命")+COUNTIFS(缺陷明细!$A$2:$A$50000,$B$4,缺陷明细!$G$2:$G$50000,$C31,缺陷明细!$Q$2:$Q$50000,"已关闭",缺陷明细!$J$2:$J$50000,"运维测试",缺陷明细!$K$2:$K$50000,"严重")</f>
        <v>0</v>
      </c>
      <c r="AC31" s="68">
        <f t="shared" si="0"/>
        <v>0</v>
      </c>
      <c r="AD31" s="60">
        <f t="shared" si="0"/>
        <v>0</v>
      </c>
      <c r="AE31" s="60">
        <f t="shared" si="1"/>
        <v>0</v>
      </c>
      <c r="AF31" s="60">
        <f t="shared" si="1"/>
        <v>0</v>
      </c>
      <c r="AG31" s="60">
        <f t="shared" si="2"/>
        <v>0</v>
      </c>
      <c r="AH31" s="60">
        <f t="shared" si="2"/>
        <v>0</v>
      </c>
      <c r="AI31" s="60">
        <f t="shared" si="3"/>
        <v>0</v>
      </c>
      <c r="AJ31" s="61">
        <f t="shared" si="3"/>
        <v>0</v>
      </c>
      <c r="AK31" s="144"/>
    </row>
    <row r="32" spans="1:37">
      <c r="A32">
        <v>28</v>
      </c>
      <c r="B32" s="57"/>
      <c r="C32" s="58"/>
      <c r="D32" s="84"/>
      <c r="E32" s="82"/>
      <c r="F32" s="158"/>
      <c r="G32" s="159"/>
      <c r="H32" s="281">
        <f>COUNTIFS(缺陷明细!$A$2:$A$50000,$B$4,缺陷明细!$G$2:$G$50000,$C32,缺陷明细!$J$2:$J$50000,"评审",缺陷明细!$AB$2:$AB$50000,"&lt;&gt;丢弃",缺陷明细!$AB$2:$AB$50000,"&lt;&gt;设计如此",缺陷明细!$AB$2:$AB$50000,"&lt;&gt;重复Bug")</f>
        <v>0</v>
      </c>
      <c r="I32" s="154">
        <f>COUNTIFS(缺陷明细!$A$2:$A$50000,$B$4,缺陷明细!$G$2:$G$50000,$C32,缺陷明细!$Q$2:$Q$50000,"已关闭",缺陷明细!$J$2:$J$50000,"评审")</f>
        <v>0</v>
      </c>
      <c r="J32" s="154">
        <f>COUNTIFS(缺陷明细!$A$2:$A$50000,$B$4,缺陷明细!$G$2:$G$50000,$C32,缺陷明细!$J$2:$J$50000,"单元测试",缺陷明细!$AB$2:$AB$50000,"&lt;&gt;丢弃",缺陷明细!$AB$2:$AB$50000,"&lt;&gt;设计如此",缺陷明细!$AB$2:$AB$50000,"&lt;&gt;重复Bug")</f>
        <v>0</v>
      </c>
      <c r="K32" s="155">
        <f>COUNTIFS(缺陷明细!$A$2:$A$50000,$B$4,缺陷明细!$G$2:$G$50000,$C32,缺陷明细!$Q$2:$Q$50000,"已关闭",缺陷明细!$J$2:$J$50000,"单元测试")</f>
        <v>0</v>
      </c>
      <c r="L32" s="156"/>
      <c r="M32" s="157"/>
      <c r="N32" s="72">
        <f>COUNTIFS(缺陷明细!$A$2:$A$50000,$B$4,缺陷明细!$G$2:$G$50000,$C32,缺陷明细!$J$2:$J$50000,"系统测试案例评审",缺陷明细!$AB$2:$AB$50000,"&lt;&gt;丢弃",缺陷明细!$AB$2:$AB$50000,"&lt;&gt;设计如此",缺陷明细!$AB$2:$AB$50000,"&lt;&gt;重复Bug")</f>
        <v>0</v>
      </c>
      <c r="O32" s="72">
        <f>COUNTIFS(缺陷明细!$A$2:$A$50000,$B$4,缺陷明细!$G$2:$G$50000,$C32,缺陷明细!$Q$2:$Q$50000,"已关闭",缺陷明细!$J$2:$J$50000,"系统测试案例评审")</f>
        <v>0</v>
      </c>
      <c r="P32" s="72">
        <f>COUNTIFS(缺陷明细!$A$2:$A$50000,$B$4,缺陷明细!$G$2:$G$50000,$C32,缺陷明细!$J$2:$J$50000,"系统测试",缺陷明细!$AB$2:$AB$50000,"&lt;&gt;丢弃",缺陷明细!$AB$2:$AB$50000,"&lt;&gt;设计如此",缺陷明细!$AB$2:$AB$50000,"&lt;&gt;重复Bug")</f>
        <v>0</v>
      </c>
      <c r="Q32" s="72">
        <f>COUNTIFS(缺陷明细!$A$2:$A$50000,$B$4,缺陷明细!$G$2:$G$50000,$C32,缺陷明细!$Q$2:$Q$50000,"已关闭",缺陷明细!$J$2:$J$50000,"系统测试")</f>
        <v>0</v>
      </c>
      <c r="R32" s="296">
        <f>COUNTIFS(缺陷明细!$A$2:$A$50000,$B$4,缺陷明细!$G$2:$G$50000,$C32,缺陷明细!$AB$2:$AB$50000,"丢弃",缺陷明细!$J$2:$J$50000,"系统测试")+COUNTIFS(缺陷明细!$A$2:$A$50000,$B$4,缺陷明细!$G$2:$G$50000,$C32,缺陷明细!$AB$2:$AB$50000,"设计如此",缺陷明细!$J$2:$J$50000,"系统测试")+COUNTIFS(缺陷明细!$A$2:$A$50000,$B$4,缺陷明细!$G$2:$G$50000,$C32,缺陷明细!$AB$2:$AB$50000,"重复Bug",缺陷明细!$J$2:$J$50000,"系统测试")</f>
        <v>0</v>
      </c>
      <c r="S32" s="72">
        <f>COUNTIFS(缺陷明细!$A$2:$A$50000,$B$4,缺陷明细!$G$2:$G$50000,$C32,缺陷明细!$J$2:$J$50000,"系统测试",缺陷明细!$K$2:$K$50000,"致命",缺陷明细!$AB$2:$AB$50000,"&lt;&gt;丢弃",缺陷明细!$AB$2:$AB$50000,"&lt;&gt;设计如此",缺陷明细!$AB$2:$AB$50000,"&lt;&gt;重复Bug")+COUNTIFS(缺陷明细!$A$2:$A$50000,$B$4,缺陷明细!$G$2:$G$50000,$C32,缺陷明细!$J$2:$J$50000,"系统测试",缺陷明细!$K$2:$K$50000,"严重",缺陷明细!$AB$2:$AB$50000,"&lt;&gt;丢弃",缺陷明细!$AB$2:$AB$50000,"&lt;&gt;设计如此",缺陷明细!$AB$2:$AB$50000,"&lt;&gt;重复Bug")</f>
        <v>0</v>
      </c>
      <c r="T32" s="73">
        <f>COUNTIFS(缺陷明细!$A$2:$A$50000,$B$4,缺陷明细!$G$2:$G$50000,$C32,缺陷明细!$Q$2:$Q$50000,"已关闭",缺陷明细!$J$2:$J$50000,"系统测试",缺陷明细!$K$2:$K$50000,"致命")+COUNTIFS(缺陷明细!$A$2:$A$50000,$B$4,缺陷明细!$G$2:$G$50000,$C32,缺陷明细!$Q$2:$Q$50000,"已关闭",缺陷明细!$J$2:$J$50000,"系统测试",缺陷明细!$K$2:$K$50000,"严重")</f>
        <v>0</v>
      </c>
      <c r="U32" s="74">
        <f>COUNTIFS(缺陷明细!$A$2:$A$50000,$B$4,缺陷明细!$G$2:$G$50000,$C32,缺陷明细!$J$2:$J$50000,"验收测试",缺陷明细!$AB$2:$AB$50000,"&lt;&gt;丢弃",缺陷明细!$AB$2:$AB$50000,"&lt;&gt;设计如此",缺陷明细!$AB$2:$AB$50000,"&lt;&gt;重复Bug")</f>
        <v>0</v>
      </c>
      <c r="V32" s="75">
        <f>COUNTIFS(缺陷明细!$A$2:$A$50000,$B$4,缺陷明细!$G$2:$G$50000,$C32,缺陷明细!$Q$2:$Q$50000,"已关闭",缺陷明细!$J$2:$J$50000,"验收测试")</f>
        <v>0</v>
      </c>
      <c r="W32" s="75">
        <f>COUNTIFS(缺陷明细!$A$2:$A$50000,$B$4,缺陷明细!$G$2:$G$50000,$C32,缺陷明细!$J$2:$J$50000,"验收测试",缺陷明细!$K$2:$K$50000,"致命",缺陷明细!$AB$2:$AB$50000,"&lt;&gt;丢弃",缺陷明细!$AB$2:$AB$50000,"&lt;&gt;设计如此",缺陷明细!$AB$2:$AB$50000,"&lt;&gt;重复Bug")+COUNTIFS(缺陷明细!$A$2:$A$50000,$B$4,缺陷明细!$G$2:$G$50000,$C32,缺陷明细!$J$2:$J$50000,"验收测试",缺陷明细!$K$2:$K$50000,"严重",缺陷明细!$AB$2:$AB$50000,"&lt;&gt;丢弃",缺陷明细!$AB$2:$AB$50000,"&lt;&gt;设计如此",缺陷明细!$AB$2:$AB$50000,"&lt;&gt;重复Bug")</f>
        <v>0</v>
      </c>
      <c r="X32" s="76">
        <f>COUNTIFS(缺陷明细!$A$2:$A$50000,$B$4,缺陷明细!$G$2:$G$50000,$C32,缺陷明细!$Q$2:$Q$50000,"已关闭",缺陷明细!$J$2:$J$50000,"验收测试",缺陷明细!$K$2:$K$50000,"致命")+COUNTIFS(缺陷明细!$A$2:$A$50000,$B$4,缺陷明细!$G$2:$G$50000,$C32,缺陷明细!$Q$2:$Q$50000,"已关闭",缺陷明细!$J$2:$J$50000,"验收测试",缺陷明细!$K$2:$K$50000,"严重")</f>
        <v>0</v>
      </c>
      <c r="Y32" s="70">
        <f>COUNTIFS(缺陷明细!$A$2:$A$50000,$B$4,缺陷明细!$G$2:$G$50000,$C32,缺陷明细!$J$2:$J$50000,"运维测试",缺陷明细!$AB$2:$AB$50000,"&lt;&gt;丢弃",缺陷明细!$AB$2:$AB$50000,"&lt;&gt;设计如此",缺陷明细!$AB$2:$AB$50000,"&lt;&gt;重复Bug")</f>
        <v>0</v>
      </c>
      <c r="Z32" s="71">
        <f>COUNTIFS(缺陷明细!$A$2:$A$50000,$B$4,缺陷明细!$G$2:$G$50000,$C32,缺陷明细!$Q$2:$Q$50000,"已关闭",缺陷明细!$J$2:$J$50000,"运维测试")</f>
        <v>0</v>
      </c>
      <c r="AA32" s="72">
        <f>COUNTIFS(缺陷明细!$A$2:$A$50000,$B$4,缺陷明细!$G$2:$G$50000,$C32,缺陷明细!$J$2:$J$50000,"运维测试",缺陷明细!$K$2:$K$50000,"致命",缺陷明细!$AB$2:$AB$50000,"&lt;&gt;丢弃",缺陷明细!$AB$2:$AB$50000,"&lt;&gt;设计如此",缺陷明细!$AB$2:$AB$50000,"&lt;&gt;重复Bug")+COUNTIFS(缺陷明细!$A$2:$A$50000,$B$4,缺陷明细!$G$2:$G$50000,$C32,缺陷明细!$J$2:$J$50000,"运维测试",缺陷明细!$K$2:$K$50000,"严重",缺陷明细!$AB$2:$AB$50000,"&lt;&gt;丢弃",缺陷明细!$AB$2:$AB$50000,"&lt;&gt;设计如此",缺陷明细!$AB$2:$AB$50000,"&lt;&gt;重复Bug")</f>
        <v>0</v>
      </c>
      <c r="AB32" s="73">
        <f>COUNTIFS(缺陷明细!$A$2:$A$50000,$B$4,缺陷明细!$G$2:$G$50000,$C32,缺陷明细!$Q$2:$Q$50000,"已关闭",缺陷明细!$J$2:$J$50000,"运维测试",缺陷明细!$K$2:$K$50000,"致命")+COUNTIFS(缺陷明细!$A$2:$A$50000,$B$4,缺陷明细!$G$2:$G$50000,$C32,缺陷明细!$Q$2:$Q$50000,"已关闭",缺陷明细!$J$2:$J$50000,"运维测试",缺陷明细!$K$2:$K$50000,"严重")</f>
        <v>0</v>
      </c>
      <c r="AC32" s="68">
        <f t="shared" si="0"/>
        <v>0</v>
      </c>
      <c r="AD32" s="60">
        <f t="shared" si="0"/>
        <v>0</v>
      </c>
      <c r="AE32" s="60">
        <f t="shared" si="1"/>
        <v>0</v>
      </c>
      <c r="AF32" s="60">
        <f t="shared" si="1"/>
        <v>0</v>
      </c>
      <c r="AG32" s="60">
        <f t="shared" si="2"/>
        <v>0</v>
      </c>
      <c r="AH32" s="60">
        <f t="shared" si="2"/>
        <v>0</v>
      </c>
      <c r="AI32" s="60">
        <f t="shared" si="3"/>
        <v>0</v>
      </c>
      <c r="AJ32" s="61">
        <f t="shared" si="3"/>
        <v>0</v>
      </c>
      <c r="AK32" s="144"/>
    </row>
    <row r="33" spans="1:37">
      <c r="A33">
        <v>29</v>
      </c>
      <c r="B33" s="57"/>
      <c r="C33" s="58"/>
      <c r="D33" s="84"/>
      <c r="E33" s="82"/>
      <c r="F33" s="158"/>
      <c r="G33" s="159"/>
      <c r="H33" s="281">
        <f>COUNTIFS(缺陷明细!$A$2:$A$50000,$B$4,缺陷明细!$G$2:$G$50000,$C33,缺陷明细!$J$2:$J$50000,"评审",缺陷明细!$AB$2:$AB$50000,"&lt;&gt;丢弃",缺陷明细!$AB$2:$AB$50000,"&lt;&gt;设计如此",缺陷明细!$AB$2:$AB$50000,"&lt;&gt;重复Bug")</f>
        <v>0</v>
      </c>
      <c r="I33" s="154">
        <f>COUNTIFS(缺陷明细!$A$2:$A$50000,$B$4,缺陷明细!$G$2:$G$50000,$C33,缺陷明细!$Q$2:$Q$50000,"已关闭",缺陷明细!$J$2:$J$50000,"评审")</f>
        <v>0</v>
      </c>
      <c r="J33" s="154">
        <f>COUNTIFS(缺陷明细!$A$2:$A$50000,$B$4,缺陷明细!$G$2:$G$50000,$C33,缺陷明细!$J$2:$J$50000,"单元测试",缺陷明细!$AB$2:$AB$50000,"&lt;&gt;丢弃",缺陷明细!$AB$2:$AB$50000,"&lt;&gt;设计如此",缺陷明细!$AB$2:$AB$50000,"&lt;&gt;重复Bug")</f>
        <v>0</v>
      </c>
      <c r="K33" s="155">
        <f>COUNTIFS(缺陷明细!$A$2:$A$50000,$B$4,缺陷明细!$G$2:$G$50000,$C33,缺陷明细!$Q$2:$Q$50000,"已关闭",缺陷明细!$J$2:$J$50000,"单元测试")</f>
        <v>0</v>
      </c>
      <c r="L33" s="156"/>
      <c r="M33" s="157"/>
      <c r="N33" s="72">
        <f>COUNTIFS(缺陷明细!$A$2:$A$50000,$B$4,缺陷明细!$G$2:$G$50000,$C33,缺陷明细!$J$2:$J$50000,"系统测试案例评审",缺陷明细!$AB$2:$AB$50000,"&lt;&gt;丢弃",缺陷明细!$AB$2:$AB$50000,"&lt;&gt;设计如此",缺陷明细!$AB$2:$AB$50000,"&lt;&gt;重复Bug")</f>
        <v>0</v>
      </c>
      <c r="O33" s="72">
        <f>COUNTIFS(缺陷明细!$A$2:$A$50000,$B$4,缺陷明细!$G$2:$G$50000,$C33,缺陷明细!$Q$2:$Q$50000,"已关闭",缺陷明细!$J$2:$J$50000,"系统测试案例评审")</f>
        <v>0</v>
      </c>
      <c r="P33" s="72">
        <f>COUNTIFS(缺陷明细!$A$2:$A$50000,$B$4,缺陷明细!$G$2:$G$50000,$C33,缺陷明细!$J$2:$J$50000,"系统测试",缺陷明细!$AB$2:$AB$50000,"&lt;&gt;丢弃",缺陷明细!$AB$2:$AB$50000,"&lt;&gt;设计如此",缺陷明细!$AB$2:$AB$50000,"&lt;&gt;重复Bug")</f>
        <v>0</v>
      </c>
      <c r="Q33" s="72">
        <f>COUNTIFS(缺陷明细!$A$2:$A$50000,$B$4,缺陷明细!$G$2:$G$50000,$C33,缺陷明细!$Q$2:$Q$50000,"已关闭",缺陷明细!$J$2:$J$50000,"系统测试")</f>
        <v>0</v>
      </c>
      <c r="R33" s="296">
        <f>COUNTIFS(缺陷明细!$A$2:$A$50000,$B$4,缺陷明细!$G$2:$G$50000,$C33,缺陷明细!$AB$2:$AB$50000,"丢弃",缺陷明细!$J$2:$J$50000,"系统测试")+COUNTIFS(缺陷明细!$A$2:$A$50000,$B$4,缺陷明细!$G$2:$G$50000,$C33,缺陷明细!$AB$2:$AB$50000,"设计如此",缺陷明细!$J$2:$J$50000,"系统测试")+COUNTIFS(缺陷明细!$A$2:$A$50000,$B$4,缺陷明细!$G$2:$G$50000,$C33,缺陷明细!$AB$2:$AB$50000,"重复Bug",缺陷明细!$J$2:$J$50000,"系统测试")</f>
        <v>0</v>
      </c>
      <c r="S33" s="72">
        <f>COUNTIFS(缺陷明细!$A$2:$A$50000,$B$4,缺陷明细!$G$2:$G$50000,$C33,缺陷明细!$J$2:$J$50000,"系统测试",缺陷明细!$K$2:$K$50000,"致命",缺陷明细!$AB$2:$AB$50000,"&lt;&gt;丢弃",缺陷明细!$AB$2:$AB$50000,"&lt;&gt;设计如此",缺陷明细!$AB$2:$AB$50000,"&lt;&gt;重复Bug")+COUNTIFS(缺陷明细!$A$2:$A$50000,$B$4,缺陷明细!$G$2:$G$50000,$C33,缺陷明细!$J$2:$J$50000,"系统测试",缺陷明细!$K$2:$K$50000,"严重",缺陷明细!$AB$2:$AB$50000,"&lt;&gt;丢弃",缺陷明细!$AB$2:$AB$50000,"&lt;&gt;设计如此",缺陷明细!$AB$2:$AB$50000,"&lt;&gt;重复Bug")</f>
        <v>0</v>
      </c>
      <c r="T33" s="73">
        <f>COUNTIFS(缺陷明细!$A$2:$A$50000,$B$4,缺陷明细!$G$2:$G$50000,$C33,缺陷明细!$Q$2:$Q$50000,"已关闭",缺陷明细!$J$2:$J$50000,"系统测试",缺陷明细!$K$2:$K$50000,"致命")+COUNTIFS(缺陷明细!$A$2:$A$50000,$B$4,缺陷明细!$G$2:$G$50000,$C33,缺陷明细!$Q$2:$Q$50000,"已关闭",缺陷明细!$J$2:$J$50000,"系统测试",缺陷明细!$K$2:$K$50000,"严重")</f>
        <v>0</v>
      </c>
      <c r="U33" s="74">
        <f>COUNTIFS(缺陷明细!$A$2:$A$50000,$B$4,缺陷明细!$G$2:$G$50000,$C33,缺陷明细!$J$2:$J$50000,"验收测试",缺陷明细!$AB$2:$AB$50000,"&lt;&gt;丢弃",缺陷明细!$AB$2:$AB$50000,"&lt;&gt;设计如此",缺陷明细!$AB$2:$AB$50000,"&lt;&gt;重复Bug")</f>
        <v>0</v>
      </c>
      <c r="V33" s="75">
        <f>COUNTIFS(缺陷明细!$A$2:$A$50000,$B$4,缺陷明细!$G$2:$G$50000,$C33,缺陷明细!$Q$2:$Q$50000,"已关闭",缺陷明细!$J$2:$J$50000,"验收测试")</f>
        <v>0</v>
      </c>
      <c r="W33" s="75">
        <f>COUNTIFS(缺陷明细!$A$2:$A$50000,$B$4,缺陷明细!$G$2:$G$50000,$C33,缺陷明细!$J$2:$J$50000,"验收测试",缺陷明细!$K$2:$K$50000,"致命",缺陷明细!$AB$2:$AB$50000,"&lt;&gt;丢弃",缺陷明细!$AB$2:$AB$50000,"&lt;&gt;设计如此",缺陷明细!$AB$2:$AB$50000,"&lt;&gt;重复Bug")+COUNTIFS(缺陷明细!$A$2:$A$50000,$B$4,缺陷明细!$G$2:$G$50000,$C33,缺陷明细!$J$2:$J$50000,"验收测试",缺陷明细!$K$2:$K$50000,"严重",缺陷明细!$AB$2:$AB$50000,"&lt;&gt;丢弃",缺陷明细!$AB$2:$AB$50000,"&lt;&gt;设计如此",缺陷明细!$AB$2:$AB$50000,"&lt;&gt;重复Bug")</f>
        <v>0</v>
      </c>
      <c r="X33" s="76">
        <f>COUNTIFS(缺陷明细!$A$2:$A$50000,$B$4,缺陷明细!$G$2:$G$50000,$C33,缺陷明细!$Q$2:$Q$50000,"已关闭",缺陷明细!$J$2:$J$50000,"验收测试",缺陷明细!$K$2:$K$50000,"致命")+COUNTIFS(缺陷明细!$A$2:$A$50000,$B$4,缺陷明细!$G$2:$G$50000,$C33,缺陷明细!$Q$2:$Q$50000,"已关闭",缺陷明细!$J$2:$J$50000,"验收测试",缺陷明细!$K$2:$K$50000,"严重")</f>
        <v>0</v>
      </c>
      <c r="Y33" s="70">
        <f>COUNTIFS(缺陷明细!$A$2:$A$50000,$B$4,缺陷明细!$G$2:$G$50000,$C33,缺陷明细!$J$2:$J$50000,"运维测试",缺陷明细!$AB$2:$AB$50000,"&lt;&gt;丢弃",缺陷明细!$AB$2:$AB$50000,"&lt;&gt;设计如此",缺陷明细!$AB$2:$AB$50000,"&lt;&gt;重复Bug")</f>
        <v>0</v>
      </c>
      <c r="Z33" s="71">
        <f>COUNTIFS(缺陷明细!$A$2:$A$50000,$B$4,缺陷明细!$G$2:$G$50000,$C33,缺陷明细!$Q$2:$Q$50000,"已关闭",缺陷明细!$J$2:$J$50000,"运维测试")</f>
        <v>0</v>
      </c>
      <c r="AA33" s="72">
        <f>COUNTIFS(缺陷明细!$A$2:$A$50000,$B$4,缺陷明细!$G$2:$G$50000,$C33,缺陷明细!$J$2:$J$50000,"运维测试",缺陷明细!$K$2:$K$50000,"致命",缺陷明细!$AB$2:$AB$50000,"&lt;&gt;丢弃",缺陷明细!$AB$2:$AB$50000,"&lt;&gt;设计如此",缺陷明细!$AB$2:$AB$50000,"&lt;&gt;重复Bug")+COUNTIFS(缺陷明细!$A$2:$A$50000,$B$4,缺陷明细!$G$2:$G$50000,$C33,缺陷明细!$J$2:$J$50000,"运维测试",缺陷明细!$K$2:$K$50000,"严重",缺陷明细!$AB$2:$AB$50000,"&lt;&gt;丢弃",缺陷明细!$AB$2:$AB$50000,"&lt;&gt;设计如此",缺陷明细!$AB$2:$AB$50000,"&lt;&gt;重复Bug")</f>
        <v>0</v>
      </c>
      <c r="AB33" s="73">
        <f>COUNTIFS(缺陷明细!$A$2:$A$50000,$B$4,缺陷明细!$G$2:$G$50000,$C33,缺陷明细!$Q$2:$Q$50000,"已关闭",缺陷明细!$J$2:$J$50000,"运维测试",缺陷明细!$K$2:$K$50000,"致命")+COUNTIFS(缺陷明细!$A$2:$A$50000,$B$4,缺陷明细!$G$2:$G$50000,$C33,缺陷明细!$Q$2:$Q$50000,"已关闭",缺陷明细!$J$2:$J$50000,"运维测试",缺陷明细!$K$2:$K$50000,"严重")</f>
        <v>0</v>
      </c>
      <c r="AC33" s="68">
        <f t="shared" si="0"/>
        <v>0</v>
      </c>
      <c r="AD33" s="60">
        <f t="shared" si="0"/>
        <v>0</v>
      </c>
      <c r="AE33" s="60">
        <f t="shared" si="1"/>
        <v>0</v>
      </c>
      <c r="AF33" s="60">
        <f t="shared" si="1"/>
        <v>0</v>
      </c>
      <c r="AG33" s="60">
        <f t="shared" si="2"/>
        <v>0</v>
      </c>
      <c r="AH33" s="60">
        <f t="shared" si="2"/>
        <v>0</v>
      </c>
      <c r="AI33" s="60">
        <f t="shared" si="3"/>
        <v>0</v>
      </c>
      <c r="AJ33" s="61">
        <f t="shared" si="3"/>
        <v>0</v>
      </c>
      <c r="AK33" s="144"/>
    </row>
    <row r="34" spans="1:37">
      <c r="A34">
        <v>30</v>
      </c>
      <c r="B34" s="57"/>
      <c r="C34" s="58"/>
      <c r="D34" s="84"/>
      <c r="E34" s="82"/>
      <c r="F34" s="158"/>
      <c r="G34" s="159"/>
      <c r="H34" s="281">
        <f>COUNTIFS(缺陷明细!$A$2:$A$50000,$B$4,缺陷明细!$G$2:$G$50000,$C34,缺陷明细!$J$2:$J$50000,"评审",缺陷明细!$AB$2:$AB$50000,"&lt;&gt;丢弃",缺陷明细!$AB$2:$AB$50000,"&lt;&gt;设计如此",缺陷明细!$AB$2:$AB$50000,"&lt;&gt;重复Bug")</f>
        <v>0</v>
      </c>
      <c r="I34" s="154">
        <f>COUNTIFS(缺陷明细!$A$2:$A$50000,$B$4,缺陷明细!$G$2:$G$50000,$C34,缺陷明细!$Q$2:$Q$50000,"已关闭",缺陷明细!$J$2:$J$50000,"评审")</f>
        <v>0</v>
      </c>
      <c r="J34" s="154">
        <f>COUNTIFS(缺陷明细!$A$2:$A$50000,$B$4,缺陷明细!$G$2:$G$50000,$C34,缺陷明细!$J$2:$J$50000,"单元测试",缺陷明细!$AB$2:$AB$50000,"&lt;&gt;丢弃",缺陷明细!$AB$2:$AB$50000,"&lt;&gt;设计如此",缺陷明细!$AB$2:$AB$50000,"&lt;&gt;重复Bug")</f>
        <v>0</v>
      </c>
      <c r="K34" s="155">
        <f>COUNTIFS(缺陷明细!$A$2:$A$50000,$B$4,缺陷明细!$G$2:$G$50000,$C34,缺陷明细!$Q$2:$Q$50000,"已关闭",缺陷明细!$J$2:$J$50000,"单元测试")</f>
        <v>0</v>
      </c>
      <c r="L34" s="156"/>
      <c r="M34" s="157"/>
      <c r="N34" s="72">
        <f>COUNTIFS(缺陷明细!$A$2:$A$50000,$B$4,缺陷明细!$G$2:$G$50000,$C34,缺陷明细!$J$2:$J$50000,"系统测试案例评审",缺陷明细!$AB$2:$AB$50000,"&lt;&gt;丢弃",缺陷明细!$AB$2:$AB$50000,"&lt;&gt;设计如此",缺陷明细!$AB$2:$AB$50000,"&lt;&gt;重复Bug")</f>
        <v>0</v>
      </c>
      <c r="O34" s="72">
        <f>COUNTIFS(缺陷明细!$A$2:$A$50000,$B$4,缺陷明细!$G$2:$G$50000,$C34,缺陷明细!$Q$2:$Q$50000,"已关闭",缺陷明细!$J$2:$J$50000,"系统测试案例评审")</f>
        <v>0</v>
      </c>
      <c r="P34" s="72">
        <f>COUNTIFS(缺陷明细!$A$2:$A$50000,$B$4,缺陷明细!$G$2:$G$50000,$C34,缺陷明细!$J$2:$J$50000,"系统测试",缺陷明细!$AB$2:$AB$50000,"&lt;&gt;丢弃",缺陷明细!$AB$2:$AB$50000,"&lt;&gt;设计如此",缺陷明细!$AB$2:$AB$50000,"&lt;&gt;重复Bug")</f>
        <v>0</v>
      </c>
      <c r="Q34" s="72">
        <f>COUNTIFS(缺陷明细!$A$2:$A$50000,$B$4,缺陷明细!$G$2:$G$50000,$C34,缺陷明细!$Q$2:$Q$50000,"已关闭",缺陷明细!$J$2:$J$50000,"系统测试")</f>
        <v>0</v>
      </c>
      <c r="R34" s="296">
        <f>COUNTIFS(缺陷明细!$A$2:$A$50000,$B$4,缺陷明细!$G$2:$G$50000,$C34,缺陷明细!$AB$2:$AB$50000,"丢弃",缺陷明细!$J$2:$J$50000,"系统测试")+COUNTIFS(缺陷明细!$A$2:$A$50000,$B$4,缺陷明细!$G$2:$G$50000,$C34,缺陷明细!$AB$2:$AB$50000,"设计如此",缺陷明细!$J$2:$J$50000,"系统测试")+COUNTIFS(缺陷明细!$A$2:$A$50000,$B$4,缺陷明细!$G$2:$G$50000,$C34,缺陷明细!$AB$2:$AB$50000,"重复Bug",缺陷明细!$J$2:$J$50000,"系统测试")</f>
        <v>0</v>
      </c>
      <c r="S34" s="72">
        <f>COUNTIFS(缺陷明细!$A$2:$A$50000,$B$4,缺陷明细!$G$2:$G$50000,$C34,缺陷明细!$J$2:$J$50000,"系统测试",缺陷明细!$K$2:$K$50000,"致命",缺陷明细!$AB$2:$AB$50000,"&lt;&gt;丢弃",缺陷明细!$AB$2:$AB$50000,"&lt;&gt;设计如此",缺陷明细!$AB$2:$AB$50000,"&lt;&gt;重复Bug")+COUNTIFS(缺陷明细!$A$2:$A$50000,$B$4,缺陷明细!$G$2:$G$50000,$C34,缺陷明细!$J$2:$J$50000,"系统测试",缺陷明细!$K$2:$K$50000,"严重",缺陷明细!$AB$2:$AB$50000,"&lt;&gt;丢弃",缺陷明细!$AB$2:$AB$50000,"&lt;&gt;设计如此",缺陷明细!$AB$2:$AB$50000,"&lt;&gt;重复Bug")</f>
        <v>0</v>
      </c>
      <c r="T34" s="73">
        <f>COUNTIFS(缺陷明细!$A$2:$A$50000,$B$4,缺陷明细!$G$2:$G$50000,$C34,缺陷明细!$Q$2:$Q$50000,"已关闭",缺陷明细!$J$2:$J$50000,"系统测试",缺陷明细!$K$2:$K$50000,"致命")+COUNTIFS(缺陷明细!$A$2:$A$50000,$B$4,缺陷明细!$G$2:$G$50000,$C34,缺陷明细!$Q$2:$Q$50000,"已关闭",缺陷明细!$J$2:$J$50000,"系统测试",缺陷明细!$K$2:$K$50000,"严重")</f>
        <v>0</v>
      </c>
      <c r="U34" s="74">
        <f>COUNTIFS(缺陷明细!$A$2:$A$50000,$B$4,缺陷明细!$G$2:$G$50000,$C34,缺陷明细!$J$2:$J$50000,"验收测试",缺陷明细!$AB$2:$AB$50000,"&lt;&gt;丢弃",缺陷明细!$AB$2:$AB$50000,"&lt;&gt;设计如此",缺陷明细!$AB$2:$AB$50000,"&lt;&gt;重复Bug")</f>
        <v>0</v>
      </c>
      <c r="V34" s="75">
        <f>COUNTIFS(缺陷明细!$A$2:$A$50000,$B$4,缺陷明细!$G$2:$G$50000,$C34,缺陷明细!$Q$2:$Q$50000,"已关闭",缺陷明细!$J$2:$J$50000,"验收测试")</f>
        <v>0</v>
      </c>
      <c r="W34" s="75">
        <f>COUNTIFS(缺陷明细!$A$2:$A$50000,$B$4,缺陷明细!$G$2:$G$50000,$C34,缺陷明细!$J$2:$J$50000,"验收测试",缺陷明细!$K$2:$K$50000,"致命",缺陷明细!$AB$2:$AB$50000,"&lt;&gt;丢弃",缺陷明细!$AB$2:$AB$50000,"&lt;&gt;设计如此",缺陷明细!$AB$2:$AB$50000,"&lt;&gt;重复Bug")+COUNTIFS(缺陷明细!$A$2:$A$50000,$B$4,缺陷明细!$G$2:$G$50000,$C34,缺陷明细!$J$2:$J$50000,"验收测试",缺陷明细!$K$2:$K$50000,"严重",缺陷明细!$AB$2:$AB$50000,"&lt;&gt;丢弃",缺陷明细!$AB$2:$AB$50000,"&lt;&gt;设计如此",缺陷明细!$AB$2:$AB$50000,"&lt;&gt;重复Bug")</f>
        <v>0</v>
      </c>
      <c r="X34" s="76">
        <f>COUNTIFS(缺陷明细!$A$2:$A$50000,$B$4,缺陷明细!$G$2:$G$50000,$C34,缺陷明细!$Q$2:$Q$50000,"已关闭",缺陷明细!$J$2:$J$50000,"验收测试",缺陷明细!$K$2:$K$50000,"致命")+COUNTIFS(缺陷明细!$A$2:$A$50000,$B$4,缺陷明细!$G$2:$G$50000,$C34,缺陷明细!$Q$2:$Q$50000,"已关闭",缺陷明细!$J$2:$J$50000,"验收测试",缺陷明细!$K$2:$K$50000,"严重")</f>
        <v>0</v>
      </c>
      <c r="Y34" s="70">
        <f>COUNTIFS(缺陷明细!$A$2:$A$50000,$B$4,缺陷明细!$G$2:$G$50000,$C34,缺陷明细!$J$2:$J$50000,"运维测试",缺陷明细!$AB$2:$AB$50000,"&lt;&gt;丢弃",缺陷明细!$AB$2:$AB$50000,"&lt;&gt;设计如此",缺陷明细!$AB$2:$AB$50000,"&lt;&gt;重复Bug")</f>
        <v>0</v>
      </c>
      <c r="Z34" s="71">
        <f>COUNTIFS(缺陷明细!$A$2:$A$50000,$B$4,缺陷明细!$G$2:$G$50000,$C34,缺陷明细!$Q$2:$Q$50000,"已关闭",缺陷明细!$J$2:$J$50000,"运维测试")</f>
        <v>0</v>
      </c>
      <c r="AA34" s="72">
        <f>COUNTIFS(缺陷明细!$A$2:$A$50000,$B$4,缺陷明细!$G$2:$G$50000,$C34,缺陷明细!$J$2:$J$50000,"运维测试",缺陷明细!$K$2:$K$50000,"致命",缺陷明细!$AB$2:$AB$50000,"&lt;&gt;丢弃",缺陷明细!$AB$2:$AB$50000,"&lt;&gt;设计如此",缺陷明细!$AB$2:$AB$50000,"&lt;&gt;重复Bug")+COUNTIFS(缺陷明细!$A$2:$A$50000,$B$4,缺陷明细!$G$2:$G$50000,$C34,缺陷明细!$J$2:$J$50000,"运维测试",缺陷明细!$K$2:$K$50000,"严重",缺陷明细!$AB$2:$AB$50000,"&lt;&gt;丢弃",缺陷明细!$AB$2:$AB$50000,"&lt;&gt;设计如此",缺陷明细!$AB$2:$AB$50000,"&lt;&gt;重复Bug")</f>
        <v>0</v>
      </c>
      <c r="AB34" s="73">
        <f>COUNTIFS(缺陷明细!$A$2:$A$50000,$B$4,缺陷明细!$G$2:$G$50000,$C34,缺陷明细!$Q$2:$Q$50000,"已关闭",缺陷明细!$J$2:$J$50000,"运维测试",缺陷明细!$K$2:$K$50000,"致命")+COUNTIFS(缺陷明细!$A$2:$A$50000,$B$4,缺陷明细!$G$2:$G$50000,$C34,缺陷明细!$Q$2:$Q$50000,"已关闭",缺陷明细!$J$2:$J$50000,"运维测试",缺陷明细!$K$2:$K$50000,"严重")</f>
        <v>0</v>
      </c>
      <c r="AC34" s="68">
        <f t="shared" si="0"/>
        <v>0</v>
      </c>
      <c r="AD34" s="60">
        <f t="shared" si="0"/>
        <v>0</v>
      </c>
      <c r="AE34" s="60">
        <f t="shared" si="1"/>
        <v>0</v>
      </c>
      <c r="AF34" s="60">
        <f t="shared" si="1"/>
        <v>0</v>
      </c>
      <c r="AG34" s="60">
        <f t="shared" si="2"/>
        <v>0</v>
      </c>
      <c r="AH34" s="60">
        <f t="shared" si="2"/>
        <v>0</v>
      </c>
      <c r="AI34" s="60">
        <f t="shared" si="3"/>
        <v>0</v>
      </c>
      <c r="AJ34" s="61">
        <f t="shared" si="3"/>
        <v>0</v>
      </c>
      <c r="AK34" s="144"/>
    </row>
    <row r="35" spans="1:37">
      <c r="A35">
        <v>31</v>
      </c>
      <c r="B35" s="57"/>
      <c r="C35" s="58"/>
      <c r="D35" s="84"/>
      <c r="E35" s="82"/>
      <c r="F35" s="158"/>
      <c r="G35" s="159"/>
      <c r="H35" s="281">
        <f>COUNTIFS(缺陷明细!$A$2:$A$50000,$B$4,缺陷明细!$G$2:$G$50000,$C35,缺陷明细!$J$2:$J$50000,"评审",缺陷明细!$AB$2:$AB$50000,"&lt;&gt;丢弃",缺陷明细!$AB$2:$AB$50000,"&lt;&gt;设计如此",缺陷明细!$AB$2:$AB$50000,"&lt;&gt;重复Bug")</f>
        <v>0</v>
      </c>
      <c r="I35" s="154">
        <f>COUNTIFS(缺陷明细!$A$2:$A$50000,$B$4,缺陷明细!$G$2:$G$50000,$C35,缺陷明细!$Q$2:$Q$50000,"已关闭",缺陷明细!$J$2:$J$50000,"评审")</f>
        <v>0</v>
      </c>
      <c r="J35" s="154">
        <f>COUNTIFS(缺陷明细!$A$2:$A$50000,$B$4,缺陷明细!$G$2:$G$50000,$C35,缺陷明细!$J$2:$J$50000,"单元测试",缺陷明细!$AB$2:$AB$50000,"&lt;&gt;丢弃",缺陷明细!$AB$2:$AB$50000,"&lt;&gt;设计如此",缺陷明细!$AB$2:$AB$50000,"&lt;&gt;重复Bug")</f>
        <v>0</v>
      </c>
      <c r="K35" s="155">
        <f>COUNTIFS(缺陷明细!$A$2:$A$50000,$B$4,缺陷明细!$G$2:$G$50000,$C35,缺陷明细!$Q$2:$Q$50000,"已关闭",缺陷明细!$J$2:$J$50000,"单元测试")</f>
        <v>0</v>
      </c>
      <c r="L35" s="156"/>
      <c r="M35" s="157"/>
      <c r="N35" s="72">
        <f>COUNTIFS(缺陷明细!$A$2:$A$50000,$B$4,缺陷明细!$G$2:$G$50000,$C35,缺陷明细!$J$2:$J$50000,"系统测试案例评审",缺陷明细!$AB$2:$AB$50000,"&lt;&gt;丢弃",缺陷明细!$AB$2:$AB$50000,"&lt;&gt;设计如此",缺陷明细!$AB$2:$AB$50000,"&lt;&gt;重复Bug")</f>
        <v>0</v>
      </c>
      <c r="O35" s="72">
        <f>COUNTIFS(缺陷明细!$A$2:$A$50000,$B$4,缺陷明细!$G$2:$G$50000,$C35,缺陷明细!$Q$2:$Q$50000,"已关闭",缺陷明细!$J$2:$J$50000,"系统测试案例评审")</f>
        <v>0</v>
      </c>
      <c r="P35" s="72">
        <f>COUNTIFS(缺陷明细!$A$2:$A$50000,$B$4,缺陷明细!$G$2:$G$50000,$C35,缺陷明细!$J$2:$J$50000,"系统测试",缺陷明细!$AB$2:$AB$50000,"&lt;&gt;丢弃",缺陷明细!$AB$2:$AB$50000,"&lt;&gt;设计如此",缺陷明细!$AB$2:$AB$50000,"&lt;&gt;重复Bug")</f>
        <v>0</v>
      </c>
      <c r="Q35" s="72">
        <f>COUNTIFS(缺陷明细!$A$2:$A$50000,$B$4,缺陷明细!$G$2:$G$50000,$C35,缺陷明细!$Q$2:$Q$50000,"已关闭",缺陷明细!$J$2:$J$50000,"系统测试")</f>
        <v>0</v>
      </c>
      <c r="R35" s="296">
        <f>COUNTIFS(缺陷明细!$A$2:$A$50000,$B$4,缺陷明细!$G$2:$G$50000,$C35,缺陷明细!$AB$2:$AB$50000,"丢弃",缺陷明细!$J$2:$J$50000,"系统测试")+COUNTIFS(缺陷明细!$A$2:$A$50000,$B$4,缺陷明细!$G$2:$G$50000,$C35,缺陷明细!$AB$2:$AB$50000,"设计如此",缺陷明细!$J$2:$J$50000,"系统测试")+COUNTIFS(缺陷明细!$A$2:$A$50000,$B$4,缺陷明细!$G$2:$G$50000,$C35,缺陷明细!$AB$2:$AB$50000,"重复Bug",缺陷明细!$J$2:$J$50000,"系统测试")</f>
        <v>0</v>
      </c>
      <c r="S35" s="72">
        <f>COUNTIFS(缺陷明细!$A$2:$A$50000,$B$4,缺陷明细!$G$2:$G$50000,$C35,缺陷明细!$J$2:$J$50000,"系统测试",缺陷明细!$K$2:$K$50000,"致命",缺陷明细!$AB$2:$AB$50000,"&lt;&gt;丢弃",缺陷明细!$AB$2:$AB$50000,"&lt;&gt;设计如此",缺陷明细!$AB$2:$AB$50000,"&lt;&gt;重复Bug")+COUNTIFS(缺陷明细!$A$2:$A$50000,$B$4,缺陷明细!$G$2:$G$50000,$C35,缺陷明细!$J$2:$J$50000,"系统测试",缺陷明细!$K$2:$K$50000,"严重",缺陷明细!$AB$2:$AB$50000,"&lt;&gt;丢弃",缺陷明细!$AB$2:$AB$50000,"&lt;&gt;设计如此",缺陷明细!$AB$2:$AB$50000,"&lt;&gt;重复Bug")</f>
        <v>0</v>
      </c>
      <c r="T35" s="73">
        <f>COUNTIFS(缺陷明细!$A$2:$A$50000,$B$4,缺陷明细!$G$2:$G$50000,$C35,缺陷明细!$Q$2:$Q$50000,"已关闭",缺陷明细!$J$2:$J$50000,"系统测试",缺陷明细!$K$2:$K$50000,"致命")+COUNTIFS(缺陷明细!$A$2:$A$50000,$B$4,缺陷明细!$G$2:$G$50000,$C35,缺陷明细!$Q$2:$Q$50000,"已关闭",缺陷明细!$J$2:$J$50000,"系统测试",缺陷明细!$K$2:$K$50000,"严重")</f>
        <v>0</v>
      </c>
      <c r="U35" s="74">
        <f>COUNTIFS(缺陷明细!$A$2:$A$50000,$B$4,缺陷明细!$G$2:$G$50000,$C35,缺陷明细!$J$2:$J$50000,"验收测试",缺陷明细!$AB$2:$AB$50000,"&lt;&gt;丢弃",缺陷明细!$AB$2:$AB$50000,"&lt;&gt;设计如此",缺陷明细!$AB$2:$AB$50000,"&lt;&gt;重复Bug")</f>
        <v>0</v>
      </c>
      <c r="V35" s="75">
        <f>COUNTIFS(缺陷明细!$A$2:$A$50000,$B$4,缺陷明细!$G$2:$G$50000,$C35,缺陷明细!$Q$2:$Q$50000,"已关闭",缺陷明细!$J$2:$J$50000,"验收测试")</f>
        <v>0</v>
      </c>
      <c r="W35" s="75">
        <f>COUNTIFS(缺陷明细!$A$2:$A$50000,$B$4,缺陷明细!$G$2:$G$50000,$C35,缺陷明细!$J$2:$J$50000,"验收测试",缺陷明细!$K$2:$K$50000,"致命",缺陷明细!$AB$2:$AB$50000,"&lt;&gt;丢弃",缺陷明细!$AB$2:$AB$50000,"&lt;&gt;设计如此",缺陷明细!$AB$2:$AB$50000,"&lt;&gt;重复Bug")+COUNTIFS(缺陷明细!$A$2:$A$50000,$B$4,缺陷明细!$G$2:$G$50000,$C35,缺陷明细!$J$2:$J$50000,"验收测试",缺陷明细!$K$2:$K$50000,"严重",缺陷明细!$AB$2:$AB$50000,"&lt;&gt;丢弃",缺陷明细!$AB$2:$AB$50000,"&lt;&gt;设计如此",缺陷明细!$AB$2:$AB$50000,"&lt;&gt;重复Bug")</f>
        <v>0</v>
      </c>
      <c r="X35" s="76">
        <f>COUNTIFS(缺陷明细!$A$2:$A$50000,$B$4,缺陷明细!$G$2:$G$50000,$C35,缺陷明细!$Q$2:$Q$50000,"已关闭",缺陷明细!$J$2:$J$50000,"验收测试",缺陷明细!$K$2:$K$50000,"致命")+COUNTIFS(缺陷明细!$A$2:$A$50000,$B$4,缺陷明细!$G$2:$G$50000,$C35,缺陷明细!$Q$2:$Q$50000,"已关闭",缺陷明细!$J$2:$J$50000,"验收测试",缺陷明细!$K$2:$K$50000,"严重")</f>
        <v>0</v>
      </c>
      <c r="Y35" s="70">
        <f>COUNTIFS(缺陷明细!$A$2:$A$50000,$B$4,缺陷明细!$G$2:$G$50000,$C35,缺陷明细!$J$2:$J$50000,"运维测试",缺陷明细!$AB$2:$AB$50000,"&lt;&gt;丢弃",缺陷明细!$AB$2:$AB$50000,"&lt;&gt;设计如此",缺陷明细!$AB$2:$AB$50000,"&lt;&gt;重复Bug")</f>
        <v>0</v>
      </c>
      <c r="Z35" s="71">
        <f>COUNTIFS(缺陷明细!$A$2:$A$50000,$B$4,缺陷明细!$G$2:$G$50000,$C35,缺陷明细!$Q$2:$Q$50000,"已关闭",缺陷明细!$J$2:$J$50000,"运维测试")</f>
        <v>0</v>
      </c>
      <c r="AA35" s="72">
        <f>COUNTIFS(缺陷明细!$A$2:$A$50000,$B$4,缺陷明细!$G$2:$G$50000,$C35,缺陷明细!$J$2:$J$50000,"运维测试",缺陷明细!$K$2:$K$50000,"致命",缺陷明细!$AB$2:$AB$50000,"&lt;&gt;丢弃",缺陷明细!$AB$2:$AB$50000,"&lt;&gt;设计如此",缺陷明细!$AB$2:$AB$50000,"&lt;&gt;重复Bug")+COUNTIFS(缺陷明细!$A$2:$A$50000,$B$4,缺陷明细!$G$2:$G$50000,$C35,缺陷明细!$J$2:$J$50000,"运维测试",缺陷明细!$K$2:$K$50000,"严重",缺陷明细!$AB$2:$AB$50000,"&lt;&gt;丢弃",缺陷明细!$AB$2:$AB$50000,"&lt;&gt;设计如此",缺陷明细!$AB$2:$AB$50000,"&lt;&gt;重复Bug")</f>
        <v>0</v>
      </c>
      <c r="AB35" s="73">
        <f>COUNTIFS(缺陷明细!$A$2:$A$50000,$B$4,缺陷明细!$G$2:$G$50000,$C35,缺陷明细!$Q$2:$Q$50000,"已关闭",缺陷明细!$J$2:$J$50000,"运维测试",缺陷明细!$K$2:$K$50000,"致命")+COUNTIFS(缺陷明细!$A$2:$A$50000,$B$4,缺陷明细!$G$2:$G$50000,$C35,缺陷明细!$Q$2:$Q$50000,"已关闭",缺陷明细!$J$2:$J$50000,"运维测试",缺陷明细!$K$2:$K$50000,"严重")</f>
        <v>0</v>
      </c>
      <c r="AC35" s="68">
        <f t="shared" si="0"/>
        <v>0</v>
      </c>
      <c r="AD35" s="60">
        <f t="shared" si="0"/>
        <v>0</v>
      </c>
      <c r="AE35" s="60">
        <f t="shared" si="1"/>
        <v>0</v>
      </c>
      <c r="AF35" s="60">
        <f t="shared" si="1"/>
        <v>0</v>
      </c>
      <c r="AG35" s="60">
        <f t="shared" si="2"/>
        <v>0</v>
      </c>
      <c r="AH35" s="60">
        <f t="shared" si="2"/>
        <v>0</v>
      </c>
      <c r="AI35" s="60">
        <f t="shared" si="3"/>
        <v>0</v>
      </c>
      <c r="AJ35" s="61">
        <f t="shared" si="3"/>
        <v>0</v>
      </c>
      <c r="AK35" s="144"/>
    </row>
    <row r="36" spans="1:37">
      <c r="A36">
        <v>32</v>
      </c>
      <c r="B36" s="57"/>
      <c r="C36" s="58"/>
      <c r="D36" s="84"/>
      <c r="E36" s="82"/>
      <c r="F36" s="158"/>
      <c r="G36" s="159"/>
      <c r="H36" s="281">
        <f>COUNTIFS(缺陷明细!$A$2:$A$50000,$B$4,缺陷明细!$G$2:$G$50000,$C36,缺陷明细!$J$2:$J$50000,"评审",缺陷明细!$AB$2:$AB$50000,"&lt;&gt;丢弃",缺陷明细!$AB$2:$AB$50000,"&lt;&gt;设计如此",缺陷明细!$AB$2:$AB$50000,"&lt;&gt;重复Bug")</f>
        <v>0</v>
      </c>
      <c r="I36" s="154">
        <f>COUNTIFS(缺陷明细!$A$2:$A$50000,$B$4,缺陷明细!$G$2:$G$50000,$C36,缺陷明细!$Q$2:$Q$50000,"已关闭",缺陷明细!$J$2:$J$50000,"评审")</f>
        <v>0</v>
      </c>
      <c r="J36" s="154">
        <f>COUNTIFS(缺陷明细!$A$2:$A$50000,$B$4,缺陷明细!$G$2:$G$50000,$C36,缺陷明细!$J$2:$J$50000,"单元测试",缺陷明细!$AB$2:$AB$50000,"&lt;&gt;丢弃",缺陷明细!$AB$2:$AB$50000,"&lt;&gt;设计如此",缺陷明细!$AB$2:$AB$50000,"&lt;&gt;重复Bug")</f>
        <v>0</v>
      </c>
      <c r="K36" s="155">
        <f>COUNTIFS(缺陷明细!$A$2:$A$50000,$B$4,缺陷明细!$G$2:$G$50000,$C36,缺陷明细!$Q$2:$Q$50000,"已关闭",缺陷明细!$J$2:$J$50000,"单元测试")</f>
        <v>0</v>
      </c>
      <c r="L36" s="156"/>
      <c r="M36" s="157"/>
      <c r="N36" s="72">
        <f>COUNTIFS(缺陷明细!$A$2:$A$50000,$B$4,缺陷明细!$G$2:$G$50000,$C36,缺陷明细!$J$2:$J$50000,"系统测试案例评审",缺陷明细!$AB$2:$AB$50000,"&lt;&gt;丢弃",缺陷明细!$AB$2:$AB$50000,"&lt;&gt;设计如此",缺陷明细!$AB$2:$AB$50000,"&lt;&gt;重复Bug")</f>
        <v>0</v>
      </c>
      <c r="O36" s="72">
        <f>COUNTIFS(缺陷明细!$A$2:$A$50000,$B$4,缺陷明细!$G$2:$G$50000,$C36,缺陷明细!$Q$2:$Q$50000,"已关闭",缺陷明细!$J$2:$J$50000,"系统测试案例评审")</f>
        <v>0</v>
      </c>
      <c r="P36" s="72">
        <f>COUNTIFS(缺陷明细!$A$2:$A$50000,$B$4,缺陷明细!$G$2:$G$50000,$C36,缺陷明细!$J$2:$J$50000,"系统测试",缺陷明细!$AB$2:$AB$50000,"&lt;&gt;丢弃",缺陷明细!$AB$2:$AB$50000,"&lt;&gt;设计如此",缺陷明细!$AB$2:$AB$50000,"&lt;&gt;重复Bug")</f>
        <v>0</v>
      </c>
      <c r="Q36" s="72">
        <f>COUNTIFS(缺陷明细!$A$2:$A$50000,$B$4,缺陷明细!$G$2:$G$50000,$C36,缺陷明细!$Q$2:$Q$50000,"已关闭",缺陷明细!$J$2:$J$50000,"系统测试")</f>
        <v>0</v>
      </c>
      <c r="R36" s="296">
        <f>COUNTIFS(缺陷明细!$A$2:$A$50000,$B$4,缺陷明细!$G$2:$G$50000,$C36,缺陷明细!$AB$2:$AB$50000,"丢弃",缺陷明细!$J$2:$J$50000,"系统测试")+COUNTIFS(缺陷明细!$A$2:$A$50000,$B$4,缺陷明细!$G$2:$G$50000,$C36,缺陷明细!$AB$2:$AB$50000,"设计如此",缺陷明细!$J$2:$J$50000,"系统测试")+COUNTIFS(缺陷明细!$A$2:$A$50000,$B$4,缺陷明细!$G$2:$G$50000,$C36,缺陷明细!$AB$2:$AB$50000,"重复Bug",缺陷明细!$J$2:$J$50000,"系统测试")</f>
        <v>0</v>
      </c>
      <c r="S36" s="72">
        <f>COUNTIFS(缺陷明细!$A$2:$A$50000,$B$4,缺陷明细!$G$2:$G$50000,$C36,缺陷明细!$J$2:$J$50000,"系统测试",缺陷明细!$K$2:$K$50000,"致命",缺陷明细!$AB$2:$AB$50000,"&lt;&gt;丢弃",缺陷明细!$AB$2:$AB$50000,"&lt;&gt;设计如此",缺陷明细!$AB$2:$AB$50000,"&lt;&gt;重复Bug")+COUNTIFS(缺陷明细!$A$2:$A$50000,$B$4,缺陷明细!$G$2:$G$50000,$C36,缺陷明细!$J$2:$J$50000,"系统测试",缺陷明细!$K$2:$K$50000,"严重",缺陷明细!$AB$2:$AB$50000,"&lt;&gt;丢弃",缺陷明细!$AB$2:$AB$50000,"&lt;&gt;设计如此",缺陷明细!$AB$2:$AB$50000,"&lt;&gt;重复Bug")</f>
        <v>0</v>
      </c>
      <c r="T36" s="73">
        <f>COUNTIFS(缺陷明细!$A$2:$A$50000,$B$4,缺陷明细!$G$2:$G$50000,$C36,缺陷明细!$Q$2:$Q$50000,"已关闭",缺陷明细!$J$2:$J$50000,"系统测试",缺陷明细!$K$2:$K$50000,"致命")+COUNTIFS(缺陷明细!$A$2:$A$50000,$B$4,缺陷明细!$G$2:$G$50000,$C36,缺陷明细!$Q$2:$Q$50000,"已关闭",缺陷明细!$J$2:$J$50000,"系统测试",缺陷明细!$K$2:$K$50000,"严重")</f>
        <v>0</v>
      </c>
      <c r="U36" s="74">
        <f>COUNTIFS(缺陷明细!$A$2:$A$50000,$B$4,缺陷明细!$G$2:$G$50000,$C36,缺陷明细!$J$2:$J$50000,"验收测试",缺陷明细!$AB$2:$AB$50000,"&lt;&gt;丢弃",缺陷明细!$AB$2:$AB$50000,"&lt;&gt;设计如此",缺陷明细!$AB$2:$AB$50000,"&lt;&gt;重复Bug")</f>
        <v>0</v>
      </c>
      <c r="V36" s="75">
        <f>COUNTIFS(缺陷明细!$A$2:$A$50000,$B$4,缺陷明细!$G$2:$G$50000,$C36,缺陷明细!$Q$2:$Q$50000,"已关闭",缺陷明细!$J$2:$J$50000,"验收测试")</f>
        <v>0</v>
      </c>
      <c r="W36" s="75">
        <f>COUNTIFS(缺陷明细!$A$2:$A$50000,$B$4,缺陷明细!$G$2:$G$50000,$C36,缺陷明细!$J$2:$J$50000,"验收测试",缺陷明细!$K$2:$K$50000,"致命",缺陷明细!$AB$2:$AB$50000,"&lt;&gt;丢弃",缺陷明细!$AB$2:$AB$50000,"&lt;&gt;设计如此",缺陷明细!$AB$2:$AB$50000,"&lt;&gt;重复Bug")+COUNTIFS(缺陷明细!$A$2:$A$50000,$B$4,缺陷明细!$G$2:$G$50000,$C36,缺陷明细!$J$2:$J$50000,"验收测试",缺陷明细!$K$2:$K$50000,"严重",缺陷明细!$AB$2:$AB$50000,"&lt;&gt;丢弃",缺陷明细!$AB$2:$AB$50000,"&lt;&gt;设计如此",缺陷明细!$AB$2:$AB$50000,"&lt;&gt;重复Bug")</f>
        <v>0</v>
      </c>
      <c r="X36" s="76">
        <f>COUNTIFS(缺陷明细!$A$2:$A$50000,$B$4,缺陷明细!$G$2:$G$50000,$C36,缺陷明细!$Q$2:$Q$50000,"已关闭",缺陷明细!$J$2:$J$50000,"验收测试",缺陷明细!$K$2:$K$50000,"致命")+COUNTIFS(缺陷明细!$A$2:$A$50000,$B$4,缺陷明细!$G$2:$G$50000,$C36,缺陷明细!$Q$2:$Q$50000,"已关闭",缺陷明细!$J$2:$J$50000,"验收测试",缺陷明细!$K$2:$K$50000,"严重")</f>
        <v>0</v>
      </c>
      <c r="Y36" s="70">
        <f>COUNTIFS(缺陷明细!$A$2:$A$50000,$B$4,缺陷明细!$G$2:$G$50000,$C36,缺陷明细!$J$2:$J$50000,"运维测试",缺陷明细!$AB$2:$AB$50000,"&lt;&gt;丢弃",缺陷明细!$AB$2:$AB$50000,"&lt;&gt;设计如此",缺陷明细!$AB$2:$AB$50000,"&lt;&gt;重复Bug")</f>
        <v>0</v>
      </c>
      <c r="Z36" s="71">
        <f>COUNTIFS(缺陷明细!$A$2:$A$50000,$B$4,缺陷明细!$G$2:$G$50000,$C36,缺陷明细!$Q$2:$Q$50000,"已关闭",缺陷明细!$J$2:$J$50000,"运维测试")</f>
        <v>0</v>
      </c>
      <c r="AA36" s="72">
        <f>COUNTIFS(缺陷明细!$A$2:$A$50000,$B$4,缺陷明细!$G$2:$G$50000,$C36,缺陷明细!$J$2:$J$50000,"运维测试",缺陷明细!$K$2:$K$50000,"致命",缺陷明细!$AB$2:$AB$50000,"&lt;&gt;丢弃",缺陷明细!$AB$2:$AB$50000,"&lt;&gt;设计如此",缺陷明细!$AB$2:$AB$50000,"&lt;&gt;重复Bug")+COUNTIFS(缺陷明细!$A$2:$A$50000,$B$4,缺陷明细!$G$2:$G$50000,$C36,缺陷明细!$J$2:$J$50000,"运维测试",缺陷明细!$K$2:$K$50000,"严重",缺陷明细!$AB$2:$AB$50000,"&lt;&gt;丢弃",缺陷明细!$AB$2:$AB$50000,"&lt;&gt;设计如此",缺陷明细!$AB$2:$AB$50000,"&lt;&gt;重复Bug")</f>
        <v>0</v>
      </c>
      <c r="AB36" s="73">
        <f>COUNTIFS(缺陷明细!$A$2:$A$50000,$B$4,缺陷明细!$G$2:$G$50000,$C36,缺陷明细!$Q$2:$Q$50000,"已关闭",缺陷明细!$J$2:$J$50000,"运维测试",缺陷明细!$K$2:$K$50000,"致命")+COUNTIFS(缺陷明细!$A$2:$A$50000,$B$4,缺陷明细!$G$2:$G$50000,$C36,缺陷明细!$Q$2:$Q$50000,"已关闭",缺陷明细!$J$2:$J$50000,"运维测试",缺陷明细!$K$2:$K$50000,"严重")</f>
        <v>0</v>
      </c>
      <c r="AC36" s="68">
        <f t="shared" si="0"/>
        <v>0</v>
      </c>
      <c r="AD36" s="60">
        <f t="shared" si="0"/>
        <v>0</v>
      </c>
      <c r="AE36" s="60">
        <f t="shared" si="1"/>
        <v>0</v>
      </c>
      <c r="AF36" s="60">
        <f t="shared" si="1"/>
        <v>0</v>
      </c>
      <c r="AG36" s="60">
        <f t="shared" si="2"/>
        <v>0</v>
      </c>
      <c r="AH36" s="60">
        <f t="shared" si="2"/>
        <v>0</v>
      </c>
      <c r="AI36" s="60">
        <f t="shared" si="3"/>
        <v>0</v>
      </c>
      <c r="AJ36" s="61">
        <f t="shared" si="3"/>
        <v>0</v>
      </c>
      <c r="AK36" s="144"/>
    </row>
    <row r="37" spans="1:37">
      <c r="A37">
        <v>33</v>
      </c>
      <c r="B37" s="57"/>
      <c r="C37" s="58"/>
      <c r="D37" s="84"/>
      <c r="E37" s="82"/>
      <c r="F37" s="158"/>
      <c r="G37" s="159"/>
      <c r="H37" s="281">
        <f>COUNTIFS(缺陷明细!$A$2:$A$50000,$B$4,缺陷明细!$G$2:$G$50000,$C37,缺陷明细!$J$2:$J$50000,"评审",缺陷明细!$AB$2:$AB$50000,"&lt;&gt;丢弃",缺陷明细!$AB$2:$AB$50000,"&lt;&gt;设计如此",缺陷明细!$AB$2:$AB$50000,"&lt;&gt;重复Bug")</f>
        <v>0</v>
      </c>
      <c r="I37" s="154">
        <f>COUNTIFS(缺陷明细!$A$2:$A$50000,$B$4,缺陷明细!$G$2:$G$50000,$C37,缺陷明细!$Q$2:$Q$50000,"已关闭",缺陷明细!$J$2:$J$50000,"评审")</f>
        <v>0</v>
      </c>
      <c r="J37" s="154">
        <f>COUNTIFS(缺陷明细!$A$2:$A$50000,$B$4,缺陷明细!$G$2:$G$50000,$C37,缺陷明细!$J$2:$J$50000,"单元测试",缺陷明细!$AB$2:$AB$50000,"&lt;&gt;丢弃",缺陷明细!$AB$2:$AB$50000,"&lt;&gt;设计如此",缺陷明细!$AB$2:$AB$50000,"&lt;&gt;重复Bug")</f>
        <v>0</v>
      </c>
      <c r="K37" s="155">
        <f>COUNTIFS(缺陷明细!$A$2:$A$50000,$B$4,缺陷明细!$G$2:$G$50000,$C37,缺陷明细!$Q$2:$Q$50000,"已关闭",缺陷明细!$J$2:$J$50000,"单元测试")</f>
        <v>0</v>
      </c>
      <c r="L37" s="156"/>
      <c r="M37" s="157"/>
      <c r="N37" s="72">
        <f>COUNTIFS(缺陷明细!$A$2:$A$50000,$B$4,缺陷明细!$G$2:$G$50000,$C37,缺陷明细!$J$2:$J$50000,"系统测试案例评审",缺陷明细!$AB$2:$AB$50000,"&lt;&gt;丢弃",缺陷明细!$AB$2:$AB$50000,"&lt;&gt;设计如此",缺陷明细!$AB$2:$AB$50000,"&lt;&gt;重复Bug")</f>
        <v>0</v>
      </c>
      <c r="O37" s="72">
        <f>COUNTIFS(缺陷明细!$A$2:$A$50000,$B$4,缺陷明细!$G$2:$G$50000,$C37,缺陷明细!$Q$2:$Q$50000,"已关闭",缺陷明细!$J$2:$J$50000,"系统测试案例评审")</f>
        <v>0</v>
      </c>
      <c r="P37" s="72">
        <f>COUNTIFS(缺陷明细!$A$2:$A$50000,$B$4,缺陷明细!$G$2:$G$50000,$C37,缺陷明细!$J$2:$J$50000,"系统测试",缺陷明细!$AB$2:$AB$50000,"&lt;&gt;丢弃",缺陷明细!$AB$2:$AB$50000,"&lt;&gt;设计如此",缺陷明细!$AB$2:$AB$50000,"&lt;&gt;重复Bug")</f>
        <v>0</v>
      </c>
      <c r="Q37" s="72">
        <f>COUNTIFS(缺陷明细!$A$2:$A$50000,$B$4,缺陷明细!$G$2:$G$50000,$C37,缺陷明细!$Q$2:$Q$50000,"已关闭",缺陷明细!$J$2:$J$50000,"系统测试")</f>
        <v>0</v>
      </c>
      <c r="R37" s="296">
        <f>COUNTIFS(缺陷明细!$A$2:$A$50000,$B$4,缺陷明细!$G$2:$G$50000,$C37,缺陷明细!$AB$2:$AB$50000,"丢弃",缺陷明细!$J$2:$J$50000,"系统测试")+COUNTIFS(缺陷明细!$A$2:$A$50000,$B$4,缺陷明细!$G$2:$G$50000,$C37,缺陷明细!$AB$2:$AB$50000,"设计如此",缺陷明细!$J$2:$J$50000,"系统测试")+COUNTIFS(缺陷明细!$A$2:$A$50000,$B$4,缺陷明细!$G$2:$G$50000,$C37,缺陷明细!$AB$2:$AB$50000,"重复Bug",缺陷明细!$J$2:$J$50000,"系统测试")</f>
        <v>0</v>
      </c>
      <c r="S37" s="72">
        <f>COUNTIFS(缺陷明细!$A$2:$A$50000,$B$4,缺陷明细!$G$2:$G$50000,$C37,缺陷明细!$J$2:$J$50000,"系统测试",缺陷明细!$K$2:$K$50000,"致命",缺陷明细!$AB$2:$AB$50000,"&lt;&gt;丢弃",缺陷明细!$AB$2:$AB$50000,"&lt;&gt;设计如此",缺陷明细!$AB$2:$AB$50000,"&lt;&gt;重复Bug")+COUNTIFS(缺陷明细!$A$2:$A$50000,$B$4,缺陷明细!$G$2:$G$50000,$C37,缺陷明细!$J$2:$J$50000,"系统测试",缺陷明细!$K$2:$K$50000,"严重",缺陷明细!$AB$2:$AB$50000,"&lt;&gt;丢弃",缺陷明细!$AB$2:$AB$50000,"&lt;&gt;设计如此",缺陷明细!$AB$2:$AB$50000,"&lt;&gt;重复Bug")</f>
        <v>0</v>
      </c>
      <c r="T37" s="73">
        <f>COUNTIFS(缺陷明细!$A$2:$A$50000,$B$4,缺陷明细!$G$2:$G$50000,$C37,缺陷明细!$Q$2:$Q$50000,"已关闭",缺陷明细!$J$2:$J$50000,"系统测试",缺陷明细!$K$2:$K$50000,"致命")+COUNTIFS(缺陷明细!$A$2:$A$50000,$B$4,缺陷明细!$G$2:$G$50000,$C37,缺陷明细!$Q$2:$Q$50000,"已关闭",缺陷明细!$J$2:$J$50000,"系统测试",缺陷明细!$K$2:$K$50000,"严重")</f>
        <v>0</v>
      </c>
      <c r="U37" s="74">
        <f>COUNTIFS(缺陷明细!$A$2:$A$50000,$B$4,缺陷明细!$G$2:$G$50000,$C37,缺陷明细!$J$2:$J$50000,"验收测试",缺陷明细!$AB$2:$AB$50000,"&lt;&gt;丢弃",缺陷明细!$AB$2:$AB$50000,"&lt;&gt;设计如此",缺陷明细!$AB$2:$AB$50000,"&lt;&gt;重复Bug")</f>
        <v>0</v>
      </c>
      <c r="V37" s="75">
        <f>COUNTIFS(缺陷明细!$A$2:$A$50000,$B$4,缺陷明细!$G$2:$G$50000,$C37,缺陷明细!$Q$2:$Q$50000,"已关闭",缺陷明细!$J$2:$J$50000,"验收测试")</f>
        <v>0</v>
      </c>
      <c r="W37" s="75">
        <f>COUNTIFS(缺陷明细!$A$2:$A$50000,$B$4,缺陷明细!$G$2:$G$50000,$C37,缺陷明细!$J$2:$J$50000,"验收测试",缺陷明细!$K$2:$K$50000,"致命",缺陷明细!$AB$2:$AB$50000,"&lt;&gt;丢弃",缺陷明细!$AB$2:$AB$50000,"&lt;&gt;设计如此",缺陷明细!$AB$2:$AB$50000,"&lt;&gt;重复Bug")+COUNTIFS(缺陷明细!$A$2:$A$50000,$B$4,缺陷明细!$G$2:$G$50000,$C37,缺陷明细!$J$2:$J$50000,"验收测试",缺陷明细!$K$2:$K$50000,"严重",缺陷明细!$AB$2:$AB$50000,"&lt;&gt;丢弃",缺陷明细!$AB$2:$AB$50000,"&lt;&gt;设计如此",缺陷明细!$AB$2:$AB$50000,"&lt;&gt;重复Bug")</f>
        <v>0</v>
      </c>
      <c r="X37" s="76">
        <f>COUNTIFS(缺陷明细!$A$2:$A$50000,$B$4,缺陷明细!$G$2:$G$50000,$C37,缺陷明细!$Q$2:$Q$50000,"已关闭",缺陷明细!$J$2:$J$50000,"验收测试",缺陷明细!$K$2:$K$50000,"致命")+COUNTIFS(缺陷明细!$A$2:$A$50000,$B$4,缺陷明细!$G$2:$G$50000,$C37,缺陷明细!$Q$2:$Q$50000,"已关闭",缺陷明细!$J$2:$J$50000,"验收测试",缺陷明细!$K$2:$K$50000,"严重")</f>
        <v>0</v>
      </c>
      <c r="Y37" s="70">
        <f>COUNTIFS(缺陷明细!$A$2:$A$50000,$B$4,缺陷明细!$G$2:$G$50000,$C37,缺陷明细!$J$2:$J$50000,"运维测试",缺陷明细!$AB$2:$AB$50000,"&lt;&gt;丢弃",缺陷明细!$AB$2:$AB$50000,"&lt;&gt;设计如此",缺陷明细!$AB$2:$AB$50000,"&lt;&gt;重复Bug")</f>
        <v>0</v>
      </c>
      <c r="Z37" s="71">
        <f>COUNTIFS(缺陷明细!$A$2:$A$50000,$B$4,缺陷明细!$G$2:$G$50000,$C37,缺陷明细!$Q$2:$Q$50000,"已关闭",缺陷明细!$J$2:$J$50000,"运维测试")</f>
        <v>0</v>
      </c>
      <c r="AA37" s="72">
        <f>COUNTIFS(缺陷明细!$A$2:$A$50000,$B$4,缺陷明细!$G$2:$G$50000,$C37,缺陷明细!$J$2:$J$50000,"运维测试",缺陷明细!$K$2:$K$50000,"致命",缺陷明细!$AB$2:$AB$50000,"&lt;&gt;丢弃",缺陷明细!$AB$2:$AB$50000,"&lt;&gt;设计如此",缺陷明细!$AB$2:$AB$50000,"&lt;&gt;重复Bug")+COUNTIFS(缺陷明细!$A$2:$A$50000,$B$4,缺陷明细!$G$2:$G$50000,$C37,缺陷明细!$J$2:$J$50000,"运维测试",缺陷明细!$K$2:$K$50000,"严重",缺陷明细!$AB$2:$AB$50000,"&lt;&gt;丢弃",缺陷明细!$AB$2:$AB$50000,"&lt;&gt;设计如此",缺陷明细!$AB$2:$AB$50000,"&lt;&gt;重复Bug")</f>
        <v>0</v>
      </c>
      <c r="AB37" s="73">
        <f>COUNTIFS(缺陷明细!$A$2:$A$50000,$B$4,缺陷明细!$G$2:$G$50000,$C37,缺陷明细!$Q$2:$Q$50000,"已关闭",缺陷明细!$J$2:$J$50000,"运维测试",缺陷明细!$K$2:$K$50000,"致命")+COUNTIFS(缺陷明细!$A$2:$A$50000,$B$4,缺陷明细!$G$2:$G$50000,$C37,缺陷明细!$Q$2:$Q$50000,"已关闭",缺陷明细!$J$2:$J$50000,"运维测试",缺陷明细!$K$2:$K$50000,"严重")</f>
        <v>0</v>
      </c>
      <c r="AC37" s="68">
        <f t="shared" si="0"/>
        <v>0</v>
      </c>
      <c r="AD37" s="60">
        <f t="shared" si="0"/>
        <v>0</v>
      </c>
      <c r="AE37" s="60">
        <f t="shared" si="1"/>
        <v>0</v>
      </c>
      <c r="AF37" s="60">
        <f t="shared" si="1"/>
        <v>0</v>
      </c>
      <c r="AG37" s="60">
        <f t="shared" si="2"/>
        <v>0</v>
      </c>
      <c r="AH37" s="60">
        <f t="shared" si="2"/>
        <v>0</v>
      </c>
      <c r="AI37" s="60">
        <f t="shared" si="3"/>
        <v>0</v>
      </c>
      <c r="AJ37" s="61">
        <f t="shared" si="3"/>
        <v>0</v>
      </c>
      <c r="AK37" s="144"/>
    </row>
    <row r="38" spans="1:37">
      <c r="A38">
        <v>34</v>
      </c>
      <c r="B38" s="57"/>
      <c r="C38" s="58"/>
      <c r="D38" s="84"/>
      <c r="E38" s="82"/>
      <c r="F38" s="158"/>
      <c r="G38" s="159"/>
      <c r="H38" s="281">
        <f>COUNTIFS(缺陷明细!$A$2:$A$50000,$B$4,缺陷明细!$G$2:$G$50000,$C38,缺陷明细!$J$2:$J$50000,"评审",缺陷明细!$AB$2:$AB$50000,"&lt;&gt;丢弃",缺陷明细!$AB$2:$AB$50000,"&lt;&gt;设计如此",缺陷明细!$AB$2:$AB$50000,"&lt;&gt;重复Bug")</f>
        <v>0</v>
      </c>
      <c r="I38" s="154">
        <f>COUNTIFS(缺陷明细!$A$2:$A$50000,$B$4,缺陷明细!$G$2:$G$50000,$C38,缺陷明细!$Q$2:$Q$50000,"已关闭",缺陷明细!$J$2:$J$50000,"评审")</f>
        <v>0</v>
      </c>
      <c r="J38" s="154">
        <f>COUNTIFS(缺陷明细!$A$2:$A$50000,$B$4,缺陷明细!$G$2:$G$50000,$C38,缺陷明细!$J$2:$J$50000,"单元测试",缺陷明细!$AB$2:$AB$50000,"&lt;&gt;丢弃",缺陷明细!$AB$2:$AB$50000,"&lt;&gt;设计如此",缺陷明细!$AB$2:$AB$50000,"&lt;&gt;重复Bug")</f>
        <v>0</v>
      </c>
      <c r="K38" s="155">
        <f>COUNTIFS(缺陷明细!$A$2:$A$50000,$B$4,缺陷明细!$G$2:$G$50000,$C38,缺陷明细!$Q$2:$Q$50000,"已关闭",缺陷明细!$J$2:$J$50000,"单元测试")</f>
        <v>0</v>
      </c>
      <c r="L38" s="156"/>
      <c r="M38" s="157"/>
      <c r="N38" s="72">
        <f>COUNTIFS(缺陷明细!$A$2:$A$50000,$B$4,缺陷明细!$G$2:$G$50000,$C38,缺陷明细!$J$2:$J$50000,"系统测试案例评审",缺陷明细!$AB$2:$AB$50000,"&lt;&gt;丢弃",缺陷明细!$AB$2:$AB$50000,"&lt;&gt;设计如此",缺陷明细!$AB$2:$AB$50000,"&lt;&gt;重复Bug")</f>
        <v>0</v>
      </c>
      <c r="O38" s="72">
        <f>COUNTIFS(缺陷明细!$A$2:$A$50000,$B$4,缺陷明细!$G$2:$G$50000,$C38,缺陷明细!$Q$2:$Q$50000,"已关闭",缺陷明细!$J$2:$J$50000,"系统测试案例评审")</f>
        <v>0</v>
      </c>
      <c r="P38" s="72">
        <f>COUNTIFS(缺陷明细!$A$2:$A$50000,$B$4,缺陷明细!$G$2:$G$50000,$C38,缺陷明细!$J$2:$J$50000,"系统测试",缺陷明细!$AB$2:$AB$50000,"&lt;&gt;丢弃",缺陷明细!$AB$2:$AB$50000,"&lt;&gt;设计如此",缺陷明细!$AB$2:$AB$50000,"&lt;&gt;重复Bug")</f>
        <v>0</v>
      </c>
      <c r="Q38" s="72">
        <f>COUNTIFS(缺陷明细!$A$2:$A$50000,$B$4,缺陷明细!$G$2:$G$50000,$C38,缺陷明细!$Q$2:$Q$50000,"已关闭",缺陷明细!$J$2:$J$50000,"系统测试")</f>
        <v>0</v>
      </c>
      <c r="R38" s="296">
        <f>COUNTIFS(缺陷明细!$A$2:$A$50000,$B$4,缺陷明细!$G$2:$G$50000,$C38,缺陷明细!$AB$2:$AB$50000,"丢弃",缺陷明细!$J$2:$J$50000,"系统测试")+COUNTIFS(缺陷明细!$A$2:$A$50000,$B$4,缺陷明细!$G$2:$G$50000,$C38,缺陷明细!$AB$2:$AB$50000,"设计如此",缺陷明细!$J$2:$J$50000,"系统测试")+COUNTIFS(缺陷明细!$A$2:$A$50000,$B$4,缺陷明细!$G$2:$G$50000,$C38,缺陷明细!$AB$2:$AB$50000,"重复Bug",缺陷明细!$J$2:$J$50000,"系统测试")</f>
        <v>0</v>
      </c>
      <c r="S38" s="72">
        <f>COUNTIFS(缺陷明细!$A$2:$A$50000,$B$4,缺陷明细!$G$2:$G$50000,$C38,缺陷明细!$J$2:$J$50000,"系统测试",缺陷明细!$K$2:$K$50000,"致命",缺陷明细!$AB$2:$AB$50000,"&lt;&gt;丢弃",缺陷明细!$AB$2:$AB$50000,"&lt;&gt;设计如此",缺陷明细!$AB$2:$AB$50000,"&lt;&gt;重复Bug")+COUNTIFS(缺陷明细!$A$2:$A$50000,$B$4,缺陷明细!$G$2:$G$50000,$C38,缺陷明细!$J$2:$J$50000,"系统测试",缺陷明细!$K$2:$K$50000,"严重",缺陷明细!$AB$2:$AB$50000,"&lt;&gt;丢弃",缺陷明细!$AB$2:$AB$50000,"&lt;&gt;设计如此",缺陷明细!$AB$2:$AB$50000,"&lt;&gt;重复Bug")</f>
        <v>0</v>
      </c>
      <c r="T38" s="73">
        <f>COUNTIFS(缺陷明细!$A$2:$A$50000,$B$4,缺陷明细!$G$2:$G$50000,$C38,缺陷明细!$Q$2:$Q$50000,"已关闭",缺陷明细!$J$2:$J$50000,"系统测试",缺陷明细!$K$2:$K$50000,"致命")+COUNTIFS(缺陷明细!$A$2:$A$50000,$B$4,缺陷明细!$G$2:$G$50000,$C38,缺陷明细!$Q$2:$Q$50000,"已关闭",缺陷明细!$J$2:$J$50000,"系统测试",缺陷明细!$K$2:$K$50000,"严重")</f>
        <v>0</v>
      </c>
      <c r="U38" s="74">
        <f>COUNTIFS(缺陷明细!$A$2:$A$50000,$B$4,缺陷明细!$G$2:$G$50000,$C38,缺陷明细!$J$2:$J$50000,"验收测试",缺陷明细!$AB$2:$AB$50000,"&lt;&gt;丢弃",缺陷明细!$AB$2:$AB$50000,"&lt;&gt;设计如此",缺陷明细!$AB$2:$AB$50000,"&lt;&gt;重复Bug")</f>
        <v>0</v>
      </c>
      <c r="V38" s="75">
        <f>COUNTIFS(缺陷明细!$A$2:$A$50000,$B$4,缺陷明细!$G$2:$G$50000,$C38,缺陷明细!$Q$2:$Q$50000,"已关闭",缺陷明细!$J$2:$J$50000,"验收测试")</f>
        <v>0</v>
      </c>
      <c r="W38" s="75">
        <f>COUNTIFS(缺陷明细!$A$2:$A$50000,$B$4,缺陷明细!$G$2:$G$50000,$C38,缺陷明细!$J$2:$J$50000,"验收测试",缺陷明细!$K$2:$K$50000,"致命",缺陷明细!$AB$2:$AB$50000,"&lt;&gt;丢弃",缺陷明细!$AB$2:$AB$50000,"&lt;&gt;设计如此",缺陷明细!$AB$2:$AB$50000,"&lt;&gt;重复Bug")+COUNTIFS(缺陷明细!$A$2:$A$50000,$B$4,缺陷明细!$G$2:$G$50000,$C38,缺陷明细!$J$2:$J$50000,"验收测试",缺陷明细!$K$2:$K$50000,"严重",缺陷明细!$AB$2:$AB$50000,"&lt;&gt;丢弃",缺陷明细!$AB$2:$AB$50000,"&lt;&gt;设计如此",缺陷明细!$AB$2:$AB$50000,"&lt;&gt;重复Bug")</f>
        <v>0</v>
      </c>
      <c r="X38" s="76">
        <f>COUNTIFS(缺陷明细!$A$2:$A$50000,$B$4,缺陷明细!$G$2:$G$50000,$C38,缺陷明细!$Q$2:$Q$50000,"已关闭",缺陷明细!$J$2:$J$50000,"验收测试",缺陷明细!$K$2:$K$50000,"致命")+COUNTIFS(缺陷明细!$A$2:$A$50000,$B$4,缺陷明细!$G$2:$G$50000,$C38,缺陷明细!$Q$2:$Q$50000,"已关闭",缺陷明细!$J$2:$J$50000,"验收测试",缺陷明细!$K$2:$K$50000,"严重")</f>
        <v>0</v>
      </c>
      <c r="Y38" s="70">
        <f>COUNTIFS(缺陷明细!$A$2:$A$50000,$B$4,缺陷明细!$G$2:$G$50000,$C38,缺陷明细!$J$2:$J$50000,"运维测试",缺陷明细!$AB$2:$AB$50000,"&lt;&gt;丢弃",缺陷明细!$AB$2:$AB$50000,"&lt;&gt;设计如此",缺陷明细!$AB$2:$AB$50000,"&lt;&gt;重复Bug")</f>
        <v>0</v>
      </c>
      <c r="Z38" s="71">
        <f>COUNTIFS(缺陷明细!$A$2:$A$50000,$B$4,缺陷明细!$G$2:$G$50000,$C38,缺陷明细!$Q$2:$Q$50000,"已关闭",缺陷明细!$J$2:$J$50000,"运维测试")</f>
        <v>0</v>
      </c>
      <c r="AA38" s="72">
        <f>COUNTIFS(缺陷明细!$A$2:$A$50000,$B$4,缺陷明细!$G$2:$G$50000,$C38,缺陷明细!$J$2:$J$50000,"运维测试",缺陷明细!$K$2:$K$50000,"致命",缺陷明细!$AB$2:$AB$50000,"&lt;&gt;丢弃",缺陷明细!$AB$2:$AB$50000,"&lt;&gt;设计如此",缺陷明细!$AB$2:$AB$50000,"&lt;&gt;重复Bug")+COUNTIFS(缺陷明细!$A$2:$A$50000,$B$4,缺陷明细!$G$2:$G$50000,$C38,缺陷明细!$J$2:$J$50000,"运维测试",缺陷明细!$K$2:$K$50000,"严重",缺陷明细!$AB$2:$AB$50000,"&lt;&gt;丢弃",缺陷明细!$AB$2:$AB$50000,"&lt;&gt;设计如此",缺陷明细!$AB$2:$AB$50000,"&lt;&gt;重复Bug")</f>
        <v>0</v>
      </c>
      <c r="AB38" s="73">
        <f>COUNTIFS(缺陷明细!$A$2:$A$50000,$B$4,缺陷明细!$G$2:$G$50000,$C38,缺陷明细!$Q$2:$Q$50000,"已关闭",缺陷明细!$J$2:$J$50000,"运维测试",缺陷明细!$K$2:$K$50000,"致命")+COUNTIFS(缺陷明细!$A$2:$A$50000,$B$4,缺陷明细!$G$2:$G$50000,$C38,缺陷明细!$Q$2:$Q$50000,"已关闭",缺陷明细!$J$2:$J$50000,"运维测试",缺陷明细!$K$2:$K$50000,"严重")</f>
        <v>0</v>
      </c>
      <c r="AC38" s="68">
        <f t="shared" si="0"/>
        <v>0</v>
      </c>
      <c r="AD38" s="60">
        <f t="shared" si="0"/>
        <v>0</v>
      </c>
      <c r="AE38" s="60">
        <f t="shared" si="1"/>
        <v>0</v>
      </c>
      <c r="AF38" s="60">
        <f t="shared" si="1"/>
        <v>0</v>
      </c>
      <c r="AG38" s="60">
        <f t="shared" si="2"/>
        <v>0</v>
      </c>
      <c r="AH38" s="60">
        <f t="shared" si="2"/>
        <v>0</v>
      </c>
      <c r="AI38" s="60">
        <f t="shared" si="3"/>
        <v>0</v>
      </c>
      <c r="AJ38" s="61">
        <f t="shared" si="3"/>
        <v>0</v>
      </c>
      <c r="AK38" s="144"/>
    </row>
    <row r="39" spans="1:37">
      <c r="A39">
        <v>35</v>
      </c>
      <c r="B39" s="57"/>
      <c r="C39" s="58"/>
      <c r="D39" s="84"/>
      <c r="E39" s="82"/>
      <c r="F39" s="158"/>
      <c r="G39" s="159"/>
      <c r="H39" s="281">
        <f>COUNTIFS(缺陷明细!$A$2:$A$50000,$B$4,缺陷明细!$G$2:$G$50000,$C39,缺陷明细!$J$2:$J$50000,"评审",缺陷明细!$AB$2:$AB$50000,"&lt;&gt;丢弃",缺陷明细!$AB$2:$AB$50000,"&lt;&gt;设计如此",缺陷明细!$AB$2:$AB$50000,"&lt;&gt;重复Bug")</f>
        <v>0</v>
      </c>
      <c r="I39" s="154">
        <f>COUNTIFS(缺陷明细!$A$2:$A$50000,$B$4,缺陷明细!$G$2:$G$50000,$C39,缺陷明细!$Q$2:$Q$50000,"已关闭",缺陷明细!$J$2:$J$50000,"评审")</f>
        <v>0</v>
      </c>
      <c r="J39" s="154">
        <f>COUNTIFS(缺陷明细!$A$2:$A$50000,$B$4,缺陷明细!$G$2:$G$50000,$C39,缺陷明细!$J$2:$J$50000,"单元测试",缺陷明细!$AB$2:$AB$50000,"&lt;&gt;丢弃",缺陷明细!$AB$2:$AB$50000,"&lt;&gt;设计如此",缺陷明细!$AB$2:$AB$50000,"&lt;&gt;重复Bug")</f>
        <v>0</v>
      </c>
      <c r="K39" s="155">
        <f>COUNTIFS(缺陷明细!$A$2:$A$50000,$B$4,缺陷明细!$G$2:$G$50000,$C39,缺陷明细!$Q$2:$Q$50000,"已关闭",缺陷明细!$J$2:$J$50000,"单元测试")</f>
        <v>0</v>
      </c>
      <c r="L39" s="156"/>
      <c r="M39" s="157"/>
      <c r="N39" s="72">
        <f>COUNTIFS(缺陷明细!$A$2:$A$50000,$B$4,缺陷明细!$G$2:$G$50000,$C39,缺陷明细!$J$2:$J$50000,"系统测试案例评审",缺陷明细!$AB$2:$AB$50000,"&lt;&gt;丢弃",缺陷明细!$AB$2:$AB$50000,"&lt;&gt;设计如此",缺陷明细!$AB$2:$AB$50000,"&lt;&gt;重复Bug")</f>
        <v>0</v>
      </c>
      <c r="O39" s="72">
        <f>COUNTIFS(缺陷明细!$A$2:$A$50000,$B$4,缺陷明细!$G$2:$G$50000,$C39,缺陷明细!$Q$2:$Q$50000,"已关闭",缺陷明细!$J$2:$J$50000,"系统测试案例评审")</f>
        <v>0</v>
      </c>
      <c r="P39" s="72">
        <f>COUNTIFS(缺陷明细!$A$2:$A$50000,$B$4,缺陷明细!$G$2:$G$50000,$C39,缺陷明细!$J$2:$J$50000,"系统测试",缺陷明细!$AB$2:$AB$50000,"&lt;&gt;丢弃",缺陷明细!$AB$2:$AB$50000,"&lt;&gt;设计如此",缺陷明细!$AB$2:$AB$50000,"&lt;&gt;重复Bug")</f>
        <v>0</v>
      </c>
      <c r="Q39" s="72">
        <f>COUNTIFS(缺陷明细!$A$2:$A$50000,$B$4,缺陷明细!$G$2:$G$50000,$C39,缺陷明细!$Q$2:$Q$50000,"已关闭",缺陷明细!$J$2:$J$50000,"系统测试")</f>
        <v>0</v>
      </c>
      <c r="R39" s="296">
        <f>COUNTIFS(缺陷明细!$A$2:$A$50000,$B$4,缺陷明细!$G$2:$G$50000,$C39,缺陷明细!$AB$2:$AB$50000,"丢弃",缺陷明细!$J$2:$J$50000,"系统测试")+COUNTIFS(缺陷明细!$A$2:$A$50000,$B$4,缺陷明细!$G$2:$G$50000,$C39,缺陷明细!$AB$2:$AB$50000,"设计如此",缺陷明细!$J$2:$J$50000,"系统测试")+COUNTIFS(缺陷明细!$A$2:$A$50000,$B$4,缺陷明细!$G$2:$G$50000,$C39,缺陷明细!$AB$2:$AB$50000,"重复Bug",缺陷明细!$J$2:$J$50000,"系统测试")</f>
        <v>0</v>
      </c>
      <c r="S39" s="72">
        <f>COUNTIFS(缺陷明细!$A$2:$A$50000,$B$4,缺陷明细!$G$2:$G$50000,$C39,缺陷明细!$J$2:$J$50000,"系统测试",缺陷明细!$K$2:$K$50000,"致命",缺陷明细!$AB$2:$AB$50000,"&lt;&gt;丢弃",缺陷明细!$AB$2:$AB$50000,"&lt;&gt;设计如此",缺陷明细!$AB$2:$AB$50000,"&lt;&gt;重复Bug")+COUNTIFS(缺陷明细!$A$2:$A$50000,$B$4,缺陷明细!$G$2:$G$50000,$C39,缺陷明细!$J$2:$J$50000,"系统测试",缺陷明细!$K$2:$K$50000,"严重",缺陷明细!$AB$2:$AB$50000,"&lt;&gt;丢弃",缺陷明细!$AB$2:$AB$50000,"&lt;&gt;设计如此",缺陷明细!$AB$2:$AB$50000,"&lt;&gt;重复Bug")</f>
        <v>0</v>
      </c>
      <c r="T39" s="73">
        <f>COUNTIFS(缺陷明细!$A$2:$A$50000,$B$4,缺陷明细!$G$2:$G$50000,$C39,缺陷明细!$Q$2:$Q$50000,"已关闭",缺陷明细!$J$2:$J$50000,"系统测试",缺陷明细!$K$2:$K$50000,"致命")+COUNTIFS(缺陷明细!$A$2:$A$50000,$B$4,缺陷明细!$G$2:$G$50000,$C39,缺陷明细!$Q$2:$Q$50000,"已关闭",缺陷明细!$J$2:$J$50000,"系统测试",缺陷明细!$K$2:$K$50000,"严重")</f>
        <v>0</v>
      </c>
      <c r="U39" s="74">
        <f>COUNTIFS(缺陷明细!$A$2:$A$50000,$B$4,缺陷明细!$G$2:$G$50000,$C39,缺陷明细!$J$2:$J$50000,"验收测试",缺陷明细!$AB$2:$AB$50000,"&lt;&gt;丢弃",缺陷明细!$AB$2:$AB$50000,"&lt;&gt;设计如此",缺陷明细!$AB$2:$AB$50000,"&lt;&gt;重复Bug")</f>
        <v>0</v>
      </c>
      <c r="V39" s="75">
        <f>COUNTIFS(缺陷明细!$A$2:$A$50000,$B$4,缺陷明细!$G$2:$G$50000,$C39,缺陷明细!$Q$2:$Q$50000,"已关闭",缺陷明细!$J$2:$J$50000,"验收测试")</f>
        <v>0</v>
      </c>
      <c r="W39" s="75">
        <f>COUNTIFS(缺陷明细!$A$2:$A$50000,$B$4,缺陷明细!$G$2:$G$50000,$C39,缺陷明细!$J$2:$J$50000,"验收测试",缺陷明细!$K$2:$K$50000,"致命",缺陷明细!$AB$2:$AB$50000,"&lt;&gt;丢弃",缺陷明细!$AB$2:$AB$50000,"&lt;&gt;设计如此",缺陷明细!$AB$2:$AB$50000,"&lt;&gt;重复Bug")+COUNTIFS(缺陷明细!$A$2:$A$50000,$B$4,缺陷明细!$G$2:$G$50000,$C39,缺陷明细!$J$2:$J$50000,"验收测试",缺陷明细!$K$2:$K$50000,"严重",缺陷明细!$AB$2:$AB$50000,"&lt;&gt;丢弃",缺陷明细!$AB$2:$AB$50000,"&lt;&gt;设计如此",缺陷明细!$AB$2:$AB$50000,"&lt;&gt;重复Bug")</f>
        <v>0</v>
      </c>
      <c r="X39" s="76">
        <f>COUNTIFS(缺陷明细!$A$2:$A$50000,$B$4,缺陷明细!$G$2:$G$50000,$C39,缺陷明细!$Q$2:$Q$50000,"已关闭",缺陷明细!$J$2:$J$50000,"验收测试",缺陷明细!$K$2:$K$50000,"致命")+COUNTIFS(缺陷明细!$A$2:$A$50000,$B$4,缺陷明细!$G$2:$G$50000,$C39,缺陷明细!$Q$2:$Q$50000,"已关闭",缺陷明细!$J$2:$J$50000,"验收测试",缺陷明细!$K$2:$K$50000,"严重")</f>
        <v>0</v>
      </c>
      <c r="Y39" s="70">
        <f>COUNTIFS(缺陷明细!$A$2:$A$50000,$B$4,缺陷明细!$G$2:$G$50000,$C39,缺陷明细!$J$2:$J$50000,"运维测试",缺陷明细!$AB$2:$AB$50000,"&lt;&gt;丢弃",缺陷明细!$AB$2:$AB$50000,"&lt;&gt;设计如此",缺陷明细!$AB$2:$AB$50000,"&lt;&gt;重复Bug")</f>
        <v>0</v>
      </c>
      <c r="Z39" s="71">
        <f>COUNTIFS(缺陷明细!$A$2:$A$50000,$B$4,缺陷明细!$G$2:$G$50000,$C39,缺陷明细!$Q$2:$Q$50000,"已关闭",缺陷明细!$J$2:$J$50000,"运维测试")</f>
        <v>0</v>
      </c>
      <c r="AA39" s="72">
        <f>COUNTIFS(缺陷明细!$A$2:$A$50000,$B$4,缺陷明细!$G$2:$G$50000,$C39,缺陷明细!$J$2:$J$50000,"运维测试",缺陷明细!$K$2:$K$50000,"致命",缺陷明细!$AB$2:$AB$50000,"&lt;&gt;丢弃",缺陷明细!$AB$2:$AB$50000,"&lt;&gt;设计如此",缺陷明细!$AB$2:$AB$50000,"&lt;&gt;重复Bug")+COUNTIFS(缺陷明细!$A$2:$A$50000,$B$4,缺陷明细!$G$2:$G$50000,$C39,缺陷明细!$J$2:$J$50000,"运维测试",缺陷明细!$K$2:$K$50000,"严重",缺陷明细!$AB$2:$AB$50000,"&lt;&gt;丢弃",缺陷明细!$AB$2:$AB$50000,"&lt;&gt;设计如此",缺陷明细!$AB$2:$AB$50000,"&lt;&gt;重复Bug")</f>
        <v>0</v>
      </c>
      <c r="AB39" s="73">
        <f>COUNTIFS(缺陷明细!$A$2:$A$50000,$B$4,缺陷明细!$G$2:$G$50000,$C39,缺陷明细!$Q$2:$Q$50000,"已关闭",缺陷明细!$J$2:$J$50000,"运维测试",缺陷明细!$K$2:$K$50000,"致命")+COUNTIFS(缺陷明细!$A$2:$A$50000,$B$4,缺陷明细!$G$2:$G$50000,$C39,缺陷明细!$Q$2:$Q$50000,"已关闭",缺陷明细!$J$2:$J$50000,"运维测试",缺陷明细!$K$2:$K$50000,"严重")</f>
        <v>0</v>
      </c>
      <c r="AC39" s="68">
        <f t="shared" si="0"/>
        <v>0</v>
      </c>
      <c r="AD39" s="60">
        <f t="shared" si="0"/>
        <v>0</v>
      </c>
      <c r="AE39" s="60">
        <f t="shared" si="1"/>
        <v>0</v>
      </c>
      <c r="AF39" s="60">
        <f t="shared" si="1"/>
        <v>0</v>
      </c>
      <c r="AG39" s="60">
        <f t="shared" si="2"/>
        <v>0</v>
      </c>
      <c r="AH39" s="60">
        <f t="shared" si="2"/>
        <v>0</v>
      </c>
      <c r="AI39" s="60">
        <f t="shared" si="3"/>
        <v>0</v>
      </c>
      <c r="AJ39" s="61">
        <f t="shared" si="3"/>
        <v>0</v>
      </c>
      <c r="AK39" s="144"/>
    </row>
    <row r="40" spans="1:37">
      <c r="A40">
        <v>36</v>
      </c>
      <c r="B40" s="57"/>
      <c r="C40" s="58"/>
      <c r="D40" s="84"/>
      <c r="E40" s="82"/>
      <c r="F40" s="158"/>
      <c r="G40" s="159"/>
      <c r="H40" s="281">
        <f>COUNTIFS(缺陷明细!$A$2:$A$50000,$B$4,缺陷明细!$G$2:$G$50000,$C40,缺陷明细!$J$2:$J$50000,"评审",缺陷明细!$AB$2:$AB$50000,"&lt;&gt;丢弃",缺陷明细!$AB$2:$AB$50000,"&lt;&gt;设计如此",缺陷明细!$AB$2:$AB$50000,"&lt;&gt;重复Bug")</f>
        <v>0</v>
      </c>
      <c r="I40" s="154">
        <f>COUNTIFS(缺陷明细!$A$2:$A$50000,$B$4,缺陷明细!$G$2:$G$50000,$C40,缺陷明细!$Q$2:$Q$50000,"已关闭",缺陷明细!$J$2:$J$50000,"评审")</f>
        <v>0</v>
      </c>
      <c r="J40" s="154">
        <f>COUNTIFS(缺陷明细!$A$2:$A$50000,$B$4,缺陷明细!$G$2:$G$50000,$C40,缺陷明细!$J$2:$J$50000,"单元测试",缺陷明细!$AB$2:$AB$50000,"&lt;&gt;丢弃",缺陷明细!$AB$2:$AB$50000,"&lt;&gt;设计如此",缺陷明细!$AB$2:$AB$50000,"&lt;&gt;重复Bug")</f>
        <v>0</v>
      </c>
      <c r="K40" s="155">
        <f>COUNTIFS(缺陷明细!$A$2:$A$50000,$B$4,缺陷明细!$G$2:$G$50000,$C40,缺陷明细!$Q$2:$Q$50000,"已关闭",缺陷明细!$J$2:$J$50000,"单元测试")</f>
        <v>0</v>
      </c>
      <c r="L40" s="156"/>
      <c r="M40" s="157"/>
      <c r="N40" s="72">
        <f>COUNTIFS(缺陷明细!$A$2:$A$50000,$B$4,缺陷明细!$G$2:$G$50000,$C40,缺陷明细!$J$2:$J$50000,"系统测试案例评审",缺陷明细!$AB$2:$AB$50000,"&lt;&gt;丢弃",缺陷明细!$AB$2:$AB$50000,"&lt;&gt;设计如此",缺陷明细!$AB$2:$AB$50000,"&lt;&gt;重复Bug")</f>
        <v>0</v>
      </c>
      <c r="O40" s="72">
        <f>COUNTIFS(缺陷明细!$A$2:$A$50000,$B$4,缺陷明细!$G$2:$G$50000,$C40,缺陷明细!$Q$2:$Q$50000,"已关闭",缺陷明细!$J$2:$J$50000,"系统测试案例评审")</f>
        <v>0</v>
      </c>
      <c r="P40" s="72">
        <f>COUNTIFS(缺陷明细!$A$2:$A$50000,$B$4,缺陷明细!$G$2:$G$50000,$C40,缺陷明细!$J$2:$J$50000,"系统测试",缺陷明细!$AB$2:$AB$50000,"&lt;&gt;丢弃",缺陷明细!$AB$2:$AB$50000,"&lt;&gt;设计如此",缺陷明细!$AB$2:$AB$50000,"&lt;&gt;重复Bug")</f>
        <v>0</v>
      </c>
      <c r="Q40" s="72">
        <f>COUNTIFS(缺陷明细!$A$2:$A$50000,$B$4,缺陷明细!$G$2:$G$50000,$C40,缺陷明细!$Q$2:$Q$50000,"已关闭",缺陷明细!$J$2:$J$50000,"系统测试")</f>
        <v>0</v>
      </c>
      <c r="R40" s="296">
        <f>COUNTIFS(缺陷明细!$A$2:$A$50000,$B$4,缺陷明细!$G$2:$G$50000,$C40,缺陷明细!$AB$2:$AB$50000,"丢弃",缺陷明细!$J$2:$J$50000,"系统测试")+COUNTIFS(缺陷明细!$A$2:$A$50000,$B$4,缺陷明细!$G$2:$G$50000,$C40,缺陷明细!$AB$2:$AB$50000,"设计如此",缺陷明细!$J$2:$J$50000,"系统测试")+COUNTIFS(缺陷明细!$A$2:$A$50000,$B$4,缺陷明细!$G$2:$G$50000,$C40,缺陷明细!$AB$2:$AB$50000,"重复Bug",缺陷明细!$J$2:$J$50000,"系统测试")</f>
        <v>0</v>
      </c>
      <c r="S40" s="72">
        <f>COUNTIFS(缺陷明细!$A$2:$A$50000,$B$4,缺陷明细!$G$2:$G$50000,$C40,缺陷明细!$J$2:$J$50000,"系统测试",缺陷明细!$K$2:$K$50000,"致命",缺陷明细!$AB$2:$AB$50000,"&lt;&gt;丢弃",缺陷明细!$AB$2:$AB$50000,"&lt;&gt;设计如此",缺陷明细!$AB$2:$AB$50000,"&lt;&gt;重复Bug")+COUNTIFS(缺陷明细!$A$2:$A$50000,$B$4,缺陷明细!$G$2:$G$50000,$C40,缺陷明细!$J$2:$J$50000,"系统测试",缺陷明细!$K$2:$K$50000,"严重",缺陷明细!$AB$2:$AB$50000,"&lt;&gt;丢弃",缺陷明细!$AB$2:$AB$50000,"&lt;&gt;设计如此",缺陷明细!$AB$2:$AB$50000,"&lt;&gt;重复Bug")</f>
        <v>0</v>
      </c>
      <c r="T40" s="73">
        <f>COUNTIFS(缺陷明细!$A$2:$A$50000,$B$4,缺陷明细!$G$2:$G$50000,$C40,缺陷明细!$Q$2:$Q$50000,"已关闭",缺陷明细!$J$2:$J$50000,"系统测试",缺陷明细!$K$2:$K$50000,"致命")+COUNTIFS(缺陷明细!$A$2:$A$50000,$B$4,缺陷明细!$G$2:$G$50000,$C40,缺陷明细!$Q$2:$Q$50000,"已关闭",缺陷明细!$J$2:$J$50000,"系统测试",缺陷明细!$K$2:$K$50000,"严重")</f>
        <v>0</v>
      </c>
      <c r="U40" s="74">
        <f>COUNTIFS(缺陷明细!$A$2:$A$50000,$B$4,缺陷明细!$G$2:$G$50000,$C40,缺陷明细!$J$2:$J$50000,"验收测试",缺陷明细!$AB$2:$AB$50000,"&lt;&gt;丢弃",缺陷明细!$AB$2:$AB$50000,"&lt;&gt;设计如此",缺陷明细!$AB$2:$AB$50000,"&lt;&gt;重复Bug")</f>
        <v>0</v>
      </c>
      <c r="V40" s="75">
        <f>COUNTIFS(缺陷明细!$A$2:$A$50000,$B$4,缺陷明细!$G$2:$G$50000,$C40,缺陷明细!$Q$2:$Q$50000,"已关闭",缺陷明细!$J$2:$J$50000,"验收测试")</f>
        <v>0</v>
      </c>
      <c r="W40" s="75">
        <f>COUNTIFS(缺陷明细!$A$2:$A$50000,$B$4,缺陷明细!$G$2:$G$50000,$C40,缺陷明细!$J$2:$J$50000,"验收测试",缺陷明细!$K$2:$K$50000,"致命",缺陷明细!$AB$2:$AB$50000,"&lt;&gt;丢弃",缺陷明细!$AB$2:$AB$50000,"&lt;&gt;设计如此",缺陷明细!$AB$2:$AB$50000,"&lt;&gt;重复Bug")+COUNTIFS(缺陷明细!$A$2:$A$50000,$B$4,缺陷明细!$G$2:$G$50000,$C40,缺陷明细!$J$2:$J$50000,"验收测试",缺陷明细!$K$2:$K$50000,"严重",缺陷明细!$AB$2:$AB$50000,"&lt;&gt;丢弃",缺陷明细!$AB$2:$AB$50000,"&lt;&gt;设计如此",缺陷明细!$AB$2:$AB$50000,"&lt;&gt;重复Bug")</f>
        <v>0</v>
      </c>
      <c r="X40" s="76">
        <f>COUNTIFS(缺陷明细!$A$2:$A$50000,$B$4,缺陷明细!$G$2:$G$50000,$C40,缺陷明细!$Q$2:$Q$50000,"已关闭",缺陷明细!$J$2:$J$50000,"验收测试",缺陷明细!$K$2:$K$50000,"致命")+COUNTIFS(缺陷明细!$A$2:$A$50000,$B$4,缺陷明细!$G$2:$G$50000,$C40,缺陷明细!$Q$2:$Q$50000,"已关闭",缺陷明细!$J$2:$J$50000,"验收测试",缺陷明细!$K$2:$K$50000,"严重")</f>
        <v>0</v>
      </c>
      <c r="Y40" s="70">
        <f>COUNTIFS(缺陷明细!$A$2:$A$50000,$B$4,缺陷明细!$G$2:$G$50000,$C40,缺陷明细!$J$2:$J$50000,"运维测试",缺陷明细!$AB$2:$AB$50000,"&lt;&gt;丢弃",缺陷明细!$AB$2:$AB$50000,"&lt;&gt;设计如此",缺陷明细!$AB$2:$AB$50000,"&lt;&gt;重复Bug")</f>
        <v>0</v>
      </c>
      <c r="Z40" s="71">
        <f>COUNTIFS(缺陷明细!$A$2:$A$50000,$B$4,缺陷明细!$G$2:$G$50000,$C40,缺陷明细!$Q$2:$Q$50000,"已关闭",缺陷明细!$J$2:$J$50000,"运维测试")</f>
        <v>0</v>
      </c>
      <c r="AA40" s="72">
        <f>COUNTIFS(缺陷明细!$A$2:$A$50000,$B$4,缺陷明细!$G$2:$G$50000,$C40,缺陷明细!$J$2:$J$50000,"运维测试",缺陷明细!$K$2:$K$50000,"致命",缺陷明细!$AB$2:$AB$50000,"&lt;&gt;丢弃",缺陷明细!$AB$2:$AB$50000,"&lt;&gt;设计如此",缺陷明细!$AB$2:$AB$50000,"&lt;&gt;重复Bug")+COUNTIFS(缺陷明细!$A$2:$A$50000,$B$4,缺陷明细!$G$2:$G$50000,$C40,缺陷明细!$J$2:$J$50000,"运维测试",缺陷明细!$K$2:$K$50000,"严重",缺陷明细!$AB$2:$AB$50000,"&lt;&gt;丢弃",缺陷明细!$AB$2:$AB$50000,"&lt;&gt;设计如此",缺陷明细!$AB$2:$AB$50000,"&lt;&gt;重复Bug")</f>
        <v>0</v>
      </c>
      <c r="AB40" s="73">
        <f>COUNTIFS(缺陷明细!$A$2:$A$50000,$B$4,缺陷明细!$G$2:$G$50000,$C40,缺陷明细!$Q$2:$Q$50000,"已关闭",缺陷明细!$J$2:$J$50000,"运维测试",缺陷明细!$K$2:$K$50000,"致命")+COUNTIFS(缺陷明细!$A$2:$A$50000,$B$4,缺陷明细!$G$2:$G$50000,$C40,缺陷明细!$Q$2:$Q$50000,"已关闭",缺陷明细!$J$2:$J$50000,"运维测试",缺陷明细!$K$2:$K$50000,"严重")</f>
        <v>0</v>
      </c>
      <c r="AC40" s="68">
        <f t="shared" si="0"/>
        <v>0</v>
      </c>
      <c r="AD40" s="60">
        <f t="shared" si="0"/>
        <v>0</v>
      </c>
      <c r="AE40" s="60">
        <f t="shared" si="1"/>
        <v>0</v>
      </c>
      <c r="AF40" s="60">
        <f t="shared" si="1"/>
        <v>0</v>
      </c>
      <c r="AG40" s="60">
        <f t="shared" si="2"/>
        <v>0</v>
      </c>
      <c r="AH40" s="60">
        <f t="shared" si="2"/>
        <v>0</v>
      </c>
      <c r="AI40" s="60">
        <f t="shared" si="3"/>
        <v>0</v>
      </c>
      <c r="AJ40" s="61">
        <f t="shared" si="3"/>
        <v>0</v>
      </c>
      <c r="AK40" s="144"/>
    </row>
    <row r="41" spans="1:37">
      <c r="A41">
        <v>37</v>
      </c>
      <c r="B41" s="57"/>
      <c r="C41" s="58"/>
      <c r="D41" s="84"/>
      <c r="E41" s="82"/>
      <c r="F41" s="158"/>
      <c r="G41" s="159"/>
      <c r="H41" s="281">
        <f>COUNTIFS(缺陷明细!$A$2:$A$50000,$B$4,缺陷明细!$G$2:$G$50000,$C41,缺陷明细!$J$2:$J$50000,"评审",缺陷明细!$AB$2:$AB$50000,"&lt;&gt;丢弃",缺陷明细!$AB$2:$AB$50000,"&lt;&gt;设计如此",缺陷明细!$AB$2:$AB$50000,"&lt;&gt;重复Bug")</f>
        <v>0</v>
      </c>
      <c r="I41" s="154">
        <f>COUNTIFS(缺陷明细!$A$2:$A$50000,$B$4,缺陷明细!$G$2:$G$50000,$C41,缺陷明细!$Q$2:$Q$50000,"已关闭",缺陷明细!$J$2:$J$50000,"评审")</f>
        <v>0</v>
      </c>
      <c r="J41" s="154">
        <f>COUNTIFS(缺陷明细!$A$2:$A$50000,$B$4,缺陷明细!$G$2:$G$50000,$C41,缺陷明细!$J$2:$J$50000,"单元测试",缺陷明细!$AB$2:$AB$50000,"&lt;&gt;丢弃",缺陷明细!$AB$2:$AB$50000,"&lt;&gt;设计如此",缺陷明细!$AB$2:$AB$50000,"&lt;&gt;重复Bug")</f>
        <v>0</v>
      </c>
      <c r="K41" s="155">
        <f>COUNTIFS(缺陷明细!$A$2:$A$50000,$B$4,缺陷明细!$G$2:$G$50000,$C41,缺陷明细!$Q$2:$Q$50000,"已关闭",缺陷明细!$J$2:$J$50000,"单元测试")</f>
        <v>0</v>
      </c>
      <c r="L41" s="156"/>
      <c r="M41" s="157"/>
      <c r="N41" s="72">
        <f>COUNTIFS(缺陷明细!$A$2:$A$50000,$B$4,缺陷明细!$G$2:$G$50000,$C41,缺陷明细!$J$2:$J$50000,"系统测试案例评审",缺陷明细!$AB$2:$AB$50000,"&lt;&gt;丢弃",缺陷明细!$AB$2:$AB$50000,"&lt;&gt;设计如此",缺陷明细!$AB$2:$AB$50000,"&lt;&gt;重复Bug")</f>
        <v>0</v>
      </c>
      <c r="O41" s="72">
        <f>COUNTIFS(缺陷明细!$A$2:$A$50000,$B$4,缺陷明细!$G$2:$G$50000,$C41,缺陷明细!$Q$2:$Q$50000,"已关闭",缺陷明细!$J$2:$J$50000,"系统测试案例评审")</f>
        <v>0</v>
      </c>
      <c r="P41" s="72">
        <f>COUNTIFS(缺陷明细!$A$2:$A$50000,$B$4,缺陷明细!$G$2:$G$50000,$C41,缺陷明细!$J$2:$J$50000,"系统测试",缺陷明细!$AB$2:$AB$50000,"&lt;&gt;丢弃",缺陷明细!$AB$2:$AB$50000,"&lt;&gt;设计如此",缺陷明细!$AB$2:$AB$50000,"&lt;&gt;重复Bug")</f>
        <v>0</v>
      </c>
      <c r="Q41" s="72">
        <f>COUNTIFS(缺陷明细!$A$2:$A$50000,$B$4,缺陷明细!$G$2:$G$50000,$C41,缺陷明细!$Q$2:$Q$50000,"已关闭",缺陷明细!$J$2:$J$50000,"系统测试")</f>
        <v>0</v>
      </c>
      <c r="R41" s="296">
        <f>COUNTIFS(缺陷明细!$A$2:$A$50000,$B$4,缺陷明细!$G$2:$G$50000,$C41,缺陷明细!$AB$2:$AB$50000,"丢弃",缺陷明细!$J$2:$J$50000,"系统测试")+COUNTIFS(缺陷明细!$A$2:$A$50000,$B$4,缺陷明细!$G$2:$G$50000,$C41,缺陷明细!$AB$2:$AB$50000,"设计如此",缺陷明细!$J$2:$J$50000,"系统测试")+COUNTIFS(缺陷明细!$A$2:$A$50000,$B$4,缺陷明细!$G$2:$G$50000,$C41,缺陷明细!$AB$2:$AB$50000,"重复Bug",缺陷明细!$J$2:$J$50000,"系统测试")</f>
        <v>0</v>
      </c>
      <c r="S41" s="72">
        <f>COUNTIFS(缺陷明细!$A$2:$A$50000,$B$4,缺陷明细!$G$2:$G$50000,$C41,缺陷明细!$J$2:$J$50000,"系统测试",缺陷明细!$K$2:$K$50000,"致命",缺陷明细!$AB$2:$AB$50000,"&lt;&gt;丢弃",缺陷明细!$AB$2:$AB$50000,"&lt;&gt;设计如此",缺陷明细!$AB$2:$AB$50000,"&lt;&gt;重复Bug")+COUNTIFS(缺陷明细!$A$2:$A$50000,$B$4,缺陷明细!$G$2:$G$50000,$C41,缺陷明细!$J$2:$J$50000,"系统测试",缺陷明细!$K$2:$K$50000,"严重",缺陷明细!$AB$2:$AB$50000,"&lt;&gt;丢弃",缺陷明细!$AB$2:$AB$50000,"&lt;&gt;设计如此",缺陷明细!$AB$2:$AB$50000,"&lt;&gt;重复Bug")</f>
        <v>0</v>
      </c>
      <c r="T41" s="73">
        <f>COUNTIFS(缺陷明细!$A$2:$A$50000,$B$4,缺陷明细!$G$2:$G$50000,$C41,缺陷明细!$Q$2:$Q$50000,"已关闭",缺陷明细!$J$2:$J$50000,"系统测试",缺陷明细!$K$2:$K$50000,"致命")+COUNTIFS(缺陷明细!$A$2:$A$50000,$B$4,缺陷明细!$G$2:$G$50000,$C41,缺陷明细!$Q$2:$Q$50000,"已关闭",缺陷明细!$J$2:$J$50000,"系统测试",缺陷明细!$K$2:$K$50000,"严重")</f>
        <v>0</v>
      </c>
      <c r="U41" s="74">
        <f>COUNTIFS(缺陷明细!$A$2:$A$50000,$B$4,缺陷明细!$G$2:$G$50000,$C41,缺陷明细!$J$2:$J$50000,"验收测试",缺陷明细!$AB$2:$AB$50000,"&lt;&gt;丢弃",缺陷明细!$AB$2:$AB$50000,"&lt;&gt;设计如此",缺陷明细!$AB$2:$AB$50000,"&lt;&gt;重复Bug")</f>
        <v>0</v>
      </c>
      <c r="V41" s="75">
        <f>COUNTIFS(缺陷明细!$A$2:$A$50000,$B$4,缺陷明细!$G$2:$G$50000,$C41,缺陷明细!$Q$2:$Q$50000,"已关闭",缺陷明细!$J$2:$J$50000,"验收测试")</f>
        <v>0</v>
      </c>
      <c r="W41" s="75">
        <f>COUNTIFS(缺陷明细!$A$2:$A$50000,$B$4,缺陷明细!$G$2:$G$50000,$C41,缺陷明细!$J$2:$J$50000,"验收测试",缺陷明细!$K$2:$K$50000,"致命",缺陷明细!$AB$2:$AB$50000,"&lt;&gt;丢弃",缺陷明细!$AB$2:$AB$50000,"&lt;&gt;设计如此",缺陷明细!$AB$2:$AB$50000,"&lt;&gt;重复Bug")+COUNTIFS(缺陷明细!$A$2:$A$50000,$B$4,缺陷明细!$G$2:$G$50000,$C41,缺陷明细!$J$2:$J$50000,"验收测试",缺陷明细!$K$2:$K$50000,"严重",缺陷明细!$AB$2:$AB$50000,"&lt;&gt;丢弃",缺陷明细!$AB$2:$AB$50000,"&lt;&gt;设计如此",缺陷明细!$AB$2:$AB$50000,"&lt;&gt;重复Bug")</f>
        <v>0</v>
      </c>
      <c r="X41" s="76">
        <f>COUNTIFS(缺陷明细!$A$2:$A$50000,$B$4,缺陷明细!$G$2:$G$50000,$C41,缺陷明细!$Q$2:$Q$50000,"已关闭",缺陷明细!$J$2:$J$50000,"验收测试",缺陷明细!$K$2:$K$50000,"致命")+COUNTIFS(缺陷明细!$A$2:$A$50000,$B$4,缺陷明细!$G$2:$G$50000,$C41,缺陷明细!$Q$2:$Q$50000,"已关闭",缺陷明细!$J$2:$J$50000,"验收测试",缺陷明细!$K$2:$K$50000,"严重")</f>
        <v>0</v>
      </c>
      <c r="Y41" s="70">
        <f>COUNTIFS(缺陷明细!$A$2:$A$50000,$B$4,缺陷明细!$G$2:$G$50000,$C41,缺陷明细!$J$2:$J$50000,"运维测试",缺陷明细!$AB$2:$AB$50000,"&lt;&gt;丢弃",缺陷明细!$AB$2:$AB$50000,"&lt;&gt;设计如此",缺陷明细!$AB$2:$AB$50000,"&lt;&gt;重复Bug")</f>
        <v>0</v>
      </c>
      <c r="Z41" s="71">
        <f>COUNTIFS(缺陷明细!$A$2:$A$50000,$B$4,缺陷明细!$G$2:$G$50000,$C41,缺陷明细!$Q$2:$Q$50000,"已关闭",缺陷明细!$J$2:$J$50000,"运维测试")</f>
        <v>0</v>
      </c>
      <c r="AA41" s="72">
        <f>COUNTIFS(缺陷明细!$A$2:$A$50000,$B$4,缺陷明细!$G$2:$G$50000,$C41,缺陷明细!$J$2:$J$50000,"运维测试",缺陷明细!$K$2:$K$50000,"致命",缺陷明细!$AB$2:$AB$50000,"&lt;&gt;丢弃",缺陷明细!$AB$2:$AB$50000,"&lt;&gt;设计如此",缺陷明细!$AB$2:$AB$50000,"&lt;&gt;重复Bug")+COUNTIFS(缺陷明细!$A$2:$A$50000,$B$4,缺陷明细!$G$2:$G$50000,$C41,缺陷明细!$J$2:$J$50000,"运维测试",缺陷明细!$K$2:$K$50000,"严重",缺陷明细!$AB$2:$AB$50000,"&lt;&gt;丢弃",缺陷明细!$AB$2:$AB$50000,"&lt;&gt;设计如此",缺陷明细!$AB$2:$AB$50000,"&lt;&gt;重复Bug")</f>
        <v>0</v>
      </c>
      <c r="AB41" s="73">
        <f>COUNTIFS(缺陷明细!$A$2:$A$50000,$B$4,缺陷明细!$G$2:$G$50000,$C41,缺陷明细!$Q$2:$Q$50000,"已关闭",缺陷明细!$J$2:$J$50000,"运维测试",缺陷明细!$K$2:$K$50000,"致命")+COUNTIFS(缺陷明细!$A$2:$A$50000,$B$4,缺陷明细!$G$2:$G$50000,$C41,缺陷明细!$Q$2:$Q$50000,"已关闭",缺陷明细!$J$2:$J$50000,"运维测试",缺陷明细!$K$2:$K$50000,"严重")</f>
        <v>0</v>
      </c>
      <c r="AC41" s="68">
        <f t="shared" si="0"/>
        <v>0</v>
      </c>
      <c r="AD41" s="60">
        <f t="shared" si="0"/>
        <v>0</v>
      </c>
      <c r="AE41" s="60">
        <f t="shared" si="1"/>
        <v>0</v>
      </c>
      <c r="AF41" s="60">
        <f t="shared" si="1"/>
        <v>0</v>
      </c>
      <c r="AG41" s="60">
        <f t="shared" si="2"/>
        <v>0</v>
      </c>
      <c r="AH41" s="60">
        <f t="shared" si="2"/>
        <v>0</v>
      </c>
      <c r="AI41" s="60">
        <f t="shared" si="3"/>
        <v>0</v>
      </c>
      <c r="AJ41" s="61">
        <f t="shared" si="3"/>
        <v>0</v>
      </c>
      <c r="AK41" s="144"/>
    </row>
    <row r="42" spans="1:37">
      <c r="A42">
        <v>38</v>
      </c>
      <c r="B42" s="57"/>
      <c r="C42" s="58"/>
      <c r="D42" s="84"/>
      <c r="E42" s="82"/>
      <c r="F42" s="158"/>
      <c r="G42" s="159"/>
      <c r="H42" s="281">
        <f>COUNTIFS(缺陷明细!$A$2:$A$50000,$B$4,缺陷明细!$G$2:$G$50000,$C42,缺陷明细!$J$2:$J$50000,"评审",缺陷明细!$AB$2:$AB$50000,"&lt;&gt;丢弃",缺陷明细!$AB$2:$AB$50000,"&lt;&gt;设计如此",缺陷明细!$AB$2:$AB$50000,"&lt;&gt;重复Bug")</f>
        <v>0</v>
      </c>
      <c r="I42" s="154">
        <f>COUNTIFS(缺陷明细!$A$2:$A$50000,$B$4,缺陷明细!$G$2:$G$50000,$C42,缺陷明细!$Q$2:$Q$50000,"已关闭",缺陷明细!$J$2:$J$50000,"评审")</f>
        <v>0</v>
      </c>
      <c r="J42" s="154">
        <f>COUNTIFS(缺陷明细!$A$2:$A$50000,$B$4,缺陷明细!$G$2:$G$50000,$C42,缺陷明细!$J$2:$J$50000,"单元测试",缺陷明细!$AB$2:$AB$50000,"&lt;&gt;丢弃",缺陷明细!$AB$2:$AB$50000,"&lt;&gt;设计如此",缺陷明细!$AB$2:$AB$50000,"&lt;&gt;重复Bug")</f>
        <v>0</v>
      </c>
      <c r="K42" s="155">
        <f>COUNTIFS(缺陷明细!$A$2:$A$50000,$B$4,缺陷明细!$G$2:$G$50000,$C42,缺陷明细!$Q$2:$Q$50000,"已关闭",缺陷明细!$J$2:$J$50000,"单元测试")</f>
        <v>0</v>
      </c>
      <c r="L42" s="156"/>
      <c r="M42" s="157"/>
      <c r="N42" s="72">
        <f>COUNTIFS(缺陷明细!$A$2:$A$50000,$B$4,缺陷明细!$G$2:$G$50000,$C42,缺陷明细!$J$2:$J$50000,"系统测试案例评审",缺陷明细!$AB$2:$AB$50000,"&lt;&gt;丢弃",缺陷明细!$AB$2:$AB$50000,"&lt;&gt;设计如此",缺陷明细!$AB$2:$AB$50000,"&lt;&gt;重复Bug")</f>
        <v>0</v>
      </c>
      <c r="O42" s="72">
        <f>COUNTIFS(缺陷明细!$A$2:$A$50000,$B$4,缺陷明细!$G$2:$G$50000,$C42,缺陷明细!$Q$2:$Q$50000,"已关闭",缺陷明细!$J$2:$J$50000,"系统测试案例评审")</f>
        <v>0</v>
      </c>
      <c r="P42" s="72">
        <f>COUNTIFS(缺陷明细!$A$2:$A$50000,$B$4,缺陷明细!$G$2:$G$50000,$C42,缺陷明细!$J$2:$J$50000,"系统测试",缺陷明细!$AB$2:$AB$50000,"&lt;&gt;丢弃",缺陷明细!$AB$2:$AB$50000,"&lt;&gt;设计如此",缺陷明细!$AB$2:$AB$50000,"&lt;&gt;重复Bug")</f>
        <v>0</v>
      </c>
      <c r="Q42" s="72">
        <f>COUNTIFS(缺陷明细!$A$2:$A$50000,$B$4,缺陷明细!$G$2:$G$50000,$C42,缺陷明细!$Q$2:$Q$50000,"已关闭",缺陷明细!$J$2:$J$50000,"系统测试")</f>
        <v>0</v>
      </c>
      <c r="R42" s="296">
        <f>COUNTIFS(缺陷明细!$A$2:$A$50000,$B$4,缺陷明细!$G$2:$G$50000,$C42,缺陷明细!$AB$2:$AB$50000,"丢弃",缺陷明细!$J$2:$J$50000,"系统测试")+COUNTIFS(缺陷明细!$A$2:$A$50000,$B$4,缺陷明细!$G$2:$G$50000,$C42,缺陷明细!$AB$2:$AB$50000,"设计如此",缺陷明细!$J$2:$J$50000,"系统测试")+COUNTIFS(缺陷明细!$A$2:$A$50000,$B$4,缺陷明细!$G$2:$G$50000,$C42,缺陷明细!$AB$2:$AB$50000,"重复Bug",缺陷明细!$J$2:$J$50000,"系统测试")</f>
        <v>0</v>
      </c>
      <c r="S42" s="72">
        <f>COUNTIFS(缺陷明细!$A$2:$A$50000,$B$4,缺陷明细!$G$2:$G$50000,$C42,缺陷明细!$J$2:$J$50000,"系统测试",缺陷明细!$K$2:$K$50000,"致命",缺陷明细!$AB$2:$AB$50000,"&lt;&gt;丢弃",缺陷明细!$AB$2:$AB$50000,"&lt;&gt;设计如此",缺陷明细!$AB$2:$AB$50000,"&lt;&gt;重复Bug")+COUNTIFS(缺陷明细!$A$2:$A$50000,$B$4,缺陷明细!$G$2:$G$50000,$C42,缺陷明细!$J$2:$J$50000,"系统测试",缺陷明细!$K$2:$K$50000,"严重",缺陷明细!$AB$2:$AB$50000,"&lt;&gt;丢弃",缺陷明细!$AB$2:$AB$50000,"&lt;&gt;设计如此",缺陷明细!$AB$2:$AB$50000,"&lt;&gt;重复Bug")</f>
        <v>0</v>
      </c>
      <c r="T42" s="73">
        <f>COUNTIFS(缺陷明细!$A$2:$A$50000,$B$4,缺陷明细!$G$2:$G$50000,$C42,缺陷明细!$Q$2:$Q$50000,"已关闭",缺陷明细!$J$2:$J$50000,"系统测试",缺陷明细!$K$2:$K$50000,"致命")+COUNTIFS(缺陷明细!$A$2:$A$50000,$B$4,缺陷明细!$G$2:$G$50000,$C42,缺陷明细!$Q$2:$Q$50000,"已关闭",缺陷明细!$J$2:$J$50000,"系统测试",缺陷明细!$K$2:$K$50000,"严重")</f>
        <v>0</v>
      </c>
      <c r="U42" s="74">
        <f>COUNTIFS(缺陷明细!$A$2:$A$50000,$B$4,缺陷明细!$G$2:$G$50000,$C42,缺陷明细!$J$2:$J$50000,"验收测试",缺陷明细!$AB$2:$AB$50000,"&lt;&gt;丢弃",缺陷明细!$AB$2:$AB$50000,"&lt;&gt;设计如此",缺陷明细!$AB$2:$AB$50000,"&lt;&gt;重复Bug")</f>
        <v>0</v>
      </c>
      <c r="V42" s="75">
        <f>COUNTIFS(缺陷明细!$A$2:$A$50000,$B$4,缺陷明细!$G$2:$G$50000,$C42,缺陷明细!$Q$2:$Q$50000,"已关闭",缺陷明细!$J$2:$J$50000,"验收测试")</f>
        <v>0</v>
      </c>
      <c r="W42" s="75">
        <f>COUNTIFS(缺陷明细!$A$2:$A$50000,$B$4,缺陷明细!$G$2:$G$50000,$C42,缺陷明细!$J$2:$J$50000,"验收测试",缺陷明细!$K$2:$K$50000,"致命",缺陷明细!$AB$2:$AB$50000,"&lt;&gt;丢弃",缺陷明细!$AB$2:$AB$50000,"&lt;&gt;设计如此",缺陷明细!$AB$2:$AB$50000,"&lt;&gt;重复Bug")+COUNTIFS(缺陷明细!$A$2:$A$50000,$B$4,缺陷明细!$G$2:$G$50000,$C42,缺陷明细!$J$2:$J$50000,"验收测试",缺陷明细!$K$2:$K$50000,"严重",缺陷明细!$AB$2:$AB$50000,"&lt;&gt;丢弃",缺陷明细!$AB$2:$AB$50000,"&lt;&gt;设计如此",缺陷明细!$AB$2:$AB$50000,"&lt;&gt;重复Bug")</f>
        <v>0</v>
      </c>
      <c r="X42" s="76">
        <f>COUNTIFS(缺陷明细!$A$2:$A$50000,$B$4,缺陷明细!$G$2:$G$50000,$C42,缺陷明细!$Q$2:$Q$50000,"已关闭",缺陷明细!$J$2:$J$50000,"验收测试",缺陷明细!$K$2:$K$50000,"致命")+COUNTIFS(缺陷明细!$A$2:$A$50000,$B$4,缺陷明细!$G$2:$G$50000,$C42,缺陷明细!$Q$2:$Q$50000,"已关闭",缺陷明细!$J$2:$J$50000,"验收测试",缺陷明细!$K$2:$K$50000,"严重")</f>
        <v>0</v>
      </c>
      <c r="Y42" s="70">
        <f>COUNTIFS(缺陷明细!$A$2:$A$50000,$B$4,缺陷明细!$G$2:$G$50000,$C42,缺陷明细!$J$2:$J$50000,"运维测试",缺陷明细!$AB$2:$AB$50000,"&lt;&gt;丢弃",缺陷明细!$AB$2:$AB$50000,"&lt;&gt;设计如此",缺陷明细!$AB$2:$AB$50000,"&lt;&gt;重复Bug")</f>
        <v>0</v>
      </c>
      <c r="Z42" s="71">
        <f>COUNTIFS(缺陷明细!$A$2:$A$50000,$B$4,缺陷明细!$G$2:$G$50000,$C42,缺陷明细!$Q$2:$Q$50000,"已关闭",缺陷明细!$J$2:$J$50000,"运维测试")</f>
        <v>0</v>
      </c>
      <c r="AA42" s="72">
        <f>COUNTIFS(缺陷明细!$A$2:$A$50000,$B$4,缺陷明细!$G$2:$G$50000,$C42,缺陷明细!$J$2:$J$50000,"运维测试",缺陷明细!$K$2:$K$50000,"致命",缺陷明细!$AB$2:$AB$50000,"&lt;&gt;丢弃",缺陷明细!$AB$2:$AB$50000,"&lt;&gt;设计如此",缺陷明细!$AB$2:$AB$50000,"&lt;&gt;重复Bug")+COUNTIFS(缺陷明细!$A$2:$A$50000,$B$4,缺陷明细!$G$2:$G$50000,$C42,缺陷明细!$J$2:$J$50000,"运维测试",缺陷明细!$K$2:$K$50000,"严重",缺陷明细!$AB$2:$AB$50000,"&lt;&gt;丢弃",缺陷明细!$AB$2:$AB$50000,"&lt;&gt;设计如此",缺陷明细!$AB$2:$AB$50000,"&lt;&gt;重复Bug")</f>
        <v>0</v>
      </c>
      <c r="AB42" s="73">
        <f>COUNTIFS(缺陷明细!$A$2:$A$50000,$B$4,缺陷明细!$G$2:$G$50000,$C42,缺陷明细!$Q$2:$Q$50000,"已关闭",缺陷明细!$J$2:$J$50000,"运维测试",缺陷明细!$K$2:$K$50000,"致命")+COUNTIFS(缺陷明细!$A$2:$A$50000,$B$4,缺陷明细!$G$2:$G$50000,$C42,缺陷明细!$Q$2:$Q$50000,"已关闭",缺陷明细!$J$2:$J$50000,"运维测试",缺陷明细!$K$2:$K$50000,"严重")</f>
        <v>0</v>
      </c>
      <c r="AC42" s="68">
        <f t="shared" si="0"/>
        <v>0</v>
      </c>
      <c r="AD42" s="60">
        <f t="shared" si="0"/>
        <v>0</v>
      </c>
      <c r="AE42" s="60">
        <f t="shared" si="1"/>
        <v>0</v>
      </c>
      <c r="AF42" s="60">
        <f t="shared" si="1"/>
        <v>0</v>
      </c>
      <c r="AG42" s="60">
        <f t="shared" si="2"/>
        <v>0</v>
      </c>
      <c r="AH42" s="60">
        <f t="shared" si="2"/>
        <v>0</v>
      </c>
      <c r="AI42" s="60">
        <f t="shared" si="3"/>
        <v>0</v>
      </c>
      <c r="AJ42" s="61">
        <f t="shared" si="3"/>
        <v>0</v>
      </c>
      <c r="AK42" s="144"/>
    </row>
    <row r="43" spans="1:37">
      <c r="A43">
        <v>39</v>
      </c>
      <c r="B43" s="57"/>
      <c r="C43" s="58"/>
      <c r="D43" s="84"/>
      <c r="E43" s="82"/>
      <c r="F43" s="158"/>
      <c r="G43" s="159"/>
      <c r="H43" s="281">
        <f>COUNTIFS(缺陷明细!$A$2:$A$50000,$B$4,缺陷明细!$G$2:$G$50000,$C43,缺陷明细!$J$2:$J$50000,"评审",缺陷明细!$AB$2:$AB$50000,"&lt;&gt;丢弃",缺陷明细!$AB$2:$AB$50000,"&lt;&gt;设计如此",缺陷明细!$AB$2:$AB$50000,"&lt;&gt;重复Bug")</f>
        <v>0</v>
      </c>
      <c r="I43" s="154">
        <f>COUNTIFS(缺陷明细!$A$2:$A$50000,$B$4,缺陷明细!$G$2:$G$50000,$C43,缺陷明细!$Q$2:$Q$50000,"已关闭",缺陷明细!$J$2:$J$50000,"评审")</f>
        <v>0</v>
      </c>
      <c r="J43" s="154">
        <f>COUNTIFS(缺陷明细!$A$2:$A$50000,$B$4,缺陷明细!$G$2:$G$50000,$C43,缺陷明细!$J$2:$J$50000,"单元测试",缺陷明细!$AB$2:$AB$50000,"&lt;&gt;丢弃",缺陷明细!$AB$2:$AB$50000,"&lt;&gt;设计如此",缺陷明细!$AB$2:$AB$50000,"&lt;&gt;重复Bug")</f>
        <v>0</v>
      </c>
      <c r="K43" s="155">
        <f>COUNTIFS(缺陷明细!$A$2:$A$50000,$B$4,缺陷明细!$G$2:$G$50000,$C43,缺陷明细!$Q$2:$Q$50000,"已关闭",缺陷明细!$J$2:$J$50000,"单元测试")</f>
        <v>0</v>
      </c>
      <c r="L43" s="156"/>
      <c r="M43" s="157"/>
      <c r="N43" s="72">
        <f>COUNTIFS(缺陷明细!$A$2:$A$50000,$B$4,缺陷明细!$G$2:$G$50000,$C43,缺陷明细!$J$2:$J$50000,"系统测试案例评审",缺陷明细!$AB$2:$AB$50000,"&lt;&gt;丢弃",缺陷明细!$AB$2:$AB$50000,"&lt;&gt;设计如此",缺陷明细!$AB$2:$AB$50000,"&lt;&gt;重复Bug")</f>
        <v>0</v>
      </c>
      <c r="O43" s="72">
        <f>COUNTIFS(缺陷明细!$A$2:$A$50000,$B$4,缺陷明细!$G$2:$G$50000,$C43,缺陷明细!$Q$2:$Q$50000,"已关闭",缺陷明细!$J$2:$J$50000,"系统测试案例评审")</f>
        <v>0</v>
      </c>
      <c r="P43" s="72">
        <f>COUNTIFS(缺陷明细!$A$2:$A$50000,$B$4,缺陷明细!$G$2:$G$50000,$C43,缺陷明细!$J$2:$J$50000,"系统测试",缺陷明细!$AB$2:$AB$50000,"&lt;&gt;丢弃",缺陷明细!$AB$2:$AB$50000,"&lt;&gt;设计如此",缺陷明细!$AB$2:$AB$50000,"&lt;&gt;重复Bug")</f>
        <v>0</v>
      </c>
      <c r="Q43" s="72">
        <f>COUNTIFS(缺陷明细!$A$2:$A$50000,$B$4,缺陷明细!$G$2:$G$50000,$C43,缺陷明细!$Q$2:$Q$50000,"已关闭",缺陷明细!$J$2:$J$50000,"系统测试")</f>
        <v>0</v>
      </c>
      <c r="R43" s="296">
        <f>COUNTIFS(缺陷明细!$A$2:$A$50000,$B$4,缺陷明细!$G$2:$G$50000,$C43,缺陷明细!$AB$2:$AB$50000,"丢弃",缺陷明细!$J$2:$J$50000,"系统测试")+COUNTIFS(缺陷明细!$A$2:$A$50000,$B$4,缺陷明细!$G$2:$G$50000,$C43,缺陷明细!$AB$2:$AB$50000,"设计如此",缺陷明细!$J$2:$J$50000,"系统测试")+COUNTIFS(缺陷明细!$A$2:$A$50000,$B$4,缺陷明细!$G$2:$G$50000,$C43,缺陷明细!$AB$2:$AB$50000,"重复Bug",缺陷明细!$J$2:$J$50000,"系统测试")</f>
        <v>0</v>
      </c>
      <c r="S43" s="72">
        <f>COUNTIFS(缺陷明细!$A$2:$A$50000,$B$4,缺陷明细!$G$2:$G$50000,$C43,缺陷明细!$J$2:$J$50000,"系统测试",缺陷明细!$K$2:$K$50000,"致命",缺陷明细!$AB$2:$AB$50000,"&lt;&gt;丢弃",缺陷明细!$AB$2:$AB$50000,"&lt;&gt;设计如此",缺陷明细!$AB$2:$AB$50000,"&lt;&gt;重复Bug")+COUNTIFS(缺陷明细!$A$2:$A$50000,$B$4,缺陷明细!$G$2:$G$50000,$C43,缺陷明细!$J$2:$J$50000,"系统测试",缺陷明细!$K$2:$K$50000,"严重",缺陷明细!$AB$2:$AB$50000,"&lt;&gt;丢弃",缺陷明细!$AB$2:$AB$50000,"&lt;&gt;设计如此",缺陷明细!$AB$2:$AB$50000,"&lt;&gt;重复Bug")</f>
        <v>0</v>
      </c>
      <c r="T43" s="73">
        <f>COUNTIFS(缺陷明细!$A$2:$A$50000,$B$4,缺陷明细!$G$2:$G$50000,$C43,缺陷明细!$Q$2:$Q$50000,"已关闭",缺陷明细!$J$2:$J$50000,"系统测试",缺陷明细!$K$2:$K$50000,"致命")+COUNTIFS(缺陷明细!$A$2:$A$50000,$B$4,缺陷明细!$G$2:$G$50000,$C43,缺陷明细!$Q$2:$Q$50000,"已关闭",缺陷明细!$J$2:$J$50000,"系统测试",缺陷明细!$K$2:$K$50000,"严重")</f>
        <v>0</v>
      </c>
      <c r="U43" s="74">
        <f>COUNTIFS(缺陷明细!$A$2:$A$50000,$B$4,缺陷明细!$G$2:$G$50000,$C43,缺陷明细!$J$2:$J$50000,"验收测试",缺陷明细!$AB$2:$AB$50000,"&lt;&gt;丢弃",缺陷明细!$AB$2:$AB$50000,"&lt;&gt;设计如此",缺陷明细!$AB$2:$AB$50000,"&lt;&gt;重复Bug")</f>
        <v>0</v>
      </c>
      <c r="V43" s="75">
        <f>COUNTIFS(缺陷明细!$A$2:$A$50000,$B$4,缺陷明细!$G$2:$G$50000,$C43,缺陷明细!$Q$2:$Q$50000,"已关闭",缺陷明细!$J$2:$J$50000,"验收测试")</f>
        <v>0</v>
      </c>
      <c r="W43" s="75">
        <f>COUNTIFS(缺陷明细!$A$2:$A$50000,$B$4,缺陷明细!$G$2:$G$50000,$C43,缺陷明细!$J$2:$J$50000,"验收测试",缺陷明细!$K$2:$K$50000,"致命",缺陷明细!$AB$2:$AB$50000,"&lt;&gt;丢弃",缺陷明细!$AB$2:$AB$50000,"&lt;&gt;设计如此",缺陷明细!$AB$2:$AB$50000,"&lt;&gt;重复Bug")+COUNTIFS(缺陷明细!$A$2:$A$50000,$B$4,缺陷明细!$G$2:$G$50000,$C43,缺陷明细!$J$2:$J$50000,"验收测试",缺陷明细!$K$2:$K$50000,"严重",缺陷明细!$AB$2:$AB$50000,"&lt;&gt;丢弃",缺陷明细!$AB$2:$AB$50000,"&lt;&gt;设计如此",缺陷明细!$AB$2:$AB$50000,"&lt;&gt;重复Bug")</f>
        <v>0</v>
      </c>
      <c r="X43" s="76">
        <f>COUNTIFS(缺陷明细!$A$2:$A$50000,$B$4,缺陷明细!$G$2:$G$50000,$C43,缺陷明细!$Q$2:$Q$50000,"已关闭",缺陷明细!$J$2:$J$50000,"验收测试",缺陷明细!$K$2:$K$50000,"致命")+COUNTIFS(缺陷明细!$A$2:$A$50000,$B$4,缺陷明细!$G$2:$G$50000,$C43,缺陷明细!$Q$2:$Q$50000,"已关闭",缺陷明细!$J$2:$J$50000,"验收测试",缺陷明细!$K$2:$K$50000,"严重")</f>
        <v>0</v>
      </c>
      <c r="Y43" s="70">
        <f>COUNTIFS(缺陷明细!$A$2:$A$50000,$B$4,缺陷明细!$G$2:$G$50000,$C43,缺陷明细!$J$2:$J$50000,"运维测试",缺陷明细!$AB$2:$AB$50000,"&lt;&gt;丢弃",缺陷明细!$AB$2:$AB$50000,"&lt;&gt;设计如此",缺陷明细!$AB$2:$AB$50000,"&lt;&gt;重复Bug")</f>
        <v>0</v>
      </c>
      <c r="Z43" s="71">
        <f>COUNTIFS(缺陷明细!$A$2:$A$50000,$B$4,缺陷明细!$G$2:$G$50000,$C43,缺陷明细!$Q$2:$Q$50000,"已关闭",缺陷明细!$J$2:$J$50000,"运维测试")</f>
        <v>0</v>
      </c>
      <c r="AA43" s="72">
        <f>COUNTIFS(缺陷明细!$A$2:$A$50000,$B$4,缺陷明细!$G$2:$G$50000,$C43,缺陷明细!$J$2:$J$50000,"运维测试",缺陷明细!$K$2:$K$50000,"致命",缺陷明细!$AB$2:$AB$50000,"&lt;&gt;丢弃",缺陷明细!$AB$2:$AB$50000,"&lt;&gt;设计如此",缺陷明细!$AB$2:$AB$50000,"&lt;&gt;重复Bug")+COUNTIFS(缺陷明细!$A$2:$A$50000,$B$4,缺陷明细!$G$2:$G$50000,$C43,缺陷明细!$J$2:$J$50000,"运维测试",缺陷明细!$K$2:$K$50000,"严重",缺陷明细!$AB$2:$AB$50000,"&lt;&gt;丢弃",缺陷明细!$AB$2:$AB$50000,"&lt;&gt;设计如此",缺陷明细!$AB$2:$AB$50000,"&lt;&gt;重复Bug")</f>
        <v>0</v>
      </c>
      <c r="AB43" s="73">
        <f>COUNTIFS(缺陷明细!$A$2:$A$50000,$B$4,缺陷明细!$G$2:$G$50000,$C43,缺陷明细!$Q$2:$Q$50000,"已关闭",缺陷明细!$J$2:$J$50000,"运维测试",缺陷明细!$K$2:$K$50000,"致命")+COUNTIFS(缺陷明细!$A$2:$A$50000,$B$4,缺陷明细!$G$2:$G$50000,$C43,缺陷明细!$Q$2:$Q$50000,"已关闭",缺陷明细!$J$2:$J$50000,"运维测试",缺陷明细!$K$2:$K$50000,"严重")</f>
        <v>0</v>
      </c>
      <c r="AC43" s="68">
        <f t="shared" si="0"/>
        <v>0</v>
      </c>
      <c r="AD43" s="60">
        <f t="shared" si="0"/>
        <v>0</v>
      </c>
      <c r="AE43" s="60">
        <f t="shared" si="1"/>
        <v>0</v>
      </c>
      <c r="AF43" s="60">
        <f t="shared" si="1"/>
        <v>0</v>
      </c>
      <c r="AG43" s="60">
        <f t="shared" si="2"/>
        <v>0</v>
      </c>
      <c r="AH43" s="60">
        <f t="shared" si="2"/>
        <v>0</v>
      </c>
      <c r="AI43" s="60">
        <f t="shared" si="3"/>
        <v>0</v>
      </c>
      <c r="AJ43" s="61">
        <f t="shared" si="3"/>
        <v>0</v>
      </c>
      <c r="AK43" s="144"/>
    </row>
    <row r="44" spans="1:37">
      <c r="A44">
        <v>40</v>
      </c>
      <c r="B44" s="57"/>
      <c r="C44" s="58"/>
      <c r="D44" s="84"/>
      <c r="E44" s="82"/>
      <c r="F44" s="158"/>
      <c r="G44" s="159"/>
      <c r="H44" s="281">
        <f>COUNTIFS(缺陷明细!$A$2:$A$50000,$B$4,缺陷明细!$G$2:$G$50000,$C44,缺陷明细!$J$2:$J$50000,"评审",缺陷明细!$AB$2:$AB$50000,"&lt;&gt;丢弃",缺陷明细!$AB$2:$AB$50000,"&lt;&gt;设计如此",缺陷明细!$AB$2:$AB$50000,"&lt;&gt;重复Bug")</f>
        <v>0</v>
      </c>
      <c r="I44" s="154">
        <f>COUNTIFS(缺陷明细!$A$2:$A$50000,$B$4,缺陷明细!$G$2:$G$50000,$C44,缺陷明细!$Q$2:$Q$50000,"已关闭",缺陷明细!$J$2:$J$50000,"评审")</f>
        <v>0</v>
      </c>
      <c r="J44" s="154">
        <f>COUNTIFS(缺陷明细!$A$2:$A$50000,$B$4,缺陷明细!$G$2:$G$50000,$C44,缺陷明细!$J$2:$J$50000,"单元测试",缺陷明细!$AB$2:$AB$50000,"&lt;&gt;丢弃",缺陷明细!$AB$2:$AB$50000,"&lt;&gt;设计如此",缺陷明细!$AB$2:$AB$50000,"&lt;&gt;重复Bug")</f>
        <v>0</v>
      </c>
      <c r="K44" s="155">
        <f>COUNTIFS(缺陷明细!$A$2:$A$50000,$B$4,缺陷明细!$G$2:$G$50000,$C44,缺陷明细!$Q$2:$Q$50000,"已关闭",缺陷明细!$J$2:$J$50000,"单元测试")</f>
        <v>0</v>
      </c>
      <c r="L44" s="156"/>
      <c r="M44" s="157"/>
      <c r="N44" s="72">
        <f>COUNTIFS(缺陷明细!$A$2:$A$50000,$B$4,缺陷明细!$G$2:$G$50000,$C44,缺陷明细!$J$2:$J$50000,"系统测试案例评审",缺陷明细!$AB$2:$AB$50000,"&lt;&gt;丢弃",缺陷明细!$AB$2:$AB$50000,"&lt;&gt;设计如此",缺陷明细!$AB$2:$AB$50000,"&lt;&gt;重复Bug")</f>
        <v>0</v>
      </c>
      <c r="O44" s="72">
        <f>COUNTIFS(缺陷明细!$A$2:$A$50000,$B$4,缺陷明细!$G$2:$G$50000,$C44,缺陷明细!$Q$2:$Q$50000,"已关闭",缺陷明细!$J$2:$J$50000,"系统测试案例评审")</f>
        <v>0</v>
      </c>
      <c r="P44" s="72">
        <f>COUNTIFS(缺陷明细!$A$2:$A$50000,$B$4,缺陷明细!$G$2:$G$50000,$C44,缺陷明细!$J$2:$J$50000,"系统测试",缺陷明细!$AB$2:$AB$50000,"&lt;&gt;丢弃",缺陷明细!$AB$2:$AB$50000,"&lt;&gt;设计如此",缺陷明细!$AB$2:$AB$50000,"&lt;&gt;重复Bug")</f>
        <v>0</v>
      </c>
      <c r="Q44" s="72">
        <f>COUNTIFS(缺陷明细!$A$2:$A$50000,$B$4,缺陷明细!$G$2:$G$50000,$C44,缺陷明细!$Q$2:$Q$50000,"已关闭",缺陷明细!$J$2:$J$50000,"系统测试")</f>
        <v>0</v>
      </c>
      <c r="R44" s="296">
        <f>COUNTIFS(缺陷明细!$A$2:$A$50000,$B$4,缺陷明细!$G$2:$G$50000,$C44,缺陷明细!$AB$2:$AB$50000,"丢弃",缺陷明细!$J$2:$J$50000,"系统测试")+COUNTIFS(缺陷明细!$A$2:$A$50000,$B$4,缺陷明细!$G$2:$G$50000,$C44,缺陷明细!$AB$2:$AB$50000,"设计如此",缺陷明细!$J$2:$J$50000,"系统测试")+COUNTIFS(缺陷明细!$A$2:$A$50000,$B$4,缺陷明细!$G$2:$G$50000,$C44,缺陷明细!$AB$2:$AB$50000,"重复Bug",缺陷明细!$J$2:$J$50000,"系统测试")</f>
        <v>0</v>
      </c>
      <c r="S44" s="72">
        <f>COUNTIFS(缺陷明细!$A$2:$A$50000,$B$4,缺陷明细!$G$2:$G$50000,$C44,缺陷明细!$J$2:$J$50000,"系统测试",缺陷明细!$K$2:$K$50000,"致命",缺陷明细!$AB$2:$AB$50000,"&lt;&gt;丢弃",缺陷明细!$AB$2:$AB$50000,"&lt;&gt;设计如此",缺陷明细!$AB$2:$AB$50000,"&lt;&gt;重复Bug")+COUNTIFS(缺陷明细!$A$2:$A$50000,$B$4,缺陷明细!$G$2:$G$50000,$C44,缺陷明细!$J$2:$J$50000,"系统测试",缺陷明细!$K$2:$K$50000,"严重",缺陷明细!$AB$2:$AB$50000,"&lt;&gt;丢弃",缺陷明细!$AB$2:$AB$50000,"&lt;&gt;设计如此",缺陷明细!$AB$2:$AB$50000,"&lt;&gt;重复Bug")</f>
        <v>0</v>
      </c>
      <c r="T44" s="73">
        <f>COUNTIFS(缺陷明细!$A$2:$A$50000,$B$4,缺陷明细!$G$2:$G$50000,$C44,缺陷明细!$Q$2:$Q$50000,"已关闭",缺陷明细!$J$2:$J$50000,"系统测试",缺陷明细!$K$2:$K$50000,"致命")+COUNTIFS(缺陷明细!$A$2:$A$50000,$B$4,缺陷明细!$G$2:$G$50000,$C44,缺陷明细!$Q$2:$Q$50000,"已关闭",缺陷明细!$J$2:$J$50000,"系统测试",缺陷明细!$K$2:$K$50000,"严重")</f>
        <v>0</v>
      </c>
      <c r="U44" s="74">
        <f>COUNTIFS(缺陷明细!$A$2:$A$50000,$B$4,缺陷明细!$G$2:$G$50000,$C44,缺陷明细!$J$2:$J$50000,"验收测试",缺陷明细!$AB$2:$AB$50000,"&lt;&gt;丢弃",缺陷明细!$AB$2:$AB$50000,"&lt;&gt;设计如此",缺陷明细!$AB$2:$AB$50000,"&lt;&gt;重复Bug")</f>
        <v>0</v>
      </c>
      <c r="V44" s="75">
        <f>COUNTIFS(缺陷明细!$A$2:$A$50000,$B$4,缺陷明细!$G$2:$G$50000,$C44,缺陷明细!$Q$2:$Q$50000,"已关闭",缺陷明细!$J$2:$J$50000,"验收测试")</f>
        <v>0</v>
      </c>
      <c r="W44" s="75">
        <f>COUNTIFS(缺陷明细!$A$2:$A$50000,$B$4,缺陷明细!$G$2:$G$50000,$C44,缺陷明细!$J$2:$J$50000,"验收测试",缺陷明细!$K$2:$K$50000,"致命",缺陷明细!$AB$2:$AB$50000,"&lt;&gt;丢弃",缺陷明细!$AB$2:$AB$50000,"&lt;&gt;设计如此",缺陷明细!$AB$2:$AB$50000,"&lt;&gt;重复Bug")+COUNTIFS(缺陷明细!$A$2:$A$50000,$B$4,缺陷明细!$G$2:$G$50000,$C44,缺陷明细!$J$2:$J$50000,"验收测试",缺陷明细!$K$2:$K$50000,"严重",缺陷明细!$AB$2:$AB$50000,"&lt;&gt;丢弃",缺陷明细!$AB$2:$AB$50000,"&lt;&gt;设计如此",缺陷明细!$AB$2:$AB$50000,"&lt;&gt;重复Bug")</f>
        <v>0</v>
      </c>
      <c r="X44" s="76">
        <f>COUNTIFS(缺陷明细!$A$2:$A$50000,$B$4,缺陷明细!$G$2:$G$50000,$C44,缺陷明细!$Q$2:$Q$50000,"已关闭",缺陷明细!$J$2:$J$50000,"验收测试",缺陷明细!$K$2:$K$50000,"致命")+COUNTIFS(缺陷明细!$A$2:$A$50000,$B$4,缺陷明细!$G$2:$G$50000,$C44,缺陷明细!$Q$2:$Q$50000,"已关闭",缺陷明细!$J$2:$J$50000,"验收测试",缺陷明细!$K$2:$K$50000,"严重")</f>
        <v>0</v>
      </c>
      <c r="Y44" s="70">
        <f>COUNTIFS(缺陷明细!$A$2:$A$50000,$B$4,缺陷明细!$G$2:$G$50000,$C44,缺陷明细!$J$2:$J$50000,"运维测试",缺陷明细!$AB$2:$AB$50000,"&lt;&gt;丢弃",缺陷明细!$AB$2:$AB$50000,"&lt;&gt;设计如此",缺陷明细!$AB$2:$AB$50000,"&lt;&gt;重复Bug")</f>
        <v>0</v>
      </c>
      <c r="Z44" s="71">
        <f>COUNTIFS(缺陷明细!$A$2:$A$50000,$B$4,缺陷明细!$G$2:$G$50000,$C44,缺陷明细!$Q$2:$Q$50000,"已关闭",缺陷明细!$J$2:$J$50000,"运维测试")</f>
        <v>0</v>
      </c>
      <c r="AA44" s="72">
        <f>COUNTIFS(缺陷明细!$A$2:$A$50000,$B$4,缺陷明细!$G$2:$G$50000,$C44,缺陷明细!$J$2:$J$50000,"运维测试",缺陷明细!$K$2:$K$50000,"致命",缺陷明细!$AB$2:$AB$50000,"&lt;&gt;丢弃",缺陷明细!$AB$2:$AB$50000,"&lt;&gt;设计如此",缺陷明细!$AB$2:$AB$50000,"&lt;&gt;重复Bug")+COUNTIFS(缺陷明细!$A$2:$A$50000,$B$4,缺陷明细!$G$2:$G$50000,$C44,缺陷明细!$J$2:$J$50000,"运维测试",缺陷明细!$K$2:$K$50000,"严重",缺陷明细!$AB$2:$AB$50000,"&lt;&gt;丢弃",缺陷明细!$AB$2:$AB$50000,"&lt;&gt;设计如此",缺陷明细!$AB$2:$AB$50000,"&lt;&gt;重复Bug")</f>
        <v>0</v>
      </c>
      <c r="AB44" s="73">
        <f>COUNTIFS(缺陷明细!$A$2:$A$50000,$B$4,缺陷明细!$G$2:$G$50000,$C44,缺陷明细!$Q$2:$Q$50000,"已关闭",缺陷明细!$J$2:$J$50000,"运维测试",缺陷明细!$K$2:$K$50000,"致命")+COUNTIFS(缺陷明细!$A$2:$A$50000,$B$4,缺陷明细!$G$2:$G$50000,$C44,缺陷明细!$Q$2:$Q$50000,"已关闭",缺陷明细!$J$2:$J$50000,"运维测试",缺陷明细!$K$2:$K$50000,"严重")</f>
        <v>0</v>
      </c>
      <c r="AC44" s="68">
        <f t="shared" si="0"/>
        <v>0</v>
      </c>
      <c r="AD44" s="60">
        <f t="shared" si="0"/>
        <v>0</v>
      </c>
      <c r="AE44" s="60">
        <f t="shared" si="1"/>
        <v>0</v>
      </c>
      <c r="AF44" s="60">
        <f t="shared" si="1"/>
        <v>0</v>
      </c>
      <c r="AG44" s="60">
        <f t="shared" si="2"/>
        <v>0</v>
      </c>
      <c r="AH44" s="60">
        <f t="shared" si="2"/>
        <v>0</v>
      </c>
      <c r="AI44" s="60">
        <f t="shared" si="3"/>
        <v>0</v>
      </c>
      <c r="AJ44" s="61">
        <f t="shared" si="3"/>
        <v>0</v>
      </c>
      <c r="AK44" s="144"/>
    </row>
    <row r="45" spans="1:37">
      <c r="A45">
        <v>41</v>
      </c>
      <c r="B45" s="57"/>
      <c r="C45" s="58"/>
      <c r="D45" s="84"/>
      <c r="E45" s="82"/>
      <c r="F45" s="158"/>
      <c r="G45" s="159"/>
      <c r="H45" s="281">
        <f>COUNTIFS(缺陷明细!$A$2:$A$50000,$B$4,缺陷明细!$G$2:$G$50000,$C45,缺陷明细!$J$2:$J$50000,"评审",缺陷明细!$AB$2:$AB$50000,"&lt;&gt;丢弃",缺陷明细!$AB$2:$AB$50000,"&lt;&gt;设计如此",缺陷明细!$AB$2:$AB$50000,"&lt;&gt;重复Bug")</f>
        <v>0</v>
      </c>
      <c r="I45" s="154">
        <f>COUNTIFS(缺陷明细!$A$2:$A$50000,$B$4,缺陷明细!$G$2:$G$50000,$C45,缺陷明细!$Q$2:$Q$50000,"已关闭",缺陷明细!$J$2:$J$50000,"评审")</f>
        <v>0</v>
      </c>
      <c r="J45" s="154">
        <f>COUNTIFS(缺陷明细!$A$2:$A$50000,$B$4,缺陷明细!$G$2:$G$50000,$C45,缺陷明细!$J$2:$J$50000,"单元测试",缺陷明细!$AB$2:$AB$50000,"&lt;&gt;丢弃",缺陷明细!$AB$2:$AB$50000,"&lt;&gt;设计如此",缺陷明细!$AB$2:$AB$50000,"&lt;&gt;重复Bug")</f>
        <v>0</v>
      </c>
      <c r="K45" s="155">
        <f>COUNTIFS(缺陷明细!$A$2:$A$50000,$B$4,缺陷明细!$G$2:$G$50000,$C45,缺陷明细!$Q$2:$Q$50000,"已关闭",缺陷明细!$J$2:$J$50000,"单元测试")</f>
        <v>0</v>
      </c>
      <c r="L45" s="156"/>
      <c r="M45" s="157"/>
      <c r="N45" s="72">
        <f>COUNTIFS(缺陷明细!$A$2:$A$50000,$B$4,缺陷明细!$G$2:$G$50000,$C45,缺陷明细!$J$2:$J$50000,"系统测试案例评审",缺陷明细!$AB$2:$AB$50000,"&lt;&gt;丢弃",缺陷明细!$AB$2:$AB$50000,"&lt;&gt;设计如此",缺陷明细!$AB$2:$AB$50000,"&lt;&gt;重复Bug")</f>
        <v>0</v>
      </c>
      <c r="O45" s="72">
        <f>COUNTIFS(缺陷明细!$A$2:$A$50000,$B$4,缺陷明细!$G$2:$G$50000,$C45,缺陷明细!$Q$2:$Q$50000,"已关闭",缺陷明细!$J$2:$J$50000,"系统测试案例评审")</f>
        <v>0</v>
      </c>
      <c r="P45" s="72">
        <f>COUNTIFS(缺陷明细!$A$2:$A$50000,$B$4,缺陷明细!$G$2:$G$50000,$C45,缺陷明细!$J$2:$J$50000,"系统测试",缺陷明细!$AB$2:$AB$50000,"&lt;&gt;丢弃",缺陷明细!$AB$2:$AB$50000,"&lt;&gt;设计如此",缺陷明细!$AB$2:$AB$50000,"&lt;&gt;重复Bug")</f>
        <v>0</v>
      </c>
      <c r="Q45" s="72">
        <f>COUNTIFS(缺陷明细!$A$2:$A$50000,$B$4,缺陷明细!$G$2:$G$50000,$C45,缺陷明细!$Q$2:$Q$50000,"已关闭",缺陷明细!$J$2:$J$50000,"系统测试")</f>
        <v>0</v>
      </c>
      <c r="R45" s="296">
        <f>COUNTIFS(缺陷明细!$A$2:$A$50000,$B$4,缺陷明细!$G$2:$G$50000,$C45,缺陷明细!$AB$2:$AB$50000,"丢弃",缺陷明细!$J$2:$J$50000,"系统测试")+COUNTIFS(缺陷明细!$A$2:$A$50000,$B$4,缺陷明细!$G$2:$G$50000,$C45,缺陷明细!$AB$2:$AB$50000,"设计如此",缺陷明细!$J$2:$J$50000,"系统测试")+COUNTIFS(缺陷明细!$A$2:$A$50000,$B$4,缺陷明细!$G$2:$G$50000,$C45,缺陷明细!$AB$2:$AB$50000,"重复Bug",缺陷明细!$J$2:$J$50000,"系统测试")</f>
        <v>0</v>
      </c>
      <c r="S45" s="72">
        <f>COUNTIFS(缺陷明细!$A$2:$A$50000,$B$4,缺陷明细!$G$2:$G$50000,$C45,缺陷明细!$J$2:$J$50000,"系统测试",缺陷明细!$K$2:$K$50000,"致命",缺陷明细!$AB$2:$AB$50000,"&lt;&gt;丢弃",缺陷明细!$AB$2:$AB$50000,"&lt;&gt;设计如此",缺陷明细!$AB$2:$AB$50000,"&lt;&gt;重复Bug")+COUNTIFS(缺陷明细!$A$2:$A$50000,$B$4,缺陷明细!$G$2:$G$50000,$C45,缺陷明细!$J$2:$J$50000,"系统测试",缺陷明细!$K$2:$K$50000,"严重",缺陷明细!$AB$2:$AB$50000,"&lt;&gt;丢弃",缺陷明细!$AB$2:$AB$50000,"&lt;&gt;设计如此",缺陷明细!$AB$2:$AB$50000,"&lt;&gt;重复Bug")</f>
        <v>0</v>
      </c>
      <c r="T45" s="73">
        <f>COUNTIFS(缺陷明细!$A$2:$A$50000,$B$4,缺陷明细!$G$2:$G$50000,$C45,缺陷明细!$Q$2:$Q$50000,"已关闭",缺陷明细!$J$2:$J$50000,"系统测试",缺陷明细!$K$2:$K$50000,"致命")+COUNTIFS(缺陷明细!$A$2:$A$50000,$B$4,缺陷明细!$G$2:$G$50000,$C45,缺陷明细!$Q$2:$Q$50000,"已关闭",缺陷明细!$J$2:$J$50000,"系统测试",缺陷明细!$K$2:$K$50000,"严重")</f>
        <v>0</v>
      </c>
      <c r="U45" s="74">
        <f>COUNTIFS(缺陷明细!$A$2:$A$50000,$B$4,缺陷明细!$G$2:$G$50000,$C45,缺陷明细!$J$2:$J$50000,"验收测试",缺陷明细!$AB$2:$AB$50000,"&lt;&gt;丢弃",缺陷明细!$AB$2:$AB$50000,"&lt;&gt;设计如此",缺陷明细!$AB$2:$AB$50000,"&lt;&gt;重复Bug")</f>
        <v>0</v>
      </c>
      <c r="V45" s="75">
        <f>COUNTIFS(缺陷明细!$A$2:$A$50000,$B$4,缺陷明细!$G$2:$G$50000,$C45,缺陷明细!$Q$2:$Q$50000,"已关闭",缺陷明细!$J$2:$J$50000,"验收测试")</f>
        <v>0</v>
      </c>
      <c r="W45" s="75">
        <f>COUNTIFS(缺陷明细!$A$2:$A$50000,$B$4,缺陷明细!$G$2:$G$50000,$C45,缺陷明细!$J$2:$J$50000,"验收测试",缺陷明细!$K$2:$K$50000,"致命",缺陷明细!$AB$2:$AB$50000,"&lt;&gt;丢弃",缺陷明细!$AB$2:$AB$50000,"&lt;&gt;设计如此",缺陷明细!$AB$2:$AB$50000,"&lt;&gt;重复Bug")+COUNTIFS(缺陷明细!$A$2:$A$50000,$B$4,缺陷明细!$G$2:$G$50000,$C45,缺陷明细!$J$2:$J$50000,"验收测试",缺陷明细!$K$2:$K$50000,"严重",缺陷明细!$AB$2:$AB$50000,"&lt;&gt;丢弃",缺陷明细!$AB$2:$AB$50000,"&lt;&gt;设计如此",缺陷明细!$AB$2:$AB$50000,"&lt;&gt;重复Bug")</f>
        <v>0</v>
      </c>
      <c r="X45" s="76">
        <f>COUNTIFS(缺陷明细!$A$2:$A$50000,$B$4,缺陷明细!$G$2:$G$50000,$C45,缺陷明细!$Q$2:$Q$50000,"已关闭",缺陷明细!$J$2:$J$50000,"验收测试",缺陷明细!$K$2:$K$50000,"致命")+COUNTIFS(缺陷明细!$A$2:$A$50000,$B$4,缺陷明细!$G$2:$G$50000,$C45,缺陷明细!$Q$2:$Q$50000,"已关闭",缺陷明细!$J$2:$J$50000,"验收测试",缺陷明细!$K$2:$K$50000,"严重")</f>
        <v>0</v>
      </c>
      <c r="Y45" s="70">
        <f>COUNTIFS(缺陷明细!$A$2:$A$50000,$B$4,缺陷明细!$G$2:$G$50000,$C45,缺陷明细!$J$2:$J$50000,"运维测试",缺陷明细!$AB$2:$AB$50000,"&lt;&gt;丢弃",缺陷明细!$AB$2:$AB$50000,"&lt;&gt;设计如此",缺陷明细!$AB$2:$AB$50000,"&lt;&gt;重复Bug")</f>
        <v>0</v>
      </c>
      <c r="Z45" s="71">
        <f>COUNTIFS(缺陷明细!$A$2:$A$50000,$B$4,缺陷明细!$G$2:$G$50000,$C45,缺陷明细!$Q$2:$Q$50000,"已关闭",缺陷明细!$J$2:$J$50000,"运维测试")</f>
        <v>0</v>
      </c>
      <c r="AA45" s="72">
        <f>COUNTIFS(缺陷明细!$A$2:$A$50000,$B$4,缺陷明细!$G$2:$G$50000,$C45,缺陷明细!$J$2:$J$50000,"运维测试",缺陷明细!$K$2:$K$50000,"致命",缺陷明细!$AB$2:$AB$50000,"&lt;&gt;丢弃",缺陷明细!$AB$2:$AB$50000,"&lt;&gt;设计如此",缺陷明细!$AB$2:$AB$50000,"&lt;&gt;重复Bug")+COUNTIFS(缺陷明细!$A$2:$A$50000,$B$4,缺陷明细!$G$2:$G$50000,$C45,缺陷明细!$J$2:$J$50000,"运维测试",缺陷明细!$K$2:$K$50000,"严重",缺陷明细!$AB$2:$AB$50000,"&lt;&gt;丢弃",缺陷明细!$AB$2:$AB$50000,"&lt;&gt;设计如此",缺陷明细!$AB$2:$AB$50000,"&lt;&gt;重复Bug")</f>
        <v>0</v>
      </c>
      <c r="AB45" s="73">
        <f>COUNTIFS(缺陷明细!$A$2:$A$50000,$B$4,缺陷明细!$G$2:$G$50000,$C45,缺陷明细!$Q$2:$Q$50000,"已关闭",缺陷明细!$J$2:$J$50000,"运维测试",缺陷明细!$K$2:$K$50000,"致命")+COUNTIFS(缺陷明细!$A$2:$A$50000,$B$4,缺陷明细!$G$2:$G$50000,$C45,缺陷明细!$Q$2:$Q$50000,"已关闭",缺陷明细!$J$2:$J$50000,"运维测试",缺陷明细!$K$2:$K$50000,"严重")</f>
        <v>0</v>
      </c>
      <c r="AC45" s="68">
        <f t="shared" si="0"/>
        <v>0</v>
      </c>
      <c r="AD45" s="60">
        <f t="shared" si="0"/>
        <v>0</v>
      </c>
      <c r="AE45" s="60">
        <f t="shared" si="1"/>
        <v>0</v>
      </c>
      <c r="AF45" s="60">
        <f t="shared" si="1"/>
        <v>0</v>
      </c>
      <c r="AG45" s="60">
        <f t="shared" si="2"/>
        <v>0</v>
      </c>
      <c r="AH45" s="60">
        <f t="shared" si="2"/>
        <v>0</v>
      </c>
      <c r="AI45" s="60">
        <f t="shared" si="3"/>
        <v>0</v>
      </c>
      <c r="AJ45" s="61">
        <f t="shared" si="3"/>
        <v>0</v>
      </c>
      <c r="AK45" s="144"/>
    </row>
    <row r="46" spans="1:37">
      <c r="A46">
        <v>42</v>
      </c>
      <c r="B46" s="57"/>
      <c r="C46" s="58"/>
      <c r="D46" s="84"/>
      <c r="E46" s="82"/>
      <c r="F46" s="158"/>
      <c r="G46" s="159"/>
      <c r="H46" s="281">
        <f>COUNTIFS(缺陷明细!$A$2:$A$50000,$B$4,缺陷明细!$G$2:$G$50000,$C46,缺陷明细!$J$2:$J$50000,"评审",缺陷明细!$AB$2:$AB$50000,"&lt;&gt;丢弃",缺陷明细!$AB$2:$AB$50000,"&lt;&gt;设计如此",缺陷明细!$AB$2:$AB$50000,"&lt;&gt;重复Bug")</f>
        <v>0</v>
      </c>
      <c r="I46" s="154">
        <f>COUNTIFS(缺陷明细!$A$2:$A$50000,$B$4,缺陷明细!$G$2:$G$50000,$C46,缺陷明细!$Q$2:$Q$50000,"已关闭",缺陷明细!$J$2:$J$50000,"评审")</f>
        <v>0</v>
      </c>
      <c r="J46" s="154">
        <f>COUNTIFS(缺陷明细!$A$2:$A$50000,$B$4,缺陷明细!$G$2:$G$50000,$C46,缺陷明细!$J$2:$J$50000,"单元测试",缺陷明细!$AB$2:$AB$50000,"&lt;&gt;丢弃",缺陷明细!$AB$2:$AB$50000,"&lt;&gt;设计如此",缺陷明细!$AB$2:$AB$50000,"&lt;&gt;重复Bug")</f>
        <v>0</v>
      </c>
      <c r="K46" s="155">
        <f>COUNTIFS(缺陷明细!$A$2:$A$50000,$B$4,缺陷明细!$G$2:$G$50000,$C46,缺陷明细!$Q$2:$Q$50000,"已关闭",缺陷明细!$J$2:$J$50000,"单元测试")</f>
        <v>0</v>
      </c>
      <c r="L46" s="156"/>
      <c r="M46" s="157"/>
      <c r="N46" s="72">
        <f>COUNTIFS(缺陷明细!$A$2:$A$50000,$B$4,缺陷明细!$G$2:$G$50000,$C46,缺陷明细!$J$2:$J$50000,"系统测试案例评审",缺陷明细!$AB$2:$AB$50000,"&lt;&gt;丢弃",缺陷明细!$AB$2:$AB$50000,"&lt;&gt;设计如此",缺陷明细!$AB$2:$AB$50000,"&lt;&gt;重复Bug")</f>
        <v>0</v>
      </c>
      <c r="O46" s="72">
        <f>COUNTIFS(缺陷明细!$A$2:$A$50000,$B$4,缺陷明细!$G$2:$G$50000,$C46,缺陷明细!$Q$2:$Q$50000,"已关闭",缺陷明细!$J$2:$J$50000,"系统测试案例评审")</f>
        <v>0</v>
      </c>
      <c r="P46" s="72">
        <f>COUNTIFS(缺陷明细!$A$2:$A$50000,$B$4,缺陷明细!$G$2:$G$50000,$C46,缺陷明细!$J$2:$J$50000,"系统测试",缺陷明细!$AB$2:$AB$50000,"&lt;&gt;丢弃",缺陷明细!$AB$2:$AB$50000,"&lt;&gt;设计如此",缺陷明细!$AB$2:$AB$50000,"&lt;&gt;重复Bug")</f>
        <v>0</v>
      </c>
      <c r="Q46" s="72">
        <f>COUNTIFS(缺陷明细!$A$2:$A$50000,$B$4,缺陷明细!$G$2:$G$50000,$C46,缺陷明细!$Q$2:$Q$50000,"已关闭",缺陷明细!$J$2:$J$50000,"系统测试")</f>
        <v>0</v>
      </c>
      <c r="R46" s="296">
        <f>COUNTIFS(缺陷明细!$A$2:$A$50000,$B$4,缺陷明细!$G$2:$G$50000,$C46,缺陷明细!$AB$2:$AB$50000,"丢弃",缺陷明细!$J$2:$J$50000,"系统测试")+COUNTIFS(缺陷明细!$A$2:$A$50000,$B$4,缺陷明细!$G$2:$G$50000,$C46,缺陷明细!$AB$2:$AB$50000,"设计如此",缺陷明细!$J$2:$J$50000,"系统测试")+COUNTIFS(缺陷明细!$A$2:$A$50000,$B$4,缺陷明细!$G$2:$G$50000,$C46,缺陷明细!$AB$2:$AB$50000,"重复Bug",缺陷明细!$J$2:$J$50000,"系统测试")</f>
        <v>0</v>
      </c>
      <c r="S46" s="72">
        <f>COUNTIFS(缺陷明细!$A$2:$A$50000,$B$4,缺陷明细!$G$2:$G$50000,$C46,缺陷明细!$J$2:$J$50000,"系统测试",缺陷明细!$K$2:$K$50000,"致命",缺陷明细!$AB$2:$AB$50000,"&lt;&gt;丢弃",缺陷明细!$AB$2:$AB$50000,"&lt;&gt;设计如此",缺陷明细!$AB$2:$AB$50000,"&lt;&gt;重复Bug")+COUNTIFS(缺陷明细!$A$2:$A$50000,$B$4,缺陷明细!$G$2:$G$50000,$C46,缺陷明细!$J$2:$J$50000,"系统测试",缺陷明细!$K$2:$K$50000,"严重",缺陷明细!$AB$2:$AB$50000,"&lt;&gt;丢弃",缺陷明细!$AB$2:$AB$50000,"&lt;&gt;设计如此",缺陷明细!$AB$2:$AB$50000,"&lt;&gt;重复Bug")</f>
        <v>0</v>
      </c>
      <c r="T46" s="73">
        <f>COUNTIFS(缺陷明细!$A$2:$A$50000,$B$4,缺陷明细!$G$2:$G$50000,$C46,缺陷明细!$Q$2:$Q$50000,"已关闭",缺陷明细!$J$2:$J$50000,"系统测试",缺陷明细!$K$2:$K$50000,"致命")+COUNTIFS(缺陷明细!$A$2:$A$50000,$B$4,缺陷明细!$G$2:$G$50000,$C46,缺陷明细!$Q$2:$Q$50000,"已关闭",缺陷明细!$J$2:$J$50000,"系统测试",缺陷明细!$K$2:$K$50000,"严重")</f>
        <v>0</v>
      </c>
      <c r="U46" s="74">
        <f>COUNTIFS(缺陷明细!$A$2:$A$50000,$B$4,缺陷明细!$G$2:$G$50000,$C46,缺陷明细!$J$2:$J$50000,"验收测试",缺陷明细!$AB$2:$AB$50000,"&lt;&gt;丢弃",缺陷明细!$AB$2:$AB$50000,"&lt;&gt;设计如此",缺陷明细!$AB$2:$AB$50000,"&lt;&gt;重复Bug")</f>
        <v>0</v>
      </c>
      <c r="V46" s="75">
        <f>COUNTIFS(缺陷明细!$A$2:$A$50000,$B$4,缺陷明细!$G$2:$G$50000,$C46,缺陷明细!$Q$2:$Q$50000,"已关闭",缺陷明细!$J$2:$J$50000,"验收测试")</f>
        <v>0</v>
      </c>
      <c r="W46" s="75">
        <f>COUNTIFS(缺陷明细!$A$2:$A$50000,$B$4,缺陷明细!$G$2:$G$50000,$C46,缺陷明细!$J$2:$J$50000,"验收测试",缺陷明细!$K$2:$K$50000,"致命",缺陷明细!$AB$2:$AB$50000,"&lt;&gt;丢弃",缺陷明细!$AB$2:$AB$50000,"&lt;&gt;设计如此",缺陷明细!$AB$2:$AB$50000,"&lt;&gt;重复Bug")+COUNTIFS(缺陷明细!$A$2:$A$50000,$B$4,缺陷明细!$G$2:$G$50000,$C46,缺陷明细!$J$2:$J$50000,"验收测试",缺陷明细!$K$2:$K$50000,"严重",缺陷明细!$AB$2:$AB$50000,"&lt;&gt;丢弃",缺陷明细!$AB$2:$AB$50000,"&lt;&gt;设计如此",缺陷明细!$AB$2:$AB$50000,"&lt;&gt;重复Bug")</f>
        <v>0</v>
      </c>
      <c r="X46" s="76">
        <f>COUNTIFS(缺陷明细!$A$2:$A$50000,$B$4,缺陷明细!$G$2:$G$50000,$C46,缺陷明细!$Q$2:$Q$50000,"已关闭",缺陷明细!$J$2:$J$50000,"验收测试",缺陷明细!$K$2:$K$50000,"致命")+COUNTIFS(缺陷明细!$A$2:$A$50000,$B$4,缺陷明细!$G$2:$G$50000,$C46,缺陷明细!$Q$2:$Q$50000,"已关闭",缺陷明细!$J$2:$J$50000,"验收测试",缺陷明细!$K$2:$K$50000,"严重")</f>
        <v>0</v>
      </c>
      <c r="Y46" s="70">
        <f>COUNTIFS(缺陷明细!$A$2:$A$50000,$B$4,缺陷明细!$G$2:$G$50000,$C46,缺陷明细!$J$2:$J$50000,"运维测试",缺陷明细!$AB$2:$AB$50000,"&lt;&gt;丢弃",缺陷明细!$AB$2:$AB$50000,"&lt;&gt;设计如此",缺陷明细!$AB$2:$AB$50000,"&lt;&gt;重复Bug")</f>
        <v>0</v>
      </c>
      <c r="Z46" s="71">
        <f>COUNTIFS(缺陷明细!$A$2:$A$50000,$B$4,缺陷明细!$G$2:$G$50000,$C46,缺陷明细!$Q$2:$Q$50000,"已关闭",缺陷明细!$J$2:$J$50000,"运维测试")</f>
        <v>0</v>
      </c>
      <c r="AA46" s="72">
        <f>COUNTIFS(缺陷明细!$A$2:$A$50000,$B$4,缺陷明细!$G$2:$G$50000,$C46,缺陷明细!$J$2:$J$50000,"运维测试",缺陷明细!$K$2:$K$50000,"致命",缺陷明细!$AB$2:$AB$50000,"&lt;&gt;丢弃",缺陷明细!$AB$2:$AB$50000,"&lt;&gt;设计如此",缺陷明细!$AB$2:$AB$50000,"&lt;&gt;重复Bug")+COUNTIFS(缺陷明细!$A$2:$A$50000,$B$4,缺陷明细!$G$2:$G$50000,$C46,缺陷明细!$J$2:$J$50000,"运维测试",缺陷明细!$K$2:$K$50000,"严重",缺陷明细!$AB$2:$AB$50000,"&lt;&gt;丢弃",缺陷明细!$AB$2:$AB$50000,"&lt;&gt;设计如此",缺陷明细!$AB$2:$AB$50000,"&lt;&gt;重复Bug")</f>
        <v>0</v>
      </c>
      <c r="AB46" s="73">
        <f>COUNTIFS(缺陷明细!$A$2:$A$50000,$B$4,缺陷明细!$G$2:$G$50000,$C46,缺陷明细!$Q$2:$Q$50000,"已关闭",缺陷明细!$J$2:$J$50000,"运维测试",缺陷明细!$K$2:$K$50000,"致命")+COUNTIFS(缺陷明细!$A$2:$A$50000,$B$4,缺陷明细!$G$2:$G$50000,$C46,缺陷明细!$Q$2:$Q$50000,"已关闭",缺陷明细!$J$2:$J$50000,"运维测试",缺陷明细!$K$2:$K$50000,"严重")</f>
        <v>0</v>
      </c>
      <c r="AC46" s="68">
        <f t="shared" si="0"/>
        <v>0</v>
      </c>
      <c r="AD46" s="60">
        <f t="shared" si="0"/>
        <v>0</v>
      </c>
      <c r="AE46" s="60">
        <f t="shared" si="1"/>
        <v>0</v>
      </c>
      <c r="AF46" s="60">
        <f t="shared" si="1"/>
        <v>0</v>
      </c>
      <c r="AG46" s="60">
        <f t="shared" si="2"/>
        <v>0</v>
      </c>
      <c r="AH46" s="60">
        <f t="shared" si="2"/>
        <v>0</v>
      </c>
      <c r="AI46" s="60">
        <f t="shared" si="3"/>
        <v>0</v>
      </c>
      <c r="AJ46" s="61">
        <f t="shared" si="3"/>
        <v>0</v>
      </c>
      <c r="AK46" s="144"/>
    </row>
    <row r="47" spans="1:37">
      <c r="A47">
        <v>43</v>
      </c>
      <c r="B47" s="57"/>
      <c r="C47" s="58"/>
      <c r="D47" s="84"/>
      <c r="E47" s="82"/>
      <c r="F47" s="158"/>
      <c r="G47" s="159"/>
      <c r="H47" s="281">
        <f>COUNTIFS(缺陷明细!$A$2:$A$50000,$B$4,缺陷明细!$G$2:$G$50000,$C47,缺陷明细!$J$2:$J$50000,"评审",缺陷明细!$AB$2:$AB$50000,"&lt;&gt;丢弃",缺陷明细!$AB$2:$AB$50000,"&lt;&gt;设计如此",缺陷明细!$AB$2:$AB$50000,"&lt;&gt;重复Bug")</f>
        <v>0</v>
      </c>
      <c r="I47" s="154">
        <f>COUNTIFS(缺陷明细!$A$2:$A$50000,$B$4,缺陷明细!$G$2:$G$50000,$C47,缺陷明细!$Q$2:$Q$50000,"已关闭",缺陷明细!$J$2:$J$50000,"评审")</f>
        <v>0</v>
      </c>
      <c r="J47" s="154">
        <f>COUNTIFS(缺陷明细!$A$2:$A$50000,$B$4,缺陷明细!$G$2:$G$50000,$C47,缺陷明细!$J$2:$J$50000,"单元测试",缺陷明细!$AB$2:$AB$50000,"&lt;&gt;丢弃",缺陷明细!$AB$2:$AB$50000,"&lt;&gt;设计如此",缺陷明细!$AB$2:$AB$50000,"&lt;&gt;重复Bug")</f>
        <v>0</v>
      </c>
      <c r="K47" s="155">
        <f>COUNTIFS(缺陷明细!$A$2:$A$50000,$B$4,缺陷明细!$G$2:$G$50000,$C47,缺陷明细!$Q$2:$Q$50000,"已关闭",缺陷明细!$J$2:$J$50000,"单元测试")</f>
        <v>0</v>
      </c>
      <c r="L47" s="156"/>
      <c r="M47" s="157"/>
      <c r="N47" s="72">
        <f>COUNTIFS(缺陷明细!$A$2:$A$50000,$B$4,缺陷明细!$G$2:$G$50000,$C47,缺陷明细!$J$2:$J$50000,"系统测试案例评审",缺陷明细!$AB$2:$AB$50000,"&lt;&gt;丢弃",缺陷明细!$AB$2:$AB$50000,"&lt;&gt;设计如此",缺陷明细!$AB$2:$AB$50000,"&lt;&gt;重复Bug")</f>
        <v>0</v>
      </c>
      <c r="O47" s="72">
        <f>COUNTIFS(缺陷明细!$A$2:$A$50000,$B$4,缺陷明细!$G$2:$G$50000,$C47,缺陷明细!$Q$2:$Q$50000,"已关闭",缺陷明细!$J$2:$J$50000,"系统测试案例评审")</f>
        <v>0</v>
      </c>
      <c r="P47" s="72">
        <f>COUNTIFS(缺陷明细!$A$2:$A$50000,$B$4,缺陷明细!$G$2:$G$50000,$C47,缺陷明细!$J$2:$J$50000,"系统测试",缺陷明细!$AB$2:$AB$50000,"&lt;&gt;丢弃",缺陷明细!$AB$2:$AB$50000,"&lt;&gt;设计如此",缺陷明细!$AB$2:$AB$50000,"&lt;&gt;重复Bug")</f>
        <v>0</v>
      </c>
      <c r="Q47" s="72">
        <f>COUNTIFS(缺陷明细!$A$2:$A$50000,$B$4,缺陷明细!$G$2:$G$50000,$C47,缺陷明细!$Q$2:$Q$50000,"已关闭",缺陷明细!$J$2:$J$50000,"系统测试")</f>
        <v>0</v>
      </c>
      <c r="R47" s="296">
        <f>COUNTIFS(缺陷明细!$A$2:$A$50000,$B$4,缺陷明细!$G$2:$G$50000,$C47,缺陷明细!$AB$2:$AB$50000,"丢弃",缺陷明细!$J$2:$J$50000,"系统测试")+COUNTIFS(缺陷明细!$A$2:$A$50000,$B$4,缺陷明细!$G$2:$G$50000,$C47,缺陷明细!$AB$2:$AB$50000,"设计如此",缺陷明细!$J$2:$J$50000,"系统测试")+COUNTIFS(缺陷明细!$A$2:$A$50000,$B$4,缺陷明细!$G$2:$G$50000,$C47,缺陷明细!$AB$2:$AB$50000,"重复Bug",缺陷明细!$J$2:$J$50000,"系统测试")</f>
        <v>0</v>
      </c>
      <c r="S47" s="72">
        <f>COUNTIFS(缺陷明细!$A$2:$A$50000,$B$4,缺陷明细!$G$2:$G$50000,$C47,缺陷明细!$J$2:$J$50000,"系统测试",缺陷明细!$K$2:$K$50000,"致命",缺陷明细!$AB$2:$AB$50000,"&lt;&gt;丢弃",缺陷明细!$AB$2:$AB$50000,"&lt;&gt;设计如此",缺陷明细!$AB$2:$AB$50000,"&lt;&gt;重复Bug")+COUNTIFS(缺陷明细!$A$2:$A$50000,$B$4,缺陷明细!$G$2:$G$50000,$C47,缺陷明细!$J$2:$J$50000,"系统测试",缺陷明细!$K$2:$K$50000,"严重",缺陷明细!$AB$2:$AB$50000,"&lt;&gt;丢弃",缺陷明细!$AB$2:$AB$50000,"&lt;&gt;设计如此",缺陷明细!$AB$2:$AB$50000,"&lt;&gt;重复Bug")</f>
        <v>0</v>
      </c>
      <c r="T47" s="73">
        <f>COUNTIFS(缺陷明细!$A$2:$A$50000,$B$4,缺陷明细!$G$2:$G$50000,$C47,缺陷明细!$Q$2:$Q$50000,"已关闭",缺陷明细!$J$2:$J$50000,"系统测试",缺陷明细!$K$2:$K$50000,"致命")+COUNTIFS(缺陷明细!$A$2:$A$50000,$B$4,缺陷明细!$G$2:$G$50000,$C47,缺陷明细!$Q$2:$Q$50000,"已关闭",缺陷明细!$J$2:$J$50000,"系统测试",缺陷明细!$K$2:$K$50000,"严重")</f>
        <v>0</v>
      </c>
      <c r="U47" s="74">
        <f>COUNTIFS(缺陷明细!$A$2:$A$50000,$B$4,缺陷明细!$G$2:$G$50000,$C47,缺陷明细!$J$2:$J$50000,"验收测试",缺陷明细!$AB$2:$AB$50000,"&lt;&gt;丢弃",缺陷明细!$AB$2:$AB$50000,"&lt;&gt;设计如此",缺陷明细!$AB$2:$AB$50000,"&lt;&gt;重复Bug")</f>
        <v>0</v>
      </c>
      <c r="V47" s="75">
        <f>COUNTIFS(缺陷明细!$A$2:$A$50000,$B$4,缺陷明细!$G$2:$G$50000,$C47,缺陷明细!$Q$2:$Q$50000,"已关闭",缺陷明细!$J$2:$J$50000,"验收测试")</f>
        <v>0</v>
      </c>
      <c r="W47" s="75">
        <f>COUNTIFS(缺陷明细!$A$2:$A$50000,$B$4,缺陷明细!$G$2:$G$50000,$C47,缺陷明细!$J$2:$J$50000,"验收测试",缺陷明细!$K$2:$K$50000,"致命",缺陷明细!$AB$2:$AB$50000,"&lt;&gt;丢弃",缺陷明细!$AB$2:$AB$50000,"&lt;&gt;设计如此",缺陷明细!$AB$2:$AB$50000,"&lt;&gt;重复Bug")+COUNTIFS(缺陷明细!$A$2:$A$50000,$B$4,缺陷明细!$G$2:$G$50000,$C47,缺陷明细!$J$2:$J$50000,"验收测试",缺陷明细!$K$2:$K$50000,"严重",缺陷明细!$AB$2:$AB$50000,"&lt;&gt;丢弃",缺陷明细!$AB$2:$AB$50000,"&lt;&gt;设计如此",缺陷明细!$AB$2:$AB$50000,"&lt;&gt;重复Bug")</f>
        <v>0</v>
      </c>
      <c r="X47" s="76">
        <f>COUNTIFS(缺陷明细!$A$2:$A$50000,$B$4,缺陷明细!$G$2:$G$50000,$C47,缺陷明细!$Q$2:$Q$50000,"已关闭",缺陷明细!$J$2:$J$50000,"验收测试",缺陷明细!$K$2:$K$50000,"致命")+COUNTIFS(缺陷明细!$A$2:$A$50000,$B$4,缺陷明细!$G$2:$G$50000,$C47,缺陷明细!$Q$2:$Q$50000,"已关闭",缺陷明细!$J$2:$J$50000,"验收测试",缺陷明细!$K$2:$K$50000,"严重")</f>
        <v>0</v>
      </c>
      <c r="Y47" s="70">
        <f>COUNTIFS(缺陷明细!$A$2:$A$50000,$B$4,缺陷明细!$G$2:$G$50000,$C47,缺陷明细!$J$2:$J$50000,"运维测试",缺陷明细!$AB$2:$AB$50000,"&lt;&gt;丢弃",缺陷明细!$AB$2:$AB$50000,"&lt;&gt;设计如此",缺陷明细!$AB$2:$AB$50000,"&lt;&gt;重复Bug")</f>
        <v>0</v>
      </c>
      <c r="Z47" s="71">
        <f>COUNTIFS(缺陷明细!$A$2:$A$50000,$B$4,缺陷明细!$G$2:$G$50000,$C47,缺陷明细!$Q$2:$Q$50000,"已关闭",缺陷明细!$J$2:$J$50000,"运维测试")</f>
        <v>0</v>
      </c>
      <c r="AA47" s="72">
        <f>COUNTIFS(缺陷明细!$A$2:$A$50000,$B$4,缺陷明细!$G$2:$G$50000,$C47,缺陷明细!$J$2:$J$50000,"运维测试",缺陷明细!$K$2:$K$50000,"致命",缺陷明细!$AB$2:$AB$50000,"&lt;&gt;丢弃",缺陷明细!$AB$2:$AB$50000,"&lt;&gt;设计如此",缺陷明细!$AB$2:$AB$50000,"&lt;&gt;重复Bug")+COUNTIFS(缺陷明细!$A$2:$A$50000,$B$4,缺陷明细!$G$2:$G$50000,$C47,缺陷明细!$J$2:$J$50000,"运维测试",缺陷明细!$K$2:$K$50000,"严重",缺陷明细!$AB$2:$AB$50000,"&lt;&gt;丢弃",缺陷明细!$AB$2:$AB$50000,"&lt;&gt;设计如此",缺陷明细!$AB$2:$AB$50000,"&lt;&gt;重复Bug")</f>
        <v>0</v>
      </c>
      <c r="AB47" s="73">
        <f>COUNTIFS(缺陷明细!$A$2:$A$50000,$B$4,缺陷明细!$G$2:$G$50000,$C47,缺陷明细!$Q$2:$Q$50000,"已关闭",缺陷明细!$J$2:$J$50000,"运维测试",缺陷明细!$K$2:$K$50000,"致命")+COUNTIFS(缺陷明细!$A$2:$A$50000,$B$4,缺陷明细!$G$2:$G$50000,$C47,缺陷明细!$Q$2:$Q$50000,"已关闭",缺陷明细!$J$2:$J$50000,"运维测试",缺陷明细!$K$2:$K$50000,"严重")</f>
        <v>0</v>
      </c>
      <c r="AC47" s="68">
        <f t="shared" si="0"/>
        <v>0</v>
      </c>
      <c r="AD47" s="60">
        <f t="shared" si="0"/>
        <v>0</v>
      </c>
      <c r="AE47" s="60">
        <f t="shared" si="1"/>
        <v>0</v>
      </c>
      <c r="AF47" s="60">
        <f t="shared" si="1"/>
        <v>0</v>
      </c>
      <c r="AG47" s="60">
        <f t="shared" si="2"/>
        <v>0</v>
      </c>
      <c r="AH47" s="60">
        <f t="shared" si="2"/>
        <v>0</v>
      </c>
      <c r="AI47" s="60">
        <f t="shared" si="3"/>
        <v>0</v>
      </c>
      <c r="AJ47" s="61">
        <f t="shared" si="3"/>
        <v>0</v>
      </c>
      <c r="AK47" s="144"/>
    </row>
    <row r="48" spans="1:37">
      <c r="A48">
        <v>44</v>
      </c>
      <c r="B48" s="57"/>
      <c r="C48" s="58"/>
      <c r="D48" s="84"/>
      <c r="E48" s="82"/>
      <c r="F48" s="158"/>
      <c r="G48" s="159"/>
      <c r="H48" s="281">
        <f>COUNTIFS(缺陷明细!$A$2:$A$50000,$B$4,缺陷明细!$G$2:$G$50000,$C48,缺陷明细!$J$2:$J$50000,"评审",缺陷明细!$AB$2:$AB$50000,"&lt;&gt;丢弃",缺陷明细!$AB$2:$AB$50000,"&lt;&gt;设计如此",缺陷明细!$AB$2:$AB$50000,"&lt;&gt;重复Bug")</f>
        <v>0</v>
      </c>
      <c r="I48" s="154">
        <f>COUNTIFS(缺陷明细!$A$2:$A$50000,$B$4,缺陷明细!$G$2:$G$50000,$C48,缺陷明细!$Q$2:$Q$50000,"已关闭",缺陷明细!$J$2:$J$50000,"评审")</f>
        <v>0</v>
      </c>
      <c r="J48" s="154">
        <f>COUNTIFS(缺陷明细!$A$2:$A$50000,$B$4,缺陷明细!$G$2:$G$50000,$C48,缺陷明细!$J$2:$J$50000,"单元测试",缺陷明细!$AB$2:$AB$50000,"&lt;&gt;丢弃",缺陷明细!$AB$2:$AB$50000,"&lt;&gt;设计如此",缺陷明细!$AB$2:$AB$50000,"&lt;&gt;重复Bug")</f>
        <v>0</v>
      </c>
      <c r="K48" s="155">
        <f>COUNTIFS(缺陷明细!$A$2:$A$50000,$B$4,缺陷明细!$G$2:$G$50000,$C48,缺陷明细!$Q$2:$Q$50000,"已关闭",缺陷明细!$J$2:$J$50000,"单元测试")</f>
        <v>0</v>
      </c>
      <c r="L48" s="156"/>
      <c r="M48" s="157"/>
      <c r="N48" s="72">
        <f>COUNTIFS(缺陷明细!$A$2:$A$50000,$B$4,缺陷明细!$G$2:$G$50000,$C48,缺陷明细!$J$2:$J$50000,"系统测试案例评审",缺陷明细!$AB$2:$AB$50000,"&lt;&gt;丢弃",缺陷明细!$AB$2:$AB$50000,"&lt;&gt;设计如此",缺陷明细!$AB$2:$AB$50000,"&lt;&gt;重复Bug")</f>
        <v>0</v>
      </c>
      <c r="O48" s="72">
        <f>COUNTIFS(缺陷明细!$A$2:$A$50000,$B$4,缺陷明细!$G$2:$G$50000,$C48,缺陷明细!$Q$2:$Q$50000,"已关闭",缺陷明细!$J$2:$J$50000,"系统测试案例评审")</f>
        <v>0</v>
      </c>
      <c r="P48" s="72">
        <f>COUNTIFS(缺陷明细!$A$2:$A$50000,$B$4,缺陷明细!$G$2:$G$50000,$C48,缺陷明细!$J$2:$J$50000,"系统测试",缺陷明细!$AB$2:$AB$50000,"&lt;&gt;丢弃",缺陷明细!$AB$2:$AB$50000,"&lt;&gt;设计如此",缺陷明细!$AB$2:$AB$50000,"&lt;&gt;重复Bug")</f>
        <v>0</v>
      </c>
      <c r="Q48" s="72">
        <f>COUNTIFS(缺陷明细!$A$2:$A$50000,$B$4,缺陷明细!$G$2:$G$50000,$C48,缺陷明细!$Q$2:$Q$50000,"已关闭",缺陷明细!$J$2:$J$50000,"系统测试")</f>
        <v>0</v>
      </c>
      <c r="R48" s="296">
        <f>COUNTIFS(缺陷明细!$A$2:$A$50000,$B$4,缺陷明细!$G$2:$G$50000,$C48,缺陷明细!$AB$2:$AB$50000,"丢弃",缺陷明细!$J$2:$J$50000,"系统测试")+COUNTIFS(缺陷明细!$A$2:$A$50000,$B$4,缺陷明细!$G$2:$G$50000,$C48,缺陷明细!$AB$2:$AB$50000,"设计如此",缺陷明细!$J$2:$J$50000,"系统测试")+COUNTIFS(缺陷明细!$A$2:$A$50000,$B$4,缺陷明细!$G$2:$G$50000,$C48,缺陷明细!$AB$2:$AB$50000,"重复Bug",缺陷明细!$J$2:$J$50000,"系统测试")</f>
        <v>0</v>
      </c>
      <c r="S48" s="72">
        <f>COUNTIFS(缺陷明细!$A$2:$A$50000,$B$4,缺陷明细!$G$2:$G$50000,$C48,缺陷明细!$J$2:$J$50000,"系统测试",缺陷明细!$K$2:$K$50000,"致命",缺陷明细!$AB$2:$AB$50000,"&lt;&gt;丢弃",缺陷明细!$AB$2:$AB$50000,"&lt;&gt;设计如此",缺陷明细!$AB$2:$AB$50000,"&lt;&gt;重复Bug")+COUNTIFS(缺陷明细!$A$2:$A$50000,$B$4,缺陷明细!$G$2:$G$50000,$C48,缺陷明细!$J$2:$J$50000,"系统测试",缺陷明细!$K$2:$K$50000,"严重",缺陷明细!$AB$2:$AB$50000,"&lt;&gt;丢弃",缺陷明细!$AB$2:$AB$50000,"&lt;&gt;设计如此",缺陷明细!$AB$2:$AB$50000,"&lt;&gt;重复Bug")</f>
        <v>0</v>
      </c>
      <c r="T48" s="73">
        <f>COUNTIFS(缺陷明细!$A$2:$A$50000,$B$4,缺陷明细!$G$2:$G$50000,$C48,缺陷明细!$Q$2:$Q$50000,"已关闭",缺陷明细!$J$2:$J$50000,"系统测试",缺陷明细!$K$2:$K$50000,"致命")+COUNTIFS(缺陷明细!$A$2:$A$50000,$B$4,缺陷明细!$G$2:$G$50000,$C48,缺陷明细!$Q$2:$Q$50000,"已关闭",缺陷明细!$J$2:$J$50000,"系统测试",缺陷明细!$K$2:$K$50000,"严重")</f>
        <v>0</v>
      </c>
      <c r="U48" s="74">
        <f>COUNTIFS(缺陷明细!$A$2:$A$50000,$B$4,缺陷明细!$G$2:$G$50000,$C48,缺陷明细!$J$2:$J$50000,"验收测试",缺陷明细!$AB$2:$AB$50000,"&lt;&gt;丢弃",缺陷明细!$AB$2:$AB$50000,"&lt;&gt;设计如此",缺陷明细!$AB$2:$AB$50000,"&lt;&gt;重复Bug")</f>
        <v>0</v>
      </c>
      <c r="V48" s="75">
        <f>COUNTIFS(缺陷明细!$A$2:$A$50000,$B$4,缺陷明细!$G$2:$G$50000,$C48,缺陷明细!$Q$2:$Q$50000,"已关闭",缺陷明细!$J$2:$J$50000,"验收测试")</f>
        <v>0</v>
      </c>
      <c r="W48" s="75">
        <f>COUNTIFS(缺陷明细!$A$2:$A$50000,$B$4,缺陷明细!$G$2:$G$50000,$C48,缺陷明细!$J$2:$J$50000,"验收测试",缺陷明细!$K$2:$K$50000,"致命",缺陷明细!$AB$2:$AB$50000,"&lt;&gt;丢弃",缺陷明细!$AB$2:$AB$50000,"&lt;&gt;设计如此",缺陷明细!$AB$2:$AB$50000,"&lt;&gt;重复Bug")+COUNTIFS(缺陷明细!$A$2:$A$50000,$B$4,缺陷明细!$G$2:$G$50000,$C48,缺陷明细!$J$2:$J$50000,"验收测试",缺陷明细!$K$2:$K$50000,"严重",缺陷明细!$AB$2:$AB$50000,"&lt;&gt;丢弃",缺陷明细!$AB$2:$AB$50000,"&lt;&gt;设计如此",缺陷明细!$AB$2:$AB$50000,"&lt;&gt;重复Bug")</f>
        <v>0</v>
      </c>
      <c r="X48" s="76">
        <f>COUNTIFS(缺陷明细!$A$2:$A$50000,$B$4,缺陷明细!$G$2:$G$50000,$C48,缺陷明细!$Q$2:$Q$50000,"已关闭",缺陷明细!$J$2:$J$50000,"验收测试",缺陷明细!$K$2:$K$50000,"致命")+COUNTIFS(缺陷明细!$A$2:$A$50000,$B$4,缺陷明细!$G$2:$G$50000,$C48,缺陷明细!$Q$2:$Q$50000,"已关闭",缺陷明细!$J$2:$J$50000,"验收测试",缺陷明细!$K$2:$K$50000,"严重")</f>
        <v>0</v>
      </c>
      <c r="Y48" s="70">
        <f>COUNTIFS(缺陷明细!$A$2:$A$50000,$B$4,缺陷明细!$G$2:$G$50000,$C48,缺陷明细!$J$2:$J$50000,"运维测试",缺陷明细!$AB$2:$AB$50000,"&lt;&gt;丢弃",缺陷明细!$AB$2:$AB$50000,"&lt;&gt;设计如此",缺陷明细!$AB$2:$AB$50000,"&lt;&gt;重复Bug")</f>
        <v>0</v>
      </c>
      <c r="Z48" s="71">
        <f>COUNTIFS(缺陷明细!$A$2:$A$50000,$B$4,缺陷明细!$G$2:$G$50000,$C48,缺陷明细!$Q$2:$Q$50000,"已关闭",缺陷明细!$J$2:$J$50000,"运维测试")</f>
        <v>0</v>
      </c>
      <c r="AA48" s="72">
        <f>COUNTIFS(缺陷明细!$A$2:$A$50000,$B$4,缺陷明细!$G$2:$G$50000,$C48,缺陷明细!$J$2:$J$50000,"运维测试",缺陷明细!$K$2:$K$50000,"致命",缺陷明细!$AB$2:$AB$50000,"&lt;&gt;丢弃",缺陷明细!$AB$2:$AB$50000,"&lt;&gt;设计如此",缺陷明细!$AB$2:$AB$50000,"&lt;&gt;重复Bug")+COUNTIFS(缺陷明细!$A$2:$A$50000,$B$4,缺陷明细!$G$2:$G$50000,$C48,缺陷明细!$J$2:$J$50000,"运维测试",缺陷明细!$K$2:$K$50000,"严重",缺陷明细!$AB$2:$AB$50000,"&lt;&gt;丢弃",缺陷明细!$AB$2:$AB$50000,"&lt;&gt;设计如此",缺陷明细!$AB$2:$AB$50000,"&lt;&gt;重复Bug")</f>
        <v>0</v>
      </c>
      <c r="AB48" s="73">
        <f>COUNTIFS(缺陷明细!$A$2:$A$50000,$B$4,缺陷明细!$G$2:$G$50000,$C48,缺陷明细!$Q$2:$Q$50000,"已关闭",缺陷明细!$J$2:$J$50000,"运维测试",缺陷明细!$K$2:$K$50000,"致命")+COUNTIFS(缺陷明细!$A$2:$A$50000,$B$4,缺陷明细!$G$2:$G$50000,$C48,缺陷明细!$Q$2:$Q$50000,"已关闭",缺陷明细!$J$2:$J$50000,"运维测试",缺陷明细!$K$2:$K$50000,"严重")</f>
        <v>0</v>
      </c>
      <c r="AC48" s="68">
        <f t="shared" si="0"/>
        <v>0</v>
      </c>
      <c r="AD48" s="60">
        <f t="shared" si="0"/>
        <v>0</v>
      </c>
      <c r="AE48" s="60">
        <f t="shared" si="1"/>
        <v>0</v>
      </c>
      <c r="AF48" s="60">
        <f t="shared" si="1"/>
        <v>0</v>
      </c>
      <c r="AG48" s="60">
        <f t="shared" si="2"/>
        <v>0</v>
      </c>
      <c r="AH48" s="60">
        <f t="shared" si="2"/>
        <v>0</v>
      </c>
      <c r="AI48" s="60">
        <f t="shared" si="3"/>
        <v>0</v>
      </c>
      <c r="AJ48" s="61">
        <f t="shared" si="3"/>
        <v>0</v>
      </c>
      <c r="AK48" s="144"/>
    </row>
    <row r="49" spans="1:37">
      <c r="A49">
        <v>45</v>
      </c>
      <c r="B49" s="57"/>
      <c r="C49" s="58"/>
      <c r="D49" s="84"/>
      <c r="E49" s="82"/>
      <c r="F49" s="158"/>
      <c r="G49" s="159"/>
      <c r="H49" s="281">
        <f>COUNTIFS(缺陷明细!$A$2:$A$50000,$B$4,缺陷明细!$G$2:$G$50000,$C49,缺陷明细!$J$2:$J$50000,"评审",缺陷明细!$AB$2:$AB$50000,"&lt;&gt;丢弃",缺陷明细!$AB$2:$AB$50000,"&lt;&gt;设计如此",缺陷明细!$AB$2:$AB$50000,"&lt;&gt;重复Bug")</f>
        <v>0</v>
      </c>
      <c r="I49" s="154">
        <f>COUNTIFS(缺陷明细!$A$2:$A$50000,$B$4,缺陷明细!$G$2:$G$50000,$C49,缺陷明细!$Q$2:$Q$50000,"已关闭",缺陷明细!$J$2:$J$50000,"评审")</f>
        <v>0</v>
      </c>
      <c r="J49" s="154">
        <f>COUNTIFS(缺陷明细!$A$2:$A$50000,$B$4,缺陷明细!$G$2:$G$50000,$C49,缺陷明细!$J$2:$J$50000,"单元测试",缺陷明细!$AB$2:$AB$50000,"&lt;&gt;丢弃",缺陷明细!$AB$2:$AB$50000,"&lt;&gt;设计如此",缺陷明细!$AB$2:$AB$50000,"&lt;&gt;重复Bug")</f>
        <v>0</v>
      </c>
      <c r="K49" s="155">
        <f>COUNTIFS(缺陷明细!$A$2:$A$50000,$B$4,缺陷明细!$G$2:$G$50000,$C49,缺陷明细!$Q$2:$Q$50000,"已关闭",缺陷明细!$J$2:$J$50000,"单元测试")</f>
        <v>0</v>
      </c>
      <c r="L49" s="156"/>
      <c r="M49" s="157"/>
      <c r="N49" s="72">
        <f>COUNTIFS(缺陷明细!$A$2:$A$50000,$B$4,缺陷明细!$G$2:$G$50000,$C49,缺陷明细!$J$2:$J$50000,"系统测试案例评审",缺陷明细!$AB$2:$AB$50000,"&lt;&gt;丢弃",缺陷明细!$AB$2:$AB$50000,"&lt;&gt;设计如此",缺陷明细!$AB$2:$AB$50000,"&lt;&gt;重复Bug")</f>
        <v>0</v>
      </c>
      <c r="O49" s="72">
        <f>COUNTIFS(缺陷明细!$A$2:$A$50000,$B$4,缺陷明细!$G$2:$G$50000,$C49,缺陷明细!$Q$2:$Q$50000,"已关闭",缺陷明细!$J$2:$J$50000,"系统测试案例评审")</f>
        <v>0</v>
      </c>
      <c r="P49" s="72">
        <f>COUNTIFS(缺陷明细!$A$2:$A$50000,$B$4,缺陷明细!$G$2:$G$50000,$C49,缺陷明细!$J$2:$J$50000,"系统测试",缺陷明细!$AB$2:$AB$50000,"&lt;&gt;丢弃",缺陷明细!$AB$2:$AB$50000,"&lt;&gt;设计如此",缺陷明细!$AB$2:$AB$50000,"&lt;&gt;重复Bug")</f>
        <v>0</v>
      </c>
      <c r="Q49" s="72">
        <f>COUNTIFS(缺陷明细!$A$2:$A$50000,$B$4,缺陷明细!$G$2:$G$50000,$C49,缺陷明细!$Q$2:$Q$50000,"已关闭",缺陷明细!$J$2:$J$50000,"系统测试")</f>
        <v>0</v>
      </c>
      <c r="R49" s="296">
        <f>COUNTIFS(缺陷明细!$A$2:$A$50000,$B$4,缺陷明细!$G$2:$G$50000,$C49,缺陷明细!$AB$2:$AB$50000,"丢弃",缺陷明细!$J$2:$J$50000,"系统测试")+COUNTIFS(缺陷明细!$A$2:$A$50000,$B$4,缺陷明细!$G$2:$G$50000,$C49,缺陷明细!$AB$2:$AB$50000,"设计如此",缺陷明细!$J$2:$J$50000,"系统测试")+COUNTIFS(缺陷明细!$A$2:$A$50000,$B$4,缺陷明细!$G$2:$G$50000,$C49,缺陷明细!$AB$2:$AB$50000,"重复Bug",缺陷明细!$J$2:$J$50000,"系统测试")</f>
        <v>0</v>
      </c>
      <c r="S49" s="72">
        <f>COUNTIFS(缺陷明细!$A$2:$A$50000,$B$4,缺陷明细!$G$2:$G$50000,$C49,缺陷明细!$J$2:$J$50000,"系统测试",缺陷明细!$K$2:$K$50000,"致命",缺陷明细!$AB$2:$AB$50000,"&lt;&gt;丢弃",缺陷明细!$AB$2:$AB$50000,"&lt;&gt;设计如此",缺陷明细!$AB$2:$AB$50000,"&lt;&gt;重复Bug")+COUNTIFS(缺陷明细!$A$2:$A$50000,$B$4,缺陷明细!$G$2:$G$50000,$C49,缺陷明细!$J$2:$J$50000,"系统测试",缺陷明细!$K$2:$K$50000,"严重",缺陷明细!$AB$2:$AB$50000,"&lt;&gt;丢弃",缺陷明细!$AB$2:$AB$50000,"&lt;&gt;设计如此",缺陷明细!$AB$2:$AB$50000,"&lt;&gt;重复Bug")</f>
        <v>0</v>
      </c>
      <c r="T49" s="73">
        <f>COUNTIFS(缺陷明细!$A$2:$A$50000,$B$4,缺陷明细!$G$2:$G$50000,$C49,缺陷明细!$Q$2:$Q$50000,"已关闭",缺陷明细!$J$2:$J$50000,"系统测试",缺陷明细!$K$2:$K$50000,"致命")+COUNTIFS(缺陷明细!$A$2:$A$50000,$B$4,缺陷明细!$G$2:$G$50000,$C49,缺陷明细!$Q$2:$Q$50000,"已关闭",缺陷明细!$J$2:$J$50000,"系统测试",缺陷明细!$K$2:$K$50000,"严重")</f>
        <v>0</v>
      </c>
      <c r="U49" s="74">
        <f>COUNTIFS(缺陷明细!$A$2:$A$50000,$B$4,缺陷明细!$G$2:$G$50000,$C49,缺陷明细!$J$2:$J$50000,"验收测试",缺陷明细!$AB$2:$AB$50000,"&lt;&gt;丢弃",缺陷明细!$AB$2:$AB$50000,"&lt;&gt;设计如此",缺陷明细!$AB$2:$AB$50000,"&lt;&gt;重复Bug")</f>
        <v>0</v>
      </c>
      <c r="V49" s="75">
        <f>COUNTIFS(缺陷明细!$A$2:$A$50000,$B$4,缺陷明细!$G$2:$G$50000,$C49,缺陷明细!$Q$2:$Q$50000,"已关闭",缺陷明细!$J$2:$J$50000,"验收测试")</f>
        <v>0</v>
      </c>
      <c r="W49" s="75">
        <f>COUNTIFS(缺陷明细!$A$2:$A$50000,$B$4,缺陷明细!$G$2:$G$50000,$C49,缺陷明细!$J$2:$J$50000,"验收测试",缺陷明细!$K$2:$K$50000,"致命",缺陷明细!$AB$2:$AB$50000,"&lt;&gt;丢弃",缺陷明细!$AB$2:$AB$50000,"&lt;&gt;设计如此",缺陷明细!$AB$2:$AB$50000,"&lt;&gt;重复Bug")+COUNTIFS(缺陷明细!$A$2:$A$50000,$B$4,缺陷明细!$G$2:$G$50000,$C49,缺陷明细!$J$2:$J$50000,"验收测试",缺陷明细!$K$2:$K$50000,"严重",缺陷明细!$AB$2:$AB$50000,"&lt;&gt;丢弃",缺陷明细!$AB$2:$AB$50000,"&lt;&gt;设计如此",缺陷明细!$AB$2:$AB$50000,"&lt;&gt;重复Bug")</f>
        <v>0</v>
      </c>
      <c r="X49" s="76">
        <f>COUNTIFS(缺陷明细!$A$2:$A$50000,$B$4,缺陷明细!$G$2:$G$50000,$C49,缺陷明细!$Q$2:$Q$50000,"已关闭",缺陷明细!$J$2:$J$50000,"验收测试",缺陷明细!$K$2:$K$50000,"致命")+COUNTIFS(缺陷明细!$A$2:$A$50000,$B$4,缺陷明细!$G$2:$G$50000,$C49,缺陷明细!$Q$2:$Q$50000,"已关闭",缺陷明细!$J$2:$J$50000,"验收测试",缺陷明细!$K$2:$K$50000,"严重")</f>
        <v>0</v>
      </c>
      <c r="Y49" s="70">
        <f>COUNTIFS(缺陷明细!$A$2:$A$50000,$B$4,缺陷明细!$G$2:$G$50000,$C49,缺陷明细!$J$2:$J$50000,"运维测试",缺陷明细!$AB$2:$AB$50000,"&lt;&gt;丢弃",缺陷明细!$AB$2:$AB$50000,"&lt;&gt;设计如此",缺陷明细!$AB$2:$AB$50000,"&lt;&gt;重复Bug")</f>
        <v>0</v>
      </c>
      <c r="Z49" s="71">
        <f>COUNTIFS(缺陷明细!$A$2:$A$50000,$B$4,缺陷明细!$G$2:$G$50000,$C49,缺陷明细!$Q$2:$Q$50000,"已关闭",缺陷明细!$J$2:$J$50000,"运维测试")</f>
        <v>0</v>
      </c>
      <c r="AA49" s="72">
        <f>COUNTIFS(缺陷明细!$A$2:$A$50000,$B$4,缺陷明细!$G$2:$G$50000,$C49,缺陷明细!$J$2:$J$50000,"运维测试",缺陷明细!$K$2:$K$50000,"致命",缺陷明细!$AB$2:$AB$50000,"&lt;&gt;丢弃",缺陷明细!$AB$2:$AB$50000,"&lt;&gt;设计如此",缺陷明细!$AB$2:$AB$50000,"&lt;&gt;重复Bug")+COUNTIFS(缺陷明细!$A$2:$A$50000,$B$4,缺陷明细!$G$2:$G$50000,$C49,缺陷明细!$J$2:$J$50000,"运维测试",缺陷明细!$K$2:$K$50000,"严重",缺陷明细!$AB$2:$AB$50000,"&lt;&gt;丢弃",缺陷明细!$AB$2:$AB$50000,"&lt;&gt;设计如此",缺陷明细!$AB$2:$AB$50000,"&lt;&gt;重复Bug")</f>
        <v>0</v>
      </c>
      <c r="AB49" s="73">
        <f>COUNTIFS(缺陷明细!$A$2:$A$50000,$B$4,缺陷明细!$G$2:$G$50000,$C49,缺陷明细!$Q$2:$Q$50000,"已关闭",缺陷明细!$J$2:$J$50000,"运维测试",缺陷明细!$K$2:$K$50000,"致命")+COUNTIFS(缺陷明细!$A$2:$A$50000,$B$4,缺陷明细!$G$2:$G$50000,$C49,缺陷明细!$Q$2:$Q$50000,"已关闭",缺陷明细!$J$2:$J$50000,"运维测试",缺陷明细!$K$2:$K$50000,"严重")</f>
        <v>0</v>
      </c>
      <c r="AC49" s="68">
        <f t="shared" si="0"/>
        <v>0</v>
      </c>
      <c r="AD49" s="60">
        <f t="shared" si="0"/>
        <v>0</v>
      </c>
      <c r="AE49" s="60">
        <f t="shared" si="1"/>
        <v>0</v>
      </c>
      <c r="AF49" s="60">
        <f t="shared" si="1"/>
        <v>0</v>
      </c>
      <c r="AG49" s="60">
        <f t="shared" si="2"/>
        <v>0</v>
      </c>
      <c r="AH49" s="60">
        <f t="shared" si="2"/>
        <v>0</v>
      </c>
      <c r="AI49" s="60">
        <f t="shared" si="3"/>
        <v>0</v>
      </c>
      <c r="AJ49" s="61">
        <f t="shared" si="3"/>
        <v>0</v>
      </c>
      <c r="AK49" s="144"/>
    </row>
    <row r="50" spans="1:37">
      <c r="A50">
        <v>46</v>
      </c>
      <c r="B50" s="57"/>
      <c r="C50" s="58"/>
      <c r="D50" s="84"/>
      <c r="E50" s="82"/>
      <c r="F50" s="158"/>
      <c r="G50" s="159"/>
      <c r="H50" s="281">
        <f>COUNTIFS(缺陷明细!$A$2:$A$50000,$B$4,缺陷明细!$G$2:$G$50000,$C50,缺陷明细!$J$2:$J$50000,"评审",缺陷明细!$AB$2:$AB$50000,"&lt;&gt;丢弃",缺陷明细!$AB$2:$AB$50000,"&lt;&gt;设计如此",缺陷明细!$AB$2:$AB$50000,"&lt;&gt;重复Bug")</f>
        <v>0</v>
      </c>
      <c r="I50" s="154">
        <f>COUNTIFS(缺陷明细!$A$2:$A$50000,$B$4,缺陷明细!$G$2:$G$50000,$C50,缺陷明细!$Q$2:$Q$50000,"已关闭",缺陷明细!$J$2:$J$50000,"评审")</f>
        <v>0</v>
      </c>
      <c r="J50" s="154">
        <f>COUNTIFS(缺陷明细!$A$2:$A$50000,$B$4,缺陷明细!$G$2:$G$50000,$C50,缺陷明细!$J$2:$J$50000,"单元测试",缺陷明细!$AB$2:$AB$50000,"&lt;&gt;丢弃",缺陷明细!$AB$2:$AB$50000,"&lt;&gt;设计如此",缺陷明细!$AB$2:$AB$50000,"&lt;&gt;重复Bug")</f>
        <v>0</v>
      </c>
      <c r="K50" s="155">
        <f>COUNTIFS(缺陷明细!$A$2:$A$50000,$B$4,缺陷明细!$G$2:$G$50000,$C50,缺陷明细!$Q$2:$Q$50000,"已关闭",缺陷明细!$J$2:$J$50000,"单元测试")</f>
        <v>0</v>
      </c>
      <c r="L50" s="156"/>
      <c r="M50" s="157"/>
      <c r="N50" s="72">
        <f>COUNTIFS(缺陷明细!$A$2:$A$50000,$B$4,缺陷明细!$G$2:$G$50000,$C50,缺陷明细!$J$2:$J$50000,"系统测试案例评审",缺陷明细!$AB$2:$AB$50000,"&lt;&gt;丢弃",缺陷明细!$AB$2:$AB$50000,"&lt;&gt;设计如此",缺陷明细!$AB$2:$AB$50000,"&lt;&gt;重复Bug")</f>
        <v>0</v>
      </c>
      <c r="O50" s="72">
        <f>COUNTIFS(缺陷明细!$A$2:$A$50000,$B$4,缺陷明细!$G$2:$G$50000,$C50,缺陷明细!$Q$2:$Q$50000,"已关闭",缺陷明细!$J$2:$J$50000,"系统测试案例评审")</f>
        <v>0</v>
      </c>
      <c r="P50" s="72">
        <f>COUNTIFS(缺陷明细!$A$2:$A$50000,$B$4,缺陷明细!$G$2:$G$50000,$C50,缺陷明细!$J$2:$J$50000,"系统测试",缺陷明细!$AB$2:$AB$50000,"&lt;&gt;丢弃",缺陷明细!$AB$2:$AB$50000,"&lt;&gt;设计如此",缺陷明细!$AB$2:$AB$50000,"&lt;&gt;重复Bug")</f>
        <v>0</v>
      </c>
      <c r="Q50" s="72">
        <f>COUNTIFS(缺陷明细!$A$2:$A$50000,$B$4,缺陷明细!$G$2:$G$50000,$C50,缺陷明细!$Q$2:$Q$50000,"已关闭",缺陷明细!$J$2:$J$50000,"系统测试")</f>
        <v>0</v>
      </c>
      <c r="R50" s="296">
        <f>COUNTIFS(缺陷明细!$A$2:$A$50000,$B$4,缺陷明细!$G$2:$G$50000,$C50,缺陷明细!$AB$2:$AB$50000,"丢弃",缺陷明细!$J$2:$J$50000,"系统测试")+COUNTIFS(缺陷明细!$A$2:$A$50000,$B$4,缺陷明细!$G$2:$G$50000,$C50,缺陷明细!$AB$2:$AB$50000,"设计如此",缺陷明细!$J$2:$J$50000,"系统测试")+COUNTIFS(缺陷明细!$A$2:$A$50000,$B$4,缺陷明细!$G$2:$G$50000,$C50,缺陷明细!$AB$2:$AB$50000,"重复Bug",缺陷明细!$J$2:$J$50000,"系统测试")</f>
        <v>0</v>
      </c>
      <c r="S50" s="72">
        <f>COUNTIFS(缺陷明细!$A$2:$A$50000,$B$4,缺陷明细!$G$2:$G$50000,$C50,缺陷明细!$J$2:$J$50000,"系统测试",缺陷明细!$K$2:$K$50000,"致命",缺陷明细!$AB$2:$AB$50000,"&lt;&gt;丢弃",缺陷明细!$AB$2:$AB$50000,"&lt;&gt;设计如此",缺陷明细!$AB$2:$AB$50000,"&lt;&gt;重复Bug")+COUNTIFS(缺陷明细!$A$2:$A$50000,$B$4,缺陷明细!$G$2:$G$50000,$C50,缺陷明细!$J$2:$J$50000,"系统测试",缺陷明细!$K$2:$K$50000,"严重",缺陷明细!$AB$2:$AB$50000,"&lt;&gt;丢弃",缺陷明细!$AB$2:$AB$50000,"&lt;&gt;设计如此",缺陷明细!$AB$2:$AB$50000,"&lt;&gt;重复Bug")</f>
        <v>0</v>
      </c>
      <c r="T50" s="73">
        <f>COUNTIFS(缺陷明细!$A$2:$A$50000,$B$4,缺陷明细!$G$2:$G$50000,$C50,缺陷明细!$Q$2:$Q$50000,"已关闭",缺陷明细!$J$2:$J$50000,"系统测试",缺陷明细!$K$2:$K$50000,"致命")+COUNTIFS(缺陷明细!$A$2:$A$50000,$B$4,缺陷明细!$G$2:$G$50000,$C50,缺陷明细!$Q$2:$Q$50000,"已关闭",缺陷明细!$J$2:$J$50000,"系统测试",缺陷明细!$K$2:$K$50000,"严重")</f>
        <v>0</v>
      </c>
      <c r="U50" s="74">
        <f>COUNTIFS(缺陷明细!$A$2:$A$50000,$B$4,缺陷明细!$G$2:$G$50000,$C50,缺陷明细!$J$2:$J$50000,"验收测试",缺陷明细!$AB$2:$AB$50000,"&lt;&gt;丢弃",缺陷明细!$AB$2:$AB$50000,"&lt;&gt;设计如此",缺陷明细!$AB$2:$AB$50000,"&lt;&gt;重复Bug")</f>
        <v>0</v>
      </c>
      <c r="V50" s="75">
        <f>COUNTIFS(缺陷明细!$A$2:$A$50000,$B$4,缺陷明细!$G$2:$G$50000,$C50,缺陷明细!$Q$2:$Q$50000,"已关闭",缺陷明细!$J$2:$J$50000,"验收测试")</f>
        <v>0</v>
      </c>
      <c r="W50" s="75">
        <f>COUNTIFS(缺陷明细!$A$2:$A$50000,$B$4,缺陷明细!$G$2:$G$50000,$C50,缺陷明细!$J$2:$J$50000,"验收测试",缺陷明细!$K$2:$K$50000,"致命",缺陷明细!$AB$2:$AB$50000,"&lt;&gt;丢弃",缺陷明细!$AB$2:$AB$50000,"&lt;&gt;设计如此",缺陷明细!$AB$2:$AB$50000,"&lt;&gt;重复Bug")+COUNTIFS(缺陷明细!$A$2:$A$50000,$B$4,缺陷明细!$G$2:$G$50000,$C50,缺陷明细!$J$2:$J$50000,"验收测试",缺陷明细!$K$2:$K$50000,"严重",缺陷明细!$AB$2:$AB$50000,"&lt;&gt;丢弃",缺陷明细!$AB$2:$AB$50000,"&lt;&gt;设计如此",缺陷明细!$AB$2:$AB$50000,"&lt;&gt;重复Bug")</f>
        <v>0</v>
      </c>
      <c r="X50" s="76">
        <f>COUNTIFS(缺陷明细!$A$2:$A$50000,$B$4,缺陷明细!$G$2:$G$50000,$C50,缺陷明细!$Q$2:$Q$50000,"已关闭",缺陷明细!$J$2:$J$50000,"验收测试",缺陷明细!$K$2:$K$50000,"致命")+COUNTIFS(缺陷明细!$A$2:$A$50000,$B$4,缺陷明细!$G$2:$G$50000,$C50,缺陷明细!$Q$2:$Q$50000,"已关闭",缺陷明细!$J$2:$J$50000,"验收测试",缺陷明细!$K$2:$K$50000,"严重")</f>
        <v>0</v>
      </c>
      <c r="Y50" s="70">
        <f>COUNTIFS(缺陷明细!$A$2:$A$50000,$B$4,缺陷明细!$G$2:$G$50000,$C50,缺陷明细!$J$2:$J$50000,"运维测试",缺陷明细!$AB$2:$AB$50000,"&lt;&gt;丢弃",缺陷明细!$AB$2:$AB$50000,"&lt;&gt;设计如此",缺陷明细!$AB$2:$AB$50000,"&lt;&gt;重复Bug")</f>
        <v>0</v>
      </c>
      <c r="Z50" s="71">
        <f>COUNTIFS(缺陷明细!$A$2:$A$50000,$B$4,缺陷明细!$G$2:$G$50000,$C50,缺陷明细!$Q$2:$Q$50000,"已关闭",缺陷明细!$J$2:$J$50000,"运维测试")</f>
        <v>0</v>
      </c>
      <c r="AA50" s="72">
        <f>COUNTIFS(缺陷明细!$A$2:$A$50000,$B$4,缺陷明细!$G$2:$G$50000,$C50,缺陷明细!$J$2:$J$50000,"运维测试",缺陷明细!$K$2:$K$50000,"致命",缺陷明细!$AB$2:$AB$50000,"&lt;&gt;丢弃",缺陷明细!$AB$2:$AB$50000,"&lt;&gt;设计如此",缺陷明细!$AB$2:$AB$50000,"&lt;&gt;重复Bug")+COUNTIFS(缺陷明细!$A$2:$A$50000,$B$4,缺陷明细!$G$2:$G$50000,$C50,缺陷明细!$J$2:$J$50000,"运维测试",缺陷明细!$K$2:$K$50000,"严重",缺陷明细!$AB$2:$AB$50000,"&lt;&gt;丢弃",缺陷明细!$AB$2:$AB$50000,"&lt;&gt;设计如此",缺陷明细!$AB$2:$AB$50000,"&lt;&gt;重复Bug")</f>
        <v>0</v>
      </c>
      <c r="AB50" s="73">
        <f>COUNTIFS(缺陷明细!$A$2:$A$50000,$B$4,缺陷明细!$G$2:$G$50000,$C50,缺陷明细!$Q$2:$Q$50000,"已关闭",缺陷明细!$J$2:$J$50000,"运维测试",缺陷明细!$K$2:$K$50000,"致命")+COUNTIFS(缺陷明细!$A$2:$A$50000,$B$4,缺陷明细!$G$2:$G$50000,$C50,缺陷明细!$Q$2:$Q$50000,"已关闭",缺陷明细!$J$2:$J$50000,"运维测试",缺陷明细!$K$2:$K$50000,"严重")</f>
        <v>0</v>
      </c>
      <c r="AC50" s="68">
        <f t="shared" si="0"/>
        <v>0</v>
      </c>
      <c r="AD50" s="60">
        <f t="shared" si="0"/>
        <v>0</v>
      </c>
      <c r="AE50" s="60">
        <f t="shared" si="1"/>
        <v>0</v>
      </c>
      <c r="AF50" s="60">
        <f t="shared" si="1"/>
        <v>0</v>
      </c>
      <c r="AG50" s="60">
        <f t="shared" si="2"/>
        <v>0</v>
      </c>
      <c r="AH50" s="60">
        <f t="shared" si="2"/>
        <v>0</v>
      </c>
      <c r="AI50" s="60">
        <f t="shared" si="3"/>
        <v>0</v>
      </c>
      <c r="AJ50" s="61">
        <f t="shared" si="3"/>
        <v>0</v>
      </c>
      <c r="AK50" s="144"/>
    </row>
    <row r="51" spans="1:37">
      <c r="A51">
        <v>47</v>
      </c>
      <c r="B51" s="57"/>
      <c r="C51" s="58"/>
      <c r="D51" s="84"/>
      <c r="E51" s="82"/>
      <c r="F51" s="158"/>
      <c r="G51" s="159"/>
      <c r="H51" s="281">
        <f>COUNTIFS(缺陷明细!$A$2:$A$50000,$B$4,缺陷明细!$G$2:$G$50000,$C51,缺陷明细!$J$2:$J$50000,"评审",缺陷明细!$AB$2:$AB$50000,"&lt;&gt;丢弃",缺陷明细!$AB$2:$AB$50000,"&lt;&gt;设计如此",缺陷明细!$AB$2:$AB$50000,"&lt;&gt;重复Bug")</f>
        <v>0</v>
      </c>
      <c r="I51" s="154">
        <f>COUNTIFS(缺陷明细!$A$2:$A$50000,$B$4,缺陷明细!$G$2:$G$50000,$C51,缺陷明细!$Q$2:$Q$50000,"已关闭",缺陷明细!$J$2:$J$50000,"评审")</f>
        <v>0</v>
      </c>
      <c r="J51" s="154">
        <f>COUNTIFS(缺陷明细!$A$2:$A$50000,$B$4,缺陷明细!$G$2:$G$50000,$C51,缺陷明细!$J$2:$J$50000,"单元测试",缺陷明细!$AB$2:$AB$50000,"&lt;&gt;丢弃",缺陷明细!$AB$2:$AB$50000,"&lt;&gt;设计如此",缺陷明细!$AB$2:$AB$50000,"&lt;&gt;重复Bug")</f>
        <v>0</v>
      </c>
      <c r="K51" s="155">
        <f>COUNTIFS(缺陷明细!$A$2:$A$50000,$B$4,缺陷明细!$G$2:$G$50000,$C51,缺陷明细!$Q$2:$Q$50000,"已关闭",缺陷明细!$J$2:$J$50000,"单元测试")</f>
        <v>0</v>
      </c>
      <c r="L51" s="156"/>
      <c r="M51" s="157"/>
      <c r="N51" s="72">
        <f>COUNTIFS(缺陷明细!$A$2:$A$50000,$B$4,缺陷明细!$G$2:$G$50000,$C51,缺陷明细!$J$2:$J$50000,"系统测试案例评审",缺陷明细!$AB$2:$AB$50000,"&lt;&gt;丢弃",缺陷明细!$AB$2:$AB$50000,"&lt;&gt;设计如此",缺陷明细!$AB$2:$AB$50000,"&lt;&gt;重复Bug")</f>
        <v>0</v>
      </c>
      <c r="O51" s="72">
        <f>COUNTIFS(缺陷明细!$A$2:$A$50000,$B$4,缺陷明细!$G$2:$G$50000,$C51,缺陷明细!$Q$2:$Q$50000,"已关闭",缺陷明细!$J$2:$J$50000,"系统测试案例评审")</f>
        <v>0</v>
      </c>
      <c r="P51" s="72">
        <f>COUNTIFS(缺陷明细!$A$2:$A$50000,$B$4,缺陷明细!$G$2:$G$50000,$C51,缺陷明细!$J$2:$J$50000,"系统测试",缺陷明细!$AB$2:$AB$50000,"&lt;&gt;丢弃",缺陷明细!$AB$2:$AB$50000,"&lt;&gt;设计如此",缺陷明细!$AB$2:$AB$50000,"&lt;&gt;重复Bug")</f>
        <v>0</v>
      </c>
      <c r="Q51" s="72">
        <f>COUNTIFS(缺陷明细!$A$2:$A$50000,$B$4,缺陷明细!$G$2:$G$50000,$C51,缺陷明细!$Q$2:$Q$50000,"已关闭",缺陷明细!$J$2:$J$50000,"系统测试")</f>
        <v>0</v>
      </c>
      <c r="R51" s="296">
        <f>COUNTIFS(缺陷明细!$A$2:$A$50000,$B$4,缺陷明细!$G$2:$G$50000,$C51,缺陷明细!$AB$2:$AB$50000,"丢弃",缺陷明细!$J$2:$J$50000,"系统测试")+COUNTIFS(缺陷明细!$A$2:$A$50000,$B$4,缺陷明细!$G$2:$G$50000,$C51,缺陷明细!$AB$2:$AB$50000,"设计如此",缺陷明细!$J$2:$J$50000,"系统测试")+COUNTIFS(缺陷明细!$A$2:$A$50000,$B$4,缺陷明细!$G$2:$G$50000,$C51,缺陷明细!$AB$2:$AB$50000,"重复Bug",缺陷明细!$J$2:$J$50000,"系统测试")</f>
        <v>0</v>
      </c>
      <c r="S51" s="72">
        <f>COUNTIFS(缺陷明细!$A$2:$A$50000,$B$4,缺陷明细!$G$2:$G$50000,$C51,缺陷明细!$J$2:$J$50000,"系统测试",缺陷明细!$K$2:$K$50000,"致命",缺陷明细!$AB$2:$AB$50000,"&lt;&gt;丢弃",缺陷明细!$AB$2:$AB$50000,"&lt;&gt;设计如此",缺陷明细!$AB$2:$AB$50000,"&lt;&gt;重复Bug")+COUNTIFS(缺陷明细!$A$2:$A$50000,$B$4,缺陷明细!$G$2:$G$50000,$C51,缺陷明细!$J$2:$J$50000,"系统测试",缺陷明细!$K$2:$K$50000,"严重",缺陷明细!$AB$2:$AB$50000,"&lt;&gt;丢弃",缺陷明细!$AB$2:$AB$50000,"&lt;&gt;设计如此",缺陷明细!$AB$2:$AB$50000,"&lt;&gt;重复Bug")</f>
        <v>0</v>
      </c>
      <c r="T51" s="73">
        <f>COUNTIFS(缺陷明细!$A$2:$A$50000,$B$4,缺陷明细!$G$2:$G$50000,$C51,缺陷明细!$Q$2:$Q$50000,"已关闭",缺陷明细!$J$2:$J$50000,"系统测试",缺陷明细!$K$2:$K$50000,"致命")+COUNTIFS(缺陷明细!$A$2:$A$50000,$B$4,缺陷明细!$G$2:$G$50000,$C51,缺陷明细!$Q$2:$Q$50000,"已关闭",缺陷明细!$J$2:$J$50000,"系统测试",缺陷明细!$K$2:$K$50000,"严重")</f>
        <v>0</v>
      </c>
      <c r="U51" s="74">
        <f>COUNTIFS(缺陷明细!$A$2:$A$50000,$B$4,缺陷明细!$G$2:$G$50000,$C51,缺陷明细!$J$2:$J$50000,"验收测试",缺陷明细!$AB$2:$AB$50000,"&lt;&gt;丢弃",缺陷明细!$AB$2:$AB$50000,"&lt;&gt;设计如此",缺陷明细!$AB$2:$AB$50000,"&lt;&gt;重复Bug")</f>
        <v>0</v>
      </c>
      <c r="V51" s="75">
        <f>COUNTIFS(缺陷明细!$A$2:$A$50000,$B$4,缺陷明细!$G$2:$G$50000,$C51,缺陷明细!$Q$2:$Q$50000,"已关闭",缺陷明细!$J$2:$J$50000,"验收测试")</f>
        <v>0</v>
      </c>
      <c r="W51" s="75">
        <f>COUNTIFS(缺陷明细!$A$2:$A$50000,$B$4,缺陷明细!$G$2:$G$50000,$C51,缺陷明细!$J$2:$J$50000,"验收测试",缺陷明细!$K$2:$K$50000,"致命",缺陷明细!$AB$2:$AB$50000,"&lt;&gt;丢弃",缺陷明细!$AB$2:$AB$50000,"&lt;&gt;设计如此",缺陷明细!$AB$2:$AB$50000,"&lt;&gt;重复Bug")+COUNTIFS(缺陷明细!$A$2:$A$50000,$B$4,缺陷明细!$G$2:$G$50000,$C51,缺陷明细!$J$2:$J$50000,"验收测试",缺陷明细!$K$2:$K$50000,"严重",缺陷明细!$AB$2:$AB$50000,"&lt;&gt;丢弃",缺陷明细!$AB$2:$AB$50000,"&lt;&gt;设计如此",缺陷明细!$AB$2:$AB$50000,"&lt;&gt;重复Bug")</f>
        <v>0</v>
      </c>
      <c r="X51" s="76">
        <f>COUNTIFS(缺陷明细!$A$2:$A$50000,$B$4,缺陷明细!$G$2:$G$50000,$C51,缺陷明细!$Q$2:$Q$50000,"已关闭",缺陷明细!$J$2:$J$50000,"验收测试",缺陷明细!$K$2:$K$50000,"致命")+COUNTIFS(缺陷明细!$A$2:$A$50000,$B$4,缺陷明细!$G$2:$G$50000,$C51,缺陷明细!$Q$2:$Q$50000,"已关闭",缺陷明细!$J$2:$J$50000,"验收测试",缺陷明细!$K$2:$K$50000,"严重")</f>
        <v>0</v>
      </c>
      <c r="Y51" s="70">
        <f>COUNTIFS(缺陷明细!$A$2:$A$50000,$B$4,缺陷明细!$G$2:$G$50000,$C51,缺陷明细!$J$2:$J$50000,"运维测试",缺陷明细!$AB$2:$AB$50000,"&lt;&gt;丢弃",缺陷明细!$AB$2:$AB$50000,"&lt;&gt;设计如此",缺陷明细!$AB$2:$AB$50000,"&lt;&gt;重复Bug")</f>
        <v>0</v>
      </c>
      <c r="Z51" s="71">
        <f>COUNTIFS(缺陷明细!$A$2:$A$50000,$B$4,缺陷明细!$G$2:$G$50000,$C51,缺陷明细!$Q$2:$Q$50000,"已关闭",缺陷明细!$J$2:$J$50000,"运维测试")</f>
        <v>0</v>
      </c>
      <c r="AA51" s="72">
        <f>COUNTIFS(缺陷明细!$A$2:$A$50000,$B$4,缺陷明细!$G$2:$G$50000,$C51,缺陷明细!$J$2:$J$50000,"运维测试",缺陷明细!$K$2:$K$50000,"致命",缺陷明细!$AB$2:$AB$50000,"&lt;&gt;丢弃",缺陷明细!$AB$2:$AB$50000,"&lt;&gt;设计如此",缺陷明细!$AB$2:$AB$50000,"&lt;&gt;重复Bug")+COUNTIFS(缺陷明细!$A$2:$A$50000,$B$4,缺陷明细!$G$2:$G$50000,$C51,缺陷明细!$J$2:$J$50000,"运维测试",缺陷明细!$K$2:$K$50000,"严重",缺陷明细!$AB$2:$AB$50000,"&lt;&gt;丢弃",缺陷明细!$AB$2:$AB$50000,"&lt;&gt;设计如此",缺陷明细!$AB$2:$AB$50000,"&lt;&gt;重复Bug")</f>
        <v>0</v>
      </c>
      <c r="AB51" s="73">
        <f>COUNTIFS(缺陷明细!$A$2:$A$50000,$B$4,缺陷明细!$G$2:$G$50000,$C51,缺陷明细!$Q$2:$Q$50000,"已关闭",缺陷明细!$J$2:$J$50000,"运维测试",缺陷明细!$K$2:$K$50000,"致命")+COUNTIFS(缺陷明细!$A$2:$A$50000,$B$4,缺陷明细!$G$2:$G$50000,$C51,缺陷明细!$Q$2:$Q$50000,"已关闭",缺陷明细!$J$2:$J$50000,"运维测试",缺陷明细!$K$2:$K$50000,"严重")</f>
        <v>0</v>
      </c>
      <c r="AC51" s="68">
        <f t="shared" si="0"/>
        <v>0</v>
      </c>
      <c r="AD51" s="60">
        <f t="shared" si="0"/>
        <v>0</v>
      </c>
      <c r="AE51" s="60">
        <f t="shared" si="1"/>
        <v>0</v>
      </c>
      <c r="AF51" s="60">
        <f t="shared" si="1"/>
        <v>0</v>
      </c>
      <c r="AG51" s="60">
        <f t="shared" si="2"/>
        <v>0</v>
      </c>
      <c r="AH51" s="60">
        <f t="shared" si="2"/>
        <v>0</v>
      </c>
      <c r="AI51" s="60">
        <f t="shared" si="3"/>
        <v>0</v>
      </c>
      <c r="AJ51" s="61">
        <f t="shared" si="3"/>
        <v>0</v>
      </c>
      <c r="AK51" s="144"/>
    </row>
    <row r="52" spans="1:37">
      <c r="A52">
        <v>48</v>
      </c>
      <c r="B52" s="57"/>
      <c r="C52" s="58"/>
      <c r="D52" s="84"/>
      <c r="E52" s="82"/>
      <c r="F52" s="158"/>
      <c r="G52" s="159"/>
      <c r="H52" s="281">
        <f>COUNTIFS(缺陷明细!$A$2:$A$50000,$B$4,缺陷明细!$G$2:$G$50000,$C52,缺陷明细!$J$2:$J$50000,"评审",缺陷明细!$AB$2:$AB$50000,"&lt;&gt;丢弃",缺陷明细!$AB$2:$AB$50000,"&lt;&gt;设计如此",缺陷明细!$AB$2:$AB$50000,"&lt;&gt;重复Bug")</f>
        <v>0</v>
      </c>
      <c r="I52" s="154">
        <f>COUNTIFS(缺陷明细!$A$2:$A$50000,$B$4,缺陷明细!$G$2:$G$50000,$C52,缺陷明细!$Q$2:$Q$50000,"已关闭",缺陷明细!$J$2:$J$50000,"评审")</f>
        <v>0</v>
      </c>
      <c r="J52" s="154">
        <f>COUNTIFS(缺陷明细!$A$2:$A$50000,$B$4,缺陷明细!$G$2:$G$50000,$C52,缺陷明细!$J$2:$J$50000,"单元测试",缺陷明细!$AB$2:$AB$50000,"&lt;&gt;丢弃",缺陷明细!$AB$2:$AB$50000,"&lt;&gt;设计如此",缺陷明细!$AB$2:$AB$50000,"&lt;&gt;重复Bug")</f>
        <v>0</v>
      </c>
      <c r="K52" s="155">
        <f>COUNTIFS(缺陷明细!$A$2:$A$50000,$B$4,缺陷明细!$G$2:$G$50000,$C52,缺陷明细!$Q$2:$Q$50000,"已关闭",缺陷明细!$J$2:$J$50000,"单元测试")</f>
        <v>0</v>
      </c>
      <c r="L52" s="156"/>
      <c r="M52" s="157"/>
      <c r="N52" s="72">
        <f>COUNTIFS(缺陷明细!$A$2:$A$50000,$B$4,缺陷明细!$G$2:$G$50000,$C52,缺陷明细!$J$2:$J$50000,"系统测试案例评审",缺陷明细!$AB$2:$AB$50000,"&lt;&gt;丢弃",缺陷明细!$AB$2:$AB$50000,"&lt;&gt;设计如此",缺陷明细!$AB$2:$AB$50000,"&lt;&gt;重复Bug")</f>
        <v>0</v>
      </c>
      <c r="O52" s="72">
        <f>COUNTIFS(缺陷明细!$A$2:$A$50000,$B$4,缺陷明细!$G$2:$G$50000,$C52,缺陷明细!$Q$2:$Q$50000,"已关闭",缺陷明细!$J$2:$J$50000,"系统测试案例评审")</f>
        <v>0</v>
      </c>
      <c r="P52" s="72">
        <f>COUNTIFS(缺陷明细!$A$2:$A$50000,$B$4,缺陷明细!$G$2:$G$50000,$C52,缺陷明细!$J$2:$J$50000,"系统测试",缺陷明细!$AB$2:$AB$50000,"&lt;&gt;丢弃",缺陷明细!$AB$2:$AB$50000,"&lt;&gt;设计如此",缺陷明细!$AB$2:$AB$50000,"&lt;&gt;重复Bug")</f>
        <v>0</v>
      </c>
      <c r="Q52" s="72">
        <f>COUNTIFS(缺陷明细!$A$2:$A$50000,$B$4,缺陷明细!$G$2:$G$50000,$C52,缺陷明细!$Q$2:$Q$50000,"已关闭",缺陷明细!$J$2:$J$50000,"系统测试")</f>
        <v>0</v>
      </c>
      <c r="R52" s="296">
        <f>COUNTIFS(缺陷明细!$A$2:$A$50000,$B$4,缺陷明细!$G$2:$G$50000,$C52,缺陷明细!$AB$2:$AB$50000,"丢弃",缺陷明细!$J$2:$J$50000,"系统测试")+COUNTIFS(缺陷明细!$A$2:$A$50000,$B$4,缺陷明细!$G$2:$G$50000,$C52,缺陷明细!$AB$2:$AB$50000,"设计如此",缺陷明细!$J$2:$J$50000,"系统测试")+COUNTIFS(缺陷明细!$A$2:$A$50000,$B$4,缺陷明细!$G$2:$G$50000,$C52,缺陷明细!$AB$2:$AB$50000,"重复Bug",缺陷明细!$J$2:$J$50000,"系统测试")</f>
        <v>0</v>
      </c>
      <c r="S52" s="72">
        <f>COUNTIFS(缺陷明细!$A$2:$A$50000,$B$4,缺陷明细!$G$2:$G$50000,$C52,缺陷明细!$J$2:$J$50000,"系统测试",缺陷明细!$K$2:$K$50000,"致命",缺陷明细!$AB$2:$AB$50000,"&lt;&gt;丢弃",缺陷明细!$AB$2:$AB$50000,"&lt;&gt;设计如此",缺陷明细!$AB$2:$AB$50000,"&lt;&gt;重复Bug")+COUNTIFS(缺陷明细!$A$2:$A$50000,$B$4,缺陷明细!$G$2:$G$50000,$C52,缺陷明细!$J$2:$J$50000,"系统测试",缺陷明细!$K$2:$K$50000,"严重",缺陷明细!$AB$2:$AB$50000,"&lt;&gt;丢弃",缺陷明细!$AB$2:$AB$50000,"&lt;&gt;设计如此",缺陷明细!$AB$2:$AB$50000,"&lt;&gt;重复Bug")</f>
        <v>0</v>
      </c>
      <c r="T52" s="73">
        <f>COUNTIFS(缺陷明细!$A$2:$A$50000,$B$4,缺陷明细!$G$2:$G$50000,$C52,缺陷明细!$Q$2:$Q$50000,"已关闭",缺陷明细!$J$2:$J$50000,"系统测试",缺陷明细!$K$2:$K$50000,"致命")+COUNTIFS(缺陷明细!$A$2:$A$50000,$B$4,缺陷明细!$G$2:$G$50000,$C52,缺陷明细!$Q$2:$Q$50000,"已关闭",缺陷明细!$J$2:$J$50000,"系统测试",缺陷明细!$K$2:$K$50000,"严重")</f>
        <v>0</v>
      </c>
      <c r="U52" s="74">
        <f>COUNTIFS(缺陷明细!$A$2:$A$50000,$B$4,缺陷明细!$G$2:$G$50000,$C52,缺陷明细!$J$2:$J$50000,"验收测试",缺陷明细!$AB$2:$AB$50000,"&lt;&gt;丢弃",缺陷明细!$AB$2:$AB$50000,"&lt;&gt;设计如此",缺陷明细!$AB$2:$AB$50000,"&lt;&gt;重复Bug")</f>
        <v>0</v>
      </c>
      <c r="V52" s="75">
        <f>COUNTIFS(缺陷明细!$A$2:$A$50000,$B$4,缺陷明细!$G$2:$G$50000,$C52,缺陷明细!$Q$2:$Q$50000,"已关闭",缺陷明细!$J$2:$J$50000,"验收测试")</f>
        <v>0</v>
      </c>
      <c r="W52" s="75">
        <f>COUNTIFS(缺陷明细!$A$2:$A$50000,$B$4,缺陷明细!$G$2:$G$50000,$C52,缺陷明细!$J$2:$J$50000,"验收测试",缺陷明细!$K$2:$K$50000,"致命",缺陷明细!$AB$2:$AB$50000,"&lt;&gt;丢弃",缺陷明细!$AB$2:$AB$50000,"&lt;&gt;设计如此",缺陷明细!$AB$2:$AB$50000,"&lt;&gt;重复Bug")+COUNTIFS(缺陷明细!$A$2:$A$50000,$B$4,缺陷明细!$G$2:$G$50000,$C52,缺陷明细!$J$2:$J$50000,"验收测试",缺陷明细!$K$2:$K$50000,"严重",缺陷明细!$AB$2:$AB$50000,"&lt;&gt;丢弃",缺陷明细!$AB$2:$AB$50000,"&lt;&gt;设计如此",缺陷明细!$AB$2:$AB$50000,"&lt;&gt;重复Bug")</f>
        <v>0</v>
      </c>
      <c r="X52" s="76">
        <f>COUNTIFS(缺陷明细!$A$2:$A$50000,$B$4,缺陷明细!$G$2:$G$50000,$C52,缺陷明细!$Q$2:$Q$50000,"已关闭",缺陷明细!$J$2:$J$50000,"验收测试",缺陷明细!$K$2:$K$50000,"致命")+COUNTIFS(缺陷明细!$A$2:$A$50000,$B$4,缺陷明细!$G$2:$G$50000,$C52,缺陷明细!$Q$2:$Q$50000,"已关闭",缺陷明细!$J$2:$J$50000,"验收测试",缺陷明细!$K$2:$K$50000,"严重")</f>
        <v>0</v>
      </c>
      <c r="Y52" s="70">
        <f>COUNTIFS(缺陷明细!$A$2:$A$50000,$B$4,缺陷明细!$G$2:$G$50000,$C52,缺陷明细!$J$2:$J$50000,"运维测试",缺陷明细!$AB$2:$AB$50000,"&lt;&gt;丢弃",缺陷明细!$AB$2:$AB$50000,"&lt;&gt;设计如此",缺陷明细!$AB$2:$AB$50000,"&lt;&gt;重复Bug")</f>
        <v>0</v>
      </c>
      <c r="Z52" s="71">
        <f>COUNTIFS(缺陷明细!$A$2:$A$50000,$B$4,缺陷明细!$G$2:$G$50000,$C52,缺陷明细!$Q$2:$Q$50000,"已关闭",缺陷明细!$J$2:$J$50000,"运维测试")</f>
        <v>0</v>
      </c>
      <c r="AA52" s="72">
        <f>COUNTIFS(缺陷明细!$A$2:$A$50000,$B$4,缺陷明细!$G$2:$G$50000,$C52,缺陷明细!$J$2:$J$50000,"运维测试",缺陷明细!$K$2:$K$50000,"致命",缺陷明细!$AB$2:$AB$50000,"&lt;&gt;丢弃",缺陷明细!$AB$2:$AB$50000,"&lt;&gt;设计如此",缺陷明细!$AB$2:$AB$50000,"&lt;&gt;重复Bug")+COUNTIFS(缺陷明细!$A$2:$A$50000,$B$4,缺陷明细!$G$2:$G$50000,$C52,缺陷明细!$J$2:$J$50000,"运维测试",缺陷明细!$K$2:$K$50000,"严重",缺陷明细!$AB$2:$AB$50000,"&lt;&gt;丢弃",缺陷明细!$AB$2:$AB$50000,"&lt;&gt;设计如此",缺陷明细!$AB$2:$AB$50000,"&lt;&gt;重复Bug")</f>
        <v>0</v>
      </c>
      <c r="AB52" s="73">
        <f>COUNTIFS(缺陷明细!$A$2:$A$50000,$B$4,缺陷明细!$G$2:$G$50000,$C52,缺陷明细!$Q$2:$Q$50000,"已关闭",缺陷明细!$J$2:$J$50000,"运维测试",缺陷明细!$K$2:$K$50000,"致命")+COUNTIFS(缺陷明细!$A$2:$A$50000,$B$4,缺陷明细!$G$2:$G$50000,$C52,缺陷明细!$Q$2:$Q$50000,"已关闭",缺陷明细!$J$2:$J$50000,"运维测试",缺陷明细!$K$2:$K$50000,"严重")</f>
        <v>0</v>
      </c>
      <c r="AC52" s="68">
        <f t="shared" si="0"/>
        <v>0</v>
      </c>
      <c r="AD52" s="60">
        <f t="shared" si="0"/>
        <v>0</v>
      </c>
      <c r="AE52" s="60">
        <f t="shared" si="1"/>
        <v>0</v>
      </c>
      <c r="AF52" s="60">
        <f t="shared" si="1"/>
        <v>0</v>
      </c>
      <c r="AG52" s="60">
        <f t="shared" si="2"/>
        <v>0</v>
      </c>
      <c r="AH52" s="60">
        <f t="shared" si="2"/>
        <v>0</v>
      </c>
      <c r="AI52" s="60">
        <f t="shared" si="3"/>
        <v>0</v>
      </c>
      <c r="AJ52" s="61">
        <f t="shared" si="3"/>
        <v>0</v>
      </c>
      <c r="AK52" s="144"/>
    </row>
    <row r="53" spans="1:37">
      <c r="A53">
        <v>49</v>
      </c>
      <c r="B53" s="57"/>
      <c r="C53" s="58"/>
      <c r="D53" s="84"/>
      <c r="E53" s="82"/>
      <c r="F53" s="158"/>
      <c r="G53" s="159"/>
      <c r="H53" s="281">
        <f>COUNTIFS(缺陷明细!$A$2:$A$50000,$B$4,缺陷明细!$G$2:$G$50000,$C53,缺陷明细!$J$2:$J$50000,"评审",缺陷明细!$AB$2:$AB$50000,"&lt;&gt;丢弃",缺陷明细!$AB$2:$AB$50000,"&lt;&gt;设计如此",缺陷明细!$AB$2:$AB$50000,"&lt;&gt;重复Bug")</f>
        <v>0</v>
      </c>
      <c r="I53" s="154">
        <f>COUNTIFS(缺陷明细!$A$2:$A$50000,$B$4,缺陷明细!$G$2:$G$50000,$C53,缺陷明细!$Q$2:$Q$50000,"已关闭",缺陷明细!$J$2:$J$50000,"评审")</f>
        <v>0</v>
      </c>
      <c r="J53" s="154">
        <f>COUNTIFS(缺陷明细!$A$2:$A$50000,$B$4,缺陷明细!$G$2:$G$50000,$C53,缺陷明细!$J$2:$J$50000,"单元测试",缺陷明细!$AB$2:$AB$50000,"&lt;&gt;丢弃",缺陷明细!$AB$2:$AB$50000,"&lt;&gt;设计如此",缺陷明细!$AB$2:$AB$50000,"&lt;&gt;重复Bug")</f>
        <v>0</v>
      </c>
      <c r="K53" s="155">
        <f>COUNTIFS(缺陷明细!$A$2:$A$50000,$B$4,缺陷明细!$G$2:$G$50000,$C53,缺陷明细!$Q$2:$Q$50000,"已关闭",缺陷明细!$J$2:$J$50000,"单元测试")</f>
        <v>0</v>
      </c>
      <c r="L53" s="156"/>
      <c r="M53" s="157"/>
      <c r="N53" s="72">
        <f>COUNTIFS(缺陷明细!$A$2:$A$50000,$B$4,缺陷明细!$G$2:$G$50000,$C53,缺陷明细!$J$2:$J$50000,"系统测试案例评审",缺陷明细!$AB$2:$AB$50000,"&lt;&gt;丢弃",缺陷明细!$AB$2:$AB$50000,"&lt;&gt;设计如此",缺陷明细!$AB$2:$AB$50000,"&lt;&gt;重复Bug")</f>
        <v>0</v>
      </c>
      <c r="O53" s="72">
        <f>COUNTIFS(缺陷明细!$A$2:$A$50000,$B$4,缺陷明细!$G$2:$G$50000,$C53,缺陷明细!$Q$2:$Q$50000,"已关闭",缺陷明细!$J$2:$J$50000,"系统测试案例评审")</f>
        <v>0</v>
      </c>
      <c r="P53" s="72">
        <f>COUNTIFS(缺陷明细!$A$2:$A$50000,$B$4,缺陷明细!$G$2:$G$50000,$C53,缺陷明细!$J$2:$J$50000,"系统测试",缺陷明细!$AB$2:$AB$50000,"&lt;&gt;丢弃",缺陷明细!$AB$2:$AB$50000,"&lt;&gt;设计如此",缺陷明细!$AB$2:$AB$50000,"&lt;&gt;重复Bug")</f>
        <v>0</v>
      </c>
      <c r="Q53" s="72">
        <f>COUNTIFS(缺陷明细!$A$2:$A$50000,$B$4,缺陷明细!$G$2:$G$50000,$C53,缺陷明细!$Q$2:$Q$50000,"已关闭",缺陷明细!$J$2:$J$50000,"系统测试")</f>
        <v>0</v>
      </c>
      <c r="R53" s="296">
        <f>COUNTIFS(缺陷明细!$A$2:$A$50000,$B$4,缺陷明细!$G$2:$G$50000,$C53,缺陷明细!$AB$2:$AB$50000,"丢弃",缺陷明细!$J$2:$J$50000,"系统测试")+COUNTIFS(缺陷明细!$A$2:$A$50000,$B$4,缺陷明细!$G$2:$G$50000,$C53,缺陷明细!$AB$2:$AB$50000,"设计如此",缺陷明细!$J$2:$J$50000,"系统测试")+COUNTIFS(缺陷明细!$A$2:$A$50000,$B$4,缺陷明细!$G$2:$G$50000,$C53,缺陷明细!$AB$2:$AB$50000,"重复Bug",缺陷明细!$J$2:$J$50000,"系统测试")</f>
        <v>0</v>
      </c>
      <c r="S53" s="72">
        <f>COUNTIFS(缺陷明细!$A$2:$A$50000,$B$4,缺陷明细!$G$2:$G$50000,$C53,缺陷明细!$J$2:$J$50000,"系统测试",缺陷明细!$K$2:$K$50000,"致命",缺陷明细!$AB$2:$AB$50000,"&lt;&gt;丢弃",缺陷明细!$AB$2:$AB$50000,"&lt;&gt;设计如此",缺陷明细!$AB$2:$AB$50000,"&lt;&gt;重复Bug")+COUNTIFS(缺陷明细!$A$2:$A$50000,$B$4,缺陷明细!$G$2:$G$50000,$C53,缺陷明细!$J$2:$J$50000,"系统测试",缺陷明细!$K$2:$K$50000,"严重",缺陷明细!$AB$2:$AB$50000,"&lt;&gt;丢弃",缺陷明细!$AB$2:$AB$50000,"&lt;&gt;设计如此",缺陷明细!$AB$2:$AB$50000,"&lt;&gt;重复Bug")</f>
        <v>0</v>
      </c>
      <c r="T53" s="73">
        <f>COUNTIFS(缺陷明细!$A$2:$A$50000,$B$4,缺陷明细!$G$2:$G$50000,$C53,缺陷明细!$Q$2:$Q$50000,"已关闭",缺陷明细!$J$2:$J$50000,"系统测试",缺陷明细!$K$2:$K$50000,"致命")+COUNTIFS(缺陷明细!$A$2:$A$50000,$B$4,缺陷明细!$G$2:$G$50000,$C53,缺陷明细!$Q$2:$Q$50000,"已关闭",缺陷明细!$J$2:$J$50000,"系统测试",缺陷明细!$K$2:$K$50000,"严重")</f>
        <v>0</v>
      </c>
      <c r="U53" s="74">
        <f>COUNTIFS(缺陷明细!$A$2:$A$50000,$B$4,缺陷明细!$G$2:$G$50000,$C53,缺陷明细!$J$2:$J$50000,"验收测试",缺陷明细!$AB$2:$AB$50000,"&lt;&gt;丢弃",缺陷明细!$AB$2:$AB$50000,"&lt;&gt;设计如此",缺陷明细!$AB$2:$AB$50000,"&lt;&gt;重复Bug")</f>
        <v>0</v>
      </c>
      <c r="V53" s="75">
        <f>COUNTIFS(缺陷明细!$A$2:$A$50000,$B$4,缺陷明细!$G$2:$G$50000,$C53,缺陷明细!$Q$2:$Q$50000,"已关闭",缺陷明细!$J$2:$J$50000,"验收测试")</f>
        <v>0</v>
      </c>
      <c r="W53" s="75">
        <f>COUNTIFS(缺陷明细!$A$2:$A$50000,$B$4,缺陷明细!$G$2:$G$50000,$C53,缺陷明细!$J$2:$J$50000,"验收测试",缺陷明细!$K$2:$K$50000,"致命",缺陷明细!$AB$2:$AB$50000,"&lt;&gt;丢弃",缺陷明细!$AB$2:$AB$50000,"&lt;&gt;设计如此",缺陷明细!$AB$2:$AB$50000,"&lt;&gt;重复Bug")+COUNTIFS(缺陷明细!$A$2:$A$50000,$B$4,缺陷明细!$G$2:$G$50000,$C53,缺陷明细!$J$2:$J$50000,"验收测试",缺陷明细!$K$2:$K$50000,"严重",缺陷明细!$AB$2:$AB$50000,"&lt;&gt;丢弃",缺陷明细!$AB$2:$AB$50000,"&lt;&gt;设计如此",缺陷明细!$AB$2:$AB$50000,"&lt;&gt;重复Bug")</f>
        <v>0</v>
      </c>
      <c r="X53" s="76">
        <f>COUNTIFS(缺陷明细!$A$2:$A$50000,$B$4,缺陷明细!$G$2:$G$50000,$C53,缺陷明细!$Q$2:$Q$50000,"已关闭",缺陷明细!$J$2:$J$50000,"验收测试",缺陷明细!$K$2:$K$50000,"致命")+COUNTIFS(缺陷明细!$A$2:$A$50000,$B$4,缺陷明细!$G$2:$G$50000,$C53,缺陷明细!$Q$2:$Q$50000,"已关闭",缺陷明细!$J$2:$J$50000,"验收测试",缺陷明细!$K$2:$K$50000,"严重")</f>
        <v>0</v>
      </c>
      <c r="Y53" s="70">
        <f>COUNTIFS(缺陷明细!$A$2:$A$50000,$B$4,缺陷明细!$G$2:$G$50000,$C53,缺陷明细!$J$2:$J$50000,"运维测试",缺陷明细!$AB$2:$AB$50000,"&lt;&gt;丢弃",缺陷明细!$AB$2:$AB$50000,"&lt;&gt;设计如此",缺陷明细!$AB$2:$AB$50000,"&lt;&gt;重复Bug")</f>
        <v>0</v>
      </c>
      <c r="Z53" s="71">
        <f>COUNTIFS(缺陷明细!$A$2:$A$50000,$B$4,缺陷明细!$G$2:$G$50000,$C53,缺陷明细!$Q$2:$Q$50000,"已关闭",缺陷明细!$J$2:$J$50000,"运维测试")</f>
        <v>0</v>
      </c>
      <c r="AA53" s="72">
        <f>COUNTIFS(缺陷明细!$A$2:$A$50000,$B$4,缺陷明细!$G$2:$G$50000,$C53,缺陷明细!$J$2:$J$50000,"运维测试",缺陷明细!$K$2:$K$50000,"致命",缺陷明细!$AB$2:$AB$50000,"&lt;&gt;丢弃",缺陷明细!$AB$2:$AB$50000,"&lt;&gt;设计如此",缺陷明细!$AB$2:$AB$50000,"&lt;&gt;重复Bug")+COUNTIFS(缺陷明细!$A$2:$A$50000,$B$4,缺陷明细!$G$2:$G$50000,$C53,缺陷明细!$J$2:$J$50000,"运维测试",缺陷明细!$K$2:$K$50000,"严重",缺陷明细!$AB$2:$AB$50000,"&lt;&gt;丢弃",缺陷明细!$AB$2:$AB$50000,"&lt;&gt;设计如此",缺陷明细!$AB$2:$AB$50000,"&lt;&gt;重复Bug")</f>
        <v>0</v>
      </c>
      <c r="AB53" s="73">
        <f>COUNTIFS(缺陷明细!$A$2:$A$50000,$B$4,缺陷明细!$G$2:$G$50000,$C53,缺陷明细!$Q$2:$Q$50000,"已关闭",缺陷明细!$J$2:$J$50000,"运维测试",缺陷明细!$K$2:$K$50000,"致命")+COUNTIFS(缺陷明细!$A$2:$A$50000,$B$4,缺陷明细!$G$2:$G$50000,$C53,缺陷明细!$Q$2:$Q$50000,"已关闭",缺陷明细!$J$2:$J$50000,"运维测试",缺陷明细!$K$2:$K$50000,"严重")</f>
        <v>0</v>
      </c>
      <c r="AC53" s="68">
        <f t="shared" si="0"/>
        <v>0</v>
      </c>
      <c r="AD53" s="60">
        <f t="shared" si="0"/>
        <v>0</v>
      </c>
      <c r="AE53" s="60">
        <f t="shared" si="1"/>
        <v>0</v>
      </c>
      <c r="AF53" s="60">
        <f t="shared" si="1"/>
        <v>0</v>
      </c>
      <c r="AG53" s="60">
        <f t="shared" si="2"/>
        <v>0</v>
      </c>
      <c r="AH53" s="60">
        <f t="shared" si="2"/>
        <v>0</v>
      </c>
      <c r="AI53" s="60">
        <f t="shared" si="3"/>
        <v>0</v>
      </c>
      <c r="AJ53" s="61">
        <f t="shared" si="3"/>
        <v>0</v>
      </c>
      <c r="AK53" s="144"/>
    </row>
    <row r="54" spans="1:37">
      <c r="A54">
        <v>50</v>
      </c>
      <c r="B54" s="57"/>
      <c r="C54" s="58"/>
      <c r="D54" s="84"/>
      <c r="E54" s="82"/>
      <c r="F54" s="158"/>
      <c r="G54" s="159"/>
      <c r="H54" s="281">
        <f>COUNTIFS(缺陷明细!$A$2:$A$50000,$B$4,缺陷明细!$G$2:$G$50000,$C54,缺陷明细!$J$2:$J$50000,"评审",缺陷明细!$AB$2:$AB$50000,"&lt;&gt;丢弃",缺陷明细!$AB$2:$AB$50000,"&lt;&gt;设计如此",缺陷明细!$AB$2:$AB$50000,"&lt;&gt;重复Bug")</f>
        <v>0</v>
      </c>
      <c r="I54" s="154">
        <f>COUNTIFS(缺陷明细!$A$2:$A$50000,$B$4,缺陷明细!$G$2:$G$50000,$C54,缺陷明细!$Q$2:$Q$50000,"已关闭",缺陷明细!$J$2:$J$50000,"评审")</f>
        <v>0</v>
      </c>
      <c r="J54" s="154">
        <f>COUNTIFS(缺陷明细!$A$2:$A$50000,$B$4,缺陷明细!$G$2:$G$50000,$C54,缺陷明细!$J$2:$J$50000,"单元测试",缺陷明细!$AB$2:$AB$50000,"&lt;&gt;丢弃",缺陷明细!$AB$2:$AB$50000,"&lt;&gt;设计如此",缺陷明细!$AB$2:$AB$50000,"&lt;&gt;重复Bug")</f>
        <v>0</v>
      </c>
      <c r="K54" s="155">
        <f>COUNTIFS(缺陷明细!$A$2:$A$50000,$B$4,缺陷明细!$G$2:$G$50000,$C54,缺陷明细!$Q$2:$Q$50000,"已关闭",缺陷明细!$J$2:$J$50000,"单元测试")</f>
        <v>0</v>
      </c>
      <c r="L54" s="156"/>
      <c r="M54" s="157"/>
      <c r="N54" s="72">
        <f>COUNTIFS(缺陷明细!$A$2:$A$50000,$B$4,缺陷明细!$G$2:$G$50000,$C54,缺陷明细!$J$2:$J$50000,"系统测试案例评审",缺陷明细!$AB$2:$AB$50000,"&lt;&gt;丢弃",缺陷明细!$AB$2:$AB$50000,"&lt;&gt;设计如此",缺陷明细!$AB$2:$AB$50000,"&lt;&gt;重复Bug")</f>
        <v>0</v>
      </c>
      <c r="O54" s="72">
        <f>COUNTIFS(缺陷明细!$A$2:$A$50000,$B$4,缺陷明细!$G$2:$G$50000,$C54,缺陷明细!$Q$2:$Q$50000,"已关闭",缺陷明细!$J$2:$J$50000,"系统测试案例评审")</f>
        <v>0</v>
      </c>
      <c r="P54" s="72">
        <f>COUNTIFS(缺陷明细!$A$2:$A$50000,$B$4,缺陷明细!$G$2:$G$50000,$C54,缺陷明细!$J$2:$J$50000,"系统测试",缺陷明细!$AB$2:$AB$50000,"&lt;&gt;丢弃",缺陷明细!$AB$2:$AB$50000,"&lt;&gt;设计如此",缺陷明细!$AB$2:$AB$50000,"&lt;&gt;重复Bug")</f>
        <v>0</v>
      </c>
      <c r="Q54" s="72">
        <f>COUNTIFS(缺陷明细!$A$2:$A$50000,$B$4,缺陷明细!$G$2:$G$50000,$C54,缺陷明细!$Q$2:$Q$50000,"已关闭",缺陷明细!$J$2:$J$50000,"系统测试")</f>
        <v>0</v>
      </c>
      <c r="R54" s="296">
        <f>COUNTIFS(缺陷明细!$A$2:$A$50000,$B$4,缺陷明细!$G$2:$G$50000,$C54,缺陷明细!$AB$2:$AB$50000,"丢弃",缺陷明细!$J$2:$J$50000,"系统测试")+COUNTIFS(缺陷明细!$A$2:$A$50000,$B$4,缺陷明细!$G$2:$G$50000,$C54,缺陷明细!$AB$2:$AB$50000,"设计如此",缺陷明细!$J$2:$J$50000,"系统测试")+COUNTIFS(缺陷明细!$A$2:$A$50000,$B$4,缺陷明细!$G$2:$G$50000,$C54,缺陷明细!$AB$2:$AB$50000,"重复Bug",缺陷明细!$J$2:$J$50000,"系统测试")</f>
        <v>0</v>
      </c>
      <c r="S54" s="72">
        <f>COUNTIFS(缺陷明细!$A$2:$A$50000,$B$4,缺陷明细!$G$2:$G$50000,$C54,缺陷明细!$J$2:$J$50000,"系统测试",缺陷明细!$K$2:$K$50000,"致命",缺陷明细!$AB$2:$AB$50000,"&lt;&gt;丢弃",缺陷明细!$AB$2:$AB$50000,"&lt;&gt;设计如此",缺陷明细!$AB$2:$AB$50000,"&lt;&gt;重复Bug")+COUNTIFS(缺陷明细!$A$2:$A$50000,$B$4,缺陷明细!$G$2:$G$50000,$C54,缺陷明细!$J$2:$J$50000,"系统测试",缺陷明细!$K$2:$K$50000,"严重",缺陷明细!$AB$2:$AB$50000,"&lt;&gt;丢弃",缺陷明细!$AB$2:$AB$50000,"&lt;&gt;设计如此",缺陷明细!$AB$2:$AB$50000,"&lt;&gt;重复Bug")</f>
        <v>0</v>
      </c>
      <c r="T54" s="73">
        <f>COUNTIFS(缺陷明细!$A$2:$A$50000,$B$4,缺陷明细!$G$2:$G$50000,$C54,缺陷明细!$Q$2:$Q$50000,"已关闭",缺陷明细!$J$2:$J$50000,"系统测试",缺陷明细!$K$2:$K$50000,"致命")+COUNTIFS(缺陷明细!$A$2:$A$50000,$B$4,缺陷明细!$G$2:$G$50000,$C54,缺陷明细!$Q$2:$Q$50000,"已关闭",缺陷明细!$J$2:$J$50000,"系统测试",缺陷明细!$K$2:$K$50000,"严重")</f>
        <v>0</v>
      </c>
      <c r="U54" s="74">
        <f>COUNTIFS(缺陷明细!$A$2:$A$50000,$B$4,缺陷明细!$G$2:$G$50000,$C54,缺陷明细!$J$2:$J$50000,"验收测试",缺陷明细!$AB$2:$AB$50000,"&lt;&gt;丢弃",缺陷明细!$AB$2:$AB$50000,"&lt;&gt;设计如此",缺陷明细!$AB$2:$AB$50000,"&lt;&gt;重复Bug")</f>
        <v>0</v>
      </c>
      <c r="V54" s="75">
        <f>COUNTIFS(缺陷明细!$A$2:$A$50000,$B$4,缺陷明细!$G$2:$G$50000,$C54,缺陷明细!$Q$2:$Q$50000,"已关闭",缺陷明细!$J$2:$J$50000,"验收测试")</f>
        <v>0</v>
      </c>
      <c r="W54" s="75">
        <f>COUNTIFS(缺陷明细!$A$2:$A$50000,$B$4,缺陷明细!$G$2:$G$50000,$C54,缺陷明细!$J$2:$J$50000,"验收测试",缺陷明细!$K$2:$K$50000,"致命",缺陷明细!$AB$2:$AB$50000,"&lt;&gt;丢弃",缺陷明细!$AB$2:$AB$50000,"&lt;&gt;设计如此",缺陷明细!$AB$2:$AB$50000,"&lt;&gt;重复Bug")+COUNTIFS(缺陷明细!$A$2:$A$50000,$B$4,缺陷明细!$G$2:$G$50000,$C54,缺陷明细!$J$2:$J$50000,"验收测试",缺陷明细!$K$2:$K$50000,"严重",缺陷明细!$AB$2:$AB$50000,"&lt;&gt;丢弃",缺陷明细!$AB$2:$AB$50000,"&lt;&gt;设计如此",缺陷明细!$AB$2:$AB$50000,"&lt;&gt;重复Bug")</f>
        <v>0</v>
      </c>
      <c r="X54" s="76">
        <f>COUNTIFS(缺陷明细!$A$2:$A$50000,$B$4,缺陷明细!$G$2:$G$50000,$C54,缺陷明细!$Q$2:$Q$50000,"已关闭",缺陷明细!$J$2:$J$50000,"验收测试",缺陷明细!$K$2:$K$50000,"致命")+COUNTIFS(缺陷明细!$A$2:$A$50000,$B$4,缺陷明细!$G$2:$G$50000,$C54,缺陷明细!$Q$2:$Q$50000,"已关闭",缺陷明细!$J$2:$J$50000,"验收测试",缺陷明细!$K$2:$K$50000,"严重")</f>
        <v>0</v>
      </c>
      <c r="Y54" s="70">
        <f>COUNTIFS(缺陷明细!$A$2:$A$50000,$B$4,缺陷明细!$G$2:$G$50000,$C54,缺陷明细!$J$2:$J$50000,"运维测试",缺陷明细!$AB$2:$AB$50000,"&lt;&gt;丢弃",缺陷明细!$AB$2:$AB$50000,"&lt;&gt;设计如此",缺陷明细!$AB$2:$AB$50000,"&lt;&gt;重复Bug")</f>
        <v>0</v>
      </c>
      <c r="Z54" s="71">
        <f>COUNTIFS(缺陷明细!$A$2:$A$50000,$B$4,缺陷明细!$G$2:$G$50000,$C54,缺陷明细!$Q$2:$Q$50000,"已关闭",缺陷明细!$J$2:$J$50000,"运维测试")</f>
        <v>0</v>
      </c>
      <c r="AA54" s="72">
        <f>COUNTIFS(缺陷明细!$A$2:$A$50000,$B$4,缺陷明细!$G$2:$G$50000,$C54,缺陷明细!$J$2:$J$50000,"运维测试",缺陷明细!$K$2:$K$50000,"致命",缺陷明细!$AB$2:$AB$50000,"&lt;&gt;丢弃",缺陷明细!$AB$2:$AB$50000,"&lt;&gt;设计如此",缺陷明细!$AB$2:$AB$50000,"&lt;&gt;重复Bug")+COUNTIFS(缺陷明细!$A$2:$A$50000,$B$4,缺陷明细!$G$2:$G$50000,$C54,缺陷明细!$J$2:$J$50000,"运维测试",缺陷明细!$K$2:$K$50000,"严重",缺陷明细!$AB$2:$AB$50000,"&lt;&gt;丢弃",缺陷明细!$AB$2:$AB$50000,"&lt;&gt;设计如此",缺陷明细!$AB$2:$AB$50000,"&lt;&gt;重复Bug")</f>
        <v>0</v>
      </c>
      <c r="AB54" s="73">
        <f>COUNTIFS(缺陷明细!$A$2:$A$50000,$B$4,缺陷明细!$G$2:$G$50000,$C54,缺陷明细!$Q$2:$Q$50000,"已关闭",缺陷明细!$J$2:$J$50000,"运维测试",缺陷明细!$K$2:$K$50000,"致命")+COUNTIFS(缺陷明细!$A$2:$A$50000,$B$4,缺陷明细!$G$2:$G$50000,$C54,缺陷明细!$Q$2:$Q$50000,"已关闭",缺陷明细!$J$2:$J$50000,"运维测试",缺陷明细!$K$2:$K$50000,"严重")</f>
        <v>0</v>
      </c>
      <c r="AC54" s="68">
        <f t="shared" si="0"/>
        <v>0</v>
      </c>
      <c r="AD54" s="60">
        <f t="shared" si="0"/>
        <v>0</v>
      </c>
      <c r="AE54" s="60">
        <f t="shared" si="1"/>
        <v>0</v>
      </c>
      <c r="AF54" s="60">
        <f t="shared" si="1"/>
        <v>0</v>
      </c>
      <c r="AG54" s="60">
        <f t="shared" si="2"/>
        <v>0</v>
      </c>
      <c r="AH54" s="60">
        <f t="shared" si="2"/>
        <v>0</v>
      </c>
      <c r="AI54" s="60">
        <f t="shared" si="3"/>
        <v>0</v>
      </c>
      <c r="AJ54" s="61">
        <f t="shared" si="3"/>
        <v>0</v>
      </c>
      <c r="AK54" s="144"/>
    </row>
    <row r="55" spans="1:37" ht="13.5" thickBot="1">
      <c r="B55" s="140"/>
      <c r="C55" s="102"/>
      <c r="D55" s="85"/>
      <c r="E55" s="149"/>
      <c r="F55" s="162"/>
      <c r="G55" s="163"/>
      <c r="H55" s="282">
        <f>COUNTIFS(缺陷明细!$A$2:$A$50000,$B$4,缺陷明细!$G$2:$G$50000,$C55,缺陷明细!$J$2:$J$50000,"评审",缺陷明细!$AB$2:$AB$50000,"&lt;&gt;丢弃",缺陷明细!$AB$2:$AB$50000,"&lt;&gt;设计如此",缺陷明细!$AB$2:$AB$50000,"&lt;&gt;重复Bug")</f>
        <v>0</v>
      </c>
      <c r="I55" s="283">
        <f>COUNTIFS(缺陷明细!$A$2:$A$50000,$B$4,缺陷明细!$G$2:$G$50000,$C55,缺陷明细!$Q$2:$Q$50000,"已关闭",缺陷明细!$J$2:$J$50000,"评审")</f>
        <v>0</v>
      </c>
      <c r="J55" s="283">
        <f>COUNTIFS(缺陷明细!$A$2:$A$50000,$B$4,缺陷明细!$G$2:$G$50000,$C55,缺陷明细!$J$2:$J$50000,"单元测试",缺陷明细!$AB$2:$AB$50000,"&lt;&gt;丢弃",缺陷明细!$AB$2:$AB$50000,"&lt;&gt;设计如此",缺陷明细!$AB$2:$AB$50000,"&lt;&gt;重复Bug")</f>
        <v>0</v>
      </c>
      <c r="K55" s="284">
        <f>COUNTIFS(缺陷明细!$A$2:$A$50000,$B$4,缺陷明细!$G$2:$G$50000,$C55,缺陷明细!$Q$2:$Q$50000,"已关闭",缺陷明细!$J$2:$J$50000,"单元测试")</f>
        <v>0</v>
      </c>
      <c r="L55" s="285"/>
      <c r="M55" s="286"/>
      <c r="N55" s="287">
        <f>COUNTIFS(缺陷明细!$A$2:$A$50000,$B$4,缺陷明细!$G$2:$G$50000,$C55,缺陷明细!$J$2:$J$50000,"系统测试案例评审",缺陷明细!$AB$2:$AB$50000,"&lt;&gt;丢弃",缺陷明细!$AB$2:$AB$50000,"&lt;&gt;设计如此",缺陷明细!$AB$2:$AB$50000,"&lt;&gt;重复Bug")</f>
        <v>0</v>
      </c>
      <c r="O55" s="287">
        <f>COUNTIFS(缺陷明细!$A$2:$A$50000,$B$4,缺陷明细!$G$2:$G$50000,$C55,缺陷明细!$Q$2:$Q$50000,"已关闭",缺陷明细!$J$2:$J$50000,"系统测试案例评审")</f>
        <v>0</v>
      </c>
      <c r="P55" s="287">
        <f>COUNTIFS(缺陷明细!$A$2:$A$50000,$B$4,缺陷明细!$G$2:$G$50000,$C55,缺陷明细!$J$2:$J$50000,"系统测试",缺陷明细!$AB$2:$AB$50000,"&lt;&gt;丢弃",缺陷明细!$AB$2:$AB$50000,"&lt;&gt;设计如此",缺陷明细!$AB$2:$AB$50000,"&lt;&gt;重复Bug")</f>
        <v>0</v>
      </c>
      <c r="Q55" s="287">
        <f>COUNTIFS(缺陷明细!$A$2:$A$50000,$B$4,缺陷明细!$G$2:$G$50000,$C55,缺陷明细!$Q$2:$Q$50000,"已关闭",缺陷明细!$J$2:$J$50000,"系统测试")</f>
        <v>0</v>
      </c>
      <c r="R55" s="297">
        <f>COUNTIFS(缺陷明细!$A$2:$A$50000,$B$4,缺陷明细!$G$2:$G$50000,$C55,缺陷明细!$AB$2:$AB$50000,"丢弃",缺陷明细!$J$2:$J$50000,"系统测试")+COUNTIFS(缺陷明细!$A$2:$A$50000,$B$4,缺陷明细!$G$2:$G$50000,$C55,缺陷明细!$AB$2:$AB$50000,"设计如此",缺陷明细!$J$2:$J$50000,"系统测试")+COUNTIFS(缺陷明细!$A$2:$A$50000,$B$4,缺陷明细!$G$2:$G$50000,$C55,缺陷明细!$AB$2:$AB$50000,"重复Bug",缺陷明细!$J$2:$J$50000,"系统测试")</f>
        <v>0</v>
      </c>
      <c r="S55" s="287">
        <f>COUNTIFS(缺陷明细!$A$2:$A$50000,$B$4,缺陷明细!$G$2:$G$50000,$C55,缺陷明细!$J$2:$J$50000,"系统测试",缺陷明细!$K$2:$K$50000,"致命",缺陷明细!$AB$2:$AB$50000,"&lt;&gt;丢弃",缺陷明细!$AB$2:$AB$50000,"&lt;&gt;设计如此",缺陷明细!$AB$2:$AB$50000,"&lt;&gt;重复Bug")+COUNTIFS(缺陷明细!$A$2:$A$50000,$B$4,缺陷明细!$G$2:$G$50000,$C55,缺陷明细!$J$2:$J$50000,"系统测试",缺陷明细!$K$2:$K$50000,"严重",缺陷明细!$AB$2:$AB$50000,"&lt;&gt;丢弃",缺陷明细!$AB$2:$AB$50000,"&lt;&gt;设计如此",缺陷明细!$AB$2:$AB$50000,"&lt;&gt;重复Bug")</f>
        <v>0</v>
      </c>
      <c r="T55" s="288">
        <f>COUNTIFS(缺陷明细!$A$2:$A$50000,$B$4,缺陷明细!$G$2:$G$50000,$C55,缺陷明细!$Q$2:$Q$50000,"已关闭",缺陷明细!$J$2:$J$50000,"系统测试",缺陷明细!$K$2:$K$50000,"致命")+COUNTIFS(缺陷明细!$A$2:$A$50000,$B$4,缺陷明细!$G$2:$G$50000,$C55,缺陷明细!$Q$2:$Q$50000,"已关闭",缺陷明细!$J$2:$J$50000,"系统测试",缺陷明细!$K$2:$K$50000,"严重")</f>
        <v>0</v>
      </c>
      <c r="U55" s="289">
        <f>COUNTIFS(缺陷明细!$A$2:$A$50000,$B$4,缺陷明细!$G$2:$G$50000,$C55,缺陷明细!$J$2:$J$50000,"验收测试",缺陷明细!$AB$2:$AB$50000,"&lt;&gt;丢弃",缺陷明细!$AB$2:$AB$50000,"&lt;&gt;设计如此",缺陷明细!$AB$2:$AB$50000,"&lt;&gt;重复Bug")</f>
        <v>0</v>
      </c>
      <c r="V55" s="290">
        <f>COUNTIFS(缺陷明细!$A$2:$A$50000,$B$4,缺陷明细!$G$2:$G$50000,$C55,缺陷明细!$Q$2:$Q$50000,"已关闭",缺陷明细!$J$2:$J$50000,"验收测试")</f>
        <v>0</v>
      </c>
      <c r="W55" s="290">
        <f>COUNTIFS(缺陷明细!$A$2:$A$50000,$B$4,缺陷明细!$G$2:$G$50000,$C55,缺陷明细!$J$2:$J$50000,"验收测试",缺陷明细!$K$2:$K$50000,"致命",缺陷明细!$AB$2:$AB$50000,"&lt;&gt;丢弃",缺陷明细!$AB$2:$AB$50000,"&lt;&gt;设计如此",缺陷明细!$AB$2:$AB$50000,"&lt;&gt;重复Bug")+COUNTIFS(缺陷明细!$A$2:$A$50000,$B$4,缺陷明细!$G$2:$G$50000,$C55,缺陷明细!$J$2:$J$50000,"验收测试",缺陷明细!$K$2:$K$50000,"严重",缺陷明细!$AB$2:$AB$50000,"&lt;&gt;丢弃",缺陷明细!$AB$2:$AB$50000,"&lt;&gt;设计如此",缺陷明细!$AB$2:$AB$50000,"&lt;&gt;重复Bug")</f>
        <v>0</v>
      </c>
      <c r="X55" s="291">
        <f>COUNTIFS(缺陷明细!$A$2:$A$50000,$B$4,缺陷明细!$G$2:$G$50000,$C55,缺陷明细!$Q$2:$Q$50000,"已关闭",缺陷明细!$J$2:$J$50000,"验收测试",缺陷明细!$K$2:$K$50000,"致命")+COUNTIFS(缺陷明细!$A$2:$A$50000,$B$4,缺陷明细!$G$2:$G$50000,$C55,缺陷明细!$Q$2:$Q$50000,"已关闭",缺陷明细!$J$2:$J$50000,"验收测试",缺陷明细!$K$2:$K$50000,"严重")</f>
        <v>0</v>
      </c>
      <c r="Y55" s="292">
        <f>COUNTIFS(缺陷明细!$A$2:$A$50000,$B$4,缺陷明细!$G$2:$G$50000,$C55,缺陷明细!$J$2:$J$50000,"运维测试",缺陷明细!$AB$2:$AB$50000,"&lt;&gt;丢弃",缺陷明细!$AB$2:$AB$50000,"&lt;&gt;设计如此",缺陷明细!$AB$2:$AB$50000,"&lt;&gt;重复Bug")</f>
        <v>0</v>
      </c>
      <c r="Z55" s="293">
        <f>COUNTIFS(缺陷明细!$A$2:$A$50000,$B$4,缺陷明细!$G$2:$G$50000,$C55,缺陷明细!$Q$2:$Q$50000,"已关闭",缺陷明细!$J$2:$J$50000,"运维测试")</f>
        <v>0</v>
      </c>
      <c r="AA55" s="287">
        <f>COUNTIFS(缺陷明细!$A$2:$A$50000,$B$4,缺陷明细!$G$2:$G$50000,$C55,缺陷明细!$J$2:$J$50000,"运维测试",缺陷明细!$K$2:$K$50000,"致命",缺陷明细!$AB$2:$AB$50000,"&lt;&gt;丢弃",缺陷明细!$AB$2:$AB$50000,"&lt;&gt;设计如此",缺陷明细!$AB$2:$AB$50000,"&lt;&gt;重复Bug")+COUNTIFS(缺陷明细!$A$2:$A$50000,$B$4,缺陷明细!$G$2:$G$50000,$C55,缺陷明细!$J$2:$J$50000,"运维测试",缺陷明细!$K$2:$K$50000,"严重",缺陷明细!$AB$2:$AB$50000,"&lt;&gt;丢弃",缺陷明细!$AB$2:$AB$50000,"&lt;&gt;设计如此",缺陷明细!$AB$2:$AB$50000,"&lt;&gt;重复Bug")</f>
        <v>0</v>
      </c>
      <c r="AB55" s="288">
        <f>COUNTIFS(缺陷明细!$A$2:$A$50000,$B$4,缺陷明细!$G$2:$G$50000,$C55,缺陷明细!$Q$2:$Q$50000,"已关闭",缺陷明细!$J$2:$J$50000,"运维测试",缺陷明细!$K$2:$K$50000,"致命")+COUNTIFS(缺陷明细!$A$2:$A$50000,$B$4,缺陷明细!$G$2:$G$50000,$C55,缺陷明细!$Q$2:$Q$50000,"已关闭",缺陷明细!$J$2:$J$50000,"运维测试",缺陷明细!$K$2:$K$50000,"严重")</f>
        <v>0</v>
      </c>
      <c r="AC55" s="150">
        <f t="shared" si="0"/>
        <v>0</v>
      </c>
      <c r="AD55" s="151">
        <f t="shared" si="0"/>
        <v>0</v>
      </c>
      <c r="AE55" s="151">
        <f t="shared" si="1"/>
        <v>0</v>
      </c>
      <c r="AF55" s="151">
        <f t="shared" si="1"/>
        <v>0</v>
      </c>
      <c r="AG55" s="151">
        <f t="shared" si="2"/>
        <v>0</v>
      </c>
      <c r="AH55" s="151">
        <f t="shared" si="2"/>
        <v>0</v>
      </c>
      <c r="AI55" s="151">
        <f t="shared" si="3"/>
        <v>0</v>
      </c>
      <c r="AJ55" s="141">
        <f t="shared" si="3"/>
        <v>0</v>
      </c>
      <c r="AK55" s="145"/>
    </row>
    <row r="56" spans="1:37">
      <c r="B56" s="417" t="s">
        <v>223</v>
      </c>
      <c r="C56" s="418"/>
      <c r="D56" s="135">
        <f>COUNTA(D5:D55)</f>
        <v>0</v>
      </c>
      <c r="E56" s="135">
        <f>COUNTIF(E2:E55,"是")</f>
        <v>0</v>
      </c>
      <c r="F56" s="135">
        <f>SUMIFS(F5:F500,$E$5:$E$500,"是")</f>
        <v>0</v>
      </c>
      <c r="G56" s="135">
        <f t="shared" ref="G56:AJ56" si="4">SUMIFS(G5:G500,$E$5:$E$500,"是")</f>
        <v>0</v>
      </c>
      <c r="H56" s="135">
        <f t="shared" si="4"/>
        <v>0</v>
      </c>
      <c r="I56" s="135">
        <f t="shared" si="4"/>
        <v>0</v>
      </c>
      <c r="J56" s="135">
        <f t="shared" si="4"/>
        <v>0</v>
      </c>
      <c r="K56" s="135">
        <f t="shared" si="4"/>
        <v>0</v>
      </c>
      <c r="L56" s="135">
        <f t="shared" si="4"/>
        <v>0</v>
      </c>
      <c r="M56" s="135">
        <f t="shared" si="4"/>
        <v>0</v>
      </c>
      <c r="N56" s="135">
        <f t="shared" si="4"/>
        <v>0</v>
      </c>
      <c r="O56" s="135">
        <f t="shared" si="4"/>
        <v>0</v>
      </c>
      <c r="P56" s="135">
        <f t="shared" si="4"/>
        <v>0</v>
      </c>
      <c r="Q56" s="135">
        <f t="shared" si="4"/>
        <v>0</v>
      </c>
      <c r="R56" s="135">
        <f t="shared" si="4"/>
        <v>0</v>
      </c>
      <c r="S56" s="135">
        <f t="shared" si="4"/>
        <v>0</v>
      </c>
      <c r="T56" s="135">
        <f t="shared" si="4"/>
        <v>0</v>
      </c>
      <c r="U56" s="135">
        <f t="shared" si="4"/>
        <v>0</v>
      </c>
      <c r="V56" s="135">
        <f t="shared" si="4"/>
        <v>0</v>
      </c>
      <c r="W56" s="135">
        <f t="shared" si="4"/>
        <v>0</v>
      </c>
      <c r="X56" s="135">
        <f t="shared" si="4"/>
        <v>0</v>
      </c>
      <c r="Y56" s="135">
        <f t="shared" si="4"/>
        <v>0</v>
      </c>
      <c r="Z56" s="135">
        <f t="shared" si="4"/>
        <v>0</v>
      </c>
      <c r="AA56" s="135">
        <f t="shared" si="4"/>
        <v>0</v>
      </c>
      <c r="AB56" s="135">
        <f t="shared" si="4"/>
        <v>0</v>
      </c>
      <c r="AC56" s="135">
        <f t="shared" si="4"/>
        <v>0</v>
      </c>
      <c r="AD56" s="135">
        <f t="shared" si="4"/>
        <v>0</v>
      </c>
      <c r="AE56" s="135">
        <f t="shared" si="4"/>
        <v>0</v>
      </c>
      <c r="AF56" s="135">
        <f t="shared" si="4"/>
        <v>0</v>
      </c>
      <c r="AG56" s="135">
        <f t="shared" si="4"/>
        <v>0</v>
      </c>
      <c r="AH56" s="135">
        <f t="shared" si="4"/>
        <v>0</v>
      </c>
      <c r="AI56" s="135">
        <f t="shared" si="4"/>
        <v>0</v>
      </c>
      <c r="AJ56" s="135">
        <f t="shared" si="4"/>
        <v>0</v>
      </c>
      <c r="AK56" s="30"/>
    </row>
    <row r="57" spans="1:37">
      <c r="C57" s="146"/>
      <c r="D57" s="147"/>
      <c r="E57" s="136"/>
      <c r="F57" s="136"/>
      <c r="G57" s="136"/>
      <c r="H57" s="137"/>
      <c r="I57" s="137"/>
      <c r="J57" s="137"/>
      <c r="K57" s="137"/>
      <c r="L57" s="137"/>
      <c r="M57" s="137"/>
      <c r="N57" s="137"/>
      <c r="O57" s="137"/>
      <c r="P57" s="137"/>
      <c r="Q57" s="137"/>
      <c r="R57" s="137"/>
      <c r="S57" s="137"/>
      <c r="T57" s="137"/>
      <c r="U57" s="137"/>
      <c r="V57" s="137"/>
      <c r="W57" s="137"/>
      <c r="X57" s="137"/>
      <c r="Y57" s="137"/>
      <c r="Z57" s="137"/>
      <c r="AA57" s="137"/>
      <c r="AB57" s="137"/>
      <c r="AC57" s="137"/>
      <c r="AD57" s="137"/>
      <c r="AE57" s="137"/>
      <c r="AF57" s="137"/>
      <c r="AG57" s="137"/>
      <c r="AH57" s="137"/>
      <c r="AI57" s="137"/>
      <c r="AJ57" s="137"/>
    </row>
    <row r="59" spans="1:37">
      <c r="F59" s="95"/>
    </row>
  </sheetData>
  <mergeCells count="13">
    <mergeCell ref="B56:C56"/>
    <mergeCell ref="B2:B3"/>
    <mergeCell ref="C2:C3"/>
    <mergeCell ref="D2:D3"/>
    <mergeCell ref="E2:E3"/>
    <mergeCell ref="AC2:AJ2"/>
    <mergeCell ref="AK2:AK3"/>
    <mergeCell ref="U2:X2"/>
    <mergeCell ref="H1:AB1"/>
    <mergeCell ref="F2:G2"/>
    <mergeCell ref="H2:K2"/>
    <mergeCell ref="L2:T2"/>
    <mergeCell ref="Y2:AB2"/>
  </mergeCells>
  <phoneticPr fontId="13" type="noConversion"/>
  <dataValidations count="1">
    <dataValidation type="list" allowBlank="1" showInputMessage="1" showErrorMessage="1" sqref="E5:E55">
      <formula1>"是,否"</formula1>
    </dataValidation>
  </dataValidation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00FF"/>
  </sheetPr>
  <dimension ref="A1:AK59"/>
  <sheetViews>
    <sheetView workbookViewId="0">
      <selection activeCell="M12" sqref="M12"/>
    </sheetView>
  </sheetViews>
  <sheetFormatPr defaultColWidth="9" defaultRowHeight="12.75"/>
  <cols>
    <col min="1" max="1" width="5.140625" customWidth="1"/>
    <col min="3" max="3" width="29.28515625" customWidth="1"/>
    <col min="4" max="4" width="6.28515625" customWidth="1"/>
    <col min="5" max="5" width="5.85546875" style="38" customWidth="1"/>
    <col min="6" max="7" width="5.7109375" style="38" customWidth="1"/>
    <col min="8" max="36" width="5.7109375" customWidth="1"/>
    <col min="37" max="37" width="20" customWidth="1"/>
    <col min="38" max="38" width="8.140625" customWidth="1"/>
  </cols>
  <sheetData>
    <row r="1" spans="1:37" ht="13.5" customHeight="1" thickBot="1">
      <c r="A1" s="29"/>
      <c r="B1" s="259" t="s">
        <v>61</v>
      </c>
      <c r="C1" s="259"/>
      <c r="D1" s="259"/>
      <c r="E1" s="259"/>
      <c r="F1" s="260"/>
      <c r="G1" s="260"/>
      <c r="H1" s="402" t="s">
        <v>63</v>
      </c>
      <c r="I1" s="402"/>
      <c r="J1" s="402"/>
      <c r="K1" s="402"/>
      <c r="L1" s="402"/>
      <c r="M1" s="402"/>
      <c r="N1" s="402"/>
      <c r="O1" s="402"/>
      <c r="P1" s="402"/>
      <c r="Q1" s="402"/>
      <c r="R1" s="402"/>
      <c r="S1" s="402"/>
      <c r="T1" s="402"/>
      <c r="U1" s="402"/>
      <c r="V1" s="402"/>
      <c r="W1" s="402"/>
      <c r="X1" s="402"/>
      <c r="Y1" s="402"/>
      <c r="Z1" s="402"/>
      <c r="AA1" s="402"/>
      <c r="AB1" s="402"/>
      <c r="AC1" s="138"/>
      <c r="AD1" s="138"/>
      <c r="AE1" s="138"/>
      <c r="AF1" s="138"/>
      <c r="AG1" s="138"/>
      <c r="AH1" s="138"/>
      <c r="AI1" s="138"/>
      <c r="AJ1" s="139"/>
      <c r="AK1" s="148"/>
    </row>
    <row r="2" spans="1:37" ht="12.75" customHeight="1" thickBot="1">
      <c r="B2" s="419" t="s">
        <v>195</v>
      </c>
      <c r="C2" s="403" t="s">
        <v>60</v>
      </c>
      <c r="D2" s="405" t="s">
        <v>104</v>
      </c>
      <c r="E2" s="421" t="s">
        <v>196</v>
      </c>
      <c r="F2" s="403" t="s">
        <v>197</v>
      </c>
      <c r="G2" s="404"/>
      <c r="H2" s="423" t="s">
        <v>224</v>
      </c>
      <c r="I2" s="423"/>
      <c r="J2" s="423"/>
      <c r="K2" s="423"/>
      <c r="L2" s="424" t="s">
        <v>198</v>
      </c>
      <c r="M2" s="425"/>
      <c r="N2" s="425"/>
      <c r="O2" s="425"/>
      <c r="P2" s="425"/>
      <c r="Q2" s="425"/>
      <c r="R2" s="425"/>
      <c r="S2" s="425"/>
      <c r="T2" s="426"/>
      <c r="U2" s="415" t="s">
        <v>44</v>
      </c>
      <c r="V2" s="416"/>
      <c r="W2" s="416"/>
      <c r="X2" s="416"/>
      <c r="Y2" s="408" t="s">
        <v>64</v>
      </c>
      <c r="Z2" s="409"/>
      <c r="AA2" s="409"/>
      <c r="AB2" s="409"/>
      <c r="AC2" s="410" t="s">
        <v>2</v>
      </c>
      <c r="AD2" s="411"/>
      <c r="AE2" s="411"/>
      <c r="AF2" s="411"/>
      <c r="AG2" s="411"/>
      <c r="AH2" s="411"/>
      <c r="AI2" s="411"/>
      <c r="AJ2" s="412"/>
      <c r="AK2" s="413" t="s">
        <v>4</v>
      </c>
    </row>
    <row r="3" spans="1:37" ht="84.75" thickBot="1">
      <c r="B3" s="420"/>
      <c r="C3" s="407"/>
      <c r="D3" s="406"/>
      <c r="E3" s="422"/>
      <c r="F3" s="261" t="s">
        <v>284</v>
      </c>
      <c r="G3" s="262" t="s">
        <v>285</v>
      </c>
      <c r="H3" s="34" t="s">
        <v>105</v>
      </c>
      <c r="I3" s="34" t="s">
        <v>106</v>
      </c>
      <c r="J3" s="34" t="s">
        <v>107</v>
      </c>
      <c r="K3" s="34" t="s">
        <v>108</v>
      </c>
      <c r="L3" s="33" t="s">
        <v>200</v>
      </c>
      <c r="M3" s="34" t="s">
        <v>201</v>
      </c>
      <c r="N3" s="31" t="s">
        <v>45</v>
      </c>
      <c r="O3" s="31" t="s">
        <v>46</v>
      </c>
      <c r="P3" s="31" t="s">
        <v>34</v>
      </c>
      <c r="Q3" s="31" t="s">
        <v>36</v>
      </c>
      <c r="R3" s="31" t="s">
        <v>293</v>
      </c>
      <c r="S3" s="31" t="s">
        <v>294</v>
      </c>
      <c r="T3" s="32" t="s">
        <v>37</v>
      </c>
      <c r="U3" s="99" t="s">
        <v>125</v>
      </c>
      <c r="V3" s="35" t="s">
        <v>126</v>
      </c>
      <c r="W3" s="35" t="s">
        <v>202</v>
      </c>
      <c r="X3" s="35" t="s">
        <v>127</v>
      </c>
      <c r="Y3" s="99" t="s">
        <v>65</v>
      </c>
      <c r="Z3" s="35" t="s">
        <v>66</v>
      </c>
      <c r="AA3" s="35" t="s">
        <v>67</v>
      </c>
      <c r="AB3" s="36" t="s">
        <v>204</v>
      </c>
      <c r="AC3" s="33" t="s">
        <v>38</v>
      </c>
      <c r="AD3" s="31" t="s">
        <v>39</v>
      </c>
      <c r="AE3" s="31" t="s">
        <v>40</v>
      </c>
      <c r="AF3" s="31" t="s">
        <v>41</v>
      </c>
      <c r="AG3" s="31" t="s">
        <v>128</v>
      </c>
      <c r="AH3" s="31" t="s">
        <v>130</v>
      </c>
      <c r="AI3" s="31" t="s">
        <v>131</v>
      </c>
      <c r="AJ3" s="32" t="s">
        <v>129</v>
      </c>
      <c r="AK3" s="414"/>
    </row>
    <row r="4" spans="1:37" ht="13.5" thickBot="1">
      <c r="B4" s="96" t="s">
        <v>281</v>
      </c>
      <c r="C4" s="80" t="s">
        <v>221</v>
      </c>
      <c r="D4" s="134"/>
      <c r="E4" s="130"/>
      <c r="F4" s="100"/>
      <c r="G4" s="81"/>
      <c r="H4" s="69"/>
      <c r="I4" s="63"/>
      <c r="J4" s="63"/>
      <c r="K4" s="64"/>
      <c r="L4" s="77"/>
      <c r="M4" s="101"/>
      <c r="N4" s="63"/>
      <c r="O4" s="63"/>
      <c r="P4" s="63"/>
      <c r="Q4" s="63"/>
      <c r="R4" s="63"/>
      <c r="S4" s="63"/>
      <c r="T4" s="64"/>
      <c r="U4" s="62"/>
      <c r="V4" s="63"/>
      <c r="W4" s="63"/>
      <c r="X4" s="64"/>
      <c r="Y4" s="62"/>
      <c r="Z4" s="63"/>
      <c r="AA4" s="63"/>
      <c r="AB4" s="64"/>
      <c r="AC4" s="69"/>
      <c r="AD4" s="63"/>
      <c r="AE4" s="63"/>
      <c r="AF4" s="63"/>
      <c r="AG4" s="63"/>
      <c r="AH4" s="63"/>
      <c r="AI4" s="63"/>
      <c r="AJ4" s="64"/>
      <c r="AK4" s="142"/>
    </row>
    <row r="5" spans="1:37">
      <c r="A5">
        <v>1</v>
      </c>
      <c r="B5" s="78"/>
      <c r="C5" s="79"/>
      <c r="D5" s="82"/>
      <c r="E5" s="82"/>
      <c r="F5" s="152"/>
      <c r="G5" s="153"/>
      <c r="H5" s="271">
        <f>COUNTIFS(缺陷明细!$A$2:$A$50000,$B$4,缺陷明细!$G$2:$G$50000,$C5,缺陷明细!$J$2:$J$50000,"评审",缺陷明细!$AB$2:$AB$50000,"&lt;&gt;丢弃",缺陷明细!$AB$2:$AB$50000,"&lt;&gt;设计如此",缺陷明细!$AB$2:$AB$50000,"&lt;&gt;重复Bug")</f>
        <v>0</v>
      </c>
      <c r="I5" s="272">
        <f>COUNTIFS(缺陷明细!$A$2:$A$50000,$B$4,缺陷明细!$G$2:$G$50000,$C5,缺陷明细!$Q$2:$Q$50000,"已关闭",缺陷明细!$J$2:$J$50000,"评审")</f>
        <v>0</v>
      </c>
      <c r="J5" s="272">
        <f>COUNTIFS(缺陷明细!$A$2:$A$50000,$B$4,缺陷明细!$G$2:$G$50000,$C5,缺陷明细!$J$2:$J$50000,"单元测试",缺陷明细!$AB$2:$AB$50000,"&lt;&gt;丢弃",缺陷明细!$AB$2:$AB$50000,"&lt;&gt;设计如此",缺陷明细!$AB$2:$AB$50000,"&lt;&gt;重复Bug")</f>
        <v>0</v>
      </c>
      <c r="K5" s="273">
        <f>COUNTIFS(缺陷明细!$A$2:$A$50000,$B$4,缺陷明细!$G$2:$G$50000,$C5,缺陷明细!$Q$2:$Q$50000,"已关闭",缺陷明细!$J$2:$J$50000,"单元测试")</f>
        <v>0</v>
      </c>
      <c r="L5" s="156"/>
      <c r="M5" s="157"/>
      <c r="N5" s="72">
        <f>COUNTIFS(缺陷明细!$A$2:$A$50000,$B$4,缺陷明细!$G$2:$G$50000,$C5,缺陷明细!$J$2:$J$50000,"系统测试案例评审",缺陷明细!$AB$2:$AB$50000,"&lt;&gt;丢弃",缺陷明细!$AB$2:$AB$50000,"&lt;&gt;设计如此",缺陷明细!$AB$2:$AB$50000,"&lt;&gt;重复Bug")</f>
        <v>0</v>
      </c>
      <c r="O5" s="72">
        <f>COUNTIFS(缺陷明细!$A$2:$A$50000,$B$4,缺陷明细!$G$2:$G$50000,$C5,缺陷明细!$Q$2:$Q$50000,"已关闭",缺陷明细!$J$2:$J$50000,"系统测试案例评审")</f>
        <v>0</v>
      </c>
      <c r="P5" s="72">
        <f>COUNTIFS(缺陷明细!$A$2:$A$50000,$B$4,缺陷明细!$G$2:$G$50000,$C5,缺陷明细!$J$2:$J$50000,"系统测试",缺陷明细!$AB$2:$AB$50000,"&lt;&gt;丢弃",缺陷明细!$AB$2:$AB$50000,"&lt;&gt;设计如此",缺陷明细!$AB$2:$AB$50000,"&lt;&gt;重复Bug")</f>
        <v>0</v>
      </c>
      <c r="Q5" s="72">
        <f>COUNTIFS(缺陷明细!$A$2:$A$50000,$B$4,缺陷明细!$G$2:$G$50000,$C5,缺陷明细!$Q$2:$Q$50000,"已关闭",缺陷明细!$J$2:$J$50000,"系统测试")</f>
        <v>0</v>
      </c>
      <c r="R5" s="72">
        <f>COUNTIFS(缺陷明细!$A$2:$A$50000,$B$4,缺陷明细!$G$2:$G$50000,$C5,缺陷明细!$AB$2:$AB$50000,"丢弃",缺陷明细!$J$2:$J$50000,"系统测试")+COUNTIFS(缺陷明细!$A$2:$A$50000,$B$4,缺陷明细!$G$2:$G$50000,$C5,缺陷明细!$AB$2:$AB$50000,"设计如此",缺陷明细!$J$2:$J$50000,"系统测试")+COUNTIFS(缺陷明细!$A$2:$A$50000,$B$4,缺陷明细!$G$2:$G$50000,$C5,缺陷明细!$AB$2:$AB$50000,"重复Bug",缺陷明细!$J$2:$J$50000,"系统测试")</f>
        <v>0</v>
      </c>
      <c r="S5" s="72">
        <f>COUNTIFS(缺陷明细!$A$2:$A$50000,$B$4,缺陷明细!$G$2:$G$50000,$C5,缺陷明细!$J$2:$J$50000,"系统测试",缺陷明细!$K$2:$K$50000,"致命",缺陷明细!$AB$2:$AB$50000,"&lt;&gt;丢弃",缺陷明细!$AB$2:$AB$50000,"&lt;&gt;设计如此",缺陷明细!$AB$2:$AB$50000,"&lt;&gt;重复Bug")+COUNTIFS(缺陷明细!$A$2:$A$50000,$B$4,缺陷明细!$G$2:$G$50000,$C5,缺陷明细!$J$2:$J$50000,"系统测试",缺陷明细!$K$2:$K$50000,"严重",缺陷明细!$AB$2:$AB$50000,"&lt;&gt;丢弃",缺陷明细!$AB$2:$AB$50000,"&lt;&gt;设计如此",缺陷明细!$AB$2:$AB$50000,"&lt;&gt;重复Bug")</f>
        <v>0</v>
      </c>
      <c r="T5" s="73">
        <f>COUNTIFS(缺陷明细!$A$2:$A$50000,$B$4,缺陷明细!$G$2:$G$50000,$C5,缺陷明细!$Q$2:$Q$50000,"已关闭",缺陷明细!$J$2:$J$50000,"系统测试",缺陷明细!$K$2:$K$50000,"致命")+COUNTIFS(缺陷明细!$A$2:$A$50000,$B$4,缺陷明细!$G$2:$G$50000,$C5,缺陷明细!$Q$2:$Q$50000,"已关闭",缺陷明细!$J$2:$J$50000,"系统测试",缺陷明细!$K$2:$K$50000,"严重")</f>
        <v>0</v>
      </c>
      <c r="U5" s="276">
        <f>COUNTIFS(缺陷明细!$A$2:$A$50000,$B$4,缺陷明细!$G$2:$G$50000,$C5,缺陷明细!$J$2:$J$50000,"验收测试",缺陷明细!$AB$2:$AB$50000,"&lt;&gt;丢弃",缺陷明细!$AB$2:$AB$50000,"&lt;&gt;设计如此",缺陷明细!$AB$2:$AB$50000,"&lt;&gt;重复Bug")</f>
        <v>0</v>
      </c>
      <c r="V5" s="277">
        <f>COUNTIFS(缺陷明细!$A$2:$A$50000,$B$4,缺陷明细!$G$2:$G$50000,$C5,缺陷明细!$Q$2:$Q$50000,"已关闭",缺陷明细!$J$2:$J$50000,"验收测试")</f>
        <v>0</v>
      </c>
      <c r="W5" s="277">
        <f>COUNTIFS(缺陷明细!$A$2:$A$50000,$B$4,缺陷明细!$G$2:$G$50000,$C5,缺陷明细!$J$2:$J$50000,"验收测试",缺陷明细!$K$2:$K$50000,"致命",缺陷明细!$AB$2:$AB$50000,"&lt;&gt;丢弃",缺陷明细!$AB$2:$AB$50000,"&lt;&gt;设计如此",缺陷明细!$AB$2:$AB$50000,"&lt;&gt;重复Bug")+COUNTIFS(缺陷明细!$A$2:$A$50000,$B$4,缺陷明细!$G$2:$G$50000,$C5,缺陷明细!$J$2:$J$50000,"验收测试",缺陷明细!$K$2:$K$50000,"严重",缺陷明细!$AB$2:$AB$50000,"&lt;&gt;丢弃",缺陷明细!$AB$2:$AB$50000,"&lt;&gt;设计如此",缺陷明细!$AB$2:$AB$50000,"&lt;&gt;重复Bug")</f>
        <v>0</v>
      </c>
      <c r="X5" s="278">
        <f>COUNTIFS(缺陷明细!$A$2:$A$50000,$B$4,缺陷明细!$G$2:$G$50000,$C5,缺陷明细!$Q$2:$Q$50000,"已关闭",缺陷明细!$J$2:$J$50000,"验收测试",缺陷明细!$K$2:$K$50000,"致命")+COUNTIFS(缺陷明细!$A$2:$A$50000,$B$4,缺陷明细!$G$2:$G$50000,$C5,缺陷明细!$Q$2:$Q$50000,"已关闭",缺陷明细!$J$2:$J$50000,"验收测试",缺陷明细!$K$2:$K$50000,"严重")</f>
        <v>0</v>
      </c>
      <c r="Y5" s="279">
        <f>COUNTIFS(缺陷明细!$A$2:$A$50000,$B$4,缺陷明细!$G$2:$G$50000,$C5,缺陷明细!$J$2:$J$50000,"运维测试",缺陷明细!$AB$2:$AB$50000,"&lt;&gt;丢弃",缺陷明细!$AB$2:$AB$50000,"&lt;&gt;设计如此",缺陷明细!$AB$2:$AB$50000,"&lt;&gt;重复Bug")</f>
        <v>0</v>
      </c>
      <c r="Z5" s="280">
        <f>COUNTIFS(缺陷明细!$A$2:$A$50000,$B$4,缺陷明细!$G$2:$G$50000,$C5,缺陷明细!$Q$2:$Q$50000,"已关闭",缺陷明细!$J$2:$J$50000,"运维测试")</f>
        <v>0</v>
      </c>
      <c r="AA5" s="274">
        <f>COUNTIFS(缺陷明细!$A$2:$A$50000,$B$4,缺陷明细!$G$2:$G$50000,$C5,缺陷明细!$J$2:$J$50000,"运维测试",缺陷明细!$K$2:$K$50000,"致命",缺陷明细!$AB$2:$AB$50000,"&lt;&gt;丢弃",缺陷明细!$AB$2:$AB$50000,"&lt;&gt;设计如此",缺陷明细!$AB$2:$AB$50000,"&lt;&gt;重复Bug")+COUNTIFS(缺陷明细!$A$2:$A$50000,$B$4,缺陷明细!$G$2:$G$50000,$C5,缺陷明细!$J$2:$J$50000,"运维测试",缺陷明细!$K$2:$K$50000,"严重",缺陷明细!$AB$2:$AB$50000,"&lt;&gt;丢弃",缺陷明细!$AB$2:$AB$50000,"&lt;&gt;设计如此",缺陷明细!$AB$2:$AB$50000,"&lt;&gt;重复Bug")</f>
        <v>0</v>
      </c>
      <c r="AB5" s="275">
        <f>COUNTIFS(缺陷明细!$A$2:$A$50000,$B$4,缺陷明细!$G$2:$G$50000,$C5,缺陷明细!$Q$2:$Q$50000,"已关闭",缺陷明细!$J$2:$J$50000,"运维测试",缺陷明细!$K$2:$K$50000,"致命")+COUNTIFS(缺陷明细!$A$2:$A$50000,$B$4,缺陷明细!$G$2:$G$50000,$C5,缺陷明细!$Q$2:$Q$50000,"已关闭",缺陷明细!$J$2:$J$50000,"运维测试",缺陷明细!$K$2:$K$50000,"严重")</f>
        <v>0</v>
      </c>
      <c r="AC5" s="68">
        <f>H5</f>
        <v>0</v>
      </c>
      <c r="AD5" s="60">
        <f>I5</f>
        <v>0</v>
      </c>
      <c r="AE5" s="60">
        <f>H5+J5</f>
        <v>0</v>
      </c>
      <c r="AF5" s="60">
        <f>I5+K5</f>
        <v>0</v>
      </c>
      <c r="AG5" s="60">
        <f>H5+J5+P5</f>
        <v>0</v>
      </c>
      <c r="AH5" s="60">
        <f>I5+K5+Q5</f>
        <v>0</v>
      </c>
      <c r="AI5" s="60">
        <f>Y5</f>
        <v>0</v>
      </c>
      <c r="AJ5" s="61">
        <f>Z5</f>
        <v>0</v>
      </c>
      <c r="AK5" s="143"/>
    </row>
    <row r="6" spans="1:37">
      <c r="A6">
        <v>2</v>
      </c>
      <c r="B6" s="57"/>
      <c r="C6" s="58"/>
      <c r="D6" s="83"/>
      <c r="E6" s="82"/>
      <c r="F6" s="158"/>
      <c r="G6" s="159"/>
      <c r="H6" s="281">
        <f>COUNTIFS(缺陷明细!$A$2:$A$50000,$B$4,缺陷明细!$G$2:$G$50000,$C6,缺陷明细!$J$2:$J$50000,"评审",缺陷明细!$AB$2:$AB$50000,"&lt;&gt;丢弃",缺陷明细!$AB$2:$AB$50000,"&lt;&gt;设计如此",缺陷明细!$AB$2:$AB$50000,"&lt;&gt;重复Bug")</f>
        <v>0</v>
      </c>
      <c r="I6" s="154">
        <f>COUNTIFS(缺陷明细!$A$2:$A$50000,$B$4,缺陷明细!$G$2:$G$50000,$C6,缺陷明细!$Q$2:$Q$50000,"已关闭",缺陷明细!$J$2:$J$50000,"评审")</f>
        <v>0</v>
      </c>
      <c r="J6" s="154">
        <f>COUNTIFS(缺陷明细!$A$2:$A$50000,$B$4,缺陷明细!$G$2:$G$50000,$C6,缺陷明细!$J$2:$J$50000,"单元测试",缺陷明细!$AB$2:$AB$50000,"&lt;&gt;丢弃",缺陷明细!$AB$2:$AB$50000,"&lt;&gt;设计如此",缺陷明细!$AB$2:$AB$50000,"&lt;&gt;重复Bug")</f>
        <v>0</v>
      </c>
      <c r="K6" s="155">
        <f>COUNTIFS(缺陷明细!$A$2:$A$50000,$B$4,缺陷明细!$G$2:$G$50000,$C6,缺陷明细!$Q$2:$Q$50000,"已关闭",缺陷明细!$J$2:$J$50000,"单元测试")</f>
        <v>0</v>
      </c>
      <c r="L6" s="156"/>
      <c r="M6" s="157"/>
      <c r="N6" s="72">
        <f>COUNTIFS(缺陷明细!$A$2:$A$50000,$B$4,缺陷明细!$G$2:$G$50000,$C6,缺陷明细!$J$2:$J$50000,"系统测试案例评审",缺陷明细!$AB$2:$AB$50000,"&lt;&gt;丢弃",缺陷明细!$AB$2:$AB$50000,"&lt;&gt;设计如此",缺陷明细!$AB$2:$AB$50000,"&lt;&gt;重复Bug")</f>
        <v>0</v>
      </c>
      <c r="O6" s="72">
        <f>COUNTIFS(缺陷明细!$A$2:$A$50000,$B$4,缺陷明细!$G$2:$G$50000,$C6,缺陷明细!$Q$2:$Q$50000,"已关闭",缺陷明细!$J$2:$J$50000,"系统测试案例评审")</f>
        <v>0</v>
      </c>
      <c r="P6" s="72">
        <f>COUNTIFS(缺陷明细!$A$2:$A$50000,$B$4,缺陷明细!$G$2:$G$50000,$C6,缺陷明细!$J$2:$J$50000,"系统测试",缺陷明细!$AB$2:$AB$50000,"&lt;&gt;丢弃",缺陷明细!$AB$2:$AB$50000,"&lt;&gt;设计如此",缺陷明细!$AB$2:$AB$50000,"&lt;&gt;重复Bug")</f>
        <v>0</v>
      </c>
      <c r="Q6" s="72">
        <f>COUNTIFS(缺陷明细!$A$2:$A$50000,$B$4,缺陷明细!$G$2:$G$50000,$C6,缺陷明细!$Q$2:$Q$50000,"已关闭",缺陷明细!$J$2:$J$50000,"系统测试")</f>
        <v>0</v>
      </c>
      <c r="R6" s="296">
        <f>COUNTIFS(缺陷明细!$A$2:$A$50000,$B$4,缺陷明细!$G$2:$G$50000,$C6,缺陷明细!$AB$2:$AB$50000,"丢弃",缺陷明细!$J$2:$J$50000,"系统测试")+COUNTIFS(缺陷明细!$A$2:$A$50000,$B$4,缺陷明细!$G$2:$G$50000,$C6,缺陷明细!$AB$2:$AB$50000,"设计如此",缺陷明细!$J$2:$J$50000,"系统测试")+COUNTIFS(缺陷明细!$A$2:$A$50000,$B$4,缺陷明细!$G$2:$G$50000,$C6,缺陷明细!$AB$2:$AB$50000,"重复Bug",缺陷明细!$J$2:$J$50000,"系统测试")</f>
        <v>0</v>
      </c>
      <c r="S6" s="72">
        <f>COUNTIFS(缺陷明细!$A$2:$A$50000,$B$4,缺陷明细!$G$2:$G$50000,$C6,缺陷明细!$J$2:$J$50000,"系统测试",缺陷明细!$K$2:$K$50000,"致命",缺陷明细!$AB$2:$AB$50000,"&lt;&gt;丢弃",缺陷明细!$AB$2:$AB$50000,"&lt;&gt;设计如此",缺陷明细!$AB$2:$AB$50000,"&lt;&gt;重复Bug")+COUNTIFS(缺陷明细!$A$2:$A$50000,$B$4,缺陷明细!$G$2:$G$50000,$C6,缺陷明细!$J$2:$J$50000,"系统测试",缺陷明细!$K$2:$K$50000,"严重",缺陷明细!$AB$2:$AB$50000,"&lt;&gt;丢弃",缺陷明细!$AB$2:$AB$50000,"&lt;&gt;设计如此",缺陷明细!$AB$2:$AB$50000,"&lt;&gt;重复Bug")</f>
        <v>0</v>
      </c>
      <c r="T6" s="73">
        <f>COUNTIFS(缺陷明细!$A$2:$A$50000,$B$4,缺陷明细!$G$2:$G$50000,$C6,缺陷明细!$Q$2:$Q$50000,"已关闭",缺陷明细!$J$2:$J$50000,"系统测试",缺陷明细!$K$2:$K$50000,"致命")+COUNTIFS(缺陷明细!$A$2:$A$50000,$B$4,缺陷明细!$G$2:$G$50000,$C6,缺陷明细!$Q$2:$Q$50000,"已关闭",缺陷明细!$J$2:$J$50000,"系统测试",缺陷明细!$K$2:$K$50000,"严重")</f>
        <v>0</v>
      </c>
      <c r="U6" s="74">
        <f>COUNTIFS(缺陷明细!$A$2:$A$50000,$B$4,缺陷明细!$G$2:$G$50000,$C6,缺陷明细!$J$2:$J$50000,"验收测试",缺陷明细!$AB$2:$AB$50000,"&lt;&gt;丢弃",缺陷明细!$AB$2:$AB$50000,"&lt;&gt;设计如此",缺陷明细!$AB$2:$AB$50000,"&lt;&gt;重复Bug")</f>
        <v>0</v>
      </c>
      <c r="V6" s="75">
        <f>COUNTIFS(缺陷明细!$A$2:$A$50000,$B$4,缺陷明细!$G$2:$G$50000,$C6,缺陷明细!$Q$2:$Q$50000,"已关闭",缺陷明细!$J$2:$J$50000,"验收测试")</f>
        <v>0</v>
      </c>
      <c r="W6" s="75">
        <f>COUNTIFS(缺陷明细!$A$2:$A$50000,$B$4,缺陷明细!$G$2:$G$50000,$C6,缺陷明细!$J$2:$J$50000,"验收测试",缺陷明细!$K$2:$K$50000,"致命",缺陷明细!$AB$2:$AB$50000,"&lt;&gt;丢弃",缺陷明细!$AB$2:$AB$50000,"&lt;&gt;设计如此",缺陷明细!$AB$2:$AB$50000,"&lt;&gt;重复Bug")+COUNTIFS(缺陷明细!$A$2:$A$50000,$B$4,缺陷明细!$G$2:$G$50000,$C6,缺陷明细!$J$2:$J$50000,"验收测试",缺陷明细!$K$2:$K$50000,"严重",缺陷明细!$AB$2:$AB$50000,"&lt;&gt;丢弃",缺陷明细!$AB$2:$AB$50000,"&lt;&gt;设计如此",缺陷明细!$AB$2:$AB$50000,"&lt;&gt;重复Bug")</f>
        <v>0</v>
      </c>
      <c r="X6" s="76">
        <f>COUNTIFS(缺陷明细!$A$2:$A$50000,$B$4,缺陷明细!$G$2:$G$50000,$C6,缺陷明细!$Q$2:$Q$50000,"已关闭",缺陷明细!$J$2:$J$50000,"验收测试",缺陷明细!$K$2:$K$50000,"致命")+COUNTIFS(缺陷明细!$A$2:$A$50000,$B$4,缺陷明细!$G$2:$G$50000,$C6,缺陷明细!$Q$2:$Q$50000,"已关闭",缺陷明细!$J$2:$J$50000,"验收测试",缺陷明细!$K$2:$K$50000,"严重")</f>
        <v>0</v>
      </c>
      <c r="Y6" s="70">
        <f>COUNTIFS(缺陷明细!$A$2:$A$50000,$B$4,缺陷明细!$G$2:$G$50000,$C6,缺陷明细!$J$2:$J$50000,"运维测试",缺陷明细!$AB$2:$AB$50000,"&lt;&gt;丢弃",缺陷明细!$AB$2:$AB$50000,"&lt;&gt;设计如此",缺陷明细!$AB$2:$AB$50000,"&lt;&gt;重复Bug")</f>
        <v>0</v>
      </c>
      <c r="Z6" s="71">
        <f>COUNTIFS(缺陷明细!$A$2:$A$50000,$B$4,缺陷明细!$G$2:$G$50000,$C6,缺陷明细!$Q$2:$Q$50000,"已关闭",缺陷明细!$J$2:$J$50000,"运维测试")</f>
        <v>0</v>
      </c>
      <c r="AA6" s="72">
        <f>COUNTIFS(缺陷明细!$A$2:$A$50000,$B$4,缺陷明细!$G$2:$G$50000,$C6,缺陷明细!$J$2:$J$50000,"运维测试",缺陷明细!$K$2:$K$50000,"致命",缺陷明细!$AB$2:$AB$50000,"&lt;&gt;丢弃",缺陷明细!$AB$2:$AB$50000,"&lt;&gt;设计如此",缺陷明细!$AB$2:$AB$50000,"&lt;&gt;重复Bug")+COUNTIFS(缺陷明细!$A$2:$A$50000,$B$4,缺陷明细!$G$2:$G$50000,$C6,缺陷明细!$J$2:$J$50000,"运维测试",缺陷明细!$K$2:$K$50000,"严重",缺陷明细!$AB$2:$AB$50000,"&lt;&gt;丢弃",缺陷明细!$AB$2:$AB$50000,"&lt;&gt;设计如此",缺陷明细!$AB$2:$AB$50000,"&lt;&gt;重复Bug")</f>
        <v>0</v>
      </c>
      <c r="AB6" s="73">
        <f>COUNTIFS(缺陷明细!$A$2:$A$50000,$B$4,缺陷明细!$G$2:$G$50000,$C6,缺陷明细!$Q$2:$Q$50000,"已关闭",缺陷明细!$J$2:$J$50000,"运维测试",缺陷明细!$K$2:$K$50000,"致命")+COUNTIFS(缺陷明细!$A$2:$A$50000,$B$4,缺陷明细!$G$2:$G$50000,$C6,缺陷明细!$Q$2:$Q$50000,"已关闭",缺陷明细!$J$2:$J$50000,"运维测试",缺陷明细!$K$2:$K$50000,"严重")</f>
        <v>0</v>
      </c>
      <c r="AC6" s="68">
        <f t="shared" ref="AC6:AD55" si="0">H6</f>
        <v>0</v>
      </c>
      <c r="AD6" s="60">
        <f t="shared" si="0"/>
        <v>0</v>
      </c>
      <c r="AE6" s="60">
        <f t="shared" ref="AE6:AF55" si="1">H6+J6</f>
        <v>0</v>
      </c>
      <c r="AF6" s="60">
        <f t="shared" si="1"/>
        <v>0</v>
      </c>
      <c r="AG6" s="60">
        <f t="shared" ref="AG6:AH55" si="2">H6+J6+P6</f>
        <v>0</v>
      </c>
      <c r="AH6" s="60">
        <f t="shared" si="2"/>
        <v>0</v>
      </c>
      <c r="AI6" s="60">
        <f t="shared" ref="AI6:AJ55" si="3">Y6</f>
        <v>0</v>
      </c>
      <c r="AJ6" s="61">
        <f t="shared" si="3"/>
        <v>0</v>
      </c>
      <c r="AK6" s="144"/>
    </row>
    <row r="7" spans="1:37">
      <c r="A7">
        <v>3</v>
      </c>
      <c r="B7" s="57"/>
      <c r="C7" s="58"/>
      <c r="D7" s="83"/>
      <c r="E7" s="82"/>
      <c r="F7" s="158"/>
      <c r="G7" s="159"/>
      <c r="H7" s="281">
        <f>COUNTIFS(缺陷明细!$A$2:$A$50000,$B$4,缺陷明细!$G$2:$G$50000,$C7,缺陷明细!$J$2:$J$50000,"评审",缺陷明细!$AB$2:$AB$50000,"&lt;&gt;丢弃",缺陷明细!$AB$2:$AB$50000,"&lt;&gt;设计如此",缺陷明细!$AB$2:$AB$50000,"&lt;&gt;重复Bug")</f>
        <v>0</v>
      </c>
      <c r="I7" s="154">
        <f>COUNTIFS(缺陷明细!$A$2:$A$50000,$B$4,缺陷明细!$G$2:$G$50000,$C7,缺陷明细!$Q$2:$Q$50000,"已关闭",缺陷明细!$J$2:$J$50000,"评审")</f>
        <v>0</v>
      </c>
      <c r="J7" s="154">
        <f>COUNTIFS(缺陷明细!$A$2:$A$50000,$B$4,缺陷明细!$G$2:$G$50000,$C7,缺陷明细!$J$2:$J$50000,"单元测试",缺陷明细!$AB$2:$AB$50000,"&lt;&gt;丢弃",缺陷明细!$AB$2:$AB$50000,"&lt;&gt;设计如此",缺陷明细!$AB$2:$AB$50000,"&lt;&gt;重复Bug")</f>
        <v>0</v>
      </c>
      <c r="K7" s="155">
        <f>COUNTIFS(缺陷明细!$A$2:$A$50000,$B$4,缺陷明细!$G$2:$G$50000,$C7,缺陷明细!$Q$2:$Q$50000,"已关闭",缺陷明细!$J$2:$J$50000,"单元测试")</f>
        <v>0</v>
      </c>
      <c r="L7" s="156"/>
      <c r="M7" s="157"/>
      <c r="N7" s="72">
        <f>COUNTIFS(缺陷明细!$A$2:$A$50000,$B$4,缺陷明细!$G$2:$G$50000,$C7,缺陷明细!$J$2:$J$50000,"系统测试案例评审",缺陷明细!$AB$2:$AB$50000,"&lt;&gt;丢弃",缺陷明细!$AB$2:$AB$50000,"&lt;&gt;设计如此",缺陷明细!$AB$2:$AB$50000,"&lt;&gt;重复Bug")</f>
        <v>0</v>
      </c>
      <c r="O7" s="72">
        <f>COUNTIFS(缺陷明细!$A$2:$A$50000,$B$4,缺陷明细!$G$2:$G$50000,$C7,缺陷明细!$Q$2:$Q$50000,"已关闭",缺陷明细!$J$2:$J$50000,"系统测试案例评审")</f>
        <v>0</v>
      </c>
      <c r="P7" s="72">
        <f>COUNTIFS(缺陷明细!$A$2:$A$50000,$B$4,缺陷明细!$G$2:$G$50000,$C7,缺陷明细!$J$2:$J$50000,"系统测试",缺陷明细!$AB$2:$AB$50000,"&lt;&gt;丢弃",缺陷明细!$AB$2:$AB$50000,"&lt;&gt;设计如此",缺陷明细!$AB$2:$AB$50000,"&lt;&gt;重复Bug")</f>
        <v>0</v>
      </c>
      <c r="Q7" s="72">
        <f>COUNTIFS(缺陷明细!$A$2:$A$50000,$B$4,缺陷明细!$G$2:$G$50000,$C7,缺陷明细!$Q$2:$Q$50000,"已关闭",缺陷明细!$J$2:$J$50000,"系统测试")</f>
        <v>0</v>
      </c>
      <c r="R7" s="296">
        <f>COUNTIFS(缺陷明细!$A$2:$A$50000,$B$4,缺陷明细!$G$2:$G$50000,$C7,缺陷明细!$AB$2:$AB$50000,"丢弃",缺陷明细!$J$2:$J$50000,"系统测试")+COUNTIFS(缺陷明细!$A$2:$A$50000,$B$4,缺陷明细!$G$2:$G$50000,$C7,缺陷明细!$AB$2:$AB$50000,"设计如此",缺陷明细!$J$2:$J$50000,"系统测试")+COUNTIFS(缺陷明细!$A$2:$A$50000,$B$4,缺陷明细!$G$2:$G$50000,$C7,缺陷明细!$AB$2:$AB$50000,"重复Bug",缺陷明细!$J$2:$J$50000,"系统测试")</f>
        <v>0</v>
      </c>
      <c r="S7" s="72">
        <f>COUNTIFS(缺陷明细!$A$2:$A$50000,$B$4,缺陷明细!$G$2:$G$50000,$C7,缺陷明细!$J$2:$J$50000,"系统测试",缺陷明细!$K$2:$K$50000,"致命",缺陷明细!$AB$2:$AB$50000,"&lt;&gt;丢弃",缺陷明细!$AB$2:$AB$50000,"&lt;&gt;设计如此",缺陷明细!$AB$2:$AB$50000,"&lt;&gt;重复Bug")+COUNTIFS(缺陷明细!$A$2:$A$50000,$B$4,缺陷明细!$G$2:$G$50000,$C7,缺陷明细!$J$2:$J$50000,"系统测试",缺陷明细!$K$2:$K$50000,"严重",缺陷明细!$AB$2:$AB$50000,"&lt;&gt;丢弃",缺陷明细!$AB$2:$AB$50000,"&lt;&gt;设计如此",缺陷明细!$AB$2:$AB$50000,"&lt;&gt;重复Bug")</f>
        <v>0</v>
      </c>
      <c r="T7" s="73">
        <f>COUNTIFS(缺陷明细!$A$2:$A$50000,$B$4,缺陷明细!$G$2:$G$50000,$C7,缺陷明细!$Q$2:$Q$50000,"已关闭",缺陷明细!$J$2:$J$50000,"系统测试",缺陷明细!$K$2:$K$50000,"致命")+COUNTIFS(缺陷明细!$A$2:$A$50000,$B$4,缺陷明细!$G$2:$G$50000,$C7,缺陷明细!$Q$2:$Q$50000,"已关闭",缺陷明细!$J$2:$J$50000,"系统测试",缺陷明细!$K$2:$K$50000,"严重")</f>
        <v>0</v>
      </c>
      <c r="U7" s="74">
        <f>COUNTIFS(缺陷明细!$A$2:$A$50000,$B$4,缺陷明细!$G$2:$G$50000,$C7,缺陷明细!$J$2:$J$50000,"验收测试",缺陷明细!$AB$2:$AB$50000,"&lt;&gt;丢弃",缺陷明细!$AB$2:$AB$50000,"&lt;&gt;设计如此",缺陷明细!$AB$2:$AB$50000,"&lt;&gt;重复Bug")</f>
        <v>0</v>
      </c>
      <c r="V7" s="75">
        <f>COUNTIFS(缺陷明细!$A$2:$A$50000,$B$4,缺陷明细!$G$2:$G$50000,$C7,缺陷明细!$Q$2:$Q$50000,"已关闭",缺陷明细!$J$2:$J$50000,"验收测试")</f>
        <v>0</v>
      </c>
      <c r="W7" s="75">
        <f>COUNTIFS(缺陷明细!$A$2:$A$50000,$B$4,缺陷明细!$G$2:$G$50000,$C7,缺陷明细!$J$2:$J$50000,"验收测试",缺陷明细!$K$2:$K$50000,"致命",缺陷明细!$AB$2:$AB$50000,"&lt;&gt;丢弃",缺陷明细!$AB$2:$AB$50000,"&lt;&gt;设计如此",缺陷明细!$AB$2:$AB$50000,"&lt;&gt;重复Bug")+COUNTIFS(缺陷明细!$A$2:$A$50000,$B$4,缺陷明细!$G$2:$G$50000,$C7,缺陷明细!$J$2:$J$50000,"验收测试",缺陷明细!$K$2:$K$50000,"严重",缺陷明细!$AB$2:$AB$50000,"&lt;&gt;丢弃",缺陷明细!$AB$2:$AB$50000,"&lt;&gt;设计如此",缺陷明细!$AB$2:$AB$50000,"&lt;&gt;重复Bug")</f>
        <v>0</v>
      </c>
      <c r="X7" s="76">
        <f>COUNTIFS(缺陷明细!$A$2:$A$50000,$B$4,缺陷明细!$G$2:$G$50000,$C7,缺陷明细!$Q$2:$Q$50000,"已关闭",缺陷明细!$J$2:$J$50000,"验收测试",缺陷明细!$K$2:$K$50000,"致命")+COUNTIFS(缺陷明细!$A$2:$A$50000,$B$4,缺陷明细!$G$2:$G$50000,$C7,缺陷明细!$Q$2:$Q$50000,"已关闭",缺陷明细!$J$2:$J$50000,"验收测试",缺陷明细!$K$2:$K$50000,"严重")</f>
        <v>0</v>
      </c>
      <c r="Y7" s="70">
        <f>COUNTIFS(缺陷明细!$A$2:$A$50000,$B$4,缺陷明细!$G$2:$G$50000,$C7,缺陷明细!$J$2:$J$50000,"运维测试",缺陷明细!$AB$2:$AB$50000,"&lt;&gt;丢弃",缺陷明细!$AB$2:$AB$50000,"&lt;&gt;设计如此",缺陷明细!$AB$2:$AB$50000,"&lt;&gt;重复Bug")</f>
        <v>0</v>
      </c>
      <c r="Z7" s="71">
        <f>COUNTIFS(缺陷明细!$A$2:$A$50000,$B$4,缺陷明细!$G$2:$G$50000,$C7,缺陷明细!$Q$2:$Q$50000,"已关闭",缺陷明细!$J$2:$J$50000,"运维测试")</f>
        <v>0</v>
      </c>
      <c r="AA7" s="72">
        <f>COUNTIFS(缺陷明细!$A$2:$A$50000,$B$4,缺陷明细!$G$2:$G$50000,$C7,缺陷明细!$J$2:$J$50000,"运维测试",缺陷明细!$K$2:$K$50000,"致命",缺陷明细!$AB$2:$AB$50000,"&lt;&gt;丢弃",缺陷明细!$AB$2:$AB$50000,"&lt;&gt;设计如此",缺陷明细!$AB$2:$AB$50000,"&lt;&gt;重复Bug")+COUNTIFS(缺陷明细!$A$2:$A$50000,$B$4,缺陷明细!$G$2:$G$50000,$C7,缺陷明细!$J$2:$J$50000,"运维测试",缺陷明细!$K$2:$K$50000,"严重",缺陷明细!$AB$2:$AB$50000,"&lt;&gt;丢弃",缺陷明细!$AB$2:$AB$50000,"&lt;&gt;设计如此",缺陷明细!$AB$2:$AB$50000,"&lt;&gt;重复Bug")</f>
        <v>0</v>
      </c>
      <c r="AB7" s="73">
        <f>COUNTIFS(缺陷明细!$A$2:$A$50000,$B$4,缺陷明细!$G$2:$G$50000,$C7,缺陷明细!$Q$2:$Q$50000,"已关闭",缺陷明细!$J$2:$J$50000,"运维测试",缺陷明细!$K$2:$K$50000,"致命")+COUNTIFS(缺陷明细!$A$2:$A$50000,$B$4,缺陷明细!$G$2:$G$50000,$C7,缺陷明细!$Q$2:$Q$50000,"已关闭",缺陷明细!$J$2:$J$50000,"运维测试",缺陷明细!$K$2:$K$50000,"严重")</f>
        <v>0</v>
      </c>
      <c r="AC7" s="68">
        <f t="shared" si="0"/>
        <v>0</v>
      </c>
      <c r="AD7" s="60">
        <f t="shared" si="0"/>
        <v>0</v>
      </c>
      <c r="AE7" s="60">
        <f t="shared" si="1"/>
        <v>0</v>
      </c>
      <c r="AF7" s="60">
        <f t="shared" si="1"/>
        <v>0</v>
      </c>
      <c r="AG7" s="60">
        <f t="shared" si="2"/>
        <v>0</v>
      </c>
      <c r="AH7" s="60">
        <f t="shared" si="2"/>
        <v>0</v>
      </c>
      <c r="AI7" s="60">
        <f t="shared" si="3"/>
        <v>0</v>
      </c>
      <c r="AJ7" s="61">
        <f t="shared" si="3"/>
        <v>0</v>
      </c>
      <c r="AK7" s="144"/>
    </row>
    <row r="8" spans="1:37">
      <c r="A8">
        <v>4</v>
      </c>
      <c r="B8" s="57"/>
      <c r="C8" s="58"/>
      <c r="D8" s="83"/>
      <c r="E8" s="82"/>
      <c r="F8" s="158"/>
      <c r="G8" s="159"/>
      <c r="H8" s="281">
        <f>COUNTIFS(缺陷明细!$A$2:$A$50000,$B$4,缺陷明细!$G$2:$G$50000,$C8,缺陷明细!$J$2:$J$50000,"评审",缺陷明细!$AB$2:$AB$50000,"&lt;&gt;丢弃",缺陷明细!$AB$2:$AB$50000,"&lt;&gt;设计如此",缺陷明细!$AB$2:$AB$50000,"&lt;&gt;重复Bug")</f>
        <v>0</v>
      </c>
      <c r="I8" s="154">
        <f>COUNTIFS(缺陷明细!$A$2:$A$50000,$B$4,缺陷明细!$G$2:$G$50000,$C8,缺陷明细!$Q$2:$Q$50000,"已关闭",缺陷明细!$J$2:$J$50000,"评审")</f>
        <v>0</v>
      </c>
      <c r="J8" s="154">
        <f>COUNTIFS(缺陷明细!$A$2:$A$50000,$B$4,缺陷明细!$G$2:$G$50000,$C8,缺陷明细!$J$2:$J$50000,"单元测试",缺陷明细!$AB$2:$AB$50000,"&lt;&gt;丢弃",缺陷明细!$AB$2:$AB$50000,"&lt;&gt;设计如此",缺陷明细!$AB$2:$AB$50000,"&lt;&gt;重复Bug")</f>
        <v>0</v>
      </c>
      <c r="K8" s="155">
        <f>COUNTIFS(缺陷明细!$A$2:$A$50000,$B$4,缺陷明细!$G$2:$G$50000,$C8,缺陷明细!$Q$2:$Q$50000,"已关闭",缺陷明细!$J$2:$J$50000,"单元测试")</f>
        <v>0</v>
      </c>
      <c r="L8" s="156"/>
      <c r="M8" s="157"/>
      <c r="N8" s="72">
        <f>COUNTIFS(缺陷明细!$A$2:$A$50000,$B$4,缺陷明细!$G$2:$G$50000,$C8,缺陷明细!$J$2:$J$50000,"系统测试案例评审",缺陷明细!$AB$2:$AB$50000,"&lt;&gt;丢弃",缺陷明细!$AB$2:$AB$50000,"&lt;&gt;设计如此",缺陷明细!$AB$2:$AB$50000,"&lt;&gt;重复Bug")</f>
        <v>0</v>
      </c>
      <c r="O8" s="72">
        <f>COUNTIFS(缺陷明细!$A$2:$A$50000,$B$4,缺陷明细!$G$2:$G$50000,$C8,缺陷明细!$Q$2:$Q$50000,"已关闭",缺陷明细!$J$2:$J$50000,"系统测试案例评审")</f>
        <v>0</v>
      </c>
      <c r="P8" s="72">
        <f>COUNTIFS(缺陷明细!$A$2:$A$50000,$B$4,缺陷明细!$G$2:$G$50000,$C8,缺陷明细!$J$2:$J$50000,"系统测试",缺陷明细!$AB$2:$AB$50000,"&lt;&gt;丢弃",缺陷明细!$AB$2:$AB$50000,"&lt;&gt;设计如此",缺陷明细!$AB$2:$AB$50000,"&lt;&gt;重复Bug")</f>
        <v>0</v>
      </c>
      <c r="Q8" s="72">
        <f>COUNTIFS(缺陷明细!$A$2:$A$50000,$B$4,缺陷明细!$G$2:$G$50000,$C8,缺陷明细!$Q$2:$Q$50000,"已关闭",缺陷明细!$J$2:$J$50000,"系统测试")</f>
        <v>0</v>
      </c>
      <c r="R8" s="296">
        <f>COUNTIFS(缺陷明细!$A$2:$A$50000,$B$4,缺陷明细!$G$2:$G$50000,$C8,缺陷明细!$AB$2:$AB$50000,"丢弃",缺陷明细!$J$2:$J$50000,"系统测试")+COUNTIFS(缺陷明细!$A$2:$A$50000,$B$4,缺陷明细!$G$2:$G$50000,$C8,缺陷明细!$AB$2:$AB$50000,"设计如此",缺陷明细!$J$2:$J$50000,"系统测试")+COUNTIFS(缺陷明细!$A$2:$A$50000,$B$4,缺陷明细!$G$2:$G$50000,$C8,缺陷明细!$AB$2:$AB$50000,"重复Bug",缺陷明细!$J$2:$J$50000,"系统测试")</f>
        <v>0</v>
      </c>
      <c r="S8" s="72">
        <f>COUNTIFS(缺陷明细!$A$2:$A$50000,$B$4,缺陷明细!$G$2:$G$50000,$C8,缺陷明细!$J$2:$J$50000,"系统测试",缺陷明细!$K$2:$K$50000,"致命",缺陷明细!$AB$2:$AB$50000,"&lt;&gt;丢弃",缺陷明细!$AB$2:$AB$50000,"&lt;&gt;设计如此",缺陷明细!$AB$2:$AB$50000,"&lt;&gt;重复Bug")+COUNTIFS(缺陷明细!$A$2:$A$50000,$B$4,缺陷明细!$G$2:$G$50000,$C8,缺陷明细!$J$2:$J$50000,"系统测试",缺陷明细!$K$2:$K$50000,"严重",缺陷明细!$AB$2:$AB$50000,"&lt;&gt;丢弃",缺陷明细!$AB$2:$AB$50000,"&lt;&gt;设计如此",缺陷明细!$AB$2:$AB$50000,"&lt;&gt;重复Bug")</f>
        <v>0</v>
      </c>
      <c r="T8" s="73">
        <f>COUNTIFS(缺陷明细!$A$2:$A$50000,$B$4,缺陷明细!$G$2:$G$50000,$C8,缺陷明细!$Q$2:$Q$50000,"已关闭",缺陷明细!$J$2:$J$50000,"系统测试",缺陷明细!$K$2:$K$50000,"致命")+COUNTIFS(缺陷明细!$A$2:$A$50000,$B$4,缺陷明细!$G$2:$G$50000,$C8,缺陷明细!$Q$2:$Q$50000,"已关闭",缺陷明细!$J$2:$J$50000,"系统测试",缺陷明细!$K$2:$K$50000,"严重")</f>
        <v>0</v>
      </c>
      <c r="U8" s="74">
        <f>COUNTIFS(缺陷明细!$A$2:$A$50000,$B$4,缺陷明细!$G$2:$G$50000,$C8,缺陷明细!$J$2:$J$50000,"验收测试",缺陷明细!$AB$2:$AB$50000,"&lt;&gt;丢弃",缺陷明细!$AB$2:$AB$50000,"&lt;&gt;设计如此",缺陷明细!$AB$2:$AB$50000,"&lt;&gt;重复Bug")</f>
        <v>0</v>
      </c>
      <c r="V8" s="75">
        <f>COUNTIFS(缺陷明细!$A$2:$A$50000,$B$4,缺陷明细!$G$2:$G$50000,$C8,缺陷明细!$Q$2:$Q$50000,"已关闭",缺陷明细!$J$2:$J$50000,"验收测试")</f>
        <v>0</v>
      </c>
      <c r="W8" s="75">
        <f>COUNTIFS(缺陷明细!$A$2:$A$50000,$B$4,缺陷明细!$G$2:$G$50000,$C8,缺陷明细!$J$2:$J$50000,"验收测试",缺陷明细!$K$2:$K$50000,"致命",缺陷明细!$AB$2:$AB$50000,"&lt;&gt;丢弃",缺陷明细!$AB$2:$AB$50000,"&lt;&gt;设计如此",缺陷明细!$AB$2:$AB$50000,"&lt;&gt;重复Bug")+COUNTIFS(缺陷明细!$A$2:$A$50000,$B$4,缺陷明细!$G$2:$G$50000,$C8,缺陷明细!$J$2:$J$50000,"验收测试",缺陷明细!$K$2:$K$50000,"严重",缺陷明细!$AB$2:$AB$50000,"&lt;&gt;丢弃",缺陷明细!$AB$2:$AB$50000,"&lt;&gt;设计如此",缺陷明细!$AB$2:$AB$50000,"&lt;&gt;重复Bug")</f>
        <v>0</v>
      </c>
      <c r="X8" s="76">
        <f>COUNTIFS(缺陷明细!$A$2:$A$50000,$B$4,缺陷明细!$G$2:$G$50000,$C8,缺陷明细!$Q$2:$Q$50000,"已关闭",缺陷明细!$J$2:$J$50000,"验收测试",缺陷明细!$K$2:$K$50000,"致命")+COUNTIFS(缺陷明细!$A$2:$A$50000,$B$4,缺陷明细!$G$2:$G$50000,$C8,缺陷明细!$Q$2:$Q$50000,"已关闭",缺陷明细!$J$2:$J$50000,"验收测试",缺陷明细!$K$2:$K$50000,"严重")</f>
        <v>0</v>
      </c>
      <c r="Y8" s="70">
        <f>COUNTIFS(缺陷明细!$A$2:$A$50000,$B$4,缺陷明细!$G$2:$G$50000,$C8,缺陷明细!$J$2:$J$50000,"运维测试",缺陷明细!$AB$2:$AB$50000,"&lt;&gt;丢弃",缺陷明细!$AB$2:$AB$50000,"&lt;&gt;设计如此",缺陷明细!$AB$2:$AB$50000,"&lt;&gt;重复Bug")</f>
        <v>0</v>
      </c>
      <c r="Z8" s="71">
        <f>COUNTIFS(缺陷明细!$A$2:$A$50000,$B$4,缺陷明细!$G$2:$G$50000,$C8,缺陷明细!$Q$2:$Q$50000,"已关闭",缺陷明细!$J$2:$J$50000,"运维测试")</f>
        <v>0</v>
      </c>
      <c r="AA8" s="72">
        <f>COUNTIFS(缺陷明细!$A$2:$A$50000,$B$4,缺陷明细!$G$2:$G$50000,$C8,缺陷明细!$J$2:$J$50000,"运维测试",缺陷明细!$K$2:$K$50000,"致命",缺陷明细!$AB$2:$AB$50000,"&lt;&gt;丢弃",缺陷明细!$AB$2:$AB$50000,"&lt;&gt;设计如此",缺陷明细!$AB$2:$AB$50000,"&lt;&gt;重复Bug")+COUNTIFS(缺陷明细!$A$2:$A$50000,$B$4,缺陷明细!$G$2:$G$50000,$C8,缺陷明细!$J$2:$J$50000,"运维测试",缺陷明细!$K$2:$K$50000,"严重",缺陷明细!$AB$2:$AB$50000,"&lt;&gt;丢弃",缺陷明细!$AB$2:$AB$50000,"&lt;&gt;设计如此",缺陷明细!$AB$2:$AB$50000,"&lt;&gt;重复Bug")</f>
        <v>0</v>
      </c>
      <c r="AB8" s="73">
        <f>COUNTIFS(缺陷明细!$A$2:$A$50000,$B$4,缺陷明细!$G$2:$G$50000,$C8,缺陷明细!$Q$2:$Q$50000,"已关闭",缺陷明细!$J$2:$J$50000,"运维测试",缺陷明细!$K$2:$K$50000,"致命")+COUNTIFS(缺陷明细!$A$2:$A$50000,$B$4,缺陷明细!$G$2:$G$50000,$C8,缺陷明细!$Q$2:$Q$50000,"已关闭",缺陷明细!$J$2:$J$50000,"运维测试",缺陷明细!$K$2:$K$50000,"严重")</f>
        <v>0</v>
      </c>
      <c r="AC8" s="68">
        <f t="shared" si="0"/>
        <v>0</v>
      </c>
      <c r="AD8" s="60">
        <f t="shared" si="0"/>
        <v>0</v>
      </c>
      <c r="AE8" s="60">
        <f t="shared" si="1"/>
        <v>0</v>
      </c>
      <c r="AF8" s="60">
        <f t="shared" si="1"/>
        <v>0</v>
      </c>
      <c r="AG8" s="60">
        <f t="shared" si="2"/>
        <v>0</v>
      </c>
      <c r="AH8" s="60">
        <f t="shared" si="2"/>
        <v>0</v>
      </c>
      <c r="AI8" s="60">
        <f t="shared" si="3"/>
        <v>0</v>
      </c>
      <c r="AJ8" s="61">
        <f t="shared" si="3"/>
        <v>0</v>
      </c>
      <c r="AK8" s="144"/>
    </row>
    <row r="9" spans="1:37">
      <c r="A9">
        <v>5</v>
      </c>
      <c r="B9" s="57"/>
      <c r="C9" s="59"/>
      <c r="D9" s="84"/>
      <c r="E9" s="82"/>
      <c r="F9" s="160"/>
      <c r="G9" s="161"/>
      <c r="H9" s="281">
        <f>COUNTIFS(缺陷明细!$A$2:$A$50000,$B$4,缺陷明细!$G$2:$G$50000,$C9,缺陷明细!$J$2:$J$50000,"评审",缺陷明细!$AB$2:$AB$50000,"&lt;&gt;丢弃",缺陷明细!$AB$2:$AB$50000,"&lt;&gt;设计如此",缺陷明细!$AB$2:$AB$50000,"&lt;&gt;重复Bug")</f>
        <v>0</v>
      </c>
      <c r="I9" s="154">
        <f>COUNTIFS(缺陷明细!$A$2:$A$50000,$B$4,缺陷明细!$G$2:$G$50000,$C9,缺陷明细!$Q$2:$Q$50000,"已关闭",缺陷明细!$J$2:$J$50000,"评审")</f>
        <v>0</v>
      </c>
      <c r="J9" s="154">
        <f>COUNTIFS(缺陷明细!$A$2:$A$50000,$B$4,缺陷明细!$G$2:$G$50000,$C9,缺陷明细!$J$2:$J$50000,"单元测试",缺陷明细!$AB$2:$AB$50000,"&lt;&gt;丢弃",缺陷明细!$AB$2:$AB$50000,"&lt;&gt;设计如此",缺陷明细!$AB$2:$AB$50000,"&lt;&gt;重复Bug")</f>
        <v>0</v>
      </c>
      <c r="K9" s="155">
        <f>COUNTIFS(缺陷明细!$A$2:$A$50000,$B$4,缺陷明细!$G$2:$G$50000,$C9,缺陷明细!$Q$2:$Q$50000,"已关闭",缺陷明细!$J$2:$J$50000,"单元测试")</f>
        <v>0</v>
      </c>
      <c r="L9" s="156"/>
      <c r="M9" s="157"/>
      <c r="N9" s="72">
        <f>COUNTIFS(缺陷明细!$A$2:$A$50000,$B$4,缺陷明细!$G$2:$G$50000,$C9,缺陷明细!$J$2:$J$50000,"系统测试案例评审",缺陷明细!$AB$2:$AB$50000,"&lt;&gt;丢弃",缺陷明细!$AB$2:$AB$50000,"&lt;&gt;设计如此",缺陷明细!$AB$2:$AB$50000,"&lt;&gt;重复Bug")</f>
        <v>0</v>
      </c>
      <c r="O9" s="72">
        <f>COUNTIFS(缺陷明细!$A$2:$A$50000,$B$4,缺陷明细!$G$2:$G$50000,$C9,缺陷明细!$Q$2:$Q$50000,"已关闭",缺陷明细!$J$2:$J$50000,"系统测试案例评审")</f>
        <v>0</v>
      </c>
      <c r="P9" s="72">
        <f>COUNTIFS(缺陷明细!$A$2:$A$50000,$B$4,缺陷明细!$G$2:$G$50000,$C9,缺陷明细!$J$2:$J$50000,"系统测试",缺陷明细!$AB$2:$AB$50000,"&lt;&gt;丢弃",缺陷明细!$AB$2:$AB$50000,"&lt;&gt;设计如此",缺陷明细!$AB$2:$AB$50000,"&lt;&gt;重复Bug")</f>
        <v>0</v>
      </c>
      <c r="Q9" s="72">
        <f>COUNTIFS(缺陷明细!$A$2:$A$50000,$B$4,缺陷明细!$G$2:$G$50000,$C9,缺陷明细!$Q$2:$Q$50000,"已关闭",缺陷明细!$J$2:$J$50000,"系统测试")</f>
        <v>0</v>
      </c>
      <c r="R9" s="296">
        <f>COUNTIFS(缺陷明细!$A$2:$A$50000,$B$4,缺陷明细!$G$2:$G$50000,$C9,缺陷明细!$AB$2:$AB$50000,"丢弃",缺陷明细!$J$2:$J$50000,"系统测试")+COUNTIFS(缺陷明细!$A$2:$A$50000,$B$4,缺陷明细!$G$2:$G$50000,$C9,缺陷明细!$AB$2:$AB$50000,"设计如此",缺陷明细!$J$2:$J$50000,"系统测试")+COUNTIFS(缺陷明细!$A$2:$A$50000,$B$4,缺陷明细!$G$2:$G$50000,$C9,缺陷明细!$AB$2:$AB$50000,"重复Bug",缺陷明细!$J$2:$J$50000,"系统测试")</f>
        <v>0</v>
      </c>
      <c r="S9" s="72">
        <f>COUNTIFS(缺陷明细!$A$2:$A$50000,$B$4,缺陷明细!$G$2:$G$50000,$C9,缺陷明细!$J$2:$J$50000,"系统测试",缺陷明细!$K$2:$K$50000,"致命",缺陷明细!$AB$2:$AB$50000,"&lt;&gt;丢弃",缺陷明细!$AB$2:$AB$50000,"&lt;&gt;设计如此",缺陷明细!$AB$2:$AB$50000,"&lt;&gt;重复Bug")+COUNTIFS(缺陷明细!$A$2:$A$50000,$B$4,缺陷明细!$G$2:$G$50000,$C9,缺陷明细!$J$2:$J$50000,"系统测试",缺陷明细!$K$2:$K$50000,"严重",缺陷明细!$AB$2:$AB$50000,"&lt;&gt;丢弃",缺陷明细!$AB$2:$AB$50000,"&lt;&gt;设计如此",缺陷明细!$AB$2:$AB$50000,"&lt;&gt;重复Bug")</f>
        <v>0</v>
      </c>
      <c r="T9" s="73">
        <f>COUNTIFS(缺陷明细!$A$2:$A$50000,$B$4,缺陷明细!$G$2:$G$50000,$C9,缺陷明细!$Q$2:$Q$50000,"已关闭",缺陷明细!$J$2:$J$50000,"系统测试",缺陷明细!$K$2:$K$50000,"致命")+COUNTIFS(缺陷明细!$A$2:$A$50000,$B$4,缺陷明细!$G$2:$G$50000,$C9,缺陷明细!$Q$2:$Q$50000,"已关闭",缺陷明细!$J$2:$J$50000,"系统测试",缺陷明细!$K$2:$K$50000,"严重")</f>
        <v>0</v>
      </c>
      <c r="U9" s="74">
        <f>COUNTIFS(缺陷明细!$A$2:$A$50000,$B$4,缺陷明细!$G$2:$G$50000,$C9,缺陷明细!$J$2:$J$50000,"验收测试",缺陷明细!$AB$2:$AB$50000,"&lt;&gt;丢弃",缺陷明细!$AB$2:$AB$50000,"&lt;&gt;设计如此",缺陷明细!$AB$2:$AB$50000,"&lt;&gt;重复Bug")</f>
        <v>0</v>
      </c>
      <c r="V9" s="75">
        <f>COUNTIFS(缺陷明细!$A$2:$A$50000,$B$4,缺陷明细!$G$2:$G$50000,$C9,缺陷明细!$Q$2:$Q$50000,"已关闭",缺陷明细!$J$2:$J$50000,"验收测试")</f>
        <v>0</v>
      </c>
      <c r="W9" s="75">
        <f>COUNTIFS(缺陷明细!$A$2:$A$50000,$B$4,缺陷明细!$G$2:$G$50000,$C9,缺陷明细!$J$2:$J$50000,"验收测试",缺陷明细!$K$2:$K$50000,"致命",缺陷明细!$AB$2:$AB$50000,"&lt;&gt;丢弃",缺陷明细!$AB$2:$AB$50000,"&lt;&gt;设计如此",缺陷明细!$AB$2:$AB$50000,"&lt;&gt;重复Bug")+COUNTIFS(缺陷明细!$A$2:$A$50000,$B$4,缺陷明细!$G$2:$G$50000,$C9,缺陷明细!$J$2:$J$50000,"验收测试",缺陷明细!$K$2:$K$50000,"严重",缺陷明细!$AB$2:$AB$50000,"&lt;&gt;丢弃",缺陷明细!$AB$2:$AB$50000,"&lt;&gt;设计如此",缺陷明细!$AB$2:$AB$50000,"&lt;&gt;重复Bug")</f>
        <v>0</v>
      </c>
      <c r="X9" s="76">
        <f>COUNTIFS(缺陷明细!$A$2:$A$50000,$B$4,缺陷明细!$G$2:$G$50000,$C9,缺陷明细!$Q$2:$Q$50000,"已关闭",缺陷明细!$J$2:$J$50000,"验收测试",缺陷明细!$K$2:$K$50000,"致命")+COUNTIFS(缺陷明细!$A$2:$A$50000,$B$4,缺陷明细!$G$2:$G$50000,$C9,缺陷明细!$Q$2:$Q$50000,"已关闭",缺陷明细!$J$2:$J$50000,"验收测试",缺陷明细!$K$2:$K$50000,"严重")</f>
        <v>0</v>
      </c>
      <c r="Y9" s="70">
        <f>COUNTIFS(缺陷明细!$A$2:$A$50000,$B$4,缺陷明细!$G$2:$G$50000,$C9,缺陷明细!$J$2:$J$50000,"运维测试",缺陷明细!$AB$2:$AB$50000,"&lt;&gt;丢弃",缺陷明细!$AB$2:$AB$50000,"&lt;&gt;设计如此",缺陷明细!$AB$2:$AB$50000,"&lt;&gt;重复Bug")</f>
        <v>0</v>
      </c>
      <c r="Z9" s="71">
        <f>COUNTIFS(缺陷明细!$A$2:$A$50000,$B$4,缺陷明细!$G$2:$G$50000,$C9,缺陷明细!$Q$2:$Q$50000,"已关闭",缺陷明细!$J$2:$J$50000,"运维测试")</f>
        <v>0</v>
      </c>
      <c r="AA9" s="72">
        <f>COUNTIFS(缺陷明细!$A$2:$A$50000,$B$4,缺陷明细!$G$2:$G$50000,$C9,缺陷明细!$J$2:$J$50000,"运维测试",缺陷明细!$K$2:$K$50000,"致命",缺陷明细!$AB$2:$AB$50000,"&lt;&gt;丢弃",缺陷明细!$AB$2:$AB$50000,"&lt;&gt;设计如此",缺陷明细!$AB$2:$AB$50000,"&lt;&gt;重复Bug")+COUNTIFS(缺陷明细!$A$2:$A$50000,$B$4,缺陷明细!$G$2:$G$50000,$C9,缺陷明细!$J$2:$J$50000,"运维测试",缺陷明细!$K$2:$K$50000,"严重",缺陷明细!$AB$2:$AB$50000,"&lt;&gt;丢弃",缺陷明细!$AB$2:$AB$50000,"&lt;&gt;设计如此",缺陷明细!$AB$2:$AB$50000,"&lt;&gt;重复Bug")</f>
        <v>0</v>
      </c>
      <c r="AB9" s="73">
        <f>COUNTIFS(缺陷明细!$A$2:$A$50000,$B$4,缺陷明细!$G$2:$G$50000,$C9,缺陷明细!$Q$2:$Q$50000,"已关闭",缺陷明细!$J$2:$J$50000,"运维测试",缺陷明细!$K$2:$K$50000,"致命")+COUNTIFS(缺陷明细!$A$2:$A$50000,$B$4,缺陷明细!$G$2:$G$50000,$C9,缺陷明细!$Q$2:$Q$50000,"已关闭",缺陷明细!$J$2:$J$50000,"运维测试",缺陷明细!$K$2:$K$50000,"严重")</f>
        <v>0</v>
      </c>
      <c r="AC9" s="68">
        <f t="shared" si="0"/>
        <v>0</v>
      </c>
      <c r="AD9" s="60">
        <f t="shared" si="0"/>
        <v>0</v>
      </c>
      <c r="AE9" s="60">
        <f t="shared" si="1"/>
        <v>0</v>
      </c>
      <c r="AF9" s="60">
        <f t="shared" si="1"/>
        <v>0</v>
      </c>
      <c r="AG9" s="60">
        <f t="shared" si="2"/>
        <v>0</v>
      </c>
      <c r="AH9" s="60">
        <f t="shared" si="2"/>
        <v>0</v>
      </c>
      <c r="AI9" s="60">
        <f t="shared" si="3"/>
        <v>0</v>
      </c>
      <c r="AJ9" s="61">
        <f t="shared" si="3"/>
        <v>0</v>
      </c>
      <c r="AK9" s="144"/>
    </row>
    <row r="10" spans="1:37">
      <c r="A10">
        <v>6</v>
      </c>
      <c r="B10" s="57"/>
      <c r="C10" s="58"/>
      <c r="D10" s="84"/>
      <c r="E10" s="82"/>
      <c r="F10" s="158"/>
      <c r="G10" s="159"/>
      <c r="H10" s="281">
        <f>COUNTIFS(缺陷明细!$A$2:$A$50000,$B$4,缺陷明细!$G$2:$G$50000,$C10,缺陷明细!$J$2:$J$50000,"评审",缺陷明细!$AB$2:$AB$50000,"&lt;&gt;丢弃",缺陷明细!$AB$2:$AB$50000,"&lt;&gt;设计如此",缺陷明细!$AB$2:$AB$50000,"&lt;&gt;重复Bug")</f>
        <v>0</v>
      </c>
      <c r="I10" s="154">
        <f>COUNTIFS(缺陷明细!$A$2:$A$50000,$B$4,缺陷明细!$G$2:$G$50000,$C10,缺陷明细!$Q$2:$Q$50000,"已关闭",缺陷明细!$J$2:$J$50000,"评审")</f>
        <v>0</v>
      </c>
      <c r="J10" s="154">
        <f>COUNTIFS(缺陷明细!$A$2:$A$50000,$B$4,缺陷明细!$G$2:$G$50000,$C10,缺陷明细!$J$2:$J$50000,"单元测试",缺陷明细!$AB$2:$AB$50000,"&lt;&gt;丢弃",缺陷明细!$AB$2:$AB$50000,"&lt;&gt;设计如此",缺陷明细!$AB$2:$AB$50000,"&lt;&gt;重复Bug")</f>
        <v>0</v>
      </c>
      <c r="K10" s="155">
        <f>COUNTIFS(缺陷明细!$A$2:$A$50000,$B$4,缺陷明细!$G$2:$G$50000,$C10,缺陷明细!$Q$2:$Q$50000,"已关闭",缺陷明细!$J$2:$J$50000,"单元测试")</f>
        <v>0</v>
      </c>
      <c r="L10" s="156"/>
      <c r="M10" s="157"/>
      <c r="N10" s="72">
        <f>COUNTIFS(缺陷明细!$A$2:$A$50000,$B$4,缺陷明细!$G$2:$G$50000,$C10,缺陷明细!$J$2:$J$50000,"系统测试案例评审",缺陷明细!$AB$2:$AB$50000,"&lt;&gt;丢弃",缺陷明细!$AB$2:$AB$50000,"&lt;&gt;设计如此",缺陷明细!$AB$2:$AB$50000,"&lt;&gt;重复Bug")</f>
        <v>0</v>
      </c>
      <c r="O10" s="72">
        <f>COUNTIFS(缺陷明细!$A$2:$A$50000,$B$4,缺陷明细!$G$2:$G$50000,$C10,缺陷明细!$Q$2:$Q$50000,"已关闭",缺陷明细!$J$2:$J$50000,"系统测试案例评审")</f>
        <v>0</v>
      </c>
      <c r="P10" s="72">
        <f>COUNTIFS(缺陷明细!$A$2:$A$50000,$B$4,缺陷明细!$G$2:$G$50000,$C10,缺陷明细!$J$2:$J$50000,"系统测试",缺陷明细!$AB$2:$AB$50000,"&lt;&gt;丢弃",缺陷明细!$AB$2:$AB$50000,"&lt;&gt;设计如此",缺陷明细!$AB$2:$AB$50000,"&lt;&gt;重复Bug")</f>
        <v>0</v>
      </c>
      <c r="Q10" s="72">
        <f>COUNTIFS(缺陷明细!$A$2:$A$50000,$B$4,缺陷明细!$G$2:$G$50000,$C10,缺陷明细!$Q$2:$Q$50000,"已关闭",缺陷明细!$J$2:$J$50000,"系统测试")</f>
        <v>0</v>
      </c>
      <c r="R10" s="296">
        <f>COUNTIFS(缺陷明细!$A$2:$A$50000,$B$4,缺陷明细!$G$2:$G$50000,$C10,缺陷明细!$AB$2:$AB$50000,"丢弃",缺陷明细!$J$2:$J$50000,"系统测试")+COUNTIFS(缺陷明细!$A$2:$A$50000,$B$4,缺陷明细!$G$2:$G$50000,$C10,缺陷明细!$AB$2:$AB$50000,"设计如此",缺陷明细!$J$2:$J$50000,"系统测试")+COUNTIFS(缺陷明细!$A$2:$A$50000,$B$4,缺陷明细!$G$2:$G$50000,$C10,缺陷明细!$AB$2:$AB$50000,"重复Bug",缺陷明细!$J$2:$J$50000,"系统测试")</f>
        <v>0</v>
      </c>
      <c r="S10" s="72">
        <f>COUNTIFS(缺陷明细!$A$2:$A$50000,$B$4,缺陷明细!$G$2:$G$50000,$C10,缺陷明细!$J$2:$J$50000,"系统测试",缺陷明细!$K$2:$K$50000,"致命",缺陷明细!$AB$2:$AB$50000,"&lt;&gt;丢弃",缺陷明细!$AB$2:$AB$50000,"&lt;&gt;设计如此",缺陷明细!$AB$2:$AB$50000,"&lt;&gt;重复Bug")+COUNTIFS(缺陷明细!$A$2:$A$50000,$B$4,缺陷明细!$G$2:$G$50000,$C10,缺陷明细!$J$2:$J$50000,"系统测试",缺陷明细!$K$2:$K$50000,"严重",缺陷明细!$AB$2:$AB$50000,"&lt;&gt;丢弃",缺陷明细!$AB$2:$AB$50000,"&lt;&gt;设计如此",缺陷明细!$AB$2:$AB$50000,"&lt;&gt;重复Bug")</f>
        <v>0</v>
      </c>
      <c r="T10" s="73">
        <f>COUNTIFS(缺陷明细!$A$2:$A$50000,$B$4,缺陷明细!$G$2:$G$50000,$C10,缺陷明细!$Q$2:$Q$50000,"已关闭",缺陷明细!$J$2:$J$50000,"系统测试",缺陷明细!$K$2:$K$50000,"致命")+COUNTIFS(缺陷明细!$A$2:$A$50000,$B$4,缺陷明细!$G$2:$G$50000,$C10,缺陷明细!$Q$2:$Q$50000,"已关闭",缺陷明细!$J$2:$J$50000,"系统测试",缺陷明细!$K$2:$K$50000,"严重")</f>
        <v>0</v>
      </c>
      <c r="U10" s="74">
        <f>COUNTIFS(缺陷明细!$A$2:$A$50000,$B$4,缺陷明细!$G$2:$G$50000,$C10,缺陷明细!$J$2:$J$50000,"验收测试",缺陷明细!$AB$2:$AB$50000,"&lt;&gt;丢弃",缺陷明细!$AB$2:$AB$50000,"&lt;&gt;设计如此",缺陷明细!$AB$2:$AB$50000,"&lt;&gt;重复Bug")</f>
        <v>0</v>
      </c>
      <c r="V10" s="75">
        <f>COUNTIFS(缺陷明细!$A$2:$A$50000,$B$4,缺陷明细!$G$2:$G$50000,$C10,缺陷明细!$Q$2:$Q$50000,"已关闭",缺陷明细!$J$2:$J$50000,"验收测试")</f>
        <v>0</v>
      </c>
      <c r="W10" s="75">
        <f>COUNTIFS(缺陷明细!$A$2:$A$50000,$B$4,缺陷明细!$G$2:$G$50000,$C10,缺陷明细!$J$2:$J$50000,"验收测试",缺陷明细!$K$2:$K$50000,"致命",缺陷明细!$AB$2:$AB$50000,"&lt;&gt;丢弃",缺陷明细!$AB$2:$AB$50000,"&lt;&gt;设计如此",缺陷明细!$AB$2:$AB$50000,"&lt;&gt;重复Bug")+COUNTIFS(缺陷明细!$A$2:$A$50000,$B$4,缺陷明细!$G$2:$G$50000,$C10,缺陷明细!$J$2:$J$50000,"验收测试",缺陷明细!$K$2:$K$50000,"严重",缺陷明细!$AB$2:$AB$50000,"&lt;&gt;丢弃",缺陷明细!$AB$2:$AB$50000,"&lt;&gt;设计如此",缺陷明细!$AB$2:$AB$50000,"&lt;&gt;重复Bug")</f>
        <v>0</v>
      </c>
      <c r="X10" s="76">
        <f>COUNTIFS(缺陷明细!$A$2:$A$50000,$B$4,缺陷明细!$G$2:$G$50000,$C10,缺陷明细!$Q$2:$Q$50000,"已关闭",缺陷明细!$J$2:$J$50000,"验收测试",缺陷明细!$K$2:$K$50000,"致命")+COUNTIFS(缺陷明细!$A$2:$A$50000,$B$4,缺陷明细!$G$2:$G$50000,$C10,缺陷明细!$Q$2:$Q$50000,"已关闭",缺陷明细!$J$2:$J$50000,"验收测试",缺陷明细!$K$2:$K$50000,"严重")</f>
        <v>0</v>
      </c>
      <c r="Y10" s="70">
        <f>COUNTIFS(缺陷明细!$A$2:$A$50000,$B$4,缺陷明细!$G$2:$G$50000,$C10,缺陷明细!$J$2:$J$50000,"运维测试",缺陷明细!$AB$2:$AB$50000,"&lt;&gt;丢弃",缺陷明细!$AB$2:$AB$50000,"&lt;&gt;设计如此",缺陷明细!$AB$2:$AB$50000,"&lt;&gt;重复Bug")</f>
        <v>0</v>
      </c>
      <c r="Z10" s="71">
        <f>COUNTIFS(缺陷明细!$A$2:$A$50000,$B$4,缺陷明细!$G$2:$G$50000,$C10,缺陷明细!$Q$2:$Q$50000,"已关闭",缺陷明细!$J$2:$J$50000,"运维测试")</f>
        <v>0</v>
      </c>
      <c r="AA10" s="72">
        <f>COUNTIFS(缺陷明细!$A$2:$A$50000,$B$4,缺陷明细!$G$2:$G$50000,$C10,缺陷明细!$J$2:$J$50000,"运维测试",缺陷明细!$K$2:$K$50000,"致命",缺陷明细!$AB$2:$AB$50000,"&lt;&gt;丢弃",缺陷明细!$AB$2:$AB$50000,"&lt;&gt;设计如此",缺陷明细!$AB$2:$AB$50000,"&lt;&gt;重复Bug")+COUNTIFS(缺陷明细!$A$2:$A$50000,$B$4,缺陷明细!$G$2:$G$50000,$C10,缺陷明细!$J$2:$J$50000,"运维测试",缺陷明细!$K$2:$K$50000,"严重",缺陷明细!$AB$2:$AB$50000,"&lt;&gt;丢弃",缺陷明细!$AB$2:$AB$50000,"&lt;&gt;设计如此",缺陷明细!$AB$2:$AB$50000,"&lt;&gt;重复Bug")</f>
        <v>0</v>
      </c>
      <c r="AB10" s="73">
        <f>COUNTIFS(缺陷明细!$A$2:$A$50000,$B$4,缺陷明细!$G$2:$G$50000,$C10,缺陷明细!$Q$2:$Q$50000,"已关闭",缺陷明细!$J$2:$J$50000,"运维测试",缺陷明细!$K$2:$K$50000,"致命")+COUNTIFS(缺陷明细!$A$2:$A$50000,$B$4,缺陷明细!$G$2:$G$50000,$C10,缺陷明细!$Q$2:$Q$50000,"已关闭",缺陷明细!$J$2:$J$50000,"运维测试",缺陷明细!$K$2:$K$50000,"严重")</f>
        <v>0</v>
      </c>
      <c r="AC10" s="68">
        <f t="shared" si="0"/>
        <v>0</v>
      </c>
      <c r="AD10" s="60">
        <f t="shared" si="0"/>
        <v>0</v>
      </c>
      <c r="AE10" s="60">
        <f t="shared" si="1"/>
        <v>0</v>
      </c>
      <c r="AF10" s="60">
        <f t="shared" si="1"/>
        <v>0</v>
      </c>
      <c r="AG10" s="60">
        <f t="shared" si="2"/>
        <v>0</v>
      </c>
      <c r="AH10" s="60">
        <f t="shared" si="2"/>
        <v>0</v>
      </c>
      <c r="AI10" s="60">
        <f t="shared" si="3"/>
        <v>0</v>
      </c>
      <c r="AJ10" s="61">
        <f t="shared" si="3"/>
        <v>0</v>
      </c>
      <c r="AK10" s="144"/>
    </row>
    <row r="11" spans="1:37">
      <c r="A11">
        <v>7</v>
      </c>
      <c r="B11" s="57"/>
      <c r="C11" s="58"/>
      <c r="D11" s="84"/>
      <c r="E11" s="82"/>
      <c r="F11" s="158"/>
      <c r="G11" s="159"/>
      <c r="H11" s="281">
        <f>COUNTIFS(缺陷明细!$A$2:$A$50000,$B$4,缺陷明细!$G$2:$G$50000,$C11,缺陷明细!$J$2:$J$50000,"评审",缺陷明细!$AB$2:$AB$50000,"&lt;&gt;丢弃",缺陷明细!$AB$2:$AB$50000,"&lt;&gt;设计如此",缺陷明细!$AB$2:$AB$50000,"&lt;&gt;重复Bug")</f>
        <v>0</v>
      </c>
      <c r="I11" s="154">
        <f>COUNTIFS(缺陷明细!$A$2:$A$50000,$B$4,缺陷明细!$G$2:$G$50000,$C11,缺陷明细!$Q$2:$Q$50000,"已关闭",缺陷明细!$J$2:$J$50000,"评审")</f>
        <v>0</v>
      </c>
      <c r="J11" s="154">
        <f>COUNTIFS(缺陷明细!$A$2:$A$50000,$B$4,缺陷明细!$G$2:$G$50000,$C11,缺陷明细!$J$2:$J$50000,"单元测试",缺陷明细!$AB$2:$AB$50000,"&lt;&gt;丢弃",缺陷明细!$AB$2:$AB$50000,"&lt;&gt;设计如此",缺陷明细!$AB$2:$AB$50000,"&lt;&gt;重复Bug")</f>
        <v>0</v>
      </c>
      <c r="K11" s="155">
        <f>COUNTIFS(缺陷明细!$A$2:$A$50000,$B$4,缺陷明细!$G$2:$G$50000,$C11,缺陷明细!$Q$2:$Q$50000,"已关闭",缺陷明细!$J$2:$J$50000,"单元测试")</f>
        <v>0</v>
      </c>
      <c r="L11" s="156"/>
      <c r="M11" s="157"/>
      <c r="N11" s="72">
        <f>COUNTIFS(缺陷明细!$A$2:$A$50000,$B$4,缺陷明细!$G$2:$G$50000,$C11,缺陷明细!$J$2:$J$50000,"系统测试案例评审",缺陷明细!$AB$2:$AB$50000,"&lt;&gt;丢弃",缺陷明细!$AB$2:$AB$50000,"&lt;&gt;设计如此",缺陷明细!$AB$2:$AB$50000,"&lt;&gt;重复Bug")</f>
        <v>0</v>
      </c>
      <c r="O11" s="72">
        <f>COUNTIFS(缺陷明细!$A$2:$A$50000,$B$4,缺陷明细!$G$2:$G$50000,$C11,缺陷明细!$Q$2:$Q$50000,"已关闭",缺陷明细!$J$2:$J$50000,"系统测试案例评审")</f>
        <v>0</v>
      </c>
      <c r="P11" s="72">
        <f>COUNTIFS(缺陷明细!$A$2:$A$50000,$B$4,缺陷明细!$G$2:$G$50000,$C11,缺陷明细!$J$2:$J$50000,"系统测试",缺陷明细!$AB$2:$AB$50000,"&lt;&gt;丢弃",缺陷明细!$AB$2:$AB$50000,"&lt;&gt;设计如此",缺陷明细!$AB$2:$AB$50000,"&lt;&gt;重复Bug")</f>
        <v>0</v>
      </c>
      <c r="Q11" s="72">
        <f>COUNTIFS(缺陷明细!$A$2:$A$50000,$B$4,缺陷明细!$G$2:$G$50000,$C11,缺陷明细!$Q$2:$Q$50000,"已关闭",缺陷明细!$J$2:$J$50000,"系统测试")</f>
        <v>0</v>
      </c>
      <c r="R11" s="296">
        <f>COUNTIFS(缺陷明细!$A$2:$A$50000,$B$4,缺陷明细!$G$2:$G$50000,$C11,缺陷明细!$AB$2:$AB$50000,"丢弃",缺陷明细!$J$2:$J$50000,"系统测试")+COUNTIFS(缺陷明细!$A$2:$A$50000,$B$4,缺陷明细!$G$2:$G$50000,$C11,缺陷明细!$AB$2:$AB$50000,"设计如此",缺陷明细!$J$2:$J$50000,"系统测试")+COUNTIFS(缺陷明细!$A$2:$A$50000,$B$4,缺陷明细!$G$2:$G$50000,$C11,缺陷明细!$AB$2:$AB$50000,"重复Bug",缺陷明细!$J$2:$J$50000,"系统测试")</f>
        <v>0</v>
      </c>
      <c r="S11" s="72">
        <f>COUNTIFS(缺陷明细!$A$2:$A$50000,$B$4,缺陷明细!$G$2:$G$50000,$C11,缺陷明细!$J$2:$J$50000,"系统测试",缺陷明细!$K$2:$K$50000,"致命",缺陷明细!$AB$2:$AB$50000,"&lt;&gt;丢弃",缺陷明细!$AB$2:$AB$50000,"&lt;&gt;设计如此",缺陷明细!$AB$2:$AB$50000,"&lt;&gt;重复Bug")+COUNTIFS(缺陷明细!$A$2:$A$50000,$B$4,缺陷明细!$G$2:$G$50000,$C11,缺陷明细!$J$2:$J$50000,"系统测试",缺陷明细!$K$2:$K$50000,"严重",缺陷明细!$AB$2:$AB$50000,"&lt;&gt;丢弃",缺陷明细!$AB$2:$AB$50000,"&lt;&gt;设计如此",缺陷明细!$AB$2:$AB$50000,"&lt;&gt;重复Bug")</f>
        <v>0</v>
      </c>
      <c r="T11" s="73">
        <f>COUNTIFS(缺陷明细!$A$2:$A$50000,$B$4,缺陷明细!$G$2:$G$50000,$C11,缺陷明细!$Q$2:$Q$50000,"已关闭",缺陷明细!$J$2:$J$50000,"系统测试",缺陷明细!$K$2:$K$50000,"致命")+COUNTIFS(缺陷明细!$A$2:$A$50000,$B$4,缺陷明细!$G$2:$G$50000,$C11,缺陷明细!$Q$2:$Q$50000,"已关闭",缺陷明细!$J$2:$J$50000,"系统测试",缺陷明细!$K$2:$K$50000,"严重")</f>
        <v>0</v>
      </c>
      <c r="U11" s="74">
        <f>COUNTIFS(缺陷明细!$A$2:$A$50000,$B$4,缺陷明细!$G$2:$G$50000,$C11,缺陷明细!$J$2:$J$50000,"验收测试",缺陷明细!$AB$2:$AB$50000,"&lt;&gt;丢弃",缺陷明细!$AB$2:$AB$50000,"&lt;&gt;设计如此",缺陷明细!$AB$2:$AB$50000,"&lt;&gt;重复Bug")</f>
        <v>0</v>
      </c>
      <c r="V11" s="75">
        <f>COUNTIFS(缺陷明细!$A$2:$A$50000,$B$4,缺陷明细!$G$2:$G$50000,$C11,缺陷明细!$Q$2:$Q$50000,"已关闭",缺陷明细!$J$2:$J$50000,"验收测试")</f>
        <v>0</v>
      </c>
      <c r="W11" s="75">
        <f>COUNTIFS(缺陷明细!$A$2:$A$50000,$B$4,缺陷明细!$G$2:$G$50000,$C11,缺陷明细!$J$2:$J$50000,"验收测试",缺陷明细!$K$2:$K$50000,"致命",缺陷明细!$AB$2:$AB$50000,"&lt;&gt;丢弃",缺陷明细!$AB$2:$AB$50000,"&lt;&gt;设计如此",缺陷明细!$AB$2:$AB$50000,"&lt;&gt;重复Bug")+COUNTIFS(缺陷明细!$A$2:$A$50000,$B$4,缺陷明细!$G$2:$G$50000,$C11,缺陷明细!$J$2:$J$50000,"验收测试",缺陷明细!$K$2:$K$50000,"严重",缺陷明细!$AB$2:$AB$50000,"&lt;&gt;丢弃",缺陷明细!$AB$2:$AB$50000,"&lt;&gt;设计如此",缺陷明细!$AB$2:$AB$50000,"&lt;&gt;重复Bug")</f>
        <v>0</v>
      </c>
      <c r="X11" s="76">
        <f>COUNTIFS(缺陷明细!$A$2:$A$50000,$B$4,缺陷明细!$G$2:$G$50000,$C11,缺陷明细!$Q$2:$Q$50000,"已关闭",缺陷明细!$J$2:$J$50000,"验收测试",缺陷明细!$K$2:$K$50000,"致命")+COUNTIFS(缺陷明细!$A$2:$A$50000,$B$4,缺陷明细!$G$2:$G$50000,$C11,缺陷明细!$Q$2:$Q$50000,"已关闭",缺陷明细!$J$2:$J$50000,"验收测试",缺陷明细!$K$2:$K$50000,"严重")</f>
        <v>0</v>
      </c>
      <c r="Y11" s="70">
        <f>COUNTIFS(缺陷明细!$A$2:$A$50000,$B$4,缺陷明细!$G$2:$G$50000,$C11,缺陷明细!$J$2:$J$50000,"运维测试",缺陷明细!$AB$2:$AB$50000,"&lt;&gt;丢弃",缺陷明细!$AB$2:$AB$50000,"&lt;&gt;设计如此",缺陷明细!$AB$2:$AB$50000,"&lt;&gt;重复Bug")</f>
        <v>0</v>
      </c>
      <c r="Z11" s="71">
        <f>COUNTIFS(缺陷明细!$A$2:$A$50000,$B$4,缺陷明细!$G$2:$G$50000,$C11,缺陷明细!$Q$2:$Q$50000,"已关闭",缺陷明细!$J$2:$J$50000,"运维测试")</f>
        <v>0</v>
      </c>
      <c r="AA11" s="72">
        <f>COUNTIFS(缺陷明细!$A$2:$A$50000,$B$4,缺陷明细!$G$2:$G$50000,$C11,缺陷明细!$J$2:$J$50000,"运维测试",缺陷明细!$K$2:$K$50000,"致命",缺陷明细!$AB$2:$AB$50000,"&lt;&gt;丢弃",缺陷明细!$AB$2:$AB$50000,"&lt;&gt;设计如此",缺陷明细!$AB$2:$AB$50000,"&lt;&gt;重复Bug")+COUNTIFS(缺陷明细!$A$2:$A$50000,$B$4,缺陷明细!$G$2:$G$50000,$C11,缺陷明细!$J$2:$J$50000,"运维测试",缺陷明细!$K$2:$K$50000,"严重",缺陷明细!$AB$2:$AB$50000,"&lt;&gt;丢弃",缺陷明细!$AB$2:$AB$50000,"&lt;&gt;设计如此",缺陷明细!$AB$2:$AB$50000,"&lt;&gt;重复Bug")</f>
        <v>0</v>
      </c>
      <c r="AB11" s="73">
        <f>COUNTIFS(缺陷明细!$A$2:$A$50000,$B$4,缺陷明细!$G$2:$G$50000,$C11,缺陷明细!$Q$2:$Q$50000,"已关闭",缺陷明细!$J$2:$J$50000,"运维测试",缺陷明细!$K$2:$K$50000,"致命")+COUNTIFS(缺陷明细!$A$2:$A$50000,$B$4,缺陷明细!$G$2:$G$50000,$C11,缺陷明细!$Q$2:$Q$50000,"已关闭",缺陷明细!$J$2:$J$50000,"运维测试",缺陷明细!$K$2:$K$50000,"严重")</f>
        <v>0</v>
      </c>
      <c r="AC11" s="68">
        <f t="shared" si="0"/>
        <v>0</v>
      </c>
      <c r="AD11" s="60">
        <f t="shared" si="0"/>
        <v>0</v>
      </c>
      <c r="AE11" s="60">
        <f t="shared" si="1"/>
        <v>0</v>
      </c>
      <c r="AF11" s="60">
        <f t="shared" si="1"/>
        <v>0</v>
      </c>
      <c r="AG11" s="60">
        <f t="shared" si="2"/>
        <v>0</v>
      </c>
      <c r="AH11" s="60">
        <f t="shared" si="2"/>
        <v>0</v>
      </c>
      <c r="AI11" s="60">
        <f t="shared" si="3"/>
        <v>0</v>
      </c>
      <c r="AJ11" s="61">
        <f t="shared" si="3"/>
        <v>0</v>
      </c>
      <c r="AK11" s="144"/>
    </row>
    <row r="12" spans="1:37">
      <c r="A12">
        <v>8</v>
      </c>
      <c r="B12" s="57"/>
      <c r="C12" s="58"/>
      <c r="D12" s="84"/>
      <c r="E12" s="82"/>
      <c r="F12" s="158"/>
      <c r="G12" s="159"/>
      <c r="H12" s="281">
        <f>COUNTIFS(缺陷明细!$A$2:$A$50000,$B$4,缺陷明细!$G$2:$G$50000,$C12,缺陷明细!$J$2:$J$50000,"评审",缺陷明细!$AB$2:$AB$50000,"&lt;&gt;丢弃",缺陷明细!$AB$2:$AB$50000,"&lt;&gt;设计如此",缺陷明细!$AB$2:$AB$50000,"&lt;&gt;重复Bug")</f>
        <v>0</v>
      </c>
      <c r="I12" s="154">
        <f>COUNTIFS(缺陷明细!$A$2:$A$50000,$B$4,缺陷明细!$G$2:$G$50000,$C12,缺陷明细!$Q$2:$Q$50000,"已关闭",缺陷明细!$J$2:$J$50000,"评审")</f>
        <v>0</v>
      </c>
      <c r="J12" s="154">
        <f>COUNTIFS(缺陷明细!$A$2:$A$50000,$B$4,缺陷明细!$G$2:$G$50000,$C12,缺陷明细!$J$2:$J$50000,"单元测试",缺陷明细!$AB$2:$AB$50000,"&lt;&gt;丢弃",缺陷明细!$AB$2:$AB$50000,"&lt;&gt;设计如此",缺陷明细!$AB$2:$AB$50000,"&lt;&gt;重复Bug")</f>
        <v>0</v>
      </c>
      <c r="K12" s="155">
        <f>COUNTIFS(缺陷明细!$A$2:$A$50000,$B$4,缺陷明细!$G$2:$G$50000,$C12,缺陷明细!$Q$2:$Q$50000,"已关闭",缺陷明细!$J$2:$J$50000,"单元测试")</f>
        <v>0</v>
      </c>
      <c r="L12" s="156"/>
      <c r="M12" s="157"/>
      <c r="N12" s="72">
        <f>COUNTIFS(缺陷明细!$A$2:$A$50000,$B$4,缺陷明细!$G$2:$G$50000,$C12,缺陷明细!$J$2:$J$50000,"系统测试案例评审",缺陷明细!$AB$2:$AB$50000,"&lt;&gt;丢弃",缺陷明细!$AB$2:$AB$50000,"&lt;&gt;设计如此",缺陷明细!$AB$2:$AB$50000,"&lt;&gt;重复Bug")</f>
        <v>0</v>
      </c>
      <c r="O12" s="72">
        <f>COUNTIFS(缺陷明细!$A$2:$A$50000,$B$4,缺陷明细!$G$2:$G$50000,$C12,缺陷明细!$Q$2:$Q$50000,"已关闭",缺陷明细!$J$2:$J$50000,"系统测试案例评审")</f>
        <v>0</v>
      </c>
      <c r="P12" s="72">
        <f>COUNTIFS(缺陷明细!$A$2:$A$50000,$B$4,缺陷明细!$G$2:$G$50000,$C12,缺陷明细!$J$2:$J$50000,"系统测试",缺陷明细!$AB$2:$AB$50000,"&lt;&gt;丢弃",缺陷明细!$AB$2:$AB$50000,"&lt;&gt;设计如此",缺陷明细!$AB$2:$AB$50000,"&lt;&gt;重复Bug")</f>
        <v>0</v>
      </c>
      <c r="Q12" s="72">
        <f>COUNTIFS(缺陷明细!$A$2:$A$50000,$B$4,缺陷明细!$G$2:$G$50000,$C12,缺陷明细!$Q$2:$Q$50000,"已关闭",缺陷明细!$J$2:$J$50000,"系统测试")</f>
        <v>0</v>
      </c>
      <c r="R12" s="296">
        <f>COUNTIFS(缺陷明细!$A$2:$A$50000,$B$4,缺陷明细!$G$2:$G$50000,$C12,缺陷明细!$AB$2:$AB$50000,"丢弃",缺陷明细!$J$2:$J$50000,"系统测试")+COUNTIFS(缺陷明细!$A$2:$A$50000,$B$4,缺陷明细!$G$2:$G$50000,$C12,缺陷明细!$AB$2:$AB$50000,"设计如此",缺陷明细!$J$2:$J$50000,"系统测试")+COUNTIFS(缺陷明细!$A$2:$A$50000,$B$4,缺陷明细!$G$2:$G$50000,$C12,缺陷明细!$AB$2:$AB$50000,"重复Bug",缺陷明细!$J$2:$J$50000,"系统测试")</f>
        <v>0</v>
      </c>
      <c r="S12" s="72">
        <f>COUNTIFS(缺陷明细!$A$2:$A$50000,$B$4,缺陷明细!$G$2:$G$50000,$C12,缺陷明细!$J$2:$J$50000,"系统测试",缺陷明细!$K$2:$K$50000,"致命",缺陷明细!$AB$2:$AB$50000,"&lt;&gt;丢弃",缺陷明细!$AB$2:$AB$50000,"&lt;&gt;设计如此",缺陷明细!$AB$2:$AB$50000,"&lt;&gt;重复Bug")+COUNTIFS(缺陷明细!$A$2:$A$50000,$B$4,缺陷明细!$G$2:$G$50000,$C12,缺陷明细!$J$2:$J$50000,"系统测试",缺陷明细!$K$2:$K$50000,"严重",缺陷明细!$AB$2:$AB$50000,"&lt;&gt;丢弃",缺陷明细!$AB$2:$AB$50000,"&lt;&gt;设计如此",缺陷明细!$AB$2:$AB$50000,"&lt;&gt;重复Bug")</f>
        <v>0</v>
      </c>
      <c r="T12" s="73">
        <f>COUNTIFS(缺陷明细!$A$2:$A$50000,$B$4,缺陷明细!$G$2:$G$50000,$C12,缺陷明细!$Q$2:$Q$50000,"已关闭",缺陷明细!$J$2:$J$50000,"系统测试",缺陷明细!$K$2:$K$50000,"致命")+COUNTIFS(缺陷明细!$A$2:$A$50000,$B$4,缺陷明细!$G$2:$G$50000,$C12,缺陷明细!$Q$2:$Q$50000,"已关闭",缺陷明细!$J$2:$J$50000,"系统测试",缺陷明细!$K$2:$K$50000,"严重")</f>
        <v>0</v>
      </c>
      <c r="U12" s="74">
        <f>COUNTIFS(缺陷明细!$A$2:$A$50000,$B$4,缺陷明细!$G$2:$G$50000,$C12,缺陷明细!$J$2:$J$50000,"验收测试",缺陷明细!$AB$2:$AB$50000,"&lt;&gt;丢弃",缺陷明细!$AB$2:$AB$50000,"&lt;&gt;设计如此",缺陷明细!$AB$2:$AB$50000,"&lt;&gt;重复Bug")</f>
        <v>0</v>
      </c>
      <c r="V12" s="75">
        <f>COUNTIFS(缺陷明细!$A$2:$A$50000,$B$4,缺陷明细!$G$2:$G$50000,$C12,缺陷明细!$Q$2:$Q$50000,"已关闭",缺陷明细!$J$2:$J$50000,"验收测试")</f>
        <v>0</v>
      </c>
      <c r="W12" s="75">
        <f>COUNTIFS(缺陷明细!$A$2:$A$50000,$B$4,缺陷明细!$G$2:$G$50000,$C12,缺陷明细!$J$2:$J$50000,"验收测试",缺陷明细!$K$2:$K$50000,"致命",缺陷明细!$AB$2:$AB$50000,"&lt;&gt;丢弃",缺陷明细!$AB$2:$AB$50000,"&lt;&gt;设计如此",缺陷明细!$AB$2:$AB$50000,"&lt;&gt;重复Bug")+COUNTIFS(缺陷明细!$A$2:$A$50000,$B$4,缺陷明细!$G$2:$G$50000,$C12,缺陷明细!$J$2:$J$50000,"验收测试",缺陷明细!$K$2:$K$50000,"严重",缺陷明细!$AB$2:$AB$50000,"&lt;&gt;丢弃",缺陷明细!$AB$2:$AB$50000,"&lt;&gt;设计如此",缺陷明细!$AB$2:$AB$50000,"&lt;&gt;重复Bug")</f>
        <v>0</v>
      </c>
      <c r="X12" s="76">
        <f>COUNTIFS(缺陷明细!$A$2:$A$50000,$B$4,缺陷明细!$G$2:$G$50000,$C12,缺陷明细!$Q$2:$Q$50000,"已关闭",缺陷明细!$J$2:$J$50000,"验收测试",缺陷明细!$K$2:$K$50000,"致命")+COUNTIFS(缺陷明细!$A$2:$A$50000,$B$4,缺陷明细!$G$2:$G$50000,$C12,缺陷明细!$Q$2:$Q$50000,"已关闭",缺陷明细!$J$2:$J$50000,"验收测试",缺陷明细!$K$2:$K$50000,"严重")</f>
        <v>0</v>
      </c>
      <c r="Y12" s="70">
        <f>COUNTIFS(缺陷明细!$A$2:$A$50000,$B$4,缺陷明细!$G$2:$G$50000,$C12,缺陷明细!$J$2:$J$50000,"运维测试",缺陷明细!$AB$2:$AB$50000,"&lt;&gt;丢弃",缺陷明细!$AB$2:$AB$50000,"&lt;&gt;设计如此",缺陷明细!$AB$2:$AB$50000,"&lt;&gt;重复Bug")</f>
        <v>0</v>
      </c>
      <c r="Z12" s="71">
        <f>COUNTIFS(缺陷明细!$A$2:$A$50000,$B$4,缺陷明细!$G$2:$G$50000,$C12,缺陷明细!$Q$2:$Q$50000,"已关闭",缺陷明细!$J$2:$J$50000,"运维测试")</f>
        <v>0</v>
      </c>
      <c r="AA12" s="72">
        <f>COUNTIFS(缺陷明细!$A$2:$A$50000,$B$4,缺陷明细!$G$2:$G$50000,$C12,缺陷明细!$J$2:$J$50000,"运维测试",缺陷明细!$K$2:$K$50000,"致命",缺陷明细!$AB$2:$AB$50000,"&lt;&gt;丢弃",缺陷明细!$AB$2:$AB$50000,"&lt;&gt;设计如此",缺陷明细!$AB$2:$AB$50000,"&lt;&gt;重复Bug")+COUNTIFS(缺陷明细!$A$2:$A$50000,$B$4,缺陷明细!$G$2:$G$50000,$C12,缺陷明细!$J$2:$J$50000,"运维测试",缺陷明细!$K$2:$K$50000,"严重",缺陷明细!$AB$2:$AB$50000,"&lt;&gt;丢弃",缺陷明细!$AB$2:$AB$50000,"&lt;&gt;设计如此",缺陷明细!$AB$2:$AB$50000,"&lt;&gt;重复Bug")</f>
        <v>0</v>
      </c>
      <c r="AB12" s="73">
        <f>COUNTIFS(缺陷明细!$A$2:$A$50000,$B$4,缺陷明细!$G$2:$G$50000,$C12,缺陷明细!$Q$2:$Q$50000,"已关闭",缺陷明细!$J$2:$J$50000,"运维测试",缺陷明细!$K$2:$K$50000,"致命")+COUNTIFS(缺陷明细!$A$2:$A$50000,$B$4,缺陷明细!$G$2:$G$50000,$C12,缺陷明细!$Q$2:$Q$50000,"已关闭",缺陷明细!$J$2:$J$50000,"运维测试",缺陷明细!$K$2:$K$50000,"严重")</f>
        <v>0</v>
      </c>
      <c r="AC12" s="68">
        <f t="shared" si="0"/>
        <v>0</v>
      </c>
      <c r="AD12" s="60">
        <f t="shared" si="0"/>
        <v>0</v>
      </c>
      <c r="AE12" s="60">
        <f t="shared" si="1"/>
        <v>0</v>
      </c>
      <c r="AF12" s="60">
        <f t="shared" si="1"/>
        <v>0</v>
      </c>
      <c r="AG12" s="60">
        <f t="shared" si="2"/>
        <v>0</v>
      </c>
      <c r="AH12" s="60">
        <f t="shared" si="2"/>
        <v>0</v>
      </c>
      <c r="AI12" s="60">
        <f t="shared" si="3"/>
        <v>0</v>
      </c>
      <c r="AJ12" s="61">
        <f t="shared" si="3"/>
        <v>0</v>
      </c>
      <c r="AK12" s="144"/>
    </row>
    <row r="13" spans="1:37">
      <c r="A13">
        <v>9</v>
      </c>
      <c r="B13" s="57"/>
      <c r="C13" s="58"/>
      <c r="D13" s="84"/>
      <c r="E13" s="82"/>
      <c r="F13" s="158"/>
      <c r="G13" s="159"/>
      <c r="H13" s="281">
        <f>COUNTIFS(缺陷明细!$A$2:$A$50000,$B$4,缺陷明细!$G$2:$G$50000,$C13,缺陷明细!$J$2:$J$50000,"评审",缺陷明细!$AB$2:$AB$50000,"&lt;&gt;丢弃",缺陷明细!$AB$2:$AB$50000,"&lt;&gt;设计如此",缺陷明细!$AB$2:$AB$50000,"&lt;&gt;重复Bug")</f>
        <v>0</v>
      </c>
      <c r="I13" s="154">
        <f>COUNTIFS(缺陷明细!$A$2:$A$50000,$B$4,缺陷明细!$G$2:$G$50000,$C13,缺陷明细!$Q$2:$Q$50000,"已关闭",缺陷明细!$J$2:$J$50000,"评审")</f>
        <v>0</v>
      </c>
      <c r="J13" s="154">
        <f>COUNTIFS(缺陷明细!$A$2:$A$50000,$B$4,缺陷明细!$G$2:$G$50000,$C13,缺陷明细!$J$2:$J$50000,"单元测试",缺陷明细!$AB$2:$AB$50000,"&lt;&gt;丢弃",缺陷明细!$AB$2:$AB$50000,"&lt;&gt;设计如此",缺陷明细!$AB$2:$AB$50000,"&lt;&gt;重复Bug")</f>
        <v>0</v>
      </c>
      <c r="K13" s="155">
        <f>COUNTIFS(缺陷明细!$A$2:$A$50000,$B$4,缺陷明细!$G$2:$G$50000,$C13,缺陷明细!$Q$2:$Q$50000,"已关闭",缺陷明细!$J$2:$J$50000,"单元测试")</f>
        <v>0</v>
      </c>
      <c r="L13" s="156"/>
      <c r="M13" s="157"/>
      <c r="N13" s="72">
        <f>COUNTIFS(缺陷明细!$A$2:$A$50000,$B$4,缺陷明细!$G$2:$G$50000,$C13,缺陷明细!$J$2:$J$50000,"系统测试案例评审",缺陷明细!$AB$2:$AB$50000,"&lt;&gt;丢弃",缺陷明细!$AB$2:$AB$50000,"&lt;&gt;设计如此",缺陷明细!$AB$2:$AB$50000,"&lt;&gt;重复Bug")</f>
        <v>0</v>
      </c>
      <c r="O13" s="72">
        <f>COUNTIFS(缺陷明细!$A$2:$A$50000,$B$4,缺陷明细!$G$2:$G$50000,$C13,缺陷明细!$Q$2:$Q$50000,"已关闭",缺陷明细!$J$2:$J$50000,"系统测试案例评审")</f>
        <v>0</v>
      </c>
      <c r="P13" s="72">
        <f>COUNTIFS(缺陷明细!$A$2:$A$50000,$B$4,缺陷明细!$G$2:$G$50000,$C13,缺陷明细!$J$2:$J$50000,"系统测试",缺陷明细!$AB$2:$AB$50000,"&lt;&gt;丢弃",缺陷明细!$AB$2:$AB$50000,"&lt;&gt;设计如此",缺陷明细!$AB$2:$AB$50000,"&lt;&gt;重复Bug")</f>
        <v>0</v>
      </c>
      <c r="Q13" s="72">
        <f>COUNTIFS(缺陷明细!$A$2:$A$50000,$B$4,缺陷明细!$G$2:$G$50000,$C13,缺陷明细!$Q$2:$Q$50000,"已关闭",缺陷明细!$J$2:$J$50000,"系统测试")</f>
        <v>0</v>
      </c>
      <c r="R13" s="296">
        <f>COUNTIFS(缺陷明细!$A$2:$A$50000,$B$4,缺陷明细!$G$2:$G$50000,$C13,缺陷明细!$AB$2:$AB$50000,"丢弃",缺陷明细!$J$2:$J$50000,"系统测试")+COUNTIFS(缺陷明细!$A$2:$A$50000,$B$4,缺陷明细!$G$2:$G$50000,$C13,缺陷明细!$AB$2:$AB$50000,"设计如此",缺陷明细!$J$2:$J$50000,"系统测试")+COUNTIFS(缺陷明细!$A$2:$A$50000,$B$4,缺陷明细!$G$2:$G$50000,$C13,缺陷明细!$AB$2:$AB$50000,"重复Bug",缺陷明细!$J$2:$J$50000,"系统测试")</f>
        <v>0</v>
      </c>
      <c r="S13" s="72">
        <f>COUNTIFS(缺陷明细!$A$2:$A$50000,$B$4,缺陷明细!$G$2:$G$50000,$C13,缺陷明细!$J$2:$J$50000,"系统测试",缺陷明细!$K$2:$K$50000,"致命",缺陷明细!$AB$2:$AB$50000,"&lt;&gt;丢弃",缺陷明细!$AB$2:$AB$50000,"&lt;&gt;设计如此",缺陷明细!$AB$2:$AB$50000,"&lt;&gt;重复Bug")+COUNTIFS(缺陷明细!$A$2:$A$50000,$B$4,缺陷明细!$G$2:$G$50000,$C13,缺陷明细!$J$2:$J$50000,"系统测试",缺陷明细!$K$2:$K$50000,"严重",缺陷明细!$AB$2:$AB$50000,"&lt;&gt;丢弃",缺陷明细!$AB$2:$AB$50000,"&lt;&gt;设计如此",缺陷明细!$AB$2:$AB$50000,"&lt;&gt;重复Bug")</f>
        <v>0</v>
      </c>
      <c r="T13" s="73">
        <f>COUNTIFS(缺陷明细!$A$2:$A$50000,$B$4,缺陷明细!$G$2:$G$50000,$C13,缺陷明细!$Q$2:$Q$50000,"已关闭",缺陷明细!$J$2:$J$50000,"系统测试",缺陷明细!$K$2:$K$50000,"致命")+COUNTIFS(缺陷明细!$A$2:$A$50000,$B$4,缺陷明细!$G$2:$G$50000,$C13,缺陷明细!$Q$2:$Q$50000,"已关闭",缺陷明细!$J$2:$J$50000,"系统测试",缺陷明细!$K$2:$K$50000,"严重")</f>
        <v>0</v>
      </c>
      <c r="U13" s="74">
        <f>COUNTIFS(缺陷明细!$A$2:$A$50000,$B$4,缺陷明细!$G$2:$G$50000,$C13,缺陷明细!$J$2:$J$50000,"验收测试",缺陷明细!$AB$2:$AB$50000,"&lt;&gt;丢弃",缺陷明细!$AB$2:$AB$50000,"&lt;&gt;设计如此",缺陷明细!$AB$2:$AB$50000,"&lt;&gt;重复Bug")</f>
        <v>0</v>
      </c>
      <c r="V13" s="75">
        <f>COUNTIFS(缺陷明细!$A$2:$A$50000,$B$4,缺陷明细!$G$2:$G$50000,$C13,缺陷明细!$Q$2:$Q$50000,"已关闭",缺陷明细!$J$2:$J$50000,"验收测试")</f>
        <v>0</v>
      </c>
      <c r="W13" s="75">
        <f>COUNTIFS(缺陷明细!$A$2:$A$50000,$B$4,缺陷明细!$G$2:$G$50000,$C13,缺陷明细!$J$2:$J$50000,"验收测试",缺陷明细!$K$2:$K$50000,"致命",缺陷明细!$AB$2:$AB$50000,"&lt;&gt;丢弃",缺陷明细!$AB$2:$AB$50000,"&lt;&gt;设计如此",缺陷明细!$AB$2:$AB$50000,"&lt;&gt;重复Bug")+COUNTIFS(缺陷明细!$A$2:$A$50000,$B$4,缺陷明细!$G$2:$G$50000,$C13,缺陷明细!$J$2:$J$50000,"验收测试",缺陷明细!$K$2:$K$50000,"严重",缺陷明细!$AB$2:$AB$50000,"&lt;&gt;丢弃",缺陷明细!$AB$2:$AB$50000,"&lt;&gt;设计如此",缺陷明细!$AB$2:$AB$50000,"&lt;&gt;重复Bug")</f>
        <v>0</v>
      </c>
      <c r="X13" s="76">
        <f>COUNTIFS(缺陷明细!$A$2:$A$50000,$B$4,缺陷明细!$G$2:$G$50000,$C13,缺陷明细!$Q$2:$Q$50000,"已关闭",缺陷明细!$J$2:$J$50000,"验收测试",缺陷明细!$K$2:$K$50000,"致命")+COUNTIFS(缺陷明细!$A$2:$A$50000,$B$4,缺陷明细!$G$2:$G$50000,$C13,缺陷明细!$Q$2:$Q$50000,"已关闭",缺陷明细!$J$2:$J$50000,"验收测试",缺陷明细!$K$2:$K$50000,"严重")</f>
        <v>0</v>
      </c>
      <c r="Y13" s="70">
        <f>COUNTIFS(缺陷明细!$A$2:$A$50000,$B$4,缺陷明细!$G$2:$G$50000,$C13,缺陷明细!$J$2:$J$50000,"运维测试",缺陷明细!$AB$2:$AB$50000,"&lt;&gt;丢弃",缺陷明细!$AB$2:$AB$50000,"&lt;&gt;设计如此",缺陷明细!$AB$2:$AB$50000,"&lt;&gt;重复Bug")</f>
        <v>0</v>
      </c>
      <c r="Z13" s="71">
        <f>COUNTIFS(缺陷明细!$A$2:$A$50000,$B$4,缺陷明细!$G$2:$G$50000,$C13,缺陷明细!$Q$2:$Q$50000,"已关闭",缺陷明细!$J$2:$J$50000,"运维测试")</f>
        <v>0</v>
      </c>
      <c r="AA13" s="72">
        <f>COUNTIFS(缺陷明细!$A$2:$A$50000,$B$4,缺陷明细!$G$2:$G$50000,$C13,缺陷明细!$J$2:$J$50000,"运维测试",缺陷明细!$K$2:$K$50000,"致命",缺陷明细!$AB$2:$AB$50000,"&lt;&gt;丢弃",缺陷明细!$AB$2:$AB$50000,"&lt;&gt;设计如此",缺陷明细!$AB$2:$AB$50000,"&lt;&gt;重复Bug")+COUNTIFS(缺陷明细!$A$2:$A$50000,$B$4,缺陷明细!$G$2:$G$50000,$C13,缺陷明细!$J$2:$J$50000,"运维测试",缺陷明细!$K$2:$K$50000,"严重",缺陷明细!$AB$2:$AB$50000,"&lt;&gt;丢弃",缺陷明细!$AB$2:$AB$50000,"&lt;&gt;设计如此",缺陷明细!$AB$2:$AB$50000,"&lt;&gt;重复Bug")</f>
        <v>0</v>
      </c>
      <c r="AB13" s="73">
        <f>COUNTIFS(缺陷明细!$A$2:$A$50000,$B$4,缺陷明细!$G$2:$G$50000,$C13,缺陷明细!$Q$2:$Q$50000,"已关闭",缺陷明细!$J$2:$J$50000,"运维测试",缺陷明细!$K$2:$K$50000,"致命")+COUNTIFS(缺陷明细!$A$2:$A$50000,$B$4,缺陷明细!$G$2:$G$50000,$C13,缺陷明细!$Q$2:$Q$50000,"已关闭",缺陷明细!$J$2:$J$50000,"运维测试",缺陷明细!$K$2:$K$50000,"严重")</f>
        <v>0</v>
      </c>
      <c r="AC13" s="68">
        <f t="shared" si="0"/>
        <v>0</v>
      </c>
      <c r="AD13" s="60">
        <f t="shared" si="0"/>
        <v>0</v>
      </c>
      <c r="AE13" s="60">
        <f t="shared" si="1"/>
        <v>0</v>
      </c>
      <c r="AF13" s="60">
        <f t="shared" si="1"/>
        <v>0</v>
      </c>
      <c r="AG13" s="60">
        <f t="shared" si="2"/>
        <v>0</v>
      </c>
      <c r="AH13" s="60">
        <f t="shared" si="2"/>
        <v>0</v>
      </c>
      <c r="AI13" s="60">
        <f t="shared" si="3"/>
        <v>0</v>
      </c>
      <c r="AJ13" s="61">
        <f t="shared" si="3"/>
        <v>0</v>
      </c>
      <c r="AK13" s="144"/>
    </row>
    <row r="14" spans="1:37">
      <c r="A14">
        <v>10</v>
      </c>
      <c r="B14" s="57"/>
      <c r="C14" s="58"/>
      <c r="D14" s="84"/>
      <c r="E14" s="82"/>
      <c r="F14" s="158"/>
      <c r="G14" s="159"/>
      <c r="H14" s="281">
        <f>COUNTIFS(缺陷明细!$A$2:$A$50000,$B$4,缺陷明细!$G$2:$G$50000,$C14,缺陷明细!$J$2:$J$50000,"评审",缺陷明细!$AB$2:$AB$50000,"&lt;&gt;丢弃",缺陷明细!$AB$2:$AB$50000,"&lt;&gt;设计如此",缺陷明细!$AB$2:$AB$50000,"&lt;&gt;重复Bug")</f>
        <v>0</v>
      </c>
      <c r="I14" s="154">
        <f>COUNTIFS(缺陷明细!$A$2:$A$50000,$B$4,缺陷明细!$G$2:$G$50000,$C14,缺陷明细!$Q$2:$Q$50000,"已关闭",缺陷明细!$J$2:$J$50000,"评审")</f>
        <v>0</v>
      </c>
      <c r="J14" s="154">
        <f>COUNTIFS(缺陷明细!$A$2:$A$50000,$B$4,缺陷明细!$G$2:$G$50000,$C14,缺陷明细!$J$2:$J$50000,"单元测试",缺陷明细!$AB$2:$AB$50000,"&lt;&gt;丢弃",缺陷明细!$AB$2:$AB$50000,"&lt;&gt;设计如此",缺陷明细!$AB$2:$AB$50000,"&lt;&gt;重复Bug")</f>
        <v>0</v>
      </c>
      <c r="K14" s="155">
        <f>COUNTIFS(缺陷明细!$A$2:$A$50000,$B$4,缺陷明细!$G$2:$G$50000,$C14,缺陷明细!$Q$2:$Q$50000,"已关闭",缺陷明细!$J$2:$J$50000,"单元测试")</f>
        <v>0</v>
      </c>
      <c r="L14" s="156"/>
      <c r="M14" s="157"/>
      <c r="N14" s="72">
        <f>COUNTIFS(缺陷明细!$A$2:$A$50000,$B$4,缺陷明细!$G$2:$G$50000,$C14,缺陷明细!$J$2:$J$50000,"系统测试案例评审",缺陷明细!$AB$2:$AB$50000,"&lt;&gt;丢弃",缺陷明细!$AB$2:$AB$50000,"&lt;&gt;设计如此",缺陷明细!$AB$2:$AB$50000,"&lt;&gt;重复Bug")</f>
        <v>0</v>
      </c>
      <c r="O14" s="72">
        <f>COUNTIFS(缺陷明细!$A$2:$A$50000,$B$4,缺陷明细!$G$2:$G$50000,$C14,缺陷明细!$Q$2:$Q$50000,"已关闭",缺陷明细!$J$2:$J$50000,"系统测试案例评审")</f>
        <v>0</v>
      </c>
      <c r="P14" s="72">
        <f>COUNTIFS(缺陷明细!$A$2:$A$50000,$B$4,缺陷明细!$G$2:$G$50000,$C14,缺陷明细!$J$2:$J$50000,"系统测试",缺陷明细!$AB$2:$AB$50000,"&lt;&gt;丢弃",缺陷明细!$AB$2:$AB$50000,"&lt;&gt;设计如此",缺陷明细!$AB$2:$AB$50000,"&lt;&gt;重复Bug")</f>
        <v>0</v>
      </c>
      <c r="Q14" s="72">
        <f>COUNTIFS(缺陷明细!$A$2:$A$50000,$B$4,缺陷明细!$G$2:$G$50000,$C14,缺陷明细!$Q$2:$Q$50000,"已关闭",缺陷明细!$J$2:$J$50000,"系统测试")</f>
        <v>0</v>
      </c>
      <c r="R14" s="296">
        <f>COUNTIFS(缺陷明细!$A$2:$A$50000,$B$4,缺陷明细!$G$2:$G$50000,$C14,缺陷明细!$AB$2:$AB$50000,"丢弃",缺陷明细!$J$2:$J$50000,"系统测试")+COUNTIFS(缺陷明细!$A$2:$A$50000,$B$4,缺陷明细!$G$2:$G$50000,$C14,缺陷明细!$AB$2:$AB$50000,"设计如此",缺陷明细!$J$2:$J$50000,"系统测试")+COUNTIFS(缺陷明细!$A$2:$A$50000,$B$4,缺陷明细!$G$2:$G$50000,$C14,缺陷明细!$AB$2:$AB$50000,"重复Bug",缺陷明细!$J$2:$J$50000,"系统测试")</f>
        <v>0</v>
      </c>
      <c r="S14" s="72">
        <f>COUNTIFS(缺陷明细!$A$2:$A$50000,$B$4,缺陷明细!$G$2:$G$50000,$C14,缺陷明细!$J$2:$J$50000,"系统测试",缺陷明细!$K$2:$K$50000,"致命",缺陷明细!$AB$2:$AB$50000,"&lt;&gt;丢弃",缺陷明细!$AB$2:$AB$50000,"&lt;&gt;设计如此",缺陷明细!$AB$2:$AB$50000,"&lt;&gt;重复Bug")+COUNTIFS(缺陷明细!$A$2:$A$50000,$B$4,缺陷明细!$G$2:$G$50000,$C14,缺陷明细!$J$2:$J$50000,"系统测试",缺陷明细!$K$2:$K$50000,"严重",缺陷明细!$AB$2:$AB$50000,"&lt;&gt;丢弃",缺陷明细!$AB$2:$AB$50000,"&lt;&gt;设计如此",缺陷明细!$AB$2:$AB$50000,"&lt;&gt;重复Bug")</f>
        <v>0</v>
      </c>
      <c r="T14" s="73">
        <f>COUNTIFS(缺陷明细!$A$2:$A$50000,$B$4,缺陷明细!$G$2:$G$50000,$C14,缺陷明细!$Q$2:$Q$50000,"已关闭",缺陷明细!$J$2:$J$50000,"系统测试",缺陷明细!$K$2:$K$50000,"致命")+COUNTIFS(缺陷明细!$A$2:$A$50000,$B$4,缺陷明细!$G$2:$G$50000,$C14,缺陷明细!$Q$2:$Q$50000,"已关闭",缺陷明细!$J$2:$J$50000,"系统测试",缺陷明细!$K$2:$K$50000,"严重")</f>
        <v>0</v>
      </c>
      <c r="U14" s="74">
        <f>COUNTIFS(缺陷明细!$A$2:$A$50000,$B$4,缺陷明细!$G$2:$G$50000,$C14,缺陷明细!$J$2:$J$50000,"验收测试",缺陷明细!$AB$2:$AB$50000,"&lt;&gt;丢弃",缺陷明细!$AB$2:$AB$50000,"&lt;&gt;设计如此",缺陷明细!$AB$2:$AB$50000,"&lt;&gt;重复Bug")</f>
        <v>0</v>
      </c>
      <c r="V14" s="75">
        <f>COUNTIFS(缺陷明细!$A$2:$A$50000,$B$4,缺陷明细!$G$2:$G$50000,$C14,缺陷明细!$Q$2:$Q$50000,"已关闭",缺陷明细!$J$2:$J$50000,"验收测试")</f>
        <v>0</v>
      </c>
      <c r="W14" s="75">
        <f>COUNTIFS(缺陷明细!$A$2:$A$50000,$B$4,缺陷明细!$G$2:$G$50000,$C14,缺陷明细!$J$2:$J$50000,"验收测试",缺陷明细!$K$2:$K$50000,"致命",缺陷明细!$AB$2:$AB$50000,"&lt;&gt;丢弃",缺陷明细!$AB$2:$AB$50000,"&lt;&gt;设计如此",缺陷明细!$AB$2:$AB$50000,"&lt;&gt;重复Bug")+COUNTIFS(缺陷明细!$A$2:$A$50000,$B$4,缺陷明细!$G$2:$G$50000,$C14,缺陷明细!$J$2:$J$50000,"验收测试",缺陷明细!$K$2:$K$50000,"严重",缺陷明细!$AB$2:$AB$50000,"&lt;&gt;丢弃",缺陷明细!$AB$2:$AB$50000,"&lt;&gt;设计如此",缺陷明细!$AB$2:$AB$50000,"&lt;&gt;重复Bug")</f>
        <v>0</v>
      </c>
      <c r="X14" s="76">
        <f>COUNTIFS(缺陷明细!$A$2:$A$50000,$B$4,缺陷明细!$G$2:$G$50000,$C14,缺陷明细!$Q$2:$Q$50000,"已关闭",缺陷明细!$J$2:$J$50000,"验收测试",缺陷明细!$K$2:$K$50000,"致命")+COUNTIFS(缺陷明细!$A$2:$A$50000,$B$4,缺陷明细!$G$2:$G$50000,$C14,缺陷明细!$Q$2:$Q$50000,"已关闭",缺陷明细!$J$2:$J$50000,"验收测试",缺陷明细!$K$2:$K$50000,"严重")</f>
        <v>0</v>
      </c>
      <c r="Y14" s="70">
        <f>COUNTIFS(缺陷明细!$A$2:$A$50000,$B$4,缺陷明细!$G$2:$G$50000,$C14,缺陷明细!$J$2:$J$50000,"运维测试",缺陷明细!$AB$2:$AB$50000,"&lt;&gt;丢弃",缺陷明细!$AB$2:$AB$50000,"&lt;&gt;设计如此",缺陷明细!$AB$2:$AB$50000,"&lt;&gt;重复Bug")</f>
        <v>0</v>
      </c>
      <c r="Z14" s="71">
        <f>COUNTIFS(缺陷明细!$A$2:$A$50000,$B$4,缺陷明细!$G$2:$G$50000,$C14,缺陷明细!$Q$2:$Q$50000,"已关闭",缺陷明细!$J$2:$J$50000,"运维测试")</f>
        <v>0</v>
      </c>
      <c r="AA14" s="72">
        <f>COUNTIFS(缺陷明细!$A$2:$A$50000,$B$4,缺陷明细!$G$2:$G$50000,$C14,缺陷明细!$J$2:$J$50000,"运维测试",缺陷明细!$K$2:$K$50000,"致命",缺陷明细!$AB$2:$AB$50000,"&lt;&gt;丢弃",缺陷明细!$AB$2:$AB$50000,"&lt;&gt;设计如此",缺陷明细!$AB$2:$AB$50000,"&lt;&gt;重复Bug")+COUNTIFS(缺陷明细!$A$2:$A$50000,$B$4,缺陷明细!$G$2:$G$50000,$C14,缺陷明细!$J$2:$J$50000,"运维测试",缺陷明细!$K$2:$K$50000,"严重",缺陷明细!$AB$2:$AB$50000,"&lt;&gt;丢弃",缺陷明细!$AB$2:$AB$50000,"&lt;&gt;设计如此",缺陷明细!$AB$2:$AB$50000,"&lt;&gt;重复Bug")</f>
        <v>0</v>
      </c>
      <c r="AB14" s="73">
        <f>COUNTIFS(缺陷明细!$A$2:$A$50000,$B$4,缺陷明细!$G$2:$G$50000,$C14,缺陷明细!$Q$2:$Q$50000,"已关闭",缺陷明细!$J$2:$J$50000,"运维测试",缺陷明细!$K$2:$K$50000,"致命")+COUNTIFS(缺陷明细!$A$2:$A$50000,$B$4,缺陷明细!$G$2:$G$50000,$C14,缺陷明细!$Q$2:$Q$50000,"已关闭",缺陷明细!$J$2:$J$50000,"运维测试",缺陷明细!$K$2:$K$50000,"严重")</f>
        <v>0</v>
      </c>
      <c r="AC14" s="68">
        <f t="shared" si="0"/>
        <v>0</v>
      </c>
      <c r="AD14" s="60">
        <f t="shared" si="0"/>
        <v>0</v>
      </c>
      <c r="AE14" s="60">
        <f t="shared" si="1"/>
        <v>0</v>
      </c>
      <c r="AF14" s="60">
        <f t="shared" si="1"/>
        <v>0</v>
      </c>
      <c r="AG14" s="60">
        <f t="shared" si="2"/>
        <v>0</v>
      </c>
      <c r="AH14" s="60">
        <f t="shared" si="2"/>
        <v>0</v>
      </c>
      <c r="AI14" s="60">
        <f t="shared" si="3"/>
        <v>0</v>
      </c>
      <c r="AJ14" s="61">
        <f t="shared" si="3"/>
        <v>0</v>
      </c>
      <c r="AK14" s="144"/>
    </row>
    <row r="15" spans="1:37">
      <c r="A15">
        <v>11</v>
      </c>
      <c r="B15" s="57"/>
      <c r="C15" s="58"/>
      <c r="D15" s="84"/>
      <c r="E15" s="82"/>
      <c r="F15" s="158"/>
      <c r="G15" s="159"/>
      <c r="H15" s="281">
        <f>COUNTIFS(缺陷明细!$A$2:$A$50000,$B$4,缺陷明细!$G$2:$G$50000,$C15,缺陷明细!$J$2:$J$50000,"评审",缺陷明细!$AB$2:$AB$50000,"&lt;&gt;丢弃",缺陷明细!$AB$2:$AB$50000,"&lt;&gt;设计如此",缺陷明细!$AB$2:$AB$50000,"&lt;&gt;重复Bug")</f>
        <v>0</v>
      </c>
      <c r="I15" s="154">
        <f>COUNTIFS(缺陷明细!$A$2:$A$50000,$B$4,缺陷明细!$G$2:$G$50000,$C15,缺陷明细!$Q$2:$Q$50000,"已关闭",缺陷明细!$J$2:$J$50000,"评审")</f>
        <v>0</v>
      </c>
      <c r="J15" s="154">
        <f>COUNTIFS(缺陷明细!$A$2:$A$50000,$B$4,缺陷明细!$G$2:$G$50000,$C15,缺陷明细!$J$2:$J$50000,"单元测试",缺陷明细!$AB$2:$AB$50000,"&lt;&gt;丢弃",缺陷明细!$AB$2:$AB$50000,"&lt;&gt;设计如此",缺陷明细!$AB$2:$AB$50000,"&lt;&gt;重复Bug")</f>
        <v>0</v>
      </c>
      <c r="K15" s="155">
        <f>COUNTIFS(缺陷明细!$A$2:$A$50000,$B$4,缺陷明细!$G$2:$G$50000,$C15,缺陷明细!$Q$2:$Q$50000,"已关闭",缺陷明细!$J$2:$J$50000,"单元测试")</f>
        <v>0</v>
      </c>
      <c r="L15" s="156"/>
      <c r="M15" s="157"/>
      <c r="N15" s="72">
        <f>COUNTIFS(缺陷明细!$A$2:$A$50000,$B$4,缺陷明细!$G$2:$G$50000,$C15,缺陷明细!$J$2:$J$50000,"系统测试案例评审",缺陷明细!$AB$2:$AB$50000,"&lt;&gt;丢弃",缺陷明细!$AB$2:$AB$50000,"&lt;&gt;设计如此",缺陷明细!$AB$2:$AB$50000,"&lt;&gt;重复Bug")</f>
        <v>0</v>
      </c>
      <c r="O15" s="72">
        <f>COUNTIFS(缺陷明细!$A$2:$A$50000,$B$4,缺陷明细!$G$2:$G$50000,$C15,缺陷明细!$Q$2:$Q$50000,"已关闭",缺陷明细!$J$2:$J$50000,"系统测试案例评审")</f>
        <v>0</v>
      </c>
      <c r="P15" s="72">
        <f>COUNTIFS(缺陷明细!$A$2:$A$50000,$B$4,缺陷明细!$G$2:$G$50000,$C15,缺陷明细!$J$2:$J$50000,"系统测试",缺陷明细!$AB$2:$AB$50000,"&lt;&gt;丢弃",缺陷明细!$AB$2:$AB$50000,"&lt;&gt;设计如此",缺陷明细!$AB$2:$AB$50000,"&lt;&gt;重复Bug")</f>
        <v>0</v>
      </c>
      <c r="Q15" s="72">
        <f>COUNTIFS(缺陷明细!$A$2:$A$50000,$B$4,缺陷明细!$G$2:$G$50000,$C15,缺陷明细!$Q$2:$Q$50000,"已关闭",缺陷明细!$J$2:$J$50000,"系统测试")</f>
        <v>0</v>
      </c>
      <c r="R15" s="296">
        <f>COUNTIFS(缺陷明细!$A$2:$A$50000,$B$4,缺陷明细!$G$2:$G$50000,$C15,缺陷明细!$AB$2:$AB$50000,"丢弃",缺陷明细!$J$2:$J$50000,"系统测试")+COUNTIFS(缺陷明细!$A$2:$A$50000,$B$4,缺陷明细!$G$2:$G$50000,$C15,缺陷明细!$AB$2:$AB$50000,"设计如此",缺陷明细!$J$2:$J$50000,"系统测试")+COUNTIFS(缺陷明细!$A$2:$A$50000,$B$4,缺陷明细!$G$2:$G$50000,$C15,缺陷明细!$AB$2:$AB$50000,"重复Bug",缺陷明细!$J$2:$J$50000,"系统测试")</f>
        <v>0</v>
      </c>
      <c r="S15" s="72">
        <f>COUNTIFS(缺陷明细!$A$2:$A$50000,$B$4,缺陷明细!$G$2:$G$50000,$C15,缺陷明细!$J$2:$J$50000,"系统测试",缺陷明细!$K$2:$K$50000,"致命",缺陷明细!$AB$2:$AB$50000,"&lt;&gt;丢弃",缺陷明细!$AB$2:$AB$50000,"&lt;&gt;设计如此",缺陷明细!$AB$2:$AB$50000,"&lt;&gt;重复Bug")+COUNTIFS(缺陷明细!$A$2:$A$50000,$B$4,缺陷明细!$G$2:$G$50000,$C15,缺陷明细!$J$2:$J$50000,"系统测试",缺陷明细!$K$2:$K$50000,"严重",缺陷明细!$AB$2:$AB$50000,"&lt;&gt;丢弃",缺陷明细!$AB$2:$AB$50000,"&lt;&gt;设计如此",缺陷明细!$AB$2:$AB$50000,"&lt;&gt;重复Bug")</f>
        <v>0</v>
      </c>
      <c r="T15" s="73">
        <f>COUNTIFS(缺陷明细!$A$2:$A$50000,$B$4,缺陷明细!$G$2:$G$50000,$C15,缺陷明细!$Q$2:$Q$50000,"已关闭",缺陷明细!$J$2:$J$50000,"系统测试",缺陷明细!$K$2:$K$50000,"致命")+COUNTIFS(缺陷明细!$A$2:$A$50000,$B$4,缺陷明细!$G$2:$G$50000,$C15,缺陷明细!$Q$2:$Q$50000,"已关闭",缺陷明细!$J$2:$J$50000,"系统测试",缺陷明细!$K$2:$K$50000,"严重")</f>
        <v>0</v>
      </c>
      <c r="U15" s="74">
        <f>COUNTIFS(缺陷明细!$A$2:$A$50000,$B$4,缺陷明细!$G$2:$G$50000,$C15,缺陷明细!$J$2:$J$50000,"验收测试",缺陷明细!$AB$2:$AB$50000,"&lt;&gt;丢弃",缺陷明细!$AB$2:$AB$50000,"&lt;&gt;设计如此",缺陷明细!$AB$2:$AB$50000,"&lt;&gt;重复Bug")</f>
        <v>0</v>
      </c>
      <c r="V15" s="75">
        <f>COUNTIFS(缺陷明细!$A$2:$A$50000,$B$4,缺陷明细!$G$2:$G$50000,$C15,缺陷明细!$Q$2:$Q$50000,"已关闭",缺陷明细!$J$2:$J$50000,"验收测试")</f>
        <v>0</v>
      </c>
      <c r="W15" s="75">
        <f>COUNTIFS(缺陷明细!$A$2:$A$50000,$B$4,缺陷明细!$G$2:$G$50000,$C15,缺陷明细!$J$2:$J$50000,"验收测试",缺陷明细!$K$2:$K$50000,"致命",缺陷明细!$AB$2:$AB$50000,"&lt;&gt;丢弃",缺陷明细!$AB$2:$AB$50000,"&lt;&gt;设计如此",缺陷明细!$AB$2:$AB$50000,"&lt;&gt;重复Bug")+COUNTIFS(缺陷明细!$A$2:$A$50000,$B$4,缺陷明细!$G$2:$G$50000,$C15,缺陷明细!$J$2:$J$50000,"验收测试",缺陷明细!$K$2:$K$50000,"严重",缺陷明细!$AB$2:$AB$50000,"&lt;&gt;丢弃",缺陷明细!$AB$2:$AB$50000,"&lt;&gt;设计如此",缺陷明细!$AB$2:$AB$50000,"&lt;&gt;重复Bug")</f>
        <v>0</v>
      </c>
      <c r="X15" s="76">
        <f>COUNTIFS(缺陷明细!$A$2:$A$50000,$B$4,缺陷明细!$G$2:$G$50000,$C15,缺陷明细!$Q$2:$Q$50000,"已关闭",缺陷明细!$J$2:$J$50000,"验收测试",缺陷明细!$K$2:$K$50000,"致命")+COUNTIFS(缺陷明细!$A$2:$A$50000,$B$4,缺陷明细!$G$2:$G$50000,$C15,缺陷明细!$Q$2:$Q$50000,"已关闭",缺陷明细!$J$2:$J$50000,"验收测试",缺陷明细!$K$2:$K$50000,"严重")</f>
        <v>0</v>
      </c>
      <c r="Y15" s="70">
        <f>COUNTIFS(缺陷明细!$A$2:$A$50000,$B$4,缺陷明细!$G$2:$G$50000,$C15,缺陷明细!$J$2:$J$50000,"运维测试",缺陷明细!$AB$2:$AB$50000,"&lt;&gt;丢弃",缺陷明细!$AB$2:$AB$50000,"&lt;&gt;设计如此",缺陷明细!$AB$2:$AB$50000,"&lt;&gt;重复Bug")</f>
        <v>0</v>
      </c>
      <c r="Z15" s="71">
        <f>COUNTIFS(缺陷明细!$A$2:$A$50000,$B$4,缺陷明细!$G$2:$G$50000,$C15,缺陷明细!$Q$2:$Q$50000,"已关闭",缺陷明细!$J$2:$J$50000,"运维测试")</f>
        <v>0</v>
      </c>
      <c r="AA15" s="72">
        <f>COUNTIFS(缺陷明细!$A$2:$A$50000,$B$4,缺陷明细!$G$2:$G$50000,$C15,缺陷明细!$J$2:$J$50000,"运维测试",缺陷明细!$K$2:$K$50000,"致命",缺陷明细!$AB$2:$AB$50000,"&lt;&gt;丢弃",缺陷明细!$AB$2:$AB$50000,"&lt;&gt;设计如此",缺陷明细!$AB$2:$AB$50000,"&lt;&gt;重复Bug")+COUNTIFS(缺陷明细!$A$2:$A$50000,$B$4,缺陷明细!$G$2:$G$50000,$C15,缺陷明细!$J$2:$J$50000,"运维测试",缺陷明细!$K$2:$K$50000,"严重",缺陷明细!$AB$2:$AB$50000,"&lt;&gt;丢弃",缺陷明细!$AB$2:$AB$50000,"&lt;&gt;设计如此",缺陷明细!$AB$2:$AB$50000,"&lt;&gt;重复Bug")</f>
        <v>0</v>
      </c>
      <c r="AB15" s="73">
        <f>COUNTIFS(缺陷明细!$A$2:$A$50000,$B$4,缺陷明细!$G$2:$G$50000,$C15,缺陷明细!$Q$2:$Q$50000,"已关闭",缺陷明细!$J$2:$J$50000,"运维测试",缺陷明细!$K$2:$K$50000,"致命")+COUNTIFS(缺陷明细!$A$2:$A$50000,$B$4,缺陷明细!$G$2:$G$50000,$C15,缺陷明细!$Q$2:$Q$50000,"已关闭",缺陷明细!$J$2:$J$50000,"运维测试",缺陷明细!$K$2:$K$50000,"严重")</f>
        <v>0</v>
      </c>
      <c r="AC15" s="68">
        <f t="shared" si="0"/>
        <v>0</v>
      </c>
      <c r="AD15" s="60">
        <f t="shared" si="0"/>
        <v>0</v>
      </c>
      <c r="AE15" s="60">
        <f t="shared" si="1"/>
        <v>0</v>
      </c>
      <c r="AF15" s="60">
        <f t="shared" si="1"/>
        <v>0</v>
      </c>
      <c r="AG15" s="60">
        <f t="shared" si="2"/>
        <v>0</v>
      </c>
      <c r="AH15" s="60">
        <f t="shared" si="2"/>
        <v>0</v>
      </c>
      <c r="AI15" s="60">
        <f t="shared" si="3"/>
        <v>0</v>
      </c>
      <c r="AJ15" s="61">
        <f t="shared" si="3"/>
        <v>0</v>
      </c>
      <c r="AK15" s="144"/>
    </row>
    <row r="16" spans="1:37">
      <c r="A16">
        <v>12</v>
      </c>
      <c r="B16" s="57"/>
      <c r="C16" s="58"/>
      <c r="D16" s="84"/>
      <c r="E16" s="82"/>
      <c r="F16" s="158"/>
      <c r="G16" s="159"/>
      <c r="H16" s="281">
        <f>COUNTIFS(缺陷明细!$A$2:$A$50000,$B$4,缺陷明细!$G$2:$G$50000,$C16,缺陷明细!$J$2:$J$50000,"评审",缺陷明细!$AB$2:$AB$50000,"&lt;&gt;丢弃",缺陷明细!$AB$2:$AB$50000,"&lt;&gt;设计如此",缺陷明细!$AB$2:$AB$50000,"&lt;&gt;重复Bug")</f>
        <v>0</v>
      </c>
      <c r="I16" s="154">
        <f>COUNTIFS(缺陷明细!$A$2:$A$50000,$B$4,缺陷明细!$G$2:$G$50000,$C16,缺陷明细!$Q$2:$Q$50000,"已关闭",缺陷明细!$J$2:$J$50000,"评审")</f>
        <v>0</v>
      </c>
      <c r="J16" s="154">
        <f>COUNTIFS(缺陷明细!$A$2:$A$50000,$B$4,缺陷明细!$G$2:$G$50000,$C16,缺陷明细!$J$2:$J$50000,"单元测试",缺陷明细!$AB$2:$AB$50000,"&lt;&gt;丢弃",缺陷明细!$AB$2:$AB$50000,"&lt;&gt;设计如此",缺陷明细!$AB$2:$AB$50000,"&lt;&gt;重复Bug")</f>
        <v>0</v>
      </c>
      <c r="K16" s="155">
        <f>COUNTIFS(缺陷明细!$A$2:$A$50000,$B$4,缺陷明细!$G$2:$G$50000,$C16,缺陷明细!$Q$2:$Q$50000,"已关闭",缺陷明细!$J$2:$J$50000,"单元测试")</f>
        <v>0</v>
      </c>
      <c r="L16" s="156"/>
      <c r="M16" s="157"/>
      <c r="N16" s="72">
        <f>COUNTIFS(缺陷明细!$A$2:$A$50000,$B$4,缺陷明细!$G$2:$G$50000,$C16,缺陷明细!$J$2:$J$50000,"系统测试案例评审",缺陷明细!$AB$2:$AB$50000,"&lt;&gt;丢弃",缺陷明细!$AB$2:$AB$50000,"&lt;&gt;设计如此",缺陷明细!$AB$2:$AB$50000,"&lt;&gt;重复Bug")</f>
        <v>0</v>
      </c>
      <c r="O16" s="72">
        <f>COUNTIFS(缺陷明细!$A$2:$A$50000,$B$4,缺陷明细!$G$2:$G$50000,$C16,缺陷明细!$Q$2:$Q$50000,"已关闭",缺陷明细!$J$2:$J$50000,"系统测试案例评审")</f>
        <v>0</v>
      </c>
      <c r="P16" s="72">
        <f>COUNTIFS(缺陷明细!$A$2:$A$50000,$B$4,缺陷明细!$G$2:$G$50000,$C16,缺陷明细!$J$2:$J$50000,"系统测试",缺陷明细!$AB$2:$AB$50000,"&lt;&gt;丢弃",缺陷明细!$AB$2:$AB$50000,"&lt;&gt;设计如此",缺陷明细!$AB$2:$AB$50000,"&lt;&gt;重复Bug")</f>
        <v>0</v>
      </c>
      <c r="Q16" s="72">
        <f>COUNTIFS(缺陷明细!$A$2:$A$50000,$B$4,缺陷明细!$G$2:$G$50000,$C16,缺陷明细!$Q$2:$Q$50000,"已关闭",缺陷明细!$J$2:$J$50000,"系统测试")</f>
        <v>0</v>
      </c>
      <c r="R16" s="296">
        <f>COUNTIFS(缺陷明细!$A$2:$A$50000,$B$4,缺陷明细!$G$2:$G$50000,$C16,缺陷明细!$AB$2:$AB$50000,"丢弃",缺陷明细!$J$2:$J$50000,"系统测试")+COUNTIFS(缺陷明细!$A$2:$A$50000,$B$4,缺陷明细!$G$2:$G$50000,$C16,缺陷明细!$AB$2:$AB$50000,"设计如此",缺陷明细!$J$2:$J$50000,"系统测试")+COUNTIFS(缺陷明细!$A$2:$A$50000,$B$4,缺陷明细!$G$2:$G$50000,$C16,缺陷明细!$AB$2:$AB$50000,"重复Bug",缺陷明细!$J$2:$J$50000,"系统测试")</f>
        <v>0</v>
      </c>
      <c r="S16" s="72">
        <f>COUNTIFS(缺陷明细!$A$2:$A$50000,$B$4,缺陷明细!$G$2:$G$50000,$C16,缺陷明细!$J$2:$J$50000,"系统测试",缺陷明细!$K$2:$K$50000,"致命",缺陷明细!$AB$2:$AB$50000,"&lt;&gt;丢弃",缺陷明细!$AB$2:$AB$50000,"&lt;&gt;设计如此",缺陷明细!$AB$2:$AB$50000,"&lt;&gt;重复Bug")+COUNTIFS(缺陷明细!$A$2:$A$50000,$B$4,缺陷明细!$G$2:$G$50000,$C16,缺陷明细!$J$2:$J$50000,"系统测试",缺陷明细!$K$2:$K$50000,"严重",缺陷明细!$AB$2:$AB$50000,"&lt;&gt;丢弃",缺陷明细!$AB$2:$AB$50000,"&lt;&gt;设计如此",缺陷明细!$AB$2:$AB$50000,"&lt;&gt;重复Bug")</f>
        <v>0</v>
      </c>
      <c r="T16" s="73">
        <f>COUNTIFS(缺陷明细!$A$2:$A$50000,$B$4,缺陷明细!$G$2:$G$50000,$C16,缺陷明细!$Q$2:$Q$50000,"已关闭",缺陷明细!$J$2:$J$50000,"系统测试",缺陷明细!$K$2:$K$50000,"致命")+COUNTIFS(缺陷明细!$A$2:$A$50000,$B$4,缺陷明细!$G$2:$G$50000,$C16,缺陷明细!$Q$2:$Q$50000,"已关闭",缺陷明细!$J$2:$J$50000,"系统测试",缺陷明细!$K$2:$K$50000,"严重")</f>
        <v>0</v>
      </c>
      <c r="U16" s="74">
        <f>COUNTIFS(缺陷明细!$A$2:$A$50000,$B$4,缺陷明细!$G$2:$G$50000,$C16,缺陷明细!$J$2:$J$50000,"验收测试",缺陷明细!$AB$2:$AB$50000,"&lt;&gt;丢弃",缺陷明细!$AB$2:$AB$50000,"&lt;&gt;设计如此",缺陷明细!$AB$2:$AB$50000,"&lt;&gt;重复Bug")</f>
        <v>0</v>
      </c>
      <c r="V16" s="75">
        <f>COUNTIFS(缺陷明细!$A$2:$A$50000,$B$4,缺陷明细!$G$2:$G$50000,$C16,缺陷明细!$Q$2:$Q$50000,"已关闭",缺陷明细!$J$2:$J$50000,"验收测试")</f>
        <v>0</v>
      </c>
      <c r="W16" s="75">
        <f>COUNTIFS(缺陷明细!$A$2:$A$50000,$B$4,缺陷明细!$G$2:$G$50000,$C16,缺陷明细!$J$2:$J$50000,"验收测试",缺陷明细!$K$2:$K$50000,"致命",缺陷明细!$AB$2:$AB$50000,"&lt;&gt;丢弃",缺陷明细!$AB$2:$AB$50000,"&lt;&gt;设计如此",缺陷明细!$AB$2:$AB$50000,"&lt;&gt;重复Bug")+COUNTIFS(缺陷明细!$A$2:$A$50000,$B$4,缺陷明细!$G$2:$G$50000,$C16,缺陷明细!$J$2:$J$50000,"验收测试",缺陷明细!$K$2:$K$50000,"严重",缺陷明细!$AB$2:$AB$50000,"&lt;&gt;丢弃",缺陷明细!$AB$2:$AB$50000,"&lt;&gt;设计如此",缺陷明细!$AB$2:$AB$50000,"&lt;&gt;重复Bug")</f>
        <v>0</v>
      </c>
      <c r="X16" s="76">
        <f>COUNTIFS(缺陷明细!$A$2:$A$50000,$B$4,缺陷明细!$G$2:$G$50000,$C16,缺陷明细!$Q$2:$Q$50000,"已关闭",缺陷明细!$J$2:$J$50000,"验收测试",缺陷明细!$K$2:$K$50000,"致命")+COUNTIFS(缺陷明细!$A$2:$A$50000,$B$4,缺陷明细!$G$2:$G$50000,$C16,缺陷明细!$Q$2:$Q$50000,"已关闭",缺陷明细!$J$2:$J$50000,"验收测试",缺陷明细!$K$2:$K$50000,"严重")</f>
        <v>0</v>
      </c>
      <c r="Y16" s="70">
        <f>COUNTIFS(缺陷明细!$A$2:$A$50000,$B$4,缺陷明细!$G$2:$G$50000,$C16,缺陷明细!$J$2:$J$50000,"运维测试",缺陷明细!$AB$2:$AB$50000,"&lt;&gt;丢弃",缺陷明细!$AB$2:$AB$50000,"&lt;&gt;设计如此",缺陷明细!$AB$2:$AB$50000,"&lt;&gt;重复Bug")</f>
        <v>0</v>
      </c>
      <c r="Z16" s="71">
        <f>COUNTIFS(缺陷明细!$A$2:$A$50000,$B$4,缺陷明细!$G$2:$G$50000,$C16,缺陷明细!$Q$2:$Q$50000,"已关闭",缺陷明细!$J$2:$J$50000,"运维测试")</f>
        <v>0</v>
      </c>
      <c r="AA16" s="72">
        <f>COUNTIFS(缺陷明细!$A$2:$A$50000,$B$4,缺陷明细!$G$2:$G$50000,$C16,缺陷明细!$J$2:$J$50000,"运维测试",缺陷明细!$K$2:$K$50000,"致命",缺陷明细!$AB$2:$AB$50000,"&lt;&gt;丢弃",缺陷明细!$AB$2:$AB$50000,"&lt;&gt;设计如此",缺陷明细!$AB$2:$AB$50000,"&lt;&gt;重复Bug")+COUNTIFS(缺陷明细!$A$2:$A$50000,$B$4,缺陷明细!$G$2:$G$50000,$C16,缺陷明细!$J$2:$J$50000,"运维测试",缺陷明细!$K$2:$K$50000,"严重",缺陷明细!$AB$2:$AB$50000,"&lt;&gt;丢弃",缺陷明细!$AB$2:$AB$50000,"&lt;&gt;设计如此",缺陷明细!$AB$2:$AB$50000,"&lt;&gt;重复Bug")</f>
        <v>0</v>
      </c>
      <c r="AB16" s="73">
        <f>COUNTIFS(缺陷明细!$A$2:$A$50000,$B$4,缺陷明细!$G$2:$G$50000,$C16,缺陷明细!$Q$2:$Q$50000,"已关闭",缺陷明细!$J$2:$J$50000,"运维测试",缺陷明细!$K$2:$K$50000,"致命")+COUNTIFS(缺陷明细!$A$2:$A$50000,$B$4,缺陷明细!$G$2:$G$50000,$C16,缺陷明细!$Q$2:$Q$50000,"已关闭",缺陷明细!$J$2:$J$50000,"运维测试",缺陷明细!$K$2:$K$50000,"严重")</f>
        <v>0</v>
      </c>
      <c r="AC16" s="68">
        <f t="shared" si="0"/>
        <v>0</v>
      </c>
      <c r="AD16" s="60">
        <f t="shared" si="0"/>
        <v>0</v>
      </c>
      <c r="AE16" s="60">
        <f t="shared" si="1"/>
        <v>0</v>
      </c>
      <c r="AF16" s="60">
        <f t="shared" si="1"/>
        <v>0</v>
      </c>
      <c r="AG16" s="60">
        <f t="shared" si="2"/>
        <v>0</v>
      </c>
      <c r="AH16" s="60">
        <f t="shared" si="2"/>
        <v>0</v>
      </c>
      <c r="AI16" s="60">
        <f t="shared" si="3"/>
        <v>0</v>
      </c>
      <c r="AJ16" s="61">
        <f t="shared" si="3"/>
        <v>0</v>
      </c>
      <c r="AK16" s="144"/>
    </row>
    <row r="17" spans="1:37">
      <c r="A17">
        <v>13</v>
      </c>
      <c r="B17" s="57"/>
      <c r="C17" s="58"/>
      <c r="D17" s="84"/>
      <c r="E17" s="82"/>
      <c r="F17" s="158"/>
      <c r="G17" s="159"/>
      <c r="H17" s="281">
        <f>COUNTIFS(缺陷明细!$A$2:$A$50000,$B$4,缺陷明细!$G$2:$G$50000,$C17,缺陷明细!$J$2:$J$50000,"评审",缺陷明细!$AB$2:$AB$50000,"&lt;&gt;丢弃",缺陷明细!$AB$2:$AB$50000,"&lt;&gt;设计如此",缺陷明细!$AB$2:$AB$50000,"&lt;&gt;重复Bug")</f>
        <v>0</v>
      </c>
      <c r="I17" s="154">
        <f>COUNTIFS(缺陷明细!$A$2:$A$50000,$B$4,缺陷明细!$G$2:$G$50000,$C17,缺陷明细!$Q$2:$Q$50000,"已关闭",缺陷明细!$J$2:$J$50000,"评审")</f>
        <v>0</v>
      </c>
      <c r="J17" s="154">
        <f>COUNTIFS(缺陷明细!$A$2:$A$50000,$B$4,缺陷明细!$G$2:$G$50000,$C17,缺陷明细!$J$2:$J$50000,"单元测试",缺陷明细!$AB$2:$AB$50000,"&lt;&gt;丢弃",缺陷明细!$AB$2:$AB$50000,"&lt;&gt;设计如此",缺陷明细!$AB$2:$AB$50000,"&lt;&gt;重复Bug")</f>
        <v>0</v>
      </c>
      <c r="K17" s="155">
        <f>COUNTIFS(缺陷明细!$A$2:$A$50000,$B$4,缺陷明细!$G$2:$G$50000,$C17,缺陷明细!$Q$2:$Q$50000,"已关闭",缺陷明细!$J$2:$J$50000,"单元测试")</f>
        <v>0</v>
      </c>
      <c r="L17" s="156"/>
      <c r="M17" s="157"/>
      <c r="N17" s="72">
        <f>COUNTIFS(缺陷明细!$A$2:$A$50000,$B$4,缺陷明细!$G$2:$G$50000,$C17,缺陷明细!$J$2:$J$50000,"系统测试案例评审",缺陷明细!$AB$2:$AB$50000,"&lt;&gt;丢弃",缺陷明细!$AB$2:$AB$50000,"&lt;&gt;设计如此",缺陷明细!$AB$2:$AB$50000,"&lt;&gt;重复Bug")</f>
        <v>0</v>
      </c>
      <c r="O17" s="72">
        <f>COUNTIFS(缺陷明细!$A$2:$A$50000,$B$4,缺陷明细!$G$2:$G$50000,$C17,缺陷明细!$Q$2:$Q$50000,"已关闭",缺陷明细!$J$2:$J$50000,"系统测试案例评审")</f>
        <v>0</v>
      </c>
      <c r="P17" s="72">
        <f>COUNTIFS(缺陷明细!$A$2:$A$50000,$B$4,缺陷明细!$G$2:$G$50000,$C17,缺陷明细!$J$2:$J$50000,"系统测试",缺陷明细!$AB$2:$AB$50000,"&lt;&gt;丢弃",缺陷明细!$AB$2:$AB$50000,"&lt;&gt;设计如此",缺陷明细!$AB$2:$AB$50000,"&lt;&gt;重复Bug")</f>
        <v>0</v>
      </c>
      <c r="Q17" s="72">
        <f>COUNTIFS(缺陷明细!$A$2:$A$50000,$B$4,缺陷明细!$G$2:$G$50000,$C17,缺陷明细!$Q$2:$Q$50000,"已关闭",缺陷明细!$J$2:$J$50000,"系统测试")</f>
        <v>0</v>
      </c>
      <c r="R17" s="296">
        <f>COUNTIFS(缺陷明细!$A$2:$A$50000,$B$4,缺陷明细!$G$2:$G$50000,$C17,缺陷明细!$AB$2:$AB$50000,"丢弃",缺陷明细!$J$2:$J$50000,"系统测试")+COUNTIFS(缺陷明细!$A$2:$A$50000,$B$4,缺陷明细!$G$2:$G$50000,$C17,缺陷明细!$AB$2:$AB$50000,"设计如此",缺陷明细!$J$2:$J$50000,"系统测试")+COUNTIFS(缺陷明细!$A$2:$A$50000,$B$4,缺陷明细!$G$2:$G$50000,$C17,缺陷明细!$AB$2:$AB$50000,"重复Bug",缺陷明细!$J$2:$J$50000,"系统测试")</f>
        <v>0</v>
      </c>
      <c r="S17" s="72">
        <f>COUNTIFS(缺陷明细!$A$2:$A$50000,$B$4,缺陷明细!$G$2:$G$50000,$C17,缺陷明细!$J$2:$J$50000,"系统测试",缺陷明细!$K$2:$K$50000,"致命",缺陷明细!$AB$2:$AB$50000,"&lt;&gt;丢弃",缺陷明细!$AB$2:$AB$50000,"&lt;&gt;设计如此",缺陷明细!$AB$2:$AB$50000,"&lt;&gt;重复Bug")+COUNTIFS(缺陷明细!$A$2:$A$50000,$B$4,缺陷明细!$G$2:$G$50000,$C17,缺陷明细!$J$2:$J$50000,"系统测试",缺陷明细!$K$2:$K$50000,"严重",缺陷明细!$AB$2:$AB$50000,"&lt;&gt;丢弃",缺陷明细!$AB$2:$AB$50000,"&lt;&gt;设计如此",缺陷明细!$AB$2:$AB$50000,"&lt;&gt;重复Bug")</f>
        <v>0</v>
      </c>
      <c r="T17" s="73">
        <f>COUNTIFS(缺陷明细!$A$2:$A$50000,$B$4,缺陷明细!$G$2:$G$50000,$C17,缺陷明细!$Q$2:$Q$50000,"已关闭",缺陷明细!$J$2:$J$50000,"系统测试",缺陷明细!$K$2:$K$50000,"致命")+COUNTIFS(缺陷明细!$A$2:$A$50000,$B$4,缺陷明细!$G$2:$G$50000,$C17,缺陷明细!$Q$2:$Q$50000,"已关闭",缺陷明细!$J$2:$J$50000,"系统测试",缺陷明细!$K$2:$K$50000,"严重")</f>
        <v>0</v>
      </c>
      <c r="U17" s="74">
        <f>COUNTIFS(缺陷明细!$A$2:$A$50000,$B$4,缺陷明细!$G$2:$G$50000,$C17,缺陷明细!$J$2:$J$50000,"验收测试",缺陷明细!$AB$2:$AB$50000,"&lt;&gt;丢弃",缺陷明细!$AB$2:$AB$50000,"&lt;&gt;设计如此",缺陷明细!$AB$2:$AB$50000,"&lt;&gt;重复Bug")</f>
        <v>0</v>
      </c>
      <c r="V17" s="75">
        <f>COUNTIFS(缺陷明细!$A$2:$A$50000,$B$4,缺陷明细!$G$2:$G$50000,$C17,缺陷明细!$Q$2:$Q$50000,"已关闭",缺陷明细!$J$2:$J$50000,"验收测试")</f>
        <v>0</v>
      </c>
      <c r="W17" s="75">
        <f>COUNTIFS(缺陷明细!$A$2:$A$50000,$B$4,缺陷明细!$G$2:$G$50000,$C17,缺陷明细!$J$2:$J$50000,"验收测试",缺陷明细!$K$2:$K$50000,"致命",缺陷明细!$AB$2:$AB$50000,"&lt;&gt;丢弃",缺陷明细!$AB$2:$AB$50000,"&lt;&gt;设计如此",缺陷明细!$AB$2:$AB$50000,"&lt;&gt;重复Bug")+COUNTIFS(缺陷明细!$A$2:$A$50000,$B$4,缺陷明细!$G$2:$G$50000,$C17,缺陷明细!$J$2:$J$50000,"验收测试",缺陷明细!$K$2:$K$50000,"严重",缺陷明细!$AB$2:$AB$50000,"&lt;&gt;丢弃",缺陷明细!$AB$2:$AB$50000,"&lt;&gt;设计如此",缺陷明细!$AB$2:$AB$50000,"&lt;&gt;重复Bug")</f>
        <v>0</v>
      </c>
      <c r="X17" s="76">
        <f>COUNTIFS(缺陷明细!$A$2:$A$50000,$B$4,缺陷明细!$G$2:$G$50000,$C17,缺陷明细!$Q$2:$Q$50000,"已关闭",缺陷明细!$J$2:$J$50000,"验收测试",缺陷明细!$K$2:$K$50000,"致命")+COUNTIFS(缺陷明细!$A$2:$A$50000,$B$4,缺陷明细!$G$2:$G$50000,$C17,缺陷明细!$Q$2:$Q$50000,"已关闭",缺陷明细!$J$2:$J$50000,"验收测试",缺陷明细!$K$2:$K$50000,"严重")</f>
        <v>0</v>
      </c>
      <c r="Y17" s="70">
        <f>COUNTIFS(缺陷明细!$A$2:$A$50000,$B$4,缺陷明细!$G$2:$G$50000,$C17,缺陷明细!$J$2:$J$50000,"运维测试",缺陷明细!$AB$2:$AB$50000,"&lt;&gt;丢弃",缺陷明细!$AB$2:$AB$50000,"&lt;&gt;设计如此",缺陷明细!$AB$2:$AB$50000,"&lt;&gt;重复Bug")</f>
        <v>0</v>
      </c>
      <c r="Z17" s="71">
        <f>COUNTIFS(缺陷明细!$A$2:$A$50000,$B$4,缺陷明细!$G$2:$G$50000,$C17,缺陷明细!$Q$2:$Q$50000,"已关闭",缺陷明细!$J$2:$J$50000,"运维测试")</f>
        <v>0</v>
      </c>
      <c r="AA17" s="72">
        <f>COUNTIFS(缺陷明细!$A$2:$A$50000,$B$4,缺陷明细!$G$2:$G$50000,$C17,缺陷明细!$J$2:$J$50000,"运维测试",缺陷明细!$K$2:$K$50000,"致命",缺陷明细!$AB$2:$AB$50000,"&lt;&gt;丢弃",缺陷明细!$AB$2:$AB$50000,"&lt;&gt;设计如此",缺陷明细!$AB$2:$AB$50000,"&lt;&gt;重复Bug")+COUNTIFS(缺陷明细!$A$2:$A$50000,$B$4,缺陷明细!$G$2:$G$50000,$C17,缺陷明细!$J$2:$J$50000,"运维测试",缺陷明细!$K$2:$K$50000,"严重",缺陷明细!$AB$2:$AB$50000,"&lt;&gt;丢弃",缺陷明细!$AB$2:$AB$50000,"&lt;&gt;设计如此",缺陷明细!$AB$2:$AB$50000,"&lt;&gt;重复Bug")</f>
        <v>0</v>
      </c>
      <c r="AB17" s="73">
        <f>COUNTIFS(缺陷明细!$A$2:$A$50000,$B$4,缺陷明细!$G$2:$G$50000,$C17,缺陷明细!$Q$2:$Q$50000,"已关闭",缺陷明细!$J$2:$J$50000,"运维测试",缺陷明细!$K$2:$K$50000,"致命")+COUNTIFS(缺陷明细!$A$2:$A$50000,$B$4,缺陷明细!$G$2:$G$50000,$C17,缺陷明细!$Q$2:$Q$50000,"已关闭",缺陷明细!$J$2:$J$50000,"运维测试",缺陷明细!$K$2:$K$50000,"严重")</f>
        <v>0</v>
      </c>
      <c r="AC17" s="68">
        <f t="shared" si="0"/>
        <v>0</v>
      </c>
      <c r="AD17" s="60">
        <f t="shared" si="0"/>
        <v>0</v>
      </c>
      <c r="AE17" s="60">
        <f t="shared" si="1"/>
        <v>0</v>
      </c>
      <c r="AF17" s="60">
        <f t="shared" si="1"/>
        <v>0</v>
      </c>
      <c r="AG17" s="60">
        <f t="shared" si="2"/>
        <v>0</v>
      </c>
      <c r="AH17" s="60">
        <f t="shared" si="2"/>
        <v>0</v>
      </c>
      <c r="AI17" s="60">
        <f t="shared" si="3"/>
        <v>0</v>
      </c>
      <c r="AJ17" s="61">
        <f t="shared" si="3"/>
        <v>0</v>
      </c>
      <c r="AK17" s="144"/>
    </row>
    <row r="18" spans="1:37">
      <c r="A18">
        <v>14</v>
      </c>
      <c r="B18" s="57"/>
      <c r="C18" s="58"/>
      <c r="D18" s="84"/>
      <c r="E18" s="82"/>
      <c r="F18" s="158"/>
      <c r="G18" s="159"/>
      <c r="H18" s="281">
        <f>COUNTIFS(缺陷明细!$A$2:$A$50000,$B$4,缺陷明细!$G$2:$G$50000,$C18,缺陷明细!$J$2:$J$50000,"评审",缺陷明细!$AB$2:$AB$50000,"&lt;&gt;丢弃",缺陷明细!$AB$2:$AB$50000,"&lt;&gt;设计如此",缺陷明细!$AB$2:$AB$50000,"&lt;&gt;重复Bug")</f>
        <v>0</v>
      </c>
      <c r="I18" s="154">
        <f>COUNTIFS(缺陷明细!$A$2:$A$50000,$B$4,缺陷明细!$G$2:$G$50000,$C18,缺陷明细!$Q$2:$Q$50000,"已关闭",缺陷明细!$J$2:$J$50000,"评审")</f>
        <v>0</v>
      </c>
      <c r="J18" s="154">
        <f>COUNTIFS(缺陷明细!$A$2:$A$50000,$B$4,缺陷明细!$G$2:$G$50000,$C18,缺陷明细!$J$2:$J$50000,"单元测试",缺陷明细!$AB$2:$AB$50000,"&lt;&gt;丢弃",缺陷明细!$AB$2:$AB$50000,"&lt;&gt;设计如此",缺陷明细!$AB$2:$AB$50000,"&lt;&gt;重复Bug")</f>
        <v>0</v>
      </c>
      <c r="K18" s="155">
        <f>COUNTIFS(缺陷明细!$A$2:$A$50000,$B$4,缺陷明细!$G$2:$G$50000,$C18,缺陷明细!$Q$2:$Q$50000,"已关闭",缺陷明细!$J$2:$J$50000,"单元测试")</f>
        <v>0</v>
      </c>
      <c r="L18" s="156"/>
      <c r="M18" s="157"/>
      <c r="N18" s="72">
        <f>COUNTIFS(缺陷明细!$A$2:$A$50000,$B$4,缺陷明细!$G$2:$G$50000,$C18,缺陷明细!$J$2:$J$50000,"系统测试案例评审",缺陷明细!$AB$2:$AB$50000,"&lt;&gt;丢弃",缺陷明细!$AB$2:$AB$50000,"&lt;&gt;设计如此",缺陷明细!$AB$2:$AB$50000,"&lt;&gt;重复Bug")</f>
        <v>0</v>
      </c>
      <c r="O18" s="72">
        <f>COUNTIFS(缺陷明细!$A$2:$A$50000,$B$4,缺陷明细!$G$2:$G$50000,$C18,缺陷明细!$Q$2:$Q$50000,"已关闭",缺陷明细!$J$2:$J$50000,"系统测试案例评审")</f>
        <v>0</v>
      </c>
      <c r="P18" s="72">
        <f>COUNTIFS(缺陷明细!$A$2:$A$50000,$B$4,缺陷明细!$G$2:$G$50000,$C18,缺陷明细!$J$2:$J$50000,"系统测试",缺陷明细!$AB$2:$AB$50000,"&lt;&gt;丢弃",缺陷明细!$AB$2:$AB$50000,"&lt;&gt;设计如此",缺陷明细!$AB$2:$AB$50000,"&lt;&gt;重复Bug")</f>
        <v>0</v>
      </c>
      <c r="Q18" s="72">
        <f>COUNTIFS(缺陷明细!$A$2:$A$50000,$B$4,缺陷明细!$G$2:$G$50000,$C18,缺陷明细!$Q$2:$Q$50000,"已关闭",缺陷明细!$J$2:$J$50000,"系统测试")</f>
        <v>0</v>
      </c>
      <c r="R18" s="296">
        <f>COUNTIFS(缺陷明细!$A$2:$A$50000,$B$4,缺陷明细!$G$2:$G$50000,$C18,缺陷明细!$AB$2:$AB$50000,"丢弃",缺陷明细!$J$2:$J$50000,"系统测试")+COUNTIFS(缺陷明细!$A$2:$A$50000,$B$4,缺陷明细!$G$2:$G$50000,$C18,缺陷明细!$AB$2:$AB$50000,"设计如此",缺陷明细!$J$2:$J$50000,"系统测试")+COUNTIFS(缺陷明细!$A$2:$A$50000,$B$4,缺陷明细!$G$2:$G$50000,$C18,缺陷明细!$AB$2:$AB$50000,"重复Bug",缺陷明细!$J$2:$J$50000,"系统测试")</f>
        <v>0</v>
      </c>
      <c r="S18" s="72">
        <f>COUNTIFS(缺陷明细!$A$2:$A$50000,$B$4,缺陷明细!$G$2:$G$50000,$C18,缺陷明细!$J$2:$J$50000,"系统测试",缺陷明细!$K$2:$K$50000,"致命",缺陷明细!$AB$2:$AB$50000,"&lt;&gt;丢弃",缺陷明细!$AB$2:$AB$50000,"&lt;&gt;设计如此",缺陷明细!$AB$2:$AB$50000,"&lt;&gt;重复Bug")+COUNTIFS(缺陷明细!$A$2:$A$50000,$B$4,缺陷明细!$G$2:$G$50000,$C18,缺陷明细!$J$2:$J$50000,"系统测试",缺陷明细!$K$2:$K$50000,"严重",缺陷明细!$AB$2:$AB$50000,"&lt;&gt;丢弃",缺陷明细!$AB$2:$AB$50000,"&lt;&gt;设计如此",缺陷明细!$AB$2:$AB$50000,"&lt;&gt;重复Bug")</f>
        <v>0</v>
      </c>
      <c r="T18" s="73">
        <f>COUNTIFS(缺陷明细!$A$2:$A$50000,$B$4,缺陷明细!$G$2:$G$50000,$C18,缺陷明细!$Q$2:$Q$50000,"已关闭",缺陷明细!$J$2:$J$50000,"系统测试",缺陷明细!$K$2:$K$50000,"致命")+COUNTIFS(缺陷明细!$A$2:$A$50000,$B$4,缺陷明细!$G$2:$G$50000,$C18,缺陷明细!$Q$2:$Q$50000,"已关闭",缺陷明细!$J$2:$J$50000,"系统测试",缺陷明细!$K$2:$K$50000,"严重")</f>
        <v>0</v>
      </c>
      <c r="U18" s="74">
        <f>COUNTIFS(缺陷明细!$A$2:$A$50000,$B$4,缺陷明细!$G$2:$G$50000,$C18,缺陷明细!$J$2:$J$50000,"验收测试",缺陷明细!$AB$2:$AB$50000,"&lt;&gt;丢弃",缺陷明细!$AB$2:$AB$50000,"&lt;&gt;设计如此",缺陷明细!$AB$2:$AB$50000,"&lt;&gt;重复Bug")</f>
        <v>0</v>
      </c>
      <c r="V18" s="75">
        <f>COUNTIFS(缺陷明细!$A$2:$A$50000,$B$4,缺陷明细!$G$2:$G$50000,$C18,缺陷明细!$Q$2:$Q$50000,"已关闭",缺陷明细!$J$2:$J$50000,"验收测试")</f>
        <v>0</v>
      </c>
      <c r="W18" s="75">
        <f>COUNTIFS(缺陷明细!$A$2:$A$50000,$B$4,缺陷明细!$G$2:$G$50000,$C18,缺陷明细!$J$2:$J$50000,"验收测试",缺陷明细!$K$2:$K$50000,"致命",缺陷明细!$AB$2:$AB$50000,"&lt;&gt;丢弃",缺陷明细!$AB$2:$AB$50000,"&lt;&gt;设计如此",缺陷明细!$AB$2:$AB$50000,"&lt;&gt;重复Bug")+COUNTIFS(缺陷明细!$A$2:$A$50000,$B$4,缺陷明细!$G$2:$G$50000,$C18,缺陷明细!$J$2:$J$50000,"验收测试",缺陷明细!$K$2:$K$50000,"严重",缺陷明细!$AB$2:$AB$50000,"&lt;&gt;丢弃",缺陷明细!$AB$2:$AB$50000,"&lt;&gt;设计如此",缺陷明细!$AB$2:$AB$50000,"&lt;&gt;重复Bug")</f>
        <v>0</v>
      </c>
      <c r="X18" s="76">
        <f>COUNTIFS(缺陷明细!$A$2:$A$50000,$B$4,缺陷明细!$G$2:$G$50000,$C18,缺陷明细!$Q$2:$Q$50000,"已关闭",缺陷明细!$J$2:$J$50000,"验收测试",缺陷明细!$K$2:$K$50000,"致命")+COUNTIFS(缺陷明细!$A$2:$A$50000,$B$4,缺陷明细!$G$2:$G$50000,$C18,缺陷明细!$Q$2:$Q$50000,"已关闭",缺陷明细!$J$2:$J$50000,"验收测试",缺陷明细!$K$2:$K$50000,"严重")</f>
        <v>0</v>
      </c>
      <c r="Y18" s="70">
        <f>COUNTIFS(缺陷明细!$A$2:$A$50000,$B$4,缺陷明细!$G$2:$G$50000,$C18,缺陷明细!$J$2:$J$50000,"运维测试",缺陷明细!$AB$2:$AB$50000,"&lt;&gt;丢弃",缺陷明细!$AB$2:$AB$50000,"&lt;&gt;设计如此",缺陷明细!$AB$2:$AB$50000,"&lt;&gt;重复Bug")</f>
        <v>0</v>
      </c>
      <c r="Z18" s="71">
        <f>COUNTIFS(缺陷明细!$A$2:$A$50000,$B$4,缺陷明细!$G$2:$G$50000,$C18,缺陷明细!$Q$2:$Q$50000,"已关闭",缺陷明细!$J$2:$J$50000,"运维测试")</f>
        <v>0</v>
      </c>
      <c r="AA18" s="72">
        <f>COUNTIFS(缺陷明细!$A$2:$A$50000,$B$4,缺陷明细!$G$2:$G$50000,$C18,缺陷明细!$J$2:$J$50000,"运维测试",缺陷明细!$K$2:$K$50000,"致命",缺陷明细!$AB$2:$AB$50000,"&lt;&gt;丢弃",缺陷明细!$AB$2:$AB$50000,"&lt;&gt;设计如此",缺陷明细!$AB$2:$AB$50000,"&lt;&gt;重复Bug")+COUNTIFS(缺陷明细!$A$2:$A$50000,$B$4,缺陷明细!$G$2:$G$50000,$C18,缺陷明细!$J$2:$J$50000,"运维测试",缺陷明细!$K$2:$K$50000,"严重",缺陷明细!$AB$2:$AB$50000,"&lt;&gt;丢弃",缺陷明细!$AB$2:$AB$50000,"&lt;&gt;设计如此",缺陷明细!$AB$2:$AB$50000,"&lt;&gt;重复Bug")</f>
        <v>0</v>
      </c>
      <c r="AB18" s="73">
        <f>COUNTIFS(缺陷明细!$A$2:$A$50000,$B$4,缺陷明细!$G$2:$G$50000,$C18,缺陷明细!$Q$2:$Q$50000,"已关闭",缺陷明细!$J$2:$J$50000,"运维测试",缺陷明细!$K$2:$K$50000,"致命")+COUNTIFS(缺陷明细!$A$2:$A$50000,$B$4,缺陷明细!$G$2:$G$50000,$C18,缺陷明细!$Q$2:$Q$50000,"已关闭",缺陷明细!$J$2:$J$50000,"运维测试",缺陷明细!$K$2:$K$50000,"严重")</f>
        <v>0</v>
      </c>
      <c r="AC18" s="68">
        <f t="shared" si="0"/>
        <v>0</v>
      </c>
      <c r="AD18" s="60">
        <f t="shared" si="0"/>
        <v>0</v>
      </c>
      <c r="AE18" s="60">
        <f t="shared" si="1"/>
        <v>0</v>
      </c>
      <c r="AF18" s="60">
        <f t="shared" si="1"/>
        <v>0</v>
      </c>
      <c r="AG18" s="60">
        <f t="shared" si="2"/>
        <v>0</v>
      </c>
      <c r="AH18" s="60">
        <f t="shared" si="2"/>
        <v>0</v>
      </c>
      <c r="AI18" s="60">
        <f t="shared" si="3"/>
        <v>0</v>
      </c>
      <c r="AJ18" s="61">
        <f t="shared" si="3"/>
        <v>0</v>
      </c>
      <c r="AK18" s="144"/>
    </row>
    <row r="19" spans="1:37">
      <c r="A19">
        <v>15</v>
      </c>
      <c r="B19" s="57"/>
      <c r="C19" s="58"/>
      <c r="D19" s="84"/>
      <c r="E19" s="82"/>
      <c r="F19" s="158"/>
      <c r="G19" s="159"/>
      <c r="H19" s="281">
        <f>COUNTIFS(缺陷明细!$A$2:$A$50000,$B$4,缺陷明细!$G$2:$G$50000,$C19,缺陷明细!$J$2:$J$50000,"评审",缺陷明细!$AB$2:$AB$50000,"&lt;&gt;丢弃",缺陷明细!$AB$2:$AB$50000,"&lt;&gt;设计如此",缺陷明细!$AB$2:$AB$50000,"&lt;&gt;重复Bug")</f>
        <v>0</v>
      </c>
      <c r="I19" s="154">
        <f>COUNTIFS(缺陷明细!$A$2:$A$50000,$B$4,缺陷明细!$G$2:$G$50000,$C19,缺陷明细!$Q$2:$Q$50000,"已关闭",缺陷明细!$J$2:$J$50000,"评审")</f>
        <v>0</v>
      </c>
      <c r="J19" s="154">
        <f>COUNTIFS(缺陷明细!$A$2:$A$50000,$B$4,缺陷明细!$G$2:$G$50000,$C19,缺陷明细!$J$2:$J$50000,"单元测试",缺陷明细!$AB$2:$AB$50000,"&lt;&gt;丢弃",缺陷明细!$AB$2:$AB$50000,"&lt;&gt;设计如此",缺陷明细!$AB$2:$AB$50000,"&lt;&gt;重复Bug")</f>
        <v>0</v>
      </c>
      <c r="K19" s="155">
        <f>COUNTIFS(缺陷明细!$A$2:$A$50000,$B$4,缺陷明细!$G$2:$G$50000,$C19,缺陷明细!$Q$2:$Q$50000,"已关闭",缺陷明细!$J$2:$J$50000,"单元测试")</f>
        <v>0</v>
      </c>
      <c r="L19" s="156"/>
      <c r="M19" s="157"/>
      <c r="N19" s="72">
        <f>COUNTIFS(缺陷明细!$A$2:$A$50000,$B$4,缺陷明细!$G$2:$G$50000,$C19,缺陷明细!$J$2:$J$50000,"系统测试案例评审",缺陷明细!$AB$2:$AB$50000,"&lt;&gt;丢弃",缺陷明细!$AB$2:$AB$50000,"&lt;&gt;设计如此",缺陷明细!$AB$2:$AB$50000,"&lt;&gt;重复Bug")</f>
        <v>0</v>
      </c>
      <c r="O19" s="72">
        <f>COUNTIFS(缺陷明细!$A$2:$A$50000,$B$4,缺陷明细!$G$2:$G$50000,$C19,缺陷明细!$Q$2:$Q$50000,"已关闭",缺陷明细!$J$2:$J$50000,"系统测试案例评审")</f>
        <v>0</v>
      </c>
      <c r="P19" s="72">
        <f>COUNTIFS(缺陷明细!$A$2:$A$50000,$B$4,缺陷明细!$G$2:$G$50000,$C19,缺陷明细!$J$2:$J$50000,"系统测试",缺陷明细!$AB$2:$AB$50000,"&lt;&gt;丢弃",缺陷明细!$AB$2:$AB$50000,"&lt;&gt;设计如此",缺陷明细!$AB$2:$AB$50000,"&lt;&gt;重复Bug")</f>
        <v>0</v>
      </c>
      <c r="Q19" s="72">
        <f>COUNTIFS(缺陷明细!$A$2:$A$50000,$B$4,缺陷明细!$G$2:$G$50000,$C19,缺陷明细!$Q$2:$Q$50000,"已关闭",缺陷明细!$J$2:$J$50000,"系统测试")</f>
        <v>0</v>
      </c>
      <c r="R19" s="296">
        <f>COUNTIFS(缺陷明细!$A$2:$A$50000,$B$4,缺陷明细!$G$2:$G$50000,$C19,缺陷明细!$AB$2:$AB$50000,"丢弃",缺陷明细!$J$2:$J$50000,"系统测试")+COUNTIFS(缺陷明细!$A$2:$A$50000,$B$4,缺陷明细!$G$2:$G$50000,$C19,缺陷明细!$AB$2:$AB$50000,"设计如此",缺陷明细!$J$2:$J$50000,"系统测试")+COUNTIFS(缺陷明细!$A$2:$A$50000,$B$4,缺陷明细!$G$2:$G$50000,$C19,缺陷明细!$AB$2:$AB$50000,"重复Bug",缺陷明细!$J$2:$J$50000,"系统测试")</f>
        <v>0</v>
      </c>
      <c r="S19" s="72">
        <f>COUNTIFS(缺陷明细!$A$2:$A$50000,$B$4,缺陷明细!$G$2:$G$50000,$C19,缺陷明细!$J$2:$J$50000,"系统测试",缺陷明细!$K$2:$K$50000,"致命",缺陷明细!$AB$2:$AB$50000,"&lt;&gt;丢弃",缺陷明细!$AB$2:$AB$50000,"&lt;&gt;设计如此",缺陷明细!$AB$2:$AB$50000,"&lt;&gt;重复Bug")+COUNTIFS(缺陷明细!$A$2:$A$50000,$B$4,缺陷明细!$G$2:$G$50000,$C19,缺陷明细!$J$2:$J$50000,"系统测试",缺陷明细!$K$2:$K$50000,"严重",缺陷明细!$AB$2:$AB$50000,"&lt;&gt;丢弃",缺陷明细!$AB$2:$AB$50000,"&lt;&gt;设计如此",缺陷明细!$AB$2:$AB$50000,"&lt;&gt;重复Bug")</f>
        <v>0</v>
      </c>
      <c r="T19" s="73">
        <f>COUNTIFS(缺陷明细!$A$2:$A$50000,$B$4,缺陷明细!$G$2:$G$50000,$C19,缺陷明细!$Q$2:$Q$50000,"已关闭",缺陷明细!$J$2:$J$50000,"系统测试",缺陷明细!$K$2:$K$50000,"致命")+COUNTIFS(缺陷明细!$A$2:$A$50000,$B$4,缺陷明细!$G$2:$G$50000,$C19,缺陷明细!$Q$2:$Q$50000,"已关闭",缺陷明细!$J$2:$J$50000,"系统测试",缺陷明细!$K$2:$K$50000,"严重")</f>
        <v>0</v>
      </c>
      <c r="U19" s="74">
        <f>COUNTIFS(缺陷明细!$A$2:$A$50000,$B$4,缺陷明细!$G$2:$G$50000,$C19,缺陷明细!$J$2:$J$50000,"验收测试",缺陷明细!$AB$2:$AB$50000,"&lt;&gt;丢弃",缺陷明细!$AB$2:$AB$50000,"&lt;&gt;设计如此",缺陷明细!$AB$2:$AB$50000,"&lt;&gt;重复Bug")</f>
        <v>0</v>
      </c>
      <c r="V19" s="75">
        <f>COUNTIFS(缺陷明细!$A$2:$A$50000,$B$4,缺陷明细!$G$2:$G$50000,$C19,缺陷明细!$Q$2:$Q$50000,"已关闭",缺陷明细!$J$2:$J$50000,"验收测试")</f>
        <v>0</v>
      </c>
      <c r="W19" s="75">
        <f>COUNTIFS(缺陷明细!$A$2:$A$50000,$B$4,缺陷明细!$G$2:$G$50000,$C19,缺陷明细!$J$2:$J$50000,"验收测试",缺陷明细!$K$2:$K$50000,"致命",缺陷明细!$AB$2:$AB$50000,"&lt;&gt;丢弃",缺陷明细!$AB$2:$AB$50000,"&lt;&gt;设计如此",缺陷明细!$AB$2:$AB$50000,"&lt;&gt;重复Bug")+COUNTIFS(缺陷明细!$A$2:$A$50000,$B$4,缺陷明细!$G$2:$G$50000,$C19,缺陷明细!$J$2:$J$50000,"验收测试",缺陷明细!$K$2:$K$50000,"严重",缺陷明细!$AB$2:$AB$50000,"&lt;&gt;丢弃",缺陷明细!$AB$2:$AB$50000,"&lt;&gt;设计如此",缺陷明细!$AB$2:$AB$50000,"&lt;&gt;重复Bug")</f>
        <v>0</v>
      </c>
      <c r="X19" s="76">
        <f>COUNTIFS(缺陷明细!$A$2:$A$50000,$B$4,缺陷明细!$G$2:$G$50000,$C19,缺陷明细!$Q$2:$Q$50000,"已关闭",缺陷明细!$J$2:$J$50000,"验收测试",缺陷明细!$K$2:$K$50000,"致命")+COUNTIFS(缺陷明细!$A$2:$A$50000,$B$4,缺陷明细!$G$2:$G$50000,$C19,缺陷明细!$Q$2:$Q$50000,"已关闭",缺陷明细!$J$2:$J$50000,"验收测试",缺陷明细!$K$2:$K$50000,"严重")</f>
        <v>0</v>
      </c>
      <c r="Y19" s="70">
        <f>COUNTIFS(缺陷明细!$A$2:$A$50000,$B$4,缺陷明细!$G$2:$G$50000,$C19,缺陷明细!$J$2:$J$50000,"运维测试",缺陷明细!$AB$2:$AB$50000,"&lt;&gt;丢弃",缺陷明细!$AB$2:$AB$50000,"&lt;&gt;设计如此",缺陷明细!$AB$2:$AB$50000,"&lt;&gt;重复Bug")</f>
        <v>0</v>
      </c>
      <c r="Z19" s="71">
        <f>COUNTIFS(缺陷明细!$A$2:$A$50000,$B$4,缺陷明细!$G$2:$G$50000,$C19,缺陷明细!$Q$2:$Q$50000,"已关闭",缺陷明细!$J$2:$J$50000,"运维测试")</f>
        <v>0</v>
      </c>
      <c r="AA19" s="72">
        <f>COUNTIFS(缺陷明细!$A$2:$A$50000,$B$4,缺陷明细!$G$2:$G$50000,$C19,缺陷明细!$J$2:$J$50000,"运维测试",缺陷明细!$K$2:$K$50000,"致命",缺陷明细!$AB$2:$AB$50000,"&lt;&gt;丢弃",缺陷明细!$AB$2:$AB$50000,"&lt;&gt;设计如此",缺陷明细!$AB$2:$AB$50000,"&lt;&gt;重复Bug")+COUNTIFS(缺陷明细!$A$2:$A$50000,$B$4,缺陷明细!$G$2:$G$50000,$C19,缺陷明细!$J$2:$J$50000,"运维测试",缺陷明细!$K$2:$K$50000,"严重",缺陷明细!$AB$2:$AB$50000,"&lt;&gt;丢弃",缺陷明细!$AB$2:$AB$50000,"&lt;&gt;设计如此",缺陷明细!$AB$2:$AB$50000,"&lt;&gt;重复Bug")</f>
        <v>0</v>
      </c>
      <c r="AB19" s="73">
        <f>COUNTIFS(缺陷明细!$A$2:$A$50000,$B$4,缺陷明细!$G$2:$G$50000,$C19,缺陷明细!$Q$2:$Q$50000,"已关闭",缺陷明细!$J$2:$J$50000,"运维测试",缺陷明细!$K$2:$K$50000,"致命")+COUNTIFS(缺陷明细!$A$2:$A$50000,$B$4,缺陷明细!$G$2:$G$50000,$C19,缺陷明细!$Q$2:$Q$50000,"已关闭",缺陷明细!$J$2:$J$50000,"运维测试",缺陷明细!$K$2:$K$50000,"严重")</f>
        <v>0</v>
      </c>
      <c r="AC19" s="68">
        <f t="shared" si="0"/>
        <v>0</v>
      </c>
      <c r="AD19" s="60">
        <f t="shared" si="0"/>
        <v>0</v>
      </c>
      <c r="AE19" s="60">
        <f t="shared" si="1"/>
        <v>0</v>
      </c>
      <c r="AF19" s="60">
        <f t="shared" si="1"/>
        <v>0</v>
      </c>
      <c r="AG19" s="60">
        <f t="shared" si="2"/>
        <v>0</v>
      </c>
      <c r="AH19" s="60">
        <f t="shared" si="2"/>
        <v>0</v>
      </c>
      <c r="AI19" s="60">
        <f t="shared" si="3"/>
        <v>0</v>
      </c>
      <c r="AJ19" s="61">
        <f t="shared" si="3"/>
        <v>0</v>
      </c>
      <c r="AK19" s="144"/>
    </row>
    <row r="20" spans="1:37">
      <c r="A20">
        <v>16</v>
      </c>
      <c r="B20" s="57"/>
      <c r="C20" s="58"/>
      <c r="D20" s="84"/>
      <c r="E20" s="82"/>
      <c r="F20" s="158"/>
      <c r="G20" s="159"/>
      <c r="H20" s="281">
        <f>COUNTIFS(缺陷明细!$A$2:$A$50000,$B$4,缺陷明细!$G$2:$G$50000,$C20,缺陷明细!$J$2:$J$50000,"评审",缺陷明细!$AB$2:$AB$50000,"&lt;&gt;丢弃",缺陷明细!$AB$2:$AB$50000,"&lt;&gt;设计如此",缺陷明细!$AB$2:$AB$50000,"&lt;&gt;重复Bug")</f>
        <v>0</v>
      </c>
      <c r="I20" s="154">
        <f>COUNTIFS(缺陷明细!$A$2:$A$50000,$B$4,缺陷明细!$G$2:$G$50000,$C20,缺陷明细!$Q$2:$Q$50000,"已关闭",缺陷明细!$J$2:$J$50000,"评审")</f>
        <v>0</v>
      </c>
      <c r="J20" s="154">
        <f>COUNTIFS(缺陷明细!$A$2:$A$50000,$B$4,缺陷明细!$G$2:$G$50000,$C20,缺陷明细!$J$2:$J$50000,"单元测试",缺陷明细!$AB$2:$AB$50000,"&lt;&gt;丢弃",缺陷明细!$AB$2:$AB$50000,"&lt;&gt;设计如此",缺陷明细!$AB$2:$AB$50000,"&lt;&gt;重复Bug")</f>
        <v>0</v>
      </c>
      <c r="K20" s="155">
        <f>COUNTIFS(缺陷明细!$A$2:$A$50000,$B$4,缺陷明细!$G$2:$G$50000,$C20,缺陷明细!$Q$2:$Q$50000,"已关闭",缺陷明细!$J$2:$J$50000,"单元测试")</f>
        <v>0</v>
      </c>
      <c r="L20" s="156"/>
      <c r="M20" s="157"/>
      <c r="N20" s="72">
        <f>COUNTIFS(缺陷明细!$A$2:$A$50000,$B$4,缺陷明细!$G$2:$G$50000,$C20,缺陷明细!$J$2:$J$50000,"系统测试案例评审",缺陷明细!$AB$2:$AB$50000,"&lt;&gt;丢弃",缺陷明细!$AB$2:$AB$50000,"&lt;&gt;设计如此",缺陷明细!$AB$2:$AB$50000,"&lt;&gt;重复Bug")</f>
        <v>0</v>
      </c>
      <c r="O20" s="72">
        <f>COUNTIFS(缺陷明细!$A$2:$A$50000,$B$4,缺陷明细!$G$2:$G$50000,$C20,缺陷明细!$Q$2:$Q$50000,"已关闭",缺陷明细!$J$2:$J$50000,"系统测试案例评审")</f>
        <v>0</v>
      </c>
      <c r="P20" s="72">
        <f>COUNTIFS(缺陷明细!$A$2:$A$50000,$B$4,缺陷明细!$G$2:$G$50000,$C20,缺陷明细!$J$2:$J$50000,"系统测试",缺陷明细!$AB$2:$AB$50000,"&lt;&gt;丢弃",缺陷明细!$AB$2:$AB$50000,"&lt;&gt;设计如此",缺陷明细!$AB$2:$AB$50000,"&lt;&gt;重复Bug")</f>
        <v>0</v>
      </c>
      <c r="Q20" s="72">
        <f>COUNTIFS(缺陷明细!$A$2:$A$50000,$B$4,缺陷明细!$G$2:$G$50000,$C20,缺陷明细!$Q$2:$Q$50000,"已关闭",缺陷明细!$J$2:$J$50000,"系统测试")</f>
        <v>0</v>
      </c>
      <c r="R20" s="296">
        <f>COUNTIFS(缺陷明细!$A$2:$A$50000,$B$4,缺陷明细!$G$2:$G$50000,$C20,缺陷明细!$AB$2:$AB$50000,"丢弃",缺陷明细!$J$2:$J$50000,"系统测试")+COUNTIFS(缺陷明细!$A$2:$A$50000,$B$4,缺陷明细!$G$2:$G$50000,$C20,缺陷明细!$AB$2:$AB$50000,"设计如此",缺陷明细!$J$2:$J$50000,"系统测试")+COUNTIFS(缺陷明细!$A$2:$A$50000,$B$4,缺陷明细!$G$2:$G$50000,$C20,缺陷明细!$AB$2:$AB$50000,"重复Bug",缺陷明细!$J$2:$J$50000,"系统测试")</f>
        <v>0</v>
      </c>
      <c r="S20" s="72">
        <f>COUNTIFS(缺陷明细!$A$2:$A$50000,$B$4,缺陷明细!$G$2:$G$50000,$C20,缺陷明细!$J$2:$J$50000,"系统测试",缺陷明细!$K$2:$K$50000,"致命",缺陷明细!$AB$2:$AB$50000,"&lt;&gt;丢弃",缺陷明细!$AB$2:$AB$50000,"&lt;&gt;设计如此",缺陷明细!$AB$2:$AB$50000,"&lt;&gt;重复Bug")+COUNTIFS(缺陷明细!$A$2:$A$50000,$B$4,缺陷明细!$G$2:$G$50000,$C20,缺陷明细!$J$2:$J$50000,"系统测试",缺陷明细!$K$2:$K$50000,"严重",缺陷明细!$AB$2:$AB$50000,"&lt;&gt;丢弃",缺陷明细!$AB$2:$AB$50000,"&lt;&gt;设计如此",缺陷明细!$AB$2:$AB$50000,"&lt;&gt;重复Bug")</f>
        <v>0</v>
      </c>
      <c r="T20" s="73">
        <f>COUNTIFS(缺陷明细!$A$2:$A$50000,$B$4,缺陷明细!$G$2:$G$50000,$C20,缺陷明细!$Q$2:$Q$50000,"已关闭",缺陷明细!$J$2:$J$50000,"系统测试",缺陷明细!$K$2:$K$50000,"致命")+COUNTIFS(缺陷明细!$A$2:$A$50000,$B$4,缺陷明细!$G$2:$G$50000,$C20,缺陷明细!$Q$2:$Q$50000,"已关闭",缺陷明细!$J$2:$J$50000,"系统测试",缺陷明细!$K$2:$K$50000,"严重")</f>
        <v>0</v>
      </c>
      <c r="U20" s="74">
        <f>COUNTIFS(缺陷明细!$A$2:$A$50000,$B$4,缺陷明细!$G$2:$G$50000,$C20,缺陷明细!$J$2:$J$50000,"验收测试",缺陷明细!$AB$2:$AB$50000,"&lt;&gt;丢弃",缺陷明细!$AB$2:$AB$50000,"&lt;&gt;设计如此",缺陷明细!$AB$2:$AB$50000,"&lt;&gt;重复Bug")</f>
        <v>0</v>
      </c>
      <c r="V20" s="75">
        <f>COUNTIFS(缺陷明细!$A$2:$A$50000,$B$4,缺陷明细!$G$2:$G$50000,$C20,缺陷明细!$Q$2:$Q$50000,"已关闭",缺陷明细!$J$2:$J$50000,"验收测试")</f>
        <v>0</v>
      </c>
      <c r="W20" s="75">
        <f>COUNTIFS(缺陷明细!$A$2:$A$50000,$B$4,缺陷明细!$G$2:$G$50000,$C20,缺陷明细!$J$2:$J$50000,"验收测试",缺陷明细!$K$2:$K$50000,"致命",缺陷明细!$AB$2:$AB$50000,"&lt;&gt;丢弃",缺陷明细!$AB$2:$AB$50000,"&lt;&gt;设计如此",缺陷明细!$AB$2:$AB$50000,"&lt;&gt;重复Bug")+COUNTIFS(缺陷明细!$A$2:$A$50000,$B$4,缺陷明细!$G$2:$G$50000,$C20,缺陷明细!$J$2:$J$50000,"验收测试",缺陷明细!$K$2:$K$50000,"严重",缺陷明细!$AB$2:$AB$50000,"&lt;&gt;丢弃",缺陷明细!$AB$2:$AB$50000,"&lt;&gt;设计如此",缺陷明细!$AB$2:$AB$50000,"&lt;&gt;重复Bug")</f>
        <v>0</v>
      </c>
      <c r="X20" s="76">
        <f>COUNTIFS(缺陷明细!$A$2:$A$50000,$B$4,缺陷明细!$G$2:$G$50000,$C20,缺陷明细!$Q$2:$Q$50000,"已关闭",缺陷明细!$J$2:$J$50000,"验收测试",缺陷明细!$K$2:$K$50000,"致命")+COUNTIFS(缺陷明细!$A$2:$A$50000,$B$4,缺陷明细!$G$2:$G$50000,$C20,缺陷明细!$Q$2:$Q$50000,"已关闭",缺陷明细!$J$2:$J$50000,"验收测试",缺陷明细!$K$2:$K$50000,"严重")</f>
        <v>0</v>
      </c>
      <c r="Y20" s="70">
        <f>COUNTIFS(缺陷明细!$A$2:$A$50000,$B$4,缺陷明细!$G$2:$G$50000,$C20,缺陷明细!$J$2:$J$50000,"运维测试",缺陷明细!$AB$2:$AB$50000,"&lt;&gt;丢弃",缺陷明细!$AB$2:$AB$50000,"&lt;&gt;设计如此",缺陷明细!$AB$2:$AB$50000,"&lt;&gt;重复Bug")</f>
        <v>0</v>
      </c>
      <c r="Z20" s="71">
        <f>COUNTIFS(缺陷明细!$A$2:$A$50000,$B$4,缺陷明细!$G$2:$G$50000,$C20,缺陷明细!$Q$2:$Q$50000,"已关闭",缺陷明细!$J$2:$J$50000,"运维测试")</f>
        <v>0</v>
      </c>
      <c r="AA20" s="72">
        <f>COUNTIFS(缺陷明细!$A$2:$A$50000,$B$4,缺陷明细!$G$2:$G$50000,$C20,缺陷明细!$J$2:$J$50000,"运维测试",缺陷明细!$K$2:$K$50000,"致命",缺陷明细!$AB$2:$AB$50000,"&lt;&gt;丢弃",缺陷明细!$AB$2:$AB$50000,"&lt;&gt;设计如此",缺陷明细!$AB$2:$AB$50000,"&lt;&gt;重复Bug")+COUNTIFS(缺陷明细!$A$2:$A$50000,$B$4,缺陷明细!$G$2:$G$50000,$C20,缺陷明细!$J$2:$J$50000,"运维测试",缺陷明细!$K$2:$K$50000,"严重",缺陷明细!$AB$2:$AB$50000,"&lt;&gt;丢弃",缺陷明细!$AB$2:$AB$50000,"&lt;&gt;设计如此",缺陷明细!$AB$2:$AB$50000,"&lt;&gt;重复Bug")</f>
        <v>0</v>
      </c>
      <c r="AB20" s="73">
        <f>COUNTIFS(缺陷明细!$A$2:$A$50000,$B$4,缺陷明细!$G$2:$G$50000,$C20,缺陷明细!$Q$2:$Q$50000,"已关闭",缺陷明细!$J$2:$J$50000,"运维测试",缺陷明细!$K$2:$K$50000,"致命")+COUNTIFS(缺陷明细!$A$2:$A$50000,$B$4,缺陷明细!$G$2:$G$50000,$C20,缺陷明细!$Q$2:$Q$50000,"已关闭",缺陷明细!$J$2:$J$50000,"运维测试",缺陷明细!$K$2:$K$50000,"严重")</f>
        <v>0</v>
      </c>
      <c r="AC20" s="68">
        <f t="shared" si="0"/>
        <v>0</v>
      </c>
      <c r="AD20" s="60">
        <f t="shared" si="0"/>
        <v>0</v>
      </c>
      <c r="AE20" s="60">
        <f t="shared" si="1"/>
        <v>0</v>
      </c>
      <c r="AF20" s="60">
        <f t="shared" si="1"/>
        <v>0</v>
      </c>
      <c r="AG20" s="60">
        <f t="shared" si="2"/>
        <v>0</v>
      </c>
      <c r="AH20" s="60">
        <f t="shared" si="2"/>
        <v>0</v>
      </c>
      <c r="AI20" s="60">
        <f t="shared" si="3"/>
        <v>0</v>
      </c>
      <c r="AJ20" s="61">
        <f t="shared" si="3"/>
        <v>0</v>
      </c>
      <c r="AK20" s="144"/>
    </row>
    <row r="21" spans="1:37">
      <c r="A21">
        <v>17</v>
      </c>
      <c r="B21" s="57"/>
      <c r="C21" s="58"/>
      <c r="D21" s="84"/>
      <c r="E21" s="82"/>
      <c r="F21" s="158"/>
      <c r="G21" s="159"/>
      <c r="H21" s="281">
        <f>COUNTIFS(缺陷明细!$A$2:$A$50000,$B$4,缺陷明细!$G$2:$G$50000,$C21,缺陷明细!$J$2:$J$50000,"评审",缺陷明细!$AB$2:$AB$50000,"&lt;&gt;丢弃",缺陷明细!$AB$2:$AB$50000,"&lt;&gt;设计如此",缺陷明细!$AB$2:$AB$50000,"&lt;&gt;重复Bug")</f>
        <v>0</v>
      </c>
      <c r="I21" s="154">
        <f>COUNTIFS(缺陷明细!$A$2:$A$50000,$B$4,缺陷明细!$G$2:$G$50000,$C21,缺陷明细!$Q$2:$Q$50000,"已关闭",缺陷明细!$J$2:$J$50000,"评审")</f>
        <v>0</v>
      </c>
      <c r="J21" s="154">
        <f>COUNTIFS(缺陷明细!$A$2:$A$50000,$B$4,缺陷明细!$G$2:$G$50000,$C21,缺陷明细!$J$2:$J$50000,"单元测试",缺陷明细!$AB$2:$AB$50000,"&lt;&gt;丢弃",缺陷明细!$AB$2:$AB$50000,"&lt;&gt;设计如此",缺陷明细!$AB$2:$AB$50000,"&lt;&gt;重复Bug")</f>
        <v>0</v>
      </c>
      <c r="K21" s="155">
        <f>COUNTIFS(缺陷明细!$A$2:$A$50000,$B$4,缺陷明细!$G$2:$G$50000,$C21,缺陷明细!$Q$2:$Q$50000,"已关闭",缺陷明细!$J$2:$J$50000,"单元测试")</f>
        <v>0</v>
      </c>
      <c r="L21" s="156"/>
      <c r="M21" s="157"/>
      <c r="N21" s="72">
        <f>COUNTIFS(缺陷明细!$A$2:$A$50000,$B$4,缺陷明细!$G$2:$G$50000,$C21,缺陷明细!$J$2:$J$50000,"系统测试案例评审",缺陷明细!$AB$2:$AB$50000,"&lt;&gt;丢弃",缺陷明细!$AB$2:$AB$50000,"&lt;&gt;设计如此",缺陷明细!$AB$2:$AB$50000,"&lt;&gt;重复Bug")</f>
        <v>0</v>
      </c>
      <c r="O21" s="72">
        <f>COUNTIFS(缺陷明细!$A$2:$A$50000,$B$4,缺陷明细!$G$2:$G$50000,$C21,缺陷明细!$Q$2:$Q$50000,"已关闭",缺陷明细!$J$2:$J$50000,"系统测试案例评审")</f>
        <v>0</v>
      </c>
      <c r="P21" s="72">
        <f>COUNTIFS(缺陷明细!$A$2:$A$50000,$B$4,缺陷明细!$G$2:$G$50000,$C21,缺陷明细!$J$2:$J$50000,"系统测试",缺陷明细!$AB$2:$AB$50000,"&lt;&gt;丢弃",缺陷明细!$AB$2:$AB$50000,"&lt;&gt;设计如此",缺陷明细!$AB$2:$AB$50000,"&lt;&gt;重复Bug")</f>
        <v>0</v>
      </c>
      <c r="Q21" s="72">
        <f>COUNTIFS(缺陷明细!$A$2:$A$50000,$B$4,缺陷明细!$G$2:$G$50000,$C21,缺陷明细!$Q$2:$Q$50000,"已关闭",缺陷明细!$J$2:$J$50000,"系统测试")</f>
        <v>0</v>
      </c>
      <c r="R21" s="296">
        <f>COUNTIFS(缺陷明细!$A$2:$A$50000,$B$4,缺陷明细!$G$2:$G$50000,$C21,缺陷明细!$AB$2:$AB$50000,"丢弃",缺陷明细!$J$2:$J$50000,"系统测试")+COUNTIFS(缺陷明细!$A$2:$A$50000,$B$4,缺陷明细!$G$2:$G$50000,$C21,缺陷明细!$AB$2:$AB$50000,"设计如此",缺陷明细!$J$2:$J$50000,"系统测试")+COUNTIFS(缺陷明细!$A$2:$A$50000,$B$4,缺陷明细!$G$2:$G$50000,$C21,缺陷明细!$AB$2:$AB$50000,"重复Bug",缺陷明细!$J$2:$J$50000,"系统测试")</f>
        <v>0</v>
      </c>
      <c r="S21" s="72">
        <f>COUNTIFS(缺陷明细!$A$2:$A$50000,$B$4,缺陷明细!$G$2:$G$50000,$C21,缺陷明细!$J$2:$J$50000,"系统测试",缺陷明细!$K$2:$K$50000,"致命",缺陷明细!$AB$2:$AB$50000,"&lt;&gt;丢弃",缺陷明细!$AB$2:$AB$50000,"&lt;&gt;设计如此",缺陷明细!$AB$2:$AB$50000,"&lt;&gt;重复Bug")+COUNTIFS(缺陷明细!$A$2:$A$50000,$B$4,缺陷明细!$G$2:$G$50000,$C21,缺陷明细!$J$2:$J$50000,"系统测试",缺陷明细!$K$2:$K$50000,"严重",缺陷明细!$AB$2:$AB$50000,"&lt;&gt;丢弃",缺陷明细!$AB$2:$AB$50000,"&lt;&gt;设计如此",缺陷明细!$AB$2:$AB$50000,"&lt;&gt;重复Bug")</f>
        <v>0</v>
      </c>
      <c r="T21" s="73">
        <f>COUNTIFS(缺陷明细!$A$2:$A$50000,$B$4,缺陷明细!$G$2:$G$50000,$C21,缺陷明细!$Q$2:$Q$50000,"已关闭",缺陷明细!$J$2:$J$50000,"系统测试",缺陷明细!$K$2:$K$50000,"致命")+COUNTIFS(缺陷明细!$A$2:$A$50000,$B$4,缺陷明细!$G$2:$G$50000,$C21,缺陷明细!$Q$2:$Q$50000,"已关闭",缺陷明细!$J$2:$J$50000,"系统测试",缺陷明细!$K$2:$K$50000,"严重")</f>
        <v>0</v>
      </c>
      <c r="U21" s="74">
        <f>COUNTIFS(缺陷明细!$A$2:$A$50000,$B$4,缺陷明细!$G$2:$G$50000,$C21,缺陷明细!$J$2:$J$50000,"验收测试",缺陷明细!$AB$2:$AB$50000,"&lt;&gt;丢弃",缺陷明细!$AB$2:$AB$50000,"&lt;&gt;设计如此",缺陷明细!$AB$2:$AB$50000,"&lt;&gt;重复Bug")</f>
        <v>0</v>
      </c>
      <c r="V21" s="75">
        <f>COUNTIFS(缺陷明细!$A$2:$A$50000,$B$4,缺陷明细!$G$2:$G$50000,$C21,缺陷明细!$Q$2:$Q$50000,"已关闭",缺陷明细!$J$2:$J$50000,"验收测试")</f>
        <v>0</v>
      </c>
      <c r="W21" s="75">
        <f>COUNTIFS(缺陷明细!$A$2:$A$50000,$B$4,缺陷明细!$G$2:$G$50000,$C21,缺陷明细!$J$2:$J$50000,"验收测试",缺陷明细!$K$2:$K$50000,"致命",缺陷明细!$AB$2:$AB$50000,"&lt;&gt;丢弃",缺陷明细!$AB$2:$AB$50000,"&lt;&gt;设计如此",缺陷明细!$AB$2:$AB$50000,"&lt;&gt;重复Bug")+COUNTIFS(缺陷明细!$A$2:$A$50000,$B$4,缺陷明细!$G$2:$G$50000,$C21,缺陷明细!$J$2:$J$50000,"验收测试",缺陷明细!$K$2:$K$50000,"严重",缺陷明细!$AB$2:$AB$50000,"&lt;&gt;丢弃",缺陷明细!$AB$2:$AB$50000,"&lt;&gt;设计如此",缺陷明细!$AB$2:$AB$50000,"&lt;&gt;重复Bug")</f>
        <v>0</v>
      </c>
      <c r="X21" s="76">
        <f>COUNTIFS(缺陷明细!$A$2:$A$50000,$B$4,缺陷明细!$G$2:$G$50000,$C21,缺陷明细!$Q$2:$Q$50000,"已关闭",缺陷明细!$J$2:$J$50000,"验收测试",缺陷明细!$K$2:$K$50000,"致命")+COUNTIFS(缺陷明细!$A$2:$A$50000,$B$4,缺陷明细!$G$2:$G$50000,$C21,缺陷明细!$Q$2:$Q$50000,"已关闭",缺陷明细!$J$2:$J$50000,"验收测试",缺陷明细!$K$2:$K$50000,"严重")</f>
        <v>0</v>
      </c>
      <c r="Y21" s="70">
        <f>COUNTIFS(缺陷明细!$A$2:$A$50000,$B$4,缺陷明细!$G$2:$G$50000,$C21,缺陷明细!$J$2:$J$50000,"运维测试",缺陷明细!$AB$2:$AB$50000,"&lt;&gt;丢弃",缺陷明细!$AB$2:$AB$50000,"&lt;&gt;设计如此",缺陷明细!$AB$2:$AB$50000,"&lt;&gt;重复Bug")</f>
        <v>0</v>
      </c>
      <c r="Z21" s="71">
        <f>COUNTIFS(缺陷明细!$A$2:$A$50000,$B$4,缺陷明细!$G$2:$G$50000,$C21,缺陷明细!$Q$2:$Q$50000,"已关闭",缺陷明细!$J$2:$J$50000,"运维测试")</f>
        <v>0</v>
      </c>
      <c r="AA21" s="72">
        <f>COUNTIFS(缺陷明细!$A$2:$A$50000,$B$4,缺陷明细!$G$2:$G$50000,$C21,缺陷明细!$J$2:$J$50000,"运维测试",缺陷明细!$K$2:$K$50000,"致命",缺陷明细!$AB$2:$AB$50000,"&lt;&gt;丢弃",缺陷明细!$AB$2:$AB$50000,"&lt;&gt;设计如此",缺陷明细!$AB$2:$AB$50000,"&lt;&gt;重复Bug")+COUNTIFS(缺陷明细!$A$2:$A$50000,$B$4,缺陷明细!$G$2:$G$50000,$C21,缺陷明细!$J$2:$J$50000,"运维测试",缺陷明细!$K$2:$K$50000,"严重",缺陷明细!$AB$2:$AB$50000,"&lt;&gt;丢弃",缺陷明细!$AB$2:$AB$50000,"&lt;&gt;设计如此",缺陷明细!$AB$2:$AB$50000,"&lt;&gt;重复Bug")</f>
        <v>0</v>
      </c>
      <c r="AB21" s="73">
        <f>COUNTIFS(缺陷明细!$A$2:$A$50000,$B$4,缺陷明细!$G$2:$G$50000,$C21,缺陷明细!$Q$2:$Q$50000,"已关闭",缺陷明细!$J$2:$J$50000,"运维测试",缺陷明细!$K$2:$K$50000,"致命")+COUNTIFS(缺陷明细!$A$2:$A$50000,$B$4,缺陷明细!$G$2:$G$50000,$C21,缺陷明细!$Q$2:$Q$50000,"已关闭",缺陷明细!$J$2:$J$50000,"运维测试",缺陷明细!$K$2:$K$50000,"严重")</f>
        <v>0</v>
      </c>
      <c r="AC21" s="68">
        <f t="shared" si="0"/>
        <v>0</v>
      </c>
      <c r="AD21" s="60">
        <f t="shared" si="0"/>
        <v>0</v>
      </c>
      <c r="AE21" s="60">
        <f t="shared" si="1"/>
        <v>0</v>
      </c>
      <c r="AF21" s="60">
        <f t="shared" si="1"/>
        <v>0</v>
      </c>
      <c r="AG21" s="60">
        <f t="shared" si="2"/>
        <v>0</v>
      </c>
      <c r="AH21" s="60">
        <f t="shared" si="2"/>
        <v>0</v>
      </c>
      <c r="AI21" s="60">
        <f t="shared" si="3"/>
        <v>0</v>
      </c>
      <c r="AJ21" s="61">
        <f t="shared" si="3"/>
        <v>0</v>
      </c>
      <c r="AK21" s="144"/>
    </row>
    <row r="22" spans="1:37">
      <c r="A22">
        <v>18</v>
      </c>
      <c r="B22" s="57"/>
      <c r="C22" s="58"/>
      <c r="D22" s="84"/>
      <c r="E22" s="82"/>
      <c r="F22" s="158"/>
      <c r="G22" s="159"/>
      <c r="H22" s="281">
        <f>COUNTIFS(缺陷明细!$A$2:$A$50000,$B$4,缺陷明细!$G$2:$G$50000,$C22,缺陷明细!$J$2:$J$50000,"评审",缺陷明细!$AB$2:$AB$50000,"&lt;&gt;丢弃",缺陷明细!$AB$2:$AB$50000,"&lt;&gt;设计如此",缺陷明细!$AB$2:$AB$50000,"&lt;&gt;重复Bug")</f>
        <v>0</v>
      </c>
      <c r="I22" s="154">
        <f>COUNTIFS(缺陷明细!$A$2:$A$50000,$B$4,缺陷明细!$G$2:$G$50000,$C22,缺陷明细!$Q$2:$Q$50000,"已关闭",缺陷明细!$J$2:$J$50000,"评审")</f>
        <v>0</v>
      </c>
      <c r="J22" s="154">
        <f>COUNTIFS(缺陷明细!$A$2:$A$50000,$B$4,缺陷明细!$G$2:$G$50000,$C22,缺陷明细!$J$2:$J$50000,"单元测试",缺陷明细!$AB$2:$AB$50000,"&lt;&gt;丢弃",缺陷明细!$AB$2:$AB$50000,"&lt;&gt;设计如此",缺陷明细!$AB$2:$AB$50000,"&lt;&gt;重复Bug")</f>
        <v>0</v>
      </c>
      <c r="K22" s="155">
        <f>COUNTIFS(缺陷明细!$A$2:$A$50000,$B$4,缺陷明细!$G$2:$G$50000,$C22,缺陷明细!$Q$2:$Q$50000,"已关闭",缺陷明细!$J$2:$J$50000,"单元测试")</f>
        <v>0</v>
      </c>
      <c r="L22" s="156"/>
      <c r="M22" s="157"/>
      <c r="N22" s="72">
        <f>COUNTIFS(缺陷明细!$A$2:$A$50000,$B$4,缺陷明细!$G$2:$G$50000,$C22,缺陷明细!$J$2:$J$50000,"系统测试案例评审",缺陷明细!$AB$2:$AB$50000,"&lt;&gt;丢弃",缺陷明细!$AB$2:$AB$50000,"&lt;&gt;设计如此",缺陷明细!$AB$2:$AB$50000,"&lt;&gt;重复Bug")</f>
        <v>0</v>
      </c>
      <c r="O22" s="72">
        <f>COUNTIFS(缺陷明细!$A$2:$A$50000,$B$4,缺陷明细!$G$2:$G$50000,$C22,缺陷明细!$Q$2:$Q$50000,"已关闭",缺陷明细!$J$2:$J$50000,"系统测试案例评审")</f>
        <v>0</v>
      </c>
      <c r="P22" s="72">
        <f>COUNTIFS(缺陷明细!$A$2:$A$50000,$B$4,缺陷明细!$G$2:$G$50000,$C22,缺陷明细!$J$2:$J$50000,"系统测试",缺陷明细!$AB$2:$AB$50000,"&lt;&gt;丢弃",缺陷明细!$AB$2:$AB$50000,"&lt;&gt;设计如此",缺陷明细!$AB$2:$AB$50000,"&lt;&gt;重复Bug")</f>
        <v>0</v>
      </c>
      <c r="Q22" s="72">
        <f>COUNTIFS(缺陷明细!$A$2:$A$50000,$B$4,缺陷明细!$G$2:$G$50000,$C22,缺陷明细!$Q$2:$Q$50000,"已关闭",缺陷明细!$J$2:$J$50000,"系统测试")</f>
        <v>0</v>
      </c>
      <c r="R22" s="296">
        <f>COUNTIFS(缺陷明细!$A$2:$A$50000,$B$4,缺陷明细!$G$2:$G$50000,$C22,缺陷明细!$AB$2:$AB$50000,"丢弃",缺陷明细!$J$2:$J$50000,"系统测试")+COUNTIFS(缺陷明细!$A$2:$A$50000,$B$4,缺陷明细!$G$2:$G$50000,$C22,缺陷明细!$AB$2:$AB$50000,"设计如此",缺陷明细!$J$2:$J$50000,"系统测试")+COUNTIFS(缺陷明细!$A$2:$A$50000,$B$4,缺陷明细!$G$2:$G$50000,$C22,缺陷明细!$AB$2:$AB$50000,"重复Bug",缺陷明细!$J$2:$J$50000,"系统测试")</f>
        <v>0</v>
      </c>
      <c r="S22" s="72">
        <f>COUNTIFS(缺陷明细!$A$2:$A$50000,$B$4,缺陷明细!$G$2:$G$50000,$C22,缺陷明细!$J$2:$J$50000,"系统测试",缺陷明细!$K$2:$K$50000,"致命",缺陷明细!$AB$2:$AB$50000,"&lt;&gt;丢弃",缺陷明细!$AB$2:$AB$50000,"&lt;&gt;设计如此",缺陷明细!$AB$2:$AB$50000,"&lt;&gt;重复Bug")+COUNTIFS(缺陷明细!$A$2:$A$50000,$B$4,缺陷明细!$G$2:$G$50000,$C22,缺陷明细!$J$2:$J$50000,"系统测试",缺陷明细!$K$2:$K$50000,"严重",缺陷明细!$AB$2:$AB$50000,"&lt;&gt;丢弃",缺陷明细!$AB$2:$AB$50000,"&lt;&gt;设计如此",缺陷明细!$AB$2:$AB$50000,"&lt;&gt;重复Bug")</f>
        <v>0</v>
      </c>
      <c r="T22" s="73">
        <f>COUNTIFS(缺陷明细!$A$2:$A$50000,$B$4,缺陷明细!$G$2:$G$50000,$C22,缺陷明细!$Q$2:$Q$50000,"已关闭",缺陷明细!$J$2:$J$50000,"系统测试",缺陷明细!$K$2:$K$50000,"致命")+COUNTIFS(缺陷明细!$A$2:$A$50000,$B$4,缺陷明细!$G$2:$G$50000,$C22,缺陷明细!$Q$2:$Q$50000,"已关闭",缺陷明细!$J$2:$J$50000,"系统测试",缺陷明细!$K$2:$K$50000,"严重")</f>
        <v>0</v>
      </c>
      <c r="U22" s="74">
        <f>COUNTIFS(缺陷明细!$A$2:$A$50000,$B$4,缺陷明细!$G$2:$G$50000,$C22,缺陷明细!$J$2:$J$50000,"验收测试",缺陷明细!$AB$2:$AB$50000,"&lt;&gt;丢弃",缺陷明细!$AB$2:$AB$50000,"&lt;&gt;设计如此",缺陷明细!$AB$2:$AB$50000,"&lt;&gt;重复Bug")</f>
        <v>0</v>
      </c>
      <c r="V22" s="75">
        <f>COUNTIFS(缺陷明细!$A$2:$A$50000,$B$4,缺陷明细!$G$2:$G$50000,$C22,缺陷明细!$Q$2:$Q$50000,"已关闭",缺陷明细!$J$2:$J$50000,"验收测试")</f>
        <v>0</v>
      </c>
      <c r="W22" s="75">
        <f>COUNTIFS(缺陷明细!$A$2:$A$50000,$B$4,缺陷明细!$G$2:$G$50000,$C22,缺陷明细!$J$2:$J$50000,"验收测试",缺陷明细!$K$2:$K$50000,"致命",缺陷明细!$AB$2:$AB$50000,"&lt;&gt;丢弃",缺陷明细!$AB$2:$AB$50000,"&lt;&gt;设计如此",缺陷明细!$AB$2:$AB$50000,"&lt;&gt;重复Bug")+COUNTIFS(缺陷明细!$A$2:$A$50000,$B$4,缺陷明细!$G$2:$G$50000,$C22,缺陷明细!$J$2:$J$50000,"验收测试",缺陷明细!$K$2:$K$50000,"严重",缺陷明细!$AB$2:$AB$50000,"&lt;&gt;丢弃",缺陷明细!$AB$2:$AB$50000,"&lt;&gt;设计如此",缺陷明细!$AB$2:$AB$50000,"&lt;&gt;重复Bug")</f>
        <v>0</v>
      </c>
      <c r="X22" s="76">
        <f>COUNTIFS(缺陷明细!$A$2:$A$50000,$B$4,缺陷明细!$G$2:$G$50000,$C22,缺陷明细!$Q$2:$Q$50000,"已关闭",缺陷明细!$J$2:$J$50000,"验收测试",缺陷明细!$K$2:$K$50000,"致命")+COUNTIFS(缺陷明细!$A$2:$A$50000,$B$4,缺陷明细!$G$2:$G$50000,$C22,缺陷明细!$Q$2:$Q$50000,"已关闭",缺陷明细!$J$2:$J$50000,"验收测试",缺陷明细!$K$2:$K$50000,"严重")</f>
        <v>0</v>
      </c>
      <c r="Y22" s="70">
        <f>COUNTIFS(缺陷明细!$A$2:$A$50000,$B$4,缺陷明细!$G$2:$G$50000,$C22,缺陷明细!$J$2:$J$50000,"运维测试",缺陷明细!$AB$2:$AB$50000,"&lt;&gt;丢弃",缺陷明细!$AB$2:$AB$50000,"&lt;&gt;设计如此",缺陷明细!$AB$2:$AB$50000,"&lt;&gt;重复Bug")</f>
        <v>0</v>
      </c>
      <c r="Z22" s="71">
        <f>COUNTIFS(缺陷明细!$A$2:$A$50000,$B$4,缺陷明细!$G$2:$G$50000,$C22,缺陷明细!$Q$2:$Q$50000,"已关闭",缺陷明细!$J$2:$J$50000,"运维测试")</f>
        <v>0</v>
      </c>
      <c r="AA22" s="72">
        <f>COUNTIFS(缺陷明细!$A$2:$A$50000,$B$4,缺陷明细!$G$2:$G$50000,$C22,缺陷明细!$J$2:$J$50000,"运维测试",缺陷明细!$K$2:$K$50000,"致命",缺陷明细!$AB$2:$AB$50000,"&lt;&gt;丢弃",缺陷明细!$AB$2:$AB$50000,"&lt;&gt;设计如此",缺陷明细!$AB$2:$AB$50000,"&lt;&gt;重复Bug")+COUNTIFS(缺陷明细!$A$2:$A$50000,$B$4,缺陷明细!$G$2:$G$50000,$C22,缺陷明细!$J$2:$J$50000,"运维测试",缺陷明细!$K$2:$K$50000,"严重",缺陷明细!$AB$2:$AB$50000,"&lt;&gt;丢弃",缺陷明细!$AB$2:$AB$50000,"&lt;&gt;设计如此",缺陷明细!$AB$2:$AB$50000,"&lt;&gt;重复Bug")</f>
        <v>0</v>
      </c>
      <c r="AB22" s="73">
        <f>COUNTIFS(缺陷明细!$A$2:$A$50000,$B$4,缺陷明细!$G$2:$G$50000,$C22,缺陷明细!$Q$2:$Q$50000,"已关闭",缺陷明细!$J$2:$J$50000,"运维测试",缺陷明细!$K$2:$K$50000,"致命")+COUNTIFS(缺陷明细!$A$2:$A$50000,$B$4,缺陷明细!$G$2:$G$50000,$C22,缺陷明细!$Q$2:$Q$50000,"已关闭",缺陷明细!$J$2:$J$50000,"运维测试",缺陷明细!$K$2:$K$50000,"严重")</f>
        <v>0</v>
      </c>
      <c r="AC22" s="68">
        <f t="shared" si="0"/>
        <v>0</v>
      </c>
      <c r="AD22" s="60">
        <f t="shared" si="0"/>
        <v>0</v>
      </c>
      <c r="AE22" s="60">
        <f t="shared" si="1"/>
        <v>0</v>
      </c>
      <c r="AF22" s="60">
        <f t="shared" si="1"/>
        <v>0</v>
      </c>
      <c r="AG22" s="60">
        <f t="shared" si="2"/>
        <v>0</v>
      </c>
      <c r="AH22" s="60">
        <f t="shared" si="2"/>
        <v>0</v>
      </c>
      <c r="AI22" s="60">
        <f t="shared" si="3"/>
        <v>0</v>
      </c>
      <c r="AJ22" s="61">
        <f t="shared" si="3"/>
        <v>0</v>
      </c>
      <c r="AK22" s="144"/>
    </row>
    <row r="23" spans="1:37">
      <c r="A23">
        <v>19</v>
      </c>
      <c r="B23" s="57"/>
      <c r="C23" s="58"/>
      <c r="D23" s="84"/>
      <c r="E23" s="82"/>
      <c r="F23" s="158"/>
      <c r="G23" s="159"/>
      <c r="H23" s="281">
        <f>COUNTIFS(缺陷明细!$A$2:$A$50000,$B$4,缺陷明细!$G$2:$G$50000,$C23,缺陷明细!$J$2:$J$50000,"评审",缺陷明细!$AB$2:$AB$50000,"&lt;&gt;丢弃",缺陷明细!$AB$2:$AB$50000,"&lt;&gt;设计如此",缺陷明细!$AB$2:$AB$50000,"&lt;&gt;重复Bug")</f>
        <v>0</v>
      </c>
      <c r="I23" s="154">
        <f>COUNTIFS(缺陷明细!$A$2:$A$50000,$B$4,缺陷明细!$G$2:$G$50000,$C23,缺陷明细!$Q$2:$Q$50000,"已关闭",缺陷明细!$J$2:$J$50000,"评审")</f>
        <v>0</v>
      </c>
      <c r="J23" s="154">
        <f>COUNTIFS(缺陷明细!$A$2:$A$50000,$B$4,缺陷明细!$G$2:$G$50000,$C23,缺陷明细!$J$2:$J$50000,"单元测试",缺陷明细!$AB$2:$AB$50000,"&lt;&gt;丢弃",缺陷明细!$AB$2:$AB$50000,"&lt;&gt;设计如此",缺陷明细!$AB$2:$AB$50000,"&lt;&gt;重复Bug")</f>
        <v>0</v>
      </c>
      <c r="K23" s="155">
        <f>COUNTIFS(缺陷明细!$A$2:$A$50000,$B$4,缺陷明细!$G$2:$G$50000,$C23,缺陷明细!$Q$2:$Q$50000,"已关闭",缺陷明细!$J$2:$J$50000,"单元测试")</f>
        <v>0</v>
      </c>
      <c r="L23" s="156"/>
      <c r="M23" s="157"/>
      <c r="N23" s="72">
        <f>COUNTIFS(缺陷明细!$A$2:$A$50000,$B$4,缺陷明细!$G$2:$G$50000,$C23,缺陷明细!$J$2:$J$50000,"系统测试案例评审",缺陷明细!$AB$2:$AB$50000,"&lt;&gt;丢弃",缺陷明细!$AB$2:$AB$50000,"&lt;&gt;设计如此",缺陷明细!$AB$2:$AB$50000,"&lt;&gt;重复Bug")</f>
        <v>0</v>
      </c>
      <c r="O23" s="72">
        <f>COUNTIFS(缺陷明细!$A$2:$A$50000,$B$4,缺陷明细!$G$2:$G$50000,$C23,缺陷明细!$Q$2:$Q$50000,"已关闭",缺陷明细!$J$2:$J$50000,"系统测试案例评审")</f>
        <v>0</v>
      </c>
      <c r="P23" s="72">
        <f>COUNTIFS(缺陷明细!$A$2:$A$50000,$B$4,缺陷明细!$G$2:$G$50000,$C23,缺陷明细!$J$2:$J$50000,"系统测试",缺陷明细!$AB$2:$AB$50000,"&lt;&gt;丢弃",缺陷明细!$AB$2:$AB$50000,"&lt;&gt;设计如此",缺陷明细!$AB$2:$AB$50000,"&lt;&gt;重复Bug")</f>
        <v>0</v>
      </c>
      <c r="Q23" s="72">
        <f>COUNTIFS(缺陷明细!$A$2:$A$50000,$B$4,缺陷明细!$G$2:$G$50000,$C23,缺陷明细!$Q$2:$Q$50000,"已关闭",缺陷明细!$J$2:$J$50000,"系统测试")</f>
        <v>0</v>
      </c>
      <c r="R23" s="296">
        <f>COUNTIFS(缺陷明细!$A$2:$A$50000,$B$4,缺陷明细!$G$2:$G$50000,$C23,缺陷明细!$AB$2:$AB$50000,"丢弃",缺陷明细!$J$2:$J$50000,"系统测试")+COUNTIFS(缺陷明细!$A$2:$A$50000,$B$4,缺陷明细!$G$2:$G$50000,$C23,缺陷明细!$AB$2:$AB$50000,"设计如此",缺陷明细!$J$2:$J$50000,"系统测试")+COUNTIFS(缺陷明细!$A$2:$A$50000,$B$4,缺陷明细!$G$2:$G$50000,$C23,缺陷明细!$AB$2:$AB$50000,"重复Bug",缺陷明细!$J$2:$J$50000,"系统测试")</f>
        <v>0</v>
      </c>
      <c r="S23" s="72">
        <f>COUNTIFS(缺陷明细!$A$2:$A$50000,$B$4,缺陷明细!$G$2:$G$50000,$C23,缺陷明细!$J$2:$J$50000,"系统测试",缺陷明细!$K$2:$K$50000,"致命",缺陷明细!$AB$2:$AB$50000,"&lt;&gt;丢弃",缺陷明细!$AB$2:$AB$50000,"&lt;&gt;设计如此",缺陷明细!$AB$2:$AB$50000,"&lt;&gt;重复Bug")+COUNTIFS(缺陷明细!$A$2:$A$50000,$B$4,缺陷明细!$G$2:$G$50000,$C23,缺陷明细!$J$2:$J$50000,"系统测试",缺陷明细!$K$2:$K$50000,"严重",缺陷明细!$AB$2:$AB$50000,"&lt;&gt;丢弃",缺陷明细!$AB$2:$AB$50000,"&lt;&gt;设计如此",缺陷明细!$AB$2:$AB$50000,"&lt;&gt;重复Bug")</f>
        <v>0</v>
      </c>
      <c r="T23" s="73">
        <f>COUNTIFS(缺陷明细!$A$2:$A$50000,$B$4,缺陷明细!$G$2:$G$50000,$C23,缺陷明细!$Q$2:$Q$50000,"已关闭",缺陷明细!$J$2:$J$50000,"系统测试",缺陷明细!$K$2:$K$50000,"致命")+COUNTIFS(缺陷明细!$A$2:$A$50000,$B$4,缺陷明细!$G$2:$G$50000,$C23,缺陷明细!$Q$2:$Q$50000,"已关闭",缺陷明细!$J$2:$J$50000,"系统测试",缺陷明细!$K$2:$K$50000,"严重")</f>
        <v>0</v>
      </c>
      <c r="U23" s="74">
        <f>COUNTIFS(缺陷明细!$A$2:$A$50000,$B$4,缺陷明细!$G$2:$G$50000,$C23,缺陷明细!$J$2:$J$50000,"验收测试",缺陷明细!$AB$2:$AB$50000,"&lt;&gt;丢弃",缺陷明细!$AB$2:$AB$50000,"&lt;&gt;设计如此",缺陷明细!$AB$2:$AB$50000,"&lt;&gt;重复Bug")</f>
        <v>0</v>
      </c>
      <c r="V23" s="75">
        <f>COUNTIFS(缺陷明细!$A$2:$A$50000,$B$4,缺陷明细!$G$2:$G$50000,$C23,缺陷明细!$Q$2:$Q$50000,"已关闭",缺陷明细!$J$2:$J$50000,"验收测试")</f>
        <v>0</v>
      </c>
      <c r="W23" s="75">
        <f>COUNTIFS(缺陷明细!$A$2:$A$50000,$B$4,缺陷明细!$G$2:$G$50000,$C23,缺陷明细!$J$2:$J$50000,"验收测试",缺陷明细!$K$2:$K$50000,"致命",缺陷明细!$AB$2:$AB$50000,"&lt;&gt;丢弃",缺陷明细!$AB$2:$AB$50000,"&lt;&gt;设计如此",缺陷明细!$AB$2:$AB$50000,"&lt;&gt;重复Bug")+COUNTIFS(缺陷明细!$A$2:$A$50000,$B$4,缺陷明细!$G$2:$G$50000,$C23,缺陷明细!$J$2:$J$50000,"验收测试",缺陷明细!$K$2:$K$50000,"严重",缺陷明细!$AB$2:$AB$50000,"&lt;&gt;丢弃",缺陷明细!$AB$2:$AB$50000,"&lt;&gt;设计如此",缺陷明细!$AB$2:$AB$50000,"&lt;&gt;重复Bug")</f>
        <v>0</v>
      </c>
      <c r="X23" s="76">
        <f>COUNTIFS(缺陷明细!$A$2:$A$50000,$B$4,缺陷明细!$G$2:$G$50000,$C23,缺陷明细!$Q$2:$Q$50000,"已关闭",缺陷明细!$J$2:$J$50000,"验收测试",缺陷明细!$K$2:$K$50000,"致命")+COUNTIFS(缺陷明细!$A$2:$A$50000,$B$4,缺陷明细!$G$2:$G$50000,$C23,缺陷明细!$Q$2:$Q$50000,"已关闭",缺陷明细!$J$2:$J$50000,"验收测试",缺陷明细!$K$2:$K$50000,"严重")</f>
        <v>0</v>
      </c>
      <c r="Y23" s="70">
        <f>COUNTIFS(缺陷明细!$A$2:$A$50000,$B$4,缺陷明细!$G$2:$G$50000,$C23,缺陷明细!$J$2:$J$50000,"运维测试",缺陷明细!$AB$2:$AB$50000,"&lt;&gt;丢弃",缺陷明细!$AB$2:$AB$50000,"&lt;&gt;设计如此",缺陷明细!$AB$2:$AB$50000,"&lt;&gt;重复Bug")</f>
        <v>0</v>
      </c>
      <c r="Z23" s="71">
        <f>COUNTIFS(缺陷明细!$A$2:$A$50000,$B$4,缺陷明细!$G$2:$G$50000,$C23,缺陷明细!$Q$2:$Q$50000,"已关闭",缺陷明细!$J$2:$J$50000,"运维测试")</f>
        <v>0</v>
      </c>
      <c r="AA23" s="72">
        <f>COUNTIFS(缺陷明细!$A$2:$A$50000,$B$4,缺陷明细!$G$2:$G$50000,$C23,缺陷明细!$J$2:$J$50000,"运维测试",缺陷明细!$K$2:$K$50000,"致命",缺陷明细!$AB$2:$AB$50000,"&lt;&gt;丢弃",缺陷明细!$AB$2:$AB$50000,"&lt;&gt;设计如此",缺陷明细!$AB$2:$AB$50000,"&lt;&gt;重复Bug")+COUNTIFS(缺陷明细!$A$2:$A$50000,$B$4,缺陷明细!$G$2:$G$50000,$C23,缺陷明细!$J$2:$J$50000,"运维测试",缺陷明细!$K$2:$K$50000,"严重",缺陷明细!$AB$2:$AB$50000,"&lt;&gt;丢弃",缺陷明细!$AB$2:$AB$50000,"&lt;&gt;设计如此",缺陷明细!$AB$2:$AB$50000,"&lt;&gt;重复Bug")</f>
        <v>0</v>
      </c>
      <c r="AB23" s="73">
        <f>COUNTIFS(缺陷明细!$A$2:$A$50000,$B$4,缺陷明细!$G$2:$G$50000,$C23,缺陷明细!$Q$2:$Q$50000,"已关闭",缺陷明细!$J$2:$J$50000,"运维测试",缺陷明细!$K$2:$K$50000,"致命")+COUNTIFS(缺陷明细!$A$2:$A$50000,$B$4,缺陷明细!$G$2:$G$50000,$C23,缺陷明细!$Q$2:$Q$50000,"已关闭",缺陷明细!$J$2:$J$50000,"运维测试",缺陷明细!$K$2:$K$50000,"严重")</f>
        <v>0</v>
      </c>
      <c r="AC23" s="68">
        <f t="shared" si="0"/>
        <v>0</v>
      </c>
      <c r="AD23" s="60">
        <f t="shared" si="0"/>
        <v>0</v>
      </c>
      <c r="AE23" s="60">
        <f t="shared" si="1"/>
        <v>0</v>
      </c>
      <c r="AF23" s="60">
        <f t="shared" si="1"/>
        <v>0</v>
      </c>
      <c r="AG23" s="60">
        <f t="shared" si="2"/>
        <v>0</v>
      </c>
      <c r="AH23" s="60">
        <f t="shared" si="2"/>
        <v>0</v>
      </c>
      <c r="AI23" s="60">
        <f t="shared" si="3"/>
        <v>0</v>
      </c>
      <c r="AJ23" s="61">
        <f t="shared" si="3"/>
        <v>0</v>
      </c>
      <c r="AK23" s="144"/>
    </row>
    <row r="24" spans="1:37">
      <c r="A24">
        <v>20</v>
      </c>
      <c r="B24" s="57"/>
      <c r="C24" s="58"/>
      <c r="D24" s="84"/>
      <c r="E24" s="82"/>
      <c r="F24" s="158"/>
      <c r="G24" s="159"/>
      <c r="H24" s="281">
        <f>COUNTIFS(缺陷明细!$A$2:$A$50000,$B$4,缺陷明细!$G$2:$G$50000,$C24,缺陷明细!$J$2:$J$50000,"评审",缺陷明细!$AB$2:$AB$50000,"&lt;&gt;丢弃",缺陷明细!$AB$2:$AB$50000,"&lt;&gt;设计如此",缺陷明细!$AB$2:$AB$50000,"&lt;&gt;重复Bug")</f>
        <v>0</v>
      </c>
      <c r="I24" s="154">
        <f>COUNTIFS(缺陷明细!$A$2:$A$50000,$B$4,缺陷明细!$G$2:$G$50000,$C24,缺陷明细!$Q$2:$Q$50000,"已关闭",缺陷明细!$J$2:$J$50000,"评审")</f>
        <v>0</v>
      </c>
      <c r="J24" s="154">
        <f>COUNTIFS(缺陷明细!$A$2:$A$50000,$B$4,缺陷明细!$G$2:$G$50000,$C24,缺陷明细!$J$2:$J$50000,"单元测试",缺陷明细!$AB$2:$AB$50000,"&lt;&gt;丢弃",缺陷明细!$AB$2:$AB$50000,"&lt;&gt;设计如此",缺陷明细!$AB$2:$AB$50000,"&lt;&gt;重复Bug")</f>
        <v>0</v>
      </c>
      <c r="K24" s="155">
        <f>COUNTIFS(缺陷明细!$A$2:$A$50000,$B$4,缺陷明细!$G$2:$G$50000,$C24,缺陷明细!$Q$2:$Q$50000,"已关闭",缺陷明细!$J$2:$J$50000,"单元测试")</f>
        <v>0</v>
      </c>
      <c r="L24" s="156"/>
      <c r="M24" s="157"/>
      <c r="N24" s="72">
        <f>COUNTIFS(缺陷明细!$A$2:$A$50000,$B$4,缺陷明细!$G$2:$G$50000,$C24,缺陷明细!$J$2:$J$50000,"系统测试案例评审",缺陷明细!$AB$2:$AB$50000,"&lt;&gt;丢弃",缺陷明细!$AB$2:$AB$50000,"&lt;&gt;设计如此",缺陷明细!$AB$2:$AB$50000,"&lt;&gt;重复Bug")</f>
        <v>0</v>
      </c>
      <c r="O24" s="72">
        <f>COUNTIFS(缺陷明细!$A$2:$A$50000,$B$4,缺陷明细!$G$2:$G$50000,$C24,缺陷明细!$Q$2:$Q$50000,"已关闭",缺陷明细!$J$2:$J$50000,"系统测试案例评审")</f>
        <v>0</v>
      </c>
      <c r="P24" s="72">
        <f>COUNTIFS(缺陷明细!$A$2:$A$50000,$B$4,缺陷明细!$G$2:$G$50000,$C24,缺陷明细!$J$2:$J$50000,"系统测试",缺陷明细!$AB$2:$AB$50000,"&lt;&gt;丢弃",缺陷明细!$AB$2:$AB$50000,"&lt;&gt;设计如此",缺陷明细!$AB$2:$AB$50000,"&lt;&gt;重复Bug")</f>
        <v>0</v>
      </c>
      <c r="Q24" s="72">
        <f>COUNTIFS(缺陷明细!$A$2:$A$50000,$B$4,缺陷明细!$G$2:$G$50000,$C24,缺陷明细!$Q$2:$Q$50000,"已关闭",缺陷明细!$J$2:$J$50000,"系统测试")</f>
        <v>0</v>
      </c>
      <c r="R24" s="296">
        <f>COUNTIFS(缺陷明细!$A$2:$A$50000,$B$4,缺陷明细!$G$2:$G$50000,$C24,缺陷明细!$AB$2:$AB$50000,"丢弃",缺陷明细!$J$2:$J$50000,"系统测试")+COUNTIFS(缺陷明细!$A$2:$A$50000,$B$4,缺陷明细!$G$2:$G$50000,$C24,缺陷明细!$AB$2:$AB$50000,"设计如此",缺陷明细!$J$2:$J$50000,"系统测试")+COUNTIFS(缺陷明细!$A$2:$A$50000,$B$4,缺陷明细!$G$2:$G$50000,$C24,缺陷明细!$AB$2:$AB$50000,"重复Bug",缺陷明细!$J$2:$J$50000,"系统测试")</f>
        <v>0</v>
      </c>
      <c r="S24" s="72">
        <f>COUNTIFS(缺陷明细!$A$2:$A$50000,$B$4,缺陷明细!$G$2:$G$50000,$C24,缺陷明细!$J$2:$J$50000,"系统测试",缺陷明细!$K$2:$K$50000,"致命",缺陷明细!$AB$2:$AB$50000,"&lt;&gt;丢弃",缺陷明细!$AB$2:$AB$50000,"&lt;&gt;设计如此",缺陷明细!$AB$2:$AB$50000,"&lt;&gt;重复Bug")+COUNTIFS(缺陷明细!$A$2:$A$50000,$B$4,缺陷明细!$G$2:$G$50000,$C24,缺陷明细!$J$2:$J$50000,"系统测试",缺陷明细!$K$2:$K$50000,"严重",缺陷明细!$AB$2:$AB$50000,"&lt;&gt;丢弃",缺陷明细!$AB$2:$AB$50000,"&lt;&gt;设计如此",缺陷明细!$AB$2:$AB$50000,"&lt;&gt;重复Bug")</f>
        <v>0</v>
      </c>
      <c r="T24" s="73">
        <f>COUNTIFS(缺陷明细!$A$2:$A$50000,$B$4,缺陷明细!$G$2:$G$50000,$C24,缺陷明细!$Q$2:$Q$50000,"已关闭",缺陷明细!$J$2:$J$50000,"系统测试",缺陷明细!$K$2:$K$50000,"致命")+COUNTIFS(缺陷明细!$A$2:$A$50000,$B$4,缺陷明细!$G$2:$G$50000,$C24,缺陷明细!$Q$2:$Q$50000,"已关闭",缺陷明细!$J$2:$J$50000,"系统测试",缺陷明细!$K$2:$K$50000,"严重")</f>
        <v>0</v>
      </c>
      <c r="U24" s="74">
        <f>COUNTIFS(缺陷明细!$A$2:$A$50000,$B$4,缺陷明细!$G$2:$G$50000,$C24,缺陷明细!$J$2:$J$50000,"验收测试",缺陷明细!$AB$2:$AB$50000,"&lt;&gt;丢弃",缺陷明细!$AB$2:$AB$50000,"&lt;&gt;设计如此",缺陷明细!$AB$2:$AB$50000,"&lt;&gt;重复Bug")</f>
        <v>0</v>
      </c>
      <c r="V24" s="75">
        <f>COUNTIFS(缺陷明细!$A$2:$A$50000,$B$4,缺陷明细!$G$2:$G$50000,$C24,缺陷明细!$Q$2:$Q$50000,"已关闭",缺陷明细!$J$2:$J$50000,"验收测试")</f>
        <v>0</v>
      </c>
      <c r="W24" s="75">
        <f>COUNTIFS(缺陷明细!$A$2:$A$50000,$B$4,缺陷明细!$G$2:$G$50000,$C24,缺陷明细!$J$2:$J$50000,"验收测试",缺陷明细!$K$2:$K$50000,"致命",缺陷明细!$AB$2:$AB$50000,"&lt;&gt;丢弃",缺陷明细!$AB$2:$AB$50000,"&lt;&gt;设计如此",缺陷明细!$AB$2:$AB$50000,"&lt;&gt;重复Bug")+COUNTIFS(缺陷明细!$A$2:$A$50000,$B$4,缺陷明细!$G$2:$G$50000,$C24,缺陷明细!$J$2:$J$50000,"验收测试",缺陷明细!$K$2:$K$50000,"严重",缺陷明细!$AB$2:$AB$50000,"&lt;&gt;丢弃",缺陷明细!$AB$2:$AB$50000,"&lt;&gt;设计如此",缺陷明细!$AB$2:$AB$50000,"&lt;&gt;重复Bug")</f>
        <v>0</v>
      </c>
      <c r="X24" s="76">
        <f>COUNTIFS(缺陷明细!$A$2:$A$50000,$B$4,缺陷明细!$G$2:$G$50000,$C24,缺陷明细!$Q$2:$Q$50000,"已关闭",缺陷明细!$J$2:$J$50000,"验收测试",缺陷明细!$K$2:$K$50000,"致命")+COUNTIFS(缺陷明细!$A$2:$A$50000,$B$4,缺陷明细!$G$2:$G$50000,$C24,缺陷明细!$Q$2:$Q$50000,"已关闭",缺陷明细!$J$2:$J$50000,"验收测试",缺陷明细!$K$2:$K$50000,"严重")</f>
        <v>0</v>
      </c>
      <c r="Y24" s="70">
        <f>COUNTIFS(缺陷明细!$A$2:$A$50000,$B$4,缺陷明细!$G$2:$G$50000,$C24,缺陷明细!$J$2:$J$50000,"运维测试",缺陷明细!$AB$2:$AB$50000,"&lt;&gt;丢弃",缺陷明细!$AB$2:$AB$50000,"&lt;&gt;设计如此",缺陷明细!$AB$2:$AB$50000,"&lt;&gt;重复Bug")</f>
        <v>0</v>
      </c>
      <c r="Z24" s="71">
        <f>COUNTIFS(缺陷明细!$A$2:$A$50000,$B$4,缺陷明细!$G$2:$G$50000,$C24,缺陷明细!$Q$2:$Q$50000,"已关闭",缺陷明细!$J$2:$J$50000,"运维测试")</f>
        <v>0</v>
      </c>
      <c r="AA24" s="72">
        <f>COUNTIFS(缺陷明细!$A$2:$A$50000,$B$4,缺陷明细!$G$2:$G$50000,$C24,缺陷明细!$J$2:$J$50000,"运维测试",缺陷明细!$K$2:$K$50000,"致命",缺陷明细!$AB$2:$AB$50000,"&lt;&gt;丢弃",缺陷明细!$AB$2:$AB$50000,"&lt;&gt;设计如此",缺陷明细!$AB$2:$AB$50000,"&lt;&gt;重复Bug")+COUNTIFS(缺陷明细!$A$2:$A$50000,$B$4,缺陷明细!$G$2:$G$50000,$C24,缺陷明细!$J$2:$J$50000,"运维测试",缺陷明细!$K$2:$K$50000,"严重",缺陷明细!$AB$2:$AB$50000,"&lt;&gt;丢弃",缺陷明细!$AB$2:$AB$50000,"&lt;&gt;设计如此",缺陷明细!$AB$2:$AB$50000,"&lt;&gt;重复Bug")</f>
        <v>0</v>
      </c>
      <c r="AB24" s="73">
        <f>COUNTIFS(缺陷明细!$A$2:$A$50000,$B$4,缺陷明细!$G$2:$G$50000,$C24,缺陷明细!$Q$2:$Q$50000,"已关闭",缺陷明细!$J$2:$J$50000,"运维测试",缺陷明细!$K$2:$K$50000,"致命")+COUNTIFS(缺陷明细!$A$2:$A$50000,$B$4,缺陷明细!$G$2:$G$50000,$C24,缺陷明细!$Q$2:$Q$50000,"已关闭",缺陷明细!$J$2:$J$50000,"运维测试",缺陷明细!$K$2:$K$50000,"严重")</f>
        <v>0</v>
      </c>
      <c r="AC24" s="68">
        <f t="shared" si="0"/>
        <v>0</v>
      </c>
      <c r="AD24" s="60">
        <f t="shared" si="0"/>
        <v>0</v>
      </c>
      <c r="AE24" s="60">
        <f t="shared" si="1"/>
        <v>0</v>
      </c>
      <c r="AF24" s="60">
        <f t="shared" si="1"/>
        <v>0</v>
      </c>
      <c r="AG24" s="60">
        <f t="shared" si="2"/>
        <v>0</v>
      </c>
      <c r="AH24" s="60">
        <f t="shared" si="2"/>
        <v>0</v>
      </c>
      <c r="AI24" s="60">
        <f t="shared" si="3"/>
        <v>0</v>
      </c>
      <c r="AJ24" s="61">
        <f t="shared" si="3"/>
        <v>0</v>
      </c>
      <c r="AK24" s="144"/>
    </row>
    <row r="25" spans="1:37">
      <c r="A25">
        <v>21</v>
      </c>
      <c r="B25" s="57"/>
      <c r="C25" s="58"/>
      <c r="D25" s="84"/>
      <c r="E25" s="82"/>
      <c r="F25" s="158"/>
      <c r="G25" s="159"/>
      <c r="H25" s="281">
        <f>COUNTIFS(缺陷明细!$A$2:$A$50000,$B$4,缺陷明细!$G$2:$G$50000,$C25,缺陷明细!$J$2:$J$50000,"评审",缺陷明细!$AB$2:$AB$50000,"&lt;&gt;丢弃",缺陷明细!$AB$2:$AB$50000,"&lt;&gt;设计如此",缺陷明细!$AB$2:$AB$50000,"&lt;&gt;重复Bug")</f>
        <v>0</v>
      </c>
      <c r="I25" s="154">
        <f>COUNTIFS(缺陷明细!$A$2:$A$50000,$B$4,缺陷明细!$G$2:$G$50000,$C25,缺陷明细!$Q$2:$Q$50000,"已关闭",缺陷明细!$J$2:$J$50000,"评审")</f>
        <v>0</v>
      </c>
      <c r="J25" s="154">
        <f>COUNTIFS(缺陷明细!$A$2:$A$50000,$B$4,缺陷明细!$G$2:$G$50000,$C25,缺陷明细!$J$2:$J$50000,"单元测试",缺陷明细!$AB$2:$AB$50000,"&lt;&gt;丢弃",缺陷明细!$AB$2:$AB$50000,"&lt;&gt;设计如此",缺陷明细!$AB$2:$AB$50000,"&lt;&gt;重复Bug")</f>
        <v>0</v>
      </c>
      <c r="K25" s="155">
        <f>COUNTIFS(缺陷明细!$A$2:$A$50000,$B$4,缺陷明细!$G$2:$G$50000,$C25,缺陷明细!$Q$2:$Q$50000,"已关闭",缺陷明细!$J$2:$J$50000,"单元测试")</f>
        <v>0</v>
      </c>
      <c r="L25" s="156"/>
      <c r="M25" s="157"/>
      <c r="N25" s="72">
        <f>COUNTIFS(缺陷明细!$A$2:$A$50000,$B$4,缺陷明细!$G$2:$G$50000,$C25,缺陷明细!$J$2:$J$50000,"系统测试案例评审",缺陷明细!$AB$2:$AB$50000,"&lt;&gt;丢弃",缺陷明细!$AB$2:$AB$50000,"&lt;&gt;设计如此",缺陷明细!$AB$2:$AB$50000,"&lt;&gt;重复Bug")</f>
        <v>0</v>
      </c>
      <c r="O25" s="72">
        <f>COUNTIFS(缺陷明细!$A$2:$A$50000,$B$4,缺陷明细!$G$2:$G$50000,$C25,缺陷明细!$Q$2:$Q$50000,"已关闭",缺陷明细!$J$2:$J$50000,"系统测试案例评审")</f>
        <v>0</v>
      </c>
      <c r="P25" s="72">
        <f>COUNTIFS(缺陷明细!$A$2:$A$50000,$B$4,缺陷明细!$G$2:$G$50000,$C25,缺陷明细!$J$2:$J$50000,"系统测试",缺陷明细!$AB$2:$AB$50000,"&lt;&gt;丢弃",缺陷明细!$AB$2:$AB$50000,"&lt;&gt;设计如此",缺陷明细!$AB$2:$AB$50000,"&lt;&gt;重复Bug")</f>
        <v>0</v>
      </c>
      <c r="Q25" s="72">
        <f>COUNTIFS(缺陷明细!$A$2:$A$50000,$B$4,缺陷明细!$G$2:$G$50000,$C25,缺陷明细!$Q$2:$Q$50000,"已关闭",缺陷明细!$J$2:$J$50000,"系统测试")</f>
        <v>0</v>
      </c>
      <c r="R25" s="296">
        <f>COUNTIFS(缺陷明细!$A$2:$A$50000,$B$4,缺陷明细!$G$2:$G$50000,$C25,缺陷明细!$AB$2:$AB$50000,"丢弃",缺陷明细!$J$2:$J$50000,"系统测试")+COUNTIFS(缺陷明细!$A$2:$A$50000,$B$4,缺陷明细!$G$2:$G$50000,$C25,缺陷明细!$AB$2:$AB$50000,"设计如此",缺陷明细!$J$2:$J$50000,"系统测试")+COUNTIFS(缺陷明细!$A$2:$A$50000,$B$4,缺陷明细!$G$2:$G$50000,$C25,缺陷明细!$AB$2:$AB$50000,"重复Bug",缺陷明细!$J$2:$J$50000,"系统测试")</f>
        <v>0</v>
      </c>
      <c r="S25" s="72">
        <f>COUNTIFS(缺陷明细!$A$2:$A$50000,$B$4,缺陷明细!$G$2:$G$50000,$C25,缺陷明细!$J$2:$J$50000,"系统测试",缺陷明细!$K$2:$K$50000,"致命",缺陷明细!$AB$2:$AB$50000,"&lt;&gt;丢弃",缺陷明细!$AB$2:$AB$50000,"&lt;&gt;设计如此",缺陷明细!$AB$2:$AB$50000,"&lt;&gt;重复Bug")+COUNTIFS(缺陷明细!$A$2:$A$50000,$B$4,缺陷明细!$G$2:$G$50000,$C25,缺陷明细!$J$2:$J$50000,"系统测试",缺陷明细!$K$2:$K$50000,"严重",缺陷明细!$AB$2:$AB$50000,"&lt;&gt;丢弃",缺陷明细!$AB$2:$AB$50000,"&lt;&gt;设计如此",缺陷明细!$AB$2:$AB$50000,"&lt;&gt;重复Bug")</f>
        <v>0</v>
      </c>
      <c r="T25" s="73">
        <f>COUNTIFS(缺陷明细!$A$2:$A$50000,$B$4,缺陷明细!$G$2:$G$50000,$C25,缺陷明细!$Q$2:$Q$50000,"已关闭",缺陷明细!$J$2:$J$50000,"系统测试",缺陷明细!$K$2:$K$50000,"致命")+COUNTIFS(缺陷明细!$A$2:$A$50000,$B$4,缺陷明细!$G$2:$G$50000,$C25,缺陷明细!$Q$2:$Q$50000,"已关闭",缺陷明细!$J$2:$J$50000,"系统测试",缺陷明细!$K$2:$K$50000,"严重")</f>
        <v>0</v>
      </c>
      <c r="U25" s="74">
        <f>COUNTIFS(缺陷明细!$A$2:$A$50000,$B$4,缺陷明细!$G$2:$G$50000,$C25,缺陷明细!$J$2:$J$50000,"验收测试",缺陷明细!$AB$2:$AB$50000,"&lt;&gt;丢弃",缺陷明细!$AB$2:$AB$50000,"&lt;&gt;设计如此",缺陷明细!$AB$2:$AB$50000,"&lt;&gt;重复Bug")</f>
        <v>0</v>
      </c>
      <c r="V25" s="75">
        <f>COUNTIFS(缺陷明细!$A$2:$A$50000,$B$4,缺陷明细!$G$2:$G$50000,$C25,缺陷明细!$Q$2:$Q$50000,"已关闭",缺陷明细!$J$2:$J$50000,"验收测试")</f>
        <v>0</v>
      </c>
      <c r="W25" s="75">
        <f>COUNTIFS(缺陷明细!$A$2:$A$50000,$B$4,缺陷明细!$G$2:$G$50000,$C25,缺陷明细!$J$2:$J$50000,"验收测试",缺陷明细!$K$2:$K$50000,"致命",缺陷明细!$AB$2:$AB$50000,"&lt;&gt;丢弃",缺陷明细!$AB$2:$AB$50000,"&lt;&gt;设计如此",缺陷明细!$AB$2:$AB$50000,"&lt;&gt;重复Bug")+COUNTIFS(缺陷明细!$A$2:$A$50000,$B$4,缺陷明细!$G$2:$G$50000,$C25,缺陷明细!$J$2:$J$50000,"验收测试",缺陷明细!$K$2:$K$50000,"严重",缺陷明细!$AB$2:$AB$50000,"&lt;&gt;丢弃",缺陷明细!$AB$2:$AB$50000,"&lt;&gt;设计如此",缺陷明细!$AB$2:$AB$50000,"&lt;&gt;重复Bug")</f>
        <v>0</v>
      </c>
      <c r="X25" s="76">
        <f>COUNTIFS(缺陷明细!$A$2:$A$50000,$B$4,缺陷明细!$G$2:$G$50000,$C25,缺陷明细!$Q$2:$Q$50000,"已关闭",缺陷明细!$J$2:$J$50000,"验收测试",缺陷明细!$K$2:$K$50000,"致命")+COUNTIFS(缺陷明细!$A$2:$A$50000,$B$4,缺陷明细!$G$2:$G$50000,$C25,缺陷明细!$Q$2:$Q$50000,"已关闭",缺陷明细!$J$2:$J$50000,"验收测试",缺陷明细!$K$2:$K$50000,"严重")</f>
        <v>0</v>
      </c>
      <c r="Y25" s="70">
        <f>COUNTIFS(缺陷明细!$A$2:$A$50000,$B$4,缺陷明细!$G$2:$G$50000,$C25,缺陷明细!$J$2:$J$50000,"运维测试",缺陷明细!$AB$2:$AB$50000,"&lt;&gt;丢弃",缺陷明细!$AB$2:$AB$50000,"&lt;&gt;设计如此",缺陷明细!$AB$2:$AB$50000,"&lt;&gt;重复Bug")</f>
        <v>0</v>
      </c>
      <c r="Z25" s="71">
        <f>COUNTIFS(缺陷明细!$A$2:$A$50000,$B$4,缺陷明细!$G$2:$G$50000,$C25,缺陷明细!$Q$2:$Q$50000,"已关闭",缺陷明细!$J$2:$J$50000,"运维测试")</f>
        <v>0</v>
      </c>
      <c r="AA25" s="72">
        <f>COUNTIFS(缺陷明细!$A$2:$A$50000,$B$4,缺陷明细!$G$2:$G$50000,$C25,缺陷明细!$J$2:$J$50000,"运维测试",缺陷明细!$K$2:$K$50000,"致命",缺陷明细!$AB$2:$AB$50000,"&lt;&gt;丢弃",缺陷明细!$AB$2:$AB$50000,"&lt;&gt;设计如此",缺陷明细!$AB$2:$AB$50000,"&lt;&gt;重复Bug")+COUNTIFS(缺陷明细!$A$2:$A$50000,$B$4,缺陷明细!$G$2:$G$50000,$C25,缺陷明细!$J$2:$J$50000,"运维测试",缺陷明细!$K$2:$K$50000,"严重",缺陷明细!$AB$2:$AB$50000,"&lt;&gt;丢弃",缺陷明细!$AB$2:$AB$50000,"&lt;&gt;设计如此",缺陷明细!$AB$2:$AB$50000,"&lt;&gt;重复Bug")</f>
        <v>0</v>
      </c>
      <c r="AB25" s="73">
        <f>COUNTIFS(缺陷明细!$A$2:$A$50000,$B$4,缺陷明细!$G$2:$G$50000,$C25,缺陷明细!$Q$2:$Q$50000,"已关闭",缺陷明细!$J$2:$J$50000,"运维测试",缺陷明细!$K$2:$K$50000,"致命")+COUNTIFS(缺陷明细!$A$2:$A$50000,$B$4,缺陷明细!$G$2:$G$50000,$C25,缺陷明细!$Q$2:$Q$50000,"已关闭",缺陷明细!$J$2:$J$50000,"运维测试",缺陷明细!$K$2:$K$50000,"严重")</f>
        <v>0</v>
      </c>
      <c r="AC25" s="68">
        <f t="shared" si="0"/>
        <v>0</v>
      </c>
      <c r="AD25" s="60">
        <f t="shared" si="0"/>
        <v>0</v>
      </c>
      <c r="AE25" s="60">
        <f t="shared" si="1"/>
        <v>0</v>
      </c>
      <c r="AF25" s="60">
        <f t="shared" si="1"/>
        <v>0</v>
      </c>
      <c r="AG25" s="60">
        <f t="shared" si="2"/>
        <v>0</v>
      </c>
      <c r="AH25" s="60">
        <f t="shared" si="2"/>
        <v>0</v>
      </c>
      <c r="AI25" s="60">
        <f t="shared" si="3"/>
        <v>0</v>
      </c>
      <c r="AJ25" s="61">
        <f t="shared" si="3"/>
        <v>0</v>
      </c>
      <c r="AK25" s="144"/>
    </row>
    <row r="26" spans="1:37">
      <c r="A26">
        <v>22</v>
      </c>
      <c r="B26" s="57"/>
      <c r="C26" s="58"/>
      <c r="D26" s="84"/>
      <c r="E26" s="82"/>
      <c r="F26" s="158"/>
      <c r="G26" s="159"/>
      <c r="H26" s="281">
        <f>COUNTIFS(缺陷明细!$A$2:$A$50000,$B$4,缺陷明细!$G$2:$G$50000,$C26,缺陷明细!$J$2:$J$50000,"评审",缺陷明细!$AB$2:$AB$50000,"&lt;&gt;丢弃",缺陷明细!$AB$2:$AB$50000,"&lt;&gt;设计如此",缺陷明细!$AB$2:$AB$50000,"&lt;&gt;重复Bug")</f>
        <v>0</v>
      </c>
      <c r="I26" s="154">
        <f>COUNTIFS(缺陷明细!$A$2:$A$50000,$B$4,缺陷明细!$G$2:$G$50000,$C26,缺陷明细!$Q$2:$Q$50000,"已关闭",缺陷明细!$J$2:$J$50000,"评审")</f>
        <v>0</v>
      </c>
      <c r="J26" s="154">
        <f>COUNTIFS(缺陷明细!$A$2:$A$50000,$B$4,缺陷明细!$G$2:$G$50000,$C26,缺陷明细!$J$2:$J$50000,"单元测试",缺陷明细!$AB$2:$AB$50000,"&lt;&gt;丢弃",缺陷明细!$AB$2:$AB$50000,"&lt;&gt;设计如此",缺陷明细!$AB$2:$AB$50000,"&lt;&gt;重复Bug")</f>
        <v>0</v>
      </c>
      <c r="K26" s="155">
        <f>COUNTIFS(缺陷明细!$A$2:$A$50000,$B$4,缺陷明细!$G$2:$G$50000,$C26,缺陷明细!$Q$2:$Q$50000,"已关闭",缺陷明细!$J$2:$J$50000,"单元测试")</f>
        <v>0</v>
      </c>
      <c r="L26" s="156"/>
      <c r="M26" s="157"/>
      <c r="N26" s="72">
        <f>COUNTIFS(缺陷明细!$A$2:$A$50000,$B$4,缺陷明细!$G$2:$G$50000,$C26,缺陷明细!$J$2:$J$50000,"系统测试案例评审",缺陷明细!$AB$2:$AB$50000,"&lt;&gt;丢弃",缺陷明细!$AB$2:$AB$50000,"&lt;&gt;设计如此",缺陷明细!$AB$2:$AB$50000,"&lt;&gt;重复Bug")</f>
        <v>0</v>
      </c>
      <c r="O26" s="72">
        <f>COUNTIFS(缺陷明细!$A$2:$A$50000,$B$4,缺陷明细!$G$2:$G$50000,$C26,缺陷明细!$Q$2:$Q$50000,"已关闭",缺陷明细!$J$2:$J$50000,"系统测试案例评审")</f>
        <v>0</v>
      </c>
      <c r="P26" s="72">
        <f>COUNTIFS(缺陷明细!$A$2:$A$50000,$B$4,缺陷明细!$G$2:$G$50000,$C26,缺陷明细!$J$2:$J$50000,"系统测试",缺陷明细!$AB$2:$AB$50000,"&lt;&gt;丢弃",缺陷明细!$AB$2:$AB$50000,"&lt;&gt;设计如此",缺陷明细!$AB$2:$AB$50000,"&lt;&gt;重复Bug")</f>
        <v>0</v>
      </c>
      <c r="Q26" s="72">
        <f>COUNTIFS(缺陷明细!$A$2:$A$50000,$B$4,缺陷明细!$G$2:$G$50000,$C26,缺陷明细!$Q$2:$Q$50000,"已关闭",缺陷明细!$J$2:$J$50000,"系统测试")</f>
        <v>0</v>
      </c>
      <c r="R26" s="296">
        <f>COUNTIFS(缺陷明细!$A$2:$A$50000,$B$4,缺陷明细!$G$2:$G$50000,$C26,缺陷明细!$AB$2:$AB$50000,"丢弃",缺陷明细!$J$2:$J$50000,"系统测试")+COUNTIFS(缺陷明细!$A$2:$A$50000,$B$4,缺陷明细!$G$2:$G$50000,$C26,缺陷明细!$AB$2:$AB$50000,"设计如此",缺陷明细!$J$2:$J$50000,"系统测试")+COUNTIFS(缺陷明细!$A$2:$A$50000,$B$4,缺陷明细!$G$2:$G$50000,$C26,缺陷明细!$AB$2:$AB$50000,"重复Bug",缺陷明细!$J$2:$J$50000,"系统测试")</f>
        <v>0</v>
      </c>
      <c r="S26" s="72">
        <f>COUNTIFS(缺陷明细!$A$2:$A$50000,$B$4,缺陷明细!$G$2:$G$50000,$C26,缺陷明细!$J$2:$J$50000,"系统测试",缺陷明细!$K$2:$K$50000,"致命",缺陷明细!$AB$2:$AB$50000,"&lt;&gt;丢弃",缺陷明细!$AB$2:$AB$50000,"&lt;&gt;设计如此",缺陷明细!$AB$2:$AB$50000,"&lt;&gt;重复Bug")+COUNTIFS(缺陷明细!$A$2:$A$50000,$B$4,缺陷明细!$G$2:$G$50000,$C26,缺陷明细!$J$2:$J$50000,"系统测试",缺陷明细!$K$2:$K$50000,"严重",缺陷明细!$AB$2:$AB$50000,"&lt;&gt;丢弃",缺陷明细!$AB$2:$AB$50000,"&lt;&gt;设计如此",缺陷明细!$AB$2:$AB$50000,"&lt;&gt;重复Bug")</f>
        <v>0</v>
      </c>
      <c r="T26" s="73">
        <f>COUNTIFS(缺陷明细!$A$2:$A$50000,$B$4,缺陷明细!$G$2:$G$50000,$C26,缺陷明细!$Q$2:$Q$50000,"已关闭",缺陷明细!$J$2:$J$50000,"系统测试",缺陷明细!$K$2:$K$50000,"致命")+COUNTIFS(缺陷明细!$A$2:$A$50000,$B$4,缺陷明细!$G$2:$G$50000,$C26,缺陷明细!$Q$2:$Q$50000,"已关闭",缺陷明细!$J$2:$J$50000,"系统测试",缺陷明细!$K$2:$K$50000,"严重")</f>
        <v>0</v>
      </c>
      <c r="U26" s="74">
        <f>COUNTIFS(缺陷明细!$A$2:$A$50000,$B$4,缺陷明细!$G$2:$G$50000,$C26,缺陷明细!$J$2:$J$50000,"验收测试",缺陷明细!$AB$2:$AB$50000,"&lt;&gt;丢弃",缺陷明细!$AB$2:$AB$50000,"&lt;&gt;设计如此",缺陷明细!$AB$2:$AB$50000,"&lt;&gt;重复Bug")</f>
        <v>0</v>
      </c>
      <c r="V26" s="75">
        <f>COUNTIFS(缺陷明细!$A$2:$A$50000,$B$4,缺陷明细!$G$2:$G$50000,$C26,缺陷明细!$Q$2:$Q$50000,"已关闭",缺陷明细!$J$2:$J$50000,"验收测试")</f>
        <v>0</v>
      </c>
      <c r="W26" s="75">
        <f>COUNTIFS(缺陷明细!$A$2:$A$50000,$B$4,缺陷明细!$G$2:$G$50000,$C26,缺陷明细!$J$2:$J$50000,"验收测试",缺陷明细!$K$2:$K$50000,"致命",缺陷明细!$AB$2:$AB$50000,"&lt;&gt;丢弃",缺陷明细!$AB$2:$AB$50000,"&lt;&gt;设计如此",缺陷明细!$AB$2:$AB$50000,"&lt;&gt;重复Bug")+COUNTIFS(缺陷明细!$A$2:$A$50000,$B$4,缺陷明细!$G$2:$G$50000,$C26,缺陷明细!$J$2:$J$50000,"验收测试",缺陷明细!$K$2:$K$50000,"严重",缺陷明细!$AB$2:$AB$50000,"&lt;&gt;丢弃",缺陷明细!$AB$2:$AB$50000,"&lt;&gt;设计如此",缺陷明细!$AB$2:$AB$50000,"&lt;&gt;重复Bug")</f>
        <v>0</v>
      </c>
      <c r="X26" s="76">
        <f>COUNTIFS(缺陷明细!$A$2:$A$50000,$B$4,缺陷明细!$G$2:$G$50000,$C26,缺陷明细!$Q$2:$Q$50000,"已关闭",缺陷明细!$J$2:$J$50000,"验收测试",缺陷明细!$K$2:$K$50000,"致命")+COUNTIFS(缺陷明细!$A$2:$A$50000,$B$4,缺陷明细!$G$2:$G$50000,$C26,缺陷明细!$Q$2:$Q$50000,"已关闭",缺陷明细!$J$2:$J$50000,"验收测试",缺陷明细!$K$2:$K$50000,"严重")</f>
        <v>0</v>
      </c>
      <c r="Y26" s="70">
        <f>COUNTIFS(缺陷明细!$A$2:$A$50000,$B$4,缺陷明细!$G$2:$G$50000,$C26,缺陷明细!$J$2:$J$50000,"运维测试",缺陷明细!$AB$2:$AB$50000,"&lt;&gt;丢弃",缺陷明细!$AB$2:$AB$50000,"&lt;&gt;设计如此",缺陷明细!$AB$2:$AB$50000,"&lt;&gt;重复Bug")</f>
        <v>0</v>
      </c>
      <c r="Z26" s="71">
        <f>COUNTIFS(缺陷明细!$A$2:$A$50000,$B$4,缺陷明细!$G$2:$G$50000,$C26,缺陷明细!$Q$2:$Q$50000,"已关闭",缺陷明细!$J$2:$J$50000,"运维测试")</f>
        <v>0</v>
      </c>
      <c r="AA26" s="72">
        <f>COUNTIFS(缺陷明细!$A$2:$A$50000,$B$4,缺陷明细!$G$2:$G$50000,$C26,缺陷明细!$J$2:$J$50000,"运维测试",缺陷明细!$K$2:$K$50000,"致命",缺陷明细!$AB$2:$AB$50000,"&lt;&gt;丢弃",缺陷明细!$AB$2:$AB$50000,"&lt;&gt;设计如此",缺陷明细!$AB$2:$AB$50000,"&lt;&gt;重复Bug")+COUNTIFS(缺陷明细!$A$2:$A$50000,$B$4,缺陷明细!$G$2:$G$50000,$C26,缺陷明细!$J$2:$J$50000,"运维测试",缺陷明细!$K$2:$K$50000,"严重",缺陷明细!$AB$2:$AB$50000,"&lt;&gt;丢弃",缺陷明细!$AB$2:$AB$50000,"&lt;&gt;设计如此",缺陷明细!$AB$2:$AB$50000,"&lt;&gt;重复Bug")</f>
        <v>0</v>
      </c>
      <c r="AB26" s="73">
        <f>COUNTIFS(缺陷明细!$A$2:$A$50000,$B$4,缺陷明细!$G$2:$G$50000,$C26,缺陷明细!$Q$2:$Q$50000,"已关闭",缺陷明细!$J$2:$J$50000,"运维测试",缺陷明细!$K$2:$K$50000,"致命")+COUNTIFS(缺陷明细!$A$2:$A$50000,$B$4,缺陷明细!$G$2:$G$50000,$C26,缺陷明细!$Q$2:$Q$50000,"已关闭",缺陷明细!$J$2:$J$50000,"运维测试",缺陷明细!$K$2:$K$50000,"严重")</f>
        <v>0</v>
      </c>
      <c r="AC26" s="68">
        <f t="shared" si="0"/>
        <v>0</v>
      </c>
      <c r="AD26" s="60">
        <f t="shared" si="0"/>
        <v>0</v>
      </c>
      <c r="AE26" s="60">
        <f t="shared" si="1"/>
        <v>0</v>
      </c>
      <c r="AF26" s="60">
        <f t="shared" si="1"/>
        <v>0</v>
      </c>
      <c r="AG26" s="60">
        <f t="shared" si="2"/>
        <v>0</v>
      </c>
      <c r="AH26" s="60">
        <f t="shared" si="2"/>
        <v>0</v>
      </c>
      <c r="AI26" s="60">
        <f t="shared" si="3"/>
        <v>0</v>
      </c>
      <c r="AJ26" s="61">
        <f t="shared" si="3"/>
        <v>0</v>
      </c>
      <c r="AK26" s="144"/>
    </row>
    <row r="27" spans="1:37">
      <c r="A27">
        <v>23</v>
      </c>
      <c r="B27" s="57"/>
      <c r="C27" s="58"/>
      <c r="D27" s="84"/>
      <c r="E27" s="82"/>
      <c r="F27" s="158"/>
      <c r="G27" s="159"/>
      <c r="H27" s="281">
        <f>COUNTIFS(缺陷明细!$A$2:$A$50000,$B$4,缺陷明细!$G$2:$G$50000,$C27,缺陷明细!$J$2:$J$50000,"评审",缺陷明细!$AB$2:$AB$50000,"&lt;&gt;丢弃",缺陷明细!$AB$2:$AB$50000,"&lt;&gt;设计如此",缺陷明细!$AB$2:$AB$50000,"&lt;&gt;重复Bug")</f>
        <v>0</v>
      </c>
      <c r="I27" s="154">
        <f>COUNTIFS(缺陷明细!$A$2:$A$50000,$B$4,缺陷明细!$G$2:$G$50000,$C27,缺陷明细!$Q$2:$Q$50000,"已关闭",缺陷明细!$J$2:$J$50000,"评审")</f>
        <v>0</v>
      </c>
      <c r="J27" s="154">
        <f>COUNTIFS(缺陷明细!$A$2:$A$50000,$B$4,缺陷明细!$G$2:$G$50000,$C27,缺陷明细!$J$2:$J$50000,"单元测试",缺陷明细!$AB$2:$AB$50000,"&lt;&gt;丢弃",缺陷明细!$AB$2:$AB$50000,"&lt;&gt;设计如此",缺陷明细!$AB$2:$AB$50000,"&lt;&gt;重复Bug")</f>
        <v>0</v>
      </c>
      <c r="K27" s="155">
        <f>COUNTIFS(缺陷明细!$A$2:$A$50000,$B$4,缺陷明细!$G$2:$G$50000,$C27,缺陷明细!$Q$2:$Q$50000,"已关闭",缺陷明细!$J$2:$J$50000,"单元测试")</f>
        <v>0</v>
      </c>
      <c r="L27" s="156"/>
      <c r="M27" s="157"/>
      <c r="N27" s="72">
        <f>COUNTIFS(缺陷明细!$A$2:$A$50000,$B$4,缺陷明细!$G$2:$G$50000,$C27,缺陷明细!$J$2:$J$50000,"系统测试案例评审",缺陷明细!$AB$2:$AB$50000,"&lt;&gt;丢弃",缺陷明细!$AB$2:$AB$50000,"&lt;&gt;设计如此",缺陷明细!$AB$2:$AB$50000,"&lt;&gt;重复Bug")</f>
        <v>0</v>
      </c>
      <c r="O27" s="72">
        <f>COUNTIFS(缺陷明细!$A$2:$A$50000,$B$4,缺陷明细!$G$2:$G$50000,$C27,缺陷明细!$Q$2:$Q$50000,"已关闭",缺陷明细!$J$2:$J$50000,"系统测试案例评审")</f>
        <v>0</v>
      </c>
      <c r="P27" s="72">
        <f>COUNTIFS(缺陷明细!$A$2:$A$50000,$B$4,缺陷明细!$G$2:$G$50000,$C27,缺陷明细!$J$2:$J$50000,"系统测试",缺陷明细!$AB$2:$AB$50000,"&lt;&gt;丢弃",缺陷明细!$AB$2:$AB$50000,"&lt;&gt;设计如此",缺陷明细!$AB$2:$AB$50000,"&lt;&gt;重复Bug")</f>
        <v>0</v>
      </c>
      <c r="Q27" s="72">
        <f>COUNTIFS(缺陷明细!$A$2:$A$50000,$B$4,缺陷明细!$G$2:$G$50000,$C27,缺陷明细!$Q$2:$Q$50000,"已关闭",缺陷明细!$J$2:$J$50000,"系统测试")</f>
        <v>0</v>
      </c>
      <c r="R27" s="296">
        <f>COUNTIFS(缺陷明细!$A$2:$A$50000,$B$4,缺陷明细!$G$2:$G$50000,$C27,缺陷明细!$AB$2:$AB$50000,"丢弃",缺陷明细!$J$2:$J$50000,"系统测试")+COUNTIFS(缺陷明细!$A$2:$A$50000,$B$4,缺陷明细!$G$2:$G$50000,$C27,缺陷明细!$AB$2:$AB$50000,"设计如此",缺陷明细!$J$2:$J$50000,"系统测试")+COUNTIFS(缺陷明细!$A$2:$A$50000,$B$4,缺陷明细!$G$2:$G$50000,$C27,缺陷明细!$AB$2:$AB$50000,"重复Bug",缺陷明细!$J$2:$J$50000,"系统测试")</f>
        <v>0</v>
      </c>
      <c r="S27" s="72">
        <f>COUNTIFS(缺陷明细!$A$2:$A$50000,$B$4,缺陷明细!$G$2:$G$50000,$C27,缺陷明细!$J$2:$J$50000,"系统测试",缺陷明细!$K$2:$K$50000,"致命",缺陷明细!$AB$2:$AB$50000,"&lt;&gt;丢弃",缺陷明细!$AB$2:$AB$50000,"&lt;&gt;设计如此",缺陷明细!$AB$2:$AB$50000,"&lt;&gt;重复Bug")+COUNTIFS(缺陷明细!$A$2:$A$50000,$B$4,缺陷明细!$G$2:$G$50000,$C27,缺陷明细!$J$2:$J$50000,"系统测试",缺陷明细!$K$2:$K$50000,"严重",缺陷明细!$AB$2:$AB$50000,"&lt;&gt;丢弃",缺陷明细!$AB$2:$AB$50000,"&lt;&gt;设计如此",缺陷明细!$AB$2:$AB$50000,"&lt;&gt;重复Bug")</f>
        <v>0</v>
      </c>
      <c r="T27" s="73">
        <f>COUNTIFS(缺陷明细!$A$2:$A$50000,$B$4,缺陷明细!$G$2:$G$50000,$C27,缺陷明细!$Q$2:$Q$50000,"已关闭",缺陷明细!$J$2:$J$50000,"系统测试",缺陷明细!$K$2:$K$50000,"致命")+COUNTIFS(缺陷明细!$A$2:$A$50000,$B$4,缺陷明细!$G$2:$G$50000,$C27,缺陷明细!$Q$2:$Q$50000,"已关闭",缺陷明细!$J$2:$J$50000,"系统测试",缺陷明细!$K$2:$K$50000,"严重")</f>
        <v>0</v>
      </c>
      <c r="U27" s="74">
        <f>COUNTIFS(缺陷明细!$A$2:$A$50000,$B$4,缺陷明细!$G$2:$G$50000,$C27,缺陷明细!$J$2:$J$50000,"验收测试",缺陷明细!$AB$2:$AB$50000,"&lt;&gt;丢弃",缺陷明细!$AB$2:$AB$50000,"&lt;&gt;设计如此",缺陷明细!$AB$2:$AB$50000,"&lt;&gt;重复Bug")</f>
        <v>0</v>
      </c>
      <c r="V27" s="75">
        <f>COUNTIFS(缺陷明细!$A$2:$A$50000,$B$4,缺陷明细!$G$2:$G$50000,$C27,缺陷明细!$Q$2:$Q$50000,"已关闭",缺陷明细!$J$2:$J$50000,"验收测试")</f>
        <v>0</v>
      </c>
      <c r="W27" s="75">
        <f>COUNTIFS(缺陷明细!$A$2:$A$50000,$B$4,缺陷明细!$G$2:$G$50000,$C27,缺陷明细!$J$2:$J$50000,"验收测试",缺陷明细!$K$2:$K$50000,"致命",缺陷明细!$AB$2:$AB$50000,"&lt;&gt;丢弃",缺陷明细!$AB$2:$AB$50000,"&lt;&gt;设计如此",缺陷明细!$AB$2:$AB$50000,"&lt;&gt;重复Bug")+COUNTIFS(缺陷明细!$A$2:$A$50000,$B$4,缺陷明细!$G$2:$G$50000,$C27,缺陷明细!$J$2:$J$50000,"验收测试",缺陷明细!$K$2:$K$50000,"严重",缺陷明细!$AB$2:$AB$50000,"&lt;&gt;丢弃",缺陷明细!$AB$2:$AB$50000,"&lt;&gt;设计如此",缺陷明细!$AB$2:$AB$50000,"&lt;&gt;重复Bug")</f>
        <v>0</v>
      </c>
      <c r="X27" s="76">
        <f>COUNTIFS(缺陷明细!$A$2:$A$50000,$B$4,缺陷明细!$G$2:$G$50000,$C27,缺陷明细!$Q$2:$Q$50000,"已关闭",缺陷明细!$J$2:$J$50000,"验收测试",缺陷明细!$K$2:$K$50000,"致命")+COUNTIFS(缺陷明细!$A$2:$A$50000,$B$4,缺陷明细!$G$2:$G$50000,$C27,缺陷明细!$Q$2:$Q$50000,"已关闭",缺陷明细!$J$2:$J$50000,"验收测试",缺陷明细!$K$2:$K$50000,"严重")</f>
        <v>0</v>
      </c>
      <c r="Y27" s="70">
        <f>COUNTIFS(缺陷明细!$A$2:$A$50000,$B$4,缺陷明细!$G$2:$G$50000,$C27,缺陷明细!$J$2:$J$50000,"运维测试",缺陷明细!$AB$2:$AB$50000,"&lt;&gt;丢弃",缺陷明细!$AB$2:$AB$50000,"&lt;&gt;设计如此",缺陷明细!$AB$2:$AB$50000,"&lt;&gt;重复Bug")</f>
        <v>0</v>
      </c>
      <c r="Z27" s="71">
        <f>COUNTIFS(缺陷明细!$A$2:$A$50000,$B$4,缺陷明细!$G$2:$G$50000,$C27,缺陷明细!$Q$2:$Q$50000,"已关闭",缺陷明细!$J$2:$J$50000,"运维测试")</f>
        <v>0</v>
      </c>
      <c r="AA27" s="72">
        <f>COUNTIFS(缺陷明细!$A$2:$A$50000,$B$4,缺陷明细!$G$2:$G$50000,$C27,缺陷明细!$J$2:$J$50000,"运维测试",缺陷明细!$K$2:$K$50000,"致命",缺陷明细!$AB$2:$AB$50000,"&lt;&gt;丢弃",缺陷明细!$AB$2:$AB$50000,"&lt;&gt;设计如此",缺陷明细!$AB$2:$AB$50000,"&lt;&gt;重复Bug")+COUNTIFS(缺陷明细!$A$2:$A$50000,$B$4,缺陷明细!$G$2:$G$50000,$C27,缺陷明细!$J$2:$J$50000,"运维测试",缺陷明细!$K$2:$K$50000,"严重",缺陷明细!$AB$2:$AB$50000,"&lt;&gt;丢弃",缺陷明细!$AB$2:$AB$50000,"&lt;&gt;设计如此",缺陷明细!$AB$2:$AB$50000,"&lt;&gt;重复Bug")</f>
        <v>0</v>
      </c>
      <c r="AB27" s="73">
        <f>COUNTIFS(缺陷明细!$A$2:$A$50000,$B$4,缺陷明细!$G$2:$G$50000,$C27,缺陷明细!$Q$2:$Q$50000,"已关闭",缺陷明细!$J$2:$J$50000,"运维测试",缺陷明细!$K$2:$K$50000,"致命")+COUNTIFS(缺陷明细!$A$2:$A$50000,$B$4,缺陷明细!$G$2:$G$50000,$C27,缺陷明细!$Q$2:$Q$50000,"已关闭",缺陷明细!$J$2:$J$50000,"运维测试",缺陷明细!$K$2:$K$50000,"严重")</f>
        <v>0</v>
      </c>
      <c r="AC27" s="68">
        <f t="shared" si="0"/>
        <v>0</v>
      </c>
      <c r="AD27" s="60">
        <f t="shared" si="0"/>
        <v>0</v>
      </c>
      <c r="AE27" s="60">
        <f t="shared" si="1"/>
        <v>0</v>
      </c>
      <c r="AF27" s="60">
        <f t="shared" si="1"/>
        <v>0</v>
      </c>
      <c r="AG27" s="60">
        <f t="shared" si="2"/>
        <v>0</v>
      </c>
      <c r="AH27" s="60">
        <f t="shared" si="2"/>
        <v>0</v>
      </c>
      <c r="AI27" s="60">
        <f t="shared" si="3"/>
        <v>0</v>
      </c>
      <c r="AJ27" s="61">
        <f t="shared" si="3"/>
        <v>0</v>
      </c>
      <c r="AK27" s="144"/>
    </row>
    <row r="28" spans="1:37">
      <c r="A28">
        <v>24</v>
      </c>
      <c r="B28" s="57"/>
      <c r="C28" s="58"/>
      <c r="D28" s="84"/>
      <c r="E28" s="82"/>
      <c r="F28" s="158"/>
      <c r="G28" s="159"/>
      <c r="H28" s="281">
        <f>COUNTIFS(缺陷明细!$A$2:$A$50000,$B$4,缺陷明细!$G$2:$G$50000,$C28,缺陷明细!$J$2:$J$50000,"评审",缺陷明细!$AB$2:$AB$50000,"&lt;&gt;丢弃",缺陷明细!$AB$2:$AB$50000,"&lt;&gt;设计如此",缺陷明细!$AB$2:$AB$50000,"&lt;&gt;重复Bug")</f>
        <v>0</v>
      </c>
      <c r="I28" s="154">
        <f>COUNTIFS(缺陷明细!$A$2:$A$50000,$B$4,缺陷明细!$G$2:$G$50000,$C28,缺陷明细!$Q$2:$Q$50000,"已关闭",缺陷明细!$J$2:$J$50000,"评审")</f>
        <v>0</v>
      </c>
      <c r="J28" s="154">
        <f>COUNTIFS(缺陷明细!$A$2:$A$50000,$B$4,缺陷明细!$G$2:$G$50000,$C28,缺陷明细!$J$2:$J$50000,"单元测试",缺陷明细!$AB$2:$AB$50000,"&lt;&gt;丢弃",缺陷明细!$AB$2:$AB$50000,"&lt;&gt;设计如此",缺陷明细!$AB$2:$AB$50000,"&lt;&gt;重复Bug")</f>
        <v>0</v>
      </c>
      <c r="K28" s="155">
        <f>COUNTIFS(缺陷明细!$A$2:$A$50000,$B$4,缺陷明细!$G$2:$G$50000,$C28,缺陷明细!$Q$2:$Q$50000,"已关闭",缺陷明细!$J$2:$J$50000,"单元测试")</f>
        <v>0</v>
      </c>
      <c r="L28" s="156"/>
      <c r="M28" s="157"/>
      <c r="N28" s="72">
        <f>COUNTIFS(缺陷明细!$A$2:$A$50000,$B$4,缺陷明细!$G$2:$G$50000,$C28,缺陷明细!$J$2:$J$50000,"系统测试案例评审",缺陷明细!$AB$2:$AB$50000,"&lt;&gt;丢弃",缺陷明细!$AB$2:$AB$50000,"&lt;&gt;设计如此",缺陷明细!$AB$2:$AB$50000,"&lt;&gt;重复Bug")</f>
        <v>0</v>
      </c>
      <c r="O28" s="72">
        <f>COUNTIFS(缺陷明细!$A$2:$A$50000,$B$4,缺陷明细!$G$2:$G$50000,$C28,缺陷明细!$Q$2:$Q$50000,"已关闭",缺陷明细!$J$2:$J$50000,"系统测试案例评审")</f>
        <v>0</v>
      </c>
      <c r="P28" s="72">
        <f>COUNTIFS(缺陷明细!$A$2:$A$50000,$B$4,缺陷明细!$G$2:$G$50000,$C28,缺陷明细!$J$2:$J$50000,"系统测试",缺陷明细!$AB$2:$AB$50000,"&lt;&gt;丢弃",缺陷明细!$AB$2:$AB$50000,"&lt;&gt;设计如此",缺陷明细!$AB$2:$AB$50000,"&lt;&gt;重复Bug")</f>
        <v>0</v>
      </c>
      <c r="Q28" s="72">
        <f>COUNTIFS(缺陷明细!$A$2:$A$50000,$B$4,缺陷明细!$G$2:$G$50000,$C28,缺陷明细!$Q$2:$Q$50000,"已关闭",缺陷明细!$J$2:$J$50000,"系统测试")</f>
        <v>0</v>
      </c>
      <c r="R28" s="296">
        <f>COUNTIFS(缺陷明细!$A$2:$A$50000,$B$4,缺陷明细!$G$2:$G$50000,$C28,缺陷明细!$AB$2:$AB$50000,"丢弃",缺陷明细!$J$2:$J$50000,"系统测试")+COUNTIFS(缺陷明细!$A$2:$A$50000,$B$4,缺陷明细!$G$2:$G$50000,$C28,缺陷明细!$AB$2:$AB$50000,"设计如此",缺陷明细!$J$2:$J$50000,"系统测试")+COUNTIFS(缺陷明细!$A$2:$A$50000,$B$4,缺陷明细!$G$2:$G$50000,$C28,缺陷明细!$AB$2:$AB$50000,"重复Bug",缺陷明细!$J$2:$J$50000,"系统测试")</f>
        <v>0</v>
      </c>
      <c r="S28" s="72">
        <f>COUNTIFS(缺陷明细!$A$2:$A$50000,$B$4,缺陷明细!$G$2:$G$50000,$C28,缺陷明细!$J$2:$J$50000,"系统测试",缺陷明细!$K$2:$K$50000,"致命",缺陷明细!$AB$2:$AB$50000,"&lt;&gt;丢弃",缺陷明细!$AB$2:$AB$50000,"&lt;&gt;设计如此",缺陷明细!$AB$2:$AB$50000,"&lt;&gt;重复Bug")+COUNTIFS(缺陷明细!$A$2:$A$50000,$B$4,缺陷明细!$G$2:$G$50000,$C28,缺陷明细!$J$2:$J$50000,"系统测试",缺陷明细!$K$2:$K$50000,"严重",缺陷明细!$AB$2:$AB$50000,"&lt;&gt;丢弃",缺陷明细!$AB$2:$AB$50000,"&lt;&gt;设计如此",缺陷明细!$AB$2:$AB$50000,"&lt;&gt;重复Bug")</f>
        <v>0</v>
      </c>
      <c r="T28" s="73">
        <f>COUNTIFS(缺陷明细!$A$2:$A$50000,$B$4,缺陷明细!$G$2:$G$50000,$C28,缺陷明细!$Q$2:$Q$50000,"已关闭",缺陷明细!$J$2:$J$50000,"系统测试",缺陷明细!$K$2:$K$50000,"致命")+COUNTIFS(缺陷明细!$A$2:$A$50000,$B$4,缺陷明细!$G$2:$G$50000,$C28,缺陷明细!$Q$2:$Q$50000,"已关闭",缺陷明细!$J$2:$J$50000,"系统测试",缺陷明细!$K$2:$K$50000,"严重")</f>
        <v>0</v>
      </c>
      <c r="U28" s="74">
        <f>COUNTIFS(缺陷明细!$A$2:$A$50000,$B$4,缺陷明细!$G$2:$G$50000,$C28,缺陷明细!$J$2:$J$50000,"验收测试",缺陷明细!$AB$2:$AB$50000,"&lt;&gt;丢弃",缺陷明细!$AB$2:$AB$50000,"&lt;&gt;设计如此",缺陷明细!$AB$2:$AB$50000,"&lt;&gt;重复Bug")</f>
        <v>0</v>
      </c>
      <c r="V28" s="75">
        <f>COUNTIFS(缺陷明细!$A$2:$A$50000,$B$4,缺陷明细!$G$2:$G$50000,$C28,缺陷明细!$Q$2:$Q$50000,"已关闭",缺陷明细!$J$2:$J$50000,"验收测试")</f>
        <v>0</v>
      </c>
      <c r="W28" s="75">
        <f>COUNTIFS(缺陷明细!$A$2:$A$50000,$B$4,缺陷明细!$G$2:$G$50000,$C28,缺陷明细!$J$2:$J$50000,"验收测试",缺陷明细!$K$2:$K$50000,"致命",缺陷明细!$AB$2:$AB$50000,"&lt;&gt;丢弃",缺陷明细!$AB$2:$AB$50000,"&lt;&gt;设计如此",缺陷明细!$AB$2:$AB$50000,"&lt;&gt;重复Bug")+COUNTIFS(缺陷明细!$A$2:$A$50000,$B$4,缺陷明细!$G$2:$G$50000,$C28,缺陷明细!$J$2:$J$50000,"验收测试",缺陷明细!$K$2:$K$50000,"严重",缺陷明细!$AB$2:$AB$50000,"&lt;&gt;丢弃",缺陷明细!$AB$2:$AB$50000,"&lt;&gt;设计如此",缺陷明细!$AB$2:$AB$50000,"&lt;&gt;重复Bug")</f>
        <v>0</v>
      </c>
      <c r="X28" s="76">
        <f>COUNTIFS(缺陷明细!$A$2:$A$50000,$B$4,缺陷明细!$G$2:$G$50000,$C28,缺陷明细!$Q$2:$Q$50000,"已关闭",缺陷明细!$J$2:$J$50000,"验收测试",缺陷明细!$K$2:$K$50000,"致命")+COUNTIFS(缺陷明细!$A$2:$A$50000,$B$4,缺陷明细!$G$2:$G$50000,$C28,缺陷明细!$Q$2:$Q$50000,"已关闭",缺陷明细!$J$2:$J$50000,"验收测试",缺陷明细!$K$2:$K$50000,"严重")</f>
        <v>0</v>
      </c>
      <c r="Y28" s="70">
        <f>COUNTIFS(缺陷明细!$A$2:$A$50000,$B$4,缺陷明细!$G$2:$G$50000,$C28,缺陷明细!$J$2:$J$50000,"运维测试",缺陷明细!$AB$2:$AB$50000,"&lt;&gt;丢弃",缺陷明细!$AB$2:$AB$50000,"&lt;&gt;设计如此",缺陷明细!$AB$2:$AB$50000,"&lt;&gt;重复Bug")</f>
        <v>0</v>
      </c>
      <c r="Z28" s="71">
        <f>COUNTIFS(缺陷明细!$A$2:$A$50000,$B$4,缺陷明细!$G$2:$G$50000,$C28,缺陷明细!$Q$2:$Q$50000,"已关闭",缺陷明细!$J$2:$J$50000,"运维测试")</f>
        <v>0</v>
      </c>
      <c r="AA28" s="72">
        <f>COUNTIFS(缺陷明细!$A$2:$A$50000,$B$4,缺陷明细!$G$2:$G$50000,$C28,缺陷明细!$J$2:$J$50000,"运维测试",缺陷明细!$K$2:$K$50000,"致命",缺陷明细!$AB$2:$AB$50000,"&lt;&gt;丢弃",缺陷明细!$AB$2:$AB$50000,"&lt;&gt;设计如此",缺陷明细!$AB$2:$AB$50000,"&lt;&gt;重复Bug")+COUNTIFS(缺陷明细!$A$2:$A$50000,$B$4,缺陷明细!$G$2:$G$50000,$C28,缺陷明细!$J$2:$J$50000,"运维测试",缺陷明细!$K$2:$K$50000,"严重",缺陷明细!$AB$2:$AB$50000,"&lt;&gt;丢弃",缺陷明细!$AB$2:$AB$50000,"&lt;&gt;设计如此",缺陷明细!$AB$2:$AB$50000,"&lt;&gt;重复Bug")</f>
        <v>0</v>
      </c>
      <c r="AB28" s="73">
        <f>COUNTIFS(缺陷明细!$A$2:$A$50000,$B$4,缺陷明细!$G$2:$G$50000,$C28,缺陷明细!$Q$2:$Q$50000,"已关闭",缺陷明细!$J$2:$J$50000,"运维测试",缺陷明细!$K$2:$K$50000,"致命")+COUNTIFS(缺陷明细!$A$2:$A$50000,$B$4,缺陷明细!$G$2:$G$50000,$C28,缺陷明细!$Q$2:$Q$50000,"已关闭",缺陷明细!$J$2:$J$50000,"运维测试",缺陷明细!$K$2:$K$50000,"严重")</f>
        <v>0</v>
      </c>
      <c r="AC28" s="68">
        <f t="shared" si="0"/>
        <v>0</v>
      </c>
      <c r="AD28" s="60">
        <f t="shared" si="0"/>
        <v>0</v>
      </c>
      <c r="AE28" s="60">
        <f t="shared" si="1"/>
        <v>0</v>
      </c>
      <c r="AF28" s="60">
        <f t="shared" si="1"/>
        <v>0</v>
      </c>
      <c r="AG28" s="60">
        <f t="shared" si="2"/>
        <v>0</v>
      </c>
      <c r="AH28" s="60">
        <f t="shared" si="2"/>
        <v>0</v>
      </c>
      <c r="AI28" s="60">
        <f t="shared" si="3"/>
        <v>0</v>
      </c>
      <c r="AJ28" s="61">
        <f t="shared" si="3"/>
        <v>0</v>
      </c>
      <c r="AK28" s="144"/>
    </row>
    <row r="29" spans="1:37">
      <c r="A29">
        <v>25</v>
      </c>
      <c r="B29" s="57"/>
      <c r="C29" s="58"/>
      <c r="D29" s="84"/>
      <c r="E29" s="82"/>
      <c r="F29" s="158"/>
      <c r="G29" s="159"/>
      <c r="H29" s="281">
        <f>COUNTIFS(缺陷明细!$A$2:$A$50000,$B$4,缺陷明细!$G$2:$G$50000,$C29,缺陷明细!$J$2:$J$50000,"评审",缺陷明细!$AB$2:$AB$50000,"&lt;&gt;丢弃",缺陷明细!$AB$2:$AB$50000,"&lt;&gt;设计如此",缺陷明细!$AB$2:$AB$50000,"&lt;&gt;重复Bug")</f>
        <v>0</v>
      </c>
      <c r="I29" s="154">
        <f>COUNTIFS(缺陷明细!$A$2:$A$50000,$B$4,缺陷明细!$G$2:$G$50000,$C29,缺陷明细!$Q$2:$Q$50000,"已关闭",缺陷明细!$J$2:$J$50000,"评审")</f>
        <v>0</v>
      </c>
      <c r="J29" s="154">
        <f>COUNTIFS(缺陷明细!$A$2:$A$50000,$B$4,缺陷明细!$G$2:$G$50000,$C29,缺陷明细!$J$2:$J$50000,"单元测试",缺陷明细!$AB$2:$AB$50000,"&lt;&gt;丢弃",缺陷明细!$AB$2:$AB$50000,"&lt;&gt;设计如此",缺陷明细!$AB$2:$AB$50000,"&lt;&gt;重复Bug")</f>
        <v>0</v>
      </c>
      <c r="K29" s="155">
        <f>COUNTIFS(缺陷明细!$A$2:$A$50000,$B$4,缺陷明细!$G$2:$G$50000,$C29,缺陷明细!$Q$2:$Q$50000,"已关闭",缺陷明细!$J$2:$J$50000,"单元测试")</f>
        <v>0</v>
      </c>
      <c r="L29" s="156"/>
      <c r="M29" s="157"/>
      <c r="N29" s="72">
        <f>COUNTIFS(缺陷明细!$A$2:$A$50000,$B$4,缺陷明细!$G$2:$G$50000,$C29,缺陷明细!$J$2:$J$50000,"系统测试案例评审",缺陷明细!$AB$2:$AB$50000,"&lt;&gt;丢弃",缺陷明细!$AB$2:$AB$50000,"&lt;&gt;设计如此",缺陷明细!$AB$2:$AB$50000,"&lt;&gt;重复Bug")</f>
        <v>0</v>
      </c>
      <c r="O29" s="72">
        <f>COUNTIFS(缺陷明细!$A$2:$A$50000,$B$4,缺陷明细!$G$2:$G$50000,$C29,缺陷明细!$Q$2:$Q$50000,"已关闭",缺陷明细!$J$2:$J$50000,"系统测试案例评审")</f>
        <v>0</v>
      </c>
      <c r="P29" s="72">
        <f>COUNTIFS(缺陷明细!$A$2:$A$50000,$B$4,缺陷明细!$G$2:$G$50000,$C29,缺陷明细!$J$2:$J$50000,"系统测试",缺陷明细!$AB$2:$AB$50000,"&lt;&gt;丢弃",缺陷明细!$AB$2:$AB$50000,"&lt;&gt;设计如此",缺陷明细!$AB$2:$AB$50000,"&lt;&gt;重复Bug")</f>
        <v>0</v>
      </c>
      <c r="Q29" s="72">
        <f>COUNTIFS(缺陷明细!$A$2:$A$50000,$B$4,缺陷明细!$G$2:$G$50000,$C29,缺陷明细!$Q$2:$Q$50000,"已关闭",缺陷明细!$J$2:$J$50000,"系统测试")</f>
        <v>0</v>
      </c>
      <c r="R29" s="296">
        <f>COUNTIFS(缺陷明细!$A$2:$A$50000,$B$4,缺陷明细!$G$2:$G$50000,$C29,缺陷明细!$AB$2:$AB$50000,"丢弃",缺陷明细!$J$2:$J$50000,"系统测试")+COUNTIFS(缺陷明细!$A$2:$A$50000,$B$4,缺陷明细!$G$2:$G$50000,$C29,缺陷明细!$AB$2:$AB$50000,"设计如此",缺陷明细!$J$2:$J$50000,"系统测试")+COUNTIFS(缺陷明细!$A$2:$A$50000,$B$4,缺陷明细!$G$2:$G$50000,$C29,缺陷明细!$AB$2:$AB$50000,"重复Bug",缺陷明细!$J$2:$J$50000,"系统测试")</f>
        <v>0</v>
      </c>
      <c r="S29" s="72">
        <f>COUNTIFS(缺陷明细!$A$2:$A$50000,$B$4,缺陷明细!$G$2:$G$50000,$C29,缺陷明细!$J$2:$J$50000,"系统测试",缺陷明细!$K$2:$K$50000,"致命",缺陷明细!$AB$2:$AB$50000,"&lt;&gt;丢弃",缺陷明细!$AB$2:$AB$50000,"&lt;&gt;设计如此",缺陷明细!$AB$2:$AB$50000,"&lt;&gt;重复Bug")+COUNTIFS(缺陷明细!$A$2:$A$50000,$B$4,缺陷明细!$G$2:$G$50000,$C29,缺陷明细!$J$2:$J$50000,"系统测试",缺陷明细!$K$2:$K$50000,"严重",缺陷明细!$AB$2:$AB$50000,"&lt;&gt;丢弃",缺陷明细!$AB$2:$AB$50000,"&lt;&gt;设计如此",缺陷明细!$AB$2:$AB$50000,"&lt;&gt;重复Bug")</f>
        <v>0</v>
      </c>
      <c r="T29" s="73">
        <f>COUNTIFS(缺陷明细!$A$2:$A$50000,$B$4,缺陷明细!$G$2:$G$50000,$C29,缺陷明细!$Q$2:$Q$50000,"已关闭",缺陷明细!$J$2:$J$50000,"系统测试",缺陷明细!$K$2:$K$50000,"致命")+COUNTIFS(缺陷明细!$A$2:$A$50000,$B$4,缺陷明细!$G$2:$G$50000,$C29,缺陷明细!$Q$2:$Q$50000,"已关闭",缺陷明细!$J$2:$J$50000,"系统测试",缺陷明细!$K$2:$K$50000,"严重")</f>
        <v>0</v>
      </c>
      <c r="U29" s="74">
        <f>COUNTIFS(缺陷明细!$A$2:$A$50000,$B$4,缺陷明细!$G$2:$G$50000,$C29,缺陷明细!$J$2:$J$50000,"验收测试",缺陷明细!$AB$2:$AB$50000,"&lt;&gt;丢弃",缺陷明细!$AB$2:$AB$50000,"&lt;&gt;设计如此",缺陷明细!$AB$2:$AB$50000,"&lt;&gt;重复Bug")</f>
        <v>0</v>
      </c>
      <c r="V29" s="75">
        <f>COUNTIFS(缺陷明细!$A$2:$A$50000,$B$4,缺陷明细!$G$2:$G$50000,$C29,缺陷明细!$Q$2:$Q$50000,"已关闭",缺陷明细!$J$2:$J$50000,"验收测试")</f>
        <v>0</v>
      </c>
      <c r="W29" s="75">
        <f>COUNTIFS(缺陷明细!$A$2:$A$50000,$B$4,缺陷明细!$G$2:$G$50000,$C29,缺陷明细!$J$2:$J$50000,"验收测试",缺陷明细!$K$2:$K$50000,"致命",缺陷明细!$AB$2:$AB$50000,"&lt;&gt;丢弃",缺陷明细!$AB$2:$AB$50000,"&lt;&gt;设计如此",缺陷明细!$AB$2:$AB$50000,"&lt;&gt;重复Bug")+COUNTIFS(缺陷明细!$A$2:$A$50000,$B$4,缺陷明细!$G$2:$G$50000,$C29,缺陷明细!$J$2:$J$50000,"验收测试",缺陷明细!$K$2:$K$50000,"严重",缺陷明细!$AB$2:$AB$50000,"&lt;&gt;丢弃",缺陷明细!$AB$2:$AB$50000,"&lt;&gt;设计如此",缺陷明细!$AB$2:$AB$50000,"&lt;&gt;重复Bug")</f>
        <v>0</v>
      </c>
      <c r="X29" s="76">
        <f>COUNTIFS(缺陷明细!$A$2:$A$50000,$B$4,缺陷明细!$G$2:$G$50000,$C29,缺陷明细!$Q$2:$Q$50000,"已关闭",缺陷明细!$J$2:$J$50000,"验收测试",缺陷明细!$K$2:$K$50000,"致命")+COUNTIFS(缺陷明细!$A$2:$A$50000,$B$4,缺陷明细!$G$2:$G$50000,$C29,缺陷明细!$Q$2:$Q$50000,"已关闭",缺陷明细!$J$2:$J$50000,"验收测试",缺陷明细!$K$2:$K$50000,"严重")</f>
        <v>0</v>
      </c>
      <c r="Y29" s="70">
        <f>COUNTIFS(缺陷明细!$A$2:$A$50000,$B$4,缺陷明细!$G$2:$G$50000,$C29,缺陷明细!$J$2:$J$50000,"运维测试",缺陷明细!$AB$2:$AB$50000,"&lt;&gt;丢弃",缺陷明细!$AB$2:$AB$50000,"&lt;&gt;设计如此",缺陷明细!$AB$2:$AB$50000,"&lt;&gt;重复Bug")</f>
        <v>0</v>
      </c>
      <c r="Z29" s="71">
        <f>COUNTIFS(缺陷明细!$A$2:$A$50000,$B$4,缺陷明细!$G$2:$G$50000,$C29,缺陷明细!$Q$2:$Q$50000,"已关闭",缺陷明细!$J$2:$J$50000,"运维测试")</f>
        <v>0</v>
      </c>
      <c r="AA29" s="72">
        <f>COUNTIFS(缺陷明细!$A$2:$A$50000,$B$4,缺陷明细!$G$2:$G$50000,$C29,缺陷明细!$J$2:$J$50000,"运维测试",缺陷明细!$K$2:$K$50000,"致命",缺陷明细!$AB$2:$AB$50000,"&lt;&gt;丢弃",缺陷明细!$AB$2:$AB$50000,"&lt;&gt;设计如此",缺陷明细!$AB$2:$AB$50000,"&lt;&gt;重复Bug")+COUNTIFS(缺陷明细!$A$2:$A$50000,$B$4,缺陷明细!$G$2:$G$50000,$C29,缺陷明细!$J$2:$J$50000,"运维测试",缺陷明细!$K$2:$K$50000,"严重",缺陷明细!$AB$2:$AB$50000,"&lt;&gt;丢弃",缺陷明细!$AB$2:$AB$50000,"&lt;&gt;设计如此",缺陷明细!$AB$2:$AB$50000,"&lt;&gt;重复Bug")</f>
        <v>0</v>
      </c>
      <c r="AB29" s="73">
        <f>COUNTIFS(缺陷明细!$A$2:$A$50000,$B$4,缺陷明细!$G$2:$G$50000,$C29,缺陷明细!$Q$2:$Q$50000,"已关闭",缺陷明细!$J$2:$J$50000,"运维测试",缺陷明细!$K$2:$K$50000,"致命")+COUNTIFS(缺陷明细!$A$2:$A$50000,$B$4,缺陷明细!$G$2:$G$50000,$C29,缺陷明细!$Q$2:$Q$50000,"已关闭",缺陷明细!$J$2:$J$50000,"运维测试",缺陷明细!$K$2:$K$50000,"严重")</f>
        <v>0</v>
      </c>
      <c r="AC29" s="68">
        <f t="shared" si="0"/>
        <v>0</v>
      </c>
      <c r="AD29" s="60">
        <f t="shared" si="0"/>
        <v>0</v>
      </c>
      <c r="AE29" s="60">
        <f t="shared" si="1"/>
        <v>0</v>
      </c>
      <c r="AF29" s="60">
        <f t="shared" si="1"/>
        <v>0</v>
      </c>
      <c r="AG29" s="60">
        <f t="shared" si="2"/>
        <v>0</v>
      </c>
      <c r="AH29" s="60">
        <f t="shared" si="2"/>
        <v>0</v>
      </c>
      <c r="AI29" s="60">
        <f t="shared" si="3"/>
        <v>0</v>
      </c>
      <c r="AJ29" s="61">
        <f t="shared" si="3"/>
        <v>0</v>
      </c>
      <c r="AK29" s="144"/>
    </row>
    <row r="30" spans="1:37">
      <c r="A30">
        <v>26</v>
      </c>
      <c r="B30" s="57"/>
      <c r="C30" s="58"/>
      <c r="D30" s="84"/>
      <c r="E30" s="82"/>
      <c r="F30" s="158"/>
      <c r="G30" s="159"/>
      <c r="H30" s="281">
        <f>COUNTIFS(缺陷明细!$A$2:$A$50000,$B$4,缺陷明细!$G$2:$G$50000,$C30,缺陷明细!$J$2:$J$50000,"评审",缺陷明细!$AB$2:$AB$50000,"&lt;&gt;丢弃",缺陷明细!$AB$2:$AB$50000,"&lt;&gt;设计如此",缺陷明细!$AB$2:$AB$50000,"&lt;&gt;重复Bug")</f>
        <v>0</v>
      </c>
      <c r="I30" s="154">
        <f>COUNTIFS(缺陷明细!$A$2:$A$50000,$B$4,缺陷明细!$G$2:$G$50000,$C30,缺陷明细!$Q$2:$Q$50000,"已关闭",缺陷明细!$J$2:$J$50000,"评审")</f>
        <v>0</v>
      </c>
      <c r="J30" s="154">
        <f>COUNTIFS(缺陷明细!$A$2:$A$50000,$B$4,缺陷明细!$G$2:$G$50000,$C30,缺陷明细!$J$2:$J$50000,"单元测试",缺陷明细!$AB$2:$AB$50000,"&lt;&gt;丢弃",缺陷明细!$AB$2:$AB$50000,"&lt;&gt;设计如此",缺陷明细!$AB$2:$AB$50000,"&lt;&gt;重复Bug")</f>
        <v>0</v>
      </c>
      <c r="K30" s="155">
        <f>COUNTIFS(缺陷明细!$A$2:$A$50000,$B$4,缺陷明细!$G$2:$G$50000,$C30,缺陷明细!$Q$2:$Q$50000,"已关闭",缺陷明细!$J$2:$J$50000,"单元测试")</f>
        <v>0</v>
      </c>
      <c r="L30" s="156"/>
      <c r="M30" s="157"/>
      <c r="N30" s="72">
        <f>COUNTIFS(缺陷明细!$A$2:$A$50000,$B$4,缺陷明细!$G$2:$G$50000,$C30,缺陷明细!$J$2:$J$50000,"系统测试案例评审",缺陷明细!$AB$2:$AB$50000,"&lt;&gt;丢弃",缺陷明细!$AB$2:$AB$50000,"&lt;&gt;设计如此",缺陷明细!$AB$2:$AB$50000,"&lt;&gt;重复Bug")</f>
        <v>0</v>
      </c>
      <c r="O30" s="72">
        <f>COUNTIFS(缺陷明细!$A$2:$A$50000,$B$4,缺陷明细!$G$2:$G$50000,$C30,缺陷明细!$Q$2:$Q$50000,"已关闭",缺陷明细!$J$2:$J$50000,"系统测试案例评审")</f>
        <v>0</v>
      </c>
      <c r="P30" s="72">
        <f>COUNTIFS(缺陷明细!$A$2:$A$50000,$B$4,缺陷明细!$G$2:$G$50000,$C30,缺陷明细!$J$2:$J$50000,"系统测试",缺陷明细!$AB$2:$AB$50000,"&lt;&gt;丢弃",缺陷明细!$AB$2:$AB$50000,"&lt;&gt;设计如此",缺陷明细!$AB$2:$AB$50000,"&lt;&gt;重复Bug")</f>
        <v>0</v>
      </c>
      <c r="Q30" s="72">
        <f>COUNTIFS(缺陷明细!$A$2:$A$50000,$B$4,缺陷明细!$G$2:$G$50000,$C30,缺陷明细!$Q$2:$Q$50000,"已关闭",缺陷明细!$J$2:$J$50000,"系统测试")</f>
        <v>0</v>
      </c>
      <c r="R30" s="296">
        <f>COUNTIFS(缺陷明细!$A$2:$A$50000,$B$4,缺陷明细!$G$2:$G$50000,$C30,缺陷明细!$AB$2:$AB$50000,"丢弃",缺陷明细!$J$2:$J$50000,"系统测试")+COUNTIFS(缺陷明细!$A$2:$A$50000,$B$4,缺陷明细!$G$2:$G$50000,$C30,缺陷明细!$AB$2:$AB$50000,"设计如此",缺陷明细!$J$2:$J$50000,"系统测试")+COUNTIFS(缺陷明细!$A$2:$A$50000,$B$4,缺陷明细!$G$2:$G$50000,$C30,缺陷明细!$AB$2:$AB$50000,"重复Bug",缺陷明细!$J$2:$J$50000,"系统测试")</f>
        <v>0</v>
      </c>
      <c r="S30" s="72">
        <f>COUNTIFS(缺陷明细!$A$2:$A$50000,$B$4,缺陷明细!$G$2:$G$50000,$C30,缺陷明细!$J$2:$J$50000,"系统测试",缺陷明细!$K$2:$K$50000,"致命",缺陷明细!$AB$2:$AB$50000,"&lt;&gt;丢弃",缺陷明细!$AB$2:$AB$50000,"&lt;&gt;设计如此",缺陷明细!$AB$2:$AB$50000,"&lt;&gt;重复Bug")+COUNTIFS(缺陷明细!$A$2:$A$50000,$B$4,缺陷明细!$G$2:$G$50000,$C30,缺陷明细!$J$2:$J$50000,"系统测试",缺陷明细!$K$2:$K$50000,"严重",缺陷明细!$AB$2:$AB$50000,"&lt;&gt;丢弃",缺陷明细!$AB$2:$AB$50000,"&lt;&gt;设计如此",缺陷明细!$AB$2:$AB$50000,"&lt;&gt;重复Bug")</f>
        <v>0</v>
      </c>
      <c r="T30" s="73">
        <f>COUNTIFS(缺陷明细!$A$2:$A$50000,$B$4,缺陷明细!$G$2:$G$50000,$C30,缺陷明细!$Q$2:$Q$50000,"已关闭",缺陷明细!$J$2:$J$50000,"系统测试",缺陷明细!$K$2:$K$50000,"致命")+COUNTIFS(缺陷明细!$A$2:$A$50000,$B$4,缺陷明细!$G$2:$G$50000,$C30,缺陷明细!$Q$2:$Q$50000,"已关闭",缺陷明细!$J$2:$J$50000,"系统测试",缺陷明细!$K$2:$K$50000,"严重")</f>
        <v>0</v>
      </c>
      <c r="U30" s="74">
        <f>COUNTIFS(缺陷明细!$A$2:$A$50000,$B$4,缺陷明细!$G$2:$G$50000,$C30,缺陷明细!$J$2:$J$50000,"验收测试",缺陷明细!$AB$2:$AB$50000,"&lt;&gt;丢弃",缺陷明细!$AB$2:$AB$50000,"&lt;&gt;设计如此",缺陷明细!$AB$2:$AB$50000,"&lt;&gt;重复Bug")</f>
        <v>0</v>
      </c>
      <c r="V30" s="75">
        <f>COUNTIFS(缺陷明细!$A$2:$A$50000,$B$4,缺陷明细!$G$2:$G$50000,$C30,缺陷明细!$Q$2:$Q$50000,"已关闭",缺陷明细!$J$2:$J$50000,"验收测试")</f>
        <v>0</v>
      </c>
      <c r="W30" s="75">
        <f>COUNTIFS(缺陷明细!$A$2:$A$50000,$B$4,缺陷明细!$G$2:$G$50000,$C30,缺陷明细!$J$2:$J$50000,"验收测试",缺陷明细!$K$2:$K$50000,"致命",缺陷明细!$AB$2:$AB$50000,"&lt;&gt;丢弃",缺陷明细!$AB$2:$AB$50000,"&lt;&gt;设计如此",缺陷明细!$AB$2:$AB$50000,"&lt;&gt;重复Bug")+COUNTIFS(缺陷明细!$A$2:$A$50000,$B$4,缺陷明细!$G$2:$G$50000,$C30,缺陷明细!$J$2:$J$50000,"验收测试",缺陷明细!$K$2:$K$50000,"严重",缺陷明细!$AB$2:$AB$50000,"&lt;&gt;丢弃",缺陷明细!$AB$2:$AB$50000,"&lt;&gt;设计如此",缺陷明细!$AB$2:$AB$50000,"&lt;&gt;重复Bug")</f>
        <v>0</v>
      </c>
      <c r="X30" s="76">
        <f>COUNTIFS(缺陷明细!$A$2:$A$50000,$B$4,缺陷明细!$G$2:$G$50000,$C30,缺陷明细!$Q$2:$Q$50000,"已关闭",缺陷明细!$J$2:$J$50000,"验收测试",缺陷明细!$K$2:$K$50000,"致命")+COUNTIFS(缺陷明细!$A$2:$A$50000,$B$4,缺陷明细!$G$2:$G$50000,$C30,缺陷明细!$Q$2:$Q$50000,"已关闭",缺陷明细!$J$2:$J$50000,"验收测试",缺陷明细!$K$2:$K$50000,"严重")</f>
        <v>0</v>
      </c>
      <c r="Y30" s="70">
        <f>COUNTIFS(缺陷明细!$A$2:$A$50000,$B$4,缺陷明细!$G$2:$G$50000,$C30,缺陷明细!$J$2:$J$50000,"运维测试",缺陷明细!$AB$2:$AB$50000,"&lt;&gt;丢弃",缺陷明细!$AB$2:$AB$50000,"&lt;&gt;设计如此",缺陷明细!$AB$2:$AB$50000,"&lt;&gt;重复Bug")</f>
        <v>0</v>
      </c>
      <c r="Z30" s="71">
        <f>COUNTIFS(缺陷明细!$A$2:$A$50000,$B$4,缺陷明细!$G$2:$G$50000,$C30,缺陷明细!$Q$2:$Q$50000,"已关闭",缺陷明细!$J$2:$J$50000,"运维测试")</f>
        <v>0</v>
      </c>
      <c r="AA30" s="72">
        <f>COUNTIFS(缺陷明细!$A$2:$A$50000,$B$4,缺陷明细!$G$2:$G$50000,$C30,缺陷明细!$J$2:$J$50000,"运维测试",缺陷明细!$K$2:$K$50000,"致命",缺陷明细!$AB$2:$AB$50000,"&lt;&gt;丢弃",缺陷明细!$AB$2:$AB$50000,"&lt;&gt;设计如此",缺陷明细!$AB$2:$AB$50000,"&lt;&gt;重复Bug")+COUNTIFS(缺陷明细!$A$2:$A$50000,$B$4,缺陷明细!$G$2:$G$50000,$C30,缺陷明细!$J$2:$J$50000,"运维测试",缺陷明细!$K$2:$K$50000,"严重",缺陷明细!$AB$2:$AB$50000,"&lt;&gt;丢弃",缺陷明细!$AB$2:$AB$50000,"&lt;&gt;设计如此",缺陷明细!$AB$2:$AB$50000,"&lt;&gt;重复Bug")</f>
        <v>0</v>
      </c>
      <c r="AB30" s="73">
        <f>COUNTIFS(缺陷明细!$A$2:$A$50000,$B$4,缺陷明细!$G$2:$G$50000,$C30,缺陷明细!$Q$2:$Q$50000,"已关闭",缺陷明细!$J$2:$J$50000,"运维测试",缺陷明细!$K$2:$K$50000,"致命")+COUNTIFS(缺陷明细!$A$2:$A$50000,$B$4,缺陷明细!$G$2:$G$50000,$C30,缺陷明细!$Q$2:$Q$50000,"已关闭",缺陷明细!$J$2:$J$50000,"运维测试",缺陷明细!$K$2:$K$50000,"严重")</f>
        <v>0</v>
      </c>
      <c r="AC30" s="68">
        <f t="shared" si="0"/>
        <v>0</v>
      </c>
      <c r="AD30" s="60">
        <f t="shared" si="0"/>
        <v>0</v>
      </c>
      <c r="AE30" s="60">
        <f t="shared" si="1"/>
        <v>0</v>
      </c>
      <c r="AF30" s="60">
        <f t="shared" si="1"/>
        <v>0</v>
      </c>
      <c r="AG30" s="60">
        <f t="shared" si="2"/>
        <v>0</v>
      </c>
      <c r="AH30" s="60">
        <f t="shared" si="2"/>
        <v>0</v>
      </c>
      <c r="AI30" s="60">
        <f t="shared" si="3"/>
        <v>0</v>
      </c>
      <c r="AJ30" s="61">
        <f t="shared" si="3"/>
        <v>0</v>
      </c>
      <c r="AK30" s="144"/>
    </row>
    <row r="31" spans="1:37">
      <c r="A31">
        <v>27</v>
      </c>
      <c r="B31" s="57"/>
      <c r="C31" s="58"/>
      <c r="D31" s="84"/>
      <c r="E31" s="82"/>
      <c r="F31" s="158"/>
      <c r="G31" s="159"/>
      <c r="H31" s="281">
        <f>COUNTIFS(缺陷明细!$A$2:$A$50000,$B$4,缺陷明细!$G$2:$G$50000,$C31,缺陷明细!$J$2:$J$50000,"评审",缺陷明细!$AB$2:$AB$50000,"&lt;&gt;丢弃",缺陷明细!$AB$2:$AB$50000,"&lt;&gt;设计如此",缺陷明细!$AB$2:$AB$50000,"&lt;&gt;重复Bug")</f>
        <v>0</v>
      </c>
      <c r="I31" s="154">
        <f>COUNTIFS(缺陷明细!$A$2:$A$50000,$B$4,缺陷明细!$G$2:$G$50000,$C31,缺陷明细!$Q$2:$Q$50000,"已关闭",缺陷明细!$J$2:$J$50000,"评审")</f>
        <v>0</v>
      </c>
      <c r="J31" s="154">
        <f>COUNTIFS(缺陷明细!$A$2:$A$50000,$B$4,缺陷明细!$G$2:$G$50000,$C31,缺陷明细!$J$2:$J$50000,"单元测试",缺陷明细!$AB$2:$AB$50000,"&lt;&gt;丢弃",缺陷明细!$AB$2:$AB$50000,"&lt;&gt;设计如此",缺陷明细!$AB$2:$AB$50000,"&lt;&gt;重复Bug")</f>
        <v>0</v>
      </c>
      <c r="K31" s="155">
        <f>COUNTIFS(缺陷明细!$A$2:$A$50000,$B$4,缺陷明细!$G$2:$G$50000,$C31,缺陷明细!$Q$2:$Q$50000,"已关闭",缺陷明细!$J$2:$J$50000,"单元测试")</f>
        <v>0</v>
      </c>
      <c r="L31" s="156"/>
      <c r="M31" s="157"/>
      <c r="N31" s="72">
        <f>COUNTIFS(缺陷明细!$A$2:$A$50000,$B$4,缺陷明细!$G$2:$G$50000,$C31,缺陷明细!$J$2:$J$50000,"系统测试案例评审",缺陷明细!$AB$2:$AB$50000,"&lt;&gt;丢弃",缺陷明细!$AB$2:$AB$50000,"&lt;&gt;设计如此",缺陷明细!$AB$2:$AB$50000,"&lt;&gt;重复Bug")</f>
        <v>0</v>
      </c>
      <c r="O31" s="72">
        <f>COUNTIFS(缺陷明细!$A$2:$A$50000,$B$4,缺陷明细!$G$2:$G$50000,$C31,缺陷明细!$Q$2:$Q$50000,"已关闭",缺陷明细!$J$2:$J$50000,"系统测试案例评审")</f>
        <v>0</v>
      </c>
      <c r="P31" s="72">
        <f>COUNTIFS(缺陷明细!$A$2:$A$50000,$B$4,缺陷明细!$G$2:$G$50000,$C31,缺陷明细!$J$2:$J$50000,"系统测试",缺陷明细!$AB$2:$AB$50000,"&lt;&gt;丢弃",缺陷明细!$AB$2:$AB$50000,"&lt;&gt;设计如此",缺陷明细!$AB$2:$AB$50000,"&lt;&gt;重复Bug")</f>
        <v>0</v>
      </c>
      <c r="Q31" s="72">
        <f>COUNTIFS(缺陷明细!$A$2:$A$50000,$B$4,缺陷明细!$G$2:$G$50000,$C31,缺陷明细!$Q$2:$Q$50000,"已关闭",缺陷明细!$J$2:$J$50000,"系统测试")</f>
        <v>0</v>
      </c>
      <c r="R31" s="296">
        <f>COUNTIFS(缺陷明细!$A$2:$A$50000,$B$4,缺陷明细!$G$2:$G$50000,$C31,缺陷明细!$AB$2:$AB$50000,"丢弃",缺陷明细!$J$2:$J$50000,"系统测试")+COUNTIFS(缺陷明细!$A$2:$A$50000,$B$4,缺陷明细!$G$2:$G$50000,$C31,缺陷明细!$AB$2:$AB$50000,"设计如此",缺陷明细!$J$2:$J$50000,"系统测试")+COUNTIFS(缺陷明细!$A$2:$A$50000,$B$4,缺陷明细!$G$2:$G$50000,$C31,缺陷明细!$AB$2:$AB$50000,"重复Bug",缺陷明细!$J$2:$J$50000,"系统测试")</f>
        <v>0</v>
      </c>
      <c r="S31" s="72">
        <f>COUNTIFS(缺陷明细!$A$2:$A$50000,$B$4,缺陷明细!$G$2:$G$50000,$C31,缺陷明细!$J$2:$J$50000,"系统测试",缺陷明细!$K$2:$K$50000,"致命",缺陷明细!$AB$2:$AB$50000,"&lt;&gt;丢弃",缺陷明细!$AB$2:$AB$50000,"&lt;&gt;设计如此",缺陷明细!$AB$2:$AB$50000,"&lt;&gt;重复Bug")+COUNTIFS(缺陷明细!$A$2:$A$50000,$B$4,缺陷明细!$G$2:$G$50000,$C31,缺陷明细!$J$2:$J$50000,"系统测试",缺陷明细!$K$2:$K$50000,"严重",缺陷明细!$AB$2:$AB$50000,"&lt;&gt;丢弃",缺陷明细!$AB$2:$AB$50000,"&lt;&gt;设计如此",缺陷明细!$AB$2:$AB$50000,"&lt;&gt;重复Bug")</f>
        <v>0</v>
      </c>
      <c r="T31" s="73">
        <f>COUNTIFS(缺陷明细!$A$2:$A$50000,$B$4,缺陷明细!$G$2:$G$50000,$C31,缺陷明细!$Q$2:$Q$50000,"已关闭",缺陷明细!$J$2:$J$50000,"系统测试",缺陷明细!$K$2:$K$50000,"致命")+COUNTIFS(缺陷明细!$A$2:$A$50000,$B$4,缺陷明细!$G$2:$G$50000,$C31,缺陷明细!$Q$2:$Q$50000,"已关闭",缺陷明细!$J$2:$J$50000,"系统测试",缺陷明细!$K$2:$K$50000,"严重")</f>
        <v>0</v>
      </c>
      <c r="U31" s="74">
        <f>COUNTIFS(缺陷明细!$A$2:$A$50000,$B$4,缺陷明细!$G$2:$G$50000,$C31,缺陷明细!$J$2:$J$50000,"验收测试",缺陷明细!$AB$2:$AB$50000,"&lt;&gt;丢弃",缺陷明细!$AB$2:$AB$50000,"&lt;&gt;设计如此",缺陷明细!$AB$2:$AB$50000,"&lt;&gt;重复Bug")</f>
        <v>0</v>
      </c>
      <c r="V31" s="75">
        <f>COUNTIFS(缺陷明细!$A$2:$A$50000,$B$4,缺陷明细!$G$2:$G$50000,$C31,缺陷明细!$Q$2:$Q$50000,"已关闭",缺陷明细!$J$2:$J$50000,"验收测试")</f>
        <v>0</v>
      </c>
      <c r="W31" s="75">
        <f>COUNTIFS(缺陷明细!$A$2:$A$50000,$B$4,缺陷明细!$G$2:$G$50000,$C31,缺陷明细!$J$2:$J$50000,"验收测试",缺陷明细!$K$2:$K$50000,"致命",缺陷明细!$AB$2:$AB$50000,"&lt;&gt;丢弃",缺陷明细!$AB$2:$AB$50000,"&lt;&gt;设计如此",缺陷明细!$AB$2:$AB$50000,"&lt;&gt;重复Bug")+COUNTIFS(缺陷明细!$A$2:$A$50000,$B$4,缺陷明细!$G$2:$G$50000,$C31,缺陷明细!$J$2:$J$50000,"验收测试",缺陷明细!$K$2:$K$50000,"严重",缺陷明细!$AB$2:$AB$50000,"&lt;&gt;丢弃",缺陷明细!$AB$2:$AB$50000,"&lt;&gt;设计如此",缺陷明细!$AB$2:$AB$50000,"&lt;&gt;重复Bug")</f>
        <v>0</v>
      </c>
      <c r="X31" s="76">
        <f>COUNTIFS(缺陷明细!$A$2:$A$50000,$B$4,缺陷明细!$G$2:$G$50000,$C31,缺陷明细!$Q$2:$Q$50000,"已关闭",缺陷明细!$J$2:$J$50000,"验收测试",缺陷明细!$K$2:$K$50000,"致命")+COUNTIFS(缺陷明细!$A$2:$A$50000,$B$4,缺陷明细!$G$2:$G$50000,$C31,缺陷明细!$Q$2:$Q$50000,"已关闭",缺陷明细!$J$2:$J$50000,"验收测试",缺陷明细!$K$2:$K$50000,"严重")</f>
        <v>0</v>
      </c>
      <c r="Y31" s="70">
        <f>COUNTIFS(缺陷明细!$A$2:$A$50000,$B$4,缺陷明细!$G$2:$G$50000,$C31,缺陷明细!$J$2:$J$50000,"运维测试",缺陷明细!$AB$2:$AB$50000,"&lt;&gt;丢弃",缺陷明细!$AB$2:$AB$50000,"&lt;&gt;设计如此",缺陷明细!$AB$2:$AB$50000,"&lt;&gt;重复Bug")</f>
        <v>0</v>
      </c>
      <c r="Z31" s="71">
        <f>COUNTIFS(缺陷明细!$A$2:$A$50000,$B$4,缺陷明细!$G$2:$G$50000,$C31,缺陷明细!$Q$2:$Q$50000,"已关闭",缺陷明细!$J$2:$J$50000,"运维测试")</f>
        <v>0</v>
      </c>
      <c r="AA31" s="72">
        <f>COUNTIFS(缺陷明细!$A$2:$A$50000,$B$4,缺陷明细!$G$2:$G$50000,$C31,缺陷明细!$J$2:$J$50000,"运维测试",缺陷明细!$K$2:$K$50000,"致命",缺陷明细!$AB$2:$AB$50000,"&lt;&gt;丢弃",缺陷明细!$AB$2:$AB$50000,"&lt;&gt;设计如此",缺陷明细!$AB$2:$AB$50000,"&lt;&gt;重复Bug")+COUNTIFS(缺陷明细!$A$2:$A$50000,$B$4,缺陷明细!$G$2:$G$50000,$C31,缺陷明细!$J$2:$J$50000,"运维测试",缺陷明细!$K$2:$K$50000,"严重",缺陷明细!$AB$2:$AB$50000,"&lt;&gt;丢弃",缺陷明细!$AB$2:$AB$50000,"&lt;&gt;设计如此",缺陷明细!$AB$2:$AB$50000,"&lt;&gt;重复Bug")</f>
        <v>0</v>
      </c>
      <c r="AB31" s="73">
        <f>COUNTIFS(缺陷明细!$A$2:$A$50000,$B$4,缺陷明细!$G$2:$G$50000,$C31,缺陷明细!$Q$2:$Q$50000,"已关闭",缺陷明细!$J$2:$J$50000,"运维测试",缺陷明细!$K$2:$K$50000,"致命")+COUNTIFS(缺陷明细!$A$2:$A$50000,$B$4,缺陷明细!$G$2:$G$50000,$C31,缺陷明细!$Q$2:$Q$50000,"已关闭",缺陷明细!$J$2:$J$50000,"运维测试",缺陷明细!$K$2:$K$50000,"严重")</f>
        <v>0</v>
      </c>
      <c r="AC31" s="68">
        <f t="shared" si="0"/>
        <v>0</v>
      </c>
      <c r="AD31" s="60">
        <f t="shared" si="0"/>
        <v>0</v>
      </c>
      <c r="AE31" s="60">
        <f t="shared" si="1"/>
        <v>0</v>
      </c>
      <c r="AF31" s="60">
        <f t="shared" si="1"/>
        <v>0</v>
      </c>
      <c r="AG31" s="60">
        <f t="shared" si="2"/>
        <v>0</v>
      </c>
      <c r="AH31" s="60">
        <f t="shared" si="2"/>
        <v>0</v>
      </c>
      <c r="AI31" s="60">
        <f t="shared" si="3"/>
        <v>0</v>
      </c>
      <c r="AJ31" s="61">
        <f t="shared" si="3"/>
        <v>0</v>
      </c>
      <c r="AK31" s="144"/>
    </row>
    <row r="32" spans="1:37">
      <c r="A32">
        <v>28</v>
      </c>
      <c r="B32" s="57"/>
      <c r="C32" s="58"/>
      <c r="D32" s="84"/>
      <c r="E32" s="82"/>
      <c r="F32" s="158"/>
      <c r="G32" s="159"/>
      <c r="H32" s="281">
        <f>COUNTIFS(缺陷明细!$A$2:$A$50000,$B$4,缺陷明细!$G$2:$G$50000,$C32,缺陷明细!$J$2:$J$50000,"评审",缺陷明细!$AB$2:$AB$50000,"&lt;&gt;丢弃",缺陷明细!$AB$2:$AB$50000,"&lt;&gt;设计如此",缺陷明细!$AB$2:$AB$50000,"&lt;&gt;重复Bug")</f>
        <v>0</v>
      </c>
      <c r="I32" s="154">
        <f>COUNTIFS(缺陷明细!$A$2:$A$50000,$B$4,缺陷明细!$G$2:$G$50000,$C32,缺陷明细!$Q$2:$Q$50000,"已关闭",缺陷明细!$J$2:$J$50000,"评审")</f>
        <v>0</v>
      </c>
      <c r="J32" s="154">
        <f>COUNTIFS(缺陷明细!$A$2:$A$50000,$B$4,缺陷明细!$G$2:$G$50000,$C32,缺陷明细!$J$2:$J$50000,"单元测试",缺陷明细!$AB$2:$AB$50000,"&lt;&gt;丢弃",缺陷明细!$AB$2:$AB$50000,"&lt;&gt;设计如此",缺陷明细!$AB$2:$AB$50000,"&lt;&gt;重复Bug")</f>
        <v>0</v>
      </c>
      <c r="K32" s="155">
        <f>COUNTIFS(缺陷明细!$A$2:$A$50000,$B$4,缺陷明细!$G$2:$G$50000,$C32,缺陷明细!$Q$2:$Q$50000,"已关闭",缺陷明细!$J$2:$J$50000,"单元测试")</f>
        <v>0</v>
      </c>
      <c r="L32" s="156"/>
      <c r="M32" s="157"/>
      <c r="N32" s="72">
        <f>COUNTIFS(缺陷明细!$A$2:$A$50000,$B$4,缺陷明细!$G$2:$G$50000,$C32,缺陷明细!$J$2:$J$50000,"系统测试案例评审",缺陷明细!$AB$2:$AB$50000,"&lt;&gt;丢弃",缺陷明细!$AB$2:$AB$50000,"&lt;&gt;设计如此",缺陷明细!$AB$2:$AB$50000,"&lt;&gt;重复Bug")</f>
        <v>0</v>
      </c>
      <c r="O32" s="72">
        <f>COUNTIFS(缺陷明细!$A$2:$A$50000,$B$4,缺陷明细!$G$2:$G$50000,$C32,缺陷明细!$Q$2:$Q$50000,"已关闭",缺陷明细!$J$2:$J$50000,"系统测试案例评审")</f>
        <v>0</v>
      </c>
      <c r="P32" s="72">
        <f>COUNTIFS(缺陷明细!$A$2:$A$50000,$B$4,缺陷明细!$G$2:$G$50000,$C32,缺陷明细!$J$2:$J$50000,"系统测试",缺陷明细!$AB$2:$AB$50000,"&lt;&gt;丢弃",缺陷明细!$AB$2:$AB$50000,"&lt;&gt;设计如此",缺陷明细!$AB$2:$AB$50000,"&lt;&gt;重复Bug")</f>
        <v>0</v>
      </c>
      <c r="Q32" s="72">
        <f>COUNTIFS(缺陷明细!$A$2:$A$50000,$B$4,缺陷明细!$G$2:$G$50000,$C32,缺陷明细!$Q$2:$Q$50000,"已关闭",缺陷明细!$J$2:$J$50000,"系统测试")</f>
        <v>0</v>
      </c>
      <c r="R32" s="296">
        <f>COUNTIFS(缺陷明细!$A$2:$A$50000,$B$4,缺陷明细!$G$2:$G$50000,$C32,缺陷明细!$AB$2:$AB$50000,"丢弃",缺陷明细!$J$2:$J$50000,"系统测试")+COUNTIFS(缺陷明细!$A$2:$A$50000,$B$4,缺陷明细!$G$2:$G$50000,$C32,缺陷明细!$AB$2:$AB$50000,"设计如此",缺陷明细!$J$2:$J$50000,"系统测试")+COUNTIFS(缺陷明细!$A$2:$A$50000,$B$4,缺陷明细!$G$2:$G$50000,$C32,缺陷明细!$AB$2:$AB$50000,"重复Bug",缺陷明细!$J$2:$J$50000,"系统测试")</f>
        <v>0</v>
      </c>
      <c r="S32" s="72">
        <f>COUNTIFS(缺陷明细!$A$2:$A$50000,$B$4,缺陷明细!$G$2:$G$50000,$C32,缺陷明细!$J$2:$J$50000,"系统测试",缺陷明细!$K$2:$K$50000,"致命",缺陷明细!$AB$2:$AB$50000,"&lt;&gt;丢弃",缺陷明细!$AB$2:$AB$50000,"&lt;&gt;设计如此",缺陷明细!$AB$2:$AB$50000,"&lt;&gt;重复Bug")+COUNTIFS(缺陷明细!$A$2:$A$50000,$B$4,缺陷明细!$G$2:$G$50000,$C32,缺陷明细!$J$2:$J$50000,"系统测试",缺陷明细!$K$2:$K$50000,"严重",缺陷明细!$AB$2:$AB$50000,"&lt;&gt;丢弃",缺陷明细!$AB$2:$AB$50000,"&lt;&gt;设计如此",缺陷明细!$AB$2:$AB$50000,"&lt;&gt;重复Bug")</f>
        <v>0</v>
      </c>
      <c r="T32" s="73">
        <f>COUNTIFS(缺陷明细!$A$2:$A$50000,$B$4,缺陷明细!$G$2:$G$50000,$C32,缺陷明细!$Q$2:$Q$50000,"已关闭",缺陷明细!$J$2:$J$50000,"系统测试",缺陷明细!$K$2:$K$50000,"致命")+COUNTIFS(缺陷明细!$A$2:$A$50000,$B$4,缺陷明细!$G$2:$G$50000,$C32,缺陷明细!$Q$2:$Q$50000,"已关闭",缺陷明细!$J$2:$J$50000,"系统测试",缺陷明细!$K$2:$K$50000,"严重")</f>
        <v>0</v>
      </c>
      <c r="U32" s="74">
        <f>COUNTIFS(缺陷明细!$A$2:$A$50000,$B$4,缺陷明细!$G$2:$G$50000,$C32,缺陷明细!$J$2:$J$50000,"验收测试",缺陷明细!$AB$2:$AB$50000,"&lt;&gt;丢弃",缺陷明细!$AB$2:$AB$50000,"&lt;&gt;设计如此",缺陷明细!$AB$2:$AB$50000,"&lt;&gt;重复Bug")</f>
        <v>0</v>
      </c>
      <c r="V32" s="75">
        <f>COUNTIFS(缺陷明细!$A$2:$A$50000,$B$4,缺陷明细!$G$2:$G$50000,$C32,缺陷明细!$Q$2:$Q$50000,"已关闭",缺陷明细!$J$2:$J$50000,"验收测试")</f>
        <v>0</v>
      </c>
      <c r="W32" s="75">
        <f>COUNTIFS(缺陷明细!$A$2:$A$50000,$B$4,缺陷明细!$G$2:$G$50000,$C32,缺陷明细!$J$2:$J$50000,"验收测试",缺陷明细!$K$2:$K$50000,"致命",缺陷明细!$AB$2:$AB$50000,"&lt;&gt;丢弃",缺陷明细!$AB$2:$AB$50000,"&lt;&gt;设计如此",缺陷明细!$AB$2:$AB$50000,"&lt;&gt;重复Bug")+COUNTIFS(缺陷明细!$A$2:$A$50000,$B$4,缺陷明细!$G$2:$G$50000,$C32,缺陷明细!$J$2:$J$50000,"验收测试",缺陷明细!$K$2:$K$50000,"严重",缺陷明细!$AB$2:$AB$50000,"&lt;&gt;丢弃",缺陷明细!$AB$2:$AB$50000,"&lt;&gt;设计如此",缺陷明细!$AB$2:$AB$50000,"&lt;&gt;重复Bug")</f>
        <v>0</v>
      </c>
      <c r="X32" s="76">
        <f>COUNTIFS(缺陷明细!$A$2:$A$50000,$B$4,缺陷明细!$G$2:$G$50000,$C32,缺陷明细!$Q$2:$Q$50000,"已关闭",缺陷明细!$J$2:$J$50000,"验收测试",缺陷明细!$K$2:$K$50000,"致命")+COUNTIFS(缺陷明细!$A$2:$A$50000,$B$4,缺陷明细!$G$2:$G$50000,$C32,缺陷明细!$Q$2:$Q$50000,"已关闭",缺陷明细!$J$2:$J$50000,"验收测试",缺陷明细!$K$2:$K$50000,"严重")</f>
        <v>0</v>
      </c>
      <c r="Y32" s="70">
        <f>COUNTIFS(缺陷明细!$A$2:$A$50000,$B$4,缺陷明细!$G$2:$G$50000,$C32,缺陷明细!$J$2:$J$50000,"运维测试",缺陷明细!$AB$2:$AB$50000,"&lt;&gt;丢弃",缺陷明细!$AB$2:$AB$50000,"&lt;&gt;设计如此",缺陷明细!$AB$2:$AB$50000,"&lt;&gt;重复Bug")</f>
        <v>0</v>
      </c>
      <c r="Z32" s="71">
        <f>COUNTIFS(缺陷明细!$A$2:$A$50000,$B$4,缺陷明细!$G$2:$G$50000,$C32,缺陷明细!$Q$2:$Q$50000,"已关闭",缺陷明细!$J$2:$J$50000,"运维测试")</f>
        <v>0</v>
      </c>
      <c r="AA32" s="72">
        <f>COUNTIFS(缺陷明细!$A$2:$A$50000,$B$4,缺陷明细!$G$2:$G$50000,$C32,缺陷明细!$J$2:$J$50000,"运维测试",缺陷明细!$K$2:$K$50000,"致命",缺陷明细!$AB$2:$AB$50000,"&lt;&gt;丢弃",缺陷明细!$AB$2:$AB$50000,"&lt;&gt;设计如此",缺陷明细!$AB$2:$AB$50000,"&lt;&gt;重复Bug")+COUNTIFS(缺陷明细!$A$2:$A$50000,$B$4,缺陷明细!$G$2:$G$50000,$C32,缺陷明细!$J$2:$J$50000,"运维测试",缺陷明细!$K$2:$K$50000,"严重",缺陷明细!$AB$2:$AB$50000,"&lt;&gt;丢弃",缺陷明细!$AB$2:$AB$50000,"&lt;&gt;设计如此",缺陷明细!$AB$2:$AB$50000,"&lt;&gt;重复Bug")</f>
        <v>0</v>
      </c>
      <c r="AB32" s="73">
        <f>COUNTIFS(缺陷明细!$A$2:$A$50000,$B$4,缺陷明细!$G$2:$G$50000,$C32,缺陷明细!$Q$2:$Q$50000,"已关闭",缺陷明细!$J$2:$J$50000,"运维测试",缺陷明细!$K$2:$K$50000,"致命")+COUNTIFS(缺陷明细!$A$2:$A$50000,$B$4,缺陷明细!$G$2:$G$50000,$C32,缺陷明细!$Q$2:$Q$50000,"已关闭",缺陷明细!$J$2:$J$50000,"运维测试",缺陷明细!$K$2:$K$50000,"严重")</f>
        <v>0</v>
      </c>
      <c r="AC32" s="68">
        <f t="shared" si="0"/>
        <v>0</v>
      </c>
      <c r="AD32" s="60">
        <f t="shared" si="0"/>
        <v>0</v>
      </c>
      <c r="AE32" s="60">
        <f t="shared" si="1"/>
        <v>0</v>
      </c>
      <c r="AF32" s="60">
        <f t="shared" si="1"/>
        <v>0</v>
      </c>
      <c r="AG32" s="60">
        <f t="shared" si="2"/>
        <v>0</v>
      </c>
      <c r="AH32" s="60">
        <f t="shared" si="2"/>
        <v>0</v>
      </c>
      <c r="AI32" s="60">
        <f t="shared" si="3"/>
        <v>0</v>
      </c>
      <c r="AJ32" s="61">
        <f t="shared" si="3"/>
        <v>0</v>
      </c>
      <c r="AK32" s="144"/>
    </row>
    <row r="33" spans="1:37">
      <c r="A33">
        <v>29</v>
      </c>
      <c r="B33" s="57"/>
      <c r="C33" s="58"/>
      <c r="D33" s="84"/>
      <c r="E33" s="82"/>
      <c r="F33" s="158"/>
      <c r="G33" s="159"/>
      <c r="H33" s="281">
        <f>COUNTIFS(缺陷明细!$A$2:$A$50000,$B$4,缺陷明细!$G$2:$G$50000,$C33,缺陷明细!$J$2:$J$50000,"评审",缺陷明细!$AB$2:$AB$50000,"&lt;&gt;丢弃",缺陷明细!$AB$2:$AB$50000,"&lt;&gt;设计如此",缺陷明细!$AB$2:$AB$50000,"&lt;&gt;重复Bug")</f>
        <v>0</v>
      </c>
      <c r="I33" s="154">
        <f>COUNTIFS(缺陷明细!$A$2:$A$50000,$B$4,缺陷明细!$G$2:$G$50000,$C33,缺陷明细!$Q$2:$Q$50000,"已关闭",缺陷明细!$J$2:$J$50000,"评审")</f>
        <v>0</v>
      </c>
      <c r="J33" s="154">
        <f>COUNTIFS(缺陷明细!$A$2:$A$50000,$B$4,缺陷明细!$G$2:$G$50000,$C33,缺陷明细!$J$2:$J$50000,"单元测试",缺陷明细!$AB$2:$AB$50000,"&lt;&gt;丢弃",缺陷明细!$AB$2:$AB$50000,"&lt;&gt;设计如此",缺陷明细!$AB$2:$AB$50000,"&lt;&gt;重复Bug")</f>
        <v>0</v>
      </c>
      <c r="K33" s="155">
        <f>COUNTIFS(缺陷明细!$A$2:$A$50000,$B$4,缺陷明细!$G$2:$G$50000,$C33,缺陷明细!$Q$2:$Q$50000,"已关闭",缺陷明细!$J$2:$J$50000,"单元测试")</f>
        <v>0</v>
      </c>
      <c r="L33" s="156"/>
      <c r="M33" s="157"/>
      <c r="N33" s="72">
        <f>COUNTIFS(缺陷明细!$A$2:$A$50000,$B$4,缺陷明细!$G$2:$G$50000,$C33,缺陷明细!$J$2:$J$50000,"系统测试案例评审",缺陷明细!$AB$2:$AB$50000,"&lt;&gt;丢弃",缺陷明细!$AB$2:$AB$50000,"&lt;&gt;设计如此",缺陷明细!$AB$2:$AB$50000,"&lt;&gt;重复Bug")</f>
        <v>0</v>
      </c>
      <c r="O33" s="72">
        <f>COUNTIFS(缺陷明细!$A$2:$A$50000,$B$4,缺陷明细!$G$2:$G$50000,$C33,缺陷明细!$Q$2:$Q$50000,"已关闭",缺陷明细!$J$2:$J$50000,"系统测试案例评审")</f>
        <v>0</v>
      </c>
      <c r="P33" s="72">
        <f>COUNTIFS(缺陷明细!$A$2:$A$50000,$B$4,缺陷明细!$G$2:$G$50000,$C33,缺陷明细!$J$2:$J$50000,"系统测试",缺陷明细!$AB$2:$AB$50000,"&lt;&gt;丢弃",缺陷明细!$AB$2:$AB$50000,"&lt;&gt;设计如此",缺陷明细!$AB$2:$AB$50000,"&lt;&gt;重复Bug")</f>
        <v>0</v>
      </c>
      <c r="Q33" s="72">
        <f>COUNTIFS(缺陷明细!$A$2:$A$50000,$B$4,缺陷明细!$G$2:$G$50000,$C33,缺陷明细!$Q$2:$Q$50000,"已关闭",缺陷明细!$J$2:$J$50000,"系统测试")</f>
        <v>0</v>
      </c>
      <c r="R33" s="296">
        <f>COUNTIFS(缺陷明细!$A$2:$A$50000,$B$4,缺陷明细!$G$2:$G$50000,$C33,缺陷明细!$AB$2:$AB$50000,"丢弃",缺陷明细!$J$2:$J$50000,"系统测试")+COUNTIFS(缺陷明细!$A$2:$A$50000,$B$4,缺陷明细!$G$2:$G$50000,$C33,缺陷明细!$AB$2:$AB$50000,"设计如此",缺陷明细!$J$2:$J$50000,"系统测试")+COUNTIFS(缺陷明细!$A$2:$A$50000,$B$4,缺陷明细!$G$2:$G$50000,$C33,缺陷明细!$AB$2:$AB$50000,"重复Bug",缺陷明细!$J$2:$J$50000,"系统测试")</f>
        <v>0</v>
      </c>
      <c r="S33" s="72">
        <f>COUNTIFS(缺陷明细!$A$2:$A$50000,$B$4,缺陷明细!$G$2:$G$50000,$C33,缺陷明细!$J$2:$J$50000,"系统测试",缺陷明细!$K$2:$K$50000,"致命",缺陷明细!$AB$2:$AB$50000,"&lt;&gt;丢弃",缺陷明细!$AB$2:$AB$50000,"&lt;&gt;设计如此",缺陷明细!$AB$2:$AB$50000,"&lt;&gt;重复Bug")+COUNTIFS(缺陷明细!$A$2:$A$50000,$B$4,缺陷明细!$G$2:$G$50000,$C33,缺陷明细!$J$2:$J$50000,"系统测试",缺陷明细!$K$2:$K$50000,"严重",缺陷明细!$AB$2:$AB$50000,"&lt;&gt;丢弃",缺陷明细!$AB$2:$AB$50000,"&lt;&gt;设计如此",缺陷明细!$AB$2:$AB$50000,"&lt;&gt;重复Bug")</f>
        <v>0</v>
      </c>
      <c r="T33" s="73">
        <f>COUNTIFS(缺陷明细!$A$2:$A$50000,$B$4,缺陷明细!$G$2:$G$50000,$C33,缺陷明细!$Q$2:$Q$50000,"已关闭",缺陷明细!$J$2:$J$50000,"系统测试",缺陷明细!$K$2:$K$50000,"致命")+COUNTIFS(缺陷明细!$A$2:$A$50000,$B$4,缺陷明细!$G$2:$G$50000,$C33,缺陷明细!$Q$2:$Q$50000,"已关闭",缺陷明细!$J$2:$J$50000,"系统测试",缺陷明细!$K$2:$K$50000,"严重")</f>
        <v>0</v>
      </c>
      <c r="U33" s="74">
        <f>COUNTIFS(缺陷明细!$A$2:$A$50000,$B$4,缺陷明细!$G$2:$G$50000,$C33,缺陷明细!$J$2:$J$50000,"验收测试",缺陷明细!$AB$2:$AB$50000,"&lt;&gt;丢弃",缺陷明细!$AB$2:$AB$50000,"&lt;&gt;设计如此",缺陷明细!$AB$2:$AB$50000,"&lt;&gt;重复Bug")</f>
        <v>0</v>
      </c>
      <c r="V33" s="75">
        <f>COUNTIFS(缺陷明细!$A$2:$A$50000,$B$4,缺陷明细!$G$2:$G$50000,$C33,缺陷明细!$Q$2:$Q$50000,"已关闭",缺陷明细!$J$2:$J$50000,"验收测试")</f>
        <v>0</v>
      </c>
      <c r="W33" s="75">
        <f>COUNTIFS(缺陷明细!$A$2:$A$50000,$B$4,缺陷明细!$G$2:$G$50000,$C33,缺陷明细!$J$2:$J$50000,"验收测试",缺陷明细!$K$2:$K$50000,"致命",缺陷明细!$AB$2:$AB$50000,"&lt;&gt;丢弃",缺陷明细!$AB$2:$AB$50000,"&lt;&gt;设计如此",缺陷明细!$AB$2:$AB$50000,"&lt;&gt;重复Bug")+COUNTIFS(缺陷明细!$A$2:$A$50000,$B$4,缺陷明细!$G$2:$G$50000,$C33,缺陷明细!$J$2:$J$50000,"验收测试",缺陷明细!$K$2:$K$50000,"严重",缺陷明细!$AB$2:$AB$50000,"&lt;&gt;丢弃",缺陷明细!$AB$2:$AB$50000,"&lt;&gt;设计如此",缺陷明细!$AB$2:$AB$50000,"&lt;&gt;重复Bug")</f>
        <v>0</v>
      </c>
      <c r="X33" s="76">
        <f>COUNTIFS(缺陷明细!$A$2:$A$50000,$B$4,缺陷明细!$G$2:$G$50000,$C33,缺陷明细!$Q$2:$Q$50000,"已关闭",缺陷明细!$J$2:$J$50000,"验收测试",缺陷明细!$K$2:$K$50000,"致命")+COUNTIFS(缺陷明细!$A$2:$A$50000,$B$4,缺陷明细!$G$2:$G$50000,$C33,缺陷明细!$Q$2:$Q$50000,"已关闭",缺陷明细!$J$2:$J$50000,"验收测试",缺陷明细!$K$2:$K$50000,"严重")</f>
        <v>0</v>
      </c>
      <c r="Y33" s="70">
        <f>COUNTIFS(缺陷明细!$A$2:$A$50000,$B$4,缺陷明细!$G$2:$G$50000,$C33,缺陷明细!$J$2:$J$50000,"运维测试",缺陷明细!$AB$2:$AB$50000,"&lt;&gt;丢弃",缺陷明细!$AB$2:$AB$50000,"&lt;&gt;设计如此",缺陷明细!$AB$2:$AB$50000,"&lt;&gt;重复Bug")</f>
        <v>0</v>
      </c>
      <c r="Z33" s="71">
        <f>COUNTIFS(缺陷明细!$A$2:$A$50000,$B$4,缺陷明细!$G$2:$G$50000,$C33,缺陷明细!$Q$2:$Q$50000,"已关闭",缺陷明细!$J$2:$J$50000,"运维测试")</f>
        <v>0</v>
      </c>
      <c r="AA33" s="72">
        <f>COUNTIFS(缺陷明细!$A$2:$A$50000,$B$4,缺陷明细!$G$2:$G$50000,$C33,缺陷明细!$J$2:$J$50000,"运维测试",缺陷明细!$K$2:$K$50000,"致命",缺陷明细!$AB$2:$AB$50000,"&lt;&gt;丢弃",缺陷明细!$AB$2:$AB$50000,"&lt;&gt;设计如此",缺陷明细!$AB$2:$AB$50000,"&lt;&gt;重复Bug")+COUNTIFS(缺陷明细!$A$2:$A$50000,$B$4,缺陷明细!$G$2:$G$50000,$C33,缺陷明细!$J$2:$J$50000,"运维测试",缺陷明细!$K$2:$K$50000,"严重",缺陷明细!$AB$2:$AB$50000,"&lt;&gt;丢弃",缺陷明细!$AB$2:$AB$50000,"&lt;&gt;设计如此",缺陷明细!$AB$2:$AB$50000,"&lt;&gt;重复Bug")</f>
        <v>0</v>
      </c>
      <c r="AB33" s="73">
        <f>COUNTIFS(缺陷明细!$A$2:$A$50000,$B$4,缺陷明细!$G$2:$G$50000,$C33,缺陷明细!$Q$2:$Q$50000,"已关闭",缺陷明细!$J$2:$J$50000,"运维测试",缺陷明细!$K$2:$K$50000,"致命")+COUNTIFS(缺陷明细!$A$2:$A$50000,$B$4,缺陷明细!$G$2:$G$50000,$C33,缺陷明细!$Q$2:$Q$50000,"已关闭",缺陷明细!$J$2:$J$50000,"运维测试",缺陷明细!$K$2:$K$50000,"严重")</f>
        <v>0</v>
      </c>
      <c r="AC33" s="68">
        <f t="shared" si="0"/>
        <v>0</v>
      </c>
      <c r="AD33" s="60">
        <f t="shared" si="0"/>
        <v>0</v>
      </c>
      <c r="AE33" s="60">
        <f t="shared" si="1"/>
        <v>0</v>
      </c>
      <c r="AF33" s="60">
        <f t="shared" si="1"/>
        <v>0</v>
      </c>
      <c r="AG33" s="60">
        <f t="shared" si="2"/>
        <v>0</v>
      </c>
      <c r="AH33" s="60">
        <f t="shared" si="2"/>
        <v>0</v>
      </c>
      <c r="AI33" s="60">
        <f t="shared" si="3"/>
        <v>0</v>
      </c>
      <c r="AJ33" s="61">
        <f t="shared" si="3"/>
        <v>0</v>
      </c>
      <c r="AK33" s="144"/>
    </row>
    <row r="34" spans="1:37">
      <c r="A34">
        <v>30</v>
      </c>
      <c r="B34" s="57"/>
      <c r="C34" s="58"/>
      <c r="D34" s="84"/>
      <c r="E34" s="82"/>
      <c r="F34" s="158"/>
      <c r="G34" s="159"/>
      <c r="H34" s="281">
        <f>COUNTIFS(缺陷明细!$A$2:$A$50000,$B$4,缺陷明细!$G$2:$G$50000,$C34,缺陷明细!$J$2:$J$50000,"评审",缺陷明细!$AB$2:$AB$50000,"&lt;&gt;丢弃",缺陷明细!$AB$2:$AB$50000,"&lt;&gt;设计如此",缺陷明细!$AB$2:$AB$50000,"&lt;&gt;重复Bug")</f>
        <v>0</v>
      </c>
      <c r="I34" s="154">
        <f>COUNTIFS(缺陷明细!$A$2:$A$50000,$B$4,缺陷明细!$G$2:$G$50000,$C34,缺陷明细!$Q$2:$Q$50000,"已关闭",缺陷明细!$J$2:$J$50000,"评审")</f>
        <v>0</v>
      </c>
      <c r="J34" s="154">
        <f>COUNTIFS(缺陷明细!$A$2:$A$50000,$B$4,缺陷明细!$G$2:$G$50000,$C34,缺陷明细!$J$2:$J$50000,"单元测试",缺陷明细!$AB$2:$AB$50000,"&lt;&gt;丢弃",缺陷明细!$AB$2:$AB$50000,"&lt;&gt;设计如此",缺陷明细!$AB$2:$AB$50000,"&lt;&gt;重复Bug")</f>
        <v>0</v>
      </c>
      <c r="K34" s="155">
        <f>COUNTIFS(缺陷明细!$A$2:$A$50000,$B$4,缺陷明细!$G$2:$G$50000,$C34,缺陷明细!$Q$2:$Q$50000,"已关闭",缺陷明细!$J$2:$J$50000,"单元测试")</f>
        <v>0</v>
      </c>
      <c r="L34" s="156"/>
      <c r="M34" s="157"/>
      <c r="N34" s="72">
        <f>COUNTIFS(缺陷明细!$A$2:$A$50000,$B$4,缺陷明细!$G$2:$G$50000,$C34,缺陷明细!$J$2:$J$50000,"系统测试案例评审",缺陷明细!$AB$2:$AB$50000,"&lt;&gt;丢弃",缺陷明细!$AB$2:$AB$50000,"&lt;&gt;设计如此",缺陷明细!$AB$2:$AB$50000,"&lt;&gt;重复Bug")</f>
        <v>0</v>
      </c>
      <c r="O34" s="72">
        <f>COUNTIFS(缺陷明细!$A$2:$A$50000,$B$4,缺陷明细!$G$2:$G$50000,$C34,缺陷明细!$Q$2:$Q$50000,"已关闭",缺陷明细!$J$2:$J$50000,"系统测试案例评审")</f>
        <v>0</v>
      </c>
      <c r="P34" s="72">
        <f>COUNTIFS(缺陷明细!$A$2:$A$50000,$B$4,缺陷明细!$G$2:$G$50000,$C34,缺陷明细!$J$2:$J$50000,"系统测试",缺陷明细!$AB$2:$AB$50000,"&lt;&gt;丢弃",缺陷明细!$AB$2:$AB$50000,"&lt;&gt;设计如此",缺陷明细!$AB$2:$AB$50000,"&lt;&gt;重复Bug")</f>
        <v>0</v>
      </c>
      <c r="Q34" s="72">
        <f>COUNTIFS(缺陷明细!$A$2:$A$50000,$B$4,缺陷明细!$G$2:$G$50000,$C34,缺陷明细!$Q$2:$Q$50000,"已关闭",缺陷明细!$J$2:$J$50000,"系统测试")</f>
        <v>0</v>
      </c>
      <c r="R34" s="296">
        <f>COUNTIFS(缺陷明细!$A$2:$A$50000,$B$4,缺陷明细!$G$2:$G$50000,$C34,缺陷明细!$AB$2:$AB$50000,"丢弃",缺陷明细!$J$2:$J$50000,"系统测试")+COUNTIFS(缺陷明细!$A$2:$A$50000,$B$4,缺陷明细!$G$2:$G$50000,$C34,缺陷明细!$AB$2:$AB$50000,"设计如此",缺陷明细!$J$2:$J$50000,"系统测试")+COUNTIFS(缺陷明细!$A$2:$A$50000,$B$4,缺陷明细!$G$2:$G$50000,$C34,缺陷明细!$AB$2:$AB$50000,"重复Bug",缺陷明细!$J$2:$J$50000,"系统测试")</f>
        <v>0</v>
      </c>
      <c r="S34" s="72">
        <f>COUNTIFS(缺陷明细!$A$2:$A$50000,$B$4,缺陷明细!$G$2:$G$50000,$C34,缺陷明细!$J$2:$J$50000,"系统测试",缺陷明细!$K$2:$K$50000,"致命",缺陷明细!$AB$2:$AB$50000,"&lt;&gt;丢弃",缺陷明细!$AB$2:$AB$50000,"&lt;&gt;设计如此",缺陷明细!$AB$2:$AB$50000,"&lt;&gt;重复Bug")+COUNTIFS(缺陷明细!$A$2:$A$50000,$B$4,缺陷明细!$G$2:$G$50000,$C34,缺陷明细!$J$2:$J$50000,"系统测试",缺陷明细!$K$2:$K$50000,"严重",缺陷明细!$AB$2:$AB$50000,"&lt;&gt;丢弃",缺陷明细!$AB$2:$AB$50000,"&lt;&gt;设计如此",缺陷明细!$AB$2:$AB$50000,"&lt;&gt;重复Bug")</f>
        <v>0</v>
      </c>
      <c r="T34" s="73">
        <f>COUNTIFS(缺陷明细!$A$2:$A$50000,$B$4,缺陷明细!$G$2:$G$50000,$C34,缺陷明细!$Q$2:$Q$50000,"已关闭",缺陷明细!$J$2:$J$50000,"系统测试",缺陷明细!$K$2:$K$50000,"致命")+COUNTIFS(缺陷明细!$A$2:$A$50000,$B$4,缺陷明细!$G$2:$G$50000,$C34,缺陷明细!$Q$2:$Q$50000,"已关闭",缺陷明细!$J$2:$J$50000,"系统测试",缺陷明细!$K$2:$K$50000,"严重")</f>
        <v>0</v>
      </c>
      <c r="U34" s="74">
        <f>COUNTIFS(缺陷明细!$A$2:$A$50000,$B$4,缺陷明细!$G$2:$G$50000,$C34,缺陷明细!$J$2:$J$50000,"验收测试",缺陷明细!$AB$2:$AB$50000,"&lt;&gt;丢弃",缺陷明细!$AB$2:$AB$50000,"&lt;&gt;设计如此",缺陷明细!$AB$2:$AB$50000,"&lt;&gt;重复Bug")</f>
        <v>0</v>
      </c>
      <c r="V34" s="75">
        <f>COUNTIFS(缺陷明细!$A$2:$A$50000,$B$4,缺陷明细!$G$2:$G$50000,$C34,缺陷明细!$Q$2:$Q$50000,"已关闭",缺陷明细!$J$2:$J$50000,"验收测试")</f>
        <v>0</v>
      </c>
      <c r="W34" s="75">
        <f>COUNTIFS(缺陷明细!$A$2:$A$50000,$B$4,缺陷明细!$G$2:$G$50000,$C34,缺陷明细!$J$2:$J$50000,"验收测试",缺陷明细!$K$2:$K$50000,"致命",缺陷明细!$AB$2:$AB$50000,"&lt;&gt;丢弃",缺陷明细!$AB$2:$AB$50000,"&lt;&gt;设计如此",缺陷明细!$AB$2:$AB$50000,"&lt;&gt;重复Bug")+COUNTIFS(缺陷明细!$A$2:$A$50000,$B$4,缺陷明细!$G$2:$G$50000,$C34,缺陷明细!$J$2:$J$50000,"验收测试",缺陷明细!$K$2:$K$50000,"严重",缺陷明细!$AB$2:$AB$50000,"&lt;&gt;丢弃",缺陷明细!$AB$2:$AB$50000,"&lt;&gt;设计如此",缺陷明细!$AB$2:$AB$50000,"&lt;&gt;重复Bug")</f>
        <v>0</v>
      </c>
      <c r="X34" s="76">
        <f>COUNTIFS(缺陷明细!$A$2:$A$50000,$B$4,缺陷明细!$G$2:$G$50000,$C34,缺陷明细!$Q$2:$Q$50000,"已关闭",缺陷明细!$J$2:$J$50000,"验收测试",缺陷明细!$K$2:$K$50000,"致命")+COUNTIFS(缺陷明细!$A$2:$A$50000,$B$4,缺陷明细!$G$2:$G$50000,$C34,缺陷明细!$Q$2:$Q$50000,"已关闭",缺陷明细!$J$2:$J$50000,"验收测试",缺陷明细!$K$2:$K$50000,"严重")</f>
        <v>0</v>
      </c>
      <c r="Y34" s="70">
        <f>COUNTIFS(缺陷明细!$A$2:$A$50000,$B$4,缺陷明细!$G$2:$G$50000,$C34,缺陷明细!$J$2:$J$50000,"运维测试",缺陷明细!$AB$2:$AB$50000,"&lt;&gt;丢弃",缺陷明细!$AB$2:$AB$50000,"&lt;&gt;设计如此",缺陷明细!$AB$2:$AB$50000,"&lt;&gt;重复Bug")</f>
        <v>0</v>
      </c>
      <c r="Z34" s="71">
        <f>COUNTIFS(缺陷明细!$A$2:$A$50000,$B$4,缺陷明细!$G$2:$G$50000,$C34,缺陷明细!$Q$2:$Q$50000,"已关闭",缺陷明细!$J$2:$J$50000,"运维测试")</f>
        <v>0</v>
      </c>
      <c r="AA34" s="72">
        <f>COUNTIFS(缺陷明细!$A$2:$A$50000,$B$4,缺陷明细!$G$2:$G$50000,$C34,缺陷明细!$J$2:$J$50000,"运维测试",缺陷明细!$K$2:$K$50000,"致命",缺陷明细!$AB$2:$AB$50000,"&lt;&gt;丢弃",缺陷明细!$AB$2:$AB$50000,"&lt;&gt;设计如此",缺陷明细!$AB$2:$AB$50000,"&lt;&gt;重复Bug")+COUNTIFS(缺陷明细!$A$2:$A$50000,$B$4,缺陷明细!$G$2:$G$50000,$C34,缺陷明细!$J$2:$J$50000,"运维测试",缺陷明细!$K$2:$K$50000,"严重",缺陷明细!$AB$2:$AB$50000,"&lt;&gt;丢弃",缺陷明细!$AB$2:$AB$50000,"&lt;&gt;设计如此",缺陷明细!$AB$2:$AB$50000,"&lt;&gt;重复Bug")</f>
        <v>0</v>
      </c>
      <c r="AB34" s="73">
        <f>COUNTIFS(缺陷明细!$A$2:$A$50000,$B$4,缺陷明细!$G$2:$G$50000,$C34,缺陷明细!$Q$2:$Q$50000,"已关闭",缺陷明细!$J$2:$J$50000,"运维测试",缺陷明细!$K$2:$K$50000,"致命")+COUNTIFS(缺陷明细!$A$2:$A$50000,$B$4,缺陷明细!$G$2:$G$50000,$C34,缺陷明细!$Q$2:$Q$50000,"已关闭",缺陷明细!$J$2:$J$50000,"运维测试",缺陷明细!$K$2:$K$50000,"严重")</f>
        <v>0</v>
      </c>
      <c r="AC34" s="68">
        <f t="shared" si="0"/>
        <v>0</v>
      </c>
      <c r="AD34" s="60">
        <f t="shared" si="0"/>
        <v>0</v>
      </c>
      <c r="AE34" s="60">
        <f t="shared" si="1"/>
        <v>0</v>
      </c>
      <c r="AF34" s="60">
        <f t="shared" si="1"/>
        <v>0</v>
      </c>
      <c r="AG34" s="60">
        <f t="shared" si="2"/>
        <v>0</v>
      </c>
      <c r="AH34" s="60">
        <f t="shared" si="2"/>
        <v>0</v>
      </c>
      <c r="AI34" s="60">
        <f t="shared" si="3"/>
        <v>0</v>
      </c>
      <c r="AJ34" s="61">
        <f t="shared" si="3"/>
        <v>0</v>
      </c>
      <c r="AK34" s="144"/>
    </row>
    <row r="35" spans="1:37">
      <c r="A35">
        <v>31</v>
      </c>
      <c r="B35" s="57"/>
      <c r="C35" s="58"/>
      <c r="D35" s="84"/>
      <c r="E35" s="82"/>
      <c r="F35" s="158"/>
      <c r="G35" s="159"/>
      <c r="H35" s="281">
        <f>COUNTIFS(缺陷明细!$A$2:$A$50000,$B$4,缺陷明细!$G$2:$G$50000,$C35,缺陷明细!$J$2:$J$50000,"评审",缺陷明细!$AB$2:$AB$50000,"&lt;&gt;丢弃",缺陷明细!$AB$2:$AB$50000,"&lt;&gt;设计如此",缺陷明细!$AB$2:$AB$50000,"&lt;&gt;重复Bug")</f>
        <v>0</v>
      </c>
      <c r="I35" s="154">
        <f>COUNTIFS(缺陷明细!$A$2:$A$50000,$B$4,缺陷明细!$G$2:$G$50000,$C35,缺陷明细!$Q$2:$Q$50000,"已关闭",缺陷明细!$J$2:$J$50000,"评审")</f>
        <v>0</v>
      </c>
      <c r="J35" s="154">
        <f>COUNTIFS(缺陷明细!$A$2:$A$50000,$B$4,缺陷明细!$G$2:$G$50000,$C35,缺陷明细!$J$2:$J$50000,"单元测试",缺陷明细!$AB$2:$AB$50000,"&lt;&gt;丢弃",缺陷明细!$AB$2:$AB$50000,"&lt;&gt;设计如此",缺陷明细!$AB$2:$AB$50000,"&lt;&gt;重复Bug")</f>
        <v>0</v>
      </c>
      <c r="K35" s="155">
        <f>COUNTIFS(缺陷明细!$A$2:$A$50000,$B$4,缺陷明细!$G$2:$G$50000,$C35,缺陷明细!$Q$2:$Q$50000,"已关闭",缺陷明细!$J$2:$J$50000,"单元测试")</f>
        <v>0</v>
      </c>
      <c r="L35" s="156"/>
      <c r="M35" s="157"/>
      <c r="N35" s="72">
        <f>COUNTIFS(缺陷明细!$A$2:$A$50000,$B$4,缺陷明细!$G$2:$G$50000,$C35,缺陷明细!$J$2:$J$50000,"系统测试案例评审",缺陷明细!$AB$2:$AB$50000,"&lt;&gt;丢弃",缺陷明细!$AB$2:$AB$50000,"&lt;&gt;设计如此",缺陷明细!$AB$2:$AB$50000,"&lt;&gt;重复Bug")</f>
        <v>0</v>
      </c>
      <c r="O35" s="72">
        <f>COUNTIFS(缺陷明细!$A$2:$A$50000,$B$4,缺陷明细!$G$2:$G$50000,$C35,缺陷明细!$Q$2:$Q$50000,"已关闭",缺陷明细!$J$2:$J$50000,"系统测试案例评审")</f>
        <v>0</v>
      </c>
      <c r="P35" s="72">
        <f>COUNTIFS(缺陷明细!$A$2:$A$50000,$B$4,缺陷明细!$G$2:$G$50000,$C35,缺陷明细!$J$2:$J$50000,"系统测试",缺陷明细!$AB$2:$AB$50000,"&lt;&gt;丢弃",缺陷明细!$AB$2:$AB$50000,"&lt;&gt;设计如此",缺陷明细!$AB$2:$AB$50000,"&lt;&gt;重复Bug")</f>
        <v>0</v>
      </c>
      <c r="Q35" s="72">
        <f>COUNTIFS(缺陷明细!$A$2:$A$50000,$B$4,缺陷明细!$G$2:$G$50000,$C35,缺陷明细!$Q$2:$Q$50000,"已关闭",缺陷明细!$J$2:$J$50000,"系统测试")</f>
        <v>0</v>
      </c>
      <c r="R35" s="296">
        <f>COUNTIFS(缺陷明细!$A$2:$A$50000,$B$4,缺陷明细!$G$2:$G$50000,$C35,缺陷明细!$AB$2:$AB$50000,"丢弃",缺陷明细!$J$2:$J$50000,"系统测试")+COUNTIFS(缺陷明细!$A$2:$A$50000,$B$4,缺陷明细!$G$2:$G$50000,$C35,缺陷明细!$AB$2:$AB$50000,"设计如此",缺陷明细!$J$2:$J$50000,"系统测试")+COUNTIFS(缺陷明细!$A$2:$A$50000,$B$4,缺陷明细!$G$2:$G$50000,$C35,缺陷明细!$AB$2:$AB$50000,"重复Bug",缺陷明细!$J$2:$J$50000,"系统测试")</f>
        <v>0</v>
      </c>
      <c r="S35" s="72">
        <f>COUNTIFS(缺陷明细!$A$2:$A$50000,$B$4,缺陷明细!$G$2:$G$50000,$C35,缺陷明细!$J$2:$J$50000,"系统测试",缺陷明细!$K$2:$K$50000,"致命",缺陷明细!$AB$2:$AB$50000,"&lt;&gt;丢弃",缺陷明细!$AB$2:$AB$50000,"&lt;&gt;设计如此",缺陷明细!$AB$2:$AB$50000,"&lt;&gt;重复Bug")+COUNTIFS(缺陷明细!$A$2:$A$50000,$B$4,缺陷明细!$G$2:$G$50000,$C35,缺陷明细!$J$2:$J$50000,"系统测试",缺陷明细!$K$2:$K$50000,"严重",缺陷明细!$AB$2:$AB$50000,"&lt;&gt;丢弃",缺陷明细!$AB$2:$AB$50000,"&lt;&gt;设计如此",缺陷明细!$AB$2:$AB$50000,"&lt;&gt;重复Bug")</f>
        <v>0</v>
      </c>
      <c r="T35" s="73">
        <f>COUNTIFS(缺陷明细!$A$2:$A$50000,$B$4,缺陷明细!$G$2:$G$50000,$C35,缺陷明细!$Q$2:$Q$50000,"已关闭",缺陷明细!$J$2:$J$50000,"系统测试",缺陷明细!$K$2:$K$50000,"致命")+COUNTIFS(缺陷明细!$A$2:$A$50000,$B$4,缺陷明细!$G$2:$G$50000,$C35,缺陷明细!$Q$2:$Q$50000,"已关闭",缺陷明细!$J$2:$J$50000,"系统测试",缺陷明细!$K$2:$K$50000,"严重")</f>
        <v>0</v>
      </c>
      <c r="U35" s="74">
        <f>COUNTIFS(缺陷明细!$A$2:$A$50000,$B$4,缺陷明细!$G$2:$G$50000,$C35,缺陷明细!$J$2:$J$50000,"验收测试",缺陷明细!$AB$2:$AB$50000,"&lt;&gt;丢弃",缺陷明细!$AB$2:$AB$50000,"&lt;&gt;设计如此",缺陷明细!$AB$2:$AB$50000,"&lt;&gt;重复Bug")</f>
        <v>0</v>
      </c>
      <c r="V35" s="75">
        <f>COUNTIFS(缺陷明细!$A$2:$A$50000,$B$4,缺陷明细!$G$2:$G$50000,$C35,缺陷明细!$Q$2:$Q$50000,"已关闭",缺陷明细!$J$2:$J$50000,"验收测试")</f>
        <v>0</v>
      </c>
      <c r="W35" s="75">
        <f>COUNTIFS(缺陷明细!$A$2:$A$50000,$B$4,缺陷明细!$G$2:$G$50000,$C35,缺陷明细!$J$2:$J$50000,"验收测试",缺陷明细!$K$2:$K$50000,"致命",缺陷明细!$AB$2:$AB$50000,"&lt;&gt;丢弃",缺陷明细!$AB$2:$AB$50000,"&lt;&gt;设计如此",缺陷明细!$AB$2:$AB$50000,"&lt;&gt;重复Bug")+COUNTIFS(缺陷明细!$A$2:$A$50000,$B$4,缺陷明细!$G$2:$G$50000,$C35,缺陷明细!$J$2:$J$50000,"验收测试",缺陷明细!$K$2:$K$50000,"严重",缺陷明细!$AB$2:$AB$50000,"&lt;&gt;丢弃",缺陷明细!$AB$2:$AB$50000,"&lt;&gt;设计如此",缺陷明细!$AB$2:$AB$50000,"&lt;&gt;重复Bug")</f>
        <v>0</v>
      </c>
      <c r="X35" s="76">
        <f>COUNTIFS(缺陷明细!$A$2:$A$50000,$B$4,缺陷明细!$G$2:$G$50000,$C35,缺陷明细!$Q$2:$Q$50000,"已关闭",缺陷明细!$J$2:$J$50000,"验收测试",缺陷明细!$K$2:$K$50000,"致命")+COUNTIFS(缺陷明细!$A$2:$A$50000,$B$4,缺陷明细!$G$2:$G$50000,$C35,缺陷明细!$Q$2:$Q$50000,"已关闭",缺陷明细!$J$2:$J$50000,"验收测试",缺陷明细!$K$2:$K$50000,"严重")</f>
        <v>0</v>
      </c>
      <c r="Y35" s="70">
        <f>COUNTIFS(缺陷明细!$A$2:$A$50000,$B$4,缺陷明细!$G$2:$G$50000,$C35,缺陷明细!$J$2:$J$50000,"运维测试",缺陷明细!$AB$2:$AB$50000,"&lt;&gt;丢弃",缺陷明细!$AB$2:$AB$50000,"&lt;&gt;设计如此",缺陷明细!$AB$2:$AB$50000,"&lt;&gt;重复Bug")</f>
        <v>0</v>
      </c>
      <c r="Z35" s="71">
        <f>COUNTIFS(缺陷明细!$A$2:$A$50000,$B$4,缺陷明细!$G$2:$G$50000,$C35,缺陷明细!$Q$2:$Q$50000,"已关闭",缺陷明细!$J$2:$J$50000,"运维测试")</f>
        <v>0</v>
      </c>
      <c r="AA35" s="72">
        <f>COUNTIFS(缺陷明细!$A$2:$A$50000,$B$4,缺陷明细!$G$2:$G$50000,$C35,缺陷明细!$J$2:$J$50000,"运维测试",缺陷明细!$K$2:$K$50000,"致命",缺陷明细!$AB$2:$AB$50000,"&lt;&gt;丢弃",缺陷明细!$AB$2:$AB$50000,"&lt;&gt;设计如此",缺陷明细!$AB$2:$AB$50000,"&lt;&gt;重复Bug")+COUNTIFS(缺陷明细!$A$2:$A$50000,$B$4,缺陷明细!$G$2:$G$50000,$C35,缺陷明细!$J$2:$J$50000,"运维测试",缺陷明细!$K$2:$K$50000,"严重",缺陷明细!$AB$2:$AB$50000,"&lt;&gt;丢弃",缺陷明细!$AB$2:$AB$50000,"&lt;&gt;设计如此",缺陷明细!$AB$2:$AB$50000,"&lt;&gt;重复Bug")</f>
        <v>0</v>
      </c>
      <c r="AB35" s="73">
        <f>COUNTIFS(缺陷明细!$A$2:$A$50000,$B$4,缺陷明细!$G$2:$G$50000,$C35,缺陷明细!$Q$2:$Q$50000,"已关闭",缺陷明细!$J$2:$J$50000,"运维测试",缺陷明细!$K$2:$K$50000,"致命")+COUNTIFS(缺陷明细!$A$2:$A$50000,$B$4,缺陷明细!$G$2:$G$50000,$C35,缺陷明细!$Q$2:$Q$50000,"已关闭",缺陷明细!$J$2:$J$50000,"运维测试",缺陷明细!$K$2:$K$50000,"严重")</f>
        <v>0</v>
      </c>
      <c r="AC35" s="68">
        <f t="shared" si="0"/>
        <v>0</v>
      </c>
      <c r="AD35" s="60">
        <f t="shared" si="0"/>
        <v>0</v>
      </c>
      <c r="AE35" s="60">
        <f t="shared" si="1"/>
        <v>0</v>
      </c>
      <c r="AF35" s="60">
        <f t="shared" si="1"/>
        <v>0</v>
      </c>
      <c r="AG35" s="60">
        <f t="shared" si="2"/>
        <v>0</v>
      </c>
      <c r="AH35" s="60">
        <f t="shared" si="2"/>
        <v>0</v>
      </c>
      <c r="AI35" s="60">
        <f t="shared" si="3"/>
        <v>0</v>
      </c>
      <c r="AJ35" s="61">
        <f t="shared" si="3"/>
        <v>0</v>
      </c>
      <c r="AK35" s="144"/>
    </row>
    <row r="36" spans="1:37">
      <c r="A36">
        <v>32</v>
      </c>
      <c r="B36" s="57"/>
      <c r="C36" s="58"/>
      <c r="D36" s="84"/>
      <c r="E36" s="82"/>
      <c r="F36" s="158"/>
      <c r="G36" s="159"/>
      <c r="H36" s="281">
        <f>COUNTIFS(缺陷明细!$A$2:$A$50000,$B$4,缺陷明细!$G$2:$G$50000,$C36,缺陷明细!$J$2:$J$50000,"评审",缺陷明细!$AB$2:$AB$50000,"&lt;&gt;丢弃",缺陷明细!$AB$2:$AB$50000,"&lt;&gt;设计如此",缺陷明细!$AB$2:$AB$50000,"&lt;&gt;重复Bug")</f>
        <v>0</v>
      </c>
      <c r="I36" s="154">
        <f>COUNTIFS(缺陷明细!$A$2:$A$50000,$B$4,缺陷明细!$G$2:$G$50000,$C36,缺陷明细!$Q$2:$Q$50000,"已关闭",缺陷明细!$J$2:$J$50000,"评审")</f>
        <v>0</v>
      </c>
      <c r="J36" s="154">
        <f>COUNTIFS(缺陷明细!$A$2:$A$50000,$B$4,缺陷明细!$G$2:$G$50000,$C36,缺陷明细!$J$2:$J$50000,"单元测试",缺陷明细!$AB$2:$AB$50000,"&lt;&gt;丢弃",缺陷明细!$AB$2:$AB$50000,"&lt;&gt;设计如此",缺陷明细!$AB$2:$AB$50000,"&lt;&gt;重复Bug")</f>
        <v>0</v>
      </c>
      <c r="K36" s="155">
        <f>COUNTIFS(缺陷明细!$A$2:$A$50000,$B$4,缺陷明细!$G$2:$G$50000,$C36,缺陷明细!$Q$2:$Q$50000,"已关闭",缺陷明细!$J$2:$J$50000,"单元测试")</f>
        <v>0</v>
      </c>
      <c r="L36" s="156"/>
      <c r="M36" s="157"/>
      <c r="N36" s="72">
        <f>COUNTIFS(缺陷明细!$A$2:$A$50000,$B$4,缺陷明细!$G$2:$G$50000,$C36,缺陷明细!$J$2:$J$50000,"系统测试案例评审",缺陷明细!$AB$2:$AB$50000,"&lt;&gt;丢弃",缺陷明细!$AB$2:$AB$50000,"&lt;&gt;设计如此",缺陷明细!$AB$2:$AB$50000,"&lt;&gt;重复Bug")</f>
        <v>0</v>
      </c>
      <c r="O36" s="72">
        <f>COUNTIFS(缺陷明细!$A$2:$A$50000,$B$4,缺陷明细!$G$2:$G$50000,$C36,缺陷明细!$Q$2:$Q$50000,"已关闭",缺陷明细!$J$2:$J$50000,"系统测试案例评审")</f>
        <v>0</v>
      </c>
      <c r="P36" s="72">
        <f>COUNTIFS(缺陷明细!$A$2:$A$50000,$B$4,缺陷明细!$G$2:$G$50000,$C36,缺陷明细!$J$2:$J$50000,"系统测试",缺陷明细!$AB$2:$AB$50000,"&lt;&gt;丢弃",缺陷明细!$AB$2:$AB$50000,"&lt;&gt;设计如此",缺陷明细!$AB$2:$AB$50000,"&lt;&gt;重复Bug")</f>
        <v>0</v>
      </c>
      <c r="Q36" s="72">
        <f>COUNTIFS(缺陷明细!$A$2:$A$50000,$B$4,缺陷明细!$G$2:$G$50000,$C36,缺陷明细!$Q$2:$Q$50000,"已关闭",缺陷明细!$J$2:$J$50000,"系统测试")</f>
        <v>0</v>
      </c>
      <c r="R36" s="296">
        <f>COUNTIFS(缺陷明细!$A$2:$A$50000,$B$4,缺陷明细!$G$2:$G$50000,$C36,缺陷明细!$AB$2:$AB$50000,"丢弃",缺陷明细!$J$2:$J$50000,"系统测试")+COUNTIFS(缺陷明细!$A$2:$A$50000,$B$4,缺陷明细!$G$2:$G$50000,$C36,缺陷明细!$AB$2:$AB$50000,"设计如此",缺陷明细!$J$2:$J$50000,"系统测试")+COUNTIFS(缺陷明细!$A$2:$A$50000,$B$4,缺陷明细!$G$2:$G$50000,$C36,缺陷明细!$AB$2:$AB$50000,"重复Bug",缺陷明细!$J$2:$J$50000,"系统测试")</f>
        <v>0</v>
      </c>
      <c r="S36" s="72">
        <f>COUNTIFS(缺陷明细!$A$2:$A$50000,$B$4,缺陷明细!$G$2:$G$50000,$C36,缺陷明细!$J$2:$J$50000,"系统测试",缺陷明细!$K$2:$K$50000,"致命",缺陷明细!$AB$2:$AB$50000,"&lt;&gt;丢弃",缺陷明细!$AB$2:$AB$50000,"&lt;&gt;设计如此",缺陷明细!$AB$2:$AB$50000,"&lt;&gt;重复Bug")+COUNTIFS(缺陷明细!$A$2:$A$50000,$B$4,缺陷明细!$G$2:$G$50000,$C36,缺陷明细!$J$2:$J$50000,"系统测试",缺陷明细!$K$2:$K$50000,"严重",缺陷明细!$AB$2:$AB$50000,"&lt;&gt;丢弃",缺陷明细!$AB$2:$AB$50000,"&lt;&gt;设计如此",缺陷明细!$AB$2:$AB$50000,"&lt;&gt;重复Bug")</f>
        <v>0</v>
      </c>
      <c r="T36" s="73">
        <f>COUNTIFS(缺陷明细!$A$2:$A$50000,$B$4,缺陷明细!$G$2:$G$50000,$C36,缺陷明细!$Q$2:$Q$50000,"已关闭",缺陷明细!$J$2:$J$50000,"系统测试",缺陷明细!$K$2:$K$50000,"致命")+COUNTIFS(缺陷明细!$A$2:$A$50000,$B$4,缺陷明细!$G$2:$G$50000,$C36,缺陷明细!$Q$2:$Q$50000,"已关闭",缺陷明细!$J$2:$J$50000,"系统测试",缺陷明细!$K$2:$K$50000,"严重")</f>
        <v>0</v>
      </c>
      <c r="U36" s="74">
        <f>COUNTIFS(缺陷明细!$A$2:$A$50000,$B$4,缺陷明细!$G$2:$G$50000,$C36,缺陷明细!$J$2:$J$50000,"验收测试",缺陷明细!$AB$2:$AB$50000,"&lt;&gt;丢弃",缺陷明细!$AB$2:$AB$50000,"&lt;&gt;设计如此",缺陷明细!$AB$2:$AB$50000,"&lt;&gt;重复Bug")</f>
        <v>0</v>
      </c>
      <c r="V36" s="75">
        <f>COUNTIFS(缺陷明细!$A$2:$A$50000,$B$4,缺陷明细!$G$2:$G$50000,$C36,缺陷明细!$Q$2:$Q$50000,"已关闭",缺陷明细!$J$2:$J$50000,"验收测试")</f>
        <v>0</v>
      </c>
      <c r="W36" s="75">
        <f>COUNTIFS(缺陷明细!$A$2:$A$50000,$B$4,缺陷明细!$G$2:$G$50000,$C36,缺陷明细!$J$2:$J$50000,"验收测试",缺陷明细!$K$2:$K$50000,"致命",缺陷明细!$AB$2:$AB$50000,"&lt;&gt;丢弃",缺陷明细!$AB$2:$AB$50000,"&lt;&gt;设计如此",缺陷明细!$AB$2:$AB$50000,"&lt;&gt;重复Bug")+COUNTIFS(缺陷明细!$A$2:$A$50000,$B$4,缺陷明细!$G$2:$G$50000,$C36,缺陷明细!$J$2:$J$50000,"验收测试",缺陷明细!$K$2:$K$50000,"严重",缺陷明细!$AB$2:$AB$50000,"&lt;&gt;丢弃",缺陷明细!$AB$2:$AB$50000,"&lt;&gt;设计如此",缺陷明细!$AB$2:$AB$50000,"&lt;&gt;重复Bug")</f>
        <v>0</v>
      </c>
      <c r="X36" s="76">
        <f>COUNTIFS(缺陷明细!$A$2:$A$50000,$B$4,缺陷明细!$G$2:$G$50000,$C36,缺陷明细!$Q$2:$Q$50000,"已关闭",缺陷明细!$J$2:$J$50000,"验收测试",缺陷明细!$K$2:$K$50000,"致命")+COUNTIFS(缺陷明细!$A$2:$A$50000,$B$4,缺陷明细!$G$2:$G$50000,$C36,缺陷明细!$Q$2:$Q$50000,"已关闭",缺陷明细!$J$2:$J$50000,"验收测试",缺陷明细!$K$2:$K$50000,"严重")</f>
        <v>0</v>
      </c>
      <c r="Y36" s="70">
        <f>COUNTIFS(缺陷明细!$A$2:$A$50000,$B$4,缺陷明细!$G$2:$G$50000,$C36,缺陷明细!$J$2:$J$50000,"运维测试",缺陷明细!$AB$2:$AB$50000,"&lt;&gt;丢弃",缺陷明细!$AB$2:$AB$50000,"&lt;&gt;设计如此",缺陷明细!$AB$2:$AB$50000,"&lt;&gt;重复Bug")</f>
        <v>0</v>
      </c>
      <c r="Z36" s="71">
        <f>COUNTIFS(缺陷明细!$A$2:$A$50000,$B$4,缺陷明细!$G$2:$G$50000,$C36,缺陷明细!$Q$2:$Q$50000,"已关闭",缺陷明细!$J$2:$J$50000,"运维测试")</f>
        <v>0</v>
      </c>
      <c r="AA36" s="72">
        <f>COUNTIFS(缺陷明细!$A$2:$A$50000,$B$4,缺陷明细!$G$2:$G$50000,$C36,缺陷明细!$J$2:$J$50000,"运维测试",缺陷明细!$K$2:$K$50000,"致命",缺陷明细!$AB$2:$AB$50000,"&lt;&gt;丢弃",缺陷明细!$AB$2:$AB$50000,"&lt;&gt;设计如此",缺陷明细!$AB$2:$AB$50000,"&lt;&gt;重复Bug")+COUNTIFS(缺陷明细!$A$2:$A$50000,$B$4,缺陷明细!$G$2:$G$50000,$C36,缺陷明细!$J$2:$J$50000,"运维测试",缺陷明细!$K$2:$K$50000,"严重",缺陷明细!$AB$2:$AB$50000,"&lt;&gt;丢弃",缺陷明细!$AB$2:$AB$50000,"&lt;&gt;设计如此",缺陷明细!$AB$2:$AB$50000,"&lt;&gt;重复Bug")</f>
        <v>0</v>
      </c>
      <c r="AB36" s="73">
        <f>COUNTIFS(缺陷明细!$A$2:$A$50000,$B$4,缺陷明细!$G$2:$G$50000,$C36,缺陷明细!$Q$2:$Q$50000,"已关闭",缺陷明细!$J$2:$J$50000,"运维测试",缺陷明细!$K$2:$K$50000,"致命")+COUNTIFS(缺陷明细!$A$2:$A$50000,$B$4,缺陷明细!$G$2:$G$50000,$C36,缺陷明细!$Q$2:$Q$50000,"已关闭",缺陷明细!$J$2:$J$50000,"运维测试",缺陷明细!$K$2:$K$50000,"严重")</f>
        <v>0</v>
      </c>
      <c r="AC36" s="68">
        <f t="shared" si="0"/>
        <v>0</v>
      </c>
      <c r="AD36" s="60">
        <f t="shared" si="0"/>
        <v>0</v>
      </c>
      <c r="AE36" s="60">
        <f t="shared" si="1"/>
        <v>0</v>
      </c>
      <c r="AF36" s="60">
        <f t="shared" si="1"/>
        <v>0</v>
      </c>
      <c r="AG36" s="60">
        <f t="shared" si="2"/>
        <v>0</v>
      </c>
      <c r="AH36" s="60">
        <f t="shared" si="2"/>
        <v>0</v>
      </c>
      <c r="AI36" s="60">
        <f t="shared" si="3"/>
        <v>0</v>
      </c>
      <c r="AJ36" s="61">
        <f t="shared" si="3"/>
        <v>0</v>
      </c>
      <c r="AK36" s="144"/>
    </row>
    <row r="37" spans="1:37">
      <c r="A37">
        <v>33</v>
      </c>
      <c r="B37" s="57"/>
      <c r="C37" s="58"/>
      <c r="D37" s="84"/>
      <c r="E37" s="82"/>
      <c r="F37" s="158"/>
      <c r="G37" s="159"/>
      <c r="H37" s="281">
        <f>COUNTIFS(缺陷明细!$A$2:$A$50000,$B$4,缺陷明细!$G$2:$G$50000,$C37,缺陷明细!$J$2:$J$50000,"评审",缺陷明细!$AB$2:$AB$50000,"&lt;&gt;丢弃",缺陷明细!$AB$2:$AB$50000,"&lt;&gt;设计如此",缺陷明细!$AB$2:$AB$50000,"&lt;&gt;重复Bug")</f>
        <v>0</v>
      </c>
      <c r="I37" s="154">
        <f>COUNTIFS(缺陷明细!$A$2:$A$50000,$B$4,缺陷明细!$G$2:$G$50000,$C37,缺陷明细!$Q$2:$Q$50000,"已关闭",缺陷明细!$J$2:$J$50000,"评审")</f>
        <v>0</v>
      </c>
      <c r="J37" s="154">
        <f>COUNTIFS(缺陷明细!$A$2:$A$50000,$B$4,缺陷明细!$G$2:$G$50000,$C37,缺陷明细!$J$2:$J$50000,"单元测试",缺陷明细!$AB$2:$AB$50000,"&lt;&gt;丢弃",缺陷明细!$AB$2:$AB$50000,"&lt;&gt;设计如此",缺陷明细!$AB$2:$AB$50000,"&lt;&gt;重复Bug")</f>
        <v>0</v>
      </c>
      <c r="K37" s="155">
        <f>COUNTIFS(缺陷明细!$A$2:$A$50000,$B$4,缺陷明细!$G$2:$G$50000,$C37,缺陷明细!$Q$2:$Q$50000,"已关闭",缺陷明细!$J$2:$J$50000,"单元测试")</f>
        <v>0</v>
      </c>
      <c r="L37" s="156"/>
      <c r="M37" s="157"/>
      <c r="N37" s="72">
        <f>COUNTIFS(缺陷明细!$A$2:$A$50000,$B$4,缺陷明细!$G$2:$G$50000,$C37,缺陷明细!$J$2:$J$50000,"系统测试案例评审",缺陷明细!$AB$2:$AB$50000,"&lt;&gt;丢弃",缺陷明细!$AB$2:$AB$50000,"&lt;&gt;设计如此",缺陷明细!$AB$2:$AB$50000,"&lt;&gt;重复Bug")</f>
        <v>0</v>
      </c>
      <c r="O37" s="72">
        <f>COUNTIFS(缺陷明细!$A$2:$A$50000,$B$4,缺陷明细!$G$2:$G$50000,$C37,缺陷明细!$Q$2:$Q$50000,"已关闭",缺陷明细!$J$2:$J$50000,"系统测试案例评审")</f>
        <v>0</v>
      </c>
      <c r="P37" s="72">
        <f>COUNTIFS(缺陷明细!$A$2:$A$50000,$B$4,缺陷明细!$G$2:$G$50000,$C37,缺陷明细!$J$2:$J$50000,"系统测试",缺陷明细!$AB$2:$AB$50000,"&lt;&gt;丢弃",缺陷明细!$AB$2:$AB$50000,"&lt;&gt;设计如此",缺陷明细!$AB$2:$AB$50000,"&lt;&gt;重复Bug")</f>
        <v>0</v>
      </c>
      <c r="Q37" s="72">
        <f>COUNTIFS(缺陷明细!$A$2:$A$50000,$B$4,缺陷明细!$G$2:$G$50000,$C37,缺陷明细!$Q$2:$Q$50000,"已关闭",缺陷明细!$J$2:$J$50000,"系统测试")</f>
        <v>0</v>
      </c>
      <c r="R37" s="296">
        <f>COUNTIFS(缺陷明细!$A$2:$A$50000,$B$4,缺陷明细!$G$2:$G$50000,$C37,缺陷明细!$AB$2:$AB$50000,"丢弃",缺陷明细!$J$2:$J$50000,"系统测试")+COUNTIFS(缺陷明细!$A$2:$A$50000,$B$4,缺陷明细!$G$2:$G$50000,$C37,缺陷明细!$AB$2:$AB$50000,"设计如此",缺陷明细!$J$2:$J$50000,"系统测试")+COUNTIFS(缺陷明细!$A$2:$A$50000,$B$4,缺陷明细!$G$2:$G$50000,$C37,缺陷明细!$AB$2:$AB$50000,"重复Bug",缺陷明细!$J$2:$J$50000,"系统测试")</f>
        <v>0</v>
      </c>
      <c r="S37" s="72">
        <f>COUNTIFS(缺陷明细!$A$2:$A$50000,$B$4,缺陷明细!$G$2:$G$50000,$C37,缺陷明细!$J$2:$J$50000,"系统测试",缺陷明细!$K$2:$K$50000,"致命",缺陷明细!$AB$2:$AB$50000,"&lt;&gt;丢弃",缺陷明细!$AB$2:$AB$50000,"&lt;&gt;设计如此",缺陷明细!$AB$2:$AB$50000,"&lt;&gt;重复Bug")+COUNTIFS(缺陷明细!$A$2:$A$50000,$B$4,缺陷明细!$G$2:$G$50000,$C37,缺陷明细!$J$2:$J$50000,"系统测试",缺陷明细!$K$2:$K$50000,"严重",缺陷明细!$AB$2:$AB$50000,"&lt;&gt;丢弃",缺陷明细!$AB$2:$AB$50000,"&lt;&gt;设计如此",缺陷明细!$AB$2:$AB$50000,"&lt;&gt;重复Bug")</f>
        <v>0</v>
      </c>
      <c r="T37" s="73">
        <f>COUNTIFS(缺陷明细!$A$2:$A$50000,$B$4,缺陷明细!$G$2:$G$50000,$C37,缺陷明细!$Q$2:$Q$50000,"已关闭",缺陷明细!$J$2:$J$50000,"系统测试",缺陷明细!$K$2:$K$50000,"致命")+COUNTIFS(缺陷明细!$A$2:$A$50000,$B$4,缺陷明细!$G$2:$G$50000,$C37,缺陷明细!$Q$2:$Q$50000,"已关闭",缺陷明细!$J$2:$J$50000,"系统测试",缺陷明细!$K$2:$K$50000,"严重")</f>
        <v>0</v>
      </c>
      <c r="U37" s="74">
        <f>COUNTIFS(缺陷明细!$A$2:$A$50000,$B$4,缺陷明细!$G$2:$G$50000,$C37,缺陷明细!$J$2:$J$50000,"验收测试",缺陷明细!$AB$2:$AB$50000,"&lt;&gt;丢弃",缺陷明细!$AB$2:$AB$50000,"&lt;&gt;设计如此",缺陷明细!$AB$2:$AB$50000,"&lt;&gt;重复Bug")</f>
        <v>0</v>
      </c>
      <c r="V37" s="75">
        <f>COUNTIFS(缺陷明细!$A$2:$A$50000,$B$4,缺陷明细!$G$2:$G$50000,$C37,缺陷明细!$Q$2:$Q$50000,"已关闭",缺陷明细!$J$2:$J$50000,"验收测试")</f>
        <v>0</v>
      </c>
      <c r="W37" s="75">
        <f>COUNTIFS(缺陷明细!$A$2:$A$50000,$B$4,缺陷明细!$G$2:$G$50000,$C37,缺陷明细!$J$2:$J$50000,"验收测试",缺陷明细!$K$2:$K$50000,"致命",缺陷明细!$AB$2:$AB$50000,"&lt;&gt;丢弃",缺陷明细!$AB$2:$AB$50000,"&lt;&gt;设计如此",缺陷明细!$AB$2:$AB$50000,"&lt;&gt;重复Bug")+COUNTIFS(缺陷明细!$A$2:$A$50000,$B$4,缺陷明细!$G$2:$G$50000,$C37,缺陷明细!$J$2:$J$50000,"验收测试",缺陷明细!$K$2:$K$50000,"严重",缺陷明细!$AB$2:$AB$50000,"&lt;&gt;丢弃",缺陷明细!$AB$2:$AB$50000,"&lt;&gt;设计如此",缺陷明细!$AB$2:$AB$50000,"&lt;&gt;重复Bug")</f>
        <v>0</v>
      </c>
      <c r="X37" s="76">
        <f>COUNTIFS(缺陷明细!$A$2:$A$50000,$B$4,缺陷明细!$G$2:$G$50000,$C37,缺陷明细!$Q$2:$Q$50000,"已关闭",缺陷明细!$J$2:$J$50000,"验收测试",缺陷明细!$K$2:$K$50000,"致命")+COUNTIFS(缺陷明细!$A$2:$A$50000,$B$4,缺陷明细!$G$2:$G$50000,$C37,缺陷明细!$Q$2:$Q$50000,"已关闭",缺陷明细!$J$2:$J$50000,"验收测试",缺陷明细!$K$2:$K$50000,"严重")</f>
        <v>0</v>
      </c>
      <c r="Y37" s="70">
        <f>COUNTIFS(缺陷明细!$A$2:$A$50000,$B$4,缺陷明细!$G$2:$G$50000,$C37,缺陷明细!$J$2:$J$50000,"运维测试",缺陷明细!$AB$2:$AB$50000,"&lt;&gt;丢弃",缺陷明细!$AB$2:$AB$50000,"&lt;&gt;设计如此",缺陷明细!$AB$2:$AB$50000,"&lt;&gt;重复Bug")</f>
        <v>0</v>
      </c>
      <c r="Z37" s="71">
        <f>COUNTIFS(缺陷明细!$A$2:$A$50000,$B$4,缺陷明细!$G$2:$G$50000,$C37,缺陷明细!$Q$2:$Q$50000,"已关闭",缺陷明细!$J$2:$J$50000,"运维测试")</f>
        <v>0</v>
      </c>
      <c r="AA37" s="72">
        <f>COUNTIFS(缺陷明细!$A$2:$A$50000,$B$4,缺陷明细!$G$2:$G$50000,$C37,缺陷明细!$J$2:$J$50000,"运维测试",缺陷明细!$K$2:$K$50000,"致命",缺陷明细!$AB$2:$AB$50000,"&lt;&gt;丢弃",缺陷明细!$AB$2:$AB$50000,"&lt;&gt;设计如此",缺陷明细!$AB$2:$AB$50000,"&lt;&gt;重复Bug")+COUNTIFS(缺陷明细!$A$2:$A$50000,$B$4,缺陷明细!$G$2:$G$50000,$C37,缺陷明细!$J$2:$J$50000,"运维测试",缺陷明细!$K$2:$K$50000,"严重",缺陷明细!$AB$2:$AB$50000,"&lt;&gt;丢弃",缺陷明细!$AB$2:$AB$50000,"&lt;&gt;设计如此",缺陷明细!$AB$2:$AB$50000,"&lt;&gt;重复Bug")</f>
        <v>0</v>
      </c>
      <c r="AB37" s="73">
        <f>COUNTIFS(缺陷明细!$A$2:$A$50000,$B$4,缺陷明细!$G$2:$G$50000,$C37,缺陷明细!$Q$2:$Q$50000,"已关闭",缺陷明细!$J$2:$J$50000,"运维测试",缺陷明细!$K$2:$K$50000,"致命")+COUNTIFS(缺陷明细!$A$2:$A$50000,$B$4,缺陷明细!$G$2:$G$50000,$C37,缺陷明细!$Q$2:$Q$50000,"已关闭",缺陷明细!$J$2:$J$50000,"运维测试",缺陷明细!$K$2:$K$50000,"严重")</f>
        <v>0</v>
      </c>
      <c r="AC37" s="68">
        <f t="shared" si="0"/>
        <v>0</v>
      </c>
      <c r="AD37" s="60">
        <f t="shared" si="0"/>
        <v>0</v>
      </c>
      <c r="AE37" s="60">
        <f t="shared" si="1"/>
        <v>0</v>
      </c>
      <c r="AF37" s="60">
        <f t="shared" si="1"/>
        <v>0</v>
      </c>
      <c r="AG37" s="60">
        <f t="shared" si="2"/>
        <v>0</v>
      </c>
      <c r="AH37" s="60">
        <f t="shared" si="2"/>
        <v>0</v>
      </c>
      <c r="AI37" s="60">
        <f t="shared" si="3"/>
        <v>0</v>
      </c>
      <c r="AJ37" s="61">
        <f t="shared" si="3"/>
        <v>0</v>
      </c>
      <c r="AK37" s="144"/>
    </row>
    <row r="38" spans="1:37">
      <c r="A38">
        <v>34</v>
      </c>
      <c r="B38" s="57"/>
      <c r="C38" s="58"/>
      <c r="D38" s="84"/>
      <c r="E38" s="82"/>
      <c r="F38" s="158"/>
      <c r="G38" s="159"/>
      <c r="H38" s="281">
        <f>COUNTIFS(缺陷明细!$A$2:$A$50000,$B$4,缺陷明细!$G$2:$G$50000,$C38,缺陷明细!$J$2:$J$50000,"评审",缺陷明细!$AB$2:$AB$50000,"&lt;&gt;丢弃",缺陷明细!$AB$2:$AB$50000,"&lt;&gt;设计如此",缺陷明细!$AB$2:$AB$50000,"&lt;&gt;重复Bug")</f>
        <v>0</v>
      </c>
      <c r="I38" s="154">
        <f>COUNTIFS(缺陷明细!$A$2:$A$50000,$B$4,缺陷明细!$G$2:$G$50000,$C38,缺陷明细!$Q$2:$Q$50000,"已关闭",缺陷明细!$J$2:$J$50000,"评审")</f>
        <v>0</v>
      </c>
      <c r="J38" s="154">
        <f>COUNTIFS(缺陷明细!$A$2:$A$50000,$B$4,缺陷明细!$G$2:$G$50000,$C38,缺陷明细!$J$2:$J$50000,"单元测试",缺陷明细!$AB$2:$AB$50000,"&lt;&gt;丢弃",缺陷明细!$AB$2:$AB$50000,"&lt;&gt;设计如此",缺陷明细!$AB$2:$AB$50000,"&lt;&gt;重复Bug")</f>
        <v>0</v>
      </c>
      <c r="K38" s="155">
        <f>COUNTIFS(缺陷明细!$A$2:$A$50000,$B$4,缺陷明细!$G$2:$G$50000,$C38,缺陷明细!$Q$2:$Q$50000,"已关闭",缺陷明细!$J$2:$J$50000,"单元测试")</f>
        <v>0</v>
      </c>
      <c r="L38" s="156"/>
      <c r="M38" s="157"/>
      <c r="N38" s="72">
        <f>COUNTIFS(缺陷明细!$A$2:$A$50000,$B$4,缺陷明细!$G$2:$G$50000,$C38,缺陷明细!$J$2:$J$50000,"系统测试案例评审",缺陷明细!$AB$2:$AB$50000,"&lt;&gt;丢弃",缺陷明细!$AB$2:$AB$50000,"&lt;&gt;设计如此",缺陷明细!$AB$2:$AB$50000,"&lt;&gt;重复Bug")</f>
        <v>0</v>
      </c>
      <c r="O38" s="72">
        <f>COUNTIFS(缺陷明细!$A$2:$A$50000,$B$4,缺陷明细!$G$2:$G$50000,$C38,缺陷明细!$Q$2:$Q$50000,"已关闭",缺陷明细!$J$2:$J$50000,"系统测试案例评审")</f>
        <v>0</v>
      </c>
      <c r="P38" s="72">
        <f>COUNTIFS(缺陷明细!$A$2:$A$50000,$B$4,缺陷明细!$G$2:$G$50000,$C38,缺陷明细!$J$2:$J$50000,"系统测试",缺陷明细!$AB$2:$AB$50000,"&lt;&gt;丢弃",缺陷明细!$AB$2:$AB$50000,"&lt;&gt;设计如此",缺陷明细!$AB$2:$AB$50000,"&lt;&gt;重复Bug")</f>
        <v>0</v>
      </c>
      <c r="Q38" s="72">
        <f>COUNTIFS(缺陷明细!$A$2:$A$50000,$B$4,缺陷明细!$G$2:$G$50000,$C38,缺陷明细!$Q$2:$Q$50000,"已关闭",缺陷明细!$J$2:$J$50000,"系统测试")</f>
        <v>0</v>
      </c>
      <c r="R38" s="296">
        <f>COUNTIFS(缺陷明细!$A$2:$A$50000,$B$4,缺陷明细!$G$2:$G$50000,$C38,缺陷明细!$AB$2:$AB$50000,"丢弃",缺陷明细!$J$2:$J$50000,"系统测试")+COUNTIFS(缺陷明细!$A$2:$A$50000,$B$4,缺陷明细!$G$2:$G$50000,$C38,缺陷明细!$AB$2:$AB$50000,"设计如此",缺陷明细!$J$2:$J$50000,"系统测试")+COUNTIFS(缺陷明细!$A$2:$A$50000,$B$4,缺陷明细!$G$2:$G$50000,$C38,缺陷明细!$AB$2:$AB$50000,"重复Bug",缺陷明细!$J$2:$J$50000,"系统测试")</f>
        <v>0</v>
      </c>
      <c r="S38" s="72">
        <f>COUNTIFS(缺陷明细!$A$2:$A$50000,$B$4,缺陷明细!$G$2:$G$50000,$C38,缺陷明细!$J$2:$J$50000,"系统测试",缺陷明细!$K$2:$K$50000,"致命",缺陷明细!$AB$2:$AB$50000,"&lt;&gt;丢弃",缺陷明细!$AB$2:$AB$50000,"&lt;&gt;设计如此",缺陷明细!$AB$2:$AB$50000,"&lt;&gt;重复Bug")+COUNTIFS(缺陷明细!$A$2:$A$50000,$B$4,缺陷明细!$G$2:$G$50000,$C38,缺陷明细!$J$2:$J$50000,"系统测试",缺陷明细!$K$2:$K$50000,"严重",缺陷明细!$AB$2:$AB$50000,"&lt;&gt;丢弃",缺陷明细!$AB$2:$AB$50000,"&lt;&gt;设计如此",缺陷明细!$AB$2:$AB$50000,"&lt;&gt;重复Bug")</f>
        <v>0</v>
      </c>
      <c r="T38" s="73">
        <f>COUNTIFS(缺陷明细!$A$2:$A$50000,$B$4,缺陷明细!$G$2:$G$50000,$C38,缺陷明细!$Q$2:$Q$50000,"已关闭",缺陷明细!$J$2:$J$50000,"系统测试",缺陷明细!$K$2:$K$50000,"致命")+COUNTIFS(缺陷明细!$A$2:$A$50000,$B$4,缺陷明细!$G$2:$G$50000,$C38,缺陷明细!$Q$2:$Q$50000,"已关闭",缺陷明细!$J$2:$J$50000,"系统测试",缺陷明细!$K$2:$K$50000,"严重")</f>
        <v>0</v>
      </c>
      <c r="U38" s="74">
        <f>COUNTIFS(缺陷明细!$A$2:$A$50000,$B$4,缺陷明细!$G$2:$G$50000,$C38,缺陷明细!$J$2:$J$50000,"验收测试",缺陷明细!$AB$2:$AB$50000,"&lt;&gt;丢弃",缺陷明细!$AB$2:$AB$50000,"&lt;&gt;设计如此",缺陷明细!$AB$2:$AB$50000,"&lt;&gt;重复Bug")</f>
        <v>0</v>
      </c>
      <c r="V38" s="75">
        <f>COUNTIFS(缺陷明细!$A$2:$A$50000,$B$4,缺陷明细!$G$2:$G$50000,$C38,缺陷明细!$Q$2:$Q$50000,"已关闭",缺陷明细!$J$2:$J$50000,"验收测试")</f>
        <v>0</v>
      </c>
      <c r="W38" s="75">
        <f>COUNTIFS(缺陷明细!$A$2:$A$50000,$B$4,缺陷明细!$G$2:$G$50000,$C38,缺陷明细!$J$2:$J$50000,"验收测试",缺陷明细!$K$2:$K$50000,"致命",缺陷明细!$AB$2:$AB$50000,"&lt;&gt;丢弃",缺陷明细!$AB$2:$AB$50000,"&lt;&gt;设计如此",缺陷明细!$AB$2:$AB$50000,"&lt;&gt;重复Bug")+COUNTIFS(缺陷明细!$A$2:$A$50000,$B$4,缺陷明细!$G$2:$G$50000,$C38,缺陷明细!$J$2:$J$50000,"验收测试",缺陷明细!$K$2:$K$50000,"严重",缺陷明细!$AB$2:$AB$50000,"&lt;&gt;丢弃",缺陷明细!$AB$2:$AB$50000,"&lt;&gt;设计如此",缺陷明细!$AB$2:$AB$50000,"&lt;&gt;重复Bug")</f>
        <v>0</v>
      </c>
      <c r="X38" s="76">
        <f>COUNTIFS(缺陷明细!$A$2:$A$50000,$B$4,缺陷明细!$G$2:$G$50000,$C38,缺陷明细!$Q$2:$Q$50000,"已关闭",缺陷明细!$J$2:$J$50000,"验收测试",缺陷明细!$K$2:$K$50000,"致命")+COUNTIFS(缺陷明细!$A$2:$A$50000,$B$4,缺陷明细!$G$2:$G$50000,$C38,缺陷明细!$Q$2:$Q$50000,"已关闭",缺陷明细!$J$2:$J$50000,"验收测试",缺陷明细!$K$2:$K$50000,"严重")</f>
        <v>0</v>
      </c>
      <c r="Y38" s="70">
        <f>COUNTIFS(缺陷明细!$A$2:$A$50000,$B$4,缺陷明细!$G$2:$G$50000,$C38,缺陷明细!$J$2:$J$50000,"运维测试",缺陷明细!$AB$2:$AB$50000,"&lt;&gt;丢弃",缺陷明细!$AB$2:$AB$50000,"&lt;&gt;设计如此",缺陷明细!$AB$2:$AB$50000,"&lt;&gt;重复Bug")</f>
        <v>0</v>
      </c>
      <c r="Z38" s="71">
        <f>COUNTIFS(缺陷明细!$A$2:$A$50000,$B$4,缺陷明细!$G$2:$G$50000,$C38,缺陷明细!$Q$2:$Q$50000,"已关闭",缺陷明细!$J$2:$J$50000,"运维测试")</f>
        <v>0</v>
      </c>
      <c r="AA38" s="72">
        <f>COUNTIFS(缺陷明细!$A$2:$A$50000,$B$4,缺陷明细!$G$2:$G$50000,$C38,缺陷明细!$J$2:$J$50000,"运维测试",缺陷明细!$K$2:$K$50000,"致命",缺陷明细!$AB$2:$AB$50000,"&lt;&gt;丢弃",缺陷明细!$AB$2:$AB$50000,"&lt;&gt;设计如此",缺陷明细!$AB$2:$AB$50000,"&lt;&gt;重复Bug")+COUNTIFS(缺陷明细!$A$2:$A$50000,$B$4,缺陷明细!$G$2:$G$50000,$C38,缺陷明细!$J$2:$J$50000,"运维测试",缺陷明细!$K$2:$K$50000,"严重",缺陷明细!$AB$2:$AB$50000,"&lt;&gt;丢弃",缺陷明细!$AB$2:$AB$50000,"&lt;&gt;设计如此",缺陷明细!$AB$2:$AB$50000,"&lt;&gt;重复Bug")</f>
        <v>0</v>
      </c>
      <c r="AB38" s="73">
        <f>COUNTIFS(缺陷明细!$A$2:$A$50000,$B$4,缺陷明细!$G$2:$G$50000,$C38,缺陷明细!$Q$2:$Q$50000,"已关闭",缺陷明细!$J$2:$J$50000,"运维测试",缺陷明细!$K$2:$K$50000,"致命")+COUNTIFS(缺陷明细!$A$2:$A$50000,$B$4,缺陷明细!$G$2:$G$50000,$C38,缺陷明细!$Q$2:$Q$50000,"已关闭",缺陷明细!$J$2:$J$50000,"运维测试",缺陷明细!$K$2:$K$50000,"严重")</f>
        <v>0</v>
      </c>
      <c r="AC38" s="68">
        <f t="shared" si="0"/>
        <v>0</v>
      </c>
      <c r="AD38" s="60">
        <f t="shared" si="0"/>
        <v>0</v>
      </c>
      <c r="AE38" s="60">
        <f t="shared" si="1"/>
        <v>0</v>
      </c>
      <c r="AF38" s="60">
        <f t="shared" si="1"/>
        <v>0</v>
      </c>
      <c r="AG38" s="60">
        <f t="shared" si="2"/>
        <v>0</v>
      </c>
      <c r="AH38" s="60">
        <f t="shared" si="2"/>
        <v>0</v>
      </c>
      <c r="AI38" s="60">
        <f t="shared" si="3"/>
        <v>0</v>
      </c>
      <c r="AJ38" s="61">
        <f t="shared" si="3"/>
        <v>0</v>
      </c>
      <c r="AK38" s="144"/>
    </row>
    <row r="39" spans="1:37">
      <c r="A39">
        <v>35</v>
      </c>
      <c r="B39" s="57"/>
      <c r="C39" s="58"/>
      <c r="D39" s="84"/>
      <c r="E39" s="82"/>
      <c r="F39" s="158"/>
      <c r="G39" s="159"/>
      <c r="H39" s="281">
        <f>COUNTIFS(缺陷明细!$A$2:$A$50000,$B$4,缺陷明细!$G$2:$G$50000,$C39,缺陷明细!$J$2:$J$50000,"评审",缺陷明细!$AB$2:$AB$50000,"&lt;&gt;丢弃",缺陷明细!$AB$2:$AB$50000,"&lt;&gt;设计如此",缺陷明细!$AB$2:$AB$50000,"&lt;&gt;重复Bug")</f>
        <v>0</v>
      </c>
      <c r="I39" s="154">
        <f>COUNTIFS(缺陷明细!$A$2:$A$50000,$B$4,缺陷明细!$G$2:$G$50000,$C39,缺陷明细!$Q$2:$Q$50000,"已关闭",缺陷明细!$J$2:$J$50000,"评审")</f>
        <v>0</v>
      </c>
      <c r="J39" s="154">
        <f>COUNTIFS(缺陷明细!$A$2:$A$50000,$B$4,缺陷明细!$G$2:$G$50000,$C39,缺陷明细!$J$2:$J$50000,"单元测试",缺陷明细!$AB$2:$AB$50000,"&lt;&gt;丢弃",缺陷明细!$AB$2:$AB$50000,"&lt;&gt;设计如此",缺陷明细!$AB$2:$AB$50000,"&lt;&gt;重复Bug")</f>
        <v>0</v>
      </c>
      <c r="K39" s="155">
        <f>COUNTIFS(缺陷明细!$A$2:$A$50000,$B$4,缺陷明细!$G$2:$G$50000,$C39,缺陷明细!$Q$2:$Q$50000,"已关闭",缺陷明细!$J$2:$J$50000,"单元测试")</f>
        <v>0</v>
      </c>
      <c r="L39" s="156"/>
      <c r="M39" s="157"/>
      <c r="N39" s="72">
        <f>COUNTIFS(缺陷明细!$A$2:$A$50000,$B$4,缺陷明细!$G$2:$G$50000,$C39,缺陷明细!$J$2:$J$50000,"系统测试案例评审",缺陷明细!$AB$2:$AB$50000,"&lt;&gt;丢弃",缺陷明细!$AB$2:$AB$50000,"&lt;&gt;设计如此",缺陷明细!$AB$2:$AB$50000,"&lt;&gt;重复Bug")</f>
        <v>0</v>
      </c>
      <c r="O39" s="72">
        <f>COUNTIFS(缺陷明细!$A$2:$A$50000,$B$4,缺陷明细!$G$2:$G$50000,$C39,缺陷明细!$Q$2:$Q$50000,"已关闭",缺陷明细!$J$2:$J$50000,"系统测试案例评审")</f>
        <v>0</v>
      </c>
      <c r="P39" s="72">
        <f>COUNTIFS(缺陷明细!$A$2:$A$50000,$B$4,缺陷明细!$G$2:$G$50000,$C39,缺陷明细!$J$2:$J$50000,"系统测试",缺陷明细!$AB$2:$AB$50000,"&lt;&gt;丢弃",缺陷明细!$AB$2:$AB$50000,"&lt;&gt;设计如此",缺陷明细!$AB$2:$AB$50000,"&lt;&gt;重复Bug")</f>
        <v>0</v>
      </c>
      <c r="Q39" s="72">
        <f>COUNTIFS(缺陷明细!$A$2:$A$50000,$B$4,缺陷明细!$G$2:$G$50000,$C39,缺陷明细!$Q$2:$Q$50000,"已关闭",缺陷明细!$J$2:$J$50000,"系统测试")</f>
        <v>0</v>
      </c>
      <c r="R39" s="296">
        <f>COUNTIFS(缺陷明细!$A$2:$A$50000,$B$4,缺陷明细!$G$2:$G$50000,$C39,缺陷明细!$AB$2:$AB$50000,"丢弃",缺陷明细!$J$2:$J$50000,"系统测试")+COUNTIFS(缺陷明细!$A$2:$A$50000,$B$4,缺陷明细!$G$2:$G$50000,$C39,缺陷明细!$AB$2:$AB$50000,"设计如此",缺陷明细!$J$2:$J$50000,"系统测试")+COUNTIFS(缺陷明细!$A$2:$A$50000,$B$4,缺陷明细!$G$2:$G$50000,$C39,缺陷明细!$AB$2:$AB$50000,"重复Bug",缺陷明细!$J$2:$J$50000,"系统测试")</f>
        <v>0</v>
      </c>
      <c r="S39" s="72">
        <f>COUNTIFS(缺陷明细!$A$2:$A$50000,$B$4,缺陷明细!$G$2:$G$50000,$C39,缺陷明细!$J$2:$J$50000,"系统测试",缺陷明细!$K$2:$K$50000,"致命",缺陷明细!$AB$2:$AB$50000,"&lt;&gt;丢弃",缺陷明细!$AB$2:$AB$50000,"&lt;&gt;设计如此",缺陷明细!$AB$2:$AB$50000,"&lt;&gt;重复Bug")+COUNTIFS(缺陷明细!$A$2:$A$50000,$B$4,缺陷明细!$G$2:$G$50000,$C39,缺陷明细!$J$2:$J$50000,"系统测试",缺陷明细!$K$2:$K$50000,"严重",缺陷明细!$AB$2:$AB$50000,"&lt;&gt;丢弃",缺陷明细!$AB$2:$AB$50000,"&lt;&gt;设计如此",缺陷明细!$AB$2:$AB$50000,"&lt;&gt;重复Bug")</f>
        <v>0</v>
      </c>
      <c r="T39" s="73">
        <f>COUNTIFS(缺陷明细!$A$2:$A$50000,$B$4,缺陷明细!$G$2:$G$50000,$C39,缺陷明细!$Q$2:$Q$50000,"已关闭",缺陷明细!$J$2:$J$50000,"系统测试",缺陷明细!$K$2:$K$50000,"致命")+COUNTIFS(缺陷明细!$A$2:$A$50000,$B$4,缺陷明细!$G$2:$G$50000,$C39,缺陷明细!$Q$2:$Q$50000,"已关闭",缺陷明细!$J$2:$J$50000,"系统测试",缺陷明细!$K$2:$K$50000,"严重")</f>
        <v>0</v>
      </c>
      <c r="U39" s="74">
        <f>COUNTIFS(缺陷明细!$A$2:$A$50000,$B$4,缺陷明细!$G$2:$G$50000,$C39,缺陷明细!$J$2:$J$50000,"验收测试",缺陷明细!$AB$2:$AB$50000,"&lt;&gt;丢弃",缺陷明细!$AB$2:$AB$50000,"&lt;&gt;设计如此",缺陷明细!$AB$2:$AB$50000,"&lt;&gt;重复Bug")</f>
        <v>0</v>
      </c>
      <c r="V39" s="75">
        <f>COUNTIFS(缺陷明细!$A$2:$A$50000,$B$4,缺陷明细!$G$2:$G$50000,$C39,缺陷明细!$Q$2:$Q$50000,"已关闭",缺陷明细!$J$2:$J$50000,"验收测试")</f>
        <v>0</v>
      </c>
      <c r="W39" s="75">
        <f>COUNTIFS(缺陷明细!$A$2:$A$50000,$B$4,缺陷明细!$G$2:$G$50000,$C39,缺陷明细!$J$2:$J$50000,"验收测试",缺陷明细!$K$2:$K$50000,"致命",缺陷明细!$AB$2:$AB$50000,"&lt;&gt;丢弃",缺陷明细!$AB$2:$AB$50000,"&lt;&gt;设计如此",缺陷明细!$AB$2:$AB$50000,"&lt;&gt;重复Bug")+COUNTIFS(缺陷明细!$A$2:$A$50000,$B$4,缺陷明细!$G$2:$G$50000,$C39,缺陷明细!$J$2:$J$50000,"验收测试",缺陷明细!$K$2:$K$50000,"严重",缺陷明细!$AB$2:$AB$50000,"&lt;&gt;丢弃",缺陷明细!$AB$2:$AB$50000,"&lt;&gt;设计如此",缺陷明细!$AB$2:$AB$50000,"&lt;&gt;重复Bug")</f>
        <v>0</v>
      </c>
      <c r="X39" s="76">
        <f>COUNTIFS(缺陷明细!$A$2:$A$50000,$B$4,缺陷明细!$G$2:$G$50000,$C39,缺陷明细!$Q$2:$Q$50000,"已关闭",缺陷明细!$J$2:$J$50000,"验收测试",缺陷明细!$K$2:$K$50000,"致命")+COUNTIFS(缺陷明细!$A$2:$A$50000,$B$4,缺陷明细!$G$2:$G$50000,$C39,缺陷明细!$Q$2:$Q$50000,"已关闭",缺陷明细!$J$2:$J$50000,"验收测试",缺陷明细!$K$2:$K$50000,"严重")</f>
        <v>0</v>
      </c>
      <c r="Y39" s="70">
        <f>COUNTIFS(缺陷明细!$A$2:$A$50000,$B$4,缺陷明细!$G$2:$G$50000,$C39,缺陷明细!$J$2:$J$50000,"运维测试",缺陷明细!$AB$2:$AB$50000,"&lt;&gt;丢弃",缺陷明细!$AB$2:$AB$50000,"&lt;&gt;设计如此",缺陷明细!$AB$2:$AB$50000,"&lt;&gt;重复Bug")</f>
        <v>0</v>
      </c>
      <c r="Z39" s="71">
        <f>COUNTIFS(缺陷明细!$A$2:$A$50000,$B$4,缺陷明细!$G$2:$G$50000,$C39,缺陷明细!$Q$2:$Q$50000,"已关闭",缺陷明细!$J$2:$J$50000,"运维测试")</f>
        <v>0</v>
      </c>
      <c r="AA39" s="72">
        <f>COUNTIFS(缺陷明细!$A$2:$A$50000,$B$4,缺陷明细!$G$2:$G$50000,$C39,缺陷明细!$J$2:$J$50000,"运维测试",缺陷明细!$K$2:$K$50000,"致命",缺陷明细!$AB$2:$AB$50000,"&lt;&gt;丢弃",缺陷明细!$AB$2:$AB$50000,"&lt;&gt;设计如此",缺陷明细!$AB$2:$AB$50000,"&lt;&gt;重复Bug")+COUNTIFS(缺陷明细!$A$2:$A$50000,$B$4,缺陷明细!$G$2:$G$50000,$C39,缺陷明细!$J$2:$J$50000,"运维测试",缺陷明细!$K$2:$K$50000,"严重",缺陷明细!$AB$2:$AB$50000,"&lt;&gt;丢弃",缺陷明细!$AB$2:$AB$50000,"&lt;&gt;设计如此",缺陷明细!$AB$2:$AB$50000,"&lt;&gt;重复Bug")</f>
        <v>0</v>
      </c>
      <c r="AB39" s="73">
        <f>COUNTIFS(缺陷明细!$A$2:$A$50000,$B$4,缺陷明细!$G$2:$G$50000,$C39,缺陷明细!$Q$2:$Q$50000,"已关闭",缺陷明细!$J$2:$J$50000,"运维测试",缺陷明细!$K$2:$K$50000,"致命")+COUNTIFS(缺陷明细!$A$2:$A$50000,$B$4,缺陷明细!$G$2:$G$50000,$C39,缺陷明细!$Q$2:$Q$50000,"已关闭",缺陷明细!$J$2:$J$50000,"运维测试",缺陷明细!$K$2:$K$50000,"严重")</f>
        <v>0</v>
      </c>
      <c r="AC39" s="68">
        <f t="shared" si="0"/>
        <v>0</v>
      </c>
      <c r="AD39" s="60">
        <f t="shared" si="0"/>
        <v>0</v>
      </c>
      <c r="AE39" s="60">
        <f t="shared" si="1"/>
        <v>0</v>
      </c>
      <c r="AF39" s="60">
        <f t="shared" si="1"/>
        <v>0</v>
      </c>
      <c r="AG39" s="60">
        <f t="shared" si="2"/>
        <v>0</v>
      </c>
      <c r="AH39" s="60">
        <f t="shared" si="2"/>
        <v>0</v>
      </c>
      <c r="AI39" s="60">
        <f t="shared" si="3"/>
        <v>0</v>
      </c>
      <c r="AJ39" s="61">
        <f t="shared" si="3"/>
        <v>0</v>
      </c>
      <c r="AK39" s="144"/>
    </row>
    <row r="40" spans="1:37">
      <c r="A40">
        <v>36</v>
      </c>
      <c r="B40" s="57"/>
      <c r="C40" s="58"/>
      <c r="D40" s="84"/>
      <c r="E40" s="82"/>
      <c r="F40" s="158"/>
      <c r="G40" s="159"/>
      <c r="H40" s="281">
        <f>COUNTIFS(缺陷明细!$A$2:$A$50000,$B$4,缺陷明细!$G$2:$G$50000,$C40,缺陷明细!$J$2:$J$50000,"评审",缺陷明细!$AB$2:$AB$50000,"&lt;&gt;丢弃",缺陷明细!$AB$2:$AB$50000,"&lt;&gt;设计如此",缺陷明细!$AB$2:$AB$50000,"&lt;&gt;重复Bug")</f>
        <v>0</v>
      </c>
      <c r="I40" s="154">
        <f>COUNTIFS(缺陷明细!$A$2:$A$50000,$B$4,缺陷明细!$G$2:$G$50000,$C40,缺陷明细!$Q$2:$Q$50000,"已关闭",缺陷明细!$J$2:$J$50000,"评审")</f>
        <v>0</v>
      </c>
      <c r="J40" s="154">
        <f>COUNTIFS(缺陷明细!$A$2:$A$50000,$B$4,缺陷明细!$G$2:$G$50000,$C40,缺陷明细!$J$2:$J$50000,"单元测试",缺陷明细!$AB$2:$AB$50000,"&lt;&gt;丢弃",缺陷明细!$AB$2:$AB$50000,"&lt;&gt;设计如此",缺陷明细!$AB$2:$AB$50000,"&lt;&gt;重复Bug")</f>
        <v>0</v>
      </c>
      <c r="K40" s="155">
        <f>COUNTIFS(缺陷明细!$A$2:$A$50000,$B$4,缺陷明细!$G$2:$G$50000,$C40,缺陷明细!$Q$2:$Q$50000,"已关闭",缺陷明细!$J$2:$J$50000,"单元测试")</f>
        <v>0</v>
      </c>
      <c r="L40" s="156"/>
      <c r="M40" s="157"/>
      <c r="N40" s="72">
        <f>COUNTIFS(缺陷明细!$A$2:$A$50000,$B$4,缺陷明细!$G$2:$G$50000,$C40,缺陷明细!$J$2:$J$50000,"系统测试案例评审",缺陷明细!$AB$2:$AB$50000,"&lt;&gt;丢弃",缺陷明细!$AB$2:$AB$50000,"&lt;&gt;设计如此",缺陷明细!$AB$2:$AB$50000,"&lt;&gt;重复Bug")</f>
        <v>0</v>
      </c>
      <c r="O40" s="72">
        <f>COUNTIFS(缺陷明细!$A$2:$A$50000,$B$4,缺陷明细!$G$2:$G$50000,$C40,缺陷明细!$Q$2:$Q$50000,"已关闭",缺陷明细!$J$2:$J$50000,"系统测试案例评审")</f>
        <v>0</v>
      </c>
      <c r="P40" s="72">
        <f>COUNTIFS(缺陷明细!$A$2:$A$50000,$B$4,缺陷明细!$G$2:$G$50000,$C40,缺陷明细!$J$2:$J$50000,"系统测试",缺陷明细!$AB$2:$AB$50000,"&lt;&gt;丢弃",缺陷明细!$AB$2:$AB$50000,"&lt;&gt;设计如此",缺陷明细!$AB$2:$AB$50000,"&lt;&gt;重复Bug")</f>
        <v>0</v>
      </c>
      <c r="Q40" s="72">
        <f>COUNTIFS(缺陷明细!$A$2:$A$50000,$B$4,缺陷明细!$G$2:$G$50000,$C40,缺陷明细!$Q$2:$Q$50000,"已关闭",缺陷明细!$J$2:$J$50000,"系统测试")</f>
        <v>0</v>
      </c>
      <c r="R40" s="296">
        <f>COUNTIFS(缺陷明细!$A$2:$A$50000,$B$4,缺陷明细!$G$2:$G$50000,$C40,缺陷明细!$AB$2:$AB$50000,"丢弃",缺陷明细!$J$2:$J$50000,"系统测试")+COUNTIFS(缺陷明细!$A$2:$A$50000,$B$4,缺陷明细!$G$2:$G$50000,$C40,缺陷明细!$AB$2:$AB$50000,"设计如此",缺陷明细!$J$2:$J$50000,"系统测试")+COUNTIFS(缺陷明细!$A$2:$A$50000,$B$4,缺陷明细!$G$2:$G$50000,$C40,缺陷明细!$AB$2:$AB$50000,"重复Bug",缺陷明细!$J$2:$J$50000,"系统测试")</f>
        <v>0</v>
      </c>
      <c r="S40" s="72">
        <f>COUNTIFS(缺陷明细!$A$2:$A$50000,$B$4,缺陷明细!$G$2:$G$50000,$C40,缺陷明细!$J$2:$J$50000,"系统测试",缺陷明细!$K$2:$K$50000,"致命",缺陷明细!$AB$2:$AB$50000,"&lt;&gt;丢弃",缺陷明细!$AB$2:$AB$50000,"&lt;&gt;设计如此",缺陷明细!$AB$2:$AB$50000,"&lt;&gt;重复Bug")+COUNTIFS(缺陷明细!$A$2:$A$50000,$B$4,缺陷明细!$G$2:$G$50000,$C40,缺陷明细!$J$2:$J$50000,"系统测试",缺陷明细!$K$2:$K$50000,"严重",缺陷明细!$AB$2:$AB$50000,"&lt;&gt;丢弃",缺陷明细!$AB$2:$AB$50000,"&lt;&gt;设计如此",缺陷明细!$AB$2:$AB$50000,"&lt;&gt;重复Bug")</f>
        <v>0</v>
      </c>
      <c r="T40" s="73">
        <f>COUNTIFS(缺陷明细!$A$2:$A$50000,$B$4,缺陷明细!$G$2:$G$50000,$C40,缺陷明细!$Q$2:$Q$50000,"已关闭",缺陷明细!$J$2:$J$50000,"系统测试",缺陷明细!$K$2:$K$50000,"致命")+COUNTIFS(缺陷明细!$A$2:$A$50000,$B$4,缺陷明细!$G$2:$G$50000,$C40,缺陷明细!$Q$2:$Q$50000,"已关闭",缺陷明细!$J$2:$J$50000,"系统测试",缺陷明细!$K$2:$K$50000,"严重")</f>
        <v>0</v>
      </c>
      <c r="U40" s="74">
        <f>COUNTIFS(缺陷明细!$A$2:$A$50000,$B$4,缺陷明细!$G$2:$G$50000,$C40,缺陷明细!$J$2:$J$50000,"验收测试",缺陷明细!$AB$2:$AB$50000,"&lt;&gt;丢弃",缺陷明细!$AB$2:$AB$50000,"&lt;&gt;设计如此",缺陷明细!$AB$2:$AB$50000,"&lt;&gt;重复Bug")</f>
        <v>0</v>
      </c>
      <c r="V40" s="75">
        <f>COUNTIFS(缺陷明细!$A$2:$A$50000,$B$4,缺陷明细!$G$2:$G$50000,$C40,缺陷明细!$Q$2:$Q$50000,"已关闭",缺陷明细!$J$2:$J$50000,"验收测试")</f>
        <v>0</v>
      </c>
      <c r="W40" s="75">
        <f>COUNTIFS(缺陷明细!$A$2:$A$50000,$B$4,缺陷明细!$G$2:$G$50000,$C40,缺陷明细!$J$2:$J$50000,"验收测试",缺陷明细!$K$2:$K$50000,"致命",缺陷明细!$AB$2:$AB$50000,"&lt;&gt;丢弃",缺陷明细!$AB$2:$AB$50000,"&lt;&gt;设计如此",缺陷明细!$AB$2:$AB$50000,"&lt;&gt;重复Bug")+COUNTIFS(缺陷明细!$A$2:$A$50000,$B$4,缺陷明细!$G$2:$G$50000,$C40,缺陷明细!$J$2:$J$50000,"验收测试",缺陷明细!$K$2:$K$50000,"严重",缺陷明细!$AB$2:$AB$50000,"&lt;&gt;丢弃",缺陷明细!$AB$2:$AB$50000,"&lt;&gt;设计如此",缺陷明细!$AB$2:$AB$50000,"&lt;&gt;重复Bug")</f>
        <v>0</v>
      </c>
      <c r="X40" s="76">
        <f>COUNTIFS(缺陷明细!$A$2:$A$50000,$B$4,缺陷明细!$G$2:$G$50000,$C40,缺陷明细!$Q$2:$Q$50000,"已关闭",缺陷明细!$J$2:$J$50000,"验收测试",缺陷明细!$K$2:$K$50000,"致命")+COUNTIFS(缺陷明细!$A$2:$A$50000,$B$4,缺陷明细!$G$2:$G$50000,$C40,缺陷明细!$Q$2:$Q$50000,"已关闭",缺陷明细!$J$2:$J$50000,"验收测试",缺陷明细!$K$2:$K$50000,"严重")</f>
        <v>0</v>
      </c>
      <c r="Y40" s="70">
        <f>COUNTIFS(缺陷明细!$A$2:$A$50000,$B$4,缺陷明细!$G$2:$G$50000,$C40,缺陷明细!$J$2:$J$50000,"运维测试",缺陷明细!$AB$2:$AB$50000,"&lt;&gt;丢弃",缺陷明细!$AB$2:$AB$50000,"&lt;&gt;设计如此",缺陷明细!$AB$2:$AB$50000,"&lt;&gt;重复Bug")</f>
        <v>0</v>
      </c>
      <c r="Z40" s="71">
        <f>COUNTIFS(缺陷明细!$A$2:$A$50000,$B$4,缺陷明细!$G$2:$G$50000,$C40,缺陷明细!$Q$2:$Q$50000,"已关闭",缺陷明细!$J$2:$J$50000,"运维测试")</f>
        <v>0</v>
      </c>
      <c r="AA40" s="72">
        <f>COUNTIFS(缺陷明细!$A$2:$A$50000,$B$4,缺陷明细!$G$2:$G$50000,$C40,缺陷明细!$J$2:$J$50000,"运维测试",缺陷明细!$K$2:$K$50000,"致命",缺陷明细!$AB$2:$AB$50000,"&lt;&gt;丢弃",缺陷明细!$AB$2:$AB$50000,"&lt;&gt;设计如此",缺陷明细!$AB$2:$AB$50000,"&lt;&gt;重复Bug")+COUNTIFS(缺陷明细!$A$2:$A$50000,$B$4,缺陷明细!$G$2:$G$50000,$C40,缺陷明细!$J$2:$J$50000,"运维测试",缺陷明细!$K$2:$K$50000,"严重",缺陷明细!$AB$2:$AB$50000,"&lt;&gt;丢弃",缺陷明细!$AB$2:$AB$50000,"&lt;&gt;设计如此",缺陷明细!$AB$2:$AB$50000,"&lt;&gt;重复Bug")</f>
        <v>0</v>
      </c>
      <c r="AB40" s="73">
        <f>COUNTIFS(缺陷明细!$A$2:$A$50000,$B$4,缺陷明细!$G$2:$G$50000,$C40,缺陷明细!$Q$2:$Q$50000,"已关闭",缺陷明细!$J$2:$J$50000,"运维测试",缺陷明细!$K$2:$K$50000,"致命")+COUNTIFS(缺陷明细!$A$2:$A$50000,$B$4,缺陷明细!$G$2:$G$50000,$C40,缺陷明细!$Q$2:$Q$50000,"已关闭",缺陷明细!$J$2:$J$50000,"运维测试",缺陷明细!$K$2:$K$50000,"严重")</f>
        <v>0</v>
      </c>
      <c r="AC40" s="68">
        <f t="shared" si="0"/>
        <v>0</v>
      </c>
      <c r="AD40" s="60">
        <f t="shared" si="0"/>
        <v>0</v>
      </c>
      <c r="AE40" s="60">
        <f t="shared" si="1"/>
        <v>0</v>
      </c>
      <c r="AF40" s="60">
        <f t="shared" si="1"/>
        <v>0</v>
      </c>
      <c r="AG40" s="60">
        <f t="shared" si="2"/>
        <v>0</v>
      </c>
      <c r="AH40" s="60">
        <f t="shared" si="2"/>
        <v>0</v>
      </c>
      <c r="AI40" s="60">
        <f t="shared" si="3"/>
        <v>0</v>
      </c>
      <c r="AJ40" s="61">
        <f t="shared" si="3"/>
        <v>0</v>
      </c>
      <c r="AK40" s="144"/>
    </row>
    <row r="41" spans="1:37">
      <c r="A41">
        <v>37</v>
      </c>
      <c r="B41" s="57"/>
      <c r="C41" s="58"/>
      <c r="D41" s="84"/>
      <c r="E41" s="82"/>
      <c r="F41" s="158"/>
      <c r="G41" s="159"/>
      <c r="H41" s="281">
        <f>COUNTIFS(缺陷明细!$A$2:$A$50000,$B$4,缺陷明细!$G$2:$G$50000,$C41,缺陷明细!$J$2:$J$50000,"评审",缺陷明细!$AB$2:$AB$50000,"&lt;&gt;丢弃",缺陷明细!$AB$2:$AB$50000,"&lt;&gt;设计如此",缺陷明细!$AB$2:$AB$50000,"&lt;&gt;重复Bug")</f>
        <v>0</v>
      </c>
      <c r="I41" s="154">
        <f>COUNTIFS(缺陷明细!$A$2:$A$50000,$B$4,缺陷明细!$G$2:$G$50000,$C41,缺陷明细!$Q$2:$Q$50000,"已关闭",缺陷明细!$J$2:$J$50000,"评审")</f>
        <v>0</v>
      </c>
      <c r="J41" s="154">
        <f>COUNTIFS(缺陷明细!$A$2:$A$50000,$B$4,缺陷明细!$G$2:$G$50000,$C41,缺陷明细!$J$2:$J$50000,"单元测试",缺陷明细!$AB$2:$AB$50000,"&lt;&gt;丢弃",缺陷明细!$AB$2:$AB$50000,"&lt;&gt;设计如此",缺陷明细!$AB$2:$AB$50000,"&lt;&gt;重复Bug")</f>
        <v>0</v>
      </c>
      <c r="K41" s="155">
        <f>COUNTIFS(缺陷明细!$A$2:$A$50000,$B$4,缺陷明细!$G$2:$G$50000,$C41,缺陷明细!$Q$2:$Q$50000,"已关闭",缺陷明细!$J$2:$J$50000,"单元测试")</f>
        <v>0</v>
      </c>
      <c r="L41" s="156"/>
      <c r="M41" s="157"/>
      <c r="N41" s="72">
        <f>COUNTIFS(缺陷明细!$A$2:$A$50000,$B$4,缺陷明细!$G$2:$G$50000,$C41,缺陷明细!$J$2:$J$50000,"系统测试案例评审",缺陷明细!$AB$2:$AB$50000,"&lt;&gt;丢弃",缺陷明细!$AB$2:$AB$50000,"&lt;&gt;设计如此",缺陷明细!$AB$2:$AB$50000,"&lt;&gt;重复Bug")</f>
        <v>0</v>
      </c>
      <c r="O41" s="72">
        <f>COUNTIFS(缺陷明细!$A$2:$A$50000,$B$4,缺陷明细!$G$2:$G$50000,$C41,缺陷明细!$Q$2:$Q$50000,"已关闭",缺陷明细!$J$2:$J$50000,"系统测试案例评审")</f>
        <v>0</v>
      </c>
      <c r="P41" s="72">
        <f>COUNTIFS(缺陷明细!$A$2:$A$50000,$B$4,缺陷明细!$G$2:$G$50000,$C41,缺陷明细!$J$2:$J$50000,"系统测试",缺陷明细!$AB$2:$AB$50000,"&lt;&gt;丢弃",缺陷明细!$AB$2:$AB$50000,"&lt;&gt;设计如此",缺陷明细!$AB$2:$AB$50000,"&lt;&gt;重复Bug")</f>
        <v>0</v>
      </c>
      <c r="Q41" s="72">
        <f>COUNTIFS(缺陷明细!$A$2:$A$50000,$B$4,缺陷明细!$G$2:$G$50000,$C41,缺陷明细!$Q$2:$Q$50000,"已关闭",缺陷明细!$J$2:$J$50000,"系统测试")</f>
        <v>0</v>
      </c>
      <c r="R41" s="296">
        <f>COUNTIFS(缺陷明细!$A$2:$A$50000,$B$4,缺陷明细!$G$2:$G$50000,$C41,缺陷明细!$AB$2:$AB$50000,"丢弃",缺陷明细!$J$2:$J$50000,"系统测试")+COUNTIFS(缺陷明细!$A$2:$A$50000,$B$4,缺陷明细!$G$2:$G$50000,$C41,缺陷明细!$AB$2:$AB$50000,"设计如此",缺陷明细!$J$2:$J$50000,"系统测试")+COUNTIFS(缺陷明细!$A$2:$A$50000,$B$4,缺陷明细!$G$2:$G$50000,$C41,缺陷明细!$AB$2:$AB$50000,"重复Bug",缺陷明细!$J$2:$J$50000,"系统测试")</f>
        <v>0</v>
      </c>
      <c r="S41" s="72">
        <f>COUNTIFS(缺陷明细!$A$2:$A$50000,$B$4,缺陷明细!$G$2:$G$50000,$C41,缺陷明细!$J$2:$J$50000,"系统测试",缺陷明细!$K$2:$K$50000,"致命",缺陷明细!$AB$2:$AB$50000,"&lt;&gt;丢弃",缺陷明细!$AB$2:$AB$50000,"&lt;&gt;设计如此",缺陷明细!$AB$2:$AB$50000,"&lt;&gt;重复Bug")+COUNTIFS(缺陷明细!$A$2:$A$50000,$B$4,缺陷明细!$G$2:$G$50000,$C41,缺陷明细!$J$2:$J$50000,"系统测试",缺陷明细!$K$2:$K$50000,"严重",缺陷明细!$AB$2:$AB$50000,"&lt;&gt;丢弃",缺陷明细!$AB$2:$AB$50000,"&lt;&gt;设计如此",缺陷明细!$AB$2:$AB$50000,"&lt;&gt;重复Bug")</f>
        <v>0</v>
      </c>
      <c r="T41" s="73">
        <f>COUNTIFS(缺陷明细!$A$2:$A$50000,$B$4,缺陷明细!$G$2:$G$50000,$C41,缺陷明细!$Q$2:$Q$50000,"已关闭",缺陷明细!$J$2:$J$50000,"系统测试",缺陷明细!$K$2:$K$50000,"致命")+COUNTIFS(缺陷明细!$A$2:$A$50000,$B$4,缺陷明细!$G$2:$G$50000,$C41,缺陷明细!$Q$2:$Q$50000,"已关闭",缺陷明细!$J$2:$J$50000,"系统测试",缺陷明细!$K$2:$K$50000,"严重")</f>
        <v>0</v>
      </c>
      <c r="U41" s="74">
        <f>COUNTIFS(缺陷明细!$A$2:$A$50000,$B$4,缺陷明细!$G$2:$G$50000,$C41,缺陷明细!$J$2:$J$50000,"验收测试",缺陷明细!$AB$2:$AB$50000,"&lt;&gt;丢弃",缺陷明细!$AB$2:$AB$50000,"&lt;&gt;设计如此",缺陷明细!$AB$2:$AB$50000,"&lt;&gt;重复Bug")</f>
        <v>0</v>
      </c>
      <c r="V41" s="75">
        <f>COUNTIFS(缺陷明细!$A$2:$A$50000,$B$4,缺陷明细!$G$2:$G$50000,$C41,缺陷明细!$Q$2:$Q$50000,"已关闭",缺陷明细!$J$2:$J$50000,"验收测试")</f>
        <v>0</v>
      </c>
      <c r="W41" s="75">
        <f>COUNTIFS(缺陷明细!$A$2:$A$50000,$B$4,缺陷明细!$G$2:$G$50000,$C41,缺陷明细!$J$2:$J$50000,"验收测试",缺陷明细!$K$2:$K$50000,"致命",缺陷明细!$AB$2:$AB$50000,"&lt;&gt;丢弃",缺陷明细!$AB$2:$AB$50000,"&lt;&gt;设计如此",缺陷明细!$AB$2:$AB$50000,"&lt;&gt;重复Bug")+COUNTIFS(缺陷明细!$A$2:$A$50000,$B$4,缺陷明细!$G$2:$G$50000,$C41,缺陷明细!$J$2:$J$50000,"验收测试",缺陷明细!$K$2:$K$50000,"严重",缺陷明细!$AB$2:$AB$50000,"&lt;&gt;丢弃",缺陷明细!$AB$2:$AB$50000,"&lt;&gt;设计如此",缺陷明细!$AB$2:$AB$50000,"&lt;&gt;重复Bug")</f>
        <v>0</v>
      </c>
      <c r="X41" s="76">
        <f>COUNTIFS(缺陷明细!$A$2:$A$50000,$B$4,缺陷明细!$G$2:$G$50000,$C41,缺陷明细!$Q$2:$Q$50000,"已关闭",缺陷明细!$J$2:$J$50000,"验收测试",缺陷明细!$K$2:$K$50000,"致命")+COUNTIFS(缺陷明细!$A$2:$A$50000,$B$4,缺陷明细!$G$2:$G$50000,$C41,缺陷明细!$Q$2:$Q$50000,"已关闭",缺陷明细!$J$2:$J$50000,"验收测试",缺陷明细!$K$2:$K$50000,"严重")</f>
        <v>0</v>
      </c>
      <c r="Y41" s="70">
        <f>COUNTIFS(缺陷明细!$A$2:$A$50000,$B$4,缺陷明细!$G$2:$G$50000,$C41,缺陷明细!$J$2:$J$50000,"运维测试",缺陷明细!$AB$2:$AB$50000,"&lt;&gt;丢弃",缺陷明细!$AB$2:$AB$50000,"&lt;&gt;设计如此",缺陷明细!$AB$2:$AB$50000,"&lt;&gt;重复Bug")</f>
        <v>0</v>
      </c>
      <c r="Z41" s="71">
        <f>COUNTIFS(缺陷明细!$A$2:$A$50000,$B$4,缺陷明细!$G$2:$G$50000,$C41,缺陷明细!$Q$2:$Q$50000,"已关闭",缺陷明细!$J$2:$J$50000,"运维测试")</f>
        <v>0</v>
      </c>
      <c r="AA41" s="72">
        <f>COUNTIFS(缺陷明细!$A$2:$A$50000,$B$4,缺陷明细!$G$2:$G$50000,$C41,缺陷明细!$J$2:$J$50000,"运维测试",缺陷明细!$K$2:$K$50000,"致命",缺陷明细!$AB$2:$AB$50000,"&lt;&gt;丢弃",缺陷明细!$AB$2:$AB$50000,"&lt;&gt;设计如此",缺陷明细!$AB$2:$AB$50000,"&lt;&gt;重复Bug")+COUNTIFS(缺陷明细!$A$2:$A$50000,$B$4,缺陷明细!$G$2:$G$50000,$C41,缺陷明细!$J$2:$J$50000,"运维测试",缺陷明细!$K$2:$K$50000,"严重",缺陷明细!$AB$2:$AB$50000,"&lt;&gt;丢弃",缺陷明细!$AB$2:$AB$50000,"&lt;&gt;设计如此",缺陷明细!$AB$2:$AB$50000,"&lt;&gt;重复Bug")</f>
        <v>0</v>
      </c>
      <c r="AB41" s="73">
        <f>COUNTIFS(缺陷明细!$A$2:$A$50000,$B$4,缺陷明细!$G$2:$G$50000,$C41,缺陷明细!$Q$2:$Q$50000,"已关闭",缺陷明细!$J$2:$J$50000,"运维测试",缺陷明细!$K$2:$K$50000,"致命")+COUNTIFS(缺陷明细!$A$2:$A$50000,$B$4,缺陷明细!$G$2:$G$50000,$C41,缺陷明细!$Q$2:$Q$50000,"已关闭",缺陷明细!$J$2:$J$50000,"运维测试",缺陷明细!$K$2:$K$50000,"严重")</f>
        <v>0</v>
      </c>
      <c r="AC41" s="68">
        <f t="shared" si="0"/>
        <v>0</v>
      </c>
      <c r="AD41" s="60">
        <f t="shared" si="0"/>
        <v>0</v>
      </c>
      <c r="AE41" s="60">
        <f t="shared" si="1"/>
        <v>0</v>
      </c>
      <c r="AF41" s="60">
        <f t="shared" si="1"/>
        <v>0</v>
      </c>
      <c r="AG41" s="60">
        <f t="shared" si="2"/>
        <v>0</v>
      </c>
      <c r="AH41" s="60">
        <f t="shared" si="2"/>
        <v>0</v>
      </c>
      <c r="AI41" s="60">
        <f t="shared" si="3"/>
        <v>0</v>
      </c>
      <c r="AJ41" s="61">
        <f t="shared" si="3"/>
        <v>0</v>
      </c>
      <c r="AK41" s="144"/>
    </row>
    <row r="42" spans="1:37">
      <c r="A42">
        <v>38</v>
      </c>
      <c r="B42" s="57"/>
      <c r="C42" s="58"/>
      <c r="D42" s="84"/>
      <c r="E42" s="82"/>
      <c r="F42" s="158"/>
      <c r="G42" s="159"/>
      <c r="H42" s="281">
        <f>COUNTIFS(缺陷明细!$A$2:$A$50000,$B$4,缺陷明细!$G$2:$G$50000,$C42,缺陷明细!$J$2:$J$50000,"评审",缺陷明细!$AB$2:$AB$50000,"&lt;&gt;丢弃",缺陷明细!$AB$2:$AB$50000,"&lt;&gt;设计如此",缺陷明细!$AB$2:$AB$50000,"&lt;&gt;重复Bug")</f>
        <v>0</v>
      </c>
      <c r="I42" s="154">
        <f>COUNTIFS(缺陷明细!$A$2:$A$50000,$B$4,缺陷明细!$G$2:$G$50000,$C42,缺陷明细!$Q$2:$Q$50000,"已关闭",缺陷明细!$J$2:$J$50000,"评审")</f>
        <v>0</v>
      </c>
      <c r="J42" s="154">
        <f>COUNTIFS(缺陷明细!$A$2:$A$50000,$B$4,缺陷明细!$G$2:$G$50000,$C42,缺陷明细!$J$2:$J$50000,"单元测试",缺陷明细!$AB$2:$AB$50000,"&lt;&gt;丢弃",缺陷明细!$AB$2:$AB$50000,"&lt;&gt;设计如此",缺陷明细!$AB$2:$AB$50000,"&lt;&gt;重复Bug")</f>
        <v>0</v>
      </c>
      <c r="K42" s="155">
        <f>COUNTIFS(缺陷明细!$A$2:$A$50000,$B$4,缺陷明细!$G$2:$G$50000,$C42,缺陷明细!$Q$2:$Q$50000,"已关闭",缺陷明细!$J$2:$J$50000,"单元测试")</f>
        <v>0</v>
      </c>
      <c r="L42" s="156"/>
      <c r="M42" s="157"/>
      <c r="N42" s="72">
        <f>COUNTIFS(缺陷明细!$A$2:$A$50000,$B$4,缺陷明细!$G$2:$G$50000,$C42,缺陷明细!$J$2:$J$50000,"系统测试案例评审",缺陷明细!$AB$2:$AB$50000,"&lt;&gt;丢弃",缺陷明细!$AB$2:$AB$50000,"&lt;&gt;设计如此",缺陷明细!$AB$2:$AB$50000,"&lt;&gt;重复Bug")</f>
        <v>0</v>
      </c>
      <c r="O42" s="72">
        <f>COUNTIFS(缺陷明细!$A$2:$A$50000,$B$4,缺陷明细!$G$2:$G$50000,$C42,缺陷明细!$Q$2:$Q$50000,"已关闭",缺陷明细!$J$2:$J$50000,"系统测试案例评审")</f>
        <v>0</v>
      </c>
      <c r="P42" s="72">
        <f>COUNTIFS(缺陷明细!$A$2:$A$50000,$B$4,缺陷明细!$G$2:$G$50000,$C42,缺陷明细!$J$2:$J$50000,"系统测试",缺陷明细!$AB$2:$AB$50000,"&lt;&gt;丢弃",缺陷明细!$AB$2:$AB$50000,"&lt;&gt;设计如此",缺陷明细!$AB$2:$AB$50000,"&lt;&gt;重复Bug")</f>
        <v>0</v>
      </c>
      <c r="Q42" s="72">
        <f>COUNTIFS(缺陷明细!$A$2:$A$50000,$B$4,缺陷明细!$G$2:$G$50000,$C42,缺陷明细!$Q$2:$Q$50000,"已关闭",缺陷明细!$J$2:$J$50000,"系统测试")</f>
        <v>0</v>
      </c>
      <c r="R42" s="296">
        <f>COUNTIFS(缺陷明细!$A$2:$A$50000,$B$4,缺陷明细!$G$2:$G$50000,$C42,缺陷明细!$AB$2:$AB$50000,"丢弃",缺陷明细!$J$2:$J$50000,"系统测试")+COUNTIFS(缺陷明细!$A$2:$A$50000,$B$4,缺陷明细!$G$2:$G$50000,$C42,缺陷明细!$AB$2:$AB$50000,"设计如此",缺陷明细!$J$2:$J$50000,"系统测试")+COUNTIFS(缺陷明细!$A$2:$A$50000,$B$4,缺陷明细!$G$2:$G$50000,$C42,缺陷明细!$AB$2:$AB$50000,"重复Bug",缺陷明细!$J$2:$J$50000,"系统测试")</f>
        <v>0</v>
      </c>
      <c r="S42" s="72">
        <f>COUNTIFS(缺陷明细!$A$2:$A$50000,$B$4,缺陷明细!$G$2:$G$50000,$C42,缺陷明细!$J$2:$J$50000,"系统测试",缺陷明细!$K$2:$K$50000,"致命",缺陷明细!$AB$2:$AB$50000,"&lt;&gt;丢弃",缺陷明细!$AB$2:$AB$50000,"&lt;&gt;设计如此",缺陷明细!$AB$2:$AB$50000,"&lt;&gt;重复Bug")+COUNTIFS(缺陷明细!$A$2:$A$50000,$B$4,缺陷明细!$G$2:$G$50000,$C42,缺陷明细!$J$2:$J$50000,"系统测试",缺陷明细!$K$2:$K$50000,"严重",缺陷明细!$AB$2:$AB$50000,"&lt;&gt;丢弃",缺陷明细!$AB$2:$AB$50000,"&lt;&gt;设计如此",缺陷明细!$AB$2:$AB$50000,"&lt;&gt;重复Bug")</f>
        <v>0</v>
      </c>
      <c r="T42" s="73">
        <f>COUNTIFS(缺陷明细!$A$2:$A$50000,$B$4,缺陷明细!$G$2:$G$50000,$C42,缺陷明细!$Q$2:$Q$50000,"已关闭",缺陷明细!$J$2:$J$50000,"系统测试",缺陷明细!$K$2:$K$50000,"致命")+COUNTIFS(缺陷明细!$A$2:$A$50000,$B$4,缺陷明细!$G$2:$G$50000,$C42,缺陷明细!$Q$2:$Q$50000,"已关闭",缺陷明细!$J$2:$J$50000,"系统测试",缺陷明细!$K$2:$K$50000,"严重")</f>
        <v>0</v>
      </c>
      <c r="U42" s="74">
        <f>COUNTIFS(缺陷明细!$A$2:$A$50000,$B$4,缺陷明细!$G$2:$G$50000,$C42,缺陷明细!$J$2:$J$50000,"验收测试",缺陷明细!$AB$2:$AB$50000,"&lt;&gt;丢弃",缺陷明细!$AB$2:$AB$50000,"&lt;&gt;设计如此",缺陷明细!$AB$2:$AB$50000,"&lt;&gt;重复Bug")</f>
        <v>0</v>
      </c>
      <c r="V42" s="75">
        <f>COUNTIFS(缺陷明细!$A$2:$A$50000,$B$4,缺陷明细!$G$2:$G$50000,$C42,缺陷明细!$Q$2:$Q$50000,"已关闭",缺陷明细!$J$2:$J$50000,"验收测试")</f>
        <v>0</v>
      </c>
      <c r="W42" s="75">
        <f>COUNTIFS(缺陷明细!$A$2:$A$50000,$B$4,缺陷明细!$G$2:$G$50000,$C42,缺陷明细!$J$2:$J$50000,"验收测试",缺陷明细!$K$2:$K$50000,"致命",缺陷明细!$AB$2:$AB$50000,"&lt;&gt;丢弃",缺陷明细!$AB$2:$AB$50000,"&lt;&gt;设计如此",缺陷明细!$AB$2:$AB$50000,"&lt;&gt;重复Bug")+COUNTIFS(缺陷明细!$A$2:$A$50000,$B$4,缺陷明细!$G$2:$G$50000,$C42,缺陷明细!$J$2:$J$50000,"验收测试",缺陷明细!$K$2:$K$50000,"严重",缺陷明细!$AB$2:$AB$50000,"&lt;&gt;丢弃",缺陷明细!$AB$2:$AB$50000,"&lt;&gt;设计如此",缺陷明细!$AB$2:$AB$50000,"&lt;&gt;重复Bug")</f>
        <v>0</v>
      </c>
      <c r="X42" s="76">
        <f>COUNTIFS(缺陷明细!$A$2:$A$50000,$B$4,缺陷明细!$G$2:$G$50000,$C42,缺陷明细!$Q$2:$Q$50000,"已关闭",缺陷明细!$J$2:$J$50000,"验收测试",缺陷明细!$K$2:$K$50000,"致命")+COUNTIFS(缺陷明细!$A$2:$A$50000,$B$4,缺陷明细!$G$2:$G$50000,$C42,缺陷明细!$Q$2:$Q$50000,"已关闭",缺陷明细!$J$2:$J$50000,"验收测试",缺陷明细!$K$2:$K$50000,"严重")</f>
        <v>0</v>
      </c>
      <c r="Y42" s="70">
        <f>COUNTIFS(缺陷明细!$A$2:$A$50000,$B$4,缺陷明细!$G$2:$G$50000,$C42,缺陷明细!$J$2:$J$50000,"运维测试",缺陷明细!$AB$2:$AB$50000,"&lt;&gt;丢弃",缺陷明细!$AB$2:$AB$50000,"&lt;&gt;设计如此",缺陷明细!$AB$2:$AB$50000,"&lt;&gt;重复Bug")</f>
        <v>0</v>
      </c>
      <c r="Z42" s="71">
        <f>COUNTIFS(缺陷明细!$A$2:$A$50000,$B$4,缺陷明细!$G$2:$G$50000,$C42,缺陷明细!$Q$2:$Q$50000,"已关闭",缺陷明细!$J$2:$J$50000,"运维测试")</f>
        <v>0</v>
      </c>
      <c r="AA42" s="72">
        <f>COUNTIFS(缺陷明细!$A$2:$A$50000,$B$4,缺陷明细!$G$2:$G$50000,$C42,缺陷明细!$J$2:$J$50000,"运维测试",缺陷明细!$K$2:$K$50000,"致命",缺陷明细!$AB$2:$AB$50000,"&lt;&gt;丢弃",缺陷明细!$AB$2:$AB$50000,"&lt;&gt;设计如此",缺陷明细!$AB$2:$AB$50000,"&lt;&gt;重复Bug")+COUNTIFS(缺陷明细!$A$2:$A$50000,$B$4,缺陷明细!$G$2:$G$50000,$C42,缺陷明细!$J$2:$J$50000,"运维测试",缺陷明细!$K$2:$K$50000,"严重",缺陷明细!$AB$2:$AB$50000,"&lt;&gt;丢弃",缺陷明细!$AB$2:$AB$50000,"&lt;&gt;设计如此",缺陷明细!$AB$2:$AB$50000,"&lt;&gt;重复Bug")</f>
        <v>0</v>
      </c>
      <c r="AB42" s="73">
        <f>COUNTIFS(缺陷明细!$A$2:$A$50000,$B$4,缺陷明细!$G$2:$G$50000,$C42,缺陷明细!$Q$2:$Q$50000,"已关闭",缺陷明细!$J$2:$J$50000,"运维测试",缺陷明细!$K$2:$K$50000,"致命")+COUNTIFS(缺陷明细!$A$2:$A$50000,$B$4,缺陷明细!$G$2:$G$50000,$C42,缺陷明细!$Q$2:$Q$50000,"已关闭",缺陷明细!$J$2:$J$50000,"运维测试",缺陷明细!$K$2:$K$50000,"严重")</f>
        <v>0</v>
      </c>
      <c r="AC42" s="68">
        <f t="shared" si="0"/>
        <v>0</v>
      </c>
      <c r="AD42" s="60">
        <f t="shared" si="0"/>
        <v>0</v>
      </c>
      <c r="AE42" s="60">
        <f t="shared" si="1"/>
        <v>0</v>
      </c>
      <c r="AF42" s="60">
        <f t="shared" si="1"/>
        <v>0</v>
      </c>
      <c r="AG42" s="60">
        <f t="shared" si="2"/>
        <v>0</v>
      </c>
      <c r="AH42" s="60">
        <f t="shared" si="2"/>
        <v>0</v>
      </c>
      <c r="AI42" s="60">
        <f t="shared" si="3"/>
        <v>0</v>
      </c>
      <c r="AJ42" s="61">
        <f t="shared" si="3"/>
        <v>0</v>
      </c>
      <c r="AK42" s="144"/>
    </row>
    <row r="43" spans="1:37">
      <c r="A43">
        <v>39</v>
      </c>
      <c r="B43" s="57"/>
      <c r="C43" s="58"/>
      <c r="D43" s="84"/>
      <c r="E43" s="82"/>
      <c r="F43" s="158"/>
      <c r="G43" s="159"/>
      <c r="H43" s="281">
        <f>COUNTIFS(缺陷明细!$A$2:$A$50000,$B$4,缺陷明细!$G$2:$G$50000,$C43,缺陷明细!$J$2:$J$50000,"评审",缺陷明细!$AB$2:$AB$50000,"&lt;&gt;丢弃",缺陷明细!$AB$2:$AB$50000,"&lt;&gt;设计如此",缺陷明细!$AB$2:$AB$50000,"&lt;&gt;重复Bug")</f>
        <v>0</v>
      </c>
      <c r="I43" s="154">
        <f>COUNTIFS(缺陷明细!$A$2:$A$50000,$B$4,缺陷明细!$G$2:$G$50000,$C43,缺陷明细!$Q$2:$Q$50000,"已关闭",缺陷明细!$J$2:$J$50000,"评审")</f>
        <v>0</v>
      </c>
      <c r="J43" s="154">
        <f>COUNTIFS(缺陷明细!$A$2:$A$50000,$B$4,缺陷明细!$G$2:$G$50000,$C43,缺陷明细!$J$2:$J$50000,"单元测试",缺陷明细!$AB$2:$AB$50000,"&lt;&gt;丢弃",缺陷明细!$AB$2:$AB$50000,"&lt;&gt;设计如此",缺陷明细!$AB$2:$AB$50000,"&lt;&gt;重复Bug")</f>
        <v>0</v>
      </c>
      <c r="K43" s="155">
        <f>COUNTIFS(缺陷明细!$A$2:$A$50000,$B$4,缺陷明细!$G$2:$G$50000,$C43,缺陷明细!$Q$2:$Q$50000,"已关闭",缺陷明细!$J$2:$J$50000,"单元测试")</f>
        <v>0</v>
      </c>
      <c r="L43" s="156"/>
      <c r="M43" s="157"/>
      <c r="N43" s="72">
        <f>COUNTIFS(缺陷明细!$A$2:$A$50000,$B$4,缺陷明细!$G$2:$G$50000,$C43,缺陷明细!$J$2:$J$50000,"系统测试案例评审",缺陷明细!$AB$2:$AB$50000,"&lt;&gt;丢弃",缺陷明细!$AB$2:$AB$50000,"&lt;&gt;设计如此",缺陷明细!$AB$2:$AB$50000,"&lt;&gt;重复Bug")</f>
        <v>0</v>
      </c>
      <c r="O43" s="72">
        <f>COUNTIFS(缺陷明细!$A$2:$A$50000,$B$4,缺陷明细!$G$2:$G$50000,$C43,缺陷明细!$Q$2:$Q$50000,"已关闭",缺陷明细!$J$2:$J$50000,"系统测试案例评审")</f>
        <v>0</v>
      </c>
      <c r="P43" s="72">
        <f>COUNTIFS(缺陷明细!$A$2:$A$50000,$B$4,缺陷明细!$G$2:$G$50000,$C43,缺陷明细!$J$2:$J$50000,"系统测试",缺陷明细!$AB$2:$AB$50000,"&lt;&gt;丢弃",缺陷明细!$AB$2:$AB$50000,"&lt;&gt;设计如此",缺陷明细!$AB$2:$AB$50000,"&lt;&gt;重复Bug")</f>
        <v>0</v>
      </c>
      <c r="Q43" s="72">
        <f>COUNTIFS(缺陷明细!$A$2:$A$50000,$B$4,缺陷明细!$G$2:$G$50000,$C43,缺陷明细!$Q$2:$Q$50000,"已关闭",缺陷明细!$J$2:$J$50000,"系统测试")</f>
        <v>0</v>
      </c>
      <c r="R43" s="296">
        <f>COUNTIFS(缺陷明细!$A$2:$A$50000,$B$4,缺陷明细!$G$2:$G$50000,$C43,缺陷明细!$AB$2:$AB$50000,"丢弃",缺陷明细!$J$2:$J$50000,"系统测试")+COUNTIFS(缺陷明细!$A$2:$A$50000,$B$4,缺陷明细!$G$2:$G$50000,$C43,缺陷明细!$AB$2:$AB$50000,"设计如此",缺陷明细!$J$2:$J$50000,"系统测试")+COUNTIFS(缺陷明细!$A$2:$A$50000,$B$4,缺陷明细!$G$2:$G$50000,$C43,缺陷明细!$AB$2:$AB$50000,"重复Bug",缺陷明细!$J$2:$J$50000,"系统测试")</f>
        <v>0</v>
      </c>
      <c r="S43" s="72">
        <f>COUNTIFS(缺陷明细!$A$2:$A$50000,$B$4,缺陷明细!$G$2:$G$50000,$C43,缺陷明细!$J$2:$J$50000,"系统测试",缺陷明细!$K$2:$K$50000,"致命",缺陷明细!$AB$2:$AB$50000,"&lt;&gt;丢弃",缺陷明细!$AB$2:$AB$50000,"&lt;&gt;设计如此",缺陷明细!$AB$2:$AB$50000,"&lt;&gt;重复Bug")+COUNTIFS(缺陷明细!$A$2:$A$50000,$B$4,缺陷明细!$G$2:$G$50000,$C43,缺陷明细!$J$2:$J$50000,"系统测试",缺陷明细!$K$2:$K$50000,"严重",缺陷明细!$AB$2:$AB$50000,"&lt;&gt;丢弃",缺陷明细!$AB$2:$AB$50000,"&lt;&gt;设计如此",缺陷明细!$AB$2:$AB$50000,"&lt;&gt;重复Bug")</f>
        <v>0</v>
      </c>
      <c r="T43" s="73">
        <f>COUNTIFS(缺陷明细!$A$2:$A$50000,$B$4,缺陷明细!$G$2:$G$50000,$C43,缺陷明细!$Q$2:$Q$50000,"已关闭",缺陷明细!$J$2:$J$50000,"系统测试",缺陷明细!$K$2:$K$50000,"致命")+COUNTIFS(缺陷明细!$A$2:$A$50000,$B$4,缺陷明细!$G$2:$G$50000,$C43,缺陷明细!$Q$2:$Q$50000,"已关闭",缺陷明细!$J$2:$J$50000,"系统测试",缺陷明细!$K$2:$K$50000,"严重")</f>
        <v>0</v>
      </c>
      <c r="U43" s="74">
        <f>COUNTIFS(缺陷明细!$A$2:$A$50000,$B$4,缺陷明细!$G$2:$G$50000,$C43,缺陷明细!$J$2:$J$50000,"验收测试",缺陷明细!$AB$2:$AB$50000,"&lt;&gt;丢弃",缺陷明细!$AB$2:$AB$50000,"&lt;&gt;设计如此",缺陷明细!$AB$2:$AB$50000,"&lt;&gt;重复Bug")</f>
        <v>0</v>
      </c>
      <c r="V43" s="75">
        <f>COUNTIFS(缺陷明细!$A$2:$A$50000,$B$4,缺陷明细!$G$2:$G$50000,$C43,缺陷明细!$Q$2:$Q$50000,"已关闭",缺陷明细!$J$2:$J$50000,"验收测试")</f>
        <v>0</v>
      </c>
      <c r="W43" s="75">
        <f>COUNTIFS(缺陷明细!$A$2:$A$50000,$B$4,缺陷明细!$G$2:$G$50000,$C43,缺陷明细!$J$2:$J$50000,"验收测试",缺陷明细!$K$2:$K$50000,"致命",缺陷明细!$AB$2:$AB$50000,"&lt;&gt;丢弃",缺陷明细!$AB$2:$AB$50000,"&lt;&gt;设计如此",缺陷明细!$AB$2:$AB$50000,"&lt;&gt;重复Bug")+COUNTIFS(缺陷明细!$A$2:$A$50000,$B$4,缺陷明细!$G$2:$G$50000,$C43,缺陷明细!$J$2:$J$50000,"验收测试",缺陷明细!$K$2:$K$50000,"严重",缺陷明细!$AB$2:$AB$50000,"&lt;&gt;丢弃",缺陷明细!$AB$2:$AB$50000,"&lt;&gt;设计如此",缺陷明细!$AB$2:$AB$50000,"&lt;&gt;重复Bug")</f>
        <v>0</v>
      </c>
      <c r="X43" s="76">
        <f>COUNTIFS(缺陷明细!$A$2:$A$50000,$B$4,缺陷明细!$G$2:$G$50000,$C43,缺陷明细!$Q$2:$Q$50000,"已关闭",缺陷明细!$J$2:$J$50000,"验收测试",缺陷明细!$K$2:$K$50000,"致命")+COUNTIFS(缺陷明细!$A$2:$A$50000,$B$4,缺陷明细!$G$2:$G$50000,$C43,缺陷明细!$Q$2:$Q$50000,"已关闭",缺陷明细!$J$2:$J$50000,"验收测试",缺陷明细!$K$2:$K$50000,"严重")</f>
        <v>0</v>
      </c>
      <c r="Y43" s="70">
        <f>COUNTIFS(缺陷明细!$A$2:$A$50000,$B$4,缺陷明细!$G$2:$G$50000,$C43,缺陷明细!$J$2:$J$50000,"运维测试",缺陷明细!$AB$2:$AB$50000,"&lt;&gt;丢弃",缺陷明细!$AB$2:$AB$50000,"&lt;&gt;设计如此",缺陷明细!$AB$2:$AB$50000,"&lt;&gt;重复Bug")</f>
        <v>0</v>
      </c>
      <c r="Z43" s="71">
        <f>COUNTIFS(缺陷明细!$A$2:$A$50000,$B$4,缺陷明细!$G$2:$G$50000,$C43,缺陷明细!$Q$2:$Q$50000,"已关闭",缺陷明细!$J$2:$J$50000,"运维测试")</f>
        <v>0</v>
      </c>
      <c r="AA43" s="72">
        <f>COUNTIFS(缺陷明细!$A$2:$A$50000,$B$4,缺陷明细!$G$2:$G$50000,$C43,缺陷明细!$J$2:$J$50000,"运维测试",缺陷明细!$K$2:$K$50000,"致命",缺陷明细!$AB$2:$AB$50000,"&lt;&gt;丢弃",缺陷明细!$AB$2:$AB$50000,"&lt;&gt;设计如此",缺陷明细!$AB$2:$AB$50000,"&lt;&gt;重复Bug")+COUNTIFS(缺陷明细!$A$2:$A$50000,$B$4,缺陷明细!$G$2:$G$50000,$C43,缺陷明细!$J$2:$J$50000,"运维测试",缺陷明细!$K$2:$K$50000,"严重",缺陷明细!$AB$2:$AB$50000,"&lt;&gt;丢弃",缺陷明细!$AB$2:$AB$50000,"&lt;&gt;设计如此",缺陷明细!$AB$2:$AB$50000,"&lt;&gt;重复Bug")</f>
        <v>0</v>
      </c>
      <c r="AB43" s="73">
        <f>COUNTIFS(缺陷明细!$A$2:$A$50000,$B$4,缺陷明细!$G$2:$G$50000,$C43,缺陷明细!$Q$2:$Q$50000,"已关闭",缺陷明细!$J$2:$J$50000,"运维测试",缺陷明细!$K$2:$K$50000,"致命")+COUNTIFS(缺陷明细!$A$2:$A$50000,$B$4,缺陷明细!$G$2:$G$50000,$C43,缺陷明细!$Q$2:$Q$50000,"已关闭",缺陷明细!$J$2:$J$50000,"运维测试",缺陷明细!$K$2:$K$50000,"严重")</f>
        <v>0</v>
      </c>
      <c r="AC43" s="68">
        <f t="shared" si="0"/>
        <v>0</v>
      </c>
      <c r="AD43" s="60">
        <f t="shared" si="0"/>
        <v>0</v>
      </c>
      <c r="AE43" s="60">
        <f t="shared" si="1"/>
        <v>0</v>
      </c>
      <c r="AF43" s="60">
        <f t="shared" si="1"/>
        <v>0</v>
      </c>
      <c r="AG43" s="60">
        <f t="shared" si="2"/>
        <v>0</v>
      </c>
      <c r="AH43" s="60">
        <f t="shared" si="2"/>
        <v>0</v>
      </c>
      <c r="AI43" s="60">
        <f t="shared" si="3"/>
        <v>0</v>
      </c>
      <c r="AJ43" s="61">
        <f t="shared" si="3"/>
        <v>0</v>
      </c>
      <c r="AK43" s="144"/>
    </row>
    <row r="44" spans="1:37">
      <c r="A44">
        <v>40</v>
      </c>
      <c r="B44" s="57"/>
      <c r="C44" s="58"/>
      <c r="D44" s="84"/>
      <c r="E44" s="82"/>
      <c r="F44" s="158"/>
      <c r="G44" s="159"/>
      <c r="H44" s="281">
        <f>COUNTIFS(缺陷明细!$A$2:$A$50000,$B$4,缺陷明细!$G$2:$G$50000,$C44,缺陷明细!$J$2:$J$50000,"评审",缺陷明细!$AB$2:$AB$50000,"&lt;&gt;丢弃",缺陷明细!$AB$2:$AB$50000,"&lt;&gt;设计如此",缺陷明细!$AB$2:$AB$50000,"&lt;&gt;重复Bug")</f>
        <v>0</v>
      </c>
      <c r="I44" s="154">
        <f>COUNTIFS(缺陷明细!$A$2:$A$50000,$B$4,缺陷明细!$G$2:$G$50000,$C44,缺陷明细!$Q$2:$Q$50000,"已关闭",缺陷明细!$J$2:$J$50000,"评审")</f>
        <v>0</v>
      </c>
      <c r="J44" s="154">
        <f>COUNTIFS(缺陷明细!$A$2:$A$50000,$B$4,缺陷明细!$G$2:$G$50000,$C44,缺陷明细!$J$2:$J$50000,"单元测试",缺陷明细!$AB$2:$AB$50000,"&lt;&gt;丢弃",缺陷明细!$AB$2:$AB$50000,"&lt;&gt;设计如此",缺陷明细!$AB$2:$AB$50000,"&lt;&gt;重复Bug")</f>
        <v>0</v>
      </c>
      <c r="K44" s="155">
        <f>COUNTIFS(缺陷明细!$A$2:$A$50000,$B$4,缺陷明细!$G$2:$G$50000,$C44,缺陷明细!$Q$2:$Q$50000,"已关闭",缺陷明细!$J$2:$J$50000,"单元测试")</f>
        <v>0</v>
      </c>
      <c r="L44" s="156"/>
      <c r="M44" s="157"/>
      <c r="N44" s="72">
        <f>COUNTIFS(缺陷明细!$A$2:$A$50000,$B$4,缺陷明细!$G$2:$G$50000,$C44,缺陷明细!$J$2:$J$50000,"系统测试案例评审",缺陷明细!$AB$2:$AB$50000,"&lt;&gt;丢弃",缺陷明细!$AB$2:$AB$50000,"&lt;&gt;设计如此",缺陷明细!$AB$2:$AB$50000,"&lt;&gt;重复Bug")</f>
        <v>0</v>
      </c>
      <c r="O44" s="72">
        <f>COUNTIFS(缺陷明细!$A$2:$A$50000,$B$4,缺陷明细!$G$2:$G$50000,$C44,缺陷明细!$Q$2:$Q$50000,"已关闭",缺陷明细!$J$2:$J$50000,"系统测试案例评审")</f>
        <v>0</v>
      </c>
      <c r="P44" s="72">
        <f>COUNTIFS(缺陷明细!$A$2:$A$50000,$B$4,缺陷明细!$G$2:$G$50000,$C44,缺陷明细!$J$2:$J$50000,"系统测试",缺陷明细!$AB$2:$AB$50000,"&lt;&gt;丢弃",缺陷明细!$AB$2:$AB$50000,"&lt;&gt;设计如此",缺陷明细!$AB$2:$AB$50000,"&lt;&gt;重复Bug")</f>
        <v>0</v>
      </c>
      <c r="Q44" s="72">
        <f>COUNTIFS(缺陷明细!$A$2:$A$50000,$B$4,缺陷明细!$G$2:$G$50000,$C44,缺陷明细!$Q$2:$Q$50000,"已关闭",缺陷明细!$J$2:$J$50000,"系统测试")</f>
        <v>0</v>
      </c>
      <c r="R44" s="296">
        <f>COUNTIFS(缺陷明细!$A$2:$A$50000,$B$4,缺陷明细!$G$2:$G$50000,$C44,缺陷明细!$AB$2:$AB$50000,"丢弃",缺陷明细!$J$2:$J$50000,"系统测试")+COUNTIFS(缺陷明细!$A$2:$A$50000,$B$4,缺陷明细!$G$2:$G$50000,$C44,缺陷明细!$AB$2:$AB$50000,"设计如此",缺陷明细!$J$2:$J$50000,"系统测试")+COUNTIFS(缺陷明细!$A$2:$A$50000,$B$4,缺陷明细!$G$2:$G$50000,$C44,缺陷明细!$AB$2:$AB$50000,"重复Bug",缺陷明细!$J$2:$J$50000,"系统测试")</f>
        <v>0</v>
      </c>
      <c r="S44" s="72">
        <f>COUNTIFS(缺陷明细!$A$2:$A$50000,$B$4,缺陷明细!$G$2:$G$50000,$C44,缺陷明细!$J$2:$J$50000,"系统测试",缺陷明细!$K$2:$K$50000,"致命",缺陷明细!$AB$2:$AB$50000,"&lt;&gt;丢弃",缺陷明细!$AB$2:$AB$50000,"&lt;&gt;设计如此",缺陷明细!$AB$2:$AB$50000,"&lt;&gt;重复Bug")+COUNTIFS(缺陷明细!$A$2:$A$50000,$B$4,缺陷明细!$G$2:$G$50000,$C44,缺陷明细!$J$2:$J$50000,"系统测试",缺陷明细!$K$2:$K$50000,"严重",缺陷明细!$AB$2:$AB$50000,"&lt;&gt;丢弃",缺陷明细!$AB$2:$AB$50000,"&lt;&gt;设计如此",缺陷明细!$AB$2:$AB$50000,"&lt;&gt;重复Bug")</f>
        <v>0</v>
      </c>
      <c r="T44" s="73">
        <f>COUNTIFS(缺陷明细!$A$2:$A$50000,$B$4,缺陷明细!$G$2:$G$50000,$C44,缺陷明细!$Q$2:$Q$50000,"已关闭",缺陷明细!$J$2:$J$50000,"系统测试",缺陷明细!$K$2:$K$50000,"致命")+COUNTIFS(缺陷明细!$A$2:$A$50000,$B$4,缺陷明细!$G$2:$G$50000,$C44,缺陷明细!$Q$2:$Q$50000,"已关闭",缺陷明细!$J$2:$J$50000,"系统测试",缺陷明细!$K$2:$K$50000,"严重")</f>
        <v>0</v>
      </c>
      <c r="U44" s="74">
        <f>COUNTIFS(缺陷明细!$A$2:$A$50000,$B$4,缺陷明细!$G$2:$G$50000,$C44,缺陷明细!$J$2:$J$50000,"验收测试",缺陷明细!$AB$2:$AB$50000,"&lt;&gt;丢弃",缺陷明细!$AB$2:$AB$50000,"&lt;&gt;设计如此",缺陷明细!$AB$2:$AB$50000,"&lt;&gt;重复Bug")</f>
        <v>0</v>
      </c>
      <c r="V44" s="75">
        <f>COUNTIFS(缺陷明细!$A$2:$A$50000,$B$4,缺陷明细!$G$2:$G$50000,$C44,缺陷明细!$Q$2:$Q$50000,"已关闭",缺陷明细!$J$2:$J$50000,"验收测试")</f>
        <v>0</v>
      </c>
      <c r="W44" s="75">
        <f>COUNTIFS(缺陷明细!$A$2:$A$50000,$B$4,缺陷明细!$G$2:$G$50000,$C44,缺陷明细!$J$2:$J$50000,"验收测试",缺陷明细!$K$2:$K$50000,"致命",缺陷明细!$AB$2:$AB$50000,"&lt;&gt;丢弃",缺陷明细!$AB$2:$AB$50000,"&lt;&gt;设计如此",缺陷明细!$AB$2:$AB$50000,"&lt;&gt;重复Bug")+COUNTIFS(缺陷明细!$A$2:$A$50000,$B$4,缺陷明细!$G$2:$G$50000,$C44,缺陷明细!$J$2:$J$50000,"验收测试",缺陷明细!$K$2:$K$50000,"严重",缺陷明细!$AB$2:$AB$50000,"&lt;&gt;丢弃",缺陷明细!$AB$2:$AB$50000,"&lt;&gt;设计如此",缺陷明细!$AB$2:$AB$50000,"&lt;&gt;重复Bug")</f>
        <v>0</v>
      </c>
      <c r="X44" s="76">
        <f>COUNTIFS(缺陷明细!$A$2:$A$50000,$B$4,缺陷明细!$G$2:$G$50000,$C44,缺陷明细!$Q$2:$Q$50000,"已关闭",缺陷明细!$J$2:$J$50000,"验收测试",缺陷明细!$K$2:$K$50000,"致命")+COUNTIFS(缺陷明细!$A$2:$A$50000,$B$4,缺陷明细!$G$2:$G$50000,$C44,缺陷明细!$Q$2:$Q$50000,"已关闭",缺陷明细!$J$2:$J$50000,"验收测试",缺陷明细!$K$2:$K$50000,"严重")</f>
        <v>0</v>
      </c>
      <c r="Y44" s="70">
        <f>COUNTIFS(缺陷明细!$A$2:$A$50000,$B$4,缺陷明细!$G$2:$G$50000,$C44,缺陷明细!$J$2:$J$50000,"运维测试",缺陷明细!$AB$2:$AB$50000,"&lt;&gt;丢弃",缺陷明细!$AB$2:$AB$50000,"&lt;&gt;设计如此",缺陷明细!$AB$2:$AB$50000,"&lt;&gt;重复Bug")</f>
        <v>0</v>
      </c>
      <c r="Z44" s="71">
        <f>COUNTIFS(缺陷明细!$A$2:$A$50000,$B$4,缺陷明细!$G$2:$G$50000,$C44,缺陷明细!$Q$2:$Q$50000,"已关闭",缺陷明细!$J$2:$J$50000,"运维测试")</f>
        <v>0</v>
      </c>
      <c r="AA44" s="72">
        <f>COUNTIFS(缺陷明细!$A$2:$A$50000,$B$4,缺陷明细!$G$2:$G$50000,$C44,缺陷明细!$J$2:$J$50000,"运维测试",缺陷明细!$K$2:$K$50000,"致命",缺陷明细!$AB$2:$AB$50000,"&lt;&gt;丢弃",缺陷明细!$AB$2:$AB$50000,"&lt;&gt;设计如此",缺陷明细!$AB$2:$AB$50000,"&lt;&gt;重复Bug")+COUNTIFS(缺陷明细!$A$2:$A$50000,$B$4,缺陷明细!$G$2:$G$50000,$C44,缺陷明细!$J$2:$J$50000,"运维测试",缺陷明细!$K$2:$K$50000,"严重",缺陷明细!$AB$2:$AB$50000,"&lt;&gt;丢弃",缺陷明细!$AB$2:$AB$50000,"&lt;&gt;设计如此",缺陷明细!$AB$2:$AB$50000,"&lt;&gt;重复Bug")</f>
        <v>0</v>
      </c>
      <c r="AB44" s="73">
        <f>COUNTIFS(缺陷明细!$A$2:$A$50000,$B$4,缺陷明细!$G$2:$G$50000,$C44,缺陷明细!$Q$2:$Q$50000,"已关闭",缺陷明细!$J$2:$J$50000,"运维测试",缺陷明细!$K$2:$K$50000,"致命")+COUNTIFS(缺陷明细!$A$2:$A$50000,$B$4,缺陷明细!$G$2:$G$50000,$C44,缺陷明细!$Q$2:$Q$50000,"已关闭",缺陷明细!$J$2:$J$50000,"运维测试",缺陷明细!$K$2:$K$50000,"严重")</f>
        <v>0</v>
      </c>
      <c r="AC44" s="68">
        <f t="shared" si="0"/>
        <v>0</v>
      </c>
      <c r="AD44" s="60">
        <f t="shared" si="0"/>
        <v>0</v>
      </c>
      <c r="AE44" s="60">
        <f t="shared" si="1"/>
        <v>0</v>
      </c>
      <c r="AF44" s="60">
        <f t="shared" si="1"/>
        <v>0</v>
      </c>
      <c r="AG44" s="60">
        <f t="shared" si="2"/>
        <v>0</v>
      </c>
      <c r="AH44" s="60">
        <f t="shared" si="2"/>
        <v>0</v>
      </c>
      <c r="AI44" s="60">
        <f t="shared" si="3"/>
        <v>0</v>
      </c>
      <c r="AJ44" s="61">
        <f t="shared" si="3"/>
        <v>0</v>
      </c>
      <c r="AK44" s="144"/>
    </row>
    <row r="45" spans="1:37">
      <c r="A45">
        <v>41</v>
      </c>
      <c r="B45" s="57"/>
      <c r="C45" s="58"/>
      <c r="D45" s="84"/>
      <c r="E45" s="82"/>
      <c r="F45" s="158"/>
      <c r="G45" s="159"/>
      <c r="H45" s="281">
        <f>COUNTIFS(缺陷明细!$A$2:$A$50000,$B$4,缺陷明细!$G$2:$G$50000,$C45,缺陷明细!$J$2:$J$50000,"评审",缺陷明细!$AB$2:$AB$50000,"&lt;&gt;丢弃",缺陷明细!$AB$2:$AB$50000,"&lt;&gt;设计如此",缺陷明细!$AB$2:$AB$50000,"&lt;&gt;重复Bug")</f>
        <v>0</v>
      </c>
      <c r="I45" s="154">
        <f>COUNTIFS(缺陷明细!$A$2:$A$50000,$B$4,缺陷明细!$G$2:$G$50000,$C45,缺陷明细!$Q$2:$Q$50000,"已关闭",缺陷明细!$J$2:$J$50000,"评审")</f>
        <v>0</v>
      </c>
      <c r="J45" s="154">
        <f>COUNTIFS(缺陷明细!$A$2:$A$50000,$B$4,缺陷明细!$G$2:$G$50000,$C45,缺陷明细!$J$2:$J$50000,"单元测试",缺陷明细!$AB$2:$AB$50000,"&lt;&gt;丢弃",缺陷明细!$AB$2:$AB$50000,"&lt;&gt;设计如此",缺陷明细!$AB$2:$AB$50000,"&lt;&gt;重复Bug")</f>
        <v>0</v>
      </c>
      <c r="K45" s="155">
        <f>COUNTIFS(缺陷明细!$A$2:$A$50000,$B$4,缺陷明细!$G$2:$G$50000,$C45,缺陷明细!$Q$2:$Q$50000,"已关闭",缺陷明细!$J$2:$J$50000,"单元测试")</f>
        <v>0</v>
      </c>
      <c r="L45" s="156"/>
      <c r="M45" s="157"/>
      <c r="N45" s="72">
        <f>COUNTIFS(缺陷明细!$A$2:$A$50000,$B$4,缺陷明细!$G$2:$G$50000,$C45,缺陷明细!$J$2:$J$50000,"系统测试案例评审",缺陷明细!$AB$2:$AB$50000,"&lt;&gt;丢弃",缺陷明细!$AB$2:$AB$50000,"&lt;&gt;设计如此",缺陷明细!$AB$2:$AB$50000,"&lt;&gt;重复Bug")</f>
        <v>0</v>
      </c>
      <c r="O45" s="72">
        <f>COUNTIFS(缺陷明细!$A$2:$A$50000,$B$4,缺陷明细!$G$2:$G$50000,$C45,缺陷明细!$Q$2:$Q$50000,"已关闭",缺陷明细!$J$2:$J$50000,"系统测试案例评审")</f>
        <v>0</v>
      </c>
      <c r="P45" s="72">
        <f>COUNTIFS(缺陷明细!$A$2:$A$50000,$B$4,缺陷明细!$G$2:$G$50000,$C45,缺陷明细!$J$2:$J$50000,"系统测试",缺陷明细!$AB$2:$AB$50000,"&lt;&gt;丢弃",缺陷明细!$AB$2:$AB$50000,"&lt;&gt;设计如此",缺陷明细!$AB$2:$AB$50000,"&lt;&gt;重复Bug")</f>
        <v>0</v>
      </c>
      <c r="Q45" s="72">
        <f>COUNTIFS(缺陷明细!$A$2:$A$50000,$B$4,缺陷明细!$G$2:$G$50000,$C45,缺陷明细!$Q$2:$Q$50000,"已关闭",缺陷明细!$J$2:$J$50000,"系统测试")</f>
        <v>0</v>
      </c>
      <c r="R45" s="296">
        <f>COUNTIFS(缺陷明细!$A$2:$A$50000,$B$4,缺陷明细!$G$2:$G$50000,$C45,缺陷明细!$AB$2:$AB$50000,"丢弃",缺陷明细!$J$2:$J$50000,"系统测试")+COUNTIFS(缺陷明细!$A$2:$A$50000,$B$4,缺陷明细!$G$2:$G$50000,$C45,缺陷明细!$AB$2:$AB$50000,"设计如此",缺陷明细!$J$2:$J$50000,"系统测试")+COUNTIFS(缺陷明细!$A$2:$A$50000,$B$4,缺陷明细!$G$2:$G$50000,$C45,缺陷明细!$AB$2:$AB$50000,"重复Bug",缺陷明细!$J$2:$J$50000,"系统测试")</f>
        <v>0</v>
      </c>
      <c r="S45" s="72">
        <f>COUNTIFS(缺陷明细!$A$2:$A$50000,$B$4,缺陷明细!$G$2:$G$50000,$C45,缺陷明细!$J$2:$J$50000,"系统测试",缺陷明细!$K$2:$K$50000,"致命",缺陷明细!$AB$2:$AB$50000,"&lt;&gt;丢弃",缺陷明细!$AB$2:$AB$50000,"&lt;&gt;设计如此",缺陷明细!$AB$2:$AB$50000,"&lt;&gt;重复Bug")+COUNTIFS(缺陷明细!$A$2:$A$50000,$B$4,缺陷明细!$G$2:$G$50000,$C45,缺陷明细!$J$2:$J$50000,"系统测试",缺陷明细!$K$2:$K$50000,"严重",缺陷明细!$AB$2:$AB$50000,"&lt;&gt;丢弃",缺陷明细!$AB$2:$AB$50000,"&lt;&gt;设计如此",缺陷明细!$AB$2:$AB$50000,"&lt;&gt;重复Bug")</f>
        <v>0</v>
      </c>
      <c r="T45" s="73">
        <f>COUNTIFS(缺陷明细!$A$2:$A$50000,$B$4,缺陷明细!$G$2:$G$50000,$C45,缺陷明细!$Q$2:$Q$50000,"已关闭",缺陷明细!$J$2:$J$50000,"系统测试",缺陷明细!$K$2:$K$50000,"致命")+COUNTIFS(缺陷明细!$A$2:$A$50000,$B$4,缺陷明细!$G$2:$G$50000,$C45,缺陷明细!$Q$2:$Q$50000,"已关闭",缺陷明细!$J$2:$J$50000,"系统测试",缺陷明细!$K$2:$K$50000,"严重")</f>
        <v>0</v>
      </c>
      <c r="U45" s="74">
        <f>COUNTIFS(缺陷明细!$A$2:$A$50000,$B$4,缺陷明细!$G$2:$G$50000,$C45,缺陷明细!$J$2:$J$50000,"验收测试",缺陷明细!$AB$2:$AB$50000,"&lt;&gt;丢弃",缺陷明细!$AB$2:$AB$50000,"&lt;&gt;设计如此",缺陷明细!$AB$2:$AB$50000,"&lt;&gt;重复Bug")</f>
        <v>0</v>
      </c>
      <c r="V45" s="75">
        <f>COUNTIFS(缺陷明细!$A$2:$A$50000,$B$4,缺陷明细!$G$2:$G$50000,$C45,缺陷明细!$Q$2:$Q$50000,"已关闭",缺陷明细!$J$2:$J$50000,"验收测试")</f>
        <v>0</v>
      </c>
      <c r="W45" s="75">
        <f>COUNTIFS(缺陷明细!$A$2:$A$50000,$B$4,缺陷明细!$G$2:$G$50000,$C45,缺陷明细!$J$2:$J$50000,"验收测试",缺陷明细!$K$2:$K$50000,"致命",缺陷明细!$AB$2:$AB$50000,"&lt;&gt;丢弃",缺陷明细!$AB$2:$AB$50000,"&lt;&gt;设计如此",缺陷明细!$AB$2:$AB$50000,"&lt;&gt;重复Bug")+COUNTIFS(缺陷明细!$A$2:$A$50000,$B$4,缺陷明细!$G$2:$G$50000,$C45,缺陷明细!$J$2:$J$50000,"验收测试",缺陷明细!$K$2:$K$50000,"严重",缺陷明细!$AB$2:$AB$50000,"&lt;&gt;丢弃",缺陷明细!$AB$2:$AB$50000,"&lt;&gt;设计如此",缺陷明细!$AB$2:$AB$50000,"&lt;&gt;重复Bug")</f>
        <v>0</v>
      </c>
      <c r="X45" s="76">
        <f>COUNTIFS(缺陷明细!$A$2:$A$50000,$B$4,缺陷明细!$G$2:$G$50000,$C45,缺陷明细!$Q$2:$Q$50000,"已关闭",缺陷明细!$J$2:$J$50000,"验收测试",缺陷明细!$K$2:$K$50000,"致命")+COUNTIFS(缺陷明细!$A$2:$A$50000,$B$4,缺陷明细!$G$2:$G$50000,$C45,缺陷明细!$Q$2:$Q$50000,"已关闭",缺陷明细!$J$2:$J$50000,"验收测试",缺陷明细!$K$2:$K$50000,"严重")</f>
        <v>0</v>
      </c>
      <c r="Y45" s="70">
        <f>COUNTIFS(缺陷明细!$A$2:$A$50000,$B$4,缺陷明细!$G$2:$G$50000,$C45,缺陷明细!$J$2:$J$50000,"运维测试",缺陷明细!$AB$2:$AB$50000,"&lt;&gt;丢弃",缺陷明细!$AB$2:$AB$50000,"&lt;&gt;设计如此",缺陷明细!$AB$2:$AB$50000,"&lt;&gt;重复Bug")</f>
        <v>0</v>
      </c>
      <c r="Z45" s="71">
        <f>COUNTIFS(缺陷明细!$A$2:$A$50000,$B$4,缺陷明细!$G$2:$G$50000,$C45,缺陷明细!$Q$2:$Q$50000,"已关闭",缺陷明细!$J$2:$J$50000,"运维测试")</f>
        <v>0</v>
      </c>
      <c r="AA45" s="72">
        <f>COUNTIFS(缺陷明细!$A$2:$A$50000,$B$4,缺陷明细!$G$2:$G$50000,$C45,缺陷明细!$J$2:$J$50000,"运维测试",缺陷明细!$K$2:$K$50000,"致命",缺陷明细!$AB$2:$AB$50000,"&lt;&gt;丢弃",缺陷明细!$AB$2:$AB$50000,"&lt;&gt;设计如此",缺陷明细!$AB$2:$AB$50000,"&lt;&gt;重复Bug")+COUNTIFS(缺陷明细!$A$2:$A$50000,$B$4,缺陷明细!$G$2:$G$50000,$C45,缺陷明细!$J$2:$J$50000,"运维测试",缺陷明细!$K$2:$K$50000,"严重",缺陷明细!$AB$2:$AB$50000,"&lt;&gt;丢弃",缺陷明细!$AB$2:$AB$50000,"&lt;&gt;设计如此",缺陷明细!$AB$2:$AB$50000,"&lt;&gt;重复Bug")</f>
        <v>0</v>
      </c>
      <c r="AB45" s="73">
        <f>COUNTIFS(缺陷明细!$A$2:$A$50000,$B$4,缺陷明细!$G$2:$G$50000,$C45,缺陷明细!$Q$2:$Q$50000,"已关闭",缺陷明细!$J$2:$J$50000,"运维测试",缺陷明细!$K$2:$K$50000,"致命")+COUNTIFS(缺陷明细!$A$2:$A$50000,$B$4,缺陷明细!$G$2:$G$50000,$C45,缺陷明细!$Q$2:$Q$50000,"已关闭",缺陷明细!$J$2:$J$50000,"运维测试",缺陷明细!$K$2:$K$50000,"严重")</f>
        <v>0</v>
      </c>
      <c r="AC45" s="68">
        <f t="shared" si="0"/>
        <v>0</v>
      </c>
      <c r="AD45" s="60">
        <f t="shared" si="0"/>
        <v>0</v>
      </c>
      <c r="AE45" s="60">
        <f t="shared" si="1"/>
        <v>0</v>
      </c>
      <c r="AF45" s="60">
        <f t="shared" si="1"/>
        <v>0</v>
      </c>
      <c r="AG45" s="60">
        <f t="shared" si="2"/>
        <v>0</v>
      </c>
      <c r="AH45" s="60">
        <f t="shared" si="2"/>
        <v>0</v>
      </c>
      <c r="AI45" s="60">
        <f t="shared" si="3"/>
        <v>0</v>
      </c>
      <c r="AJ45" s="61">
        <f t="shared" si="3"/>
        <v>0</v>
      </c>
      <c r="AK45" s="144"/>
    </row>
    <row r="46" spans="1:37">
      <c r="A46">
        <v>42</v>
      </c>
      <c r="B46" s="57"/>
      <c r="C46" s="58"/>
      <c r="D46" s="84"/>
      <c r="E46" s="82"/>
      <c r="F46" s="158"/>
      <c r="G46" s="159"/>
      <c r="H46" s="281">
        <f>COUNTIFS(缺陷明细!$A$2:$A$50000,$B$4,缺陷明细!$G$2:$G$50000,$C46,缺陷明细!$J$2:$J$50000,"评审",缺陷明细!$AB$2:$AB$50000,"&lt;&gt;丢弃",缺陷明细!$AB$2:$AB$50000,"&lt;&gt;设计如此",缺陷明细!$AB$2:$AB$50000,"&lt;&gt;重复Bug")</f>
        <v>0</v>
      </c>
      <c r="I46" s="154">
        <f>COUNTIFS(缺陷明细!$A$2:$A$50000,$B$4,缺陷明细!$G$2:$G$50000,$C46,缺陷明细!$Q$2:$Q$50000,"已关闭",缺陷明细!$J$2:$J$50000,"评审")</f>
        <v>0</v>
      </c>
      <c r="J46" s="154">
        <f>COUNTIFS(缺陷明细!$A$2:$A$50000,$B$4,缺陷明细!$G$2:$G$50000,$C46,缺陷明细!$J$2:$J$50000,"单元测试",缺陷明细!$AB$2:$AB$50000,"&lt;&gt;丢弃",缺陷明细!$AB$2:$AB$50000,"&lt;&gt;设计如此",缺陷明细!$AB$2:$AB$50000,"&lt;&gt;重复Bug")</f>
        <v>0</v>
      </c>
      <c r="K46" s="155">
        <f>COUNTIFS(缺陷明细!$A$2:$A$50000,$B$4,缺陷明细!$G$2:$G$50000,$C46,缺陷明细!$Q$2:$Q$50000,"已关闭",缺陷明细!$J$2:$J$50000,"单元测试")</f>
        <v>0</v>
      </c>
      <c r="L46" s="156"/>
      <c r="M46" s="157"/>
      <c r="N46" s="72">
        <f>COUNTIFS(缺陷明细!$A$2:$A$50000,$B$4,缺陷明细!$G$2:$G$50000,$C46,缺陷明细!$J$2:$J$50000,"系统测试案例评审",缺陷明细!$AB$2:$AB$50000,"&lt;&gt;丢弃",缺陷明细!$AB$2:$AB$50000,"&lt;&gt;设计如此",缺陷明细!$AB$2:$AB$50000,"&lt;&gt;重复Bug")</f>
        <v>0</v>
      </c>
      <c r="O46" s="72">
        <f>COUNTIFS(缺陷明细!$A$2:$A$50000,$B$4,缺陷明细!$G$2:$G$50000,$C46,缺陷明细!$Q$2:$Q$50000,"已关闭",缺陷明细!$J$2:$J$50000,"系统测试案例评审")</f>
        <v>0</v>
      </c>
      <c r="P46" s="72">
        <f>COUNTIFS(缺陷明细!$A$2:$A$50000,$B$4,缺陷明细!$G$2:$G$50000,$C46,缺陷明细!$J$2:$J$50000,"系统测试",缺陷明细!$AB$2:$AB$50000,"&lt;&gt;丢弃",缺陷明细!$AB$2:$AB$50000,"&lt;&gt;设计如此",缺陷明细!$AB$2:$AB$50000,"&lt;&gt;重复Bug")</f>
        <v>0</v>
      </c>
      <c r="Q46" s="72">
        <f>COUNTIFS(缺陷明细!$A$2:$A$50000,$B$4,缺陷明细!$G$2:$G$50000,$C46,缺陷明细!$Q$2:$Q$50000,"已关闭",缺陷明细!$J$2:$J$50000,"系统测试")</f>
        <v>0</v>
      </c>
      <c r="R46" s="296">
        <f>COUNTIFS(缺陷明细!$A$2:$A$50000,$B$4,缺陷明细!$G$2:$G$50000,$C46,缺陷明细!$AB$2:$AB$50000,"丢弃",缺陷明细!$J$2:$J$50000,"系统测试")+COUNTIFS(缺陷明细!$A$2:$A$50000,$B$4,缺陷明细!$G$2:$G$50000,$C46,缺陷明细!$AB$2:$AB$50000,"设计如此",缺陷明细!$J$2:$J$50000,"系统测试")+COUNTIFS(缺陷明细!$A$2:$A$50000,$B$4,缺陷明细!$G$2:$G$50000,$C46,缺陷明细!$AB$2:$AB$50000,"重复Bug",缺陷明细!$J$2:$J$50000,"系统测试")</f>
        <v>0</v>
      </c>
      <c r="S46" s="72">
        <f>COUNTIFS(缺陷明细!$A$2:$A$50000,$B$4,缺陷明细!$G$2:$G$50000,$C46,缺陷明细!$J$2:$J$50000,"系统测试",缺陷明细!$K$2:$K$50000,"致命",缺陷明细!$AB$2:$AB$50000,"&lt;&gt;丢弃",缺陷明细!$AB$2:$AB$50000,"&lt;&gt;设计如此",缺陷明细!$AB$2:$AB$50000,"&lt;&gt;重复Bug")+COUNTIFS(缺陷明细!$A$2:$A$50000,$B$4,缺陷明细!$G$2:$G$50000,$C46,缺陷明细!$J$2:$J$50000,"系统测试",缺陷明细!$K$2:$K$50000,"严重",缺陷明细!$AB$2:$AB$50000,"&lt;&gt;丢弃",缺陷明细!$AB$2:$AB$50000,"&lt;&gt;设计如此",缺陷明细!$AB$2:$AB$50000,"&lt;&gt;重复Bug")</f>
        <v>0</v>
      </c>
      <c r="T46" s="73">
        <f>COUNTIFS(缺陷明细!$A$2:$A$50000,$B$4,缺陷明细!$G$2:$G$50000,$C46,缺陷明细!$Q$2:$Q$50000,"已关闭",缺陷明细!$J$2:$J$50000,"系统测试",缺陷明细!$K$2:$K$50000,"致命")+COUNTIFS(缺陷明细!$A$2:$A$50000,$B$4,缺陷明细!$G$2:$G$50000,$C46,缺陷明细!$Q$2:$Q$50000,"已关闭",缺陷明细!$J$2:$J$50000,"系统测试",缺陷明细!$K$2:$K$50000,"严重")</f>
        <v>0</v>
      </c>
      <c r="U46" s="74">
        <f>COUNTIFS(缺陷明细!$A$2:$A$50000,$B$4,缺陷明细!$G$2:$G$50000,$C46,缺陷明细!$J$2:$J$50000,"验收测试",缺陷明细!$AB$2:$AB$50000,"&lt;&gt;丢弃",缺陷明细!$AB$2:$AB$50000,"&lt;&gt;设计如此",缺陷明细!$AB$2:$AB$50000,"&lt;&gt;重复Bug")</f>
        <v>0</v>
      </c>
      <c r="V46" s="75">
        <f>COUNTIFS(缺陷明细!$A$2:$A$50000,$B$4,缺陷明细!$G$2:$G$50000,$C46,缺陷明细!$Q$2:$Q$50000,"已关闭",缺陷明细!$J$2:$J$50000,"验收测试")</f>
        <v>0</v>
      </c>
      <c r="W46" s="75">
        <f>COUNTIFS(缺陷明细!$A$2:$A$50000,$B$4,缺陷明细!$G$2:$G$50000,$C46,缺陷明细!$J$2:$J$50000,"验收测试",缺陷明细!$K$2:$K$50000,"致命",缺陷明细!$AB$2:$AB$50000,"&lt;&gt;丢弃",缺陷明细!$AB$2:$AB$50000,"&lt;&gt;设计如此",缺陷明细!$AB$2:$AB$50000,"&lt;&gt;重复Bug")+COUNTIFS(缺陷明细!$A$2:$A$50000,$B$4,缺陷明细!$G$2:$G$50000,$C46,缺陷明细!$J$2:$J$50000,"验收测试",缺陷明细!$K$2:$K$50000,"严重",缺陷明细!$AB$2:$AB$50000,"&lt;&gt;丢弃",缺陷明细!$AB$2:$AB$50000,"&lt;&gt;设计如此",缺陷明细!$AB$2:$AB$50000,"&lt;&gt;重复Bug")</f>
        <v>0</v>
      </c>
      <c r="X46" s="76">
        <f>COUNTIFS(缺陷明细!$A$2:$A$50000,$B$4,缺陷明细!$G$2:$G$50000,$C46,缺陷明细!$Q$2:$Q$50000,"已关闭",缺陷明细!$J$2:$J$50000,"验收测试",缺陷明细!$K$2:$K$50000,"致命")+COUNTIFS(缺陷明细!$A$2:$A$50000,$B$4,缺陷明细!$G$2:$G$50000,$C46,缺陷明细!$Q$2:$Q$50000,"已关闭",缺陷明细!$J$2:$J$50000,"验收测试",缺陷明细!$K$2:$K$50000,"严重")</f>
        <v>0</v>
      </c>
      <c r="Y46" s="70">
        <f>COUNTIFS(缺陷明细!$A$2:$A$50000,$B$4,缺陷明细!$G$2:$G$50000,$C46,缺陷明细!$J$2:$J$50000,"运维测试",缺陷明细!$AB$2:$AB$50000,"&lt;&gt;丢弃",缺陷明细!$AB$2:$AB$50000,"&lt;&gt;设计如此",缺陷明细!$AB$2:$AB$50000,"&lt;&gt;重复Bug")</f>
        <v>0</v>
      </c>
      <c r="Z46" s="71">
        <f>COUNTIFS(缺陷明细!$A$2:$A$50000,$B$4,缺陷明细!$G$2:$G$50000,$C46,缺陷明细!$Q$2:$Q$50000,"已关闭",缺陷明细!$J$2:$J$50000,"运维测试")</f>
        <v>0</v>
      </c>
      <c r="AA46" s="72">
        <f>COUNTIFS(缺陷明细!$A$2:$A$50000,$B$4,缺陷明细!$G$2:$G$50000,$C46,缺陷明细!$J$2:$J$50000,"运维测试",缺陷明细!$K$2:$K$50000,"致命",缺陷明细!$AB$2:$AB$50000,"&lt;&gt;丢弃",缺陷明细!$AB$2:$AB$50000,"&lt;&gt;设计如此",缺陷明细!$AB$2:$AB$50000,"&lt;&gt;重复Bug")+COUNTIFS(缺陷明细!$A$2:$A$50000,$B$4,缺陷明细!$G$2:$G$50000,$C46,缺陷明细!$J$2:$J$50000,"运维测试",缺陷明细!$K$2:$K$50000,"严重",缺陷明细!$AB$2:$AB$50000,"&lt;&gt;丢弃",缺陷明细!$AB$2:$AB$50000,"&lt;&gt;设计如此",缺陷明细!$AB$2:$AB$50000,"&lt;&gt;重复Bug")</f>
        <v>0</v>
      </c>
      <c r="AB46" s="73">
        <f>COUNTIFS(缺陷明细!$A$2:$A$50000,$B$4,缺陷明细!$G$2:$G$50000,$C46,缺陷明细!$Q$2:$Q$50000,"已关闭",缺陷明细!$J$2:$J$50000,"运维测试",缺陷明细!$K$2:$K$50000,"致命")+COUNTIFS(缺陷明细!$A$2:$A$50000,$B$4,缺陷明细!$G$2:$G$50000,$C46,缺陷明细!$Q$2:$Q$50000,"已关闭",缺陷明细!$J$2:$J$50000,"运维测试",缺陷明细!$K$2:$K$50000,"严重")</f>
        <v>0</v>
      </c>
      <c r="AC46" s="68">
        <f t="shared" si="0"/>
        <v>0</v>
      </c>
      <c r="AD46" s="60">
        <f t="shared" si="0"/>
        <v>0</v>
      </c>
      <c r="AE46" s="60">
        <f t="shared" si="1"/>
        <v>0</v>
      </c>
      <c r="AF46" s="60">
        <f t="shared" si="1"/>
        <v>0</v>
      </c>
      <c r="AG46" s="60">
        <f t="shared" si="2"/>
        <v>0</v>
      </c>
      <c r="AH46" s="60">
        <f t="shared" si="2"/>
        <v>0</v>
      </c>
      <c r="AI46" s="60">
        <f t="shared" si="3"/>
        <v>0</v>
      </c>
      <c r="AJ46" s="61">
        <f t="shared" si="3"/>
        <v>0</v>
      </c>
      <c r="AK46" s="144"/>
    </row>
    <row r="47" spans="1:37">
      <c r="A47">
        <v>43</v>
      </c>
      <c r="B47" s="57"/>
      <c r="C47" s="58"/>
      <c r="D47" s="84"/>
      <c r="E47" s="82"/>
      <c r="F47" s="158"/>
      <c r="G47" s="159"/>
      <c r="H47" s="281">
        <f>COUNTIFS(缺陷明细!$A$2:$A$50000,$B$4,缺陷明细!$G$2:$G$50000,$C47,缺陷明细!$J$2:$J$50000,"评审",缺陷明细!$AB$2:$AB$50000,"&lt;&gt;丢弃",缺陷明细!$AB$2:$AB$50000,"&lt;&gt;设计如此",缺陷明细!$AB$2:$AB$50000,"&lt;&gt;重复Bug")</f>
        <v>0</v>
      </c>
      <c r="I47" s="154">
        <f>COUNTIFS(缺陷明细!$A$2:$A$50000,$B$4,缺陷明细!$G$2:$G$50000,$C47,缺陷明细!$Q$2:$Q$50000,"已关闭",缺陷明细!$J$2:$J$50000,"评审")</f>
        <v>0</v>
      </c>
      <c r="J47" s="154">
        <f>COUNTIFS(缺陷明细!$A$2:$A$50000,$B$4,缺陷明细!$G$2:$G$50000,$C47,缺陷明细!$J$2:$J$50000,"单元测试",缺陷明细!$AB$2:$AB$50000,"&lt;&gt;丢弃",缺陷明细!$AB$2:$AB$50000,"&lt;&gt;设计如此",缺陷明细!$AB$2:$AB$50000,"&lt;&gt;重复Bug")</f>
        <v>0</v>
      </c>
      <c r="K47" s="155">
        <f>COUNTIFS(缺陷明细!$A$2:$A$50000,$B$4,缺陷明细!$G$2:$G$50000,$C47,缺陷明细!$Q$2:$Q$50000,"已关闭",缺陷明细!$J$2:$J$50000,"单元测试")</f>
        <v>0</v>
      </c>
      <c r="L47" s="156"/>
      <c r="M47" s="157"/>
      <c r="N47" s="72">
        <f>COUNTIFS(缺陷明细!$A$2:$A$50000,$B$4,缺陷明细!$G$2:$G$50000,$C47,缺陷明细!$J$2:$J$50000,"系统测试案例评审",缺陷明细!$AB$2:$AB$50000,"&lt;&gt;丢弃",缺陷明细!$AB$2:$AB$50000,"&lt;&gt;设计如此",缺陷明细!$AB$2:$AB$50000,"&lt;&gt;重复Bug")</f>
        <v>0</v>
      </c>
      <c r="O47" s="72">
        <f>COUNTIFS(缺陷明细!$A$2:$A$50000,$B$4,缺陷明细!$G$2:$G$50000,$C47,缺陷明细!$Q$2:$Q$50000,"已关闭",缺陷明细!$J$2:$J$50000,"系统测试案例评审")</f>
        <v>0</v>
      </c>
      <c r="P47" s="72">
        <f>COUNTIFS(缺陷明细!$A$2:$A$50000,$B$4,缺陷明细!$G$2:$G$50000,$C47,缺陷明细!$J$2:$J$50000,"系统测试",缺陷明细!$AB$2:$AB$50000,"&lt;&gt;丢弃",缺陷明细!$AB$2:$AB$50000,"&lt;&gt;设计如此",缺陷明细!$AB$2:$AB$50000,"&lt;&gt;重复Bug")</f>
        <v>0</v>
      </c>
      <c r="Q47" s="72">
        <f>COUNTIFS(缺陷明细!$A$2:$A$50000,$B$4,缺陷明细!$G$2:$G$50000,$C47,缺陷明细!$Q$2:$Q$50000,"已关闭",缺陷明细!$J$2:$J$50000,"系统测试")</f>
        <v>0</v>
      </c>
      <c r="R47" s="296">
        <f>COUNTIFS(缺陷明细!$A$2:$A$50000,$B$4,缺陷明细!$G$2:$G$50000,$C47,缺陷明细!$AB$2:$AB$50000,"丢弃",缺陷明细!$J$2:$J$50000,"系统测试")+COUNTIFS(缺陷明细!$A$2:$A$50000,$B$4,缺陷明细!$G$2:$G$50000,$C47,缺陷明细!$AB$2:$AB$50000,"设计如此",缺陷明细!$J$2:$J$50000,"系统测试")+COUNTIFS(缺陷明细!$A$2:$A$50000,$B$4,缺陷明细!$G$2:$G$50000,$C47,缺陷明细!$AB$2:$AB$50000,"重复Bug",缺陷明细!$J$2:$J$50000,"系统测试")</f>
        <v>0</v>
      </c>
      <c r="S47" s="72">
        <f>COUNTIFS(缺陷明细!$A$2:$A$50000,$B$4,缺陷明细!$G$2:$G$50000,$C47,缺陷明细!$J$2:$J$50000,"系统测试",缺陷明细!$K$2:$K$50000,"致命",缺陷明细!$AB$2:$AB$50000,"&lt;&gt;丢弃",缺陷明细!$AB$2:$AB$50000,"&lt;&gt;设计如此",缺陷明细!$AB$2:$AB$50000,"&lt;&gt;重复Bug")+COUNTIFS(缺陷明细!$A$2:$A$50000,$B$4,缺陷明细!$G$2:$G$50000,$C47,缺陷明细!$J$2:$J$50000,"系统测试",缺陷明细!$K$2:$K$50000,"严重",缺陷明细!$AB$2:$AB$50000,"&lt;&gt;丢弃",缺陷明细!$AB$2:$AB$50000,"&lt;&gt;设计如此",缺陷明细!$AB$2:$AB$50000,"&lt;&gt;重复Bug")</f>
        <v>0</v>
      </c>
      <c r="T47" s="73">
        <f>COUNTIFS(缺陷明细!$A$2:$A$50000,$B$4,缺陷明细!$G$2:$G$50000,$C47,缺陷明细!$Q$2:$Q$50000,"已关闭",缺陷明细!$J$2:$J$50000,"系统测试",缺陷明细!$K$2:$K$50000,"致命")+COUNTIFS(缺陷明细!$A$2:$A$50000,$B$4,缺陷明细!$G$2:$G$50000,$C47,缺陷明细!$Q$2:$Q$50000,"已关闭",缺陷明细!$J$2:$J$50000,"系统测试",缺陷明细!$K$2:$K$50000,"严重")</f>
        <v>0</v>
      </c>
      <c r="U47" s="74">
        <f>COUNTIFS(缺陷明细!$A$2:$A$50000,$B$4,缺陷明细!$G$2:$G$50000,$C47,缺陷明细!$J$2:$J$50000,"验收测试",缺陷明细!$AB$2:$AB$50000,"&lt;&gt;丢弃",缺陷明细!$AB$2:$AB$50000,"&lt;&gt;设计如此",缺陷明细!$AB$2:$AB$50000,"&lt;&gt;重复Bug")</f>
        <v>0</v>
      </c>
      <c r="V47" s="75">
        <f>COUNTIFS(缺陷明细!$A$2:$A$50000,$B$4,缺陷明细!$G$2:$G$50000,$C47,缺陷明细!$Q$2:$Q$50000,"已关闭",缺陷明细!$J$2:$J$50000,"验收测试")</f>
        <v>0</v>
      </c>
      <c r="W47" s="75">
        <f>COUNTIFS(缺陷明细!$A$2:$A$50000,$B$4,缺陷明细!$G$2:$G$50000,$C47,缺陷明细!$J$2:$J$50000,"验收测试",缺陷明细!$K$2:$K$50000,"致命",缺陷明细!$AB$2:$AB$50000,"&lt;&gt;丢弃",缺陷明细!$AB$2:$AB$50000,"&lt;&gt;设计如此",缺陷明细!$AB$2:$AB$50000,"&lt;&gt;重复Bug")+COUNTIFS(缺陷明细!$A$2:$A$50000,$B$4,缺陷明细!$G$2:$G$50000,$C47,缺陷明细!$J$2:$J$50000,"验收测试",缺陷明细!$K$2:$K$50000,"严重",缺陷明细!$AB$2:$AB$50000,"&lt;&gt;丢弃",缺陷明细!$AB$2:$AB$50000,"&lt;&gt;设计如此",缺陷明细!$AB$2:$AB$50000,"&lt;&gt;重复Bug")</f>
        <v>0</v>
      </c>
      <c r="X47" s="76">
        <f>COUNTIFS(缺陷明细!$A$2:$A$50000,$B$4,缺陷明细!$G$2:$G$50000,$C47,缺陷明细!$Q$2:$Q$50000,"已关闭",缺陷明细!$J$2:$J$50000,"验收测试",缺陷明细!$K$2:$K$50000,"致命")+COUNTIFS(缺陷明细!$A$2:$A$50000,$B$4,缺陷明细!$G$2:$G$50000,$C47,缺陷明细!$Q$2:$Q$50000,"已关闭",缺陷明细!$J$2:$J$50000,"验收测试",缺陷明细!$K$2:$K$50000,"严重")</f>
        <v>0</v>
      </c>
      <c r="Y47" s="70">
        <f>COUNTIFS(缺陷明细!$A$2:$A$50000,$B$4,缺陷明细!$G$2:$G$50000,$C47,缺陷明细!$J$2:$J$50000,"运维测试",缺陷明细!$AB$2:$AB$50000,"&lt;&gt;丢弃",缺陷明细!$AB$2:$AB$50000,"&lt;&gt;设计如此",缺陷明细!$AB$2:$AB$50000,"&lt;&gt;重复Bug")</f>
        <v>0</v>
      </c>
      <c r="Z47" s="71">
        <f>COUNTIFS(缺陷明细!$A$2:$A$50000,$B$4,缺陷明细!$G$2:$G$50000,$C47,缺陷明细!$Q$2:$Q$50000,"已关闭",缺陷明细!$J$2:$J$50000,"运维测试")</f>
        <v>0</v>
      </c>
      <c r="AA47" s="72">
        <f>COUNTIFS(缺陷明细!$A$2:$A$50000,$B$4,缺陷明细!$G$2:$G$50000,$C47,缺陷明细!$J$2:$J$50000,"运维测试",缺陷明细!$K$2:$K$50000,"致命",缺陷明细!$AB$2:$AB$50000,"&lt;&gt;丢弃",缺陷明细!$AB$2:$AB$50000,"&lt;&gt;设计如此",缺陷明细!$AB$2:$AB$50000,"&lt;&gt;重复Bug")+COUNTIFS(缺陷明细!$A$2:$A$50000,$B$4,缺陷明细!$G$2:$G$50000,$C47,缺陷明细!$J$2:$J$50000,"运维测试",缺陷明细!$K$2:$K$50000,"严重",缺陷明细!$AB$2:$AB$50000,"&lt;&gt;丢弃",缺陷明细!$AB$2:$AB$50000,"&lt;&gt;设计如此",缺陷明细!$AB$2:$AB$50000,"&lt;&gt;重复Bug")</f>
        <v>0</v>
      </c>
      <c r="AB47" s="73">
        <f>COUNTIFS(缺陷明细!$A$2:$A$50000,$B$4,缺陷明细!$G$2:$G$50000,$C47,缺陷明细!$Q$2:$Q$50000,"已关闭",缺陷明细!$J$2:$J$50000,"运维测试",缺陷明细!$K$2:$K$50000,"致命")+COUNTIFS(缺陷明细!$A$2:$A$50000,$B$4,缺陷明细!$G$2:$G$50000,$C47,缺陷明细!$Q$2:$Q$50000,"已关闭",缺陷明细!$J$2:$J$50000,"运维测试",缺陷明细!$K$2:$K$50000,"严重")</f>
        <v>0</v>
      </c>
      <c r="AC47" s="68">
        <f t="shared" si="0"/>
        <v>0</v>
      </c>
      <c r="AD47" s="60">
        <f t="shared" si="0"/>
        <v>0</v>
      </c>
      <c r="AE47" s="60">
        <f t="shared" si="1"/>
        <v>0</v>
      </c>
      <c r="AF47" s="60">
        <f t="shared" si="1"/>
        <v>0</v>
      </c>
      <c r="AG47" s="60">
        <f t="shared" si="2"/>
        <v>0</v>
      </c>
      <c r="AH47" s="60">
        <f t="shared" si="2"/>
        <v>0</v>
      </c>
      <c r="AI47" s="60">
        <f t="shared" si="3"/>
        <v>0</v>
      </c>
      <c r="AJ47" s="61">
        <f t="shared" si="3"/>
        <v>0</v>
      </c>
      <c r="AK47" s="144"/>
    </row>
    <row r="48" spans="1:37">
      <c r="A48">
        <v>44</v>
      </c>
      <c r="B48" s="57"/>
      <c r="C48" s="58"/>
      <c r="D48" s="84"/>
      <c r="E48" s="82"/>
      <c r="F48" s="158"/>
      <c r="G48" s="159"/>
      <c r="H48" s="281">
        <f>COUNTIFS(缺陷明细!$A$2:$A$50000,$B$4,缺陷明细!$G$2:$G$50000,$C48,缺陷明细!$J$2:$J$50000,"评审",缺陷明细!$AB$2:$AB$50000,"&lt;&gt;丢弃",缺陷明细!$AB$2:$AB$50000,"&lt;&gt;设计如此",缺陷明细!$AB$2:$AB$50000,"&lt;&gt;重复Bug")</f>
        <v>0</v>
      </c>
      <c r="I48" s="154">
        <f>COUNTIFS(缺陷明细!$A$2:$A$50000,$B$4,缺陷明细!$G$2:$G$50000,$C48,缺陷明细!$Q$2:$Q$50000,"已关闭",缺陷明细!$J$2:$J$50000,"评审")</f>
        <v>0</v>
      </c>
      <c r="J48" s="154">
        <f>COUNTIFS(缺陷明细!$A$2:$A$50000,$B$4,缺陷明细!$G$2:$G$50000,$C48,缺陷明细!$J$2:$J$50000,"单元测试",缺陷明细!$AB$2:$AB$50000,"&lt;&gt;丢弃",缺陷明细!$AB$2:$AB$50000,"&lt;&gt;设计如此",缺陷明细!$AB$2:$AB$50000,"&lt;&gt;重复Bug")</f>
        <v>0</v>
      </c>
      <c r="K48" s="155">
        <f>COUNTIFS(缺陷明细!$A$2:$A$50000,$B$4,缺陷明细!$G$2:$G$50000,$C48,缺陷明细!$Q$2:$Q$50000,"已关闭",缺陷明细!$J$2:$J$50000,"单元测试")</f>
        <v>0</v>
      </c>
      <c r="L48" s="156"/>
      <c r="M48" s="157"/>
      <c r="N48" s="72">
        <f>COUNTIFS(缺陷明细!$A$2:$A$50000,$B$4,缺陷明细!$G$2:$G$50000,$C48,缺陷明细!$J$2:$J$50000,"系统测试案例评审",缺陷明细!$AB$2:$AB$50000,"&lt;&gt;丢弃",缺陷明细!$AB$2:$AB$50000,"&lt;&gt;设计如此",缺陷明细!$AB$2:$AB$50000,"&lt;&gt;重复Bug")</f>
        <v>0</v>
      </c>
      <c r="O48" s="72">
        <f>COUNTIFS(缺陷明细!$A$2:$A$50000,$B$4,缺陷明细!$G$2:$G$50000,$C48,缺陷明细!$Q$2:$Q$50000,"已关闭",缺陷明细!$J$2:$J$50000,"系统测试案例评审")</f>
        <v>0</v>
      </c>
      <c r="P48" s="72">
        <f>COUNTIFS(缺陷明细!$A$2:$A$50000,$B$4,缺陷明细!$G$2:$G$50000,$C48,缺陷明细!$J$2:$J$50000,"系统测试",缺陷明细!$AB$2:$AB$50000,"&lt;&gt;丢弃",缺陷明细!$AB$2:$AB$50000,"&lt;&gt;设计如此",缺陷明细!$AB$2:$AB$50000,"&lt;&gt;重复Bug")</f>
        <v>0</v>
      </c>
      <c r="Q48" s="72">
        <f>COUNTIFS(缺陷明细!$A$2:$A$50000,$B$4,缺陷明细!$G$2:$G$50000,$C48,缺陷明细!$Q$2:$Q$50000,"已关闭",缺陷明细!$J$2:$J$50000,"系统测试")</f>
        <v>0</v>
      </c>
      <c r="R48" s="296">
        <f>COUNTIFS(缺陷明细!$A$2:$A$50000,$B$4,缺陷明细!$G$2:$G$50000,$C48,缺陷明细!$AB$2:$AB$50000,"丢弃",缺陷明细!$J$2:$J$50000,"系统测试")+COUNTIFS(缺陷明细!$A$2:$A$50000,$B$4,缺陷明细!$G$2:$G$50000,$C48,缺陷明细!$AB$2:$AB$50000,"设计如此",缺陷明细!$J$2:$J$50000,"系统测试")+COUNTIFS(缺陷明细!$A$2:$A$50000,$B$4,缺陷明细!$G$2:$G$50000,$C48,缺陷明细!$AB$2:$AB$50000,"重复Bug",缺陷明细!$J$2:$J$50000,"系统测试")</f>
        <v>0</v>
      </c>
      <c r="S48" s="72">
        <f>COUNTIFS(缺陷明细!$A$2:$A$50000,$B$4,缺陷明细!$G$2:$G$50000,$C48,缺陷明细!$J$2:$J$50000,"系统测试",缺陷明细!$K$2:$K$50000,"致命",缺陷明细!$AB$2:$AB$50000,"&lt;&gt;丢弃",缺陷明细!$AB$2:$AB$50000,"&lt;&gt;设计如此",缺陷明细!$AB$2:$AB$50000,"&lt;&gt;重复Bug")+COUNTIFS(缺陷明细!$A$2:$A$50000,$B$4,缺陷明细!$G$2:$G$50000,$C48,缺陷明细!$J$2:$J$50000,"系统测试",缺陷明细!$K$2:$K$50000,"严重",缺陷明细!$AB$2:$AB$50000,"&lt;&gt;丢弃",缺陷明细!$AB$2:$AB$50000,"&lt;&gt;设计如此",缺陷明细!$AB$2:$AB$50000,"&lt;&gt;重复Bug")</f>
        <v>0</v>
      </c>
      <c r="T48" s="73">
        <f>COUNTIFS(缺陷明细!$A$2:$A$50000,$B$4,缺陷明细!$G$2:$G$50000,$C48,缺陷明细!$Q$2:$Q$50000,"已关闭",缺陷明细!$J$2:$J$50000,"系统测试",缺陷明细!$K$2:$K$50000,"致命")+COUNTIFS(缺陷明细!$A$2:$A$50000,$B$4,缺陷明细!$G$2:$G$50000,$C48,缺陷明细!$Q$2:$Q$50000,"已关闭",缺陷明细!$J$2:$J$50000,"系统测试",缺陷明细!$K$2:$K$50000,"严重")</f>
        <v>0</v>
      </c>
      <c r="U48" s="74">
        <f>COUNTIFS(缺陷明细!$A$2:$A$50000,$B$4,缺陷明细!$G$2:$G$50000,$C48,缺陷明细!$J$2:$J$50000,"验收测试",缺陷明细!$AB$2:$AB$50000,"&lt;&gt;丢弃",缺陷明细!$AB$2:$AB$50000,"&lt;&gt;设计如此",缺陷明细!$AB$2:$AB$50000,"&lt;&gt;重复Bug")</f>
        <v>0</v>
      </c>
      <c r="V48" s="75">
        <f>COUNTIFS(缺陷明细!$A$2:$A$50000,$B$4,缺陷明细!$G$2:$G$50000,$C48,缺陷明细!$Q$2:$Q$50000,"已关闭",缺陷明细!$J$2:$J$50000,"验收测试")</f>
        <v>0</v>
      </c>
      <c r="W48" s="75">
        <f>COUNTIFS(缺陷明细!$A$2:$A$50000,$B$4,缺陷明细!$G$2:$G$50000,$C48,缺陷明细!$J$2:$J$50000,"验收测试",缺陷明细!$K$2:$K$50000,"致命",缺陷明细!$AB$2:$AB$50000,"&lt;&gt;丢弃",缺陷明细!$AB$2:$AB$50000,"&lt;&gt;设计如此",缺陷明细!$AB$2:$AB$50000,"&lt;&gt;重复Bug")+COUNTIFS(缺陷明细!$A$2:$A$50000,$B$4,缺陷明细!$G$2:$G$50000,$C48,缺陷明细!$J$2:$J$50000,"验收测试",缺陷明细!$K$2:$K$50000,"严重",缺陷明细!$AB$2:$AB$50000,"&lt;&gt;丢弃",缺陷明细!$AB$2:$AB$50000,"&lt;&gt;设计如此",缺陷明细!$AB$2:$AB$50000,"&lt;&gt;重复Bug")</f>
        <v>0</v>
      </c>
      <c r="X48" s="76">
        <f>COUNTIFS(缺陷明细!$A$2:$A$50000,$B$4,缺陷明细!$G$2:$G$50000,$C48,缺陷明细!$Q$2:$Q$50000,"已关闭",缺陷明细!$J$2:$J$50000,"验收测试",缺陷明细!$K$2:$K$50000,"致命")+COUNTIFS(缺陷明细!$A$2:$A$50000,$B$4,缺陷明细!$G$2:$G$50000,$C48,缺陷明细!$Q$2:$Q$50000,"已关闭",缺陷明细!$J$2:$J$50000,"验收测试",缺陷明细!$K$2:$K$50000,"严重")</f>
        <v>0</v>
      </c>
      <c r="Y48" s="70">
        <f>COUNTIFS(缺陷明细!$A$2:$A$50000,$B$4,缺陷明细!$G$2:$G$50000,$C48,缺陷明细!$J$2:$J$50000,"运维测试",缺陷明细!$AB$2:$AB$50000,"&lt;&gt;丢弃",缺陷明细!$AB$2:$AB$50000,"&lt;&gt;设计如此",缺陷明细!$AB$2:$AB$50000,"&lt;&gt;重复Bug")</f>
        <v>0</v>
      </c>
      <c r="Z48" s="71">
        <f>COUNTIFS(缺陷明细!$A$2:$A$50000,$B$4,缺陷明细!$G$2:$G$50000,$C48,缺陷明细!$Q$2:$Q$50000,"已关闭",缺陷明细!$J$2:$J$50000,"运维测试")</f>
        <v>0</v>
      </c>
      <c r="AA48" s="72">
        <f>COUNTIFS(缺陷明细!$A$2:$A$50000,$B$4,缺陷明细!$G$2:$G$50000,$C48,缺陷明细!$J$2:$J$50000,"运维测试",缺陷明细!$K$2:$K$50000,"致命",缺陷明细!$AB$2:$AB$50000,"&lt;&gt;丢弃",缺陷明细!$AB$2:$AB$50000,"&lt;&gt;设计如此",缺陷明细!$AB$2:$AB$50000,"&lt;&gt;重复Bug")+COUNTIFS(缺陷明细!$A$2:$A$50000,$B$4,缺陷明细!$G$2:$G$50000,$C48,缺陷明细!$J$2:$J$50000,"运维测试",缺陷明细!$K$2:$K$50000,"严重",缺陷明细!$AB$2:$AB$50000,"&lt;&gt;丢弃",缺陷明细!$AB$2:$AB$50000,"&lt;&gt;设计如此",缺陷明细!$AB$2:$AB$50000,"&lt;&gt;重复Bug")</f>
        <v>0</v>
      </c>
      <c r="AB48" s="73">
        <f>COUNTIFS(缺陷明细!$A$2:$A$50000,$B$4,缺陷明细!$G$2:$G$50000,$C48,缺陷明细!$Q$2:$Q$50000,"已关闭",缺陷明细!$J$2:$J$50000,"运维测试",缺陷明细!$K$2:$K$50000,"致命")+COUNTIFS(缺陷明细!$A$2:$A$50000,$B$4,缺陷明细!$G$2:$G$50000,$C48,缺陷明细!$Q$2:$Q$50000,"已关闭",缺陷明细!$J$2:$J$50000,"运维测试",缺陷明细!$K$2:$K$50000,"严重")</f>
        <v>0</v>
      </c>
      <c r="AC48" s="68">
        <f t="shared" si="0"/>
        <v>0</v>
      </c>
      <c r="AD48" s="60">
        <f t="shared" si="0"/>
        <v>0</v>
      </c>
      <c r="AE48" s="60">
        <f t="shared" si="1"/>
        <v>0</v>
      </c>
      <c r="AF48" s="60">
        <f t="shared" si="1"/>
        <v>0</v>
      </c>
      <c r="AG48" s="60">
        <f t="shared" si="2"/>
        <v>0</v>
      </c>
      <c r="AH48" s="60">
        <f t="shared" si="2"/>
        <v>0</v>
      </c>
      <c r="AI48" s="60">
        <f t="shared" si="3"/>
        <v>0</v>
      </c>
      <c r="AJ48" s="61">
        <f t="shared" si="3"/>
        <v>0</v>
      </c>
      <c r="AK48" s="144"/>
    </row>
    <row r="49" spans="1:37">
      <c r="A49">
        <v>45</v>
      </c>
      <c r="B49" s="57"/>
      <c r="C49" s="58"/>
      <c r="D49" s="84"/>
      <c r="E49" s="82"/>
      <c r="F49" s="158"/>
      <c r="G49" s="159"/>
      <c r="H49" s="281">
        <f>COUNTIFS(缺陷明细!$A$2:$A$50000,$B$4,缺陷明细!$G$2:$G$50000,$C49,缺陷明细!$J$2:$J$50000,"评审",缺陷明细!$AB$2:$AB$50000,"&lt;&gt;丢弃",缺陷明细!$AB$2:$AB$50000,"&lt;&gt;设计如此",缺陷明细!$AB$2:$AB$50000,"&lt;&gt;重复Bug")</f>
        <v>0</v>
      </c>
      <c r="I49" s="154">
        <f>COUNTIFS(缺陷明细!$A$2:$A$50000,$B$4,缺陷明细!$G$2:$G$50000,$C49,缺陷明细!$Q$2:$Q$50000,"已关闭",缺陷明细!$J$2:$J$50000,"评审")</f>
        <v>0</v>
      </c>
      <c r="J49" s="154">
        <f>COUNTIFS(缺陷明细!$A$2:$A$50000,$B$4,缺陷明细!$G$2:$G$50000,$C49,缺陷明细!$J$2:$J$50000,"单元测试",缺陷明细!$AB$2:$AB$50000,"&lt;&gt;丢弃",缺陷明细!$AB$2:$AB$50000,"&lt;&gt;设计如此",缺陷明细!$AB$2:$AB$50000,"&lt;&gt;重复Bug")</f>
        <v>0</v>
      </c>
      <c r="K49" s="155">
        <f>COUNTIFS(缺陷明细!$A$2:$A$50000,$B$4,缺陷明细!$G$2:$G$50000,$C49,缺陷明细!$Q$2:$Q$50000,"已关闭",缺陷明细!$J$2:$J$50000,"单元测试")</f>
        <v>0</v>
      </c>
      <c r="L49" s="156"/>
      <c r="M49" s="157"/>
      <c r="N49" s="72">
        <f>COUNTIFS(缺陷明细!$A$2:$A$50000,$B$4,缺陷明细!$G$2:$G$50000,$C49,缺陷明细!$J$2:$J$50000,"系统测试案例评审",缺陷明细!$AB$2:$AB$50000,"&lt;&gt;丢弃",缺陷明细!$AB$2:$AB$50000,"&lt;&gt;设计如此",缺陷明细!$AB$2:$AB$50000,"&lt;&gt;重复Bug")</f>
        <v>0</v>
      </c>
      <c r="O49" s="72">
        <f>COUNTIFS(缺陷明细!$A$2:$A$50000,$B$4,缺陷明细!$G$2:$G$50000,$C49,缺陷明细!$Q$2:$Q$50000,"已关闭",缺陷明细!$J$2:$J$50000,"系统测试案例评审")</f>
        <v>0</v>
      </c>
      <c r="P49" s="72">
        <f>COUNTIFS(缺陷明细!$A$2:$A$50000,$B$4,缺陷明细!$G$2:$G$50000,$C49,缺陷明细!$J$2:$J$50000,"系统测试",缺陷明细!$AB$2:$AB$50000,"&lt;&gt;丢弃",缺陷明细!$AB$2:$AB$50000,"&lt;&gt;设计如此",缺陷明细!$AB$2:$AB$50000,"&lt;&gt;重复Bug")</f>
        <v>0</v>
      </c>
      <c r="Q49" s="72">
        <f>COUNTIFS(缺陷明细!$A$2:$A$50000,$B$4,缺陷明细!$G$2:$G$50000,$C49,缺陷明细!$Q$2:$Q$50000,"已关闭",缺陷明细!$J$2:$J$50000,"系统测试")</f>
        <v>0</v>
      </c>
      <c r="R49" s="296">
        <f>COUNTIFS(缺陷明细!$A$2:$A$50000,$B$4,缺陷明细!$G$2:$G$50000,$C49,缺陷明细!$AB$2:$AB$50000,"丢弃",缺陷明细!$J$2:$J$50000,"系统测试")+COUNTIFS(缺陷明细!$A$2:$A$50000,$B$4,缺陷明细!$G$2:$G$50000,$C49,缺陷明细!$AB$2:$AB$50000,"设计如此",缺陷明细!$J$2:$J$50000,"系统测试")+COUNTIFS(缺陷明细!$A$2:$A$50000,$B$4,缺陷明细!$G$2:$G$50000,$C49,缺陷明细!$AB$2:$AB$50000,"重复Bug",缺陷明细!$J$2:$J$50000,"系统测试")</f>
        <v>0</v>
      </c>
      <c r="S49" s="72">
        <f>COUNTIFS(缺陷明细!$A$2:$A$50000,$B$4,缺陷明细!$G$2:$G$50000,$C49,缺陷明细!$J$2:$J$50000,"系统测试",缺陷明细!$K$2:$K$50000,"致命",缺陷明细!$AB$2:$AB$50000,"&lt;&gt;丢弃",缺陷明细!$AB$2:$AB$50000,"&lt;&gt;设计如此",缺陷明细!$AB$2:$AB$50000,"&lt;&gt;重复Bug")+COUNTIFS(缺陷明细!$A$2:$A$50000,$B$4,缺陷明细!$G$2:$G$50000,$C49,缺陷明细!$J$2:$J$50000,"系统测试",缺陷明细!$K$2:$K$50000,"严重",缺陷明细!$AB$2:$AB$50000,"&lt;&gt;丢弃",缺陷明细!$AB$2:$AB$50000,"&lt;&gt;设计如此",缺陷明细!$AB$2:$AB$50000,"&lt;&gt;重复Bug")</f>
        <v>0</v>
      </c>
      <c r="T49" s="73">
        <f>COUNTIFS(缺陷明细!$A$2:$A$50000,$B$4,缺陷明细!$G$2:$G$50000,$C49,缺陷明细!$Q$2:$Q$50000,"已关闭",缺陷明细!$J$2:$J$50000,"系统测试",缺陷明细!$K$2:$K$50000,"致命")+COUNTIFS(缺陷明细!$A$2:$A$50000,$B$4,缺陷明细!$G$2:$G$50000,$C49,缺陷明细!$Q$2:$Q$50000,"已关闭",缺陷明细!$J$2:$J$50000,"系统测试",缺陷明细!$K$2:$K$50000,"严重")</f>
        <v>0</v>
      </c>
      <c r="U49" s="74">
        <f>COUNTIFS(缺陷明细!$A$2:$A$50000,$B$4,缺陷明细!$G$2:$G$50000,$C49,缺陷明细!$J$2:$J$50000,"验收测试",缺陷明细!$AB$2:$AB$50000,"&lt;&gt;丢弃",缺陷明细!$AB$2:$AB$50000,"&lt;&gt;设计如此",缺陷明细!$AB$2:$AB$50000,"&lt;&gt;重复Bug")</f>
        <v>0</v>
      </c>
      <c r="V49" s="75">
        <f>COUNTIFS(缺陷明细!$A$2:$A$50000,$B$4,缺陷明细!$G$2:$G$50000,$C49,缺陷明细!$Q$2:$Q$50000,"已关闭",缺陷明细!$J$2:$J$50000,"验收测试")</f>
        <v>0</v>
      </c>
      <c r="W49" s="75">
        <f>COUNTIFS(缺陷明细!$A$2:$A$50000,$B$4,缺陷明细!$G$2:$G$50000,$C49,缺陷明细!$J$2:$J$50000,"验收测试",缺陷明细!$K$2:$K$50000,"致命",缺陷明细!$AB$2:$AB$50000,"&lt;&gt;丢弃",缺陷明细!$AB$2:$AB$50000,"&lt;&gt;设计如此",缺陷明细!$AB$2:$AB$50000,"&lt;&gt;重复Bug")+COUNTIFS(缺陷明细!$A$2:$A$50000,$B$4,缺陷明细!$G$2:$G$50000,$C49,缺陷明细!$J$2:$J$50000,"验收测试",缺陷明细!$K$2:$K$50000,"严重",缺陷明细!$AB$2:$AB$50000,"&lt;&gt;丢弃",缺陷明细!$AB$2:$AB$50000,"&lt;&gt;设计如此",缺陷明细!$AB$2:$AB$50000,"&lt;&gt;重复Bug")</f>
        <v>0</v>
      </c>
      <c r="X49" s="76">
        <f>COUNTIFS(缺陷明细!$A$2:$A$50000,$B$4,缺陷明细!$G$2:$G$50000,$C49,缺陷明细!$Q$2:$Q$50000,"已关闭",缺陷明细!$J$2:$J$50000,"验收测试",缺陷明细!$K$2:$K$50000,"致命")+COUNTIFS(缺陷明细!$A$2:$A$50000,$B$4,缺陷明细!$G$2:$G$50000,$C49,缺陷明细!$Q$2:$Q$50000,"已关闭",缺陷明细!$J$2:$J$50000,"验收测试",缺陷明细!$K$2:$K$50000,"严重")</f>
        <v>0</v>
      </c>
      <c r="Y49" s="70">
        <f>COUNTIFS(缺陷明细!$A$2:$A$50000,$B$4,缺陷明细!$G$2:$G$50000,$C49,缺陷明细!$J$2:$J$50000,"运维测试",缺陷明细!$AB$2:$AB$50000,"&lt;&gt;丢弃",缺陷明细!$AB$2:$AB$50000,"&lt;&gt;设计如此",缺陷明细!$AB$2:$AB$50000,"&lt;&gt;重复Bug")</f>
        <v>0</v>
      </c>
      <c r="Z49" s="71">
        <f>COUNTIFS(缺陷明细!$A$2:$A$50000,$B$4,缺陷明细!$G$2:$G$50000,$C49,缺陷明细!$Q$2:$Q$50000,"已关闭",缺陷明细!$J$2:$J$50000,"运维测试")</f>
        <v>0</v>
      </c>
      <c r="AA49" s="72">
        <f>COUNTIFS(缺陷明细!$A$2:$A$50000,$B$4,缺陷明细!$G$2:$G$50000,$C49,缺陷明细!$J$2:$J$50000,"运维测试",缺陷明细!$K$2:$K$50000,"致命",缺陷明细!$AB$2:$AB$50000,"&lt;&gt;丢弃",缺陷明细!$AB$2:$AB$50000,"&lt;&gt;设计如此",缺陷明细!$AB$2:$AB$50000,"&lt;&gt;重复Bug")+COUNTIFS(缺陷明细!$A$2:$A$50000,$B$4,缺陷明细!$G$2:$G$50000,$C49,缺陷明细!$J$2:$J$50000,"运维测试",缺陷明细!$K$2:$K$50000,"严重",缺陷明细!$AB$2:$AB$50000,"&lt;&gt;丢弃",缺陷明细!$AB$2:$AB$50000,"&lt;&gt;设计如此",缺陷明细!$AB$2:$AB$50000,"&lt;&gt;重复Bug")</f>
        <v>0</v>
      </c>
      <c r="AB49" s="73">
        <f>COUNTIFS(缺陷明细!$A$2:$A$50000,$B$4,缺陷明细!$G$2:$G$50000,$C49,缺陷明细!$Q$2:$Q$50000,"已关闭",缺陷明细!$J$2:$J$50000,"运维测试",缺陷明细!$K$2:$K$50000,"致命")+COUNTIFS(缺陷明细!$A$2:$A$50000,$B$4,缺陷明细!$G$2:$G$50000,$C49,缺陷明细!$Q$2:$Q$50000,"已关闭",缺陷明细!$J$2:$J$50000,"运维测试",缺陷明细!$K$2:$K$50000,"严重")</f>
        <v>0</v>
      </c>
      <c r="AC49" s="68">
        <f t="shared" si="0"/>
        <v>0</v>
      </c>
      <c r="AD49" s="60">
        <f t="shared" si="0"/>
        <v>0</v>
      </c>
      <c r="AE49" s="60">
        <f t="shared" si="1"/>
        <v>0</v>
      </c>
      <c r="AF49" s="60">
        <f t="shared" si="1"/>
        <v>0</v>
      </c>
      <c r="AG49" s="60">
        <f t="shared" si="2"/>
        <v>0</v>
      </c>
      <c r="AH49" s="60">
        <f t="shared" si="2"/>
        <v>0</v>
      </c>
      <c r="AI49" s="60">
        <f t="shared" si="3"/>
        <v>0</v>
      </c>
      <c r="AJ49" s="61">
        <f t="shared" si="3"/>
        <v>0</v>
      </c>
      <c r="AK49" s="144"/>
    </row>
    <row r="50" spans="1:37">
      <c r="A50">
        <v>46</v>
      </c>
      <c r="B50" s="57"/>
      <c r="C50" s="58"/>
      <c r="D50" s="84"/>
      <c r="E50" s="82"/>
      <c r="F50" s="158"/>
      <c r="G50" s="159"/>
      <c r="H50" s="281">
        <f>COUNTIFS(缺陷明细!$A$2:$A$50000,$B$4,缺陷明细!$G$2:$G$50000,$C50,缺陷明细!$J$2:$J$50000,"评审",缺陷明细!$AB$2:$AB$50000,"&lt;&gt;丢弃",缺陷明细!$AB$2:$AB$50000,"&lt;&gt;设计如此",缺陷明细!$AB$2:$AB$50000,"&lt;&gt;重复Bug")</f>
        <v>0</v>
      </c>
      <c r="I50" s="154">
        <f>COUNTIFS(缺陷明细!$A$2:$A$50000,$B$4,缺陷明细!$G$2:$G$50000,$C50,缺陷明细!$Q$2:$Q$50000,"已关闭",缺陷明细!$J$2:$J$50000,"评审")</f>
        <v>0</v>
      </c>
      <c r="J50" s="154">
        <f>COUNTIFS(缺陷明细!$A$2:$A$50000,$B$4,缺陷明细!$G$2:$G$50000,$C50,缺陷明细!$J$2:$J$50000,"单元测试",缺陷明细!$AB$2:$AB$50000,"&lt;&gt;丢弃",缺陷明细!$AB$2:$AB$50000,"&lt;&gt;设计如此",缺陷明细!$AB$2:$AB$50000,"&lt;&gt;重复Bug")</f>
        <v>0</v>
      </c>
      <c r="K50" s="155">
        <f>COUNTIFS(缺陷明细!$A$2:$A$50000,$B$4,缺陷明细!$G$2:$G$50000,$C50,缺陷明细!$Q$2:$Q$50000,"已关闭",缺陷明细!$J$2:$J$50000,"单元测试")</f>
        <v>0</v>
      </c>
      <c r="L50" s="156"/>
      <c r="M50" s="157"/>
      <c r="N50" s="72">
        <f>COUNTIFS(缺陷明细!$A$2:$A$50000,$B$4,缺陷明细!$G$2:$G$50000,$C50,缺陷明细!$J$2:$J$50000,"系统测试案例评审",缺陷明细!$AB$2:$AB$50000,"&lt;&gt;丢弃",缺陷明细!$AB$2:$AB$50000,"&lt;&gt;设计如此",缺陷明细!$AB$2:$AB$50000,"&lt;&gt;重复Bug")</f>
        <v>0</v>
      </c>
      <c r="O50" s="72">
        <f>COUNTIFS(缺陷明细!$A$2:$A$50000,$B$4,缺陷明细!$G$2:$G$50000,$C50,缺陷明细!$Q$2:$Q$50000,"已关闭",缺陷明细!$J$2:$J$50000,"系统测试案例评审")</f>
        <v>0</v>
      </c>
      <c r="P50" s="72">
        <f>COUNTIFS(缺陷明细!$A$2:$A$50000,$B$4,缺陷明细!$G$2:$G$50000,$C50,缺陷明细!$J$2:$J$50000,"系统测试",缺陷明细!$AB$2:$AB$50000,"&lt;&gt;丢弃",缺陷明细!$AB$2:$AB$50000,"&lt;&gt;设计如此",缺陷明细!$AB$2:$AB$50000,"&lt;&gt;重复Bug")</f>
        <v>0</v>
      </c>
      <c r="Q50" s="72">
        <f>COUNTIFS(缺陷明细!$A$2:$A$50000,$B$4,缺陷明细!$G$2:$G$50000,$C50,缺陷明细!$Q$2:$Q$50000,"已关闭",缺陷明细!$J$2:$J$50000,"系统测试")</f>
        <v>0</v>
      </c>
      <c r="R50" s="296">
        <f>COUNTIFS(缺陷明细!$A$2:$A$50000,$B$4,缺陷明细!$G$2:$G$50000,$C50,缺陷明细!$AB$2:$AB$50000,"丢弃",缺陷明细!$J$2:$J$50000,"系统测试")+COUNTIFS(缺陷明细!$A$2:$A$50000,$B$4,缺陷明细!$G$2:$G$50000,$C50,缺陷明细!$AB$2:$AB$50000,"设计如此",缺陷明细!$J$2:$J$50000,"系统测试")+COUNTIFS(缺陷明细!$A$2:$A$50000,$B$4,缺陷明细!$G$2:$G$50000,$C50,缺陷明细!$AB$2:$AB$50000,"重复Bug",缺陷明细!$J$2:$J$50000,"系统测试")</f>
        <v>0</v>
      </c>
      <c r="S50" s="72">
        <f>COUNTIFS(缺陷明细!$A$2:$A$50000,$B$4,缺陷明细!$G$2:$G$50000,$C50,缺陷明细!$J$2:$J$50000,"系统测试",缺陷明细!$K$2:$K$50000,"致命",缺陷明细!$AB$2:$AB$50000,"&lt;&gt;丢弃",缺陷明细!$AB$2:$AB$50000,"&lt;&gt;设计如此",缺陷明细!$AB$2:$AB$50000,"&lt;&gt;重复Bug")+COUNTIFS(缺陷明细!$A$2:$A$50000,$B$4,缺陷明细!$G$2:$G$50000,$C50,缺陷明细!$J$2:$J$50000,"系统测试",缺陷明细!$K$2:$K$50000,"严重",缺陷明细!$AB$2:$AB$50000,"&lt;&gt;丢弃",缺陷明细!$AB$2:$AB$50000,"&lt;&gt;设计如此",缺陷明细!$AB$2:$AB$50000,"&lt;&gt;重复Bug")</f>
        <v>0</v>
      </c>
      <c r="T50" s="73">
        <f>COUNTIFS(缺陷明细!$A$2:$A$50000,$B$4,缺陷明细!$G$2:$G$50000,$C50,缺陷明细!$Q$2:$Q$50000,"已关闭",缺陷明细!$J$2:$J$50000,"系统测试",缺陷明细!$K$2:$K$50000,"致命")+COUNTIFS(缺陷明细!$A$2:$A$50000,$B$4,缺陷明细!$G$2:$G$50000,$C50,缺陷明细!$Q$2:$Q$50000,"已关闭",缺陷明细!$J$2:$J$50000,"系统测试",缺陷明细!$K$2:$K$50000,"严重")</f>
        <v>0</v>
      </c>
      <c r="U50" s="74">
        <f>COUNTIFS(缺陷明细!$A$2:$A$50000,$B$4,缺陷明细!$G$2:$G$50000,$C50,缺陷明细!$J$2:$J$50000,"验收测试",缺陷明细!$AB$2:$AB$50000,"&lt;&gt;丢弃",缺陷明细!$AB$2:$AB$50000,"&lt;&gt;设计如此",缺陷明细!$AB$2:$AB$50000,"&lt;&gt;重复Bug")</f>
        <v>0</v>
      </c>
      <c r="V50" s="75">
        <f>COUNTIFS(缺陷明细!$A$2:$A$50000,$B$4,缺陷明细!$G$2:$G$50000,$C50,缺陷明细!$Q$2:$Q$50000,"已关闭",缺陷明细!$J$2:$J$50000,"验收测试")</f>
        <v>0</v>
      </c>
      <c r="W50" s="75">
        <f>COUNTIFS(缺陷明细!$A$2:$A$50000,$B$4,缺陷明细!$G$2:$G$50000,$C50,缺陷明细!$J$2:$J$50000,"验收测试",缺陷明细!$K$2:$K$50000,"致命",缺陷明细!$AB$2:$AB$50000,"&lt;&gt;丢弃",缺陷明细!$AB$2:$AB$50000,"&lt;&gt;设计如此",缺陷明细!$AB$2:$AB$50000,"&lt;&gt;重复Bug")+COUNTIFS(缺陷明细!$A$2:$A$50000,$B$4,缺陷明细!$G$2:$G$50000,$C50,缺陷明细!$J$2:$J$50000,"验收测试",缺陷明细!$K$2:$K$50000,"严重",缺陷明细!$AB$2:$AB$50000,"&lt;&gt;丢弃",缺陷明细!$AB$2:$AB$50000,"&lt;&gt;设计如此",缺陷明细!$AB$2:$AB$50000,"&lt;&gt;重复Bug")</f>
        <v>0</v>
      </c>
      <c r="X50" s="76">
        <f>COUNTIFS(缺陷明细!$A$2:$A$50000,$B$4,缺陷明细!$G$2:$G$50000,$C50,缺陷明细!$Q$2:$Q$50000,"已关闭",缺陷明细!$J$2:$J$50000,"验收测试",缺陷明细!$K$2:$K$50000,"致命")+COUNTIFS(缺陷明细!$A$2:$A$50000,$B$4,缺陷明细!$G$2:$G$50000,$C50,缺陷明细!$Q$2:$Q$50000,"已关闭",缺陷明细!$J$2:$J$50000,"验收测试",缺陷明细!$K$2:$K$50000,"严重")</f>
        <v>0</v>
      </c>
      <c r="Y50" s="70">
        <f>COUNTIFS(缺陷明细!$A$2:$A$50000,$B$4,缺陷明细!$G$2:$G$50000,$C50,缺陷明细!$J$2:$J$50000,"运维测试",缺陷明细!$AB$2:$AB$50000,"&lt;&gt;丢弃",缺陷明细!$AB$2:$AB$50000,"&lt;&gt;设计如此",缺陷明细!$AB$2:$AB$50000,"&lt;&gt;重复Bug")</f>
        <v>0</v>
      </c>
      <c r="Z50" s="71">
        <f>COUNTIFS(缺陷明细!$A$2:$A$50000,$B$4,缺陷明细!$G$2:$G$50000,$C50,缺陷明细!$Q$2:$Q$50000,"已关闭",缺陷明细!$J$2:$J$50000,"运维测试")</f>
        <v>0</v>
      </c>
      <c r="AA50" s="72">
        <f>COUNTIFS(缺陷明细!$A$2:$A$50000,$B$4,缺陷明细!$G$2:$G$50000,$C50,缺陷明细!$J$2:$J$50000,"运维测试",缺陷明细!$K$2:$K$50000,"致命",缺陷明细!$AB$2:$AB$50000,"&lt;&gt;丢弃",缺陷明细!$AB$2:$AB$50000,"&lt;&gt;设计如此",缺陷明细!$AB$2:$AB$50000,"&lt;&gt;重复Bug")+COUNTIFS(缺陷明细!$A$2:$A$50000,$B$4,缺陷明细!$G$2:$G$50000,$C50,缺陷明细!$J$2:$J$50000,"运维测试",缺陷明细!$K$2:$K$50000,"严重",缺陷明细!$AB$2:$AB$50000,"&lt;&gt;丢弃",缺陷明细!$AB$2:$AB$50000,"&lt;&gt;设计如此",缺陷明细!$AB$2:$AB$50000,"&lt;&gt;重复Bug")</f>
        <v>0</v>
      </c>
      <c r="AB50" s="73">
        <f>COUNTIFS(缺陷明细!$A$2:$A$50000,$B$4,缺陷明细!$G$2:$G$50000,$C50,缺陷明细!$Q$2:$Q$50000,"已关闭",缺陷明细!$J$2:$J$50000,"运维测试",缺陷明细!$K$2:$K$50000,"致命")+COUNTIFS(缺陷明细!$A$2:$A$50000,$B$4,缺陷明细!$G$2:$G$50000,$C50,缺陷明细!$Q$2:$Q$50000,"已关闭",缺陷明细!$J$2:$J$50000,"运维测试",缺陷明细!$K$2:$K$50000,"严重")</f>
        <v>0</v>
      </c>
      <c r="AC50" s="68">
        <f t="shared" si="0"/>
        <v>0</v>
      </c>
      <c r="AD50" s="60">
        <f t="shared" si="0"/>
        <v>0</v>
      </c>
      <c r="AE50" s="60">
        <f t="shared" si="1"/>
        <v>0</v>
      </c>
      <c r="AF50" s="60">
        <f t="shared" si="1"/>
        <v>0</v>
      </c>
      <c r="AG50" s="60">
        <f t="shared" si="2"/>
        <v>0</v>
      </c>
      <c r="AH50" s="60">
        <f t="shared" si="2"/>
        <v>0</v>
      </c>
      <c r="AI50" s="60">
        <f t="shared" si="3"/>
        <v>0</v>
      </c>
      <c r="AJ50" s="61">
        <f t="shared" si="3"/>
        <v>0</v>
      </c>
      <c r="AK50" s="144"/>
    </row>
    <row r="51" spans="1:37">
      <c r="A51">
        <v>47</v>
      </c>
      <c r="B51" s="57"/>
      <c r="C51" s="58"/>
      <c r="D51" s="84"/>
      <c r="E51" s="82"/>
      <c r="F51" s="158"/>
      <c r="G51" s="159"/>
      <c r="H51" s="281">
        <f>COUNTIFS(缺陷明细!$A$2:$A$50000,$B$4,缺陷明细!$G$2:$G$50000,$C51,缺陷明细!$J$2:$J$50000,"评审",缺陷明细!$AB$2:$AB$50000,"&lt;&gt;丢弃",缺陷明细!$AB$2:$AB$50000,"&lt;&gt;设计如此",缺陷明细!$AB$2:$AB$50000,"&lt;&gt;重复Bug")</f>
        <v>0</v>
      </c>
      <c r="I51" s="154">
        <f>COUNTIFS(缺陷明细!$A$2:$A$50000,$B$4,缺陷明细!$G$2:$G$50000,$C51,缺陷明细!$Q$2:$Q$50000,"已关闭",缺陷明细!$J$2:$J$50000,"评审")</f>
        <v>0</v>
      </c>
      <c r="J51" s="154">
        <f>COUNTIFS(缺陷明细!$A$2:$A$50000,$B$4,缺陷明细!$G$2:$G$50000,$C51,缺陷明细!$J$2:$J$50000,"单元测试",缺陷明细!$AB$2:$AB$50000,"&lt;&gt;丢弃",缺陷明细!$AB$2:$AB$50000,"&lt;&gt;设计如此",缺陷明细!$AB$2:$AB$50000,"&lt;&gt;重复Bug")</f>
        <v>0</v>
      </c>
      <c r="K51" s="155">
        <f>COUNTIFS(缺陷明细!$A$2:$A$50000,$B$4,缺陷明细!$G$2:$G$50000,$C51,缺陷明细!$Q$2:$Q$50000,"已关闭",缺陷明细!$J$2:$J$50000,"单元测试")</f>
        <v>0</v>
      </c>
      <c r="L51" s="156"/>
      <c r="M51" s="157"/>
      <c r="N51" s="72">
        <f>COUNTIFS(缺陷明细!$A$2:$A$50000,$B$4,缺陷明细!$G$2:$G$50000,$C51,缺陷明细!$J$2:$J$50000,"系统测试案例评审",缺陷明细!$AB$2:$AB$50000,"&lt;&gt;丢弃",缺陷明细!$AB$2:$AB$50000,"&lt;&gt;设计如此",缺陷明细!$AB$2:$AB$50000,"&lt;&gt;重复Bug")</f>
        <v>0</v>
      </c>
      <c r="O51" s="72">
        <f>COUNTIFS(缺陷明细!$A$2:$A$50000,$B$4,缺陷明细!$G$2:$G$50000,$C51,缺陷明细!$Q$2:$Q$50000,"已关闭",缺陷明细!$J$2:$J$50000,"系统测试案例评审")</f>
        <v>0</v>
      </c>
      <c r="P51" s="72">
        <f>COUNTIFS(缺陷明细!$A$2:$A$50000,$B$4,缺陷明细!$G$2:$G$50000,$C51,缺陷明细!$J$2:$J$50000,"系统测试",缺陷明细!$AB$2:$AB$50000,"&lt;&gt;丢弃",缺陷明细!$AB$2:$AB$50000,"&lt;&gt;设计如此",缺陷明细!$AB$2:$AB$50000,"&lt;&gt;重复Bug")</f>
        <v>0</v>
      </c>
      <c r="Q51" s="72">
        <f>COUNTIFS(缺陷明细!$A$2:$A$50000,$B$4,缺陷明细!$G$2:$G$50000,$C51,缺陷明细!$Q$2:$Q$50000,"已关闭",缺陷明细!$J$2:$J$50000,"系统测试")</f>
        <v>0</v>
      </c>
      <c r="R51" s="296">
        <f>COUNTIFS(缺陷明细!$A$2:$A$50000,$B$4,缺陷明细!$G$2:$G$50000,$C51,缺陷明细!$AB$2:$AB$50000,"丢弃",缺陷明细!$J$2:$J$50000,"系统测试")+COUNTIFS(缺陷明细!$A$2:$A$50000,$B$4,缺陷明细!$G$2:$G$50000,$C51,缺陷明细!$AB$2:$AB$50000,"设计如此",缺陷明细!$J$2:$J$50000,"系统测试")+COUNTIFS(缺陷明细!$A$2:$A$50000,$B$4,缺陷明细!$G$2:$G$50000,$C51,缺陷明细!$AB$2:$AB$50000,"重复Bug",缺陷明细!$J$2:$J$50000,"系统测试")</f>
        <v>0</v>
      </c>
      <c r="S51" s="72">
        <f>COUNTIFS(缺陷明细!$A$2:$A$50000,$B$4,缺陷明细!$G$2:$G$50000,$C51,缺陷明细!$J$2:$J$50000,"系统测试",缺陷明细!$K$2:$K$50000,"致命",缺陷明细!$AB$2:$AB$50000,"&lt;&gt;丢弃",缺陷明细!$AB$2:$AB$50000,"&lt;&gt;设计如此",缺陷明细!$AB$2:$AB$50000,"&lt;&gt;重复Bug")+COUNTIFS(缺陷明细!$A$2:$A$50000,$B$4,缺陷明细!$G$2:$G$50000,$C51,缺陷明细!$J$2:$J$50000,"系统测试",缺陷明细!$K$2:$K$50000,"严重",缺陷明细!$AB$2:$AB$50000,"&lt;&gt;丢弃",缺陷明细!$AB$2:$AB$50000,"&lt;&gt;设计如此",缺陷明细!$AB$2:$AB$50000,"&lt;&gt;重复Bug")</f>
        <v>0</v>
      </c>
      <c r="T51" s="73">
        <f>COUNTIFS(缺陷明细!$A$2:$A$50000,$B$4,缺陷明细!$G$2:$G$50000,$C51,缺陷明细!$Q$2:$Q$50000,"已关闭",缺陷明细!$J$2:$J$50000,"系统测试",缺陷明细!$K$2:$K$50000,"致命")+COUNTIFS(缺陷明细!$A$2:$A$50000,$B$4,缺陷明细!$G$2:$G$50000,$C51,缺陷明细!$Q$2:$Q$50000,"已关闭",缺陷明细!$J$2:$J$50000,"系统测试",缺陷明细!$K$2:$K$50000,"严重")</f>
        <v>0</v>
      </c>
      <c r="U51" s="74">
        <f>COUNTIFS(缺陷明细!$A$2:$A$50000,$B$4,缺陷明细!$G$2:$G$50000,$C51,缺陷明细!$J$2:$J$50000,"验收测试",缺陷明细!$AB$2:$AB$50000,"&lt;&gt;丢弃",缺陷明细!$AB$2:$AB$50000,"&lt;&gt;设计如此",缺陷明细!$AB$2:$AB$50000,"&lt;&gt;重复Bug")</f>
        <v>0</v>
      </c>
      <c r="V51" s="75">
        <f>COUNTIFS(缺陷明细!$A$2:$A$50000,$B$4,缺陷明细!$G$2:$G$50000,$C51,缺陷明细!$Q$2:$Q$50000,"已关闭",缺陷明细!$J$2:$J$50000,"验收测试")</f>
        <v>0</v>
      </c>
      <c r="W51" s="75">
        <f>COUNTIFS(缺陷明细!$A$2:$A$50000,$B$4,缺陷明细!$G$2:$G$50000,$C51,缺陷明细!$J$2:$J$50000,"验收测试",缺陷明细!$K$2:$K$50000,"致命",缺陷明细!$AB$2:$AB$50000,"&lt;&gt;丢弃",缺陷明细!$AB$2:$AB$50000,"&lt;&gt;设计如此",缺陷明细!$AB$2:$AB$50000,"&lt;&gt;重复Bug")+COUNTIFS(缺陷明细!$A$2:$A$50000,$B$4,缺陷明细!$G$2:$G$50000,$C51,缺陷明细!$J$2:$J$50000,"验收测试",缺陷明细!$K$2:$K$50000,"严重",缺陷明细!$AB$2:$AB$50000,"&lt;&gt;丢弃",缺陷明细!$AB$2:$AB$50000,"&lt;&gt;设计如此",缺陷明细!$AB$2:$AB$50000,"&lt;&gt;重复Bug")</f>
        <v>0</v>
      </c>
      <c r="X51" s="76">
        <f>COUNTIFS(缺陷明细!$A$2:$A$50000,$B$4,缺陷明细!$G$2:$G$50000,$C51,缺陷明细!$Q$2:$Q$50000,"已关闭",缺陷明细!$J$2:$J$50000,"验收测试",缺陷明细!$K$2:$K$50000,"致命")+COUNTIFS(缺陷明细!$A$2:$A$50000,$B$4,缺陷明细!$G$2:$G$50000,$C51,缺陷明细!$Q$2:$Q$50000,"已关闭",缺陷明细!$J$2:$J$50000,"验收测试",缺陷明细!$K$2:$K$50000,"严重")</f>
        <v>0</v>
      </c>
      <c r="Y51" s="70">
        <f>COUNTIFS(缺陷明细!$A$2:$A$50000,$B$4,缺陷明细!$G$2:$G$50000,$C51,缺陷明细!$J$2:$J$50000,"运维测试",缺陷明细!$AB$2:$AB$50000,"&lt;&gt;丢弃",缺陷明细!$AB$2:$AB$50000,"&lt;&gt;设计如此",缺陷明细!$AB$2:$AB$50000,"&lt;&gt;重复Bug")</f>
        <v>0</v>
      </c>
      <c r="Z51" s="71">
        <f>COUNTIFS(缺陷明细!$A$2:$A$50000,$B$4,缺陷明细!$G$2:$G$50000,$C51,缺陷明细!$Q$2:$Q$50000,"已关闭",缺陷明细!$J$2:$J$50000,"运维测试")</f>
        <v>0</v>
      </c>
      <c r="AA51" s="72">
        <f>COUNTIFS(缺陷明细!$A$2:$A$50000,$B$4,缺陷明细!$G$2:$G$50000,$C51,缺陷明细!$J$2:$J$50000,"运维测试",缺陷明细!$K$2:$K$50000,"致命",缺陷明细!$AB$2:$AB$50000,"&lt;&gt;丢弃",缺陷明细!$AB$2:$AB$50000,"&lt;&gt;设计如此",缺陷明细!$AB$2:$AB$50000,"&lt;&gt;重复Bug")+COUNTIFS(缺陷明细!$A$2:$A$50000,$B$4,缺陷明细!$G$2:$G$50000,$C51,缺陷明细!$J$2:$J$50000,"运维测试",缺陷明细!$K$2:$K$50000,"严重",缺陷明细!$AB$2:$AB$50000,"&lt;&gt;丢弃",缺陷明细!$AB$2:$AB$50000,"&lt;&gt;设计如此",缺陷明细!$AB$2:$AB$50000,"&lt;&gt;重复Bug")</f>
        <v>0</v>
      </c>
      <c r="AB51" s="73">
        <f>COUNTIFS(缺陷明细!$A$2:$A$50000,$B$4,缺陷明细!$G$2:$G$50000,$C51,缺陷明细!$Q$2:$Q$50000,"已关闭",缺陷明细!$J$2:$J$50000,"运维测试",缺陷明细!$K$2:$K$50000,"致命")+COUNTIFS(缺陷明细!$A$2:$A$50000,$B$4,缺陷明细!$G$2:$G$50000,$C51,缺陷明细!$Q$2:$Q$50000,"已关闭",缺陷明细!$J$2:$J$50000,"运维测试",缺陷明细!$K$2:$K$50000,"严重")</f>
        <v>0</v>
      </c>
      <c r="AC51" s="68">
        <f t="shared" si="0"/>
        <v>0</v>
      </c>
      <c r="AD51" s="60">
        <f t="shared" si="0"/>
        <v>0</v>
      </c>
      <c r="AE51" s="60">
        <f t="shared" si="1"/>
        <v>0</v>
      </c>
      <c r="AF51" s="60">
        <f t="shared" si="1"/>
        <v>0</v>
      </c>
      <c r="AG51" s="60">
        <f t="shared" si="2"/>
        <v>0</v>
      </c>
      <c r="AH51" s="60">
        <f t="shared" si="2"/>
        <v>0</v>
      </c>
      <c r="AI51" s="60">
        <f t="shared" si="3"/>
        <v>0</v>
      </c>
      <c r="AJ51" s="61">
        <f t="shared" si="3"/>
        <v>0</v>
      </c>
      <c r="AK51" s="144"/>
    </row>
    <row r="52" spans="1:37">
      <c r="A52">
        <v>48</v>
      </c>
      <c r="B52" s="57"/>
      <c r="C52" s="58"/>
      <c r="D52" s="84"/>
      <c r="E52" s="82"/>
      <c r="F52" s="158"/>
      <c r="G52" s="159"/>
      <c r="H52" s="281">
        <f>COUNTIFS(缺陷明细!$A$2:$A$50000,$B$4,缺陷明细!$G$2:$G$50000,$C52,缺陷明细!$J$2:$J$50000,"评审",缺陷明细!$AB$2:$AB$50000,"&lt;&gt;丢弃",缺陷明细!$AB$2:$AB$50000,"&lt;&gt;设计如此",缺陷明细!$AB$2:$AB$50000,"&lt;&gt;重复Bug")</f>
        <v>0</v>
      </c>
      <c r="I52" s="154">
        <f>COUNTIFS(缺陷明细!$A$2:$A$50000,$B$4,缺陷明细!$G$2:$G$50000,$C52,缺陷明细!$Q$2:$Q$50000,"已关闭",缺陷明细!$J$2:$J$50000,"评审")</f>
        <v>0</v>
      </c>
      <c r="J52" s="154">
        <f>COUNTIFS(缺陷明细!$A$2:$A$50000,$B$4,缺陷明细!$G$2:$G$50000,$C52,缺陷明细!$J$2:$J$50000,"单元测试",缺陷明细!$AB$2:$AB$50000,"&lt;&gt;丢弃",缺陷明细!$AB$2:$AB$50000,"&lt;&gt;设计如此",缺陷明细!$AB$2:$AB$50000,"&lt;&gt;重复Bug")</f>
        <v>0</v>
      </c>
      <c r="K52" s="155">
        <f>COUNTIFS(缺陷明细!$A$2:$A$50000,$B$4,缺陷明细!$G$2:$G$50000,$C52,缺陷明细!$Q$2:$Q$50000,"已关闭",缺陷明细!$J$2:$J$50000,"单元测试")</f>
        <v>0</v>
      </c>
      <c r="L52" s="156"/>
      <c r="M52" s="157"/>
      <c r="N52" s="72">
        <f>COUNTIFS(缺陷明细!$A$2:$A$50000,$B$4,缺陷明细!$G$2:$G$50000,$C52,缺陷明细!$J$2:$J$50000,"系统测试案例评审",缺陷明细!$AB$2:$AB$50000,"&lt;&gt;丢弃",缺陷明细!$AB$2:$AB$50000,"&lt;&gt;设计如此",缺陷明细!$AB$2:$AB$50000,"&lt;&gt;重复Bug")</f>
        <v>0</v>
      </c>
      <c r="O52" s="72">
        <f>COUNTIFS(缺陷明细!$A$2:$A$50000,$B$4,缺陷明细!$G$2:$G$50000,$C52,缺陷明细!$Q$2:$Q$50000,"已关闭",缺陷明细!$J$2:$J$50000,"系统测试案例评审")</f>
        <v>0</v>
      </c>
      <c r="P52" s="72">
        <f>COUNTIFS(缺陷明细!$A$2:$A$50000,$B$4,缺陷明细!$G$2:$G$50000,$C52,缺陷明细!$J$2:$J$50000,"系统测试",缺陷明细!$AB$2:$AB$50000,"&lt;&gt;丢弃",缺陷明细!$AB$2:$AB$50000,"&lt;&gt;设计如此",缺陷明细!$AB$2:$AB$50000,"&lt;&gt;重复Bug")</f>
        <v>0</v>
      </c>
      <c r="Q52" s="72">
        <f>COUNTIFS(缺陷明细!$A$2:$A$50000,$B$4,缺陷明细!$G$2:$G$50000,$C52,缺陷明细!$Q$2:$Q$50000,"已关闭",缺陷明细!$J$2:$J$50000,"系统测试")</f>
        <v>0</v>
      </c>
      <c r="R52" s="296">
        <f>COUNTIFS(缺陷明细!$A$2:$A$50000,$B$4,缺陷明细!$G$2:$G$50000,$C52,缺陷明细!$AB$2:$AB$50000,"丢弃",缺陷明细!$J$2:$J$50000,"系统测试")+COUNTIFS(缺陷明细!$A$2:$A$50000,$B$4,缺陷明细!$G$2:$G$50000,$C52,缺陷明细!$AB$2:$AB$50000,"设计如此",缺陷明细!$J$2:$J$50000,"系统测试")+COUNTIFS(缺陷明细!$A$2:$A$50000,$B$4,缺陷明细!$G$2:$G$50000,$C52,缺陷明细!$AB$2:$AB$50000,"重复Bug",缺陷明细!$J$2:$J$50000,"系统测试")</f>
        <v>0</v>
      </c>
      <c r="S52" s="72">
        <f>COUNTIFS(缺陷明细!$A$2:$A$50000,$B$4,缺陷明细!$G$2:$G$50000,$C52,缺陷明细!$J$2:$J$50000,"系统测试",缺陷明细!$K$2:$K$50000,"致命",缺陷明细!$AB$2:$AB$50000,"&lt;&gt;丢弃",缺陷明细!$AB$2:$AB$50000,"&lt;&gt;设计如此",缺陷明细!$AB$2:$AB$50000,"&lt;&gt;重复Bug")+COUNTIFS(缺陷明细!$A$2:$A$50000,$B$4,缺陷明细!$G$2:$G$50000,$C52,缺陷明细!$J$2:$J$50000,"系统测试",缺陷明细!$K$2:$K$50000,"严重",缺陷明细!$AB$2:$AB$50000,"&lt;&gt;丢弃",缺陷明细!$AB$2:$AB$50000,"&lt;&gt;设计如此",缺陷明细!$AB$2:$AB$50000,"&lt;&gt;重复Bug")</f>
        <v>0</v>
      </c>
      <c r="T52" s="73">
        <f>COUNTIFS(缺陷明细!$A$2:$A$50000,$B$4,缺陷明细!$G$2:$G$50000,$C52,缺陷明细!$Q$2:$Q$50000,"已关闭",缺陷明细!$J$2:$J$50000,"系统测试",缺陷明细!$K$2:$K$50000,"致命")+COUNTIFS(缺陷明细!$A$2:$A$50000,$B$4,缺陷明细!$G$2:$G$50000,$C52,缺陷明细!$Q$2:$Q$50000,"已关闭",缺陷明细!$J$2:$J$50000,"系统测试",缺陷明细!$K$2:$K$50000,"严重")</f>
        <v>0</v>
      </c>
      <c r="U52" s="74">
        <f>COUNTIFS(缺陷明细!$A$2:$A$50000,$B$4,缺陷明细!$G$2:$G$50000,$C52,缺陷明细!$J$2:$J$50000,"验收测试",缺陷明细!$AB$2:$AB$50000,"&lt;&gt;丢弃",缺陷明细!$AB$2:$AB$50000,"&lt;&gt;设计如此",缺陷明细!$AB$2:$AB$50000,"&lt;&gt;重复Bug")</f>
        <v>0</v>
      </c>
      <c r="V52" s="75">
        <f>COUNTIFS(缺陷明细!$A$2:$A$50000,$B$4,缺陷明细!$G$2:$G$50000,$C52,缺陷明细!$Q$2:$Q$50000,"已关闭",缺陷明细!$J$2:$J$50000,"验收测试")</f>
        <v>0</v>
      </c>
      <c r="W52" s="75">
        <f>COUNTIFS(缺陷明细!$A$2:$A$50000,$B$4,缺陷明细!$G$2:$G$50000,$C52,缺陷明细!$J$2:$J$50000,"验收测试",缺陷明细!$K$2:$K$50000,"致命",缺陷明细!$AB$2:$AB$50000,"&lt;&gt;丢弃",缺陷明细!$AB$2:$AB$50000,"&lt;&gt;设计如此",缺陷明细!$AB$2:$AB$50000,"&lt;&gt;重复Bug")+COUNTIFS(缺陷明细!$A$2:$A$50000,$B$4,缺陷明细!$G$2:$G$50000,$C52,缺陷明细!$J$2:$J$50000,"验收测试",缺陷明细!$K$2:$K$50000,"严重",缺陷明细!$AB$2:$AB$50000,"&lt;&gt;丢弃",缺陷明细!$AB$2:$AB$50000,"&lt;&gt;设计如此",缺陷明细!$AB$2:$AB$50000,"&lt;&gt;重复Bug")</f>
        <v>0</v>
      </c>
      <c r="X52" s="76">
        <f>COUNTIFS(缺陷明细!$A$2:$A$50000,$B$4,缺陷明细!$G$2:$G$50000,$C52,缺陷明细!$Q$2:$Q$50000,"已关闭",缺陷明细!$J$2:$J$50000,"验收测试",缺陷明细!$K$2:$K$50000,"致命")+COUNTIFS(缺陷明细!$A$2:$A$50000,$B$4,缺陷明细!$G$2:$G$50000,$C52,缺陷明细!$Q$2:$Q$50000,"已关闭",缺陷明细!$J$2:$J$50000,"验收测试",缺陷明细!$K$2:$K$50000,"严重")</f>
        <v>0</v>
      </c>
      <c r="Y52" s="70">
        <f>COUNTIFS(缺陷明细!$A$2:$A$50000,$B$4,缺陷明细!$G$2:$G$50000,$C52,缺陷明细!$J$2:$J$50000,"运维测试",缺陷明细!$AB$2:$AB$50000,"&lt;&gt;丢弃",缺陷明细!$AB$2:$AB$50000,"&lt;&gt;设计如此",缺陷明细!$AB$2:$AB$50000,"&lt;&gt;重复Bug")</f>
        <v>0</v>
      </c>
      <c r="Z52" s="71">
        <f>COUNTIFS(缺陷明细!$A$2:$A$50000,$B$4,缺陷明细!$G$2:$G$50000,$C52,缺陷明细!$Q$2:$Q$50000,"已关闭",缺陷明细!$J$2:$J$50000,"运维测试")</f>
        <v>0</v>
      </c>
      <c r="AA52" s="72">
        <f>COUNTIFS(缺陷明细!$A$2:$A$50000,$B$4,缺陷明细!$G$2:$G$50000,$C52,缺陷明细!$J$2:$J$50000,"运维测试",缺陷明细!$K$2:$K$50000,"致命",缺陷明细!$AB$2:$AB$50000,"&lt;&gt;丢弃",缺陷明细!$AB$2:$AB$50000,"&lt;&gt;设计如此",缺陷明细!$AB$2:$AB$50000,"&lt;&gt;重复Bug")+COUNTIFS(缺陷明细!$A$2:$A$50000,$B$4,缺陷明细!$G$2:$G$50000,$C52,缺陷明细!$J$2:$J$50000,"运维测试",缺陷明细!$K$2:$K$50000,"严重",缺陷明细!$AB$2:$AB$50000,"&lt;&gt;丢弃",缺陷明细!$AB$2:$AB$50000,"&lt;&gt;设计如此",缺陷明细!$AB$2:$AB$50000,"&lt;&gt;重复Bug")</f>
        <v>0</v>
      </c>
      <c r="AB52" s="73">
        <f>COUNTIFS(缺陷明细!$A$2:$A$50000,$B$4,缺陷明细!$G$2:$G$50000,$C52,缺陷明细!$Q$2:$Q$50000,"已关闭",缺陷明细!$J$2:$J$50000,"运维测试",缺陷明细!$K$2:$K$50000,"致命")+COUNTIFS(缺陷明细!$A$2:$A$50000,$B$4,缺陷明细!$G$2:$G$50000,$C52,缺陷明细!$Q$2:$Q$50000,"已关闭",缺陷明细!$J$2:$J$50000,"运维测试",缺陷明细!$K$2:$K$50000,"严重")</f>
        <v>0</v>
      </c>
      <c r="AC52" s="68">
        <f t="shared" si="0"/>
        <v>0</v>
      </c>
      <c r="AD52" s="60">
        <f t="shared" si="0"/>
        <v>0</v>
      </c>
      <c r="AE52" s="60">
        <f t="shared" si="1"/>
        <v>0</v>
      </c>
      <c r="AF52" s="60">
        <f t="shared" si="1"/>
        <v>0</v>
      </c>
      <c r="AG52" s="60">
        <f t="shared" si="2"/>
        <v>0</v>
      </c>
      <c r="AH52" s="60">
        <f t="shared" si="2"/>
        <v>0</v>
      </c>
      <c r="AI52" s="60">
        <f t="shared" si="3"/>
        <v>0</v>
      </c>
      <c r="AJ52" s="61">
        <f t="shared" si="3"/>
        <v>0</v>
      </c>
      <c r="AK52" s="144"/>
    </row>
    <row r="53" spans="1:37">
      <c r="A53">
        <v>49</v>
      </c>
      <c r="B53" s="57"/>
      <c r="C53" s="58"/>
      <c r="D53" s="84"/>
      <c r="E53" s="82"/>
      <c r="F53" s="158"/>
      <c r="G53" s="159"/>
      <c r="H53" s="281">
        <f>COUNTIFS(缺陷明细!$A$2:$A$50000,$B$4,缺陷明细!$G$2:$G$50000,$C53,缺陷明细!$J$2:$J$50000,"评审",缺陷明细!$AB$2:$AB$50000,"&lt;&gt;丢弃",缺陷明细!$AB$2:$AB$50000,"&lt;&gt;设计如此",缺陷明细!$AB$2:$AB$50000,"&lt;&gt;重复Bug")</f>
        <v>0</v>
      </c>
      <c r="I53" s="154">
        <f>COUNTIFS(缺陷明细!$A$2:$A$50000,$B$4,缺陷明细!$G$2:$G$50000,$C53,缺陷明细!$Q$2:$Q$50000,"已关闭",缺陷明细!$J$2:$J$50000,"评审")</f>
        <v>0</v>
      </c>
      <c r="J53" s="154">
        <f>COUNTIFS(缺陷明细!$A$2:$A$50000,$B$4,缺陷明细!$G$2:$G$50000,$C53,缺陷明细!$J$2:$J$50000,"单元测试",缺陷明细!$AB$2:$AB$50000,"&lt;&gt;丢弃",缺陷明细!$AB$2:$AB$50000,"&lt;&gt;设计如此",缺陷明细!$AB$2:$AB$50000,"&lt;&gt;重复Bug")</f>
        <v>0</v>
      </c>
      <c r="K53" s="155">
        <f>COUNTIFS(缺陷明细!$A$2:$A$50000,$B$4,缺陷明细!$G$2:$G$50000,$C53,缺陷明细!$Q$2:$Q$50000,"已关闭",缺陷明细!$J$2:$J$50000,"单元测试")</f>
        <v>0</v>
      </c>
      <c r="L53" s="156"/>
      <c r="M53" s="157"/>
      <c r="N53" s="72">
        <f>COUNTIFS(缺陷明细!$A$2:$A$50000,$B$4,缺陷明细!$G$2:$G$50000,$C53,缺陷明细!$J$2:$J$50000,"系统测试案例评审",缺陷明细!$AB$2:$AB$50000,"&lt;&gt;丢弃",缺陷明细!$AB$2:$AB$50000,"&lt;&gt;设计如此",缺陷明细!$AB$2:$AB$50000,"&lt;&gt;重复Bug")</f>
        <v>0</v>
      </c>
      <c r="O53" s="72">
        <f>COUNTIFS(缺陷明细!$A$2:$A$50000,$B$4,缺陷明细!$G$2:$G$50000,$C53,缺陷明细!$Q$2:$Q$50000,"已关闭",缺陷明细!$J$2:$J$50000,"系统测试案例评审")</f>
        <v>0</v>
      </c>
      <c r="P53" s="72">
        <f>COUNTIFS(缺陷明细!$A$2:$A$50000,$B$4,缺陷明细!$G$2:$G$50000,$C53,缺陷明细!$J$2:$J$50000,"系统测试",缺陷明细!$AB$2:$AB$50000,"&lt;&gt;丢弃",缺陷明细!$AB$2:$AB$50000,"&lt;&gt;设计如此",缺陷明细!$AB$2:$AB$50000,"&lt;&gt;重复Bug")</f>
        <v>0</v>
      </c>
      <c r="Q53" s="72">
        <f>COUNTIFS(缺陷明细!$A$2:$A$50000,$B$4,缺陷明细!$G$2:$G$50000,$C53,缺陷明细!$Q$2:$Q$50000,"已关闭",缺陷明细!$J$2:$J$50000,"系统测试")</f>
        <v>0</v>
      </c>
      <c r="R53" s="296">
        <f>COUNTIFS(缺陷明细!$A$2:$A$50000,$B$4,缺陷明细!$G$2:$G$50000,$C53,缺陷明细!$AB$2:$AB$50000,"丢弃",缺陷明细!$J$2:$J$50000,"系统测试")+COUNTIFS(缺陷明细!$A$2:$A$50000,$B$4,缺陷明细!$G$2:$G$50000,$C53,缺陷明细!$AB$2:$AB$50000,"设计如此",缺陷明细!$J$2:$J$50000,"系统测试")+COUNTIFS(缺陷明细!$A$2:$A$50000,$B$4,缺陷明细!$G$2:$G$50000,$C53,缺陷明细!$AB$2:$AB$50000,"重复Bug",缺陷明细!$J$2:$J$50000,"系统测试")</f>
        <v>0</v>
      </c>
      <c r="S53" s="72">
        <f>COUNTIFS(缺陷明细!$A$2:$A$50000,$B$4,缺陷明细!$G$2:$G$50000,$C53,缺陷明细!$J$2:$J$50000,"系统测试",缺陷明细!$K$2:$K$50000,"致命",缺陷明细!$AB$2:$AB$50000,"&lt;&gt;丢弃",缺陷明细!$AB$2:$AB$50000,"&lt;&gt;设计如此",缺陷明细!$AB$2:$AB$50000,"&lt;&gt;重复Bug")+COUNTIFS(缺陷明细!$A$2:$A$50000,$B$4,缺陷明细!$G$2:$G$50000,$C53,缺陷明细!$J$2:$J$50000,"系统测试",缺陷明细!$K$2:$K$50000,"严重",缺陷明细!$AB$2:$AB$50000,"&lt;&gt;丢弃",缺陷明细!$AB$2:$AB$50000,"&lt;&gt;设计如此",缺陷明细!$AB$2:$AB$50000,"&lt;&gt;重复Bug")</f>
        <v>0</v>
      </c>
      <c r="T53" s="73">
        <f>COUNTIFS(缺陷明细!$A$2:$A$50000,$B$4,缺陷明细!$G$2:$G$50000,$C53,缺陷明细!$Q$2:$Q$50000,"已关闭",缺陷明细!$J$2:$J$50000,"系统测试",缺陷明细!$K$2:$K$50000,"致命")+COUNTIFS(缺陷明细!$A$2:$A$50000,$B$4,缺陷明细!$G$2:$G$50000,$C53,缺陷明细!$Q$2:$Q$50000,"已关闭",缺陷明细!$J$2:$J$50000,"系统测试",缺陷明细!$K$2:$K$50000,"严重")</f>
        <v>0</v>
      </c>
      <c r="U53" s="74">
        <f>COUNTIFS(缺陷明细!$A$2:$A$50000,$B$4,缺陷明细!$G$2:$G$50000,$C53,缺陷明细!$J$2:$J$50000,"验收测试",缺陷明细!$AB$2:$AB$50000,"&lt;&gt;丢弃",缺陷明细!$AB$2:$AB$50000,"&lt;&gt;设计如此",缺陷明细!$AB$2:$AB$50000,"&lt;&gt;重复Bug")</f>
        <v>0</v>
      </c>
      <c r="V53" s="75">
        <f>COUNTIFS(缺陷明细!$A$2:$A$50000,$B$4,缺陷明细!$G$2:$G$50000,$C53,缺陷明细!$Q$2:$Q$50000,"已关闭",缺陷明细!$J$2:$J$50000,"验收测试")</f>
        <v>0</v>
      </c>
      <c r="W53" s="75">
        <f>COUNTIFS(缺陷明细!$A$2:$A$50000,$B$4,缺陷明细!$G$2:$G$50000,$C53,缺陷明细!$J$2:$J$50000,"验收测试",缺陷明细!$K$2:$K$50000,"致命",缺陷明细!$AB$2:$AB$50000,"&lt;&gt;丢弃",缺陷明细!$AB$2:$AB$50000,"&lt;&gt;设计如此",缺陷明细!$AB$2:$AB$50000,"&lt;&gt;重复Bug")+COUNTIFS(缺陷明细!$A$2:$A$50000,$B$4,缺陷明细!$G$2:$G$50000,$C53,缺陷明细!$J$2:$J$50000,"验收测试",缺陷明细!$K$2:$K$50000,"严重",缺陷明细!$AB$2:$AB$50000,"&lt;&gt;丢弃",缺陷明细!$AB$2:$AB$50000,"&lt;&gt;设计如此",缺陷明细!$AB$2:$AB$50000,"&lt;&gt;重复Bug")</f>
        <v>0</v>
      </c>
      <c r="X53" s="76">
        <f>COUNTIFS(缺陷明细!$A$2:$A$50000,$B$4,缺陷明细!$G$2:$G$50000,$C53,缺陷明细!$Q$2:$Q$50000,"已关闭",缺陷明细!$J$2:$J$50000,"验收测试",缺陷明细!$K$2:$K$50000,"致命")+COUNTIFS(缺陷明细!$A$2:$A$50000,$B$4,缺陷明细!$G$2:$G$50000,$C53,缺陷明细!$Q$2:$Q$50000,"已关闭",缺陷明细!$J$2:$J$50000,"验收测试",缺陷明细!$K$2:$K$50000,"严重")</f>
        <v>0</v>
      </c>
      <c r="Y53" s="70">
        <f>COUNTIFS(缺陷明细!$A$2:$A$50000,$B$4,缺陷明细!$G$2:$G$50000,$C53,缺陷明细!$J$2:$J$50000,"运维测试",缺陷明细!$AB$2:$AB$50000,"&lt;&gt;丢弃",缺陷明细!$AB$2:$AB$50000,"&lt;&gt;设计如此",缺陷明细!$AB$2:$AB$50000,"&lt;&gt;重复Bug")</f>
        <v>0</v>
      </c>
      <c r="Z53" s="71">
        <f>COUNTIFS(缺陷明细!$A$2:$A$50000,$B$4,缺陷明细!$G$2:$G$50000,$C53,缺陷明细!$Q$2:$Q$50000,"已关闭",缺陷明细!$J$2:$J$50000,"运维测试")</f>
        <v>0</v>
      </c>
      <c r="AA53" s="72">
        <f>COUNTIFS(缺陷明细!$A$2:$A$50000,$B$4,缺陷明细!$G$2:$G$50000,$C53,缺陷明细!$J$2:$J$50000,"运维测试",缺陷明细!$K$2:$K$50000,"致命",缺陷明细!$AB$2:$AB$50000,"&lt;&gt;丢弃",缺陷明细!$AB$2:$AB$50000,"&lt;&gt;设计如此",缺陷明细!$AB$2:$AB$50000,"&lt;&gt;重复Bug")+COUNTIFS(缺陷明细!$A$2:$A$50000,$B$4,缺陷明细!$G$2:$G$50000,$C53,缺陷明细!$J$2:$J$50000,"运维测试",缺陷明细!$K$2:$K$50000,"严重",缺陷明细!$AB$2:$AB$50000,"&lt;&gt;丢弃",缺陷明细!$AB$2:$AB$50000,"&lt;&gt;设计如此",缺陷明细!$AB$2:$AB$50000,"&lt;&gt;重复Bug")</f>
        <v>0</v>
      </c>
      <c r="AB53" s="73">
        <f>COUNTIFS(缺陷明细!$A$2:$A$50000,$B$4,缺陷明细!$G$2:$G$50000,$C53,缺陷明细!$Q$2:$Q$50000,"已关闭",缺陷明细!$J$2:$J$50000,"运维测试",缺陷明细!$K$2:$K$50000,"致命")+COUNTIFS(缺陷明细!$A$2:$A$50000,$B$4,缺陷明细!$G$2:$G$50000,$C53,缺陷明细!$Q$2:$Q$50000,"已关闭",缺陷明细!$J$2:$J$50000,"运维测试",缺陷明细!$K$2:$K$50000,"严重")</f>
        <v>0</v>
      </c>
      <c r="AC53" s="68">
        <f t="shared" si="0"/>
        <v>0</v>
      </c>
      <c r="AD53" s="60">
        <f t="shared" si="0"/>
        <v>0</v>
      </c>
      <c r="AE53" s="60">
        <f t="shared" si="1"/>
        <v>0</v>
      </c>
      <c r="AF53" s="60">
        <f t="shared" si="1"/>
        <v>0</v>
      </c>
      <c r="AG53" s="60">
        <f t="shared" si="2"/>
        <v>0</v>
      </c>
      <c r="AH53" s="60">
        <f t="shared" si="2"/>
        <v>0</v>
      </c>
      <c r="AI53" s="60">
        <f t="shared" si="3"/>
        <v>0</v>
      </c>
      <c r="AJ53" s="61">
        <f t="shared" si="3"/>
        <v>0</v>
      </c>
      <c r="AK53" s="144"/>
    </row>
    <row r="54" spans="1:37">
      <c r="A54">
        <v>50</v>
      </c>
      <c r="B54" s="57"/>
      <c r="C54" s="58"/>
      <c r="D54" s="84"/>
      <c r="E54" s="82"/>
      <c r="F54" s="158"/>
      <c r="G54" s="159"/>
      <c r="H54" s="281">
        <f>COUNTIFS(缺陷明细!$A$2:$A$50000,$B$4,缺陷明细!$G$2:$G$50000,$C54,缺陷明细!$J$2:$J$50000,"评审",缺陷明细!$AB$2:$AB$50000,"&lt;&gt;丢弃",缺陷明细!$AB$2:$AB$50000,"&lt;&gt;设计如此",缺陷明细!$AB$2:$AB$50000,"&lt;&gt;重复Bug")</f>
        <v>0</v>
      </c>
      <c r="I54" s="154">
        <f>COUNTIFS(缺陷明细!$A$2:$A$50000,$B$4,缺陷明细!$G$2:$G$50000,$C54,缺陷明细!$Q$2:$Q$50000,"已关闭",缺陷明细!$J$2:$J$50000,"评审")</f>
        <v>0</v>
      </c>
      <c r="J54" s="154">
        <f>COUNTIFS(缺陷明细!$A$2:$A$50000,$B$4,缺陷明细!$G$2:$G$50000,$C54,缺陷明细!$J$2:$J$50000,"单元测试",缺陷明细!$AB$2:$AB$50000,"&lt;&gt;丢弃",缺陷明细!$AB$2:$AB$50000,"&lt;&gt;设计如此",缺陷明细!$AB$2:$AB$50000,"&lt;&gt;重复Bug")</f>
        <v>0</v>
      </c>
      <c r="K54" s="155">
        <f>COUNTIFS(缺陷明细!$A$2:$A$50000,$B$4,缺陷明细!$G$2:$G$50000,$C54,缺陷明细!$Q$2:$Q$50000,"已关闭",缺陷明细!$J$2:$J$50000,"单元测试")</f>
        <v>0</v>
      </c>
      <c r="L54" s="156"/>
      <c r="M54" s="157"/>
      <c r="N54" s="72">
        <f>COUNTIFS(缺陷明细!$A$2:$A$50000,$B$4,缺陷明细!$G$2:$G$50000,$C54,缺陷明细!$J$2:$J$50000,"系统测试案例评审",缺陷明细!$AB$2:$AB$50000,"&lt;&gt;丢弃",缺陷明细!$AB$2:$AB$50000,"&lt;&gt;设计如此",缺陷明细!$AB$2:$AB$50000,"&lt;&gt;重复Bug")</f>
        <v>0</v>
      </c>
      <c r="O54" s="72">
        <f>COUNTIFS(缺陷明细!$A$2:$A$50000,$B$4,缺陷明细!$G$2:$G$50000,$C54,缺陷明细!$Q$2:$Q$50000,"已关闭",缺陷明细!$J$2:$J$50000,"系统测试案例评审")</f>
        <v>0</v>
      </c>
      <c r="P54" s="72">
        <f>COUNTIFS(缺陷明细!$A$2:$A$50000,$B$4,缺陷明细!$G$2:$G$50000,$C54,缺陷明细!$J$2:$J$50000,"系统测试",缺陷明细!$AB$2:$AB$50000,"&lt;&gt;丢弃",缺陷明细!$AB$2:$AB$50000,"&lt;&gt;设计如此",缺陷明细!$AB$2:$AB$50000,"&lt;&gt;重复Bug")</f>
        <v>0</v>
      </c>
      <c r="Q54" s="72">
        <f>COUNTIFS(缺陷明细!$A$2:$A$50000,$B$4,缺陷明细!$G$2:$G$50000,$C54,缺陷明细!$Q$2:$Q$50000,"已关闭",缺陷明细!$J$2:$J$50000,"系统测试")</f>
        <v>0</v>
      </c>
      <c r="R54" s="296">
        <f>COUNTIFS(缺陷明细!$A$2:$A$50000,$B$4,缺陷明细!$G$2:$G$50000,$C54,缺陷明细!$AB$2:$AB$50000,"丢弃",缺陷明细!$J$2:$J$50000,"系统测试")+COUNTIFS(缺陷明细!$A$2:$A$50000,$B$4,缺陷明细!$G$2:$G$50000,$C54,缺陷明细!$AB$2:$AB$50000,"设计如此",缺陷明细!$J$2:$J$50000,"系统测试")+COUNTIFS(缺陷明细!$A$2:$A$50000,$B$4,缺陷明细!$G$2:$G$50000,$C54,缺陷明细!$AB$2:$AB$50000,"重复Bug",缺陷明细!$J$2:$J$50000,"系统测试")</f>
        <v>0</v>
      </c>
      <c r="S54" s="72">
        <f>COUNTIFS(缺陷明细!$A$2:$A$50000,$B$4,缺陷明细!$G$2:$G$50000,$C54,缺陷明细!$J$2:$J$50000,"系统测试",缺陷明细!$K$2:$K$50000,"致命",缺陷明细!$AB$2:$AB$50000,"&lt;&gt;丢弃",缺陷明细!$AB$2:$AB$50000,"&lt;&gt;设计如此",缺陷明细!$AB$2:$AB$50000,"&lt;&gt;重复Bug")+COUNTIFS(缺陷明细!$A$2:$A$50000,$B$4,缺陷明细!$G$2:$G$50000,$C54,缺陷明细!$J$2:$J$50000,"系统测试",缺陷明细!$K$2:$K$50000,"严重",缺陷明细!$AB$2:$AB$50000,"&lt;&gt;丢弃",缺陷明细!$AB$2:$AB$50000,"&lt;&gt;设计如此",缺陷明细!$AB$2:$AB$50000,"&lt;&gt;重复Bug")</f>
        <v>0</v>
      </c>
      <c r="T54" s="73">
        <f>COUNTIFS(缺陷明细!$A$2:$A$50000,$B$4,缺陷明细!$G$2:$G$50000,$C54,缺陷明细!$Q$2:$Q$50000,"已关闭",缺陷明细!$J$2:$J$50000,"系统测试",缺陷明细!$K$2:$K$50000,"致命")+COUNTIFS(缺陷明细!$A$2:$A$50000,$B$4,缺陷明细!$G$2:$G$50000,$C54,缺陷明细!$Q$2:$Q$50000,"已关闭",缺陷明细!$J$2:$J$50000,"系统测试",缺陷明细!$K$2:$K$50000,"严重")</f>
        <v>0</v>
      </c>
      <c r="U54" s="74">
        <f>COUNTIFS(缺陷明细!$A$2:$A$50000,$B$4,缺陷明细!$G$2:$G$50000,$C54,缺陷明细!$J$2:$J$50000,"验收测试",缺陷明细!$AB$2:$AB$50000,"&lt;&gt;丢弃",缺陷明细!$AB$2:$AB$50000,"&lt;&gt;设计如此",缺陷明细!$AB$2:$AB$50000,"&lt;&gt;重复Bug")</f>
        <v>0</v>
      </c>
      <c r="V54" s="75">
        <f>COUNTIFS(缺陷明细!$A$2:$A$50000,$B$4,缺陷明细!$G$2:$G$50000,$C54,缺陷明细!$Q$2:$Q$50000,"已关闭",缺陷明细!$J$2:$J$50000,"验收测试")</f>
        <v>0</v>
      </c>
      <c r="W54" s="75">
        <f>COUNTIFS(缺陷明细!$A$2:$A$50000,$B$4,缺陷明细!$G$2:$G$50000,$C54,缺陷明细!$J$2:$J$50000,"验收测试",缺陷明细!$K$2:$K$50000,"致命",缺陷明细!$AB$2:$AB$50000,"&lt;&gt;丢弃",缺陷明细!$AB$2:$AB$50000,"&lt;&gt;设计如此",缺陷明细!$AB$2:$AB$50000,"&lt;&gt;重复Bug")+COUNTIFS(缺陷明细!$A$2:$A$50000,$B$4,缺陷明细!$G$2:$G$50000,$C54,缺陷明细!$J$2:$J$50000,"验收测试",缺陷明细!$K$2:$K$50000,"严重",缺陷明细!$AB$2:$AB$50000,"&lt;&gt;丢弃",缺陷明细!$AB$2:$AB$50000,"&lt;&gt;设计如此",缺陷明细!$AB$2:$AB$50000,"&lt;&gt;重复Bug")</f>
        <v>0</v>
      </c>
      <c r="X54" s="76">
        <f>COUNTIFS(缺陷明细!$A$2:$A$50000,$B$4,缺陷明细!$G$2:$G$50000,$C54,缺陷明细!$Q$2:$Q$50000,"已关闭",缺陷明细!$J$2:$J$50000,"验收测试",缺陷明细!$K$2:$K$50000,"致命")+COUNTIFS(缺陷明细!$A$2:$A$50000,$B$4,缺陷明细!$G$2:$G$50000,$C54,缺陷明细!$Q$2:$Q$50000,"已关闭",缺陷明细!$J$2:$J$50000,"验收测试",缺陷明细!$K$2:$K$50000,"严重")</f>
        <v>0</v>
      </c>
      <c r="Y54" s="70">
        <f>COUNTIFS(缺陷明细!$A$2:$A$50000,$B$4,缺陷明细!$G$2:$G$50000,$C54,缺陷明细!$J$2:$J$50000,"运维测试",缺陷明细!$AB$2:$AB$50000,"&lt;&gt;丢弃",缺陷明细!$AB$2:$AB$50000,"&lt;&gt;设计如此",缺陷明细!$AB$2:$AB$50000,"&lt;&gt;重复Bug")</f>
        <v>0</v>
      </c>
      <c r="Z54" s="71">
        <f>COUNTIFS(缺陷明细!$A$2:$A$50000,$B$4,缺陷明细!$G$2:$G$50000,$C54,缺陷明细!$Q$2:$Q$50000,"已关闭",缺陷明细!$J$2:$J$50000,"运维测试")</f>
        <v>0</v>
      </c>
      <c r="AA54" s="72">
        <f>COUNTIFS(缺陷明细!$A$2:$A$50000,$B$4,缺陷明细!$G$2:$G$50000,$C54,缺陷明细!$J$2:$J$50000,"运维测试",缺陷明细!$K$2:$K$50000,"致命",缺陷明细!$AB$2:$AB$50000,"&lt;&gt;丢弃",缺陷明细!$AB$2:$AB$50000,"&lt;&gt;设计如此",缺陷明细!$AB$2:$AB$50000,"&lt;&gt;重复Bug")+COUNTIFS(缺陷明细!$A$2:$A$50000,$B$4,缺陷明细!$G$2:$G$50000,$C54,缺陷明细!$J$2:$J$50000,"运维测试",缺陷明细!$K$2:$K$50000,"严重",缺陷明细!$AB$2:$AB$50000,"&lt;&gt;丢弃",缺陷明细!$AB$2:$AB$50000,"&lt;&gt;设计如此",缺陷明细!$AB$2:$AB$50000,"&lt;&gt;重复Bug")</f>
        <v>0</v>
      </c>
      <c r="AB54" s="73">
        <f>COUNTIFS(缺陷明细!$A$2:$A$50000,$B$4,缺陷明细!$G$2:$G$50000,$C54,缺陷明细!$Q$2:$Q$50000,"已关闭",缺陷明细!$J$2:$J$50000,"运维测试",缺陷明细!$K$2:$K$50000,"致命")+COUNTIFS(缺陷明细!$A$2:$A$50000,$B$4,缺陷明细!$G$2:$G$50000,$C54,缺陷明细!$Q$2:$Q$50000,"已关闭",缺陷明细!$J$2:$J$50000,"运维测试",缺陷明细!$K$2:$K$50000,"严重")</f>
        <v>0</v>
      </c>
      <c r="AC54" s="68">
        <f t="shared" si="0"/>
        <v>0</v>
      </c>
      <c r="AD54" s="60">
        <f t="shared" si="0"/>
        <v>0</v>
      </c>
      <c r="AE54" s="60">
        <f t="shared" si="1"/>
        <v>0</v>
      </c>
      <c r="AF54" s="60">
        <f t="shared" si="1"/>
        <v>0</v>
      </c>
      <c r="AG54" s="60">
        <f t="shared" si="2"/>
        <v>0</v>
      </c>
      <c r="AH54" s="60">
        <f t="shared" si="2"/>
        <v>0</v>
      </c>
      <c r="AI54" s="60">
        <f t="shared" si="3"/>
        <v>0</v>
      </c>
      <c r="AJ54" s="61">
        <f t="shared" si="3"/>
        <v>0</v>
      </c>
      <c r="AK54" s="144"/>
    </row>
    <row r="55" spans="1:37" ht="13.5" thickBot="1">
      <c r="B55" s="140"/>
      <c r="C55" s="102"/>
      <c r="D55" s="85"/>
      <c r="E55" s="149"/>
      <c r="F55" s="162"/>
      <c r="G55" s="163"/>
      <c r="H55" s="282">
        <f>COUNTIFS(缺陷明细!$A$2:$A$50000,$B$4,缺陷明细!$G$2:$G$50000,$C55,缺陷明细!$J$2:$J$50000,"评审",缺陷明细!$AB$2:$AB$50000,"&lt;&gt;丢弃",缺陷明细!$AB$2:$AB$50000,"&lt;&gt;设计如此",缺陷明细!$AB$2:$AB$50000,"&lt;&gt;重复Bug")</f>
        <v>0</v>
      </c>
      <c r="I55" s="283">
        <f>COUNTIFS(缺陷明细!$A$2:$A$50000,$B$4,缺陷明细!$G$2:$G$50000,$C55,缺陷明细!$Q$2:$Q$50000,"已关闭",缺陷明细!$J$2:$J$50000,"评审")</f>
        <v>0</v>
      </c>
      <c r="J55" s="283">
        <f>COUNTIFS(缺陷明细!$A$2:$A$50000,$B$4,缺陷明细!$G$2:$G$50000,$C55,缺陷明细!$J$2:$J$50000,"单元测试",缺陷明细!$AB$2:$AB$50000,"&lt;&gt;丢弃",缺陷明细!$AB$2:$AB$50000,"&lt;&gt;设计如此",缺陷明细!$AB$2:$AB$50000,"&lt;&gt;重复Bug")</f>
        <v>0</v>
      </c>
      <c r="K55" s="284">
        <f>COUNTIFS(缺陷明细!$A$2:$A$50000,$B$4,缺陷明细!$G$2:$G$50000,$C55,缺陷明细!$Q$2:$Q$50000,"已关闭",缺陷明细!$J$2:$J$50000,"单元测试")</f>
        <v>0</v>
      </c>
      <c r="L55" s="285"/>
      <c r="M55" s="286"/>
      <c r="N55" s="287">
        <f>COUNTIFS(缺陷明细!$A$2:$A$50000,$B$4,缺陷明细!$G$2:$G$50000,$C55,缺陷明细!$J$2:$J$50000,"系统测试案例评审",缺陷明细!$AB$2:$AB$50000,"&lt;&gt;丢弃",缺陷明细!$AB$2:$AB$50000,"&lt;&gt;设计如此",缺陷明细!$AB$2:$AB$50000,"&lt;&gt;重复Bug")</f>
        <v>0</v>
      </c>
      <c r="O55" s="287">
        <f>COUNTIFS(缺陷明细!$A$2:$A$50000,$B$4,缺陷明细!$G$2:$G$50000,$C55,缺陷明细!$Q$2:$Q$50000,"已关闭",缺陷明细!$J$2:$J$50000,"系统测试案例评审")</f>
        <v>0</v>
      </c>
      <c r="P55" s="287">
        <f>COUNTIFS(缺陷明细!$A$2:$A$50000,$B$4,缺陷明细!$G$2:$G$50000,$C55,缺陷明细!$J$2:$J$50000,"系统测试",缺陷明细!$AB$2:$AB$50000,"&lt;&gt;丢弃",缺陷明细!$AB$2:$AB$50000,"&lt;&gt;设计如此",缺陷明细!$AB$2:$AB$50000,"&lt;&gt;重复Bug")</f>
        <v>0</v>
      </c>
      <c r="Q55" s="287">
        <f>COUNTIFS(缺陷明细!$A$2:$A$50000,$B$4,缺陷明细!$G$2:$G$50000,$C55,缺陷明细!$Q$2:$Q$50000,"已关闭",缺陷明细!$J$2:$J$50000,"系统测试")</f>
        <v>0</v>
      </c>
      <c r="R55" s="297">
        <f>COUNTIFS(缺陷明细!$A$2:$A$50000,$B$4,缺陷明细!$G$2:$G$50000,$C55,缺陷明细!$AB$2:$AB$50000,"丢弃",缺陷明细!$J$2:$J$50000,"系统测试")+COUNTIFS(缺陷明细!$A$2:$A$50000,$B$4,缺陷明细!$G$2:$G$50000,$C55,缺陷明细!$AB$2:$AB$50000,"设计如此",缺陷明细!$J$2:$J$50000,"系统测试")+COUNTIFS(缺陷明细!$A$2:$A$50000,$B$4,缺陷明细!$G$2:$G$50000,$C55,缺陷明细!$AB$2:$AB$50000,"重复Bug",缺陷明细!$J$2:$J$50000,"系统测试")</f>
        <v>0</v>
      </c>
      <c r="S55" s="287">
        <f>COUNTIFS(缺陷明细!$A$2:$A$50000,$B$4,缺陷明细!$G$2:$G$50000,$C55,缺陷明细!$J$2:$J$50000,"系统测试",缺陷明细!$K$2:$K$50000,"致命",缺陷明细!$AB$2:$AB$50000,"&lt;&gt;丢弃",缺陷明细!$AB$2:$AB$50000,"&lt;&gt;设计如此",缺陷明细!$AB$2:$AB$50000,"&lt;&gt;重复Bug")+COUNTIFS(缺陷明细!$A$2:$A$50000,$B$4,缺陷明细!$G$2:$G$50000,$C55,缺陷明细!$J$2:$J$50000,"系统测试",缺陷明细!$K$2:$K$50000,"严重",缺陷明细!$AB$2:$AB$50000,"&lt;&gt;丢弃",缺陷明细!$AB$2:$AB$50000,"&lt;&gt;设计如此",缺陷明细!$AB$2:$AB$50000,"&lt;&gt;重复Bug")</f>
        <v>0</v>
      </c>
      <c r="T55" s="288">
        <f>COUNTIFS(缺陷明细!$A$2:$A$50000,$B$4,缺陷明细!$G$2:$G$50000,$C55,缺陷明细!$Q$2:$Q$50000,"已关闭",缺陷明细!$J$2:$J$50000,"系统测试",缺陷明细!$K$2:$K$50000,"致命")+COUNTIFS(缺陷明细!$A$2:$A$50000,$B$4,缺陷明细!$G$2:$G$50000,$C55,缺陷明细!$Q$2:$Q$50000,"已关闭",缺陷明细!$J$2:$J$50000,"系统测试",缺陷明细!$K$2:$K$50000,"严重")</f>
        <v>0</v>
      </c>
      <c r="U55" s="289">
        <f>COUNTIFS(缺陷明细!$A$2:$A$50000,$B$4,缺陷明细!$G$2:$G$50000,$C55,缺陷明细!$J$2:$J$50000,"验收测试",缺陷明细!$AB$2:$AB$50000,"&lt;&gt;丢弃",缺陷明细!$AB$2:$AB$50000,"&lt;&gt;设计如此",缺陷明细!$AB$2:$AB$50000,"&lt;&gt;重复Bug")</f>
        <v>0</v>
      </c>
      <c r="V55" s="290">
        <f>COUNTIFS(缺陷明细!$A$2:$A$50000,$B$4,缺陷明细!$G$2:$G$50000,$C55,缺陷明细!$Q$2:$Q$50000,"已关闭",缺陷明细!$J$2:$J$50000,"验收测试")</f>
        <v>0</v>
      </c>
      <c r="W55" s="290">
        <f>COUNTIFS(缺陷明细!$A$2:$A$50000,$B$4,缺陷明细!$G$2:$G$50000,$C55,缺陷明细!$J$2:$J$50000,"验收测试",缺陷明细!$K$2:$K$50000,"致命",缺陷明细!$AB$2:$AB$50000,"&lt;&gt;丢弃",缺陷明细!$AB$2:$AB$50000,"&lt;&gt;设计如此",缺陷明细!$AB$2:$AB$50000,"&lt;&gt;重复Bug")+COUNTIFS(缺陷明细!$A$2:$A$50000,$B$4,缺陷明细!$G$2:$G$50000,$C55,缺陷明细!$J$2:$J$50000,"验收测试",缺陷明细!$K$2:$K$50000,"严重",缺陷明细!$AB$2:$AB$50000,"&lt;&gt;丢弃",缺陷明细!$AB$2:$AB$50000,"&lt;&gt;设计如此",缺陷明细!$AB$2:$AB$50000,"&lt;&gt;重复Bug")</f>
        <v>0</v>
      </c>
      <c r="X55" s="291">
        <f>COUNTIFS(缺陷明细!$A$2:$A$50000,$B$4,缺陷明细!$G$2:$G$50000,$C55,缺陷明细!$Q$2:$Q$50000,"已关闭",缺陷明细!$J$2:$J$50000,"验收测试",缺陷明细!$K$2:$K$50000,"致命")+COUNTIFS(缺陷明细!$A$2:$A$50000,$B$4,缺陷明细!$G$2:$G$50000,$C55,缺陷明细!$Q$2:$Q$50000,"已关闭",缺陷明细!$J$2:$J$50000,"验收测试",缺陷明细!$K$2:$K$50000,"严重")</f>
        <v>0</v>
      </c>
      <c r="Y55" s="292">
        <f>COUNTIFS(缺陷明细!$A$2:$A$50000,$B$4,缺陷明细!$G$2:$G$50000,$C55,缺陷明细!$J$2:$J$50000,"运维测试",缺陷明细!$AB$2:$AB$50000,"&lt;&gt;丢弃",缺陷明细!$AB$2:$AB$50000,"&lt;&gt;设计如此",缺陷明细!$AB$2:$AB$50000,"&lt;&gt;重复Bug")</f>
        <v>0</v>
      </c>
      <c r="Z55" s="293">
        <f>COUNTIFS(缺陷明细!$A$2:$A$50000,$B$4,缺陷明细!$G$2:$G$50000,$C55,缺陷明细!$Q$2:$Q$50000,"已关闭",缺陷明细!$J$2:$J$50000,"运维测试")</f>
        <v>0</v>
      </c>
      <c r="AA55" s="287">
        <f>COUNTIFS(缺陷明细!$A$2:$A$50000,$B$4,缺陷明细!$G$2:$G$50000,$C55,缺陷明细!$J$2:$J$50000,"运维测试",缺陷明细!$K$2:$K$50000,"致命",缺陷明细!$AB$2:$AB$50000,"&lt;&gt;丢弃",缺陷明细!$AB$2:$AB$50000,"&lt;&gt;设计如此",缺陷明细!$AB$2:$AB$50000,"&lt;&gt;重复Bug")+COUNTIFS(缺陷明细!$A$2:$A$50000,$B$4,缺陷明细!$G$2:$G$50000,$C55,缺陷明细!$J$2:$J$50000,"运维测试",缺陷明细!$K$2:$K$50000,"严重",缺陷明细!$AB$2:$AB$50000,"&lt;&gt;丢弃",缺陷明细!$AB$2:$AB$50000,"&lt;&gt;设计如此",缺陷明细!$AB$2:$AB$50000,"&lt;&gt;重复Bug")</f>
        <v>0</v>
      </c>
      <c r="AB55" s="288">
        <f>COUNTIFS(缺陷明细!$A$2:$A$50000,$B$4,缺陷明细!$G$2:$G$50000,$C55,缺陷明细!$Q$2:$Q$50000,"已关闭",缺陷明细!$J$2:$J$50000,"运维测试",缺陷明细!$K$2:$K$50000,"致命")+COUNTIFS(缺陷明细!$A$2:$A$50000,$B$4,缺陷明细!$G$2:$G$50000,$C55,缺陷明细!$Q$2:$Q$50000,"已关闭",缺陷明细!$J$2:$J$50000,"运维测试",缺陷明细!$K$2:$K$50000,"严重")</f>
        <v>0</v>
      </c>
      <c r="AC55" s="150">
        <f t="shared" si="0"/>
        <v>0</v>
      </c>
      <c r="AD55" s="151">
        <f t="shared" si="0"/>
        <v>0</v>
      </c>
      <c r="AE55" s="151">
        <f t="shared" si="1"/>
        <v>0</v>
      </c>
      <c r="AF55" s="151">
        <f t="shared" si="1"/>
        <v>0</v>
      </c>
      <c r="AG55" s="151">
        <f t="shared" si="2"/>
        <v>0</v>
      </c>
      <c r="AH55" s="151">
        <f t="shared" si="2"/>
        <v>0</v>
      </c>
      <c r="AI55" s="151">
        <f t="shared" si="3"/>
        <v>0</v>
      </c>
      <c r="AJ55" s="141">
        <f t="shared" si="3"/>
        <v>0</v>
      </c>
      <c r="AK55" s="145"/>
    </row>
    <row r="56" spans="1:37">
      <c r="B56" s="417" t="s">
        <v>223</v>
      </c>
      <c r="C56" s="418"/>
      <c r="D56" s="135">
        <f>COUNTA(D5:D55)</f>
        <v>0</v>
      </c>
      <c r="E56" s="135">
        <f>COUNTIF(E2:E55,"是")</f>
        <v>0</v>
      </c>
      <c r="F56" s="135">
        <f>SUMIFS(F5:F500,$E$5:$E$500,"是")</f>
        <v>0</v>
      </c>
      <c r="G56" s="135">
        <f t="shared" ref="G56:AJ56" si="4">SUMIFS(G5:G500,$E$5:$E$500,"是")</f>
        <v>0</v>
      </c>
      <c r="H56" s="135">
        <f t="shared" si="4"/>
        <v>0</v>
      </c>
      <c r="I56" s="135">
        <f t="shared" si="4"/>
        <v>0</v>
      </c>
      <c r="J56" s="135">
        <f t="shared" si="4"/>
        <v>0</v>
      </c>
      <c r="K56" s="135">
        <f t="shared" si="4"/>
        <v>0</v>
      </c>
      <c r="L56" s="135">
        <f t="shared" si="4"/>
        <v>0</v>
      </c>
      <c r="M56" s="135">
        <f t="shared" si="4"/>
        <v>0</v>
      </c>
      <c r="N56" s="135">
        <f t="shared" si="4"/>
        <v>0</v>
      </c>
      <c r="O56" s="135">
        <f t="shared" si="4"/>
        <v>0</v>
      </c>
      <c r="P56" s="135">
        <f t="shared" si="4"/>
        <v>0</v>
      </c>
      <c r="Q56" s="135">
        <f t="shared" si="4"/>
        <v>0</v>
      </c>
      <c r="R56" s="135">
        <f t="shared" si="4"/>
        <v>0</v>
      </c>
      <c r="S56" s="135">
        <f t="shared" si="4"/>
        <v>0</v>
      </c>
      <c r="T56" s="135">
        <f t="shared" si="4"/>
        <v>0</v>
      </c>
      <c r="U56" s="135">
        <f t="shared" si="4"/>
        <v>0</v>
      </c>
      <c r="V56" s="135">
        <f t="shared" si="4"/>
        <v>0</v>
      </c>
      <c r="W56" s="135">
        <f t="shared" si="4"/>
        <v>0</v>
      </c>
      <c r="X56" s="135">
        <f t="shared" si="4"/>
        <v>0</v>
      </c>
      <c r="Y56" s="135">
        <f t="shared" si="4"/>
        <v>0</v>
      </c>
      <c r="Z56" s="135">
        <f t="shared" si="4"/>
        <v>0</v>
      </c>
      <c r="AA56" s="135">
        <f t="shared" si="4"/>
        <v>0</v>
      </c>
      <c r="AB56" s="135">
        <f t="shared" si="4"/>
        <v>0</v>
      </c>
      <c r="AC56" s="135">
        <f t="shared" si="4"/>
        <v>0</v>
      </c>
      <c r="AD56" s="135">
        <f t="shared" si="4"/>
        <v>0</v>
      </c>
      <c r="AE56" s="135">
        <f t="shared" si="4"/>
        <v>0</v>
      </c>
      <c r="AF56" s="135">
        <f t="shared" si="4"/>
        <v>0</v>
      </c>
      <c r="AG56" s="135">
        <f t="shared" si="4"/>
        <v>0</v>
      </c>
      <c r="AH56" s="135">
        <f t="shared" si="4"/>
        <v>0</v>
      </c>
      <c r="AI56" s="135">
        <f t="shared" si="4"/>
        <v>0</v>
      </c>
      <c r="AJ56" s="135">
        <f t="shared" si="4"/>
        <v>0</v>
      </c>
      <c r="AK56" s="30"/>
    </row>
    <row r="57" spans="1:37">
      <c r="C57" s="146"/>
      <c r="D57" s="147"/>
      <c r="E57" s="136"/>
      <c r="F57" s="136"/>
      <c r="G57" s="136"/>
      <c r="H57" s="137"/>
      <c r="I57" s="137"/>
      <c r="J57" s="137"/>
      <c r="K57" s="137"/>
      <c r="L57" s="137"/>
      <c r="M57" s="137"/>
      <c r="N57" s="137"/>
      <c r="O57" s="137"/>
      <c r="P57" s="137"/>
      <c r="Q57" s="137"/>
      <c r="R57" s="137"/>
      <c r="S57" s="137"/>
      <c r="T57" s="137"/>
      <c r="U57" s="137"/>
      <c r="V57" s="137"/>
      <c r="W57" s="137"/>
      <c r="X57" s="137"/>
      <c r="Y57" s="137"/>
      <c r="Z57" s="137"/>
      <c r="AA57" s="137"/>
      <c r="AB57" s="137"/>
      <c r="AC57" s="137"/>
      <c r="AD57" s="137"/>
      <c r="AE57" s="137"/>
      <c r="AF57" s="137"/>
      <c r="AG57" s="137"/>
      <c r="AH57" s="137"/>
      <c r="AI57" s="137"/>
      <c r="AJ57" s="137"/>
    </row>
    <row r="59" spans="1:37">
      <c r="F59" s="95"/>
    </row>
  </sheetData>
  <mergeCells count="13">
    <mergeCell ref="B56:C56"/>
    <mergeCell ref="B2:B3"/>
    <mergeCell ref="C2:C3"/>
    <mergeCell ref="D2:D3"/>
    <mergeCell ref="E2:E3"/>
    <mergeCell ref="AC2:AJ2"/>
    <mergeCell ref="AK2:AK3"/>
    <mergeCell ref="U2:X2"/>
    <mergeCell ref="H1:AB1"/>
    <mergeCell ref="F2:G2"/>
    <mergeCell ref="H2:K2"/>
    <mergeCell ref="L2:T2"/>
    <mergeCell ref="Y2:AB2"/>
  </mergeCells>
  <phoneticPr fontId="13" type="noConversion"/>
  <dataValidations count="1">
    <dataValidation type="list" allowBlank="1" showInputMessage="1" showErrorMessage="1" sqref="E5:E55">
      <formula1>"是,否"</formula1>
    </dataValidation>
  </dataValidation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00FF"/>
  </sheetPr>
  <dimension ref="A1:AK59"/>
  <sheetViews>
    <sheetView workbookViewId="0">
      <selection activeCell="M12" sqref="M12"/>
    </sheetView>
  </sheetViews>
  <sheetFormatPr defaultColWidth="9" defaultRowHeight="12.75"/>
  <cols>
    <col min="1" max="1" width="5.140625" customWidth="1"/>
    <col min="3" max="3" width="29.28515625" customWidth="1"/>
    <col min="4" max="4" width="6.28515625" customWidth="1"/>
    <col min="5" max="5" width="5.85546875" style="38" customWidth="1"/>
    <col min="6" max="7" width="5.7109375" style="38" customWidth="1"/>
    <col min="8" max="36" width="5.7109375" customWidth="1"/>
    <col min="37" max="37" width="20" customWidth="1"/>
    <col min="38" max="38" width="8.140625" customWidth="1"/>
  </cols>
  <sheetData>
    <row r="1" spans="1:37" ht="13.5" customHeight="1" thickBot="1">
      <c r="A1" s="29"/>
      <c r="B1" s="259" t="s">
        <v>61</v>
      </c>
      <c r="C1" s="259"/>
      <c r="D1" s="259"/>
      <c r="E1" s="259"/>
      <c r="F1" s="260"/>
      <c r="G1" s="260"/>
      <c r="H1" s="402" t="s">
        <v>63</v>
      </c>
      <c r="I1" s="402"/>
      <c r="J1" s="402"/>
      <c r="K1" s="402"/>
      <c r="L1" s="402"/>
      <c r="M1" s="402"/>
      <c r="N1" s="402"/>
      <c r="O1" s="402"/>
      <c r="P1" s="402"/>
      <c r="Q1" s="402"/>
      <c r="R1" s="402"/>
      <c r="S1" s="402"/>
      <c r="T1" s="402"/>
      <c r="U1" s="402"/>
      <c r="V1" s="402"/>
      <c r="W1" s="402"/>
      <c r="X1" s="402"/>
      <c r="Y1" s="402"/>
      <c r="Z1" s="402"/>
      <c r="AA1" s="402"/>
      <c r="AB1" s="402"/>
      <c r="AC1" s="138"/>
      <c r="AD1" s="138"/>
      <c r="AE1" s="138"/>
      <c r="AF1" s="138"/>
      <c r="AG1" s="138"/>
      <c r="AH1" s="138"/>
      <c r="AI1" s="138"/>
      <c r="AJ1" s="139"/>
      <c r="AK1" s="148"/>
    </row>
    <row r="2" spans="1:37" ht="12.75" customHeight="1" thickBot="1">
      <c r="B2" s="419" t="s">
        <v>195</v>
      </c>
      <c r="C2" s="403" t="s">
        <v>60</v>
      </c>
      <c r="D2" s="405" t="s">
        <v>104</v>
      </c>
      <c r="E2" s="421" t="s">
        <v>196</v>
      </c>
      <c r="F2" s="403" t="s">
        <v>197</v>
      </c>
      <c r="G2" s="404"/>
      <c r="H2" s="423" t="s">
        <v>224</v>
      </c>
      <c r="I2" s="423"/>
      <c r="J2" s="423"/>
      <c r="K2" s="423"/>
      <c r="L2" s="424" t="s">
        <v>198</v>
      </c>
      <c r="M2" s="425"/>
      <c r="N2" s="425"/>
      <c r="O2" s="425"/>
      <c r="P2" s="425"/>
      <c r="Q2" s="425"/>
      <c r="R2" s="425"/>
      <c r="S2" s="425"/>
      <c r="T2" s="426"/>
      <c r="U2" s="415" t="s">
        <v>44</v>
      </c>
      <c r="V2" s="416"/>
      <c r="W2" s="416"/>
      <c r="X2" s="416"/>
      <c r="Y2" s="408" t="s">
        <v>64</v>
      </c>
      <c r="Z2" s="409"/>
      <c r="AA2" s="409"/>
      <c r="AB2" s="409"/>
      <c r="AC2" s="410" t="s">
        <v>2</v>
      </c>
      <c r="AD2" s="411"/>
      <c r="AE2" s="411"/>
      <c r="AF2" s="411"/>
      <c r="AG2" s="411"/>
      <c r="AH2" s="411"/>
      <c r="AI2" s="411"/>
      <c r="AJ2" s="412"/>
      <c r="AK2" s="413" t="s">
        <v>4</v>
      </c>
    </row>
    <row r="3" spans="1:37" ht="84.75" thickBot="1">
      <c r="B3" s="420"/>
      <c r="C3" s="407"/>
      <c r="D3" s="406"/>
      <c r="E3" s="422"/>
      <c r="F3" s="261" t="s">
        <v>284</v>
      </c>
      <c r="G3" s="262" t="s">
        <v>285</v>
      </c>
      <c r="H3" s="34" t="s">
        <v>105</v>
      </c>
      <c r="I3" s="34" t="s">
        <v>106</v>
      </c>
      <c r="J3" s="34" t="s">
        <v>107</v>
      </c>
      <c r="K3" s="34" t="s">
        <v>108</v>
      </c>
      <c r="L3" s="33" t="s">
        <v>200</v>
      </c>
      <c r="M3" s="34" t="s">
        <v>201</v>
      </c>
      <c r="N3" s="31" t="s">
        <v>45</v>
      </c>
      <c r="O3" s="31" t="s">
        <v>46</v>
      </c>
      <c r="P3" s="31" t="s">
        <v>34</v>
      </c>
      <c r="Q3" s="31" t="s">
        <v>36</v>
      </c>
      <c r="R3" s="31" t="s">
        <v>293</v>
      </c>
      <c r="S3" s="31" t="s">
        <v>35</v>
      </c>
      <c r="T3" s="32" t="s">
        <v>37</v>
      </c>
      <c r="U3" s="99" t="s">
        <v>125</v>
      </c>
      <c r="V3" s="35" t="s">
        <v>126</v>
      </c>
      <c r="W3" s="35" t="s">
        <v>202</v>
      </c>
      <c r="X3" s="35" t="s">
        <v>127</v>
      </c>
      <c r="Y3" s="99" t="s">
        <v>65</v>
      </c>
      <c r="Z3" s="35" t="s">
        <v>66</v>
      </c>
      <c r="AA3" s="35" t="s">
        <v>67</v>
      </c>
      <c r="AB3" s="36" t="s">
        <v>204</v>
      </c>
      <c r="AC3" s="33" t="s">
        <v>38</v>
      </c>
      <c r="AD3" s="31" t="s">
        <v>39</v>
      </c>
      <c r="AE3" s="31" t="s">
        <v>40</v>
      </c>
      <c r="AF3" s="31" t="s">
        <v>41</v>
      </c>
      <c r="AG3" s="31" t="s">
        <v>128</v>
      </c>
      <c r="AH3" s="31" t="s">
        <v>130</v>
      </c>
      <c r="AI3" s="31" t="s">
        <v>131</v>
      </c>
      <c r="AJ3" s="32" t="s">
        <v>129</v>
      </c>
      <c r="AK3" s="414"/>
    </row>
    <row r="4" spans="1:37" ht="13.5" thickBot="1">
      <c r="B4" s="96" t="s">
        <v>263</v>
      </c>
      <c r="C4" s="80" t="s">
        <v>221</v>
      </c>
      <c r="D4" s="134"/>
      <c r="E4" s="130"/>
      <c r="F4" s="100"/>
      <c r="G4" s="81"/>
      <c r="H4" s="69"/>
      <c r="I4" s="63"/>
      <c r="J4" s="63"/>
      <c r="K4" s="64"/>
      <c r="L4" s="77"/>
      <c r="M4" s="101"/>
      <c r="N4" s="63"/>
      <c r="O4" s="63"/>
      <c r="P4" s="63"/>
      <c r="Q4" s="63"/>
      <c r="R4" s="63"/>
      <c r="S4" s="63"/>
      <c r="T4" s="64"/>
      <c r="U4" s="62"/>
      <c r="V4" s="63"/>
      <c r="W4" s="63"/>
      <c r="X4" s="64"/>
      <c r="Y4" s="62"/>
      <c r="Z4" s="63"/>
      <c r="AA4" s="63"/>
      <c r="AB4" s="64"/>
      <c r="AC4" s="69"/>
      <c r="AD4" s="63"/>
      <c r="AE4" s="63"/>
      <c r="AF4" s="63"/>
      <c r="AG4" s="63"/>
      <c r="AH4" s="63"/>
      <c r="AI4" s="63"/>
      <c r="AJ4" s="64"/>
      <c r="AK4" s="142"/>
    </row>
    <row r="5" spans="1:37">
      <c r="A5">
        <v>1</v>
      </c>
      <c r="B5" s="78"/>
      <c r="C5" s="79"/>
      <c r="D5" s="82"/>
      <c r="E5" s="82"/>
      <c r="F5" s="152"/>
      <c r="G5" s="153"/>
      <c r="H5" s="271">
        <f>COUNTIFS(缺陷明细!$A$2:$A$50000,$B$4,缺陷明细!$G$2:$G$50000,$C5,缺陷明细!$J$2:$J$50000,"评审",缺陷明细!$AB$2:$AB$50000,"&lt;&gt;丢弃",缺陷明细!$AB$2:$AB$50000,"&lt;&gt;设计如此",缺陷明细!$AB$2:$AB$50000,"&lt;&gt;重复Bug")</f>
        <v>0</v>
      </c>
      <c r="I5" s="272">
        <f>COUNTIFS(缺陷明细!$A$2:$A$50000,$B$4,缺陷明细!$G$2:$G$50000,$C5,缺陷明细!$Q$2:$Q$50000,"已关闭",缺陷明细!$J$2:$J$50000,"评审")</f>
        <v>0</v>
      </c>
      <c r="J5" s="272">
        <f>COUNTIFS(缺陷明细!$A$2:$A$50000,$B$4,缺陷明细!$G$2:$G$50000,$C5,缺陷明细!$J$2:$J$50000,"单元测试",缺陷明细!$AB$2:$AB$50000,"&lt;&gt;丢弃",缺陷明细!$AB$2:$AB$50000,"&lt;&gt;设计如此",缺陷明细!$AB$2:$AB$50000,"&lt;&gt;重复Bug")</f>
        <v>0</v>
      </c>
      <c r="K5" s="273">
        <f>COUNTIFS(缺陷明细!$A$2:$A$50000,$B$4,缺陷明细!$G$2:$G$50000,$C5,缺陷明细!$Q$2:$Q$50000,"已关闭",缺陷明细!$J$2:$J$50000,"单元测试")</f>
        <v>0</v>
      </c>
      <c r="L5" s="156"/>
      <c r="M5" s="157"/>
      <c r="N5" s="72">
        <f>COUNTIFS(缺陷明细!$A$2:$A$50000,$B$4,缺陷明细!$G$2:$G$50000,$C5,缺陷明细!$J$2:$J$50000,"系统测试案例评审",缺陷明细!$AB$2:$AB$50000,"&lt;&gt;丢弃",缺陷明细!$AB$2:$AB$50000,"&lt;&gt;设计如此",缺陷明细!$AB$2:$AB$50000,"&lt;&gt;重复Bug")</f>
        <v>0</v>
      </c>
      <c r="O5" s="72">
        <f>COUNTIFS(缺陷明细!$A$2:$A$50000,$B$4,缺陷明细!$G$2:$G$50000,$C5,缺陷明细!$Q$2:$Q$50000,"已关闭",缺陷明细!$J$2:$J$50000,"系统测试案例评审")</f>
        <v>0</v>
      </c>
      <c r="P5" s="72">
        <f>COUNTIFS(缺陷明细!$A$2:$A$50000,$B$4,缺陷明细!$G$2:$G$50000,$C5,缺陷明细!$J$2:$J$50000,"系统测试",缺陷明细!$AB$2:$AB$50000,"&lt;&gt;丢弃",缺陷明细!$AB$2:$AB$50000,"&lt;&gt;设计如此",缺陷明细!$AB$2:$AB$50000,"&lt;&gt;重复Bug")</f>
        <v>0</v>
      </c>
      <c r="Q5" s="72">
        <f>COUNTIFS(缺陷明细!$A$2:$A$50000,$B$4,缺陷明细!$G$2:$G$50000,$C5,缺陷明细!$Q$2:$Q$50000,"已关闭",缺陷明细!$J$2:$J$50000,"系统测试")</f>
        <v>0</v>
      </c>
      <c r="R5" s="72">
        <f>COUNTIFS(缺陷明细!$A$2:$A$50000,$B$4,缺陷明细!$G$2:$G$50000,$C5,缺陷明细!$AB$2:$AB$50000,"丢弃",缺陷明细!$J$2:$J$50000,"系统测试")+COUNTIFS(缺陷明细!$A$2:$A$50000,$B$4,缺陷明细!$G$2:$G$50000,$C5,缺陷明细!$AB$2:$AB$50000,"设计如此",缺陷明细!$J$2:$J$50000,"系统测试")+COUNTIFS(缺陷明细!$A$2:$A$50000,$B$4,缺陷明细!$G$2:$G$50000,$C5,缺陷明细!$AB$2:$AB$50000,"重复Bug",缺陷明细!$J$2:$J$50000,"系统测试")</f>
        <v>0</v>
      </c>
      <c r="S5" s="72">
        <f>COUNTIFS(缺陷明细!$A$2:$A$50000,$B$4,缺陷明细!$G$2:$G$50000,$C5,缺陷明细!$J$2:$J$50000,"系统测试",缺陷明细!$K$2:$K$50000,"致命",缺陷明细!$AB$2:$AB$50000,"&lt;&gt;丢弃",缺陷明细!$AB$2:$AB$50000,"&lt;&gt;设计如此",缺陷明细!$AB$2:$AB$50000,"&lt;&gt;重复Bug")+COUNTIFS(缺陷明细!$A$2:$A$50000,$B$4,缺陷明细!$G$2:$G$50000,$C5,缺陷明细!$J$2:$J$50000,"系统测试",缺陷明细!$K$2:$K$50000,"严重",缺陷明细!$AB$2:$AB$50000,"&lt;&gt;丢弃",缺陷明细!$AB$2:$AB$50000,"&lt;&gt;设计如此",缺陷明细!$AB$2:$AB$50000,"&lt;&gt;重复Bug")</f>
        <v>0</v>
      </c>
      <c r="T5" s="73">
        <f>COUNTIFS(缺陷明细!$A$2:$A$50000,$B$4,缺陷明细!$G$2:$G$50000,$C5,缺陷明细!$Q$2:$Q$50000,"已关闭",缺陷明细!$J$2:$J$50000,"系统测试",缺陷明细!$K$2:$K$50000,"致命")+COUNTIFS(缺陷明细!$A$2:$A$50000,$B$4,缺陷明细!$G$2:$G$50000,$C5,缺陷明细!$Q$2:$Q$50000,"已关闭",缺陷明细!$J$2:$J$50000,"系统测试",缺陷明细!$K$2:$K$50000,"严重")</f>
        <v>0</v>
      </c>
      <c r="U5" s="276">
        <f>COUNTIFS(缺陷明细!$A$2:$A$50000,$B$4,缺陷明细!$G$2:$G$50000,$C5,缺陷明细!$J$2:$J$50000,"验收测试",缺陷明细!$AB$2:$AB$50000,"&lt;&gt;丢弃",缺陷明细!$AB$2:$AB$50000,"&lt;&gt;设计如此",缺陷明细!$AB$2:$AB$50000,"&lt;&gt;重复Bug")</f>
        <v>0</v>
      </c>
      <c r="V5" s="277">
        <f>COUNTIFS(缺陷明细!$A$2:$A$50000,$B$4,缺陷明细!$G$2:$G$50000,$C5,缺陷明细!$Q$2:$Q$50000,"已关闭",缺陷明细!$J$2:$J$50000,"验收测试")</f>
        <v>0</v>
      </c>
      <c r="W5" s="277">
        <f>COUNTIFS(缺陷明细!$A$2:$A$50000,$B$4,缺陷明细!$G$2:$G$50000,$C5,缺陷明细!$J$2:$J$50000,"验收测试",缺陷明细!$K$2:$K$50000,"致命",缺陷明细!$AB$2:$AB$50000,"&lt;&gt;丢弃",缺陷明细!$AB$2:$AB$50000,"&lt;&gt;设计如此",缺陷明细!$AB$2:$AB$50000,"&lt;&gt;重复Bug")+COUNTIFS(缺陷明细!$A$2:$A$50000,$B$4,缺陷明细!$G$2:$G$50000,$C5,缺陷明细!$J$2:$J$50000,"验收测试",缺陷明细!$K$2:$K$50000,"严重",缺陷明细!$AB$2:$AB$50000,"&lt;&gt;丢弃",缺陷明细!$AB$2:$AB$50000,"&lt;&gt;设计如此",缺陷明细!$AB$2:$AB$50000,"&lt;&gt;重复Bug")</f>
        <v>0</v>
      </c>
      <c r="X5" s="278">
        <f>COUNTIFS(缺陷明细!$A$2:$A$50000,$B$4,缺陷明细!$G$2:$G$50000,$C5,缺陷明细!$Q$2:$Q$50000,"已关闭",缺陷明细!$J$2:$J$50000,"验收测试",缺陷明细!$K$2:$K$50000,"致命")+COUNTIFS(缺陷明细!$A$2:$A$50000,$B$4,缺陷明细!$G$2:$G$50000,$C5,缺陷明细!$Q$2:$Q$50000,"已关闭",缺陷明细!$J$2:$J$50000,"验收测试",缺陷明细!$K$2:$K$50000,"严重")</f>
        <v>0</v>
      </c>
      <c r="Y5" s="279">
        <f>COUNTIFS(缺陷明细!$A$2:$A$50000,$B$4,缺陷明细!$G$2:$G$50000,$C5,缺陷明细!$J$2:$J$50000,"运维测试",缺陷明细!$AB$2:$AB$50000,"&lt;&gt;丢弃",缺陷明细!$AB$2:$AB$50000,"&lt;&gt;设计如此",缺陷明细!$AB$2:$AB$50000,"&lt;&gt;重复Bug")</f>
        <v>0</v>
      </c>
      <c r="Z5" s="280">
        <f>COUNTIFS(缺陷明细!$A$2:$A$50000,$B$4,缺陷明细!$G$2:$G$50000,$C5,缺陷明细!$Q$2:$Q$50000,"已关闭",缺陷明细!$J$2:$J$50000,"运维测试")</f>
        <v>0</v>
      </c>
      <c r="AA5" s="274">
        <f>COUNTIFS(缺陷明细!$A$2:$A$50000,$B$4,缺陷明细!$G$2:$G$50000,$C5,缺陷明细!$J$2:$J$50000,"运维测试",缺陷明细!$K$2:$K$50000,"致命",缺陷明细!$AB$2:$AB$50000,"&lt;&gt;丢弃",缺陷明细!$AB$2:$AB$50000,"&lt;&gt;设计如此",缺陷明细!$AB$2:$AB$50000,"&lt;&gt;重复Bug")+COUNTIFS(缺陷明细!$A$2:$A$50000,$B$4,缺陷明细!$G$2:$G$50000,$C5,缺陷明细!$J$2:$J$50000,"运维测试",缺陷明细!$K$2:$K$50000,"严重",缺陷明细!$AB$2:$AB$50000,"&lt;&gt;丢弃",缺陷明细!$AB$2:$AB$50000,"&lt;&gt;设计如此",缺陷明细!$AB$2:$AB$50000,"&lt;&gt;重复Bug")</f>
        <v>0</v>
      </c>
      <c r="AB5" s="275">
        <f>COUNTIFS(缺陷明细!$A$2:$A$50000,$B$4,缺陷明细!$G$2:$G$50000,$C5,缺陷明细!$Q$2:$Q$50000,"已关闭",缺陷明细!$J$2:$J$50000,"运维测试",缺陷明细!$K$2:$K$50000,"致命")+COUNTIFS(缺陷明细!$A$2:$A$50000,$B$4,缺陷明细!$G$2:$G$50000,$C5,缺陷明细!$Q$2:$Q$50000,"已关闭",缺陷明细!$J$2:$J$50000,"运维测试",缺陷明细!$K$2:$K$50000,"严重")</f>
        <v>0</v>
      </c>
      <c r="AC5" s="68">
        <f>H5</f>
        <v>0</v>
      </c>
      <c r="AD5" s="60">
        <f>I5</f>
        <v>0</v>
      </c>
      <c r="AE5" s="60">
        <f>H5+J5</f>
        <v>0</v>
      </c>
      <c r="AF5" s="60">
        <f>I5+K5</f>
        <v>0</v>
      </c>
      <c r="AG5" s="60">
        <f>H5+J5+P5</f>
        <v>0</v>
      </c>
      <c r="AH5" s="60">
        <f>I5+K5+Q5</f>
        <v>0</v>
      </c>
      <c r="AI5" s="60">
        <f>Y5</f>
        <v>0</v>
      </c>
      <c r="AJ5" s="61">
        <f>Z5</f>
        <v>0</v>
      </c>
      <c r="AK5" s="143"/>
    </row>
    <row r="6" spans="1:37">
      <c r="A6">
        <v>2</v>
      </c>
      <c r="B6" s="57"/>
      <c r="C6" s="58"/>
      <c r="D6" s="83"/>
      <c r="E6" s="82"/>
      <c r="F6" s="158"/>
      <c r="G6" s="159"/>
      <c r="H6" s="281">
        <f>COUNTIFS(缺陷明细!$A$2:$A$50000,$B$4,缺陷明细!$G$2:$G$50000,$C6,缺陷明细!$J$2:$J$50000,"评审",缺陷明细!$AB$2:$AB$50000,"&lt;&gt;丢弃",缺陷明细!$AB$2:$AB$50000,"&lt;&gt;设计如此",缺陷明细!$AB$2:$AB$50000,"&lt;&gt;重复Bug")</f>
        <v>0</v>
      </c>
      <c r="I6" s="154">
        <f>COUNTIFS(缺陷明细!$A$2:$A$50000,$B$4,缺陷明细!$G$2:$G$50000,$C6,缺陷明细!$Q$2:$Q$50000,"已关闭",缺陷明细!$J$2:$J$50000,"评审")</f>
        <v>0</v>
      </c>
      <c r="J6" s="154">
        <f>COUNTIFS(缺陷明细!$A$2:$A$50000,$B$4,缺陷明细!$G$2:$G$50000,$C6,缺陷明细!$J$2:$J$50000,"单元测试",缺陷明细!$AB$2:$AB$50000,"&lt;&gt;丢弃",缺陷明细!$AB$2:$AB$50000,"&lt;&gt;设计如此",缺陷明细!$AB$2:$AB$50000,"&lt;&gt;重复Bug")</f>
        <v>0</v>
      </c>
      <c r="K6" s="155">
        <f>COUNTIFS(缺陷明细!$A$2:$A$50000,$B$4,缺陷明细!$G$2:$G$50000,$C6,缺陷明细!$Q$2:$Q$50000,"已关闭",缺陷明细!$J$2:$J$50000,"单元测试")</f>
        <v>0</v>
      </c>
      <c r="L6" s="156"/>
      <c r="M6" s="157"/>
      <c r="N6" s="72">
        <f>COUNTIFS(缺陷明细!$A$2:$A$50000,$B$4,缺陷明细!$G$2:$G$50000,$C6,缺陷明细!$J$2:$J$50000,"系统测试案例评审",缺陷明细!$AB$2:$AB$50000,"&lt;&gt;丢弃",缺陷明细!$AB$2:$AB$50000,"&lt;&gt;设计如此",缺陷明细!$AB$2:$AB$50000,"&lt;&gt;重复Bug")</f>
        <v>0</v>
      </c>
      <c r="O6" s="72">
        <f>COUNTIFS(缺陷明细!$A$2:$A$50000,$B$4,缺陷明细!$G$2:$G$50000,$C6,缺陷明细!$Q$2:$Q$50000,"已关闭",缺陷明细!$J$2:$J$50000,"系统测试案例评审")</f>
        <v>0</v>
      </c>
      <c r="P6" s="72">
        <f>COUNTIFS(缺陷明细!$A$2:$A$50000,$B$4,缺陷明细!$G$2:$G$50000,$C6,缺陷明细!$J$2:$J$50000,"系统测试",缺陷明细!$AB$2:$AB$50000,"&lt;&gt;丢弃",缺陷明细!$AB$2:$AB$50000,"&lt;&gt;设计如此",缺陷明细!$AB$2:$AB$50000,"&lt;&gt;重复Bug")</f>
        <v>0</v>
      </c>
      <c r="Q6" s="72">
        <f>COUNTIFS(缺陷明细!$A$2:$A$50000,$B$4,缺陷明细!$G$2:$G$50000,$C6,缺陷明细!$Q$2:$Q$50000,"已关闭",缺陷明细!$J$2:$J$50000,"系统测试")</f>
        <v>0</v>
      </c>
      <c r="R6" s="296">
        <f>COUNTIFS(缺陷明细!$A$2:$A$50000,$B$4,缺陷明细!$G$2:$G$50000,$C6,缺陷明细!$AB$2:$AB$50000,"丢弃",缺陷明细!$J$2:$J$50000,"系统测试")+COUNTIFS(缺陷明细!$A$2:$A$50000,$B$4,缺陷明细!$G$2:$G$50000,$C6,缺陷明细!$AB$2:$AB$50000,"设计如此",缺陷明细!$J$2:$J$50000,"系统测试")+COUNTIFS(缺陷明细!$A$2:$A$50000,$B$4,缺陷明细!$G$2:$G$50000,$C6,缺陷明细!$AB$2:$AB$50000,"重复Bug",缺陷明细!$J$2:$J$50000,"系统测试")</f>
        <v>0</v>
      </c>
      <c r="S6" s="72">
        <f>COUNTIFS(缺陷明细!$A$2:$A$50000,$B$4,缺陷明细!$G$2:$G$50000,$C6,缺陷明细!$J$2:$J$50000,"系统测试",缺陷明细!$K$2:$K$50000,"致命",缺陷明细!$AB$2:$AB$50000,"&lt;&gt;丢弃",缺陷明细!$AB$2:$AB$50000,"&lt;&gt;设计如此",缺陷明细!$AB$2:$AB$50000,"&lt;&gt;重复Bug")+COUNTIFS(缺陷明细!$A$2:$A$50000,$B$4,缺陷明细!$G$2:$G$50000,$C6,缺陷明细!$J$2:$J$50000,"系统测试",缺陷明细!$K$2:$K$50000,"严重",缺陷明细!$AB$2:$AB$50000,"&lt;&gt;丢弃",缺陷明细!$AB$2:$AB$50000,"&lt;&gt;设计如此",缺陷明细!$AB$2:$AB$50000,"&lt;&gt;重复Bug")</f>
        <v>0</v>
      </c>
      <c r="T6" s="73">
        <f>COUNTIFS(缺陷明细!$A$2:$A$50000,$B$4,缺陷明细!$G$2:$G$50000,$C6,缺陷明细!$Q$2:$Q$50000,"已关闭",缺陷明细!$J$2:$J$50000,"系统测试",缺陷明细!$K$2:$K$50000,"致命")+COUNTIFS(缺陷明细!$A$2:$A$50000,$B$4,缺陷明细!$G$2:$G$50000,$C6,缺陷明细!$Q$2:$Q$50000,"已关闭",缺陷明细!$J$2:$J$50000,"系统测试",缺陷明细!$K$2:$K$50000,"严重")</f>
        <v>0</v>
      </c>
      <c r="U6" s="74">
        <f>COUNTIFS(缺陷明细!$A$2:$A$50000,$B$4,缺陷明细!$G$2:$G$50000,$C6,缺陷明细!$J$2:$J$50000,"验收测试",缺陷明细!$AB$2:$AB$50000,"&lt;&gt;丢弃",缺陷明细!$AB$2:$AB$50000,"&lt;&gt;设计如此",缺陷明细!$AB$2:$AB$50000,"&lt;&gt;重复Bug")</f>
        <v>0</v>
      </c>
      <c r="V6" s="75">
        <f>COUNTIFS(缺陷明细!$A$2:$A$50000,$B$4,缺陷明细!$G$2:$G$50000,$C6,缺陷明细!$Q$2:$Q$50000,"已关闭",缺陷明细!$J$2:$J$50000,"验收测试")</f>
        <v>0</v>
      </c>
      <c r="W6" s="75">
        <f>COUNTIFS(缺陷明细!$A$2:$A$50000,$B$4,缺陷明细!$G$2:$G$50000,$C6,缺陷明细!$J$2:$J$50000,"验收测试",缺陷明细!$K$2:$K$50000,"致命",缺陷明细!$AB$2:$AB$50000,"&lt;&gt;丢弃",缺陷明细!$AB$2:$AB$50000,"&lt;&gt;设计如此",缺陷明细!$AB$2:$AB$50000,"&lt;&gt;重复Bug")+COUNTIFS(缺陷明细!$A$2:$A$50000,$B$4,缺陷明细!$G$2:$G$50000,$C6,缺陷明细!$J$2:$J$50000,"验收测试",缺陷明细!$K$2:$K$50000,"严重",缺陷明细!$AB$2:$AB$50000,"&lt;&gt;丢弃",缺陷明细!$AB$2:$AB$50000,"&lt;&gt;设计如此",缺陷明细!$AB$2:$AB$50000,"&lt;&gt;重复Bug")</f>
        <v>0</v>
      </c>
      <c r="X6" s="76">
        <f>COUNTIFS(缺陷明细!$A$2:$A$50000,$B$4,缺陷明细!$G$2:$G$50000,$C6,缺陷明细!$Q$2:$Q$50000,"已关闭",缺陷明细!$J$2:$J$50000,"验收测试",缺陷明细!$K$2:$K$50000,"致命")+COUNTIFS(缺陷明细!$A$2:$A$50000,$B$4,缺陷明细!$G$2:$G$50000,$C6,缺陷明细!$Q$2:$Q$50000,"已关闭",缺陷明细!$J$2:$J$50000,"验收测试",缺陷明细!$K$2:$K$50000,"严重")</f>
        <v>0</v>
      </c>
      <c r="Y6" s="70">
        <f>COUNTIFS(缺陷明细!$A$2:$A$50000,$B$4,缺陷明细!$G$2:$G$50000,$C6,缺陷明细!$J$2:$J$50000,"运维测试",缺陷明细!$AB$2:$AB$50000,"&lt;&gt;丢弃",缺陷明细!$AB$2:$AB$50000,"&lt;&gt;设计如此",缺陷明细!$AB$2:$AB$50000,"&lt;&gt;重复Bug")</f>
        <v>0</v>
      </c>
      <c r="Z6" s="71">
        <f>COUNTIFS(缺陷明细!$A$2:$A$50000,$B$4,缺陷明细!$G$2:$G$50000,$C6,缺陷明细!$Q$2:$Q$50000,"已关闭",缺陷明细!$J$2:$J$50000,"运维测试")</f>
        <v>0</v>
      </c>
      <c r="AA6" s="72">
        <f>COUNTIFS(缺陷明细!$A$2:$A$50000,$B$4,缺陷明细!$G$2:$G$50000,$C6,缺陷明细!$J$2:$J$50000,"运维测试",缺陷明细!$K$2:$K$50000,"致命",缺陷明细!$AB$2:$AB$50000,"&lt;&gt;丢弃",缺陷明细!$AB$2:$AB$50000,"&lt;&gt;设计如此",缺陷明细!$AB$2:$AB$50000,"&lt;&gt;重复Bug")+COUNTIFS(缺陷明细!$A$2:$A$50000,$B$4,缺陷明细!$G$2:$G$50000,$C6,缺陷明细!$J$2:$J$50000,"运维测试",缺陷明细!$K$2:$K$50000,"严重",缺陷明细!$AB$2:$AB$50000,"&lt;&gt;丢弃",缺陷明细!$AB$2:$AB$50000,"&lt;&gt;设计如此",缺陷明细!$AB$2:$AB$50000,"&lt;&gt;重复Bug")</f>
        <v>0</v>
      </c>
      <c r="AB6" s="73">
        <f>COUNTIFS(缺陷明细!$A$2:$A$50000,$B$4,缺陷明细!$G$2:$G$50000,$C6,缺陷明细!$Q$2:$Q$50000,"已关闭",缺陷明细!$J$2:$J$50000,"运维测试",缺陷明细!$K$2:$K$50000,"致命")+COUNTIFS(缺陷明细!$A$2:$A$50000,$B$4,缺陷明细!$G$2:$G$50000,$C6,缺陷明细!$Q$2:$Q$50000,"已关闭",缺陷明细!$J$2:$J$50000,"运维测试",缺陷明细!$K$2:$K$50000,"严重")</f>
        <v>0</v>
      </c>
      <c r="AC6" s="68">
        <f t="shared" ref="AC6:AD55" si="0">H6</f>
        <v>0</v>
      </c>
      <c r="AD6" s="60">
        <f t="shared" si="0"/>
        <v>0</v>
      </c>
      <c r="AE6" s="60">
        <f t="shared" ref="AE6:AF55" si="1">H6+J6</f>
        <v>0</v>
      </c>
      <c r="AF6" s="60">
        <f t="shared" si="1"/>
        <v>0</v>
      </c>
      <c r="AG6" s="60">
        <f t="shared" ref="AG6:AH55" si="2">H6+J6+P6</f>
        <v>0</v>
      </c>
      <c r="AH6" s="60">
        <f t="shared" si="2"/>
        <v>0</v>
      </c>
      <c r="AI6" s="60">
        <f t="shared" ref="AI6:AJ55" si="3">Y6</f>
        <v>0</v>
      </c>
      <c r="AJ6" s="61">
        <f t="shared" si="3"/>
        <v>0</v>
      </c>
      <c r="AK6" s="144"/>
    </row>
    <row r="7" spans="1:37">
      <c r="A7">
        <v>3</v>
      </c>
      <c r="B7" s="57"/>
      <c r="C7" s="58"/>
      <c r="D7" s="83"/>
      <c r="E7" s="82"/>
      <c r="F7" s="158"/>
      <c r="G7" s="159"/>
      <c r="H7" s="281">
        <f>COUNTIFS(缺陷明细!$A$2:$A$50000,$B$4,缺陷明细!$G$2:$G$50000,$C7,缺陷明细!$J$2:$J$50000,"评审",缺陷明细!$AB$2:$AB$50000,"&lt;&gt;丢弃",缺陷明细!$AB$2:$AB$50000,"&lt;&gt;设计如此",缺陷明细!$AB$2:$AB$50000,"&lt;&gt;重复Bug")</f>
        <v>0</v>
      </c>
      <c r="I7" s="154">
        <f>COUNTIFS(缺陷明细!$A$2:$A$50000,$B$4,缺陷明细!$G$2:$G$50000,$C7,缺陷明细!$Q$2:$Q$50000,"已关闭",缺陷明细!$J$2:$J$50000,"评审")</f>
        <v>0</v>
      </c>
      <c r="J7" s="154">
        <f>COUNTIFS(缺陷明细!$A$2:$A$50000,$B$4,缺陷明细!$G$2:$G$50000,$C7,缺陷明细!$J$2:$J$50000,"单元测试",缺陷明细!$AB$2:$AB$50000,"&lt;&gt;丢弃",缺陷明细!$AB$2:$AB$50000,"&lt;&gt;设计如此",缺陷明细!$AB$2:$AB$50000,"&lt;&gt;重复Bug")</f>
        <v>0</v>
      </c>
      <c r="K7" s="155">
        <f>COUNTIFS(缺陷明细!$A$2:$A$50000,$B$4,缺陷明细!$G$2:$G$50000,$C7,缺陷明细!$Q$2:$Q$50000,"已关闭",缺陷明细!$J$2:$J$50000,"单元测试")</f>
        <v>0</v>
      </c>
      <c r="L7" s="156"/>
      <c r="M7" s="157"/>
      <c r="N7" s="72">
        <f>COUNTIFS(缺陷明细!$A$2:$A$50000,$B$4,缺陷明细!$G$2:$G$50000,$C7,缺陷明细!$J$2:$J$50000,"系统测试案例评审",缺陷明细!$AB$2:$AB$50000,"&lt;&gt;丢弃",缺陷明细!$AB$2:$AB$50000,"&lt;&gt;设计如此",缺陷明细!$AB$2:$AB$50000,"&lt;&gt;重复Bug")</f>
        <v>0</v>
      </c>
      <c r="O7" s="72">
        <f>COUNTIFS(缺陷明细!$A$2:$A$50000,$B$4,缺陷明细!$G$2:$G$50000,$C7,缺陷明细!$Q$2:$Q$50000,"已关闭",缺陷明细!$J$2:$J$50000,"系统测试案例评审")</f>
        <v>0</v>
      </c>
      <c r="P7" s="72">
        <f>COUNTIFS(缺陷明细!$A$2:$A$50000,$B$4,缺陷明细!$G$2:$G$50000,$C7,缺陷明细!$J$2:$J$50000,"系统测试",缺陷明细!$AB$2:$AB$50000,"&lt;&gt;丢弃",缺陷明细!$AB$2:$AB$50000,"&lt;&gt;设计如此",缺陷明细!$AB$2:$AB$50000,"&lt;&gt;重复Bug")</f>
        <v>0</v>
      </c>
      <c r="Q7" s="72">
        <f>COUNTIFS(缺陷明细!$A$2:$A$50000,$B$4,缺陷明细!$G$2:$G$50000,$C7,缺陷明细!$Q$2:$Q$50000,"已关闭",缺陷明细!$J$2:$J$50000,"系统测试")</f>
        <v>0</v>
      </c>
      <c r="R7" s="296">
        <f>COUNTIFS(缺陷明细!$A$2:$A$50000,$B$4,缺陷明细!$G$2:$G$50000,$C7,缺陷明细!$AB$2:$AB$50000,"丢弃",缺陷明细!$J$2:$J$50000,"系统测试")+COUNTIFS(缺陷明细!$A$2:$A$50000,$B$4,缺陷明细!$G$2:$G$50000,$C7,缺陷明细!$AB$2:$AB$50000,"设计如此",缺陷明细!$J$2:$J$50000,"系统测试")+COUNTIFS(缺陷明细!$A$2:$A$50000,$B$4,缺陷明细!$G$2:$G$50000,$C7,缺陷明细!$AB$2:$AB$50000,"重复Bug",缺陷明细!$J$2:$J$50000,"系统测试")</f>
        <v>0</v>
      </c>
      <c r="S7" s="72">
        <f>COUNTIFS(缺陷明细!$A$2:$A$50000,$B$4,缺陷明细!$G$2:$G$50000,$C7,缺陷明细!$J$2:$J$50000,"系统测试",缺陷明细!$K$2:$K$50000,"致命",缺陷明细!$AB$2:$AB$50000,"&lt;&gt;丢弃",缺陷明细!$AB$2:$AB$50000,"&lt;&gt;设计如此",缺陷明细!$AB$2:$AB$50000,"&lt;&gt;重复Bug")+COUNTIFS(缺陷明细!$A$2:$A$50000,$B$4,缺陷明细!$G$2:$G$50000,$C7,缺陷明细!$J$2:$J$50000,"系统测试",缺陷明细!$K$2:$K$50000,"严重",缺陷明细!$AB$2:$AB$50000,"&lt;&gt;丢弃",缺陷明细!$AB$2:$AB$50000,"&lt;&gt;设计如此",缺陷明细!$AB$2:$AB$50000,"&lt;&gt;重复Bug")</f>
        <v>0</v>
      </c>
      <c r="T7" s="73">
        <f>COUNTIFS(缺陷明细!$A$2:$A$50000,$B$4,缺陷明细!$G$2:$G$50000,$C7,缺陷明细!$Q$2:$Q$50000,"已关闭",缺陷明细!$J$2:$J$50000,"系统测试",缺陷明细!$K$2:$K$50000,"致命")+COUNTIFS(缺陷明细!$A$2:$A$50000,$B$4,缺陷明细!$G$2:$G$50000,$C7,缺陷明细!$Q$2:$Q$50000,"已关闭",缺陷明细!$J$2:$J$50000,"系统测试",缺陷明细!$K$2:$K$50000,"严重")</f>
        <v>0</v>
      </c>
      <c r="U7" s="74">
        <f>COUNTIFS(缺陷明细!$A$2:$A$50000,$B$4,缺陷明细!$G$2:$G$50000,$C7,缺陷明细!$J$2:$J$50000,"验收测试",缺陷明细!$AB$2:$AB$50000,"&lt;&gt;丢弃",缺陷明细!$AB$2:$AB$50000,"&lt;&gt;设计如此",缺陷明细!$AB$2:$AB$50000,"&lt;&gt;重复Bug")</f>
        <v>0</v>
      </c>
      <c r="V7" s="75">
        <f>COUNTIFS(缺陷明细!$A$2:$A$50000,$B$4,缺陷明细!$G$2:$G$50000,$C7,缺陷明细!$Q$2:$Q$50000,"已关闭",缺陷明细!$J$2:$J$50000,"验收测试")</f>
        <v>0</v>
      </c>
      <c r="W7" s="75">
        <f>COUNTIFS(缺陷明细!$A$2:$A$50000,$B$4,缺陷明细!$G$2:$G$50000,$C7,缺陷明细!$J$2:$J$50000,"验收测试",缺陷明细!$K$2:$K$50000,"致命",缺陷明细!$AB$2:$AB$50000,"&lt;&gt;丢弃",缺陷明细!$AB$2:$AB$50000,"&lt;&gt;设计如此",缺陷明细!$AB$2:$AB$50000,"&lt;&gt;重复Bug")+COUNTIFS(缺陷明细!$A$2:$A$50000,$B$4,缺陷明细!$G$2:$G$50000,$C7,缺陷明细!$J$2:$J$50000,"验收测试",缺陷明细!$K$2:$K$50000,"严重",缺陷明细!$AB$2:$AB$50000,"&lt;&gt;丢弃",缺陷明细!$AB$2:$AB$50000,"&lt;&gt;设计如此",缺陷明细!$AB$2:$AB$50000,"&lt;&gt;重复Bug")</f>
        <v>0</v>
      </c>
      <c r="X7" s="76">
        <f>COUNTIFS(缺陷明细!$A$2:$A$50000,$B$4,缺陷明细!$G$2:$G$50000,$C7,缺陷明细!$Q$2:$Q$50000,"已关闭",缺陷明细!$J$2:$J$50000,"验收测试",缺陷明细!$K$2:$K$50000,"致命")+COUNTIFS(缺陷明细!$A$2:$A$50000,$B$4,缺陷明细!$G$2:$G$50000,$C7,缺陷明细!$Q$2:$Q$50000,"已关闭",缺陷明细!$J$2:$J$50000,"验收测试",缺陷明细!$K$2:$K$50000,"严重")</f>
        <v>0</v>
      </c>
      <c r="Y7" s="70">
        <f>COUNTIFS(缺陷明细!$A$2:$A$50000,$B$4,缺陷明细!$G$2:$G$50000,$C7,缺陷明细!$J$2:$J$50000,"运维测试",缺陷明细!$AB$2:$AB$50000,"&lt;&gt;丢弃",缺陷明细!$AB$2:$AB$50000,"&lt;&gt;设计如此",缺陷明细!$AB$2:$AB$50000,"&lt;&gt;重复Bug")</f>
        <v>0</v>
      </c>
      <c r="Z7" s="71">
        <f>COUNTIFS(缺陷明细!$A$2:$A$50000,$B$4,缺陷明细!$G$2:$G$50000,$C7,缺陷明细!$Q$2:$Q$50000,"已关闭",缺陷明细!$J$2:$J$50000,"运维测试")</f>
        <v>0</v>
      </c>
      <c r="AA7" s="72">
        <f>COUNTIFS(缺陷明细!$A$2:$A$50000,$B$4,缺陷明细!$G$2:$G$50000,$C7,缺陷明细!$J$2:$J$50000,"运维测试",缺陷明细!$K$2:$K$50000,"致命",缺陷明细!$AB$2:$AB$50000,"&lt;&gt;丢弃",缺陷明细!$AB$2:$AB$50000,"&lt;&gt;设计如此",缺陷明细!$AB$2:$AB$50000,"&lt;&gt;重复Bug")+COUNTIFS(缺陷明细!$A$2:$A$50000,$B$4,缺陷明细!$G$2:$G$50000,$C7,缺陷明细!$J$2:$J$50000,"运维测试",缺陷明细!$K$2:$K$50000,"严重",缺陷明细!$AB$2:$AB$50000,"&lt;&gt;丢弃",缺陷明细!$AB$2:$AB$50000,"&lt;&gt;设计如此",缺陷明细!$AB$2:$AB$50000,"&lt;&gt;重复Bug")</f>
        <v>0</v>
      </c>
      <c r="AB7" s="73">
        <f>COUNTIFS(缺陷明细!$A$2:$A$50000,$B$4,缺陷明细!$G$2:$G$50000,$C7,缺陷明细!$Q$2:$Q$50000,"已关闭",缺陷明细!$J$2:$J$50000,"运维测试",缺陷明细!$K$2:$K$50000,"致命")+COUNTIFS(缺陷明细!$A$2:$A$50000,$B$4,缺陷明细!$G$2:$G$50000,$C7,缺陷明细!$Q$2:$Q$50000,"已关闭",缺陷明细!$J$2:$J$50000,"运维测试",缺陷明细!$K$2:$K$50000,"严重")</f>
        <v>0</v>
      </c>
      <c r="AC7" s="68">
        <f t="shared" si="0"/>
        <v>0</v>
      </c>
      <c r="AD7" s="60">
        <f t="shared" si="0"/>
        <v>0</v>
      </c>
      <c r="AE7" s="60">
        <f t="shared" si="1"/>
        <v>0</v>
      </c>
      <c r="AF7" s="60">
        <f t="shared" si="1"/>
        <v>0</v>
      </c>
      <c r="AG7" s="60">
        <f t="shared" si="2"/>
        <v>0</v>
      </c>
      <c r="AH7" s="60">
        <f t="shared" si="2"/>
        <v>0</v>
      </c>
      <c r="AI7" s="60">
        <f t="shared" si="3"/>
        <v>0</v>
      </c>
      <c r="AJ7" s="61">
        <f t="shared" si="3"/>
        <v>0</v>
      </c>
      <c r="AK7" s="144"/>
    </row>
    <row r="8" spans="1:37">
      <c r="A8">
        <v>4</v>
      </c>
      <c r="B8" s="57"/>
      <c r="C8" s="58"/>
      <c r="D8" s="83"/>
      <c r="E8" s="82"/>
      <c r="F8" s="158"/>
      <c r="G8" s="159"/>
      <c r="H8" s="281">
        <f>COUNTIFS(缺陷明细!$A$2:$A$50000,$B$4,缺陷明细!$G$2:$G$50000,$C8,缺陷明细!$J$2:$J$50000,"评审",缺陷明细!$AB$2:$AB$50000,"&lt;&gt;丢弃",缺陷明细!$AB$2:$AB$50000,"&lt;&gt;设计如此",缺陷明细!$AB$2:$AB$50000,"&lt;&gt;重复Bug")</f>
        <v>0</v>
      </c>
      <c r="I8" s="154">
        <f>COUNTIFS(缺陷明细!$A$2:$A$50000,$B$4,缺陷明细!$G$2:$G$50000,$C8,缺陷明细!$Q$2:$Q$50000,"已关闭",缺陷明细!$J$2:$J$50000,"评审")</f>
        <v>0</v>
      </c>
      <c r="J8" s="154">
        <f>COUNTIFS(缺陷明细!$A$2:$A$50000,$B$4,缺陷明细!$G$2:$G$50000,$C8,缺陷明细!$J$2:$J$50000,"单元测试",缺陷明细!$AB$2:$AB$50000,"&lt;&gt;丢弃",缺陷明细!$AB$2:$AB$50000,"&lt;&gt;设计如此",缺陷明细!$AB$2:$AB$50000,"&lt;&gt;重复Bug")</f>
        <v>0</v>
      </c>
      <c r="K8" s="155">
        <f>COUNTIFS(缺陷明细!$A$2:$A$50000,$B$4,缺陷明细!$G$2:$G$50000,$C8,缺陷明细!$Q$2:$Q$50000,"已关闭",缺陷明细!$J$2:$J$50000,"单元测试")</f>
        <v>0</v>
      </c>
      <c r="L8" s="156"/>
      <c r="M8" s="157"/>
      <c r="N8" s="72">
        <f>COUNTIFS(缺陷明细!$A$2:$A$50000,$B$4,缺陷明细!$G$2:$G$50000,$C8,缺陷明细!$J$2:$J$50000,"系统测试案例评审",缺陷明细!$AB$2:$AB$50000,"&lt;&gt;丢弃",缺陷明细!$AB$2:$AB$50000,"&lt;&gt;设计如此",缺陷明细!$AB$2:$AB$50000,"&lt;&gt;重复Bug")</f>
        <v>0</v>
      </c>
      <c r="O8" s="72">
        <f>COUNTIFS(缺陷明细!$A$2:$A$50000,$B$4,缺陷明细!$G$2:$G$50000,$C8,缺陷明细!$Q$2:$Q$50000,"已关闭",缺陷明细!$J$2:$J$50000,"系统测试案例评审")</f>
        <v>0</v>
      </c>
      <c r="P8" s="72">
        <f>COUNTIFS(缺陷明细!$A$2:$A$50000,$B$4,缺陷明细!$G$2:$G$50000,$C8,缺陷明细!$J$2:$J$50000,"系统测试",缺陷明细!$AB$2:$AB$50000,"&lt;&gt;丢弃",缺陷明细!$AB$2:$AB$50000,"&lt;&gt;设计如此",缺陷明细!$AB$2:$AB$50000,"&lt;&gt;重复Bug")</f>
        <v>0</v>
      </c>
      <c r="Q8" s="72">
        <f>COUNTIFS(缺陷明细!$A$2:$A$50000,$B$4,缺陷明细!$G$2:$G$50000,$C8,缺陷明细!$Q$2:$Q$50000,"已关闭",缺陷明细!$J$2:$J$50000,"系统测试")</f>
        <v>0</v>
      </c>
      <c r="R8" s="296">
        <f>COUNTIFS(缺陷明细!$A$2:$A$50000,$B$4,缺陷明细!$G$2:$G$50000,$C8,缺陷明细!$AB$2:$AB$50000,"丢弃",缺陷明细!$J$2:$J$50000,"系统测试")+COUNTIFS(缺陷明细!$A$2:$A$50000,$B$4,缺陷明细!$G$2:$G$50000,$C8,缺陷明细!$AB$2:$AB$50000,"设计如此",缺陷明细!$J$2:$J$50000,"系统测试")+COUNTIFS(缺陷明细!$A$2:$A$50000,$B$4,缺陷明细!$G$2:$G$50000,$C8,缺陷明细!$AB$2:$AB$50000,"重复Bug",缺陷明细!$J$2:$J$50000,"系统测试")</f>
        <v>0</v>
      </c>
      <c r="S8" s="72">
        <f>COUNTIFS(缺陷明细!$A$2:$A$50000,$B$4,缺陷明细!$G$2:$G$50000,$C8,缺陷明细!$J$2:$J$50000,"系统测试",缺陷明细!$K$2:$K$50000,"致命",缺陷明细!$AB$2:$AB$50000,"&lt;&gt;丢弃",缺陷明细!$AB$2:$AB$50000,"&lt;&gt;设计如此",缺陷明细!$AB$2:$AB$50000,"&lt;&gt;重复Bug")+COUNTIFS(缺陷明细!$A$2:$A$50000,$B$4,缺陷明细!$G$2:$G$50000,$C8,缺陷明细!$J$2:$J$50000,"系统测试",缺陷明细!$K$2:$K$50000,"严重",缺陷明细!$AB$2:$AB$50000,"&lt;&gt;丢弃",缺陷明细!$AB$2:$AB$50000,"&lt;&gt;设计如此",缺陷明细!$AB$2:$AB$50000,"&lt;&gt;重复Bug")</f>
        <v>0</v>
      </c>
      <c r="T8" s="73">
        <f>COUNTIFS(缺陷明细!$A$2:$A$50000,$B$4,缺陷明细!$G$2:$G$50000,$C8,缺陷明细!$Q$2:$Q$50000,"已关闭",缺陷明细!$J$2:$J$50000,"系统测试",缺陷明细!$K$2:$K$50000,"致命")+COUNTIFS(缺陷明细!$A$2:$A$50000,$B$4,缺陷明细!$G$2:$G$50000,$C8,缺陷明细!$Q$2:$Q$50000,"已关闭",缺陷明细!$J$2:$J$50000,"系统测试",缺陷明细!$K$2:$K$50000,"严重")</f>
        <v>0</v>
      </c>
      <c r="U8" s="74">
        <f>COUNTIFS(缺陷明细!$A$2:$A$50000,$B$4,缺陷明细!$G$2:$G$50000,$C8,缺陷明细!$J$2:$J$50000,"验收测试",缺陷明细!$AB$2:$AB$50000,"&lt;&gt;丢弃",缺陷明细!$AB$2:$AB$50000,"&lt;&gt;设计如此",缺陷明细!$AB$2:$AB$50000,"&lt;&gt;重复Bug")</f>
        <v>0</v>
      </c>
      <c r="V8" s="75">
        <f>COUNTIFS(缺陷明细!$A$2:$A$50000,$B$4,缺陷明细!$G$2:$G$50000,$C8,缺陷明细!$Q$2:$Q$50000,"已关闭",缺陷明细!$J$2:$J$50000,"验收测试")</f>
        <v>0</v>
      </c>
      <c r="W8" s="75">
        <f>COUNTIFS(缺陷明细!$A$2:$A$50000,$B$4,缺陷明细!$G$2:$G$50000,$C8,缺陷明细!$J$2:$J$50000,"验收测试",缺陷明细!$K$2:$K$50000,"致命",缺陷明细!$AB$2:$AB$50000,"&lt;&gt;丢弃",缺陷明细!$AB$2:$AB$50000,"&lt;&gt;设计如此",缺陷明细!$AB$2:$AB$50000,"&lt;&gt;重复Bug")+COUNTIFS(缺陷明细!$A$2:$A$50000,$B$4,缺陷明细!$G$2:$G$50000,$C8,缺陷明细!$J$2:$J$50000,"验收测试",缺陷明细!$K$2:$K$50000,"严重",缺陷明细!$AB$2:$AB$50000,"&lt;&gt;丢弃",缺陷明细!$AB$2:$AB$50000,"&lt;&gt;设计如此",缺陷明细!$AB$2:$AB$50000,"&lt;&gt;重复Bug")</f>
        <v>0</v>
      </c>
      <c r="X8" s="76">
        <f>COUNTIFS(缺陷明细!$A$2:$A$50000,$B$4,缺陷明细!$G$2:$G$50000,$C8,缺陷明细!$Q$2:$Q$50000,"已关闭",缺陷明细!$J$2:$J$50000,"验收测试",缺陷明细!$K$2:$K$50000,"致命")+COUNTIFS(缺陷明细!$A$2:$A$50000,$B$4,缺陷明细!$G$2:$G$50000,$C8,缺陷明细!$Q$2:$Q$50000,"已关闭",缺陷明细!$J$2:$J$50000,"验收测试",缺陷明细!$K$2:$K$50000,"严重")</f>
        <v>0</v>
      </c>
      <c r="Y8" s="70">
        <f>COUNTIFS(缺陷明细!$A$2:$A$50000,$B$4,缺陷明细!$G$2:$G$50000,$C8,缺陷明细!$J$2:$J$50000,"运维测试",缺陷明细!$AB$2:$AB$50000,"&lt;&gt;丢弃",缺陷明细!$AB$2:$AB$50000,"&lt;&gt;设计如此",缺陷明细!$AB$2:$AB$50000,"&lt;&gt;重复Bug")</f>
        <v>0</v>
      </c>
      <c r="Z8" s="71">
        <f>COUNTIFS(缺陷明细!$A$2:$A$50000,$B$4,缺陷明细!$G$2:$G$50000,$C8,缺陷明细!$Q$2:$Q$50000,"已关闭",缺陷明细!$J$2:$J$50000,"运维测试")</f>
        <v>0</v>
      </c>
      <c r="AA8" s="72">
        <f>COUNTIFS(缺陷明细!$A$2:$A$50000,$B$4,缺陷明细!$G$2:$G$50000,$C8,缺陷明细!$J$2:$J$50000,"运维测试",缺陷明细!$K$2:$K$50000,"致命",缺陷明细!$AB$2:$AB$50000,"&lt;&gt;丢弃",缺陷明细!$AB$2:$AB$50000,"&lt;&gt;设计如此",缺陷明细!$AB$2:$AB$50000,"&lt;&gt;重复Bug")+COUNTIFS(缺陷明细!$A$2:$A$50000,$B$4,缺陷明细!$G$2:$G$50000,$C8,缺陷明细!$J$2:$J$50000,"运维测试",缺陷明细!$K$2:$K$50000,"严重",缺陷明细!$AB$2:$AB$50000,"&lt;&gt;丢弃",缺陷明细!$AB$2:$AB$50000,"&lt;&gt;设计如此",缺陷明细!$AB$2:$AB$50000,"&lt;&gt;重复Bug")</f>
        <v>0</v>
      </c>
      <c r="AB8" s="73">
        <f>COUNTIFS(缺陷明细!$A$2:$A$50000,$B$4,缺陷明细!$G$2:$G$50000,$C8,缺陷明细!$Q$2:$Q$50000,"已关闭",缺陷明细!$J$2:$J$50000,"运维测试",缺陷明细!$K$2:$K$50000,"致命")+COUNTIFS(缺陷明细!$A$2:$A$50000,$B$4,缺陷明细!$G$2:$G$50000,$C8,缺陷明细!$Q$2:$Q$50000,"已关闭",缺陷明细!$J$2:$J$50000,"运维测试",缺陷明细!$K$2:$K$50000,"严重")</f>
        <v>0</v>
      </c>
      <c r="AC8" s="68">
        <f t="shared" si="0"/>
        <v>0</v>
      </c>
      <c r="AD8" s="60">
        <f t="shared" si="0"/>
        <v>0</v>
      </c>
      <c r="AE8" s="60">
        <f t="shared" si="1"/>
        <v>0</v>
      </c>
      <c r="AF8" s="60">
        <f t="shared" si="1"/>
        <v>0</v>
      </c>
      <c r="AG8" s="60">
        <f t="shared" si="2"/>
        <v>0</v>
      </c>
      <c r="AH8" s="60">
        <f t="shared" si="2"/>
        <v>0</v>
      </c>
      <c r="AI8" s="60">
        <f t="shared" si="3"/>
        <v>0</v>
      </c>
      <c r="AJ8" s="61">
        <f t="shared" si="3"/>
        <v>0</v>
      </c>
      <c r="AK8" s="144"/>
    </row>
    <row r="9" spans="1:37">
      <c r="A9">
        <v>5</v>
      </c>
      <c r="B9" s="57"/>
      <c r="C9" s="59"/>
      <c r="D9" s="84"/>
      <c r="E9" s="82"/>
      <c r="F9" s="160"/>
      <c r="G9" s="161"/>
      <c r="H9" s="281">
        <f>COUNTIFS(缺陷明细!$A$2:$A$50000,$B$4,缺陷明细!$G$2:$G$50000,$C9,缺陷明细!$J$2:$J$50000,"评审",缺陷明细!$AB$2:$AB$50000,"&lt;&gt;丢弃",缺陷明细!$AB$2:$AB$50000,"&lt;&gt;设计如此",缺陷明细!$AB$2:$AB$50000,"&lt;&gt;重复Bug")</f>
        <v>0</v>
      </c>
      <c r="I9" s="154">
        <f>COUNTIFS(缺陷明细!$A$2:$A$50000,$B$4,缺陷明细!$G$2:$G$50000,$C9,缺陷明细!$Q$2:$Q$50000,"已关闭",缺陷明细!$J$2:$J$50000,"评审")</f>
        <v>0</v>
      </c>
      <c r="J9" s="154">
        <f>COUNTIFS(缺陷明细!$A$2:$A$50000,$B$4,缺陷明细!$G$2:$G$50000,$C9,缺陷明细!$J$2:$J$50000,"单元测试",缺陷明细!$AB$2:$AB$50000,"&lt;&gt;丢弃",缺陷明细!$AB$2:$AB$50000,"&lt;&gt;设计如此",缺陷明细!$AB$2:$AB$50000,"&lt;&gt;重复Bug")</f>
        <v>0</v>
      </c>
      <c r="K9" s="155">
        <f>COUNTIFS(缺陷明细!$A$2:$A$50000,$B$4,缺陷明细!$G$2:$G$50000,$C9,缺陷明细!$Q$2:$Q$50000,"已关闭",缺陷明细!$J$2:$J$50000,"单元测试")</f>
        <v>0</v>
      </c>
      <c r="L9" s="156"/>
      <c r="M9" s="157"/>
      <c r="N9" s="72">
        <f>COUNTIFS(缺陷明细!$A$2:$A$50000,$B$4,缺陷明细!$G$2:$G$50000,$C9,缺陷明细!$J$2:$J$50000,"系统测试案例评审",缺陷明细!$AB$2:$AB$50000,"&lt;&gt;丢弃",缺陷明细!$AB$2:$AB$50000,"&lt;&gt;设计如此",缺陷明细!$AB$2:$AB$50000,"&lt;&gt;重复Bug")</f>
        <v>0</v>
      </c>
      <c r="O9" s="72">
        <f>COUNTIFS(缺陷明细!$A$2:$A$50000,$B$4,缺陷明细!$G$2:$G$50000,$C9,缺陷明细!$Q$2:$Q$50000,"已关闭",缺陷明细!$J$2:$J$50000,"系统测试案例评审")</f>
        <v>0</v>
      </c>
      <c r="P9" s="72">
        <f>COUNTIFS(缺陷明细!$A$2:$A$50000,$B$4,缺陷明细!$G$2:$G$50000,$C9,缺陷明细!$J$2:$J$50000,"系统测试",缺陷明细!$AB$2:$AB$50000,"&lt;&gt;丢弃",缺陷明细!$AB$2:$AB$50000,"&lt;&gt;设计如此",缺陷明细!$AB$2:$AB$50000,"&lt;&gt;重复Bug")</f>
        <v>0</v>
      </c>
      <c r="Q9" s="72">
        <f>COUNTIFS(缺陷明细!$A$2:$A$50000,$B$4,缺陷明细!$G$2:$G$50000,$C9,缺陷明细!$Q$2:$Q$50000,"已关闭",缺陷明细!$J$2:$J$50000,"系统测试")</f>
        <v>0</v>
      </c>
      <c r="R9" s="296">
        <f>COUNTIFS(缺陷明细!$A$2:$A$50000,$B$4,缺陷明细!$G$2:$G$50000,$C9,缺陷明细!$AB$2:$AB$50000,"丢弃",缺陷明细!$J$2:$J$50000,"系统测试")+COUNTIFS(缺陷明细!$A$2:$A$50000,$B$4,缺陷明细!$G$2:$G$50000,$C9,缺陷明细!$AB$2:$AB$50000,"设计如此",缺陷明细!$J$2:$J$50000,"系统测试")+COUNTIFS(缺陷明细!$A$2:$A$50000,$B$4,缺陷明细!$G$2:$G$50000,$C9,缺陷明细!$AB$2:$AB$50000,"重复Bug",缺陷明细!$J$2:$J$50000,"系统测试")</f>
        <v>0</v>
      </c>
      <c r="S9" s="72">
        <f>COUNTIFS(缺陷明细!$A$2:$A$50000,$B$4,缺陷明细!$G$2:$G$50000,$C9,缺陷明细!$J$2:$J$50000,"系统测试",缺陷明细!$K$2:$K$50000,"致命",缺陷明细!$AB$2:$AB$50000,"&lt;&gt;丢弃",缺陷明细!$AB$2:$AB$50000,"&lt;&gt;设计如此",缺陷明细!$AB$2:$AB$50000,"&lt;&gt;重复Bug")+COUNTIFS(缺陷明细!$A$2:$A$50000,$B$4,缺陷明细!$G$2:$G$50000,$C9,缺陷明细!$J$2:$J$50000,"系统测试",缺陷明细!$K$2:$K$50000,"严重",缺陷明细!$AB$2:$AB$50000,"&lt;&gt;丢弃",缺陷明细!$AB$2:$AB$50000,"&lt;&gt;设计如此",缺陷明细!$AB$2:$AB$50000,"&lt;&gt;重复Bug")</f>
        <v>0</v>
      </c>
      <c r="T9" s="73">
        <f>COUNTIFS(缺陷明细!$A$2:$A$50000,$B$4,缺陷明细!$G$2:$G$50000,$C9,缺陷明细!$Q$2:$Q$50000,"已关闭",缺陷明细!$J$2:$J$50000,"系统测试",缺陷明细!$K$2:$K$50000,"致命")+COUNTIFS(缺陷明细!$A$2:$A$50000,$B$4,缺陷明细!$G$2:$G$50000,$C9,缺陷明细!$Q$2:$Q$50000,"已关闭",缺陷明细!$J$2:$J$50000,"系统测试",缺陷明细!$K$2:$K$50000,"严重")</f>
        <v>0</v>
      </c>
      <c r="U9" s="74">
        <f>COUNTIFS(缺陷明细!$A$2:$A$50000,$B$4,缺陷明细!$G$2:$G$50000,$C9,缺陷明细!$J$2:$J$50000,"验收测试",缺陷明细!$AB$2:$AB$50000,"&lt;&gt;丢弃",缺陷明细!$AB$2:$AB$50000,"&lt;&gt;设计如此",缺陷明细!$AB$2:$AB$50000,"&lt;&gt;重复Bug")</f>
        <v>0</v>
      </c>
      <c r="V9" s="75">
        <f>COUNTIFS(缺陷明细!$A$2:$A$50000,$B$4,缺陷明细!$G$2:$G$50000,$C9,缺陷明细!$Q$2:$Q$50000,"已关闭",缺陷明细!$J$2:$J$50000,"验收测试")</f>
        <v>0</v>
      </c>
      <c r="W9" s="75">
        <f>COUNTIFS(缺陷明细!$A$2:$A$50000,$B$4,缺陷明细!$G$2:$G$50000,$C9,缺陷明细!$J$2:$J$50000,"验收测试",缺陷明细!$K$2:$K$50000,"致命",缺陷明细!$AB$2:$AB$50000,"&lt;&gt;丢弃",缺陷明细!$AB$2:$AB$50000,"&lt;&gt;设计如此",缺陷明细!$AB$2:$AB$50000,"&lt;&gt;重复Bug")+COUNTIFS(缺陷明细!$A$2:$A$50000,$B$4,缺陷明细!$G$2:$G$50000,$C9,缺陷明细!$J$2:$J$50000,"验收测试",缺陷明细!$K$2:$K$50000,"严重",缺陷明细!$AB$2:$AB$50000,"&lt;&gt;丢弃",缺陷明细!$AB$2:$AB$50000,"&lt;&gt;设计如此",缺陷明细!$AB$2:$AB$50000,"&lt;&gt;重复Bug")</f>
        <v>0</v>
      </c>
      <c r="X9" s="76">
        <f>COUNTIFS(缺陷明细!$A$2:$A$50000,$B$4,缺陷明细!$G$2:$G$50000,$C9,缺陷明细!$Q$2:$Q$50000,"已关闭",缺陷明细!$J$2:$J$50000,"验收测试",缺陷明细!$K$2:$K$50000,"致命")+COUNTIFS(缺陷明细!$A$2:$A$50000,$B$4,缺陷明细!$G$2:$G$50000,$C9,缺陷明细!$Q$2:$Q$50000,"已关闭",缺陷明细!$J$2:$J$50000,"验收测试",缺陷明细!$K$2:$K$50000,"严重")</f>
        <v>0</v>
      </c>
      <c r="Y9" s="70">
        <f>COUNTIFS(缺陷明细!$A$2:$A$50000,$B$4,缺陷明细!$G$2:$G$50000,$C9,缺陷明细!$J$2:$J$50000,"运维测试",缺陷明细!$AB$2:$AB$50000,"&lt;&gt;丢弃",缺陷明细!$AB$2:$AB$50000,"&lt;&gt;设计如此",缺陷明细!$AB$2:$AB$50000,"&lt;&gt;重复Bug")</f>
        <v>0</v>
      </c>
      <c r="Z9" s="71">
        <f>COUNTIFS(缺陷明细!$A$2:$A$50000,$B$4,缺陷明细!$G$2:$G$50000,$C9,缺陷明细!$Q$2:$Q$50000,"已关闭",缺陷明细!$J$2:$J$50000,"运维测试")</f>
        <v>0</v>
      </c>
      <c r="AA9" s="72">
        <f>COUNTIFS(缺陷明细!$A$2:$A$50000,$B$4,缺陷明细!$G$2:$G$50000,$C9,缺陷明细!$J$2:$J$50000,"运维测试",缺陷明细!$K$2:$K$50000,"致命",缺陷明细!$AB$2:$AB$50000,"&lt;&gt;丢弃",缺陷明细!$AB$2:$AB$50000,"&lt;&gt;设计如此",缺陷明细!$AB$2:$AB$50000,"&lt;&gt;重复Bug")+COUNTIFS(缺陷明细!$A$2:$A$50000,$B$4,缺陷明细!$G$2:$G$50000,$C9,缺陷明细!$J$2:$J$50000,"运维测试",缺陷明细!$K$2:$K$50000,"严重",缺陷明细!$AB$2:$AB$50000,"&lt;&gt;丢弃",缺陷明细!$AB$2:$AB$50000,"&lt;&gt;设计如此",缺陷明细!$AB$2:$AB$50000,"&lt;&gt;重复Bug")</f>
        <v>0</v>
      </c>
      <c r="AB9" s="73">
        <f>COUNTIFS(缺陷明细!$A$2:$A$50000,$B$4,缺陷明细!$G$2:$G$50000,$C9,缺陷明细!$Q$2:$Q$50000,"已关闭",缺陷明细!$J$2:$J$50000,"运维测试",缺陷明细!$K$2:$K$50000,"致命")+COUNTIFS(缺陷明细!$A$2:$A$50000,$B$4,缺陷明细!$G$2:$G$50000,$C9,缺陷明细!$Q$2:$Q$50000,"已关闭",缺陷明细!$J$2:$J$50000,"运维测试",缺陷明细!$K$2:$K$50000,"严重")</f>
        <v>0</v>
      </c>
      <c r="AC9" s="68">
        <f t="shared" si="0"/>
        <v>0</v>
      </c>
      <c r="AD9" s="60">
        <f t="shared" si="0"/>
        <v>0</v>
      </c>
      <c r="AE9" s="60">
        <f t="shared" si="1"/>
        <v>0</v>
      </c>
      <c r="AF9" s="60">
        <f t="shared" si="1"/>
        <v>0</v>
      </c>
      <c r="AG9" s="60">
        <f t="shared" si="2"/>
        <v>0</v>
      </c>
      <c r="AH9" s="60">
        <f t="shared" si="2"/>
        <v>0</v>
      </c>
      <c r="AI9" s="60">
        <f t="shared" si="3"/>
        <v>0</v>
      </c>
      <c r="AJ9" s="61">
        <f t="shared" si="3"/>
        <v>0</v>
      </c>
      <c r="AK9" s="144"/>
    </row>
    <row r="10" spans="1:37">
      <c r="A10">
        <v>6</v>
      </c>
      <c r="B10" s="57"/>
      <c r="C10" s="58"/>
      <c r="D10" s="84"/>
      <c r="E10" s="82"/>
      <c r="F10" s="158"/>
      <c r="G10" s="159"/>
      <c r="H10" s="281">
        <f>COUNTIFS(缺陷明细!$A$2:$A$50000,$B$4,缺陷明细!$G$2:$G$50000,$C10,缺陷明细!$J$2:$J$50000,"评审",缺陷明细!$AB$2:$AB$50000,"&lt;&gt;丢弃",缺陷明细!$AB$2:$AB$50000,"&lt;&gt;设计如此",缺陷明细!$AB$2:$AB$50000,"&lt;&gt;重复Bug")</f>
        <v>0</v>
      </c>
      <c r="I10" s="154">
        <f>COUNTIFS(缺陷明细!$A$2:$A$50000,$B$4,缺陷明细!$G$2:$G$50000,$C10,缺陷明细!$Q$2:$Q$50000,"已关闭",缺陷明细!$J$2:$J$50000,"评审")</f>
        <v>0</v>
      </c>
      <c r="J10" s="154">
        <f>COUNTIFS(缺陷明细!$A$2:$A$50000,$B$4,缺陷明细!$G$2:$G$50000,$C10,缺陷明细!$J$2:$J$50000,"单元测试",缺陷明细!$AB$2:$AB$50000,"&lt;&gt;丢弃",缺陷明细!$AB$2:$AB$50000,"&lt;&gt;设计如此",缺陷明细!$AB$2:$AB$50000,"&lt;&gt;重复Bug")</f>
        <v>0</v>
      </c>
      <c r="K10" s="155">
        <f>COUNTIFS(缺陷明细!$A$2:$A$50000,$B$4,缺陷明细!$G$2:$G$50000,$C10,缺陷明细!$Q$2:$Q$50000,"已关闭",缺陷明细!$J$2:$J$50000,"单元测试")</f>
        <v>0</v>
      </c>
      <c r="L10" s="156"/>
      <c r="M10" s="157"/>
      <c r="N10" s="72">
        <f>COUNTIFS(缺陷明细!$A$2:$A$50000,$B$4,缺陷明细!$G$2:$G$50000,$C10,缺陷明细!$J$2:$J$50000,"系统测试案例评审",缺陷明细!$AB$2:$AB$50000,"&lt;&gt;丢弃",缺陷明细!$AB$2:$AB$50000,"&lt;&gt;设计如此",缺陷明细!$AB$2:$AB$50000,"&lt;&gt;重复Bug")</f>
        <v>0</v>
      </c>
      <c r="O10" s="72">
        <f>COUNTIFS(缺陷明细!$A$2:$A$50000,$B$4,缺陷明细!$G$2:$G$50000,$C10,缺陷明细!$Q$2:$Q$50000,"已关闭",缺陷明细!$J$2:$J$50000,"系统测试案例评审")</f>
        <v>0</v>
      </c>
      <c r="P10" s="72">
        <f>COUNTIFS(缺陷明细!$A$2:$A$50000,$B$4,缺陷明细!$G$2:$G$50000,$C10,缺陷明细!$J$2:$J$50000,"系统测试",缺陷明细!$AB$2:$AB$50000,"&lt;&gt;丢弃",缺陷明细!$AB$2:$AB$50000,"&lt;&gt;设计如此",缺陷明细!$AB$2:$AB$50000,"&lt;&gt;重复Bug")</f>
        <v>0</v>
      </c>
      <c r="Q10" s="72">
        <f>COUNTIFS(缺陷明细!$A$2:$A$50000,$B$4,缺陷明细!$G$2:$G$50000,$C10,缺陷明细!$Q$2:$Q$50000,"已关闭",缺陷明细!$J$2:$J$50000,"系统测试")</f>
        <v>0</v>
      </c>
      <c r="R10" s="296">
        <f>COUNTIFS(缺陷明细!$A$2:$A$50000,$B$4,缺陷明细!$G$2:$G$50000,$C10,缺陷明细!$AB$2:$AB$50000,"丢弃",缺陷明细!$J$2:$J$50000,"系统测试")+COUNTIFS(缺陷明细!$A$2:$A$50000,$B$4,缺陷明细!$G$2:$G$50000,$C10,缺陷明细!$AB$2:$AB$50000,"设计如此",缺陷明细!$J$2:$J$50000,"系统测试")+COUNTIFS(缺陷明细!$A$2:$A$50000,$B$4,缺陷明细!$G$2:$G$50000,$C10,缺陷明细!$AB$2:$AB$50000,"重复Bug",缺陷明细!$J$2:$J$50000,"系统测试")</f>
        <v>0</v>
      </c>
      <c r="S10" s="72">
        <f>COUNTIFS(缺陷明细!$A$2:$A$50000,$B$4,缺陷明细!$G$2:$G$50000,$C10,缺陷明细!$J$2:$J$50000,"系统测试",缺陷明细!$K$2:$K$50000,"致命",缺陷明细!$AB$2:$AB$50000,"&lt;&gt;丢弃",缺陷明细!$AB$2:$AB$50000,"&lt;&gt;设计如此",缺陷明细!$AB$2:$AB$50000,"&lt;&gt;重复Bug")+COUNTIFS(缺陷明细!$A$2:$A$50000,$B$4,缺陷明细!$G$2:$G$50000,$C10,缺陷明细!$J$2:$J$50000,"系统测试",缺陷明细!$K$2:$K$50000,"严重",缺陷明细!$AB$2:$AB$50000,"&lt;&gt;丢弃",缺陷明细!$AB$2:$AB$50000,"&lt;&gt;设计如此",缺陷明细!$AB$2:$AB$50000,"&lt;&gt;重复Bug")</f>
        <v>0</v>
      </c>
      <c r="T10" s="73">
        <f>COUNTIFS(缺陷明细!$A$2:$A$50000,$B$4,缺陷明细!$G$2:$G$50000,$C10,缺陷明细!$Q$2:$Q$50000,"已关闭",缺陷明细!$J$2:$J$50000,"系统测试",缺陷明细!$K$2:$K$50000,"致命")+COUNTIFS(缺陷明细!$A$2:$A$50000,$B$4,缺陷明细!$G$2:$G$50000,$C10,缺陷明细!$Q$2:$Q$50000,"已关闭",缺陷明细!$J$2:$J$50000,"系统测试",缺陷明细!$K$2:$K$50000,"严重")</f>
        <v>0</v>
      </c>
      <c r="U10" s="74">
        <f>COUNTIFS(缺陷明细!$A$2:$A$50000,$B$4,缺陷明细!$G$2:$G$50000,$C10,缺陷明细!$J$2:$J$50000,"验收测试",缺陷明细!$AB$2:$AB$50000,"&lt;&gt;丢弃",缺陷明细!$AB$2:$AB$50000,"&lt;&gt;设计如此",缺陷明细!$AB$2:$AB$50000,"&lt;&gt;重复Bug")</f>
        <v>0</v>
      </c>
      <c r="V10" s="75">
        <f>COUNTIFS(缺陷明细!$A$2:$A$50000,$B$4,缺陷明细!$G$2:$G$50000,$C10,缺陷明细!$Q$2:$Q$50000,"已关闭",缺陷明细!$J$2:$J$50000,"验收测试")</f>
        <v>0</v>
      </c>
      <c r="W10" s="75">
        <f>COUNTIFS(缺陷明细!$A$2:$A$50000,$B$4,缺陷明细!$G$2:$G$50000,$C10,缺陷明细!$J$2:$J$50000,"验收测试",缺陷明细!$K$2:$K$50000,"致命",缺陷明细!$AB$2:$AB$50000,"&lt;&gt;丢弃",缺陷明细!$AB$2:$AB$50000,"&lt;&gt;设计如此",缺陷明细!$AB$2:$AB$50000,"&lt;&gt;重复Bug")+COUNTIFS(缺陷明细!$A$2:$A$50000,$B$4,缺陷明细!$G$2:$G$50000,$C10,缺陷明细!$J$2:$J$50000,"验收测试",缺陷明细!$K$2:$K$50000,"严重",缺陷明细!$AB$2:$AB$50000,"&lt;&gt;丢弃",缺陷明细!$AB$2:$AB$50000,"&lt;&gt;设计如此",缺陷明细!$AB$2:$AB$50000,"&lt;&gt;重复Bug")</f>
        <v>0</v>
      </c>
      <c r="X10" s="76">
        <f>COUNTIFS(缺陷明细!$A$2:$A$50000,$B$4,缺陷明细!$G$2:$G$50000,$C10,缺陷明细!$Q$2:$Q$50000,"已关闭",缺陷明细!$J$2:$J$50000,"验收测试",缺陷明细!$K$2:$K$50000,"致命")+COUNTIFS(缺陷明细!$A$2:$A$50000,$B$4,缺陷明细!$G$2:$G$50000,$C10,缺陷明细!$Q$2:$Q$50000,"已关闭",缺陷明细!$J$2:$J$50000,"验收测试",缺陷明细!$K$2:$K$50000,"严重")</f>
        <v>0</v>
      </c>
      <c r="Y10" s="70">
        <f>COUNTIFS(缺陷明细!$A$2:$A$50000,$B$4,缺陷明细!$G$2:$G$50000,$C10,缺陷明细!$J$2:$J$50000,"运维测试",缺陷明细!$AB$2:$AB$50000,"&lt;&gt;丢弃",缺陷明细!$AB$2:$AB$50000,"&lt;&gt;设计如此",缺陷明细!$AB$2:$AB$50000,"&lt;&gt;重复Bug")</f>
        <v>0</v>
      </c>
      <c r="Z10" s="71">
        <f>COUNTIFS(缺陷明细!$A$2:$A$50000,$B$4,缺陷明细!$G$2:$G$50000,$C10,缺陷明细!$Q$2:$Q$50000,"已关闭",缺陷明细!$J$2:$J$50000,"运维测试")</f>
        <v>0</v>
      </c>
      <c r="AA10" s="72">
        <f>COUNTIFS(缺陷明细!$A$2:$A$50000,$B$4,缺陷明细!$G$2:$G$50000,$C10,缺陷明细!$J$2:$J$50000,"运维测试",缺陷明细!$K$2:$K$50000,"致命",缺陷明细!$AB$2:$AB$50000,"&lt;&gt;丢弃",缺陷明细!$AB$2:$AB$50000,"&lt;&gt;设计如此",缺陷明细!$AB$2:$AB$50000,"&lt;&gt;重复Bug")+COUNTIFS(缺陷明细!$A$2:$A$50000,$B$4,缺陷明细!$G$2:$G$50000,$C10,缺陷明细!$J$2:$J$50000,"运维测试",缺陷明细!$K$2:$K$50000,"严重",缺陷明细!$AB$2:$AB$50000,"&lt;&gt;丢弃",缺陷明细!$AB$2:$AB$50000,"&lt;&gt;设计如此",缺陷明细!$AB$2:$AB$50000,"&lt;&gt;重复Bug")</f>
        <v>0</v>
      </c>
      <c r="AB10" s="73">
        <f>COUNTIFS(缺陷明细!$A$2:$A$50000,$B$4,缺陷明细!$G$2:$G$50000,$C10,缺陷明细!$Q$2:$Q$50000,"已关闭",缺陷明细!$J$2:$J$50000,"运维测试",缺陷明细!$K$2:$K$50000,"致命")+COUNTIFS(缺陷明细!$A$2:$A$50000,$B$4,缺陷明细!$G$2:$G$50000,$C10,缺陷明细!$Q$2:$Q$50000,"已关闭",缺陷明细!$J$2:$J$50000,"运维测试",缺陷明细!$K$2:$K$50000,"严重")</f>
        <v>0</v>
      </c>
      <c r="AC10" s="68">
        <f t="shared" si="0"/>
        <v>0</v>
      </c>
      <c r="AD10" s="60">
        <f t="shared" si="0"/>
        <v>0</v>
      </c>
      <c r="AE10" s="60">
        <f t="shared" si="1"/>
        <v>0</v>
      </c>
      <c r="AF10" s="60">
        <f t="shared" si="1"/>
        <v>0</v>
      </c>
      <c r="AG10" s="60">
        <f t="shared" si="2"/>
        <v>0</v>
      </c>
      <c r="AH10" s="60">
        <f t="shared" si="2"/>
        <v>0</v>
      </c>
      <c r="AI10" s="60">
        <f t="shared" si="3"/>
        <v>0</v>
      </c>
      <c r="AJ10" s="61">
        <f t="shared" si="3"/>
        <v>0</v>
      </c>
      <c r="AK10" s="144"/>
    </row>
    <row r="11" spans="1:37">
      <c r="A11">
        <v>7</v>
      </c>
      <c r="B11" s="57"/>
      <c r="C11" s="58"/>
      <c r="D11" s="84"/>
      <c r="E11" s="82"/>
      <c r="F11" s="158"/>
      <c r="G11" s="159"/>
      <c r="H11" s="281">
        <f>COUNTIFS(缺陷明细!$A$2:$A$50000,$B$4,缺陷明细!$G$2:$G$50000,$C11,缺陷明细!$J$2:$J$50000,"评审",缺陷明细!$AB$2:$AB$50000,"&lt;&gt;丢弃",缺陷明细!$AB$2:$AB$50000,"&lt;&gt;设计如此",缺陷明细!$AB$2:$AB$50000,"&lt;&gt;重复Bug")</f>
        <v>0</v>
      </c>
      <c r="I11" s="154">
        <f>COUNTIFS(缺陷明细!$A$2:$A$50000,$B$4,缺陷明细!$G$2:$G$50000,$C11,缺陷明细!$Q$2:$Q$50000,"已关闭",缺陷明细!$J$2:$J$50000,"评审")</f>
        <v>0</v>
      </c>
      <c r="J11" s="154">
        <f>COUNTIFS(缺陷明细!$A$2:$A$50000,$B$4,缺陷明细!$G$2:$G$50000,$C11,缺陷明细!$J$2:$J$50000,"单元测试",缺陷明细!$AB$2:$AB$50000,"&lt;&gt;丢弃",缺陷明细!$AB$2:$AB$50000,"&lt;&gt;设计如此",缺陷明细!$AB$2:$AB$50000,"&lt;&gt;重复Bug")</f>
        <v>0</v>
      </c>
      <c r="K11" s="155">
        <f>COUNTIFS(缺陷明细!$A$2:$A$50000,$B$4,缺陷明细!$G$2:$G$50000,$C11,缺陷明细!$Q$2:$Q$50000,"已关闭",缺陷明细!$J$2:$J$50000,"单元测试")</f>
        <v>0</v>
      </c>
      <c r="L11" s="156"/>
      <c r="M11" s="157"/>
      <c r="N11" s="72">
        <f>COUNTIFS(缺陷明细!$A$2:$A$50000,$B$4,缺陷明细!$G$2:$G$50000,$C11,缺陷明细!$J$2:$J$50000,"系统测试案例评审",缺陷明细!$AB$2:$AB$50000,"&lt;&gt;丢弃",缺陷明细!$AB$2:$AB$50000,"&lt;&gt;设计如此",缺陷明细!$AB$2:$AB$50000,"&lt;&gt;重复Bug")</f>
        <v>0</v>
      </c>
      <c r="O11" s="72">
        <f>COUNTIFS(缺陷明细!$A$2:$A$50000,$B$4,缺陷明细!$G$2:$G$50000,$C11,缺陷明细!$Q$2:$Q$50000,"已关闭",缺陷明细!$J$2:$J$50000,"系统测试案例评审")</f>
        <v>0</v>
      </c>
      <c r="P11" s="72">
        <f>COUNTIFS(缺陷明细!$A$2:$A$50000,$B$4,缺陷明细!$G$2:$G$50000,$C11,缺陷明细!$J$2:$J$50000,"系统测试",缺陷明细!$AB$2:$AB$50000,"&lt;&gt;丢弃",缺陷明细!$AB$2:$AB$50000,"&lt;&gt;设计如此",缺陷明细!$AB$2:$AB$50000,"&lt;&gt;重复Bug")</f>
        <v>0</v>
      </c>
      <c r="Q11" s="72">
        <f>COUNTIFS(缺陷明细!$A$2:$A$50000,$B$4,缺陷明细!$G$2:$G$50000,$C11,缺陷明细!$Q$2:$Q$50000,"已关闭",缺陷明细!$J$2:$J$50000,"系统测试")</f>
        <v>0</v>
      </c>
      <c r="R11" s="296">
        <f>COUNTIFS(缺陷明细!$A$2:$A$50000,$B$4,缺陷明细!$G$2:$G$50000,$C11,缺陷明细!$AB$2:$AB$50000,"丢弃",缺陷明细!$J$2:$J$50000,"系统测试")+COUNTIFS(缺陷明细!$A$2:$A$50000,$B$4,缺陷明细!$G$2:$G$50000,$C11,缺陷明细!$AB$2:$AB$50000,"设计如此",缺陷明细!$J$2:$J$50000,"系统测试")+COUNTIFS(缺陷明细!$A$2:$A$50000,$B$4,缺陷明细!$G$2:$G$50000,$C11,缺陷明细!$AB$2:$AB$50000,"重复Bug",缺陷明细!$J$2:$J$50000,"系统测试")</f>
        <v>0</v>
      </c>
      <c r="S11" s="72">
        <f>COUNTIFS(缺陷明细!$A$2:$A$50000,$B$4,缺陷明细!$G$2:$G$50000,$C11,缺陷明细!$J$2:$J$50000,"系统测试",缺陷明细!$K$2:$K$50000,"致命",缺陷明细!$AB$2:$AB$50000,"&lt;&gt;丢弃",缺陷明细!$AB$2:$AB$50000,"&lt;&gt;设计如此",缺陷明细!$AB$2:$AB$50000,"&lt;&gt;重复Bug")+COUNTIFS(缺陷明细!$A$2:$A$50000,$B$4,缺陷明细!$G$2:$G$50000,$C11,缺陷明细!$J$2:$J$50000,"系统测试",缺陷明细!$K$2:$K$50000,"严重",缺陷明细!$AB$2:$AB$50000,"&lt;&gt;丢弃",缺陷明细!$AB$2:$AB$50000,"&lt;&gt;设计如此",缺陷明细!$AB$2:$AB$50000,"&lt;&gt;重复Bug")</f>
        <v>0</v>
      </c>
      <c r="T11" s="73">
        <f>COUNTIFS(缺陷明细!$A$2:$A$50000,$B$4,缺陷明细!$G$2:$G$50000,$C11,缺陷明细!$Q$2:$Q$50000,"已关闭",缺陷明细!$J$2:$J$50000,"系统测试",缺陷明细!$K$2:$K$50000,"致命")+COUNTIFS(缺陷明细!$A$2:$A$50000,$B$4,缺陷明细!$G$2:$G$50000,$C11,缺陷明细!$Q$2:$Q$50000,"已关闭",缺陷明细!$J$2:$J$50000,"系统测试",缺陷明细!$K$2:$K$50000,"严重")</f>
        <v>0</v>
      </c>
      <c r="U11" s="74">
        <f>COUNTIFS(缺陷明细!$A$2:$A$50000,$B$4,缺陷明细!$G$2:$G$50000,$C11,缺陷明细!$J$2:$J$50000,"验收测试",缺陷明细!$AB$2:$AB$50000,"&lt;&gt;丢弃",缺陷明细!$AB$2:$AB$50000,"&lt;&gt;设计如此",缺陷明细!$AB$2:$AB$50000,"&lt;&gt;重复Bug")</f>
        <v>0</v>
      </c>
      <c r="V11" s="75">
        <f>COUNTIFS(缺陷明细!$A$2:$A$50000,$B$4,缺陷明细!$G$2:$G$50000,$C11,缺陷明细!$Q$2:$Q$50000,"已关闭",缺陷明细!$J$2:$J$50000,"验收测试")</f>
        <v>0</v>
      </c>
      <c r="W11" s="75">
        <f>COUNTIFS(缺陷明细!$A$2:$A$50000,$B$4,缺陷明细!$G$2:$G$50000,$C11,缺陷明细!$J$2:$J$50000,"验收测试",缺陷明细!$K$2:$K$50000,"致命",缺陷明细!$AB$2:$AB$50000,"&lt;&gt;丢弃",缺陷明细!$AB$2:$AB$50000,"&lt;&gt;设计如此",缺陷明细!$AB$2:$AB$50000,"&lt;&gt;重复Bug")+COUNTIFS(缺陷明细!$A$2:$A$50000,$B$4,缺陷明细!$G$2:$G$50000,$C11,缺陷明细!$J$2:$J$50000,"验收测试",缺陷明细!$K$2:$K$50000,"严重",缺陷明细!$AB$2:$AB$50000,"&lt;&gt;丢弃",缺陷明细!$AB$2:$AB$50000,"&lt;&gt;设计如此",缺陷明细!$AB$2:$AB$50000,"&lt;&gt;重复Bug")</f>
        <v>0</v>
      </c>
      <c r="X11" s="76">
        <f>COUNTIFS(缺陷明细!$A$2:$A$50000,$B$4,缺陷明细!$G$2:$G$50000,$C11,缺陷明细!$Q$2:$Q$50000,"已关闭",缺陷明细!$J$2:$J$50000,"验收测试",缺陷明细!$K$2:$K$50000,"致命")+COUNTIFS(缺陷明细!$A$2:$A$50000,$B$4,缺陷明细!$G$2:$G$50000,$C11,缺陷明细!$Q$2:$Q$50000,"已关闭",缺陷明细!$J$2:$J$50000,"验收测试",缺陷明细!$K$2:$K$50000,"严重")</f>
        <v>0</v>
      </c>
      <c r="Y11" s="70">
        <f>COUNTIFS(缺陷明细!$A$2:$A$50000,$B$4,缺陷明细!$G$2:$G$50000,$C11,缺陷明细!$J$2:$J$50000,"运维测试",缺陷明细!$AB$2:$AB$50000,"&lt;&gt;丢弃",缺陷明细!$AB$2:$AB$50000,"&lt;&gt;设计如此",缺陷明细!$AB$2:$AB$50000,"&lt;&gt;重复Bug")</f>
        <v>0</v>
      </c>
      <c r="Z11" s="71">
        <f>COUNTIFS(缺陷明细!$A$2:$A$50000,$B$4,缺陷明细!$G$2:$G$50000,$C11,缺陷明细!$Q$2:$Q$50000,"已关闭",缺陷明细!$J$2:$J$50000,"运维测试")</f>
        <v>0</v>
      </c>
      <c r="AA11" s="72">
        <f>COUNTIFS(缺陷明细!$A$2:$A$50000,$B$4,缺陷明细!$G$2:$G$50000,$C11,缺陷明细!$J$2:$J$50000,"运维测试",缺陷明细!$K$2:$K$50000,"致命",缺陷明细!$AB$2:$AB$50000,"&lt;&gt;丢弃",缺陷明细!$AB$2:$AB$50000,"&lt;&gt;设计如此",缺陷明细!$AB$2:$AB$50000,"&lt;&gt;重复Bug")+COUNTIFS(缺陷明细!$A$2:$A$50000,$B$4,缺陷明细!$G$2:$G$50000,$C11,缺陷明细!$J$2:$J$50000,"运维测试",缺陷明细!$K$2:$K$50000,"严重",缺陷明细!$AB$2:$AB$50000,"&lt;&gt;丢弃",缺陷明细!$AB$2:$AB$50000,"&lt;&gt;设计如此",缺陷明细!$AB$2:$AB$50000,"&lt;&gt;重复Bug")</f>
        <v>0</v>
      </c>
      <c r="AB11" s="73">
        <f>COUNTIFS(缺陷明细!$A$2:$A$50000,$B$4,缺陷明细!$G$2:$G$50000,$C11,缺陷明细!$Q$2:$Q$50000,"已关闭",缺陷明细!$J$2:$J$50000,"运维测试",缺陷明细!$K$2:$K$50000,"致命")+COUNTIFS(缺陷明细!$A$2:$A$50000,$B$4,缺陷明细!$G$2:$G$50000,$C11,缺陷明细!$Q$2:$Q$50000,"已关闭",缺陷明细!$J$2:$J$50000,"运维测试",缺陷明细!$K$2:$K$50000,"严重")</f>
        <v>0</v>
      </c>
      <c r="AC11" s="68">
        <f t="shared" si="0"/>
        <v>0</v>
      </c>
      <c r="AD11" s="60">
        <f t="shared" si="0"/>
        <v>0</v>
      </c>
      <c r="AE11" s="60">
        <f t="shared" si="1"/>
        <v>0</v>
      </c>
      <c r="AF11" s="60">
        <f t="shared" si="1"/>
        <v>0</v>
      </c>
      <c r="AG11" s="60">
        <f t="shared" si="2"/>
        <v>0</v>
      </c>
      <c r="AH11" s="60">
        <f t="shared" si="2"/>
        <v>0</v>
      </c>
      <c r="AI11" s="60">
        <f t="shared" si="3"/>
        <v>0</v>
      </c>
      <c r="AJ11" s="61">
        <f t="shared" si="3"/>
        <v>0</v>
      </c>
      <c r="AK11" s="144"/>
    </row>
    <row r="12" spans="1:37">
      <c r="A12">
        <v>8</v>
      </c>
      <c r="B12" s="57"/>
      <c r="C12" s="58"/>
      <c r="D12" s="84"/>
      <c r="E12" s="82"/>
      <c r="F12" s="158"/>
      <c r="G12" s="159"/>
      <c r="H12" s="281">
        <f>COUNTIFS(缺陷明细!$A$2:$A$50000,$B$4,缺陷明细!$G$2:$G$50000,$C12,缺陷明细!$J$2:$J$50000,"评审",缺陷明细!$AB$2:$AB$50000,"&lt;&gt;丢弃",缺陷明细!$AB$2:$AB$50000,"&lt;&gt;设计如此",缺陷明细!$AB$2:$AB$50000,"&lt;&gt;重复Bug")</f>
        <v>0</v>
      </c>
      <c r="I12" s="154">
        <f>COUNTIFS(缺陷明细!$A$2:$A$50000,$B$4,缺陷明细!$G$2:$G$50000,$C12,缺陷明细!$Q$2:$Q$50000,"已关闭",缺陷明细!$J$2:$J$50000,"评审")</f>
        <v>0</v>
      </c>
      <c r="J12" s="154">
        <f>COUNTIFS(缺陷明细!$A$2:$A$50000,$B$4,缺陷明细!$G$2:$G$50000,$C12,缺陷明细!$J$2:$J$50000,"单元测试",缺陷明细!$AB$2:$AB$50000,"&lt;&gt;丢弃",缺陷明细!$AB$2:$AB$50000,"&lt;&gt;设计如此",缺陷明细!$AB$2:$AB$50000,"&lt;&gt;重复Bug")</f>
        <v>0</v>
      </c>
      <c r="K12" s="155">
        <f>COUNTIFS(缺陷明细!$A$2:$A$50000,$B$4,缺陷明细!$G$2:$G$50000,$C12,缺陷明细!$Q$2:$Q$50000,"已关闭",缺陷明细!$J$2:$J$50000,"单元测试")</f>
        <v>0</v>
      </c>
      <c r="L12" s="156"/>
      <c r="M12" s="157"/>
      <c r="N12" s="72">
        <f>COUNTIFS(缺陷明细!$A$2:$A$50000,$B$4,缺陷明细!$G$2:$G$50000,$C12,缺陷明细!$J$2:$J$50000,"系统测试案例评审",缺陷明细!$AB$2:$AB$50000,"&lt;&gt;丢弃",缺陷明细!$AB$2:$AB$50000,"&lt;&gt;设计如此",缺陷明细!$AB$2:$AB$50000,"&lt;&gt;重复Bug")</f>
        <v>0</v>
      </c>
      <c r="O12" s="72">
        <f>COUNTIFS(缺陷明细!$A$2:$A$50000,$B$4,缺陷明细!$G$2:$G$50000,$C12,缺陷明细!$Q$2:$Q$50000,"已关闭",缺陷明细!$J$2:$J$50000,"系统测试案例评审")</f>
        <v>0</v>
      </c>
      <c r="P12" s="72">
        <f>COUNTIFS(缺陷明细!$A$2:$A$50000,$B$4,缺陷明细!$G$2:$G$50000,$C12,缺陷明细!$J$2:$J$50000,"系统测试",缺陷明细!$AB$2:$AB$50000,"&lt;&gt;丢弃",缺陷明细!$AB$2:$AB$50000,"&lt;&gt;设计如此",缺陷明细!$AB$2:$AB$50000,"&lt;&gt;重复Bug")</f>
        <v>0</v>
      </c>
      <c r="Q12" s="72">
        <f>COUNTIFS(缺陷明细!$A$2:$A$50000,$B$4,缺陷明细!$G$2:$G$50000,$C12,缺陷明细!$Q$2:$Q$50000,"已关闭",缺陷明细!$J$2:$J$50000,"系统测试")</f>
        <v>0</v>
      </c>
      <c r="R12" s="296">
        <f>COUNTIFS(缺陷明细!$A$2:$A$50000,$B$4,缺陷明细!$G$2:$G$50000,$C12,缺陷明细!$AB$2:$AB$50000,"丢弃",缺陷明细!$J$2:$J$50000,"系统测试")+COUNTIFS(缺陷明细!$A$2:$A$50000,$B$4,缺陷明细!$G$2:$G$50000,$C12,缺陷明细!$AB$2:$AB$50000,"设计如此",缺陷明细!$J$2:$J$50000,"系统测试")+COUNTIFS(缺陷明细!$A$2:$A$50000,$B$4,缺陷明细!$G$2:$G$50000,$C12,缺陷明细!$AB$2:$AB$50000,"重复Bug",缺陷明细!$J$2:$J$50000,"系统测试")</f>
        <v>0</v>
      </c>
      <c r="S12" s="72">
        <f>COUNTIFS(缺陷明细!$A$2:$A$50000,$B$4,缺陷明细!$G$2:$G$50000,$C12,缺陷明细!$J$2:$J$50000,"系统测试",缺陷明细!$K$2:$K$50000,"致命",缺陷明细!$AB$2:$AB$50000,"&lt;&gt;丢弃",缺陷明细!$AB$2:$AB$50000,"&lt;&gt;设计如此",缺陷明细!$AB$2:$AB$50000,"&lt;&gt;重复Bug")+COUNTIFS(缺陷明细!$A$2:$A$50000,$B$4,缺陷明细!$G$2:$G$50000,$C12,缺陷明细!$J$2:$J$50000,"系统测试",缺陷明细!$K$2:$K$50000,"严重",缺陷明细!$AB$2:$AB$50000,"&lt;&gt;丢弃",缺陷明细!$AB$2:$AB$50000,"&lt;&gt;设计如此",缺陷明细!$AB$2:$AB$50000,"&lt;&gt;重复Bug")</f>
        <v>0</v>
      </c>
      <c r="T12" s="73">
        <f>COUNTIFS(缺陷明细!$A$2:$A$50000,$B$4,缺陷明细!$G$2:$G$50000,$C12,缺陷明细!$Q$2:$Q$50000,"已关闭",缺陷明细!$J$2:$J$50000,"系统测试",缺陷明细!$K$2:$K$50000,"致命")+COUNTIFS(缺陷明细!$A$2:$A$50000,$B$4,缺陷明细!$G$2:$G$50000,$C12,缺陷明细!$Q$2:$Q$50000,"已关闭",缺陷明细!$J$2:$J$50000,"系统测试",缺陷明细!$K$2:$K$50000,"严重")</f>
        <v>0</v>
      </c>
      <c r="U12" s="74">
        <f>COUNTIFS(缺陷明细!$A$2:$A$50000,$B$4,缺陷明细!$G$2:$G$50000,$C12,缺陷明细!$J$2:$J$50000,"验收测试",缺陷明细!$AB$2:$AB$50000,"&lt;&gt;丢弃",缺陷明细!$AB$2:$AB$50000,"&lt;&gt;设计如此",缺陷明细!$AB$2:$AB$50000,"&lt;&gt;重复Bug")</f>
        <v>0</v>
      </c>
      <c r="V12" s="75">
        <f>COUNTIFS(缺陷明细!$A$2:$A$50000,$B$4,缺陷明细!$G$2:$G$50000,$C12,缺陷明细!$Q$2:$Q$50000,"已关闭",缺陷明细!$J$2:$J$50000,"验收测试")</f>
        <v>0</v>
      </c>
      <c r="W12" s="75">
        <f>COUNTIFS(缺陷明细!$A$2:$A$50000,$B$4,缺陷明细!$G$2:$G$50000,$C12,缺陷明细!$J$2:$J$50000,"验收测试",缺陷明细!$K$2:$K$50000,"致命",缺陷明细!$AB$2:$AB$50000,"&lt;&gt;丢弃",缺陷明细!$AB$2:$AB$50000,"&lt;&gt;设计如此",缺陷明细!$AB$2:$AB$50000,"&lt;&gt;重复Bug")+COUNTIFS(缺陷明细!$A$2:$A$50000,$B$4,缺陷明细!$G$2:$G$50000,$C12,缺陷明细!$J$2:$J$50000,"验收测试",缺陷明细!$K$2:$K$50000,"严重",缺陷明细!$AB$2:$AB$50000,"&lt;&gt;丢弃",缺陷明细!$AB$2:$AB$50000,"&lt;&gt;设计如此",缺陷明细!$AB$2:$AB$50000,"&lt;&gt;重复Bug")</f>
        <v>0</v>
      </c>
      <c r="X12" s="76">
        <f>COUNTIFS(缺陷明细!$A$2:$A$50000,$B$4,缺陷明细!$G$2:$G$50000,$C12,缺陷明细!$Q$2:$Q$50000,"已关闭",缺陷明细!$J$2:$J$50000,"验收测试",缺陷明细!$K$2:$K$50000,"致命")+COUNTIFS(缺陷明细!$A$2:$A$50000,$B$4,缺陷明细!$G$2:$G$50000,$C12,缺陷明细!$Q$2:$Q$50000,"已关闭",缺陷明细!$J$2:$J$50000,"验收测试",缺陷明细!$K$2:$K$50000,"严重")</f>
        <v>0</v>
      </c>
      <c r="Y12" s="70">
        <f>COUNTIFS(缺陷明细!$A$2:$A$50000,$B$4,缺陷明细!$G$2:$G$50000,$C12,缺陷明细!$J$2:$J$50000,"运维测试",缺陷明细!$AB$2:$AB$50000,"&lt;&gt;丢弃",缺陷明细!$AB$2:$AB$50000,"&lt;&gt;设计如此",缺陷明细!$AB$2:$AB$50000,"&lt;&gt;重复Bug")</f>
        <v>0</v>
      </c>
      <c r="Z12" s="71">
        <f>COUNTIFS(缺陷明细!$A$2:$A$50000,$B$4,缺陷明细!$G$2:$G$50000,$C12,缺陷明细!$Q$2:$Q$50000,"已关闭",缺陷明细!$J$2:$J$50000,"运维测试")</f>
        <v>0</v>
      </c>
      <c r="AA12" s="72">
        <f>COUNTIFS(缺陷明细!$A$2:$A$50000,$B$4,缺陷明细!$G$2:$G$50000,$C12,缺陷明细!$J$2:$J$50000,"运维测试",缺陷明细!$K$2:$K$50000,"致命",缺陷明细!$AB$2:$AB$50000,"&lt;&gt;丢弃",缺陷明细!$AB$2:$AB$50000,"&lt;&gt;设计如此",缺陷明细!$AB$2:$AB$50000,"&lt;&gt;重复Bug")+COUNTIFS(缺陷明细!$A$2:$A$50000,$B$4,缺陷明细!$G$2:$G$50000,$C12,缺陷明细!$J$2:$J$50000,"运维测试",缺陷明细!$K$2:$K$50000,"严重",缺陷明细!$AB$2:$AB$50000,"&lt;&gt;丢弃",缺陷明细!$AB$2:$AB$50000,"&lt;&gt;设计如此",缺陷明细!$AB$2:$AB$50000,"&lt;&gt;重复Bug")</f>
        <v>0</v>
      </c>
      <c r="AB12" s="73">
        <f>COUNTIFS(缺陷明细!$A$2:$A$50000,$B$4,缺陷明细!$G$2:$G$50000,$C12,缺陷明细!$Q$2:$Q$50000,"已关闭",缺陷明细!$J$2:$J$50000,"运维测试",缺陷明细!$K$2:$K$50000,"致命")+COUNTIFS(缺陷明细!$A$2:$A$50000,$B$4,缺陷明细!$G$2:$G$50000,$C12,缺陷明细!$Q$2:$Q$50000,"已关闭",缺陷明细!$J$2:$J$50000,"运维测试",缺陷明细!$K$2:$K$50000,"严重")</f>
        <v>0</v>
      </c>
      <c r="AC12" s="68">
        <f t="shared" si="0"/>
        <v>0</v>
      </c>
      <c r="AD12" s="60">
        <f t="shared" si="0"/>
        <v>0</v>
      </c>
      <c r="AE12" s="60">
        <f t="shared" si="1"/>
        <v>0</v>
      </c>
      <c r="AF12" s="60">
        <f t="shared" si="1"/>
        <v>0</v>
      </c>
      <c r="AG12" s="60">
        <f t="shared" si="2"/>
        <v>0</v>
      </c>
      <c r="AH12" s="60">
        <f t="shared" si="2"/>
        <v>0</v>
      </c>
      <c r="AI12" s="60">
        <f t="shared" si="3"/>
        <v>0</v>
      </c>
      <c r="AJ12" s="61">
        <f t="shared" si="3"/>
        <v>0</v>
      </c>
      <c r="AK12" s="144"/>
    </row>
    <row r="13" spans="1:37">
      <c r="A13">
        <v>9</v>
      </c>
      <c r="B13" s="57"/>
      <c r="C13" s="58"/>
      <c r="D13" s="84"/>
      <c r="E13" s="82"/>
      <c r="F13" s="158"/>
      <c r="G13" s="159"/>
      <c r="H13" s="281">
        <f>COUNTIFS(缺陷明细!$A$2:$A$50000,$B$4,缺陷明细!$G$2:$G$50000,$C13,缺陷明细!$J$2:$J$50000,"评审",缺陷明细!$AB$2:$AB$50000,"&lt;&gt;丢弃",缺陷明细!$AB$2:$AB$50000,"&lt;&gt;设计如此",缺陷明细!$AB$2:$AB$50000,"&lt;&gt;重复Bug")</f>
        <v>0</v>
      </c>
      <c r="I13" s="154">
        <f>COUNTIFS(缺陷明细!$A$2:$A$50000,$B$4,缺陷明细!$G$2:$G$50000,$C13,缺陷明细!$Q$2:$Q$50000,"已关闭",缺陷明细!$J$2:$J$50000,"评审")</f>
        <v>0</v>
      </c>
      <c r="J13" s="154">
        <f>COUNTIFS(缺陷明细!$A$2:$A$50000,$B$4,缺陷明细!$G$2:$G$50000,$C13,缺陷明细!$J$2:$J$50000,"单元测试",缺陷明细!$AB$2:$AB$50000,"&lt;&gt;丢弃",缺陷明细!$AB$2:$AB$50000,"&lt;&gt;设计如此",缺陷明细!$AB$2:$AB$50000,"&lt;&gt;重复Bug")</f>
        <v>0</v>
      </c>
      <c r="K13" s="155">
        <f>COUNTIFS(缺陷明细!$A$2:$A$50000,$B$4,缺陷明细!$G$2:$G$50000,$C13,缺陷明细!$Q$2:$Q$50000,"已关闭",缺陷明细!$J$2:$J$50000,"单元测试")</f>
        <v>0</v>
      </c>
      <c r="L13" s="156"/>
      <c r="M13" s="157"/>
      <c r="N13" s="72">
        <f>COUNTIFS(缺陷明细!$A$2:$A$50000,$B$4,缺陷明细!$G$2:$G$50000,$C13,缺陷明细!$J$2:$J$50000,"系统测试案例评审",缺陷明细!$AB$2:$AB$50000,"&lt;&gt;丢弃",缺陷明细!$AB$2:$AB$50000,"&lt;&gt;设计如此",缺陷明细!$AB$2:$AB$50000,"&lt;&gt;重复Bug")</f>
        <v>0</v>
      </c>
      <c r="O13" s="72">
        <f>COUNTIFS(缺陷明细!$A$2:$A$50000,$B$4,缺陷明细!$G$2:$G$50000,$C13,缺陷明细!$Q$2:$Q$50000,"已关闭",缺陷明细!$J$2:$J$50000,"系统测试案例评审")</f>
        <v>0</v>
      </c>
      <c r="P13" s="72">
        <f>COUNTIFS(缺陷明细!$A$2:$A$50000,$B$4,缺陷明细!$G$2:$G$50000,$C13,缺陷明细!$J$2:$J$50000,"系统测试",缺陷明细!$AB$2:$AB$50000,"&lt;&gt;丢弃",缺陷明细!$AB$2:$AB$50000,"&lt;&gt;设计如此",缺陷明细!$AB$2:$AB$50000,"&lt;&gt;重复Bug")</f>
        <v>0</v>
      </c>
      <c r="Q13" s="72">
        <f>COUNTIFS(缺陷明细!$A$2:$A$50000,$B$4,缺陷明细!$G$2:$G$50000,$C13,缺陷明细!$Q$2:$Q$50000,"已关闭",缺陷明细!$J$2:$J$50000,"系统测试")</f>
        <v>0</v>
      </c>
      <c r="R13" s="296">
        <f>COUNTIFS(缺陷明细!$A$2:$A$50000,$B$4,缺陷明细!$G$2:$G$50000,$C13,缺陷明细!$AB$2:$AB$50000,"丢弃",缺陷明细!$J$2:$J$50000,"系统测试")+COUNTIFS(缺陷明细!$A$2:$A$50000,$B$4,缺陷明细!$G$2:$G$50000,$C13,缺陷明细!$AB$2:$AB$50000,"设计如此",缺陷明细!$J$2:$J$50000,"系统测试")+COUNTIFS(缺陷明细!$A$2:$A$50000,$B$4,缺陷明细!$G$2:$G$50000,$C13,缺陷明细!$AB$2:$AB$50000,"重复Bug",缺陷明细!$J$2:$J$50000,"系统测试")</f>
        <v>0</v>
      </c>
      <c r="S13" s="72">
        <f>COUNTIFS(缺陷明细!$A$2:$A$50000,$B$4,缺陷明细!$G$2:$G$50000,$C13,缺陷明细!$J$2:$J$50000,"系统测试",缺陷明细!$K$2:$K$50000,"致命",缺陷明细!$AB$2:$AB$50000,"&lt;&gt;丢弃",缺陷明细!$AB$2:$AB$50000,"&lt;&gt;设计如此",缺陷明细!$AB$2:$AB$50000,"&lt;&gt;重复Bug")+COUNTIFS(缺陷明细!$A$2:$A$50000,$B$4,缺陷明细!$G$2:$G$50000,$C13,缺陷明细!$J$2:$J$50000,"系统测试",缺陷明细!$K$2:$K$50000,"严重",缺陷明细!$AB$2:$AB$50000,"&lt;&gt;丢弃",缺陷明细!$AB$2:$AB$50000,"&lt;&gt;设计如此",缺陷明细!$AB$2:$AB$50000,"&lt;&gt;重复Bug")</f>
        <v>0</v>
      </c>
      <c r="T13" s="73">
        <f>COUNTIFS(缺陷明细!$A$2:$A$50000,$B$4,缺陷明细!$G$2:$G$50000,$C13,缺陷明细!$Q$2:$Q$50000,"已关闭",缺陷明细!$J$2:$J$50000,"系统测试",缺陷明细!$K$2:$K$50000,"致命")+COUNTIFS(缺陷明细!$A$2:$A$50000,$B$4,缺陷明细!$G$2:$G$50000,$C13,缺陷明细!$Q$2:$Q$50000,"已关闭",缺陷明细!$J$2:$J$50000,"系统测试",缺陷明细!$K$2:$K$50000,"严重")</f>
        <v>0</v>
      </c>
      <c r="U13" s="74">
        <f>COUNTIFS(缺陷明细!$A$2:$A$50000,$B$4,缺陷明细!$G$2:$G$50000,$C13,缺陷明细!$J$2:$J$50000,"验收测试",缺陷明细!$AB$2:$AB$50000,"&lt;&gt;丢弃",缺陷明细!$AB$2:$AB$50000,"&lt;&gt;设计如此",缺陷明细!$AB$2:$AB$50000,"&lt;&gt;重复Bug")</f>
        <v>0</v>
      </c>
      <c r="V13" s="75">
        <f>COUNTIFS(缺陷明细!$A$2:$A$50000,$B$4,缺陷明细!$G$2:$G$50000,$C13,缺陷明细!$Q$2:$Q$50000,"已关闭",缺陷明细!$J$2:$J$50000,"验收测试")</f>
        <v>0</v>
      </c>
      <c r="W13" s="75">
        <f>COUNTIFS(缺陷明细!$A$2:$A$50000,$B$4,缺陷明细!$G$2:$G$50000,$C13,缺陷明细!$J$2:$J$50000,"验收测试",缺陷明细!$K$2:$K$50000,"致命",缺陷明细!$AB$2:$AB$50000,"&lt;&gt;丢弃",缺陷明细!$AB$2:$AB$50000,"&lt;&gt;设计如此",缺陷明细!$AB$2:$AB$50000,"&lt;&gt;重复Bug")+COUNTIFS(缺陷明细!$A$2:$A$50000,$B$4,缺陷明细!$G$2:$G$50000,$C13,缺陷明细!$J$2:$J$50000,"验收测试",缺陷明细!$K$2:$K$50000,"严重",缺陷明细!$AB$2:$AB$50000,"&lt;&gt;丢弃",缺陷明细!$AB$2:$AB$50000,"&lt;&gt;设计如此",缺陷明细!$AB$2:$AB$50000,"&lt;&gt;重复Bug")</f>
        <v>0</v>
      </c>
      <c r="X13" s="76">
        <f>COUNTIFS(缺陷明细!$A$2:$A$50000,$B$4,缺陷明细!$G$2:$G$50000,$C13,缺陷明细!$Q$2:$Q$50000,"已关闭",缺陷明细!$J$2:$J$50000,"验收测试",缺陷明细!$K$2:$K$50000,"致命")+COUNTIFS(缺陷明细!$A$2:$A$50000,$B$4,缺陷明细!$G$2:$G$50000,$C13,缺陷明细!$Q$2:$Q$50000,"已关闭",缺陷明细!$J$2:$J$50000,"验收测试",缺陷明细!$K$2:$K$50000,"严重")</f>
        <v>0</v>
      </c>
      <c r="Y13" s="70">
        <f>COUNTIFS(缺陷明细!$A$2:$A$50000,$B$4,缺陷明细!$G$2:$G$50000,$C13,缺陷明细!$J$2:$J$50000,"运维测试",缺陷明细!$AB$2:$AB$50000,"&lt;&gt;丢弃",缺陷明细!$AB$2:$AB$50000,"&lt;&gt;设计如此",缺陷明细!$AB$2:$AB$50000,"&lt;&gt;重复Bug")</f>
        <v>0</v>
      </c>
      <c r="Z13" s="71">
        <f>COUNTIFS(缺陷明细!$A$2:$A$50000,$B$4,缺陷明细!$G$2:$G$50000,$C13,缺陷明细!$Q$2:$Q$50000,"已关闭",缺陷明细!$J$2:$J$50000,"运维测试")</f>
        <v>0</v>
      </c>
      <c r="AA13" s="72">
        <f>COUNTIFS(缺陷明细!$A$2:$A$50000,$B$4,缺陷明细!$G$2:$G$50000,$C13,缺陷明细!$J$2:$J$50000,"运维测试",缺陷明细!$K$2:$K$50000,"致命",缺陷明细!$AB$2:$AB$50000,"&lt;&gt;丢弃",缺陷明细!$AB$2:$AB$50000,"&lt;&gt;设计如此",缺陷明细!$AB$2:$AB$50000,"&lt;&gt;重复Bug")+COUNTIFS(缺陷明细!$A$2:$A$50000,$B$4,缺陷明细!$G$2:$G$50000,$C13,缺陷明细!$J$2:$J$50000,"运维测试",缺陷明细!$K$2:$K$50000,"严重",缺陷明细!$AB$2:$AB$50000,"&lt;&gt;丢弃",缺陷明细!$AB$2:$AB$50000,"&lt;&gt;设计如此",缺陷明细!$AB$2:$AB$50000,"&lt;&gt;重复Bug")</f>
        <v>0</v>
      </c>
      <c r="AB13" s="73">
        <f>COUNTIFS(缺陷明细!$A$2:$A$50000,$B$4,缺陷明细!$G$2:$G$50000,$C13,缺陷明细!$Q$2:$Q$50000,"已关闭",缺陷明细!$J$2:$J$50000,"运维测试",缺陷明细!$K$2:$K$50000,"致命")+COUNTIFS(缺陷明细!$A$2:$A$50000,$B$4,缺陷明细!$G$2:$G$50000,$C13,缺陷明细!$Q$2:$Q$50000,"已关闭",缺陷明细!$J$2:$J$50000,"运维测试",缺陷明细!$K$2:$K$50000,"严重")</f>
        <v>0</v>
      </c>
      <c r="AC13" s="68">
        <f t="shared" si="0"/>
        <v>0</v>
      </c>
      <c r="AD13" s="60">
        <f t="shared" si="0"/>
        <v>0</v>
      </c>
      <c r="AE13" s="60">
        <f t="shared" si="1"/>
        <v>0</v>
      </c>
      <c r="AF13" s="60">
        <f t="shared" si="1"/>
        <v>0</v>
      </c>
      <c r="AG13" s="60">
        <f t="shared" si="2"/>
        <v>0</v>
      </c>
      <c r="AH13" s="60">
        <f t="shared" si="2"/>
        <v>0</v>
      </c>
      <c r="AI13" s="60">
        <f t="shared" si="3"/>
        <v>0</v>
      </c>
      <c r="AJ13" s="61">
        <f t="shared" si="3"/>
        <v>0</v>
      </c>
      <c r="AK13" s="144"/>
    </row>
    <row r="14" spans="1:37">
      <c r="A14">
        <v>10</v>
      </c>
      <c r="B14" s="57"/>
      <c r="C14" s="58"/>
      <c r="D14" s="84"/>
      <c r="E14" s="82"/>
      <c r="F14" s="158"/>
      <c r="G14" s="159"/>
      <c r="H14" s="281">
        <f>COUNTIFS(缺陷明细!$A$2:$A$50000,$B$4,缺陷明细!$G$2:$G$50000,$C14,缺陷明细!$J$2:$J$50000,"评审",缺陷明细!$AB$2:$AB$50000,"&lt;&gt;丢弃",缺陷明细!$AB$2:$AB$50000,"&lt;&gt;设计如此",缺陷明细!$AB$2:$AB$50000,"&lt;&gt;重复Bug")</f>
        <v>0</v>
      </c>
      <c r="I14" s="154">
        <f>COUNTIFS(缺陷明细!$A$2:$A$50000,$B$4,缺陷明细!$G$2:$G$50000,$C14,缺陷明细!$Q$2:$Q$50000,"已关闭",缺陷明细!$J$2:$J$50000,"评审")</f>
        <v>0</v>
      </c>
      <c r="J14" s="154">
        <f>COUNTIFS(缺陷明细!$A$2:$A$50000,$B$4,缺陷明细!$G$2:$G$50000,$C14,缺陷明细!$J$2:$J$50000,"单元测试",缺陷明细!$AB$2:$AB$50000,"&lt;&gt;丢弃",缺陷明细!$AB$2:$AB$50000,"&lt;&gt;设计如此",缺陷明细!$AB$2:$AB$50000,"&lt;&gt;重复Bug")</f>
        <v>0</v>
      </c>
      <c r="K14" s="155">
        <f>COUNTIFS(缺陷明细!$A$2:$A$50000,$B$4,缺陷明细!$G$2:$G$50000,$C14,缺陷明细!$Q$2:$Q$50000,"已关闭",缺陷明细!$J$2:$J$50000,"单元测试")</f>
        <v>0</v>
      </c>
      <c r="L14" s="156"/>
      <c r="M14" s="157"/>
      <c r="N14" s="72">
        <f>COUNTIFS(缺陷明细!$A$2:$A$50000,$B$4,缺陷明细!$G$2:$G$50000,$C14,缺陷明细!$J$2:$J$50000,"系统测试案例评审",缺陷明细!$AB$2:$AB$50000,"&lt;&gt;丢弃",缺陷明细!$AB$2:$AB$50000,"&lt;&gt;设计如此",缺陷明细!$AB$2:$AB$50000,"&lt;&gt;重复Bug")</f>
        <v>0</v>
      </c>
      <c r="O14" s="72">
        <f>COUNTIFS(缺陷明细!$A$2:$A$50000,$B$4,缺陷明细!$G$2:$G$50000,$C14,缺陷明细!$Q$2:$Q$50000,"已关闭",缺陷明细!$J$2:$J$50000,"系统测试案例评审")</f>
        <v>0</v>
      </c>
      <c r="P14" s="72">
        <f>COUNTIFS(缺陷明细!$A$2:$A$50000,$B$4,缺陷明细!$G$2:$G$50000,$C14,缺陷明细!$J$2:$J$50000,"系统测试",缺陷明细!$AB$2:$AB$50000,"&lt;&gt;丢弃",缺陷明细!$AB$2:$AB$50000,"&lt;&gt;设计如此",缺陷明细!$AB$2:$AB$50000,"&lt;&gt;重复Bug")</f>
        <v>0</v>
      </c>
      <c r="Q14" s="72">
        <f>COUNTIFS(缺陷明细!$A$2:$A$50000,$B$4,缺陷明细!$G$2:$G$50000,$C14,缺陷明细!$Q$2:$Q$50000,"已关闭",缺陷明细!$J$2:$J$50000,"系统测试")</f>
        <v>0</v>
      </c>
      <c r="R14" s="296">
        <f>COUNTIFS(缺陷明细!$A$2:$A$50000,$B$4,缺陷明细!$G$2:$G$50000,$C14,缺陷明细!$AB$2:$AB$50000,"丢弃",缺陷明细!$J$2:$J$50000,"系统测试")+COUNTIFS(缺陷明细!$A$2:$A$50000,$B$4,缺陷明细!$G$2:$G$50000,$C14,缺陷明细!$AB$2:$AB$50000,"设计如此",缺陷明细!$J$2:$J$50000,"系统测试")+COUNTIFS(缺陷明细!$A$2:$A$50000,$B$4,缺陷明细!$G$2:$G$50000,$C14,缺陷明细!$AB$2:$AB$50000,"重复Bug",缺陷明细!$J$2:$J$50000,"系统测试")</f>
        <v>0</v>
      </c>
      <c r="S14" s="72">
        <f>COUNTIFS(缺陷明细!$A$2:$A$50000,$B$4,缺陷明细!$G$2:$G$50000,$C14,缺陷明细!$J$2:$J$50000,"系统测试",缺陷明细!$K$2:$K$50000,"致命",缺陷明细!$AB$2:$AB$50000,"&lt;&gt;丢弃",缺陷明细!$AB$2:$AB$50000,"&lt;&gt;设计如此",缺陷明细!$AB$2:$AB$50000,"&lt;&gt;重复Bug")+COUNTIFS(缺陷明细!$A$2:$A$50000,$B$4,缺陷明细!$G$2:$G$50000,$C14,缺陷明细!$J$2:$J$50000,"系统测试",缺陷明细!$K$2:$K$50000,"严重",缺陷明细!$AB$2:$AB$50000,"&lt;&gt;丢弃",缺陷明细!$AB$2:$AB$50000,"&lt;&gt;设计如此",缺陷明细!$AB$2:$AB$50000,"&lt;&gt;重复Bug")</f>
        <v>0</v>
      </c>
      <c r="T14" s="73">
        <f>COUNTIFS(缺陷明细!$A$2:$A$50000,$B$4,缺陷明细!$G$2:$G$50000,$C14,缺陷明细!$Q$2:$Q$50000,"已关闭",缺陷明细!$J$2:$J$50000,"系统测试",缺陷明细!$K$2:$K$50000,"致命")+COUNTIFS(缺陷明细!$A$2:$A$50000,$B$4,缺陷明细!$G$2:$G$50000,$C14,缺陷明细!$Q$2:$Q$50000,"已关闭",缺陷明细!$J$2:$J$50000,"系统测试",缺陷明细!$K$2:$K$50000,"严重")</f>
        <v>0</v>
      </c>
      <c r="U14" s="74">
        <f>COUNTIFS(缺陷明细!$A$2:$A$50000,$B$4,缺陷明细!$G$2:$G$50000,$C14,缺陷明细!$J$2:$J$50000,"验收测试",缺陷明细!$AB$2:$AB$50000,"&lt;&gt;丢弃",缺陷明细!$AB$2:$AB$50000,"&lt;&gt;设计如此",缺陷明细!$AB$2:$AB$50000,"&lt;&gt;重复Bug")</f>
        <v>0</v>
      </c>
      <c r="V14" s="75">
        <f>COUNTIFS(缺陷明细!$A$2:$A$50000,$B$4,缺陷明细!$G$2:$G$50000,$C14,缺陷明细!$Q$2:$Q$50000,"已关闭",缺陷明细!$J$2:$J$50000,"验收测试")</f>
        <v>0</v>
      </c>
      <c r="W14" s="75">
        <f>COUNTIFS(缺陷明细!$A$2:$A$50000,$B$4,缺陷明细!$G$2:$G$50000,$C14,缺陷明细!$J$2:$J$50000,"验收测试",缺陷明细!$K$2:$K$50000,"致命",缺陷明细!$AB$2:$AB$50000,"&lt;&gt;丢弃",缺陷明细!$AB$2:$AB$50000,"&lt;&gt;设计如此",缺陷明细!$AB$2:$AB$50000,"&lt;&gt;重复Bug")+COUNTIFS(缺陷明细!$A$2:$A$50000,$B$4,缺陷明细!$G$2:$G$50000,$C14,缺陷明细!$J$2:$J$50000,"验收测试",缺陷明细!$K$2:$K$50000,"严重",缺陷明细!$AB$2:$AB$50000,"&lt;&gt;丢弃",缺陷明细!$AB$2:$AB$50000,"&lt;&gt;设计如此",缺陷明细!$AB$2:$AB$50000,"&lt;&gt;重复Bug")</f>
        <v>0</v>
      </c>
      <c r="X14" s="76">
        <f>COUNTIFS(缺陷明细!$A$2:$A$50000,$B$4,缺陷明细!$G$2:$G$50000,$C14,缺陷明细!$Q$2:$Q$50000,"已关闭",缺陷明细!$J$2:$J$50000,"验收测试",缺陷明细!$K$2:$K$50000,"致命")+COUNTIFS(缺陷明细!$A$2:$A$50000,$B$4,缺陷明细!$G$2:$G$50000,$C14,缺陷明细!$Q$2:$Q$50000,"已关闭",缺陷明细!$J$2:$J$50000,"验收测试",缺陷明细!$K$2:$K$50000,"严重")</f>
        <v>0</v>
      </c>
      <c r="Y14" s="70">
        <f>COUNTIFS(缺陷明细!$A$2:$A$50000,$B$4,缺陷明细!$G$2:$G$50000,$C14,缺陷明细!$J$2:$J$50000,"运维测试",缺陷明细!$AB$2:$AB$50000,"&lt;&gt;丢弃",缺陷明细!$AB$2:$AB$50000,"&lt;&gt;设计如此",缺陷明细!$AB$2:$AB$50000,"&lt;&gt;重复Bug")</f>
        <v>0</v>
      </c>
      <c r="Z14" s="71">
        <f>COUNTIFS(缺陷明细!$A$2:$A$50000,$B$4,缺陷明细!$G$2:$G$50000,$C14,缺陷明细!$Q$2:$Q$50000,"已关闭",缺陷明细!$J$2:$J$50000,"运维测试")</f>
        <v>0</v>
      </c>
      <c r="AA14" s="72">
        <f>COUNTIFS(缺陷明细!$A$2:$A$50000,$B$4,缺陷明细!$G$2:$G$50000,$C14,缺陷明细!$J$2:$J$50000,"运维测试",缺陷明细!$K$2:$K$50000,"致命",缺陷明细!$AB$2:$AB$50000,"&lt;&gt;丢弃",缺陷明细!$AB$2:$AB$50000,"&lt;&gt;设计如此",缺陷明细!$AB$2:$AB$50000,"&lt;&gt;重复Bug")+COUNTIFS(缺陷明细!$A$2:$A$50000,$B$4,缺陷明细!$G$2:$G$50000,$C14,缺陷明细!$J$2:$J$50000,"运维测试",缺陷明细!$K$2:$K$50000,"严重",缺陷明细!$AB$2:$AB$50000,"&lt;&gt;丢弃",缺陷明细!$AB$2:$AB$50000,"&lt;&gt;设计如此",缺陷明细!$AB$2:$AB$50000,"&lt;&gt;重复Bug")</f>
        <v>0</v>
      </c>
      <c r="AB14" s="73">
        <f>COUNTIFS(缺陷明细!$A$2:$A$50000,$B$4,缺陷明细!$G$2:$G$50000,$C14,缺陷明细!$Q$2:$Q$50000,"已关闭",缺陷明细!$J$2:$J$50000,"运维测试",缺陷明细!$K$2:$K$50000,"致命")+COUNTIFS(缺陷明细!$A$2:$A$50000,$B$4,缺陷明细!$G$2:$G$50000,$C14,缺陷明细!$Q$2:$Q$50000,"已关闭",缺陷明细!$J$2:$J$50000,"运维测试",缺陷明细!$K$2:$K$50000,"严重")</f>
        <v>0</v>
      </c>
      <c r="AC14" s="68">
        <f t="shared" si="0"/>
        <v>0</v>
      </c>
      <c r="AD14" s="60">
        <f t="shared" si="0"/>
        <v>0</v>
      </c>
      <c r="AE14" s="60">
        <f t="shared" si="1"/>
        <v>0</v>
      </c>
      <c r="AF14" s="60">
        <f t="shared" si="1"/>
        <v>0</v>
      </c>
      <c r="AG14" s="60">
        <f t="shared" si="2"/>
        <v>0</v>
      </c>
      <c r="AH14" s="60">
        <f t="shared" si="2"/>
        <v>0</v>
      </c>
      <c r="AI14" s="60">
        <f t="shared" si="3"/>
        <v>0</v>
      </c>
      <c r="AJ14" s="61">
        <f t="shared" si="3"/>
        <v>0</v>
      </c>
      <c r="AK14" s="144"/>
    </row>
    <row r="15" spans="1:37">
      <c r="A15">
        <v>11</v>
      </c>
      <c r="B15" s="57"/>
      <c r="C15" s="58"/>
      <c r="D15" s="84"/>
      <c r="E15" s="82"/>
      <c r="F15" s="158"/>
      <c r="G15" s="159"/>
      <c r="H15" s="281">
        <f>COUNTIFS(缺陷明细!$A$2:$A$50000,$B$4,缺陷明细!$G$2:$G$50000,$C15,缺陷明细!$J$2:$J$50000,"评审",缺陷明细!$AB$2:$AB$50000,"&lt;&gt;丢弃",缺陷明细!$AB$2:$AB$50000,"&lt;&gt;设计如此",缺陷明细!$AB$2:$AB$50000,"&lt;&gt;重复Bug")</f>
        <v>0</v>
      </c>
      <c r="I15" s="154">
        <f>COUNTIFS(缺陷明细!$A$2:$A$50000,$B$4,缺陷明细!$G$2:$G$50000,$C15,缺陷明细!$Q$2:$Q$50000,"已关闭",缺陷明细!$J$2:$J$50000,"评审")</f>
        <v>0</v>
      </c>
      <c r="J15" s="154">
        <f>COUNTIFS(缺陷明细!$A$2:$A$50000,$B$4,缺陷明细!$G$2:$G$50000,$C15,缺陷明细!$J$2:$J$50000,"单元测试",缺陷明细!$AB$2:$AB$50000,"&lt;&gt;丢弃",缺陷明细!$AB$2:$AB$50000,"&lt;&gt;设计如此",缺陷明细!$AB$2:$AB$50000,"&lt;&gt;重复Bug")</f>
        <v>0</v>
      </c>
      <c r="K15" s="155">
        <f>COUNTIFS(缺陷明细!$A$2:$A$50000,$B$4,缺陷明细!$G$2:$G$50000,$C15,缺陷明细!$Q$2:$Q$50000,"已关闭",缺陷明细!$J$2:$J$50000,"单元测试")</f>
        <v>0</v>
      </c>
      <c r="L15" s="156"/>
      <c r="M15" s="157"/>
      <c r="N15" s="72">
        <f>COUNTIFS(缺陷明细!$A$2:$A$50000,$B$4,缺陷明细!$G$2:$G$50000,$C15,缺陷明细!$J$2:$J$50000,"系统测试案例评审",缺陷明细!$AB$2:$AB$50000,"&lt;&gt;丢弃",缺陷明细!$AB$2:$AB$50000,"&lt;&gt;设计如此",缺陷明细!$AB$2:$AB$50000,"&lt;&gt;重复Bug")</f>
        <v>0</v>
      </c>
      <c r="O15" s="72">
        <f>COUNTIFS(缺陷明细!$A$2:$A$50000,$B$4,缺陷明细!$G$2:$G$50000,$C15,缺陷明细!$Q$2:$Q$50000,"已关闭",缺陷明细!$J$2:$J$50000,"系统测试案例评审")</f>
        <v>0</v>
      </c>
      <c r="P15" s="72">
        <f>COUNTIFS(缺陷明细!$A$2:$A$50000,$B$4,缺陷明细!$G$2:$G$50000,$C15,缺陷明细!$J$2:$J$50000,"系统测试",缺陷明细!$AB$2:$AB$50000,"&lt;&gt;丢弃",缺陷明细!$AB$2:$AB$50000,"&lt;&gt;设计如此",缺陷明细!$AB$2:$AB$50000,"&lt;&gt;重复Bug")</f>
        <v>0</v>
      </c>
      <c r="Q15" s="72">
        <f>COUNTIFS(缺陷明细!$A$2:$A$50000,$B$4,缺陷明细!$G$2:$G$50000,$C15,缺陷明细!$Q$2:$Q$50000,"已关闭",缺陷明细!$J$2:$J$50000,"系统测试")</f>
        <v>0</v>
      </c>
      <c r="R15" s="296">
        <f>COUNTIFS(缺陷明细!$A$2:$A$50000,$B$4,缺陷明细!$G$2:$G$50000,$C15,缺陷明细!$AB$2:$AB$50000,"丢弃",缺陷明细!$J$2:$J$50000,"系统测试")+COUNTIFS(缺陷明细!$A$2:$A$50000,$B$4,缺陷明细!$G$2:$G$50000,$C15,缺陷明细!$AB$2:$AB$50000,"设计如此",缺陷明细!$J$2:$J$50000,"系统测试")+COUNTIFS(缺陷明细!$A$2:$A$50000,$B$4,缺陷明细!$G$2:$G$50000,$C15,缺陷明细!$AB$2:$AB$50000,"重复Bug",缺陷明细!$J$2:$J$50000,"系统测试")</f>
        <v>0</v>
      </c>
      <c r="S15" s="72">
        <f>COUNTIFS(缺陷明细!$A$2:$A$50000,$B$4,缺陷明细!$G$2:$G$50000,$C15,缺陷明细!$J$2:$J$50000,"系统测试",缺陷明细!$K$2:$K$50000,"致命",缺陷明细!$AB$2:$AB$50000,"&lt;&gt;丢弃",缺陷明细!$AB$2:$AB$50000,"&lt;&gt;设计如此",缺陷明细!$AB$2:$AB$50000,"&lt;&gt;重复Bug")+COUNTIFS(缺陷明细!$A$2:$A$50000,$B$4,缺陷明细!$G$2:$G$50000,$C15,缺陷明细!$J$2:$J$50000,"系统测试",缺陷明细!$K$2:$K$50000,"严重",缺陷明细!$AB$2:$AB$50000,"&lt;&gt;丢弃",缺陷明细!$AB$2:$AB$50000,"&lt;&gt;设计如此",缺陷明细!$AB$2:$AB$50000,"&lt;&gt;重复Bug")</f>
        <v>0</v>
      </c>
      <c r="T15" s="73">
        <f>COUNTIFS(缺陷明细!$A$2:$A$50000,$B$4,缺陷明细!$G$2:$G$50000,$C15,缺陷明细!$Q$2:$Q$50000,"已关闭",缺陷明细!$J$2:$J$50000,"系统测试",缺陷明细!$K$2:$K$50000,"致命")+COUNTIFS(缺陷明细!$A$2:$A$50000,$B$4,缺陷明细!$G$2:$G$50000,$C15,缺陷明细!$Q$2:$Q$50000,"已关闭",缺陷明细!$J$2:$J$50000,"系统测试",缺陷明细!$K$2:$K$50000,"严重")</f>
        <v>0</v>
      </c>
      <c r="U15" s="74">
        <f>COUNTIFS(缺陷明细!$A$2:$A$50000,$B$4,缺陷明细!$G$2:$G$50000,$C15,缺陷明细!$J$2:$J$50000,"验收测试",缺陷明细!$AB$2:$AB$50000,"&lt;&gt;丢弃",缺陷明细!$AB$2:$AB$50000,"&lt;&gt;设计如此",缺陷明细!$AB$2:$AB$50000,"&lt;&gt;重复Bug")</f>
        <v>0</v>
      </c>
      <c r="V15" s="75">
        <f>COUNTIFS(缺陷明细!$A$2:$A$50000,$B$4,缺陷明细!$G$2:$G$50000,$C15,缺陷明细!$Q$2:$Q$50000,"已关闭",缺陷明细!$J$2:$J$50000,"验收测试")</f>
        <v>0</v>
      </c>
      <c r="W15" s="75">
        <f>COUNTIFS(缺陷明细!$A$2:$A$50000,$B$4,缺陷明细!$G$2:$G$50000,$C15,缺陷明细!$J$2:$J$50000,"验收测试",缺陷明细!$K$2:$K$50000,"致命",缺陷明细!$AB$2:$AB$50000,"&lt;&gt;丢弃",缺陷明细!$AB$2:$AB$50000,"&lt;&gt;设计如此",缺陷明细!$AB$2:$AB$50000,"&lt;&gt;重复Bug")+COUNTIFS(缺陷明细!$A$2:$A$50000,$B$4,缺陷明细!$G$2:$G$50000,$C15,缺陷明细!$J$2:$J$50000,"验收测试",缺陷明细!$K$2:$K$50000,"严重",缺陷明细!$AB$2:$AB$50000,"&lt;&gt;丢弃",缺陷明细!$AB$2:$AB$50000,"&lt;&gt;设计如此",缺陷明细!$AB$2:$AB$50000,"&lt;&gt;重复Bug")</f>
        <v>0</v>
      </c>
      <c r="X15" s="76">
        <f>COUNTIFS(缺陷明细!$A$2:$A$50000,$B$4,缺陷明细!$G$2:$G$50000,$C15,缺陷明细!$Q$2:$Q$50000,"已关闭",缺陷明细!$J$2:$J$50000,"验收测试",缺陷明细!$K$2:$K$50000,"致命")+COUNTIFS(缺陷明细!$A$2:$A$50000,$B$4,缺陷明细!$G$2:$G$50000,$C15,缺陷明细!$Q$2:$Q$50000,"已关闭",缺陷明细!$J$2:$J$50000,"验收测试",缺陷明细!$K$2:$K$50000,"严重")</f>
        <v>0</v>
      </c>
      <c r="Y15" s="70">
        <f>COUNTIFS(缺陷明细!$A$2:$A$50000,$B$4,缺陷明细!$G$2:$G$50000,$C15,缺陷明细!$J$2:$J$50000,"运维测试",缺陷明细!$AB$2:$AB$50000,"&lt;&gt;丢弃",缺陷明细!$AB$2:$AB$50000,"&lt;&gt;设计如此",缺陷明细!$AB$2:$AB$50000,"&lt;&gt;重复Bug")</f>
        <v>0</v>
      </c>
      <c r="Z15" s="71">
        <f>COUNTIFS(缺陷明细!$A$2:$A$50000,$B$4,缺陷明细!$G$2:$G$50000,$C15,缺陷明细!$Q$2:$Q$50000,"已关闭",缺陷明细!$J$2:$J$50000,"运维测试")</f>
        <v>0</v>
      </c>
      <c r="AA15" s="72">
        <f>COUNTIFS(缺陷明细!$A$2:$A$50000,$B$4,缺陷明细!$G$2:$G$50000,$C15,缺陷明细!$J$2:$J$50000,"运维测试",缺陷明细!$K$2:$K$50000,"致命",缺陷明细!$AB$2:$AB$50000,"&lt;&gt;丢弃",缺陷明细!$AB$2:$AB$50000,"&lt;&gt;设计如此",缺陷明细!$AB$2:$AB$50000,"&lt;&gt;重复Bug")+COUNTIFS(缺陷明细!$A$2:$A$50000,$B$4,缺陷明细!$G$2:$G$50000,$C15,缺陷明细!$J$2:$J$50000,"运维测试",缺陷明细!$K$2:$K$50000,"严重",缺陷明细!$AB$2:$AB$50000,"&lt;&gt;丢弃",缺陷明细!$AB$2:$AB$50000,"&lt;&gt;设计如此",缺陷明细!$AB$2:$AB$50000,"&lt;&gt;重复Bug")</f>
        <v>0</v>
      </c>
      <c r="AB15" s="73">
        <f>COUNTIFS(缺陷明细!$A$2:$A$50000,$B$4,缺陷明细!$G$2:$G$50000,$C15,缺陷明细!$Q$2:$Q$50000,"已关闭",缺陷明细!$J$2:$J$50000,"运维测试",缺陷明细!$K$2:$K$50000,"致命")+COUNTIFS(缺陷明细!$A$2:$A$50000,$B$4,缺陷明细!$G$2:$G$50000,$C15,缺陷明细!$Q$2:$Q$50000,"已关闭",缺陷明细!$J$2:$J$50000,"运维测试",缺陷明细!$K$2:$K$50000,"严重")</f>
        <v>0</v>
      </c>
      <c r="AC15" s="68">
        <f t="shared" si="0"/>
        <v>0</v>
      </c>
      <c r="AD15" s="60">
        <f t="shared" si="0"/>
        <v>0</v>
      </c>
      <c r="AE15" s="60">
        <f t="shared" si="1"/>
        <v>0</v>
      </c>
      <c r="AF15" s="60">
        <f t="shared" si="1"/>
        <v>0</v>
      </c>
      <c r="AG15" s="60">
        <f t="shared" si="2"/>
        <v>0</v>
      </c>
      <c r="AH15" s="60">
        <f t="shared" si="2"/>
        <v>0</v>
      </c>
      <c r="AI15" s="60">
        <f t="shared" si="3"/>
        <v>0</v>
      </c>
      <c r="AJ15" s="61">
        <f t="shared" si="3"/>
        <v>0</v>
      </c>
      <c r="AK15" s="144"/>
    </row>
    <row r="16" spans="1:37">
      <c r="A16">
        <v>12</v>
      </c>
      <c r="B16" s="57"/>
      <c r="C16" s="58"/>
      <c r="D16" s="84"/>
      <c r="E16" s="82"/>
      <c r="F16" s="158"/>
      <c r="G16" s="159"/>
      <c r="H16" s="281">
        <f>COUNTIFS(缺陷明细!$A$2:$A$50000,$B$4,缺陷明细!$G$2:$G$50000,$C16,缺陷明细!$J$2:$J$50000,"评审",缺陷明细!$AB$2:$AB$50000,"&lt;&gt;丢弃",缺陷明细!$AB$2:$AB$50000,"&lt;&gt;设计如此",缺陷明细!$AB$2:$AB$50000,"&lt;&gt;重复Bug")</f>
        <v>0</v>
      </c>
      <c r="I16" s="154">
        <f>COUNTIFS(缺陷明细!$A$2:$A$50000,$B$4,缺陷明细!$G$2:$G$50000,$C16,缺陷明细!$Q$2:$Q$50000,"已关闭",缺陷明细!$J$2:$J$50000,"评审")</f>
        <v>0</v>
      </c>
      <c r="J16" s="154">
        <f>COUNTIFS(缺陷明细!$A$2:$A$50000,$B$4,缺陷明细!$G$2:$G$50000,$C16,缺陷明细!$J$2:$J$50000,"单元测试",缺陷明细!$AB$2:$AB$50000,"&lt;&gt;丢弃",缺陷明细!$AB$2:$AB$50000,"&lt;&gt;设计如此",缺陷明细!$AB$2:$AB$50000,"&lt;&gt;重复Bug")</f>
        <v>0</v>
      </c>
      <c r="K16" s="155">
        <f>COUNTIFS(缺陷明细!$A$2:$A$50000,$B$4,缺陷明细!$G$2:$G$50000,$C16,缺陷明细!$Q$2:$Q$50000,"已关闭",缺陷明细!$J$2:$J$50000,"单元测试")</f>
        <v>0</v>
      </c>
      <c r="L16" s="156"/>
      <c r="M16" s="157"/>
      <c r="N16" s="72">
        <f>COUNTIFS(缺陷明细!$A$2:$A$50000,$B$4,缺陷明细!$G$2:$G$50000,$C16,缺陷明细!$J$2:$J$50000,"系统测试案例评审",缺陷明细!$AB$2:$AB$50000,"&lt;&gt;丢弃",缺陷明细!$AB$2:$AB$50000,"&lt;&gt;设计如此",缺陷明细!$AB$2:$AB$50000,"&lt;&gt;重复Bug")</f>
        <v>0</v>
      </c>
      <c r="O16" s="72">
        <f>COUNTIFS(缺陷明细!$A$2:$A$50000,$B$4,缺陷明细!$G$2:$G$50000,$C16,缺陷明细!$Q$2:$Q$50000,"已关闭",缺陷明细!$J$2:$J$50000,"系统测试案例评审")</f>
        <v>0</v>
      </c>
      <c r="P16" s="72">
        <f>COUNTIFS(缺陷明细!$A$2:$A$50000,$B$4,缺陷明细!$G$2:$G$50000,$C16,缺陷明细!$J$2:$J$50000,"系统测试",缺陷明细!$AB$2:$AB$50000,"&lt;&gt;丢弃",缺陷明细!$AB$2:$AB$50000,"&lt;&gt;设计如此",缺陷明细!$AB$2:$AB$50000,"&lt;&gt;重复Bug")</f>
        <v>0</v>
      </c>
      <c r="Q16" s="72">
        <f>COUNTIFS(缺陷明细!$A$2:$A$50000,$B$4,缺陷明细!$G$2:$G$50000,$C16,缺陷明细!$Q$2:$Q$50000,"已关闭",缺陷明细!$J$2:$J$50000,"系统测试")</f>
        <v>0</v>
      </c>
      <c r="R16" s="296">
        <f>COUNTIFS(缺陷明细!$A$2:$A$50000,$B$4,缺陷明细!$G$2:$G$50000,$C16,缺陷明细!$AB$2:$AB$50000,"丢弃",缺陷明细!$J$2:$J$50000,"系统测试")+COUNTIFS(缺陷明细!$A$2:$A$50000,$B$4,缺陷明细!$G$2:$G$50000,$C16,缺陷明细!$AB$2:$AB$50000,"设计如此",缺陷明细!$J$2:$J$50000,"系统测试")+COUNTIFS(缺陷明细!$A$2:$A$50000,$B$4,缺陷明细!$G$2:$G$50000,$C16,缺陷明细!$AB$2:$AB$50000,"重复Bug",缺陷明细!$J$2:$J$50000,"系统测试")</f>
        <v>0</v>
      </c>
      <c r="S16" s="72">
        <f>COUNTIFS(缺陷明细!$A$2:$A$50000,$B$4,缺陷明细!$G$2:$G$50000,$C16,缺陷明细!$J$2:$J$50000,"系统测试",缺陷明细!$K$2:$K$50000,"致命",缺陷明细!$AB$2:$AB$50000,"&lt;&gt;丢弃",缺陷明细!$AB$2:$AB$50000,"&lt;&gt;设计如此",缺陷明细!$AB$2:$AB$50000,"&lt;&gt;重复Bug")+COUNTIFS(缺陷明细!$A$2:$A$50000,$B$4,缺陷明细!$G$2:$G$50000,$C16,缺陷明细!$J$2:$J$50000,"系统测试",缺陷明细!$K$2:$K$50000,"严重",缺陷明细!$AB$2:$AB$50000,"&lt;&gt;丢弃",缺陷明细!$AB$2:$AB$50000,"&lt;&gt;设计如此",缺陷明细!$AB$2:$AB$50000,"&lt;&gt;重复Bug")</f>
        <v>0</v>
      </c>
      <c r="T16" s="73">
        <f>COUNTIFS(缺陷明细!$A$2:$A$50000,$B$4,缺陷明细!$G$2:$G$50000,$C16,缺陷明细!$Q$2:$Q$50000,"已关闭",缺陷明细!$J$2:$J$50000,"系统测试",缺陷明细!$K$2:$K$50000,"致命")+COUNTIFS(缺陷明细!$A$2:$A$50000,$B$4,缺陷明细!$G$2:$G$50000,$C16,缺陷明细!$Q$2:$Q$50000,"已关闭",缺陷明细!$J$2:$J$50000,"系统测试",缺陷明细!$K$2:$K$50000,"严重")</f>
        <v>0</v>
      </c>
      <c r="U16" s="74">
        <f>COUNTIFS(缺陷明细!$A$2:$A$50000,$B$4,缺陷明细!$G$2:$G$50000,$C16,缺陷明细!$J$2:$J$50000,"验收测试",缺陷明细!$AB$2:$AB$50000,"&lt;&gt;丢弃",缺陷明细!$AB$2:$AB$50000,"&lt;&gt;设计如此",缺陷明细!$AB$2:$AB$50000,"&lt;&gt;重复Bug")</f>
        <v>0</v>
      </c>
      <c r="V16" s="75">
        <f>COUNTIFS(缺陷明细!$A$2:$A$50000,$B$4,缺陷明细!$G$2:$G$50000,$C16,缺陷明细!$Q$2:$Q$50000,"已关闭",缺陷明细!$J$2:$J$50000,"验收测试")</f>
        <v>0</v>
      </c>
      <c r="W16" s="75">
        <f>COUNTIFS(缺陷明细!$A$2:$A$50000,$B$4,缺陷明细!$G$2:$G$50000,$C16,缺陷明细!$J$2:$J$50000,"验收测试",缺陷明细!$K$2:$K$50000,"致命",缺陷明细!$AB$2:$AB$50000,"&lt;&gt;丢弃",缺陷明细!$AB$2:$AB$50000,"&lt;&gt;设计如此",缺陷明细!$AB$2:$AB$50000,"&lt;&gt;重复Bug")+COUNTIFS(缺陷明细!$A$2:$A$50000,$B$4,缺陷明细!$G$2:$G$50000,$C16,缺陷明细!$J$2:$J$50000,"验收测试",缺陷明细!$K$2:$K$50000,"严重",缺陷明细!$AB$2:$AB$50000,"&lt;&gt;丢弃",缺陷明细!$AB$2:$AB$50000,"&lt;&gt;设计如此",缺陷明细!$AB$2:$AB$50000,"&lt;&gt;重复Bug")</f>
        <v>0</v>
      </c>
      <c r="X16" s="76">
        <f>COUNTIFS(缺陷明细!$A$2:$A$50000,$B$4,缺陷明细!$G$2:$G$50000,$C16,缺陷明细!$Q$2:$Q$50000,"已关闭",缺陷明细!$J$2:$J$50000,"验收测试",缺陷明细!$K$2:$K$50000,"致命")+COUNTIFS(缺陷明细!$A$2:$A$50000,$B$4,缺陷明细!$G$2:$G$50000,$C16,缺陷明细!$Q$2:$Q$50000,"已关闭",缺陷明细!$J$2:$J$50000,"验收测试",缺陷明细!$K$2:$K$50000,"严重")</f>
        <v>0</v>
      </c>
      <c r="Y16" s="70">
        <f>COUNTIFS(缺陷明细!$A$2:$A$50000,$B$4,缺陷明细!$G$2:$G$50000,$C16,缺陷明细!$J$2:$J$50000,"运维测试",缺陷明细!$AB$2:$AB$50000,"&lt;&gt;丢弃",缺陷明细!$AB$2:$AB$50000,"&lt;&gt;设计如此",缺陷明细!$AB$2:$AB$50000,"&lt;&gt;重复Bug")</f>
        <v>0</v>
      </c>
      <c r="Z16" s="71">
        <f>COUNTIFS(缺陷明细!$A$2:$A$50000,$B$4,缺陷明细!$G$2:$G$50000,$C16,缺陷明细!$Q$2:$Q$50000,"已关闭",缺陷明细!$J$2:$J$50000,"运维测试")</f>
        <v>0</v>
      </c>
      <c r="AA16" s="72">
        <f>COUNTIFS(缺陷明细!$A$2:$A$50000,$B$4,缺陷明细!$G$2:$G$50000,$C16,缺陷明细!$J$2:$J$50000,"运维测试",缺陷明细!$K$2:$K$50000,"致命",缺陷明细!$AB$2:$AB$50000,"&lt;&gt;丢弃",缺陷明细!$AB$2:$AB$50000,"&lt;&gt;设计如此",缺陷明细!$AB$2:$AB$50000,"&lt;&gt;重复Bug")+COUNTIFS(缺陷明细!$A$2:$A$50000,$B$4,缺陷明细!$G$2:$G$50000,$C16,缺陷明细!$J$2:$J$50000,"运维测试",缺陷明细!$K$2:$K$50000,"严重",缺陷明细!$AB$2:$AB$50000,"&lt;&gt;丢弃",缺陷明细!$AB$2:$AB$50000,"&lt;&gt;设计如此",缺陷明细!$AB$2:$AB$50000,"&lt;&gt;重复Bug")</f>
        <v>0</v>
      </c>
      <c r="AB16" s="73">
        <f>COUNTIFS(缺陷明细!$A$2:$A$50000,$B$4,缺陷明细!$G$2:$G$50000,$C16,缺陷明细!$Q$2:$Q$50000,"已关闭",缺陷明细!$J$2:$J$50000,"运维测试",缺陷明细!$K$2:$K$50000,"致命")+COUNTIFS(缺陷明细!$A$2:$A$50000,$B$4,缺陷明细!$G$2:$G$50000,$C16,缺陷明细!$Q$2:$Q$50000,"已关闭",缺陷明细!$J$2:$J$50000,"运维测试",缺陷明细!$K$2:$K$50000,"严重")</f>
        <v>0</v>
      </c>
      <c r="AC16" s="68">
        <f t="shared" si="0"/>
        <v>0</v>
      </c>
      <c r="AD16" s="60">
        <f t="shared" si="0"/>
        <v>0</v>
      </c>
      <c r="AE16" s="60">
        <f t="shared" si="1"/>
        <v>0</v>
      </c>
      <c r="AF16" s="60">
        <f t="shared" si="1"/>
        <v>0</v>
      </c>
      <c r="AG16" s="60">
        <f t="shared" si="2"/>
        <v>0</v>
      </c>
      <c r="AH16" s="60">
        <f t="shared" si="2"/>
        <v>0</v>
      </c>
      <c r="AI16" s="60">
        <f t="shared" si="3"/>
        <v>0</v>
      </c>
      <c r="AJ16" s="61">
        <f t="shared" si="3"/>
        <v>0</v>
      </c>
      <c r="AK16" s="144"/>
    </row>
    <row r="17" spans="1:37">
      <c r="A17">
        <v>13</v>
      </c>
      <c r="B17" s="57"/>
      <c r="C17" s="58"/>
      <c r="D17" s="84"/>
      <c r="E17" s="82"/>
      <c r="F17" s="158"/>
      <c r="G17" s="159"/>
      <c r="H17" s="281">
        <f>COUNTIFS(缺陷明细!$A$2:$A$50000,$B$4,缺陷明细!$G$2:$G$50000,$C17,缺陷明细!$J$2:$J$50000,"评审",缺陷明细!$AB$2:$AB$50000,"&lt;&gt;丢弃",缺陷明细!$AB$2:$AB$50000,"&lt;&gt;设计如此",缺陷明细!$AB$2:$AB$50000,"&lt;&gt;重复Bug")</f>
        <v>0</v>
      </c>
      <c r="I17" s="154">
        <f>COUNTIFS(缺陷明细!$A$2:$A$50000,$B$4,缺陷明细!$G$2:$G$50000,$C17,缺陷明细!$Q$2:$Q$50000,"已关闭",缺陷明细!$J$2:$J$50000,"评审")</f>
        <v>0</v>
      </c>
      <c r="J17" s="154">
        <f>COUNTIFS(缺陷明细!$A$2:$A$50000,$B$4,缺陷明细!$G$2:$G$50000,$C17,缺陷明细!$J$2:$J$50000,"单元测试",缺陷明细!$AB$2:$AB$50000,"&lt;&gt;丢弃",缺陷明细!$AB$2:$AB$50000,"&lt;&gt;设计如此",缺陷明细!$AB$2:$AB$50000,"&lt;&gt;重复Bug")</f>
        <v>0</v>
      </c>
      <c r="K17" s="155">
        <f>COUNTIFS(缺陷明细!$A$2:$A$50000,$B$4,缺陷明细!$G$2:$G$50000,$C17,缺陷明细!$Q$2:$Q$50000,"已关闭",缺陷明细!$J$2:$J$50000,"单元测试")</f>
        <v>0</v>
      </c>
      <c r="L17" s="156"/>
      <c r="M17" s="157"/>
      <c r="N17" s="72">
        <f>COUNTIFS(缺陷明细!$A$2:$A$50000,$B$4,缺陷明细!$G$2:$G$50000,$C17,缺陷明细!$J$2:$J$50000,"系统测试案例评审",缺陷明细!$AB$2:$AB$50000,"&lt;&gt;丢弃",缺陷明细!$AB$2:$AB$50000,"&lt;&gt;设计如此",缺陷明细!$AB$2:$AB$50000,"&lt;&gt;重复Bug")</f>
        <v>0</v>
      </c>
      <c r="O17" s="72">
        <f>COUNTIFS(缺陷明细!$A$2:$A$50000,$B$4,缺陷明细!$G$2:$G$50000,$C17,缺陷明细!$Q$2:$Q$50000,"已关闭",缺陷明细!$J$2:$J$50000,"系统测试案例评审")</f>
        <v>0</v>
      </c>
      <c r="P17" s="72">
        <f>COUNTIFS(缺陷明细!$A$2:$A$50000,$B$4,缺陷明细!$G$2:$G$50000,$C17,缺陷明细!$J$2:$J$50000,"系统测试",缺陷明细!$AB$2:$AB$50000,"&lt;&gt;丢弃",缺陷明细!$AB$2:$AB$50000,"&lt;&gt;设计如此",缺陷明细!$AB$2:$AB$50000,"&lt;&gt;重复Bug")</f>
        <v>0</v>
      </c>
      <c r="Q17" s="72">
        <f>COUNTIFS(缺陷明细!$A$2:$A$50000,$B$4,缺陷明细!$G$2:$G$50000,$C17,缺陷明细!$Q$2:$Q$50000,"已关闭",缺陷明细!$J$2:$J$50000,"系统测试")</f>
        <v>0</v>
      </c>
      <c r="R17" s="296">
        <f>COUNTIFS(缺陷明细!$A$2:$A$50000,$B$4,缺陷明细!$G$2:$G$50000,$C17,缺陷明细!$AB$2:$AB$50000,"丢弃",缺陷明细!$J$2:$J$50000,"系统测试")+COUNTIFS(缺陷明细!$A$2:$A$50000,$B$4,缺陷明细!$G$2:$G$50000,$C17,缺陷明细!$AB$2:$AB$50000,"设计如此",缺陷明细!$J$2:$J$50000,"系统测试")+COUNTIFS(缺陷明细!$A$2:$A$50000,$B$4,缺陷明细!$G$2:$G$50000,$C17,缺陷明细!$AB$2:$AB$50000,"重复Bug",缺陷明细!$J$2:$J$50000,"系统测试")</f>
        <v>0</v>
      </c>
      <c r="S17" s="72">
        <f>COUNTIFS(缺陷明细!$A$2:$A$50000,$B$4,缺陷明细!$G$2:$G$50000,$C17,缺陷明细!$J$2:$J$50000,"系统测试",缺陷明细!$K$2:$K$50000,"致命",缺陷明细!$AB$2:$AB$50000,"&lt;&gt;丢弃",缺陷明细!$AB$2:$AB$50000,"&lt;&gt;设计如此",缺陷明细!$AB$2:$AB$50000,"&lt;&gt;重复Bug")+COUNTIFS(缺陷明细!$A$2:$A$50000,$B$4,缺陷明细!$G$2:$G$50000,$C17,缺陷明细!$J$2:$J$50000,"系统测试",缺陷明细!$K$2:$K$50000,"严重",缺陷明细!$AB$2:$AB$50000,"&lt;&gt;丢弃",缺陷明细!$AB$2:$AB$50000,"&lt;&gt;设计如此",缺陷明细!$AB$2:$AB$50000,"&lt;&gt;重复Bug")</f>
        <v>0</v>
      </c>
      <c r="T17" s="73">
        <f>COUNTIFS(缺陷明细!$A$2:$A$50000,$B$4,缺陷明细!$G$2:$G$50000,$C17,缺陷明细!$Q$2:$Q$50000,"已关闭",缺陷明细!$J$2:$J$50000,"系统测试",缺陷明细!$K$2:$K$50000,"致命")+COUNTIFS(缺陷明细!$A$2:$A$50000,$B$4,缺陷明细!$G$2:$G$50000,$C17,缺陷明细!$Q$2:$Q$50000,"已关闭",缺陷明细!$J$2:$J$50000,"系统测试",缺陷明细!$K$2:$K$50000,"严重")</f>
        <v>0</v>
      </c>
      <c r="U17" s="74">
        <f>COUNTIFS(缺陷明细!$A$2:$A$50000,$B$4,缺陷明细!$G$2:$G$50000,$C17,缺陷明细!$J$2:$J$50000,"验收测试",缺陷明细!$AB$2:$AB$50000,"&lt;&gt;丢弃",缺陷明细!$AB$2:$AB$50000,"&lt;&gt;设计如此",缺陷明细!$AB$2:$AB$50000,"&lt;&gt;重复Bug")</f>
        <v>0</v>
      </c>
      <c r="V17" s="75">
        <f>COUNTIFS(缺陷明细!$A$2:$A$50000,$B$4,缺陷明细!$G$2:$G$50000,$C17,缺陷明细!$Q$2:$Q$50000,"已关闭",缺陷明细!$J$2:$J$50000,"验收测试")</f>
        <v>0</v>
      </c>
      <c r="W17" s="75">
        <f>COUNTIFS(缺陷明细!$A$2:$A$50000,$B$4,缺陷明细!$G$2:$G$50000,$C17,缺陷明细!$J$2:$J$50000,"验收测试",缺陷明细!$K$2:$K$50000,"致命",缺陷明细!$AB$2:$AB$50000,"&lt;&gt;丢弃",缺陷明细!$AB$2:$AB$50000,"&lt;&gt;设计如此",缺陷明细!$AB$2:$AB$50000,"&lt;&gt;重复Bug")+COUNTIFS(缺陷明细!$A$2:$A$50000,$B$4,缺陷明细!$G$2:$G$50000,$C17,缺陷明细!$J$2:$J$50000,"验收测试",缺陷明细!$K$2:$K$50000,"严重",缺陷明细!$AB$2:$AB$50000,"&lt;&gt;丢弃",缺陷明细!$AB$2:$AB$50000,"&lt;&gt;设计如此",缺陷明细!$AB$2:$AB$50000,"&lt;&gt;重复Bug")</f>
        <v>0</v>
      </c>
      <c r="X17" s="76">
        <f>COUNTIFS(缺陷明细!$A$2:$A$50000,$B$4,缺陷明细!$G$2:$G$50000,$C17,缺陷明细!$Q$2:$Q$50000,"已关闭",缺陷明细!$J$2:$J$50000,"验收测试",缺陷明细!$K$2:$K$50000,"致命")+COUNTIFS(缺陷明细!$A$2:$A$50000,$B$4,缺陷明细!$G$2:$G$50000,$C17,缺陷明细!$Q$2:$Q$50000,"已关闭",缺陷明细!$J$2:$J$50000,"验收测试",缺陷明细!$K$2:$K$50000,"严重")</f>
        <v>0</v>
      </c>
      <c r="Y17" s="70">
        <f>COUNTIFS(缺陷明细!$A$2:$A$50000,$B$4,缺陷明细!$G$2:$G$50000,$C17,缺陷明细!$J$2:$J$50000,"运维测试",缺陷明细!$AB$2:$AB$50000,"&lt;&gt;丢弃",缺陷明细!$AB$2:$AB$50000,"&lt;&gt;设计如此",缺陷明细!$AB$2:$AB$50000,"&lt;&gt;重复Bug")</f>
        <v>0</v>
      </c>
      <c r="Z17" s="71">
        <f>COUNTIFS(缺陷明细!$A$2:$A$50000,$B$4,缺陷明细!$G$2:$G$50000,$C17,缺陷明细!$Q$2:$Q$50000,"已关闭",缺陷明细!$J$2:$J$50000,"运维测试")</f>
        <v>0</v>
      </c>
      <c r="AA17" s="72">
        <f>COUNTIFS(缺陷明细!$A$2:$A$50000,$B$4,缺陷明细!$G$2:$G$50000,$C17,缺陷明细!$J$2:$J$50000,"运维测试",缺陷明细!$K$2:$K$50000,"致命",缺陷明细!$AB$2:$AB$50000,"&lt;&gt;丢弃",缺陷明细!$AB$2:$AB$50000,"&lt;&gt;设计如此",缺陷明细!$AB$2:$AB$50000,"&lt;&gt;重复Bug")+COUNTIFS(缺陷明细!$A$2:$A$50000,$B$4,缺陷明细!$G$2:$G$50000,$C17,缺陷明细!$J$2:$J$50000,"运维测试",缺陷明细!$K$2:$K$50000,"严重",缺陷明细!$AB$2:$AB$50000,"&lt;&gt;丢弃",缺陷明细!$AB$2:$AB$50000,"&lt;&gt;设计如此",缺陷明细!$AB$2:$AB$50000,"&lt;&gt;重复Bug")</f>
        <v>0</v>
      </c>
      <c r="AB17" s="73">
        <f>COUNTIFS(缺陷明细!$A$2:$A$50000,$B$4,缺陷明细!$G$2:$G$50000,$C17,缺陷明细!$Q$2:$Q$50000,"已关闭",缺陷明细!$J$2:$J$50000,"运维测试",缺陷明细!$K$2:$K$50000,"致命")+COUNTIFS(缺陷明细!$A$2:$A$50000,$B$4,缺陷明细!$G$2:$G$50000,$C17,缺陷明细!$Q$2:$Q$50000,"已关闭",缺陷明细!$J$2:$J$50000,"运维测试",缺陷明细!$K$2:$K$50000,"严重")</f>
        <v>0</v>
      </c>
      <c r="AC17" s="68">
        <f t="shared" si="0"/>
        <v>0</v>
      </c>
      <c r="AD17" s="60">
        <f t="shared" si="0"/>
        <v>0</v>
      </c>
      <c r="AE17" s="60">
        <f t="shared" si="1"/>
        <v>0</v>
      </c>
      <c r="AF17" s="60">
        <f t="shared" si="1"/>
        <v>0</v>
      </c>
      <c r="AG17" s="60">
        <f t="shared" si="2"/>
        <v>0</v>
      </c>
      <c r="AH17" s="60">
        <f t="shared" si="2"/>
        <v>0</v>
      </c>
      <c r="AI17" s="60">
        <f t="shared" si="3"/>
        <v>0</v>
      </c>
      <c r="AJ17" s="61">
        <f t="shared" si="3"/>
        <v>0</v>
      </c>
      <c r="AK17" s="144"/>
    </row>
    <row r="18" spans="1:37">
      <c r="A18">
        <v>14</v>
      </c>
      <c r="B18" s="57"/>
      <c r="C18" s="58"/>
      <c r="D18" s="84"/>
      <c r="E18" s="82"/>
      <c r="F18" s="158"/>
      <c r="G18" s="159"/>
      <c r="H18" s="281">
        <f>COUNTIFS(缺陷明细!$A$2:$A$50000,$B$4,缺陷明细!$G$2:$G$50000,$C18,缺陷明细!$J$2:$J$50000,"评审",缺陷明细!$AB$2:$AB$50000,"&lt;&gt;丢弃",缺陷明细!$AB$2:$AB$50000,"&lt;&gt;设计如此",缺陷明细!$AB$2:$AB$50000,"&lt;&gt;重复Bug")</f>
        <v>0</v>
      </c>
      <c r="I18" s="154">
        <f>COUNTIFS(缺陷明细!$A$2:$A$50000,$B$4,缺陷明细!$G$2:$G$50000,$C18,缺陷明细!$Q$2:$Q$50000,"已关闭",缺陷明细!$J$2:$J$50000,"评审")</f>
        <v>0</v>
      </c>
      <c r="J18" s="154">
        <f>COUNTIFS(缺陷明细!$A$2:$A$50000,$B$4,缺陷明细!$G$2:$G$50000,$C18,缺陷明细!$J$2:$J$50000,"单元测试",缺陷明细!$AB$2:$AB$50000,"&lt;&gt;丢弃",缺陷明细!$AB$2:$AB$50000,"&lt;&gt;设计如此",缺陷明细!$AB$2:$AB$50000,"&lt;&gt;重复Bug")</f>
        <v>0</v>
      </c>
      <c r="K18" s="155">
        <f>COUNTIFS(缺陷明细!$A$2:$A$50000,$B$4,缺陷明细!$G$2:$G$50000,$C18,缺陷明细!$Q$2:$Q$50000,"已关闭",缺陷明细!$J$2:$J$50000,"单元测试")</f>
        <v>0</v>
      </c>
      <c r="L18" s="156"/>
      <c r="M18" s="157"/>
      <c r="N18" s="72">
        <f>COUNTIFS(缺陷明细!$A$2:$A$50000,$B$4,缺陷明细!$G$2:$G$50000,$C18,缺陷明细!$J$2:$J$50000,"系统测试案例评审",缺陷明细!$AB$2:$AB$50000,"&lt;&gt;丢弃",缺陷明细!$AB$2:$AB$50000,"&lt;&gt;设计如此",缺陷明细!$AB$2:$AB$50000,"&lt;&gt;重复Bug")</f>
        <v>0</v>
      </c>
      <c r="O18" s="72">
        <f>COUNTIFS(缺陷明细!$A$2:$A$50000,$B$4,缺陷明细!$G$2:$G$50000,$C18,缺陷明细!$Q$2:$Q$50000,"已关闭",缺陷明细!$J$2:$J$50000,"系统测试案例评审")</f>
        <v>0</v>
      </c>
      <c r="P18" s="72">
        <f>COUNTIFS(缺陷明细!$A$2:$A$50000,$B$4,缺陷明细!$G$2:$G$50000,$C18,缺陷明细!$J$2:$J$50000,"系统测试",缺陷明细!$AB$2:$AB$50000,"&lt;&gt;丢弃",缺陷明细!$AB$2:$AB$50000,"&lt;&gt;设计如此",缺陷明细!$AB$2:$AB$50000,"&lt;&gt;重复Bug")</f>
        <v>0</v>
      </c>
      <c r="Q18" s="72">
        <f>COUNTIFS(缺陷明细!$A$2:$A$50000,$B$4,缺陷明细!$G$2:$G$50000,$C18,缺陷明细!$Q$2:$Q$50000,"已关闭",缺陷明细!$J$2:$J$50000,"系统测试")</f>
        <v>0</v>
      </c>
      <c r="R18" s="296">
        <f>COUNTIFS(缺陷明细!$A$2:$A$50000,$B$4,缺陷明细!$G$2:$G$50000,$C18,缺陷明细!$AB$2:$AB$50000,"丢弃",缺陷明细!$J$2:$J$50000,"系统测试")+COUNTIFS(缺陷明细!$A$2:$A$50000,$B$4,缺陷明细!$G$2:$G$50000,$C18,缺陷明细!$AB$2:$AB$50000,"设计如此",缺陷明细!$J$2:$J$50000,"系统测试")+COUNTIFS(缺陷明细!$A$2:$A$50000,$B$4,缺陷明细!$G$2:$G$50000,$C18,缺陷明细!$AB$2:$AB$50000,"重复Bug",缺陷明细!$J$2:$J$50000,"系统测试")</f>
        <v>0</v>
      </c>
      <c r="S18" s="72">
        <f>COUNTIFS(缺陷明细!$A$2:$A$50000,$B$4,缺陷明细!$G$2:$G$50000,$C18,缺陷明细!$J$2:$J$50000,"系统测试",缺陷明细!$K$2:$K$50000,"致命",缺陷明细!$AB$2:$AB$50000,"&lt;&gt;丢弃",缺陷明细!$AB$2:$AB$50000,"&lt;&gt;设计如此",缺陷明细!$AB$2:$AB$50000,"&lt;&gt;重复Bug")+COUNTIFS(缺陷明细!$A$2:$A$50000,$B$4,缺陷明细!$G$2:$G$50000,$C18,缺陷明细!$J$2:$J$50000,"系统测试",缺陷明细!$K$2:$K$50000,"严重",缺陷明细!$AB$2:$AB$50000,"&lt;&gt;丢弃",缺陷明细!$AB$2:$AB$50000,"&lt;&gt;设计如此",缺陷明细!$AB$2:$AB$50000,"&lt;&gt;重复Bug")</f>
        <v>0</v>
      </c>
      <c r="T18" s="73">
        <f>COUNTIFS(缺陷明细!$A$2:$A$50000,$B$4,缺陷明细!$G$2:$G$50000,$C18,缺陷明细!$Q$2:$Q$50000,"已关闭",缺陷明细!$J$2:$J$50000,"系统测试",缺陷明细!$K$2:$K$50000,"致命")+COUNTIFS(缺陷明细!$A$2:$A$50000,$B$4,缺陷明细!$G$2:$G$50000,$C18,缺陷明细!$Q$2:$Q$50000,"已关闭",缺陷明细!$J$2:$J$50000,"系统测试",缺陷明细!$K$2:$K$50000,"严重")</f>
        <v>0</v>
      </c>
      <c r="U18" s="74">
        <f>COUNTIFS(缺陷明细!$A$2:$A$50000,$B$4,缺陷明细!$G$2:$G$50000,$C18,缺陷明细!$J$2:$J$50000,"验收测试",缺陷明细!$AB$2:$AB$50000,"&lt;&gt;丢弃",缺陷明细!$AB$2:$AB$50000,"&lt;&gt;设计如此",缺陷明细!$AB$2:$AB$50000,"&lt;&gt;重复Bug")</f>
        <v>0</v>
      </c>
      <c r="V18" s="75">
        <f>COUNTIFS(缺陷明细!$A$2:$A$50000,$B$4,缺陷明细!$G$2:$G$50000,$C18,缺陷明细!$Q$2:$Q$50000,"已关闭",缺陷明细!$J$2:$J$50000,"验收测试")</f>
        <v>0</v>
      </c>
      <c r="W18" s="75">
        <f>COUNTIFS(缺陷明细!$A$2:$A$50000,$B$4,缺陷明细!$G$2:$G$50000,$C18,缺陷明细!$J$2:$J$50000,"验收测试",缺陷明细!$K$2:$K$50000,"致命",缺陷明细!$AB$2:$AB$50000,"&lt;&gt;丢弃",缺陷明细!$AB$2:$AB$50000,"&lt;&gt;设计如此",缺陷明细!$AB$2:$AB$50000,"&lt;&gt;重复Bug")+COUNTIFS(缺陷明细!$A$2:$A$50000,$B$4,缺陷明细!$G$2:$G$50000,$C18,缺陷明细!$J$2:$J$50000,"验收测试",缺陷明细!$K$2:$K$50000,"严重",缺陷明细!$AB$2:$AB$50000,"&lt;&gt;丢弃",缺陷明细!$AB$2:$AB$50000,"&lt;&gt;设计如此",缺陷明细!$AB$2:$AB$50000,"&lt;&gt;重复Bug")</f>
        <v>0</v>
      </c>
      <c r="X18" s="76">
        <f>COUNTIFS(缺陷明细!$A$2:$A$50000,$B$4,缺陷明细!$G$2:$G$50000,$C18,缺陷明细!$Q$2:$Q$50000,"已关闭",缺陷明细!$J$2:$J$50000,"验收测试",缺陷明细!$K$2:$K$50000,"致命")+COUNTIFS(缺陷明细!$A$2:$A$50000,$B$4,缺陷明细!$G$2:$G$50000,$C18,缺陷明细!$Q$2:$Q$50000,"已关闭",缺陷明细!$J$2:$J$50000,"验收测试",缺陷明细!$K$2:$K$50000,"严重")</f>
        <v>0</v>
      </c>
      <c r="Y18" s="70">
        <f>COUNTIFS(缺陷明细!$A$2:$A$50000,$B$4,缺陷明细!$G$2:$G$50000,$C18,缺陷明细!$J$2:$J$50000,"运维测试",缺陷明细!$AB$2:$AB$50000,"&lt;&gt;丢弃",缺陷明细!$AB$2:$AB$50000,"&lt;&gt;设计如此",缺陷明细!$AB$2:$AB$50000,"&lt;&gt;重复Bug")</f>
        <v>0</v>
      </c>
      <c r="Z18" s="71">
        <f>COUNTIFS(缺陷明细!$A$2:$A$50000,$B$4,缺陷明细!$G$2:$G$50000,$C18,缺陷明细!$Q$2:$Q$50000,"已关闭",缺陷明细!$J$2:$J$50000,"运维测试")</f>
        <v>0</v>
      </c>
      <c r="AA18" s="72">
        <f>COUNTIFS(缺陷明细!$A$2:$A$50000,$B$4,缺陷明细!$G$2:$G$50000,$C18,缺陷明细!$J$2:$J$50000,"运维测试",缺陷明细!$K$2:$K$50000,"致命",缺陷明细!$AB$2:$AB$50000,"&lt;&gt;丢弃",缺陷明细!$AB$2:$AB$50000,"&lt;&gt;设计如此",缺陷明细!$AB$2:$AB$50000,"&lt;&gt;重复Bug")+COUNTIFS(缺陷明细!$A$2:$A$50000,$B$4,缺陷明细!$G$2:$G$50000,$C18,缺陷明细!$J$2:$J$50000,"运维测试",缺陷明细!$K$2:$K$50000,"严重",缺陷明细!$AB$2:$AB$50000,"&lt;&gt;丢弃",缺陷明细!$AB$2:$AB$50000,"&lt;&gt;设计如此",缺陷明细!$AB$2:$AB$50000,"&lt;&gt;重复Bug")</f>
        <v>0</v>
      </c>
      <c r="AB18" s="73">
        <f>COUNTIFS(缺陷明细!$A$2:$A$50000,$B$4,缺陷明细!$G$2:$G$50000,$C18,缺陷明细!$Q$2:$Q$50000,"已关闭",缺陷明细!$J$2:$J$50000,"运维测试",缺陷明细!$K$2:$K$50000,"致命")+COUNTIFS(缺陷明细!$A$2:$A$50000,$B$4,缺陷明细!$G$2:$G$50000,$C18,缺陷明细!$Q$2:$Q$50000,"已关闭",缺陷明细!$J$2:$J$50000,"运维测试",缺陷明细!$K$2:$K$50000,"严重")</f>
        <v>0</v>
      </c>
      <c r="AC18" s="68">
        <f t="shared" si="0"/>
        <v>0</v>
      </c>
      <c r="AD18" s="60">
        <f t="shared" si="0"/>
        <v>0</v>
      </c>
      <c r="AE18" s="60">
        <f t="shared" si="1"/>
        <v>0</v>
      </c>
      <c r="AF18" s="60">
        <f t="shared" si="1"/>
        <v>0</v>
      </c>
      <c r="AG18" s="60">
        <f t="shared" si="2"/>
        <v>0</v>
      </c>
      <c r="AH18" s="60">
        <f t="shared" si="2"/>
        <v>0</v>
      </c>
      <c r="AI18" s="60">
        <f t="shared" si="3"/>
        <v>0</v>
      </c>
      <c r="AJ18" s="61">
        <f t="shared" si="3"/>
        <v>0</v>
      </c>
      <c r="AK18" s="144"/>
    </row>
    <row r="19" spans="1:37">
      <c r="A19">
        <v>15</v>
      </c>
      <c r="B19" s="57"/>
      <c r="C19" s="58"/>
      <c r="D19" s="84"/>
      <c r="E19" s="82"/>
      <c r="F19" s="158"/>
      <c r="G19" s="159"/>
      <c r="H19" s="281">
        <f>COUNTIFS(缺陷明细!$A$2:$A$50000,$B$4,缺陷明细!$G$2:$G$50000,$C19,缺陷明细!$J$2:$J$50000,"评审",缺陷明细!$AB$2:$AB$50000,"&lt;&gt;丢弃",缺陷明细!$AB$2:$AB$50000,"&lt;&gt;设计如此",缺陷明细!$AB$2:$AB$50000,"&lt;&gt;重复Bug")</f>
        <v>0</v>
      </c>
      <c r="I19" s="154">
        <f>COUNTIFS(缺陷明细!$A$2:$A$50000,$B$4,缺陷明细!$G$2:$G$50000,$C19,缺陷明细!$Q$2:$Q$50000,"已关闭",缺陷明细!$J$2:$J$50000,"评审")</f>
        <v>0</v>
      </c>
      <c r="J19" s="154">
        <f>COUNTIFS(缺陷明细!$A$2:$A$50000,$B$4,缺陷明细!$G$2:$G$50000,$C19,缺陷明细!$J$2:$J$50000,"单元测试",缺陷明细!$AB$2:$AB$50000,"&lt;&gt;丢弃",缺陷明细!$AB$2:$AB$50000,"&lt;&gt;设计如此",缺陷明细!$AB$2:$AB$50000,"&lt;&gt;重复Bug")</f>
        <v>0</v>
      </c>
      <c r="K19" s="155">
        <f>COUNTIFS(缺陷明细!$A$2:$A$50000,$B$4,缺陷明细!$G$2:$G$50000,$C19,缺陷明细!$Q$2:$Q$50000,"已关闭",缺陷明细!$J$2:$J$50000,"单元测试")</f>
        <v>0</v>
      </c>
      <c r="L19" s="156"/>
      <c r="M19" s="157"/>
      <c r="N19" s="72">
        <f>COUNTIFS(缺陷明细!$A$2:$A$50000,$B$4,缺陷明细!$G$2:$G$50000,$C19,缺陷明细!$J$2:$J$50000,"系统测试案例评审",缺陷明细!$AB$2:$AB$50000,"&lt;&gt;丢弃",缺陷明细!$AB$2:$AB$50000,"&lt;&gt;设计如此",缺陷明细!$AB$2:$AB$50000,"&lt;&gt;重复Bug")</f>
        <v>0</v>
      </c>
      <c r="O19" s="72">
        <f>COUNTIFS(缺陷明细!$A$2:$A$50000,$B$4,缺陷明细!$G$2:$G$50000,$C19,缺陷明细!$Q$2:$Q$50000,"已关闭",缺陷明细!$J$2:$J$50000,"系统测试案例评审")</f>
        <v>0</v>
      </c>
      <c r="P19" s="72">
        <f>COUNTIFS(缺陷明细!$A$2:$A$50000,$B$4,缺陷明细!$G$2:$G$50000,$C19,缺陷明细!$J$2:$J$50000,"系统测试",缺陷明细!$AB$2:$AB$50000,"&lt;&gt;丢弃",缺陷明细!$AB$2:$AB$50000,"&lt;&gt;设计如此",缺陷明细!$AB$2:$AB$50000,"&lt;&gt;重复Bug")</f>
        <v>0</v>
      </c>
      <c r="Q19" s="72">
        <f>COUNTIFS(缺陷明细!$A$2:$A$50000,$B$4,缺陷明细!$G$2:$G$50000,$C19,缺陷明细!$Q$2:$Q$50000,"已关闭",缺陷明细!$J$2:$J$50000,"系统测试")</f>
        <v>0</v>
      </c>
      <c r="R19" s="296">
        <f>COUNTIFS(缺陷明细!$A$2:$A$50000,$B$4,缺陷明细!$G$2:$G$50000,$C19,缺陷明细!$AB$2:$AB$50000,"丢弃",缺陷明细!$J$2:$J$50000,"系统测试")+COUNTIFS(缺陷明细!$A$2:$A$50000,$B$4,缺陷明细!$G$2:$G$50000,$C19,缺陷明细!$AB$2:$AB$50000,"设计如此",缺陷明细!$J$2:$J$50000,"系统测试")+COUNTIFS(缺陷明细!$A$2:$A$50000,$B$4,缺陷明细!$G$2:$G$50000,$C19,缺陷明细!$AB$2:$AB$50000,"重复Bug",缺陷明细!$J$2:$J$50000,"系统测试")</f>
        <v>0</v>
      </c>
      <c r="S19" s="72">
        <f>COUNTIFS(缺陷明细!$A$2:$A$50000,$B$4,缺陷明细!$G$2:$G$50000,$C19,缺陷明细!$J$2:$J$50000,"系统测试",缺陷明细!$K$2:$K$50000,"致命",缺陷明细!$AB$2:$AB$50000,"&lt;&gt;丢弃",缺陷明细!$AB$2:$AB$50000,"&lt;&gt;设计如此",缺陷明细!$AB$2:$AB$50000,"&lt;&gt;重复Bug")+COUNTIFS(缺陷明细!$A$2:$A$50000,$B$4,缺陷明细!$G$2:$G$50000,$C19,缺陷明细!$J$2:$J$50000,"系统测试",缺陷明细!$K$2:$K$50000,"严重",缺陷明细!$AB$2:$AB$50000,"&lt;&gt;丢弃",缺陷明细!$AB$2:$AB$50000,"&lt;&gt;设计如此",缺陷明细!$AB$2:$AB$50000,"&lt;&gt;重复Bug")</f>
        <v>0</v>
      </c>
      <c r="T19" s="73">
        <f>COUNTIFS(缺陷明细!$A$2:$A$50000,$B$4,缺陷明细!$G$2:$G$50000,$C19,缺陷明细!$Q$2:$Q$50000,"已关闭",缺陷明细!$J$2:$J$50000,"系统测试",缺陷明细!$K$2:$K$50000,"致命")+COUNTIFS(缺陷明细!$A$2:$A$50000,$B$4,缺陷明细!$G$2:$G$50000,$C19,缺陷明细!$Q$2:$Q$50000,"已关闭",缺陷明细!$J$2:$J$50000,"系统测试",缺陷明细!$K$2:$K$50000,"严重")</f>
        <v>0</v>
      </c>
      <c r="U19" s="74">
        <f>COUNTIFS(缺陷明细!$A$2:$A$50000,$B$4,缺陷明细!$G$2:$G$50000,$C19,缺陷明细!$J$2:$J$50000,"验收测试",缺陷明细!$AB$2:$AB$50000,"&lt;&gt;丢弃",缺陷明细!$AB$2:$AB$50000,"&lt;&gt;设计如此",缺陷明细!$AB$2:$AB$50000,"&lt;&gt;重复Bug")</f>
        <v>0</v>
      </c>
      <c r="V19" s="75">
        <f>COUNTIFS(缺陷明细!$A$2:$A$50000,$B$4,缺陷明细!$G$2:$G$50000,$C19,缺陷明细!$Q$2:$Q$50000,"已关闭",缺陷明细!$J$2:$J$50000,"验收测试")</f>
        <v>0</v>
      </c>
      <c r="W19" s="75">
        <f>COUNTIFS(缺陷明细!$A$2:$A$50000,$B$4,缺陷明细!$G$2:$G$50000,$C19,缺陷明细!$J$2:$J$50000,"验收测试",缺陷明细!$K$2:$K$50000,"致命",缺陷明细!$AB$2:$AB$50000,"&lt;&gt;丢弃",缺陷明细!$AB$2:$AB$50000,"&lt;&gt;设计如此",缺陷明细!$AB$2:$AB$50000,"&lt;&gt;重复Bug")+COUNTIFS(缺陷明细!$A$2:$A$50000,$B$4,缺陷明细!$G$2:$G$50000,$C19,缺陷明细!$J$2:$J$50000,"验收测试",缺陷明细!$K$2:$K$50000,"严重",缺陷明细!$AB$2:$AB$50000,"&lt;&gt;丢弃",缺陷明细!$AB$2:$AB$50000,"&lt;&gt;设计如此",缺陷明细!$AB$2:$AB$50000,"&lt;&gt;重复Bug")</f>
        <v>0</v>
      </c>
      <c r="X19" s="76">
        <f>COUNTIFS(缺陷明细!$A$2:$A$50000,$B$4,缺陷明细!$G$2:$G$50000,$C19,缺陷明细!$Q$2:$Q$50000,"已关闭",缺陷明细!$J$2:$J$50000,"验收测试",缺陷明细!$K$2:$K$50000,"致命")+COUNTIFS(缺陷明细!$A$2:$A$50000,$B$4,缺陷明细!$G$2:$G$50000,$C19,缺陷明细!$Q$2:$Q$50000,"已关闭",缺陷明细!$J$2:$J$50000,"验收测试",缺陷明细!$K$2:$K$50000,"严重")</f>
        <v>0</v>
      </c>
      <c r="Y19" s="70">
        <f>COUNTIFS(缺陷明细!$A$2:$A$50000,$B$4,缺陷明细!$G$2:$G$50000,$C19,缺陷明细!$J$2:$J$50000,"运维测试",缺陷明细!$AB$2:$AB$50000,"&lt;&gt;丢弃",缺陷明细!$AB$2:$AB$50000,"&lt;&gt;设计如此",缺陷明细!$AB$2:$AB$50000,"&lt;&gt;重复Bug")</f>
        <v>0</v>
      </c>
      <c r="Z19" s="71">
        <f>COUNTIFS(缺陷明细!$A$2:$A$50000,$B$4,缺陷明细!$G$2:$G$50000,$C19,缺陷明细!$Q$2:$Q$50000,"已关闭",缺陷明细!$J$2:$J$50000,"运维测试")</f>
        <v>0</v>
      </c>
      <c r="AA19" s="72">
        <f>COUNTIFS(缺陷明细!$A$2:$A$50000,$B$4,缺陷明细!$G$2:$G$50000,$C19,缺陷明细!$J$2:$J$50000,"运维测试",缺陷明细!$K$2:$K$50000,"致命",缺陷明细!$AB$2:$AB$50000,"&lt;&gt;丢弃",缺陷明细!$AB$2:$AB$50000,"&lt;&gt;设计如此",缺陷明细!$AB$2:$AB$50000,"&lt;&gt;重复Bug")+COUNTIFS(缺陷明细!$A$2:$A$50000,$B$4,缺陷明细!$G$2:$G$50000,$C19,缺陷明细!$J$2:$J$50000,"运维测试",缺陷明细!$K$2:$K$50000,"严重",缺陷明细!$AB$2:$AB$50000,"&lt;&gt;丢弃",缺陷明细!$AB$2:$AB$50000,"&lt;&gt;设计如此",缺陷明细!$AB$2:$AB$50000,"&lt;&gt;重复Bug")</f>
        <v>0</v>
      </c>
      <c r="AB19" s="73">
        <f>COUNTIFS(缺陷明细!$A$2:$A$50000,$B$4,缺陷明细!$G$2:$G$50000,$C19,缺陷明细!$Q$2:$Q$50000,"已关闭",缺陷明细!$J$2:$J$50000,"运维测试",缺陷明细!$K$2:$K$50000,"致命")+COUNTIFS(缺陷明细!$A$2:$A$50000,$B$4,缺陷明细!$G$2:$G$50000,$C19,缺陷明细!$Q$2:$Q$50000,"已关闭",缺陷明细!$J$2:$J$50000,"运维测试",缺陷明细!$K$2:$K$50000,"严重")</f>
        <v>0</v>
      </c>
      <c r="AC19" s="68">
        <f t="shared" si="0"/>
        <v>0</v>
      </c>
      <c r="AD19" s="60">
        <f t="shared" si="0"/>
        <v>0</v>
      </c>
      <c r="AE19" s="60">
        <f t="shared" si="1"/>
        <v>0</v>
      </c>
      <c r="AF19" s="60">
        <f t="shared" si="1"/>
        <v>0</v>
      </c>
      <c r="AG19" s="60">
        <f t="shared" si="2"/>
        <v>0</v>
      </c>
      <c r="AH19" s="60">
        <f t="shared" si="2"/>
        <v>0</v>
      </c>
      <c r="AI19" s="60">
        <f t="shared" si="3"/>
        <v>0</v>
      </c>
      <c r="AJ19" s="61">
        <f t="shared" si="3"/>
        <v>0</v>
      </c>
      <c r="AK19" s="144"/>
    </row>
    <row r="20" spans="1:37">
      <c r="A20">
        <v>16</v>
      </c>
      <c r="B20" s="57"/>
      <c r="C20" s="58"/>
      <c r="D20" s="84"/>
      <c r="E20" s="82"/>
      <c r="F20" s="158"/>
      <c r="G20" s="159"/>
      <c r="H20" s="281">
        <f>COUNTIFS(缺陷明细!$A$2:$A$50000,$B$4,缺陷明细!$G$2:$G$50000,$C20,缺陷明细!$J$2:$J$50000,"评审",缺陷明细!$AB$2:$AB$50000,"&lt;&gt;丢弃",缺陷明细!$AB$2:$AB$50000,"&lt;&gt;设计如此",缺陷明细!$AB$2:$AB$50000,"&lt;&gt;重复Bug")</f>
        <v>0</v>
      </c>
      <c r="I20" s="154">
        <f>COUNTIFS(缺陷明细!$A$2:$A$50000,$B$4,缺陷明细!$G$2:$G$50000,$C20,缺陷明细!$Q$2:$Q$50000,"已关闭",缺陷明细!$J$2:$J$50000,"评审")</f>
        <v>0</v>
      </c>
      <c r="J20" s="154">
        <f>COUNTIFS(缺陷明细!$A$2:$A$50000,$B$4,缺陷明细!$G$2:$G$50000,$C20,缺陷明细!$J$2:$J$50000,"单元测试",缺陷明细!$AB$2:$AB$50000,"&lt;&gt;丢弃",缺陷明细!$AB$2:$AB$50000,"&lt;&gt;设计如此",缺陷明细!$AB$2:$AB$50000,"&lt;&gt;重复Bug")</f>
        <v>0</v>
      </c>
      <c r="K20" s="155">
        <f>COUNTIFS(缺陷明细!$A$2:$A$50000,$B$4,缺陷明细!$G$2:$G$50000,$C20,缺陷明细!$Q$2:$Q$50000,"已关闭",缺陷明细!$J$2:$J$50000,"单元测试")</f>
        <v>0</v>
      </c>
      <c r="L20" s="156"/>
      <c r="M20" s="157"/>
      <c r="N20" s="72">
        <f>COUNTIFS(缺陷明细!$A$2:$A$50000,$B$4,缺陷明细!$G$2:$G$50000,$C20,缺陷明细!$J$2:$J$50000,"系统测试案例评审",缺陷明细!$AB$2:$AB$50000,"&lt;&gt;丢弃",缺陷明细!$AB$2:$AB$50000,"&lt;&gt;设计如此",缺陷明细!$AB$2:$AB$50000,"&lt;&gt;重复Bug")</f>
        <v>0</v>
      </c>
      <c r="O20" s="72">
        <f>COUNTIFS(缺陷明细!$A$2:$A$50000,$B$4,缺陷明细!$G$2:$G$50000,$C20,缺陷明细!$Q$2:$Q$50000,"已关闭",缺陷明细!$J$2:$J$50000,"系统测试案例评审")</f>
        <v>0</v>
      </c>
      <c r="P20" s="72">
        <f>COUNTIFS(缺陷明细!$A$2:$A$50000,$B$4,缺陷明细!$G$2:$G$50000,$C20,缺陷明细!$J$2:$J$50000,"系统测试",缺陷明细!$AB$2:$AB$50000,"&lt;&gt;丢弃",缺陷明细!$AB$2:$AB$50000,"&lt;&gt;设计如此",缺陷明细!$AB$2:$AB$50000,"&lt;&gt;重复Bug")</f>
        <v>0</v>
      </c>
      <c r="Q20" s="72">
        <f>COUNTIFS(缺陷明细!$A$2:$A$50000,$B$4,缺陷明细!$G$2:$G$50000,$C20,缺陷明细!$Q$2:$Q$50000,"已关闭",缺陷明细!$J$2:$J$50000,"系统测试")</f>
        <v>0</v>
      </c>
      <c r="R20" s="296">
        <f>COUNTIFS(缺陷明细!$A$2:$A$50000,$B$4,缺陷明细!$G$2:$G$50000,$C20,缺陷明细!$AB$2:$AB$50000,"丢弃",缺陷明细!$J$2:$J$50000,"系统测试")+COUNTIFS(缺陷明细!$A$2:$A$50000,$B$4,缺陷明细!$G$2:$G$50000,$C20,缺陷明细!$AB$2:$AB$50000,"设计如此",缺陷明细!$J$2:$J$50000,"系统测试")+COUNTIFS(缺陷明细!$A$2:$A$50000,$B$4,缺陷明细!$G$2:$G$50000,$C20,缺陷明细!$AB$2:$AB$50000,"重复Bug",缺陷明细!$J$2:$J$50000,"系统测试")</f>
        <v>0</v>
      </c>
      <c r="S20" s="72">
        <f>COUNTIFS(缺陷明细!$A$2:$A$50000,$B$4,缺陷明细!$G$2:$G$50000,$C20,缺陷明细!$J$2:$J$50000,"系统测试",缺陷明细!$K$2:$K$50000,"致命",缺陷明细!$AB$2:$AB$50000,"&lt;&gt;丢弃",缺陷明细!$AB$2:$AB$50000,"&lt;&gt;设计如此",缺陷明细!$AB$2:$AB$50000,"&lt;&gt;重复Bug")+COUNTIFS(缺陷明细!$A$2:$A$50000,$B$4,缺陷明细!$G$2:$G$50000,$C20,缺陷明细!$J$2:$J$50000,"系统测试",缺陷明细!$K$2:$K$50000,"严重",缺陷明细!$AB$2:$AB$50000,"&lt;&gt;丢弃",缺陷明细!$AB$2:$AB$50000,"&lt;&gt;设计如此",缺陷明细!$AB$2:$AB$50000,"&lt;&gt;重复Bug")</f>
        <v>0</v>
      </c>
      <c r="T20" s="73">
        <f>COUNTIFS(缺陷明细!$A$2:$A$50000,$B$4,缺陷明细!$G$2:$G$50000,$C20,缺陷明细!$Q$2:$Q$50000,"已关闭",缺陷明细!$J$2:$J$50000,"系统测试",缺陷明细!$K$2:$K$50000,"致命")+COUNTIFS(缺陷明细!$A$2:$A$50000,$B$4,缺陷明细!$G$2:$G$50000,$C20,缺陷明细!$Q$2:$Q$50000,"已关闭",缺陷明细!$J$2:$J$50000,"系统测试",缺陷明细!$K$2:$K$50000,"严重")</f>
        <v>0</v>
      </c>
      <c r="U20" s="74">
        <f>COUNTIFS(缺陷明细!$A$2:$A$50000,$B$4,缺陷明细!$G$2:$G$50000,$C20,缺陷明细!$J$2:$J$50000,"验收测试",缺陷明细!$AB$2:$AB$50000,"&lt;&gt;丢弃",缺陷明细!$AB$2:$AB$50000,"&lt;&gt;设计如此",缺陷明细!$AB$2:$AB$50000,"&lt;&gt;重复Bug")</f>
        <v>0</v>
      </c>
      <c r="V20" s="75">
        <f>COUNTIFS(缺陷明细!$A$2:$A$50000,$B$4,缺陷明细!$G$2:$G$50000,$C20,缺陷明细!$Q$2:$Q$50000,"已关闭",缺陷明细!$J$2:$J$50000,"验收测试")</f>
        <v>0</v>
      </c>
      <c r="W20" s="75">
        <f>COUNTIFS(缺陷明细!$A$2:$A$50000,$B$4,缺陷明细!$G$2:$G$50000,$C20,缺陷明细!$J$2:$J$50000,"验收测试",缺陷明细!$K$2:$K$50000,"致命",缺陷明细!$AB$2:$AB$50000,"&lt;&gt;丢弃",缺陷明细!$AB$2:$AB$50000,"&lt;&gt;设计如此",缺陷明细!$AB$2:$AB$50000,"&lt;&gt;重复Bug")+COUNTIFS(缺陷明细!$A$2:$A$50000,$B$4,缺陷明细!$G$2:$G$50000,$C20,缺陷明细!$J$2:$J$50000,"验收测试",缺陷明细!$K$2:$K$50000,"严重",缺陷明细!$AB$2:$AB$50000,"&lt;&gt;丢弃",缺陷明细!$AB$2:$AB$50000,"&lt;&gt;设计如此",缺陷明细!$AB$2:$AB$50000,"&lt;&gt;重复Bug")</f>
        <v>0</v>
      </c>
      <c r="X20" s="76">
        <f>COUNTIFS(缺陷明细!$A$2:$A$50000,$B$4,缺陷明细!$G$2:$G$50000,$C20,缺陷明细!$Q$2:$Q$50000,"已关闭",缺陷明细!$J$2:$J$50000,"验收测试",缺陷明细!$K$2:$K$50000,"致命")+COUNTIFS(缺陷明细!$A$2:$A$50000,$B$4,缺陷明细!$G$2:$G$50000,$C20,缺陷明细!$Q$2:$Q$50000,"已关闭",缺陷明细!$J$2:$J$50000,"验收测试",缺陷明细!$K$2:$K$50000,"严重")</f>
        <v>0</v>
      </c>
      <c r="Y20" s="70">
        <f>COUNTIFS(缺陷明细!$A$2:$A$50000,$B$4,缺陷明细!$G$2:$G$50000,$C20,缺陷明细!$J$2:$J$50000,"运维测试",缺陷明细!$AB$2:$AB$50000,"&lt;&gt;丢弃",缺陷明细!$AB$2:$AB$50000,"&lt;&gt;设计如此",缺陷明细!$AB$2:$AB$50000,"&lt;&gt;重复Bug")</f>
        <v>0</v>
      </c>
      <c r="Z20" s="71">
        <f>COUNTIFS(缺陷明细!$A$2:$A$50000,$B$4,缺陷明细!$G$2:$G$50000,$C20,缺陷明细!$Q$2:$Q$50000,"已关闭",缺陷明细!$J$2:$J$50000,"运维测试")</f>
        <v>0</v>
      </c>
      <c r="AA20" s="72">
        <f>COUNTIFS(缺陷明细!$A$2:$A$50000,$B$4,缺陷明细!$G$2:$G$50000,$C20,缺陷明细!$J$2:$J$50000,"运维测试",缺陷明细!$K$2:$K$50000,"致命",缺陷明细!$AB$2:$AB$50000,"&lt;&gt;丢弃",缺陷明细!$AB$2:$AB$50000,"&lt;&gt;设计如此",缺陷明细!$AB$2:$AB$50000,"&lt;&gt;重复Bug")+COUNTIFS(缺陷明细!$A$2:$A$50000,$B$4,缺陷明细!$G$2:$G$50000,$C20,缺陷明细!$J$2:$J$50000,"运维测试",缺陷明细!$K$2:$K$50000,"严重",缺陷明细!$AB$2:$AB$50000,"&lt;&gt;丢弃",缺陷明细!$AB$2:$AB$50000,"&lt;&gt;设计如此",缺陷明细!$AB$2:$AB$50000,"&lt;&gt;重复Bug")</f>
        <v>0</v>
      </c>
      <c r="AB20" s="73">
        <f>COUNTIFS(缺陷明细!$A$2:$A$50000,$B$4,缺陷明细!$G$2:$G$50000,$C20,缺陷明细!$Q$2:$Q$50000,"已关闭",缺陷明细!$J$2:$J$50000,"运维测试",缺陷明细!$K$2:$K$50000,"致命")+COUNTIFS(缺陷明细!$A$2:$A$50000,$B$4,缺陷明细!$G$2:$G$50000,$C20,缺陷明细!$Q$2:$Q$50000,"已关闭",缺陷明细!$J$2:$J$50000,"运维测试",缺陷明细!$K$2:$K$50000,"严重")</f>
        <v>0</v>
      </c>
      <c r="AC20" s="68">
        <f t="shared" si="0"/>
        <v>0</v>
      </c>
      <c r="AD20" s="60">
        <f t="shared" si="0"/>
        <v>0</v>
      </c>
      <c r="AE20" s="60">
        <f t="shared" si="1"/>
        <v>0</v>
      </c>
      <c r="AF20" s="60">
        <f t="shared" si="1"/>
        <v>0</v>
      </c>
      <c r="AG20" s="60">
        <f t="shared" si="2"/>
        <v>0</v>
      </c>
      <c r="AH20" s="60">
        <f t="shared" si="2"/>
        <v>0</v>
      </c>
      <c r="AI20" s="60">
        <f t="shared" si="3"/>
        <v>0</v>
      </c>
      <c r="AJ20" s="61">
        <f t="shared" si="3"/>
        <v>0</v>
      </c>
      <c r="AK20" s="144"/>
    </row>
    <row r="21" spans="1:37">
      <c r="A21">
        <v>17</v>
      </c>
      <c r="B21" s="57"/>
      <c r="C21" s="58"/>
      <c r="D21" s="84"/>
      <c r="E21" s="82"/>
      <c r="F21" s="158"/>
      <c r="G21" s="159"/>
      <c r="H21" s="281">
        <f>COUNTIFS(缺陷明细!$A$2:$A$50000,$B$4,缺陷明细!$G$2:$G$50000,$C21,缺陷明细!$J$2:$J$50000,"评审",缺陷明细!$AB$2:$AB$50000,"&lt;&gt;丢弃",缺陷明细!$AB$2:$AB$50000,"&lt;&gt;设计如此",缺陷明细!$AB$2:$AB$50000,"&lt;&gt;重复Bug")</f>
        <v>0</v>
      </c>
      <c r="I21" s="154">
        <f>COUNTIFS(缺陷明细!$A$2:$A$50000,$B$4,缺陷明细!$G$2:$G$50000,$C21,缺陷明细!$Q$2:$Q$50000,"已关闭",缺陷明细!$J$2:$J$50000,"评审")</f>
        <v>0</v>
      </c>
      <c r="J21" s="154">
        <f>COUNTIFS(缺陷明细!$A$2:$A$50000,$B$4,缺陷明细!$G$2:$G$50000,$C21,缺陷明细!$J$2:$J$50000,"单元测试",缺陷明细!$AB$2:$AB$50000,"&lt;&gt;丢弃",缺陷明细!$AB$2:$AB$50000,"&lt;&gt;设计如此",缺陷明细!$AB$2:$AB$50000,"&lt;&gt;重复Bug")</f>
        <v>0</v>
      </c>
      <c r="K21" s="155">
        <f>COUNTIFS(缺陷明细!$A$2:$A$50000,$B$4,缺陷明细!$G$2:$G$50000,$C21,缺陷明细!$Q$2:$Q$50000,"已关闭",缺陷明细!$J$2:$J$50000,"单元测试")</f>
        <v>0</v>
      </c>
      <c r="L21" s="156"/>
      <c r="M21" s="157"/>
      <c r="N21" s="72">
        <f>COUNTIFS(缺陷明细!$A$2:$A$50000,$B$4,缺陷明细!$G$2:$G$50000,$C21,缺陷明细!$J$2:$J$50000,"系统测试案例评审",缺陷明细!$AB$2:$AB$50000,"&lt;&gt;丢弃",缺陷明细!$AB$2:$AB$50000,"&lt;&gt;设计如此",缺陷明细!$AB$2:$AB$50000,"&lt;&gt;重复Bug")</f>
        <v>0</v>
      </c>
      <c r="O21" s="72">
        <f>COUNTIFS(缺陷明细!$A$2:$A$50000,$B$4,缺陷明细!$G$2:$G$50000,$C21,缺陷明细!$Q$2:$Q$50000,"已关闭",缺陷明细!$J$2:$J$50000,"系统测试案例评审")</f>
        <v>0</v>
      </c>
      <c r="P21" s="72">
        <f>COUNTIFS(缺陷明细!$A$2:$A$50000,$B$4,缺陷明细!$G$2:$G$50000,$C21,缺陷明细!$J$2:$J$50000,"系统测试",缺陷明细!$AB$2:$AB$50000,"&lt;&gt;丢弃",缺陷明细!$AB$2:$AB$50000,"&lt;&gt;设计如此",缺陷明细!$AB$2:$AB$50000,"&lt;&gt;重复Bug")</f>
        <v>0</v>
      </c>
      <c r="Q21" s="72">
        <f>COUNTIFS(缺陷明细!$A$2:$A$50000,$B$4,缺陷明细!$G$2:$G$50000,$C21,缺陷明细!$Q$2:$Q$50000,"已关闭",缺陷明细!$J$2:$J$50000,"系统测试")</f>
        <v>0</v>
      </c>
      <c r="R21" s="296">
        <f>COUNTIFS(缺陷明细!$A$2:$A$50000,$B$4,缺陷明细!$G$2:$G$50000,$C21,缺陷明细!$AB$2:$AB$50000,"丢弃",缺陷明细!$J$2:$J$50000,"系统测试")+COUNTIFS(缺陷明细!$A$2:$A$50000,$B$4,缺陷明细!$G$2:$G$50000,$C21,缺陷明细!$AB$2:$AB$50000,"设计如此",缺陷明细!$J$2:$J$50000,"系统测试")+COUNTIFS(缺陷明细!$A$2:$A$50000,$B$4,缺陷明细!$G$2:$G$50000,$C21,缺陷明细!$AB$2:$AB$50000,"重复Bug",缺陷明细!$J$2:$J$50000,"系统测试")</f>
        <v>0</v>
      </c>
      <c r="S21" s="72">
        <f>COUNTIFS(缺陷明细!$A$2:$A$50000,$B$4,缺陷明细!$G$2:$G$50000,$C21,缺陷明细!$J$2:$J$50000,"系统测试",缺陷明细!$K$2:$K$50000,"致命",缺陷明细!$AB$2:$AB$50000,"&lt;&gt;丢弃",缺陷明细!$AB$2:$AB$50000,"&lt;&gt;设计如此",缺陷明细!$AB$2:$AB$50000,"&lt;&gt;重复Bug")+COUNTIFS(缺陷明细!$A$2:$A$50000,$B$4,缺陷明细!$G$2:$G$50000,$C21,缺陷明细!$J$2:$J$50000,"系统测试",缺陷明细!$K$2:$K$50000,"严重",缺陷明细!$AB$2:$AB$50000,"&lt;&gt;丢弃",缺陷明细!$AB$2:$AB$50000,"&lt;&gt;设计如此",缺陷明细!$AB$2:$AB$50000,"&lt;&gt;重复Bug")</f>
        <v>0</v>
      </c>
      <c r="T21" s="73">
        <f>COUNTIFS(缺陷明细!$A$2:$A$50000,$B$4,缺陷明细!$G$2:$G$50000,$C21,缺陷明细!$Q$2:$Q$50000,"已关闭",缺陷明细!$J$2:$J$50000,"系统测试",缺陷明细!$K$2:$K$50000,"致命")+COUNTIFS(缺陷明细!$A$2:$A$50000,$B$4,缺陷明细!$G$2:$G$50000,$C21,缺陷明细!$Q$2:$Q$50000,"已关闭",缺陷明细!$J$2:$J$50000,"系统测试",缺陷明细!$K$2:$K$50000,"严重")</f>
        <v>0</v>
      </c>
      <c r="U21" s="74">
        <f>COUNTIFS(缺陷明细!$A$2:$A$50000,$B$4,缺陷明细!$G$2:$G$50000,$C21,缺陷明细!$J$2:$J$50000,"验收测试",缺陷明细!$AB$2:$AB$50000,"&lt;&gt;丢弃",缺陷明细!$AB$2:$AB$50000,"&lt;&gt;设计如此",缺陷明细!$AB$2:$AB$50000,"&lt;&gt;重复Bug")</f>
        <v>0</v>
      </c>
      <c r="V21" s="75">
        <f>COUNTIFS(缺陷明细!$A$2:$A$50000,$B$4,缺陷明细!$G$2:$G$50000,$C21,缺陷明细!$Q$2:$Q$50000,"已关闭",缺陷明细!$J$2:$J$50000,"验收测试")</f>
        <v>0</v>
      </c>
      <c r="W21" s="75">
        <f>COUNTIFS(缺陷明细!$A$2:$A$50000,$B$4,缺陷明细!$G$2:$G$50000,$C21,缺陷明细!$J$2:$J$50000,"验收测试",缺陷明细!$K$2:$K$50000,"致命",缺陷明细!$AB$2:$AB$50000,"&lt;&gt;丢弃",缺陷明细!$AB$2:$AB$50000,"&lt;&gt;设计如此",缺陷明细!$AB$2:$AB$50000,"&lt;&gt;重复Bug")+COUNTIFS(缺陷明细!$A$2:$A$50000,$B$4,缺陷明细!$G$2:$G$50000,$C21,缺陷明细!$J$2:$J$50000,"验收测试",缺陷明细!$K$2:$K$50000,"严重",缺陷明细!$AB$2:$AB$50000,"&lt;&gt;丢弃",缺陷明细!$AB$2:$AB$50000,"&lt;&gt;设计如此",缺陷明细!$AB$2:$AB$50000,"&lt;&gt;重复Bug")</f>
        <v>0</v>
      </c>
      <c r="X21" s="76">
        <f>COUNTIFS(缺陷明细!$A$2:$A$50000,$B$4,缺陷明细!$G$2:$G$50000,$C21,缺陷明细!$Q$2:$Q$50000,"已关闭",缺陷明细!$J$2:$J$50000,"验收测试",缺陷明细!$K$2:$K$50000,"致命")+COUNTIFS(缺陷明细!$A$2:$A$50000,$B$4,缺陷明细!$G$2:$G$50000,$C21,缺陷明细!$Q$2:$Q$50000,"已关闭",缺陷明细!$J$2:$J$50000,"验收测试",缺陷明细!$K$2:$K$50000,"严重")</f>
        <v>0</v>
      </c>
      <c r="Y21" s="70">
        <f>COUNTIFS(缺陷明细!$A$2:$A$50000,$B$4,缺陷明细!$G$2:$G$50000,$C21,缺陷明细!$J$2:$J$50000,"运维测试",缺陷明细!$AB$2:$AB$50000,"&lt;&gt;丢弃",缺陷明细!$AB$2:$AB$50000,"&lt;&gt;设计如此",缺陷明细!$AB$2:$AB$50000,"&lt;&gt;重复Bug")</f>
        <v>0</v>
      </c>
      <c r="Z21" s="71">
        <f>COUNTIFS(缺陷明细!$A$2:$A$50000,$B$4,缺陷明细!$G$2:$G$50000,$C21,缺陷明细!$Q$2:$Q$50000,"已关闭",缺陷明细!$J$2:$J$50000,"运维测试")</f>
        <v>0</v>
      </c>
      <c r="AA21" s="72">
        <f>COUNTIFS(缺陷明细!$A$2:$A$50000,$B$4,缺陷明细!$G$2:$G$50000,$C21,缺陷明细!$J$2:$J$50000,"运维测试",缺陷明细!$K$2:$K$50000,"致命",缺陷明细!$AB$2:$AB$50000,"&lt;&gt;丢弃",缺陷明细!$AB$2:$AB$50000,"&lt;&gt;设计如此",缺陷明细!$AB$2:$AB$50000,"&lt;&gt;重复Bug")+COUNTIFS(缺陷明细!$A$2:$A$50000,$B$4,缺陷明细!$G$2:$G$50000,$C21,缺陷明细!$J$2:$J$50000,"运维测试",缺陷明细!$K$2:$K$50000,"严重",缺陷明细!$AB$2:$AB$50000,"&lt;&gt;丢弃",缺陷明细!$AB$2:$AB$50000,"&lt;&gt;设计如此",缺陷明细!$AB$2:$AB$50000,"&lt;&gt;重复Bug")</f>
        <v>0</v>
      </c>
      <c r="AB21" s="73">
        <f>COUNTIFS(缺陷明细!$A$2:$A$50000,$B$4,缺陷明细!$G$2:$G$50000,$C21,缺陷明细!$Q$2:$Q$50000,"已关闭",缺陷明细!$J$2:$J$50000,"运维测试",缺陷明细!$K$2:$K$50000,"致命")+COUNTIFS(缺陷明细!$A$2:$A$50000,$B$4,缺陷明细!$G$2:$G$50000,$C21,缺陷明细!$Q$2:$Q$50000,"已关闭",缺陷明细!$J$2:$J$50000,"运维测试",缺陷明细!$K$2:$K$50000,"严重")</f>
        <v>0</v>
      </c>
      <c r="AC21" s="68">
        <f t="shared" si="0"/>
        <v>0</v>
      </c>
      <c r="AD21" s="60">
        <f t="shared" si="0"/>
        <v>0</v>
      </c>
      <c r="AE21" s="60">
        <f t="shared" si="1"/>
        <v>0</v>
      </c>
      <c r="AF21" s="60">
        <f t="shared" si="1"/>
        <v>0</v>
      </c>
      <c r="AG21" s="60">
        <f t="shared" si="2"/>
        <v>0</v>
      </c>
      <c r="AH21" s="60">
        <f t="shared" si="2"/>
        <v>0</v>
      </c>
      <c r="AI21" s="60">
        <f t="shared" si="3"/>
        <v>0</v>
      </c>
      <c r="AJ21" s="61">
        <f t="shared" si="3"/>
        <v>0</v>
      </c>
      <c r="AK21" s="144"/>
    </row>
    <row r="22" spans="1:37">
      <c r="A22">
        <v>18</v>
      </c>
      <c r="B22" s="57"/>
      <c r="C22" s="58"/>
      <c r="D22" s="84"/>
      <c r="E22" s="82"/>
      <c r="F22" s="158"/>
      <c r="G22" s="159"/>
      <c r="H22" s="281">
        <f>COUNTIFS(缺陷明细!$A$2:$A$50000,$B$4,缺陷明细!$G$2:$G$50000,$C22,缺陷明细!$J$2:$J$50000,"评审",缺陷明细!$AB$2:$AB$50000,"&lt;&gt;丢弃",缺陷明细!$AB$2:$AB$50000,"&lt;&gt;设计如此",缺陷明细!$AB$2:$AB$50000,"&lt;&gt;重复Bug")</f>
        <v>0</v>
      </c>
      <c r="I22" s="154">
        <f>COUNTIFS(缺陷明细!$A$2:$A$50000,$B$4,缺陷明细!$G$2:$G$50000,$C22,缺陷明细!$Q$2:$Q$50000,"已关闭",缺陷明细!$J$2:$J$50000,"评审")</f>
        <v>0</v>
      </c>
      <c r="J22" s="154">
        <f>COUNTIFS(缺陷明细!$A$2:$A$50000,$B$4,缺陷明细!$G$2:$G$50000,$C22,缺陷明细!$J$2:$J$50000,"单元测试",缺陷明细!$AB$2:$AB$50000,"&lt;&gt;丢弃",缺陷明细!$AB$2:$AB$50000,"&lt;&gt;设计如此",缺陷明细!$AB$2:$AB$50000,"&lt;&gt;重复Bug")</f>
        <v>0</v>
      </c>
      <c r="K22" s="155">
        <f>COUNTIFS(缺陷明细!$A$2:$A$50000,$B$4,缺陷明细!$G$2:$G$50000,$C22,缺陷明细!$Q$2:$Q$50000,"已关闭",缺陷明细!$J$2:$J$50000,"单元测试")</f>
        <v>0</v>
      </c>
      <c r="L22" s="156"/>
      <c r="M22" s="157"/>
      <c r="N22" s="72">
        <f>COUNTIFS(缺陷明细!$A$2:$A$50000,$B$4,缺陷明细!$G$2:$G$50000,$C22,缺陷明细!$J$2:$J$50000,"系统测试案例评审",缺陷明细!$AB$2:$AB$50000,"&lt;&gt;丢弃",缺陷明细!$AB$2:$AB$50000,"&lt;&gt;设计如此",缺陷明细!$AB$2:$AB$50000,"&lt;&gt;重复Bug")</f>
        <v>0</v>
      </c>
      <c r="O22" s="72">
        <f>COUNTIFS(缺陷明细!$A$2:$A$50000,$B$4,缺陷明细!$G$2:$G$50000,$C22,缺陷明细!$Q$2:$Q$50000,"已关闭",缺陷明细!$J$2:$J$50000,"系统测试案例评审")</f>
        <v>0</v>
      </c>
      <c r="P22" s="72">
        <f>COUNTIFS(缺陷明细!$A$2:$A$50000,$B$4,缺陷明细!$G$2:$G$50000,$C22,缺陷明细!$J$2:$J$50000,"系统测试",缺陷明细!$AB$2:$AB$50000,"&lt;&gt;丢弃",缺陷明细!$AB$2:$AB$50000,"&lt;&gt;设计如此",缺陷明细!$AB$2:$AB$50000,"&lt;&gt;重复Bug")</f>
        <v>0</v>
      </c>
      <c r="Q22" s="72">
        <f>COUNTIFS(缺陷明细!$A$2:$A$50000,$B$4,缺陷明细!$G$2:$G$50000,$C22,缺陷明细!$Q$2:$Q$50000,"已关闭",缺陷明细!$J$2:$J$50000,"系统测试")</f>
        <v>0</v>
      </c>
      <c r="R22" s="296">
        <f>COUNTIFS(缺陷明细!$A$2:$A$50000,$B$4,缺陷明细!$G$2:$G$50000,$C22,缺陷明细!$AB$2:$AB$50000,"丢弃",缺陷明细!$J$2:$J$50000,"系统测试")+COUNTIFS(缺陷明细!$A$2:$A$50000,$B$4,缺陷明细!$G$2:$G$50000,$C22,缺陷明细!$AB$2:$AB$50000,"设计如此",缺陷明细!$J$2:$J$50000,"系统测试")+COUNTIFS(缺陷明细!$A$2:$A$50000,$B$4,缺陷明细!$G$2:$G$50000,$C22,缺陷明细!$AB$2:$AB$50000,"重复Bug",缺陷明细!$J$2:$J$50000,"系统测试")</f>
        <v>0</v>
      </c>
      <c r="S22" s="72">
        <f>COUNTIFS(缺陷明细!$A$2:$A$50000,$B$4,缺陷明细!$G$2:$G$50000,$C22,缺陷明细!$J$2:$J$50000,"系统测试",缺陷明细!$K$2:$K$50000,"致命",缺陷明细!$AB$2:$AB$50000,"&lt;&gt;丢弃",缺陷明细!$AB$2:$AB$50000,"&lt;&gt;设计如此",缺陷明细!$AB$2:$AB$50000,"&lt;&gt;重复Bug")+COUNTIFS(缺陷明细!$A$2:$A$50000,$B$4,缺陷明细!$G$2:$G$50000,$C22,缺陷明细!$J$2:$J$50000,"系统测试",缺陷明细!$K$2:$K$50000,"严重",缺陷明细!$AB$2:$AB$50000,"&lt;&gt;丢弃",缺陷明细!$AB$2:$AB$50000,"&lt;&gt;设计如此",缺陷明细!$AB$2:$AB$50000,"&lt;&gt;重复Bug")</f>
        <v>0</v>
      </c>
      <c r="T22" s="73">
        <f>COUNTIFS(缺陷明细!$A$2:$A$50000,$B$4,缺陷明细!$G$2:$G$50000,$C22,缺陷明细!$Q$2:$Q$50000,"已关闭",缺陷明细!$J$2:$J$50000,"系统测试",缺陷明细!$K$2:$K$50000,"致命")+COUNTIFS(缺陷明细!$A$2:$A$50000,$B$4,缺陷明细!$G$2:$G$50000,$C22,缺陷明细!$Q$2:$Q$50000,"已关闭",缺陷明细!$J$2:$J$50000,"系统测试",缺陷明细!$K$2:$K$50000,"严重")</f>
        <v>0</v>
      </c>
      <c r="U22" s="74">
        <f>COUNTIFS(缺陷明细!$A$2:$A$50000,$B$4,缺陷明细!$G$2:$G$50000,$C22,缺陷明细!$J$2:$J$50000,"验收测试",缺陷明细!$AB$2:$AB$50000,"&lt;&gt;丢弃",缺陷明细!$AB$2:$AB$50000,"&lt;&gt;设计如此",缺陷明细!$AB$2:$AB$50000,"&lt;&gt;重复Bug")</f>
        <v>0</v>
      </c>
      <c r="V22" s="75">
        <f>COUNTIFS(缺陷明细!$A$2:$A$50000,$B$4,缺陷明细!$G$2:$G$50000,$C22,缺陷明细!$Q$2:$Q$50000,"已关闭",缺陷明细!$J$2:$J$50000,"验收测试")</f>
        <v>0</v>
      </c>
      <c r="W22" s="75">
        <f>COUNTIFS(缺陷明细!$A$2:$A$50000,$B$4,缺陷明细!$G$2:$G$50000,$C22,缺陷明细!$J$2:$J$50000,"验收测试",缺陷明细!$K$2:$K$50000,"致命",缺陷明细!$AB$2:$AB$50000,"&lt;&gt;丢弃",缺陷明细!$AB$2:$AB$50000,"&lt;&gt;设计如此",缺陷明细!$AB$2:$AB$50000,"&lt;&gt;重复Bug")+COUNTIFS(缺陷明细!$A$2:$A$50000,$B$4,缺陷明细!$G$2:$G$50000,$C22,缺陷明细!$J$2:$J$50000,"验收测试",缺陷明细!$K$2:$K$50000,"严重",缺陷明细!$AB$2:$AB$50000,"&lt;&gt;丢弃",缺陷明细!$AB$2:$AB$50000,"&lt;&gt;设计如此",缺陷明细!$AB$2:$AB$50000,"&lt;&gt;重复Bug")</f>
        <v>0</v>
      </c>
      <c r="X22" s="76">
        <f>COUNTIFS(缺陷明细!$A$2:$A$50000,$B$4,缺陷明细!$G$2:$G$50000,$C22,缺陷明细!$Q$2:$Q$50000,"已关闭",缺陷明细!$J$2:$J$50000,"验收测试",缺陷明细!$K$2:$K$50000,"致命")+COUNTIFS(缺陷明细!$A$2:$A$50000,$B$4,缺陷明细!$G$2:$G$50000,$C22,缺陷明细!$Q$2:$Q$50000,"已关闭",缺陷明细!$J$2:$J$50000,"验收测试",缺陷明细!$K$2:$K$50000,"严重")</f>
        <v>0</v>
      </c>
      <c r="Y22" s="70">
        <f>COUNTIFS(缺陷明细!$A$2:$A$50000,$B$4,缺陷明细!$G$2:$G$50000,$C22,缺陷明细!$J$2:$J$50000,"运维测试",缺陷明细!$AB$2:$AB$50000,"&lt;&gt;丢弃",缺陷明细!$AB$2:$AB$50000,"&lt;&gt;设计如此",缺陷明细!$AB$2:$AB$50000,"&lt;&gt;重复Bug")</f>
        <v>0</v>
      </c>
      <c r="Z22" s="71">
        <f>COUNTIFS(缺陷明细!$A$2:$A$50000,$B$4,缺陷明细!$G$2:$G$50000,$C22,缺陷明细!$Q$2:$Q$50000,"已关闭",缺陷明细!$J$2:$J$50000,"运维测试")</f>
        <v>0</v>
      </c>
      <c r="AA22" s="72">
        <f>COUNTIFS(缺陷明细!$A$2:$A$50000,$B$4,缺陷明细!$G$2:$G$50000,$C22,缺陷明细!$J$2:$J$50000,"运维测试",缺陷明细!$K$2:$K$50000,"致命",缺陷明细!$AB$2:$AB$50000,"&lt;&gt;丢弃",缺陷明细!$AB$2:$AB$50000,"&lt;&gt;设计如此",缺陷明细!$AB$2:$AB$50000,"&lt;&gt;重复Bug")+COUNTIFS(缺陷明细!$A$2:$A$50000,$B$4,缺陷明细!$G$2:$G$50000,$C22,缺陷明细!$J$2:$J$50000,"运维测试",缺陷明细!$K$2:$K$50000,"严重",缺陷明细!$AB$2:$AB$50000,"&lt;&gt;丢弃",缺陷明细!$AB$2:$AB$50000,"&lt;&gt;设计如此",缺陷明细!$AB$2:$AB$50000,"&lt;&gt;重复Bug")</f>
        <v>0</v>
      </c>
      <c r="AB22" s="73">
        <f>COUNTIFS(缺陷明细!$A$2:$A$50000,$B$4,缺陷明细!$G$2:$G$50000,$C22,缺陷明细!$Q$2:$Q$50000,"已关闭",缺陷明细!$J$2:$J$50000,"运维测试",缺陷明细!$K$2:$K$50000,"致命")+COUNTIFS(缺陷明细!$A$2:$A$50000,$B$4,缺陷明细!$G$2:$G$50000,$C22,缺陷明细!$Q$2:$Q$50000,"已关闭",缺陷明细!$J$2:$J$50000,"运维测试",缺陷明细!$K$2:$K$50000,"严重")</f>
        <v>0</v>
      </c>
      <c r="AC22" s="68">
        <f t="shared" si="0"/>
        <v>0</v>
      </c>
      <c r="AD22" s="60">
        <f t="shared" si="0"/>
        <v>0</v>
      </c>
      <c r="AE22" s="60">
        <f t="shared" si="1"/>
        <v>0</v>
      </c>
      <c r="AF22" s="60">
        <f t="shared" si="1"/>
        <v>0</v>
      </c>
      <c r="AG22" s="60">
        <f t="shared" si="2"/>
        <v>0</v>
      </c>
      <c r="AH22" s="60">
        <f t="shared" si="2"/>
        <v>0</v>
      </c>
      <c r="AI22" s="60">
        <f t="shared" si="3"/>
        <v>0</v>
      </c>
      <c r="AJ22" s="61">
        <f t="shared" si="3"/>
        <v>0</v>
      </c>
      <c r="AK22" s="144"/>
    </row>
    <row r="23" spans="1:37">
      <c r="A23">
        <v>19</v>
      </c>
      <c r="B23" s="57"/>
      <c r="C23" s="58"/>
      <c r="D23" s="84"/>
      <c r="E23" s="82"/>
      <c r="F23" s="158"/>
      <c r="G23" s="159"/>
      <c r="H23" s="281">
        <f>COUNTIFS(缺陷明细!$A$2:$A$50000,$B$4,缺陷明细!$G$2:$G$50000,$C23,缺陷明细!$J$2:$J$50000,"评审",缺陷明细!$AB$2:$AB$50000,"&lt;&gt;丢弃",缺陷明细!$AB$2:$AB$50000,"&lt;&gt;设计如此",缺陷明细!$AB$2:$AB$50000,"&lt;&gt;重复Bug")</f>
        <v>0</v>
      </c>
      <c r="I23" s="154">
        <f>COUNTIFS(缺陷明细!$A$2:$A$50000,$B$4,缺陷明细!$G$2:$G$50000,$C23,缺陷明细!$Q$2:$Q$50000,"已关闭",缺陷明细!$J$2:$J$50000,"评审")</f>
        <v>0</v>
      </c>
      <c r="J23" s="154">
        <f>COUNTIFS(缺陷明细!$A$2:$A$50000,$B$4,缺陷明细!$G$2:$G$50000,$C23,缺陷明细!$J$2:$J$50000,"单元测试",缺陷明细!$AB$2:$AB$50000,"&lt;&gt;丢弃",缺陷明细!$AB$2:$AB$50000,"&lt;&gt;设计如此",缺陷明细!$AB$2:$AB$50000,"&lt;&gt;重复Bug")</f>
        <v>0</v>
      </c>
      <c r="K23" s="155">
        <f>COUNTIFS(缺陷明细!$A$2:$A$50000,$B$4,缺陷明细!$G$2:$G$50000,$C23,缺陷明细!$Q$2:$Q$50000,"已关闭",缺陷明细!$J$2:$J$50000,"单元测试")</f>
        <v>0</v>
      </c>
      <c r="L23" s="156"/>
      <c r="M23" s="157"/>
      <c r="N23" s="72">
        <f>COUNTIFS(缺陷明细!$A$2:$A$50000,$B$4,缺陷明细!$G$2:$G$50000,$C23,缺陷明细!$J$2:$J$50000,"系统测试案例评审",缺陷明细!$AB$2:$AB$50000,"&lt;&gt;丢弃",缺陷明细!$AB$2:$AB$50000,"&lt;&gt;设计如此",缺陷明细!$AB$2:$AB$50000,"&lt;&gt;重复Bug")</f>
        <v>0</v>
      </c>
      <c r="O23" s="72">
        <f>COUNTIFS(缺陷明细!$A$2:$A$50000,$B$4,缺陷明细!$G$2:$G$50000,$C23,缺陷明细!$Q$2:$Q$50000,"已关闭",缺陷明细!$J$2:$J$50000,"系统测试案例评审")</f>
        <v>0</v>
      </c>
      <c r="P23" s="72">
        <f>COUNTIFS(缺陷明细!$A$2:$A$50000,$B$4,缺陷明细!$G$2:$G$50000,$C23,缺陷明细!$J$2:$J$50000,"系统测试",缺陷明细!$AB$2:$AB$50000,"&lt;&gt;丢弃",缺陷明细!$AB$2:$AB$50000,"&lt;&gt;设计如此",缺陷明细!$AB$2:$AB$50000,"&lt;&gt;重复Bug")</f>
        <v>0</v>
      </c>
      <c r="Q23" s="72">
        <f>COUNTIFS(缺陷明细!$A$2:$A$50000,$B$4,缺陷明细!$G$2:$G$50000,$C23,缺陷明细!$Q$2:$Q$50000,"已关闭",缺陷明细!$J$2:$J$50000,"系统测试")</f>
        <v>0</v>
      </c>
      <c r="R23" s="296">
        <f>COUNTIFS(缺陷明细!$A$2:$A$50000,$B$4,缺陷明细!$G$2:$G$50000,$C23,缺陷明细!$AB$2:$AB$50000,"丢弃",缺陷明细!$J$2:$J$50000,"系统测试")+COUNTIFS(缺陷明细!$A$2:$A$50000,$B$4,缺陷明细!$G$2:$G$50000,$C23,缺陷明细!$AB$2:$AB$50000,"设计如此",缺陷明细!$J$2:$J$50000,"系统测试")+COUNTIFS(缺陷明细!$A$2:$A$50000,$B$4,缺陷明细!$G$2:$G$50000,$C23,缺陷明细!$AB$2:$AB$50000,"重复Bug",缺陷明细!$J$2:$J$50000,"系统测试")</f>
        <v>0</v>
      </c>
      <c r="S23" s="72">
        <f>COUNTIFS(缺陷明细!$A$2:$A$50000,$B$4,缺陷明细!$G$2:$G$50000,$C23,缺陷明细!$J$2:$J$50000,"系统测试",缺陷明细!$K$2:$K$50000,"致命",缺陷明细!$AB$2:$AB$50000,"&lt;&gt;丢弃",缺陷明细!$AB$2:$AB$50000,"&lt;&gt;设计如此",缺陷明细!$AB$2:$AB$50000,"&lt;&gt;重复Bug")+COUNTIFS(缺陷明细!$A$2:$A$50000,$B$4,缺陷明细!$G$2:$G$50000,$C23,缺陷明细!$J$2:$J$50000,"系统测试",缺陷明细!$K$2:$K$50000,"严重",缺陷明细!$AB$2:$AB$50000,"&lt;&gt;丢弃",缺陷明细!$AB$2:$AB$50000,"&lt;&gt;设计如此",缺陷明细!$AB$2:$AB$50000,"&lt;&gt;重复Bug")</f>
        <v>0</v>
      </c>
      <c r="T23" s="73">
        <f>COUNTIFS(缺陷明细!$A$2:$A$50000,$B$4,缺陷明细!$G$2:$G$50000,$C23,缺陷明细!$Q$2:$Q$50000,"已关闭",缺陷明细!$J$2:$J$50000,"系统测试",缺陷明细!$K$2:$K$50000,"致命")+COUNTIFS(缺陷明细!$A$2:$A$50000,$B$4,缺陷明细!$G$2:$G$50000,$C23,缺陷明细!$Q$2:$Q$50000,"已关闭",缺陷明细!$J$2:$J$50000,"系统测试",缺陷明细!$K$2:$K$50000,"严重")</f>
        <v>0</v>
      </c>
      <c r="U23" s="74">
        <f>COUNTIFS(缺陷明细!$A$2:$A$50000,$B$4,缺陷明细!$G$2:$G$50000,$C23,缺陷明细!$J$2:$J$50000,"验收测试",缺陷明细!$AB$2:$AB$50000,"&lt;&gt;丢弃",缺陷明细!$AB$2:$AB$50000,"&lt;&gt;设计如此",缺陷明细!$AB$2:$AB$50000,"&lt;&gt;重复Bug")</f>
        <v>0</v>
      </c>
      <c r="V23" s="75">
        <f>COUNTIFS(缺陷明细!$A$2:$A$50000,$B$4,缺陷明细!$G$2:$G$50000,$C23,缺陷明细!$Q$2:$Q$50000,"已关闭",缺陷明细!$J$2:$J$50000,"验收测试")</f>
        <v>0</v>
      </c>
      <c r="W23" s="75">
        <f>COUNTIFS(缺陷明细!$A$2:$A$50000,$B$4,缺陷明细!$G$2:$G$50000,$C23,缺陷明细!$J$2:$J$50000,"验收测试",缺陷明细!$K$2:$K$50000,"致命",缺陷明细!$AB$2:$AB$50000,"&lt;&gt;丢弃",缺陷明细!$AB$2:$AB$50000,"&lt;&gt;设计如此",缺陷明细!$AB$2:$AB$50000,"&lt;&gt;重复Bug")+COUNTIFS(缺陷明细!$A$2:$A$50000,$B$4,缺陷明细!$G$2:$G$50000,$C23,缺陷明细!$J$2:$J$50000,"验收测试",缺陷明细!$K$2:$K$50000,"严重",缺陷明细!$AB$2:$AB$50000,"&lt;&gt;丢弃",缺陷明细!$AB$2:$AB$50000,"&lt;&gt;设计如此",缺陷明细!$AB$2:$AB$50000,"&lt;&gt;重复Bug")</f>
        <v>0</v>
      </c>
      <c r="X23" s="76">
        <f>COUNTIFS(缺陷明细!$A$2:$A$50000,$B$4,缺陷明细!$G$2:$G$50000,$C23,缺陷明细!$Q$2:$Q$50000,"已关闭",缺陷明细!$J$2:$J$50000,"验收测试",缺陷明细!$K$2:$K$50000,"致命")+COUNTIFS(缺陷明细!$A$2:$A$50000,$B$4,缺陷明细!$G$2:$G$50000,$C23,缺陷明细!$Q$2:$Q$50000,"已关闭",缺陷明细!$J$2:$J$50000,"验收测试",缺陷明细!$K$2:$K$50000,"严重")</f>
        <v>0</v>
      </c>
      <c r="Y23" s="70">
        <f>COUNTIFS(缺陷明细!$A$2:$A$50000,$B$4,缺陷明细!$G$2:$G$50000,$C23,缺陷明细!$J$2:$J$50000,"运维测试",缺陷明细!$AB$2:$AB$50000,"&lt;&gt;丢弃",缺陷明细!$AB$2:$AB$50000,"&lt;&gt;设计如此",缺陷明细!$AB$2:$AB$50000,"&lt;&gt;重复Bug")</f>
        <v>0</v>
      </c>
      <c r="Z23" s="71">
        <f>COUNTIFS(缺陷明细!$A$2:$A$50000,$B$4,缺陷明细!$G$2:$G$50000,$C23,缺陷明细!$Q$2:$Q$50000,"已关闭",缺陷明细!$J$2:$J$50000,"运维测试")</f>
        <v>0</v>
      </c>
      <c r="AA23" s="72">
        <f>COUNTIFS(缺陷明细!$A$2:$A$50000,$B$4,缺陷明细!$G$2:$G$50000,$C23,缺陷明细!$J$2:$J$50000,"运维测试",缺陷明细!$K$2:$K$50000,"致命",缺陷明细!$AB$2:$AB$50000,"&lt;&gt;丢弃",缺陷明细!$AB$2:$AB$50000,"&lt;&gt;设计如此",缺陷明细!$AB$2:$AB$50000,"&lt;&gt;重复Bug")+COUNTIFS(缺陷明细!$A$2:$A$50000,$B$4,缺陷明细!$G$2:$G$50000,$C23,缺陷明细!$J$2:$J$50000,"运维测试",缺陷明细!$K$2:$K$50000,"严重",缺陷明细!$AB$2:$AB$50000,"&lt;&gt;丢弃",缺陷明细!$AB$2:$AB$50000,"&lt;&gt;设计如此",缺陷明细!$AB$2:$AB$50000,"&lt;&gt;重复Bug")</f>
        <v>0</v>
      </c>
      <c r="AB23" s="73">
        <f>COUNTIFS(缺陷明细!$A$2:$A$50000,$B$4,缺陷明细!$G$2:$G$50000,$C23,缺陷明细!$Q$2:$Q$50000,"已关闭",缺陷明细!$J$2:$J$50000,"运维测试",缺陷明细!$K$2:$K$50000,"致命")+COUNTIFS(缺陷明细!$A$2:$A$50000,$B$4,缺陷明细!$G$2:$G$50000,$C23,缺陷明细!$Q$2:$Q$50000,"已关闭",缺陷明细!$J$2:$J$50000,"运维测试",缺陷明细!$K$2:$K$50000,"严重")</f>
        <v>0</v>
      </c>
      <c r="AC23" s="68">
        <f t="shared" si="0"/>
        <v>0</v>
      </c>
      <c r="AD23" s="60">
        <f t="shared" si="0"/>
        <v>0</v>
      </c>
      <c r="AE23" s="60">
        <f t="shared" si="1"/>
        <v>0</v>
      </c>
      <c r="AF23" s="60">
        <f t="shared" si="1"/>
        <v>0</v>
      </c>
      <c r="AG23" s="60">
        <f t="shared" si="2"/>
        <v>0</v>
      </c>
      <c r="AH23" s="60">
        <f t="shared" si="2"/>
        <v>0</v>
      </c>
      <c r="AI23" s="60">
        <f t="shared" si="3"/>
        <v>0</v>
      </c>
      <c r="AJ23" s="61">
        <f t="shared" si="3"/>
        <v>0</v>
      </c>
      <c r="AK23" s="144"/>
    </row>
    <row r="24" spans="1:37">
      <c r="A24">
        <v>20</v>
      </c>
      <c r="B24" s="57"/>
      <c r="C24" s="58"/>
      <c r="D24" s="84"/>
      <c r="E24" s="82"/>
      <c r="F24" s="158"/>
      <c r="G24" s="159"/>
      <c r="H24" s="281">
        <f>COUNTIFS(缺陷明细!$A$2:$A$50000,$B$4,缺陷明细!$G$2:$G$50000,$C24,缺陷明细!$J$2:$J$50000,"评审",缺陷明细!$AB$2:$AB$50000,"&lt;&gt;丢弃",缺陷明细!$AB$2:$AB$50000,"&lt;&gt;设计如此",缺陷明细!$AB$2:$AB$50000,"&lt;&gt;重复Bug")</f>
        <v>0</v>
      </c>
      <c r="I24" s="154">
        <f>COUNTIFS(缺陷明细!$A$2:$A$50000,$B$4,缺陷明细!$G$2:$G$50000,$C24,缺陷明细!$Q$2:$Q$50000,"已关闭",缺陷明细!$J$2:$J$50000,"评审")</f>
        <v>0</v>
      </c>
      <c r="J24" s="154">
        <f>COUNTIFS(缺陷明细!$A$2:$A$50000,$B$4,缺陷明细!$G$2:$G$50000,$C24,缺陷明细!$J$2:$J$50000,"单元测试",缺陷明细!$AB$2:$AB$50000,"&lt;&gt;丢弃",缺陷明细!$AB$2:$AB$50000,"&lt;&gt;设计如此",缺陷明细!$AB$2:$AB$50000,"&lt;&gt;重复Bug")</f>
        <v>0</v>
      </c>
      <c r="K24" s="155">
        <f>COUNTIFS(缺陷明细!$A$2:$A$50000,$B$4,缺陷明细!$G$2:$G$50000,$C24,缺陷明细!$Q$2:$Q$50000,"已关闭",缺陷明细!$J$2:$J$50000,"单元测试")</f>
        <v>0</v>
      </c>
      <c r="L24" s="156"/>
      <c r="M24" s="157"/>
      <c r="N24" s="72">
        <f>COUNTIFS(缺陷明细!$A$2:$A$50000,$B$4,缺陷明细!$G$2:$G$50000,$C24,缺陷明细!$J$2:$J$50000,"系统测试案例评审",缺陷明细!$AB$2:$AB$50000,"&lt;&gt;丢弃",缺陷明细!$AB$2:$AB$50000,"&lt;&gt;设计如此",缺陷明细!$AB$2:$AB$50000,"&lt;&gt;重复Bug")</f>
        <v>0</v>
      </c>
      <c r="O24" s="72">
        <f>COUNTIFS(缺陷明细!$A$2:$A$50000,$B$4,缺陷明细!$G$2:$G$50000,$C24,缺陷明细!$Q$2:$Q$50000,"已关闭",缺陷明细!$J$2:$J$50000,"系统测试案例评审")</f>
        <v>0</v>
      </c>
      <c r="P24" s="72">
        <f>COUNTIFS(缺陷明细!$A$2:$A$50000,$B$4,缺陷明细!$G$2:$G$50000,$C24,缺陷明细!$J$2:$J$50000,"系统测试",缺陷明细!$AB$2:$AB$50000,"&lt;&gt;丢弃",缺陷明细!$AB$2:$AB$50000,"&lt;&gt;设计如此",缺陷明细!$AB$2:$AB$50000,"&lt;&gt;重复Bug")</f>
        <v>0</v>
      </c>
      <c r="Q24" s="72">
        <f>COUNTIFS(缺陷明细!$A$2:$A$50000,$B$4,缺陷明细!$G$2:$G$50000,$C24,缺陷明细!$Q$2:$Q$50000,"已关闭",缺陷明细!$J$2:$J$50000,"系统测试")</f>
        <v>0</v>
      </c>
      <c r="R24" s="296">
        <f>COUNTIFS(缺陷明细!$A$2:$A$50000,$B$4,缺陷明细!$G$2:$G$50000,$C24,缺陷明细!$AB$2:$AB$50000,"丢弃",缺陷明细!$J$2:$J$50000,"系统测试")+COUNTIFS(缺陷明细!$A$2:$A$50000,$B$4,缺陷明细!$G$2:$G$50000,$C24,缺陷明细!$AB$2:$AB$50000,"设计如此",缺陷明细!$J$2:$J$50000,"系统测试")+COUNTIFS(缺陷明细!$A$2:$A$50000,$B$4,缺陷明细!$G$2:$G$50000,$C24,缺陷明细!$AB$2:$AB$50000,"重复Bug",缺陷明细!$J$2:$J$50000,"系统测试")</f>
        <v>0</v>
      </c>
      <c r="S24" s="72">
        <f>COUNTIFS(缺陷明细!$A$2:$A$50000,$B$4,缺陷明细!$G$2:$G$50000,$C24,缺陷明细!$J$2:$J$50000,"系统测试",缺陷明细!$K$2:$K$50000,"致命",缺陷明细!$AB$2:$AB$50000,"&lt;&gt;丢弃",缺陷明细!$AB$2:$AB$50000,"&lt;&gt;设计如此",缺陷明细!$AB$2:$AB$50000,"&lt;&gt;重复Bug")+COUNTIFS(缺陷明细!$A$2:$A$50000,$B$4,缺陷明细!$G$2:$G$50000,$C24,缺陷明细!$J$2:$J$50000,"系统测试",缺陷明细!$K$2:$K$50000,"严重",缺陷明细!$AB$2:$AB$50000,"&lt;&gt;丢弃",缺陷明细!$AB$2:$AB$50000,"&lt;&gt;设计如此",缺陷明细!$AB$2:$AB$50000,"&lt;&gt;重复Bug")</f>
        <v>0</v>
      </c>
      <c r="T24" s="73">
        <f>COUNTIFS(缺陷明细!$A$2:$A$50000,$B$4,缺陷明细!$G$2:$G$50000,$C24,缺陷明细!$Q$2:$Q$50000,"已关闭",缺陷明细!$J$2:$J$50000,"系统测试",缺陷明细!$K$2:$K$50000,"致命")+COUNTIFS(缺陷明细!$A$2:$A$50000,$B$4,缺陷明细!$G$2:$G$50000,$C24,缺陷明细!$Q$2:$Q$50000,"已关闭",缺陷明细!$J$2:$J$50000,"系统测试",缺陷明细!$K$2:$K$50000,"严重")</f>
        <v>0</v>
      </c>
      <c r="U24" s="74">
        <f>COUNTIFS(缺陷明细!$A$2:$A$50000,$B$4,缺陷明细!$G$2:$G$50000,$C24,缺陷明细!$J$2:$J$50000,"验收测试",缺陷明细!$AB$2:$AB$50000,"&lt;&gt;丢弃",缺陷明细!$AB$2:$AB$50000,"&lt;&gt;设计如此",缺陷明细!$AB$2:$AB$50000,"&lt;&gt;重复Bug")</f>
        <v>0</v>
      </c>
      <c r="V24" s="75">
        <f>COUNTIFS(缺陷明细!$A$2:$A$50000,$B$4,缺陷明细!$G$2:$G$50000,$C24,缺陷明细!$Q$2:$Q$50000,"已关闭",缺陷明细!$J$2:$J$50000,"验收测试")</f>
        <v>0</v>
      </c>
      <c r="W24" s="75">
        <f>COUNTIFS(缺陷明细!$A$2:$A$50000,$B$4,缺陷明细!$G$2:$G$50000,$C24,缺陷明细!$J$2:$J$50000,"验收测试",缺陷明细!$K$2:$K$50000,"致命",缺陷明细!$AB$2:$AB$50000,"&lt;&gt;丢弃",缺陷明细!$AB$2:$AB$50000,"&lt;&gt;设计如此",缺陷明细!$AB$2:$AB$50000,"&lt;&gt;重复Bug")+COUNTIFS(缺陷明细!$A$2:$A$50000,$B$4,缺陷明细!$G$2:$G$50000,$C24,缺陷明细!$J$2:$J$50000,"验收测试",缺陷明细!$K$2:$K$50000,"严重",缺陷明细!$AB$2:$AB$50000,"&lt;&gt;丢弃",缺陷明细!$AB$2:$AB$50000,"&lt;&gt;设计如此",缺陷明细!$AB$2:$AB$50000,"&lt;&gt;重复Bug")</f>
        <v>0</v>
      </c>
      <c r="X24" s="76">
        <f>COUNTIFS(缺陷明细!$A$2:$A$50000,$B$4,缺陷明细!$G$2:$G$50000,$C24,缺陷明细!$Q$2:$Q$50000,"已关闭",缺陷明细!$J$2:$J$50000,"验收测试",缺陷明细!$K$2:$K$50000,"致命")+COUNTIFS(缺陷明细!$A$2:$A$50000,$B$4,缺陷明细!$G$2:$G$50000,$C24,缺陷明细!$Q$2:$Q$50000,"已关闭",缺陷明细!$J$2:$J$50000,"验收测试",缺陷明细!$K$2:$K$50000,"严重")</f>
        <v>0</v>
      </c>
      <c r="Y24" s="70">
        <f>COUNTIFS(缺陷明细!$A$2:$A$50000,$B$4,缺陷明细!$G$2:$G$50000,$C24,缺陷明细!$J$2:$J$50000,"运维测试",缺陷明细!$AB$2:$AB$50000,"&lt;&gt;丢弃",缺陷明细!$AB$2:$AB$50000,"&lt;&gt;设计如此",缺陷明细!$AB$2:$AB$50000,"&lt;&gt;重复Bug")</f>
        <v>0</v>
      </c>
      <c r="Z24" s="71">
        <f>COUNTIFS(缺陷明细!$A$2:$A$50000,$B$4,缺陷明细!$G$2:$G$50000,$C24,缺陷明细!$Q$2:$Q$50000,"已关闭",缺陷明细!$J$2:$J$50000,"运维测试")</f>
        <v>0</v>
      </c>
      <c r="AA24" s="72">
        <f>COUNTIFS(缺陷明细!$A$2:$A$50000,$B$4,缺陷明细!$G$2:$G$50000,$C24,缺陷明细!$J$2:$J$50000,"运维测试",缺陷明细!$K$2:$K$50000,"致命",缺陷明细!$AB$2:$AB$50000,"&lt;&gt;丢弃",缺陷明细!$AB$2:$AB$50000,"&lt;&gt;设计如此",缺陷明细!$AB$2:$AB$50000,"&lt;&gt;重复Bug")+COUNTIFS(缺陷明细!$A$2:$A$50000,$B$4,缺陷明细!$G$2:$G$50000,$C24,缺陷明细!$J$2:$J$50000,"运维测试",缺陷明细!$K$2:$K$50000,"严重",缺陷明细!$AB$2:$AB$50000,"&lt;&gt;丢弃",缺陷明细!$AB$2:$AB$50000,"&lt;&gt;设计如此",缺陷明细!$AB$2:$AB$50000,"&lt;&gt;重复Bug")</f>
        <v>0</v>
      </c>
      <c r="AB24" s="73">
        <f>COUNTIFS(缺陷明细!$A$2:$A$50000,$B$4,缺陷明细!$G$2:$G$50000,$C24,缺陷明细!$Q$2:$Q$50000,"已关闭",缺陷明细!$J$2:$J$50000,"运维测试",缺陷明细!$K$2:$K$50000,"致命")+COUNTIFS(缺陷明细!$A$2:$A$50000,$B$4,缺陷明细!$G$2:$G$50000,$C24,缺陷明细!$Q$2:$Q$50000,"已关闭",缺陷明细!$J$2:$J$50000,"运维测试",缺陷明细!$K$2:$K$50000,"严重")</f>
        <v>0</v>
      </c>
      <c r="AC24" s="68">
        <f t="shared" si="0"/>
        <v>0</v>
      </c>
      <c r="AD24" s="60">
        <f t="shared" si="0"/>
        <v>0</v>
      </c>
      <c r="AE24" s="60">
        <f t="shared" si="1"/>
        <v>0</v>
      </c>
      <c r="AF24" s="60">
        <f t="shared" si="1"/>
        <v>0</v>
      </c>
      <c r="AG24" s="60">
        <f t="shared" si="2"/>
        <v>0</v>
      </c>
      <c r="AH24" s="60">
        <f t="shared" si="2"/>
        <v>0</v>
      </c>
      <c r="AI24" s="60">
        <f t="shared" si="3"/>
        <v>0</v>
      </c>
      <c r="AJ24" s="61">
        <f t="shared" si="3"/>
        <v>0</v>
      </c>
      <c r="AK24" s="144"/>
    </row>
    <row r="25" spans="1:37">
      <c r="A25">
        <v>21</v>
      </c>
      <c r="B25" s="57"/>
      <c r="C25" s="58"/>
      <c r="D25" s="84"/>
      <c r="E25" s="82"/>
      <c r="F25" s="158"/>
      <c r="G25" s="159"/>
      <c r="H25" s="281">
        <f>COUNTIFS(缺陷明细!$A$2:$A$50000,$B$4,缺陷明细!$G$2:$G$50000,$C25,缺陷明细!$J$2:$J$50000,"评审",缺陷明细!$AB$2:$AB$50000,"&lt;&gt;丢弃",缺陷明细!$AB$2:$AB$50000,"&lt;&gt;设计如此",缺陷明细!$AB$2:$AB$50000,"&lt;&gt;重复Bug")</f>
        <v>0</v>
      </c>
      <c r="I25" s="154">
        <f>COUNTIFS(缺陷明细!$A$2:$A$50000,$B$4,缺陷明细!$G$2:$G$50000,$C25,缺陷明细!$Q$2:$Q$50000,"已关闭",缺陷明细!$J$2:$J$50000,"评审")</f>
        <v>0</v>
      </c>
      <c r="J25" s="154">
        <f>COUNTIFS(缺陷明细!$A$2:$A$50000,$B$4,缺陷明细!$G$2:$G$50000,$C25,缺陷明细!$J$2:$J$50000,"单元测试",缺陷明细!$AB$2:$AB$50000,"&lt;&gt;丢弃",缺陷明细!$AB$2:$AB$50000,"&lt;&gt;设计如此",缺陷明细!$AB$2:$AB$50000,"&lt;&gt;重复Bug")</f>
        <v>0</v>
      </c>
      <c r="K25" s="155">
        <f>COUNTIFS(缺陷明细!$A$2:$A$50000,$B$4,缺陷明细!$G$2:$G$50000,$C25,缺陷明细!$Q$2:$Q$50000,"已关闭",缺陷明细!$J$2:$J$50000,"单元测试")</f>
        <v>0</v>
      </c>
      <c r="L25" s="156"/>
      <c r="M25" s="157"/>
      <c r="N25" s="72">
        <f>COUNTIFS(缺陷明细!$A$2:$A$50000,$B$4,缺陷明细!$G$2:$G$50000,$C25,缺陷明细!$J$2:$J$50000,"系统测试案例评审",缺陷明细!$AB$2:$AB$50000,"&lt;&gt;丢弃",缺陷明细!$AB$2:$AB$50000,"&lt;&gt;设计如此",缺陷明细!$AB$2:$AB$50000,"&lt;&gt;重复Bug")</f>
        <v>0</v>
      </c>
      <c r="O25" s="72">
        <f>COUNTIFS(缺陷明细!$A$2:$A$50000,$B$4,缺陷明细!$G$2:$G$50000,$C25,缺陷明细!$Q$2:$Q$50000,"已关闭",缺陷明细!$J$2:$J$50000,"系统测试案例评审")</f>
        <v>0</v>
      </c>
      <c r="P25" s="72">
        <f>COUNTIFS(缺陷明细!$A$2:$A$50000,$B$4,缺陷明细!$G$2:$G$50000,$C25,缺陷明细!$J$2:$J$50000,"系统测试",缺陷明细!$AB$2:$AB$50000,"&lt;&gt;丢弃",缺陷明细!$AB$2:$AB$50000,"&lt;&gt;设计如此",缺陷明细!$AB$2:$AB$50000,"&lt;&gt;重复Bug")</f>
        <v>0</v>
      </c>
      <c r="Q25" s="72">
        <f>COUNTIFS(缺陷明细!$A$2:$A$50000,$B$4,缺陷明细!$G$2:$G$50000,$C25,缺陷明细!$Q$2:$Q$50000,"已关闭",缺陷明细!$J$2:$J$50000,"系统测试")</f>
        <v>0</v>
      </c>
      <c r="R25" s="296">
        <f>COUNTIFS(缺陷明细!$A$2:$A$50000,$B$4,缺陷明细!$G$2:$G$50000,$C25,缺陷明细!$AB$2:$AB$50000,"丢弃",缺陷明细!$J$2:$J$50000,"系统测试")+COUNTIFS(缺陷明细!$A$2:$A$50000,$B$4,缺陷明细!$G$2:$G$50000,$C25,缺陷明细!$AB$2:$AB$50000,"设计如此",缺陷明细!$J$2:$J$50000,"系统测试")+COUNTIFS(缺陷明细!$A$2:$A$50000,$B$4,缺陷明细!$G$2:$G$50000,$C25,缺陷明细!$AB$2:$AB$50000,"重复Bug",缺陷明细!$J$2:$J$50000,"系统测试")</f>
        <v>0</v>
      </c>
      <c r="S25" s="72">
        <f>COUNTIFS(缺陷明细!$A$2:$A$50000,$B$4,缺陷明细!$G$2:$G$50000,$C25,缺陷明细!$J$2:$J$50000,"系统测试",缺陷明细!$K$2:$K$50000,"致命",缺陷明细!$AB$2:$AB$50000,"&lt;&gt;丢弃",缺陷明细!$AB$2:$AB$50000,"&lt;&gt;设计如此",缺陷明细!$AB$2:$AB$50000,"&lt;&gt;重复Bug")+COUNTIFS(缺陷明细!$A$2:$A$50000,$B$4,缺陷明细!$G$2:$G$50000,$C25,缺陷明细!$J$2:$J$50000,"系统测试",缺陷明细!$K$2:$K$50000,"严重",缺陷明细!$AB$2:$AB$50000,"&lt;&gt;丢弃",缺陷明细!$AB$2:$AB$50000,"&lt;&gt;设计如此",缺陷明细!$AB$2:$AB$50000,"&lt;&gt;重复Bug")</f>
        <v>0</v>
      </c>
      <c r="T25" s="73">
        <f>COUNTIFS(缺陷明细!$A$2:$A$50000,$B$4,缺陷明细!$G$2:$G$50000,$C25,缺陷明细!$Q$2:$Q$50000,"已关闭",缺陷明细!$J$2:$J$50000,"系统测试",缺陷明细!$K$2:$K$50000,"致命")+COUNTIFS(缺陷明细!$A$2:$A$50000,$B$4,缺陷明细!$G$2:$G$50000,$C25,缺陷明细!$Q$2:$Q$50000,"已关闭",缺陷明细!$J$2:$J$50000,"系统测试",缺陷明细!$K$2:$K$50000,"严重")</f>
        <v>0</v>
      </c>
      <c r="U25" s="74">
        <f>COUNTIFS(缺陷明细!$A$2:$A$50000,$B$4,缺陷明细!$G$2:$G$50000,$C25,缺陷明细!$J$2:$J$50000,"验收测试",缺陷明细!$AB$2:$AB$50000,"&lt;&gt;丢弃",缺陷明细!$AB$2:$AB$50000,"&lt;&gt;设计如此",缺陷明细!$AB$2:$AB$50000,"&lt;&gt;重复Bug")</f>
        <v>0</v>
      </c>
      <c r="V25" s="75">
        <f>COUNTIFS(缺陷明细!$A$2:$A$50000,$B$4,缺陷明细!$G$2:$G$50000,$C25,缺陷明细!$Q$2:$Q$50000,"已关闭",缺陷明细!$J$2:$J$50000,"验收测试")</f>
        <v>0</v>
      </c>
      <c r="W25" s="75">
        <f>COUNTIFS(缺陷明细!$A$2:$A$50000,$B$4,缺陷明细!$G$2:$G$50000,$C25,缺陷明细!$J$2:$J$50000,"验收测试",缺陷明细!$K$2:$K$50000,"致命",缺陷明细!$AB$2:$AB$50000,"&lt;&gt;丢弃",缺陷明细!$AB$2:$AB$50000,"&lt;&gt;设计如此",缺陷明细!$AB$2:$AB$50000,"&lt;&gt;重复Bug")+COUNTIFS(缺陷明细!$A$2:$A$50000,$B$4,缺陷明细!$G$2:$G$50000,$C25,缺陷明细!$J$2:$J$50000,"验收测试",缺陷明细!$K$2:$K$50000,"严重",缺陷明细!$AB$2:$AB$50000,"&lt;&gt;丢弃",缺陷明细!$AB$2:$AB$50000,"&lt;&gt;设计如此",缺陷明细!$AB$2:$AB$50000,"&lt;&gt;重复Bug")</f>
        <v>0</v>
      </c>
      <c r="X25" s="76">
        <f>COUNTIFS(缺陷明细!$A$2:$A$50000,$B$4,缺陷明细!$G$2:$G$50000,$C25,缺陷明细!$Q$2:$Q$50000,"已关闭",缺陷明细!$J$2:$J$50000,"验收测试",缺陷明细!$K$2:$K$50000,"致命")+COUNTIFS(缺陷明细!$A$2:$A$50000,$B$4,缺陷明细!$G$2:$G$50000,$C25,缺陷明细!$Q$2:$Q$50000,"已关闭",缺陷明细!$J$2:$J$50000,"验收测试",缺陷明细!$K$2:$K$50000,"严重")</f>
        <v>0</v>
      </c>
      <c r="Y25" s="70">
        <f>COUNTIFS(缺陷明细!$A$2:$A$50000,$B$4,缺陷明细!$G$2:$G$50000,$C25,缺陷明细!$J$2:$J$50000,"运维测试",缺陷明细!$AB$2:$AB$50000,"&lt;&gt;丢弃",缺陷明细!$AB$2:$AB$50000,"&lt;&gt;设计如此",缺陷明细!$AB$2:$AB$50000,"&lt;&gt;重复Bug")</f>
        <v>0</v>
      </c>
      <c r="Z25" s="71">
        <f>COUNTIFS(缺陷明细!$A$2:$A$50000,$B$4,缺陷明细!$G$2:$G$50000,$C25,缺陷明细!$Q$2:$Q$50000,"已关闭",缺陷明细!$J$2:$J$50000,"运维测试")</f>
        <v>0</v>
      </c>
      <c r="AA25" s="72">
        <f>COUNTIFS(缺陷明细!$A$2:$A$50000,$B$4,缺陷明细!$G$2:$G$50000,$C25,缺陷明细!$J$2:$J$50000,"运维测试",缺陷明细!$K$2:$K$50000,"致命",缺陷明细!$AB$2:$AB$50000,"&lt;&gt;丢弃",缺陷明细!$AB$2:$AB$50000,"&lt;&gt;设计如此",缺陷明细!$AB$2:$AB$50000,"&lt;&gt;重复Bug")+COUNTIFS(缺陷明细!$A$2:$A$50000,$B$4,缺陷明细!$G$2:$G$50000,$C25,缺陷明细!$J$2:$J$50000,"运维测试",缺陷明细!$K$2:$K$50000,"严重",缺陷明细!$AB$2:$AB$50000,"&lt;&gt;丢弃",缺陷明细!$AB$2:$AB$50000,"&lt;&gt;设计如此",缺陷明细!$AB$2:$AB$50000,"&lt;&gt;重复Bug")</f>
        <v>0</v>
      </c>
      <c r="AB25" s="73">
        <f>COUNTIFS(缺陷明细!$A$2:$A$50000,$B$4,缺陷明细!$G$2:$G$50000,$C25,缺陷明细!$Q$2:$Q$50000,"已关闭",缺陷明细!$J$2:$J$50000,"运维测试",缺陷明细!$K$2:$K$50000,"致命")+COUNTIFS(缺陷明细!$A$2:$A$50000,$B$4,缺陷明细!$G$2:$G$50000,$C25,缺陷明细!$Q$2:$Q$50000,"已关闭",缺陷明细!$J$2:$J$50000,"运维测试",缺陷明细!$K$2:$K$50000,"严重")</f>
        <v>0</v>
      </c>
      <c r="AC25" s="68">
        <f t="shared" si="0"/>
        <v>0</v>
      </c>
      <c r="AD25" s="60">
        <f t="shared" si="0"/>
        <v>0</v>
      </c>
      <c r="AE25" s="60">
        <f t="shared" si="1"/>
        <v>0</v>
      </c>
      <c r="AF25" s="60">
        <f t="shared" si="1"/>
        <v>0</v>
      </c>
      <c r="AG25" s="60">
        <f t="shared" si="2"/>
        <v>0</v>
      </c>
      <c r="AH25" s="60">
        <f t="shared" si="2"/>
        <v>0</v>
      </c>
      <c r="AI25" s="60">
        <f t="shared" si="3"/>
        <v>0</v>
      </c>
      <c r="AJ25" s="61">
        <f t="shared" si="3"/>
        <v>0</v>
      </c>
      <c r="AK25" s="144"/>
    </row>
    <row r="26" spans="1:37">
      <c r="A26">
        <v>22</v>
      </c>
      <c r="B26" s="57"/>
      <c r="C26" s="58"/>
      <c r="D26" s="84"/>
      <c r="E26" s="82"/>
      <c r="F26" s="158"/>
      <c r="G26" s="159"/>
      <c r="H26" s="281">
        <f>COUNTIFS(缺陷明细!$A$2:$A$50000,$B$4,缺陷明细!$G$2:$G$50000,$C26,缺陷明细!$J$2:$J$50000,"评审",缺陷明细!$AB$2:$AB$50000,"&lt;&gt;丢弃",缺陷明细!$AB$2:$AB$50000,"&lt;&gt;设计如此",缺陷明细!$AB$2:$AB$50000,"&lt;&gt;重复Bug")</f>
        <v>0</v>
      </c>
      <c r="I26" s="154">
        <f>COUNTIFS(缺陷明细!$A$2:$A$50000,$B$4,缺陷明细!$G$2:$G$50000,$C26,缺陷明细!$Q$2:$Q$50000,"已关闭",缺陷明细!$J$2:$J$50000,"评审")</f>
        <v>0</v>
      </c>
      <c r="J26" s="154">
        <f>COUNTIFS(缺陷明细!$A$2:$A$50000,$B$4,缺陷明细!$G$2:$G$50000,$C26,缺陷明细!$J$2:$J$50000,"单元测试",缺陷明细!$AB$2:$AB$50000,"&lt;&gt;丢弃",缺陷明细!$AB$2:$AB$50000,"&lt;&gt;设计如此",缺陷明细!$AB$2:$AB$50000,"&lt;&gt;重复Bug")</f>
        <v>0</v>
      </c>
      <c r="K26" s="155">
        <f>COUNTIFS(缺陷明细!$A$2:$A$50000,$B$4,缺陷明细!$G$2:$G$50000,$C26,缺陷明细!$Q$2:$Q$50000,"已关闭",缺陷明细!$J$2:$J$50000,"单元测试")</f>
        <v>0</v>
      </c>
      <c r="L26" s="156"/>
      <c r="M26" s="157"/>
      <c r="N26" s="72">
        <f>COUNTIFS(缺陷明细!$A$2:$A$50000,$B$4,缺陷明细!$G$2:$G$50000,$C26,缺陷明细!$J$2:$J$50000,"系统测试案例评审",缺陷明细!$AB$2:$AB$50000,"&lt;&gt;丢弃",缺陷明细!$AB$2:$AB$50000,"&lt;&gt;设计如此",缺陷明细!$AB$2:$AB$50000,"&lt;&gt;重复Bug")</f>
        <v>0</v>
      </c>
      <c r="O26" s="72">
        <f>COUNTIFS(缺陷明细!$A$2:$A$50000,$B$4,缺陷明细!$G$2:$G$50000,$C26,缺陷明细!$Q$2:$Q$50000,"已关闭",缺陷明细!$J$2:$J$50000,"系统测试案例评审")</f>
        <v>0</v>
      </c>
      <c r="P26" s="72">
        <f>COUNTIFS(缺陷明细!$A$2:$A$50000,$B$4,缺陷明细!$G$2:$G$50000,$C26,缺陷明细!$J$2:$J$50000,"系统测试",缺陷明细!$AB$2:$AB$50000,"&lt;&gt;丢弃",缺陷明细!$AB$2:$AB$50000,"&lt;&gt;设计如此",缺陷明细!$AB$2:$AB$50000,"&lt;&gt;重复Bug")</f>
        <v>0</v>
      </c>
      <c r="Q26" s="72">
        <f>COUNTIFS(缺陷明细!$A$2:$A$50000,$B$4,缺陷明细!$G$2:$G$50000,$C26,缺陷明细!$Q$2:$Q$50000,"已关闭",缺陷明细!$J$2:$J$50000,"系统测试")</f>
        <v>0</v>
      </c>
      <c r="R26" s="296">
        <f>COUNTIFS(缺陷明细!$A$2:$A$50000,$B$4,缺陷明细!$G$2:$G$50000,$C26,缺陷明细!$AB$2:$AB$50000,"丢弃",缺陷明细!$J$2:$J$50000,"系统测试")+COUNTIFS(缺陷明细!$A$2:$A$50000,$B$4,缺陷明细!$G$2:$G$50000,$C26,缺陷明细!$AB$2:$AB$50000,"设计如此",缺陷明细!$J$2:$J$50000,"系统测试")+COUNTIFS(缺陷明细!$A$2:$A$50000,$B$4,缺陷明细!$G$2:$G$50000,$C26,缺陷明细!$AB$2:$AB$50000,"重复Bug",缺陷明细!$J$2:$J$50000,"系统测试")</f>
        <v>0</v>
      </c>
      <c r="S26" s="72">
        <f>COUNTIFS(缺陷明细!$A$2:$A$50000,$B$4,缺陷明细!$G$2:$G$50000,$C26,缺陷明细!$J$2:$J$50000,"系统测试",缺陷明细!$K$2:$K$50000,"致命",缺陷明细!$AB$2:$AB$50000,"&lt;&gt;丢弃",缺陷明细!$AB$2:$AB$50000,"&lt;&gt;设计如此",缺陷明细!$AB$2:$AB$50000,"&lt;&gt;重复Bug")+COUNTIFS(缺陷明细!$A$2:$A$50000,$B$4,缺陷明细!$G$2:$G$50000,$C26,缺陷明细!$J$2:$J$50000,"系统测试",缺陷明细!$K$2:$K$50000,"严重",缺陷明细!$AB$2:$AB$50000,"&lt;&gt;丢弃",缺陷明细!$AB$2:$AB$50000,"&lt;&gt;设计如此",缺陷明细!$AB$2:$AB$50000,"&lt;&gt;重复Bug")</f>
        <v>0</v>
      </c>
      <c r="T26" s="73">
        <f>COUNTIFS(缺陷明细!$A$2:$A$50000,$B$4,缺陷明细!$G$2:$G$50000,$C26,缺陷明细!$Q$2:$Q$50000,"已关闭",缺陷明细!$J$2:$J$50000,"系统测试",缺陷明细!$K$2:$K$50000,"致命")+COUNTIFS(缺陷明细!$A$2:$A$50000,$B$4,缺陷明细!$G$2:$G$50000,$C26,缺陷明细!$Q$2:$Q$50000,"已关闭",缺陷明细!$J$2:$J$50000,"系统测试",缺陷明细!$K$2:$K$50000,"严重")</f>
        <v>0</v>
      </c>
      <c r="U26" s="74">
        <f>COUNTIFS(缺陷明细!$A$2:$A$50000,$B$4,缺陷明细!$G$2:$G$50000,$C26,缺陷明细!$J$2:$J$50000,"验收测试",缺陷明细!$AB$2:$AB$50000,"&lt;&gt;丢弃",缺陷明细!$AB$2:$AB$50000,"&lt;&gt;设计如此",缺陷明细!$AB$2:$AB$50000,"&lt;&gt;重复Bug")</f>
        <v>0</v>
      </c>
      <c r="V26" s="75">
        <f>COUNTIFS(缺陷明细!$A$2:$A$50000,$B$4,缺陷明细!$G$2:$G$50000,$C26,缺陷明细!$Q$2:$Q$50000,"已关闭",缺陷明细!$J$2:$J$50000,"验收测试")</f>
        <v>0</v>
      </c>
      <c r="W26" s="75">
        <f>COUNTIFS(缺陷明细!$A$2:$A$50000,$B$4,缺陷明细!$G$2:$G$50000,$C26,缺陷明细!$J$2:$J$50000,"验收测试",缺陷明细!$K$2:$K$50000,"致命",缺陷明细!$AB$2:$AB$50000,"&lt;&gt;丢弃",缺陷明细!$AB$2:$AB$50000,"&lt;&gt;设计如此",缺陷明细!$AB$2:$AB$50000,"&lt;&gt;重复Bug")+COUNTIFS(缺陷明细!$A$2:$A$50000,$B$4,缺陷明细!$G$2:$G$50000,$C26,缺陷明细!$J$2:$J$50000,"验收测试",缺陷明细!$K$2:$K$50000,"严重",缺陷明细!$AB$2:$AB$50000,"&lt;&gt;丢弃",缺陷明细!$AB$2:$AB$50000,"&lt;&gt;设计如此",缺陷明细!$AB$2:$AB$50000,"&lt;&gt;重复Bug")</f>
        <v>0</v>
      </c>
      <c r="X26" s="76">
        <f>COUNTIFS(缺陷明细!$A$2:$A$50000,$B$4,缺陷明细!$G$2:$G$50000,$C26,缺陷明细!$Q$2:$Q$50000,"已关闭",缺陷明细!$J$2:$J$50000,"验收测试",缺陷明细!$K$2:$K$50000,"致命")+COUNTIFS(缺陷明细!$A$2:$A$50000,$B$4,缺陷明细!$G$2:$G$50000,$C26,缺陷明细!$Q$2:$Q$50000,"已关闭",缺陷明细!$J$2:$J$50000,"验收测试",缺陷明细!$K$2:$K$50000,"严重")</f>
        <v>0</v>
      </c>
      <c r="Y26" s="70">
        <f>COUNTIFS(缺陷明细!$A$2:$A$50000,$B$4,缺陷明细!$G$2:$G$50000,$C26,缺陷明细!$J$2:$J$50000,"运维测试",缺陷明细!$AB$2:$AB$50000,"&lt;&gt;丢弃",缺陷明细!$AB$2:$AB$50000,"&lt;&gt;设计如此",缺陷明细!$AB$2:$AB$50000,"&lt;&gt;重复Bug")</f>
        <v>0</v>
      </c>
      <c r="Z26" s="71">
        <f>COUNTIFS(缺陷明细!$A$2:$A$50000,$B$4,缺陷明细!$G$2:$G$50000,$C26,缺陷明细!$Q$2:$Q$50000,"已关闭",缺陷明细!$J$2:$J$50000,"运维测试")</f>
        <v>0</v>
      </c>
      <c r="AA26" s="72">
        <f>COUNTIFS(缺陷明细!$A$2:$A$50000,$B$4,缺陷明细!$G$2:$G$50000,$C26,缺陷明细!$J$2:$J$50000,"运维测试",缺陷明细!$K$2:$K$50000,"致命",缺陷明细!$AB$2:$AB$50000,"&lt;&gt;丢弃",缺陷明细!$AB$2:$AB$50000,"&lt;&gt;设计如此",缺陷明细!$AB$2:$AB$50000,"&lt;&gt;重复Bug")+COUNTIFS(缺陷明细!$A$2:$A$50000,$B$4,缺陷明细!$G$2:$G$50000,$C26,缺陷明细!$J$2:$J$50000,"运维测试",缺陷明细!$K$2:$K$50000,"严重",缺陷明细!$AB$2:$AB$50000,"&lt;&gt;丢弃",缺陷明细!$AB$2:$AB$50000,"&lt;&gt;设计如此",缺陷明细!$AB$2:$AB$50000,"&lt;&gt;重复Bug")</f>
        <v>0</v>
      </c>
      <c r="AB26" s="73">
        <f>COUNTIFS(缺陷明细!$A$2:$A$50000,$B$4,缺陷明细!$G$2:$G$50000,$C26,缺陷明细!$Q$2:$Q$50000,"已关闭",缺陷明细!$J$2:$J$50000,"运维测试",缺陷明细!$K$2:$K$50000,"致命")+COUNTIFS(缺陷明细!$A$2:$A$50000,$B$4,缺陷明细!$G$2:$G$50000,$C26,缺陷明细!$Q$2:$Q$50000,"已关闭",缺陷明细!$J$2:$J$50000,"运维测试",缺陷明细!$K$2:$K$50000,"严重")</f>
        <v>0</v>
      </c>
      <c r="AC26" s="68">
        <f t="shared" si="0"/>
        <v>0</v>
      </c>
      <c r="AD26" s="60">
        <f t="shared" si="0"/>
        <v>0</v>
      </c>
      <c r="AE26" s="60">
        <f t="shared" si="1"/>
        <v>0</v>
      </c>
      <c r="AF26" s="60">
        <f t="shared" si="1"/>
        <v>0</v>
      </c>
      <c r="AG26" s="60">
        <f t="shared" si="2"/>
        <v>0</v>
      </c>
      <c r="AH26" s="60">
        <f t="shared" si="2"/>
        <v>0</v>
      </c>
      <c r="AI26" s="60">
        <f t="shared" si="3"/>
        <v>0</v>
      </c>
      <c r="AJ26" s="61">
        <f t="shared" si="3"/>
        <v>0</v>
      </c>
      <c r="AK26" s="144"/>
    </row>
    <row r="27" spans="1:37">
      <c r="A27">
        <v>23</v>
      </c>
      <c r="B27" s="57"/>
      <c r="C27" s="58"/>
      <c r="D27" s="84"/>
      <c r="E27" s="82"/>
      <c r="F27" s="158"/>
      <c r="G27" s="159"/>
      <c r="H27" s="281">
        <f>COUNTIFS(缺陷明细!$A$2:$A$50000,$B$4,缺陷明细!$G$2:$G$50000,$C27,缺陷明细!$J$2:$J$50000,"评审",缺陷明细!$AB$2:$AB$50000,"&lt;&gt;丢弃",缺陷明细!$AB$2:$AB$50000,"&lt;&gt;设计如此",缺陷明细!$AB$2:$AB$50000,"&lt;&gt;重复Bug")</f>
        <v>0</v>
      </c>
      <c r="I27" s="154">
        <f>COUNTIFS(缺陷明细!$A$2:$A$50000,$B$4,缺陷明细!$G$2:$G$50000,$C27,缺陷明细!$Q$2:$Q$50000,"已关闭",缺陷明细!$J$2:$J$50000,"评审")</f>
        <v>0</v>
      </c>
      <c r="J27" s="154">
        <f>COUNTIFS(缺陷明细!$A$2:$A$50000,$B$4,缺陷明细!$G$2:$G$50000,$C27,缺陷明细!$J$2:$J$50000,"单元测试",缺陷明细!$AB$2:$AB$50000,"&lt;&gt;丢弃",缺陷明细!$AB$2:$AB$50000,"&lt;&gt;设计如此",缺陷明细!$AB$2:$AB$50000,"&lt;&gt;重复Bug")</f>
        <v>0</v>
      </c>
      <c r="K27" s="155">
        <f>COUNTIFS(缺陷明细!$A$2:$A$50000,$B$4,缺陷明细!$G$2:$G$50000,$C27,缺陷明细!$Q$2:$Q$50000,"已关闭",缺陷明细!$J$2:$J$50000,"单元测试")</f>
        <v>0</v>
      </c>
      <c r="L27" s="156"/>
      <c r="M27" s="157"/>
      <c r="N27" s="72">
        <f>COUNTIFS(缺陷明细!$A$2:$A$50000,$B$4,缺陷明细!$G$2:$G$50000,$C27,缺陷明细!$J$2:$J$50000,"系统测试案例评审",缺陷明细!$AB$2:$AB$50000,"&lt;&gt;丢弃",缺陷明细!$AB$2:$AB$50000,"&lt;&gt;设计如此",缺陷明细!$AB$2:$AB$50000,"&lt;&gt;重复Bug")</f>
        <v>0</v>
      </c>
      <c r="O27" s="72">
        <f>COUNTIFS(缺陷明细!$A$2:$A$50000,$B$4,缺陷明细!$G$2:$G$50000,$C27,缺陷明细!$Q$2:$Q$50000,"已关闭",缺陷明细!$J$2:$J$50000,"系统测试案例评审")</f>
        <v>0</v>
      </c>
      <c r="P27" s="72">
        <f>COUNTIFS(缺陷明细!$A$2:$A$50000,$B$4,缺陷明细!$G$2:$G$50000,$C27,缺陷明细!$J$2:$J$50000,"系统测试",缺陷明细!$AB$2:$AB$50000,"&lt;&gt;丢弃",缺陷明细!$AB$2:$AB$50000,"&lt;&gt;设计如此",缺陷明细!$AB$2:$AB$50000,"&lt;&gt;重复Bug")</f>
        <v>0</v>
      </c>
      <c r="Q27" s="72">
        <f>COUNTIFS(缺陷明细!$A$2:$A$50000,$B$4,缺陷明细!$G$2:$G$50000,$C27,缺陷明细!$Q$2:$Q$50000,"已关闭",缺陷明细!$J$2:$J$50000,"系统测试")</f>
        <v>0</v>
      </c>
      <c r="R27" s="296">
        <f>COUNTIFS(缺陷明细!$A$2:$A$50000,$B$4,缺陷明细!$G$2:$G$50000,$C27,缺陷明细!$AB$2:$AB$50000,"丢弃",缺陷明细!$J$2:$J$50000,"系统测试")+COUNTIFS(缺陷明细!$A$2:$A$50000,$B$4,缺陷明细!$G$2:$G$50000,$C27,缺陷明细!$AB$2:$AB$50000,"设计如此",缺陷明细!$J$2:$J$50000,"系统测试")+COUNTIFS(缺陷明细!$A$2:$A$50000,$B$4,缺陷明细!$G$2:$G$50000,$C27,缺陷明细!$AB$2:$AB$50000,"重复Bug",缺陷明细!$J$2:$J$50000,"系统测试")</f>
        <v>0</v>
      </c>
      <c r="S27" s="72">
        <f>COUNTIFS(缺陷明细!$A$2:$A$50000,$B$4,缺陷明细!$G$2:$G$50000,$C27,缺陷明细!$J$2:$J$50000,"系统测试",缺陷明细!$K$2:$K$50000,"致命",缺陷明细!$AB$2:$AB$50000,"&lt;&gt;丢弃",缺陷明细!$AB$2:$AB$50000,"&lt;&gt;设计如此",缺陷明细!$AB$2:$AB$50000,"&lt;&gt;重复Bug")+COUNTIFS(缺陷明细!$A$2:$A$50000,$B$4,缺陷明细!$G$2:$G$50000,$C27,缺陷明细!$J$2:$J$50000,"系统测试",缺陷明细!$K$2:$K$50000,"严重",缺陷明细!$AB$2:$AB$50000,"&lt;&gt;丢弃",缺陷明细!$AB$2:$AB$50000,"&lt;&gt;设计如此",缺陷明细!$AB$2:$AB$50000,"&lt;&gt;重复Bug")</f>
        <v>0</v>
      </c>
      <c r="T27" s="73">
        <f>COUNTIFS(缺陷明细!$A$2:$A$50000,$B$4,缺陷明细!$G$2:$G$50000,$C27,缺陷明细!$Q$2:$Q$50000,"已关闭",缺陷明细!$J$2:$J$50000,"系统测试",缺陷明细!$K$2:$K$50000,"致命")+COUNTIFS(缺陷明细!$A$2:$A$50000,$B$4,缺陷明细!$G$2:$G$50000,$C27,缺陷明细!$Q$2:$Q$50000,"已关闭",缺陷明细!$J$2:$J$50000,"系统测试",缺陷明细!$K$2:$K$50000,"严重")</f>
        <v>0</v>
      </c>
      <c r="U27" s="74">
        <f>COUNTIFS(缺陷明细!$A$2:$A$50000,$B$4,缺陷明细!$G$2:$G$50000,$C27,缺陷明细!$J$2:$J$50000,"验收测试",缺陷明细!$AB$2:$AB$50000,"&lt;&gt;丢弃",缺陷明细!$AB$2:$AB$50000,"&lt;&gt;设计如此",缺陷明细!$AB$2:$AB$50000,"&lt;&gt;重复Bug")</f>
        <v>0</v>
      </c>
      <c r="V27" s="75">
        <f>COUNTIFS(缺陷明细!$A$2:$A$50000,$B$4,缺陷明细!$G$2:$G$50000,$C27,缺陷明细!$Q$2:$Q$50000,"已关闭",缺陷明细!$J$2:$J$50000,"验收测试")</f>
        <v>0</v>
      </c>
      <c r="W27" s="75">
        <f>COUNTIFS(缺陷明细!$A$2:$A$50000,$B$4,缺陷明细!$G$2:$G$50000,$C27,缺陷明细!$J$2:$J$50000,"验收测试",缺陷明细!$K$2:$K$50000,"致命",缺陷明细!$AB$2:$AB$50000,"&lt;&gt;丢弃",缺陷明细!$AB$2:$AB$50000,"&lt;&gt;设计如此",缺陷明细!$AB$2:$AB$50000,"&lt;&gt;重复Bug")+COUNTIFS(缺陷明细!$A$2:$A$50000,$B$4,缺陷明细!$G$2:$G$50000,$C27,缺陷明细!$J$2:$J$50000,"验收测试",缺陷明细!$K$2:$K$50000,"严重",缺陷明细!$AB$2:$AB$50000,"&lt;&gt;丢弃",缺陷明细!$AB$2:$AB$50000,"&lt;&gt;设计如此",缺陷明细!$AB$2:$AB$50000,"&lt;&gt;重复Bug")</f>
        <v>0</v>
      </c>
      <c r="X27" s="76">
        <f>COUNTIFS(缺陷明细!$A$2:$A$50000,$B$4,缺陷明细!$G$2:$G$50000,$C27,缺陷明细!$Q$2:$Q$50000,"已关闭",缺陷明细!$J$2:$J$50000,"验收测试",缺陷明细!$K$2:$K$50000,"致命")+COUNTIFS(缺陷明细!$A$2:$A$50000,$B$4,缺陷明细!$G$2:$G$50000,$C27,缺陷明细!$Q$2:$Q$50000,"已关闭",缺陷明细!$J$2:$J$50000,"验收测试",缺陷明细!$K$2:$K$50000,"严重")</f>
        <v>0</v>
      </c>
      <c r="Y27" s="70">
        <f>COUNTIFS(缺陷明细!$A$2:$A$50000,$B$4,缺陷明细!$G$2:$G$50000,$C27,缺陷明细!$J$2:$J$50000,"运维测试",缺陷明细!$AB$2:$AB$50000,"&lt;&gt;丢弃",缺陷明细!$AB$2:$AB$50000,"&lt;&gt;设计如此",缺陷明细!$AB$2:$AB$50000,"&lt;&gt;重复Bug")</f>
        <v>0</v>
      </c>
      <c r="Z27" s="71">
        <f>COUNTIFS(缺陷明细!$A$2:$A$50000,$B$4,缺陷明细!$G$2:$G$50000,$C27,缺陷明细!$Q$2:$Q$50000,"已关闭",缺陷明细!$J$2:$J$50000,"运维测试")</f>
        <v>0</v>
      </c>
      <c r="AA27" s="72">
        <f>COUNTIFS(缺陷明细!$A$2:$A$50000,$B$4,缺陷明细!$G$2:$G$50000,$C27,缺陷明细!$J$2:$J$50000,"运维测试",缺陷明细!$K$2:$K$50000,"致命",缺陷明细!$AB$2:$AB$50000,"&lt;&gt;丢弃",缺陷明细!$AB$2:$AB$50000,"&lt;&gt;设计如此",缺陷明细!$AB$2:$AB$50000,"&lt;&gt;重复Bug")+COUNTIFS(缺陷明细!$A$2:$A$50000,$B$4,缺陷明细!$G$2:$G$50000,$C27,缺陷明细!$J$2:$J$50000,"运维测试",缺陷明细!$K$2:$K$50000,"严重",缺陷明细!$AB$2:$AB$50000,"&lt;&gt;丢弃",缺陷明细!$AB$2:$AB$50000,"&lt;&gt;设计如此",缺陷明细!$AB$2:$AB$50000,"&lt;&gt;重复Bug")</f>
        <v>0</v>
      </c>
      <c r="AB27" s="73">
        <f>COUNTIFS(缺陷明细!$A$2:$A$50000,$B$4,缺陷明细!$G$2:$G$50000,$C27,缺陷明细!$Q$2:$Q$50000,"已关闭",缺陷明细!$J$2:$J$50000,"运维测试",缺陷明细!$K$2:$K$50000,"致命")+COUNTIFS(缺陷明细!$A$2:$A$50000,$B$4,缺陷明细!$G$2:$G$50000,$C27,缺陷明细!$Q$2:$Q$50000,"已关闭",缺陷明细!$J$2:$J$50000,"运维测试",缺陷明细!$K$2:$K$50000,"严重")</f>
        <v>0</v>
      </c>
      <c r="AC27" s="68">
        <f t="shared" si="0"/>
        <v>0</v>
      </c>
      <c r="AD27" s="60">
        <f t="shared" si="0"/>
        <v>0</v>
      </c>
      <c r="AE27" s="60">
        <f t="shared" si="1"/>
        <v>0</v>
      </c>
      <c r="AF27" s="60">
        <f t="shared" si="1"/>
        <v>0</v>
      </c>
      <c r="AG27" s="60">
        <f t="shared" si="2"/>
        <v>0</v>
      </c>
      <c r="AH27" s="60">
        <f t="shared" si="2"/>
        <v>0</v>
      </c>
      <c r="AI27" s="60">
        <f t="shared" si="3"/>
        <v>0</v>
      </c>
      <c r="AJ27" s="61">
        <f t="shared" si="3"/>
        <v>0</v>
      </c>
      <c r="AK27" s="144"/>
    </row>
    <row r="28" spans="1:37">
      <c r="A28">
        <v>24</v>
      </c>
      <c r="B28" s="57"/>
      <c r="C28" s="58"/>
      <c r="D28" s="84"/>
      <c r="E28" s="82"/>
      <c r="F28" s="158"/>
      <c r="G28" s="159"/>
      <c r="H28" s="281">
        <f>COUNTIFS(缺陷明细!$A$2:$A$50000,$B$4,缺陷明细!$G$2:$G$50000,$C28,缺陷明细!$J$2:$J$50000,"评审",缺陷明细!$AB$2:$AB$50000,"&lt;&gt;丢弃",缺陷明细!$AB$2:$AB$50000,"&lt;&gt;设计如此",缺陷明细!$AB$2:$AB$50000,"&lt;&gt;重复Bug")</f>
        <v>0</v>
      </c>
      <c r="I28" s="154">
        <f>COUNTIFS(缺陷明细!$A$2:$A$50000,$B$4,缺陷明细!$G$2:$G$50000,$C28,缺陷明细!$Q$2:$Q$50000,"已关闭",缺陷明细!$J$2:$J$50000,"评审")</f>
        <v>0</v>
      </c>
      <c r="J28" s="154">
        <f>COUNTIFS(缺陷明细!$A$2:$A$50000,$B$4,缺陷明细!$G$2:$G$50000,$C28,缺陷明细!$J$2:$J$50000,"单元测试",缺陷明细!$AB$2:$AB$50000,"&lt;&gt;丢弃",缺陷明细!$AB$2:$AB$50000,"&lt;&gt;设计如此",缺陷明细!$AB$2:$AB$50000,"&lt;&gt;重复Bug")</f>
        <v>0</v>
      </c>
      <c r="K28" s="155">
        <f>COUNTIFS(缺陷明细!$A$2:$A$50000,$B$4,缺陷明细!$G$2:$G$50000,$C28,缺陷明细!$Q$2:$Q$50000,"已关闭",缺陷明细!$J$2:$J$50000,"单元测试")</f>
        <v>0</v>
      </c>
      <c r="L28" s="156"/>
      <c r="M28" s="157"/>
      <c r="N28" s="72">
        <f>COUNTIFS(缺陷明细!$A$2:$A$50000,$B$4,缺陷明细!$G$2:$G$50000,$C28,缺陷明细!$J$2:$J$50000,"系统测试案例评审",缺陷明细!$AB$2:$AB$50000,"&lt;&gt;丢弃",缺陷明细!$AB$2:$AB$50000,"&lt;&gt;设计如此",缺陷明细!$AB$2:$AB$50000,"&lt;&gt;重复Bug")</f>
        <v>0</v>
      </c>
      <c r="O28" s="72">
        <f>COUNTIFS(缺陷明细!$A$2:$A$50000,$B$4,缺陷明细!$G$2:$G$50000,$C28,缺陷明细!$Q$2:$Q$50000,"已关闭",缺陷明细!$J$2:$J$50000,"系统测试案例评审")</f>
        <v>0</v>
      </c>
      <c r="P28" s="72">
        <f>COUNTIFS(缺陷明细!$A$2:$A$50000,$B$4,缺陷明细!$G$2:$G$50000,$C28,缺陷明细!$J$2:$J$50000,"系统测试",缺陷明细!$AB$2:$AB$50000,"&lt;&gt;丢弃",缺陷明细!$AB$2:$AB$50000,"&lt;&gt;设计如此",缺陷明细!$AB$2:$AB$50000,"&lt;&gt;重复Bug")</f>
        <v>0</v>
      </c>
      <c r="Q28" s="72">
        <f>COUNTIFS(缺陷明细!$A$2:$A$50000,$B$4,缺陷明细!$G$2:$G$50000,$C28,缺陷明细!$Q$2:$Q$50000,"已关闭",缺陷明细!$J$2:$J$50000,"系统测试")</f>
        <v>0</v>
      </c>
      <c r="R28" s="296">
        <f>COUNTIFS(缺陷明细!$A$2:$A$50000,$B$4,缺陷明细!$G$2:$G$50000,$C28,缺陷明细!$AB$2:$AB$50000,"丢弃",缺陷明细!$J$2:$J$50000,"系统测试")+COUNTIFS(缺陷明细!$A$2:$A$50000,$B$4,缺陷明细!$G$2:$G$50000,$C28,缺陷明细!$AB$2:$AB$50000,"设计如此",缺陷明细!$J$2:$J$50000,"系统测试")+COUNTIFS(缺陷明细!$A$2:$A$50000,$B$4,缺陷明细!$G$2:$G$50000,$C28,缺陷明细!$AB$2:$AB$50000,"重复Bug",缺陷明细!$J$2:$J$50000,"系统测试")</f>
        <v>0</v>
      </c>
      <c r="S28" s="72">
        <f>COUNTIFS(缺陷明细!$A$2:$A$50000,$B$4,缺陷明细!$G$2:$G$50000,$C28,缺陷明细!$J$2:$J$50000,"系统测试",缺陷明细!$K$2:$K$50000,"致命",缺陷明细!$AB$2:$AB$50000,"&lt;&gt;丢弃",缺陷明细!$AB$2:$AB$50000,"&lt;&gt;设计如此",缺陷明细!$AB$2:$AB$50000,"&lt;&gt;重复Bug")+COUNTIFS(缺陷明细!$A$2:$A$50000,$B$4,缺陷明细!$G$2:$G$50000,$C28,缺陷明细!$J$2:$J$50000,"系统测试",缺陷明细!$K$2:$K$50000,"严重",缺陷明细!$AB$2:$AB$50000,"&lt;&gt;丢弃",缺陷明细!$AB$2:$AB$50000,"&lt;&gt;设计如此",缺陷明细!$AB$2:$AB$50000,"&lt;&gt;重复Bug")</f>
        <v>0</v>
      </c>
      <c r="T28" s="73">
        <f>COUNTIFS(缺陷明细!$A$2:$A$50000,$B$4,缺陷明细!$G$2:$G$50000,$C28,缺陷明细!$Q$2:$Q$50000,"已关闭",缺陷明细!$J$2:$J$50000,"系统测试",缺陷明细!$K$2:$K$50000,"致命")+COUNTIFS(缺陷明细!$A$2:$A$50000,$B$4,缺陷明细!$G$2:$G$50000,$C28,缺陷明细!$Q$2:$Q$50000,"已关闭",缺陷明细!$J$2:$J$50000,"系统测试",缺陷明细!$K$2:$K$50000,"严重")</f>
        <v>0</v>
      </c>
      <c r="U28" s="74">
        <f>COUNTIFS(缺陷明细!$A$2:$A$50000,$B$4,缺陷明细!$G$2:$G$50000,$C28,缺陷明细!$J$2:$J$50000,"验收测试",缺陷明细!$AB$2:$AB$50000,"&lt;&gt;丢弃",缺陷明细!$AB$2:$AB$50000,"&lt;&gt;设计如此",缺陷明细!$AB$2:$AB$50000,"&lt;&gt;重复Bug")</f>
        <v>0</v>
      </c>
      <c r="V28" s="75">
        <f>COUNTIFS(缺陷明细!$A$2:$A$50000,$B$4,缺陷明细!$G$2:$G$50000,$C28,缺陷明细!$Q$2:$Q$50000,"已关闭",缺陷明细!$J$2:$J$50000,"验收测试")</f>
        <v>0</v>
      </c>
      <c r="W28" s="75">
        <f>COUNTIFS(缺陷明细!$A$2:$A$50000,$B$4,缺陷明细!$G$2:$G$50000,$C28,缺陷明细!$J$2:$J$50000,"验收测试",缺陷明细!$K$2:$K$50000,"致命",缺陷明细!$AB$2:$AB$50000,"&lt;&gt;丢弃",缺陷明细!$AB$2:$AB$50000,"&lt;&gt;设计如此",缺陷明细!$AB$2:$AB$50000,"&lt;&gt;重复Bug")+COUNTIFS(缺陷明细!$A$2:$A$50000,$B$4,缺陷明细!$G$2:$G$50000,$C28,缺陷明细!$J$2:$J$50000,"验收测试",缺陷明细!$K$2:$K$50000,"严重",缺陷明细!$AB$2:$AB$50000,"&lt;&gt;丢弃",缺陷明细!$AB$2:$AB$50000,"&lt;&gt;设计如此",缺陷明细!$AB$2:$AB$50000,"&lt;&gt;重复Bug")</f>
        <v>0</v>
      </c>
      <c r="X28" s="76">
        <f>COUNTIFS(缺陷明细!$A$2:$A$50000,$B$4,缺陷明细!$G$2:$G$50000,$C28,缺陷明细!$Q$2:$Q$50000,"已关闭",缺陷明细!$J$2:$J$50000,"验收测试",缺陷明细!$K$2:$K$50000,"致命")+COUNTIFS(缺陷明细!$A$2:$A$50000,$B$4,缺陷明细!$G$2:$G$50000,$C28,缺陷明细!$Q$2:$Q$50000,"已关闭",缺陷明细!$J$2:$J$50000,"验收测试",缺陷明细!$K$2:$K$50000,"严重")</f>
        <v>0</v>
      </c>
      <c r="Y28" s="70">
        <f>COUNTIFS(缺陷明细!$A$2:$A$50000,$B$4,缺陷明细!$G$2:$G$50000,$C28,缺陷明细!$J$2:$J$50000,"运维测试",缺陷明细!$AB$2:$AB$50000,"&lt;&gt;丢弃",缺陷明细!$AB$2:$AB$50000,"&lt;&gt;设计如此",缺陷明细!$AB$2:$AB$50000,"&lt;&gt;重复Bug")</f>
        <v>0</v>
      </c>
      <c r="Z28" s="71">
        <f>COUNTIFS(缺陷明细!$A$2:$A$50000,$B$4,缺陷明细!$G$2:$G$50000,$C28,缺陷明细!$Q$2:$Q$50000,"已关闭",缺陷明细!$J$2:$J$50000,"运维测试")</f>
        <v>0</v>
      </c>
      <c r="AA28" s="72">
        <f>COUNTIFS(缺陷明细!$A$2:$A$50000,$B$4,缺陷明细!$G$2:$G$50000,$C28,缺陷明细!$J$2:$J$50000,"运维测试",缺陷明细!$K$2:$K$50000,"致命",缺陷明细!$AB$2:$AB$50000,"&lt;&gt;丢弃",缺陷明细!$AB$2:$AB$50000,"&lt;&gt;设计如此",缺陷明细!$AB$2:$AB$50000,"&lt;&gt;重复Bug")+COUNTIFS(缺陷明细!$A$2:$A$50000,$B$4,缺陷明细!$G$2:$G$50000,$C28,缺陷明细!$J$2:$J$50000,"运维测试",缺陷明细!$K$2:$K$50000,"严重",缺陷明细!$AB$2:$AB$50000,"&lt;&gt;丢弃",缺陷明细!$AB$2:$AB$50000,"&lt;&gt;设计如此",缺陷明细!$AB$2:$AB$50000,"&lt;&gt;重复Bug")</f>
        <v>0</v>
      </c>
      <c r="AB28" s="73">
        <f>COUNTIFS(缺陷明细!$A$2:$A$50000,$B$4,缺陷明细!$G$2:$G$50000,$C28,缺陷明细!$Q$2:$Q$50000,"已关闭",缺陷明细!$J$2:$J$50000,"运维测试",缺陷明细!$K$2:$K$50000,"致命")+COUNTIFS(缺陷明细!$A$2:$A$50000,$B$4,缺陷明细!$G$2:$G$50000,$C28,缺陷明细!$Q$2:$Q$50000,"已关闭",缺陷明细!$J$2:$J$50000,"运维测试",缺陷明细!$K$2:$K$50000,"严重")</f>
        <v>0</v>
      </c>
      <c r="AC28" s="68">
        <f t="shared" si="0"/>
        <v>0</v>
      </c>
      <c r="AD28" s="60">
        <f t="shared" si="0"/>
        <v>0</v>
      </c>
      <c r="AE28" s="60">
        <f t="shared" si="1"/>
        <v>0</v>
      </c>
      <c r="AF28" s="60">
        <f t="shared" si="1"/>
        <v>0</v>
      </c>
      <c r="AG28" s="60">
        <f t="shared" si="2"/>
        <v>0</v>
      </c>
      <c r="AH28" s="60">
        <f t="shared" si="2"/>
        <v>0</v>
      </c>
      <c r="AI28" s="60">
        <f t="shared" si="3"/>
        <v>0</v>
      </c>
      <c r="AJ28" s="61">
        <f t="shared" si="3"/>
        <v>0</v>
      </c>
      <c r="AK28" s="144"/>
    </row>
    <row r="29" spans="1:37">
      <c r="A29">
        <v>25</v>
      </c>
      <c r="B29" s="57"/>
      <c r="C29" s="58"/>
      <c r="D29" s="84"/>
      <c r="E29" s="82"/>
      <c r="F29" s="158"/>
      <c r="G29" s="159"/>
      <c r="H29" s="281">
        <f>COUNTIFS(缺陷明细!$A$2:$A$50000,$B$4,缺陷明细!$G$2:$G$50000,$C29,缺陷明细!$J$2:$J$50000,"评审",缺陷明细!$AB$2:$AB$50000,"&lt;&gt;丢弃",缺陷明细!$AB$2:$AB$50000,"&lt;&gt;设计如此",缺陷明细!$AB$2:$AB$50000,"&lt;&gt;重复Bug")</f>
        <v>0</v>
      </c>
      <c r="I29" s="154">
        <f>COUNTIFS(缺陷明细!$A$2:$A$50000,$B$4,缺陷明细!$G$2:$G$50000,$C29,缺陷明细!$Q$2:$Q$50000,"已关闭",缺陷明细!$J$2:$J$50000,"评审")</f>
        <v>0</v>
      </c>
      <c r="J29" s="154">
        <f>COUNTIFS(缺陷明细!$A$2:$A$50000,$B$4,缺陷明细!$G$2:$G$50000,$C29,缺陷明细!$J$2:$J$50000,"单元测试",缺陷明细!$AB$2:$AB$50000,"&lt;&gt;丢弃",缺陷明细!$AB$2:$AB$50000,"&lt;&gt;设计如此",缺陷明细!$AB$2:$AB$50000,"&lt;&gt;重复Bug")</f>
        <v>0</v>
      </c>
      <c r="K29" s="155">
        <f>COUNTIFS(缺陷明细!$A$2:$A$50000,$B$4,缺陷明细!$G$2:$G$50000,$C29,缺陷明细!$Q$2:$Q$50000,"已关闭",缺陷明细!$J$2:$J$50000,"单元测试")</f>
        <v>0</v>
      </c>
      <c r="L29" s="156"/>
      <c r="M29" s="157"/>
      <c r="N29" s="72">
        <f>COUNTIFS(缺陷明细!$A$2:$A$50000,$B$4,缺陷明细!$G$2:$G$50000,$C29,缺陷明细!$J$2:$J$50000,"系统测试案例评审",缺陷明细!$AB$2:$AB$50000,"&lt;&gt;丢弃",缺陷明细!$AB$2:$AB$50000,"&lt;&gt;设计如此",缺陷明细!$AB$2:$AB$50000,"&lt;&gt;重复Bug")</f>
        <v>0</v>
      </c>
      <c r="O29" s="72">
        <f>COUNTIFS(缺陷明细!$A$2:$A$50000,$B$4,缺陷明细!$G$2:$G$50000,$C29,缺陷明细!$Q$2:$Q$50000,"已关闭",缺陷明细!$J$2:$J$50000,"系统测试案例评审")</f>
        <v>0</v>
      </c>
      <c r="P29" s="72">
        <f>COUNTIFS(缺陷明细!$A$2:$A$50000,$B$4,缺陷明细!$G$2:$G$50000,$C29,缺陷明细!$J$2:$J$50000,"系统测试",缺陷明细!$AB$2:$AB$50000,"&lt;&gt;丢弃",缺陷明细!$AB$2:$AB$50000,"&lt;&gt;设计如此",缺陷明细!$AB$2:$AB$50000,"&lt;&gt;重复Bug")</f>
        <v>0</v>
      </c>
      <c r="Q29" s="72">
        <f>COUNTIFS(缺陷明细!$A$2:$A$50000,$B$4,缺陷明细!$G$2:$G$50000,$C29,缺陷明细!$Q$2:$Q$50000,"已关闭",缺陷明细!$J$2:$J$50000,"系统测试")</f>
        <v>0</v>
      </c>
      <c r="R29" s="296">
        <f>COUNTIFS(缺陷明细!$A$2:$A$50000,$B$4,缺陷明细!$G$2:$G$50000,$C29,缺陷明细!$AB$2:$AB$50000,"丢弃",缺陷明细!$J$2:$J$50000,"系统测试")+COUNTIFS(缺陷明细!$A$2:$A$50000,$B$4,缺陷明细!$G$2:$G$50000,$C29,缺陷明细!$AB$2:$AB$50000,"设计如此",缺陷明细!$J$2:$J$50000,"系统测试")+COUNTIFS(缺陷明细!$A$2:$A$50000,$B$4,缺陷明细!$G$2:$G$50000,$C29,缺陷明细!$AB$2:$AB$50000,"重复Bug",缺陷明细!$J$2:$J$50000,"系统测试")</f>
        <v>0</v>
      </c>
      <c r="S29" s="72">
        <f>COUNTIFS(缺陷明细!$A$2:$A$50000,$B$4,缺陷明细!$G$2:$G$50000,$C29,缺陷明细!$J$2:$J$50000,"系统测试",缺陷明细!$K$2:$K$50000,"致命",缺陷明细!$AB$2:$AB$50000,"&lt;&gt;丢弃",缺陷明细!$AB$2:$AB$50000,"&lt;&gt;设计如此",缺陷明细!$AB$2:$AB$50000,"&lt;&gt;重复Bug")+COUNTIFS(缺陷明细!$A$2:$A$50000,$B$4,缺陷明细!$G$2:$G$50000,$C29,缺陷明细!$J$2:$J$50000,"系统测试",缺陷明细!$K$2:$K$50000,"严重",缺陷明细!$AB$2:$AB$50000,"&lt;&gt;丢弃",缺陷明细!$AB$2:$AB$50000,"&lt;&gt;设计如此",缺陷明细!$AB$2:$AB$50000,"&lt;&gt;重复Bug")</f>
        <v>0</v>
      </c>
      <c r="T29" s="73">
        <f>COUNTIFS(缺陷明细!$A$2:$A$50000,$B$4,缺陷明细!$G$2:$G$50000,$C29,缺陷明细!$Q$2:$Q$50000,"已关闭",缺陷明细!$J$2:$J$50000,"系统测试",缺陷明细!$K$2:$K$50000,"致命")+COUNTIFS(缺陷明细!$A$2:$A$50000,$B$4,缺陷明细!$G$2:$G$50000,$C29,缺陷明细!$Q$2:$Q$50000,"已关闭",缺陷明细!$J$2:$J$50000,"系统测试",缺陷明细!$K$2:$K$50000,"严重")</f>
        <v>0</v>
      </c>
      <c r="U29" s="74">
        <f>COUNTIFS(缺陷明细!$A$2:$A$50000,$B$4,缺陷明细!$G$2:$G$50000,$C29,缺陷明细!$J$2:$J$50000,"验收测试",缺陷明细!$AB$2:$AB$50000,"&lt;&gt;丢弃",缺陷明细!$AB$2:$AB$50000,"&lt;&gt;设计如此",缺陷明细!$AB$2:$AB$50000,"&lt;&gt;重复Bug")</f>
        <v>0</v>
      </c>
      <c r="V29" s="75">
        <f>COUNTIFS(缺陷明细!$A$2:$A$50000,$B$4,缺陷明细!$G$2:$G$50000,$C29,缺陷明细!$Q$2:$Q$50000,"已关闭",缺陷明细!$J$2:$J$50000,"验收测试")</f>
        <v>0</v>
      </c>
      <c r="W29" s="75">
        <f>COUNTIFS(缺陷明细!$A$2:$A$50000,$B$4,缺陷明细!$G$2:$G$50000,$C29,缺陷明细!$J$2:$J$50000,"验收测试",缺陷明细!$K$2:$K$50000,"致命",缺陷明细!$AB$2:$AB$50000,"&lt;&gt;丢弃",缺陷明细!$AB$2:$AB$50000,"&lt;&gt;设计如此",缺陷明细!$AB$2:$AB$50000,"&lt;&gt;重复Bug")+COUNTIFS(缺陷明细!$A$2:$A$50000,$B$4,缺陷明细!$G$2:$G$50000,$C29,缺陷明细!$J$2:$J$50000,"验收测试",缺陷明细!$K$2:$K$50000,"严重",缺陷明细!$AB$2:$AB$50000,"&lt;&gt;丢弃",缺陷明细!$AB$2:$AB$50000,"&lt;&gt;设计如此",缺陷明细!$AB$2:$AB$50000,"&lt;&gt;重复Bug")</f>
        <v>0</v>
      </c>
      <c r="X29" s="76">
        <f>COUNTIFS(缺陷明细!$A$2:$A$50000,$B$4,缺陷明细!$G$2:$G$50000,$C29,缺陷明细!$Q$2:$Q$50000,"已关闭",缺陷明细!$J$2:$J$50000,"验收测试",缺陷明细!$K$2:$K$50000,"致命")+COUNTIFS(缺陷明细!$A$2:$A$50000,$B$4,缺陷明细!$G$2:$G$50000,$C29,缺陷明细!$Q$2:$Q$50000,"已关闭",缺陷明细!$J$2:$J$50000,"验收测试",缺陷明细!$K$2:$K$50000,"严重")</f>
        <v>0</v>
      </c>
      <c r="Y29" s="70">
        <f>COUNTIFS(缺陷明细!$A$2:$A$50000,$B$4,缺陷明细!$G$2:$G$50000,$C29,缺陷明细!$J$2:$J$50000,"运维测试",缺陷明细!$AB$2:$AB$50000,"&lt;&gt;丢弃",缺陷明细!$AB$2:$AB$50000,"&lt;&gt;设计如此",缺陷明细!$AB$2:$AB$50000,"&lt;&gt;重复Bug")</f>
        <v>0</v>
      </c>
      <c r="Z29" s="71">
        <f>COUNTIFS(缺陷明细!$A$2:$A$50000,$B$4,缺陷明细!$G$2:$G$50000,$C29,缺陷明细!$Q$2:$Q$50000,"已关闭",缺陷明细!$J$2:$J$50000,"运维测试")</f>
        <v>0</v>
      </c>
      <c r="AA29" s="72">
        <f>COUNTIFS(缺陷明细!$A$2:$A$50000,$B$4,缺陷明细!$G$2:$G$50000,$C29,缺陷明细!$J$2:$J$50000,"运维测试",缺陷明细!$K$2:$K$50000,"致命",缺陷明细!$AB$2:$AB$50000,"&lt;&gt;丢弃",缺陷明细!$AB$2:$AB$50000,"&lt;&gt;设计如此",缺陷明细!$AB$2:$AB$50000,"&lt;&gt;重复Bug")+COUNTIFS(缺陷明细!$A$2:$A$50000,$B$4,缺陷明细!$G$2:$G$50000,$C29,缺陷明细!$J$2:$J$50000,"运维测试",缺陷明细!$K$2:$K$50000,"严重",缺陷明细!$AB$2:$AB$50000,"&lt;&gt;丢弃",缺陷明细!$AB$2:$AB$50000,"&lt;&gt;设计如此",缺陷明细!$AB$2:$AB$50000,"&lt;&gt;重复Bug")</f>
        <v>0</v>
      </c>
      <c r="AB29" s="73">
        <f>COUNTIFS(缺陷明细!$A$2:$A$50000,$B$4,缺陷明细!$G$2:$G$50000,$C29,缺陷明细!$Q$2:$Q$50000,"已关闭",缺陷明细!$J$2:$J$50000,"运维测试",缺陷明细!$K$2:$K$50000,"致命")+COUNTIFS(缺陷明细!$A$2:$A$50000,$B$4,缺陷明细!$G$2:$G$50000,$C29,缺陷明细!$Q$2:$Q$50000,"已关闭",缺陷明细!$J$2:$J$50000,"运维测试",缺陷明细!$K$2:$K$50000,"严重")</f>
        <v>0</v>
      </c>
      <c r="AC29" s="68">
        <f t="shared" si="0"/>
        <v>0</v>
      </c>
      <c r="AD29" s="60">
        <f t="shared" si="0"/>
        <v>0</v>
      </c>
      <c r="AE29" s="60">
        <f t="shared" si="1"/>
        <v>0</v>
      </c>
      <c r="AF29" s="60">
        <f t="shared" si="1"/>
        <v>0</v>
      </c>
      <c r="AG29" s="60">
        <f t="shared" si="2"/>
        <v>0</v>
      </c>
      <c r="AH29" s="60">
        <f t="shared" si="2"/>
        <v>0</v>
      </c>
      <c r="AI29" s="60">
        <f t="shared" si="3"/>
        <v>0</v>
      </c>
      <c r="AJ29" s="61">
        <f t="shared" si="3"/>
        <v>0</v>
      </c>
      <c r="AK29" s="144"/>
    </row>
    <row r="30" spans="1:37">
      <c r="A30">
        <v>26</v>
      </c>
      <c r="B30" s="57"/>
      <c r="C30" s="58"/>
      <c r="D30" s="84"/>
      <c r="E30" s="82"/>
      <c r="F30" s="158"/>
      <c r="G30" s="159"/>
      <c r="H30" s="281">
        <f>COUNTIFS(缺陷明细!$A$2:$A$50000,$B$4,缺陷明细!$G$2:$G$50000,$C30,缺陷明细!$J$2:$J$50000,"评审",缺陷明细!$AB$2:$AB$50000,"&lt;&gt;丢弃",缺陷明细!$AB$2:$AB$50000,"&lt;&gt;设计如此",缺陷明细!$AB$2:$AB$50000,"&lt;&gt;重复Bug")</f>
        <v>0</v>
      </c>
      <c r="I30" s="154">
        <f>COUNTIFS(缺陷明细!$A$2:$A$50000,$B$4,缺陷明细!$G$2:$G$50000,$C30,缺陷明细!$Q$2:$Q$50000,"已关闭",缺陷明细!$J$2:$J$50000,"评审")</f>
        <v>0</v>
      </c>
      <c r="J30" s="154">
        <f>COUNTIFS(缺陷明细!$A$2:$A$50000,$B$4,缺陷明细!$G$2:$G$50000,$C30,缺陷明细!$J$2:$J$50000,"单元测试",缺陷明细!$AB$2:$AB$50000,"&lt;&gt;丢弃",缺陷明细!$AB$2:$AB$50000,"&lt;&gt;设计如此",缺陷明细!$AB$2:$AB$50000,"&lt;&gt;重复Bug")</f>
        <v>0</v>
      </c>
      <c r="K30" s="155">
        <f>COUNTIFS(缺陷明细!$A$2:$A$50000,$B$4,缺陷明细!$G$2:$G$50000,$C30,缺陷明细!$Q$2:$Q$50000,"已关闭",缺陷明细!$J$2:$J$50000,"单元测试")</f>
        <v>0</v>
      </c>
      <c r="L30" s="156"/>
      <c r="M30" s="157"/>
      <c r="N30" s="72">
        <f>COUNTIFS(缺陷明细!$A$2:$A$50000,$B$4,缺陷明细!$G$2:$G$50000,$C30,缺陷明细!$J$2:$J$50000,"系统测试案例评审",缺陷明细!$AB$2:$AB$50000,"&lt;&gt;丢弃",缺陷明细!$AB$2:$AB$50000,"&lt;&gt;设计如此",缺陷明细!$AB$2:$AB$50000,"&lt;&gt;重复Bug")</f>
        <v>0</v>
      </c>
      <c r="O30" s="72">
        <f>COUNTIFS(缺陷明细!$A$2:$A$50000,$B$4,缺陷明细!$G$2:$G$50000,$C30,缺陷明细!$Q$2:$Q$50000,"已关闭",缺陷明细!$J$2:$J$50000,"系统测试案例评审")</f>
        <v>0</v>
      </c>
      <c r="P30" s="72">
        <f>COUNTIFS(缺陷明细!$A$2:$A$50000,$B$4,缺陷明细!$G$2:$G$50000,$C30,缺陷明细!$J$2:$J$50000,"系统测试",缺陷明细!$AB$2:$AB$50000,"&lt;&gt;丢弃",缺陷明细!$AB$2:$AB$50000,"&lt;&gt;设计如此",缺陷明细!$AB$2:$AB$50000,"&lt;&gt;重复Bug")</f>
        <v>0</v>
      </c>
      <c r="Q30" s="72">
        <f>COUNTIFS(缺陷明细!$A$2:$A$50000,$B$4,缺陷明细!$G$2:$G$50000,$C30,缺陷明细!$Q$2:$Q$50000,"已关闭",缺陷明细!$J$2:$J$50000,"系统测试")</f>
        <v>0</v>
      </c>
      <c r="R30" s="296">
        <f>COUNTIFS(缺陷明细!$A$2:$A$50000,$B$4,缺陷明细!$G$2:$G$50000,$C30,缺陷明细!$AB$2:$AB$50000,"丢弃",缺陷明细!$J$2:$J$50000,"系统测试")+COUNTIFS(缺陷明细!$A$2:$A$50000,$B$4,缺陷明细!$G$2:$G$50000,$C30,缺陷明细!$AB$2:$AB$50000,"设计如此",缺陷明细!$J$2:$J$50000,"系统测试")+COUNTIFS(缺陷明细!$A$2:$A$50000,$B$4,缺陷明细!$G$2:$G$50000,$C30,缺陷明细!$AB$2:$AB$50000,"重复Bug",缺陷明细!$J$2:$J$50000,"系统测试")</f>
        <v>0</v>
      </c>
      <c r="S30" s="72">
        <f>COUNTIFS(缺陷明细!$A$2:$A$50000,$B$4,缺陷明细!$G$2:$G$50000,$C30,缺陷明细!$J$2:$J$50000,"系统测试",缺陷明细!$K$2:$K$50000,"致命",缺陷明细!$AB$2:$AB$50000,"&lt;&gt;丢弃",缺陷明细!$AB$2:$AB$50000,"&lt;&gt;设计如此",缺陷明细!$AB$2:$AB$50000,"&lt;&gt;重复Bug")+COUNTIFS(缺陷明细!$A$2:$A$50000,$B$4,缺陷明细!$G$2:$G$50000,$C30,缺陷明细!$J$2:$J$50000,"系统测试",缺陷明细!$K$2:$K$50000,"严重",缺陷明细!$AB$2:$AB$50000,"&lt;&gt;丢弃",缺陷明细!$AB$2:$AB$50000,"&lt;&gt;设计如此",缺陷明细!$AB$2:$AB$50000,"&lt;&gt;重复Bug")</f>
        <v>0</v>
      </c>
      <c r="T30" s="73">
        <f>COUNTIFS(缺陷明细!$A$2:$A$50000,$B$4,缺陷明细!$G$2:$G$50000,$C30,缺陷明细!$Q$2:$Q$50000,"已关闭",缺陷明细!$J$2:$J$50000,"系统测试",缺陷明细!$K$2:$K$50000,"致命")+COUNTIFS(缺陷明细!$A$2:$A$50000,$B$4,缺陷明细!$G$2:$G$50000,$C30,缺陷明细!$Q$2:$Q$50000,"已关闭",缺陷明细!$J$2:$J$50000,"系统测试",缺陷明细!$K$2:$K$50000,"严重")</f>
        <v>0</v>
      </c>
      <c r="U30" s="74">
        <f>COUNTIFS(缺陷明细!$A$2:$A$50000,$B$4,缺陷明细!$G$2:$G$50000,$C30,缺陷明细!$J$2:$J$50000,"验收测试",缺陷明细!$AB$2:$AB$50000,"&lt;&gt;丢弃",缺陷明细!$AB$2:$AB$50000,"&lt;&gt;设计如此",缺陷明细!$AB$2:$AB$50000,"&lt;&gt;重复Bug")</f>
        <v>0</v>
      </c>
      <c r="V30" s="75">
        <f>COUNTIFS(缺陷明细!$A$2:$A$50000,$B$4,缺陷明细!$G$2:$G$50000,$C30,缺陷明细!$Q$2:$Q$50000,"已关闭",缺陷明细!$J$2:$J$50000,"验收测试")</f>
        <v>0</v>
      </c>
      <c r="W30" s="75">
        <f>COUNTIFS(缺陷明细!$A$2:$A$50000,$B$4,缺陷明细!$G$2:$G$50000,$C30,缺陷明细!$J$2:$J$50000,"验收测试",缺陷明细!$K$2:$K$50000,"致命",缺陷明细!$AB$2:$AB$50000,"&lt;&gt;丢弃",缺陷明细!$AB$2:$AB$50000,"&lt;&gt;设计如此",缺陷明细!$AB$2:$AB$50000,"&lt;&gt;重复Bug")+COUNTIFS(缺陷明细!$A$2:$A$50000,$B$4,缺陷明细!$G$2:$G$50000,$C30,缺陷明细!$J$2:$J$50000,"验收测试",缺陷明细!$K$2:$K$50000,"严重",缺陷明细!$AB$2:$AB$50000,"&lt;&gt;丢弃",缺陷明细!$AB$2:$AB$50000,"&lt;&gt;设计如此",缺陷明细!$AB$2:$AB$50000,"&lt;&gt;重复Bug")</f>
        <v>0</v>
      </c>
      <c r="X30" s="76">
        <f>COUNTIFS(缺陷明细!$A$2:$A$50000,$B$4,缺陷明细!$G$2:$G$50000,$C30,缺陷明细!$Q$2:$Q$50000,"已关闭",缺陷明细!$J$2:$J$50000,"验收测试",缺陷明细!$K$2:$K$50000,"致命")+COUNTIFS(缺陷明细!$A$2:$A$50000,$B$4,缺陷明细!$G$2:$G$50000,$C30,缺陷明细!$Q$2:$Q$50000,"已关闭",缺陷明细!$J$2:$J$50000,"验收测试",缺陷明细!$K$2:$K$50000,"严重")</f>
        <v>0</v>
      </c>
      <c r="Y30" s="70">
        <f>COUNTIFS(缺陷明细!$A$2:$A$50000,$B$4,缺陷明细!$G$2:$G$50000,$C30,缺陷明细!$J$2:$J$50000,"运维测试",缺陷明细!$AB$2:$AB$50000,"&lt;&gt;丢弃",缺陷明细!$AB$2:$AB$50000,"&lt;&gt;设计如此",缺陷明细!$AB$2:$AB$50000,"&lt;&gt;重复Bug")</f>
        <v>0</v>
      </c>
      <c r="Z30" s="71">
        <f>COUNTIFS(缺陷明细!$A$2:$A$50000,$B$4,缺陷明细!$G$2:$G$50000,$C30,缺陷明细!$Q$2:$Q$50000,"已关闭",缺陷明细!$J$2:$J$50000,"运维测试")</f>
        <v>0</v>
      </c>
      <c r="AA30" s="72">
        <f>COUNTIFS(缺陷明细!$A$2:$A$50000,$B$4,缺陷明细!$G$2:$G$50000,$C30,缺陷明细!$J$2:$J$50000,"运维测试",缺陷明细!$K$2:$K$50000,"致命",缺陷明细!$AB$2:$AB$50000,"&lt;&gt;丢弃",缺陷明细!$AB$2:$AB$50000,"&lt;&gt;设计如此",缺陷明细!$AB$2:$AB$50000,"&lt;&gt;重复Bug")+COUNTIFS(缺陷明细!$A$2:$A$50000,$B$4,缺陷明细!$G$2:$G$50000,$C30,缺陷明细!$J$2:$J$50000,"运维测试",缺陷明细!$K$2:$K$50000,"严重",缺陷明细!$AB$2:$AB$50000,"&lt;&gt;丢弃",缺陷明细!$AB$2:$AB$50000,"&lt;&gt;设计如此",缺陷明细!$AB$2:$AB$50000,"&lt;&gt;重复Bug")</f>
        <v>0</v>
      </c>
      <c r="AB30" s="73">
        <f>COUNTIFS(缺陷明细!$A$2:$A$50000,$B$4,缺陷明细!$G$2:$G$50000,$C30,缺陷明细!$Q$2:$Q$50000,"已关闭",缺陷明细!$J$2:$J$50000,"运维测试",缺陷明细!$K$2:$K$50000,"致命")+COUNTIFS(缺陷明细!$A$2:$A$50000,$B$4,缺陷明细!$G$2:$G$50000,$C30,缺陷明细!$Q$2:$Q$50000,"已关闭",缺陷明细!$J$2:$J$50000,"运维测试",缺陷明细!$K$2:$K$50000,"严重")</f>
        <v>0</v>
      </c>
      <c r="AC30" s="68">
        <f t="shared" si="0"/>
        <v>0</v>
      </c>
      <c r="AD30" s="60">
        <f t="shared" si="0"/>
        <v>0</v>
      </c>
      <c r="AE30" s="60">
        <f t="shared" si="1"/>
        <v>0</v>
      </c>
      <c r="AF30" s="60">
        <f t="shared" si="1"/>
        <v>0</v>
      </c>
      <c r="AG30" s="60">
        <f t="shared" si="2"/>
        <v>0</v>
      </c>
      <c r="AH30" s="60">
        <f t="shared" si="2"/>
        <v>0</v>
      </c>
      <c r="AI30" s="60">
        <f t="shared" si="3"/>
        <v>0</v>
      </c>
      <c r="AJ30" s="61">
        <f t="shared" si="3"/>
        <v>0</v>
      </c>
      <c r="AK30" s="144"/>
    </row>
    <row r="31" spans="1:37">
      <c r="A31">
        <v>27</v>
      </c>
      <c r="B31" s="57"/>
      <c r="C31" s="58"/>
      <c r="D31" s="84"/>
      <c r="E31" s="82"/>
      <c r="F31" s="158"/>
      <c r="G31" s="159"/>
      <c r="H31" s="281">
        <f>COUNTIFS(缺陷明细!$A$2:$A$50000,$B$4,缺陷明细!$G$2:$G$50000,$C31,缺陷明细!$J$2:$J$50000,"评审",缺陷明细!$AB$2:$AB$50000,"&lt;&gt;丢弃",缺陷明细!$AB$2:$AB$50000,"&lt;&gt;设计如此",缺陷明细!$AB$2:$AB$50000,"&lt;&gt;重复Bug")</f>
        <v>0</v>
      </c>
      <c r="I31" s="154">
        <f>COUNTIFS(缺陷明细!$A$2:$A$50000,$B$4,缺陷明细!$G$2:$G$50000,$C31,缺陷明细!$Q$2:$Q$50000,"已关闭",缺陷明细!$J$2:$J$50000,"评审")</f>
        <v>0</v>
      </c>
      <c r="J31" s="154">
        <f>COUNTIFS(缺陷明细!$A$2:$A$50000,$B$4,缺陷明细!$G$2:$G$50000,$C31,缺陷明细!$J$2:$J$50000,"单元测试",缺陷明细!$AB$2:$AB$50000,"&lt;&gt;丢弃",缺陷明细!$AB$2:$AB$50000,"&lt;&gt;设计如此",缺陷明细!$AB$2:$AB$50000,"&lt;&gt;重复Bug")</f>
        <v>0</v>
      </c>
      <c r="K31" s="155">
        <f>COUNTIFS(缺陷明细!$A$2:$A$50000,$B$4,缺陷明细!$G$2:$G$50000,$C31,缺陷明细!$Q$2:$Q$50000,"已关闭",缺陷明细!$J$2:$J$50000,"单元测试")</f>
        <v>0</v>
      </c>
      <c r="L31" s="156"/>
      <c r="M31" s="157"/>
      <c r="N31" s="72">
        <f>COUNTIFS(缺陷明细!$A$2:$A$50000,$B$4,缺陷明细!$G$2:$G$50000,$C31,缺陷明细!$J$2:$J$50000,"系统测试案例评审",缺陷明细!$AB$2:$AB$50000,"&lt;&gt;丢弃",缺陷明细!$AB$2:$AB$50000,"&lt;&gt;设计如此",缺陷明细!$AB$2:$AB$50000,"&lt;&gt;重复Bug")</f>
        <v>0</v>
      </c>
      <c r="O31" s="72">
        <f>COUNTIFS(缺陷明细!$A$2:$A$50000,$B$4,缺陷明细!$G$2:$G$50000,$C31,缺陷明细!$Q$2:$Q$50000,"已关闭",缺陷明细!$J$2:$J$50000,"系统测试案例评审")</f>
        <v>0</v>
      </c>
      <c r="P31" s="72">
        <f>COUNTIFS(缺陷明细!$A$2:$A$50000,$B$4,缺陷明细!$G$2:$G$50000,$C31,缺陷明细!$J$2:$J$50000,"系统测试",缺陷明细!$AB$2:$AB$50000,"&lt;&gt;丢弃",缺陷明细!$AB$2:$AB$50000,"&lt;&gt;设计如此",缺陷明细!$AB$2:$AB$50000,"&lt;&gt;重复Bug")</f>
        <v>0</v>
      </c>
      <c r="Q31" s="72">
        <f>COUNTIFS(缺陷明细!$A$2:$A$50000,$B$4,缺陷明细!$G$2:$G$50000,$C31,缺陷明细!$Q$2:$Q$50000,"已关闭",缺陷明细!$J$2:$J$50000,"系统测试")</f>
        <v>0</v>
      </c>
      <c r="R31" s="296">
        <f>COUNTIFS(缺陷明细!$A$2:$A$50000,$B$4,缺陷明细!$G$2:$G$50000,$C31,缺陷明细!$AB$2:$AB$50000,"丢弃",缺陷明细!$J$2:$J$50000,"系统测试")+COUNTIFS(缺陷明细!$A$2:$A$50000,$B$4,缺陷明细!$G$2:$G$50000,$C31,缺陷明细!$AB$2:$AB$50000,"设计如此",缺陷明细!$J$2:$J$50000,"系统测试")+COUNTIFS(缺陷明细!$A$2:$A$50000,$B$4,缺陷明细!$G$2:$G$50000,$C31,缺陷明细!$AB$2:$AB$50000,"重复Bug",缺陷明细!$J$2:$J$50000,"系统测试")</f>
        <v>0</v>
      </c>
      <c r="S31" s="72">
        <f>COUNTIFS(缺陷明细!$A$2:$A$50000,$B$4,缺陷明细!$G$2:$G$50000,$C31,缺陷明细!$J$2:$J$50000,"系统测试",缺陷明细!$K$2:$K$50000,"致命",缺陷明细!$AB$2:$AB$50000,"&lt;&gt;丢弃",缺陷明细!$AB$2:$AB$50000,"&lt;&gt;设计如此",缺陷明细!$AB$2:$AB$50000,"&lt;&gt;重复Bug")+COUNTIFS(缺陷明细!$A$2:$A$50000,$B$4,缺陷明细!$G$2:$G$50000,$C31,缺陷明细!$J$2:$J$50000,"系统测试",缺陷明细!$K$2:$K$50000,"严重",缺陷明细!$AB$2:$AB$50000,"&lt;&gt;丢弃",缺陷明细!$AB$2:$AB$50000,"&lt;&gt;设计如此",缺陷明细!$AB$2:$AB$50000,"&lt;&gt;重复Bug")</f>
        <v>0</v>
      </c>
      <c r="T31" s="73">
        <f>COUNTIFS(缺陷明细!$A$2:$A$50000,$B$4,缺陷明细!$G$2:$G$50000,$C31,缺陷明细!$Q$2:$Q$50000,"已关闭",缺陷明细!$J$2:$J$50000,"系统测试",缺陷明细!$K$2:$K$50000,"致命")+COUNTIFS(缺陷明细!$A$2:$A$50000,$B$4,缺陷明细!$G$2:$G$50000,$C31,缺陷明细!$Q$2:$Q$50000,"已关闭",缺陷明细!$J$2:$J$50000,"系统测试",缺陷明细!$K$2:$K$50000,"严重")</f>
        <v>0</v>
      </c>
      <c r="U31" s="74">
        <f>COUNTIFS(缺陷明细!$A$2:$A$50000,$B$4,缺陷明细!$G$2:$G$50000,$C31,缺陷明细!$J$2:$J$50000,"验收测试",缺陷明细!$AB$2:$AB$50000,"&lt;&gt;丢弃",缺陷明细!$AB$2:$AB$50000,"&lt;&gt;设计如此",缺陷明细!$AB$2:$AB$50000,"&lt;&gt;重复Bug")</f>
        <v>0</v>
      </c>
      <c r="V31" s="75">
        <f>COUNTIFS(缺陷明细!$A$2:$A$50000,$B$4,缺陷明细!$G$2:$G$50000,$C31,缺陷明细!$Q$2:$Q$50000,"已关闭",缺陷明细!$J$2:$J$50000,"验收测试")</f>
        <v>0</v>
      </c>
      <c r="W31" s="75">
        <f>COUNTIFS(缺陷明细!$A$2:$A$50000,$B$4,缺陷明细!$G$2:$G$50000,$C31,缺陷明细!$J$2:$J$50000,"验收测试",缺陷明细!$K$2:$K$50000,"致命",缺陷明细!$AB$2:$AB$50000,"&lt;&gt;丢弃",缺陷明细!$AB$2:$AB$50000,"&lt;&gt;设计如此",缺陷明细!$AB$2:$AB$50000,"&lt;&gt;重复Bug")+COUNTIFS(缺陷明细!$A$2:$A$50000,$B$4,缺陷明细!$G$2:$G$50000,$C31,缺陷明细!$J$2:$J$50000,"验收测试",缺陷明细!$K$2:$K$50000,"严重",缺陷明细!$AB$2:$AB$50000,"&lt;&gt;丢弃",缺陷明细!$AB$2:$AB$50000,"&lt;&gt;设计如此",缺陷明细!$AB$2:$AB$50000,"&lt;&gt;重复Bug")</f>
        <v>0</v>
      </c>
      <c r="X31" s="76">
        <f>COUNTIFS(缺陷明细!$A$2:$A$50000,$B$4,缺陷明细!$G$2:$G$50000,$C31,缺陷明细!$Q$2:$Q$50000,"已关闭",缺陷明细!$J$2:$J$50000,"验收测试",缺陷明细!$K$2:$K$50000,"致命")+COUNTIFS(缺陷明细!$A$2:$A$50000,$B$4,缺陷明细!$G$2:$G$50000,$C31,缺陷明细!$Q$2:$Q$50000,"已关闭",缺陷明细!$J$2:$J$50000,"验收测试",缺陷明细!$K$2:$K$50000,"严重")</f>
        <v>0</v>
      </c>
      <c r="Y31" s="70">
        <f>COUNTIFS(缺陷明细!$A$2:$A$50000,$B$4,缺陷明细!$G$2:$G$50000,$C31,缺陷明细!$J$2:$J$50000,"运维测试",缺陷明细!$AB$2:$AB$50000,"&lt;&gt;丢弃",缺陷明细!$AB$2:$AB$50000,"&lt;&gt;设计如此",缺陷明细!$AB$2:$AB$50000,"&lt;&gt;重复Bug")</f>
        <v>0</v>
      </c>
      <c r="Z31" s="71">
        <f>COUNTIFS(缺陷明细!$A$2:$A$50000,$B$4,缺陷明细!$G$2:$G$50000,$C31,缺陷明细!$Q$2:$Q$50000,"已关闭",缺陷明细!$J$2:$J$50000,"运维测试")</f>
        <v>0</v>
      </c>
      <c r="AA31" s="72">
        <f>COUNTIFS(缺陷明细!$A$2:$A$50000,$B$4,缺陷明细!$G$2:$G$50000,$C31,缺陷明细!$J$2:$J$50000,"运维测试",缺陷明细!$K$2:$K$50000,"致命",缺陷明细!$AB$2:$AB$50000,"&lt;&gt;丢弃",缺陷明细!$AB$2:$AB$50000,"&lt;&gt;设计如此",缺陷明细!$AB$2:$AB$50000,"&lt;&gt;重复Bug")+COUNTIFS(缺陷明细!$A$2:$A$50000,$B$4,缺陷明细!$G$2:$G$50000,$C31,缺陷明细!$J$2:$J$50000,"运维测试",缺陷明细!$K$2:$K$50000,"严重",缺陷明细!$AB$2:$AB$50000,"&lt;&gt;丢弃",缺陷明细!$AB$2:$AB$50000,"&lt;&gt;设计如此",缺陷明细!$AB$2:$AB$50000,"&lt;&gt;重复Bug")</f>
        <v>0</v>
      </c>
      <c r="AB31" s="73">
        <f>COUNTIFS(缺陷明细!$A$2:$A$50000,$B$4,缺陷明细!$G$2:$G$50000,$C31,缺陷明细!$Q$2:$Q$50000,"已关闭",缺陷明细!$J$2:$J$50000,"运维测试",缺陷明细!$K$2:$K$50000,"致命")+COUNTIFS(缺陷明细!$A$2:$A$50000,$B$4,缺陷明细!$G$2:$G$50000,$C31,缺陷明细!$Q$2:$Q$50000,"已关闭",缺陷明细!$J$2:$J$50000,"运维测试",缺陷明细!$K$2:$K$50000,"严重")</f>
        <v>0</v>
      </c>
      <c r="AC31" s="68">
        <f t="shared" si="0"/>
        <v>0</v>
      </c>
      <c r="AD31" s="60">
        <f t="shared" si="0"/>
        <v>0</v>
      </c>
      <c r="AE31" s="60">
        <f t="shared" si="1"/>
        <v>0</v>
      </c>
      <c r="AF31" s="60">
        <f t="shared" si="1"/>
        <v>0</v>
      </c>
      <c r="AG31" s="60">
        <f t="shared" si="2"/>
        <v>0</v>
      </c>
      <c r="AH31" s="60">
        <f t="shared" si="2"/>
        <v>0</v>
      </c>
      <c r="AI31" s="60">
        <f t="shared" si="3"/>
        <v>0</v>
      </c>
      <c r="AJ31" s="61">
        <f t="shared" si="3"/>
        <v>0</v>
      </c>
      <c r="AK31" s="144"/>
    </row>
    <row r="32" spans="1:37">
      <c r="A32">
        <v>28</v>
      </c>
      <c r="B32" s="57"/>
      <c r="C32" s="58"/>
      <c r="D32" s="84"/>
      <c r="E32" s="82"/>
      <c r="F32" s="158"/>
      <c r="G32" s="159"/>
      <c r="H32" s="281">
        <f>COUNTIFS(缺陷明细!$A$2:$A$50000,$B$4,缺陷明细!$G$2:$G$50000,$C32,缺陷明细!$J$2:$J$50000,"评审",缺陷明细!$AB$2:$AB$50000,"&lt;&gt;丢弃",缺陷明细!$AB$2:$AB$50000,"&lt;&gt;设计如此",缺陷明细!$AB$2:$AB$50000,"&lt;&gt;重复Bug")</f>
        <v>0</v>
      </c>
      <c r="I32" s="154">
        <f>COUNTIFS(缺陷明细!$A$2:$A$50000,$B$4,缺陷明细!$G$2:$G$50000,$C32,缺陷明细!$Q$2:$Q$50000,"已关闭",缺陷明细!$J$2:$J$50000,"评审")</f>
        <v>0</v>
      </c>
      <c r="J32" s="154">
        <f>COUNTIFS(缺陷明细!$A$2:$A$50000,$B$4,缺陷明细!$G$2:$G$50000,$C32,缺陷明细!$J$2:$J$50000,"单元测试",缺陷明细!$AB$2:$AB$50000,"&lt;&gt;丢弃",缺陷明细!$AB$2:$AB$50000,"&lt;&gt;设计如此",缺陷明细!$AB$2:$AB$50000,"&lt;&gt;重复Bug")</f>
        <v>0</v>
      </c>
      <c r="K32" s="155">
        <f>COUNTIFS(缺陷明细!$A$2:$A$50000,$B$4,缺陷明细!$G$2:$G$50000,$C32,缺陷明细!$Q$2:$Q$50000,"已关闭",缺陷明细!$J$2:$J$50000,"单元测试")</f>
        <v>0</v>
      </c>
      <c r="L32" s="156"/>
      <c r="M32" s="157"/>
      <c r="N32" s="72">
        <f>COUNTIFS(缺陷明细!$A$2:$A$50000,$B$4,缺陷明细!$G$2:$G$50000,$C32,缺陷明细!$J$2:$J$50000,"系统测试案例评审",缺陷明细!$AB$2:$AB$50000,"&lt;&gt;丢弃",缺陷明细!$AB$2:$AB$50000,"&lt;&gt;设计如此",缺陷明细!$AB$2:$AB$50000,"&lt;&gt;重复Bug")</f>
        <v>0</v>
      </c>
      <c r="O32" s="72">
        <f>COUNTIFS(缺陷明细!$A$2:$A$50000,$B$4,缺陷明细!$G$2:$G$50000,$C32,缺陷明细!$Q$2:$Q$50000,"已关闭",缺陷明细!$J$2:$J$50000,"系统测试案例评审")</f>
        <v>0</v>
      </c>
      <c r="P32" s="72">
        <f>COUNTIFS(缺陷明细!$A$2:$A$50000,$B$4,缺陷明细!$G$2:$G$50000,$C32,缺陷明细!$J$2:$J$50000,"系统测试",缺陷明细!$AB$2:$AB$50000,"&lt;&gt;丢弃",缺陷明细!$AB$2:$AB$50000,"&lt;&gt;设计如此",缺陷明细!$AB$2:$AB$50000,"&lt;&gt;重复Bug")</f>
        <v>0</v>
      </c>
      <c r="Q32" s="72">
        <f>COUNTIFS(缺陷明细!$A$2:$A$50000,$B$4,缺陷明细!$G$2:$G$50000,$C32,缺陷明细!$Q$2:$Q$50000,"已关闭",缺陷明细!$J$2:$J$50000,"系统测试")</f>
        <v>0</v>
      </c>
      <c r="R32" s="296">
        <f>COUNTIFS(缺陷明细!$A$2:$A$50000,$B$4,缺陷明细!$G$2:$G$50000,$C32,缺陷明细!$AB$2:$AB$50000,"丢弃",缺陷明细!$J$2:$J$50000,"系统测试")+COUNTIFS(缺陷明细!$A$2:$A$50000,$B$4,缺陷明细!$G$2:$G$50000,$C32,缺陷明细!$AB$2:$AB$50000,"设计如此",缺陷明细!$J$2:$J$50000,"系统测试")+COUNTIFS(缺陷明细!$A$2:$A$50000,$B$4,缺陷明细!$G$2:$G$50000,$C32,缺陷明细!$AB$2:$AB$50000,"重复Bug",缺陷明细!$J$2:$J$50000,"系统测试")</f>
        <v>0</v>
      </c>
      <c r="S32" s="72">
        <f>COUNTIFS(缺陷明细!$A$2:$A$50000,$B$4,缺陷明细!$G$2:$G$50000,$C32,缺陷明细!$J$2:$J$50000,"系统测试",缺陷明细!$K$2:$K$50000,"致命",缺陷明细!$AB$2:$AB$50000,"&lt;&gt;丢弃",缺陷明细!$AB$2:$AB$50000,"&lt;&gt;设计如此",缺陷明细!$AB$2:$AB$50000,"&lt;&gt;重复Bug")+COUNTIFS(缺陷明细!$A$2:$A$50000,$B$4,缺陷明细!$G$2:$G$50000,$C32,缺陷明细!$J$2:$J$50000,"系统测试",缺陷明细!$K$2:$K$50000,"严重",缺陷明细!$AB$2:$AB$50000,"&lt;&gt;丢弃",缺陷明细!$AB$2:$AB$50000,"&lt;&gt;设计如此",缺陷明细!$AB$2:$AB$50000,"&lt;&gt;重复Bug")</f>
        <v>0</v>
      </c>
      <c r="T32" s="73">
        <f>COUNTIFS(缺陷明细!$A$2:$A$50000,$B$4,缺陷明细!$G$2:$G$50000,$C32,缺陷明细!$Q$2:$Q$50000,"已关闭",缺陷明细!$J$2:$J$50000,"系统测试",缺陷明细!$K$2:$K$50000,"致命")+COUNTIFS(缺陷明细!$A$2:$A$50000,$B$4,缺陷明细!$G$2:$G$50000,$C32,缺陷明细!$Q$2:$Q$50000,"已关闭",缺陷明细!$J$2:$J$50000,"系统测试",缺陷明细!$K$2:$K$50000,"严重")</f>
        <v>0</v>
      </c>
      <c r="U32" s="74">
        <f>COUNTIFS(缺陷明细!$A$2:$A$50000,$B$4,缺陷明细!$G$2:$G$50000,$C32,缺陷明细!$J$2:$J$50000,"验收测试",缺陷明细!$AB$2:$AB$50000,"&lt;&gt;丢弃",缺陷明细!$AB$2:$AB$50000,"&lt;&gt;设计如此",缺陷明细!$AB$2:$AB$50000,"&lt;&gt;重复Bug")</f>
        <v>0</v>
      </c>
      <c r="V32" s="75">
        <f>COUNTIFS(缺陷明细!$A$2:$A$50000,$B$4,缺陷明细!$G$2:$G$50000,$C32,缺陷明细!$Q$2:$Q$50000,"已关闭",缺陷明细!$J$2:$J$50000,"验收测试")</f>
        <v>0</v>
      </c>
      <c r="W32" s="75">
        <f>COUNTIFS(缺陷明细!$A$2:$A$50000,$B$4,缺陷明细!$G$2:$G$50000,$C32,缺陷明细!$J$2:$J$50000,"验收测试",缺陷明细!$K$2:$K$50000,"致命",缺陷明细!$AB$2:$AB$50000,"&lt;&gt;丢弃",缺陷明细!$AB$2:$AB$50000,"&lt;&gt;设计如此",缺陷明细!$AB$2:$AB$50000,"&lt;&gt;重复Bug")+COUNTIFS(缺陷明细!$A$2:$A$50000,$B$4,缺陷明细!$G$2:$G$50000,$C32,缺陷明细!$J$2:$J$50000,"验收测试",缺陷明细!$K$2:$K$50000,"严重",缺陷明细!$AB$2:$AB$50000,"&lt;&gt;丢弃",缺陷明细!$AB$2:$AB$50000,"&lt;&gt;设计如此",缺陷明细!$AB$2:$AB$50000,"&lt;&gt;重复Bug")</f>
        <v>0</v>
      </c>
      <c r="X32" s="76">
        <f>COUNTIFS(缺陷明细!$A$2:$A$50000,$B$4,缺陷明细!$G$2:$G$50000,$C32,缺陷明细!$Q$2:$Q$50000,"已关闭",缺陷明细!$J$2:$J$50000,"验收测试",缺陷明细!$K$2:$K$50000,"致命")+COUNTIFS(缺陷明细!$A$2:$A$50000,$B$4,缺陷明细!$G$2:$G$50000,$C32,缺陷明细!$Q$2:$Q$50000,"已关闭",缺陷明细!$J$2:$J$50000,"验收测试",缺陷明细!$K$2:$K$50000,"严重")</f>
        <v>0</v>
      </c>
      <c r="Y32" s="70">
        <f>COUNTIFS(缺陷明细!$A$2:$A$50000,$B$4,缺陷明细!$G$2:$G$50000,$C32,缺陷明细!$J$2:$J$50000,"运维测试",缺陷明细!$AB$2:$AB$50000,"&lt;&gt;丢弃",缺陷明细!$AB$2:$AB$50000,"&lt;&gt;设计如此",缺陷明细!$AB$2:$AB$50000,"&lt;&gt;重复Bug")</f>
        <v>0</v>
      </c>
      <c r="Z32" s="71">
        <f>COUNTIFS(缺陷明细!$A$2:$A$50000,$B$4,缺陷明细!$G$2:$G$50000,$C32,缺陷明细!$Q$2:$Q$50000,"已关闭",缺陷明细!$J$2:$J$50000,"运维测试")</f>
        <v>0</v>
      </c>
      <c r="AA32" s="72">
        <f>COUNTIFS(缺陷明细!$A$2:$A$50000,$B$4,缺陷明细!$G$2:$G$50000,$C32,缺陷明细!$J$2:$J$50000,"运维测试",缺陷明细!$K$2:$K$50000,"致命",缺陷明细!$AB$2:$AB$50000,"&lt;&gt;丢弃",缺陷明细!$AB$2:$AB$50000,"&lt;&gt;设计如此",缺陷明细!$AB$2:$AB$50000,"&lt;&gt;重复Bug")+COUNTIFS(缺陷明细!$A$2:$A$50000,$B$4,缺陷明细!$G$2:$G$50000,$C32,缺陷明细!$J$2:$J$50000,"运维测试",缺陷明细!$K$2:$K$50000,"严重",缺陷明细!$AB$2:$AB$50000,"&lt;&gt;丢弃",缺陷明细!$AB$2:$AB$50000,"&lt;&gt;设计如此",缺陷明细!$AB$2:$AB$50000,"&lt;&gt;重复Bug")</f>
        <v>0</v>
      </c>
      <c r="AB32" s="73">
        <f>COUNTIFS(缺陷明细!$A$2:$A$50000,$B$4,缺陷明细!$G$2:$G$50000,$C32,缺陷明细!$Q$2:$Q$50000,"已关闭",缺陷明细!$J$2:$J$50000,"运维测试",缺陷明细!$K$2:$K$50000,"致命")+COUNTIFS(缺陷明细!$A$2:$A$50000,$B$4,缺陷明细!$G$2:$G$50000,$C32,缺陷明细!$Q$2:$Q$50000,"已关闭",缺陷明细!$J$2:$J$50000,"运维测试",缺陷明细!$K$2:$K$50000,"严重")</f>
        <v>0</v>
      </c>
      <c r="AC32" s="68">
        <f t="shared" si="0"/>
        <v>0</v>
      </c>
      <c r="AD32" s="60">
        <f t="shared" si="0"/>
        <v>0</v>
      </c>
      <c r="AE32" s="60">
        <f t="shared" si="1"/>
        <v>0</v>
      </c>
      <c r="AF32" s="60">
        <f t="shared" si="1"/>
        <v>0</v>
      </c>
      <c r="AG32" s="60">
        <f t="shared" si="2"/>
        <v>0</v>
      </c>
      <c r="AH32" s="60">
        <f t="shared" si="2"/>
        <v>0</v>
      </c>
      <c r="AI32" s="60">
        <f t="shared" si="3"/>
        <v>0</v>
      </c>
      <c r="AJ32" s="61">
        <f t="shared" si="3"/>
        <v>0</v>
      </c>
      <c r="AK32" s="144"/>
    </row>
    <row r="33" spans="1:37">
      <c r="A33">
        <v>29</v>
      </c>
      <c r="B33" s="57"/>
      <c r="C33" s="58"/>
      <c r="D33" s="84"/>
      <c r="E33" s="82"/>
      <c r="F33" s="158"/>
      <c r="G33" s="159"/>
      <c r="H33" s="281">
        <f>COUNTIFS(缺陷明细!$A$2:$A$50000,$B$4,缺陷明细!$G$2:$G$50000,$C33,缺陷明细!$J$2:$J$50000,"评审",缺陷明细!$AB$2:$AB$50000,"&lt;&gt;丢弃",缺陷明细!$AB$2:$AB$50000,"&lt;&gt;设计如此",缺陷明细!$AB$2:$AB$50000,"&lt;&gt;重复Bug")</f>
        <v>0</v>
      </c>
      <c r="I33" s="154">
        <f>COUNTIFS(缺陷明细!$A$2:$A$50000,$B$4,缺陷明细!$G$2:$G$50000,$C33,缺陷明细!$Q$2:$Q$50000,"已关闭",缺陷明细!$J$2:$J$50000,"评审")</f>
        <v>0</v>
      </c>
      <c r="J33" s="154">
        <f>COUNTIFS(缺陷明细!$A$2:$A$50000,$B$4,缺陷明细!$G$2:$G$50000,$C33,缺陷明细!$J$2:$J$50000,"单元测试",缺陷明细!$AB$2:$AB$50000,"&lt;&gt;丢弃",缺陷明细!$AB$2:$AB$50000,"&lt;&gt;设计如此",缺陷明细!$AB$2:$AB$50000,"&lt;&gt;重复Bug")</f>
        <v>0</v>
      </c>
      <c r="K33" s="155">
        <f>COUNTIFS(缺陷明细!$A$2:$A$50000,$B$4,缺陷明细!$G$2:$G$50000,$C33,缺陷明细!$Q$2:$Q$50000,"已关闭",缺陷明细!$J$2:$J$50000,"单元测试")</f>
        <v>0</v>
      </c>
      <c r="L33" s="156"/>
      <c r="M33" s="157"/>
      <c r="N33" s="72">
        <f>COUNTIFS(缺陷明细!$A$2:$A$50000,$B$4,缺陷明细!$G$2:$G$50000,$C33,缺陷明细!$J$2:$J$50000,"系统测试案例评审",缺陷明细!$AB$2:$AB$50000,"&lt;&gt;丢弃",缺陷明细!$AB$2:$AB$50000,"&lt;&gt;设计如此",缺陷明细!$AB$2:$AB$50000,"&lt;&gt;重复Bug")</f>
        <v>0</v>
      </c>
      <c r="O33" s="72">
        <f>COUNTIFS(缺陷明细!$A$2:$A$50000,$B$4,缺陷明细!$G$2:$G$50000,$C33,缺陷明细!$Q$2:$Q$50000,"已关闭",缺陷明细!$J$2:$J$50000,"系统测试案例评审")</f>
        <v>0</v>
      </c>
      <c r="P33" s="72">
        <f>COUNTIFS(缺陷明细!$A$2:$A$50000,$B$4,缺陷明细!$G$2:$G$50000,$C33,缺陷明细!$J$2:$J$50000,"系统测试",缺陷明细!$AB$2:$AB$50000,"&lt;&gt;丢弃",缺陷明细!$AB$2:$AB$50000,"&lt;&gt;设计如此",缺陷明细!$AB$2:$AB$50000,"&lt;&gt;重复Bug")</f>
        <v>0</v>
      </c>
      <c r="Q33" s="72">
        <f>COUNTIFS(缺陷明细!$A$2:$A$50000,$B$4,缺陷明细!$G$2:$G$50000,$C33,缺陷明细!$Q$2:$Q$50000,"已关闭",缺陷明细!$J$2:$J$50000,"系统测试")</f>
        <v>0</v>
      </c>
      <c r="R33" s="296">
        <f>COUNTIFS(缺陷明细!$A$2:$A$50000,$B$4,缺陷明细!$G$2:$G$50000,$C33,缺陷明细!$AB$2:$AB$50000,"丢弃",缺陷明细!$J$2:$J$50000,"系统测试")+COUNTIFS(缺陷明细!$A$2:$A$50000,$B$4,缺陷明细!$G$2:$G$50000,$C33,缺陷明细!$AB$2:$AB$50000,"设计如此",缺陷明细!$J$2:$J$50000,"系统测试")+COUNTIFS(缺陷明细!$A$2:$A$50000,$B$4,缺陷明细!$G$2:$G$50000,$C33,缺陷明细!$AB$2:$AB$50000,"重复Bug",缺陷明细!$J$2:$J$50000,"系统测试")</f>
        <v>0</v>
      </c>
      <c r="S33" s="72">
        <f>COUNTIFS(缺陷明细!$A$2:$A$50000,$B$4,缺陷明细!$G$2:$G$50000,$C33,缺陷明细!$J$2:$J$50000,"系统测试",缺陷明细!$K$2:$K$50000,"致命",缺陷明细!$AB$2:$AB$50000,"&lt;&gt;丢弃",缺陷明细!$AB$2:$AB$50000,"&lt;&gt;设计如此",缺陷明细!$AB$2:$AB$50000,"&lt;&gt;重复Bug")+COUNTIFS(缺陷明细!$A$2:$A$50000,$B$4,缺陷明细!$G$2:$G$50000,$C33,缺陷明细!$J$2:$J$50000,"系统测试",缺陷明细!$K$2:$K$50000,"严重",缺陷明细!$AB$2:$AB$50000,"&lt;&gt;丢弃",缺陷明细!$AB$2:$AB$50000,"&lt;&gt;设计如此",缺陷明细!$AB$2:$AB$50000,"&lt;&gt;重复Bug")</f>
        <v>0</v>
      </c>
      <c r="T33" s="73">
        <f>COUNTIFS(缺陷明细!$A$2:$A$50000,$B$4,缺陷明细!$G$2:$G$50000,$C33,缺陷明细!$Q$2:$Q$50000,"已关闭",缺陷明细!$J$2:$J$50000,"系统测试",缺陷明细!$K$2:$K$50000,"致命")+COUNTIFS(缺陷明细!$A$2:$A$50000,$B$4,缺陷明细!$G$2:$G$50000,$C33,缺陷明细!$Q$2:$Q$50000,"已关闭",缺陷明细!$J$2:$J$50000,"系统测试",缺陷明细!$K$2:$K$50000,"严重")</f>
        <v>0</v>
      </c>
      <c r="U33" s="74">
        <f>COUNTIFS(缺陷明细!$A$2:$A$50000,$B$4,缺陷明细!$G$2:$G$50000,$C33,缺陷明细!$J$2:$J$50000,"验收测试",缺陷明细!$AB$2:$AB$50000,"&lt;&gt;丢弃",缺陷明细!$AB$2:$AB$50000,"&lt;&gt;设计如此",缺陷明细!$AB$2:$AB$50000,"&lt;&gt;重复Bug")</f>
        <v>0</v>
      </c>
      <c r="V33" s="75">
        <f>COUNTIFS(缺陷明细!$A$2:$A$50000,$B$4,缺陷明细!$G$2:$G$50000,$C33,缺陷明细!$Q$2:$Q$50000,"已关闭",缺陷明细!$J$2:$J$50000,"验收测试")</f>
        <v>0</v>
      </c>
      <c r="W33" s="75">
        <f>COUNTIFS(缺陷明细!$A$2:$A$50000,$B$4,缺陷明细!$G$2:$G$50000,$C33,缺陷明细!$J$2:$J$50000,"验收测试",缺陷明细!$K$2:$K$50000,"致命",缺陷明细!$AB$2:$AB$50000,"&lt;&gt;丢弃",缺陷明细!$AB$2:$AB$50000,"&lt;&gt;设计如此",缺陷明细!$AB$2:$AB$50000,"&lt;&gt;重复Bug")+COUNTIFS(缺陷明细!$A$2:$A$50000,$B$4,缺陷明细!$G$2:$G$50000,$C33,缺陷明细!$J$2:$J$50000,"验收测试",缺陷明细!$K$2:$K$50000,"严重",缺陷明细!$AB$2:$AB$50000,"&lt;&gt;丢弃",缺陷明细!$AB$2:$AB$50000,"&lt;&gt;设计如此",缺陷明细!$AB$2:$AB$50000,"&lt;&gt;重复Bug")</f>
        <v>0</v>
      </c>
      <c r="X33" s="76">
        <f>COUNTIFS(缺陷明细!$A$2:$A$50000,$B$4,缺陷明细!$G$2:$G$50000,$C33,缺陷明细!$Q$2:$Q$50000,"已关闭",缺陷明细!$J$2:$J$50000,"验收测试",缺陷明细!$K$2:$K$50000,"致命")+COUNTIFS(缺陷明细!$A$2:$A$50000,$B$4,缺陷明细!$G$2:$G$50000,$C33,缺陷明细!$Q$2:$Q$50000,"已关闭",缺陷明细!$J$2:$J$50000,"验收测试",缺陷明细!$K$2:$K$50000,"严重")</f>
        <v>0</v>
      </c>
      <c r="Y33" s="70">
        <f>COUNTIFS(缺陷明细!$A$2:$A$50000,$B$4,缺陷明细!$G$2:$G$50000,$C33,缺陷明细!$J$2:$J$50000,"运维测试",缺陷明细!$AB$2:$AB$50000,"&lt;&gt;丢弃",缺陷明细!$AB$2:$AB$50000,"&lt;&gt;设计如此",缺陷明细!$AB$2:$AB$50000,"&lt;&gt;重复Bug")</f>
        <v>0</v>
      </c>
      <c r="Z33" s="71">
        <f>COUNTIFS(缺陷明细!$A$2:$A$50000,$B$4,缺陷明细!$G$2:$G$50000,$C33,缺陷明细!$Q$2:$Q$50000,"已关闭",缺陷明细!$J$2:$J$50000,"运维测试")</f>
        <v>0</v>
      </c>
      <c r="AA33" s="72">
        <f>COUNTIFS(缺陷明细!$A$2:$A$50000,$B$4,缺陷明细!$G$2:$G$50000,$C33,缺陷明细!$J$2:$J$50000,"运维测试",缺陷明细!$K$2:$K$50000,"致命",缺陷明细!$AB$2:$AB$50000,"&lt;&gt;丢弃",缺陷明细!$AB$2:$AB$50000,"&lt;&gt;设计如此",缺陷明细!$AB$2:$AB$50000,"&lt;&gt;重复Bug")+COUNTIFS(缺陷明细!$A$2:$A$50000,$B$4,缺陷明细!$G$2:$G$50000,$C33,缺陷明细!$J$2:$J$50000,"运维测试",缺陷明细!$K$2:$K$50000,"严重",缺陷明细!$AB$2:$AB$50000,"&lt;&gt;丢弃",缺陷明细!$AB$2:$AB$50000,"&lt;&gt;设计如此",缺陷明细!$AB$2:$AB$50000,"&lt;&gt;重复Bug")</f>
        <v>0</v>
      </c>
      <c r="AB33" s="73">
        <f>COUNTIFS(缺陷明细!$A$2:$A$50000,$B$4,缺陷明细!$G$2:$G$50000,$C33,缺陷明细!$Q$2:$Q$50000,"已关闭",缺陷明细!$J$2:$J$50000,"运维测试",缺陷明细!$K$2:$K$50000,"致命")+COUNTIFS(缺陷明细!$A$2:$A$50000,$B$4,缺陷明细!$G$2:$G$50000,$C33,缺陷明细!$Q$2:$Q$50000,"已关闭",缺陷明细!$J$2:$J$50000,"运维测试",缺陷明细!$K$2:$K$50000,"严重")</f>
        <v>0</v>
      </c>
      <c r="AC33" s="68">
        <f t="shared" si="0"/>
        <v>0</v>
      </c>
      <c r="AD33" s="60">
        <f t="shared" si="0"/>
        <v>0</v>
      </c>
      <c r="AE33" s="60">
        <f t="shared" si="1"/>
        <v>0</v>
      </c>
      <c r="AF33" s="60">
        <f t="shared" si="1"/>
        <v>0</v>
      </c>
      <c r="AG33" s="60">
        <f t="shared" si="2"/>
        <v>0</v>
      </c>
      <c r="AH33" s="60">
        <f t="shared" si="2"/>
        <v>0</v>
      </c>
      <c r="AI33" s="60">
        <f t="shared" si="3"/>
        <v>0</v>
      </c>
      <c r="AJ33" s="61">
        <f t="shared" si="3"/>
        <v>0</v>
      </c>
      <c r="AK33" s="144"/>
    </row>
    <row r="34" spans="1:37">
      <c r="A34">
        <v>30</v>
      </c>
      <c r="B34" s="57"/>
      <c r="C34" s="58"/>
      <c r="D34" s="84"/>
      <c r="E34" s="82"/>
      <c r="F34" s="158"/>
      <c r="G34" s="159"/>
      <c r="H34" s="281">
        <f>COUNTIFS(缺陷明细!$A$2:$A$50000,$B$4,缺陷明细!$G$2:$G$50000,$C34,缺陷明细!$J$2:$J$50000,"评审",缺陷明细!$AB$2:$AB$50000,"&lt;&gt;丢弃",缺陷明细!$AB$2:$AB$50000,"&lt;&gt;设计如此",缺陷明细!$AB$2:$AB$50000,"&lt;&gt;重复Bug")</f>
        <v>0</v>
      </c>
      <c r="I34" s="154">
        <f>COUNTIFS(缺陷明细!$A$2:$A$50000,$B$4,缺陷明细!$G$2:$G$50000,$C34,缺陷明细!$Q$2:$Q$50000,"已关闭",缺陷明细!$J$2:$J$50000,"评审")</f>
        <v>0</v>
      </c>
      <c r="J34" s="154">
        <f>COUNTIFS(缺陷明细!$A$2:$A$50000,$B$4,缺陷明细!$G$2:$G$50000,$C34,缺陷明细!$J$2:$J$50000,"单元测试",缺陷明细!$AB$2:$AB$50000,"&lt;&gt;丢弃",缺陷明细!$AB$2:$AB$50000,"&lt;&gt;设计如此",缺陷明细!$AB$2:$AB$50000,"&lt;&gt;重复Bug")</f>
        <v>0</v>
      </c>
      <c r="K34" s="155">
        <f>COUNTIFS(缺陷明细!$A$2:$A$50000,$B$4,缺陷明细!$G$2:$G$50000,$C34,缺陷明细!$Q$2:$Q$50000,"已关闭",缺陷明细!$J$2:$J$50000,"单元测试")</f>
        <v>0</v>
      </c>
      <c r="L34" s="156"/>
      <c r="M34" s="157"/>
      <c r="N34" s="72">
        <f>COUNTIFS(缺陷明细!$A$2:$A$50000,$B$4,缺陷明细!$G$2:$G$50000,$C34,缺陷明细!$J$2:$J$50000,"系统测试案例评审",缺陷明细!$AB$2:$AB$50000,"&lt;&gt;丢弃",缺陷明细!$AB$2:$AB$50000,"&lt;&gt;设计如此",缺陷明细!$AB$2:$AB$50000,"&lt;&gt;重复Bug")</f>
        <v>0</v>
      </c>
      <c r="O34" s="72">
        <f>COUNTIFS(缺陷明细!$A$2:$A$50000,$B$4,缺陷明细!$G$2:$G$50000,$C34,缺陷明细!$Q$2:$Q$50000,"已关闭",缺陷明细!$J$2:$J$50000,"系统测试案例评审")</f>
        <v>0</v>
      </c>
      <c r="P34" s="72">
        <f>COUNTIFS(缺陷明细!$A$2:$A$50000,$B$4,缺陷明细!$G$2:$G$50000,$C34,缺陷明细!$J$2:$J$50000,"系统测试",缺陷明细!$AB$2:$AB$50000,"&lt;&gt;丢弃",缺陷明细!$AB$2:$AB$50000,"&lt;&gt;设计如此",缺陷明细!$AB$2:$AB$50000,"&lt;&gt;重复Bug")</f>
        <v>0</v>
      </c>
      <c r="Q34" s="72">
        <f>COUNTIFS(缺陷明细!$A$2:$A$50000,$B$4,缺陷明细!$G$2:$G$50000,$C34,缺陷明细!$Q$2:$Q$50000,"已关闭",缺陷明细!$J$2:$J$50000,"系统测试")</f>
        <v>0</v>
      </c>
      <c r="R34" s="296">
        <f>COUNTIFS(缺陷明细!$A$2:$A$50000,$B$4,缺陷明细!$G$2:$G$50000,$C34,缺陷明细!$AB$2:$AB$50000,"丢弃",缺陷明细!$J$2:$J$50000,"系统测试")+COUNTIFS(缺陷明细!$A$2:$A$50000,$B$4,缺陷明细!$G$2:$G$50000,$C34,缺陷明细!$AB$2:$AB$50000,"设计如此",缺陷明细!$J$2:$J$50000,"系统测试")+COUNTIFS(缺陷明细!$A$2:$A$50000,$B$4,缺陷明细!$G$2:$G$50000,$C34,缺陷明细!$AB$2:$AB$50000,"重复Bug",缺陷明细!$J$2:$J$50000,"系统测试")</f>
        <v>0</v>
      </c>
      <c r="S34" s="72">
        <f>COUNTIFS(缺陷明细!$A$2:$A$50000,$B$4,缺陷明细!$G$2:$G$50000,$C34,缺陷明细!$J$2:$J$50000,"系统测试",缺陷明细!$K$2:$K$50000,"致命",缺陷明细!$AB$2:$AB$50000,"&lt;&gt;丢弃",缺陷明细!$AB$2:$AB$50000,"&lt;&gt;设计如此",缺陷明细!$AB$2:$AB$50000,"&lt;&gt;重复Bug")+COUNTIFS(缺陷明细!$A$2:$A$50000,$B$4,缺陷明细!$G$2:$G$50000,$C34,缺陷明细!$J$2:$J$50000,"系统测试",缺陷明细!$K$2:$K$50000,"严重",缺陷明细!$AB$2:$AB$50000,"&lt;&gt;丢弃",缺陷明细!$AB$2:$AB$50000,"&lt;&gt;设计如此",缺陷明细!$AB$2:$AB$50000,"&lt;&gt;重复Bug")</f>
        <v>0</v>
      </c>
      <c r="T34" s="73">
        <f>COUNTIFS(缺陷明细!$A$2:$A$50000,$B$4,缺陷明细!$G$2:$G$50000,$C34,缺陷明细!$Q$2:$Q$50000,"已关闭",缺陷明细!$J$2:$J$50000,"系统测试",缺陷明细!$K$2:$K$50000,"致命")+COUNTIFS(缺陷明细!$A$2:$A$50000,$B$4,缺陷明细!$G$2:$G$50000,$C34,缺陷明细!$Q$2:$Q$50000,"已关闭",缺陷明细!$J$2:$J$50000,"系统测试",缺陷明细!$K$2:$K$50000,"严重")</f>
        <v>0</v>
      </c>
      <c r="U34" s="74">
        <f>COUNTIFS(缺陷明细!$A$2:$A$50000,$B$4,缺陷明细!$G$2:$G$50000,$C34,缺陷明细!$J$2:$J$50000,"验收测试",缺陷明细!$AB$2:$AB$50000,"&lt;&gt;丢弃",缺陷明细!$AB$2:$AB$50000,"&lt;&gt;设计如此",缺陷明细!$AB$2:$AB$50000,"&lt;&gt;重复Bug")</f>
        <v>0</v>
      </c>
      <c r="V34" s="75">
        <f>COUNTIFS(缺陷明细!$A$2:$A$50000,$B$4,缺陷明细!$G$2:$G$50000,$C34,缺陷明细!$Q$2:$Q$50000,"已关闭",缺陷明细!$J$2:$J$50000,"验收测试")</f>
        <v>0</v>
      </c>
      <c r="W34" s="75">
        <f>COUNTIFS(缺陷明细!$A$2:$A$50000,$B$4,缺陷明细!$G$2:$G$50000,$C34,缺陷明细!$J$2:$J$50000,"验收测试",缺陷明细!$K$2:$K$50000,"致命",缺陷明细!$AB$2:$AB$50000,"&lt;&gt;丢弃",缺陷明细!$AB$2:$AB$50000,"&lt;&gt;设计如此",缺陷明细!$AB$2:$AB$50000,"&lt;&gt;重复Bug")+COUNTIFS(缺陷明细!$A$2:$A$50000,$B$4,缺陷明细!$G$2:$G$50000,$C34,缺陷明细!$J$2:$J$50000,"验收测试",缺陷明细!$K$2:$K$50000,"严重",缺陷明细!$AB$2:$AB$50000,"&lt;&gt;丢弃",缺陷明细!$AB$2:$AB$50000,"&lt;&gt;设计如此",缺陷明细!$AB$2:$AB$50000,"&lt;&gt;重复Bug")</f>
        <v>0</v>
      </c>
      <c r="X34" s="76">
        <f>COUNTIFS(缺陷明细!$A$2:$A$50000,$B$4,缺陷明细!$G$2:$G$50000,$C34,缺陷明细!$Q$2:$Q$50000,"已关闭",缺陷明细!$J$2:$J$50000,"验收测试",缺陷明细!$K$2:$K$50000,"致命")+COUNTIFS(缺陷明细!$A$2:$A$50000,$B$4,缺陷明细!$G$2:$G$50000,$C34,缺陷明细!$Q$2:$Q$50000,"已关闭",缺陷明细!$J$2:$J$50000,"验收测试",缺陷明细!$K$2:$K$50000,"严重")</f>
        <v>0</v>
      </c>
      <c r="Y34" s="70">
        <f>COUNTIFS(缺陷明细!$A$2:$A$50000,$B$4,缺陷明细!$G$2:$G$50000,$C34,缺陷明细!$J$2:$J$50000,"运维测试",缺陷明细!$AB$2:$AB$50000,"&lt;&gt;丢弃",缺陷明细!$AB$2:$AB$50000,"&lt;&gt;设计如此",缺陷明细!$AB$2:$AB$50000,"&lt;&gt;重复Bug")</f>
        <v>0</v>
      </c>
      <c r="Z34" s="71">
        <f>COUNTIFS(缺陷明细!$A$2:$A$50000,$B$4,缺陷明细!$G$2:$G$50000,$C34,缺陷明细!$Q$2:$Q$50000,"已关闭",缺陷明细!$J$2:$J$50000,"运维测试")</f>
        <v>0</v>
      </c>
      <c r="AA34" s="72">
        <f>COUNTIFS(缺陷明细!$A$2:$A$50000,$B$4,缺陷明细!$G$2:$G$50000,$C34,缺陷明细!$J$2:$J$50000,"运维测试",缺陷明细!$K$2:$K$50000,"致命",缺陷明细!$AB$2:$AB$50000,"&lt;&gt;丢弃",缺陷明细!$AB$2:$AB$50000,"&lt;&gt;设计如此",缺陷明细!$AB$2:$AB$50000,"&lt;&gt;重复Bug")+COUNTIFS(缺陷明细!$A$2:$A$50000,$B$4,缺陷明细!$G$2:$G$50000,$C34,缺陷明细!$J$2:$J$50000,"运维测试",缺陷明细!$K$2:$K$50000,"严重",缺陷明细!$AB$2:$AB$50000,"&lt;&gt;丢弃",缺陷明细!$AB$2:$AB$50000,"&lt;&gt;设计如此",缺陷明细!$AB$2:$AB$50000,"&lt;&gt;重复Bug")</f>
        <v>0</v>
      </c>
      <c r="AB34" s="73">
        <f>COUNTIFS(缺陷明细!$A$2:$A$50000,$B$4,缺陷明细!$G$2:$G$50000,$C34,缺陷明细!$Q$2:$Q$50000,"已关闭",缺陷明细!$J$2:$J$50000,"运维测试",缺陷明细!$K$2:$K$50000,"致命")+COUNTIFS(缺陷明细!$A$2:$A$50000,$B$4,缺陷明细!$G$2:$G$50000,$C34,缺陷明细!$Q$2:$Q$50000,"已关闭",缺陷明细!$J$2:$J$50000,"运维测试",缺陷明细!$K$2:$K$50000,"严重")</f>
        <v>0</v>
      </c>
      <c r="AC34" s="68">
        <f t="shared" si="0"/>
        <v>0</v>
      </c>
      <c r="AD34" s="60">
        <f t="shared" si="0"/>
        <v>0</v>
      </c>
      <c r="AE34" s="60">
        <f t="shared" si="1"/>
        <v>0</v>
      </c>
      <c r="AF34" s="60">
        <f t="shared" si="1"/>
        <v>0</v>
      </c>
      <c r="AG34" s="60">
        <f t="shared" si="2"/>
        <v>0</v>
      </c>
      <c r="AH34" s="60">
        <f t="shared" si="2"/>
        <v>0</v>
      </c>
      <c r="AI34" s="60">
        <f t="shared" si="3"/>
        <v>0</v>
      </c>
      <c r="AJ34" s="61">
        <f t="shared" si="3"/>
        <v>0</v>
      </c>
      <c r="AK34" s="144"/>
    </row>
    <row r="35" spans="1:37">
      <c r="A35">
        <v>31</v>
      </c>
      <c r="B35" s="57"/>
      <c r="C35" s="58"/>
      <c r="D35" s="84"/>
      <c r="E35" s="82"/>
      <c r="F35" s="158"/>
      <c r="G35" s="159"/>
      <c r="H35" s="281">
        <f>COUNTIFS(缺陷明细!$A$2:$A$50000,$B$4,缺陷明细!$G$2:$G$50000,$C35,缺陷明细!$J$2:$J$50000,"评审",缺陷明细!$AB$2:$AB$50000,"&lt;&gt;丢弃",缺陷明细!$AB$2:$AB$50000,"&lt;&gt;设计如此",缺陷明细!$AB$2:$AB$50000,"&lt;&gt;重复Bug")</f>
        <v>0</v>
      </c>
      <c r="I35" s="154">
        <f>COUNTIFS(缺陷明细!$A$2:$A$50000,$B$4,缺陷明细!$G$2:$G$50000,$C35,缺陷明细!$Q$2:$Q$50000,"已关闭",缺陷明细!$J$2:$J$50000,"评审")</f>
        <v>0</v>
      </c>
      <c r="J35" s="154">
        <f>COUNTIFS(缺陷明细!$A$2:$A$50000,$B$4,缺陷明细!$G$2:$G$50000,$C35,缺陷明细!$J$2:$J$50000,"单元测试",缺陷明细!$AB$2:$AB$50000,"&lt;&gt;丢弃",缺陷明细!$AB$2:$AB$50000,"&lt;&gt;设计如此",缺陷明细!$AB$2:$AB$50000,"&lt;&gt;重复Bug")</f>
        <v>0</v>
      </c>
      <c r="K35" s="155">
        <f>COUNTIFS(缺陷明细!$A$2:$A$50000,$B$4,缺陷明细!$G$2:$G$50000,$C35,缺陷明细!$Q$2:$Q$50000,"已关闭",缺陷明细!$J$2:$J$50000,"单元测试")</f>
        <v>0</v>
      </c>
      <c r="L35" s="156"/>
      <c r="M35" s="157"/>
      <c r="N35" s="72">
        <f>COUNTIFS(缺陷明细!$A$2:$A$50000,$B$4,缺陷明细!$G$2:$G$50000,$C35,缺陷明细!$J$2:$J$50000,"系统测试案例评审",缺陷明细!$AB$2:$AB$50000,"&lt;&gt;丢弃",缺陷明细!$AB$2:$AB$50000,"&lt;&gt;设计如此",缺陷明细!$AB$2:$AB$50000,"&lt;&gt;重复Bug")</f>
        <v>0</v>
      </c>
      <c r="O35" s="72">
        <f>COUNTIFS(缺陷明细!$A$2:$A$50000,$B$4,缺陷明细!$G$2:$G$50000,$C35,缺陷明细!$Q$2:$Q$50000,"已关闭",缺陷明细!$J$2:$J$50000,"系统测试案例评审")</f>
        <v>0</v>
      </c>
      <c r="P35" s="72">
        <f>COUNTIFS(缺陷明细!$A$2:$A$50000,$B$4,缺陷明细!$G$2:$G$50000,$C35,缺陷明细!$J$2:$J$50000,"系统测试",缺陷明细!$AB$2:$AB$50000,"&lt;&gt;丢弃",缺陷明细!$AB$2:$AB$50000,"&lt;&gt;设计如此",缺陷明细!$AB$2:$AB$50000,"&lt;&gt;重复Bug")</f>
        <v>0</v>
      </c>
      <c r="Q35" s="72">
        <f>COUNTIFS(缺陷明细!$A$2:$A$50000,$B$4,缺陷明细!$G$2:$G$50000,$C35,缺陷明细!$Q$2:$Q$50000,"已关闭",缺陷明细!$J$2:$J$50000,"系统测试")</f>
        <v>0</v>
      </c>
      <c r="R35" s="296">
        <f>COUNTIFS(缺陷明细!$A$2:$A$50000,$B$4,缺陷明细!$G$2:$G$50000,$C35,缺陷明细!$AB$2:$AB$50000,"丢弃",缺陷明细!$J$2:$J$50000,"系统测试")+COUNTIFS(缺陷明细!$A$2:$A$50000,$B$4,缺陷明细!$G$2:$G$50000,$C35,缺陷明细!$AB$2:$AB$50000,"设计如此",缺陷明细!$J$2:$J$50000,"系统测试")+COUNTIFS(缺陷明细!$A$2:$A$50000,$B$4,缺陷明细!$G$2:$G$50000,$C35,缺陷明细!$AB$2:$AB$50000,"重复Bug",缺陷明细!$J$2:$J$50000,"系统测试")</f>
        <v>0</v>
      </c>
      <c r="S35" s="72">
        <f>COUNTIFS(缺陷明细!$A$2:$A$50000,$B$4,缺陷明细!$G$2:$G$50000,$C35,缺陷明细!$J$2:$J$50000,"系统测试",缺陷明细!$K$2:$K$50000,"致命",缺陷明细!$AB$2:$AB$50000,"&lt;&gt;丢弃",缺陷明细!$AB$2:$AB$50000,"&lt;&gt;设计如此",缺陷明细!$AB$2:$AB$50000,"&lt;&gt;重复Bug")+COUNTIFS(缺陷明细!$A$2:$A$50000,$B$4,缺陷明细!$G$2:$G$50000,$C35,缺陷明细!$J$2:$J$50000,"系统测试",缺陷明细!$K$2:$K$50000,"严重",缺陷明细!$AB$2:$AB$50000,"&lt;&gt;丢弃",缺陷明细!$AB$2:$AB$50000,"&lt;&gt;设计如此",缺陷明细!$AB$2:$AB$50000,"&lt;&gt;重复Bug")</f>
        <v>0</v>
      </c>
      <c r="T35" s="73">
        <f>COUNTIFS(缺陷明细!$A$2:$A$50000,$B$4,缺陷明细!$G$2:$G$50000,$C35,缺陷明细!$Q$2:$Q$50000,"已关闭",缺陷明细!$J$2:$J$50000,"系统测试",缺陷明细!$K$2:$K$50000,"致命")+COUNTIFS(缺陷明细!$A$2:$A$50000,$B$4,缺陷明细!$G$2:$G$50000,$C35,缺陷明细!$Q$2:$Q$50000,"已关闭",缺陷明细!$J$2:$J$50000,"系统测试",缺陷明细!$K$2:$K$50000,"严重")</f>
        <v>0</v>
      </c>
      <c r="U35" s="74">
        <f>COUNTIFS(缺陷明细!$A$2:$A$50000,$B$4,缺陷明细!$G$2:$G$50000,$C35,缺陷明细!$J$2:$J$50000,"验收测试",缺陷明细!$AB$2:$AB$50000,"&lt;&gt;丢弃",缺陷明细!$AB$2:$AB$50000,"&lt;&gt;设计如此",缺陷明细!$AB$2:$AB$50000,"&lt;&gt;重复Bug")</f>
        <v>0</v>
      </c>
      <c r="V35" s="75">
        <f>COUNTIFS(缺陷明细!$A$2:$A$50000,$B$4,缺陷明细!$G$2:$G$50000,$C35,缺陷明细!$Q$2:$Q$50000,"已关闭",缺陷明细!$J$2:$J$50000,"验收测试")</f>
        <v>0</v>
      </c>
      <c r="W35" s="75">
        <f>COUNTIFS(缺陷明细!$A$2:$A$50000,$B$4,缺陷明细!$G$2:$G$50000,$C35,缺陷明细!$J$2:$J$50000,"验收测试",缺陷明细!$K$2:$K$50000,"致命",缺陷明细!$AB$2:$AB$50000,"&lt;&gt;丢弃",缺陷明细!$AB$2:$AB$50000,"&lt;&gt;设计如此",缺陷明细!$AB$2:$AB$50000,"&lt;&gt;重复Bug")+COUNTIFS(缺陷明细!$A$2:$A$50000,$B$4,缺陷明细!$G$2:$G$50000,$C35,缺陷明细!$J$2:$J$50000,"验收测试",缺陷明细!$K$2:$K$50000,"严重",缺陷明细!$AB$2:$AB$50000,"&lt;&gt;丢弃",缺陷明细!$AB$2:$AB$50000,"&lt;&gt;设计如此",缺陷明细!$AB$2:$AB$50000,"&lt;&gt;重复Bug")</f>
        <v>0</v>
      </c>
      <c r="X35" s="76">
        <f>COUNTIFS(缺陷明细!$A$2:$A$50000,$B$4,缺陷明细!$G$2:$G$50000,$C35,缺陷明细!$Q$2:$Q$50000,"已关闭",缺陷明细!$J$2:$J$50000,"验收测试",缺陷明细!$K$2:$K$50000,"致命")+COUNTIFS(缺陷明细!$A$2:$A$50000,$B$4,缺陷明细!$G$2:$G$50000,$C35,缺陷明细!$Q$2:$Q$50000,"已关闭",缺陷明细!$J$2:$J$50000,"验收测试",缺陷明细!$K$2:$K$50000,"严重")</f>
        <v>0</v>
      </c>
      <c r="Y35" s="70">
        <f>COUNTIFS(缺陷明细!$A$2:$A$50000,$B$4,缺陷明细!$G$2:$G$50000,$C35,缺陷明细!$J$2:$J$50000,"运维测试",缺陷明细!$AB$2:$AB$50000,"&lt;&gt;丢弃",缺陷明细!$AB$2:$AB$50000,"&lt;&gt;设计如此",缺陷明细!$AB$2:$AB$50000,"&lt;&gt;重复Bug")</f>
        <v>0</v>
      </c>
      <c r="Z35" s="71">
        <f>COUNTIFS(缺陷明细!$A$2:$A$50000,$B$4,缺陷明细!$G$2:$G$50000,$C35,缺陷明细!$Q$2:$Q$50000,"已关闭",缺陷明细!$J$2:$J$50000,"运维测试")</f>
        <v>0</v>
      </c>
      <c r="AA35" s="72">
        <f>COUNTIFS(缺陷明细!$A$2:$A$50000,$B$4,缺陷明细!$G$2:$G$50000,$C35,缺陷明细!$J$2:$J$50000,"运维测试",缺陷明细!$K$2:$K$50000,"致命",缺陷明细!$AB$2:$AB$50000,"&lt;&gt;丢弃",缺陷明细!$AB$2:$AB$50000,"&lt;&gt;设计如此",缺陷明细!$AB$2:$AB$50000,"&lt;&gt;重复Bug")+COUNTIFS(缺陷明细!$A$2:$A$50000,$B$4,缺陷明细!$G$2:$G$50000,$C35,缺陷明细!$J$2:$J$50000,"运维测试",缺陷明细!$K$2:$K$50000,"严重",缺陷明细!$AB$2:$AB$50000,"&lt;&gt;丢弃",缺陷明细!$AB$2:$AB$50000,"&lt;&gt;设计如此",缺陷明细!$AB$2:$AB$50000,"&lt;&gt;重复Bug")</f>
        <v>0</v>
      </c>
      <c r="AB35" s="73">
        <f>COUNTIFS(缺陷明细!$A$2:$A$50000,$B$4,缺陷明细!$G$2:$G$50000,$C35,缺陷明细!$Q$2:$Q$50000,"已关闭",缺陷明细!$J$2:$J$50000,"运维测试",缺陷明细!$K$2:$K$50000,"致命")+COUNTIFS(缺陷明细!$A$2:$A$50000,$B$4,缺陷明细!$G$2:$G$50000,$C35,缺陷明细!$Q$2:$Q$50000,"已关闭",缺陷明细!$J$2:$J$50000,"运维测试",缺陷明细!$K$2:$K$50000,"严重")</f>
        <v>0</v>
      </c>
      <c r="AC35" s="68">
        <f t="shared" si="0"/>
        <v>0</v>
      </c>
      <c r="AD35" s="60">
        <f t="shared" si="0"/>
        <v>0</v>
      </c>
      <c r="AE35" s="60">
        <f t="shared" si="1"/>
        <v>0</v>
      </c>
      <c r="AF35" s="60">
        <f t="shared" si="1"/>
        <v>0</v>
      </c>
      <c r="AG35" s="60">
        <f t="shared" si="2"/>
        <v>0</v>
      </c>
      <c r="AH35" s="60">
        <f t="shared" si="2"/>
        <v>0</v>
      </c>
      <c r="AI35" s="60">
        <f t="shared" si="3"/>
        <v>0</v>
      </c>
      <c r="AJ35" s="61">
        <f t="shared" si="3"/>
        <v>0</v>
      </c>
      <c r="AK35" s="144"/>
    </row>
    <row r="36" spans="1:37">
      <c r="A36">
        <v>32</v>
      </c>
      <c r="B36" s="57"/>
      <c r="C36" s="58"/>
      <c r="D36" s="84"/>
      <c r="E36" s="82"/>
      <c r="F36" s="158"/>
      <c r="G36" s="159"/>
      <c r="H36" s="281">
        <f>COUNTIFS(缺陷明细!$A$2:$A$50000,$B$4,缺陷明细!$G$2:$G$50000,$C36,缺陷明细!$J$2:$J$50000,"评审",缺陷明细!$AB$2:$AB$50000,"&lt;&gt;丢弃",缺陷明细!$AB$2:$AB$50000,"&lt;&gt;设计如此",缺陷明细!$AB$2:$AB$50000,"&lt;&gt;重复Bug")</f>
        <v>0</v>
      </c>
      <c r="I36" s="154">
        <f>COUNTIFS(缺陷明细!$A$2:$A$50000,$B$4,缺陷明细!$G$2:$G$50000,$C36,缺陷明细!$Q$2:$Q$50000,"已关闭",缺陷明细!$J$2:$J$50000,"评审")</f>
        <v>0</v>
      </c>
      <c r="J36" s="154">
        <f>COUNTIFS(缺陷明细!$A$2:$A$50000,$B$4,缺陷明细!$G$2:$G$50000,$C36,缺陷明细!$J$2:$J$50000,"单元测试",缺陷明细!$AB$2:$AB$50000,"&lt;&gt;丢弃",缺陷明细!$AB$2:$AB$50000,"&lt;&gt;设计如此",缺陷明细!$AB$2:$AB$50000,"&lt;&gt;重复Bug")</f>
        <v>0</v>
      </c>
      <c r="K36" s="155">
        <f>COUNTIFS(缺陷明细!$A$2:$A$50000,$B$4,缺陷明细!$G$2:$G$50000,$C36,缺陷明细!$Q$2:$Q$50000,"已关闭",缺陷明细!$J$2:$J$50000,"单元测试")</f>
        <v>0</v>
      </c>
      <c r="L36" s="156"/>
      <c r="M36" s="157"/>
      <c r="N36" s="72">
        <f>COUNTIFS(缺陷明细!$A$2:$A$50000,$B$4,缺陷明细!$G$2:$G$50000,$C36,缺陷明细!$J$2:$J$50000,"系统测试案例评审",缺陷明细!$AB$2:$AB$50000,"&lt;&gt;丢弃",缺陷明细!$AB$2:$AB$50000,"&lt;&gt;设计如此",缺陷明细!$AB$2:$AB$50000,"&lt;&gt;重复Bug")</f>
        <v>0</v>
      </c>
      <c r="O36" s="72">
        <f>COUNTIFS(缺陷明细!$A$2:$A$50000,$B$4,缺陷明细!$G$2:$G$50000,$C36,缺陷明细!$Q$2:$Q$50000,"已关闭",缺陷明细!$J$2:$J$50000,"系统测试案例评审")</f>
        <v>0</v>
      </c>
      <c r="P36" s="72">
        <f>COUNTIFS(缺陷明细!$A$2:$A$50000,$B$4,缺陷明细!$G$2:$G$50000,$C36,缺陷明细!$J$2:$J$50000,"系统测试",缺陷明细!$AB$2:$AB$50000,"&lt;&gt;丢弃",缺陷明细!$AB$2:$AB$50000,"&lt;&gt;设计如此",缺陷明细!$AB$2:$AB$50000,"&lt;&gt;重复Bug")</f>
        <v>0</v>
      </c>
      <c r="Q36" s="72">
        <f>COUNTIFS(缺陷明细!$A$2:$A$50000,$B$4,缺陷明细!$G$2:$G$50000,$C36,缺陷明细!$Q$2:$Q$50000,"已关闭",缺陷明细!$J$2:$J$50000,"系统测试")</f>
        <v>0</v>
      </c>
      <c r="R36" s="296">
        <f>COUNTIFS(缺陷明细!$A$2:$A$50000,$B$4,缺陷明细!$G$2:$G$50000,$C36,缺陷明细!$AB$2:$AB$50000,"丢弃",缺陷明细!$J$2:$J$50000,"系统测试")+COUNTIFS(缺陷明细!$A$2:$A$50000,$B$4,缺陷明细!$G$2:$G$50000,$C36,缺陷明细!$AB$2:$AB$50000,"设计如此",缺陷明细!$J$2:$J$50000,"系统测试")+COUNTIFS(缺陷明细!$A$2:$A$50000,$B$4,缺陷明细!$G$2:$G$50000,$C36,缺陷明细!$AB$2:$AB$50000,"重复Bug",缺陷明细!$J$2:$J$50000,"系统测试")</f>
        <v>0</v>
      </c>
      <c r="S36" s="72">
        <f>COUNTIFS(缺陷明细!$A$2:$A$50000,$B$4,缺陷明细!$G$2:$G$50000,$C36,缺陷明细!$J$2:$J$50000,"系统测试",缺陷明细!$K$2:$K$50000,"致命",缺陷明细!$AB$2:$AB$50000,"&lt;&gt;丢弃",缺陷明细!$AB$2:$AB$50000,"&lt;&gt;设计如此",缺陷明细!$AB$2:$AB$50000,"&lt;&gt;重复Bug")+COUNTIFS(缺陷明细!$A$2:$A$50000,$B$4,缺陷明细!$G$2:$G$50000,$C36,缺陷明细!$J$2:$J$50000,"系统测试",缺陷明细!$K$2:$K$50000,"严重",缺陷明细!$AB$2:$AB$50000,"&lt;&gt;丢弃",缺陷明细!$AB$2:$AB$50000,"&lt;&gt;设计如此",缺陷明细!$AB$2:$AB$50000,"&lt;&gt;重复Bug")</f>
        <v>0</v>
      </c>
      <c r="T36" s="73">
        <f>COUNTIFS(缺陷明细!$A$2:$A$50000,$B$4,缺陷明细!$G$2:$G$50000,$C36,缺陷明细!$Q$2:$Q$50000,"已关闭",缺陷明细!$J$2:$J$50000,"系统测试",缺陷明细!$K$2:$K$50000,"致命")+COUNTIFS(缺陷明细!$A$2:$A$50000,$B$4,缺陷明细!$G$2:$G$50000,$C36,缺陷明细!$Q$2:$Q$50000,"已关闭",缺陷明细!$J$2:$J$50000,"系统测试",缺陷明细!$K$2:$K$50000,"严重")</f>
        <v>0</v>
      </c>
      <c r="U36" s="74">
        <f>COUNTIFS(缺陷明细!$A$2:$A$50000,$B$4,缺陷明细!$G$2:$G$50000,$C36,缺陷明细!$J$2:$J$50000,"验收测试",缺陷明细!$AB$2:$AB$50000,"&lt;&gt;丢弃",缺陷明细!$AB$2:$AB$50000,"&lt;&gt;设计如此",缺陷明细!$AB$2:$AB$50000,"&lt;&gt;重复Bug")</f>
        <v>0</v>
      </c>
      <c r="V36" s="75">
        <f>COUNTIFS(缺陷明细!$A$2:$A$50000,$B$4,缺陷明细!$G$2:$G$50000,$C36,缺陷明细!$Q$2:$Q$50000,"已关闭",缺陷明细!$J$2:$J$50000,"验收测试")</f>
        <v>0</v>
      </c>
      <c r="W36" s="75">
        <f>COUNTIFS(缺陷明细!$A$2:$A$50000,$B$4,缺陷明细!$G$2:$G$50000,$C36,缺陷明细!$J$2:$J$50000,"验收测试",缺陷明细!$K$2:$K$50000,"致命",缺陷明细!$AB$2:$AB$50000,"&lt;&gt;丢弃",缺陷明细!$AB$2:$AB$50000,"&lt;&gt;设计如此",缺陷明细!$AB$2:$AB$50000,"&lt;&gt;重复Bug")+COUNTIFS(缺陷明细!$A$2:$A$50000,$B$4,缺陷明细!$G$2:$G$50000,$C36,缺陷明细!$J$2:$J$50000,"验收测试",缺陷明细!$K$2:$K$50000,"严重",缺陷明细!$AB$2:$AB$50000,"&lt;&gt;丢弃",缺陷明细!$AB$2:$AB$50000,"&lt;&gt;设计如此",缺陷明细!$AB$2:$AB$50000,"&lt;&gt;重复Bug")</f>
        <v>0</v>
      </c>
      <c r="X36" s="76">
        <f>COUNTIFS(缺陷明细!$A$2:$A$50000,$B$4,缺陷明细!$G$2:$G$50000,$C36,缺陷明细!$Q$2:$Q$50000,"已关闭",缺陷明细!$J$2:$J$50000,"验收测试",缺陷明细!$K$2:$K$50000,"致命")+COUNTIFS(缺陷明细!$A$2:$A$50000,$B$4,缺陷明细!$G$2:$G$50000,$C36,缺陷明细!$Q$2:$Q$50000,"已关闭",缺陷明细!$J$2:$J$50000,"验收测试",缺陷明细!$K$2:$K$50000,"严重")</f>
        <v>0</v>
      </c>
      <c r="Y36" s="70">
        <f>COUNTIFS(缺陷明细!$A$2:$A$50000,$B$4,缺陷明细!$G$2:$G$50000,$C36,缺陷明细!$J$2:$J$50000,"运维测试",缺陷明细!$AB$2:$AB$50000,"&lt;&gt;丢弃",缺陷明细!$AB$2:$AB$50000,"&lt;&gt;设计如此",缺陷明细!$AB$2:$AB$50000,"&lt;&gt;重复Bug")</f>
        <v>0</v>
      </c>
      <c r="Z36" s="71">
        <f>COUNTIFS(缺陷明细!$A$2:$A$50000,$B$4,缺陷明细!$G$2:$G$50000,$C36,缺陷明细!$Q$2:$Q$50000,"已关闭",缺陷明细!$J$2:$J$50000,"运维测试")</f>
        <v>0</v>
      </c>
      <c r="AA36" s="72">
        <f>COUNTIFS(缺陷明细!$A$2:$A$50000,$B$4,缺陷明细!$G$2:$G$50000,$C36,缺陷明细!$J$2:$J$50000,"运维测试",缺陷明细!$K$2:$K$50000,"致命",缺陷明细!$AB$2:$AB$50000,"&lt;&gt;丢弃",缺陷明细!$AB$2:$AB$50000,"&lt;&gt;设计如此",缺陷明细!$AB$2:$AB$50000,"&lt;&gt;重复Bug")+COUNTIFS(缺陷明细!$A$2:$A$50000,$B$4,缺陷明细!$G$2:$G$50000,$C36,缺陷明细!$J$2:$J$50000,"运维测试",缺陷明细!$K$2:$K$50000,"严重",缺陷明细!$AB$2:$AB$50000,"&lt;&gt;丢弃",缺陷明细!$AB$2:$AB$50000,"&lt;&gt;设计如此",缺陷明细!$AB$2:$AB$50000,"&lt;&gt;重复Bug")</f>
        <v>0</v>
      </c>
      <c r="AB36" s="73">
        <f>COUNTIFS(缺陷明细!$A$2:$A$50000,$B$4,缺陷明细!$G$2:$G$50000,$C36,缺陷明细!$Q$2:$Q$50000,"已关闭",缺陷明细!$J$2:$J$50000,"运维测试",缺陷明细!$K$2:$K$50000,"致命")+COUNTIFS(缺陷明细!$A$2:$A$50000,$B$4,缺陷明细!$G$2:$G$50000,$C36,缺陷明细!$Q$2:$Q$50000,"已关闭",缺陷明细!$J$2:$J$50000,"运维测试",缺陷明细!$K$2:$K$50000,"严重")</f>
        <v>0</v>
      </c>
      <c r="AC36" s="68">
        <f t="shared" si="0"/>
        <v>0</v>
      </c>
      <c r="AD36" s="60">
        <f t="shared" si="0"/>
        <v>0</v>
      </c>
      <c r="AE36" s="60">
        <f t="shared" si="1"/>
        <v>0</v>
      </c>
      <c r="AF36" s="60">
        <f t="shared" si="1"/>
        <v>0</v>
      </c>
      <c r="AG36" s="60">
        <f t="shared" si="2"/>
        <v>0</v>
      </c>
      <c r="AH36" s="60">
        <f t="shared" si="2"/>
        <v>0</v>
      </c>
      <c r="AI36" s="60">
        <f t="shared" si="3"/>
        <v>0</v>
      </c>
      <c r="AJ36" s="61">
        <f t="shared" si="3"/>
        <v>0</v>
      </c>
      <c r="AK36" s="144"/>
    </row>
    <row r="37" spans="1:37">
      <c r="A37">
        <v>33</v>
      </c>
      <c r="B37" s="57"/>
      <c r="C37" s="58"/>
      <c r="D37" s="84"/>
      <c r="E37" s="82"/>
      <c r="F37" s="158"/>
      <c r="G37" s="159"/>
      <c r="H37" s="281">
        <f>COUNTIFS(缺陷明细!$A$2:$A$50000,$B$4,缺陷明细!$G$2:$G$50000,$C37,缺陷明细!$J$2:$J$50000,"评审",缺陷明细!$AB$2:$AB$50000,"&lt;&gt;丢弃",缺陷明细!$AB$2:$AB$50000,"&lt;&gt;设计如此",缺陷明细!$AB$2:$AB$50000,"&lt;&gt;重复Bug")</f>
        <v>0</v>
      </c>
      <c r="I37" s="154">
        <f>COUNTIFS(缺陷明细!$A$2:$A$50000,$B$4,缺陷明细!$G$2:$G$50000,$C37,缺陷明细!$Q$2:$Q$50000,"已关闭",缺陷明细!$J$2:$J$50000,"评审")</f>
        <v>0</v>
      </c>
      <c r="J37" s="154">
        <f>COUNTIFS(缺陷明细!$A$2:$A$50000,$B$4,缺陷明细!$G$2:$G$50000,$C37,缺陷明细!$J$2:$J$50000,"单元测试",缺陷明细!$AB$2:$AB$50000,"&lt;&gt;丢弃",缺陷明细!$AB$2:$AB$50000,"&lt;&gt;设计如此",缺陷明细!$AB$2:$AB$50000,"&lt;&gt;重复Bug")</f>
        <v>0</v>
      </c>
      <c r="K37" s="155">
        <f>COUNTIFS(缺陷明细!$A$2:$A$50000,$B$4,缺陷明细!$G$2:$G$50000,$C37,缺陷明细!$Q$2:$Q$50000,"已关闭",缺陷明细!$J$2:$J$50000,"单元测试")</f>
        <v>0</v>
      </c>
      <c r="L37" s="156"/>
      <c r="M37" s="157"/>
      <c r="N37" s="72">
        <f>COUNTIFS(缺陷明细!$A$2:$A$50000,$B$4,缺陷明细!$G$2:$G$50000,$C37,缺陷明细!$J$2:$J$50000,"系统测试案例评审",缺陷明细!$AB$2:$AB$50000,"&lt;&gt;丢弃",缺陷明细!$AB$2:$AB$50000,"&lt;&gt;设计如此",缺陷明细!$AB$2:$AB$50000,"&lt;&gt;重复Bug")</f>
        <v>0</v>
      </c>
      <c r="O37" s="72">
        <f>COUNTIFS(缺陷明细!$A$2:$A$50000,$B$4,缺陷明细!$G$2:$G$50000,$C37,缺陷明细!$Q$2:$Q$50000,"已关闭",缺陷明细!$J$2:$J$50000,"系统测试案例评审")</f>
        <v>0</v>
      </c>
      <c r="P37" s="72">
        <f>COUNTIFS(缺陷明细!$A$2:$A$50000,$B$4,缺陷明细!$G$2:$G$50000,$C37,缺陷明细!$J$2:$J$50000,"系统测试",缺陷明细!$AB$2:$AB$50000,"&lt;&gt;丢弃",缺陷明细!$AB$2:$AB$50000,"&lt;&gt;设计如此",缺陷明细!$AB$2:$AB$50000,"&lt;&gt;重复Bug")</f>
        <v>0</v>
      </c>
      <c r="Q37" s="72">
        <f>COUNTIFS(缺陷明细!$A$2:$A$50000,$B$4,缺陷明细!$G$2:$G$50000,$C37,缺陷明细!$Q$2:$Q$50000,"已关闭",缺陷明细!$J$2:$J$50000,"系统测试")</f>
        <v>0</v>
      </c>
      <c r="R37" s="296">
        <f>COUNTIFS(缺陷明细!$A$2:$A$50000,$B$4,缺陷明细!$G$2:$G$50000,$C37,缺陷明细!$AB$2:$AB$50000,"丢弃",缺陷明细!$J$2:$J$50000,"系统测试")+COUNTIFS(缺陷明细!$A$2:$A$50000,$B$4,缺陷明细!$G$2:$G$50000,$C37,缺陷明细!$AB$2:$AB$50000,"设计如此",缺陷明细!$J$2:$J$50000,"系统测试")+COUNTIFS(缺陷明细!$A$2:$A$50000,$B$4,缺陷明细!$G$2:$G$50000,$C37,缺陷明细!$AB$2:$AB$50000,"重复Bug",缺陷明细!$J$2:$J$50000,"系统测试")</f>
        <v>0</v>
      </c>
      <c r="S37" s="72">
        <f>COUNTIFS(缺陷明细!$A$2:$A$50000,$B$4,缺陷明细!$G$2:$G$50000,$C37,缺陷明细!$J$2:$J$50000,"系统测试",缺陷明细!$K$2:$K$50000,"致命",缺陷明细!$AB$2:$AB$50000,"&lt;&gt;丢弃",缺陷明细!$AB$2:$AB$50000,"&lt;&gt;设计如此",缺陷明细!$AB$2:$AB$50000,"&lt;&gt;重复Bug")+COUNTIFS(缺陷明细!$A$2:$A$50000,$B$4,缺陷明细!$G$2:$G$50000,$C37,缺陷明细!$J$2:$J$50000,"系统测试",缺陷明细!$K$2:$K$50000,"严重",缺陷明细!$AB$2:$AB$50000,"&lt;&gt;丢弃",缺陷明细!$AB$2:$AB$50000,"&lt;&gt;设计如此",缺陷明细!$AB$2:$AB$50000,"&lt;&gt;重复Bug")</f>
        <v>0</v>
      </c>
      <c r="T37" s="73">
        <f>COUNTIFS(缺陷明细!$A$2:$A$50000,$B$4,缺陷明细!$G$2:$G$50000,$C37,缺陷明细!$Q$2:$Q$50000,"已关闭",缺陷明细!$J$2:$J$50000,"系统测试",缺陷明细!$K$2:$K$50000,"致命")+COUNTIFS(缺陷明细!$A$2:$A$50000,$B$4,缺陷明细!$G$2:$G$50000,$C37,缺陷明细!$Q$2:$Q$50000,"已关闭",缺陷明细!$J$2:$J$50000,"系统测试",缺陷明细!$K$2:$K$50000,"严重")</f>
        <v>0</v>
      </c>
      <c r="U37" s="74">
        <f>COUNTIFS(缺陷明细!$A$2:$A$50000,$B$4,缺陷明细!$G$2:$G$50000,$C37,缺陷明细!$J$2:$J$50000,"验收测试",缺陷明细!$AB$2:$AB$50000,"&lt;&gt;丢弃",缺陷明细!$AB$2:$AB$50000,"&lt;&gt;设计如此",缺陷明细!$AB$2:$AB$50000,"&lt;&gt;重复Bug")</f>
        <v>0</v>
      </c>
      <c r="V37" s="75">
        <f>COUNTIFS(缺陷明细!$A$2:$A$50000,$B$4,缺陷明细!$G$2:$G$50000,$C37,缺陷明细!$Q$2:$Q$50000,"已关闭",缺陷明细!$J$2:$J$50000,"验收测试")</f>
        <v>0</v>
      </c>
      <c r="W37" s="75">
        <f>COUNTIFS(缺陷明细!$A$2:$A$50000,$B$4,缺陷明细!$G$2:$G$50000,$C37,缺陷明细!$J$2:$J$50000,"验收测试",缺陷明细!$K$2:$K$50000,"致命",缺陷明细!$AB$2:$AB$50000,"&lt;&gt;丢弃",缺陷明细!$AB$2:$AB$50000,"&lt;&gt;设计如此",缺陷明细!$AB$2:$AB$50000,"&lt;&gt;重复Bug")+COUNTIFS(缺陷明细!$A$2:$A$50000,$B$4,缺陷明细!$G$2:$G$50000,$C37,缺陷明细!$J$2:$J$50000,"验收测试",缺陷明细!$K$2:$K$50000,"严重",缺陷明细!$AB$2:$AB$50000,"&lt;&gt;丢弃",缺陷明细!$AB$2:$AB$50000,"&lt;&gt;设计如此",缺陷明细!$AB$2:$AB$50000,"&lt;&gt;重复Bug")</f>
        <v>0</v>
      </c>
      <c r="X37" s="76">
        <f>COUNTIFS(缺陷明细!$A$2:$A$50000,$B$4,缺陷明细!$G$2:$G$50000,$C37,缺陷明细!$Q$2:$Q$50000,"已关闭",缺陷明细!$J$2:$J$50000,"验收测试",缺陷明细!$K$2:$K$50000,"致命")+COUNTIFS(缺陷明细!$A$2:$A$50000,$B$4,缺陷明细!$G$2:$G$50000,$C37,缺陷明细!$Q$2:$Q$50000,"已关闭",缺陷明细!$J$2:$J$50000,"验收测试",缺陷明细!$K$2:$K$50000,"严重")</f>
        <v>0</v>
      </c>
      <c r="Y37" s="70">
        <f>COUNTIFS(缺陷明细!$A$2:$A$50000,$B$4,缺陷明细!$G$2:$G$50000,$C37,缺陷明细!$J$2:$J$50000,"运维测试",缺陷明细!$AB$2:$AB$50000,"&lt;&gt;丢弃",缺陷明细!$AB$2:$AB$50000,"&lt;&gt;设计如此",缺陷明细!$AB$2:$AB$50000,"&lt;&gt;重复Bug")</f>
        <v>0</v>
      </c>
      <c r="Z37" s="71">
        <f>COUNTIFS(缺陷明细!$A$2:$A$50000,$B$4,缺陷明细!$G$2:$G$50000,$C37,缺陷明细!$Q$2:$Q$50000,"已关闭",缺陷明细!$J$2:$J$50000,"运维测试")</f>
        <v>0</v>
      </c>
      <c r="AA37" s="72">
        <f>COUNTIFS(缺陷明细!$A$2:$A$50000,$B$4,缺陷明细!$G$2:$G$50000,$C37,缺陷明细!$J$2:$J$50000,"运维测试",缺陷明细!$K$2:$K$50000,"致命",缺陷明细!$AB$2:$AB$50000,"&lt;&gt;丢弃",缺陷明细!$AB$2:$AB$50000,"&lt;&gt;设计如此",缺陷明细!$AB$2:$AB$50000,"&lt;&gt;重复Bug")+COUNTIFS(缺陷明细!$A$2:$A$50000,$B$4,缺陷明细!$G$2:$G$50000,$C37,缺陷明细!$J$2:$J$50000,"运维测试",缺陷明细!$K$2:$K$50000,"严重",缺陷明细!$AB$2:$AB$50000,"&lt;&gt;丢弃",缺陷明细!$AB$2:$AB$50000,"&lt;&gt;设计如此",缺陷明细!$AB$2:$AB$50000,"&lt;&gt;重复Bug")</f>
        <v>0</v>
      </c>
      <c r="AB37" s="73">
        <f>COUNTIFS(缺陷明细!$A$2:$A$50000,$B$4,缺陷明细!$G$2:$G$50000,$C37,缺陷明细!$Q$2:$Q$50000,"已关闭",缺陷明细!$J$2:$J$50000,"运维测试",缺陷明细!$K$2:$K$50000,"致命")+COUNTIFS(缺陷明细!$A$2:$A$50000,$B$4,缺陷明细!$G$2:$G$50000,$C37,缺陷明细!$Q$2:$Q$50000,"已关闭",缺陷明细!$J$2:$J$50000,"运维测试",缺陷明细!$K$2:$K$50000,"严重")</f>
        <v>0</v>
      </c>
      <c r="AC37" s="68">
        <f t="shared" si="0"/>
        <v>0</v>
      </c>
      <c r="AD37" s="60">
        <f t="shared" si="0"/>
        <v>0</v>
      </c>
      <c r="AE37" s="60">
        <f t="shared" si="1"/>
        <v>0</v>
      </c>
      <c r="AF37" s="60">
        <f t="shared" si="1"/>
        <v>0</v>
      </c>
      <c r="AG37" s="60">
        <f t="shared" si="2"/>
        <v>0</v>
      </c>
      <c r="AH37" s="60">
        <f t="shared" si="2"/>
        <v>0</v>
      </c>
      <c r="AI37" s="60">
        <f t="shared" si="3"/>
        <v>0</v>
      </c>
      <c r="AJ37" s="61">
        <f t="shared" si="3"/>
        <v>0</v>
      </c>
      <c r="AK37" s="144"/>
    </row>
    <row r="38" spans="1:37">
      <c r="A38">
        <v>34</v>
      </c>
      <c r="B38" s="57"/>
      <c r="C38" s="58"/>
      <c r="D38" s="84"/>
      <c r="E38" s="82"/>
      <c r="F38" s="158"/>
      <c r="G38" s="159"/>
      <c r="H38" s="281">
        <f>COUNTIFS(缺陷明细!$A$2:$A$50000,$B$4,缺陷明细!$G$2:$G$50000,$C38,缺陷明细!$J$2:$J$50000,"评审",缺陷明细!$AB$2:$AB$50000,"&lt;&gt;丢弃",缺陷明细!$AB$2:$AB$50000,"&lt;&gt;设计如此",缺陷明细!$AB$2:$AB$50000,"&lt;&gt;重复Bug")</f>
        <v>0</v>
      </c>
      <c r="I38" s="154">
        <f>COUNTIFS(缺陷明细!$A$2:$A$50000,$B$4,缺陷明细!$G$2:$G$50000,$C38,缺陷明细!$Q$2:$Q$50000,"已关闭",缺陷明细!$J$2:$J$50000,"评审")</f>
        <v>0</v>
      </c>
      <c r="J38" s="154">
        <f>COUNTIFS(缺陷明细!$A$2:$A$50000,$B$4,缺陷明细!$G$2:$G$50000,$C38,缺陷明细!$J$2:$J$50000,"单元测试",缺陷明细!$AB$2:$AB$50000,"&lt;&gt;丢弃",缺陷明细!$AB$2:$AB$50000,"&lt;&gt;设计如此",缺陷明细!$AB$2:$AB$50000,"&lt;&gt;重复Bug")</f>
        <v>0</v>
      </c>
      <c r="K38" s="155">
        <f>COUNTIFS(缺陷明细!$A$2:$A$50000,$B$4,缺陷明细!$G$2:$G$50000,$C38,缺陷明细!$Q$2:$Q$50000,"已关闭",缺陷明细!$J$2:$J$50000,"单元测试")</f>
        <v>0</v>
      </c>
      <c r="L38" s="156"/>
      <c r="M38" s="157"/>
      <c r="N38" s="72">
        <f>COUNTIFS(缺陷明细!$A$2:$A$50000,$B$4,缺陷明细!$G$2:$G$50000,$C38,缺陷明细!$J$2:$J$50000,"系统测试案例评审",缺陷明细!$AB$2:$AB$50000,"&lt;&gt;丢弃",缺陷明细!$AB$2:$AB$50000,"&lt;&gt;设计如此",缺陷明细!$AB$2:$AB$50000,"&lt;&gt;重复Bug")</f>
        <v>0</v>
      </c>
      <c r="O38" s="72">
        <f>COUNTIFS(缺陷明细!$A$2:$A$50000,$B$4,缺陷明细!$G$2:$G$50000,$C38,缺陷明细!$Q$2:$Q$50000,"已关闭",缺陷明细!$J$2:$J$50000,"系统测试案例评审")</f>
        <v>0</v>
      </c>
      <c r="P38" s="72">
        <f>COUNTIFS(缺陷明细!$A$2:$A$50000,$B$4,缺陷明细!$G$2:$G$50000,$C38,缺陷明细!$J$2:$J$50000,"系统测试",缺陷明细!$AB$2:$AB$50000,"&lt;&gt;丢弃",缺陷明细!$AB$2:$AB$50000,"&lt;&gt;设计如此",缺陷明细!$AB$2:$AB$50000,"&lt;&gt;重复Bug")</f>
        <v>0</v>
      </c>
      <c r="Q38" s="72">
        <f>COUNTIFS(缺陷明细!$A$2:$A$50000,$B$4,缺陷明细!$G$2:$G$50000,$C38,缺陷明细!$Q$2:$Q$50000,"已关闭",缺陷明细!$J$2:$J$50000,"系统测试")</f>
        <v>0</v>
      </c>
      <c r="R38" s="296">
        <f>COUNTIFS(缺陷明细!$A$2:$A$50000,$B$4,缺陷明细!$G$2:$G$50000,$C38,缺陷明细!$AB$2:$AB$50000,"丢弃",缺陷明细!$J$2:$J$50000,"系统测试")+COUNTIFS(缺陷明细!$A$2:$A$50000,$B$4,缺陷明细!$G$2:$G$50000,$C38,缺陷明细!$AB$2:$AB$50000,"设计如此",缺陷明细!$J$2:$J$50000,"系统测试")+COUNTIFS(缺陷明细!$A$2:$A$50000,$B$4,缺陷明细!$G$2:$G$50000,$C38,缺陷明细!$AB$2:$AB$50000,"重复Bug",缺陷明细!$J$2:$J$50000,"系统测试")</f>
        <v>0</v>
      </c>
      <c r="S38" s="72">
        <f>COUNTIFS(缺陷明细!$A$2:$A$50000,$B$4,缺陷明细!$G$2:$G$50000,$C38,缺陷明细!$J$2:$J$50000,"系统测试",缺陷明细!$K$2:$K$50000,"致命",缺陷明细!$AB$2:$AB$50000,"&lt;&gt;丢弃",缺陷明细!$AB$2:$AB$50000,"&lt;&gt;设计如此",缺陷明细!$AB$2:$AB$50000,"&lt;&gt;重复Bug")+COUNTIFS(缺陷明细!$A$2:$A$50000,$B$4,缺陷明细!$G$2:$G$50000,$C38,缺陷明细!$J$2:$J$50000,"系统测试",缺陷明细!$K$2:$K$50000,"严重",缺陷明细!$AB$2:$AB$50000,"&lt;&gt;丢弃",缺陷明细!$AB$2:$AB$50000,"&lt;&gt;设计如此",缺陷明细!$AB$2:$AB$50000,"&lt;&gt;重复Bug")</f>
        <v>0</v>
      </c>
      <c r="T38" s="73">
        <f>COUNTIFS(缺陷明细!$A$2:$A$50000,$B$4,缺陷明细!$G$2:$G$50000,$C38,缺陷明细!$Q$2:$Q$50000,"已关闭",缺陷明细!$J$2:$J$50000,"系统测试",缺陷明细!$K$2:$K$50000,"致命")+COUNTIFS(缺陷明细!$A$2:$A$50000,$B$4,缺陷明细!$G$2:$G$50000,$C38,缺陷明细!$Q$2:$Q$50000,"已关闭",缺陷明细!$J$2:$J$50000,"系统测试",缺陷明细!$K$2:$K$50000,"严重")</f>
        <v>0</v>
      </c>
      <c r="U38" s="74">
        <f>COUNTIFS(缺陷明细!$A$2:$A$50000,$B$4,缺陷明细!$G$2:$G$50000,$C38,缺陷明细!$J$2:$J$50000,"验收测试",缺陷明细!$AB$2:$AB$50000,"&lt;&gt;丢弃",缺陷明细!$AB$2:$AB$50000,"&lt;&gt;设计如此",缺陷明细!$AB$2:$AB$50000,"&lt;&gt;重复Bug")</f>
        <v>0</v>
      </c>
      <c r="V38" s="75">
        <f>COUNTIFS(缺陷明细!$A$2:$A$50000,$B$4,缺陷明细!$G$2:$G$50000,$C38,缺陷明细!$Q$2:$Q$50000,"已关闭",缺陷明细!$J$2:$J$50000,"验收测试")</f>
        <v>0</v>
      </c>
      <c r="W38" s="75">
        <f>COUNTIFS(缺陷明细!$A$2:$A$50000,$B$4,缺陷明细!$G$2:$G$50000,$C38,缺陷明细!$J$2:$J$50000,"验收测试",缺陷明细!$K$2:$K$50000,"致命",缺陷明细!$AB$2:$AB$50000,"&lt;&gt;丢弃",缺陷明细!$AB$2:$AB$50000,"&lt;&gt;设计如此",缺陷明细!$AB$2:$AB$50000,"&lt;&gt;重复Bug")+COUNTIFS(缺陷明细!$A$2:$A$50000,$B$4,缺陷明细!$G$2:$G$50000,$C38,缺陷明细!$J$2:$J$50000,"验收测试",缺陷明细!$K$2:$K$50000,"严重",缺陷明细!$AB$2:$AB$50000,"&lt;&gt;丢弃",缺陷明细!$AB$2:$AB$50000,"&lt;&gt;设计如此",缺陷明细!$AB$2:$AB$50000,"&lt;&gt;重复Bug")</f>
        <v>0</v>
      </c>
      <c r="X38" s="76">
        <f>COUNTIFS(缺陷明细!$A$2:$A$50000,$B$4,缺陷明细!$G$2:$G$50000,$C38,缺陷明细!$Q$2:$Q$50000,"已关闭",缺陷明细!$J$2:$J$50000,"验收测试",缺陷明细!$K$2:$K$50000,"致命")+COUNTIFS(缺陷明细!$A$2:$A$50000,$B$4,缺陷明细!$G$2:$G$50000,$C38,缺陷明细!$Q$2:$Q$50000,"已关闭",缺陷明细!$J$2:$J$50000,"验收测试",缺陷明细!$K$2:$K$50000,"严重")</f>
        <v>0</v>
      </c>
      <c r="Y38" s="70">
        <f>COUNTIFS(缺陷明细!$A$2:$A$50000,$B$4,缺陷明细!$G$2:$G$50000,$C38,缺陷明细!$J$2:$J$50000,"运维测试",缺陷明细!$AB$2:$AB$50000,"&lt;&gt;丢弃",缺陷明细!$AB$2:$AB$50000,"&lt;&gt;设计如此",缺陷明细!$AB$2:$AB$50000,"&lt;&gt;重复Bug")</f>
        <v>0</v>
      </c>
      <c r="Z38" s="71">
        <f>COUNTIFS(缺陷明细!$A$2:$A$50000,$B$4,缺陷明细!$G$2:$G$50000,$C38,缺陷明细!$Q$2:$Q$50000,"已关闭",缺陷明细!$J$2:$J$50000,"运维测试")</f>
        <v>0</v>
      </c>
      <c r="AA38" s="72">
        <f>COUNTIFS(缺陷明细!$A$2:$A$50000,$B$4,缺陷明细!$G$2:$G$50000,$C38,缺陷明细!$J$2:$J$50000,"运维测试",缺陷明细!$K$2:$K$50000,"致命",缺陷明细!$AB$2:$AB$50000,"&lt;&gt;丢弃",缺陷明细!$AB$2:$AB$50000,"&lt;&gt;设计如此",缺陷明细!$AB$2:$AB$50000,"&lt;&gt;重复Bug")+COUNTIFS(缺陷明细!$A$2:$A$50000,$B$4,缺陷明细!$G$2:$G$50000,$C38,缺陷明细!$J$2:$J$50000,"运维测试",缺陷明细!$K$2:$K$50000,"严重",缺陷明细!$AB$2:$AB$50000,"&lt;&gt;丢弃",缺陷明细!$AB$2:$AB$50000,"&lt;&gt;设计如此",缺陷明细!$AB$2:$AB$50000,"&lt;&gt;重复Bug")</f>
        <v>0</v>
      </c>
      <c r="AB38" s="73">
        <f>COUNTIFS(缺陷明细!$A$2:$A$50000,$B$4,缺陷明细!$G$2:$G$50000,$C38,缺陷明细!$Q$2:$Q$50000,"已关闭",缺陷明细!$J$2:$J$50000,"运维测试",缺陷明细!$K$2:$K$50000,"致命")+COUNTIFS(缺陷明细!$A$2:$A$50000,$B$4,缺陷明细!$G$2:$G$50000,$C38,缺陷明细!$Q$2:$Q$50000,"已关闭",缺陷明细!$J$2:$J$50000,"运维测试",缺陷明细!$K$2:$K$50000,"严重")</f>
        <v>0</v>
      </c>
      <c r="AC38" s="68">
        <f t="shared" si="0"/>
        <v>0</v>
      </c>
      <c r="AD38" s="60">
        <f t="shared" si="0"/>
        <v>0</v>
      </c>
      <c r="AE38" s="60">
        <f t="shared" si="1"/>
        <v>0</v>
      </c>
      <c r="AF38" s="60">
        <f t="shared" si="1"/>
        <v>0</v>
      </c>
      <c r="AG38" s="60">
        <f t="shared" si="2"/>
        <v>0</v>
      </c>
      <c r="AH38" s="60">
        <f t="shared" si="2"/>
        <v>0</v>
      </c>
      <c r="AI38" s="60">
        <f t="shared" si="3"/>
        <v>0</v>
      </c>
      <c r="AJ38" s="61">
        <f t="shared" si="3"/>
        <v>0</v>
      </c>
      <c r="AK38" s="144"/>
    </row>
    <row r="39" spans="1:37">
      <c r="A39">
        <v>35</v>
      </c>
      <c r="B39" s="57"/>
      <c r="C39" s="58"/>
      <c r="D39" s="84"/>
      <c r="E39" s="82"/>
      <c r="F39" s="158"/>
      <c r="G39" s="159"/>
      <c r="H39" s="281">
        <f>COUNTIFS(缺陷明细!$A$2:$A$50000,$B$4,缺陷明细!$G$2:$G$50000,$C39,缺陷明细!$J$2:$J$50000,"评审",缺陷明细!$AB$2:$AB$50000,"&lt;&gt;丢弃",缺陷明细!$AB$2:$AB$50000,"&lt;&gt;设计如此",缺陷明细!$AB$2:$AB$50000,"&lt;&gt;重复Bug")</f>
        <v>0</v>
      </c>
      <c r="I39" s="154">
        <f>COUNTIFS(缺陷明细!$A$2:$A$50000,$B$4,缺陷明细!$G$2:$G$50000,$C39,缺陷明细!$Q$2:$Q$50000,"已关闭",缺陷明细!$J$2:$J$50000,"评审")</f>
        <v>0</v>
      </c>
      <c r="J39" s="154">
        <f>COUNTIFS(缺陷明细!$A$2:$A$50000,$B$4,缺陷明细!$G$2:$G$50000,$C39,缺陷明细!$J$2:$J$50000,"单元测试",缺陷明细!$AB$2:$AB$50000,"&lt;&gt;丢弃",缺陷明细!$AB$2:$AB$50000,"&lt;&gt;设计如此",缺陷明细!$AB$2:$AB$50000,"&lt;&gt;重复Bug")</f>
        <v>0</v>
      </c>
      <c r="K39" s="155">
        <f>COUNTIFS(缺陷明细!$A$2:$A$50000,$B$4,缺陷明细!$G$2:$G$50000,$C39,缺陷明细!$Q$2:$Q$50000,"已关闭",缺陷明细!$J$2:$J$50000,"单元测试")</f>
        <v>0</v>
      </c>
      <c r="L39" s="156"/>
      <c r="M39" s="157"/>
      <c r="N39" s="72">
        <f>COUNTIFS(缺陷明细!$A$2:$A$50000,$B$4,缺陷明细!$G$2:$G$50000,$C39,缺陷明细!$J$2:$J$50000,"系统测试案例评审",缺陷明细!$AB$2:$AB$50000,"&lt;&gt;丢弃",缺陷明细!$AB$2:$AB$50000,"&lt;&gt;设计如此",缺陷明细!$AB$2:$AB$50000,"&lt;&gt;重复Bug")</f>
        <v>0</v>
      </c>
      <c r="O39" s="72">
        <f>COUNTIFS(缺陷明细!$A$2:$A$50000,$B$4,缺陷明细!$G$2:$G$50000,$C39,缺陷明细!$Q$2:$Q$50000,"已关闭",缺陷明细!$J$2:$J$50000,"系统测试案例评审")</f>
        <v>0</v>
      </c>
      <c r="P39" s="72">
        <f>COUNTIFS(缺陷明细!$A$2:$A$50000,$B$4,缺陷明细!$G$2:$G$50000,$C39,缺陷明细!$J$2:$J$50000,"系统测试",缺陷明细!$AB$2:$AB$50000,"&lt;&gt;丢弃",缺陷明细!$AB$2:$AB$50000,"&lt;&gt;设计如此",缺陷明细!$AB$2:$AB$50000,"&lt;&gt;重复Bug")</f>
        <v>0</v>
      </c>
      <c r="Q39" s="72">
        <f>COUNTIFS(缺陷明细!$A$2:$A$50000,$B$4,缺陷明细!$G$2:$G$50000,$C39,缺陷明细!$Q$2:$Q$50000,"已关闭",缺陷明细!$J$2:$J$50000,"系统测试")</f>
        <v>0</v>
      </c>
      <c r="R39" s="296">
        <f>COUNTIFS(缺陷明细!$A$2:$A$50000,$B$4,缺陷明细!$G$2:$G$50000,$C39,缺陷明细!$AB$2:$AB$50000,"丢弃",缺陷明细!$J$2:$J$50000,"系统测试")+COUNTIFS(缺陷明细!$A$2:$A$50000,$B$4,缺陷明细!$G$2:$G$50000,$C39,缺陷明细!$AB$2:$AB$50000,"设计如此",缺陷明细!$J$2:$J$50000,"系统测试")+COUNTIFS(缺陷明细!$A$2:$A$50000,$B$4,缺陷明细!$G$2:$G$50000,$C39,缺陷明细!$AB$2:$AB$50000,"重复Bug",缺陷明细!$J$2:$J$50000,"系统测试")</f>
        <v>0</v>
      </c>
      <c r="S39" s="72">
        <f>COUNTIFS(缺陷明细!$A$2:$A$50000,$B$4,缺陷明细!$G$2:$G$50000,$C39,缺陷明细!$J$2:$J$50000,"系统测试",缺陷明细!$K$2:$K$50000,"致命",缺陷明细!$AB$2:$AB$50000,"&lt;&gt;丢弃",缺陷明细!$AB$2:$AB$50000,"&lt;&gt;设计如此",缺陷明细!$AB$2:$AB$50000,"&lt;&gt;重复Bug")+COUNTIFS(缺陷明细!$A$2:$A$50000,$B$4,缺陷明细!$G$2:$G$50000,$C39,缺陷明细!$J$2:$J$50000,"系统测试",缺陷明细!$K$2:$K$50000,"严重",缺陷明细!$AB$2:$AB$50000,"&lt;&gt;丢弃",缺陷明细!$AB$2:$AB$50000,"&lt;&gt;设计如此",缺陷明细!$AB$2:$AB$50000,"&lt;&gt;重复Bug")</f>
        <v>0</v>
      </c>
      <c r="T39" s="73">
        <f>COUNTIFS(缺陷明细!$A$2:$A$50000,$B$4,缺陷明细!$G$2:$G$50000,$C39,缺陷明细!$Q$2:$Q$50000,"已关闭",缺陷明细!$J$2:$J$50000,"系统测试",缺陷明细!$K$2:$K$50000,"致命")+COUNTIFS(缺陷明细!$A$2:$A$50000,$B$4,缺陷明细!$G$2:$G$50000,$C39,缺陷明细!$Q$2:$Q$50000,"已关闭",缺陷明细!$J$2:$J$50000,"系统测试",缺陷明细!$K$2:$K$50000,"严重")</f>
        <v>0</v>
      </c>
      <c r="U39" s="74">
        <f>COUNTIFS(缺陷明细!$A$2:$A$50000,$B$4,缺陷明细!$G$2:$G$50000,$C39,缺陷明细!$J$2:$J$50000,"验收测试",缺陷明细!$AB$2:$AB$50000,"&lt;&gt;丢弃",缺陷明细!$AB$2:$AB$50000,"&lt;&gt;设计如此",缺陷明细!$AB$2:$AB$50000,"&lt;&gt;重复Bug")</f>
        <v>0</v>
      </c>
      <c r="V39" s="75">
        <f>COUNTIFS(缺陷明细!$A$2:$A$50000,$B$4,缺陷明细!$G$2:$G$50000,$C39,缺陷明细!$Q$2:$Q$50000,"已关闭",缺陷明细!$J$2:$J$50000,"验收测试")</f>
        <v>0</v>
      </c>
      <c r="W39" s="75">
        <f>COUNTIFS(缺陷明细!$A$2:$A$50000,$B$4,缺陷明细!$G$2:$G$50000,$C39,缺陷明细!$J$2:$J$50000,"验收测试",缺陷明细!$K$2:$K$50000,"致命",缺陷明细!$AB$2:$AB$50000,"&lt;&gt;丢弃",缺陷明细!$AB$2:$AB$50000,"&lt;&gt;设计如此",缺陷明细!$AB$2:$AB$50000,"&lt;&gt;重复Bug")+COUNTIFS(缺陷明细!$A$2:$A$50000,$B$4,缺陷明细!$G$2:$G$50000,$C39,缺陷明细!$J$2:$J$50000,"验收测试",缺陷明细!$K$2:$K$50000,"严重",缺陷明细!$AB$2:$AB$50000,"&lt;&gt;丢弃",缺陷明细!$AB$2:$AB$50000,"&lt;&gt;设计如此",缺陷明细!$AB$2:$AB$50000,"&lt;&gt;重复Bug")</f>
        <v>0</v>
      </c>
      <c r="X39" s="76">
        <f>COUNTIFS(缺陷明细!$A$2:$A$50000,$B$4,缺陷明细!$G$2:$G$50000,$C39,缺陷明细!$Q$2:$Q$50000,"已关闭",缺陷明细!$J$2:$J$50000,"验收测试",缺陷明细!$K$2:$K$50000,"致命")+COUNTIFS(缺陷明细!$A$2:$A$50000,$B$4,缺陷明细!$G$2:$G$50000,$C39,缺陷明细!$Q$2:$Q$50000,"已关闭",缺陷明细!$J$2:$J$50000,"验收测试",缺陷明细!$K$2:$K$50000,"严重")</f>
        <v>0</v>
      </c>
      <c r="Y39" s="70">
        <f>COUNTIFS(缺陷明细!$A$2:$A$50000,$B$4,缺陷明细!$G$2:$G$50000,$C39,缺陷明细!$J$2:$J$50000,"运维测试",缺陷明细!$AB$2:$AB$50000,"&lt;&gt;丢弃",缺陷明细!$AB$2:$AB$50000,"&lt;&gt;设计如此",缺陷明细!$AB$2:$AB$50000,"&lt;&gt;重复Bug")</f>
        <v>0</v>
      </c>
      <c r="Z39" s="71">
        <f>COUNTIFS(缺陷明细!$A$2:$A$50000,$B$4,缺陷明细!$G$2:$G$50000,$C39,缺陷明细!$Q$2:$Q$50000,"已关闭",缺陷明细!$J$2:$J$50000,"运维测试")</f>
        <v>0</v>
      </c>
      <c r="AA39" s="72">
        <f>COUNTIFS(缺陷明细!$A$2:$A$50000,$B$4,缺陷明细!$G$2:$G$50000,$C39,缺陷明细!$J$2:$J$50000,"运维测试",缺陷明细!$K$2:$K$50000,"致命",缺陷明细!$AB$2:$AB$50000,"&lt;&gt;丢弃",缺陷明细!$AB$2:$AB$50000,"&lt;&gt;设计如此",缺陷明细!$AB$2:$AB$50000,"&lt;&gt;重复Bug")+COUNTIFS(缺陷明细!$A$2:$A$50000,$B$4,缺陷明细!$G$2:$G$50000,$C39,缺陷明细!$J$2:$J$50000,"运维测试",缺陷明细!$K$2:$K$50000,"严重",缺陷明细!$AB$2:$AB$50000,"&lt;&gt;丢弃",缺陷明细!$AB$2:$AB$50000,"&lt;&gt;设计如此",缺陷明细!$AB$2:$AB$50000,"&lt;&gt;重复Bug")</f>
        <v>0</v>
      </c>
      <c r="AB39" s="73">
        <f>COUNTIFS(缺陷明细!$A$2:$A$50000,$B$4,缺陷明细!$G$2:$G$50000,$C39,缺陷明细!$Q$2:$Q$50000,"已关闭",缺陷明细!$J$2:$J$50000,"运维测试",缺陷明细!$K$2:$K$50000,"致命")+COUNTIFS(缺陷明细!$A$2:$A$50000,$B$4,缺陷明细!$G$2:$G$50000,$C39,缺陷明细!$Q$2:$Q$50000,"已关闭",缺陷明细!$J$2:$J$50000,"运维测试",缺陷明细!$K$2:$K$50000,"严重")</f>
        <v>0</v>
      </c>
      <c r="AC39" s="68">
        <f t="shared" si="0"/>
        <v>0</v>
      </c>
      <c r="AD39" s="60">
        <f t="shared" si="0"/>
        <v>0</v>
      </c>
      <c r="AE39" s="60">
        <f t="shared" si="1"/>
        <v>0</v>
      </c>
      <c r="AF39" s="60">
        <f t="shared" si="1"/>
        <v>0</v>
      </c>
      <c r="AG39" s="60">
        <f t="shared" si="2"/>
        <v>0</v>
      </c>
      <c r="AH39" s="60">
        <f t="shared" si="2"/>
        <v>0</v>
      </c>
      <c r="AI39" s="60">
        <f t="shared" si="3"/>
        <v>0</v>
      </c>
      <c r="AJ39" s="61">
        <f t="shared" si="3"/>
        <v>0</v>
      </c>
      <c r="AK39" s="144"/>
    </row>
    <row r="40" spans="1:37">
      <c r="A40">
        <v>36</v>
      </c>
      <c r="B40" s="57"/>
      <c r="C40" s="58"/>
      <c r="D40" s="84"/>
      <c r="E40" s="82"/>
      <c r="F40" s="158"/>
      <c r="G40" s="159"/>
      <c r="H40" s="281">
        <f>COUNTIFS(缺陷明细!$A$2:$A$50000,$B$4,缺陷明细!$G$2:$G$50000,$C40,缺陷明细!$J$2:$J$50000,"评审",缺陷明细!$AB$2:$AB$50000,"&lt;&gt;丢弃",缺陷明细!$AB$2:$AB$50000,"&lt;&gt;设计如此",缺陷明细!$AB$2:$AB$50000,"&lt;&gt;重复Bug")</f>
        <v>0</v>
      </c>
      <c r="I40" s="154">
        <f>COUNTIFS(缺陷明细!$A$2:$A$50000,$B$4,缺陷明细!$G$2:$G$50000,$C40,缺陷明细!$Q$2:$Q$50000,"已关闭",缺陷明细!$J$2:$J$50000,"评审")</f>
        <v>0</v>
      </c>
      <c r="J40" s="154">
        <f>COUNTIFS(缺陷明细!$A$2:$A$50000,$B$4,缺陷明细!$G$2:$G$50000,$C40,缺陷明细!$J$2:$J$50000,"单元测试",缺陷明细!$AB$2:$AB$50000,"&lt;&gt;丢弃",缺陷明细!$AB$2:$AB$50000,"&lt;&gt;设计如此",缺陷明细!$AB$2:$AB$50000,"&lt;&gt;重复Bug")</f>
        <v>0</v>
      </c>
      <c r="K40" s="155">
        <f>COUNTIFS(缺陷明细!$A$2:$A$50000,$B$4,缺陷明细!$G$2:$G$50000,$C40,缺陷明细!$Q$2:$Q$50000,"已关闭",缺陷明细!$J$2:$J$50000,"单元测试")</f>
        <v>0</v>
      </c>
      <c r="L40" s="156"/>
      <c r="M40" s="157"/>
      <c r="N40" s="72">
        <f>COUNTIFS(缺陷明细!$A$2:$A$50000,$B$4,缺陷明细!$G$2:$G$50000,$C40,缺陷明细!$J$2:$J$50000,"系统测试案例评审",缺陷明细!$AB$2:$AB$50000,"&lt;&gt;丢弃",缺陷明细!$AB$2:$AB$50000,"&lt;&gt;设计如此",缺陷明细!$AB$2:$AB$50000,"&lt;&gt;重复Bug")</f>
        <v>0</v>
      </c>
      <c r="O40" s="72">
        <f>COUNTIFS(缺陷明细!$A$2:$A$50000,$B$4,缺陷明细!$G$2:$G$50000,$C40,缺陷明细!$Q$2:$Q$50000,"已关闭",缺陷明细!$J$2:$J$50000,"系统测试案例评审")</f>
        <v>0</v>
      </c>
      <c r="P40" s="72">
        <f>COUNTIFS(缺陷明细!$A$2:$A$50000,$B$4,缺陷明细!$G$2:$G$50000,$C40,缺陷明细!$J$2:$J$50000,"系统测试",缺陷明细!$AB$2:$AB$50000,"&lt;&gt;丢弃",缺陷明细!$AB$2:$AB$50000,"&lt;&gt;设计如此",缺陷明细!$AB$2:$AB$50000,"&lt;&gt;重复Bug")</f>
        <v>0</v>
      </c>
      <c r="Q40" s="72">
        <f>COUNTIFS(缺陷明细!$A$2:$A$50000,$B$4,缺陷明细!$G$2:$G$50000,$C40,缺陷明细!$Q$2:$Q$50000,"已关闭",缺陷明细!$J$2:$J$50000,"系统测试")</f>
        <v>0</v>
      </c>
      <c r="R40" s="296">
        <f>COUNTIFS(缺陷明细!$A$2:$A$50000,$B$4,缺陷明细!$G$2:$G$50000,$C40,缺陷明细!$AB$2:$AB$50000,"丢弃",缺陷明细!$J$2:$J$50000,"系统测试")+COUNTIFS(缺陷明细!$A$2:$A$50000,$B$4,缺陷明细!$G$2:$G$50000,$C40,缺陷明细!$AB$2:$AB$50000,"设计如此",缺陷明细!$J$2:$J$50000,"系统测试")+COUNTIFS(缺陷明细!$A$2:$A$50000,$B$4,缺陷明细!$G$2:$G$50000,$C40,缺陷明细!$AB$2:$AB$50000,"重复Bug",缺陷明细!$J$2:$J$50000,"系统测试")</f>
        <v>0</v>
      </c>
      <c r="S40" s="72">
        <f>COUNTIFS(缺陷明细!$A$2:$A$50000,$B$4,缺陷明细!$G$2:$G$50000,$C40,缺陷明细!$J$2:$J$50000,"系统测试",缺陷明细!$K$2:$K$50000,"致命",缺陷明细!$AB$2:$AB$50000,"&lt;&gt;丢弃",缺陷明细!$AB$2:$AB$50000,"&lt;&gt;设计如此",缺陷明细!$AB$2:$AB$50000,"&lt;&gt;重复Bug")+COUNTIFS(缺陷明细!$A$2:$A$50000,$B$4,缺陷明细!$G$2:$G$50000,$C40,缺陷明细!$J$2:$J$50000,"系统测试",缺陷明细!$K$2:$K$50000,"严重",缺陷明细!$AB$2:$AB$50000,"&lt;&gt;丢弃",缺陷明细!$AB$2:$AB$50000,"&lt;&gt;设计如此",缺陷明细!$AB$2:$AB$50000,"&lt;&gt;重复Bug")</f>
        <v>0</v>
      </c>
      <c r="T40" s="73">
        <f>COUNTIFS(缺陷明细!$A$2:$A$50000,$B$4,缺陷明细!$G$2:$G$50000,$C40,缺陷明细!$Q$2:$Q$50000,"已关闭",缺陷明细!$J$2:$J$50000,"系统测试",缺陷明细!$K$2:$K$50000,"致命")+COUNTIFS(缺陷明细!$A$2:$A$50000,$B$4,缺陷明细!$G$2:$G$50000,$C40,缺陷明细!$Q$2:$Q$50000,"已关闭",缺陷明细!$J$2:$J$50000,"系统测试",缺陷明细!$K$2:$K$50000,"严重")</f>
        <v>0</v>
      </c>
      <c r="U40" s="74">
        <f>COUNTIFS(缺陷明细!$A$2:$A$50000,$B$4,缺陷明细!$G$2:$G$50000,$C40,缺陷明细!$J$2:$J$50000,"验收测试",缺陷明细!$AB$2:$AB$50000,"&lt;&gt;丢弃",缺陷明细!$AB$2:$AB$50000,"&lt;&gt;设计如此",缺陷明细!$AB$2:$AB$50000,"&lt;&gt;重复Bug")</f>
        <v>0</v>
      </c>
      <c r="V40" s="75">
        <f>COUNTIFS(缺陷明细!$A$2:$A$50000,$B$4,缺陷明细!$G$2:$G$50000,$C40,缺陷明细!$Q$2:$Q$50000,"已关闭",缺陷明细!$J$2:$J$50000,"验收测试")</f>
        <v>0</v>
      </c>
      <c r="W40" s="75">
        <f>COUNTIFS(缺陷明细!$A$2:$A$50000,$B$4,缺陷明细!$G$2:$G$50000,$C40,缺陷明细!$J$2:$J$50000,"验收测试",缺陷明细!$K$2:$K$50000,"致命",缺陷明细!$AB$2:$AB$50000,"&lt;&gt;丢弃",缺陷明细!$AB$2:$AB$50000,"&lt;&gt;设计如此",缺陷明细!$AB$2:$AB$50000,"&lt;&gt;重复Bug")+COUNTIFS(缺陷明细!$A$2:$A$50000,$B$4,缺陷明细!$G$2:$G$50000,$C40,缺陷明细!$J$2:$J$50000,"验收测试",缺陷明细!$K$2:$K$50000,"严重",缺陷明细!$AB$2:$AB$50000,"&lt;&gt;丢弃",缺陷明细!$AB$2:$AB$50000,"&lt;&gt;设计如此",缺陷明细!$AB$2:$AB$50000,"&lt;&gt;重复Bug")</f>
        <v>0</v>
      </c>
      <c r="X40" s="76">
        <f>COUNTIFS(缺陷明细!$A$2:$A$50000,$B$4,缺陷明细!$G$2:$G$50000,$C40,缺陷明细!$Q$2:$Q$50000,"已关闭",缺陷明细!$J$2:$J$50000,"验收测试",缺陷明细!$K$2:$K$50000,"致命")+COUNTIFS(缺陷明细!$A$2:$A$50000,$B$4,缺陷明细!$G$2:$G$50000,$C40,缺陷明细!$Q$2:$Q$50000,"已关闭",缺陷明细!$J$2:$J$50000,"验收测试",缺陷明细!$K$2:$K$50000,"严重")</f>
        <v>0</v>
      </c>
      <c r="Y40" s="70">
        <f>COUNTIFS(缺陷明细!$A$2:$A$50000,$B$4,缺陷明细!$G$2:$G$50000,$C40,缺陷明细!$J$2:$J$50000,"运维测试",缺陷明细!$AB$2:$AB$50000,"&lt;&gt;丢弃",缺陷明细!$AB$2:$AB$50000,"&lt;&gt;设计如此",缺陷明细!$AB$2:$AB$50000,"&lt;&gt;重复Bug")</f>
        <v>0</v>
      </c>
      <c r="Z40" s="71">
        <f>COUNTIFS(缺陷明细!$A$2:$A$50000,$B$4,缺陷明细!$G$2:$G$50000,$C40,缺陷明细!$Q$2:$Q$50000,"已关闭",缺陷明细!$J$2:$J$50000,"运维测试")</f>
        <v>0</v>
      </c>
      <c r="AA40" s="72">
        <f>COUNTIFS(缺陷明细!$A$2:$A$50000,$B$4,缺陷明细!$G$2:$G$50000,$C40,缺陷明细!$J$2:$J$50000,"运维测试",缺陷明细!$K$2:$K$50000,"致命",缺陷明细!$AB$2:$AB$50000,"&lt;&gt;丢弃",缺陷明细!$AB$2:$AB$50000,"&lt;&gt;设计如此",缺陷明细!$AB$2:$AB$50000,"&lt;&gt;重复Bug")+COUNTIFS(缺陷明细!$A$2:$A$50000,$B$4,缺陷明细!$G$2:$G$50000,$C40,缺陷明细!$J$2:$J$50000,"运维测试",缺陷明细!$K$2:$K$50000,"严重",缺陷明细!$AB$2:$AB$50000,"&lt;&gt;丢弃",缺陷明细!$AB$2:$AB$50000,"&lt;&gt;设计如此",缺陷明细!$AB$2:$AB$50000,"&lt;&gt;重复Bug")</f>
        <v>0</v>
      </c>
      <c r="AB40" s="73">
        <f>COUNTIFS(缺陷明细!$A$2:$A$50000,$B$4,缺陷明细!$G$2:$G$50000,$C40,缺陷明细!$Q$2:$Q$50000,"已关闭",缺陷明细!$J$2:$J$50000,"运维测试",缺陷明细!$K$2:$K$50000,"致命")+COUNTIFS(缺陷明细!$A$2:$A$50000,$B$4,缺陷明细!$G$2:$G$50000,$C40,缺陷明细!$Q$2:$Q$50000,"已关闭",缺陷明细!$J$2:$J$50000,"运维测试",缺陷明细!$K$2:$K$50000,"严重")</f>
        <v>0</v>
      </c>
      <c r="AC40" s="68">
        <f t="shared" si="0"/>
        <v>0</v>
      </c>
      <c r="AD40" s="60">
        <f t="shared" si="0"/>
        <v>0</v>
      </c>
      <c r="AE40" s="60">
        <f t="shared" si="1"/>
        <v>0</v>
      </c>
      <c r="AF40" s="60">
        <f t="shared" si="1"/>
        <v>0</v>
      </c>
      <c r="AG40" s="60">
        <f t="shared" si="2"/>
        <v>0</v>
      </c>
      <c r="AH40" s="60">
        <f t="shared" si="2"/>
        <v>0</v>
      </c>
      <c r="AI40" s="60">
        <f t="shared" si="3"/>
        <v>0</v>
      </c>
      <c r="AJ40" s="61">
        <f t="shared" si="3"/>
        <v>0</v>
      </c>
      <c r="AK40" s="144"/>
    </row>
    <row r="41" spans="1:37">
      <c r="A41">
        <v>37</v>
      </c>
      <c r="B41" s="57"/>
      <c r="C41" s="58"/>
      <c r="D41" s="84"/>
      <c r="E41" s="82"/>
      <c r="F41" s="158"/>
      <c r="G41" s="159"/>
      <c r="H41" s="281">
        <f>COUNTIFS(缺陷明细!$A$2:$A$50000,$B$4,缺陷明细!$G$2:$G$50000,$C41,缺陷明细!$J$2:$J$50000,"评审",缺陷明细!$AB$2:$AB$50000,"&lt;&gt;丢弃",缺陷明细!$AB$2:$AB$50000,"&lt;&gt;设计如此",缺陷明细!$AB$2:$AB$50000,"&lt;&gt;重复Bug")</f>
        <v>0</v>
      </c>
      <c r="I41" s="154">
        <f>COUNTIFS(缺陷明细!$A$2:$A$50000,$B$4,缺陷明细!$G$2:$G$50000,$C41,缺陷明细!$Q$2:$Q$50000,"已关闭",缺陷明细!$J$2:$J$50000,"评审")</f>
        <v>0</v>
      </c>
      <c r="J41" s="154">
        <f>COUNTIFS(缺陷明细!$A$2:$A$50000,$B$4,缺陷明细!$G$2:$G$50000,$C41,缺陷明细!$J$2:$J$50000,"单元测试",缺陷明细!$AB$2:$AB$50000,"&lt;&gt;丢弃",缺陷明细!$AB$2:$AB$50000,"&lt;&gt;设计如此",缺陷明细!$AB$2:$AB$50000,"&lt;&gt;重复Bug")</f>
        <v>0</v>
      </c>
      <c r="K41" s="155">
        <f>COUNTIFS(缺陷明细!$A$2:$A$50000,$B$4,缺陷明细!$G$2:$G$50000,$C41,缺陷明细!$Q$2:$Q$50000,"已关闭",缺陷明细!$J$2:$J$50000,"单元测试")</f>
        <v>0</v>
      </c>
      <c r="L41" s="156"/>
      <c r="M41" s="157"/>
      <c r="N41" s="72">
        <f>COUNTIFS(缺陷明细!$A$2:$A$50000,$B$4,缺陷明细!$G$2:$G$50000,$C41,缺陷明细!$J$2:$J$50000,"系统测试案例评审",缺陷明细!$AB$2:$AB$50000,"&lt;&gt;丢弃",缺陷明细!$AB$2:$AB$50000,"&lt;&gt;设计如此",缺陷明细!$AB$2:$AB$50000,"&lt;&gt;重复Bug")</f>
        <v>0</v>
      </c>
      <c r="O41" s="72">
        <f>COUNTIFS(缺陷明细!$A$2:$A$50000,$B$4,缺陷明细!$G$2:$G$50000,$C41,缺陷明细!$Q$2:$Q$50000,"已关闭",缺陷明细!$J$2:$J$50000,"系统测试案例评审")</f>
        <v>0</v>
      </c>
      <c r="P41" s="72">
        <f>COUNTIFS(缺陷明细!$A$2:$A$50000,$B$4,缺陷明细!$G$2:$G$50000,$C41,缺陷明细!$J$2:$J$50000,"系统测试",缺陷明细!$AB$2:$AB$50000,"&lt;&gt;丢弃",缺陷明细!$AB$2:$AB$50000,"&lt;&gt;设计如此",缺陷明细!$AB$2:$AB$50000,"&lt;&gt;重复Bug")</f>
        <v>0</v>
      </c>
      <c r="Q41" s="72">
        <f>COUNTIFS(缺陷明细!$A$2:$A$50000,$B$4,缺陷明细!$G$2:$G$50000,$C41,缺陷明细!$Q$2:$Q$50000,"已关闭",缺陷明细!$J$2:$J$50000,"系统测试")</f>
        <v>0</v>
      </c>
      <c r="R41" s="296">
        <f>COUNTIFS(缺陷明细!$A$2:$A$50000,$B$4,缺陷明细!$G$2:$G$50000,$C41,缺陷明细!$AB$2:$AB$50000,"丢弃",缺陷明细!$J$2:$J$50000,"系统测试")+COUNTIFS(缺陷明细!$A$2:$A$50000,$B$4,缺陷明细!$G$2:$G$50000,$C41,缺陷明细!$AB$2:$AB$50000,"设计如此",缺陷明细!$J$2:$J$50000,"系统测试")+COUNTIFS(缺陷明细!$A$2:$A$50000,$B$4,缺陷明细!$G$2:$G$50000,$C41,缺陷明细!$AB$2:$AB$50000,"重复Bug",缺陷明细!$J$2:$J$50000,"系统测试")</f>
        <v>0</v>
      </c>
      <c r="S41" s="72">
        <f>COUNTIFS(缺陷明细!$A$2:$A$50000,$B$4,缺陷明细!$G$2:$G$50000,$C41,缺陷明细!$J$2:$J$50000,"系统测试",缺陷明细!$K$2:$K$50000,"致命",缺陷明细!$AB$2:$AB$50000,"&lt;&gt;丢弃",缺陷明细!$AB$2:$AB$50000,"&lt;&gt;设计如此",缺陷明细!$AB$2:$AB$50000,"&lt;&gt;重复Bug")+COUNTIFS(缺陷明细!$A$2:$A$50000,$B$4,缺陷明细!$G$2:$G$50000,$C41,缺陷明细!$J$2:$J$50000,"系统测试",缺陷明细!$K$2:$K$50000,"严重",缺陷明细!$AB$2:$AB$50000,"&lt;&gt;丢弃",缺陷明细!$AB$2:$AB$50000,"&lt;&gt;设计如此",缺陷明细!$AB$2:$AB$50000,"&lt;&gt;重复Bug")</f>
        <v>0</v>
      </c>
      <c r="T41" s="73">
        <f>COUNTIFS(缺陷明细!$A$2:$A$50000,$B$4,缺陷明细!$G$2:$G$50000,$C41,缺陷明细!$Q$2:$Q$50000,"已关闭",缺陷明细!$J$2:$J$50000,"系统测试",缺陷明细!$K$2:$K$50000,"致命")+COUNTIFS(缺陷明细!$A$2:$A$50000,$B$4,缺陷明细!$G$2:$G$50000,$C41,缺陷明细!$Q$2:$Q$50000,"已关闭",缺陷明细!$J$2:$J$50000,"系统测试",缺陷明细!$K$2:$K$50000,"严重")</f>
        <v>0</v>
      </c>
      <c r="U41" s="74">
        <f>COUNTIFS(缺陷明细!$A$2:$A$50000,$B$4,缺陷明细!$G$2:$G$50000,$C41,缺陷明细!$J$2:$J$50000,"验收测试",缺陷明细!$AB$2:$AB$50000,"&lt;&gt;丢弃",缺陷明细!$AB$2:$AB$50000,"&lt;&gt;设计如此",缺陷明细!$AB$2:$AB$50000,"&lt;&gt;重复Bug")</f>
        <v>0</v>
      </c>
      <c r="V41" s="75">
        <f>COUNTIFS(缺陷明细!$A$2:$A$50000,$B$4,缺陷明细!$G$2:$G$50000,$C41,缺陷明细!$Q$2:$Q$50000,"已关闭",缺陷明细!$J$2:$J$50000,"验收测试")</f>
        <v>0</v>
      </c>
      <c r="W41" s="75">
        <f>COUNTIFS(缺陷明细!$A$2:$A$50000,$B$4,缺陷明细!$G$2:$G$50000,$C41,缺陷明细!$J$2:$J$50000,"验收测试",缺陷明细!$K$2:$K$50000,"致命",缺陷明细!$AB$2:$AB$50000,"&lt;&gt;丢弃",缺陷明细!$AB$2:$AB$50000,"&lt;&gt;设计如此",缺陷明细!$AB$2:$AB$50000,"&lt;&gt;重复Bug")+COUNTIFS(缺陷明细!$A$2:$A$50000,$B$4,缺陷明细!$G$2:$G$50000,$C41,缺陷明细!$J$2:$J$50000,"验收测试",缺陷明细!$K$2:$K$50000,"严重",缺陷明细!$AB$2:$AB$50000,"&lt;&gt;丢弃",缺陷明细!$AB$2:$AB$50000,"&lt;&gt;设计如此",缺陷明细!$AB$2:$AB$50000,"&lt;&gt;重复Bug")</f>
        <v>0</v>
      </c>
      <c r="X41" s="76">
        <f>COUNTIFS(缺陷明细!$A$2:$A$50000,$B$4,缺陷明细!$G$2:$G$50000,$C41,缺陷明细!$Q$2:$Q$50000,"已关闭",缺陷明细!$J$2:$J$50000,"验收测试",缺陷明细!$K$2:$K$50000,"致命")+COUNTIFS(缺陷明细!$A$2:$A$50000,$B$4,缺陷明细!$G$2:$G$50000,$C41,缺陷明细!$Q$2:$Q$50000,"已关闭",缺陷明细!$J$2:$J$50000,"验收测试",缺陷明细!$K$2:$K$50000,"严重")</f>
        <v>0</v>
      </c>
      <c r="Y41" s="70">
        <f>COUNTIFS(缺陷明细!$A$2:$A$50000,$B$4,缺陷明细!$G$2:$G$50000,$C41,缺陷明细!$J$2:$J$50000,"运维测试",缺陷明细!$AB$2:$AB$50000,"&lt;&gt;丢弃",缺陷明细!$AB$2:$AB$50000,"&lt;&gt;设计如此",缺陷明细!$AB$2:$AB$50000,"&lt;&gt;重复Bug")</f>
        <v>0</v>
      </c>
      <c r="Z41" s="71">
        <f>COUNTIFS(缺陷明细!$A$2:$A$50000,$B$4,缺陷明细!$G$2:$G$50000,$C41,缺陷明细!$Q$2:$Q$50000,"已关闭",缺陷明细!$J$2:$J$50000,"运维测试")</f>
        <v>0</v>
      </c>
      <c r="AA41" s="72">
        <f>COUNTIFS(缺陷明细!$A$2:$A$50000,$B$4,缺陷明细!$G$2:$G$50000,$C41,缺陷明细!$J$2:$J$50000,"运维测试",缺陷明细!$K$2:$K$50000,"致命",缺陷明细!$AB$2:$AB$50000,"&lt;&gt;丢弃",缺陷明细!$AB$2:$AB$50000,"&lt;&gt;设计如此",缺陷明细!$AB$2:$AB$50000,"&lt;&gt;重复Bug")+COUNTIFS(缺陷明细!$A$2:$A$50000,$B$4,缺陷明细!$G$2:$G$50000,$C41,缺陷明细!$J$2:$J$50000,"运维测试",缺陷明细!$K$2:$K$50000,"严重",缺陷明细!$AB$2:$AB$50000,"&lt;&gt;丢弃",缺陷明细!$AB$2:$AB$50000,"&lt;&gt;设计如此",缺陷明细!$AB$2:$AB$50000,"&lt;&gt;重复Bug")</f>
        <v>0</v>
      </c>
      <c r="AB41" s="73">
        <f>COUNTIFS(缺陷明细!$A$2:$A$50000,$B$4,缺陷明细!$G$2:$G$50000,$C41,缺陷明细!$Q$2:$Q$50000,"已关闭",缺陷明细!$J$2:$J$50000,"运维测试",缺陷明细!$K$2:$K$50000,"致命")+COUNTIFS(缺陷明细!$A$2:$A$50000,$B$4,缺陷明细!$G$2:$G$50000,$C41,缺陷明细!$Q$2:$Q$50000,"已关闭",缺陷明细!$J$2:$J$50000,"运维测试",缺陷明细!$K$2:$K$50000,"严重")</f>
        <v>0</v>
      </c>
      <c r="AC41" s="68">
        <f t="shared" si="0"/>
        <v>0</v>
      </c>
      <c r="AD41" s="60">
        <f t="shared" si="0"/>
        <v>0</v>
      </c>
      <c r="AE41" s="60">
        <f t="shared" si="1"/>
        <v>0</v>
      </c>
      <c r="AF41" s="60">
        <f t="shared" si="1"/>
        <v>0</v>
      </c>
      <c r="AG41" s="60">
        <f t="shared" si="2"/>
        <v>0</v>
      </c>
      <c r="AH41" s="60">
        <f t="shared" si="2"/>
        <v>0</v>
      </c>
      <c r="AI41" s="60">
        <f t="shared" si="3"/>
        <v>0</v>
      </c>
      <c r="AJ41" s="61">
        <f t="shared" si="3"/>
        <v>0</v>
      </c>
      <c r="AK41" s="144"/>
    </row>
    <row r="42" spans="1:37">
      <c r="A42">
        <v>38</v>
      </c>
      <c r="B42" s="57"/>
      <c r="C42" s="58"/>
      <c r="D42" s="84"/>
      <c r="E42" s="82"/>
      <c r="F42" s="158"/>
      <c r="G42" s="159"/>
      <c r="H42" s="281">
        <f>COUNTIFS(缺陷明细!$A$2:$A$50000,$B$4,缺陷明细!$G$2:$G$50000,$C42,缺陷明细!$J$2:$J$50000,"评审",缺陷明细!$AB$2:$AB$50000,"&lt;&gt;丢弃",缺陷明细!$AB$2:$AB$50000,"&lt;&gt;设计如此",缺陷明细!$AB$2:$AB$50000,"&lt;&gt;重复Bug")</f>
        <v>0</v>
      </c>
      <c r="I42" s="154">
        <f>COUNTIFS(缺陷明细!$A$2:$A$50000,$B$4,缺陷明细!$G$2:$G$50000,$C42,缺陷明细!$Q$2:$Q$50000,"已关闭",缺陷明细!$J$2:$J$50000,"评审")</f>
        <v>0</v>
      </c>
      <c r="J42" s="154">
        <f>COUNTIFS(缺陷明细!$A$2:$A$50000,$B$4,缺陷明细!$G$2:$G$50000,$C42,缺陷明细!$J$2:$J$50000,"单元测试",缺陷明细!$AB$2:$AB$50000,"&lt;&gt;丢弃",缺陷明细!$AB$2:$AB$50000,"&lt;&gt;设计如此",缺陷明细!$AB$2:$AB$50000,"&lt;&gt;重复Bug")</f>
        <v>0</v>
      </c>
      <c r="K42" s="155">
        <f>COUNTIFS(缺陷明细!$A$2:$A$50000,$B$4,缺陷明细!$G$2:$G$50000,$C42,缺陷明细!$Q$2:$Q$50000,"已关闭",缺陷明细!$J$2:$J$50000,"单元测试")</f>
        <v>0</v>
      </c>
      <c r="L42" s="156"/>
      <c r="M42" s="157"/>
      <c r="N42" s="72">
        <f>COUNTIFS(缺陷明细!$A$2:$A$50000,$B$4,缺陷明细!$G$2:$G$50000,$C42,缺陷明细!$J$2:$J$50000,"系统测试案例评审",缺陷明细!$AB$2:$AB$50000,"&lt;&gt;丢弃",缺陷明细!$AB$2:$AB$50000,"&lt;&gt;设计如此",缺陷明细!$AB$2:$AB$50000,"&lt;&gt;重复Bug")</f>
        <v>0</v>
      </c>
      <c r="O42" s="72">
        <f>COUNTIFS(缺陷明细!$A$2:$A$50000,$B$4,缺陷明细!$G$2:$G$50000,$C42,缺陷明细!$Q$2:$Q$50000,"已关闭",缺陷明细!$J$2:$J$50000,"系统测试案例评审")</f>
        <v>0</v>
      </c>
      <c r="P42" s="72">
        <f>COUNTIFS(缺陷明细!$A$2:$A$50000,$B$4,缺陷明细!$G$2:$G$50000,$C42,缺陷明细!$J$2:$J$50000,"系统测试",缺陷明细!$AB$2:$AB$50000,"&lt;&gt;丢弃",缺陷明细!$AB$2:$AB$50000,"&lt;&gt;设计如此",缺陷明细!$AB$2:$AB$50000,"&lt;&gt;重复Bug")</f>
        <v>0</v>
      </c>
      <c r="Q42" s="72">
        <f>COUNTIFS(缺陷明细!$A$2:$A$50000,$B$4,缺陷明细!$G$2:$G$50000,$C42,缺陷明细!$Q$2:$Q$50000,"已关闭",缺陷明细!$J$2:$J$50000,"系统测试")</f>
        <v>0</v>
      </c>
      <c r="R42" s="296">
        <f>COUNTIFS(缺陷明细!$A$2:$A$50000,$B$4,缺陷明细!$G$2:$G$50000,$C42,缺陷明细!$AB$2:$AB$50000,"丢弃",缺陷明细!$J$2:$J$50000,"系统测试")+COUNTIFS(缺陷明细!$A$2:$A$50000,$B$4,缺陷明细!$G$2:$G$50000,$C42,缺陷明细!$AB$2:$AB$50000,"设计如此",缺陷明细!$J$2:$J$50000,"系统测试")+COUNTIFS(缺陷明细!$A$2:$A$50000,$B$4,缺陷明细!$G$2:$G$50000,$C42,缺陷明细!$AB$2:$AB$50000,"重复Bug",缺陷明细!$J$2:$J$50000,"系统测试")</f>
        <v>0</v>
      </c>
      <c r="S42" s="72">
        <f>COUNTIFS(缺陷明细!$A$2:$A$50000,$B$4,缺陷明细!$G$2:$G$50000,$C42,缺陷明细!$J$2:$J$50000,"系统测试",缺陷明细!$K$2:$K$50000,"致命",缺陷明细!$AB$2:$AB$50000,"&lt;&gt;丢弃",缺陷明细!$AB$2:$AB$50000,"&lt;&gt;设计如此",缺陷明细!$AB$2:$AB$50000,"&lt;&gt;重复Bug")+COUNTIFS(缺陷明细!$A$2:$A$50000,$B$4,缺陷明细!$G$2:$G$50000,$C42,缺陷明细!$J$2:$J$50000,"系统测试",缺陷明细!$K$2:$K$50000,"严重",缺陷明细!$AB$2:$AB$50000,"&lt;&gt;丢弃",缺陷明细!$AB$2:$AB$50000,"&lt;&gt;设计如此",缺陷明细!$AB$2:$AB$50000,"&lt;&gt;重复Bug")</f>
        <v>0</v>
      </c>
      <c r="T42" s="73">
        <f>COUNTIFS(缺陷明细!$A$2:$A$50000,$B$4,缺陷明细!$G$2:$G$50000,$C42,缺陷明细!$Q$2:$Q$50000,"已关闭",缺陷明细!$J$2:$J$50000,"系统测试",缺陷明细!$K$2:$K$50000,"致命")+COUNTIFS(缺陷明细!$A$2:$A$50000,$B$4,缺陷明细!$G$2:$G$50000,$C42,缺陷明细!$Q$2:$Q$50000,"已关闭",缺陷明细!$J$2:$J$50000,"系统测试",缺陷明细!$K$2:$K$50000,"严重")</f>
        <v>0</v>
      </c>
      <c r="U42" s="74">
        <f>COUNTIFS(缺陷明细!$A$2:$A$50000,$B$4,缺陷明细!$G$2:$G$50000,$C42,缺陷明细!$J$2:$J$50000,"验收测试",缺陷明细!$AB$2:$AB$50000,"&lt;&gt;丢弃",缺陷明细!$AB$2:$AB$50000,"&lt;&gt;设计如此",缺陷明细!$AB$2:$AB$50000,"&lt;&gt;重复Bug")</f>
        <v>0</v>
      </c>
      <c r="V42" s="75">
        <f>COUNTIFS(缺陷明细!$A$2:$A$50000,$B$4,缺陷明细!$G$2:$G$50000,$C42,缺陷明细!$Q$2:$Q$50000,"已关闭",缺陷明细!$J$2:$J$50000,"验收测试")</f>
        <v>0</v>
      </c>
      <c r="W42" s="75">
        <f>COUNTIFS(缺陷明细!$A$2:$A$50000,$B$4,缺陷明细!$G$2:$G$50000,$C42,缺陷明细!$J$2:$J$50000,"验收测试",缺陷明细!$K$2:$K$50000,"致命",缺陷明细!$AB$2:$AB$50000,"&lt;&gt;丢弃",缺陷明细!$AB$2:$AB$50000,"&lt;&gt;设计如此",缺陷明细!$AB$2:$AB$50000,"&lt;&gt;重复Bug")+COUNTIFS(缺陷明细!$A$2:$A$50000,$B$4,缺陷明细!$G$2:$G$50000,$C42,缺陷明细!$J$2:$J$50000,"验收测试",缺陷明细!$K$2:$K$50000,"严重",缺陷明细!$AB$2:$AB$50000,"&lt;&gt;丢弃",缺陷明细!$AB$2:$AB$50000,"&lt;&gt;设计如此",缺陷明细!$AB$2:$AB$50000,"&lt;&gt;重复Bug")</f>
        <v>0</v>
      </c>
      <c r="X42" s="76">
        <f>COUNTIFS(缺陷明细!$A$2:$A$50000,$B$4,缺陷明细!$G$2:$G$50000,$C42,缺陷明细!$Q$2:$Q$50000,"已关闭",缺陷明细!$J$2:$J$50000,"验收测试",缺陷明细!$K$2:$K$50000,"致命")+COUNTIFS(缺陷明细!$A$2:$A$50000,$B$4,缺陷明细!$G$2:$G$50000,$C42,缺陷明细!$Q$2:$Q$50000,"已关闭",缺陷明细!$J$2:$J$50000,"验收测试",缺陷明细!$K$2:$K$50000,"严重")</f>
        <v>0</v>
      </c>
      <c r="Y42" s="70">
        <f>COUNTIFS(缺陷明细!$A$2:$A$50000,$B$4,缺陷明细!$G$2:$G$50000,$C42,缺陷明细!$J$2:$J$50000,"运维测试",缺陷明细!$AB$2:$AB$50000,"&lt;&gt;丢弃",缺陷明细!$AB$2:$AB$50000,"&lt;&gt;设计如此",缺陷明细!$AB$2:$AB$50000,"&lt;&gt;重复Bug")</f>
        <v>0</v>
      </c>
      <c r="Z42" s="71">
        <f>COUNTIFS(缺陷明细!$A$2:$A$50000,$B$4,缺陷明细!$G$2:$G$50000,$C42,缺陷明细!$Q$2:$Q$50000,"已关闭",缺陷明细!$J$2:$J$50000,"运维测试")</f>
        <v>0</v>
      </c>
      <c r="AA42" s="72">
        <f>COUNTIFS(缺陷明细!$A$2:$A$50000,$B$4,缺陷明细!$G$2:$G$50000,$C42,缺陷明细!$J$2:$J$50000,"运维测试",缺陷明细!$K$2:$K$50000,"致命",缺陷明细!$AB$2:$AB$50000,"&lt;&gt;丢弃",缺陷明细!$AB$2:$AB$50000,"&lt;&gt;设计如此",缺陷明细!$AB$2:$AB$50000,"&lt;&gt;重复Bug")+COUNTIFS(缺陷明细!$A$2:$A$50000,$B$4,缺陷明细!$G$2:$G$50000,$C42,缺陷明细!$J$2:$J$50000,"运维测试",缺陷明细!$K$2:$K$50000,"严重",缺陷明细!$AB$2:$AB$50000,"&lt;&gt;丢弃",缺陷明细!$AB$2:$AB$50000,"&lt;&gt;设计如此",缺陷明细!$AB$2:$AB$50000,"&lt;&gt;重复Bug")</f>
        <v>0</v>
      </c>
      <c r="AB42" s="73">
        <f>COUNTIFS(缺陷明细!$A$2:$A$50000,$B$4,缺陷明细!$G$2:$G$50000,$C42,缺陷明细!$Q$2:$Q$50000,"已关闭",缺陷明细!$J$2:$J$50000,"运维测试",缺陷明细!$K$2:$K$50000,"致命")+COUNTIFS(缺陷明细!$A$2:$A$50000,$B$4,缺陷明细!$G$2:$G$50000,$C42,缺陷明细!$Q$2:$Q$50000,"已关闭",缺陷明细!$J$2:$J$50000,"运维测试",缺陷明细!$K$2:$K$50000,"严重")</f>
        <v>0</v>
      </c>
      <c r="AC42" s="68">
        <f t="shared" si="0"/>
        <v>0</v>
      </c>
      <c r="AD42" s="60">
        <f t="shared" si="0"/>
        <v>0</v>
      </c>
      <c r="AE42" s="60">
        <f t="shared" si="1"/>
        <v>0</v>
      </c>
      <c r="AF42" s="60">
        <f t="shared" si="1"/>
        <v>0</v>
      </c>
      <c r="AG42" s="60">
        <f t="shared" si="2"/>
        <v>0</v>
      </c>
      <c r="AH42" s="60">
        <f t="shared" si="2"/>
        <v>0</v>
      </c>
      <c r="AI42" s="60">
        <f t="shared" si="3"/>
        <v>0</v>
      </c>
      <c r="AJ42" s="61">
        <f t="shared" si="3"/>
        <v>0</v>
      </c>
      <c r="AK42" s="144"/>
    </row>
    <row r="43" spans="1:37">
      <c r="A43">
        <v>39</v>
      </c>
      <c r="B43" s="57"/>
      <c r="C43" s="58"/>
      <c r="D43" s="84"/>
      <c r="E43" s="82"/>
      <c r="F43" s="158"/>
      <c r="G43" s="159"/>
      <c r="H43" s="281">
        <f>COUNTIFS(缺陷明细!$A$2:$A$50000,$B$4,缺陷明细!$G$2:$G$50000,$C43,缺陷明细!$J$2:$J$50000,"评审",缺陷明细!$AB$2:$AB$50000,"&lt;&gt;丢弃",缺陷明细!$AB$2:$AB$50000,"&lt;&gt;设计如此",缺陷明细!$AB$2:$AB$50000,"&lt;&gt;重复Bug")</f>
        <v>0</v>
      </c>
      <c r="I43" s="154">
        <f>COUNTIFS(缺陷明细!$A$2:$A$50000,$B$4,缺陷明细!$G$2:$G$50000,$C43,缺陷明细!$Q$2:$Q$50000,"已关闭",缺陷明细!$J$2:$J$50000,"评审")</f>
        <v>0</v>
      </c>
      <c r="J43" s="154">
        <f>COUNTIFS(缺陷明细!$A$2:$A$50000,$B$4,缺陷明细!$G$2:$G$50000,$C43,缺陷明细!$J$2:$J$50000,"单元测试",缺陷明细!$AB$2:$AB$50000,"&lt;&gt;丢弃",缺陷明细!$AB$2:$AB$50000,"&lt;&gt;设计如此",缺陷明细!$AB$2:$AB$50000,"&lt;&gt;重复Bug")</f>
        <v>0</v>
      </c>
      <c r="K43" s="155">
        <f>COUNTIFS(缺陷明细!$A$2:$A$50000,$B$4,缺陷明细!$G$2:$G$50000,$C43,缺陷明细!$Q$2:$Q$50000,"已关闭",缺陷明细!$J$2:$J$50000,"单元测试")</f>
        <v>0</v>
      </c>
      <c r="L43" s="156"/>
      <c r="M43" s="157"/>
      <c r="N43" s="72">
        <f>COUNTIFS(缺陷明细!$A$2:$A$50000,$B$4,缺陷明细!$G$2:$G$50000,$C43,缺陷明细!$J$2:$J$50000,"系统测试案例评审",缺陷明细!$AB$2:$AB$50000,"&lt;&gt;丢弃",缺陷明细!$AB$2:$AB$50000,"&lt;&gt;设计如此",缺陷明细!$AB$2:$AB$50000,"&lt;&gt;重复Bug")</f>
        <v>0</v>
      </c>
      <c r="O43" s="72">
        <f>COUNTIFS(缺陷明细!$A$2:$A$50000,$B$4,缺陷明细!$G$2:$G$50000,$C43,缺陷明细!$Q$2:$Q$50000,"已关闭",缺陷明细!$J$2:$J$50000,"系统测试案例评审")</f>
        <v>0</v>
      </c>
      <c r="P43" s="72">
        <f>COUNTIFS(缺陷明细!$A$2:$A$50000,$B$4,缺陷明细!$G$2:$G$50000,$C43,缺陷明细!$J$2:$J$50000,"系统测试",缺陷明细!$AB$2:$AB$50000,"&lt;&gt;丢弃",缺陷明细!$AB$2:$AB$50000,"&lt;&gt;设计如此",缺陷明细!$AB$2:$AB$50000,"&lt;&gt;重复Bug")</f>
        <v>0</v>
      </c>
      <c r="Q43" s="72">
        <f>COUNTIFS(缺陷明细!$A$2:$A$50000,$B$4,缺陷明细!$G$2:$G$50000,$C43,缺陷明细!$Q$2:$Q$50000,"已关闭",缺陷明细!$J$2:$J$50000,"系统测试")</f>
        <v>0</v>
      </c>
      <c r="R43" s="296">
        <f>COUNTIFS(缺陷明细!$A$2:$A$50000,$B$4,缺陷明细!$G$2:$G$50000,$C43,缺陷明细!$AB$2:$AB$50000,"丢弃",缺陷明细!$J$2:$J$50000,"系统测试")+COUNTIFS(缺陷明细!$A$2:$A$50000,$B$4,缺陷明细!$G$2:$G$50000,$C43,缺陷明细!$AB$2:$AB$50000,"设计如此",缺陷明细!$J$2:$J$50000,"系统测试")+COUNTIFS(缺陷明细!$A$2:$A$50000,$B$4,缺陷明细!$G$2:$G$50000,$C43,缺陷明细!$AB$2:$AB$50000,"重复Bug",缺陷明细!$J$2:$J$50000,"系统测试")</f>
        <v>0</v>
      </c>
      <c r="S43" s="72">
        <f>COUNTIFS(缺陷明细!$A$2:$A$50000,$B$4,缺陷明细!$G$2:$G$50000,$C43,缺陷明细!$J$2:$J$50000,"系统测试",缺陷明细!$K$2:$K$50000,"致命",缺陷明细!$AB$2:$AB$50000,"&lt;&gt;丢弃",缺陷明细!$AB$2:$AB$50000,"&lt;&gt;设计如此",缺陷明细!$AB$2:$AB$50000,"&lt;&gt;重复Bug")+COUNTIFS(缺陷明细!$A$2:$A$50000,$B$4,缺陷明细!$G$2:$G$50000,$C43,缺陷明细!$J$2:$J$50000,"系统测试",缺陷明细!$K$2:$K$50000,"严重",缺陷明细!$AB$2:$AB$50000,"&lt;&gt;丢弃",缺陷明细!$AB$2:$AB$50000,"&lt;&gt;设计如此",缺陷明细!$AB$2:$AB$50000,"&lt;&gt;重复Bug")</f>
        <v>0</v>
      </c>
      <c r="T43" s="73">
        <f>COUNTIFS(缺陷明细!$A$2:$A$50000,$B$4,缺陷明细!$G$2:$G$50000,$C43,缺陷明细!$Q$2:$Q$50000,"已关闭",缺陷明细!$J$2:$J$50000,"系统测试",缺陷明细!$K$2:$K$50000,"致命")+COUNTIFS(缺陷明细!$A$2:$A$50000,$B$4,缺陷明细!$G$2:$G$50000,$C43,缺陷明细!$Q$2:$Q$50000,"已关闭",缺陷明细!$J$2:$J$50000,"系统测试",缺陷明细!$K$2:$K$50000,"严重")</f>
        <v>0</v>
      </c>
      <c r="U43" s="74">
        <f>COUNTIFS(缺陷明细!$A$2:$A$50000,$B$4,缺陷明细!$G$2:$G$50000,$C43,缺陷明细!$J$2:$J$50000,"验收测试",缺陷明细!$AB$2:$AB$50000,"&lt;&gt;丢弃",缺陷明细!$AB$2:$AB$50000,"&lt;&gt;设计如此",缺陷明细!$AB$2:$AB$50000,"&lt;&gt;重复Bug")</f>
        <v>0</v>
      </c>
      <c r="V43" s="75">
        <f>COUNTIFS(缺陷明细!$A$2:$A$50000,$B$4,缺陷明细!$G$2:$G$50000,$C43,缺陷明细!$Q$2:$Q$50000,"已关闭",缺陷明细!$J$2:$J$50000,"验收测试")</f>
        <v>0</v>
      </c>
      <c r="W43" s="75">
        <f>COUNTIFS(缺陷明细!$A$2:$A$50000,$B$4,缺陷明细!$G$2:$G$50000,$C43,缺陷明细!$J$2:$J$50000,"验收测试",缺陷明细!$K$2:$K$50000,"致命",缺陷明细!$AB$2:$AB$50000,"&lt;&gt;丢弃",缺陷明细!$AB$2:$AB$50000,"&lt;&gt;设计如此",缺陷明细!$AB$2:$AB$50000,"&lt;&gt;重复Bug")+COUNTIFS(缺陷明细!$A$2:$A$50000,$B$4,缺陷明细!$G$2:$G$50000,$C43,缺陷明细!$J$2:$J$50000,"验收测试",缺陷明细!$K$2:$K$50000,"严重",缺陷明细!$AB$2:$AB$50000,"&lt;&gt;丢弃",缺陷明细!$AB$2:$AB$50000,"&lt;&gt;设计如此",缺陷明细!$AB$2:$AB$50000,"&lt;&gt;重复Bug")</f>
        <v>0</v>
      </c>
      <c r="X43" s="76">
        <f>COUNTIFS(缺陷明细!$A$2:$A$50000,$B$4,缺陷明细!$G$2:$G$50000,$C43,缺陷明细!$Q$2:$Q$50000,"已关闭",缺陷明细!$J$2:$J$50000,"验收测试",缺陷明细!$K$2:$K$50000,"致命")+COUNTIFS(缺陷明细!$A$2:$A$50000,$B$4,缺陷明细!$G$2:$G$50000,$C43,缺陷明细!$Q$2:$Q$50000,"已关闭",缺陷明细!$J$2:$J$50000,"验收测试",缺陷明细!$K$2:$K$50000,"严重")</f>
        <v>0</v>
      </c>
      <c r="Y43" s="70">
        <f>COUNTIFS(缺陷明细!$A$2:$A$50000,$B$4,缺陷明细!$G$2:$G$50000,$C43,缺陷明细!$J$2:$J$50000,"运维测试",缺陷明细!$AB$2:$AB$50000,"&lt;&gt;丢弃",缺陷明细!$AB$2:$AB$50000,"&lt;&gt;设计如此",缺陷明细!$AB$2:$AB$50000,"&lt;&gt;重复Bug")</f>
        <v>0</v>
      </c>
      <c r="Z43" s="71">
        <f>COUNTIFS(缺陷明细!$A$2:$A$50000,$B$4,缺陷明细!$G$2:$G$50000,$C43,缺陷明细!$Q$2:$Q$50000,"已关闭",缺陷明细!$J$2:$J$50000,"运维测试")</f>
        <v>0</v>
      </c>
      <c r="AA43" s="72">
        <f>COUNTIFS(缺陷明细!$A$2:$A$50000,$B$4,缺陷明细!$G$2:$G$50000,$C43,缺陷明细!$J$2:$J$50000,"运维测试",缺陷明细!$K$2:$K$50000,"致命",缺陷明细!$AB$2:$AB$50000,"&lt;&gt;丢弃",缺陷明细!$AB$2:$AB$50000,"&lt;&gt;设计如此",缺陷明细!$AB$2:$AB$50000,"&lt;&gt;重复Bug")+COUNTIFS(缺陷明细!$A$2:$A$50000,$B$4,缺陷明细!$G$2:$G$50000,$C43,缺陷明细!$J$2:$J$50000,"运维测试",缺陷明细!$K$2:$K$50000,"严重",缺陷明细!$AB$2:$AB$50000,"&lt;&gt;丢弃",缺陷明细!$AB$2:$AB$50000,"&lt;&gt;设计如此",缺陷明细!$AB$2:$AB$50000,"&lt;&gt;重复Bug")</f>
        <v>0</v>
      </c>
      <c r="AB43" s="73">
        <f>COUNTIFS(缺陷明细!$A$2:$A$50000,$B$4,缺陷明细!$G$2:$G$50000,$C43,缺陷明细!$Q$2:$Q$50000,"已关闭",缺陷明细!$J$2:$J$50000,"运维测试",缺陷明细!$K$2:$K$50000,"致命")+COUNTIFS(缺陷明细!$A$2:$A$50000,$B$4,缺陷明细!$G$2:$G$50000,$C43,缺陷明细!$Q$2:$Q$50000,"已关闭",缺陷明细!$J$2:$J$50000,"运维测试",缺陷明细!$K$2:$K$50000,"严重")</f>
        <v>0</v>
      </c>
      <c r="AC43" s="68">
        <f t="shared" si="0"/>
        <v>0</v>
      </c>
      <c r="AD43" s="60">
        <f t="shared" si="0"/>
        <v>0</v>
      </c>
      <c r="AE43" s="60">
        <f t="shared" si="1"/>
        <v>0</v>
      </c>
      <c r="AF43" s="60">
        <f t="shared" si="1"/>
        <v>0</v>
      </c>
      <c r="AG43" s="60">
        <f t="shared" si="2"/>
        <v>0</v>
      </c>
      <c r="AH43" s="60">
        <f t="shared" si="2"/>
        <v>0</v>
      </c>
      <c r="AI43" s="60">
        <f t="shared" si="3"/>
        <v>0</v>
      </c>
      <c r="AJ43" s="61">
        <f t="shared" si="3"/>
        <v>0</v>
      </c>
      <c r="AK43" s="144"/>
    </row>
    <row r="44" spans="1:37">
      <c r="A44">
        <v>40</v>
      </c>
      <c r="B44" s="57"/>
      <c r="C44" s="58"/>
      <c r="D44" s="84"/>
      <c r="E44" s="82"/>
      <c r="F44" s="158"/>
      <c r="G44" s="159"/>
      <c r="H44" s="281">
        <f>COUNTIFS(缺陷明细!$A$2:$A$50000,$B$4,缺陷明细!$G$2:$G$50000,$C44,缺陷明细!$J$2:$J$50000,"评审",缺陷明细!$AB$2:$AB$50000,"&lt;&gt;丢弃",缺陷明细!$AB$2:$AB$50000,"&lt;&gt;设计如此",缺陷明细!$AB$2:$AB$50000,"&lt;&gt;重复Bug")</f>
        <v>0</v>
      </c>
      <c r="I44" s="154">
        <f>COUNTIFS(缺陷明细!$A$2:$A$50000,$B$4,缺陷明细!$G$2:$G$50000,$C44,缺陷明细!$Q$2:$Q$50000,"已关闭",缺陷明细!$J$2:$J$50000,"评审")</f>
        <v>0</v>
      </c>
      <c r="J44" s="154">
        <f>COUNTIFS(缺陷明细!$A$2:$A$50000,$B$4,缺陷明细!$G$2:$G$50000,$C44,缺陷明细!$J$2:$J$50000,"单元测试",缺陷明细!$AB$2:$AB$50000,"&lt;&gt;丢弃",缺陷明细!$AB$2:$AB$50000,"&lt;&gt;设计如此",缺陷明细!$AB$2:$AB$50000,"&lt;&gt;重复Bug")</f>
        <v>0</v>
      </c>
      <c r="K44" s="155">
        <f>COUNTIFS(缺陷明细!$A$2:$A$50000,$B$4,缺陷明细!$G$2:$G$50000,$C44,缺陷明细!$Q$2:$Q$50000,"已关闭",缺陷明细!$J$2:$J$50000,"单元测试")</f>
        <v>0</v>
      </c>
      <c r="L44" s="156"/>
      <c r="M44" s="157"/>
      <c r="N44" s="72">
        <f>COUNTIFS(缺陷明细!$A$2:$A$50000,$B$4,缺陷明细!$G$2:$G$50000,$C44,缺陷明细!$J$2:$J$50000,"系统测试案例评审",缺陷明细!$AB$2:$AB$50000,"&lt;&gt;丢弃",缺陷明细!$AB$2:$AB$50000,"&lt;&gt;设计如此",缺陷明细!$AB$2:$AB$50000,"&lt;&gt;重复Bug")</f>
        <v>0</v>
      </c>
      <c r="O44" s="72">
        <f>COUNTIFS(缺陷明细!$A$2:$A$50000,$B$4,缺陷明细!$G$2:$G$50000,$C44,缺陷明细!$Q$2:$Q$50000,"已关闭",缺陷明细!$J$2:$J$50000,"系统测试案例评审")</f>
        <v>0</v>
      </c>
      <c r="P44" s="72">
        <f>COUNTIFS(缺陷明细!$A$2:$A$50000,$B$4,缺陷明细!$G$2:$G$50000,$C44,缺陷明细!$J$2:$J$50000,"系统测试",缺陷明细!$AB$2:$AB$50000,"&lt;&gt;丢弃",缺陷明细!$AB$2:$AB$50000,"&lt;&gt;设计如此",缺陷明细!$AB$2:$AB$50000,"&lt;&gt;重复Bug")</f>
        <v>0</v>
      </c>
      <c r="Q44" s="72">
        <f>COUNTIFS(缺陷明细!$A$2:$A$50000,$B$4,缺陷明细!$G$2:$G$50000,$C44,缺陷明细!$Q$2:$Q$50000,"已关闭",缺陷明细!$J$2:$J$50000,"系统测试")</f>
        <v>0</v>
      </c>
      <c r="R44" s="296">
        <f>COUNTIFS(缺陷明细!$A$2:$A$50000,$B$4,缺陷明细!$G$2:$G$50000,$C44,缺陷明细!$AB$2:$AB$50000,"丢弃",缺陷明细!$J$2:$J$50000,"系统测试")+COUNTIFS(缺陷明细!$A$2:$A$50000,$B$4,缺陷明细!$G$2:$G$50000,$C44,缺陷明细!$AB$2:$AB$50000,"设计如此",缺陷明细!$J$2:$J$50000,"系统测试")+COUNTIFS(缺陷明细!$A$2:$A$50000,$B$4,缺陷明细!$G$2:$G$50000,$C44,缺陷明细!$AB$2:$AB$50000,"重复Bug",缺陷明细!$J$2:$J$50000,"系统测试")</f>
        <v>0</v>
      </c>
      <c r="S44" s="72">
        <f>COUNTIFS(缺陷明细!$A$2:$A$50000,$B$4,缺陷明细!$G$2:$G$50000,$C44,缺陷明细!$J$2:$J$50000,"系统测试",缺陷明细!$K$2:$K$50000,"致命",缺陷明细!$AB$2:$AB$50000,"&lt;&gt;丢弃",缺陷明细!$AB$2:$AB$50000,"&lt;&gt;设计如此",缺陷明细!$AB$2:$AB$50000,"&lt;&gt;重复Bug")+COUNTIFS(缺陷明细!$A$2:$A$50000,$B$4,缺陷明细!$G$2:$G$50000,$C44,缺陷明细!$J$2:$J$50000,"系统测试",缺陷明细!$K$2:$K$50000,"严重",缺陷明细!$AB$2:$AB$50000,"&lt;&gt;丢弃",缺陷明细!$AB$2:$AB$50000,"&lt;&gt;设计如此",缺陷明细!$AB$2:$AB$50000,"&lt;&gt;重复Bug")</f>
        <v>0</v>
      </c>
      <c r="T44" s="73">
        <f>COUNTIFS(缺陷明细!$A$2:$A$50000,$B$4,缺陷明细!$G$2:$G$50000,$C44,缺陷明细!$Q$2:$Q$50000,"已关闭",缺陷明细!$J$2:$J$50000,"系统测试",缺陷明细!$K$2:$K$50000,"致命")+COUNTIFS(缺陷明细!$A$2:$A$50000,$B$4,缺陷明细!$G$2:$G$50000,$C44,缺陷明细!$Q$2:$Q$50000,"已关闭",缺陷明细!$J$2:$J$50000,"系统测试",缺陷明细!$K$2:$K$50000,"严重")</f>
        <v>0</v>
      </c>
      <c r="U44" s="74">
        <f>COUNTIFS(缺陷明细!$A$2:$A$50000,$B$4,缺陷明细!$G$2:$G$50000,$C44,缺陷明细!$J$2:$J$50000,"验收测试",缺陷明细!$AB$2:$AB$50000,"&lt;&gt;丢弃",缺陷明细!$AB$2:$AB$50000,"&lt;&gt;设计如此",缺陷明细!$AB$2:$AB$50000,"&lt;&gt;重复Bug")</f>
        <v>0</v>
      </c>
      <c r="V44" s="75">
        <f>COUNTIFS(缺陷明细!$A$2:$A$50000,$B$4,缺陷明细!$G$2:$G$50000,$C44,缺陷明细!$Q$2:$Q$50000,"已关闭",缺陷明细!$J$2:$J$50000,"验收测试")</f>
        <v>0</v>
      </c>
      <c r="W44" s="75">
        <f>COUNTIFS(缺陷明细!$A$2:$A$50000,$B$4,缺陷明细!$G$2:$G$50000,$C44,缺陷明细!$J$2:$J$50000,"验收测试",缺陷明细!$K$2:$K$50000,"致命",缺陷明细!$AB$2:$AB$50000,"&lt;&gt;丢弃",缺陷明细!$AB$2:$AB$50000,"&lt;&gt;设计如此",缺陷明细!$AB$2:$AB$50000,"&lt;&gt;重复Bug")+COUNTIFS(缺陷明细!$A$2:$A$50000,$B$4,缺陷明细!$G$2:$G$50000,$C44,缺陷明细!$J$2:$J$50000,"验收测试",缺陷明细!$K$2:$K$50000,"严重",缺陷明细!$AB$2:$AB$50000,"&lt;&gt;丢弃",缺陷明细!$AB$2:$AB$50000,"&lt;&gt;设计如此",缺陷明细!$AB$2:$AB$50000,"&lt;&gt;重复Bug")</f>
        <v>0</v>
      </c>
      <c r="X44" s="76">
        <f>COUNTIFS(缺陷明细!$A$2:$A$50000,$B$4,缺陷明细!$G$2:$G$50000,$C44,缺陷明细!$Q$2:$Q$50000,"已关闭",缺陷明细!$J$2:$J$50000,"验收测试",缺陷明细!$K$2:$K$50000,"致命")+COUNTIFS(缺陷明细!$A$2:$A$50000,$B$4,缺陷明细!$G$2:$G$50000,$C44,缺陷明细!$Q$2:$Q$50000,"已关闭",缺陷明细!$J$2:$J$50000,"验收测试",缺陷明细!$K$2:$K$50000,"严重")</f>
        <v>0</v>
      </c>
      <c r="Y44" s="70">
        <f>COUNTIFS(缺陷明细!$A$2:$A$50000,$B$4,缺陷明细!$G$2:$G$50000,$C44,缺陷明细!$J$2:$J$50000,"运维测试",缺陷明细!$AB$2:$AB$50000,"&lt;&gt;丢弃",缺陷明细!$AB$2:$AB$50000,"&lt;&gt;设计如此",缺陷明细!$AB$2:$AB$50000,"&lt;&gt;重复Bug")</f>
        <v>0</v>
      </c>
      <c r="Z44" s="71">
        <f>COUNTIFS(缺陷明细!$A$2:$A$50000,$B$4,缺陷明细!$G$2:$G$50000,$C44,缺陷明细!$Q$2:$Q$50000,"已关闭",缺陷明细!$J$2:$J$50000,"运维测试")</f>
        <v>0</v>
      </c>
      <c r="AA44" s="72">
        <f>COUNTIFS(缺陷明细!$A$2:$A$50000,$B$4,缺陷明细!$G$2:$G$50000,$C44,缺陷明细!$J$2:$J$50000,"运维测试",缺陷明细!$K$2:$K$50000,"致命",缺陷明细!$AB$2:$AB$50000,"&lt;&gt;丢弃",缺陷明细!$AB$2:$AB$50000,"&lt;&gt;设计如此",缺陷明细!$AB$2:$AB$50000,"&lt;&gt;重复Bug")+COUNTIFS(缺陷明细!$A$2:$A$50000,$B$4,缺陷明细!$G$2:$G$50000,$C44,缺陷明细!$J$2:$J$50000,"运维测试",缺陷明细!$K$2:$K$50000,"严重",缺陷明细!$AB$2:$AB$50000,"&lt;&gt;丢弃",缺陷明细!$AB$2:$AB$50000,"&lt;&gt;设计如此",缺陷明细!$AB$2:$AB$50000,"&lt;&gt;重复Bug")</f>
        <v>0</v>
      </c>
      <c r="AB44" s="73">
        <f>COUNTIFS(缺陷明细!$A$2:$A$50000,$B$4,缺陷明细!$G$2:$G$50000,$C44,缺陷明细!$Q$2:$Q$50000,"已关闭",缺陷明细!$J$2:$J$50000,"运维测试",缺陷明细!$K$2:$K$50000,"致命")+COUNTIFS(缺陷明细!$A$2:$A$50000,$B$4,缺陷明细!$G$2:$G$50000,$C44,缺陷明细!$Q$2:$Q$50000,"已关闭",缺陷明细!$J$2:$J$50000,"运维测试",缺陷明细!$K$2:$K$50000,"严重")</f>
        <v>0</v>
      </c>
      <c r="AC44" s="68">
        <f t="shared" si="0"/>
        <v>0</v>
      </c>
      <c r="AD44" s="60">
        <f t="shared" si="0"/>
        <v>0</v>
      </c>
      <c r="AE44" s="60">
        <f t="shared" si="1"/>
        <v>0</v>
      </c>
      <c r="AF44" s="60">
        <f t="shared" si="1"/>
        <v>0</v>
      </c>
      <c r="AG44" s="60">
        <f t="shared" si="2"/>
        <v>0</v>
      </c>
      <c r="AH44" s="60">
        <f t="shared" si="2"/>
        <v>0</v>
      </c>
      <c r="AI44" s="60">
        <f t="shared" si="3"/>
        <v>0</v>
      </c>
      <c r="AJ44" s="61">
        <f t="shared" si="3"/>
        <v>0</v>
      </c>
      <c r="AK44" s="144"/>
    </row>
    <row r="45" spans="1:37">
      <c r="A45">
        <v>41</v>
      </c>
      <c r="B45" s="57"/>
      <c r="C45" s="58"/>
      <c r="D45" s="84"/>
      <c r="E45" s="82"/>
      <c r="F45" s="158"/>
      <c r="G45" s="159"/>
      <c r="H45" s="281">
        <f>COUNTIFS(缺陷明细!$A$2:$A$50000,$B$4,缺陷明细!$G$2:$G$50000,$C45,缺陷明细!$J$2:$J$50000,"评审",缺陷明细!$AB$2:$AB$50000,"&lt;&gt;丢弃",缺陷明细!$AB$2:$AB$50000,"&lt;&gt;设计如此",缺陷明细!$AB$2:$AB$50000,"&lt;&gt;重复Bug")</f>
        <v>0</v>
      </c>
      <c r="I45" s="154">
        <f>COUNTIFS(缺陷明细!$A$2:$A$50000,$B$4,缺陷明细!$G$2:$G$50000,$C45,缺陷明细!$Q$2:$Q$50000,"已关闭",缺陷明细!$J$2:$J$50000,"评审")</f>
        <v>0</v>
      </c>
      <c r="J45" s="154">
        <f>COUNTIFS(缺陷明细!$A$2:$A$50000,$B$4,缺陷明细!$G$2:$G$50000,$C45,缺陷明细!$J$2:$J$50000,"单元测试",缺陷明细!$AB$2:$AB$50000,"&lt;&gt;丢弃",缺陷明细!$AB$2:$AB$50000,"&lt;&gt;设计如此",缺陷明细!$AB$2:$AB$50000,"&lt;&gt;重复Bug")</f>
        <v>0</v>
      </c>
      <c r="K45" s="155">
        <f>COUNTIFS(缺陷明细!$A$2:$A$50000,$B$4,缺陷明细!$G$2:$G$50000,$C45,缺陷明细!$Q$2:$Q$50000,"已关闭",缺陷明细!$J$2:$J$50000,"单元测试")</f>
        <v>0</v>
      </c>
      <c r="L45" s="156"/>
      <c r="M45" s="157"/>
      <c r="N45" s="72">
        <f>COUNTIFS(缺陷明细!$A$2:$A$50000,$B$4,缺陷明细!$G$2:$G$50000,$C45,缺陷明细!$J$2:$J$50000,"系统测试案例评审",缺陷明细!$AB$2:$AB$50000,"&lt;&gt;丢弃",缺陷明细!$AB$2:$AB$50000,"&lt;&gt;设计如此",缺陷明细!$AB$2:$AB$50000,"&lt;&gt;重复Bug")</f>
        <v>0</v>
      </c>
      <c r="O45" s="72">
        <f>COUNTIFS(缺陷明细!$A$2:$A$50000,$B$4,缺陷明细!$G$2:$G$50000,$C45,缺陷明细!$Q$2:$Q$50000,"已关闭",缺陷明细!$J$2:$J$50000,"系统测试案例评审")</f>
        <v>0</v>
      </c>
      <c r="P45" s="72">
        <f>COUNTIFS(缺陷明细!$A$2:$A$50000,$B$4,缺陷明细!$G$2:$G$50000,$C45,缺陷明细!$J$2:$J$50000,"系统测试",缺陷明细!$AB$2:$AB$50000,"&lt;&gt;丢弃",缺陷明细!$AB$2:$AB$50000,"&lt;&gt;设计如此",缺陷明细!$AB$2:$AB$50000,"&lt;&gt;重复Bug")</f>
        <v>0</v>
      </c>
      <c r="Q45" s="72">
        <f>COUNTIFS(缺陷明细!$A$2:$A$50000,$B$4,缺陷明细!$G$2:$G$50000,$C45,缺陷明细!$Q$2:$Q$50000,"已关闭",缺陷明细!$J$2:$J$50000,"系统测试")</f>
        <v>0</v>
      </c>
      <c r="R45" s="296">
        <f>COUNTIFS(缺陷明细!$A$2:$A$50000,$B$4,缺陷明细!$G$2:$G$50000,$C45,缺陷明细!$AB$2:$AB$50000,"丢弃",缺陷明细!$J$2:$J$50000,"系统测试")+COUNTIFS(缺陷明细!$A$2:$A$50000,$B$4,缺陷明细!$G$2:$G$50000,$C45,缺陷明细!$AB$2:$AB$50000,"设计如此",缺陷明细!$J$2:$J$50000,"系统测试")+COUNTIFS(缺陷明细!$A$2:$A$50000,$B$4,缺陷明细!$G$2:$G$50000,$C45,缺陷明细!$AB$2:$AB$50000,"重复Bug",缺陷明细!$J$2:$J$50000,"系统测试")</f>
        <v>0</v>
      </c>
      <c r="S45" s="72">
        <f>COUNTIFS(缺陷明细!$A$2:$A$50000,$B$4,缺陷明细!$G$2:$G$50000,$C45,缺陷明细!$J$2:$J$50000,"系统测试",缺陷明细!$K$2:$K$50000,"致命",缺陷明细!$AB$2:$AB$50000,"&lt;&gt;丢弃",缺陷明细!$AB$2:$AB$50000,"&lt;&gt;设计如此",缺陷明细!$AB$2:$AB$50000,"&lt;&gt;重复Bug")+COUNTIFS(缺陷明细!$A$2:$A$50000,$B$4,缺陷明细!$G$2:$G$50000,$C45,缺陷明细!$J$2:$J$50000,"系统测试",缺陷明细!$K$2:$K$50000,"严重",缺陷明细!$AB$2:$AB$50000,"&lt;&gt;丢弃",缺陷明细!$AB$2:$AB$50000,"&lt;&gt;设计如此",缺陷明细!$AB$2:$AB$50000,"&lt;&gt;重复Bug")</f>
        <v>0</v>
      </c>
      <c r="T45" s="73">
        <f>COUNTIFS(缺陷明细!$A$2:$A$50000,$B$4,缺陷明细!$G$2:$G$50000,$C45,缺陷明细!$Q$2:$Q$50000,"已关闭",缺陷明细!$J$2:$J$50000,"系统测试",缺陷明细!$K$2:$K$50000,"致命")+COUNTIFS(缺陷明细!$A$2:$A$50000,$B$4,缺陷明细!$G$2:$G$50000,$C45,缺陷明细!$Q$2:$Q$50000,"已关闭",缺陷明细!$J$2:$J$50000,"系统测试",缺陷明细!$K$2:$K$50000,"严重")</f>
        <v>0</v>
      </c>
      <c r="U45" s="74">
        <f>COUNTIFS(缺陷明细!$A$2:$A$50000,$B$4,缺陷明细!$G$2:$G$50000,$C45,缺陷明细!$J$2:$J$50000,"验收测试",缺陷明细!$AB$2:$AB$50000,"&lt;&gt;丢弃",缺陷明细!$AB$2:$AB$50000,"&lt;&gt;设计如此",缺陷明细!$AB$2:$AB$50000,"&lt;&gt;重复Bug")</f>
        <v>0</v>
      </c>
      <c r="V45" s="75">
        <f>COUNTIFS(缺陷明细!$A$2:$A$50000,$B$4,缺陷明细!$G$2:$G$50000,$C45,缺陷明细!$Q$2:$Q$50000,"已关闭",缺陷明细!$J$2:$J$50000,"验收测试")</f>
        <v>0</v>
      </c>
      <c r="W45" s="75">
        <f>COUNTIFS(缺陷明细!$A$2:$A$50000,$B$4,缺陷明细!$G$2:$G$50000,$C45,缺陷明细!$J$2:$J$50000,"验收测试",缺陷明细!$K$2:$K$50000,"致命",缺陷明细!$AB$2:$AB$50000,"&lt;&gt;丢弃",缺陷明细!$AB$2:$AB$50000,"&lt;&gt;设计如此",缺陷明细!$AB$2:$AB$50000,"&lt;&gt;重复Bug")+COUNTIFS(缺陷明细!$A$2:$A$50000,$B$4,缺陷明细!$G$2:$G$50000,$C45,缺陷明细!$J$2:$J$50000,"验收测试",缺陷明细!$K$2:$K$50000,"严重",缺陷明细!$AB$2:$AB$50000,"&lt;&gt;丢弃",缺陷明细!$AB$2:$AB$50000,"&lt;&gt;设计如此",缺陷明细!$AB$2:$AB$50000,"&lt;&gt;重复Bug")</f>
        <v>0</v>
      </c>
      <c r="X45" s="76">
        <f>COUNTIFS(缺陷明细!$A$2:$A$50000,$B$4,缺陷明细!$G$2:$G$50000,$C45,缺陷明细!$Q$2:$Q$50000,"已关闭",缺陷明细!$J$2:$J$50000,"验收测试",缺陷明细!$K$2:$K$50000,"致命")+COUNTIFS(缺陷明细!$A$2:$A$50000,$B$4,缺陷明细!$G$2:$G$50000,$C45,缺陷明细!$Q$2:$Q$50000,"已关闭",缺陷明细!$J$2:$J$50000,"验收测试",缺陷明细!$K$2:$K$50000,"严重")</f>
        <v>0</v>
      </c>
      <c r="Y45" s="70">
        <f>COUNTIFS(缺陷明细!$A$2:$A$50000,$B$4,缺陷明细!$G$2:$G$50000,$C45,缺陷明细!$J$2:$J$50000,"运维测试",缺陷明细!$AB$2:$AB$50000,"&lt;&gt;丢弃",缺陷明细!$AB$2:$AB$50000,"&lt;&gt;设计如此",缺陷明细!$AB$2:$AB$50000,"&lt;&gt;重复Bug")</f>
        <v>0</v>
      </c>
      <c r="Z45" s="71">
        <f>COUNTIFS(缺陷明细!$A$2:$A$50000,$B$4,缺陷明细!$G$2:$G$50000,$C45,缺陷明细!$Q$2:$Q$50000,"已关闭",缺陷明细!$J$2:$J$50000,"运维测试")</f>
        <v>0</v>
      </c>
      <c r="AA45" s="72">
        <f>COUNTIFS(缺陷明细!$A$2:$A$50000,$B$4,缺陷明细!$G$2:$G$50000,$C45,缺陷明细!$J$2:$J$50000,"运维测试",缺陷明细!$K$2:$K$50000,"致命",缺陷明细!$AB$2:$AB$50000,"&lt;&gt;丢弃",缺陷明细!$AB$2:$AB$50000,"&lt;&gt;设计如此",缺陷明细!$AB$2:$AB$50000,"&lt;&gt;重复Bug")+COUNTIFS(缺陷明细!$A$2:$A$50000,$B$4,缺陷明细!$G$2:$G$50000,$C45,缺陷明细!$J$2:$J$50000,"运维测试",缺陷明细!$K$2:$K$50000,"严重",缺陷明细!$AB$2:$AB$50000,"&lt;&gt;丢弃",缺陷明细!$AB$2:$AB$50000,"&lt;&gt;设计如此",缺陷明细!$AB$2:$AB$50000,"&lt;&gt;重复Bug")</f>
        <v>0</v>
      </c>
      <c r="AB45" s="73">
        <f>COUNTIFS(缺陷明细!$A$2:$A$50000,$B$4,缺陷明细!$G$2:$G$50000,$C45,缺陷明细!$Q$2:$Q$50000,"已关闭",缺陷明细!$J$2:$J$50000,"运维测试",缺陷明细!$K$2:$K$50000,"致命")+COUNTIFS(缺陷明细!$A$2:$A$50000,$B$4,缺陷明细!$G$2:$G$50000,$C45,缺陷明细!$Q$2:$Q$50000,"已关闭",缺陷明细!$J$2:$J$50000,"运维测试",缺陷明细!$K$2:$K$50000,"严重")</f>
        <v>0</v>
      </c>
      <c r="AC45" s="68">
        <f t="shared" si="0"/>
        <v>0</v>
      </c>
      <c r="AD45" s="60">
        <f t="shared" si="0"/>
        <v>0</v>
      </c>
      <c r="AE45" s="60">
        <f t="shared" si="1"/>
        <v>0</v>
      </c>
      <c r="AF45" s="60">
        <f t="shared" si="1"/>
        <v>0</v>
      </c>
      <c r="AG45" s="60">
        <f t="shared" si="2"/>
        <v>0</v>
      </c>
      <c r="AH45" s="60">
        <f t="shared" si="2"/>
        <v>0</v>
      </c>
      <c r="AI45" s="60">
        <f t="shared" si="3"/>
        <v>0</v>
      </c>
      <c r="AJ45" s="61">
        <f t="shared" si="3"/>
        <v>0</v>
      </c>
      <c r="AK45" s="144"/>
    </row>
    <row r="46" spans="1:37">
      <c r="A46">
        <v>42</v>
      </c>
      <c r="B46" s="57"/>
      <c r="C46" s="58"/>
      <c r="D46" s="84"/>
      <c r="E46" s="82"/>
      <c r="F46" s="158"/>
      <c r="G46" s="159"/>
      <c r="H46" s="281">
        <f>COUNTIFS(缺陷明细!$A$2:$A$50000,$B$4,缺陷明细!$G$2:$G$50000,$C46,缺陷明细!$J$2:$J$50000,"评审",缺陷明细!$AB$2:$AB$50000,"&lt;&gt;丢弃",缺陷明细!$AB$2:$AB$50000,"&lt;&gt;设计如此",缺陷明细!$AB$2:$AB$50000,"&lt;&gt;重复Bug")</f>
        <v>0</v>
      </c>
      <c r="I46" s="154">
        <f>COUNTIFS(缺陷明细!$A$2:$A$50000,$B$4,缺陷明细!$G$2:$G$50000,$C46,缺陷明细!$Q$2:$Q$50000,"已关闭",缺陷明细!$J$2:$J$50000,"评审")</f>
        <v>0</v>
      </c>
      <c r="J46" s="154">
        <f>COUNTIFS(缺陷明细!$A$2:$A$50000,$B$4,缺陷明细!$G$2:$G$50000,$C46,缺陷明细!$J$2:$J$50000,"单元测试",缺陷明细!$AB$2:$AB$50000,"&lt;&gt;丢弃",缺陷明细!$AB$2:$AB$50000,"&lt;&gt;设计如此",缺陷明细!$AB$2:$AB$50000,"&lt;&gt;重复Bug")</f>
        <v>0</v>
      </c>
      <c r="K46" s="155">
        <f>COUNTIFS(缺陷明细!$A$2:$A$50000,$B$4,缺陷明细!$G$2:$G$50000,$C46,缺陷明细!$Q$2:$Q$50000,"已关闭",缺陷明细!$J$2:$J$50000,"单元测试")</f>
        <v>0</v>
      </c>
      <c r="L46" s="156"/>
      <c r="M46" s="157"/>
      <c r="N46" s="72">
        <f>COUNTIFS(缺陷明细!$A$2:$A$50000,$B$4,缺陷明细!$G$2:$G$50000,$C46,缺陷明细!$J$2:$J$50000,"系统测试案例评审",缺陷明细!$AB$2:$AB$50000,"&lt;&gt;丢弃",缺陷明细!$AB$2:$AB$50000,"&lt;&gt;设计如此",缺陷明细!$AB$2:$AB$50000,"&lt;&gt;重复Bug")</f>
        <v>0</v>
      </c>
      <c r="O46" s="72">
        <f>COUNTIFS(缺陷明细!$A$2:$A$50000,$B$4,缺陷明细!$G$2:$G$50000,$C46,缺陷明细!$Q$2:$Q$50000,"已关闭",缺陷明细!$J$2:$J$50000,"系统测试案例评审")</f>
        <v>0</v>
      </c>
      <c r="P46" s="72">
        <f>COUNTIFS(缺陷明细!$A$2:$A$50000,$B$4,缺陷明细!$G$2:$G$50000,$C46,缺陷明细!$J$2:$J$50000,"系统测试",缺陷明细!$AB$2:$AB$50000,"&lt;&gt;丢弃",缺陷明细!$AB$2:$AB$50000,"&lt;&gt;设计如此",缺陷明细!$AB$2:$AB$50000,"&lt;&gt;重复Bug")</f>
        <v>0</v>
      </c>
      <c r="Q46" s="72">
        <f>COUNTIFS(缺陷明细!$A$2:$A$50000,$B$4,缺陷明细!$G$2:$G$50000,$C46,缺陷明细!$Q$2:$Q$50000,"已关闭",缺陷明细!$J$2:$J$50000,"系统测试")</f>
        <v>0</v>
      </c>
      <c r="R46" s="296">
        <f>COUNTIFS(缺陷明细!$A$2:$A$50000,$B$4,缺陷明细!$G$2:$G$50000,$C46,缺陷明细!$AB$2:$AB$50000,"丢弃",缺陷明细!$J$2:$J$50000,"系统测试")+COUNTIFS(缺陷明细!$A$2:$A$50000,$B$4,缺陷明细!$G$2:$G$50000,$C46,缺陷明细!$AB$2:$AB$50000,"设计如此",缺陷明细!$J$2:$J$50000,"系统测试")+COUNTIFS(缺陷明细!$A$2:$A$50000,$B$4,缺陷明细!$G$2:$G$50000,$C46,缺陷明细!$AB$2:$AB$50000,"重复Bug",缺陷明细!$J$2:$J$50000,"系统测试")</f>
        <v>0</v>
      </c>
      <c r="S46" s="72">
        <f>COUNTIFS(缺陷明细!$A$2:$A$50000,$B$4,缺陷明细!$G$2:$G$50000,$C46,缺陷明细!$J$2:$J$50000,"系统测试",缺陷明细!$K$2:$K$50000,"致命",缺陷明细!$AB$2:$AB$50000,"&lt;&gt;丢弃",缺陷明细!$AB$2:$AB$50000,"&lt;&gt;设计如此",缺陷明细!$AB$2:$AB$50000,"&lt;&gt;重复Bug")+COUNTIFS(缺陷明细!$A$2:$A$50000,$B$4,缺陷明细!$G$2:$G$50000,$C46,缺陷明细!$J$2:$J$50000,"系统测试",缺陷明细!$K$2:$K$50000,"严重",缺陷明细!$AB$2:$AB$50000,"&lt;&gt;丢弃",缺陷明细!$AB$2:$AB$50000,"&lt;&gt;设计如此",缺陷明细!$AB$2:$AB$50000,"&lt;&gt;重复Bug")</f>
        <v>0</v>
      </c>
      <c r="T46" s="73">
        <f>COUNTIFS(缺陷明细!$A$2:$A$50000,$B$4,缺陷明细!$G$2:$G$50000,$C46,缺陷明细!$Q$2:$Q$50000,"已关闭",缺陷明细!$J$2:$J$50000,"系统测试",缺陷明细!$K$2:$K$50000,"致命")+COUNTIFS(缺陷明细!$A$2:$A$50000,$B$4,缺陷明细!$G$2:$G$50000,$C46,缺陷明细!$Q$2:$Q$50000,"已关闭",缺陷明细!$J$2:$J$50000,"系统测试",缺陷明细!$K$2:$K$50000,"严重")</f>
        <v>0</v>
      </c>
      <c r="U46" s="74">
        <f>COUNTIFS(缺陷明细!$A$2:$A$50000,$B$4,缺陷明细!$G$2:$G$50000,$C46,缺陷明细!$J$2:$J$50000,"验收测试",缺陷明细!$AB$2:$AB$50000,"&lt;&gt;丢弃",缺陷明细!$AB$2:$AB$50000,"&lt;&gt;设计如此",缺陷明细!$AB$2:$AB$50000,"&lt;&gt;重复Bug")</f>
        <v>0</v>
      </c>
      <c r="V46" s="75">
        <f>COUNTIFS(缺陷明细!$A$2:$A$50000,$B$4,缺陷明细!$G$2:$G$50000,$C46,缺陷明细!$Q$2:$Q$50000,"已关闭",缺陷明细!$J$2:$J$50000,"验收测试")</f>
        <v>0</v>
      </c>
      <c r="W46" s="75">
        <f>COUNTIFS(缺陷明细!$A$2:$A$50000,$B$4,缺陷明细!$G$2:$G$50000,$C46,缺陷明细!$J$2:$J$50000,"验收测试",缺陷明细!$K$2:$K$50000,"致命",缺陷明细!$AB$2:$AB$50000,"&lt;&gt;丢弃",缺陷明细!$AB$2:$AB$50000,"&lt;&gt;设计如此",缺陷明细!$AB$2:$AB$50000,"&lt;&gt;重复Bug")+COUNTIFS(缺陷明细!$A$2:$A$50000,$B$4,缺陷明细!$G$2:$G$50000,$C46,缺陷明细!$J$2:$J$50000,"验收测试",缺陷明细!$K$2:$K$50000,"严重",缺陷明细!$AB$2:$AB$50000,"&lt;&gt;丢弃",缺陷明细!$AB$2:$AB$50000,"&lt;&gt;设计如此",缺陷明细!$AB$2:$AB$50000,"&lt;&gt;重复Bug")</f>
        <v>0</v>
      </c>
      <c r="X46" s="76">
        <f>COUNTIFS(缺陷明细!$A$2:$A$50000,$B$4,缺陷明细!$G$2:$G$50000,$C46,缺陷明细!$Q$2:$Q$50000,"已关闭",缺陷明细!$J$2:$J$50000,"验收测试",缺陷明细!$K$2:$K$50000,"致命")+COUNTIFS(缺陷明细!$A$2:$A$50000,$B$4,缺陷明细!$G$2:$G$50000,$C46,缺陷明细!$Q$2:$Q$50000,"已关闭",缺陷明细!$J$2:$J$50000,"验收测试",缺陷明细!$K$2:$K$50000,"严重")</f>
        <v>0</v>
      </c>
      <c r="Y46" s="70">
        <f>COUNTIFS(缺陷明细!$A$2:$A$50000,$B$4,缺陷明细!$G$2:$G$50000,$C46,缺陷明细!$J$2:$J$50000,"运维测试",缺陷明细!$AB$2:$AB$50000,"&lt;&gt;丢弃",缺陷明细!$AB$2:$AB$50000,"&lt;&gt;设计如此",缺陷明细!$AB$2:$AB$50000,"&lt;&gt;重复Bug")</f>
        <v>0</v>
      </c>
      <c r="Z46" s="71">
        <f>COUNTIFS(缺陷明细!$A$2:$A$50000,$B$4,缺陷明细!$G$2:$G$50000,$C46,缺陷明细!$Q$2:$Q$50000,"已关闭",缺陷明细!$J$2:$J$50000,"运维测试")</f>
        <v>0</v>
      </c>
      <c r="AA46" s="72">
        <f>COUNTIFS(缺陷明细!$A$2:$A$50000,$B$4,缺陷明细!$G$2:$G$50000,$C46,缺陷明细!$J$2:$J$50000,"运维测试",缺陷明细!$K$2:$K$50000,"致命",缺陷明细!$AB$2:$AB$50000,"&lt;&gt;丢弃",缺陷明细!$AB$2:$AB$50000,"&lt;&gt;设计如此",缺陷明细!$AB$2:$AB$50000,"&lt;&gt;重复Bug")+COUNTIFS(缺陷明细!$A$2:$A$50000,$B$4,缺陷明细!$G$2:$G$50000,$C46,缺陷明细!$J$2:$J$50000,"运维测试",缺陷明细!$K$2:$K$50000,"严重",缺陷明细!$AB$2:$AB$50000,"&lt;&gt;丢弃",缺陷明细!$AB$2:$AB$50000,"&lt;&gt;设计如此",缺陷明细!$AB$2:$AB$50000,"&lt;&gt;重复Bug")</f>
        <v>0</v>
      </c>
      <c r="AB46" s="73">
        <f>COUNTIFS(缺陷明细!$A$2:$A$50000,$B$4,缺陷明细!$G$2:$G$50000,$C46,缺陷明细!$Q$2:$Q$50000,"已关闭",缺陷明细!$J$2:$J$50000,"运维测试",缺陷明细!$K$2:$K$50000,"致命")+COUNTIFS(缺陷明细!$A$2:$A$50000,$B$4,缺陷明细!$G$2:$G$50000,$C46,缺陷明细!$Q$2:$Q$50000,"已关闭",缺陷明细!$J$2:$J$50000,"运维测试",缺陷明细!$K$2:$K$50000,"严重")</f>
        <v>0</v>
      </c>
      <c r="AC46" s="68">
        <f t="shared" si="0"/>
        <v>0</v>
      </c>
      <c r="AD46" s="60">
        <f t="shared" si="0"/>
        <v>0</v>
      </c>
      <c r="AE46" s="60">
        <f t="shared" si="1"/>
        <v>0</v>
      </c>
      <c r="AF46" s="60">
        <f t="shared" si="1"/>
        <v>0</v>
      </c>
      <c r="AG46" s="60">
        <f t="shared" si="2"/>
        <v>0</v>
      </c>
      <c r="AH46" s="60">
        <f t="shared" si="2"/>
        <v>0</v>
      </c>
      <c r="AI46" s="60">
        <f t="shared" si="3"/>
        <v>0</v>
      </c>
      <c r="AJ46" s="61">
        <f t="shared" si="3"/>
        <v>0</v>
      </c>
      <c r="AK46" s="144"/>
    </row>
    <row r="47" spans="1:37">
      <c r="A47">
        <v>43</v>
      </c>
      <c r="B47" s="57"/>
      <c r="C47" s="58"/>
      <c r="D47" s="84"/>
      <c r="E47" s="82"/>
      <c r="F47" s="158"/>
      <c r="G47" s="159"/>
      <c r="H47" s="281">
        <f>COUNTIFS(缺陷明细!$A$2:$A$50000,$B$4,缺陷明细!$G$2:$G$50000,$C47,缺陷明细!$J$2:$J$50000,"评审",缺陷明细!$AB$2:$AB$50000,"&lt;&gt;丢弃",缺陷明细!$AB$2:$AB$50000,"&lt;&gt;设计如此",缺陷明细!$AB$2:$AB$50000,"&lt;&gt;重复Bug")</f>
        <v>0</v>
      </c>
      <c r="I47" s="154">
        <f>COUNTIFS(缺陷明细!$A$2:$A$50000,$B$4,缺陷明细!$G$2:$G$50000,$C47,缺陷明细!$Q$2:$Q$50000,"已关闭",缺陷明细!$J$2:$J$50000,"评审")</f>
        <v>0</v>
      </c>
      <c r="J47" s="154">
        <f>COUNTIFS(缺陷明细!$A$2:$A$50000,$B$4,缺陷明细!$G$2:$G$50000,$C47,缺陷明细!$J$2:$J$50000,"单元测试",缺陷明细!$AB$2:$AB$50000,"&lt;&gt;丢弃",缺陷明细!$AB$2:$AB$50000,"&lt;&gt;设计如此",缺陷明细!$AB$2:$AB$50000,"&lt;&gt;重复Bug")</f>
        <v>0</v>
      </c>
      <c r="K47" s="155">
        <f>COUNTIFS(缺陷明细!$A$2:$A$50000,$B$4,缺陷明细!$G$2:$G$50000,$C47,缺陷明细!$Q$2:$Q$50000,"已关闭",缺陷明细!$J$2:$J$50000,"单元测试")</f>
        <v>0</v>
      </c>
      <c r="L47" s="156"/>
      <c r="M47" s="157"/>
      <c r="N47" s="72">
        <f>COUNTIFS(缺陷明细!$A$2:$A$50000,$B$4,缺陷明细!$G$2:$G$50000,$C47,缺陷明细!$J$2:$J$50000,"系统测试案例评审",缺陷明细!$AB$2:$AB$50000,"&lt;&gt;丢弃",缺陷明细!$AB$2:$AB$50000,"&lt;&gt;设计如此",缺陷明细!$AB$2:$AB$50000,"&lt;&gt;重复Bug")</f>
        <v>0</v>
      </c>
      <c r="O47" s="72">
        <f>COUNTIFS(缺陷明细!$A$2:$A$50000,$B$4,缺陷明细!$G$2:$G$50000,$C47,缺陷明细!$Q$2:$Q$50000,"已关闭",缺陷明细!$J$2:$J$50000,"系统测试案例评审")</f>
        <v>0</v>
      </c>
      <c r="P47" s="72">
        <f>COUNTIFS(缺陷明细!$A$2:$A$50000,$B$4,缺陷明细!$G$2:$G$50000,$C47,缺陷明细!$J$2:$J$50000,"系统测试",缺陷明细!$AB$2:$AB$50000,"&lt;&gt;丢弃",缺陷明细!$AB$2:$AB$50000,"&lt;&gt;设计如此",缺陷明细!$AB$2:$AB$50000,"&lt;&gt;重复Bug")</f>
        <v>0</v>
      </c>
      <c r="Q47" s="72">
        <f>COUNTIFS(缺陷明细!$A$2:$A$50000,$B$4,缺陷明细!$G$2:$G$50000,$C47,缺陷明细!$Q$2:$Q$50000,"已关闭",缺陷明细!$J$2:$J$50000,"系统测试")</f>
        <v>0</v>
      </c>
      <c r="R47" s="296">
        <f>COUNTIFS(缺陷明细!$A$2:$A$50000,$B$4,缺陷明细!$G$2:$G$50000,$C47,缺陷明细!$AB$2:$AB$50000,"丢弃",缺陷明细!$J$2:$J$50000,"系统测试")+COUNTIFS(缺陷明细!$A$2:$A$50000,$B$4,缺陷明细!$G$2:$G$50000,$C47,缺陷明细!$AB$2:$AB$50000,"设计如此",缺陷明细!$J$2:$J$50000,"系统测试")+COUNTIFS(缺陷明细!$A$2:$A$50000,$B$4,缺陷明细!$G$2:$G$50000,$C47,缺陷明细!$AB$2:$AB$50000,"重复Bug",缺陷明细!$J$2:$J$50000,"系统测试")</f>
        <v>0</v>
      </c>
      <c r="S47" s="72">
        <f>COUNTIFS(缺陷明细!$A$2:$A$50000,$B$4,缺陷明细!$G$2:$G$50000,$C47,缺陷明细!$J$2:$J$50000,"系统测试",缺陷明细!$K$2:$K$50000,"致命",缺陷明细!$AB$2:$AB$50000,"&lt;&gt;丢弃",缺陷明细!$AB$2:$AB$50000,"&lt;&gt;设计如此",缺陷明细!$AB$2:$AB$50000,"&lt;&gt;重复Bug")+COUNTIFS(缺陷明细!$A$2:$A$50000,$B$4,缺陷明细!$G$2:$G$50000,$C47,缺陷明细!$J$2:$J$50000,"系统测试",缺陷明细!$K$2:$K$50000,"严重",缺陷明细!$AB$2:$AB$50000,"&lt;&gt;丢弃",缺陷明细!$AB$2:$AB$50000,"&lt;&gt;设计如此",缺陷明细!$AB$2:$AB$50000,"&lt;&gt;重复Bug")</f>
        <v>0</v>
      </c>
      <c r="T47" s="73">
        <f>COUNTIFS(缺陷明细!$A$2:$A$50000,$B$4,缺陷明细!$G$2:$G$50000,$C47,缺陷明细!$Q$2:$Q$50000,"已关闭",缺陷明细!$J$2:$J$50000,"系统测试",缺陷明细!$K$2:$K$50000,"致命")+COUNTIFS(缺陷明细!$A$2:$A$50000,$B$4,缺陷明细!$G$2:$G$50000,$C47,缺陷明细!$Q$2:$Q$50000,"已关闭",缺陷明细!$J$2:$J$50000,"系统测试",缺陷明细!$K$2:$K$50000,"严重")</f>
        <v>0</v>
      </c>
      <c r="U47" s="74">
        <f>COUNTIFS(缺陷明细!$A$2:$A$50000,$B$4,缺陷明细!$G$2:$G$50000,$C47,缺陷明细!$J$2:$J$50000,"验收测试",缺陷明细!$AB$2:$AB$50000,"&lt;&gt;丢弃",缺陷明细!$AB$2:$AB$50000,"&lt;&gt;设计如此",缺陷明细!$AB$2:$AB$50000,"&lt;&gt;重复Bug")</f>
        <v>0</v>
      </c>
      <c r="V47" s="75">
        <f>COUNTIFS(缺陷明细!$A$2:$A$50000,$B$4,缺陷明细!$G$2:$G$50000,$C47,缺陷明细!$Q$2:$Q$50000,"已关闭",缺陷明细!$J$2:$J$50000,"验收测试")</f>
        <v>0</v>
      </c>
      <c r="W47" s="75">
        <f>COUNTIFS(缺陷明细!$A$2:$A$50000,$B$4,缺陷明细!$G$2:$G$50000,$C47,缺陷明细!$J$2:$J$50000,"验收测试",缺陷明细!$K$2:$K$50000,"致命",缺陷明细!$AB$2:$AB$50000,"&lt;&gt;丢弃",缺陷明细!$AB$2:$AB$50000,"&lt;&gt;设计如此",缺陷明细!$AB$2:$AB$50000,"&lt;&gt;重复Bug")+COUNTIFS(缺陷明细!$A$2:$A$50000,$B$4,缺陷明细!$G$2:$G$50000,$C47,缺陷明细!$J$2:$J$50000,"验收测试",缺陷明细!$K$2:$K$50000,"严重",缺陷明细!$AB$2:$AB$50000,"&lt;&gt;丢弃",缺陷明细!$AB$2:$AB$50000,"&lt;&gt;设计如此",缺陷明细!$AB$2:$AB$50000,"&lt;&gt;重复Bug")</f>
        <v>0</v>
      </c>
      <c r="X47" s="76">
        <f>COUNTIFS(缺陷明细!$A$2:$A$50000,$B$4,缺陷明细!$G$2:$G$50000,$C47,缺陷明细!$Q$2:$Q$50000,"已关闭",缺陷明细!$J$2:$J$50000,"验收测试",缺陷明细!$K$2:$K$50000,"致命")+COUNTIFS(缺陷明细!$A$2:$A$50000,$B$4,缺陷明细!$G$2:$G$50000,$C47,缺陷明细!$Q$2:$Q$50000,"已关闭",缺陷明细!$J$2:$J$50000,"验收测试",缺陷明细!$K$2:$K$50000,"严重")</f>
        <v>0</v>
      </c>
      <c r="Y47" s="70">
        <f>COUNTIFS(缺陷明细!$A$2:$A$50000,$B$4,缺陷明细!$G$2:$G$50000,$C47,缺陷明细!$J$2:$J$50000,"运维测试",缺陷明细!$AB$2:$AB$50000,"&lt;&gt;丢弃",缺陷明细!$AB$2:$AB$50000,"&lt;&gt;设计如此",缺陷明细!$AB$2:$AB$50000,"&lt;&gt;重复Bug")</f>
        <v>0</v>
      </c>
      <c r="Z47" s="71">
        <f>COUNTIFS(缺陷明细!$A$2:$A$50000,$B$4,缺陷明细!$G$2:$G$50000,$C47,缺陷明细!$Q$2:$Q$50000,"已关闭",缺陷明细!$J$2:$J$50000,"运维测试")</f>
        <v>0</v>
      </c>
      <c r="AA47" s="72">
        <f>COUNTIFS(缺陷明细!$A$2:$A$50000,$B$4,缺陷明细!$G$2:$G$50000,$C47,缺陷明细!$J$2:$J$50000,"运维测试",缺陷明细!$K$2:$K$50000,"致命",缺陷明细!$AB$2:$AB$50000,"&lt;&gt;丢弃",缺陷明细!$AB$2:$AB$50000,"&lt;&gt;设计如此",缺陷明细!$AB$2:$AB$50000,"&lt;&gt;重复Bug")+COUNTIFS(缺陷明细!$A$2:$A$50000,$B$4,缺陷明细!$G$2:$G$50000,$C47,缺陷明细!$J$2:$J$50000,"运维测试",缺陷明细!$K$2:$K$50000,"严重",缺陷明细!$AB$2:$AB$50000,"&lt;&gt;丢弃",缺陷明细!$AB$2:$AB$50000,"&lt;&gt;设计如此",缺陷明细!$AB$2:$AB$50000,"&lt;&gt;重复Bug")</f>
        <v>0</v>
      </c>
      <c r="AB47" s="73">
        <f>COUNTIFS(缺陷明细!$A$2:$A$50000,$B$4,缺陷明细!$G$2:$G$50000,$C47,缺陷明细!$Q$2:$Q$50000,"已关闭",缺陷明细!$J$2:$J$50000,"运维测试",缺陷明细!$K$2:$K$50000,"致命")+COUNTIFS(缺陷明细!$A$2:$A$50000,$B$4,缺陷明细!$G$2:$G$50000,$C47,缺陷明细!$Q$2:$Q$50000,"已关闭",缺陷明细!$J$2:$J$50000,"运维测试",缺陷明细!$K$2:$K$50000,"严重")</f>
        <v>0</v>
      </c>
      <c r="AC47" s="68">
        <f t="shared" si="0"/>
        <v>0</v>
      </c>
      <c r="AD47" s="60">
        <f t="shared" si="0"/>
        <v>0</v>
      </c>
      <c r="AE47" s="60">
        <f t="shared" si="1"/>
        <v>0</v>
      </c>
      <c r="AF47" s="60">
        <f t="shared" si="1"/>
        <v>0</v>
      </c>
      <c r="AG47" s="60">
        <f t="shared" si="2"/>
        <v>0</v>
      </c>
      <c r="AH47" s="60">
        <f t="shared" si="2"/>
        <v>0</v>
      </c>
      <c r="AI47" s="60">
        <f t="shared" si="3"/>
        <v>0</v>
      </c>
      <c r="AJ47" s="61">
        <f t="shared" si="3"/>
        <v>0</v>
      </c>
      <c r="AK47" s="144"/>
    </row>
    <row r="48" spans="1:37">
      <c r="A48">
        <v>44</v>
      </c>
      <c r="B48" s="57"/>
      <c r="C48" s="58"/>
      <c r="D48" s="84"/>
      <c r="E48" s="82"/>
      <c r="F48" s="158"/>
      <c r="G48" s="159"/>
      <c r="H48" s="281">
        <f>COUNTIFS(缺陷明细!$A$2:$A$50000,$B$4,缺陷明细!$G$2:$G$50000,$C48,缺陷明细!$J$2:$J$50000,"评审",缺陷明细!$AB$2:$AB$50000,"&lt;&gt;丢弃",缺陷明细!$AB$2:$AB$50000,"&lt;&gt;设计如此",缺陷明细!$AB$2:$AB$50000,"&lt;&gt;重复Bug")</f>
        <v>0</v>
      </c>
      <c r="I48" s="154">
        <f>COUNTIFS(缺陷明细!$A$2:$A$50000,$B$4,缺陷明细!$G$2:$G$50000,$C48,缺陷明细!$Q$2:$Q$50000,"已关闭",缺陷明细!$J$2:$J$50000,"评审")</f>
        <v>0</v>
      </c>
      <c r="J48" s="154">
        <f>COUNTIFS(缺陷明细!$A$2:$A$50000,$B$4,缺陷明细!$G$2:$G$50000,$C48,缺陷明细!$J$2:$J$50000,"单元测试",缺陷明细!$AB$2:$AB$50000,"&lt;&gt;丢弃",缺陷明细!$AB$2:$AB$50000,"&lt;&gt;设计如此",缺陷明细!$AB$2:$AB$50000,"&lt;&gt;重复Bug")</f>
        <v>0</v>
      </c>
      <c r="K48" s="155">
        <f>COUNTIFS(缺陷明细!$A$2:$A$50000,$B$4,缺陷明细!$G$2:$G$50000,$C48,缺陷明细!$Q$2:$Q$50000,"已关闭",缺陷明细!$J$2:$J$50000,"单元测试")</f>
        <v>0</v>
      </c>
      <c r="L48" s="156"/>
      <c r="M48" s="157"/>
      <c r="N48" s="72">
        <f>COUNTIFS(缺陷明细!$A$2:$A$50000,$B$4,缺陷明细!$G$2:$G$50000,$C48,缺陷明细!$J$2:$J$50000,"系统测试案例评审",缺陷明细!$AB$2:$AB$50000,"&lt;&gt;丢弃",缺陷明细!$AB$2:$AB$50000,"&lt;&gt;设计如此",缺陷明细!$AB$2:$AB$50000,"&lt;&gt;重复Bug")</f>
        <v>0</v>
      </c>
      <c r="O48" s="72">
        <f>COUNTIFS(缺陷明细!$A$2:$A$50000,$B$4,缺陷明细!$G$2:$G$50000,$C48,缺陷明细!$Q$2:$Q$50000,"已关闭",缺陷明细!$J$2:$J$50000,"系统测试案例评审")</f>
        <v>0</v>
      </c>
      <c r="P48" s="72">
        <f>COUNTIFS(缺陷明细!$A$2:$A$50000,$B$4,缺陷明细!$G$2:$G$50000,$C48,缺陷明细!$J$2:$J$50000,"系统测试",缺陷明细!$AB$2:$AB$50000,"&lt;&gt;丢弃",缺陷明细!$AB$2:$AB$50000,"&lt;&gt;设计如此",缺陷明细!$AB$2:$AB$50000,"&lt;&gt;重复Bug")</f>
        <v>0</v>
      </c>
      <c r="Q48" s="72">
        <f>COUNTIFS(缺陷明细!$A$2:$A$50000,$B$4,缺陷明细!$G$2:$G$50000,$C48,缺陷明细!$Q$2:$Q$50000,"已关闭",缺陷明细!$J$2:$J$50000,"系统测试")</f>
        <v>0</v>
      </c>
      <c r="R48" s="296">
        <f>COUNTIFS(缺陷明细!$A$2:$A$50000,$B$4,缺陷明细!$G$2:$G$50000,$C48,缺陷明细!$AB$2:$AB$50000,"丢弃",缺陷明细!$J$2:$J$50000,"系统测试")+COUNTIFS(缺陷明细!$A$2:$A$50000,$B$4,缺陷明细!$G$2:$G$50000,$C48,缺陷明细!$AB$2:$AB$50000,"设计如此",缺陷明细!$J$2:$J$50000,"系统测试")+COUNTIFS(缺陷明细!$A$2:$A$50000,$B$4,缺陷明细!$G$2:$G$50000,$C48,缺陷明细!$AB$2:$AB$50000,"重复Bug",缺陷明细!$J$2:$J$50000,"系统测试")</f>
        <v>0</v>
      </c>
      <c r="S48" s="72">
        <f>COUNTIFS(缺陷明细!$A$2:$A$50000,$B$4,缺陷明细!$G$2:$G$50000,$C48,缺陷明细!$J$2:$J$50000,"系统测试",缺陷明细!$K$2:$K$50000,"致命",缺陷明细!$AB$2:$AB$50000,"&lt;&gt;丢弃",缺陷明细!$AB$2:$AB$50000,"&lt;&gt;设计如此",缺陷明细!$AB$2:$AB$50000,"&lt;&gt;重复Bug")+COUNTIFS(缺陷明细!$A$2:$A$50000,$B$4,缺陷明细!$G$2:$G$50000,$C48,缺陷明细!$J$2:$J$50000,"系统测试",缺陷明细!$K$2:$K$50000,"严重",缺陷明细!$AB$2:$AB$50000,"&lt;&gt;丢弃",缺陷明细!$AB$2:$AB$50000,"&lt;&gt;设计如此",缺陷明细!$AB$2:$AB$50000,"&lt;&gt;重复Bug")</f>
        <v>0</v>
      </c>
      <c r="T48" s="73">
        <f>COUNTIFS(缺陷明细!$A$2:$A$50000,$B$4,缺陷明细!$G$2:$G$50000,$C48,缺陷明细!$Q$2:$Q$50000,"已关闭",缺陷明细!$J$2:$J$50000,"系统测试",缺陷明细!$K$2:$K$50000,"致命")+COUNTIFS(缺陷明细!$A$2:$A$50000,$B$4,缺陷明细!$G$2:$G$50000,$C48,缺陷明细!$Q$2:$Q$50000,"已关闭",缺陷明细!$J$2:$J$50000,"系统测试",缺陷明细!$K$2:$K$50000,"严重")</f>
        <v>0</v>
      </c>
      <c r="U48" s="74">
        <f>COUNTIFS(缺陷明细!$A$2:$A$50000,$B$4,缺陷明细!$G$2:$G$50000,$C48,缺陷明细!$J$2:$J$50000,"验收测试",缺陷明细!$AB$2:$AB$50000,"&lt;&gt;丢弃",缺陷明细!$AB$2:$AB$50000,"&lt;&gt;设计如此",缺陷明细!$AB$2:$AB$50000,"&lt;&gt;重复Bug")</f>
        <v>0</v>
      </c>
      <c r="V48" s="75">
        <f>COUNTIFS(缺陷明细!$A$2:$A$50000,$B$4,缺陷明细!$G$2:$G$50000,$C48,缺陷明细!$Q$2:$Q$50000,"已关闭",缺陷明细!$J$2:$J$50000,"验收测试")</f>
        <v>0</v>
      </c>
      <c r="W48" s="75">
        <f>COUNTIFS(缺陷明细!$A$2:$A$50000,$B$4,缺陷明细!$G$2:$G$50000,$C48,缺陷明细!$J$2:$J$50000,"验收测试",缺陷明细!$K$2:$K$50000,"致命",缺陷明细!$AB$2:$AB$50000,"&lt;&gt;丢弃",缺陷明细!$AB$2:$AB$50000,"&lt;&gt;设计如此",缺陷明细!$AB$2:$AB$50000,"&lt;&gt;重复Bug")+COUNTIFS(缺陷明细!$A$2:$A$50000,$B$4,缺陷明细!$G$2:$G$50000,$C48,缺陷明细!$J$2:$J$50000,"验收测试",缺陷明细!$K$2:$K$50000,"严重",缺陷明细!$AB$2:$AB$50000,"&lt;&gt;丢弃",缺陷明细!$AB$2:$AB$50000,"&lt;&gt;设计如此",缺陷明细!$AB$2:$AB$50000,"&lt;&gt;重复Bug")</f>
        <v>0</v>
      </c>
      <c r="X48" s="76">
        <f>COUNTIFS(缺陷明细!$A$2:$A$50000,$B$4,缺陷明细!$G$2:$G$50000,$C48,缺陷明细!$Q$2:$Q$50000,"已关闭",缺陷明细!$J$2:$J$50000,"验收测试",缺陷明细!$K$2:$K$50000,"致命")+COUNTIFS(缺陷明细!$A$2:$A$50000,$B$4,缺陷明细!$G$2:$G$50000,$C48,缺陷明细!$Q$2:$Q$50000,"已关闭",缺陷明细!$J$2:$J$50000,"验收测试",缺陷明细!$K$2:$K$50000,"严重")</f>
        <v>0</v>
      </c>
      <c r="Y48" s="70">
        <f>COUNTIFS(缺陷明细!$A$2:$A$50000,$B$4,缺陷明细!$G$2:$G$50000,$C48,缺陷明细!$J$2:$J$50000,"运维测试",缺陷明细!$AB$2:$AB$50000,"&lt;&gt;丢弃",缺陷明细!$AB$2:$AB$50000,"&lt;&gt;设计如此",缺陷明细!$AB$2:$AB$50000,"&lt;&gt;重复Bug")</f>
        <v>0</v>
      </c>
      <c r="Z48" s="71">
        <f>COUNTIFS(缺陷明细!$A$2:$A$50000,$B$4,缺陷明细!$G$2:$G$50000,$C48,缺陷明细!$Q$2:$Q$50000,"已关闭",缺陷明细!$J$2:$J$50000,"运维测试")</f>
        <v>0</v>
      </c>
      <c r="AA48" s="72">
        <f>COUNTIFS(缺陷明细!$A$2:$A$50000,$B$4,缺陷明细!$G$2:$G$50000,$C48,缺陷明细!$J$2:$J$50000,"运维测试",缺陷明细!$K$2:$K$50000,"致命",缺陷明细!$AB$2:$AB$50000,"&lt;&gt;丢弃",缺陷明细!$AB$2:$AB$50000,"&lt;&gt;设计如此",缺陷明细!$AB$2:$AB$50000,"&lt;&gt;重复Bug")+COUNTIFS(缺陷明细!$A$2:$A$50000,$B$4,缺陷明细!$G$2:$G$50000,$C48,缺陷明细!$J$2:$J$50000,"运维测试",缺陷明细!$K$2:$K$50000,"严重",缺陷明细!$AB$2:$AB$50000,"&lt;&gt;丢弃",缺陷明细!$AB$2:$AB$50000,"&lt;&gt;设计如此",缺陷明细!$AB$2:$AB$50000,"&lt;&gt;重复Bug")</f>
        <v>0</v>
      </c>
      <c r="AB48" s="73">
        <f>COUNTIFS(缺陷明细!$A$2:$A$50000,$B$4,缺陷明细!$G$2:$G$50000,$C48,缺陷明细!$Q$2:$Q$50000,"已关闭",缺陷明细!$J$2:$J$50000,"运维测试",缺陷明细!$K$2:$K$50000,"致命")+COUNTIFS(缺陷明细!$A$2:$A$50000,$B$4,缺陷明细!$G$2:$G$50000,$C48,缺陷明细!$Q$2:$Q$50000,"已关闭",缺陷明细!$J$2:$J$50000,"运维测试",缺陷明细!$K$2:$K$50000,"严重")</f>
        <v>0</v>
      </c>
      <c r="AC48" s="68">
        <f t="shared" si="0"/>
        <v>0</v>
      </c>
      <c r="AD48" s="60">
        <f t="shared" si="0"/>
        <v>0</v>
      </c>
      <c r="AE48" s="60">
        <f t="shared" si="1"/>
        <v>0</v>
      </c>
      <c r="AF48" s="60">
        <f t="shared" si="1"/>
        <v>0</v>
      </c>
      <c r="AG48" s="60">
        <f t="shared" si="2"/>
        <v>0</v>
      </c>
      <c r="AH48" s="60">
        <f t="shared" si="2"/>
        <v>0</v>
      </c>
      <c r="AI48" s="60">
        <f t="shared" si="3"/>
        <v>0</v>
      </c>
      <c r="AJ48" s="61">
        <f t="shared" si="3"/>
        <v>0</v>
      </c>
      <c r="AK48" s="144"/>
    </row>
    <row r="49" spans="1:37">
      <c r="A49">
        <v>45</v>
      </c>
      <c r="B49" s="57"/>
      <c r="C49" s="58"/>
      <c r="D49" s="84"/>
      <c r="E49" s="82"/>
      <c r="F49" s="158"/>
      <c r="G49" s="159"/>
      <c r="H49" s="281">
        <f>COUNTIFS(缺陷明细!$A$2:$A$50000,$B$4,缺陷明细!$G$2:$G$50000,$C49,缺陷明细!$J$2:$J$50000,"评审",缺陷明细!$AB$2:$AB$50000,"&lt;&gt;丢弃",缺陷明细!$AB$2:$AB$50000,"&lt;&gt;设计如此",缺陷明细!$AB$2:$AB$50000,"&lt;&gt;重复Bug")</f>
        <v>0</v>
      </c>
      <c r="I49" s="154">
        <f>COUNTIFS(缺陷明细!$A$2:$A$50000,$B$4,缺陷明细!$G$2:$G$50000,$C49,缺陷明细!$Q$2:$Q$50000,"已关闭",缺陷明细!$J$2:$J$50000,"评审")</f>
        <v>0</v>
      </c>
      <c r="J49" s="154">
        <f>COUNTIFS(缺陷明细!$A$2:$A$50000,$B$4,缺陷明细!$G$2:$G$50000,$C49,缺陷明细!$J$2:$J$50000,"单元测试",缺陷明细!$AB$2:$AB$50000,"&lt;&gt;丢弃",缺陷明细!$AB$2:$AB$50000,"&lt;&gt;设计如此",缺陷明细!$AB$2:$AB$50000,"&lt;&gt;重复Bug")</f>
        <v>0</v>
      </c>
      <c r="K49" s="155">
        <f>COUNTIFS(缺陷明细!$A$2:$A$50000,$B$4,缺陷明细!$G$2:$G$50000,$C49,缺陷明细!$Q$2:$Q$50000,"已关闭",缺陷明细!$J$2:$J$50000,"单元测试")</f>
        <v>0</v>
      </c>
      <c r="L49" s="156"/>
      <c r="M49" s="157"/>
      <c r="N49" s="72">
        <f>COUNTIFS(缺陷明细!$A$2:$A$50000,$B$4,缺陷明细!$G$2:$G$50000,$C49,缺陷明细!$J$2:$J$50000,"系统测试案例评审",缺陷明细!$AB$2:$AB$50000,"&lt;&gt;丢弃",缺陷明细!$AB$2:$AB$50000,"&lt;&gt;设计如此",缺陷明细!$AB$2:$AB$50000,"&lt;&gt;重复Bug")</f>
        <v>0</v>
      </c>
      <c r="O49" s="72">
        <f>COUNTIFS(缺陷明细!$A$2:$A$50000,$B$4,缺陷明细!$G$2:$G$50000,$C49,缺陷明细!$Q$2:$Q$50000,"已关闭",缺陷明细!$J$2:$J$50000,"系统测试案例评审")</f>
        <v>0</v>
      </c>
      <c r="P49" s="72">
        <f>COUNTIFS(缺陷明细!$A$2:$A$50000,$B$4,缺陷明细!$G$2:$G$50000,$C49,缺陷明细!$J$2:$J$50000,"系统测试",缺陷明细!$AB$2:$AB$50000,"&lt;&gt;丢弃",缺陷明细!$AB$2:$AB$50000,"&lt;&gt;设计如此",缺陷明细!$AB$2:$AB$50000,"&lt;&gt;重复Bug")</f>
        <v>0</v>
      </c>
      <c r="Q49" s="72">
        <f>COUNTIFS(缺陷明细!$A$2:$A$50000,$B$4,缺陷明细!$G$2:$G$50000,$C49,缺陷明细!$Q$2:$Q$50000,"已关闭",缺陷明细!$J$2:$J$50000,"系统测试")</f>
        <v>0</v>
      </c>
      <c r="R49" s="296">
        <f>COUNTIFS(缺陷明细!$A$2:$A$50000,$B$4,缺陷明细!$G$2:$G$50000,$C49,缺陷明细!$AB$2:$AB$50000,"丢弃",缺陷明细!$J$2:$J$50000,"系统测试")+COUNTIFS(缺陷明细!$A$2:$A$50000,$B$4,缺陷明细!$G$2:$G$50000,$C49,缺陷明细!$AB$2:$AB$50000,"设计如此",缺陷明细!$J$2:$J$50000,"系统测试")+COUNTIFS(缺陷明细!$A$2:$A$50000,$B$4,缺陷明细!$G$2:$G$50000,$C49,缺陷明细!$AB$2:$AB$50000,"重复Bug",缺陷明细!$J$2:$J$50000,"系统测试")</f>
        <v>0</v>
      </c>
      <c r="S49" s="72">
        <f>COUNTIFS(缺陷明细!$A$2:$A$50000,$B$4,缺陷明细!$G$2:$G$50000,$C49,缺陷明细!$J$2:$J$50000,"系统测试",缺陷明细!$K$2:$K$50000,"致命",缺陷明细!$AB$2:$AB$50000,"&lt;&gt;丢弃",缺陷明细!$AB$2:$AB$50000,"&lt;&gt;设计如此",缺陷明细!$AB$2:$AB$50000,"&lt;&gt;重复Bug")+COUNTIFS(缺陷明细!$A$2:$A$50000,$B$4,缺陷明细!$G$2:$G$50000,$C49,缺陷明细!$J$2:$J$50000,"系统测试",缺陷明细!$K$2:$K$50000,"严重",缺陷明细!$AB$2:$AB$50000,"&lt;&gt;丢弃",缺陷明细!$AB$2:$AB$50000,"&lt;&gt;设计如此",缺陷明细!$AB$2:$AB$50000,"&lt;&gt;重复Bug")</f>
        <v>0</v>
      </c>
      <c r="T49" s="73">
        <f>COUNTIFS(缺陷明细!$A$2:$A$50000,$B$4,缺陷明细!$G$2:$G$50000,$C49,缺陷明细!$Q$2:$Q$50000,"已关闭",缺陷明细!$J$2:$J$50000,"系统测试",缺陷明细!$K$2:$K$50000,"致命")+COUNTIFS(缺陷明细!$A$2:$A$50000,$B$4,缺陷明细!$G$2:$G$50000,$C49,缺陷明细!$Q$2:$Q$50000,"已关闭",缺陷明细!$J$2:$J$50000,"系统测试",缺陷明细!$K$2:$K$50000,"严重")</f>
        <v>0</v>
      </c>
      <c r="U49" s="74">
        <f>COUNTIFS(缺陷明细!$A$2:$A$50000,$B$4,缺陷明细!$G$2:$G$50000,$C49,缺陷明细!$J$2:$J$50000,"验收测试",缺陷明细!$AB$2:$AB$50000,"&lt;&gt;丢弃",缺陷明细!$AB$2:$AB$50000,"&lt;&gt;设计如此",缺陷明细!$AB$2:$AB$50000,"&lt;&gt;重复Bug")</f>
        <v>0</v>
      </c>
      <c r="V49" s="75">
        <f>COUNTIFS(缺陷明细!$A$2:$A$50000,$B$4,缺陷明细!$G$2:$G$50000,$C49,缺陷明细!$Q$2:$Q$50000,"已关闭",缺陷明细!$J$2:$J$50000,"验收测试")</f>
        <v>0</v>
      </c>
      <c r="W49" s="75">
        <f>COUNTIFS(缺陷明细!$A$2:$A$50000,$B$4,缺陷明细!$G$2:$G$50000,$C49,缺陷明细!$J$2:$J$50000,"验收测试",缺陷明细!$K$2:$K$50000,"致命",缺陷明细!$AB$2:$AB$50000,"&lt;&gt;丢弃",缺陷明细!$AB$2:$AB$50000,"&lt;&gt;设计如此",缺陷明细!$AB$2:$AB$50000,"&lt;&gt;重复Bug")+COUNTIFS(缺陷明细!$A$2:$A$50000,$B$4,缺陷明细!$G$2:$G$50000,$C49,缺陷明细!$J$2:$J$50000,"验收测试",缺陷明细!$K$2:$K$50000,"严重",缺陷明细!$AB$2:$AB$50000,"&lt;&gt;丢弃",缺陷明细!$AB$2:$AB$50000,"&lt;&gt;设计如此",缺陷明细!$AB$2:$AB$50000,"&lt;&gt;重复Bug")</f>
        <v>0</v>
      </c>
      <c r="X49" s="76">
        <f>COUNTIFS(缺陷明细!$A$2:$A$50000,$B$4,缺陷明细!$G$2:$G$50000,$C49,缺陷明细!$Q$2:$Q$50000,"已关闭",缺陷明细!$J$2:$J$50000,"验收测试",缺陷明细!$K$2:$K$50000,"致命")+COUNTIFS(缺陷明细!$A$2:$A$50000,$B$4,缺陷明细!$G$2:$G$50000,$C49,缺陷明细!$Q$2:$Q$50000,"已关闭",缺陷明细!$J$2:$J$50000,"验收测试",缺陷明细!$K$2:$K$50000,"严重")</f>
        <v>0</v>
      </c>
      <c r="Y49" s="70">
        <f>COUNTIFS(缺陷明细!$A$2:$A$50000,$B$4,缺陷明细!$G$2:$G$50000,$C49,缺陷明细!$J$2:$J$50000,"运维测试",缺陷明细!$AB$2:$AB$50000,"&lt;&gt;丢弃",缺陷明细!$AB$2:$AB$50000,"&lt;&gt;设计如此",缺陷明细!$AB$2:$AB$50000,"&lt;&gt;重复Bug")</f>
        <v>0</v>
      </c>
      <c r="Z49" s="71">
        <f>COUNTIFS(缺陷明细!$A$2:$A$50000,$B$4,缺陷明细!$G$2:$G$50000,$C49,缺陷明细!$Q$2:$Q$50000,"已关闭",缺陷明细!$J$2:$J$50000,"运维测试")</f>
        <v>0</v>
      </c>
      <c r="AA49" s="72">
        <f>COUNTIFS(缺陷明细!$A$2:$A$50000,$B$4,缺陷明细!$G$2:$G$50000,$C49,缺陷明细!$J$2:$J$50000,"运维测试",缺陷明细!$K$2:$K$50000,"致命",缺陷明细!$AB$2:$AB$50000,"&lt;&gt;丢弃",缺陷明细!$AB$2:$AB$50000,"&lt;&gt;设计如此",缺陷明细!$AB$2:$AB$50000,"&lt;&gt;重复Bug")+COUNTIFS(缺陷明细!$A$2:$A$50000,$B$4,缺陷明细!$G$2:$G$50000,$C49,缺陷明细!$J$2:$J$50000,"运维测试",缺陷明细!$K$2:$K$50000,"严重",缺陷明细!$AB$2:$AB$50000,"&lt;&gt;丢弃",缺陷明细!$AB$2:$AB$50000,"&lt;&gt;设计如此",缺陷明细!$AB$2:$AB$50000,"&lt;&gt;重复Bug")</f>
        <v>0</v>
      </c>
      <c r="AB49" s="73">
        <f>COUNTIFS(缺陷明细!$A$2:$A$50000,$B$4,缺陷明细!$G$2:$G$50000,$C49,缺陷明细!$Q$2:$Q$50000,"已关闭",缺陷明细!$J$2:$J$50000,"运维测试",缺陷明细!$K$2:$K$50000,"致命")+COUNTIFS(缺陷明细!$A$2:$A$50000,$B$4,缺陷明细!$G$2:$G$50000,$C49,缺陷明细!$Q$2:$Q$50000,"已关闭",缺陷明细!$J$2:$J$50000,"运维测试",缺陷明细!$K$2:$K$50000,"严重")</f>
        <v>0</v>
      </c>
      <c r="AC49" s="68">
        <f t="shared" si="0"/>
        <v>0</v>
      </c>
      <c r="AD49" s="60">
        <f t="shared" si="0"/>
        <v>0</v>
      </c>
      <c r="AE49" s="60">
        <f t="shared" si="1"/>
        <v>0</v>
      </c>
      <c r="AF49" s="60">
        <f t="shared" si="1"/>
        <v>0</v>
      </c>
      <c r="AG49" s="60">
        <f t="shared" si="2"/>
        <v>0</v>
      </c>
      <c r="AH49" s="60">
        <f t="shared" si="2"/>
        <v>0</v>
      </c>
      <c r="AI49" s="60">
        <f t="shared" si="3"/>
        <v>0</v>
      </c>
      <c r="AJ49" s="61">
        <f t="shared" si="3"/>
        <v>0</v>
      </c>
      <c r="AK49" s="144"/>
    </row>
    <row r="50" spans="1:37">
      <c r="A50">
        <v>46</v>
      </c>
      <c r="B50" s="57"/>
      <c r="C50" s="58"/>
      <c r="D50" s="84"/>
      <c r="E50" s="82"/>
      <c r="F50" s="158"/>
      <c r="G50" s="159"/>
      <c r="H50" s="281">
        <f>COUNTIFS(缺陷明细!$A$2:$A$50000,$B$4,缺陷明细!$G$2:$G$50000,$C50,缺陷明细!$J$2:$J$50000,"评审",缺陷明细!$AB$2:$AB$50000,"&lt;&gt;丢弃",缺陷明细!$AB$2:$AB$50000,"&lt;&gt;设计如此",缺陷明细!$AB$2:$AB$50000,"&lt;&gt;重复Bug")</f>
        <v>0</v>
      </c>
      <c r="I50" s="154">
        <f>COUNTIFS(缺陷明细!$A$2:$A$50000,$B$4,缺陷明细!$G$2:$G$50000,$C50,缺陷明细!$Q$2:$Q$50000,"已关闭",缺陷明细!$J$2:$J$50000,"评审")</f>
        <v>0</v>
      </c>
      <c r="J50" s="154">
        <f>COUNTIFS(缺陷明细!$A$2:$A$50000,$B$4,缺陷明细!$G$2:$G$50000,$C50,缺陷明细!$J$2:$J$50000,"单元测试",缺陷明细!$AB$2:$AB$50000,"&lt;&gt;丢弃",缺陷明细!$AB$2:$AB$50000,"&lt;&gt;设计如此",缺陷明细!$AB$2:$AB$50000,"&lt;&gt;重复Bug")</f>
        <v>0</v>
      </c>
      <c r="K50" s="155">
        <f>COUNTIFS(缺陷明细!$A$2:$A$50000,$B$4,缺陷明细!$G$2:$G$50000,$C50,缺陷明细!$Q$2:$Q$50000,"已关闭",缺陷明细!$J$2:$J$50000,"单元测试")</f>
        <v>0</v>
      </c>
      <c r="L50" s="156"/>
      <c r="M50" s="157"/>
      <c r="N50" s="72">
        <f>COUNTIFS(缺陷明细!$A$2:$A$50000,$B$4,缺陷明细!$G$2:$G$50000,$C50,缺陷明细!$J$2:$J$50000,"系统测试案例评审",缺陷明细!$AB$2:$AB$50000,"&lt;&gt;丢弃",缺陷明细!$AB$2:$AB$50000,"&lt;&gt;设计如此",缺陷明细!$AB$2:$AB$50000,"&lt;&gt;重复Bug")</f>
        <v>0</v>
      </c>
      <c r="O50" s="72">
        <f>COUNTIFS(缺陷明细!$A$2:$A$50000,$B$4,缺陷明细!$G$2:$G$50000,$C50,缺陷明细!$Q$2:$Q$50000,"已关闭",缺陷明细!$J$2:$J$50000,"系统测试案例评审")</f>
        <v>0</v>
      </c>
      <c r="P50" s="72">
        <f>COUNTIFS(缺陷明细!$A$2:$A$50000,$B$4,缺陷明细!$G$2:$G$50000,$C50,缺陷明细!$J$2:$J$50000,"系统测试",缺陷明细!$AB$2:$AB$50000,"&lt;&gt;丢弃",缺陷明细!$AB$2:$AB$50000,"&lt;&gt;设计如此",缺陷明细!$AB$2:$AB$50000,"&lt;&gt;重复Bug")</f>
        <v>0</v>
      </c>
      <c r="Q50" s="72">
        <f>COUNTIFS(缺陷明细!$A$2:$A$50000,$B$4,缺陷明细!$G$2:$G$50000,$C50,缺陷明细!$Q$2:$Q$50000,"已关闭",缺陷明细!$J$2:$J$50000,"系统测试")</f>
        <v>0</v>
      </c>
      <c r="R50" s="296">
        <f>COUNTIFS(缺陷明细!$A$2:$A$50000,$B$4,缺陷明细!$G$2:$G$50000,$C50,缺陷明细!$AB$2:$AB$50000,"丢弃",缺陷明细!$J$2:$J$50000,"系统测试")+COUNTIFS(缺陷明细!$A$2:$A$50000,$B$4,缺陷明细!$G$2:$G$50000,$C50,缺陷明细!$AB$2:$AB$50000,"设计如此",缺陷明细!$J$2:$J$50000,"系统测试")+COUNTIFS(缺陷明细!$A$2:$A$50000,$B$4,缺陷明细!$G$2:$G$50000,$C50,缺陷明细!$AB$2:$AB$50000,"重复Bug",缺陷明细!$J$2:$J$50000,"系统测试")</f>
        <v>0</v>
      </c>
      <c r="S50" s="72">
        <f>COUNTIFS(缺陷明细!$A$2:$A$50000,$B$4,缺陷明细!$G$2:$G$50000,$C50,缺陷明细!$J$2:$J$50000,"系统测试",缺陷明细!$K$2:$K$50000,"致命",缺陷明细!$AB$2:$AB$50000,"&lt;&gt;丢弃",缺陷明细!$AB$2:$AB$50000,"&lt;&gt;设计如此",缺陷明细!$AB$2:$AB$50000,"&lt;&gt;重复Bug")+COUNTIFS(缺陷明细!$A$2:$A$50000,$B$4,缺陷明细!$G$2:$G$50000,$C50,缺陷明细!$J$2:$J$50000,"系统测试",缺陷明细!$K$2:$K$50000,"严重",缺陷明细!$AB$2:$AB$50000,"&lt;&gt;丢弃",缺陷明细!$AB$2:$AB$50000,"&lt;&gt;设计如此",缺陷明细!$AB$2:$AB$50000,"&lt;&gt;重复Bug")</f>
        <v>0</v>
      </c>
      <c r="T50" s="73">
        <f>COUNTIFS(缺陷明细!$A$2:$A$50000,$B$4,缺陷明细!$G$2:$G$50000,$C50,缺陷明细!$Q$2:$Q$50000,"已关闭",缺陷明细!$J$2:$J$50000,"系统测试",缺陷明细!$K$2:$K$50000,"致命")+COUNTIFS(缺陷明细!$A$2:$A$50000,$B$4,缺陷明细!$G$2:$G$50000,$C50,缺陷明细!$Q$2:$Q$50000,"已关闭",缺陷明细!$J$2:$J$50000,"系统测试",缺陷明细!$K$2:$K$50000,"严重")</f>
        <v>0</v>
      </c>
      <c r="U50" s="74">
        <f>COUNTIFS(缺陷明细!$A$2:$A$50000,$B$4,缺陷明细!$G$2:$G$50000,$C50,缺陷明细!$J$2:$J$50000,"验收测试",缺陷明细!$AB$2:$AB$50000,"&lt;&gt;丢弃",缺陷明细!$AB$2:$AB$50000,"&lt;&gt;设计如此",缺陷明细!$AB$2:$AB$50000,"&lt;&gt;重复Bug")</f>
        <v>0</v>
      </c>
      <c r="V50" s="75">
        <f>COUNTIFS(缺陷明细!$A$2:$A$50000,$B$4,缺陷明细!$G$2:$G$50000,$C50,缺陷明细!$Q$2:$Q$50000,"已关闭",缺陷明细!$J$2:$J$50000,"验收测试")</f>
        <v>0</v>
      </c>
      <c r="W50" s="75">
        <f>COUNTIFS(缺陷明细!$A$2:$A$50000,$B$4,缺陷明细!$G$2:$G$50000,$C50,缺陷明细!$J$2:$J$50000,"验收测试",缺陷明细!$K$2:$K$50000,"致命",缺陷明细!$AB$2:$AB$50000,"&lt;&gt;丢弃",缺陷明细!$AB$2:$AB$50000,"&lt;&gt;设计如此",缺陷明细!$AB$2:$AB$50000,"&lt;&gt;重复Bug")+COUNTIFS(缺陷明细!$A$2:$A$50000,$B$4,缺陷明细!$G$2:$G$50000,$C50,缺陷明细!$J$2:$J$50000,"验收测试",缺陷明细!$K$2:$K$50000,"严重",缺陷明细!$AB$2:$AB$50000,"&lt;&gt;丢弃",缺陷明细!$AB$2:$AB$50000,"&lt;&gt;设计如此",缺陷明细!$AB$2:$AB$50000,"&lt;&gt;重复Bug")</f>
        <v>0</v>
      </c>
      <c r="X50" s="76">
        <f>COUNTIFS(缺陷明细!$A$2:$A$50000,$B$4,缺陷明细!$G$2:$G$50000,$C50,缺陷明细!$Q$2:$Q$50000,"已关闭",缺陷明细!$J$2:$J$50000,"验收测试",缺陷明细!$K$2:$K$50000,"致命")+COUNTIFS(缺陷明细!$A$2:$A$50000,$B$4,缺陷明细!$G$2:$G$50000,$C50,缺陷明细!$Q$2:$Q$50000,"已关闭",缺陷明细!$J$2:$J$50000,"验收测试",缺陷明细!$K$2:$K$50000,"严重")</f>
        <v>0</v>
      </c>
      <c r="Y50" s="70">
        <f>COUNTIFS(缺陷明细!$A$2:$A$50000,$B$4,缺陷明细!$G$2:$G$50000,$C50,缺陷明细!$J$2:$J$50000,"运维测试",缺陷明细!$AB$2:$AB$50000,"&lt;&gt;丢弃",缺陷明细!$AB$2:$AB$50000,"&lt;&gt;设计如此",缺陷明细!$AB$2:$AB$50000,"&lt;&gt;重复Bug")</f>
        <v>0</v>
      </c>
      <c r="Z50" s="71">
        <f>COUNTIFS(缺陷明细!$A$2:$A$50000,$B$4,缺陷明细!$G$2:$G$50000,$C50,缺陷明细!$Q$2:$Q$50000,"已关闭",缺陷明细!$J$2:$J$50000,"运维测试")</f>
        <v>0</v>
      </c>
      <c r="AA50" s="72">
        <f>COUNTIFS(缺陷明细!$A$2:$A$50000,$B$4,缺陷明细!$G$2:$G$50000,$C50,缺陷明细!$J$2:$J$50000,"运维测试",缺陷明细!$K$2:$K$50000,"致命",缺陷明细!$AB$2:$AB$50000,"&lt;&gt;丢弃",缺陷明细!$AB$2:$AB$50000,"&lt;&gt;设计如此",缺陷明细!$AB$2:$AB$50000,"&lt;&gt;重复Bug")+COUNTIFS(缺陷明细!$A$2:$A$50000,$B$4,缺陷明细!$G$2:$G$50000,$C50,缺陷明细!$J$2:$J$50000,"运维测试",缺陷明细!$K$2:$K$50000,"严重",缺陷明细!$AB$2:$AB$50000,"&lt;&gt;丢弃",缺陷明细!$AB$2:$AB$50000,"&lt;&gt;设计如此",缺陷明细!$AB$2:$AB$50000,"&lt;&gt;重复Bug")</f>
        <v>0</v>
      </c>
      <c r="AB50" s="73">
        <f>COUNTIFS(缺陷明细!$A$2:$A$50000,$B$4,缺陷明细!$G$2:$G$50000,$C50,缺陷明细!$Q$2:$Q$50000,"已关闭",缺陷明细!$J$2:$J$50000,"运维测试",缺陷明细!$K$2:$K$50000,"致命")+COUNTIFS(缺陷明细!$A$2:$A$50000,$B$4,缺陷明细!$G$2:$G$50000,$C50,缺陷明细!$Q$2:$Q$50000,"已关闭",缺陷明细!$J$2:$J$50000,"运维测试",缺陷明细!$K$2:$K$50000,"严重")</f>
        <v>0</v>
      </c>
      <c r="AC50" s="68">
        <f t="shared" si="0"/>
        <v>0</v>
      </c>
      <c r="AD50" s="60">
        <f t="shared" si="0"/>
        <v>0</v>
      </c>
      <c r="AE50" s="60">
        <f t="shared" si="1"/>
        <v>0</v>
      </c>
      <c r="AF50" s="60">
        <f t="shared" si="1"/>
        <v>0</v>
      </c>
      <c r="AG50" s="60">
        <f t="shared" si="2"/>
        <v>0</v>
      </c>
      <c r="AH50" s="60">
        <f t="shared" si="2"/>
        <v>0</v>
      </c>
      <c r="AI50" s="60">
        <f t="shared" si="3"/>
        <v>0</v>
      </c>
      <c r="AJ50" s="61">
        <f t="shared" si="3"/>
        <v>0</v>
      </c>
      <c r="AK50" s="144"/>
    </row>
    <row r="51" spans="1:37">
      <c r="A51">
        <v>47</v>
      </c>
      <c r="B51" s="57"/>
      <c r="C51" s="58"/>
      <c r="D51" s="84"/>
      <c r="E51" s="82"/>
      <c r="F51" s="158"/>
      <c r="G51" s="159"/>
      <c r="H51" s="281">
        <f>COUNTIFS(缺陷明细!$A$2:$A$50000,$B$4,缺陷明细!$G$2:$G$50000,$C51,缺陷明细!$J$2:$J$50000,"评审",缺陷明细!$AB$2:$AB$50000,"&lt;&gt;丢弃",缺陷明细!$AB$2:$AB$50000,"&lt;&gt;设计如此",缺陷明细!$AB$2:$AB$50000,"&lt;&gt;重复Bug")</f>
        <v>0</v>
      </c>
      <c r="I51" s="154">
        <f>COUNTIFS(缺陷明细!$A$2:$A$50000,$B$4,缺陷明细!$G$2:$G$50000,$C51,缺陷明细!$Q$2:$Q$50000,"已关闭",缺陷明细!$J$2:$J$50000,"评审")</f>
        <v>0</v>
      </c>
      <c r="J51" s="154">
        <f>COUNTIFS(缺陷明细!$A$2:$A$50000,$B$4,缺陷明细!$G$2:$G$50000,$C51,缺陷明细!$J$2:$J$50000,"单元测试",缺陷明细!$AB$2:$AB$50000,"&lt;&gt;丢弃",缺陷明细!$AB$2:$AB$50000,"&lt;&gt;设计如此",缺陷明细!$AB$2:$AB$50000,"&lt;&gt;重复Bug")</f>
        <v>0</v>
      </c>
      <c r="K51" s="155">
        <f>COUNTIFS(缺陷明细!$A$2:$A$50000,$B$4,缺陷明细!$G$2:$G$50000,$C51,缺陷明细!$Q$2:$Q$50000,"已关闭",缺陷明细!$J$2:$J$50000,"单元测试")</f>
        <v>0</v>
      </c>
      <c r="L51" s="156"/>
      <c r="M51" s="157"/>
      <c r="N51" s="72">
        <f>COUNTIFS(缺陷明细!$A$2:$A$50000,$B$4,缺陷明细!$G$2:$G$50000,$C51,缺陷明细!$J$2:$J$50000,"系统测试案例评审",缺陷明细!$AB$2:$AB$50000,"&lt;&gt;丢弃",缺陷明细!$AB$2:$AB$50000,"&lt;&gt;设计如此",缺陷明细!$AB$2:$AB$50000,"&lt;&gt;重复Bug")</f>
        <v>0</v>
      </c>
      <c r="O51" s="72">
        <f>COUNTIFS(缺陷明细!$A$2:$A$50000,$B$4,缺陷明细!$G$2:$G$50000,$C51,缺陷明细!$Q$2:$Q$50000,"已关闭",缺陷明细!$J$2:$J$50000,"系统测试案例评审")</f>
        <v>0</v>
      </c>
      <c r="P51" s="72">
        <f>COUNTIFS(缺陷明细!$A$2:$A$50000,$B$4,缺陷明细!$G$2:$G$50000,$C51,缺陷明细!$J$2:$J$50000,"系统测试",缺陷明细!$AB$2:$AB$50000,"&lt;&gt;丢弃",缺陷明细!$AB$2:$AB$50000,"&lt;&gt;设计如此",缺陷明细!$AB$2:$AB$50000,"&lt;&gt;重复Bug")</f>
        <v>0</v>
      </c>
      <c r="Q51" s="72">
        <f>COUNTIFS(缺陷明细!$A$2:$A$50000,$B$4,缺陷明细!$G$2:$G$50000,$C51,缺陷明细!$Q$2:$Q$50000,"已关闭",缺陷明细!$J$2:$J$50000,"系统测试")</f>
        <v>0</v>
      </c>
      <c r="R51" s="296">
        <f>COUNTIFS(缺陷明细!$A$2:$A$50000,$B$4,缺陷明细!$G$2:$G$50000,$C51,缺陷明细!$AB$2:$AB$50000,"丢弃",缺陷明细!$J$2:$J$50000,"系统测试")+COUNTIFS(缺陷明细!$A$2:$A$50000,$B$4,缺陷明细!$G$2:$G$50000,$C51,缺陷明细!$AB$2:$AB$50000,"设计如此",缺陷明细!$J$2:$J$50000,"系统测试")+COUNTIFS(缺陷明细!$A$2:$A$50000,$B$4,缺陷明细!$G$2:$G$50000,$C51,缺陷明细!$AB$2:$AB$50000,"重复Bug",缺陷明细!$J$2:$J$50000,"系统测试")</f>
        <v>0</v>
      </c>
      <c r="S51" s="72">
        <f>COUNTIFS(缺陷明细!$A$2:$A$50000,$B$4,缺陷明细!$G$2:$G$50000,$C51,缺陷明细!$J$2:$J$50000,"系统测试",缺陷明细!$K$2:$K$50000,"致命",缺陷明细!$AB$2:$AB$50000,"&lt;&gt;丢弃",缺陷明细!$AB$2:$AB$50000,"&lt;&gt;设计如此",缺陷明细!$AB$2:$AB$50000,"&lt;&gt;重复Bug")+COUNTIFS(缺陷明细!$A$2:$A$50000,$B$4,缺陷明细!$G$2:$G$50000,$C51,缺陷明细!$J$2:$J$50000,"系统测试",缺陷明细!$K$2:$K$50000,"严重",缺陷明细!$AB$2:$AB$50000,"&lt;&gt;丢弃",缺陷明细!$AB$2:$AB$50000,"&lt;&gt;设计如此",缺陷明细!$AB$2:$AB$50000,"&lt;&gt;重复Bug")</f>
        <v>0</v>
      </c>
      <c r="T51" s="73">
        <f>COUNTIFS(缺陷明细!$A$2:$A$50000,$B$4,缺陷明细!$G$2:$G$50000,$C51,缺陷明细!$Q$2:$Q$50000,"已关闭",缺陷明细!$J$2:$J$50000,"系统测试",缺陷明细!$K$2:$K$50000,"致命")+COUNTIFS(缺陷明细!$A$2:$A$50000,$B$4,缺陷明细!$G$2:$G$50000,$C51,缺陷明细!$Q$2:$Q$50000,"已关闭",缺陷明细!$J$2:$J$50000,"系统测试",缺陷明细!$K$2:$K$50000,"严重")</f>
        <v>0</v>
      </c>
      <c r="U51" s="74">
        <f>COUNTIFS(缺陷明细!$A$2:$A$50000,$B$4,缺陷明细!$G$2:$G$50000,$C51,缺陷明细!$J$2:$J$50000,"验收测试",缺陷明细!$AB$2:$AB$50000,"&lt;&gt;丢弃",缺陷明细!$AB$2:$AB$50000,"&lt;&gt;设计如此",缺陷明细!$AB$2:$AB$50000,"&lt;&gt;重复Bug")</f>
        <v>0</v>
      </c>
      <c r="V51" s="75">
        <f>COUNTIFS(缺陷明细!$A$2:$A$50000,$B$4,缺陷明细!$G$2:$G$50000,$C51,缺陷明细!$Q$2:$Q$50000,"已关闭",缺陷明细!$J$2:$J$50000,"验收测试")</f>
        <v>0</v>
      </c>
      <c r="W51" s="75">
        <f>COUNTIFS(缺陷明细!$A$2:$A$50000,$B$4,缺陷明细!$G$2:$G$50000,$C51,缺陷明细!$J$2:$J$50000,"验收测试",缺陷明细!$K$2:$K$50000,"致命",缺陷明细!$AB$2:$AB$50000,"&lt;&gt;丢弃",缺陷明细!$AB$2:$AB$50000,"&lt;&gt;设计如此",缺陷明细!$AB$2:$AB$50000,"&lt;&gt;重复Bug")+COUNTIFS(缺陷明细!$A$2:$A$50000,$B$4,缺陷明细!$G$2:$G$50000,$C51,缺陷明细!$J$2:$J$50000,"验收测试",缺陷明细!$K$2:$K$50000,"严重",缺陷明细!$AB$2:$AB$50000,"&lt;&gt;丢弃",缺陷明细!$AB$2:$AB$50000,"&lt;&gt;设计如此",缺陷明细!$AB$2:$AB$50000,"&lt;&gt;重复Bug")</f>
        <v>0</v>
      </c>
      <c r="X51" s="76">
        <f>COUNTIFS(缺陷明细!$A$2:$A$50000,$B$4,缺陷明细!$G$2:$G$50000,$C51,缺陷明细!$Q$2:$Q$50000,"已关闭",缺陷明细!$J$2:$J$50000,"验收测试",缺陷明细!$K$2:$K$50000,"致命")+COUNTIFS(缺陷明细!$A$2:$A$50000,$B$4,缺陷明细!$G$2:$G$50000,$C51,缺陷明细!$Q$2:$Q$50000,"已关闭",缺陷明细!$J$2:$J$50000,"验收测试",缺陷明细!$K$2:$K$50000,"严重")</f>
        <v>0</v>
      </c>
      <c r="Y51" s="70">
        <f>COUNTIFS(缺陷明细!$A$2:$A$50000,$B$4,缺陷明细!$G$2:$G$50000,$C51,缺陷明细!$J$2:$J$50000,"运维测试",缺陷明细!$AB$2:$AB$50000,"&lt;&gt;丢弃",缺陷明细!$AB$2:$AB$50000,"&lt;&gt;设计如此",缺陷明细!$AB$2:$AB$50000,"&lt;&gt;重复Bug")</f>
        <v>0</v>
      </c>
      <c r="Z51" s="71">
        <f>COUNTIFS(缺陷明细!$A$2:$A$50000,$B$4,缺陷明细!$G$2:$G$50000,$C51,缺陷明细!$Q$2:$Q$50000,"已关闭",缺陷明细!$J$2:$J$50000,"运维测试")</f>
        <v>0</v>
      </c>
      <c r="AA51" s="72">
        <f>COUNTIFS(缺陷明细!$A$2:$A$50000,$B$4,缺陷明细!$G$2:$G$50000,$C51,缺陷明细!$J$2:$J$50000,"运维测试",缺陷明细!$K$2:$K$50000,"致命",缺陷明细!$AB$2:$AB$50000,"&lt;&gt;丢弃",缺陷明细!$AB$2:$AB$50000,"&lt;&gt;设计如此",缺陷明细!$AB$2:$AB$50000,"&lt;&gt;重复Bug")+COUNTIFS(缺陷明细!$A$2:$A$50000,$B$4,缺陷明细!$G$2:$G$50000,$C51,缺陷明细!$J$2:$J$50000,"运维测试",缺陷明细!$K$2:$K$50000,"严重",缺陷明细!$AB$2:$AB$50000,"&lt;&gt;丢弃",缺陷明细!$AB$2:$AB$50000,"&lt;&gt;设计如此",缺陷明细!$AB$2:$AB$50000,"&lt;&gt;重复Bug")</f>
        <v>0</v>
      </c>
      <c r="AB51" s="73">
        <f>COUNTIFS(缺陷明细!$A$2:$A$50000,$B$4,缺陷明细!$G$2:$G$50000,$C51,缺陷明细!$Q$2:$Q$50000,"已关闭",缺陷明细!$J$2:$J$50000,"运维测试",缺陷明细!$K$2:$K$50000,"致命")+COUNTIFS(缺陷明细!$A$2:$A$50000,$B$4,缺陷明细!$G$2:$G$50000,$C51,缺陷明细!$Q$2:$Q$50000,"已关闭",缺陷明细!$J$2:$J$50000,"运维测试",缺陷明细!$K$2:$K$50000,"严重")</f>
        <v>0</v>
      </c>
      <c r="AC51" s="68">
        <f t="shared" si="0"/>
        <v>0</v>
      </c>
      <c r="AD51" s="60">
        <f t="shared" si="0"/>
        <v>0</v>
      </c>
      <c r="AE51" s="60">
        <f t="shared" si="1"/>
        <v>0</v>
      </c>
      <c r="AF51" s="60">
        <f t="shared" si="1"/>
        <v>0</v>
      </c>
      <c r="AG51" s="60">
        <f t="shared" si="2"/>
        <v>0</v>
      </c>
      <c r="AH51" s="60">
        <f t="shared" si="2"/>
        <v>0</v>
      </c>
      <c r="AI51" s="60">
        <f t="shared" si="3"/>
        <v>0</v>
      </c>
      <c r="AJ51" s="61">
        <f t="shared" si="3"/>
        <v>0</v>
      </c>
      <c r="AK51" s="144"/>
    </row>
    <row r="52" spans="1:37">
      <c r="A52">
        <v>48</v>
      </c>
      <c r="B52" s="57"/>
      <c r="C52" s="58"/>
      <c r="D52" s="84"/>
      <c r="E52" s="82"/>
      <c r="F52" s="158"/>
      <c r="G52" s="159"/>
      <c r="H52" s="281">
        <f>COUNTIFS(缺陷明细!$A$2:$A$50000,$B$4,缺陷明细!$G$2:$G$50000,$C52,缺陷明细!$J$2:$J$50000,"评审",缺陷明细!$AB$2:$AB$50000,"&lt;&gt;丢弃",缺陷明细!$AB$2:$AB$50000,"&lt;&gt;设计如此",缺陷明细!$AB$2:$AB$50000,"&lt;&gt;重复Bug")</f>
        <v>0</v>
      </c>
      <c r="I52" s="154">
        <f>COUNTIFS(缺陷明细!$A$2:$A$50000,$B$4,缺陷明细!$G$2:$G$50000,$C52,缺陷明细!$Q$2:$Q$50000,"已关闭",缺陷明细!$J$2:$J$50000,"评审")</f>
        <v>0</v>
      </c>
      <c r="J52" s="154">
        <f>COUNTIFS(缺陷明细!$A$2:$A$50000,$B$4,缺陷明细!$G$2:$G$50000,$C52,缺陷明细!$J$2:$J$50000,"单元测试",缺陷明细!$AB$2:$AB$50000,"&lt;&gt;丢弃",缺陷明细!$AB$2:$AB$50000,"&lt;&gt;设计如此",缺陷明细!$AB$2:$AB$50000,"&lt;&gt;重复Bug")</f>
        <v>0</v>
      </c>
      <c r="K52" s="155">
        <f>COUNTIFS(缺陷明细!$A$2:$A$50000,$B$4,缺陷明细!$G$2:$G$50000,$C52,缺陷明细!$Q$2:$Q$50000,"已关闭",缺陷明细!$J$2:$J$50000,"单元测试")</f>
        <v>0</v>
      </c>
      <c r="L52" s="156"/>
      <c r="M52" s="157"/>
      <c r="N52" s="72">
        <f>COUNTIFS(缺陷明细!$A$2:$A$50000,$B$4,缺陷明细!$G$2:$G$50000,$C52,缺陷明细!$J$2:$J$50000,"系统测试案例评审",缺陷明细!$AB$2:$AB$50000,"&lt;&gt;丢弃",缺陷明细!$AB$2:$AB$50000,"&lt;&gt;设计如此",缺陷明细!$AB$2:$AB$50000,"&lt;&gt;重复Bug")</f>
        <v>0</v>
      </c>
      <c r="O52" s="72">
        <f>COUNTIFS(缺陷明细!$A$2:$A$50000,$B$4,缺陷明细!$G$2:$G$50000,$C52,缺陷明细!$Q$2:$Q$50000,"已关闭",缺陷明细!$J$2:$J$50000,"系统测试案例评审")</f>
        <v>0</v>
      </c>
      <c r="P52" s="72">
        <f>COUNTIFS(缺陷明细!$A$2:$A$50000,$B$4,缺陷明细!$G$2:$G$50000,$C52,缺陷明细!$J$2:$J$50000,"系统测试",缺陷明细!$AB$2:$AB$50000,"&lt;&gt;丢弃",缺陷明细!$AB$2:$AB$50000,"&lt;&gt;设计如此",缺陷明细!$AB$2:$AB$50000,"&lt;&gt;重复Bug")</f>
        <v>0</v>
      </c>
      <c r="Q52" s="72">
        <f>COUNTIFS(缺陷明细!$A$2:$A$50000,$B$4,缺陷明细!$G$2:$G$50000,$C52,缺陷明细!$Q$2:$Q$50000,"已关闭",缺陷明细!$J$2:$J$50000,"系统测试")</f>
        <v>0</v>
      </c>
      <c r="R52" s="296">
        <f>COUNTIFS(缺陷明细!$A$2:$A$50000,$B$4,缺陷明细!$G$2:$G$50000,$C52,缺陷明细!$AB$2:$AB$50000,"丢弃",缺陷明细!$J$2:$J$50000,"系统测试")+COUNTIFS(缺陷明细!$A$2:$A$50000,$B$4,缺陷明细!$G$2:$G$50000,$C52,缺陷明细!$AB$2:$AB$50000,"设计如此",缺陷明细!$J$2:$J$50000,"系统测试")+COUNTIFS(缺陷明细!$A$2:$A$50000,$B$4,缺陷明细!$G$2:$G$50000,$C52,缺陷明细!$AB$2:$AB$50000,"重复Bug",缺陷明细!$J$2:$J$50000,"系统测试")</f>
        <v>0</v>
      </c>
      <c r="S52" s="72">
        <f>COUNTIFS(缺陷明细!$A$2:$A$50000,$B$4,缺陷明细!$G$2:$G$50000,$C52,缺陷明细!$J$2:$J$50000,"系统测试",缺陷明细!$K$2:$K$50000,"致命",缺陷明细!$AB$2:$AB$50000,"&lt;&gt;丢弃",缺陷明细!$AB$2:$AB$50000,"&lt;&gt;设计如此",缺陷明细!$AB$2:$AB$50000,"&lt;&gt;重复Bug")+COUNTIFS(缺陷明细!$A$2:$A$50000,$B$4,缺陷明细!$G$2:$G$50000,$C52,缺陷明细!$J$2:$J$50000,"系统测试",缺陷明细!$K$2:$K$50000,"严重",缺陷明细!$AB$2:$AB$50000,"&lt;&gt;丢弃",缺陷明细!$AB$2:$AB$50000,"&lt;&gt;设计如此",缺陷明细!$AB$2:$AB$50000,"&lt;&gt;重复Bug")</f>
        <v>0</v>
      </c>
      <c r="T52" s="73">
        <f>COUNTIFS(缺陷明细!$A$2:$A$50000,$B$4,缺陷明细!$G$2:$G$50000,$C52,缺陷明细!$Q$2:$Q$50000,"已关闭",缺陷明细!$J$2:$J$50000,"系统测试",缺陷明细!$K$2:$K$50000,"致命")+COUNTIFS(缺陷明细!$A$2:$A$50000,$B$4,缺陷明细!$G$2:$G$50000,$C52,缺陷明细!$Q$2:$Q$50000,"已关闭",缺陷明细!$J$2:$J$50000,"系统测试",缺陷明细!$K$2:$K$50000,"严重")</f>
        <v>0</v>
      </c>
      <c r="U52" s="74">
        <f>COUNTIFS(缺陷明细!$A$2:$A$50000,$B$4,缺陷明细!$G$2:$G$50000,$C52,缺陷明细!$J$2:$J$50000,"验收测试",缺陷明细!$AB$2:$AB$50000,"&lt;&gt;丢弃",缺陷明细!$AB$2:$AB$50000,"&lt;&gt;设计如此",缺陷明细!$AB$2:$AB$50000,"&lt;&gt;重复Bug")</f>
        <v>0</v>
      </c>
      <c r="V52" s="75">
        <f>COUNTIFS(缺陷明细!$A$2:$A$50000,$B$4,缺陷明细!$G$2:$G$50000,$C52,缺陷明细!$Q$2:$Q$50000,"已关闭",缺陷明细!$J$2:$J$50000,"验收测试")</f>
        <v>0</v>
      </c>
      <c r="W52" s="75">
        <f>COUNTIFS(缺陷明细!$A$2:$A$50000,$B$4,缺陷明细!$G$2:$G$50000,$C52,缺陷明细!$J$2:$J$50000,"验收测试",缺陷明细!$K$2:$K$50000,"致命",缺陷明细!$AB$2:$AB$50000,"&lt;&gt;丢弃",缺陷明细!$AB$2:$AB$50000,"&lt;&gt;设计如此",缺陷明细!$AB$2:$AB$50000,"&lt;&gt;重复Bug")+COUNTIFS(缺陷明细!$A$2:$A$50000,$B$4,缺陷明细!$G$2:$G$50000,$C52,缺陷明细!$J$2:$J$50000,"验收测试",缺陷明细!$K$2:$K$50000,"严重",缺陷明细!$AB$2:$AB$50000,"&lt;&gt;丢弃",缺陷明细!$AB$2:$AB$50000,"&lt;&gt;设计如此",缺陷明细!$AB$2:$AB$50000,"&lt;&gt;重复Bug")</f>
        <v>0</v>
      </c>
      <c r="X52" s="76">
        <f>COUNTIFS(缺陷明细!$A$2:$A$50000,$B$4,缺陷明细!$G$2:$G$50000,$C52,缺陷明细!$Q$2:$Q$50000,"已关闭",缺陷明细!$J$2:$J$50000,"验收测试",缺陷明细!$K$2:$K$50000,"致命")+COUNTIFS(缺陷明细!$A$2:$A$50000,$B$4,缺陷明细!$G$2:$G$50000,$C52,缺陷明细!$Q$2:$Q$50000,"已关闭",缺陷明细!$J$2:$J$50000,"验收测试",缺陷明细!$K$2:$K$50000,"严重")</f>
        <v>0</v>
      </c>
      <c r="Y52" s="70">
        <f>COUNTIFS(缺陷明细!$A$2:$A$50000,$B$4,缺陷明细!$G$2:$G$50000,$C52,缺陷明细!$J$2:$J$50000,"运维测试",缺陷明细!$AB$2:$AB$50000,"&lt;&gt;丢弃",缺陷明细!$AB$2:$AB$50000,"&lt;&gt;设计如此",缺陷明细!$AB$2:$AB$50000,"&lt;&gt;重复Bug")</f>
        <v>0</v>
      </c>
      <c r="Z52" s="71">
        <f>COUNTIFS(缺陷明细!$A$2:$A$50000,$B$4,缺陷明细!$G$2:$G$50000,$C52,缺陷明细!$Q$2:$Q$50000,"已关闭",缺陷明细!$J$2:$J$50000,"运维测试")</f>
        <v>0</v>
      </c>
      <c r="AA52" s="72">
        <f>COUNTIFS(缺陷明细!$A$2:$A$50000,$B$4,缺陷明细!$G$2:$G$50000,$C52,缺陷明细!$J$2:$J$50000,"运维测试",缺陷明细!$K$2:$K$50000,"致命",缺陷明细!$AB$2:$AB$50000,"&lt;&gt;丢弃",缺陷明细!$AB$2:$AB$50000,"&lt;&gt;设计如此",缺陷明细!$AB$2:$AB$50000,"&lt;&gt;重复Bug")+COUNTIFS(缺陷明细!$A$2:$A$50000,$B$4,缺陷明细!$G$2:$G$50000,$C52,缺陷明细!$J$2:$J$50000,"运维测试",缺陷明细!$K$2:$K$50000,"严重",缺陷明细!$AB$2:$AB$50000,"&lt;&gt;丢弃",缺陷明细!$AB$2:$AB$50000,"&lt;&gt;设计如此",缺陷明细!$AB$2:$AB$50000,"&lt;&gt;重复Bug")</f>
        <v>0</v>
      </c>
      <c r="AB52" s="73">
        <f>COUNTIFS(缺陷明细!$A$2:$A$50000,$B$4,缺陷明细!$G$2:$G$50000,$C52,缺陷明细!$Q$2:$Q$50000,"已关闭",缺陷明细!$J$2:$J$50000,"运维测试",缺陷明细!$K$2:$K$50000,"致命")+COUNTIFS(缺陷明细!$A$2:$A$50000,$B$4,缺陷明细!$G$2:$G$50000,$C52,缺陷明细!$Q$2:$Q$50000,"已关闭",缺陷明细!$J$2:$J$50000,"运维测试",缺陷明细!$K$2:$K$50000,"严重")</f>
        <v>0</v>
      </c>
      <c r="AC52" s="68">
        <f t="shared" si="0"/>
        <v>0</v>
      </c>
      <c r="AD52" s="60">
        <f t="shared" si="0"/>
        <v>0</v>
      </c>
      <c r="AE52" s="60">
        <f t="shared" si="1"/>
        <v>0</v>
      </c>
      <c r="AF52" s="60">
        <f t="shared" si="1"/>
        <v>0</v>
      </c>
      <c r="AG52" s="60">
        <f t="shared" si="2"/>
        <v>0</v>
      </c>
      <c r="AH52" s="60">
        <f t="shared" si="2"/>
        <v>0</v>
      </c>
      <c r="AI52" s="60">
        <f t="shared" si="3"/>
        <v>0</v>
      </c>
      <c r="AJ52" s="61">
        <f t="shared" si="3"/>
        <v>0</v>
      </c>
      <c r="AK52" s="144"/>
    </row>
    <row r="53" spans="1:37">
      <c r="A53">
        <v>49</v>
      </c>
      <c r="B53" s="57"/>
      <c r="C53" s="58"/>
      <c r="D53" s="84"/>
      <c r="E53" s="82"/>
      <c r="F53" s="158"/>
      <c r="G53" s="159"/>
      <c r="H53" s="281">
        <f>COUNTIFS(缺陷明细!$A$2:$A$50000,$B$4,缺陷明细!$G$2:$G$50000,$C53,缺陷明细!$J$2:$J$50000,"评审",缺陷明细!$AB$2:$AB$50000,"&lt;&gt;丢弃",缺陷明细!$AB$2:$AB$50000,"&lt;&gt;设计如此",缺陷明细!$AB$2:$AB$50000,"&lt;&gt;重复Bug")</f>
        <v>0</v>
      </c>
      <c r="I53" s="154">
        <f>COUNTIFS(缺陷明细!$A$2:$A$50000,$B$4,缺陷明细!$G$2:$G$50000,$C53,缺陷明细!$Q$2:$Q$50000,"已关闭",缺陷明细!$J$2:$J$50000,"评审")</f>
        <v>0</v>
      </c>
      <c r="J53" s="154">
        <f>COUNTIFS(缺陷明细!$A$2:$A$50000,$B$4,缺陷明细!$G$2:$G$50000,$C53,缺陷明细!$J$2:$J$50000,"单元测试",缺陷明细!$AB$2:$AB$50000,"&lt;&gt;丢弃",缺陷明细!$AB$2:$AB$50000,"&lt;&gt;设计如此",缺陷明细!$AB$2:$AB$50000,"&lt;&gt;重复Bug")</f>
        <v>0</v>
      </c>
      <c r="K53" s="155">
        <f>COUNTIFS(缺陷明细!$A$2:$A$50000,$B$4,缺陷明细!$G$2:$G$50000,$C53,缺陷明细!$Q$2:$Q$50000,"已关闭",缺陷明细!$J$2:$J$50000,"单元测试")</f>
        <v>0</v>
      </c>
      <c r="L53" s="156"/>
      <c r="M53" s="157"/>
      <c r="N53" s="72">
        <f>COUNTIFS(缺陷明细!$A$2:$A$50000,$B$4,缺陷明细!$G$2:$G$50000,$C53,缺陷明细!$J$2:$J$50000,"系统测试案例评审",缺陷明细!$AB$2:$AB$50000,"&lt;&gt;丢弃",缺陷明细!$AB$2:$AB$50000,"&lt;&gt;设计如此",缺陷明细!$AB$2:$AB$50000,"&lt;&gt;重复Bug")</f>
        <v>0</v>
      </c>
      <c r="O53" s="72">
        <f>COUNTIFS(缺陷明细!$A$2:$A$50000,$B$4,缺陷明细!$G$2:$G$50000,$C53,缺陷明细!$Q$2:$Q$50000,"已关闭",缺陷明细!$J$2:$J$50000,"系统测试案例评审")</f>
        <v>0</v>
      </c>
      <c r="P53" s="72">
        <f>COUNTIFS(缺陷明细!$A$2:$A$50000,$B$4,缺陷明细!$G$2:$G$50000,$C53,缺陷明细!$J$2:$J$50000,"系统测试",缺陷明细!$AB$2:$AB$50000,"&lt;&gt;丢弃",缺陷明细!$AB$2:$AB$50000,"&lt;&gt;设计如此",缺陷明细!$AB$2:$AB$50000,"&lt;&gt;重复Bug")</f>
        <v>0</v>
      </c>
      <c r="Q53" s="72">
        <f>COUNTIFS(缺陷明细!$A$2:$A$50000,$B$4,缺陷明细!$G$2:$G$50000,$C53,缺陷明细!$Q$2:$Q$50000,"已关闭",缺陷明细!$J$2:$J$50000,"系统测试")</f>
        <v>0</v>
      </c>
      <c r="R53" s="296">
        <f>COUNTIFS(缺陷明细!$A$2:$A$50000,$B$4,缺陷明细!$G$2:$G$50000,$C53,缺陷明细!$AB$2:$AB$50000,"丢弃",缺陷明细!$J$2:$J$50000,"系统测试")+COUNTIFS(缺陷明细!$A$2:$A$50000,$B$4,缺陷明细!$G$2:$G$50000,$C53,缺陷明细!$AB$2:$AB$50000,"设计如此",缺陷明细!$J$2:$J$50000,"系统测试")+COUNTIFS(缺陷明细!$A$2:$A$50000,$B$4,缺陷明细!$G$2:$G$50000,$C53,缺陷明细!$AB$2:$AB$50000,"重复Bug",缺陷明细!$J$2:$J$50000,"系统测试")</f>
        <v>0</v>
      </c>
      <c r="S53" s="72">
        <f>COUNTIFS(缺陷明细!$A$2:$A$50000,$B$4,缺陷明细!$G$2:$G$50000,$C53,缺陷明细!$J$2:$J$50000,"系统测试",缺陷明细!$K$2:$K$50000,"致命",缺陷明细!$AB$2:$AB$50000,"&lt;&gt;丢弃",缺陷明细!$AB$2:$AB$50000,"&lt;&gt;设计如此",缺陷明细!$AB$2:$AB$50000,"&lt;&gt;重复Bug")+COUNTIFS(缺陷明细!$A$2:$A$50000,$B$4,缺陷明细!$G$2:$G$50000,$C53,缺陷明细!$J$2:$J$50000,"系统测试",缺陷明细!$K$2:$K$50000,"严重",缺陷明细!$AB$2:$AB$50000,"&lt;&gt;丢弃",缺陷明细!$AB$2:$AB$50000,"&lt;&gt;设计如此",缺陷明细!$AB$2:$AB$50000,"&lt;&gt;重复Bug")</f>
        <v>0</v>
      </c>
      <c r="T53" s="73">
        <f>COUNTIFS(缺陷明细!$A$2:$A$50000,$B$4,缺陷明细!$G$2:$G$50000,$C53,缺陷明细!$Q$2:$Q$50000,"已关闭",缺陷明细!$J$2:$J$50000,"系统测试",缺陷明细!$K$2:$K$50000,"致命")+COUNTIFS(缺陷明细!$A$2:$A$50000,$B$4,缺陷明细!$G$2:$G$50000,$C53,缺陷明细!$Q$2:$Q$50000,"已关闭",缺陷明细!$J$2:$J$50000,"系统测试",缺陷明细!$K$2:$K$50000,"严重")</f>
        <v>0</v>
      </c>
      <c r="U53" s="74">
        <f>COUNTIFS(缺陷明细!$A$2:$A$50000,$B$4,缺陷明细!$G$2:$G$50000,$C53,缺陷明细!$J$2:$J$50000,"验收测试",缺陷明细!$AB$2:$AB$50000,"&lt;&gt;丢弃",缺陷明细!$AB$2:$AB$50000,"&lt;&gt;设计如此",缺陷明细!$AB$2:$AB$50000,"&lt;&gt;重复Bug")</f>
        <v>0</v>
      </c>
      <c r="V53" s="75">
        <f>COUNTIFS(缺陷明细!$A$2:$A$50000,$B$4,缺陷明细!$G$2:$G$50000,$C53,缺陷明细!$Q$2:$Q$50000,"已关闭",缺陷明细!$J$2:$J$50000,"验收测试")</f>
        <v>0</v>
      </c>
      <c r="W53" s="75">
        <f>COUNTIFS(缺陷明细!$A$2:$A$50000,$B$4,缺陷明细!$G$2:$G$50000,$C53,缺陷明细!$J$2:$J$50000,"验收测试",缺陷明细!$K$2:$K$50000,"致命",缺陷明细!$AB$2:$AB$50000,"&lt;&gt;丢弃",缺陷明细!$AB$2:$AB$50000,"&lt;&gt;设计如此",缺陷明细!$AB$2:$AB$50000,"&lt;&gt;重复Bug")+COUNTIFS(缺陷明细!$A$2:$A$50000,$B$4,缺陷明细!$G$2:$G$50000,$C53,缺陷明细!$J$2:$J$50000,"验收测试",缺陷明细!$K$2:$K$50000,"严重",缺陷明细!$AB$2:$AB$50000,"&lt;&gt;丢弃",缺陷明细!$AB$2:$AB$50000,"&lt;&gt;设计如此",缺陷明细!$AB$2:$AB$50000,"&lt;&gt;重复Bug")</f>
        <v>0</v>
      </c>
      <c r="X53" s="76">
        <f>COUNTIFS(缺陷明细!$A$2:$A$50000,$B$4,缺陷明细!$G$2:$G$50000,$C53,缺陷明细!$Q$2:$Q$50000,"已关闭",缺陷明细!$J$2:$J$50000,"验收测试",缺陷明细!$K$2:$K$50000,"致命")+COUNTIFS(缺陷明细!$A$2:$A$50000,$B$4,缺陷明细!$G$2:$G$50000,$C53,缺陷明细!$Q$2:$Q$50000,"已关闭",缺陷明细!$J$2:$J$50000,"验收测试",缺陷明细!$K$2:$K$50000,"严重")</f>
        <v>0</v>
      </c>
      <c r="Y53" s="70">
        <f>COUNTIFS(缺陷明细!$A$2:$A$50000,$B$4,缺陷明细!$G$2:$G$50000,$C53,缺陷明细!$J$2:$J$50000,"运维测试",缺陷明细!$AB$2:$AB$50000,"&lt;&gt;丢弃",缺陷明细!$AB$2:$AB$50000,"&lt;&gt;设计如此",缺陷明细!$AB$2:$AB$50000,"&lt;&gt;重复Bug")</f>
        <v>0</v>
      </c>
      <c r="Z53" s="71">
        <f>COUNTIFS(缺陷明细!$A$2:$A$50000,$B$4,缺陷明细!$G$2:$G$50000,$C53,缺陷明细!$Q$2:$Q$50000,"已关闭",缺陷明细!$J$2:$J$50000,"运维测试")</f>
        <v>0</v>
      </c>
      <c r="AA53" s="72">
        <f>COUNTIFS(缺陷明细!$A$2:$A$50000,$B$4,缺陷明细!$G$2:$G$50000,$C53,缺陷明细!$J$2:$J$50000,"运维测试",缺陷明细!$K$2:$K$50000,"致命",缺陷明细!$AB$2:$AB$50000,"&lt;&gt;丢弃",缺陷明细!$AB$2:$AB$50000,"&lt;&gt;设计如此",缺陷明细!$AB$2:$AB$50000,"&lt;&gt;重复Bug")+COUNTIFS(缺陷明细!$A$2:$A$50000,$B$4,缺陷明细!$G$2:$G$50000,$C53,缺陷明细!$J$2:$J$50000,"运维测试",缺陷明细!$K$2:$K$50000,"严重",缺陷明细!$AB$2:$AB$50000,"&lt;&gt;丢弃",缺陷明细!$AB$2:$AB$50000,"&lt;&gt;设计如此",缺陷明细!$AB$2:$AB$50000,"&lt;&gt;重复Bug")</f>
        <v>0</v>
      </c>
      <c r="AB53" s="73">
        <f>COUNTIFS(缺陷明细!$A$2:$A$50000,$B$4,缺陷明细!$G$2:$G$50000,$C53,缺陷明细!$Q$2:$Q$50000,"已关闭",缺陷明细!$J$2:$J$50000,"运维测试",缺陷明细!$K$2:$K$50000,"致命")+COUNTIFS(缺陷明细!$A$2:$A$50000,$B$4,缺陷明细!$G$2:$G$50000,$C53,缺陷明细!$Q$2:$Q$50000,"已关闭",缺陷明细!$J$2:$J$50000,"运维测试",缺陷明细!$K$2:$K$50000,"严重")</f>
        <v>0</v>
      </c>
      <c r="AC53" s="68">
        <f t="shared" si="0"/>
        <v>0</v>
      </c>
      <c r="AD53" s="60">
        <f t="shared" si="0"/>
        <v>0</v>
      </c>
      <c r="AE53" s="60">
        <f t="shared" si="1"/>
        <v>0</v>
      </c>
      <c r="AF53" s="60">
        <f t="shared" si="1"/>
        <v>0</v>
      </c>
      <c r="AG53" s="60">
        <f t="shared" si="2"/>
        <v>0</v>
      </c>
      <c r="AH53" s="60">
        <f t="shared" si="2"/>
        <v>0</v>
      </c>
      <c r="AI53" s="60">
        <f t="shared" si="3"/>
        <v>0</v>
      </c>
      <c r="AJ53" s="61">
        <f t="shared" si="3"/>
        <v>0</v>
      </c>
      <c r="AK53" s="144"/>
    </row>
    <row r="54" spans="1:37">
      <c r="A54">
        <v>50</v>
      </c>
      <c r="B54" s="57"/>
      <c r="C54" s="58"/>
      <c r="D54" s="84"/>
      <c r="E54" s="82"/>
      <c r="F54" s="158"/>
      <c r="G54" s="159"/>
      <c r="H54" s="281">
        <f>COUNTIFS(缺陷明细!$A$2:$A$50000,$B$4,缺陷明细!$G$2:$G$50000,$C54,缺陷明细!$J$2:$J$50000,"评审",缺陷明细!$AB$2:$AB$50000,"&lt;&gt;丢弃",缺陷明细!$AB$2:$AB$50000,"&lt;&gt;设计如此",缺陷明细!$AB$2:$AB$50000,"&lt;&gt;重复Bug")</f>
        <v>0</v>
      </c>
      <c r="I54" s="154">
        <f>COUNTIFS(缺陷明细!$A$2:$A$50000,$B$4,缺陷明细!$G$2:$G$50000,$C54,缺陷明细!$Q$2:$Q$50000,"已关闭",缺陷明细!$J$2:$J$50000,"评审")</f>
        <v>0</v>
      </c>
      <c r="J54" s="154">
        <f>COUNTIFS(缺陷明细!$A$2:$A$50000,$B$4,缺陷明细!$G$2:$G$50000,$C54,缺陷明细!$J$2:$J$50000,"单元测试",缺陷明细!$AB$2:$AB$50000,"&lt;&gt;丢弃",缺陷明细!$AB$2:$AB$50000,"&lt;&gt;设计如此",缺陷明细!$AB$2:$AB$50000,"&lt;&gt;重复Bug")</f>
        <v>0</v>
      </c>
      <c r="K54" s="155">
        <f>COUNTIFS(缺陷明细!$A$2:$A$50000,$B$4,缺陷明细!$G$2:$G$50000,$C54,缺陷明细!$Q$2:$Q$50000,"已关闭",缺陷明细!$J$2:$J$50000,"单元测试")</f>
        <v>0</v>
      </c>
      <c r="L54" s="156"/>
      <c r="M54" s="157"/>
      <c r="N54" s="72">
        <f>COUNTIFS(缺陷明细!$A$2:$A$50000,$B$4,缺陷明细!$G$2:$G$50000,$C54,缺陷明细!$J$2:$J$50000,"系统测试案例评审",缺陷明细!$AB$2:$AB$50000,"&lt;&gt;丢弃",缺陷明细!$AB$2:$AB$50000,"&lt;&gt;设计如此",缺陷明细!$AB$2:$AB$50000,"&lt;&gt;重复Bug")</f>
        <v>0</v>
      </c>
      <c r="O54" s="72">
        <f>COUNTIFS(缺陷明细!$A$2:$A$50000,$B$4,缺陷明细!$G$2:$G$50000,$C54,缺陷明细!$Q$2:$Q$50000,"已关闭",缺陷明细!$J$2:$J$50000,"系统测试案例评审")</f>
        <v>0</v>
      </c>
      <c r="P54" s="72">
        <f>COUNTIFS(缺陷明细!$A$2:$A$50000,$B$4,缺陷明细!$G$2:$G$50000,$C54,缺陷明细!$J$2:$J$50000,"系统测试",缺陷明细!$AB$2:$AB$50000,"&lt;&gt;丢弃",缺陷明细!$AB$2:$AB$50000,"&lt;&gt;设计如此",缺陷明细!$AB$2:$AB$50000,"&lt;&gt;重复Bug")</f>
        <v>0</v>
      </c>
      <c r="Q54" s="72">
        <f>COUNTIFS(缺陷明细!$A$2:$A$50000,$B$4,缺陷明细!$G$2:$G$50000,$C54,缺陷明细!$Q$2:$Q$50000,"已关闭",缺陷明细!$J$2:$J$50000,"系统测试")</f>
        <v>0</v>
      </c>
      <c r="R54" s="296">
        <f>COUNTIFS(缺陷明细!$A$2:$A$50000,$B$4,缺陷明细!$G$2:$G$50000,$C54,缺陷明细!$AB$2:$AB$50000,"丢弃",缺陷明细!$J$2:$J$50000,"系统测试")+COUNTIFS(缺陷明细!$A$2:$A$50000,$B$4,缺陷明细!$G$2:$G$50000,$C54,缺陷明细!$AB$2:$AB$50000,"设计如此",缺陷明细!$J$2:$J$50000,"系统测试")+COUNTIFS(缺陷明细!$A$2:$A$50000,$B$4,缺陷明细!$G$2:$G$50000,$C54,缺陷明细!$AB$2:$AB$50000,"重复Bug",缺陷明细!$J$2:$J$50000,"系统测试")</f>
        <v>0</v>
      </c>
      <c r="S54" s="72">
        <f>COUNTIFS(缺陷明细!$A$2:$A$50000,$B$4,缺陷明细!$G$2:$G$50000,$C54,缺陷明细!$J$2:$J$50000,"系统测试",缺陷明细!$K$2:$K$50000,"致命",缺陷明细!$AB$2:$AB$50000,"&lt;&gt;丢弃",缺陷明细!$AB$2:$AB$50000,"&lt;&gt;设计如此",缺陷明细!$AB$2:$AB$50000,"&lt;&gt;重复Bug")+COUNTIFS(缺陷明细!$A$2:$A$50000,$B$4,缺陷明细!$G$2:$G$50000,$C54,缺陷明细!$J$2:$J$50000,"系统测试",缺陷明细!$K$2:$K$50000,"严重",缺陷明细!$AB$2:$AB$50000,"&lt;&gt;丢弃",缺陷明细!$AB$2:$AB$50000,"&lt;&gt;设计如此",缺陷明细!$AB$2:$AB$50000,"&lt;&gt;重复Bug")</f>
        <v>0</v>
      </c>
      <c r="T54" s="73">
        <f>COUNTIFS(缺陷明细!$A$2:$A$50000,$B$4,缺陷明细!$G$2:$G$50000,$C54,缺陷明细!$Q$2:$Q$50000,"已关闭",缺陷明细!$J$2:$J$50000,"系统测试",缺陷明细!$K$2:$K$50000,"致命")+COUNTIFS(缺陷明细!$A$2:$A$50000,$B$4,缺陷明细!$G$2:$G$50000,$C54,缺陷明细!$Q$2:$Q$50000,"已关闭",缺陷明细!$J$2:$J$50000,"系统测试",缺陷明细!$K$2:$K$50000,"严重")</f>
        <v>0</v>
      </c>
      <c r="U54" s="74">
        <f>COUNTIFS(缺陷明细!$A$2:$A$50000,$B$4,缺陷明细!$G$2:$G$50000,$C54,缺陷明细!$J$2:$J$50000,"验收测试",缺陷明细!$AB$2:$AB$50000,"&lt;&gt;丢弃",缺陷明细!$AB$2:$AB$50000,"&lt;&gt;设计如此",缺陷明细!$AB$2:$AB$50000,"&lt;&gt;重复Bug")</f>
        <v>0</v>
      </c>
      <c r="V54" s="75">
        <f>COUNTIFS(缺陷明细!$A$2:$A$50000,$B$4,缺陷明细!$G$2:$G$50000,$C54,缺陷明细!$Q$2:$Q$50000,"已关闭",缺陷明细!$J$2:$J$50000,"验收测试")</f>
        <v>0</v>
      </c>
      <c r="W54" s="75">
        <f>COUNTIFS(缺陷明细!$A$2:$A$50000,$B$4,缺陷明细!$G$2:$G$50000,$C54,缺陷明细!$J$2:$J$50000,"验收测试",缺陷明细!$K$2:$K$50000,"致命",缺陷明细!$AB$2:$AB$50000,"&lt;&gt;丢弃",缺陷明细!$AB$2:$AB$50000,"&lt;&gt;设计如此",缺陷明细!$AB$2:$AB$50000,"&lt;&gt;重复Bug")+COUNTIFS(缺陷明细!$A$2:$A$50000,$B$4,缺陷明细!$G$2:$G$50000,$C54,缺陷明细!$J$2:$J$50000,"验收测试",缺陷明细!$K$2:$K$50000,"严重",缺陷明细!$AB$2:$AB$50000,"&lt;&gt;丢弃",缺陷明细!$AB$2:$AB$50000,"&lt;&gt;设计如此",缺陷明细!$AB$2:$AB$50000,"&lt;&gt;重复Bug")</f>
        <v>0</v>
      </c>
      <c r="X54" s="76">
        <f>COUNTIFS(缺陷明细!$A$2:$A$50000,$B$4,缺陷明细!$G$2:$G$50000,$C54,缺陷明细!$Q$2:$Q$50000,"已关闭",缺陷明细!$J$2:$J$50000,"验收测试",缺陷明细!$K$2:$K$50000,"致命")+COUNTIFS(缺陷明细!$A$2:$A$50000,$B$4,缺陷明细!$G$2:$G$50000,$C54,缺陷明细!$Q$2:$Q$50000,"已关闭",缺陷明细!$J$2:$J$50000,"验收测试",缺陷明细!$K$2:$K$50000,"严重")</f>
        <v>0</v>
      </c>
      <c r="Y54" s="70">
        <f>COUNTIFS(缺陷明细!$A$2:$A$50000,$B$4,缺陷明细!$G$2:$G$50000,$C54,缺陷明细!$J$2:$J$50000,"运维测试",缺陷明细!$AB$2:$AB$50000,"&lt;&gt;丢弃",缺陷明细!$AB$2:$AB$50000,"&lt;&gt;设计如此",缺陷明细!$AB$2:$AB$50000,"&lt;&gt;重复Bug")</f>
        <v>0</v>
      </c>
      <c r="Z54" s="71">
        <f>COUNTIFS(缺陷明细!$A$2:$A$50000,$B$4,缺陷明细!$G$2:$G$50000,$C54,缺陷明细!$Q$2:$Q$50000,"已关闭",缺陷明细!$J$2:$J$50000,"运维测试")</f>
        <v>0</v>
      </c>
      <c r="AA54" s="72">
        <f>COUNTIFS(缺陷明细!$A$2:$A$50000,$B$4,缺陷明细!$G$2:$G$50000,$C54,缺陷明细!$J$2:$J$50000,"运维测试",缺陷明细!$K$2:$K$50000,"致命",缺陷明细!$AB$2:$AB$50000,"&lt;&gt;丢弃",缺陷明细!$AB$2:$AB$50000,"&lt;&gt;设计如此",缺陷明细!$AB$2:$AB$50000,"&lt;&gt;重复Bug")+COUNTIFS(缺陷明细!$A$2:$A$50000,$B$4,缺陷明细!$G$2:$G$50000,$C54,缺陷明细!$J$2:$J$50000,"运维测试",缺陷明细!$K$2:$K$50000,"严重",缺陷明细!$AB$2:$AB$50000,"&lt;&gt;丢弃",缺陷明细!$AB$2:$AB$50000,"&lt;&gt;设计如此",缺陷明细!$AB$2:$AB$50000,"&lt;&gt;重复Bug")</f>
        <v>0</v>
      </c>
      <c r="AB54" s="73">
        <f>COUNTIFS(缺陷明细!$A$2:$A$50000,$B$4,缺陷明细!$G$2:$G$50000,$C54,缺陷明细!$Q$2:$Q$50000,"已关闭",缺陷明细!$J$2:$J$50000,"运维测试",缺陷明细!$K$2:$K$50000,"致命")+COUNTIFS(缺陷明细!$A$2:$A$50000,$B$4,缺陷明细!$G$2:$G$50000,$C54,缺陷明细!$Q$2:$Q$50000,"已关闭",缺陷明细!$J$2:$J$50000,"运维测试",缺陷明细!$K$2:$K$50000,"严重")</f>
        <v>0</v>
      </c>
      <c r="AC54" s="68">
        <f t="shared" si="0"/>
        <v>0</v>
      </c>
      <c r="AD54" s="60">
        <f t="shared" si="0"/>
        <v>0</v>
      </c>
      <c r="AE54" s="60">
        <f t="shared" si="1"/>
        <v>0</v>
      </c>
      <c r="AF54" s="60">
        <f t="shared" si="1"/>
        <v>0</v>
      </c>
      <c r="AG54" s="60">
        <f t="shared" si="2"/>
        <v>0</v>
      </c>
      <c r="AH54" s="60">
        <f t="shared" si="2"/>
        <v>0</v>
      </c>
      <c r="AI54" s="60">
        <f t="shared" si="3"/>
        <v>0</v>
      </c>
      <c r="AJ54" s="61">
        <f t="shared" si="3"/>
        <v>0</v>
      </c>
      <c r="AK54" s="144"/>
    </row>
    <row r="55" spans="1:37" ht="13.5" thickBot="1">
      <c r="B55" s="140"/>
      <c r="C55" s="102"/>
      <c r="D55" s="85"/>
      <c r="E55" s="149"/>
      <c r="F55" s="162"/>
      <c r="G55" s="163"/>
      <c r="H55" s="282">
        <f>COUNTIFS(缺陷明细!$A$2:$A$50000,$B$4,缺陷明细!$G$2:$G$50000,$C55,缺陷明细!$J$2:$J$50000,"评审",缺陷明细!$AB$2:$AB$50000,"&lt;&gt;丢弃",缺陷明细!$AB$2:$AB$50000,"&lt;&gt;设计如此",缺陷明细!$AB$2:$AB$50000,"&lt;&gt;重复Bug")</f>
        <v>0</v>
      </c>
      <c r="I55" s="283">
        <f>COUNTIFS(缺陷明细!$A$2:$A$50000,$B$4,缺陷明细!$G$2:$G$50000,$C55,缺陷明细!$Q$2:$Q$50000,"已关闭",缺陷明细!$J$2:$J$50000,"评审")</f>
        <v>0</v>
      </c>
      <c r="J55" s="283">
        <f>COUNTIFS(缺陷明细!$A$2:$A$50000,$B$4,缺陷明细!$G$2:$G$50000,$C55,缺陷明细!$J$2:$J$50000,"单元测试",缺陷明细!$AB$2:$AB$50000,"&lt;&gt;丢弃",缺陷明细!$AB$2:$AB$50000,"&lt;&gt;设计如此",缺陷明细!$AB$2:$AB$50000,"&lt;&gt;重复Bug")</f>
        <v>0</v>
      </c>
      <c r="K55" s="284">
        <f>COUNTIFS(缺陷明细!$A$2:$A$50000,$B$4,缺陷明细!$G$2:$G$50000,$C55,缺陷明细!$Q$2:$Q$50000,"已关闭",缺陷明细!$J$2:$J$50000,"单元测试")</f>
        <v>0</v>
      </c>
      <c r="L55" s="285"/>
      <c r="M55" s="286"/>
      <c r="N55" s="287">
        <f>COUNTIFS(缺陷明细!$A$2:$A$50000,$B$4,缺陷明细!$G$2:$G$50000,$C55,缺陷明细!$J$2:$J$50000,"系统测试案例评审",缺陷明细!$AB$2:$AB$50000,"&lt;&gt;丢弃",缺陷明细!$AB$2:$AB$50000,"&lt;&gt;设计如此",缺陷明细!$AB$2:$AB$50000,"&lt;&gt;重复Bug")</f>
        <v>0</v>
      </c>
      <c r="O55" s="287">
        <f>COUNTIFS(缺陷明细!$A$2:$A$50000,$B$4,缺陷明细!$G$2:$G$50000,$C55,缺陷明细!$Q$2:$Q$50000,"已关闭",缺陷明细!$J$2:$J$50000,"系统测试案例评审")</f>
        <v>0</v>
      </c>
      <c r="P55" s="287">
        <f>COUNTIFS(缺陷明细!$A$2:$A$50000,$B$4,缺陷明细!$G$2:$G$50000,$C55,缺陷明细!$J$2:$J$50000,"系统测试",缺陷明细!$AB$2:$AB$50000,"&lt;&gt;丢弃",缺陷明细!$AB$2:$AB$50000,"&lt;&gt;设计如此",缺陷明细!$AB$2:$AB$50000,"&lt;&gt;重复Bug")</f>
        <v>0</v>
      </c>
      <c r="Q55" s="287">
        <f>COUNTIFS(缺陷明细!$A$2:$A$50000,$B$4,缺陷明细!$G$2:$G$50000,$C55,缺陷明细!$Q$2:$Q$50000,"已关闭",缺陷明细!$J$2:$J$50000,"系统测试")</f>
        <v>0</v>
      </c>
      <c r="R55" s="297">
        <f>COUNTIFS(缺陷明细!$A$2:$A$50000,$B$4,缺陷明细!$G$2:$G$50000,$C55,缺陷明细!$AB$2:$AB$50000,"丢弃",缺陷明细!$J$2:$J$50000,"系统测试")+COUNTIFS(缺陷明细!$A$2:$A$50000,$B$4,缺陷明细!$G$2:$G$50000,$C55,缺陷明细!$AB$2:$AB$50000,"设计如此",缺陷明细!$J$2:$J$50000,"系统测试")+COUNTIFS(缺陷明细!$A$2:$A$50000,$B$4,缺陷明细!$G$2:$G$50000,$C55,缺陷明细!$AB$2:$AB$50000,"重复Bug",缺陷明细!$J$2:$J$50000,"系统测试")</f>
        <v>0</v>
      </c>
      <c r="S55" s="287">
        <f>COUNTIFS(缺陷明细!$A$2:$A$50000,$B$4,缺陷明细!$G$2:$G$50000,$C55,缺陷明细!$J$2:$J$50000,"系统测试",缺陷明细!$K$2:$K$50000,"致命",缺陷明细!$AB$2:$AB$50000,"&lt;&gt;丢弃",缺陷明细!$AB$2:$AB$50000,"&lt;&gt;设计如此",缺陷明细!$AB$2:$AB$50000,"&lt;&gt;重复Bug")+COUNTIFS(缺陷明细!$A$2:$A$50000,$B$4,缺陷明细!$G$2:$G$50000,$C55,缺陷明细!$J$2:$J$50000,"系统测试",缺陷明细!$K$2:$K$50000,"严重",缺陷明细!$AB$2:$AB$50000,"&lt;&gt;丢弃",缺陷明细!$AB$2:$AB$50000,"&lt;&gt;设计如此",缺陷明细!$AB$2:$AB$50000,"&lt;&gt;重复Bug")</f>
        <v>0</v>
      </c>
      <c r="T55" s="288">
        <f>COUNTIFS(缺陷明细!$A$2:$A$50000,$B$4,缺陷明细!$G$2:$G$50000,$C55,缺陷明细!$Q$2:$Q$50000,"已关闭",缺陷明细!$J$2:$J$50000,"系统测试",缺陷明细!$K$2:$K$50000,"致命")+COUNTIFS(缺陷明细!$A$2:$A$50000,$B$4,缺陷明细!$G$2:$G$50000,$C55,缺陷明细!$Q$2:$Q$50000,"已关闭",缺陷明细!$J$2:$J$50000,"系统测试",缺陷明细!$K$2:$K$50000,"严重")</f>
        <v>0</v>
      </c>
      <c r="U55" s="289">
        <f>COUNTIFS(缺陷明细!$A$2:$A$50000,$B$4,缺陷明细!$G$2:$G$50000,$C55,缺陷明细!$J$2:$J$50000,"验收测试",缺陷明细!$AB$2:$AB$50000,"&lt;&gt;丢弃",缺陷明细!$AB$2:$AB$50000,"&lt;&gt;设计如此",缺陷明细!$AB$2:$AB$50000,"&lt;&gt;重复Bug")</f>
        <v>0</v>
      </c>
      <c r="V55" s="290">
        <f>COUNTIFS(缺陷明细!$A$2:$A$50000,$B$4,缺陷明细!$G$2:$G$50000,$C55,缺陷明细!$Q$2:$Q$50000,"已关闭",缺陷明细!$J$2:$J$50000,"验收测试")</f>
        <v>0</v>
      </c>
      <c r="W55" s="290">
        <f>COUNTIFS(缺陷明细!$A$2:$A$50000,$B$4,缺陷明细!$G$2:$G$50000,$C55,缺陷明细!$J$2:$J$50000,"验收测试",缺陷明细!$K$2:$K$50000,"致命",缺陷明细!$AB$2:$AB$50000,"&lt;&gt;丢弃",缺陷明细!$AB$2:$AB$50000,"&lt;&gt;设计如此",缺陷明细!$AB$2:$AB$50000,"&lt;&gt;重复Bug")+COUNTIFS(缺陷明细!$A$2:$A$50000,$B$4,缺陷明细!$G$2:$G$50000,$C55,缺陷明细!$J$2:$J$50000,"验收测试",缺陷明细!$K$2:$K$50000,"严重",缺陷明细!$AB$2:$AB$50000,"&lt;&gt;丢弃",缺陷明细!$AB$2:$AB$50000,"&lt;&gt;设计如此",缺陷明细!$AB$2:$AB$50000,"&lt;&gt;重复Bug")</f>
        <v>0</v>
      </c>
      <c r="X55" s="291">
        <f>COUNTIFS(缺陷明细!$A$2:$A$50000,$B$4,缺陷明细!$G$2:$G$50000,$C55,缺陷明细!$Q$2:$Q$50000,"已关闭",缺陷明细!$J$2:$J$50000,"验收测试",缺陷明细!$K$2:$K$50000,"致命")+COUNTIFS(缺陷明细!$A$2:$A$50000,$B$4,缺陷明细!$G$2:$G$50000,$C55,缺陷明细!$Q$2:$Q$50000,"已关闭",缺陷明细!$J$2:$J$50000,"验收测试",缺陷明细!$K$2:$K$50000,"严重")</f>
        <v>0</v>
      </c>
      <c r="Y55" s="292">
        <f>COUNTIFS(缺陷明细!$A$2:$A$50000,$B$4,缺陷明细!$G$2:$G$50000,$C55,缺陷明细!$J$2:$J$50000,"运维测试",缺陷明细!$AB$2:$AB$50000,"&lt;&gt;丢弃",缺陷明细!$AB$2:$AB$50000,"&lt;&gt;设计如此",缺陷明细!$AB$2:$AB$50000,"&lt;&gt;重复Bug")</f>
        <v>0</v>
      </c>
      <c r="Z55" s="293">
        <f>COUNTIFS(缺陷明细!$A$2:$A$50000,$B$4,缺陷明细!$G$2:$G$50000,$C55,缺陷明细!$Q$2:$Q$50000,"已关闭",缺陷明细!$J$2:$J$50000,"运维测试")</f>
        <v>0</v>
      </c>
      <c r="AA55" s="287">
        <f>COUNTIFS(缺陷明细!$A$2:$A$50000,$B$4,缺陷明细!$G$2:$G$50000,$C55,缺陷明细!$J$2:$J$50000,"运维测试",缺陷明细!$K$2:$K$50000,"致命",缺陷明细!$AB$2:$AB$50000,"&lt;&gt;丢弃",缺陷明细!$AB$2:$AB$50000,"&lt;&gt;设计如此",缺陷明细!$AB$2:$AB$50000,"&lt;&gt;重复Bug")+COUNTIFS(缺陷明细!$A$2:$A$50000,$B$4,缺陷明细!$G$2:$G$50000,$C55,缺陷明细!$J$2:$J$50000,"运维测试",缺陷明细!$K$2:$K$50000,"严重",缺陷明细!$AB$2:$AB$50000,"&lt;&gt;丢弃",缺陷明细!$AB$2:$AB$50000,"&lt;&gt;设计如此",缺陷明细!$AB$2:$AB$50000,"&lt;&gt;重复Bug")</f>
        <v>0</v>
      </c>
      <c r="AB55" s="288">
        <f>COUNTIFS(缺陷明细!$A$2:$A$50000,$B$4,缺陷明细!$G$2:$G$50000,$C55,缺陷明细!$Q$2:$Q$50000,"已关闭",缺陷明细!$J$2:$J$50000,"运维测试",缺陷明细!$K$2:$K$50000,"致命")+COUNTIFS(缺陷明细!$A$2:$A$50000,$B$4,缺陷明细!$G$2:$G$50000,$C55,缺陷明细!$Q$2:$Q$50000,"已关闭",缺陷明细!$J$2:$J$50000,"运维测试",缺陷明细!$K$2:$K$50000,"严重")</f>
        <v>0</v>
      </c>
      <c r="AC55" s="150">
        <f t="shared" si="0"/>
        <v>0</v>
      </c>
      <c r="AD55" s="151">
        <f t="shared" si="0"/>
        <v>0</v>
      </c>
      <c r="AE55" s="151">
        <f t="shared" si="1"/>
        <v>0</v>
      </c>
      <c r="AF55" s="151">
        <f t="shared" si="1"/>
        <v>0</v>
      </c>
      <c r="AG55" s="151">
        <f t="shared" si="2"/>
        <v>0</v>
      </c>
      <c r="AH55" s="151">
        <f t="shared" si="2"/>
        <v>0</v>
      </c>
      <c r="AI55" s="151">
        <f t="shared" si="3"/>
        <v>0</v>
      </c>
      <c r="AJ55" s="141">
        <f t="shared" si="3"/>
        <v>0</v>
      </c>
      <c r="AK55" s="145"/>
    </row>
    <row r="56" spans="1:37">
      <c r="B56" s="417" t="s">
        <v>223</v>
      </c>
      <c r="C56" s="418"/>
      <c r="D56" s="135">
        <f>COUNTA(D5:D55)</f>
        <v>0</v>
      </c>
      <c r="E56" s="135">
        <f>COUNTIF(E2:E55,"是")</f>
        <v>0</v>
      </c>
      <c r="F56" s="135">
        <f>SUMIFS(F5:F500,$E$5:$E$500,"是")</f>
        <v>0</v>
      </c>
      <c r="G56" s="135">
        <f t="shared" ref="G56:AJ56" si="4">SUMIFS(G5:G500,$E$5:$E$500,"是")</f>
        <v>0</v>
      </c>
      <c r="H56" s="135">
        <f t="shared" si="4"/>
        <v>0</v>
      </c>
      <c r="I56" s="135">
        <f t="shared" si="4"/>
        <v>0</v>
      </c>
      <c r="J56" s="135">
        <f t="shared" si="4"/>
        <v>0</v>
      </c>
      <c r="K56" s="135">
        <f t="shared" si="4"/>
        <v>0</v>
      </c>
      <c r="L56" s="135">
        <f t="shared" si="4"/>
        <v>0</v>
      </c>
      <c r="M56" s="135">
        <f t="shared" si="4"/>
        <v>0</v>
      </c>
      <c r="N56" s="135">
        <f t="shared" si="4"/>
        <v>0</v>
      </c>
      <c r="O56" s="135">
        <f t="shared" si="4"/>
        <v>0</v>
      </c>
      <c r="P56" s="135">
        <f t="shared" si="4"/>
        <v>0</v>
      </c>
      <c r="Q56" s="135">
        <f t="shared" si="4"/>
        <v>0</v>
      </c>
      <c r="R56" s="135">
        <f t="shared" si="4"/>
        <v>0</v>
      </c>
      <c r="S56" s="135">
        <f t="shared" si="4"/>
        <v>0</v>
      </c>
      <c r="T56" s="135">
        <f t="shared" si="4"/>
        <v>0</v>
      </c>
      <c r="U56" s="135">
        <f t="shared" si="4"/>
        <v>0</v>
      </c>
      <c r="V56" s="135">
        <f t="shared" si="4"/>
        <v>0</v>
      </c>
      <c r="W56" s="135">
        <f t="shared" si="4"/>
        <v>0</v>
      </c>
      <c r="X56" s="135">
        <f t="shared" si="4"/>
        <v>0</v>
      </c>
      <c r="Y56" s="135">
        <f t="shared" si="4"/>
        <v>0</v>
      </c>
      <c r="Z56" s="135">
        <f t="shared" si="4"/>
        <v>0</v>
      </c>
      <c r="AA56" s="135">
        <f t="shared" si="4"/>
        <v>0</v>
      </c>
      <c r="AB56" s="135">
        <f t="shared" si="4"/>
        <v>0</v>
      </c>
      <c r="AC56" s="135">
        <f t="shared" si="4"/>
        <v>0</v>
      </c>
      <c r="AD56" s="135">
        <f t="shared" si="4"/>
        <v>0</v>
      </c>
      <c r="AE56" s="135">
        <f t="shared" si="4"/>
        <v>0</v>
      </c>
      <c r="AF56" s="135">
        <f t="shared" si="4"/>
        <v>0</v>
      </c>
      <c r="AG56" s="135">
        <f t="shared" si="4"/>
        <v>0</v>
      </c>
      <c r="AH56" s="135">
        <f t="shared" si="4"/>
        <v>0</v>
      </c>
      <c r="AI56" s="135">
        <f t="shared" si="4"/>
        <v>0</v>
      </c>
      <c r="AJ56" s="135">
        <f t="shared" si="4"/>
        <v>0</v>
      </c>
      <c r="AK56" s="30"/>
    </row>
    <row r="57" spans="1:37">
      <c r="C57" s="146"/>
      <c r="D57" s="147"/>
      <c r="E57" s="136"/>
      <c r="F57" s="136"/>
      <c r="G57" s="136"/>
      <c r="H57" s="137"/>
      <c r="I57" s="137"/>
      <c r="J57" s="137"/>
      <c r="K57" s="137"/>
      <c r="L57" s="137"/>
      <c r="M57" s="137"/>
      <c r="N57" s="137"/>
      <c r="O57" s="137"/>
      <c r="P57" s="137"/>
      <c r="Q57" s="137"/>
      <c r="R57" s="137"/>
      <c r="S57" s="137"/>
      <c r="T57" s="137"/>
      <c r="U57" s="137"/>
      <c r="V57" s="137"/>
      <c r="W57" s="137"/>
      <c r="X57" s="137"/>
      <c r="Y57" s="137"/>
      <c r="Z57" s="137"/>
      <c r="AA57" s="137"/>
      <c r="AB57" s="137"/>
      <c r="AC57" s="137"/>
      <c r="AD57" s="137"/>
      <c r="AE57" s="137"/>
      <c r="AF57" s="137"/>
      <c r="AG57" s="137"/>
      <c r="AH57" s="137"/>
      <c r="AI57" s="137"/>
      <c r="AJ57" s="137"/>
    </row>
    <row r="59" spans="1:37">
      <c r="F59" s="95"/>
    </row>
  </sheetData>
  <mergeCells count="13">
    <mergeCell ref="B56:C56"/>
    <mergeCell ref="B2:B3"/>
    <mergeCell ref="C2:C3"/>
    <mergeCell ref="D2:D3"/>
    <mergeCell ref="E2:E3"/>
    <mergeCell ref="AC2:AJ2"/>
    <mergeCell ref="AK2:AK3"/>
    <mergeCell ref="U2:X2"/>
    <mergeCell ref="H1:AB1"/>
    <mergeCell ref="F2:G2"/>
    <mergeCell ref="H2:K2"/>
    <mergeCell ref="L2:T2"/>
    <mergeCell ref="Y2:AB2"/>
  </mergeCells>
  <phoneticPr fontId="13" type="noConversion"/>
  <dataValidations count="1">
    <dataValidation type="list" allowBlank="1" showInputMessage="1" showErrorMessage="1" sqref="E5:E55">
      <formula1>"是,否"</formula1>
    </dataValidation>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16"/>
  <sheetViews>
    <sheetView workbookViewId="0">
      <selection activeCell="D36" sqref="D36"/>
    </sheetView>
  </sheetViews>
  <sheetFormatPr defaultColWidth="9.140625" defaultRowHeight="12.75"/>
  <cols>
    <col min="2" max="2" width="21.5703125" customWidth="1"/>
    <col min="3" max="3" width="27" customWidth="1"/>
    <col min="4" max="4" width="70.5703125" customWidth="1"/>
    <col min="5" max="5" width="33.28515625" customWidth="1"/>
    <col min="6" max="6" width="14" customWidth="1"/>
    <col min="7" max="7" width="16.140625" customWidth="1"/>
    <col min="8" max="9" width="41.140625" customWidth="1"/>
  </cols>
  <sheetData>
    <row r="1" spans="1:9" ht="30.75" customHeight="1">
      <c r="A1" s="1"/>
      <c r="B1" s="2" t="s">
        <v>47</v>
      </c>
      <c r="C1" s="3"/>
      <c r="E1" s="3"/>
    </row>
    <row r="2" spans="1:9" ht="5.25" customHeight="1">
      <c r="A2" s="4"/>
      <c r="B2" s="5"/>
      <c r="C2" s="6"/>
      <c r="D2" s="5"/>
      <c r="E2" s="3"/>
    </row>
    <row r="3" spans="1:9" ht="18.75" customHeight="1">
      <c r="B3" s="87" t="s">
        <v>172</v>
      </c>
      <c r="C3" s="87"/>
      <c r="D3" s="87"/>
      <c r="E3" s="6"/>
      <c r="H3" s="7"/>
      <c r="I3" s="7"/>
    </row>
    <row r="4" spans="1:9" ht="5.25" customHeight="1">
      <c r="B4" s="8"/>
      <c r="C4" s="9"/>
      <c r="D4" s="10"/>
      <c r="E4" s="9"/>
      <c r="H4" s="7"/>
      <c r="I4" s="7"/>
    </row>
    <row r="5" spans="1:9" ht="15">
      <c r="A5" s="11"/>
      <c r="B5" s="12" t="s">
        <v>49</v>
      </c>
      <c r="C5" s="12" t="s">
        <v>50</v>
      </c>
      <c r="D5" s="13" t="s">
        <v>48</v>
      </c>
      <c r="E5" s="13" t="s">
        <v>51</v>
      </c>
      <c r="F5" s="14"/>
      <c r="H5" s="7"/>
      <c r="I5" s="7"/>
    </row>
    <row r="6" spans="1:9" ht="15">
      <c r="A6" s="15"/>
      <c r="B6" s="427" t="s">
        <v>52</v>
      </c>
      <c r="C6" s="19" t="s">
        <v>173</v>
      </c>
      <c r="D6" s="20" t="s">
        <v>174</v>
      </c>
      <c r="E6" s="21" t="s">
        <v>53</v>
      </c>
      <c r="F6" s="18"/>
      <c r="H6" s="7"/>
      <c r="I6" s="7"/>
    </row>
    <row r="7" spans="1:9" ht="15">
      <c r="A7" s="15"/>
      <c r="B7" s="428"/>
      <c r="C7" s="19" t="s">
        <v>175</v>
      </c>
      <c r="D7" s="20" t="s">
        <v>54</v>
      </c>
      <c r="E7" s="21" t="s">
        <v>53</v>
      </c>
      <c r="F7" s="18"/>
      <c r="H7" s="7"/>
      <c r="I7" s="7"/>
    </row>
    <row r="8" spans="1:9" ht="25.5">
      <c r="A8" s="15"/>
      <c r="B8" s="429"/>
      <c r="C8" s="22" t="s">
        <v>176</v>
      </c>
      <c r="D8" s="20" t="s">
        <v>275</v>
      </c>
      <c r="E8" s="21" t="s">
        <v>53</v>
      </c>
      <c r="F8" s="18"/>
      <c r="H8" s="7"/>
      <c r="I8" s="7"/>
    </row>
    <row r="9" spans="1:9" ht="15">
      <c r="A9" s="15"/>
      <c r="B9" s="430" t="s">
        <v>55</v>
      </c>
      <c r="C9" s="23" t="s">
        <v>177</v>
      </c>
      <c r="D9" s="20" t="s">
        <v>191</v>
      </c>
      <c r="E9" s="17" t="s">
        <v>178</v>
      </c>
      <c r="F9" s="18"/>
      <c r="H9" s="7"/>
      <c r="I9" s="7"/>
    </row>
    <row r="10" spans="1:9" ht="15">
      <c r="A10" s="15"/>
      <c r="B10" s="431"/>
      <c r="C10" s="22" t="s">
        <v>179</v>
      </c>
      <c r="D10" s="20" t="s">
        <v>192</v>
      </c>
      <c r="E10" s="17" t="s">
        <v>178</v>
      </c>
      <c r="F10" s="18"/>
      <c r="H10" s="7"/>
      <c r="I10" s="7"/>
    </row>
    <row r="11" spans="1:9" ht="87.75">
      <c r="A11" s="15"/>
      <c r="B11" s="432"/>
      <c r="C11" s="24" t="s">
        <v>289</v>
      </c>
      <c r="D11" s="20" t="s">
        <v>193</v>
      </c>
      <c r="E11" s="17" t="s">
        <v>171</v>
      </c>
      <c r="F11" s="18"/>
      <c r="H11" s="7"/>
      <c r="I11" s="7"/>
    </row>
    <row r="12" spans="1:9">
      <c r="A12" s="25"/>
      <c r="B12" s="55" t="s">
        <v>57</v>
      </c>
      <c r="C12" s="22" t="s">
        <v>58</v>
      </c>
      <c r="D12" s="16" t="s">
        <v>59</v>
      </c>
      <c r="E12" s="21" t="s">
        <v>56</v>
      </c>
      <c r="F12" s="26"/>
    </row>
    <row r="13" spans="1:9">
      <c r="B13" s="27"/>
      <c r="C13" s="28"/>
      <c r="D13" s="27"/>
      <c r="E13" s="28"/>
    </row>
    <row r="15" spans="1:9">
      <c r="B15" s="87" t="s">
        <v>194</v>
      </c>
    </row>
    <row r="16" spans="1:9">
      <c r="B16" s="87"/>
    </row>
  </sheetData>
  <mergeCells count="2">
    <mergeCell ref="B6:B8"/>
    <mergeCell ref="B9:B11"/>
  </mergeCells>
  <phoneticPr fontId="13" type="noConversion"/>
  <hyperlinks>
    <hyperlink ref="C12" location="版本信息!A1" display="版本信息"/>
  </hyperlinks>
  <pageMargins left="0.69930555555555596" right="0.69930555555555596"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17</vt:i4>
      </vt:variant>
    </vt:vector>
  </HeadingPairs>
  <TitlesOfParts>
    <vt:vector size="17" baseType="lpstr">
      <vt:lpstr>图表概览</vt:lpstr>
      <vt:lpstr>产品KPI</vt:lpstr>
      <vt:lpstr>度量指标</vt:lpstr>
      <vt:lpstr>基础度量项</vt:lpstr>
      <vt:lpstr>检查单明细</vt:lpstr>
      <vt:lpstr>配置审计明细</vt:lpstr>
      <vt:lpstr>缺陷明细</vt:lpstr>
      <vt:lpstr>需求明细_迭代1</vt:lpstr>
      <vt:lpstr>需求明细_迭代2</vt:lpstr>
      <vt:lpstr>需求明细_迭代3</vt:lpstr>
      <vt:lpstr>需求明细_迭代4</vt:lpstr>
      <vt:lpstr>需求明细_迭代5</vt:lpstr>
      <vt:lpstr>需求明细_迭代6</vt:lpstr>
      <vt:lpstr>需求明细_迭代7</vt:lpstr>
      <vt:lpstr>需求明细_迭代8</vt:lpstr>
      <vt:lpstr>需求明细_迭代9</vt:lpstr>
      <vt:lpstr>使用说明</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Wang Nan</dc:creator>
  <cp:lastModifiedBy>admin</cp:lastModifiedBy>
  <dcterms:created xsi:type="dcterms:W3CDTF">2012-02-03T01:55:00Z</dcterms:created>
  <dcterms:modified xsi:type="dcterms:W3CDTF">2017-08-29T10:03:46Z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2052-10.8.0.5391</vt:lpwstr>
  </property>
</Properties>
</file>